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esoreria01\Documents\CONTABILIDAD\"/>
    </mc:Choice>
  </mc:AlternateContent>
  <xr:revisionPtr revIDLastSave="0" documentId="13_ncr:1_{09AB5826-E272-4763-9D52-F67F207789E1}" xr6:coauthVersionLast="47" xr6:coauthVersionMax="47" xr10:uidLastSave="{00000000-0000-0000-0000-000000000000}"/>
  <bookViews>
    <workbookView xWindow="-28920" yWindow="-120" windowWidth="29040" windowHeight="15720" tabRatio="500" xr2:uid="{00000000-000D-0000-FFFF-FFFF00000000}"/>
  </bookViews>
  <sheets>
    <sheet name="Instrucciones" sheetId="1" r:id="rId1"/>
    <sheet name="Catalogo_Detracciones" sheetId="2" r:id="rId2"/>
    <sheet name="Registro_Compras" sheetId="3" r:id="rId3"/>
    <sheet name="Registro_Ventas" sheetId="4" r:id="rId4"/>
    <sheet name="Libro_Diario" sheetId="5" r:id="rId5"/>
    <sheet name="Detracciones_Control" sheetId="8" r:id="rId6"/>
    <sheet name="Plan_Cuentas" sheetId="6" r:id="rId7"/>
    <sheet name="TC_Diario" sheetId="7" r:id="rId8"/>
  </sheets>
  <definedNames>
    <definedName name="_xlnm._FilterDatabase" localSheetId="5" hidden="1">Detracciones_Control!$A$3:$N$503</definedName>
    <definedName name="Catalogo_Codigos">Catalogo_Detracciones!$A$4:$A$15</definedName>
    <definedName name="Catalogo_Etiquetas">Catalogo_Detracciones!$C$4:$C$15</definedName>
    <definedName name="Catalogo_Tasas">Catalogo_Detracciones!$D$4:$D$15</definedName>
    <definedName name="Catalogo_Umbrales">Catalogo_Detracciones!$E$4:$E$15</definedName>
    <definedName name="Feriados">Detracciones_Control!$P$4:$P$60</definedName>
    <definedName name="TC_Fechas">TC_Diario!$A$4:$A$1003</definedName>
    <definedName name="TC_Venta_Rango">TC_Diario!$C$4:$C$1003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09" i="3" l="1"/>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F4055" i="5"/>
  <c r="F4060" i="5"/>
  <c r="F4062" i="5"/>
  <c r="F4064" i="5"/>
  <c r="F4069" i="5"/>
  <c r="F4071" i="5"/>
  <c r="F4073" i="5"/>
  <c r="F4078" i="5"/>
  <c r="F4080" i="5"/>
  <c r="F4082" i="5"/>
  <c r="F4087" i="5"/>
  <c r="F4089" i="5"/>
  <c r="F4091" i="5"/>
  <c r="F4096" i="5"/>
  <c r="F4098" i="5"/>
  <c r="F4100" i="5"/>
  <c r="F4105" i="5"/>
  <c r="F4107" i="5"/>
  <c r="F4109" i="5"/>
  <c r="F4114" i="5"/>
  <c r="F4116" i="5"/>
  <c r="F4118" i="5"/>
  <c r="F4123" i="5"/>
  <c r="F4125" i="5"/>
  <c r="F4127" i="5"/>
  <c r="F4132" i="5"/>
  <c r="F4134" i="5"/>
  <c r="F4136" i="5"/>
  <c r="F4141" i="5"/>
  <c r="F4143" i="5"/>
  <c r="F4145" i="5"/>
  <c r="F4150" i="5"/>
  <c r="F4152" i="5"/>
  <c r="F4154" i="5"/>
  <c r="F4159" i="5"/>
  <c r="F4161" i="5"/>
  <c r="F4163" i="5"/>
  <c r="F4168" i="5"/>
  <c r="F4170" i="5"/>
  <c r="F4172" i="5"/>
  <c r="F4177" i="5"/>
  <c r="F4179" i="5"/>
  <c r="F4181" i="5"/>
  <c r="F4186" i="5"/>
  <c r="F4188" i="5"/>
  <c r="F4190" i="5"/>
  <c r="F4195" i="5"/>
  <c r="F4197" i="5"/>
  <c r="F4199" i="5"/>
  <c r="F4204" i="5"/>
  <c r="F4206" i="5"/>
  <c r="F4208" i="5"/>
  <c r="F4213" i="5"/>
  <c r="F4215" i="5"/>
  <c r="F4217" i="5"/>
  <c r="F4222" i="5"/>
  <c r="F4224" i="5"/>
  <c r="F4226" i="5"/>
  <c r="F4231" i="5"/>
  <c r="F4233" i="5"/>
  <c r="F4235" i="5"/>
  <c r="F4240" i="5"/>
  <c r="F4242" i="5"/>
  <c r="F4244" i="5"/>
  <c r="F4249" i="5"/>
  <c r="F4251" i="5"/>
  <c r="F4253" i="5"/>
  <c r="F4258" i="5"/>
  <c r="F4260" i="5"/>
  <c r="F4262" i="5"/>
  <c r="F4267" i="5"/>
  <c r="F4269" i="5"/>
  <c r="F4271" i="5"/>
  <c r="F4276" i="5"/>
  <c r="F4278" i="5"/>
  <c r="F4280" i="5"/>
  <c r="F4285" i="5"/>
  <c r="F4287" i="5"/>
  <c r="F4289" i="5"/>
  <c r="F4294" i="5"/>
  <c r="F4296" i="5"/>
  <c r="F4298" i="5"/>
  <c r="F4303" i="5"/>
  <c r="F4305" i="5"/>
  <c r="F4307" i="5"/>
  <c r="F4312" i="5"/>
  <c r="F4314" i="5"/>
  <c r="F4316" i="5"/>
  <c r="F4321" i="5"/>
  <c r="F4323" i="5"/>
  <c r="F4325" i="5"/>
  <c r="F4330" i="5"/>
  <c r="F4332" i="5"/>
  <c r="F4334" i="5"/>
  <c r="F4339" i="5"/>
  <c r="F4341" i="5"/>
  <c r="F4343" i="5"/>
  <c r="F4348" i="5"/>
  <c r="F4350" i="5"/>
  <c r="F4352" i="5"/>
  <c r="F4357" i="5"/>
  <c r="F4359" i="5"/>
  <c r="F4361" i="5"/>
  <c r="F4366" i="5"/>
  <c r="F4368" i="5"/>
  <c r="F4370" i="5"/>
  <c r="F4375" i="5"/>
  <c r="F4377" i="5"/>
  <c r="F4379" i="5"/>
  <c r="F4384" i="5"/>
  <c r="F4386" i="5"/>
  <c r="F4388" i="5"/>
  <c r="F4393" i="5"/>
  <c r="F4395" i="5"/>
  <c r="F4397" i="5"/>
  <c r="F4402" i="5"/>
  <c r="F4404" i="5"/>
  <c r="F4406" i="5"/>
  <c r="F4411" i="5"/>
  <c r="F4413" i="5"/>
  <c r="F4415" i="5"/>
  <c r="F4420" i="5"/>
  <c r="F4422" i="5"/>
  <c r="F4424" i="5"/>
  <c r="F4429" i="5"/>
  <c r="F4431" i="5"/>
  <c r="F4433" i="5"/>
  <c r="F4438" i="5"/>
  <c r="F4440" i="5"/>
  <c r="F4442" i="5"/>
  <c r="F4447" i="5"/>
  <c r="F4449" i="5"/>
  <c r="F4451" i="5"/>
  <c r="F4456" i="5"/>
  <c r="F4458" i="5"/>
  <c r="F4460" i="5"/>
  <c r="F4465" i="5"/>
  <c r="F4467" i="5"/>
  <c r="F4469" i="5"/>
  <c r="F4474" i="5"/>
  <c r="F4476" i="5"/>
  <c r="F4478" i="5"/>
  <c r="F4483" i="5"/>
  <c r="F4485" i="5"/>
  <c r="F4487" i="5"/>
  <c r="F4492" i="5"/>
  <c r="F4494" i="5"/>
  <c r="F4496" i="5"/>
  <c r="F4501" i="5"/>
  <c r="F4503" i="5"/>
  <c r="F3605" i="5"/>
  <c r="F3610" i="5"/>
  <c r="F3612" i="5"/>
  <c r="F3614" i="5"/>
  <c r="F3619" i="5"/>
  <c r="F3621" i="5"/>
  <c r="F3623" i="5"/>
  <c r="F3628" i="5"/>
  <c r="F3630" i="5"/>
  <c r="F3632" i="5"/>
  <c r="F3637" i="5"/>
  <c r="F3639" i="5"/>
  <c r="F3641" i="5"/>
  <c r="F3646" i="5"/>
  <c r="F3648" i="5"/>
  <c r="F3650" i="5"/>
  <c r="F3655" i="5"/>
  <c r="F3657" i="5"/>
  <c r="F3659" i="5"/>
  <c r="F3664" i="5"/>
  <c r="F3666" i="5"/>
  <c r="F3668" i="5"/>
  <c r="F3673" i="5"/>
  <c r="F3675" i="5"/>
  <c r="F3677" i="5"/>
  <c r="F3682" i="5"/>
  <c r="F3684" i="5"/>
  <c r="F3686" i="5"/>
  <c r="F3691" i="5"/>
  <c r="F3693" i="5"/>
  <c r="F3695" i="5"/>
  <c r="F3700" i="5"/>
  <c r="F3702" i="5"/>
  <c r="F3704" i="5"/>
  <c r="F3709" i="5"/>
  <c r="F3711" i="5"/>
  <c r="F3713" i="5"/>
  <c r="F3718" i="5"/>
  <c r="F3720" i="5"/>
  <c r="F3722" i="5"/>
  <c r="F3727" i="5"/>
  <c r="F3729" i="5"/>
  <c r="F3731" i="5"/>
  <c r="F3736" i="5"/>
  <c r="F3738" i="5"/>
  <c r="F3740" i="5"/>
  <c r="F3745" i="5"/>
  <c r="F3747" i="5"/>
  <c r="F3749" i="5"/>
  <c r="F3754" i="5"/>
  <c r="F3756" i="5"/>
  <c r="F3758" i="5"/>
  <c r="F3763" i="5"/>
  <c r="F3765" i="5"/>
  <c r="F3767" i="5"/>
  <c r="F3772" i="5"/>
  <c r="F3774" i="5"/>
  <c r="F3776" i="5"/>
  <c r="F3781" i="5"/>
  <c r="F3783" i="5"/>
  <c r="F3785" i="5"/>
  <c r="F3790" i="5"/>
  <c r="F3792" i="5"/>
  <c r="F3794" i="5"/>
  <c r="F3799" i="5"/>
  <c r="F3801" i="5"/>
  <c r="F3803" i="5"/>
  <c r="F3808" i="5"/>
  <c r="F3810" i="5"/>
  <c r="F3812" i="5"/>
  <c r="F3817" i="5"/>
  <c r="F3819" i="5"/>
  <c r="F3821" i="5"/>
  <c r="F3826" i="5"/>
  <c r="F3828" i="5"/>
  <c r="F3830" i="5"/>
  <c r="F3835" i="5"/>
  <c r="F3837" i="5"/>
  <c r="F3839" i="5"/>
  <c r="F3844" i="5"/>
  <c r="F3846" i="5"/>
  <c r="F3848" i="5"/>
  <c r="F3853" i="5"/>
  <c r="F3855" i="5"/>
  <c r="F3857" i="5"/>
  <c r="F3862" i="5"/>
  <c r="F3864" i="5"/>
  <c r="F3866" i="5"/>
  <c r="F3871" i="5"/>
  <c r="F3873" i="5"/>
  <c r="F3875" i="5"/>
  <c r="F3880" i="5"/>
  <c r="F3882" i="5"/>
  <c r="F3884" i="5"/>
  <c r="F3889" i="5"/>
  <c r="F3891" i="5"/>
  <c r="F3893" i="5"/>
  <c r="F3898" i="5"/>
  <c r="F3900" i="5"/>
  <c r="F3902" i="5"/>
  <c r="F3907" i="5"/>
  <c r="F3909" i="5"/>
  <c r="F3911" i="5"/>
  <c r="F3916" i="5"/>
  <c r="F3918" i="5"/>
  <c r="F3920" i="5"/>
  <c r="F3925" i="5"/>
  <c r="F3927" i="5"/>
  <c r="F3929" i="5"/>
  <c r="F3934" i="5"/>
  <c r="F3936" i="5"/>
  <c r="F3938" i="5"/>
  <c r="F3943" i="5"/>
  <c r="F3945" i="5"/>
  <c r="F3947" i="5"/>
  <c r="F3952" i="5"/>
  <c r="F3954" i="5"/>
  <c r="F3956" i="5"/>
  <c r="F3961" i="5"/>
  <c r="F3963" i="5"/>
  <c r="F3965" i="5"/>
  <c r="F3970" i="5"/>
  <c r="F3972" i="5"/>
  <c r="F3974" i="5"/>
  <c r="F3979" i="5"/>
  <c r="F3981" i="5"/>
  <c r="F3983" i="5"/>
  <c r="F3988" i="5"/>
  <c r="F3990" i="5"/>
  <c r="F3992" i="5"/>
  <c r="F3997" i="5"/>
  <c r="F3999" i="5"/>
  <c r="F4001" i="5"/>
  <c r="F4006" i="5"/>
  <c r="F4008" i="5"/>
  <c r="F4010" i="5"/>
  <c r="F4015" i="5"/>
  <c r="F4017" i="5"/>
  <c r="F4019" i="5"/>
  <c r="F4024" i="5"/>
  <c r="F4026" i="5"/>
  <c r="F4028" i="5"/>
  <c r="F4033" i="5"/>
  <c r="F4035" i="5"/>
  <c r="F4037" i="5"/>
  <c r="F4042" i="5"/>
  <c r="F4044" i="5"/>
  <c r="F4046" i="5"/>
  <c r="F4051" i="5"/>
  <c r="F4053" i="5"/>
  <c r="F3155" i="5"/>
  <c r="F3160" i="5"/>
  <c r="F3162" i="5"/>
  <c r="F3164" i="5"/>
  <c r="F3169" i="5"/>
  <c r="F3171" i="5"/>
  <c r="F3173" i="5"/>
  <c r="F3178" i="5"/>
  <c r="F3180" i="5"/>
  <c r="F3182" i="5"/>
  <c r="F3187" i="5"/>
  <c r="F3189" i="5"/>
  <c r="F3191" i="5"/>
  <c r="F3196" i="5"/>
  <c r="F3198" i="5"/>
  <c r="F3200" i="5"/>
  <c r="F3205" i="5"/>
  <c r="F3207" i="5"/>
  <c r="F3209" i="5"/>
  <c r="F3214" i="5"/>
  <c r="F3216" i="5"/>
  <c r="F3218" i="5"/>
  <c r="F3223" i="5"/>
  <c r="F3225" i="5"/>
  <c r="F3227" i="5"/>
  <c r="F3232" i="5"/>
  <c r="F3234" i="5"/>
  <c r="F3236" i="5"/>
  <c r="F3241" i="5"/>
  <c r="F3243" i="5"/>
  <c r="F3245" i="5"/>
  <c r="F3250" i="5"/>
  <c r="F3252" i="5"/>
  <c r="F3254" i="5"/>
  <c r="F3259" i="5"/>
  <c r="F3261" i="5"/>
  <c r="F3263" i="5"/>
  <c r="F3268" i="5"/>
  <c r="F3270" i="5"/>
  <c r="F3272" i="5"/>
  <c r="F3277" i="5"/>
  <c r="F3279" i="5"/>
  <c r="F3281" i="5"/>
  <c r="F3286" i="5"/>
  <c r="F3288" i="5"/>
  <c r="F3290" i="5"/>
  <c r="F3295" i="5"/>
  <c r="F3297" i="5"/>
  <c r="F3299" i="5"/>
  <c r="F3304" i="5"/>
  <c r="F3306" i="5"/>
  <c r="F3308" i="5"/>
  <c r="F3313" i="5"/>
  <c r="F3315" i="5"/>
  <c r="F3317" i="5"/>
  <c r="F3322" i="5"/>
  <c r="F3324" i="5"/>
  <c r="F3326" i="5"/>
  <c r="F3331" i="5"/>
  <c r="F3333" i="5"/>
  <c r="F3335" i="5"/>
  <c r="F3340" i="5"/>
  <c r="F3342" i="5"/>
  <c r="F3344" i="5"/>
  <c r="F3349" i="5"/>
  <c r="F3351" i="5"/>
  <c r="F3353" i="5"/>
  <c r="F3358" i="5"/>
  <c r="F3360" i="5"/>
  <c r="F3362" i="5"/>
  <c r="F3367" i="5"/>
  <c r="F3369" i="5"/>
  <c r="F3371" i="5"/>
  <c r="F3376" i="5"/>
  <c r="F3378" i="5"/>
  <c r="F3380" i="5"/>
  <c r="F3385" i="5"/>
  <c r="F3387" i="5"/>
  <c r="F3389" i="5"/>
  <c r="F3394" i="5"/>
  <c r="F3396" i="5"/>
  <c r="F3398" i="5"/>
  <c r="F3403" i="5"/>
  <c r="F3405" i="5"/>
  <c r="F3407" i="5"/>
  <c r="F3412" i="5"/>
  <c r="F3414" i="5"/>
  <c r="F3416" i="5"/>
  <c r="F3421" i="5"/>
  <c r="F3423" i="5"/>
  <c r="F3425" i="5"/>
  <c r="F3430" i="5"/>
  <c r="F3432" i="5"/>
  <c r="F3434" i="5"/>
  <c r="F3439" i="5"/>
  <c r="F3441" i="5"/>
  <c r="F3443" i="5"/>
  <c r="F3448" i="5"/>
  <c r="F3450" i="5"/>
  <c r="F3452" i="5"/>
  <c r="F3457" i="5"/>
  <c r="F3459" i="5"/>
  <c r="F3461" i="5"/>
  <c r="F3466" i="5"/>
  <c r="F3468" i="5"/>
  <c r="F3470" i="5"/>
  <c r="F3475" i="5"/>
  <c r="F3477" i="5"/>
  <c r="F3479" i="5"/>
  <c r="F3484" i="5"/>
  <c r="F3486" i="5"/>
  <c r="F3488" i="5"/>
  <c r="F3493" i="5"/>
  <c r="F3495" i="5"/>
  <c r="F3497" i="5"/>
  <c r="F3502" i="5"/>
  <c r="F3504" i="5"/>
  <c r="F3506" i="5"/>
  <c r="F3511" i="5"/>
  <c r="F3513" i="5"/>
  <c r="F3515" i="5"/>
  <c r="F3520" i="5"/>
  <c r="F3522" i="5"/>
  <c r="F3524" i="5"/>
  <c r="F3529" i="5"/>
  <c r="F3531" i="5"/>
  <c r="F3533" i="5"/>
  <c r="F3538" i="5"/>
  <c r="F3540" i="5"/>
  <c r="F3542" i="5"/>
  <c r="F3547" i="5"/>
  <c r="F3549" i="5"/>
  <c r="F3551" i="5"/>
  <c r="F3556" i="5"/>
  <c r="F3558" i="5"/>
  <c r="F3560" i="5"/>
  <c r="F3565" i="5"/>
  <c r="F3567" i="5"/>
  <c r="F3569" i="5"/>
  <c r="F3574" i="5"/>
  <c r="F3576" i="5"/>
  <c r="F3578" i="5"/>
  <c r="F3583" i="5"/>
  <c r="F3585" i="5"/>
  <c r="F3587" i="5"/>
  <c r="F3592" i="5"/>
  <c r="F3594" i="5"/>
  <c r="F3596" i="5"/>
  <c r="F3601" i="5"/>
  <c r="F3603" i="5"/>
  <c r="F2705" i="5"/>
  <c r="F2710" i="5"/>
  <c r="F2712" i="5"/>
  <c r="F2714" i="5"/>
  <c r="F2719" i="5"/>
  <c r="F2721" i="5"/>
  <c r="F2723" i="5"/>
  <c r="F2728" i="5"/>
  <c r="F2730" i="5"/>
  <c r="F2732" i="5"/>
  <c r="F2737" i="5"/>
  <c r="F2739" i="5"/>
  <c r="F2741" i="5"/>
  <c r="F2746" i="5"/>
  <c r="F2748" i="5"/>
  <c r="F2750" i="5"/>
  <c r="F2755" i="5"/>
  <c r="F2757" i="5"/>
  <c r="F2759" i="5"/>
  <c r="F2764" i="5"/>
  <c r="F2766" i="5"/>
  <c r="F2768" i="5"/>
  <c r="F2773" i="5"/>
  <c r="F2775" i="5"/>
  <c r="F2777" i="5"/>
  <c r="F2782" i="5"/>
  <c r="F2784" i="5"/>
  <c r="F2786" i="5"/>
  <c r="F2791" i="5"/>
  <c r="F2793" i="5"/>
  <c r="F2795" i="5"/>
  <c r="F2800" i="5"/>
  <c r="F2802" i="5"/>
  <c r="F2804" i="5"/>
  <c r="F2809" i="5"/>
  <c r="F2811" i="5"/>
  <c r="F2813" i="5"/>
  <c r="F2818" i="5"/>
  <c r="F2820" i="5"/>
  <c r="F2822" i="5"/>
  <c r="F2827" i="5"/>
  <c r="F2829" i="5"/>
  <c r="F2831" i="5"/>
  <c r="F2836" i="5"/>
  <c r="F2838" i="5"/>
  <c r="F2840" i="5"/>
  <c r="F2845" i="5"/>
  <c r="F2847" i="5"/>
  <c r="F2849" i="5"/>
  <c r="F2854" i="5"/>
  <c r="F2856" i="5"/>
  <c r="F2858" i="5"/>
  <c r="F2863" i="5"/>
  <c r="F2865" i="5"/>
  <c r="F2867" i="5"/>
  <c r="F2872" i="5"/>
  <c r="F2874" i="5"/>
  <c r="F2876" i="5"/>
  <c r="F2881" i="5"/>
  <c r="F2883" i="5"/>
  <c r="F2885" i="5"/>
  <c r="F2890" i="5"/>
  <c r="F2892" i="5"/>
  <c r="F2894" i="5"/>
  <c r="F2899" i="5"/>
  <c r="F2901" i="5"/>
  <c r="F2903" i="5"/>
  <c r="F2908" i="5"/>
  <c r="F2910" i="5"/>
  <c r="F2912" i="5"/>
  <c r="F2917" i="5"/>
  <c r="F2919" i="5"/>
  <c r="F2921" i="5"/>
  <c r="F2926" i="5"/>
  <c r="F2928" i="5"/>
  <c r="F2930" i="5"/>
  <c r="F2935" i="5"/>
  <c r="F2937" i="5"/>
  <c r="F2939" i="5"/>
  <c r="F2944" i="5"/>
  <c r="F2946" i="5"/>
  <c r="F2948" i="5"/>
  <c r="F2953" i="5"/>
  <c r="F2955" i="5"/>
  <c r="F2957" i="5"/>
  <c r="F2962" i="5"/>
  <c r="F2964" i="5"/>
  <c r="F2966" i="5"/>
  <c r="F2971" i="5"/>
  <c r="F2973" i="5"/>
  <c r="F2975" i="5"/>
  <c r="F2980" i="5"/>
  <c r="F2982" i="5"/>
  <c r="F2984" i="5"/>
  <c r="F2989" i="5"/>
  <c r="F2991" i="5"/>
  <c r="F2993" i="5"/>
  <c r="F2998" i="5"/>
  <c r="F3000" i="5"/>
  <c r="F3002" i="5"/>
  <c r="F3007" i="5"/>
  <c r="F3009" i="5"/>
  <c r="F3011" i="5"/>
  <c r="F3016" i="5"/>
  <c r="F3018" i="5"/>
  <c r="F3020" i="5"/>
  <c r="F3025" i="5"/>
  <c r="F3027" i="5"/>
  <c r="F3029" i="5"/>
  <c r="F3034" i="5"/>
  <c r="F3036" i="5"/>
  <c r="F3038" i="5"/>
  <c r="F3043" i="5"/>
  <c r="F3045" i="5"/>
  <c r="F3047" i="5"/>
  <c r="F3052" i="5"/>
  <c r="F3054" i="5"/>
  <c r="F3056" i="5"/>
  <c r="F3061" i="5"/>
  <c r="F3063" i="5"/>
  <c r="F3065" i="5"/>
  <c r="F3070" i="5"/>
  <c r="F3072" i="5"/>
  <c r="F3074" i="5"/>
  <c r="F3079" i="5"/>
  <c r="F3081" i="5"/>
  <c r="F3083" i="5"/>
  <c r="F3088" i="5"/>
  <c r="F3090" i="5"/>
  <c r="F3092" i="5"/>
  <c r="F3097" i="5"/>
  <c r="F3099" i="5"/>
  <c r="F3101" i="5"/>
  <c r="F3106" i="5"/>
  <c r="F3108" i="5"/>
  <c r="F3110" i="5"/>
  <c r="F3115" i="5"/>
  <c r="F3117" i="5"/>
  <c r="F3119" i="5"/>
  <c r="F3124" i="5"/>
  <c r="F3126" i="5"/>
  <c r="F3128" i="5"/>
  <c r="F3133" i="5"/>
  <c r="F3135" i="5"/>
  <c r="F3137" i="5"/>
  <c r="F3142" i="5"/>
  <c r="F3144" i="5"/>
  <c r="F3146" i="5"/>
  <c r="F3151" i="5"/>
  <c r="F3153" i="5"/>
  <c r="F2255" i="5"/>
  <c r="F2260" i="5"/>
  <c r="F2262" i="5"/>
  <c r="F2264" i="5"/>
  <c r="F2269" i="5"/>
  <c r="F2271" i="5"/>
  <c r="F2273" i="5"/>
  <c r="F2278" i="5"/>
  <c r="F2280" i="5"/>
  <c r="F2282" i="5"/>
  <c r="F2287" i="5"/>
  <c r="F2289" i="5"/>
  <c r="F2291" i="5"/>
  <c r="F2296" i="5"/>
  <c r="F2298" i="5"/>
  <c r="F2300" i="5"/>
  <c r="F2305" i="5"/>
  <c r="F2307" i="5"/>
  <c r="F2309" i="5"/>
  <c r="F2314" i="5"/>
  <c r="F2316" i="5"/>
  <c r="F2318" i="5"/>
  <c r="F2323" i="5"/>
  <c r="F2325" i="5"/>
  <c r="F2327" i="5"/>
  <c r="F2332" i="5"/>
  <c r="F2334" i="5"/>
  <c r="F2336" i="5"/>
  <c r="F2341" i="5"/>
  <c r="F2343" i="5"/>
  <c r="F2345" i="5"/>
  <c r="F2350" i="5"/>
  <c r="F2352" i="5"/>
  <c r="F2354" i="5"/>
  <c r="F2359" i="5"/>
  <c r="F2361" i="5"/>
  <c r="F2363" i="5"/>
  <c r="F2368" i="5"/>
  <c r="F2370" i="5"/>
  <c r="F2372" i="5"/>
  <c r="F2377" i="5"/>
  <c r="F2379" i="5"/>
  <c r="F2381" i="5"/>
  <c r="F2386" i="5"/>
  <c r="F2388" i="5"/>
  <c r="F2390" i="5"/>
  <c r="F2395" i="5"/>
  <c r="F2397" i="5"/>
  <c r="F2399" i="5"/>
  <c r="F2404" i="5"/>
  <c r="F2406" i="5"/>
  <c r="F2408" i="5"/>
  <c r="F2413" i="5"/>
  <c r="F2415" i="5"/>
  <c r="F2417" i="5"/>
  <c r="F2422" i="5"/>
  <c r="F2424" i="5"/>
  <c r="F2426" i="5"/>
  <c r="F2431" i="5"/>
  <c r="F2433" i="5"/>
  <c r="F2435" i="5"/>
  <c r="F2440" i="5"/>
  <c r="F2442" i="5"/>
  <c r="F2444" i="5"/>
  <c r="F2449" i="5"/>
  <c r="F2451" i="5"/>
  <c r="F2453" i="5"/>
  <c r="F2458" i="5"/>
  <c r="F2460" i="5"/>
  <c r="F2462" i="5"/>
  <c r="F2467" i="5"/>
  <c r="F2469" i="5"/>
  <c r="F2471" i="5"/>
  <c r="F2476" i="5"/>
  <c r="F2478" i="5"/>
  <c r="F2480" i="5"/>
  <c r="F2485" i="5"/>
  <c r="F2487" i="5"/>
  <c r="F2489" i="5"/>
  <c r="F2494" i="5"/>
  <c r="F2496" i="5"/>
  <c r="F2498" i="5"/>
  <c r="F2503" i="5"/>
  <c r="F2505" i="5"/>
  <c r="F2507" i="5"/>
  <c r="F2512" i="5"/>
  <c r="F2514" i="5"/>
  <c r="F2516" i="5"/>
  <c r="F2521" i="5"/>
  <c r="F2523" i="5"/>
  <c r="F2525" i="5"/>
  <c r="F2530" i="5"/>
  <c r="F2532" i="5"/>
  <c r="F2534" i="5"/>
  <c r="F2539" i="5"/>
  <c r="F2541" i="5"/>
  <c r="F2543" i="5"/>
  <c r="F2548" i="5"/>
  <c r="F2550" i="5"/>
  <c r="F2552" i="5"/>
  <c r="F2557" i="5"/>
  <c r="F2559" i="5"/>
  <c r="F2561" i="5"/>
  <c r="F2566" i="5"/>
  <c r="F2568" i="5"/>
  <c r="F2570" i="5"/>
  <c r="F2575" i="5"/>
  <c r="F2577" i="5"/>
  <c r="F2579" i="5"/>
  <c r="F2584" i="5"/>
  <c r="F2586" i="5"/>
  <c r="F2588" i="5"/>
  <c r="F2593" i="5"/>
  <c r="F2595" i="5"/>
  <c r="F2597" i="5"/>
  <c r="F2602" i="5"/>
  <c r="F2604" i="5"/>
  <c r="F2606" i="5"/>
  <c r="F2611" i="5"/>
  <c r="F2613" i="5"/>
  <c r="F2615" i="5"/>
  <c r="F2620" i="5"/>
  <c r="F2622" i="5"/>
  <c r="F2624" i="5"/>
  <c r="F2629" i="5"/>
  <c r="F2631" i="5"/>
  <c r="F2633" i="5"/>
  <c r="F2638" i="5"/>
  <c r="F2640" i="5"/>
  <c r="F2642" i="5"/>
  <c r="F2647" i="5"/>
  <c r="F2649" i="5"/>
  <c r="F2651" i="5"/>
  <c r="F2656" i="5"/>
  <c r="F2658" i="5"/>
  <c r="F2660" i="5"/>
  <c r="F2665" i="5"/>
  <c r="F2667" i="5"/>
  <c r="F2669" i="5"/>
  <c r="F2674" i="5"/>
  <c r="F2676" i="5"/>
  <c r="F2678" i="5"/>
  <c r="F2683" i="5"/>
  <c r="F2685" i="5"/>
  <c r="F2687" i="5"/>
  <c r="F2692" i="5"/>
  <c r="F2694" i="5"/>
  <c r="F2696" i="5"/>
  <c r="F2701" i="5"/>
  <c r="F2703" i="5"/>
  <c r="F1805" i="5"/>
  <c r="F1810" i="5"/>
  <c r="F1812" i="5"/>
  <c r="F1814" i="5"/>
  <c r="F1819" i="5"/>
  <c r="F1821" i="5"/>
  <c r="F1823" i="5"/>
  <c r="F1828" i="5"/>
  <c r="F1830" i="5"/>
  <c r="F1832" i="5"/>
  <c r="F1837" i="5"/>
  <c r="F1839" i="5"/>
  <c r="F1841" i="5"/>
  <c r="F1846" i="5"/>
  <c r="F1848" i="5"/>
  <c r="F1850" i="5"/>
  <c r="F1855" i="5"/>
  <c r="F1857" i="5"/>
  <c r="F1859" i="5"/>
  <c r="F1864" i="5"/>
  <c r="F1866" i="5"/>
  <c r="F1868" i="5"/>
  <c r="F1873" i="5"/>
  <c r="F1875" i="5"/>
  <c r="F1877" i="5"/>
  <c r="F1882" i="5"/>
  <c r="F1884" i="5"/>
  <c r="F1886" i="5"/>
  <c r="F1891" i="5"/>
  <c r="F1893" i="5"/>
  <c r="F1895" i="5"/>
  <c r="F1900" i="5"/>
  <c r="F1902" i="5"/>
  <c r="F1904" i="5"/>
  <c r="F1909" i="5"/>
  <c r="F1911" i="5"/>
  <c r="F1913" i="5"/>
  <c r="F1918" i="5"/>
  <c r="F1920" i="5"/>
  <c r="F1922" i="5"/>
  <c r="F1927" i="5"/>
  <c r="F1929" i="5"/>
  <c r="F1931" i="5"/>
  <c r="F1936" i="5"/>
  <c r="F1938" i="5"/>
  <c r="F1940" i="5"/>
  <c r="F1945" i="5"/>
  <c r="F1947" i="5"/>
  <c r="F1949" i="5"/>
  <c r="F1954" i="5"/>
  <c r="F1956" i="5"/>
  <c r="F1958" i="5"/>
  <c r="F1963" i="5"/>
  <c r="F1965" i="5"/>
  <c r="F1967" i="5"/>
  <c r="F1972" i="5"/>
  <c r="F1974" i="5"/>
  <c r="F1976" i="5"/>
  <c r="F1981" i="5"/>
  <c r="F1983" i="5"/>
  <c r="F1985" i="5"/>
  <c r="F1990" i="5"/>
  <c r="F1992" i="5"/>
  <c r="F1994" i="5"/>
  <c r="F1999" i="5"/>
  <c r="F2001" i="5"/>
  <c r="F2003" i="5"/>
  <c r="F2008" i="5"/>
  <c r="F2010" i="5"/>
  <c r="F2012" i="5"/>
  <c r="F2017" i="5"/>
  <c r="F2019" i="5"/>
  <c r="F2021" i="5"/>
  <c r="F2026" i="5"/>
  <c r="F2028" i="5"/>
  <c r="F2030" i="5"/>
  <c r="F2035" i="5"/>
  <c r="F2037" i="5"/>
  <c r="F2039" i="5"/>
  <c r="F2044" i="5"/>
  <c r="F2046" i="5"/>
  <c r="F2048" i="5"/>
  <c r="F2053" i="5"/>
  <c r="F2055" i="5"/>
  <c r="F2057" i="5"/>
  <c r="F2062" i="5"/>
  <c r="F2064" i="5"/>
  <c r="F2066" i="5"/>
  <c r="F2071" i="5"/>
  <c r="F2073" i="5"/>
  <c r="F2075" i="5"/>
  <c r="F2080" i="5"/>
  <c r="F2082" i="5"/>
  <c r="F2084" i="5"/>
  <c r="F2089" i="5"/>
  <c r="F2091" i="5"/>
  <c r="F2093" i="5"/>
  <c r="F2098" i="5"/>
  <c r="F2100" i="5"/>
  <c r="F2102" i="5"/>
  <c r="F2107" i="5"/>
  <c r="F2109" i="5"/>
  <c r="F2111" i="5"/>
  <c r="F2116" i="5"/>
  <c r="F2118" i="5"/>
  <c r="F2120" i="5"/>
  <c r="F2125" i="5"/>
  <c r="F2127" i="5"/>
  <c r="F2129" i="5"/>
  <c r="F2134" i="5"/>
  <c r="F2136" i="5"/>
  <c r="F2138" i="5"/>
  <c r="F2143" i="5"/>
  <c r="F2145" i="5"/>
  <c r="F2147" i="5"/>
  <c r="F2152" i="5"/>
  <c r="F2154" i="5"/>
  <c r="F2156" i="5"/>
  <c r="F2161" i="5"/>
  <c r="F2163" i="5"/>
  <c r="F2165" i="5"/>
  <c r="F2170" i="5"/>
  <c r="F2172" i="5"/>
  <c r="F2174" i="5"/>
  <c r="F2179" i="5"/>
  <c r="F2181" i="5"/>
  <c r="F2183" i="5"/>
  <c r="F2188" i="5"/>
  <c r="F2190" i="5"/>
  <c r="F2192" i="5"/>
  <c r="F2197" i="5"/>
  <c r="F2199" i="5"/>
  <c r="F2201" i="5"/>
  <c r="F2206" i="5"/>
  <c r="F2208" i="5"/>
  <c r="F2210" i="5"/>
  <c r="F2215" i="5"/>
  <c r="F2217" i="5"/>
  <c r="F2219" i="5"/>
  <c r="F2224" i="5"/>
  <c r="F2226" i="5"/>
  <c r="F2228" i="5"/>
  <c r="F2233" i="5"/>
  <c r="F2235" i="5"/>
  <c r="F2237" i="5"/>
  <c r="F2242" i="5"/>
  <c r="F2244" i="5"/>
  <c r="F2246" i="5"/>
  <c r="F2251" i="5"/>
  <c r="F2253" i="5"/>
  <c r="F1355" i="5"/>
  <c r="F1360" i="5"/>
  <c r="F1362" i="5"/>
  <c r="F1364" i="5"/>
  <c r="F1369" i="5"/>
  <c r="F1371" i="5"/>
  <c r="F1373" i="5"/>
  <c r="F1378" i="5"/>
  <c r="F1380" i="5"/>
  <c r="F1382" i="5"/>
  <c r="F1387" i="5"/>
  <c r="F1389" i="5"/>
  <c r="F1391" i="5"/>
  <c r="F1396" i="5"/>
  <c r="F1398" i="5"/>
  <c r="F1400" i="5"/>
  <c r="F1405" i="5"/>
  <c r="F1407" i="5"/>
  <c r="F1409" i="5"/>
  <c r="F1414" i="5"/>
  <c r="F1416" i="5"/>
  <c r="F1418" i="5"/>
  <c r="F1423" i="5"/>
  <c r="F1425" i="5"/>
  <c r="F1427" i="5"/>
  <c r="F1432" i="5"/>
  <c r="F1434" i="5"/>
  <c r="F1436" i="5"/>
  <c r="F1441" i="5"/>
  <c r="F1443" i="5"/>
  <c r="F1445" i="5"/>
  <c r="F1450" i="5"/>
  <c r="F1452" i="5"/>
  <c r="F1454" i="5"/>
  <c r="F1459" i="5"/>
  <c r="F1461" i="5"/>
  <c r="F1463" i="5"/>
  <c r="F1468" i="5"/>
  <c r="F1470" i="5"/>
  <c r="F1472" i="5"/>
  <c r="F1477" i="5"/>
  <c r="F1479" i="5"/>
  <c r="F1481" i="5"/>
  <c r="F1486" i="5"/>
  <c r="F1488" i="5"/>
  <c r="F1490" i="5"/>
  <c r="F1495" i="5"/>
  <c r="F1497" i="5"/>
  <c r="F1499" i="5"/>
  <c r="F1504" i="5"/>
  <c r="F1506" i="5"/>
  <c r="F1508" i="5"/>
  <c r="F1513" i="5"/>
  <c r="F1515" i="5"/>
  <c r="F1517" i="5"/>
  <c r="F1522" i="5"/>
  <c r="F1524" i="5"/>
  <c r="F1526" i="5"/>
  <c r="F1531" i="5"/>
  <c r="F1533" i="5"/>
  <c r="F1535" i="5"/>
  <c r="F1540" i="5"/>
  <c r="F1542" i="5"/>
  <c r="F1544" i="5"/>
  <c r="F1549" i="5"/>
  <c r="F1551" i="5"/>
  <c r="F1553" i="5"/>
  <c r="F1558" i="5"/>
  <c r="F1560" i="5"/>
  <c r="F1562" i="5"/>
  <c r="F1567" i="5"/>
  <c r="F1569" i="5"/>
  <c r="F1571" i="5"/>
  <c r="F1576" i="5"/>
  <c r="F1578" i="5"/>
  <c r="F1580" i="5"/>
  <c r="F1585" i="5"/>
  <c r="F1587" i="5"/>
  <c r="F1589" i="5"/>
  <c r="F1594" i="5"/>
  <c r="F1596" i="5"/>
  <c r="F1598" i="5"/>
  <c r="F1603" i="5"/>
  <c r="F1605" i="5"/>
  <c r="F1607" i="5"/>
  <c r="F1612" i="5"/>
  <c r="F1614" i="5"/>
  <c r="F1616" i="5"/>
  <c r="F1621" i="5"/>
  <c r="F1623" i="5"/>
  <c r="F1625" i="5"/>
  <c r="F1630" i="5"/>
  <c r="F1632" i="5"/>
  <c r="F1634" i="5"/>
  <c r="F1639" i="5"/>
  <c r="F1641" i="5"/>
  <c r="F1643" i="5"/>
  <c r="F1648" i="5"/>
  <c r="F1650" i="5"/>
  <c r="F1652" i="5"/>
  <c r="F1657" i="5"/>
  <c r="F1659" i="5"/>
  <c r="F1661" i="5"/>
  <c r="F1666" i="5"/>
  <c r="F1668" i="5"/>
  <c r="F1670" i="5"/>
  <c r="F1675" i="5"/>
  <c r="F1677" i="5"/>
  <c r="F1679" i="5"/>
  <c r="F1684" i="5"/>
  <c r="F1686" i="5"/>
  <c r="F1688" i="5"/>
  <c r="F1693" i="5"/>
  <c r="F1695" i="5"/>
  <c r="F1697" i="5"/>
  <c r="F1702" i="5"/>
  <c r="F1704" i="5"/>
  <c r="F1706" i="5"/>
  <c r="F1711" i="5"/>
  <c r="F1713" i="5"/>
  <c r="F1715" i="5"/>
  <c r="F1720" i="5"/>
  <c r="F1722" i="5"/>
  <c r="F1724" i="5"/>
  <c r="F1729" i="5"/>
  <c r="F1731" i="5"/>
  <c r="F1733" i="5"/>
  <c r="F1738" i="5"/>
  <c r="F1740" i="5"/>
  <c r="F1742" i="5"/>
  <c r="F1747" i="5"/>
  <c r="F1749" i="5"/>
  <c r="F1751" i="5"/>
  <c r="F1756" i="5"/>
  <c r="F1758" i="5"/>
  <c r="F1760" i="5"/>
  <c r="F1765" i="5"/>
  <c r="F1767" i="5"/>
  <c r="F1769" i="5"/>
  <c r="F1774" i="5"/>
  <c r="F1776" i="5"/>
  <c r="F1778" i="5"/>
  <c r="F1783" i="5"/>
  <c r="F1785" i="5"/>
  <c r="F1787" i="5"/>
  <c r="F1792" i="5"/>
  <c r="F1794" i="5"/>
  <c r="F1796" i="5"/>
  <c r="F1801" i="5"/>
  <c r="F1803" i="5"/>
  <c r="F905" i="5"/>
  <c r="F910" i="5"/>
  <c r="F912" i="5"/>
  <c r="F914" i="5"/>
  <c r="F919" i="5"/>
  <c r="F921" i="5"/>
  <c r="F923" i="5"/>
  <c r="F928" i="5"/>
  <c r="F930" i="5"/>
  <c r="F932" i="5"/>
  <c r="F937" i="5"/>
  <c r="F939" i="5"/>
  <c r="F941" i="5"/>
  <c r="F946" i="5"/>
  <c r="F948" i="5"/>
  <c r="F950" i="5"/>
  <c r="F955" i="5"/>
  <c r="F957" i="5"/>
  <c r="F959" i="5"/>
  <c r="F964" i="5"/>
  <c r="F966" i="5"/>
  <c r="F968" i="5"/>
  <c r="F973" i="5"/>
  <c r="F975" i="5"/>
  <c r="F977" i="5"/>
  <c r="F982" i="5"/>
  <c r="F984" i="5"/>
  <c r="F986" i="5"/>
  <c r="F991" i="5"/>
  <c r="F993" i="5"/>
  <c r="F995" i="5"/>
  <c r="F1000" i="5"/>
  <c r="F1002" i="5"/>
  <c r="F1004" i="5"/>
  <c r="F1009" i="5"/>
  <c r="F1011" i="5"/>
  <c r="F1013" i="5"/>
  <c r="F1018" i="5"/>
  <c r="F1020" i="5"/>
  <c r="F1022" i="5"/>
  <c r="F1027" i="5"/>
  <c r="F1029" i="5"/>
  <c r="F1031" i="5"/>
  <c r="F1036" i="5"/>
  <c r="F1038" i="5"/>
  <c r="F1040" i="5"/>
  <c r="F1045" i="5"/>
  <c r="F1047" i="5"/>
  <c r="F1049" i="5"/>
  <c r="F1054" i="5"/>
  <c r="F1056" i="5"/>
  <c r="F1058" i="5"/>
  <c r="F1063" i="5"/>
  <c r="F1065" i="5"/>
  <c r="F1067" i="5"/>
  <c r="F1072" i="5"/>
  <c r="F1074" i="5"/>
  <c r="F1076" i="5"/>
  <c r="F1081" i="5"/>
  <c r="F1083" i="5"/>
  <c r="F1085" i="5"/>
  <c r="F1090" i="5"/>
  <c r="F1092" i="5"/>
  <c r="F1094" i="5"/>
  <c r="F1099" i="5"/>
  <c r="F1101" i="5"/>
  <c r="F1103" i="5"/>
  <c r="F1108" i="5"/>
  <c r="F1110" i="5"/>
  <c r="F1112" i="5"/>
  <c r="F1117" i="5"/>
  <c r="F1119" i="5"/>
  <c r="F1121" i="5"/>
  <c r="F1126" i="5"/>
  <c r="F1128" i="5"/>
  <c r="F1130" i="5"/>
  <c r="F1135" i="5"/>
  <c r="F1137" i="5"/>
  <c r="F1139" i="5"/>
  <c r="F1144" i="5"/>
  <c r="F1146" i="5"/>
  <c r="F1148" i="5"/>
  <c r="F1153" i="5"/>
  <c r="F1155" i="5"/>
  <c r="F1157" i="5"/>
  <c r="F1162" i="5"/>
  <c r="F1164" i="5"/>
  <c r="F1166" i="5"/>
  <c r="F1171" i="5"/>
  <c r="F1173" i="5"/>
  <c r="F1175" i="5"/>
  <c r="F1180" i="5"/>
  <c r="F1182" i="5"/>
  <c r="F1184" i="5"/>
  <c r="F1189" i="5"/>
  <c r="F1191" i="5"/>
  <c r="F1193" i="5"/>
  <c r="F1198" i="5"/>
  <c r="F1200" i="5"/>
  <c r="F1202" i="5"/>
  <c r="F1207" i="5"/>
  <c r="F1209" i="5"/>
  <c r="F1211" i="5"/>
  <c r="F1216" i="5"/>
  <c r="F1218" i="5"/>
  <c r="F1220" i="5"/>
  <c r="F1225" i="5"/>
  <c r="F1227" i="5"/>
  <c r="F1229" i="5"/>
  <c r="F1234" i="5"/>
  <c r="F1236" i="5"/>
  <c r="F1238" i="5"/>
  <c r="F1243" i="5"/>
  <c r="F1245" i="5"/>
  <c r="F1247" i="5"/>
  <c r="F1252" i="5"/>
  <c r="F1254" i="5"/>
  <c r="F1256" i="5"/>
  <c r="F1261" i="5"/>
  <c r="F1263" i="5"/>
  <c r="F1265" i="5"/>
  <c r="F1270" i="5"/>
  <c r="F1272" i="5"/>
  <c r="F1274" i="5"/>
  <c r="F1279" i="5"/>
  <c r="F1281" i="5"/>
  <c r="F1283" i="5"/>
  <c r="F1288" i="5"/>
  <c r="F1290" i="5"/>
  <c r="F1292" i="5"/>
  <c r="F1297" i="5"/>
  <c r="F1299" i="5"/>
  <c r="F1301" i="5"/>
  <c r="F1306" i="5"/>
  <c r="F1308" i="5"/>
  <c r="F1310" i="5"/>
  <c r="F1315" i="5"/>
  <c r="F1317" i="5"/>
  <c r="F1319" i="5"/>
  <c r="F1324" i="5"/>
  <c r="F1326" i="5"/>
  <c r="F1328" i="5"/>
  <c r="F1333" i="5"/>
  <c r="F1335" i="5"/>
  <c r="F1337" i="5"/>
  <c r="F1342" i="5"/>
  <c r="F1344" i="5"/>
  <c r="F1346" i="5"/>
  <c r="F1351" i="5"/>
  <c r="F1353" i="5"/>
  <c r="F455" i="5"/>
  <c r="F460" i="5"/>
  <c r="F462" i="5"/>
  <c r="F464" i="5"/>
  <c r="F469" i="5"/>
  <c r="F471" i="5"/>
  <c r="F473" i="5"/>
  <c r="F478" i="5"/>
  <c r="F480" i="5"/>
  <c r="F482" i="5"/>
  <c r="F487" i="5"/>
  <c r="F489" i="5"/>
  <c r="F491" i="5"/>
  <c r="F496" i="5"/>
  <c r="F498" i="5"/>
  <c r="F500" i="5"/>
  <c r="F505" i="5"/>
  <c r="F507" i="5"/>
  <c r="F509" i="5"/>
  <c r="F514" i="5"/>
  <c r="F516" i="5"/>
  <c r="F518" i="5"/>
  <c r="F523" i="5"/>
  <c r="F525" i="5"/>
  <c r="F527" i="5"/>
  <c r="F532" i="5"/>
  <c r="F534" i="5"/>
  <c r="F536" i="5"/>
  <c r="F541" i="5"/>
  <c r="F543" i="5"/>
  <c r="F545" i="5"/>
  <c r="F550" i="5"/>
  <c r="F552" i="5"/>
  <c r="F554" i="5"/>
  <c r="F559" i="5"/>
  <c r="F561" i="5"/>
  <c r="F563" i="5"/>
  <c r="F568" i="5"/>
  <c r="F570" i="5"/>
  <c r="F572" i="5"/>
  <c r="F577" i="5"/>
  <c r="F579" i="5"/>
  <c r="F581" i="5"/>
  <c r="F586" i="5"/>
  <c r="F588" i="5"/>
  <c r="F590" i="5"/>
  <c r="F595" i="5"/>
  <c r="F597" i="5"/>
  <c r="F599" i="5"/>
  <c r="F604" i="5"/>
  <c r="F606" i="5"/>
  <c r="F608" i="5"/>
  <c r="F613" i="5"/>
  <c r="F615" i="5"/>
  <c r="F617" i="5"/>
  <c r="F622" i="5"/>
  <c r="F624" i="5"/>
  <c r="F626" i="5"/>
  <c r="F631" i="5"/>
  <c r="F633" i="5"/>
  <c r="F635" i="5"/>
  <c r="F640" i="5"/>
  <c r="F642" i="5"/>
  <c r="F644" i="5"/>
  <c r="F649" i="5"/>
  <c r="F651" i="5"/>
  <c r="F653" i="5"/>
  <c r="F658" i="5"/>
  <c r="F660" i="5"/>
  <c r="F662" i="5"/>
  <c r="F667" i="5"/>
  <c r="F669" i="5"/>
  <c r="F671" i="5"/>
  <c r="F676" i="5"/>
  <c r="F678" i="5"/>
  <c r="F680" i="5"/>
  <c r="F685" i="5"/>
  <c r="F687" i="5"/>
  <c r="F689" i="5"/>
  <c r="F694" i="5"/>
  <c r="F696" i="5"/>
  <c r="F698" i="5"/>
  <c r="F703" i="5"/>
  <c r="F705" i="5"/>
  <c r="F707" i="5"/>
  <c r="F712" i="5"/>
  <c r="F714" i="5"/>
  <c r="F716" i="5"/>
  <c r="F721" i="5"/>
  <c r="F723" i="5"/>
  <c r="F725" i="5"/>
  <c r="F730" i="5"/>
  <c r="F732" i="5"/>
  <c r="F734" i="5"/>
  <c r="F739" i="5"/>
  <c r="F741" i="5"/>
  <c r="F743" i="5"/>
  <c r="F748" i="5"/>
  <c r="F750" i="5"/>
  <c r="F752" i="5"/>
  <c r="F757" i="5"/>
  <c r="F759" i="5"/>
  <c r="F761" i="5"/>
  <c r="F766" i="5"/>
  <c r="F768" i="5"/>
  <c r="F770" i="5"/>
  <c r="F775" i="5"/>
  <c r="F777" i="5"/>
  <c r="F779" i="5"/>
  <c r="F784" i="5"/>
  <c r="F786" i="5"/>
  <c r="F788" i="5"/>
  <c r="F793" i="5"/>
  <c r="F795" i="5"/>
  <c r="F797" i="5"/>
  <c r="F802" i="5"/>
  <c r="F804" i="5"/>
  <c r="F806" i="5"/>
  <c r="F811" i="5"/>
  <c r="F813" i="5"/>
  <c r="F815" i="5"/>
  <c r="F820" i="5"/>
  <c r="F822" i="5"/>
  <c r="F824" i="5"/>
  <c r="F829" i="5"/>
  <c r="F831" i="5"/>
  <c r="F833" i="5"/>
  <c r="F838" i="5"/>
  <c r="F840" i="5"/>
  <c r="F842" i="5"/>
  <c r="F847" i="5"/>
  <c r="F849" i="5"/>
  <c r="F851" i="5"/>
  <c r="F856" i="5"/>
  <c r="F858" i="5"/>
  <c r="F860" i="5"/>
  <c r="F865" i="5"/>
  <c r="F867" i="5"/>
  <c r="F869" i="5"/>
  <c r="F874" i="5"/>
  <c r="F876" i="5"/>
  <c r="F878" i="5"/>
  <c r="F883" i="5"/>
  <c r="F885" i="5"/>
  <c r="F887" i="5"/>
  <c r="F892" i="5"/>
  <c r="F894" i="5"/>
  <c r="F896" i="5"/>
  <c r="F901" i="5"/>
  <c r="F903" i="5"/>
  <c r="F5" i="5"/>
  <c r="F10" i="5"/>
  <c r="F12" i="5"/>
  <c r="F14" i="5"/>
  <c r="F19" i="5"/>
  <c r="F21" i="5"/>
  <c r="F23" i="5"/>
  <c r="F28" i="5"/>
  <c r="F30" i="5"/>
  <c r="F32" i="5"/>
  <c r="F37" i="5"/>
  <c r="F39" i="5"/>
  <c r="F41" i="5"/>
  <c r="F46" i="5"/>
  <c r="F48" i="5"/>
  <c r="F50" i="5"/>
  <c r="F55" i="5"/>
  <c r="F57" i="5"/>
  <c r="F59" i="5"/>
  <c r="F64" i="5"/>
  <c r="F66" i="5"/>
  <c r="F68" i="5"/>
  <c r="F73" i="5"/>
  <c r="F75" i="5"/>
  <c r="F77" i="5"/>
  <c r="F82" i="5"/>
  <c r="F84" i="5"/>
  <c r="F86" i="5"/>
  <c r="F91" i="5"/>
  <c r="F93" i="5"/>
  <c r="F95" i="5"/>
  <c r="F100" i="5"/>
  <c r="F102" i="5"/>
  <c r="F104" i="5"/>
  <c r="F109" i="5"/>
  <c r="F111" i="5"/>
  <c r="F113" i="5"/>
  <c r="F118" i="5"/>
  <c r="F120" i="5"/>
  <c r="F122" i="5"/>
  <c r="F127" i="5"/>
  <c r="F129" i="5"/>
  <c r="F131" i="5"/>
  <c r="F136" i="5"/>
  <c r="F138" i="5"/>
  <c r="F140" i="5"/>
  <c r="F145" i="5"/>
  <c r="F147" i="5"/>
  <c r="F149" i="5"/>
  <c r="F154" i="5"/>
  <c r="F156" i="5"/>
  <c r="F158" i="5"/>
  <c r="F163" i="5"/>
  <c r="F165" i="5"/>
  <c r="F167" i="5"/>
  <c r="F172" i="5"/>
  <c r="F174" i="5"/>
  <c r="F176" i="5"/>
  <c r="F181" i="5"/>
  <c r="F183" i="5"/>
  <c r="F185" i="5"/>
  <c r="F190" i="5"/>
  <c r="F192" i="5"/>
  <c r="F194" i="5"/>
  <c r="F199" i="5"/>
  <c r="F201" i="5"/>
  <c r="F203" i="5"/>
  <c r="F208" i="5"/>
  <c r="F210" i="5"/>
  <c r="F212" i="5"/>
  <c r="F217" i="5"/>
  <c r="F219" i="5"/>
  <c r="F221" i="5"/>
  <c r="F226" i="5"/>
  <c r="F228" i="5"/>
  <c r="F230" i="5"/>
  <c r="F235" i="5"/>
  <c r="F237" i="5"/>
  <c r="F239" i="5"/>
  <c r="F244" i="5"/>
  <c r="F246" i="5"/>
  <c r="F248" i="5"/>
  <c r="F253" i="5"/>
  <c r="F255" i="5"/>
  <c r="F257" i="5"/>
  <c r="F262" i="5"/>
  <c r="F264" i="5"/>
  <c r="F266" i="5"/>
  <c r="F271" i="5"/>
  <c r="F273" i="5"/>
  <c r="F275" i="5"/>
  <c r="F280" i="5"/>
  <c r="F282" i="5"/>
  <c r="F284" i="5"/>
  <c r="F289" i="5"/>
  <c r="F291" i="5"/>
  <c r="F293" i="5"/>
  <c r="F298" i="5"/>
  <c r="F300" i="5"/>
  <c r="F302" i="5"/>
  <c r="F307" i="5"/>
  <c r="F309" i="5"/>
  <c r="F311" i="5"/>
  <c r="F316" i="5"/>
  <c r="F318" i="5"/>
  <c r="F320" i="5"/>
  <c r="F325" i="5"/>
  <c r="F327" i="5"/>
  <c r="F329" i="5"/>
  <c r="F334" i="5"/>
  <c r="F336" i="5"/>
  <c r="F338" i="5"/>
  <c r="F343" i="5"/>
  <c r="F345" i="5"/>
  <c r="F347" i="5"/>
  <c r="F352" i="5"/>
  <c r="F354" i="5"/>
  <c r="F356" i="5"/>
  <c r="F361" i="5"/>
  <c r="F363" i="5"/>
  <c r="F365" i="5"/>
  <c r="F370" i="5"/>
  <c r="F372" i="5"/>
  <c r="F374" i="5"/>
  <c r="F379" i="5"/>
  <c r="F381" i="5"/>
  <c r="F383" i="5"/>
  <c r="F388" i="5"/>
  <c r="F390" i="5"/>
  <c r="F392" i="5"/>
  <c r="F397" i="5"/>
  <c r="F399" i="5"/>
  <c r="F401" i="5"/>
  <c r="F406" i="5"/>
  <c r="F408" i="5"/>
  <c r="F410" i="5"/>
  <c r="F415" i="5"/>
  <c r="F417" i="5"/>
  <c r="F419" i="5"/>
  <c r="F424" i="5"/>
  <c r="F426" i="5"/>
  <c r="F428" i="5"/>
  <c r="F433" i="5"/>
  <c r="F435" i="5"/>
  <c r="F437" i="5"/>
  <c r="F442" i="5"/>
  <c r="F444" i="5"/>
  <c r="F446" i="5"/>
  <c r="F451" i="5"/>
  <c r="F453" i="5"/>
  <c r="E4057" i="5"/>
  <c r="E4061" i="5"/>
  <c r="E4063" i="5"/>
  <c r="E4066" i="5"/>
  <c r="E4070" i="5"/>
  <c r="E4072" i="5"/>
  <c r="E4075" i="5"/>
  <c r="E4079" i="5"/>
  <c r="E4081" i="5"/>
  <c r="E4084" i="5"/>
  <c r="E4088" i="5"/>
  <c r="E4090" i="5"/>
  <c r="E4093" i="5"/>
  <c r="E4097" i="5"/>
  <c r="E4099" i="5"/>
  <c r="E4102" i="5"/>
  <c r="E4106" i="5"/>
  <c r="E4108" i="5"/>
  <c r="E4111" i="5"/>
  <c r="E4115" i="5"/>
  <c r="E4117" i="5"/>
  <c r="E4120" i="5"/>
  <c r="E4124" i="5"/>
  <c r="E4126" i="5"/>
  <c r="E4129" i="5"/>
  <c r="E4133" i="5"/>
  <c r="E4135" i="5"/>
  <c r="E4138" i="5"/>
  <c r="E4142" i="5"/>
  <c r="E4144" i="5"/>
  <c r="E4147" i="5"/>
  <c r="E4151" i="5"/>
  <c r="E4153" i="5"/>
  <c r="E4156" i="5"/>
  <c r="E4160" i="5"/>
  <c r="E4162" i="5"/>
  <c r="E4165" i="5"/>
  <c r="E4169" i="5"/>
  <c r="E4171" i="5"/>
  <c r="E4174" i="5"/>
  <c r="E4178" i="5"/>
  <c r="E4180" i="5"/>
  <c r="E4183" i="5"/>
  <c r="E4187" i="5"/>
  <c r="E4189" i="5"/>
  <c r="E4192" i="5"/>
  <c r="E4196" i="5"/>
  <c r="E4198" i="5"/>
  <c r="E4201" i="5"/>
  <c r="E4205" i="5"/>
  <c r="E4207" i="5"/>
  <c r="E4210" i="5"/>
  <c r="E4214" i="5"/>
  <c r="E4216" i="5"/>
  <c r="E4219" i="5"/>
  <c r="E4223" i="5"/>
  <c r="E4225" i="5"/>
  <c r="E4228" i="5"/>
  <c r="E4232" i="5"/>
  <c r="E4234" i="5"/>
  <c r="E4237" i="5"/>
  <c r="E4241" i="5"/>
  <c r="E4243" i="5"/>
  <c r="E4246" i="5"/>
  <c r="E4250" i="5"/>
  <c r="E4252" i="5"/>
  <c r="E4255" i="5"/>
  <c r="E4259" i="5"/>
  <c r="E4261" i="5"/>
  <c r="E4264" i="5"/>
  <c r="E4268" i="5"/>
  <c r="E4270" i="5"/>
  <c r="E4273" i="5"/>
  <c r="E4277" i="5"/>
  <c r="E4279" i="5"/>
  <c r="E4282" i="5"/>
  <c r="E4286" i="5"/>
  <c r="E4288" i="5"/>
  <c r="E4291" i="5"/>
  <c r="E4295" i="5"/>
  <c r="E4297" i="5"/>
  <c r="E4300" i="5"/>
  <c r="E4304" i="5"/>
  <c r="E4306" i="5"/>
  <c r="E4309" i="5"/>
  <c r="E4313" i="5"/>
  <c r="E4315" i="5"/>
  <c r="E4318" i="5"/>
  <c r="E4322" i="5"/>
  <c r="E4324" i="5"/>
  <c r="E4327" i="5"/>
  <c r="E4331" i="5"/>
  <c r="E4333" i="5"/>
  <c r="E4336" i="5"/>
  <c r="E4340" i="5"/>
  <c r="E4342" i="5"/>
  <c r="E4345" i="5"/>
  <c r="E4349" i="5"/>
  <c r="E4351" i="5"/>
  <c r="E4354" i="5"/>
  <c r="E4358" i="5"/>
  <c r="E4360" i="5"/>
  <c r="E4363" i="5"/>
  <c r="E4367" i="5"/>
  <c r="E4369" i="5"/>
  <c r="E4372" i="5"/>
  <c r="E4376" i="5"/>
  <c r="E4378" i="5"/>
  <c r="E4381" i="5"/>
  <c r="E4385" i="5"/>
  <c r="E4387" i="5"/>
  <c r="E4390" i="5"/>
  <c r="E4394" i="5"/>
  <c r="E4396" i="5"/>
  <c r="E4399" i="5"/>
  <c r="E4403" i="5"/>
  <c r="E4405" i="5"/>
  <c r="E4408" i="5"/>
  <c r="E4412" i="5"/>
  <c r="E4414" i="5"/>
  <c r="E4417" i="5"/>
  <c r="E4421" i="5"/>
  <c r="E4423" i="5"/>
  <c r="E4426" i="5"/>
  <c r="E4430" i="5"/>
  <c r="E4432" i="5"/>
  <c r="E4435" i="5"/>
  <c r="E4439" i="5"/>
  <c r="E4441" i="5"/>
  <c r="E4444" i="5"/>
  <c r="E4448" i="5"/>
  <c r="E4450" i="5"/>
  <c r="E4453" i="5"/>
  <c r="E4457" i="5"/>
  <c r="E4459" i="5"/>
  <c r="E4462" i="5"/>
  <c r="E4466" i="5"/>
  <c r="E4468" i="5"/>
  <c r="E4471" i="5"/>
  <c r="E4475" i="5"/>
  <c r="E4477" i="5"/>
  <c r="E4480" i="5"/>
  <c r="E4484" i="5"/>
  <c r="E4486" i="5"/>
  <c r="E4489" i="5"/>
  <c r="E4493" i="5"/>
  <c r="E4495" i="5"/>
  <c r="E4498" i="5"/>
  <c r="E4502" i="5"/>
  <c r="E4504" i="5"/>
  <c r="E3607" i="5"/>
  <c r="E3611" i="5"/>
  <c r="E3613" i="5"/>
  <c r="E3616" i="5"/>
  <c r="E3620" i="5"/>
  <c r="E3622" i="5"/>
  <c r="E3625" i="5"/>
  <c r="E3629" i="5"/>
  <c r="E3631" i="5"/>
  <c r="E3634" i="5"/>
  <c r="E3638" i="5"/>
  <c r="E3640" i="5"/>
  <c r="E3643" i="5"/>
  <c r="E3647" i="5"/>
  <c r="E3649" i="5"/>
  <c r="E3652" i="5"/>
  <c r="E3656" i="5"/>
  <c r="E3658" i="5"/>
  <c r="E3661" i="5"/>
  <c r="E3665" i="5"/>
  <c r="E3667" i="5"/>
  <c r="E3670" i="5"/>
  <c r="E3674" i="5"/>
  <c r="E3676" i="5"/>
  <c r="E3679" i="5"/>
  <c r="E3683" i="5"/>
  <c r="E3685" i="5"/>
  <c r="E3688" i="5"/>
  <c r="E3692" i="5"/>
  <c r="E3694" i="5"/>
  <c r="E3697" i="5"/>
  <c r="E3701" i="5"/>
  <c r="E3703" i="5"/>
  <c r="E3706" i="5"/>
  <c r="E3710" i="5"/>
  <c r="E3712" i="5"/>
  <c r="E3715" i="5"/>
  <c r="E3719" i="5"/>
  <c r="E3721" i="5"/>
  <c r="E3724" i="5"/>
  <c r="E3728" i="5"/>
  <c r="E3730" i="5"/>
  <c r="E3733" i="5"/>
  <c r="E3737" i="5"/>
  <c r="E3739" i="5"/>
  <c r="E3742" i="5"/>
  <c r="E3746" i="5"/>
  <c r="E3748" i="5"/>
  <c r="E3751" i="5"/>
  <c r="E3755" i="5"/>
  <c r="E3757" i="5"/>
  <c r="E3760" i="5"/>
  <c r="E3764" i="5"/>
  <c r="E3766" i="5"/>
  <c r="E3769" i="5"/>
  <c r="E3773" i="5"/>
  <c r="E3775" i="5"/>
  <c r="E3778" i="5"/>
  <c r="E3782" i="5"/>
  <c r="E3784" i="5"/>
  <c r="E3787" i="5"/>
  <c r="E3791" i="5"/>
  <c r="E3793" i="5"/>
  <c r="E3796" i="5"/>
  <c r="E3800" i="5"/>
  <c r="E3802" i="5"/>
  <c r="E3805" i="5"/>
  <c r="E3809" i="5"/>
  <c r="E3811" i="5"/>
  <c r="E3814" i="5"/>
  <c r="E3818" i="5"/>
  <c r="E3820" i="5"/>
  <c r="E3823" i="5"/>
  <c r="E3827" i="5"/>
  <c r="E3829" i="5"/>
  <c r="E3832" i="5"/>
  <c r="E3836" i="5"/>
  <c r="E3838" i="5"/>
  <c r="E3841" i="5"/>
  <c r="E3845" i="5"/>
  <c r="E3847" i="5"/>
  <c r="E3850" i="5"/>
  <c r="E3854" i="5"/>
  <c r="E3856" i="5"/>
  <c r="E3859" i="5"/>
  <c r="E3863" i="5"/>
  <c r="E3865" i="5"/>
  <c r="E3868" i="5"/>
  <c r="E3872" i="5"/>
  <c r="E3874" i="5"/>
  <c r="E3877" i="5"/>
  <c r="E3881" i="5"/>
  <c r="E3883" i="5"/>
  <c r="E3886" i="5"/>
  <c r="E3890" i="5"/>
  <c r="E3892" i="5"/>
  <c r="E3895" i="5"/>
  <c r="E3899" i="5"/>
  <c r="E3901" i="5"/>
  <c r="E3904" i="5"/>
  <c r="E3908" i="5"/>
  <c r="E3910" i="5"/>
  <c r="E3913" i="5"/>
  <c r="E3917" i="5"/>
  <c r="E3919" i="5"/>
  <c r="E3922" i="5"/>
  <c r="E3926" i="5"/>
  <c r="E3928" i="5"/>
  <c r="E3931" i="5"/>
  <c r="E3935" i="5"/>
  <c r="E3937" i="5"/>
  <c r="E3940" i="5"/>
  <c r="E3944" i="5"/>
  <c r="E3946" i="5"/>
  <c r="E3949" i="5"/>
  <c r="E3953" i="5"/>
  <c r="E3955" i="5"/>
  <c r="E3958" i="5"/>
  <c r="E3962" i="5"/>
  <c r="E3964" i="5"/>
  <c r="E3967" i="5"/>
  <c r="E3971" i="5"/>
  <c r="E3973" i="5"/>
  <c r="E3976" i="5"/>
  <c r="E3980" i="5"/>
  <c r="E3982" i="5"/>
  <c r="E3985" i="5"/>
  <c r="E3989" i="5"/>
  <c r="E3991" i="5"/>
  <c r="E3994" i="5"/>
  <c r="E3998" i="5"/>
  <c r="E4000" i="5"/>
  <c r="E4003" i="5"/>
  <c r="E4007" i="5"/>
  <c r="E4009" i="5"/>
  <c r="E4012" i="5"/>
  <c r="E4016" i="5"/>
  <c r="E4018" i="5"/>
  <c r="E4021" i="5"/>
  <c r="E4025" i="5"/>
  <c r="E4027" i="5"/>
  <c r="E4030" i="5"/>
  <c r="E4034" i="5"/>
  <c r="E4036" i="5"/>
  <c r="E4039" i="5"/>
  <c r="E4043" i="5"/>
  <c r="E4045" i="5"/>
  <c r="E4048" i="5"/>
  <c r="E4052" i="5"/>
  <c r="E4054" i="5"/>
  <c r="E3157" i="5"/>
  <c r="E3161" i="5"/>
  <c r="E3163" i="5"/>
  <c r="E3166" i="5"/>
  <c r="E3170" i="5"/>
  <c r="E3172" i="5"/>
  <c r="E3175" i="5"/>
  <c r="E3179" i="5"/>
  <c r="E3181" i="5"/>
  <c r="E3184" i="5"/>
  <c r="E3188" i="5"/>
  <c r="E3190" i="5"/>
  <c r="E3193" i="5"/>
  <c r="E3197" i="5"/>
  <c r="E3199" i="5"/>
  <c r="E3202" i="5"/>
  <c r="E3206" i="5"/>
  <c r="E3208" i="5"/>
  <c r="E3211" i="5"/>
  <c r="E3215" i="5"/>
  <c r="E3217" i="5"/>
  <c r="E3220" i="5"/>
  <c r="E3224" i="5"/>
  <c r="E3226" i="5"/>
  <c r="E3229" i="5"/>
  <c r="E3233" i="5"/>
  <c r="E3235" i="5"/>
  <c r="E3238" i="5"/>
  <c r="E3242" i="5"/>
  <c r="E3244" i="5"/>
  <c r="E3247" i="5"/>
  <c r="E3251" i="5"/>
  <c r="E3253" i="5"/>
  <c r="E3256" i="5"/>
  <c r="E3260" i="5"/>
  <c r="E3262" i="5"/>
  <c r="E3265" i="5"/>
  <c r="E3269" i="5"/>
  <c r="E3271" i="5"/>
  <c r="E3274" i="5"/>
  <c r="E3278" i="5"/>
  <c r="E3280" i="5"/>
  <c r="E3283" i="5"/>
  <c r="E3287" i="5"/>
  <c r="E3289" i="5"/>
  <c r="E3292" i="5"/>
  <c r="E3296" i="5"/>
  <c r="E3298" i="5"/>
  <c r="E3301" i="5"/>
  <c r="E3305" i="5"/>
  <c r="E3307" i="5"/>
  <c r="E3310" i="5"/>
  <c r="E3314" i="5"/>
  <c r="E3316" i="5"/>
  <c r="E3319" i="5"/>
  <c r="E3323" i="5"/>
  <c r="E3325" i="5"/>
  <c r="E3328" i="5"/>
  <c r="E3332" i="5"/>
  <c r="E3334" i="5"/>
  <c r="E3337" i="5"/>
  <c r="E3341" i="5"/>
  <c r="E3343" i="5"/>
  <c r="E3346" i="5"/>
  <c r="E3350" i="5"/>
  <c r="E3352" i="5"/>
  <c r="E3355" i="5"/>
  <c r="E3359" i="5"/>
  <c r="E3361" i="5"/>
  <c r="E3364" i="5"/>
  <c r="E3368" i="5"/>
  <c r="E3370" i="5"/>
  <c r="E3373" i="5"/>
  <c r="E3377" i="5"/>
  <c r="E3379" i="5"/>
  <c r="E3382" i="5"/>
  <c r="E3386" i="5"/>
  <c r="E3388" i="5"/>
  <c r="E3391" i="5"/>
  <c r="E3395" i="5"/>
  <c r="E3397" i="5"/>
  <c r="E3400" i="5"/>
  <c r="E3404" i="5"/>
  <c r="E3406" i="5"/>
  <c r="E3409" i="5"/>
  <c r="E3413" i="5"/>
  <c r="E3415" i="5"/>
  <c r="E3418" i="5"/>
  <c r="E3422" i="5"/>
  <c r="E3424" i="5"/>
  <c r="E3427" i="5"/>
  <c r="E3431" i="5"/>
  <c r="E3433" i="5"/>
  <c r="E3436" i="5"/>
  <c r="E3440" i="5"/>
  <c r="E3442" i="5"/>
  <c r="E3445" i="5"/>
  <c r="E3449" i="5"/>
  <c r="E3451" i="5"/>
  <c r="E3454" i="5"/>
  <c r="E3458" i="5"/>
  <c r="E3460" i="5"/>
  <c r="E3463" i="5"/>
  <c r="E3467" i="5"/>
  <c r="E3469" i="5"/>
  <c r="E3472" i="5"/>
  <c r="E3476" i="5"/>
  <c r="E3478" i="5"/>
  <c r="E3481" i="5"/>
  <c r="E3485" i="5"/>
  <c r="E3487" i="5"/>
  <c r="E3490" i="5"/>
  <c r="E3494" i="5"/>
  <c r="E3496" i="5"/>
  <c r="E3499" i="5"/>
  <c r="E3503" i="5"/>
  <c r="E3505" i="5"/>
  <c r="E3508" i="5"/>
  <c r="E3512" i="5"/>
  <c r="E3514" i="5"/>
  <c r="E3517" i="5"/>
  <c r="E3521" i="5"/>
  <c r="E3523" i="5"/>
  <c r="E3526" i="5"/>
  <c r="E3530" i="5"/>
  <c r="E3532" i="5"/>
  <c r="E3535" i="5"/>
  <c r="E3539" i="5"/>
  <c r="E3541" i="5"/>
  <c r="E3544" i="5"/>
  <c r="E3548" i="5"/>
  <c r="E3550" i="5"/>
  <c r="E3553" i="5"/>
  <c r="E3557" i="5"/>
  <c r="E3559" i="5"/>
  <c r="E3562" i="5"/>
  <c r="E3566" i="5"/>
  <c r="E3568" i="5"/>
  <c r="E3571" i="5"/>
  <c r="E3575" i="5"/>
  <c r="E3577" i="5"/>
  <c r="E3580" i="5"/>
  <c r="E3584" i="5"/>
  <c r="E3586" i="5"/>
  <c r="E3589" i="5"/>
  <c r="E3593" i="5"/>
  <c r="E3595" i="5"/>
  <c r="E3598" i="5"/>
  <c r="E3602" i="5"/>
  <c r="E3604" i="5"/>
  <c r="E2707" i="5"/>
  <c r="E2711" i="5"/>
  <c r="E2713" i="5"/>
  <c r="E2716" i="5"/>
  <c r="E2720" i="5"/>
  <c r="E2722" i="5"/>
  <c r="E2725" i="5"/>
  <c r="E2729" i="5"/>
  <c r="E2731" i="5"/>
  <c r="E2734" i="5"/>
  <c r="E2738" i="5"/>
  <c r="E2740" i="5"/>
  <c r="E2743" i="5"/>
  <c r="E2747" i="5"/>
  <c r="E2749" i="5"/>
  <c r="E2752" i="5"/>
  <c r="E2756" i="5"/>
  <c r="E2758" i="5"/>
  <c r="E2761" i="5"/>
  <c r="E2765" i="5"/>
  <c r="E2767" i="5"/>
  <c r="E2770" i="5"/>
  <c r="E2774" i="5"/>
  <c r="E2776" i="5"/>
  <c r="E2779" i="5"/>
  <c r="E2783" i="5"/>
  <c r="E2785" i="5"/>
  <c r="E2788" i="5"/>
  <c r="E2792" i="5"/>
  <c r="E2794" i="5"/>
  <c r="E2797" i="5"/>
  <c r="E2801" i="5"/>
  <c r="E2803" i="5"/>
  <c r="E2806" i="5"/>
  <c r="E2810" i="5"/>
  <c r="E2812" i="5"/>
  <c r="E2815" i="5"/>
  <c r="E2819" i="5"/>
  <c r="E2821" i="5"/>
  <c r="E2824" i="5"/>
  <c r="E2828" i="5"/>
  <c r="E2830" i="5"/>
  <c r="E2833" i="5"/>
  <c r="E2837" i="5"/>
  <c r="E2839" i="5"/>
  <c r="E2842" i="5"/>
  <c r="E2846" i="5"/>
  <c r="E2848" i="5"/>
  <c r="E2851" i="5"/>
  <c r="E2855" i="5"/>
  <c r="E2857" i="5"/>
  <c r="E2860" i="5"/>
  <c r="E2864" i="5"/>
  <c r="E2866" i="5"/>
  <c r="E2869" i="5"/>
  <c r="E2873" i="5"/>
  <c r="E2875" i="5"/>
  <c r="E2878" i="5"/>
  <c r="E2882" i="5"/>
  <c r="E2884" i="5"/>
  <c r="E2887" i="5"/>
  <c r="E2891" i="5"/>
  <c r="E2893" i="5"/>
  <c r="E2896" i="5"/>
  <c r="E2900" i="5"/>
  <c r="E2902" i="5"/>
  <c r="E2905" i="5"/>
  <c r="E2909" i="5"/>
  <c r="E2911" i="5"/>
  <c r="E2914" i="5"/>
  <c r="E2918" i="5"/>
  <c r="E2920" i="5"/>
  <c r="E2923" i="5"/>
  <c r="E2927" i="5"/>
  <c r="E2929" i="5"/>
  <c r="E2932" i="5"/>
  <c r="E2936" i="5"/>
  <c r="E2938" i="5"/>
  <c r="E2941" i="5"/>
  <c r="E2945" i="5"/>
  <c r="E2947" i="5"/>
  <c r="E2950" i="5"/>
  <c r="E2954" i="5"/>
  <c r="E2956" i="5"/>
  <c r="E2959" i="5"/>
  <c r="E2963" i="5"/>
  <c r="E2965" i="5"/>
  <c r="E2968" i="5"/>
  <c r="E2972" i="5"/>
  <c r="E2974" i="5"/>
  <c r="E2977" i="5"/>
  <c r="E2981" i="5"/>
  <c r="E2983" i="5"/>
  <c r="E2986" i="5"/>
  <c r="E2990" i="5"/>
  <c r="E2992" i="5"/>
  <c r="E2995" i="5"/>
  <c r="E2999" i="5"/>
  <c r="E3001" i="5"/>
  <c r="E3004" i="5"/>
  <c r="E3008" i="5"/>
  <c r="E3010" i="5"/>
  <c r="E3013" i="5"/>
  <c r="E3017" i="5"/>
  <c r="E3019" i="5"/>
  <c r="E3022" i="5"/>
  <c r="E3026" i="5"/>
  <c r="E3028" i="5"/>
  <c r="E3031" i="5"/>
  <c r="E3035" i="5"/>
  <c r="E3037" i="5"/>
  <c r="E3040" i="5"/>
  <c r="E3044" i="5"/>
  <c r="E3046" i="5"/>
  <c r="E3049" i="5"/>
  <c r="E3053" i="5"/>
  <c r="E3055" i="5"/>
  <c r="E3058" i="5"/>
  <c r="E3062" i="5"/>
  <c r="E3064" i="5"/>
  <c r="E3067" i="5"/>
  <c r="E3071" i="5"/>
  <c r="E3073" i="5"/>
  <c r="E3076" i="5"/>
  <c r="E3080" i="5"/>
  <c r="E3082" i="5"/>
  <c r="E3085" i="5"/>
  <c r="E3089" i="5"/>
  <c r="E3091" i="5"/>
  <c r="E3094" i="5"/>
  <c r="E3098" i="5"/>
  <c r="E3100" i="5"/>
  <c r="E3103" i="5"/>
  <c r="E3107" i="5"/>
  <c r="E3109" i="5"/>
  <c r="E3112" i="5"/>
  <c r="E3116" i="5"/>
  <c r="E3118" i="5"/>
  <c r="E3121" i="5"/>
  <c r="E3125" i="5"/>
  <c r="E3127" i="5"/>
  <c r="E3130" i="5"/>
  <c r="E3134" i="5"/>
  <c r="E3136" i="5"/>
  <c r="E3139" i="5"/>
  <c r="E3143" i="5"/>
  <c r="E3145" i="5"/>
  <c r="E3148" i="5"/>
  <c r="E3152" i="5"/>
  <c r="E3154" i="5"/>
  <c r="E2257" i="5"/>
  <c r="E2261" i="5"/>
  <c r="E2263" i="5"/>
  <c r="E2266" i="5"/>
  <c r="E2270" i="5"/>
  <c r="E2272" i="5"/>
  <c r="E2275" i="5"/>
  <c r="E2279" i="5"/>
  <c r="E2281" i="5"/>
  <c r="E2284" i="5"/>
  <c r="E2288" i="5"/>
  <c r="E2290" i="5"/>
  <c r="E2293" i="5"/>
  <c r="E2297" i="5"/>
  <c r="E2299" i="5"/>
  <c r="E2302" i="5"/>
  <c r="E2306" i="5"/>
  <c r="E2308" i="5"/>
  <c r="E2311" i="5"/>
  <c r="E2315" i="5"/>
  <c r="E2317" i="5"/>
  <c r="E2320" i="5"/>
  <c r="E2324" i="5"/>
  <c r="E2326" i="5"/>
  <c r="E2329" i="5"/>
  <c r="E2333" i="5"/>
  <c r="E2335" i="5"/>
  <c r="E2338" i="5"/>
  <c r="E2342" i="5"/>
  <c r="E2344" i="5"/>
  <c r="E2347" i="5"/>
  <c r="E2351" i="5"/>
  <c r="E2353" i="5"/>
  <c r="E2356" i="5"/>
  <c r="E2360" i="5"/>
  <c r="E2362" i="5"/>
  <c r="E2365" i="5"/>
  <c r="E2369" i="5"/>
  <c r="E2371" i="5"/>
  <c r="E2374" i="5"/>
  <c r="E2378" i="5"/>
  <c r="E2380" i="5"/>
  <c r="E2383" i="5"/>
  <c r="E2387" i="5"/>
  <c r="E2389" i="5"/>
  <c r="E2392" i="5"/>
  <c r="E2396" i="5"/>
  <c r="E2398" i="5"/>
  <c r="E2401" i="5"/>
  <c r="E2405" i="5"/>
  <c r="E2407" i="5"/>
  <c r="E2410" i="5"/>
  <c r="E2414" i="5"/>
  <c r="E2416" i="5"/>
  <c r="E2419" i="5"/>
  <c r="E2423" i="5"/>
  <c r="E2425" i="5"/>
  <c r="E2428" i="5"/>
  <c r="E2432" i="5"/>
  <c r="E2434" i="5"/>
  <c r="E2437" i="5"/>
  <c r="E2441" i="5"/>
  <c r="E2443" i="5"/>
  <c r="E2446" i="5"/>
  <c r="E2450" i="5"/>
  <c r="E2452" i="5"/>
  <c r="E2455" i="5"/>
  <c r="E2459" i="5"/>
  <c r="E2461" i="5"/>
  <c r="E2464" i="5"/>
  <c r="E2468" i="5"/>
  <c r="E2470" i="5"/>
  <c r="E2473" i="5"/>
  <c r="E2477" i="5"/>
  <c r="E2479" i="5"/>
  <c r="E2482" i="5"/>
  <c r="E2486" i="5"/>
  <c r="E2488" i="5"/>
  <c r="E2491" i="5"/>
  <c r="E2495" i="5"/>
  <c r="E2497" i="5"/>
  <c r="E2500" i="5"/>
  <c r="E2504" i="5"/>
  <c r="E2506" i="5"/>
  <c r="E2509" i="5"/>
  <c r="E2513" i="5"/>
  <c r="E2515" i="5"/>
  <c r="E2518" i="5"/>
  <c r="E2522" i="5"/>
  <c r="E2524" i="5"/>
  <c r="E2527" i="5"/>
  <c r="E2531" i="5"/>
  <c r="E2533" i="5"/>
  <c r="E2536" i="5"/>
  <c r="E2540" i="5"/>
  <c r="E2542" i="5"/>
  <c r="E2545" i="5"/>
  <c r="E2549" i="5"/>
  <c r="E2551" i="5"/>
  <c r="E2554" i="5"/>
  <c r="E2558" i="5"/>
  <c r="E2560" i="5"/>
  <c r="E2563" i="5"/>
  <c r="E2567" i="5"/>
  <c r="E2569" i="5"/>
  <c r="E2572" i="5"/>
  <c r="E2576" i="5"/>
  <c r="E2578" i="5"/>
  <c r="E2581" i="5"/>
  <c r="E2585" i="5"/>
  <c r="E2587" i="5"/>
  <c r="E2590" i="5"/>
  <c r="E2594" i="5"/>
  <c r="E2596" i="5"/>
  <c r="E2599" i="5"/>
  <c r="E2603" i="5"/>
  <c r="E2605" i="5"/>
  <c r="E2608" i="5"/>
  <c r="E2612" i="5"/>
  <c r="E2614" i="5"/>
  <c r="E2617" i="5"/>
  <c r="E2621" i="5"/>
  <c r="E2623" i="5"/>
  <c r="E2626" i="5"/>
  <c r="E2630" i="5"/>
  <c r="E2632" i="5"/>
  <c r="E2635" i="5"/>
  <c r="E2639" i="5"/>
  <c r="E2641" i="5"/>
  <c r="E2644" i="5"/>
  <c r="E2648" i="5"/>
  <c r="E2650" i="5"/>
  <c r="E2653" i="5"/>
  <c r="E2657" i="5"/>
  <c r="E2659" i="5"/>
  <c r="E2662" i="5"/>
  <c r="E2666" i="5"/>
  <c r="E2668" i="5"/>
  <c r="E2671" i="5"/>
  <c r="E2675" i="5"/>
  <c r="E2677" i="5"/>
  <c r="E2680" i="5"/>
  <c r="E2684" i="5"/>
  <c r="E2686" i="5"/>
  <c r="E2689" i="5"/>
  <c r="E2693" i="5"/>
  <c r="E2695" i="5"/>
  <c r="E2698" i="5"/>
  <c r="E2702" i="5"/>
  <c r="E2704" i="5"/>
  <c r="E1807" i="5"/>
  <c r="E1811" i="5"/>
  <c r="E1813" i="5"/>
  <c r="E1816" i="5"/>
  <c r="E1820" i="5"/>
  <c r="E1822" i="5"/>
  <c r="E1825" i="5"/>
  <c r="E1829" i="5"/>
  <c r="E1831" i="5"/>
  <c r="E1834" i="5"/>
  <c r="E1838" i="5"/>
  <c r="E1840" i="5"/>
  <c r="E1843" i="5"/>
  <c r="E1847" i="5"/>
  <c r="E1849" i="5"/>
  <c r="E1852" i="5"/>
  <c r="E1856" i="5"/>
  <c r="E1858" i="5"/>
  <c r="E1861" i="5"/>
  <c r="E1865" i="5"/>
  <c r="E1867" i="5"/>
  <c r="E1870" i="5"/>
  <c r="E1874" i="5"/>
  <c r="E1876" i="5"/>
  <c r="E1879" i="5"/>
  <c r="E1883" i="5"/>
  <c r="E1885" i="5"/>
  <c r="E1888" i="5"/>
  <c r="E1892" i="5"/>
  <c r="E1894" i="5"/>
  <c r="E1897" i="5"/>
  <c r="E1901" i="5"/>
  <c r="E1903" i="5"/>
  <c r="E1906" i="5"/>
  <c r="E1910" i="5"/>
  <c r="E1912" i="5"/>
  <c r="E1915" i="5"/>
  <c r="E1919" i="5"/>
  <c r="E1921" i="5"/>
  <c r="E1924" i="5"/>
  <c r="E1928" i="5"/>
  <c r="E1930" i="5"/>
  <c r="E1933" i="5"/>
  <c r="E1937" i="5"/>
  <c r="E1939" i="5"/>
  <c r="E1942" i="5"/>
  <c r="E1946" i="5"/>
  <c r="E1948" i="5"/>
  <c r="E1951" i="5"/>
  <c r="E1955" i="5"/>
  <c r="E1957" i="5"/>
  <c r="E1960" i="5"/>
  <c r="E1964" i="5"/>
  <c r="E1966" i="5"/>
  <c r="E1969" i="5"/>
  <c r="E1973" i="5"/>
  <c r="E1975" i="5"/>
  <c r="E1978" i="5"/>
  <c r="E1982" i="5"/>
  <c r="E1984" i="5"/>
  <c r="E1987" i="5"/>
  <c r="E1991" i="5"/>
  <c r="E1993" i="5"/>
  <c r="E1996" i="5"/>
  <c r="E2000" i="5"/>
  <c r="E2002" i="5"/>
  <c r="E2005" i="5"/>
  <c r="E2009" i="5"/>
  <c r="E2011" i="5"/>
  <c r="E2014" i="5"/>
  <c r="E2018" i="5"/>
  <c r="E2020" i="5"/>
  <c r="E2023" i="5"/>
  <c r="E2027" i="5"/>
  <c r="E2029" i="5"/>
  <c r="E2032" i="5"/>
  <c r="E2036" i="5"/>
  <c r="E2038" i="5"/>
  <c r="E2041" i="5"/>
  <c r="E2045" i="5"/>
  <c r="E2047" i="5"/>
  <c r="E2050" i="5"/>
  <c r="E2054" i="5"/>
  <c r="E2056" i="5"/>
  <c r="E2059" i="5"/>
  <c r="E2063" i="5"/>
  <c r="E2065" i="5"/>
  <c r="E2068" i="5"/>
  <c r="E2072" i="5"/>
  <c r="E2074" i="5"/>
  <c r="E2077" i="5"/>
  <c r="E2081" i="5"/>
  <c r="E2083" i="5"/>
  <c r="E2086" i="5"/>
  <c r="E2090" i="5"/>
  <c r="E2092" i="5"/>
  <c r="E2095" i="5"/>
  <c r="E2099" i="5"/>
  <c r="E2101" i="5"/>
  <c r="E2104" i="5"/>
  <c r="E2108" i="5"/>
  <c r="E2110" i="5"/>
  <c r="E2113" i="5"/>
  <c r="E2117" i="5"/>
  <c r="E2119" i="5"/>
  <c r="E2122" i="5"/>
  <c r="E2126" i="5"/>
  <c r="E2128" i="5"/>
  <c r="E2131" i="5"/>
  <c r="E2135" i="5"/>
  <c r="E2137" i="5"/>
  <c r="E2140" i="5"/>
  <c r="E2144" i="5"/>
  <c r="E2146" i="5"/>
  <c r="E2149" i="5"/>
  <c r="E2153" i="5"/>
  <c r="E2155" i="5"/>
  <c r="E2158" i="5"/>
  <c r="E2162" i="5"/>
  <c r="E2164" i="5"/>
  <c r="E2167" i="5"/>
  <c r="E2171" i="5"/>
  <c r="E2173" i="5"/>
  <c r="E2176" i="5"/>
  <c r="E2180" i="5"/>
  <c r="E2182" i="5"/>
  <c r="E2185" i="5"/>
  <c r="E2189" i="5"/>
  <c r="E2191" i="5"/>
  <c r="E2194" i="5"/>
  <c r="E2198" i="5"/>
  <c r="E2200" i="5"/>
  <c r="E2203" i="5"/>
  <c r="E2207" i="5"/>
  <c r="E2209" i="5"/>
  <c r="E2212" i="5"/>
  <c r="E2216" i="5"/>
  <c r="E2218" i="5"/>
  <c r="E2221" i="5"/>
  <c r="E2225" i="5"/>
  <c r="E2227" i="5"/>
  <c r="E2230" i="5"/>
  <c r="E2234" i="5"/>
  <c r="E2236" i="5"/>
  <c r="E2239" i="5"/>
  <c r="E2243" i="5"/>
  <c r="E2245" i="5"/>
  <c r="E2248" i="5"/>
  <c r="E2252" i="5"/>
  <c r="E2254" i="5"/>
  <c r="E1357" i="5"/>
  <c r="E1361" i="5"/>
  <c r="E1363" i="5"/>
  <c r="E1366" i="5"/>
  <c r="E1370" i="5"/>
  <c r="E1372" i="5"/>
  <c r="E1375" i="5"/>
  <c r="E1379" i="5"/>
  <c r="E1381" i="5"/>
  <c r="E1384" i="5"/>
  <c r="E1388" i="5"/>
  <c r="E1390" i="5"/>
  <c r="E1393" i="5"/>
  <c r="E1397" i="5"/>
  <c r="E1399" i="5"/>
  <c r="E1402" i="5"/>
  <c r="E1406" i="5"/>
  <c r="E1408" i="5"/>
  <c r="E1411" i="5"/>
  <c r="E1415" i="5"/>
  <c r="E1417" i="5"/>
  <c r="E1420" i="5"/>
  <c r="E1424" i="5"/>
  <c r="E1426" i="5"/>
  <c r="E1429" i="5"/>
  <c r="E1433" i="5"/>
  <c r="E1435" i="5"/>
  <c r="E1438" i="5"/>
  <c r="E1442" i="5"/>
  <c r="E1444" i="5"/>
  <c r="E1447" i="5"/>
  <c r="E1451" i="5"/>
  <c r="E1453" i="5"/>
  <c r="E1456" i="5"/>
  <c r="E1460" i="5"/>
  <c r="E1462" i="5"/>
  <c r="E1465" i="5"/>
  <c r="E1469" i="5"/>
  <c r="E1471" i="5"/>
  <c r="E1474" i="5"/>
  <c r="E1478" i="5"/>
  <c r="E1480" i="5"/>
  <c r="E1483" i="5"/>
  <c r="E1487" i="5"/>
  <c r="E1489" i="5"/>
  <c r="E1492" i="5"/>
  <c r="E1496" i="5"/>
  <c r="E1498" i="5"/>
  <c r="E1501" i="5"/>
  <c r="E1505" i="5"/>
  <c r="E1507" i="5"/>
  <c r="E1510" i="5"/>
  <c r="E1514" i="5"/>
  <c r="E1516" i="5"/>
  <c r="E1519" i="5"/>
  <c r="E1523" i="5"/>
  <c r="E1525" i="5"/>
  <c r="E1528" i="5"/>
  <c r="E1532" i="5"/>
  <c r="E1534" i="5"/>
  <c r="E1537" i="5"/>
  <c r="E1541" i="5"/>
  <c r="E1543" i="5"/>
  <c r="E1546" i="5"/>
  <c r="E1550" i="5"/>
  <c r="E1552" i="5"/>
  <c r="E1555" i="5"/>
  <c r="E1559" i="5"/>
  <c r="E1561" i="5"/>
  <c r="E1564" i="5"/>
  <c r="E1568" i="5"/>
  <c r="E1570" i="5"/>
  <c r="E1573" i="5"/>
  <c r="E1577" i="5"/>
  <c r="E1579" i="5"/>
  <c r="E1582" i="5"/>
  <c r="E1586" i="5"/>
  <c r="E1588" i="5"/>
  <c r="E1591" i="5"/>
  <c r="E1595" i="5"/>
  <c r="E1597" i="5"/>
  <c r="E1600" i="5"/>
  <c r="E1604" i="5"/>
  <c r="E1606" i="5"/>
  <c r="E1609" i="5"/>
  <c r="E1613" i="5"/>
  <c r="E1615" i="5"/>
  <c r="E1618" i="5"/>
  <c r="E1622" i="5"/>
  <c r="E1624" i="5"/>
  <c r="E1627" i="5"/>
  <c r="E1631" i="5"/>
  <c r="E1633" i="5"/>
  <c r="E1636" i="5"/>
  <c r="E1640" i="5"/>
  <c r="E1642" i="5"/>
  <c r="E1645" i="5"/>
  <c r="E1649" i="5"/>
  <c r="E1651" i="5"/>
  <c r="E1654" i="5"/>
  <c r="E1658" i="5"/>
  <c r="E1660" i="5"/>
  <c r="E1663" i="5"/>
  <c r="E1667" i="5"/>
  <c r="E1669" i="5"/>
  <c r="E1672" i="5"/>
  <c r="E1676" i="5"/>
  <c r="E1678" i="5"/>
  <c r="E1681" i="5"/>
  <c r="E1685" i="5"/>
  <c r="E1687" i="5"/>
  <c r="E1690" i="5"/>
  <c r="E1694" i="5"/>
  <c r="E1696" i="5"/>
  <c r="E1699" i="5"/>
  <c r="E1703" i="5"/>
  <c r="E1705" i="5"/>
  <c r="E1708" i="5"/>
  <c r="E1712" i="5"/>
  <c r="E1714" i="5"/>
  <c r="E1717" i="5"/>
  <c r="E1721" i="5"/>
  <c r="E1723" i="5"/>
  <c r="E1726" i="5"/>
  <c r="E1730" i="5"/>
  <c r="E1732" i="5"/>
  <c r="E1735" i="5"/>
  <c r="E1739" i="5"/>
  <c r="E1741" i="5"/>
  <c r="E1744" i="5"/>
  <c r="E1748" i="5"/>
  <c r="E1750" i="5"/>
  <c r="E1753" i="5"/>
  <c r="E1757" i="5"/>
  <c r="E1759" i="5"/>
  <c r="E1762" i="5"/>
  <c r="E1766" i="5"/>
  <c r="E1768" i="5"/>
  <c r="E1771" i="5"/>
  <c r="E1775" i="5"/>
  <c r="E1777" i="5"/>
  <c r="E1780" i="5"/>
  <c r="E1784" i="5"/>
  <c r="E1786" i="5"/>
  <c r="E1789" i="5"/>
  <c r="E1793" i="5"/>
  <c r="E1795" i="5"/>
  <c r="E1798" i="5"/>
  <c r="E1802" i="5"/>
  <c r="E1804" i="5"/>
  <c r="E907" i="5"/>
  <c r="E911" i="5"/>
  <c r="E913" i="5"/>
  <c r="E916" i="5"/>
  <c r="E920" i="5"/>
  <c r="E922" i="5"/>
  <c r="E925" i="5"/>
  <c r="E929" i="5"/>
  <c r="E931" i="5"/>
  <c r="E934" i="5"/>
  <c r="E938" i="5"/>
  <c r="E940" i="5"/>
  <c r="E943" i="5"/>
  <c r="E947" i="5"/>
  <c r="E949" i="5"/>
  <c r="E952" i="5"/>
  <c r="E956" i="5"/>
  <c r="E958" i="5"/>
  <c r="E961" i="5"/>
  <c r="E965" i="5"/>
  <c r="E967" i="5"/>
  <c r="E970" i="5"/>
  <c r="E974" i="5"/>
  <c r="E976" i="5"/>
  <c r="E979" i="5"/>
  <c r="E983" i="5"/>
  <c r="E985" i="5"/>
  <c r="E988" i="5"/>
  <c r="E992" i="5"/>
  <c r="E994" i="5"/>
  <c r="E997" i="5"/>
  <c r="E1001" i="5"/>
  <c r="E1003" i="5"/>
  <c r="E1006" i="5"/>
  <c r="E1010" i="5"/>
  <c r="E1012" i="5"/>
  <c r="E1015" i="5"/>
  <c r="E1019" i="5"/>
  <c r="E1021" i="5"/>
  <c r="E1024" i="5"/>
  <c r="E1028" i="5"/>
  <c r="E1030" i="5"/>
  <c r="E1033" i="5"/>
  <c r="E1037" i="5"/>
  <c r="E1039" i="5"/>
  <c r="E1042" i="5"/>
  <c r="E1046" i="5"/>
  <c r="E1048" i="5"/>
  <c r="E1051" i="5"/>
  <c r="E1055" i="5"/>
  <c r="E1057" i="5"/>
  <c r="E1060" i="5"/>
  <c r="E1064" i="5"/>
  <c r="E1066" i="5"/>
  <c r="E1069" i="5"/>
  <c r="E1073" i="5"/>
  <c r="E1075" i="5"/>
  <c r="E1078" i="5"/>
  <c r="E1082" i="5"/>
  <c r="E1084" i="5"/>
  <c r="E1087" i="5"/>
  <c r="E1091" i="5"/>
  <c r="E1093" i="5"/>
  <c r="E1096" i="5"/>
  <c r="E1100" i="5"/>
  <c r="E1102" i="5"/>
  <c r="E1105" i="5"/>
  <c r="E1109" i="5"/>
  <c r="E1111" i="5"/>
  <c r="E1114" i="5"/>
  <c r="E1118" i="5"/>
  <c r="E1120" i="5"/>
  <c r="E1123" i="5"/>
  <c r="E1127" i="5"/>
  <c r="E1129" i="5"/>
  <c r="E1132" i="5"/>
  <c r="E1136" i="5"/>
  <c r="E1138" i="5"/>
  <c r="E1141" i="5"/>
  <c r="E1145" i="5"/>
  <c r="E1147" i="5"/>
  <c r="E1150" i="5"/>
  <c r="E1154" i="5"/>
  <c r="E1156" i="5"/>
  <c r="E1159" i="5"/>
  <c r="E1163" i="5"/>
  <c r="E1165" i="5"/>
  <c r="E1168" i="5"/>
  <c r="E1172" i="5"/>
  <c r="E1174" i="5"/>
  <c r="E1177" i="5"/>
  <c r="E1181" i="5"/>
  <c r="E1183" i="5"/>
  <c r="E1186" i="5"/>
  <c r="E1190" i="5"/>
  <c r="E1192" i="5"/>
  <c r="E1195" i="5"/>
  <c r="E1199" i="5"/>
  <c r="E1201" i="5"/>
  <c r="E1204" i="5"/>
  <c r="E1208" i="5"/>
  <c r="E1210" i="5"/>
  <c r="E1213" i="5"/>
  <c r="E1217" i="5"/>
  <c r="E1219" i="5"/>
  <c r="E1222" i="5"/>
  <c r="E1226" i="5"/>
  <c r="E1228" i="5"/>
  <c r="E1231" i="5"/>
  <c r="E1235" i="5"/>
  <c r="E1237" i="5"/>
  <c r="E1240" i="5"/>
  <c r="E1244" i="5"/>
  <c r="E1246" i="5"/>
  <c r="E1249" i="5"/>
  <c r="E1253" i="5"/>
  <c r="E1255" i="5"/>
  <c r="E1258" i="5"/>
  <c r="E1262" i="5"/>
  <c r="E1264" i="5"/>
  <c r="E1267" i="5"/>
  <c r="E1271" i="5"/>
  <c r="E1273" i="5"/>
  <c r="E1276" i="5"/>
  <c r="E1280" i="5"/>
  <c r="E1282" i="5"/>
  <c r="E1285" i="5"/>
  <c r="E1289" i="5"/>
  <c r="E1291" i="5"/>
  <c r="E1294" i="5"/>
  <c r="E1298" i="5"/>
  <c r="E1300" i="5"/>
  <c r="E1303" i="5"/>
  <c r="E1307" i="5"/>
  <c r="E1309" i="5"/>
  <c r="E1312" i="5"/>
  <c r="E1316" i="5"/>
  <c r="E1318" i="5"/>
  <c r="E1321" i="5"/>
  <c r="E1325" i="5"/>
  <c r="E1327" i="5"/>
  <c r="E1330" i="5"/>
  <c r="E1334" i="5"/>
  <c r="E1336" i="5"/>
  <c r="E1339" i="5"/>
  <c r="E1343" i="5"/>
  <c r="E1345" i="5"/>
  <c r="E1348" i="5"/>
  <c r="E1352" i="5"/>
  <c r="E1354" i="5"/>
  <c r="E457" i="5"/>
  <c r="E461" i="5"/>
  <c r="E463" i="5"/>
  <c r="E466" i="5"/>
  <c r="E470" i="5"/>
  <c r="E472" i="5"/>
  <c r="E475" i="5"/>
  <c r="E479" i="5"/>
  <c r="E481" i="5"/>
  <c r="E484" i="5"/>
  <c r="E488" i="5"/>
  <c r="E490" i="5"/>
  <c r="E493" i="5"/>
  <c r="E497" i="5"/>
  <c r="E499" i="5"/>
  <c r="E502" i="5"/>
  <c r="E506" i="5"/>
  <c r="E508" i="5"/>
  <c r="E511" i="5"/>
  <c r="E515" i="5"/>
  <c r="E517" i="5"/>
  <c r="E520" i="5"/>
  <c r="E524" i="5"/>
  <c r="E526" i="5"/>
  <c r="E529" i="5"/>
  <c r="E533" i="5"/>
  <c r="E535" i="5"/>
  <c r="E538" i="5"/>
  <c r="E542" i="5"/>
  <c r="E544" i="5"/>
  <c r="E547" i="5"/>
  <c r="E551" i="5"/>
  <c r="E553" i="5"/>
  <c r="E556" i="5"/>
  <c r="E560" i="5"/>
  <c r="E562" i="5"/>
  <c r="E565" i="5"/>
  <c r="E569" i="5"/>
  <c r="E571" i="5"/>
  <c r="E574" i="5"/>
  <c r="E578" i="5"/>
  <c r="E580" i="5"/>
  <c r="E583" i="5"/>
  <c r="E587" i="5"/>
  <c r="E589" i="5"/>
  <c r="E592" i="5"/>
  <c r="E596" i="5"/>
  <c r="E598" i="5"/>
  <c r="E601" i="5"/>
  <c r="E605" i="5"/>
  <c r="E607" i="5"/>
  <c r="E610" i="5"/>
  <c r="E614" i="5"/>
  <c r="E616" i="5"/>
  <c r="E619" i="5"/>
  <c r="E623" i="5"/>
  <c r="E625" i="5"/>
  <c r="E628" i="5"/>
  <c r="E632" i="5"/>
  <c r="E634" i="5"/>
  <c r="E637" i="5"/>
  <c r="E641" i="5"/>
  <c r="E643" i="5"/>
  <c r="E646" i="5"/>
  <c r="E650" i="5"/>
  <c r="E652" i="5"/>
  <c r="E655" i="5"/>
  <c r="E659" i="5"/>
  <c r="E661" i="5"/>
  <c r="E664" i="5"/>
  <c r="E668" i="5"/>
  <c r="E670" i="5"/>
  <c r="E673" i="5"/>
  <c r="E677" i="5"/>
  <c r="E679" i="5"/>
  <c r="E682" i="5"/>
  <c r="E686" i="5"/>
  <c r="E688" i="5"/>
  <c r="E691" i="5"/>
  <c r="E695" i="5"/>
  <c r="E697" i="5"/>
  <c r="E700" i="5"/>
  <c r="E704" i="5"/>
  <c r="E706" i="5"/>
  <c r="E709" i="5"/>
  <c r="E713" i="5"/>
  <c r="E715" i="5"/>
  <c r="E718" i="5"/>
  <c r="E722" i="5"/>
  <c r="E724" i="5"/>
  <c r="E727" i="5"/>
  <c r="E731" i="5"/>
  <c r="E733" i="5"/>
  <c r="E736" i="5"/>
  <c r="E740" i="5"/>
  <c r="E742" i="5"/>
  <c r="E745" i="5"/>
  <c r="E749" i="5"/>
  <c r="E751" i="5"/>
  <c r="E754" i="5"/>
  <c r="E758" i="5"/>
  <c r="E760" i="5"/>
  <c r="E763" i="5"/>
  <c r="E767" i="5"/>
  <c r="E769" i="5"/>
  <c r="E772" i="5"/>
  <c r="E776" i="5"/>
  <c r="E778" i="5"/>
  <c r="E781" i="5"/>
  <c r="E785" i="5"/>
  <c r="E787" i="5"/>
  <c r="E790" i="5"/>
  <c r="E794" i="5"/>
  <c r="E796" i="5"/>
  <c r="E799" i="5"/>
  <c r="E803" i="5"/>
  <c r="E805" i="5"/>
  <c r="E808" i="5"/>
  <c r="E812" i="5"/>
  <c r="E814" i="5"/>
  <c r="E817" i="5"/>
  <c r="E821" i="5"/>
  <c r="E823" i="5"/>
  <c r="E826" i="5"/>
  <c r="E830" i="5"/>
  <c r="E832" i="5"/>
  <c r="E835" i="5"/>
  <c r="E839" i="5"/>
  <c r="E841" i="5"/>
  <c r="E844" i="5"/>
  <c r="E848" i="5"/>
  <c r="E850" i="5"/>
  <c r="E853" i="5"/>
  <c r="E857" i="5"/>
  <c r="E859" i="5"/>
  <c r="E862" i="5"/>
  <c r="E866" i="5"/>
  <c r="E868" i="5"/>
  <c r="E871" i="5"/>
  <c r="E875" i="5"/>
  <c r="E877" i="5"/>
  <c r="E880" i="5"/>
  <c r="E884" i="5"/>
  <c r="E886" i="5"/>
  <c r="E889" i="5"/>
  <c r="E893" i="5"/>
  <c r="E895" i="5"/>
  <c r="E898" i="5"/>
  <c r="E902" i="5"/>
  <c r="E904" i="5"/>
  <c r="E7" i="5"/>
  <c r="E11" i="5"/>
  <c r="E13" i="5"/>
  <c r="E16" i="5"/>
  <c r="E20" i="5"/>
  <c r="E22" i="5"/>
  <c r="E25" i="5"/>
  <c r="E29" i="5"/>
  <c r="E31" i="5"/>
  <c r="E34" i="5"/>
  <c r="E38" i="5"/>
  <c r="E40" i="5"/>
  <c r="E43" i="5"/>
  <c r="E47" i="5"/>
  <c r="E49" i="5"/>
  <c r="E52" i="5"/>
  <c r="E56" i="5"/>
  <c r="E58" i="5"/>
  <c r="E61" i="5"/>
  <c r="E65" i="5"/>
  <c r="E67" i="5"/>
  <c r="E70" i="5"/>
  <c r="E74" i="5"/>
  <c r="E76" i="5"/>
  <c r="E79" i="5"/>
  <c r="E83" i="5"/>
  <c r="E85" i="5"/>
  <c r="E88" i="5"/>
  <c r="E92" i="5"/>
  <c r="E94" i="5"/>
  <c r="E97" i="5"/>
  <c r="E101" i="5"/>
  <c r="E103" i="5"/>
  <c r="E106" i="5"/>
  <c r="E110" i="5"/>
  <c r="E112" i="5"/>
  <c r="E115" i="5"/>
  <c r="E119" i="5"/>
  <c r="E121" i="5"/>
  <c r="E124" i="5"/>
  <c r="E128" i="5"/>
  <c r="E130" i="5"/>
  <c r="E133" i="5"/>
  <c r="E137" i="5"/>
  <c r="E139" i="5"/>
  <c r="E142" i="5"/>
  <c r="E146" i="5"/>
  <c r="E148" i="5"/>
  <c r="E151" i="5"/>
  <c r="E155" i="5"/>
  <c r="E157" i="5"/>
  <c r="E160" i="5"/>
  <c r="E164" i="5"/>
  <c r="E166" i="5"/>
  <c r="E169" i="5"/>
  <c r="E173" i="5"/>
  <c r="E175" i="5"/>
  <c r="E178" i="5"/>
  <c r="E182" i="5"/>
  <c r="E184" i="5"/>
  <c r="E187" i="5"/>
  <c r="E191" i="5"/>
  <c r="E193" i="5"/>
  <c r="E196" i="5"/>
  <c r="E200" i="5"/>
  <c r="E202" i="5"/>
  <c r="E205" i="5"/>
  <c r="E209" i="5"/>
  <c r="E211" i="5"/>
  <c r="E214" i="5"/>
  <c r="E218" i="5"/>
  <c r="E220" i="5"/>
  <c r="E223" i="5"/>
  <c r="E227" i="5"/>
  <c r="E229" i="5"/>
  <c r="E232" i="5"/>
  <c r="E236" i="5"/>
  <c r="E238" i="5"/>
  <c r="E241" i="5"/>
  <c r="E245" i="5"/>
  <c r="E247" i="5"/>
  <c r="E250" i="5"/>
  <c r="E254" i="5"/>
  <c r="E256" i="5"/>
  <c r="E259" i="5"/>
  <c r="E263" i="5"/>
  <c r="E265" i="5"/>
  <c r="E268" i="5"/>
  <c r="E272" i="5"/>
  <c r="E274" i="5"/>
  <c r="E277" i="5"/>
  <c r="E281" i="5"/>
  <c r="E283" i="5"/>
  <c r="E286" i="5"/>
  <c r="E290" i="5"/>
  <c r="E292" i="5"/>
  <c r="E295" i="5"/>
  <c r="E299" i="5"/>
  <c r="E301" i="5"/>
  <c r="E304" i="5"/>
  <c r="E308" i="5"/>
  <c r="E310" i="5"/>
  <c r="E313" i="5"/>
  <c r="E317" i="5"/>
  <c r="E319" i="5"/>
  <c r="E322" i="5"/>
  <c r="E326" i="5"/>
  <c r="E328" i="5"/>
  <c r="E331" i="5"/>
  <c r="E335" i="5"/>
  <c r="E337" i="5"/>
  <c r="E340" i="5"/>
  <c r="E344" i="5"/>
  <c r="E346" i="5"/>
  <c r="E349" i="5"/>
  <c r="E353" i="5"/>
  <c r="E355" i="5"/>
  <c r="E358" i="5"/>
  <c r="E362" i="5"/>
  <c r="E364" i="5"/>
  <c r="E367" i="5"/>
  <c r="E371" i="5"/>
  <c r="E373" i="5"/>
  <c r="E376" i="5"/>
  <c r="E380" i="5"/>
  <c r="E382" i="5"/>
  <c r="E385" i="5"/>
  <c r="E389" i="5"/>
  <c r="E391" i="5"/>
  <c r="E394" i="5"/>
  <c r="E398" i="5"/>
  <c r="E400" i="5"/>
  <c r="E403" i="5"/>
  <c r="E407" i="5"/>
  <c r="E409" i="5"/>
  <c r="E412" i="5"/>
  <c r="E416" i="5"/>
  <c r="E418" i="5"/>
  <c r="E421" i="5"/>
  <c r="E425" i="5"/>
  <c r="E427" i="5"/>
  <c r="E430" i="5"/>
  <c r="E434" i="5"/>
  <c r="E436" i="5"/>
  <c r="E439" i="5"/>
  <c r="E443" i="5"/>
  <c r="E445" i="5"/>
  <c r="E448" i="5"/>
  <c r="E452" i="5"/>
  <c r="E454" i="5"/>
  <c r="N15" i="3"/>
  <c r="O15" i="3"/>
  <c r="N27" i="3"/>
  <c r="O27" i="3"/>
  <c r="N34" i="3"/>
  <c r="O34" i="3"/>
  <c r="N60" i="3"/>
  <c r="O60" i="3"/>
  <c r="N145" i="3"/>
  <c r="O145" i="3"/>
  <c r="N147" i="3"/>
  <c r="O147" i="3"/>
  <c r="N157" i="3"/>
  <c r="O157" i="3"/>
  <c r="N180" i="3"/>
  <c r="O180" i="3"/>
  <c r="N298" i="3"/>
  <c r="O298" i="3"/>
  <c r="N310" i="3"/>
  <c r="O310" i="3"/>
  <c r="N311" i="3"/>
  <c r="O311" i="3"/>
  <c r="N395" i="3"/>
  <c r="O395" i="3"/>
  <c r="N406" i="3"/>
  <c r="O406" i="3"/>
  <c r="N421" i="3"/>
  <c r="O421" i="3"/>
  <c r="N430" i="3"/>
  <c r="O430" i="3"/>
  <c r="F4507" i="5"/>
  <c r="F4510" i="5"/>
  <c r="F4511" i="5"/>
  <c r="F4513" i="5"/>
  <c r="F4516" i="5"/>
  <c r="F4517" i="5"/>
  <c r="F4519" i="5"/>
  <c r="F4522" i="5"/>
  <c r="F4523" i="5"/>
  <c r="F4525" i="5"/>
  <c r="F4528" i="5"/>
  <c r="F4529" i="5"/>
  <c r="F4531" i="5"/>
  <c r="F4534" i="5"/>
  <c r="F4535" i="5"/>
  <c r="F4537" i="5"/>
  <c r="F4540" i="5"/>
  <c r="F4541" i="5"/>
  <c r="F4543" i="5"/>
  <c r="F4546" i="5"/>
  <c r="F4547" i="5"/>
  <c r="F4549" i="5"/>
  <c r="F4552" i="5"/>
  <c r="F4553" i="5"/>
  <c r="F4555" i="5"/>
  <c r="F4558" i="5"/>
  <c r="F4559" i="5"/>
  <c r="F4561" i="5"/>
  <c r="F4564" i="5"/>
  <c r="F4565" i="5"/>
  <c r="F4567" i="5"/>
  <c r="F4570" i="5"/>
  <c r="F4571" i="5"/>
  <c r="F4573" i="5"/>
  <c r="F4576" i="5"/>
  <c r="F4577" i="5"/>
  <c r="F4579" i="5"/>
  <c r="F4582" i="5"/>
  <c r="F4583" i="5"/>
  <c r="F4585" i="5"/>
  <c r="F4588" i="5"/>
  <c r="F4589" i="5"/>
  <c r="F4591" i="5"/>
  <c r="F4594" i="5"/>
  <c r="F4595" i="5"/>
  <c r="F4597" i="5"/>
  <c r="F4600" i="5"/>
  <c r="F4601" i="5"/>
  <c r="F4603" i="5"/>
  <c r="F4606" i="5"/>
  <c r="F4607" i="5"/>
  <c r="F4609" i="5"/>
  <c r="F4612" i="5"/>
  <c r="F4613" i="5"/>
  <c r="F4615" i="5"/>
  <c r="F4618" i="5"/>
  <c r="F4619" i="5"/>
  <c r="F4621" i="5"/>
  <c r="F4624" i="5"/>
  <c r="F4625" i="5"/>
  <c r="F4627" i="5"/>
  <c r="F4630" i="5"/>
  <c r="F4631" i="5"/>
  <c r="F4633" i="5"/>
  <c r="F4636" i="5"/>
  <c r="F4637" i="5"/>
  <c r="F4639" i="5"/>
  <c r="F4642" i="5"/>
  <c r="F4643" i="5"/>
  <c r="F4645" i="5"/>
  <c r="F4648" i="5"/>
  <c r="F4649" i="5"/>
  <c r="F4651" i="5"/>
  <c r="F4654" i="5"/>
  <c r="F4655" i="5"/>
  <c r="F4657" i="5"/>
  <c r="F4660" i="5"/>
  <c r="F4661" i="5"/>
  <c r="F4663" i="5"/>
  <c r="F4666" i="5"/>
  <c r="F4667" i="5"/>
  <c r="F4669" i="5"/>
  <c r="F4672" i="5"/>
  <c r="F4673" i="5"/>
  <c r="F4675" i="5"/>
  <c r="F4678" i="5"/>
  <c r="F4679" i="5"/>
  <c r="F4681" i="5"/>
  <c r="F4684" i="5"/>
  <c r="F4685" i="5"/>
  <c r="F4687" i="5"/>
  <c r="F4690" i="5"/>
  <c r="F4691" i="5"/>
  <c r="F4693" i="5"/>
  <c r="F4696" i="5"/>
  <c r="F4697" i="5"/>
  <c r="F4699" i="5"/>
  <c r="F4702" i="5"/>
  <c r="F4703" i="5"/>
  <c r="F4705" i="5"/>
  <c r="F4708" i="5"/>
  <c r="F4709" i="5"/>
  <c r="F4711" i="5"/>
  <c r="F4714" i="5"/>
  <c r="F4715" i="5"/>
  <c r="F4717" i="5"/>
  <c r="F4720" i="5"/>
  <c r="F4721" i="5"/>
  <c r="F4723" i="5"/>
  <c r="F4726" i="5"/>
  <c r="F4727" i="5"/>
  <c r="F4729" i="5"/>
  <c r="F4732" i="5"/>
  <c r="F4733" i="5"/>
  <c r="F4735" i="5"/>
  <c r="F4738" i="5"/>
  <c r="F4739" i="5"/>
  <c r="F4741" i="5"/>
  <c r="F4744" i="5"/>
  <c r="F4745" i="5"/>
  <c r="F4747" i="5"/>
  <c r="F4750" i="5"/>
  <c r="F4751" i="5"/>
  <c r="F4753" i="5"/>
  <c r="F4756" i="5"/>
  <c r="F4757" i="5"/>
  <c r="F4759" i="5"/>
  <c r="F4762" i="5"/>
  <c r="F4763" i="5"/>
  <c r="F4765" i="5"/>
  <c r="F4768" i="5"/>
  <c r="F4769" i="5"/>
  <c r="F4771" i="5"/>
  <c r="F4774" i="5"/>
  <c r="F4775" i="5"/>
  <c r="F4777" i="5"/>
  <c r="F4780" i="5"/>
  <c r="F4781" i="5"/>
  <c r="F4783" i="5"/>
  <c r="F4786" i="5"/>
  <c r="F4787" i="5"/>
  <c r="F4789" i="5"/>
  <c r="F4792" i="5"/>
  <c r="F4793" i="5"/>
  <c r="F4795" i="5"/>
  <c r="F4798" i="5"/>
  <c r="F4799" i="5"/>
  <c r="F4801" i="5"/>
  <c r="F4804" i="5"/>
  <c r="F4805" i="5"/>
  <c r="E4508" i="5"/>
  <c r="E4509" i="5"/>
  <c r="E4512" i="5"/>
  <c r="E4514" i="5"/>
  <c r="E4515" i="5"/>
  <c r="E4518" i="5"/>
  <c r="E4520" i="5"/>
  <c r="E4521" i="5"/>
  <c r="E4524" i="5"/>
  <c r="E4526" i="5"/>
  <c r="E4527" i="5"/>
  <c r="E4530" i="5"/>
  <c r="E4532" i="5"/>
  <c r="E4533" i="5"/>
  <c r="E4536" i="5"/>
  <c r="E4538" i="5"/>
  <c r="E4539" i="5"/>
  <c r="E4542" i="5"/>
  <c r="E4544" i="5"/>
  <c r="E4545" i="5"/>
  <c r="E4548" i="5"/>
  <c r="E4550" i="5"/>
  <c r="E4551" i="5"/>
  <c r="E4554" i="5"/>
  <c r="E4556" i="5"/>
  <c r="E4557" i="5"/>
  <c r="E4560" i="5"/>
  <c r="E4562" i="5"/>
  <c r="E4563" i="5"/>
  <c r="E4566" i="5"/>
  <c r="E4568" i="5"/>
  <c r="E4569" i="5"/>
  <c r="E4572" i="5"/>
  <c r="E4574" i="5"/>
  <c r="E4575" i="5"/>
  <c r="E4578" i="5"/>
  <c r="E4580" i="5"/>
  <c r="E4581" i="5"/>
  <c r="E4584" i="5"/>
  <c r="E4586" i="5"/>
  <c r="E4587" i="5"/>
  <c r="E4590" i="5"/>
  <c r="E4592" i="5"/>
  <c r="E4593" i="5"/>
  <c r="E4596" i="5"/>
  <c r="E4598" i="5"/>
  <c r="E4599" i="5"/>
  <c r="E4602" i="5"/>
  <c r="E4604" i="5"/>
  <c r="E4605" i="5"/>
  <c r="E4608" i="5"/>
  <c r="E4610" i="5"/>
  <c r="E4611" i="5"/>
  <c r="E4614" i="5"/>
  <c r="E4616" i="5"/>
  <c r="E4617" i="5"/>
  <c r="E4620" i="5"/>
  <c r="E4622" i="5"/>
  <c r="E4623" i="5"/>
  <c r="E4626" i="5"/>
  <c r="E4628" i="5"/>
  <c r="E4629" i="5"/>
  <c r="E4632" i="5"/>
  <c r="E4634" i="5"/>
  <c r="E4635" i="5"/>
  <c r="E4638" i="5"/>
  <c r="E4640" i="5"/>
  <c r="E4641" i="5"/>
  <c r="E4644" i="5"/>
  <c r="E4646" i="5"/>
  <c r="E4647" i="5"/>
  <c r="E4650" i="5"/>
  <c r="E4652" i="5"/>
  <c r="E4653" i="5"/>
  <c r="E4656" i="5"/>
  <c r="E4658" i="5"/>
  <c r="E4659" i="5"/>
  <c r="E4662" i="5"/>
  <c r="E4664" i="5"/>
  <c r="E4665" i="5"/>
  <c r="E4668" i="5"/>
  <c r="E4670" i="5"/>
  <c r="E4671" i="5"/>
  <c r="E4674" i="5"/>
  <c r="E4676" i="5"/>
  <c r="E4677" i="5"/>
  <c r="E4680" i="5"/>
  <c r="E4682" i="5"/>
  <c r="E4683" i="5"/>
  <c r="E4686" i="5"/>
  <c r="E4688" i="5"/>
  <c r="E4689" i="5"/>
  <c r="E4692" i="5"/>
  <c r="E4694" i="5"/>
  <c r="E4695" i="5"/>
  <c r="E4698" i="5"/>
  <c r="E4700" i="5"/>
  <c r="E4701" i="5"/>
  <c r="E4704" i="5"/>
  <c r="E4706" i="5"/>
  <c r="E4707" i="5"/>
  <c r="E4710" i="5"/>
  <c r="E4712" i="5"/>
  <c r="E4713" i="5"/>
  <c r="E4716" i="5"/>
  <c r="E4718" i="5"/>
  <c r="E4719" i="5"/>
  <c r="E4722" i="5"/>
  <c r="E4724" i="5"/>
  <c r="E4725" i="5"/>
  <c r="E4728" i="5"/>
  <c r="E4730" i="5"/>
  <c r="E4731" i="5"/>
  <c r="E4734" i="5"/>
  <c r="E4736" i="5"/>
  <c r="E4737" i="5"/>
  <c r="E4740" i="5"/>
  <c r="E4742" i="5"/>
  <c r="E4743" i="5"/>
  <c r="E4746" i="5"/>
  <c r="E4748" i="5"/>
  <c r="E4749" i="5"/>
  <c r="E4752" i="5"/>
  <c r="E4754" i="5"/>
  <c r="E4755" i="5"/>
  <c r="E4758" i="5"/>
  <c r="E4760" i="5"/>
  <c r="E4761" i="5"/>
  <c r="E4764" i="5"/>
  <c r="E4766" i="5"/>
  <c r="E4767" i="5"/>
  <c r="E4770" i="5"/>
  <c r="E4772" i="5"/>
  <c r="E4773" i="5"/>
  <c r="E4776" i="5"/>
  <c r="E4778" i="5"/>
  <c r="E4779" i="5"/>
  <c r="E4782" i="5"/>
  <c r="E4784" i="5"/>
  <c r="E4785" i="5"/>
  <c r="E4788" i="5"/>
  <c r="E4790" i="5"/>
  <c r="E4791" i="5"/>
  <c r="E4794" i="5"/>
  <c r="E4796" i="5"/>
  <c r="E4797" i="5"/>
  <c r="E4800" i="5"/>
  <c r="E4802" i="5"/>
  <c r="E4803" i="5"/>
  <c r="E4806" i="5"/>
  <c r="C4507" i="5"/>
  <c r="A4507" i="5"/>
  <c r="C4508" i="5"/>
  <c r="C4509" i="5"/>
  <c r="G4509" i="5"/>
  <c r="C4510" i="5"/>
  <c r="D4510" i="5"/>
  <c r="C4511" i="5"/>
  <c r="D4511" i="5"/>
  <c r="C4512" i="5"/>
  <c r="A4512" i="5"/>
  <c r="C4513" i="5"/>
  <c r="A4513" i="5"/>
  <c r="C4514" i="5"/>
  <c r="A4514" i="5"/>
  <c r="C4515" i="5"/>
  <c r="A4515" i="5"/>
  <c r="C4516" i="5"/>
  <c r="E4516" i="5"/>
  <c r="C4517" i="5"/>
  <c r="E4517" i="5"/>
  <c r="C4518" i="5"/>
  <c r="G4518" i="5"/>
  <c r="C4519" i="5"/>
  <c r="A4519" i="5"/>
  <c r="C4520" i="5"/>
  <c r="A4520" i="5"/>
  <c r="C4521" i="5"/>
  <c r="G4521" i="5"/>
  <c r="C4522" i="5"/>
  <c r="A4522" i="5"/>
  <c r="C4523" i="5"/>
  <c r="D4523" i="5"/>
  <c r="C4524" i="5"/>
  <c r="D4524" i="5"/>
  <c r="C4525" i="5"/>
  <c r="A4525" i="5"/>
  <c r="C4526" i="5"/>
  <c r="A4526" i="5"/>
  <c r="C4527" i="5"/>
  <c r="D4527" i="5"/>
  <c r="C4528" i="5"/>
  <c r="H4528" i="5"/>
  <c r="C4529" i="5"/>
  <c r="D4529" i="5"/>
  <c r="C4530" i="5"/>
  <c r="G4530" i="5"/>
  <c r="C4531" i="5"/>
  <c r="A4531" i="5"/>
  <c r="C4532" i="5"/>
  <c r="A4532" i="5"/>
  <c r="C4533" i="5"/>
  <c r="D4533" i="5"/>
  <c r="C4534" i="5"/>
  <c r="G4534" i="5"/>
  <c r="C4535" i="5"/>
  <c r="E4535" i="5"/>
  <c r="C4536" i="5"/>
  <c r="C4537" i="5"/>
  <c r="A4537" i="5"/>
  <c r="C4538" i="5"/>
  <c r="A4538" i="5"/>
  <c r="C4539" i="5"/>
  <c r="A4539" i="5"/>
  <c r="C4540" i="5"/>
  <c r="E4540" i="5"/>
  <c r="C4541" i="5"/>
  <c r="A4541" i="5"/>
  <c r="C4542" i="5"/>
  <c r="F4542" i="5"/>
  <c r="C4543" i="5"/>
  <c r="A4543" i="5"/>
  <c r="C4544" i="5"/>
  <c r="B4544" i="5"/>
  <c r="C4545" i="5"/>
  <c r="F4545" i="5"/>
  <c r="C4546" i="5"/>
  <c r="B4546" i="5"/>
  <c r="C4547" i="5"/>
  <c r="E4547" i="5"/>
  <c r="C4548" i="5"/>
  <c r="A4548" i="5"/>
  <c r="C4549" i="5"/>
  <c r="A4549" i="5"/>
  <c r="C4550" i="5"/>
  <c r="D4550" i="5"/>
  <c r="C4551" i="5"/>
  <c r="G4551" i="5"/>
  <c r="C4552" i="5"/>
  <c r="E4552" i="5"/>
  <c r="C4553" i="5"/>
  <c r="A4553" i="5"/>
  <c r="C4554" i="5"/>
  <c r="A4554" i="5"/>
  <c r="C4555" i="5"/>
  <c r="C4556" i="5"/>
  <c r="B4556" i="5"/>
  <c r="C4557" i="5"/>
  <c r="C4558" i="5"/>
  <c r="A4558" i="5"/>
  <c r="C4559" i="5"/>
  <c r="C4560" i="5"/>
  <c r="A4560" i="5"/>
  <c r="C4561" i="5"/>
  <c r="A4561" i="5"/>
  <c r="C4562" i="5"/>
  <c r="F4562" i="5"/>
  <c r="C4563" i="5"/>
  <c r="F4563" i="5"/>
  <c r="C4564" i="5"/>
  <c r="G4564" i="5"/>
  <c r="C4565" i="5"/>
  <c r="G4565" i="5"/>
  <c r="C4566" i="5"/>
  <c r="A4566" i="5"/>
  <c r="C4567" i="5"/>
  <c r="A4567" i="5"/>
  <c r="C4568" i="5"/>
  <c r="A4568" i="5"/>
  <c r="C4569" i="5"/>
  <c r="H4569" i="5"/>
  <c r="C4570" i="5"/>
  <c r="A4570" i="5"/>
  <c r="C4571" i="5"/>
  <c r="C4572" i="5"/>
  <c r="D4572" i="5"/>
  <c r="C4573" i="5"/>
  <c r="A4573" i="5"/>
  <c r="C4574" i="5"/>
  <c r="H4574" i="5"/>
  <c r="C4575" i="5"/>
  <c r="D4575" i="5"/>
  <c r="C4576" i="5"/>
  <c r="C4577" i="5"/>
  <c r="B4577" i="5"/>
  <c r="C4578" i="5"/>
  <c r="C4579" i="5"/>
  <c r="A4579" i="5"/>
  <c r="C4580" i="5"/>
  <c r="A4580" i="5"/>
  <c r="C4581" i="5"/>
  <c r="D4581" i="5"/>
  <c r="C4582" i="5"/>
  <c r="E4582" i="5"/>
  <c r="C4583" i="5"/>
  <c r="H4583" i="5"/>
  <c r="C4584" i="5"/>
  <c r="B4584" i="5"/>
  <c r="C4585" i="5"/>
  <c r="A4585" i="5"/>
  <c r="C4586" i="5"/>
  <c r="G4586" i="5"/>
  <c r="C4587" i="5"/>
  <c r="D4587" i="5"/>
  <c r="C4588" i="5"/>
  <c r="D4588" i="5"/>
  <c r="C4589" i="5"/>
  <c r="A4589" i="5"/>
  <c r="C4590" i="5"/>
  <c r="C4591" i="5"/>
  <c r="A4591" i="5"/>
  <c r="C4592" i="5"/>
  <c r="A4592" i="5"/>
  <c r="C4593" i="5"/>
  <c r="G4593" i="5"/>
  <c r="C4594" i="5"/>
  <c r="H4594" i="5"/>
  <c r="C4595" i="5"/>
  <c r="G4595" i="5"/>
  <c r="C4596" i="5"/>
  <c r="B4596" i="5"/>
  <c r="C4597" i="5"/>
  <c r="A4597" i="5"/>
  <c r="C4598" i="5"/>
  <c r="D4598" i="5"/>
  <c r="C4599" i="5"/>
  <c r="A4599" i="5"/>
  <c r="C4600" i="5"/>
  <c r="E4600" i="5"/>
  <c r="C4601" i="5"/>
  <c r="E4601" i="5"/>
  <c r="C4602" i="5"/>
  <c r="C4603" i="5"/>
  <c r="C4604" i="5"/>
  <c r="A4604" i="5"/>
  <c r="C4605" i="5"/>
  <c r="C4606" i="5"/>
  <c r="E4606" i="5"/>
  <c r="C4607" i="5"/>
  <c r="E4607" i="5"/>
  <c r="C4608" i="5"/>
  <c r="B4608" i="5"/>
  <c r="C4609" i="5"/>
  <c r="A4609" i="5"/>
  <c r="C4610" i="5"/>
  <c r="D4610" i="5"/>
  <c r="C4611" i="5"/>
  <c r="G4611" i="5"/>
  <c r="C4612" i="5"/>
  <c r="A4612" i="5"/>
  <c r="C4613" i="5"/>
  <c r="B4613" i="5"/>
  <c r="C4614" i="5"/>
  <c r="C4615" i="5"/>
  <c r="E4615" i="5"/>
  <c r="C4616" i="5"/>
  <c r="B4616" i="5"/>
  <c r="C4617" i="5"/>
  <c r="B4617" i="5"/>
  <c r="C4618" i="5"/>
  <c r="H4618" i="5"/>
  <c r="C4619" i="5"/>
  <c r="E4619" i="5"/>
  <c r="C4620" i="5"/>
  <c r="F4620" i="5"/>
  <c r="C4621" i="5"/>
  <c r="A4621" i="5"/>
  <c r="C4622" i="5"/>
  <c r="H4622" i="5"/>
  <c r="C4623" i="5"/>
  <c r="A4623" i="5"/>
  <c r="C4624" i="5"/>
  <c r="A4624" i="5"/>
  <c r="C4625" i="5"/>
  <c r="A4625" i="5"/>
  <c r="C4626" i="5"/>
  <c r="C4627" i="5"/>
  <c r="A4627" i="5"/>
  <c r="C4628" i="5"/>
  <c r="A4628" i="5"/>
  <c r="C4629" i="5"/>
  <c r="A4629" i="5"/>
  <c r="C4630" i="5"/>
  <c r="G4630" i="5"/>
  <c r="C4631" i="5"/>
  <c r="A4631" i="5"/>
  <c r="C4632" i="5"/>
  <c r="B4632" i="5"/>
  <c r="C4633" i="5"/>
  <c r="E4633" i="5"/>
  <c r="C4634" i="5"/>
  <c r="D4634" i="5"/>
  <c r="C4635" i="5"/>
  <c r="F4635" i="5"/>
  <c r="C4636" i="5"/>
  <c r="D4636" i="5"/>
  <c r="C4637" i="5"/>
  <c r="B4637" i="5"/>
  <c r="C4638" i="5"/>
  <c r="C4639" i="5"/>
  <c r="A4639" i="5"/>
  <c r="C4640" i="5"/>
  <c r="B4640" i="5"/>
  <c r="C4641" i="5"/>
  <c r="D4641" i="5"/>
  <c r="C4642" i="5"/>
  <c r="E4642" i="5"/>
  <c r="C4643" i="5"/>
  <c r="E4643" i="5"/>
  <c r="C4644" i="5"/>
  <c r="B4644" i="5"/>
  <c r="C4645" i="5"/>
  <c r="A4645" i="5"/>
  <c r="C4646" i="5"/>
  <c r="F4646" i="5"/>
  <c r="C4647" i="5"/>
  <c r="H4647" i="5"/>
  <c r="C4648" i="5"/>
  <c r="G4648" i="5"/>
  <c r="C4649" i="5"/>
  <c r="B4649" i="5"/>
  <c r="C4650" i="5"/>
  <c r="C4651" i="5"/>
  <c r="C4652" i="5"/>
  <c r="D4652" i="5"/>
  <c r="C4653" i="5"/>
  <c r="D4653" i="5"/>
  <c r="C4654" i="5"/>
  <c r="E4654" i="5"/>
  <c r="C4655" i="5"/>
  <c r="H4655" i="5"/>
  <c r="C4656" i="5"/>
  <c r="B4656" i="5"/>
  <c r="C4657" i="5"/>
  <c r="E4657" i="5"/>
  <c r="C4658" i="5"/>
  <c r="G4658" i="5"/>
  <c r="C4659" i="5"/>
  <c r="F4659" i="5"/>
  <c r="C4660" i="5"/>
  <c r="H4660" i="5"/>
  <c r="C4661" i="5"/>
  <c r="A4661" i="5"/>
  <c r="C4662" i="5"/>
  <c r="C4663" i="5"/>
  <c r="A4663" i="5"/>
  <c r="C4664" i="5"/>
  <c r="B4664" i="5"/>
  <c r="C4665" i="5"/>
  <c r="D4665" i="5"/>
  <c r="C4666" i="5"/>
  <c r="H4666" i="5"/>
  <c r="C4667" i="5"/>
  <c r="G4667" i="5"/>
  <c r="C4668" i="5"/>
  <c r="A4668" i="5"/>
  <c r="C4669" i="5"/>
  <c r="A4669" i="5"/>
  <c r="C4670" i="5"/>
  <c r="A4670" i="5"/>
  <c r="C4671" i="5"/>
  <c r="D4671" i="5"/>
  <c r="C4672" i="5"/>
  <c r="G4672" i="5"/>
  <c r="C4673" i="5"/>
  <c r="B4673" i="5"/>
  <c r="C4674" i="5"/>
  <c r="C4675" i="5"/>
  <c r="C4676" i="5"/>
  <c r="A4676" i="5"/>
  <c r="C4677" i="5"/>
  <c r="D4677" i="5"/>
  <c r="C4678" i="5"/>
  <c r="D4678" i="5"/>
  <c r="C4679" i="5"/>
  <c r="E4679" i="5"/>
  <c r="C4680" i="5"/>
  <c r="B4680" i="5"/>
  <c r="C4681" i="5"/>
  <c r="A4681" i="5"/>
  <c r="C4682" i="5"/>
  <c r="B4682" i="5"/>
  <c r="C4683" i="5"/>
  <c r="D4683" i="5"/>
  <c r="C4684" i="5"/>
  <c r="D4684" i="5"/>
  <c r="C4685" i="5"/>
  <c r="A4685" i="5"/>
  <c r="C4686" i="5"/>
  <c r="C4687" i="5"/>
  <c r="D4687" i="5"/>
  <c r="C4688" i="5"/>
  <c r="D4688" i="5"/>
  <c r="C4689" i="5"/>
  <c r="F4689" i="5"/>
  <c r="C4690" i="5"/>
  <c r="A4690" i="5"/>
  <c r="C4691" i="5"/>
  <c r="E4691" i="5"/>
  <c r="C4692" i="5"/>
  <c r="B4692" i="5"/>
  <c r="C4693" i="5"/>
  <c r="E4693" i="5"/>
  <c r="C4694" i="5"/>
  <c r="G4694" i="5"/>
  <c r="C4695" i="5"/>
  <c r="G4695" i="5"/>
  <c r="C4696" i="5"/>
  <c r="E4696" i="5"/>
  <c r="C4697" i="5"/>
  <c r="H4697" i="5"/>
  <c r="C4698" i="5"/>
  <c r="A4698" i="5"/>
  <c r="C4699" i="5"/>
  <c r="E4699" i="5"/>
  <c r="C4700" i="5"/>
  <c r="B4700" i="5"/>
  <c r="C4701" i="5"/>
  <c r="F4701" i="5"/>
  <c r="C4702" i="5"/>
  <c r="G4702" i="5"/>
  <c r="C4703" i="5"/>
  <c r="E4703" i="5"/>
  <c r="C4704" i="5"/>
  <c r="B4704" i="5"/>
  <c r="C4705" i="5"/>
  <c r="A4705" i="5"/>
  <c r="C4706" i="5"/>
  <c r="G4706" i="5"/>
  <c r="C4707" i="5"/>
  <c r="D4707" i="5"/>
  <c r="C4708" i="5"/>
  <c r="D4708" i="5"/>
  <c r="C4709" i="5"/>
  <c r="B4709" i="5"/>
  <c r="C4710" i="5"/>
  <c r="C4711" i="5"/>
  <c r="A4711" i="5"/>
  <c r="C4712" i="5"/>
  <c r="B4712" i="5"/>
  <c r="C4713" i="5"/>
  <c r="C4714" i="5"/>
  <c r="E4714" i="5"/>
  <c r="C4715" i="5"/>
  <c r="E4715" i="5"/>
  <c r="C4716" i="5"/>
  <c r="A4716" i="5"/>
  <c r="C4717" i="5"/>
  <c r="E4717" i="5"/>
  <c r="C4718" i="5"/>
  <c r="F4718" i="5"/>
  <c r="C4719" i="5"/>
  <c r="H4719" i="5"/>
  <c r="C4720" i="5"/>
  <c r="H4720" i="5"/>
  <c r="C4721" i="5"/>
  <c r="A4721" i="5"/>
  <c r="C4722" i="5"/>
  <c r="C4723" i="5"/>
  <c r="C4724" i="5"/>
  <c r="D4724" i="5"/>
  <c r="C4725" i="5"/>
  <c r="G4725" i="5"/>
  <c r="C4726" i="5"/>
  <c r="E4726" i="5"/>
  <c r="C4727" i="5"/>
  <c r="A4727" i="5"/>
  <c r="C4728" i="5"/>
  <c r="F4728" i="5"/>
  <c r="C4729" i="5"/>
  <c r="A4729" i="5"/>
  <c r="C4730" i="5"/>
  <c r="G4730" i="5"/>
  <c r="C4731" i="5"/>
  <c r="A4731" i="5"/>
  <c r="C4732" i="5"/>
  <c r="E4732" i="5"/>
  <c r="C4733" i="5"/>
  <c r="B4733" i="5"/>
  <c r="C4734" i="5"/>
  <c r="A4734" i="5"/>
  <c r="C4735" i="5"/>
  <c r="A4735" i="5"/>
  <c r="C4736" i="5"/>
  <c r="A4736" i="5"/>
  <c r="C4737" i="5"/>
  <c r="D4737" i="5"/>
  <c r="C4738" i="5"/>
  <c r="H4738" i="5"/>
  <c r="C4739" i="5"/>
  <c r="G4739" i="5"/>
  <c r="C4740" i="5"/>
  <c r="F4740" i="5"/>
  <c r="C4741" i="5"/>
  <c r="A4741" i="5"/>
  <c r="C4742" i="5"/>
  <c r="F4742" i="5"/>
  <c r="C4743" i="5"/>
  <c r="F4743" i="5"/>
  <c r="C4744" i="5"/>
  <c r="G4744" i="5"/>
  <c r="C4745" i="5"/>
  <c r="B4745" i="5"/>
  <c r="C4746" i="5"/>
  <c r="A4746" i="5"/>
  <c r="C4747" i="5"/>
  <c r="B4747" i="5"/>
  <c r="C4748" i="5"/>
  <c r="B4748" i="5"/>
  <c r="C4749" i="5"/>
  <c r="A4749" i="5"/>
  <c r="C4750" i="5"/>
  <c r="G4750" i="5"/>
  <c r="C4751" i="5"/>
  <c r="E4751" i="5"/>
  <c r="C4752" i="5"/>
  <c r="B4752" i="5"/>
  <c r="C4753" i="5"/>
  <c r="A4753" i="5"/>
  <c r="C4754" i="5"/>
  <c r="F4754" i="5"/>
  <c r="C4755" i="5"/>
  <c r="D4755" i="5"/>
  <c r="C4756" i="5"/>
  <c r="D4756" i="5"/>
  <c r="C4757" i="5"/>
  <c r="D4757" i="5"/>
  <c r="C4758" i="5"/>
  <c r="C4759" i="5"/>
  <c r="C4760" i="5"/>
  <c r="D4760" i="5"/>
  <c r="C4761" i="5"/>
  <c r="F4761" i="5"/>
  <c r="C4762" i="5"/>
  <c r="A4762" i="5"/>
  <c r="C4763" i="5"/>
  <c r="E4763" i="5"/>
  <c r="C4764" i="5"/>
  <c r="A4764" i="5"/>
  <c r="C4765" i="5"/>
  <c r="E4765" i="5"/>
  <c r="C4766" i="5"/>
  <c r="H4766" i="5"/>
  <c r="C4767" i="5"/>
  <c r="A4767" i="5"/>
  <c r="C4768" i="5"/>
  <c r="E4768" i="5"/>
  <c r="C4769" i="5"/>
  <c r="A4769" i="5"/>
  <c r="C4770" i="5"/>
  <c r="C4771" i="5"/>
  <c r="C4772" i="5"/>
  <c r="C4773" i="5"/>
  <c r="C4774" i="5"/>
  <c r="G4774" i="5"/>
  <c r="C4775" i="5"/>
  <c r="E4775" i="5"/>
  <c r="C4776" i="5"/>
  <c r="F4776" i="5"/>
  <c r="C4777" i="5"/>
  <c r="A4777" i="5"/>
  <c r="C4778" i="5"/>
  <c r="G4778" i="5"/>
  <c r="C4779" i="5"/>
  <c r="B4779" i="5"/>
  <c r="C4780" i="5"/>
  <c r="D4780" i="5"/>
  <c r="C4781" i="5"/>
  <c r="D4781" i="5"/>
  <c r="C4782" i="5"/>
  <c r="C4783" i="5"/>
  <c r="A4783" i="5"/>
  <c r="C4784" i="5"/>
  <c r="A4784" i="5"/>
  <c r="C4785" i="5"/>
  <c r="G4785" i="5"/>
  <c r="C4786" i="5"/>
  <c r="E4786" i="5"/>
  <c r="C4787" i="5"/>
  <c r="E4787" i="5"/>
  <c r="C4788" i="5"/>
  <c r="H4788" i="5"/>
  <c r="C4789" i="5"/>
  <c r="E4789" i="5"/>
  <c r="C4790" i="5"/>
  <c r="F4790" i="5"/>
  <c r="C4791" i="5"/>
  <c r="G4791" i="5"/>
  <c r="C4792" i="5"/>
  <c r="D4792" i="5"/>
  <c r="C4793" i="5"/>
  <c r="D4793" i="5"/>
  <c r="C4794" i="5"/>
  <c r="C4795" i="5"/>
  <c r="D4795" i="5"/>
  <c r="C4796" i="5"/>
  <c r="D4796" i="5"/>
  <c r="C4797" i="5"/>
  <c r="H4797" i="5"/>
  <c r="C4798" i="5"/>
  <c r="E4798" i="5"/>
  <c r="C4799" i="5"/>
  <c r="H4799" i="5"/>
  <c r="C4800" i="5"/>
  <c r="B4800" i="5"/>
  <c r="C4801" i="5"/>
  <c r="A4801" i="5"/>
  <c r="C4802" i="5"/>
  <c r="G4802" i="5"/>
  <c r="C4803" i="5"/>
  <c r="F4803" i="5"/>
  <c r="C4804" i="5"/>
  <c r="H4804" i="5"/>
  <c r="C4805" i="5"/>
  <c r="A4805" i="5"/>
  <c r="C4806" i="5"/>
  <c r="B4507" i="5"/>
  <c r="B4508" i="5"/>
  <c r="B4509" i="5"/>
  <c r="B4510" i="5"/>
  <c r="B4511" i="5"/>
  <c r="B4512" i="5"/>
  <c r="B4513" i="5"/>
  <c r="B4514" i="5"/>
  <c r="B4515" i="5"/>
  <c r="B4516" i="5"/>
  <c r="B4517" i="5"/>
  <c r="B4518" i="5"/>
  <c r="B4519" i="5"/>
  <c r="B4520" i="5"/>
  <c r="B4521" i="5"/>
  <c r="B4522" i="5"/>
  <c r="B4523" i="5"/>
  <c r="B4524" i="5"/>
  <c r="B4525" i="5"/>
  <c r="B4526" i="5"/>
  <c r="B4539" i="5"/>
  <c r="B4540" i="5"/>
  <c r="B4549" i="5"/>
  <c r="B4563" i="5"/>
  <c r="B4567" i="5"/>
  <c r="B4568" i="5"/>
  <c r="B4572" i="5"/>
  <c r="B4604" i="5"/>
  <c r="B4652" i="5"/>
  <c r="A4508" i="5"/>
  <c r="A4556" i="5"/>
  <c r="A4615" i="5"/>
  <c r="A4724" i="5"/>
  <c r="N13" i="3"/>
  <c r="O13" i="3"/>
  <c r="P13" i="3"/>
  <c r="R13" i="3"/>
  <c r="U13" i="3"/>
  <c r="N14" i="3"/>
  <c r="O14" i="3"/>
  <c r="P14" i="3"/>
  <c r="Q14" i="3"/>
  <c r="R14" i="3"/>
  <c r="U14" i="3"/>
  <c r="P15" i="3"/>
  <c r="R15" i="3"/>
  <c r="U15" i="3"/>
  <c r="N16" i="3"/>
  <c r="O16" i="3"/>
  <c r="P16" i="3"/>
  <c r="R16" i="3"/>
  <c r="U16" i="3"/>
  <c r="N17" i="3"/>
  <c r="O17" i="3"/>
  <c r="P17" i="3"/>
  <c r="Q17" i="3"/>
  <c r="R17" i="3"/>
  <c r="U17" i="3"/>
  <c r="N18" i="3"/>
  <c r="O18" i="3"/>
  <c r="P18" i="3"/>
  <c r="Q18" i="3"/>
  <c r="R18" i="3"/>
  <c r="U18" i="3"/>
  <c r="N19" i="3"/>
  <c r="O19" i="3"/>
  <c r="P19" i="3"/>
  <c r="R19" i="3"/>
  <c r="U19" i="3"/>
  <c r="N20" i="3"/>
  <c r="O20" i="3"/>
  <c r="P20" i="3"/>
  <c r="Q20" i="3"/>
  <c r="R20" i="3"/>
  <c r="U20" i="3"/>
  <c r="N21" i="3"/>
  <c r="O21" i="3"/>
  <c r="P21" i="3"/>
  <c r="Q21" i="3"/>
  <c r="R21" i="3"/>
  <c r="S21" i="3"/>
  <c r="U21" i="3"/>
  <c r="N22" i="3"/>
  <c r="O22" i="3"/>
  <c r="P22" i="3"/>
  <c r="Q22" i="3"/>
  <c r="R22" i="3"/>
  <c r="S22" i="3"/>
  <c r="U22" i="3"/>
  <c r="N23" i="3"/>
  <c r="O23" i="3"/>
  <c r="P23" i="3"/>
  <c r="R23" i="3"/>
  <c r="U23" i="3"/>
  <c r="N24" i="3"/>
  <c r="O24" i="3"/>
  <c r="P24" i="3"/>
  <c r="R24" i="3"/>
  <c r="U24" i="3"/>
  <c r="N25" i="3"/>
  <c r="O25" i="3"/>
  <c r="P25" i="3"/>
  <c r="Q25" i="3"/>
  <c r="R25" i="3"/>
  <c r="U25" i="3"/>
  <c r="N26" i="3"/>
  <c r="O26" i="3"/>
  <c r="P26" i="3"/>
  <c r="R26" i="3"/>
  <c r="U26" i="3"/>
  <c r="P27" i="3"/>
  <c r="Q27" i="3"/>
  <c r="R27" i="3"/>
  <c r="S27" i="3"/>
  <c r="U27" i="3"/>
  <c r="N28" i="3"/>
  <c r="O28" i="3"/>
  <c r="P28" i="3"/>
  <c r="Q28" i="3"/>
  <c r="R28" i="3"/>
  <c r="S28" i="3"/>
  <c r="U28" i="3"/>
  <c r="N29" i="3"/>
  <c r="O29" i="3"/>
  <c r="P29" i="3"/>
  <c r="Q29" i="3"/>
  <c r="R29" i="3"/>
  <c r="U29" i="3"/>
  <c r="N30" i="3"/>
  <c r="O30" i="3"/>
  <c r="P30" i="3"/>
  <c r="Q30" i="3"/>
  <c r="R30" i="3"/>
  <c r="U30" i="3"/>
  <c r="N31" i="3"/>
  <c r="O31" i="3"/>
  <c r="P31" i="3"/>
  <c r="Q31" i="3"/>
  <c r="R31" i="3"/>
  <c r="U31" i="3"/>
  <c r="N32" i="3"/>
  <c r="O32" i="3"/>
  <c r="P32" i="3"/>
  <c r="Q32" i="3"/>
  <c r="R32" i="3"/>
  <c r="U32" i="3"/>
  <c r="N33" i="3"/>
  <c r="O33" i="3"/>
  <c r="P33" i="3"/>
  <c r="R33" i="3"/>
  <c r="U33" i="3"/>
  <c r="P34" i="3"/>
  <c r="R34" i="3"/>
  <c r="U34" i="3"/>
  <c r="N35" i="3"/>
  <c r="O35" i="3"/>
  <c r="P35" i="3"/>
  <c r="R35" i="3"/>
  <c r="U35" i="3"/>
  <c r="N36" i="3"/>
  <c r="O36" i="3"/>
  <c r="P36" i="3"/>
  <c r="Q36" i="3"/>
  <c r="R36" i="3"/>
  <c r="U36" i="3"/>
  <c r="N37" i="3"/>
  <c r="O37" i="3"/>
  <c r="P37" i="3"/>
  <c r="Q37" i="3"/>
  <c r="R37" i="3"/>
  <c r="U37" i="3"/>
  <c r="N38" i="3"/>
  <c r="O38" i="3"/>
  <c r="P38" i="3"/>
  <c r="Q38" i="3"/>
  <c r="R38" i="3"/>
  <c r="U38" i="3"/>
  <c r="N39" i="3"/>
  <c r="O39" i="3"/>
  <c r="P39" i="3"/>
  <c r="Q39" i="3"/>
  <c r="R39" i="3"/>
  <c r="U39" i="3"/>
  <c r="N40" i="3"/>
  <c r="O40" i="3"/>
  <c r="P40" i="3"/>
  <c r="Q40" i="3"/>
  <c r="R40" i="3"/>
  <c r="U40" i="3"/>
  <c r="N41" i="3"/>
  <c r="O41" i="3"/>
  <c r="P41" i="3"/>
  <c r="Q41" i="3"/>
  <c r="R41" i="3"/>
  <c r="S41" i="3"/>
  <c r="U41" i="3"/>
  <c r="N42" i="3"/>
  <c r="O42" i="3"/>
  <c r="P42" i="3"/>
  <c r="Q42" i="3"/>
  <c r="R42" i="3"/>
  <c r="S42" i="3"/>
  <c r="U42" i="3"/>
  <c r="N43" i="3"/>
  <c r="O43" i="3"/>
  <c r="P43" i="3"/>
  <c r="Q43" i="3"/>
  <c r="R43" i="3"/>
  <c r="U43" i="3"/>
  <c r="N44" i="3"/>
  <c r="O44" i="3"/>
  <c r="P44" i="3"/>
  <c r="Q44" i="3"/>
  <c r="R44" i="3"/>
  <c r="U44" i="3"/>
  <c r="N45" i="3"/>
  <c r="O45" i="3"/>
  <c r="P45" i="3"/>
  <c r="R45" i="3"/>
  <c r="U45" i="3"/>
  <c r="N46" i="3"/>
  <c r="O46" i="3"/>
  <c r="P46" i="3"/>
  <c r="Q46" i="3"/>
  <c r="R46" i="3"/>
  <c r="U46" i="3"/>
  <c r="N47" i="3"/>
  <c r="O47" i="3"/>
  <c r="P47" i="3"/>
  <c r="R47" i="3"/>
  <c r="U47" i="3"/>
  <c r="N48" i="3"/>
  <c r="O48" i="3"/>
  <c r="P48" i="3"/>
  <c r="Q48" i="3"/>
  <c r="R48" i="3"/>
  <c r="U48" i="3"/>
  <c r="N49" i="3"/>
  <c r="O49" i="3"/>
  <c r="P49" i="3"/>
  <c r="Q49" i="3"/>
  <c r="R49" i="3"/>
  <c r="U49" i="3"/>
  <c r="N50" i="3"/>
  <c r="O50" i="3"/>
  <c r="P50" i="3"/>
  <c r="Q50" i="3"/>
  <c r="R50" i="3"/>
  <c r="U50" i="3"/>
  <c r="N51" i="3"/>
  <c r="O51" i="3"/>
  <c r="P51" i="3"/>
  <c r="R51" i="3"/>
  <c r="U51" i="3"/>
  <c r="N52" i="3"/>
  <c r="O52" i="3"/>
  <c r="P52" i="3"/>
  <c r="R52" i="3"/>
  <c r="U52" i="3"/>
  <c r="N53" i="3"/>
  <c r="O53" i="3"/>
  <c r="P53" i="3"/>
  <c r="R53" i="3"/>
  <c r="U53" i="3"/>
  <c r="N54" i="3"/>
  <c r="O54" i="3"/>
  <c r="P54" i="3"/>
  <c r="Q54" i="3"/>
  <c r="R54" i="3"/>
  <c r="U54" i="3"/>
  <c r="N55" i="3"/>
  <c r="O55" i="3"/>
  <c r="P55" i="3"/>
  <c r="Q55" i="3"/>
  <c r="R55" i="3"/>
  <c r="U55" i="3"/>
  <c r="N56" i="3"/>
  <c r="O56" i="3"/>
  <c r="P56" i="3"/>
  <c r="R56" i="3"/>
  <c r="U56" i="3"/>
  <c r="N57" i="3"/>
  <c r="O57" i="3"/>
  <c r="P57" i="3"/>
  <c r="R57" i="3"/>
  <c r="U57" i="3"/>
  <c r="N58" i="3"/>
  <c r="O58" i="3"/>
  <c r="P58" i="3"/>
  <c r="Q58" i="3"/>
  <c r="R58" i="3"/>
  <c r="U58" i="3"/>
  <c r="N59" i="3"/>
  <c r="O59" i="3"/>
  <c r="P59" i="3"/>
  <c r="R59" i="3"/>
  <c r="U59" i="3"/>
  <c r="P60" i="3"/>
  <c r="Q60" i="3"/>
  <c r="R60" i="3"/>
  <c r="S60" i="3"/>
  <c r="U60" i="3"/>
  <c r="N61" i="3"/>
  <c r="O61" i="3"/>
  <c r="P61" i="3"/>
  <c r="Q61" i="3"/>
  <c r="R61" i="3"/>
  <c r="S61" i="3"/>
  <c r="U61" i="3"/>
  <c r="N62" i="3"/>
  <c r="O62" i="3"/>
  <c r="P62" i="3"/>
  <c r="Q62" i="3"/>
  <c r="R62" i="3"/>
  <c r="S62" i="3"/>
  <c r="U62" i="3"/>
  <c r="N63" i="3"/>
  <c r="O63" i="3"/>
  <c r="P63" i="3"/>
  <c r="Q63" i="3"/>
  <c r="R63" i="3"/>
  <c r="U63" i="3"/>
  <c r="N64" i="3"/>
  <c r="O64" i="3"/>
  <c r="P64" i="3"/>
  <c r="Q64" i="3"/>
  <c r="R64" i="3"/>
  <c r="U64" i="3"/>
  <c r="N65" i="3"/>
  <c r="O65" i="3"/>
  <c r="P65" i="3"/>
  <c r="R65" i="3"/>
  <c r="U65" i="3"/>
  <c r="N66" i="3"/>
  <c r="O66" i="3"/>
  <c r="P66" i="3"/>
  <c r="Q66" i="3"/>
  <c r="R66" i="3"/>
  <c r="U66" i="3"/>
  <c r="N67" i="3"/>
  <c r="O67" i="3"/>
  <c r="P67" i="3"/>
  <c r="Q67" i="3"/>
  <c r="R67" i="3"/>
  <c r="S67" i="3"/>
  <c r="U67" i="3"/>
  <c r="N68" i="3"/>
  <c r="O68" i="3"/>
  <c r="P68" i="3"/>
  <c r="Q68" i="3"/>
  <c r="R68" i="3"/>
  <c r="U68" i="3"/>
  <c r="N69" i="3"/>
  <c r="O69" i="3"/>
  <c r="P69" i="3"/>
  <c r="R69" i="3"/>
  <c r="U69" i="3"/>
  <c r="N70" i="3"/>
  <c r="O70" i="3"/>
  <c r="P70" i="3"/>
  <c r="Q70" i="3"/>
  <c r="R70" i="3"/>
  <c r="S70" i="3"/>
  <c r="U70" i="3"/>
  <c r="N71" i="3"/>
  <c r="O71" i="3"/>
  <c r="P71" i="3"/>
  <c r="R71" i="3"/>
  <c r="U71" i="3"/>
  <c r="N72" i="3"/>
  <c r="O72" i="3"/>
  <c r="P72" i="3"/>
  <c r="Q72" i="3"/>
  <c r="R72" i="3"/>
  <c r="U72" i="3"/>
  <c r="N73" i="3"/>
  <c r="O73" i="3"/>
  <c r="P73" i="3"/>
  <c r="Q73" i="3"/>
  <c r="R73" i="3"/>
  <c r="U73" i="3"/>
  <c r="N74" i="3"/>
  <c r="O74" i="3"/>
  <c r="P74" i="3"/>
  <c r="R74" i="3"/>
  <c r="U74" i="3"/>
  <c r="N75" i="3"/>
  <c r="O75" i="3"/>
  <c r="P75" i="3"/>
  <c r="Q75" i="3"/>
  <c r="R75" i="3"/>
  <c r="U75" i="3"/>
  <c r="N76" i="3"/>
  <c r="O76" i="3"/>
  <c r="P76" i="3"/>
  <c r="Q76" i="3"/>
  <c r="R76" i="3"/>
  <c r="U76" i="3"/>
  <c r="N77" i="3"/>
  <c r="O77" i="3"/>
  <c r="P77" i="3"/>
  <c r="Q77" i="3"/>
  <c r="R77" i="3"/>
  <c r="U77" i="3"/>
  <c r="N78" i="3"/>
  <c r="O78" i="3"/>
  <c r="P78" i="3"/>
  <c r="Q78" i="3"/>
  <c r="R78" i="3"/>
  <c r="U78" i="3"/>
  <c r="N79" i="3"/>
  <c r="O79" i="3"/>
  <c r="P79" i="3"/>
  <c r="Q79" i="3"/>
  <c r="R79" i="3"/>
  <c r="U79" i="3"/>
  <c r="N80" i="3"/>
  <c r="O80" i="3"/>
  <c r="P80" i="3"/>
  <c r="Q80" i="3"/>
  <c r="R80" i="3"/>
  <c r="S80" i="3"/>
  <c r="U80" i="3"/>
  <c r="N81" i="3"/>
  <c r="O81" i="3"/>
  <c r="P81" i="3"/>
  <c r="Q81" i="3"/>
  <c r="R81" i="3"/>
  <c r="S81" i="3"/>
  <c r="U81" i="3"/>
  <c r="N82" i="3"/>
  <c r="O82" i="3"/>
  <c r="P82" i="3"/>
  <c r="Q82" i="3"/>
  <c r="R82" i="3"/>
  <c r="U82" i="3"/>
  <c r="N83" i="3"/>
  <c r="O83" i="3"/>
  <c r="P83" i="3"/>
  <c r="Q83" i="3"/>
  <c r="R83" i="3"/>
  <c r="S83" i="3"/>
  <c r="U83" i="3"/>
  <c r="N84" i="3"/>
  <c r="O84" i="3"/>
  <c r="P84" i="3"/>
  <c r="R84" i="3"/>
  <c r="U84" i="3"/>
  <c r="N85" i="3"/>
  <c r="O85" i="3"/>
  <c r="P85" i="3"/>
  <c r="Q85" i="3"/>
  <c r="R85" i="3"/>
  <c r="U85" i="3"/>
  <c r="N86" i="3"/>
  <c r="O86" i="3"/>
  <c r="P86" i="3"/>
  <c r="Q86" i="3"/>
  <c r="R86" i="3"/>
  <c r="U86" i="3"/>
  <c r="N87" i="3"/>
  <c r="O87" i="3"/>
  <c r="P87" i="3"/>
  <c r="Q87" i="3"/>
  <c r="R87" i="3"/>
  <c r="U87" i="3"/>
  <c r="N88" i="3"/>
  <c r="O88" i="3"/>
  <c r="P88" i="3"/>
  <c r="Q88" i="3"/>
  <c r="R88" i="3"/>
  <c r="U88" i="3"/>
  <c r="N89" i="3"/>
  <c r="O89" i="3"/>
  <c r="P89" i="3"/>
  <c r="R89" i="3"/>
  <c r="U89" i="3"/>
  <c r="N90" i="3"/>
  <c r="O90" i="3"/>
  <c r="P90" i="3"/>
  <c r="Q90" i="3"/>
  <c r="R90" i="3"/>
  <c r="S90" i="3"/>
  <c r="U90" i="3"/>
  <c r="N91" i="3"/>
  <c r="O91" i="3"/>
  <c r="P91" i="3"/>
  <c r="Q91" i="3"/>
  <c r="R91" i="3"/>
  <c r="S91" i="3"/>
  <c r="U91" i="3"/>
  <c r="N92" i="3"/>
  <c r="O92" i="3"/>
  <c r="P92" i="3"/>
  <c r="Q92" i="3"/>
  <c r="R92" i="3"/>
  <c r="U92" i="3"/>
  <c r="N93" i="3"/>
  <c r="O93" i="3"/>
  <c r="P93" i="3"/>
  <c r="R93" i="3"/>
  <c r="U93" i="3"/>
  <c r="N94" i="3"/>
  <c r="O94" i="3"/>
  <c r="P94" i="3"/>
  <c r="Q94" i="3"/>
  <c r="R94" i="3"/>
  <c r="U94" i="3"/>
  <c r="N95" i="3"/>
  <c r="O95" i="3"/>
  <c r="P95" i="3"/>
  <c r="Q95" i="3"/>
  <c r="R95" i="3"/>
  <c r="U95" i="3"/>
  <c r="N96" i="3"/>
  <c r="O96" i="3"/>
  <c r="P96" i="3"/>
  <c r="R96" i="3"/>
  <c r="U96" i="3"/>
  <c r="N97" i="3"/>
  <c r="O97" i="3"/>
  <c r="P97" i="3"/>
  <c r="R97" i="3"/>
  <c r="U97" i="3"/>
  <c r="N98" i="3"/>
  <c r="O98" i="3"/>
  <c r="P98" i="3"/>
  <c r="Q98" i="3"/>
  <c r="R98" i="3"/>
  <c r="U98" i="3"/>
  <c r="N99" i="3"/>
  <c r="O99" i="3"/>
  <c r="P99" i="3"/>
  <c r="Q99" i="3"/>
  <c r="R99" i="3"/>
  <c r="S99" i="3"/>
  <c r="U99" i="3"/>
  <c r="N100" i="3"/>
  <c r="O100" i="3"/>
  <c r="P100" i="3"/>
  <c r="R100" i="3"/>
  <c r="U100" i="3"/>
  <c r="N101" i="3"/>
  <c r="O101" i="3"/>
  <c r="P101" i="3"/>
  <c r="Q101" i="3"/>
  <c r="R101" i="3"/>
  <c r="U101" i="3"/>
  <c r="N102" i="3"/>
  <c r="O102" i="3"/>
  <c r="P102" i="3"/>
  <c r="Q102" i="3"/>
  <c r="R102" i="3"/>
  <c r="S102" i="3"/>
  <c r="U102" i="3"/>
  <c r="N103" i="3"/>
  <c r="O103" i="3"/>
  <c r="P103" i="3"/>
  <c r="R103" i="3"/>
  <c r="U103" i="3"/>
  <c r="N104" i="3"/>
  <c r="O104" i="3"/>
  <c r="P104" i="3"/>
  <c r="Q104" i="3"/>
  <c r="R104" i="3"/>
  <c r="S104" i="3"/>
  <c r="U104" i="3"/>
  <c r="N105" i="3"/>
  <c r="O105" i="3"/>
  <c r="P105" i="3"/>
  <c r="Q105" i="3"/>
  <c r="R105" i="3"/>
  <c r="U105" i="3"/>
  <c r="N106" i="3"/>
  <c r="O106" i="3"/>
  <c r="P106" i="3"/>
  <c r="Q106" i="3"/>
  <c r="R106" i="3"/>
  <c r="U106" i="3"/>
  <c r="N107" i="3"/>
  <c r="O107" i="3"/>
  <c r="P107" i="3"/>
  <c r="Q107" i="3"/>
  <c r="R107" i="3"/>
  <c r="S107" i="3"/>
  <c r="U107" i="3"/>
  <c r="N108" i="3"/>
  <c r="O108" i="3"/>
  <c r="P108" i="3"/>
  <c r="R108" i="3"/>
  <c r="U108" i="3"/>
  <c r="N109" i="3"/>
  <c r="O109" i="3"/>
  <c r="P109" i="3"/>
  <c r="R109"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Q4" i="3"/>
  <c r="Q5" i="3"/>
  <c r="Q6" i="3"/>
  <c r="Q7" i="3"/>
  <c r="Q8" i="3"/>
  <c r="Q9" i="3"/>
  <c r="Q10" i="3"/>
  <c r="Q11" i="3"/>
  <c r="Q12" i="3"/>
  <c r="Q13" i="3"/>
  <c r="Q15" i="3"/>
  <c r="Q16" i="3"/>
  <c r="Q19" i="3"/>
  <c r="Q23" i="3"/>
  <c r="Q24" i="3"/>
  <c r="Q26" i="3"/>
  <c r="Q33" i="3"/>
  <c r="Q34" i="3"/>
  <c r="Q35" i="3"/>
  <c r="Q45" i="3"/>
  <c r="Q47" i="3"/>
  <c r="Q51" i="3"/>
  <c r="Q52" i="3"/>
  <c r="Q53" i="3"/>
  <c r="Q56" i="3"/>
  <c r="Q57" i="3"/>
  <c r="Q59" i="3"/>
  <c r="Q65" i="3"/>
  <c r="Q69" i="3"/>
  <c r="Q71" i="3"/>
  <c r="Q74" i="3"/>
  <c r="Q84" i="3"/>
  <c r="Q89" i="3"/>
  <c r="Q93" i="3"/>
  <c r="Q96" i="3"/>
  <c r="Q97" i="3"/>
  <c r="Q100" i="3"/>
  <c r="Q103"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P4" i="3"/>
  <c r="P5" i="3"/>
  <c r="P6" i="3"/>
  <c r="P7" i="3"/>
  <c r="P8" i="3"/>
  <c r="P9" i="3"/>
  <c r="P10" i="3"/>
  <c r="P11" i="3"/>
  <c r="P12"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N4" i="3"/>
  <c r="O4" i="3"/>
  <c r="N5" i="3"/>
  <c r="O5" i="3"/>
  <c r="N6" i="3"/>
  <c r="O6" i="3"/>
  <c r="N7" i="3"/>
  <c r="O7" i="3"/>
  <c r="N8" i="3"/>
  <c r="O8" i="3"/>
  <c r="N9" i="3"/>
  <c r="O9" i="3"/>
  <c r="N10" i="3"/>
  <c r="O10" i="3"/>
  <c r="N11" i="3"/>
  <c r="O11" i="3"/>
  <c r="N12" i="3"/>
  <c r="O12" i="3"/>
  <c r="L15" i="3"/>
  <c r="S15" i="3"/>
  <c r="W15" i="3"/>
  <c r="L16" i="3"/>
  <c r="S16" i="3"/>
  <c r="W16" i="3"/>
  <c r="L17" i="3"/>
  <c r="S17" i="3"/>
  <c r="W17" i="3"/>
  <c r="L18" i="3"/>
  <c r="S18" i="3"/>
  <c r="W18" i="3"/>
  <c r="L27" i="3"/>
  <c r="W27" i="3"/>
  <c r="L28" i="3"/>
  <c r="W28" i="3"/>
  <c r="L29" i="3"/>
  <c r="S29" i="3"/>
  <c r="W29" i="3"/>
  <c r="L30" i="3"/>
  <c r="S30" i="3"/>
  <c r="W30" i="3"/>
  <c r="L31" i="3"/>
  <c r="S31" i="3"/>
  <c r="W31" i="3"/>
  <c r="L32" i="3"/>
  <c r="S32" i="3"/>
  <c r="W32" i="3"/>
  <c r="L39" i="3"/>
  <c r="S39" i="3"/>
  <c r="W39" i="3"/>
  <c r="L41" i="3"/>
  <c r="W41" i="3"/>
  <c r="L42" i="3"/>
  <c r="W42" i="3"/>
  <c r="L45" i="3"/>
  <c r="S45" i="3"/>
  <c r="W45" i="3"/>
  <c r="L52" i="3"/>
  <c r="S52" i="3"/>
  <c r="W52" i="3"/>
  <c r="L53" i="3"/>
  <c r="S53" i="3"/>
  <c r="W53" i="3"/>
  <c r="L55" i="3"/>
  <c r="S55" i="3"/>
  <c r="W55" i="3"/>
  <c r="L56" i="3"/>
  <c r="S56" i="3"/>
  <c r="W56" i="3"/>
  <c r="L60" i="3"/>
  <c r="W60" i="3"/>
  <c r="L66" i="3"/>
  <c r="S66" i="3"/>
  <c r="W66" i="3"/>
  <c r="L67" i="3"/>
  <c r="W67" i="3"/>
  <c r="L68" i="3"/>
  <c r="S68" i="3"/>
  <c r="W68" i="3"/>
  <c r="L81" i="3"/>
  <c r="W81" i="3"/>
  <c r="L87" i="3"/>
  <c r="S87" i="3"/>
  <c r="W87" i="3"/>
  <c r="L88" i="3"/>
  <c r="S88" i="3"/>
  <c r="W88" i="3"/>
  <c r="L89" i="3"/>
  <c r="S89" i="3"/>
  <c r="W89" i="3"/>
  <c r="L90" i="3"/>
  <c r="W90" i="3"/>
  <c r="L93" i="3"/>
  <c r="S93" i="3"/>
  <c r="W93" i="3"/>
  <c r="L100" i="3"/>
  <c r="S100" i="3"/>
  <c r="W100" i="3"/>
  <c r="L102" i="3"/>
  <c r="W102" i="3"/>
  <c r="L103" i="3"/>
  <c r="S103" i="3"/>
  <c r="W103" i="3"/>
  <c r="L104" i="3"/>
  <c r="W104" i="3"/>
  <c r="N110" i="3"/>
  <c r="O110" i="3"/>
  <c r="N111" i="3"/>
  <c r="O111" i="3"/>
  <c r="N112" i="3"/>
  <c r="O112" i="3"/>
  <c r="N113" i="3"/>
  <c r="W113" i="3"/>
  <c r="N114" i="3"/>
  <c r="W114" i="3"/>
  <c r="N115" i="3"/>
  <c r="W115" i="3"/>
  <c r="N116" i="3"/>
  <c r="W116" i="3"/>
  <c r="N117" i="3"/>
  <c r="W117" i="3"/>
  <c r="N118" i="3"/>
  <c r="N119" i="3"/>
  <c r="O119" i="3"/>
  <c r="N120" i="3"/>
  <c r="O120" i="3"/>
  <c r="N121" i="3"/>
  <c r="O121" i="3"/>
  <c r="N122" i="3"/>
  <c r="O122" i="3"/>
  <c r="N123" i="3"/>
  <c r="W123" i="3"/>
  <c r="N124" i="3"/>
  <c r="W124" i="3"/>
  <c r="N125" i="3"/>
  <c r="O125" i="3"/>
  <c r="N126" i="3"/>
  <c r="W126" i="3"/>
  <c r="N127" i="3"/>
  <c r="O127" i="3"/>
  <c r="N128" i="3"/>
  <c r="O128" i="3"/>
  <c r="N129" i="3"/>
  <c r="O129" i="3"/>
  <c r="N130" i="3"/>
  <c r="O130" i="3"/>
  <c r="N131" i="3"/>
  <c r="N132" i="3"/>
  <c r="W132" i="3"/>
  <c r="N133" i="3"/>
  <c r="O133" i="3"/>
  <c r="N134" i="3"/>
  <c r="O134" i="3"/>
  <c r="N135" i="3"/>
  <c r="O135" i="3"/>
  <c r="N136" i="3"/>
  <c r="W136" i="3"/>
  <c r="N137" i="3"/>
  <c r="W137" i="3"/>
  <c r="N138" i="3"/>
  <c r="O138" i="3"/>
  <c r="N139" i="3"/>
  <c r="W139" i="3"/>
  <c r="N140" i="3"/>
  <c r="W140" i="3"/>
  <c r="N141" i="3"/>
  <c r="O141" i="3"/>
  <c r="N142" i="3"/>
  <c r="W142" i="3"/>
  <c r="N143" i="3"/>
  <c r="O143" i="3"/>
  <c r="N144" i="3"/>
  <c r="O144" i="3"/>
  <c r="N146" i="3"/>
  <c r="O146" i="3"/>
  <c r="N148" i="3"/>
  <c r="W148" i="3"/>
  <c r="N149" i="3"/>
  <c r="O149" i="3"/>
  <c r="N150" i="3"/>
  <c r="W150" i="3"/>
  <c r="N151" i="3"/>
  <c r="W151" i="3"/>
  <c r="N152" i="3"/>
  <c r="W152" i="3"/>
  <c r="N153" i="3"/>
  <c r="O153" i="3"/>
  <c r="N154" i="3"/>
  <c r="N155" i="3"/>
  <c r="W155" i="3"/>
  <c r="N156" i="3"/>
  <c r="O156" i="3"/>
  <c r="N158" i="3"/>
  <c r="N159" i="3"/>
  <c r="W159" i="3"/>
  <c r="N160" i="3"/>
  <c r="O160" i="3"/>
  <c r="N161" i="3"/>
  <c r="W161" i="3"/>
  <c r="N162" i="3"/>
  <c r="O162" i="3"/>
  <c r="N163" i="3"/>
  <c r="W163" i="3"/>
  <c r="N164" i="3"/>
  <c r="W164" i="3"/>
  <c r="N165" i="3"/>
  <c r="W165" i="3"/>
  <c r="N166" i="3"/>
  <c r="O166" i="3"/>
  <c r="N167" i="3"/>
  <c r="N168" i="3"/>
  <c r="N169" i="3"/>
  <c r="O169" i="3"/>
  <c r="N170" i="3"/>
  <c r="O170" i="3"/>
  <c r="N171" i="3"/>
  <c r="O171" i="3"/>
  <c r="N172" i="3"/>
  <c r="O172" i="3"/>
  <c r="N173" i="3"/>
  <c r="W173" i="3"/>
  <c r="N174" i="3"/>
  <c r="O174" i="3"/>
  <c r="N175" i="3"/>
  <c r="W175" i="3"/>
  <c r="N176" i="3"/>
  <c r="W176" i="3"/>
  <c r="N177" i="3"/>
  <c r="W177" i="3"/>
  <c r="N178" i="3"/>
  <c r="O178" i="3"/>
  <c r="N179" i="3"/>
  <c r="W180" i="3"/>
  <c r="N181" i="3"/>
  <c r="W181" i="3"/>
  <c r="N182" i="3"/>
  <c r="W182" i="3"/>
  <c r="N183" i="3"/>
  <c r="N184" i="3"/>
  <c r="W184" i="3"/>
  <c r="N185" i="3"/>
  <c r="W185" i="3"/>
  <c r="N186" i="3"/>
  <c r="O186" i="3"/>
  <c r="N187" i="3"/>
  <c r="W187" i="3"/>
  <c r="N188" i="3"/>
  <c r="O188" i="3"/>
  <c r="N189" i="3"/>
  <c r="W189" i="3"/>
  <c r="N190" i="3"/>
  <c r="N191" i="3"/>
  <c r="W191" i="3"/>
  <c r="N192" i="3"/>
  <c r="N193" i="3"/>
  <c r="O193" i="3"/>
  <c r="N194" i="3"/>
  <c r="N195" i="3"/>
  <c r="W195" i="3"/>
  <c r="N196" i="3"/>
  <c r="O196" i="3"/>
  <c r="N197" i="3"/>
  <c r="W197" i="3"/>
  <c r="N198" i="3"/>
  <c r="O198" i="3"/>
  <c r="N199" i="3"/>
  <c r="W199" i="3"/>
  <c r="N200" i="3"/>
  <c r="O200" i="3"/>
  <c r="N201" i="3"/>
  <c r="O201" i="3"/>
  <c r="N202" i="3"/>
  <c r="N203" i="3"/>
  <c r="N204" i="3"/>
  <c r="N205" i="3"/>
  <c r="W205" i="3"/>
  <c r="N206" i="3"/>
  <c r="N207" i="3"/>
  <c r="O207" i="3"/>
  <c r="N208" i="3"/>
  <c r="W208" i="3"/>
  <c r="N209" i="3"/>
  <c r="W209" i="3"/>
  <c r="N210" i="3"/>
  <c r="O210" i="3"/>
  <c r="N211" i="3"/>
  <c r="W211" i="3"/>
  <c r="N212" i="3"/>
  <c r="O212" i="3"/>
  <c r="N213" i="3"/>
  <c r="O213" i="3"/>
  <c r="N214" i="3"/>
  <c r="O214" i="3"/>
  <c r="N215" i="3"/>
  <c r="W215" i="3"/>
  <c r="N216" i="3"/>
  <c r="O216" i="3"/>
  <c r="N217" i="3"/>
  <c r="O217" i="3"/>
  <c r="N218" i="3"/>
  <c r="O218" i="3"/>
  <c r="N219" i="3"/>
  <c r="O219" i="3"/>
  <c r="N220" i="3"/>
  <c r="W220" i="3"/>
  <c r="N221" i="3"/>
  <c r="W221" i="3"/>
  <c r="N222" i="3"/>
  <c r="O222" i="3"/>
  <c r="N223" i="3"/>
  <c r="W223" i="3"/>
  <c r="N224" i="3"/>
  <c r="W224" i="3"/>
  <c r="N225" i="3"/>
  <c r="O225" i="3"/>
  <c r="N226" i="3"/>
  <c r="O226" i="3"/>
  <c r="N227" i="3"/>
  <c r="O227" i="3"/>
  <c r="N228" i="3"/>
  <c r="W228" i="3"/>
  <c r="N229" i="3"/>
  <c r="O229" i="3"/>
  <c r="N230" i="3"/>
  <c r="N231" i="3"/>
  <c r="W231" i="3"/>
  <c r="N232" i="3"/>
  <c r="W232" i="3"/>
  <c r="N233" i="3"/>
  <c r="W233" i="3"/>
  <c r="N234" i="3"/>
  <c r="O234" i="3"/>
  <c r="N235" i="3"/>
  <c r="W235" i="3"/>
  <c r="N236" i="3"/>
  <c r="O236" i="3"/>
  <c r="N237" i="3"/>
  <c r="W237" i="3"/>
  <c r="N238" i="3"/>
  <c r="O238" i="3"/>
  <c r="N239" i="3"/>
  <c r="O239" i="3"/>
  <c r="N240" i="3"/>
  <c r="O240" i="3"/>
  <c r="N241" i="3"/>
  <c r="N242" i="3"/>
  <c r="N243" i="3"/>
  <c r="N244" i="3"/>
  <c r="W244" i="3"/>
  <c r="N245" i="3"/>
  <c r="W245" i="3"/>
  <c r="N246" i="3"/>
  <c r="O246" i="3"/>
  <c r="N247" i="3"/>
  <c r="O247" i="3"/>
  <c r="N248" i="3"/>
  <c r="W248" i="3"/>
  <c r="N249" i="3"/>
  <c r="O249" i="3"/>
  <c r="N250" i="3"/>
  <c r="N251" i="3"/>
  <c r="O251" i="3"/>
  <c r="N252" i="3"/>
  <c r="O252" i="3"/>
  <c r="N253" i="3"/>
  <c r="O253" i="3"/>
  <c r="N254" i="3"/>
  <c r="N255" i="3"/>
  <c r="W255" i="3"/>
  <c r="N256" i="3"/>
  <c r="W256" i="3"/>
  <c r="N257" i="3"/>
  <c r="O257" i="3"/>
  <c r="N258" i="3"/>
  <c r="O258" i="3"/>
  <c r="N259" i="3"/>
  <c r="W259" i="3"/>
  <c r="N260" i="3"/>
  <c r="W260" i="3"/>
  <c r="N261" i="3"/>
  <c r="W261" i="3"/>
  <c r="N262" i="3"/>
  <c r="O262" i="3"/>
  <c r="N263" i="3"/>
  <c r="N264" i="3"/>
  <c r="O264" i="3"/>
  <c r="N265" i="3"/>
  <c r="O265" i="3"/>
  <c r="N266" i="3"/>
  <c r="O266" i="3"/>
  <c r="N267" i="3"/>
  <c r="N268" i="3"/>
  <c r="W268" i="3"/>
  <c r="N269" i="3"/>
  <c r="O269" i="3"/>
  <c r="N270" i="3"/>
  <c r="O270" i="3"/>
  <c r="N271" i="3"/>
  <c r="W271" i="3"/>
  <c r="N272" i="3"/>
  <c r="W272" i="3"/>
  <c r="N273" i="3"/>
  <c r="W273" i="3"/>
  <c r="N274" i="3"/>
  <c r="N275" i="3"/>
  <c r="O275" i="3"/>
  <c r="N276" i="3"/>
  <c r="N277" i="3"/>
  <c r="O277" i="3"/>
  <c r="N278" i="3"/>
  <c r="O278" i="3"/>
  <c r="N279" i="3"/>
  <c r="O279" i="3"/>
  <c r="N280" i="3"/>
  <c r="W280" i="3"/>
  <c r="N281" i="3"/>
  <c r="W281" i="3"/>
  <c r="N282" i="3"/>
  <c r="O282" i="3"/>
  <c r="N283" i="3"/>
  <c r="W283" i="3"/>
  <c r="N284" i="3"/>
  <c r="W284" i="3"/>
  <c r="N285" i="3"/>
  <c r="W285" i="3"/>
  <c r="N286" i="3"/>
  <c r="W286" i="3"/>
  <c r="N287" i="3"/>
  <c r="O287" i="3"/>
  <c r="N288" i="3"/>
  <c r="N289" i="3"/>
  <c r="O289" i="3"/>
  <c r="N290" i="3"/>
  <c r="O290" i="3"/>
  <c r="N291" i="3"/>
  <c r="N292" i="3"/>
  <c r="W292" i="3"/>
  <c r="N293" i="3"/>
  <c r="O293" i="3"/>
  <c r="N294" i="3"/>
  <c r="W294" i="3"/>
  <c r="N295" i="3"/>
  <c r="W295" i="3"/>
  <c r="N296" i="3"/>
  <c r="W296" i="3"/>
  <c r="N297" i="3"/>
  <c r="W297" i="3"/>
  <c r="W298" i="3"/>
  <c r="N299" i="3"/>
  <c r="O299" i="3"/>
  <c r="N300" i="3"/>
  <c r="N301" i="3"/>
  <c r="O301" i="3"/>
  <c r="N302" i="3"/>
  <c r="O302" i="3"/>
  <c r="N303" i="3"/>
  <c r="N304" i="3"/>
  <c r="W304" i="3"/>
  <c r="N305" i="3"/>
  <c r="O305" i="3"/>
  <c r="N306" i="3"/>
  <c r="W306" i="3"/>
  <c r="N307" i="3"/>
  <c r="W307" i="3"/>
  <c r="N308" i="3"/>
  <c r="W308" i="3"/>
  <c r="N309" i="3"/>
  <c r="W309" i="3"/>
  <c r="W310" i="3"/>
  <c r="N312" i="3"/>
  <c r="N313" i="3"/>
  <c r="O313" i="3"/>
  <c r="N314" i="3"/>
  <c r="O314" i="3"/>
  <c r="N315" i="3"/>
  <c r="O315" i="3"/>
  <c r="N316" i="3"/>
  <c r="W316" i="3"/>
  <c r="N317" i="3"/>
  <c r="W317" i="3"/>
  <c r="N318" i="3"/>
  <c r="W318" i="3"/>
  <c r="N319" i="3"/>
  <c r="O319" i="3"/>
  <c r="N320" i="3"/>
  <c r="W320" i="3"/>
  <c r="N321" i="3"/>
  <c r="W321" i="3"/>
  <c r="N322" i="3"/>
  <c r="N323" i="3"/>
  <c r="O323" i="3"/>
  <c r="N324" i="3"/>
  <c r="N325" i="3"/>
  <c r="O325" i="3"/>
  <c r="N326" i="3"/>
  <c r="O326" i="3"/>
  <c r="N327" i="3"/>
  <c r="O327" i="3"/>
  <c r="N328" i="3"/>
  <c r="O328" i="3"/>
  <c r="N329" i="3"/>
  <c r="W329" i="3"/>
  <c r="N330" i="3"/>
  <c r="W330" i="3"/>
  <c r="N331" i="3"/>
  <c r="W331" i="3"/>
  <c r="N332" i="3"/>
  <c r="W332" i="3"/>
  <c r="N333" i="3"/>
  <c r="W333" i="3"/>
  <c r="N334" i="3"/>
  <c r="N335" i="3"/>
  <c r="O335" i="3"/>
  <c r="N336" i="3"/>
  <c r="N337" i="3"/>
  <c r="O337" i="3"/>
  <c r="N338" i="3"/>
  <c r="O338" i="3"/>
  <c r="N339" i="3"/>
  <c r="N340" i="3"/>
  <c r="W340" i="3"/>
  <c r="N341" i="3"/>
  <c r="W341" i="3"/>
  <c r="N342" i="3"/>
  <c r="O342" i="3"/>
  <c r="N343" i="3"/>
  <c r="W343" i="3"/>
  <c r="N344" i="3"/>
  <c r="W344" i="3"/>
  <c r="N345" i="3"/>
  <c r="W345" i="3"/>
  <c r="N346" i="3"/>
  <c r="N347" i="3"/>
  <c r="O347" i="3"/>
  <c r="N348" i="3"/>
  <c r="N349" i="3"/>
  <c r="O349" i="3"/>
  <c r="N350" i="3"/>
  <c r="O350" i="3"/>
  <c r="N351" i="3"/>
  <c r="W351" i="3"/>
  <c r="N352" i="3"/>
  <c r="W352" i="3"/>
  <c r="N353" i="3"/>
  <c r="W353" i="3"/>
  <c r="N354" i="3"/>
  <c r="O354" i="3"/>
  <c r="N355" i="3"/>
  <c r="O355" i="3"/>
  <c r="N356" i="3"/>
  <c r="W356" i="3"/>
  <c r="N357" i="3"/>
  <c r="W357" i="3"/>
  <c r="N358" i="3"/>
  <c r="W358" i="3"/>
  <c r="N359" i="3"/>
  <c r="O359" i="3"/>
  <c r="N360" i="3"/>
  <c r="W360" i="3"/>
  <c r="N361" i="3"/>
  <c r="O361" i="3"/>
  <c r="N362" i="3"/>
  <c r="O362" i="3"/>
  <c r="N363" i="3"/>
  <c r="N364" i="3"/>
  <c r="W364" i="3"/>
  <c r="N365" i="3"/>
  <c r="W365" i="3"/>
  <c r="N366" i="3"/>
  <c r="W366" i="3"/>
  <c r="N367" i="3"/>
  <c r="W367" i="3"/>
  <c r="N368" i="3"/>
  <c r="W368" i="3"/>
  <c r="N369" i="3"/>
  <c r="W369" i="3"/>
  <c r="N370" i="3"/>
  <c r="W370" i="3"/>
  <c r="N371" i="3"/>
  <c r="O371" i="3"/>
  <c r="N372" i="3"/>
  <c r="N373" i="3"/>
  <c r="O373" i="3"/>
  <c r="N374" i="3"/>
  <c r="O374" i="3"/>
  <c r="N375" i="3"/>
  <c r="W375" i="3"/>
  <c r="N376" i="3"/>
  <c r="W376" i="3"/>
  <c r="N377" i="3"/>
  <c r="W377" i="3"/>
  <c r="N378" i="3"/>
  <c r="W378" i="3"/>
  <c r="N379" i="3"/>
  <c r="W379" i="3"/>
  <c r="N380" i="3"/>
  <c r="W380" i="3"/>
  <c r="N381" i="3"/>
  <c r="W381" i="3"/>
  <c r="N382" i="3"/>
  <c r="W382" i="3"/>
  <c r="N383" i="3"/>
  <c r="O383" i="3"/>
  <c r="N384" i="3"/>
  <c r="W384" i="3"/>
  <c r="N385" i="3"/>
  <c r="O385" i="3"/>
  <c r="N386" i="3"/>
  <c r="O386" i="3"/>
  <c r="N387" i="3"/>
  <c r="O387" i="3"/>
  <c r="N388" i="3"/>
  <c r="W388" i="3"/>
  <c r="N389" i="3"/>
  <c r="W389" i="3"/>
  <c r="N390" i="3"/>
  <c r="W390" i="3"/>
  <c r="N391" i="3"/>
  <c r="W391" i="3"/>
  <c r="N392" i="3"/>
  <c r="W392" i="3"/>
  <c r="N393" i="3"/>
  <c r="W393" i="3"/>
  <c r="N394" i="3"/>
  <c r="N396" i="3"/>
  <c r="N397" i="3"/>
  <c r="O397" i="3"/>
  <c r="N398" i="3"/>
  <c r="O398" i="3"/>
  <c r="N399" i="3"/>
  <c r="N400" i="3"/>
  <c r="W400" i="3"/>
  <c r="N401" i="3"/>
  <c r="W401" i="3"/>
  <c r="N402" i="3"/>
  <c r="W402" i="3"/>
  <c r="N403" i="3"/>
  <c r="W403" i="3"/>
  <c r="N404" i="3"/>
  <c r="W404" i="3"/>
  <c r="N405" i="3"/>
  <c r="W405" i="3"/>
  <c r="W406" i="3"/>
  <c r="N407" i="3"/>
  <c r="O407" i="3"/>
  <c r="N408" i="3"/>
  <c r="N409" i="3"/>
  <c r="O409" i="3"/>
  <c r="N410" i="3"/>
  <c r="O410" i="3"/>
  <c r="N411" i="3"/>
  <c r="W411" i="3"/>
  <c r="N412" i="3"/>
  <c r="W412" i="3"/>
  <c r="N413" i="3"/>
  <c r="W413" i="3"/>
  <c r="N414" i="3"/>
  <c r="W414" i="3"/>
  <c r="N415" i="3"/>
  <c r="W415" i="3"/>
  <c r="N416" i="3"/>
  <c r="W416" i="3"/>
  <c r="N417" i="3"/>
  <c r="W417" i="3"/>
  <c r="N418" i="3"/>
  <c r="N419" i="3"/>
  <c r="O419" i="3"/>
  <c r="N420" i="3"/>
  <c r="N422" i="3"/>
  <c r="O422" i="3"/>
  <c r="N423" i="3"/>
  <c r="O423" i="3"/>
  <c r="N424" i="3"/>
  <c r="W424" i="3"/>
  <c r="N425" i="3"/>
  <c r="W425" i="3"/>
  <c r="N426" i="3"/>
  <c r="W426" i="3"/>
  <c r="N427" i="3"/>
  <c r="W427" i="3"/>
  <c r="N428" i="3"/>
  <c r="W428" i="3"/>
  <c r="N429" i="3"/>
  <c r="W429" i="3"/>
  <c r="W430" i="3"/>
  <c r="N431" i="3"/>
  <c r="O431" i="3"/>
  <c r="N432" i="3"/>
  <c r="N433" i="3"/>
  <c r="O433" i="3"/>
  <c r="N434" i="3"/>
  <c r="O434" i="3"/>
  <c r="N435" i="3"/>
  <c r="N436" i="3"/>
  <c r="W436" i="3"/>
  <c r="N437" i="3"/>
  <c r="W437" i="3"/>
  <c r="N438" i="3"/>
  <c r="W438" i="3"/>
  <c r="N439" i="3"/>
  <c r="W439" i="3"/>
  <c r="N440" i="3"/>
  <c r="W440" i="3"/>
  <c r="N441" i="3"/>
  <c r="W441" i="3"/>
  <c r="N442" i="3"/>
  <c r="W442" i="3"/>
  <c r="N443" i="3"/>
  <c r="O443" i="3"/>
  <c r="N444" i="3"/>
  <c r="N445" i="3"/>
  <c r="O445" i="3"/>
  <c r="N446" i="3"/>
  <c r="O446" i="3"/>
  <c r="N447" i="3"/>
  <c r="W447" i="3"/>
  <c r="N448" i="3"/>
  <c r="W448" i="3"/>
  <c r="N449" i="3"/>
  <c r="W449" i="3"/>
  <c r="N450" i="3"/>
  <c r="W450" i="3"/>
  <c r="N451" i="3"/>
  <c r="W451" i="3"/>
  <c r="N452" i="3"/>
  <c r="W452" i="3"/>
  <c r="N453" i="3"/>
  <c r="W453" i="3"/>
  <c r="N454" i="3"/>
  <c r="N455" i="3"/>
  <c r="O455" i="3"/>
  <c r="N456" i="3"/>
  <c r="N457" i="3"/>
  <c r="O457" i="3"/>
  <c r="N458" i="3"/>
  <c r="O458" i="3"/>
  <c r="N459" i="3"/>
  <c r="N460" i="3"/>
  <c r="W460" i="3"/>
  <c r="N461" i="3"/>
  <c r="W461" i="3"/>
  <c r="N462" i="3"/>
  <c r="W462" i="3"/>
  <c r="N463" i="3"/>
  <c r="W463" i="3"/>
  <c r="N464" i="3"/>
  <c r="W464" i="3"/>
  <c r="N465" i="3"/>
  <c r="W465" i="3"/>
  <c r="N466" i="3"/>
  <c r="W466" i="3"/>
  <c r="N467" i="3"/>
  <c r="O467" i="3"/>
  <c r="N468" i="3"/>
  <c r="N469" i="3"/>
  <c r="O469" i="3"/>
  <c r="N470" i="3"/>
  <c r="O470" i="3"/>
  <c r="N471" i="3"/>
  <c r="O471" i="3"/>
  <c r="N472" i="3"/>
  <c r="W472" i="3"/>
  <c r="N473" i="3"/>
  <c r="W473" i="3"/>
  <c r="N474" i="3"/>
  <c r="W474" i="3"/>
  <c r="N475" i="3"/>
  <c r="W475" i="3"/>
  <c r="N476" i="3"/>
  <c r="W476" i="3"/>
  <c r="N477" i="3"/>
  <c r="W477" i="3"/>
  <c r="N478" i="3"/>
  <c r="N479" i="3"/>
  <c r="O479" i="3"/>
  <c r="N480" i="3"/>
  <c r="N481" i="3"/>
  <c r="O481" i="3"/>
  <c r="N482" i="3"/>
  <c r="O482" i="3"/>
  <c r="N483" i="3"/>
  <c r="W483" i="3"/>
  <c r="N484" i="3"/>
  <c r="W484" i="3"/>
  <c r="N485" i="3"/>
  <c r="W485" i="3"/>
  <c r="N486" i="3"/>
  <c r="W486" i="3"/>
  <c r="N487" i="3"/>
  <c r="W487" i="3"/>
  <c r="N488" i="3"/>
  <c r="W488" i="3"/>
  <c r="N489" i="3"/>
  <c r="W489" i="3"/>
  <c r="N490" i="3"/>
  <c r="W490" i="3"/>
  <c r="N491" i="3"/>
  <c r="O491" i="3"/>
  <c r="N492" i="3"/>
  <c r="N493" i="3"/>
  <c r="O493" i="3"/>
  <c r="N494" i="3"/>
  <c r="O494" i="3"/>
  <c r="N495" i="3"/>
  <c r="O495" i="3"/>
  <c r="N496" i="3"/>
  <c r="W496" i="3"/>
  <c r="N497" i="3"/>
  <c r="W497" i="3"/>
  <c r="N498" i="3"/>
  <c r="W498" i="3"/>
  <c r="N499" i="3"/>
  <c r="W499" i="3"/>
  <c r="N500" i="3"/>
  <c r="W500" i="3"/>
  <c r="N501" i="3"/>
  <c r="W501" i="3"/>
  <c r="N502" i="3"/>
  <c r="W502" i="3"/>
  <c r="N503" i="3"/>
  <c r="O503" i="3"/>
  <c r="L4" i="3"/>
  <c r="L5" i="3"/>
  <c r="L6" i="3"/>
  <c r="L7" i="3"/>
  <c r="L8" i="3"/>
  <c r="L9" i="3"/>
  <c r="L10" i="3"/>
  <c r="L11" i="3"/>
  <c r="L12" i="3"/>
  <c r="L13" i="3"/>
  <c r="L14" i="3"/>
  <c r="L19" i="3"/>
  <c r="L20" i="3"/>
  <c r="L21" i="3"/>
  <c r="L22" i="3"/>
  <c r="L23" i="3"/>
  <c r="L24" i="3"/>
  <c r="L25" i="3"/>
  <c r="L26" i="3"/>
  <c r="L33" i="3"/>
  <c r="L34" i="3"/>
  <c r="L35" i="3"/>
  <c r="L36" i="3"/>
  <c r="L37" i="3"/>
  <c r="L38" i="3"/>
  <c r="L40" i="3"/>
  <c r="L43" i="3"/>
  <c r="L44" i="3"/>
  <c r="L46" i="3"/>
  <c r="L47" i="3"/>
  <c r="L48" i="3"/>
  <c r="L49" i="3"/>
  <c r="L50" i="3"/>
  <c r="L51" i="3"/>
  <c r="L54" i="3"/>
  <c r="L57" i="3"/>
  <c r="L58" i="3"/>
  <c r="L59" i="3"/>
  <c r="L61" i="3"/>
  <c r="L62" i="3"/>
  <c r="L63" i="3"/>
  <c r="L64" i="3"/>
  <c r="L65" i="3"/>
  <c r="L69" i="3"/>
  <c r="L70" i="3"/>
  <c r="L71" i="3"/>
  <c r="L72" i="3"/>
  <c r="L73" i="3"/>
  <c r="L74" i="3"/>
  <c r="L75" i="3"/>
  <c r="L76" i="3"/>
  <c r="L77" i="3"/>
  <c r="L78" i="3"/>
  <c r="L79" i="3"/>
  <c r="L80" i="3"/>
  <c r="L82" i="3"/>
  <c r="L83" i="3"/>
  <c r="L84" i="3"/>
  <c r="L85" i="3"/>
  <c r="L86" i="3"/>
  <c r="L91" i="3"/>
  <c r="L92" i="3"/>
  <c r="L94" i="3"/>
  <c r="L95" i="3"/>
  <c r="L96" i="3"/>
  <c r="L97" i="3"/>
  <c r="L98" i="3"/>
  <c r="L99" i="3"/>
  <c r="L101"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N53" i="4"/>
  <c r="M53" i="4"/>
  <c r="L53" i="4"/>
  <c r="I53" i="4"/>
  <c r="H53" i="4"/>
  <c r="N52" i="4"/>
  <c r="M52" i="4"/>
  <c r="L52" i="4"/>
  <c r="I52" i="4"/>
  <c r="H52" i="4"/>
  <c r="N51" i="4"/>
  <c r="M51" i="4"/>
  <c r="L51" i="4"/>
  <c r="I51" i="4"/>
  <c r="H51" i="4"/>
  <c r="N50" i="4"/>
  <c r="M50" i="4"/>
  <c r="L50" i="4"/>
  <c r="I50" i="4"/>
  <c r="H50" i="4"/>
  <c r="N49" i="4"/>
  <c r="M49" i="4"/>
  <c r="L49" i="4"/>
  <c r="I49" i="4"/>
  <c r="H49" i="4"/>
  <c r="N48" i="4"/>
  <c r="M48" i="4"/>
  <c r="L48" i="4"/>
  <c r="I48" i="4"/>
  <c r="H48" i="4"/>
  <c r="N47" i="4"/>
  <c r="M47" i="4"/>
  <c r="L47" i="4"/>
  <c r="I47" i="4"/>
  <c r="H47" i="4"/>
  <c r="N46" i="4"/>
  <c r="M46" i="4"/>
  <c r="L46" i="4"/>
  <c r="I46" i="4"/>
  <c r="H46" i="4"/>
  <c r="N45" i="4"/>
  <c r="M45" i="4"/>
  <c r="L45" i="4"/>
  <c r="I45" i="4"/>
  <c r="H45" i="4"/>
  <c r="N44" i="4"/>
  <c r="M44" i="4"/>
  <c r="L44" i="4"/>
  <c r="I44" i="4"/>
  <c r="H44" i="4"/>
  <c r="N43" i="4"/>
  <c r="M43" i="4"/>
  <c r="L43" i="4"/>
  <c r="I43" i="4"/>
  <c r="H43" i="4"/>
  <c r="N42" i="4"/>
  <c r="M42" i="4"/>
  <c r="L42" i="4"/>
  <c r="I42" i="4"/>
  <c r="H42" i="4"/>
  <c r="N41" i="4"/>
  <c r="M41" i="4"/>
  <c r="L41" i="4"/>
  <c r="I41" i="4"/>
  <c r="H41" i="4"/>
  <c r="N40" i="4"/>
  <c r="M40" i="4"/>
  <c r="L40" i="4"/>
  <c r="I40" i="4"/>
  <c r="H40" i="4"/>
  <c r="N39" i="4"/>
  <c r="M39" i="4"/>
  <c r="L39" i="4"/>
  <c r="I39" i="4"/>
  <c r="H39" i="4"/>
  <c r="N38" i="4"/>
  <c r="M38" i="4"/>
  <c r="L38" i="4"/>
  <c r="I38" i="4"/>
  <c r="H38" i="4"/>
  <c r="N37" i="4"/>
  <c r="M37" i="4"/>
  <c r="L37" i="4"/>
  <c r="I37" i="4"/>
  <c r="H37" i="4"/>
  <c r="N36" i="4"/>
  <c r="M36" i="4"/>
  <c r="L36" i="4"/>
  <c r="I36" i="4"/>
  <c r="H36" i="4"/>
  <c r="N35" i="4"/>
  <c r="M35" i="4"/>
  <c r="L35" i="4"/>
  <c r="I35" i="4"/>
  <c r="H35" i="4"/>
  <c r="N34" i="4"/>
  <c r="M34" i="4"/>
  <c r="L34" i="4"/>
  <c r="I34" i="4"/>
  <c r="H34" i="4"/>
  <c r="N33" i="4"/>
  <c r="M33" i="4"/>
  <c r="L33" i="4"/>
  <c r="I33" i="4"/>
  <c r="H33" i="4"/>
  <c r="N32" i="4"/>
  <c r="M32" i="4"/>
  <c r="L32" i="4"/>
  <c r="I32" i="4"/>
  <c r="H32" i="4"/>
  <c r="N31" i="4"/>
  <c r="M31" i="4"/>
  <c r="L31" i="4"/>
  <c r="I31" i="4"/>
  <c r="H31" i="4"/>
  <c r="N30" i="4"/>
  <c r="M30" i="4"/>
  <c r="L30" i="4"/>
  <c r="I30" i="4"/>
  <c r="H30" i="4"/>
  <c r="N29" i="4"/>
  <c r="M29" i="4"/>
  <c r="L29" i="4"/>
  <c r="I29" i="4"/>
  <c r="H29" i="4"/>
  <c r="N28" i="4"/>
  <c r="M28" i="4"/>
  <c r="L28" i="4"/>
  <c r="I28" i="4"/>
  <c r="H28" i="4"/>
  <c r="N27" i="4"/>
  <c r="M27" i="4"/>
  <c r="L27" i="4"/>
  <c r="I27" i="4"/>
  <c r="H27" i="4"/>
  <c r="N26" i="4"/>
  <c r="M26" i="4"/>
  <c r="L26" i="4"/>
  <c r="I26" i="4"/>
  <c r="H26" i="4"/>
  <c r="N25" i="4"/>
  <c r="M25" i="4"/>
  <c r="L25" i="4"/>
  <c r="I25" i="4"/>
  <c r="H25" i="4"/>
  <c r="N24" i="4"/>
  <c r="M24" i="4"/>
  <c r="L24" i="4"/>
  <c r="I24" i="4"/>
  <c r="H24" i="4"/>
  <c r="N23" i="4"/>
  <c r="M23" i="4"/>
  <c r="L23" i="4"/>
  <c r="I23" i="4"/>
  <c r="H23" i="4"/>
  <c r="N22" i="4"/>
  <c r="M22" i="4"/>
  <c r="L22" i="4"/>
  <c r="I22" i="4"/>
  <c r="H22" i="4"/>
  <c r="N21" i="4"/>
  <c r="M21" i="4"/>
  <c r="L21" i="4"/>
  <c r="I21" i="4"/>
  <c r="H21" i="4"/>
  <c r="N20" i="4"/>
  <c r="M20" i="4"/>
  <c r="L20" i="4"/>
  <c r="I20" i="4"/>
  <c r="H20" i="4"/>
  <c r="N19" i="4"/>
  <c r="M19" i="4"/>
  <c r="L19" i="4"/>
  <c r="I19" i="4"/>
  <c r="H19" i="4"/>
  <c r="N18" i="4"/>
  <c r="M18" i="4"/>
  <c r="L18" i="4"/>
  <c r="I18" i="4"/>
  <c r="H18" i="4"/>
  <c r="N17" i="4"/>
  <c r="M17" i="4"/>
  <c r="L17" i="4"/>
  <c r="I17" i="4"/>
  <c r="H17" i="4"/>
  <c r="N16" i="4"/>
  <c r="M16" i="4"/>
  <c r="L16" i="4"/>
  <c r="I16" i="4"/>
  <c r="H16" i="4"/>
  <c r="N15" i="4"/>
  <c r="M15" i="4"/>
  <c r="L15" i="4"/>
  <c r="I15" i="4"/>
  <c r="H15" i="4"/>
  <c r="N14" i="4"/>
  <c r="M14" i="4"/>
  <c r="L14" i="4"/>
  <c r="I14" i="4"/>
  <c r="H14" i="4"/>
  <c r="N13" i="4"/>
  <c r="M13" i="4"/>
  <c r="L13" i="4"/>
  <c r="I13" i="4"/>
  <c r="H13" i="4"/>
  <c r="N12" i="4"/>
  <c r="M12" i="4"/>
  <c r="L12" i="4"/>
  <c r="I12" i="4"/>
  <c r="H12" i="4"/>
  <c r="N11" i="4"/>
  <c r="M11" i="4"/>
  <c r="L11" i="4"/>
  <c r="I11" i="4"/>
  <c r="H11" i="4"/>
  <c r="N10" i="4"/>
  <c r="M10" i="4"/>
  <c r="L10" i="4"/>
  <c r="I10" i="4"/>
  <c r="H10" i="4"/>
  <c r="N9" i="4"/>
  <c r="M9" i="4"/>
  <c r="L9" i="4"/>
  <c r="I9" i="4"/>
  <c r="H9" i="4"/>
  <c r="N8" i="4"/>
  <c r="M8" i="4"/>
  <c r="L8" i="4"/>
  <c r="I8" i="4"/>
  <c r="H8" i="4"/>
  <c r="N7" i="4"/>
  <c r="M7" i="4"/>
  <c r="L7" i="4"/>
  <c r="I7" i="4"/>
  <c r="H7" i="4"/>
  <c r="N6" i="4"/>
  <c r="M6" i="4"/>
  <c r="L6" i="4"/>
  <c r="I6" i="4"/>
  <c r="H6" i="4"/>
  <c r="N5" i="4"/>
  <c r="M5" i="4"/>
  <c r="L5" i="4"/>
  <c r="I5" i="4"/>
  <c r="H5" i="4"/>
  <c r="M4" i="4"/>
  <c r="L4" i="4"/>
  <c r="H4" i="4"/>
  <c r="I4" i="4"/>
  <c r="E4603" i="5"/>
  <c r="B4603" i="5"/>
  <c r="A4509" i="5"/>
  <c r="D4723" i="5"/>
  <c r="A4723" i="5"/>
  <c r="O286" i="3"/>
  <c r="B4761" i="5"/>
  <c r="B4547" i="5"/>
  <c r="O382" i="3"/>
  <c r="O142" i="3"/>
  <c r="A4713" i="5"/>
  <c r="B4713" i="5"/>
  <c r="A4605" i="5"/>
  <c r="B4605" i="5"/>
  <c r="W183" i="3"/>
  <c r="O183" i="3"/>
  <c r="S75" i="3"/>
  <c r="W75" i="3"/>
  <c r="B4711" i="5"/>
  <c r="B4543" i="5"/>
  <c r="O502" i="3"/>
  <c r="O370" i="3"/>
  <c r="O132" i="3"/>
  <c r="B4663" i="5"/>
  <c r="O490" i="3"/>
  <c r="O360" i="3"/>
  <c r="B4653" i="5"/>
  <c r="O228" i="3"/>
  <c r="W480" i="3"/>
  <c r="O480" i="3"/>
  <c r="W444" i="3"/>
  <c r="O444" i="3"/>
  <c r="W420" i="3"/>
  <c r="O420" i="3"/>
  <c r="W312" i="3"/>
  <c r="O312" i="3"/>
  <c r="O466" i="3"/>
  <c r="O358" i="3"/>
  <c r="W263" i="3"/>
  <c r="O263" i="3"/>
  <c r="A4665" i="5"/>
  <c r="B4773" i="5"/>
  <c r="A4773" i="5"/>
  <c r="D4557" i="5"/>
  <c r="A4557" i="5"/>
  <c r="W478" i="3"/>
  <c r="O478" i="3"/>
  <c r="W454" i="3"/>
  <c r="O454" i="3"/>
  <c r="W418" i="3"/>
  <c r="O418" i="3"/>
  <c r="W394" i="3"/>
  <c r="O394" i="3"/>
  <c r="W346" i="3"/>
  <c r="O346" i="3"/>
  <c r="W334" i="3"/>
  <c r="O334" i="3"/>
  <c r="W322" i="3"/>
  <c r="O322" i="3"/>
  <c r="W274" i="3"/>
  <c r="O274" i="3"/>
  <c r="W250" i="3"/>
  <c r="O250" i="3"/>
  <c r="W202" i="3"/>
  <c r="O202" i="3"/>
  <c r="W190" i="3"/>
  <c r="O190" i="3"/>
  <c r="W154" i="3"/>
  <c r="O154" i="3"/>
  <c r="W118" i="3"/>
  <c r="O118" i="3"/>
  <c r="S46" i="3"/>
  <c r="W46" i="3"/>
  <c r="A4617" i="5"/>
  <c r="B4569" i="5"/>
  <c r="O442" i="3"/>
  <c r="O181" i="3"/>
  <c r="W363" i="3"/>
  <c r="O363" i="3"/>
  <c r="O411" i="3"/>
  <c r="O351" i="3"/>
  <c r="B4772" i="5"/>
  <c r="A4772" i="5"/>
  <c r="O447" i="3"/>
  <c r="W459" i="3"/>
  <c r="O459" i="3"/>
  <c r="W435" i="3"/>
  <c r="O435" i="3"/>
  <c r="W399" i="3"/>
  <c r="O399" i="3"/>
  <c r="W339" i="3"/>
  <c r="O339" i="3"/>
  <c r="W303" i="3"/>
  <c r="O303" i="3"/>
  <c r="W291" i="3"/>
  <c r="O291" i="3"/>
  <c r="W267" i="3"/>
  <c r="O267" i="3"/>
  <c r="W243" i="3"/>
  <c r="O243" i="3"/>
  <c r="W254" i="3"/>
  <c r="O254" i="3"/>
  <c r="W230" i="3"/>
  <c r="O230" i="3"/>
  <c r="W206" i="3"/>
  <c r="O206" i="3"/>
  <c r="W194" i="3"/>
  <c r="O194" i="3"/>
  <c r="R194" i="3"/>
  <c r="W158" i="3"/>
  <c r="O158" i="3"/>
  <c r="O231" i="3"/>
  <c r="W242" i="3"/>
  <c r="O242" i="3"/>
  <c r="O182" i="3"/>
  <c r="O375" i="3"/>
  <c r="O483" i="3"/>
  <c r="O255" i="3"/>
  <c r="O195" i="3"/>
  <c r="A4536" i="5"/>
  <c r="B4536" i="5"/>
  <c r="W492" i="3"/>
  <c r="O492" i="3"/>
  <c r="W468" i="3"/>
  <c r="O468" i="3"/>
  <c r="W456" i="3"/>
  <c r="O456" i="3"/>
  <c r="W432" i="3"/>
  <c r="O432" i="3"/>
  <c r="W408" i="3"/>
  <c r="O408" i="3"/>
  <c r="W396" i="3"/>
  <c r="O396" i="3"/>
  <c r="W372" i="3"/>
  <c r="O372" i="3"/>
  <c r="W348" i="3"/>
  <c r="O348" i="3"/>
  <c r="W336" i="3"/>
  <c r="O336" i="3"/>
  <c r="W324" i="3"/>
  <c r="O324" i="3"/>
  <c r="W300" i="3"/>
  <c r="O300" i="3"/>
  <c r="W288" i="3"/>
  <c r="O288" i="3"/>
  <c r="W276" i="3"/>
  <c r="O276" i="3"/>
  <c r="W204" i="3"/>
  <c r="O204" i="3"/>
  <c r="W192" i="3"/>
  <c r="O192" i="3"/>
  <c r="W168" i="3"/>
  <c r="O168" i="3"/>
  <c r="S84" i="3"/>
  <c r="W84" i="3"/>
  <c r="A4571" i="5"/>
  <c r="B4571" i="5"/>
  <c r="E4559" i="5"/>
  <c r="B4559" i="5"/>
  <c r="O384" i="3"/>
  <c r="O215" i="3"/>
  <c r="W203" i="3"/>
  <c r="O203" i="3"/>
  <c r="W179" i="3"/>
  <c r="O179" i="3"/>
  <c r="W167" i="3"/>
  <c r="O167" i="3"/>
  <c r="R167" i="3"/>
  <c r="W131" i="3"/>
  <c r="O131" i="3"/>
  <c r="W107" i="3"/>
  <c r="W83" i="3"/>
  <c r="S71" i="3"/>
  <c r="W71" i="3"/>
  <c r="O155" i="3"/>
  <c r="E4771" i="5"/>
  <c r="A4771" i="5"/>
  <c r="B4771" i="5"/>
  <c r="D4759" i="5"/>
  <c r="B4759" i="5"/>
  <c r="B4675" i="5"/>
  <c r="A4675" i="5"/>
  <c r="D4651" i="5"/>
  <c r="B4651" i="5"/>
  <c r="E4555" i="5"/>
  <c r="A4555" i="5"/>
  <c r="O191" i="3"/>
  <c r="D4576" i="5"/>
  <c r="B4576" i="5"/>
  <c r="O205" i="3"/>
  <c r="O159" i="3"/>
  <c r="O123" i="3"/>
  <c r="W241" i="3"/>
  <c r="O241" i="3"/>
  <c r="B4749" i="5"/>
  <c r="B4593" i="5"/>
  <c r="A4759" i="5"/>
  <c r="A4652" i="5"/>
  <c r="B4797" i="5"/>
  <c r="B4699" i="5"/>
  <c r="B4592" i="5"/>
  <c r="A4700" i="5"/>
  <c r="A4544" i="5"/>
  <c r="B4591" i="5"/>
  <c r="A4797" i="5"/>
  <c r="A4748" i="5"/>
  <c r="A4699" i="5"/>
  <c r="A4641" i="5"/>
  <c r="B4795" i="5"/>
  <c r="B4737" i="5"/>
  <c r="B4688" i="5"/>
  <c r="B4639" i="5"/>
  <c r="B4581" i="5"/>
  <c r="B4531" i="5"/>
  <c r="O501" i="3"/>
  <c r="O489" i="3"/>
  <c r="O477" i="3"/>
  <c r="O465" i="3"/>
  <c r="O453" i="3"/>
  <c r="O441" i="3"/>
  <c r="O429" i="3"/>
  <c r="O417" i="3"/>
  <c r="O405" i="3"/>
  <c r="O393" i="3"/>
  <c r="O381" i="3"/>
  <c r="O369" i="3"/>
  <c r="O357" i="3"/>
  <c r="O345" i="3"/>
  <c r="O333" i="3"/>
  <c r="O321" i="3"/>
  <c r="O309" i="3"/>
  <c r="O297" i="3"/>
  <c r="O285" i="3"/>
  <c r="O273" i="3"/>
  <c r="O261" i="3"/>
  <c r="O237" i="3"/>
  <c r="O189" i="3"/>
  <c r="O177" i="3"/>
  <c r="O165" i="3"/>
  <c r="O117" i="3"/>
  <c r="A4701" i="5"/>
  <c r="A4545" i="5"/>
  <c r="B4641" i="5"/>
  <c r="B4533" i="5"/>
  <c r="A4651" i="5"/>
  <c r="B4796" i="5"/>
  <c r="B4689" i="5"/>
  <c r="A4796" i="5"/>
  <c r="A4747" i="5"/>
  <c r="A4689" i="5"/>
  <c r="A4640" i="5"/>
  <c r="A4533" i="5"/>
  <c r="B4785" i="5"/>
  <c r="B4736" i="5"/>
  <c r="B4687" i="5"/>
  <c r="B4629" i="5"/>
  <c r="B4580" i="5"/>
  <c r="B4555" i="5"/>
  <c r="B4529" i="5"/>
  <c r="O500" i="3"/>
  <c r="O488" i="3"/>
  <c r="O476" i="3"/>
  <c r="O464" i="3"/>
  <c r="O452" i="3"/>
  <c r="O440" i="3"/>
  <c r="O428" i="3"/>
  <c r="O416" i="3"/>
  <c r="O404" i="3"/>
  <c r="O392" i="3"/>
  <c r="O380" i="3"/>
  <c r="O368" i="3"/>
  <c r="O356" i="3"/>
  <c r="O344" i="3"/>
  <c r="O332" i="3"/>
  <c r="O320" i="3"/>
  <c r="O308" i="3"/>
  <c r="O296" i="3"/>
  <c r="O284" i="3"/>
  <c r="O272" i="3"/>
  <c r="R272" i="3"/>
  <c r="O260" i="3"/>
  <c r="O248" i="3"/>
  <c r="O224" i="3"/>
  <c r="O176" i="3"/>
  <c r="O164" i="3"/>
  <c r="O152" i="3"/>
  <c r="O140" i="3"/>
  <c r="O116" i="3"/>
  <c r="B4701" i="5"/>
  <c r="A4761" i="5"/>
  <c r="A4653" i="5"/>
  <c r="A4603" i="5"/>
  <c r="A4593" i="5"/>
  <c r="B4557" i="5"/>
  <c r="B4532" i="5"/>
  <c r="A4795" i="5"/>
  <c r="A4737" i="5"/>
  <c r="A4688" i="5"/>
  <c r="A4581" i="5"/>
  <c r="B4784" i="5"/>
  <c r="B4735" i="5"/>
  <c r="B4677" i="5"/>
  <c r="B4628" i="5"/>
  <c r="B4579" i="5"/>
  <c r="O499" i="3"/>
  <c r="R499" i="3"/>
  <c r="O487" i="3"/>
  <c r="O475" i="3"/>
  <c r="O463" i="3"/>
  <c r="O451" i="3"/>
  <c r="O439" i="3"/>
  <c r="O427" i="3"/>
  <c r="O415" i="3"/>
  <c r="O403" i="3"/>
  <c r="O391" i="3"/>
  <c r="R391" i="3"/>
  <c r="O379" i="3"/>
  <c r="O367" i="3"/>
  <c r="R367" i="3"/>
  <c r="O343" i="3"/>
  <c r="O331" i="3"/>
  <c r="O307" i="3"/>
  <c r="O295" i="3"/>
  <c r="O283" i="3"/>
  <c r="O271" i="3"/>
  <c r="O259" i="3"/>
  <c r="O235" i="3"/>
  <c r="O223" i="3"/>
  <c r="O211" i="3"/>
  <c r="O199" i="3"/>
  <c r="O187" i="3"/>
  <c r="O175" i="3"/>
  <c r="O163" i="3"/>
  <c r="O151" i="3"/>
  <c r="O139" i="3"/>
  <c r="O115" i="3"/>
  <c r="A4785" i="5"/>
  <c r="A4687" i="5"/>
  <c r="B4783" i="5"/>
  <c r="B4725" i="5"/>
  <c r="B4676" i="5"/>
  <c r="B4627" i="5"/>
  <c r="O498" i="3"/>
  <c r="O486" i="3"/>
  <c r="O474" i="3"/>
  <c r="O462" i="3"/>
  <c r="O450" i="3"/>
  <c r="O438" i="3"/>
  <c r="O426" i="3"/>
  <c r="O414" i="3"/>
  <c r="O402" i="3"/>
  <c r="R402" i="3"/>
  <c r="O390" i="3"/>
  <c r="O378" i="3"/>
  <c r="O366" i="3"/>
  <c r="O330" i="3"/>
  <c r="O318" i="3"/>
  <c r="O306" i="3"/>
  <c r="O294" i="3"/>
  <c r="R294" i="3"/>
  <c r="O150" i="3"/>
  <c r="O126" i="3"/>
  <c r="O114" i="3"/>
  <c r="A4677" i="5"/>
  <c r="A4569" i="5"/>
  <c r="A4521" i="5"/>
  <c r="B4724" i="5"/>
  <c r="B4545" i="5"/>
  <c r="O497" i="3"/>
  <c r="O485" i="3"/>
  <c r="O473" i="3"/>
  <c r="O461" i="3"/>
  <c r="O449" i="3"/>
  <c r="O437" i="3"/>
  <c r="O425" i="3"/>
  <c r="O413" i="3"/>
  <c r="O401" i="3"/>
  <c r="O389" i="3"/>
  <c r="O377" i="3"/>
  <c r="O365" i="3"/>
  <c r="O353" i="3"/>
  <c r="O341" i="3"/>
  <c r="O329" i="3"/>
  <c r="O317" i="3"/>
  <c r="O281" i="3"/>
  <c r="O245" i="3"/>
  <c r="O233" i="3"/>
  <c r="O221" i="3"/>
  <c r="O209" i="3"/>
  <c r="O197" i="3"/>
  <c r="O185" i="3"/>
  <c r="O173" i="3"/>
  <c r="O161" i="3"/>
  <c r="O137" i="3"/>
  <c r="R137" i="3"/>
  <c r="O113" i="3"/>
  <c r="A4725" i="5"/>
  <c r="B4723" i="5"/>
  <c r="B4665" i="5"/>
  <c r="B4615" i="5"/>
  <c r="O496" i="3"/>
  <c r="O484" i="3"/>
  <c r="O472" i="3"/>
  <c r="O460" i="3"/>
  <c r="O448" i="3"/>
  <c r="O436" i="3"/>
  <c r="O424" i="3"/>
  <c r="O412" i="3"/>
  <c r="O400" i="3"/>
  <c r="O388" i="3"/>
  <c r="O376" i="3"/>
  <c r="R376" i="3"/>
  <c r="O364" i="3"/>
  <c r="O352" i="3"/>
  <c r="O340" i="3"/>
  <c r="O316" i="3"/>
  <c r="O304" i="3"/>
  <c r="O292" i="3"/>
  <c r="O280" i="3"/>
  <c r="O268" i="3"/>
  <c r="O256" i="3"/>
  <c r="O244" i="3"/>
  <c r="O232" i="3"/>
  <c r="O220" i="3"/>
  <c r="O208" i="3"/>
  <c r="O184" i="3"/>
  <c r="O148" i="3"/>
  <c r="O136" i="3"/>
  <c r="R136" i="3"/>
  <c r="O124" i="3"/>
  <c r="D3459" i="5"/>
  <c r="C1834" i="5"/>
  <c r="D3856" i="5"/>
  <c r="D2984" i="5"/>
  <c r="B4558" i="5"/>
  <c r="B4570" i="5"/>
  <c r="A4594" i="5"/>
  <c r="B4541" i="5"/>
  <c r="B4528" i="5"/>
  <c r="B4553" i="5"/>
  <c r="B4565" i="5"/>
  <c r="B4552" i="5"/>
  <c r="B4538" i="5"/>
  <c r="A4582" i="5"/>
  <c r="A4546" i="5"/>
  <c r="A4510" i="5"/>
  <c r="B4564" i="5"/>
  <c r="B4550" i="5"/>
  <c r="B4537" i="5"/>
  <c r="A4760" i="5"/>
  <c r="A4712" i="5"/>
  <c r="A4664" i="5"/>
  <c r="A4616" i="5"/>
  <c r="B4760" i="5"/>
  <c r="B4575" i="5"/>
  <c r="B4562" i="5"/>
  <c r="B4548" i="5"/>
  <c r="B4535" i="5"/>
  <c r="B4574" i="5"/>
  <c r="B4561" i="5"/>
  <c r="B4534" i="5"/>
  <c r="A4606" i="5"/>
  <c r="A4534" i="5"/>
  <c r="B4573" i="5"/>
  <c r="B4560" i="5"/>
  <c r="F4806" i="5"/>
  <c r="A4806" i="5"/>
  <c r="D4794" i="5"/>
  <c r="A4794" i="5"/>
  <c r="F4782" i="5"/>
  <c r="A4782" i="5"/>
  <c r="F4770" i="5"/>
  <c r="A4770" i="5"/>
  <c r="D4758" i="5"/>
  <c r="A4758" i="5"/>
  <c r="G4722" i="5"/>
  <c r="A4722" i="5"/>
  <c r="F4710" i="5"/>
  <c r="A4710" i="5"/>
  <c r="D4686" i="5"/>
  <c r="A4686" i="5"/>
  <c r="D4674" i="5"/>
  <c r="A4674" i="5"/>
  <c r="F4662" i="5"/>
  <c r="B4662" i="5"/>
  <c r="A4662" i="5"/>
  <c r="D4650" i="5"/>
  <c r="B4650" i="5"/>
  <c r="A4650" i="5"/>
  <c r="F4638" i="5"/>
  <c r="A4638" i="5"/>
  <c r="B4638" i="5"/>
  <c r="F4626" i="5"/>
  <c r="B4626" i="5"/>
  <c r="A4626" i="5"/>
  <c r="G4614" i="5"/>
  <c r="B4614" i="5"/>
  <c r="A4614" i="5"/>
  <c r="B4602" i="5"/>
  <c r="A4602" i="5"/>
  <c r="G4590" i="5"/>
  <c r="A4590" i="5"/>
  <c r="B4590" i="5"/>
  <c r="B4578" i="5"/>
  <c r="A4578" i="5"/>
  <c r="B4554" i="5"/>
  <c r="B4746" i="5"/>
  <c r="B4710" i="5"/>
  <c r="A4542" i="5"/>
  <c r="B4530" i="5"/>
  <c r="A4518" i="5"/>
  <c r="B4566" i="5"/>
  <c r="B4782" i="5"/>
  <c r="B4674" i="5"/>
  <c r="B4542" i="5"/>
  <c r="B4806" i="5"/>
  <c r="B4770" i="5"/>
  <c r="B4734" i="5"/>
  <c r="B4698" i="5"/>
  <c r="A4530" i="5"/>
  <c r="B4794" i="5"/>
  <c r="B4758" i="5"/>
  <c r="B4722" i="5"/>
  <c r="B4686" i="5"/>
  <c r="B4805" i="5"/>
  <c r="B4769" i="5"/>
  <c r="B4721" i="5"/>
  <c r="B4685" i="5"/>
  <c r="B4661" i="5"/>
  <c r="B4625" i="5"/>
  <c r="B4589" i="5"/>
  <c r="A4793" i="5"/>
  <c r="A4781" i="5"/>
  <c r="A4757" i="5"/>
  <c r="A4745" i="5"/>
  <c r="A4733" i="5"/>
  <c r="A4709" i="5"/>
  <c r="A4697" i="5"/>
  <c r="A4673" i="5"/>
  <c r="A4649" i="5"/>
  <c r="A4637" i="5"/>
  <c r="A4613" i="5"/>
  <c r="A4601" i="5"/>
  <c r="A4576" i="5"/>
  <c r="A4564" i="5"/>
  <c r="A4552" i="5"/>
  <c r="A4540" i="5"/>
  <c r="A4528" i="5"/>
  <c r="A4516" i="5"/>
  <c r="B4804" i="5"/>
  <c r="B4792" i="5"/>
  <c r="B4780" i="5"/>
  <c r="B4768" i="5"/>
  <c r="B4756" i="5"/>
  <c r="B4744" i="5"/>
  <c r="B4732" i="5"/>
  <c r="B4720" i="5"/>
  <c r="B4708" i="5"/>
  <c r="B4696" i="5"/>
  <c r="B4684" i="5"/>
  <c r="B4672" i="5"/>
  <c r="B4660" i="5"/>
  <c r="B4648" i="5"/>
  <c r="B4636" i="5"/>
  <c r="B4624" i="5"/>
  <c r="B4612" i="5"/>
  <c r="B4600" i="5"/>
  <c r="B4588" i="5"/>
  <c r="B4551" i="5"/>
  <c r="B4527" i="5"/>
  <c r="B4757" i="5"/>
  <c r="A4565" i="5"/>
  <c r="A4529" i="5"/>
  <c r="B4793" i="5"/>
  <c r="B4601" i="5"/>
  <c r="A4517" i="5"/>
  <c r="B4781" i="5"/>
  <c r="B4697" i="5"/>
  <c r="A4804" i="5"/>
  <c r="A4744" i="5"/>
  <c r="A4648" i="5"/>
  <c r="A4563" i="5"/>
  <c r="B4791" i="5"/>
  <c r="B4719" i="5"/>
  <c r="B4659" i="5"/>
  <c r="B4599" i="5"/>
  <c r="A4755" i="5"/>
  <c r="A4707" i="5"/>
  <c r="A4659" i="5"/>
  <c r="A4550" i="5"/>
  <c r="B4802" i="5"/>
  <c r="B4766" i="5"/>
  <c r="B4718" i="5"/>
  <c r="B4670" i="5"/>
  <c r="B4646" i="5"/>
  <c r="B4610" i="5"/>
  <c r="B4586" i="5"/>
  <c r="A4802" i="5"/>
  <c r="A4790" i="5"/>
  <c r="A4778" i="5"/>
  <c r="A4766" i="5"/>
  <c r="A4754" i="5"/>
  <c r="A4742" i="5"/>
  <c r="A4730" i="5"/>
  <c r="A4718" i="5"/>
  <c r="A4706" i="5"/>
  <c r="A4694" i="5"/>
  <c r="A4682" i="5"/>
  <c r="A4658" i="5"/>
  <c r="A4646" i="5"/>
  <c r="A4634" i="5"/>
  <c r="A4622" i="5"/>
  <c r="A4610" i="5"/>
  <c r="A4598" i="5"/>
  <c r="A4586" i="5"/>
  <c r="B4801" i="5"/>
  <c r="B4789" i="5"/>
  <c r="B4777" i="5"/>
  <c r="B4765" i="5"/>
  <c r="B4753" i="5"/>
  <c r="B4741" i="5"/>
  <c r="B4729" i="5"/>
  <c r="B4717" i="5"/>
  <c r="B4705" i="5"/>
  <c r="B4693" i="5"/>
  <c r="B4681" i="5"/>
  <c r="B4669" i="5"/>
  <c r="B4657" i="5"/>
  <c r="B4645" i="5"/>
  <c r="B4633" i="5"/>
  <c r="B4621" i="5"/>
  <c r="B4609" i="5"/>
  <c r="B4597" i="5"/>
  <c r="B4585" i="5"/>
  <c r="A4780" i="5"/>
  <c r="A4732" i="5"/>
  <c r="A4684" i="5"/>
  <c r="A4636" i="5"/>
  <c r="B4803" i="5"/>
  <c r="B4743" i="5"/>
  <c r="B4647" i="5"/>
  <c r="A4779" i="5"/>
  <c r="A4743" i="5"/>
  <c r="A4695" i="5"/>
  <c r="A4647" i="5"/>
  <c r="A4611" i="5"/>
  <c r="A4562" i="5"/>
  <c r="B4754" i="5"/>
  <c r="B4694" i="5"/>
  <c r="B4622" i="5"/>
  <c r="A4768" i="5"/>
  <c r="A4756" i="5"/>
  <c r="A4708" i="5"/>
  <c r="A4696" i="5"/>
  <c r="A4660" i="5"/>
  <c r="A4600" i="5"/>
  <c r="B4767" i="5"/>
  <c r="B4755" i="5"/>
  <c r="B4731" i="5"/>
  <c r="B4695" i="5"/>
  <c r="B4683" i="5"/>
  <c r="B4671" i="5"/>
  <c r="B4635" i="5"/>
  <c r="B4623" i="5"/>
  <c r="B4611" i="5"/>
  <c r="B4587" i="5"/>
  <c r="A4791" i="5"/>
  <c r="A4683" i="5"/>
  <c r="A4635" i="5"/>
  <c r="A4574" i="5"/>
  <c r="B4778" i="5"/>
  <c r="B4730" i="5"/>
  <c r="B4634" i="5"/>
  <c r="A4765" i="5"/>
  <c r="A4693" i="5"/>
  <c r="A4657" i="5"/>
  <c r="B4764" i="5"/>
  <c r="B4716" i="5"/>
  <c r="B4668" i="5"/>
  <c r="B4620" i="5"/>
  <c r="A4800" i="5"/>
  <c r="A4788" i="5"/>
  <c r="A4776" i="5"/>
  <c r="A4752" i="5"/>
  <c r="A4740" i="5"/>
  <c r="A4728" i="5"/>
  <c r="A4704" i="5"/>
  <c r="A4692" i="5"/>
  <c r="A4680" i="5"/>
  <c r="A4656" i="5"/>
  <c r="A4644" i="5"/>
  <c r="A4632" i="5"/>
  <c r="A4620" i="5"/>
  <c r="A4608" i="5"/>
  <c r="A4596" i="5"/>
  <c r="A4584" i="5"/>
  <c r="A4559" i="5"/>
  <c r="A4547" i="5"/>
  <c r="A4535" i="5"/>
  <c r="A4523" i="5"/>
  <c r="A4511" i="5"/>
  <c r="B4799" i="5"/>
  <c r="B4787" i="5"/>
  <c r="B4775" i="5"/>
  <c r="B4763" i="5"/>
  <c r="B4751" i="5"/>
  <c r="B4739" i="5"/>
  <c r="B4727" i="5"/>
  <c r="B4715" i="5"/>
  <c r="B4703" i="5"/>
  <c r="B4691" i="5"/>
  <c r="B4679" i="5"/>
  <c r="B4667" i="5"/>
  <c r="B4655" i="5"/>
  <c r="B4643" i="5"/>
  <c r="B4631" i="5"/>
  <c r="B4619" i="5"/>
  <c r="B4607" i="5"/>
  <c r="B4595" i="5"/>
  <c r="B4583" i="5"/>
  <c r="A4789" i="5"/>
  <c r="A4717" i="5"/>
  <c r="B4740" i="5"/>
  <c r="A4799" i="5"/>
  <c r="A4787" i="5"/>
  <c r="A4775" i="5"/>
  <c r="A4763" i="5"/>
  <c r="A4751" i="5"/>
  <c r="A4739" i="5"/>
  <c r="A4715" i="5"/>
  <c r="A4703" i="5"/>
  <c r="A4691" i="5"/>
  <c r="A4679" i="5"/>
  <c r="A4667" i="5"/>
  <c r="A4655" i="5"/>
  <c r="A4643" i="5"/>
  <c r="A4619" i="5"/>
  <c r="A4607" i="5"/>
  <c r="A4595" i="5"/>
  <c r="A4583" i="5"/>
  <c r="B4798" i="5"/>
  <c r="B4786" i="5"/>
  <c r="B4774" i="5"/>
  <c r="B4762" i="5"/>
  <c r="B4750" i="5"/>
  <c r="B4738" i="5"/>
  <c r="B4726" i="5"/>
  <c r="B4714" i="5"/>
  <c r="B4702" i="5"/>
  <c r="B4690" i="5"/>
  <c r="B4678" i="5"/>
  <c r="B4666" i="5"/>
  <c r="B4654" i="5"/>
  <c r="B4642" i="5"/>
  <c r="B4630" i="5"/>
  <c r="B4618" i="5"/>
  <c r="B4606" i="5"/>
  <c r="B4594" i="5"/>
  <c r="B4582" i="5"/>
  <c r="A4633" i="5"/>
  <c r="A4572" i="5"/>
  <c r="A4524" i="5"/>
  <c r="B4776" i="5"/>
  <c r="B4728" i="5"/>
  <c r="A4798" i="5"/>
  <c r="A4786" i="5"/>
  <c r="A4774" i="5"/>
  <c r="A4750" i="5"/>
  <c r="A4738" i="5"/>
  <c r="A4726" i="5"/>
  <c r="A4714" i="5"/>
  <c r="A4702" i="5"/>
  <c r="A4678" i="5"/>
  <c r="A4666" i="5"/>
  <c r="A4654" i="5"/>
  <c r="A4642" i="5"/>
  <c r="A4630" i="5"/>
  <c r="A4618" i="5"/>
  <c r="A4792" i="5"/>
  <c r="A4720" i="5"/>
  <c r="A4672" i="5"/>
  <c r="A4588" i="5"/>
  <c r="A4575" i="5"/>
  <c r="A4551" i="5"/>
  <c r="A4527" i="5"/>
  <c r="B4707" i="5"/>
  <c r="A4803" i="5"/>
  <c r="A4719" i="5"/>
  <c r="A4671" i="5"/>
  <c r="A4587" i="5"/>
  <c r="B4790" i="5"/>
  <c r="B4742" i="5"/>
  <c r="B4706" i="5"/>
  <c r="B4658" i="5"/>
  <c r="B4598" i="5"/>
  <c r="B4788" i="5"/>
  <c r="C1833" i="5"/>
  <c r="C2987" i="5"/>
  <c r="A4577" i="5"/>
  <c r="C2986" i="5"/>
  <c r="F2986" i="5"/>
  <c r="C3852" i="5"/>
  <c r="C3850" i="5"/>
  <c r="F3850" i="5"/>
  <c r="C3849" i="5"/>
  <c r="C3848" i="5"/>
  <c r="D1838" i="5"/>
  <c r="D1835" i="5"/>
  <c r="D1836" i="5"/>
  <c r="D1837" i="5"/>
  <c r="C1839" i="5"/>
  <c r="E1839" i="5"/>
  <c r="C1835" i="5"/>
  <c r="C1840" i="5"/>
  <c r="D1832" i="5"/>
  <c r="D1833" i="5"/>
  <c r="D1834" i="5"/>
  <c r="C1836" i="5"/>
  <c r="D1839" i="5"/>
  <c r="D1840" i="5"/>
  <c r="C1832" i="5"/>
  <c r="F4779" i="5"/>
  <c r="H4779" i="5"/>
  <c r="H4767" i="5"/>
  <c r="F4767" i="5"/>
  <c r="D4428" i="5"/>
  <c r="D4429" i="5"/>
  <c r="D4431" i="5"/>
  <c r="D4425" i="5"/>
  <c r="D4426" i="5"/>
  <c r="D4424" i="5"/>
  <c r="C4424" i="5"/>
  <c r="E4424" i="5"/>
  <c r="C4431" i="5"/>
  <c r="D4427" i="5"/>
  <c r="C4432" i="5"/>
  <c r="F4432" i="5"/>
  <c r="D4430" i="5"/>
  <c r="D4432" i="5"/>
  <c r="C4428" i="5"/>
  <c r="C4425" i="5"/>
  <c r="C4426" i="5"/>
  <c r="C4427" i="5"/>
  <c r="D4212" i="5"/>
  <c r="D4213" i="5"/>
  <c r="D4215" i="5"/>
  <c r="D4209" i="5"/>
  <c r="D4210" i="5"/>
  <c r="C4210" i="5"/>
  <c r="C4208" i="5"/>
  <c r="D4208" i="5"/>
  <c r="D4211" i="5"/>
  <c r="C4209" i="5"/>
  <c r="C4212" i="5"/>
  <c r="D4214" i="5"/>
  <c r="D4216" i="5"/>
  <c r="C4216" i="5"/>
  <c r="C4211" i="5"/>
  <c r="C4215" i="5"/>
  <c r="D3458" i="5"/>
  <c r="D3452" i="5"/>
  <c r="D3454" i="5"/>
  <c r="D3455" i="5"/>
  <c r="D3456" i="5"/>
  <c r="C3452" i="5"/>
  <c r="D3453" i="5"/>
  <c r="D3457" i="5"/>
  <c r="C3459" i="5"/>
  <c r="C3460" i="5"/>
  <c r="C3453" i="5"/>
  <c r="C3454" i="5"/>
  <c r="F3454" i="5"/>
  <c r="C3455" i="5"/>
  <c r="C3456" i="5"/>
  <c r="D3460" i="5"/>
  <c r="D2918" i="5"/>
  <c r="D2915" i="5"/>
  <c r="C2919" i="5"/>
  <c r="D2912" i="5"/>
  <c r="D2913" i="5"/>
  <c r="D2914" i="5"/>
  <c r="C2920" i="5"/>
  <c r="D2916" i="5"/>
  <c r="D2917" i="5"/>
  <c r="C2913" i="5"/>
  <c r="C2914" i="5"/>
  <c r="C2915" i="5"/>
  <c r="C2916" i="5"/>
  <c r="C2912" i="5"/>
  <c r="D2919" i="5"/>
  <c r="D2920" i="5"/>
  <c r="D2810" i="5"/>
  <c r="D2811" i="5"/>
  <c r="D2807" i="5"/>
  <c r="D2808" i="5"/>
  <c r="D2804" i="5"/>
  <c r="D2805" i="5"/>
  <c r="C2808" i="5"/>
  <c r="C2811" i="5"/>
  <c r="E2811" i="5"/>
  <c r="D2806" i="5"/>
  <c r="D2809" i="5"/>
  <c r="C2804" i="5"/>
  <c r="D2812" i="5"/>
  <c r="C2805" i="5"/>
  <c r="C2806" i="5"/>
  <c r="C2807" i="5"/>
  <c r="C2812" i="5"/>
  <c r="D1940" i="5"/>
  <c r="D1941" i="5"/>
  <c r="D1942" i="5"/>
  <c r="D1946" i="5"/>
  <c r="C1942" i="5"/>
  <c r="D1947" i="5"/>
  <c r="C1943" i="5"/>
  <c r="D1948" i="5"/>
  <c r="C1941" i="5"/>
  <c r="D1943" i="5"/>
  <c r="C1944" i="5"/>
  <c r="D1944" i="5"/>
  <c r="C1947" i="5"/>
  <c r="D1945" i="5"/>
  <c r="C1948" i="5"/>
  <c r="C1940" i="5"/>
  <c r="E1940" i="5"/>
  <c r="D1510" i="5"/>
  <c r="D1514" i="5"/>
  <c r="D1515" i="5"/>
  <c r="D1511" i="5"/>
  <c r="D1512" i="5"/>
  <c r="D1513" i="5"/>
  <c r="C1515" i="5"/>
  <c r="C1508" i="5"/>
  <c r="E1508" i="5"/>
  <c r="C1510" i="5"/>
  <c r="F1510" i="5"/>
  <c r="C1512" i="5"/>
  <c r="C1511" i="5"/>
  <c r="C1516" i="5"/>
  <c r="F1516" i="5"/>
  <c r="D1508" i="5"/>
  <c r="D1509" i="5"/>
  <c r="D1516" i="5"/>
  <c r="C1509" i="5"/>
  <c r="D1294" i="5"/>
  <c r="D1295" i="5"/>
  <c r="D1296" i="5"/>
  <c r="C1300" i="5"/>
  <c r="D1292" i="5"/>
  <c r="D1293" i="5"/>
  <c r="C1292" i="5"/>
  <c r="C1293" i="5"/>
  <c r="C1299" i="5"/>
  <c r="D1297" i="5"/>
  <c r="D1298" i="5"/>
  <c r="D1299" i="5"/>
  <c r="D1300" i="5"/>
  <c r="C1294" i="5"/>
  <c r="C1295" i="5"/>
  <c r="C1296" i="5"/>
  <c r="D862" i="5"/>
  <c r="D866" i="5"/>
  <c r="D867" i="5"/>
  <c r="C868" i="5"/>
  <c r="F868" i="5"/>
  <c r="D860" i="5"/>
  <c r="D861" i="5"/>
  <c r="C867" i="5"/>
  <c r="D863" i="5"/>
  <c r="C861" i="5"/>
  <c r="C862" i="5"/>
  <c r="F862" i="5"/>
  <c r="C863" i="5"/>
  <c r="C864" i="5"/>
  <c r="D864" i="5"/>
  <c r="D865" i="5"/>
  <c r="D868" i="5"/>
  <c r="C860" i="5"/>
  <c r="D538" i="5"/>
  <c r="D539" i="5"/>
  <c r="D540" i="5"/>
  <c r="C544" i="5"/>
  <c r="D543" i="5"/>
  <c r="C536" i="5"/>
  <c r="D544" i="5"/>
  <c r="C537" i="5"/>
  <c r="D536" i="5"/>
  <c r="C539" i="5"/>
  <c r="D541" i="5"/>
  <c r="D542" i="5"/>
  <c r="D537" i="5"/>
  <c r="C543" i="5"/>
  <c r="C538" i="5"/>
  <c r="C540" i="5"/>
  <c r="D4416" i="5"/>
  <c r="D4417" i="5"/>
  <c r="D4415" i="5"/>
  <c r="D4419" i="5"/>
  <c r="D4418" i="5"/>
  <c r="D4420" i="5"/>
  <c r="D4423" i="5"/>
  <c r="C4417" i="5"/>
  <c r="C4418" i="5"/>
  <c r="C4423" i="5"/>
  <c r="D4421" i="5"/>
  <c r="D4422" i="5"/>
  <c r="C4415" i="5"/>
  <c r="C4419" i="5"/>
  <c r="C4422" i="5"/>
  <c r="D3768" i="5"/>
  <c r="D3769" i="5"/>
  <c r="D3775" i="5"/>
  <c r="D3773" i="5"/>
  <c r="D3774" i="5"/>
  <c r="D3771" i="5"/>
  <c r="D3772" i="5"/>
  <c r="C3769" i="5"/>
  <c r="C3770" i="5"/>
  <c r="C3767" i="5"/>
  <c r="C3768" i="5"/>
  <c r="C3774" i="5"/>
  <c r="C3775" i="5"/>
  <c r="D3767" i="5"/>
  <c r="D3770" i="5"/>
  <c r="C3771" i="5"/>
  <c r="D3445" i="5"/>
  <c r="D3446" i="5"/>
  <c r="D3449" i="5"/>
  <c r="D3451" i="5"/>
  <c r="D3444" i="5"/>
  <c r="C3445" i="5"/>
  <c r="D3447" i="5"/>
  <c r="D3448" i="5"/>
  <c r="C3451" i="5"/>
  <c r="D3450" i="5"/>
  <c r="C3443" i="5"/>
  <c r="E3443" i="5"/>
  <c r="C3444" i="5"/>
  <c r="C3450" i="5"/>
  <c r="D3443" i="5"/>
  <c r="D2906" i="5"/>
  <c r="D2908" i="5"/>
  <c r="D2909" i="5"/>
  <c r="D2905" i="5"/>
  <c r="C2905" i="5"/>
  <c r="F2905" i="5"/>
  <c r="D2907" i="5"/>
  <c r="D2903" i="5"/>
  <c r="D2904" i="5"/>
  <c r="D2910" i="5"/>
  <c r="C2904" i="5"/>
  <c r="D2911" i="5"/>
  <c r="C2906" i="5"/>
  <c r="C2903" i="5"/>
  <c r="E2903" i="5"/>
  <c r="C2907" i="5"/>
  <c r="C2910" i="5"/>
  <c r="E2910" i="5"/>
  <c r="C2911" i="5"/>
  <c r="D2798" i="5"/>
  <c r="D2797" i="5"/>
  <c r="D2803" i="5"/>
  <c r="C2797" i="5"/>
  <c r="F2797" i="5"/>
  <c r="D2800" i="5"/>
  <c r="D2801" i="5"/>
  <c r="D2802" i="5"/>
  <c r="D2795" i="5"/>
  <c r="D2796" i="5"/>
  <c r="D2799" i="5"/>
  <c r="C2795" i="5"/>
  <c r="C2799" i="5"/>
  <c r="C2803" i="5"/>
  <c r="C2802" i="5"/>
  <c r="D1934" i="5"/>
  <c r="D1936" i="5"/>
  <c r="D1938" i="5"/>
  <c r="C1933" i="5"/>
  <c r="D1939" i="5"/>
  <c r="D1937" i="5"/>
  <c r="D1931" i="5"/>
  <c r="D1932" i="5"/>
  <c r="C1938" i="5"/>
  <c r="C1939" i="5"/>
  <c r="C1931" i="5"/>
  <c r="E1931" i="5"/>
  <c r="C1934" i="5"/>
  <c r="C1935" i="5"/>
  <c r="D1933" i="5"/>
  <c r="C1932" i="5"/>
  <c r="D1283" i="5"/>
  <c r="D1287" i="5"/>
  <c r="D1289" i="5"/>
  <c r="D1291" i="5"/>
  <c r="D1284" i="5"/>
  <c r="D1285" i="5"/>
  <c r="D1286" i="5"/>
  <c r="C1283" i="5"/>
  <c r="D1290" i="5"/>
  <c r="C1285" i="5"/>
  <c r="D1288" i="5"/>
  <c r="C1284" i="5"/>
  <c r="C1286" i="5"/>
  <c r="C1287" i="5"/>
  <c r="C1290" i="5"/>
  <c r="C1291" i="5"/>
  <c r="D853" i="5"/>
  <c r="D854" i="5"/>
  <c r="D859" i="5"/>
  <c r="D857" i="5"/>
  <c r="C852" i="5"/>
  <c r="D858" i="5"/>
  <c r="C853" i="5"/>
  <c r="F853" i="5"/>
  <c r="C851" i="5"/>
  <c r="D851" i="5"/>
  <c r="D852" i="5"/>
  <c r="D855" i="5"/>
  <c r="D856" i="5"/>
  <c r="C855" i="5"/>
  <c r="C858" i="5"/>
  <c r="C859" i="5"/>
  <c r="D3435" i="5"/>
  <c r="D3436" i="5"/>
  <c r="D3437" i="5"/>
  <c r="D3434" i="5"/>
  <c r="C3438" i="5"/>
  <c r="D3440" i="5"/>
  <c r="C3442" i="5"/>
  <c r="D3441" i="5"/>
  <c r="D3442" i="5"/>
  <c r="D3438" i="5"/>
  <c r="D3439" i="5"/>
  <c r="C3436" i="5"/>
  <c r="C3437" i="5"/>
  <c r="C3434" i="5"/>
  <c r="C3435" i="5"/>
  <c r="D1922" i="5"/>
  <c r="D1927" i="5"/>
  <c r="D1923" i="5"/>
  <c r="D1924" i="5"/>
  <c r="D1925" i="5"/>
  <c r="C1929" i="5"/>
  <c r="D1926" i="5"/>
  <c r="C1930" i="5"/>
  <c r="F1930" i="5"/>
  <c r="D1928" i="5"/>
  <c r="D1929" i="5"/>
  <c r="D1930" i="5"/>
  <c r="C1922" i="5"/>
  <c r="C1923" i="5"/>
  <c r="C1925" i="5"/>
  <c r="C1924" i="5"/>
  <c r="C1926" i="5"/>
  <c r="D1498" i="5"/>
  <c r="D1495" i="5"/>
  <c r="D1496" i="5"/>
  <c r="D1497" i="5"/>
  <c r="C1492" i="5"/>
  <c r="F1492" i="5"/>
  <c r="C1493" i="5"/>
  <c r="C1491" i="5"/>
  <c r="D1491" i="5"/>
  <c r="D1492" i="5"/>
  <c r="D1490" i="5"/>
  <c r="D1493" i="5"/>
  <c r="C1490" i="5"/>
  <c r="D1494" i="5"/>
  <c r="C1494" i="5"/>
  <c r="C1498" i="5"/>
  <c r="C1497" i="5"/>
  <c r="D850" i="5"/>
  <c r="D844" i="5"/>
  <c r="C844" i="5"/>
  <c r="F844" i="5"/>
  <c r="D845" i="5"/>
  <c r="C845" i="5"/>
  <c r="D846" i="5"/>
  <c r="D847" i="5"/>
  <c r="C849" i="5"/>
  <c r="D849" i="5"/>
  <c r="D848" i="5"/>
  <c r="C842" i="5"/>
  <c r="C843" i="5"/>
  <c r="C846" i="5"/>
  <c r="D842" i="5"/>
  <c r="D843" i="5"/>
  <c r="C4416" i="5"/>
  <c r="D838" i="5"/>
  <c r="D840" i="5"/>
  <c r="D841" i="5"/>
  <c r="C833" i="5"/>
  <c r="D836" i="5"/>
  <c r="D837" i="5"/>
  <c r="D839" i="5"/>
  <c r="C835" i="5"/>
  <c r="C841" i="5"/>
  <c r="D835" i="5"/>
  <c r="C837" i="5"/>
  <c r="C834" i="5"/>
  <c r="C836" i="5"/>
  <c r="C854" i="5"/>
  <c r="D1935" i="5"/>
  <c r="C850" i="5"/>
  <c r="F850" i="5"/>
  <c r="C2798" i="5"/>
  <c r="C3447" i="5"/>
  <c r="D834" i="5"/>
  <c r="C2796" i="5"/>
  <c r="C3446" i="5"/>
  <c r="D833" i="5"/>
  <c r="C3441" i="5"/>
  <c r="E3441" i="5"/>
  <c r="C840" i="5"/>
  <c r="D4762" i="5"/>
  <c r="G4762" i="5"/>
  <c r="D4690" i="5"/>
  <c r="E4690" i="5"/>
  <c r="H4522" i="5"/>
  <c r="G4522" i="5"/>
  <c r="D2990" i="5"/>
  <c r="D2991" i="5"/>
  <c r="D2992" i="5"/>
  <c r="D2985" i="5"/>
  <c r="D2986" i="5"/>
  <c r="D2987" i="5"/>
  <c r="D2988" i="5"/>
  <c r="D2989" i="5"/>
  <c r="C2984" i="5"/>
  <c r="E2984" i="5"/>
  <c r="C2985" i="5"/>
  <c r="C2988" i="5"/>
  <c r="C2991" i="5"/>
  <c r="C2992" i="5"/>
  <c r="F2992" i="5"/>
  <c r="D4284" i="5"/>
  <c r="D4285" i="5"/>
  <c r="D4287" i="5"/>
  <c r="D4280" i="5"/>
  <c r="D4281" i="5"/>
  <c r="D4282" i="5"/>
  <c r="C4282" i="5"/>
  <c r="D4288" i="5"/>
  <c r="C4287" i="5"/>
  <c r="D4283" i="5"/>
  <c r="D4286" i="5"/>
  <c r="C4281" i="5"/>
  <c r="C4283" i="5"/>
  <c r="C4280" i="5"/>
  <c r="C4284" i="5"/>
  <c r="C4288" i="5"/>
  <c r="D3852" i="5"/>
  <c r="D3853" i="5"/>
  <c r="D3849" i="5"/>
  <c r="D3848" i="5"/>
  <c r="D3850" i="5"/>
  <c r="C3855" i="5"/>
  <c r="D3851" i="5"/>
  <c r="C3856" i="5"/>
  <c r="D3854" i="5"/>
  <c r="D3855" i="5"/>
  <c r="C3851" i="5"/>
  <c r="E4612" i="5"/>
  <c r="D4612" i="5"/>
  <c r="R217" i="3"/>
  <c r="C1928" i="5"/>
  <c r="W355" i="3"/>
  <c r="R355" i="3"/>
  <c r="R219" i="3"/>
  <c r="A219" i="8"/>
  <c r="E4630" i="5"/>
  <c r="D4570" i="5"/>
  <c r="E4570" i="5"/>
  <c r="G4558" i="5"/>
  <c r="D4558" i="5"/>
  <c r="G4546" i="5"/>
  <c r="E4546" i="5"/>
  <c r="H4702" i="5"/>
  <c r="S79" i="3"/>
  <c r="W79" i="3"/>
  <c r="R401" i="3"/>
  <c r="E4721" i="5"/>
  <c r="D4721" i="5"/>
  <c r="D4725" i="5"/>
  <c r="D4722" i="5"/>
  <c r="E4756" i="5"/>
  <c r="G4738" i="5"/>
  <c r="G4659" i="5"/>
  <c r="E4774" i="5"/>
  <c r="E4594" i="5"/>
  <c r="G4523" i="5"/>
  <c r="D4614" i="5"/>
  <c r="H4678" i="5"/>
  <c r="H4614" i="5"/>
  <c r="D4546" i="5"/>
  <c r="H4542" i="5"/>
  <c r="W125" i="3"/>
  <c r="R306" i="3"/>
  <c r="E4631" i="5"/>
  <c r="H4631" i="5"/>
  <c r="E4571" i="5"/>
  <c r="H4571" i="5"/>
  <c r="G4571" i="5"/>
  <c r="F4617" i="5"/>
  <c r="D4617" i="5"/>
  <c r="D4720" i="5"/>
  <c r="D4563" i="5"/>
  <c r="E4672" i="5"/>
  <c r="G4743" i="5"/>
  <c r="H4762" i="5"/>
  <c r="E4648" i="5"/>
  <c r="E4522" i="5"/>
  <c r="G4636" i="5"/>
  <c r="D4672" i="5"/>
  <c r="D4522" i="5"/>
  <c r="E4666" i="5"/>
  <c r="G4635" i="5"/>
  <c r="H4630" i="5"/>
  <c r="D4791" i="5"/>
  <c r="E4702" i="5"/>
  <c r="E4684" i="5"/>
  <c r="G4588" i="5"/>
  <c r="D4648" i="5"/>
  <c r="E4762" i="5"/>
  <c r="E4558" i="5"/>
  <c r="F4587" i="5"/>
  <c r="H4587" i="5"/>
  <c r="D4779" i="5"/>
  <c r="E4720" i="5"/>
  <c r="G4529" i="5"/>
  <c r="E4738" i="5"/>
  <c r="G4527" i="5"/>
  <c r="R400" i="3"/>
  <c r="R115" i="3"/>
  <c r="R327" i="3"/>
  <c r="C2917" i="5"/>
  <c r="E2917" i="5"/>
  <c r="R497" i="3"/>
  <c r="R285" i="3"/>
  <c r="R428" i="3"/>
  <c r="R377" i="3"/>
  <c r="W314" i="3"/>
  <c r="R461" i="3"/>
  <c r="R309" i="3"/>
  <c r="R207" i="3"/>
  <c r="C1837" i="5"/>
  <c r="E1837" i="5"/>
  <c r="W178" i="3"/>
  <c r="S82" i="3"/>
  <c r="W82" i="3"/>
  <c r="W70" i="3"/>
  <c r="W153" i="3"/>
  <c r="S69" i="3"/>
  <c r="W69" i="3"/>
  <c r="W219" i="3"/>
  <c r="S44" i="3"/>
  <c r="W44" i="3"/>
  <c r="R343" i="3"/>
  <c r="W207" i="3"/>
  <c r="W319" i="3"/>
  <c r="W247" i="3"/>
  <c r="W127" i="3"/>
  <c r="S43" i="3"/>
  <c r="W43" i="3"/>
  <c r="R392" i="3"/>
  <c r="R284" i="3"/>
  <c r="R255" i="3"/>
  <c r="W171" i="3"/>
  <c r="W282" i="3"/>
  <c r="R282" i="3"/>
  <c r="W138" i="3"/>
  <c r="W495" i="3"/>
  <c r="W169" i="3"/>
  <c r="W354" i="3"/>
  <c r="W342" i="3"/>
  <c r="S54" i="3"/>
  <c r="W54" i="3"/>
  <c r="R308" i="3"/>
  <c r="R283" i="3"/>
  <c r="W305" i="3"/>
  <c r="R305" i="3"/>
  <c r="W293" i="3"/>
  <c r="W269" i="3"/>
  <c r="W257" i="3"/>
  <c r="R257" i="3"/>
  <c r="S101" i="3"/>
  <c r="W101" i="3"/>
  <c r="W471" i="3"/>
  <c r="W147" i="3"/>
  <c r="W328" i="3"/>
  <c r="R412" i="3"/>
  <c r="R315" i="3"/>
  <c r="C2810" i="5"/>
  <c r="F2810" i="5"/>
  <c r="R147" i="3"/>
  <c r="C1298" i="5"/>
  <c r="F1298" i="5"/>
  <c r="W431" i="3"/>
  <c r="W99" i="3"/>
  <c r="W423" i="3"/>
  <c r="W111" i="3"/>
  <c r="S63" i="3"/>
  <c r="W63" i="3"/>
  <c r="W279" i="3"/>
  <c r="R170" i="3"/>
  <c r="W170" i="3"/>
  <c r="R452" i="3"/>
  <c r="R298" i="3"/>
  <c r="R243" i="3"/>
  <c r="W387" i="3"/>
  <c r="W313" i="3"/>
  <c r="W229" i="3"/>
  <c r="R229" i="3"/>
  <c r="W193" i="3"/>
  <c r="W327" i="3"/>
  <c r="W216" i="3"/>
  <c r="S24" i="3"/>
  <c r="W24" i="3"/>
  <c r="R431" i="3"/>
  <c r="C3853" i="5"/>
  <c r="E3853" i="5"/>
  <c r="W315" i="3"/>
  <c r="R503" i="3"/>
  <c r="W503" i="3"/>
  <c r="W262" i="3"/>
  <c r="W166" i="3"/>
  <c r="F4764" i="5"/>
  <c r="H4764" i="5"/>
  <c r="G4764" i="5"/>
  <c r="H4752" i="5"/>
  <c r="F4752" i="5"/>
  <c r="G4716" i="5"/>
  <c r="H4716" i="5"/>
  <c r="H4704" i="5"/>
  <c r="G4704" i="5"/>
  <c r="D4692" i="5"/>
  <c r="H4692" i="5"/>
  <c r="F4692" i="5"/>
  <c r="H4680" i="5"/>
  <c r="F4680" i="5"/>
  <c r="G4680" i="5"/>
  <c r="D4632" i="5"/>
  <c r="H4632" i="5"/>
  <c r="F4632" i="5"/>
  <c r="G4632" i="5"/>
  <c r="H4608" i="5"/>
  <c r="G4608" i="5"/>
  <c r="D4608" i="5"/>
  <c r="F4596" i="5"/>
  <c r="D4596" i="5"/>
  <c r="D4584" i="5"/>
  <c r="F4584" i="5"/>
  <c r="G4572" i="5"/>
  <c r="H4572" i="5"/>
  <c r="F4572" i="5"/>
  <c r="F4560" i="5"/>
  <c r="D4560" i="5"/>
  <c r="D4548" i="5"/>
  <c r="G4548" i="5"/>
  <c r="H4548" i="5"/>
  <c r="H4536" i="5"/>
  <c r="D4536" i="5"/>
  <c r="F4536" i="5"/>
  <c r="H4805" i="5"/>
  <c r="E4805" i="5"/>
  <c r="G4805" i="5"/>
  <c r="G4745" i="5"/>
  <c r="D4745" i="5"/>
  <c r="H4733" i="5"/>
  <c r="G4733" i="5"/>
  <c r="E4733" i="5"/>
  <c r="G4709" i="5"/>
  <c r="D4709" i="5"/>
  <c r="E4685" i="5"/>
  <c r="D4685" i="5"/>
  <c r="G4673" i="5"/>
  <c r="E4673" i="5"/>
  <c r="H4673" i="5"/>
  <c r="D4673" i="5"/>
  <c r="H4661" i="5"/>
  <c r="G4661" i="5"/>
  <c r="E4649" i="5"/>
  <c r="H4649" i="5"/>
  <c r="D4649" i="5"/>
  <c r="G4637" i="5"/>
  <c r="D4637" i="5"/>
  <c r="G4613" i="5"/>
  <c r="H4613" i="5"/>
  <c r="G4589" i="5"/>
  <c r="H4589" i="5"/>
  <c r="E4589" i="5"/>
  <c r="F4706" i="5"/>
  <c r="H4691" i="5"/>
  <c r="D4615" i="5"/>
  <c r="D4574" i="5"/>
  <c r="F4778" i="5"/>
  <c r="G4806" i="5"/>
  <c r="G4691" i="5"/>
  <c r="G4574" i="5"/>
  <c r="H4758" i="5"/>
  <c r="H4679" i="5"/>
  <c r="H4563" i="5"/>
  <c r="G4634" i="5"/>
  <c r="H4751" i="5"/>
  <c r="H4562" i="5"/>
  <c r="F4586" i="5"/>
  <c r="G4804" i="5"/>
  <c r="G4679" i="5"/>
  <c r="H4744" i="5"/>
  <c r="H4674" i="5"/>
  <c r="H4559" i="5"/>
  <c r="D4761" i="5"/>
  <c r="D4719" i="5"/>
  <c r="D4611" i="5"/>
  <c r="D4562" i="5"/>
  <c r="E4588" i="5"/>
  <c r="F4719" i="5"/>
  <c r="F4658" i="5"/>
  <c r="G4803" i="5"/>
  <c r="G4678" i="5"/>
  <c r="G4631" i="5"/>
  <c r="H4802" i="5"/>
  <c r="H4743" i="5"/>
  <c r="H4611" i="5"/>
  <c r="G4674" i="5"/>
  <c r="G4619" i="5"/>
  <c r="G4563" i="5"/>
  <c r="H4718" i="5"/>
  <c r="H4672" i="5"/>
  <c r="H4607" i="5"/>
  <c r="H4547" i="5"/>
  <c r="D4559" i="5"/>
  <c r="E4804" i="5"/>
  <c r="E4618" i="5"/>
  <c r="F4598" i="5"/>
  <c r="F4518" i="5"/>
  <c r="G4790" i="5"/>
  <c r="G4720" i="5"/>
  <c r="G4618" i="5"/>
  <c r="H4787" i="5"/>
  <c r="H4659" i="5"/>
  <c r="H4606" i="5"/>
  <c r="H4546" i="5"/>
  <c r="F4634" i="5"/>
  <c r="G4787" i="5"/>
  <c r="G4718" i="5"/>
  <c r="G4550" i="5"/>
  <c r="H4715" i="5"/>
  <c r="H4658" i="5"/>
  <c r="D4797" i="5"/>
  <c r="D4689" i="5"/>
  <c r="D4647" i="5"/>
  <c r="F4614" i="5"/>
  <c r="G4767" i="5"/>
  <c r="G4660" i="5"/>
  <c r="G4607" i="5"/>
  <c r="H4778" i="5"/>
  <c r="H4703" i="5"/>
  <c r="H4588" i="5"/>
  <c r="H4535" i="5"/>
  <c r="D4595" i="5"/>
  <c r="G4766" i="5"/>
  <c r="G4547" i="5"/>
  <c r="H4775" i="5"/>
  <c r="H4529" i="5"/>
  <c r="D4744" i="5"/>
  <c r="F4766" i="5"/>
  <c r="G4703" i="5"/>
  <c r="G4647" i="5"/>
  <c r="G4594" i="5"/>
  <c r="H4634" i="5"/>
  <c r="H4586" i="5"/>
  <c r="D4743" i="5"/>
  <c r="D4635" i="5"/>
  <c r="D4583" i="5"/>
  <c r="D4535" i="5"/>
  <c r="E4687" i="5"/>
  <c r="F4802" i="5"/>
  <c r="F4647" i="5"/>
  <c r="F4611" i="5"/>
  <c r="G4763" i="5"/>
  <c r="H4763" i="5"/>
  <c r="H4527" i="5"/>
  <c r="E4801" i="5"/>
  <c r="G4801" i="5"/>
  <c r="H4801" i="5"/>
  <c r="E4777" i="5"/>
  <c r="H4777" i="5"/>
  <c r="H4753" i="5"/>
  <c r="E4753" i="5"/>
  <c r="G4741" i="5"/>
  <c r="E4741" i="5"/>
  <c r="E4729" i="5"/>
  <c r="G4729" i="5"/>
  <c r="H4729" i="5"/>
  <c r="E4705" i="5"/>
  <c r="H4705" i="5"/>
  <c r="H4681" i="5"/>
  <c r="E4681" i="5"/>
  <c r="G4669" i="5"/>
  <c r="E4669" i="5"/>
  <c r="H4669" i="5"/>
  <c r="E4645" i="5"/>
  <c r="G4645" i="5"/>
  <c r="H4645" i="5"/>
  <c r="E4621" i="5"/>
  <c r="G4621" i="5"/>
  <c r="H4621" i="5"/>
  <c r="H4609" i="5"/>
  <c r="E4609" i="5"/>
  <c r="D4609" i="5"/>
  <c r="G4597" i="5"/>
  <c r="E4597" i="5"/>
  <c r="H4597" i="5"/>
  <c r="E4585" i="5"/>
  <c r="G4585" i="5"/>
  <c r="H4585" i="5"/>
  <c r="E4573" i="5"/>
  <c r="D4573" i="5"/>
  <c r="E4561" i="5"/>
  <c r="G4561" i="5"/>
  <c r="H4561" i="5"/>
  <c r="E4549" i="5"/>
  <c r="D4549" i="5"/>
  <c r="H4537" i="5"/>
  <c r="E4537" i="5"/>
  <c r="G4537" i="5"/>
  <c r="D4525" i="5"/>
  <c r="G4525" i="5"/>
  <c r="E4525" i="5"/>
  <c r="D4513" i="5"/>
  <c r="E4513" i="5"/>
  <c r="G4513" i="5"/>
  <c r="H4513" i="5"/>
  <c r="D4597" i="5"/>
  <c r="D4537" i="5"/>
  <c r="G4777" i="5"/>
  <c r="G4609" i="5"/>
  <c r="G4573" i="5"/>
  <c r="G4533" i="5"/>
  <c r="H4789" i="5"/>
  <c r="H4717" i="5"/>
  <c r="H4677" i="5"/>
  <c r="H4633" i="5"/>
  <c r="F4737" i="5"/>
  <c r="G4705" i="5"/>
  <c r="G4677" i="5"/>
  <c r="D4561" i="5"/>
  <c r="F4785" i="5"/>
  <c r="F4665" i="5"/>
  <c r="F4521" i="5"/>
  <c r="H4745" i="5"/>
  <c r="D4777" i="5"/>
  <c r="D4741" i="5"/>
  <c r="D4705" i="5"/>
  <c r="D4669" i="5"/>
  <c r="D4633" i="5"/>
  <c r="D4613" i="5"/>
  <c r="D4589" i="5"/>
  <c r="G4765" i="5"/>
  <c r="G4737" i="5"/>
  <c r="H4785" i="5"/>
  <c r="H4545" i="5"/>
  <c r="F4773" i="5"/>
  <c r="G4773" i="5"/>
  <c r="H4773" i="5"/>
  <c r="G4713" i="5"/>
  <c r="H4713" i="5"/>
  <c r="H4617" i="5"/>
  <c r="H4796" i="5"/>
  <c r="G4796" i="5"/>
  <c r="F4796" i="5"/>
  <c r="H4784" i="5"/>
  <c r="G4784" i="5"/>
  <c r="F4784" i="5"/>
  <c r="H4772" i="5"/>
  <c r="G4772" i="5"/>
  <c r="F4772" i="5"/>
  <c r="H4760" i="5"/>
  <c r="G4760" i="5"/>
  <c r="F4760" i="5"/>
  <c r="H4748" i="5"/>
  <c r="G4748" i="5"/>
  <c r="F4748" i="5"/>
  <c r="H4736" i="5"/>
  <c r="G4736" i="5"/>
  <c r="F4736" i="5"/>
  <c r="H4724" i="5"/>
  <c r="G4724" i="5"/>
  <c r="F4724" i="5"/>
  <c r="H4712" i="5"/>
  <c r="G4712" i="5"/>
  <c r="F4712" i="5"/>
  <c r="H4700" i="5"/>
  <c r="G4700" i="5"/>
  <c r="F4700" i="5"/>
  <c r="H4688" i="5"/>
  <c r="G4688" i="5"/>
  <c r="F4688" i="5"/>
  <c r="H4676" i="5"/>
  <c r="G4676" i="5"/>
  <c r="F4676" i="5"/>
  <c r="H4664" i="5"/>
  <c r="G4664" i="5"/>
  <c r="F4664" i="5"/>
  <c r="H4652" i="5"/>
  <c r="G4652" i="5"/>
  <c r="F4652" i="5"/>
  <c r="H4640" i="5"/>
  <c r="G4640" i="5"/>
  <c r="F4640" i="5"/>
  <c r="H4628" i="5"/>
  <c r="G4628" i="5"/>
  <c r="F4628" i="5"/>
  <c r="H4616" i="5"/>
  <c r="G4616" i="5"/>
  <c r="F4616" i="5"/>
  <c r="D4616" i="5"/>
  <c r="H4604" i="5"/>
  <c r="G4604" i="5"/>
  <c r="F4604" i="5"/>
  <c r="D4604" i="5"/>
  <c r="H4592" i="5"/>
  <c r="G4592" i="5"/>
  <c r="F4592" i="5"/>
  <c r="D4592" i="5"/>
  <c r="H4580" i="5"/>
  <c r="G4580" i="5"/>
  <c r="F4580" i="5"/>
  <c r="D4580" i="5"/>
  <c r="H4568" i="5"/>
  <c r="G4568" i="5"/>
  <c r="F4568" i="5"/>
  <c r="D4568" i="5"/>
  <c r="H4556" i="5"/>
  <c r="G4556" i="5"/>
  <c r="F4556" i="5"/>
  <c r="D4556" i="5"/>
  <c r="H4544" i="5"/>
  <c r="G4544" i="5"/>
  <c r="F4544" i="5"/>
  <c r="D4544" i="5"/>
  <c r="H4532" i="5"/>
  <c r="G4532" i="5"/>
  <c r="F4532" i="5"/>
  <c r="D4532" i="5"/>
  <c r="H4520" i="5"/>
  <c r="G4520" i="5"/>
  <c r="F4520" i="5"/>
  <c r="D4520" i="5"/>
  <c r="H4508" i="5"/>
  <c r="G4508" i="5"/>
  <c r="F4508" i="5"/>
  <c r="D4508" i="5"/>
  <c r="D4772" i="5"/>
  <c r="D4736" i="5"/>
  <c r="D4700" i="5"/>
  <c r="D4664" i="5"/>
  <c r="D4628" i="5"/>
  <c r="F4677" i="5"/>
  <c r="G4633" i="5"/>
  <c r="H4741" i="5"/>
  <c r="H4701" i="5"/>
  <c r="H4795" i="5"/>
  <c r="G4795" i="5"/>
  <c r="E4795" i="5"/>
  <c r="H4783" i="5"/>
  <c r="G4783" i="5"/>
  <c r="E4783" i="5"/>
  <c r="H4771" i="5"/>
  <c r="G4771" i="5"/>
  <c r="H4759" i="5"/>
  <c r="G4759" i="5"/>
  <c r="H4747" i="5"/>
  <c r="G4747" i="5"/>
  <c r="H4735" i="5"/>
  <c r="G4735" i="5"/>
  <c r="E4735" i="5"/>
  <c r="H4723" i="5"/>
  <c r="G4723" i="5"/>
  <c r="E4723" i="5"/>
  <c r="H4711" i="5"/>
  <c r="G4711" i="5"/>
  <c r="E4711" i="5"/>
  <c r="H4699" i="5"/>
  <c r="G4699" i="5"/>
  <c r="H4687" i="5"/>
  <c r="G4687" i="5"/>
  <c r="H4675" i="5"/>
  <c r="G4675" i="5"/>
  <c r="H4663" i="5"/>
  <c r="G4663" i="5"/>
  <c r="E4663" i="5"/>
  <c r="H4651" i="5"/>
  <c r="G4651" i="5"/>
  <c r="E4651" i="5"/>
  <c r="H4639" i="5"/>
  <c r="G4639" i="5"/>
  <c r="E4639" i="5"/>
  <c r="H4627" i="5"/>
  <c r="G4627" i="5"/>
  <c r="H4615" i="5"/>
  <c r="G4615" i="5"/>
  <c r="H4603" i="5"/>
  <c r="G4603" i="5"/>
  <c r="D4603" i="5"/>
  <c r="H4591" i="5"/>
  <c r="G4591" i="5"/>
  <c r="D4591" i="5"/>
  <c r="E4591" i="5"/>
  <c r="H4579" i="5"/>
  <c r="G4579" i="5"/>
  <c r="D4579" i="5"/>
  <c r="E4579" i="5"/>
  <c r="H4567" i="5"/>
  <c r="G4567" i="5"/>
  <c r="D4567" i="5"/>
  <c r="E4567" i="5"/>
  <c r="H4555" i="5"/>
  <c r="G4555" i="5"/>
  <c r="D4555" i="5"/>
  <c r="H4543" i="5"/>
  <c r="G4543" i="5"/>
  <c r="H4531" i="5"/>
  <c r="G4531" i="5"/>
  <c r="D4531" i="5"/>
  <c r="H4519" i="5"/>
  <c r="G4519" i="5"/>
  <c r="E4519" i="5"/>
  <c r="H4507" i="5"/>
  <c r="G4507" i="5"/>
  <c r="D4507" i="5"/>
  <c r="E4507" i="5"/>
  <c r="D4771" i="5"/>
  <c r="D4735" i="5"/>
  <c r="D4699" i="5"/>
  <c r="D4663" i="5"/>
  <c r="D4627" i="5"/>
  <c r="E4747" i="5"/>
  <c r="E4531" i="5"/>
  <c r="F4641" i="5"/>
  <c r="H4737" i="5"/>
  <c r="H4657" i="5"/>
  <c r="H4794" i="5"/>
  <c r="G4794" i="5"/>
  <c r="F4794" i="5"/>
  <c r="G4782" i="5"/>
  <c r="H4782" i="5"/>
  <c r="G4770" i="5"/>
  <c r="H4770" i="5"/>
  <c r="G4758" i="5"/>
  <c r="F4758" i="5"/>
  <c r="F4746" i="5"/>
  <c r="H4746" i="5"/>
  <c r="F4734" i="5"/>
  <c r="G4734" i="5"/>
  <c r="H4722" i="5"/>
  <c r="F4722" i="5"/>
  <c r="G4710" i="5"/>
  <c r="H4710" i="5"/>
  <c r="G4698" i="5"/>
  <c r="H4698" i="5"/>
  <c r="F4698" i="5"/>
  <c r="G4686" i="5"/>
  <c r="H4686" i="5"/>
  <c r="G4662" i="5"/>
  <c r="H4662" i="5"/>
  <c r="H4650" i="5"/>
  <c r="F4650" i="5"/>
  <c r="G4638" i="5"/>
  <c r="H4638" i="5"/>
  <c r="G4626" i="5"/>
  <c r="H4626" i="5"/>
  <c r="F4602" i="5"/>
  <c r="D4602" i="5"/>
  <c r="G4602" i="5"/>
  <c r="H4602" i="5"/>
  <c r="D4590" i="5"/>
  <c r="F4590" i="5"/>
  <c r="H4578" i="5"/>
  <c r="D4578" i="5"/>
  <c r="F4578" i="5"/>
  <c r="G4578" i="5"/>
  <c r="G4566" i="5"/>
  <c r="H4566" i="5"/>
  <c r="D4566" i="5"/>
  <c r="G4554" i="5"/>
  <c r="H4554" i="5"/>
  <c r="F4554" i="5"/>
  <c r="D4554" i="5"/>
  <c r="G4542" i="5"/>
  <c r="D4542" i="5"/>
  <c r="H4530" i="5"/>
  <c r="D4530" i="5"/>
  <c r="F4530" i="5"/>
  <c r="D4806" i="5"/>
  <c r="D4789" i="5"/>
  <c r="D4770" i="5"/>
  <c r="D4753" i="5"/>
  <c r="D4734" i="5"/>
  <c r="D4717" i="5"/>
  <c r="D4698" i="5"/>
  <c r="D4681" i="5"/>
  <c r="D4662" i="5"/>
  <c r="D4645" i="5"/>
  <c r="D4626" i="5"/>
  <c r="D4521" i="5"/>
  <c r="E4613" i="5"/>
  <c r="F4797" i="5"/>
  <c r="F4674" i="5"/>
  <c r="G4789" i="5"/>
  <c r="G4761" i="5"/>
  <c r="G4721" i="5"/>
  <c r="G4693" i="5"/>
  <c r="G4549" i="5"/>
  <c r="H4806" i="5"/>
  <c r="H4765" i="5"/>
  <c r="H4734" i="5"/>
  <c r="H4693" i="5"/>
  <c r="F4749" i="5"/>
  <c r="H4749" i="5"/>
  <c r="H4653" i="5"/>
  <c r="F4653" i="5"/>
  <c r="D4593" i="5"/>
  <c r="F4593" i="5"/>
  <c r="G4569" i="5"/>
  <c r="D4569" i="5"/>
  <c r="H4509" i="5"/>
  <c r="D4509" i="5"/>
  <c r="D4701" i="5"/>
  <c r="F4713" i="5"/>
  <c r="G4797" i="5"/>
  <c r="H4573" i="5"/>
  <c r="E4793" i="5"/>
  <c r="G4793" i="5"/>
  <c r="H4793" i="5"/>
  <c r="H4781" i="5"/>
  <c r="E4781" i="5"/>
  <c r="G4769" i="5"/>
  <c r="H4769" i="5"/>
  <c r="E4769" i="5"/>
  <c r="G4757" i="5"/>
  <c r="H4757" i="5"/>
  <c r="H4709" i="5"/>
  <c r="E4709" i="5"/>
  <c r="G4697" i="5"/>
  <c r="E4697" i="5"/>
  <c r="G4685" i="5"/>
  <c r="H4685" i="5"/>
  <c r="H4637" i="5"/>
  <c r="E4637" i="5"/>
  <c r="G4625" i="5"/>
  <c r="H4625" i="5"/>
  <c r="E4625" i="5"/>
  <c r="G4601" i="5"/>
  <c r="H4601" i="5"/>
  <c r="D4577" i="5"/>
  <c r="E4577" i="5"/>
  <c r="G4577" i="5"/>
  <c r="H4577" i="5"/>
  <c r="H4565" i="5"/>
  <c r="D4565" i="5"/>
  <c r="E4565" i="5"/>
  <c r="G4553" i="5"/>
  <c r="D4553" i="5"/>
  <c r="H4553" i="5"/>
  <c r="E4553" i="5"/>
  <c r="G4541" i="5"/>
  <c r="H4541" i="5"/>
  <c r="G4517" i="5"/>
  <c r="H4517" i="5"/>
  <c r="D4805" i="5"/>
  <c r="D4785" i="5"/>
  <c r="D4769" i="5"/>
  <c r="D4749" i="5"/>
  <c r="D4733" i="5"/>
  <c r="D4713" i="5"/>
  <c r="D4697" i="5"/>
  <c r="D4661" i="5"/>
  <c r="D4625" i="5"/>
  <c r="D4601" i="5"/>
  <c r="D4519" i="5"/>
  <c r="E4745" i="5"/>
  <c r="E4627" i="5"/>
  <c r="E4529" i="5"/>
  <c r="F4569" i="5"/>
  <c r="G4753" i="5"/>
  <c r="G4657" i="5"/>
  <c r="H4721" i="5"/>
  <c r="G4792" i="5"/>
  <c r="H4792" i="5"/>
  <c r="H4780" i="5"/>
  <c r="E4780" i="5"/>
  <c r="G4768" i="5"/>
  <c r="H4768" i="5"/>
  <c r="G4756" i="5"/>
  <c r="H4756" i="5"/>
  <c r="G4732" i="5"/>
  <c r="H4732" i="5"/>
  <c r="H4708" i="5"/>
  <c r="E4708" i="5"/>
  <c r="G4708" i="5"/>
  <c r="G4696" i="5"/>
  <c r="H4696" i="5"/>
  <c r="G4684" i="5"/>
  <c r="H4684" i="5"/>
  <c r="H4636" i="5"/>
  <c r="E4636" i="5"/>
  <c r="G4624" i="5"/>
  <c r="H4624" i="5"/>
  <c r="G4612" i="5"/>
  <c r="H4612" i="5"/>
  <c r="G4600" i="5"/>
  <c r="H4600" i="5"/>
  <c r="G4576" i="5"/>
  <c r="H4576" i="5"/>
  <c r="H4564" i="5"/>
  <c r="D4564" i="5"/>
  <c r="E4564" i="5"/>
  <c r="G4552" i="5"/>
  <c r="D4552" i="5"/>
  <c r="H4552" i="5"/>
  <c r="G4540" i="5"/>
  <c r="D4540" i="5"/>
  <c r="H4540" i="5"/>
  <c r="G4528" i="5"/>
  <c r="D4528" i="5"/>
  <c r="D4516" i="5"/>
  <c r="G4516" i="5"/>
  <c r="H4516" i="5"/>
  <c r="D4804" i="5"/>
  <c r="D4784" i="5"/>
  <c r="D4768" i="5"/>
  <c r="D4748" i="5"/>
  <c r="D4732" i="5"/>
  <c r="D4712" i="5"/>
  <c r="D4696" i="5"/>
  <c r="D4676" i="5"/>
  <c r="D4660" i="5"/>
  <c r="D4640" i="5"/>
  <c r="D4624" i="5"/>
  <c r="D4600" i="5"/>
  <c r="D4545" i="5"/>
  <c r="D4518" i="5"/>
  <c r="E4759" i="5"/>
  <c r="E4744" i="5"/>
  <c r="E4661" i="5"/>
  <c r="E4543" i="5"/>
  <c r="E4528" i="5"/>
  <c r="G4781" i="5"/>
  <c r="G4749" i="5"/>
  <c r="G4719" i="5"/>
  <c r="G4681" i="5"/>
  <c r="G4653" i="5"/>
  <c r="G4587" i="5"/>
  <c r="H4648" i="5"/>
  <c r="H4525" i="5"/>
  <c r="H4725" i="5"/>
  <c r="F4725" i="5"/>
  <c r="G4689" i="5"/>
  <c r="H4689" i="5"/>
  <c r="G4665" i="5"/>
  <c r="H4665" i="5"/>
  <c r="G4641" i="5"/>
  <c r="H4641" i="5"/>
  <c r="F4629" i="5"/>
  <c r="G4629" i="5"/>
  <c r="H4629" i="5"/>
  <c r="D4605" i="5"/>
  <c r="F4605" i="5"/>
  <c r="G4605" i="5"/>
  <c r="H4605" i="5"/>
  <c r="H4581" i="5"/>
  <c r="F4581" i="5"/>
  <c r="G4581" i="5"/>
  <c r="G4557" i="5"/>
  <c r="H4557" i="5"/>
  <c r="H4533" i="5"/>
  <c r="F4533" i="5"/>
  <c r="D4773" i="5"/>
  <c r="D4629" i="5"/>
  <c r="D4585" i="5"/>
  <c r="F4557" i="5"/>
  <c r="G4701" i="5"/>
  <c r="H4791" i="5"/>
  <c r="F4791" i="5"/>
  <c r="G4755" i="5"/>
  <c r="H4755" i="5"/>
  <c r="G4731" i="5"/>
  <c r="H4731" i="5"/>
  <c r="F4731" i="5"/>
  <c r="F4707" i="5"/>
  <c r="G4707" i="5"/>
  <c r="H4707" i="5"/>
  <c r="H4695" i="5"/>
  <c r="F4695" i="5"/>
  <c r="G4683" i="5"/>
  <c r="F4683" i="5"/>
  <c r="H4683" i="5"/>
  <c r="G4671" i="5"/>
  <c r="H4671" i="5"/>
  <c r="H4623" i="5"/>
  <c r="G4623" i="5"/>
  <c r="F4623" i="5"/>
  <c r="G4599" i="5"/>
  <c r="H4599" i="5"/>
  <c r="H4575" i="5"/>
  <c r="F4575" i="5"/>
  <c r="D4551" i="5"/>
  <c r="H4551" i="5"/>
  <c r="F4551" i="5"/>
  <c r="G4539" i="5"/>
  <c r="D4539" i="5"/>
  <c r="F4539" i="5"/>
  <c r="H4539" i="5"/>
  <c r="F4515" i="5"/>
  <c r="G4515" i="5"/>
  <c r="H4515" i="5"/>
  <c r="D4515" i="5"/>
  <c r="D4803" i="5"/>
  <c r="D4783" i="5"/>
  <c r="D4767" i="5"/>
  <c r="D4747" i="5"/>
  <c r="D4731" i="5"/>
  <c r="D4711" i="5"/>
  <c r="D4695" i="5"/>
  <c r="D4675" i="5"/>
  <c r="D4659" i="5"/>
  <c r="D4639" i="5"/>
  <c r="D4623" i="5"/>
  <c r="D4599" i="5"/>
  <c r="D4543" i="5"/>
  <c r="D4517" i="5"/>
  <c r="E4792" i="5"/>
  <c r="E4675" i="5"/>
  <c r="E4660" i="5"/>
  <c r="E4624" i="5"/>
  <c r="E4576" i="5"/>
  <c r="F4686" i="5"/>
  <c r="F4671" i="5"/>
  <c r="F4599" i="5"/>
  <c r="F4566" i="5"/>
  <c r="F4527" i="5"/>
  <c r="F4509" i="5"/>
  <c r="G4780" i="5"/>
  <c r="G4746" i="5"/>
  <c r="G4650" i="5"/>
  <c r="G4617" i="5"/>
  <c r="G4575" i="5"/>
  <c r="H4803" i="5"/>
  <c r="H4635" i="5"/>
  <c r="H4593" i="5"/>
  <c r="H4521" i="5"/>
  <c r="D4801" i="5"/>
  <c r="D4782" i="5"/>
  <c r="D4765" i="5"/>
  <c r="D4746" i="5"/>
  <c r="D4729" i="5"/>
  <c r="D4710" i="5"/>
  <c r="D4693" i="5"/>
  <c r="D4657" i="5"/>
  <c r="D4638" i="5"/>
  <c r="D4621" i="5"/>
  <c r="D4541" i="5"/>
  <c r="E4757" i="5"/>
  <c r="E4541" i="5"/>
  <c r="F4755" i="5"/>
  <c r="G4779" i="5"/>
  <c r="G4717" i="5"/>
  <c r="G4649" i="5"/>
  <c r="G4545" i="5"/>
  <c r="H4761" i="5"/>
  <c r="H4590" i="5"/>
  <c r="H4549" i="5"/>
  <c r="H4518" i="5"/>
  <c r="G4754" i="5"/>
  <c r="H4754" i="5"/>
  <c r="G4742" i="5"/>
  <c r="H4742" i="5"/>
  <c r="H4694" i="5"/>
  <c r="F4694" i="5"/>
  <c r="G4682" i="5"/>
  <c r="F4682" i="5"/>
  <c r="H4682" i="5"/>
  <c r="G4670" i="5"/>
  <c r="F4670" i="5"/>
  <c r="H4670" i="5"/>
  <c r="G4610" i="5"/>
  <c r="H4610" i="5"/>
  <c r="G4598" i="5"/>
  <c r="H4598" i="5"/>
  <c r="H4550" i="5"/>
  <c r="F4550" i="5"/>
  <c r="G4538" i="5"/>
  <c r="D4538" i="5"/>
  <c r="F4538" i="5"/>
  <c r="H4538" i="5"/>
  <c r="D4526" i="5"/>
  <c r="G4526" i="5"/>
  <c r="F4526" i="5"/>
  <c r="H4526" i="5"/>
  <c r="D4514" i="5"/>
  <c r="G4514" i="5"/>
  <c r="D4802" i="5"/>
  <c r="D4790" i="5"/>
  <c r="D4778" i="5"/>
  <c r="D4766" i="5"/>
  <c r="D4754" i="5"/>
  <c r="D4742" i="5"/>
  <c r="D4730" i="5"/>
  <c r="D4718" i="5"/>
  <c r="D4706" i="5"/>
  <c r="D4694" i="5"/>
  <c r="D4682" i="5"/>
  <c r="D4670" i="5"/>
  <c r="D4658" i="5"/>
  <c r="D4646" i="5"/>
  <c r="D4622" i="5"/>
  <c r="D4594" i="5"/>
  <c r="D4534" i="5"/>
  <c r="F4704" i="5"/>
  <c r="F4610" i="5"/>
  <c r="F4548" i="5"/>
  <c r="G4715" i="5"/>
  <c r="G4692" i="5"/>
  <c r="G4606" i="5"/>
  <c r="G4562" i="5"/>
  <c r="H4776" i="5"/>
  <c r="H4690" i="5"/>
  <c r="H4646" i="5"/>
  <c r="H4560" i="5"/>
  <c r="F4800" i="5"/>
  <c r="G4800" i="5"/>
  <c r="H4800" i="5"/>
  <c r="F4788" i="5"/>
  <c r="G4788" i="5"/>
  <c r="G4740" i="5"/>
  <c r="H4740" i="5"/>
  <c r="G4728" i="5"/>
  <c r="H4728" i="5"/>
  <c r="G4668" i="5"/>
  <c r="F4668" i="5"/>
  <c r="H4668" i="5"/>
  <c r="F4656" i="5"/>
  <c r="G4656" i="5"/>
  <c r="H4656" i="5"/>
  <c r="F4644" i="5"/>
  <c r="G4644" i="5"/>
  <c r="G4596" i="5"/>
  <c r="H4596" i="5"/>
  <c r="G4584" i="5"/>
  <c r="H4584" i="5"/>
  <c r="G4524" i="5"/>
  <c r="F4524" i="5"/>
  <c r="H4524" i="5"/>
  <c r="D4512" i="5"/>
  <c r="F4512" i="5"/>
  <c r="G4512" i="5"/>
  <c r="H4512" i="5"/>
  <c r="D4800" i="5"/>
  <c r="D4788" i="5"/>
  <c r="D4776" i="5"/>
  <c r="D4764" i="5"/>
  <c r="D4752" i="5"/>
  <c r="D4740" i="5"/>
  <c r="D4728" i="5"/>
  <c r="D4716" i="5"/>
  <c r="D4704" i="5"/>
  <c r="D4680" i="5"/>
  <c r="D4668" i="5"/>
  <c r="D4656" i="5"/>
  <c r="D4644" i="5"/>
  <c r="D4620" i="5"/>
  <c r="D4607" i="5"/>
  <c r="D4571" i="5"/>
  <c r="F4716" i="5"/>
  <c r="F4608" i="5"/>
  <c r="F4514" i="5"/>
  <c r="G4776" i="5"/>
  <c r="G4752" i="5"/>
  <c r="G4690" i="5"/>
  <c r="G4666" i="5"/>
  <c r="G4646" i="5"/>
  <c r="G4622" i="5"/>
  <c r="G4560" i="5"/>
  <c r="G4536" i="5"/>
  <c r="H4774" i="5"/>
  <c r="H4750" i="5"/>
  <c r="H4730" i="5"/>
  <c r="H4706" i="5"/>
  <c r="H4644" i="5"/>
  <c r="H4620" i="5"/>
  <c r="H4558" i="5"/>
  <c r="H4534" i="5"/>
  <c r="H4514" i="5"/>
  <c r="E4799" i="5"/>
  <c r="G4799" i="5"/>
  <c r="E4739" i="5"/>
  <c r="H4739" i="5"/>
  <c r="E4727" i="5"/>
  <c r="G4727" i="5"/>
  <c r="E4667" i="5"/>
  <c r="H4667" i="5"/>
  <c r="E4655" i="5"/>
  <c r="G4655" i="5"/>
  <c r="E4595" i="5"/>
  <c r="H4595" i="5"/>
  <c r="E4583" i="5"/>
  <c r="G4583" i="5"/>
  <c r="E4523" i="5"/>
  <c r="H4523" i="5"/>
  <c r="E4511" i="5"/>
  <c r="G4511" i="5"/>
  <c r="D4799" i="5"/>
  <c r="D4787" i="5"/>
  <c r="D4775" i="5"/>
  <c r="D4763" i="5"/>
  <c r="D4751" i="5"/>
  <c r="D4739" i="5"/>
  <c r="D4727" i="5"/>
  <c r="D4715" i="5"/>
  <c r="D4703" i="5"/>
  <c r="D4691" i="5"/>
  <c r="D4679" i="5"/>
  <c r="D4667" i="5"/>
  <c r="D4655" i="5"/>
  <c r="D4643" i="5"/>
  <c r="D4631" i="5"/>
  <c r="D4619" i="5"/>
  <c r="D4606" i="5"/>
  <c r="E4750" i="5"/>
  <c r="E4678" i="5"/>
  <c r="E4534" i="5"/>
  <c r="F4730" i="5"/>
  <c r="F4622" i="5"/>
  <c r="G4775" i="5"/>
  <c r="G4751" i="5"/>
  <c r="G4559" i="5"/>
  <c r="G4535" i="5"/>
  <c r="H4643" i="5"/>
  <c r="H4619" i="5"/>
  <c r="G4798" i="5"/>
  <c r="H4798" i="5"/>
  <c r="G4786" i="5"/>
  <c r="H4786" i="5"/>
  <c r="G4726" i="5"/>
  <c r="H4726" i="5"/>
  <c r="G4714" i="5"/>
  <c r="H4714" i="5"/>
  <c r="G4654" i="5"/>
  <c r="H4654" i="5"/>
  <c r="G4642" i="5"/>
  <c r="H4642" i="5"/>
  <c r="G4582" i="5"/>
  <c r="H4582" i="5"/>
  <c r="D4582" i="5"/>
  <c r="G4570" i="5"/>
  <c r="H4570" i="5"/>
  <c r="G4510" i="5"/>
  <c r="H4510" i="5"/>
  <c r="D4798" i="5"/>
  <c r="D4786" i="5"/>
  <c r="D4774" i="5"/>
  <c r="D4750" i="5"/>
  <c r="D4738" i="5"/>
  <c r="D4726" i="5"/>
  <c r="D4714" i="5"/>
  <c r="D4702" i="5"/>
  <c r="D4666" i="5"/>
  <c r="D4654" i="5"/>
  <c r="D4642" i="5"/>
  <c r="D4630" i="5"/>
  <c r="D4618" i="5"/>
  <c r="D4586" i="5"/>
  <c r="D4547" i="5"/>
  <c r="F4574" i="5"/>
  <c r="G4643" i="5"/>
  <c r="G4620" i="5"/>
  <c r="H4790" i="5"/>
  <c r="H4727" i="5"/>
  <c r="H4511" i="5"/>
  <c r="G2803" i="5"/>
  <c r="H3451" i="5"/>
  <c r="H2905" i="5"/>
  <c r="H1836" i="5"/>
  <c r="G1508" i="5"/>
  <c r="H3848" i="5"/>
  <c r="H4424" i="5"/>
  <c r="H834" i="5"/>
  <c r="G834" i="5"/>
  <c r="W196" i="3"/>
  <c r="W172" i="3"/>
  <c r="W160" i="3"/>
  <c r="W112" i="3"/>
  <c r="S76" i="3"/>
  <c r="W76" i="3"/>
  <c r="S64" i="3"/>
  <c r="W64" i="3"/>
  <c r="S40" i="3"/>
  <c r="W40" i="3"/>
  <c r="R247" i="3"/>
  <c r="W422" i="3"/>
  <c r="W482" i="3"/>
  <c r="W446" i="3"/>
  <c r="W410" i="3"/>
  <c r="W266" i="3"/>
  <c r="W122" i="3"/>
  <c r="S74" i="3"/>
  <c r="W74" i="3"/>
  <c r="S14" i="3"/>
  <c r="W14" i="3"/>
  <c r="W481" i="3"/>
  <c r="W433" i="3"/>
  <c r="W397" i="3"/>
  <c r="W349" i="3"/>
  <c r="W289" i="3"/>
  <c r="W265" i="3"/>
  <c r="W145" i="3"/>
  <c r="S109" i="3"/>
  <c r="W109" i="3"/>
  <c r="S37" i="3"/>
  <c r="W37" i="3"/>
  <c r="W455" i="3"/>
  <c r="W407" i="3"/>
  <c r="W371" i="3"/>
  <c r="W323" i="3"/>
  <c r="W275" i="3"/>
  <c r="S59" i="3"/>
  <c r="W59" i="3"/>
  <c r="S23" i="3"/>
  <c r="W23" i="3"/>
  <c r="W238" i="3"/>
  <c r="W226" i="3"/>
  <c r="W214" i="3"/>
  <c r="W130" i="3"/>
  <c r="S106" i="3"/>
  <c r="W106" i="3"/>
  <c r="S94" i="3"/>
  <c r="W94" i="3"/>
  <c r="S58" i="3"/>
  <c r="W58" i="3"/>
  <c r="S34" i="3"/>
  <c r="W34" i="3"/>
  <c r="W22" i="3"/>
  <c r="R10" i="3"/>
  <c r="U10" i="3"/>
  <c r="W494" i="3"/>
  <c r="W218" i="3"/>
  <c r="S96" i="3"/>
  <c r="W96" i="3"/>
  <c r="W470" i="3"/>
  <c r="W434" i="3"/>
  <c r="W398" i="3"/>
  <c r="W278" i="3"/>
  <c r="W146" i="3"/>
  <c r="W493" i="3"/>
  <c r="W445" i="3"/>
  <c r="W421" i="3"/>
  <c r="W373" i="3"/>
  <c r="W277" i="3"/>
  <c r="W157" i="3"/>
  <c r="W121" i="3"/>
  <c r="S73" i="3"/>
  <c r="W73" i="3"/>
  <c r="W386" i="3"/>
  <c r="W240" i="3"/>
  <c r="S108" i="3"/>
  <c r="W108" i="3"/>
  <c r="S72" i="3"/>
  <c r="W72" i="3"/>
  <c r="W385" i="3"/>
  <c r="W491" i="3"/>
  <c r="W443" i="3"/>
  <c r="W287" i="3"/>
  <c r="W239" i="3"/>
  <c r="W227" i="3"/>
  <c r="W335" i="3"/>
  <c r="W249" i="3"/>
  <c r="W225" i="3"/>
  <c r="W213" i="3"/>
  <c r="W201" i="3"/>
  <c r="W141" i="3"/>
  <c r="W129" i="3"/>
  <c r="S105" i="3"/>
  <c r="W105" i="3"/>
  <c r="S57" i="3"/>
  <c r="W57" i="3"/>
  <c r="S33" i="3"/>
  <c r="W33" i="3"/>
  <c r="W21" i="3"/>
  <c r="W479" i="3"/>
  <c r="W217" i="3"/>
  <c r="W374" i="3"/>
  <c r="W350" i="3"/>
  <c r="W302" i="3"/>
  <c r="W134" i="3"/>
  <c r="S86" i="3"/>
  <c r="W86" i="3"/>
  <c r="S50" i="3"/>
  <c r="W50" i="3"/>
  <c r="S26" i="3"/>
  <c r="W26" i="3"/>
  <c r="W457" i="3"/>
  <c r="W409" i="3"/>
  <c r="W337" i="3"/>
  <c r="W301" i="3"/>
  <c r="W253" i="3"/>
  <c r="W133" i="3"/>
  <c r="S85" i="3"/>
  <c r="W85" i="3"/>
  <c r="S49" i="3"/>
  <c r="W49" i="3"/>
  <c r="S25" i="3"/>
  <c r="W25" i="3"/>
  <c r="W264" i="3"/>
  <c r="W144" i="3"/>
  <c r="S48" i="3"/>
  <c r="W48" i="3"/>
  <c r="S36" i="3"/>
  <c r="W36" i="3"/>
  <c r="W467" i="3"/>
  <c r="W419" i="3"/>
  <c r="W383" i="3"/>
  <c r="W347" i="3"/>
  <c r="W299" i="3"/>
  <c r="W251" i="3"/>
  <c r="W143" i="3"/>
  <c r="W119" i="3"/>
  <c r="S35" i="3"/>
  <c r="W35" i="3"/>
  <c r="C865" i="5"/>
  <c r="E865" i="5"/>
  <c r="W236" i="3"/>
  <c r="W212" i="3"/>
  <c r="W200" i="3"/>
  <c r="W188" i="3"/>
  <c r="W128" i="3"/>
  <c r="S92" i="3"/>
  <c r="W92" i="3"/>
  <c r="W80" i="3"/>
  <c r="S20" i="3"/>
  <c r="W20" i="3"/>
  <c r="R216" i="3"/>
  <c r="C839" i="5"/>
  <c r="F839" i="5"/>
  <c r="W326" i="3"/>
  <c r="W458" i="3"/>
  <c r="W362" i="3"/>
  <c r="W338" i="3"/>
  <c r="R338" i="3"/>
  <c r="W290" i="3"/>
  <c r="W110" i="3"/>
  <c r="W62" i="3"/>
  <c r="S38" i="3"/>
  <c r="W38" i="3"/>
  <c r="W469" i="3"/>
  <c r="R469" i="3"/>
  <c r="W361" i="3"/>
  <c r="W325" i="3"/>
  <c r="W61" i="3"/>
  <c r="S13" i="3"/>
  <c r="W13" i="3"/>
  <c r="W252" i="3"/>
  <c r="W156" i="3"/>
  <c r="W120" i="3"/>
  <c r="S98" i="3"/>
  <c r="W98" i="3"/>
  <c r="W395" i="3"/>
  <c r="W359" i="3"/>
  <c r="W311" i="3"/>
  <c r="S95" i="3"/>
  <c r="W95" i="3"/>
  <c r="S47" i="3"/>
  <c r="W47" i="3"/>
  <c r="R123" i="3"/>
  <c r="S97" i="3"/>
  <c r="W97" i="3"/>
  <c r="R479" i="3"/>
  <c r="C4285" i="5"/>
  <c r="E4285" i="5"/>
  <c r="R335" i="3"/>
  <c r="R155" i="3"/>
  <c r="W91" i="3"/>
  <c r="S19" i="3"/>
  <c r="W19" i="3"/>
  <c r="R339" i="3"/>
  <c r="W270" i="3"/>
  <c r="W258" i="3"/>
  <c r="W246" i="3"/>
  <c r="W234" i="3"/>
  <c r="W222" i="3"/>
  <c r="W210" i="3"/>
  <c r="W198" i="3"/>
  <c r="W186" i="3"/>
  <c r="W174" i="3"/>
  <c r="W162" i="3"/>
  <c r="S78" i="3"/>
  <c r="W78" i="3"/>
  <c r="W149" i="3"/>
  <c r="S77" i="3"/>
  <c r="W77" i="3"/>
  <c r="S65" i="3"/>
  <c r="W65" i="3"/>
  <c r="R271" i="3"/>
  <c r="R259" i="3"/>
  <c r="R211" i="3"/>
  <c r="W135" i="3"/>
  <c r="S51" i="3"/>
  <c r="W51" i="3"/>
  <c r="R495" i="3"/>
  <c r="R471" i="3"/>
  <c r="C4214" i="5"/>
  <c r="F4214" i="5"/>
  <c r="R387" i="3"/>
  <c r="C3458" i="5"/>
  <c r="F3458" i="5"/>
  <c r="R171" i="3"/>
  <c r="C1514" i="5"/>
  <c r="F1514" i="5"/>
  <c r="C542" i="5"/>
  <c r="F542" i="5"/>
  <c r="R494" i="3"/>
  <c r="R422" i="3"/>
  <c r="R386" i="3"/>
  <c r="C3448" i="5"/>
  <c r="E3448" i="5"/>
  <c r="R326" i="3"/>
  <c r="C2908" i="5"/>
  <c r="E2908" i="5"/>
  <c r="R314" i="3"/>
  <c r="R218" i="3"/>
  <c r="R146" i="3"/>
  <c r="C1288" i="5"/>
  <c r="E1288" i="5"/>
  <c r="R385" i="3"/>
  <c r="R169" i="3"/>
  <c r="C1495" i="5"/>
  <c r="E1495" i="5"/>
  <c r="N4" i="4"/>
  <c r="E4510" i="5"/>
  <c r="G3444" i="5"/>
  <c r="F3444" i="5"/>
  <c r="E3444" i="5"/>
  <c r="F3456" i="5"/>
  <c r="E3456" i="5"/>
  <c r="H1928" i="5"/>
  <c r="F1928" i="5"/>
  <c r="F836" i="5"/>
  <c r="E836" i="5"/>
  <c r="H4431" i="5"/>
  <c r="E4431" i="5"/>
  <c r="H840" i="5"/>
  <c r="E840" i="5"/>
  <c r="F834" i="5"/>
  <c r="E834" i="5"/>
  <c r="F4416" i="5"/>
  <c r="E4416" i="5"/>
  <c r="G1922" i="5"/>
  <c r="E1922" i="5"/>
  <c r="F3435" i="5"/>
  <c r="E3435" i="5"/>
  <c r="G1285" i="5"/>
  <c r="F1285" i="5"/>
  <c r="G1935" i="5"/>
  <c r="F1935" i="5"/>
  <c r="E1935" i="5"/>
  <c r="G3451" i="5"/>
  <c r="F3451" i="5"/>
  <c r="H3775" i="5"/>
  <c r="F3775" i="5"/>
  <c r="F537" i="5"/>
  <c r="E537" i="5"/>
  <c r="F864" i="5"/>
  <c r="E864" i="5"/>
  <c r="H1296" i="5"/>
  <c r="F1296" i="5"/>
  <c r="E1296" i="5"/>
  <c r="G1300" i="5"/>
  <c r="F1300" i="5"/>
  <c r="H2812" i="5"/>
  <c r="F2812" i="5"/>
  <c r="F3453" i="5"/>
  <c r="E3453" i="5"/>
  <c r="F4211" i="5"/>
  <c r="E4211" i="5"/>
  <c r="A1948" i="5"/>
  <c r="F1948" i="5"/>
  <c r="G854" i="5"/>
  <c r="F854" i="5"/>
  <c r="E854" i="5"/>
  <c r="F1284" i="5"/>
  <c r="E1284" i="5"/>
  <c r="H3455" i="5"/>
  <c r="F3455" i="5"/>
  <c r="E3455" i="5"/>
  <c r="F845" i="5"/>
  <c r="E845" i="5"/>
  <c r="F1923" i="5"/>
  <c r="E1923" i="5"/>
  <c r="G1947" i="5"/>
  <c r="E1947" i="5"/>
  <c r="B4215" i="5"/>
  <c r="E4215" i="5"/>
  <c r="G1832" i="5"/>
  <c r="E1832" i="5"/>
  <c r="B4288" i="5"/>
  <c r="F4288" i="5"/>
  <c r="F837" i="5"/>
  <c r="E837" i="5"/>
  <c r="F1491" i="5"/>
  <c r="E1491" i="5"/>
  <c r="G3434" i="5"/>
  <c r="E3434" i="5"/>
  <c r="F852" i="5"/>
  <c r="E852" i="5"/>
  <c r="H1934" i="5"/>
  <c r="F1934" i="5"/>
  <c r="E1934" i="5"/>
  <c r="B2802" i="5"/>
  <c r="E2802" i="5"/>
  <c r="A3774" i="5"/>
  <c r="E3774" i="5"/>
  <c r="H4422" i="5"/>
  <c r="E4422" i="5"/>
  <c r="H863" i="5"/>
  <c r="F863" i="5"/>
  <c r="E863" i="5"/>
  <c r="H1295" i="5"/>
  <c r="F1295" i="5"/>
  <c r="E1295" i="5"/>
  <c r="H1515" i="5"/>
  <c r="E1515" i="5"/>
  <c r="F1944" i="5"/>
  <c r="E1944" i="5"/>
  <c r="H2807" i="5"/>
  <c r="F2807" i="5"/>
  <c r="E2807" i="5"/>
  <c r="H2920" i="5"/>
  <c r="F2920" i="5"/>
  <c r="H3460" i="5"/>
  <c r="F3460" i="5"/>
  <c r="H4216" i="5"/>
  <c r="F4216" i="5"/>
  <c r="G3848" i="5"/>
  <c r="E3848" i="5"/>
  <c r="H1834" i="5"/>
  <c r="F1834" i="5"/>
  <c r="H1924" i="5"/>
  <c r="F1924" i="5"/>
  <c r="G1292" i="5"/>
  <c r="E1292" i="5"/>
  <c r="H3438" i="5"/>
  <c r="F3438" i="5"/>
  <c r="E3438" i="5"/>
  <c r="F4284" i="5"/>
  <c r="E4284" i="5"/>
  <c r="H1283" i="5"/>
  <c r="E1283" i="5"/>
  <c r="H2803" i="5"/>
  <c r="F2803" i="5"/>
  <c r="F3768" i="5"/>
  <c r="E3768" i="5"/>
  <c r="G536" i="5"/>
  <c r="E536" i="5"/>
  <c r="H1294" i="5"/>
  <c r="F1294" i="5"/>
  <c r="B2806" i="5"/>
  <c r="F2806" i="5"/>
  <c r="G1836" i="5"/>
  <c r="F1836" i="5"/>
  <c r="E1836" i="5"/>
  <c r="F2904" i="5"/>
  <c r="E2904" i="5"/>
  <c r="B4210" i="5"/>
  <c r="F4210" i="5"/>
  <c r="H4282" i="5"/>
  <c r="F4282" i="5"/>
  <c r="F1925" i="5"/>
  <c r="E1925" i="5"/>
  <c r="F539" i="5"/>
  <c r="E539" i="5"/>
  <c r="F2913" i="5"/>
  <c r="E2913" i="5"/>
  <c r="E3851" i="5"/>
  <c r="F3851" i="5"/>
  <c r="H1493" i="5"/>
  <c r="F1493" i="5"/>
  <c r="E1493" i="5"/>
  <c r="F3437" i="5"/>
  <c r="E3437" i="5"/>
  <c r="H4419" i="5"/>
  <c r="F4419" i="5"/>
  <c r="E4419" i="5"/>
  <c r="H3459" i="5"/>
  <c r="E3459" i="5"/>
  <c r="G3849" i="5"/>
  <c r="F3849" i="5"/>
  <c r="E3849" i="5"/>
  <c r="G2905" i="5"/>
  <c r="H4280" i="5"/>
  <c r="E4280" i="5"/>
  <c r="H3446" i="5"/>
  <c r="F3446" i="5"/>
  <c r="E3446" i="5"/>
  <c r="A841" i="5"/>
  <c r="F841" i="5"/>
  <c r="F846" i="5"/>
  <c r="E846" i="5"/>
  <c r="G3436" i="5"/>
  <c r="F3436" i="5"/>
  <c r="H859" i="5"/>
  <c r="F859" i="5"/>
  <c r="H1939" i="5"/>
  <c r="F1939" i="5"/>
  <c r="F2799" i="5"/>
  <c r="E2799" i="5"/>
  <c r="H2911" i="5"/>
  <c r="F2911" i="5"/>
  <c r="G3445" i="5"/>
  <c r="F3445" i="5"/>
  <c r="G3767" i="5"/>
  <c r="E3767" i="5"/>
  <c r="H4415" i="5"/>
  <c r="E4415" i="5"/>
  <c r="H861" i="5"/>
  <c r="F861" i="5"/>
  <c r="E861" i="5"/>
  <c r="F1941" i="5"/>
  <c r="E1941" i="5"/>
  <c r="G2805" i="5"/>
  <c r="F2805" i="5"/>
  <c r="E2805" i="5"/>
  <c r="H4427" i="5"/>
  <c r="F4427" i="5"/>
  <c r="E4427" i="5"/>
  <c r="G1286" i="5"/>
  <c r="F1286" i="5"/>
  <c r="E1286" i="5"/>
  <c r="F1932" i="5"/>
  <c r="E1932" i="5"/>
  <c r="F4283" i="5"/>
  <c r="E4283" i="5"/>
  <c r="H2796" i="5"/>
  <c r="F2796" i="5"/>
  <c r="E2796" i="5"/>
  <c r="H835" i="5"/>
  <c r="F835" i="5"/>
  <c r="G843" i="5"/>
  <c r="E843" i="5"/>
  <c r="F843" i="5"/>
  <c r="H1497" i="5"/>
  <c r="E1497" i="5"/>
  <c r="A858" i="5"/>
  <c r="E858" i="5"/>
  <c r="H1938" i="5"/>
  <c r="E1938" i="5"/>
  <c r="H2795" i="5"/>
  <c r="E2795" i="5"/>
  <c r="E3770" i="5"/>
  <c r="F3770" i="5"/>
  <c r="F540" i="5"/>
  <c r="E540" i="5"/>
  <c r="H544" i="5"/>
  <c r="F544" i="5"/>
  <c r="B1509" i="5"/>
  <c r="F1509" i="5"/>
  <c r="E1509" i="5"/>
  <c r="H4212" i="5"/>
  <c r="F4212" i="5"/>
  <c r="E4212" i="5"/>
  <c r="G4426" i="5"/>
  <c r="F4426" i="5"/>
  <c r="H3852" i="5"/>
  <c r="F3852" i="5"/>
  <c r="E3852" i="5"/>
  <c r="F3771" i="5"/>
  <c r="E3771" i="5"/>
  <c r="B2914" i="5"/>
  <c r="F2914" i="5"/>
  <c r="H851" i="5"/>
  <c r="E851" i="5"/>
  <c r="G1512" i="5"/>
  <c r="F1512" i="5"/>
  <c r="E1512" i="5"/>
  <c r="H3856" i="5"/>
  <c r="F3856" i="5"/>
  <c r="G4281" i="5"/>
  <c r="F4281" i="5"/>
  <c r="E4281" i="5"/>
  <c r="B842" i="5"/>
  <c r="E842" i="5"/>
  <c r="H1498" i="5"/>
  <c r="F1498" i="5"/>
  <c r="B855" i="5"/>
  <c r="F855" i="5"/>
  <c r="E855" i="5"/>
  <c r="G2907" i="5"/>
  <c r="F2907" i="5"/>
  <c r="E2907" i="5"/>
  <c r="H3769" i="5"/>
  <c r="F3769" i="5"/>
  <c r="G538" i="5"/>
  <c r="F538" i="5"/>
  <c r="H867" i="5"/>
  <c r="E867" i="5"/>
  <c r="F1943" i="5"/>
  <c r="E1943" i="5"/>
  <c r="G2804" i="5"/>
  <c r="E2804" i="5"/>
  <c r="H2919" i="5"/>
  <c r="E2919" i="5"/>
  <c r="H3452" i="5"/>
  <c r="E3452" i="5"/>
  <c r="G4209" i="5"/>
  <c r="E4209" i="5"/>
  <c r="F4209" i="5"/>
  <c r="B4425" i="5"/>
  <c r="F4425" i="5"/>
  <c r="E4425" i="5"/>
  <c r="H3447" i="5"/>
  <c r="F3447" i="5"/>
  <c r="E3447" i="5"/>
  <c r="B1929" i="5"/>
  <c r="E1929" i="5"/>
  <c r="H1291" i="5"/>
  <c r="F1291" i="5"/>
  <c r="H543" i="5"/>
  <c r="E543" i="5"/>
  <c r="H2912" i="5"/>
  <c r="E2912" i="5"/>
  <c r="F4428" i="5"/>
  <c r="E4428" i="5"/>
  <c r="B1840" i="5"/>
  <c r="F1840" i="5"/>
  <c r="G3855" i="5"/>
  <c r="E3855" i="5"/>
  <c r="F2988" i="5"/>
  <c r="E2988" i="5"/>
  <c r="F2798" i="5"/>
  <c r="E2798" i="5"/>
  <c r="A1290" i="5"/>
  <c r="E1290" i="5"/>
  <c r="G2906" i="5"/>
  <c r="F2906" i="5"/>
  <c r="E2906" i="5"/>
  <c r="H4418" i="5"/>
  <c r="F4418" i="5"/>
  <c r="E4418" i="5"/>
  <c r="G1299" i="5"/>
  <c r="E1299" i="5"/>
  <c r="G1942" i="5"/>
  <c r="F1942" i="5"/>
  <c r="G2916" i="5"/>
  <c r="F2916" i="5"/>
  <c r="E2916" i="5"/>
  <c r="F1835" i="5"/>
  <c r="E1835" i="5"/>
  <c r="H2987" i="5"/>
  <c r="F2987" i="5"/>
  <c r="E2987" i="5"/>
  <c r="G1933" i="5"/>
  <c r="F1933" i="5"/>
  <c r="F1511" i="5"/>
  <c r="E1511" i="5"/>
  <c r="H2808" i="5"/>
  <c r="F2808" i="5"/>
  <c r="E2808" i="5"/>
  <c r="H2991" i="5"/>
  <c r="E2991" i="5"/>
  <c r="B1494" i="5"/>
  <c r="F1494" i="5"/>
  <c r="E1494" i="5"/>
  <c r="H4423" i="5"/>
  <c r="F4423" i="5"/>
  <c r="H4287" i="5"/>
  <c r="E4287" i="5"/>
  <c r="B2985" i="5"/>
  <c r="F2985" i="5"/>
  <c r="E2985" i="5"/>
  <c r="H833" i="5"/>
  <c r="E833" i="5"/>
  <c r="G849" i="5"/>
  <c r="E849" i="5"/>
  <c r="H1490" i="5"/>
  <c r="E1490" i="5"/>
  <c r="A1926" i="5"/>
  <c r="F1926" i="5"/>
  <c r="E1926" i="5"/>
  <c r="G3442" i="5"/>
  <c r="F3442" i="5"/>
  <c r="H1287" i="5"/>
  <c r="F1287" i="5"/>
  <c r="E1287" i="5"/>
  <c r="H3450" i="5"/>
  <c r="E3450" i="5"/>
  <c r="G4417" i="5"/>
  <c r="F4417" i="5"/>
  <c r="H860" i="5"/>
  <c r="E860" i="5"/>
  <c r="F1293" i="5"/>
  <c r="E1293" i="5"/>
  <c r="F2915" i="5"/>
  <c r="E2915" i="5"/>
  <c r="H4208" i="5"/>
  <c r="E4208" i="5"/>
  <c r="G1833" i="5"/>
  <c r="F1833" i="5"/>
  <c r="E1833" i="5"/>
  <c r="R436" i="3"/>
  <c r="G436" i="8"/>
  <c r="R245" i="3"/>
  <c r="C2180" i="5"/>
  <c r="F2180" i="5"/>
  <c r="G1291" i="5"/>
  <c r="C874" i="5"/>
  <c r="E874" i="5"/>
  <c r="R448" i="3"/>
  <c r="R449" i="3"/>
  <c r="R331" i="3"/>
  <c r="G2912" i="5"/>
  <c r="G1834" i="5"/>
  <c r="R472" i="3"/>
  <c r="R393" i="3"/>
  <c r="R485" i="3"/>
  <c r="J485" i="8"/>
  <c r="R473" i="3"/>
  <c r="C473" i="8"/>
  <c r="R304" i="3"/>
  <c r="G304" i="8"/>
  <c r="R353" i="3"/>
  <c r="C3151" i="5"/>
  <c r="E3151" i="5"/>
  <c r="G2802" i="5"/>
  <c r="H1922" i="5"/>
  <c r="R273" i="3"/>
  <c r="R233" i="3"/>
  <c r="C2072" i="5"/>
  <c r="F2072" i="5"/>
  <c r="R425" i="3"/>
  <c r="R295" i="3"/>
  <c r="R464" i="3"/>
  <c r="A464" i="8"/>
  <c r="G2991" i="5"/>
  <c r="G1494" i="5"/>
  <c r="H1494" i="5"/>
  <c r="H1299" i="5"/>
  <c r="G1929" i="5"/>
  <c r="B3447" i="5"/>
  <c r="H1929" i="5"/>
  <c r="G543" i="5"/>
  <c r="A1929" i="5"/>
  <c r="G4423" i="5"/>
  <c r="H2906" i="5"/>
  <c r="H2916" i="5"/>
  <c r="H2988" i="5"/>
  <c r="H4426" i="5"/>
  <c r="G4418" i="5"/>
  <c r="H3855" i="5"/>
  <c r="G1290" i="5"/>
  <c r="G2799" i="5"/>
  <c r="H1290" i="5"/>
  <c r="H1942" i="5"/>
  <c r="G2798" i="5"/>
  <c r="H2798" i="5"/>
  <c r="H4281" i="5"/>
  <c r="A1494" i="5"/>
  <c r="B861" i="5"/>
  <c r="A2985" i="5"/>
  <c r="B1290" i="5"/>
  <c r="G846" i="5"/>
  <c r="G2987" i="5"/>
  <c r="H846" i="5"/>
  <c r="H538" i="5"/>
  <c r="G2920" i="5"/>
  <c r="L219" i="8"/>
  <c r="G2986" i="5"/>
  <c r="H2907" i="5"/>
  <c r="H4209" i="5"/>
  <c r="G2807" i="5"/>
  <c r="G855" i="5"/>
  <c r="H2986" i="5"/>
  <c r="J219" i="8"/>
  <c r="H2985" i="5"/>
  <c r="H3442" i="5"/>
  <c r="G1498" i="5"/>
  <c r="G2919" i="5"/>
  <c r="B1833" i="5"/>
  <c r="G2985" i="5"/>
  <c r="A1833" i="5"/>
  <c r="G2992" i="5"/>
  <c r="G4283" i="5"/>
  <c r="H842" i="5"/>
  <c r="A4425" i="5"/>
  <c r="H4283" i="5"/>
  <c r="G4287" i="5"/>
  <c r="G3452" i="5"/>
  <c r="H1833" i="5"/>
  <c r="H855" i="5"/>
  <c r="B2795" i="5"/>
  <c r="B849" i="5"/>
  <c r="H849" i="5"/>
  <c r="B2919" i="5"/>
  <c r="G544" i="5"/>
  <c r="H2804" i="5"/>
  <c r="G4425" i="5"/>
  <c r="G3852" i="5"/>
  <c r="G867" i="5"/>
  <c r="B544" i="5"/>
  <c r="A2919" i="5"/>
  <c r="G858" i="5"/>
  <c r="H4425" i="5"/>
  <c r="G1930" i="5"/>
  <c r="G540" i="5"/>
  <c r="G1287" i="5"/>
  <c r="A833" i="5"/>
  <c r="A2795" i="5"/>
  <c r="G1938" i="5"/>
  <c r="H1930" i="5"/>
  <c r="H540" i="5"/>
  <c r="B1926" i="5"/>
  <c r="G2796" i="5"/>
  <c r="G833" i="5"/>
  <c r="H2799" i="5"/>
  <c r="A2805" i="5"/>
  <c r="H3445" i="5"/>
  <c r="H2805" i="5"/>
  <c r="H3767" i="5"/>
  <c r="G861" i="5"/>
  <c r="B2805" i="5"/>
  <c r="A1941" i="5"/>
  <c r="G2984" i="5"/>
  <c r="H1286" i="5"/>
  <c r="B833" i="5"/>
  <c r="H3850" i="5"/>
  <c r="H1947" i="5"/>
  <c r="G2911" i="5"/>
  <c r="H2984" i="5"/>
  <c r="G2913" i="5"/>
  <c r="B217" i="8"/>
  <c r="H3454" i="5"/>
  <c r="B1493" i="5"/>
  <c r="A840" i="5"/>
  <c r="H1508" i="5"/>
  <c r="G3454" i="5"/>
  <c r="G1924" i="5"/>
  <c r="G4210" i="5"/>
  <c r="G1296" i="5"/>
  <c r="H854" i="5"/>
  <c r="A1510" i="5"/>
  <c r="H2806" i="5"/>
  <c r="G1934" i="5"/>
  <c r="G1294" i="5"/>
  <c r="B1510" i="5"/>
  <c r="G1493" i="5"/>
  <c r="H536" i="5"/>
  <c r="G4216" i="5"/>
  <c r="G1492" i="5"/>
  <c r="H3849" i="5"/>
  <c r="G4282" i="5"/>
  <c r="G1510" i="5"/>
  <c r="G3851" i="5"/>
  <c r="H1933" i="5"/>
  <c r="G835" i="5"/>
  <c r="E219" i="8"/>
  <c r="K217" i="8"/>
  <c r="M217" i="8"/>
  <c r="A4426" i="5"/>
  <c r="A834" i="5"/>
  <c r="A217" i="8"/>
  <c r="G1925" i="5"/>
  <c r="H1925" i="5"/>
  <c r="H4210" i="5"/>
  <c r="H1492" i="5"/>
  <c r="H1510" i="5"/>
  <c r="H3851" i="5"/>
  <c r="G4431" i="5"/>
  <c r="G3775" i="5"/>
  <c r="G219" i="8"/>
  <c r="B3850" i="5"/>
  <c r="B834" i="5"/>
  <c r="C3854" i="5"/>
  <c r="F3854" i="5"/>
  <c r="H1292" i="5"/>
  <c r="E217" i="8"/>
  <c r="D217" i="8"/>
  <c r="L217" i="8"/>
  <c r="H4432" i="5"/>
  <c r="G3438" i="5"/>
  <c r="G4211" i="5"/>
  <c r="G840" i="5"/>
  <c r="H841" i="5"/>
  <c r="G859" i="5"/>
  <c r="G862" i="5"/>
  <c r="F219" i="8"/>
  <c r="A3850" i="5"/>
  <c r="A3855" i="5"/>
  <c r="H3434" i="5"/>
  <c r="G851" i="5"/>
  <c r="A1493" i="5"/>
  <c r="H1300" i="5"/>
  <c r="G4424" i="5"/>
  <c r="G3850" i="5"/>
  <c r="H4211" i="5"/>
  <c r="H862" i="5"/>
  <c r="H219" i="8"/>
  <c r="A3460" i="5"/>
  <c r="B3855" i="5"/>
  <c r="C3457" i="5"/>
  <c r="E3457" i="5"/>
  <c r="B1284" i="5"/>
  <c r="H1932" i="5"/>
  <c r="B1932" i="5"/>
  <c r="A1932" i="5"/>
  <c r="G1932" i="5"/>
  <c r="H3443" i="5"/>
  <c r="G3443" i="5"/>
  <c r="H1923" i="5"/>
  <c r="G1923" i="5"/>
  <c r="H853" i="5"/>
  <c r="G853" i="5"/>
  <c r="H2797" i="5"/>
  <c r="G2797" i="5"/>
  <c r="A868" i="5"/>
  <c r="B868" i="5"/>
  <c r="H1940" i="5"/>
  <c r="G1940" i="5"/>
  <c r="G1835" i="5"/>
  <c r="G2904" i="5"/>
  <c r="H2904" i="5"/>
  <c r="H3771" i="5"/>
  <c r="G3771" i="5"/>
  <c r="H1511" i="5"/>
  <c r="G1511" i="5"/>
  <c r="H3435" i="5"/>
  <c r="G3435" i="5"/>
  <c r="A3441" i="5"/>
  <c r="H3441" i="5"/>
  <c r="G3441" i="5"/>
  <c r="B3441" i="5"/>
  <c r="G837" i="5"/>
  <c r="H844" i="5"/>
  <c r="G844" i="5"/>
  <c r="H1491" i="5"/>
  <c r="G1491" i="5"/>
  <c r="G4284" i="5"/>
  <c r="H4284" i="5"/>
  <c r="G1284" i="5"/>
  <c r="H4417" i="5"/>
  <c r="G2808" i="5"/>
  <c r="H2915" i="5"/>
  <c r="G2915" i="5"/>
  <c r="H3456" i="5"/>
  <c r="G3456" i="5"/>
  <c r="H1835" i="5"/>
  <c r="B2811" i="5"/>
  <c r="A2811" i="5"/>
  <c r="H2811" i="5"/>
  <c r="G2811" i="5"/>
  <c r="B3444" i="5"/>
  <c r="A3444" i="5"/>
  <c r="H3444" i="5"/>
  <c r="B1948" i="5"/>
  <c r="H1948" i="5"/>
  <c r="G1948" i="5"/>
  <c r="H1839" i="5"/>
  <c r="G1839" i="5"/>
  <c r="H4416" i="5"/>
  <c r="G4416" i="5"/>
  <c r="C4420" i="5"/>
  <c r="E4420" i="5"/>
  <c r="C4421" i="5"/>
  <c r="F4421" i="5"/>
  <c r="H1284" i="5"/>
  <c r="C857" i="5"/>
  <c r="F857" i="5"/>
  <c r="C856" i="5"/>
  <c r="E856" i="5"/>
  <c r="G4432" i="5"/>
  <c r="H858" i="5"/>
  <c r="H1285" i="5"/>
  <c r="G842" i="5"/>
  <c r="A544" i="5"/>
  <c r="A3447" i="5"/>
  <c r="B537" i="5"/>
  <c r="B2913" i="5"/>
  <c r="G3856" i="5"/>
  <c r="H1832" i="5"/>
  <c r="H2913" i="5"/>
  <c r="G1515" i="5"/>
  <c r="B858" i="5"/>
  <c r="B1497" i="5"/>
  <c r="B1515" i="5"/>
  <c r="C838" i="5"/>
  <c r="E838" i="5"/>
  <c r="G1497" i="5"/>
  <c r="H3768" i="5"/>
  <c r="G3447" i="5"/>
  <c r="C217" i="8"/>
  <c r="G217" i="8"/>
  <c r="B3774" i="5"/>
  <c r="A849" i="5"/>
  <c r="A1938" i="5"/>
  <c r="C2909" i="5"/>
  <c r="F2909" i="5"/>
  <c r="G4422" i="5"/>
  <c r="G3455" i="5"/>
  <c r="G1295" i="5"/>
  <c r="F217" i="8"/>
  <c r="C1927" i="5"/>
  <c r="E1927" i="5"/>
  <c r="J217" i="8"/>
  <c r="H843" i="5"/>
  <c r="H3436" i="5"/>
  <c r="H217" i="8"/>
  <c r="A855" i="5"/>
  <c r="A2913" i="5"/>
  <c r="A1497" i="5"/>
  <c r="G4280" i="5"/>
  <c r="H1512" i="5"/>
  <c r="G3774" i="5"/>
  <c r="G2795" i="5"/>
  <c r="G4215" i="5"/>
  <c r="G2812" i="5"/>
  <c r="H3774" i="5"/>
  <c r="H1509" i="5"/>
  <c r="G2988" i="5"/>
  <c r="H4215" i="5"/>
  <c r="S217" i="3"/>
  <c r="I217" i="8"/>
  <c r="D3996" i="5"/>
  <c r="D3997" i="5"/>
  <c r="D3993" i="5"/>
  <c r="D3992" i="5"/>
  <c r="D4000" i="5"/>
  <c r="D3995" i="5"/>
  <c r="D3998" i="5"/>
  <c r="D3999" i="5"/>
  <c r="C3999" i="5"/>
  <c r="E3999" i="5"/>
  <c r="C3995" i="5"/>
  <c r="C3996" i="5"/>
  <c r="C4000" i="5"/>
  <c r="F4000" i="5"/>
  <c r="C3993" i="5"/>
  <c r="C3994" i="5"/>
  <c r="F3994" i="5"/>
  <c r="D3994" i="5"/>
  <c r="C3992" i="5"/>
  <c r="E3992" i="5"/>
  <c r="D3204" i="5"/>
  <c r="D3205" i="5"/>
  <c r="D3207" i="5"/>
  <c r="D3206" i="5"/>
  <c r="D3202" i="5"/>
  <c r="D3203" i="5"/>
  <c r="C3202" i="5"/>
  <c r="F3202" i="5"/>
  <c r="C3203" i="5"/>
  <c r="C3207" i="5"/>
  <c r="E3207" i="5"/>
  <c r="C3208" i="5"/>
  <c r="F3208" i="5"/>
  <c r="D3201" i="5"/>
  <c r="D3208" i="5"/>
  <c r="C3200" i="5"/>
  <c r="E3200" i="5"/>
  <c r="D3200" i="5"/>
  <c r="C3201" i="5"/>
  <c r="C3204" i="5"/>
  <c r="C848" i="5"/>
  <c r="F848" i="5"/>
  <c r="C847" i="5"/>
  <c r="E847" i="5"/>
  <c r="D2558" i="5"/>
  <c r="D2552" i="5"/>
  <c r="D2555" i="5"/>
  <c r="D2556" i="5"/>
  <c r="D2559" i="5"/>
  <c r="D2560" i="5"/>
  <c r="D2553" i="5"/>
  <c r="C2554" i="5"/>
  <c r="F2554" i="5"/>
  <c r="D2554" i="5"/>
  <c r="C2555" i="5"/>
  <c r="D2557" i="5"/>
  <c r="C2552" i="5"/>
  <c r="E2552" i="5"/>
  <c r="C2553" i="5"/>
  <c r="C2556" i="5"/>
  <c r="C2560" i="5"/>
  <c r="F2560" i="5"/>
  <c r="C2559" i="5"/>
  <c r="E2559" i="5"/>
  <c r="D2152" i="5"/>
  <c r="C2149" i="5"/>
  <c r="F2149" i="5"/>
  <c r="D2153" i="5"/>
  <c r="D2147" i="5"/>
  <c r="D2151" i="5"/>
  <c r="D2154" i="5"/>
  <c r="D2155" i="5"/>
  <c r="D2148" i="5"/>
  <c r="D2150" i="5"/>
  <c r="C2148" i="5"/>
  <c r="C2147" i="5"/>
  <c r="E2147" i="5"/>
  <c r="C2150" i="5"/>
  <c r="C2151" i="5"/>
  <c r="C2155" i="5"/>
  <c r="F2155" i="5"/>
  <c r="D2149" i="5"/>
  <c r="C2154" i="5"/>
  <c r="E2154" i="5"/>
  <c r="D3252" i="5"/>
  <c r="D3253" i="5"/>
  <c r="D3249" i="5"/>
  <c r="D3251" i="5"/>
  <c r="D3245" i="5"/>
  <c r="C3253" i="5"/>
  <c r="F3253" i="5"/>
  <c r="D3248" i="5"/>
  <c r="D3250" i="5"/>
  <c r="C3252" i="5"/>
  <c r="E3252" i="5"/>
  <c r="D3246" i="5"/>
  <c r="D3247" i="5"/>
  <c r="C3245" i="5"/>
  <c r="E3245" i="5"/>
  <c r="C3247" i="5"/>
  <c r="F3247" i="5"/>
  <c r="C3248" i="5"/>
  <c r="C3249" i="5"/>
  <c r="C3246" i="5"/>
  <c r="R364" i="3"/>
  <c r="I364" i="8"/>
  <c r="D3098" i="5"/>
  <c r="D3099" i="5"/>
  <c r="D3093" i="5"/>
  <c r="D3094" i="5"/>
  <c r="D3095" i="5"/>
  <c r="D3096" i="5"/>
  <c r="D3100" i="5"/>
  <c r="C3092" i="5"/>
  <c r="E3092" i="5"/>
  <c r="C3093" i="5"/>
  <c r="C3094" i="5"/>
  <c r="F3094" i="5"/>
  <c r="C3096" i="5"/>
  <c r="D3092" i="5"/>
  <c r="D3097" i="5"/>
  <c r="C3095" i="5"/>
  <c r="C3100" i="5"/>
  <c r="F3100" i="5"/>
  <c r="C3099" i="5"/>
  <c r="E3099" i="5"/>
  <c r="D58" i="5"/>
  <c r="D57" i="5"/>
  <c r="D53" i="5"/>
  <c r="C52" i="5"/>
  <c r="F52" i="5"/>
  <c r="D54" i="5"/>
  <c r="C53" i="5"/>
  <c r="C54" i="5"/>
  <c r="D51" i="5"/>
  <c r="C51" i="5"/>
  <c r="D55" i="5"/>
  <c r="C57" i="5"/>
  <c r="E57" i="5"/>
  <c r="D56" i="5"/>
  <c r="D52" i="5"/>
  <c r="C50" i="5"/>
  <c r="E50" i="5"/>
  <c r="C58" i="5"/>
  <c r="F58" i="5"/>
  <c r="D50" i="5"/>
  <c r="R9" i="3"/>
  <c r="D3636" i="5"/>
  <c r="D3637" i="5"/>
  <c r="D3633" i="5"/>
  <c r="D3639" i="5"/>
  <c r="D3640" i="5"/>
  <c r="C3639" i="5"/>
  <c r="E3639" i="5"/>
  <c r="C3640" i="5"/>
  <c r="F3640" i="5"/>
  <c r="C3633" i="5"/>
  <c r="C3634" i="5"/>
  <c r="F3634" i="5"/>
  <c r="C3635" i="5"/>
  <c r="D3632" i="5"/>
  <c r="D3634" i="5"/>
  <c r="D3635" i="5"/>
  <c r="D3638" i="5"/>
  <c r="C3632" i="5"/>
  <c r="E3632" i="5"/>
  <c r="C3636" i="5"/>
  <c r="D550" i="5"/>
  <c r="D552" i="5"/>
  <c r="D553" i="5"/>
  <c r="D545" i="5"/>
  <c r="D546" i="5"/>
  <c r="C545" i="5"/>
  <c r="E545" i="5"/>
  <c r="D547" i="5"/>
  <c r="D548" i="5"/>
  <c r="C549" i="5"/>
  <c r="C552" i="5"/>
  <c r="E552" i="5"/>
  <c r="C553" i="5"/>
  <c r="F553" i="5"/>
  <c r="D549" i="5"/>
  <c r="C546" i="5"/>
  <c r="D551" i="5"/>
  <c r="C547" i="5"/>
  <c r="F547" i="5"/>
  <c r="C548" i="5"/>
  <c r="D3180" i="5"/>
  <c r="D3181" i="5"/>
  <c r="D3177" i="5"/>
  <c r="D3179" i="5"/>
  <c r="D3175" i="5"/>
  <c r="D3176" i="5"/>
  <c r="C3181" i="5"/>
  <c r="F3181" i="5"/>
  <c r="C3176" i="5"/>
  <c r="C3177" i="5"/>
  <c r="D3173" i="5"/>
  <c r="D3174" i="5"/>
  <c r="D3178" i="5"/>
  <c r="C3174" i="5"/>
  <c r="C3175" i="5"/>
  <c r="F3175" i="5"/>
  <c r="C3173" i="5"/>
  <c r="E3173" i="5"/>
  <c r="C3180" i="5"/>
  <c r="E3180" i="5"/>
  <c r="D1642" i="5"/>
  <c r="D1637" i="5"/>
  <c r="D1638" i="5"/>
  <c r="D1639" i="5"/>
  <c r="D1641" i="5"/>
  <c r="C1634" i="5"/>
  <c r="E1634" i="5"/>
  <c r="C1635" i="5"/>
  <c r="D1634" i="5"/>
  <c r="C1641" i="5"/>
  <c r="E1641" i="5"/>
  <c r="D1636" i="5"/>
  <c r="D1640" i="5"/>
  <c r="D1635" i="5"/>
  <c r="C1636" i="5"/>
  <c r="F1636" i="5"/>
  <c r="C1637" i="5"/>
  <c r="C1638" i="5"/>
  <c r="C1642" i="5"/>
  <c r="F1642" i="5"/>
  <c r="D1540" i="5"/>
  <c r="C1537" i="5"/>
  <c r="F1537" i="5"/>
  <c r="D1541" i="5"/>
  <c r="D1543" i="5"/>
  <c r="C1538" i="5"/>
  <c r="C1539" i="5"/>
  <c r="D1535" i="5"/>
  <c r="D1538" i="5"/>
  <c r="D1539" i="5"/>
  <c r="C1535" i="5"/>
  <c r="E1535" i="5"/>
  <c r="D1542" i="5"/>
  <c r="C1536" i="5"/>
  <c r="C1542" i="5"/>
  <c r="E1542" i="5"/>
  <c r="D1536" i="5"/>
  <c r="D1537" i="5"/>
  <c r="C1543" i="5"/>
  <c r="F1543" i="5"/>
  <c r="D2191" i="5"/>
  <c r="C2185" i="5"/>
  <c r="F2185" i="5"/>
  <c r="D2190" i="5"/>
  <c r="C2191" i="5"/>
  <c r="F2191" i="5"/>
  <c r="C2187" i="5"/>
  <c r="D2186" i="5"/>
  <c r="C2183" i="5"/>
  <c r="E2183" i="5"/>
  <c r="D2188" i="5"/>
  <c r="C2186" i="5"/>
  <c r="D2189" i="5"/>
  <c r="D2183" i="5"/>
  <c r="C2184" i="5"/>
  <c r="D2184" i="5"/>
  <c r="D2185" i="5"/>
  <c r="C2190" i="5"/>
  <c r="E2190" i="5"/>
  <c r="D2187" i="5"/>
  <c r="D1546" i="5"/>
  <c r="D1544" i="5"/>
  <c r="D1545" i="5"/>
  <c r="D1547" i="5"/>
  <c r="D1548" i="5"/>
  <c r="D1549" i="5"/>
  <c r="C1547" i="5"/>
  <c r="D1550" i="5"/>
  <c r="D1551" i="5"/>
  <c r="D1552" i="5"/>
  <c r="C1548" i="5"/>
  <c r="C1551" i="5"/>
  <c r="E1551" i="5"/>
  <c r="C1552" i="5"/>
  <c r="F1552" i="5"/>
  <c r="C1544" i="5"/>
  <c r="E1544" i="5"/>
  <c r="C1545" i="5"/>
  <c r="C1546" i="5"/>
  <c r="F1546" i="5"/>
  <c r="D4320" i="5"/>
  <c r="D4321" i="5"/>
  <c r="D4317" i="5"/>
  <c r="D4323" i="5"/>
  <c r="D4324" i="5"/>
  <c r="C4318" i="5"/>
  <c r="F4318" i="5"/>
  <c r="D4316" i="5"/>
  <c r="D4318" i="5"/>
  <c r="D4319" i="5"/>
  <c r="D4322" i="5"/>
  <c r="C4319" i="5"/>
  <c r="C4320" i="5"/>
  <c r="C4324" i="5"/>
  <c r="F4324" i="5"/>
  <c r="C4316" i="5"/>
  <c r="E4316" i="5"/>
  <c r="C4317" i="5"/>
  <c r="C4323" i="5"/>
  <c r="E4323" i="5"/>
  <c r="D4380" i="5"/>
  <c r="D4381" i="5"/>
  <c r="D4387" i="5"/>
  <c r="D4383" i="5"/>
  <c r="D4384" i="5"/>
  <c r="D4385" i="5"/>
  <c r="D4386" i="5"/>
  <c r="C4379" i="5"/>
  <c r="E4379" i="5"/>
  <c r="D4379" i="5"/>
  <c r="C4380" i="5"/>
  <c r="C4383" i="5"/>
  <c r="D4382" i="5"/>
  <c r="C4386" i="5"/>
  <c r="E4386" i="5"/>
  <c r="C4387" i="5"/>
  <c r="F4387" i="5"/>
  <c r="C4382" i="5"/>
  <c r="C4381" i="5"/>
  <c r="F4381" i="5"/>
  <c r="D3530" i="5"/>
  <c r="D3527" i="5"/>
  <c r="D3532" i="5"/>
  <c r="D3529" i="5"/>
  <c r="D3531" i="5"/>
  <c r="C3531" i="5"/>
  <c r="E3531" i="5"/>
  <c r="D3524" i="5"/>
  <c r="D3525" i="5"/>
  <c r="D3526" i="5"/>
  <c r="C3532" i="5"/>
  <c r="F3532" i="5"/>
  <c r="C3524" i="5"/>
  <c r="E3524" i="5"/>
  <c r="D3528" i="5"/>
  <c r="C3525" i="5"/>
  <c r="C3526" i="5"/>
  <c r="F3526" i="5"/>
  <c r="C3527" i="5"/>
  <c r="C3528" i="5"/>
  <c r="D2242" i="5"/>
  <c r="D2244" i="5"/>
  <c r="C2245" i="5"/>
  <c r="F2245" i="5"/>
  <c r="D2245" i="5"/>
  <c r="D2238" i="5"/>
  <c r="D2239" i="5"/>
  <c r="D2240" i="5"/>
  <c r="C2244" i="5"/>
  <c r="E2244" i="5"/>
  <c r="D2237" i="5"/>
  <c r="D2241" i="5"/>
  <c r="C2240" i="5"/>
  <c r="D2243" i="5"/>
  <c r="C2237" i="5"/>
  <c r="E2237" i="5"/>
  <c r="C2238" i="5"/>
  <c r="C2239" i="5"/>
  <c r="F2239" i="5"/>
  <c r="C2241" i="5"/>
  <c r="D3107" i="5"/>
  <c r="D3108" i="5"/>
  <c r="C3109" i="5"/>
  <c r="F3109" i="5"/>
  <c r="D3106" i="5"/>
  <c r="D3109" i="5"/>
  <c r="C3101" i="5"/>
  <c r="E3101" i="5"/>
  <c r="D3101" i="5"/>
  <c r="C3102" i="5"/>
  <c r="D3102" i="5"/>
  <c r="D3103" i="5"/>
  <c r="C3108" i="5"/>
  <c r="E3108" i="5"/>
  <c r="D3104" i="5"/>
  <c r="D3105" i="5"/>
  <c r="C3103" i="5"/>
  <c r="F3103" i="5"/>
  <c r="C3105" i="5"/>
  <c r="C3104" i="5"/>
  <c r="D1630" i="5"/>
  <c r="D1632" i="5"/>
  <c r="C1633" i="5"/>
  <c r="F1633" i="5"/>
  <c r="D1633" i="5"/>
  <c r="D1628" i="5"/>
  <c r="D1629" i="5"/>
  <c r="C1632" i="5"/>
  <c r="E1632" i="5"/>
  <c r="D1631" i="5"/>
  <c r="C1626" i="5"/>
  <c r="C1625" i="5"/>
  <c r="E1625" i="5"/>
  <c r="C1627" i="5"/>
  <c r="F1627" i="5"/>
  <c r="C1628" i="5"/>
  <c r="C1629" i="5"/>
  <c r="D1625" i="5"/>
  <c r="D1626" i="5"/>
  <c r="D1627" i="5"/>
  <c r="D298" i="5"/>
  <c r="D293" i="5"/>
  <c r="D294" i="5"/>
  <c r="C293" i="5"/>
  <c r="E293" i="5"/>
  <c r="D301" i="5"/>
  <c r="C295" i="5"/>
  <c r="F295" i="5"/>
  <c r="C297" i="5"/>
  <c r="D295" i="5"/>
  <c r="C294" i="5"/>
  <c r="D296" i="5"/>
  <c r="C296" i="5"/>
  <c r="D297" i="5"/>
  <c r="C300" i="5"/>
  <c r="E300" i="5"/>
  <c r="D299" i="5"/>
  <c r="D300" i="5"/>
  <c r="C301" i="5"/>
  <c r="F301" i="5"/>
  <c r="D202" i="5"/>
  <c r="D201" i="5"/>
  <c r="D195" i="5"/>
  <c r="C196" i="5"/>
  <c r="F196" i="5"/>
  <c r="D196" i="5"/>
  <c r="C197" i="5"/>
  <c r="C198" i="5"/>
  <c r="D194" i="5"/>
  <c r="D197" i="5"/>
  <c r="D198" i="5"/>
  <c r="C194" i="5"/>
  <c r="E194" i="5"/>
  <c r="D199" i="5"/>
  <c r="D200" i="5"/>
  <c r="C195" i="5"/>
  <c r="C201" i="5"/>
  <c r="E201" i="5"/>
  <c r="C202" i="5"/>
  <c r="F202" i="5"/>
  <c r="D1177" i="5"/>
  <c r="C1177" i="5"/>
  <c r="F1177" i="5"/>
  <c r="D1178" i="5"/>
  <c r="D1176" i="5"/>
  <c r="D1180" i="5"/>
  <c r="D1179" i="5"/>
  <c r="C1176" i="5"/>
  <c r="D1181" i="5"/>
  <c r="C1178" i="5"/>
  <c r="D1182" i="5"/>
  <c r="D1183" i="5"/>
  <c r="C1175" i="5"/>
  <c r="E1175" i="5"/>
  <c r="C1179" i="5"/>
  <c r="C1182" i="5"/>
  <c r="E1182" i="5"/>
  <c r="C1183" i="5"/>
  <c r="F1183" i="5"/>
  <c r="D1175" i="5"/>
  <c r="D766" i="5"/>
  <c r="D761" i="5"/>
  <c r="D762" i="5"/>
  <c r="D765" i="5"/>
  <c r="D767" i="5"/>
  <c r="C761" i="5"/>
  <c r="E761" i="5"/>
  <c r="D768" i="5"/>
  <c r="C763" i="5"/>
  <c r="F763" i="5"/>
  <c r="D764" i="5"/>
  <c r="C765" i="5"/>
  <c r="D769" i="5"/>
  <c r="C762" i="5"/>
  <c r="D763" i="5"/>
  <c r="C764" i="5"/>
  <c r="C768" i="5"/>
  <c r="E768" i="5"/>
  <c r="C769" i="5"/>
  <c r="F769" i="5"/>
  <c r="D3462" i="5"/>
  <c r="D3465" i="5"/>
  <c r="D3466" i="5"/>
  <c r="D3463" i="5"/>
  <c r="C3469" i="5"/>
  <c r="F3469" i="5"/>
  <c r="D3464" i="5"/>
  <c r="C3464" i="5"/>
  <c r="C3465" i="5"/>
  <c r="D3468" i="5"/>
  <c r="C3468" i="5"/>
  <c r="E3468" i="5"/>
  <c r="D3469" i="5"/>
  <c r="C3461" i="5"/>
  <c r="E3461" i="5"/>
  <c r="C3462" i="5"/>
  <c r="C3463" i="5"/>
  <c r="F3463" i="5"/>
  <c r="D3461" i="5"/>
  <c r="D3467" i="5"/>
  <c r="D3761" i="5"/>
  <c r="D3763" i="5"/>
  <c r="D3759" i="5"/>
  <c r="D3760" i="5"/>
  <c r="C3758" i="5"/>
  <c r="E3758" i="5"/>
  <c r="D3758" i="5"/>
  <c r="D3762" i="5"/>
  <c r="D3764" i="5"/>
  <c r="D3765" i="5"/>
  <c r="C3759" i="5"/>
  <c r="C3762" i="5"/>
  <c r="C3765" i="5"/>
  <c r="E3765" i="5"/>
  <c r="D3766" i="5"/>
  <c r="C3766" i="5"/>
  <c r="F3766" i="5"/>
  <c r="C3760" i="5"/>
  <c r="F3760" i="5"/>
  <c r="C3761" i="5"/>
  <c r="D2966" i="5"/>
  <c r="D2968" i="5"/>
  <c r="D2974" i="5"/>
  <c r="D2967" i="5"/>
  <c r="D2969" i="5"/>
  <c r="C2970" i="5"/>
  <c r="D2970" i="5"/>
  <c r="C2966" i="5"/>
  <c r="E2966" i="5"/>
  <c r="C2967" i="5"/>
  <c r="C2968" i="5"/>
  <c r="F2968" i="5"/>
  <c r="D2971" i="5"/>
  <c r="D2972" i="5"/>
  <c r="C2969" i="5"/>
  <c r="C2973" i="5"/>
  <c r="E2973" i="5"/>
  <c r="D2973" i="5"/>
  <c r="C2974" i="5"/>
  <c r="F2974" i="5"/>
  <c r="D815" i="5"/>
  <c r="D816" i="5"/>
  <c r="D818" i="5"/>
  <c r="D819" i="5"/>
  <c r="D820" i="5"/>
  <c r="D817" i="5"/>
  <c r="C815" i="5"/>
  <c r="E815" i="5"/>
  <c r="D822" i="5"/>
  <c r="C817" i="5"/>
  <c r="F817" i="5"/>
  <c r="D823" i="5"/>
  <c r="C819" i="5"/>
  <c r="C822" i="5"/>
  <c r="E822" i="5"/>
  <c r="C823" i="5"/>
  <c r="F823" i="5"/>
  <c r="D821" i="5"/>
  <c r="C816" i="5"/>
  <c r="C818" i="5"/>
  <c r="D70" i="5"/>
  <c r="D71" i="5"/>
  <c r="D72" i="5"/>
  <c r="D68" i="5"/>
  <c r="C76" i="5"/>
  <c r="F76" i="5"/>
  <c r="D69" i="5"/>
  <c r="C68" i="5"/>
  <c r="E68" i="5"/>
  <c r="C69" i="5"/>
  <c r="D76" i="5"/>
  <c r="C71" i="5"/>
  <c r="C70" i="5"/>
  <c r="F70" i="5"/>
  <c r="D73" i="5"/>
  <c r="C75" i="5"/>
  <c r="E75" i="5"/>
  <c r="D74" i="5"/>
  <c r="D75" i="5"/>
  <c r="C72" i="5"/>
  <c r="D643" i="5"/>
  <c r="D639" i="5"/>
  <c r="D640" i="5"/>
  <c r="D641" i="5"/>
  <c r="C636" i="5"/>
  <c r="C637" i="5"/>
  <c r="F637" i="5"/>
  <c r="C643" i="5"/>
  <c r="F643" i="5"/>
  <c r="D635" i="5"/>
  <c r="C635" i="5"/>
  <c r="E635" i="5"/>
  <c r="D636" i="5"/>
  <c r="C638" i="5"/>
  <c r="D637" i="5"/>
  <c r="D638" i="5"/>
  <c r="C639" i="5"/>
  <c r="C642" i="5"/>
  <c r="E642" i="5"/>
  <c r="D642" i="5"/>
  <c r="D1090" i="5"/>
  <c r="D1085" i="5"/>
  <c r="C1093" i="5"/>
  <c r="F1093" i="5"/>
  <c r="D1086" i="5"/>
  <c r="C1085" i="5"/>
  <c r="E1085" i="5"/>
  <c r="D1087" i="5"/>
  <c r="C1086" i="5"/>
  <c r="D1088" i="5"/>
  <c r="D1089" i="5"/>
  <c r="D1092" i="5"/>
  <c r="D1093" i="5"/>
  <c r="C1088" i="5"/>
  <c r="C1089" i="5"/>
  <c r="C1092" i="5"/>
  <c r="E1092" i="5"/>
  <c r="D1091" i="5"/>
  <c r="C1087" i="5"/>
  <c r="F1087" i="5"/>
  <c r="R124" i="3"/>
  <c r="A124" i="8"/>
  <c r="D2342" i="5"/>
  <c r="D2343" i="5"/>
  <c r="D2336" i="5"/>
  <c r="D2337" i="5"/>
  <c r="D2338" i="5"/>
  <c r="D2339" i="5"/>
  <c r="D2340" i="5"/>
  <c r="D2341" i="5"/>
  <c r="D2344" i="5"/>
  <c r="C2336" i="5"/>
  <c r="E2336" i="5"/>
  <c r="C2339" i="5"/>
  <c r="C2340" i="5"/>
  <c r="C2343" i="5"/>
  <c r="E2343" i="5"/>
  <c r="C2344" i="5"/>
  <c r="F2344" i="5"/>
  <c r="C2337" i="5"/>
  <c r="C2338" i="5"/>
  <c r="F2338" i="5"/>
  <c r="D4248" i="5"/>
  <c r="D4249" i="5"/>
  <c r="D4245" i="5"/>
  <c r="D4244" i="5"/>
  <c r="D4246" i="5"/>
  <c r="D4251" i="5"/>
  <c r="C4246" i="5"/>
  <c r="F4246" i="5"/>
  <c r="D4252" i="5"/>
  <c r="C4247" i="5"/>
  <c r="C4248" i="5"/>
  <c r="D4247" i="5"/>
  <c r="D4250" i="5"/>
  <c r="C4251" i="5"/>
  <c r="E4251" i="5"/>
  <c r="C4252" i="5"/>
  <c r="F4252" i="5"/>
  <c r="C4244" i="5"/>
  <c r="E4244" i="5"/>
  <c r="C4245" i="5"/>
  <c r="D3689" i="5"/>
  <c r="D3691" i="5"/>
  <c r="D3690" i="5"/>
  <c r="D3692" i="5"/>
  <c r="D3693" i="5"/>
  <c r="D3694" i="5"/>
  <c r="D3686" i="5"/>
  <c r="C3686" i="5"/>
  <c r="E3686" i="5"/>
  <c r="D3687" i="5"/>
  <c r="D3688" i="5"/>
  <c r="C3687" i="5"/>
  <c r="C3688" i="5"/>
  <c r="F3688" i="5"/>
  <c r="C3689" i="5"/>
  <c r="C3694" i="5"/>
  <c r="F3694" i="5"/>
  <c r="C3690" i="5"/>
  <c r="C3693" i="5"/>
  <c r="E3693" i="5"/>
  <c r="D2714" i="5"/>
  <c r="D2719" i="5"/>
  <c r="D2722" i="5"/>
  <c r="D2717" i="5"/>
  <c r="D2718" i="5"/>
  <c r="D2716" i="5"/>
  <c r="D2720" i="5"/>
  <c r="D2721" i="5"/>
  <c r="C2721" i="5"/>
  <c r="E2721" i="5"/>
  <c r="C2722" i="5"/>
  <c r="F2722" i="5"/>
  <c r="D2715" i="5"/>
  <c r="C2715" i="5"/>
  <c r="C2716" i="5"/>
  <c r="F2716" i="5"/>
  <c r="C2717" i="5"/>
  <c r="C2714" i="5"/>
  <c r="E2714" i="5"/>
  <c r="C2719" i="5"/>
  <c r="E2719" i="5"/>
  <c r="C2720" i="5"/>
  <c r="F2720" i="5"/>
  <c r="C2718" i="5"/>
  <c r="D1654" i="5"/>
  <c r="D1658" i="5"/>
  <c r="D1659" i="5"/>
  <c r="D1652" i="5"/>
  <c r="D1653" i="5"/>
  <c r="D1655" i="5"/>
  <c r="C1659" i="5"/>
  <c r="E1659" i="5"/>
  <c r="C1652" i="5"/>
  <c r="E1652" i="5"/>
  <c r="D1656" i="5"/>
  <c r="C1653" i="5"/>
  <c r="D1657" i="5"/>
  <c r="D1660" i="5"/>
  <c r="C1654" i="5"/>
  <c r="F1654" i="5"/>
  <c r="C1655" i="5"/>
  <c r="C1656" i="5"/>
  <c r="C1660" i="5"/>
  <c r="F1660" i="5"/>
  <c r="R187" i="3"/>
  <c r="C1657" i="5"/>
  <c r="E1657" i="5"/>
  <c r="D3518" i="5"/>
  <c r="D3522" i="5"/>
  <c r="D3523" i="5"/>
  <c r="D3515" i="5"/>
  <c r="C3517" i="5"/>
  <c r="F3517" i="5"/>
  <c r="D3516" i="5"/>
  <c r="D3517" i="5"/>
  <c r="D3519" i="5"/>
  <c r="C3516" i="5"/>
  <c r="C3518" i="5"/>
  <c r="C3522" i="5"/>
  <c r="E3522" i="5"/>
  <c r="C3523" i="5"/>
  <c r="F3523" i="5"/>
  <c r="D3521" i="5"/>
  <c r="C3519" i="5"/>
  <c r="D3520" i="5"/>
  <c r="C3515" i="5"/>
  <c r="E3515" i="5"/>
  <c r="H4288" i="5"/>
  <c r="G4288" i="5"/>
  <c r="A4288" i="5"/>
  <c r="H837" i="5"/>
  <c r="B837" i="5"/>
  <c r="A837" i="5"/>
  <c r="C3449" i="5"/>
  <c r="F3449" i="5"/>
  <c r="C866" i="5"/>
  <c r="F866" i="5"/>
  <c r="H1943" i="5"/>
  <c r="G1943" i="5"/>
  <c r="C4213" i="5"/>
  <c r="E4213" i="5"/>
  <c r="G4427" i="5"/>
  <c r="C997" i="5"/>
  <c r="F997" i="5"/>
  <c r="D995" i="5"/>
  <c r="D1003" i="5"/>
  <c r="D996" i="5"/>
  <c r="C996" i="5"/>
  <c r="C998" i="5"/>
  <c r="C999" i="5"/>
  <c r="C1002" i="5"/>
  <c r="E1002" i="5"/>
  <c r="D997" i="5"/>
  <c r="D998" i="5"/>
  <c r="D1002" i="5"/>
  <c r="C1003" i="5"/>
  <c r="F1003" i="5"/>
  <c r="C995" i="5"/>
  <c r="E995" i="5"/>
  <c r="D999" i="5"/>
  <c r="D1000" i="5"/>
  <c r="D1001" i="5"/>
  <c r="D3732" i="5"/>
  <c r="D3733" i="5"/>
  <c r="D3731" i="5"/>
  <c r="D3735" i="5"/>
  <c r="D3734" i="5"/>
  <c r="D3736" i="5"/>
  <c r="C3733" i="5"/>
  <c r="F3733" i="5"/>
  <c r="C3734" i="5"/>
  <c r="C3739" i="5"/>
  <c r="F3739" i="5"/>
  <c r="D3737" i="5"/>
  <c r="D3738" i="5"/>
  <c r="C3738" i="5"/>
  <c r="E3738" i="5"/>
  <c r="D3739" i="5"/>
  <c r="C3731" i="5"/>
  <c r="E3731" i="5"/>
  <c r="C3732" i="5"/>
  <c r="C3735" i="5"/>
  <c r="D1378" i="5"/>
  <c r="C1381" i="5"/>
  <c r="F1381" i="5"/>
  <c r="D1373" i="5"/>
  <c r="D1377" i="5"/>
  <c r="D1379" i="5"/>
  <c r="D1380" i="5"/>
  <c r="C1380" i="5"/>
  <c r="E1380" i="5"/>
  <c r="D1374" i="5"/>
  <c r="C1377" i="5"/>
  <c r="D1376" i="5"/>
  <c r="D1381" i="5"/>
  <c r="C1375" i="5"/>
  <c r="F1375" i="5"/>
  <c r="C1376" i="5"/>
  <c r="D1375" i="5"/>
  <c r="C1373" i="5"/>
  <c r="E1373" i="5"/>
  <c r="C1374" i="5"/>
  <c r="D3138" i="5"/>
  <c r="D3137" i="5"/>
  <c r="D3145" i="5"/>
  <c r="C3145" i="5"/>
  <c r="F3145" i="5"/>
  <c r="C3140" i="5"/>
  <c r="C3141" i="5"/>
  <c r="C3138" i="5"/>
  <c r="C3139" i="5"/>
  <c r="F3139" i="5"/>
  <c r="D3139" i="5"/>
  <c r="C3144" i="5"/>
  <c r="E3144" i="5"/>
  <c r="D3141" i="5"/>
  <c r="D3142" i="5"/>
  <c r="D3143" i="5"/>
  <c r="D3144" i="5"/>
  <c r="D3140" i="5"/>
  <c r="C3137" i="5"/>
  <c r="E3137" i="5"/>
  <c r="R352" i="3"/>
  <c r="E352" i="8"/>
  <c r="D3327" i="5"/>
  <c r="D3332" i="5"/>
  <c r="D3333" i="5"/>
  <c r="D3334" i="5"/>
  <c r="D3326" i="5"/>
  <c r="D3331" i="5"/>
  <c r="C3333" i="5"/>
  <c r="E3333" i="5"/>
  <c r="C3334" i="5"/>
  <c r="F3334" i="5"/>
  <c r="D3328" i="5"/>
  <c r="C3326" i="5"/>
  <c r="E3326" i="5"/>
  <c r="C3327" i="5"/>
  <c r="D3329" i="5"/>
  <c r="D3330" i="5"/>
  <c r="C3329" i="5"/>
  <c r="C3330" i="5"/>
  <c r="C3328" i="5"/>
  <c r="F3328" i="5"/>
  <c r="D499" i="5"/>
  <c r="D497" i="5"/>
  <c r="D498" i="5"/>
  <c r="C492" i="5"/>
  <c r="C493" i="5"/>
  <c r="F493" i="5"/>
  <c r="D491" i="5"/>
  <c r="C491" i="5"/>
  <c r="E491" i="5"/>
  <c r="C494" i="5"/>
  <c r="D492" i="5"/>
  <c r="D493" i="5"/>
  <c r="D496" i="5"/>
  <c r="C498" i="5"/>
  <c r="E498" i="5"/>
  <c r="C499" i="5"/>
  <c r="F499" i="5"/>
  <c r="C495" i="5"/>
  <c r="D494" i="5"/>
  <c r="D495" i="5"/>
  <c r="D2330" i="5"/>
  <c r="D2329" i="5"/>
  <c r="D2332" i="5"/>
  <c r="C2329" i="5"/>
  <c r="F2329" i="5"/>
  <c r="D2333" i="5"/>
  <c r="D2331" i="5"/>
  <c r="D2334" i="5"/>
  <c r="D2335" i="5"/>
  <c r="C2334" i="5"/>
  <c r="E2334" i="5"/>
  <c r="C2335" i="5"/>
  <c r="F2335" i="5"/>
  <c r="D2327" i="5"/>
  <c r="D2328" i="5"/>
  <c r="C2330" i="5"/>
  <c r="C2331" i="5"/>
  <c r="C2327" i="5"/>
  <c r="E2327" i="5"/>
  <c r="C2328" i="5"/>
  <c r="D3602" i="5"/>
  <c r="D3600" i="5"/>
  <c r="D3601" i="5"/>
  <c r="D3597" i="5"/>
  <c r="D3598" i="5"/>
  <c r="D3599" i="5"/>
  <c r="C3596" i="5"/>
  <c r="E3596" i="5"/>
  <c r="C3599" i="5"/>
  <c r="C3600" i="5"/>
  <c r="C3597" i="5"/>
  <c r="C3598" i="5"/>
  <c r="F3598" i="5"/>
  <c r="D3596" i="5"/>
  <c r="C3604" i="5"/>
  <c r="F3604" i="5"/>
  <c r="D3603" i="5"/>
  <c r="C3603" i="5"/>
  <c r="E3603" i="5"/>
  <c r="D3604" i="5"/>
  <c r="D2606" i="5"/>
  <c r="D2608" i="5"/>
  <c r="D2609" i="5"/>
  <c r="D2607" i="5"/>
  <c r="D2611" i="5"/>
  <c r="C2607" i="5"/>
  <c r="D2612" i="5"/>
  <c r="C2608" i="5"/>
  <c r="F2608" i="5"/>
  <c r="D2613" i="5"/>
  <c r="D2614" i="5"/>
  <c r="D2610" i="5"/>
  <c r="C2613" i="5"/>
  <c r="E2613" i="5"/>
  <c r="C2609" i="5"/>
  <c r="C2610" i="5"/>
  <c r="C2606" i="5"/>
  <c r="E2606" i="5"/>
  <c r="C2614" i="5"/>
  <c r="F2614" i="5"/>
  <c r="D3072" i="5"/>
  <c r="D3065" i="5"/>
  <c r="D3066" i="5"/>
  <c r="C3073" i="5"/>
  <c r="F3073" i="5"/>
  <c r="D3068" i="5"/>
  <c r="D3069" i="5"/>
  <c r="D3070" i="5"/>
  <c r="D3071" i="5"/>
  <c r="D3073" i="5"/>
  <c r="C3072" i="5"/>
  <c r="E3072" i="5"/>
  <c r="D3067" i="5"/>
  <c r="C3066" i="5"/>
  <c r="C3067" i="5"/>
  <c r="F3067" i="5"/>
  <c r="C3068" i="5"/>
  <c r="C3069" i="5"/>
  <c r="C3065" i="5"/>
  <c r="E3065" i="5"/>
  <c r="D490" i="5"/>
  <c r="D486" i="5"/>
  <c r="D487" i="5"/>
  <c r="D482" i="5"/>
  <c r="C484" i="5"/>
  <c r="F484" i="5"/>
  <c r="D483" i="5"/>
  <c r="C485" i="5"/>
  <c r="D484" i="5"/>
  <c r="D485" i="5"/>
  <c r="D489" i="5"/>
  <c r="C489" i="5"/>
  <c r="E489" i="5"/>
  <c r="C490" i="5"/>
  <c r="F490" i="5"/>
  <c r="D488" i="5"/>
  <c r="C482" i="5"/>
  <c r="E482" i="5"/>
  <c r="C483" i="5"/>
  <c r="C486" i="5"/>
  <c r="D3960" i="5"/>
  <c r="D3961" i="5"/>
  <c r="D3963" i="5"/>
  <c r="D3962" i="5"/>
  <c r="D3964" i="5"/>
  <c r="D3959" i="5"/>
  <c r="C3956" i="5"/>
  <c r="E3956" i="5"/>
  <c r="C3963" i="5"/>
  <c r="E3963" i="5"/>
  <c r="C3964" i="5"/>
  <c r="F3964" i="5"/>
  <c r="D3956" i="5"/>
  <c r="D3957" i="5"/>
  <c r="C3957" i="5"/>
  <c r="C3958" i="5"/>
  <c r="F3958" i="5"/>
  <c r="C3959" i="5"/>
  <c r="C3960" i="5"/>
  <c r="D3958" i="5"/>
  <c r="D3876" i="5"/>
  <c r="D3877" i="5"/>
  <c r="D3875" i="5"/>
  <c r="D3879" i="5"/>
  <c r="D3882" i="5"/>
  <c r="D3878" i="5"/>
  <c r="D3880" i="5"/>
  <c r="C3877" i="5"/>
  <c r="F3877" i="5"/>
  <c r="C3878" i="5"/>
  <c r="C3883" i="5"/>
  <c r="F3883" i="5"/>
  <c r="D3881" i="5"/>
  <c r="C3875" i="5"/>
  <c r="E3875" i="5"/>
  <c r="D3883" i="5"/>
  <c r="C3876" i="5"/>
  <c r="C3879" i="5"/>
  <c r="C3882" i="5"/>
  <c r="E3882" i="5"/>
  <c r="G845" i="5"/>
  <c r="D1762" i="5"/>
  <c r="D1763" i="5"/>
  <c r="D1764" i="5"/>
  <c r="D1761" i="5"/>
  <c r="D1765" i="5"/>
  <c r="D1766" i="5"/>
  <c r="C1762" i="5"/>
  <c r="F1762" i="5"/>
  <c r="C1763" i="5"/>
  <c r="C1761" i="5"/>
  <c r="C1764" i="5"/>
  <c r="C1767" i="5"/>
  <c r="E1767" i="5"/>
  <c r="D1760" i="5"/>
  <c r="C1768" i="5"/>
  <c r="F1768" i="5"/>
  <c r="D1767" i="5"/>
  <c r="C1760" i="5"/>
  <c r="E1760" i="5"/>
  <c r="D1768" i="5"/>
  <c r="D2594" i="5"/>
  <c r="D2591" i="5"/>
  <c r="D2593" i="5"/>
  <c r="D2595" i="5"/>
  <c r="D2588" i="5"/>
  <c r="D2589" i="5"/>
  <c r="C2595" i="5"/>
  <c r="E2595" i="5"/>
  <c r="D2590" i="5"/>
  <c r="D2592" i="5"/>
  <c r="D2596" i="5"/>
  <c r="C2590" i="5"/>
  <c r="F2590" i="5"/>
  <c r="C2592" i="5"/>
  <c r="C2591" i="5"/>
  <c r="C2596" i="5"/>
  <c r="F2596" i="5"/>
  <c r="C2588" i="5"/>
  <c r="E2588" i="5"/>
  <c r="C2589" i="5"/>
  <c r="D34" i="5"/>
  <c r="D32" i="5"/>
  <c r="D38" i="5"/>
  <c r="C40" i="5"/>
  <c r="F40" i="5"/>
  <c r="D39" i="5"/>
  <c r="D40" i="5"/>
  <c r="C39" i="5"/>
  <c r="E39" i="5"/>
  <c r="C35" i="5"/>
  <c r="D33" i="5"/>
  <c r="D35" i="5"/>
  <c r="D36" i="5"/>
  <c r="C33" i="5"/>
  <c r="C32" i="5"/>
  <c r="E32" i="5"/>
  <c r="D37" i="5"/>
  <c r="C34" i="5"/>
  <c r="F34" i="5"/>
  <c r="C36" i="5"/>
  <c r="D514" i="5"/>
  <c r="D512" i="5"/>
  <c r="D513" i="5"/>
  <c r="D515" i="5"/>
  <c r="D516" i="5"/>
  <c r="C509" i="5"/>
  <c r="E509" i="5"/>
  <c r="D517" i="5"/>
  <c r="D509" i="5"/>
  <c r="D511" i="5"/>
  <c r="D510" i="5"/>
  <c r="C511" i="5"/>
  <c r="F511" i="5"/>
  <c r="C512" i="5"/>
  <c r="C513" i="5"/>
  <c r="C516" i="5"/>
  <c r="E516" i="5"/>
  <c r="C517" i="5"/>
  <c r="F517" i="5"/>
  <c r="C510" i="5"/>
  <c r="D4091" i="5"/>
  <c r="D4092" i="5"/>
  <c r="D4093" i="5"/>
  <c r="D4097" i="5"/>
  <c r="D4098" i="5"/>
  <c r="D4094" i="5"/>
  <c r="D4099" i="5"/>
  <c r="C4091" i="5"/>
  <c r="E4091" i="5"/>
  <c r="C4094" i="5"/>
  <c r="C4095" i="5"/>
  <c r="D4095" i="5"/>
  <c r="C4092" i="5"/>
  <c r="D4096" i="5"/>
  <c r="C4093" i="5"/>
  <c r="F4093" i="5"/>
  <c r="C4098" i="5"/>
  <c r="E4098" i="5"/>
  <c r="C4099" i="5"/>
  <c r="F4099" i="5"/>
  <c r="D3433" i="5"/>
  <c r="D3432" i="5"/>
  <c r="D3427" i="5"/>
  <c r="C3433" i="5"/>
  <c r="F3433" i="5"/>
  <c r="D3428" i="5"/>
  <c r="D3430" i="5"/>
  <c r="D3431" i="5"/>
  <c r="C3425" i="5"/>
  <c r="E3425" i="5"/>
  <c r="C3426" i="5"/>
  <c r="D3425" i="5"/>
  <c r="C3427" i="5"/>
  <c r="F3427" i="5"/>
  <c r="C3428" i="5"/>
  <c r="C3429" i="5"/>
  <c r="D3426" i="5"/>
  <c r="C3432" i="5"/>
  <c r="E3432" i="5"/>
  <c r="D3429" i="5"/>
  <c r="D1126" i="5"/>
  <c r="D1124" i="5"/>
  <c r="C1129" i="5"/>
  <c r="F1129" i="5"/>
  <c r="D1125" i="5"/>
  <c r="D1121" i="5"/>
  <c r="C1124" i="5"/>
  <c r="D1122" i="5"/>
  <c r="C1125" i="5"/>
  <c r="D1123" i="5"/>
  <c r="C1121" i="5"/>
  <c r="E1121" i="5"/>
  <c r="D1127" i="5"/>
  <c r="D1128" i="5"/>
  <c r="D1129" i="5"/>
  <c r="C1123" i="5"/>
  <c r="F1123" i="5"/>
  <c r="C1128" i="5"/>
  <c r="E1128" i="5"/>
  <c r="C1122" i="5"/>
  <c r="D286" i="5"/>
  <c r="D289" i="5"/>
  <c r="C292" i="5"/>
  <c r="F292" i="5"/>
  <c r="D290" i="5"/>
  <c r="D284" i="5"/>
  <c r="C284" i="5"/>
  <c r="E284" i="5"/>
  <c r="D285" i="5"/>
  <c r="C285" i="5"/>
  <c r="D287" i="5"/>
  <c r="D292" i="5"/>
  <c r="C291" i="5"/>
  <c r="E291" i="5"/>
  <c r="D288" i="5"/>
  <c r="D291" i="5"/>
  <c r="C286" i="5"/>
  <c r="F286" i="5"/>
  <c r="C287" i="5"/>
  <c r="C288" i="5"/>
  <c r="D3421" i="5"/>
  <c r="D3423" i="5"/>
  <c r="D3418" i="5"/>
  <c r="D3419" i="5"/>
  <c r="D3417" i="5"/>
  <c r="D3420" i="5"/>
  <c r="D3416" i="5"/>
  <c r="D3422" i="5"/>
  <c r="D3424" i="5"/>
  <c r="C3424" i="5"/>
  <c r="F3424" i="5"/>
  <c r="C3420" i="5"/>
  <c r="C3423" i="5"/>
  <c r="E3423" i="5"/>
  <c r="C3416" i="5"/>
  <c r="E3416" i="5"/>
  <c r="C3417" i="5"/>
  <c r="C3418" i="5"/>
  <c r="F3418" i="5"/>
  <c r="C3419" i="5"/>
  <c r="D3655" i="5"/>
  <c r="D3656" i="5"/>
  <c r="D3651" i="5"/>
  <c r="D3652" i="5"/>
  <c r="D3650" i="5"/>
  <c r="D3657" i="5"/>
  <c r="D3658" i="5"/>
  <c r="C3650" i="5"/>
  <c r="E3650" i="5"/>
  <c r="D3653" i="5"/>
  <c r="D3654" i="5"/>
  <c r="C3653" i="5"/>
  <c r="C3654" i="5"/>
  <c r="C3651" i="5"/>
  <c r="C3652" i="5"/>
  <c r="F3652" i="5"/>
  <c r="C3657" i="5"/>
  <c r="E3657" i="5"/>
  <c r="C3658" i="5"/>
  <c r="F3658" i="5"/>
  <c r="D2690" i="5"/>
  <c r="D2693" i="5"/>
  <c r="D2694" i="5"/>
  <c r="D2691" i="5"/>
  <c r="C2689" i="5"/>
  <c r="F2689" i="5"/>
  <c r="D2692" i="5"/>
  <c r="D2689" i="5"/>
  <c r="D2695" i="5"/>
  <c r="C2694" i="5"/>
  <c r="E2694" i="5"/>
  <c r="C2695" i="5"/>
  <c r="F2695" i="5"/>
  <c r="C2691" i="5"/>
  <c r="C2687" i="5"/>
  <c r="E2687" i="5"/>
  <c r="C2688" i="5"/>
  <c r="D2687" i="5"/>
  <c r="D2688" i="5"/>
  <c r="C2690" i="5"/>
  <c r="D1018" i="5"/>
  <c r="D1020" i="5"/>
  <c r="C1021" i="5"/>
  <c r="F1021" i="5"/>
  <c r="D1021" i="5"/>
  <c r="D1019" i="5"/>
  <c r="C1020" i="5"/>
  <c r="E1020" i="5"/>
  <c r="C1015" i="5"/>
  <c r="F1015" i="5"/>
  <c r="C1016" i="5"/>
  <c r="D1013" i="5"/>
  <c r="D1016" i="5"/>
  <c r="D1017" i="5"/>
  <c r="D1014" i="5"/>
  <c r="D1015" i="5"/>
  <c r="C1013" i="5"/>
  <c r="E1013" i="5"/>
  <c r="C1017" i="5"/>
  <c r="C1014" i="5"/>
  <c r="D3612" i="5"/>
  <c r="D3613" i="5"/>
  <c r="D3605" i="5"/>
  <c r="D3606" i="5"/>
  <c r="D3609" i="5"/>
  <c r="D3610" i="5"/>
  <c r="C3613" i="5"/>
  <c r="F3613" i="5"/>
  <c r="D3607" i="5"/>
  <c r="C3609" i="5"/>
  <c r="D3608" i="5"/>
  <c r="D3611" i="5"/>
  <c r="C3605" i="5"/>
  <c r="E3605" i="5"/>
  <c r="C3606" i="5"/>
  <c r="C3608" i="5"/>
  <c r="C3612" i="5"/>
  <c r="E3612" i="5"/>
  <c r="C3607" i="5"/>
  <c r="F3607" i="5"/>
  <c r="D922" i="5"/>
  <c r="D915" i="5"/>
  <c r="D916" i="5"/>
  <c r="D914" i="5"/>
  <c r="C915" i="5"/>
  <c r="D917" i="5"/>
  <c r="C916" i="5"/>
  <c r="F916" i="5"/>
  <c r="D918" i="5"/>
  <c r="C921" i="5"/>
  <c r="E921" i="5"/>
  <c r="C922" i="5"/>
  <c r="F922" i="5"/>
  <c r="D919" i="5"/>
  <c r="D921" i="5"/>
  <c r="C914" i="5"/>
  <c r="E914" i="5"/>
  <c r="D920" i="5"/>
  <c r="C918" i="5"/>
  <c r="C917" i="5"/>
  <c r="D2218" i="5"/>
  <c r="D2217" i="5"/>
  <c r="D2210" i="5"/>
  <c r="D2214" i="5"/>
  <c r="C2217" i="5"/>
  <c r="E2217" i="5"/>
  <c r="D2215" i="5"/>
  <c r="C2218" i="5"/>
  <c r="F2218" i="5"/>
  <c r="D2216" i="5"/>
  <c r="C2210" i="5"/>
  <c r="E2210" i="5"/>
  <c r="C2211" i="5"/>
  <c r="C2212" i="5"/>
  <c r="F2212" i="5"/>
  <c r="C2213" i="5"/>
  <c r="C2214" i="5"/>
  <c r="D2211" i="5"/>
  <c r="D2212" i="5"/>
  <c r="D2213" i="5"/>
  <c r="D4392" i="5"/>
  <c r="D4393" i="5"/>
  <c r="D4389" i="5"/>
  <c r="C4390" i="5"/>
  <c r="F4390" i="5"/>
  <c r="C4391" i="5"/>
  <c r="C4392" i="5"/>
  <c r="D4396" i="5"/>
  <c r="C4395" i="5"/>
  <c r="E4395" i="5"/>
  <c r="C4396" i="5"/>
  <c r="F4396" i="5"/>
  <c r="D4388" i="5"/>
  <c r="C4389" i="5"/>
  <c r="D4390" i="5"/>
  <c r="D4395" i="5"/>
  <c r="C4388" i="5"/>
  <c r="E4388" i="5"/>
  <c r="D4391" i="5"/>
  <c r="D4394" i="5"/>
  <c r="A836" i="5"/>
  <c r="B836" i="5"/>
  <c r="H836" i="5"/>
  <c r="A2903" i="5"/>
  <c r="B2903" i="5"/>
  <c r="D1186" i="5"/>
  <c r="D1190" i="5"/>
  <c r="D1191" i="5"/>
  <c r="C1191" i="5"/>
  <c r="E1191" i="5"/>
  <c r="D1184" i="5"/>
  <c r="C1187" i="5"/>
  <c r="D1185" i="5"/>
  <c r="C1188" i="5"/>
  <c r="D1187" i="5"/>
  <c r="D1189" i="5"/>
  <c r="D1192" i="5"/>
  <c r="D1188" i="5"/>
  <c r="C1184" i="5"/>
  <c r="E1184" i="5"/>
  <c r="C1186" i="5"/>
  <c r="F1186" i="5"/>
  <c r="C1185" i="5"/>
  <c r="C1192" i="5"/>
  <c r="F1192" i="5"/>
  <c r="D3002" i="5"/>
  <c r="D3007" i="5"/>
  <c r="D3008" i="5"/>
  <c r="D3009" i="5"/>
  <c r="D3010" i="5"/>
  <c r="D3004" i="5"/>
  <c r="D3005" i="5"/>
  <c r="D3006" i="5"/>
  <c r="C3009" i="5"/>
  <c r="E3009" i="5"/>
  <c r="C3010" i="5"/>
  <c r="F3010" i="5"/>
  <c r="C3005" i="5"/>
  <c r="D3003" i="5"/>
  <c r="C3006" i="5"/>
  <c r="C3003" i="5"/>
  <c r="C3004" i="5"/>
  <c r="F3004" i="5"/>
  <c r="C3002" i="5"/>
  <c r="E3002" i="5"/>
  <c r="D2000" i="5"/>
  <c r="D2002" i="5"/>
  <c r="D1995" i="5"/>
  <c r="D1996" i="5"/>
  <c r="C1995" i="5"/>
  <c r="D1994" i="5"/>
  <c r="C1996" i="5"/>
  <c r="F1996" i="5"/>
  <c r="D1997" i="5"/>
  <c r="D1998" i="5"/>
  <c r="D1999" i="5"/>
  <c r="D2001" i="5"/>
  <c r="C2001" i="5"/>
  <c r="E2001" i="5"/>
  <c r="C1994" i="5"/>
  <c r="E1994" i="5"/>
  <c r="C1997" i="5"/>
  <c r="C1998" i="5"/>
  <c r="C2002" i="5"/>
  <c r="F2002" i="5"/>
  <c r="D2642" i="5"/>
  <c r="D2644" i="5"/>
  <c r="D2650" i="5"/>
  <c r="D2643" i="5"/>
  <c r="D2645" i="5"/>
  <c r="C2646" i="5"/>
  <c r="D2646" i="5"/>
  <c r="C2649" i="5"/>
  <c r="E2649" i="5"/>
  <c r="C2650" i="5"/>
  <c r="F2650" i="5"/>
  <c r="C2642" i="5"/>
  <c r="E2642" i="5"/>
  <c r="C2643" i="5"/>
  <c r="D2647" i="5"/>
  <c r="C2644" i="5"/>
  <c r="F2644" i="5"/>
  <c r="D2648" i="5"/>
  <c r="C2645" i="5"/>
  <c r="D2649" i="5"/>
  <c r="G1283" i="5"/>
  <c r="D136" i="5"/>
  <c r="D137" i="5"/>
  <c r="D132" i="5"/>
  <c r="D133" i="5"/>
  <c r="D134" i="5"/>
  <c r="D135" i="5"/>
  <c r="D138" i="5"/>
  <c r="C139" i="5"/>
  <c r="F139" i="5"/>
  <c r="D131" i="5"/>
  <c r="C131" i="5"/>
  <c r="E131" i="5"/>
  <c r="C132" i="5"/>
  <c r="D139" i="5"/>
  <c r="C133" i="5"/>
  <c r="F133" i="5"/>
  <c r="C134" i="5"/>
  <c r="C135" i="5"/>
  <c r="C138" i="5"/>
  <c r="E138" i="5"/>
  <c r="D1645" i="5"/>
  <c r="C1645" i="5"/>
  <c r="F1645" i="5"/>
  <c r="D1646" i="5"/>
  <c r="D1649" i="5"/>
  <c r="C1644" i="5"/>
  <c r="D1650" i="5"/>
  <c r="C1646" i="5"/>
  <c r="D1651" i="5"/>
  <c r="D1643" i="5"/>
  <c r="C1650" i="5"/>
  <c r="E1650" i="5"/>
  <c r="D1644" i="5"/>
  <c r="C1643" i="5"/>
  <c r="E1643" i="5"/>
  <c r="D1647" i="5"/>
  <c r="C1651" i="5"/>
  <c r="F1651" i="5"/>
  <c r="D1648" i="5"/>
  <c r="C1647" i="5"/>
  <c r="D2294" i="5"/>
  <c r="D2293" i="5"/>
  <c r="D2295" i="5"/>
  <c r="D2298" i="5"/>
  <c r="C2293" i="5"/>
  <c r="F2293" i="5"/>
  <c r="D2299" i="5"/>
  <c r="D2291" i="5"/>
  <c r="D2292" i="5"/>
  <c r="C2292" i="5"/>
  <c r="C2294" i="5"/>
  <c r="C2299" i="5"/>
  <c r="F2299" i="5"/>
  <c r="C2291" i="5"/>
  <c r="E2291" i="5"/>
  <c r="C2295" i="5"/>
  <c r="D2296" i="5"/>
  <c r="D2297" i="5"/>
  <c r="C2298" i="5"/>
  <c r="E2298" i="5"/>
  <c r="D2702" i="5"/>
  <c r="D2696" i="5"/>
  <c r="D2701" i="5"/>
  <c r="D2703" i="5"/>
  <c r="D2704" i="5"/>
  <c r="C2698" i="5"/>
  <c r="F2698" i="5"/>
  <c r="C2699" i="5"/>
  <c r="D2697" i="5"/>
  <c r="D2698" i="5"/>
  <c r="C2696" i="5"/>
  <c r="E2696" i="5"/>
  <c r="C2700" i="5"/>
  <c r="D2699" i="5"/>
  <c r="D2700" i="5"/>
  <c r="C2697" i="5"/>
  <c r="C2703" i="5"/>
  <c r="E2703" i="5"/>
  <c r="C2704" i="5"/>
  <c r="F2704" i="5"/>
  <c r="D730" i="5"/>
  <c r="D733" i="5"/>
  <c r="C725" i="5"/>
  <c r="E725" i="5"/>
  <c r="D731" i="5"/>
  <c r="D732" i="5"/>
  <c r="D729" i="5"/>
  <c r="C729" i="5"/>
  <c r="D725" i="5"/>
  <c r="D726" i="5"/>
  <c r="C732" i="5"/>
  <c r="E732" i="5"/>
  <c r="D727" i="5"/>
  <c r="C733" i="5"/>
  <c r="F733" i="5"/>
  <c r="C726" i="5"/>
  <c r="C727" i="5"/>
  <c r="F727" i="5"/>
  <c r="D728" i="5"/>
  <c r="C728" i="5"/>
  <c r="D319" i="5"/>
  <c r="C312" i="5"/>
  <c r="C313" i="5"/>
  <c r="F313" i="5"/>
  <c r="C311" i="5"/>
  <c r="E311" i="5"/>
  <c r="D311" i="5"/>
  <c r="C315" i="5"/>
  <c r="D312" i="5"/>
  <c r="D318" i="5"/>
  <c r="C314" i="5"/>
  <c r="C318" i="5"/>
  <c r="E318" i="5"/>
  <c r="C319" i="5"/>
  <c r="F319" i="5"/>
  <c r="D316" i="5"/>
  <c r="D314" i="5"/>
  <c r="D315" i="5"/>
  <c r="D313" i="5"/>
  <c r="D317" i="5"/>
  <c r="D3756" i="5"/>
  <c r="D3757" i="5"/>
  <c r="D3749" i="5"/>
  <c r="D3753" i="5"/>
  <c r="D3754" i="5"/>
  <c r="D3750" i="5"/>
  <c r="C3757" i="5"/>
  <c r="F3757" i="5"/>
  <c r="D3751" i="5"/>
  <c r="C3753" i="5"/>
  <c r="D3752" i="5"/>
  <c r="D3755" i="5"/>
  <c r="C3756" i="5"/>
  <c r="E3756" i="5"/>
  <c r="C3749" i="5"/>
  <c r="E3749" i="5"/>
  <c r="C3750" i="5"/>
  <c r="C3751" i="5"/>
  <c r="F3751" i="5"/>
  <c r="C3752" i="5"/>
  <c r="D406" i="5"/>
  <c r="D401" i="5"/>
  <c r="C401" i="5"/>
  <c r="E401" i="5"/>
  <c r="D402" i="5"/>
  <c r="D405" i="5"/>
  <c r="D408" i="5"/>
  <c r="C403" i="5"/>
  <c r="F403" i="5"/>
  <c r="D409" i="5"/>
  <c r="C402" i="5"/>
  <c r="C404" i="5"/>
  <c r="D403" i="5"/>
  <c r="D404" i="5"/>
  <c r="C405" i="5"/>
  <c r="D407" i="5"/>
  <c r="C408" i="5"/>
  <c r="E408" i="5"/>
  <c r="C409" i="5"/>
  <c r="F409" i="5"/>
  <c r="D418" i="5"/>
  <c r="D411" i="5"/>
  <c r="D412" i="5"/>
  <c r="D415" i="5"/>
  <c r="C412" i="5"/>
  <c r="F412" i="5"/>
  <c r="D416" i="5"/>
  <c r="C413" i="5"/>
  <c r="D417" i="5"/>
  <c r="C414" i="5"/>
  <c r="C417" i="5"/>
  <c r="E417" i="5"/>
  <c r="C418" i="5"/>
  <c r="F418" i="5"/>
  <c r="D414" i="5"/>
  <c r="C410" i="5"/>
  <c r="E410" i="5"/>
  <c r="D410" i="5"/>
  <c r="C411" i="5"/>
  <c r="D413" i="5"/>
  <c r="H2914" i="5"/>
  <c r="C2990" i="5"/>
  <c r="F2990" i="5"/>
  <c r="C2989" i="5"/>
  <c r="E2989" i="5"/>
  <c r="D2460" i="5"/>
  <c r="D2453" i="5"/>
  <c r="C2461" i="5"/>
  <c r="F2461" i="5"/>
  <c r="D2454" i="5"/>
  <c r="D2456" i="5"/>
  <c r="D2457" i="5"/>
  <c r="D2458" i="5"/>
  <c r="C2460" i="5"/>
  <c r="E2460" i="5"/>
  <c r="C2453" i="5"/>
  <c r="E2453" i="5"/>
  <c r="C2457" i="5"/>
  <c r="D2455" i="5"/>
  <c r="C2454" i="5"/>
  <c r="D2461" i="5"/>
  <c r="C2456" i="5"/>
  <c r="D2459" i="5"/>
  <c r="C2455" i="5"/>
  <c r="F2455" i="5"/>
  <c r="D2119" i="5"/>
  <c r="C2113" i="5"/>
  <c r="F2113" i="5"/>
  <c r="D2111" i="5"/>
  <c r="D2112" i="5"/>
  <c r="D2113" i="5"/>
  <c r="C2112" i="5"/>
  <c r="C2114" i="5"/>
  <c r="D2114" i="5"/>
  <c r="D2115" i="5"/>
  <c r="C2111" i="5"/>
  <c r="E2111" i="5"/>
  <c r="D2116" i="5"/>
  <c r="C2118" i="5"/>
  <c r="E2118" i="5"/>
  <c r="C2119" i="5"/>
  <c r="F2119" i="5"/>
  <c r="D2117" i="5"/>
  <c r="C2115" i="5"/>
  <c r="D2118" i="5"/>
  <c r="G836" i="5"/>
  <c r="D3780" i="5"/>
  <c r="D3781" i="5"/>
  <c r="D3777" i="5"/>
  <c r="D3776" i="5"/>
  <c r="D3778" i="5"/>
  <c r="D3779" i="5"/>
  <c r="D3782" i="5"/>
  <c r="C3783" i="5"/>
  <c r="E3783" i="5"/>
  <c r="C3784" i="5"/>
  <c r="F3784" i="5"/>
  <c r="D3784" i="5"/>
  <c r="C3776" i="5"/>
  <c r="E3776" i="5"/>
  <c r="C3777" i="5"/>
  <c r="C3778" i="5"/>
  <c r="F3778" i="5"/>
  <c r="D3783" i="5"/>
  <c r="C3780" i="5"/>
  <c r="C3779" i="5"/>
  <c r="R423" i="3"/>
  <c r="S423" i="3"/>
  <c r="D4356" i="5"/>
  <c r="D4357" i="5"/>
  <c r="D4359" i="5"/>
  <c r="C4354" i="5"/>
  <c r="F4354" i="5"/>
  <c r="D4352" i="5"/>
  <c r="C4352" i="5"/>
  <c r="E4352" i="5"/>
  <c r="D4353" i="5"/>
  <c r="D4360" i="5"/>
  <c r="D4354" i="5"/>
  <c r="C4360" i="5"/>
  <c r="F4360" i="5"/>
  <c r="D4355" i="5"/>
  <c r="D4358" i="5"/>
  <c r="C4356" i="5"/>
  <c r="C4355" i="5"/>
  <c r="C4359" i="5"/>
  <c r="E4359" i="5"/>
  <c r="C4353" i="5"/>
  <c r="D1033" i="5"/>
  <c r="C1033" i="5"/>
  <c r="F1033" i="5"/>
  <c r="D1034" i="5"/>
  <c r="D1036" i="5"/>
  <c r="D1038" i="5"/>
  <c r="C1032" i="5"/>
  <c r="C1034" i="5"/>
  <c r="D1032" i="5"/>
  <c r="D1035" i="5"/>
  <c r="C1031" i="5"/>
  <c r="E1031" i="5"/>
  <c r="D1037" i="5"/>
  <c r="D1031" i="5"/>
  <c r="D1039" i="5"/>
  <c r="C1038" i="5"/>
  <c r="E1038" i="5"/>
  <c r="C1035" i="5"/>
  <c r="C1039" i="5"/>
  <c r="F1039" i="5"/>
  <c r="D1684" i="5"/>
  <c r="C1681" i="5"/>
  <c r="F1681" i="5"/>
  <c r="D1685" i="5"/>
  <c r="D1683" i="5"/>
  <c r="D1686" i="5"/>
  <c r="D1687" i="5"/>
  <c r="C1679" i="5"/>
  <c r="E1679" i="5"/>
  <c r="C1680" i="5"/>
  <c r="D1679" i="5"/>
  <c r="C1683" i="5"/>
  <c r="D1680" i="5"/>
  <c r="C1687" i="5"/>
  <c r="F1687" i="5"/>
  <c r="D1681" i="5"/>
  <c r="D1682" i="5"/>
  <c r="C1682" i="5"/>
  <c r="C1686" i="5"/>
  <c r="E1686" i="5"/>
  <c r="H1941" i="5"/>
  <c r="G1941" i="5"/>
  <c r="B1941" i="5"/>
  <c r="D3648" i="5"/>
  <c r="D3649" i="5"/>
  <c r="D3645" i="5"/>
  <c r="D3647" i="5"/>
  <c r="D3646" i="5"/>
  <c r="C3649" i="5"/>
  <c r="F3649" i="5"/>
  <c r="D3644" i="5"/>
  <c r="C3645" i="5"/>
  <c r="C3648" i="5"/>
  <c r="E3648" i="5"/>
  <c r="D3642" i="5"/>
  <c r="D3643" i="5"/>
  <c r="D3641" i="5"/>
  <c r="C3642" i="5"/>
  <c r="C3641" i="5"/>
  <c r="E3641" i="5"/>
  <c r="C3643" i="5"/>
  <c r="F3643" i="5"/>
  <c r="C3644" i="5"/>
  <c r="D3289" i="5"/>
  <c r="D3288" i="5"/>
  <c r="D3282" i="5"/>
  <c r="D3283" i="5"/>
  <c r="D3284" i="5"/>
  <c r="C3289" i="5"/>
  <c r="F3289" i="5"/>
  <c r="D3285" i="5"/>
  <c r="D3281" i="5"/>
  <c r="D3286" i="5"/>
  <c r="D3287" i="5"/>
  <c r="C3281" i="5"/>
  <c r="E3281" i="5"/>
  <c r="C3282" i="5"/>
  <c r="C3285" i="5"/>
  <c r="C3283" i="5"/>
  <c r="F3283" i="5"/>
  <c r="C3284" i="5"/>
  <c r="C3288" i="5"/>
  <c r="E3288" i="5"/>
  <c r="D2570" i="5"/>
  <c r="D2578" i="5"/>
  <c r="D2572" i="5"/>
  <c r="D2573" i="5"/>
  <c r="D2577" i="5"/>
  <c r="C2570" i="5"/>
  <c r="E2570" i="5"/>
  <c r="C2571" i="5"/>
  <c r="C2572" i="5"/>
  <c r="F2572" i="5"/>
  <c r="C2574" i="5"/>
  <c r="C2573" i="5"/>
  <c r="D2571" i="5"/>
  <c r="D2574" i="5"/>
  <c r="D2575" i="5"/>
  <c r="D2576" i="5"/>
  <c r="C2577" i="5"/>
  <c r="E2577" i="5"/>
  <c r="C2578" i="5"/>
  <c r="F2578" i="5"/>
  <c r="C1936" i="5"/>
  <c r="E1936" i="5"/>
  <c r="C1937" i="5"/>
  <c r="F1937" i="5"/>
  <c r="D562" i="5"/>
  <c r="D560" i="5"/>
  <c r="C556" i="5"/>
  <c r="F556" i="5"/>
  <c r="D561" i="5"/>
  <c r="C557" i="5"/>
  <c r="C555" i="5"/>
  <c r="D554" i="5"/>
  <c r="D555" i="5"/>
  <c r="D556" i="5"/>
  <c r="D557" i="5"/>
  <c r="C554" i="5"/>
  <c r="E554" i="5"/>
  <c r="D558" i="5"/>
  <c r="D559" i="5"/>
  <c r="C561" i="5"/>
  <c r="E561" i="5"/>
  <c r="C558" i="5"/>
  <c r="C562" i="5"/>
  <c r="F562" i="5"/>
  <c r="D346" i="5"/>
  <c r="D345" i="5"/>
  <c r="C340" i="5"/>
  <c r="F340" i="5"/>
  <c r="D338" i="5"/>
  <c r="C341" i="5"/>
  <c r="D341" i="5"/>
  <c r="C342" i="5"/>
  <c r="D342" i="5"/>
  <c r="D343" i="5"/>
  <c r="C338" i="5"/>
  <c r="E338" i="5"/>
  <c r="D339" i="5"/>
  <c r="C345" i="5"/>
  <c r="E345" i="5"/>
  <c r="C339" i="5"/>
  <c r="C346" i="5"/>
  <c r="F346" i="5"/>
  <c r="D340" i="5"/>
  <c r="D344" i="5"/>
  <c r="D3026" i="5"/>
  <c r="D3020" i="5"/>
  <c r="D3022" i="5"/>
  <c r="D3023" i="5"/>
  <c r="D3027" i="5"/>
  <c r="C3025" i="5"/>
  <c r="E3025" i="5"/>
  <c r="D3028" i="5"/>
  <c r="D3025" i="5"/>
  <c r="C3022" i="5"/>
  <c r="F3022" i="5"/>
  <c r="C3023" i="5"/>
  <c r="C3028" i="5"/>
  <c r="F3028" i="5"/>
  <c r="D3021" i="5"/>
  <c r="D3024" i="5"/>
  <c r="C3020" i="5"/>
  <c r="E3020" i="5"/>
  <c r="C3024" i="5"/>
  <c r="C3026" i="5"/>
  <c r="F3026" i="5"/>
  <c r="C3021" i="5"/>
  <c r="C3027" i="5"/>
  <c r="E3027" i="5"/>
  <c r="D142" i="5"/>
  <c r="D147" i="5"/>
  <c r="C148" i="5"/>
  <c r="F148" i="5"/>
  <c r="D148" i="5"/>
  <c r="C140" i="5"/>
  <c r="E140" i="5"/>
  <c r="C141" i="5"/>
  <c r="C143" i="5"/>
  <c r="C147" i="5"/>
  <c r="E147" i="5"/>
  <c r="D140" i="5"/>
  <c r="D145" i="5"/>
  <c r="C142" i="5"/>
  <c r="F142" i="5"/>
  <c r="D146" i="5"/>
  <c r="C144" i="5"/>
  <c r="D141" i="5"/>
  <c r="D143" i="5"/>
  <c r="D144" i="5"/>
  <c r="D1396" i="5"/>
  <c r="C1393" i="5"/>
  <c r="F1393" i="5"/>
  <c r="D1397" i="5"/>
  <c r="D1398" i="5"/>
  <c r="D1399" i="5"/>
  <c r="D1391" i="5"/>
  <c r="C1398" i="5"/>
  <c r="E1398" i="5"/>
  <c r="D1392" i="5"/>
  <c r="C1399" i="5"/>
  <c r="F1399" i="5"/>
  <c r="D1393" i="5"/>
  <c r="C1395" i="5"/>
  <c r="D1394" i="5"/>
  <c r="D1395" i="5"/>
  <c r="C1392" i="5"/>
  <c r="C1391" i="5"/>
  <c r="E1391" i="5"/>
  <c r="C1394" i="5"/>
  <c r="R158" i="3"/>
  <c r="C1397" i="5"/>
  <c r="F1397" i="5"/>
  <c r="D82" i="5"/>
  <c r="D84" i="5"/>
  <c r="D85" i="5"/>
  <c r="C77" i="5"/>
  <c r="E77" i="5"/>
  <c r="D77" i="5"/>
  <c r="D78" i="5"/>
  <c r="D79" i="5"/>
  <c r="D81" i="5"/>
  <c r="D83" i="5"/>
  <c r="C85" i="5"/>
  <c r="F85" i="5"/>
  <c r="D80" i="5"/>
  <c r="C79" i="5"/>
  <c r="F79" i="5"/>
  <c r="C80" i="5"/>
  <c r="C81" i="5"/>
  <c r="C84" i="5"/>
  <c r="E84" i="5"/>
  <c r="C78" i="5"/>
  <c r="D94" i="5"/>
  <c r="D86" i="5"/>
  <c r="C88" i="5"/>
  <c r="F88" i="5"/>
  <c r="D87" i="5"/>
  <c r="C89" i="5"/>
  <c r="C87" i="5"/>
  <c r="D90" i="5"/>
  <c r="D91" i="5"/>
  <c r="C86" i="5"/>
  <c r="E86" i="5"/>
  <c r="D92" i="5"/>
  <c r="C90" i="5"/>
  <c r="D93" i="5"/>
  <c r="C94" i="5"/>
  <c r="F94" i="5"/>
  <c r="D88" i="5"/>
  <c r="D89" i="5"/>
  <c r="C93" i="5"/>
  <c r="E93" i="5"/>
  <c r="D4079" i="5"/>
  <c r="D4080" i="5"/>
  <c r="D4081" i="5"/>
  <c r="D4073" i="5"/>
  <c r="D4075" i="5"/>
  <c r="D4077" i="5"/>
  <c r="D4078" i="5"/>
  <c r="C4076" i="5"/>
  <c r="C4077" i="5"/>
  <c r="D4074" i="5"/>
  <c r="D4076" i="5"/>
  <c r="C4080" i="5"/>
  <c r="E4080" i="5"/>
  <c r="C4073" i="5"/>
  <c r="E4073" i="5"/>
  <c r="C4074" i="5"/>
  <c r="C4075" i="5"/>
  <c r="F4075" i="5"/>
  <c r="C4081" i="5"/>
  <c r="F4081" i="5"/>
  <c r="D1666" i="5"/>
  <c r="C1669" i="5"/>
  <c r="F1669" i="5"/>
  <c r="D1668" i="5"/>
  <c r="D1669" i="5"/>
  <c r="D1665" i="5"/>
  <c r="C1664" i="5"/>
  <c r="D1667" i="5"/>
  <c r="C1665" i="5"/>
  <c r="D1664" i="5"/>
  <c r="C1661" i="5"/>
  <c r="E1661" i="5"/>
  <c r="C1663" i="5"/>
  <c r="F1663" i="5"/>
  <c r="D1663" i="5"/>
  <c r="D1662" i="5"/>
  <c r="C1662" i="5"/>
  <c r="D1661" i="5"/>
  <c r="C1668" i="5"/>
  <c r="E1668" i="5"/>
  <c r="H845" i="5"/>
  <c r="D2318" i="5"/>
  <c r="D2322" i="5"/>
  <c r="D2323" i="5"/>
  <c r="C2319" i="5"/>
  <c r="C2320" i="5"/>
  <c r="F2320" i="5"/>
  <c r="C2318" i="5"/>
  <c r="E2318" i="5"/>
  <c r="C2321" i="5"/>
  <c r="D2325" i="5"/>
  <c r="D2326" i="5"/>
  <c r="C2322" i="5"/>
  <c r="D2319" i="5"/>
  <c r="D2320" i="5"/>
  <c r="D2321" i="5"/>
  <c r="C2325" i="5"/>
  <c r="E2325" i="5"/>
  <c r="D2324" i="5"/>
  <c r="C2326" i="5"/>
  <c r="F2326" i="5"/>
  <c r="D778" i="5"/>
  <c r="D774" i="5"/>
  <c r="D775" i="5"/>
  <c r="C772" i="5"/>
  <c r="F772" i="5"/>
  <c r="C773" i="5"/>
  <c r="D773" i="5"/>
  <c r="D776" i="5"/>
  <c r="D777" i="5"/>
  <c r="D772" i="5"/>
  <c r="C777" i="5"/>
  <c r="E777" i="5"/>
  <c r="C778" i="5"/>
  <c r="F778" i="5"/>
  <c r="D770" i="5"/>
  <c r="C774" i="5"/>
  <c r="D771" i="5"/>
  <c r="C771" i="5"/>
  <c r="C770" i="5"/>
  <c r="E770" i="5"/>
  <c r="K89" i="8"/>
  <c r="D2930" i="5"/>
  <c r="D2936" i="5"/>
  <c r="D2937" i="5"/>
  <c r="D2933" i="5"/>
  <c r="C2931" i="5"/>
  <c r="D2934" i="5"/>
  <c r="C2932" i="5"/>
  <c r="F2932" i="5"/>
  <c r="D2935" i="5"/>
  <c r="D2938" i="5"/>
  <c r="C2937" i="5"/>
  <c r="E2937" i="5"/>
  <c r="D2932" i="5"/>
  <c r="C2930" i="5"/>
  <c r="E2930" i="5"/>
  <c r="C2933" i="5"/>
  <c r="C2934" i="5"/>
  <c r="C2938" i="5"/>
  <c r="F2938" i="5"/>
  <c r="D2931" i="5"/>
  <c r="D241" i="5"/>
  <c r="D242" i="5"/>
  <c r="D243" i="5"/>
  <c r="D244" i="5"/>
  <c r="D247" i="5"/>
  <c r="C240" i="5"/>
  <c r="C241" i="5"/>
  <c r="F241" i="5"/>
  <c r="C243" i="5"/>
  <c r="C247" i="5"/>
  <c r="F247" i="5"/>
  <c r="D245" i="5"/>
  <c r="D246" i="5"/>
  <c r="C239" i="5"/>
  <c r="E239" i="5"/>
  <c r="D240" i="5"/>
  <c r="C246" i="5"/>
  <c r="E246" i="5"/>
  <c r="D239" i="5"/>
  <c r="C242" i="5"/>
  <c r="C244" i="5"/>
  <c r="E244" i="5"/>
  <c r="R341" i="3"/>
  <c r="J341" i="8"/>
  <c r="D3038" i="5"/>
  <c r="D3046" i="5"/>
  <c r="D3043" i="5"/>
  <c r="D3044" i="5"/>
  <c r="D3041" i="5"/>
  <c r="D3042" i="5"/>
  <c r="D3045" i="5"/>
  <c r="C3045" i="5"/>
  <c r="E3045" i="5"/>
  <c r="D3039" i="5"/>
  <c r="C3046" i="5"/>
  <c r="F3046" i="5"/>
  <c r="C3040" i="5"/>
  <c r="F3040" i="5"/>
  <c r="C3041" i="5"/>
  <c r="C3042" i="5"/>
  <c r="D3040" i="5"/>
  <c r="C3038" i="5"/>
  <c r="E3038" i="5"/>
  <c r="C3039" i="5"/>
  <c r="D4485" i="5"/>
  <c r="D4486" i="5"/>
  <c r="D4478" i="5"/>
  <c r="C4478" i="5"/>
  <c r="E4478" i="5"/>
  <c r="D4480" i="5"/>
  <c r="D4481" i="5"/>
  <c r="D4482" i="5"/>
  <c r="C4481" i="5"/>
  <c r="C4482" i="5"/>
  <c r="C4485" i="5"/>
  <c r="E4485" i="5"/>
  <c r="D4483" i="5"/>
  <c r="C4479" i="5"/>
  <c r="D4484" i="5"/>
  <c r="C4480" i="5"/>
  <c r="F4480" i="5"/>
  <c r="D4479" i="5"/>
  <c r="C4486" i="5"/>
  <c r="F4486" i="5"/>
  <c r="A852" i="5"/>
  <c r="H852" i="5"/>
  <c r="G852" i="5"/>
  <c r="B852" i="5"/>
  <c r="B1935" i="5"/>
  <c r="H1935" i="5"/>
  <c r="H868" i="5"/>
  <c r="G868" i="5"/>
  <c r="H1293" i="5"/>
  <c r="G1293" i="5"/>
  <c r="B1293" i="5"/>
  <c r="H1516" i="5"/>
  <c r="G1516" i="5"/>
  <c r="H4428" i="5"/>
  <c r="G4428" i="5"/>
  <c r="H1840" i="5"/>
  <c r="A1840" i="5"/>
  <c r="G1840" i="5"/>
  <c r="D994" i="5"/>
  <c r="D993" i="5"/>
  <c r="D988" i="5"/>
  <c r="D990" i="5"/>
  <c r="D989" i="5"/>
  <c r="C993" i="5"/>
  <c r="E993" i="5"/>
  <c r="D991" i="5"/>
  <c r="C994" i="5"/>
  <c r="F994" i="5"/>
  <c r="D992" i="5"/>
  <c r="C986" i="5"/>
  <c r="E986" i="5"/>
  <c r="C988" i="5"/>
  <c r="F988" i="5"/>
  <c r="D987" i="5"/>
  <c r="C990" i="5"/>
  <c r="D986" i="5"/>
  <c r="C989" i="5"/>
  <c r="C987" i="5"/>
  <c r="A3437" i="5"/>
  <c r="H3437" i="5"/>
  <c r="G3437" i="5"/>
  <c r="H539" i="5"/>
  <c r="G539" i="5"/>
  <c r="A2914" i="5"/>
  <c r="G2914" i="5"/>
  <c r="D670" i="5"/>
  <c r="D669" i="5"/>
  <c r="C664" i="5"/>
  <c r="F664" i="5"/>
  <c r="C665" i="5"/>
  <c r="D667" i="5"/>
  <c r="C666" i="5"/>
  <c r="D668" i="5"/>
  <c r="D663" i="5"/>
  <c r="D664" i="5"/>
  <c r="D665" i="5"/>
  <c r="D666" i="5"/>
  <c r="C669" i="5"/>
  <c r="E669" i="5"/>
  <c r="C670" i="5"/>
  <c r="F670" i="5"/>
  <c r="D662" i="5"/>
  <c r="C662" i="5"/>
  <c r="E662" i="5"/>
  <c r="C663" i="5"/>
  <c r="D1534" i="5"/>
  <c r="D1527" i="5"/>
  <c r="D1528" i="5"/>
  <c r="D1526" i="5"/>
  <c r="D1529" i="5"/>
  <c r="D1530" i="5"/>
  <c r="C1527" i="5"/>
  <c r="C1528" i="5"/>
  <c r="F1528" i="5"/>
  <c r="D1532" i="5"/>
  <c r="D1533" i="5"/>
  <c r="C1530" i="5"/>
  <c r="D1531" i="5"/>
  <c r="C1534" i="5"/>
  <c r="F1534" i="5"/>
  <c r="C1529" i="5"/>
  <c r="C1526" i="5"/>
  <c r="E1526" i="5"/>
  <c r="C1533" i="5"/>
  <c r="E1533" i="5"/>
  <c r="R173" i="3"/>
  <c r="C1531" i="5"/>
  <c r="E1531" i="5"/>
  <c r="G1928" i="5"/>
  <c r="H1931" i="5"/>
  <c r="G1931" i="5"/>
  <c r="G4208" i="5"/>
  <c r="D1850" i="5"/>
  <c r="D1851" i="5"/>
  <c r="D1852" i="5"/>
  <c r="C1851" i="5"/>
  <c r="C1852" i="5"/>
  <c r="F1852" i="5"/>
  <c r="D1853" i="5"/>
  <c r="D1854" i="5"/>
  <c r="D1855" i="5"/>
  <c r="C1857" i="5"/>
  <c r="E1857" i="5"/>
  <c r="D1856" i="5"/>
  <c r="C1858" i="5"/>
  <c r="F1858" i="5"/>
  <c r="D1857" i="5"/>
  <c r="C1850" i="5"/>
  <c r="E1850" i="5"/>
  <c r="D1858" i="5"/>
  <c r="C1853" i="5"/>
  <c r="C1854" i="5"/>
  <c r="D946" i="5"/>
  <c r="D941" i="5"/>
  <c r="C949" i="5"/>
  <c r="F949" i="5"/>
  <c r="D942" i="5"/>
  <c r="D944" i="5"/>
  <c r="C941" i="5"/>
  <c r="E941" i="5"/>
  <c r="C942" i="5"/>
  <c r="D948" i="5"/>
  <c r="C948" i="5"/>
  <c r="E948" i="5"/>
  <c r="D943" i="5"/>
  <c r="D945" i="5"/>
  <c r="D947" i="5"/>
  <c r="D949" i="5"/>
  <c r="C943" i="5"/>
  <c r="F943" i="5"/>
  <c r="C944" i="5"/>
  <c r="C945" i="5"/>
  <c r="D1390" i="5"/>
  <c r="D1383" i="5"/>
  <c r="D1384" i="5"/>
  <c r="D1386" i="5"/>
  <c r="D1387" i="5"/>
  <c r="D1388" i="5"/>
  <c r="C1383" i="5"/>
  <c r="C1384" i="5"/>
  <c r="F1384" i="5"/>
  <c r="C1382" i="5"/>
  <c r="E1382" i="5"/>
  <c r="D1389" i="5"/>
  <c r="C1385" i="5"/>
  <c r="C1386" i="5"/>
  <c r="C1390" i="5"/>
  <c r="F1390" i="5"/>
  <c r="D1382" i="5"/>
  <c r="C1389" i="5"/>
  <c r="E1389" i="5"/>
  <c r="D1385" i="5"/>
  <c r="D59" i="5"/>
  <c r="C64" i="5"/>
  <c r="E64" i="5"/>
  <c r="C65" i="5"/>
  <c r="F65" i="5"/>
  <c r="D60" i="5"/>
  <c r="D61" i="5"/>
  <c r="D62" i="5"/>
  <c r="C63" i="5"/>
  <c r="D63" i="5"/>
  <c r="C66" i="5"/>
  <c r="E66" i="5"/>
  <c r="D64" i="5"/>
  <c r="C67" i="5"/>
  <c r="F67" i="5"/>
  <c r="D65" i="5"/>
  <c r="D66" i="5"/>
  <c r="D67" i="5"/>
  <c r="C61" i="5"/>
  <c r="F61" i="5"/>
  <c r="C60" i="5"/>
  <c r="C59" i="5"/>
  <c r="E59" i="5"/>
  <c r="C62" i="5"/>
  <c r="D175" i="5"/>
  <c r="D171" i="5"/>
  <c r="C168" i="5"/>
  <c r="D172" i="5"/>
  <c r="C169" i="5"/>
  <c r="F169" i="5"/>
  <c r="D173" i="5"/>
  <c r="C175" i="5"/>
  <c r="F175" i="5"/>
  <c r="C167" i="5"/>
  <c r="E167" i="5"/>
  <c r="C170" i="5"/>
  <c r="C171" i="5"/>
  <c r="D167" i="5"/>
  <c r="C174" i="5"/>
  <c r="E174" i="5"/>
  <c r="D168" i="5"/>
  <c r="D169" i="5"/>
  <c r="D170" i="5"/>
  <c r="D174" i="5"/>
  <c r="D1898" i="5"/>
  <c r="D1901" i="5"/>
  <c r="C1897" i="5"/>
  <c r="F1897" i="5"/>
  <c r="D1900" i="5"/>
  <c r="D1902" i="5"/>
  <c r="D1903" i="5"/>
  <c r="D1896" i="5"/>
  <c r="C1903" i="5"/>
  <c r="F1903" i="5"/>
  <c r="D1897" i="5"/>
  <c r="D1899" i="5"/>
  <c r="C1899" i="5"/>
  <c r="C1895" i="5"/>
  <c r="E1895" i="5"/>
  <c r="C1896" i="5"/>
  <c r="C1898" i="5"/>
  <c r="D1895" i="5"/>
  <c r="C1902" i="5"/>
  <c r="E1902" i="5"/>
  <c r="G2903" i="5"/>
  <c r="D4154" i="5"/>
  <c r="D4156" i="5"/>
  <c r="D4155" i="5"/>
  <c r="D4157" i="5"/>
  <c r="C4162" i="5"/>
  <c r="F4162" i="5"/>
  <c r="D4162" i="5"/>
  <c r="C4155" i="5"/>
  <c r="C4156" i="5"/>
  <c r="F4156" i="5"/>
  <c r="D4159" i="5"/>
  <c r="D4160" i="5"/>
  <c r="D4161" i="5"/>
  <c r="C4157" i="5"/>
  <c r="C4158" i="5"/>
  <c r="C4154" i="5"/>
  <c r="E4154" i="5"/>
  <c r="C4161" i="5"/>
  <c r="E4161" i="5"/>
  <c r="D4158" i="5"/>
  <c r="D2870" i="5"/>
  <c r="D2872" i="5"/>
  <c r="C2869" i="5"/>
  <c r="F2869" i="5"/>
  <c r="D2873" i="5"/>
  <c r="D2869" i="5"/>
  <c r="D2871" i="5"/>
  <c r="D2874" i="5"/>
  <c r="C2874" i="5"/>
  <c r="E2874" i="5"/>
  <c r="C2867" i="5"/>
  <c r="E2867" i="5"/>
  <c r="D2868" i="5"/>
  <c r="D2875" i="5"/>
  <c r="C2870" i="5"/>
  <c r="C2871" i="5"/>
  <c r="D2867" i="5"/>
  <c r="C2868" i="5"/>
  <c r="C2875" i="5"/>
  <c r="F2875" i="5"/>
  <c r="D4236" i="5"/>
  <c r="D4237" i="5"/>
  <c r="D4243" i="5"/>
  <c r="D4239" i="5"/>
  <c r="D4240" i="5"/>
  <c r="C4235" i="5"/>
  <c r="E4235" i="5"/>
  <c r="D4241" i="5"/>
  <c r="D4242" i="5"/>
  <c r="C4236" i="5"/>
  <c r="C4237" i="5"/>
  <c r="F4237" i="5"/>
  <c r="C4242" i="5"/>
  <c r="E4242" i="5"/>
  <c r="C4243" i="5"/>
  <c r="F4243" i="5"/>
  <c r="D4235" i="5"/>
  <c r="D4238" i="5"/>
  <c r="C4238" i="5"/>
  <c r="C4239" i="5"/>
  <c r="D2604" i="5"/>
  <c r="D2605" i="5"/>
  <c r="C2605" i="5"/>
  <c r="F2605" i="5"/>
  <c r="D2599" i="5"/>
  <c r="D2600" i="5"/>
  <c r="D2601" i="5"/>
  <c r="C2600" i="5"/>
  <c r="C2601" i="5"/>
  <c r="D2602" i="5"/>
  <c r="C2597" i="5"/>
  <c r="E2597" i="5"/>
  <c r="C2598" i="5"/>
  <c r="D2597" i="5"/>
  <c r="C2599" i="5"/>
  <c r="F2599" i="5"/>
  <c r="D2598" i="5"/>
  <c r="D2603" i="5"/>
  <c r="C2604" i="5"/>
  <c r="E2604" i="5"/>
  <c r="R292" i="3"/>
  <c r="K292" i="8"/>
  <c r="D4452" i="5"/>
  <c r="D4453" i="5"/>
  <c r="D4459" i="5"/>
  <c r="D4451" i="5"/>
  <c r="D4454" i="5"/>
  <c r="C4453" i="5"/>
  <c r="F4453" i="5"/>
  <c r="C4454" i="5"/>
  <c r="D4458" i="5"/>
  <c r="C4451" i="5"/>
  <c r="E4451" i="5"/>
  <c r="C4452" i="5"/>
  <c r="C4458" i="5"/>
  <c r="E4458" i="5"/>
  <c r="C4459" i="5"/>
  <c r="F4459" i="5"/>
  <c r="D4455" i="5"/>
  <c r="D4456" i="5"/>
  <c r="D4457" i="5"/>
  <c r="C4455" i="5"/>
  <c r="D2072" i="5"/>
  <c r="D2067" i="5"/>
  <c r="D2066" i="5"/>
  <c r="D2068" i="5"/>
  <c r="C2073" i="5"/>
  <c r="E2073" i="5"/>
  <c r="C2074" i="5"/>
  <c r="F2074" i="5"/>
  <c r="D2069" i="5"/>
  <c r="D2070" i="5"/>
  <c r="D2071" i="5"/>
  <c r="C2068" i="5"/>
  <c r="F2068" i="5"/>
  <c r="C2070" i="5"/>
  <c r="C2069" i="5"/>
  <c r="D2073" i="5"/>
  <c r="C2071" i="5"/>
  <c r="E2071" i="5"/>
  <c r="D2074" i="5"/>
  <c r="C2066" i="5"/>
  <c r="E2066" i="5"/>
  <c r="C2067" i="5"/>
  <c r="B3437" i="5"/>
  <c r="C1496" i="5"/>
  <c r="F1496" i="5"/>
  <c r="A537" i="5"/>
  <c r="H537" i="5"/>
  <c r="G537" i="5"/>
  <c r="H864" i="5"/>
  <c r="G864" i="5"/>
  <c r="C2801" i="5"/>
  <c r="F2801" i="5"/>
  <c r="C2800" i="5"/>
  <c r="E2800" i="5"/>
  <c r="D2402" i="5"/>
  <c r="D2407" i="5"/>
  <c r="D2400" i="5"/>
  <c r="C2401" i="5"/>
  <c r="F2401" i="5"/>
  <c r="D2401" i="5"/>
  <c r="C2399" i="5"/>
  <c r="E2399" i="5"/>
  <c r="C2403" i="5"/>
  <c r="D2399" i="5"/>
  <c r="D2403" i="5"/>
  <c r="D2406" i="5"/>
  <c r="D2404" i="5"/>
  <c r="C2407" i="5"/>
  <c r="F2407" i="5"/>
  <c r="D2405" i="5"/>
  <c r="C2400" i="5"/>
  <c r="C2402" i="5"/>
  <c r="C2406" i="5"/>
  <c r="E2406" i="5"/>
  <c r="A2992" i="5"/>
  <c r="H2992" i="5"/>
  <c r="B2992" i="5"/>
  <c r="D2636" i="5"/>
  <c r="D2637" i="5"/>
  <c r="D2640" i="5"/>
  <c r="C2641" i="5"/>
  <c r="F2641" i="5"/>
  <c r="D2641" i="5"/>
  <c r="D2639" i="5"/>
  <c r="D2634" i="5"/>
  <c r="C2633" i="5"/>
  <c r="E2633" i="5"/>
  <c r="D2635" i="5"/>
  <c r="C2634" i="5"/>
  <c r="D2638" i="5"/>
  <c r="C2635" i="5"/>
  <c r="F2635" i="5"/>
  <c r="C2637" i="5"/>
  <c r="D2633" i="5"/>
  <c r="C2636" i="5"/>
  <c r="C2640" i="5"/>
  <c r="E2640" i="5"/>
  <c r="D1786" i="5"/>
  <c r="D1779" i="5"/>
  <c r="D1780" i="5"/>
  <c r="D1781" i="5"/>
  <c r="D1778" i="5"/>
  <c r="D1783" i="5"/>
  <c r="D1784" i="5"/>
  <c r="D1785" i="5"/>
  <c r="D1782" i="5"/>
  <c r="C1779" i="5"/>
  <c r="C1785" i="5"/>
  <c r="E1785" i="5"/>
  <c r="C1786" i="5"/>
  <c r="F1786" i="5"/>
  <c r="C1781" i="5"/>
  <c r="C1782" i="5"/>
  <c r="C1778" i="5"/>
  <c r="E1778" i="5"/>
  <c r="C1780" i="5"/>
  <c r="F1780" i="5"/>
  <c r="D1150" i="5"/>
  <c r="D1151" i="5"/>
  <c r="D1152" i="5"/>
  <c r="C1150" i="5"/>
  <c r="F1150" i="5"/>
  <c r="C1151" i="5"/>
  <c r="D1156" i="5"/>
  <c r="D1149" i="5"/>
  <c r="C1156" i="5"/>
  <c r="F1156" i="5"/>
  <c r="D1154" i="5"/>
  <c r="D1155" i="5"/>
  <c r="D1153" i="5"/>
  <c r="C1155" i="5"/>
  <c r="E1155" i="5"/>
  <c r="C1152" i="5"/>
  <c r="C1148" i="5"/>
  <c r="E1148" i="5"/>
  <c r="C1149" i="5"/>
  <c r="D1148" i="5"/>
  <c r="D2414" i="5"/>
  <c r="D2408" i="5"/>
  <c r="D2409" i="5"/>
  <c r="C2413" i="5"/>
  <c r="E2413" i="5"/>
  <c r="D2413" i="5"/>
  <c r="D2415" i="5"/>
  <c r="D2416" i="5"/>
  <c r="C2410" i="5"/>
  <c r="F2410" i="5"/>
  <c r="C2411" i="5"/>
  <c r="C2412" i="5"/>
  <c r="C2414" i="5"/>
  <c r="F2414" i="5"/>
  <c r="C2415" i="5"/>
  <c r="E2415" i="5"/>
  <c r="D2410" i="5"/>
  <c r="D2411" i="5"/>
  <c r="D2412" i="5"/>
  <c r="C2408" i="5"/>
  <c r="E2408" i="5"/>
  <c r="C2409" i="5"/>
  <c r="C2416" i="5"/>
  <c r="F2416" i="5"/>
  <c r="D4332" i="5"/>
  <c r="D4333" i="5"/>
  <c r="D4329" i="5"/>
  <c r="D4331" i="5"/>
  <c r="D4330" i="5"/>
  <c r="D4325" i="5"/>
  <c r="D4326" i="5"/>
  <c r="C4325" i="5"/>
  <c r="E4325" i="5"/>
  <c r="C4326" i="5"/>
  <c r="D4327" i="5"/>
  <c r="D4328" i="5"/>
  <c r="C4329" i="5"/>
  <c r="C4332" i="5"/>
  <c r="E4332" i="5"/>
  <c r="C4327" i="5"/>
  <c r="F4327" i="5"/>
  <c r="C4328" i="5"/>
  <c r="C4333" i="5"/>
  <c r="F4333" i="5"/>
  <c r="D3708" i="5"/>
  <c r="D3709" i="5"/>
  <c r="D3705" i="5"/>
  <c r="D3707" i="5"/>
  <c r="D3710" i="5"/>
  <c r="C3711" i="5"/>
  <c r="E3711" i="5"/>
  <c r="D3704" i="5"/>
  <c r="C3712" i="5"/>
  <c r="F3712" i="5"/>
  <c r="D3706" i="5"/>
  <c r="D3711" i="5"/>
  <c r="C3704" i="5"/>
  <c r="E3704" i="5"/>
  <c r="C3705" i="5"/>
  <c r="C3708" i="5"/>
  <c r="D3712" i="5"/>
  <c r="C3706" i="5"/>
  <c r="F3706" i="5"/>
  <c r="C3707" i="5"/>
  <c r="D2316" i="5"/>
  <c r="D2309" i="5"/>
  <c r="D2314" i="5"/>
  <c r="C2317" i="5"/>
  <c r="F2317" i="5"/>
  <c r="D2315" i="5"/>
  <c r="D2311" i="5"/>
  <c r="D2312" i="5"/>
  <c r="D2313" i="5"/>
  <c r="D2310" i="5"/>
  <c r="D2317" i="5"/>
  <c r="C2316" i="5"/>
  <c r="E2316" i="5"/>
  <c r="C2313" i="5"/>
  <c r="C2310" i="5"/>
  <c r="C2311" i="5"/>
  <c r="F2311" i="5"/>
  <c r="C2309" i="5"/>
  <c r="E2309" i="5"/>
  <c r="C2312" i="5"/>
  <c r="R260" i="3"/>
  <c r="F260" i="8"/>
  <c r="H850" i="5"/>
  <c r="G850" i="5"/>
  <c r="B2910" i="5"/>
  <c r="A2910" i="5"/>
  <c r="H3453" i="5"/>
  <c r="G3453" i="5"/>
  <c r="A3453" i="5"/>
  <c r="B3453" i="5"/>
  <c r="C3772" i="5"/>
  <c r="E3772" i="5"/>
  <c r="C3773" i="5"/>
  <c r="F3773" i="5"/>
  <c r="D1814" i="5"/>
  <c r="D1822" i="5"/>
  <c r="D1821" i="5"/>
  <c r="D1820" i="5"/>
  <c r="D1817" i="5"/>
  <c r="D1818" i="5"/>
  <c r="D1819" i="5"/>
  <c r="D1815" i="5"/>
  <c r="C1814" i="5"/>
  <c r="E1814" i="5"/>
  <c r="C1817" i="5"/>
  <c r="C1818" i="5"/>
  <c r="C1821" i="5"/>
  <c r="E1821" i="5"/>
  <c r="D1816" i="5"/>
  <c r="C1822" i="5"/>
  <c r="F1822" i="5"/>
  <c r="C1815" i="5"/>
  <c r="C1816" i="5"/>
  <c r="F1816" i="5"/>
  <c r="G2910" i="5"/>
  <c r="D706" i="5"/>
  <c r="D702" i="5"/>
  <c r="C700" i="5"/>
  <c r="F700" i="5"/>
  <c r="D703" i="5"/>
  <c r="C701" i="5"/>
  <c r="D704" i="5"/>
  <c r="D705" i="5"/>
  <c r="D699" i="5"/>
  <c r="D700" i="5"/>
  <c r="C698" i="5"/>
  <c r="E698" i="5"/>
  <c r="D701" i="5"/>
  <c r="C699" i="5"/>
  <c r="C702" i="5"/>
  <c r="D698" i="5"/>
  <c r="C705" i="5"/>
  <c r="E705" i="5"/>
  <c r="C706" i="5"/>
  <c r="F706" i="5"/>
  <c r="C703" i="5"/>
  <c r="E703" i="5"/>
  <c r="D3816" i="5"/>
  <c r="D3817" i="5"/>
  <c r="D3819" i="5"/>
  <c r="D3812" i="5"/>
  <c r="D3815" i="5"/>
  <c r="D3818" i="5"/>
  <c r="C3812" i="5"/>
  <c r="E3812" i="5"/>
  <c r="D3813" i="5"/>
  <c r="D3814" i="5"/>
  <c r="D3820" i="5"/>
  <c r="C3813" i="5"/>
  <c r="C3814" i="5"/>
  <c r="F3814" i="5"/>
  <c r="C3816" i="5"/>
  <c r="C3815" i="5"/>
  <c r="C3819" i="5"/>
  <c r="E3819" i="5"/>
  <c r="C3820" i="5"/>
  <c r="F3820" i="5"/>
  <c r="R427" i="3"/>
  <c r="C3817" i="5"/>
  <c r="E3817" i="5"/>
  <c r="D874" i="5"/>
  <c r="D875" i="5"/>
  <c r="D876" i="5"/>
  <c r="C869" i="5"/>
  <c r="E869" i="5"/>
  <c r="D877" i="5"/>
  <c r="D871" i="5"/>
  <c r="D873" i="5"/>
  <c r="C871" i="5"/>
  <c r="F871" i="5"/>
  <c r="C872" i="5"/>
  <c r="C873" i="5"/>
  <c r="D869" i="5"/>
  <c r="D870" i="5"/>
  <c r="D872" i="5"/>
  <c r="C870" i="5"/>
  <c r="C876" i="5"/>
  <c r="E876" i="5"/>
  <c r="C877" i="5"/>
  <c r="F877" i="5"/>
  <c r="D3399" i="5"/>
  <c r="D3404" i="5"/>
  <c r="D3403" i="5"/>
  <c r="D3401" i="5"/>
  <c r="D3402" i="5"/>
  <c r="D3406" i="5"/>
  <c r="C3399" i="5"/>
  <c r="C3400" i="5"/>
  <c r="F3400" i="5"/>
  <c r="D3398" i="5"/>
  <c r="C3405" i="5"/>
  <c r="E3405" i="5"/>
  <c r="D3400" i="5"/>
  <c r="C3398" i="5"/>
  <c r="E3398" i="5"/>
  <c r="D3405" i="5"/>
  <c r="C3401" i="5"/>
  <c r="C3402" i="5"/>
  <c r="C3406" i="5"/>
  <c r="F3406" i="5"/>
  <c r="D1006" i="5"/>
  <c r="D1007" i="5"/>
  <c r="C1009" i="5"/>
  <c r="E1009" i="5"/>
  <c r="D1008" i="5"/>
  <c r="D1005" i="5"/>
  <c r="D1010" i="5"/>
  <c r="C1006" i="5"/>
  <c r="F1006" i="5"/>
  <c r="D1011" i="5"/>
  <c r="C1007" i="5"/>
  <c r="D1012" i="5"/>
  <c r="D1004" i="5"/>
  <c r="D1009" i="5"/>
  <c r="C1005" i="5"/>
  <c r="C1010" i="5"/>
  <c r="F1010" i="5"/>
  <c r="C1004" i="5"/>
  <c r="E1004" i="5"/>
  <c r="C1008" i="5"/>
  <c r="C1011" i="5"/>
  <c r="E1011" i="5"/>
  <c r="C1012" i="5"/>
  <c r="F1012" i="5"/>
  <c r="D3146" i="5"/>
  <c r="D3151" i="5"/>
  <c r="D3150" i="5"/>
  <c r="D3152" i="5"/>
  <c r="D3147" i="5"/>
  <c r="D3149" i="5"/>
  <c r="D3153" i="5"/>
  <c r="D3154" i="5"/>
  <c r="C3153" i="5"/>
  <c r="E3153" i="5"/>
  <c r="C3154" i="5"/>
  <c r="F3154" i="5"/>
  <c r="D3148" i="5"/>
  <c r="C3146" i="5"/>
  <c r="E3146" i="5"/>
  <c r="C3147" i="5"/>
  <c r="C3148" i="5"/>
  <c r="F3148" i="5"/>
  <c r="C3149" i="5"/>
  <c r="C3150" i="5"/>
  <c r="D910" i="5"/>
  <c r="C913" i="5"/>
  <c r="F913" i="5"/>
  <c r="D909" i="5"/>
  <c r="D912" i="5"/>
  <c r="D906" i="5"/>
  <c r="C906" i="5"/>
  <c r="D907" i="5"/>
  <c r="C907" i="5"/>
  <c r="F907" i="5"/>
  <c r="D908" i="5"/>
  <c r="C905" i="5"/>
  <c r="E905" i="5"/>
  <c r="C908" i="5"/>
  <c r="C909" i="5"/>
  <c r="C912" i="5"/>
  <c r="E912" i="5"/>
  <c r="D905" i="5"/>
  <c r="D911" i="5"/>
  <c r="D913" i="5"/>
  <c r="D682" i="5"/>
  <c r="D683" i="5"/>
  <c r="D684" i="5"/>
  <c r="D687" i="5"/>
  <c r="C688" i="5"/>
  <c r="F688" i="5"/>
  <c r="D688" i="5"/>
  <c r="C680" i="5"/>
  <c r="E680" i="5"/>
  <c r="C681" i="5"/>
  <c r="D680" i="5"/>
  <c r="D681" i="5"/>
  <c r="C682" i="5"/>
  <c r="F682" i="5"/>
  <c r="C684" i="5"/>
  <c r="C683" i="5"/>
  <c r="C687" i="5"/>
  <c r="E687" i="5"/>
  <c r="D685" i="5"/>
  <c r="D686" i="5"/>
  <c r="E79" i="8"/>
  <c r="A1935" i="5"/>
  <c r="G4419" i="5"/>
  <c r="H1944" i="5"/>
  <c r="G1944" i="5"/>
  <c r="C4429" i="5"/>
  <c r="E4429" i="5"/>
  <c r="C4430" i="5"/>
  <c r="F4430" i="5"/>
  <c r="C1753" i="5"/>
  <c r="F1753" i="5"/>
  <c r="D1751" i="5"/>
  <c r="D1755" i="5"/>
  <c r="D1756" i="5"/>
  <c r="D1757" i="5"/>
  <c r="D1753" i="5"/>
  <c r="C1758" i="5"/>
  <c r="E1758" i="5"/>
  <c r="D1754" i="5"/>
  <c r="C1759" i="5"/>
  <c r="F1759" i="5"/>
  <c r="D1758" i="5"/>
  <c r="C1755" i="5"/>
  <c r="D1752" i="5"/>
  <c r="D1759" i="5"/>
  <c r="C1752" i="5"/>
  <c r="C1754" i="5"/>
  <c r="C1751" i="5"/>
  <c r="E1751" i="5"/>
  <c r="D1976" i="5"/>
  <c r="D1981" i="5"/>
  <c r="D1982" i="5"/>
  <c r="C1983" i="5"/>
  <c r="E1983" i="5"/>
  <c r="D1977" i="5"/>
  <c r="C1984" i="5"/>
  <c r="F1984" i="5"/>
  <c r="C1980" i="5"/>
  <c r="D1978" i="5"/>
  <c r="D1979" i="5"/>
  <c r="D1984" i="5"/>
  <c r="C1978" i="5"/>
  <c r="F1978" i="5"/>
  <c r="C1977" i="5"/>
  <c r="C1976" i="5"/>
  <c r="E1976" i="5"/>
  <c r="C1979" i="5"/>
  <c r="D1980" i="5"/>
  <c r="D1983" i="5"/>
  <c r="D166" i="5"/>
  <c r="D162" i="5"/>
  <c r="D163" i="5"/>
  <c r="D164" i="5"/>
  <c r="C160" i="5"/>
  <c r="F160" i="5"/>
  <c r="D165" i="5"/>
  <c r="C161" i="5"/>
  <c r="D158" i="5"/>
  <c r="C159" i="5"/>
  <c r="D159" i="5"/>
  <c r="D160" i="5"/>
  <c r="D161" i="5"/>
  <c r="C158" i="5"/>
  <c r="E158" i="5"/>
  <c r="C165" i="5"/>
  <c r="E165" i="5"/>
  <c r="C166" i="5"/>
  <c r="F166" i="5"/>
  <c r="C162" i="5"/>
  <c r="D2120" i="5"/>
  <c r="D2124" i="5"/>
  <c r="D2125" i="5"/>
  <c r="D2127" i="5"/>
  <c r="D2128" i="5"/>
  <c r="C2127" i="5"/>
  <c r="E2127" i="5"/>
  <c r="C2123" i="5"/>
  <c r="C2124" i="5"/>
  <c r="D2121" i="5"/>
  <c r="D2122" i="5"/>
  <c r="D2123" i="5"/>
  <c r="C2120" i="5"/>
  <c r="E2120" i="5"/>
  <c r="D2126" i="5"/>
  <c r="C2121" i="5"/>
  <c r="C2128" i="5"/>
  <c r="F2128" i="5"/>
  <c r="C2122" i="5"/>
  <c r="F2122" i="5"/>
  <c r="H2903" i="5"/>
  <c r="C1465" i="5"/>
  <c r="F1465" i="5"/>
  <c r="D1463" i="5"/>
  <c r="D1465" i="5"/>
  <c r="D1466" i="5"/>
  <c r="D1467" i="5"/>
  <c r="D1464" i="5"/>
  <c r="C1471" i="5"/>
  <c r="F1471" i="5"/>
  <c r="C1467" i="5"/>
  <c r="C1470" i="5"/>
  <c r="E1470" i="5"/>
  <c r="D1470" i="5"/>
  <c r="C1464" i="5"/>
  <c r="D1471" i="5"/>
  <c r="D1469" i="5"/>
  <c r="C1463" i="5"/>
  <c r="E1463" i="5"/>
  <c r="D1468" i="5"/>
  <c r="C1466" i="5"/>
  <c r="D970" i="5"/>
  <c r="D968" i="5"/>
  <c r="D973" i="5"/>
  <c r="D975" i="5"/>
  <c r="D971" i="5"/>
  <c r="D972" i="5"/>
  <c r="C968" i="5"/>
  <c r="E968" i="5"/>
  <c r="D974" i="5"/>
  <c r="C969" i="5"/>
  <c r="C970" i="5"/>
  <c r="F970" i="5"/>
  <c r="C972" i="5"/>
  <c r="D976" i="5"/>
  <c r="C975" i="5"/>
  <c r="E975" i="5"/>
  <c r="C976" i="5"/>
  <c r="F976" i="5"/>
  <c r="C971" i="5"/>
  <c r="D969" i="5"/>
  <c r="R111" i="3"/>
  <c r="B111" i="8"/>
  <c r="D2498" i="5"/>
  <c r="D2500" i="5"/>
  <c r="D2503" i="5"/>
  <c r="D2504" i="5"/>
  <c r="D2499" i="5"/>
  <c r="D2501" i="5"/>
  <c r="C2502" i="5"/>
  <c r="D2502" i="5"/>
  <c r="D2505" i="5"/>
  <c r="D2506" i="5"/>
  <c r="C2506" i="5"/>
  <c r="F2506" i="5"/>
  <c r="C2505" i="5"/>
  <c r="E2505" i="5"/>
  <c r="C2498" i="5"/>
  <c r="E2498" i="5"/>
  <c r="C2501" i="5"/>
  <c r="C2500" i="5"/>
  <c r="F2500" i="5"/>
  <c r="C2499" i="5"/>
  <c r="D4139" i="5"/>
  <c r="D4140" i="5"/>
  <c r="D4141" i="5"/>
  <c r="D4136" i="5"/>
  <c r="D4138" i="5"/>
  <c r="C4138" i="5"/>
  <c r="F4138" i="5"/>
  <c r="C4143" i="5"/>
  <c r="E4143" i="5"/>
  <c r="D4137" i="5"/>
  <c r="D4142" i="5"/>
  <c r="C4140" i="5"/>
  <c r="D4143" i="5"/>
  <c r="D4144" i="5"/>
  <c r="C4136" i="5"/>
  <c r="E4136" i="5"/>
  <c r="C4137" i="5"/>
  <c r="C4139" i="5"/>
  <c r="C4144" i="5"/>
  <c r="F4144" i="5"/>
  <c r="R463" i="3"/>
  <c r="C4142" i="5"/>
  <c r="F4142" i="5"/>
  <c r="D3033" i="5"/>
  <c r="D3036" i="5"/>
  <c r="D3037" i="5"/>
  <c r="C3037" i="5"/>
  <c r="F3037" i="5"/>
  <c r="D3029" i="5"/>
  <c r="D3030" i="5"/>
  <c r="C3036" i="5"/>
  <c r="E3036" i="5"/>
  <c r="D3034" i="5"/>
  <c r="C3029" i="5"/>
  <c r="E3029" i="5"/>
  <c r="D3035" i="5"/>
  <c r="C3030" i="5"/>
  <c r="C3031" i="5"/>
  <c r="F3031" i="5"/>
  <c r="C3033" i="5"/>
  <c r="D3031" i="5"/>
  <c r="D3032" i="5"/>
  <c r="C3032" i="5"/>
  <c r="D3924" i="5"/>
  <c r="D3925" i="5"/>
  <c r="D3921" i="5"/>
  <c r="D3920" i="5"/>
  <c r="D3922" i="5"/>
  <c r="D3923" i="5"/>
  <c r="C3927" i="5"/>
  <c r="E3927" i="5"/>
  <c r="C3928" i="5"/>
  <c r="F3928" i="5"/>
  <c r="C3921" i="5"/>
  <c r="C3923" i="5"/>
  <c r="C3924" i="5"/>
  <c r="C3922" i="5"/>
  <c r="F3922" i="5"/>
  <c r="D3926" i="5"/>
  <c r="D3927" i="5"/>
  <c r="D3928" i="5"/>
  <c r="C3920" i="5"/>
  <c r="E3920" i="5"/>
  <c r="D1354" i="5"/>
  <c r="D1347" i="5"/>
  <c r="D1348" i="5"/>
  <c r="D1350" i="5"/>
  <c r="D1352" i="5"/>
  <c r="D1346" i="5"/>
  <c r="C1348" i="5"/>
  <c r="F1348" i="5"/>
  <c r="D1349" i="5"/>
  <c r="C1349" i="5"/>
  <c r="D1351" i="5"/>
  <c r="C1350" i="5"/>
  <c r="D1353" i="5"/>
  <c r="C1353" i="5"/>
  <c r="E1353" i="5"/>
  <c r="C1346" i="5"/>
  <c r="E1346" i="5"/>
  <c r="C1347" i="5"/>
  <c r="C1354" i="5"/>
  <c r="F1354" i="5"/>
  <c r="G3768" i="5"/>
  <c r="C3439" i="5"/>
  <c r="E3439" i="5"/>
  <c r="C3440" i="5"/>
  <c r="F3440" i="5"/>
  <c r="R293" i="3"/>
  <c r="D347" i="5"/>
  <c r="D352" i="5"/>
  <c r="D353" i="5"/>
  <c r="D354" i="5"/>
  <c r="C347" i="5"/>
  <c r="E347" i="5"/>
  <c r="C349" i="5"/>
  <c r="F349" i="5"/>
  <c r="D355" i="5"/>
  <c r="C355" i="5"/>
  <c r="F355" i="5"/>
  <c r="D349" i="5"/>
  <c r="D350" i="5"/>
  <c r="D351" i="5"/>
  <c r="D348" i="5"/>
  <c r="C348" i="5"/>
  <c r="C350" i="5"/>
  <c r="C351" i="5"/>
  <c r="C354" i="5"/>
  <c r="E354" i="5"/>
  <c r="D3888" i="5"/>
  <c r="D3889" i="5"/>
  <c r="D3891" i="5"/>
  <c r="D3890" i="5"/>
  <c r="D3892" i="5"/>
  <c r="D3886" i="5"/>
  <c r="D3887" i="5"/>
  <c r="C3884" i="5"/>
  <c r="E3884" i="5"/>
  <c r="D3884" i="5"/>
  <c r="D3885" i="5"/>
  <c r="C3892" i="5"/>
  <c r="F3892" i="5"/>
  <c r="C3886" i="5"/>
  <c r="F3886" i="5"/>
  <c r="C3887" i="5"/>
  <c r="C3888" i="5"/>
  <c r="C3891" i="5"/>
  <c r="E3891" i="5"/>
  <c r="C3885" i="5"/>
  <c r="D3409" i="5"/>
  <c r="D3411" i="5"/>
  <c r="D3407" i="5"/>
  <c r="C3409" i="5"/>
  <c r="F3409" i="5"/>
  <c r="D3408" i="5"/>
  <c r="D3410" i="5"/>
  <c r="D3412" i="5"/>
  <c r="C3410" i="5"/>
  <c r="C3411" i="5"/>
  <c r="C3414" i="5"/>
  <c r="E3414" i="5"/>
  <c r="D3413" i="5"/>
  <c r="D3415" i="5"/>
  <c r="C3407" i="5"/>
  <c r="E3407" i="5"/>
  <c r="C3408" i="5"/>
  <c r="D3414" i="5"/>
  <c r="C3415" i="5"/>
  <c r="F3415" i="5"/>
  <c r="R361" i="3"/>
  <c r="D3221" i="5"/>
  <c r="D3223" i="5"/>
  <c r="D3224" i="5"/>
  <c r="D3222" i="5"/>
  <c r="D3225" i="5"/>
  <c r="D3219" i="5"/>
  <c r="D3220" i="5"/>
  <c r="C3222" i="5"/>
  <c r="C3218" i="5"/>
  <c r="E3218" i="5"/>
  <c r="C3220" i="5"/>
  <c r="F3220" i="5"/>
  <c r="C3221" i="5"/>
  <c r="D3218" i="5"/>
  <c r="D3226" i="5"/>
  <c r="C3219" i="5"/>
  <c r="C3226" i="5"/>
  <c r="F3226" i="5"/>
  <c r="C3225" i="5"/>
  <c r="E3225" i="5"/>
  <c r="D3014" i="5"/>
  <c r="C3013" i="5"/>
  <c r="F3013" i="5"/>
  <c r="D3011" i="5"/>
  <c r="D3016" i="5"/>
  <c r="D3017" i="5"/>
  <c r="D3018" i="5"/>
  <c r="D3019" i="5"/>
  <c r="C3014" i="5"/>
  <c r="C3015" i="5"/>
  <c r="C3016" i="5"/>
  <c r="E3016" i="5"/>
  <c r="D3012" i="5"/>
  <c r="D3015" i="5"/>
  <c r="C3011" i="5"/>
  <c r="E3011" i="5"/>
  <c r="D3013" i="5"/>
  <c r="C3017" i="5"/>
  <c r="F3017" i="5"/>
  <c r="C3018" i="5"/>
  <c r="E3018" i="5"/>
  <c r="C3019" i="5"/>
  <c r="F3019" i="5"/>
  <c r="C3012" i="5"/>
  <c r="D2108" i="5"/>
  <c r="D2106" i="5"/>
  <c r="D2110" i="5"/>
  <c r="D2109" i="5"/>
  <c r="D2104" i="5"/>
  <c r="D2105" i="5"/>
  <c r="D2107" i="5"/>
  <c r="C2109" i="5"/>
  <c r="E2109" i="5"/>
  <c r="D2102" i="5"/>
  <c r="C2102" i="5"/>
  <c r="E2102" i="5"/>
  <c r="D2103" i="5"/>
  <c r="C2110" i="5"/>
  <c r="F2110" i="5"/>
  <c r="C2106" i="5"/>
  <c r="C2103" i="5"/>
  <c r="C2104" i="5"/>
  <c r="F2104" i="5"/>
  <c r="C2105" i="5"/>
  <c r="D694" i="5"/>
  <c r="D696" i="5"/>
  <c r="D697" i="5"/>
  <c r="C689" i="5"/>
  <c r="E689" i="5"/>
  <c r="D689" i="5"/>
  <c r="D691" i="5"/>
  <c r="D692" i="5"/>
  <c r="D693" i="5"/>
  <c r="C693" i="5"/>
  <c r="C697" i="5"/>
  <c r="F697" i="5"/>
  <c r="C696" i="5"/>
  <c r="E696" i="5"/>
  <c r="D690" i="5"/>
  <c r="D695" i="5"/>
  <c r="C690" i="5"/>
  <c r="C691" i="5"/>
  <c r="F691" i="5"/>
  <c r="C692" i="5"/>
  <c r="D2096" i="5"/>
  <c r="D2093" i="5"/>
  <c r="D2095" i="5"/>
  <c r="C2101" i="5"/>
  <c r="F2101" i="5"/>
  <c r="D2097" i="5"/>
  <c r="D2094" i="5"/>
  <c r="C2100" i="5"/>
  <c r="E2100" i="5"/>
  <c r="D2100" i="5"/>
  <c r="C2093" i="5"/>
  <c r="E2093" i="5"/>
  <c r="D2101" i="5"/>
  <c r="C2094" i="5"/>
  <c r="C2095" i="5"/>
  <c r="F2095" i="5"/>
  <c r="D2099" i="5"/>
  <c r="C2096" i="5"/>
  <c r="C2097" i="5"/>
  <c r="D2098" i="5"/>
  <c r="D2666" i="5"/>
  <c r="D2664" i="5"/>
  <c r="D2665" i="5"/>
  <c r="D2661" i="5"/>
  <c r="D2662" i="5"/>
  <c r="D2663" i="5"/>
  <c r="D2667" i="5"/>
  <c r="D2668" i="5"/>
  <c r="C2660" i="5"/>
  <c r="E2660" i="5"/>
  <c r="C2663" i="5"/>
  <c r="C2664" i="5"/>
  <c r="D2660" i="5"/>
  <c r="C2668" i="5"/>
  <c r="F2668" i="5"/>
  <c r="C2661" i="5"/>
  <c r="C2662" i="5"/>
  <c r="F2662" i="5"/>
  <c r="C2667" i="5"/>
  <c r="E2667" i="5"/>
  <c r="D3554" i="5"/>
  <c r="D3553" i="5"/>
  <c r="D3551" i="5"/>
  <c r="C3553" i="5"/>
  <c r="F3553" i="5"/>
  <c r="D3557" i="5"/>
  <c r="D3558" i="5"/>
  <c r="D3559" i="5"/>
  <c r="C3551" i="5"/>
  <c r="E3551" i="5"/>
  <c r="C3552" i="5"/>
  <c r="C3554" i="5"/>
  <c r="C3558" i="5"/>
  <c r="E3558" i="5"/>
  <c r="C3559" i="5"/>
  <c r="F3559" i="5"/>
  <c r="D3552" i="5"/>
  <c r="D3555" i="5"/>
  <c r="D3556" i="5"/>
  <c r="C3555" i="5"/>
  <c r="D1952" i="5"/>
  <c r="D1949" i="5"/>
  <c r="D1953" i="5"/>
  <c r="C1957" i="5"/>
  <c r="F1957" i="5"/>
  <c r="D1954" i="5"/>
  <c r="D1956" i="5"/>
  <c r="D1957" i="5"/>
  <c r="C1956" i="5"/>
  <c r="E1956" i="5"/>
  <c r="D1950" i="5"/>
  <c r="C1951" i="5"/>
  <c r="F1951" i="5"/>
  <c r="C1952" i="5"/>
  <c r="C1953" i="5"/>
  <c r="D1951" i="5"/>
  <c r="C1949" i="5"/>
  <c r="E1949" i="5"/>
  <c r="D1955" i="5"/>
  <c r="C1950" i="5"/>
  <c r="D3313" i="5"/>
  <c r="D3315" i="5"/>
  <c r="D3309" i="5"/>
  <c r="D3316" i="5"/>
  <c r="D3308" i="5"/>
  <c r="D3310" i="5"/>
  <c r="D3311" i="5"/>
  <c r="C3308" i="5"/>
  <c r="E3308" i="5"/>
  <c r="C3316" i="5"/>
  <c r="F3316" i="5"/>
  <c r="D3312" i="5"/>
  <c r="C3311" i="5"/>
  <c r="D3314" i="5"/>
  <c r="C3312" i="5"/>
  <c r="C3315" i="5"/>
  <c r="E3315" i="5"/>
  <c r="C3309" i="5"/>
  <c r="C3310" i="5"/>
  <c r="F3310" i="5"/>
  <c r="D2354" i="5"/>
  <c r="D2356" i="5"/>
  <c r="D2355" i="5"/>
  <c r="D2357" i="5"/>
  <c r="D2361" i="5"/>
  <c r="C2358" i="5"/>
  <c r="D2362" i="5"/>
  <c r="C2362" i="5"/>
  <c r="F2362" i="5"/>
  <c r="D2358" i="5"/>
  <c r="D2359" i="5"/>
  <c r="D2360" i="5"/>
  <c r="C2354" i="5"/>
  <c r="E2354" i="5"/>
  <c r="C2355" i="5"/>
  <c r="C2357" i="5"/>
  <c r="C2356" i="5"/>
  <c r="F2356" i="5"/>
  <c r="C2361" i="5"/>
  <c r="E2361" i="5"/>
  <c r="D97" i="5"/>
  <c r="D98" i="5"/>
  <c r="D101" i="5"/>
  <c r="D102" i="5"/>
  <c r="D95" i="5"/>
  <c r="C96" i="5"/>
  <c r="D96" i="5"/>
  <c r="C97" i="5"/>
  <c r="F97" i="5"/>
  <c r="D99" i="5"/>
  <c r="D100" i="5"/>
  <c r="D103" i="5"/>
  <c r="C95" i="5"/>
  <c r="E95" i="5"/>
  <c r="C98" i="5"/>
  <c r="C99" i="5"/>
  <c r="C102" i="5"/>
  <c r="E102" i="5"/>
  <c r="C103" i="5"/>
  <c r="F103" i="5"/>
  <c r="D4308" i="5"/>
  <c r="D4309" i="5"/>
  <c r="D4315" i="5"/>
  <c r="D4313" i="5"/>
  <c r="D4314" i="5"/>
  <c r="C4314" i="5"/>
  <c r="E4314" i="5"/>
  <c r="C4315" i="5"/>
  <c r="F4315" i="5"/>
  <c r="D4307" i="5"/>
  <c r="D4310" i="5"/>
  <c r="C4307" i="5"/>
  <c r="E4307" i="5"/>
  <c r="C4309" i="5"/>
  <c r="F4309" i="5"/>
  <c r="C4310" i="5"/>
  <c r="D4311" i="5"/>
  <c r="D4312" i="5"/>
  <c r="C4311" i="5"/>
  <c r="C4308" i="5"/>
  <c r="D334" i="5"/>
  <c r="D332" i="5"/>
  <c r="D333" i="5"/>
  <c r="D337" i="5"/>
  <c r="C329" i="5"/>
  <c r="E329" i="5"/>
  <c r="D329" i="5"/>
  <c r="C331" i="5"/>
  <c r="F331" i="5"/>
  <c r="D331" i="5"/>
  <c r="C333" i="5"/>
  <c r="D335" i="5"/>
  <c r="C336" i="5"/>
  <c r="E336" i="5"/>
  <c r="C337" i="5"/>
  <c r="F337" i="5"/>
  <c r="D330" i="5"/>
  <c r="D336" i="5"/>
  <c r="C330" i="5"/>
  <c r="C332" i="5"/>
  <c r="D1738" i="5"/>
  <c r="D1736" i="5"/>
  <c r="C1741" i="5"/>
  <c r="F1741" i="5"/>
  <c r="D1737" i="5"/>
  <c r="D1733" i="5"/>
  <c r="D1734" i="5"/>
  <c r="C1736" i="5"/>
  <c r="D1735" i="5"/>
  <c r="C1737" i="5"/>
  <c r="D1739" i="5"/>
  <c r="C1735" i="5"/>
  <c r="F1735" i="5"/>
  <c r="D1740" i="5"/>
  <c r="D1741" i="5"/>
  <c r="C1740" i="5"/>
  <c r="E1740" i="5"/>
  <c r="C1733" i="5"/>
  <c r="E1733" i="5"/>
  <c r="C1734" i="5"/>
  <c r="H2910" i="5"/>
  <c r="D2182" i="5"/>
  <c r="D2178" i="5"/>
  <c r="D2179" i="5"/>
  <c r="D2175" i="5"/>
  <c r="D2176" i="5"/>
  <c r="D2177" i="5"/>
  <c r="C2178" i="5"/>
  <c r="D2174" i="5"/>
  <c r="D2180" i="5"/>
  <c r="C2177" i="5"/>
  <c r="C2181" i="5"/>
  <c r="E2181" i="5"/>
  <c r="C2182" i="5"/>
  <c r="F2182" i="5"/>
  <c r="D2181" i="5"/>
  <c r="C2175" i="5"/>
  <c r="C2174" i="5"/>
  <c r="E2174" i="5"/>
  <c r="C2176" i="5"/>
  <c r="F2176" i="5"/>
  <c r="G1490" i="5"/>
  <c r="H3770" i="5"/>
  <c r="G3770" i="5"/>
  <c r="G2806" i="5"/>
  <c r="D2670" i="5"/>
  <c r="D2674" i="5"/>
  <c r="C2677" i="5"/>
  <c r="F2677" i="5"/>
  <c r="D2675" i="5"/>
  <c r="C2672" i="5"/>
  <c r="C2673" i="5"/>
  <c r="D2669" i="5"/>
  <c r="D2671" i="5"/>
  <c r="D2672" i="5"/>
  <c r="D2673" i="5"/>
  <c r="D2676" i="5"/>
  <c r="C2676" i="5"/>
  <c r="E2676" i="5"/>
  <c r="C2669" i="5"/>
  <c r="E2669" i="5"/>
  <c r="C2670" i="5"/>
  <c r="C2671" i="5"/>
  <c r="F2671" i="5"/>
  <c r="D2677" i="5"/>
  <c r="D2678" i="5"/>
  <c r="D2683" i="5"/>
  <c r="D2679" i="5"/>
  <c r="D2680" i="5"/>
  <c r="D2682" i="5"/>
  <c r="D2684" i="5"/>
  <c r="D2685" i="5"/>
  <c r="C2685" i="5"/>
  <c r="E2685" i="5"/>
  <c r="C2686" i="5"/>
  <c r="F2686" i="5"/>
  <c r="C2679" i="5"/>
  <c r="C2680" i="5"/>
  <c r="F2680" i="5"/>
  <c r="C2681" i="5"/>
  <c r="C2678" i="5"/>
  <c r="E2678" i="5"/>
  <c r="D2681" i="5"/>
  <c r="C2682" i="5"/>
  <c r="D2686" i="5"/>
  <c r="D424" i="5"/>
  <c r="D425" i="5"/>
  <c r="D419" i="5"/>
  <c r="D420" i="5"/>
  <c r="C419" i="5"/>
  <c r="E419" i="5"/>
  <c r="D423" i="5"/>
  <c r="D426" i="5"/>
  <c r="C420" i="5"/>
  <c r="D427" i="5"/>
  <c r="C421" i="5"/>
  <c r="F421" i="5"/>
  <c r="C422" i="5"/>
  <c r="C423" i="5"/>
  <c r="D421" i="5"/>
  <c r="C426" i="5"/>
  <c r="E426" i="5"/>
  <c r="D422" i="5"/>
  <c r="C427" i="5"/>
  <c r="F427" i="5"/>
  <c r="D2821" i="5"/>
  <c r="D2819" i="5"/>
  <c r="C2821" i="5"/>
  <c r="F2821" i="5"/>
  <c r="D2820" i="5"/>
  <c r="D2818" i="5"/>
  <c r="C2813" i="5"/>
  <c r="E2813" i="5"/>
  <c r="C2814" i="5"/>
  <c r="D2813" i="5"/>
  <c r="D2814" i="5"/>
  <c r="D2815" i="5"/>
  <c r="D2816" i="5"/>
  <c r="D2817" i="5"/>
  <c r="C2815" i="5"/>
  <c r="F2815" i="5"/>
  <c r="C2820" i="5"/>
  <c r="E2820" i="5"/>
  <c r="C2816" i="5"/>
  <c r="C2817" i="5"/>
  <c r="D2474" i="5"/>
  <c r="D2473" i="5"/>
  <c r="D2479" i="5"/>
  <c r="C2473" i="5"/>
  <c r="F2473" i="5"/>
  <c r="D2476" i="5"/>
  <c r="D2477" i="5"/>
  <c r="D2478" i="5"/>
  <c r="D2471" i="5"/>
  <c r="D2472" i="5"/>
  <c r="D2475" i="5"/>
  <c r="C2474" i="5"/>
  <c r="C2475" i="5"/>
  <c r="C2478" i="5"/>
  <c r="E2478" i="5"/>
  <c r="C2471" i="5"/>
  <c r="E2471" i="5"/>
  <c r="C2479" i="5"/>
  <c r="F2479" i="5"/>
  <c r="C2472" i="5"/>
  <c r="C1609" i="5"/>
  <c r="F1609" i="5"/>
  <c r="D1607" i="5"/>
  <c r="D1608" i="5"/>
  <c r="D1609" i="5"/>
  <c r="D1610" i="5"/>
  <c r="D1611" i="5"/>
  <c r="D1612" i="5"/>
  <c r="D1614" i="5"/>
  <c r="D1615" i="5"/>
  <c r="C1608" i="5"/>
  <c r="C1607" i="5"/>
  <c r="E1607" i="5"/>
  <c r="C1610" i="5"/>
  <c r="C1615" i="5"/>
  <c r="F1615" i="5"/>
  <c r="C1614" i="5"/>
  <c r="E1614" i="5"/>
  <c r="D1613" i="5"/>
  <c r="C1611" i="5"/>
  <c r="D2882" i="5"/>
  <c r="D2876" i="5"/>
  <c r="D2879" i="5"/>
  <c r="D2880" i="5"/>
  <c r="D2883" i="5"/>
  <c r="D2884" i="5"/>
  <c r="D2877" i="5"/>
  <c r="C2878" i="5"/>
  <c r="F2878" i="5"/>
  <c r="D2878" i="5"/>
  <c r="C2879" i="5"/>
  <c r="D2881" i="5"/>
  <c r="C2883" i="5"/>
  <c r="E2883" i="5"/>
  <c r="C2884" i="5"/>
  <c r="F2884" i="5"/>
  <c r="C2876" i="5"/>
  <c r="E2876" i="5"/>
  <c r="C2877" i="5"/>
  <c r="C2880" i="5"/>
  <c r="D4301" i="5"/>
  <c r="D4303" i="5"/>
  <c r="D4298" i="5"/>
  <c r="D4302" i="5"/>
  <c r="D4304" i="5"/>
  <c r="D4299" i="5"/>
  <c r="C4306" i="5"/>
  <c r="F4306" i="5"/>
  <c r="D4300" i="5"/>
  <c r="C4299" i="5"/>
  <c r="C4300" i="5"/>
  <c r="F4300" i="5"/>
  <c r="D4305" i="5"/>
  <c r="D4306" i="5"/>
  <c r="C4298" i="5"/>
  <c r="E4298" i="5"/>
  <c r="C4301" i="5"/>
  <c r="C4302" i="5"/>
  <c r="C4305" i="5"/>
  <c r="E4305" i="5"/>
  <c r="D3984" i="5"/>
  <c r="D3985" i="5"/>
  <c r="D3991" i="5"/>
  <c r="D3986" i="5"/>
  <c r="D3990" i="5"/>
  <c r="D3983" i="5"/>
  <c r="D3987" i="5"/>
  <c r="C3985" i="5"/>
  <c r="F3985" i="5"/>
  <c r="C3986" i="5"/>
  <c r="C3983" i="5"/>
  <c r="E3983" i="5"/>
  <c r="C3984" i="5"/>
  <c r="D3988" i="5"/>
  <c r="D3989" i="5"/>
  <c r="C3991" i="5"/>
  <c r="F3991" i="5"/>
  <c r="C3990" i="5"/>
  <c r="E3990" i="5"/>
  <c r="C3987" i="5"/>
  <c r="D1522" i="5"/>
  <c r="C1525" i="5"/>
  <c r="F1525" i="5"/>
  <c r="D1523" i="5"/>
  <c r="D1524" i="5"/>
  <c r="D1525" i="5"/>
  <c r="D1519" i="5"/>
  <c r="D1521" i="5"/>
  <c r="C1517" i="5"/>
  <c r="E1517" i="5"/>
  <c r="C1518" i="5"/>
  <c r="D1520" i="5"/>
  <c r="C1519" i="5"/>
  <c r="F1519" i="5"/>
  <c r="C1520" i="5"/>
  <c r="C1521" i="5"/>
  <c r="C1524" i="5"/>
  <c r="E1524" i="5"/>
  <c r="D1517" i="5"/>
  <c r="D1518" i="5"/>
  <c r="D2378" i="5"/>
  <c r="D2379" i="5"/>
  <c r="D2380" i="5"/>
  <c r="D2373" i="5"/>
  <c r="D2374" i="5"/>
  <c r="D2375" i="5"/>
  <c r="C2372" i="5"/>
  <c r="E2372" i="5"/>
  <c r="C2380" i="5"/>
  <c r="F2380" i="5"/>
  <c r="D2377" i="5"/>
  <c r="C2379" i="5"/>
  <c r="E2379" i="5"/>
  <c r="C2373" i="5"/>
  <c r="C2374" i="5"/>
  <c r="F2374" i="5"/>
  <c r="C2375" i="5"/>
  <c r="C2376" i="5"/>
  <c r="D2372" i="5"/>
  <c r="D2376" i="5"/>
  <c r="D2036" i="5"/>
  <c r="D2038" i="5"/>
  <c r="D2035" i="5"/>
  <c r="C2034" i="5"/>
  <c r="D2037" i="5"/>
  <c r="C2035" i="5"/>
  <c r="E2035" i="5"/>
  <c r="D2031" i="5"/>
  <c r="C2030" i="5"/>
  <c r="E2030" i="5"/>
  <c r="D2032" i="5"/>
  <c r="C2031" i="5"/>
  <c r="D2033" i="5"/>
  <c r="C2032" i="5"/>
  <c r="F2032" i="5"/>
  <c r="C2037" i="5"/>
  <c r="E2037" i="5"/>
  <c r="C2038" i="5"/>
  <c r="F2038" i="5"/>
  <c r="D2030" i="5"/>
  <c r="D2034" i="5"/>
  <c r="C2033" i="5"/>
  <c r="C2036" i="5"/>
  <c r="F2036" i="5"/>
  <c r="D2654" i="5"/>
  <c r="D2657" i="5"/>
  <c r="D2651" i="5"/>
  <c r="D2658" i="5"/>
  <c r="C2653" i="5"/>
  <c r="F2653" i="5"/>
  <c r="D2659" i="5"/>
  <c r="C2659" i="5"/>
  <c r="F2659" i="5"/>
  <c r="D2653" i="5"/>
  <c r="C2654" i="5"/>
  <c r="D2656" i="5"/>
  <c r="C2656" i="5"/>
  <c r="E2656" i="5"/>
  <c r="D2652" i="5"/>
  <c r="D2655" i="5"/>
  <c r="C2655" i="5"/>
  <c r="C2652" i="5"/>
  <c r="C2651" i="5"/>
  <c r="E2651" i="5"/>
  <c r="C2658" i="5"/>
  <c r="E2658" i="5"/>
  <c r="C2657" i="5"/>
  <c r="F2657" i="5"/>
  <c r="D2928" i="5"/>
  <c r="D2922" i="5"/>
  <c r="D2923" i="5"/>
  <c r="D2924" i="5"/>
  <c r="C2929" i="5"/>
  <c r="F2929" i="5"/>
  <c r="D2925" i="5"/>
  <c r="D2921" i="5"/>
  <c r="D2926" i="5"/>
  <c r="D2927" i="5"/>
  <c r="C2921" i="5"/>
  <c r="E2921" i="5"/>
  <c r="C2922" i="5"/>
  <c r="C2925" i="5"/>
  <c r="C2923" i="5"/>
  <c r="F2923" i="5"/>
  <c r="C2924" i="5"/>
  <c r="C2928" i="5"/>
  <c r="E2928" i="5"/>
  <c r="D2929" i="5"/>
  <c r="D2738" i="5"/>
  <c r="D2732" i="5"/>
  <c r="D2736" i="5"/>
  <c r="D2737" i="5"/>
  <c r="D2734" i="5"/>
  <c r="D2735" i="5"/>
  <c r="D2740" i="5"/>
  <c r="C2734" i="5"/>
  <c r="F2734" i="5"/>
  <c r="C2735" i="5"/>
  <c r="C2732" i="5"/>
  <c r="E2732" i="5"/>
  <c r="D2733" i="5"/>
  <c r="C2740" i="5"/>
  <c r="F2740" i="5"/>
  <c r="D2739" i="5"/>
  <c r="C2739" i="5"/>
  <c r="E2739" i="5"/>
  <c r="C2736" i="5"/>
  <c r="C2733" i="5"/>
  <c r="D2390" i="5"/>
  <c r="D2395" i="5"/>
  <c r="D2393" i="5"/>
  <c r="D2394" i="5"/>
  <c r="D2392" i="5"/>
  <c r="D2396" i="5"/>
  <c r="D2397" i="5"/>
  <c r="C2397" i="5"/>
  <c r="E2397" i="5"/>
  <c r="C2398" i="5"/>
  <c r="F2398" i="5"/>
  <c r="D2391" i="5"/>
  <c r="D2398" i="5"/>
  <c r="C2391" i="5"/>
  <c r="C2392" i="5"/>
  <c r="F2392" i="5"/>
  <c r="C2393" i="5"/>
  <c r="C2394" i="5"/>
  <c r="C2390" i="5"/>
  <c r="E2390" i="5"/>
  <c r="D4344" i="5"/>
  <c r="D4345" i="5"/>
  <c r="D4343" i="5"/>
  <c r="D4347" i="5"/>
  <c r="D4349" i="5"/>
  <c r="D4350" i="5"/>
  <c r="D4351" i="5"/>
  <c r="D4346" i="5"/>
  <c r="C4351" i="5"/>
  <c r="F4351" i="5"/>
  <c r="D4348" i="5"/>
  <c r="C4345" i="5"/>
  <c r="F4345" i="5"/>
  <c r="C4346" i="5"/>
  <c r="C4343" i="5"/>
  <c r="E4343" i="5"/>
  <c r="C4350" i="5"/>
  <c r="E4350" i="5"/>
  <c r="C4344" i="5"/>
  <c r="C4347" i="5"/>
  <c r="D3494" i="5"/>
  <c r="D3488" i="5"/>
  <c r="D3493" i="5"/>
  <c r="D3495" i="5"/>
  <c r="C3493" i="5"/>
  <c r="E3493" i="5"/>
  <c r="D3492" i="5"/>
  <c r="D3496" i="5"/>
  <c r="C3490" i="5"/>
  <c r="F3490" i="5"/>
  <c r="C3491" i="5"/>
  <c r="C3488" i="5"/>
  <c r="E3488" i="5"/>
  <c r="C3489" i="5"/>
  <c r="D3489" i="5"/>
  <c r="C3492" i="5"/>
  <c r="C3495" i="5"/>
  <c r="E3495" i="5"/>
  <c r="C3496" i="5"/>
  <c r="F3496" i="5"/>
  <c r="D3490" i="5"/>
  <c r="D3491" i="5"/>
  <c r="C3494" i="5"/>
  <c r="F3494" i="5"/>
  <c r="D3912" i="5"/>
  <c r="D3913" i="5"/>
  <c r="D3919" i="5"/>
  <c r="D3916" i="5"/>
  <c r="D3915" i="5"/>
  <c r="D3917" i="5"/>
  <c r="D3918" i="5"/>
  <c r="C3913" i="5"/>
  <c r="F3913" i="5"/>
  <c r="C3914" i="5"/>
  <c r="C3911" i="5"/>
  <c r="E3911" i="5"/>
  <c r="C3912" i="5"/>
  <c r="C3915" i="5"/>
  <c r="D3911" i="5"/>
  <c r="D3914" i="5"/>
  <c r="C3918" i="5"/>
  <c r="E3918" i="5"/>
  <c r="C3919" i="5"/>
  <c r="F3919" i="5"/>
  <c r="D385" i="5"/>
  <c r="D386" i="5"/>
  <c r="D383" i="5"/>
  <c r="D384" i="5"/>
  <c r="C384" i="5"/>
  <c r="C385" i="5"/>
  <c r="F385" i="5"/>
  <c r="D387" i="5"/>
  <c r="C383" i="5"/>
  <c r="E383" i="5"/>
  <c r="D388" i="5"/>
  <c r="D391" i="5"/>
  <c r="C391" i="5"/>
  <c r="F391" i="5"/>
  <c r="D389" i="5"/>
  <c r="C386" i="5"/>
  <c r="C387" i="5"/>
  <c r="C390" i="5"/>
  <c r="E390" i="5"/>
  <c r="D390" i="5"/>
  <c r="D4368" i="5"/>
  <c r="D4369" i="5"/>
  <c r="D4361" i="5"/>
  <c r="D4365" i="5"/>
  <c r="D4366" i="5"/>
  <c r="D4363" i="5"/>
  <c r="D4364" i="5"/>
  <c r="C4364" i="5"/>
  <c r="C4365" i="5"/>
  <c r="D4362" i="5"/>
  <c r="D4367" i="5"/>
  <c r="C4361" i="5"/>
  <c r="E4361" i="5"/>
  <c r="C4362" i="5"/>
  <c r="C4363" i="5"/>
  <c r="F4363" i="5"/>
  <c r="C4368" i="5"/>
  <c r="E4368" i="5"/>
  <c r="C4369" i="5"/>
  <c r="F4369" i="5"/>
  <c r="D2546" i="5"/>
  <c r="D2550" i="5"/>
  <c r="D2551" i="5"/>
  <c r="C2545" i="5"/>
  <c r="F2545" i="5"/>
  <c r="D2545" i="5"/>
  <c r="D2547" i="5"/>
  <c r="D2548" i="5"/>
  <c r="D2544" i="5"/>
  <c r="C2550" i="5"/>
  <c r="E2550" i="5"/>
  <c r="D2549" i="5"/>
  <c r="C2543" i="5"/>
  <c r="E2543" i="5"/>
  <c r="C2544" i="5"/>
  <c r="C2546" i="5"/>
  <c r="C2547" i="5"/>
  <c r="C2551" i="5"/>
  <c r="F2551" i="5"/>
  <c r="D2543" i="5"/>
  <c r="D565" i="5"/>
  <c r="D566" i="5"/>
  <c r="D563" i="5"/>
  <c r="D567" i="5"/>
  <c r="C564" i="5"/>
  <c r="D568" i="5"/>
  <c r="C565" i="5"/>
  <c r="F565" i="5"/>
  <c r="D569" i="5"/>
  <c r="D564" i="5"/>
  <c r="D571" i="5"/>
  <c r="C571" i="5"/>
  <c r="F571" i="5"/>
  <c r="D570" i="5"/>
  <c r="C566" i="5"/>
  <c r="C563" i="5"/>
  <c r="E563" i="5"/>
  <c r="C567" i="5"/>
  <c r="C570" i="5"/>
  <c r="E570" i="5"/>
  <c r="D3192" i="5"/>
  <c r="D3193" i="5"/>
  <c r="D3191" i="5"/>
  <c r="D3195" i="5"/>
  <c r="D3198" i="5"/>
  <c r="D3199" i="5"/>
  <c r="C3193" i="5"/>
  <c r="F3193" i="5"/>
  <c r="D3194" i="5"/>
  <c r="D3196" i="5"/>
  <c r="D3197" i="5"/>
  <c r="C3191" i="5"/>
  <c r="E3191" i="5"/>
  <c r="C3192" i="5"/>
  <c r="C3194" i="5"/>
  <c r="C3199" i="5"/>
  <c r="F3199" i="5"/>
  <c r="C3198" i="5"/>
  <c r="E3198" i="5"/>
  <c r="C3195" i="5"/>
  <c r="D1570" i="5"/>
  <c r="D1566" i="5"/>
  <c r="D1567" i="5"/>
  <c r="D1565" i="5"/>
  <c r="C1566" i="5"/>
  <c r="D1568" i="5"/>
  <c r="D1569" i="5"/>
  <c r="C1570" i="5"/>
  <c r="F1570" i="5"/>
  <c r="D1562" i="5"/>
  <c r="C1565" i="5"/>
  <c r="D1564" i="5"/>
  <c r="C1569" i="5"/>
  <c r="E1569" i="5"/>
  <c r="C1562" i="5"/>
  <c r="E1562" i="5"/>
  <c r="C1564" i="5"/>
  <c r="F1564" i="5"/>
  <c r="D1563" i="5"/>
  <c r="C1563" i="5"/>
  <c r="D3373" i="5"/>
  <c r="D3375" i="5"/>
  <c r="D3376" i="5"/>
  <c r="D3371" i="5"/>
  <c r="C3373" i="5"/>
  <c r="F3373" i="5"/>
  <c r="C3372" i="5"/>
  <c r="C3374" i="5"/>
  <c r="C3379" i="5"/>
  <c r="F3379" i="5"/>
  <c r="D3379" i="5"/>
  <c r="C3371" i="5"/>
  <c r="E3371" i="5"/>
  <c r="C3375" i="5"/>
  <c r="D3377" i="5"/>
  <c r="C3378" i="5"/>
  <c r="E3378" i="5"/>
  <c r="D3372" i="5"/>
  <c r="D3374" i="5"/>
  <c r="D3378" i="5"/>
  <c r="D898" i="5"/>
  <c r="C904" i="5"/>
  <c r="F904" i="5"/>
  <c r="D900" i="5"/>
  <c r="C896" i="5"/>
  <c r="E896" i="5"/>
  <c r="D901" i="5"/>
  <c r="C897" i="5"/>
  <c r="D902" i="5"/>
  <c r="D899" i="5"/>
  <c r="D904" i="5"/>
  <c r="C903" i="5"/>
  <c r="E903" i="5"/>
  <c r="D896" i="5"/>
  <c r="D897" i="5"/>
  <c r="C898" i="5"/>
  <c r="F898" i="5"/>
  <c r="C899" i="5"/>
  <c r="D903" i="5"/>
  <c r="C900" i="5"/>
  <c r="D3470" i="5"/>
  <c r="D3475" i="5"/>
  <c r="D3473" i="5"/>
  <c r="D3474" i="5"/>
  <c r="D3476" i="5"/>
  <c r="D3477" i="5"/>
  <c r="C3477" i="5"/>
  <c r="E3477" i="5"/>
  <c r="D3478" i="5"/>
  <c r="C3478" i="5"/>
  <c r="F3478" i="5"/>
  <c r="C3473" i="5"/>
  <c r="C3474" i="5"/>
  <c r="D3471" i="5"/>
  <c r="C3471" i="5"/>
  <c r="D3472" i="5"/>
  <c r="C3472" i="5"/>
  <c r="F3472" i="5"/>
  <c r="C3470" i="5"/>
  <c r="E3470" i="5"/>
  <c r="D466" i="5"/>
  <c r="D465" i="5"/>
  <c r="D467" i="5"/>
  <c r="C472" i="5"/>
  <c r="F472" i="5"/>
  <c r="D468" i="5"/>
  <c r="D469" i="5"/>
  <c r="C464" i="5"/>
  <c r="E464" i="5"/>
  <c r="C465" i="5"/>
  <c r="C471" i="5"/>
  <c r="E471" i="5"/>
  <c r="C467" i="5"/>
  <c r="C468" i="5"/>
  <c r="D470" i="5"/>
  <c r="D471" i="5"/>
  <c r="D472" i="5"/>
  <c r="C466" i="5"/>
  <c r="F466" i="5"/>
  <c r="D464" i="5"/>
  <c r="D1102" i="5"/>
  <c r="D1098" i="5"/>
  <c r="D1099" i="5"/>
  <c r="D1097" i="5"/>
  <c r="D1101" i="5"/>
  <c r="C1098" i="5"/>
  <c r="C1094" i="5"/>
  <c r="E1094" i="5"/>
  <c r="C1095" i="5"/>
  <c r="C1101" i="5"/>
  <c r="E1101" i="5"/>
  <c r="D1096" i="5"/>
  <c r="D1100" i="5"/>
  <c r="C1096" i="5"/>
  <c r="F1096" i="5"/>
  <c r="C1097" i="5"/>
  <c r="C1102" i="5"/>
  <c r="F1102" i="5"/>
  <c r="D1094" i="5"/>
  <c r="D1095" i="5"/>
  <c r="A4210" i="5"/>
  <c r="B3460" i="5"/>
  <c r="D586" i="5"/>
  <c r="C581" i="5"/>
  <c r="E581" i="5"/>
  <c r="D585" i="5"/>
  <c r="D587" i="5"/>
  <c r="D588" i="5"/>
  <c r="C589" i="5"/>
  <c r="F589" i="5"/>
  <c r="D584" i="5"/>
  <c r="D589" i="5"/>
  <c r="C586" i="5"/>
  <c r="E586" i="5"/>
  <c r="C587" i="5"/>
  <c r="F587" i="5"/>
  <c r="C582" i="5"/>
  <c r="D581" i="5"/>
  <c r="C583" i="5"/>
  <c r="F583" i="5"/>
  <c r="D582" i="5"/>
  <c r="C584" i="5"/>
  <c r="C585" i="5"/>
  <c r="D583" i="5"/>
  <c r="C588" i="5"/>
  <c r="E588" i="5"/>
  <c r="C541" i="5"/>
  <c r="E541" i="5"/>
  <c r="D430" i="5"/>
  <c r="D431" i="5"/>
  <c r="C436" i="5"/>
  <c r="F436" i="5"/>
  <c r="D432" i="5"/>
  <c r="D435" i="5"/>
  <c r="C428" i="5"/>
  <c r="E428" i="5"/>
  <c r="D436" i="5"/>
  <c r="C429" i="5"/>
  <c r="D428" i="5"/>
  <c r="D433" i="5"/>
  <c r="C435" i="5"/>
  <c r="E435" i="5"/>
  <c r="D434" i="5"/>
  <c r="D429" i="5"/>
  <c r="C431" i="5"/>
  <c r="C432" i="5"/>
  <c r="C430" i="5"/>
  <c r="F430" i="5"/>
  <c r="D22" i="5"/>
  <c r="D18" i="5"/>
  <c r="D19" i="5"/>
  <c r="C16" i="5"/>
  <c r="F16" i="5"/>
  <c r="C17" i="5"/>
  <c r="D20" i="5"/>
  <c r="D21" i="5"/>
  <c r="C21" i="5"/>
  <c r="E21" i="5"/>
  <c r="D17" i="5"/>
  <c r="D14" i="5"/>
  <c r="C15" i="5"/>
  <c r="D15" i="5"/>
  <c r="C18" i="5"/>
  <c r="D16" i="5"/>
  <c r="C22" i="5"/>
  <c r="F22" i="5"/>
  <c r="C14" i="5"/>
  <c r="E14" i="5"/>
  <c r="D1426" i="5"/>
  <c r="D1422" i="5"/>
  <c r="D1423" i="5"/>
  <c r="D1418" i="5"/>
  <c r="D1419" i="5"/>
  <c r="D1420" i="5"/>
  <c r="C1422" i="5"/>
  <c r="D1421" i="5"/>
  <c r="D1424" i="5"/>
  <c r="D1425" i="5"/>
  <c r="C1419" i="5"/>
  <c r="C1421" i="5"/>
  <c r="C1425" i="5"/>
  <c r="E1425" i="5"/>
  <c r="C1426" i="5"/>
  <c r="F1426" i="5"/>
  <c r="C1418" i="5"/>
  <c r="E1418" i="5"/>
  <c r="C1420" i="5"/>
  <c r="F1420" i="5"/>
  <c r="D4103" i="5"/>
  <c r="D4104" i="5"/>
  <c r="D4105" i="5"/>
  <c r="D4106" i="5"/>
  <c r="D4108" i="5"/>
  <c r="D4107" i="5"/>
  <c r="C4102" i="5"/>
  <c r="F4102" i="5"/>
  <c r="C4103" i="5"/>
  <c r="D4100" i="5"/>
  <c r="C4104" i="5"/>
  <c r="D4101" i="5"/>
  <c r="D4102" i="5"/>
  <c r="C4107" i="5"/>
  <c r="E4107" i="5"/>
  <c r="C4108" i="5"/>
  <c r="F4108" i="5"/>
  <c r="C4100" i="5"/>
  <c r="E4100" i="5"/>
  <c r="C4101" i="5"/>
  <c r="D4055" i="5"/>
  <c r="D4056" i="5"/>
  <c r="D4057" i="5"/>
  <c r="D4058" i="5"/>
  <c r="D4060" i="5"/>
  <c r="D4059" i="5"/>
  <c r="D4061" i="5"/>
  <c r="D4062" i="5"/>
  <c r="D4063" i="5"/>
  <c r="C4063" i="5"/>
  <c r="F4063" i="5"/>
  <c r="C4062" i="5"/>
  <c r="E4062" i="5"/>
  <c r="C4055" i="5"/>
  <c r="E4055" i="5"/>
  <c r="C4056" i="5"/>
  <c r="C4057" i="5"/>
  <c r="F4057" i="5"/>
  <c r="C4059" i="5"/>
  <c r="C4058" i="5"/>
  <c r="D4193" i="5"/>
  <c r="D4194" i="5"/>
  <c r="D4197" i="5"/>
  <c r="D4198" i="5"/>
  <c r="C4198" i="5"/>
  <c r="F4198" i="5"/>
  <c r="D4195" i="5"/>
  <c r="C4194" i="5"/>
  <c r="D4196" i="5"/>
  <c r="C4195" i="5"/>
  <c r="E4195" i="5"/>
  <c r="D4190" i="5"/>
  <c r="D4191" i="5"/>
  <c r="D4192" i="5"/>
  <c r="C4190" i="5"/>
  <c r="E4190" i="5"/>
  <c r="C4193" i="5"/>
  <c r="C4196" i="5"/>
  <c r="F4196" i="5"/>
  <c r="C4197" i="5"/>
  <c r="E4197" i="5"/>
  <c r="C4191" i="5"/>
  <c r="C4192" i="5"/>
  <c r="F4192" i="5"/>
  <c r="D3228" i="5"/>
  <c r="D3229" i="5"/>
  <c r="D3235" i="5"/>
  <c r="D3234" i="5"/>
  <c r="C3229" i="5"/>
  <c r="F3229" i="5"/>
  <c r="D3227" i="5"/>
  <c r="D3230" i="5"/>
  <c r="D3231" i="5"/>
  <c r="C3228" i="5"/>
  <c r="C3230" i="5"/>
  <c r="C3227" i="5"/>
  <c r="E3227" i="5"/>
  <c r="C3231" i="5"/>
  <c r="D3232" i="5"/>
  <c r="D3233" i="5"/>
  <c r="C3235" i="5"/>
  <c r="F3235" i="5"/>
  <c r="C3234" i="5"/>
  <c r="E3234" i="5"/>
  <c r="D2784" i="5"/>
  <c r="D2779" i="5"/>
  <c r="D2780" i="5"/>
  <c r="C2785" i="5"/>
  <c r="F2785" i="5"/>
  <c r="D2778" i="5"/>
  <c r="D2781" i="5"/>
  <c r="D2782" i="5"/>
  <c r="C2778" i="5"/>
  <c r="C2779" i="5"/>
  <c r="F2779" i="5"/>
  <c r="C2780" i="5"/>
  <c r="D2785" i="5"/>
  <c r="C2777" i="5"/>
  <c r="E2777" i="5"/>
  <c r="C2781" i="5"/>
  <c r="D2777" i="5"/>
  <c r="D2783" i="5"/>
  <c r="C2784" i="5"/>
  <c r="E2784" i="5"/>
  <c r="D802" i="5"/>
  <c r="D800" i="5"/>
  <c r="D801" i="5"/>
  <c r="D797" i="5"/>
  <c r="C797" i="5"/>
  <c r="E797" i="5"/>
  <c r="D798" i="5"/>
  <c r="D799" i="5"/>
  <c r="C799" i="5"/>
  <c r="F799" i="5"/>
  <c r="C801" i="5"/>
  <c r="C800" i="5"/>
  <c r="C804" i="5"/>
  <c r="E804" i="5"/>
  <c r="D804" i="5"/>
  <c r="D805" i="5"/>
  <c r="C798" i="5"/>
  <c r="D803" i="5"/>
  <c r="C805" i="5"/>
  <c r="F805" i="5"/>
  <c r="D3325" i="5"/>
  <c r="D3318" i="5"/>
  <c r="D3324" i="5"/>
  <c r="D3317" i="5"/>
  <c r="D3323" i="5"/>
  <c r="C3325" i="5"/>
  <c r="F3325" i="5"/>
  <c r="D3320" i="5"/>
  <c r="C3320" i="5"/>
  <c r="D3321" i="5"/>
  <c r="C3321" i="5"/>
  <c r="D3322" i="5"/>
  <c r="C3317" i="5"/>
  <c r="E3317" i="5"/>
  <c r="C3318" i="5"/>
  <c r="D3319" i="5"/>
  <c r="C3319" i="5"/>
  <c r="F3319" i="5"/>
  <c r="C3324" i="5"/>
  <c r="E3324" i="5"/>
  <c r="D1826" i="5"/>
  <c r="D1823" i="5"/>
  <c r="D1827" i="5"/>
  <c r="C1825" i="5"/>
  <c r="F1825" i="5"/>
  <c r="D1828" i="5"/>
  <c r="D1824" i="5"/>
  <c r="D1825" i="5"/>
  <c r="C1824" i="5"/>
  <c r="C1826" i="5"/>
  <c r="D1829" i="5"/>
  <c r="C1827" i="5"/>
  <c r="D1830" i="5"/>
  <c r="D1831" i="5"/>
  <c r="C1831" i="5"/>
  <c r="F1831" i="5"/>
  <c r="C1830" i="5"/>
  <c r="E1830" i="5"/>
  <c r="C1823" i="5"/>
  <c r="E1823" i="5"/>
  <c r="D748" i="5"/>
  <c r="D749" i="5"/>
  <c r="D750" i="5"/>
  <c r="D751" i="5"/>
  <c r="C745" i="5"/>
  <c r="F745" i="5"/>
  <c r="C747" i="5"/>
  <c r="D743" i="5"/>
  <c r="D744" i="5"/>
  <c r="D745" i="5"/>
  <c r="D746" i="5"/>
  <c r="D747" i="5"/>
  <c r="C746" i="5"/>
  <c r="C744" i="5"/>
  <c r="C743" i="5"/>
  <c r="E743" i="5"/>
  <c r="C750" i="5"/>
  <c r="E750" i="5"/>
  <c r="C751" i="5"/>
  <c r="F751" i="5"/>
  <c r="D2964" i="5"/>
  <c r="D2965" i="5"/>
  <c r="D2958" i="5"/>
  <c r="C2965" i="5"/>
  <c r="F2965" i="5"/>
  <c r="D2959" i="5"/>
  <c r="D2963" i="5"/>
  <c r="D2960" i="5"/>
  <c r="C2957" i="5"/>
  <c r="E2957" i="5"/>
  <c r="D2961" i="5"/>
  <c r="C2958" i="5"/>
  <c r="D2962" i="5"/>
  <c r="C2964" i="5"/>
  <c r="E2964" i="5"/>
  <c r="D2957" i="5"/>
  <c r="C2959" i="5"/>
  <c r="F2959" i="5"/>
  <c r="C2960" i="5"/>
  <c r="C2961" i="5"/>
  <c r="D274" i="5"/>
  <c r="D267" i="5"/>
  <c r="D268" i="5"/>
  <c r="D273" i="5"/>
  <c r="C268" i="5"/>
  <c r="F268" i="5"/>
  <c r="C269" i="5"/>
  <c r="C270" i="5"/>
  <c r="D266" i="5"/>
  <c r="D269" i="5"/>
  <c r="C273" i="5"/>
  <c r="E273" i="5"/>
  <c r="C274" i="5"/>
  <c r="F274" i="5"/>
  <c r="D270" i="5"/>
  <c r="D271" i="5"/>
  <c r="C266" i="5"/>
  <c r="E266" i="5"/>
  <c r="C267" i="5"/>
  <c r="D272" i="5"/>
  <c r="D1886" i="5"/>
  <c r="D1888" i="5"/>
  <c r="D1893" i="5"/>
  <c r="D1891" i="5"/>
  <c r="D1892" i="5"/>
  <c r="C1890" i="5"/>
  <c r="D1889" i="5"/>
  <c r="C1888" i="5"/>
  <c r="F1888" i="5"/>
  <c r="D1890" i="5"/>
  <c r="C1889" i="5"/>
  <c r="D1894" i="5"/>
  <c r="C1894" i="5"/>
  <c r="F1894" i="5"/>
  <c r="D1887" i="5"/>
  <c r="C1886" i="5"/>
  <c r="E1886" i="5"/>
  <c r="C1887" i="5"/>
  <c r="C1893" i="5"/>
  <c r="E1893" i="5"/>
  <c r="D2132" i="5"/>
  <c r="D2133" i="5"/>
  <c r="C2137" i="5"/>
  <c r="F2137" i="5"/>
  <c r="D2129" i="5"/>
  <c r="D2130" i="5"/>
  <c r="D2131" i="5"/>
  <c r="D2134" i="5"/>
  <c r="D2135" i="5"/>
  <c r="D2136" i="5"/>
  <c r="D2137" i="5"/>
  <c r="C2129" i="5"/>
  <c r="E2129" i="5"/>
  <c r="C2131" i="5"/>
  <c r="F2131" i="5"/>
  <c r="C2130" i="5"/>
  <c r="C2132" i="5"/>
  <c r="C2133" i="5"/>
  <c r="C2136" i="5"/>
  <c r="E2136" i="5"/>
  <c r="D2462" i="5"/>
  <c r="D2465" i="5"/>
  <c r="D2466" i="5"/>
  <c r="D2469" i="5"/>
  <c r="D2470" i="5"/>
  <c r="C2463" i="5"/>
  <c r="C2464" i="5"/>
  <c r="F2464" i="5"/>
  <c r="D2463" i="5"/>
  <c r="D2464" i="5"/>
  <c r="D2467" i="5"/>
  <c r="C2466" i="5"/>
  <c r="C2469" i="5"/>
  <c r="E2469" i="5"/>
  <c r="C2470" i="5"/>
  <c r="F2470" i="5"/>
  <c r="D2468" i="5"/>
  <c r="C2462" i="5"/>
  <c r="E2462" i="5"/>
  <c r="C2465" i="5"/>
  <c r="D1798" i="5"/>
  <c r="D1802" i="5"/>
  <c r="D1803" i="5"/>
  <c r="D1796" i="5"/>
  <c r="D1797" i="5"/>
  <c r="C1803" i="5"/>
  <c r="E1803" i="5"/>
  <c r="D1799" i="5"/>
  <c r="C1796" i="5"/>
  <c r="E1796" i="5"/>
  <c r="D1800" i="5"/>
  <c r="D1801" i="5"/>
  <c r="D1804" i="5"/>
  <c r="C1799" i="5"/>
  <c r="C1797" i="5"/>
  <c r="C1798" i="5"/>
  <c r="F1798" i="5"/>
  <c r="C1800" i="5"/>
  <c r="C1804" i="5"/>
  <c r="F1804" i="5"/>
  <c r="D280" i="5"/>
  <c r="D281" i="5"/>
  <c r="D275" i="5"/>
  <c r="D278" i="5"/>
  <c r="C277" i="5"/>
  <c r="F277" i="5"/>
  <c r="D282" i="5"/>
  <c r="C279" i="5"/>
  <c r="D283" i="5"/>
  <c r="C275" i="5"/>
  <c r="E275" i="5"/>
  <c r="C276" i="5"/>
  <c r="D279" i="5"/>
  <c r="C282" i="5"/>
  <c r="E282" i="5"/>
  <c r="C278" i="5"/>
  <c r="C283" i="5"/>
  <c r="F283" i="5"/>
  <c r="D276" i="5"/>
  <c r="D277" i="5"/>
  <c r="D2009" i="5"/>
  <c r="C2005" i="5"/>
  <c r="F2005" i="5"/>
  <c r="D2010" i="5"/>
  <c r="D2006" i="5"/>
  <c r="D2007" i="5"/>
  <c r="D2008" i="5"/>
  <c r="D2003" i="5"/>
  <c r="D2011" i="5"/>
  <c r="C2004" i="5"/>
  <c r="C2007" i="5"/>
  <c r="D2004" i="5"/>
  <c r="D2005" i="5"/>
  <c r="C2003" i="5"/>
  <c r="E2003" i="5"/>
  <c r="C2006" i="5"/>
  <c r="C2011" i="5"/>
  <c r="F2011" i="5"/>
  <c r="C2010" i="5"/>
  <c r="E2010" i="5"/>
  <c r="D1282" i="5"/>
  <c r="D1281" i="5"/>
  <c r="D1274" i="5"/>
  <c r="C1276" i="5"/>
  <c r="F1276" i="5"/>
  <c r="D1275" i="5"/>
  <c r="C1277" i="5"/>
  <c r="D1276" i="5"/>
  <c r="C1278" i="5"/>
  <c r="D1280" i="5"/>
  <c r="D1277" i="5"/>
  <c r="D1278" i="5"/>
  <c r="D1279" i="5"/>
  <c r="C1281" i="5"/>
  <c r="E1281" i="5"/>
  <c r="C1282" i="5"/>
  <c r="F1282" i="5"/>
  <c r="C1274" i="5"/>
  <c r="E1274" i="5"/>
  <c r="C1275" i="5"/>
  <c r="D226" i="5"/>
  <c r="D228" i="5"/>
  <c r="D229" i="5"/>
  <c r="D225" i="5"/>
  <c r="D227" i="5"/>
  <c r="C221" i="5"/>
  <c r="E221" i="5"/>
  <c r="D224" i="5"/>
  <c r="C225" i="5"/>
  <c r="C229" i="5"/>
  <c r="F229" i="5"/>
  <c r="D221" i="5"/>
  <c r="D222" i="5"/>
  <c r="D223" i="5"/>
  <c r="C228" i="5"/>
  <c r="E228" i="5"/>
  <c r="C222" i="5"/>
  <c r="C223" i="5"/>
  <c r="F223" i="5"/>
  <c r="C224" i="5"/>
  <c r="H2802" i="5"/>
  <c r="G1509" i="5"/>
  <c r="G841" i="5"/>
  <c r="D190" i="5"/>
  <c r="D188" i="5"/>
  <c r="D189" i="5"/>
  <c r="C185" i="5"/>
  <c r="E185" i="5"/>
  <c r="D191" i="5"/>
  <c r="D192" i="5"/>
  <c r="D193" i="5"/>
  <c r="C193" i="5"/>
  <c r="F193" i="5"/>
  <c r="D187" i="5"/>
  <c r="C189" i="5"/>
  <c r="C192" i="5"/>
  <c r="E192" i="5"/>
  <c r="C187" i="5"/>
  <c r="F187" i="5"/>
  <c r="C186" i="5"/>
  <c r="D185" i="5"/>
  <c r="D186" i="5"/>
  <c r="C188" i="5"/>
  <c r="D3397" i="5"/>
  <c r="D3390" i="5"/>
  <c r="C3397" i="5"/>
  <c r="F3397" i="5"/>
  <c r="D3389" i="5"/>
  <c r="D3391" i="5"/>
  <c r="D3392" i="5"/>
  <c r="D3393" i="5"/>
  <c r="D3394" i="5"/>
  <c r="D3395" i="5"/>
  <c r="D3396" i="5"/>
  <c r="C3396" i="5"/>
  <c r="E3396" i="5"/>
  <c r="C3389" i="5"/>
  <c r="E3389" i="5"/>
  <c r="C3390" i="5"/>
  <c r="C3393" i="5"/>
  <c r="C3391" i="5"/>
  <c r="F3391" i="5"/>
  <c r="C3392" i="5"/>
  <c r="D2978" i="5"/>
  <c r="D2981" i="5"/>
  <c r="D2979" i="5"/>
  <c r="D2980" i="5"/>
  <c r="C2977" i="5"/>
  <c r="F2977" i="5"/>
  <c r="D2975" i="5"/>
  <c r="C2983" i="5"/>
  <c r="F2983" i="5"/>
  <c r="C2982" i="5"/>
  <c r="E2982" i="5"/>
  <c r="D2976" i="5"/>
  <c r="D2977" i="5"/>
  <c r="D2982" i="5"/>
  <c r="C2975" i="5"/>
  <c r="E2975" i="5"/>
  <c r="D2983" i="5"/>
  <c r="C2976" i="5"/>
  <c r="C2979" i="5"/>
  <c r="C2978" i="5"/>
  <c r="D460" i="5"/>
  <c r="D461" i="5"/>
  <c r="D458" i="5"/>
  <c r="D459" i="5"/>
  <c r="D462" i="5"/>
  <c r="D456" i="5"/>
  <c r="C455" i="5"/>
  <c r="E455" i="5"/>
  <c r="D457" i="5"/>
  <c r="C463" i="5"/>
  <c r="F463" i="5"/>
  <c r="C456" i="5"/>
  <c r="C457" i="5"/>
  <c r="F457" i="5"/>
  <c r="C462" i="5"/>
  <c r="E462" i="5"/>
  <c r="C458" i="5"/>
  <c r="C459" i="5"/>
  <c r="D455" i="5"/>
  <c r="D463" i="5"/>
  <c r="D1216" i="5"/>
  <c r="C1213" i="5"/>
  <c r="F1213" i="5"/>
  <c r="D1217" i="5"/>
  <c r="D1211" i="5"/>
  <c r="D1215" i="5"/>
  <c r="D1218" i="5"/>
  <c r="D1219" i="5"/>
  <c r="D1212" i="5"/>
  <c r="C1212" i="5"/>
  <c r="C1215" i="5"/>
  <c r="D1213" i="5"/>
  <c r="D1214" i="5"/>
  <c r="C1214" i="5"/>
  <c r="C1218" i="5"/>
  <c r="E1218" i="5"/>
  <c r="C1219" i="5"/>
  <c r="F1219" i="5"/>
  <c r="C1211" i="5"/>
  <c r="E1211" i="5"/>
  <c r="D4151" i="5"/>
  <c r="D4152" i="5"/>
  <c r="D4153" i="5"/>
  <c r="D4149" i="5"/>
  <c r="D4150" i="5"/>
  <c r="D4145" i="5"/>
  <c r="D4146" i="5"/>
  <c r="D4147" i="5"/>
  <c r="C4148" i="5"/>
  <c r="C4149" i="5"/>
  <c r="D4148" i="5"/>
  <c r="C4147" i="5"/>
  <c r="F4147" i="5"/>
  <c r="C4152" i="5"/>
  <c r="E4152" i="5"/>
  <c r="C4153" i="5"/>
  <c r="F4153" i="5"/>
  <c r="C4145" i="5"/>
  <c r="E4145" i="5"/>
  <c r="C4146" i="5"/>
  <c r="D718" i="5"/>
  <c r="D722" i="5"/>
  <c r="D723" i="5"/>
  <c r="D717" i="5"/>
  <c r="C724" i="5"/>
  <c r="F724" i="5"/>
  <c r="D719" i="5"/>
  <c r="D720" i="5"/>
  <c r="C722" i="5"/>
  <c r="F722" i="5"/>
  <c r="C723" i="5"/>
  <c r="E723" i="5"/>
  <c r="C717" i="5"/>
  <c r="C718" i="5"/>
  <c r="F718" i="5"/>
  <c r="C719" i="5"/>
  <c r="C720" i="5"/>
  <c r="D716" i="5"/>
  <c r="D724" i="5"/>
  <c r="D721" i="5"/>
  <c r="C721" i="5"/>
  <c r="E721" i="5"/>
  <c r="C716" i="5"/>
  <c r="E716" i="5"/>
  <c r="D370" i="5"/>
  <c r="D372" i="5"/>
  <c r="D373" i="5"/>
  <c r="D367" i="5"/>
  <c r="D368" i="5"/>
  <c r="C365" i="5"/>
  <c r="E365" i="5"/>
  <c r="C367" i="5"/>
  <c r="F367" i="5"/>
  <c r="D365" i="5"/>
  <c r="D366" i="5"/>
  <c r="D369" i="5"/>
  <c r="D371" i="5"/>
  <c r="C372" i="5"/>
  <c r="E372" i="5"/>
  <c r="C366" i="5"/>
  <c r="C369" i="5"/>
  <c r="C373" i="5"/>
  <c r="F373" i="5"/>
  <c r="C368" i="5"/>
  <c r="D2834" i="5"/>
  <c r="D2837" i="5"/>
  <c r="D2836" i="5"/>
  <c r="D2838" i="5"/>
  <c r="D2839" i="5"/>
  <c r="C2833" i="5"/>
  <c r="F2833" i="5"/>
  <c r="C2839" i="5"/>
  <c r="F2839" i="5"/>
  <c r="D2831" i="5"/>
  <c r="D2832" i="5"/>
  <c r="D2833" i="5"/>
  <c r="C2838" i="5"/>
  <c r="E2838" i="5"/>
  <c r="C2831" i="5"/>
  <c r="E2831" i="5"/>
  <c r="C2832" i="5"/>
  <c r="C2834" i="5"/>
  <c r="C2835" i="5"/>
  <c r="D2835" i="5"/>
  <c r="D1357" i="5"/>
  <c r="C1357" i="5"/>
  <c r="F1357" i="5"/>
  <c r="D1358" i="5"/>
  <c r="D1355" i="5"/>
  <c r="D1356" i="5"/>
  <c r="D1359" i="5"/>
  <c r="C1356" i="5"/>
  <c r="D1360" i="5"/>
  <c r="C1358" i="5"/>
  <c r="D1361" i="5"/>
  <c r="D1362" i="5"/>
  <c r="D1363" i="5"/>
  <c r="C1362" i="5"/>
  <c r="E1362" i="5"/>
  <c r="C1355" i="5"/>
  <c r="E1355" i="5"/>
  <c r="C1359" i="5"/>
  <c r="C1363" i="5"/>
  <c r="F1363" i="5"/>
  <c r="D1210" i="5"/>
  <c r="D1203" i="5"/>
  <c r="D1204" i="5"/>
  <c r="D1208" i="5"/>
  <c r="C1203" i="5"/>
  <c r="C1204" i="5"/>
  <c r="F1204" i="5"/>
  <c r="D1207" i="5"/>
  <c r="C1205" i="5"/>
  <c r="D1209" i="5"/>
  <c r="C1206" i="5"/>
  <c r="D1202" i="5"/>
  <c r="D1205" i="5"/>
  <c r="C1202" i="5"/>
  <c r="E1202" i="5"/>
  <c r="D1206" i="5"/>
  <c r="C1207" i="5"/>
  <c r="E1207" i="5"/>
  <c r="C1209" i="5"/>
  <c r="E1209" i="5"/>
  <c r="C1210" i="5"/>
  <c r="F1210" i="5"/>
  <c r="C1208" i="5"/>
  <c r="F1208" i="5"/>
  <c r="I219" i="8"/>
  <c r="D3795" i="5"/>
  <c r="D3796" i="5"/>
  <c r="D3797" i="5"/>
  <c r="D3798" i="5"/>
  <c r="D3799" i="5"/>
  <c r="D3800" i="5"/>
  <c r="C3794" i="5"/>
  <c r="E3794" i="5"/>
  <c r="D3794" i="5"/>
  <c r="D3801" i="5"/>
  <c r="C3797" i="5"/>
  <c r="D3802" i="5"/>
  <c r="C3798" i="5"/>
  <c r="C3801" i="5"/>
  <c r="E3801" i="5"/>
  <c r="C3802" i="5"/>
  <c r="F3802" i="5"/>
  <c r="C3795" i="5"/>
  <c r="C3796" i="5"/>
  <c r="F3796" i="5"/>
  <c r="C3799" i="5"/>
  <c r="E3799" i="5"/>
  <c r="C3800" i="5"/>
  <c r="F3800" i="5"/>
  <c r="D2421" i="5"/>
  <c r="D2422" i="5"/>
  <c r="D2423" i="5"/>
  <c r="D2417" i="5"/>
  <c r="C2425" i="5"/>
  <c r="F2425" i="5"/>
  <c r="D2418" i="5"/>
  <c r="D2419" i="5"/>
  <c r="C2423" i="5"/>
  <c r="F2423" i="5"/>
  <c r="D2420" i="5"/>
  <c r="C2424" i="5"/>
  <c r="E2424" i="5"/>
  <c r="D2424" i="5"/>
  <c r="D2425" i="5"/>
  <c r="C2421" i="5"/>
  <c r="C2417" i="5"/>
  <c r="E2417" i="5"/>
  <c r="C2418" i="5"/>
  <c r="C2419" i="5"/>
  <c r="F2419" i="5"/>
  <c r="C2420" i="5"/>
  <c r="C2422" i="5"/>
  <c r="E2422" i="5"/>
  <c r="D3828" i="5"/>
  <c r="D3829" i="5"/>
  <c r="D3821" i="5"/>
  <c r="D3827" i="5"/>
  <c r="D3823" i="5"/>
  <c r="D3824" i="5"/>
  <c r="C3829" i="5"/>
  <c r="F3829" i="5"/>
  <c r="D3826" i="5"/>
  <c r="C3825" i="5"/>
  <c r="C3826" i="5"/>
  <c r="E3826" i="5"/>
  <c r="C3823" i="5"/>
  <c r="F3823" i="5"/>
  <c r="C3824" i="5"/>
  <c r="C3827" i="5"/>
  <c r="F3827" i="5"/>
  <c r="D3822" i="5"/>
  <c r="D3825" i="5"/>
  <c r="C3822" i="5"/>
  <c r="C3821" i="5"/>
  <c r="E3821" i="5"/>
  <c r="C3828" i="5"/>
  <c r="E3828" i="5"/>
  <c r="D1874" i="5"/>
  <c r="D1875" i="5"/>
  <c r="D1876" i="5"/>
  <c r="C1873" i="5"/>
  <c r="E1873" i="5"/>
  <c r="D1871" i="5"/>
  <c r="D1872" i="5"/>
  <c r="D1873" i="5"/>
  <c r="C1872" i="5"/>
  <c r="C1874" i="5"/>
  <c r="F1874" i="5"/>
  <c r="C1875" i="5"/>
  <c r="E1875" i="5"/>
  <c r="D1868" i="5"/>
  <c r="D1870" i="5"/>
  <c r="D1869" i="5"/>
  <c r="C1868" i="5"/>
  <c r="E1868" i="5"/>
  <c r="C1869" i="5"/>
  <c r="C1870" i="5"/>
  <c r="F1870" i="5"/>
  <c r="C1871" i="5"/>
  <c r="C1876" i="5"/>
  <c r="F1876" i="5"/>
  <c r="D3905" i="5"/>
  <c r="D3907" i="5"/>
  <c r="C3902" i="5"/>
  <c r="E3902" i="5"/>
  <c r="D3902" i="5"/>
  <c r="D3903" i="5"/>
  <c r="D3904" i="5"/>
  <c r="D3906" i="5"/>
  <c r="C3909" i="5"/>
  <c r="E3909" i="5"/>
  <c r="C3910" i="5"/>
  <c r="F3910" i="5"/>
  <c r="D3908" i="5"/>
  <c r="D3910" i="5"/>
  <c r="C3904" i="5"/>
  <c r="F3904" i="5"/>
  <c r="C3905" i="5"/>
  <c r="C3903" i="5"/>
  <c r="D3909" i="5"/>
  <c r="C3906" i="5"/>
  <c r="D1030" i="5"/>
  <c r="D1023" i="5"/>
  <c r="D1027" i="5"/>
  <c r="D1028" i="5"/>
  <c r="D1029" i="5"/>
  <c r="C1030" i="5"/>
  <c r="F1030" i="5"/>
  <c r="C1025" i="5"/>
  <c r="D1022" i="5"/>
  <c r="D1024" i="5"/>
  <c r="D1025" i="5"/>
  <c r="C1022" i="5"/>
  <c r="E1022" i="5"/>
  <c r="D1026" i="5"/>
  <c r="C1023" i="5"/>
  <c r="C1024" i="5"/>
  <c r="F1024" i="5"/>
  <c r="C1026" i="5"/>
  <c r="C1029" i="5"/>
  <c r="E1029" i="5"/>
  <c r="D3578" i="5"/>
  <c r="D3580" i="5"/>
  <c r="D3579" i="5"/>
  <c r="D3581" i="5"/>
  <c r="D3584" i="5"/>
  <c r="D3585" i="5"/>
  <c r="C3582" i="5"/>
  <c r="C3583" i="5"/>
  <c r="E3583" i="5"/>
  <c r="C3584" i="5"/>
  <c r="F3584" i="5"/>
  <c r="C3585" i="5"/>
  <c r="E3585" i="5"/>
  <c r="C3586" i="5"/>
  <c r="F3586" i="5"/>
  <c r="D3582" i="5"/>
  <c r="D3586" i="5"/>
  <c r="C3578" i="5"/>
  <c r="E3578" i="5"/>
  <c r="D3583" i="5"/>
  <c r="C3580" i="5"/>
  <c r="F3580" i="5"/>
  <c r="C3581" i="5"/>
  <c r="C3579" i="5"/>
  <c r="C1946" i="5"/>
  <c r="C2809" i="5"/>
  <c r="E2809" i="5"/>
  <c r="D1366" i="5"/>
  <c r="D1370" i="5"/>
  <c r="C1369" i="5"/>
  <c r="E1369" i="5"/>
  <c r="D1371" i="5"/>
  <c r="D1369" i="5"/>
  <c r="D1372" i="5"/>
  <c r="C1370" i="5"/>
  <c r="F1370" i="5"/>
  <c r="C1371" i="5"/>
  <c r="E1371" i="5"/>
  <c r="C1365" i="5"/>
  <c r="D1364" i="5"/>
  <c r="C1366" i="5"/>
  <c r="F1366" i="5"/>
  <c r="D1365" i="5"/>
  <c r="D1368" i="5"/>
  <c r="C1364" i="5"/>
  <c r="E1364" i="5"/>
  <c r="D1367" i="5"/>
  <c r="C1367" i="5"/>
  <c r="C1368" i="5"/>
  <c r="C1372" i="5"/>
  <c r="F1372" i="5"/>
  <c r="D1914" i="5"/>
  <c r="D1921" i="5"/>
  <c r="C1921" i="5"/>
  <c r="F1921" i="5"/>
  <c r="D1918" i="5"/>
  <c r="D1919" i="5"/>
  <c r="D1920" i="5"/>
  <c r="C1916" i="5"/>
  <c r="C1917" i="5"/>
  <c r="C1920" i="5"/>
  <c r="E1920" i="5"/>
  <c r="D1913" i="5"/>
  <c r="C1919" i="5"/>
  <c r="F1919" i="5"/>
  <c r="D1916" i="5"/>
  <c r="D1917" i="5"/>
  <c r="C1915" i="5"/>
  <c r="F1915" i="5"/>
  <c r="C1918" i="5"/>
  <c r="E1918" i="5"/>
  <c r="D1915" i="5"/>
  <c r="C1913" i="5"/>
  <c r="E1913" i="5"/>
  <c r="C1914" i="5"/>
  <c r="D2786" i="5"/>
  <c r="D2793" i="5"/>
  <c r="D2794" i="5"/>
  <c r="D2787" i="5"/>
  <c r="D2788" i="5"/>
  <c r="C2787" i="5"/>
  <c r="C2788" i="5"/>
  <c r="F2788" i="5"/>
  <c r="D2789" i="5"/>
  <c r="C2793" i="5"/>
  <c r="E2793" i="5"/>
  <c r="D2790" i="5"/>
  <c r="C2794" i="5"/>
  <c r="F2794" i="5"/>
  <c r="D2791" i="5"/>
  <c r="D2792" i="5"/>
  <c r="C2790" i="5"/>
  <c r="C2789" i="5"/>
  <c r="C2786" i="5"/>
  <c r="E2786" i="5"/>
  <c r="D4044" i="5"/>
  <c r="D4045" i="5"/>
  <c r="D4037" i="5"/>
  <c r="D4038" i="5"/>
  <c r="C4045" i="5"/>
  <c r="F4045" i="5"/>
  <c r="C4037" i="5"/>
  <c r="E4037" i="5"/>
  <c r="C4038" i="5"/>
  <c r="D4039" i="5"/>
  <c r="C4043" i="5"/>
  <c r="F4043" i="5"/>
  <c r="C4044" i="5"/>
  <c r="E4044" i="5"/>
  <c r="C4039" i="5"/>
  <c r="F4039" i="5"/>
  <c r="C4042" i="5"/>
  <c r="E4042" i="5"/>
  <c r="D4040" i="5"/>
  <c r="D4041" i="5"/>
  <c r="D4042" i="5"/>
  <c r="C4040" i="5"/>
  <c r="D4043" i="5"/>
  <c r="C4041" i="5"/>
  <c r="D3482" i="5"/>
  <c r="D3479" i="5"/>
  <c r="D3480" i="5"/>
  <c r="D3481" i="5"/>
  <c r="C3481" i="5"/>
  <c r="F3481" i="5"/>
  <c r="D3483" i="5"/>
  <c r="D3484" i="5"/>
  <c r="D3485" i="5"/>
  <c r="D3486" i="5"/>
  <c r="D3487" i="5"/>
  <c r="C3487" i="5"/>
  <c r="F3487" i="5"/>
  <c r="C3480" i="5"/>
  <c r="C3482" i="5"/>
  <c r="C3483" i="5"/>
  <c r="C3479" i="5"/>
  <c r="E3479" i="5"/>
  <c r="C3486" i="5"/>
  <c r="E3486" i="5"/>
  <c r="D3050" i="5"/>
  <c r="D3051" i="5"/>
  <c r="D3052" i="5"/>
  <c r="C3049" i="5"/>
  <c r="F3049" i="5"/>
  <c r="D3047" i="5"/>
  <c r="D3048" i="5"/>
  <c r="D3049" i="5"/>
  <c r="C3048" i="5"/>
  <c r="C3050" i="5"/>
  <c r="D3053" i="5"/>
  <c r="C3054" i="5"/>
  <c r="E3054" i="5"/>
  <c r="D3054" i="5"/>
  <c r="D3055" i="5"/>
  <c r="C3047" i="5"/>
  <c r="E3047" i="5"/>
  <c r="C3051" i="5"/>
  <c r="C3055" i="5"/>
  <c r="F3055" i="5"/>
  <c r="D2510" i="5"/>
  <c r="D2513" i="5"/>
  <c r="D2507" i="5"/>
  <c r="D2508" i="5"/>
  <c r="C2509" i="5"/>
  <c r="F2509" i="5"/>
  <c r="C2515" i="5"/>
  <c r="F2515" i="5"/>
  <c r="D2509" i="5"/>
  <c r="D2511" i="5"/>
  <c r="C2507" i="5"/>
  <c r="E2507" i="5"/>
  <c r="D2512" i="5"/>
  <c r="C2508" i="5"/>
  <c r="C2511" i="5"/>
  <c r="D2514" i="5"/>
  <c r="D2515" i="5"/>
  <c r="C2512" i="5"/>
  <c r="E2512" i="5"/>
  <c r="C2510" i="5"/>
  <c r="C2513" i="5"/>
  <c r="F2513" i="5"/>
  <c r="C2514" i="5"/>
  <c r="E2514" i="5"/>
  <c r="D358" i="5"/>
  <c r="D359" i="5"/>
  <c r="D360" i="5"/>
  <c r="C364" i="5"/>
  <c r="F364" i="5"/>
  <c r="D361" i="5"/>
  <c r="C356" i="5"/>
  <c r="E356" i="5"/>
  <c r="D362" i="5"/>
  <c r="C357" i="5"/>
  <c r="D363" i="5"/>
  <c r="C363" i="5"/>
  <c r="E363" i="5"/>
  <c r="D356" i="5"/>
  <c r="D357" i="5"/>
  <c r="D364" i="5"/>
  <c r="C358" i="5"/>
  <c r="F358" i="5"/>
  <c r="C359" i="5"/>
  <c r="C360" i="5"/>
  <c r="D1330" i="5"/>
  <c r="D1334" i="5"/>
  <c r="D1335" i="5"/>
  <c r="D1333" i="5"/>
  <c r="D1328" i="5"/>
  <c r="C1336" i="5"/>
  <c r="F1336" i="5"/>
  <c r="D1329" i="5"/>
  <c r="D1331" i="5"/>
  <c r="D1336" i="5"/>
  <c r="C1335" i="5"/>
  <c r="E1335" i="5"/>
  <c r="D1332" i="5"/>
  <c r="C1328" i="5"/>
  <c r="E1328" i="5"/>
  <c r="C1329" i="5"/>
  <c r="C1330" i="5"/>
  <c r="F1330" i="5"/>
  <c r="C1332" i="5"/>
  <c r="C1331" i="5"/>
  <c r="D3301" i="5"/>
  <c r="D3303" i="5"/>
  <c r="D3304" i="5"/>
  <c r="D3299" i="5"/>
  <c r="D3305" i="5"/>
  <c r="C3301" i="5"/>
  <c r="F3301" i="5"/>
  <c r="D3306" i="5"/>
  <c r="C3307" i="5"/>
  <c r="F3307" i="5"/>
  <c r="C3300" i="5"/>
  <c r="C3302" i="5"/>
  <c r="D3300" i="5"/>
  <c r="C3303" i="5"/>
  <c r="C3299" i="5"/>
  <c r="E3299" i="5"/>
  <c r="C3306" i="5"/>
  <c r="E3306" i="5"/>
  <c r="D3302" i="5"/>
  <c r="D3307" i="5"/>
  <c r="D604" i="5"/>
  <c r="D605" i="5"/>
  <c r="D606" i="5"/>
  <c r="D607" i="5"/>
  <c r="C607" i="5"/>
  <c r="F607" i="5"/>
  <c r="D599" i="5"/>
  <c r="D600" i="5"/>
  <c r="D601" i="5"/>
  <c r="D602" i="5"/>
  <c r="C603" i="5"/>
  <c r="C606" i="5"/>
  <c r="E606" i="5"/>
  <c r="C602" i="5"/>
  <c r="D603" i="5"/>
  <c r="C599" i="5"/>
  <c r="E599" i="5"/>
  <c r="C600" i="5"/>
  <c r="C601" i="5"/>
  <c r="F601" i="5"/>
  <c r="D2750" i="5"/>
  <c r="D2758" i="5"/>
  <c r="D2751" i="5"/>
  <c r="D2752" i="5"/>
  <c r="D2753" i="5"/>
  <c r="D2754" i="5"/>
  <c r="D2755" i="5"/>
  <c r="C2750" i="5"/>
  <c r="E2750" i="5"/>
  <c r="C2756" i="5"/>
  <c r="F2756" i="5"/>
  <c r="C2758" i="5"/>
  <c r="F2758" i="5"/>
  <c r="C2751" i="5"/>
  <c r="C2752" i="5"/>
  <c r="F2752" i="5"/>
  <c r="C2753" i="5"/>
  <c r="D2756" i="5"/>
  <c r="D2757" i="5"/>
  <c r="C2755" i="5"/>
  <c r="E2755" i="5"/>
  <c r="C2754" i="5"/>
  <c r="C2757" i="5"/>
  <c r="E2757" i="5"/>
  <c r="K219" i="8"/>
  <c r="M219" i="8"/>
  <c r="D3363" i="5"/>
  <c r="D3367" i="5"/>
  <c r="D3368" i="5"/>
  <c r="D3365" i="5"/>
  <c r="D3366" i="5"/>
  <c r="D3362" i="5"/>
  <c r="C3364" i="5"/>
  <c r="F3364" i="5"/>
  <c r="C3365" i="5"/>
  <c r="C3366" i="5"/>
  <c r="C3363" i="5"/>
  <c r="D3364" i="5"/>
  <c r="C3368" i="5"/>
  <c r="F3368" i="5"/>
  <c r="D3369" i="5"/>
  <c r="C3369" i="5"/>
  <c r="E3369" i="5"/>
  <c r="C3367" i="5"/>
  <c r="E3367" i="5"/>
  <c r="C3370" i="5"/>
  <c r="F3370" i="5"/>
  <c r="D3370" i="5"/>
  <c r="C3362" i="5"/>
  <c r="E3362" i="5"/>
  <c r="D238" i="5"/>
  <c r="C232" i="5"/>
  <c r="F232" i="5"/>
  <c r="C233" i="5"/>
  <c r="D230" i="5"/>
  <c r="D231" i="5"/>
  <c r="D232" i="5"/>
  <c r="D234" i="5"/>
  <c r="D235" i="5"/>
  <c r="C231" i="5"/>
  <c r="C234" i="5"/>
  <c r="C235" i="5"/>
  <c r="E235" i="5"/>
  <c r="D233" i="5"/>
  <c r="C236" i="5"/>
  <c r="F236" i="5"/>
  <c r="D236" i="5"/>
  <c r="D237" i="5"/>
  <c r="C237" i="5"/>
  <c r="E237" i="5"/>
  <c r="C238" i="5"/>
  <c r="F238" i="5"/>
  <c r="C230" i="5"/>
  <c r="E230" i="5"/>
  <c r="D2954" i="5"/>
  <c r="D2955" i="5"/>
  <c r="D2950" i="5"/>
  <c r="D2951" i="5"/>
  <c r="C2953" i="5"/>
  <c r="E2953" i="5"/>
  <c r="D2952" i="5"/>
  <c r="C2950" i="5"/>
  <c r="F2950" i="5"/>
  <c r="D2953" i="5"/>
  <c r="C2951" i="5"/>
  <c r="D2956" i="5"/>
  <c r="C2952" i="5"/>
  <c r="D2949" i="5"/>
  <c r="C2948" i="5"/>
  <c r="E2948" i="5"/>
  <c r="D2948" i="5"/>
  <c r="C2955" i="5"/>
  <c r="E2955" i="5"/>
  <c r="C2954" i="5"/>
  <c r="F2954" i="5"/>
  <c r="C2949" i="5"/>
  <c r="C2956" i="5"/>
  <c r="F2956" i="5"/>
  <c r="D454" i="5"/>
  <c r="D450" i="5"/>
  <c r="D451" i="5"/>
  <c r="D446" i="5"/>
  <c r="C448" i="5"/>
  <c r="F448" i="5"/>
  <c r="D447" i="5"/>
  <c r="C449" i="5"/>
  <c r="D453" i="5"/>
  <c r="C451" i="5"/>
  <c r="E451" i="5"/>
  <c r="C453" i="5"/>
  <c r="E453" i="5"/>
  <c r="C452" i="5"/>
  <c r="F452" i="5"/>
  <c r="D448" i="5"/>
  <c r="C454" i="5"/>
  <c r="F454" i="5"/>
  <c r="D449" i="5"/>
  <c r="C450" i="5"/>
  <c r="D452" i="5"/>
  <c r="C447" i="5"/>
  <c r="C446" i="5"/>
  <c r="E446" i="5"/>
  <c r="D2706" i="5"/>
  <c r="D2708" i="5"/>
  <c r="D2709" i="5"/>
  <c r="C2713" i="5"/>
  <c r="F2713" i="5"/>
  <c r="D2712" i="5"/>
  <c r="C2708" i="5"/>
  <c r="D2713" i="5"/>
  <c r="C2709" i="5"/>
  <c r="D2705" i="5"/>
  <c r="D2707" i="5"/>
  <c r="D2710" i="5"/>
  <c r="C2705" i="5"/>
  <c r="E2705" i="5"/>
  <c r="C2706" i="5"/>
  <c r="D2711" i="5"/>
  <c r="C2707" i="5"/>
  <c r="F2707" i="5"/>
  <c r="C2712" i="5"/>
  <c r="E2712" i="5"/>
  <c r="B4426" i="5"/>
  <c r="C1513" i="5"/>
  <c r="E1513" i="5"/>
  <c r="D2048" i="5"/>
  <c r="D2054" i="5"/>
  <c r="D2052" i="5"/>
  <c r="D2053" i="5"/>
  <c r="C2048" i="5"/>
  <c r="E2048" i="5"/>
  <c r="C2049" i="5"/>
  <c r="D2051" i="5"/>
  <c r="D2056" i="5"/>
  <c r="C2051" i="5"/>
  <c r="D2055" i="5"/>
  <c r="C2050" i="5"/>
  <c r="F2050" i="5"/>
  <c r="C2052" i="5"/>
  <c r="D2049" i="5"/>
  <c r="C2056" i="5"/>
  <c r="F2056" i="5"/>
  <c r="C2055" i="5"/>
  <c r="E2055" i="5"/>
  <c r="D2050" i="5"/>
  <c r="D214" i="5"/>
  <c r="D215" i="5"/>
  <c r="D216" i="5"/>
  <c r="C220" i="5"/>
  <c r="F220" i="5"/>
  <c r="C212" i="5"/>
  <c r="E212" i="5"/>
  <c r="C213" i="5"/>
  <c r="D212" i="5"/>
  <c r="C214" i="5"/>
  <c r="F214" i="5"/>
  <c r="C215" i="5"/>
  <c r="C216" i="5"/>
  <c r="D218" i="5"/>
  <c r="D219" i="5"/>
  <c r="D220" i="5"/>
  <c r="C219" i="5"/>
  <c r="E219" i="5"/>
  <c r="D213" i="5"/>
  <c r="D217" i="5"/>
  <c r="D250" i="5"/>
  <c r="D254" i="5"/>
  <c r="D255" i="5"/>
  <c r="C256" i="5"/>
  <c r="F256" i="5"/>
  <c r="C254" i="5"/>
  <c r="F254" i="5"/>
  <c r="D248" i="5"/>
  <c r="C255" i="5"/>
  <c r="E255" i="5"/>
  <c r="D249" i="5"/>
  <c r="D253" i="5"/>
  <c r="D256" i="5"/>
  <c r="C251" i="5"/>
  <c r="C252" i="5"/>
  <c r="C253" i="5"/>
  <c r="E253" i="5"/>
  <c r="C248" i="5"/>
  <c r="E248" i="5"/>
  <c r="C249" i="5"/>
  <c r="D251" i="5"/>
  <c r="C250" i="5"/>
  <c r="F250" i="5"/>
  <c r="D252" i="5"/>
  <c r="D3156" i="5"/>
  <c r="D3157" i="5"/>
  <c r="D3163" i="5"/>
  <c r="D3155" i="5"/>
  <c r="D3158" i="5"/>
  <c r="C3157" i="5"/>
  <c r="F3157" i="5"/>
  <c r="D3159" i="5"/>
  <c r="D3161" i="5"/>
  <c r="D3162" i="5"/>
  <c r="C3163" i="5"/>
  <c r="F3163" i="5"/>
  <c r="C3159" i="5"/>
  <c r="C3156" i="5"/>
  <c r="C3158" i="5"/>
  <c r="D3160" i="5"/>
  <c r="C3155" i="5"/>
  <c r="E3155" i="5"/>
  <c r="C3162" i="5"/>
  <c r="E3162" i="5"/>
  <c r="D1988" i="5"/>
  <c r="D1989" i="5"/>
  <c r="C1993" i="5"/>
  <c r="F1993" i="5"/>
  <c r="D1990" i="5"/>
  <c r="D1991" i="5"/>
  <c r="D1992" i="5"/>
  <c r="D1993" i="5"/>
  <c r="C1985" i="5"/>
  <c r="E1985" i="5"/>
  <c r="C1986" i="5"/>
  <c r="C1988" i="5"/>
  <c r="D1987" i="5"/>
  <c r="C1992" i="5"/>
  <c r="E1992" i="5"/>
  <c r="D1985" i="5"/>
  <c r="D1986" i="5"/>
  <c r="C1987" i="5"/>
  <c r="F1987" i="5"/>
  <c r="C1989" i="5"/>
  <c r="D709" i="5"/>
  <c r="D710" i="5"/>
  <c r="D712" i="5"/>
  <c r="C708" i="5"/>
  <c r="D713" i="5"/>
  <c r="C709" i="5"/>
  <c r="F709" i="5"/>
  <c r="D714" i="5"/>
  <c r="C711" i="5"/>
  <c r="D708" i="5"/>
  <c r="C715" i="5"/>
  <c r="F715" i="5"/>
  <c r="D711" i="5"/>
  <c r="D707" i="5"/>
  <c r="D715" i="5"/>
  <c r="C710" i="5"/>
  <c r="C714" i="5"/>
  <c r="E714" i="5"/>
  <c r="C707" i="5"/>
  <c r="E707" i="5"/>
  <c r="D1222" i="5"/>
  <c r="D1224" i="5"/>
  <c r="D1226" i="5"/>
  <c r="C1228" i="5"/>
  <c r="F1228" i="5"/>
  <c r="C1220" i="5"/>
  <c r="E1220" i="5"/>
  <c r="C1221" i="5"/>
  <c r="D1220" i="5"/>
  <c r="D1223" i="5"/>
  <c r="D1225" i="5"/>
  <c r="C1223" i="5"/>
  <c r="C1224" i="5"/>
  <c r="C1227" i="5"/>
  <c r="E1227" i="5"/>
  <c r="D1228" i="5"/>
  <c r="D1221" i="5"/>
  <c r="D1227" i="5"/>
  <c r="C1222" i="5"/>
  <c r="F1222" i="5"/>
  <c r="D1750" i="5"/>
  <c r="D1749" i="5"/>
  <c r="D1746" i="5"/>
  <c r="D1747" i="5"/>
  <c r="D1748" i="5"/>
  <c r="C1749" i="5"/>
  <c r="E1749" i="5"/>
  <c r="C1750" i="5"/>
  <c r="F1750" i="5"/>
  <c r="C1743" i="5"/>
  <c r="C1744" i="5"/>
  <c r="F1744" i="5"/>
  <c r="D1743" i="5"/>
  <c r="D1745" i="5"/>
  <c r="D1742" i="5"/>
  <c r="C1742" i="5"/>
  <c r="E1742" i="5"/>
  <c r="D1744" i="5"/>
  <c r="C1745" i="5"/>
  <c r="C1746" i="5"/>
  <c r="D2060" i="5"/>
  <c r="C2065" i="5"/>
  <c r="F2065" i="5"/>
  <c r="D2058" i="5"/>
  <c r="D2059" i="5"/>
  <c r="D2061" i="5"/>
  <c r="D2062" i="5"/>
  <c r="C2060" i="5"/>
  <c r="D2063" i="5"/>
  <c r="C2061" i="5"/>
  <c r="D2064" i="5"/>
  <c r="D2065" i="5"/>
  <c r="C2064" i="5"/>
  <c r="E2064" i="5"/>
  <c r="D2057" i="5"/>
  <c r="C2057" i="5"/>
  <c r="E2057" i="5"/>
  <c r="C2059" i="5"/>
  <c r="F2059" i="5"/>
  <c r="C2058" i="5"/>
  <c r="D31" i="5"/>
  <c r="D23" i="5"/>
  <c r="D24" i="5"/>
  <c r="C24" i="5"/>
  <c r="C25" i="5"/>
  <c r="F25" i="5"/>
  <c r="D25" i="5"/>
  <c r="D28" i="5"/>
  <c r="D30" i="5"/>
  <c r="C23" i="5"/>
  <c r="E23" i="5"/>
  <c r="D26" i="5"/>
  <c r="C26" i="5"/>
  <c r="D27" i="5"/>
  <c r="C27" i="5"/>
  <c r="D29" i="5"/>
  <c r="C30" i="5"/>
  <c r="E30" i="5"/>
  <c r="C31" i="5"/>
  <c r="F31" i="5"/>
  <c r="D2170" i="5"/>
  <c r="D2165" i="5"/>
  <c r="C2173" i="5"/>
  <c r="F2173" i="5"/>
  <c r="D2166" i="5"/>
  <c r="D2172" i="5"/>
  <c r="C2165" i="5"/>
  <c r="E2165" i="5"/>
  <c r="D2173" i="5"/>
  <c r="C2166" i="5"/>
  <c r="D2167" i="5"/>
  <c r="D2168" i="5"/>
  <c r="C2172" i="5"/>
  <c r="E2172" i="5"/>
  <c r="D2169" i="5"/>
  <c r="C2168" i="5"/>
  <c r="C2167" i="5"/>
  <c r="F2167" i="5"/>
  <c r="C2169" i="5"/>
  <c r="D2171" i="5"/>
  <c r="D4404" i="5"/>
  <c r="D4405" i="5"/>
  <c r="D4401" i="5"/>
  <c r="D4403" i="5"/>
  <c r="D4399" i="5"/>
  <c r="D4400" i="5"/>
  <c r="D4397" i="5"/>
  <c r="D4398" i="5"/>
  <c r="C4404" i="5"/>
  <c r="E4404" i="5"/>
  <c r="C4405" i="5"/>
  <c r="F4405" i="5"/>
  <c r="D4402" i="5"/>
  <c r="C4397" i="5"/>
  <c r="E4397" i="5"/>
  <c r="C4398" i="5"/>
  <c r="C4399" i="5"/>
  <c r="F4399" i="5"/>
  <c r="C4400" i="5"/>
  <c r="C4401" i="5"/>
  <c r="D742" i="5"/>
  <c r="D735" i="5"/>
  <c r="D736" i="5"/>
  <c r="C736" i="5"/>
  <c r="F736" i="5"/>
  <c r="D734" i="5"/>
  <c r="C737" i="5"/>
  <c r="D737" i="5"/>
  <c r="C738" i="5"/>
  <c r="D738" i="5"/>
  <c r="D740" i="5"/>
  <c r="D741" i="5"/>
  <c r="D739" i="5"/>
  <c r="C735" i="5"/>
  <c r="C741" i="5"/>
  <c r="E741" i="5"/>
  <c r="C742" i="5"/>
  <c r="F742" i="5"/>
  <c r="C734" i="5"/>
  <c r="E734" i="5"/>
  <c r="D1450" i="5"/>
  <c r="D1448" i="5"/>
  <c r="C1453" i="5"/>
  <c r="F1453" i="5"/>
  <c r="D1449" i="5"/>
  <c r="D1447" i="5"/>
  <c r="D1451" i="5"/>
  <c r="D1452" i="5"/>
  <c r="C1448" i="5"/>
  <c r="C1449" i="5"/>
  <c r="D1445" i="5"/>
  <c r="D1446" i="5"/>
  <c r="C1445" i="5"/>
  <c r="E1445" i="5"/>
  <c r="D1453" i="5"/>
  <c r="C1446" i="5"/>
  <c r="C1447" i="5"/>
  <c r="F1447" i="5"/>
  <c r="C1452" i="5"/>
  <c r="E1452" i="5"/>
  <c r="G4415" i="5"/>
  <c r="G3769" i="5"/>
  <c r="D2565" i="5"/>
  <c r="D2564" i="5"/>
  <c r="D2566" i="5"/>
  <c r="C2569" i="5"/>
  <c r="F2569" i="5"/>
  <c r="D2561" i="5"/>
  <c r="C2568" i="5"/>
  <c r="E2568" i="5"/>
  <c r="D2562" i="5"/>
  <c r="D2563" i="5"/>
  <c r="D2567" i="5"/>
  <c r="C2564" i="5"/>
  <c r="D2568" i="5"/>
  <c r="C2565" i="5"/>
  <c r="D2569" i="5"/>
  <c r="C2561" i="5"/>
  <c r="E2561" i="5"/>
  <c r="C2562" i="5"/>
  <c r="C2563" i="5"/>
  <c r="F2563" i="5"/>
  <c r="D1702" i="5"/>
  <c r="D1697" i="5"/>
  <c r="C1705" i="5"/>
  <c r="F1705" i="5"/>
  <c r="D1698" i="5"/>
  <c r="D1700" i="5"/>
  <c r="D1701" i="5"/>
  <c r="D1703" i="5"/>
  <c r="C1697" i="5"/>
  <c r="E1697" i="5"/>
  <c r="C1698" i="5"/>
  <c r="D1699" i="5"/>
  <c r="D1704" i="5"/>
  <c r="C1700" i="5"/>
  <c r="C1699" i="5"/>
  <c r="F1699" i="5"/>
  <c r="D1705" i="5"/>
  <c r="C1704" i="5"/>
  <c r="E1704" i="5"/>
  <c r="C1701" i="5"/>
  <c r="D1162" i="5"/>
  <c r="D1164" i="5"/>
  <c r="C1165" i="5"/>
  <c r="F1165" i="5"/>
  <c r="D1165" i="5"/>
  <c r="D1160" i="5"/>
  <c r="D1163" i="5"/>
  <c r="D1158" i="5"/>
  <c r="D1159" i="5"/>
  <c r="C1164" i="5"/>
  <c r="E1164" i="5"/>
  <c r="D1161" i="5"/>
  <c r="C1157" i="5"/>
  <c r="E1157" i="5"/>
  <c r="D1157" i="5"/>
  <c r="C1158" i="5"/>
  <c r="C1160" i="5"/>
  <c r="C1159" i="5"/>
  <c r="F1159" i="5"/>
  <c r="C1161" i="5"/>
  <c r="D574" i="5"/>
  <c r="D578" i="5"/>
  <c r="D579" i="5"/>
  <c r="D576" i="5"/>
  <c r="C580" i="5"/>
  <c r="F580" i="5"/>
  <c r="D577" i="5"/>
  <c r="D580" i="5"/>
  <c r="C579" i="5"/>
  <c r="E579" i="5"/>
  <c r="C573" i="5"/>
  <c r="C575" i="5"/>
  <c r="D572" i="5"/>
  <c r="C572" i="5"/>
  <c r="E572" i="5"/>
  <c r="C574" i="5"/>
  <c r="F574" i="5"/>
  <c r="C576" i="5"/>
  <c r="D575" i="5"/>
  <c r="D573" i="5"/>
  <c r="D646" i="5"/>
  <c r="D644" i="5"/>
  <c r="C652" i="5"/>
  <c r="F652" i="5"/>
  <c r="D649" i="5"/>
  <c r="C650" i="5"/>
  <c r="F650" i="5"/>
  <c r="D650" i="5"/>
  <c r="C651" i="5"/>
  <c r="E651" i="5"/>
  <c r="D651" i="5"/>
  <c r="D648" i="5"/>
  <c r="C645" i="5"/>
  <c r="C644" i="5"/>
  <c r="E644" i="5"/>
  <c r="D647" i="5"/>
  <c r="C648" i="5"/>
  <c r="D652" i="5"/>
  <c r="C649" i="5"/>
  <c r="E649" i="5"/>
  <c r="C646" i="5"/>
  <c r="F646" i="5"/>
  <c r="D645" i="5"/>
  <c r="C647" i="5"/>
  <c r="D4127" i="5"/>
  <c r="D4128" i="5"/>
  <c r="D4129" i="5"/>
  <c r="D4134" i="5"/>
  <c r="D4135" i="5"/>
  <c r="D4130" i="5"/>
  <c r="D4131" i="5"/>
  <c r="D4132" i="5"/>
  <c r="C4129" i="5"/>
  <c r="F4129" i="5"/>
  <c r="D4133" i="5"/>
  <c r="C4130" i="5"/>
  <c r="C4131" i="5"/>
  <c r="C4128" i="5"/>
  <c r="C4135" i="5"/>
  <c r="F4135" i="5"/>
  <c r="C4127" i="5"/>
  <c r="E4127" i="5"/>
  <c r="C4134" i="5"/>
  <c r="E4134" i="5"/>
  <c r="D322" i="5"/>
  <c r="D320" i="5"/>
  <c r="D321" i="5"/>
  <c r="C328" i="5"/>
  <c r="F328" i="5"/>
  <c r="D323" i="5"/>
  <c r="D324" i="5"/>
  <c r="D325" i="5"/>
  <c r="C327" i="5"/>
  <c r="E327" i="5"/>
  <c r="D326" i="5"/>
  <c r="D327" i="5"/>
  <c r="D328" i="5"/>
  <c r="C320" i="5"/>
  <c r="E320" i="5"/>
  <c r="C321" i="5"/>
  <c r="C322" i="5"/>
  <c r="F322" i="5"/>
  <c r="C323" i="5"/>
  <c r="C324" i="5"/>
  <c r="D1321" i="5"/>
  <c r="D1322" i="5"/>
  <c r="D1320" i="5"/>
  <c r="C1320" i="5"/>
  <c r="C1321" i="5"/>
  <c r="F1321" i="5"/>
  <c r="D1319" i="5"/>
  <c r="D1324" i="5"/>
  <c r="C1319" i="5"/>
  <c r="E1319" i="5"/>
  <c r="D1325" i="5"/>
  <c r="C1327" i="5"/>
  <c r="F1327" i="5"/>
  <c r="C1322" i="5"/>
  <c r="D1323" i="5"/>
  <c r="D1326" i="5"/>
  <c r="C1323" i="5"/>
  <c r="C1326" i="5"/>
  <c r="E1326" i="5"/>
  <c r="D1327" i="5"/>
  <c r="D2306" i="5"/>
  <c r="D2303" i="5"/>
  <c r="D2308" i="5"/>
  <c r="C2305" i="5"/>
  <c r="E2305" i="5"/>
  <c r="D2305" i="5"/>
  <c r="C2306" i="5"/>
  <c r="F2306" i="5"/>
  <c r="D2307" i="5"/>
  <c r="C2307" i="5"/>
  <c r="E2307" i="5"/>
  <c r="D2300" i="5"/>
  <c r="C2301" i="5"/>
  <c r="D2301" i="5"/>
  <c r="C2302" i="5"/>
  <c r="F2302" i="5"/>
  <c r="D2302" i="5"/>
  <c r="C2303" i="5"/>
  <c r="C2300" i="5"/>
  <c r="E2300" i="5"/>
  <c r="C2304" i="5"/>
  <c r="C2308" i="5"/>
  <c r="F2308" i="5"/>
  <c r="D2304" i="5"/>
  <c r="D754" i="5"/>
  <c r="C760" i="5"/>
  <c r="F760" i="5"/>
  <c r="D752" i="5"/>
  <c r="D755" i="5"/>
  <c r="C752" i="5"/>
  <c r="E752" i="5"/>
  <c r="D756" i="5"/>
  <c r="C753" i="5"/>
  <c r="D757" i="5"/>
  <c r="D760" i="5"/>
  <c r="C759" i="5"/>
  <c r="E759" i="5"/>
  <c r="C755" i="5"/>
  <c r="C756" i="5"/>
  <c r="D753" i="5"/>
  <c r="C754" i="5"/>
  <c r="F754" i="5"/>
  <c r="D758" i="5"/>
  <c r="D759" i="5"/>
  <c r="D3948" i="5"/>
  <c r="D3949" i="5"/>
  <c r="D3947" i="5"/>
  <c r="D3951" i="5"/>
  <c r="D3952" i="5"/>
  <c r="D3954" i="5"/>
  <c r="D3955" i="5"/>
  <c r="C3949" i="5"/>
  <c r="F3949" i="5"/>
  <c r="C3950" i="5"/>
  <c r="C3955" i="5"/>
  <c r="F3955" i="5"/>
  <c r="D3950" i="5"/>
  <c r="D3953" i="5"/>
  <c r="C3947" i="5"/>
  <c r="E3947" i="5"/>
  <c r="C3951" i="5"/>
  <c r="C3948" i="5"/>
  <c r="C3954" i="5"/>
  <c r="E3954" i="5"/>
  <c r="D4049" i="5"/>
  <c r="D4051" i="5"/>
  <c r="D4054" i="5"/>
  <c r="D4047" i="5"/>
  <c r="D4048" i="5"/>
  <c r="D4053" i="5"/>
  <c r="C4050" i="5"/>
  <c r="C4046" i="5"/>
  <c r="E4046" i="5"/>
  <c r="C4054" i="5"/>
  <c r="F4054" i="5"/>
  <c r="C4047" i="5"/>
  <c r="C4048" i="5"/>
  <c r="F4048" i="5"/>
  <c r="C4049" i="5"/>
  <c r="D4050" i="5"/>
  <c r="D4052" i="5"/>
  <c r="D4046" i="5"/>
  <c r="C4053" i="5"/>
  <c r="E4053" i="5"/>
  <c r="D2206" i="5"/>
  <c r="D2204" i="5"/>
  <c r="C2209" i="5"/>
  <c r="F2209" i="5"/>
  <c r="D2205" i="5"/>
  <c r="D2208" i="5"/>
  <c r="D2209" i="5"/>
  <c r="C2204" i="5"/>
  <c r="C2205" i="5"/>
  <c r="C2202" i="5"/>
  <c r="D2201" i="5"/>
  <c r="C2203" i="5"/>
  <c r="F2203" i="5"/>
  <c r="D2202" i="5"/>
  <c r="C2201" i="5"/>
  <c r="E2201" i="5"/>
  <c r="D2203" i="5"/>
  <c r="D2207" i="5"/>
  <c r="C2208" i="5"/>
  <c r="E2208" i="5"/>
  <c r="D2382" i="5"/>
  <c r="D2384" i="5"/>
  <c r="C2389" i="5"/>
  <c r="F2389" i="5"/>
  <c r="D2385" i="5"/>
  <c r="D2388" i="5"/>
  <c r="C2384" i="5"/>
  <c r="D2389" i="5"/>
  <c r="C2385" i="5"/>
  <c r="D2381" i="5"/>
  <c r="D2383" i="5"/>
  <c r="C2381" i="5"/>
  <c r="E2381" i="5"/>
  <c r="D2386" i="5"/>
  <c r="C2382" i="5"/>
  <c r="C2383" i="5"/>
  <c r="F2383" i="5"/>
  <c r="C2388" i="5"/>
  <c r="E2388" i="5"/>
  <c r="D2387" i="5"/>
  <c r="D2534" i="5"/>
  <c r="D2539" i="5"/>
  <c r="D2536" i="5"/>
  <c r="D2537" i="5"/>
  <c r="D2538" i="5"/>
  <c r="D2540" i="5"/>
  <c r="D2535" i="5"/>
  <c r="D2541" i="5"/>
  <c r="D2542" i="5"/>
  <c r="C2541" i="5"/>
  <c r="E2541" i="5"/>
  <c r="C2542" i="5"/>
  <c r="F2542" i="5"/>
  <c r="C2537" i="5"/>
  <c r="C2538" i="5"/>
  <c r="C2539" i="5"/>
  <c r="E2539" i="5"/>
  <c r="C2536" i="5"/>
  <c r="F2536" i="5"/>
  <c r="C2535" i="5"/>
  <c r="C2534" i="5"/>
  <c r="E2534" i="5"/>
  <c r="C2540" i="5"/>
  <c r="F2540" i="5"/>
  <c r="D4445" i="5"/>
  <c r="D4447" i="5"/>
  <c r="D4446" i="5"/>
  <c r="D4448" i="5"/>
  <c r="D4449" i="5"/>
  <c r="D4450" i="5"/>
  <c r="C4442" i="5"/>
  <c r="E4442" i="5"/>
  <c r="D4442" i="5"/>
  <c r="D4443" i="5"/>
  <c r="D4444" i="5"/>
  <c r="C4447" i="5"/>
  <c r="E4447" i="5"/>
  <c r="C4448" i="5"/>
  <c r="F4448" i="5"/>
  <c r="C4449" i="5"/>
  <c r="E4449" i="5"/>
  <c r="C4443" i="5"/>
  <c r="C4444" i="5"/>
  <c r="F4444" i="5"/>
  <c r="C4446" i="5"/>
  <c r="C4445" i="5"/>
  <c r="C4450" i="5"/>
  <c r="F4450" i="5"/>
  <c r="D2630" i="5"/>
  <c r="D2631" i="5"/>
  <c r="D2624" i="5"/>
  <c r="C2629" i="5"/>
  <c r="E2629" i="5"/>
  <c r="D2625" i="5"/>
  <c r="D2628" i="5"/>
  <c r="C2631" i="5"/>
  <c r="E2631" i="5"/>
  <c r="D2629" i="5"/>
  <c r="C2632" i="5"/>
  <c r="F2632" i="5"/>
  <c r="D2632" i="5"/>
  <c r="C2630" i="5"/>
  <c r="F2630" i="5"/>
  <c r="D2627" i="5"/>
  <c r="C2624" i="5"/>
  <c r="E2624" i="5"/>
  <c r="D2626" i="5"/>
  <c r="C2625" i="5"/>
  <c r="C2626" i="5"/>
  <c r="F2626" i="5"/>
  <c r="C2627" i="5"/>
  <c r="C2628" i="5"/>
  <c r="D4020" i="5"/>
  <c r="D4021" i="5"/>
  <c r="D4019" i="5"/>
  <c r="D4023" i="5"/>
  <c r="D4026" i="5"/>
  <c r="C4021" i="5"/>
  <c r="F4021" i="5"/>
  <c r="D4027" i="5"/>
  <c r="D4025" i="5"/>
  <c r="D4022" i="5"/>
  <c r="D4024" i="5"/>
  <c r="C4019" i="5"/>
  <c r="E4019" i="5"/>
  <c r="C4020" i="5"/>
  <c r="C4022" i="5"/>
  <c r="C4023" i="5"/>
  <c r="C4026" i="5"/>
  <c r="E4026" i="5"/>
  <c r="C4027" i="5"/>
  <c r="F4027" i="5"/>
  <c r="D2084" i="5"/>
  <c r="D2091" i="5"/>
  <c r="D2092" i="5"/>
  <c r="D2085" i="5"/>
  <c r="C2086" i="5"/>
  <c r="F2086" i="5"/>
  <c r="D2086" i="5"/>
  <c r="C2087" i="5"/>
  <c r="D2087" i="5"/>
  <c r="D2088" i="5"/>
  <c r="C2088" i="5"/>
  <c r="C2091" i="5"/>
  <c r="E2091" i="5"/>
  <c r="C2085" i="5"/>
  <c r="C2084" i="5"/>
  <c r="E2084" i="5"/>
  <c r="D2089" i="5"/>
  <c r="C2092" i="5"/>
  <c r="F2092" i="5"/>
  <c r="D2090" i="5"/>
  <c r="A2802" i="5"/>
  <c r="B4415" i="5"/>
  <c r="C1289" i="5"/>
  <c r="F1289" i="5"/>
  <c r="C1297" i="5"/>
  <c r="E1297" i="5"/>
  <c r="D1114" i="5"/>
  <c r="D1112" i="5"/>
  <c r="D1115" i="5"/>
  <c r="D1117" i="5"/>
  <c r="C1112" i="5"/>
  <c r="E1112" i="5"/>
  <c r="D1118" i="5"/>
  <c r="C1119" i="5"/>
  <c r="E1119" i="5"/>
  <c r="D1120" i="5"/>
  <c r="D1113" i="5"/>
  <c r="C1113" i="5"/>
  <c r="D1116" i="5"/>
  <c r="C1114" i="5"/>
  <c r="F1114" i="5"/>
  <c r="D1119" i="5"/>
  <c r="C1115" i="5"/>
  <c r="C1116" i="5"/>
  <c r="C1120" i="5"/>
  <c r="F1120" i="5"/>
  <c r="D3725" i="5"/>
  <c r="D3726" i="5"/>
  <c r="D3723" i="5"/>
  <c r="D3724" i="5"/>
  <c r="C3722" i="5"/>
  <c r="E3722" i="5"/>
  <c r="D3722" i="5"/>
  <c r="D3727" i="5"/>
  <c r="D3728" i="5"/>
  <c r="C3725" i="5"/>
  <c r="C3726" i="5"/>
  <c r="C3723" i="5"/>
  <c r="D3729" i="5"/>
  <c r="D3730" i="5"/>
  <c r="C3729" i="5"/>
  <c r="E3729" i="5"/>
  <c r="C3724" i="5"/>
  <c r="F3724" i="5"/>
  <c r="C3730" i="5"/>
  <c r="F3730" i="5"/>
  <c r="D3590" i="5"/>
  <c r="D3593" i="5"/>
  <c r="D3594" i="5"/>
  <c r="D3595" i="5"/>
  <c r="C3589" i="5"/>
  <c r="F3589" i="5"/>
  <c r="D3587" i="5"/>
  <c r="C3595" i="5"/>
  <c r="F3595" i="5"/>
  <c r="D3588" i="5"/>
  <c r="D3589" i="5"/>
  <c r="D3591" i="5"/>
  <c r="C3593" i="5"/>
  <c r="F3593" i="5"/>
  <c r="D3592" i="5"/>
  <c r="C3590" i="5"/>
  <c r="C3591" i="5"/>
  <c r="C3592" i="5"/>
  <c r="E3592" i="5"/>
  <c r="C3594" i="5"/>
  <c r="E3594" i="5"/>
  <c r="C3587" i="5"/>
  <c r="E3587" i="5"/>
  <c r="C3588" i="5"/>
  <c r="D4229" i="5"/>
  <c r="D4231" i="5"/>
  <c r="D4227" i="5"/>
  <c r="D4228" i="5"/>
  <c r="C4234" i="5"/>
  <c r="F4234" i="5"/>
  <c r="D4226" i="5"/>
  <c r="D4230" i="5"/>
  <c r="C4233" i="5"/>
  <c r="E4233" i="5"/>
  <c r="D4232" i="5"/>
  <c r="D4233" i="5"/>
  <c r="C4226" i="5"/>
  <c r="E4226" i="5"/>
  <c r="C4227" i="5"/>
  <c r="C4230" i="5"/>
  <c r="C4232" i="5"/>
  <c r="F4232" i="5"/>
  <c r="C4228" i="5"/>
  <c r="F4228" i="5"/>
  <c r="C4229" i="5"/>
  <c r="D4234" i="5"/>
  <c r="D3840" i="5"/>
  <c r="D3841" i="5"/>
  <c r="D3847" i="5"/>
  <c r="D3845" i="5"/>
  <c r="D3846" i="5"/>
  <c r="C3841" i="5"/>
  <c r="F3841" i="5"/>
  <c r="C3842" i="5"/>
  <c r="D3844" i="5"/>
  <c r="C3839" i="5"/>
  <c r="E3839" i="5"/>
  <c r="C3840" i="5"/>
  <c r="C3843" i="5"/>
  <c r="D3842" i="5"/>
  <c r="D3843" i="5"/>
  <c r="C3846" i="5"/>
  <c r="E3846" i="5"/>
  <c r="C3847" i="5"/>
  <c r="F3847" i="5"/>
  <c r="D3839" i="5"/>
  <c r="C3577" i="5"/>
  <c r="F3577" i="5"/>
  <c r="D3569" i="5"/>
  <c r="D3575" i="5"/>
  <c r="D3576" i="5"/>
  <c r="D3577" i="5"/>
  <c r="C3569" i="5"/>
  <c r="E3569" i="5"/>
  <c r="C3570" i="5"/>
  <c r="D3570" i="5"/>
  <c r="D3571" i="5"/>
  <c r="D3572" i="5"/>
  <c r="C3571" i="5"/>
  <c r="F3571" i="5"/>
  <c r="C3574" i="5"/>
  <c r="E3574" i="5"/>
  <c r="C3576" i="5"/>
  <c r="E3576" i="5"/>
  <c r="D3573" i="5"/>
  <c r="D3574" i="5"/>
  <c r="C3572" i="5"/>
  <c r="C3573" i="5"/>
  <c r="C3575" i="5"/>
  <c r="F3575" i="5"/>
  <c r="D1438" i="5"/>
  <c r="D1436" i="5"/>
  <c r="D1441" i="5"/>
  <c r="D1442" i="5"/>
  <c r="C1436" i="5"/>
  <c r="E1436" i="5"/>
  <c r="D1443" i="5"/>
  <c r="C1444" i="5"/>
  <c r="F1444" i="5"/>
  <c r="D1444" i="5"/>
  <c r="C1438" i="5"/>
  <c r="F1438" i="5"/>
  <c r="D1437" i="5"/>
  <c r="C1443" i="5"/>
  <c r="E1443" i="5"/>
  <c r="D1439" i="5"/>
  <c r="D1440" i="5"/>
  <c r="C1439" i="5"/>
  <c r="C1437" i="5"/>
  <c r="C1440" i="5"/>
  <c r="D1582" i="5"/>
  <c r="D1580" i="5"/>
  <c r="D1586" i="5"/>
  <c r="D1587" i="5"/>
  <c r="C1580" i="5"/>
  <c r="E1580" i="5"/>
  <c r="D1588" i="5"/>
  <c r="D1584" i="5"/>
  <c r="D1585" i="5"/>
  <c r="C1587" i="5"/>
  <c r="E1587" i="5"/>
  <c r="C1584" i="5"/>
  <c r="D1583" i="5"/>
  <c r="C1581" i="5"/>
  <c r="C1582" i="5"/>
  <c r="F1582" i="5"/>
  <c r="C1583" i="5"/>
  <c r="C1588" i="5"/>
  <c r="F1588" i="5"/>
  <c r="D1581" i="5"/>
  <c r="D3291" i="5"/>
  <c r="D3294" i="5"/>
  <c r="D3298" i="5"/>
  <c r="D3290" i="5"/>
  <c r="C3294" i="5"/>
  <c r="D3292" i="5"/>
  <c r="D3293" i="5"/>
  <c r="D3295" i="5"/>
  <c r="D3296" i="5"/>
  <c r="D3297" i="5"/>
  <c r="C3290" i="5"/>
  <c r="E3290" i="5"/>
  <c r="C3291" i="5"/>
  <c r="C3292" i="5"/>
  <c r="F3292" i="5"/>
  <c r="C3293" i="5"/>
  <c r="C3297" i="5"/>
  <c r="E3297" i="5"/>
  <c r="C3298" i="5"/>
  <c r="F3298" i="5"/>
  <c r="D4067" i="5"/>
  <c r="D4068" i="5"/>
  <c r="D4069" i="5"/>
  <c r="D4064" i="5"/>
  <c r="C4066" i="5"/>
  <c r="F4066" i="5"/>
  <c r="D4065" i="5"/>
  <c r="D4066" i="5"/>
  <c r="D4070" i="5"/>
  <c r="C4064" i="5"/>
  <c r="E4064" i="5"/>
  <c r="D4071" i="5"/>
  <c r="D4072" i="5"/>
  <c r="C4072" i="5"/>
  <c r="F4072" i="5"/>
  <c r="C4065" i="5"/>
  <c r="C4067" i="5"/>
  <c r="C4068" i="5"/>
  <c r="C4071" i="5"/>
  <c r="E4071" i="5"/>
  <c r="D106" i="5"/>
  <c r="D110" i="5"/>
  <c r="D111" i="5"/>
  <c r="C112" i="5"/>
  <c r="F112" i="5"/>
  <c r="C111" i="5"/>
  <c r="E111" i="5"/>
  <c r="D104" i="5"/>
  <c r="C105" i="5"/>
  <c r="D107" i="5"/>
  <c r="C107" i="5"/>
  <c r="D108" i="5"/>
  <c r="C106" i="5"/>
  <c r="F106" i="5"/>
  <c r="C108" i="5"/>
  <c r="D112" i="5"/>
  <c r="D109" i="5"/>
  <c r="D105" i="5"/>
  <c r="C104" i="5"/>
  <c r="E104" i="5"/>
  <c r="E103" i="8"/>
  <c r="D3240" i="5"/>
  <c r="D3241" i="5"/>
  <c r="D3237" i="5"/>
  <c r="D3242" i="5"/>
  <c r="D3243" i="5"/>
  <c r="D3244" i="5"/>
  <c r="D3236" i="5"/>
  <c r="C3243" i="5"/>
  <c r="E3243" i="5"/>
  <c r="D3238" i="5"/>
  <c r="C3237" i="5"/>
  <c r="D3239" i="5"/>
  <c r="C3238" i="5"/>
  <c r="F3238" i="5"/>
  <c r="C3239" i="5"/>
  <c r="C3236" i="5"/>
  <c r="E3236" i="5"/>
  <c r="C3244" i="5"/>
  <c r="F3244" i="5"/>
  <c r="C3240" i="5"/>
  <c r="D790" i="5"/>
  <c r="D788" i="5"/>
  <c r="D796" i="5"/>
  <c r="C796" i="5"/>
  <c r="F796" i="5"/>
  <c r="D794" i="5"/>
  <c r="D795" i="5"/>
  <c r="C795" i="5"/>
  <c r="E795" i="5"/>
  <c r="D789" i="5"/>
  <c r="D792" i="5"/>
  <c r="D793" i="5"/>
  <c r="C791" i="5"/>
  <c r="C792" i="5"/>
  <c r="D791" i="5"/>
  <c r="C788" i="5"/>
  <c r="E788" i="5"/>
  <c r="C789" i="5"/>
  <c r="C790" i="5"/>
  <c r="F790" i="5"/>
  <c r="D2277" i="5"/>
  <c r="D2279" i="5"/>
  <c r="D2280" i="5"/>
  <c r="D2281" i="5"/>
  <c r="C2281" i="5"/>
  <c r="F2281" i="5"/>
  <c r="D2273" i="5"/>
  <c r="D2278" i="5"/>
  <c r="C2280" i="5"/>
  <c r="E2280" i="5"/>
  <c r="C2273" i="5"/>
  <c r="E2273" i="5"/>
  <c r="D2274" i="5"/>
  <c r="C2276" i="5"/>
  <c r="D2276" i="5"/>
  <c r="D2275" i="5"/>
  <c r="C2275" i="5"/>
  <c r="F2275" i="5"/>
  <c r="C2277" i="5"/>
  <c r="C2274" i="5"/>
  <c r="D394" i="5"/>
  <c r="D398" i="5"/>
  <c r="D399" i="5"/>
  <c r="D400" i="5"/>
  <c r="C400" i="5"/>
  <c r="F400" i="5"/>
  <c r="D396" i="5"/>
  <c r="D397" i="5"/>
  <c r="C399" i="5"/>
  <c r="E399" i="5"/>
  <c r="C395" i="5"/>
  <c r="D392" i="5"/>
  <c r="C396" i="5"/>
  <c r="D393" i="5"/>
  <c r="D395" i="5"/>
  <c r="C392" i="5"/>
  <c r="E392" i="5"/>
  <c r="C393" i="5"/>
  <c r="C394" i="5"/>
  <c r="F394" i="5"/>
  <c r="D2994" i="5"/>
  <c r="D2993" i="5"/>
  <c r="D2995" i="5"/>
  <c r="C3001" i="5"/>
  <c r="F3001" i="5"/>
  <c r="C2996" i="5"/>
  <c r="C2997" i="5"/>
  <c r="D2996" i="5"/>
  <c r="D2997" i="5"/>
  <c r="D2998" i="5"/>
  <c r="D2999" i="5"/>
  <c r="D3000" i="5"/>
  <c r="C3000" i="5"/>
  <c r="E3000" i="5"/>
  <c r="C2993" i="5"/>
  <c r="E2993" i="5"/>
  <c r="C2994" i="5"/>
  <c r="D3001" i="5"/>
  <c r="C2995" i="5"/>
  <c r="F2995" i="5"/>
  <c r="D526" i="5"/>
  <c r="D525" i="5"/>
  <c r="C520" i="5"/>
  <c r="F520" i="5"/>
  <c r="C521" i="5"/>
  <c r="D522" i="5"/>
  <c r="C522" i="5"/>
  <c r="D523" i="5"/>
  <c r="D524" i="5"/>
  <c r="C519" i="5"/>
  <c r="C525" i="5"/>
  <c r="E525" i="5"/>
  <c r="D518" i="5"/>
  <c r="D519" i="5"/>
  <c r="D520" i="5"/>
  <c r="D521" i="5"/>
  <c r="C526" i="5"/>
  <c r="F526" i="5"/>
  <c r="C518" i="5"/>
  <c r="E518" i="5"/>
  <c r="D46" i="5"/>
  <c r="D44" i="5"/>
  <c r="D45" i="5"/>
  <c r="C41" i="5"/>
  <c r="E41" i="5"/>
  <c r="D41" i="5"/>
  <c r="D42" i="5"/>
  <c r="C45" i="5"/>
  <c r="C48" i="5"/>
  <c r="E48" i="5"/>
  <c r="C49" i="5"/>
  <c r="F49" i="5"/>
  <c r="D47" i="5"/>
  <c r="D48" i="5"/>
  <c r="D49" i="5"/>
  <c r="D43" i="5"/>
  <c r="C42" i="5"/>
  <c r="C43" i="5"/>
  <c r="F43" i="5"/>
  <c r="C44" i="5"/>
  <c r="D1774" i="5"/>
  <c r="D1776" i="5"/>
  <c r="C1777" i="5"/>
  <c r="F1777" i="5"/>
  <c r="D1777" i="5"/>
  <c r="D1773" i="5"/>
  <c r="D1775" i="5"/>
  <c r="C1776" i="5"/>
  <c r="E1776" i="5"/>
  <c r="C1773" i="5"/>
  <c r="C1772" i="5"/>
  <c r="D1771" i="5"/>
  <c r="D1769" i="5"/>
  <c r="D1770" i="5"/>
  <c r="C1770" i="5"/>
  <c r="C1769" i="5"/>
  <c r="E1769" i="5"/>
  <c r="C1771" i="5"/>
  <c r="F1771" i="5"/>
  <c r="D1772" i="5"/>
  <c r="D1042" i="5"/>
  <c r="D1046" i="5"/>
  <c r="D1047" i="5"/>
  <c r="D1045" i="5"/>
  <c r="D1048" i="5"/>
  <c r="C1047" i="5"/>
  <c r="E1047" i="5"/>
  <c r="C1048" i="5"/>
  <c r="F1048" i="5"/>
  <c r="C1042" i="5"/>
  <c r="F1042" i="5"/>
  <c r="C1044" i="5"/>
  <c r="C1040" i="5"/>
  <c r="E1040" i="5"/>
  <c r="C1041" i="5"/>
  <c r="C1043" i="5"/>
  <c r="D1040" i="5"/>
  <c r="D1044" i="5"/>
  <c r="D1041" i="5"/>
  <c r="D1043" i="5"/>
  <c r="D3122" i="5"/>
  <c r="D3125" i="5"/>
  <c r="D3121" i="5"/>
  <c r="D3123" i="5"/>
  <c r="C3121" i="5"/>
  <c r="F3121" i="5"/>
  <c r="D3124" i="5"/>
  <c r="C3127" i="5"/>
  <c r="F3127" i="5"/>
  <c r="D3126" i="5"/>
  <c r="D3127" i="5"/>
  <c r="C3123" i="5"/>
  <c r="D3119" i="5"/>
  <c r="C3119" i="5"/>
  <c r="E3119" i="5"/>
  <c r="C3120" i="5"/>
  <c r="D3120" i="5"/>
  <c r="C3122" i="5"/>
  <c r="C3126" i="5"/>
  <c r="E3126" i="5"/>
  <c r="D1606" i="5"/>
  <c r="D1605" i="5"/>
  <c r="D1604" i="5"/>
  <c r="C1605" i="5"/>
  <c r="E1605" i="5"/>
  <c r="C1606" i="5"/>
  <c r="F1606" i="5"/>
  <c r="C1601" i="5"/>
  <c r="C1602" i="5"/>
  <c r="D1598" i="5"/>
  <c r="D1600" i="5"/>
  <c r="D1601" i="5"/>
  <c r="C1600" i="5"/>
  <c r="F1600" i="5"/>
  <c r="D1599" i="5"/>
  <c r="D1602" i="5"/>
  <c r="D1603" i="5"/>
  <c r="C1598" i="5"/>
  <c r="E1598" i="5"/>
  <c r="C1599" i="5"/>
  <c r="D3936" i="5"/>
  <c r="D3937" i="5"/>
  <c r="D3933" i="5"/>
  <c r="D3935" i="5"/>
  <c r="D3932" i="5"/>
  <c r="D3934" i="5"/>
  <c r="C3937" i="5"/>
  <c r="F3937" i="5"/>
  <c r="D3929" i="5"/>
  <c r="D3930" i="5"/>
  <c r="D3931" i="5"/>
  <c r="C3929" i="5"/>
  <c r="E3929" i="5"/>
  <c r="C3930" i="5"/>
  <c r="C3931" i="5"/>
  <c r="F3931" i="5"/>
  <c r="C3932" i="5"/>
  <c r="C3933" i="5"/>
  <c r="C3936" i="5"/>
  <c r="E3936" i="5"/>
  <c r="D1138" i="5"/>
  <c r="D1137" i="5"/>
  <c r="D1130" i="5"/>
  <c r="D1132" i="5"/>
  <c r="C1137" i="5"/>
  <c r="E1137" i="5"/>
  <c r="C1138" i="5"/>
  <c r="F1138" i="5"/>
  <c r="D1133" i="5"/>
  <c r="D1134" i="5"/>
  <c r="D1135" i="5"/>
  <c r="C1132" i="5"/>
  <c r="F1132" i="5"/>
  <c r="C1133" i="5"/>
  <c r="C1134" i="5"/>
  <c r="C1130" i="5"/>
  <c r="E1130" i="5"/>
  <c r="D1136" i="5"/>
  <c r="D1131" i="5"/>
  <c r="C1131" i="5"/>
  <c r="D3977" i="5"/>
  <c r="D3979" i="5"/>
  <c r="D3974" i="5"/>
  <c r="D3975" i="5"/>
  <c r="D3976" i="5"/>
  <c r="C3974" i="5"/>
  <c r="E3974" i="5"/>
  <c r="D3980" i="5"/>
  <c r="D3981" i="5"/>
  <c r="D3982" i="5"/>
  <c r="C3981" i="5"/>
  <c r="E3981" i="5"/>
  <c r="C3975" i="5"/>
  <c r="D3978" i="5"/>
  <c r="C3977" i="5"/>
  <c r="C3978" i="5"/>
  <c r="C3982" i="5"/>
  <c r="F3982" i="5"/>
  <c r="C3976" i="5"/>
  <c r="F3976" i="5"/>
  <c r="D4200" i="5"/>
  <c r="D4201" i="5"/>
  <c r="D4199" i="5"/>
  <c r="D4203" i="5"/>
  <c r="D4202" i="5"/>
  <c r="D4204" i="5"/>
  <c r="C4207" i="5"/>
  <c r="F4207" i="5"/>
  <c r="D4205" i="5"/>
  <c r="D4206" i="5"/>
  <c r="D4207" i="5"/>
  <c r="C4203" i="5"/>
  <c r="C4206" i="5"/>
  <c r="E4206" i="5"/>
  <c r="C4202" i="5"/>
  <c r="C4199" i="5"/>
  <c r="E4199" i="5"/>
  <c r="C4200" i="5"/>
  <c r="C4201" i="5"/>
  <c r="F4201" i="5"/>
  <c r="D3617" i="5"/>
  <c r="D3619" i="5"/>
  <c r="D3621" i="5"/>
  <c r="D3622" i="5"/>
  <c r="C3614" i="5"/>
  <c r="E3614" i="5"/>
  <c r="D3614" i="5"/>
  <c r="D3615" i="5"/>
  <c r="D3616" i="5"/>
  <c r="D3618" i="5"/>
  <c r="C3617" i="5"/>
  <c r="C3618" i="5"/>
  <c r="C3622" i="5"/>
  <c r="F3622" i="5"/>
  <c r="C3616" i="5"/>
  <c r="F3616" i="5"/>
  <c r="C3621" i="5"/>
  <c r="E3621" i="5"/>
  <c r="D3620" i="5"/>
  <c r="C3615" i="5"/>
  <c r="D928" i="5"/>
  <c r="C925" i="5"/>
  <c r="F925" i="5"/>
  <c r="D929" i="5"/>
  <c r="D925" i="5"/>
  <c r="D927" i="5"/>
  <c r="D931" i="5"/>
  <c r="C931" i="5"/>
  <c r="F931" i="5"/>
  <c r="D923" i="5"/>
  <c r="D930" i="5"/>
  <c r="C927" i="5"/>
  <c r="C930" i="5"/>
  <c r="E930" i="5"/>
  <c r="D924" i="5"/>
  <c r="C923" i="5"/>
  <c r="E923" i="5"/>
  <c r="D926" i="5"/>
  <c r="C924" i="5"/>
  <c r="C926" i="5"/>
  <c r="D1072" i="5"/>
  <c r="C1069" i="5"/>
  <c r="F1069" i="5"/>
  <c r="D1073" i="5"/>
  <c r="D1067" i="5"/>
  <c r="D1069" i="5"/>
  <c r="D1068" i="5"/>
  <c r="D1070" i="5"/>
  <c r="D1071" i="5"/>
  <c r="C1067" i="5"/>
  <c r="E1067" i="5"/>
  <c r="D1074" i="5"/>
  <c r="C1068" i="5"/>
  <c r="D1075" i="5"/>
  <c r="C1070" i="5"/>
  <c r="C1071" i="5"/>
  <c r="C1074" i="5"/>
  <c r="E1074" i="5"/>
  <c r="C1075" i="5"/>
  <c r="F1075" i="5"/>
  <c r="D1690" i="5"/>
  <c r="D1692" i="5"/>
  <c r="D1693" i="5"/>
  <c r="D1694" i="5"/>
  <c r="D1696" i="5"/>
  <c r="C1695" i="5"/>
  <c r="E1695" i="5"/>
  <c r="C1696" i="5"/>
  <c r="F1696" i="5"/>
  <c r="D1688" i="5"/>
  <c r="C1691" i="5"/>
  <c r="D1689" i="5"/>
  <c r="C1692" i="5"/>
  <c r="D1691" i="5"/>
  <c r="D1695" i="5"/>
  <c r="C1688" i="5"/>
  <c r="E1688" i="5"/>
  <c r="C1689" i="5"/>
  <c r="C1690" i="5"/>
  <c r="F1690" i="5"/>
  <c r="G1926" i="5"/>
  <c r="G863" i="5"/>
  <c r="G3446" i="5"/>
  <c r="G3459" i="5"/>
  <c r="G1939" i="5"/>
  <c r="D3361" i="5"/>
  <c r="D3360" i="5"/>
  <c r="D3356" i="5"/>
  <c r="C3361" i="5"/>
  <c r="F3361" i="5"/>
  <c r="D3357" i="5"/>
  <c r="D3358" i="5"/>
  <c r="D3359" i="5"/>
  <c r="D3353" i="5"/>
  <c r="C3359" i="5"/>
  <c r="F3359" i="5"/>
  <c r="D3354" i="5"/>
  <c r="C3360" i="5"/>
  <c r="E3360" i="5"/>
  <c r="D3355" i="5"/>
  <c r="C3353" i="5"/>
  <c r="E3353" i="5"/>
  <c r="C3354" i="5"/>
  <c r="C3355" i="5"/>
  <c r="F3355" i="5"/>
  <c r="C3357" i="5"/>
  <c r="C3356" i="5"/>
  <c r="C3358" i="5"/>
  <c r="E3358" i="5"/>
  <c r="D1726" i="5"/>
  <c r="D1724" i="5"/>
  <c r="D1731" i="5"/>
  <c r="D1732" i="5"/>
  <c r="C1724" i="5"/>
  <c r="E1724" i="5"/>
  <c r="D1725" i="5"/>
  <c r="C1727" i="5"/>
  <c r="D1727" i="5"/>
  <c r="C1728" i="5"/>
  <c r="D1728" i="5"/>
  <c r="D1729" i="5"/>
  <c r="C1725" i="5"/>
  <c r="C1732" i="5"/>
  <c r="F1732" i="5"/>
  <c r="D1730" i="5"/>
  <c r="C1726" i="5"/>
  <c r="F1726" i="5"/>
  <c r="C1731" i="5"/>
  <c r="E1731" i="5"/>
  <c r="D892" i="5"/>
  <c r="D893" i="5"/>
  <c r="D890" i="5"/>
  <c r="D891" i="5"/>
  <c r="D894" i="5"/>
  <c r="C887" i="5"/>
  <c r="E887" i="5"/>
  <c r="D887" i="5"/>
  <c r="D888" i="5"/>
  <c r="D889" i="5"/>
  <c r="D895" i="5"/>
  <c r="C888" i="5"/>
  <c r="C889" i="5"/>
  <c r="F889" i="5"/>
  <c r="C890" i="5"/>
  <c r="C891" i="5"/>
  <c r="C895" i="5"/>
  <c r="F895" i="5"/>
  <c r="C894" i="5"/>
  <c r="E894" i="5"/>
  <c r="D610" i="5"/>
  <c r="D608" i="5"/>
  <c r="C616" i="5"/>
  <c r="F616" i="5"/>
  <c r="D609" i="5"/>
  <c r="D611" i="5"/>
  <c r="C608" i="5"/>
  <c r="E608" i="5"/>
  <c r="C609" i="5"/>
  <c r="D612" i="5"/>
  <c r="C611" i="5"/>
  <c r="C615" i="5"/>
  <c r="E615" i="5"/>
  <c r="D615" i="5"/>
  <c r="D616" i="5"/>
  <c r="C610" i="5"/>
  <c r="F610" i="5"/>
  <c r="C612" i="5"/>
  <c r="D613" i="5"/>
  <c r="D614" i="5"/>
  <c r="D934" i="5"/>
  <c r="D940" i="5"/>
  <c r="D933" i="5"/>
  <c r="D935" i="5"/>
  <c r="D936" i="5"/>
  <c r="C936" i="5"/>
  <c r="D932" i="5"/>
  <c r="D937" i="5"/>
  <c r="C933" i="5"/>
  <c r="D938" i="5"/>
  <c r="D939" i="5"/>
  <c r="C932" i="5"/>
  <c r="E932" i="5"/>
  <c r="C934" i="5"/>
  <c r="F934" i="5"/>
  <c r="C939" i="5"/>
  <c r="E939" i="5"/>
  <c r="C935" i="5"/>
  <c r="C940" i="5"/>
  <c r="F940" i="5"/>
  <c r="D4334" i="5"/>
  <c r="D4341" i="5"/>
  <c r="D4342" i="5"/>
  <c r="C4342" i="5"/>
  <c r="F4342" i="5"/>
  <c r="C4338" i="5"/>
  <c r="C4339" i="5"/>
  <c r="E4339" i="5"/>
  <c r="D4337" i="5"/>
  <c r="C4336" i="5"/>
  <c r="F4336" i="5"/>
  <c r="D4338" i="5"/>
  <c r="C4337" i="5"/>
  <c r="D4339" i="5"/>
  <c r="D4340" i="5"/>
  <c r="C4334" i="5"/>
  <c r="E4334" i="5"/>
  <c r="C4335" i="5"/>
  <c r="C4341" i="5"/>
  <c r="E4341" i="5"/>
  <c r="D4336" i="5"/>
  <c r="D4335" i="5"/>
  <c r="D1558" i="5"/>
  <c r="D1553" i="5"/>
  <c r="C1561" i="5"/>
  <c r="F1561" i="5"/>
  <c r="D1554" i="5"/>
  <c r="D1559" i="5"/>
  <c r="D1560" i="5"/>
  <c r="D1561" i="5"/>
  <c r="C1553" i="5"/>
  <c r="E1553" i="5"/>
  <c r="C1554" i="5"/>
  <c r="D1556" i="5"/>
  <c r="C1555" i="5"/>
  <c r="F1555" i="5"/>
  <c r="D1557" i="5"/>
  <c r="C1556" i="5"/>
  <c r="D1555" i="5"/>
  <c r="C1560" i="5"/>
  <c r="E1560" i="5"/>
  <c r="C1557" i="5"/>
  <c r="D2270" i="5"/>
  <c r="D2264" i="5"/>
  <c r="D2265" i="5"/>
  <c r="D2266" i="5"/>
  <c r="C2269" i="5"/>
  <c r="E2269" i="5"/>
  <c r="D2271" i="5"/>
  <c r="D2272" i="5"/>
  <c r="C2266" i="5"/>
  <c r="F2266" i="5"/>
  <c r="C2267" i="5"/>
  <c r="C2271" i="5"/>
  <c r="E2271" i="5"/>
  <c r="C2272" i="5"/>
  <c r="F2272" i="5"/>
  <c r="D2267" i="5"/>
  <c r="C2264" i="5"/>
  <c r="E2264" i="5"/>
  <c r="D2268" i="5"/>
  <c r="C2265" i="5"/>
  <c r="D2269" i="5"/>
  <c r="C2268" i="5"/>
  <c r="C2270" i="5"/>
  <c r="F2270" i="5"/>
  <c r="D2194" i="5"/>
  <c r="C2197" i="5"/>
  <c r="E2197" i="5"/>
  <c r="D2192" i="5"/>
  <c r="D2193" i="5"/>
  <c r="D2195" i="5"/>
  <c r="D2196" i="5"/>
  <c r="D2197" i="5"/>
  <c r="C2192" i="5"/>
  <c r="E2192" i="5"/>
  <c r="D2198" i="5"/>
  <c r="D2199" i="5"/>
  <c r="D2200" i="5"/>
  <c r="C2193" i="5"/>
  <c r="C2196" i="5"/>
  <c r="C2195" i="5"/>
  <c r="C2194" i="5"/>
  <c r="F2194" i="5"/>
  <c r="C2199" i="5"/>
  <c r="E2199" i="5"/>
  <c r="C2200" i="5"/>
  <c r="F2200" i="5"/>
  <c r="C2198" i="5"/>
  <c r="F2198" i="5"/>
  <c r="D3062" i="5"/>
  <c r="D3059" i="5"/>
  <c r="D3060" i="5"/>
  <c r="C3061" i="5"/>
  <c r="E3061" i="5"/>
  <c r="D3061" i="5"/>
  <c r="C3062" i="5"/>
  <c r="F3062" i="5"/>
  <c r="C3063" i="5"/>
  <c r="E3063" i="5"/>
  <c r="C3059" i="5"/>
  <c r="C3060" i="5"/>
  <c r="C3064" i="5"/>
  <c r="F3064" i="5"/>
  <c r="D3058" i="5"/>
  <c r="D3064" i="5"/>
  <c r="D3056" i="5"/>
  <c r="C3056" i="5"/>
  <c r="E3056" i="5"/>
  <c r="C3057" i="5"/>
  <c r="C3058" i="5"/>
  <c r="F3058" i="5"/>
  <c r="D3057" i="5"/>
  <c r="D3063" i="5"/>
  <c r="D1078" i="5"/>
  <c r="C1081" i="5"/>
  <c r="E1081" i="5"/>
  <c r="D1082" i="5"/>
  <c r="D1084" i="5"/>
  <c r="D1083" i="5"/>
  <c r="D1080" i="5"/>
  <c r="C1078" i="5"/>
  <c r="F1078" i="5"/>
  <c r="D1081" i="5"/>
  <c r="C1079" i="5"/>
  <c r="D1079" i="5"/>
  <c r="C1082" i="5"/>
  <c r="F1082" i="5"/>
  <c r="C1084" i="5"/>
  <c r="F1084" i="5"/>
  <c r="D1076" i="5"/>
  <c r="D1077" i="5"/>
  <c r="C1080" i="5"/>
  <c r="C1076" i="5"/>
  <c r="E1076" i="5"/>
  <c r="C1077" i="5"/>
  <c r="C1083" i="5"/>
  <c r="E1083" i="5"/>
  <c r="D4163" i="5"/>
  <c r="D4164" i="5"/>
  <c r="D4165" i="5"/>
  <c r="D4169" i="5"/>
  <c r="D4171" i="5"/>
  <c r="D4170" i="5"/>
  <c r="D4166" i="5"/>
  <c r="D4167" i="5"/>
  <c r="C4166" i="5"/>
  <c r="C4167" i="5"/>
  <c r="C4170" i="5"/>
  <c r="E4170" i="5"/>
  <c r="C4163" i="5"/>
  <c r="E4163" i="5"/>
  <c r="C4164" i="5"/>
  <c r="D4168" i="5"/>
  <c r="C4165" i="5"/>
  <c r="F4165" i="5"/>
  <c r="C4171" i="5"/>
  <c r="F4171" i="5"/>
  <c r="D1579" i="5"/>
  <c r="C1573" i="5"/>
  <c r="F1573" i="5"/>
  <c r="D1574" i="5"/>
  <c r="D1575" i="5"/>
  <c r="D1576" i="5"/>
  <c r="C1579" i="5"/>
  <c r="F1579" i="5"/>
  <c r="C1571" i="5"/>
  <c r="E1571" i="5"/>
  <c r="D1571" i="5"/>
  <c r="C1578" i="5"/>
  <c r="E1578" i="5"/>
  <c r="D1573" i="5"/>
  <c r="D1577" i="5"/>
  <c r="D1572" i="5"/>
  <c r="D1578" i="5"/>
  <c r="C1572" i="5"/>
  <c r="C1574" i="5"/>
  <c r="C1575" i="5"/>
  <c r="D4488" i="5"/>
  <c r="D4489" i="5"/>
  <c r="D4487" i="5"/>
  <c r="D4491" i="5"/>
  <c r="D4490" i="5"/>
  <c r="D4492" i="5"/>
  <c r="D4495" i="5"/>
  <c r="C4489" i="5"/>
  <c r="F4489" i="5"/>
  <c r="C4490" i="5"/>
  <c r="C4495" i="5"/>
  <c r="F4495" i="5"/>
  <c r="D4493" i="5"/>
  <c r="D4494" i="5"/>
  <c r="C4488" i="5"/>
  <c r="C4491" i="5"/>
  <c r="C4487" i="5"/>
  <c r="E4487" i="5"/>
  <c r="C4494" i="5"/>
  <c r="E4494" i="5"/>
  <c r="D2822" i="5"/>
  <c r="D2824" i="5"/>
  <c r="D2823" i="5"/>
  <c r="D2825" i="5"/>
  <c r="D2826" i="5"/>
  <c r="D2827" i="5"/>
  <c r="C2826" i="5"/>
  <c r="D2828" i="5"/>
  <c r="D2829" i="5"/>
  <c r="D2830" i="5"/>
  <c r="C2824" i="5"/>
  <c r="F2824" i="5"/>
  <c r="C2825" i="5"/>
  <c r="C2822" i="5"/>
  <c r="E2822" i="5"/>
  <c r="C2823" i="5"/>
  <c r="C2829" i="5"/>
  <c r="E2829" i="5"/>
  <c r="C2830" i="5"/>
  <c r="F2830" i="5"/>
  <c r="D2858" i="5"/>
  <c r="D2863" i="5"/>
  <c r="D2865" i="5"/>
  <c r="D2866" i="5"/>
  <c r="D2861" i="5"/>
  <c r="D2862" i="5"/>
  <c r="D2864" i="5"/>
  <c r="C2865" i="5"/>
  <c r="E2865" i="5"/>
  <c r="C2866" i="5"/>
  <c r="F2866" i="5"/>
  <c r="C2858" i="5"/>
  <c r="E2858" i="5"/>
  <c r="C2859" i="5"/>
  <c r="C2862" i="5"/>
  <c r="D2859" i="5"/>
  <c r="C2860" i="5"/>
  <c r="F2860" i="5"/>
  <c r="C2861" i="5"/>
  <c r="D2860" i="5"/>
  <c r="D118" i="5"/>
  <c r="D116" i="5"/>
  <c r="D117" i="5"/>
  <c r="C113" i="5"/>
  <c r="E113" i="5"/>
  <c r="D114" i="5"/>
  <c r="D115" i="5"/>
  <c r="D119" i="5"/>
  <c r="C121" i="5"/>
  <c r="F121" i="5"/>
  <c r="C114" i="5"/>
  <c r="C115" i="5"/>
  <c r="F115" i="5"/>
  <c r="D120" i="5"/>
  <c r="C116" i="5"/>
  <c r="D113" i="5"/>
  <c r="C117" i="5"/>
  <c r="C120" i="5"/>
  <c r="E120" i="5"/>
  <c r="D121" i="5"/>
  <c r="D2942" i="5"/>
  <c r="D2941" i="5"/>
  <c r="D2940" i="5"/>
  <c r="C2941" i="5"/>
  <c r="F2941" i="5"/>
  <c r="D2943" i="5"/>
  <c r="D2945" i="5"/>
  <c r="D2946" i="5"/>
  <c r="D2947" i="5"/>
  <c r="C2946" i="5"/>
  <c r="E2946" i="5"/>
  <c r="D2939" i="5"/>
  <c r="C2939" i="5"/>
  <c r="E2939" i="5"/>
  <c r="D2944" i="5"/>
  <c r="C2940" i="5"/>
  <c r="C2942" i="5"/>
  <c r="C2943" i="5"/>
  <c r="C2947" i="5"/>
  <c r="F2947" i="5"/>
  <c r="D3074" i="5"/>
  <c r="D3079" i="5"/>
  <c r="D3080" i="5"/>
  <c r="D3077" i="5"/>
  <c r="D3078" i="5"/>
  <c r="C3075" i="5"/>
  <c r="C3076" i="5"/>
  <c r="F3076" i="5"/>
  <c r="D3075" i="5"/>
  <c r="D3076" i="5"/>
  <c r="D3081" i="5"/>
  <c r="C3077" i="5"/>
  <c r="D3082" i="5"/>
  <c r="C3078" i="5"/>
  <c r="C3082" i="5"/>
  <c r="F3082" i="5"/>
  <c r="C3074" i="5"/>
  <c r="E3074" i="5"/>
  <c r="C3081" i="5"/>
  <c r="E3081" i="5"/>
  <c r="D4476" i="5"/>
  <c r="D4477" i="5"/>
  <c r="D4473" i="5"/>
  <c r="D4475" i="5"/>
  <c r="D4469" i="5"/>
  <c r="D4470" i="5"/>
  <c r="D4474" i="5"/>
  <c r="C4477" i="5"/>
  <c r="F4477" i="5"/>
  <c r="D4471" i="5"/>
  <c r="C4469" i="5"/>
  <c r="E4469" i="5"/>
  <c r="D4472" i="5"/>
  <c r="C4470" i="5"/>
  <c r="C4471" i="5"/>
  <c r="F4471" i="5"/>
  <c r="C4476" i="5"/>
  <c r="E4476" i="5"/>
  <c r="C4472" i="5"/>
  <c r="C4473" i="5"/>
  <c r="D2726" i="5"/>
  <c r="D2723" i="5"/>
  <c r="C2725" i="5"/>
  <c r="F2725" i="5"/>
  <c r="D2724" i="5"/>
  <c r="C2730" i="5"/>
  <c r="E2730" i="5"/>
  <c r="C2731" i="5"/>
  <c r="F2731" i="5"/>
  <c r="D2730" i="5"/>
  <c r="D2727" i="5"/>
  <c r="D2728" i="5"/>
  <c r="C2723" i="5"/>
  <c r="E2723" i="5"/>
  <c r="D2729" i="5"/>
  <c r="C2724" i="5"/>
  <c r="D2731" i="5"/>
  <c r="C2726" i="5"/>
  <c r="C2727" i="5"/>
  <c r="C2728" i="5"/>
  <c r="E2728" i="5"/>
  <c r="C2729" i="5"/>
  <c r="F2729" i="5"/>
  <c r="D2725" i="5"/>
  <c r="C4286" i="5"/>
  <c r="F4286" i="5"/>
  <c r="C1838" i="5"/>
  <c r="F1838" i="5"/>
  <c r="D3900" i="5"/>
  <c r="D3901" i="5"/>
  <c r="D3893" i="5"/>
  <c r="D3898" i="5"/>
  <c r="D3896" i="5"/>
  <c r="D3897" i="5"/>
  <c r="D3894" i="5"/>
  <c r="D3895" i="5"/>
  <c r="C3901" i="5"/>
  <c r="F3901" i="5"/>
  <c r="C3897" i="5"/>
  <c r="C3898" i="5"/>
  <c r="E3898" i="5"/>
  <c r="D3899" i="5"/>
  <c r="C3893" i="5"/>
  <c r="E3893" i="5"/>
  <c r="C3894" i="5"/>
  <c r="C3895" i="5"/>
  <c r="F3895" i="5"/>
  <c r="C3900" i="5"/>
  <c r="E3900" i="5"/>
  <c r="C3896" i="5"/>
  <c r="D442" i="5"/>
  <c r="D437" i="5"/>
  <c r="D438" i="5"/>
  <c r="C437" i="5"/>
  <c r="E437" i="5"/>
  <c r="C442" i="5"/>
  <c r="E442" i="5"/>
  <c r="C443" i="5"/>
  <c r="F443" i="5"/>
  <c r="D439" i="5"/>
  <c r="C439" i="5"/>
  <c r="F439" i="5"/>
  <c r="C440" i="5"/>
  <c r="C441" i="5"/>
  <c r="C444" i="5"/>
  <c r="E444" i="5"/>
  <c r="D440" i="5"/>
  <c r="D441" i="5"/>
  <c r="D445" i="5"/>
  <c r="D444" i="5"/>
  <c r="D443" i="5"/>
  <c r="C438" i="5"/>
  <c r="C445" i="5"/>
  <c r="F445" i="5"/>
  <c r="D1462" i="5"/>
  <c r="D1461" i="5"/>
  <c r="D1459" i="5"/>
  <c r="C1461" i="5"/>
  <c r="E1461" i="5"/>
  <c r="D1460" i="5"/>
  <c r="C1462" i="5"/>
  <c r="F1462" i="5"/>
  <c r="C1454" i="5"/>
  <c r="E1454" i="5"/>
  <c r="D1455" i="5"/>
  <c r="C1456" i="5"/>
  <c r="F1456" i="5"/>
  <c r="D1456" i="5"/>
  <c r="D1454" i="5"/>
  <c r="D1457" i="5"/>
  <c r="D1458" i="5"/>
  <c r="C1455" i="5"/>
  <c r="C1458" i="5"/>
  <c r="C1457" i="5"/>
  <c r="D3134" i="5"/>
  <c r="D3136" i="5"/>
  <c r="D3129" i="5"/>
  <c r="D3130" i="5"/>
  <c r="D3128" i="5"/>
  <c r="D3131" i="5"/>
  <c r="D3132" i="5"/>
  <c r="C3128" i="5"/>
  <c r="E3128" i="5"/>
  <c r="D3133" i="5"/>
  <c r="D3135" i="5"/>
  <c r="C3136" i="5"/>
  <c r="F3136" i="5"/>
  <c r="C3132" i="5"/>
  <c r="C3135" i="5"/>
  <c r="E3135" i="5"/>
  <c r="C3129" i="5"/>
  <c r="C3131" i="5"/>
  <c r="C3130" i="5"/>
  <c r="F3130" i="5"/>
  <c r="D527" i="5"/>
  <c r="D530" i="5"/>
  <c r="D531" i="5"/>
  <c r="D532" i="5"/>
  <c r="C529" i="5"/>
  <c r="F529" i="5"/>
  <c r="C530" i="5"/>
  <c r="C531" i="5"/>
  <c r="C534" i="5"/>
  <c r="E534" i="5"/>
  <c r="D528" i="5"/>
  <c r="D529" i="5"/>
  <c r="C527" i="5"/>
  <c r="E527" i="5"/>
  <c r="D533" i="5"/>
  <c r="D534" i="5"/>
  <c r="D535" i="5"/>
  <c r="C528" i="5"/>
  <c r="C535" i="5"/>
  <c r="F535" i="5"/>
  <c r="D3744" i="5"/>
  <c r="D3745" i="5"/>
  <c r="D3747" i="5"/>
  <c r="D3741" i="5"/>
  <c r="D3742" i="5"/>
  <c r="D3748" i="5"/>
  <c r="D3743" i="5"/>
  <c r="D3746" i="5"/>
  <c r="C3740" i="5"/>
  <c r="E3740" i="5"/>
  <c r="C3741" i="5"/>
  <c r="D3740" i="5"/>
  <c r="C3743" i="5"/>
  <c r="C3744" i="5"/>
  <c r="C3742" i="5"/>
  <c r="F3742" i="5"/>
  <c r="C3747" i="5"/>
  <c r="E3747" i="5"/>
  <c r="C3748" i="5"/>
  <c r="F3748" i="5"/>
  <c r="R457" i="3"/>
  <c r="G457" i="8"/>
  <c r="D4088" i="5"/>
  <c r="D4090" i="5"/>
  <c r="D4084" i="5"/>
  <c r="D4085" i="5"/>
  <c r="D4089" i="5"/>
  <c r="C4090" i="5"/>
  <c r="F4090" i="5"/>
  <c r="C4089" i="5"/>
  <c r="E4089" i="5"/>
  <c r="D4082" i="5"/>
  <c r="D4083" i="5"/>
  <c r="D4086" i="5"/>
  <c r="D4087" i="5"/>
  <c r="C4082" i="5"/>
  <c r="E4082" i="5"/>
  <c r="C4084" i="5"/>
  <c r="F4084" i="5"/>
  <c r="C4085" i="5"/>
  <c r="C4083" i="5"/>
  <c r="C4086" i="5"/>
  <c r="D3792" i="5"/>
  <c r="D3793" i="5"/>
  <c r="D3789" i="5"/>
  <c r="D3791" i="5"/>
  <c r="C3793" i="5"/>
  <c r="F3793" i="5"/>
  <c r="D3788" i="5"/>
  <c r="D3790" i="5"/>
  <c r="C3789" i="5"/>
  <c r="C3785" i="5"/>
  <c r="E3785" i="5"/>
  <c r="D3786" i="5"/>
  <c r="C3787" i="5"/>
  <c r="F3787" i="5"/>
  <c r="D3787" i="5"/>
  <c r="C3788" i="5"/>
  <c r="D3785" i="5"/>
  <c r="C3786" i="5"/>
  <c r="C3792" i="5"/>
  <c r="E3792" i="5"/>
  <c r="D178" i="5"/>
  <c r="D176" i="5"/>
  <c r="D180" i="5"/>
  <c r="C184" i="5"/>
  <c r="F184" i="5"/>
  <c r="D181" i="5"/>
  <c r="C183" i="5"/>
  <c r="E183" i="5"/>
  <c r="D179" i="5"/>
  <c r="D183" i="5"/>
  <c r="C177" i="5"/>
  <c r="D184" i="5"/>
  <c r="C176" i="5"/>
  <c r="E176" i="5"/>
  <c r="C178" i="5"/>
  <c r="F178" i="5"/>
  <c r="C179" i="5"/>
  <c r="D177" i="5"/>
  <c r="D182" i="5"/>
  <c r="C180" i="5"/>
  <c r="D3110" i="5"/>
  <c r="D3112" i="5"/>
  <c r="D3113" i="5"/>
  <c r="D3114" i="5"/>
  <c r="D3111" i="5"/>
  <c r="C3114" i="5"/>
  <c r="D3117" i="5"/>
  <c r="D3118" i="5"/>
  <c r="C3110" i="5"/>
  <c r="E3110" i="5"/>
  <c r="D3116" i="5"/>
  <c r="C3113" i="5"/>
  <c r="C3117" i="5"/>
  <c r="E3117" i="5"/>
  <c r="C3118" i="5"/>
  <c r="F3118" i="5"/>
  <c r="D3115" i="5"/>
  <c r="C3111" i="5"/>
  <c r="C3112" i="5"/>
  <c r="F3112" i="5"/>
  <c r="E76" i="8"/>
  <c r="D658" i="5"/>
  <c r="D656" i="5"/>
  <c r="D657" i="5"/>
  <c r="D654" i="5"/>
  <c r="D655" i="5"/>
  <c r="C653" i="5"/>
  <c r="E653" i="5"/>
  <c r="D659" i="5"/>
  <c r="D653" i="5"/>
  <c r="C661" i="5"/>
  <c r="F661" i="5"/>
  <c r="D660" i="5"/>
  <c r="C655" i="5"/>
  <c r="F655" i="5"/>
  <c r="C656" i="5"/>
  <c r="C657" i="5"/>
  <c r="D661" i="5"/>
  <c r="C654" i="5"/>
  <c r="C660" i="5"/>
  <c r="E660" i="5"/>
  <c r="D1501" i="5"/>
  <c r="C1501" i="5"/>
  <c r="F1501" i="5"/>
  <c r="D1502" i="5"/>
  <c r="D1504" i="5"/>
  <c r="C1500" i="5"/>
  <c r="D1505" i="5"/>
  <c r="C1502" i="5"/>
  <c r="D1506" i="5"/>
  <c r="D1500" i="5"/>
  <c r="C1507" i="5"/>
  <c r="F1507" i="5"/>
  <c r="D1503" i="5"/>
  <c r="D1507" i="5"/>
  <c r="D1499" i="5"/>
  <c r="C1499" i="5"/>
  <c r="E1499" i="5"/>
  <c r="C1503" i="5"/>
  <c r="C1504" i="5"/>
  <c r="E1504" i="5"/>
  <c r="C1505" i="5"/>
  <c r="F1505" i="5"/>
  <c r="C1506" i="5"/>
  <c r="E1506" i="5"/>
  <c r="R232" i="3"/>
  <c r="D787" i="5"/>
  <c r="D781" i="5"/>
  <c r="D782" i="5"/>
  <c r="D783" i="5"/>
  <c r="C780" i="5"/>
  <c r="C781" i="5"/>
  <c r="F781" i="5"/>
  <c r="C779" i="5"/>
  <c r="E779" i="5"/>
  <c r="C783" i="5"/>
  <c r="D779" i="5"/>
  <c r="D780" i="5"/>
  <c r="C782" i="5"/>
  <c r="D784" i="5"/>
  <c r="C786" i="5"/>
  <c r="E786" i="5"/>
  <c r="D785" i="5"/>
  <c r="D786" i="5"/>
  <c r="C787" i="5"/>
  <c r="F787" i="5"/>
  <c r="R127" i="3"/>
  <c r="D671" i="5"/>
  <c r="D672" i="5"/>
  <c r="D673" i="5"/>
  <c r="D674" i="5"/>
  <c r="D675" i="5"/>
  <c r="D678" i="5"/>
  <c r="C675" i="5"/>
  <c r="C679" i="5"/>
  <c r="F679" i="5"/>
  <c r="C673" i="5"/>
  <c r="F673" i="5"/>
  <c r="C674" i="5"/>
  <c r="C678" i="5"/>
  <c r="E678" i="5"/>
  <c r="D676" i="5"/>
  <c r="D677" i="5"/>
  <c r="C671" i="5"/>
  <c r="E671" i="5"/>
  <c r="C672" i="5"/>
  <c r="D679" i="5"/>
  <c r="D1975" i="5"/>
  <c r="D1967" i="5"/>
  <c r="C1969" i="5"/>
  <c r="F1969" i="5"/>
  <c r="D1968" i="5"/>
  <c r="D1972" i="5"/>
  <c r="D1973" i="5"/>
  <c r="D1974" i="5"/>
  <c r="D1969" i="5"/>
  <c r="C1968" i="5"/>
  <c r="D1970" i="5"/>
  <c r="C1970" i="5"/>
  <c r="D1971" i="5"/>
  <c r="C1967" i="5"/>
  <c r="E1967" i="5"/>
  <c r="C1971" i="5"/>
  <c r="C1974" i="5"/>
  <c r="E1974" i="5"/>
  <c r="C1975" i="5"/>
  <c r="F1975" i="5"/>
  <c r="D3349" i="5"/>
  <c r="D3351" i="5"/>
  <c r="D3346" i="5"/>
  <c r="D3350" i="5"/>
  <c r="D3352" i="5"/>
  <c r="D3344" i="5"/>
  <c r="D3345" i="5"/>
  <c r="C3346" i="5"/>
  <c r="F3346" i="5"/>
  <c r="C3347" i="5"/>
  <c r="C3348" i="5"/>
  <c r="D3347" i="5"/>
  <c r="C3351" i="5"/>
  <c r="E3351" i="5"/>
  <c r="C3344" i="5"/>
  <c r="E3344" i="5"/>
  <c r="C3345" i="5"/>
  <c r="D3348" i="5"/>
  <c r="C3352" i="5"/>
  <c r="F3352" i="5"/>
  <c r="D2438" i="5"/>
  <c r="D2436" i="5"/>
  <c r="D2437" i="5"/>
  <c r="C2437" i="5"/>
  <c r="F2437" i="5"/>
  <c r="D2435" i="5"/>
  <c r="D2439" i="5"/>
  <c r="D2440" i="5"/>
  <c r="C2436" i="5"/>
  <c r="C2438" i="5"/>
  <c r="C2443" i="5"/>
  <c r="F2443" i="5"/>
  <c r="D2441" i="5"/>
  <c r="C2442" i="5"/>
  <c r="E2442" i="5"/>
  <c r="D2443" i="5"/>
  <c r="D2442" i="5"/>
  <c r="C2435" i="5"/>
  <c r="E2435" i="5"/>
  <c r="C2439" i="5"/>
  <c r="D826" i="5"/>
  <c r="D827" i="5"/>
  <c r="D828" i="5"/>
  <c r="D829" i="5"/>
  <c r="C832" i="5"/>
  <c r="F832" i="5"/>
  <c r="D830" i="5"/>
  <c r="D831" i="5"/>
  <c r="C824" i="5"/>
  <c r="E824" i="5"/>
  <c r="C825" i="5"/>
  <c r="C831" i="5"/>
  <c r="E831" i="5"/>
  <c r="C826" i="5"/>
  <c r="F826" i="5"/>
  <c r="D824" i="5"/>
  <c r="D825" i="5"/>
  <c r="C827" i="5"/>
  <c r="C828" i="5"/>
  <c r="D832" i="5"/>
  <c r="D3972" i="5"/>
  <c r="D3973" i="5"/>
  <c r="D3965" i="5"/>
  <c r="D3968" i="5"/>
  <c r="D3971" i="5"/>
  <c r="C3973" i="5"/>
  <c r="F3973" i="5"/>
  <c r="D3966" i="5"/>
  <c r="D3967" i="5"/>
  <c r="C3969" i="5"/>
  <c r="C3965" i="5"/>
  <c r="E3965" i="5"/>
  <c r="C3968" i="5"/>
  <c r="C3972" i="5"/>
  <c r="E3972" i="5"/>
  <c r="D3969" i="5"/>
  <c r="D3970" i="5"/>
  <c r="C3966" i="5"/>
  <c r="C3967" i="5"/>
  <c r="F3967" i="5"/>
  <c r="D967" i="5"/>
  <c r="C961" i="5"/>
  <c r="F961" i="5"/>
  <c r="D960" i="5"/>
  <c r="C967" i="5"/>
  <c r="F967" i="5"/>
  <c r="D959" i="5"/>
  <c r="D961" i="5"/>
  <c r="D962" i="5"/>
  <c r="C966" i="5"/>
  <c r="E966" i="5"/>
  <c r="C959" i="5"/>
  <c r="E959" i="5"/>
  <c r="C960" i="5"/>
  <c r="D966" i="5"/>
  <c r="C962" i="5"/>
  <c r="D963" i="5"/>
  <c r="D964" i="5"/>
  <c r="D965" i="5"/>
  <c r="C963" i="5"/>
  <c r="D10" i="5"/>
  <c r="D5" i="5"/>
  <c r="D6" i="5"/>
  <c r="D7" i="5"/>
  <c r="D8" i="5"/>
  <c r="C5" i="5"/>
  <c r="E5" i="5"/>
  <c r="D9" i="5"/>
  <c r="D11" i="5"/>
  <c r="C6" i="5"/>
  <c r="C7" i="5"/>
  <c r="F7" i="5"/>
  <c r="C8" i="5"/>
  <c r="C12" i="5"/>
  <c r="E12" i="5"/>
  <c r="C13" i="5"/>
  <c r="F13" i="5"/>
  <c r="D12" i="5"/>
  <c r="D13" i="5"/>
  <c r="C9" i="5"/>
  <c r="D1258" i="5"/>
  <c r="D1256" i="5"/>
  <c r="D1259" i="5"/>
  <c r="C1264" i="5"/>
  <c r="F1264" i="5"/>
  <c r="D1257" i="5"/>
  <c r="D1261" i="5"/>
  <c r="D1262" i="5"/>
  <c r="C1263" i="5"/>
  <c r="E1263" i="5"/>
  <c r="D1263" i="5"/>
  <c r="D1260" i="5"/>
  <c r="D1264" i="5"/>
  <c r="C1257" i="5"/>
  <c r="C1258" i="5"/>
  <c r="F1258" i="5"/>
  <c r="C1259" i="5"/>
  <c r="C1260" i="5"/>
  <c r="C1256" i="5"/>
  <c r="E1256" i="5"/>
  <c r="D4175" i="5"/>
  <c r="D4176" i="5"/>
  <c r="D4177" i="5"/>
  <c r="D4173" i="5"/>
  <c r="D4174" i="5"/>
  <c r="D4178" i="5"/>
  <c r="D4179" i="5"/>
  <c r="C4174" i="5"/>
  <c r="F4174" i="5"/>
  <c r="D4172" i="5"/>
  <c r="C4172" i="5"/>
  <c r="E4172" i="5"/>
  <c r="C4173" i="5"/>
  <c r="C4179" i="5"/>
  <c r="E4179" i="5"/>
  <c r="C4175" i="5"/>
  <c r="D4180" i="5"/>
  <c r="C4180" i="5"/>
  <c r="F4180" i="5"/>
  <c r="C4176" i="5"/>
  <c r="D1270" i="5"/>
  <c r="D1268" i="5"/>
  <c r="D1269" i="5"/>
  <c r="D1272" i="5"/>
  <c r="D1273" i="5"/>
  <c r="C1265" i="5"/>
  <c r="E1265" i="5"/>
  <c r="C1267" i="5"/>
  <c r="F1267" i="5"/>
  <c r="C1269" i="5"/>
  <c r="C1266" i="5"/>
  <c r="C1268" i="5"/>
  <c r="D1265" i="5"/>
  <c r="C1273" i="5"/>
  <c r="F1273" i="5"/>
  <c r="C1272" i="5"/>
  <c r="E1272" i="5"/>
  <c r="D1266" i="5"/>
  <c r="D1267" i="5"/>
  <c r="D1271" i="5"/>
  <c r="D1174" i="5"/>
  <c r="C1173" i="5"/>
  <c r="E1173" i="5"/>
  <c r="D1166" i="5"/>
  <c r="D1167" i="5"/>
  <c r="D1168" i="5"/>
  <c r="D1169" i="5"/>
  <c r="D1170" i="5"/>
  <c r="D1171" i="5"/>
  <c r="C1166" i="5"/>
  <c r="E1166" i="5"/>
  <c r="C1167" i="5"/>
  <c r="C1170" i="5"/>
  <c r="C1168" i="5"/>
  <c r="F1168" i="5"/>
  <c r="C1169" i="5"/>
  <c r="C1174" i="5"/>
  <c r="F1174" i="5"/>
  <c r="D1172" i="5"/>
  <c r="D1173" i="5"/>
  <c r="D1789" i="5"/>
  <c r="C1789" i="5"/>
  <c r="F1789" i="5"/>
  <c r="D1790" i="5"/>
  <c r="D1794" i="5"/>
  <c r="D1795" i="5"/>
  <c r="C1788" i="5"/>
  <c r="C1790" i="5"/>
  <c r="C1791" i="5"/>
  <c r="C1794" i="5"/>
  <c r="E1794" i="5"/>
  <c r="D1788" i="5"/>
  <c r="D1791" i="5"/>
  <c r="D1787" i="5"/>
  <c r="D1792" i="5"/>
  <c r="D1793" i="5"/>
  <c r="C1787" i="5"/>
  <c r="E1787" i="5"/>
  <c r="C1795" i="5"/>
  <c r="F1795" i="5"/>
  <c r="D4115" i="5"/>
  <c r="D4116" i="5"/>
  <c r="D4117" i="5"/>
  <c r="D4114" i="5"/>
  <c r="D4109" i="5"/>
  <c r="C4116" i="5"/>
  <c r="E4116" i="5"/>
  <c r="C4117" i="5"/>
  <c r="F4117" i="5"/>
  <c r="D4112" i="5"/>
  <c r="D4113" i="5"/>
  <c r="C4109" i="5"/>
  <c r="E4109" i="5"/>
  <c r="C4110" i="5"/>
  <c r="C4111" i="5"/>
  <c r="F4111" i="5"/>
  <c r="C4112" i="5"/>
  <c r="C4113" i="5"/>
  <c r="D4110" i="5"/>
  <c r="D4111" i="5"/>
  <c r="D1809" i="5"/>
  <c r="D1807" i="5"/>
  <c r="D1808" i="5"/>
  <c r="D1810" i="5"/>
  <c r="C1813" i="5"/>
  <c r="F1813" i="5"/>
  <c r="D1811" i="5"/>
  <c r="C1812" i="5"/>
  <c r="E1812" i="5"/>
  <c r="D1812" i="5"/>
  <c r="C1809" i="5"/>
  <c r="D1813" i="5"/>
  <c r="D1806" i="5"/>
  <c r="D1805" i="5"/>
  <c r="C1807" i="5"/>
  <c r="F1807" i="5"/>
  <c r="C1808" i="5"/>
  <c r="C1805" i="5"/>
  <c r="E1805" i="5"/>
  <c r="C1806" i="5"/>
  <c r="D634" i="5"/>
  <c r="D630" i="5"/>
  <c r="D631" i="5"/>
  <c r="C628" i="5"/>
  <c r="F628" i="5"/>
  <c r="C629" i="5"/>
  <c r="D626" i="5"/>
  <c r="D628" i="5"/>
  <c r="D629" i="5"/>
  <c r="D632" i="5"/>
  <c r="C627" i="5"/>
  <c r="D627" i="5"/>
  <c r="C633" i="5"/>
  <c r="E633" i="5"/>
  <c r="D633" i="5"/>
  <c r="C634" i="5"/>
  <c r="F634" i="5"/>
  <c r="C626" i="5"/>
  <c r="E626" i="5"/>
  <c r="C630" i="5"/>
  <c r="D3938" i="5"/>
  <c r="D3941" i="5"/>
  <c r="D3942" i="5"/>
  <c r="D3945" i="5"/>
  <c r="D3946" i="5"/>
  <c r="C3938" i="5"/>
  <c r="E3938" i="5"/>
  <c r="D3939" i="5"/>
  <c r="C3941" i="5"/>
  <c r="D3940" i="5"/>
  <c r="C3942" i="5"/>
  <c r="D3943" i="5"/>
  <c r="D3944" i="5"/>
  <c r="C3945" i="5"/>
  <c r="E3945" i="5"/>
  <c r="C3946" i="5"/>
  <c r="F3946" i="5"/>
  <c r="C3939" i="5"/>
  <c r="C3940" i="5"/>
  <c r="F3940" i="5"/>
  <c r="D502" i="5"/>
  <c r="D500" i="5"/>
  <c r="C508" i="5"/>
  <c r="F508" i="5"/>
  <c r="D501" i="5"/>
  <c r="D504" i="5"/>
  <c r="D505" i="5"/>
  <c r="C507" i="5"/>
  <c r="E507" i="5"/>
  <c r="D506" i="5"/>
  <c r="C503" i="5"/>
  <c r="D503" i="5"/>
  <c r="D507" i="5"/>
  <c r="C500" i="5"/>
  <c r="E500" i="5"/>
  <c r="C501" i="5"/>
  <c r="C502" i="5"/>
  <c r="F502" i="5"/>
  <c r="D508" i="5"/>
  <c r="C504" i="5"/>
  <c r="D310" i="5"/>
  <c r="D306" i="5"/>
  <c r="D307" i="5"/>
  <c r="D304" i="5"/>
  <c r="C304" i="5"/>
  <c r="F304" i="5"/>
  <c r="D305" i="5"/>
  <c r="C305" i="5"/>
  <c r="D302" i="5"/>
  <c r="D303" i="5"/>
  <c r="D308" i="5"/>
  <c r="C309" i="5"/>
  <c r="E309" i="5"/>
  <c r="C302" i="5"/>
  <c r="E302" i="5"/>
  <c r="C303" i="5"/>
  <c r="D309" i="5"/>
  <c r="C306" i="5"/>
  <c r="C310" i="5"/>
  <c r="F310" i="5"/>
  <c r="D3542" i="5"/>
  <c r="D3550" i="5"/>
  <c r="D3548" i="5"/>
  <c r="D3549" i="5"/>
  <c r="C3543" i="5"/>
  <c r="C3544" i="5"/>
  <c r="F3544" i="5"/>
  <c r="C3550" i="5"/>
  <c r="F3550" i="5"/>
  <c r="D3543" i="5"/>
  <c r="D3544" i="5"/>
  <c r="D3547" i="5"/>
  <c r="C3542" i="5"/>
  <c r="E3542" i="5"/>
  <c r="C3545" i="5"/>
  <c r="C3546" i="5"/>
  <c r="C3549" i="5"/>
  <c r="E3549" i="5"/>
  <c r="D3545" i="5"/>
  <c r="D3546" i="5"/>
  <c r="D2366" i="5"/>
  <c r="D2369" i="5"/>
  <c r="D2364" i="5"/>
  <c r="D2365" i="5"/>
  <c r="D2367" i="5"/>
  <c r="C2365" i="5"/>
  <c r="F2365" i="5"/>
  <c r="D2368" i="5"/>
  <c r="C2371" i="5"/>
  <c r="F2371" i="5"/>
  <c r="D2363" i="5"/>
  <c r="D2370" i="5"/>
  <c r="C2364" i="5"/>
  <c r="C2366" i="5"/>
  <c r="C2367" i="5"/>
  <c r="C2370" i="5"/>
  <c r="E2370" i="5"/>
  <c r="D2371" i="5"/>
  <c r="C2363" i="5"/>
  <c r="E2363" i="5"/>
  <c r="D1848" i="5"/>
  <c r="D1843" i="5"/>
  <c r="C1849" i="5"/>
  <c r="F1849" i="5"/>
  <c r="D1844" i="5"/>
  <c r="D1842" i="5"/>
  <c r="D1845" i="5"/>
  <c r="D1846" i="5"/>
  <c r="D1847" i="5"/>
  <c r="D1849" i="5"/>
  <c r="C1842" i="5"/>
  <c r="C1843" i="5"/>
  <c r="F1843" i="5"/>
  <c r="C1844" i="5"/>
  <c r="C1845" i="5"/>
  <c r="C1848" i="5"/>
  <c r="E1848" i="5"/>
  <c r="D1841" i="5"/>
  <c r="C1841" i="5"/>
  <c r="E1841" i="5"/>
  <c r="R112" i="3"/>
  <c r="J112" i="8"/>
  <c r="D982" i="5"/>
  <c r="D980" i="5"/>
  <c r="C985" i="5"/>
  <c r="F985" i="5"/>
  <c r="D981" i="5"/>
  <c r="C980" i="5"/>
  <c r="C981" i="5"/>
  <c r="D983" i="5"/>
  <c r="C984" i="5"/>
  <c r="E984" i="5"/>
  <c r="D984" i="5"/>
  <c r="D985" i="5"/>
  <c r="D979" i="5"/>
  <c r="D977" i="5"/>
  <c r="D978" i="5"/>
  <c r="C977" i="5"/>
  <c r="E977" i="5"/>
  <c r="C978" i="5"/>
  <c r="C979" i="5"/>
  <c r="F979" i="5"/>
  <c r="G3460" i="5"/>
  <c r="H1926" i="5"/>
  <c r="G860" i="5"/>
  <c r="D3540" i="5"/>
  <c r="D3536" i="5"/>
  <c r="D3537" i="5"/>
  <c r="C3541" i="5"/>
  <c r="F3541" i="5"/>
  <c r="D3533" i="5"/>
  <c r="D3535" i="5"/>
  <c r="D3538" i="5"/>
  <c r="D3539" i="5"/>
  <c r="D3534" i="5"/>
  <c r="D3541" i="5"/>
  <c r="C3536" i="5"/>
  <c r="C3537" i="5"/>
  <c r="C3534" i="5"/>
  <c r="C3535" i="5"/>
  <c r="F3535" i="5"/>
  <c r="C3533" i="5"/>
  <c r="E3533" i="5"/>
  <c r="C3540" i="5"/>
  <c r="E3540" i="5"/>
  <c r="D4500" i="5"/>
  <c r="D4501" i="5"/>
  <c r="D4503" i="5"/>
  <c r="D4504" i="5"/>
  <c r="D4497" i="5"/>
  <c r="D4498" i="5"/>
  <c r="C4501" i="5"/>
  <c r="E4501" i="5"/>
  <c r="D4496" i="5"/>
  <c r="C4502" i="5"/>
  <c r="F4502" i="5"/>
  <c r="C4496" i="5"/>
  <c r="E4496" i="5"/>
  <c r="C4499" i="5"/>
  <c r="C4500" i="5"/>
  <c r="D4499" i="5"/>
  <c r="C4503" i="5"/>
  <c r="E4503" i="5"/>
  <c r="D4502" i="5"/>
  <c r="C4498" i="5"/>
  <c r="F4498" i="5"/>
  <c r="C4497" i="5"/>
  <c r="C4504" i="5"/>
  <c r="F4504" i="5"/>
  <c r="D2889" i="5"/>
  <c r="D2893" i="5"/>
  <c r="D2888" i="5"/>
  <c r="C2893" i="5"/>
  <c r="F2893" i="5"/>
  <c r="D2890" i="5"/>
  <c r="D2885" i="5"/>
  <c r="C2892" i="5"/>
  <c r="E2892" i="5"/>
  <c r="D2886" i="5"/>
  <c r="C2887" i="5"/>
  <c r="F2887" i="5"/>
  <c r="C2888" i="5"/>
  <c r="C2889" i="5"/>
  <c r="C2885" i="5"/>
  <c r="E2885" i="5"/>
  <c r="C2886" i="5"/>
  <c r="D2887" i="5"/>
  <c r="D2891" i="5"/>
  <c r="D2892" i="5"/>
  <c r="D1198" i="5"/>
  <c r="C1201" i="5"/>
  <c r="F1201" i="5"/>
  <c r="D1193" i="5"/>
  <c r="D1195" i="5"/>
  <c r="D1197" i="5"/>
  <c r="D1199" i="5"/>
  <c r="D1200" i="5"/>
  <c r="C1195" i="5"/>
  <c r="F1195" i="5"/>
  <c r="C1197" i="5"/>
  <c r="D1201" i="5"/>
  <c r="C1199" i="5"/>
  <c r="F1199" i="5"/>
  <c r="C1200" i="5"/>
  <c r="E1200" i="5"/>
  <c r="C1193" i="5"/>
  <c r="E1193" i="5"/>
  <c r="D1194" i="5"/>
  <c r="C1194" i="5"/>
  <c r="D1196" i="5"/>
  <c r="C1196" i="5"/>
  <c r="C1198" i="5"/>
  <c r="E1198" i="5"/>
  <c r="D2486" i="5"/>
  <c r="D2487" i="5"/>
  <c r="D2480" i="5"/>
  <c r="D2485" i="5"/>
  <c r="D2488" i="5"/>
  <c r="D2481" i="5"/>
  <c r="C2484" i="5"/>
  <c r="C2487" i="5"/>
  <c r="E2487" i="5"/>
  <c r="D2483" i="5"/>
  <c r="D2484" i="5"/>
  <c r="C2482" i="5"/>
  <c r="F2482" i="5"/>
  <c r="D2482" i="5"/>
  <c r="C2483" i="5"/>
  <c r="C2488" i="5"/>
  <c r="F2488" i="5"/>
  <c r="C2480" i="5"/>
  <c r="E2480" i="5"/>
  <c r="C2481" i="5"/>
  <c r="D3216" i="5"/>
  <c r="D3217" i="5"/>
  <c r="D3209" i="5"/>
  <c r="D3211" i="5"/>
  <c r="C3217" i="5"/>
  <c r="F3217" i="5"/>
  <c r="D3212" i="5"/>
  <c r="D3210" i="5"/>
  <c r="D3213" i="5"/>
  <c r="C3216" i="5"/>
  <c r="E3216" i="5"/>
  <c r="D3214" i="5"/>
  <c r="D3215" i="5"/>
  <c r="C3209" i="5"/>
  <c r="E3209" i="5"/>
  <c r="C3210" i="5"/>
  <c r="C3211" i="5"/>
  <c r="F3211" i="5"/>
  <c r="C3212" i="5"/>
  <c r="C3213" i="5"/>
  <c r="D1234" i="5"/>
  <c r="D1229" i="5"/>
  <c r="D1230" i="5"/>
  <c r="D1235" i="5"/>
  <c r="D1236" i="5"/>
  <c r="C1229" i="5"/>
  <c r="E1229" i="5"/>
  <c r="D1237" i="5"/>
  <c r="D1232" i="5"/>
  <c r="D1233" i="5"/>
  <c r="C1231" i="5"/>
  <c r="F1231" i="5"/>
  <c r="C1233" i="5"/>
  <c r="C1230" i="5"/>
  <c r="C1232" i="5"/>
  <c r="D1231" i="5"/>
  <c r="C1236" i="5"/>
  <c r="E1236" i="5"/>
  <c r="C1237" i="5"/>
  <c r="F1237" i="5"/>
  <c r="D886" i="5"/>
  <c r="D879" i="5"/>
  <c r="D880" i="5"/>
  <c r="C880" i="5"/>
  <c r="F880" i="5"/>
  <c r="C881" i="5"/>
  <c r="D881" i="5"/>
  <c r="C882" i="5"/>
  <c r="D882" i="5"/>
  <c r="C883" i="5"/>
  <c r="E883" i="5"/>
  <c r="D883" i="5"/>
  <c r="C885" i="5"/>
  <c r="E885" i="5"/>
  <c r="D878" i="5"/>
  <c r="C879" i="5"/>
  <c r="C884" i="5"/>
  <c r="F884" i="5"/>
  <c r="C886" i="5"/>
  <c r="F886" i="5"/>
  <c r="D884" i="5"/>
  <c r="D885" i="5"/>
  <c r="C878" i="5"/>
  <c r="E878" i="5"/>
  <c r="D2522" i="5"/>
  <c r="D2521" i="5"/>
  <c r="D2523" i="5"/>
  <c r="D2519" i="5"/>
  <c r="C2521" i="5"/>
  <c r="E2521" i="5"/>
  <c r="D2520" i="5"/>
  <c r="D2516" i="5"/>
  <c r="D2517" i="5"/>
  <c r="D2518" i="5"/>
  <c r="C2516" i="5"/>
  <c r="E2516" i="5"/>
  <c r="C2522" i="5"/>
  <c r="F2522" i="5"/>
  <c r="C2523" i="5"/>
  <c r="E2523" i="5"/>
  <c r="C2524" i="5"/>
  <c r="F2524" i="5"/>
  <c r="C2517" i="5"/>
  <c r="C2518" i="5"/>
  <c r="F2518" i="5"/>
  <c r="C2519" i="5"/>
  <c r="C2520" i="5"/>
  <c r="D2524" i="5"/>
  <c r="D2526" i="5"/>
  <c r="C2533" i="5"/>
  <c r="F2533" i="5"/>
  <c r="D2528" i="5"/>
  <c r="C2528" i="5"/>
  <c r="D2529" i="5"/>
  <c r="C2529" i="5"/>
  <c r="D2530" i="5"/>
  <c r="D2531" i="5"/>
  <c r="C2527" i="5"/>
  <c r="F2527" i="5"/>
  <c r="C2531" i="5"/>
  <c r="F2531" i="5"/>
  <c r="C2525" i="5"/>
  <c r="E2525" i="5"/>
  <c r="C2526" i="5"/>
  <c r="D2525" i="5"/>
  <c r="C2530" i="5"/>
  <c r="E2530" i="5"/>
  <c r="C2532" i="5"/>
  <c r="E2532" i="5"/>
  <c r="D2532" i="5"/>
  <c r="D2527" i="5"/>
  <c r="D2533" i="5"/>
  <c r="D3277" i="5"/>
  <c r="D3279" i="5"/>
  <c r="D3274" i="5"/>
  <c r="D3278" i="5"/>
  <c r="C3277" i="5"/>
  <c r="E3277" i="5"/>
  <c r="C3272" i="5"/>
  <c r="E3272" i="5"/>
  <c r="D3273" i="5"/>
  <c r="C3279" i="5"/>
  <c r="E3279" i="5"/>
  <c r="D3276" i="5"/>
  <c r="D3280" i="5"/>
  <c r="C3280" i="5"/>
  <c r="F3280" i="5"/>
  <c r="C3273" i="5"/>
  <c r="C3274" i="5"/>
  <c r="F3274" i="5"/>
  <c r="D3272" i="5"/>
  <c r="C3275" i="5"/>
  <c r="D3275" i="5"/>
  <c r="C3276" i="5"/>
  <c r="C3278" i="5"/>
  <c r="F3278" i="5"/>
  <c r="D1342" i="5"/>
  <c r="D1337" i="5"/>
  <c r="C1337" i="5"/>
  <c r="E1337" i="5"/>
  <c r="D1338" i="5"/>
  <c r="D1339" i="5"/>
  <c r="C1339" i="5"/>
  <c r="F1339" i="5"/>
  <c r="C1345" i="5"/>
  <c r="F1345" i="5"/>
  <c r="D1340" i="5"/>
  <c r="D1341" i="5"/>
  <c r="D1343" i="5"/>
  <c r="D1344" i="5"/>
  <c r="D1345" i="5"/>
  <c r="C1338" i="5"/>
  <c r="C1340" i="5"/>
  <c r="C1341" i="5"/>
  <c r="C1344" i="5"/>
  <c r="E1344" i="5"/>
  <c r="D4373" i="5"/>
  <c r="D4375" i="5"/>
  <c r="D4374" i="5"/>
  <c r="C4378" i="5"/>
  <c r="F4378" i="5"/>
  <c r="D4376" i="5"/>
  <c r="D4377" i="5"/>
  <c r="C4377" i="5"/>
  <c r="E4377" i="5"/>
  <c r="D4378" i="5"/>
  <c r="D4370" i="5"/>
  <c r="C4373" i="5"/>
  <c r="C4374" i="5"/>
  <c r="D4371" i="5"/>
  <c r="C4370" i="5"/>
  <c r="E4370" i="5"/>
  <c r="C4371" i="5"/>
  <c r="D4372" i="5"/>
  <c r="C4372" i="5"/>
  <c r="F4372" i="5"/>
  <c r="D219" i="8"/>
  <c r="D3188" i="5"/>
  <c r="D3185" i="5"/>
  <c r="D3186" i="5"/>
  <c r="D3183" i="5"/>
  <c r="D3184" i="5"/>
  <c r="C3189" i="5"/>
  <c r="E3189" i="5"/>
  <c r="C3190" i="5"/>
  <c r="F3190" i="5"/>
  <c r="D3182" i="5"/>
  <c r="D3187" i="5"/>
  <c r="D3189" i="5"/>
  <c r="D3190" i="5"/>
  <c r="C3182" i="5"/>
  <c r="E3182" i="5"/>
  <c r="C3185" i="5"/>
  <c r="C3183" i="5"/>
  <c r="C3184" i="5"/>
  <c r="F3184" i="5"/>
  <c r="C3186" i="5"/>
  <c r="D3258" i="5"/>
  <c r="D3260" i="5"/>
  <c r="D3262" i="5"/>
  <c r="D3259" i="5"/>
  <c r="D3261" i="5"/>
  <c r="D3255" i="5"/>
  <c r="D3256" i="5"/>
  <c r="D3257" i="5"/>
  <c r="C3255" i="5"/>
  <c r="C3256" i="5"/>
  <c r="F3256" i="5"/>
  <c r="D3254" i="5"/>
  <c r="C3254" i="5"/>
  <c r="E3254" i="5"/>
  <c r="C3257" i="5"/>
  <c r="C3262" i="5"/>
  <c r="F3262" i="5"/>
  <c r="C3258" i="5"/>
  <c r="C3261" i="5"/>
  <c r="E3261" i="5"/>
  <c r="D814" i="5"/>
  <c r="D813" i="5"/>
  <c r="D811" i="5"/>
  <c r="C808" i="5"/>
  <c r="F808" i="5"/>
  <c r="D812" i="5"/>
  <c r="C809" i="5"/>
  <c r="C810" i="5"/>
  <c r="D808" i="5"/>
  <c r="D809" i="5"/>
  <c r="D810" i="5"/>
  <c r="C806" i="5"/>
  <c r="E806" i="5"/>
  <c r="C807" i="5"/>
  <c r="D806" i="5"/>
  <c r="D807" i="5"/>
  <c r="C813" i="5"/>
  <c r="E813" i="5"/>
  <c r="C814" i="5"/>
  <c r="F814" i="5"/>
  <c r="D3385" i="5"/>
  <c r="D3387" i="5"/>
  <c r="D3388" i="5"/>
  <c r="D3383" i="5"/>
  <c r="D3384" i="5"/>
  <c r="D3386" i="5"/>
  <c r="D3380" i="5"/>
  <c r="D3381" i="5"/>
  <c r="D3382" i="5"/>
  <c r="C3387" i="5"/>
  <c r="E3387" i="5"/>
  <c r="C3380" i="5"/>
  <c r="E3380" i="5"/>
  <c r="C3381" i="5"/>
  <c r="C3384" i="5"/>
  <c r="C3388" i="5"/>
  <c r="F3388" i="5"/>
  <c r="C3382" i="5"/>
  <c r="F3382" i="5"/>
  <c r="C3383" i="5"/>
  <c r="D382" i="5"/>
  <c r="C376" i="5"/>
  <c r="F376" i="5"/>
  <c r="C377" i="5"/>
  <c r="D378" i="5"/>
  <c r="D379" i="5"/>
  <c r="D380" i="5"/>
  <c r="D377" i="5"/>
  <c r="C381" i="5"/>
  <c r="E381" i="5"/>
  <c r="C375" i="5"/>
  <c r="C378" i="5"/>
  <c r="D376" i="5"/>
  <c r="D381" i="5"/>
  <c r="D374" i="5"/>
  <c r="D375" i="5"/>
  <c r="C374" i="5"/>
  <c r="E374" i="5"/>
  <c r="C382" i="5"/>
  <c r="F382" i="5"/>
  <c r="D3506" i="5"/>
  <c r="D3514" i="5"/>
  <c r="D3508" i="5"/>
  <c r="D3509" i="5"/>
  <c r="D3513" i="5"/>
  <c r="D3507" i="5"/>
  <c r="D3510" i="5"/>
  <c r="C3506" i="5"/>
  <c r="E3506" i="5"/>
  <c r="C3507" i="5"/>
  <c r="C3508" i="5"/>
  <c r="F3508" i="5"/>
  <c r="C3511" i="5"/>
  <c r="E3511" i="5"/>
  <c r="C3513" i="5"/>
  <c r="E3513" i="5"/>
  <c r="C3514" i="5"/>
  <c r="F3514" i="5"/>
  <c r="C3509" i="5"/>
  <c r="C3510" i="5"/>
  <c r="C3512" i="5"/>
  <c r="F3512" i="5"/>
  <c r="D3511" i="5"/>
  <c r="D3512" i="5"/>
  <c r="D2850" i="5"/>
  <c r="D2851" i="5"/>
  <c r="D2852" i="5"/>
  <c r="D2855" i="5"/>
  <c r="C2857" i="5"/>
  <c r="F2857" i="5"/>
  <c r="D2856" i="5"/>
  <c r="D2849" i="5"/>
  <c r="C2852" i="5"/>
  <c r="D2853" i="5"/>
  <c r="C2853" i="5"/>
  <c r="D2854" i="5"/>
  <c r="D2857" i="5"/>
  <c r="C2856" i="5"/>
  <c r="E2856" i="5"/>
  <c r="C2849" i="5"/>
  <c r="E2849" i="5"/>
  <c r="C2850" i="5"/>
  <c r="C2851" i="5"/>
  <c r="F2851" i="5"/>
  <c r="D3168" i="5"/>
  <c r="D3169" i="5"/>
  <c r="D3165" i="5"/>
  <c r="D3172" i="5"/>
  <c r="D3166" i="5"/>
  <c r="D3167" i="5"/>
  <c r="C3169" i="5"/>
  <c r="E3169" i="5"/>
  <c r="D3164" i="5"/>
  <c r="D3170" i="5"/>
  <c r="D3171" i="5"/>
  <c r="C3164" i="5"/>
  <c r="E3164" i="5"/>
  <c r="C3170" i="5"/>
  <c r="F3170" i="5"/>
  <c r="C3171" i="5"/>
  <c r="E3171" i="5"/>
  <c r="C3172" i="5"/>
  <c r="F3172" i="5"/>
  <c r="C3165" i="5"/>
  <c r="C3166" i="5"/>
  <c r="F3166" i="5"/>
  <c r="C3167" i="5"/>
  <c r="C3168" i="5"/>
  <c r="C2918" i="5"/>
  <c r="D1862" i="5"/>
  <c r="D1861" i="5"/>
  <c r="D1865" i="5"/>
  <c r="D1859" i="5"/>
  <c r="C1861" i="5"/>
  <c r="F1861" i="5"/>
  <c r="D1860" i="5"/>
  <c r="D1864" i="5"/>
  <c r="D1866" i="5"/>
  <c r="D1867" i="5"/>
  <c r="C1859" i="5"/>
  <c r="E1859" i="5"/>
  <c r="C1862" i="5"/>
  <c r="C1866" i="5"/>
  <c r="E1866" i="5"/>
  <c r="C1863" i="5"/>
  <c r="D1863" i="5"/>
  <c r="C1860" i="5"/>
  <c r="C1867" i="5"/>
  <c r="F1867" i="5"/>
  <c r="R231" i="3"/>
  <c r="D1111" i="5"/>
  <c r="C1105" i="5"/>
  <c r="F1105" i="5"/>
  <c r="D1104" i="5"/>
  <c r="C1111" i="5"/>
  <c r="F1111" i="5"/>
  <c r="D1105" i="5"/>
  <c r="D1106" i="5"/>
  <c r="D1108" i="5"/>
  <c r="D1109" i="5"/>
  <c r="C1110" i="5"/>
  <c r="E1110" i="5"/>
  <c r="D1110" i="5"/>
  <c r="C1103" i="5"/>
  <c r="E1103" i="5"/>
  <c r="D1107" i="5"/>
  <c r="C1104" i="5"/>
  <c r="C1106" i="5"/>
  <c r="D1103" i="5"/>
  <c r="C1107" i="5"/>
  <c r="D130" i="5"/>
  <c r="D123" i="5"/>
  <c r="D124" i="5"/>
  <c r="C124" i="5"/>
  <c r="F124" i="5"/>
  <c r="C125" i="5"/>
  <c r="C126" i="5"/>
  <c r="D127" i="5"/>
  <c r="D129" i="5"/>
  <c r="C123" i="5"/>
  <c r="D122" i="5"/>
  <c r="C129" i="5"/>
  <c r="E129" i="5"/>
  <c r="D125" i="5"/>
  <c r="C130" i="5"/>
  <c r="F130" i="5"/>
  <c r="D126" i="5"/>
  <c r="D128" i="5"/>
  <c r="C122" i="5"/>
  <c r="E122" i="5"/>
  <c r="D3566" i="5"/>
  <c r="D3567" i="5"/>
  <c r="D3564" i="5"/>
  <c r="D3565" i="5"/>
  <c r="D3568" i="5"/>
  <c r="D3560" i="5"/>
  <c r="D3561" i="5"/>
  <c r="D3562" i="5"/>
  <c r="D3563" i="5"/>
  <c r="C3567" i="5"/>
  <c r="E3567" i="5"/>
  <c r="C3568" i="5"/>
  <c r="F3568" i="5"/>
  <c r="C3562" i="5"/>
  <c r="F3562" i="5"/>
  <c r="C3563" i="5"/>
  <c r="C3564" i="5"/>
  <c r="C3560" i="5"/>
  <c r="E3560" i="5"/>
  <c r="C3561" i="5"/>
  <c r="D2762" i="5"/>
  <c r="D2765" i="5"/>
  <c r="D2766" i="5"/>
  <c r="C2761" i="5"/>
  <c r="F2761" i="5"/>
  <c r="D2759" i="5"/>
  <c r="D2760" i="5"/>
  <c r="D2761" i="5"/>
  <c r="C2760" i="5"/>
  <c r="C2762" i="5"/>
  <c r="C2763" i="5"/>
  <c r="C2759" i="5"/>
  <c r="E2759" i="5"/>
  <c r="D2763" i="5"/>
  <c r="C2767" i="5"/>
  <c r="F2767" i="5"/>
  <c r="D2764" i="5"/>
  <c r="D2767" i="5"/>
  <c r="C2766" i="5"/>
  <c r="E2766" i="5"/>
  <c r="D4296" i="5"/>
  <c r="D4297" i="5"/>
  <c r="D4289" i="5"/>
  <c r="D4295" i="5"/>
  <c r="D4290" i="5"/>
  <c r="D4291" i="5"/>
  <c r="C4297" i="5"/>
  <c r="F4297" i="5"/>
  <c r="C4289" i="5"/>
  <c r="E4289" i="5"/>
  <c r="D4293" i="5"/>
  <c r="C4292" i="5"/>
  <c r="D4294" i="5"/>
  <c r="C4293" i="5"/>
  <c r="C4296" i="5"/>
  <c r="E4296" i="5"/>
  <c r="C4290" i="5"/>
  <c r="C4291" i="5"/>
  <c r="F4291" i="5"/>
  <c r="D4292" i="5"/>
  <c r="D2894" i="5"/>
  <c r="D2902" i="5"/>
  <c r="D2895" i="5"/>
  <c r="D2901" i="5"/>
  <c r="C2902" i="5"/>
  <c r="F2902" i="5"/>
  <c r="D2897" i="5"/>
  <c r="C2901" i="5"/>
  <c r="E2901" i="5"/>
  <c r="D2899" i="5"/>
  <c r="D2900" i="5"/>
  <c r="C2894" i="5"/>
  <c r="E2894" i="5"/>
  <c r="C2895" i="5"/>
  <c r="D2896" i="5"/>
  <c r="D2898" i="5"/>
  <c r="C2896" i="5"/>
  <c r="F2896" i="5"/>
  <c r="C2897" i="5"/>
  <c r="C2898" i="5"/>
  <c r="D2582" i="5"/>
  <c r="D2579" i="5"/>
  <c r="D2580" i="5"/>
  <c r="C2581" i="5"/>
  <c r="F2581" i="5"/>
  <c r="D2581" i="5"/>
  <c r="D2583" i="5"/>
  <c r="D2584" i="5"/>
  <c r="C2580" i="5"/>
  <c r="D2585" i="5"/>
  <c r="C2582" i="5"/>
  <c r="D2586" i="5"/>
  <c r="D2587" i="5"/>
  <c r="C2586" i="5"/>
  <c r="E2586" i="5"/>
  <c r="C2587" i="5"/>
  <c r="F2587" i="5"/>
  <c r="C2579" i="5"/>
  <c r="E2579" i="5"/>
  <c r="C2583" i="5"/>
  <c r="D262" i="5"/>
  <c r="D258" i="5"/>
  <c r="D259" i="5"/>
  <c r="C257" i="5"/>
  <c r="E257" i="5"/>
  <c r="D265" i="5"/>
  <c r="C261" i="5"/>
  <c r="D257" i="5"/>
  <c r="D260" i="5"/>
  <c r="D261" i="5"/>
  <c r="D263" i="5"/>
  <c r="D264" i="5"/>
  <c r="C258" i="5"/>
  <c r="C265" i="5"/>
  <c r="F265" i="5"/>
  <c r="C259" i="5"/>
  <c r="F259" i="5"/>
  <c r="C260" i="5"/>
  <c r="C264" i="5"/>
  <c r="E264" i="5"/>
  <c r="D154" i="5"/>
  <c r="D149" i="5"/>
  <c r="D150" i="5"/>
  <c r="C149" i="5"/>
  <c r="E149" i="5"/>
  <c r="D153" i="5"/>
  <c r="D155" i="5"/>
  <c r="D156" i="5"/>
  <c r="D152" i="5"/>
  <c r="C157" i="5"/>
  <c r="F157" i="5"/>
  <c r="D157" i="5"/>
  <c r="C150" i="5"/>
  <c r="C151" i="5"/>
  <c r="F151" i="5"/>
  <c r="C152" i="5"/>
  <c r="C156" i="5"/>
  <c r="E156" i="5"/>
  <c r="D151" i="5"/>
  <c r="C153" i="5"/>
  <c r="D1879" i="5"/>
  <c r="C1885" i="5"/>
  <c r="F1885" i="5"/>
  <c r="D1877" i="5"/>
  <c r="D1882" i="5"/>
  <c r="D1883" i="5"/>
  <c r="D1884" i="5"/>
  <c r="C1877" i="5"/>
  <c r="E1877" i="5"/>
  <c r="C1878" i="5"/>
  <c r="D1878" i="5"/>
  <c r="C1880" i="5"/>
  <c r="D1880" i="5"/>
  <c r="D1881" i="5"/>
  <c r="D1885" i="5"/>
  <c r="C1884" i="5"/>
  <c r="E1884" i="5"/>
  <c r="C1881" i="5"/>
  <c r="C1879" i="5"/>
  <c r="F1879" i="5"/>
  <c r="D2350" i="5"/>
  <c r="D2351" i="5"/>
  <c r="D2348" i="5"/>
  <c r="C2353" i="5"/>
  <c r="F2353" i="5"/>
  <c r="D2349" i="5"/>
  <c r="D2353" i="5"/>
  <c r="C2345" i="5"/>
  <c r="E2345" i="5"/>
  <c r="C2346" i="5"/>
  <c r="C2349" i="5"/>
  <c r="D2345" i="5"/>
  <c r="D2346" i="5"/>
  <c r="D2347" i="5"/>
  <c r="D2352" i="5"/>
  <c r="C2347" i="5"/>
  <c r="F2347" i="5"/>
  <c r="C2352" i="5"/>
  <c r="E2352" i="5"/>
  <c r="C2348" i="5"/>
  <c r="D3337" i="5"/>
  <c r="D3339" i="5"/>
  <c r="D3341" i="5"/>
  <c r="C3337" i="5"/>
  <c r="F3337" i="5"/>
  <c r="D3335" i="5"/>
  <c r="D3336" i="5"/>
  <c r="D3342" i="5"/>
  <c r="D3343" i="5"/>
  <c r="C3335" i="5"/>
  <c r="E3335" i="5"/>
  <c r="D3340" i="5"/>
  <c r="C3342" i="5"/>
  <c r="E3342" i="5"/>
  <c r="C3339" i="5"/>
  <c r="C3343" i="5"/>
  <c r="F3343" i="5"/>
  <c r="D3338" i="5"/>
  <c r="C3336" i="5"/>
  <c r="C3338" i="5"/>
  <c r="D2144" i="5"/>
  <c r="D2146" i="5"/>
  <c r="D2138" i="5"/>
  <c r="D2139" i="5"/>
  <c r="D2143" i="5"/>
  <c r="D2145" i="5"/>
  <c r="C2139" i="5"/>
  <c r="C2140" i="5"/>
  <c r="F2140" i="5"/>
  <c r="C2141" i="5"/>
  <c r="C2142" i="5"/>
  <c r="D2140" i="5"/>
  <c r="C2146" i="5"/>
  <c r="F2146" i="5"/>
  <c r="C2138" i="5"/>
  <c r="E2138" i="5"/>
  <c r="C2145" i="5"/>
  <c r="E2145" i="5"/>
  <c r="D2141" i="5"/>
  <c r="D2142" i="5"/>
  <c r="D4260" i="5"/>
  <c r="D4261" i="5"/>
  <c r="D4257" i="5"/>
  <c r="D4259" i="5"/>
  <c r="D4258" i="5"/>
  <c r="D4255" i="5"/>
  <c r="C4260" i="5"/>
  <c r="E4260" i="5"/>
  <c r="D4256" i="5"/>
  <c r="C4261" i="5"/>
  <c r="F4261" i="5"/>
  <c r="D4253" i="5"/>
  <c r="D4254" i="5"/>
  <c r="C4255" i="5"/>
  <c r="F4255" i="5"/>
  <c r="C4257" i="5"/>
  <c r="C4256" i="5"/>
  <c r="C4253" i="5"/>
  <c r="E4253" i="5"/>
  <c r="C4254" i="5"/>
  <c r="D1246" i="5"/>
  <c r="D1242" i="5"/>
  <c r="D1243" i="5"/>
  <c r="D1239" i="5"/>
  <c r="D1241" i="5"/>
  <c r="C1240" i="5"/>
  <c r="F1240" i="5"/>
  <c r="C1241" i="5"/>
  <c r="D1238" i="5"/>
  <c r="D1245" i="5"/>
  <c r="C1245" i="5"/>
  <c r="E1245" i="5"/>
  <c r="C1246" i="5"/>
  <c r="F1246" i="5"/>
  <c r="C1239" i="5"/>
  <c r="D1240" i="5"/>
  <c r="C1238" i="5"/>
  <c r="E1238" i="5"/>
  <c r="D1244" i="5"/>
  <c r="C1242" i="5"/>
  <c r="D2012" i="5"/>
  <c r="D2015" i="5"/>
  <c r="D2016" i="5"/>
  <c r="D2017" i="5"/>
  <c r="D2018" i="5"/>
  <c r="D2019" i="5"/>
  <c r="C2014" i="5"/>
  <c r="F2014" i="5"/>
  <c r="C2015" i="5"/>
  <c r="C2016" i="5"/>
  <c r="D2014" i="5"/>
  <c r="D2020" i="5"/>
  <c r="C2019" i="5"/>
  <c r="E2019" i="5"/>
  <c r="C2020" i="5"/>
  <c r="F2020" i="5"/>
  <c r="D2013" i="5"/>
  <c r="C2012" i="5"/>
  <c r="E2012" i="5"/>
  <c r="C2013" i="5"/>
  <c r="D622" i="5"/>
  <c r="D617" i="5"/>
  <c r="D618" i="5"/>
  <c r="D624" i="5"/>
  <c r="D625" i="5"/>
  <c r="C617" i="5"/>
  <c r="E617" i="5"/>
  <c r="D620" i="5"/>
  <c r="C625" i="5"/>
  <c r="F625" i="5"/>
  <c r="D623" i="5"/>
  <c r="D621" i="5"/>
  <c r="C618" i="5"/>
  <c r="C620" i="5"/>
  <c r="C621" i="5"/>
  <c r="D619" i="5"/>
  <c r="C619" i="5"/>
  <c r="F619" i="5"/>
  <c r="C624" i="5"/>
  <c r="E624" i="5"/>
  <c r="D4407" i="5"/>
  <c r="D4408" i="5"/>
  <c r="C4414" i="5"/>
  <c r="F4414" i="5"/>
  <c r="D4409" i="5"/>
  <c r="D4410" i="5"/>
  <c r="D4411" i="5"/>
  <c r="D4406" i="5"/>
  <c r="D4412" i="5"/>
  <c r="C4408" i="5"/>
  <c r="F4408" i="5"/>
  <c r="D4413" i="5"/>
  <c r="C4409" i="5"/>
  <c r="D4414" i="5"/>
  <c r="C4413" i="5"/>
  <c r="E4413" i="5"/>
  <c r="C4406" i="5"/>
  <c r="E4406" i="5"/>
  <c r="C4410" i="5"/>
  <c r="C4407" i="5"/>
  <c r="D4263" i="5"/>
  <c r="D4264" i="5"/>
  <c r="D4262" i="5"/>
  <c r="C4270" i="5"/>
  <c r="F4270" i="5"/>
  <c r="D4265" i="5"/>
  <c r="C4266" i="5"/>
  <c r="D4266" i="5"/>
  <c r="D4267" i="5"/>
  <c r="C4262" i="5"/>
  <c r="E4262" i="5"/>
  <c r="D4268" i="5"/>
  <c r="C4263" i="5"/>
  <c r="D4269" i="5"/>
  <c r="C4264" i="5"/>
  <c r="F4264" i="5"/>
  <c r="D4270" i="5"/>
  <c r="C4265" i="5"/>
  <c r="C4269" i="5"/>
  <c r="E4269" i="5"/>
  <c r="C1141" i="5"/>
  <c r="F1141" i="5"/>
  <c r="D1139" i="5"/>
  <c r="D1145" i="5"/>
  <c r="D1147" i="5"/>
  <c r="D1141" i="5"/>
  <c r="D1142" i="5"/>
  <c r="D1143" i="5"/>
  <c r="C1142" i="5"/>
  <c r="C1143" i="5"/>
  <c r="C1140" i="5"/>
  <c r="D1140" i="5"/>
  <c r="D1144" i="5"/>
  <c r="C1139" i="5"/>
  <c r="E1139" i="5"/>
  <c r="D1146" i="5"/>
  <c r="C1146" i="5"/>
  <c r="E1146" i="5"/>
  <c r="C1147" i="5"/>
  <c r="F1147" i="5"/>
  <c r="D2041" i="5"/>
  <c r="C2041" i="5"/>
  <c r="F2041" i="5"/>
  <c r="D2039" i="5"/>
  <c r="D2042" i="5"/>
  <c r="D2043" i="5"/>
  <c r="D2044" i="5"/>
  <c r="C2047" i="5"/>
  <c r="F2047" i="5"/>
  <c r="D2040" i="5"/>
  <c r="D2045" i="5"/>
  <c r="C2046" i="5"/>
  <c r="E2046" i="5"/>
  <c r="C2042" i="5"/>
  <c r="C2043" i="5"/>
  <c r="D2046" i="5"/>
  <c r="C2039" i="5"/>
  <c r="E2039" i="5"/>
  <c r="D2047" i="5"/>
  <c r="C2040" i="5"/>
  <c r="G3450" i="5"/>
  <c r="G4212" i="5"/>
  <c r="D4008" i="5"/>
  <c r="D4009" i="5"/>
  <c r="D4005" i="5"/>
  <c r="D4007" i="5"/>
  <c r="D4002" i="5"/>
  <c r="D4006" i="5"/>
  <c r="C4009" i="5"/>
  <c r="F4009" i="5"/>
  <c r="D4001" i="5"/>
  <c r="D4003" i="5"/>
  <c r="D4004" i="5"/>
  <c r="C4003" i="5"/>
  <c r="F4003" i="5"/>
  <c r="C4004" i="5"/>
  <c r="C4002" i="5"/>
  <c r="C4001" i="5"/>
  <c r="E4001" i="5"/>
  <c r="C4006" i="5"/>
  <c r="E4006" i="5"/>
  <c r="C4005" i="5"/>
  <c r="C4007" i="5"/>
  <c r="F4007" i="5"/>
  <c r="C4008" i="5"/>
  <c r="E4008" i="5"/>
  <c r="D1714" i="5"/>
  <c r="D1710" i="5"/>
  <c r="D1711" i="5"/>
  <c r="D1712" i="5"/>
  <c r="C1710" i="5"/>
  <c r="D1713" i="5"/>
  <c r="C1713" i="5"/>
  <c r="E1713" i="5"/>
  <c r="D1707" i="5"/>
  <c r="D1709" i="5"/>
  <c r="D1706" i="5"/>
  <c r="C1707" i="5"/>
  <c r="C1708" i="5"/>
  <c r="F1708" i="5"/>
  <c r="C1709" i="5"/>
  <c r="D1708" i="5"/>
  <c r="C1714" i="5"/>
  <c r="F1714" i="5"/>
  <c r="C1706" i="5"/>
  <c r="E1706" i="5"/>
  <c r="D1474" i="5"/>
  <c r="D1475" i="5"/>
  <c r="C1477" i="5"/>
  <c r="E1477" i="5"/>
  <c r="D1476" i="5"/>
  <c r="D1480" i="5"/>
  <c r="C1474" i="5"/>
  <c r="F1474" i="5"/>
  <c r="C1475" i="5"/>
  <c r="D1472" i="5"/>
  <c r="C1476" i="5"/>
  <c r="D1473" i="5"/>
  <c r="C1478" i="5"/>
  <c r="F1478" i="5"/>
  <c r="D1477" i="5"/>
  <c r="C1473" i="5"/>
  <c r="D1478" i="5"/>
  <c r="C1472" i="5"/>
  <c r="E1472" i="5"/>
  <c r="C1479" i="5"/>
  <c r="E1479" i="5"/>
  <c r="C1480" i="5"/>
  <c r="F1480" i="5"/>
  <c r="D1479" i="5"/>
  <c r="D3684" i="5"/>
  <c r="D3685" i="5"/>
  <c r="D3677" i="5"/>
  <c r="D3678" i="5"/>
  <c r="D3683" i="5"/>
  <c r="C3685" i="5"/>
  <c r="F3685" i="5"/>
  <c r="D3682" i="5"/>
  <c r="C3681" i="5"/>
  <c r="C3682" i="5"/>
  <c r="E3682" i="5"/>
  <c r="D3679" i="5"/>
  <c r="D3680" i="5"/>
  <c r="D3681" i="5"/>
  <c r="C3679" i="5"/>
  <c r="F3679" i="5"/>
  <c r="C3680" i="5"/>
  <c r="C3683" i="5"/>
  <c r="F3683" i="5"/>
  <c r="C3684" i="5"/>
  <c r="E3684" i="5"/>
  <c r="C3677" i="5"/>
  <c r="E3677" i="5"/>
  <c r="C3678" i="5"/>
  <c r="D1910" i="5"/>
  <c r="D1907" i="5"/>
  <c r="D1906" i="5"/>
  <c r="D1908" i="5"/>
  <c r="C1904" i="5"/>
  <c r="E1904" i="5"/>
  <c r="D1904" i="5"/>
  <c r="C1905" i="5"/>
  <c r="C1906" i="5"/>
  <c r="F1906" i="5"/>
  <c r="C1907" i="5"/>
  <c r="D1905" i="5"/>
  <c r="D1912" i="5"/>
  <c r="D1911" i="5"/>
  <c r="C1908" i="5"/>
  <c r="D1909" i="5"/>
  <c r="C1911" i="5"/>
  <c r="E1911" i="5"/>
  <c r="C1912" i="5"/>
  <c r="F1912" i="5"/>
  <c r="D2745" i="5"/>
  <c r="C2749" i="5"/>
  <c r="F2749" i="5"/>
  <c r="D2741" i="5"/>
  <c r="D2742" i="5"/>
  <c r="D2743" i="5"/>
  <c r="C2747" i="5"/>
  <c r="F2747" i="5"/>
  <c r="D2744" i="5"/>
  <c r="C2748" i="5"/>
  <c r="E2748" i="5"/>
  <c r="D2746" i="5"/>
  <c r="D2747" i="5"/>
  <c r="D2748" i="5"/>
  <c r="C2745" i="5"/>
  <c r="D2749" i="5"/>
  <c r="C2746" i="5"/>
  <c r="E2746" i="5"/>
  <c r="C2741" i="5"/>
  <c r="E2741" i="5"/>
  <c r="C2744" i="5"/>
  <c r="C2743" i="5"/>
  <c r="F2743" i="5"/>
  <c r="C2742" i="5"/>
  <c r="D1255" i="5"/>
  <c r="D1254" i="5"/>
  <c r="D1252" i="5"/>
  <c r="D1253" i="5"/>
  <c r="C1248" i="5"/>
  <c r="C1249" i="5"/>
  <c r="F1249" i="5"/>
  <c r="D1249" i="5"/>
  <c r="C1247" i="5"/>
  <c r="E1247" i="5"/>
  <c r="D1251" i="5"/>
  <c r="C1251" i="5"/>
  <c r="D1247" i="5"/>
  <c r="D1248" i="5"/>
  <c r="D1250" i="5"/>
  <c r="C1250" i="5"/>
  <c r="C1254" i="5"/>
  <c r="E1254" i="5"/>
  <c r="C1255" i="5"/>
  <c r="F1255" i="5"/>
  <c r="D3264" i="5"/>
  <c r="D3265" i="5"/>
  <c r="D3263" i="5"/>
  <c r="D3267" i="5"/>
  <c r="D3266" i="5"/>
  <c r="C3265" i="5"/>
  <c r="F3265" i="5"/>
  <c r="D3268" i="5"/>
  <c r="C3270" i="5"/>
  <c r="E3270" i="5"/>
  <c r="C3271" i="5"/>
  <c r="F3271" i="5"/>
  <c r="C3263" i="5"/>
  <c r="E3263" i="5"/>
  <c r="D3269" i="5"/>
  <c r="D3270" i="5"/>
  <c r="C3266" i="5"/>
  <c r="C3267" i="5"/>
  <c r="C3264" i="5"/>
  <c r="D3271" i="5"/>
  <c r="D2846" i="5"/>
  <c r="D2840" i="5"/>
  <c r="D2842" i="5"/>
  <c r="D2843" i="5"/>
  <c r="D2844" i="5"/>
  <c r="C2840" i="5"/>
  <c r="E2840" i="5"/>
  <c r="C2841" i="5"/>
  <c r="C2842" i="5"/>
  <c r="F2842" i="5"/>
  <c r="C2843" i="5"/>
  <c r="D2845" i="5"/>
  <c r="D2848" i="5"/>
  <c r="C2847" i="5"/>
  <c r="E2847" i="5"/>
  <c r="D2847" i="5"/>
  <c r="D2841" i="5"/>
  <c r="C2844" i="5"/>
  <c r="C2848" i="5"/>
  <c r="F2848" i="5"/>
  <c r="D1678" i="5"/>
  <c r="D1671" i="5"/>
  <c r="D1672" i="5"/>
  <c r="D1670" i="5"/>
  <c r="D1673" i="5"/>
  <c r="C1671" i="5"/>
  <c r="D1674" i="5"/>
  <c r="C1672" i="5"/>
  <c r="F1672" i="5"/>
  <c r="D1675" i="5"/>
  <c r="D1676" i="5"/>
  <c r="C1678" i="5"/>
  <c r="F1678" i="5"/>
  <c r="C1670" i="5"/>
  <c r="E1670" i="5"/>
  <c r="C1673" i="5"/>
  <c r="C1674" i="5"/>
  <c r="D1677" i="5"/>
  <c r="C1677" i="5"/>
  <c r="E1677" i="5"/>
  <c r="D598" i="5"/>
  <c r="D591" i="5"/>
  <c r="D592" i="5"/>
  <c r="D593" i="5"/>
  <c r="C592" i="5"/>
  <c r="F592" i="5"/>
  <c r="D594" i="5"/>
  <c r="C593" i="5"/>
  <c r="D595" i="5"/>
  <c r="C594" i="5"/>
  <c r="D596" i="5"/>
  <c r="C591" i="5"/>
  <c r="C590" i="5"/>
  <c r="E590" i="5"/>
  <c r="D590" i="5"/>
  <c r="C597" i="5"/>
  <c r="E597" i="5"/>
  <c r="D597" i="5"/>
  <c r="C598" i="5"/>
  <c r="F598" i="5"/>
  <c r="D3624" i="5"/>
  <c r="D3625" i="5"/>
  <c r="D3631" i="5"/>
  <c r="D3629" i="5"/>
  <c r="D3630" i="5"/>
  <c r="D3623" i="5"/>
  <c r="D3626" i="5"/>
  <c r="D3627" i="5"/>
  <c r="C3625" i="5"/>
  <c r="F3625" i="5"/>
  <c r="D3628" i="5"/>
  <c r="C3626" i="5"/>
  <c r="C3623" i="5"/>
  <c r="E3623" i="5"/>
  <c r="C3624" i="5"/>
  <c r="C3627" i="5"/>
  <c r="C3630" i="5"/>
  <c r="E3630" i="5"/>
  <c r="C3631" i="5"/>
  <c r="F3631" i="5"/>
  <c r="D3804" i="5"/>
  <c r="D3805" i="5"/>
  <c r="D3803" i="5"/>
  <c r="D3807" i="5"/>
  <c r="D3811" i="5"/>
  <c r="D3806" i="5"/>
  <c r="C3805" i="5"/>
  <c r="F3805" i="5"/>
  <c r="D3808" i="5"/>
  <c r="C3806" i="5"/>
  <c r="C3811" i="5"/>
  <c r="F3811" i="5"/>
  <c r="D3809" i="5"/>
  <c r="D3810" i="5"/>
  <c r="C3807" i="5"/>
  <c r="C3804" i="5"/>
  <c r="C3803" i="5"/>
  <c r="E3803" i="5"/>
  <c r="C3810" i="5"/>
  <c r="E3810" i="5"/>
  <c r="D1723" i="5"/>
  <c r="C1717" i="5"/>
  <c r="F1717" i="5"/>
  <c r="D1716" i="5"/>
  <c r="D1717" i="5"/>
  <c r="D1718" i="5"/>
  <c r="C1723" i="5"/>
  <c r="F1723" i="5"/>
  <c r="D1715" i="5"/>
  <c r="C1718" i="5"/>
  <c r="C1720" i="5"/>
  <c r="E1720" i="5"/>
  <c r="D1719" i="5"/>
  <c r="C1715" i="5"/>
  <c r="E1715" i="5"/>
  <c r="C1716" i="5"/>
  <c r="C1719" i="5"/>
  <c r="C1721" i="5"/>
  <c r="F1721" i="5"/>
  <c r="D1722" i="5"/>
  <c r="C1722" i="5"/>
  <c r="E1722" i="5"/>
  <c r="D1720" i="5"/>
  <c r="D1721" i="5"/>
  <c r="D3833" i="5"/>
  <c r="D3835" i="5"/>
  <c r="D3830" i="5"/>
  <c r="D3837" i="5"/>
  <c r="D3838" i="5"/>
  <c r="D3834" i="5"/>
  <c r="D3836" i="5"/>
  <c r="C3830" i="5"/>
  <c r="E3830" i="5"/>
  <c r="D3831" i="5"/>
  <c r="D3832" i="5"/>
  <c r="C3832" i="5"/>
  <c r="F3832" i="5"/>
  <c r="C3834" i="5"/>
  <c r="C3833" i="5"/>
  <c r="C3837" i="5"/>
  <c r="E3837" i="5"/>
  <c r="C3838" i="5"/>
  <c r="F3838" i="5"/>
  <c r="C3831" i="5"/>
  <c r="D1964" i="5"/>
  <c r="D1962" i="5"/>
  <c r="D1958" i="5"/>
  <c r="D1961" i="5"/>
  <c r="C1966" i="5"/>
  <c r="F1966" i="5"/>
  <c r="D1963" i="5"/>
  <c r="D1965" i="5"/>
  <c r="D1960" i="5"/>
  <c r="C1962" i="5"/>
  <c r="D1959" i="5"/>
  <c r="C1960" i="5"/>
  <c r="F1960" i="5"/>
  <c r="C1961" i="5"/>
  <c r="C1965" i="5"/>
  <c r="E1965" i="5"/>
  <c r="D1966" i="5"/>
  <c r="C1958" i="5"/>
  <c r="E1958" i="5"/>
  <c r="C1959" i="5"/>
  <c r="D4018" i="5"/>
  <c r="D4011" i="5"/>
  <c r="D4012" i="5"/>
  <c r="D4010" i="5"/>
  <c r="D4017" i="5"/>
  <c r="C4011" i="5"/>
  <c r="C4012" i="5"/>
  <c r="F4012" i="5"/>
  <c r="D4013" i="5"/>
  <c r="C4013" i="5"/>
  <c r="D4014" i="5"/>
  <c r="C4014" i="5"/>
  <c r="D4015" i="5"/>
  <c r="C4015" i="5"/>
  <c r="E4015" i="5"/>
  <c r="D4016" i="5"/>
  <c r="C4010" i="5"/>
  <c r="E4010" i="5"/>
  <c r="C4017" i="5"/>
  <c r="E4017" i="5"/>
  <c r="C4018" i="5"/>
  <c r="F4018" i="5"/>
  <c r="C4016" i="5"/>
  <c r="F4016" i="5"/>
  <c r="D4032" i="5"/>
  <c r="D4033" i="5"/>
  <c r="D4035" i="5"/>
  <c r="D4028" i="5"/>
  <c r="D4029" i="5"/>
  <c r="D4030" i="5"/>
  <c r="D4031" i="5"/>
  <c r="D4034" i="5"/>
  <c r="D4036" i="5"/>
  <c r="C4028" i="5"/>
  <c r="E4028" i="5"/>
  <c r="C4029" i="5"/>
  <c r="C4030" i="5"/>
  <c r="F4030" i="5"/>
  <c r="C4036" i="5"/>
  <c r="F4036" i="5"/>
  <c r="C4035" i="5"/>
  <c r="E4035" i="5"/>
  <c r="C4032" i="5"/>
  <c r="C4031" i="5"/>
  <c r="D1318" i="5"/>
  <c r="D1317" i="5"/>
  <c r="D1311" i="5"/>
  <c r="C1312" i="5"/>
  <c r="F1312" i="5"/>
  <c r="D1312" i="5"/>
  <c r="C1313" i="5"/>
  <c r="D1313" i="5"/>
  <c r="D1310" i="5"/>
  <c r="D1314" i="5"/>
  <c r="C1317" i="5"/>
  <c r="E1317" i="5"/>
  <c r="C1310" i="5"/>
  <c r="E1310" i="5"/>
  <c r="C1318" i="5"/>
  <c r="F1318" i="5"/>
  <c r="D1315" i="5"/>
  <c r="D1316" i="5"/>
  <c r="C1311" i="5"/>
  <c r="C1314" i="5"/>
  <c r="D1618" i="5"/>
  <c r="D1619" i="5"/>
  <c r="D1620" i="5"/>
  <c r="D1622" i="5"/>
  <c r="D1623" i="5"/>
  <c r="D1624" i="5"/>
  <c r="C1618" i="5"/>
  <c r="F1618" i="5"/>
  <c r="C1619" i="5"/>
  <c r="C1616" i="5"/>
  <c r="E1616" i="5"/>
  <c r="C1617" i="5"/>
  <c r="D1616" i="5"/>
  <c r="C1624" i="5"/>
  <c r="F1624" i="5"/>
  <c r="C1620" i="5"/>
  <c r="C1623" i="5"/>
  <c r="E1623" i="5"/>
  <c r="D1617" i="5"/>
  <c r="D1621" i="5"/>
  <c r="D1402" i="5"/>
  <c r="D1401" i="5"/>
  <c r="D1403" i="5"/>
  <c r="D1404" i="5"/>
  <c r="D1400" i="5"/>
  <c r="D1408" i="5"/>
  <c r="C1401" i="5"/>
  <c r="C1400" i="5"/>
  <c r="E1400" i="5"/>
  <c r="C1402" i="5"/>
  <c r="F1402" i="5"/>
  <c r="C1403" i="5"/>
  <c r="D1405" i="5"/>
  <c r="C1404" i="5"/>
  <c r="D1406" i="5"/>
  <c r="D1407" i="5"/>
  <c r="C1408" i="5"/>
  <c r="F1408" i="5"/>
  <c r="C1407" i="5"/>
  <c r="E1407" i="5"/>
  <c r="D1435" i="5"/>
  <c r="C1429" i="5"/>
  <c r="F1429" i="5"/>
  <c r="D1432" i="5"/>
  <c r="D1433" i="5"/>
  <c r="D1434" i="5"/>
  <c r="C1435" i="5"/>
  <c r="F1435" i="5"/>
  <c r="C1428" i="5"/>
  <c r="C1430" i="5"/>
  <c r="C1434" i="5"/>
  <c r="E1434" i="5"/>
  <c r="D1429" i="5"/>
  <c r="C1431" i="5"/>
  <c r="D1430" i="5"/>
  <c r="D1431" i="5"/>
  <c r="C1427" i="5"/>
  <c r="E1427" i="5"/>
  <c r="D1427" i="5"/>
  <c r="D1428" i="5"/>
  <c r="D2080" i="5"/>
  <c r="D2081" i="5"/>
  <c r="C2077" i="5"/>
  <c r="F2077" i="5"/>
  <c r="D2082" i="5"/>
  <c r="D2075" i="5"/>
  <c r="D2076" i="5"/>
  <c r="D2077" i="5"/>
  <c r="C2078" i="5"/>
  <c r="C2079" i="5"/>
  <c r="D2078" i="5"/>
  <c r="C2075" i="5"/>
  <c r="E2075" i="5"/>
  <c r="D2079" i="5"/>
  <c r="D2083" i="5"/>
  <c r="C2076" i="5"/>
  <c r="C2082" i="5"/>
  <c r="E2082" i="5"/>
  <c r="C2083" i="5"/>
  <c r="F2083" i="5"/>
  <c r="D3672" i="5"/>
  <c r="D3673" i="5"/>
  <c r="D3675" i="5"/>
  <c r="D3671" i="5"/>
  <c r="D3674" i="5"/>
  <c r="D3669" i="5"/>
  <c r="D3670" i="5"/>
  <c r="D3676" i="5"/>
  <c r="C3668" i="5"/>
  <c r="E3668" i="5"/>
  <c r="C3669" i="5"/>
  <c r="D3668" i="5"/>
  <c r="C3670" i="5"/>
  <c r="F3670" i="5"/>
  <c r="C3671" i="5"/>
  <c r="C3675" i="5"/>
  <c r="E3675" i="5"/>
  <c r="C3676" i="5"/>
  <c r="F3676" i="5"/>
  <c r="C3672" i="5"/>
  <c r="D3086" i="5"/>
  <c r="D3085" i="5"/>
  <c r="C3085" i="5"/>
  <c r="F3085" i="5"/>
  <c r="D3088" i="5"/>
  <c r="D3089" i="5"/>
  <c r="D3090" i="5"/>
  <c r="D3083" i="5"/>
  <c r="C3091" i="5"/>
  <c r="F3091" i="5"/>
  <c r="D3091" i="5"/>
  <c r="C3087" i="5"/>
  <c r="C3090" i="5"/>
  <c r="E3090" i="5"/>
  <c r="C3083" i="5"/>
  <c r="E3083" i="5"/>
  <c r="C3084" i="5"/>
  <c r="C3086" i="5"/>
  <c r="D3084" i="5"/>
  <c r="D3087" i="5"/>
  <c r="D2774" i="5"/>
  <c r="D2771" i="5"/>
  <c r="D2769" i="5"/>
  <c r="D2770" i="5"/>
  <c r="D2768" i="5"/>
  <c r="D2772" i="5"/>
  <c r="C2775" i="5"/>
  <c r="E2775" i="5"/>
  <c r="D2773" i="5"/>
  <c r="D2775" i="5"/>
  <c r="C2771" i="5"/>
  <c r="C2772" i="5"/>
  <c r="C2776" i="5"/>
  <c r="F2776" i="5"/>
  <c r="D2776" i="5"/>
  <c r="C2768" i="5"/>
  <c r="E2768" i="5"/>
  <c r="C2769" i="5"/>
  <c r="C2770" i="5"/>
  <c r="F2770" i="5"/>
  <c r="D1054" i="5"/>
  <c r="C1057" i="5"/>
  <c r="F1057" i="5"/>
  <c r="D1051" i="5"/>
  <c r="D1053" i="5"/>
  <c r="D1049" i="5"/>
  <c r="D1057" i="5"/>
  <c r="C1049" i="5"/>
  <c r="E1049" i="5"/>
  <c r="D1050" i="5"/>
  <c r="D1055" i="5"/>
  <c r="D1056" i="5"/>
  <c r="C1050" i="5"/>
  <c r="D1052" i="5"/>
  <c r="C1056" i="5"/>
  <c r="E1056" i="5"/>
  <c r="C1052" i="5"/>
  <c r="C1053" i="5"/>
  <c r="C1051" i="5"/>
  <c r="F1051" i="5"/>
  <c r="D1594" i="5"/>
  <c r="D1592" i="5"/>
  <c r="C1597" i="5"/>
  <c r="F1597" i="5"/>
  <c r="D1593" i="5"/>
  <c r="D1589" i="5"/>
  <c r="D1590" i="5"/>
  <c r="D1591" i="5"/>
  <c r="C1592" i="5"/>
  <c r="C1593" i="5"/>
  <c r="D1595" i="5"/>
  <c r="C1589" i="5"/>
  <c r="E1589" i="5"/>
  <c r="D1596" i="5"/>
  <c r="D1597" i="5"/>
  <c r="C1596" i="5"/>
  <c r="E1596" i="5"/>
  <c r="C1590" i="5"/>
  <c r="C1591" i="5"/>
  <c r="F1591" i="5"/>
  <c r="D2230" i="5"/>
  <c r="D2231" i="5"/>
  <c r="D2232" i="5"/>
  <c r="D2235" i="5"/>
  <c r="C2230" i="5"/>
  <c r="F2230" i="5"/>
  <c r="D2236" i="5"/>
  <c r="C2231" i="5"/>
  <c r="D2228" i="5"/>
  <c r="C2235" i="5"/>
  <c r="E2235" i="5"/>
  <c r="D2229" i="5"/>
  <c r="C2236" i="5"/>
  <c r="F2236" i="5"/>
  <c r="D2233" i="5"/>
  <c r="D2234" i="5"/>
  <c r="C2229" i="5"/>
  <c r="C2232" i="5"/>
  <c r="C2228" i="5"/>
  <c r="E2228" i="5"/>
  <c r="D1306" i="5"/>
  <c r="D1308" i="5"/>
  <c r="D1309" i="5"/>
  <c r="D1302" i="5"/>
  <c r="D1304" i="5"/>
  <c r="C1301" i="5"/>
  <c r="E1301" i="5"/>
  <c r="D1307" i="5"/>
  <c r="C1303" i="5"/>
  <c r="F1303" i="5"/>
  <c r="C1305" i="5"/>
  <c r="C1308" i="5"/>
  <c r="E1308" i="5"/>
  <c r="C1309" i="5"/>
  <c r="F1309" i="5"/>
  <c r="D1301" i="5"/>
  <c r="D1303" i="5"/>
  <c r="C1302" i="5"/>
  <c r="D1305" i="5"/>
  <c r="C1304" i="5"/>
  <c r="D2254" i="5"/>
  <c r="D2253" i="5"/>
  <c r="C2250" i="5"/>
  <c r="D2246" i="5"/>
  <c r="C2253" i="5"/>
  <c r="E2253" i="5"/>
  <c r="D2247" i="5"/>
  <c r="C2254" i="5"/>
  <c r="F2254" i="5"/>
  <c r="D2248" i="5"/>
  <c r="D2249" i="5"/>
  <c r="D2250" i="5"/>
  <c r="D2251" i="5"/>
  <c r="C2247" i="5"/>
  <c r="C2248" i="5"/>
  <c r="F2248" i="5"/>
  <c r="C2249" i="5"/>
  <c r="D2252" i="5"/>
  <c r="C2246" i="5"/>
  <c r="E2246" i="5"/>
  <c r="D203" i="5"/>
  <c r="D210" i="5"/>
  <c r="D211" i="5"/>
  <c r="D208" i="5"/>
  <c r="D209" i="5"/>
  <c r="D204" i="5"/>
  <c r="C207" i="5"/>
  <c r="D206" i="5"/>
  <c r="C211" i="5"/>
  <c r="F211" i="5"/>
  <c r="D207" i="5"/>
  <c r="C210" i="5"/>
  <c r="E210" i="5"/>
  <c r="C203" i="5"/>
  <c r="E203" i="5"/>
  <c r="C204" i="5"/>
  <c r="C205" i="5"/>
  <c r="F205" i="5"/>
  <c r="C206" i="5"/>
  <c r="D205" i="5"/>
  <c r="D2493" i="5"/>
  <c r="D2494" i="5"/>
  <c r="C2497" i="5"/>
  <c r="F2497" i="5"/>
  <c r="D2496" i="5"/>
  <c r="D2497" i="5"/>
  <c r="C2489" i="5"/>
  <c r="E2489" i="5"/>
  <c r="C2490" i="5"/>
  <c r="C2491" i="5"/>
  <c r="F2491" i="5"/>
  <c r="C2492" i="5"/>
  <c r="C2493" i="5"/>
  <c r="D2490" i="5"/>
  <c r="D2492" i="5"/>
  <c r="D2495" i="5"/>
  <c r="D2489" i="5"/>
  <c r="C2496" i="5"/>
  <c r="E2496" i="5"/>
  <c r="D2491" i="5"/>
  <c r="D4440" i="5"/>
  <c r="D4441" i="5"/>
  <c r="D4433" i="5"/>
  <c r="D4435" i="5"/>
  <c r="D4436" i="5"/>
  <c r="D4437" i="5"/>
  <c r="C4441" i="5"/>
  <c r="F4441" i="5"/>
  <c r="D4438" i="5"/>
  <c r="D4439" i="5"/>
  <c r="C4437" i="5"/>
  <c r="C4433" i="5"/>
  <c r="E4433" i="5"/>
  <c r="C4435" i="5"/>
  <c r="F4435" i="5"/>
  <c r="C4436" i="5"/>
  <c r="C4434" i="5"/>
  <c r="C4440" i="5"/>
  <c r="E4440" i="5"/>
  <c r="D4434" i="5"/>
  <c r="R121" i="3"/>
  <c r="J121" i="8"/>
  <c r="D1066" i="5"/>
  <c r="D1059" i="5"/>
  <c r="D1060" i="5"/>
  <c r="D1064" i="5"/>
  <c r="C1059" i="5"/>
  <c r="D1065" i="5"/>
  <c r="C1060" i="5"/>
  <c r="F1060" i="5"/>
  <c r="D1058" i="5"/>
  <c r="D1061" i="5"/>
  <c r="C1062" i="5"/>
  <c r="C1066" i="5"/>
  <c r="F1066" i="5"/>
  <c r="C1065" i="5"/>
  <c r="E1065" i="5"/>
  <c r="C1058" i="5"/>
  <c r="E1058" i="5"/>
  <c r="C1061" i="5"/>
  <c r="D1062" i="5"/>
  <c r="D1063" i="5"/>
  <c r="D2450" i="5"/>
  <c r="D2447" i="5"/>
  <c r="D2451" i="5"/>
  <c r="D2452" i="5"/>
  <c r="D2444" i="5"/>
  <c r="D2445" i="5"/>
  <c r="C2451" i="5"/>
  <c r="E2451" i="5"/>
  <c r="D2446" i="5"/>
  <c r="D2448" i="5"/>
  <c r="C2444" i="5"/>
  <c r="E2444" i="5"/>
  <c r="C2445" i="5"/>
  <c r="C2447" i="5"/>
  <c r="D2449" i="5"/>
  <c r="C2446" i="5"/>
  <c r="F2446" i="5"/>
  <c r="C2448" i="5"/>
  <c r="C2452" i="5"/>
  <c r="F2452" i="5"/>
  <c r="D958" i="5"/>
  <c r="D954" i="5"/>
  <c r="D955" i="5"/>
  <c r="D957" i="5"/>
  <c r="D951" i="5"/>
  <c r="C954" i="5"/>
  <c r="D952" i="5"/>
  <c r="D953" i="5"/>
  <c r="C952" i="5"/>
  <c r="F952" i="5"/>
  <c r="C953" i="5"/>
  <c r="D950" i="5"/>
  <c r="C951" i="5"/>
  <c r="D956" i="5"/>
  <c r="C950" i="5"/>
  <c r="E950" i="5"/>
  <c r="C957" i="5"/>
  <c r="E957" i="5"/>
  <c r="C958" i="5"/>
  <c r="F958" i="5"/>
  <c r="D3866" i="5"/>
  <c r="D3871" i="5"/>
  <c r="D3872" i="5"/>
  <c r="D3867" i="5"/>
  <c r="D3868" i="5"/>
  <c r="C3866" i="5"/>
  <c r="E3866" i="5"/>
  <c r="D3869" i="5"/>
  <c r="D3870" i="5"/>
  <c r="C3869" i="5"/>
  <c r="C3870" i="5"/>
  <c r="C3874" i="5"/>
  <c r="F3874" i="5"/>
  <c r="C3867" i="5"/>
  <c r="C3868" i="5"/>
  <c r="F3868" i="5"/>
  <c r="D3873" i="5"/>
  <c r="D3874" i="5"/>
  <c r="C3873" i="5"/>
  <c r="E3873" i="5"/>
  <c r="D3660" i="5"/>
  <c r="D3661" i="5"/>
  <c r="D3659" i="5"/>
  <c r="D3663" i="5"/>
  <c r="C3661" i="5"/>
  <c r="F3661" i="5"/>
  <c r="C3662" i="5"/>
  <c r="D3662" i="5"/>
  <c r="C3667" i="5"/>
  <c r="F3667" i="5"/>
  <c r="D3664" i="5"/>
  <c r="D3665" i="5"/>
  <c r="D3666" i="5"/>
  <c r="D3667" i="5"/>
  <c r="C3666" i="5"/>
  <c r="E3666" i="5"/>
  <c r="C3659" i="5"/>
  <c r="E3659" i="5"/>
  <c r="C3660" i="5"/>
  <c r="C3663" i="5"/>
  <c r="D1414" i="5"/>
  <c r="D1409" i="5"/>
  <c r="C1417" i="5"/>
  <c r="F1417" i="5"/>
  <c r="D1410" i="5"/>
  <c r="D1417" i="5"/>
  <c r="C1409" i="5"/>
  <c r="E1409" i="5"/>
  <c r="C1410" i="5"/>
  <c r="D1415" i="5"/>
  <c r="C1413" i="5"/>
  <c r="D1416" i="5"/>
  <c r="C1416" i="5"/>
  <c r="E1416" i="5"/>
  <c r="D1412" i="5"/>
  <c r="D1413" i="5"/>
  <c r="C1412" i="5"/>
  <c r="D1411" i="5"/>
  <c r="C1411" i="5"/>
  <c r="F1411" i="5"/>
  <c r="D4187" i="5"/>
  <c r="D4188" i="5"/>
  <c r="D4189" i="5"/>
  <c r="D4184" i="5"/>
  <c r="D4186" i="5"/>
  <c r="C4181" i="5"/>
  <c r="E4181" i="5"/>
  <c r="C4182" i="5"/>
  <c r="C4188" i="5"/>
  <c r="E4188" i="5"/>
  <c r="C4189" i="5"/>
  <c r="F4189" i="5"/>
  <c r="D4181" i="5"/>
  <c r="C4185" i="5"/>
  <c r="D4182" i="5"/>
  <c r="D4183" i="5"/>
  <c r="D4185" i="5"/>
  <c r="C4183" i="5"/>
  <c r="F4183" i="5"/>
  <c r="C4184" i="5"/>
  <c r="D2158" i="5"/>
  <c r="C2161" i="5"/>
  <c r="E2161" i="5"/>
  <c r="D2160" i="5"/>
  <c r="D2161" i="5"/>
  <c r="D2162" i="5"/>
  <c r="D2156" i="5"/>
  <c r="C2156" i="5"/>
  <c r="E2156" i="5"/>
  <c r="C2157" i="5"/>
  <c r="C2164" i="5"/>
  <c r="F2164" i="5"/>
  <c r="D2157" i="5"/>
  <c r="C2162" i="5"/>
  <c r="F2162" i="5"/>
  <c r="C2163" i="5"/>
  <c r="E2163" i="5"/>
  <c r="D2163" i="5"/>
  <c r="D2164" i="5"/>
  <c r="C2159" i="5"/>
  <c r="D2159" i="5"/>
  <c r="C2158" i="5"/>
  <c r="F2158" i="5"/>
  <c r="C2160" i="5"/>
  <c r="D1486" i="5"/>
  <c r="D1488" i="5"/>
  <c r="C1489" i="5"/>
  <c r="F1489" i="5"/>
  <c r="D1489" i="5"/>
  <c r="D1481" i="5"/>
  <c r="D1482" i="5"/>
  <c r="D1483" i="5"/>
  <c r="D1484" i="5"/>
  <c r="C1488" i="5"/>
  <c r="E1488" i="5"/>
  <c r="D1485" i="5"/>
  <c r="D1487" i="5"/>
  <c r="C1482" i="5"/>
  <c r="C1483" i="5"/>
  <c r="F1483" i="5"/>
  <c r="C1484" i="5"/>
  <c r="C1485" i="5"/>
  <c r="C1481" i="5"/>
  <c r="E1481" i="5"/>
  <c r="D3864" i="5"/>
  <c r="D3865" i="5"/>
  <c r="D3861" i="5"/>
  <c r="D3863" i="5"/>
  <c r="D3862" i="5"/>
  <c r="D3857" i="5"/>
  <c r="D3858" i="5"/>
  <c r="C3865" i="5"/>
  <c r="F3865" i="5"/>
  <c r="D3860" i="5"/>
  <c r="C3859" i="5"/>
  <c r="F3859" i="5"/>
  <c r="C3860" i="5"/>
  <c r="C3861" i="5"/>
  <c r="C3857" i="5"/>
  <c r="E3857" i="5"/>
  <c r="C3858" i="5"/>
  <c r="C3864" i="5"/>
  <c r="E3864" i="5"/>
  <c r="D3859" i="5"/>
  <c r="C2221" i="5"/>
  <c r="F2221" i="5"/>
  <c r="D2219" i="5"/>
  <c r="D2223" i="5"/>
  <c r="D2224" i="5"/>
  <c r="D2225" i="5"/>
  <c r="D2220" i="5"/>
  <c r="C2219" i="5"/>
  <c r="E2219" i="5"/>
  <c r="C2220" i="5"/>
  <c r="D2227" i="5"/>
  <c r="C2223" i="5"/>
  <c r="D2221" i="5"/>
  <c r="C2226" i="5"/>
  <c r="E2226" i="5"/>
  <c r="D2222" i="5"/>
  <c r="C2227" i="5"/>
  <c r="F2227" i="5"/>
  <c r="D2226" i="5"/>
  <c r="C2222" i="5"/>
  <c r="D2282" i="5"/>
  <c r="D2290" i="5"/>
  <c r="D2283" i="5"/>
  <c r="D2289" i="5"/>
  <c r="D2284" i="5"/>
  <c r="D2285" i="5"/>
  <c r="D2286" i="5"/>
  <c r="C2286" i="5"/>
  <c r="C2287" i="5"/>
  <c r="E2287" i="5"/>
  <c r="C2288" i="5"/>
  <c r="F2288" i="5"/>
  <c r="D2287" i="5"/>
  <c r="C2290" i="5"/>
  <c r="F2290" i="5"/>
  <c r="D2288" i="5"/>
  <c r="C2285" i="5"/>
  <c r="C2289" i="5"/>
  <c r="E2289" i="5"/>
  <c r="C2282" i="5"/>
  <c r="E2282" i="5"/>
  <c r="C2283" i="5"/>
  <c r="C2284" i="5"/>
  <c r="F2284" i="5"/>
  <c r="D3696" i="5"/>
  <c r="D3697" i="5"/>
  <c r="D3703" i="5"/>
  <c r="D3699" i="5"/>
  <c r="D3700" i="5"/>
  <c r="C3697" i="5"/>
  <c r="F3697" i="5"/>
  <c r="C3698" i="5"/>
  <c r="D3702" i="5"/>
  <c r="C3695" i="5"/>
  <c r="E3695" i="5"/>
  <c r="C3696" i="5"/>
  <c r="C3703" i="5"/>
  <c r="F3703" i="5"/>
  <c r="D3698" i="5"/>
  <c r="D3701" i="5"/>
  <c r="C3699" i="5"/>
  <c r="D3695" i="5"/>
  <c r="C3702" i="5"/>
  <c r="E3702" i="5"/>
  <c r="D2258" i="5"/>
  <c r="D2262" i="5"/>
  <c r="C2257" i="5"/>
  <c r="F2257" i="5"/>
  <c r="D2263" i="5"/>
  <c r="D2255" i="5"/>
  <c r="D2256" i="5"/>
  <c r="D2257" i="5"/>
  <c r="D2259" i="5"/>
  <c r="D2260" i="5"/>
  <c r="C2255" i="5"/>
  <c r="E2255" i="5"/>
  <c r="D2261" i="5"/>
  <c r="C2256" i="5"/>
  <c r="C2258" i="5"/>
  <c r="C2259" i="5"/>
  <c r="C2262" i="5"/>
  <c r="E2262" i="5"/>
  <c r="C2263" i="5"/>
  <c r="F2263" i="5"/>
  <c r="D3501" i="5"/>
  <c r="D3498" i="5"/>
  <c r="C3505" i="5"/>
  <c r="F3505" i="5"/>
  <c r="D3499" i="5"/>
  <c r="D3497" i="5"/>
  <c r="D3504" i="5"/>
  <c r="C3503" i="5"/>
  <c r="F3503" i="5"/>
  <c r="D3505" i="5"/>
  <c r="C3504" i="5"/>
  <c r="E3504" i="5"/>
  <c r="C3502" i="5"/>
  <c r="E3502" i="5"/>
  <c r="D3500" i="5"/>
  <c r="D3502" i="5"/>
  <c r="D3503" i="5"/>
  <c r="C3498" i="5"/>
  <c r="C3499" i="5"/>
  <c r="F3499" i="5"/>
  <c r="C3500" i="5"/>
  <c r="C3501" i="5"/>
  <c r="C3497" i="5"/>
  <c r="E3497" i="5"/>
  <c r="D3720" i="5"/>
  <c r="D3721" i="5"/>
  <c r="D3717" i="5"/>
  <c r="D3719" i="5"/>
  <c r="D3713" i="5"/>
  <c r="D3714" i="5"/>
  <c r="D3715" i="5"/>
  <c r="C3721" i="5"/>
  <c r="F3721" i="5"/>
  <c r="D3716" i="5"/>
  <c r="C3720" i="5"/>
  <c r="E3720" i="5"/>
  <c r="C3715" i="5"/>
  <c r="F3715" i="5"/>
  <c r="C3717" i="5"/>
  <c r="C3713" i="5"/>
  <c r="E3713" i="5"/>
  <c r="D3718" i="5"/>
  <c r="C3714" i="5"/>
  <c r="C3716" i="5"/>
  <c r="D2024" i="5"/>
  <c r="D2028" i="5"/>
  <c r="D2023" i="5"/>
  <c r="C2029" i="5"/>
  <c r="F2029" i="5"/>
  <c r="D2025" i="5"/>
  <c r="D2022" i="5"/>
  <c r="D2026" i="5"/>
  <c r="D2027" i="5"/>
  <c r="C2021" i="5"/>
  <c r="E2021" i="5"/>
  <c r="C2022" i="5"/>
  <c r="C2025" i="5"/>
  <c r="C2023" i="5"/>
  <c r="F2023" i="5"/>
  <c r="C2024" i="5"/>
  <c r="D2021" i="5"/>
  <c r="D2029" i="5"/>
  <c r="C2028" i="5"/>
  <c r="E2028" i="5"/>
  <c r="D4121" i="5"/>
  <c r="D4123" i="5"/>
  <c r="D4118" i="5"/>
  <c r="D4119" i="5"/>
  <c r="C4126" i="5"/>
  <c r="F4126" i="5"/>
  <c r="D4120" i="5"/>
  <c r="D4122" i="5"/>
  <c r="C4124" i="5"/>
  <c r="F4124" i="5"/>
  <c r="C4125" i="5"/>
  <c r="E4125" i="5"/>
  <c r="D4125" i="5"/>
  <c r="D4126" i="5"/>
  <c r="D4124" i="5"/>
  <c r="C4122" i="5"/>
  <c r="C4123" i="5"/>
  <c r="E4123" i="5"/>
  <c r="C4118" i="5"/>
  <c r="E4118" i="5"/>
  <c r="C4119" i="5"/>
  <c r="C4120" i="5"/>
  <c r="F4120" i="5"/>
  <c r="C4121" i="5"/>
  <c r="D4224" i="5"/>
  <c r="D4225" i="5"/>
  <c r="D4217" i="5"/>
  <c r="D4219" i="5"/>
  <c r="D4220" i="5"/>
  <c r="D4223" i="5"/>
  <c r="C4222" i="5"/>
  <c r="E4222" i="5"/>
  <c r="C4220" i="5"/>
  <c r="C4221" i="5"/>
  <c r="C4218" i="5"/>
  <c r="C4219" i="5"/>
  <c r="F4219" i="5"/>
  <c r="C4225" i="5"/>
  <c r="F4225" i="5"/>
  <c r="D4222" i="5"/>
  <c r="C4224" i="5"/>
  <c r="E4224" i="5"/>
  <c r="D4218" i="5"/>
  <c r="C4217" i="5"/>
  <c r="E4217" i="5"/>
  <c r="D4221" i="5"/>
  <c r="C4223" i="5"/>
  <c r="F4223" i="5"/>
  <c r="D2426" i="5"/>
  <c r="D2434" i="5"/>
  <c r="D2433" i="5"/>
  <c r="D2432" i="5"/>
  <c r="D2427" i="5"/>
  <c r="C2428" i="5"/>
  <c r="F2428" i="5"/>
  <c r="D2428" i="5"/>
  <c r="C2429" i="5"/>
  <c r="D2429" i="5"/>
  <c r="C2430" i="5"/>
  <c r="C2426" i="5"/>
  <c r="E2426" i="5"/>
  <c r="D2430" i="5"/>
  <c r="D2431" i="5"/>
  <c r="C2427" i="5"/>
  <c r="C2431" i="5"/>
  <c r="E2431" i="5"/>
  <c r="C2432" i="5"/>
  <c r="F2432" i="5"/>
  <c r="C2433" i="5"/>
  <c r="E2433" i="5"/>
  <c r="C2434" i="5"/>
  <c r="F2434" i="5"/>
  <c r="D4272" i="5"/>
  <c r="D4273" i="5"/>
  <c r="D4271" i="5"/>
  <c r="D4275" i="5"/>
  <c r="D4279" i="5"/>
  <c r="D4274" i="5"/>
  <c r="D4276" i="5"/>
  <c r="C4273" i="5"/>
  <c r="F4273" i="5"/>
  <c r="C4274" i="5"/>
  <c r="D4278" i="5"/>
  <c r="C4279" i="5"/>
  <c r="F4279" i="5"/>
  <c r="C4278" i="5"/>
  <c r="E4278" i="5"/>
  <c r="C4271" i="5"/>
  <c r="E4271" i="5"/>
  <c r="C4272" i="5"/>
  <c r="D4277" i="5"/>
  <c r="C4275" i="5"/>
  <c r="D2618" i="5"/>
  <c r="D2617" i="5"/>
  <c r="D2622" i="5"/>
  <c r="D2623" i="5"/>
  <c r="C2617" i="5"/>
  <c r="F2617" i="5"/>
  <c r="D2619" i="5"/>
  <c r="D2620" i="5"/>
  <c r="D2621" i="5"/>
  <c r="C2620" i="5"/>
  <c r="E2620" i="5"/>
  <c r="C2621" i="5"/>
  <c r="F2621" i="5"/>
  <c r="C2615" i="5"/>
  <c r="E2615" i="5"/>
  <c r="C2616" i="5"/>
  <c r="C2618" i="5"/>
  <c r="D2615" i="5"/>
  <c r="C2619" i="5"/>
  <c r="C2622" i="5"/>
  <c r="E2622" i="5"/>
  <c r="C2623" i="5"/>
  <c r="F2623" i="5"/>
  <c r="D2616" i="5"/>
  <c r="D4464" i="5"/>
  <c r="D4465" i="5"/>
  <c r="D4461" i="5"/>
  <c r="D4467" i="5"/>
  <c r="D4468" i="5"/>
  <c r="D4463" i="5"/>
  <c r="C4465" i="5"/>
  <c r="E4465" i="5"/>
  <c r="D4466" i="5"/>
  <c r="C4466" i="5"/>
  <c r="F4466" i="5"/>
  <c r="C4467" i="5"/>
  <c r="E4467" i="5"/>
  <c r="D4460" i="5"/>
  <c r="C4468" i="5"/>
  <c r="F4468" i="5"/>
  <c r="D4462" i="5"/>
  <c r="C4463" i="5"/>
  <c r="C4464" i="5"/>
  <c r="C4460" i="5"/>
  <c r="E4460" i="5"/>
  <c r="C4461" i="5"/>
  <c r="C4462" i="5"/>
  <c r="F4462" i="5"/>
  <c r="D478" i="5"/>
  <c r="D473" i="5"/>
  <c r="D474" i="5"/>
  <c r="C473" i="5"/>
  <c r="E473" i="5"/>
  <c r="D480" i="5"/>
  <c r="C478" i="5"/>
  <c r="E478" i="5"/>
  <c r="D481" i="5"/>
  <c r="C479" i="5"/>
  <c r="F479" i="5"/>
  <c r="D479" i="5"/>
  <c r="D475" i="5"/>
  <c r="D476" i="5"/>
  <c r="D477" i="5"/>
  <c r="C474" i="5"/>
  <c r="C481" i="5"/>
  <c r="F481" i="5"/>
  <c r="C475" i="5"/>
  <c r="F475" i="5"/>
  <c r="C476" i="5"/>
  <c r="C477" i="5"/>
  <c r="C480" i="5"/>
  <c r="E480" i="5"/>
  <c r="C1945" i="5"/>
  <c r="E1945" i="5"/>
  <c r="R222" i="3"/>
  <c r="R346" i="3"/>
  <c r="R204" i="3"/>
  <c r="A204" i="8"/>
  <c r="R266" i="3"/>
  <c r="B266" i="8"/>
  <c r="R185" i="3"/>
  <c r="A185" i="8"/>
  <c r="R476" i="3"/>
  <c r="H476" i="8"/>
  <c r="R477" i="3"/>
  <c r="I477" i="8"/>
  <c r="R223" i="3"/>
  <c r="L223" i="8"/>
  <c r="R174" i="3"/>
  <c r="G174" i="8"/>
  <c r="R418" i="3"/>
  <c r="G418" i="8"/>
  <c r="R275" i="3"/>
  <c r="D109" i="8"/>
  <c r="R433" i="3"/>
  <c r="C433" i="8"/>
  <c r="G51" i="8"/>
  <c r="R5" i="3"/>
  <c r="S5" i="3"/>
  <c r="R161" i="3"/>
  <c r="R459" i="3"/>
  <c r="R454" i="3"/>
  <c r="S454" i="3"/>
  <c r="R276" i="3"/>
  <c r="K276" i="8"/>
  <c r="R299" i="3"/>
  <c r="L299" i="8"/>
  <c r="R300" i="3"/>
  <c r="L300" i="8"/>
  <c r="R301" i="3"/>
  <c r="S301" i="3"/>
  <c r="R296" i="3"/>
  <c r="J296" i="8"/>
  <c r="L21" i="8"/>
  <c r="R201" i="3"/>
  <c r="C201" i="8"/>
  <c r="R239" i="3"/>
  <c r="H108" i="8"/>
  <c r="R157" i="3"/>
  <c r="F157" i="8"/>
  <c r="C22" i="8"/>
  <c r="R214" i="3"/>
  <c r="S214" i="3"/>
  <c r="R274" i="3"/>
  <c r="J274" i="8"/>
  <c r="R164" i="3"/>
  <c r="C164" i="8"/>
  <c r="R126" i="3"/>
  <c r="S126" i="3"/>
  <c r="R310" i="3"/>
  <c r="S310" i="3"/>
  <c r="R234" i="3"/>
  <c r="R311" i="3"/>
  <c r="A311" i="8"/>
  <c r="R264" i="3"/>
  <c r="A37" i="8"/>
  <c r="R209" i="3"/>
  <c r="G26" i="8"/>
  <c r="R199" i="3"/>
  <c r="J199" i="8"/>
  <c r="R447" i="3"/>
  <c r="S447" i="3"/>
  <c r="R236" i="3"/>
  <c r="R496" i="3"/>
  <c r="C4439" i="5"/>
  <c r="F4439" i="5"/>
  <c r="R160" i="3"/>
  <c r="J160" i="8"/>
  <c r="K18" i="8"/>
  <c r="R186" i="3"/>
  <c r="E186" i="8"/>
  <c r="R258" i="3"/>
  <c r="I258" i="8"/>
  <c r="R175" i="3"/>
  <c r="R483" i="3"/>
  <c r="R490" i="3"/>
  <c r="R395" i="3"/>
  <c r="G395" i="8"/>
  <c r="R252" i="3"/>
  <c r="S252" i="3"/>
  <c r="R362" i="3"/>
  <c r="K362" i="8"/>
  <c r="R312" i="3"/>
  <c r="L312" i="8"/>
  <c r="L92" i="8"/>
  <c r="R372" i="3"/>
  <c r="R206" i="3"/>
  <c r="E206" i="8"/>
  <c r="A86" i="8"/>
  <c r="R316" i="3"/>
  <c r="E316" i="8"/>
  <c r="R278" i="3"/>
  <c r="L278" i="8"/>
  <c r="R182" i="3"/>
  <c r="R323" i="3"/>
  <c r="R481" i="3"/>
  <c r="K481" i="8"/>
  <c r="R446" i="3"/>
  <c r="B446" i="8"/>
  <c r="R172" i="3"/>
  <c r="B172" i="8"/>
  <c r="G78" i="8"/>
  <c r="R119" i="3"/>
  <c r="C1045" i="5"/>
  <c r="E1045" i="5"/>
  <c r="R399" i="3"/>
  <c r="R374" i="3"/>
  <c r="S374" i="3"/>
  <c r="R180" i="3"/>
  <c r="S180" i="3"/>
  <c r="R7" i="3"/>
  <c r="R348" i="3"/>
  <c r="H348" i="8"/>
  <c r="R277" i="3"/>
  <c r="R145" i="3"/>
  <c r="C145" i="8"/>
  <c r="B90" i="8"/>
  <c r="R8" i="3"/>
  <c r="G8" i="8"/>
  <c r="R183" i="3"/>
  <c r="R120" i="3"/>
  <c r="L120" i="8"/>
  <c r="R212" i="3"/>
  <c r="F212" i="8"/>
  <c r="R202" i="3"/>
  <c r="H202" i="8"/>
  <c r="A73" i="8"/>
  <c r="R397" i="3"/>
  <c r="R435" i="3"/>
  <c r="C435" i="8"/>
  <c r="R253" i="3"/>
  <c r="C253" i="8"/>
  <c r="R141" i="3"/>
  <c r="J141" i="8"/>
  <c r="R246" i="3"/>
  <c r="D246" i="8"/>
  <c r="R359" i="3"/>
  <c r="S359" i="3"/>
  <c r="R237" i="3"/>
  <c r="R205" i="3"/>
  <c r="I41" i="8"/>
  <c r="I60" i="8"/>
  <c r="R408" i="3"/>
  <c r="G408" i="8"/>
  <c r="R337" i="3"/>
  <c r="R332" i="3"/>
  <c r="R213" i="3"/>
  <c r="R240" i="3"/>
  <c r="S240" i="3"/>
  <c r="R203" i="3"/>
  <c r="H203" i="8"/>
  <c r="R226" i="3"/>
  <c r="A226" i="8"/>
  <c r="I28" i="8"/>
  <c r="R135" i="3"/>
  <c r="F135" i="8"/>
  <c r="R113" i="3"/>
  <c r="A113" i="8"/>
  <c r="R198" i="3"/>
  <c r="L198" i="8"/>
  <c r="R270" i="3"/>
  <c r="R303" i="3"/>
  <c r="H303" i="8"/>
  <c r="J84" i="8"/>
  <c r="R458" i="3"/>
  <c r="R384" i="3"/>
  <c r="H384" i="8"/>
  <c r="R128" i="3"/>
  <c r="S128" i="3"/>
  <c r="R184" i="3"/>
  <c r="H184" i="8"/>
  <c r="C36" i="8"/>
  <c r="C25" i="8"/>
  <c r="R287" i="3"/>
  <c r="R398" i="3"/>
  <c r="E398" i="8"/>
  <c r="R220" i="3"/>
  <c r="R371" i="3"/>
  <c r="S371" i="3"/>
  <c r="R265" i="3"/>
  <c r="L265" i="8"/>
  <c r="K14" i="8"/>
  <c r="R482" i="3"/>
  <c r="R196" i="3"/>
  <c r="R350" i="3"/>
  <c r="D350" i="8"/>
  <c r="R411" i="3"/>
  <c r="G411" i="8"/>
  <c r="R290" i="3"/>
  <c r="F290" i="8"/>
  <c r="R208" i="3"/>
  <c r="H208" i="8"/>
  <c r="R251" i="3"/>
  <c r="R130" i="3"/>
  <c r="S130" i="3"/>
  <c r="R156" i="3"/>
  <c r="R280" i="3"/>
  <c r="S280" i="3"/>
  <c r="R410" i="3"/>
  <c r="I410" i="8"/>
  <c r="R291" i="3"/>
  <c r="R114" i="3"/>
  <c r="S114" i="3"/>
  <c r="R347" i="3"/>
  <c r="H347" i="8"/>
  <c r="K33" i="8"/>
  <c r="H34" i="8"/>
  <c r="D19" i="8"/>
  <c r="R12" i="3"/>
  <c r="D13" i="8"/>
  <c r="R420" i="3"/>
  <c r="R383" i="3"/>
  <c r="R409" i="3"/>
  <c r="I409" i="8"/>
  <c r="R134" i="3"/>
  <c r="C134" i="8"/>
  <c r="R368" i="3"/>
  <c r="C368" i="8"/>
  <c r="E57" i="8"/>
  <c r="R225" i="3"/>
  <c r="S225" i="3"/>
  <c r="R443" i="3"/>
  <c r="K443" i="8"/>
  <c r="R373" i="3"/>
  <c r="I373" i="8"/>
  <c r="R242" i="3"/>
  <c r="F58" i="8"/>
  <c r="R238" i="3"/>
  <c r="C238" i="8"/>
  <c r="R149" i="3"/>
  <c r="S149" i="3"/>
  <c r="R210" i="3"/>
  <c r="L210" i="8"/>
  <c r="R351" i="3"/>
  <c r="R179" i="3"/>
  <c r="S179" i="3"/>
  <c r="R244" i="3"/>
  <c r="F244" i="8"/>
  <c r="R456" i="3"/>
  <c r="D88" i="8"/>
  <c r="R434" i="3"/>
  <c r="S434" i="3"/>
  <c r="R6" i="3"/>
  <c r="K6" i="8"/>
  <c r="R188" i="3"/>
  <c r="C188" i="8"/>
  <c r="F49" i="8"/>
  <c r="R302" i="3"/>
  <c r="D302" i="8"/>
  <c r="R388" i="3"/>
  <c r="H388" i="8"/>
  <c r="R297" i="3"/>
  <c r="R407" i="3"/>
  <c r="S407" i="3"/>
  <c r="R289" i="3"/>
  <c r="F289" i="8"/>
  <c r="D64" i="8"/>
  <c r="R363" i="3"/>
  <c r="S363" i="3"/>
  <c r="I91" i="8"/>
  <c r="R256" i="3"/>
  <c r="H47" i="8"/>
  <c r="R336" i="3"/>
  <c r="R492" i="3"/>
  <c r="R419" i="3"/>
  <c r="I419" i="8"/>
  <c r="C85" i="8"/>
  <c r="R116" i="3"/>
  <c r="R404" i="3"/>
  <c r="J404" i="8"/>
  <c r="K105" i="8"/>
  <c r="R249" i="3"/>
  <c r="A249" i="8"/>
  <c r="R491" i="3"/>
  <c r="J491" i="8"/>
  <c r="R421" i="3"/>
  <c r="R333" i="3"/>
  <c r="K333" i="8"/>
  <c r="L94" i="8"/>
  <c r="R11" i="3"/>
  <c r="U11" i="3"/>
  <c r="J74" i="8"/>
  <c r="E95" i="8"/>
  <c r="R200" i="3"/>
  <c r="F200" i="8"/>
  <c r="R424" i="3"/>
  <c r="R369" i="3"/>
  <c r="J369" i="8"/>
  <c r="K23" i="8"/>
  <c r="R455" i="3"/>
  <c r="A455" i="8"/>
  <c r="R349" i="3"/>
  <c r="S349" i="3"/>
  <c r="R480" i="3"/>
  <c r="S480" i="3"/>
  <c r="R325" i="3"/>
  <c r="R110" i="3"/>
  <c r="R4" i="3"/>
  <c r="K4" i="8"/>
  <c r="R143" i="3"/>
  <c r="K143" i="8"/>
  <c r="R467" i="3"/>
  <c r="D467" i="8"/>
  <c r="R144" i="3"/>
  <c r="R133" i="3"/>
  <c r="R181" i="3"/>
  <c r="J181" i="8"/>
  <c r="R440" i="3"/>
  <c r="R129" i="3"/>
  <c r="R445" i="3"/>
  <c r="J445" i="8"/>
  <c r="R470" i="3"/>
  <c r="K470" i="8"/>
  <c r="R405" i="3"/>
  <c r="R122" i="3"/>
  <c r="R191" i="3"/>
  <c r="C191" i="8"/>
  <c r="R444" i="3"/>
  <c r="A444" i="8"/>
  <c r="R159" i="3"/>
  <c r="S159" i="3"/>
  <c r="R375" i="3"/>
  <c r="S375" i="3"/>
  <c r="D17" i="8"/>
  <c r="L20" i="8"/>
  <c r="R460" i="3"/>
  <c r="R441" i="3"/>
  <c r="R382" i="3"/>
  <c r="S382" i="3"/>
  <c r="R148" i="3"/>
  <c r="L148" i="8"/>
  <c r="R241" i="3"/>
  <c r="R227" i="3"/>
  <c r="R493" i="3"/>
  <c r="R230" i="3"/>
  <c r="K230" i="8"/>
  <c r="R162" i="3"/>
  <c r="R117" i="3"/>
  <c r="K117" i="8"/>
  <c r="R498" i="3"/>
  <c r="D498" i="8"/>
  <c r="R224" i="3"/>
  <c r="R417" i="3"/>
  <c r="S417" i="3"/>
  <c r="K82" i="8"/>
  <c r="R150" i="3"/>
  <c r="B150" i="8"/>
  <c r="A87" i="8"/>
  <c r="R442" i="3"/>
  <c r="S442" i="3"/>
  <c r="R165" i="3"/>
  <c r="C165" i="8"/>
  <c r="R430" i="3"/>
  <c r="I430" i="8"/>
  <c r="R307" i="3"/>
  <c r="A307" i="8"/>
  <c r="R269" i="3"/>
  <c r="J269" i="8"/>
  <c r="R486" i="3"/>
  <c r="S486" i="3"/>
  <c r="R415" i="3"/>
  <c r="A415" i="8"/>
  <c r="R439" i="3"/>
  <c r="I439" i="8"/>
  <c r="R153" i="3"/>
  <c r="R262" i="3"/>
  <c r="K262" i="8"/>
  <c r="R389" i="3"/>
  <c r="D389" i="8"/>
  <c r="R197" i="3"/>
  <c r="G197" i="8"/>
  <c r="R437" i="3"/>
  <c r="J437" i="8"/>
  <c r="R193" i="3"/>
  <c r="R279" i="3"/>
  <c r="S279" i="3"/>
  <c r="R140" i="3"/>
  <c r="R268" i="3"/>
  <c r="D104" i="8"/>
  <c r="R321" i="3"/>
  <c r="K321" i="8"/>
  <c r="R330" i="3"/>
  <c r="S330" i="3"/>
  <c r="S327" i="3"/>
  <c r="R131" i="3"/>
  <c r="R357" i="3"/>
  <c r="K357" i="8"/>
  <c r="R125" i="3"/>
  <c r="S125" i="3"/>
  <c r="R267" i="3"/>
  <c r="R416" i="3"/>
  <c r="F416" i="8"/>
  <c r="R228" i="3"/>
  <c r="A228" i="8"/>
  <c r="R406" i="3"/>
  <c r="R334" i="3"/>
  <c r="H54" i="8"/>
  <c r="R438" i="3"/>
  <c r="S438" i="3"/>
  <c r="L46" i="8"/>
  <c r="R488" i="3"/>
  <c r="R286" i="3"/>
  <c r="G286" i="8"/>
  <c r="R365" i="3"/>
  <c r="K365" i="8"/>
  <c r="H93" i="8"/>
  <c r="R379" i="3"/>
  <c r="L66" i="8"/>
  <c r="R132" i="3"/>
  <c r="R313" i="3"/>
  <c r="S313" i="3"/>
  <c r="R138" i="3"/>
  <c r="R396" i="3"/>
  <c r="E396" i="8"/>
  <c r="R475" i="3"/>
  <c r="J475" i="8"/>
  <c r="R390" i="3"/>
  <c r="R342" i="3"/>
  <c r="R261" i="3"/>
  <c r="G261" i="8"/>
  <c r="R478" i="3"/>
  <c r="J27" i="8"/>
  <c r="R413" i="3"/>
  <c r="R329" i="3"/>
  <c r="R468" i="3"/>
  <c r="R195" i="3"/>
  <c r="L195" i="8"/>
  <c r="R394" i="3"/>
  <c r="R356" i="3"/>
  <c r="I356" i="8"/>
  <c r="R358" i="3"/>
  <c r="R177" i="3"/>
  <c r="S177" i="3"/>
  <c r="R378" i="3"/>
  <c r="F378" i="8"/>
  <c r="R163" i="3"/>
  <c r="R166" i="3"/>
  <c r="R324" i="3"/>
  <c r="S324" i="3"/>
  <c r="R426" i="3"/>
  <c r="F426" i="8"/>
  <c r="R429" i="3"/>
  <c r="R168" i="3"/>
  <c r="R432" i="3"/>
  <c r="R215" i="3"/>
  <c r="K215" i="8"/>
  <c r="R142" i="3"/>
  <c r="S142" i="3"/>
  <c r="R466" i="3"/>
  <c r="H466" i="8"/>
  <c r="R453" i="3"/>
  <c r="F453" i="8"/>
  <c r="R500" i="3"/>
  <c r="R235" i="3"/>
  <c r="L235" i="8"/>
  <c r="R484" i="3"/>
  <c r="L484" i="8"/>
  <c r="R250" i="3"/>
  <c r="G250" i="8"/>
  <c r="R414" i="3"/>
  <c r="R254" i="3"/>
  <c r="S254" i="3"/>
  <c r="R152" i="3"/>
  <c r="R489" i="3"/>
  <c r="K489" i="8"/>
  <c r="R178" i="3"/>
  <c r="R502" i="3"/>
  <c r="R221" i="3"/>
  <c r="H221" i="8"/>
  <c r="R451" i="3"/>
  <c r="A451" i="8"/>
  <c r="R328" i="3"/>
  <c r="R281" i="3"/>
  <c r="E281" i="8"/>
  <c r="R340" i="3"/>
  <c r="C340" i="8"/>
  <c r="R366" i="3"/>
  <c r="R319" i="3"/>
  <c r="H319" i="8"/>
  <c r="R189" i="3"/>
  <c r="S189" i="3"/>
  <c r="C596" i="5"/>
  <c r="F596" i="5"/>
  <c r="R381" i="3"/>
  <c r="B381" i="8"/>
  <c r="R501" i="3"/>
  <c r="B501" i="8"/>
  <c r="R263" i="3"/>
  <c r="R354" i="3"/>
  <c r="D354" i="8"/>
  <c r="C44" i="8"/>
  <c r="R318" i="3"/>
  <c r="K318" i="8"/>
  <c r="R154" i="3"/>
  <c r="S219" i="3"/>
  <c r="C219" i="8"/>
  <c r="R139" i="3"/>
  <c r="E139" i="8"/>
  <c r="A2806" i="5"/>
  <c r="B840" i="5"/>
  <c r="A4215" i="5"/>
  <c r="A1515" i="5"/>
  <c r="B1938" i="5"/>
  <c r="B539" i="5"/>
  <c r="A539" i="5"/>
  <c r="B1512" i="5"/>
  <c r="A1512" i="5"/>
  <c r="B1834" i="5"/>
  <c r="A1834" i="5"/>
  <c r="A2807" i="5"/>
  <c r="B2807" i="5"/>
  <c r="B2916" i="5"/>
  <c r="A2916" i="5"/>
  <c r="B3452" i="5"/>
  <c r="A3452" i="5"/>
  <c r="B4428" i="5"/>
  <c r="A4428" i="5"/>
  <c r="B2987" i="5"/>
  <c r="A2987" i="5"/>
  <c r="B3856" i="5"/>
  <c r="A3856" i="5"/>
  <c r="B1930" i="5"/>
  <c r="A1930" i="5"/>
  <c r="A1287" i="5"/>
  <c r="B1287" i="5"/>
  <c r="B2911" i="5"/>
  <c r="A2911" i="5"/>
  <c r="B3767" i="5"/>
  <c r="A3767" i="5"/>
  <c r="R380" i="3"/>
  <c r="B380" i="8"/>
  <c r="R462" i="3"/>
  <c r="K462" i="8"/>
  <c r="K39" i="8"/>
  <c r="R487" i="3"/>
  <c r="S487" i="3"/>
  <c r="R118" i="3"/>
  <c r="C118" i="8"/>
  <c r="R344" i="3"/>
  <c r="G344" i="8"/>
  <c r="R190" i="3"/>
  <c r="H190" i="8"/>
  <c r="R248" i="3"/>
  <c r="R465" i="3"/>
  <c r="B465" i="8"/>
  <c r="R322" i="3"/>
  <c r="S322" i="3"/>
  <c r="A4415" i="5"/>
  <c r="B841" i="5"/>
  <c r="A861" i="5"/>
  <c r="B1296" i="5"/>
  <c r="A1296" i="5"/>
  <c r="B1511" i="5"/>
  <c r="A1511" i="5"/>
  <c r="B1832" i="5"/>
  <c r="A1832" i="5"/>
  <c r="B2915" i="5"/>
  <c r="A2915" i="5"/>
  <c r="B845" i="5"/>
  <c r="A845" i="5"/>
  <c r="B1490" i="5"/>
  <c r="A1490" i="5"/>
  <c r="A854" i="5"/>
  <c r="B854" i="5"/>
  <c r="B1934" i="5"/>
  <c r="A1934" i="5"/>
  <c r="A2906" i="5"/>
  <c r="B2906" i="5"/>
  <c r="B3451" i="5"/>
  <c r="A3451" i="5"/>
  <c r="R288" i="3"/>
  <c r="S288" i="3"/>
  <c r="R192" i="3"/>
  <c r="L192" i="8"/>
  <c r="R403" i="3"/>
  <c r="F403" i="8"/>
  <c r="R360" i="3"/>
  <c r="I107" i="8"/>
  <c r="R176" i="3"/>
  <c r="C1558" i="5"/>
  <c r="E1558" i="5"/>
  <c r="R474" i="3"/>
  <c r="D474" i="8"/>
  <c r="R151" i="3"/>
  <c r="J151" i="8"/>
  <c r="R370" i="3"/>
  <c r="H370" i="8"/>
  <c r="B219" i="8"/>
  <c r="R317" i="3"/>
  <c r="E317" i="8"/>
  <c r="R345" i="3"/>
  <c r="L345" i="8"/>
  <c r="R450" i="3"/>
  <c r="B450" i="8"/>
  <c r="R320" i="3"/>
  <c r="S320" i="3"/>
  <c r="A1509" i="5"/>
  <c r="B864" i="5"/>
  <c r="A864" i="5"/>
  <c r="A1292" i="5"/>
  <c r="B1292" i="5"/>
  <c r="B1516" i="5"/>
  <c r="A1516" i="5"/>
  <c r="B1947" i="5"/>
  <c r="A1947" i="5"/>
  <c r="B2804" i="5"/>
  <c r="A2804" i="5"/>
  <c r="B3454" i="5"/>
  <c r="A3454" i="5"/>
  <c r="B4427" i="5"/>
  <c r="A4427" i="5"/>
  <c r="B835" i="5"/>
  <c r="A835" i="5"/>
  <c r="B2984" i="5"/>
  <c r="A2984" i="5"/>
  <c r="B4284" i="5"/>
  <c r="A4284" i="5"/>
  <c r="A842" i="5"/>
  <c r="B1491" i="5"/>
  <c r="A1491" i="5"/>
  <c r="B853" i="5"/>
  <c r="A853" i="5"/>
  <c r="B1931" i="5"/>
  <c r="A1931" i="5"/>
  <c r="B3775" i="5"/>
  <c r="A3775" i="5"/>
  <c r="B863" i="5"/>
  <c r="A863" i="5"/>
  <c r="B1294" i="5"/>
  <c r="A1294" i="5"/>
  <c r="B2912" i="5"/>
  <c r="A2912" i="5"/>
  <c r="B4212" i="5"/>
  <c r="A4212" i="5"/>
  <c r="B850" i="5"/>
  <c r="A850" i="5"/>
  <c r="B1498" i="5"/>
  <c r="A1498" i="5"/>
  <c r="B1286" i="5"/>
  <c r="A1286" i="5"/>
  <c r="B3450" i="5"/>
  <c r="A3450" i="5"/>
  <c r="B4422" i="5"/>
  <c r="A4422" i="5"/>
  <c r="B862" i="5"/>
  <c r="A862" i="5"/>
  <c r="B1300" i="5"/>
  <c r="A1300" i="5"/>
  <c r="B1508" i="5"/>
  <c r="A1508" i="5"/>
  <c r="B1944" i="5"/>
  <c r="A1944" i="5"/>
  <c r="A2808" i="5"/>
  <c r="B2808" i="5"/>
  <c r="A4424" i="5"/>
  <c r="B4424" i="5"/>
  <c r="B2986" i="5"/>
  <c r="A2986" i="5"/>
  <c r="B4283" i="5"/>
  <c r="A4283" i="5"/>
  <c r="A851" i="5"/>
  <c r="B851" i="5"/>
  <c r="A1284" i="5"/>
  <c r="B2803" i="5"/>
  <c r="A2803" i="5"/>
  <c r="B2907" i="5"/>
  <c r="A2907" i="5"/>
  <c r="B3445" i="5"/>
  <c r="A3445" i="5"/>
  <c r="A1293" i="5"/>
  <c r="B536" i="5"/>
  <c r="A536" i="5"/>
  <c r="A1835" i="5"/>
  <c r="B1835" i="5"/>
  <c r="A2812" i="5"/>
  <c r="B2812" i="5"/>
  <c r="B4211" i="5"/>
  <c r="A4211" i="5"/>
  <c r="B4432" i="5"/>
  <c r="A4432" i="5"/>
  <c r="B4281" i="5"/>
  <c r="A4281" i="5"/>
  <c r="B843" i="5"/>
  <c r="A843" i="5"/>
  <c r="A1924" i="5"/>
  <c r="B1924" i="5"/>
  <c r="B859" i="5"/>
  <c r="A859" i="5"/>
  <c r="B1283" i="5"/>
  <c r="A1283" i="5"/>
  <c r="A2904" i="5"/>
  <c r="B2904" i="5"/>
  <c r="A3443" i="5"/>
  <c r="B3443" i="5"/>
  <c r="B4419" i="5"/>
  <c r="A4419" i="5"/>
  <c r="B543" i="5"/>
  <c r="A543" i="5"/>
  <c r="B860" i="5"/>
  <c r="A860" i="5"/>
  <c r="B1295" i="5"/>
  <c r="A1295" i="5"/>
  <c r="B4209" i="5"/>
  <c r="A4209" i="5"/>
  <c r="B4431" i="5"/>
  <c r="A4431" i="5"/>
  <c r="A4280" i="5"/>
  <c r="B4280" i="5"/>
  <c r="A846" i="5"/>
  <c r="B846" i="5"/>
  <c r="B1923" i="5"/>
  <c r="A1923" i="5"/>
  <c r="B3438" i="5"/>
  <c r="A3438" i="5"/>
  <c r="B1939" i="5"/>
  <c r="A1939" i="5"/>
  <c r="B3768" i="5"/>
  <c r="A3768" i="5"/>
  <c r="A540" i="5"/>
  <c r="B540" i="5"/>
  <c r="B867" i="5"/>
  <c r="A867" i="5"/>
  <c r="B1839" i="5"/>
  <c r="A1839" i="5"/>
  <c r="B3459" i="5"/>
  <c r="A3459" i="5"/>
  <c r="B4208" i="5"/>
  <c r="A4208" i="5"/>
  <c r="B844" i="5"/>
  <c r="A844" i="5"/>
  <c r="B1922" i="5"/>
  <c r="A1922" i="5"/>
  <c r="B3436" i="5"/>
  <c r="A3436" i="5"/>
  <c r="B2799" i="5"/>
  <c r="A2799" i="5"/>
  <c r="A1943" i="5"/>
  <c r="B1943" i="5"/>
  <c r="B4216" i="5"/>
  <c r="A4216" i="5"/>
  <c r="B3852" i="5"/>
  <c r="A3852" i="5"/>
  <c r="B4287" i="5"/>
  <c r="A4287" i="5"/>
  <c r="B2796" i="5"/>
  <c r="A2796" i="5"/>
  <c r="B2905" i="5"/>
  <c r="A2905" i="5"/>
  <c r="B4418" i="5"/>
  <c r="A4418" i="5"/>
  <c r="B538" i="5"/>
  <c r="A538" i="5"/>
  <c r="B1942" i="5"/>
  <c r="A1942" i="5"/>
  <c r="B2920" i="5"/>
  <c r="A2920" i="5"/>
  <c r="B3456" i="5"/>
  <c r="A3456" i="5"/>
  <c r="B2991" i="5"/>
  <c r="A2991" i="5"/>
  <c r="B3851" i="5"/>
  <c r="A3851" i="5"/>
  <c r="B3435" i="5"/>
  <c r="A3435" i="5"/>
  <c r="B1291" i="5"/>
  <c r="A1291" i="5"/>
  <c r="B1933" i="5"/>
  <c r="A1933" i="5"/>
  <c r="B2798" i="5"/>
  <c r="A2798" i="5"/>
  <c r="B3771" i="5"/>
  <c r="A3771" i="5"/>
  <c r="B4417" i="5"/>
  <c r="A4417" i="5"/>
  <c r="B1836" i="5"/>
  <c r="A1836" i="5"/>
  <c r="B1940" i="5"/>
  <c r="A1940" i="5"/>
  <c r="B3455" i="5"/>
  <c r="A3455" i="5"/>
  <c r="A3849" i="5"/>
  <c r="B3849" i="5"/>
  <c r="A4282" i="5"/>
  <c r="B4282" i="5"/>
  <c r="B1925" i="5"/>
  <c r="A1925" i="5"/>
  <c r="B3442" i="5"/>
  <c r="A3442" i="5"/>
  <c r="A3770" i="5"/>
  <c r="B3770" i="5"/>
  <c r="B4416" i="5"/>
  <c r="A4416" i="5"/>
  <c r="B1299" i="5"/>
  <c r="A1299" i="5"/>
  <c r="B2988" i="5"/>
  <c r="A2988" i="5"/>
  <c r="B3848" i="5"/>
  <c r="A3848" i="5"/>
  <c r="B1492" i="5"/>
  <c r="A1492" i="5"/>
  <c r="B3434" i="5"/>
  <c r="A3434" i="5"/>
  <c r="B1285" i="5"/>
  <c r="A1285" i="5"/>
  <c r="B2797" i="5"/>
  <c r="A2797" i="5"/>
  <c r="B3446" i="5"/>
  <c r="A3446" i="5"/>
  <c r="A3769" i="5"/>
  <c r="B3769" i="5"/>
  <c r="B4423" i="5"/>
  <c r="A4423" i="5"/>
  <c r="I476" i="8"/>
  <c r="L100" i="8"/>
  <c r="L355" i="8"/>
  <c r="J355" i="8"/>
  <c r="K355" i="8"/>
  <c r="I355" i="8"/>
  <c r="H355" i="8"/>
  <c r="G355" i="8"/>
  <c r="D355" i="8"/>
  <c r="C355" i="8"/>
  <c r="B355" i="8"/>
  <c r="F355" i="8"/>
  <c r="E355" i="8"/>
  <c r="A355" i="8"/>
  <c r="K309" i="8"/>
  <c r="L309" i="8"/>
  <c r="J309" i="8"/>
  <c r="I309" i="8"/>
  <c r="H309" i="8"/>
  <c r="G309" i="8"/>
  <c r="F309" i="8"/>
  <c r="E309" i="8"/>
  <c r="D309" i="8"/>
  <c r="C309" i="8"/>
  <c r="B309" i="8"/>
  <c r="A309" i="8"/>
  <c r="L391" i="8"/>
  <c r="J391" i="8"/>
  <c r="K391" i="8"/>
  <c r="I391" i="8"/>
  <c r="H391" i="8"/>
  <c r="G391" i="8"/>
  <c r="E391" i="8"/>
  <c r="B391" i="8"/>
  <c r="C391" i="8"/>
  <c r="F391" i="8"/>
  <c r="D391" i="8"/>
  <c r="A391" i="8"/>
  <c r="K83" i="8"/>
  <c r="L83" i="8"/>
  <c r="J83" i="8"/>
  <c r="H83" i="8"/>
  <c r="G83" i="8"/>
  <c r="F83" i="8"/>
  <c r="C83" i="8"/>
  <c r="I83" i="8"/>
  <c r="A83" i="8"/>
  <c r="E83" i="8"/>
  <c r="D83" i="8"/>
  <c r="B83" i="8"/>
  <c r="L449" i="8"/>
  <c r="K449" i="8"/>
  <c r="J449" i="8"/>
  <c r="I449" i="8"/>
  <c r="G449" i="8"/>
  <c r="H449" i="8"/>
  <c r="F449" i="8"/>
  <c r="B449" i="8"/>
  <c r="D449" i="8"/>
  <c r="E449" i="8"/>
  <c r="C449" i="8"/>
  <c r="A449" i="8"/>
  <c r="L385" i="8"/>
  <c r="K385" i="8"/>
  <c r="I385" i="8"/>
  <c r="J385" i="8"/>
  <c r="H385" i="8"/>
  <c r="G385" i="8"/>
  <c r="C385" i="8"/>
  <c r="D385" i="8"/>
  <c r="E385" i="8"/>
  <c r="B385" i="8"/>
  <c r="F385" i="8"/>
  <c r="A385" i="8"/>
  <c r="J124" i="8"/>
  <c r="I124" i="8"/>
  <c r="G124" i="8"/>
  <c r="H124" i="8"/>
  <c r="C124" i="8"/>
  <c r="F124" i="8"/>
  <c r="D124" i="8"/>
  <c r="L422" i="8"/>
  <c r="K422" i="8"/>
  <c r="J422" i="8"/>
  <c r="I422" i="8"/>
  <c r="H422" i="8"/>
  <c r="G422" i="8"/>
  <c r="F422" i="8"/>
  <c r="E422" i="8"/>
  <c r="D422" i="8"/>
  <c r="C422" i="8"/>
  <c r="A422" i="8"/>
  <c r="B422" i="8"/>
  <c r="I463" i="8"/>
  <c r="H463" i="8"/>
  <c r="B463" i="8"/>
  <c r="D463" i="8"/>
  <c r="L387" i="8"/>
  <c r="K387" i="8"/>
  <c r="J387" i="8"/>
  <c r="I387" i="8"/>
  <c r="H387" i="8"/>
  <c r="F387" i="8"/>
  <c r="D387" i="8"/>
  <c r="G387" i="8"/>
  <c r="E387" i="8"/>
  <c r="C387" i="8"/>
  <c r="B387" i="8"/>
  <c r="A387" i="8"/>
  <c r="L284" i="8"/>
  <c r="J284" i="8"/>
  <c r="F284" i="8"/>
  <c r="K284" i="8"/>
  <c r="G284" i="8"/>
  <c r="I284" i="8"/>
  <c r="D284" i="8"/>
  <c r="E284" i="8"/>
  <c r="H284" i="8"/>
  <c r="C284" i="8"/>
  <c r="B284" i="8"/>
  <c r="A284" i="8"/>
  <c r="L376" i="8"/>
  <c r="K376" i="8"/>
  <c r="J376" i="8"/>
  <c r="I376" i="8"/>
  <c r="G376" i="8"/>
  <c r="H376" i="8"/>
  <c r="F376" i="8"/>
  <c r="E376" i="8"/>
  <c r="C376" i="8"/>
  <c r="B376" i="8"/>
  <c r="D376" i="8"/>
  <c r="A376" i="8"/>
  <c r="K216" i="8"/>
  <c r="L216" i="8"/>
  <c r="J216" i="8"/>
  <c r="I216" i="8"/>
  <c r="H216" i="8"/>
  <c r="G216" i="8"/>
  <c r="E216" i="8"/>
  <c r="C216" i="8"/>
  <c r="F216" i="8"/>
  <c r="D216" i="8"/>
  <c r="B216" i="8"/>
  <c r="A216" i="8"/>
  <c r="L169" i="8"/>
  <c r="K169" i="8"/>
  <c r="I169" i="8"/>
  <c r="J169" i="8"/>
  <c r="H169" i="8"/>
  <c r="G169" i="8"/>
  <c r="F169" i="8"/>
  <c r="B169" i="8"/>
  <c r="D169" i="8"/>
  <c r="A169" i="8"/>
  <c r="C169" i="8"/>
  <c r="E169" i="8"/>
  <c r="L63" i="8"/>
  <c r="J63" i="8"/>
  <c r="K63" i="8"/>
  <c r="I63" i="8"/>
  <c r="H63" i="8"/>
  <c r="G63" i="8"/>
  <c r="F63" i="8"/>
  <c r="E63" i="8"/>
  <c r="C63" i="8"/>
  <c r="A63" i="8"/>
  <c r="D63" i="8"/>
  <c r="B63" i="8"/>
  <c r="L400" i="8"/>
  <c r="J400" i="8"/>
  <c r="I400" i="8"/>
  <c r="K400" i="8"/>
  <c r="G400" i="8"/>
  <c r="H400" i="8"/>
  <c r="F400" i="8"/>
  <c r="D400" i="8"/>
  <c r="E400" i="8"/>
  <c r="C400" i="8"/>
  <c r="A400" i="8"/>
  <c r="B400" i="8"/>
  <c r="L425" i="8"/>
  <c r="K425" i="8"/>
  <c r="J425" i="8"/>
  <c r="I425" i="8"/>
  <c r="G425" i="8"/>
  <c r="H425" i="8"/>
  <c r="C425" i="8"/>
  <c r="B425" i="8"/>
  <c r="F425" i="8"/>
  <c r="E425" i="8"/>
  <c r="D425" i="8"/>
  <c r="A425" i="8"/>
  <c r="L283" i="8"/>
  <c r="J283" i="8"/>
  <c r="K283" i="8"/>
  <c r="I283" i="8"/>
  <c r="F283" i="8"/>
  <c r="H283" i="8"/>
  <c r="G283" i="8"/>
  <c r="E283" i="8"/>
  <c r="B283" i="8"/>
  <c r="D283" i="8"/>
  <c r="A283" i="8"/>
  <c r="C283" i="8"/>
  <c r="L392" i="8"/>
  <c r="J392" i="8"/>
  <c r="K392" i="8"/>
  <c r="F392" i="8"/>
  <c r="I392" i="8"/>
  <c r="G392" i="8"/>
  <c r="H392" i="8"/>
  <c r="D392" i="8"/>
  <c r="E392" i="8"/>
  <c r="C392" i="8"/>
  <c r="A392" i="8"/>
  <c r="B392" i="8"/>
  <c r="K335" i="8"/>
  <c r="J335" i="8"/>
  <c r="L335" i="8"/>
  <c r="H335" i="8"/>
  <c r="I335" i="8"/>
  <c r="F335" i="8"/>
  <c r="G335" i="8"/>
  <c r="E335" i="8"/>
  <c r="D335" i="8"/>
  <c r="C335" i="8"/>
  <c r="B335" i="8"/>
  <c r="A335" i="8"/>
  <c r="L327" i="8"/>
  <c r="K327" i="8"/>
  <c r="J327" i="8"/>
  <c r="H327" i="8"/>
  <c r="I327" i="8"/>
  <c r="G327" i="8"/>
  <c r="C327" i="8"/>
  <c r="E327" i="8"/>
  <c r="B327" i="8"/>
  <c r="F327" i="8"/>
  <c r="D327" i="8"/>
  <c r="A327" i="8"/>
  <c r="L136" i="8"/>
  <c r="K136" i="8"/>
  <c r="J136" i="8"/>
  <c r="I136" i="8"/>
  <c r="G136" i="8"/>
  <c r="H136" i="8"/>
  <c r="B136" i="8"/>
  <c r="D136" i="8"/>
  <c r="C136" i="8"/>
  <c r="E136" i="8"/>
  <c r="A136" i="8"/>
  <c r="F136" i="8"/>
  <c r="G353" i="8"/>
  <c r="L461" i="8"/>
  <c r="J461" i="8"/>
  <c r="K461" i="8"/>
  <c r="I461" i="8"/>
  <c r="G461" i="8"/>
  <c r="H461" i="8"/>
  <c r="F461" i="8"/>
  <c r="E461" i="8"/>
  <c r="B461" i="8"/>
  <c r="D461" i="8"/>
  <c r="C461" i="8"/>
  <c r="A461" i="8"/>
  <c r="L402" i="8"/>
  <c r="K402" i="8"/>
  <c r="G402" i="8"/>
  <c r="H402" i="8"/>
  <c r="J402" i="8"/>
  <c r="F402" i="8"/>
  <c r="E402" i="8"/>
  <c r="I402" i="8"/>
  <c r="D402" i="8"/>
  <c r="C402" i="8"/>
  <c r="A402" i="8"/>
  <c r="B402" i="8"/>
  <c r="L207" i="8"/>
  <c r="K207" i="8"/>
  <c r="I207" i="8"/>
  <c r="J207" i="8"/>
  <c r="H207" i="8"/>
  <c r="F207" i="8"/>
  <c r="E207" i="8"/>
  <c r="G207" i="8"/>
  <c r="C207" i="8"/>
  <c r="B207" i="8"/>
  <c r="A207" i="8"/>
  <c r="D207" i="8"/>
  <c r="L436" i="8"/>
  <c r="K436" i="8"/>
  <c r="J436" i="8"/>
  <c r="I436" i="8"/>
  <c r="L401" i="8"/>
  <c r="K401" i="8"/>
  <c r="J401" i="8"/>
  <c r="I401" i="8"/>
  <c r="G401" i="8"/>
  <c r="H401" i="8"/>
  <c r="F401" i="8"/>
  <c r="D401" i="8"/>
  <c r="B401" i="8"/>
  <c r="E401" i="8"/>
  <c r="C401" i="8"/>
  <c r="A401" i="8"/>
  <c r="K308" i="8"/>
  <c r="L308" i="8"/>
  <c r="J308" i="8"/>
  <c r="F308" i="8"/>
  <c r="H308" i="8"/>
  <c r="I308" i="8"/>
  <c r="D308" i="8"/>
  <c r="A308" i="8"/>
  <c r="E308" i="8"/>
  <c r="G308" i="8"/>
  <c r="C308" i="8"/>
  <c r="B308" i="8"/>
  <c r="K338" i="8"/>
  <c r="L338" i="8"/>
  <c r="J338" i="8"/>
  <c r="I338" i="8"/>
  <c r="H338" i="8"/>
  <c r="F338" i="8"/>
  <c r="E338" i="8"/>
  <c r="G338" i="8"/>
  <c r="B338" i="8"/>
  <c r="D338" i="8"/>
  <c r="C338" i="8"/>
  <c r="A338" i="8"/>
  <c r="C407" i="8"/>
  <c r="L243" i="8"/>
  <c r="K243" i="8"/>
  <c r="J243" i="8"/>
  <c r="I243" i="8"/>
  <c r="F243" i="8"/>
  <c r="G243" i="8"/>
  <c r="H243" i="8"/>
  <c r="C243" i="8"/>
  <c r="E243" i="8"/>
  <c r="B243" i="8"/>
  <c r="D243" i="8"/>
  <c r="A243" i="8"/>
  <c r="B292" i="8"/>
  <c r="E333" i="8"/>
  <c r="L452" i="8"/>
  <c r="J452" i="8"/>
  <c r="K452" i="8"/>
  <c r="F452" i="8"/>
  <c r="H452" i="8"/>
  <c r="G452" i="8"/>
  <c r="D452" i="8"/>
  <c r="I452" i="8"/>
  <c r="E452" i="8"/>
  <c r="A452" i="8"/>
  <c r="C452" i="8"/>
  <c r="B452" i="8"/>
  <c r="K339" i="8"/>
  <c r="L339" i="8"/>
  <c r="J339" i="8"/>
  <c r="I339" i="8"/>
  <c r="H339" i="8"/>
  <c r="E339" i="8"/>
  <c r="D339" i="8"/>
  <c r="F339" i="8"/>
  <c r="G339" i="8"/>
  <c r="B339" i="8"/>
  <c r="C339" i="8"/>
  <c r="A339" i="8"/>
  <c r="L494" i="8"/>
  <c r="K494" i="8"/>
  <c r="J494" i="8"/>
  <c r="I494" i="8"/>
  <c r="H494" i="8"/>
  <c r="G494" i="8"/>
  <c r="F494" i="8"/>
  <c r="E494" i="8"/>
  <c r="A494" i="8"/>
  <c r="D494" i="8"/>
  <c r="B494" i="8"/>
  <c r="C494" i="8"/>
  <c r="B19" i="8"/>
  <c r="L229" i="8"/>
  <c r="K229" i="8"/>
  <c r="I229" i="8"/>
  <c r="H229" i="8"/>
  <c r="J229" i="8"/>
  <c r="G229" i="8"/>
  <c r="F229" i="8"/>
  <c r="C229" i="8"/>
  <c r="E229" i="8"/>
  <c r="B229" i="8"/>
  <c r="D229" i="8"/>
  <c r="A229" i="8"/>
  <c r="L52" i="8"/>
  <c r="K52" i="8"/>
  <c r="I52" i="8"/>
  <c r="G52" i="8"/>
  <c r="H52" i="8"/>
  <c r="J52" i="8"/>
  <c r="B52" i="8"/>
  <c r="E52" i="8"/>
  <c r="C52" i="8"/>
  <c r="D52" i="8"/>
  <c r="A52" i="8"/>
  <c r="F52" i="8"/>
  <c r="L412" i="8"/>
  <c r="K412" i="8"/>
  <c r="J412" i="8"/>
  <c r="I412" i="8"/>
  <c r="G412" i="8"/>
  <c r="H412" i="8"/>
  <c r="F412" i="8"/>
  <c r="C412" i="8"/>
  <c r="B412" i="8"/>
  <c r="A412" i="8"/>
  <c r="E412" i="8"/>
  <c r="D412" i="8"/>
  <c r="L137" i="8"/>
  <c r="J137" i="8"/>
  <c r="H137" i="8"/>
  <c r="K137" i="8"/>
  <c r="I137" i="8"/>
  <c r="G137" i="8"/>
  <c r="F137" i="8"/>
  <c r="D137" i="8"/>
  <c r="C137" i="8"/>
  <c r="B137" i="8"/>
  <c r="A137" i="8"/>
  <c r="E137" i="8"/>
  <c r="L31" i="8"/>
  <c r="K31" i="8"/>
  <c r="J31" i="8"/>
  <c r="I31" i="8"/>
  <c r="H31" i="8"/>
  <c r="F31" i="8"/>
  <c r="C31" i="8"/>
  <c r="E31" i="8"/>
  <c r="G31" i="8"/>
  <c r="B31" i="8"/>
  <c r="D31" i="8"/>
  <c r="A31" i="8"/>
  <c r="L295" i="8"/>
  <c r="J295" i="8"/>
  <c r="K295" i="8"/>
  <c r="I295" i="8"/>
  <c r="H295" i="8"/>
  <c r="F295" i="8"/>
  <c r="G295" i="8"/>
  <c r="E295" i="8"/>
  <c r="D295" i="8"/>
  <c r="B295" i="8"/>
  <c r="C295" i="8"/>
  <c r="A295" i="8"/>
  <c r="L428" i="8"/>
  <c r="J428" i="8"/>
  <c r="F428" i="8"/>
  <c r="K428" i="8"/>
  <c r="G428" i="8"/>
  <c r="H428" i="8"/>
  <c r="I428" i="8"/>
  <c r="E428" i="8"/>
  <c r="D428" i="8"/>
  <c r="C428" i="8"/>
  <c r="A428" i="8"/>
  <c r="B428" i="8"/>
  <c r="K273" i="8"/>
  <c r="L273" i="8"/>
  <c r="J273" i="8"/>
  <c r="H273" i="8"/>
  <c r="I273" i="8"/>
  <c r="G273" i="8"/>
  <c r="F273" i="8"/>
  <c r="C273" i="8"/>
  <c r="E273" i="8"/>
  <c r="A273" i="8"/>
  <c r="B273" i="8"/>
  <c r="D273" i="8"/>
  <c r="L305" i="8"/>
  <c r="K305" i="8"/>
  <c r="J305" i="8"/>
  <c r="H305" i="8"/>
  <c r="I305" i="8"/>
  <c r="G305" i="8"/>
  <c r="E305" i="8"/>
  <c r="B305" i="8"/>
  <c r="D305" i="8"/>
  <c r="F305" i="8"/>
  <c r="C305" i="8"/>
  <c r="A305" i="8"/>
  <c r="J314" i="8"/>
  <c r="L314" i="8"/>
  <c r="I314" i="8"/>
  <c r="K314" i="8"/>
  <c r="H314" i="8"/>
  <c r="E314" i="8"/>
  <c r="G314" i="8"/>
  <c r="F314" i="8"/>
  <c r="C314" i="8"/>
  <c r="D314" i="8"/>
  <c r="B314" i="8"/>
  <c r="A314" i="8"/>
  <c r="L497" i="8"/>
  <c r="K497" i="8"/>
  <c r="J497" i="8"/>
  <c r="I497" i="8"/>
  <c r="H497" i="8"/>
  <c r="G497" i="8"/>
  <c r="F497" i="8"/>
  <c r="C497" i="8"/>
  <c r="B497" i="8"/>
  <c r="E497" i="8"/>
  <c r="D497" i="8"/>
  <c r="A497" i="8"/>
  <c r="L331" i="8"/>
  <c r="K331" i="8"/>
  <c r="J331" i="8"/>
  <c r="I331" i="8"/>
  <c r="H331" i="8"/>
  <c r="G331" i="8"/>
  <c r="F331" i="8"/>
  <c r="D331" i="8"/>
  <c r="B331" i="8"/>
  <c r="E331" i="8"/>
  <c r="C331" i="8"/>
  <c r="A331" i="8"/>
  <c r="H464" i="8"/>
  <c r="G464" i="8"/>
  <c r="D464" i="8"/>
  <c r="C464" i="8"/>
  <c r="B464" i="8"/>
  <c r="K285" i="8"/>
  <c r="L285" i="8"/>
  <c r="J285" i="8"/>
  <c r="H285" i="8"/>
  <c r="I285" i="8"/>
  <c r="G285" i="8"/>
  <c r="F285" i="8"/>
  <c r="E285" i="8"/>
  <c r="B285" i="8"/>
  <c r="C285" i="8"/>
  <c r="D285" i="8"/>
  <c r="A285" i="8"/>
  <c r="L479" i="8"/>
  <c r="K479" i="8"/>
  <c r="J479" i="8"/>
  <c r="I479" i="8"/>
  <c r="F479" i="8"/>
  <c r="H479" i="8"/>
  <c r="D479" i="8"/>
  <c r="E479" i="8"/>
  <c r="C479" i="8"/>
  <c r="G479" i="8"/>
  <c r="B479" i="8"/>
  <c r="A479" i="8"/>
  <c r="L30" i="8"/>
  <c r="J30" i="8"/>
  <c r="H30" i="8"/>
  <c r="K30" i="8"/>
  <c r="G30" i="8"/>
  <c r="D30" i="8"/>
  <c r="E30" i="8"/>
  <c r="C30" i="8"/>
  <c r="A30" i="8"/>
  <c r="L105" i="8"/>
  <c r="K265" i="8"/>
  <c r="J265" i="8"/>
  <c r="K56" i="8"/>
  <c r="L56" i="8"/>
  <c r="J56" i="8"/>
  <c r="H56" i="8"/>
  <c r="F56" i="8"/>
  <c r="G56" i="8"/>
  <c r="I56" i="8"/>
  <c r="E56" i="8"/>
  <c r="D56" i="8"/>
  <c r="B56" i="8"/>
  <c r="C56" i="8"/>
  <c r="A56" i="8"/>
  <c r="L341" i="8"/>
  <c r="H341" i="8"/>
  <c r="F341" i="8"/>
  <c r="J304" i="8"/>
  <c r="I304" i="8"/>
  <c r="C261" i="8"/>
  <c r="K66" i="8"/>
  <c r="L115" i="8"/>
  <c r="K115" i="8"/>
  <c r="J115" i="8"/>
  <c r="I115" i="8"/>
  <c r="H115" i="8"/>
  <c r="F115" i="8"/>
  <c r="E115" i="8"/>
  <c r="G115" i="8"/>
  <c r="B115" i="8"/>
  <c r="A115" i="8"/>
  <c r="D115" i="8"/>
  <c r="C115" i="8"/>
  <c r="E354" i="8"/>
  <c r="K393" i="8"/>
  <c r="J393" i="8"/>
  <c r="L393" i="8"/>
  <c r="I393" i="8"/>
  <c r="G393" i="8"/>
  <c r="H393" i="8"/>
  <c r="F393" i="8"/>
  <c r="D393" i="8"/>
  <c r="E393" i="8"/>
  <c r="B393" i="8"/>
  <c r="A393" i="8"/>
  <c r="C393" i="8"/>
  <c r="H69" i="8"/>
  <c r="L377" i="8"/>
  <c r="K377" i="8"/>
  <c r="J377" i="8"/>
  <c r="I377" i="8"/>
  <c r="G377" i="8"/>
  <c r="H377" i="8"/>
  <c r="F377" i="8"/>
  <c r="B377" i="8"/>
  <c r="D377" i="8"/>
  <c r="C377" i="8"/>
  <c r="E377" i="8"/>
  <c r="A377" i="8"/>
  <c r="L367" i="8"/>
  <c r="J367" i="8"/>
  <c r="K367" i="8"/>
  <c r="I367" i="8"/>
  <c r="F367" i="8"/>
  <c r="H367" i="8"/>
  <c r="E367" i="8"/>
  <c r="B367" i="8"/>
  <c r="G367" i="8"/>
  <c r="A367" i="8"/>
  <c r="D367" i="8"/>
  <c r="C367" i="8"/>
  <c r="L298" i="8"/>
  <c r="K298" i="8"/>
  <c r="I298" i="8"/>
  <c r="J298" i="8"/>
  <c r="H298" i="8"/>
  <c r="F298" i="8"/>
  <c r="G298" i="8"/>
  <c r="D298" i="8"/>
  <c r="C298" i="8"/>
  <c r="E298" i="8"/>
  <c r="A298" i="8"/>
  <c r="B298" i="8"/>
  <c r="D473" i="8"/>
  <c r="B473" i="8"/>
  <c r="E473" i="8"/>
  <c r="C73" i="8"/>
  <c r="I74" i="8"/>
  <c r="B153" i="8"/>
  <c r="K155" i="8"/>
  <c r="L155" i="8"/>
  <c r="J155" i="8"/>
  <c r="H155" i="8"/>
  <c r="I155" i="8"/>
  <c r="G155" i="8"/>
  <c r="F155" i="8"/>
  <c r="E155" i="8"/>
  <c r="A155" i="8"/>
  <c r="D155" i="8"/>
  <c r="C155" i="8"/>
  <c r="B155" i="8"/>
  <c r="L499" i="8"/>
  <c r="J499" i="8"/>
  <c r="K499" i="8"/>
  <c r="I499" i="8"/>
  <c r="H499" i="8"/>
  <c r="D499" i="8"/>
  <c r="C499" i="8"/>
  <c r="B499" i="8"/>
  <c r="G499" i="8"/>
  <c r="F499" i="8"/>
  <c r="E499" i="8"/>
  <c r="A499" i="8"/>
  <c r="K167" i="8"/>
  <c r="L167" i="8"/>
  <c r="J167" i="8"/>
  <c r="H167" i="8"/>
  <c r="G167" i="8"/>
  <c r="F167" i="8"/>
  <c r="I167" i="8"/>
  <c r="D167" i="8"/>
  <c r="E167" i="8"/>
  <c r="B167" i="8"/>
  <c r="A167" i="8"/>
  <c r="C167" i="8"/>
  <c r="K75" i="8"/>
  <c r="L75" i="8"/>
  <c r="J75" i="8"/>
  <c r="I75" i="8"/>
  <c r="F75" i="8"/>
  <c r="G75" i="8"/>
  <c r="H75" i="8"/>
  <c r="B75" i="8"/>
  <c r="D75" i="8"/>
  <c r="C75" i="8"/>
  <c r="E75" i="8"/>
  <c r="A75" i="8"/>
  <c r="L247" i="8"/>
  <c r="J247" i="8"/>
  <c r="K247" i="8"/>
  <c r="I247" i="8"/>
  <c r="H247" i="8"/>
  <c r="G247" i="8"/>
  <c r="E247" i="8"/>
  <c r="B247" i="8"/>
  <c r="D247" i="8"/>
  <c r="A247" i="8"/>
  <c r="F247" i="8"/>
  <c r="C247" i="8"/>
  <c r="K282" i="8"/>
  <c r="L282" i="8"/>
  <c r="J282" i="8"/>
  <c r="G282" i="8"/>
  <c r="I282" i="8"/>
  <c r="F282" i="8"/>
  <c r="H282" i="8"/>
  <c r="D282" i="8"/>
  <c r="B282" i="8"/>
  <c r="C282" i="8"/>
  <c r="E282" i="8"/>
  <c r="A282" i="8"/>
  <c r="I46" i="8"/>
  <c r="K472" i="8"/>
  <c r="J472" i="8"/>
  <c r="L472" i="8"/>
  <c r="I472" i="8"/>
  <c r="G472" i="8"/>
  <c r="H472" i="8"/>
  <c r="F472" i="8"/>
  <c r="C472" i="8"/>
  <c r="D472" i="8"/>
  <c r="B472" i="8"/>
  <c r="A472" i="8"/>
  <c r="E472" i="8"/>
  <c r="L257" i="8"/>
  <c r="K257" i="8"/>
  <c r="J257" i="8"/>
  <c r="H257" i="8"/>
  <c r="I257" i="8"/>
  <c r="G257" i="8"/>
  <c r="F257" i="8"/>
  <c r="B257" i="8"/>
  <c r="E257" i="8"/>
  <c r="A257" i="8"/>
  <c r="D257" i="8"/>
  <c r="C257" i="8"/>
  <c r="L29" i="8"/>
  <c r="K29" i="8"/>
  <c r="J29" i="8"/>
  <c r="H29" i="8"/>
  <c r="I29" i="8"/>
  <c r="G29" i="8"/>
  <c r="F29" i="8"/>
  <c r="B29" i="8"/>
  <c r="D29" i="8"/>
  <c r="C29" i="8"/>
  <c r="A29" i="8"/>
  <c r="E29" i="8"/>
  <c r="L211" i="8"/>
  <c r="J211" i="8"/>
  <c r="I211" i="8"/>
  <c r="K211" i="8"/>
  <c r="G211" i="8"/>
  <c r="H211" i="8"/>
  <c r="C211" i="8"/>
  <c r="F211" i="8"/>
  <c r="E211" i="8"/>
  <c r="D211" i="8"/>
  <c r="A211" i="8"/>
  <c r="B211" i="8"/>
  <c r="G260" i="8"/>
  <c r="G9" i="8"/>
  <c r="F9" i="8"/>
  <c r="D9" i="8"/>
  <c r="A336" i="8"/>
  <c r="A348" i="8"/>
  <c r="L99" i="8"/>
  <c r="K99" i="8"/>
  <c r="J99" i="8"/>
  <c r="I99" i="8"/>
  <c r="H99" i="8"/>
  <c r="F99" i="8"/>
  <c r="G99" i="8"/>
  <c r="E99" i="8"/>
  <c r="C99" i="8"/>
  <c r="B99" i="8"/>
  <c r="D99" i="8"/>
  <c r="A99" i="8"/>
  <c r="L97" i="8"/>
  <c r="K97" i="8"/>
  <c r="J97" i="8"/>
  <c r="I97" i="8"/>
  <c r="H97" i="8"/>
  <c r="G97" i="8"/>
  <c r="C97" i="8"/>
  <c r="E97" i="8"/>
  <c r="D97" i="8"/>
  <c r="A97" i="8"/>
  <c r="F97" i="8"/>
  <c r="B97" i="8"/>
  <c r="H296" i="8"/>
  <c r="G201" i="8"/>
  <c r="K294" i="8"/>
  <c r="L294" i="8"/>
  <c r="J294" i="8"/>
  <c r="I294" i="8"/>
  <c r="G294" i="8"/>
  <c r="H294" i="8"/>
  <c r="D294" i="8"/>
  <c r="C294" i="8"/>
  <c r="E294" i="8"/>
  <c r="F294" i="8"/>
  <c r="A294" i="8"/>
  <c r="B294" i="8"/>
  <c r="F357" i="8"/>
  <c r="F238" i="8"/>
  <c r="C397" i="8"/>
  <c r="H457" i="8"/>
  <c r="L469" i="8"/>
  <c r="I469" i="8"/>
  <c r="K469" i="8"/>
  <c r="H469" i="8"/>
  <c r="J469" i="8"/>
  <c r="G469" i="8"/>
  <c r="F469" i="8"/>
  <c r="E469" i="8"/>
  <c r="C469" i="8"/>
  <c r="B469" i="8"/>
  <c r="D469" i="8"/>
  <c r="A469" i="8"/>
  <c r="K194" i="8"/>
  <c r="J194" i="8"/>
  <c r="I194" i="8"/>
  <c r="H194" i="8"/>
  <c r="G194" i="8"/>
  <c r="F194" i="8"/>
  <c r="E194" i="8"/>
  <c r="L194" i="8"/>
  <c r="D194" i="8"/>
  <c r="B194" i="8"/>
  <c r="A194" i="8"/>
  <c r="C194" i="8"/>
  <c r="L471" i="8"/>
  <c r="K471" i="8"/>
  <c r="J471" i="8"/>
  <c r="I471" i="8"/>
  <c r="F471" i="8"/>
  <c r="H471" i="8"/>
  <c r="G471" i="8"/>
  <c r="E471" i="8"/>
  <c r="C471" i="8"/>
  <c r="B471" i="8"/>
  <c r="D471" i="8"/>
  <c r="A471" i="8"/>
  <c r="L352" i="8"/>
  <c r="J352" i="8"/>
  <c r="I352" i="8"/>
  <c r="L53" i="8"/>
  <c r="K53" i="8"/>
  <c r="J53" i="8"/>
  <c r="H53" i="8"/>
  <c r="I53" i="8"/>
  <c r="G53" i="8"/>
  <c r="F53" i="8"/>
  <c r="E53" i="8"/>
  <c r="D53" i="8"/>
  <c r="C53" i="8"/>
  <c r="A53" i="8"/>
  <c r="B53" i="8"/>
  <c r="J272" i="8"/>
  <c r="K272" i="8"/>
  <c r="L272" i="8"/>
  <c r="F272" i="8"/>
  <c r="I272" i="8"/>
  <c r="G272" i="8"/>
  <c r="H272" i="8"/>
  <c r="D272" i="8"/>
  <c r="E272" i="8"/>
  <c r="A272" i="8"/>
  <c r="C272" i="8"/>
  <c r="B272" i="8"/>
  <c r="K96" i="8"/>
  <c r="J96" i="8"/>
  <c r="L96" i="8"/>
  <c r="I96" i="8"/>
  <c r="E96" i="8"/>
  <c r="H96" i="8"/>
  <c r="G96" i="8"/>
  <c r="F96" i="8"/>
  <c r="C96" i="8"/>
  <c r="D96" i="8"/>
  <c r="B96" i="8"/>
  <c r="A96" i="8"/>
  <c r="E128" i="8"/>
  <c r="I184" i="8"/>
  <c r="F184" i="8"/>
  <c r="I25" i="8"/>
  <c r="L121" i="8"/>
  <c r="K121" i="8"/>
  <c r="E121" i="8"/>
  <c r="L343" i="8"/>
  <c r="J343" i="8"/>
  <c r="K343" i="8"/>
  <c r="I343" i="8"/>
  <c r="F343" i="8"/>
  <c r="H343" i="8"/>
  <c r="G343" i="8"/>
  <c r="B343" i="8"/>
  <c r="C343" i="8"/>
  <c r="E343" i="8"/>
  <c r="D343" i="8"/>
  <c r="A343" i="8"/>
  <c r="L306" i="8"/>
  <c r="K306" i="8"/>
  <c r="J306" i="8"/>
  <c r="G306" i="8"/>
  <c r="I306" i="8"/>
  <c r="H306" i="8"/>
  <c r="C306" i="8"/>
  <c r="D306" i="8"/>
  <c r="F306" i="8"/>
  <c r="E306" i="8"/>
  <c r="B306" i="8"/>
  <c r="A306" i="8"/>
  <c r="K147" i="8"/>
  <c r="L147" i="8"/>
  <c r="J147" i="8"/>
  <c r="I147" i="8"/>
  <c r="H147" i="8"/>
  <c r="G147" i="8"/>
  <c r="F147" i="8"/>
  <c r="E147" i="8"/>
  <c r="D147" i="8"/>
  <c r="C147" i="8"/>
  <c r="A147" i="8"/>
  <c r="B147" i="8"/>
  <c r="C139" i="8"/>
  <c r="L171" i="8"/>
  <c r="K171" i="8"/>
  <c r="J171" i="8"/>
  <c r="I171" i="8"/>
  <c r="G171" i="8"/>
  <c r="F171" i="8"/>
  <c r="H171" i="8"/>
  <c r="D171" i="8"/>
  <c r="B171" i="8"/>
  <c r="C171" i="8"/>
  <c r="A171" i="8"/>
  <c r="E171" i="8"/>
  <c r="L503" i="8"/>
  <c r="K503" i="8"/>
  <c r="J503" i="8"/>
  <c r="I503" i="8"/>
  <c r="G503" i="8"/>
  <c r="H503" i="8"/>
  <c r="F503" i="8"/>
  <c r="C503" i="8"/>
  <c r="E503" i="8"/>
  <c r="D503" i="8"/>
  <c r="B503" i="8"/>
  <c r="A503" i="8"/>
  <c r="B361" i="8"/>
  <c r="A361" i="8"/>
  <c r="L448" i="8"/>
  <c r="J448" i="8"/>
  <c r="K448" i="8"/>
  <c r="I448" i="8"/>
  <c r="G448" i="8"/>
  <c r="H448" i="8"/>
  <c r="F448" i="8"/>
  <c r="E448" i="8"/>
  <c r="C448" i="8"/>
  <c r="D448" i="8"/>
  <c r="B448" i="8"/>
  <c r="A448" i="8"/>
  <c r="B180" i="8"/>
  <c r="L146" i="8"/>
  <c r="K146" i="8"/>
  <c r="J146" i="8"/>
  <c r="I146" i="8"/>
  <c r="H146" i="8"/>
  <c r="F146" i="8"/>
  <c r="G146" i="8"/>
  <c r="C146" i="8"/>
  <c r="A146" i="8"/>
  <c r="E146" i="8"/>
  <c r="D146" i="8"/>
  <c r="B146" i="8"/>
  <c r="L123" i="8"/>
  <c r="K123" i="8"/>
  <c r="J123" i="8"/>
  <c r="H123" i="8"/>
  <c r="I123" i="8"/>
  <c r="G123" i="8"/>
  <c r="C123" i="8"/>
  <c r="D123" i="8"/>
  <c r="A123" i="8"/>
  <c r="F123" i="8"/>
  <c r="B123" i="8"/>
  <c r="E123" i="8"/>
  <c r="K158" i="8"/>
  <c r="J158" i="8"/>
  <c r="I158" i="8"/>
  <c r="B158" i="8"/>
  <c r="L187" i="8"/>
  <c r="J187" i="8"/>
  <c r="I187" i="8"/>
  <c r="H187" i="8"/>
  <c r="F187" i="8"/>
  <c r="G187" i="8"/>
  <c r="C187" i="8"/>
  <c r="D187" i="8"/>
  <c r="A187" i="8"/>
  <c r="L259" i="8"/>
  <c r="J259" i="8"/>
  <c r="K259" i="8"/>
  <c r="I259" i="8"/>
  <c r="H259" i="8"/>
  <c r="F259" i="8"/>
  <c r="G259" i="8"/>
  <c r="B259" i="8"/>
  <c r="E259" i="8"/>
  <c r="A259" i="8"/>
  <c r="D259" i="8"/>
  <c r="C259" i="8"/>
  <c r="L315" i="8"/>
  <c r="K315" i="8"/>
  <c r="H315" i="8"/>
  <c r="J315" i="8"/>
  <c r="F315" i="8"/>
  <c r="G315" i="8"/>
  <c r="I315" i="8"/>
  <c r="E315" i="8"/>
  <c r="D315" i="8"/>
  <c r="B315" i="8"/>
  <c r="A315" i="8"/>
  <c r="C315" i="8"/>
  <c r="G370" i="8"/>
  <c r="F165" i="8"/>
  <c r="L326" i="8"/>
  <c r="K326" i="8"/>
  <c r="J326" i="8"/>
  <c r="I326" i="8"/>
  <c r="H326" i="8"/>
  <c r="G326" i="8"/>
  <c r="E326" i="8"/>
  <c r="D326" i="8"/>
  <c r="F326" i="8"/>
  <c r="A326" i="8"/>
  <c r="B326" i="8"/>
  <c r="C326" i="8"/>
  <c r="J173" i="8"/>
  <c r="H173" i="8"/>
  <c r="G173" i="8"/>
  <c r="L98" i="8"/>
  <c r="K98" i="8"/>
  <c r="J98" i="8"/>
  <c r="I98" i="8"/>
  <c r="H98" i="8"/>
  <c r="G98" i="8"/>
  <c r="F98" i="8"/>
  <c r="C98" i="8"/>
  <c r="D98" i="8"/>
  <c r="E98" i="8"/>
  <c r="B98" i="8"/>
  <c r="A98" i="8"/>
  <c r="E112" i="8"/>
  <c r="H18" i="8"/>
  <c r="K386" i="8"/>
  <c r="J386" i="8"/>
  <c r="I386" i="8"/>
  <c r="L386" i="8"/>
  <c r="H386" i="8"/>
  <c r="E386" i="8"/>
  <c r="G386" i="8"/>
  <c r="F386" i="8"/>
  <c r="C386" i="8"/>
  <c r="D386" i="8"/>
  <c r="B386" i="8"/>
  <c r="A386" i="8"/>
  <c r="L233" i="8"/>
  <c r="K233" i="8"/>
  <c r="J233" i="8"/>
  <c r="H233" i="8"/>
  <c r="I233" i="8"/>
  <c r="G233" i="8"/>
  <c r="F233" i="8"/>
  <c r="B233" i="8"/>
  <c r="D233" i="8"/>
  <c r="E233" i="8"/>
  <c r="A233" i="8"/>
  <c r="C233" i="8"/>
  <c r="C427" i="8"/>
  <c r="L485" i="8"/>
  <c r="K485" i="8"/>
  <c r="H485" i="8"/>
  <c r="G485" i="8"/>
  <c r="F485" i="8"/>
  <c r="B485" i="8"/>
  <c r="C485" i="8"/>
  <c r="A485" i="8"/>
  <c r="L10" i="8"/>
  <c r="J10" i="8"/>
  <c r="K10" i="8"/>
  <c r="I10" i="8"/>
  <c r="F10" i="8"/>
  <c r="H10" i="8"/>
  <c r="E10" i="8"/>
  <c r="B10" i="8"/>
  <c r="D10" i="8"/>
  <c r="G10" i="8"/>
  <c r="C10" i="8"/>
  <c r="A10" i="8"/>
  <c r="L245" i="8"/>
  <c r="K245" i="8"/>
  <c r="A245" i="8"/>
  <c r="L255" i="8"/>
  <c r="K255" i="8"/>
  <c r="J255" i="8"/>
  <c r="H255" i="8"/>
  <c r="G255" i="8"/>
  <c r="I255" i="8"/>
  <c r="F255" i="8"/>
  <c r="C255" i="8"/>
  <c r="E255" i="8"/>
  <c r="B255" i="8"/>
  <c r="D255" i="8"/>
  <c r="A255" i="8"/>
  <c r="L170" i="8"/>
  <c r="K170" i="8"/>
  <c r="J170" i="8"/>
  <c r="I170" i="8"/>
  <c r="H170" i="8"/>
  <c r="G170" i="8"/>
  <c r="E170" i="8"/>
  <c r="F170" i="8"/>
  <c r="D170" i="8"/>
  <c r="C170" i="8"/>
  <c r="B170" i="8"/>
  <c r="A170" i="8"/>
  <c r="L218" i="8"/>
  <c r="K218" i="8"/>
  <c r="J218" i="8"/>
  <c r="I218" i="8"/>
  <c r="H218" i="8"/>
  <c r="F218" i="8"/>
  <c r="E218" i="8"/>
  <c r="G218" i="8"/>
  <c r="D218" i="8"/>
  <c r="A218" i="8"/>
  <c r="B218" i="8"/>
  <c r="C218" i="8"/>
  <c r="F185" i="8"/>
  <c r="B81" i="8"/>
  <c r="F433" i="8"/>
  <c r="L495" i="8"/>
  <c r="K495" i="8"/>
  <c r="I495" i="8"/>
  <c r="J495" i="8"/>
  <c r="G495" i="8"/>
  <c r="F495" i="8"/>
  <c r="H495" i="8"/>
  <c r="E495" i="8"/>
  <c r="D495" i="8"/>
  <c r="A495" i="8"/>
  <c r="B495" i="8"/>
  <c r="C495" i="8"/>
  <c r="L101" i="8"/>
  <c r="K101" i="8"/>
  <c r="J101" i="8"/>
  <c r="H101" i="8"/>
  <c r="I101" i="8"/>
  <c r="G101" i="8"/>
  <c r="F101" i="8"/>
  <c r="D101" i="8"/>
  <c r="E101" i="8"/>
  <c r="C101" i="8"/>
  <c r="A101" i="8"/>
  <c r="B101" i="8"/>
  <c r="L271" i="8"/>
  <c r="J271" i="8"/>
  <c r="K271" i="8"/>
  <c r="I271" i="8"/>
  <c r="H271" i="8"/>
  <c r="F271" i="8"/>
  <c r="E271" i="8"/>
  <c r="D271" i="8"/>
  <c r="B271" i="8"/>
  <c r="G271" i="8"/>
  <c r="A271" i="8"/>
  <c r="C271" i="8"/>
  <c r="B311" i="8"/>
  <c r="I22" i="8"/>
  <c r="D22" i="8"/>
  <c r="E22" i="8"/>
  <c r="G330" i="8"/>
  <c r="L431" i="8"/>
  <c r="K431" i="8"/>
  <c r="J431" i="8"/>
  <c r="G431" i="8"/>
  <c r="I431" i="8"/>
  <c r="H431" i="8"/>
  <c r="E431" i="8"/>
  <c r="C431" i="8"/>
  <c r="F431" i="8"/>
  <c r="D431" i="8"/>
  <c r="A431" i="8"/>
  <c r="B431" i="8"/>
  <c r="L68" i="8"/>
  <c r="J68" i="8"/>
  <c r="K68" i="8"/>
  <c r="H68" i="8"/>
  <c r="I68" i="8"/>
  <c r="F68" i="8"/>
  <c r="G68" i="8"/>
  <c r="D68" i="8"/>
  <c r="B68" i="8"/>
  <c r="E68" i="8"/>
  <c r="C68" i="8"/>
  <c r="A68" i="8"/>
  <c r="S387" i="3"/>
  <c r="S123" i="3"/>
  <c r="S361" i="3"/>
  <c r="S218" i="3"/>
  <c r="S187" i="3"/>
  <c r="S463" i="3"/>
  <c r="S428" i="3"/>
  <c r="S255" i="3"/>
  <c r="S264" i="3"/>
  <c r="S401" i="3"/>
  <c r="S124" i="3"/>
  <c r="S391" i="3"/>
  <c r="S211" i="3"/>
  <c r="S377" i="3"/>
  <c r="S10" i="3"/>
  <c r="S273" i="3"/>
  <c r="S385" i="3"/>
  <c r="S495" i="3"/>
  <c r="S259" i="3"/>
  <c r="S309" i="3"/>
  <c r="S335" i="3"/>
  <c r="S422" i="3"/>
  <c r="S305" i="3"/>
  <c r="S194" i="3"/>
  <c r="S136" i="3"/>
  <c r="S257" i="3"/>
  <c r="S499" i="3"/>
  <c r="S449" i="3"/>
  <c r="S285" i="3"/>
  <c r="S376" i="3"/>
  <c r="S314" i="3"/>
  <c r="S271" i="3"/>
  <c r="S326" i="3"/>
  <c r="S400" i="3"/>
  <c r="S425" i="3"/>
  <c r="S283" i="3"/>
  <c r="S383" i="3"/>
  <c r="S452" i="3"/>
  <c r="S339" i="3"/>
  <c r="S338" i="3"/>
  <c r="S137" i="3"/>
  <c r="S9" i="3"/>
  <c r="S216" i="3"/>
  <c r="S497" i="3"/>
  <c r="S331" i="3"/>
  <c r="S272" i="3"/>
  <c r="S155" i="3"/>
  <c r="S479" i="3"/>
  <c r="S146" i="3"/>
  <c r="S171" i="3"/>
  <c r="S412" i="3"/>
  <c r="S461" i="3"/>
  <c r="S295" i="3"/>
  <c r="S247" i="3"/>
  <c r="S169" i="3"/>
  <c r="S469" i="3"/>
  <c r="S386" i="3"/>
  <c r="S229" i="3"/>
  <c r="S481" i="3"/>
  <c r="S170" i="3"/>
  <c r="S243" i="3"/>
  <c r="S173" i="3"/>
  <c r="S503" i="3"/>
  <c r="S343" i="3"/>
  <c r="S448" i="3"/>
  <c r="S355" i="3"/>
  <c r="S284" i="3"/>
  <c r="S494" i="3"/>
  <c r="S471" i="3"/>
  <c r="S472" i="3"/>
  <c r="S233" i="3"/>
  <c r="S392" i="3"/>
  <c r="S167" i="3"/>
  <c r="S308" i="3"/>
  <c r="S115" i="3"/>
  <c r="S367" i="3"/>
  <c r="S298" i="3"/>
  <c r="S282" i="3"/>
  <c r="S294" i="3"/>
  <c r="S468" i="3"/>
  <c r="S306" i="3"/>
  <c r="S147" i="3"/>
  <c r="S207" i="3"/>
  <c r="S393" i="3"/>
  <c r="B2918" i="5"/>
  <c r="B2917" i="5"/>
  <c r="A2917" i="5"/>
  <c r="S402" i="3"/>
  <c r="S431" i="3"/>
  <c r="S315" i="3"/>
  <c r="B1928" i="5"/>
  <c r="A1928" i="5"/>
  <c r="S304" i="3"/>
  <c r="S341" i="3"/>
  <c r="F1961" i="5"/>
  <c r="E1961" i="5"/>
  <c r="F2886" i="5"/>
  <c r="E2886" i="5"/>
  <c r="F4488" i="5"/>
  <c r="E4488" i="5"/>
  <c r="F3356" i="5"/>
  <c r="E3356" i="5"/>
  <c r="F42" i="5"/>
  <c r="E42" i="5"/>
  <c r="F3573" i="5"/>
  <c r="E3573" i="5"/>
  <c r="F753" i="5"/>
  <c r="E753" i="5"/>
  <c r="F4104" i="5"/>
  <c r="E4104" i="5"/>
  <c r="F4299" i="5"/>
  <c r="E4299" i="5"/>
  <c r="F2121" i="5"/>
  <c r="E2121" i="5"/>
  <c r="F63" i="5"/>
  <c r="E63" i="5"/>
  <c r="F33" i="5"/>
  <c r="E33" i="5"/>
  <c r="F2330" i="5"/>
  <c r="E2330" i="5"/>
  <c r="F2238" i="5"/>
  <c r="E2238" i="5"/>
  <c r="F4184" i="5"/>
  <c r="E4184" i="5"/>
  <c r="F3671" i="5"/>
  <c r="E3671" i="5"/>
  <c r="F4263" i="5"/>
  <c r="E4263" i="5"/>
  <c r="F3786" i="5"/>
  <c r="E3786" i="5"/>
  <c r="F2195" i="5"/>
  <c r="E2195" i="5"/>
  <c r="F1772" i="5"/>
  <c r="E1772" i="5"/>
  <c r="F3572" i="5"/>
  <c r="E3572" i="5"/>
  <c r="E3951" i="5"/>
  <c r="F3951" i="5"/>
  <c r="F4131" i="5"/>
  <c r="E4131" i="5"/>
  <c r="F1989" i="5"/>
  <c r="E1989" i="5"/>
  <c r="F3300" i="5"/>
  <c r="E3300" i="5"/>
  <c r="F2034" i="5"/>
  <c r="E2034" i="5"/>
  <c r="F684" i="5"/>
  <c r="E684" i="5"/>
  <c r="F3399" i="5"/>
  <c r="E3399" i="5"/>
  <c r="F1152" i="5"/>
  <c r="E1152" i="5"/>
  <c r="F1665" i="5"/>
  <c r="E1665" i="5"/>
  <c r="F405" i="5"/>
  <c r="E405" i="5"/>
  <c r="F2292" i="5"/>
  <c r="E2292" i="5"/>
  <c r="F3420" i="5"/>
  <c r="E3420" i="5"/>
  <c r="F3599" i="5"/>
  <c r="E3599" i="5"/>
  <c r="F546" i="5"/>
  <c r="E546" i="5"/>
  <c r="E2763" i="5"/>
  <c r="F2763" i="5"/>
  <c r="F4497" i="5"/>
  <c r="E4497" i="5"/>
  <c r="F1773" i="5"/>
  <c r="E1773" i="5"/>
  <c r="F4230" i="5"/>
  <c r="E4230" i="5"/>
  <c r="F1158" i="5"/>
  <c r="E1158" i="5"/>
  <c r="F2169" i="5"/>
  <c r="E2169" i="5"/>
  <c r="F2006" i="5"/>
  <c r="E2006" i="5"/>
  <c r="F1421" i="5"/>
  <c r="E1421" i="5"/>
  <c r="F566" i="5"/>
  <c r="E566" i="5"/>
  <c r="F386" i="5"/>
  <c r="E386" i="5"/>
  <c r="F2358" i="5"/>
  <c r="E2358" i="5"/>
  <c r="F2663" i="5"/>
  <c r="E2663" i="5"/>
  <c r="F3033" i="5"/>
  <c r="E3033" i="5"/>
  <c r="F971" i="5"/>
  <c r="E971" i="5"/>
  <c r="F162" i="5"/>
  <c r="E162" i="5"/>
  <c r="F2402" i="5"/>
  <c r="E2402" i="5"/>
  <c r="F666" i="5"/>
  <c r="E666" i="5"/>
  <c r="F1536" i="5"/>
  <c r="E1536" i="5"/>
  <c r="F51" i="5"/>
  <c r="E51" i="5"/>
  <c r="F2148" i="5"/>
  <c r="E2148" i="5"/>
  <c r="F427" i="8"/>
  <c r="F1050" i="5"/>
  <c r="E1050" i="5"/>
  <c r="F1962" i="5"/>
  <c r="E1962" i="5"/>
  <c r="F593" i="5"/>
  <c r="E593" i="5"/>
  <c r="F2016" i="5"/>
  <c r="E2016" i="5"/>
  <c r="F1791" i="5"/>
  <c r="E1791" i="5"/>
  <c r="F1257" i="5"/>
  <c r="E1257" i="5"/>
  <c r="F3788" i="5"/>
  <c r="E3788" i="5"/>
  <c r="F4227" i="5"/>
  <c r="E4227" i="5"/>
  <c r="F1323" i="5"/>
  <c r="E1323" i="5"/>
  <c r="F737" i="5"/>
  <c r="E737" i="5"/>
  <c r="F252" i="5"/>
  <c r="E252" i="5"/>
  <c r="F456" i="5"/>
  <c r="E456" i="5"/>
  <c r="F801" i="5"/>
  <c r="E801" i="5"/>
  <c r="F1095" i="5"/>
  <c r="E1095" i="5"/>
  <c r="F4364" i="5"/>
  <c r="E4364" i="5"/>
  <c r="F1980" i="5"/>
  <c r="E1980" i="5"/>
  <c r="F2400" i="5"/>
  <c r="E2400" i="5"/>
  <c r="F60" i="5"/>
  <c r="E60" i="5"/>
  <c r="F1851" i="5"/>
  <c r="E1851" i="5"/>
  <c r="F987" i="5"/>
  <c r="E987" i="5"/>
  <c r="F1395" i="5"/>
  <c r="E1395" i="5"/>
  <c r="F339" i="5"/>
  <c r="E339" i="5"/>
  <c r="F557" i="5"/>
  <c r="E557" i="5"/>
  <c r="F3284" i="5"/>
  <c r="E3284" i="5"/>
  <c r="F135" i="5"/>
  <c r="E135" i="5"/>
  <c r="F1188" i="5"/>
  <c r="E1188" i="5"/>
  <c r="F4391" i="5"/>
  <c r="E4391" i="5"/>
  <c r="F2688" i="5"/>
  <c r="E2688" i="5"/>
  <c r="F3426" i="5"/>
  <c r="E3426" i="5"/>
  <c r="F2591" i="5"/>
  <c r="E2591" i="5"/>
  <c r="F3959" i="5"/>
  <c r="E3959" i="5"/>
  <c r="F2717" i="5"/>
  <c r="E2717" i="5"/>
  <c r="F4248" i="5"/>
  <c r="E4248" i="5"/>
  <c r="F638" i="5"/>
  <c r="E638" i="5"/>
  <c r="F1638" i="5"/>
  <c r="E1638" i="5"/>
  <c r="F3996" i="5"/>
  <c r="E3996" i="5"/>
  <c r="S245" i="3"/>
  <c r="K22" i="8"/>
  <c r="E245" i="8"/>
  <c r="D485" i="8"/>
  <c r="H427" i="8"/>
  <c r="C95" i="8"/>
  <c r="J201" i="8"/>
  <c r="H473" i="8"/>
  <c r="A304" i="8"/>
  <c r="I464" i="8"/>
  <c r="B436" i="8"/>
  <c r="A111" i="8"/>
  <c r="L353" i="8"/>
  <c r="K463" i="8"/>
  <c r="B100" i="8"/>
  <c r="F474" i="5"/>
  <c r="E474" i="5"/>
  <c r="F2618" i="5"/>
  <c r="E2618" i="5"/>
  <c r="F3860" i="5"/>
  <c r="E3860" i="5"/>
  <c r="F1485" i="5"/>
  <c r="E1485" i="5"/>
  <c r="F2493" i="5"/>
  <c r="E2493" i="5"/>
  <c r="F2229" i="5"/>
  <c r="E2229" i="5"/>
  <c r="F3669" i="5"/>
  <c r="E3669" i="5"/>
  <c r="F2076" i="5"/>
  <c r="E2076" i="5"/>
  <c r="F1403" i="5"/>
  <c r="E1403" i="5"/>
  <c r="F1313" i="5"/>
  <c r="E1313" i="5"/>
  <c r="F3834" i="5"/>
  <c r="E3834" i="5"/>
  <c r="F3627" i="5"/>
  <c r="E3627" i="5"/>
  <c r="F1251" i="5"/>
  <c r="E1251" i="5"/>
  <c r="F2744" i="5"/>
  <c r="E2744" i="5"/>
  <c r="F3680" i="5"/>
  <c r="E3680" i="5"/>
  <c r="F2043" i="5"/>
  <c r="E2043" i="5"/>
  <c r="F2015" i="5"/>
  <c r="E2015" i="5"/>
  <c r="F1239" i="5"/>
  <c r="E1239" i="5"/>
  <c r="F4254" i="5"/>
  <c r="E4254" i="5"/>
  <c r="F3339" i="5"/>
  <c r="E3339" i="5"/>
  <c r="F2348" i="5"/>
  <c r="E2348" i="5"/>
  <c r="F1878" i="5"/>
  <c r="E1878" i="5"/>
  <c r="F2580" i="5"/>
  <c r="E2580" i="5"/>
  <c r="F2760" i="5"/>
  <c r="E2760" i="5"/>
  <c r="F1863" i="5"/>
  <c r="E1863" i="5"/>
  <c r="F378" i="5"/>
  <c r="E378" i="5"/>
  <c r="F809" i="5"/>
  <c r="E809" i="5"/>
  <c r="F3183" i="5"/>
  <c r="E3183" i="5"/>
  <c r="F3276" i="5"/>
  <c r="E3276" i="5"/>
  <c r="F2520" i="5"/>
  <c r="E2520" i="5"/>
  <c r="F1196" i="5"/>
  <c r="E1196" i="5"/>
  <c r="F2364" i="5"/>
  <c r="E2364" i="5"/>
  <c r="F305" i="5"/>
  <c r="E305" i="5"/>
  <c r="F3939" i="5"/>
  <c r="E3939" i="5"/>
  <c r="F1790" i="5"/>
  <c r="E1790" i="5"/>
  <c r="F1170" i="5"/>
  <c r="E1170" i="5"/>
  <c r="F3968" i="5"/>
  <c r="E3968" i="5"/>
  <c r="E828" i="5"/>
  <c r="F828" i="5"/>
  <c r="F675" i="5"/>
  <c r="E675" i="5"/>
  <c r="F1502" i="5"/>
  <c r="E1502" i="5"/>
  <c r="F4086" i="5"/>
  <c r="E4086" i="5"/>
  <c r="F3078" i="5"/>
  <c r="E3078" i="5"/>
  <c r="F114" i="5"/>
  <c r="E114" i="5"/>
  <c r="F4490" i="5"/>
  <c r="E4490" i="5"/>
  <c r="F2268" i="5"/>
  <c r="E2268" i="5"/>
  <c r="F1554" i="5"/>
  <c r="E1554" i="5"/>
  <c r="F4335" i="5"/>
  <c r="E4335" i="5"/>
  <c r="F1727" i="5"/>
  <c r="E1727" i="5"/>
  <c r="F1071" i="5"/>
  <c r="E1071" i="5"/>
  <c r="F3617" i="5"/>
  <c r="E3617" i="5"/>
  <c r="F3932" i="5"/>
  <c r="E3932" i="5"/>
  <c r="F1601" i="5"/>
  <c r="E1601" i="5"/>
  <c r="F3123" i="5"/>
  <c r="E3123" i="5"/>
  <c r="F2997" i="5"/>
  <c r="E2997" i="5"/>
  <c r="F3237" i="5"/>
  <c r="E3237" i="5"/>
  <c r="F3725" i="5"/>
  <c r="E3725" i="5"/>
  <c r="F4022" i="5"/>
  <c r="E4022" i="5"/>
  <c r="F4050" i="5"/>
  <c r="E4050" i="5"/>
  <c r="E2168" i="5"/>
  <c r="F2168" i="5"/>
  <c r="F2061" i="5"/>
  <c r="E2061" i="5"/>
  <c r="F251" i="5"/>
  <c r="E251" i="5"/>
  <c r="C2710" i="5"/>
  <c r="E2710" i="5"/>
  <c r="F231" i="5"/>
  <c r="E231" i="5"/>
  <c r="F2790" i="5"/>
  <c r="E2790" i="5"/>
  <c r="F1917" i="5"/>
  <c r="E1917" i="5"/>
  <c r="F366" i="5"/>
  <c r="E366" i="5"/>
  <c r="F224" i="5"/>
  <c r="E224" i="5"/>
  <c r="F1278" i="5"/>
  <c r="E1278" i="5"/>
  <c r="F2961" i="5"/>
  <c r="E2961" i="5"/>
  <c r="E468" i="5"/>
  <c r="F468" i="5"/>
  <c r="F3375" i="5"/>
  <c r="E3375" i="5"/>
  <c r="F3491" i="5"/>
  <c r="E3491" i="5"/>
  <c r="F2735" i="5"/>
  <c r="E2735" i="5"/>
  <c r="F1518" i="5"/>
  <c r="E1518" i="5"/>
  <c r="F2178" i="5"/>
  <c r="E2178" i="5"/>
  <c r="F332" i="5"/>
  <c r="E332" i="5"/>
  <c r="F1953" i="5"/>
  <c r="E1953" i="5"/>
  <c r="F3555" i="5"/>
  <c r="E3555" i="5"/>
  <c r="F692" i="5"/>
  <c r="E692" i="5"/>
  <c r="F1347" i="5"/>
  <c r="E1347" i="5"/>
  <c r="F3030" i="5"/>
  <c r="E3030" i="5"/>
  <c r="F873" i="5"/>
  <c r="E873" i="5"/>
  <c r="F2312" i="5"/>
  <c r="E2312" i="5"/>
  <c r="F4329" i="5"/>
  <c r="E4329" i="5"/>
  <c r="F1782" i="5"/>
  <c r="E1782" i="5"/>
  <c r="F4454" i="5"/>
  <c r="E4454" i="5"/>
  <c r="F4239" i="5"/>
  <c r="E4239" i="5"/>
  <c r="F4157" i="5"/>
  <c r="E4157" i="5"/>
  <c r="F170" i="5"/>
  <c r="E170" i="5"/>
  <c r="F1383" i="5"/>
  <c r="E1383" i="5"/>
  <c r="F1853" i="5"/>
  <c r="E1853" i="5"/>
  <c r="F663" i="5"/>
  <c r="E663" i="5"/>
  <c r="F665" i="5"/>
  <c r="E665" i="5"/>
  <c r="F989" i="5"/>
  <c r="E989" i="5"/>
  <c r="F4077" i="5"/>
  <c r="E4077" i="5"/>
  <c r="F2573" i="5"/>
  <c r="E2573" i="5"/>
  <c r="F2114" i="5"/>
  <c r="E2114" i="5"/>
  <c r="F404" i="5"/>
  <c r="E404" i="5"/>
  <c r="F3750" i="5"/>
  <c r="E3750" i="5"/>
  <c r="F315" i="5"/>
  <c r="E315" i="5"/>
  <c r="F2697" i="5"/>
  <c r="E2697" i="5"/>
  <c r="E134" i="5"/>
  <c r="F134" i="5"/>
  <c r="F1016" i="5"/>
  <c r="E1016" i="5"/>
  <c r="F1122" i="5"/>
  <c r="E1122" i="5"/>
  <c r="F4092" i="5"/>
  <c r="E4092" i="5"/>
  <c r="F510" i="5"/>
  <c r="E510" i="5"/>
  <c r="F35" i="5"/>
  <c r="E35" i="5"/>
  <c r="F2592" i="5"/>
  <c r="E2592" i="5"/>
  <c r="F3878" i="5"/>
  <c r="E3878" i="5"/>
  <c r="F2609" i="5"/>
  <c r="E2609" i="5"/>
  <c r="F3519" i="5"/>
  <c r="E3519" i="5"/>
  <c r="F4247" i="5"/>
  <c r="E4247" i="5"/>
  <c r="F765" i="5"/>
  <c r="E765" i="5"/>
  <c r="F197" i="5"/>
  <c r="E197" i="5"/>
  <c r="F1637" i="5"/>
  <c r="E1637" i="5"/>
  <c r="F54" i="5"/>
  <c r="E54" i="5"/>
  <c r="F3096" i="5"/>
  <c r="E3096" i="5"/>
  <c r="F3246" i="5"/>
  <c r="E3246" i="5"/>
  <c r="F3995" i="5"/>
  <c r="E3995" i="5"/>
  <c r="F1250" i="5"/>
  <c r="E1250" i="5"/>
  <c r="F1242" i="5"/>
  <c r="E1242" i="5"/>
  <c r="F153" i="5"/>
  <c r="E153" i="5"/>
  <c r="F654" i="5"/>
  <c r="E654" i="5"/>
  <c r="F2267" i="5"/>
  <c r="E2267" i="5"/>
  <c r="F105" i="5"/>
  <c r="E105" i="5"/>
  <c r="F249" i="5"/>
  <c r="E249" i="5"/>
  <c r="F3302" i="5"/>
  <c r="E3302" i="5"/>
  <c r="F2787" i="5"/>
  <c r="E2787" i="5"/>
  <c r="F1358" i="5"/>
  <c r="E1358" i="5"/>
  <c r="F870" i="5"/>
  <c r="E870" i="5"/>
  <c r="F2412" i="5"/>
  <c r="E2412" i="5"/>
  <c r="F89" i="5"/>
  <c r="E89" i="5"/>
  <c r="F141" i="5"/>
  <c r="E141" i="5"/>
  <c r="F4356" i="5"/>
  <c r="E4356" i="5"/>
  <c r="F2294" i="5"/>
  <c r="E2294" i="5"/>
  <c r="F2643" i="5"/>
  <c r="E2643" i="5"/>
  <c r="F2213" i="5"/>
  <c r="E2213" i="5"/>
  <c r="F3858" i="5"/>
  <c r="E3858" i="5"/>
  <c r="F3336" i="5"/>
  <c r="E3336" i="5"/>
  <c r="F2897" i="5"/>
  <c r="E2897" i="5"/>
  <c r="F1808" i="5"/>
  <c r="E1808" i="5"/>
  <c r="F3120" i="5"/>
  <c r="E3120" i="5"/>
  <c r="F3293" i="5"/>
  <c r="E3293" i="5"/>
  <c r="F575" i="5"/>
  <c r="E575" i="5"/>
  <c r="F2564" i="5"/>
  <c r="E2564" i="5"/>
  <c r="F213" i="5"/>
  <c r="E213" i="5"/>
  <c r="F2753" i="5"/>
  <c r="E2753" i="5"/>
  <c r="E2418" i="5"/>
  <c r="F2418" i="5"/>
  <c r="F1467" i="5"/>
  <c r="E1467" i="5"/>
  <c r="F4328" i="5"/>
  <c r="E4328" i="5"/>
  <c r="F2456" i="5"/>
  <c r="E2456" i="5"/>
  <c r="F492" i="5"/>
  <c r="E492" i="5"/>
  <c r="F3993" i="5"/>
  <c r="E3993" i="5"/>
  <c r="F2283" i="5"/>
  <c r="E2283" i="5"/>
  <c r="F1410" i="5"/>
  <c r="E1410" i="5"/>
  <c r="F2445" i="5"/>
  <c r="E2445" i="5"/>
  <c r="F1592" i="5"/>
  <c r="E1592" i="5"/>
  <c r="F4011" i="5"/>
  <c r="E4011" i="5"/>
  <c r="F2582" i="5"/>
  <c r="E2582" i="5"/>
  <c r="F3564" i="5"/>
  <c r="E3564" i="5"/>
  <c r="F1338" i="5"/>
  <c r="E1338" i="5"/>
  <c r="F879" i="5"/>
  <c r="E879" i="5"/>
  <c r="F2367" i="5"/>
  <c r="E2367" i="5"/>
  <c r="F1134" i="5"/>
  <c r="E1134" i="5"/>
  <c r="F3723" i="5"/>
  <c r="E3723" i="5"/>
  <c r="F4130" i="5"/>
  <c r="E4130" i="5"/>
  <c r="F360" i="5"/>
  <c r="E360" i="5"/>
  <c r="F1356" i="5"/>
  <c r="E1356" i="5"/>
  <c r="F4058" i="5"/>
  <c r="E4058" i="5"/>
  <c r="F429" i="5"/>
  <c r="E429" i="5"/>
  <c r="F3645" i="5"/>
  <c r="E3645" i="5"/>
  <c r="F1124" i="5"/>
  <c r="E1124" i="5"/>
  <c r="F3960" i="5"/>
  <c r="E3960" i="5"/>
  <c r="F1374" i="5"/>
  <c r="E1374" i="5"/>
  <c r="F2337" i="5"/>
  <c r="E2337" i="5"/>
  <c r="F72" i="5"/>
  <c r="E72" i="5"/>
  <c r="F3761" i="5"/>
  <c r="E3761" i="5"/>
  <c r="F4320" i="5"/>
  <c r="E4320" i="5"/>
  <c r="F3176" i="5"/>
  <c r="E3176" i="5"/>
  <c r="S473" i="3"/>
  <c r="C245" i="8"/>
  <c r="F473" i="8"/>
  <c r="F3696" i="5"/>
  <c r="E3696" i="5"/>
  <c r="F2762" i="5"/>
  <c r="E2762" i="5"/>
  <c r="F2526" i="5"/>
  <c r="E2526" i="5"/>
  <c r="F1572" i="5"/>
  <c r="E1572" i="5"/>
  <c r="F2193" i="5"/>
  <c r="E2193" i="5"/>
  <c r="F1602" i="5"/>
  <c r="E1602" i="5"/>
  <c r="F396" i="5"/>
  <c r="E396" i="5"/>
  <c r="F3588" i="5"/>
  <c r="E3588" i="5"/>
  <c r="E1115" i="5"/>
  <c r="F1115" i="5"/>
  <c r="F2301" i="5"/>
  <c r="E2301" i="5"/>
  <c r="F234" i="5"/>
  <c r="E234" i="5"/>
  <c r="F2751" i="5"/>
  <c r="E2751" i="5"/>
  <c r="F1026" i="5"/>
  <c r="E1026" i="5"/>
  <c r="F369" i="5"/>
  <c r="E369" i="5"/>
  <c r="F189" i="5"/>
  <c r="E189" i="5"/>
  <c r="F1563" i="5"/>
  <c r="E1563" i="5"/>
  <c r="F4158" i="5"/>
  <c r="E4158" i="5"/>
  <c r="F171" i="5"/>
  <c r="E171" i="5"/>
  <c r="F1854" i="5"/>
  <c r="E1854" i="5"/>
  <c r="F1664" i="5"/>
  <c r="E1664" i="5"/>
  <c r="F1032" i="5"/>
  <c r="E1032" i="5"/>
  <c r="F3780" i="5"/>
  <c r="E3780" i="5"/>
  <c r="F2454" i="5"/>
  <c r="E2454" i="5"/>
  <c r="F413" i="5"/>
  <c r="E413" i="5"/>
  <c r="E2610" i="5"/>
  <c r="F2610" i="5"/>
  <c r="F495" i="5"/>
  <c r="E495" i="5"/>
  <c r="F1086" i="5"/>
  <c r="E1086" i="5"/>
  <c r="E3464" i="5"/>
  <c r="F3464" i="5"/>
  <c r="F3527" i="5"/>
  <c r="E3527" i="5"/>
  <c r="F4319" i="5"/>
  <c r="E4319" i="5"/>
  <c r="F2553" i="5"/>
  <c r="E2553" i="5"/>
  <c r="S464" i="3"/>
  <c r="E311" i="8"/>
  <c r="B245" i="8"/>
  <c r="E485" i="8"/>
  <c r="K427" i="8"/>
  <c r="D51" i="8"/>
  <c r="C206" i="8"/>
  <c r="G473" i="8"/>
  <c r="B304" i="8"/>
  <c r="F464" i="8"/>
  <c r="C436" i="8"/>
  <c r="A353" i="8"/>
  <c r="L417" i="8"/>
  <c r="L463" i="8"/>
  <c r="E100" i="8"/>
  <c r="F2616" i="5"/>
  <c r="E2616" i="5"/>
  <c r="F4275" i="5"/>
  <c r="E4275" i="5"/>
  <c r="F2430" i="5"/>
  <c r="E2430" i="5"/>
  <c r="F2285" i="5"/>
  <c r="E2285" i="5"/>
  <c r="F1484" i="5"/>
  <c r="E1484" i="5"/>
  <c r="F2157" i="5"/>
  <c r="E2157" i="5"/>
  <c r="F3867" i="5"/>
  <c r="E3867" i="5"/>
  <c r="F2492" i="5"/>
  <c r="E2492" i="5"/>
  <c r="F204" i="5"/>
  <c r="E204" i="5"/>
  <c r="F1305" i="5"/>
  <c r="E1305" i="5"/>
  <c r="F1620" i="5"/>
  <c r="E1620" i="5"/>
  <c r="F3806" i="5"/>
  <c r="E3806" i="5"/>
  <c r="F3624" i="5"/>
  <c r="E3624" i="5"/>
  <c r="F1905" i="5"/>
  <c r="E1905" i="5"/>
  <c r="F1475" i="5"/>
  <c r="E1475" i="5"/>
  <c r="F1707" i="5"/>
  <c r="E1707" i="5"/>
  <c r="F2042" i="5"/>
  <c r="E2042" i="5"/>
  <c r="F4409" i="5"/>
  <c r="E4409" i="5"/>
  <c r="F2139" i="5"/>
  <c r="E2139" i="5"/>
  <c r="F150" i="5"/>
  <c r="E150" i="5"/>
  <c r="F260" i="5"/>
  <c r="E260" i="5"/>
  <c r="F2895" i="5"/>
  <c r="E2895" i="5"/>
  <c r="A2918" i="5"/>
  <c r="F2918" i="5"/>
  <c r="F375" i="5"/>
  <c r="E375" i="5"/>
  <c r="F3384" i="5"/>
  <c r="E3384" i="5"/>
  <c r="F3255" i="5"/>
  <c r="E3255" i="5"/>
  <c r="F3185" i="5"/>
  <c r="E3185" i="5"/>
  <c r="F2519" i="5"/>
  <c r="E2519" i="5"/>
  <c r="F4113" i="5"/>
  <c r="E4113" i="5"/>
  <c r="F1788" i="5"/>
  <c r="E1788" i="5"/>
  <c r="F1167" i="5"/>
  <c r="E1167" i="5"/>
  <c r="F827" i="5"/>
  <c r="E827" i="5"/>
  <c r="F3348" i="5"/>
  <c r="E3348" i="5"/>
  <c r="F1971" i="5"/>
  <c r="E1971" i="5"/>
  <c r="F782" i="5"/>
  <c r="E782" i="5"/>
  <c r="F3111" i="5"/>
  <c r="E3111" i="5"/>
  <c r="F4083" i="5"/>
  <c r="E4083" i="5"/>
  <c r="F2862" i="5"/>
  <c r="E2862" i="5"/>
  <c r="F936" i="5"/>
  <c r="E936" i="5"/>
  <c r="F891" i="5"/>
  <c r="E891" i="5"/>
  <c r="F1691" i="5"/>
  <c r="E1691" i="5"/>
  <c r="F1070" i="5"/>
  <c r="E1070" i="5"/>
  <c r="F4202" i="5"/>
  <c r="E4202" i="5"/>
  <c r="F2996" i="5"/>
  <c r="E2996" i="5"/>
  <c r="F395" i="5"/>
  <c r="E395" i="5"/>
  <c r="F1583" i="5"/>
  <c r="E1583" i="5"/>
  <c r="F4020" i="5"/>
  <c r="E4020" i="5"/>
  <c r="F2628" i="5"/>
  <c r="E2628" i="5"/>
  <c r="F324" i="5"/>
  <c r="E324" i="5"/>
  <c r="F24" i="5"/>
  <c r="E24" i="5"/>
  <c r="E711" i="5"/>
  <c r="F711" i="5"/>
  <c r="F2049" i="5"/>
  <c r="E2049" i="5"/>
  <c r="F1916" i="5"/>
  <c r="E1916" i="5"/>
  <c r="F1023" i="5"/>
  <c r="E1023" i="5"/>
  <c r="C4151" i="5"/>
  <c r="F4151" i="5"/>
  <c r="F3392" i="5"/>
  <c r="E3392" i="5"/>
  <c r="F2466" i="5"/>
  <c r="E2466" i="5"/>
  <c r="F2133" i="5"/>
  <c r="E2133" i="5"/>
  <c r="F2960" i="5"/>
  <c r="E2960" i="5"/>
  <c r="E1827" i="5"/>
  <c r="F1827" i="5"/>
  <c r="F4056" i="5"/>
  <c r="E4056" i="5"/>
  <c r="F18" i="5"/>
  <c r="E18" i="5"/>
  <c r="F1098" i="5"/>
  <c r="E1098" i="5"/>
  <c r="F467" i="5"/>
  <c r="E467" i="5"/>
  <c r="F897" i="5"/>
  <c r="E897" i="5"/>
  <c r="F2547" i="5"/>
  <c r="E2547" i="5"/>
  <c r="F4346" i="5"/>
  <c r="E4346" i="5"/>
  <c r="F2925" i="5"/>
  <c r="E2925" i="5"/>
  <c r="F1610" i="5"/>
  <c r="E1610" i="5"/>
  <c r="F2472" i="5"/>
  <c r="E2472" i="5"/>
  <c r="F423" i="5"/>
  <c r="E423" i="5"/>
  <c r="F330" i="5"/>
  <c r="E330" i="5"/>
  <c r="F1952" i="5"/>
  <c r="E1952" i="5"/>
  <c r="F2094" i="5"/>
  <c r="E2094" i="5"/>
  <c r="F3888" i="5"/>
  <c r="E3888" i="5"/>
  <c r="F4139" i="5"/>
  <c r="E4139" i="5"/>
  <c r="F2502" i="5"/>
  <c r="E2502" i="5"/>
  <c r="F1466" i="5"/>
  <c r="E1466" i="5"/>
  <c r="F681" i="5"/>
  <c r="E681" i="5"/>
  <c r="F909" i="5"/>
  <c r="E909" i="5"/>
  <c r="F3150" i="5"/>
  <c r="E3150" i="5"/>
  <c r="F3402" i="5"/>
  <c r="E3402" i="5"/>
  <c r="F872" i="5"/>
  <c r="E872" i="5"/>
  <c r="F3815" i="5"/>
  <c r="E3815" i="5"/>
  <c r="F2409" i="5"/>
  <c r="E2409" i="5"/>
  <c r="F1781" i="5"/>
  <c r="E1781" i="5"/>
  <c r="F2598" i="5"/>
  <c r="E2598" i="5"/>
  <c r="F4238" i="5"/>
  <c r="E4238" i="5"/>
  <c r="F1530" i="5"/>
  <c r="E1530" i="5"/>
  <c r="F4479" i="5"/>
  <c r="E4479" i="5"/>
  <c r="F3039" i="5"/>
  <c r="E3039" i="5"/>
  <c r="F2934" i="5"/>
  <c r="E2934" i="5"/>
  <c r="F4076" i="5"/>
  <c r="E4076" i="5"/>
  <c r="F78" i="5"/>
  <c r="E78" i="5"/>
  <c r="F144" i="5"/>
  <c r="E144" i="5"/>
  <c r="F558" i="5"/>
  <c r="E558" i="5"/>
  <c r="F2574" i="5"/>
  <c r="E2574" i="5"/>
  <c r="F3285" i="5"/>
  <c r="E3285" i="5"/>
  <c r="F2112" i="5"/>
  <c r="E2112" i="5"/>
  <c r="F2457" i="5"/>
  <c r="E2457" i="5"/>
  <c r="F402" i="5"/>
  <c r="E402" i="5"/>
  <c r="F2646" i="5"/>
  <c r="E2646" i="5"/>
  <c r="F3003" i="5"/>
  <c r="E3003" i="5"/>
  <c r="F1187" i="5"/>
  <c r="E1187" i="5"/>
  <c r="F2691" i="5"/>
  <c r="E2691" i="5"/>
  <c r="F3957" i="5"/>
  <c r="E3957" i="5"/>
  <c r="F486" i="5"/>
  <c r="E486" i="5"/>
  <c r="F1376" i="5"/>
  <c r="E1376" i="5"/>
  <c r="F2715" i="5"/>
  <c r="E2715" i="5"/>
  <c r="F2340" i="5"/>
  <c r="E2340" i="5"/>
  <c r="F2967" i="5"/>
  <c r="E2967" i="5"/>
  <c r="F1179" i="5"/>
  <c r="E1179" i="5"/>
  <c r="F294" i="5"/>
  <c r="E294" i="5"/>
  <c r="F1629" i="5"/>
  <c r="E1629" i="5"/>
  <c r="F3525" i="5"/>
  <c r="E3525" i="5"/>
  <c r="F2187" i="5"/>
  <c r="E2187" i="5"/>
  <c r="F549" i="5"/>
  <c r="E549" i="5"/>
  <c r="F53" i="5"/>
  <c r="E53" i="5"/>
  <c r="F3249" i="5"/>
  <c r="E3249" i="5"/>
  <c r="F3501" i="5"/>
  <c r="E3501" i="5"/>
  <c r="F4437" i="5"/>
  <c r="E4437" i="5"/>
  <c r="F1302" i="5"/>
  <c r="E1302" i="5"/>
  <c r="F1341" i="5"/>
  <c r="E1341" i="5"/>
  <c r="F4166" i="5"/>
  <c r="E4166" i="5"/>
  <c r="F1556" i="5"/>
  <c r="E1556" i="5"/>
  <c r="F3948" i="5"/>
  <c r="E3948" i="5"/>
  <c r="F4128" i="5"/>
  <c r="E4128" i="5"/>
  <c r="F2832" i="5"/>
  <c r="E2832" i="5"/>
  <c r="F458" i="5"/>
  <c r="E458" i="5"/>
  <c r="F4310" i="5"/>
  <c r="E4310" i="5"/>
  <c r="F1998" i="5"/>
  <c r="E1998" i="5"/>
  <c r="F2690" i="5"/>
  <c r="E2690" i="5"/>
  <c r="F1125" i="5"/>
  <c r="E1125" i="5"/>
  <c r="F2589" i="5"/>
  <c r="E2589" i="5"/>
  <c r="F4380" i="5"/>
  <c r="E4380" i="5"/>
  <c r="F1673" i="5"/>
  <c r="E1673" i="5"/>
  <c r="F1869" i="5"/>
  <c r="E1869" i="5"/>
  <c r="F279" i="5"/>
  <c r="E279" i="5"/>
  <c r="F585" i="5"/>
  <c r="E585" i="5"/>
  <c r="F4347" i="5"/>
  <c r="E4347" i="5"/>
  <c r="F3987" i="5"/>
  <c r="E3987" i="5"/>
  <c r="F2664" i="5"/>
  <c r="E2664" i="5"/>
  <c r="F4452" i="5"/>
  <c r="E4452" i="5"/>
  <c r="E62" i="5"/>
  <c r="F62" i="5"/>
  <c r="F414" i="5"/>
  <c r="E414" i="5"/>
  <c r="F3066" i="5"/>
  <c r="E3066" i="5"/>
  <c r="F2186" i="5"/>
  <c r="E2186" i="5"/>
  <c r="F3177" i="5"/>
  <c r="E3177" i="5"/>
  <c r="J423" i="8"/>
  <c r="A100" i="8"/>
  <c r="F1718" i="5"/>
  <c r="E1718" i="5"/>
  <c r="F2742" i="5"/>
  <c r="E2742" i="5"/>
  <c r="F528" i="5"/>
  <c r="E528" i="5"/>
  <c r="F1574" i="5"/>
  <c r="E1574" i="5"/>
  <c r="F933" i="5"/>
  <c r="E933" i="5"/>
  <c r="F2382" i="5"/>
  <c r="E2382" i="5"/>
  <c r="F1745" i="5"/>
  <c r="E1745" i="5"/>
  <c r="F800" i="5"/>
  <c r="E800" i="5"/>
  <c r="F4365" i="5"/>
  <c r="E4365" i="5"/>
  <c r="F2067" i="5"/>
  <c r="E2067" i="5"/>
  <c r="F1034" i="5"/>
  <c r="E1034" i="5"/>
  <c r="F2211" i="5"/>
  <c r="E2211" i="5"/>
  <c r="F3465" i="5"/>
  <c r="E3465" i="5"/>
  <c r="D100" i="8"/>
  <c r="F206" i="5"/>
  <c r="E206" i="5"/>
  <c r="F2769" i="5"/>
  <c r="E2769" i="5"/>
  <c r="F4029" i="5"/>
  <c r="E4029" i="5"/>
  <c r="F1907" i="5"/>
  <c r="E1907" i="5"/>
  <c r="F810" i="5"/>
  <c r="E810" i="5"/>
  <c r="F9" i="5"/>
  <c r="E9" i="5"/>
  <c r="F2436" i="5"/>
  <c r="E2436" i="5"/>
  <c r="F177" i="5"/>
  <c r="E177" i="5"/>
  <c r="F3354" i="5"/>
  <c r="E3354" i="5"/>
  <c r="F3933" i="5"/>
  <c r="E3933" i="5"/>
  <c r="F2277" i="5"/>
  <c r="E2277" i="5"/>
  <c r="F2088" i="5"/>
  <c r="E2088" i="5"/>
  <c r="F1701" i="5"/>
  <c r="E1701" i="5"/>
  <c r="F600" i="5"/>
  <c r="E600" i="5"/>
  <c r="F4059" i="5"/>
  <c r="E4059" i="5"/>
  <c r="F1419" i="5"/>
  <c r="E1419" i="5"/>
  <c r="F3885" i="5"/>
  <c r="E3885" i="5"/>
  <c r="S145" i="3"/>
  <c r="D245" i="8"/>
  <c r="K411" i="8"/>
  <c r="L199" i="8"/>
  <c r="I473" i="8"/>
  <c r="E304" i="8"/>
  <c r="K464" i="8"/>
  <c r="A436" i="8"/>
  <c r="D353" i="8"/>
  <c r="L57" i="8"/>
  <c r="H100" i="8"/>
  <c r="F4461" i="5"/>
  <c r="E4461" i="5"/>
  <c r="F2024" i="5"/>
  <c r="E2024" i="5"/>
  <c r="F3698" i="5"/>
  <c r="E3698" i="5"/>
  <c r="F4185" i="5"/>
  <c r="E4185" i="5"/>
  <c r="F1314" i="5"/>
  <c r="E1314" i="5"/>
  <c r="F4005" i="5"/>
  <c r="E4005" i="5"/>
  <c r="F4266" i="5"/>
  <c r="E4266" i="5"/>
  <c r="F4256" i="5"/>
  <c r="E4256" i="5"/>
  <c r="F4290" i="5"/>
  <c r="E4290" i="5"/>
  <c r="F1862" i="5"/>
  <c r="E1862" i="5"/>
  <c r="F3168" i="5"/>
  <c r="E3168" i="5"/>
  <c r="F2853" i="5"/>
  <c r="E2853" i="5"/>
  <c r="F3381" i="5"/>
  <c r="E3381" i="5"/>
  <c r="F3275" i="5"/>
  <c r="E3275" i="5"/>
  <c r="F1232" i="5"/>
  <c r="E1232" i="5"/>
  <c r="F1194" i="5"/>
  <c r="E1194" i="5"/>
  <c r="F3546" i="5"/>
  <c r="E3546" i="5"/>
  <c r="F503" i="5"/>
  <c r="E503" i="5"/>
  <c r="F629" i="5"/>
  <c r="E629" i="5"/>
  <c r="F1809" i="5"/>
  <c r="E1809" i="5"/>
  <c r="F4112" i="5"/>
  <c r="E4112" i="5"/>
  <c r="F3969" i="5"/>
  <c r="E3969" i="5"/>
  <c r="F3347" i="5"/>
  <c r="E3347" i="5"/>
  <c r="F1500" i="5"/>
  <c r="E1500" i="5"/>
  <c r="F4085" i="5"/>
  <c r="E4085" i="5"/>
  <c r="F3131" i="5"/>
  <c r="E3131" i="5"/>
  <c r="F2727" i="5"/>
  <c r="E2727" i="5"/>
  <c r="F3077" i="5"/>
  <c r="E3077" i="5"/>
  <c r="F2943" i="5"/>
  <c r="E2943" i="5"/>
  <c r="F2859" i="5"/>
  <c r="E2859" i="5"/>
  <c r="F1079" i="5"/>
  <c r="E1079" i="5"/>
  <c r="F3057" i="5"/>
  <c r="E3057" i="5"/>
  <c r="F2265" i="5"/>
  <c r="E2265" i="5"/>
  <c r="F611" i="5"/>
  <c r="E611" i="5"/>
  <c r="F890" i="5"/>
  <c r="E890" i="5"/>
  <c r="F926" i="5"/>
  <c r="E926" i="5"/>
  <c r="F3930" i="5"/>
  <c r="E3930" i="5"/>
  <c r="F1599" i="5"/>
  <c r="E1599" i="5"/>
  <c r="F1043" i="5"/>
  <c r="E1043" i="5"/>
  <c r="F2087" i="5"/>
  <c r="E2087" i="5"/>
  <c r="F2627" i="5"/>
  <c r="E2627" i="5"/>
  <c r="F3950" i="5"/>
  <c r="E3950" i="5"/>
  <c r="F1322" i="5"/>
  <c r="E1322" i="5"/>
  <c r="F323" i="5"/>
  <c r="E323" i="5"/>
  <c r="F648" i="5"/>
  <c r="E648" i="5"/>
  <c r="F2060" i="5"/>
  <c r="E2060" i="5"/>
  <c r="F2706" i="5"/>
  <c r="E2706" i="5"/>
  <c r="F449" i="5"/>
  <c r="E449" i="5"/>
  <c r="F602" i="5"/>
  <c r="E602" i="5"/>
  <c r="F3483" i="5"/>
  <c r="E3483" i="5"/>
  <c r="F1914" i="5"/>
  <c r="E1914" i="5"/>
  <c r="F3906" i="5"/>
  <c r="E3906" i="5"/>
  <c r="F3822" i="5"/>
  <c r="E3822" i="5"/>
  <c r="F1359" i="5"/>
  <c r="E1359" i="5"/>
  <c r="F4149" i="5"/>
  <c r="E4149" i="5"/>
  <c r="F222" i="5"/>
  <c r="E222" i="5"/>
  <c r="F1277" i="5"/>
  <c r="E1277" i="5"/>
  <c r="F2007" i="5"/>
  <c r="E2007" i="5"/>
  <c r="F2132" i="5"/>
  <c r="E2132" i="5"/>
  <c r="F1890" i="5"/>
  <c r="E1890" i="5"/>
  <c r="F747" i="5"/>
  <c r="E747" i="5"/>
  <c r="F2780" i="5"/>
  <c r="E2780" i="5"/>
  <c r="F4101" i="5"/>
  <c r="E4101" i="5"/>
  <c r="F582" i="5"/>
  <c r="E582" i="5"/>
  <c r="F3471" i="5"/>
  <c r="E3471" i="5"/>
  <c r="F2546" i="5"/>
  <c r="E2546" i="5"/>
  <c r="F2394" i="5"/>
  <c r="E2394" i="5"/>
  <c r="F2922" i="5"/>
  <c r="E2922" i="5"/>
  <c r="F3984" i="5"/>
  <c r="E3984" i="5"/>
  <c r="F4302" i="5"/>
  <c r="E4302" i="5"/>
  <c r="F2814" i="5"/>
  <c r="E2814" i="5"/>
  <c r="F422" i="5"/>
  <c r="E422" i="5"/>
  <c r="F2682" i="5"/>
  <c r="E2682" i="5"/>
  <c r="F2357" i="5"/>
  <c r="E2357" i="5"/>
  <c r="F690" i="5"/>
  <c r="E690" i="5"/>
  <c r="F3411" i="5"/>
  <c r="E3411" i="5"/>
  <c r="F3887" i="5"/>
  <c r="E3887" i="5"/>
  <c r="F4137" i="5"/>
  <c r="E4137" i="5"/>
  <c r="F972" i="5"/>
  <c r="E972" i="5"/>
  <c r="F2124" i="5"/>
  <c r="E2124" i="5"/>
  <c r="F908" i="5"/>
  <c r="E908" i="5"/>
  <c r="F3149" i="5"/>
  <c r="E3149" i="5"/>
  <c r="F3401" i="5"/>
  <c r="E3401" i="5"/>
  <c r="F3816" i="5"/>
  <c r="E3816" i="5"/>
  <c r="F1818" i="5"/>
  <c r="E1818" i="5"/>
  <c r="F990" i="5"/>
  <c r="E990" i="5"/>
  <c r="E2933" i="5"/>
  <c r="F2933" i="5"/>
  <c r="F2322" i="5"/>
  <c r="E2322" i="5"/>
  <c r="F90" i="5"/>
  <c r="E90" i="5"/>
  <c r="F3282" i="5"/>
  <c r="E3282" i="5"/>
  <c r="F3644" i="5"/>
  <c r="E3644" i="5"/>
  <c r="F1035" i="5"/>
  <c r="E1035" i="5"/>
  <c r="F3777" i="5"/>
  <c r="E3777" i="5"/>
  <c r="F3006" i="5"/>
  <c r="E3006" i="5"/>
  <c r="F3608" i="5"/>
  <c r="E3608" i="5"/>
  <c r="F4095" i="5"/>
  <c r="E4095" i="5"/>
  <c r="F483" i="5"/>
  <c r="E483" i="5"/>
  <c r="F3330" i="5"/>
  <c r="E3330" i="5"/>
  <c r="F3735" i="5"/>
  <c r="E3735" i="5"/>
  <c r="F3690" i="5"/>
  <c r="E3690" i="5"/>
  <c r="F2339" i="5"/>
  <c r="E2339" i="5"/>
  <c r="F818" i="5"/>
  <c r="E818" i="5"/>
  <c r="F1628" i="5"/>
  <c r="E1628" i="5"/>
  <c r="F3104" i="5"/>
  <c r="E3104" i="5"/>
  <c r="F3093" i="5"/>
  <c r="E3093" i="5"/>
  <c r="F3248" i="5"/>
  <c r="E3248" i="5"/>
  <c r="F2555" i="5"/>
  <c r="E2555" i="5"/>
  <c r="F3204" i="5"/>
  <c r="E3204" i="5"/>
  <c r="F477" i="5"/>
  <c r="E477" i="5"/>
  <c r="F4221" i="5"/>
  <c r="E4221" i="5"/>
  <c r="F3087" i="5"/>
  <c r="E3087" i="5"/>
  <c r="F1674" i="5"/>
  <c r="E1674" i="5"/>
  <c r="F3678" i="5"/>
  <c r="E3678" i="5"/>
  <c r="F4407" i="5"/>
  <c r="E4407" i="5"/>
  <c r="F3561" i="5"/>
  <c r="E3561" i="5"/>
  <c r="F3536" i="5"/>
  <c r="E3536" i="5"/>
  <c r="F522" i="5"/>
  <c r="E522" i="5"/>
  <c r="F4398" i="5"/>
  <c r="E4398" i="5"/>
  <c r="F1799" i="5"/>
  <c r="E1799" i="5"/>
  <c r="F746" i="5"/>
  <c r="E746" i="5"/>
  <c r="F944" i="5"/>
  <c r="E944" i="5"/>
  <c r="F2319" i="5"/>
  <c r="E2319" i="5"/>
  <c r="F288" i="5"/>
  <c r="E288" i="5"/>
  <c r="F4220" i="5"/>
  <c r="E4220" i="5"/>
  <c r="F2223" i="5"/>
  <c r="E2223" i="5"/>
  <c r="F960" i="5"/>
  <c r="E960" i="5"/>
  <c r="F2708" i="5"/>
  <c r="E2708" i="5"/>
  <c r="F1329" i="5"/>
  <c r="E1329" i="5"/>
  <c r="F1368" i="5"/>
  <c r="E1368" i="5"/>
  <c r="F3825" i="5"/>
  <c r="E3825" i="5"/>
  <c r="F717" i="5"/>
  <c r="E717" i="5"/>
  <c r="F1520" i="5"/>
  <c r="E1520" i="5"/>
  <c r="F2411" i="5"/>
  <c r="E2411" i="5"/>
  <c r="F726" i="5"/>
  <c r="E726" i="5"/>
  <c r="F918" i="5"/>
  <c r="E918" i="5"/>
  <c r="F261" i="5"/>
  <c r="E261" i="5"/>
  <c r="F1860" i="5"/>
  <c r="E1860" i="5"/>
  <c r="F2889" i="5"/>
  <c r="E2889" i="5"/>
  <c r="F3543" i="5"/>
  <c r="E3543" i="5"/>
  <c r="F521" i="5"/>
  <c r="E521" i="5"/>
  <c r="F1116" i="5"/>
  <c r="E1116" i="5"/>
  <c r="F584" i="5"/>
  <c r="E584" i="5"/>
  <c r="F4344" i="5"/>
  <c r="E4344" i="5"/>
  <c r="F3921" i="5"/>
  <c r="E3921" i="5"/>
  <c r="F3752" i="5"/>
  <c r="E3752" i="5"/>
  <c r="E3833" i="5"/>
  <c r="F3833" i="5"/>
  <c r="F1476" i="5"/>
  <c r="E1476" i="5"/>
  <c r="F978" i="5"/>
  <c r="E978" i="5"/>
  <c r="F3741" i="5"/>
  <c r="E3741" i="5"/>
  <c r="F1545" i="5"/>
  <c r="E1545" i="5"/>
  <c r="S365" i="3"/>
  <c r="B451" i="8"/>
  <c r="F245" i="8"/>
  <c r="C347" i="8"/>
  <c r="J473" i="8"/>
  <c r="D304" i="8"/>
  <c r="E467" i="8"/>
  <c r="J464" i="8"/>
  <c r="E436" i="8"/>
  <c r="B353" i="8"/>
  <c r="H135" i="8"/>
  <c r="F100" i="8"/>
  <c r="F4272" i="5"/>
  <c r="E4272" i="5"/>
  <c r="F2429" i="5"/>
  <c r="E2429" i="5"/>
  <c r="E3716" i="5"/>
  <c r="F3716" i="5"/>
  <c r="F2259" i="5"/>
  <c r="E2259" i="5"/>
  <c r="F2222" i="5"/>
  <c r="E2222" i="5"/>
  <c r="F1482" i="5"/>
  <c r="E1482" i="5"/>
  <c r="F2160" i="5"/>
  <c r="E2160" i="5"/>
  <c r="F1412" i="5"/>
  <c r="E1412" i="5"/>
  <c r="F3662" i="5"/>
  <c r="E3662" i="5"/>
  <c r="F3870" i="5"/>
  <c r="E3870" i="5"/>
  <c r="F1062" i="5"/>
  <c r="E1062" i="5"/>
  <c r="F2490" i="5"/>
  <c r="E2490" i="5"/>
  <c r="F2250" i="5"/>
  <c r="E2250" i="5"/>
  <c r="F1590" i="5"/>
  <c r="E1590" i="5"/>
  <c r="F2772" i="5"/>
  <c r="E2772" i="5"/>
  <c r="F1401" i="5"/>
  <c r="E1401" i="5"/>
  <c r="F1311" i="5"/>
  <c r="E1311" i="5"/>
  <c r="F3626" i="5"/>
  <c r="E3626" i="5"/>
  <c r="F3264" i="5"/>
  <c r="E3264" i="5"/>
  <c r="F621" i="5"/>
  <c r="E621" i="5"/>
  <c r="F4257" i="5"/>
  <c r="E4257" i="5"/>
  <c r="F3167" i="5"/>
  <c r="E3167" i="5"/>
  <c r="F3510" i="5"/>
  <c r="E3510" i="5"/>
  <c r="F2517" i="5"/>
  <c r="E2517" i="5"/>
  <c r="F1230" i="5"/>
  <c r="E1230" i="5"/>
  <c r="F3213" i="5"/>
  <c r="E3213" i="5"/>
  <c r="F4500" i="5"/>
  <c r="E4500" i="5"/>
  <c r="F3545" i="5"/>
  <c r="E3545" i="5"/>
  <c r="F630" i="5"/>
  <c r="E630" i="5"/>
  <c r="F4176" i="5"/>
  <c r="E4176" i="5"/>
  <c r="F963" i="5"/>
  <c r="E963" i="5"/>
  <c r="F2439" i="5"/>
  <c r="E2439" i="5"/>
  <c r="F3129" i="5"/>
  <c r="E3129" i="5"/>
  <c r="C3899" i="5"/>
  <c r="F3899" i="5"/>
  <c r="F2726" i="5"/>
  <c r="E2726" i="5"/>
  <c r="F2942" i="5"/>
  <c r="E2942" i="5"/>
  <c r="F2823" i="5"/>
  <c r="E2823" i="5"/>
  <c r="C4340" i="5"/>
  <c r="F4340" i="5"/>
  <c r="F1068" i="5"/>
  <c r="E1068" i="5"/>
  <c r="F924" i="5"/>
  <c r="E924" i="5"/>
  <c r="F4203" i="5"/>
  <c r="E4203" i="5"/>
  <c r="E1041" i="5"/>
  <c r="F1041" i="5"/>
  <c r="F45" i="5"/>
  <c r="E45" i="5"/>
  <c r="F2276" i="5"/>
  <c r="E2276" i="5"/>
  <c r="F789" i="5"/>
  <c r="E789" i="5"/>
  <c r="F108" i="5"/>
  <c r="E108" i="5"/>
  <c r="F1581" i="5"/>
  <c r="E1581" i="5"/>
  <c r="F1440" i="5"/>
  <c r="E1440" i="5"/>
  <c r="F3591" i="5"/>
  <c r="E3591" i="5"/>
  <c r="F1113" i="5"/>
  <c r="E1113" i="5"/>
  <c r="F2535" i="5"/>
  <c r="E2535" i="5"/>
  <c r="F2385" i="5"/>
  <c r="E2385" i="5"/>
  <c r="F756" i="5"/>
  <c r="E756" i="5"/>
  <c r="F1700" i="5"/>
  <c r="E1700" i="5"/>
  <c r="F1988" i="5"/>
  <c r="E1988" i="5"/>
  <c r="F3050" i="5"/>
  <c r="E3050" i="5"/>
  <c r="F3482" i="5"/>
  <c r="E3482" i="5"/>
  <c r="F4038" i="5"/>
  <c r="E4038" i="5"/>
  <c r="G1946" i="5"/>
  <c r="F1946" i="5"/>
  <c r="F3582" i="5"/>
  <c r="E3582" i="5"/>
  <c r="F3795" i="5"/>
  <c r="E3795" i="5"/>
  <c r="F1206" i="5"/>
  <c r="E1206" i="5"/>
  <c r="F4148" i="5"/>
  <c r="E4148" i="5"/>
  <c r="F3393" i="5"/>
  <c r="E3393" i="5"/>
  <c r="F2004" i="5"/>
  <c r="E2004" i="5"/>
  <c r="F278" i="5"/>
  <c r="E278" i="5"/>
  <c r="F2130" i="5"/>
  <c r="E2130" i="5"/>
  <c r="F1826" i="5"/>
  <c r="E1826" i="5"/>
  <c r="F3318" i="5"/>
  <c r="E3318" i="5"/>
  <c r="F4194" i="5"/>
  <c r="E4194" i="5"/>
  <c r="F1422" i="5"/>
  <c r="E1422" i="5"/>
  <c r="F15" i="5"/>
  <c r="E15" i="5"/>
  <c r="F432" i="5"/>
  <c r="E432" i="5"/>
  <c r="F465" i="5"/>
  <c r="E465" i="5"/>
  <c r="F900" i="5"/>
  <c r="E900" i="5"/>
  <c r="F3195" i="5"/>
  <c r="E3195" i="5"/>
  <c r="F2544" i="5"/>
  <c r="E2544" i="5"/>
  <c r="F3915" i="5"/>
  <c r="E3915" i="5"/>
  <c r="F2393" i="5"/>
  <c r="E2393" i="5"/>
  <c r="F2031" i="5"/>
  <c r="E2031" i="5"/>
  <c r="F2376" i="5"/>
  <c r="E2376" i="5"/>
  <c r="F4301" i="5"/>
  <c r="E4301" i="5"/>
  <c r="F1608" i="5"/>
  <c r="E1608" i="5"/>
  <c r="F2673" i="5"/>
  <c r="E2673" i="5"/>
  <c r="F2175" i="5"/>
  <c r="E2175" i="5"/>
  <c r="F1737" i="5"/>
  <c r="E1737" i="5"/>
  <c r="F2355" i="5"/>
  <c r="E2355" i="5"/>
  <c r="F3410" i="5"/>
  <c r="E3410" i="5"/>
  <c r="F2123" i="5"/>
  <c r="E2123" i="5"/>
  <c r="F1007" i="5"/>
  <c r="E1007" i="5"/>
  <c r="F701" i="5"/>
  <c r="E701" i="5"/>
  <c r="F1817" i="5"/>
  <c r="E1817" i="5"/>
  <c r="F2310" i="5"/>
  <c r="E2310" i="5"/>
  <c r="F4326" i="5"/>
  <c r="E4326" i="5"/>
  <c r="F2636" i="5"/>
  <c r="E2636" i="5"/>
  <c r="F2069" i="5"/>
  <c r="E2069" i="5"/>
  <c r="F4455" i="5"/>
  <c r="E4455" i="5"/>
  <c r="F1898" i="5"/>
  <c r="E1898" i="5"/>
  <c r="F243" i="5"/>
  <c r="E243" i="5"/>
  <c r="F773" i="5"/>
  <c r="E773" i="5"/>
  <c r="F1662" i="5"/>
  <c r="E1662" i="5"/>
  <c r="F81" i="5"/>
  <c r="E81" i="5"/>
  <c r="F3021" i="5"/>
  <c r="E3021" i="5"/>
  <c r="F2571" i="5"/>
  <c r="E2571" i="5"/>
  <c r="F1683" i="5"/>
  <c r="E1683" i="5"/>
  <c r="F411" i="5"/>
  <c r="E411" i="5"/>
  <c r="F729" i="5"/>
  <c r="E729" i="5"/>
  <c r="F2700" i="5"/>
  <c r="E2700" i="5"/>
  <c r="F1646" i="5"/>
  <c r="E1646" i="5"/>
  <c r="F132" i="5"/>
  <c r="E132" i="5"/>
  <c r="F3606" i="5"/>
  <c r="E3606" i="5"/>
  <c r="F3651" i="5"/>
  <c r="E3651" i="5"/>
  <c r="F4094" i="5"/>
  <c r="E4094" i="5"/>
  <c r="F513" i="5"/>
  <c r="E513" i="5"/>
  <c r="F3329" i="5"/>
  <c r="E3329" i="5"/>
  <c r="F3138" i="5"/>
  <c r="E3138" i="5"/>
  <c r="F3732" i="5"/>
  <c r="E3732" i="5"/>
  <c r="F999" i="5"/>
  <c r="E999" i="5"/>
  <c r="F816" i="5"/>
  <c r="E816" i="5"/>
  <c r="F3762" i="5"/>
  <c r="E3762" i="5"/>
  <c r="F297" i="5"/>
  <c r="E297" i="5"/>
  <c r="F3105" i="5"/>
  <c r="E3105" i="5"/>
  <c r="F4382" i="5"/>
  <c r="E4382" i="5"/>
  <c r="F1548" i="5"/>
  <c r="E1548" i="5"/>
  <c r="F3201" i="5"/>
  <c r="E3201" i="5"/>
  <c r="F1142" i="5"/>
  <c r="E1142" i="5"/>
  <c r="F3338" i="5"/>
  <c r="E3338" i="5"/>
  <c r="E2898" i="5"/>
  <c r="F2898" i="5"/>
  <c r="F186" i="5"/>
  <c r="E186" i="5"/>
  <c r="F2033" i="5"/>
  <c r="E2033" i="5"/>
  <c r="F683" i="5"/>
  <c r="E683" i="5"/>
  <c r="F2870" i="5"/>
  <c r="E2870" i="5"/>
  <c r="F1392" i="5"/>
  <c r="E1392" i="5"/>
  <c r="F1763" i="5"/>
  <c r="E1763" i="5"/>
  <c r="F476" i="5"/>
  <c r="E476" i="5"/>
  <c r="F2447" i="5"/>
  <c r="E2447" i="5"/>
  <c r="F1593" i="5"/>
  <c r="E1593" i="5"/>
  <c r="F594" i="5"/>
  <c r="E594" i="5"/>
  <c r="F2850" i="5"/>
  <c r="E2850" i="5"/>
  <c r="F4373" i="5"/>
  <c r="E4373" i="5"/>
  <c r="F3345" i="5"/>
  <c r="E3345" i="5"/>
  <c r="F116" i="5"/>
  <c r="E116" i="5"/>
  <c r="F3059" i="5"/>
  <c r="E3059" i="5"/>
  <c r="F3357" i="5"/>
  <c r="E3357" i="5"/>
  <c r="F647" i="5"/>
  <c r="E647" i="5"/>
  <c r="F17" i="5"/>
  <c r="E17" i="5"/>
  <c r="F1611" i="5"/>
  <c r="E1611" i="5"/>
  <c r="F3311" i="5"/>
  <c r="E3311" i="5"/>
  <c r="F3408" i="5"/>
  <c r="E3408" i="5"/>
  <c r="S353" i="3"/>
  <c r="F1880" i="5"/>
  <c r="E1880" i="5"/>
  <c r="F126" i="5"/>
  <c r="E126" i="5"/>
  <c r="F4338" i="5"/>
  <c r="E4338" i="5"/>
  <c r="F573" i="5"/>
  <c r="E573" i="5"/>
  <c r="F2051" i="5"/>
  <c r="E2051" i="5"/>
  <c r="F1367" i="5"/>
  <c r="E1367" i="5"/>
  <c r="F3489" i="5"/>
  <c r="E3489" i="5"/>
  <c r="F99" i="5"/>
  <c r="E99" i="5"/>
  <c r="F3222" i="5"/>
  <c r="E3222" i="5"/>
  <c r="F555" i="5"/>
  <c r="E555" i="5"/>
  <c r="F3734" i="5"/>
  <c r="E3734" i="5"/>
  <c r="F3528" i="5"/>
  <c r="E3528" i="5"/>
  <c r="L304" i="8"/>
  <c r="F3861" i="5"/>
  <c r="E3861" i="5"/>
  <c r="F954" i="5"/>
  <c r="E954" i="5"/>
  <c r="F2232" i="5"/>
  <c r="E2232" i="5"/>
  <c r="F2141" i="5"/>
  <c r="E2141" i="5"/>
  <c r="F2366" i="5"/>
  <c r="E2366" i="5"/>
  <c r="F3618" i="5"/>
  <c r="E3618" i="5"/>
  <c r="F2924" i="5"/>
  <c r="E2924" i="5"/>
  <c r="F2240" i="5"/>
  <c r="E2240" i="5"/>
  <c r="G245" i="8"/>
  <c r="K473" i="8"/>
  <c r="C304" i="8"/>
  <c r="L454" i="8"/>
  <c r="L464" i="8"/>
  <c r="D436" i="8"/>
  <c r="C353" i="8"/>
  <c r="J364" i="8"/>
  <c r="G100" i="8"/>
  <c r="F4464" i="5"/>
  <c r="E4464" i="5"/>
  <c r="F2025" i="5"/>
  <c r="E2025" i="5"/>
  <c r="F3714" i="5"/>
  <c r="E3714" i="5"/>
  <c r="E2258" i="5"/>
  <c r="F2258" i="5"/>
  <c r="F3869" i="5"/>
  <c r="E3869" i="5"/>
  <c r="F4434" i="5"/>
  <c r="E4434" i="5"/>
  <c r="F2249" i="5"/>
  <c r="E2249" i="5"/>
  <c r="F2771" i="5"/>
  <c r="E2771" i="5"/>
  <c r="F3086" i="5"/>
  <c r="E3086" i="5"/>
  <c r="F1617" i="5"/>
  <c r="E1617" i="5"/>
  <c r="F1959" i="5"/>
  <c r="E1959" i="5"/>
  <c r="F1671" i="5"/>
  <c r="E1671" i="5"/>
  <c r="F3267" i="5"/>
  <c r="E3267" i="5"/>
  <c r="E2745" i="5"/>
  <c r="F2745" i="5"/>
  <c r="F620" i="5"/>
  <c r="E620" i="5"/>
  <c r="F2013" i="5"/>
  <c r="E2013" i="5"/>
  <c r="F258" i="5"/>
  <c r="E258" i="5"/>
  <c r="F2583" i="5"/>
  <c r="E2583" i="5"/>
  <c r="F4293" i="5"/>
  <c r="E4293" i="5"/>
  <c r="F1107" i="5"/>
  <c r="E1107" i="5"/>
  <c r="F2852" i="5"/>
  <c r="E2852" i="5"/>
  <c r="F3509" i="5"/>
  <c r="E3509" i="5"/>
  <c r="F882" i="5"/>
  <c r="E882" i="5"/>
  <c r="F1233" i="5"/>
  <c r="E1233" i="5"/>
  <c r="F3212" i="5"/>
  <c r="E3212" i="5"/>
  <c r="F2484" i="5"/>
  <c r="E2484" i="5"/>
  <c r="F4499" i="5"/>
  <c r="E4499" i="5"/>
  <c r="F306" i="5"/>
  <c r="E306" i="5"/>
  <c r="F4110" i="5"/>
  <c r="E4110" i="5"/>
  <c r="F8" i="5"/>
  <c r="E8" i="5"/>
  <c r="F1970" i="5"/>
  <c r="E1970" i="5"/>
  <c r="F672" i="5"/>
  <c r="E672" i="5"/>
  <c r="F783" i="5"/>
  <c r="E783" i="5"/>
  <c r="F1503" i="5"/>
  <c r="E1503" i="5"/>
  <c r="F180" i="5"/>
  <c r="E180" i="5"/>
  <c r="F3789" i="5"/>
  <c r="E3789" i="5"/>
  <c r="F3896" i="5"/>
  <c r="E3896" i="5"/>
  <c r="F2940" i="5"/>
  <c r="E2940" i="5"/>
  <c r="F4164" i="5"/>
  <c r="E4164" i="5"/>
  <c r="F935" i="5"/>
  <c r="E935" i="5"/>
  <c r="F609" i="5"/>
  <c r="E609" i="5"/>
  <c r="F888" i="5"/>
  <c r="E888" i="5"/>
  <c r="F3978" i="5"/>
  <c r="E3978" i="5"/>
  <c r="F2994" i="5"/>
  <c r="E2994" i="5"/>
  <c r="F4068" i="5"/>
  <c r="E4068" i="5"/>
  <c r="F1437" i="5"/>
  <c r="E1437" i="5"/>
  <c r="F3590" i="5"/>
  <c r="E3590" i="5"/>
  <c r="F2625" i="5"/>
  <c r="E2625" i="5"/>
  <c r="F755" i="5"/>
  <c r="E755" i="5"/>
  <c r="E321" i="5"/>
  <c r="F321" i="5"/>
  <c r="F2562" i="5"/>
  <c r="E2562" i="5"/>
  <c r="F1449" i="5"/>
  <c r="E1449" i="5"/>
  <c r="F735" i="5"/>
  <c r="E735" i="5"/>
  <c r="F27" i="5"/>
  <c r="E27" i="5"/>
  <c r="F1986" i="5"/>
  <c r="E1986" i="5"/>
  <c r="F3158" i="5"/>
  <c r="E3158" i="5"/>
  <c r="F447" i="5"/>
  <c r="E447" i="5"/>
  <c r="F2952" i="5"/>
  <c r="E2952" i="5"/>
  <c r="E603" i="5"/>
  <c r="F603" i="5"/>
  <c r="F2510" i="5"/>
  <c r="E2510" i="5"/>
  <c r="F3048" i="5"/>
  <c r="E3048" i="5"/>
  <c r="F3480" i="5"/>
  <c r="E3480" i="5"/>
  <c r="F4041" i="5"/>
  <c r="E4041" i="5"/>
  <c r="F3579" i="5"/>
  <c r="E3579" i="5"/>
  <c r="F3903" i="5"/>
  <c r="E3903" i="5"/>
  <c r="F1872" i="5"/>
  <c r="E1872" i="5"/>
  <c r="F1214" i="5"/>
  <c r="E1214" i="5"/>
  <c r="F3390" i="5"/>
  <c r="E3390" i="5"/>
  <c r="F1275" i="5"/>
  <c r="E1275" i="5"/>
  <c r="F1824" i="5"/>
  <c r="E1824" i="5"/>
  <c r="F2778" i="5"/>
  <c r="E2778" i="5"/>
  <c r="F3231" i="5"/>
  <c r="E3231" i="5"/>
  <c r="F431" i="5"/>
  <c r="E431" i="5"/>
  <c r="F3474" i="5"/>
  <c r="E3474" i="5"/>
  <c r="F3374" i="5"/>
  <c r="E3374" i="5"/>
  <c r="F3912" i="5"/>
  <c r="E3912" i="5"/>
  <c r="F2652" i="5"/>
  <c r="E2652" i="5"/>
  <c r="F2375" i="5"/>
  <c r="E2375" i="5"/>
  <c r="F3986" i="5"/>
  <c r="E3986" i="5"/>
  <c r="F2672" i="5"/>
  <c r="E2672" i="5"/>
  <c r="F4308" i="5"/>
  <c r="E4308" i="5"/>
  <c r="E2105" i="5"/>
  <c r="F2105" i="5"/>
  <c r="F3219" i="5"/>
  <c r="E3219" i="5"/>
  <c r="F351" i="5"/>
  <c r="E351" i="5"/>
  <c r="F1350" i="5"/>
  <c r="E1350" i="5"/>
  <c r="F2499" i="5"/>
  <c r="E2499" i="5"/>
  <c r="F969" i="5"/>
  <c r="E969" i="5"/>
  <c r="F1979" i="5"/>
  <c r="E1979" i="5"/>
  <c r="F3147" i="5"/>
  <c r="E3147" i="5"/>
  <c r="F3813" i="5"/>
  <c r="E3813" i="5"/>
  <c r="F2313" i="5"/>
  <c r="E2313" i="5"/>
  <c r="F3707" i="5"/>
  <c r="E3707" i="5"/>
  <c r="F1779" i="5"/>
  <c r="E1779" i="5"/>
  <c r="F2070" i="5"/>
  <c r="E2070" i="5"/>
  <c r="F2601" i="5"/>
  <c r="E2601" i="5"/>
  <c r="F1896" i="5"/>
  <c r="E1896" i="5"/>
  <c r="F942" i="5"/>
  <c r="E942" i="5"/>
  <c r="F4482" i="5"/>
  <c r="E4482" i="5"/>
  <c r="F3042" i="5"/>
  <c r="E3042" i="5"/>
  <c r="F80" i="5"/>
  <c r="E80" i="5"/>
  <c r="F2115" i="5"/>
  <c r="E2115" i="5"/>
  <c r="F312" i="5"/>
  <c r="E312" i="5"/>
  <c r="F2645" i="5"/>
  <c r="E2645" i="5"/>
  <c r="F3005" i="5"/>
  <c r="E3005" i="5"/>
  <c r="F1185" i="5"/>
  <c r="E1185" i="5"/>
  <c r="F1014" i="5"/>
  <c r="E1014" i="5"/>
  <c r="F3654" i="5"/>
  <c r="E3654" i="5"/>
  <c r="F3419" i="5"/>
  <c r="E3419" i="5"/>
  <c r="F285" i="5"/>
  <c r="E285" i="5"/>
  <c r="F512" i="5"/>
  <c r="E512" i="5"/>
  <c r="F36" i="5"/>
  <c r="E36" i="5"/>
  <c r="F3141" i="5"/>
  <c r="E3141" i="5"/>
  <c r="F998" i="5"/>
  <c r="E998" i="5"/>
  <c r="F3518" i="5"/>
  <c r="E3518" i="5"/>
  <c r="F1656" i="5"/>
  <c r="E1656" i="5"/>
  <c r="F3689" i="5"/>
  <c r="E3689" i="5"/>
  <c r="F71" i="5"/>
  <c r="E71" i="5"/>
  <c r="E2970" i="5"/>
  <c r="F2970" i="5"/>
  <c r="F3759" i="5"/>
  <c r="E3759" i="5"/>
  <c r="F195" i="5"/>
  <c r="E195" i="5"/>
  <c r="F1539" i="5"/>
  <c r="E1539" i="5"/>
  <c r="F3635" i="5"/>
  <c r="E3635" i="5"/>
  <c r="F3804" i="5"/>
  <c r="E3804" i="5"/>
  <c r="F4374" i="5"/>
  <c r="E4374" i="5"/>
  <c r="F1260" i="5"/>
  <c r="E1260" i="5"/>
  <c r="F3060" i="5"/>
  <c r="E3060" i="5"/>
  <c r="F2204" i="5"/>
  <c r="E2204" i="5"/>
  <c r="F2511" i="5"/>
  <c r="E2511" i="5"/>
  <c r="F1203" i="5"/>
  <c r="E1203" i="5"/>
  <c r="F1212" i="5"/>
  <c r="E1212" i="5"/>
  <c r="F2177" i="5"/>
  <c r="E2177" i="5"/>
  <c r="F3012" i="5"/>
  <c r="E3012" i="5"/>
  <c r="F3924" i="5"/>
  <c r="E3924" i="5"/>
  <c r="F1752" i="5"/>
  <c r="E1752" i="5"/>
  <c r="F699" i="5"/>
  <c r="E699" i="5"/>
  <c r="F3428" i="5"/>
  <c r="E3428" i="5"/>
  <c r="F3600" i="5"/>
  <c r="E3600" i="5"/>
  <c r="I353" i="8"/>
  <c r="F2427" i="5"/>
  <c r="E2427" i="5"/>
  <c r="F3807" i="5"/>
  <c r="E3807" i="5"/>
  <c r="F3257" i="5"/>
  <c r="E3257" i="5"/>
  <c r="F674" i="5"/>
  <c r="E674" i="5"/>
  <c r="F4470" i="5"/>
  <c r="E4470" i="5"/>
  <c r="F1575" i="5"/>
  <c r="E1575" i="5"/>
  <c r="F3239" i="5"/>
  <c r="E3239" i="5"/>
  <c r="F368" i="5"/>
  <c r="E368" i="5"/>
  <c r="F2978" i="5"/>
  <c r="E2978" i="5"/>
  <c r="F2097" i="5"/>
  <c r="E2097" i="5"/>
  <c r="F1997" i="5"/>
  <c r="E1997" i="5"/>
  <c r="F1653" i="5"/>
  <c r="E1653" i="5"/>
  <c r="F2619" i="5"/>
  <c r="E2619" i="5"/>
  <c r="F3383" i="5"/>
  <c r="E3383" i="5"/>
  <c r="F2483" i="5"/>
  <c r="E2483" i="5"/>
  <c r="F657" i="5"/>
  <c r="E657" i="5"/>
  <c r="F2826" i="5"/>
  <c r="E2826" i="5"/>
  <c r="F2196" i="5"/>
  <c r="E2196" i="5"/>
  <c r="F1728" i="5"/>
  <c r="E1728" i="5"/>
  <c r="F2979" i="5"/>
  <c r="E2979" i="5"/>
  <c r="F4103" i="5"/>
  <c r="E4103" i="5"/>
  <c r="F2654" i="5"/>
  <c r="E2654" i="5"/>
  <c r="F3023" i="5"/>
  <c r="E3023" i="5"/>
  <c r="F3779" i="5"/>
  <c r="E3779" i="5"/>
  <c r="F3498" i="5"/>
  <c r="E3498" i="5"/>
  <c r="F1061" i="5"/>
  <c r="E1061" i="5"/>
  <c r="F3291" i="5"/>
  <c r="E3291" i="5"/>
  <c r="S246" i="3"/>
  <c r="D134" i="8"/>
  <c r="F436" i="8"/>
  <c r="F353" i="8"/>
  <c r="L364" i="8"/>
  <c r="I100" i="8"/>
  <c r="F4463" i="5"/>
  <c r="E4463" i="5"/>
  <c r="F4121" i="5"/>
  <c r="E4121" i="5"/>
  <c r="F2022" i="5"/>
  <c r="E2022" i="5"/>
  <c r="F2256" i="5"/>
  <c r="E2256" i="5"/>
  <c r="F3663" i="5"/>
  <c r="E3663" i="5"/>
  <c r="F951" i="5"/>
  <c r="E951" i="5"/>
  <c r="F4436" i="5"/>
  <c r="E4436" i="5"/>
  <c r="F3084" i="5"/>
  <c r="E3084" i="5"/>
  <c r="F2079" i="5"/>
  <c r="E2079" i="5"/>
  <c r="F4014" i="5"/>
  <c r="E4014" i="5"/>
  <c r="F1719" i="5"/>
  <c r="E1719" i="5"/>
  <c r="F2843" i="5"/>
  <c r="E2843" i="5"/>
  <c r="F3266" i="5"/>
  <c r="E3266" i="5"/>
  <c r="F1248" i="5"/>
  <c r="E1248" i="5"/>
  <c r="F4002" i="5"/>
  <c r="E4002" i="5"/>
  <c r="F4265" i="5"/>
  <c r="E4265" i="5"/>
  <c r="F618" i="5"/>
  <c r="E618" i="5"/>
  <c r="F1241" i="5"/>
  <c r="E1241" i="5"/>
  <c r="F1881" i="5"/>
  <c r="E1881" i="5"/>
  <c r="F3165" i="5"/>
  <c r="E3165" i="5"/>
  <c r="F4371" i="5"/>
  <c r="E4371" i="5"/>
  <c r="F3273" i="5"/>
  <c r="E3273" i="5"/>
  <c r="F2529" i="5"/>
  <c r="E2529" i="5"/>
  <c r="F3942" i="5"/>
  <c r="E3942" i="5"/>
  <c r="F1268" i="5"/>
  <c r="E1268" i="5"/>
  <c r="F3113" i="5"/>
  <c r="E3113" i="5"/>
  <c r="F3132" i="5"/>
  <c r="E3132" i="5"/>
  <c r="F1457" i="5"/>
  <c r="E1457" i="5"/>
  <c r="F441" i="5"/>
  <c r="E441" i="5"/>
  <c r="F2724" i="5"/>
  <c r="E2724" i="5"/>
  <c r="F4473" i="5"/>
  <c r="E4473" i="5"/>
  <c r="F2825" i="5"/>
  <c r="E2825" i="5"/>
  <c r="F1557" i="5"/>
  <c r="E1557" i="5"/>
  <c r="F4337" i="5"/>
  <c r="E4337" i="5"/>
  <c r="F3977" i="5"/>
  <c r="E3977" i="5"/>
  <c r="F1044" i="5"/>
  <c r="E1044" i="5"/>
  <c r="F1770" i="5"/>
  <c r="E1770" i="5"/>
  <c r="F519" i="5"/>
  <c r="E519" i="5"/>
  <c r="F4067" i="5"/>
  <c r="E4067" i="5"/>
  <c r="F1584" i="5"/>
  <c r="E1584" i="5"/>
  <c r="F1439" i="5"/>
  <c r="E1439" i="5"/>
  <c r="F2384" i="5"/>
  <c r="E2384" i="5"/>
  <c r="F2304" i="5"/>
  <c r="E2304" i="5"/>
  <c r="E645" i="5"/>
  <c r="F645" i="5"/>
  <c r="F576" i="5"/>
  <c r="E576" i="5"/>
  <c r="F1448" i="5"/>
  <c r="E1448" i="5"/>
  <c r="F4401" i="5"/>
  <c r="E4401" i="5"/>
  <c r="F2166" i="5"/>
  <c r="E2166" i="5"/>
  <c r="F2058" i="5"/>
  <c r="E2058" i="5"/>
  <c r="F1743" i="5"/>
  <c r="E1743" i="5"/>
  <c r="F708" i="5"/>
  <c r="E708" i="5"/>
  <c r="F3156" i="5"/>
  <c r="E3156" i="5"/>
  <c r="F216" i="5"/>
  <c r="E216" i="5"/>
  <c r="E3363" i="5"/>
  <c r="F3363" i="5"/>
  <c r="F2754" i="5"/>
  <c r="E2754" i="5"/>
  <c r="F1365" i="5"/>
  <c r="E1365" i="5"/>
  <c r="E3581" i="5"/>
  <c r="F3581" i="5"/>
  <c r="F3905" i="5"/>
  <c r="E3905" i="5"/>
  <c r="F1205" i="5"/>
  <c r="E1205" i="5"/>
  <c r="F188" i="5"/>
  <c r="E188" i="5"/>
  <c r="F1800" i="5"/>
  <c r="E1800" i="5"/>
  <c r="F1887" i="5"/>
  <c r="E1887" i="5"/>
  <c r="F270" i="5"/>
  <c r="E270" i="5"/>
  <c r="F4191" i="5"/>
  <c r="E4191" i="5"/>
  <c r="F3473" i="5"/>
  <c r="E3473" i="5"/>
  <c r="F899" i="5"/>
  <c r="E899" i="5"/>
  <c r="F3372" i="5"/>
  <c r="E3372" i="5"/>
  <c r="F1565" i="5"/>
  <c r="E1565" i="5"/>
  <c r="F2391" i="5"/>
  <c r="E2391" i="5"/>
  <c r="F2733" i="5"/>
  <c r="E2733" i="5"/>
  <c r="F2655" i="5"/>
  <c r="E2655" i="5"/>
  <c r="F2880" i="5"/>
  <c r="E2880" i="5"/>
  <c r="F2475" i="5"/>
  <c r="E2475" i="5"/>
  <c r="F2817" i="5"/>
  <c r="E2817" i="5"/>
  <c r="F420" i="5"/>
  <c r="E420" i="5"/>
  <c r="F2681" i="5"/>
  <c r="E2681" i="5"/>
  <c r="F1736" i="5"/>
  <c r="E1736" i="5"/>
  <c r="F4311" i="5"/>
  <c r="E4311" i="5"/>
  <c r="F3309" i="5"/>
  <c r="E3309" i="5"/>
  <c r="F3015" i="5"/>
  <c r="E3015" i="5"/>
  <c r="F350" i="5"/>
  <c r="E350" i="5"/>
  <c r="F159" i="5"/>
  <c r="E159" i="5"/>
  <c r="F1151" i="5"/>
  <c r="E1151" i="5"/>
  <c r="F2637" i="5"/>
  <c r="E2637" i="5"/>
  <c r="F2600" i="5"/>
  <c r="E2600" i="5"/>
  <c r="F2868" i="5"/>
  <c r="E2868" i="5"/>
  <c r="F4155" i="5"/>
  <c r="E4155" i="5"/>
  <c r="F1527" i="5"/>
  <c r="E1527" i="5"/>
  <c r="F4481" i="5"/>
  <c r="E4481" i="5"/>
  <c r="F3041" i="5"/>
  <c r="E3041" i="5"/>
  <c r="F240" i="5"/>
  <c r="E240" i="5"/>
  <c r="F771" i="5"/>
  <c r="E771" i="5"/>
  <c r="F2321" i="5"/>
  <c r="E2321" i="5"/>
  <c r="F3024" i="5"/>
  <c r="E3024" i="5"/>
  <c r="F342" i="5"/>
  <c r="E342" i="5"/>
  <c r="F3642" i="5"/>
  <c r="E3642" i="5"/>
  <c r="F1680" i="5"/>
  <c r="E1680" i="5"/>
  <c r="F4353" i="5"/>
  <c r="E4353" i="5"/>
  <c r="F3753" i="5"/>
  <c r="E3753" i="5"/>
  <c r="F2295" i="5"/>
  <c r="E2295" i="5"/>
  <c r="F1644" i="5"/>
  <c r="E1644" i="5"/>
  <c r="F4389" i="5"/>
  <c r="E4389" i="5"/>
  <c r="F1017" i="5"/>
  <c r="E1017" i="5"/>
  <c r="F3653" i="5"/>
  <c r="E3653" i="5"/>
  <c r="F2328" i="5"/>
  <c r="E2328" i="5"/>
  <c r="F494" i="5"/>
  <c r="E494" i="5"/>
  <c r="F3140" i="5"/>
  <c r="E3140" i="5"/>
  <c r="F1377" i="5"/>
  <c r="E1377" i="5"/>
  <c r="F996" i="5"/>
  <c r="E996" i="5"/>
  <c r="F3516" i="5"/>
  <c r="E3516" i="5"/>
  <c r="F1655" i="5"/>
  <c r="E1655" i="5"/>
  <c r="E4245" i="5"/>
  <c r="F4245" i="5"/>
  <c r="F1089" i="5"/>
  <c r="E1089" i="5"/>
  <c r="F636" i="5"/>
  <c r="E636" i="5"/>
  <c r="F3462" i="5"/>
  <c r="E3462" i="5"/>
  <c r="F1178" i="5"/>
  <c r="E1178" i="5"/>
  <c r="F1626" i="5"/>
  <c r="E1626" i="5"/>
  <c r="F1538" i="5"/>
  <c r="E1538" i="5"/>
  <c r="F3174" i="5"/>
  <c r="E3174" i="5"/>
  <c r="F4274" i="5"/>
  <c r="E4274" i="5"/>
  <c r="F3831" i="5"/>
  <c r="E3831" i="5"/>
  <c r="F2040" i="5"/>
  <c r="E2040" i="5"/>
  <c r="F2346" i="5"/>
  <c r="E2346" i="5"/>
  <c r="F3744" i="5"/>
  <c r="E3744" i="5"/>
  <c r="F225" i="5"/>
  <c r="E225" i="5"/>
  <c r="F4193" i="5"/>
  <c r="E4193" i="5"/>
  <c r="F1734" i="5"/>
  <c r="E1734" i="5"/>
  <c r="F1008" i="5"/>
  <c r="E1008" i="5"/>
  <c r="F764" i="5"/>
  <c r="E764" i="5"/>
  <c r="F3500" i="5"/>
  <c r="E3500" i="5"/>
  <c r="F3507" i="5"/>
  <c r="E3507" i="5"/>
  <c r="F980" i="5"/>
  <c r="E980" i="5"/>
  <c r="F1160" i="5"/>
  <c r="E1160" i="5"/>
  <c r="F3051" i="5"/>
  <c r="E3051" i="5"/>
  <c r="F387" i="5"/>
  <c r="E387" i="5"/>
  <c r="E3923" i="5"/>
  <c r="F3923" i="5"/>
  <c r="K353" i="8"/>
  <c r="F4122" i="5"/>
  <c r="E4122" i="5"/>
  <c r="F1404" i="5"/>
  <c r="E1404" i="5"/>
  <c r="F2142" i="5"/>
  <c r="E2142" i="5"/>
  <c r="F3186" i="5"/>
  <c r="E3186" i="5"/>
  <c r="F501" i="5"/>
  <c r="E501" i="5"/>
  <c r="F1169" i="5"/>
  <c r="E1169" i="5"/>
  <c r="F3114" i="5"/>
  <c r="E3114" i="5"/>
  <c r="F438" i="5"/>
  <c r="E438" i="5"/>
  <c r="F2861" i="5"/>
  <c r="E2861" i="5"/>
  <c r="F2949" i="5"/>
  <c r="E2949" i="5"/>
  <c r="F1889" i="5"/>
  <c r="E1889" i="5"/>
  <c r="F1566" i="5"/>
  <c r="E1566" i="5"/>
  <c r="F2931" i="5"/>
  <c r="E2931" i="5"/>
  <c r="J353" i="8"/>
  <c r="F1428" i="5"/>
  <c r="E1428" i="5"/>
  <c r="F2844" i="5"/>
  <c r="E2844" i="5"/>
  <c r="F152" i="5"/>
  <c r="E152" i="5"/>
  <c r="F125" i="5"/>
  <c r="E125" i="5"/>
  <c r="F656" i="5"/>
  <c r="E656" i="5"/>
  <c r="F1133" i="5"/>
  <c r="E1133" i="5"/>
  <c r="F198" i="5"/>
  <c r="E198" i="5"/>
  <c r="I245" i="8"/>
  <c r="J223" i="8"/>
  <c r="I76" i="8"/>
  <c r="J134" i="8"/>
  <c r="H245" i="8"/>
  <c r="F304" i="8"/>
  <c r="H436" i="8"/>
  <c r="F2159" i="5"/>
  <c r="E2159" i="5"/>
  <c r="F4182" i="5"/>
  <c r="E4182" i="5"/>
  <c r="F3660" i="5"/>
  <c r="E3660" i="5"/>
  <c r="F2448" i="5"/>
  <c r="E2448" i="5"/>
  <c r="F2247" i="5"/>
  <c r="E2247" i="5"/>
  <c r="F1304" i="5"/>
  <c r="E1304" i="5"/>
  <c r="F3672" i="5"/>
  <c r="E3672" i="5"/>
  <c r="F2078" i="5"/>
  <c r="E2078" i="5"/>
  <c r="F1619" i="5"/>
  <c r="E1619" i="5"/>
  <c r="F4031" i="5"/>
  <c r="E4031" i="5"/>
  <c r="F1716" i="5"/>
  <c r="E1716" i="5"/>
  <c r="F3681" i="5"/>
  <c r="E3681" i="5"/>
  <c r="F4004" i="5"/>
  <c r="E4004" i="5"/>
  <c r="F1140" i="5"/>
  <c r="E1140" i="5"/>
  <c r="F4292" i="5"/>
  <c r="E4292" i="5"/>
  <c r="F1106" i="5"/>
  <c r="E1106" i="5"/>
  <c r="F807" i="5"/>
  <c r="E807" i="5"/>
  <c r="F881" i="5"/>
  <c r="E881" i="5"/>
  <c r="F3210" i="5"/>
  <c r="E3210" i="5"/>
  <c r="F3534" i="5"/>
  <c r="E3534" i="5"/>
  <c r="F1845" i="5"/>
  <c r="E1845" i="5"/>
  <c r="F303" i="5"/>
  <c r="E303" i="5"/>
  <c r="F1266" i="5"/>
  <c r="E1266" i="5"/>
  <c r="F4175" i="5"/>
  <c r="E4175" i="5"/>
  <c r="F6" i="5"/>
  <c r="E6" i="5"/>
  <c r="F825" i="5"/>
  <c r="E825" i="5"/>
  <c r="F1968" i="5"/>
  <c r="E1968" i="5"/>
  <c r="F531" i="5"/>
  <c r="E531" i="5"/>
  <c r="F1458" i="5"/>
  <c r="E1458" i="5"/>
  <c r="F440" i="5"/>
  <c r="E440" i="5"/>
  <c r="F4472" i="5"/>
  <c r="E4472" i="5"/>
  <c r="F1077" i="5"/>
  <c r="E1077" i="5"/>
  <c r="F3615" i="5"/>
  <c r="E3615" i="5"/>
  <c r="F1131" i="5"/>
  <c r="E1131" i="5"/>
  <c r="F44" i="5"/>
  <c r="E44" i="5"/>
  <c r="F792" i="5"/>
  <c r="E792" i="5"/>
  <c r="F3240" i="5"/>
  <c r="E3240" i="5"/>
  <c r="F107" i="5"/>
  <c r="E107" i="5"/>
  <c r="F4065" i="5"/>
  <c r="E4065" i="5"/>
  <c r="F3294" i="5"/>
  <c r="E3294" i="5"/>
  <c r="F3570" i="5"/>
  <c r="E3570" i="5"/>
  <c r="F3843" i="5"/>
  <c r="E3843" i="5"/>
  <c r="C4231" i="5"/>
  <c r="E4231" i="5"/>
  <c r="F2538" i="5"/>
  <c r="E2538" i="5"/>
  <c r="F2202" i="5"/>
  <c r="E2202" i="5"/>
  <c r="F1698" i="5"/>
  <c r="E1698" i="5"/>
  <c r="F4400" i="5"/>
  <c r="E4400" i="5"/>
  <c r="F26" i="5"/>
  <c r="E26" i="5"/>
  <c r="F1224" i="5"/>
  <c r="E1224" i="5"/>
  <c r="F3159" i="5"/>
  <c r="E3159" i="5"/>
  <c r="F215" i="5"/>
  <c r="E215" i="5"/>
  <c r="E450" i="5"/>
  <c r="F450" i="5"/>
  <c r="F2951" i="5"/>
  <c r="E2951" i="5"/>
  <c r="F233" i="5"/>
  <c r="E233" i="5"/>
  <c r="F3366" i="5"/>
  <c r="E3366" i="5"/>
  <c r="F3303" i="5"/>
  <c r="E3303" i="5"/>
  <c r="F1331" i="5"/>
  <c r="E1331" i="5"/>
  <c r="F357" i="5"/>
  <c r="E357" i="5"/>
  <c r="F4040" i="5"/>
  <c r="E4040" i="5"/>
  <c r="F3824" i="5"/>
  <c r="E3824" i="5"/>
  <c r="F3798" i="5"/>
  <c r="E3798" i="5"/>
  <c r="F2835" i="5"/>
  <c r="E2835" i="5"/>
  <c r="F720" i="5"/>
  <c r="E720" i="5"/>
  <c r="C4150" i="5"/>
  <c r="E4150" i="5"/>
  <c r="F276" i="5"/>
  <c r="E276" i="5"/>
  <c r="F2463" i="5"/>
  <c r="E2463" i="5"/>
  <c r="F269" i="5"/>
  <c r="E269" i="5"/>
  <c r="F2958" i="5"/>
  <c r="E2958" i="5"/>
  <c r="F3321" i="5"/>
  <c r="E3321" i="5"/>
  <c r="F798" i="5"/>
  <c r="E798" i="5"/>
  <c r="E3230" i="5"/>
  <c r="F3230" i="5"/>
  <c r="F1097" i="5"/>
  <c r="E1097" i="5"/>
  <c r="F3194" i="5"/>
  <c r="E3194" i="5"/>
  <c r="F564" i="5"/>
  <c r="E564" i="5"/>
  <c r="F4362" i="5"/>
  <c r="E4362" i="5"/>
  <c r="F384" i="5"/>
  <c r="E384" i="5"/>
  <c r="E3914" i="5"/>
  <c r="F3914" i="5"/>
  <c r="F2736" i="5"/>
  <c r="E2736" i="5"/>
  <c r="F2373" i="5"/>
  <c r="E2373" i="5"/>
  <c r="F2877" i="5"/>
  <c r="E2877" i="5"/>
  <c r="F2474" i="5"/>
  <c r="E2474" i="5"/>
  <c r="F2816" i="5"/>
  <c r="E2816" i="5"/>
  <c r="F96" i="5"/>
  <c r="E96" i="5"/>
  <c r="F3554" i="5"/>
  <c r="E3554" i="5"/>
  <c r="F2661" i="5"/>
  <c r="E2661" i="5"/>
  <c r="F2103" i="5"/>
  <c r="E2103" i="5"/>
  <c r="F3014" i="5"/>
  <c r="E3014" i="5"/>
  <c r="F348" i="5"/>
  <c r="E348" i="5"/>
  <c r="F1349" i="5"/>
  <c r="E1349" i="5"/>
  <c r="F4140" i="5"/>
  <c r="E4140" i="5"/>
  <c r="F2501" i="5"/>
  <c r="E2501" i="5"/>
  <c r="F1464" i="5"/>
  <c r="E1464" i="5"/>
  <c r="F1977" i="5"/>
  <c r="E1977" i="5"/>
  <c r="C875" i="5"/>
  <c r="F875" i="5"/>
  <c r="F2403" i="5"/>
  <c r="E2403" i="5"/>
  <c r="F1899" i="5"/>
  <c r="E1899" i="5"/>
  <c r="F168" i="5"/>
  <c r="E168" i="5"/>
  <c r="F1394" i="5"/>
  <c r="E1394" i="5"/>
  <c r="F728" i="5"/>
  <c r="E728" i="5"/>
  <c r="F1647" i="5"/>
  <c r="E1647" i="5"/>
  <c r="F1995" i="5"/>
  <c r="E1995" i="5"/>
  <c r="F3417" i="5"/>
  <c r="E3417" i="5"/>
  <c r="F1764" i="5"/>
  <c r="E1764" i="5"/>
  <c r="F3879" i="5"/>
  <c r="E3879" i="5"/>
  <c r="F3069" i="5"/>
  <c r="E3069" i="5"/>
  <c r="F3327" i="5"/>
  <c r="E3327" i="5"/>
  <c r="F3687" i="5"/>
  <c r="E3687" i="5"/>
  <c r="F1088" i="5"/>
  <c r="E1088" i="5"/>
  <c r="F69" i="5"/>
  <c r="E69" i="5"/>
  <c r="F2241" i="5"/>
  <c r="E2241" i="5"/>
  <c r="F2184" i="5"/>
  <c r="E2184" i="5"/>
  <c r="F548" i="5"/>
  <c r="E548" i="5"/>
  <c r="F3633" i="5"/>
  <c r="E3633" i="5"/>
  <c r="F1413" i="5"/>
  <c r="E1413" i="5"/>
  <c r="F1059" i="5"/>
  <c r="E1059" i="5"/>
  <c r="F1052" i="5"/>
  <c r="E1052" i="5"/>
  <c r="F1197" i="5"/>
  <c r="E1197" i="5"/>
  <c r="F981" i="5"/>
  <c r="E981" i="5"/>
  <c r="F4173" i="5"/>
  <c r="E4173" i="5"/>
  <c r="F3966" i="5"/>
  <c r="E3966" i="5"/>
  <c r="F1080" i="5"/>
  <c r="E1080" i="5"/>
  <c r="F927" i="5"/>
  <c r="E927" i="5"/>
  <c r="F4445" i="5"/>
  <c r="E4445" i="5"/>
  <c r="F3797" i="5"/>
  <c r="E3797" i="5"/>
  <c r="F2465" i="5"/>
  <c r="E2465" i="5"/>
  <c r="F3320" i="5"/>
  <c r="E3320" i="5"/>
  <c r="F567" i="5"/>
  <c r="E567" i="5"/>
  <c r="F3492" i="5"/>
  <c r="E3492" i="5"/>
  <c r="F1521" i="5"/>
  <c r="E1521" i="5"/>
  <c r="F1950" i="5"/>
  <c r="E1950" i="5"/>
  <c r="F3705" i="5"/>
  <c r="E3705" i="5"/>
  <c r="F2634" i="5"/>
  <c r="E2634" i="5"/>
  <c r="F1385" i="5"/>
  <c r="E1385" i="5"/>
  <c r="F917" i="5"/>
  <c r="E917" i="5"/>
  <c r="F639" i="5"/>
  <c r="E639" i="5"/>
  <c r="F2150" i="5"/>
  <c r="E2150" i="5"/>
  <c r="C100" i="8"/>
  <c r="F4410" i="5"/>
  <c r="E4410" i="5"/>
  <c r="F1340" i="5"/>
  <c r="E1340" i="5"/>
  <c r="F1842" i="5"/>
  <c r="E1842" i="5"/>
  <c r="F627" i="5"/>
  <c r="E627" i="5"/>
  <c r="F1259" i="5"/>
  <c r="E1259" i="5"/>
  <c r="F3743" i="5"/>
  <c r="E3743" i="5"/>
  <c r="F612" i="5"/>
  <c r="E612" i="5"/>
  <c r="F2085" i="5"/>
  <c r="E2085" i="5"/>
  <c r="F4446" i="5"/>
  <c r="E4446" i="5"/>
  <c r="F4047" i="5"/>
  <c r="E4047" i="5"/>
  <c r="F1320" i="5"/>
  <c r="E1320" i="5"/>
  <c r="F738" i="5"/>
  <c r="E738" i="5"/>
  <c r="F1746" i="5"/>
  <c r="E1746" i="5"/>
  <c r="F2508" i="5"/>
  <c r="E2508" i="5"/>
  <c r="F267" i="5"/>
  <c r="E267" i="5"/>
  <c r="F314" i="5"/>
  <c r="E314" i="5"/>
  <c r="F287" i="5"/>
  <c r="E287" i="5"/>
  <c r="F2969" i="5"/>
  <c r="E2969" i="5"/>
  <c r="F3095" i="5"/>
  <c r="E3095" i="5"/>
  <c r="K304" i="8"/>
  <c r="F1430" i="5"/>
  <c r="E1430" i="5"/>
  <c r="F2438" i="5"/>
  <c r="E2438" i="5"/>
  <c r="F2274" i="5"/>
  <c r="E2274" i="5"/>
  <c r="F3842" i="5"/>
  <c r="E3842" i="5"/>
  <c r="C2711" i="5"/>
  <c r="F2711" i="5"/>
  <c r="F2096" i="5"/>
  <c r="E2096" i="5"/>
  <c r="F1815" i="5"/>
  <c r="E1815" i="5"/>
  <c r="F1529" i="5"/>
  <c r="E1529" i="5"/>
  <c r="F1682" i="5"/>
  <c r="E1682" i="5"/>
  <c r="F4392" i="5"/>
  <c r="E4392" i="5"/>
  <c r="F485" i="5"/>
  <c r="E485" i="5"/>
  <c r="F762" i="5"/>
  <c r="E762" i="5"/>
  <c r="F3102" i="5"/>
  <c r="E3102" i="5"/>
  <c r="F3636" i="5"/>
  <c r="E3636" i="5"/>
  <c r="F2556" i="5"/>
  <c r="E2556" i="5"/>
  <c r="F3203" i="5"/>
  <c r="E3203" i="5"/>
  <c r="F2220" i="5"/>
  <c r="E2220" i="5"/>
  <c r="F1709" i="5"/>
  <c r="E1709" i="5"/>
  <c r="F3563" i="5"/>
  <c r="E3563" i="5"/>
  <c r="F2888" i="5"/>
  <c r="E2888" i="5"/>
  <c r="F3897" i="5"/>
  <c r="E3897" i="5"/>
  <c r="F1692" i="5"/>
  <c r="E1692" i="5"/>
  <c r="F4200" i="5"/>
  <c r="E4200" i="5"/>
  <c r="F3726" i="5"/>
  <c r="E3726" i="5"/>
  <c r="F4023" i="5"/>
  <c r="E4023" i="5"/>
  <c r="F4443" i="5"/>
  <c r="E4443" i="5"/>
  <c r="F1446" i="5"/>
  <c r="E1446" i="5"/>
  <c r="F1221" i="5"/>
  <c r="E1221" i="5"/>
  <c r="F359" i="5"/>
  <c r="E359" i="5"/>
  <c r="F2789" i="5"/>
  <c r="E2789" i="5"/>
  <c r="F2421" i="5"/>
  <c r="E2421" i="5"/>
  <c r="F2976" i="5"/>
  <c r="E2976" i="5"/>
  <c r="F2781" i="5"/>
  <c r="E2781" i="5"/>
  <c r="F2879" i="5"/>
  <c r="E2879" i="5"/>
  <c r="C2179" i="5"/>
  <c r="E2179" i="5"/>
  <c r="F98" i="5"/>
  <c r="E98" i="5"/>
  <c r="F1755" i="5"/>
  <c r="E1755" i="5"/>
  <c r="F1005" i="5"/>
  <c r="E1005" i="5"/>
  <c r="F296" i="5"/>
  <c r="E296" i="5"/>
  <c r="L473" i="8"/>
  <c r="H304" i="8"/>
  <c r="I485" i="8"/>
  <c r="A473" i="8"/>
  <c r="E464" i="8"/>
  <c r="C226" i="8"/>
  <c r="E353" i="8"/>
  <c r="A463" i="8"/>
  <c r="J100" i="8"/>
  <c r="S436" i="3"/>
  <c r="S485" i="3"/>
  <c r="S395" i="3"/>
  <c r="A480" i="8"/>
  <c r="J245" i="8"/>
  <c r="B430" i="8"/>
  <c r="B437" i="8"/>
  <c r="D226" i="8"/>
  <c r="H353" i="8"/>
  <c r="F463" i="8"/>
  <c r="K100" i="8"/>
  <c r="F4218" i="5"/>
  <c r="E4218" i="5"/>
  <c r="F4119" i="5"/>
  <c r="E4119" i="5"/>
  <c r="F3717" i="5"/>
  <c r="E3717" i="5"/>
  <c r="F3699" i="5"/>
  <c r="E3699" i="5"/>
  <c r="F2286" i="5"/>
  <c r="E2286" i="5"/>
  <c r="F953" i="5"/>
  <c r="E953" i="5"/>
  <c r="F207" i="5"/>
  <c r="E207" i="5"/>
  <c r="F2231" i="5"/>
  <c r="E2231" i="5"/>
  <c r="F1053" i="5"/>
  <c r="E1053" i="5"/>
  <c r="F1431" i="5"/>
  <c r="E1431" i="5"/>
  <c r="F4032" i="5"/>
  <c r="E4032" i="5"/>
  <c r="F4013" i="5"/>
  <c r="E4013" i="5"/>
  <c r="F591" i="5"/>
  <c r="E591" i="5"/>
  <c r="F2841" i="5"/>
  <c r="E2841" i="5"/>
  <c r="F1908" i="5"/>
  <c r="E1908" i="5"/>
  <c r="F1473" i="5"/>
  <c r="E1473" i="5"/>
  <c r="E1710" i="5"/>
  <c r="F1710" i="5"/>
  <c r="F1143" i="5"/>
  <c r="E1143" i="5"/>
  <c r="F2349" i="5"/>
  <c r="E2349" i="5"/>
  <c r="F123" i="5"/>
  <c r="E123" i="5"/>
  <c r="F1104" i="5"/>
  <c r="E1104" i="5"/>
  <c r="F377" i="5"/>
  <c r="E377" i="5"/>
  <c r="F3258" i="5"/>
  <c r="E3258" i="5"/>
  <c r="F2528" i="5"/>
  <c r="E2528" i="5"/>
  <c r="F2481" i="5"/>
  <c r="E2481" i="5"/>
  <c r="F3537" i="5"/>
  <c r="E3537" i="5"/>
  <c r="F1844" i="5"/>
  <c r="E1844" i="5"/>
  <c r="F504" i="5"/>
  <c r="E504" i="5"/>
  <c r="F3941" i="5"/>
  <c r="E3941" i="5"/>
  <c r="F1806" i="5"/>
  <c r="E1806" i="5"/>
  <c r="E1269" i="5"/>
  <c r="F1269" i="5"/>
  <c r="F962" i="5"/>
  <c r="E962" i="5"/>
  <c r="F780" i="5"/>
  <c r="E780" i="5"/>
  <c r="F179" i="5"/>
  <c r="E179" i="5"/>
  <c r="F530" i="5"/>
  <c r="E530" i="5"/>
  <c r="F1455" i="5"/>
  <c r="E1455" i="5"/>
  <c r="F3894" i="5"/>
  <c r="E3894" i="5"/>
  <c r="F3075" i="5"/>
  <c r="E3075" i="5"/>
  <c r="F117" i="5"/>
  <c r="E117" i="5"/>
  <c r="F4491" i="5"/>
  <c r="E4491" i="5"/>
  <c r="F4167" i="5"/>
  <c r="E4167" i="5"/>
  <c r="F1725" i="5"/>
  <c r="E1725" i="5"/>
  <c r="F1689" i="5"/>
  <c r="E1689" i="5"/>
  <c r="F3975" i="5"/>
  <c r="E3975" i="5"/>
  <c r="F3122" i="5"/>
  <c r="E3122" i="5"/>
  <c r="F393" i="5"/>
  <c r="E393" i="5"/>
  <c r="F791" i="5"/>
  <c r="E791" i="5"/>
  <c r="F3840" i="5"/>
  <c r="E3840" i="5"/>
  <c r="F4229" i="5"/>
  <c r="E4229" i="5"/>
  <c r="F2537" i="5"/>
  <c r="E2537" i="5"/>
  <c r="F2205" i="5"/>
  <c r="E2205" i="5"/>
  <c r="F4049" i="5"/>
  <c r="E4049" i="5"/>
  <c r="F2303" i="5"/>
  <c r="E2303" i="5"/>
  <c r="F1161" i="5"/>
  <c r="E1161" i="5"/>
  <c r="F2565" i="5"/>
  <c r="E2565" i="5"/>
  <c r="F1223" i="5"/>
  <c r="E1223" i="5"/>
  <c r="F710" i="5"/>
  <c r="E710" i="5"/>
  <c r="F2052" i="5"/>
  <c r="E2052" i="5"/>
  <c r="F2709" i="5"/>
  <c r="E2709" i="5"/>
  <c r="F3365" i="5"/>
  <c r="E3365" i="5"/>
  <c r="F1332" i="5"/>
  <c r="E1332" i="5"/>
  <c r="F1025" i="5"/>
  <c r="E1025" i="5"/>
  <c r="F1871" i="5"/>
  <c r="E1871" i="5"/>
  <c r="F2420" i="5"/>
  <c r="E2420" i="5"/>
  <c r="F2834" i="5"/>
  <c r="E2834" i="5"/>
  <c r="F719" i="5"/>
  <c r="E719" i="5"/>
  <c r="F4146" i="5"/>
  <c r="E4146" i="5"/>
  <c r="F1215" i="5"/>
  <c r="E1215" i="5"/>
  <c r="F459" i="5"/>
  <c r="E459" i="5"/>
  <c r="F1797" i="5"/>
  <c r="E1797" i="5"/>
  <c r="F744" i="5"/>
  <c r="E744" i="5"/>
  <c r="F3228" i="5"/>
  <c r="E3228" i="5"/>
  <c r="F3192" i="5"/>
  <c r="E3192" i="5"/>
  <c r="F2679" i="5"/>
  <c r="E2679" i="5"/>
  <c r="F2670" i="5"/>
  <c r="E2670" i="5"/>
  <c r="F333" i="5"/>
  <c r="E333" i="5"/>
  <c r="F3312" i="5"/>
  <c r="E3312" i="5"/>
  <c r="F3552" i="5"/>
  <c r="E3552" i="5"/>
  <c r="E693" i="5"/>
  <c r="F693" i="5"/>
  <c r="F2106" i="5"/>
  <c r="E2106" i="5"/>
  <c r="F3221" i="5"/>
  <c r="E3221" i="5"/>
  <c r="E3032" i="5"/>
  <c r="F3032" i="5"/>
  <c r="F161" i="5"/>
  <c r="E161" i="5"/>
  <c r="F1754" i="5"/>
  <c r="E1754" i="5"/>
  <c r="F906" i="5"/>
  <c r="E906" i="5"/>
  <c r="C3152" i="5"/>
  <c r="F3152" i="5"/>
  <c r="F702" i="5"/>
  <c r="E702" i="5"/>
  <c r="F3708" i="5"/>
  <c r="E3708" i="5"/>
  <c r="E1149" i="5"/>
  <c r="F1149" i="5"/>
  <c r="F4236" i="5"/>
  <c r="E4236" i="5"/>
  <c r="F2871" i="5"/>
  <c r="E2871" i="5"/>
  <c r="F1386" i="5"/>
  <c r="E1386" i="5"/>
  <c r="E945" i="5"/>
  <c r="F945" i="5"/>
  <c r="F242" i="5"/>
  <c r="E242" i="5"/>
  <c r="F774" i="5"/>
  <c r="E774" i="5"/>
  <c r="F4074" i="5"/>
  <c r="E4074" i="5"/>
  <c r="F87" i="5"/>
  <c r="E87" i="5"/>
  <c r="F143" i="5"/>
  <c r="E143" i="5"/>
  <c r="F341" i="5"/>
  <c r="E341" i="5"/>
  <c r="F4355" i="5"/>
  <c r="E4355" i="5"/>
  <c r="F2699" i="5"/>
  <c r="E2699" i="5"/>
  <c r="F2214" i="5"/>
  <c r="E2214" i="5"/>
  <c r="F915" i="5"/>
  <c r="E915" i="5"/>
  <c r="F3609" i="5"/>
  <c r="E3609" i="5"/>
  <c r="F3429" i="5"/>
  <c r="E3429" i="5"/>
  <c r="F1761" i="5"/>
  <c r="E1761" i="5"/>
  <c r="F3876" i="5"/>
  <c r="E3876" i="5"/>
  <c r="F3068" i="5"/>
  <c r="E3068" i="5"/>
  <c r="F2607" i="5"/>
  <c r="E2607" i="5"/>
  <c r="F3597" i="5"/>
  <c r="E3597" i="5"/>
  <c r="F2331" i="5"/>
  <c r="E2331" i="5"/>
  <c r="F2718" i="5"/>
  <c r="E2718" i="5"/>
  <c r="F819" i="5"/>
  <c r="E819" i="5"/>
  <c r="F1176" i="5"/>
  <c r="E1176" i="5"/>
  <c r="F4383" i="5"/>
  <c r="E4383" i="5"/>
  <c r="F4317" i="5"/>
  <c r="E4317" i="5"/>
  <c r="F1547" i="5"/>
  <c r="E1547" i="5"/>
  <c r="F1635" i="5"/>
  <c r="E1635" i="5"/>
  <c r="F2151" i="5"/>
  <c r="E2151" i="5"/>
  <c r="W5" i="3"/>
  <c r="B134" i="8"/>
  <c r="A289" i="8"/>
  <c r="K28" i="8"/>
  <c r="C311" i="8"/>
  <c r="K134" i="8"/>
  <c r="C112" i="8"/>
  <c r="K128" i="8"/>
  <c r="E457" i="8"/>
  <c r="K95" i="8"/>
  <c r="G47" i="8"/>
  <c r="K437" i="8"/>
  <c r="J90" i="8"/>
  <c r="K467" i="8"/>
  <c r="M467" i="8"/>
  <c r="H407" i="8"/>
  <c r="W10" i="3"/>
  <c r="G93" i="8"/>
  <c r="K480" i="8"/>
  <c r="D82" i="8"/>
  <c r="D143" i="8"/>
  <c r="S396" i="3"/>
  <c r="C195" i="8"/>
  <c r="I93" i="8"/>
  <c r="D238" i="8"/>
  <c r="G82" i="8"/>
  <c r="I454" i="8"/>
  <c r="G177" i="8"/>
  <c r="S188" i="3"/>
  <c r="K311" i="8"/>
  <c r="H480" i="8"/>
  <c r="B95" i="8"/>
  <c r="E47" i="8"/>
  <c r="F437" i="8"/>
  <c r="H195" i="8"/>
  <c r="J303" i="8"/>
  <c r="B357" i="8"/>
  <c r="L82" i="8"/>
  <c r="H433" i="8"/>
  <c r="G165" i="8"/>
  <c r="W9" i="3"/>
  <c r="J433" i="8"/>
  <c r="J165" i="8"/>
  <c r="E261" i="8"/>
  <c r="S354" i="3"/>
  <c r="S350" i="3"/>
  <c r="S368" i="3"/>
  <c r="F22" i="8"/>
  <c r="J93" i="8"/>
  <c r="G134" i="8"/>
  <c r="D112" i="8"/>
  <c r="I165" i="8"/>
  <c r="B79" i="8"/>
  <c r="L184" i="8"/>
  <c r="J95" i="8"/>
  <c r="E487" i="8"/>
  <c r="D347" i="8"/>
  <c r="K260" i="8"/>
  <c r="G437" i="8"/>
  <c r="H226" i="8"/>
  <c r="A89" i="8"/>
  <c r="C114" i="8"/>
  <c r="L111" i="8"/>
  <c r="S176" i="3"/>
  <c r="S276" i="3"/>
  <c r="H22" i="8"/>
  <c r="D451" i="8"/>
  <c r="L134" i="8"/>
  <c r="J427" i="8"/>
  <c r="B112" i="8"/>
  <c r="K173" i="8"/>
  <c r="M173" i="8"/>
  <c r="H165" i="8"/>
  <c r="F41" i="8"/>
  <c r="D79" i="8"/>
  <c r="K184" i="8"/>
  <c r="L95" i="8"/>
  <c r="K352" i="8"/>
  <c r="D357" i="8"/>
  <c r="I347" i="8"/>
  <c r="I260" i="8"/>
  <c r="B261" i="8"/>
  <c r="G454" i="8"/>
  <c r="I226" i="8"/>
  <c r="B89" i="8"/>
  <c r="F90" i="8"/>
  <c r="B124" i="8"/>
  <c r="L179" i="8"/>
  <c r="K81" i="8"/>
  <c r="D260" i="8"/>
  <c r="G79" i="8"/>
  <c r="A79" i="8"/>
  <c r="K269" i="8"/>
  <c r="A176" i="8"/>
  <c r="F119" i="8"/>
  <c r="G112" i="8"/>
  <c r="F89" i="8"/>
  <c r="A88" i="8"/>
  <c r="I89" i="8"/>
  <c r="H119" i="8"/>
  <c r="K112" i="8"/>
  <c r="H36" i="8"/>
  <c r="C446" i="8"/>
  <c r="C244" i="8"/>
  <c r="E340" i="8"/>
  <c r="B246" i="8"/>
  <c r="S226" i="3"/>
  <c r="S364" i="3"/>
  <c r="S347" i="3"/>
  <c r="A427" i="8"/>
  <c r="L289" i="8"/>
  <c r="A173" i="8"/>
  <c r="J430" i="8"/>
  <c r="D215" i="8"/>
  <c r="A158" i="8"/>
  <c r="G477" i="8"/>
  <c r="K36" i="8"/>
  <c r="H444" i="8"/>
  <c r="A352" i="8"/>
  <c r="A486" i="8"/>
  <c r="C199" i="8"/>
  <c r="A192" i="8"/>
  <c r="L276" i="8"/>
  <c r="I197" i="8"/>
  <c r="K261" i="8"/>
  <c r="C365" i="8"/>
  <c r="F246" i="8"/>
  <c r="F418" i="8"/>
  <c r="L113" i="8"/>
  <c r="A364" i="8"/>
  <c r="K124" i="8"/>
  <c r="H269" i="8"/>
  <c r="K403" i="8"/>
  <c r="N403" i="8"/>
  <c r="F91" i="8"/>
  <c r="J289" i="8"/>
  <c r="E244" i="8"/>
  <c r="I261" i="8"/>
  <c r="A365" i="8"/>
  <c r="K466" i="8"/>
  <c r="S498" i="3"/>
  <c r="S158" i="3"/>
  <c r="A81" i="8"/>
  <c r="E427" i="8"/>
  <c r="E173" i="8"/>
  <c r="A165" i="8"/>
  <c r="E158" i="8"/>
  <c r="J477" i="8"/>
  <c r="L36" i="8"/>
  <c r="J444" i="8"/>
  <c r="C352" i="8"/>
  <c r="E44" i="8"/>
  <c r="G199" i="8"/>
  <c r="J192" i="8"/>
  <c r="F221" i="8"/>
  <c r="A341" i="8"/>
  <c r="J365" i="8"/>
  <c r="C290" i="8"/>
  <c r="C364" i="8"/>
  <c r="L124" i="8"/>
  <c r="C89" i="8"/>
  <c r="E41" i="8"/>
  <c r="L260" i="8"/>
  <c r="K92" i="8"/>
  <c r="I112" i="8"/>
  <c r="G430" i="8"/>
  <c r="G160" i="8"/>
  <c r="H430" i="8"/>
  <c r="D477" i="8"/>
  <c r="E444" i="8"/>
  <c r="G398" i="8"/>
  <c r="L269" i="8"/>
  <c r="C158" i="8"/>
  <c r="J36" i="8"/>
  <c r="G446" i="8"/>
  <c r="B276" i="8"/>
  <c r="E134" i="8"/>
  <c r="E81" i="8"/>
  <c r="D427" i="8"/>
  <c r="B103" i="8"/>
  <c r="C173" i="8"/>
  <c r="D165" i="8"/>
  <c r="F158" i="8"/>
  <c r="C411" i="8"/>
  <c r="L477" i="8"/>
  <c r="A184" i="8"/>
  <c r="L444" i="8"/>
  <c r="F352" i="8"/>
  <c r="I44" i="8"/>
  <c r="F199" i="8"/>
  <c r="K192" i="8"/>
  <c r="M192" i="8"/>
  <c r="G221" i="8"/>
  <c r="C354" i="8"/>
  <c r="B341" i="8"/>
  <c r="C467" i="8"/>
  <c r="G419" i="8"/>
  <c r="E364" i="8"/>
  <c r="A476" i="8"/>
  <c r="J111" i="8"/>
  <c r="J451" i="8"/>
  <c r="I119" i="8"/>
  <c r="C289" i="8"/>
  <c r="D36" i="8"/>
  <c r="S467" i="3"/>
  <c r="J22" i="8"/>
  <c r="L451" i="8"/>
  <c r="G289" i="8"/>
  <c r="I160" i="8"/>
  <c r="I357" i="8"/>
  <c r="A276" i="8"/>
  <c r="G89" i="8"/>
  <c r="I466" i="8"/>
  <c r="B173" i="8"/>
  <c r="F430" i="8"/>
  <c r="L403" i="8"/>
  <c r="F477" i="8"/>
  <c r="B176" i="8"/>
  <c r="B418" i="8"/>
  <c r="S466" i="3"/>
  <c r="S477" i="3"/>
  <c r="S134" i="3"/>
  <c r="F93" i="8"/>
  <c r="D81" i="8"/>
  <c r="G427" i="8"/>
  <c r="A112" i="8"/>
  <c r="F173" i="8"/>
  <c r="H158" i="8"/>
  <c r="I411" i="8"/>
  <c r="E260" i="8"/>
  <c r="E341" i="8"/>
  <c r="J105" i="8"/>
  <c r="A19" i="8"/>
  <c r="C69" i="8"/>
  <c r="H333" i="8"/>
  <c r="L263" i="8"/>
  <c r="S263" i="3"/>
  <c r="L358" i="8"/>
  <c r="G358" i="8"/>
  <c r="C358" i="8"/>
  <c r="F342" i="8"/>
  <c r="H342" i="8"/>
  <c r="E342" i="8"/>
  <c r="D131" i="8"/>
  <c r="S131" i="3"/>
  <c r="F131" i="8"/>
  <c r="G131" i="8"/>
  <c r="H323" i="8"/>
  <c r="G323" i="8"/>
  <c r="E323" i="8"/>
  <c r="D26" i="8"/>
  <c r="F26" i="8"/>
  <c r="K26" i="8"/>
  <c r="C26" i="8"/>
  <c r="H459" i="8"/>
  <c r="A459" i="8"/>
  <c r="C3781" i="5"/>
  <c r="E3781" i="5"/>
  <c r="C423" i="8"/>
  <c r="A423" i="8"/>
  <c r="L423" i="8"/>
  <c r="B423" i="8"/>
  <c r="E423" i="8"/>
  <c r="F423" i="8"/>
  <c r="K423" i="8"/>
  <c r="E201" i="8"/>
  <c r="A84" i="8"/>
  <c r="G345" i="8"/>
  <c r="B345" i="8"/>
  <c r="E345" i="8"/>
  <c r="H345" i="8"/>
  <c r="I502" i="8"/>
  <c r="K502" i="8"/>
  <c r="M502" i="8"/>
  <c r="A493" i="8"/>
  <c r="D493" i="8"/>
  <c r="H191" i="8"/>
  <c r="A191" i="8"/>
  <c r="H297" i="8"/>
  <c r="J297" i="8"/>
  <c r="G297" i="8"/>
  <c r="C351" i="8"/>
  <c r="D351" i="8"/>
  <c r="L291" i="8"/>
  <c r="E291" i="8"/>
  <c r="J291" i="8"/>
  <c r="C291" i="8"/>
  <c r="B196" i="8"/>
  <c r="L196" i="8"/>
  <c r="A490" i="8"/>
  <c r="S490" i="3"/>
  <c r="L157" i="8"/>
  <c r="B157" i="8"/>
  <c r="L185" i="8"/>
  <c r="D185" i="8"/>
  <c r="S185" i="3"/>
  <c r="K185" i="8"/>
  <c r="I69" i="8"/>
  <c r="J143" i="8"/>
  <c r="C333" i="8"/>
  <c r="C323" i="8"/>
  <c r="C3223" i="5"/>
  <c r="K361" i="8"/>
  <c r="I361" i="8"/>
  <c r="J361" i="8"/>
  <c r="H361" i="8"/>
  <c r="C361" i="8"/>
  <c r="L361" i="8"/>
  <c r="F361" i="8"/>
  <c r="B9" i="8"/>
  <c r="K9" i="8"/>
  <c r="M9" i="8"/>
  <c r="L9" i="8"/>
  <c r="E9" i="8"/>
  <c r="C9" i="8"/>
  <c r="I9" i="8"/>
  <c r="H9" i="8"/>
  <c r="B482" i="8"/>
  <c r="H482" i="8"/>
  <c r="C3305" i="5"/>
  <c r="F3305" i="5"/>
  <c r="L370" i="8"/>
  <c r="C153" i="8"/>
  <c r="S153" i="3"/>
  <c r="H153" i="8"/>
  <c r="F153" i="8"/>
  <c r="K238" i="8"/>
  <c r="S238" i="3"/>
  <c r="J238" i="8"/>
  <c r="H332" i="8"/>
  <c r="S332" i="3"/>
  <c r="L332" i="8"/>
  <c r="F332" i="8"/>
  <c r="J264" i="8"/>
  <c r="L264" i="8"/>
  <c r="I264" i="8"/>
  <c r="L138" i="8"/>
  <c r="G138" i="8"/>
  <c r="F138" i="8"/>
  <c r="D138" i="8"/>
  <c r="I138" i="8"/>
  <c r="I382" i="8"/>
  <c r="K382" i="8"/>
  <c r="C337" i="8"/>
  <c r="L337" i="8"/>
  <c r="I337" i="8"/>
  <c r="H337" i="8"/>
  <c r="S337" i="3"/>
  <c r="J337" i="8"/>
  <c r="K337" i="8"/>
  <c r="D337" i="8"/>
  <c r="E86" i="8"/>
  <c r="L86" i="8"/>
  <c r="F86" i="8"/>
  <c r="C86" i="8"/>
  <c r="D86" i="8"/>
  <c r="B86" i="8"/>
  <c r="K86" i="8"/>
  <c r="S346" i="3"/>
  <c r="B346" i="8"/>
  <c r="E346" i="8"/>
  <c r="K110" i="8"/>
  <c r="G110" i="8"/>
  <c r="H405" i="8"/>
  <c r="K405" i="8"/>
  <c r="L405" i="8"/>
  <c r="A405" i="8"/>
  <c r="E32" i="8"/>
  <c r="A32" i="8"/>
  <c r="F51" i="8"/>
  <c r="I238" i="8"/>
  <c r="L151" i="8"/>
  <c r="F151" i="8"/>
  <c r="G151" i="8"/>
  <c r="A151" i="8"/>
  <c r="I151" i="8"/>
  <c r="C3835" i="5"/>
  <c r="E3835" i="5"/>
  <c r="H429" i="8"/>
  <c r="G429" i="8"/>
  <c r="B429" i="8"/>
  <c r="D429" i="8"/>
  <c r="E429" i="8"/>
  <c r="J429" i="8"/>
  <c r="F429" i="8"/>
  <c r="F439" i="8"/>
  <c r="D439" i="8"/>
  <c r="C439" i="8"/>
  <c r="J439" i="8"/>
  <c r="H439" i="8"/>
  <c r="L421" i="8"/>
  <c r="F421" i="8"/>
  <c r="E421" i="8"/>
  <c r="S421" i="3"/>
  <c r="J38" i="8"/>
  <c r="I38" i="8"/>
  <c r="D303" i="8"/>
  <c r="F303" i="8"/>
  <c r="A303" i="8"/>
  <c r="I303" i="8"/>
  <c r="G303" i="8"/>
  <c r="S303" i="3"/>
  <c r="H180" i="8"/>
  <c r="F180" i="8"/>
  <c r="D180" i="8"/>
  <c r="G180" i="8"/>
  <c r="L180" i="8"/>
  <c r="C180" i="8"/>
  <c r="C3871" i="5"/>
  <c r="E3871" i="5"/>
  <c r="D433" i="8"/>
  <c r="A433" i="8"/>
  <c r="S433" i="3"/>
  <c r="L433" i="8"/>
  <c r="I433" i="8"/>
  <c r="G433" i="8"/>
  <c r="E433" i="8"/>
  <c r="G293" i="8"/>
  <c r="A293" i="8"/>
  <c r="D293" i="8"/>
  <c r="S370" i="3"/>
  <c r="K433" i="8"/>
  <c r="M433" i="8"/>
  <c r="I157" i="8"/>
  <c r="C2062" i="5"/>
  <c r="S232" i="3"/>
  <c r="E361" i="8"/>
  <c r="H139" i="8"/>
  <c r="J47" i="8"/>
  <c r="G142" i="8"/>
  <c r="I256" i="8"/>
  <c r="L256" i="8"/>
  <c r="A429" i="8"/>
  <c r="S429" i="3"/>
  <c r="S286" i="3"/>
  <c r="S333" i="3"/>
  <c r="S297" i="3"/>
  <c r="I429" i="8"/>
  <c r="L297" i="8"/>
  <c r="D361" i="8"/>
  <c r="F190" i="8"/>
  <c r="B337" i="8"/>
  <c r="L47" i="8"/>
  <c r="D423" i="8"/>
  <c r="K248" i="8"/>
  <c r="J248" i="8"/>
  <c r="S168" i="3"/>
  <c r="J168" i="8"/>
  <c r="B168" i="8"/>
  <c r="C613" i="5"/>
  <c r="E71" i="8"/>
  <c r="B71" i="8"/>
  <c r="J71" i="8"/>
  <c r="G71" i="8"/>
  <c r="G49" i="8"/>
  <c r="I84" i="8"/>
  <c r="C316" i="8"/>
  <c r="K316" i="8"/>
  <c r="G316" i="8"/>
  <c r="H316" i="8"/>
  <c r="J316" i="8"/>
  <c r="S316" i="3"/>
  <c r="B344" i="8"/>
  <c r="S344" i="3"/>
  <c r="I189" i="8"/>
  <c r="J189" i="8"/>
  <c r="L189" i="8"/>
  <c r="J54" i="8"/>
  <c r="B470" i="8"/>
  <c r="D470" i="8"/>
  <c r="A58" i="8"/>
  <c r="J58" i="8"/>
  <c r="L73" i="8"/>
  <c r="B73" i="8"/>
  <c r="K73" i="8"/>
  <c r="D73" i="8"/>
  <c r="H21" i="8"/>
  <c r="I21" i="8"/>
  <c r="G21" i="8"/>
  <c r="F21" i="8"/>
  <c r="E21" i="8"/>
  <c r="A21" i="8"/>
  <c r="K21" i="8"/>
  <c r="J21" i="8"/>
  <c r="S293" i="3"/>
  <c r="S138" i="3"/>
  <c r="S151" i="3"/>
  <c r="K429" i="8"/>
  <c r="M429" i="8"/>
  <c r="L435" i="8"/>
  <c r="G361" i="8"/>
  <c r="J459" i="8"/>
  <c r="A337" i="8"/>
  <c r="A9" i="8"/>
  <c r="H423" i="8"/>
  <c r="A470" i="8"/>
  <c r="A76" i="8"/>
  <c r="B186" i="8"/>
  <c r="A346" i="8"/>
  <c r="H38" i="8"/>
  <c r="J394" i="8"/>
  <c r="G394" i="8"/>
  <c r="S213" i="3"/>
  <c r="B213" i="8"/>
  <c r="C190" i="8"/>
  <c r="L190" i="8"/>
  <c r="S190" i="3"/>
  <c r="D80" i="8"/>
  <c r="F80" i="8"/>
  <c r="G80" i="8"/>
  <c r="E80" i="8"/>
  <c r="C80" i="8"/>
  <c r="H80" i="8"/>
  <c r="K72" i="8"/>
  <c r="M72" i="8"/>
  <c r="G72" i="8"/>
  <c r="H72" i="8"/>
  <c r="L51" i="8"/>
  <c r="I51" i="8"/>
  <c r="J51" i="8"/>
  <c r="E51" i="8"/>
  <c r="I72" i="8"/>
  <c r="C4294" i="5"/>
  <c r="E4294" i="5"/>
  <c r="I480" i="8"/>
  <c r="G480" i="8"/>
  <c r="E480" i="8"/>
  <c r="D480" i="8"/>
  <c r="J480" i="8"/>
  <c r="F480" i="8"/>
  <c r="C480" i="8"/>
  <c r="J156" i="8"/>
  <c r="E156" i="8"/>
  <c r="G156" i="8"/>
  <c r="L156" i="8"/>
  <c r="C2773" i="5"/>
  <c r="E2773" i="5"/>
  <c r="L311" i="8"/>
  <c r="H311" i="8"/>
  <c r="S311" i="3"/>
  <c r="I311" i="8"/>
  <c r="G311" i="8"/>
  <c r="F311" i="8"/>
  <c r="J311" i="8"/>
  <c r="C16" i="8"/>
  <c r="D14" i="8"/>
  <c r="K270" i="8"/>
  <c r="M270" i="8"/>
  <c r="L270" i="8"/>
  <c r="I71" i="8"/>
  <c r="C370" i="8"/>
  <c r="E374" i="8"/>
  <c r="D459" i="8"/>
  <c r="I423" i="8"/>
  <c r="G432" i="8"/>
  <c r="B432" i="8"/>
  <c r="J330" i="8"/>
  <c r="J152" i="8"/>
  <c r="K152" i="8"/>
  <c r="S152" i="3"/>
  <c r="J148" i="8"/>
  <c r="E148" i="8"/>
  <c r="B148" i="8"/>
  <c r="D148" i="8"/>
  <c r="H148" i="8"/>
  <c r="B336" i="8"/>
  <c r="L336" i="8"/>
  <c r="S336" i="3"/>
  <c r="F336" i="8"/>
  <c r="E336" i="8"/>
  <c r="K336" i="8"/>
  <c r="H336" i="8"/>
  <c r="I420" i="8"/>
  <c r="E420" i="8"/>
  <c r="D420" i="8"/>
  <c r="J397" i="8"/>
  <c r="L397" i="8"/>
  <c r="F397" i="8"/>
  <c r="D397" i="8"/>
  <c r="S397" i="3"/>
  <c r="B397" i="8"/>
  <c r="F201" i="8"/>
  <c r="B201" i="8"/>
  <c r="G157" i="8"/>
  <c r="B195" i="8"/>
  <c r="J195" i="8"/>
  <c r="G195" i="8"/>
  <c r="F195" i="8"/>
  <c r="E195" i="8"/>
  <c r="K195" i="8"/>
  <c r="M195" i="8"/>
  <c r="S195" i="3"/>
  <c r="I195" i="8"/>
  <c r="D195" i="8"/>
  <c r="E82" i="8"/>
  <c r="A82" i="8"/>
  <c r="F47" i="8"/>
  <c r="C47" i="8"/>
  <c r="D265" i="8"/>
  <c r="F265" i="8"/>
  <c r="S265" i="3"/>
  <c r="C265" i="8"/>
  <c r="S186" i="3"/>
  <c r="A186" i="8"/>
  <c r="L480" i="8"/>
  <c r="K468" i="8"/>
  <c r="M468" i="8"/>
  <c r="D468" i="8"/>
  <c r="E468" i="8"/>
  <c r="D415" i="8"/>
  <c r="S415" i="3"/>
  <c r="S405" i="3"/>
  <c r="S420" i="3"/>
  <c r="S201" i="3"/>
  <c r="L429" i="8"/>
  <c r="D18" i="8"/>
  <c r="J190" i="8"/>
  <c r="F470" i="8"/>
  <c r="F270" i="8"/>
  <c r="E265" i="8"/>
  <c r="D76" i="8"/>
  <c r="C232" i="8"/>
  <c r="S470" i="3"/>
  <c r="S156" i="3"/>
  <c r="A195" i="8"/>
  <c r="E18" i="8"/>
  <c r="L71" i="8"/>
  <c r="D370" i="8"/>
  <c r="K80" i="8"/>
  <c r="E459" i="8"/>
  <c r="J9" i="8"/>
  <c r="G423" i="8"/>
  <c r="J470" i="8"/>
  <c r="J138" i="8"/>
  <c r="H265" i="8"/>
  <c r="B76" i="8"/>
  <c r="L81" i="8"/>
  <c r="I103" i="8"/>
  <c r="I79" i="8"/>
  <c r="C121" i="8"/>
  <c r="B260" i="8"/>
  <c r="L89" i="8"/>
  <c r="H111" i="8"/>
  <c r="G81" i="8"/>
  <c r="A103" i="8"/>
  <c r="L112" i="8"/>
  <c r="F79" i="8"/>
  <c r="H89" i="8"/>
  <c r="G292" i="8"/>
  <c r="D111" i="8"/>
  <c r="J443" i="8"/>
  <c r="H292" i="8"/>
  <c r="I81" i="8"/>
  <c r="F103" i="8"/>
  <c r="K79" i="8"/>
  <c r="J89" i="8"/>
  <c r="I292" i="8"/>
  <c r="E111" i="8"/>
  <c r="S418" i="3"/>
  <c r="S389" i="3"/>
  <c r="S112" i="3"/>
  <c r="S260" i="3"/>
  <c r="H81" i="8"/>
  <c r="H103" i="8"/>
  <c r="J79" i="8"/>
  <c r="A121" i="8"/>
  <c r="C260" i="8"/>
  <c r="G111" i="8"/>
  <c r="G228" i="8"/>
  <c r="E154" i="8"/>
  <c r="C154" i="8"/>
  <c r="L45" i="8"/>
  <c r="G45" i="8"/>
  <c r="K48" i="8"/>
  <c r="H48" i="8"/>
  <c r="G205" i="8"/>
  <c r="F205" i="8"/>
  <c r="A205" i="8"/>
  <c r="A43" i="8"/>
  <c r="K118" i="8"/>
  <c r="M118" i="8"/>
  <c r="S118" i="3"/>
  <c r="J118" i="8"/>
  <c r="I118" i="8"/>
  <c r="H118" i="8"/>
  <c r="D118" i="8"/>
  <c r="A118" i="8"/>
  <c r="I139" i="8"/>
  <c r="S139" i="3"/>
  <c r="L139" i="8"/>
  <c r="J139" i="8"/>
  <c r="K139" i="8"/>
  <c r="N139" i="8"/>
  <c r="F139" i="8"/>
  <c r="G139" i="8"/>
  <c r="L319" i="8"/>
  <c r="G319" i="8"/>
  <c r="F319" i="8"/>
  <c r="B319" i="8"/>
  <c r="E319" i="8"/>
  <c r="S319" i="3"/>
  <c r="H414" i="8"/>
  <c r="G414" i="8"/>
  <c r="S414" i="3"/>
  <c r="S426" i="3"/>
  <c r="B426" i="8"/>
  <c r="B468" i="8"/>
  <c r="A468" i="8"/>
  <c r="L468" i="8"/>
  <c r="F468" i="8"/>
  <c r="F313" i="8"/>
  <c r="G313" i="8"/>
  <c r="E334" i="8"/>
  <c r="F334" i="8"/>
  <c r="D334" i="8"/>
  <c r="A334" i="8"/>
  <c r="S334" i="3"/>
  <c r="E417" i="8"/>
  <c r="B417" i="8"/>
  <c r="S441" i="3"/>
  <c r="J441" i="8"/>
  <c r="H441" i="8"/>
  <c r="C441" i="8"/>
  <c r="H491" i="8"/>
  <c r="B491" i="8"/>
  <c r="S256" i="3"/>
  <c r="A256" i="8"/>
  <c r="D242" i="8"/>
  <c r="F242" i="8"/>
  <c r="B242" i="8"/>
  <c r="S242" i="3"/>
  <c r="E13" i="8"/>
  <c r="H13" i="8"/>
  <c r="K130" i="8"/>
  <c r="M130" i="8"/>
  <c r="L130" i="8"/>
  <c r="G371" i="8"/>
  <c r="I371" i="8"/>
  <c r="E270" i="8"/>
  <c r="S270" i="3"/>
  <c r="G270" i="8"/>
  <c r="B408" i="8"/>
  <c r="A408" i="8"/>
  <c r="S408" i="3"/>
  <c r="J202" i="8"/>
  <c r="I202" i="8"/>
  <c r="D202" i="8"/>
  <c r="B202" i="8"/>
  <c r="S202" i="3"/>
  <c r="L374" i="8"/>
  <c r="K374" i="8"/>
  <c r="I374" i="8"/>
  <c r="G374" i="8"/>
  <c r="F374" i="8"/>
  <c r="B374" i="8"/>
  <c r="A374" i="8"/>
  <c r="L206" i="8"/>
  <c r="K206" i="8"/>
  <c r="G206" i="8"/>
  <c r="S206" i="3"/>
  <c r="A206" i="8"/>
  <c r="F18" i="8"/>
  <c r="C18" i="8"/>
  <c r="B18" i="8"/>
  <c r="A18" i="8"/>
  <c r="J18" i="8"/>
  <c r="L18" i="8"/>
  <c r="G18" i="8"/>
  <c r="C234" i="8"/>
  <c r="E234" i="8"/>
  <c r="S234" i="3"/>
  <c r="A234" i="8"/>
  <c r="I296" i="8"/>
  <c r="G296" i="8"/>
  <c r="K296" i="8"/>
  <c r="S296" i="3"/>
  <c r="E109" i="8"/>
  <c r="A109" i="8"/>
  <c r="C1972" i="5"/>
  <c r="E1972" i="5"/>
  <c r="H222" i="8"/>
  <c r="J222" i="8"/>
  <c r="L404" i="8"/>
  <c r="K369" i="8"/>
  <c r="M369" i="8"/>
  <c r="S369" i="3"/>
  <c r="K183" i="8"/>
  <c r="L183" i="8"/>
  <c r="S268" i="3"/>
  <c r="G268" i="8"/>
  <c r="I18" i="8"/>
  <c r="G468" i="8"/>
  <c r="C107" i="8"/>
  <c r="J371" i="8"/>
  <c r="E91" i="8"/>
  <c r="H166" i="8"/>
  <c r="A166" i="8"/>
  <c r="D300" i="8"/>
  <c r="F104" i="8"/>
  <c r="S360" i="3"/>
  <c r="F360" i="8"/>
  <c r="J328" i="8"/>
  <c r="K328" i="8"/>
  <c r="N328" i="8"/>
  <c r="I328" i="8"/>
  <c r="F328" i="8"/>
  <c r="D500" i="8"/>
  <c r="S500" i="3"/>
  <c r="S193" i="3"/>
  <c r="H193" i="8"/>
  <c r="C193" i="8"/>
  <c r="H59" i="8"/>
  <c r="E59" i="8"/>
  <c r="F59" i="8"/>
  <c r="C59" i="8"/>
  <c r="J116" i="8"/>
  <c r="I116" i="8"/>
  <c r="S456" i="3"/>
  <c r="G456" i="8"/>
  <c r="E290" i="8"/>
  <c r="S290" i="3"/>
  <c r="H290" i="8"/>
  <c r="H25" i="8"/>
  <c r="D25" i="8"/>
  <c r="S237" i="3"/>
  <c r="E237" i="8"/>
  <c r="K237" i="8"/>
  <c r="N237" i="8"/>
  <c r="D236" i="8"/>
  <c r="G236" i="8"/>
  <c r="J299" i="8"/>
  <c r="H299" i="8"/>
  <c r="A223" i="8"/>
  <c r="K223" i="8"/>
  <c r="B223" i="8"/>
  <c r="J319" i="8"/>
  <c r="G334" i="8"/>
  <c r="G234" i="8"/>
  <c r="L445" i="8"/>
  <c r="K413" i="8"/>
  <c r="N413" i="8"/>
  <c r="L413" i="8"/>
  <c r="J15" i="8"/>
  <c r="C15" i="8"/>
  <c r="K287" i="8"/>
  <c r="D287" i="8"/>
  <c r="I117" i="8"/>
  <c r="D307" i="8"/>
  <c r="L25" i="8"/>
  <c r="B441" i="8"/>
  <c r="A172" i="8"/>
  <c r="I426" i="8"/>
  <c r="K345" i="8"/>
  <c r="M345" i="8"/>
  <c r="J345" i="8"/>
  <c r="I345" i="8"/>
  <c r="D345" i="8"/>
  <c r="H502" i="8"/>
  <c r="F502" i="8"/>
  <c r="C502" i="8"/>
  <c r="E502" i="8"/>
  <c r="F142" i="8"/>
  <c r="I142" i="8"/>
  <c r="J142" i="8"/>
  <c r="E142" i="8"/>
  <c r="D142" i="8"/>
  <c r="A358" i="8"/>
  <c r="K358" i="8"/>
  <c r="M358" i="8"/>
  <c r="I358" i="8"/>
  <c r="H358" i="8"/>
  <c r="D358" i="8"/>
  <c r="C342" i="8"/>
  <c r="S342" i="3"/>
  <c r="I342" i="8"/>
  <c r="B342" i="8"/>
  <c r="A342" i="8"/>
  <c r="K131" i="8"/>
  <c r="J131" i="8"/>
  <c r="H131" i="8"/>
  <c r="E131" i="8"/>
  <c r="I131" i="8"/>
  <c r="B131" i="8"/>
  <c r="L197" i="8"/>
  <c r="J197" i="8"/>
  <c r="D197" i="8"/>
  <c r="E442" i="8"/>
  <c r="J442" i="8"/>
  <c r="F442" i="8"/>
  <c r="I191" i="8"/>
  <c r="K191" i="8"/>
  <c r="M191" i="8"/>
  <c r="L191" i="8"/>
  <c r="G191" i="8"/>
  <c r="D191" i="8"/>
  <c r="S143" i="3"/>
  <c r="B143" i="8"/>
  <c r="E74" i="8"/>
  <c r="F74" i="8"/>
  <c r="G74" i="8"/>
  <c r="C74" i="8"/>
  <c r="K74" i="8"/>
  <c r="L492" i="8"/>
  <c r="H492" i="8"/>
  <c r="F297" i="8"/>
  <c r="C297" i="8"/>
  <c r="B297" i="8"/>
  <c r="K297" i="8"/>
  <c r="I297" i="8"/>
  <c r="K291" i="8"/>
  <c r="N291" i="8"/>
  <c r="A291" i="8"/>
  <c r="S291" i="3"/>
  <c r="I291" i="8"/>
  <c r="A196" i="8"/>
  <c r="K196" i="8"/>
  <c r="N196" i="8"/>
  <c r="J196" i="8"/>
  <c r="I196" i="8"/>
  <c r="G196" i="8"/>
  <c r="D196" i="8"/>
  <c r="S196" i="3"/>
  <c r="L128" i="8"/>
  <c r="J128" i="8"/>
  <c r="H128" i="8"/>
  <c r="I128" i="8"/>
  <c r="F128" i="8"/>
  <c r="B128" i="8"/>
  <c r="A128" i="8"/>
  <c r="S277" i="3"/>
  <c r="B277" i="8"/>
  <c r="S445" i="3"/>
  <c r="L456" i="8"/>
  <c r="H130" i="8"/>
  <c r="D274" i="8"/>
  <c r="G441" i="8"/>
  <c r="E172" i="8"/>
  <c r="C242" i="8"/>
  <c r="I362" i="8"/>
  <c r="S222" i="3"/>
  <c r="S491" i="3"/>
  <c r="C374" i="8"/>
  <c r="F130" i="8"/>
  <c r="I274" i="8"/>
  <c r="C408" i="8"/>
  <c r="H172" i="8"/>
  <c r="A270" i="8"/>
  <c r="J416" i="8"/>
  <c r="F491" i="8"/>
  <c r="L43" i="8"/>
  <c r="S258" i="3"/>
  <c r="S459" i="3"/>
  <c r="H110" i="8"/>
  <c r="D93" i="8"/>
  <c r="C451" i="8"/>
  <c r="C81" i="8"/>
  <c r="B185" i="8"/>
  <c r="L427" i="8"/>
  <c r="H71" i="8"/>
  <c r="I173" i="8"/>
  <c r="F370" i="8"/>
  <c r="G158" i="8"/>
  <c r="I80" i="8"/>
  <c r="L79" i="8"/>
  <c r="G190" i="8"/>
  <c r="A157" i="8"/>
  <c r="I316" i="8"/>
  <c r="C459" i="8"/>
  <c r="E26" i="8"/>
  <c r="L201" i="8"/>
  <c r="F347" i="8"/>
  <c r="J336" i="8"/>
  <c r="J260" i="8"/>
  <c r="B46" i="8"/>
  <c r="J405" i="8"/>
  <c r="E72" i="8"/>
  <c r="F30" i="8"/>
  <c r="A232" i="8"/>
  <c r="K111" i="8"/>
  <c r="B323" i="8"/>
  <c r="C463" i="8"/>
  <c r="S157" i="3"/>
  <c r="A213" i="8"/>
  <c r="C185" i="8"/>
  <c r="I370" i="8"/>
  <c r="J157" i="8"/>
  <c r="L316" i="8"/>
  <c r="G459" i="8"/>
  <c r="I26" i="8"/>
  <c r="E432" i="8"/>
  <c r="G153" i="8"/>
  <c r="B32" i="8"/>
  <c r="I323" i="8"/>
  <c r="C245" i="5"/>
  <c r="F245" i="5"/>
  <c r="C1396" i="5"/>
  <c r="E1396" i="5"/>
  <c r="S427" i="3"/>
  <c r="S121" i="3"/>
  <c r="F81" i="8"/>
  <c r="E185" i="8"/>
  <c r="B427" i="8"/>
  <c r="J435" i="8"/>
  <c r="K71" i="8"/>
  <c r="L173" i="8"/>
  <c r="J370" i="8"/>
  <c r="L158" i="8"/>
  <c r="C79" i="8"/>
  <c r="H157" i="8"/>
  <c r="D121" i="8"/>
  <c r="A51" i="8"/>
  <c r="I459" i="8"/>
  <c r="H26" i="8"/>
  <c r="A260" i="8"/>
  <c r="C148" i="8"/>
  <c r="I153" i="8"/>
  <c r="I30" i="8"/>
  <c r="I332" i="8"/>
  <c r="B333" i="8"/>
  <c r="H32" i="8"/>
  <c r="J463" i="8"/>
  <c r="I185" i="8"/>
  <c r="K157" i="8"/>
  <c r="D457" i="8"/>
  <c r="D69" i="8"/>
  <c r="J332" i="8"/>
  <c r="D333" i="8"/>
  <c r="I394" i="8"/>
  <c r="B475" i="8"/>
  <c r="S110" i="3"/>
  <c r="S457" i="3"/>
  <c r="S111" i="3"/>
  <c r="S323" i="3"/>
  <c r="J81" i="8"/>
  <c r="I427" i="8"/>
  <c r="A71" i="8"/>
  <c r="D173" i="8"/>
  <c r="B370" i="8"/>
  <c r="D158" i="8"/>
  <c r="H79" i="8"/>
  <c r="K51" i="8"/>
  <c r="B459" i="8"/>
  <c r="I397" i="8"/>
  <c r="H238" i="8"/>
  <c r="I336" i="8"/>
  <c r="H260" i="8"/>
  <c r="I405" i="8"/>
  <c r="D475" i="8"/>
  <c r="B72" i="8"/>
  <c r="L69" i="8"/>
  <c r="G341" i="8"/>
  <c r="B30" i="8"/>
  <c r="G333" i="8"/>
  <c r="I111" i="8"/>
  <c r="I49" i="8"/>
  <c r="K420" i="8"/>
  <c r="E463" i="8"/>
  <c r="H84" i="8"/>
  <c r="J12" i="8"/>
  <c r="C8" i="8"/>
  <c r="U8" i="3"/>
  <c r="L12" i="8"/>
  <c r="B7" i="8"/>
  <c r="U7" i="3"/>
  <c r="E12" i="8"/>
  <c r="I12" i="8"/>
  <c r="C56" i="5"/>
  <c r="F56" i="5"/>
  <c r="U9" i="3"/>
  <c r="C356" i="8"/>
  <c r="E266" i="8"/>
  <c r="H403" i="8"/>
  <c r="I403" i="8"/>
  <c r="A44" i="8"/>
  <c r="B44" i="8"/>
  <c r="H44" i="8"/>
  <c r="K451" i="8"/>
  <c r="I451" i="8"/>
  <c r="H451" i="8"/>
  <c r="S453" i="3"/>
  <c r="L453" i="8"/>
  <c r="K453" i="8"/>
  <c r="B453" i="8"/>
  <c r="K378" i="8"/>
  <c r="L378" i="8"/>
  <c r="G378" i="8"/>
  <c r="F478" i="8"/>
  <c r="L478" i="8"/>
  <c r="K478" i="8"/>
  <c r="I478" i="8"/>
  <c r="A478" i="8"/>
  <c r="A93" i="8"/>
  <c r="K93" i="8"/>
  <c r="L93" i="8"/>
  <c r="K55" i="8"/>
  <c r="A55" i="8"/>
  <c r="A430" i="8"/>
  <c r="K430" i="8"/>
  <c r="N430" i="8"/>
  <c r="L430" i="8"/>
  <c r="S144" i="3"/>
  <c r="K144" i="8"/>
  <c r="L144" i="8"/>
  <c r="D200" i="8"/>
  <c r="S200" i="3"/>
  <c r="G200" i="8"/>
  <c r="E200" i="8"/>
  <c r="K289" i="8"/>
  <c r="I289" i="8"/>
  <c r="H289" i="8"/>
  <c r="S289" i="3"/>
  <c r="L244" i="8"/>
  <c r="J244" i="8"/>
  <c r="H244" i="8"/>
  <c r="G347" i="8"/>
  <c r="J347" i="8"/>
  <c r="E411" i="8"/>
  <c r="J411" i="8"/>
  <c r="F411" i="8"/>
  <c r="D411" i="8"/>
  <c r="S411" i="3"/>
  <c r="B411" i="8"/>
  <c r="I36" i="8"/>
  <c r="E36" i="8"/>
  <c r="A36" i="8"/>
  <c r="L28" i="8"/>
  <c r="G28" i="8"/>
  <c r="H28" i="8"/>
  <c r="C28" i="8"/>
  <c r="F28" i="8"/>
  <c r="C90" i="8"/>
  <c r="A90" i="8"/>
  <c r="E90" i="8"/>
  <c r="E446" i="8"/>
  <c r="S446" i="3"/>
  <c r="D446" i="8"/>
  <c r="A446" i="8"/>
  <c r="K252" i="8"/>
  <c r="M252" i="8"/>
  <c r="L252" i="8"/>
  <c r="J252" i="8"/>
  <c r="C252" i="8"/>
  <c r="K477" i="8"/>
  <c r="H477" i="8"/>
  <c r="A477" i="8"/>
  <c r="S501" i="3"/>
  <c r="H266" i="8"/>
  <c r="B384" i="8"/>
  <c r="A450" i="8"/>
  <c r="F450" i="8"/>
  <c r="I192" i="8"/>
  <c r="F192" i="8"/>
  <c r="S192" i="3"/>
  <c r="E192" i="8"/>
  <c r="C192" i="8"/>
  <c r="D192" i="8"/>
  <c r="L354" i="8"/>
  <c r="K354" i="8"/>
  <c r="F354" i="8"/>
  <c r="I354" i="8"/>
  <c r="B354" i="8"/>
  <c r="C221" i="8"/>
  <c r="D221" i="8"/>
  <c r="L221" i="8"/>
  <c r="K221" i="8"/>
  <c r="J221" i="8"/>
  <c r="I221" i="8"/>
  <c r="D261" i="8"/>
  <c r="J261" i="8"/>
  <c r="I365" i="8"/>
  <c r="G365" i="8"/>
  <c r="H365" i="8"/>
  <c r="E365" i="8"/>
  <c r="D365" i="8"/>
  <c r="G357" i="8"/>
  <c r="H357" i="8"/>
  <c r="E357" i="8"/>
  <c r="S357" i="3"/>
  <c r="A357" i="8"/>
  <c r="H437" i="8"/>
  <c r="I437" i="8"/>
  <c r="D437" i="8"/>
  <c r="L437" i="8"/>
  <c r="E165" i="8"/>
  <c r="B165" i="8"/>
  <c r="K165" i="8"/>
  <c r="N165" i="8"/>
  <c r="L165" i="8"/>
  <c r="B230" i="8"/>
  <c r="A230" i="8"/>
  <c r="S230" i="3"/>
  <c r="I444" i="8"/>
  <c r="K444" i="8"/>
  <c r="M444" i="8"/>
  <c r="S444" i="3"/>
  <c r="C444" i="8"/>
  <c r="G444" i="8"/>
  <c r="D444" i="8"/>
  <c r="B444" i="8"/>
  <c r="F444" i="8"/>
  <c r="H467" i="8"/>
  <c r="F467" i="8"/>
  <c r="B467" i="8"/>
  <c r="G95" i="8"/>
  <c r="H95" i="8"/>
  <c r="I95" i="8"/>
  <c r="F95" i="8"/>
  <c r="D95" i="8"/>
  <c r="A95" i="8"/>
  <c r="L419" i="8"/>
  <c r="K419" i="8"/>
  <c r="J419" i="8"/>
  <c r="S419" i="3"/>
  <c r="L407" i="8"/>
  <c r="G407" i="8"/>
  <c r="F407" i="8"/>
  <c r="I407" i="8"/>
  <c r="C1586" i="5"/>
  <c r="F1586" i="5"/>
  <c r="H179" i="8"/>
  <c r="C179" i="8"/>
  <c r="D179" i="8"/>
  <c r="C1180" i="5"/>
  <c r="E1180" i="5"/>
  <c r="A134" i="8"/>
  <c r="I134" i="8"/>
  <c r="H134" i="8"/>
  <c r="F134" i="8"/>
  <c r="L114" i="8"/>
  <c r="H114" i="8"/>
  <c r="G114" i="8"/>
  <c r="F114" i="8"/>
  <c r="C3124" i="5"/>
  <c r="E3124" i="5"/>
  <c r="K350" i="8"/>
  <c r="J350" i="8"/>
  <c r="I350" i="8"/>
  <c r="H350" i="8"/>
  <c r="C1631" i="5"/>
  <c r="F1631" i="5"/>
  <c r="G184" i="8"/>
  <c r="J184" i="8"/>
  <c r="S184" i="3"/>
  <c r="B184" i="8"/>
  <c r="E184" i="8"/>
  <c r="D184" i="8"/>
  <c r="C184" i="8"/>
  <c r="G226" i="8"/>
  <c r="J226" i="8"/>
  <c r="A246" i="8"/>
  <c r="K246" i="8"/>
  <c r="L246" i="8"/>
  <c r="G246" i="8"/>
  <c r="H246" i="8"/>
  <c r="L145" i="8"/>
  <c r="K145" i="8"/>
  <c r="I145" i="8"/>
  <c r="H145" i="8"/>
  <c r="F145" i="8"/>
  <c r="A145" i="8"/>
  <c r="L481" i="8"/>
  <c r="G481" i="8"/>
  <c r="E481" i="8"/>
  <c r="J395" i="8"/>
  <c r="L395" i="8"/>
  <c r="I395" i="8"/>
  <c r="D395" i="8"/>
  <c r="B199" i="8"/>
  <c r="I199" i="8"/>
  <c r="S199" i="3"/>
  <c r="A199" i="8"/>
  <c r="E199" i="8"/>
  <c r="C172" i="5"/>
  <c r="E172" i="5"/>
  <c r="G22" i="8"/>
  <c r="A22" i="8"/>
  <c r="B22" i="8"/>
  <c r="L22" i="8"/>
  <c r="J454" i="8"/>
  <c r="E454" i="8"/>
  <c r="D454" i="8"/>
  <c r="B454" i="8"/>
  <c r="C476" i="8"/>
  <c r="S476" i="3"/>
  <c r="K476" i="8"/>
  <c r="K266" i="8"/>
  <c r="J55" i="8"/>
  <c r="J388" i="8"/>
  <c r="G178" i="8"/>
  <c r="S178" i="3"/>
  <c r="E215" i="8"/>
  <c r="A215" i="8"/>
  <c r="C3178" i="5"/>
  <c r="E3178" i="5"/>
  <c r="A356" i="8"/>
  <c r="D488" i="8"/>
  <c r="J488" i="8"/>
  <c r="B488" i="8"/>
  <c r="L122" i="8"/>
  <c r="J122" i="8"/>
  <c r="H122" i="8"/>
  <c r="A384" i="8"/>
  <c r="I384" i="8"/>
  <c r="D161" i="8"/>
  <c r="E161" i="8"/>
  <c r="B466" i="8"/>
  <c r="G476" i="8"/>
  <c r="S266" i="3"/>
  <c r="S253" i="3"/>
  <c r="H210" i="8"/>
  <c r="C775" i="5"/>
  <c r="D89" i="8"/>
  <c r="E89" i="8"/>
  <c r="F457" i="8"/>
  <c r="G322" i="8"/>
  <c r="D322" i="8"/>
  <c r="D263" i="8"/>
  <c r="G263" i="8"/>
  <c r="H286" i="8"/>
  <c r="L286" i="8"/>
  <c r="F286" i="8"/>
  <c r="C1748" i="5"/>
  <c r="F1748" i="5"/>
  <c r="C197" i="8"/>
  <c r="K493" i="8"/>
  <c r="J493" i="8"/>
  <c r="H493" i="8"/>
  <c r="K492" i="8"/>
  <c r="F492" i="8"/>
  <c r="A492" i="8"/>
  <c r="J409" i="8"/>
  <c r="E409" i="8"/>
  <c r="K203" i="8"/>
  <c r="M203" i="8"/>
  <c r="I203" i="8"/>
  <c r="D203" i="8"/>
  <c r="F203" i="8"/>
  <c r="D141" i="8"/>
  <c r="B141" i="8"/>
  <c r="D277" i="8"/>
  <c r="I277" i="8"/>
  <c r="E277" i="8"/>
  <c r="A277" i="8"/>
  <c r="B490" i="8"/>
  <c r="K490" i="8"/>
  <c r="M490" i="8"/>
  <c r="F490" i="8"/>
  <c r="J457" i="8"/>
  <c r="I121" i="8"/>
  <c r="H121" i="8"/>
  <c r="I457" i="8"/>
  <c r="E168" i="8"/>
  <c r="C168" i="8"/>
  <c r="J67" i="8"/>
  <c r="B67" i="8"/>
  <c r="C119" i="5"/>
  <c r="F119" i="5"/>
  <c r="K16" i="8"/>
  <c r="K148" i="8"/>
  <c r="I148" i="8"/>
  <c r="A325" i="8"/>
  <c r="E325" i="8"/>
  <c r="C694" i="5"/>
  <c r="L80" i="8"/>
  <c r="C2818" i="5"/>
  <c r="E2818" i="5"/>
  <c r="B316" i="8"/>
  <c r="D258" i="8"/>
  <c r="E258" i="8"/>
  <c r="C258" i="8"/>
  <c r="A258" i="8"/>
  <c r="B264" i="8"/>
  <c r="C264" i="8"/>
  <c r="D264" i="8"/>
  <c r="A264" i="8"/>
  <c r="K201" i="8"/>
  <c r="M201" i="8"/>
  <c r="I201" i="8"/>
  <c r="K457" i="8"/>
  <c r="C189" i="8"/>
  <c r="A189" i="8"/>
  <c r="L254" i="8"/>
  <c r="B254" i="8"/>
  <c r="H321" i="8"/>
  <c r="J321" i="8"/>
  <c r="B321" i="8"/>
  <c r="K439" i="8"/>
  <c r="N439" i="8"/>
  <c r="B439" i="8"/>
  <c r="B82" i="8"/>
  <c r="C470" i="8"/>
  <c r="L470" i="8"/>
  <c r="K47" i="8"/>
  <c r="M47" i="8"/>
  <c r="I47" i="8"/>
  <c r="L188" i="8"/>
  <c r="J188" i="8"/>
  <c r="K188" i="8"/>
  <c r="H188" i="8"/>
  <c r="D38" i="8"/>
  <c r="C38" i="8"/>
  <c r="L303" i="8"/>
  <c r="K303" i="8"/>
  <c r="H73" i="8"/>
  <c r="J73" i="8"/>
  <c r="E180" i="8"/>
  <c r="I180" i="8"/>
  <c r="I186" i="8"/>
  <c r="F186" i="8"/>
  <c r="D186" i="8"/>
  <c r="C186" i="8"/>
  <c r="C1307" i="5"/>
  <c r="F1307" i="5"/>
  <c r="H112" i="8"/>
  <c r="F112" i="8"/>
  <c r="J191" i="8"/>
  <c r="L457" i="8"/>
  <c r="B502" i="8"/>
  <c r="J82" i="8"/>
  <c r="G439" i="8"/>
  <c r="D151" i="8"/>
  <c r="K138" i="8"/>
  <c r="G189" i="8"/>
  <c r="A142" i="8"/>
  <c r="K409" i="8"/>
  <c r="N409" i="8"/>
  <c r="F333" i="8"/>
  <c r="I442" i="8"/>
  <c r="D323" i="8"/>
  <c r="F188" i="8"/>
  <c r="H420" i="8"/>
  <c r="E490" i="8"/>
  <c r="H14" i="8"/>
  <c r="L118" i="8"/>
  <c r="B118" i="8"/>
  <c r="L415" i="8"/>
  <c r="C415" i="8"/>
  <c r="L441" i="8"/>
  <c r="A441" i="8"/>
  <c r="B256" i="8"/>
  <c r="E256" i="8"/>
  <c r="D130" i="8"/>
  <c r="A130" i="8"/>
  <c r="H206" i="8"/>
  <c r="F206" i="8"/>
  <c r="C1064" i="5"/>
  <c r="F1064" i="5"/>
  <c r="C1306" i="5"/>
  <c r="E1306" i="5"/>
  <c r="C1594" i="5"/>
  <c r="E1594" i="5"/>
  <c r="B358" i="8"/>
  <c r="L502" i="8"/>
  <c r="H196" i="8"/>
  <c r="H291" i="8"/>
  <c r="K151" i="8"/>
  <c r="H197" i="8"/>
  <c r="K189" i="8"/>
  <c r="A168" i="8"/>
  <c r="K156" i="8"/>
  <c r="F344" i="8"/>
  <c r="G346" i="8"/>
  <c r="J258" i="8"/>
  <c r="L172" i="8"/>
  <c r="C172" i="8"/>
  <c r="B299" i="8"/>
  <c r="K299" i="8"/>
  <c r="K341" i="8"/>
  <c r="H279" i="8"/>
  <c r="G463" i="8"/>
  <c r="I443" i="8"/>
  <c r="B228" i="8"/>
  <c r="J250" i="8"/>
  <c r="H250" i="8"/>
  <c r="F250" i="8"/>
  <c r="J102" i="8"/>
  <c r="K102" i="8"/>
  <c r="I102" i="8"/>
  <c r="C2053" i="5"/>
  <c r="E2053" i="5"/>
  <c r="J231" i="8"/>
  <c r="B231" i="8"/>
  <c r="C3034" i="5"/>
  <c r="I340" i="8"/>
  <c r="H340" i="8"/>
  <c r="G340" i="8"/>
  <c r="C66" i="8"/>
  <c r="D66" i="8"/>
  <c r="B66" i="8"/>
  <c r="A66" i="8"/>
  <c r="C181" i="5"/>
  <c r="H23" i="8"/>
  <c r="G23" i="8"/>
  <c r="F23" i="8"/>
  <c r="H88" i="8"/>
  <c r="F88" i="8"/>
  <c r="B88" i="8"/>
  <c r="F398" i="8"/>
  <c r="K398" i="8"/>
  <c r="J398" i="8"/>
  <c r="I398" i="8"/>
  <c r="B120" i="8"/>
  <c r="D120" i="8"/>
  <c r="A120" i="8"/>
  <c r="H126" i="8"/>
  <c r="J126" i="8"/>
  <c r="C126" i="8"/>
  <c r="K127" i="8"/>
  <c r="L127" i="8"/>
  <c r="S269" i="3"/>
  <c r="S443" i="3"/>
  <c r="S116" i="3"/>
  <c r="A269" i="8"/>
  <c r="J119" i="8"/>
  <c r="D487" i="8"/>
  <c r="G486" i="8"/>
  <c r="E176" i="8"/>
  <c r="C455" i="8"/>
  <c r="F340" i="8"/>
  <c r="H398" i="8"/>
  <c r="C88" i="8"/>
  <c r="C228" i="8"/>
  <c r="G91" i="8"/>
  <c r="C127" i="8"/>
  <c r="C498" i="8"/>
  <c r="F77" i="8"/>
  <c r="A77" i="8"/>
  <c r="C4186" i="5"/>
  <c r="E4186" i="5"/>
  <c r="C1063" i="5"/>
  <c r="E1063" i="5"/>
  <c r="C1235" i="5"/>
  <c r="F1235" i="5"/>
  <c r="D140" i="8"/>
  <c r="C140" i="8"/>
  <c r="E140" i="8"/>
  <c r="C3935" i="5"/>
  <c r="F3935" i="5"/>
  <c r="I440" i="8"/>
  <c r="D440" i="8"/>
  <c r="E440" i="8"/>
  <c r="I105" i="8"/>
  <c r="E105" i="8"/>
  <c r="F105" i="8"/>
  <c r="D105" i="8"/>
  <c r="F363" i="8"/>
  <c r="E363" i="8"/>
  <c r="G363" i="8"/>
  <c r="E443" i="8"/>
  <c r="G443" i="8"/>
  <c r="D443" i="8"/>
  <c r="I19" i="8"/>
  <c r="G19" i="8"/>
  <c r="C19" i="8"/>
  <c r="A42" i="8"/>
  <c r="C42" i="8"/>
  <c r="G113" i="8"/>
  <c r="J113" i="8"/>
  <c r="F113" i="8"/>
  <c r="D41" i="8"/>
  <c r="L41" i="8"/>
  <c r="J41" i="8"/>
  <c r="B92" i="8"/>
  <c r="C92" i="8"/>
  <c r="A92" i="8"/>
  <c r="E160" i="8"/>
  <c r="L160" i="8"/>
  <c r="K160" i="8"/>
  <c r="N160" i="8"/>
  <c r="L301" i="8"/>
  <c r="K301" i="8"/>
  <c r="I301" i="8"/>
  <c r="C418" i="8"/>
  <c r="E418" i="8"/>
  <c r="D418" i="8"/>
  <c r="S127" i="3"/>
  <c r="C269" i="8"/>
  <c r="L119" i="8"/>
  <c r="G41" i="8"/>
  <c r="C487" i="8"/>
  <c r="A140" i="8"/>
  <c r="B301" i="8"/>
  <c r="J340" i="8"/>
  <c r="L398" i="8"/>
  <c r="E88" i="8"/>
  <c r="H418" i="8"/>
  <c r="F19" i="8"/>
  <c r="L443" i="8"/>
  <c r="I228" i="8"/>
  <c r="A363" i="8"/>
  <c r="B127" i="8"/>
  <c r="B498" i="8"/>
  <c r="G360" i="8"/>
  <c r="K360" i="8"/>
  <c r="I360" i="8"/>
  <c r="E379" i="8"/>
  <c r="K379" i="8"/>
  <c r="N379" i="8"/>
  <c r="F379" i="8"/>
  <c r="B24" i="8"/>
  <c r="J24" i="8"/>
  <c r="E375" i="8"/>
  <c r="J375" i="8"/>
  <c r="L133" i="8"/>
  <c r="K133" i="8"/>
  <c r="I133" i="8"/>
  <c r="H133" i="8"/>
  <c r="F274" i="8"/>
  <c r="L274" i="8"/>
  <c r="K274" i="8"/>
  <c r="M274" i="8"/>
  <c r="S120" i="3"/>
  <c r="S228" i="3"/>
  <c r="E269" i="8"/>
  <c r="K119" i="8"/>
  <c r="C23" i="8"/>
  <c r="D301" i="8"/>
  <c r="K340" i="8"/>
  <c r="I88" i="8"/>
  <c r="I418" i="8"/>
  <c r="K19" i="8"/>
  <c r="H228" i="8"/>
  <c r="C363" i="8"/>
  <c r="A127" i="8"/>
  <c r="B20" i="8"/>
  <c r="F498" i="8"/>
  <c r="H41" i="8"/>
  <c r="S440" i="3"/>
  <c r="S484" i="3"/>
  <c r="B119" i="8"/>
  <c r="G140" i="8"/>
  <c r="G484" i="8"/>
  <c r="A23" i="8"/>
  <c r="A301" i="8"/>
  <c r="L340" i="8"/>
  <c r="C249" i="8"/>
  <c r="C133" i="8"/>
  <c r="J88" i="8"/>
  <c r="K418" i="8"/>
  <c r="M418" i="8"/>
  <c r="L19" i="8"/>
  <c r="K57" i="8"/>
  <c r="J228" i="8"/>
  <c r="H363" i="8"/>
  <c r="G127" i="8"/>
  <c r="C20" i="8"/>
  <c r="G498" i="8"/>
  <c r="B140" i="8"/>
  <c r="S231" i="3"/>
  <c r="D269" i="8"/>
  <c r="K41" i="8"/>
  <c r="D92" i="8"/>
  <c r="S439" i="3"/>
  <c r="B269" i="8"/>
  <c r="C429" i="8"/>
  <c r="A456" i="8"/>
  <c r="D311" i="8"/>
  <c r="I59" i="8"/>
  <c r="B433" i="8"/>
  <c r="B480" i="8"/>
  <c r="A119" i="8"/>
  <c r="I318" i="8"/>
  <c r="D160" i="8"/>
  <c r="H374" i="8"/>
  <c r="L381" i="8"/>
  <c r="F140" i="8"/>
  <c r="J92" i="8"/>
  <c r="K484" i="8"/>
  <c r="M484" i="8"/>
  <c r="F172" i="8"/>
  <c r="B23" i="8"/>
  <c r="F301" i="8"/>
  <c r="B39" i="8"/>
  <c r="J69" i="8"/>
  <c r="E66" i="8"/>
  <c r="D319" i="8"/>
  <c r="B249" i="8"/>
  <c r="E133" i="8"/>
  <c r="L88" i="8"/>
  <c r="B290" i="8"/>
  <c r="A156" i="8"/>
  <c r="B500" i="8"/>
  <c r="K54" i="8"/>
  <c r="M54" i="8"/>
  <c r="L228" i="8"/>
  <c r="J363" i="8"/>
  <c r="D234" i="8"/>
  <c r="E127" i="8"/>
  <c r="K231" i="8"/>
  <c r="D20" i="8"/>
  <c r="J498" i="8"/>
  <c r="S379" i="3"/>
  <c r="S340" i="3"/>
  <c r="F269" i="8"/>
  <c r="D456" i="8"/>
  <c r="C119" i="8"/>
  <c r="A160" i="8"/>
  <c r="I140" i="8"/>
  <c r="E92" i="8"/>
  <c r="D23" i="8"/>
  <c r="C301" i="8"/>
  <c r="D39" i="8"/>
  <c r="F66" i="8"/>
  <c r="G24" i="8"/>
  <c r="A105" i="8"/>
  <c r="K228" i="8"/>
  <c r="K363" i="8"/>
  <c r="F120" i="8"/>
  <c r="K27" i="8"/>
  <c r="I27" i="8"/>
  <c r="M27" i="8"/>
  <c r="F127" i="8"/>
  <c r="D58" i="8"/>
  <c r="K20" i="8"/>
  <c r="M20" i="8"/>
  <c r="E126" i="8"/>
  <c r="D42" i="8"/>
  <c r="J40" i="8"/>
  <c r="F40" i="8"/>
  <c r="L182" i="8"/>
  <c r="B182" i="8"/>
  <c r="B483" i="8"/>
  <c r="L483" i="8"/>
  <c r="D483" i="8"/>
  <c r="A483" i="8"/>
  <c r="S209" i="3"/>
  <c r="E209" i="8"/>
  <c r="I108" i="8"/>
  <c r="C108" i="8"/>
  <c r="D108" i="8"/>
  <c r="S119" i="3"/>
  <c r="S140" i="3"/>
  <c r="G269" i="8"/>
  <c r="E456" i="8"/>
  <c r="D119" i="8"/>
  <c r="C160" i="8"/>
  <c r="D250" i="8"/>
  <c r="H140" i="8"/>
  <c r="G92" i="8"/>
  <c r="L379" i="8"/>
  <c r="E23" i="8"/>
  <c r="E301" i="8"/>
  <c r="C39" i="8"/>
  <c r="G66" i="8"/>
  <c r="I24" i="8"/>
  <c r="B398" i="8"/>
  <c r="C105" i="8"/>
  <c r="B113" i="8"/>
  <c r="G375" i="8"/>
  <c r="A321" i="8"/>
  <c r="G382" i="8"/>
  <c r="L363" i="8"/>
  <c r="C120" i="8"/>
  <c r="I127" i="8"/>
  <c r="E58" i="8"/>
  <c r="K126" i="8"/>
  <c r="N126" i="8"/>
  <c r="F42" i="8"/>
  <c r="G61" i="8"/>
  <c r="I61" i="8"/>
  <c r="J61" i="8"/>
  <c r="I458" i="8"/>
  <c r="A458" i="8"/>
  <c r="D458" i="8"/>
  <c r="J7" i="8"/>
  <c r="C7" i="8"/>
  <c r="S113" i="3"/>
  <c r="S160" i="3"/>
  <c r="S398" i="3"/>
  <c r="I269" i="8"/>
  <c r="F456" i="8"/>
  <c r="E119" i="8"/>
  <c r="B41" i="8"/>
  <c r="B160" i="8"/>
  <c r="C250" i="8"/>
  <c r="L140" i="8"/>
  <c r="F92" i="8"/>
  <c r="B474" i="8"/>
  <c r="I23" i="8"/>
  <c r="G301" i="8"/>
  <c r="B340" i="8"/>
  <c r="H39" i="8"/>
  <c r="H66" i="8"/>
  <c r="A398" i="8"/>
  <c r="B105" i="8"/>
  <c r="H373" i="8"/>
  <c r="C113" i="8"/>
  <c r="D321" i="8"/>
  <c r="E120" i="8"/>
  <c r="J127" i="8"/>
  <c r="K440" i="8"/>
  <c r="M440" i="8"/>
  <c r="C58" i="8"/>
  <c r="A38" i="8"/>
  <c r="I42" i="8"/>
  <c r="C1685" i="5"/>
  <c r="F1685" i="5"/>
  <c r="E190" i="8"/>
  <c r="B190" i="8"/>
  <c r="D190" i="8"/>
  <c r="A152" i="8"/>
  <c r="H152" i="8"/>
  <c r="E152" i="8"/>
  <c r="C152" i="8"/>
  <c r="A67" i="8"/>
  <c r="K67" i="8"/>
  <c r="I67" i="8"/>
  <c r="M67" i="8"/>
  <c r="N67" i="8"/>
  <c r="C67" i="8"/>
  <c r="D67" i="8"/>
  <c r="K396" i="8"/>
  <c r="I396" i="8"/>
  <c r="F396" i="8"/>
  <c r="K153" i="8"/>
  <c r="J153" i="8"/>
  <c r="D113" i="8"/>
  <c r="A443" i="8"/>
  <c r="K120" i="8"/>
  <c r="J440" i="8"/>
  <c r="E151" i="8"/>
  <c r="B151" i="8"/>
  <c r="C151" i="8"/>
  <c r="K344" i="8"/>
  <c r="I344" i="8"/>
  <c r="E344" i="8"/>
  <c r="C344" i="8"/>
  <c r="F189" i="8"/>
  <c r="D189" i="8"/>
  <c r="E189" i="8"/>
  <c r="K254" i="8"/>
  <c r="C254" i="8"/>
  <c r="F254" i="8"/>
  <c r="D254" i="8"/>
  <c r="H138" i="8"/>
  <c r="B138" i="8"/>
  <c r="C138" i="8"/>
  <c r="A138" i="8"/>
  <c r="L54" i="8"/>
  <c r="F54" i="8"/>
  <c r="A54" i="8"/>
  <c r="B54" i="8"/>
  <c r="A439" i="8"/>
  <c r="L439" i="8"/>
  <c r="H82" i="8"/>
  <c r="I82" i="8"/>
  <c r="F82" i="8"/>
  <c r="H382" i="8"/>
  <c r="D382" i="8"/>
  <c r="A382" i="8"/>
  <c r="I470" i="8"/>
  <c r="H470" i="8"/>
  <c r="G470" i="8"/>
  <c r="K421" i="8"/>
  <c r="I421" i="8"/>
  <c r="G421" i="8"/>
  <c r="C397" i="5"/>
  <c r="E397" i="5"/>
  <c r="D47" i="8"/>
  <c r="A47" i="8"/>
  <c r="B47" i="8"/>
  <c r="F156" i="8"/>
  <c r="D156" i="8"/>
  <c r="B156" i="8"/>
  <c r="I265" i="8"/>
  <c r="B265" i="8"/>
  <c r="A265" i="8"/>
  <c r="C303" i="8"/>
  <c r="E303" i="8"/>
  <c r="B303" i="8"/>
  <c r="C3007" i="5"/>
  <c r="E3007" i="5"/>
  <c r="F337" i="8"/>
  <c r="G337" i="8"/>
  <c r="E337" i="8"/>
  <c r="I73" i="8"/>
  <c r="F73" i="8"/>
  <c r="G73" i="8"/>
  <c r="C1595" i="5"/>
  <c r="F1595" i="5"/>
  <c r="A180" i="8"/>
  <c r="K180" i="8"/>
  <c r="J180" i="8"/>
  <c r="C748" i="5"/>
  <c r="E748" i="5"/>
  <c r="J86" i="8"/>
  <c r="H86" i="8"/>
  <c r="I86" i="8"/>
  <c r="K186" i="8"/>
  <c r="L186" i="8"/>
  <c r="J186" i="8"/>
  <c r="G186" i="8"/>
  <c r="C163" i="5"/>
  <c r="E163" i="5"/>
  <c r="D21" i="8"/>
  <c r="C21" i="8"/>
  <c r="B21" i="8"/>
  <c r="C346" i="8"/>
  <c r="L346" i="8"/>
  <c r="K346" i="8"/>
  <c r="J346" i="8"/>
  <c r="G121" i="8"/>
  <c r="F121" i="8"/>
  <c r="B121" i="8"/>
  <c r="C4087" i="5"/>
  <c r="B457" i="8"/>
  <c r="C457" i="8"/>
  <c r="A457" i="8"/>
  <c r="A41" i="8"/>
  <c r="H160" i="8"/>
  <c r="K140" i="8"/>
  <c r="N140" i="8"/>
  <c r="I92" i="8"/>
  <c r="H474" i="8"/>
  <c r="J23" i="8"/>
  <c r="H301" i="8"/>
  <c r="A340" i="8"/>
  <c r="G39" i="8"/>
  <c r="I66" i="8"/>
  <c r="D398" i="8"/>
  <c r="G105" i="8"/>
  <c r="K456" i="8"/>
  <c r="M456" i="8"/>
  <c r="G119" i="8"/>
  <c r="K12" i="8"/>
  <c r="C41" i="8"/>
  <c r="F160" i="8"/>
  <c r="A380" i="8"/>
  <c r="J140" i="8"/>
  <c r="H92" i="8"/>
  <c r="L23" i="8"/>
  <c r="J301" i="8"/>
  <c r="D340" i="8"/>
  <c r="J66" i="8"/>
  <c r="C398" i="8"/>
  <c r="H105" i="8"/>
  <c r="A418" i="8"/>
  <c r="E113" i="8"/>
  <c r="H344" i="8"/>
  <c r="G102" i="8"/>
  <c r="I321" i="8"/>
  <c r="F443" i="8"/>
  <c r="L382" i="8"/>
  <c r="J120" i="8"/>
  <c r="L440" i="8"/>
  <c r="I58" i="8"/>
  <c r="G118" i="8"/>
  <c r="E118" i="8"/>
  <c r="F118" i="8"/>
  <c r="C1225" i="5"/>
  <c r="E1225" i="5"/>
  <c r="D139" i="8"/>
  <c r="A139" i="8"/>
  <c r="B139" i="8"/>
  <c r="A426" i="8"/>
  <c r="C426" i="8"/>
  <c r="J468" i="8"/>
  <c r="H468" i="8"/>
  <c r="I468" i="8"/>
  <c r="E415" i="8"/>
  <c r="K415" i="8"/>
  <c r="H415" i="8"/>
  <c r="F415" i="8"/>
  <c r="G491" i="8"/>
  <c r="C491" i="8"/>
  <c r="A491" i="8"/>
  <c r="K256" i="8"/>
  <c r="G256" i="8"/>
  <c r="H256" i="8"/>
  <c r="F256" i="8"/>
  <c r="L242" i="8"/>
  <c r="I242" i="8"/>
  <c r="J130" i="8"/>
  <c r="G130" i="8"/>
  <c r="C130" i="8"/>
  <c r="C371" i="8"/>
  <c r="E371" i="8"/>
  <c r="B371" i="8"/>
  <c r="I270" i="8"/>
  <c r="C270" i="8"/>
  <c r="E408" i="8"/>
  <c r="K408" i="8"/>
  <c r="L408" i="8"/>
  <c r="I408" i="8"/>
  <c r="B296" i="8"/>
  <c r="A296" i="8"/>
  <c r="C296" i="8"/>
  <c r="C1055" i="5"/>
  <c r="F1055" i="5"/>
  <c r="C3818" i="5"/>
  <c r="G397" i="8"/>
  <c r="B405" i="8"/>
  <c r="J72" i="8"/>
  <c r="D332" i="8"/>
  <c r="K32" i="8"/>
  <c r="B325" i="8"/>
  <c r="D49" i="8"/>
  <c r="D84" i="8"/>
  <c r="J14" i="8"/>
  <c r="E397" i="8"/>
  <c r="A238" i="8"/>
  <c r="G405" i="8"/>
  <c r="L72" i="8"/>
  <c r="G332" i="8"/>
  <c r="D325" i="8"/>
  <c r="B49" i="8"/>
  <c r="C84" i="8"/>
  <c r="L14" i="8"/>
  <c r="H397" i="8"/>
  <c r="B238" i="8"/>
  <c r="E49" i="8"/>
  <c r="A420" i="8"/>
  <c r="S312" i="3"/>
  <c r="K307" i="8"/>
  <c r="A183" i="8"/>
  <c r="I78" i="8"/>
  <c r="G164" i="8"/>
  <c r="C2828" i="5"/>
  <c r="F2828" i="5"/>
  <c r="H317" i="8"/>
  <c r="C317" i="8"/>
  <c r="A317" i="8"/>
  <c r="J501" i="8"/>
  <c r="E501" i="8"/>
  <c r="A501" i="8"/>
  <c r="C178" i="8"/>
  <c r="I178" i="8"/>
  <c r="H178" i="8"/>
  <c r="B390" i="8"/>
  <c r="D390" i="8"/>
  <c r="K390" i="8"/>
  <c r="L389" i="8"/>
  <c r="I389" i="8"/>
  <c r="H389" i="8"/>
  <c r="E389" i="8"/>
  <c r="A227" i="8"/>
  <c r="D227" i="8"/>
  <c r="K227" i="8"/>
  <c r="M227" i="8"/>
  <c r="F227" i="8"/>
  <c r="J11" i="8"/>
  <c r="C11" i="8"/>
  <c r="D210" i="8"/>
  <c r="J210" i="8"/>
  <c r="G210" i="8"/>
  <c r="D410" i="8"/>
  <c r="F410" i="8"/>
  <c r="D348" i="8"/>
  <c r="I348" i="8"/>
  <c r="G348" i="8"/>
  <c r="B348" i="8"/>
  <c r="C161" i="8"/>
  <c r="K161" i="8"/>
  <c r="J161" i="8"/>
  <c r="S483" i="3"/>
  <c r="S215" i="3"/>
  <c r="A48" i="8"/>
  <c r="H356" i="8"/>
  <c r="H205" i="8"/>
  <c r="C215" i="8"/>
  <c r="E483" i="8"/>
  <c r="G77" i="8"/>
  <c r="E117" i="8"/>
  <c r="A266" i="8"/>
  <c r="E384" i="8"/>
  <c r="B45" i="8"/>
  <c r="F317" i="8"/>
  <c r="B178" i="8"/>
  <c r="H40" i="8"/>
  <c r="J307" i="8"/>
  <c r="L108" i="8"/>
  <c r="J348" i="8"/>
  <c r="C210" i="8"/>
  <c r="E17" i="8"/>
  <c r="G182" i="8"/>
  <c r="A488" i="8"/>
  <c r="K496" i="8"/>
  <c r="G312" i="8"/>
  <c r="C183" i="8"/>
  <c r="I181" i="8"/>
  <c r="H107" i="8"/>
  <c r="B369" i="8"/>
  <c r="K15" i="8"/>
  <c r="M15" i="8"/>
  <c r="B416" i="8"/>
  <c r="D462" i="8"/>
  <c r="B413" i="8"/>
  <c r="F501" i="8"/>
  <c r="C404" i="8"/>
  <c r="I174" i="8"/>
  <c r="A34" i="8"/>
  <c r="L388" i="8"/>
  <c r="F164" i="8"/>
  <c r="F390" i="8"/>
  <c r="J410" i="8"/>
  <c r="J209" i="8"/>
  <c r="S413" i="3"/>
  <c r="S117" i="3"/>
  <c r="S317" i="3"/>
  <c r="D48" i="8"/>
  <c r="F356" i="8"/>
  <c r="J205" i="8"/>
  <c r="G215" i="8"/>
  <c r="H483" i="8"/>
  <c r="I77" i="8"/>
  <c r="B117" i="8"/>
  <c r="C266" i="8"/>
  <c r="D384" i="8"/>
  <c r="E45" i="8"/>
  <c r="I317" i="8"/>
  <c r="D178" i="8"/>
  <c r="I40" i="8"/>
  <c r="L307" i="8"/>
  <c r="K348" i="8"/>
  <c r="A210" i="8"/>
  <c r="F17" i="8"/>
  <c r="J182" i="8"/>
  <c r="C488" i="8"/>
  <c r="I496" i="8"/>
  <c r="H312" i="8"/>
  <c r="F183" i="8"/>
  <c r="L181" i="8"/>
  <c r="L107" i="8"/>
  <c r="C369" i="8"/>
  <c r="A416" i="8"/>
  <c r="E462" i="8"/>
  <c r="F413" i="8"/>
  <c r="I501" i="8"/>
  <c r="A404" i="8"/>
  <c r="J174" i="8"/>
  <c r="B34" i="8"/>
  <c r="H164" i="8"/>
  <c r="H390" i="8"/>
  <c r="A368" i="8"/>
  <c r="L410" i="8"/>
  <c r="A240" i="8"/>
  <c r="F281" i="8"/>
  <c r="C230" i="8"/>
  <c r="G225" i="8"/>
  <c r="D225" i="8"/>
  <c r="J225" i="8"/>
  <c r="L225" i="8"/>
  <c r="H225" i="8"/>
  <c r="E225" i="8"/>
  <c r="A225" i="8"/>
  <c r="S390" i="3"/>
  <c r="S384" i="3"/>
  <c r="S287" i="3"/>
  <c r="S356" i="3"/>
  <c r="S174" i="3"/>
  <c r="C48" i="8"/>
  <c r="K356" i="8"/>
  <c r="I205" i="8"/>
  <c r="I215" i="8"/>
  <c r="G483" i="8"/>
  <c r="H77" i="8"/>
  <c r="C117" i="8"/>
  <c r="F266" i="8"/>
  <c r="F384" i="8"/>
  <c r="A45" i="8"/>
  <c r="J317" i="8"/>
  <c r="E178" i="8"/>
  <c r="K40" i="8"/>
  <c r="B122" i="8"/>
  <c r="L348" i="8"/>
  <c r="B210" i="8"/>
  <c r="G17" i="8"/>
  <c r="K182" i="8"/>
  <c r="N182" i="8"/>
  <c r="E488" i="8"/>
  <c r="J496" i="8"/>
  <c r="J312" i="8"/>
  <c r="G183" i="8"/>
  <c r="K181" i="8"/>
  <c r="K107" i="8"/>
  <c r="M107" i="8"/>
  <c r="N107" i="8"/>
  <c r="G369" i="8"/>
  <c r="E416" i="8"/>
  <c r="H462" i="8"/>
  <c r="H413" i="8"/>
  <c r="B404" i="8"/>
  <c r="C4" i="8"/>
  <c r="C34" i="8"/>
  <c r="J390" i="8"/>
  <c r="J240" i="8"/>
  <c r="G281" i="8"/>
  <c r="I166" i="8"/>
  <c r="B17" i="8"/>
  <c r="G107" i="8"/>
  <c r="S488" i="3"/>
  <c r="S348" i="3"/>
  <c r="S410" i="3"/>
  <c r="S404" i="3"/>
  <c r="G48" i="8"/>
  <c r="J356" i="8"/>
  <c r="L205" i="8"/>
  <c r="H215" i="8"/>
  <c r="I483" i="8"/>
  <c r="K77" i="8"/>
  <c r="D117" i="8"/>
  <c r="C384" i="8"/>
  <c r="D45" i="8"/>
  <c r="K317" i="8"/>
  <c r="N317" i="8"/>
  <c r="F178" i="8"/>
  <c r="A122" i="8"/>
  <c r="E210" i="8"/>
  <c r="J17" i="8"/>
  <c r="K312" i="8"/>
  <c r="I183" i="8"/>
  <c r="H369" i="8"/>
  <c r="B300" i="8"/>
  <c r="D416" i="8"/>
  <c r="L462" i="8"/>
  <c r="G413" i="8"/>
  <c r="D404" i="8"/>
  <c r="F4" i="8"/>
  <c r="G34" i="8"/>
  <c r="L390" i="8"/>
  <c r="J281" i="8"/>
  <c r="F11" i="8"/>
  <c r="S205" i="3"/>
  <c r="B48" i="8"/>
  <c r="E77" i="8"/>
  <c r="A117" i="8"/>
  <c r="K45" i="8"/>
  <c r="F496" i="8"/>
  <c r="F312" i="8"/>
  <c r="E369" i="8"/>
  <c r="L15" i="8"/>
  <c r="C416" i="8"/>
  <c r="B462" i="8"/>
  <c r="C413" i="8"/>
  <c r="H465" i="8"/>
  <c r="G465" i="8"/>
  <c r="J465" i="8"/>
  <c r="A465" i="8"/>
  <c r="F488" i="8"/>
  <c r="H488" i="8"/>
  <c r="E87" i="8"/>
  <c r="D87" i="8"/>
  <c r="K87" i="8"/>
  <c r="M87" i="8"/>
  <c r="H87" i="8"/>
  <c r="J87" i="8"/>
  <c r="G87" i="8"/>
  <c r="B87" i="8"/>
  <c r="E62" i="8"/>
  <c r="D62" i="8"/>
  <c r="I62" i="8"/>
  <c r="F62" i="8"/>
  <c r="B62" i="8"/>
  <c r="C62" i="8"/>
  <c r="E383" i="8"/>
  <c r="D383" i="8"/>
  <c r="L383" i="8"/>
  <c r="H383" i="8"/>
  <c r="E40" i="8"/>
  <c r="G40" i="8"/>
  <c r="D40" i="8"/>
  <c r="A40" i="8"/>
  <c r="F253" i="8"/>
  <c r="E253" i="8"/>
  <c r="A253" i="8"/>
  <c r="I182" i="8"/>
  <c r="H182" i="8"/>
  <c r="L209" i="8"/>
  <c r="K209" i="8"/>
  <c r="G209" i="8"/>
  <c r="C2369" i="5"/>
  <c r="F2369" i="5"/>
  <c r="C2368" i="5"/>
  <c r="E2368" i="5"/>
  <c r="S210" i="3"/>
  <c r="S182" i="3"/>
  <c r="S183" i="3"/>
  <c r="S122" i="3"/>
  <c r="F48" i="8"/>
  <c r="L356" i="8"/>
  <c r="J215" i="8"/>
  <c r="J483" i="8"/>
  <c r="D266" i="8"/>
  <c r="G384" i="8"/>
  <c r="K178" i="8"/>
  <c r="N178" i="8"/>
  <c r="F122" i="8"/>
  <c r="F210" i="8"/>
  <c r="A161" i="8"/>
  <c r="G488" i="8"/>
  <c r="J183" i="8"/>
  <c r="I369" i="8"/>
  <c r="A300" i="8"/>
  <c r="E15" i="8"/>
  <c r="L416" i="8"/>
  <c r="J413" i="8"/>
  <c r="F404" i="8"/>
  <c r="F34" i="8"/>
  <c r="A279" i="8"/>
  <c r="J227" i="8"/>
  <c r="S388" i="3"/>
  <c r="K205" i="8"/>
  <c r="J77" i="8"/>
  <c r="F117" i="8"/>
  <c r="C45" i="8"/>
  <c r="L317" i="8"/>
  <c r="L40" i="8"/>
  <c r="K17" i="8"/>
  <c r="S166" i="3"/>
  <c r="S164" i="3"/>
  <c r="S161" i="3"/>
  <c r="E48" i="8"/>
  <c r="B356" i="8"/>
  <c r="C205" i="8"/>
  <c r="L215" i="8"/>
  <c r="K483" i="8"/>
  <c r="M483" i="8"/>
  <c r="L77" i="8"/>
  <c r="G117" i="8"/>
  <c r="G266" i="8"/>
  <c r="J384" i="8"/>
  <c r="F45" i="8"/>
  <c r="L178" i="8"/>
  <c r="G122" i="8"/>
  <c r="A108" i="8"/>
  <c r="I210" i="8"/>
  <c r="L17" i="8"/>
  <c r="B161" i="8"/>
  <c r="K488" i="8"/>
  <c r="L369" i="8"/>
  <c r="F300" i="8"/>
  <c r="A15" i="8"/>
  <c r="B253" i="8"/>
  <c r="F279" i="8"/>
  <c r="A389" i="8"/>
  <c r="H307" i="8"/>
  <c r="C307" i="8"/>
  <c r="B307" i="8"/>
  <c r="H181" i="8"/>
  <c r="E181" i="8"/>
  <c r="D181" i="8"/>
  <c r="H404" i="8"/>
  <c r="K404" i="8"/>
  <c r="I404" i="8"/>
  <c r="G404" i="8"/>
  <c r="E404" i="8"/>
  <c r="D208" i="8"/>
  <c r="I208" i="8"/>
  <c r="G208" i="8"/>
  <c r="C1847" i="5"/>
  <c r="F1847" i="5"/>
  <c r="J208" i="8"/>
  <c r="F208" i="8"/>
  <c r="B208" i="8"/>
  <c r="C208" i="8"/>
  <c r="E208" i="8"/>
  <c r="E183" i="8"/>
  <c r="H183" i="8"/>
  <c r="D183" i="8"/>
  <c r="B183" i="8"/>
  <c r="L496" i="8"/>
  <c r="G496" i="8"/>
  <c r="H496" i="8"/>
  <c r="K174" i="8"/>
  <c r="N174" i="8"/>
  <c r="B174" i="8"/>
  <c r="A174" i="8"/>
  <c r="C174" i="8"/>
  <c r="L174" i="8"/>
  <c r="H174" i="8"/>
  <c r="C4132" i="5"/>
  <c r="E4132" i="5"/>
  <c r="J462" i="8"/>
  <c r="I462" i="8"/>
  <c r="F462" i="8"/>
  <c r="C462" i="8"/>
  <c r="I416" i="8"/>
  <c r="K416" i="8"/>
  <c r="M416" i="8"/>
  <c r="H416" i="8"/>
  <c r="G416" i="8"/>
  <c r="C312" i="8"/>
  <c r="I312" i="8"/>
  <c r="B312" i="8"/>
  <c r="A312" i="8"/>
  <c r="H45" i="8"/>
  <c r="E307" i="8"/>
  <c r="H300" i="8"/>
  <c r="H62" i="8"/>
  <c r="J253" i="8"/>
  <c r="E287" i="8"/>
  <c r="C389" i="8"/>
  <c r="S281" i="3"/>
  <c r="S496" i="3"/>
  <c r="S300" i="3"/>
  <c r="I48" i="8"/>
  <c r="E356" i="8"/>
  <c r="D205" i="8"/>
  <c r="B215" i="8"/>
  <c r="C483" i="8"/>
  <c r="D77" i="8"/>
  <c r="L117" i="8"/>
  <c r="D166" i="8"/>
  <c r="I266" i="8"/>
  <c r="K384" i="8"/>
  <c r="I45" i="8"/>
  <c r="F154" i="8"/>
  <c r="F307" i="8"/>
  <c r="K122" i="8"/>
  <c r="F108" i="8"/>
  <c r="E348" i="8"/>
  <c r="K210" i="8"/>
  <c r="N210" i="8"/>
  <c r="C182" i="8"/>
  <c r="I161" i="8"/>
  <c r="D496" i="8"/>
  <c r="A181" i="8"/>
  <c r="E107" i="8"/>
  <c r="I300" i="8"/>
  <c r="H15" i="8"/>
  <c r="E174" i="8"/>
  <c r="A388" i="8"/>
  <c r="K253" i="8"/>
  <c r="G287" i="8"/>
  <c r="F389" i="8"/>
  <c r="A383" i="8"/>
  <c r="F44" i="8"/>
  <c r="D44" i="8"/>
  <c r="G453" i="8"/>
  <c r="J453" i="8"/>
  <c r="D453" i="8"/>
  <c r="E453" i="8"/>
  <c r="J378" i="8"/>
  <c r="D378" i="8"/>
  <c r="A378" i="8"/>
  <c r="C478" i="8"/>
  <c r="E478" i="8"/>
  <c r="H478" i="8"/>
  <c r="G478" i="8"/>
  <c r="F55" i="8"/>
  <c r="D55" i="8"/>
  <c r="J162" i="8"/>
  <c r="K162" i="8"/>
  <c r="E162" i="8"/>
  <c r="B159" i="8"/>
  <c r="L159" i="8"/>
  <c r="E159" i="8"/>
  <c r="I144" i="8"/>
  <c r="E144" i="8"/>
  <c r="C144" i="8"/>
  <c r="J144" i="8"/>
  <c r="K200" i="8"/>
  <c r="M200" i="8"/>
  <c r="H200" i="8"/>
  <c r="B85" i="8"/>
  <c r="F85" i="8"/>
  <c r="D85" i="8"/>
  <c r="G85" i="8"/>
  <c r="E85" i="8"/>
  <c r="A85" i="8"/>
  <c r="G244" i="8"/>
  <c r="B244" i="8"/>
  <c r="A244" i="8"/>
  <c r="K347" i="8"/>
  <c r="M347" i="8"/>
  <c r="E347" i="8"/>
  <c r="D28" i="8"/>
  <c r="E28" i="8"/>
  <c r="J359" i="8"/>
  <c r="H359" i="8"/>
  <c r="E359" i="8"/>
  <c r="A359" i="8"/>
  <c r="I446" i="8"/>
  <c r="H446" i="8"/>
  <c r="I252" i="8"/>
  <c r="F252" i="8"/>
  <c r="E447" i="8"/>
  <c r="B447" i="8"/>
  <c r="A447" i="8"/>
  <c r="C447" i="8"/>
  <c r="L214" i="8"/>
  <c r="C214" i="8"/>
  <c r="B214" i="8"/>
  <c r="F276" i="8"/>
  <c r="I276" i="8"/>
  <c r="D276" i="8"/>
  <c r="S462" i="3"/>
  <c r="S227" i="3"/>
  <c r="S11" i="3"/>
  <c r="S181" i="3"/>
  <c r="L48" i="8"/>
  <c r="D356" i="8"/>
  <c r="E205" i="8"/>
  <c r="F215" i="8"/>
  <c r="F483" i="8"/>
  <c r="C77" i="8"/>
  <c r="J117" i="8"/>
  <c r="F166" i="8"/>
  <c r="J266" i="8"/>
  <c r="L384" i="8"/>
  <c r="J45" i="8"/>
  <c r="D317" i="8"/>
  <c r="H154" i="8"/>
  <c r="C40" i="8"/>
  <c r="G307" i="8"/>
  <c r="G108" i="8"/>
  <c r="C348" i="8"/>
  <c r="C17" i="8"/>
  <c r="A182" i="8"/>
  <c r="H161" i="8"/>
  <c r="C496" i="8"/>
  <c r="D312" i="8"/>
  <c r="G181" i="8"/>
  <c r="F107" i="8"/>
  <c r="J300" i="8"/>
  <c r="G15" i="8"/>
  <c r="D501" i="8"/>
  <c r="D174" i="8"/>
  <c r="C388" i="8"/>
  <c r="E164" i="8"/>
  <c r="B225" i="8"/>
  <c r="C410" i="8"/>
  <c r="H287" i="8"/>
  <c r="G383" i="8"/>
  <c r="C1702" i="5"/>
  <c r="C1703" i="5"/>
  <c r="F1703" i="5"/>
  <c r="B192" i="8"/>
  <c r="H192" i="8"/>
  <c r="G192" i="8"/>
  <c r="G354" i="8"/>
  <c r="A354" i="8"/>
  <c r="J354" i="8"/>
  <c r="H354" i="8"/>
  <c r="E221" i="8"/>
  <c r="A221" i="8"/>
  <c r="B221" i="8"/>
  <c r="C4169" i="5"/>
  <c r="L466" i="8"/>
  <c r="F466" i="8"/>
  <c r="G466" i="8"/>
  <c r="D466" i="8"/>
  <c r="E466" i="8"/>
  <c r="A466" i="8"/>
  <c r="C466" i="8"/>
  <c r="H177" i="8"/>
  <c r="F177" i="8"/>
  <c r="B177" i="8"/>
  <c r="J177" i="8"/>
  <c r="E177" i="8"/>
  <c r="S261" i="3"/>
  <c r="F261" i="8"/>
  <c r="A261" i="8"/>
  <c r="L261" i="8"/>
  <c r="H261" i="8"/>
  <c r="C3260" i="5"/>
  <c r="F3260" i="5"/>
  <c r="F365" i="8"/>
  <c r="B365" i="8"/>
  <c r="L365" i="8"/>
  <c r="C3187" i="5"/>
  <c r="E3187" i="5"/>
  <c r="C357" i="8"/>
  <c r="L357" i="8"/>
  <c r="J357" i="8"/>
  <c r="S437" i="3"/>
  <c r="C3907" i="5"/>
  <c r="E3907" i="5"/>
  <c r="C437" i="8"/>
  <c r="E437" i="8"/>
  <c r="A437" i="8"/>
  <c r="S165" i="3"/>
  <c r="C1459" i="5"/>
  <c r="C2045" i="5"/>
  <c r="F2045" i="5"/>
  <c r="H230" i="8"/>
  <c r="F230" i="8"/>
  <c r="L230" i="8"/>
  <c r="J230" i="8"/>
  <c r="I230" i="8"/>
  <c r="E230" i="8"/>
  <c r="D230" i="8"/>
  <c r="C3971" i="5"/>
  <c r="C3970" i="5"/>
  <c r="E3970" i="5"/>
  <c r="C4178" i="5"/>
  <c r="F4178" i="5"/>
  <c r="I467" i="8"/>
  <c r="C4177" i="5"/>
  <c r="E4177" i="5"/>
  <c r="G467" i="8"/>
  <c r="A467" i="8"/>
  <c r="L467" i="8"/>
  <c r="J467" i="8"/>
  <c r="C829" i="5"/>
  <c r="E829" i="5"/>
  <c r="C830" i="5"/>
  <c r="C3746" i="5"/>
  <c r="F3746" i="5"/>
  <c r="F419" i="8"/>
  <c r="E419" i="8"/>
  <c r="C3745" i="5"/>
  <c r="E3745" i="5"/>
  <c r="H419" i="8"/>
  <c r="C419" i="8"/>
  <c r="D419" i="8"/>
  <c r="B419" i="8"/>
  <c r="A419" i="8"/>
  <c r="C3637" i="5"/>
  <c r="J407" i="8"/>
  <c r="K407" i="8"/>
  <c r="E407" i="8"/>
  <c r="D407" i="8"/>
  <c r="B407" i="8"/>
  <c r="A407" i="8"/>
  <c r="C1585" i="5"/>
  <c r="E1585" i="5"/>
  <c r="K179" i="8"/>
  <c r="M179" i="8"/>
  <c r="J179" i="8"/>
  <c r="G179" i="8"/>
  <c r="F179" i="8"/>
  <c r="I179" i="8"/>
  <c r="A179" i="8"/>
  <c r="B179" i="8"/>
  <c r="C1000" i="5"/>
  <c r="E1000" i="5"/>
  <c r="K114" i="8"/>
  <c r="J114" i="8"/>
  <c r="I114" i="8"/>
  <c r="D114" i="8"/>
  <c r="E114" i="8"/>
  <c r="B114" i="8"/>
  <c r="A114" i="8"/>
  <c r="C3125" i="5"/>
  <c r="F350" i="8"/>
  <c r="G350" i="8"/>
  <c r="E350" i="8"/>
  <c r="A350" i="8"/>
  <c r="B350" i="8"/>
  <c r="C350" i="8"/>
  <c r="L350" i="8"/>
  <c r="C2008" i="5"/>
  <c r="E2008" i="5"/>
  <c r="E226" i="8"/>
  <c r="B226" i="8"/>
  <c r="L226" i="8"/>
  <c r="K226" i="8"/>
  <c r="N226" i="8"/>
  <c r="F226" i="8"/>
  <c r="C2189" i="5"/>
  <c r="F2189" i="5"/>
  <c r="C246" i="8"/>
  <c r="E246" i="8"/>
  <c r="I246" i="8"/>
  <c r="J246" i="8"/>
  <c r="C1280" i="5"/>
  <c r="F1280" i="5"/>
  <c r="G145" i="8"/>
  <c r="D145" i="8"/>
  <c r="J145" i="8"/>
  <c r="E145" i="8"/>
  <c r="B145" i="8"/>
  <c r="C4303" i="5"/>
  <c r="I481" i="8"/>
  <c r="J481" i="8"/>
  <c r="F481" i="8"/>
  <c r="C481" i="8"/>
  <c r="A481" i="8"/>
  <c r="B481" i="8"/>
  <c r="D481" i="8"/>
  <c r="C3529" i="5"/>
  <c r="E3529" i="5"/>
  <c r="E395" i="8"/>
  <c r="C395" i="8"/>
  <c r="F395" i="8"/>
  <c r="H395" i="8"/>
  <c r="A395" i="8"/>
  <c r="B395" i="8"/>
  <c r="K395" i="8"/>
  <c r="C1766" i="5"/>
  <c r="K199" i="8"/>
  <c r="D199" i="8"/>
  <c r="H199" i="8"/>
  <c r="C4061" i="5"/>
  <c r="F4061" i="5"/>
  <c r="A454" i="8"/>
  <c r="C454" i="8"/>
  <c r="C4060" i="5"/>
  <c r="E4060" i="5"/>
  <c r="K454" i="8"/>
  <c r="N454" i="8"/>
  <c r="F454" i="8"/>
  <c r="H454" i="8"/>
  <c r="C4259" i="5"/>
  <c r="F4259" i="5"/>
  <c r="D476" i="8"/>
  <c r="E476" i="8"/>
  <c r="B476" i="8"/>
  <c r="J476" i="8"/>
  <c r="F476" i="8"/>
  <c r="S416" i="3"/>
  <c r="J48" i="8"/>
  <c r="B205" i="8"/>
  <c r="B77" i="8"/>
  <c r="H117" i="8"/>
  <c r="B166" i="8"/>
  <c r="G154" i="8"/>
  <c r="A496" i="8"/>
  <c r="C181" i="8"/>
  <c r="A107" i="8"/>
  <c r="B15" i="8"/>
  <c r="S307" i="3"/>
  <c r="S208" i="3"/>
  <c r="G356" i="8"/>
  <c r="L266" i="8"/>
  <c r="B317" i="8"/>
  <c r="A178" i="8"/>
  <c r="K154" i="8"/>
  <c r="B40" i="8"/>
  <c r="I307" i="8"/>
  <c r="F348" i="8"/>
  <c r="D182" i="8"/>
  <c r="L161" i="8"/>
  <c r="B496" i="8"/>
  <c r="E312" i="8"/>
  <c r="F181" i="8"/>
  <c r="A462" i="8"/>
  <c r="C501" i="8"/>
  <c r="F174" i="8"/>
  <c r="K225" i="8"/>
  <c r="E410" i="8"/>
  <c r="J383" i="8"/>
  <c r="B209" i="8"/>
  <c r="C937" i="5"/>
  <c r="E937" i="5"/>
  <c r="B107" i="8"/>
  <c r="D107" i="8"/>
  <c r="J235" i="8"/>
  <c r="A235" i="8"/>
  <c r="A413" i="8"/>
  <c r="I413" i="8"/>
  <c r="E413" i="8"/>
  <c r="D413" i="8"/>
  <c r="I279" i="8"/>
  <c r="D279" i="8"/>
  <c r="B279" i="8"/>
  <c r="C2485" i="5"/>
  <c r="E2485" i="5"/>
  <c r="L279" i="8"/>
  <c r="J279" i="8"/>
  <c r="E279" i="8"/>
  <c r="C128" i="5"/>
  <c r="F128" i="5"/>
  <c r="C127" i="5"/>
  <c r="E127" i="5"/>
  <c r="A17" i="8"/>
  <c r="H17" i="8"/>
  <c r="I17" i="8"/>
  <c r="D369" i="8"/>
  <c r="A369" i="8"/>
  <c r="I15" i="8"/>
  <c r="D15" i="8"/>
  <c r="F15" i="8"/>
  <c r="K34" i="8"/>
  <c r="M34" i="8"/>
  <c r="E34" i="8"/>
  <c r="D34" i="8"/>
  <c r="L34" i="8"/>
  <c r="J34" i="8"/>
  <c r="L287" i="8"/>
  <c r="J287" i="8"/>
  <c r="C287" i="8"/>
  <c r="B287" i="8"/>
  <c r="D78" i="8"/>
  <c r="K78" i="8"/>
  <c r="N78" i="8"/>
  <c r="L78" i="8"/>
  <c r="H78" i="8"/>
  <c r="E78" i="8"/>
  <c r="B78" i="8"/>
  <c r="F78" i="8"/>
  <c r="A78" i="8"/>
  <c r="D164" i="8"/>
  <c r="B164" i="8"/>
  <c r="K164" i="8"/>
  <c r="J164" i="8"/>
  <c r="I164" i="8"/>
  <c r="C300" i="8"/>
  <c r="K300" i="8"/>
  <c r="M300" i="8"/>
  <c r="G300" i="8"/>
  <c r="E300" i="8"/>
  <c r="C1073" i="5"/>
  <c r="I122" i="8"/>
  <c r="E122" i="8"/>
  <c r="C122" i="8"/>
  <c r="K388" i="8"/>
  <c r="D388" i="8"/>
  <c r="E388" i="8"/>
  <c r="H240" i="8"/>
  <c r="C240" i="8"/>
  <c r="L240" i="8"/>
  <c r="I240" i="8"/>
  <c r="G240" i="8"/>
  <c r="E108" i="8"/>
  <c r="B108" i="8"/>
  <c r="K108" i="8"/>
  <c r="J108" i="8"/>
  <c r="L163" i="8"/>
  <c r="I163" i="8"/>
  <c r="A267" i="8"/>
  <c r="L267" i="8"/>
  <c r="B267" i="8"/>
  <c r="L193" i="8"/>
  <c r="C1712" i="5"/>
  <c r="F1712" i="5"/>
  <c r="L424" i="8"/>
  <c r="I424" i="8"/>
  <c r="E135" i="8"/>
  <c r="G135" i="8"/>
  <c r="L288" i="8"/>
  <c r="G288" i="8"/>
  <c r="C2566" i="5"/>
  <c r="E2566" i="5"/>
  <c r="B360" i="8"/>
  <c r="G237" i="8"/>
  <c r="A500" i="8"/>
  <c r="I375" i="8"/>
  <c r="C321" i="8"/>
  <c r="I54" i="8"/>
  <c r="G254" i="8"/>
  <c r="A236" i="8"/>
  <c r="L58" i="8"/>
  <c r="C493" i="8"/>
  <c r="D360" i="8"/>
  <c r="D290" i="8"/>
  <c r="I237" i="8"/>
  <c r="L375" i="8"/>
  <c r="D27" i="8"/>
  <c r="C236" i="8"/>
  <c r="E362" i="8"/>
  <c r="K58" i="8"/>
  <c r="G493" i="8"/>
  <c r="B69" i="8"/>
  <c r="E69" i="8"/>
  <c r="J344" i="8"/>
  <c r="L344" i="8"/>
  <c r="B189" i="8"/>
  <c r="H189" i="8"/>
  <c r="J254" i="8"/>
  <c r="I254" i="8"/>
  <c r="C2261" i="5"/>
  <c r="F2261" i="5"/>
  <c r="C1730" i="5"/>
  <c r="F1730" i="5"/>
  <c r="C1729" i="5"/>
  <c r="E1729" i="5"/>
  <c r="E54" i="8"/>
  <c r="D54" i="8"/>
  <c r="E321" i="8"/>
  <c r="F321" i="8"/>
  <c r="E382" i="8"/>
  <c r="F382" i="8"/>
  <c r="B421" i="8"/>
  <c r="A421" i="8"/>
  <c r="D188" i="8"/>
  <c r="G188" i="8"/>
  <c r="L38" i="8"/>
  <c r="K38" i="8"/>
  <c r="N38" i="8"/>
  <c r="H156" i="8"/>
  <c r="I156" i="8"/>
  <c r="I346" i="8"/>
  <c r="H346" i="8"/>
  <c r="C2863" i="5"/>
  <c r="E2863" i="5"/>
  <c r="C4295" i="5"/>
  <c r="F4295" i="5"/>
  <c r="J379" i="8"/>
  <c r="A116" i="8"/>
  <c r="A344" i="8"/>
  <c r="J57" i="8"/>
  <c r="B382" i="8"/>
  <c r="L135" i="8"/>
  <c r="A188" i="8"/>
  <c r="B64" i="8"/>
  <c r="J421" i="8"/>
  <c r="C490" i="8"/>
  <c r="E38" i="8"/>
  <c r="E228" i="8"/>
  <c r="D228" i="8"/>
  <c r="F228" i="8"/>
  <c r="J20" i="8"/>
  <c r="F20" i="8"/>
  <c r="D363" i="8"/>
  <c r="B363" i="8"/>
  <c r="K88" i="8"/>
  <c r="G88" i="8"/>
  <c r="B443" i="8"/>
  <c r="C443" i="8"/>
  <c r="H19" i="8"/>
  <c r="E19" i="8"/>
  <c r="H113" i="8"/>
  <c r="I113" i="8"/>
  <c r="I120" i="8"/>
  <c r="G120" i="8"/>
  <c r="C1414" i="5"/>
  <c r="E1414" i="5"/>
  <c r="C1415" i="5"/>
  <c r="I126" i="8"/>
  <c r="A126" i="8"/>
  <c r="C1108" i="5"/>
  <c r="E1108" i="5"/>
  <c r="L418" i="8"/>
  <c r="J418" i="8"/>
  <c r="C154" i="5"/>
  <c r="E154" i="5"/>
  <c r="C182" i="5"/>
  <c r="F182" i="5"/>
  <c r="C4088" i="5"/>
  <c r="F4088" i="5"/>
  <c r="C1118" i="5"/>
  <c r="F1118" i="5"/>
  <c r="C704" i="5"/>
  <c r="F704" i="5"/>
  <c r="C1226" i="5"/>
  <c r="F1226" i="5"/>
  <c r="C4141" i="5"/>
  <c r="C3782" i="5"/>
  <c r="F3782" i="5"/>
  <c r="H127" i="8"/>
  <c r="N217" i="8"/>
  <c r="I149" i="8"/>
  <c r="C149" i="8"/>
  <c r="G149" i="8"/>
  <c r="K149" i="8"/>
  <c r="H7" i="8"/>
  <c r="G458" i="8"/>
  <c r="F489" i="8"/>
  <c r="E231" i="8"/>
  <c r="C2054" i="5"/>
  <c r="A231" i="8"/>
  <c r="H231" i="8"/>
  <c r="G231" i="8"/>
  <c r="D231" i="8"/>
  <c r="L231" i="8"/>
  <c r="F231" i="8"/>
  <c r="I231" i="8"/>
  <c r="C231" i="8"/>
  <c r="H1927" i="5"/>
  <c r="G1927" i="5"/>
  <c r="B1927" i="5"/>
  <c r="A1927" i="5"/>
  <c r="C2207" i="5"/>
  <c r="F2207" i="5"/>
  <c r="D248" i="8"/>
  <c r="E248" i="8"/>
  <c r="A248" i="8"/>
  <c r="C3863" i="5"/>
  <c r="F3863" i="5"/>
  <c r="F432" i="8"/>
  <c r="D432" i="8"/>
  <c r="A432" i="8"/>
  <c r="K432" i="8"/>
  <c r="F46" i="8"/>
  <c r="K46" i="8"/>
  <c r="H46" i="8"/>
  <c r="G46" i="8"/>
  <c r="C46" i="8"/>
  <c r="I241" i="8"/>
  <c r="C241" i="8"/>
  <c r="D241" i="8"/>
  <c r="F94" i="8"/>
  <c r="K94" i="8"/>
  <c r="J94" i="8"/>
  <c r="I94" i="8"/>
  <c r="B94" i="8"/>
  <c r="G94" i="8"/>
  <c r="D94" i="8"/>
  <c r="C94" i="8"/>
  <c r="E35" i="8"/>
  <c r="A35" i="8"/>
  <c r="C35" i="8"/>
  <c r="I35" i="8"/>
  <c r="K35" i="8"/>
  <c r="J35" i="8"/>
  <c r="E482" i="8"/>
  <c r="L482" i="8"/>
  <c r="K482" i="8"/>
  <c r="J482" i="8"/>
  <c r="I482" i="8"/>
  <c r="G482" i="8"/>
  <c r="L213" i="8"/>
  <c r="J213" i="8"/>
  <c r="G213" i="8"/>
  <c r="C278" i="8"/>
  <c r="A278" i="8"/>
  <c r="I278" i="8"/>
  <c r="E278" i="8"/>
  <c r="G278" i="8"/>
  <c r="D278" i="8"/>
  <c r="E175" i="8"/>
  <c r="J175" i="8"/>
  <c r="A175" i="8"/>
  <c r="S175" i="3"/>
  <c r="D175" i="8"/>
  <c r="L175" i="8"/>
  <c r="H239" i="8"/>
  <c r="E239" i="8"/>
  <c r="C239" i="8"/>
  <c r="L239" i="8"/>
  <c r="B204" i="8"/>
  <c r="S204" i="3"/>
  <c r="D204" i="8"/>
  <c r="J204" i="8"/>
  <c r="C302" i="8"/>
  <c r="J110" i="8"/>
  <c r="D213" i="8"/>
  <c r="G204" i="8"/>
  <c r="E213" i="8"/>
  <c r="J432" i="8"/>
  <c r="B149" i="8"/>
  <c r="L110" i="8"/>
  <c r="F213" i="8"/>
  <c r="F204" i="8"/>
  <c r="A239" i="8"/>
  <c r="C262" i="8"/>
  <c r="C4240" i="5"/>
  <c r="E4240" i="5"/>
  <c r="C474" i="8"/>
  <c r="A474" i="8"/>
  <c r="K474" i="8"/>
  <c r="I474" i="8"/>
  <c r="E474" i="8"/>
  <c r="S474" i="3"/>
  <c r="C2225" i="5"/>
  <c r="C2224" i="5"/>
  <c r="E2224" i="5"/>
  <c r="B250" i="8"/>
  <c r="L250" i="8"/>
  <c r="S250" i="3"/>
  <c r="I250" i="8"/>
  <c r="K132" i="8"/>
  <c r="E132" i="8"/>
  <c r="K129" i="8"/>
  <c r="J129" i="8"/>
  <c r="G373" i="8"/>
  <c r="D373" i="8"/>
  <c r="J373" i="8"/>
  <c r="E373" i="8"/>
  <c r="H220" i="8"/>
  <c r="G220" i="8"/>
  <c r="A220" i="8"/>
  <c r="E220" i="8"/>
  <c r="B65" i="8"/>
  <c r="E65" i="8"/>
  <c r="H76" i="8"/>
  <c r="C76" i="8"/>
  <c r="J76" i="8"/>
  <c r="L76" i="8"/>
  <c r="K76" i="8"/>
  <c r="G76" i="8"/>
  <c r="F76" i="8"/>
  <c r="C1325" i="5"/>
  <c r="F1325" i="5"/>
  <c r="G150" i="8"/>
  <c r="L150" i="8"/>
  <c r="S150" i="3"/>
  <c r="H150" i="8"/>
  <c r="D150" i="8"/>
  <c r="G489" i="8"/>
  <c r="S381" i="3"/>
  <c r="E381" i="8"/>
  <c r="K381" i="8"/>
  <c r="I381" i="8"/>
  <c r="F394" i="8"/>
  <c r="S394" i="3"/>
  <c r="E394" i="8"/>
  <c r="A394" i="8"/>
  <c r="C2945" i="5"/>
  <c r="E330" i="8"/>
  <c r="C330" i="8"/>
  <c r="A330" i="8"/>
  <c r="C929" i="5"/>
  <c r="F929" i="5"/>
  <c r="G106" i="8"/>
  <c r="A106" i="8"/>
  <c r="D106" i="8"/>
  <c r="B106" i="8"/>
  <c r="L106" i="8"/>
  <c r="E110" i="8"/>
  <c r="B110" i="8"/>
  <c r="F110" i="8"/>
  <c r="E302" i="8"/>
  <c r="A302" i="8"/>
  <c r="B302" i="8"/>
  <c r="C2494" i="5"/>
  <c r="E2494" i="5"/>
  <c r="D280" i="8"/>
  <c r="C2495" i="5"/>
  <c r="F2495" i="5"/>
  <c r="H280" i="8"/>
  <c r="I280" i="8"/>
  <c r="G280" i="8"/>
  <c r="F280" i="8"/>
  <c r="C458" i="8"/>
  <c r="H458" i="8"/>
  <c r="K458" i="8"/>
  <c r="J458" i="8"/>
  <c r="E458" i="8"/>
  <c r="D7" i="8"/>
  <c r="E7" i="8"/>
  <c r="G7" i="8"/>
  <c r="A7" i="8"/>
  <c r="S7" i="3"/>
  <c r="E37" i="8"/>
  <c r="H37" i="8"/>
  <c r="G37" i="8"/>
  <c r="B37" i="8"/>
  <c r="A5" i="8"/>
  <c r="G5" i="8"/>
  <c r="K5" i="8"/>
  <c r="H5" i="8"/>
  <c r="F5" i="8"/>
  <c r="E5" i="8"/>
  <c r="D5" i="8"/>
  <c r="L330" i="8"/>
  <c r="I110" i="8"/>
  <c r="C213" i="8"/>
  <c r="K435" i="8"/>
  <c r="C204" i="8"/>
  <c r="K61" i="8"/>
  <c r="F458" i="8"/>
  <c r="A94" i="8"/>
  <c r="S482" i="3"/>
  <c r="A1946" i="5"/>
  <c r="A381" i="8"/>
  <c r="D37" i="8"/>
  <c r="I7" i="8"/>
  <c r="A150" i="8"/>
  <c r="B262" i="8"/>
  <c r="H432" i="8"/>
  <c r="F37" i="8"/>
  <c r="F293" i="8"/>
  <c r="A280" i="8"/>
  <c r="B175" i="8"/>
  <c r="L458" i="8"/>
  <c r="D35" i="8"/>
  <c r="F149" i="8"/>
  <c r="B487" i="8"/>
  <c r="A487" i="8"/>
  <c r="I487" i="8"/>
  <c r="B366" i="8"/>
  <c r="D366" i="8"/>
  <c r="S366" i="3"/>
  <c r="C892" i="5"/>
  <c r="E892" i="5"/>
  <c r="B102" i="8"/>
  <c r="H102" i="8"/>
  <c r="E102" i="8"/>
  <c r="A102" i="8"/>
  <c r="L102" i="8"/>
  <c r="F329" i="8"/>
  <c r="K329" i="8"/>
  <c r="N329" i="8"/>
  <c r="C329" i="8"/>
  <c r="I406" i="8"/>
  <c r="J406" i="8"/>
  <c r="L406" i="8"/>
  <c r="C268" i="8"/>
  <c r="E268" i="8"/>
  <c r="K460" i="8"/>
  <c r="I460" i="8"/>
  <c r="S455" i="3"/>
  <c r="D455" i="8"/>
  <c r="E251" i="8"/>
  <c r="B251" i="8"/>
  <c r="I399" i="8"/>
  <c r="J399" i="8"/>
  <c r="S399" i="3"/>
  <c r="F372" i="8"/>
  <c r="H372" i="8"/>
  <c r="C372" i="8"/>
  <c r="J275" i="8"/>
  <c r="L275" i="8"/>
  <c r="E275" i="8"/>
  <c r="S380" i="3"/>
  <c r="B330" i="8"/>
  <c r="F302" i="8"/>
  <c r="H456" i="8"/>
  <c r="G59" i="8"/>
  <c r="I213" i="8"/>
  <c r="B198" i="8"/>
  <c r="D435" i="8"/>
  <c r="B248" i="8"/>
  <c r="H204" i="8"/>
  <c r="H381" i="8"/>
  <c r="K250" i="8"/>
  <c r="B25" i="8"/>
  <c r="G487" i="8"/>
  <c r="I432" i="8"/>
  <c r="I37" i="8"/>
  <c r="D239" i="8"/>
  <c r="K7" i="8"/>
  <c r="E293" i="8"/>
  <c r="B486" i="8"/>
  <c r="F106" i="8"/>
  <c r="B280" i="8"/>
  <c r="G372" i="8"/>
  <c r="C175" i="8"/>
  <c r="G474" i="8"/>
  <c r="F150" i="8"/>
  <c r="J172" i="8"/>
  <c r="I489" i="8"/>
  <c r="H268" i="8"/>
  <c r="B116" i="8"/>
  <c r="B35" i="8"/>
  <c r="E500" i="8"/>
  <c r="D406" i="8"/>
  <c r="B8" i="8"/>
  <c r="E262" i="8"/>
  <c r="A64" i="8"/>
  <c r="E236" i="8"/>
  <c r="F424" i="8"/>
  <c r="A149" i="8"/>
  <c r="J232" i="8"/>
  <c r="C2063" i="5"/>
  <c r="H232" i="8"/>
  <c r="L232" i="8"/>
  <c r="I232" i="8"/>
  <c r="F232" i="8"/>
  <c r="K232" i="8"/>
  <c r="B232" i="8"/>
  <c r="E232" i="8"/>
  <c r="D232" i="8"/>
  <c r="D330" i="8"/>
  <c r="H302" i="8"/>
  <c r="J456" i="8"/>
  <c r="H213" i="8"/>
  <c r="A198" i="8"/>
  <c r="C248" i="8"/>
  <c r="J318" i="8"/>
  <c r="I204" i="8"/>
  <c r="G460" i="8"/>
  <c r="D381" i="8"/>
  <c r="C380" i="8"/>
  <c r="E25" i="8"/>
  <c r="A274" i="8"/>
  <c r="F487" i="8"/>
  <c r="L432" i="8"/>
  <c r="K37" i="8"/>
  <c r="I239" i="8"/>
  <c r="B61" i="8"/>
  <c r="L7" i="8"/>
  <c r="E329" i="8"/>
  <c r="H106" i="8"/>
  <c r="E280" i="8"/>
  <c r="D372" i="8"/>
  <c r="F175" i="8"/>
  <c r="D379" i="8"/>
  <c r="F474" i="8"/>
  <c r="C150" i="8"/>
  <c r="J489" i="8"/>
  <c r="K268" i="8"/>
  <c r="E116" i="8"/>
  <c r="E399" i="8"/>
  <c r="F35" i="8"/>
  <c r="G232" i="8"/>
  <c r="D251" i="8"/>
  <c r="C500" i="8"/>
  <c r="H406" i="8"/>
  <c r="H262" i="8"/>
  <c r="B5" i="8"/>
  <c r="G424" i="8"/>
  <c r="E149" i="8"/>
  <c r="C3862" i="5"/>
  <c r="E3862" i="5"/>
  <c r="H475" i="8"/>
  <c r="L475" i="8"/>
  <c r="I475" i="8"/>
  <c r="G475" i="8"/>
  <c r="F475" i="8"/>
  <c r="J46" i="8"/>
  <c r="K475" i="8"/>
  <c r="B239" i="8"/>
  <c r="C106" i="8"/>
  <c r="C2611" i="5"/>
  <c r="E2611" i="5"/>
  <c r="C2612" i="5"/>
  <c r="F2612" i="5"/>
  <c r="C293" i="8"/>
  <c r="H293" i="8"/>
  <c r="I293" i="8"/>
  <c r="B293" i="8"/>
  <c r="K302" i="8"/>
  <c r="G198" i="8"/>
  <c r="G248" i="8"/>
  <c r="C381" i="8"/>
  <c r="J37" i="8"/>
  <c r="F239" i="8"/>
  <c r="H329" i="8"/>
  <c r="C280" i="8"/>
  <c r="K372" i="8"/>
  <c r="J474" i="8"/>
  <c r="J212" i="8"/>
  <c r="G399" i="8"/>
  <c r="G35" i="8"/>
  <c r="N219" i="8"/>
  <c r="B278" i="8"/>
  <c r="G328" i="8"/>
  <c r="L328" i="8"/>
  <c r="G27" i="8"/>
  <c r="L27" i="8"/>
  <c r="B27" i="8"/>
  <c r="A27" i="8"/>
  <c r="E27" i="8"/>
  <c r="H27" i="8"/>
  <c r="C27" i="8"/>
  <c r="F267" i="8"/>
  <c r="H267" i="8"/>
  <c r="I267" i="8"/>
  <c r="D267" i="8"/>
  <c r="K267" i="8"/>
  <c r="C506" i="5"/>
  <c r="F506" i="5"/>
  <c r="C505" i="5"/>
  <c r="E505" i="5"/>
  <c r="D59" i="8"/>
  <c r="A59" i="8"/>
  <c r="B59" i="8"/>
  <c r="C1171" i="5"/>
  <c r="E1171" i="5"/>
  <c r="G133" i="8"/>
  <c r="B133" i="8"/>
  <c r="D133" i="8"/>
  <c r="A133" i="8"/>
  <c r="J133" i="8"/>
  <c r="S133" i="3"/>
  <c r="E64" i="8"/>
  <c r="H64" i="8"/>
  <c r="F64" i="8"/>
  <c r="C64" i="8"/>
  <c r="L64" i="8"/>
  <c r="J64" i="8"/>
  <c r="D33" i="8"/>
  <c r="I33" i="8"/>
  <c r="G33" i="8"/>
  <c r="A33" i="8"/>
  <c r="E33" i="8"/>
  <c r="F33" i="8"/>
  <c r="B33" i="8"/>
  <c r="C135" i="8"/>
  <c r="J135" i="8"/>
  <c r="D135" i="8"/>
  <c r="B135" i="8"/>
  <c r="K135" i="8"/>
  <c r="S135" i="3"/>
  <c r="D8" i="8"/>
  <c r="A8" i="8"/>
  <c r="J8" i="8"/>
  <c r="I8" i="8"/>
  <c r="L8" i="8"/>
  <c r="F8" i="8"/>
  <c r="E8" i="8"/>
  <c r="H236" i="8"/>
  <c r="J236" i="8"/>
  <c r="S236" i="3"/>
  <c r="L236" i="8"/>
  <c r="H223" i="8"/>
  <c r="G223" i="8"/>
  <c r="E223" i="8"/>
  <c r="S223" i="3"/>
  <c r="C223" i="8"/>
  <c r="C901" i="5"/>
  <c r="E901" i="5"/>
  <c r="C902" i="5"/>
  <c r="F902" i="5"/>
  <c r="G103" i="8"/>
  <c r="D103" i="8"/>
  <c r="C103" i="8"/>
  <c r="C2602" i="5"/>
  <c r="E2602" i="5"/>
  <c r="C2603" i="5"/>
  <c r="J292" i="8"/>
  <c r="C292" i="8"/>
  <c r="A292" i="8"/>
  <c r="L292" i="8"/>
  <c r="F292" i="8"/>
  <c r="D292" i="8"/>
  <c r="E292" i="8"/>
  <c r="S292" i="3"/>
  <c r="C4376" i="5"/>
  <c r="F4376" i="5"/>
  <c r="C4375" i="5"/>
  <c r="H4375" i="5"/>
  <c r="B489" i="8"/>
  <c r="H489" i="8"/>
  <c r="D489" i="8"/>
  <c r="E489" i="8"/>
  <c r="A489" i="8"/>
  <c r="H435" i="8"/>
  <c r="B435" i="8"/>
  <c r="A435" i="8"/>
  <c r="S435" i="3"/>
  <c r="L248" i="8"/>
  <c r="K394" i="8"/>
  <c r="M394" i="8"/>
  <c r="S278" i="3"/>
  <c r="E106" i="8"/>
  <c r="F330" i="8"/>
  <c r="K213" i="8"/>
  <c r="G435" i="8"/>
  <c r="S329" i="3"/>
  <c r="S489" i="3"/>
  <c r="S475" i="3"/>
  <c r="S267" i="3"/>
  <c r="S8" i="3"/>
  <c r="S302" i="3"/>
  <c r="D394" i="8"/>
  <c r="K330" i="8"/>
  <c r="N330" i="8"/>
  <c r="I302" i="8"/>
  <c r="D110" i="8"/>
  <c r="J59" i="8"/>
  <c r="B275" i="8"/>
  <c r="H198" i="8"/>
  <c r="E435" i="8"/>
  <c r="J103" i="8"/>
  <c r="I248" i="8"/>
  <c r="L204" i="8"/>
  <c r="G381" i="8"/>
  <c r="H380" i="8"/>
  <c r="D223" i="8"/>
  <c r="K487" i="8"/>
  <c r="L37" i="8"/>
  <c r="G239" i="8"/>
  <c r="F61" i="8"/>
  <c r="K293" i="8"/>
  <c r="A46" i="8"/>
  <c r="G329" i="8"/>
  <c r="J106" i="8"/>
  <c r="L280" i="8"/>
  <c r="H175" i="8"/>
  <c r="L474" i="8"/>
  <c r="C475" i="8"/>
  <c r="I150" i="8"/>
  <c r="C299" i="8"/>
  <c r="L212" i="8"/>
  <c r="L489" i="8"/>
  <c r="F220" i="8"/>
  <c r="K116" i="8"/>
  <c r="M116" i="8"/>
  <c r="H35" i="8"/>
  <c r="C102" i="8"/>
  <c r="G267" i="8"/>
  <c r="K8" i="8"/>
  <c r="M8" i="8"/>
  <c r="F278" i="8"/>
  <c r="D57" i="8"/>
  <c r="J5" i="8"/>
  <c r="I64" i="8"/>
  <c r="C33" i="8"/>
  <c r="I236" i="8"/>
  <c r="S403" i="3"/>
  <c r="J403" i="8"/>
  <c r="G44" i="8"/>
  <c r="J44" i="8"/>
  <c r="K44" i="8"/>
  <c r="L44" i="8"/>
  <c r="C4034" i="5"/>
  <c r="F4034" i="5"/>
  <c r="F451" i="8"/>
  <c r="S451" i="3"/>
  <c r="G451" i="8"/>
  <c r="C4033" i="5"/>
  <c r="E4033" i="5"/>
  <c r="E451" i="8"/>
  <c r="C4052" i="5"/>
  <c r="F4052" i="5"/>
  <c r="H453" i="8"/>
  <c r="I453" i="8"/>
  <c r="C453" i="8"/>
  <c r="A453" i="8"/>
  <c r="I378" i="8"/>
  <c r="B378" i="8"/>
  <c r="H378" i="8"/>
  <c r="E378" i="8"/>
  <c r="C378" i="8"/>
  <c r="S378" i="3"/>
  <c r="S478" i="3"/>
  <c r="D478" i="8"/>
  <c r="B478" i="8"/>
  <c r="J478" i="8"/>
  <c r="E93" i="8"/>
  <c r="C93" i="8"/>
  <c r="B93" i="8"/>
  <c r="E125" i="8"/>
  <c r="D125" i="8"/>
  <c r="L125" i="8"/>
  <c r="H125" i="8"/>
  <c r="C125" i="8"/>
  <c r="G125" i="8"/>
  <c r="F125" i="8"/>
  <c r="A125" i="8"/>
  <c r="I55" i="8"/>
  <c r="L55" i="8"/>
  <c r="H55" i="8"/>
  <c r="G55" i="8"/>
  <c r="B55" i="8"/>
  <c r="E55" i="8"/>
  <c r="C55" i="8"/>
  <c r="C3844" i="5"/>
  <c r="E3844" i="5"/>
  <c r="E430" i="8"/>
  <c r="D430" i="8"/>
  <c r="C430" i="8"/>
  <c r="G162" i="8"/>
  <c r="C1432" i="5"/>
  <c r="E1432" i="5"/>
  <c r="F162" i="8"/>
  <c r="L162" i="8"/>
  <c r="H162" i="8"/>
  <c r="C162" i="8"/>
  <c r="S162" i="3"/>
  <c r="H159" i="8"/>
  <c r="J159" i="8"/>
  <c r="I159" i="8"/>
  <c r="C159" i="8"/>
  <c r="C1270" i="5"/>
  <c r="E1270" i="5"/>
  <c r="H144" i="8"/>
  <c r="G144" i="8"/>
  <c r="C1271" i="5"/>
  <c r="F1271" i="5"/>
  <c r="F144" i="8"/>
  <c r="D144" i="8"/>
  <c r="B144" i="8"/>
  <c r="A144" i="8"/>
  <c r="B200" i="8"/>
  <c r="L200" i="8"/>
  <c r="J200" i="8"/>
  <c r="I200" i="8"/>
  <c r="C200" i="8"/>
  <c r="A200" i="8"/>
  <c r="I85" i="8"/>
  <c r="L85" i="8"/>
  <c r="J85" i="8"/>
  <c r="K85" i="8"/>
  <c r="D289" i="8"/>
  <c r="B289" i="8"/>
  <c r="E289" i="8"/>
  <c r="D244" i="8"/>
  <c r="I244" i="8"/>
  <c r="S244" i="3"/>
  <c r="K244" i="8"/>
  <c r="N244" i="8"/>
  <c r="H368" i="8"/>
  <c r="L368" i="8"/>
  <c r="K368" i="8"/>
  <c r="J368" i="8"/>
  <c r="D368" i="8"/>
  <c r="F368" i="8"/>
  <c r="E368" i="8"/>
  <c r="G368" i="8"/>
  <c r="B368" i="8"/>
  <c r="B347" i="8"/>
  <c r="A347" i="8"/>
  <c r="L347" i="8"/>
  <c r="C3674" i="5"/>
  <c r="F3674" i="5"/>
  <c r="A411" i="8"/>
  <c r="L411" i="8"/>
  <c r="H411" i="8"/>
  <c r="G36" i="8"/>
  <c r="F36" i="8"/>
  <c r="B36" i="8"/>
  <c r="B28" i="8"/>
  <c r="A28" i="8"/>
  <c r="J28" i="8"/>
  <c r="D359" i="8"/>
  <c r="K359" i="8"/>
  <c r="L359" i="8"/>
  <c r="I359" i="8"/>
  <c r="G359" i="8"/>
  <c r="F359" i="8"/>
  <c r="C359" i="8"/>
  <c r="B359" i="8"/>
  <c r="C784" i="5"/>
  <c r="E784" i="5"/>
  <c r="I90" i="8"/>
  <c r="L90" i="8"/>
  <c r="H90" i="8"/>
  <c r="D90" i="8"/>
  <c r="G90" i="8"/>
  <c r="C3989" i="5"/>
  <c r="F3989" i="5"/>
  <c r="C3988" i="5"/>
  <c r="E3988" i="5"/>
  <c r="K446" i="8"/>
  <c r="L446" i="8"/>
  <c r="J446" i="8"/>
  <c r="F446" i="8"/>
  <c r="E252" i="8"/>
  <c r="G252" i="8"/>
  <c r="H252" i="8"/>
  <c r="D252" i="8"/>
  <c r="B252" i="8"/>
  <c r="A252" i="8"/>
  <c r="D447" i="8"/>
  <c r="K447" i="8"/>
  <c r="G447" i="8"/>
  <c r="J447" i="8"/>
  <c r="H447" i="8"/>
  <c r="I447" i="8"/>
  <c r="F447" i="8"/>
  <c r="I214" i="8"/>
  <c r="F214" i="8"/>
  <c r="E214" i="8"/>
  <c r="D214" i="8"/>
  <c r="K214" i="8"/>
  <c r="J214" i="8"/>
  <c r="G214" i="8"/>
  <c r="A214" i="8"/>
  <c r="E276" i="8"/>
  <c r="G276" i="8"/>
  <c r="J276" i="8"/>
  <c r="H276" i="8"/>
  <c r="C276" i="8"/>
  <c r="C4267" i="5"/>
  <c r="E4267" i="5"/>
  <c r="E477" i="8"/>
  <c r="C477" i="8"/>
  <c r="B477" i="8"/>
  <c r="F262" i="8"/>
  <c r="D262" i="8"/>
  <c r="A262" i="8"/>
  <c r="L262" i="8"/>
  <c r="I262" i="8"/>
  <c r="H1946" i="5"/>
  <c r="S262" i="3"/>
  <c r="C432" i="8"/>
  <c r="C37" i="8"/>
  <c r="E204" i="8"/>
  <c r="B1946" i="5"/>
  <c r="G302" i="8"/>
  <c r="S12" i="3"/>
  <c r="B394" i="8"/>
  <c r="K204" i="8"/>
  <c r="L460" i="8"/>
  <c r="H487" i="8"/>
  <c r="E61" i="8"/>
  <c r="I106" i="8"/>
  <c r="C220" i="8"/>
  <c r="J262" i="8"/>
  <c r="L149" i="8"/>
  <c r="I500" i="8"/>
  <c r="L500" i="8"/>
  <c r="H500" i="8"/>
  <c r="K500" i="8"/>
  <c r="G500" i="8"/>
  <c r="C3386" i="5"/>
  <c r="F3386" i="5"/>
  <c r="A379" i="8"/>
  <c r="G379" i="8"/>
  <c r="H379" i="8"/>
  <c r="B379" i="8"/>
  <c r="C191" i="5"/>
  <c r="C190" i="5"/>
  <c r="E190" i="5"/>
  <c r="E24" i="8"/>
  <c r="K24" i="8"/>
  <c r="L24" i="8"/>
  <c r="H24" i="8"/>
  <c r="F24" i="8"/>
  <c r="D24" i="8"/>
  <c r="J424" i="8"/>
  <c r="A424" i="8"/>
  <c r="D424" i="8"/>
  <c r="B424" i="8"/>
  <c r="E424" i="8"/>
  <c r="C456" i="8"/>
  <c r="I456" i="8"/>
  <c r="B456" i="8"/>
  <c r="K290" i="8"/>
  <c r="M290" i="8"/>
  <c r="C2585" i="5"/>
  <c r="F2585" i="5"/>
  <c r="A290" i="8"/>
  <c r="C2584" i="5"/>
  <c r="E2584" i="5"/>
  <c r="I290" i="8"/>
  <c r="L290" i="8"/>
  <c r="J290" i="8"/>
  <c r="G290" i="8"/>
  <c r="A237" i="8"/>
  <c r="J237" i="8"/>
  <c r="H237" i="8"/>
  <c r="F237" i="8"/>
  <c r="C237" i="8"/>
  <c r="D237" i="8"/>
  <c r="B237" i="8"/>
  <c r="F362" i="8"/>
  <c r="L362" i="8"/>
  <c r="J362" i="8"/>
  <c r="G362" i="8"/>
  <c r="B362" i="8"/>
  <c r="C362" i="8"/>
  <c r="S362" i="3"/>
  <c r="C2440" i="5"/>
  <c r="E2440" i="5"/>
  <c r="E274" i="8"/>
  <c r="C274" i="8"/>
  <c r="S274" i="3"/>
  <c r="B274" i="8"/>
  <c r="S424" i="3"/>
  <c r="S220" i="3"/>
  <c r="L59" i="8"/>
  <c r="J239" i="8"/>
  <c r="L293" i="8"/>
  <c r="E46" i="8"/>
  <c r="J132" i="8"/>
  <c r="K106" i="8"/>
  <c r="J280" i="8"/>
  <c r="I175" i="8"/>
  <c r="C379" i="8"/>
  <c r="A475" i="8"/>
  <c r="J150" i="8"/>
  <c r="A24" i="8"/>
  <c r="F500" i="8"/>
  <c r="D102" i="8"/>
  <c r="C267" i="8"/>
  <c r="K278" i="8"/>
  <c r="L5" i="8"/>
  <c r="K64" i="8"/>
  <c r="J33" i="8"/>
  <c r="K236" i="8"/>
  <c r="M236" i="8"/>
  <c r="J241" i="8"/>
  <c r="C1172" i="5"/>
  <c r="F1172" i="5"/>
  <c r="C524" i="5"/>
  <c r="F524" i="5"/>
  <c r="C523" i="5"/>
  <c r="D61" i="8"/>
  <c r="A61" i="8"/>
  <c r="C61" i="8"/>
  <c r="L61" i="8"/>
  <c r="F7" i="8"/>
  <c r="L394" i="8"/>
  <c r="C489" i="8"/>
  <c r="S432" i="3"/>
  <c r="J293" i="8"/>
  <c r="G175" i="8"/>
  <c r="E150" i="8"/>
  <c r="L268" i="8"/>
  <c r="I251" i="8"/>
  <c r="C5" i="8"/>
  <c r="G318" i="8"/>
  <c r="H318" i="8"/>
  <c r="H163" i="8"/>
  <c r="F163" i="8"/>
  <c r="C163" i="8"/>
  <c r="G163" i="8"/>
  <c r="E163" i="8"/>
  <c r="D193" i="8"/>
  <c r="K193" i="8"/>
  <c r="M193" i="8"/>
  <c r="F193" i="8"/>
  <c r="B193" i="8"/>
  <c r="A193" i="8"/>
  <c r="J193" i="8"/>
  <c r="E193" i="8"/>
  <c r="G193" i="8"/>
  <c r="D375" i="8"/>
  <c r="B375" i="8"/>
  <c r="A375" i="8"/>
  <c r="C375" i="8"/>
  <c r="K375" i="8"/>
  <c r="F116" i="8"/>
  <c r="G116" i="8"/>
  <c r="C116" i="8"/>
  <c r="H116" i="8"/>
  <c r="L116" i="8"/>
  <c r="D116" i="8"/>
  <c r="F57" i="8"/>
  <c r="G57" i="8"/>
  <c r="H57" i="8"/>
  <c r="C57" i="8"/>
  <c r="B57" i="8"/>
  <c r="G25" i="8"/>
  <c r="F25" i="8"/>
  <c r="A25" i="8"/>
  <c r="G172" i="8"/>
  <c r="D172" i="8"/>
  <c r="K172" i="8"/>
  <c r="S172" i="3"/>
  <c r="I172" i="8"/>
  <c r="C2665" i="5"/>
  <c r="E2665" i="5"/>
  <c r="G299" i="8"/>
  <c r="E299" i="8"/>
  <c r="I299" i="8"/>
  <c r="F299" i="8"/>
  <c r="A299" i="8"/>
  <c r="S132" i="3"/>
  <c r="S458" i="3"/>
  <c r="S299" i="3"/>
  <c r="S212" i="3"/>
  <c r="C394" i="8"/>
  <c r="H330" i="8"/>
  <c r="J302" i="8"/>
  <c r="A110" i="8"/>
  <c r="H275" i="8"/>
  <c r="K198" i="8"/>
  <c r="F435" i="8"/>
  <c r="K103" i="8"/>
  <c r="M103" i="8"/>
  <c r="H248" i="8"/>
  <c r="L318" i="8"/>
  <c r="F381" i="8"/>
  <c r="A250" i="8"/>
  <c r="J25" i="8"/>
  <c r="G274" i="8"/>
  <c r="F223" i="8"/>
  <c r="J487" i="8"/>
  <c r="S328" i="3"/>
  <c r="S239" i="3"/>
  <c r="S241" i="3"/>
  <c r="H394" i="8"/>
  <c r="I330" i="8"/>
  <c r="L302" i="8"/>
  <c r="C110" i="8"/>
  <c r="K59" i="8"/>
  <c r="K275" i="8"/>
  <c r="M275" i="8"/>
  <c r="I435" i="8"/>
  <c r="L103" i="8"/>
  <c r="F248" i="8"/>
  <c r="J381" i="8"/>
  <c r="E250" i="8"/>
  <c r="K25" i="8"/>
  <c r="H274" i="8"/>
  <c r="I223" i="8"/>
  <c r="L487" i="8"/>
  <c r="K239" i="8"/>
  <c r="H61" i="8"/>
  <c r="D46" i="8"/>
  <c r="K280" i="8"/>
  <c r="K175" i="8"/>
  <c r="I379" i="8"/>
  <c r="E475" i="8"/>
  <c r="K150" i="8"/>
  <c r="D299" i="8"/>
  <c r="B458" i="8"/>
  <c r="A366" i="8"/>
  <c r="C24" i="8"/>
  <c r="F133" i="8"/>
  <c r="F102" i="8"/>
  <c r="E267" i="8"/>
  <c r="F375" i="8"/>
  <c r="J278" i="8"/>
  <c r="A57" i="8"/>
  <c r="A135" i="8"/>
  <c r="L33" i="8"/>
  <c r="D362" i="8"/>
  <c r="K241" i="8"/>
  <c r="C482" i="8"/>
  <c r="C3079" i="5"/>
  <c r="F345" i="8"/>
  <c r="C345" i="8"/>
  <c r="A345" i="8"/>
  <c r="J322" i="8"/>
  <c r="F322" i="8"/>
  <c r="A322" i="8"/>
  <c r="C263" i="8"/>
  <c r="A263" i="8"/>
  <c r="I263" i="8"/>
  <c r="J502" i="8"/>
  <c r="D502" i="8"/>
  <c r="A502" i="8"/>
  <c r="C4493" i="5"/>
  <c r="F4493" i="5"/>
  <c r="G502" i="8"/>
  <c r="C1252" i="5"/>
  <c r="E1252" i="5"/>
  <c r="C142" i="8"/>
  <c r="B142" i="8"/>
  <c r="L142" i="8"/>
  <c r="K142" i="8"/>
  <c r="H142" i="8"/>
  <c r="C3197" i="5"/>
  <c r="F3197" i="5"/>
  <c r="S358" i="3"/>
  <c r="J358" i="8"/>
  <c r="F358" i="8"/>
  <c r="E358" i="8"/>
  <c r="C3052" i="5"/>
  <c r="E3052" i="5"/>
  <c r="K342" i="8"/>
  <c r="L342" i="8"/>
  <c r="G342" i="8"/>
  <c r="J342" i="8"/>
  <c r="D342" i="8"/>
  <c r="I286" i="8"/>
  <c r="K286" i="8"/>
  <c r="N286" i="8"/>
  <c r="J286" i="8"/>
  <c r="A286" i="8"/>
  <c r="B286" i="8"/>
  <c r="D286" i="8"/>
  <c r="E286" i="8"/>
  <c r="C286" i="8"/>
  <c r="C1154" i="5"/>
  <c r="F1154" i="5"/>
  <c r="A131" i="8"/>
  <c r="C131" i="8"/>
  <c r="L131" i="8"/>
  <c r="S197" i="3"/>
  <c r="B197" i="8"/>
  <c r="K197" i="8"/>
  <c r="F197" i="8"/>
  <c r="E197" i="8"/>
  <c r="A197" i="8"/>
  <c r="C3952" i="5"/>
  <c r="C442" i="8"/>
  <c r="G442" i="8"/>
  <c r="L442" i="8"/>
  <c r="K442" i="8"/>
  <c r="H442" i="8"/>
  <c r="D442" i="8"/>
  <c r="B442" i="8"/>
  <c r="A442" i="8"/>
  <c r="C4412" i="5"/>
  <c r="F4412" i="5"/>
  <c r="B493" i="8"/>
  <c r="I493" i="8"/>
  <c r="C4411" i="5"/>
  <c r="E4411" i="5"/>
  <c r="L493" i="8"/>
  <c r="E493" i="8"/>
  <c r="S493" i="3"/>
  <c r="C1693" i="5"/>
  <c r="E1693" i="5"/>
  <c r="C1694" i="5"/>
  <c r="F1694" i="5"/>
  <c r="F191" i="8"/>
  <c r="E191" i="8"/>
  <c r="B191" i="8"/>
  <c r="S191" i="3"/>
  <c r="C1261" i="5"/>
  <c r="E1261" i="5"/>
  <c r="F143" i="8"/>
  <c r="G143" i="8"/>
  <c r="E143" i="8"/>
  <c r="A143" i="8"/>
  <c r="L143" i="8"/>
  <c r="C143" i="8"/>
  <c r="H143" i="8"/>
  <c r="I143" i="8"/>
  <c r="C640" i="5"/>
  <c r="H74" i="8"/>
  <c r="D74" i="8"/>
  <c r="B74" i="8"/>
  <c r="A74" i="8"/>
  <c r="L74" i="8"/>
  <c r="I492" i="8"/>
  <c r="J492" i="8"/>
  <c r="G492" i="8"/>
  <c r="C4403" i="5"/>
  <c r="F4403" i="5"/>
  <c r="B492" i="8"/>
  <c r="C492" i="8"/>
  <c r="E492" i="8"/>
  <c r="D492" i="8"/>
  <c r="S492" i="3"/>
  <c r="C2648" i="5"/>
  <c r="F2648" i="5"/>
  <c r="D297" i="8"/>
  <c r="E297" i="8"/>
  <c r="A297" i="8"/>
  <c r="F351" i="8"/>
  <c r="A351" i="8"/>
  <c r="G351" i="8"/>
  <c r="L351" i="8"/>
  <c r="K351" i="8"/>
  <c r="M351" i="8"/>
  <c r="E351" i="8"/>
  <c r="J351" i="8"/>
  <c r="S351" i="3"/>
  <c r="I351" i="8"/>
  <c r="H351" i="8"/>
  <c r="B351" i="8"/>
  <c r="C3656" i="5"/>
  <c r="F3656" i="5"/>
  <c r="C409" i="8"/>
  <c r="D409" i="8"/>
  <c r="A409" i="8"/>
  <c r="L409" i="8"/>
  <c r="H409" i="8"/>
  <c r="G409" i="8"/>
  <c r="F409" i="8"/>
  <c r="B409" i="8"/>
  <c r="S409" i="3"/>
  <c r="C2593" i="5"/>
  <c r="D291" i="8"/>
  <c r="G291" i="8"/>
  <c r="F291" i="8"/>
  <c r="B291" i="8"/>
  <c r="C1739" i="5"/>
  <c r="F1739" i="5"/>
  <c r="C196" i="8"/>
  <c r="F196" i="8"/>
  <c r="E196" i="8"/>
  <c r="C1126" i="5"/>
  <c r="E1126" i="5"/>
  <c r="G128" i="8"/>
  <c r="D128" i="8"/>
  <c r="C128" i="8"/>
  <c r="C1801" i="5"/>
  <c r="A203" i="8"/>
  <c r="L203" i="8"/>
  <c r="J203" i="8"/>
  <c r="G203" i="8"/>
  <c r="E203" i="8"/>
  <c r="C203" i="8"/>
  <c r="B203" i="8"/>
  <c r="S203" i="3"/>
  <c r="I141" i="8"/>
  <c r="C1244" i="5"/>
  <c r="F1244" i="5"/>
  <c r="K141" i="8"/>
  <c r="A141" i="8"/>
  <c r="L141" i="8"/>
  <c r="G141" i="8"/>
  <c r="H141" i="8"/>
  <c r="S141" i="3"/>
  <c r="F141" i="8"/>
  <c r="E141" i="8"/>
  <c r="C141" i="8"/>
  <c r="C2468" i="5"/>
  <c r="F2468" i="5"/>
  <c r="C277" i="8"/>
  <c r="F277" i="8"/>
  <c r="L277" i="8"/>
  <c r="K277" i="8"/>
  <c r="G277" i="8"/>
  <c r="J277" i="8"/>
  <c r="C2881" i="5"/>
  <c r="H2881" i="5"/>
  <c r="A323" i="8"/>
  <c r="L323" i="8"/>
  <c r="J323" i="8"/>
  <c r="F323" i="8"/>
  <c r="K323" i="8"/>
  <c r="C4384" i="5"/>
  <c r="E4384" i="5"/>
  <c r="I490" i="8"/>
  <c r="G490" i="8"/>
  <c r="D490" i="8"/>
  <c r="L490" i="8"/>
  <c r="J490" i="8"/>
  <c r="C208" i="5"/>
  <c r="E208" i="5"/>
  <c r="C209" i="5"/>
  <c r="L26" i="8"/>
  <c r="B26" i="8"/>
  <c r="A26" i="8"/>
  <c r="J26" i="8"/>
  <c r="C1387" i="5"/>
  <c r="E1387" i="5"/>
  <c r="C157" i="8"/>
  <c r="E157" i="8"/>
  <c r="D157" i="8"/>
  <c r="C4106" i="5"/>
  <c r="F4106" i="5"/>
  <c r="K459" i="8"/>
  <c r="L459" i="8"/>
  <c r="F459" i="8"/>
  <c r="C1639" i="5"/>
  <c r="E1639" i="5"/>
  <c r="J185" i="8"/>
  <c r="H185" i="8"/>
  <c r="G185" i="8"/>
  <c r="C3143" i="5"/>
  <c r="F3143" i="5"/>
  <c r="C3142" i="5"/>
  <c r="E3142" i="5"/>
  <c r="G352" i="8"/>
  <c r="C3251" i="5"/>
  <c r="F3251" i="5"/>
  <c r="C3250" i="5"/>
  <c r="E3250" i="5"/>
  <c r="H364" i="8"/>
  <c r="G364" i="8"/>
  <c r="K364" i="8"/>
  <c r="F364" i="8"/>
  <c r="D364" i="8"/>
  <c r="S325" i="3"/>
  <c r="S352" i="3"/>
  <c r="D71" i="8"/>
  <c r="K370" i="8"/>
  <c r="K187" i="8"/>
  <c r="N187" i="8"/>
  <c r="J80" i="8"/>
  <c r="I190" i="8"/>
  <c r="A316" i="8"/>
  <c r="D352" i="8"/>
  <c r="C2827" i="5"/>
  <c r="E2827" i="5"/>
  <c r="G317" i="8"/>
  <c r="L465" i="8"/>
  <c r="K465" i="8"/>
  <c r="I465" i="8"/>
  <c r="E465" i="8"/>
  <c r="G501" i="8"/>
  <c r="L501" i="8"/>
  <c r="K501" i="8"/>
  <c r="H501" i="8"/>
  <c r="C1576" i="5"/>
  <c r="E1576" i="5"/>
  <c r="J178" i="8"/>
  <c r="C1909" i="5"/>
  <c r="E1909" i="5"/>
  <c r="C1910" i="5"/>
  <c r="F1910" i="5"/>
  <c r="A390" i="8"/>
  <c r="G390" i="8"/>
  <c r="E390" i="8"/>
  <c r="C390" i="8"/>
  <c r="I488" i="8"/>
  <c r="L488" i="8"/>
  <c r="B389" i="8"/>
  <c r="J389" i="8"/>
  <c r="K389" i="8"/>
  <c r="N389" i="8"/>
  <c r="C87" i="8"/>
  <c r="F87" i="8"/>
  <c r="L87" i="8"/>
  <c r="L227" i="8"/>
  <c r="I227" i="8"/>
  <c r="C227" i="8"/>
  <c r="E227" i="8"/>
  <c r="C1072" i="5"/>
  <c r="D122" i="8"/>
  <c r="C11" i="5"/>
  <c r="F11" i="5"/>
  <c r="L4" i="8"/>
  <c r="K11" i="8"/>
  <c r="I11" i="8"/>
  <c r="G62" i="8"/>
  <c r="L62" i="8"/>
  <c r="A62" i="8"/>
  <c r="K62" i="8"/>
  <c r="B388" i="8"/>
  <c r="I388" i="8"/>
  <c r="G388" i="8"/>
  <c r="F388" i="8"/>
  <c r="F383" i="8"/>
  <c r="B383" i="8"/>
  <c r="K383" i="8"/>
  <c r="H410" i="8"/>
  <c r="G410" i="8"/>
  <c r="C3665" i="5"/>
  <c r="B410" i="8"/>
  <c r="A410" i="8"/>
  <c r="K410" i="8"/>
  <c r="B240" i="8"/>
  <c r="K240" i="8"/>
  <c r="M240" i="8"/>
  <c r="F240" i="8"/>
  <c r="D240" i="8"/>
  <c r="G253" i="8"/>
  <c r="I253" i="8"/>
  <c r="L253" i="8"/>
  <c r="D253" i="8"/>
  <c r="E182" i="8"/>
  <c r="F182" i="8"/>
  <c r="F209" i="8"/>
  <c r="D209" i="8"/>
  <c r="C209" i="8"/>
  <c r="F161" i="8"/>
  <c r="G161" i="8"/>
  <c r="C532" i="5"/>
  <c r="E532" i="5"/>
  <c r="C595" i="5"/>
  <c r="E595" i="5"/>
  <c r="A69" i="8"/>
  <c r="K69" i="8"/>
  <c r="C1343" i="5"/>
  <c r="F1343" i="5"/>
  <c r="B152" i="8"/>
  <c r="I152" i="8"/>
  <c r="L152" i="8"/>
  <c r="D152" i="8"/>
  <c r="C1487" i="5"/>
  <c r="F1487" i="5"/>
  <c r="G168" i="8"/>
  <c r="H168" i="8"/>
  <c r="F168" i="8"/>
  <c r="D168" i="8"/>
  <c r="H67" i="8"/>
  <c r="L67" i="8"/>
  <c r="C577" i="5"/>
  <c r="E577" i="5"/>
  <c r="E67" i="8"/>
  <c r="C396" i="8"/>
  <c r="L396" i="8"/>
  <c r="C1352" i="5"/>
  <c r="F1352" i="5"/>
  <c r="A153" i="8"/>
  <c r="L153" i="8"/>
  <c r="F148" i="8"/>
  <c r="G148" i="8"/>
  <c r="C3620" i="5"/>
  <c r="F3620" i="5"/>
  <c r="C3619" i="5"/>
  <c r="E3619" i="5"/>
  <c r="C405" i="8"/>
  <c r="E405" i="8"/>
  <c r="J333" i="8"/>
  <c r="I333" i="8"/>
  <c r="A333" i="8"/>
  <c r="L333" i="8"/>
  <c r="C2998" i="5"/>
  <c r="E2998" i="5"/>
  <c r="G336" i="8"/>
  <c r="H49" i="8"/>
  <c r="C415" i="5"/>
  <c r="E415" i="5"/>
  <c r="C49" i="8"/>
  <c r="A49" i="8"/>
  <c r="J49" i="8"/>
  <c r="C2116" i="5"/>
  <c r="E2116" i="5"/>
  <c r="C2117" i="5"/>
  <c r="F2117" i="5"/>
  <c r="L238" i="8"/>
  <c r="J420" i="8"/>
  <c r="F420" i="8"/>
  <c r="C420" i="8"/>
  <c r="G420" i="8"/>
  <c r="B420" i="8"/>
  <c r="B14" i="8"/>
  <c r="I14" i="8"/>
  <c r="C14" i="8"/>
  <c r="G14" i="8"/>
  <c r="E14" i="8"/>
  <c r="E84" i="8"/>
  <c r="F84" i="8"/>
  <c r="L84" i="8"/>
  <c r="K84" i="8"/>
  <c r="G84" i="8"/>
  <c r="C2962" i="5"/>
  <c r="C332" i="8"/>
  <c r="B332" i="8"/>
  <c r="A332" i="8"/>
  <c r="K332" i="8"/>
  <c r="N332" i="8"/>
  <c r="C3548" i="5"/>
  <c r="F3548" i="5"/>
  <c r="C3547" i="5"/>
  <c r="K397" i="8"/>
  <c r="C622" i="5"/>
  <c r="C72" i="8"/>
  <c r="F72" i="8"/>
  <c r="C2296" i="5"/>
  <c r="E2296" i="5"/>
  <c r="B258" i="8"/>
  <c r="G258" i="8"/>
  <c r="K258" i="8"/>
  <c r="K264" i="8"/>
  <c r="H264" i="8"/>
  <c r="E264" i="8"/>
  <c r="G264" i="8"/>
  <c r="C2350" i="5"/>
  <c r="E2350" i="5"/>
  <c r="C2351" i="5"/>
  <c r="F2351" i="5"/>
  <c r="F264" i="8"/>
  <c r="C1783" i="5"/>
  <c r="E1783" i="5"/>
  <c r="H201" i="8"/>
  <c r="C433" i="5"/>
  <c r="E433" i="5"/>
  <c r="H51" i="8"/>
  <c r="J32" i="8"/>
  <c r="C263" i="5"/>
  <c r="F263" i="5"/>
  <c r="F32" i="8"/>
  <c r="L32" i="8"/>
  <c r="I32" i="8"/>
  <c r="D32" i="8"/>
  <c r="C982" i="5"/>
  <c r="E982" i="5"/>
  <c r="C983" i="5"/>
  <c r="F983" i="5"/>
  <c r="J325" i="8"/>
  <c r="C2900" i="5"/>
  <c r="F2900" i="5"/>
  <c r="G325" i="8"/>
  <c r="F325" i="8"/>
  <c r="I325" i="8"/>
  <c r="H325" i="8"/>
  <c r="C325" i="8"/>
  <c r="S148" i="3"/>
  <c r="F71" i="8"/>
  <c r="A370" i="8"/>
  <c r="B187" i="8"/>
  <c r="B80" i="8"/>
  <c r="K190" i="8"/>
  <c r="D316" i="8"/>
  <c r="C51" i="8"/>
  <c r="B352" i="8"/>
  <c r="E238" i="8"/>
  <c r="D201" i="8"/>
  <c r="D336" i="8"/>
  <c r="D405" i="8"/>
  <c r="E153" i="8"/>
  <c r="D396" i="8"/>
  <c r="A72" i="8"/>
  <c r="F69" i="8"/>
  <c r="G152" i="8"/>
  <c r="C32" i="8"/>
  <c r="K325" i="8"/>
  <c r="N325" i="8"/>
  <c r="G67" i="8"/>
  <c r="K49" i="8"/>
  <c r="L420" i="8"/>
  <c r="H258" i="8"/>
  <c r="C71" i="8"/>
  <c r="E370" i="8"/>
  <c r="E187" i="8"/>
  <c r="A80" i="8"/>
  <c r="A190" i="8"/>
  <c r="F316" i="8"/>
  <c r="B51" i="8"/>
  <c r="H352" i="8"/>
  <c r="A397" i="8"/>
  <c r="G238" i="8"/>
  <c r="A201" i="8"/>
  <c r="C336" i="8"/>
  <c r="A148" i="8"/>
  <c r="F405" i="8"/>
  <c r="D153" i="8"/>
  <c r="A396" i="8"/>
  <c r="D72" i="8"/>
  <c r="G69" i="8"/>
  <c r="F152" i="8"/>
  <c r="E332" i="8"/>
  <c r="G32" i="8"/>
  <c r="L325" i="8"/>
  <c r="F67" i="8"/>
  <c r="L49" i="8"/>
  <c r="B364" i="8"/>
  <c r="B84" i="8"/>
  <c r="L258" i="8"/>
  <c r="C2846" i="5"/>
  <c r="F2846" i="5"/>
  <c r="A319" i="8"/>
  <c r="K319" i="8"/>
  <c r="I319" i="8"/>
  <c r="C2845" i="5"/>
  <c r="E2845" i="5"/>
  <c r="C319" i="8"/>
  <c r="L414" i="8"/>
  <c r="K414" i="8"/>
  <c r="C3809" i="5"/>
  <c r="F3809" i="5"/>
  <c r="L426" i="8"/>
  <c r="K426" i="8"/>
  <c r="D426" i="8"/>
  <c r="C4187" i="5"/>
  <c r="F4187" i="5"/>
  <c r="C468" i="8"/>
  <c r="I313" i="8"/>
  <c r="H313" i="8"/>
  <c r="B313" i="8"/>
  <c r="D417" i="8"/>
  <c r="C417" i="8"/>
  <c r="C3943" i="5"/>
  <c r="F441" i="8"/>
  <c r="B349" i="8"/>
  <c r="C3115" i="5"/>
  <c r="E3115" i="5"/>
  <c r="I349" i="8"/>
  <c r="H371" i="8"/>
  <c r="A371" i="8"/>
  <c r="C1792" i="5"/>
  <c r="E1792" i="5"/>
  <c r="G202" i="8"/>
  <c r="E202" i="8"/>
  <c r="C109" i="8"/>
  <c r="L109" i="8"/>
  <c r="E222" i="8"/>
  <c r="I222" i="8"/>
  <c r="D222" i="8"/>
  <c r="C78" i="8"/>
  <c r="A164" i="8"/>
  <c r="C1333" i="5"/>
  <c r="C1334" i="5"/>
  <c r="F1334" i="5"/>
  <c r="H151" i="8"/>
  <c r="C3071" i="5"/>
  <c r="D344" i="8"/>
  <c r="E254" i="8"/>
  <c r="A254" i="8"/>
  <c r="C1216" i="5"/>
  <c r="E1216" i="5"/>
  <c r="E138" i="8"/>
  <c r="C460" i="5"/>
  <c r="E460" i="5"/>
  <c r="C54" i="8"/>
  <c r="G54" i="8"/>
  <c r="S321" i="3"/>
  <c r="G321" i="8"/>
  <c r="L321" i="8"/>
  <c r="C3925" i="5"/>
  <c r="E3925" i="5"/>
  <c r="E439" i="8"/>
  <c r="C712" i="5"/>
  <c r="E712" i="5"/>
  <c r="C713" i="5"/>
  <c r="F713" i="5"/>
  <c r="C82" i="8"/>
  <c r="C3412" i="5"/>
  <c r="E3412" i="5"/>
  <c r="J382" i="8"/>
  <c r="C382" i="8"/>
  <c r="C4204" i="5"/>
  <c r="C4205" i="5"/>
  <c r="F4205" i="5"/>
  <c r="E470" i="8"/>
  <c r="C3763" i="5"/>
  <c r="E3763" i="5"/>
  <c r="D421" i="8"/>
  <c r="C421" i="8"/>
  <c r="C1666" i="5"/>
  <c r="E1666" i="5"/>
  <c r="B188" i="8"/>
  <c r="E188" i="8"/>
  <c r="C496" i="5"/>
  <c r="E496" i="5"/>
  <c r="G58" i="8"/>
  <c r="B58" i="8"/>
  <c r="G38" i="8"/>
  <c r="B38" i="8"/>
  <c r="F38" i="8"/>
  <c r="C1379" i="5"/>
  <c r="F1379" i="5"/>
  <c r="C1378" i="5"/>
  <c r="E1378" i="5"/>
  <c r="C156" i="8"/>
  <c r="C2359" i="5"/>
  <c r="E2359" i="5"/>
  <c r="G265" i="8"/>
  <c r="C2701" i="5"/>
  <c r="E2701" i="5"/>
  <c r="C2702" i="5"/>
  <c r="F2702" i="5"/>
  <c r="C631" i="5"/>
  <c r="E631" i="5"/>
  <c r="E73" i="8"/>
  <c r="C749" i="5"/>
  <c r="F749" i="5"/>
  <c r="G86" i="8"/>
  <c r="C1649" i="5"/>
  <c r="F1649" i="5"/>
  <c r="H186" i="8"/>
  <c r="C3089" i="5"/>
  <c r="F3089" i="5"/>
  <c r="C3088" i="5"/>
  <c r="E3088" i="5"/>
  <c r="D346" i="8"/>
  <c r="F346" i="8"/>
  <c r="C3872" i="5"/>
  <c r="C974" i="5"/>
  <c r="F974" i="5"/>
  <c r="F111" i="8"/>
  <c r="C973" i="5"/>
  <c r="C111" i="8"/>
  <c r="C686" i="5"/>
  <c r="F686" i="5"/>
  <c r="C685" i="5"/>
  <c r="E685" i="5"/>
  <c r="C2315" i="5"/>
  <c r="F2315" i="5"/>
  <c r="C2314" i="5"/>
  <c r="E2314" i="5"/>
  <c r="C632" i="5"/>
  <c r="F632" i="5"/>
  <c r="C938" i="5"/>
  <c r="F938" i="5"/>
  <c r="J107" i="8"/>
  <c r="C4133" i="5"/>
  <c r="F4133" i="5"/>
  <c r="G462" i="8"/>
  <c r="K279" i="8"/>
  <c r="M279" i="8"/>
  <c r="C279" i="8"/>
  <c r="C1604" i="5"/>
  <c r="F1604" i="5"/>
  <c r="B181" i="8"/>
  <c r="C3295" i="5"/>
  <c r="E3295" i="5"/>
  <c r="F369" i="8"/>
  <c r="F225" i="8"/>
  <c r="C1999" i="5"/>
  <c r="E1999" i="5"/>
  <c r="C225" i="8"/>
  <c r="C280" i="5"/>
  <c r="E280" i="5"/>
  <c r="I34" i="8"/>
  <c r="L208" i="8"/>
  <c r="A208" i="8"/>
  <c r="C1846" i="5"/>
  <c r="E1846" i="5"/>
  <c r="K208" i="8"/>
  <c r="N208" i="8"/>
  <c r="A287" i="8"/>
  <c r="F287" i="8"/>
  <c r="C4438" i="5"/>
  <c r="E4438" i="5"/>
  <c r="E496" i="8"/>
  <c r="C398" i="5"/>
  <c r="F398" i="5"/>
  <c r="C1117" i="5"/>
  <c r="E1117" i="5"/>
  <c r="D127" i="8"/>
  <c r="C1091" i="5"/>
  <c r="F1091" i="5"/>
  <c r="C1090" i="5"/>
  <c r="E124" i="8"/>
  <c r="H481" i="8"/>
  <c r="L476" i="8"/>
  <c r="D177" i="8"/>
  <c r="G230" i="8"/>
  <c r="E179" i="8"/>
  <c r="C1279" i="5"/>
  <c r="E1279" i="5"/>
  <c r="S6" i="3"/>
  <c r="B6" i="8"/>
  <c r="A6" i="8"/>
  <c r="C6" i="8"/>
  <c r="E6" i="8"/>
  <c r="G6" i="8"/>
  <c r="H6" i="8"/>
  <c r="J6" i="8"/>
  <c r="E4" i="8"/>
  <c r="A4" i="8"/>
  <c r="D4" i="8"/>
  <c r="B4" i="8"/>
  <c r="S4" i="3"/>
  <c r="I4" i="8"/>
  <c r="G4" i="8"/>
  <c r="J4" i="8"/>
  <c r="B281" i="8"/>
  <c r="C3268" i="5"/>
  <c r="E3268" i="5"/>
  <c r="J366" i="8"/>
  <c r="G366" i="8"/>
  <c r="C366" i="8"/>
  <c r="E366" i="8"/>
  <c r="C3269" i="5"/>
  <c r="F3269" i="5"/>
  <c r="C2935" i="5"/>
  <c r="E2935" i="5"/>
  <c r="C2936" i="5"/>
  <c r="F2936" i="5"/>
  <c r="J329" i="8"/>
  <c r="I329" i="8"/>
  <c r="D329" i="8"/>
  <c r="B329" i="8"/>
  <c r="C1162" i="5"/>
  <c r="A1162" i="5"/>
  <c r="C1163" i="5"/>
  <c r="L132" i="8"/>
  <c r="I132" i="8"/>
  <c r="F132" i="8"/>
  <c r="C132" i="8"/>
  <c r="S406" i="3"/>
  <c r="C3628" i="5"/>
  <c r="E3628" i="5"/>
  <c r="C3629" i="5"/>
  <c r="F3629" i="5"/>
  <c r="K406" i="8"/>
  <c r="F406" i="8"/>
  <c r="G406" i="8"/>
  <c r="B406" i="8"/>
  <c r="A406" i="8"/>
  <c r="E406" i="8"/>
  <c r="C406" i="8"/>
  <c r="C2386" i="5"/>
  <c r="E2386" i="5"/>
  <c r="D268" i="8"/>
  <c r="A268" i="8"/>
  <c r="J268" i="8"/>
  <c r="I268" i="8"/>
  <c r="C4348" i="5"/>
  <c r="E4348" i="5"/>
  <c r="I486" i="8"/>
  <c r="J486" i="8"/>
  <c r="D486" i="8"/>
  <c r="C486" i="8"/>
  <c r="C1990" i="5"/>
  <c r="E1990" i="5"/>
  <c r="F224" i="8"/>
  <c r="A224" i="8"/>
  <c r="B224" i="8"/>
  <c r="K224" i="8"/>
  <c r="M224" i="8"/>
  <c r="J224" i="8"/>
  <c r="C1991" i="5"/>
  <c r="F1991" i="5"/>
  <c r="L224" i="8"/>
  <c r="H224" i="8"/>
  <c r="I224" i="8"/>
  <c r="C4114" i="5"/>
  <c r="E4114" i="5"/>
  <c r="C4115" i="5"/>
  <c r="J460" i="8"/>
  <c r="C460" i="8"/>
  <c r="L129" i="8"/>
  <c r="C1136" i="5"/>
  <c r="F1136" i="5"/>
  <c r="H129" i="8"/>
  <c r="I129" i="8"/>
  <c r="C1135" i="5"/>
  <c r="E1135" i="5"/>
  <c r="B129" i="8"/>
  <c r="C129" i="8"/>
  <c r="A129" i="8"/>
  <c r="C4069" i="5"/>
  <c r="E4069" i="5"/>
  <c r="K455" i="8"/>
  <c r="N455" i="8"/>
  <c r="I455" i="8"/>
  <c r="B455" i="8"/>
  <c r="E455" i="8"/>
  <c r="C2215" i="5"/>
  <c r="E2215" i="5"/>
  <c r="C2216" i="5"/>
  <c r="F2216" i="5"/>
  <c r="F249" i="8"/>
  <c r="D249" i="8"/>
  <c r="K249" i="8"/>
  <c r="M249" i="8"/>
  <c r="L249" i="8"/>
  <c r="J249" i="8"/>
  <c r="C793" i="5"/>
  <c r="E793" i="5"/>
  <c r="H91" i="8"/>
  <c r="C794" i="5"/>
  <c r="F794" i="5"/>
  <c r="C91" i="8"/>
  <c r="B91" i="8"/>
  <c r="D91" i="8"/>
  <c r="A91" i="8"/>
  <c r="L91" i="8"/>
  <c r="J91" i="8"/>
  <c r="C3880" i="5"/>
  <c r="E3880" i="5"/>
  <c r="E434" i="8"/>
  <c r="G434" i="8"/>
  <c r="C3881" i="5"/>
  <c r="F3881" i="5"/>
  <c r="K434" i="8"/>
  <c r="L434" i="8"/>
  <c r="J434" i="8"/>
  <c r="H434" i="8"/>
  <c r="D434" i="8"/>
  <c r="C434" i="8"/>
  <c r="B434" i="8"/>
  <c r="F434" i="8"/>
  <c r="C3331" i="5"/>
  <c r="E3331" i="5"/>
  <c r="C3332" i="5"/>
  <c r="F3332" i="5"/>
  <c r="F373" i="8"/>
  <c r="C373" i="8"/>
  <c r="B373" i="8"/>
  <c r="L373" i="8"/>
  <c r="K373" i="8"/>
  <c r="N373" i="8"/>
  <c r="C83" i="5"/>
  <c r="F83" i="5"/>
  <c r="C82" i="5"/>
  <c r="E82" i="5"/>
  <c r="L251" i="8"/>
  <c r="C2234" i="5"/>
  <c r="J251" i="8"/>
  <c r="H251" i="8"/>
  <c r="F251" i="8"/>
  <c r="A251" i="8"/>
  <c r="C251" i="8"/>
  <c r="C1954" i="5"/>
  <c r="C1955" i="5"/>
  <c r="B220" i="8"/>
  <c r="D220" i="8"/>
  <c r="L220" i="8"/>
  <c r="K220" i="8"/>
  <c r="C1757" i="5"/>
  <c r="F1757" i="5"/>
  <c r="C1756" i="5"/>
  <c r="E1756" i="5"/>
  <c r="K60" i="8"/>
  <c r="C514" i="5"/>
  <c r="E514" i="5"/>
  <c r="C515" i="5"/>
  <c r="F515" i="5"/>
  <c r="J60" i="8"/>
  <c r="E60" i="8"/>
  <c r="L60" i="8"/>
  <c r="G60" i="8"/>
  <c r="F60" i="8"/>
  <c r="C60" i="8"/>
  <c r="C1883" i="5"/>
  <c r="F1883" i="5"/>
  <c r="K212" i="8"/>
  <c r="H212" i="8"/>
  <c r="D212" i="8"/>
  <c r="C1882" i="5"/>
  <c r="E1882" i="5"/>
  <c r="C212" i="8"/>
  <c r="C3566" i="5"/>
  <c r="F3566" i="5"/>
  <c r="C399" i="8"/>
  <c r="H399" i="8"/>
  <c r="A399" i="8"/>
  <c r="L399" i="8"/>
  <c r="K399" i="8"/>
  <c r="C3322" i="5"/>
  <c r="E3322" i="5"/>
  <c r="C3323" i="5"/>
  <c r="F3323" i="5"/>
  <c r="J372" i="8"/>
  <c r="I372" i="8"/>
  <c r="E372" i="8"/>
  <c r="A372" i="8"/>
  <c r="C560" i="5"/>
  <c r="F560" i="5"/>
  <c r="C559" i="5"/>
  <c r="E559" i="5"/>
  <c r="D65" i="8"/>
  <c r="F65" i="8"/>
  <c r="A65" i="8"/>
  <c r="L65" i="8"/>
  <c r="K65" i="8"/>
  <c r="N65" i="8"/>
  <c r="G310" i="8"/>
  <c r="A310" i="8"/>
  <c r="J310" i="8"/>
  <c r="I310" i="8"/>
  <c r="H310" i="8"/>
  <c r="D310" i="8"/>
  <c r="E310" i="8"/>
  <c r="B310" i="8"/>
  <c r="C310" i="8"/>
  <c r="E50" i="8"/>
  <c r="B50" i="8"/>
  <c r="C425" i="5"/>
  <c r="F50" i="8"/>
  <c r="I50" i="8"/>
  <c r="G50" i="8"/>
  <c r="C50" i="8"/>
  <c r="A50" i="8"/>
  <c r="C424" i="5"/>
  <c r="E424" i="5"/>
  <c r="C2449" i="5"/>
  <c r="C2450" i="5"/>
  <c r="F2450" i="5"/>
  <c r="H1945" i="5"/>
  <c r="G1945" i="5"/>
  <c r="C2764" i="5"/>
  <c r="C1559" i="5"/>
  <c r="F1559" i="5"/>
  <c r="K176" i="8"/>
  <c r="H176" i="8"/>
  <c r="C176" i="8"/>
  <c r="G176" i="8"/>
  <c r="C326" i="5"/>
  <c r="J39" i="8"/>
  <c r="I39" i="8"/>
  <c r="F39" i="8"/>
  <c r="E39" i="8"/>
  <c r="C4331" i="5"/>
  <c r="F4331" i="5"/>
  <c r="C4330" i="5"/>
  <c r="E4330" i="5"/>
  <c r="J484" i="8"/>
  <c r="I484" i="8"/>
  <c r="D484" i="8"/>
  <c r="F484" i="8"/>
  <c r="F324" i="8"/>
  <c r="C2890" i="5"/>
  <c r="E2890" i="5"/>
  <c r="C2891" i="5"/>
  <c r="F2891" i="5"/>
  <c r="E324" i="8"/>
  <c r="C324" i="8"/>
  <c r="A324" i="8"/>
  <c r="C604" i="5"/>
  <c r="E604" i="5"/>
  <c r="I70" i="8"/>
  <c r="C605" i="5"/>
  <c r="F605" i="5"/>
  <c r="H70" i="8"/>
  <c r="B70" i="8"/>
  <c r="L70" i="8"/>
  <c r="J70" i="8"/>
  <c r="K70" i="8"/>
  <c r="F70" i="8"/>
  <c r="C70" i="8"/>
  <c r="C2387" i="5"/>
  <c r="F2387" i="5"/>
  <c r="C1360" i="5"/>
  <c r="E1360" i="5"/>
  <c r="J154" i="8"/>
  <c r="I154" i="8"/>
  <c r="B154" i="8"/>
  <c r="D154" i="8"/>
  <c r="C1361" i="5"/>
  <c r="F1361" i="5"/>
  <c r="C2504" i="5"/>
  <c r="H281" i="8"/>
  <c r="C2503" i="5"/>
  <c r="E2503" i="5"/>
  <c r="I281" i="8"/>
  <c r="A281" i="8"/>
  <c r="D281" i="8"/>
  <c r="C281" i="8"/>
  <c r="L281" i="8"/>
  <c r="K281" i="8"/>
  <c r="C2090" i="5"/>
  <c r="F2090" i="5"/>
  <c r="K235" i="8"/>
  <c r="C2089" i="5"/>
  <c r="E2089" i="5"/>
  <c r="F235" i="8"/>
  <c r="C235" i="8"/>
  <c r="C1468" i="5"/>
  <c r="C1469" i="5"/>
  <c r="F1469" i="5"/>
  <c r="L166" i="8"/>
  <c r="E166" i="8"/>
  <c r="G166" i="8"/>
  <c r="C3214" i="5"/>
  <c r="E3214" i="5"/>
  <c r="J360" i="8"/>
  <c r="H360" i="8"/>
  <c r="C360" i="8"/>
  <c r="E360" i="8"/>
  <c r="C3394" i="5"/>
  <c r="C3395" i="5"/>
  <c r="J380" i="8"/>
  <c r="D380" i="8"/>
  <c r="E380" i="8"/>
  <c r="C2837" i="5"/>
  <c r="F2837" i="5"/>
  <c r="C2836" i="5"/>
  <c r="E2836" i="5"/>
  <c r="C2927" i="5"/>
  <c r="F2927" i="5"/>
  <c r="C2926" i="5"/>
  <c r="E2926" i="5"/>
  <c r="B320" i="8"/>
  <c r="G320" i="8"/>
  <c r="C2854" i="5"/>
  <c r="C320" i="8"/>
  <c r="E320" i="8"/>
  <c r="C2855" i="5"/>
  <c r="F2855" i="5"/>
  <c r="D320" i="8"/>
  <c r="J320" i="8"/>
  <c r="L320" i="8"/>
  <c r="C3601" i="5"/>
  <c r="E3601" i="5"/>
  <c r="C3602" i="5"/>
  <c r="F3602" i="5"/>
  <c r="C4070" i="5"/>
  <c r="F4070" i="5"/>
  <c r="C4024" i="5"/>
  <c r="E4024" i="5"/>
  <c r="C4025" i="5"/>
  <c r="F4025" i="5"/>
  <c r="J450" i="8"/>
  <c r="I450" i="8"/>
  <c r="E450" i="8"/>
  <c r="D450" i="8"/>
  <c r="S224" i="3"/>
  <c r="S460" i="3"/>
  <c r="C275" i="8"/>
  <c r="C198" i="8"/>
  <c r="B328" i="8"/>
  <c r="A403" i="8"/>
  <c r="A318" i="8"/>
  <c r="A12" i="8"/>
  <c r="A460" i="8"/>
  <c r="G380" i="8"/>
  <c r="J166" i="8"/>
  <c r="D235" i="8"/>
  <c r="L154" i="8"/>
  <c r="E486" i="8"/>
  <c r="L329" i="8"/>
  <c r="L372" i="8"/>
  <c r="D176" i="8"/>
  <c r="L360" i="8"/>
  <c r="H455" i="8"/>
  <c r="C450" i="8"/>
  <c r="L39" i="8"/>
  <c r="F366" i="8"/>
  <c r="I220" i="8"/>
  <c r="E249" i="8"/>
  <c r="C65" i="8"/>
  <c r="B324" i="8"/>
  <c r="G251" i="8"/>
  <c r="C224" i="8"/>
  <c r="K91" i="8"/>
  <c r="A16" i="8"/>
  <c r="D50" i="8"/>
  <c r="C4349" i="5"/>
  <c r="F4349" i="5"/>
  <c r="S318" i="3"/>
  <c r="S198" i="3"/>
  <c r="F275" i="8"/>
  <c r="F198" i="8"/>
  <c r="A328" i="8"/>
  <c r="C403" i="8"/>
  <c r="C318" i="8"/>
  <c r="B12" i="8"/>
  <c r="B460" i="8"/>
  <c r="I380" i="8"/>
  <c r="K166" i="8"/>
  <c r="B235" i="8"/>
  <c r="F486" i="8"/>
  <c r="B132" i="8"/>
  <c r="B484" i="8"/>
  <c r="F176" i="8"/>
  <c r="F455" i="8"/>
  <c r="H450" i="8"/>
  <c r="B212" i="8"/>
  <c r="I366" i="8"/>
  <c r="J220" i="8"/>
  <c r="G249" i="8"/>
  <c r="G65" i="8"/>
  <c r="D324" i="8"/>
  <c r="K251" i="8"/>
  <c r="E224" i="8"/>
  <c r="D16" i="8"/>
  <c r="H50" i="8"/>
  <c r="A320" i="8"/>
  <c r="C3215" i="5"/>
  <c r="F3215" i="5"/>
  <c r="C328" i="8"/>
  <c r="D403" i="8"/>
  <c r="B318" i="8"/>
  <c r="D12" i="8"/>
  <c r="E460" i="8"/>
  <c r="F380" i="8"/>
  <c r="E235" i="8"/>
  <c r="H486" i="8"/>
  <c r="A132" i="8"/>
  <c r="A484" i="8"/>
  <c r="I176" i="8"/>
  <c r="G455" i="8"/>
  <c r="G450" i="8"/>
  <c r="E212" i="8"/>
  <c r="H366" i="8"/>
  <c r="I249" i="8"/>
  <c r="I65" i="8"/>
  <c r="I324" i="8"/>
  <c r="D129" i="8"/>
  <c r="D60" i="8"/>
  <c r="D224" i="8"/>
  <c r="F310" i="8"/>
  <c r="G70" i="8"/>
  <c r="J50" i="8"/>
  <c r="F12" i="8"/>
  <c r="L380" i="8"/>
  <c r="G235" i="8"/>
  <c r="K486" i="8"/>
  <c r="D132" i="8"/>
  <c r="E484" i="8"/>
  <c r="J176" i="8"/>
  <c r="L455" i="8"/>
  <c r="K450" i="8"/>
  <c r="A212" i="8"/>
  <c r="L366" i="8"/>
  <c r="H249" i="8"/>
  <c r="B399" i="8"/>
  <c r="J65" i="8"/>
  <c r="J324" i="8"/>
  <c r="E129" i="8"/>
  <c r="A60" i="8"/>
  <c r="G224" i="8"/>
  <c r="K310" i="8"/>
  <c r="E70" i="8"/>
  <c r="K50" i="8"/>
  <c r="K320" i="8"/>
  <c r="C3538" i="5"/>
  <c r="E3538" i="5"/>
  <c r="J396" i="8"/>
  <c r="H396" i="8"/>
  <c r="C3539" i="5"/>
  <c r="F3539" i="5"/>
  <c r="B396" i="8"/>
  <c r="G396" i="8"/>
  <c r="C3917" i="5"/>
  <c r="F3917" i="5"/>
  <c r="L438" i="8"/>
  <c r="B438" i="8"/>
  <c r="C3916" i="5"/>
  <c r="E3916" i="5"/>
  <c r="C118" i="5"/>
  <c r="E118" i="5"/>
  <c r="I16" i="8"/>
  <c r="L16" i="8"/>
  <c r="J16" i="8"/>
  <c r="G16" i="8"/>
  <c r="H16" i="8"/>
  <c r="F16" i="8"/>
  <c r="B16" i="8"/>
  <c r="E16" i="8"/>
  <c r="B403" i="8"/>
  <c r="F318" i="8"/>
  <c r="F460" i="8"/>
  <c r="S154" i="3"/>
  <c r="S450" i="3"/>
  <c r="G275" i="8"/>
  <c r="D198" i="8"/>
  <c r="E328" i="8"/>
  <c r="E403" i="8"/>
  <c r="D318" i="8"/>
  <c r="C12" i="8"/>
  <c r="D460" i="8"/>
  <c r="K380" i="8"/>
  <c r="H235" i="8"/>
  <c r="L486" i="8"/>
  <c r="G132" i="8"/>
  <c r="C484" i="8"/>
  <c r="L176" i="8"/>
  <c r="J455" i="8"/>
  <c r="L450" i="8"/>
  <c r="G212" i="8"/>
  <c r="K366" i="8"/>
  <c r="B268" i="8"/>
  <c r="D399" i="8"/>
  <c r="H65" i="8"/>
  <c r="F129" i="8"/>
  <c r="B60" i="8"/>
  <c r="L310" i="8"/>
  <c r="A70" i="8"/>
  <c r="L50" i="8"/>
  <c r="A434" i="8"/>
  <c r="C2233" i="5"/>
  <c r="E2233" i="5"/>
  <c r="C3565" i="5"/>
  <c r="E3565" i="5"/>
  <c r="C325" i="5"/>
  <c r="A1945" i="5"/>
  <c r="S235" i="3"/>
  <c r="S249" i="3"/>
  <c r="S373" i="3"/>
  <c r="A275" i="8"/>
  <c r="I198" i="8"/>
  <c r="B1945" i="5"/>
  <c r="S129" i="3"/>
  <c r="S372" i="3"/>
  <c r="S251" i="3"/>
  <c r="D275" i="8"/>
  <c r="E198" i="8"/>
  <c r="D328" i="8"/>
  <c r="S275" i="3"/>
  <c r="I275" i="8"/>
  <c r="J198" i="8"/>
  <c r="H328" i="8"/>
  <c r="G403" i="8"/>
  <c r="E318" i="8"/>
  <c r="G12" i="8"/>
  <c r="H460" i="8"/>
  <c r="C166" i="8"/>
  <c r="I235" i="8"/>
  <c r="A154" i="8"/>
  <c r="A329" i="8"/>
  <c r="H132" i="8"/>
  <c r="B372" i="8"/>
  <c r="H484" i="8"/>
  <c r="A360" i="8"/>
  <c r="A39" i="8"/>
  <c r="I212" i="8"/>
  <c r="F268" i="8"/>
  <c r="F399" i="8"/>
  <c r="A373" i="8"/>
  <c r="G129" i="8"/>
  <c r="H60" i="8"/>
  <c r="D70" i="8"/>
  <c r="I434" i="8"/>
  <c r="H320" i="8"/>
  <c r="F414" i="8"/>
  <c r="E414" i="8"/>
  <c r="J414" i="8"/>
  <c r="C3701" i="5"/>
  <c r="F3701" i="5"/>
  <c r="I414" i="8"/>
  <c r="D414" i="8"/>
  <c r="C414" i="8"/>
  <c r="C3700" i="5"/>
  <c r="E3700" i="5"/>
  <c r="B414" i="8"/>
  <c r="A414" i="8"/>
  <c r="J426" i="8"/>
  <c r="C3808" i="5"/>
  <c r="G426" i="8"/>
  <c r="H426" i="8"/>
  <c r="E426" i="8"/>
  <c r="J313" i="8"/>
  <c r="C2791" i="5"/>
  <c r="E2791" i="5"/>
  <c r="C2792" i="5"/>
  <c r="F2792" i="5"/>
  <c r="D313" i="8"/>
  <c r="E313" i="8"/>
  <c r="C313" i="8"/>
  <c r="A313" i="8"/>
  <c r="L313" i="8"/>
  <c r="K313" i="8"/>
  <c r="H334" i="8"/>
  <c r="C2981" i="5"/>
  <c r="C334" i="8"/>
  <c r="B334" i="8"/>
  <c r="L334" i="8"/>
  <c r="C2980" i="5"/>
  <c r="E2980" i="5"/>
  <c r="K334" i="8"/>
  <c r="I334" i="8"/>
  <c r="J334" i="8"/>
  <c r="C911" i="5"/>
  <c r="F911" i="5"/>
  <c r="C910" i="5"/>
  <c r="C3710" i="5"/>
  <c r="C3709" i="5"/>
  <c r="J415" i="8"/>
  <c r="I415" i="8"/>
  <c r="B415" i="8"/>
  <c r="G415" i="8"/>
  <c r="H417" i="8"/>
  <c r="C3728" i="5"/>
  <c r="F3728" i="5"/>
  <c r="C3727" i="5"/>
  <c r="E3727" i="5"/>
  <c r="A417" i="8"/>
  <c r="K417" i="8"/>
  <c r="J417" i="8"/>
  <c r="I417" i="8"/>
  <c r="F417" i="8"/>
  <c r="G417" i="8"/>
  <c r="C3944" i="5"/>
  <c r="F3944" i="5"/>
  <c r="K441" i="8"/>
  <c r="M441" i="8"/>
  <c r="I441" i="8"/>
  <c r="E441" i="8"/>
  <c r="D441" i="8"/>
  <c r="D445" i="8"/>
  <c r="B445" i="8"/>
  <c r="G445" i="8"/>
  <c r="C3979" i="5"/>
  <c r="E3979" i="5"/>
  <c r="K445" i="8"/>
  <c r="I445" i="8"/>
  <c r="H445" i="8"/>
  <c r="F445" i="8"/>
  <c r="E445" i="8"/>
  <c r="C3980" i="5"/>
  <c r="C445" i="8"/>
  <c r="A445" i="8"/>
  <c r="L349" i="8"/>
  <c r="C3116" i="5"/>
  <c r="F3116" i="5"/>
  <c r="H349" i="8"/>
  <c r="A349" i="8"/>
  <c r="K349" i="8"/>
  <c r="N349" i="8"/>
  <c r="J349" i="8"/>
  <c r="F349" i="8"/>
  <c r="E349" i="8"/>
  <c r="D349" i="8"/>
  <c r="G349" i="8"/>
  <c r="C349" i="8"/>
  <c r="C4393" i="5"/>
  <c r="E4393" i="5"/>
  <c r="C4394" i="5"/>
  <c r="F4394" i="5"/>
  <c r="E491" i="8"/>
  <c r="D491" i="8"/>
  <c r="K491" i="8"/>
  <c r="L491" i="8"/>
  <c r="I491" i="8"/>
  <c r="C2279" i="5"/>
  <c r="F2279" i="5"/>
  <c r="J256" i="8"/>
  <c r="C2278" i="5"/>
  <c r="E2278" i="5"/>
  <c r="D256" i="8"/>
  <c r="C256" i="8"/>
  <c r="U6" i="3"/>
  <c r="C28" i="5"/>
  <c r="E28" i="5"/>
  <c r="C29" i="5"/>
  <c r="F29" i="5"/>
  <c r="L6" i="8"/>
  <c r="I6" i="8"/>
  <c r="D6" i="8"/>
  <c r="F6" i="8"/>
  <c r="C2152" i="5"/>
  <c r="E2152" i="5"/>
  <c r="C2153" i="5"/>
  <c r="F2153" i="5"/>
  <c r="J242" i="8"/>
  <c r="A242" i="8"/>
  <c r="K242" i="8"/>
  <c r="N242" i="8"/>
  <c r="H242" i="8"/>
  <c r="G242" i="8"/>
  <c r="E242" i="8"/>
  <c r="C92" i="5"/>
  <c r="F92" i="5"/>
  <c r="J13" i="8"/>
  <c r="C91" i="5"/>
  <c r="B13" i="8"/>
  <c r="L13" i="8"/>
  <c r="K13" i="8"/>
  <c r="M13" i="8"/>
  <c r="I13" i="8"/>
  <c r="G13" i="8"/>
  <c r="F13" i="8"/>
  <c r="C13" i="8"/>
  <c r="A13" i="8"/>
  <c r="C1145" i="5"/>
  <c r="F1145" i="5"/>
  <c r="I130" i="8"/>
  <c r="B130" i="8"/>
  <c r="C1144" i="5"/>
  <c r="E1144" i="5"/>
  <c r="E130" i="8"/>
  <c r="C3314" i="5"/>
  <c r="F3314" i="5"/>
  <c r="C3313" i="5"/>
  <c r="E3313" i="5"/>
  <c r="D371" i="8"/>
  <c r="F371" i="8"/>
  <c r="K371" i="8"/>
  <c r="L371" i="8"/>
  <c r="C2404" i="5"/>
  <c r="E2404" i="5"/>
  <c r="C2405" i="5"/>
  <c r="F2405" i="5"/>
  <c r="J270" i="8"/>
  <c r="H270" i="8"/>
  <c r="D270" i="8"/>
  <c r="B270" i="8"/>
  <c r="C3646" i="5"/>
  <c r="E3646" i="5"/>
  <c r="C3647" i="5"/>
  <c r="F3647" i="5"/>
  <c r="J408" i="8"/>
  <c r="H408" i="8"/>
  <c r="F408" i="8"/>
  <c r="D408" i="8"/>
  <c r="L202" i="8"/>
  <c r="F202" i="8"/>
  <c r="C202" i="8"/>
  <c r="C1793" i="5"/>
  <c r="F1793" i="5"/>
  <c r="A202" i="8"/>
  <c r="K202" i="8"/>
  <c r="C3340" i="5"/>
  <c r="E3340" i="5"/>
  <c r="C3341" i="5"/>
  <c r="F3341" i="5"/>
  <c r="J374" i="8"/>
  <c r="D374" i="8"/>
  <c r="C1828" i="5"/>
  <c r="E1828" i="5"/>
  <c r="C1829" i="5"/>
  <c r="F1829" i="5"/>
  <c r="J206" i="8"/>
  <c r="I206" i="8"/>
  <c r="B206" i="8"/>
  <c r="D206" i="8"/>
  <c r="C136" i="5"/>
  <c r="C137" i="5"/>
  <c r="F137" i="5"/>
  <c r="I234" i="8"/>
  <c r="C2080" i="5"/>
  <c r="E2080" i="5"/>
  <c r="C2081" i="5"/>
  <c r="F234" i="8"/>
  <c r="B234" i="8"/>
  <c r="L234" i="8"/>
  <c r="K234" i="8"/>
  <c r="J234" i="8"/>
  <c r="H234" i="8"/>
  <c r="C2638" i="5"/>
  <c r="E2638" i="5"/>
  <c r="C2639" i="5"/>
  <c r="F2639" i="5"/>
  <c r="L296" i="8"/>
  <c r="F296" i="8"/>
  <c r="D296" i="8"/>
  <c r="E296" i="8"/>
  <c r="C955" i="5"/>
  <c r="H109" i="8"/>
  <c r="C956" i="5"/>
  <c r="F956" i="5"/>
  <c r="B109" i="8"/>
  <c r="K109" i="8"/>
  <c r="J109" i="8"/>
  <c r="I109" i="8"/>
  <c r="G109" i="8"/>
  <c r="F109" i="8"/>
  <c r="C1973" i="5"/>
  <c r="F1973" i="5"/>
  <c r="G222" i="8"/>
  <c r="A222" i="8"/>
  <c r="C222" i="8"/>
  <c r="B222" i="8"/>
  <c r="F222" i="8"/>
  <c r="K222" i="8"/>
  <c r="L222" i="8"/>
  <c r="C2765" i="5"/>
  <c r="F2765" i="5"/>
  <c r="C370" i="5"/>
  <c r="E370" i="5"/>
  <c r="C371" i="5"/>
  <c r="J500" i="8"/>
  <c r="C4475" i="5"/>
  <c r="F4475" i="5"/>
  <c r="C4474" i="5"/>
  <c r="E4474" i="5"/>
  <c r="C3692" i="5"/>
  <c r="F3692" i="5"/>
  <c r="C3691" i="5"/>
  <c r="C568" i="5"/>
  <c r="E568" i="5"/>
  <c r="C569" i="5"/>
  <c r="F569" i="5"/>
  <c r="C2395" i="5"/>
  <c r="E2395" i="5"/>
  <c r="C2396" i="5"/>
  <c r="F2396" i="5"/>
  <c r="C4456" i="5"/>
  <c r="E4456" i="5"/>
  <c r="A498" i="8"/>
  <c r="K498" i="8"/>
  <c r="C4457" i="5"/>
  <c r="E498" i="8"/>
  <c r="I20" i="8"/>
  <c r="C155" i="5"/>
  <c r="F155" i="5"/>
  <c r="H20" i="8"/>
  <c r="A20" i="8"/>
  <c r="H440" i="8"/>
  <c r="C3934" i="5"/>
  <c r="E3934" i="5"/>
  <c r="C440" i="8"/>
  <c r="C919" i="5"/>
  <c r="E919" i="5"/>
  <c r="C920" i="5"/>
  <c r="F920" i="5"/>
  <c r="C3241" i="5"/>
  <c r="I363" i="8"/>
  <c r="C3242" i="5"/>
  <c r="F3242" i="5"/>
  <c r="C766" i="5"/>
  <c r="E766" i="5"/>
  <c r="C767" i="5"/>
  <c r="F767" i="5"/>
  <c r="H443" i="8"/>
  <c r="C3961" i="5"/>
  <c r="E3961" i="5"/>
  <c r="C3962" i="5"/>
  <c r="F3962" i="5"/>
  <c r="J19" i="8"/>
  <c r="C145" i="5"/>
  <c r="E145" i="5"/>
  <c r="C146" i="5"/>
  <c r="F146" i="5"/>
  <c r="H42" i="8"/>
  <c r="G42" i="8"/>
  <c r="C352" i="5"/>
  <c r="K42" i="8"/>
  <c r="M42" i="8"/>
  <c r="N42" i="8"/>
  <c r="C353" i="5"/>
  <c r="F353" i="5"/>
  <c r="C3556" i="5"/>
  <c r="E3556" i="5"/>
  <c r="C3557" i="5"/>
  <c r="K113" i="8"/>
  <c r="N113" i="8"/>
  <c r="C991" i="5"/>
  <c r="E991" i="5"/>
  <c r="C992" i="5"/>
  <c r="F992" i="5"/>
  <c r="C343" i="5"/>
  <c r="E343" i="5"/>
  <c r="C344" i="5"/>
  <c r="F344" i="5"/>
  <c r="H120" i="8"/>
  <c r="C1054" i="5"/>
  <c r="E1054" i="5"/>
  <c r="C802" i="5"/>
  <c r="E802" i="5"/>
  <c r="C803" i="5"/>
  <c r="F803" i="5"/>
  <c r="G126" i="8"/>
  <c r="C1109" i="5"/>
  <c r="F1109" i="5"/>
  <c r="F126" i="8"/>
  <c r="L126" i="8"/>
  <c r="C2684" i="5"/>
  <c r="F2684" i="5"/>
  <c r="C2683" i="5"/>
  <c r="E2683" i="5"/>
  <c r="C3736" i="5"/>
  <c r="E3736" i="5"/>
  <c r="C3737" i="5"/>
  <c r="F3737" i="5"/>
  <c r="C2027" i="5"/>
  <c r="F2027" i="5"/>
  <c r="C10" i="5"/>
  <c r="C659" i="5"/>
  <c r="F659" i="5"/>
  <c r="C658" i="5"/>
  <c r="E658" i="5"/>
  <c r="C1324" i="5"/>
  <c r="E1324" i="5"/>
  <c r="I341" i="8"/>
  <c r="B162" i="8"/>
  <c r="B125" i="8"/>
  <c r="A440" i="8"/>
  <c r="H498" i="8"/>
  <c r="G159" i="8"/>
  <c r="I177" i="8"/>
  <c r="E42" i="8"/>
  <c r="S345" i="3"/>
  <c r="C3080" i="5"/>
  <c r="F3080" i="5"/>
  <c r="F288" i="8"/>
  <c r="C2567" i="5"/>
  <c r="L322" i="8"/>
  <c r="C2872" i="5"/>
  <c r="E2872" i="5"/>
  <c r="K322" i="8"/>
  <c r="C2873" i="5"/>
  <c r="F2873" i="5"/>
  <c r="C3160" i="5"/>
  <c r="E3160" i="5"/>
  <c r="C3161" i="5"/>
  <c r="F3161" i="5"/>
  <c r="C1963" i="5"/>
  <c r="E1963" i="5"/>
  <c r="S221" i="3"/>
  <c r="C1964" i="5"/>
  <c r="C1442" i="5"/>
  <c r="F1442" i="5"/>
  <c r="D163" i="8"/>
  <c r="S163" i="3"/>
  <c r="C1441" i="5"/>
  <c r="E1441" i="5"/>
  <c r="F27" i="8"/>
  <c r="C218" i="5"/>
  <c r="F218" i="5"/>
  <c r="C217" i="5"/>
  <c r="E217" i="5"/>
  <c r="C379" i="5"/>
  <c r="E379" i="5"/>
  <c r="C380" i="5"/>
  <c r="F380" i="5"/>
  <c r="C3718" i="5"/>
  <c r="E3718" i="5"/>
  <c r="C3719" i="5"/>
  <c r="F3719" i="5"/>
  <c r="G279" i="8"/>
  <c r="C2486" i="5"/>
  <c r="F2486" i="5"/>
  <c r="C2737" i="5"/>
  <c r="E2737" i="5"/>
  <c r="C2738" i="5"/>
  <c r="F2738" i="5"/>
  <c r="C1028" i="5"/>
  <c r="F1028" i="5"/>
  <c r="C1027" i="5"/>
  <c r="E1027" i="5"/>
  <c r="C3610" i="5"/>
  <c r="E3610" i="5"/>
  <c r="C3611" i="5"/>
  <c r="F3611" i="5"/>
  <c r="C109" i="5"/>
  <c r="E109" i="5"/>
  <c r="C110" i="5"/>
  <c r="F110" i="5"/>
  <c r="C406" i="5"/>
  <c r="E406" i="5"/>
  <c r="C407" i="5"/>
  <c r="I225" i="8"/>
  <c r="C2000" i="5"/>
  <c r="F2000" i="5"/>
  <c r="I287" i="8"/>
  <c r="C2557" i="5"/>
  <c r="C2558" i="5"/>
  <c r="F2558" i="5"/>
  <c r="C667" i="5"/>
  <c r="C668" i="5"/>
  <c r="C1819" i="5"/>
  <c r="E1819" i="5"/>
  <c r="C1820" i="5"/>
  <c r="F1820" i="5"/>
  <c r="C1621" i="5"/>
  <c r="E1621" i="5"/>
  <c r="C1622" i="5"/>
  <c r="F1622" i="5"/>
  <c r="J78" i="8"/>
  <c r="C676" i="5"/>
  <c r="C2782" i="5"/>
  <c r="C2783" i="5"/>
  <c r="F2783" i="5"/>
  <c r="L164" i="8"/>
  <c r="C1450" i="5"/>
  <c r="C1451" i="5"/>
  <c r="F1451" i="5"/>
  <c r="C2674" i="5"/>
  <c r="C2675" i="5"/>
  <c r="F2675" i="5"/>
  <c r="C1540" i="5"/>
  <c r="E1540" i="5"/>
  <c r="C1541" i="5"/>
  <c r="F1541" i="5"/>
  <c r="C3664" i="5"/>
  <c r="E3664" i="5"/>
  <c r="C1405" i="5"/>
  <c r="E1405" i="5"/>
  <c r="C3385" i="5"/>
  <c r="C4051" i="5"/>
  <c r="A162" i="8"/>
  <c r="B440" i="8"/>
  <c r="I498" i="8"/>
  <c r="B42" i="8"/>
  <c r="S465" i="3"/>
  <c r="C4160" i="5"/>
  <c r="F4160" i="5"/>
  <c r="C4159" i="5"/>
  <c r="E4159" i="5"/>
  <c r="F465" i="8"/>
  <c r="H263" i="8"/>
  <c r="C2342" i="5"/>
  <c r="F2342" i="5"/>
  <c r="C2341" i="5"/>
  <c r="J466" i="8"/>
  <c r="C4168" i="5"/>
  <c r="E4168" i="5"/>
  <c r="C3376" i="5"/>
  <c r="E3376" i="5"/>
  <c r="C3377" i="5"/>
  <c r="F3377" i="5"/>
  <c r="J267" i="8"/>
  <c r="C2377" i="5"/>
  <c r="C2378" i="5"/>
  <c r="F2378" i="5"/>
  <c r="I193" i="8"/>
  <c r="C1711" i="5"/>
  <c r="E1711" i="5"/>
  <c r="H375" i="8"/>
  <c r="C3350" i="5"/>
  <c r="F3350" i="5"/>
  <c r="C3349" i="5"/>
  <c r="H424" i="8"/>
  <c r="C424" i="8"/>
  <c r="C3790" i="5"/>
  <c r="E3790" i="5"/>
  <c r="K424" i="8"/>
  <c r="C3791" i="5"/>
  <c r="F3791" i="5"/>
  <c r="C1019" i="5"/>
  <c r="F1019" i="5"/>
  <c r="C1018" i="5"/>
  <c r="E1018" i="5"/>
  <c r="C551" i="5"/>
  <c r="F551" i="5"/>
  <c r="G64" i="8"/>
  <c r="C550" i="5"/>
  <c r="E550" i="5"/>
  <c r="C4078" i="5"/>
  <c r="C4079" i="5"/>
  <c r="F4079" i="5"/>
  <c r="I57" i="8"/>
  <c r="C487" i="5"/>
  <c r="E487" i="5"/>
  <c r="C488" i="5"/>
  <c r="F488" i="5"/>
  <c r="C272" i="5"/>
  <c r="H33" i="8"/>
  <c r="C271" i="5"/>
  <c r="E271" i="5"/>
  <c r="C200" i="5"/>
  <c r="F200" i="5"/>
  <c r="C199" i="5"/>
  <c r="E199" i="5"/>
  <c r="C1189" i="5"/>
  <c r="E1189" i="5"/>
  <c r="C1190" i="5"/>
  <c r="F1190" i="5"/>
  <c r="I135" i="8"/>
  <c r="C2107" i="5"/>
  <c r="E2107" i="5"/>
  <c r="L237" i="8"/>
  <c r="C2108" i="5"/>
  <c r="F2108" i="5"/>
  <c r="C46" i="5"/>
  <c r="H8" i="8"/>
  <c r="C47" i="5"/>
  <c r="C1522" i="5"/>
  <c r="E1522" i="5"/>
  <c r="C1523" i="5"/>
  <c r="F1523" i="5"/>
  <c r="H362" i="8"/>
  <c r="C3232" i="5"/>
  <c r="E3232" i="5"/>
  <c r="C3233" i="5"/>
  <c r="F3233" i="5"/>
  <c r="A362" i="8"/>
  <c r="F236" i="8"/>
  <c r="C2098" i="5"/>
  <c r="E2098" i="5"/>
  <c r="B236" i="8"/>
  <c r="C1981" i="5"/>
  <c r="C1982" i="5"/>
  <c r="F1982" i="5"/>
  <c r="C4268" i="5"/>
  <c r="F4268" i="5"/>
  <c r="C2441" i="5"/>
  <c r="C928" i="5"/>
  <c r="E928" i="5"/>
  <c r="C1603" i="5"/>
  <c r="E1603" i="5"/>
  <c r="C3296" i="5"/>
  <c r="F3296" i="5"/>
  <c r="C2099" i="5"/>
  <c r="F2099" i="5"/>
  <c r="S248" i="3"/>
  <c r="C2206" i="5"/>
  <c r="E2206" i="5"/>
  <c r="C4483" i="5"/>
  <c r="E4483" i="5"/>
  <c r="C4484" i="5"/>
  <c r="F4484" i="5"/>
  <c r="S502" i="3"/>
  <c r="C4492" i="5"/>
  <c r="E4492" i="5"/>
  <c r="C1567" i="5"/>
  <c r="K177" i="8"/>
  <c r="L177" i="8"/>
  <c r="C1568" i="5"/>
  <c r="F1568" i="5"/>
  <c r="C177" i="8"/>
  <c r="C812" i="5"/>
  <c r="F812" i="5"/>
  <c r="C811" i="5"/>
  <c r="C1100" i="5"/>
  <c r="I125" i="8"/>
  <c r="C1099" i="5"/>
  <c r="E1099" i="5"/>
  <c r="C469" i="5"/>
  <c r="E469" i="5"/>
  <c r="C470" i="5"/>
  <c r="S430" i="3"/>
  <c r="C3845" i="5"/>
  <c r="A159" i="8"/>
  <c r="F159" i="8"/>
  <c r="D159" i="8"/>
  <c r="C1406" i="5"/>
  <c r="F1406" i="5"/>
  <c r="C1775" i="5"/>
  <c r="F1775" i="5"/>
  <c r="C1774" i="5"/>
  <c r="H85" i="8"/>
  <c r="C739" i="5"/>
  <c r="E739" i="5"/>
  <c r="C740" i="5"/>
  <c r="C2575" i="5"/>
  <c r="C2576" i="5"/>
  <c r="F2576" i="5"/>
  <c r="C2170" i="5"/>
  <c r="E2170" i="5"/>
  <c r="C2171" i="5"/>
  <c r="F2171" i="5"/>
  <c r="I368" i="8"/>
  <c r="C3286" i="5"/>
  <c r="E3286" i="5"/>
  <c r="C3287" i="5"/>
  <c r="F3287" i="5"/>
  <c r="C3098" i="5"/>
  <c r="F3098" i="5"/>
  <c r="C3097" i="5"/>
  <c r="C298" i="5"/>
  <c r="C299" i="5"/>
  <c r="F299" i="5"/>
  <c r="C226" i="5"/>
  <c r="E226" i="5"/>
  <c r="C227" i="5"/>
  <c r="F227" i="5"/>
  <c r="C3205" i="5"/>
  <c r="E3205" i="5"/>
  <c r="C3206" i="5"/>
  <c r="F3206" i="5"/>
  <c r="C785" i="5"/>
  <c r="F785" i="5"/>
  <c r="K90" i="8"/>
  <c r="C2243" i="5"/>
  <c r="F2243" i="5"/>
  <c r="C2242" i="5"/>
  <c r="E2242" i="5"/>
  <c r="L447" i="8"/>
  <c r="C3997" i="5"/>
  <c r="C3998" i="5"/>
  <c r="C1900" i="5"/>
  <c r="G1900" i="5"/>
  <c r="H214" i="8"/>
  <c r="C1901" i="5"/>
  <c r="C2458" i="5"/>
  <c r="C2459" i="5"/>
  <c r="F2459" i="5"/>
  <c r="C3673" i="5"/>
  <c r="E3673" i="5"/>
  <c r="C1234" i="5"/>
  <c r="E1234" i="5"/>
  <c r="C677" i="5"/>
  <c r="F677" i="5"/>
  <c r="C1433" i="5"/>
  <c r="F1433" i="5"/>
  <c r="C1342" i="5"/>
  <c r="E1342" i="5"/>
  <c r="C2666" i="5"/>
  <c r="F2666" i="5"/>
  <c r="C3044" i="5"/>
  <c r="C3043" i="5"/>
  <c r="E3043" i="5"/>
  <c r="D341" i="8"/>
  <c r="D162" i="8"/>
  <c r="J125" i="8"/>
  <c r="G440" i="8"/>
  <c r="E20" i="8"/>
  <c r="L498" i="8"/>
  <c r="K159" i="8"/>
  <c r="B126" i="8"/>
  <c r="L42" i="8"/>
  <c r="H43" i="8"/>
  <c r="C361" i="5"/>
  <c r="C362" i="5"/>
  <c r="F362" i="5"/>
  <c r="C1037" i="5"/>
  <c r="F1037" i="5"/>
  <c r="C1036" i="5"/>
  <c r="E1036" i="5"/>
  <c r="C1675" i="5"/>
  <c r="E1675" i="5"/>
  <c r="C1676" i="5"/>
  <c r="F1676" i="5"/>
  <c r="C3521" i="5"/>
  <c r="F3521" i="5"/>
  <c r="C3520" i="5"/>
  <c r="E3520" i="5"/>
  <c r="C3484" i="5"/>
  <c r="E3484" i="5"/>
  <c r="I390" i="8"/>
  <c r="C3485" i="5"/>
  <c r="F3485" i="5"/>
  <c r="C4366" i="5"/>
  <c r="E4366" i="5"/>
  <c r="C4367" i="5"/>
  <c r="F4367" i="5"/>
  <c r="C3475" i="5"/>
  <c r="E3475" i="5"/>
  <c r="G389" i="8"/>
  <c r="C3476" i="5"/>
  <c r="C757" i="5"/>
  <c r="I87" i="8"/>
  <c r="C758" i="5"/>
  <c r="F758" i="5"/>
  <c r="H227" i="8"/>
  <c r="G227" i="8"/>
  <c r="C2017" i="5"/>
  <c r="E2017" i="5"/>
  <c r="C2018" i="5"/>
  <c r="F2018" i="5"/>
  <c r="B227" i="8"/>
  <c r="A11" i="8"/>
  <c r="C73" i="5"/>
  <c r="E73" i="5"/>
  <c r="D11" i="8"/>
  <c r="B11" i="8"/>
  <c r="C74" i="5"/>
  <c r="F74" i="5"/>
  <c r="L11" i="8"/>
  <c r="J62" i="8"/>
  <c r="C533" i="5"/>
  <c r="F533" i="5"/>
  <c r="C3466" i="5"/>
  <c r="E3466" i="5"/>
  <c r="C3467" i="5"/>
  <c r="F3467" i="5"/>
  <c r="C1864" i="5"/>
  <c r="E1864" i="5"/>
  <c r="C1865" i="5"/>
  <c r="F1865" i="5"/>
  <c r="C3422" i="5"/>
  <c r="F3422" i="5"/>
  <c r="I383" i="8"/>
  <c r="C3421" i="5"/>
  <c r="C383" i="8"/>
  <c r="C335" i="5"/>
  <c r="F335" i="5"/>
  <c r="C334" i="5"/>
  <c r="E334" i="5"/>
  <c r="C3430" i="5"/>
  <c r="E3430" i="5"/>
  <c r="C3431" i="5"/>
  <c r="F3431" i="5"/>
  <c r="C2134" i="5"/>
  <c r="E2134" i="5"/>
  <c r="C2135" i="5"/>
  <c r="F2135" i="5"/>
  <c r="E240" i="8"/>
  <c r="H253" i="8"/>
  <c r="C2251" i="5"/>
  <c r="E2251" i="5"/>
  <c r="C2252" i="5"/>
  <c r="F2252" i="5"/>
  <c r="C3107" i="5"/>
  <c r="F3107" i="5"/>
  <c r="C3106" i="5"/>
  <c r="E3106" i="5"/>
  <c r="C1612" i="5"/>
  <c r="E1612" i="5"/>
  <c r="C1613" i="5"/>
  <c r="F1613" i="5"/>
  <c r="C4321" i="5"/>
  <c r="E4321" i="5"/>
  <c r="C4322" i="5"/>
  <c r="F4322" i="5"/>
  <c r="C1856" i="5"/>
  <c r="F1856" i="5"/>
  <c r="H209" i="8"/>
  <c r="I209" i="8"/>
  <c r="C1855" i="5"/>
  <c r="A209" i="8"/>
  <c r="C947" i="5"/>
  <c r="F947" i="5"/>
  <c r="C946" i="5"/>
  <c r="E946" i="5"/>
  <c r="C1423" i="5"/>
  <c r="C1424" i="5"/>
  <c r="C4277" i="5"/>
  <c r="F4277" i="5"/>
  <c r="C2026" i="5"/>
  <c r="E2026" i="5"/>
  <c r="C1486" i="5"/>
  <c r="E1486" i="5"/>
  <c r="C3836" i="5"/>
  <c r="F3836" i="5"/>
  <c r="C2944" i="5"/>
  <c r="E2944" i="5"/>
  <c r="C578" i="5"/>
  <c r="F578" i="5"/>
  <c r="C281" i="5"/>
  <c r="F281" i="5"/>
  <c r="C4241" i="5"/>
  <c r="C341" i="8"/>
  <c r="I162" i="8"/>
  <c r="K125" i="8"/>
  <c r="F440" i="8"/>
  <c r="G20" i="8"/>
  <c r="A177" i="8"/>
  <c r="D126" i="8"/>
  <c r="J42" i="8"/>
  <c r="C4357" i="5"/>
  <c r="E4357" i="5"/>
  <c r="C4358" i="5"/>
  <c r="F4358" i="5"/>
  <c r="C2260" i="5"/>
  <c r="E2260" i="5"/>
  <c r="H254" i="8"/>
  <c r="C4249" i="5"/>
  <c r="E4249" i="5"/>
  <c r="C4250" i="5"/>
  <c r="F4250" i="5"/>
  <c r="C388" i="5"/>
  <c r="E388" i="5"/>
  <c r="C389" i="5"/>
  <c r="F389" i="5"/>
  <c r="C2332" i="5"/>
  <c r="E2332" i="5"/>
  <c r="G262" i="8"/>
  <c r="C2333" i="5"/>
  <c r="F2333" i="5"/>
  <c r="F241" i="8"/>
  <c r="C2144" i="5"/>
  <c r="B241" i="8"/>
  <c r="C965" i="5"/>
  <c r="C964" i="5"/>
  <c r="E964" i="5"/>
  <c r="C821" i="5"/>
  <c r="F821" i="5"/>
  <c r="H94" i="8"/>
  <c r="E94" i="8"/>
  <c r="C820" i="5"/>
  <c r="E820" i="5"/>
  <c r="C2693" i="5"/>
  <c r="F2693" i="5"/>
  <c r="C2692" i="5"/>
  <c r="E2692" i="5"/>
  <c r="J149" i="8"/>
  <c r="H149" i="8"/>
  <c r="D149" i="8"/>
  <c r="C1315" i="5"/>
  <c r="E1315" i="5"/>
  <c r="C289" i="5"/>
  <c r="E289" i="5"/>
  <c r="C290" i="5"/>
  <c r="F290" i="5"/>
  <c r="L35" i="8"/>
  <c r="C4312" i="5"/>
  <c r="E4312" i="5"/>
  <c r="C4313" i="5"/>
  <c r="F4313" i="5"/>
  <c r="A482" i="8"/>
  <c r="D482" i="8"/>
  <c r="F482" i="8"/>
  <c r="C4096" i="5"/>
  <c r="E4096" i="5"/>
  <c r="C4097" i="5"/>
  <c r="F4097" i="5"/>
  <c r="C1892" i="5"/>
  <c r="F1892" i="5"/>
  <c r="C1891" i="5"/>
  <c r="E1891" i="5"/>
  <c r="C3889" i="5"/>
  <c r="C3890" i="5"/>
  <c r="C37" i="5"/>
  <c r="E37" i="5"/>
  <c r="C38" i="5"/>
  <c r="F38" i="5"/>
  <c r="C2476" i="5"/>
  <c r="E2476" i="5"/>
  <c r="H278" i="8"/>
  <c r="C2477" i="5"/>
  <c r="F2477" i="5"/>
  <c r="C1550" i="5"/>
  <c r="F1550" i="5"/>
  <c r="C1549" i="5"/>
  <c r="E1549" i="5"/>
  <c r="C308" i="5"/>
  <c r="F308" i="5"/>
  <c r="C307" i="5"/>
  <c r="E307" i="5"/>
  <c r="C2125" i="5"/>
  <c r="E2125" i="5"/>
  <c r="C2126" i="5"/>
  <c r="U5" i="3"/>
  <c r="C20" i="5"/>
  <c r="F20" i="5"/>
  <c r="I5" i="8"/>
  <c r="C19" i="5"/>
  <c r="C1810" i="5"/>
  <c r="E1810" i="5"/>
  <c r="C1811" i="5"/>
  <c r="F1811" i="5"/>
  <c r="C4276" i="5"/>
  <c r="C1316" i="5"/>
  <c r="F1316" i="5"/>
  <c r="C1253" i="5"/>
  <c r="F1253" i="5"/>
  <c r="C2143" i="5"/>
  <c r="E2143" i="5"/>
  <c r="C1046" i="5"/>
  <c r="F1046" i="5"/>
  <c r="C1262" i="5"/>
  <c r="F1262" i="5"/>
  <c r="C3134" i="5"/>
  <c r="F3134" i="5"/>
  <c r="C3304" i="5"/>
  <c r="E3304" i="5"/>
  <c r="C2882" i="5"/>
  <c r="C3224" i="5"/>
  <c r="C1532" i="5"/>
  <c r="F1532" i="5"/>
  <c r="C1667" i="5"/>
  <c r="F1667" i="5"/>
  <c r="C1684" i="5"/>
  <c r="E1684" i="5"/>
  <c r="C3755" i="5"/>
  <c r="F3755" i="5"/>
  <c r="C3655" i="5"/>
  <c r="E3655" i="5"/>
  <c r="F14" i="8"/>
  <c r="C3259" i="5"/>
  <c r="E3259" i="5"/>
  <c r="C4402" i="5"/>
  <c r="C3053" i="5"/>
  <c r="F3053" i="5"/>
  <c r="C4105" i="5"/>
  <c r="E4105" i="5"/>
  <c r="C2647" i="5"/>
  <c r="C3070" i="5"/>
  <c r="E3070" i="5"/>
  <c r="C1001" i="5"/>
  <c r="C2971" i="5"/>
  <c r="E2971" i="5"/>
  <c r="C4385" i="5"/>
  <c r="F4385" i="5"/>
  <c r="C55" i="5"/>
  <c r="E55" i="5"/>
  <c r="C2548" i="5"/>
  <c r="E2548" i="5"/>
  <c r="C1738" i="5"/>
  <c r="E1738" i="5"/>
  <c r="C3926" i="5"/>
  <c r="F3926" i="5"/>
  <c r="C3754" i="5"/>
  <c r="E3754" i="5"/>
  <c r="C2297" i="5"/>
  <c r="F2297" i="5"/>
  <c r="C3764" i="5"/>
  <c r="F3764" i="5"/>
  <c r="C3530" i="5"/>
  <c r="F3530" i="5"/>
  <c r="C2188" i="5"/>
  <c r="C1640" i="5"/>
  <c r="C2774" i="5"/>
  <c r="F2774" i="5"/>
  <c r="C2044" i="5"/>
  <c r="E2044" i="5"/>
  <c r="C4258" i="5"/>
  <c r="E4258" i="5"/>
  <c r="C2899" i="5"/>
  <c r="E2899" i="5"/>
  <c r="C2999" i="5"/>
  <c r="F2999" i="5"/>
  <c r="C1747" i="5"/>
  <c r="E1747" i="5"/>
  <c r="C3908" i="5"/>
  <c r="F3908" i="5"/>
  <c r="C2819" i="5"/>
  <c r="C101" i="5"/>
  <c r="F101" i="5"/>
  <c r="C1351" i="5"/>
  <c r="E1351" i="5"/>
  <c r="C164" i="5"/>
  <c r="F164" i="5"/>
  <c r="C317" i="5"/>
  <c r="C730" i="5"/>
  <c r="E730" i="5"/>
  <c r="C1658" i="5"/>
  <c r="F1658" i="5"/>
  <c r="C461" i="5"/>
  <c r="F461" i="5"/>
  <c r="C434" i="5"/>
  <c r="F434" i="5"/>
  <c r="C3196" i="5"/>
  <c r="E3196" i="5"/>
  <c r="C316" i="5"/>
  <c r="E316" i="5"/>
  <c r="C731" i="5"/>
  <c r="C1648" i="5"/>
  <c r="C3008" i="5"/>
  <c r="F3008" i="5"/>
  <c r="C1181" i="5"/>
  <c r="F1181" i="5"/>
  <c r="C1243" i="5"/>
  <c r="E1243" i="5"/>
  <c r="C3188" i="5"/>
  <c r="C2864" i="5"/>
  <c r="F2864" i="5"/>
  <c r="C3953" i="5"/>
  <c r="F3953" i="5"/>
  <c r="C2009" i="5"/>
  <c r="F2009" i="5"/>
  <c r="C2963" i="5"/>
  <c r="F2963" i="5"/>
  <c r="C100" i="5"/>
  <c r="E100" i="5"/>
  <c r="C1784" i="5"/>
  <c r="C776" i="5"/>
  <c r="F776" i="5"/>
  <c r="C2324" i="5"/>
  <c r="F2324" i="5"/>
  <c r="C1765" i="5"/>
  <c r="E1765" i="5"/>
  <c r="C497" i="5"/>
  <c r="F497" i="5"/>
  <c r="C262" i="5"/>
  <c r="E262" i="5"/>
  <c r="C3133" i="5"/>
  <c r="E3133" i="5"/>
  <c r="C1577" i="5"/>
  <c r="C893" i="5"/>
  <c r="F893" i="5"/>
  <c r="C1217" i="5"/>
  <c r="F1217" i="5"/>
  <c r="C2467" i="5"/>
  <c r="E2467" i="5"/>
  <c r="C2549" i="5"/>
  <c r="F2549" i="5"/>
  <c r="C4304" i="5"/>
  <c r="F4304" i="5"/>
  <c r="C2360" i="5"/>
  <c r="C695" i="5"/>
  <c r="C3403" i="5"/>
  <c r="E3403" i="5"/>
  <c r="C416" i="5"/>
  <c r="C2594" i="5"/>
  <c r="F2594" i="5"/>
  <c r="C2972" i="5"/>
  <c r="F2972" i="5"/>
  <c r="C3638" i="5"/>
  <c r="F3638" i="5"/>
  <c r="I188" i="8"/>
  <c r="H277" i="8"/>
  <c r="F258" i="8"/>
  <c r="H58" i="8"/>
  <c r="H421" i="8"/>
  <c r="H490" i="8"/>
  <c r="A14" i="8"/>
  <c r="F493" i="8"/>
  <c r="C623" i="5"/>
  <c r="F623" i="5"/>
  <c r="C614" i="5"/>
  <c r="F614" i="5"/>
  <c r="C1802" i="5"/>
  <c r="F1802" i="5"/>
  <c r="C3413" i="5"/>
  <c r="F3413" i="5"/>
  <c r="C3404" i="5"/>
  <c r="F3404" i="5"/>
  <c r="C173" i="5"/>
  <c r="F173" i="5"/>
  <c r="C1630" i="5"/>
  <c r="E1630" i="5"/>
  <c r="C3179" i="5"/>
  <c r="F3179" i="5"/>
  <c r="C1460" i="5"/>
  <c r="F1460" i="5"/>
  <c r="C3035" i="5"/>
  <c r="C1153" i="5"/>
  <c r="C1388" i="5"/>
  <c r="F1388" i="5"/>
  <c r="C2323" i="5"/>
  <c r="E2323" i="5"/>
  <c r="C641" i="5"/>
  <c r="C1127" i="5"/>
  <c r="F1127" i="5"/>
  <c r="J263" i="8"/>
  <c r="I168" i="8"/>
  <c r="H324" i="8"/>
  <c r="E288" i="8"/>
  <c r="E241" i="8"/>
  <c r="E11" i="8"/>
  <c r="B322" i="8"/>
  <c r="F43" i="8"/>
  <c r="G438" i="8"/>
  <c r="A3165" i="5"/>
  <c r="B3165" i="5"/>
  <c r="G3165" i="5"/>
  <c r="H3165" i="5"/>
  <c r="A3585" i="5"/>
  <c r="B3585" i="5"/>
  <c r="H3585" i="5"/>
  <c r="G3585" i="5"/>
  <c r="B581" i="5"/>
  <c r="A581" i="5"/>
  <c r="H581" i="5"/>
  <c r="G581" i="5"/>
  <c r="A2857" i="5"/>
  <c r="B2857" i="5"/>
  <c r="H2857" i="5"/>
  <c r="G2857" i="5"/>
  <c r="B2952" i="5"/>
  <c r="A2952" i="5"/>
  <c r="H2952" i="5"/>
  <c r="G2952" i="5"/>
  <c r="B237" i="5"/>
  <c r="A237" i="5"/>
  <c r="G237" i="5"/>
  <c r="H237" i="5"/>
  <c r="B3370" i="5"/>
  <c r="A3370" i="5"/>
  <c r="G3370" i="5"/>
  <c r="H3370" i="5"/>
  <c r="B357" i="5"/>
  <c r="A357" i="5"/>
  <c r="H357" i="5"/>
  <c r="G357" i="5"/>
  <c r="A1560" i="5"/>
  <c r="B1560" i="5"/>
  <c r="H1560" i="5"/>
  <c r="G1560" i="5"/>
  <c r="B4335" i="5"/>
  <c r="A4335" i="5"/>
  <c r="H4335" i="5"/>
  <c r="G4335" i="5"/>
  <c r="B3599" i="5"/>
  <c r="A3599" i="5"/>
  <c r="G3599" i="5"/>
  <c r="H3599" i="5"/>
  <c r="A1698" i="5"/>
  <c r="B1698" i="5"/>
  <c r="G1698" i="5"/>
  <c r="H1698" i="5"/>
  <c r="A2561" i="5"/>
  <c r="B2561" i="5"/>
  <c r="G2561" i="5"/>
  <c r="H2561" i="5"/>
  <c r="A2725" i="5"/>
  <c r="B2725" i="5"/>
  <c r="H2725" i="5"/>
  <c r="G2725" i="5"/>
  <c r="B2599" i="5"/>
  <c r="A2599" i="5"/>
  <c r="H2599" i="5"/>
  <c r="G2599" i="5"/>
  <c r="B4243" i="5"/>
  <c r="A4243" i="5"/>
  <c r="G4243" i="5"/>
  <c r="H4243" i="5"/>
  <c r="B2205" i="5"/>
  <c r="A2205" i="5"/>
  <c r="G2205" i="5"/>
  <c r="H2205" i="5"/>
  <c r="B1682" i="5"/>
  <c r="A1682" i="5"/>
  <c r="H1682" i="5"/>
  <c r="G1682" i="5"/>
  <c r="A3073" i="5"/>
  <c r="B3073" i="5"/>
  <c r="H3073" i="5"/>
  <c r="G3073" i="5"/>
  <c r="B320" i="5"/>
  <c r="A320" i="5"/>
  <c r="G320" i="5"/>
  <c r="H320" i="5"/>
  <c r="B4127" i="5"/>
  <c r="A4127" i="5"/>
  <c r="G4127" i="5"/>
  <c r="H4127" i="5"/>
  <c r="B646" i="5"/>
  <c r="A646" i="5"/>
  <c r="G646" i="5"/>
  <c r="H646" i="5"/>
  <c r="B3146" i="5"/>
  <c r="A3146" i="5"/>
  <c r="H3146" i="5"/>
  <c r="G3146" i="5"/>
  <c r="B1872" i="5"/>
  <c r="A1872" i="5"/>
  <c r="G1872" i="5"/>
  <c r="H1872" i="5"/>
  <c r="A3825" i="5"/>
  <c r="B3825" i="5"/>
  <c r="H3825" i="5"/>
  <c r="G3825" i="5"/>
  <c r="B2417" i="5"/>
  <c r="A2417" i="5"/>
  <c r="G2417" i="5"/>
  <c r="H2417" i="5"/>
  <c r="B1222" i="5"/>
  <c r="A1222" i="5"/>
  <c r="H1222" i="5"/>
  <c r="G1222" i="5"/>
  <c r="B717" i="5"/>
  <c r="H717" i="5"/>
  <c r="G717" i="5"/>
  <c r="A717" i="5"/>
  <c r="B3156" i="5"/>
  <c r="A3156" i="5"/>
  <c r="H3156" i="5"/>
  <c r="G3156" i="5"/>
  <c r="B3896" i="5"/>
  <c r="A3896" i="5"/>
  <c r="H3896" i="5"/>
  <c r="G3896" i="5"/>
  <c r="B2655" i="5"/>
  <c r="A2655" i="5"/>
  <c r="H2655" i="5"/>
  <c r="G2655" i="5"/>
  <c r="B1920" i="5"/>
  <c r="A1920" i="5"/>
  <c r="G1920" i="5"/>
  <c r="H1920" i="5"/>
  <c r="B2344" i="5"/>
  <c r="A2344" i="5"/>
  <c r="H2344" i="5"/>
  <c r="G2344" i="5"/>
  <c r="B869" i="5"/>
  <c r="A869" i="5"/>
  <c r="H869" i="5"/>
  <c r="G869" i="5"/>
  <c r="A3814" i="5"/>
  <c r="B3814" i="5"/>
  <c r="H3814" i="5"/>
  <c r="G3814" i="5"/>
  <c r="A4463" i="5"/>
  <c r="B4463" i="5"/>
  <c r="H4463" i="5"/>
  <c r="G4463" i="5"/>
  <c r="B597" i="5"/>
  <c r="A597" i="5"/>
  <c r="H597" i="5"/>
  <c r="G597" i="5"/>
  <c r="B2843" i="5"/>
  <c r="A2843" i="5"/>
  <c r="G2843" i="5"/>
  <c r="H2843" i="5"/>
  <c r="A3267" i="5"/>
  <c r="B3267" i="5"/>
  <c r="G3267" i="5"/>
  <c r="H3267" i="5"/>
  <c r="A3036" i="5"/>
  <c r="B3036" i="5"/>
  <c r="H3036" i="5"/>
  <c r="G3036" i="5"/>
  <c r="B4143" i="5"/>
  <c r="A4143" i="5"/>
  <c r="G4143" i="5"/>
  <c r="H4143" i="5"/>
  <c r="A4036" i="5"/>
  <c r="B4036" i="5"/>
  <c r="H4036" i="5"/>
  <c r="G4036" i="5"/>
  <c r="B4011" i="5"/>
  <c r="A4011" i="5"/>
  <c r="H4011" i="5"/>
  <c r="G4011" i="5"/>
  <c r="B1959" i="5"/>
  <c r="A1959" i="5"/>
  <c r="G1959" i="5"/>
  <c r="H1959" i="5"/>
  <c r="B4495" i="5"/>
  <c r="A4495" i="5"/>
  <c r="H4495" i="5"/>
  <c r="G4495" i="5"/>
  <c r="B4377" i="5"/>
  <c r="A4377" i="5"/>
  <c r="H4377" i="5"/>
  <c r="G4377" i="5"/>
  <c r="A1339" i="5"/>
  <c r="G1339" i="5"/>
  <c r="B1339" i="5"/>
  <c r="H1339" i="5"/>
  <c r="A2255" i="5"/>
  <c r="B2255" i="5"/>
  <c r="H2255" i="5"/>
  <c r="G2255" i="5"/>
  <c r="B2222" i="5"/>
  <c r="A2222" i="5"/>
  <c r="G2222" i="5"/>
  <c r="H2222" i="5"/>
  <c r="A4332" i="5"/>
  <c r="B4332" i="5"/>
  <c r="G4332" i="5"/>
  <c r="H4332" i="5"/>
  <c r="B968" i="5"/>
  <c r="A968" i="5"/>
  <c r="H968" i="5"/>
  <c r="G968" i="5"/>
  <c r="A3513" i="5"/>
  <c r="B3513" i="5"/>
  <c r="H3513" i="5"/>
  <c r="G3513" i="5"/>
  <c r="B4046" i="5"/>
  <c r="A4046" i="5"/>
  <c r="H4046" i="5"/>
  <c r="G4046" i="5"/>
  <c r="B4163" i="5"/>
  <c r="A4163" i="5"/>
  <c r="H4163" i="5"/>
  <c r="G4163" i="5"/>
  <c r="B1077" i="5"/>
  <c r="A1077" i="5"/>
  <c r="H1077" i="5"/>
  <c r="G1077" i="5"/>
  <c r="B2199" i="5"/>
  <c r="A2199" i="5"/>
  <c r="H2199" i="5"/>
  <c r="G2199" i="5"/>
  <c r="B2532" i="5"/>
  <c r="A2532" i="5"/>
  <c r="G2532" i="5"/>
  <c r="H2532" i="5"/>
  <c r="B1247" i="5"/>
  <c r="A1247" i="5"/>
  <c r="H1247" i="5"/>
  <c r="G1247" i="5"/>
  <c r="B1911" i="5"/>
  <c r="A1911" i="5"/>
  <c r="G1911" i="5"/>
  <c r="H1911" i="5"/>
  <c r="B3858" i="5"/>
  <c r="A3858" i="5"/>
  <c r="H3858" i="5"/>
  <c r="G3858" i="5"/>
  <c r="B1482" i="5"/>
  <c r="A1482" i="5"/>
  <c r="H1482" i="5"/>
  <c r="G1482" i="5"/>
  <c r="A2709" i="5"/>
  <c r="B2709" i="5"/>
  <c r="G2709" i="5"/>
  <c r="H2709" i="5"/>
  <c r="B1006" i="5"/>
  <c r="A1006" i="5"/>
  <c r="H1006" i="5"/>
  <c r="G1006" i="5"/>
  <c r="A3838" i="5"/>
  <c r="B3838" i="5"/>
  <c r="H3838" i="5"/>
  <c r="G3838" i="5"/>
  <c r="B2181" i="5"/>
  <c r="A2181" i="5"/>
  <c r="G2181" i="5"/>
  <c r="H2181" i="5"/>
  <c r="B895" i="5"/>
  <c r="A895" i="5"/>
  <c r="H895" i="5"/>
  <c r="G895" i="5"/>
  <c r="A2886" i="5"/>
  <c r="B2886" i="5"/>
  <c r="G2886" i="5"/>
  <c r="H2886" i="5"/>
  <c r="B1438" i="5"/>
  <c r="A1438" i="5"/>
  <c r="H1438" i="5"/>
  <c r="G1438" i="5"/>
  <c r="B1562" i="5"/>
  <c r="A1562" i="5"/>
  <c r="H1562" i="5"/>
  <c r="G1562" i="5"/>
  <c r="B3194" i="5"/>
  <c r="A3194" i="5"/>
  <c r="H3194" i="5"/>
  <c r="G3194" i="5"/>
  <c r="B3177" i="5"/>
  <c r="A3177" i="5"/>
  <c r="G3177" i="5"/>
  <c r="H3177" i="5"/>
  <c r="A3517" i="5"/>
  <c r="B3517" i="5"/>
  <c r="H3517" i="5"/>
  <c r="G3517" i="5"/>
  <c r="B1499" i="5"/>
  <c r="A1499" i="5"/>
  <c r="H1499" i="5"/>
  <c r="G1499" i="5"/>
  <c r="B1724" i="5"/>
  <c r="A1724" i="5"/>
  <c r="H1724" i="5"/>
  <c r="G1724" i="5"/>
  <c r="B4183" i="5"/>
  <c r="A4183" i="5"/>
  <c r="H4183" i="5"/>
  <c r="G4183" i="5"/>
  <c r="A2937" i="5"/>
  <c r="B2937" i="5"/>
  <c r="H2937" i="5"/>
  <c r="G2937" i="5"/>
  <c r="B2754" i="5"/>
  <c r="A2754" i="5"/>
  <c r="H2754" i="5"/>
  <c r="G2754" i="5"/>
  <c r="B3686" i="5"/>
  <c r="A3686" i="5"/>
  <c r="G3686" i="5"/>
  <c r="H3686" i="5"/>
  <c r="A213" i="5"/>
  <c r="H213" i="5"/>
  <c r="G213" i="5"/>
  <c r="B213" i="5"/>
  <c r="A4004" i="5"/>
  <c r="B4004" i="5"/>
  <c r="H4004" i="5"/>
  <c r="G4004" i="5"/>
  <c r="B4272" i="5"/>
  <c r="A4272" i="5"/>
  <c r="H4272" i="5"/>
  <c r="G4272" i="5"/>
  <c r="B4217" i="5"/>
  <c r="A4217" i="5"/>
  <c r="H4217" i="5"/>
  <c r="G4217" i="5"/>
  <c r="A2320" i="5"/>
  <c r="B2320" i="5"/>
  <c r="G2320" i="5"/>
  <c r="H2320" i="5"/>
  <c r="B2515" i="5"/>
  <c r="A2515" i="5"/>
  <c r="G2515" i="5"/>
  <c r="H2515" i="5"/>
  <c r="B3049" i="5"/>
  <c r="A3049" i="5"/>
  <c r="H3049" i="5"/>
  <c r="G3049" i="5"/>
  <c r="B4499" i="5"/>
  <c r="A4499" i="5"/>
  <c r="H4499" i="5"/>
  <c r="G4499" i="5"/>
  <c r="B1204" i="5"/>
  <c r="A1204" i="5"/>
  <c r="G1204" i="5"/>
  <c r="H1204" i="5"/>
  <c r="A3246" i="5"/>
  <c r="B3246" i="5"/>
  <c r="H3246" i="5"/>
  <c r="G3246" i="5"/>
  <c r="B4041" i="5"/>
  <c r="A4041" i="5"/>
  <c r="G4041" i="5"/>
  <c r="H4041" i="5"/>
  <c r="A1161" i="5"/>
  <c r="B1161" i="5"/>
  <c r="G1161" i="5"/>
  <c r="H1161" i="5"/>
  <c r="B382" i="5"/>
  <c r="A382" i="5"/>
  <c r="H382" i="5"/>
  <c r="G382" i="5"/>
  <c r="B3380" i="5"/>
  <c r="A3380" i="5"/>
  <c r="G3380" i="5"/>
  <c r="H3380" i="5"/>
  <c r="A806" i="5"/>
  <c r="B806" i="5"/>
  <c r="H806" i="5"/>
  <c r="G806" i="5"/>
  <c r="B3258" i="5"/>
  <c r="A3258" i="5"/>
  <c r="H3258" i="5"/>
  <c r="G3258" i="5"/>
  <c r="B563" i="5"/>
  <c r="A563" i="5"/>
  <c r="G563" i="5"/>
  <c r="H563" i="5"/>
  <c r="B4362" i="5"/>
  <c r="A4362" i="5"/>
  <c r="H4362" i="5"/>
  <c r="G4362" i="5"/>
  <c r="B384" i="5"/>
  <c r="A384" i="5"/>
  <c r="H384" i="5"/>
  <c r="G384" i="5"/>
  <c r="B3915" i="5"/>
  <c r="A3915" i="5"/>
  <c r="G3915" i="5"/>
  <c r="H3915" i="5"/>
  <c r="A1212" i="5"/>
  <c r="B1212" i="5"/>
  <c r="H1212" i="5"/>
  <c r="G1212" i="5"/>
  <c r="B3779" i="5"/>
  <c r="A3779" i="5"/>
  <c r="G3779" i="5"/>
  <c r="H3779" i="5"/>
  <c r="A2070" i="5"/>
  <c r="B2070" i="5"/>
  <c r="H2070" i="5"/>
  <c r="G2070" i="5"/>
  <c r="B448" i="5"/>
  <c r="A448" i="5"/>
  <c r="H448" i="5"/>
  <c r="G448" i="5"/>
  <c r="B3713" i="5"/>
  <c r="A3713" i="5"/>
  <c r="H3713" i="5"/>
  <c r="G3713" i="5"/>
  <c r="B2374" i="5"/>
  <c r="A2374" i="5"/>
  <c r="H2374" i="5"/>
  <c r="G2374" i="5"/>
  <c r="A3189" i="5"/>
  <c r="B3189" i="5"/>
  <c r="G3189" i="5"/>
  <c r="H3189" i="5"/>
  <c r="B2164" i="5"/>
  <c r="A2164" i="5"/>
  <c r="H2164" i="5"/>
  <c r="G2164" i="5"/>
  <c r="B1148" i="5"/>
  <c r="A1148" i="5"/>
  <c r="H1148" i="5"/>
  <c r="G1148" i="5"/>
  <c r="B113" i="5"/>
  <c r="A113" i="5"/>
  <c r="H113" i="5"/>
  <c r="G113" i="5"/>
  <c r="B2862" i="5"/>
  <c r="A2862" i="5"/>
  <c r="H2862" i="5"/>
  <c r="G2862" i="5"/>
  <c r="B3679" i="5"/>
  <c r="A3679" i="5"/>
  <c r="H3679" i="5"/>
  <c r="G3679" i="5"/>
  <c r="B905" i="5"/>
  <c r="A905" i="5"/>
  <c r="H905" i="5"/>
  <c r="G905" i="5"/>
  <c r="B4446" i="5"/>
  <c r="A4446" i="5"/>
  <c r="G4446" i="5"/>
  <c r="H4446" i="5"/>
  <c r="B2542" i="5"/>
  <c r="A2542" i="5"/>
  <c r="H2542" i="5"/>
  <c r="G2542" i="5"/>
  <c r="B2271" i="5"/>
  <c r="A2271" i="5"/>
  <c r="H2271" i="5"/>
  <c r="G2271" i="5"/>
  <c r="B885" i="5"/>
  <c r="A885" i="5"/>
  <c r="H885" i="5"/>
  <c r="G885" i="5"/>
  <c r="A1194" i="5"/>
  <c r="B1194" i="5"/>
  <c r="H1194" i="5"/>
  <c r="G1194" i="5"/>
  <c r="B1706" i="5"/>
  <c r="A1706" i="5"/>
  <c r="H1706" i="5"/>
  <c r="G1706" i="5"/>
  <c r="B4120" i="5"/>
  <c r="A4120" i="5"/>
  <c r="G4120" i="5"/>
  <c r="H4120" i="5"/>
  <c r="B1347" i="5"/>
  <c r="A1347" i="5"/>
  <c r="G1347" i="5"/>
  <c r="H1347" i="5"/>
  <c r="B2312" i="5"/>
  <c r="A2312" i="5"/>
  <c r="G2312" i="5"/>
  <c r="H2312" i="5"/>
  <c r="A3492" i="5"/>
  <c r="B3492" i="5"/>
  <c r="H3492" i="5"/>
  <c r="G3492" i="5"/>
  <c r="B2394" i="5"/>
  <c r="A2394" i="5"/>
  <c r="H2394" i="5"/>
  <c r="G2394" i="5"/>
  <c r="B2734" i="5"/>
  <c r="A2734" i="5"/>
  <c r="H2734" i="5"/>
  <c r="G2734" i="5"/>
  <c r="A1744" i="5"/>
  <c r="B1744" i="5"/>
  <c r="G1744" i="5"/>
  <c r="H1744" i="5"/>
  <c r="A4229" i="5"/>
  <c r="B4229" i="5"/>
  <c r="H4229" i="5"/>
  <c r="G4229" i="5"/>
  <c r="B759" i="5"/>
  <c r="A759" i="5"/>
  <c r="H759" i="5"/>
  <c r="G759" i="5"/>
  <c r="B2303" i="5"/>
  <c r="A2303" i="5"/>
  <c r="H2303" i="5"/>
  <c r="G2303" i="5"/>
  <c r="A1320" i="5"/>
  <c r="B1320" i="5"/>
  <c r="G1320" i="5"/>
  <c r="H1320" i="5"/>
  <c r="B611" i="5"/>
  <c r="A611" i="5"/>
  <c r="H611" i="5"/>
  <c r="G611" i="5"/>
  <c r="B3587" i="5"/>
  <c r="A3587" i="5"/>
  <c r="G3587" i="5"/>
  <c r="H3587" i="5"/>
  <c r="B710" i="5"/>
  <c r="A710" i="5"/>
  <c r="H710" i="5"/>
  <c r="G710" i="5"/>
  <c r="B3725" i="5"/>
  <c r="A3725" i="5"/>
  <c r="H3725" i="5"/>
  <c r="G3725" i="5"/>
  <c r="B445" i="5"/>
  <c r="A445" i="5"/>
  <c r="H445" i="5"/>
  <c r="G445" i="5"/>
  <c r="A1120" i="5"/>
  <c r="B1120" i="5"/>
  <c r="H1120" i="5"/>
  <c r="G1120" i="5"/>
  <c r="B4455" i="5"/>
  <c r="A4455" i="5"/>
  <c r="H4455" i="5"/>
  <c r="G4455" i="5"/>
  <c r="B1023" i="5"/>
  <c r="A1023" i="5"/>
  <c r="H1023" i="5"/>
  <c r="G1023" i="5"/>
  <c r="B503" i="5"/>
  <c r="A503" i="5"/>
  <c r="H503" i="5"/>
  <c r="G503" i="5"/>
  <c r="A4408" i="5"/>
  <c r="B4408" i="5"/>
  <c r="G4408" i="5"/>
  <c r="H4408" i="5"/>
  <c r="B2140" i="5"/>
  <c r="A2140" i="5"/>
  <c r="H2140" i="5"/>
  <c r="G2140" i="5"/>
  <c r="B4117" i="5"/>
  <c r="A4117" i="5"/>
  <c r="G4117" i="5"/>
  <c r="H4117" i="5"/>
  <c r="B152" i="5"/>
  <c r="A152" i="5"/>
  <c r="H152" i="5"/>
  <c r="G152" i="5"/>
  <c r="B122" i="5"/>
  <c r="A122" i="5"/>
  <c r="H122" i="5"/>
  <c r="G122" i="5"/>
  <c r="B3969" i="5"/>
  <c r="A3969" i="5"/>
  <c r="H3969" i="5"/>
  <c r="G3969" i="5"/>
  <c r="B1075" i="5"/>
  <c r="A1075" i="5"/>
  <c r="G1075" i="5"/>
  <c r="H1075" i="5"/>
  <c r="B925" i="5"/>
  <c r="A925" i="5"/>
  <c r="H925" i="5"/>
  <c r="G925" i="5"/>
  <c r="B3981" i="5"/>
  <c r="A3981" i="5"/>
  <c r="H3981" i="5"/>
  <c r="G3981" i="5"/>
  <c r="A3932" i="5"/>
  <c r="B3932" i="5"/>
  <c r="G3932" i="5"/>
  <c r="H3932" i="5"/>
  <c r="A1173" i="5"/>
  <c r="B1173" i="5"/>
  <c r="G1173" i="5"/>
  <c r="H1173" i="5"/>
  <c r="A4175" i="5"/>
  <c r="B4175" i="5"/>
  <c r="G4175" i="5"/>
  <c r="H4175" i="5"/>
  <c r="A961" i="5"/>
  <c r="B961" i="5"/>
  <c r="H961" i="5"/>
  <c r="G961" i="5"/>
  <c r="B2902" i="5"/>
  <c r="A2902" i="5"/>
  <c r="H2902" i="5"/>
  <c r="G2902" i="5"/>
  <c r="B3117" i="5"/>
  <c r="A3117" i="5"/>
  <c r="H3117" i="5"/>
  <c r="G3117" i="5"/>
  <c r="B4064" i="5"/>
  <c r="A4064" i="5"/>
  <c r="H4064" i="5"/>
  <c r="G4064" i="5"/>
  <c r="B183" i="5"/>
  <c r="A183" i="5"/>
  <c r="G183" i="5"/>
  <c r="H183" i="5"/>
  <c r="B3298" i="5"/>
  <c r="A3298" i="5"/>
  <c r="G3298" i="5"/>
  <c r="H3298" i="5"/>
  <c r="B828" i="5"/>
  <c r="A828" i="5"/>
  <c r="H828" i="5"/>
  <c r="G828" i="5"/>
  <c r="B635" i="5"/>
  <c r="A635" i="5"/>
  <c r="H635" i="5"/>
  <c r="G635" i="5"/>
  <c r="B69" i="5"/>
  <c r="A69" i="5"/>
  <c r="G69" i="5"/>
  <c r="H69" i="5"/>
  <c r="B822" i="5"/>
  <c r="A822" i="5"/>
  <c r="G822" i="5"/>
  <c r="H822" i="5"/>
  <c r="B2212" i="5"/>
  <c r="A2212" i="5"/>
  <c r="G2212" i="5"/>
  <c r="H2212" i="5"/>
  <c r="B916" i="5"/>
  <c r="A916" i="5"/>
  <c r="G916" i="5"/>
  <c r="H916" i="5"/>
  <c r="B3740" i="5"/>
  <c r="A3740" i="5"/>
  <c r="H3740" i="5"/>
  <c r="G3740" i="5"/>
  <c r="B4401" i="5"/>
  <c r="A4401" i="5"/>
  <c r="H4401" i="5"/>
  <c r="G4401" i="5"/>
  <c r="A530" i="5"/>
  <c r="B530" i="5"/>
  <c r="H530" i="5"/>
  <c r="G530" i="5"/>
  <c r="A525" i="5"/>
  <c r="G525" i="5"/>
  <c r="B525" i="5"/>
  <c r="H525" i="5"/>
  <c r="B399" i="5"/>
  <c r="A399" i="5"/>
  <c r="H399" i="5"/>
  <c r="G399" i="5"/>
  <c r="B2277" i="5"/>
  <c r="A2277" i="5"/>
  <c r="G2277" i="5"/>
  <c r="H2277" i="5"/>
  <c r="B790" i="5"/>
  <c r="A790" i="5"/>
  <c r="H790" i="5"/>
  <c r="G790" i="5"/>
  <c r="B3243" i="5"/>
  <c r="A3243" i="5"/>
  <c r="H3243" i="5"/>
  <c r="G3243" i="5"/>
  <c r="B112" i="5"/>
  <c r="A112" i="5"/>
  <c r="H112" i="5"/>
  <c r="G112" i="5"/>
  <c r="B2570" i="5"/>
  <c r="A2570" i="5"/>
  <c r="H2570" i="5"/>
  <c r="G2570" i="5"/>
  <c r="B3635" i="5"/>
  <c r="A3635" i="5"/>
  <c r="G3635" i="5"/>
  <c r="H3635" i="5"/>
  <c r="B2645" i="5"/>
  <c r="A2645" i="5"/>
  <c r="H2645" i="5"/>
  <c r="G2645" i="5"/>
  <c r="B3464" i="5"/>
  <c r="A3464" i="5"/>
  <c r="G3464" i="5"/>
  <c r="H3464" i="5"/>
  <c r="B2687" i="5"/>
  <c r="A2687" i="5"/>
  <c r="H2687" i="5"/>
  <c r="G2687" i="5"/>
  <c r="B1669" i="5"/>
  <c r="A1669" i="5"/>
  <c r="H1669" i="5"/>
  <c r="G1669" i="5"/>
  <c r="B3879" i="5"/>
  <c r="A3879" i="5"/>
  <c r="H3879" i="5"/>
  <c r="G3879" i="5"/>
  <c r="B763" i="5"/>
  <c r="A763" i="5"/>
  <c r="G763" i="5"/>
  <c r="H763" i="5"/>
  <c r="A402" i="5"/>
  <c r="B402" i="5"/>
  <c r="H402" i="5"/>
  <c r="G402" i="5"/>
  <c r="B2169" i="5"/>
  <c r="A2169" i="5"/>
  <c r="H2169" i="5"/>
  <c r="G2169" i="5"/>
  <c r="B1584" i="5"/>
  <c r="A1584" i="5"/>
  <c r="H1584" i="5"/>
  <c r="G1584" i="5"/>
  <c r="B3132" i="5"/>
  <c r="A3132" i="5"/>
  <c r="H3132" i="5"/>
  <c r="G3132" i="5"/>
  <c r="B1317" i="5"/>
  <c r="A1317" i="5"/>
  <c r="H1317" i="5"/>
  <c r="G1317" i="5"/>
  <c r="B2148" i="5"/>
  <c r="A2148" i="5"/>
  <c r="H2148" i="5"/>
  <c r="G2148" i="5"/>
  <c r="B3328" i="5"/>
  <c r="A3328" i="5"/>
  <c r="G3328" i="5"/>
  <c r="H3328" i="5"/>
  <c r="B3957" i="5"/>
  <c r="A3957" i="5"/>
  <c r="H3957" i="5"/>
  <c r="G3957" i="5"/>
  <c r="B3288" i="5"/>
  <c r="A3288" i="5"/>
  <c r="G3288" i="5"/>
  <c r="H3288" i="5"/>
  <c r="B53" i="5"/>
  <c r="A53" i="5"/>
  <c r="H53" i="5"/>
  <c r="G53" i="5"/>
  <c r="B3658" i="5"/>
  <c r="A3658" i="5"/>
  <c r="G3658" i="5"/>
  <c r="H3658" i="5"/>
  <c r="A3753" i="5"/>
  <c r="B3753" i="5"/>
  <c r="G3753" i="5"/>
  <c r="H3753" i="5"/>
  <c r="B312" i="5"/>
  <c r="A312" i="5"/>
  <c r="G312" i="5"/>
  <c r="H312" i="5"/>
  <c r="A86" i="5"/>
  <c r="B86" i="5"/>
  <c r="H86" i="5"/>
  <c r="G86" i="5"/>
  <c r="B85" i="5"/>
  <c r="A85" i="5"/>
  <c r="H85" i="5"/>
  <c r="G85" i="5"/>
  <c r="A147" i="5"/>
  <c r="B147" i="5"/>
  <c r="H147" i="5"/>
  <c r="G147" i="5"/>
  <c r="B3023" i="5"/>
  <c r="A3023" i="5"/>
  <c r="H3023" i="5"/>
  <c r="G3023" i="5"/>
  <c r="B1530" i="5"/>
  <c r="A1530" i="5"/>
  <c r="H1530" i="5"/>
  <c r="G1530" i="5"/>
  <c r="B275" i="5"/>
  <c r="A275" i="5"/>
  <c r="H275" i="5"/>
  <c r="G275" i="5"/>
  <c r="B268" i="5"/>
  <c r="A268" i="5"/>
  <c r="H268" i="5"/>
  <c r="G268" i="5"/>
  <c r="B3094" i="5"/>
  <c r="A3094" i="5"/>
  <c r="H3094" i="5"/>
  <c r="G3094" i="5"/>
  <c r="B1062" i="5"/>
  <c r="A1062" i="5"/>
  <c r="G1062" i="5"/>
  <c r="H1062" i="5"/>
  <c r="B2493" i="5"/>
  <c r="A2493" i="5"/>
  <c r="H2493" i="5"/>
  <c r="G2493" i="5"/>
  <c r="B693" i="5"/>
  <c r="A693" i="5"/>
  <c r="H693" i="5"/>
  <c r="G693" i="5"/>
  <c r="B1376" i="5"/>
  <c r="A1376" i="5"/>
  <c r="H1376" i="5"/>
  <c r="G1376" i="5"/>
  <c r="B2235" i="5"/>
  <c r="A2235" i="5"/>
  <c r="G2235" i="5"/>
  <c r="H2235" i="5"/>
  <c r="B3219" i="5"/>
  <c r="A3219" i="5"/>
  <c r="H3219" i="5"/>
  <c r="G3219" i="5"/>
  <c r="B2586" i="5"/>
  <c r="A2586" i="5"/>
  <c r="G2586" i="5"/>
  <c r="H2586" i="5"/>
  <c r="B3671" i="5"/>
  <c r="A3671" i="5"/>
  <c r="H3671" i="5"/>
  <c r="G3671" i="5"/>
  <c r="B3123" i="5"/>
  <c r="A3123" i="5"/>
  <c r="H3123" i="5"/>
  <c r="G3123" i="5"/>
  <c r="A1736" i="5"/>
  <c r="B1736" i="5"/>
  <c r="H1736" i="5"/>
  <c r="G1736" i="5"/>
  <c r="B330" i="5"/>
  <c r="A330" i="5"/>
  <c r="G330" i="5"/>
  <c r="H330" i="5"/>
  <c r="B95" i="5"/>
  <c r="A95" i="5"/>
  <c r="H95" i="5"/>
  <c r="G95" i="5"/>
  <c r="A2354" i="5"/>
  <c r="B2354" i="5"/>
  <c r="G2354" i="5"/>
  <c r="H2354" i="5"/>
  <c r="A3309" i="5"/>
  <c r="B3309" i="5"/>
  <c r="H3309" i="5"/>
  <c r="G3309" i="5"/>
  <c r="B1957" i="5"/>
  <c r="A1957" i="5"/>
  <c r="H1957" i="5"/>
  <c r="G1957" i="5"/>
  <c r="B3553" i="5"/>
  <c r="A3553" i="5"/>
  <c r="H3553" i="5"/>
  <c r="G3553" i="5"/>
  <c r="B3144" i="5"/>
  <c r="A3144" i="5"/>
  <c r="H3144" i="5"/>
  <c r="G3144" i="5"/>
  <c r="A194" i="5"/>
  <c r="B194" i="5"/>
  <c r="G194" i="5"/>
  <c r="H194" i="5"/>
  <c r="B293" i="5"/>
  <c r="A293" i="5"/>
  <c r="G293" i="5"/>
  <c r="H293" i="5"/>
  <c r="B4092" i="5"/>
  <c r="A4092" i="5"/>
  <c r="H4092" i="5"/>
  <c r="G4092" i="5"/>
  <c r="B2399" i="5"/>
  <c r="A2399" i="5"/>
  <c r="H2399" i="5"/>
  <c r="G2399" i="5"/>
  <c r="B1191" i="5"/>
  <c r="A1191" i="5"/>
  <c r="H1191" i="5"/>
  <c r="G1191" i="5"/>
  <c r="B228" i="5"/>
  <c r="A228" i="5"/>
  <c r="H228" i="5"/>
  <c r="G228" i="5"/>
  <c r="B2010" i="5"/>
  <c r="A2010" i="5"/>
  <c r="H2010" i="5"/>
  <c r="G2010" i="5"/>
  <c r="B1803" i="5"/>
  <c r="A1803" i="5"/>
  <c r="G1803" i="5"/>
  <c r="H1803" i="5"/>
  <c r="B3009" i="5"/>
  <c r="A3009" i="5"/>
  <c r="G3009" i="5"/>
  <c r="H3009" i="5"/>
  <c r="B3641" i="5"/>
  <c r="A3641" i="5"/>
  <c r="G3641" i="5"/>
  <c r="H3641" i="5"/>
  <c r="B510" i="5"/>
  <c r="A510" i="5"/>
  <c r="H510" i="5"/>
  <c r="G510" i="5"/>
  <c r="A346" i="5"/>
  <c r="B346" i="5"/>
  <c r="G346" i="5"/>
  <c r="H346" i="5"/>
  <c r="B1814" i="5"/>
  <c r="A1814" i="5"/>
  <c r="H1814" i="5"/>
  <c r="G1814" i="5"/>
  <c r="B2110" i="5"/>
  <c r="A2110" i="5"/>
  <c r="H2110" i="5"/>
  <c r="G2110" i="5"/>
  <c r="B2249" i="5"/>
  <c r="A2249" i="5"/>
  <c r="H2249" i="5"/>
  <c r="G2249" i="5"/>
  <c r="B3891" i="5"/>
  <c r="A3891" i="5"/>
  <c r="H3891" i="5"/>
  <c r="G3891" i="5"/>
  <c r="A626" i="5"/>
  <c r="B626" i="5"/>
  <c r="H626" i="5"/>
  <c r="G626" i="5"/>
  <c r="B1794" i="5"/>
  <c r="A1794" i="5"/>
  <c r="H1794" i="5"/>
  <c r="G1794" i="5"/>
  <c r="B1620" i="5"/>
  <c r="A1620" i="5"/>
  <c r="G1620" i="5"/>
  <c r="H1620" i="5"/>
  <c r="B782" i="5"/>
  <c r="A782" i="5"/>
  <c r="H782" i="5"/>
  <c r="G782" i="5"/>
  <c r="B1275" i="5"/>
  <c r="A1275" i="5"/>
  <c r="H1275" i="5"/>
  <c r="G1275" i="5"/>
  <c r="B3109" i="5"/>
  <c r="A3109" i="5"/>
  <c r="G3109" i="5"/>
  <c r="H3109" i="5"/>
  <c r="B3561" i="5"/>
  <c r="A3561" i="5"/>
  <c r="H3561" i="5"/>
  <c r="G3561" i="5"/>
  <c r="A1047" i="5"/>
  <c r="B1047" i="5"/>
  <c r="H1047" i="5"/>
  <c r="G1047" i="5"/>
  <c r="B678" i="5"/>
  <c r="A678" i="5"/>
  <c r="H678" i="5"/>
  <c r="G678" i="5"/>
  <c r="A4298" i="5"/>
  <c r="B4298" i="5"/>
  <c r="H4298" i="5"/>
  <c r="G4298" i="5"/>
  <c r="B2879" i="5"/>
  <c r="A2879" i="5"/>
  <c r="H2879" i="5"/>
  <c r="G2879" i="5"/>
  <c r="B1610" i="5"/>
  <c r="A1610" i="5"/>
  <c r="G1610" i="5"/>
  <c r="H1610" i="5"/>
  <c r="A2471" i="5"/>
  <c r="B2471" i="5"/>
  <c r="H2471" i="5"/>
  <c r="G2471" i="5"/>
  <c r="B1823" i="5"/>
  <c r="A1823" i="5"/>
  <c r="G1823" i="5"/>
  <c r="H1823" i="5"/>
  <c r="B3324" i="5"/>
  <c r="A3324" i="5"/>
  <c r="G3324" i="5"/>
  <c r="H3324" i="5"/>
  <c r="B797" i="5"/>
  <c r="A797" i="5"/>
  <c r="H797" i="5"/>
  <c r="G797" i="5"/>
  <c r="B2785" i="5"/>
  <c r="A2785" i="5"/>
  <c r="H2785" i="5"/>
  <c r="G2785" i="5"/>
  <c r="B3532" i="5"/>
  <c r="A3532" i="5"/>
  <c r="H3532" i="5"/>
  <c r="G3532" i="5"/>
  <c r="A4383" i="5"/>
  <c r="B4383" i="5"/>
  <c r="G4383" i="5"/>
  <c r="H4383" i="5"/>
  <c r="B1547" i="5"/>
  <c r="A1547" i="5"/>
  <c r="H1547" i="5"/>
  <c r="G1547" i="5"/>
  <c r="B135" i="5"/>
  <c r="A135" i="5"/>
  <c r="G135" i="5"/>
  <c r="H135" i="5"/>
  <c r="A562" i="5"/>
  <c r="B562" i="5"/>
  <c r="H562" i="5"/>
  <c r="G562" i="5"/>
  <c r="B1411" i="5"/>
  <c r="A1411" i="5"/>
  <c r="H1411" i="5"/>
  <c r="G1411" i="5"/>
  <c r="B4441" i="5"/>
  <c r="A4441" i="5"/>
  <c r="G4441" i="5"/>
  <c r="H4441" i="5"/>
  <c r="B2093" i="5"/>
  <c r="A2093" i="5"/>
  <c r="H2093" i="5"/>
  <c r="G2093" i="5"/>
  <c r="B4000" i="5"/>
  <c r="A4000" i="5"/>
  <c r="G4000" i="5"/>
  <c r="H4000" i="5"/>
  <c r="B1853" i="5"/>
  <c r="A1853" i="5"/>
  <c r="H1853" i="5"/>
  <c r="G1853" i="5"/>
  <c r="A2346" i="5"/>
  <c r="B2346" i="5"/>
  <c r="H2346" i="5"/>
  <c r="G2346" i="5"/>
  <c r="B1111" i="5"/>
  <c r="A1111" i="5"/>
  <c r="G1111" i="5"/>
  <c r="H1111" i="5"/>
  <c r="B2439" i="5"/>
  <c r="A2439" i="5"/>
  <c r="H2439" i="5"/>
  <c r="G2439" i="5"/>
  <c r="A1384" i="5"/>
  <c r="B1384" i="5"/>
  <c r="G1384" i="5"/>
  <c r="H1384" i="5"/>
  <c r="B948" i="5"/>
  <c r="A948" i="5"/>
  <c r="H948" i="5"/>
  <c r="G948" i="5"/>
  <c r="B2124" i="5"/>
  <c r="A2124" i="5"/>
  <c r="H2124" i="5"/>
  <c r="G2124" i="5"/>
  <c r="A1785" i="5"/>
  <c r="B1785" i="5"/>
  <c r="H1785" i="5"/>
  <c r="G1785" i="5"/>
  <c r="B422" i="5"/>
  <c r="A422" i="5"/>
  <c r="H422" i="5"/>
  <c r="G422" i="5"/>
  <c r="B2679" i="5"/>
  <c r="A2679" i="5"/>
  <c r="H2679" i="5"/>
  <c r="G2679" i="5"/>
  <c r="B2669" i="5"/>
  <c r="A2669" i="5"/>
  <c r="H2669" i="5"/>
  <c r="G2669" i="5"/>
  <c r="B2660" i="5"/>
  <c r="A2660" i="5"/>
  <c r="H2660" i="5"/>
  <c r="G2660" i="5"/>
  <c r="B4197" i="5"/>
  <c r="A4197" i="5"/>
  <c r="H4197" i="5"/>
  <c r="G4197" i="5"/>
  <c r="B4062" i="5"/>
  <c r="A4062" i="5"/>
  <c r="G4062" i="5"/>
  <c r="H4062" i="5"/>
  <c r="B4108" i="5"/>
  <c r="A4108" i="5"/>
  <c r="G4108" i="5"/>
  <c r="H4108" i="5"/>
  <c r="B1420" i="5"/>
  <c r="A1420" i="5"/>
  <c r="H1420" i="5"/>
  <c r="G1420" i="5"/>
  <c r="A18" i="5"/>
  <c r="B18" i="5"/>
  <c r="G18" i="5"/>
  <c r="H18" i="5"/>
  <c r="B3874" i="5"/>
  <c r="A3874" i="5"/>
  <c r="H3874" i="5"/>
  <c r="G3874" i="5"/>
  <c r="B3015" i="5"/>
  <c r="A3015" i="5"/>
  <c r="H3015" i="5"/>
  <c r="G3015" i="5"/>
  <c r="B1537" i="5"/>
  <c r="A1537" i="5"/>
  <c r="H1537" i="5"/>
  <c r="G1537" i="5"/>
  <c r="B1976" i="5"/>
  <c r="A1976" i="5"/>
  <c r="G1976" i="5"/>
  <c r="H1976" i="5"/>
  <c r="B4261" i="5"/>
  <c r="A4261" i="5"/>
  <c r="H4261" i="5"/>
  <c r="G4261" i="5"/>
  <c r="B2366" i="5"/>
  <c r="A2366" i="5"/>
  <c r="H2366" i="5"/>
  <c r="G2366" i="5"/>
  <c r="A1813" i="5"/>
  <c r="B1813" i="5"/>
  <c r="H1813" i="5"/>
  <c r="G1813" i="5"/>
  <c r="A258" i="5"/>
  <c r="B258" i="5"/>
  <c r="H258" i="5"/>
  <c r="G258" i="5"/>
  <c r="H288" i="8"/>
  <c r="I43" i="8"/>
  <c r="I438" i="8"/>
  <c r="H3079" i="5"/>
  <c r="B3164" i="5"/>
  <c r="A3164" i="5"/>
  <c r="H3164" i="5"/>
  <c r="G3164" i="5"/>
  <c r="B588" i="5"/>
  <c r="A588" i="5"/>
  <c r="H588" i="5"/>
  <c r="G588" i="5"/>
  <c r="B3078" i="5"/>
  <c r="A3078" i="5"/>
  <c r="G3078" i="5"/>
  <c r="H3078" i="5"/>
  <c r="B2951" i="5"/>
  <c r="A2951" i="5"/>
  <c r="G2951" i="5"/>
  <c r="H2951" i="5"/>
  <c r="B3362" i="5"/>
  <c r="A3362" i="5"/>
  <c r="H3362" i="5"/>
  <c r="G3362" i="5"/>
  <c r="B3306" i="5"/>
  <c r="A3306" i="5"/>
  <c r="G3306" i="5"/>
  <c r="H3306" i="5"/>
  <c r="B1332" i="5"/>
  <c r="A1332" i="5"/>
  <c r="H1332" i="5"/>
  <c r="G1332" i="5"/>
  <c r="B356" i="5"/>
  <c r="A356" i="5"/>
  <c r="H356" i="5"/>
  <c r="G356" i="5"/>
  <c r="A1555" i="5"/>
  <c r="B1555" i="5"/>
  <c r="G1555" i="5"/>
  <c r="H1555" i="5"/>
  <c r="B4342" i="5"/>
  <c r="A4342" i="5"/>
  <c r="G4342" i="5"/>
  <c r="H4342" i="5"/>
  <c r="A3603" i="5"/>
  <c r="B3603" i="5"/>
  <c r="G3603" i="5"/>
  <c r="H3603" i="5"/>
  <c r="B1697" i="5"/>
  <c r="A1697" i="5"/>
  <c r="G1697" i="5"/>
  <c r="H1697" i="5"/>
  <c r="B2569" i="5"/>
  <c r="A2569" i="5"/>
  <c r="H2569" i="5"/>
  <c r="G2569" i="5"/>
  <c r="B3570" i="5"/>
  <c r="A3570" i="5"/>
  <c r="H3570" i="5"/>
  <c r="G3570" i="5"/>
  <c r="B2628" i="5"/>
  <c r="A2628" i="5"/>
  <c r="G2628" i="5"/>
  <c r="H2628" i="5"/>
  <c r="A2597" i="5"/>
  <c r="B2597" i="5"/>
  <c r="H2597" i="5"/>
  <c r="G2597" i="5"/>
  <c r="B4154" i="5"/>
  <c r="A4154" i="5"/>
  <c r="G4154" i="5"/>
  <c r="H4154" i="5"/>
  <c r="B2202" i="5"/>
  <c r="A2202" i="5"/>
  <c r="H2202" i="5"/>
  <c r="G2202" i="5"/>
  <c r="A1681" i="5"/>
  <c r="B1681" i="5"/>
  <c r="H1681" i="5"/>
  <c r="G1681" i="5"/>
  <c r="B4356" i="5"/>
  <c r="A4356" i="5"/>
  <c r="G4356" i="5"/>
  <c r="H4356" i="5"/>
  <c r="A645" i="5"/>
  <c r="B645" i="5"/>
  <c r="H645" i="5"/>
  <c r="G645" i="5"/>
  <c r="A3153" i="5"/>
  <c r="B3153" i="5"/>
  <c r="G3153" i="5"/>
  <c r="H3153" i="5"/>
  <c r="A1869" i="5"/>
  <c r="B1869" i="5"/>
  <c r="G1869" i="5"/>
  <c r="H1869" i="5"/>
  <c r="B3824" i="5"/>
  <c r="A3824" i="5"/>
  <c r="G3824" i="5"/>
  <c r="H3824" i="5"/>
  <c r="B2425" i="5"/>
  <c r="A2425" i="5"/>
  <c r="H2425" i="5"/>
  <c r="G2425" i="5"/>
  <c r="B1227" i="5"/>
  <c r="A1227" i="5"/>
  <c r="H1227" i="5"/>
  <c r="G1227" i="5"/>
  <c r="B1358" i="5"/>
  <c r="A1358" i="5"/>
  <c r="G1358" i="5"/>
  <c r="H1358" i="5"/>
  <c r="A2835" i="5"/>
  <c r="B2835" i="5"/>
  <c r="G2835" i="5"/>
  <c r="H2835" i="5"/>
  <c r="B369" i="5"/>
  <c r="A369" i="5"/>
  <c r="G369" i="5"/>
  <c r="H369" i="5"/>
  <c r="B716" i="5"/>
  <c r="A716" i="5"/>
  <c r="H716" i="5"/>
  <c r="G716" i="5"/>
  <c r="B3155" i="5"/>
  <c r="A3155" i="5"/>
  <c r="G3155" i="5"/>
  <c r="H3155" i="5"/>
  <c r="B3894" i="5"/>
  <c r="A3894" i="5"/>
  <c r="G3894" i="5"/>
  <c r="H3894" i="5"/>
  <c r="B2032" i="5"/>
  <c r="A2032" i="5"/>
  <c r="H2032" i="5"/>
  <c r="G2032" i="5"/>
  <c r="A1089" i="5"/>
  <c r="B1089" i="5"/>
  <c r="G1089" i="5"/>
  <c r="H1089" i="5"/>
  <c r="B3045" i="5"/>
  <c r="A3045" i="5"/>
  <c r="G3045" i="5"/>
  <c r="H3045" i="5"/>
  <c r="B3402" i="5"/>
  <c r="A3402" i="5"/>
  <c r="H3402" i="5"/>
  <c r="G3402" i="5"/>
  <c r="A873" i="5"/>
  <c r="B873" i="5"/>
  <c r="G873" i="5"/>
  <c r="H873" i="5"/>
  <c r="B476" i="5"/>
  <c r="A476" i="5"/>
  <c r="H476" i="5"/>
  <c r="G476" i="5"/>
  <c r="B4468" i="5"/>
  <c r="A4468" i="5"/>
  <c r="G4468" i="5"/>
  <c r="H4468" i="5"/>
  <c r="B2841" i="5"/>
  <c r="A2841" i="5"/>
  <c r="H2841" i="5"/>
  <c r="G2841" i="5"/>
  <c r="B3266" i="5"/>
  <c r="A3266" i="5"/>
  <c r="H3266" i="5"/>
  <c r="G3266" i="5"/>
  <c r="B2922" i="5"/>
  <c r="A2922" i="5"/>
  <c r="H2922" i="5"/>
  <c r="G2922" i="5"/>
  <c r="B4035" i="5"/>
  <c r="A4035" i="5"/>
  <c r="H4035" i="5"/>
  <c r="G4035" i="5"/>
  <c r="B4010" i="5"/>
  <c r="A4010" i="5"/>
  <c r="G4010" i="5"/>
  <c r="H4010" i="5"/>
  <c r="B1966" i="5"/>
  <c r="A1966" i="5"/>
  <c r="H1966" i="5"/>
  <c r="G1966" i="5"/>
  <c r="B1338" i="5"/>
  <c r="A1338" i="5"/>
  <c r="H1338" i="5"/>
  <c r="G1338" i="5"/>
  <c r="B3275" i="5"/>
  <c r="A3275" i="5"/>
  <c r="H3275" i="5"/>
  <c r="G3275" i="5"/>
  <c r="B2257" i="5"/>
  <c r="A2257" i="5"/>
  <c r="H2257" i="5"/>
  <c r="G2257" i="5"/>
  <c r="B2282" i="5"/>
  <c r="A2282" i="5"/>
  <c r="H2282" i="5"/>
  <c r="G2282" i="5"/>
  <c r="A2220" i="5"/>
  <c r="B2220" i="5"/>
  <c r="H2220" i="5"/>
  <c r="G2220" i="5"/>
  <c r="B971" i="5"/>
  <c r="A971" i="5"/>
  <c r="H971" i="5"/>
  <c r="G971" i="5"/>
  <c r="A4477" i="5"/>
  <c r="B4477" i="5"/>
  <c r="H4477" i="5"/>
  <c r="G4477" i="5"/>
  <c r="B4047" i="5"/>
  <c r="A4047" i="5"/>
  <c r="H4047" i="5"/>
  <c r="G4047" i="5"/>
  <c r="B4170" i="5"/>
  <c r="A4170" i="5"/>
  <c r="H4170" i="5"/>
  <c r="G4170" i="5"/>
  <c r="A3860" i="5"/>
  <c r="B3860" i="5"/>
  <c r="G3860" i="5"/>
  <c r="H3860" i="5"/>
  <c r="B1489" i="5"/>
  <c r="A1489" i="5"/>
  <c r="H1489" i="5"/>
  <c r="G1489" i="5"/>
  <c r="A2410" i="5"/>
  <c r="B2410" i="5"/>
  <c r="H2410" i="5"/>
  <c r="G2410" i="5"/>
  <c r="B2707" i="5"/>
  <c r="A2707" i="5"/>
  <c r="H2707" i="5"/>
  <c r="G2707" i="5"/>
  <c r="B1012" i="5"/>
  <c r="A1012" i="5"/>
  <c r="H1012" i="5"/>
  <c r="G1012" i="5"/>
  <c r="B3810" i="5"/>
  <c r="A3810" i="5"/>
  <c r="H3810" i="5"/>
  <c r="G3810" i="5"/>
  <c r="B2178" i="5"/>
  <c r="A2178" i="5"/>
  <c r="G2178" i="5"/>
  <c r="H2178" i="5"/>
  <c r="A2885" i="5"/>
  <c r="B2885" i="5"/>
  <c r="H2885" i="5"/>
  <c r="G2885" i="5"/>
  <c r="B1467" i="5"/>
  <c r="G1467" i="5"/>
  <c r="A1467" i="5"/>
  <c r="H1467" i="5"/>
  <c r="B1436" i="5"/>
  <c r="A1436" i="5"/>
  <c r="H1436" i="5"/>
  <c r="G1436" i="5"/>
  <c r="B3378" i="5"/>
  <c r="A3378" i="5"/>
  <c r="H3378" i="5"/>
  <c r="G3378" i="5"/>
  <c r="B1570" i="5"/>
  <c r="A1570" i="5"/>
  <c r="G1570" i="5"/>
  <c r="H1570" i="5"/>
  <c r="B3193" i="5"/>
  <c r="A3193" i="5"/>
  <c r="H3193" i="5"/>
  <c r="G3193" i="5"/>
  <c r="B1507" i="5"/>
  <c r="A1507" i="5"/>
  <c r="H1507" i="5"/>
  <c r="G1507" i="5"/>
  <c r="H574" i="5"/>
  <c r="G574" i="5"/>
  <c r="A574" i="5"/>
  <c r="B574" i="5"/>
  <c r="A1727" i="5"/>
  <c r="B1727" i="5"/>
  <c r="G1727" i="5"/>
  <c r="H1727" i="5"/>
  <c r="A773" i="5"/>
  <c r="B773" i="5"/>
  <c r="H773" i="5"/>
  <c r="G773" i="5"/>
  <c r="B2752" i="5"/>
  <c r="A2752" i="5"/>
  <c r="H2752" i="5"/>
  <c r="G2752" i="5"/>
  <c r="B3687" i="5"/>
  <c r="A3687" i="5"/>
  <c r="G3687" i="5"/>
  <c r="H3687" i="5"/>
  <c r="B212" i="5"/>
  <c r="A212" i="5"/>
  <c r="G212" i="5"/>
  <c r="H212" i="5"/>
  <c r="B4001" i="5"/>
  <c r="A4001" i="5"/>
  <c r="H4001" i="5"/>
  <c r="G4001" i="5"/>
  <c r="B4279" i="5"/>
  <c r="A4279" i="5"/>
  <c r="G4279" i="5"/>
  <c r="H4279" i="5"/>
  <c r="B4221" i="5"/>
  <c r="A4221" i="5"/>
  <c r="G4221" i="5"/>
  <c r="H4221" i="5"/>
  <c r="B2319" i="5"/>
  <c r="A2319" i="5"/>
  <c r="H2319" i="5"/>
  <c r="G2319" i="5"/>
  <c r="B4248" i="5"/>
  <c r="A4248" i="5"/>
  <c r="H4248" i="5"/>
  <c r="G4248" i="5"/>
  <c r="A4497" i="5"/>
  <c r="B4497" i="5"/>
  <c r="H4497" i="5"/>
  <c r="G4497" i="5"/>
  <c r="B3536" i="5"/>
  <c r="A3536" i="5"/>
  <c r="G3536" i="5"/>
  <c r="H3536" i="5"/>
  <c r="B1203" i="5"/>
  <c r="A1203" i="5"/>
  <c r="G1203" i="5"/>
  <c r="H1203" i="5"/>
  <c r="B3253" i="5"/>
  <c r="A3253" i="5"/>
  <c r="H3253" i="5"/>
  <c r="G3253" i="5"/>
  <c r="B4040" i="5"/>
  <c r="A4040" i="5"/>
  <c r="H4040" i="5"/>
  <c r="G4040" i="5"/>
  <c r="B3388" i="5"/>
  <c r="A3388" i="5"/>
  <c r="H3388" i="5"/>
  <c r="G3388" i="5"/>
  <c r="B814" i="5"/>
  <c r="A814" i="5"/>
  <c r="G814" i="5"/>
  <c r="H814" i="5"/>
  <c r="B3262" i="5"/>
  <c r="A3262" i="5"/>
  <c r="G3262" i="5"/>
  <c r="H3262" i="5"/>
  <c r="B4361" i="5"/>
  <c r="A4361" i="5"/>
  <c r="H4361" i="5"/>
  <c r="G4361" i="5"/>
  <c r="B383" i="5"/>
  <c r="A383" i="5"/>
  <c r="G383" i="5"/>
  <c r="H383" i="5"/>
  <c r="B3914" i="5"/>
  <c r="A3914" i="5"/>
  <c r="H3914" i="5"/>
  <c r="G3914" i="5"/>
  <c r="B1211" i="5"/>
  <c r="A1211" i="5"/>
  <c r="H1211" i="5"/>
  <c r="G1211" i="5"/>
  <c r="B2975" i="5"/>
  <c r="A2975" i="5"/>
  <c r="G2975" i="5"/>
  <c r="H2975" i="5"/>
  <c r="A3784" i="5"/>
  <c r="B3784" i="5"/>
  <c r="G3784" i="5"/>
  <c r="H3784" i="5"/>
  <c r="B2025" i="5"/>
  <c r="A2025" i="5"/>
  <c r="G2025" i="5"/>
  <c r="H2025" i="5"/>
  <c r="B3720" i="5"/>
  <c r="A3720" i="5"/>
  <c r="H3720" i="5"/>
  <c r="G3720" i="5"/>
  <c r="B3501" i="5"/>
  <c r="A3501" i="5"/>
  <c r="H3501" i="5"/>
  <c r="G3501" i="5"/>
  <c r="A3182" i="5"/>
  <c r="B3182" i="5"/>
  <c r="H3182" i="5"/>
  <c r="G3182" i="5"/>
  <c r="B2163" i="5"/>
  <c r="A2163" i="5"/>
  <c r="G2163" i="5"/>
  <c r="H2163" i="5"/>
  <c r="B1152" i="5"/>
  <c r="A1152" i="5"/>
  <c r="H1152" i="5"/>
  <c r="G1152" i="5"/>
  <c r="B121" i="5"/>
  <c r="A121" i="5"/>
  <c r="H121" i="5"/>
  <c r="G121" i="5"/>
  <c r="B2861" i="5"/>
  <c r="A2861" i="5"/>
  <c r="G2861" i="5"/>
  <c r="H2861" i="5"/>
  <c r="B1480" i="5"/>
  <c r="A1480" i="5"/>
  <c r="H1480" i="5"/>
  <c r="G1480" i="5"/>
  <c r="B907" i="5"/>
  <c r="A907" i="5"/>
  <c r="G907" i="5"/>
  <c r="H907" i="5"/>
  <c r="B4445" i="5"/>
  <c r="A4445" i="5"/>
  <c r="H4445" i="5"/>
  <c r="G4445" i="5"/>
  <c r="B2264" i="5"/>
  <c r="A2264" i="5"/>
  <c r="G2264" i="5"/>
  <c r="H2264" i="5"/>
  <c r="B2519" i="5"/>
  <c r="A2519" i="5"/>
  <c r="G2519" i="5"/>
  <c r="H2519" i="5"/>
  <c r="B882" i="5"/>
  <c r="A882" i="5"/>
  <c r="H882" i="5"/>
  <c r="G882" i="5"/>
  <c r="B2487" i="5"/>
  <c r="A2487" i="5"/>
  <c r="H2487" i="5"/>
  <c r="G2487" i="5"/>
  <c r="B1193" i="5"/>
  <c r="A1193" i="5"/>
  <c r="H1193" i="5"/>
  <c r="G1193" i="5"/>
  <c r="B1710" i="5"/>
  <c r="A1710" i="5"/>
  <c r="H1710" i="5"/>
  <c r="G1710" i="5"/>
  <c r="A467" i="5"/>
  <c r="B467" i="5"/>
  <c r="H467" i="5"/>
  <c r="G467" i="5"/>
  <c r="B2334" i="5"/>
  <c r="A2334" i="5"/>
  <c r="H2334" i="5"/>
  <c r="G2334" i="5"/>
  <c r="B4118" i="5"/>
  <c r="A4118" i="5"/>
  <c r="G4118" i="5"/>
  <c r="H4118" i="5"/>
  <c r="B1346" i="5"/>
  <c r="A1346" i="5"/>
  <c r="G1346" i="5"/>
  <c r="H1346" i="5"/>
  <c r="B2317" i="5"/>
  <c r="A2317" i="5"/>
  <c r="H2317" i="5"/>
  <c r="G2317" i="5"/>
  <c r="B3707" i="5"/>
  <c r="A3707" i="5"/>
  <c r="G3707" i="5"/>
  <c r="H3707" i="5"/>
  <c r="B3491" i="5"/>
  <c r="A3491" i="5"/>
  <c r="H3491" i="5"/>
  <c r="G3491" i="5"/>
  <c r="B4346" i="5"/>
  <c r="A4346" i="5"/>
  <c r="H4346" i="5"/>
  <c r="G4346" i="5"/>
  <c r="B2393" i="5"/>
  <c r="A2393" i="5"/>
  <c r="G2393" i="5"/>
  <c r="H2393" i="5"/>
  <c r="B3841" i="5"/>
  <c r="A3841" i="5"/>
  <c r="H3841" i="5"/>
  <c r="G3841" i="5"/>
  <c r="B1742" i="5"/>
  <c r="A1742" i="5"/>
  <c r="G1742" i="5"/>
  <c r="H1742" i="5"/>
  <c r="B4228" i="5"/>
  <c r="A4228" i="5"/>
  <c r="G4228" i="5"/>
  <c r="H4228" i="5"/>
  <c r="A2301" i="5"/>
  <c r="B2301" i="5"/>
  <c r="H2301" i="5"/>
  <c r="G2301" i="5"/>
  <c r="B1321" i="5"/>
  <c r="A1321" i="5"/>
  <c r="H1321" i="5"/>
  <c r="G1321" i="5"/>
  <c r="B609" i="5"/>
  <c r="A609" i="5"/>
  <c r="H609" i="5"/>
  <c r="G609" i="5"/>
  <c r="A3595" i="5"/>
  <c r="B3595" i="5"/>
  <c r="H3595" i="5"/>
  <c r="G3595" i="5"/>
  <c r="B709" i="5"/>
  <c r="A709" i="5"/>
  <c r="G709" i="5"/>
  <c r="H709" i="5"/>
  <c r="B3723" i="5"/>
  <c r="A3723" i="5"/>
  <c r="H3723" i="5"/>
  <c r="G3723" i="5"/>
  <c r="B438" i="5"/>
  <c r="A438" i="5"/>
  <c r="G438" i="5"/>
  <c r="H438" i="5"/>
  <c r="B1119" i="5"/>
  <c r="A1119" i="5"/>
  <c r="H1119" i="5"/>
  <c r="G1119" i="5"/>
  <c r="B4454" i="5"/>
  <c r="A4454" i="5"/>
  <c r="G4454" i="5"/>
  <c r="H4454" i="5"/>
  <c r="A1030" i="5"/>
  <c r="B1030" i="5"/>
  <c r="H1030" i="5"/>
  <c r="G1030" i="5"/>
  <c r="B501" i="5"/>
  <c r="A501" i="5"/>
  <c r="H501" i="5"/>
  <c r="G501" i="5"/>
  <c r="B2041" i="5"/>
  <c r="A2041" i="5"/>
  <c r="H2041" i="5"/>
  <c r="G2041" i="5"/>
  <c r="B4406" i="5"/>
  <c r="A4406" i="5"/>
  <c r="H4406" i="5"/>
  <c r="G4406" i="5"/>
  <c r="B2020" i="5"/>
  <c r="A2020" i="5"/>
  <c r="G2020" i="5"/>
  <c r="H2020" i="5"/>
  <c r="A1305" i="5"/>
  <c r="G1305" i="5"/>
  <c r="B1305" i="5"/>
  <c r="H1305" i="5"/>
  <c r="A3941" i="5"/>
  <c r="B3941" i="5"/>
  <c r="H3941" i="5"/>
  <c r="G3941" i="5"/>
  <c r="B4112" i="5"/>
  <c r="A4112" i="5"/>
  <c r="H4112" i="5"/>
  <c r="G4112" i="5"/>
  <c r="A151" i="5"/>
  <c r="B151" i="5"/>
  <c r="G151" i="5"/>
  <c r="H151" i="5"/>
  <c r="B3347" i="5"/>
  <c r="A3347" i="5"/>
  <c r="H3347" i="5"/>
  <c r="G3347" i="5"/>
  <c r="A981" i="5"/>
  <c r="B981" i="5"/>
  <c r="H981" i="5"/>
  <c r="G981" i="5"/>
  <c r="B3968" i="5"/>
  <c r="A3968" i="5"/>
  <c r="G3968" i="5"/>
  <c r="H3968" i="5"/>
  <c r="B1688" i="5"/>
  <c r="A1688" i="5"/>
  <c r="G1688" i="5"/>
  <c r="H1688" i="5"/>
  <c r="B1071" i="5"/>
  <c r="A1071" i="5"/>
  <c r="G1071" i="5"/>
  <c r="H1071" i="5"/>
  <c r="A924" i="5"/>
  <c r="B924" i="5"/>
  <c r="H924" i="5"/>
  <c r="G924" i="5"/>
  <c r="B3974" i="5"/>
  <c r="A3974" i="5"/>
  <c r="H3974" i="5"/>
  <c r="G3974" i="5"/>
  <c r="B3929" i="5"/>
  <c r="A3929" i="5"/>
  <c r="G3929" i="5"/>
  <c r="H3929" i="5"/>
  <c r="B1599" i="5"/>
  <c r="A1599" i="5"/>
  <c r="G1599" i="5"/>
  <c r="H1599" i="5"/>
  <c r="B1260" i="5"/>
  <c r="A1260" i="5"/>
  <c r="H1260" i="5"/>
  <c r="G1260" i="5"/>
  <c r="B966" i="5"/>
  <c r="A966" i="5"/>
  <c r="G966" i="5"/>
  <c r="H966" i="5"/>
  <c r="A4072" i="5"/>
  <c r="B4072" i="5"/>
  <c r="G4072" i="5"/>
  <c r="H4072" i="5"/>
  <c r="B3290" i="5"/>
  <c r="A3290" i="5"/>
  <c r="H3290" i="5"/>
  <c r="G3290" i="5"/>
  <c r="B1776" i="5"/>
  <c r="A1776" i="5"/>
  <c r="H1776" i="5"/>
  <c r="G1776" i="5"/>
  <c r="B826" i="5"/>
  <c r="A826" i="5"/>
  <c r="H826" i="5"/>
  <c r="G826" i="5"/>
  <c r="B3765" i="5"/>
  <c r="A3765" i="5"/>
  <c r="H3765" i="5"/>
  <c r="G3765" i="5"/>
  <c r="B4392" i="5"/>
  <c r="A4392" i="5"/>
  <c r="G4392" i="5"/>
  <c r="H4392" i="5"/>
  <c r="B2211" i="5"/>
  <c r="A2211" i="5"/>
  <c r="H2211" i="5"/>
  <c r="G2211" i="5"/>
  <c r="B922" i="5"/>
  <c r="A922" i="5"/>
  <c r="H922" i="5"/>
  <c r="G922" i="5"/>
  <c r="A3607" i="5"/>
  <c r="B3607" i="5"/>
  <c r="G3607" i="5"/>
  <c r="H3607" i="5"/>
  <c r="B737" i="5"/>
  <c r="A737" i="5"/>
  <c r="H737" i="5"/>
  <c r="G737" i="5"/>
  <c r="B3748" i="5"/>
  <c r="A3748" i="5"/>
  <c r="G3748" i="5"/>
  <c r="H3748" i="5"/>
  <c r="B528" i="5"/>
  <c r="A528" i="5"/>
  <c r="H528" i="5"/>
  <c r="G528" i="5"/>
  <c r="A2276" i="5"/>
  <c r="B2276" i="5"/>
  <c r="G2276" i="5"/>
  <c r="H2276" i="5"/>
  <c r="B789" i="5"/>
  <c r="A789" i="5"/>
  <c r="H789" i="5"/>
  <c r="G789" i="5"/>
  <c r="B3244" i="5"/>
  <c r="A3244" i="5"/>
  <c r="H3244" i="5"/>
  <c r="G3244" i="5"/>
  <c r="A2573" i="5"/>
  <c r="B2573" i="5"/>
  <c r="H2573" i="5"/>
  <c r="G2573" i="5"/>
  <c r="B3640" i="5"/>
  <c r="A3640" i="5"/>
  <c r="G3640" i="5"/>
  <c r="H3640" i="5"/>
  <c r="B2644" i="5"/>
  <c r="A2644" i="5"/>
  <c r="G2644" i="5"/>
  <c r="H2644" i="5"/>
  <c r="B3469" i="5"/>
  <c r="A3469" i="5"/>
  <c r="G3469" i="5"/>
  <c r="H3469" i="5"/>
  <c r="A1662" i="5"/>
  <c r="B1662" i="5"/>
  <c r="H1662" i="5"/>
  <c r="G1662" i="5"/>
  <c r="B26" i="5"/>
  <c r="A26" i="5"/>
  <c r="H26" i="5"/>
  <c r="G26" i="5"/>
  <c r="B3877" i="5"/>
  <c r="A3877" i="5"/>
  <c r="H3877" i="5"/>
  <c r="G3877" i="5"/>
  <c r="B769" i="5"/>
  <c r="A769" i="5"/>
  <c r="G769" i="5"/>
  <c r="H769" i="5"/>
  <c r="G2167" i="5"/>
  <c r="A2167" i="5"/>
  <c r="B2167" i="5"/>
  <c r="H2167" i="5"/>
  <c r="B1582" i="5"/>
  <c r="A1582" i="5"/>
  <c r="G1582" i="5"/>
  <c r="H1582" i="5"/>
  <c r="B3129" i="5"/>
  <c r="A3129" i="5"/>
  <c r="H3129" i="5"/>
  <c r="G3129" i="5"/>
  <c r="B495" i="5"/>
  <c r="A495" i="5"/>
  <c r="H495" i="5"/>
  <c r="G495" i="5"/>
  <c r="A3329" i="5"/>
  <c r="B3329" i="5"/>
  <c r="H3329" i="5"/>
  <c r="G3329" i="5"/>
  <c r="A3285" i="5"/>
  <c r="B3285" i="5"/>
  <c r="H3285" i="5"/>
  <c r="G3285" i="5"/>
  <c r="B50" i="5"/>
  <c r="A50" i="5"/>
  <c r="G50" i="5"/>
  <c r="H50" i="5"/>
  <c r="B1179" i="5"/>
  <c r="A1179" i="5"/>
  <c r="G1179" i="5"/>
  <c r="H1179" i="5"/>
  <c r="B285" i="5"/>
  <c r="A285" i="5"/>
  <c r="H285" i="5"/>
  <c r="G285" i="5"/>
  <c r="A3750" i="5"/>
  <c r="B3750" i="5"/>
  <c r="G3750" i="5"/>
  <c r="H3750" i="5"/>
  <c r="A311" i="5"/>
  <c r="B311" i="5"/>
  <c r="G311" i="5"/>
  <c r="H311" i="5"/>
  <c r="B87" i="5"/>
  <c r="A87" i="5"/>
  <c r="H87" i="5"/>
  <c r="G87" i="5"/>
  <c r="B78" i="5"/>
  <c r="A78" i="5"/>
  <c r="G78" i="5"/>
  <c r="H78" i="5"/>
  <c r="B144" i="5"/>
  <c r="A144" i="5"/>
  <c r="H144" i="5"/>
  <c r="G144" i="5"/>
  <c r="B3021" i="5"/>
  <c r="A3021" i="5"/>
  <c r="H3021" i="5"/>
  <c r="G3021" i="5"/>
  <c r="A282" i="5"/>
  <c r="B282" i="5"/>
  <c r="H282" i="5"/>
  <c r="G282" i="5"/>
  <c r="A3663" i="5"/>
  <c r="B3663" i="5"/>
  <c r="G3663" i="5"/>
  <c r="H3663" i="5"/>
  <c r="A1060" i="5"/>
  <c r="B1060" i="5"/>
  <c r="G1060" i="5"/>
  <c r="H1060" i="5"/>
  <c r="A2491" i="5"/>
  <c r="B2491" i="5"/>
  <c r="H2491" i="5"/>
  <c r="G2491" i="5"/>
  <c r="B697" i="5"/>
  <c r="A697" i="5"/>
  <c r="G697" i="5"/>
  <c r="H697" i="5"/>
  <c r="B1143" i="5"/>
  <c r="A1143" i="5"/>
  <c r="G1143" i="5"/>
  <c r="H1143" i="5"/>
  <c r="B2229" i="5"/>
  <c r="A2229" i="5"/>
  <c r="G2229" i="5"/>
  <c r="H2229" i="5"/>
  <c r="B3220" i="5"/>
  <c r="A3220" i="5"/>
  <c r="G3220" i="5"/>
  <c r="H3220" i="5"/>
  <c r="A3669" i="5"/>
  <c r="B3669" i="5"/>
  <c r="H3669" i="5"/>
  <c r="G3669" i="5"/>
  <c r="B3122" i="5"/>
  <c r="A3122" i="5"/>
  <c r="H3122" i="5"/>
  <c r="G3122" i="5"/>
  <c r="B2361" i="5"/>
  <c r="A2361" i="5"/>
  <c r="H2361" i="5"/>
  <c r="G2361" i="5"/>
  <c r="A3141" i="5"/>
  <c r="B3141" i="5"/>
  <c r="H3141" i="5"/>
  <c r="G3141" i="5"/>
  <c r="B202" i="5"/>
  <c r="A202" i="5"/>
  <c r="H202" i="5"/>
  <c r="G202" i="5"/>
  <c r="A295" i="5"/>
  <c r="H295" i="5"/>
  <c r="B295" i="5"/>
  <c r="G295" i="5"/>
  <c r="B1629" i="5"/>
  <c r="A1629" i="5"/>
  <c r="H1629" i="5"/>
  <c r="G1629" i="5"/>
  <c r="B3427" i="5"/>
  <c r="A3427" i="5"/>
  <c r="H3427" i="5"/>
  <c r="G3427" i="5"/>
  <c r="B2699" i="5"/>
  <c r="A2699" i="5"/>
  <c r="H2699" i="5"/>
  <c r="G2699" i="5"/>
  <c r="A2401" i="5"/>
  <c r="B2401" i="5"/>
  <c r="G2401" i="5"/>
  <c r="H2401" i="5"/>
  <c r="B986" i="5"/>
  <c r="A986" i="5"/>
  <c r="H986" i="5"/>
  <c r="G986" i="5"/>
  <c r="B1188" i="5"/>
  <c r="A1188" i="5"/>
  <c r="H1188" i="5"/>
  <c r="G1188" i="5"/>
  <c r="B224" i="5"/>
  <c r="A224" i="5"/>
  <c r="H224" i="5"/>
  <c r="G224" i="5"/>
  <c r="B2007" i="5"/>
  <c r="A2007" i="5"/>
  <c r="H2007" i="5"/>
  <c r="G2007" i="5"/>
  <c r="B1796" i="5"/>
  <c r="A1796" i="5"/>
  <c r="H1796" i="5"/>
  <c r="G1796" i="5"/>
  <c r="A2132" i="5"/>
  <c r="B2132" i="5"/>
  <c r="H2132" i="5"/>
  <c r="G2132" i="5"/>
  <c r="B2958" i="5"/>
  <c r="A2958" i="5"/>
  <c r="H2958" i="5"/>
  <c r="G2958" i="5"/>
  <c r="A3648" i="5"/>
  <c r="B3648" i="5"/>
  <c r="G3648" i="5"/>
  <c r="H3648" i="5"/>
  <c r="B509" i="5"/>
  <c r="A509" i="5"/>
  <c r="G509" i="5"/>
  <c r="H509" i="5"/>
  <c r="A345" i="5"/>
  <c r="B345" i="5"/>
  <c r="H345" i="5"/>
  <c r="G345" i="5"/>
  <c r="B1815" i="5"/>
  <c r="A1815" i="5"/>
  <c r="H1815" i="5"/>
  <c r="G1815" i="5"/>
  <c r="B2191" i="5"/>
  <c r="A2191" i="5"/>
  <c r="G2191" i="5"/>
  <c r="H2191" i="5"/>
  <c r="A1246" i="5"/>
  <c r="B1246" i="5"/>
  <c r="G1246" i="5"/>
  <c r="H1246" i="5"/>
  <c r="B3545" i="5"/>
  <c r="A3545" i="5"/>
  <c r="G3545" i="5"/>
  <c r="H3545" i="5"/>
  <c r="B627" i="5"/>
  <c r="A627" i="5"/>
  <c r="H627" i="5"/>
  <c r="G627" i="5"/>
  <c r="B1787" i="5"/>
  <c r="A1787" i="5"/>
  <c r="H1787" i="5"/>
  <c r="G1787" i="5"/>
  <c r="A1057" i="5"/>
  <c r="B1057" i="5"/>
  <c r="H1057" i="5"/>
  <c r="G1057" i="5"/>
  <c r="A1618" i="5"/>
  <c r="B1618" i="5"/>
  <c r="G1618" i="5"/>
  <c r="H1618" i="5"/>
  <c r="A44" i="5"/>
  <c r="B44" i="5"/>
  <c r="H44" i="5"/>
  <c r="G44" i="5"/>
  <c r="B781" i="5"/>
  <c r="A781" i="5"/>
  <c r="H781" i="5"/>
  <c r="G781" i="5"/>
  <c r="B2464" i="5"/>
  <c r="A2464" i="5"/>
  <c r="H2464" i="5"/>
  <c r="G2464" i="5"/>
  <c r="A1589" i="5"/>
  <c r="B1589" i="5"/>
  <c r="H1589" i="5"/>
  <c r="G1589" i="5"/>
  <c r="A3339" i="5"/>
  <c r="B3339" i="5"/>
  <c r="H3339" i="5"/>
  <c r="G3339" i="5"/>
  <c r="A3560" i="5"/>
  <c r="B3560" i="5"/>
  <c r="H3560" i="5"/>
  <c r="G3560" i="5"/>
  <c r="B1040" i="5"/>
  <c r="A1040" i="5"/>
  <c r="G1040" i="5"/>
  <c r="H1040" i="5"/>
  <c r="A4305" i="5"/>
  <c r="B4305" i="5"/>
  <c r="G4305" i="5"/>
  <c r="H4305" i="5"/>
  <c r="B2877" i="5"/>
  <c r="A2877" i="5"/>
  <c r="G2877" i="5"/>
  <c r="H2877" i="5"/>
  <c r="B1609" i="5"/>
  <c r="A1609" i="5"/>
  <c r="H1609" i="5"/>
  <c r="G1609" i="5"/>
  <c r="B2473" i="5"/>
  <c r="A2473" i="5"/>
  <c r="G2473" i="5"/>
  <c r="H2473" i="5"/>
  <c r="B744" i="5"/>
  <c r="A744" i="5"/>
  <c r="G744" i="5"/>
  <c r="H744" i="5"/>
  <c r="B3321" i="5"/>
  <c r="A3321" i="5"/>
  <c r="H3321" i="5"/>
  <c r="G3321" i="5"/>
  <c r="A801" i="5"/>
  <c r="B801" i="5"/>
  <c r="G801" i="5"/>
  <c r="H801" i="5"/>
  <c r="B2241" i="5"/>
  <c r="A2241" i="5"/>
  <c r="G2241" i="5"/>
  <c r="H2241" i="5"/>
  <c r="B3531" i="5"/>
  <c r="A3531" i="5"/>
  <c r="H3531" i="5"/>
  <c r="G3531" i="5"/>
  <c r="B4382" i="5"/>
  <c r="A4382" i="5"/>
  <c r="G4382" i="5"/>
  <c r="H4382" i="5"/>
  <c r="B4317" i="5"/>
  <c r="A4317" i="5"/>
  <c r="H4317" i="5"/>
  <c r="G4317" i="5"/>
  <c r="A1545" i="5"/>
  <c r="B1545" i="5"/>
  <c r="G1545" i="5"/>
  <c r="H1545" i="5"/>
  <c r="B1647" i="5"/>
  <c r="A1647" i="5"/>
  <c r="H1647" i="5"/>
  <c r="G1647" i="5"/>
  <c r="B134" i="5"/>
  <c r="A134" i="5"/>
  <c r="G134" i="5"/>
  <c r="H134" i="5"/>
  <c r="B1409" i="5"/>
  <c r="A1409" i="5"/>
  <c r="G1409" i="5"/>
  <c r="H1409" i="5"/>
  <c r="B4440" i="5"/>
  <c r="A4440" i="5"/>
  <c r="H4440" i="5"/>
  <c r="G4440" i="5"/>
  <c r="B2101" i="5"/>
  <c r="A2101" i="5"/>
  <c r="H2101" i="5"/>
  <c r="G2101" i="5"/>
  <c r="B3994" i="5"/>
  <c r="A3994" i="5"/>
  <c r="G3994" i="5"/>
  <c r="H3994" i="5"/>
  <c r="B1852" i="5"/>
  <c r="A1852" i="5"/>
  <c r="H1852" i="5"/>
  <c r="G1852" i="5"/>
  <c r="B2345" i="5"/>
  <c r="A2345" i="5"/>
  <c r="H2345" i="5"/>
  <c r="G2345" i="5"/>
  <c r="B2770" i="5"/>
  <c r="A2770" i="5"/>
  <c r="H2770" i="5"/>
  <c r="G2770" i="5"/>
  <c r="B2767" i="5"/>
  <c r="A2767" i="5"/>
  <c r="H2767" i="5"/>
  <c r="G2767" i="5"/>
  <c r="B1449" i="5"/>
  <c r="A1449" i="5"/>
  <c r="H1449" i="5"/>
  <c r="G1449" i="5"/>
  <c r="A2435" i="5"/>
  <c r="B2435" i="5"/>
  <c r="H2435" i="5"/>
  <c r="G2435" i="5"/>
  <c r="B1899" i="5"/>
  <c r="A1899" i="5"/>
  <c r="G1899" i="5"/>
  <c r="H1899" i="5"/>
  <c r="A61" i="5"/>
  <c r="B61" i="5"/>
  <c r="H61" i="5"/>
  <c r="G61" i="5"/>
  <c r="B1383" i="5"/>
  <c r="A1383" i="5"/>
  <c r="H1383" i="5"/>
  <c r="G1383" i="5"/>
  <c r="B943" i="5"/>
  <c r="A943" i="5"/>
  <c r="H943" i="5"/>
  <c r="G943" i="5"/>
  <c r="B2122" i="5"/>
  <c r="A2122" i="5"/>
  <c r="H2122" i="5"/>
  <c r="G2122" i="5"/>
  <c r="B2633" i="5"/>
  <c r="A2633" i="5"/>
  <c r="H2633" i="5"/>
  <c r="G2633" i="5"/>
  <c r="B421" i="5"/>
  <c r="A421" i="5"/>
  <c r="H421" i="5"/>
  <c r="G421" i="5"/>
  <c r="A2678" i="5"/>
  <c r="B2678" i="5"/>
  <c r="G2678" i="5"/>
  <c r="H2678" i="5"/>
  <c r="B4192" i="5"/>
  <c r="A4192" i="5"/>
  <c r="H4192" i="5"/>
  <c r="G4192" i="5"/>
  <c r="B4107" i="5"/>
  <c r="A4107" i="5"/>
  <c r="G4107" i="5"/>
  <c r="H4107" i="5"/>
  <c r="B1419" i="5"/>
  <c r="A1419" i="5"/>
  <c r="H1419" i="5"/>
  <c r="G1419" i="5"/>
  <c r="B16" i="5"/>
  <c r="A16" i="5"/>
  <c r="H16" i="5"/>
  <c r="G16" i="5"/>
  <c r="B3012" i="5"/>
  <c r="A3012" i="5"/>
  <c r="G3012" i="5"/>
  <c r="H3012" i="5"/>
  <c r="B3734" i="5"/>
  <c r="A3734" i="5"/>
  <c r="H3734" i="5"/>
  <c r="G3734" i="5"/>
  <c r="A1536" i="5"/>
  <c r="B1536" i="5"/>
  <c r="H1536" i="5"/>
  <c r="G1536" i="5"/>
  <c r="B4254" i="5"/>
  <c r="A4254" i="5"/>
  <c r="H4254" i="5"/>
  <c r="G4254" i="5"/>
  <c r="A1634" i="5"/>
  <c r="B1634" i="5"/>
  <c r="H1634" i="5"/>
  <c r="G1634" i="5"/>
  <c r="A2364" i="5"/>
  <c r="B2364" i="5"/>
  <c r="H2364" i="5"/>
  <c r="G2364" i="5"/>
  <c r="K263" i="8"/>
  <c r="K168" i="8"/>
  <c r="N168" i="8"/>
  <c r="L324" i="8"/>
  <c r="I288" i="8"/>
  <c r="G241" i="8"/>
  <c r="G11" i="8"/>
  <c r="C322" i="8"/>
  <c r="D465" i="8"/>
  <c r="J43" i="8"/>
  <c r="J438" i="8"/>
  <c r="A3172" i="5"/>
  <c r="B3172" i="5"/>
  <c r="G3172" i="5"/>
  <c r="H3172" i="5"/>
  <c r="A687" i="5"/>
  <c r="B687" i="5"/>
  <c r="G687" i="5"/>
  <c r="H687" i="5"/>
  <c r="B584" i="5"/>
  <c r="A584" i="5"/>
  <c r="H584" i="5"/>
  <c r="G584" i="5"/>
  <c r="I320" i="8"/>
  <c r="F320" i="8"/>
  <c r="B3081" i="5"/>
  <c r="A3081" i="5"/>
  <c r="H3081" i="5"/>
  <c r="G3081" i="5"/>
  <c r="A2949" i="5"/>
  <c r="B2949" i="5"/>
  <c r="H2949" i="5"/>
  <c r="G2949" i="5"/>
  <c r="B231" i="5"/>
  <c r="A231" i="5"/>
  <c r="H231" i="5"/>
  <c r="G231" i="5"/>
  <c r="B2825" i="5"/>
  <c r="A2825" i="5"/>
  <c r="G2825" i="5"/>
  <c r="H2825" i="5"/>
  <c r="B1330" i="5"/>
  <c r="A1330" i="5"/>
  <c r="G1330" i="5"/>
  <c r="H1330" i="5"/>
  <c r="B363" i="5"/>
  <c r="A363" i="5"/>
  <c r="H363" i="5"/>
  <c r="G363" i="5"/>
  <c r="B1554" i="5"/>
  <c r="A1554" i="5"/>
  <c r="G1554" i="5"/>
  <c r="H1554" i="5"/>
  <c r="B3213" i="5"/>
  <c r="A3213" i="5"/>
  <c r="G3213" i="5"/>
  <c r="H3213" i="5"/>
  <c r="B1704" i="5"/>
  <c r="A1704" i="5"/>
  <c r="G1704" i="5"/>
  <c r="H1704" i="5"/>
  <c r="A3569" i="5"/>
  <c r="B3569" i="5"/>
  <c r="H3569" i="5"/>
  <c r="G3569" i="5"/>
  <c r="A2625" i="5"/>
  <c r="B2625" i="5"/>
  <c r="G2625" i="5"/>
  <c r="H2625" i="5"/>
  <c r="B2875" i="5"/>
  <c r="A2875" i="5"/>
  <c r="H2875" i="5"/>
  <c r="G2875" i="5"/>
  <c r="B4155" i="5"/>
  <c r="A4155" i="5"/>
  <c r="H4155" i="5"/>
  <c r="G4155" i="5"/>
  <c r="B2203" i="5"/>
  <c r="A2203" i="5"/>
  <c r="G2203" i="5"/>
  <c r="H2203" i="5"/>
  <c r="A1680" i="5"/>
  <c r="B1680" i="5"/>
  <c r="H1680" i="5"/>
  <c r="G1680" i="5"/>
  <c r="B4130" i="5"/>
  <c r="A4130" i="5"/>
  <c r="G4130" i="5"/>
  <c r="H4130" i="5"/>
  <c r="B644" i="5"/>
  <c r="A644" i="5"/>
  <c r="H644" i="5"/>
  <c r="G644" i="5"/>
  <c r="B3154" i="5"/>
  <c r="A3154" i="5"/>
  <c r="H3154" i="5"/>
  <c r="G3154" i="5"/>
  <c r="A1876" i="5"/>
  <c r="B1876" i="5"/>
  <c r="H1876" i="5"/>
  <c r="G1876" i="5"/>
  <c r="B3829" i="5"/>
  <c r="A3829" i="5"/>
  <c r="H3829" i="5"/>
  <c r="G3829" i="5"/>
  <c r="B1224" i="5"/>
  <c r="A1224" i="5"/>
  <c r="H1224" i="5"/>
  <c r="G1224" i="5"/>
  <c r="B1357" i="5"/>
  <c r="A1357" i="5"/>
  <c r="G1357" i="5"/>
  <c r="H1357" i="5"/>
  <c r="B2834" i="5"/>
  <c r="A2834" i="5"/>
  <c r="G2834" i="5"/>
  <c r="H2834" i="5"/>
  <c r="B372" i="5"/>
  <c r="A372" i="5"/>
  <c r="H372" i="5"/>
  <c r="G372" i="5"/>
  <c r="A724" i="5"/>
  <c r="B724" i="5"/>
  <c r="G724" i="5"/>
  <c r="H724" i="5"/>
  <c r="A3893" i="5"/>
  <c r="B3893" i="5"/>
  <c r="H3893" i="5"/>
  <c r="G3893" i="5"/>
  <c r="B252" i="5"/>
  <c r="A252" i="5"/>
  <c r="H252" i="5"/>
  <c r="G252" i="5"/>
  <c r="B2030" i="5"/>
  <c r="A2030" i="5"/>
  <c r="H2030" i="5"/>
  <c r="G2030" i="5"/>
  <c r="A1917" i="5"/>
  <c r="B1917" i="5"/>
  <c r="G1917" i="5"/>
  <c r="H1917" i="5"/>
  <c r="B4485" i="5"/>
  <c r="A4485" i="5"/>
  <c r="H4485" i="5"/>
  <c r="G4485" i="5"/>
  <c r="A3401" i="5"/>
  <c r="B3401" i="5"/>
  <c r="H3401" i="5"/>
  <c r="G3401" i="5"/>
  <c r="B871" i="5"/>
  <c r="A871" i="5"/>
  <c r="G871" i="5"/>
  <c r="H871" i="5"/>
  <c r="B475" i="5"/>
  <c r="A475" i="5"/>
  <c r="G475" i="5"/>
  <c r="H475" i="5"/>
  <c r="B4467" i="5"/>
  <c r="A4467" i="5"/>
  <c r="H4467" i="5"/>
  <c r="G4467" i="5"/>
  <c r="B2619" i="5"/>
  <c r="A2619" i="5"/>
  <c r="H2619" i="5"/>
  <c r="G2619" i="5"/>
  <c r="B1678" i="5"/>
  <c r="A1678" i="5"/>
  <c r="H1678" i="5"/>
  <c r="G1678" i="5"/>
  <c r="B2848" i="5"/>
  <c r="A2848" i="5"/>
  <c r="H2848" i="5"/>
  <c r="G2848" i="5"/>
  <c r="A3270" i="5"/>
  <c r="B3270" i="5"/>
  <c r="H3270" i="5"/>
  <c r="G3270" i="5"/>
  <c r="A3033" i="5"/>
  <c r="B3033" i="5"/>
  <c r="G3033" i="5"/>
  <c r="H3033" i="5"/>
  <c r="B4138" i="5"/>
  <c r="A4138" i="5"/>
  <c r="G4138" i="5"/>
  <c r="H4138" i="5"/>
  <c r="A2928" i="5"/>
  <c r="B2928" i="5"/>
  <c r="H2928" i="5"/>
  <c r="G2928" i="5"/>
  <c r="B4032" i="5"/>
  <c r="A4032" i="5"/>
  <c r="H4032" i="5"/>
  <c r="G4032" i="5"/>
  <c r="B4370" i="5"/>
  <c r="A4370" i="5"/>
  <c r="H4370" i="5"/>
  <c r="G4370" i="5"/>
  <c r="B1337" i="5"/>
  <c r="A1337" i="5"/>
  <c r="G1337" i="5"/>
  <c r="H1337" i="5"/>
  <c r="B3273" i="5"/>
  <c r="A3273" i="5"/>
  <c r="H3273" i="5"/>
  <c r="G3273" i="5"/>
  <c r="B4329" i="5"/>
  <c r="A4329" i="5"/>
  <c r="H4329" i="5"/>
  <c r="G4329" i="5"/>
  <c r="B969" i="5"/>
  <c r="A969" i="5"/>
  <c r="H969" i="5"/>
  <c r="G969" i="5"/>
  <c r="B4470" i="5"/>
  <c r="A4470" i="5"/>
  <c r="G4470" i="5"/>
  <c r="H4470" i="5"/>
  <c r="A3509" i="5"/>
  <c r="B3509" i="5"/>
  <c r="H3509" i="5"/>
  <c r="G3509" i="5"/>
  <c r="B4048" i="5"/>
  <c r="A4048" i="5"/>
  <c r="G4048" i="5"/>
  <c r="H4048" i="5"/>
  <c r="A4171" i="5"/>
  <c r="B4171" i="5"/>
  <c r="H4171" i="5"/>
  <c r="G4171" i="5"/>
  <c r="B3064" i="5"/>
  <c r="A3064" i="5"/>
  <c r="H3064" i="5"/>
  <c r="G3064" i="5"/>
  <c r="B2196" i="5"/>
  <c r="A2196" i="5"/>
  <c r="H2196" i="5"/>
  <c r="G2196" i="5"/>
  <c r="B2748" i="5"/>
  <c r="A2748" i="5"/>
  <c r="G2748" i="5"/>
  <c r="H2748" i="5"/>
  <c r="B3857" i="5"/>
  <c r="A3857" i="5"/>
  <c r="H3857" i="5"/>
  <c r="G3857" i="5"/>
  <c r="B2706" i="5"/>
  <c r="A2706" i="5"/>
  <c r="H2706" i="5"/>
  <c r="G2706" i="5"/>
  <c r="B2177" i="5"/>
  <c r="A2177" i="5"/>
  <c r="H2177" i="5"/>
  <c r="G2177" i="5"/>
  <c r="B890" i="5"/>
  <c r="A890" i="5"/>
  <c r="H890" i="5"/>
  <c r="G890" i="5"/>
  <c r="B2893" i="5"/>
  <c r="A2893" i="5"/>
  <c r="H2893" i="5"/>
  <c r="G2893" i="5"/>
  <c r="B1466" i="5"/>
  <c r="A1466" i="5"/>
  <c r="G1466" i="5"/>
  <c r="H1466" i="5"/>
  <c r="A163" i="8"/>
  <c r="J163" i="8"/>
  <c r="K163" i="8"/>
  <c r="B163" i="8"/>
  <c r="B3191" i="5"/>
  <c r="A3191" i="5"/>
  <c r="G3191" i="5"/>
  <c r="H3191" i="5"/>
  <c r="B3175" i="5"/>
  <c r="A3175" i="5"/>
  <c r="H3175" i="5"/>
  <c r="G3175" i="5"/>
  <c r="B572" i="5"/>
  <c r="A572" i="5"/>
  <c r="G572" i="5"/>
  <c r="H572" i="5"/>
  <c r="A1725" i="5"/>
  <c r="B1725" i="5"/>
  <c r="H1725" i="5"/>
  <c r="G1725" i="5"/>
  <c r="B242" i="5"/>
  <c r="A242" i="5"/>
  <c r="H242" i="5"/>
  <c r="G242" i="5"/>
  <c r="B770" i="5"/>
  <c r="A770" i="5"/>
  <c r="H770" i="5"/>
  <c r="G770" i="5"/>
  <c r="B2758" i="5"/>
  <c r="A2758" i="5"/>
  <c r="H2758" i="5"/>
  <c r="G2758" i="5"/>
  <c r="A2716" i="5"/>
  <c r="B2716" i="5"/>
  <c r="G2716" i="5"/>
  <c r="H2716" i="5"/>
  <c r="B3690" i="5"/>
  <c r="A3690" i="5"/>
  <c r="H3690" i="5"/>
  <c r="G3690" i="5"/>
  <c r="A219" i="5"/>
  <c r="B219" i="5"/>
  <c r="G219" i="5"/>
  <c r="H219" i="5"/>
  <c r="B4005" i="5"/>
  <c r="A4005" i="5"/>
  <c r="G4005" i="5"/>
  <c r="H4005" i="5"/>
  <c r="B4218" i="5"/>
  <c r="A4218" i="5"/>
  <c r="G4218" i="5"/>
  <c r="H4218" i="5"/>
  <c r="B2325" i="5"/>
  <c r="A2325" i="5"/>
  <c r="H2325" i="5"/>
  <c r="G2325" i="5"/>
  <c r="B2514" i="5"/>
  <c r="A2514" i="5"/>
  <c r="H2514" i="5"/>
  <c r="G2514" i="5"/>
  <c r="B4247" i="5"/>
  <c r="A4247" i="5"/>
  <c r="H4247" i="5"/>
  <c r="G4247" i="5"/>
  <c r="B4496" i="5"/>
  <c r="A4496" i="5"/>
  <c r="H4496" i="5"/>
  <c r="G4496" i="5"/>
  <c r="A3541" i="5"/>
  <c r="B3541" i="5"/>
  <c r="G3541" i="5"/>
  <c r="H3541" i="5"/>
  <c r="B1209" i="5"/>
  <c r="A1209" i="5"/>
  <c r="G1209" i="5"/>
  <c r="H1209" i="5"/>
  <c r="B3252" i="5"/>
  <c r="A3252" i="5"/>
  <c r="H3252" i="5"/>
  <c r="G3252" i="5"/>
  <c r="B4045" i="5"/>
  <c r="A4045" i="5"/>
  <c r="H4045" i="5"/>
  <c r="G4045" i="5"/>
  <c r="B2794" i="5"/>
  <c r="A2794" i="5"/>
  <c r="G2794" i="5"/>
  <c r="H2794" i="5"/>
  <c r="B3355" i="5"/>
  <c r="A3355" i="5"/>
  <c r="H3355" i="5"/>
  <c r="G3355" i="5"/>
  <c r="A3381" i="5"/>
  <c r="B3381" i="5"/>
  <c r="G3381" i="5"/>
  <c r="H3381" i="5"/>
  <c r="B813" i="5"/>
  <c r="A813" i="5"/>
  <c r="G813" i="5"/>
  <c r="H813" i="5"/>
  <c r="B2547" i="5"/>
  <c r="A2547" i="5"/>
  <c r="H2547" i="5"/>
  <c r="G2547" i="5"/>
  <c r="B4369" i="5"/>
  <c r="A4369" i="5"/>
  <c r="G4369" i="5"/>
  <c r="H4369" i="5"/>
  <c r="B391" i="5"/>
  <c r="A391" i="5"/>
  <c r="H391" i="5"/>
  <c r="G391" i="5"/>
  <c r="B3918" i="5"/>
  <c r="A3918" i="5"/>
  <c r="G3918" i="5"/>
  <c r="H3918" i="5"/>
  <c r="B457" i="5"/>
  <c r="A457" i="5"/>
  <c r="H457" i="5"/>
  <c r="G457" i="5"/>
  <c r="A2979" i="5"/>
  <c r="B2979" i="5"/>
  <c r="G2979" i="5"/>
  <c r="H2979" i="5"/>
  <c r="B3783" i="5"/>
  <c r="A3783" i="5"/>
  <c r="G3783" i="5"/>
  <c r="H3783" i="5"/>
  <c r="B2074" i="5"/>
  <c r="A2074" i="5"/>
  <c r="G2074" i="5"/>
  <c r="H2074" i="5"/>
  <c r="B3624" i="5"/>
  <c r="A3624" i="5"/>
  <c r="H3624" i="5"/>
  <c r="G3624" i="5"/>
  <c r="B2023" i="5"/>
  <c r="A2023" i="5"/>
  <c r="H2023" i="5"/>
  <c r="G2023" i="5"/>
  <c r="B3505" i="5"/>
  <c r="A3505" i="5"/>
  <c r="H3505" i="5"/>
  <c r="G3505" i="5"/>
  <c r="B1102" i="5"/>
  <c r="A1102" i="5"/>
  <c r="G1102" i="5"/>
  <c r="H1102" i="5"/>
  <c r="B3185" i="5"/>
  <c r="A3185" i="5"/>
  <c r="H3185" i="5"/>
  <c r="G3185" i="5"/>
  <c r="B1150" i="5"/>
  <c r="A1150" i="5"/>
  <c r="H1150" i="5"/>
  <c r="G1150" i="5"/>
  <c r="B2943" i="5"/>
  <c r="A2943" i="5"/>
  <c r="H2943" i="5"/>
  <c r="G2943" i="5"/>
  <c r="B117" i="5"/>
  <c r="A117" i="5"/>
  <c r="G117" i="5"/>
  <c r="H117" i="5"/>
  <c r="B2866" i="5"/>
  <c r="A2866" i="5"/>
  <c r="G2866" i="5"/>
  <c r="H2866" i="5"/>
  <c r="B912" i="5"/>
  <c r="A912" i="5"/>
  <c r="H912" i="5"/>
  <c r="G912" i="5"/>
  <c r="B4444" i="5"/>
  <c r="A4444" i="5"/>
  <c r="G4444" i="5"/>
  <c r="H4444" i="5"/>
  <c r="B2268" i="5"/>
  <c r="A2268" i="5"/>
  <c r="G2268" i="5"/>
  <c r="H2268" i="5"/>
  <c r="B2520" i="5"/>
  <c r="A2520" i="5"/>
  <c r="H2520" i="5"/>
  <c r="G2520" i="5"/>
  <c r="B880" i="5"/>
  <c r="A880" i="5"/>
  <c r="G880" i="5"/>
  <c r="H880" i="5"/>
  <c r="B2483" i="5"/>
  <c r="A2483" i="5"/>
  <c r="H2483" i="5"/>
  <c r="G2483" i="5"/>
  <c r="B1201" i="5"/>
  <c r="A1201" i="5"/>
  <c r="H1201" i="5"/>
  <c r="G1201" i="5"/>
  <c r="B1709" i="5"/>
  <c r="A1709" i="5"/>
  <c r="H1709" i="5"/>
  <c r="G1709" i="5"/>
  <c r="A465" i="5"/>
  <c r="B465" i="5"/>
  <c r="H465" i="5"/>
  <c r="G465" i="5"/>
  <c r="B2335" i="5"/>
  <c r="A2335" i="5"/>
  <c r="H2335" i="5"/>
  <c r="G2335" i="5"/>
  <c r="A1354" i="5"/>
  <c r="B1354" i="5"/>
  <c r="H1354" i="5"/>
  <c r="G1354" i="5"/>
  <c r="A3489" i="5"/>
  <c r="B3489" i="5"/>
  <c r="H3489" i="5"/>
  <c r="G3489" i="5"/>
  <c r="B4345" i="5"/>
  <c r="A4345" i="5"/>
  <c r="H4345" i="5"/>
  <c r="G4345" i="5"/>
  <c r="B2398" i="5"/>
  <c r="A2398" i="5"/>
  <c r="H2398" i="5"/>
  <c r="G2398" i="5"/>
  <c r="B192" i="5"/>
  <c r="A192" i="5"/>
  <c r="H192" i="5"/>
  <c r="G192" i="5"/>
  <c r="B3840" i="5"/>
  <c r="A3840" i="5"/>
  <c r="G3840" i="5"/>
  <c r="H3840" i="5"/>
  <c r="B1743" i="5"/>
  <c r="A1743" i="5"/>
  <c r="H1743" i="5"/>
  <c r="G1743" i="5"/>
  <c r="B4234" i="5"/>
  <c r="A4234" i="5"/>
  <c r="H4234" i="5"/>
  <c r="G4234" i="5"/>
  <c r="B756" i="5"/>
  <c r="A756" i="5"/>
  <c r="H756" i="5"/>
  <c r="G756" i="5"/>
  <c r="B2308" i="5"/>
  <c r="A2308" i="5"/>
  <c r="G2308" i="5"/>
  <c r="H2308" i="5"/>
  <c r="B715" i="5"/>
  <c r="A715" i="5"/>
  <c r="G715" i="5"/>
  <c r="H715" i="5"/>
  <c r="A3730" i="5"/>
  <c r="B3730" i="5"/>
  <c r="G3730" i="5"/>
  <c r="H3730" i="5"/>
  <c r="B1993" i="5"/>
  <c r="A1993" i="5"/>
  <c r="H1993" i="5"/>
  <c r="G1993" i="5"/>
  <c r="A1116" i="5"/>
  <c r="B1116" i="5"/>
  <c r="G1116" i="5"/>
  <c r="H1116" i="5"/>
  <c r="B4453" i="5"/>
  <c r="A4453" i="5"/>
  <c r="H4453" i="5"/>
  <c r="G4453" i="5"/>
  <c r="A1026" i="5"/>
  <c r="B1026" i="5"/>
  <c r="G1026" i="5"/>
  <c r="H1026" i="5"/>
  <c r="B2047" i="5"/>
  <c r="A2047" i="5"/>
  <c r="H2047" i="5"/>
  <c r="G2047" i="5"/>
  <c r="B2146" i="5"/>
  <c r="A2146" i="5"/>
  <c r="H2146" i="5"/>
  <c r="G2146" i="5"/>
  <c r="B3940" i="5"/>
  <c r="A3940" i="5"/>
  <c r="G3940" i="5"/>
  <c r="H3940" i="5"/>
  <c r="B4109" i="5"/>
  <c r="A4109" i="5"/>
  <c r="G4109" i="5"/>
  <c r="H4109" i="5"/>
  <c r="B149" i="5"/>
  <c r="A149" i="5"/>
  <c r="H149" i="5"/>
  <c r="G149" i="5"/>
  <c r="B123" i="5"/>
  <c r="A123" i="5"/>
  <c r="H123" i="5"/>
  <c r="G123" i="5"/>
  <c r="B3346" i="5"/>
  <c r="A3346" i="5"/>
  <c r="G3346" i="5"/>
  <c r="H3346" i="5"/>
  <c r="B3966" i="5"/>
  <c r="A3966" i="5"/>
  <c r="H3966" i="5"/>
  <c r="G3966" i="5"/>
  <c r="B1696" i="5"/>
  <c r="A1696" i="5"/>
  <c r="H1696" i="5"/>
  <c r="G1696" i="5"/>
  <c r="B1070" i="5"/>
  <c r="A1070" i="5"/>
  <c r="G1070" i="5"/>
  <c r="H1070" i="5"/>
  <c r="A923" i="5"/>
  <c r="B923" i="5"/>
  <c r="H923" i="5"/>
  <c r="G923" i="5"/>
  <c r="B1131" i="5"/>
  <c r="A1131" i="5"/>
  <c r="H1131" i="5"/>
  <c r="G1131" i="5"/>
  <c r="B3933" i="5"/>
  <c r="A3933" i="5"/>
  <c r="G3933" i="5"/>
  <c r="H3933" i="5"/>
  <c r="B1605" i="5"/>
  <c r="A1605" i="5"/>
  <c r="H1605" i="5"/>
  <c r="G1605" i="5"/>
  <c r="B4176" i="5"/>
  <c r="A4176" i="5"/>
  <c r="G4176" i="5"/>
  <c r="H4176" i="5"/>
  <c r="B1258" i="5"/>
  <c r="A1258" i="5"/>
  <c r="G1258" i="5"/>
  <c r="H1258" i="5"/>
  <c r="B8" i="5"/>
  <c r="A8" i="5"/>
  <c r="H8" i="5"/>
  <c r="G8" i="5"/>
  <c r="B959" i="5"/>
  <c r="A959" i="5"/>
  <c r="H959" i="5"/>
  <c r="G959" i="5"/>
  <c r="A4293" i="5"/>
  <c r="B4293" i="5"/>
  <c r="H4293" i="5"/>
  <c r="G4293" i="5"/>
  <c r="B4071" i="5"/>
  <c r="A4071" i="5"/>
  <c r="G4071" i="5"/>
  <c r="H4071" i="5"/>
  <c r="A177" i="5"/>
  <c r="H177" i="5"/>
  <c r="G177" i="5"/>
  <c r="B177" i="5"/>
  <c r="B825" i="5"/>
  <c r="A825" i="5"/>
  <c r="H825" i="5"/>
  <c r="G825" i="5"/>
  <c r="B643" i="5"/>
  <c r="A643" i="5"/>
  <c r="H643" i="5"/>
  <c r="G643" i="5"/>
  <c r="B71" i="5"/>
  <c r="A71" i="5"/>
  <c r="G71" i="5"/>
  <c r="H71" i="5"/>
  <c r="B4396" i="5"/>
  <c r="A4396" i="5"/>
  <c r="G4396" i="5"/>
  <c r="H4396" i="5"/>
  <c r="B2210" i="5"/>
  <c r="A2210" i="5"/>
  <c r="H2210" i="5"/>
  <c r="G2210" i="5"/>
  <c r="B4082" i="5"/>
  <c r="A4082" i="5"/>
  <c r="H4082" i="5"/>
  <c r="G4082" i="5"/>
  <c r="B735" i="5"/>
  <c r="A735" i="5"/>
  <c r="H735" i="5"/>
  <c r="G735" i="5"/>
  <c r="B3747" i="5"/>
  <c r="A3747" i="5"/>
  <c r="H3747" i="5"/>
  <c r="G3747" i="5"/>
  <c r="B4399" i="5"/>
  <c r="A4399" i="5"/>
  <c r="G4399" i="5"/>
  <c r="H4399" i="5"/>
  <c r="B527" i="5"/>
  <c r="A527" i="5"/>
  <c r="H527" i="5"/>
  <c r="G527" i="5"/>
  <c r="B2997" i="5"/>
  <c r="A2997" i="5"/>
  <c r="H2997" i="5"/>
  <c r="G2997" i="5"/>
  <c r="B392" i="5"/>
  <c r="A392" i="5"/>
  <c r="G392" i="5"/>
  <c r="H392" i="5"/>
  <c r="B2275" i="5"/>
  <c r="A2275" i="5"/>
  <c r="H2275" i="5"/>
  <c r="G2275" i="5"/>
  <c r="B788" i="5"/>
  <c r="A788" i="5"/>
  <c r="G788" i="5"/>
  <c r="H788" i="5"/>
  <c r="B3238" i="5"/>
  <c r="A3238" i="5"/>
  <c r="G3238" i="5"/>
  <c r="H3238" i="5"/>
  <c r="B553" i="5"/>
  <c r="A553" i="5"/>
  <c r="G553" i="5"/>
  <c r="H553" i="5"/>
  <c r="B2572" i="5"/>
  <c r="A2572" i="5"/>
  <c r="G2572" i="5"/>
  <c r="H2572" i="5"/>
  <c r="A3639" i="5"/>
  <c r="B3639" i="5"/>
  <c r="G3639" i="5"/>
  <c r="H3639" i="5"/>
  <c r="A2643" i="5"/>
  <c r="B2643" i="5"/>
  <c r="G2643" i="5"/>
  <c r="H2643" i="5"/>
  <c r="A418" i="5"/>
  <c r="B418" i="5"/>
  <c r="H418" i="5"/>
  <c r="G418" i="5"/>
  <c r="B1663" i="5"/>
  <c r="A1663" i="5"/>
  <c r="H1663" i="5"/>
  <c r="G1663" i="5"/>
  <c r="A24" i="5"/>
  <c r="B24" i="5"/>
  <c r="G24" i="5"/>
  <c r="H24" i="5"/>
  <c r="A3875" i="5"/>
  <c r="B3875" i="5"/>
  <c r="H3875" i="5"/>
  <c r="G3875" i="5"/>
  <c r="B762" i="5"/>
  <c r="A762" i="5"/>
  <c r="H762" i="5"/>
  <c r="G762" i="5"/>
  <c r="B4077" i="5"/>
  <c r="A4077" i="5"/>
  <c r="H4077" i="5"/>
  <c r="G4077" i="5"/>
  <c r="B2172" i="5"/>
  <c r="A2172" i="5"/>
  <c r="H2172" i="5"/>
  <c r="G2172" i="5"/>
  <c r="B1588" i="5"/>
  <c r="A1588" i="5"/>
  <c r="H1588" i="5"/>
  <c r="G1588" i="5"/>
  <c r="A3128" i="5"/>
  <c r="B3128" i="5"/>
  <c r="G3128" i="5"/>
  <c r="H3128" i="5"/>
  <c r="A1859" i="5"/>
  <c r="B1859" i="5"/>
  <c r="H1859" i="5"/>
  <c r="G1859" i="5"/>
  <c r="B2111" i="5"/>
  <c r="A2111" i="5"/>
  <c r="H2111" i="5"/>
  <c r="G2111" i="5"/>
  <c r="B494" i="5"/>
  <c r="A494" i="5"/>
  <c r="H494" i="5"/>
  <c r="G494" i="5"/>
  <c r="B2151" i="5"/>
  <c r="A2151" i="5"/>
  <c r="G2151" i="5"/>
  <c r="H2151" i="5"/>
  <c r="B3327" i="5"/>
  <c r="A3327" i="5"/>
  <c r="H3327" i="5"/>
  <c r="G3327" i="5"/>
  <c r="B3958" i="5"/>
  <c r="A3958" i="5"/>
  <c r="H3958" i="5"/>
  <c r="G3958" i="5"/>
  <c r="B3284" i="5"/>
  <c r="A3284" i="5"/>
  <c r="H3284" i="5"/>
  <c r="G3284" i="5"/>
  <c r="B1182" i="5"/>
  <c r="A1182" i="5"/>
  <c r="G1182" i="5"/>
  <c r="H1182" i="5"/>
  <c r="B284" i="5"/>
  <c r="A284" i="5"/>
  <c r="H284" i="5"/>
  <c r="G284" i="5"/>
  <c r="B3757" i="5"/>
  <c r="A3757" i="5"/>
  <c r="H3757" i="5"/>
  <c r="G3757" i="5"/>
  <c r="B319" i="5"/>
  <c r="A319" i="5"/>
  <c r="G319" i="5"/>
  <c r="H319" i="5"/>
  <c r="A90" i="5"/>
  <c r="B90" i="5"/>
  <c r="H90" i="5"/>
  <c r="G90" i="5"/>
  <c r="B142" i="5"/>
  <c r="A142" i="5"/>
  <c r="H142" i="5"/>
  <c r="G142" i="5"/>
  <c r="A3020" i="5"/>
  <c r="B3020" i="5"/>
  <c r="G3020" i="5"/>
  <c r="H3020" i="5"/>
  <c r="B1534" i="5"/>
  <c r="A1534" i="5"/>
  <c r="H1534" i="5"/>
  <c r="G1534" i="5"/>
  <c r="B3666" i="5"/>
  <c r="A3666" i="5"/>
  <c r="H3666" i="5"/>
  <c r="G3666" i="5"/>
  <c r="B1058" i="5"/>
  <c r="A1058" i="5"/>
  <c r="G1058" i="5"/>
  <c r="H1058" i="5"/>
  <c r="B2496" i="5"/>
  <c r="A2496" i="5"/>
  <c r="H2496" i="5"/>
  <c r="G2496" i="5"/>
  <c r="B690" i="5"/>
  <c r="A690" i="5"/>
  <c r="H690" i="5"/>
  <c r="G690" i="5"/>
  <c r="B1003" i="5"/>
  <c r="A1003" i="5"/>
  <c r="H1003" i="5"/>
  <c r="G1003" i="5"/>
  <c r="B1141" i="5"/>
  <c r="A1141" i="5"/>
  <c r="H1141" i="5"/>
  <c r="G1141" i="5"/>
  <c r="B3226" i="5"/>
  <c r="A3226" i="5"/>
  <c r="H3226" i="5"/>
  <c r="G3226" i="5"/>
  <c r="B2587" i="5"/>
  <c r="A2587" i="5"/>
  <c r="H2587" i="5"/>
  <c r="G2587" i="5"/>
  <c r="A3668" i="5"/>
  <c r="B3668" i="5"/>
  <c r="H3668" i="5"/>
  <c r="G3668" i="5"/>
  <c r="A3120" i="5"/>
  <c r="B3120" i="5"/>
  <c r="G3120" i="5"/>
  <c r="H3120" i="5"/>
  <c r="B1737" i="5"/>
  <c r="A1737" i="5"/>
  <c r="G1737" i="5"/>
  <c r="H1737" i="5"/>
  <c r="B98" i="5"/>
  <c r="A98" i="5"/>
  <c r="G98" i="5"/>
  <c r="H98" i="5"/>
  <c r="B3311" i="5"/>
  <c r="A3311" i="5"/>
  <c r="G3311" i="5"/>
  <c r="H3311" i="5"/>
  <c r="B1952" i="5"/>
  <c r="A1952" i="5"/>
  <c r="H1952" i="5"/>
  <c r="G1952" i="5"/>
  <c r="B2556" i="5"/>
  <c r="A2556" i="5"/>
  <c r="H2556" i="5"/>
  <c r="G2556" i="5"/>
  <c r="B3139" i="5"/>
  <c r="A3139" i="5"/>
  <c r="G3139" i="5"/>
  <c r="H3139" i="5"/>
  <c r="A301" i="5"/>
  <c r="B301" i="5"/>
  <c r="H301" i="5"/>
  <c r="G301" i="5"/>
  <c r="B3426" i="5"/>
  <c r="A3426" i="5"/>
  <c r="H3426" i="5"/>
  <c r="G3426" i="5"/>
  <c r="B4095" i="5"/>
  <c r="A4095" i="5"/>
  <c r="G4095" i="5"/>
  <c r="H4095" i="5"/>
  <c r="B728" i="5"/>
  <c r="A728" i="5"/>
  <c r="G728" i="5"/>
  <c r="H728" i="5"/>
  <c r="B2698" i="5"/>
  <c r="A2698" i="5"/>
  <c r="H2698" i="5"/>
  <c r="G2698" i="5"/>
  <c r="B665" i="5"/>
  <c r="A665" i="5"/>
  <c r="H665" i="5"/>
  <c r="G665" i="5"/>
  <c r="B1186" i="5"/>
  <c r="A1186" i="5"/>
  <c r="G1186" i="5"/>
  <c r="H1186" i="5"/>
  <c r="B223" i="5"/>
  <c r="A223" i="5"/>
  <c r="H223" i="5"/>
  <c r="G223" i="5"/>
  <c r="B2006" i="5"/>
  <c r="A2006" i="5"/>
  <c r="H2006" i="5"/>
  <c r="G2006" i="5"/>
  <c r="B1799" i="5"/>
  <c r="A1799" i="5"/>
  <c r="G1799" i="5"/>
  <c r="H1799" i="5"/>
  <c r="B3006" i="5"/>
  <c r="A3006" i="5"/>
  <c r="H3006" i="5"/>
  <c r="G3006" i="5"/>
  <c r="A516" i="5"/>
  <c r="B516" i="5"/>
  <c r="H516" i="5"/>
  <c r="G516" i="5"/>
  <c r="A342" i="5"/>
  <c r="B342" i="5"/>
  <c r="H342" i="5"/>
  <c r="G342" i="5"/>
  <c r="B1822" i="5"/>
  <c r="A1822" i="5"/>
  <c r="H1822" i="5"/>
  <c r="G1822" i="5"/>
  <c r="B2190" i="5"/>
  <c r="A2190" i="5"/>
  <c r="H2190" i="5"/>
  <c r="G2190" i="5"/>
  <c r="A2250" i="5"/>
  <c r="B2250" i="5"/>
  <c r="H2250" i="5"/>
  <c r="G2250" i="5"/>
  <c r="B3887" i="5"/>
  <c r="A3887" i="5"/>
  <c r="G3887" i="5"/>
  <c r="H3887" i="5"/>
  <c r="B3544" i="5"/>
  <c r="A3544" i="5"/>
  <c r="H3544" i="5"/>
  <c r="G3544" i="5"/>
  <c r="B630" i="5"/>
  <c r="A630" i="5"/>
  <c r="G630" i="5"/>
  <c r="H630" i="5"/>
  <c r="A1616" i="5"/>
  <c r="B1616" i="5"/>
  <c r="H1616" i="5"/>
  <c r="G1616" i="5"/>
  <c r="B49" i="5"/>
  <c r="A49" i="5"/>
  <c r="G49" i="5"/>
  <c r="H49" i="5"/>
  <c r="B780" i="5"/>
  <c r="A780" i="5"/>
  <c r="H780" i="5"/>
  <c r="G780" i="5"/>
  <c r="B1282" i="5"/>
  <c r="A1282" i="5"/>
  <c r="G1282" i="5"/>
  <c r="H1282" i="5"/>
  <c r="B2463" i="5"/>
  <c r="A2463" i="5"/>
  <c r="H2463" i="5"/>
  <c r="G2463" i="5"/>
  <c r="B1597" i="5"/>
  <c r="A1597" i="5"/>
  <c r="H1597" i="5"/>
  <c r="G1597" i="5"/>
  <c r="B3336" i="5"/>
  <c r="A3336" i="5"/>
  <c r="G3336" i="5"/>
  <c r="H3336" i="5"/>
  <c r="A3568" i="5"/>
  <c r="B3568" i="5"/>
  <c r="H3568" i="5"/>
  <c r="G3568" i="5"/>
  <c r="B1043" i="5"/>
  <c r="A1043" i="5"/>
  <c r="H1043" i="5"/>
  <c r="G1043" i="5"/>
  <c r="B3985" i="5"/>
  <c r="A3985" i="5"/>
  <c r="G3985" i="5"/>
  <c r="H3985" i="5"/>
  <c r="B4299" i="5"/>
  <c r="A4299" i="5"/>
  <c r="G4299" i="5"/>
  <c r="H4299" i="5"/>
  <c r="B2884" i="5"/>
  <c r="A2884" i="5"/>
  <c r="H2884" i="5"/>
  <c r="G2884" i="5"/>
  <c r="B1608" i="5"/>
  <c r="A1608" i="5"/>
  <c r="H1608" i="5"/>
  <c r="G1608" i="5"/>
  <c r="A751" i="5"/>
  <c r="B751" i="5"/>
  <c r="H751" i="5"/>
  <c r="G751" i="5"/>
  <c r="B1826" i="5"/>
  <c r="A1826" i="5"/>
  <c r="G1826" i="5"/>
  <c r="H1826" i="5"/>
  <c r="B3320" i="5"/>
  <c r="A3320" i="5"/>
  <c r="H3320" i="5"/>
  <c r="G3320" i="5"/>
  <c r="B799" i="5"/>
  <c r="A799" i="5"/>
  <c r="H799" i="5"/>
  <c r="G799" i="5"/>
  <c r="A2238" i="5"/>
  <c r="B2238" i="5"/>
  <c r="H2238" i="5"/>
  <c r="G2238" i="5"/>
  <c r="B3528" i="5"/>
  <c r="A3528" i="5"/>
  <c r="H3528" i="5"/>
  <c r="G3528" i="5"/>
  <c r="B4381" i="5"/>
  <c r="A4381" i="5"/>
  <c r="G4381" i="5"/>
  <c r="H4381" i="5"/>
  <c r="B4316" i="5"/>
  <c r="A4316" i="5"/>
  <c r="G4316" i="5"/>
  <c r="H4316" i="5"/>
  <c r="B1645" i="5"/>
  <c r="A1645" i="5"/>
  <c r="H1645" i="5"/>
  <c r="G1645" i="5"/>
  <c r="B133" i="5"/>
  <c r="A133" i="5"/>
  <c r="H133" i="5"/>
  <c r="G133" i="5"/>
  <c r="B555" i="5"/>
  <c r="A555" i="5"/>
  <c r="H555" i="5"/>
  <c r="G555" i="5"/>
  <c r="B1416" i="5"/>
  <c r="A1416" i="5"/>
  <c r="H1416" i="5"/>
  <c r="G1416" i="5"/>
  <c r="A206" i="5"/>
  <c r="B206" i="5"/>
  <c r="H206" i="5"/>
  <c r="G206" i="5"/>
  <c r="B1851" i="5"/>
  <c r="A1851" i="5"/>
  <c r="H1851" i="5"/>
  <c r="G1851" i="5"/>
  <c r="B305" i="5"/>
  <c r="A305" i="5"/>
  <c r="H305" i="5"/>
  <c r="G305" i="5"/>
  <c r="A2353" i="5"/>
  <c r="B2353" i="5"/>
  <c r="G2353" i="5"/>
  <c r="H2353" i="5"/>
  <c r="B1107" i="5"/>
  <c r="A1107" i="5"/>
  <c r="H1107" i="5"/>
  <c r="G1107" i="5"/>
  <c r="B1447" i="5"/>
  <c r="A1447" i="5"/>
  <c r="H1447" i="5"/>
  <c r="G1447" i="5"/>
  <c r="B2442" i="5"/>
  <c r="A2442" i="5"/>
  <c r="H2442" i="5"/>
  <c r="G2442" i="5"/>
  <c r="B67" i="5"/>
  <c r="A67" i="5"/>
  <c r="G67" i="5"/>
  <c r="H67" i="5"/>
  <c r="A1386" i="5"/>
  <c r="B1386" i="5"/>
  <c r="H1386" i="5"/>
  <c r="G1386" i="5"/>
  <c r="A942" i="5"/>
  <c r="B942" i="5"/>
  <c r="H942" i="5"/>
  <c r="G942" i="5"/>
  <c r="B2120" i="5"/>
  <c r="A2120" i="5"/>
  <c r="H2120" i="5"/>
  <c r="G2120" i="5"/>
  <c r="B165" i="5"/>
  <c r="A165" i="5"/>
  <c r="H165" i="5"/>
  <c r="G165" i="5"/>
  <c r="B2637" i="5"/>
  <c r="A2637" i="5"/>
  <c r="H2637" i="5"/>
  <c r="G2637" i="5"/>
  <c r="B420" i="5"/>
  <c r="A420" i="5"/>
  <c r="H420" i="5"/>
  <c r="G420" i="5"/>
  <c r="A2672" i="5"/>
  <c r="B2672" i="5"/>
  <c r="H2672" i="5"/>
  <c r="G2672" i="5"/>
  <c r="B2457" i="5"/>
  <c r="A2457" i="5"/>
  <c r="H2457" i="5"/>
  <c r="G2457" i="5"/>
  <c r="B4190" i="5"/>
  <c r="A4190" i="5"/>
  <c r="G4190" i="5"/>
  <c r="H4190" i="5"/>
  <c r="A4057" i="5"/>
  <c r="B4057" i="5"/>
  <c r="G4057" i="5"/>
  <c r="H4057" i="5"/>
  <c r="B1426" i="5"/>
  <c r="A1426" i="5"/>
  <c r="G1426" i="5"/>
  <c r="H1426" i="5"/>
  <c r="B2448" i="5"/>
  <c r="A2448" i="5"/>
  <c r="H2448" i="5"/>
  <c r="G2448" i="5"/>
  <c r="B3019" i="5"/>
  <c r="A3019" i="5"/>
  <c r="H3019" i="5"/>
  <c r="G3019" i="5"/>
  <c r="B3733" i="5"/>
  <c r="A3733" i="5"/>
  <c r="G3733" i="5"/>
  <c r="H3733" i="5"/>
  <c r="A1535" i="5"/>
  <c r="B1535" i="5"/>
  <c r="H1535" i="5"/>
  <c r="G1535" i="5"/>
  <c r="B4269" i="5"/>
  <c r="A4269" i="5"/>
  <c r="H4269" i="5"/>
  <c r="G4269" i="5"/>
  <c r="A4256" i="5"/>
  <c r="B4256" i="5"/>
  <c r="H4256" i="5"/>
  <c r="G4256" i="5"/>
  <c r="A1635" i="5"/>
  <c r="B1635" i="5"/>
  <c r="G1635" i="5"/>
  <c r="H1635" i="5"/>
  <c r="B2363" i="5"/>
  <c r="A2363" i="5"/>
  <c r="G2363" i="5"/>
  <c r="H2363" i="5"/>
  <c r="B1808" i="5"/>
  <c r="A1808" i="5"/>
  <c r="G1808" i="5"/>
  <c r="H1808" i="5"/>
  <c r="B3084" i="5"/>
  <c r="A3084" i="5"/>
  <c r="H3084" i="5"/>
  <c r="G3084" i="5"/>
  <c r="B263" i="8"/>
  <c r="L168" i="8"/>
  <c r="K324" i="8"/>
  <c r="K288" i="8"/>
  <c r="M288" i="8"/>
  <c r="H241" i="8"/>
  <c r="H11" i="8"/>
  <c r="E322" i="8"/>
  <c r="C465" i="8"/>
  <c r="K43" i="8"/>
  <c r="N43" i="8"/>
  <c r="K438" i="8"/>
  <c r="A3166" i="5"/>
  <c r="B3166" i="5"/>
  <c r="H3166" i="5"/>
  <c r="G3166" i="5"/>
  <c r="B3579" i="5"/>
  <c r="A3579" i="5"/>
  <c r="G3579" i="5"/>
  <c r="H3579" i="5"/>
  <c r="B4026" i="5"/>
  <c r="A4026" i="5"/>
  <c r="H4026" i="5"/>
  <c r="G4026" i="5"/>
  <c r="B2948" i="5"/>
  <c r="A2948" i="5"/>
  <c r="H2948" i="5"/>
  <c r="G2948" i="5"/>
  <c r="A234" i="5"/>
  <c r="B234" i="5"/>
  <c r="H234" i="5"/>
  <c r="G234" i="5"/>
  <c r="B2823" i="5"/>
  <c r="A2823" i="5"/>
  <c r="H2823" i="5"/>
  <c r="G2823" i="5"/>
  <c r="B1336" i="5"/>
  <c r="A1336" i="5"/>
  <c r="H1336" i="5"/>
  <c r="G1336" i="5"/>
  <c r="B936" i="5"/>
  <c r="A936" i="5"/>
  <c r="H936" i="5"/>
  <c r="G936" i="5"/>
  <c r="B3212" i="5"/>
  <c r="A3212" i="5"/>
  <c r="H3212" i="5"/>
  <c r="G3212" i="5"/>
  <c r="B3600" i="5"/>
  <c r="A3600" i="5"/>
  <c r="G3600" i="5"/>
  <c r="H3600" i="5"/>
  <c r="B1700" i="5"/>
  <c r="A1700" i="5"/>
  <c r="G1700" i="5"/>
  <c r="H1700" i="5"/>
  <c r="A2564" i="5"/>
  <c r="B2564" i="5"/>
  <c r="H2564" i="5"/>
  <c r="G2564" i="5"/>
  <c r="B3576" i="5"/>
  <c r="A3576" i="5"/>
  <c r="H3576" i="5"/>
  <c r="G3576" i="5"/>
  <c r="B2600" i="5"/>
  <c r="A2600" i="5"/>
  <c r="G2600" i="5"/>
  <c r="H2600" i="5"/>
  <c r="B2874" i="5"/>
  <c r="A2874" i="5"/>
  <c r="G2874" i="5"/>
  <c r="H2874" i="5"/>
  <c r="B4158" i="5"/>
  <c r="A4158" i="5"/>
  <c r="G4158" i="5"/>
  <c r="H4158" i="5"/>
  <c r="B2201" i="5"/>
  <c r="A2201" i="5"/>
  <c r="H2201" i="5"/>
  <c r="G2201" i="5"/>
  <c r="B1679" i="5"/>
  <c r="A1679" i="5"/>
  <c r="G1679" i="5"/>
  <c r="H1679" i="5"/>
  <c r="B1039" i="5"/>
  <c r="A1039" i="5"/>
  <c r="H1039" i="5"/>
  <c r="G1039" i="5"/>
  <c r="B4355" i="5"/>
  <c r="A4355" i="5"/>
  <c r="G4355" i="5"/>
  <c r="H4355" i="5"/>
  <c r="B324" i="5"/>
  <c r="A324" i="5"/>
  <c r="H324" i="5"/>
  <c r="G324" i="5"/>
  <c r="B4129" i="5"/>
  <c r="A4129" i="5"/>
  <c r="H4129" i="5"/>
  <c r="G4129" i="5"/>
  <c r="B652" i="5"/>
  <c r="A652" i="5"/>
  <c r="H652" i="5"/>
  <c r="G652" i="5"/>
  <c r="B2052" i="5"/>
  <c r="A2052" i="5"/>
  <c r="H2052" i="5"/>
  <c r="G2052" i="5"/>
  <c r="B2064" i="5"/>
  <c r="A2064" i="5"/>
  <c r="G2064" i="5"/>
  <c r="H2064" i="5"/>
  <c r="B1875" i="5"/>
  <c r="A1875" i="5"/>
  <c r="H1875" i="5"/>
  <c r="G1875" i="5"/>
  <c r="B3828" i="5"/>
  <c r="A3828" i="5"/>
  <c r="G3828" i="5"/>
  <c r="H3828" i="5"/>
  <c r="B3801" i="5"/>
  <c r="A3801" i="5"/>
  <c r="H3801" i="5"/>
  <c r="G3801" i="5"/>
  <c r="A1355" i="5"/>
  <c r="B1355" i="5"/>
  <c r="H1355" i="5"/>
  <c r="G1355" i="5"/>
  <c r="B2832" i="5"/>
  <c r="A2832" i="5"/>
  <c r="H2832" i="5"/>
  <c r="G2832" i="5"/>
  <c r="B373" i="5"/>
  <c r="A373" i="5"/>
  <c r="G373" i="5"/>
  <c r="H373" i="5"/>
  <c r="B4149" i="5"/>
  <c r="A4149" i="5"/>
  <c r="H4149" i="5"/>
  <c r="G4149" i="5"/>
  <c r="B3157" i="5"/>
  <c r="A3157" i="5"/>
  <c r="G3157" i="5"/>
  <c r="H3157" i="5"/>
  <c r="B3901" i="5"/>
  <c r="A3901" i="5"/>
  <c r="H3901" i="5"/>
  <c r="G3901" i="5"/>
  <c r="B256" i="5"/>
  <c r="A256" i="5"/>
  <c r="G256" i="5"/>
  <c r="H256" i="5"/>
  <c r="B1915" i="5"/>
  <c r="A1915" i="5"/>
  <c r="H1915" i="5"/>
  <c r="G1915" i="5"/>
  <c r="A2338" i="5"/>
  <c r="B2338" i="5"/>
  <c r="H2338" i="5"/>
  <c r="G2338" i="5"/>
  <c r="B4480" i="5"/>
  <c r="A4480" i="5"/>
  <c r="G4480" i="5"/>
  <c r="H4480" i="5"/>
  <c r="A3041" i="5"/>
  <c r="B3041" i="5"/>
  <c r="H3041" i="5"/>
  <c r="G3041" i="5"/>
  <c r="A3399" i="5"/>
  <c r="B3399" i="5"/>
  <c r="G3399" i="5"/>
  <c r="H3399" i="5"/>
  <c r="B870" i="5"/>
  <c r="A870" i="5"/>
  <c r="H870" i="5"/>
  <c r="G870" i="5"/>
  <c r="B474" i="5"/>
  <c r="A474" i="5"/>
  <c r="H474" i="5"/>
  <c r="G474" i="5"/>
  <c r="B2615" i="5"/>
  <c r="A2615" i="5"/>
  <c r="H2615" i="5"/>
  <c r="G2615" i="5"/>
  <c r="B2847" i="5"/>
  <c r="A2847" i="5"/>
  <c r="H2847" i="5"/>
  <c r="G2847" i="5"/>
  <c r="B3269" i="5"/>
  <c r="B3037" i="5"/>
  <c r="A3037" i="5"/>
  <c r="H3037" i="5"/>
  <c r="G3037" i="5"/>
  <c r="B2499" i="5"/>
  <c r="A2499" i="5"/>
  <c r="G2499" i="5"/>
  <c r="H2499" i="5"/>
  <c r="B2925" i="5"/>
  <c r="A2925" i="5"/>
  <c r="G2925" i="5"/>
  <c r="H2925" i="5"/>
  <c r="A4014" i="5"/>
  <c r="B4014" i="5"/>
  <c r="G4014" i="5"/>
  <c r="H4014" i="5"/>
  <c r="B1575" i="5"/>
  <c r="A1575" i="5"/>
  <c r="H1575" i="5"/>
  <c r="G1575" i="5"/>
  <c r="A4371" i="5"/>
  <c r="B4371" i="5"/>
  <c r="H4371" i="5"/>
  <c r="G4371" i="5"/>
  <c r="B1344" i="5"/>
  <c r="A1344" i="5"/>
  <c r="H1344" i="5"/>
  <c r="G1344" i="5"/>
  <c r="B2088" i="5"/>
  <c r="A2088" i="5"/>
  <c r="G2088" i="5"/>
  <c r="H2088" i="5"/>
  <c r="A4472" i="5"/>
  <c r="B4472" i="5"/>
  <c r="H4472" i="5"/>
  <c r="G4472" i="5"/>
  <c r="B3507" i="5"/>
  <c r="A3507" i="5"/>
  <c r="H3507" i="5"/>
  <c r="G3507" i="5"/>
  <c r="B4054" i="5"/>
  <c r="A4054" i="5"/>
  <c r="G4054" i="5"/>
  <c r="H4054" i="5"/>
  <c r="B3063" i="5"/>
  <c r="A3063" i="5"/>
  <c r="H3063" i="5"/>
  <c r="G3063" i="5"/>
  <c r="B2195" i="5"/>
  <c r="A2195" i="5"/>
  <c r="H2195" i="5"/>
  <c r="G2195" i="5"/>
  <c r="B2528" i="5"/>
  <c r="A2528" i="5"/>
  <c r="G2528" i="5"/>
  <c r="H2528" i="5"/>
  <c r="B1908" i="5"/>
  <c r="A1908" i="5"/>
  <c r="H1908" i="5"/>
  <c r="G1908" i="5"/>
  <c r="A3861" i="5"/>
  <c r="B3861" i="5"/>
  <c r="H3861" i="5"/>
  <c r="G3861" i="5"/>
  <c r="A1484" i="5"/>
  <c r="B1484" i="5"/>
  <c r="G1484" i="5"/>
  <c r="H1484" i="5"/>
  <c r="B1368" i="5"/>
  <c r="A1368" i="5"/>
  <c r="H1368" i="5"/>
  <c r="G1368" i="5"/>
  <c r="B2705" i="5"/>
  <c r="A2705" i="5"/>
  <c r="H2705" i="5"/>
  <c r="G2705" i="5"/>
  <c r="A1007" i="5"/>
  <c r="B1007" i="5"/>
  <c r="H1007" i="5"/>
  <c r="G1007" i="5"/>
  <c r="A3807" i="5"/>
  <c r="B3807" i="5"/>
  <c r="G3807" i="5"/>
  <c r="H3807" i="5"/>
  <c r="B2176" i="5"/>
  <c r="A2176" i="5"/>
  <c r="H2176" i="5"/>
  <c r="G2176" i="5"/>
  <c r="A887" i="5"/>
  <c r="B887" i="5"/>
  <c r="H887" i="5"/>
  <c r="G887" i="5"/>
  <c r="B1463" i="5"/>
  <c r="A1463" i="5"/>
  <c r="H1463" i="5"/>
  <c r="G1463" i="5"/>
  <c r="A3375" i="5"/>
  <c r="B3375" i="5"/>
  <c r="H3375" i="5"/>
  <c r="G3375" i="5"/>
  <c r="B1566" i="5"/>
  <c r="A1566" i="5"/>
  <c r="H1566" i="5"/>
  <c r="G1566" i="5"/>
  <c r="B3192" i="5"/>
  <c r="A3192" i="5"/>
  <c r="H3192" i="5"/>
  <c r="G3192" i="5"/>
  <c r="A1656" i="5"/>
  <c r="B1656" i="5"/>
  <c r="H1656" i="5"/>
  <c r="G1656" i="5"/>
  <c r="B1502" i="5"/>
  <c r="A1502" i="5"/>
  <c r="G1502" i="5"/>
  <c r="H1502" i="5"/>
  <c r="B575" i="5"/>
  <c r="A575" i="5"/>
  <c r="H575" i="5"/>
  <c r="G575" i="5"/>
  <c r="B240" i="5"/>
  <c r="A240" i="5"/>
  <c r="H240" i="5"/>
  <c r="G240" i="5"/>
  <c r="B2934" i="5"/>
  <c r="A2934" i="5"/>
  <c r="H2934" i="5"/>
  <c r="G2934" i="5"/>
  <c r="A771" i="5"/>
  <c r="B771" i="5"/>
  <c r="H771" i="5"/>
  <c r="G771" i="5"/>
  <c r="B601" i="5"/>
  <c r="A601" i="5"/>
  <c r="G601" i="5"/>
  <c r="H601" i="5"/>
  <c r="B3689" i="5"/>
  <c r="A3689" i="5"/>
  <c r="H3689" i="5"/>
  <c r="G3689" i="5"/>
  <c r="B4225" i="5"/>
  <c r="A4225" i="5"/>
  <c r="H4225" i="5"/>
  <c r="G4225" i="5"/>
  <c r="B2509" i="5"/>
  <c r="A2509" i="5"/>
  <c r="H2509" i="5"/>
  <c r="G2509" i="5"/>
  <c r="B3483" i="5"/>
  <c r="A3483" i="5"/>
  <c r="G3483" i="5"/>
  <c r="H3483" i="5"/>
  <c r="B4252" i="5"/>
  <c r="A4252" i="5"/>
  <c r="H4252" i="5"/>
  <c r="G4252" i="5"/>
  <c r="B4504" i="5"/>
  <c r="A4504" i="5"/>
  <c r="G4504" i="5"/>
  <c r="H4504" i="5"/>
  <c r="B2607" i="5"/>
  <c r="A2607" i="5"/>
  <c r="H2607" i="5"/>
  <c r="G2607" i="5"/>
  <c r="B4044" i="5"/>
  <c r="A4044" i="5"/>
  <c r="H4044" i="5"/>
  <c r="G4044" i="5"/>
  <c r="B3360" i="5"/>
  <c r="A3360" i="5"/>
  <c r="H3360" i="5"/>
  <c r="G3360" i="5"/>
  <c r="A377" i="5"/>
  <c r="B377" i="5"/>
  <c r="H377" i="5"/>
  <c r="G377" i="5"/>
  <c r="B810" i="5"/>
  <c r="A810" i="5"/>
  <c r="H810" i="5"/>
  <c r="G810" i="5"/>
  <c r="B2544" i="5"/>
  <c r="A2544" i="5"/>
  <c r="H2544" i="5"/>
  <c r="G2544" i="5"/>
  <c r="B4368" i="5"/>
  <c r="A4368" i="5"/>
  <c r="G4368" i="5"/>
  <c r="H4368" i="5"/>
  <c r="A387" i="5"/>
  <c r="B387" i="5"/>
  <c r="H387" i="5"/>
  <c r="G387" i="5"/>
  <c r="B3919" i="5"/>
  <c r="A3919" i="5"/>
  <c r="H3919" i="5"/>
  <c r="G3919" i="5"/>
  <c r="B463" i="5"/>
  <c r="A463" i="5"/>
  <c r="H463" i="5"/>
  <c r="G463" i="5"/>
  <c r="B2978" i="5"/>
  <c r="A2978" i="5"/>
  <c r="H2978" i="5"/>
  <c r="G2978" i="5"/>
  <c r="B2022" i="5"/>
  <c r="A2022" i="5"/>
  <c r="G2022" i="5"/>
  <c r="H2022" i="5"/>
  <c r="B3717" i="5"/>
  <c r="A3717" i="5"/>
  <c r="H3717" i="5"/>
  <c r="G3717" i="5"/>
  <c r="A1097" i="5"/>
  <c r="B1097" i="5"/>
  <c r="G1097" i="5"/>
  <c r="H1097" i="5"/>
  <c r="B3184" i="5"/>
  <c r="A3184" i="5"/>
  <c r="H3184" i="5"/>
  <c r="G3184" i="5"/>
  <c r="B2160" i="5"/>
  <c r="A2160" i="5"/>
  <c r="H2160" i="5"/>
  <c r="G2160" i="5"/>
  <c r="B1156" i="5"/>
  <c r="A1156" i="5"/>
  <c r="H1156" i="5"/>
  <c r="G1156" i="5"/>
  <c r="A2947" i="5"/>
  <c r="B2947" i="5"/>
  <c r="H2947" i="5"/>
  <c r="G2947" i="5"/>
  <c r="B115" i="5"/>
  <c r="A115" i="5"/>
  <c r="H115" i="5"/>
  <c r="G115" i="5"/>
  <c r="A1476" i="5"/>
  <c r="B1476" i="5"/>
  <c r="H1476" i="5"/>
  <c r="G1476" i="5"/>
  <c r="B4450" i="5"/>
  <c r="A4450" i="5"/>
  <c r="G4450" i="5"/>
  <c r="H4450" i="5"/>
  <c r="B2385" i="5"/>
  <c r="A2385" i="5"/>
  <c r="G2385" i="5"/>
  <c r="H2385" i="5"/>
  <c r="B2267" i="5"/>
  <c r="A2267" i="5"/>
  <c r="H2267" i="5"/>
  <c r="G2267" i="5"/>
  <c r="B2516" i="5"/>
  <c r="A2516" i="5"/>
  <c r="G2516" i="5"/>
  <c r="H2516" i="5"/>
  <c r="B1236" i="5"/>
  <c r="A1236" i="5"/>
  <c r="H1236" i="5"/>
  <c r="G1236" i="5"/>
  <c r="B2481" i="5"/>
  <c r="A2481" i="5"/>
  <c r="G2481" i="5"/>
  <c r="H2481" i="5"/>
  <c r="B1195" i="5"/>
  <c r="A1195" i="5"/>
  <c r="H1195" i="5"/>
  <c r="G1195" i="5"/>
  <c r="B1708" i="5"/>
  <c r="A1708" i="5"/>
  <c r="H1708" i="5"/>
  <c r="G1708" i="5"/>
  <c r="A4122" i="5"/>
  <c r="B4122" i="5"/>
  <c r="G4122" i="5"/>
  <c r="H4122" i="5"/>
  <c r="B3927" i="5"/>
  <c r="A3927" i="5"/>
  <c r="H3927" i="5"/>
  <c r="G3927" i="5"/>
  <c r="B3708" i="5"/>
  <c r="A3708" i="5"/>
  <c r="G3708" i="5"/>
  <c r="H3708" i="5"/>
  <c r="A3488" i="5"/>
  <c r="B3488" i="5"/>
  <c r="G3488" i="5"/>
  <c r="H3488" i="5"/>
  <c r="B4344" i="5"/>
  <c r="A4344" i="5"/>
  <c r="G4344" i="5"/>
  <c r="H4344" i="5"/>
  <c r="B3839" i="5"/>
  <c r="A3839" i="5"/>
  <c r="G3839" i="5"/>
  <c r="H3839" i="5"/>
  <c r="B1750" i="5"/>
  <c r="A1750" i="5"/>
  <c r="G1750" i="5"/>
  <c r="H1750" i="5"/>
  <c r="A3951" i="5"/>
  <c r="B3951" i="5"/>
  <c r="H3951" i="5"/>
  <c r="G3951" i="5"/>
  <c r="B754" i="5"/>
  <c r="A754" i="5"/>
  <c r="G754" i="5"/>
  <c r="H754" i="5"/>
  <c r="B2307" i="5"/>
  <c r="A2307" i="5"/>
  <c r="G2307" i="5"/>
  <c r="H2307" i="5"/>
  <c r="B1326" i="5"/>
  <c r="A1326" i="5"/>
  <c r="G1326" i="5"/>
  <c r="H1326" i="5"/>
  <c r="A706" i="5"/>
  <c r="B706" i="5"/>
  <c r="G706" i="5"/>
  <c r="H706" i="5"/>
  <c r="B711" i="5"/>
  <c r="A711" i="5"/>
  <c r="H711" i="5"/>
  <c r="G711" i="5"/>
  <c r="B1992" i="5"/>
  <c r="A1992" i="5"/>
  <c r="G1992" i="5"/>
  <c r="H1992" i="5"/>
  <c r="B1114" i="5"/>
  <c r="A1114" i="5"/>
  <c r="H1114" i="5"/>
  <c r="G1114" i="5"/>
  <c r="B4451" i="5"/>
  <c r="A4451" i="5"/>
  <c r="H4451" i="5"/>
  <c r="G4451" i="5"/>
  <c r="B1024" i="5"/>
  <c r="A1024" i="5"/>
  <c r="H1024" i="5"/>
  <c r="G1024" i="5"/>
  <c r="B1429" i="5"/>
  <c r="A1429" i="5"/>
  <c r="H1429" i="5"/>
  <c r="G1429" i="5"/>
  <c r="A2046" i="5"/>
  <c r="B2046" i="5"/>
  <c r="H2046" i="5"/>
  <c r="G2046" i="5"/>
  <c r="B4410" i="5"/>
  <c r="A4410" i="5"/>
  <c r="H4410" i="5"/>
  <c r="G4410" i="5"/>
  <c r="A2015" i="5"/>
  <c r="B2015" i="5"/>
  <c r="H2015" i="5"/>
  <c r="G2015" i="5"/>
  <c r="B3414" i="5"/>
  <c r="A3414" i="5"/>
  <c r="G3414" i="5"/>
  <c r="H3414" i="5"/>
  <c r="B3939" i="5"/>
  <c r="A3939" i="5"/>
  <c r="G3939" i="5"/>
  <c r="H3939" i="5"/>
  <c r="B4116" i="5"/>
  <c r="A4116" i="5"/>
  <c r="G4116" i="5"/>
  <c r="H4116" i="5"/>
  <c r="B129" i="5"/>
  <c r="A129" i="5"/>
  <c r="G129" i="5"/>
  <c r="H129" i="5"/>
  <c r="A1401" i="5"/>
  <c r="B1401" i="5"/>
  <c r="H1401" i="5"/>
  <c r="G1401" i="5"/>
  <c r="B3965" i="5"/>
  <c r="A3965" i="5"/>
  <c r="G3965" i="5"/>
  <c r="H3965" i="5"/>
  <c r="B1695" i="5"/>
  <c r="A1695" i="5"/>
  <c r="G1695" i="5"/>
  <c r="H1695" i="5"/>
  <c r="B1068" i="5"/>
  <c r="A1068" i="5"/>
  <c r="H1068" i="5"/>
  <c r="G1068" i="5"/>
  <c r="B4206" i="5"/>
  <c r="A4206" i="5"/>
  <c r="H4206" i="5"/>
  <c r="G4206" i="5"/>
  <c r="B3978" i="5"/>
  <c r="A3978" i="5"/>
  <c r="H3978" i="5"/>
  <c r="G3978" i="5"/>
  <c r="B1138" i="5"/>
  <c r="A1138" i="5"/>
  <c r="H1138" i="5"/>
  <c r="G1138" i="5"/>
  <c r="B3934" i="5"/>
  <c r="A1266" i="5"/>
  <c r="B1266" i="5"/>
  <c r="H1266" i="5"/>
  <c r="G1266" i="5"/>
  <c r="B4180" i="5"/>
  <c r="A4180" i="5"/>
  <c r="G4180" i="5"/>
  <c r="H4180" i="5"/>
  <c r="B13" i="5"/>
  <c r="A13" i="5"/>
  <c r="G13" i="5"/>
  <c r="H13" i="5"/>
  <c r="B4290" i="5"/>
  <c r="A4290" i="5"/>
  <c r="H4290" i="5"/>
  <c r="G4290" i="5"/>
  <c r="B656" i="5"/>
  <c r="A656" i="5"/>
  <c r="G656" i="5"/>
  <c r="H656" i="5"/>
  <c r="B3111" i="5"/>
  <c r="A3111" i="5"/>
  <c r="G3111" i="5"/>
  <c r="H3111" i="5"/>
  <c r="B184" i="5"/>
  <c r="A184" i="5"/>
  <c r="H184" i="5"/>
  <c r="G184" i="5"/>
  <c r="A3793" i="5"/>
  <c r="B3793" i="5"/>
  <c r="G3793" i="5"/>
  <c r="H3793" i="5"/>
  <c r="B1772" i="5"/>
  <c r="A1772" i="5"/>
  <c r="G1772" i="5"/>
  <c r="H1772" i="5"/>
  <c r="B824" i="5"/>
  <c r="A824" i="5"/>
  <c r="H824" i="5"/>
  <c r="G824" i="5"/>
  <c r="B639" i="5"/>
  <c r="A639" i="5"/>
  <c r="G639" i="5"/>
  <c r="H639" i="5"/>
  <c r="A76" i="5"/>
  <c r="B76" i="5"/>
  <c r="H76" i="5"/>
  <c r="G76" i="5"/>
  <c r="B2973" i="5"/>
  <c r="A2973" i="5"/>
  <c r="G2973" i="5"/>
  <c r="H2973" i="5"/>
  <c r="B3758" i="5"/>
  <c r="A3758" i="5"/>
  <c r="G3758" i="5"/>
  <c r="H3758" i="5"/>
  <c r="A4395" i="5"/>
  <c r="B4395" i="5"/>
  <c r="H4395" i="5"/>
  <c r="G4395" i="5"/>
  <c r="B921" i="5"/>
  <c r="A921" i="5"/>
  <c r="G921" i="5"/>
  <c r="H921" i="5"/>
  <c r="G1015" i="5"/>
  <c r="A1015" i="5"/>
  <c r="B1015" i="5"/>
  <c r="H1015" i="5"/>
  <c r="B4089" i="5"/>
  <c r="A4089" i="5"/>
  <c r="G4089" i="5"/>
  <c r="H4089" i="5"/>
  <c r="B734" i="5"/>
  <c r="A734" i="5"/>
  <c r="G734" i="5"/>
  <c r="H734" i="5"/>
  <c r="B2995" i="5"/>
  <c r="A2995" i="5"/>
  <c r="H2995" i="5"/>
  <c r="G2995" i="5"/>
  <c r="B396" i="5"/>
  <c r="A396" i="5"/>
  <c r="G396" i="5"/>
  <c r="H396" i="5"/>
  <c r="B2274" i="5"/>
  <c r="A2274" i="5"/>
  <c r="G2274" i="5"/>
  <c r="H2274" i="5"/>
  <c r="B795" i="5"/>
  <c r="A795" i="5"/>
  <c r="H795" i="5"/>
  <c r="G795" i="5"/>
  <c r="B552" i="5"/>
  <c r="A552" i="5"/>
  <c r="H552" i="5"/>
  <c r="G552" i="5"/>
  <c r="B2577" i="5"/>
  <c r="A2577" i="5"/>
  <c r="H2577" i="5"/>
  <c r="G2577" i="5"/>
  <c r="B2650" i="5"/>
  <c r="A2650" i="5"/>
  <c r="H2650" i="5"/>
  <c r="G2650" i="5"/>
  <c r="B1661" i="5"/>
  <c r="A1661" i="5"/>
  <c r="G1661" i="5"/>
  <c r="H1661" i="5"/>
  <c r="B31" i="5"/>
  <c r="A31" i="5"/>
  <c r="H31" i="5"/>
  <c r="G31" i="5"/>
  <c r="B3876" i="5"/>
  <c r="A3876" i="5"/>
  <c r="G3876" i="5"/>
  <c r="H3876" i="5"/>
  <c r="B4074" i="5"/>
  <c r="A4074" i="5"/>
  <c r="H4074" i="5"/>
  <c r="G4074" i="5"/>
  <c r="B2119" i="5"/>
  <c r="A2119" i="5"/>
  <c r="G2119" i="5"/>
  <c r="H2119" i="5"/>
  <c r="B493" i="5"/>
  <c r="A493" i="5"/>
  <c r="H493" i="5"/>
  <c r="G493" i="5"/>
  <c r="B2150" i="5"/>
  <c r="A2150" i="5"/>
  <c r="G2150" i="5"/>
  <c r="H2150" i="5"/>
  <c r="B3334" i="5"/>
  <c r="A3334" i="5"/>
  <c r="H3334" i="5"/>
  <c r="G3334" i="5"/>
  <c r="A485" i="5"/>
  <c r="B485" i="5"/>
  <c r="H485" i="5"/>
  <c r="G485" i="5"/>
  <c r="B3283" i="5"/>
  <c r="A3283" i="5"/>
  <c r="H3283" i="5"/>
  <c r="G3283" i="5"/>
  <c r="A51" i="5"/>
  <c r="B51" i="5"/>
  <c r="G51" i="5"/>
  <c r="H51" i="5"/>
  <c r="B1175" i="5"/>
  <c r="A1175" i="5"/>
  <c r="H1175" i="5"/>
  <c r="G1175" i="5"/>
  <c r="B3423" i="5"/>
  <c r="A3423" i="5"/>
  <c r="G3423" i="5"/>
  <c r="H3423" i="5"/>
  <c r="B291" i="5"/>
  <c r="A291" i="5"/>
  <c r="H291" i="5"/>
  <c r="G291" i="5"/>
  <c r="B3756" i="5"/>
  <c r="A3756" i="5"/>
  <c r="G3756" i="5"/>
  <c r="H3756" i="5"/>
  <c r="B315" i="5"/>
  <c r="A315" i="5"/>
  <c r="H315" i="5"/>
  <c r="G315" i="5"/>
  <c r="A88" i="5"/>
  <c r="B88" i="5"/>
  <c r="H88" i="5"/>
  <c r="G88" i="5"/>
  <c r="B1399" i="5"/>
  <c r="A1399" i="5"/>
  <c r="H1399" i="5"/>
  <c r="G1399" i="5"/>
  <c r="B140" i="5"/>
  <c r="A140" i="5"/>
  <c r="H140" i="5"/>
  <c r="G140" i="5"/>
  <c r="A3028" i="5"/>
  <c r="B3028" i="5"/>
  <c r="H3028" i="5"/>
  <c r="G3028" i="5"/>
  <c r="A2595" i="5"/>
  <c r="B2595" i="5"/>
  <c r="H2595" i="5"/>
  <c r="G2595" i="5"/>
  <c r="B1061" i="5"/>
  <c r="A1061" i="5"/>
  <c r="H1061" i="5"/>
  <c r="G1061" i="5"/>
  <c r="B2497" i="5"/>
  <c r="A2497" i="5"/>
  <c r="G2497" i="5"/>
  <c r="H2497" i="5"/>
  <c r="A1002" i="5"/>
  <c r="B1002" i="5"/>
  <c r="G1002" i="5"/>
  <c r="H1002" i="5"/>
  <c r="B1147" i="5"/>
  <c r="A1147" i="5"/>
  <c r="H1147" i="5"/>
  <c r="G1147" i="5"/>
  <c r="B2231" i="5"/>
  <c r="A2231" i="5"/>
  <c r="H2231" i="5"/>
  <c r="G2231" i="5"/>
  <c r="A1845" i="5"/>
  <c r="B1845" i="5"/>
  <c r="G1845" i="5"/>
  <c r="H1845" i="5"/>
  <c r="B2582" i="5"/>
  <c r="A2582" i="5"/>
  <c r="G2582" i="5"/>
  <c r="H2582" i="5"/>
  <c r="B3676" i="5"/>
  <c r="A3676" i="5"/>
  <c r="G3676" i="5"/>
  <c r="H3676" i="5"/>
  <c r="B3126" i="5"/>
  <c r="A3126" i="5"/>
  <c r="H3126" i="5"/>
  <c r="G3126" i="5"/>
  <c r="B4308" i="5"/>
  <c r="A4308" i="5"/>
  <c r="H4308" i="5"/>
  <c r="G4308" i="5"/>
  <c r="B97" i="5"/>
  <c r="A97" i="5"/>
  <c r="H97" i="5"/>
  <c r="G97" i="5"/>
  <c r="A3310" i="5"/>
  <c r="B3310" i="5"/>
  <c r="G3310" i="5"/>
  <c r="H3310" i="5"/>
  <c r="B2553" i="5"/>
  <c r="A2553" i="5"/>
  <c r="G2553" i="5"/>
  <c r="H2553" i="5"/>
  <c r="A3138" i="5"/>
  <c r="B3138" i="5"/>
  <c r="H3138" i="5"/>
  <c r="G3138" i="5"/>
  <c r="B201" i="5"/>
  <c r="A201" i="5"/>
  <c r="H201" i="5"/>
  <c r="G201" i="5"/>
  <c r="A294" i="5"/>
  <c r="B294" i="5"/>
  <c r="G294" i="5"/>
  <c r="H294" i="5"/>
  <c r="A3425" i="5"/>
  <c r="B3425" i="5"/>
  <c r="H3425" i="5"/>
  <c r="G3425" i="5"/>
  <c r="B4094" i="5"/>
  <c r="A4094" i="5"/>
  <c r="G4094" i="5"/>
  <c r="H4094" i="5"/>
  <c r="B729" i="5"/>
  <c r="A729" i="5"/>
  <c r="H729" i="5"/>
  <c r="G729" i="5"/>
  <c r="A2696" i="5"/>
  <c r="B2696" i="5"/>
  <c r="H2696" i="5"/>
  <c r="G2696" i="5"/>
  <c r="B990" i="5"/>
  <c r="A990" i="5"/>
  <c r="H990" i="5"/>
  <c r="G990" i="5"/>
  <c r="B663" i="5"/>
  <c r="A663" i="5"/>
  <c r="H663" i="5"/>
  <c r="G663" i="5"/>
  <c r="B1184" i="5"/>
  <c r="A1184" i="5"/>
  <c r="H1184" i="5"/>
  <c r="G1184" i="5"/>
  <c r="B221" i="5"/>
  <c r="A221" i="5"/>
  <c r="H221" i="5"/>
  <c r="G221" i="5"/>
  <c r="B2005" i="5"/>
  <c r="A2005" i="5"/>
  <c r="G2005" i="5"/>
  <c r="H2005" i="5"/>
  <c r="B1797" i="5"/>
  <c r="A1797" i="5"/>
  <c r="H1797" i="5"/>
  <c r="G1797" i="5"/>
  <c r="B1893" i="5"/>
  <c r="A1893" i="5"/>
  <c r="G1893" i="5"/>
  <c r="H1893" i="5"/>
  <c r="A2961" i="5"/>
  <c r="B2961" i="5"/>
  <c r="H2961" i="5"/>
  <c r="G2961" i="5"/>
  <c r="B3005" i="5"/>
  <c r="A3005" i="5"/>
  <c r="G3005" i="5"/>
  <c r="H3005" i="5"/>
  <c r="B3645" i="5"/>
  <c r="A3645" i="5"/>
  <c r="G3645" i="5"/>
  <c r="H3645" i="5"/>
  <c r="B512" i="5"/>
  <c r="A512" i="5"/>
  <c r="H512" i="5"/>
  <c r="G512" i="5"/>
  <c r="B340" i="5"/>
  <c r="A340" i="5"/>
  <c r="H340" i="5"/>
  <c r="G340" i="5"/>
  <c r="A3204" i="5"/>
  <c r="B3204" i="5"/>
  <c r="H3204" i="5"/>
  <c r="G3204" i="5"/>
  <c r="B1241" i="5"/>
  <c r="A1241" i="5"/>
  <c r="H1241" i="5"/>
  <c r="G1241" i="5"/>
  <c r="B2248" i="5"/>
  <c r="A2248" i="5"/>
  <c r="H2248" i="5"/>
  <c r="G2248" i="5"/>
  <c r="B3885" i="5"/>
  <c r="A3885" i="5"/>
  <c r="G3885" i="5"/>
  <c r="H3885" i="5"/>
  <c r="B3543" i="5"/>
  <c r="A3543" i="5"/>
  <c r="H3543" i="5"/>
  <c r="G3543" i="5"/>
  <c r="B628" i="5"/>
  <c r="A628" i="5"/>
  <c r="H628" i="5"/>
  <c r="G628" i="5"/>
  <c r="A1877" i="5"/>
  <c r="B1877" i="5"/>
  <c r="H1877" i="5"/>
  <c r="G1877" i="5"/>
  <c r="B1050" i="5"/>
  <c r="A1050" i="5"/>
  <c r="G1050" i="5"/>
  <c r="H1050" i="5"/>
  <c r="B1624" i="5"/>
  <c r="A1624" i="5"/>
  <c r="H1624" i="5"/>
  <c r="G1624" i="5"/>
  <c r="A48" i="5"/>
  <c r="B48" i="5"/>
  <c r="H48" i="5"/>
  <c r="G48" i="5"/>
  <c r="B779" i="5"/>
  <c r="A779" i="5"/>
  <c r="H779" i="5"/>
  <c r="G779" i="5"/>
  <c r="A1277" i="5"/>
  <c r="B1277" i="5"/>
  <c r="G1277" i="5"/>
  <c r="H1277" i="5"/>
  <c r="B2470" i="5"/>
  <c r="A2470" i="5"/>
  <c r="H2470" i="5"/>
  <c r="G2470" i="5"/>
  <c r="B39" i="5"/>
  <c r="A39" i="5"/>
  <c r="H39" i="5"/>
  <c r="G39" i="5"/>
  <c r="A620" i="5"/>
  <c r="B620" i="5"/>
  <c r="H620" i="5"/>
  <c r="G620" i="5"/>
  <c r="G1591" i="5"/>
  <c r="B1591" i="5"/>
  <c r="A1591" i="5"/>
  <c r="H1591" i="5"/>
  <c r="A3342" i="5"/>
  <c r="B3342" i="5"/>
  <c r="H3342" i="5"/>
  <c r="G3342" i="5"/>
  <c r="B1041" i="5"/>
  <c r="A1041" i="5"/>
  <c r="G1041" i="5"/>
  <c r="H1041" i="5"/>
  <c r="B1524" i="5"/>
  <c r="A1524" i="5"/>
  <c r="H1524" i="5"/>
  <c r="G1524" i="5"/>
  <c r="B3984" i="5"/>
  <c r="A3984" i="5"/>
  <c r="H3984" i="5"/>
  <c r="G3984" i="5"/>
  <c r="B4302" i="5"/>
  <c r="A4302" i="5"/>
  <c r="H4302" i="5"/>
  <c r="G4302" i="5"/>
  <c r="A1607" i="5"/>
  <c r="B1607" i="5"/>
  <c r="H1607" i="5"/>
  <c r="G1607" i="5"/>
  <c r="B1825" i="5"/>
  <c r="A1825" i="5"/>
  <c r="H1825" i="5"/>
  <c r="G1825" i="5"/>
  <c r="B3325" i="5"/>
  <c r="A3325" i="5"/>
  <c r="H3325" i="5"/>
  <c r="G3325" i="5"/>
  <c r="B798" i="5"/>
  <c r="A798" i="5"/>
  <c r="H798" i="5"/>
  <c r="G798" i="5"/>
  <c r="B2237" i="5"/>
  <c r="A2237" i="5"/>
  <c r="H2237" i="5"/>
  <c r="G2237" i="5"/>
  <c r="B3527" i="5"/>
  <c r="A3527" i="5"/>
  <c r="H3527" i="5"/>
  <c r="G3527" i="5"/>
  <c r="B4379" i="5"/>
  <c r="A4379" i="5"/>
  <c r="G4379" i="5"/>
  <c r="H4379" i="5"/>
  <c r="A4318" i="5"/>
  <c r="B4318" i="5"/>
  <c r="G4318" i="5"/>
  <c r="H4318" i="5"/>
  <c r="B2299" i="5"/>
  <c r="A2299" i="5"/>
  <c r="H2299" i="5"/>
  <c r="G2299" i="5"/>
  <c r="B1646" i="5"/>
  <c r="A1646" i="5"/>
  <c r="G1646" i="5"/>
  <c r="H1646" i="5"/>
  <c r="A132" i="5"/>
  <c r="B132" i="5"/>
  <c r="H132" i="5"/>
  <c r="G132" i="5"/>
  <c r="B558" i="5"/>
  <c r="A558" i="5"/>
  <c r="H558" i="5"/>
  <c r="G558" i="5"/>
  <c r="B4436" i="5"/>
  <c r="A4436" i="5"/>
  <c r="G4436" i="5"/>
  <c r="H4436" i="5"/>
  <c r="B2096" i="5"/>
  <c r="A2096" i="5"/>
  <c r="G2096" i="5"/>
  <c r="H2096" i="5"/>
  <c r="B1762" i="5"/>
  <c r="A1762" i="5"/>
  <c r="H1762" i="5"/>
  <c r="G1762" i="5"/>
  <c r="B205" i="5"/>
  <c r="A205" i="5"/>
  <c r="H205" i="5"/>
  <c r="G205" i="5"/>
  <c r="A1857" i="5"/>
  <c r="B1857" i="5"/>
  <c r="H1857" i="5"/>
  <c r="G1857" i="5"/>
  <c r="B303" i="5"/>
  <c r="A303" i="5"/>
  <c r="H303" i="5"/>
  <c r="G303" i="5"/>
  <c r="B2079" i="5"/>
  <c r="A2079" i="5"/>
  <c r="H2079" i="5"/>
  <c r="G2079" i="5"/>
  <c r="B1106" i="5"/>
  <c r="A1106" i="5"/>
  <c r="H1106" i="5"/>
  <c r="G1106" i="5"/>
  <c r="B1445" i="5"/>
  <c r="A1445" i="5"/>
  <c r="H1445" i="5"/>
  <c r="G1445" i="5"/>
  <c r="B2437" i="5"/>
  <c r="A2437" i="5"/>
  <c r="H2437" i="5"/>
  <c r="G2437" i="5"/>
  <c r="A170" i="5"/>
  <c r="B170" i="5"/>
  <c r="H170" i="5"/>
  <c r="G170" i="5"/>
  <c r="A1382" i="5"/>
  <c r="B1382" i="5"/>
  <c r="H1382" i="5"/>
  <c r="G1382" i="5"/>
  <c r="B2635" i="5"/>
  <c r="A2635" i="5"/>
  <c r="H2635" i="5"/>
  <c r="G2635" i="5"/>
  <c r="B427" i="5"/>
  <c r="A427" i="5"/>
  <c r="H427" i="5"/>
  <c r="G427" i="5"/>
  <c r="B2686" i="5"/>
  <c r="A2686" i="5"/>
  <c r="H2686" i="5"/>
  <c r="G2686" i="5"/>
  <c r="B2454" i="5"/>
  <c r="A2454" i="5"/>
  <c r="G2454" i="5"/>
  <c r="H2454" i="5"/>
  <c r="B4056" i="5"/>
  <c r="A4056" i="5"/>
  <c r="G4056" i="5"/>
  <c r="H4056" i="5"/>
  <c r="A4101" i="5"/>
  <c r="B4101" i="5"/>
  <c r="H4101" i="5"/>
  <c r="G4101" i="5"/>
  <c r="A435" i="5"/>
  <c r="B435" i="5"/>
  <c r="H435" i="5"/>
  <c r="G435" i="5"/>
  <c r="B951" i="5"/>
  <c r="A951" i="5"/>
  <c r="H951" i="5"/>
  <c r="G951" i="5"/>
  <c r="B2452" i="5"/>
  <c r="A2452" i="5"/>
  <c r="H2452" i="5"/>
  <c r="G2452" i="5"/>
  <c r="A3018" i="5"/>
  <c r="B3018" i="5"/>
  <c r="G3018" i="5"/>
  <c r="H3018" i="5"/>
  <c r="B3732" i="5"/>
  <c r="A3732" i="5"/>
  <c r="H3732" i="5"/>
  <c r="G3732" i="5"/>
  <c r="B4264" i="5"/>
  <c r="A4264" i="5"/>
  <c r="G4264" i="5"/>
  <c r="H4264" i="5"/>
  <c r="B4253" i="5"/>
  <c r="A4253" i="5"/>
  <c r="G4253" i="5"/>
  <c r="H4253" i="5"/>
  <c r="B1638" i="5"/>
  <c r="A1638" i="5"/>
  <c r="H1638" i="5"/>
  <c r="G1638" i="5"/>
  <c r="B2370" i="5"/>
  <c r="A2370" i="5"/>
  <c r="H2370" i="5"/>
  <c r="G2370" i="5"/>
  <c r="B3091" i="5"/>
  <c r="A3091" i="5"/>
  <c r="H3091" i="5"/>
  <c r="G3091" i="5"/>
  <c r="B1967" i="5"/>
  <c r="A1967" i="5"/>
  <c r="H1967" i="5"/>
  <c r="G1967" i="5"/>
  <c r="B684" i="5"/>
  <c r="A684" i="5"/>
  <c r="H684" i="5"/>
  <c r="G684" i="5"/>
  <c r="B3578" i="5"/>
  <c r="A3578" i="5"/>
  <c r="G3578" i="5"/>
  <c r="H3578" i="5"/>
  <c r="B585" i="5"/>
  <c r="A585" i="5"/>
  <c r="G585" i="5"/>
  <c r="H585" i="5"/>
  <c r="B2956" i="5"/>
  <c r="A2956" i="5"/>
  <c r="H2956" i="5"/>
  <c r="G2956" i="5"/>
  <c r="A232" i="5"/>
  <c r="B232" i="5"/>
  <c r="H232" i="5"/>
  <c r="G232" i="5"/>
  <c r="A2822" i="5"/>
  <c r="B2822" i="5"/>
  <c r="H2822" i="5"/>
  <c r="G2822" i="5"/>
  <c r="B3303" i="5"/>
  <c r="A3303" i="5"/>
  <c r="G3303" i="5"/>
  <c r="H3303" i="5"/>
  <c r="B1335" i="5"/>
  <c r="A1335" i="5"/>
  <c r="H1335" i="5"/>
  <c r="G1335" i="5"/>
  <c r="B359" i="5"/>
  <c r="A359" i="5"/>
  <c r="G359" i="5"/>
  <c r="H359" i="5"/>
  <c r="B1557" i="5"/>
  <c r="A1557" i="5"/>
  <c r="G1557" i="5"/>
  <c r="H1557" i="5"/>
  <c r="B932" i="5"/>
  <c r="A932" i="5"/>
  <c r="H932" i="5"/>
  <c r="G932" i="5"/>
  <c r="B3210" i="5"/>
  <c r="A3210" i="5"/>
  <c r="H3210" i="5"/>
  <c r="G3210" i="5"/>
  <c r="B3597" i="5"/>
  <c r="A3597" i="5"/>
  <c r="H3597" i="5"/>
  <c r="G3597" i="5"/>
  <c r="B2731" i="5"/>
  <c r="A2731" i="5"/>
  <c r="G2731" i="5"/>
  <c r="H2731" i="5"/>
  <c r="A2627" i="5"/>
  <c r="B2627" i="5"/>
  <c r="H2627" i="5"/>
  <c r="G2627" i="5"/>
  <c r="B4157" i="5"/>
  <c r="A4157" i="5"/>
  <c r="H4157" i="5"/>
  <c r="G4157" i="5"/>
  <c r="A4353" i="5"/>
  <c r="B4353" i="5"/>
  <c r="G4353" i="5"/>
  <c r="H4353" i="5"/>
  <c r="B323" i="5"/>
  <c r="A323" i="5"/>
  <c r="H323" i="5"/>
  <c r="G323" i="5"/>
  <c r="B4128" i="5"/>
  <c r="A4128" i="5"/>
  <c r="H4128" i="5"/>
  <c r="G4128" i="5"/>
  <c r="B3396" i="5"/>
  <c r="A3396" i="5"/>
  <c r="H3396" i="5"/>
  <c r="G3396" i="5"/>
  <c r="B2051" i="5"/>
  <c r="A2051" i="5"/>
  <c r="G2051" i="5"/>
  <c r="H2051" i="5"/>
  <c r="B3796" i="5"/>
  <c r="A3796" i="5"/>
  <c r="G3796" i="5"/>
  <c r="H3796" i="5"/>
  <c r="B1220" i="5"/>
  <c r="A1220" i="5"/>
  <c r="H1220" i="5"/>
  <c r="G1220" i="5"/>
  <c r="B1356" i="5"/>
  <c r="A1356" i="5"/>
  <c r="H1356" i="5"/>
  <c r="G1356" i="5"/>
  <c r="B2831" i="5"/>
  <c r="A2831" i="5"/>
  <c r="G2831" i="5"/>
  <c r="H2831" i="5"/>
  <c r="B366" i="5"/>
  <c r="A366" i="5"/>
  <c r="H366" i="5"/>
  <c r="G366" i="5"/>
  <c r="B4146" i="5"/>
  <c r="A4146" i="5"/>
  <c r="G4146" i="5"/>
  <c r="H4146" i="5"/>
  <c r="B3900" i="5"/>
  <c r="A3900" i="5"/>
  <c r="H3900" i="5"/>
  <c r="G3900" i="5"/>
  <c r="B2654" i="5"/>
  <c r="A2654" i="5"/>
  <c r="H2654" i="5"/>
  <c r="G2654" i="5"/>
  <c r="A2034" i="5"/>
  <c r="B2034" i="5"/>
  <c r="G2034" i="5"/>
  <c r="H2034" i="5"/>
  <c r="A1913" i="5"/>
  <c r="B1913" i="5"/>
  <c r="G1913" i="5"/>
  <c r="H1913" i="5"/>
  <c r="B4478" i="5"/>
  <c r="A4478" i="5"/>
  <c r="H4478" i="5"/>
  <c r="G4478" i="5"/>
  <c r="B3039" i="5"/>
  <c r="A3039" i="5"/>
  <c r="H3039" i="5"/>
  <c r="G3039" i="5"/>
  <c r="B3406" i="5"/>
  <c r="A3406" i="5"/>
  <c r="G3406" i="5"/>
  <c r="H3406" i="5"/>
  <c r="B3819" i="5"/>
  <c r="A3819" i="5"/>
  <c r="H3819" i="5"/>
  <c r="G3819" i="5"/>
  <c r="B481" i="5"/>
  <c r="A481" i="5"/>
  <c r="H481" i="5"/>
  <c r="G481" i="5"/>
  <c r="A4461" i="5"/>
  <c r="B4461" i="5"/>
  <c r="G4461" i="5"/>
  <c r="H4461" i="5"/>
  <c r="A598" i="5"/>
  <c r="B598" i="5"/>
  <c r="G598" i="5"/>
  <c r="H598" i="5"/>
  <c r="B3263" i="5"/>
  <c r="A3263" i="5"/>
  <c r="H3263" i="5"/>
  <c r="G3263" i="5"/>
  <c r="A2505" i="5"/>
  <c r="B2505" i="5"/>
  <c r="H2505" i="5"/>
  <c r="G2505" i="5"/>
  <c r="A2923" i="5"/>
  <c r="B2923" i="5"/>
  <c r="H2923" i="5"/>
  <c r="G2923" i="5"/>
  <c r="A4031" i="5"/>
  <c r="B4031" i="5"/>
  <c r="G4031" i="5"/>
  <c r="H4031" i="5"/>
  <c r="B4018" i="5"/>
  <c r="A4018" i="5"/>
  <c r="H4018" i="5"/>
  <c r="G4018" i="5"/>
  <c r="B4494" i="5"/>
  <c r="A4494" i="5"/>
  <c r="G4494" i="5"/>
  <c r="H4494" i="5"/>
  <c r="B1572" i="5"/>
  <c r="A1572" i="5"/>
  <c r="H1572" i="5"/>
  <c r="G1572" i="5"/>
  <c r="B4374" i="5"/>
  <c r="A4374" i="5"/>
  <c r="G4374" i="5"/>
  <c r="H4374" i="5"/>
  <c r="B1340" i="5"/>
  <c r="A1340" i="5"/>
  <c r="H1340" i="5"/>
  <c r="G1340" i="5"/>
  <c r="B3274" i="5"/>
  <c r="A3274" i="5"/>
  <c r="H3274" i="5"/>
  <c r="G3274" i="5"/>
  <c r="B3696" i="5"/>
  <c r="A3696" i="5"/>
  <c r="G3696" i="5"/>
  <c r="H3696" i="5"/>
  <c r="B2285" i="5"/>
  <c r="A2285" i="5"/>
  <c r="H2285" i="5"/>
  <c r="G2285" i="5"/>
  <c r="B2227" i="5"/>
  <c r="A2227" i="5"/>
  <c r="G2227" i="5"/>
  <c r="H2227" i="5"/>
  <c r="B4327" i="5"/>
  <c r="A4327" i="5"/>
  <c r="G4327" i="5"/>
  <c r="H4327" i="5"/>
  <c r="B2085" i="5"/>
  <c r="A2085" i="5"/>
  <c r="H2085" i="5"/>
  <c r="G2085" i="5"/>
  <c r="B4469" i="5"/>
  <c r="A4469" i="5"/>
  <c r="H4469" i="5"/>
  <c r="G4469" i="5"/>
  <c r="B3506" i="5"/>
  <c r="A3506" i="5"/>
  <c r="H3506" i="5"/>
  <c r="G3506" i="5"/>
  <c r="B1080" i="5"/>
  <c r="A1080" i="5"/>
  <c r="H1080" i="5"/>
  <c r="G1080" i="5"/>
  <c r="B3060" i="5"/>
  <c r="A3060" i="5"/>
  <c r="H3060" i="5"/>
  <c r="G3060" i="5"/>
  <c r="A2193" i="5"/>
  <c r="B2193" i="5"/>
  <c r="H2193" i="5"/>
  <c r="G2193" i="5"/>
  <c r="B1250" i="5"/>
  <c r="A1250" i="5"/>
  <c r="H1250" i="5"/>
  <c r="G1250" i="5"/>
  <c r="B2745" i="5"/>
  <c r="A2745" i="5"/>
  <c r="G2745" i="5"/>
  <c r="H2745" i="5"/>
  <c r="B1907" i="5"/>
  <c r="A1907" i="5"/>
  <c r="H1907" i="5"/>
  <c r="G1907" i="5"/>
  <c r="A1005" i="5"/>
  <c r="B1005" i="5"/>
  <c r="G1005" i="5"/>
  <c r="H1005" i="5"/>
  <c r="B1718" i="5"/>
  <c r="A1718" i="5"/>
  <c r="H1718" i="5"/>
  <c r="G1718" i="5"/>
  <c r="B3803" i="5"/>
  <c r="A3803" i="5"/>
  <c r="H3803" i="5"/>
  <c r="G3803" i="5"/>
  <c r="B2175" i="5"/>
  <c r="A2175" i="5"/>
  <c r="H2175" i="5"/>
  <c r="G2175" i="5"/>
  <c r="B894" i="5"/>
  <c r="A894" i="5"/>
  <c r="G894" i="5"/>
  <c r="H894" i="5"/>
  <c r="B898" i="5"/>
  <c r="A898" i="5"/>
  <c r="H898" i="5"/>
  <c r="G898" i="5"/>
  <c r="B3372" i="5"/>
  <c r="A3372" i="5"/>
  <c r="G3372" i="5"/>
  <c r="H3372" i="5"/>
  <c r="B1565" i="5"/>
  <c r="A1565" i="5"/>
  <c r="H1565" i="5"/>
  <c r="G1565" i="5"/>
  <c r="B3199" i="5"/>
  <c r="A3199" i="5"/>
  <c r="H3199" i="5"/>
  <c r="G3199" i="5"/>
  <c r="A3518" i="5"/>
  <c r="B3518" i="5"/>
  <c r="G3518" i="5"/>
  <c r="H3518" i="5"/>
  <c r="A1654" i="5"/>
  <c r="B1654" i="5"/>
  <c r="H1654" i="5"/>
  <c r="G1654" i="5"/>
  <c r="B1501" i="5"/>
  <c r="A1501" i="5"/>
  <c r="H1501" i="5"/>
  <c r="G1501" i="5"/>
  <c r="B573" i="5"/>
  <c r="A573" i="5"/>
  <c r="H573" i="5"/>
  <c r="G573" i="5"/>
  <c r="B4189" i="5"/>
  <c r="A4189" i="5"/>
  <c r="G4189" i="5"/>
  <c r="H4189" i="5"/>
  <c r="B239" i="5"/>
  <c r="A239" i="5"/>
  <c r="H239" i="5"/>
  <c r="G239" i="5"/>
  <c r="A2933" i="5"/>
  <c r="B2933" i="5"/>
  <c r="G2933" i="5"/>
  <c r="H2933" i="5"/>
  <c r="B774" i="5"/>
  <c r="A774" i="5"/>
  <c r="G774" i="5"/>
  <c r="H774" i="5"/>
  <c r="A606" i="5"/>
  <c r="B606" i="5"/>
  <c r="G606" i="5"/>
  <c r="H606" i="5"/>
  <c r="B2718" i="5"/>
  <c r="A2718" i="5"/>
  <c r="H2718" i="5"/>
  <c r="G2718" i="5"/>
  <c r="A3688" i="5"/>
  <c r="B3688" i="5"/>
  <c r="G3688" i="5"/>
  <c r="H3688" i="5"/>
  <c r="B4003" i="5"/>
  <c r="A4003" i="5"/>
  <c r="H4003" i="5"/>
  <c r="G4003" i="5"/>
  <c r="B2426" i="5"/>
  <c r="A2426" i="5"/>
  <c r="H2426" i="5"/>
  <c r="G2426" i="5"/>
  <c r="B4224" i="5"/>
  <c r="A4224" i="5"/>
  <c r="G4224" i="5"/>
  <c r="H4224" i="5"/>
  <c r="B3050" i="5"/>
  <c r="A3050" i="5"/>
  <c r="G3050" i="5"/>
  <c r="H3050" i="5"/>
  <c r="A3480" i="5"/>
  <c r="B3480" i="5"/>
  <c r="G3480" i="5"/>
  <c r="H3480" i="5"/>
  <c r="B4251" i="5"/>
  <c r="A4251" i="5"/>
  <c r="H4251" i="5"/>
  <c r="G4251" i="5"/>
  <c r="B4503" i="5"/>
  <c r="A4503" i="5"/>
  <c r="H4503" i="5"/>
  <c r="G4503" i="5"/>
  <c r="B2606" i="5"/>
  <c r="A2606" i="5"/>
  <c r="H2606" i="5"/>
  <c r="G2606" i="5"/>
  <c r="B3248" i="5"/>
  <c r="A3248" i="5"/>
  <c r="H3248" i="5"/>
  <c r="G3248" i="5"/>
  <c r="A1160" i="5"/>
  <c r="B1160" i="5"/>
  <c r="G1160" i="5"/>
  <c r="H1160" i="5"/>
  <c r="B3357" i="5"/>
  <c r="A3357" i="5"/>
  <c r="H3357" i="5"/>
  <c r="G3357" i="5"/>
  <c r="A374" i="5"/>
  <c r="B374" i="5"/>
  <c r="H374" i="5"/>
  <c r="G374" i="5"/>
  <c r="B3383" i="5"/>
  <c r="A3383" i="5"/>
  <c r="H3383" i="5"/>
  <c r="G3383" i="5"/>
  <c r="B808" i="5"/>
  <c r="A808" i="5"/>
  <c r="G808" i="5"/>
  <c r="H808" i="5"/>
  <c r="B571" i="5"/>
  <c r="A571" i="5"/>
  <c r="H571" i="5"/>
  <c r="G571" i="5"/>
  <c r="B2551" i="5"/>
  <c r="A2551" i="5"/>
  <c r="H2551" i="5"/>
  <c r="G2551" i="5"/>
  <c r="A390" i="5"/>
  <c r="B390" i="5"/>
  <c r="H390" i="5"/>
  <c r="G390" i="5"/>
  <c r="A462" i="5"/>
  <c r="B462" i="5"/>
  <c r="G462" i="5"/>
  <c r="H462" i="5"/>
  <c r="B2976" i="5"/>
  <c r="A2976" i="5"/>
  <c r="G2976" i="5"/>
  <c r="H2976" i="5"/>
  <c r="A3777" i="5"/>
  <c r="B3777" i="5"/>
  <c r="G3777" i="5"/>
  <c r="H3777" i="5"/>
  <c r="B454" i="5"/>
  <c r="A454" i="5"/>
  <c r="G454" i="5"/>
  <c r="H454" i="5"/>
  <c r="B3627" i="5"/>
  <c r="A3627" i="5"/>
  <c r="H3627" i="5"/>
  <c r="G3627" i="5"/>
  <c r="A2021" i="5"/>
  <c r="B2021" i="5"/>
  <c r="H2021" i="5"/>
  <c r="G2021" i="5"/>
  <c r="B2375" i="5"/>
  <c r="A2375" i="5"/>
  <c r="G2375" i="5"/>
  <c r="H2375" i="5"/>
  <c r="B1094" i="5"/>
  <c r="A1094" i="5"/>
  <c r="H1094" i="5"/>
  <c r="G1094" i="5"/>
  <c r="B3183" i="5"/>
  <c r="A3183" i="5"/>
  <c r="H3183" i="5"/>
  <c r="G3183" i="5"/>
  <c r="A2157" i="5"/>
  <c r="B2157" i="5"/>
  <c r="G2157" i="5"/>
  <c r="H2157" i="5"/>
  <c r="B2942" i="5"/>
  <c r="A2942" i="5"/>
  <c r="H2942" i="5"/>
  <c r="G2942" i="5"/>
  <c r="B114" i="5"/>
  <c r="A114" i="5"/>
  <c r="H114" i="5"/>
  <c r="G114" i="5"/>
  <c r="B3677" i="5"/>
  <c r="A3677" i="5"/>
  <c r="H3677" i="5"/>
  <c r="G3677" i="5"/>
  <c r="B1473" i="5"/>
  <c r="A1473" i="5"/>
  <c r="G1473" i="5"/>
  <c r="H1473" i="5"/>
  <c r="B908" i="5"/>
  <c r="A908" i="5"/>
  <c r="H908" i="5"/>
  <c r="G908" i="5"/>
  <c r="B2388" i="5"/>
  <c r="A2388" i="5"/>
  <c r="H2388" i="5"/>
  <c r="G2388" i="5"/>
  <c r="A2265" i="5"/>
  <c r="B2265" i="5"/>
  <c r="G2265" i="5"/>
  <c r="H2265" i="5"/>
  <c r="B1232" i="5"/>
  <c r="A1232" i="5"/>
  <c r="G1232" i="5"/>
  <c r="H1232" i="5"/>
  <c r="B2484" i="5"/>
  <c r="A2484" i="5"/>
  <c r="G2484" i="5"/>
  <c r="H2484" i="5"/>
  <c r="B1200" i="5"/>
  <c r="A1200" i="5"/>
  <c r="G1200" i="5"/>
  <c r="H1200" i="5"/>
  <c r="A1713" i="5"/>
  <c r="B1713" i="5"/>
  <c r="G1713" i="5"/>
  <c r="H1713" i="5"/>
  <c r="B3905" i="5"/>
  <c r="A3905" i="5"/>
  <c r="G3905" i="5"/>
  <c r="H3905" i="5"/>
  <c r="B3477" i="5"/>
  <c r="A3477" i="5"/>
  <c r="H3477" i="5"/>
  <c r="G3477" i="5"/>
  <c r="B4121" i="5"/>
  <c r="A4121" i="5"/>
  <c r="H4121" i="5"/>
  <c r="G4121" i="5"/>
  <c r="B1353" i="5"/>
  <c r="A1353" i="5"/>
  <c r="H1353" i="5"/>
  <c r="G1353" i="5"/>
  <c r="A3712" i="5"/>
  <c r="B3712" i="5"/>
  <c r="H3712" i="5"/>
  <c r="G3712" i="5"/>
  <c r="B3496" i="5"/>
  <c r="A3496" i="5"/>
  <c r="G3496" i="5"/>
  <c r="H3496" i="5"/>
  <c r="B4351" i="5"/>
  <c r="A4351" i="5"/>
  <c r="G4351" i="5"/>
  <c r="H4351" i="5"/>
  <c r="A2739" i="5"/>
  <c r="B2739" i="5"/>
  <c r="G2739" i="5"/>
  <c r="H2739" i="5"/>
  <c r="B188" i="5"/>
  <c r="A188" i="5"/>
  <c r="H188" i="5"/>
  <c r="G188" i="5"/>
  <c r="H3845" i="5"/>
  <c r="A1746" i="5"/>
  <c r="B1746" i="5"/>
  <c r="H1746" i="5"/>
  <c r="G1746" i="5"/>
  <c r="B1461" i="5"/>
  <c r="A1461" i="5"/>
  <c r="G1461" i="5"/>
  <c r="H1461" i="5"/>
  <c r="B3950" i="5"/>
  <c r="A3950" i="5"/>
  <c r="H3950" i="5"/>
  <c r="G3950" i="5"/>
  <c r="B753" i="5"/>
  <c r="A753" i="5"/>
  <c r="H753" i="5"/>
  <c r="G753" i="5"/>
  <c r="B2300" i="5"/>
  <c r="A2300" i="5"/>
  <c r="H2300" i="5"/>
  <c r="G2300" i="5"/>
  <c r="B1319" i="5"/>
  <c r="A1319" i="5"/>
  <c r="H1319" i="5"/>
  <c r="G1319" i="5"/>
  <c r="A705" i="5"/>
  <c r="B705" i="5"/>
  <c r="H705" i="5"/>
  <c r="G705" i="5"/>
  <c r="B3591" i="5"/>
  <c r="A3591" i="5"/>
  <c r="H3591" i="5"/>
  <c r="G3591" i="5"/>
  <c r="B714" i="5"/>
  <c r="A714" i="5"/>
  <c r="H714" i="5"/>
  <c r="G714" i="5"/>
  <c r="B4458" i="5"/>
  <c r="A4458" i="5"/>
  <c r="G4458" i="5"/>
  <c r="H4458" i="5"/>
  <c r="B1029" i="5"/>
  <c r="A1029" i="5"/>
  <c r="G1029" i="5"/>
  <c r="H1029" i="5"/>
  <c r="A1428" i="5"/>
  <c r="B1428" i="5"/>
  <c r="H1428" i="5"/>
  <c r="G1428" i="5"/>
  <c r="B4409" i="5"/>
  <c r="A4409" i="5"/>
  <c r="H4409" i="5"/>
  <c r="G4409" i="5"/>
  <c r="B2014" i="5"/>
  <c r="A2014" i="5"/>
  <c r="G2014" i="5"/>
  <c r="H2014" i="5"/>
  <c r="B3938" i="5"/>
  <c r="A3938" i="5"/>
  <c r="H3938" i="5"/>
  <c r="G3938" i="5"/>
  <c r="B157" i="5"/>
  <c r="A157" i="5"/>
  <c r="G157" i="5"/>
  <c r="H157" i="5"/>
  <c r="B126" i="5"/>
  <c r="A126" i="5"/>
  <c r="H126" i="5"/>
  <c r="G126" i="5"/>
  <c r="B1408" i="5"/>
  <c r="A1408" i="5"/>
  <c r="H1408" i="5"/>
  <c r="G1408" i="5"/>
  <c r="B1067" i="5"/>
  <c r="A1067" i="5"/>
  <c r="G1067" i="5"/>
  <c r="H1067" i="5"/>
  <c r="B4203" i="5"/>
  <c r="A4203" i="5"/>
  <c r="H4203" i="5"/>
  <c r="G4203" i="5"/>
  <c r="B3977" i="5"/>
  <c r="A3977" i="5"/>
  <c r="H3977" i="5"/>
  <c r="G3977" i="5"/>
  <c r="A1134" i="5"/>
  <c r="B1134" i="5"/>
  <c r="G1134" i="5"/>
  <c r="H1134" i="5"/>
  <c r="A3931" i="5"/>
  <c r="B3931" i="5"/>
  <c r="H3931" i="5"/>
  <c r="G3931" i="5"/>
  <c r="B1267" i="5"/>
  <c r="A1267" i="5"/>
  <c r="H1267" i="5"/>
  <c r="G1267" i="5"/>
  <c r="B4179" i="5"/>
  <c r="A4179" i="5"/>
  <c r="G4179" i="5"/>
  <c r="H4179" i="5"/>
  <c r="B1256" i="5"/>
  <c r="A1256" i="5"/>
  <c r="H1256" i="5"/>
  <c r="G1256" i="5"/>
  <c r="B6" i="5"/>
  <c r="A6" i="5"/>
  <c r="H6" i="5"/>
  <c r="G6" i="5"/>
  <c r="B2894" i="5"/>
  <c r="A2894" i="5"/>
  <c r="H2894" i="5"/>
  <c r="G2894" i="5"/>
  <c r="B4289" i="5"/>
  <c r="A4289" i="5"/>
  <c r="H4289" i="5"/>
  <c r="G4289" i="5"/>
  <c r="B653" i="5"/>
  <c r="A653" i="5"/>
  <c r="H653" i="5"/>
  <c r="G653" i="5"/>
  <c r="B3110" i="5"/>
  <c r="A3110" i="5"/>
  <c r="H3110" i="5"/>
  <c r="G3110" i="5"/>
  <c r="B4066" i="5"/>
  <c r="A4066" i="5"/>
  <c r="H4066" i="5"/>
  <c r="G4066" i="5"/>
  <c r="B3786" i="5"/>
  <c r="A3786" i="5"/>
  <c r="H3786" i="5"/>
  <c r="G3786" i="5"/>
  <c r="A1770" i="5"/>
  <c r="B1770" i="5"/>
  <c r="H1770" i="5"/>
  <c r="G1770" i="5"/>
  <c r="B831" i="5"/>
  <c r="A831" i="5"/>
  <c r="H831" i="5"/>
  <c r="G831" i="5"/>
  <c r="A642" i="5"/>
  <c r="B642" i="5"/>
  <c r="H642" i="5"/>
  <c r="G642" i="5"/>
  <c r="B3759" i="5"/>
  <c r="A3759" i="5"/>
  <c r="H3759" i="5"/>
  <c r="G3759" i="5"/>
  <c r="B2218" i="5"/>
  <c r="A2218" i="5"/>
  <c r="G2218" i="5"/>
  <c r="H2218" i="5"/>
  <c r="B1021" i="5"/>
  <c r="A1021" i="5"/>
  <c r="H1021" i="5"/>
  <c r="G1021" i="5"/>
  <c r="A4083" i="5"/>
  <c r="B4083" i="5"/>
  <c r="H4083" i="5"/>
  <c r="G4083" i="5"/>
  <c r="B741" i="5"/>
  <c r="A741" i="5"/>
  <c r="G741" i="5"/>
  <c r="H741" i="5"/>
  <c r="B3742" i="5"/>
  <c r="A3742" i="5"/>
  <c r="G3742" i="5"/>
  <c r="H3742" i="5"/>
  <c r="B518" i="5"/>
  <c r="A518" i="5"/>
  <c r="G518" i="5"/>
  <c r="H518" i="5"/>
  <c r="A2994" i="5"/>
  <c r="B2994" i="5"/>
  <c r="H2994" i="5"/>
  <c r="G2994" i="5"/>
  <c r="B395" i="5"/>
  <c r="A395" i="5"/>
  <c r="H395" i="5"/>
  <c r="G395" i="5"/>
  <c r="B2273" i="5"/>
  <c r="A2273" i="5"/>
  <c r="H2273" i="5"/>
  <c r="G2273" i="5"/>
  <c r="B796" i="5"/>
  <c r="A796" i="5"/>
  <c r="H796" i="5"/>
  <c r="G796" i="5"/>
  <c r="A111" i="5"/>
  <c r="B111" i="5"/>
  <c r="H111" i="5"/>
  <c r="G111" i="5"/>
  <c r="B3633" i="5"/>
  <c r="A3633" i="5"/>
  <c r="H3633" i="5"/>
  <c r="G3633" i="5"/>
  <c r="A2688" i="5"/>
  <c r="B2688" i="5"/>
  <c r="G2688" i="5"/>
  <c r="H2688" i="5"/>
  <c r="B413" i="5"/>
  <c r="A413" i="5"/>
  <c r="G413" i="5"/>
  <c r="H413" i="5"/>
  <c r="B1668" i="5"/>
  <c r="A1668" i="5"/>
  <c r="H1668" i="5"/>
  <c r="G1668" i="5"/>
  <c r="B27" i="5"/>
  <c r="A27" i="5"/>
  <c r="H27" i="5"/>
  <c r="G27" i="5"/>
  <c r="B3883" i="5"/>
  <c r="A3883" i="5"/>
  <c r="H3883" i="5"/>
  <c r="G3883" i="5"/>
  <c r="B408" i="5"/>
  <c r="A408" i="5"/>
  <c r="H408" i="5"/>
  <c r="G408" i="5"/>
  <c r="B4073" i="5"/>
  <c r="A4073" i="5"/>
  <c r="H4073" i="5"/>
  <c r="G4073" i="5"/>
  <c r="B2166" i="5"/>
  <c r="A2166" i="5"/>
  <c r="H2166" i="5"/>
  <c r="G2166" i="5"/>
  <c r="A1580" i="5"/>
  <c r="B1580" i="5"/>
  <c r="H1580" i="5"/>
  <c r="G1580" i="5"/>
  <c r="A3130" i="5"/>
  <c r="B3130" i="5"/>
  <c r="H3130" i="5"/>
  <c r="G3130" i="5"/>
  <c r="B1310" i="5"/>
  <c r="A1310" i="5"/>
  <c r="G1310" i="5"/>
  <c r="H1310" i="5"/>
  <c r="B2118" i="5"/>
  <c r="A2118" i="5"/>
  <c r="G2118" i="5"/>
  <c r="H2118" i="5"/>
  <c r="A492" i="5"/>
  <c r="B492" i="5"/>
  <c r="H492" i="5"/>
  <c r="G492" i="5"/>
  <c r="B2155" i="5"/>
  <c r="A2155" i="5"/>
  <c r="H2155" i="5"/>
  <c r="G2155" i="5"/>
  <c r="B3326" i="5"/>
  <c r="A3326" i="5"/>
  <c r="H3326" i="5"/>
  <c r="G3326" i="5"/>
  <c r="B1994" i="5"/>
  <c r="A1994" i="5"/>
  <c r="H1994" i="5"/>
  <c r="G1994" i="5"/>
  <c r="B483" i="5"/>
  <c r="A483" i="5"/>
  <c r="H483" i="5"/>
  <c r="G483" i="5"/>
  <c r="B3282" i="5"/>
  <c r="A3282" i="5"/>
  <c r="H3282" i="5"/>
  <c r="G3282" i="5"/>
  <c r="A57" i="5"/>
  <c r="B57" i="5"/>
  <c r="G57" i="5"/>
  <c r="H57" i="5"/>
  <c r="B3424" i="5"/>
  <c r="A3424" i="5"/>
  <c r="H3424" i="5"/>
  <c r="G3424" i="5"/>
  <c r="B318" i="5"/>
  <c r="A318" i="5"/>
  <c r="H318" i="5"/>
  <c r="G318" i="5"/>
  <c r="B1393" i="5"/>
  <c r="A1393" i="5"/>
  <c r="H1393" i="5"/>
  <c r="G1393" i="5"/>
  <c r="A267" i="5"/>
  <c r="B267" i="5"/>
  <c r="H267" i="5"/>
  <c r="G267" i="5"/>
  <c r="B3095" i="5"/>
  <c r="A3095" i="5"/>
  <c r="H3095" i="5"/>
  <c r="G3095" i="5"/>
  <c r="B2591" i="5"/>
  <c r="A2591" i="5"/>
  <c r="H2591" i="5"/>
  <c r="G2591" i="5"/>
  <c r="B3659" i="5"/>
  <c r="A3659" i="5"/>
  <c r="G3659" i="5"/>
  <c r="H3659" i="5"/>
  <c r="B1059" i="5"/>
  <c r="A1059" i="5"/>
  <c r="H1059" i="5"/>
  <c r="G1059" i="5"/>
  <c r="A1377" i="5"/>
  <c r="B1377" i="5"/>
  <c r="H1377" i="5"/>
  <c r="G1377" i="5"/>
  <c r="A2230" i="5"/>
  <c r="B2230" i="5"/>
  <c r="H2230" i="5"/>
  <c r="G2230" i="5"/>
  <c r="B355" i="5"/>
  <c r="A355" i="5"/>
  <c r="H355" i="5"/>
  <c r="G355" i="5"/>
  <c r="A1842" i="5"/>
  <c r="B1842" i="5"/>
  <c r="G1842" i="5"/>
  <c r="H1842" i="5"/>
  <c r="B2581" i="5"/>
  <c r="A2581" i="5"/>
  <c r="G2581" i="5"/>
  <c r="H2581" i="5"/>
  <c r="B3675" i="5"/>
  <c r="A3675" i="5"/>
  <c r="G3675" i="5"/>
  <c r="H3675" i="5"/>
  <c r="B3121" i="5"/>
  <c r="A3121" i="5"/>
  <c r="H3121" i="5"/>
  <c r="G3121" i="5"/>
  <c r="B96" i="5"/>
  <c r="A96" i="5"/>
  <c r="H96" i="5"/>
  <c r="G96" i="5"/>
  <c r="B2358" i="5"/>
  <c r="A2358" i="5"/>
  <c r="H2358" i="5"/>
  <c r="G2358" i="5"/>
  <c r="B3552" i="5"/>
  <c r="A3552" i="5"/>
  <c r="G3552" i="5"/>
  <c r="H3552" i="5"/>
  <c r="A2560" i="5"/>
  <c r="B2560" i="5"/>
  <c r="H2560" i="5"/>
  <c r="G2560" i="5"/>
  <c r="B3137" i="5"/>
  <c r="A3137" i="5"/>
  <c r="H3137" i="5"/>
  <c r="G3137" i="5"/>
  <c r="B198" i="5"/>
  <c r="A198" i="5"/>
  <c r="H198" i="5"/>
  <c r="G198" i="5"/>
  <c r="B1123" i="5"/>
  <c r="G1123" i="5"/>
  <c r="A1123" i="5"/>
  <c r="H1123" i="5"/>
  <c r="B3432" i="5"/>
  <c r="A3432" i="5"/>
  <c r="G3432" i="5"/>
  <c r="H3432" i="5"/>
  <c r="B4093" i="5"/>
  <c r="A4093" i="5"/>
  <c r="H4093" i="5"/>
  <c r="G4093" i="5"/>
  <c r="B727" i="5"/>
  <c r="A727" i="5"/>
  <c r="G727" i="5"/>
  <c r="H727" i="5"/>
  <c r="A1755" i="5"/>
  <c r="B1755" i="5"/>
  <c r="H1755" i="5"/>
  <c r="G1755" i="5"/>
  <c r="B988" i="5"/>
  <c r="A988" i="5"/>
  <c r="G988" i="5"/>
  <c r="H988" i="5"/>
  <c r="B662" i="5"/>
  <c r="A662" i="5"/>
  <c r="G662" i="5"/>
  <c r="H662" i="5"/>
  <c r="B1187" i="5"/>
  <c r="A1187" i="5"/>
  <c r="G1187" i="5"/>
  <c r="H1187" i="5"/>
  <c r="B2004" i="5"/>
  <c r="A2004" i="5"/>
  <c r="H2004" i="5"/>
  <c r="G2004" i="5"/>
  <c r="B2960" i="5"/>
  <c r="A2960" i="5"/>
  <c r="H2960" i="5"/>
  <c r="G2960" i="5"/>
  <c r="A3004" i="5"/>
  <c r="B3004" i="5"/>
  <c r="G3004" i="5"/>
  <c r="H3004" i="5"/>
  <c r="B3200" i="5"/>
  <c r="A3200" i="5"/>
  <c r="H3200" i="5"/>
  <c r="G3200" i="5"/>
  <c r="A2186" i="5"/>
  <c r="B2186" i="5"/>
  <c r="H2186" i="5"/>
  <c r="G2186" i="5"/>
  <c r="B1239" i="5"/>
  <c r="A1239" i="5"/>
  <c r="G1239" i="5"/>
  <c r="H1239" i="5"/>
  <c r="B2246" i="5"/>
  <c r="A2246" i="5"/>
  <c r="H2246" i="5"/>
  <c r="G2246" i="5"/>
  <c r="A3542" i="5"/>
  <c r="B3542" i="5"/>
  <c r="H3542" i="5"/>
  <c r="G3542" i="5"/>
  <c r="B1879" i="5"/>
  <c r="A1879" i="5"/>
  <c r="H1879" i="5"/>
  <c r="G1879" i="5"/>
  <c r="A1049" i="5"/>
  <c r="B1049" i="5"/>
  <c r="H1049" i="5"/>
  <c r="G1049" i="5"/>
  <c r="B1623" i="5"/>
  <c r="A1623" i="5"/>
  <c r="G1623" i="5"/>
  <c r="H1623" i="5"/>
  <c r="B787" i="5"/>
  <c r="A787" i="5"/>
  <c r="H787" i="5"/>
  <c r="G787" i="5"/>
  <c r="A1274" i="5"/>
  <c r="B1274" i="5"/>
  <c r="H1274" i="5"/>
  <c r="G1274" i="5"/>
  <c r="A619" i="5"/>
  <c r="B619" i="5"/>
  <c r="H619" i="5"/>
  <c r="G619" i="5"/>
  <c r="A1590" i="5"/>
  <c r="B1590" i="5"/>
  <c r="H1590" i="5"/>
  <c r="G1590" i="5"/>
  <c r="A3343" i="5"/>
  <c r="B3343" i="5"/>
  <c r="H3343" i="5"/>
  <c r="G3343" i="5"/>
  <c r="A3983" i="5"/>
  <c r="B3983" i="5"/>
  <c r="H3983" i="5"/>
  <c r="G3983" i="5"/>
  <c r="B4301" i="5"/>
  <c r="A4301" i="5"/>
  <c r="H4301" i="5"/>
  <c r="G4301" i="5"/>
  <c r="B2820" i="5"/>
  <c r="A2820" i="5"/>
  <c r="G2820" i="5"/>
  <c r="H2820" i="5"/>
  <c r="B747" i="5"/>
  <c r="A747" i="5"/>
  <c r="G747" i="5"/>
  <c r="H747" i="5"/>
  <c r="B1831" i="5"/>
  <c r="A1831" i="5"/>
  <c r="G1831" i="5"/>
  <c r="H1831" i="5"/>
  <c r="B3229" i="5"/>
  <c r="A3229" i="5"/>
  <c r="G3229" i="5"/>
  <c r="H3229" i="5"/>
  <c r="A3525" i="5"/>
  <c r="B3525" i="5"/>
  <c r="H3525" i="5"/>
  <c r="G3525" i="5"/>
  <c r="B4386" i="5"/>
  <c r="A4386" i="5"/>
  <c r="H4386" i="5"/>
  <c r="G4386" i="5"/>
  <c r="B1644" i="5"/>
  <c r="A1644" i="5"/>
  <c r="H1644" i="5"/>
  <c r="G1644" i="5"/>
  <c r="B139" i="5"/>
  <c r="A139" i="5"/>
  <c r="H139" i="5"/>
  <c r="G139" i="5"/>
  <c r="A556" i="5"/>
  <c r="B556" i="5"/>
  <c r="H556" i="5"/>
  <c r="G556" i="5"/>
  <c r="B1413" i="5"/>
  <c r="A1413" i="5"/>
  <c r="H1413" i="5"/>
  <c r="G1413" i="5"/>
  <c r="B1760" i="5"/>
  <c r="A1760" i="5"/>
  <c r="G1760" i="5"/>
  <c r="H1760" i="5"/>
  <c r="B204" i="5"/>
  <c r="A204" i="5"/>
  <c r="H204" i="5"/>
  <c r="G204" i="5"/>
  <c r="B1850" i="5"/>
  <c r="A1850" i="5"/>
  <c r="H1850" i="5"/>
  <c r="G1850" i="5"/>
  <c r="B306" i="5"/>
  <c r="A306" i="5"/>
  <c r="G306" i="5"/>
  <c r="H306" i="5"/>
  <c r="B2078" i="5"/>
  <c r="A2078" i="5"/>
  <c r="H2078" i="5"/>
  <c r="G2078" i="5"/>
  <c r="B2763" i="5"/>
  <c r="A2763" i="5"/>
  <c r="G2763" i="5"/>
  <c r="H2763" i="5"/>
  <c r="B169" i="5"/>
  <c r="A169" i="5"/>
  <c r="G169" i="5"/>
  <c r="H169" i="5"/>
  <c r="A63" i="5"/>
  <c r="B63" i="5"/>
  <c r="H63" i="5"/>
  <c r="G63" i="5"/>
  <c r="B945" i="5"/>
  <c r="A945" i="5"/>
  <c r="G945" i="5"/>
  <c r="H945" i="5"/>
  <c r="B161" i="5"/>
  <c r="A161" i="5"/>
  <c r="G161" i="5"/>
  <c r="H161" i="5"/>
  <c r="A2634" i="5"/>
  <c r="B2634" i="5"/>
  <c r="H2634" i="5"/>
  <c r="G2634" i="5"/>
  <c r="A419" i="5"/>
  <c r="B419" i="5"/>
  <c r="H419" i="5"/>
  <c r="G419" i="5"/>
  <c r="B2453" i="5"/>
  <c r="A2453" i="5"/>
  <c r="G2453" i="5"/>
  <c r="H2453" i="5"/>
  <c r="B4194" i="5"/>
  <c r="A4194" i="5"/>
  <c r="H4194" i="5"/>
  <c r="G4194" i="5"/>
  <c r="B4055" i="5"/>
  <c r="A4055" i="5"/>
  <c r="G4055" i="5"/>
  <c r="H4055" i="5"/>
  <c r="B4100" i="5"/>
  <c r="A4100" i="5"/>
  <c r="G4100" i="5"/>
  <c r="H4100" i="5"/>
  <c r="A950" i="5"/>
  <c r="B950" i="5"/>
  <c r="G950" i="5"/>
  <c r="H950" i="5"/>
  <c r="B2451" i="5"/>
  <c r="A2451" i="5"/>
  <c r="G2451" i="5"/>
  <c r="H2451" i="5"/>
  <c r="B3739" i="5"/>
  <c r="A3739" i="5"/>
  <c r="H3739" i="5"/>
  <c r="G3739" i="5"/>
  <c r="A1983" i="5"/>
  <c r="B1983" i="5"/>
  <c r="H1983" i="5"/>
  <c r="G1983" i="5"/>
  <c r="B4262" i="5"/>
  <c r="A4262" i="5"/>
  <c r="H4262" i="5"/>
  <c r="G4262" i="5"/>
  <c r="B4260" i="5"/>
  <c r="A4260" i="5"/>
  <c r="H4260" i="5"/>
  <c r="G4260" i="5"/>
  <c r="B1637" i="5"/>
  <c r="A1637" i="5"/>
  <c r="H1637" i="5"/>
  <c r="G1637" i="5"/>
  <c r="B2365" i="5"/>
  <c r="A2365" i="5"/>
  <c r="H2365" i="5"/>
  <c r="G2365" i="5"/>
  <c r="B264" i="5"/>
  <c r="A264" i="5"/>
  <c r="H264" i="5"/>
  <c r="G264" i="5"/>
  <c r="A3090" i="5"/>
  <c r="B3090" i="5"/>
  <c r="H3090" i="5"/>
  <c r="G3090" i="5"/>
  <c r="B1975" i="5"/>
  <c r="A1975" i="5"/>
  <c r="H1975" i="5"/>
  <c r="G1975" i="5"/>
  <c r="A288" i="8"/>
  <c r="C43" i="8"/>
  <c r="A438" i="8"/>
  <c r="A682" i="5"/>
  <c r="B682" i="5"/>
  <c r="H682" i="5"/>
  <c r="G682" i="5"/>
  <c r="B3582" i="5"/>
  <c r="A3582" i="5"/>
  <c r="H3582" i="5"/>
  <c r="G3582" i="5"/>
  <c r="B2853" i="5"/>
  <c r="A2853" i="5"/>
  <c r="H2853" i="5"/>
  <c r="G2853" i="5"/>
  <c r="B3077" i="5"/>
  <c r="A3077" i="5"/>
  <c r="G3077" i="5"/>
  <c r="H3077" i="5"/>
  <c r="B3364" i="5"/>
  <c r="A3364" i="5"/>
  <c r="H3364" i="5"/>
  <c r="G3364" i="5"/>
  <c r="A2829" i="5"/>
  <c r="B2829" i="5"/>
  <c r="H2829" i="5"/>
  <c r="G2829" i="5"/>
  <c r="B3300" i="5"/>
  <c r="A3300" i="5"/>
  <c r="H3300" i="5"/>
  <c r="G3300" i="5"/>
  <c r="B1328" i="5"/>
  <c r="A1328" i="5"/>
  <c r="H1328" i="5"/>
  <c r="G1328" i="5"/>
  <c r="B364" i="5"/>
  <c r="A364" i="5"/>
  <c r="H364" i="5"/>
  <c r="G364" i="5"/>
  <c r="B3209" i="5"/>
  <c r="A3209" i="5"/>
  <c r="H3209" i="5"/>
  <c r="G3209" i="5"/>
  <c r="B3596" i="5"/>
  <c r="A3596" i="5"/>
  <c r="H3596" i="5"/>
  <c r="G3596" i="5"/>
  <c r="B1701" i="5"/>
  <c r="A1701" i="5"/>
  <c r="H1701" i="5"/>
  <c r="G1701" i="5"/>
  <c r="A2730" i="5"/>
  <c r="B2730" i="5"/>
  <c r="G2730" i="5"/>
  <c r="H2730" i="5"/>
  <c r="B3573" i="5"/>
  <c r="A3573" i="5"/>
  <c r="G3573" i="5"/>
  <c r="H3573" i="5"/>
  <c r="B2626" i="5"/>
  <c r="A2626" i="5"/>
  <c r="G2626" i="5"/>
  <c r="H2626" i="5"/>
  <c r="B4236" i="5"/>
  <c r="A4236" i="5"/>
  <c r="H4236" i="5"/>
  <c r="G4236" i="5"/>
  <c r="B2871" i="5"/>
  <c r="A2871" i="5"/>
  <c r="H2871" i="5"/>
  <c r="G2871" i="5"/>
  <c r="B4156" i="5"/>
  <c r="A4156" i="5"/>
  <c r="G4156" i="5"/>
  <c r="H4156" i="5"/>
  <c r="B2204" i="5"/>
  <c r="A2204" i="5"/>
  <c r="H2204" i="5"/>
  <c r="G2204" i="5"/>
  <c r="B3066" i="5"/>
  <c r="A3066" i="5"/>
  <c r="H3066" i="5"/>
  <c r="G3066" i="5"/>
  <c r="B4352" i="5"/>
  <c r="A4352" i="5"/>
  <c r="H4352" i="5"/>
  <c r="G4352" i="5"/>
  <c r="B322" i="5"/>
  <c r="A322" i="5"/>
  <c r="H322" i="5"/>
  <c r="G322" i="5"/>
  <c r="B4135" i="5"/>
  <c r="A4135" i="5"/>
  <c r="G4135" i="5"/>
  <c r="H4135" i="5"/>
  <c r="A3393" i="5"/>
  <c r="B3393" i="5"/>
  <c r="H3393" i="5"/>
  <c r="G3393" i="5"/>
  <c r="A2049" i="5"/>
  <c r="B2049" i="5"/>
  <c r="H2049" i="5"/>
  <c r="G2049" i="5"/>
  <c r="B2061" i="5"/>
  <c r="A2061" i="5"/>
  <c r="H2061" i="5"/>
  <c r="G2061" i="5"/>
  <c r="B3823" i="5"/>
  <c r="A3823" i="5"/>
  <c r="H3823" i="5"/>
  <c r="G3823" i="5"/>
  <c r="B3794" i="5"/>
  <c r="A3794" i="5"/>
  <c r="H3794" i="5"/>
  <c r="G3794" i="5"/>
  <c r="B1228" i="5"/>
  <c r="A1228" i="5"/>
  <c r="H1228" i="5"/>
  <c r="G1228" i="5"/>
  <c r="B1363" i="5"/>
  <c r="A1363" i="5"/>
  <c r="G1363" i="5"/>
  <c r="H1363" i="5"/>
  <c r="A2838" i="5"/>
  <c r="B2838" i="5"/>
  <c r="H2838" i="5"/>
  <c r="G2838" i="5"/>
  <c r="B4145" i="5"/>
  <c r="A4145" i="5"/>
  <c r="H4145" i="5"/>
  <c r="G4145" i="5"/>
  <c r="A3159" i="5"/>
  <c r="B3159" i="5"/>
  <c r="H3159" i="5"/>
  <c r="G3159" i="5"/>
  <c r="B2653" i="5"/>
  <c r="A2653" i="5"/>
  <c r="H2653" i="5"/>
  <c r="G2653" i="5"/>
  <c r="A2033" i="5"/>
  <c r="B2033" i="5"/>
  <c r="H2033" i="5"/>
  <c r="G2033" i="5"/>
  <c r="B1092" i="5"/>
  <c r="A1092" i="5"/>
  <c r="H1092" i="5"/>
  <c r="G1092" i="5"/>
  <c r="B3038" i="5"/>
  <c r="A3038" i="5"/>
  <c r="H3038" i="5"/>
  <c r="G3038" i="5"/>
  <c r="B3398" i="5"/>
  <c r="A3398" i="5"/>
  <c r="G3398" i="5"/>
  <c r="H3398" i="5"/>
  <c r="A3820" i="5"/>
  <c r="B3820" i="5"/>
  <c r="H3820" i="5"/>
  <c r="G3820" i="5"/>
  <c r="B480" i="5"/>
  <c r="A480" i="5"/>
  <c r="H480" i="5"/>
  <c r="G480" i="5"/>
  <c r="B4460" i="5"/>
  <c r="A4460" i="5"/>
  <c r="G4460" i="5"/>
  <c r="H4460" i="5"/>
  <c r="B1673" i="5"/>
  <c r="A1673" i="5"/>
  <c r="H1673" i="5"/>
  <c r="G1673" i="5"/>
  <c r="B2844" i="5"/>
  <c r="A2844" i="5"/>
  <c r="H2844" i="5"/>
  <c r="G2844" i="5"/>
  <c r="A3264" i="5"/>
  <c r="B3264" i="5"/>
  <c r="H3264" i="5"/>
  <c r="G3264" i="5"/>
  <c r="B2921" i="5"/>
  <c r="A2921" i="5"/>
  <c r="H2921" i="5"/>
  <c r="G2921" i="5"/>
  <c r="B4029" i="5"/>
  <c r="A4029" i="5"/>
  <c r="H4029" i="5"/>
  <c r="G4029" i="5"/>
  <c r="B4373" i="5"/>
  <c r="A4373" i="5"/>
  <c r="H4373" i="5"/>
  <c r="G4373" i="5"/>
  <c r="B2263" i="5"/>
  <c r="A2263" i="5"/>
  <c r="H2263" i="5"/>
  <c r="G2263" i="5"/>
  <c r="B2283" i="5"/>
  <c r="A2283" i="5"/>
  <c r="G2283" i="5"/>
  <c r="H2283" i="5"/>
  <c r="B2226" i="5"/>
  <c r="A2226" i="5"/>
  <c r="H2226" i="5"/>
  <c r="G2226" i="5"/>
  <c r="B2092" i="5"/>
  <c r="A2092" i="5"/>
  <c r="G2092" i="5"/>
  <c r="H2092" i="5"/>
  <c r="A4476" i="5"/>
  <c r="B4476" i="5"/>
  <c r="G4476" i="5"/>
  <c r="H4476" i="5"/>
  <c r="A3510" i="5"/>
  <c r="B3510" i="5"/>
  <c r="G3510" i="5"/>
  <c r="H3510" i="5"/>
  <c r="A1076" i="5"/>
  <c r="B1076" i="5"/>
  <c r="H1076" i="5"/>
  <c r="G1076" i="5"/>
  <c r="B3059" i="5"/>
  <c r="A3059" i="5"/>
  <c r="H3059" i="5"/>
  <c r="G3059" i="5"/>
  <c r="A2194" i="5"/>
  <c r="B2194" i="5"/>
  <c r="H2194" i="5"/>
  <c r="G2194" i="5"/>
  <c r="B1248" i="5"/>
  <c r="A1248" i="5"/>
  <c r="G1248" i="5"/>
  <c r="H1248" i="5"/>
  <c r="A2744" i="5"/>
  <c r="B2744" i="5"/>
  <c r="H2744" i="5"/>
  <c r="G2744" i="5"/>
  <c r="A1905" i="5"/>
  <c r="B1905" i="5"/>
  <c r="H1905" i="5"/>
  <c r="G1905" i="5"/>
  <c r="B3859" i="5"/>
  <c r="A3859" i="5"/>
  <c r="H3859" i="5"/>
  <c r="G3859" i="5"/>
  <c r="B2412" i="5"/>
  <c r="A2412" i="5"/>
  <c r="G2412" i="5"/>
  <c r="H2412" i="5"/>
  <c r="B1367" i="5"/>
  <c r="A1367" i="5"/>
  <c r="H1367" i="5"/>
  <c r="G1367" i="5"/>
  <c r="B2708" i="5"/>
  <c r="A2708" i="5"/>
  <c r="H2708" i="5"/>
  <c r="G2708" i="5"/>
  <c r="B3830" i="5"/>
  <c r="A3830" i="5"/>
  <c r="H3830" i="5"/>
  <c r="G3830" i="5"/>
  <c r="B1717" i="5"/>
  <c r="A1717" i="5"/>
  <c r="H1717" i="5"/>
  <c r="G1717" i="5"/>
  <c r="B2182" i="5"/>
  <c r="A2182" i="5"/>
  <c r="G2182" i="5"/>
  <c r="H2182" i="5"/>
  <c r="B1443" i="5"/>
  <c r="A1443" i="5"/>
  <c r="H1443" i="5"/>
  <c r="G1443" i="5"/>
  <c r="A897" i="5"/>
  <c r="B897" i="5"/>
  <c r="H897" i="5"/>
  <c r="G897" i="5"/>
  <c r="A3379" i="5"/>
  <c r="B3379" i="5"/>
  <c r="H3379" i="5"/>
  <c r="G3379" i="5"/>
  <c r="B1564" i="5"/>
  <c r="A1564" i="5"/>
  <c r="H1564" i="5"/>
  <c r="G1564" i="5"/>
  <c r="B3516" i="5"/>
  <c r="A3516" i="5"/>
  <c r="H3516" i="5"/>
  <c r="G3516" i="5"/>
  <c r="B1660" i="5"/>
  <c r="A1660" i="5"/>
  <c r="H1660" i="5"/>
  <c r="G1660" i="5"/>
  <c r="A1500" i="5"/>
  <c r="B1500" i="5"/>
  <c r="H1500" i="5"/>
  <c r="G1500" i="5"/>
  <c r="B4182" i="5"/>
  <c r="A4182" i="5"/>
  <c r="G4182" i="5"/>
  <c r="H4182" i="5"/>
  <c r="B2932" i="5"/>
  <c r="A2932" i="5"/>
  <c r="H2932" i="5"/>
  <c r="G2932" i="5"/>
  <c r="B772" i="5"/>
  <c r="A772" i="5"/>
  <c r="H772" i="5"/>
  <c r="G772" i="5"/>
  <c r="B2717" i="5"/>
  <c r="A2717" i="5"/>
  <c r="G2717" i="5"/>
  <c r="H2717" i="5"/>
  <c r="B3694" i="5"/>
  <c r="A3694" i="5"/>
  <c r="G3694" i="5"/>
  <c r="H3694" i="5"/>
  <c r="B215" i="5"/>
  <c r="A215" i="5"/>
  <c r="G215" i="5"/>
  <c r="H215" i="5"/>
  <c r="B4278" i="5"/>
  <c r="A4278" i="5"/>
  <c r="G4278" i="5"/>
  <c r="H4278" i="5"/>
  <c r="A2326" i="5"/>
  <c r="B2326" i="5"/>
  <c r="G2326" i="5"/>
  <c r="H2326" i="5"/>
  <c r="B3048" i="5"/>
  <c r="A3048" i="5"/>
  <c r="H3048" i="5"/>
  <c r="G3048" i="5"/>
  <c r="B3487" i="5"/>
  <c r="A3487" i="5"/>
  <c r="H3487" i="5"/>
  <c r="G3487" i="5"/>
  <c r="B2613" i="5"/>
  <c r="A2613" i="5"/>
  <c r="G2613" i="5"/>
  <c r="H2613" i="5"/>
  <c r="A3245" i="5"/>
  <c r="B3245" i="5"/>
  <c r="H3245" i="5"/>
  <c r="G3245" i="5"/>
  <c r="B4039" i="5"/>
  <c r="A4039" i="5"/>
  <c r="H4039" i="5"/>
  <c r="G4039" i="5"/>
  <c r="B1159" i="5"/>
  <c r="A1159" i="5"/>
  <c r="H1159" i="5"/>
  <c r="G1159" i="5"/>
  <c r="B3356" i="5"/>
  <c r="A3356" i="5"/>
  <c r="H3356" i="5"/>
  <c r="G3356" i="5"/>
  <c r="A381" i="5"/>
  <c r="B381" i="5"/>
  <c r="H381" i="5"/>
  <c r="G381" i="5"/>
  <c r="A3382" i="5"/>
  <c r="B3382" i="5"/>
  <c r="G3382" i="5"/>
  <c r="H3382" i="5"/>
  <c r="A2550" i="5"/>
  <c r="B2550" i="5"/>
  <c r="G2550" i="5"/>
  <c r="H2550" i="5"/>
  <c r="A4364" i="5"/>
  <c r="B4364" i="5"/>
  <c r="G4364" i="5"/>
  <c r="H4364" i="5"/>
  <c r="B1218" i="5"/>
  <c r="A1218" i="5"/>
  <c r="G1218" i="5"/>
  <c r="H1218" i="5"/>
  <c r="B2983" i="5"/>
  <c r="A2983" i="5"/>
  <c r="H2983" i="5"/>
  <c r="G2983" i="5"/>
  <c r="B3776" i="5"/>
  <c r="A3776" i="5"/>
  <c r="G3776" i="5"/>
  <c r="H3776" i="5"/>
  <c r="B453" i="5"/>
  <c r="A453" i="5"/>
  <c r="H453" i="5"/>
  <c r="G453" i="5"/>
  <c r="A3626" i="5"/>
  <c r="B3626" i="5"/>
  <c r="G3626" i="5"/>
  <c r="H3626" i="5"/>
  <c r="B2029" i="5"/>
  <c r="A2029" i="5"/>
  <c r="H2029" i="5"/>
  <c r="G2029" i="5"/>
  <c r="B3715" i="5"/>
  <c r="A3715" i="5"/>
  <c r="H3715" i="5"/>
  <c r="G3715" i="5"/>
  <c r="A2373" i="5"/>
  <c r="B2373" i="5"/>
  <c r="H2373" i="5"/>
  <c r="G2373" i="5"/>
  <c r="B1095" i="5"/>
  <c r="A1095" i="5"/>
  <c r="H1095" i="5"/>
  <c r="G1095" i="5"/>
  <c r="B1151" i="5"/>
  <c r="A1151" i="5"/>
  <c r="G1151" i="5"/>
  <c r="H1151" i="5"/>
  <c r="B2939" i="5"/>
  <c r="A2939" i="5"/>
  <c r="H2939" i="5"/>
  <c r="G2939" i="5"/>
  <c r="A3681" i="5"/>
  <c r="B3681" i="5"/>
  <c r="G3681" i="5"/>
  <c r="H3681" i="5"/>
  <c r="B1479" i="5"/>
  <c r="A1479" i="5"/>
  <c r="H1479" i="5"/>
  <c r="G1479" i="5"/>
  <c r="B2534" i="5"/>
  <c r="A2534" i="5"/>
  <c r="H2534" i="5"/>
  <c r="G2534" i="5"/>
  <c r="B2383" i="5"/>
  <c r="A2383" i="5"/>
  <c r="H2383" i="5"/>
  <c r="G2383" i="5"/>
  <c r="A2272" i="5"/>
  <c r="B2272" i="5"/>
  <c r="H2272" i="5"/>
  <c r="G2272" i="5"/>
  <c r="B2518" i="5"/>
  <c r="A2518" i="5"/>
  <c r="G2518" i="5"/>
  <c r="H2518" i="5"/>
  <c r="B1230" i="5"/>
  <c r="A1230" i="5"/>
  <c r="G1230" i="5"/>
  <c r="H1230" i="5"/>
  <c r="B2480" i="5"/>
  <c r="A2480" i="5"/>
  <c r="H2480" i="5"/>
  <c r="G2480" i="5"/>
  <c r="A1196" i="5"/>
  <c r="B1196" i="5"/>
  <c r="G1196" i="5"/>
  <c r="H1196" i="5"/>
  <c r="B3909" i="5"/>
  <c r="A3909" i="5"/>
  <c r="G3909" i="5"/>
  <c r="H3909" i="5"/>
  <c r="B2331" i="5"/>
  <c r="A2331" i="5"/>
  <c r="H2331" i="5"/>
  <c r="G2331" i="5"/>
  <c r="B4119" i="5"/>
  <c r="A4119" i="5"/>
  <c r="G4119" i="5"/>
  <c r="H4119" i="5"/>
  <c r="A3711" i="5"/>
  <c r="B3711" i="5"/>
  <c r="H3711" i="5"/>
  <c r="G3711" i="5"/>
  <c r="B2732" i="5"/>
  <c r="A2732" i="5"/>
  <c r="G2732" i="5"/>
  <c r="H2732" i="5"/>
  <c r="B185" i="5"/>
  <c r="A185" i="5"/>
  <c r="G185" i="5"/>
  <c r="H185" i="5"/>
  <c r="B3843" i="5"/>
  <c r="A3843" i="5"/>
  <c r="H3843" i="5"/>
  <c r="G3843" i="5"/>
  <c r="B1745" i="5"/>
  <c r="A1745" i="5"/>
  <c r="G1745" i="5"/>
  <c r="H1745" i="5"/>
  <c r="A1457" i="5"/>
  <c r="B1457" i="5"/>
  <c r="G1457" i="5"/>
  <c r="H1457" i="5"/>
  <c r="B3949" i="5"/>
  <c r="A3949" i="5"/>
  <c r="H3949" i="5"/>
  <c r="G3949" i="5"/>
  <c r="B752" i="5"/>
  <c r="A752" i="5"/>
  <c r="H752" i="5"/>
  <c r="G752" i="5"/>
  <c r="B615" i="5"/>
  <c r="A615" i="5"/>
  <c r="G615" i="5"/>
  <c r="H615" i="5"/>
  <c r="A3590" i="5"/>
  <c r="B3590" i="5"/>
  <c r="H3590" i="5"/>
  <c r="G3590" i="5"/>
  <c r="B1989" i="5"/>
  <c r="A1989" i="5"/>
  <c r="H1989" i="5"/>
  <c r="G1989" i="5"/>
  <c r="B4459" i="5"/>
  <c r="A4459" i="5"/>
  <c r="H4459" i="5"/>
  <c r="G4459" i="5"/>
  <c r="B508" i="5"/>
  <c r="A508" i="5"/>
  <c r="H508" i="5"/>
  <c r="G508" i="5"/>
  <c r="B1427" i="5"/>
  <c r="A1427" i="5"/>
  <c r="H1427" i="5"/>
  <c r="G1427" i="5"/>
  <c r="B2042" i="5"/>
  <c r="A2042" i="5"/>
  <c r="H2042" i="5"/>
  <c r="G2042" i="5"/>
  <c r="B4407" i="5"/>
  <c r="A4407" i="5"/>
  <c r="G4407" i="5"/>
  <c r="H4407" i="5"/>
  <c r="B2012" i="5"/>
  <c r="A2012" i="5"/>
  <c r="H2012" i="5"/>
  <c r="G2012" i="5"/>
  <c r="A1309" i="5"/>
  <c r="B1309" i="5"/>
  <c r="H1309" i="5"/>
  <c r="G1309" i="5"/>
  <c r="B3945" i="5"/>
  <c r="A3945" i="5"/>
  <c r="H3945" i="5"/>
  <c r="G3945" i="5"/>
  <c r="B4113" i="5"/>
  <c r="A4113" i="5"/>
  <c r="H4113" i="5"/>
  <c r="G4113" i="5"/>
  <c r="B150" i="5"/>
  <c r="A150" i="5"/>
  <c r="G150" i="5"/>
  <c r="H150" i="5"/>
  <c r="A124" i="5"/>
  <c r="B124" i="5"/>
  <c r="H124" i="5"/>
  <c r="G124" i="5"/>
  <c r="B1407" i="5"/>
  <c r="A1407" i="5"/>
  <c r="G1407" i="5"/>
  <c r="H1407" i="5"/>
  <c r="A3973" i="5"/>
  <c r="B3973" i="5"/>
  <c r="H3973" i="5"/>
  <c r="G3973" i="5"/>
  <c r="B1691" i="5"/>
  <c r="A1691" i="5"/>
  <c r="H1691" i="5"/>
  <c r="G1691" i="5"/>
  <c r="A3614" i="5"/>
  <c r="B3614" i="5"/>
  <c r="H3614" i="5"/>
  <c r="G3614" i="5"/>
  <c r="B4199" i="5"/>
  <c r="A4199" i="5"/>
  <c r="H4199" i="5"/>
  <c r="G4199" i="5"/>
  <c r="B3975" i="5"/>
  <c r="A3975" i="5"/>
  <c r="H3975" i="5"/>
  <c r="G3975" i="5"/>
  <c r="A1133" i="5"/>
  <c r="B1133" i="5"/>
  <c r="H1133" i="5"/>
  <c r="G1133" i="5"/>
  <c r="B1265" i="5"/>
  <c r="A1265" i="5"/>
  <c r="H1265" i="5"/>
  <c r="G1265" i="5"/>
  <c r="B1259" i="5"/>
  <c r="A1259" i="5"/>
  <c r="G1259" i="5"/>
  <c r="H1259" i="5"/>
  <c r="B2901" i="5"/>
  <c r="A2901" i="5"/>
  <c r="H2901" i="5"/>
  <c r="G2901" i="5"/>
  <c r="B4297" i="5"/>
  <c r="A4297" i="5"/>
  <c r="H4297" i="5"/>
  <c r="G4297" i="5"/>
  <c r="B661" i="5"/>
  <c r="A661" i="5"/>
  <c r="G661" i="5"/>
  <c r="H661" i="5"/>
  <c r="A3114" i="5"/>
  <c r="B3114" i="5"/>
  <c r="H3114" i="5"/>
  <c r="G3114" i="5"/>
  <c r="B4065" i="5"/>
  <c r="A4065" i="5"/>
  <c r="H4065" i="5"/>
  <c r="G4065" i="5"/>
  <c r="B3297" i="5"/>
  <c r="A3297" i="5"/>
  <c r="G3297" i="5"/>
  <c r="H3297" i="5"/>
  <c r="A3788" i="5"/>
  <c r="B3788" i="5"/>
  <c r="H3788" i="5"/>
  <c r="G3788" i="5"/>
  <c r="A1769" i="5"/>
  <c r="B1769" i="5"/>
  <c r="H1769" i="5"/>
  <c r="G1769" i="5"/>
  <c r="A823" i="5"/>
  <c r="B823" i="5"/>
  <c r="G823" i="5"/>
  <c r="H823" i="5"/>
  <c r="B3762" i="5"/>
  <c r="A3762" i="5"/>
  <c r="G3762" i="5"/>
  <c r="H3762" i="5"/>
  <c r="B4389" i="5"/>
  <c r="A4389" i="5"/>
  <c r="G4389" i="5"/>
  <c r="H4389" i="5"/>
  <c r="B3609" i="5"/>
  <c r="A3609" i="5"/>
  <c r="G3609" i="5"/>
  <c r="H3609" i="5"/>
  <c r="B1020" i="5"/>
  <c r="A1020" i="5"/>
  <c r="H1020" i="5"/>
  <c r="G1020" i="5"/>
  <c r="B4086" i="5"/>
  <c r="A4086" i="5"/>
  <c r="H4086" i="5"/>
  <c r="G4086" i="5"/>
  <c r="B738" i="5"/>
  <c r="A738" i="5"/>
  <c r="G738" i="5"/>
  <c r="H738" i="5"/>
  <c r="B526" i="5"/>
  <c r="A526" i="5"/>
  <c r="H526" i="5"/>
  <c r="G526" i="5"/>
  <c r="B2993" i="5"/>
  <c r="A2993" i="5"/>
  <c r="H2993" i="5"/>
  <c r="G2993" i="5"/>
  <c r="B394" i="5"/>
  <c r="A394" i="5"/>
  <c r="G394" i="5"/>
  <c r="H394" i="5"/>
  <c r="B2281" i="5"/>
  <c r="A2281" i="5"/>
  <c r="H2281" i="5"/>
  <c r="G2281" i="5"/>
  <c r="A548" i="5"/>
  <c r="B548" i="5"/>
  <c r="H548" i="5"/>
  <c r="G548" i="5"/>
  <c r="B2574" i="5"/>
  <c r="A2574" i="5"/>
  <c r="H2574" i="5"/>
  <c r="G2574" i="5"/>
  <c r="B3632" i="5"/>
  <c r="A3632" i="5"/>
  <c r="H3632" i="5"/>
  <c r="G3632" i="5"/>
  <c r="A411" i="5"/>
  <c r="B411" i="5"/>
  <c r="G411" i="5"/>
  <c r="H411" i="5"/>
  <c r="A30" i="5"/>
  <c r="B30" i="5"/>
  <c r="H30" i="5"/>
  <c r="G30" i="5"/>
  <c r="B4081" i="5"/>
  <c r="A4081" i="5"/>
  <c r="H4081" i="5"/>
  <c r="G4081" i="5"/>
  <c r="B2165" i="5"/>
  <c r="A2165" i="5"/>
  <c r="H2165" i="5"/>
  <c r="G2165" i="5"/>
  <c r="A1583" i="5"/>
  <c r="B1583" i="5"/>
  <c r="H1583" i="5"/>
  <c r="G1583" i="5"/>
  <c r="B499" i="5"/>
  <c r="A499" i="5"/>
  <c r="G499" i="5"/>
  <c r="H499" i="5"/>
  <c r="B2154" i="5"/>
  <c r="A2154" i="5"/>
  <c r="H2154" i="5"/>
  <c r="G2154" i="5"/>
  <c r="B2001" i="5"/>
  <c r="A2001" i="5"/>
  <c r="G2001" i="5"/>
  <c r="H2001" i="5"/>
  <c r="B482" i="5"/>
  <c r="A482" i="5"/>
  <c r="H482" i="5"/>
  <c r="G482" i="5"/>
  <c r="B3281" i="5"/>
  <c r="A3281" i="5"/>
  <c r="H3281" i="5"/>
  <c r="G3281" i="5"/>
  <c r="B54" i="5"/>
  <c r="A54" i="5"/>
  <c r="H54" i="5"/>
  <c r="G54" i="5"/>
  <c r="B3650" i="5"/>
  <c r="A3650" i="5"/>
  <c r="G3650" i="5"/>
  <c r="H3650" i="5"/>
  <c r="B3420" i="5"/>
  <c r="A3420" i="5"/>
  <c r="H3420" i="5"/>
  <c r="G3420" i="5"/>
  <c r="B288" i="5"/>
  <c r="A288" i="5"/>
  <c r="H288" i="5"/>
  <c r="G288" i="5"/>
  <c r="B3752" i="5"/>
  <c r="A3752" i="5"/>
  <c r="G3752" i="5"/>
  <c r="H3752" i="5"/>
  <c r="A79" i="5"/>
  <c r="H79" i="5"/>
  <c r="B79" i="5"/>
  <c r="G79" i="5"/>
  <c r="B1392" i="5"/>
  <c r="A1392" i="5"/>
  <c r="H1392" i="5"/>
  <c r="G1392" i="5"/>
  <c r="B141" i="5"/>
  <c r="A141" i="5"/>
  <c r="G141" i="5"/>
  <c r="H141" i="5"/>
  <c r="B266" i="5"/>
  <c r="A266" i="5"/>
  <c r="H266" i="5"/>
  <c r="G266" i="5"/>
  <c r="B3099" i="5"/>
  <c r="A3099" i="5"/>
  <c r="G3099" i="5"/>
  <c r="H3099" i="5"/>
  <c r="B2589" i="5"/>
  <c r="A2589" i="5"/>
  <c r="G2589" i="5"/>
  <c r="H2589" i="5"/>
  <c r="B1374" i="5"/>
  <c r="A1374" i="5"/>
  <c r="H1374" i="5"/>
  <c r="G1374" i="5"/>
  <c r="B999" i="5"/>
  <c r="A999" i="5"/>
  <c r="G999" i="5"/>
  <c r="H999" i="5"/>
  <c r="B1142" i="5"/>
  <c r="A1142" i="5"/>
  <c r="G1142" i="5"/>
  <c r="H1142" i="5"/>
  <c r="B2228" i="5"/>
  <c r="A2228" i="5"/>
  <c r="H2228" i="5"/>
  <c r="G2228" i="5"/>
  <c r="A1849" i="5"/>
  <c r="B1849" i="5"/>
  <c r="G1849" i="5"/>
  <c r="H1849" i="5"/>
  <c r="B2580" i="5"/>
  <c r="A2580" i="5"/>
  <c r="H2580" i="5"/>
  <c r="G2580" i="5"/>
  <c r="B332" i="5"/>
  <c r="A332" i="5"/>
  <c r="G332" i="5"/>
  <c r="H332" i="5"/>
  <c r="B4311" i="5"/>
  <c r="A4311" i="5"/>
  <c r="H4311" i="5"/>
  <c r="G4311" i="5"/>
  <c r="A103" i="5"/>
  <c r="B103" i="5"/>
  <c r="H103" i="5"/>
  <c r="G103" i="5"/>
  <c r="B2356" i="5"/>
  <c r="A2356" i="5"/>
  <c r="H2356" i="5"/>
  <c r="G2356" i="5"/>
  <c r="B3559" i="5"/>
  <c r="A3559" i="5"/>
  <c r="H3559" i="5"/>
  <c r="G3559" i="5"/>
  <c r="B2559" i="5"/>
  <c r="A2559" i="5"/>
  <c r="G2559" i="5"/>
  <c r="H2559" i="5"/>
  <c r="B196" i="5"/>
  <c r="A196" i="5"/>
  <c r="H196" i="5"/>
  <c r="G196" i="5"/>
  <c r="B1633" i="5"/>
  <c r="A1633" i="5"/>
  <c r="H1633" i="5"/>
  <c r="G1633" i="5"/>
  <c r="B1122" i="5"/>
  <c r="A1122" i="5"/>
  <c r="H1122" i="5"/>
  <c r="G1122" i="5"/>
  <c r="A3429" i="5"/>
  <c r="B3429" i="5"/>
  <c r="H3429" i="5"/>
  <c r="G3429" i="5"/>
  <c r="A4091" i="5"/>
  <c r="B4091" i="5"/>
  <c r="G4091" i="5"/>
  <c r="H4091" i="5"/>
  <c r="A726" i="5"/>
  <c r="B726" i="5"/>
  <c r="G726" i="5"/>
  <c r="H726" i="5"/>
  <c r="B1759" i="5"/>
  <c r="A1759" i="5"/>
  <c r="G1759" i="5"/>
  <c r="H1759" i="5"/>
  <c r="B987" i="5"/>
  <c r="A987" i="5"/>
  <c r="H987" i="5"/>
  <c r="G987" i="5"/>
  <c r="B669" i="5"/>
  <c r="A669" i="5"/>
  <c r="H669" i="5"/>
  <c r="G669" i="5"/>
  <c r="B1185" i="5"/>
  <c r="A1185" i="5"/>
  <c r="H1185" i="5"/>
  <c r="G1185" i="5"/>
  <c r="B225" i="5"/>
  <c r="A225" i="5"/>
  <c r="G225" i="5"/>
  <c r="H225" i="5"/>
  <c r="B2003" i="5"/>
  <c r="A2003" i="5"/>
  <c r="H2003" i="5"/>
  <c r="G2003" i="5"/>
  <c r="B2133" i="5"/>
  <c r="A2133" i="5"/>
  <c r="H2133" i="5"/>
  <c r="G2133" i="5"/>
  <c r="A1890" i="5"/>
  <c r="B1890" i="5"/>
  <c r="G1890" i="5"/>
  <c r="H1890" i="5"/>
  <c r="B2959" i="5"/>
  <c r="A2959" i="5"/>
  <c r="H2959" i="5"/>
  <c r="G2959" i="5"/>
  <c r="B3003" i="5"/>
  <c r="A3003" i="5"/>
  <c r="G3003" i="5"/>
  <c r="H3003" i="5"/>
  <c r="B3643" i="5"/>
  <c r="A3643" i="5"/>
  <c r="G3643" i="5"/>
  <c r="H3643" i="5"/>
  <c r="B513" i="5"/>
  <c r="A513" i="5"/>
  <c r="G513" i="5"/>
  <c r="H513" i="5"/>
  <c r="A2105" i="5"/>
  <c r="B2105" i="5"/>
  <c r="H2105" i="5"/>
  <c r="G2105" i="5"/>
  <c r="B3208" i="5"/>
  <c r="A3208" i="5"/>
  <c r="G3208" i="5"/>
  <c r="H3208" i="5"/>
  <c r="B2185" i="5"/>
  <c r="A2185" i="5"/>
  <c r="H2185" i="5"/>
  <c r="G2185" i="5"/>
  <c r="B2247" i="5"/>
  <c r="A2247" i="5"/>
  <c r="H2247" i="5"/>
  <c r="G2247" i="5"/>
  <c r="B3886" i="5"/>
  <c r="A3886" i="5"/>
  <c r="H3886" i="5"/>
  <c r="G3886" i="5"/>
  <c r="B3550" i="5"/>
  <c r="A3550" i="5"/>
  <c r="H3550" i="5"/>
  <c r="G3550" i="5"/>
  <c r="B1789" i="5"/>
  <c r="A1789" i="5"/>
  <c r="H1789" i="5"/>
  <c r="G1789" i="5"/>
  <c r="B1878" i="5"/>
  <c r="A1878" i="5"/>
  <c r="G1878" i="5"/>
  <c r="H1878" i="5"/>
  <c r="B1051" i="5"/>
  <c r="A1051" i="5"/>
  <c r="H1051" i="5"/>
  <c r="G1051" i="5"/>
  <c r="B783" i="5"/>
  <c r="A783" i="5"/>
  <c r="G783" i="5"/>
  <c r="H783" i="5"/>
  <c r="B1281" i="5"/>
  <c r="A1281" i="5"/>
  <c r="H1281" i="5"/>
  <c r="G1281" i="5"/>
  <c r="B3102" i="5"/>
  <c r="A3102" i="5"/>
  <c r="G3102" i="5"/>
  <c r="H3102" i="5"/>
  <c r="B36" i="5"/>
  <c r="A36" i="5"/>
  <c r="H36" i="5"/>
  <c r="G36" i="5"/>
  <c r="B618" i="5"/>
  <c r="A618" i="5"/>
  <c r="H618" i="5"/>
  <c r="G618" i="5"/>
  <c r="B1596" i="5"/>
  <c r="A1596" i="5"/>
  <c r="H1596" i="5"/>
  <c r="G1596" i="5"/>
  <c r="B3337" i="5"/>
  <c r="A3337" i="5"/>
  <c r="H3337" i="5"/>
  <c r="G3337" i="5"/>
  <c r="A3562" i="5"/>
  <c r="B3562" i="5"/>
  <c r="H3562" i="5"/>
  <c r="G3562" i="5"/>
  <c r="A674" i="5"/>
  <c r="B674" i="5"/>
  <c r="H674" i="5"/>
  <c r="G674" i="5"/>
  <c r="B1525" i="5"/>
  <c r="A1525" i="5"/>
  <c r="H1525" i="5"/>
  <c r="G1525" i="5"/>
  <c r="B4300" i="5"/>
  <c r="A4300" i="5"/>
  <c r="H4300" i="5"/>
  <c r="G4300" i="5"/>
  <c r="A2878" i="5"/>
  <c r="B2878" i="5"/>
  <c r="H2878" i="5"/>
  <c r="G2878" i="5"/>
  <c r="B2817" i="5"/>
  <c r="A2817" i="5"/>
  <c r="H2817" i="5"/>
  <c r="G2817" i="5"/>
  <c r="A746" i="5"/>
  <c r="B746" i="5"/>
  <c r="G746" i="5"/>
  <c r="H746" i="5"/>
  <c r="A1830" i="5"/>
  <c r="B1830" i="5"/>
  <c r="H1830" i="5"/>
  <c r="G1830" i="5"/>
  <c r="B2784" i="5"/>
  <c r="A2784" i="5"/>
  <c r="H2784" i="5"/>
  <c r="G2784" i="5"/>
  <c r="A3228" i="5"/>
  <c r="B3228" i="5"/>
  <c r="H3228" i="5"/>
  <c r="G3228" i="5"/>
  <c r="B2239" i="5"/>
  <c r="A2239" i="5"/>
  <c r="G2239" i="5"/>
  <c r="H2239" i="5"/>
  <c r="B3524" i="5"/>
  <c r="A3524" i="5"/>
  <c r="H3524" i="5"/>
  <c r="G3524" i="5"/>
  <c r="B4387" i="5"/>
  <c r="A4387" i="5"/>
  <c r="G4387" i="5"/>
  <c r="H4387" i="5"/>
  <c r="B1548" i="5"/>
  <c r="A1548" i="5"/>
  <c r="G1548" i="5"/>
  <c r="H1548" i="5"/>
  <c r="B131" i="5"/>
  <c r="A131" i="5"/>
  <c r="H131" i="5"/>
  <c r="G131" i="5"/>
  <c r="B561" i="5"/>
  <c r="A561" i="5"/>
  <c r="G561" i="5"/>
  <c r="H561" i="5"/>
  <c r="B1417" i="5"/>
  <c r="A1417" i="5"/>
  <c r="G1417" i="5"/>
  <c r="H1417" i="5"/>
  <c r="A4435" i="5"/>
  <c r="B4435" i="5"/>
  <c r="H4435" i="5"/>
  <c r="G4435" i="5"/>
  <c r="B3992" i="5"/>
  <c r="A3992" i="5"/>
  <c r="H3992" i="5"/>
  <c r="G3992" i="5"/>
  <c r="B211" i="5"/>
  <c r="A211" i="5"/>
  <c r="H211" i="5"/>
  <c r="G211" i="5"/>
  <c r="B304" i="5"/>
  <c r="A304" i="5"/>
  <c r="H304" i="5"/>
  <c r="G304" i="5"/>
  <c r="B2083" i="5"/>
  <c r="A2083" i="5"/>
  <c r="G2083" i="5"/>
  <c r="H2083" i="5"/>
  <c r="B2762" i="5"/>
  <c r="A2762" i="5"/>
  <c r="G2762" i="5"/>
  <c r="H2762" i="5"/>
  <c r="B1105" i="5"/>
  <c r="A1105" i="5"/>
  <c r="H1105" i="5"/>
  <c r="G1105" i="5"/>
  <c r="B1448" i="5"/>
  <c r="A1448" i="5"/>
  <c r="H1448" i="5"/>
  <c r="G1448" i="5"/>
  <c r="B1903" i="5"/>
  <c r="A1903" i="5"/>
  <c r="H1903" i="5"/>
  <c r="G1903" i="5"/>
  <c r="B168" i="5"/>
  <c r="A168" i="5"/>
  <c r="G168" i="5"/>
  <c r="H168" i="5"/>
  <c r="A62" i="5"/>
  <c r="G62" i="5"/>
  <c r="H62" i="5"/>
  <c r="B62" i="5"/>
  <c r="B1390" i="5"/>
  <c r="A1390" i="5"/>
  <c r="H1390" i="5"/>
  <c r="G1390" i="5"/>
  <c r="A1778" i="5"/>
  <c r="B1778" i="5"/>
  <c r="H1778" i="5"/>
  <c r="G1778" i="5"/>
  <c r="B166" i="5"/>
  <c r="A166" i="5"/>
  <c r="H166" i="5"/>
  <c r="G166" i="5"/>
  <c r="B2640" i="5"/>
  <c r="A2640" i="5"/>
  <c r="G2640" i="5"/>
  <c r="H2640" i="5"/>
  <c r="A426" i="5"/>
  <c r="B426" i="5"/>
  <c r="G426" i="5"/>
  <c r="H426" i="5"/>
  <c r="B2668" i="5"/>
  <c r="A2668" i="5"/>
  <c r="G2668" i="5"/>
  <c r="H2668" i="5"/>
  <c r="B2460" i="5"/>
  <c r="A2460" i="5"/>
  <c r="H2460" i="5"/>
  <c r="G2460" i="5"/>
  <c r="B4193" i="5"/>
  <c r="A4193" i="5"/>
  <c r="H4193" i="5"/>
  <c r="G4193" i="5"/>
  <c r="A4063" i="5"/>
  <c r="B4063" i="5"/>
  <c r="G4063" i="5"/>
  <c r="H4063" i="5"/>
  <c r="A4102" i="5"/>
  <c r="B4102" i="5"/>
  <c r="G4102" i="5"/>
  <c r="H4102" i="5"/>
  <c r="B22" i="5"/>
  <c r="A22" i="5"/>
  <c r="G22" i="5"/>
  <c r="H22" i="5"/>
  <c r="B430" i="5"/>
  <c r="A430" i="5"/>
  <c r="G430" i="5"/>
  <c r="H430" i="5"/>
  <c r="B3873" i="5"/>
  <c r="A3873" i="5"/>
  <c r="H3873" i="5"/>
  <c r="G3873" i="5"/>
  <c r="B2447" i="5"/>
  <c r="A2447" i="5"/>
  <c r="H2447" i="5"/>
  <c r="G2447" i="5"/>
  <c r="B3014" i="5"/>
  <c r="A3014" i="5"/>
  <c r="G3014" i="5"/>
  <c r="H3014" i="5"/>
  <c r="B1636" i="5"/>
  <c r="A1636" i="5"/>
  <c r="H1636" i="5"/>
  <c r="G1636" i="5"/>
  <c r="B1974" i="5"/>
  <c r="A1974" i="5"/>
  <c r="H1974" i="5"/>
  <c r="G1974" i="5"/>
  <c r="B681" i="5"/>
  <c r="A681" i="5"/>
  <c r="H681" i="5"/>
  <c r="G681" i="5"/>
  <c r="B3580" i="5"/>
  <c r="A3580" i="5"/>
  <c r="H3580" i="5"/>
  <c r="G3580" i="5"/>
  <c r="A2856" i="5"/>
  <c r="B2856" i="5"/>
  <c r="H2856" i="5"/>
  <c r="G2856" i="5"/>
  <c r="A4023" i="5"/>
  <c r="B4023" i="5"/>
  <c r="H4023" i="5"/>
  <c r="G4023" i="5"/>
  <c r="B3076" i="5"/>
  <c r="A3076" i="5"/>
  <c r="H3076" i="5"/>
  <c r="G3076" i="5"/>
  <c r="B3369" i="5"/>
  <c r="A3369" i="5"/>
  <c r="G3369" i="5"/>
  <c r="H3369" i="5"/>
  <c r="B3307" i="5"/>
  <c r="A3307" i="5"/>
  <c r="H3307" i="5"/>
  <c r="G3307" i="5"/>
  <c r="A1331" i="5"/>
  <c r="B1331" i="5"/>
  <c r="H1331" i="5"/>
  <c r="G1331" i="5"/>
  <c r="B4336" i="5"/>
  <c r="A4336" i="5"/>
  <c r="G4336" i="5"/>
  <c r="H4336" i="5"/>
  <c r="B934" i="5"/>
  <c r="A934" i="5"/>
  <c r="G934" i="5"/>
  <c r="H934" i="5"/>
  <c r="B3217" i="5"/>
  <c r="A3217" i="5"/>
  <c r="G3217" i="5"/>
  <c r="H3217" i="5"/>
  <c r="B3572" i="5"/>
  <c r="A3572" i="5"/>
  <c r="H3572" i="5"/>
  <c r="G3572" i="5"/>
  <c r="B2624" i="5"/>
  <c r="A2624" i="5"/>
  <c r="H2624" i="5"/>
  <c r="G2624" i="5"/>
  <c r="B2868" i="5"/>
  <c r="A2868" i="5"/>
  <c r="H2868" i="5"/>
  <c r="G2868" i="5"/>
  <c r="A4162" i="5"/>
  <c r="B4162" i="5"/>
  <c r="H4162" i="5"/>
  <c r="G4162" i="5"/>
  <c r="B3065" i="5"/>
  <c r="A3065" i="5"/>
  <c r="H3065" i="5"/>
  <c r="G3065" i="5"/>
  <c r="B1034" i="5"/>
  <c r="A1034" i="5"/>
  <c r="G1034" i="5"/>
  <c r="H1034" i="5"/>
  <c r="B4360" i="5"/>
  <c r="A4360" i="5"/>
  <c r="H4360" i="5"/>
  <c r="G4360" i="5"/>
  <c r="B327" i="5"/>
  <c r="A327" i="5"/>
  <c r="H327" i="5"/>
  <c r="G327" i="5"/>
  <c r="B3392" i="5"/>
  <c r="A3392" i="5"/>
  <c r="H3392" i="5"/>
  <c r="G3392" i="5"/>
  <c r="B2056" i="5"/>
  <c r="A2056" i="5"/>
  <c r="H2056" i="5"/>
  <c r="G2056" i="5"/>
  <c r="B2058" i="5"/>
  <c r="A2058" i="5"/>
  <c r="H2058" i="5"/>
  <c r="G2058" i="5"/>
  <c r="B1871" i="5"/>
  <c r="A1871" i="5"/>
  <c r="H1871" i="5"/>
  <c r="G1871" i="5"/>
  <c r="B1362" i="5"/>
  <c r="A1362" i="5"/>
  <c r="H1362" i="5"/>
  <c r="G1362" i="5"/>
  <c r="A2833" i="5"/>
  <c r="B2833" i="5"/>
  <c r="G2833" i="5"/>
  <c r="H2833" i="5"/>
  <c r="B723" i="5"/>
  <c r="A723" i="5"/>
  <c r="H723" i="5"/>
  <c r="G723" i="5"/>
  <c r="A4153" i="5"/>
  <c r="B4153" i="5"/>
  <c r="H4153" i="5"/>
  <c r="G4153" i="5"/>
  <c r="A3158" i="5"/>
  <c r="B3158" i="5"/>
  <c r="G3158" i="5"/>
  <c r="H3158" i="5"/>
  <c r="A3895" i="5"/>
  <c r="B3895" i="5"/>
  <c r="H3895" i="5"/>
  <c r="G3895" i="5"/>
  <c r="B2659" i="5"/>
  <c r="A2659" i="5"/>
  <c r="H2659" i="5"/>
  <c r="G2659" i="5"/>
  <c r="B2037" i="5"/>
  <c r="A2037" i="5"/>
  <c r="G2037" i="5"/>
  <c r="H2037" i="5"/>
  <c r="A1916" i="5"/>
  <c r="B1916" i="5"/>
  <c r="H1916" i="5"/>
  <c r="G1916" i="5"/>
  <c r="B4482" i="5"/>
  <c r="A4482" i="5"/>
  <c r="H4482" i="5"/>
  <c r="G4482" i="5"/>
  <c r="B3042" i="5"/>
  <c r="A3042" i="5"/>
  <c r="H3042" i="5"/>
  <c r="G3042" i="5"/>
  <c r="B3816" i="5"/>
  <c r="A3816" i="5"/>
  <c r="H3816" i="5"/>
  <c r="G3816" i="5"/>
  <c r="B4462" i="5"/>
  <c r="A4462" i="5"/>
  <c r="H4462" i="5"/>
  <c r="G4462" i="5"/>
  <c r="B1672" i="5"/>
  <c r="A1672" i="5"/>
  <c r="G1672" i="5"/>
  <c r="H1672" i="5"/>
  <c r="A2840" i="5"/>
  <c r="B2840" i="5"/>
  <c r="G2840" i="5"/>
  <c r="H2840" i="5"/>
  <c r="A3271" i="5"/>
  <c r="B3271" i="5"/>
  <c r="H3271" i="5"/>
  <c r="G3271" i="5"/>
  <c r="B4140" i="5"/>
  <c r="A4140" i="5"/>
  <c r="G4140" i="5"/>
  <c r="H4140" i="5"/>
  <c r="B2501" i="5"/>
  <c r="A2501" i="5"/>
  <c r="H2501" i="5"/>
  <c r="G2501" i="5"/>
  <c r="B1962" i="5"/>
  <c r="A1962" i="5"/>
  <c r="H1962" i="5"/>
  <c r="G1962" i="5"/>
  <c r="B4491" i="5"/>
  <c r="A4491" i="5"/>
  <c r="G4491" i="5"/>
  <c r="H4491" i="5"/>
  <c r="B1574" i="5"/>
  <c r="A1574" i="5"/>
  <c r="G1574" i="5"/>
  <c r="H1574" i="5"/>
  <c r="A4372" i="5"/>
  <c r="B4372" i="5"/>
  <c r="G4372" i="5"/>
  <c r="H4372" i="5"/>
  <c r="B1341" i="5"/>
  <c r="A1341" i="5"/>
  <c r="G1341" i="5"/>
  <c r="H1341" i="5"/>
  <c r="B2262" i="5"/>
  <c r="A2262" i="5"/>
  <c r="G2262" i="5"/>
  <c r="H2262" i="5"/>
  <c r="B3699" i="5"/>
  <c r="A3699" i="5"/>
  <c r="G3699" i="5"/>
  <c r="H3699" i="5"/>
  <c r="B2289" i="5"/>
  <c r="A2289" i="5"/>
  <c r="H2289" i="5"/>
  <c r="G2289" i="5"/>
  <c r="B2219" i="5"/>
  <c r="A2219" i="5"/>
  <c r="H2219" i="5"/>
  <c r="G2219" i="5"/>
  <c r="B976" i="5"/>
  <c r="A976" i="5"/>
  <c r="H976" i="5"/>
  <c r="G976" i="5"/>
  <c r="A2091" i="5"/>
  <c r="B2091" i="5"/>
  <c r="G2091" i="5"/>
  <c r="H2091" i="5"/>
  <c r="B3508" i="5"/>
  <c r="A3508" i="5"/>
  <c r="H3508" i="5"/>
  <c r="G3508" i="5"/>
  <c r="B4164" i="5"/>
  <c r="A4164" i="5"/>
  <c r="G4164" i="5"/>
  <c r="H4164" i="5"/>
  <c r="B1078" i="5"/>
  <c r="A1078" i="5"/>
  <c r="H1078" i="5"/>
  <c r="G1078" i="5"/>
  <c r="B3057" i="5"/>
  <c r="A3057" i="5"/>
  <c r="H3057" i="5"/>
  <c r="G3057" i="5"/>
  <c r="B2192" i="5"/>
  <c r="A2192" i="5"/>
  <c r="H2192" i="5"/>
  <c r="G2192" i="5"/>
  <c r="B2743" i="5"/>
  <c r="A2743" i="5"/>
  <c r="H2743" i="5"/>
  <c r="G2743" i="5"/>
  <c r="B1906" i="5"/>
  <c r="A1906" i="5"/>
  <c r="H1906" i="5"/>
  <c r="G1906" i="5"/>
  <c r="B2408" i="5"/>
  <c r="A2408" i="5"/>
  <c r="H2408" i="5"/>
  <c r="G2408" i="5"/>
  <c r="B1372" i="5"/>
  <c r="A1372" i="5"/>
  <c r="H1372" i="5"/>
  <c r="G1372" i="5"/>
  <c r="A2713" i="5"/>
  <c r="B2713" i="5"/>
  <c r="G2713" i="5"/>
  <c r="H2713" i="5"/>
  <c r="B3837" i="5"/>
  <c r="A3837" i="5"/>
  <c r="H3837" i="5"/>
  <c r="G3837" i="5"/>
  <c r="B1716" i="5"/>
  <c r="A1716" i="5"/>
  <c r="H1716" i="5"/>
  <c r="G1716" i="5"/>
  <c r="B3806" i="5"/>
  <c r="A3806" i="5"/>
  <c r="H3806" i="5"/>
  <c r="G3806" i="5"/>
  <c r="B1440" i="5"/>
  <c r="A1440" i="5"/>
  <c r="H1440" i="5"/>
  <c r="G1440" i="5"/>
  <c r="B896" i="5"/>
  <c r="A896" i="5"/>
  <c r="G896" i="5"/>
  <c r="H896" i="5"/>
  <c r="B3373" i="5"/>
  <c r="A3373" i="5"/>
  <c r="H3373" i="5"/>
  <c r="G3373" i="5"/>
  <c r="A1569" i="5"/>
  <c r="B1569" i="5"/>
  <c r="H1569" i="5"/>
  <c r="G1569" i="5"/>
  <c r="A3515" i="5"/>
  <c r="B3515" i="5"/>
  <c r="H3515" i="5"/>
  <c r="G3515" i="5"/>
  <c r="B1659" i="5"/>
  <c r="A1659" i="5"/>
  <c r="H1659" i="5"/>
  <c r="G1659" i="5"/>
  <c r="A1731" i="5"/>
  <c r="B1731" i="5"/>
  <c r="H1731" i="5"/>
  <c r="G1731" i="5"/>
  <c r="B4184" i="5"/>
  <c r="A4184" i="5"/>
  <c r="G4184" i="5"/>
  <c r="H4184" i="5"/>
  <c r="B241" i="5"/>
  <c r="A241" i="5"/>
  <c r="H241" i="5"/>
  <c r="G241" i="5"/>
  <c r="A2931" i="5"/>
  <c r="B2931" i="5"/>
  <c r="G2931" i="5"/>
  <c r="H2931" i="5"/>
  <c r="B2715" i="5"/>
  <c r="A2715" i="5"/>
  <c r="G2715" i="5"/>
  <c r="H2715" i="5"/>
  <c r="B220" i="5"/>
  <c r="A220" i="5"/>
  <c r="H220" i="5"/>
  <c r="G220" i="5"/>
  <c r="B2433" i="5"/>
  <c r="A2433" i="5"/>
  <c r="G2433" i="5"/>
  <c r="H2433" i="5"/>
  <c r="B4220" i="5"/>
  <c r="A4220" i="5"/>
  <c r="H4220" i="5"/>
  <c r="G4220" i="5"/>
  <c r="B3047" i="5"/>
  <c r="A3047" i="5"/>
  <c r="H3047" i="5"/>
  <c r="G3047" i="5"/>
  <c r="A3486" i="5"/>
  <c r="B3486" i="5"/>
  <c r="H3486" i="5"/>
  <c r="G3486" i="5"/>
  <c r="A4245" i="5"/>
  <c r="B4245" i="5"/>
  <c r="H4245" i="5"/>
  <c r="G4245" i="5"/>
  <c r="B4498" i="5"/>
  <c r="A4498" i="5"/>
  <c r="G4498" i="5"/>
  <c r="H4498" i="5"/>
  <c r="B1210" i="5"/>
  <c r="A1210" i="5"/>
  <c r="G1210" i="5"/>
  <c r="H1210" i="5"/>
  <c r="B2610" i="5"/>
  <c r="A2610" i="5"/>
  <c r="H2610" i="5"/>
  <c r="G2610" i="5"/>
  <c r="B3249" i="5"/>
  <c r="A3249" i="5"/>
  <c r="G3249" i="5"/>
  <c r="H3249" i="5"/>
  <c r="B2790" i="5"/>
  <c r="A2790" i="5"/>
  <c r="H2790" i="5"/>
  <c r="G2790" i="5"/>
  <c r="B1158" i="5"/>
  <c r="A1158" i="5"/>
  <c r="G1158" i="5"/>
  <c r="H1158" i="5"/>
  <c r="A3354" i="5"/>
  <c r="B3354" i="5"/>
  <c r="H3354" i="5"/>
  <c r="G3354" i="5"/>
  <c r="B375" i="5"/>
  <c r="A375" i="5"/>
  <c r="H375" i="5"/>
  <c r="G375" i="5"/>
  <c r="B3261" i="5"/>
  <c r="A3261" i="5"/>
  <c r="H3261" i="5"/>
  <c r="G3261" i="5"/>
  <c r="B3778" i="5"/>
  <c r="A3778" i="5"/>
  <c r="H3778" i="5"/>
  <c r="G3778" i="5"/>
  <c r="B3625" i="5"/>
  <c r="A3625" i="5"/>
  <c r="H3625" i="5"/>
  <c r="G3625" i="5"/>
  <c r="A2380" i="5"/>
  <c r="B2380" i="5"/>
  <c r="H2380" i="5"/>
  <c r="G2380" i="5"/>
  <c r="A3186" i="5"/>
  <c r="B3186" i="5"/>
  <c r="G3186" i="5"/>
  <c r="H3186" i="5"/>
  <c r="B2159" i="5"/>
  <c r="A2159" i="5"/>
  <c r="H2159" i="5"/>
  <c r="G2159" i="5"/>
  <c r="A1149" i="5"/>
  <c r="H1149" i="5"/>
  <c r="B1149" i="5"/>
  <c r="G1149" i="5"/>
  <c r="B2941" i="5"/>
  <c r="A2941" i="5"/>
  <c r="H2941" i="5"/>
  <c r="G2941" i="5"/>
  <c r="B2860" i="5"/>
  <c r="A2860" i="5"/>
  <c r="H2860" i="5"/>
  <c r="G2860" i="5"/>
  <c r="B3678" i="5"/>
  <c r="A3678" i="5"/>
  <c r="H3678" i="5"/>
  <c r="G3678" i="5"/>
  <c r="B909" i="5"/>
  <c r="A909" i="5"/>
  <c r="H909" i="5"/>
  <c r="G909" i="5"/>
  <c r="A2541" i="5"/>
  <c r="B2541" i="5"/>
  <c r="H2541" i="5"/>
  <c r="G2541" i="5"/>
  <c r="B2382" i="5"/>
  <c r="A2382" i="5"/>
  <c r="G2382" i="5"/>
  <c r="H2382" i="5"/>
  <c r="A1229" i="5"/>
  <c r="B1229" i="5"/>
  <c r="H1229" i="5"/>
  <c r="G1229" i="5"/>
  <c r="B2488" i="5"/>
  <c r="A2488" i="5"/>
  <c r="H2488" i="5"/>
  <c r="G2488" i="5"/>
  <c r="A471" i="5"/>
  <c r="B471" i="5"/>
  <c r="G471" i="5"/>
  <c r="H471" i="5"/>
  <c r="B3474" i="5"/>
  <c r="A3474" i="5"/>
  <c r="H3474" i="5"/>
  <c r="G3474" i="5"/>
  <c r="B2328" i="5"/>
  <c r="A2328" i="5"/>
  <c r="H2328" i="5"/>
  <c r="G2328" i="5"/>
  <c r="B4126" i="5"/>
  <c r="A4126" i="5"/>
  <c r="H4126" i="5"/>
  <c r="G4126" i="5"/>
  <c r="B2316" i="5"/>
  <c r="A2316" i="5"/>
  <c r="G2316" i="5"/>
  <c r="H2316" i="5"/>
  <c r="B3924" i="5"/>
  <c r="A3924" i="5"/>
  <c r="G3924" i="5"/>
  <c r="H3924" i="5"/>
  <c r="B2392" i="5"/>
  <c r="A2392" i="5"/>
  <c r="H2392" i="5"/>
  <c r="G2392" i="5"/>
  <c r="B2736" i="5"/>
  <c r="A2736" i="5"/>
  <c r="H2736" i="5"/>
  <c r="G2736" i="5"/>
  <c r="B193" i="5"/>
  <c r="A193" i="5"/>
  <c r="H193" i="5"/>
  <c r="G193" i="5"/>
  <c r="B3842" i="5"/>
  <c r="A3842" i="5"/>
  <c r="G3842" i="5"/>
  <c r="H3842" i="5"/>
  <c r="B1749" i="5"/>
  <c r="A1749" i="5"/>
  <c r="G1749" i="5"/>
  <c r="H1749" i="5"/>
  <c r="B1455" i="5"/>
  <c r="A1455" i="5"/>
  <c r="G1455" i="5"/>
  <c r="H1455" i="5"/>
  <c r="B3954" i="5"/>
  <c r="A3954" i="5"/>
  <c r="H3954" i="5"/>
  <c r="G3954" i="5"/>
  <c r="B2302" i="5"/>
  <c r="A2302" i="5"/>
  <c r="H2302" i="5"/>
  <c r="G2302" i="5"/>
  <c r="B3588" i="5"/>
  <c r="A3588" i="5"/>
  <c r="H3588" i="5"/>
  <c r="G3588" i="5"/>
  <c r="B441" i="5"/>
  <c r="A441" i="5"/>
  <c r="H441" i="5"/>
  <c r="G441" i="5"/>
  <c r="B1986" i="5"/>
  <c r="A1986" i="5"/>
  <c r="H1986" i="5"/>
  <c r="G1986" i="5"/>
  <c r="B1112" i="5"/>
  <c r="A1112" i="5"/>
  <c r="H1112" i="5"/>
  <c r="G1112" i="5"/>
  <c r="B1435" i="5"/>
  <c r="A1435" i="5"/>
  <c r="G1435" i="5"/>
  <c r="H1435" i="5"/>
  <c r="B2040" i="5"/>
  <c r="A2040" i="5"/>
  <c r="H2040" i="5"/>
  <c r="G2040" i="5"/>
  <c r="B4414" i="5"/>
  <c r="A4414" i="5"/>
  <c r="H4414" i="5"/>
  <c r="G4414" i="5"/>
  <c r="A1304" i="5"/>
  <c r="B1304" i="5"/>
  <c r="G1304" i="5"/>
  <c r="H1304" i="5"/>
  <c r="B3411" i="5"/>
  <c r="A3411" i="5"/>
  <c r="H3411" i="5"/>
  <c r="G3411" i="5"/>
  <c r="B979" i="5"/>
  <c r="A979" i="5"/>
  <c r="G979" i="5"/>
  <c r="H979" i="5"/>
  <c r="B1404" i="5"/>
  <c r="A1404" i="5"/>
  <c r="G1404" i="5"/>
  <c r="H1404" i="5"/>
  <c r="B3972" i="5"/>
  <c r="A3972" i="5"/>
  <c r="H3972" i="5"/>
  <c r="G3972" i="5"/>
  <c r="B1689" i="5"/>
  <c r="A1689" i="5"/>
  <c r="H1689" i="5"/>
  <c r="G1689" i="5"/>
  <c r="A931" i="5"/>
  <c r="B931" i="5"/>
  <c r="G931" i="5"/>
  <c r="H931" i="5"/>
  <c r="B3621" i="5"/>
  <c r="A3621" i="5"/>
  <c r="G3621" i="5"/>
  <c r="H3621" i="5"/>
  <c r="A3976" i="5"/>
  <c r="B3976" i="5"/>
  <c r="H3976" i="5"/>
  <c r="G3976" i="5"/>
  <c r="B1137" i="5"/>
  <c r="A1137" i="5"/>
  <c r="G1137" i="5"/>
  <c r="H1137" i="5"/>
  <c r="B1166" i="5"/>
  <c r="A1166" i="5"/>
  <c r="H1166" i="5"/>
  <c r="G1166" i="5"/>
  <c r="B1273" i="5"/>
  <c r="A1273" i="5"/>
  <c r="H1273" i="5"/>
  <c r="G1273" i="5"/>
  <c r="B4173" i="5"/>
  <c r="A4173" i="5"/>
  <c r="H4173" i="5"/>
  <c r="G4173" i="5"/>
  <c r="B1257" i="5"/>
  <c r="A1257" i="5"/>
  <c r="H1257" i="5"/>
  <c r="G1257" i="5"/>
  <c r="B967" i="5"/>
  <c r="A967" i="5"/>
  <c r="G967" i="5"/>
  <c r="H967" i="5"/>
  <c r="B4296" i="5"/>
  <c r="A4296" i="5"/>
  <c r="G4296" i="5"/>
  <c r="H4296" i="5"/>
  <c r="B660" i="5"/>
  <c r="A660" i="5"/>
  <c r="G660" i="5"/>
  <c r="H660" i="5"/>
  <c r="B3112" i="5"/>
  <c r="A3112" i="5"/>
  <c r="H3112" i="5"/>
  <c r="G3112" i="5"/>
  <c r="A3785" i="5"/>
  <c r="B3785" i="5"/>
  <c r="G3785" i="5"/>
  <c r="H3785" i="5"/>
  <c r="A1777" i="5"/>
  <c r="B1777" i="5"/>
  <c r="H1777" i="5"/>
  <c r="G1777" i="5"/>
  <c r="A827" i="5"/>
  <c r="B827" i="5"/>
  <c r="G827" i="5"/>
  <c r="H827" i="5"/>
  <c r="B2969" i="5"/>
  <c r="A2969" i="5"/>
  <c r="G2969" i="5"/>
  <c r="H2969" i="5"/>
  <c r="B3761" i="5"/>
  <c r="A3761" i="5"/>
  <c r="H3761" i="5"/>
  <c r="G3761" i="5"/>
  <c r="B4388" i="5"/>
  <c r="A4388" i="5"/>
  <c r="H4388" i="5"/>
  <c r="G4388" i="5"/>
  <c r="B3606" i="5"/>
  <c r="A3606" i="5"/>
  <c r="G3606" i="5"/>
  <c r="H3606" i="5"/>
  <c r="A1016" i="5"/>
  <c r="B1016" i="5"/>
  <c r="H1016" i="5"/>
  <c r="G1016" i="5"/>
  <c r="B4085" i="5"/>
  <c r="A4085" i="5"/>
  <c r="H4085" i="5"/>
  <c r="G4085" i="5"/>
  <c r="B736" i="5"/>
  <c r="A736" i="5"/>
  <c r="G736" i="5"/>
  <c r="H736" i="5"/>
  <c r="B4405" i="5"/>
  <c r="A4405" i="5"/>
  <c r="H4405" i="5"/>
  <c r="G4405" i="5"/>
  <c r="B535" i="5"/>
  <c r="A535" i="5"/>
  <c r="H535" i="5"/>
  <c r="G535" i="5"/>
  <c r="A3000" i="5"/>
  <c r="B3000" i="5"/>
  <c r="H3000" i="5"/>
  <c r="G3000" i="5"/>
  <c r="A393" i="5"/>
  <c r="B393" i="5"/>
  <c r="H393" i="5"/>
  <c r="G393" i="5"/>
  <c r="A108" i="5"/>
  <c r="B108" i="5"/>
  <c r="H108" i="5"/>
  <c r="G108" i="5"/>
  <c r="B547" i="5"/>
  <c r="A547" i="5"/>
  <c r="G547" i="5"/>
  <c r="H547" i="5"/>
  <c r="A2571" i="5"/>
  <c r="B2571" i="5"/>
  <c r="H2571" i="5"/>
  <c r="G2571" i="5"/>
  <c r="A3634" i="5"/>
  <c r="B3634" i="5"/>
  <c r="G3634" i="5"/>
  <c r="H3634" i="5"/>
  <c r="B3465" i="5"/>
  <c r="A3465" i="5"/>
  <c r="H3465" i="5"/>
  <c r="G3465" i="5"/>
  <c r="A410" i="5"/>
  <c r="B410" i="5"/>
  <c r="G410" i="5"/>
  <c r="H410" i="5"/>
  <c r="A1664" i="5"/>
  <c r="B1664" i="5"/>
  <c r="H1664" i="5"/>
  <c r="G1664" i="5"/>
  <c r="B761" i="5"/>
  <c r="A761" i="5"/>
  <c r="G761" i="5"/>
  <c r="H761" i="5"/>
  <c r="B4080" i="5"/>
  <c r="A4080" i="5"/>
  <c r="G4080" i="5"/>
  <c r="H4080" i="5"/>
  <c r="B2173" i="5"/>
  <c r="A2173" i="5"/>
  <c r="H2173" i="5"/>
  <c r="G2173" i="5"/>
  <c r="B1581" i="5"/>
  <c r="A1581" i="5"/>
  <c r="H1581" i="5"/>
  <c r="G1581" i="5"/>
  <c r="B1867" i="5"/>
  <c r="A1867" i="5"/>
  <c r="H1867" i="5"/>
  <c r="G1867" i="5"/>
  <c r="B2114" i="5"/>
  <c r="A2114" i="5"/>
  <c r="G2114" i="5"/>
  <c r="H2114" i="5"/>
  <c r="B2147" i="5"/>
  <c r="A2147" i="5"/>
  <c r="H2147" i="5"/>
  <c r="G2147" i="5"/>
  <c r="B3964" i="5"/>
  <c r="A3964" i="5"/>
  <c r="G3964" i="5"/>
  <c r="H3964" i="5"/>
  <c r="B1998" i="5"/>
  <c r="A1998" i="5"/>
  <c r="H1998" i="5"/>
  <c r="G1998" i="5"/>
  <c r="A490" i="5"/>
  <c r="B490" i="5"/>
  <c r="G490" i="5"/>
  <c r="H490" i="5"/>
  <c r="A3289" i="5"/>
  <c r="B3289" i="5"/>
  <c r="G3289" i="5"/>
  <c r="H3289" i="5"/>
  <c r="B52" i="5"/>
  <c r="A52" i="5"/>
  <c r="H52" i="5"/>
  <c r="G52" i="5"/>
  <c r="B3657" i="5"/>
  <c r="A3657" i="5"/>
  <c r="G3657" i="5"/>
  <c r="H3657" i="5"/>
  <c r="A3416" i="5"/>
  <c r="B3416" i="5"/>
  <c r="H3416" i="5"/>
  <c r="G3416" i="5"/>
  <c r="B286" i="5"/>
  <c r="A286" i="5"/>
  <c r="G286" i="5"/>
  <c r="H286" i="5"/>
  <c r="B84" i="5"/>
  <c r="A84" i="5"/>
  <c r="H84" i="5"/>
  <c r="G84" i="5"/>
  <c r="B1395" i="5"/>
  <c r="A1395" i="5"/>
  <c r="G1395" i="5"/>
  <c r="H1395" i="5"/>
  <c r="B3022" i="5"/>
  <c r="A3022" i="5"/>
  <c r="G3022" i="5"/>
  <c r="H3022" i="5"/>
  <c r="B283" i="5"/>
  <c r="A283" i="5"/>
  <c r="G283" i="5"/>
  <c r="H283" i="5"/>
  <c r="B274" i="5"/>
  <c r="A274" i="5"/>
  <c r="H274" i="5"/>
  <c r="G274" i="5"/>
  <c r="B3096" i="5"/>
  <c r="A3096" i="5"/>
  <c r="H3096" i="5"/>
  <c r="G3096" i="5"/>
  <c r="A2596" i="5"/>
  <c r="B2596" i="5"/>
  <c r="H2596" i="5"/>
  <c r="G2596" i="5"/>
  <c r="A3662" i="5"/>
  <c r="B3662" i="5"/>
  <c r="G3662" i="5"/>
  <c r="H3662" i="5"/>
  <c r="B692" i="5"/>
  <c r="A692" i="5"/>
  <c r="H692" i="5"/>
  <c r="G692" i="5"/>
  <c r="B1140" i="5"/>
  <c r="A1140" i="5"/>
  <c r="H1140" i="5"/>
  <c r="G1140" i="5"/>
  <c r="A351" i="5"/>
  <c r="B351" i="5"/>
  <c r="H351" i="5"/>
  <c r="G351" i="5"/>
  <c r="B1848" i="5"/>
  <c r="A1848" i="5"/>
  <c r="H1848" i="5"/>
  <c r="G1848" i="5"/>
  <c r="B2579" i="5"/>
  <c r="A2579" i="5"/>
  <c r="H2579" i="5"/>
  <c r="G2579" i="5"/>
  <c r="B3670" i="5"/>
  <c r="A3670" i="5"/>
  <c r="G3670" i="5"/>
  <c r="H3670" i="5"/>
  <c r="B1735" i="5"/>
  <c r="A1735" i="5"/>
  <c r="H1735" i="5"/>
  <c r="G1735" i="5"/>
  <c r="A329" i="5"/>
  <c r="B329" i="5"/>
  <c r="G329" i="5"/>
  <c r="H329" i="5"/>
  <c r="B4310" i="5"/>
  <c r="A4310" i="5"/>
  <c r="G4310" i="5"/>
  <c r="H4310" i="5"/>
  <c r="B99" i="5"/>
  <c r="A99" i="5"/>
  <c r="H99" i="5"/>
  <c r="G99" i="5"/>
  <c r="B2362" i="5"/>
  <c r="A2362" i="5"/>
  <c r="H2362" i="5"/>
  <c r="G2362" i="5"/>
  <c r="B1956" i="5"/>
  <c r="A1956" i="5"/>
  <c r="H1956" i="5"/>
  <c r="G1956" i="5"/>
  <c r="B3558" i="5"/>
  <c r="A3558" i="5"/>
  <c r="H3558" i="5"/>
  <c r="G3558" i="5"/>
  <c r="B3140" i="5"/>
  <c r="A3140" i="5"/>
  <c r="G3140" i="5"/>
  <c r="H3140" i="5"/>
  <c r="B1628" i="5"/>
  <c r="A1628" i="5"/>
  <c r="H1628" i="5"/>
  <c r="G1628" i="5"/>
  <c r="B1129" i="5"/>
  <c r="A1129" i="5"/>
  <c r="H1129" i="5"/>
  <c r="G1129" i="5"/>
  <c r="B3428" i="5"/>
  <c r="A3428" i="5"/>
  <c r="H3428" i="5"/>
  <c r="G3428" i="5"/>
  <c r="A4098" i="5"/>
  <c r="B4098" i="5"/>
  <c r="G4098" i="5"/>
  <c r="H4098" i="5"/>
  <c r="B2403" i="5"/>
  <c r="A2403" i="5"/>
  <c r="H2403" i="5"/>
  <c r="G2403" i="5"/>
  <c r="A666" i="5"/>
  <c r="B666" i="5"/>
  <c r="G666" i="5"/>
  <c r="H666" i="5"/>
  <c r="B229" i="5"/>
  <c r="A229" i="5"/>
  <c r="H229" i="5"/>
  <c r="G229" i="5"/>
  <c r="B2130" i="5"/>
  <c r="A2130" i="5"/>
  <c r="H2130" i="5"/>
  <c r="G2130" i="5"/>
  <c r="B1889" i="5"/>
  <c r="A1889" i="5"/>
  <c r="G1889" i="5"/>
  <c r="H1889" i="5"/>
  <c r="B2957" i="5"/>
  <c r="A2957" i="5"/>
  <c r="H2957" i="5"/>
  <c r="G2957" i="5"/>
  <c r="B3002" i="5"/>
  <c r="A3002" i="5"/>
  <c r="G3002" i="5"/>
  <c r="H3002" i="5"/>
  <c r="A2104" i="5"/>
  <c r="B2104" i="5"/>
  <c r="H2104" i="5"/>
  <c r="G2104" i="5"/>
  <c r="B3207" i="5"/>
  <c r="A3207" i="5"/>
  <c r="G3207" i="5"/>
  <c r="H3207" i="5"/>
  <c r="B2184" i="5"/>
  <c r="A2184" i="5"/>
  <c r="G2184" i="5"/>
  <c r="H2184" i="5"/>
  <c r="B1238" i="5"/>
  <c r="A1238" i="5"/>
  <c r="H1238" i="5"/>
  <c r="G1238" i="5"/>
  <c r="B2254" i="5"/>
  <c r="A2254" i="5"/>
  <c r="H2254" i="5"/>
  <c r="G2254" i="5"/>
  <c r="B1788" i="5"/>
  <c r="A1788" i="5"/>
  <c r="G1788" i="5"/>
  <c r="H1788" i="5"/>
  <c r="B1884" i="5"/>
  <c r="A1884" i="5"/>
  <c r="H1884" i="5"/>
  <c r="G1884" i="5"/>
  <c r="B1056" i="5"/>
  <c r="A1056" i="5"/>
  <c r="H1056" i="5"/>
  <c r="G1056" i="5"/>
  <c r="B1619" i="5"/>
  <c r="A1619" i="5"/>
  <c r="H1619" i="5"/>
  <c r="G1619" i="5"/>
  <c r="B41" i="5"/>
  <c r="A41" i="5"/>
  <c r="H41" i="5"/>
  <c r="G41" i="5"/>
  <c r="B786" i="5"/>
  <c r="A786" i="5"/>
  <c r="H786" i="5"/>
  <c r="G786" i="5"/>
  <c r="B3101" i="5"/>
  <c r="A3101" i="5"/>
  <c r="H3101" i="5"/>
  <c r="G3101" i="5"/>
  <c r="B34" i="5"/>
  <c r="A34" i="5"/>
  <c r="H34" i="5"/>
  <c r="G34" i="5"/>
  <c r="A617" i="5"/>
  <c r="B617" i="5"/>
  <c r="H617" i="5"/>
  <c r="G617" i="5"/>
  <c r="B3335" i="5"/>
  <c r="A3335" i="5"/>
  <c r="H3335" i="5"/>
  <c r="G3335" i="5"/>
  <c r="A673" i="5"/>
  <c r="B673" i="5"/>
  <c r="G673" i="5"/>
  <c r="H673" i="5"/>
  <c r="A1521" i="5"/>
  <c r="B1521" i="5"/>
  <c r="H1521" i="5"/>
  <c r="G1521" i="5"/>
  <c r="B3987" i="5"/>
  <c r="A3987" i="5"/>
  <c r="H3987" i="5"/>
  <c r="G3987" i="5"/>
  <c r="A4306" i="5"/>
  <c r="B4306" i="5"/>
  <c r="H4306" i="5"/>
  <c r="G4306" i="5"/>
  <c r="B2472" i="5"/>
  <c r="A2472" i="5"/>
  <c r="H2472" i="5"/>
  <c r="G2472" i="5"/>
  <c r="B2816" i="5"/>
  <c r="A2816" i="5"/>
  <c r="H2816" i="5"/>
  <c r="G2816" i="5"/>
  <c r="B745" i="5"/>
  <c r="A745" i="5"/>
  <c r="H745" i="5"/>
  <c r="G745" i="5"/>
  <c r="A2781" i="5"/>
  <c r="B2781" i="5"/>
  <c r="G2781" i="5"/>
  <c r="H2781" i="5"/>
  <c r="A3227" i="5"/>
  <c r="B3227" i="5"/>
  <c r="H3227" i="5"/>
  <c r="G3227" i="5"/>
  <c r="B2244" i="5"/>
  <c r="A2244" i="5"/>
  <c r="G2244" i="5"/>
  <c r="H2244" i="5"/>
  <c r="B1544" i="5"/>
  <c r="A1544" i="5"/>
  <c r="G1544" i="5"/>
  <c r="H1544" i="5"/>
  <c r="A2295" i="5"/>
  <c r="B2295" i="5"/>
  <c r="G2295" i="5"/>
  <c r="H2295" i="5"/>
  <c r="B138" i="5"/>
  <c r="A138" i="5"/>
  <c r="H138" i="5"/>
  <c r="G138" i="5"/>
  <c r="B3996" i="5"/>
  <c r="A3996" i="5"/>
  <c r="G3996" i="5"/>
  <c r="H3996" i="5"/>
  <c r="B1764" i="5"/>
  <c r="A1764" i="5"/>
  <c r="H1764" i="5"/>
  <c r="G1764" i="5"/>
  <c r="A207" i="5"/>
  <c r="B207" i="5"/>
  <c r="H207" i="5"/>
  <c r="G207" i="5"/>
  <c r="B1858" i="5"/>
  <c r="A1858" i="5"/>
  <c r="H1858" i="5"/>
  <c r="G1858" i="5"/>
  <c r="B2772" i="5"/>
  <c r="A2772" i="5"/>
  <c r="H2772" i="5"/>
  <c r="G2772" i="5"/>
  <c r="B2082" i="5"/>
  <c r="A2082" i="5"/>
  <c r="G2082" i="5"/>
  <c r="H2082" i="5"/>
  <c r="A2760" i="5"/>
  <c r="B2760" i="5"/>
  <c r="G2760" i="5"/>
  <c r="H2760" i="5"/>
  <c r="B1110" i="5"/>
  <c r="A1110" i="5"/>
  <c r="H1110" i="5"/>
  <c r="G1110" i="5"/>
  <c r="B1897" i="5"/>
  <c r="A1897" i="5"/>
  <c r="H1897" i="5"/>
  <c r="G1897" i="5"/>
  <c r="B167" i="5"/>
  <c r="A167" i="5"/>
  <c r="G167" i="5"/>
  <c r="H167" i="5"/>
  <c r="A60" i="5"/>
  <c r="B60" i="5"/>
  <c r="G60" i="5"/>
  <c r="H60" i="5"/>
  <c r="B2123" i="5"/>
  <c r="A2123" i="5"/>
  <c r="H2123" i="5"/>
  <c r="G2123" i="5"/>
  <c r="B1779" i="5"/>
  <c r="A1779" i="5"/>
  <c r="G1779" i="5"/>
  <c r="H1779" i="5"/>
  <c r="B2641" i="5"/>
  <c r="A2641" i="5"/>
  <c r="G2641" i="5"/>
  <c r="H2641" i="5"/>
  <c r="B2677" i="5"/>
  <c r="A2677" i="5"/>
  <c r="H2677" i="5"/>
  <c r="G2677" i="5"/>
  <c r="B2667" i="5"/>
  <c r="A2667" i="5"/>
  <c r="G2667" i="5"/>
  <c r="H2667" i="5"/>
  <c r="B2455" i="5"/>
  <c r="A2455" i="5"/>
  <c r="H2455" i="5"/>
  <c r="G2455" i="5"/>
  <c r="B4191" i="5"/>
  <c r="A4191" i="5"/>
  <c r="G4191" i="5"/>
  <c r="H4191" i="5"/>
  <c r="A429" i="5"/>
  <c r="H429" i="5"/>
  <c r="B429" i="5"/>
  <c r="G429" i="5"/>
  <c r="A3866" i="5"/>
  <c r="B3866" i="5"/>
  <c r="H3866" i="5"/>
  <c r="G3866" i="5"/>
  <c r="B958" i="5"/>
  <c r="A958" i="5"/>
  <c r="H958" i="5"/>
  <c r="G958" i="5"/>
  <c r="A2445" i="5"/>
  <c r="B2445" i="5"/>
  <c r="H2445" i="5"/>
  <c r="G2445" i="5"/>
  <c r="B3011" i="5"/>
  <c r="A3011" i="5"/>
  <c r="H3011" i="5"/>
  <c r="G3011" i="5"/>
  <c r="B1543" i="5"/>
  <c r="A1543" i="5"/>
  <c r="G1543" i="5"/>
  <c r="H1543" i="5"/>
  <c r="B4266" i="5"/>
  <c r="A4266" i="5"/>
  <c r="H4266" i="5"/>
  <c r="G4266" i="5"/>
  <c r="B4257" i="5"/>
  <c r="A4257" i="5"/>
  <c r="H4257" i="5"/>
  <c r="G4257" i="5"/>
  <c r="A1641" i="5"/>
  <c r="B1641" i="5"/>
  <c r="H1641" i="5"/>
  <c r="G1641" i="5"/>
  <c r="B1807" i="5"/>
  <c r="A1807" i="5"/>
  <c r="H1807" i="5"/>
  <c r="G1807" i="5"/>
  <c r="B1970" i="5"/>
  <c r="A1970" i="5"/>
  <c r="G1970" i="5"/>
  <c r="H1970" i="5"/>
  <c r="E263" i="8"/>
  <c r="D288" i="8"/>
  <c r="L241" i="8"/>
  <c r="H322" i="8"/>
  <c r="D43" i="8"/>
  <c r="H438" i="8"/>
  <c r="B3171" i="5"/>
  <c r="A3171" i="5"/>
  <c r="G3171" i="5"/>
  <c r="H3171" i="5"/>
  <c r="B680" i="5"/>
  <c r="A680" i="5"/>
  <c r="G680" i="5"/>
  <c r="H680" i="5"/>
  <c r="B3586" i="5"/>
  <c r="A3586" i="5"/>
  <c r="G3586" i="5"/>
  <c r="H3586" i="5"/>
  <c r="B2851" i="5"/>
  <c r="A2851" i="5"/>
  <c r="H2851" i="5"/>
  <c r="G2851" i="5"/>
  <c r="B4022" i="5"/>
  <c r="A4022" i="5"/>
  <c r="G4022" i="5"/>
  <c r="H4022" i="5"/>
  <c r="B3075" i="5"/>
  <c r="A3075" i="5"/>
  <c r="H3075" i="5"/>
  <c r="G3075" i="5"/>
  <c r="B2950" i="5"/>
  <c r="A2950" i="5"/>
  <c r="G2950" i="5"/>
  <c r="H2950" i="5"/>
  <c r="B3301" i="5"/>
  <c r="A3301" i="5"/>
  <c r="H3301" i="5"/>
  <c r="G3301" i="5"/>
  <c r="B1329" i="5"/>
  <c r="A1329" i="5"/>
  <c r="H1329" i="5"/>
  <c r="G1329" i="5"/>
  <c r="B4334" i="5"/>
  <c r="A4334" i="5"/>
  <c r="H4334" i="5"/>
  <c r="G4334" i="5"/>
  <c r="B940" i="5"/>
  <c r="A940" i="5"/>
  <c r="H940" i="5"/>
  <c r="G940" i="5"/>
  <c r="B3216" i="5"/>
  <c r="A3216" i="5"/>
  <c r="G3216" i="5"/>
  <c r="H3216" i="5"/>
  <c r="B3598" i="5"/>
  <c r="A3598" i="5"/>
  <c r="H3598" i="5"/>
  <c r="G3598" i="5"/>
  <c r="B2563" i="5"/>
  <c r="A2563" i="5"/>
  <c r="H2563" i="5"/>
  <c r="G2563" i="5"/>
  <c r="B3571" i="5"/>
  <c r="A3571" i="5"/>
  <c r="G3571" i="5"/>
  <c r="H3571" i="5"/>
  <c r="A2605" i="5"/>
  <c r="B2605" i="5"/>
  <c r="G2605" i="5"/>
  <c r="H2605" i="5"/>
  <c r="A4239" i="5"/>
  <c r="B4239" i="5"/>
  <c r="G4239" i="5"/>
  <c r="H4239" i="5"/>
  <c r="B2870" i="5"/>
  <c r="A2870" i="5"/>
  <c r="H2870" i="5"/>
  <c r="G2870" i="5"/>
  <c r="B1686" i="5"/>
  <c r="A1686" i="5"/>
  <c r="H1686" i="5"/>
  <c r="G1686" i="5"/>
  <c r="B3072" i="5"/>
  <c r="A3072" i="5"/>
  <c r="H3072" i="5"/>
  <c r="G3072" i="5"/>
  <c r="B1033" i="5"/>
  <c r="A1033" i="5"/>
  <c r="H1033" i="5"/>
  <c r="G1033" i="5"/>
  <c r="B4359" i="5"/>
  <c r="A4359" i="5"/>
  <c r="H4359" i="5"/>
  <c r="G4359" i="5"/>
  <c r="A328" i="5"/>
  <c r="B328" i="5"/>
  <c r="H328" i="5"/>
  <c r="G328" i="5"/>
  <c r="B651" i="5"/>
  <c r="A651" i="5"/>
  <c r="H651" i="5"/>
  <c r="G651" i="5"/>
  <c r="B3391" i="5"/>
  <c r="A3391" i="5"/>
  <c r="H3391" i="5"/>
  <c r="G3391" i="5"/>
  <c r="B2055" i="5"/>
  <c r="A2055" i="5"/>
  <c r="H2055" i="5"/>
  <c r="G2055" i="5"/>
  <c r="B3148" i="5"/>
  <c r="A3148" i="5"/>
  <c r="H3148" i="5"/>
  <c r="G3148" i="5"/>
  <c r="A2065" i="5"/>
  <c r="B2065" i="5"/>
  <c r="H2065" i="5"/>
  <c r="G2065" i="5"/>
  <c r="B1870" i="5"/>
  <c r="A1870" i="5"/>
  <c r="G1870" i="5"/>
  <c r="H1870" i="5"/>
  <c r="A2420" i="5"/>
  <c r="B2420" i="5"/>
  <c r="H2420" i="5"/>
  <c r="G2420" i="5"/>
  <c r="B3798" i="5"/>
  <c r="A3798" i="5"/>
  <c r="H3798" i="5"/>
  <c r="G3798" i="5"/>
  <c r="B1223" i="5"/>
  <c r="A1223" i="5"/>
  <c r="H1223" i="5"/>
  <c r="G1223" i="5"/>
  <c r="B4152" i="5"/>
  <c r="A4152" i="5"/>
  <c r="H4152" i="5"/>
  <c r="G4152" i="5"/>
  <c r="B3162" i="5"/>
  <c r="A3162" i="5"/>
  <c r="H3162" i="5"/>
  <c r="G3162" i="5"/>
  <c r="B251" i="5"/>
  <c r="A251" i="5"/>
  <c r="H251" i="5"/>
  <c r="G251" i="5"/>
  <c r="A2658" i="5"/>
  <c r="B2658" i="5"/>
  <c r="G2658" i="5"/>
  <c r="H2658" i="5"/>
  <c r="B2031" i="5"/>
  <c r="A2031" i="5"/>
  <c r="H2031" i="5"/>
  <c r="G2031" i="5"/>
  <c r="B2339" i="5"/>
  <c r="A2339" i="5"/>
  <c r="H2339" i="5"/>
  <c r="G2339" i="5"/>
  <c r="B1088" i="5"/>
  <c r="A1088" i="5"/>
  <c r="H1088" i="5"/>
  <c r="G1088" i="5"/>
  <c r="B4481" i="5"/>
  <c r="A4481" i="5"/>
  <c r="H4481" i="5"/>
  <c r="G4481" i="5"/>
  <c r="B3040" i="5"/>
  <c r="A3040" i="5"/>
  <c r="H3040" i="5"/>
  <c r="G3040" i="5"/>
  <c r="A877" i="5"/>
  <c r="B877" i="5"/>
  <c r="G877" i="5"/>
  <c r="H877" i="5"/>
  <c r="A3812" i="5"/>
  <c r="B3812" i="5"/>
  <c r="H3812" i="5"/>
  <c r="G3812" i="5"/>
  <c r="B473" i="5"/>
  <c r="A473" i="5"/>
  <c r="H473" i="5"/>
  <c r="G473" i="5"/>
  <c r="B2618" i="5"/>
  <c r="A2618" i="5"/>
  <c r="H2618" i="5"/>
  <c r="G2618" i="5"/>
  <c r="A594" i="5"/>
  <c r="B594" i="5"/>
  <c r="H594" i="5"/>
  <c r="G594" i="5"/>
  <c r="A1674" i="5"/>
  <c r="B1674" i="5"/>
  <c r="H1674" i="5"/>
  <c r="G1674" i="5"/>
  <c r="B2924" i="5"/>
  <c r="A2924" i="5"/>
  <c r="G2924" i="5"/>
  <c r="H2924" i="5"/>
  <c r="A4030" i="5"/>
  <c r="B4030" i="5"/>
  <c r="G4030" i="5"/>
  <c r="H4030" i="5"/>
  <c r="B1961" i="5"/>
  <c r="A1961" i="5"/>
  <c r="H1961" i="5"/>
  <c r="G1961" i="5"/>
  <c r="A4487" i="5"/>
  <c r="B4487" i="5"/>
  <c r="H4487" i="5"/>
  <c r="G4487" i="5"/>
  <c r="B1573" i="5"/>
  <c r="A1573" i="5"/>
  <c r="H1573" i="5"/>
  <c r="G1573" i="5"/>
  <c r="B4378" i="5"/>
  <c r="A4378" i="5"/>
  <c r="G4378" i="5"/>
  <c r="H4378" i="5"/>
  <c r="B3698" i="5"/>
  <c r="A3698" i="5"/>
  <c r="G3698" i="5"/>
  <c r="H3698" i="5"/>
  <c r="B2286" i="5"/>
  <c r="A2286" i="5"/>
  <c r="H2286" i="5"/>
  <c r="G2286" i="5"/>
  <c r="A4473" i="5"/>
  <c r="B4473" i="5"/>
  <c r="G4473" i="5"/>
  <c r="H4473" i="5"/>
  <c r="A3514" i="5"/>
  <c r="B3514" i="5"/>
  <c r="H3514" i="5"/>
  <c r="G3514" i="5"/>
  <c r="B1083" i="5"/>
  <c r="A1083" i="5"/>
  <c r="H1083" i="5"/>
  <c r="G1083" i="5"/>
  <c r="B3056" i="5"/>
  <c r="A3056" i="5"/>
  <c r="H3056" i="5"/>
  <c r="G3056" i="5"/>
  <c r="B2533" i="5"/>
  <c r="A2533" i="5"/>
  <c r="G2533" i="5"/>
  <c r="H2533" i="5"/>
  <c r="B1251" i="5"/>
  <c r="A1251" i="5"/>
  <c r="H1251" i="5"/>
  <c r="G1251" i="5"/>
  <c r="A2742" i="5"/>
  <c r="B2742" i="5"/>
  <c r="G2742" i="5"/>
  <c r="H2742" i="5"/>
  <c r="B1904" i="5"/>
  <c r="A1904" i="5"/>
  <c r="H1904" i="5"/>
  <c r="G1904" i="5"/>
  <c r="B2415" i="5"/>
  <c r="A2415" i="5"/>
  <c r="G2415" i="5"/>
  <c r="H2415" i="5"/>
  <c r="B1371" i="5"/>
  <c r="A1371" i="5"/>
  <c r="H1371" i="5"/>
  <c r="G1371" i="5"/>
  <c r="B3805" i="5"/>
  <c r="A3805" i="5"/>
  <c r="G3805" i="5"/>
  <c r="H3805" i="5"/>
  <c r="B2888" i="5"/>
  <c r="A2888" i="5"/>
  <c r="G2888" i="5"/>
  <c r="H2888" i="5"/>
  <c r="B1470" i="5"/>
  <c r="A1470" i="5"/>
  <c r="G1470" i="5"/>
  <c r="H1470" i="5"/>
  <c r="B1437" i="5"/>
  <c r="A1437" i="5"/>
  <c r="G1437" i="5"/>
  <c r="H1437" i="5"/>
  <c r="B903" i="5"/>
  <c r="A903" i="5"/>
  <c r="H903" i="5"/>
  <c r="G903" i="5"/>
  <c r="B3371" i="5"/>
  <c r="A3371" i="5"/>
  <c r="H3371" i="5"/>
  <c r="G3371" i="5"/>
  <c r="A3181" i="5"/>
  <c r="B3181" i="5"/>
  <c r="H3181" i="5"/>
  <c r="G3181" i="5"/>
  <c r="B3523" i="5"/>
  <c r="A3523" i="5"/>
  <c r="H3523" i="5"/>
  <c r="G3523" i="5"/>
  <c r="B1503" i="5"/>
  <c r="A1503" i="5"/>
  <c r="G1503" i="5"/>
  <c r="H1503" i="5"/>
  <c r="B4181" i="5"/>
  <c r="A4181" i="5"/>
  <c r="H4181" i="5"/>
  <c r="G4181" i="5"/>
  <c r="A247" i="5"/>
  <c r="B247" i="5"/>
  <c r="H247" i="5"/>
  <c r="G247" i="5"/>
  <c r="B2938" i="5"/>
  <c r="A2938" i="5"/>
  <c r="H2938" i="5"/>
  <c r="G2938" i="5"/>
  <c r="A2750" i="5"/>
  <c r="B2750" i="5"/>
  <c r="H2750" i="5"/>
  <c r="G2750" i="5"/>
  <c r="B603" i="5"/>
  <c r="A603" i="5"/>
  <c r="H603" i="5"/>
  <c r="G603" i="5"/>
  <c r="B2714" i="5"/>
  <c r="A2714" i="5"/>
  <c r="H2714" i="5"/>
  <c r="G2714" i="5"/>
  <c r="B4275" i="5"/>
  <c r="A4275" i="5"/>
  <c r="G4275" i="5"/>
  <c r="H4275" i="5"/>
  <c r="A2429" i="5"/>
  <c r="B2429" i="5"/>
  <c r="H2429" i="5"/>
  <c r="G2429" i="5"/>
  <c r="B3055" i="5"/>
  <c r="A3055" i="5"/>
  <c r="H3055" i="5"/>
  <c r="G3055" i="5"/>
  <c r="B4244" i="5"/>
  <c r="A4244" i="5"/>
  <c r="H4244" i="5"/>
  <c r="G4244" i="5"/>
  <c r="A3534" i="5"/>
  <c r="B3534" i="5"/>
  <c r="H3534" i="5"/>
  <c r="G3534" i="5"/>
  <c r="B2609" i="5"/>
  <c r="A2609" i="5"/>
  <c r="H2609" i="5"/>
  <c r="G2609" i="5"/>
  <c r="B2786" i="5"/>
  <c r="A2786" i="5"/>
  <c r="H2786" i="5"/>
  <c r="G2786" i="5"/>
  <c r="B1164" i="5"/>
  <c r="A1164" i="5"/>
  <c r="H1164" i="5"/>
  <c r="G1164" i="5"/>
  <c r="A3353" i="5"/>
  <c r="B3353" i="5"/>
  <c r="G3353" i="5"/>
  <c r="H3353" i="5"/>
  <c r="A378" i="5"/>
  <c r="B378" i="5"/>
  <c r="G378" i="5"/>
  <c r="H378" i="5"/>
  <c r="B3257" i="5"/>
  <c r="A3257" i="5"/>
  <c r="H3257" i="5"/>
  <c r="G3257" i="5"/>
  <c r="B567" i="5"/>
  <c r="A567" i="5"/>
  <c r="H567" i="5"/>
  <c r="G567" i="5"/>
  <c r="B2543" i="5"/>
  <c r="A2543" i="5"/>
  <c r="H2543" i="5"/>
  <c r="G2543" i="5"/>
  <c r="B4363" i="5"/>
  <c r="A4363" i="5"/>
  <c r="G4363" i="5"/>
  <c r="H4363" i="5"/>
  <c r="B1213" i="5"/>
  <c r="A1213" i="5"/>
  <c r="H1213" i="5"/>
  <c r="G1213" i="5"/>
  <c r="B459" i="5"/>
  <c r="A459" i="5"/>
  <c r="H459" i="5"/>
  <c r="G459" i="5"/>
  <c r="A2982" i="5"/>
  <c r="B2982" i="5"/>
  <c r="G2982" i="5"/>
  <c r="H2982" i="5"/>
  <c r="B2069" i="5"/>
  <c r="A2069" i="5"/>
  <c r="G2069" i="5"/>
  <c r="H2069" i="5"/>
  <c r="B449" i="5"/>
  <c r="A449" i="5"/>
  <c r="G449" i="5"/>
  <c r="H449" i="5"/>
  <c r="A3623" i="5"/>
  <c r="B3623" i="5"/>
  <c r="H3623" i="5"/>
  <c r="G3623" i="5"/>
  <c r="B2024" i="5"/>
  <c r="A2024" i="5"/>
  <c r="H2024" i="5"/>
  <c r="G2024" i="5"/>
  <c r="B3500" i="5"/>
  <c r="A3500" i="5"/>
  <c r="G3500" i="5"/>
  <c r="H3500" i="5"/>
  <c r="B2379" i="5"/>
  <c r="A2379" i="5"/>
  <c r="G2379" i="5"/>
  <c r="H2379" i="5"/>
  <c r="B3190" i="5"/>
  <c r="A3190" i="5"/>
  <c r="G3190" i="5"/>
  <c r="H3190" i="5"/>
  <c r="B2158" i="5"/>
  <c r="A2158" i="5"/>
  <c r="G2158" i="5"/>
  <c r="H2158" i="5"/>
  <c r="B2859" i="5"/>
  <c r="A2859" i="5"/>
  <c r="H2859" i="5"/>
  <c r="G2859" i="5"/>
  <c r="B3685" i="5"/>
  <c r="A3685" i="5"/>
  <c r="H3685" i="5"/>
  <c r="G3685" i="5"/>
  <c r="B1475" i="5"/>
  <c r="A1475" i="5"/>
  <c r="H1475" i="5"/>
  <c r="G1475" i="5"/>
  <c r="J104" i="8"/>
  <c r="K104" i="8"/>
  <c r="H104" i="8"/>
  <c r="I104" i="8"/>
  <c r="L104" i="8"/>
  <c r="E104" i="8"/>
  <c r="G104" i="8"/>
  <c r="C104" i="8"/>
  <c r="B104" i="8"/>
  <c r="A104" i="8"/>
  <c r="B2538" i="5"/>
  <c r="A2538" i="5"/>
  <c r="H2538" i="5"/>
  <c r="G2538" i="5"/>
  <c r="B2381" i="5"/>
  <c r="A2381" i="5"/>
  <c r="H2381" i="5"/>
  <c r="G2381" i="5"/>
  <c r="B881" i="5"/>
  <c r="A881" i="5"/>
  <c r="G881" i="5"/>
  <c r="H881" i="5"/>
  <c r="B1197" i="5"/>
  <c r="A1197" i="5"/>
  <c r="H1197" i="5"/>
  <c r="G1197" i="5"/>
  <c r="B468" i="5"/>
  <c r="A468" i="5"/>
  <c r="H468" i="5"/>
  <c r="G468" i="5"/>
  <c r="A3906" i="5"/>
  <c r="B3906" i="5"/>
  <c r="H3906" i="5"/>
  <c r="G3906" i="5"/>
  <c r="B3473" i="5"/>
  <c r="A3473" i="5"/>
  <c r="G3473" i="5"/>
  <c r="H3473" i="5"/>
  <c r="B2330" i="5"/>
  <c r="A2330" i="5"/>
  <c r="H2330" i="5"/>
  <c r="G2330" i="5"/>
  <c r="B2313" i="5"/>
  <c r="A2313" i="5"/>
  <c r="H2313" i="5"/>
  <c r="G2313" i="5"/>
  <c r="B3923" i="5"/>
  <c r="A3923" i="5"/>
  <c r="H3923" i="5"/>
  <c r="G3923" i="5"/>
  <c r="B3705" i="5"/>
  <c r="A3705" i="5"/>
  <c r="H3705" i="5"/>
  <c r="G3705" i="5"/>
  <c r="A3490" i="5"/>
  <c r="B3490" i="5"/>
  <c r="H3490" i="5"/>
  <c r="G3490" i="5"/>
  <c r="B2391" i="5"/>
  <c r="A2391" i="5"/>
  <c r="H2391" i="5"/>
  <c r="G2391" i="5"/>
  <c r="B2735" i="5"/>
  <c r="A2735" i="5"/>
  <c r="H2735" i="5"/>
  <c r="G2735" i="5"/>
  <c r="B3846" i="5"/>
  <c r="A3846" i="5"/>
  <c r="H3846" i="5"/>
  <c r="G3846" i="5"/>
  <c r="B1454" i="5"/>
  <c r="A1454" i="5"/>
  <c r="H1454" i="5"/>
  <c r="G1454" i="5"/>
  <c r="B755" i="5"/>
  <c r="A755" i="5"/>
  <c r="H755" i="5"/>
  <c r="G755" i="5"/>
  <c r="B612" i="5"/>
  <c r="A612" i="5"/>
  <c r="H612" i="5"/>
  <c r="G612" i="5"/>
  <c r="B701" i="5"/>
  <c r="A701" i="5"/>
  <c r="G701" i="5"/>
  <c r="H701" i="5"/>
  <c r="B3594" i="5"/>
  <c r="A3594" i="5"/>
  <c r="H3594" i="5"/>
  <c r="G3594" i="5"/>
  <c r="B3729" i="5"/>
  <c r="A3729" i="5"/>
  <c r="H3729" i="5"/>
  <c r="G3729" i="5"/>
  <c r="B440" i="5"/>
  <c r="A440" i="5"/>
  <c r="H440" i="5"/>
  <c r="G440" i="5"/>
  <c r="B1987" i="5"/>
  <c r="A1987" i="5"/>
  <c r="G1987" i="5"/>
  <c r="H1987" i="5"/>
  <c r="B1115" i="5"/>
  <c r="A1115" i="5"/>
  <c r="H1115" i="5"/>
  <c r="G1115" i="5"/>
  <c r="B504" i="5"/>
  <c r="A504" i="5"/>
  <c r="G504" i="5"/>
  <c r="H504" i="5"/>
  <c r="B1434" i="5"/>
  <c r="A1434" i="5"/>
  <c r="G1434" i="5"/>
  <c r="H1434" i="5"/>
  <c r="B2039" i="5"/>
  <c r="A2039" i="5"/>
  <c r="H2039" i="5"/>
  <c r="G2039" i="5"/>
  <c r="B2145" i="5"/>
  <c r="A2145" i="5"/>
  <c r="H2145" i="5"/>
  <c r="G2145" i="5"/>
  <c r="B1302" i="5"/>
  <c r="A1302" i="5"/>
  <c r="G1302" i="5"/>
  <c r="H1302" i="5"/>
  <c r="A3408" i="5"/>
  <c r="B3408" i="5"/>
  <c r="G3408" i="5"/>
  <c r="H3408" i="5"/>
  <c r="A3942" i="5"/>
  <c r="B3942" i="5"/>
  <c r="H3942" i="5"/>
  <c r="G3942" i="5"/>
  <c r="B4111" i="5"/>
  <c r="A4111" i="5"/>
  <c r="H4111" i="5"/>
  <c r="G4111" i="5"/>
  <c r="A3352" i="5"/>
  <c r="B3352" i="5"/>
  <c r="H3352" i="5"/>
  <c r="G3352" i="5"/>
  <c r="B985" i="5"/>
  <c r="A985" i="5"/>
  <c r="H985" i="5"/>
  <c r="G985" i="5"/>
  <c r="B930" i="5"/>
  <c r="A930" i="5"/>
  <c r="H930" i="5"/>
  <c r="G930" i="5"/>
  <c r="B3615" i="5"/>
  <c r="A3615" i="5"/>
  <c r="H3615" i="5"/>
  <c r="G3615" i="5"/>
  <c r="B4202" i="5"/>
  <c r="A4202" i="5"/>
  <c r="H4202" i="5"/>
  <c r="G4202" i="5"/>
  <c r="A3982" i="5"/>
  <c r="B3982" i="5"/>
  <c r="H3982" i="5"/>
  <c r="G3982" i="5"/>
  <c r="B1602" i="5"/>
  <c r="A1602" i="5"/>
  <c r="H1602" i="5"/>
  <c r="G1602" i="5"/>
  <c r="A1174" i="5"/>
  <c r="B1174" i="5"/>
  <c r="H1174" i="5"/>
  <c r="G1174" i="5"/>
  <c r="B1272" i="5"/>
  <c r="A1272" i="5"/>
  <c r="H1272" i="5"/>
  <c r="G1272" i="5"/>
  <c r="B4172" i="5"/>
  <c r="A4172" i="5"/>
  <c r="G4172" i="5"/>
  <c r="H4172" i="5"/>
  <c r="B3118" i="5"/>
  <c r="A3118" i="5"/>
  <c r="H3118" i="5"/>
  <c r="G3118" i="5"/>
  <c r="B180" i="5"/>
  <c r="A180" i="5"/>
  <c r="H180" i="5"/>
  <c r="G180" i="5"/>
  <c r="B3792" i="5"/>
  <c r="A3792" i="5"/>
  <c r="H3792" i="5"/>
  <c r="G3792" i="5"/>
  <c r="B1771" i="5"/>
  <c r="A1771" i="5"/>
  <c r="H1771" i="5"/>
  <c r="G1771" i="5"/>
  <c r="B832" i="5"/>
  <c r="A832" i="5"/>
  <c r="H832" i="5"/>
  <c r="G832" i="5"/>
  <c r="B75" i="5"/>
  <c r="A75" i="5"/>
  <c r="G75" i="5"/>
  <c r="H75" i="5"/>
  <c r="A819" i="5"/>
  <c r="B819" i="5"/>
  <c r="H819" i="5"/>
  <c r="G819" i="5"/>
  <c r="B2967" i="5"/>
  <c r="A2967" i="5"/>
  <c r="H2967" i="5"/>
  <c r="G2967" i="5"/>
  <c r="A3760" i="5"/>
  <c r="B3760" i="5"/>
  <c r="H3760" i="5"/>
  <c r="G3760" i="5"/>
  <c r="B4390" i="5"/>
  <c r="A4390" i="5"/>
  <c r="G4390" i="5"/>
  <c r="H4390" i="5"/>
  <c r="B3605" i="5"/>
  <c r="A3605" i="5"/>
  <c r="H3605" i="5"/>
  <c r="G3605" i="5"/>
  <c r="B4084" i="5"/>
  <c r="A4084" i="5"/>
  <c r="H4084" i="5"/>
  <c r="G4084" i="5"/>
  <c r="B4398" i="5"/>
  <c r="A4398" i="5"/>
  <c r="H4398" i="5"/>
  <c r="G4398" i="5"/>
  <c r="B534" i="5"/>
  <c r="A534" i="5"/>
  <c r="G534" i="5"/>
  <c r="H534" i="5"/>
  <c r="B522" i="5"/>
  <c r="A522" i="5"/>
  <c r="H522" i="5"/>
  <c r="G522" i="5"/>
  <c r="B3237" i="5"/>
  <c r="A3237" i="5"/>
  <c r="H3237" i="5"/>
  <c r="G3237" i="5"/>
  <c r="B106" i="5"/>
  <c r="A106" i="5"/>
  <c r="H106" i="5"/>
  <c r="G106" i="5"/>
  <c r="A546" i="5"/>
  <c r="B546" i="5"/>
  <c r="G546" i="5"/>
  <c r="H546" i="5"/>
  <c r="B2578" i="5"/>
  <c r="A2578" i="5"/>
  <c r="G2578" i="5"/>
  <c r="H2578" i="5"/>
  <c r="B3463" i="5"/>
  <c r="G3463" i="5"/>
  <c r="H3463" i="5"/>
  <c r="A3463" i="5"/>
  <c r="B2691" i="5"/>
  <c r="A2691" i="5"/>
  <c r="G2691" i="5"/>
  <c r="H2691" i="5"/>
  <c r="B768" i="5"/>
  <c r="A768" i="5"/>
  <c r="H768" i="5"/>
  <c r="G768" i="5"/>
  <c r="B404" i="5"/>
  <c r="A404" i="5"/>
  <c r="G404" i="5"/>
  <c r="H404" i="5"/>
  <c r="A1863" i="5"/>
  <c r="B1863" i="5"/>
  <c r="H1863" i="5"/>
  <c r="G1863" i="5"/>
  <c r="A1313" i="5"/>
  <c r="B1313" i="5"/>
  <c r="H1313" i="5"/>
  <c r="G1313" i="5"/>
  <c r="B2113" i="5"/>
  <c r="A2113" i="5"/>
  <c r="H2113" i="5"/>
  <c r="G2113" i="5"/>
  <c r="B498" i="5"/>
  <c r="A498" i="5"/>
  <c r="H498" i="5"/>
  <c r="G498" i="5"/>
  <c r="B3963" i="5"/>
  <c r="A3963" i="5"/>
  <c r="H3963" i="5"/>
  <c r="G3963" i="5"/>
  <c r="B1997" i="5"/>
  <c r="A1997" i="5"/>
  <c r="H1997" i="5"/>
  <c r="G1997" i="5"/>
  <c r="B1183" i="5"/>
  <c r="A1183" i="5"/>
  <c r="G1183" i="5"/>
  <c r="H1183" i="5"/>
  <c r="B3652" i="5"/>
  <c r="A3652" i="5"/>
  <c r="H3652" i="5"/>
  <c r="G3652" i="5"/>
  <c r="B3417" i="5"/>
  <c r="A3417" i="5"/>
  <c r="H3417" i="5"/>
  <c r="G3417" i="5"/>
  <c r="B3751" i="5"/>
  <c r="A3751" i="5"/>
  <c r="H3751" i="5"/>
  <c r="G3751" i="5"/>
  <c r="B93" i="5"/>
  <c r="A93" i="5"/>
  <c r="G93" i="5"/>
  <c r="H93" i="5"/>
  <c r="B1394" i="5"/>
  <c r="A1394" i="5"/>
  <c r="H1394" i="5"/>
  <c r="G1394" i="5"/>
  <c r="B143" i="5"/>
  <c r="A143" i="5"/>
  <c r="H143" i="5"/>
  <c r="G143" i="5"/>
  <c r="A1529" i="5"/>
  <c r="B1529" i="5"/>
  <c r="H1529" i="5"/>
  <c r="G1529" i="5"/>
  <c r="B3093" i="5"/>
  <c r="A3093" i="5"/>
  <c r="H3093" i="5"/>
  <c r="G3093" i="5"/>
  <c r="B3661" i="5"/>
  <c r="A3661" i="5"/>
  <c r="G3661" i="5"/>
  <c r="H3661" i="5"/>
  <c r="B1065" i="5"/>
  <c r="A1065" i="5"/>
  <c r="G1065" i="5"/>
  <c r="H1065" i="5"/>
  <c r="B691" i="5"/>
  <c r="A691" i="5"/>
  <c r="H691" i="5"/>
  <c r="G691" i="5"/>
  <c r="B1381" i="5"/>
  <c r="A1381" i="5"/>
  <c r="H1381" i="5"/>
  <c r="G1381" i="5"/>
  <c r="B997" i="5"/>
  <c r="A997" i="5"/>
  <c r="H997" i="5"/>
  <c r="G997" i="5"/>
  <c r="B1139" i="5"/>
  <c r="A1139" i="5"/>
  <c r="H1139" i="5"/>
  <c r="G1139" i="5"/>
  <c r="B3225" i="5"/>
  <c r="A3225" i="5"/>
  <c r="H3225" i="5"/>
  <c r="G3225" i="5"/>
  <c r="B350" i="5"/>
  <c r="A350" i="5"/>
  <c r="G350" i="5"/>
  <c r="H350" i="5"/>
  <c r="B1843" i="5"/>
  <c r="A1843" i="5"/>
  <c r="G1843" i="5"/>
  <c r="H1843" i="5"/>
  <c r="B1734" i="5"/>
  <c r="A1734" i="5"/>
  <c r="H1734" i="5"/>
  <c r="G1734" i="5"/>
  <c r="B337" i="5"/>
  <c r="A337" i="5"/>
  <c r="H337" i="5"/>
  <c r="G337" i="5"/>
  <c r="A4309" i="5"/>
  <c r="B4309" i="5"/>
  <c r="G4309" i="5"/>
  <c r="H4309" i="5"/>
  <c r="B102" i="5"/>
  <c r="A102" i="5"/>
  <c r="H102" i="5"/>
  <c r="G102" i="5"/>
  <c r="B3145" i="5"/>
  <c r="A3145" i="5"/>
  <c r="G3145" i="5"/>
  <c r="H3145" i="5"/>
  <c r="B1626" i="5"/>
  <c r="A1626" i="5"/>
  <c r="G1626" i="5"/>
  <c r="H1626" i="5"/>
  <c r="A1121" i="5"/>
  <c r="B1121" i="5"/>
  <c r="H1121" i="5"/>
  <c r="G1121" i="5"/>
  <c r="B3433" i="5"/>
  <c r="A3433" i="5"/>
  <c r="H3433" i="5"/>
  <c r="G3433" i="5"/>
  <c r="B4099" i="5"/>
  <c r="A4099" i="5"/>
  <c r="H4099" i="5"/>
  <c r="G4099" i="5"/>
  <c r="B2703" i="5"/>
  <c r="A2703" i="5"/>
  <c r="H2703" i="5"/>
  <c r="G2703" i="5"/>
  <c r="B2407" i="5"/>
  <c r="A2407" i="5"/>
  <c r="H2407" i="5"/>
  <c r="G2407" i="5"/>
  <c r="A1758" i="5"/>
  <c r="B1758" i="5"/>
  <c r="H1758" i="5"/>
  <c r="G1758" i="5"/>
  <c r="A989" i="5"/>
  <c r="B989" i="5"/>
  <c r="H989" i="5"/>
  <c r="G989" i="5"/>
  <c r="B664" i="5"/>
  <c r="A664" i="5"/>
  <c r="G664" i="5"/>
  <c r="H664" i="5"/>
  <c r="A222" i="5"/>
  <c r="B222" i="5"/>
  <c r="G222" i="5"/>
  <c r="H222" i="5"/>
  <c r="B2137" i="5"/>
  <c r="A2137" i="5"/>
  <c r="H2137" i="5"/>
  <c r="G2137" i="5"/>
  <c r="B1888" i="5"/>
  <c r="A1888" i="5"/>
  <c r="H1888" i="5"/>
  <c r="G1888" i="5"/>
  <c r="A2964" i="5"/>
  <c r="B2964" i="5"/>
  <c r="G2964" i="5"/>
  <c r="H2964" i="5"/>
  <c r="B3010" i="5"/>
  <c r="A3010" i="5"/>
  <c r="G3010" i="5"/>
  <c r="H3010" i="5"/>
  <c r="A1821" i="5"/>
  <c r="B1821" i="5"/>
  <c r="G1821" i="5"/>
  <c r="H1821" i="5"/>
  <c r="A2102" i="5"/>
  <c r="B2102" i="5"/>
  <c r="H2102" i="5"/>
  <c r="G2102" i="5"/>
  <c r="A2183" i="5"/>
  <c r="B2183" i="5"/>
  <c r="H2183" i="5"/>
  <c r="G2183" i="5"/>
  <c r="B1242" i="5"/>
  <c r="A1242" i="5"/>
  <c r="H1242" i="5"/>
  <c r="G1242" i="5"/>
  <c r="B634" i="5"/>
  <c r="A634" i="5"/>
  <c r="H634" i="5"/>
  <c r="G634" i="5"/>
  <c r="A1052" i="5"/>
  <c r="B1052" i="5"/>
  <c r="H1052" i="5"/>
  <c r="G1052" i="5"/>
  <c r="A1617" i="5"/>
  <c r="B1617" i="5"/>
  <c r="H1617" i="5"/>
  <c r="G1617" i="5"/>
  <c r="B45" i="5"/>
  <c r="A45" i="5"/>
  <c r="H45" i="5"/>
  <c r="G45" i="5"/>
  <c r="B2469" i="5"/>
  <c r="A2469" i="5"/>
  <c r="H2469" i="5"/>
  <c r="G2469" i="5"/>
  <c r="A3108" i="5"/>
  <c r="B3108" i="5"/>
  <c r="G3108" i="5"/>
  <c r="H3108" i="5"/>
  <c r="B33" i="5"/>
  <c r="A33" i="5"/>
  <c r="G33" i="5"/>
  <c r="H33" i="5"/>
  <c r="B624" i="5"/>
  <c r="A624" i="5"/>
  <c r="G624" i="5"/>
  <c r="H624" i="5"/>
  <c r="B1592" i="5"/>
  <c r="A1592" i="5"/>
  <c r="H1592" i="5"/>
  <c r="G1592" i="5"/>
  <c r="B3338" i="5"/>
  <c r="A3338" i="5"/>
  <c r="H3338" i="5"/>
  <c r="G3338" i="5"/>
  <c r="B1044" i="5"/>
  <c r="A1044" i="5"/>
  <c r="G1044" i="5"/>
  <c r="H1044" i="5"/>
  <c r="B672" i="5"/>
  <c r="A672" i="5"/>
  <c r="H672" i="5"/>
  <c r="G672" i="5"/>
  <c r="B1518" i="5"/>
  <c r="A1518" i="5"/>
  <c r="G1518" i="5"/>
  <c r="H1518" i="5"/>
  <c r="B3986" i="5"/>
  <c r="A3986" i="5"/>
  <c r="G3986" i="5"/>
  <c r="H3986" i="5"/>
  <c r="B1615" i="5"/>
  <c r="A1615" i="5"/>
  <c r="G1615" i="5"/>
  <c r="H1615" i="5"/>
  <c r="B2478" i="5"/>
  <c r="A2478" i="5"/>
  <c r="H2478" i="5"/>
  <c r="G2478" i="5"/>
  <c r="B2815" i="5"/>
  <c r="A2815" i="5"/>
  <c r="H2815" i="5"/>
  <c r="G2815" i="5"/>
  <c r="B743" i="5"/>
  <c r="A743" i="5"/>
  <c r="H743" i="5"/>
  <c r="G743" i="5"/>
  <c r="A1827" i="5"/>
  <c r="B1827" i="5"/>
  <c r="G1827" i="5"/>
  <c r="H1827" i="5"/>
  <c r="B805" i="5"/>
  <c r="A805" i="5"/>
  <c r="H805" i="5"/>
  <c r="G805" i="5"/>
  <c r="B2779" i="5"/>
  <c r="A2779" i="5"/>
  <c r="H2779" i="5"/>
  <c r="G2779" i="5"/>
  <c r="A2245" i="5"/>
  <c r="B2245" i="5"/>
  <c r="H2245" i="5"/>
  <c r="G2245" i="5"/>
  <c r="B3526" i="5"/>
  <c r="A3526" i="5"/>
  <c r="H3526" i="5"/>
  <c r="G3526" i="5"/>
  <c r="B2294" i="5"/>
  <c r="A2294" i="5"/>
  <c r="G2294" i="5"/>
  <c r="H2294" i="5"/>
  <c r="B1651" i="5"/>
  <c r="A1651" i="5"/>
  <c r="G1651" i="5"/>
  <c r="H1651" i="5"/>
  <c r="B1412" i="5"/>
  <c r="A1412" i="5"/>
  <c r="H1412" i="5"/>
  <c r="G1412" i="5"/>
  <c r="B2100" i="5"/>
  <c r="A2100" i="5"/>
  <c r="H2100" i="5"/>
  <c r="G2100" i="5"/>
  <c r="B3995" i="5"/>
  <c r="A3995" i="5"/>
  <c r="H3995" i="5"/>
  <c r="G3995" i="5"/>
  <c r="B1768" i="5"/>
  <c r="A1768" i="5"/>
  <c r="H1768" i="5"/>
  <c r="G1768" i="5"/>
  <c r="A203" i="5"/>
  <c r="B203" i="5"/>
  <c r="H203" i="5"/>
  <c r="G203" i="5"/>
  <c r="B2771" i="5"/>
  <c r="A2771" i="5"/>
  <c r="H2771" i="5"/>
  <c r="G2771" i="5"/>
  <c r="A2759" i="5"/>
  <c r="B2759" i="5"/>
  <c r="H2759" i="5"/>
  <c r="G2759" i="5"/>
  <c r="B1103" i="5"/>
  <c r="A1103" i="5"/>
  <c r="G1103" i="5"/>
  <c r="H1103" i="5"/>
  <c r="B2443" i="5"/>
  <c r="A2443" i="5"/>
  <c r="H2443" i="5"/>
  <c r="G2443" i="5"/>
  <c r="B1896" i="5"/>
  <c r="A1896" i="5"/>
  <c r="H1896" i="5"/>
  <c r="G1896" i="5"/>
  <c r="B59" i="5"/>
  <c r="A59" i="5"/>
  <c r="H59" i="5"/>
  <c r="G59" i="5"/>
  <c r="B2121" i="5"/>
  <c r="A2121" i="5"/>
  <c r="H2121" i="5"/>
  <c r="G2121" i="5"/>
  <c r="B1786" i="5"/>
  <c r="A1786" i="5"/>
  <c r="G1786" i="5"/>
  <c r="H1786" i="5"/>
  <c r="A158" i="5"/>
  <c r="B158" i="5"/>
  <c r="G158" i="5"/>
  <c r="H158" i="5"/>
  <c r="B2676" i="5"/>
  <c r="A2676" i="5"/>
  <c r="H2676" i="5"/>
  <c r="G2676" i="5"/>
  <c r="B4198" i="5"/>
  <c r="A4198" i="5"/>
  <c r="G4198" i="5"/>
  <c r="H4198" i="5"/>
  <c r="A17" i="5"/>
  <c r="B17" i="5"/>
  <c r="H17" i="5"/>
  <c r="G17" i="5"/>
  <c r="B428" i="5"/>
  <c r="A428" i="5"/>
  <c r="G428" i="5"/>
  <c r="H428" i="5"/>
  <c r="B3869" i="5"/>
  <c r="A3869" i="5"/>
  <c r="H3869" i="5"/>
  <c r="G3869" i="5"/>
  <c r="B2444" i="5"/>
  <c r="A2444" i="5"/>
  <c r="H2444" i="5"/>
  <c r="G2444" i="5"/>
  <c r="B3013" i="5"/>
  <c r="A3013" i="5"/>
  <c r="H3013" i="5"/>
  <c r="G3013" i="5"/>
  <c r="B1542" i="5"/>
  <c r="A1542" i="5"/>
  <c r="G1542" i="5"/>
  <c r="H1542" i="5"/>
  <c r="B1980" i="5"/>
  <c r="A1980" i="5"/>
  <c r="H1980" i="5"/>
  <c r="G1980" i="5"/>
  <c r="B4265" i="5"/>
  <c r="A4265" i="5"/>
  <c r="G4265" i="5"/>
  <c r="H4265" i="5"/>
  <c r="A1806" i="5"/>
  <c r="B1806" i="5"/>
  <c r="H1806" i="5"/>
  <c r="G1806" i="5"/>
  <c r="B265" i="5"/>
  <c r="A265" i="5"/>
  <c r="H265" i="5"/>
  <c r="G265" i="5"/>
  <c r="B3087" i="5"/>
  <c r="A3087" i="5"/>
  <c r="G3087" i="5"/>
  <c r="H3087" i="5"/>
  <c r="B1969" i="5"/>
  <c r="A1969" i="5"/>
  <c r="H1969" i="5"/>
  <c r="G1969" i="5"/>
  <c r="F263" i="8"/>
  <c r="G324" i="8"/>
  <c r="B288" i="8"/>
  <c r="A241" i="8"/>
  <c r="I322" i="8"/>
  <c r="E43" i="8"/>
  <c r="D438" i="8"/>
  <c r="A589" i="5"/>
  <c r="B589" i="5"/>
  <c r="G589" i="5"/>
  <c r="H589" i="5"/>
  <c r="B2850" i="5"/>
  <c r="A2850" i="5"/>
  <c r="H2850" i="5"/>
  <c r="G2850" i="5"/>
  <c r="B4021" i="5"/>
  <c r="A4021" i="5"/>
  <c r="H4021" i="5"/>
  <c r="G4021" i="5"/>
  <c r="B3074" i="5"/>
  <c r="A3074" i="5"/>
  <c r="H3074" i="5"/>
  <c r="G3074" i="5"/>
  <c r="B2826" i="5"/>
  <c r="A2826" i="5"/>
  <c r="G2826" i="5"/>
  <c r="H2826" i="5"/>
  <c r="B3299" i="5"/>
  <c r="A3299" i="5"/>
  <c r="G3299" i="5"/>
  <c r="H3299" i="5"/>
  <c r="B4341" i="5"/>
  <c r="A4341" i="5"/>
  <c r="G4341" i="5"/>
  <c r="H4341" i="5"/>
  <c r="A939" i="5"/>
  <c r="B939" i="5"/>
  <c r="G939" i="5"/>
  <c r="H939" i="5"/>
  <c r="B2562" i="5"/>
  <c r="A2562" i="5"/>
  <c r="G2562" i="5"/>
  <c r="H2562" i="5"/>
  <c r="B2727" i="5"/>
  <c r="A2727" i="5"/>
  <c r="H2727" i="5"/>
  <c r="G2727" i="5"/>
  <c r="B3577" i="5"/>
  <c r="A3577" i="5"/>
  <c r="H3577" i="5"/>
  <c r="G3577" i="5"/>
  <c r="B2604" i="5"/>
  <c r="A2604" i="5"/>
  <c r="H2604" i="5"/>
  <c r="G2604" i="5"/>
  <c r="B4238" i="5"/>
  <c r="A4238" i="5"/>
  <c r="H4238" i="5"/>
  <c r="G4238" i="5"/>
  <c r="B2867" i="5"/>
  <c r="A2867" i="5"/>
  <c r="H2867" i="5"/>
  <c r="G2867" i="5"/>
  <c r="B3069" i="5"/>
  <c r="A3069" i="5"/>
  <c r="H3069" i="5"/>
  <c r="G3069" i="5"/>
  <c r="B1035" i="5"/>
  <c r="A1035" i="5"/>
  <c r="G1035" i="5"/>
  <c r="H1035" i="5"/>
  <c r="B3390" i="5"/>
  <c r="A3390" i="5"/>
  <c r="H3390" i="5"/>
  <c r="G3390" i="5"/>
  <c r="G2059" i="5"/>
  <c r="A2059" i="5"/>
  <c r="B2059" i="5"/>
  <c r="H2059" i="5"/>
  <c r="A1868" i="5"/>
  <c r="B1868" i="5"/>
  <c r="G1868" i="5"/>
  <c r="H1868" i="5"/>
  <c r="A2419" i="5"/>
  <c r="B2419" i="5"/>
  <c r="H2419" i="5"/>
  <c r="G2419" i="5"/>
  <c r="B3797" i="5"/>
  <c r="A3797" i="5"/>
  <c r="G3797" i="5"/>
  <c r="H3797" i="5"/>
  <c r="B1221" i="5"/>
  <c r="A1221" i="5"/>
  <c r="H1221" i="5"/>
  <c r="G1221" i="5"/>
  <c r="A1359" i="5"/>
  <c r="B1359" i="5"/>
  <c r="H1359" i="5"/>
  <c r="G1359" i="5"/>
  <c r="B368" i="5"/>
  <c r="A368" i="5"/>
  <c r="G368" i="5"/>
  <c r="H368" i="5"/>
  <c r="A3163" i="5"/>
  <c r="B3163" i="5"/>
  <c r="H3163" i="5"/>
  <c r="G3163" i="5"/>
  <c r="B250" i="5"/>
  <c r="A250" i="5"/>
  <c r="H250" i="5"/>
  <c r="G250" i="5"/>
  <c r="A2038" i="5"/>
  <c r="B2038" i="5"/>
  <c r="H2038" i="5"/>
  <c r="G2038" i="5"/>
  <c r="B2337" i="5"/>
  <c r="A2337" i="5"/>
  <c r="H2337" i="5"/>
  <c r="G2337" i="5"/>
  <c r="B1086" i="5"/>
  <c r="A1086" i="5"/>
  <c r="H1086" i="5"/>
  <c r="G1086" i="5"/>
  <c r="B4479" i="5"/>
  <c r="A4479" i="5"/>
  <c r="G4479" i="5"/>
  <c r="H4479" i="5"/>
  <c r="A3046" i="5"/>
  <c r="B3046" i="5"/>
  <c r="H3046" i="5"/>
  <c r="G3046" i="5"/>
  <c r="B876" i="5"/>
  <c r="A876" i="5"/>
  <c r="H876" i="5"/>
  <c r="G876" i="5"/>
  <c r="A2617" i="5"/>
  <c r="B2617" i="5"/>
  <c r="H2617" i="5"/>
  <c r="G2617" i="5"/>
  <c r="B592" i="5"/>
  <c r="A592" i="5"/>
  <c r="G592" i="5"/>
  <c r="H592" i="5"/>
  <c r="B1671" i="5"/>
  <c r="A1671" i="5"/>
  <c r="H1671" i="5"/>
  <c r="G1671" i="5"/>
  <c r="B2842" i="5"/>
  <c r="A2842" i="5"/>
  <c r="G2842" i="5"/>
  <c r="H2842" i="5"/>
  <c r="B3032" i="5"/>
  <c r="A3032" i="5"/>
  <c r="H3032" i="5"/>
  <c r="G3032" i="5"/>
  <c r="B4139" i="5"/>
  <c r="A4139" i="5"/>
  <c r="G4139" i="5"/>
  <c r="H4139" i="5"/>
  <c r="A2498" i="5"/>
  <c r="B2498" i="5"/>
  <c r="H2498" i="5"/>
  <c r="G2498" i="5"/>
  <c r="B2929" i="5"/>
  <c r="A2929" i="5"/>
  <c r="H2929" i="5"/>
  <c r="G2929" i="5"/>
  <c r="A1965" i="5"/>
  <c r="B1965" i="5"/>
  <c r="G1965" i="5"/>
  <c r="H1965" i="5"/>
  <c r="B1579" i="5"/>
  <c r="A1579" i="5"/>
  <c r="H1579" i="5"/>
  <c r="G1579" i="5"/>
  <c r="B3276" i="5"/>
  <c r="A3276" i="5"/>
  <c r="H3276" i="5"/>
  <c r="G3276" i="5"/>
  <c r="B3697" i="5"/>
  <c r="A3697" i="5"/>
  <c r="H3697" i="5"/>
  <c r="G3697" i="5"/>
  <c r="B2284" i="5"/>
  <c r="A2284" i="5"/>
  <c r="H2284" i="5"/>
  <c r="G2284" i="5"/>
  <c r="B4333" i="5"/>
  <c r="A4333" i="5"/>
  <c r="H4333" i="5"/>
  <c r="G4333" i="5"/>
  <c r="B972" i="5"/>
  <c r="A972" i="5"/>
  <c r="H972" i="5"/>
  <c r="G972" i="5"/>
  <c r="A4050" i="5"/>
  <c r="B4050" i="5"/>
  <c r="H4050" i="5"/>
  <c r="G4050" i="5"/>
  <c r="B2529" i="5"/>
  <c r="A2529" i="5"/>
  <c r="G2529" i="5"/>
  <c r="H2529" i="5"/>
  <c r="A1249" i="5"/>
  <c r="B1249" i="5"/>
  <c r="H1249" i="5"/>
  <c r="G1249" i="5"/>
  <c r="A2741" i="5"/>
  <c r="B2741" i="5"/>
  <c r="H2741" i="5"/>
  <c r="G2741" i="5"/>
  <c r="B1481" i="5"/>
  <c r="A1481" i="5"/>
  <c r="H1481" i="5"/>
  <c r="G1481" i="5"/>
  <c r="B2411" i="5"/>
  <c r="A2411" i="5"/>
  <c r="H2411" i="5"/>
  <c r="G2411" i="5"/>
  <c r="A1365" i="5"/>
  <c r="B1365" i="5"/>
  <c r="H1365" i="5"/>
  <c r="G1365" i="5"/>
  <c r="B1011" i="5"/>
  <c r="A1011" i="5"/>
  <c r="G1011" i="5"/>
  <c r="H1011" i="5"/>
  <c r="A3834" i="5"/>
  <c r="B3834" i="5"/>
  <c r="H3834" i="5"/>
  <c r="G3834" i="5"/>
  <c r="B1719" i="5"/>
  <c r="A1719" i="5"/>
  <c r="H1719" i="5"/>
  <c r="G1719" i="5"/>
  <c r="A3804" i="5"/>
  <c r="B3804" i="5"/>
  <c r="G3804" i="5"/>
  <c r="H3804" i="5"/>
  <c r="B2892" i="5"/>
  <c r="A2892" i="5"/>
  <c r="H2892" i="5"/>
  <c r="G2892" i="5"/>
  <c r="B1444" i="5"/>
  <c r="A1444" i="5"/>
  <c r="H1444" i="5"/>
  <c r="G1444" i="5"/>
  <c r="B900" i="5"/>
  <c r="A900" i="5"/>
  <c r="H900" i="5"/>
  <c r="G900" i="5"/>
  <c r="B3374" i="5"/>
  <c r="A3374" i="5"/>
  <c r="G3374" i="5"/>
  <c r="H3374" i="5"/>
  <c r="B3198" i="5"/>
  <c r="A3198" i="5"/>
  <c r="H3198" i="5"/>
  <c r="G3198" i="5"/>
  <c r="B3180" i="5"/>
  <c r="A3180" i="5"/>
  <c r="G3180" i="5"/>
  <c r="H3180" i="5"/>
  <c r="A1652" i="5"/>
  <c r="B1652" i="5"/>
  <c r="H1652" i="5"/>
  <c r="G1652" i="5"/>
  <c r="B580" i="5"/>
  <c r="A580" i="5"/>
  <c r="H580" i="5"/>
  <c r="G580" i="5"/>
  <c r="B1726" i="5"/>
  <c r="A1726" i="5"/>
  <c r="G1726" i="5"/>
  <c r="H1726" i="5"/>
  <c r="B4188" i="5"/>
  <c r="A4188" i="5"/>
  <c r="G4188" i="5"/>
  <c r="H4188" i="5"/>
  <c r="B243" i="5"/>
  <c r="A243" i="5"/>
  <c r="H243" i="5"/>
  <c r="G243" i="5"/>
  <c r="B607" i="5"/>
  <c r="A607" i="5"/>
  <c r="G607" i="5"/>
  <c r="H607" i="5"/>
  <c r="A2721" i="5"/>
  <c r="B2721" i="5"/>
  <c r="H2721" i="5"/>
  <c r="G2721" i="5"/>
  <c r="B4002" i="5"/>
  <c r="A4002" i="5"/>
  <c r="H4002" i="5"/>
  <c r="G4002" i="5"/>
  <c r="B4271" i="5"/>
  <c r="A4271" i="5"/>
  <c r="G4271" i="5"/>
  <c r="H4271" i="5"/>
  <c r="B2427" i="5"/>
  <c r="A2427" i="5"/>
  <c r="G2427" i="5"/>
  <c r="H2427" i="5"/>
  <c r="B4219" i="5"/>
  <c r="A4219" i="5"/>
  <c r="G4219" i="5"/>
  <c r="H4219" i="5"/>
  <c r="B2510" i="5"/>
  <c r="A2510" i="5"/>
  <c r="H2510" i="5"/>
  <c r="G2510" i="5"/>
  <c r="B3482" i="5"/>
  <c r="A3482" i="5"/>
  <c r="G3482" i="5"/>
  <c r="H3482" i="5"/>
  <c r="A4246" i="5"/>
  <c r="B4246" i="5"/>
  <c r="H4246" i="5"/>
  <c r="G4246" i="5"/>
  <c r="A3533" i="5"/>
  <c r="B3533" i="5"/>
  <c r="H3533" i="5"/>
  <c r="G3533" i="5"/>
  <c r="B1206" i="5"/>
  <c r="A1206" i="5"/>
  <c r="G1206" i="5"/>
  <c r="H1206" i="5"/>
  <c r="B2608" i="5"/>
  <c r="A2608" i="5"/>
  <c r="H2608" i="5"/>
  <c r="G2608" i="5"/>
  <c r="A3247" i="5"/>
  <c r="B3247" i="5"/>
  <c r="G3247" i="5"/>
  <c r="H3247" i="5"/>
  <c r="B2789" i="5"/>
  <c r="A2789" i="5"/>
  <c r="H2789" i="5"/>
  <c r="G2789" i="5"/>
  <c r="B1165" i="5"/>
  <c r="A1165" i="5"/>
  <c r="H1165" i="5"/>
  <c r="G1165" i="5"/>
  <c r="B3361" i="5"/>
  <c r="A3361" i="5"/>
  <c r="G3361" i="5"/>
  <c r="H3361" i="5"/>
  <c r="B376" i="5"/>
  <c r="A376" i="5"/>
  <c r="G376" i="5"/>
  <c r="H376" i="5"/>
  <c r="B3256" i="5"/>
  <c r="A3256" i="5"/>
  <c r="G3256" i="5"/>
  <c r="H3256" i="5"/>
  <c r="B566" i="5"/>
  <c r="A566" i="5"/>
  <c r="G566" i="5"/>
  <c r="H566" i="5"/>
  <c r="B2546" i="5"/>
  <c r="A2546" i="5"/>
  <c r="H2546" i="5"/>
  <c r="G2546" i="5"/>
  <c r="B3913" i="5"/>
  <c r="A3913" i="5"/>
  <c r="H3913" i="5"/>
  <c r="G3913" i="5"/>
  <c r="B458" i="5"/>
  <c r="A458" i="5"/>
  <c r="H458" i="5"/>
  <c r="G458" i="5"/>
  <c r="A2977" i="5"/>
  <c r="B2977" i="5"/>
  <c r="G2977" i="5"/>
  <c r="H2977" i="5"/>
  <c r="B2068" i="5"/>
  <c r="A2068" i="5"/>
  <c r="H2068" i="5"/>
  <c r="G2068" i="5"/>
  <c r="B446" i="5"/>
  <c r="A446" i="5"/>
  <c r="H446" i="5"/>
  <c r="G446" i="5"/>
  <c r="B3630" i="5"/>
  <c r="A3630" i="5"/>
  <c r="H3630" i="5"/>
  <c r="G3630" i="5"/>
  <c r="B3499" i="5"/>
  <c r="A3499" i="5"/>
  <c r="H3499" i="5"/>
  <c r="G3499" i="5"/>
  <c r="A1098" i="5"/>
  <c r="B1098" i="5"/>
  <c r="H1098" i="5"/>
  <c r="G1098" i="5"/>
  <c r="B2156" i="5"/>
  <c r="A2156" i="5"/>
  <c r="G2156" i="5"/>
  <c r="H2156" i="5"/>
  <c r="B120" i="5"/>
  <c r="A120" i="5"/>
  <c r="H120" i="5"/>
  <c r="G120" i="5"/>
  <c r="B2858" i="5"/>
  <c r="A2858" i="5"/>
  <c r="H2858" i="5"/>
  <c r="G2858" i="5"/>
  <c r="B3684" i="5"/>
  <c r="A3684" i="5"/>
  <c r="H3684" i="5"/>
  <c r="G3684" i="5"/>
  <c r="B1474" i="5"/>
  <c r="A1474" i="5"/>
  <c r="G1474" i="5"/>
  <c r="H1474" i="5"/>
  <c r="A4449" i="5"/>
  <c r="B4449" i="5"/>
  <c r="G4449" i="5"/>
  <c r="H4449" i="5"/>
  <c r="B2537" i="5"/>
  <c r="A2537" i="5"/>
  <c r="H2537" i="5"/>
  <c r="G2537" i="5"/>
  <c r="B2266" i="5"/>
  <c r="A2266" i="5"/>
  <c r="G2266" i="5"/>
  <c r="H2266" i="5"/>
  <c r="B879" i="5"/>
  <c r="A879" i="5"/>
  <c r="H879" i="5"/>
  <c r="G879" i="5"/>
  <c r="B1231" i="5"/>
  <c r="A1231" i="5"/>
  <c r="G1231" i="5"/>
  <c r="H1231" i="5"/>
  <c r="A466" i="5"/>
  <c r="B466" i="5"/>
  <c r="H466" i="5"/>
  <c r="G466" i="5"/>
  <c r="B3902" i="5"/>
  <c r="A3902" i="5"/>
  <c r="H3902" i="5"/>
  <c r="G3902" i="5"/>
  <c r="A3472" i="5"/>
  <c r="B3472" i="5"/>
  <c r="H3472" i="5"/>
  <c r="G3472" i="5"/>
  <c r="A2327" i="5"/>
  <c r="B2327" i="5"/>
  <c r="H2327" i="5"/>
  <c r="G2327" i="5"/>
  <c r="B2311" i="5"/>
  <c r="A2311" i="5"/>
  <c r="H2311" i="5"/>
  <c r="G2311" i="5"/>
  <c r="A3921" i="5"/>
  <c r="B3921" i="5"/>
  <c r="G3921" i="5"/>
  <c r="H3921" i="5"/>
  <c r="B3704" i="5"/>
  <c r="A3704" i="5"/>
  <c r="G3704" i="5"/>
  <c r="H3704" i="5"/>
  <c r="B4347" i="5"/>
  <c r="A4347" i="5"/>
  <c r="H4347" i="5"/>
  <c r="G4347" i="5"/>
  <c r="B2390" i="5"/>
  <c r="A2390" i="5"/>
  <c r="G2390" i="5"/>
  <c r="H2390" i="5"/>
  <c r="A2733" i="5"/>
  <c r="B2733" i="5"/>
  <c r="G2733" i="5"/>
  <c r="H2733" i="5"/>
  <c r="B189" i="5"/>
  <c r="A189" i="5"/>
  <c r="H189" i="5"/>
  <c r="G189" i="5"/>
  <c r="B3847" i="5"/>
  <c r="A3847" i="5"/>
  <c r="G3847" i="5"/>
  <c r="H3847" i="5"/>
  <c r="A4233" i="5"/>
  <c r="B4233" i="5"/>
  <c r="G4233" i="5"/>
  <c r="H4233" i="5"/>
  <c r="B1458" i="5"/>
  <c r="A1458" i="5"/>
  <c r="H1458" i="5"/>
  <c r="G1458" i="5"/>
  <c r="B3947" i="5"/>
  <c r="A3947" i="5"/>
  <c r="H3947" i="5"/>
  <c r="G3947" i="5"/>
  <c r="B760" i="5"/>
  <c r="A760" i="5"/>
  <c r="H760" i="5"/>
  <c r="G760" i="5"/>
  <c r="B1327" i="5"/>
  <c r="A1327" i="5"/>
  <c r="G1327" i="5"/>
  <c r="H1327" i="5"/>
  <c r="A608" i="5"/>
  <c r="B608" i="5"/>
  <c r="G608" i="5"/>
  <c r="H608" i="5"/>
  <c r="A698" i="5"/>
  <c r="B698" i="5"/>
  <c r="G698" i="5"/>
  <c r="H698" i="5"/>
  <c r="B3589" i="5"/>
  <c r="A3589" i="5"/>
  <c r="G3589" i="5"/>
  <c r="H3589" i="5"/>
  <c r="B3724" i="5"/>
  <c r="A3724" i="5"/>
  <c r="G3724" i="5"/>
  <c r="H3724" i="5"/>
  <c r="A439" i="5"/>
  <c r="B439" i="5"/>
  <c r="G439" i="5"/>
  <c r="H439" i="5"/>
  <c r="A1985" i="5"/>
  <c r="B1985" i="5"/>
  <c r="H1985" i="5"/>
  <c r="G1985" i="5"/>
  <c r="B1113" i="5"/>
  <c r="H1113" i="5"/>
  <c r="A1113" i="5"/>
  <c r="G1113" i="5"/>
  <c r="B502" i="5"/>
  <c r="A502" i="5"/>
  <c r="H502" i="5"/>
  <c r="G502" i="5"/>
  <c r="B2139" i="5"/>
  <c r="A2139" i="5"/>
  <c r="H2139" i="5"/>
  <c r="G2139" i="5"/>
  <c r="B1303" i="5"/>
  <c r="A1303" i="5"/>
  <c r="H1303" i="5"/>
  <c r="G1303" i="5"/>
  <c r="B3415" i="5"/>
  <c r="A3415" i="5"/>
  <c r="G3415" i="5"/>
  <c r="H3415" i="5"/>
  <c r="B3946" i="5"/>
  <c r="A3946" i="5"/>
  <c r="G3946" i="5"/>
  <c r="H3946" i="5"/>
  <c r="B3351" i="5"/>
  <c r="A3351" i="5"/>
  <c r="G3351" i="5"/>
  <c r="H3351" i="5"/>
  <c r="A978" i="5"/>
  <c r="B978" i="5"/>
  <c r="H978" i="5"/>
  <c r="G978" i="5"/>
  <c r="B1403" i="5"/>
  <c r="A1403" i="5"/>
  <c r="H1403" i="5"/>
  <c r="G1403" i="5"/>
  <c r="B3967" i="5"/>
  <c r="A3967" i="5"/>
  <c r="H3967" i="5"/>
  <c r="G3967" i="5"/>
  <c r="A3618" i="5"/>
  <c r="B3618" i="5"/>
  <c r="G3618" i="5"/>
  <c r="H3618" i="5"/>
  <c r="B4201" i="5"/>
  <c r="A4201" i="5"/>
  <c r="H4201" i="5"/>
  <c r="G4201" i="5"/>
  <c r="B3930" i="5"/>
  <c r="A3930" i="5"/>
  <c r="H3930" i="5"/>
  <c r="G3930" i="5"/>
  <c r="B1601" i="5"/>
  <c r="A1601" i="5"/>
  <c r="G1601" i="5"/>
  <c r="H1601" i="5"/>
  <c r="B1169" i="5"/>
  <c r="A1169" i="5"/>
  <c r="G1169" i="5"/>
  <c r="H1169" i="5"/>
  <c r="A1268" i="5"/>
  <c r="B1268" i="5"/>
  <c r="H1268" i="5"/>
  <c r="G1268" i="5"/>
  <c r="B4174" i="5"/>
  <c r="A4174" i="5"/>
  <c r="G4174" i="5"/>
  <c r="H4174" i="5"/>
  <c r="B9" i="5"/>
  <c r="A9" i="5"/>
  <c r="H9" i="5"/>
  <c r="G9" i="5"/>
  <c r="B963" i="5"/>
  <c r="A963" i="5"/>
  <c r="H963" i="5"/>
  <c r="G963" i="5"/>
  <c r="B2897" i="5"/>
  <c r="A2897" i="5"/>
  <c r="H2897" i="5"/>
  <c r="G2897" i="5"/>
  <c r="B4292" i="5"/>
  <c r="A4292" i="5"/>
  <c r="G4292" i="5"/>
  <c r="H4292" i="5"/>
  <c r="B657" i="5"/>
  <c r="A657" i="5"/>
  <c r="H657" i="5"/>
  <c r="G657" i="5"/>
  <c r="B179" i="5"/>
  <c r="A179" i="5"/>
  <c r="H179" i="5"/>
  <c r="G179" i="5"/>
  <c r="B3294" i="5"/>
  <c r="A3294" i="5"/>
  <c r="H3294" i="5"/>
  <c r="G3294" i="5"/>
  <c r="B818" i="5"/>
  <c r="A818" i="5"/>
  <c r="H818" i="5"/>
  <c r="G818" i="5"/>
  <c r="B2966" i="5"/>
  <c r="A2966" i="5"/>
  <c r="G2966" i="5"/>
  <c r="H2966" i="5"/>
  <c r="A3766" i="5"/>
  <c r="B3766" i="5"/>
  <c r="G3766" i="5"/>
  <c r="H3766" i="5"/>
  <c r="A917" i="5"/>
  <c r="B917" i="5"/>
  <c r="H917" i="5"/>
  <c r="G917" i="5"/>
  <c r="B3613" i="5"/>
  <c r="A3613" i="5"/>
  <c r="G3613" i="5"/>
  <c r="H3613" i="5"/>
  <c r="B1014" i="5"/>
  <c r="A1014" i="5"/>
  <c r="H1014" i="5"/>
  <c r="G1014" i="5"/>
  <c r="B4090" i="5"/>
  <c r="A4090" i="5"/>
  <c r="G4090" i="5"/>
  <c r="H4090" i="5"/>
  <c r="B3744" i="5"/>
  <c r="A3744" i="5"/>
  <c r="H3744" i="5"/>
  <c r="G3744" i="5"/>
  <c r="B4400" i="5"/>
  <c r="A4400" i="5"/>
  <c r="G4400" i="5"/>
  <c r="H4400" i="5"/>
  <c r="B520" i="5"/>
  <c r="A520" i="5"/>
  <c r="G520" i="5"/>
  <c r="H520" i="5"/>
  <c r="A2996" i="5"/>
  <c r="B2996" i="5"/>
  <c r="G2996" i="5"/>
  <c r="H2996" i="5"/>
  <c r="A400" i="5"/>
  <c r="B400" i="5"/>
  <c r="H400" i="5"/>
  <c r="G400" i="5"/>
  <c r="B104" i="5"/>
  <c r="A104" i="5"/>
  <c r="G104" i="5"/>
  <c r="H104" i="5"/>
  <c r="B545" i="5"/>
  <c r="A545" i="5"/>
  <c r="G545" i="5"/>
  <c r="H545" i="5"/>
  <c r="B2649" i="5"/>
  <c r="A2649" i="5"/>
  <c r="G2649" i="5"/>
  <c r="H2649" i="5"/>
  <c r="B3462" i="5"/>
  <c r="A3462" i="5"/>
  <c r="G3462" i="5"/>
  <c r="H3462" i="5"/>
  <c r="B2690" i="5"/>
  <c r="A2690" i="5"/>
  <c r="G2690" i="5"/>
  <c r="H2690" i="5"/>
  <c r="B417" i="5"/>
  <c r="A417" i="5"/>
  <c r="G417" i="5"/>
  <c r="H417" i="5"/>
  <c r="B1665" i="5"/>
  <c r="A1665" i="5"/>
  <c r="H1665" i="5"/>
  <c r="G1665" i="5"/>
  <c r="B3882" i="5"/>
  <c r="A3882" i="5"/>
  <c r="G3882" i="5"/>
  <c r="H3882" i="5"/>
  <c r="B401" i="5"/>
  <c r="A401" i="5"/>
  <c r="H401" i="5"/>
  <c r="G401" i="5"/>
  <c r="B4076" i="5"/>
  <c r="A4076" i="5"/>
  <c r="H4076" i="5"/>
  <c r="G4076" i="5"/>
  <c r="B2168" i="5"/>
  <c r="A2168" i="5"/>
  <c r="H2168" i="5"/>
  <c r="G2168" i="5"/>
  <c r="B3136" i="5"/>
  <c r="A3136" i="5"/>
  <c r="H3136" i="5"/>
  <c r="G3136" i="5"/>
  <c r="B1862" i="5"/>
  <c r="A1862" i="5"/>
  <c r="H1862" i="5"/>
  <c r="G1862" i="5"/>
  <c r="B1318" i="5"/>
  <c r="A1318" i="5"/>
  <c r="H1318" i="5"/>
  <c r="G1318" i="5"/>
  <c r="A2112" i="5"/>
  <c r="B2112" i="5"/>
  <c r="G2112" i="5"/>
  <c r="H2112" i="5"/>
  <c r="B491" i="5"/>
  <c r="A491" i="5"/>
  <c r="H491" i="5"/>
  <c r="G491" i="5"/>
  <c r="A3333" i="5"/>
  <c r="B3333" i="5"/>
  <c r="G3333" i="5"/>
  <c r="H3333" i="5"/>
  <c r="B3960" i="5"/>
  <c r="A3960" i="5"/>
  <c r="H3960" i="5"/>
  <c r="G3960" i="5"/>
  <c r="B1996" i="5"/>
  <c r="A1996" i="5"/>
  <c r="G1996" i="5"/>
  <c r="H1996" i="5"/>
  <c r="B486" i="5"/>
  <c r="A486" i="5"/>
  <c r="G486" i="5"/>
  <c r="H486" i="5"/>
  <c r="B287" i="5"/>
  <c r="A287" i="5"/>
  <c r="H287" i="5"/>
  <c r="G287" i="5"/>
  <c r="A1398" i="5"/>
  <c r="B1398" i="5"/>
  <c r="G1398" i="5"/>
  <c r="H1398" i="5"/>
  <c r="B148" i="5"/>
  <c r="A148" i="5"/>
  <c r="H148" i="5"/>
  <c r="G148" i="5"/>
  <c r="B1527" i="5"/>
  <c r="A1527" i="5"/>
  <c r="H1527" i="5"/>
  <c r="G1527" i="5"/>
  <c r="B279" i="5"/>
  <c r="A279" i="5"/>
  <c r="G279" i="5"/>
  <c r="H279" i="5"/>
  <c r="B3092" i="5"/>
  <c r="A3092" i="5"/>
  <c r="H3092" i="5"/>
  <c r="G3092" i="5"/>
  <c r="B3660" i="5"/>
  <c r="A3660" i="5"/>
  <c r="H3660" i="5"/>
  <c r="G3660" i="5"/>
  <c r="B689" i="5"/>
  <c r="A689" i="5"/>
  <c r="H689" i="5"/>
  <c r="G689" i="5"/>
  <c r="A1380" i="5"/>
  <c r="B1380" i="5"/>
  <c r="G1380" i="5"/>
  <c r="H1380" i="5"/>
  <c r="B998" i="5"/>
  <c r="A998" i="5"/>
  <c r="G998" i="5"/>
  <c r="H998" i="5"/>
  <c r="B349" i="5"/>
  <c r="A349" i="5"/>
  <c r="H349" i="5"/>
  <c r="G349" i="5"/>
  <c r="A1841" i="5"/>
  <c r="B1841" i="5"/>
  <c r="H1841" i="5"/>
  <c r="G1841" i="5"/>
  <c r="B2583" i="5"/>
  <c r="A2583" i="5"/>
  <c r="G2583" i="5"/>
  <c r="H2583" i="5"/>
  <c r="A3119" i="5"/>
  <c r="B3119" i="5"/>
  <c r="G3119" i="5"/>
  <c r="H3119" i="5"/>
  <c r="A1733" i="5"/>
  <c r="B1733" i="5"/>
  <c r="H1733" i="5"/>
  <c r="G1733" i="5"/>
  <c r="B336" i="5"/>
  <c r="A336" i="5"/>
  <c r="G336" i="5"/>
  <c r="H336" i="5"/>
  <c r="B4307" i="5"/>
  <c r="A4307" i="5"/>
  <c r="H4307" i="5"/>
  <c r="G4307" i="5"/>
  <c r="A3315" i="5"/>
  <c r="B3315" i="5"/>
  <c r="G3315" i="5"/>
  <c r="H3315" i="5"/>
  <c r="B1949" i="5"/>
  <c r="A1949" i="5"/>
  <c r="H1949" i="5"/>
  <c r="G1949" i="5"/>
  <c r="B2555" i="5"/>
  <c r="A2555" i="5"/>
  <c r="H2555" i="5"/>
  <c r="G2555" i="5"/>
  <c r="B297" i="5"/>
  <c r="A297" i="5"/>
  <c r="H297" i="5"/>
  <c r="G297" i="5"/>
  <c r="B1627" i="5"/>
  <c r="A1627" i="5"/>
  <c r="H1627" i="5"/>
  <c r="G1627" i="5"/>
  <c r="A1128" i="5"/>
  <c r="B1128" i="5"/>
  <c r="H1128" i="5"/>
  <c r="G1128" i="5"/>
  <c r="B2406" i="5"/>
  <c r="A2406" i="5"/>
  <c r="H2406" i="5"/>
  <c r="G2406" i="5"/>
  <c r="B1754" i="5"/>
  <c r="A1754" i="5"/>
  <c r="G1754" i="5"/>
  <c r="H1754" i="5"/>
  <c r="B994" i="5"/>
  <c r="A994" i="5"/>
  <c r="G994" i="5"/>
  <c r="H994" i="5"/>
  <c r="B1800" i="5"/>
  <c r="A1800" i="5"/>
  <c r="H1800" i="5"/>
  <c r="G1800" i="5"/>
  <c r="B2136" i="5"/>
  <c r="A2136" i="5"/>
  <c r="H2136" i="5"/>
  <c r="G2136" i="5"/>
  <c r="B1886" i="5"/>
  <c r="A1886" i="5"/>
  <c r="H1886" i="5"/>
  <c r="G1886" i="5"/>
  <c r="B2965" i="5"/>
  <c r="A2965" i="5"/>
  <c r="H2965" i="5"/>
  <c r="G2965" i="5"/>
  <c r="B2109" i="5"/>
  <c r="A2109" i="5"/>
  <c r="H2109" i="5"/>
  <c r="G2109" i="5"/>
  <c r="B3203" i="5"/>
  <c r="A3203" i="5"/>
  <c r="H3203" i="5"/>
  <c r="G3203" i="5"/>
  <c r="B1240" i="5"/>
  <c r="A1240" i="5"/>
  <c r="H1240" i="5"/>
  <c r="G1240" i="5"/>
  <c r="B633" i="5"/>
  <c r="A633" i="5"/>
  <c r="H633" i="5"/>
  <c r="G633" i="5"/>
  <c r="A1881" i="5"/>
  <c r="B1881" i="5"/>
  <c r="H1881" i="5"/>
  <c r="G1881" i="5"/>
  <c r="B43" i="5"/>
  <c r="A43" i="5"/>
  <c r="G43" i="5"/>
  <c r="H43" i="5"/>
  <c r="B2462" i="5"/>
  <c r="A2462" i="5"/>
  <c r="H2462" i="5"/>
  <c r="G2462" i="5"/>
  <c r="A32" i="5"/>
  <c r="B32" i="5"/>
  <c r="G32" i="5"/>
  <c r="H32" i="5"/>
  <c r="B679" i="5"/>
  <c r="A679" i="5"/>
  <c r="H679" i="5"/>
  <c r="G679" i="5"/>
  <c r="B1519" i="5"/>
  <c r="A1519" i="5"/>
  <c r="G1519" i="5"/>
  <c r="H1519" i="5"/>
  <c r="B3990" i="5"/>
  <c r="A3990" i="5"/>
  <c r="H3990" i="5"/>
  <c r="G3990" i="5"/>
  <c r="B1614" i="5"/>
  <c r="A1614" i="5"/>
  <c r="H1614" i="5"/>
  <c r="G1614" i="5"/>
  <c r="B2814" i="5"/>
  <c r="A2814" i="5"/>
  <c r="G2814" i="5"/>
  <c r="H2814" i="5"/>
  <c r="B750" i="5"/>
  <c r="A750" i="5"/>
  <c r="H750" i="5"/>
  <c r="G750" i="5"/>
  <c r="B804" i="5"/>
  <c r="A804" i="5"/>
  <c r="G804" i="5"/>
  <c r="H804" i="5"/>
  <c r="A2778" i="5"/>
  <c r="B2778" i="5"/>
  <c r="H2778" i="5"/>
  <c r="G2778" i="5"/>
  <c r="A3231" i="5"/>
  <c r="B3231" i="5"/>
  <c r="G3231" i="5"/>
  <c r="H3231" i="5"/>
  <c r="A4320" i="5"/>
  <c r="B4320" i="5"/>
  <c r="H4320" i="5"/>
  <c r="G4320" i="5"/>
  <c r="B1546" i="5"/>
  <c r="A1546" i="5"/>
  <c r="H1546" i="5"/>
  <c r="G1546" i="5"/>
  <c r="B2292" i="5"/>
  <c r="A2292" i="5"/>
  <c r="H2292" i="5"/>
  <c r="G2292" i="5"/>
  <c r="B1650" i="5"/>
  <c r="A1650" i="5"/>
  <c r="H1650" i="5"/>
  <c r="G1650" i="5"/>
  <c r="B3993" i="5"/>
  <c r="A3993" i="5"/>
  <c r="H3993" i="5"/>
  <c r="G3993" i="5"/>
  <c r="B1767" i="5"/>
  <c r="A1767" i="5"/>
  <c r="G1767" i="5"/>
  <c r="H1767" i="5"/>
  <c r="B210" i="5"/>
  <c r="A210" i="5"/>
  <c r="G210" i="5"/>
  <c r="H210" i="5"/>
  <c r="B2352" i="5"/>
  <c r="A2352" i="5"/>
  <c r="G2352" i="5"/>
  <c r="H2352" i="5"/>
  <c r="B2769" i="5"/>
  <c r="A2769" i="5"/>
  <c r="H2769" i="5"/>
  <c r="G2769" i="5"/>
  <c r="A2766" i="5"/>
  <c r="B2766" i="5"/>
  <c r="H2766" i="5"/>
  <c r="G2766" i="5"/>
  <c r="B2440" i="5"/>
  <c r="B1895" i="5"/>
  <c r="A1895" i="5"/>
  <c r="H1895" i="5"/>
  <c r="G1895" i="5"/>
  <c r="B175" i="5"/>
  <c r="A175" i="5"/>
  <c r="G175" i="5"/>
  <c r="H175" i="5"/>
  <c r="B66" i="5"/>
  <c r="A66" i="5"/>
  <c r="G66" i="5"/>
  <c r="H66" i="5"/>
  <c r="B949" i="5"/>
  <c r="A949" i="5"/>
  <c r="H949" i="5"/>
  <c r="G949" i="5"/>
  <c r="A2128" i="5"/>
  <c r="B2128" i="5"/>
  <c r="H2128" i="5"/>
  <c r="G2128" i="5"/>
  <c r="B159" i="5"/>
  <c r="A159" i="5"/>
  <c r="H159" i="5"/>
  <c r="G159" i="5"/>
  <c r="B2636" i="5"/>
  <c r="A2636" i="5"/>
  <c r="G2636" i="5"/>
  <c r="H2636" i="5"/>
  <c r="A2685" i="5"/>
  <c r="B2685" i="5"/>
  <c r="G2685" i="5"/>
  <c r="H2685" i="5"/>
  <c r="B2664" i="5"/>
  <c r="A2664" i="5"/>
  <c r="H2664" i="5"/>
  <c r="G2664" i="5"/>
  <c r="B2456" i="5"/>
  <c r="A2456" i="5"/>
  <c r="G2456" i="5"/>
  <c r="H2456" i="5"/>
  <c r="A1422" i="5"/>
  <c r="B1422" i="5"/>
  <c r="H1422" i="5"/>
  <c r="G1422" i="5"/>
  <c r="A14" i="5"/>
  <c r="B14" i="5"/>
  <c r="H14" i="5"/>
  <c r="G14" i="5"/>
  <c r="B432" i="5"/>
  <c r="A432" i="5"/>
  <c r="H432" i="5"/>
  <c r="G432" i="5"/>
  <c r="B3868" i="5"/>
  <c r="A3868" i="5"/>
  <c r="H3868" i="5"/>
  <c r="G3868" i="5"/>
  <c r="B954" i="5"/>
  <c r="A954" i="5"/>
  <c r="G954" i="5"/>
  <c r="H954" i="5"/>
  <c r="B3738" i="5"/>
  <c r="A3738" i="5"/>
  <c r="H3738" i="5"/>
  <c r="G3738" i="5"/>
  <c r="B1979" i="5"/>
  <c r="A1979" i="5"/>
  <c r="H1979" i="5"/>
  <c r="G1979" i="5"/>
  <c r="B4263" i="5"/>
  <c r="A4263" i="5"/>
  <c r="G4263" i="5"/>
  <c r="H4263" i="5"/>
  <c r="B4255" i="5"/>
  <c r="A4255" i="5"/>
  <c r="H4255" i="5"/>
  <c r="G4255" i="5"/>
  <c r="A1805" i="5"/>
  <c r="B1805" i="5"/>
  <c r="H1805" i="5"/>
  <c r="G1805" i="5"/>
  <c r="A257" i="5"/>
  <c r="B257" i="5"/>
  <c r="H257" i="5"/>
  <c r="G257" i="5"/>
  <c r="B3086" i="5"/>
  <c r="A3086" i="5"/>
  <c r="H3086" i="5"/>
  <c r="G3086" i="5"/>
  <c r="B1968" i="5"/>
  <c r="A1968" i="5"/>
  <c r="H1968" i="5"/>
  <c r="G1968" i="5"/>
  <c r="J288" i="8"/>
  <c r="G43" i="8"/>
  <c r="E438" i="8"/>
  <c r="B683" i="5"/>
  <c r="A683" i="5"/>
  <c r="G683" i="5"/>
  <c r="H683" i="5"/>
  <c r="A2849" i="5"/>
  <c r="B2849" i="5"/>
  <c r="H2849" i="5"/>
  <c r="G2849" i="5"/>
  <c r="A4019" i="5"/>
  <c r="B4019" i="5"/>
  <c r="H4019" i="5"/>
  <c r="G4019" i="5"/>
  <c r="A3082" i="5"/>
  <c r="B3082" i="5"/>
  <c r="H3082" i="5"/>
  <c r="G3082" i="5"/>
  <c r="B233" i="5"/>
  <c r="A233" i="5"/>
  <c r="H233" i="5"/>
  <c r="G233" i="5"/>
  <c r="A3366" i="5"/>
  <c r="B3366" i="5"/>
  <c r="H3366" i="5"/>
  <c r="G3366" i="5"/>
  <c r="B2824" i="5"/>
  <c r="A2824" i="5"/>
  <c r="H2824" i="5"/>
  <c r="G2824" i="5"/>
  <c r="B3302" i="5"/>
  <c r="A3302" i="5"/>
  <c r="H3302" i="5"/>
  <c r="G3302" i="5"/>
  <c r="B1556" i="5"/>
  <c r="A1556" i="5"/>
  <c r="G1556" i="5"/>
  <c r="H1556" i="5"/>
  <c r="B3211" i="5"/>
  <c r="A3211" i="5"/>
  <c r="H3211" i="5"/>
  <c r="G3211" i="5"/>
  <c r="B1705" i="5"/>
  <c r="A1705" i="5"/>
  <c r="H1705" i="5"/>
  <c r="G1705" i="5"/>
  <c r="A2568" i="5"/>
  <c r="B2568" i="5"/>
  <c r="G2568" i="5"/>
  <c r="H2568" i="5"/>
  <c r="B2724" i="5"/>
  <c r="A2724" i="5"/>
  <c r="G2724" i="5"/>
  <c r="H2724" i="5"/>
  <c r="B4237" i="5"/>
  <c r="A4237" i="5"/>
  <c r="G4237" i="5"/>
  <c r="H4237" i="5"/>
  <c r="B2869" i="5"/>
  <c r="A2869" i="5"/>
  <c r="H2869" i="5"/>
  <c r="G2869" i="5"/>
  <c r="A2208" i="5"/>
  <c r="B2208" i="5"/>
  <c r="H2208" i="5"/>
  <c r="G2208" i="5"/>
  <c r="B3067" i="5"/>
  <c r="A3067" i="5"/>
  <c r="H3067" i="5"/>
  <c r="G3067" i="5"/>
  <c r="B1032" i="5"/>
  <c r="A1032" i="5"/>
  <c r="H1032" i="5"/>
  <c r="G1032" i="5"/>
  <c r="A4354" i="5"/>
  <c r="B4354" i="5"/>
  <c r="H4354" i="5"/>
  <c r="G4354" i="5"/>
  <c r="A4131" i="5"/>
  <c r="B4131" i="5"/>
  <c r="G4131" i="5"/>
  <c r="H4131" i="5"/>
  <c r="B3389" i="5"/>
  <c r="A3389" i="5"/>
  <c r="H3389" i="5"/>
  <c r="G3389" i="5"/>
  <c r="B2050" i="5"/>
  <c r="A2050" i="5"/>
  <c r="G2050" i="5"/>
  <c r="H2050" i="5"/>
  <c r="B3150" i="5"/>
  <c r="A3150" i="5"/>
  <c r="H3150" i="5"/>
  <c r="G3150" i="5"/>
  <c r="B2057" i="5"/>
  <c r="A2057" i="5"/>
  <c r="H2057" i="5"/>
  <c r="G2057" i="5"/>
  <c r="B3822" i="5"/>
  <c r="A3822" i="5"/>
  <c r="H3822" i="5"/>
  <c r="G3822" i="5"/>
  <c r="B2424" i="5"/>
  <c r="A2424" i="5"/>
  <c r="G2424" i="5"/>
  <c r="H2424" i="5"/>
  <c r="A3795" i="5"/>
  <c r="B3795" i="5"/>
  <c r="G3795" i="5"/>
  <c r="H3795" i="5"/>
  <c r="B367" i="5"/>
  <c r="A367" i="5"/>
  <c r="G367" i="5"/>
  <c r="H367" i="5"/>
  <c r="B720" i="5"/>
  <c r="A720" i="5"/>
  <c r="G720" i="5"/>
  <c r="H720" i="5"/>
  <c r="B4148" i="5"/>
  <c r="A4148" i="5"/>
  <c r="G4148" i="5"/>
  <c r="H4148" i="5"/>
  <c r="A249" i="5"/>
  <c r="B249" i="5"/>
  <c r="H249" i="5"/>
  <c r="G249" i="5"/>
  <c r="B2652" i="5"/>
  <c r="A2652" i="5"/>
  <c r="G2652" i="5"/>
  <c r="H2652" i="5"/>
  <c r="B2336" i="5"/>
  <c r="A2336" i="5"/>
  <c r="H2336" i="5"/>
  <c r="G2336" i="5"/>
  <c r="A1085" i="5"/>
  <c r="B1085" i="5"/>
  <c r="H1085" i="5"/>
  <c r="G1085" i="5"/>
  <c r="A4486" i="5"/>
  <c r="B4486" i="5"/>
  <c r="H4486" i="5"/>
  <c r="G4486" i="5"/>
  <c r="A3405" i="5"/>
  <c r="B3405" i="5"/>
  <c r="H3405" i="5"/>
  <c r="G3405" i="5"/>
  <c r="A3815" i="5"/>
  <c r="B3815" i="5"/>
  <c r="H3815" i="5"/>
  <c r="G3815" i="5"/>
  <c r="A477" i="5"/>
  <c r="B477" i="5"/>
  <c r="H477" i="5"/>
  <c r="G477" i="5"/>
  <c r="B2616" i="5"/>
  <c r="A2616" i="5"/>
  <c r="H2616" i="5"/>
  <c r="G2616" i="5"/>
  <c r="B590" i="5"/>
  <c r="A590" i="5"/>
  <c r="H590" i="5"/>
  <c r="G590" i="5"/>
  <c r="B1670" i="5"/>
  <c r="A1670" i="5"/>
  <c r="G1670" i="5"/>
  <c r="H1670" i="5"/>
  <c r="B3031" i="5"/>
  <c r="A3031" i="5"/>
  <c r="H3031" i="5"/>
  <c r="G3031" i="5"/>
  <c r="A4137" i="5"/>
  <c r="B4137" i="5"/>
  <c r="H4137" i="5"/>
  <c r="G4137" i="5"/>
  <c r="B2502" i="5"/>
  <c r="A2502" i="5"/>
  <c r="H2502" i="5"/>
  <c r="G2502" i="5"/>
  <c r="B4017" i="5"/>
  <c r="A4017" i="5"/>
  <c r="H4017" i="5"/>
  <c r="G4017" i="5"/>
  <c r="B4490" i="5"/>
  <c r="A4490" i="5"/>
  <c r="G4490" i="5"/>
  <c r="H4490" i="5"/>
  <c r="A1578" i="5"/>
  <c r="B1578" i="5"/>
  <c r="H1578" i="5"/>
  <c r="G1578" i="5"/>
  <c r="B3280" i="5"/>
  <c r="A3280" i="5"/>
  <c r="G3280" i="5"/>
  <c r="H3280" i="5"/>
  <c r="B2259" i="5"/>
  <c r="A2259" i="5"/>
  <c r="G2259" i="5"/>
  <c r="H2259" i="5"/>
  <c r="B3695" i="5"/>
  <c r="A3695" i="5"/>
  <c r="G3695" i="5"/>
  <c r="H3695" i="5"/>
  <c r="B2290" i="5"/>
  <c r="A2290" i="5"/>
  <c r="H2290" i="5"/>
  <c r="G2290" i="5"/>
  <c r="B4326" i="5"/>
  <c r="A4326" i="5"/>
  <c r="H4326" i="5"/>
  <c r="G4326" i="5"/>
  <c r="B970" i="5"/>
  <c r="A970" i="5"/>
  <c r="H970" i="5"/>
  <c r="G970" i="5"/>
  <c r="B2087" i="5"/>
  <c r="A2087" i="5"/>
  <c r="G2087" i="5"/>
  <c r="H2087" i="5"/>
  <c r="B4471" i="5"/>
  <c r="A4471" i="5"/>
  <c r="G4471" i="5"/>
  <c r="H4471" i="5"/>
  <c r="B4053" i="5"/>
  <c r="A4053" i="5"/>
  <c r="H4053" i="5"/>
  <c r="G4053" i="5"/>
  <c r="A4167" i="5"/>
  <c r="B4167" i="5"/>
  <c r="G4167" i="5"/>
  <c r="H4167" i="5"/>
  <c r="B1084" i="5"/>
  <c r="A1084" i="5"/>
  <c r="H1084" i="5"/>
  <c r="G1084" i="5"/>
  <c r="A3058" i="5"/>
  <c r="B3058" i="5"/>
  <c r="G3058" i="5"/>
  <c r="H3058" i="5"/>
  <c r="A2526" i="5"/>
  <c r="B2526" i="5"/>
  <c r="H2526" i="5"/>
  <c r="G2526" i="5"/>
  <c r="B1255" i="5"/>
  <c r="A1255" i="5"/>
  <c r="H1255" i="5"/>
  <c r="G1255" i="5"/>
  <c r="A2749" i="5"/>
  <c r="B2749" i="5"/>
  <c r="H2749" i="5"/>
  <c r="G2749" i="5"/>
  <c r="A3865" i="5"/>
  <c r="B3865" i="5"/>
  <c r="G3865" i="5"/>
  <c r="H3865" i="5"/>
  <c r="B1488" i="5"/>
  <c r="A1488" i="5"/>
  <c r="H1488" i="5"/>
  <c r="G1488" i="5"/>
  <c r="A2409" i="5"/>
  <c r="B2409" i="5"/>
  <c r="H2409" i="5"/>
  <c r="G2409" i="5"/>
  <c r="B1366" i="5"/>
  <c r="A1366" i="5"/>
  <c r="H1366" i="5"/>
  <c r="G1366" i="5"/>
  <c r="B1008" i="5"/>
  <c r="A1008" i="5"/>
  <c r="G1008" i="5"/>
  <c r="H1008" i="5"/>
  <c r="B3833" i="5"/>
  <c r="A3833" i="5"/>
  <c r="H3833" i="5"/>
  <c r="G3833" i="5"/>
  <c r="B1723" i="5"/>
  <c r="A1723" i="5"/>
  <c r="H1723" i="5"/>
  <c r="G1723" i="5"/>
  <c r="B3811" i="5"/>
  <c r="A3811" i="5"/>
  <c r="H3811" i="5"/>
  <c r="G3811" i="5"/>
  <c r="B891" i="5"/>
  <c r="A891" i="5"/>
  <c r="H891" i="5"/>
  <c r="G891" i="5"/>
  <c r="B1471" i="5"/>
  <c r="A1471" i="5"/>
  <c r="G1471" i="5"/>
  <c r="H1471" i="5"/>
  <c r="B1439" i="5"/>
  <c r="A1439" i="5"/>
  <c r="H1439" i="5"/>
  <c r="G1439" i="5"/>
  <c r="B3174" i="5"/>
  <c r="A3174" i="5"/>
  <c r="G3174" i="5"/>
  <c r="H3174" i="5"/>
  <c r="B1655" i="5"/>
  <c r="A1655" i="5"/>
  <c r="H1655" i="5"/>
  <c r="G1655" i="5"/>
  <c r="B579" i="5"/>
  <c r="A579" i="5"/>
  <c r="H579" i="5"/>
  <c r="G579" i="5"/>
  <c r="A1732" i="5"/>
  <c r="B1732" i="5"/>
  <c r="H1732" i="5"/>
  <c r="G1732" i="5"/>
  <c r="B246" i="5"/>
  <c r="A246" i="5"/>
  <c r="H246" i="5"/>
  <c r="G246" i="5"/>
  <c r="A778" i="5"/>
  <c r="B778" i="5"/>
  <c r="H778" i="5"/>
  <c r="G778" i="5"/>
  <c r="B2753" i="5"/>
  <c r="A2753" i="5"/>
  <c r="H2753" i="5"/>
  <c r="G2753" i="5"/>
  <c r="B602" i="5"/>
  <c r="A602" i="5"/>
  <c r="G602" i="5"/>
  <c r="H602" i="5"/>
  <c r="B2722" i="5"/>
  <c r="A2722" i="5"/>
  <c r="H2722" i="5"/>
  <c r="G2722" i="5"/>
  <c r="B4009" i="5"/>
  <c r="A4009" i="5"/>
  <c r="H4009" i="5"/>
  <c r="G4009" i="5"/>
  <c r="A2430" i="5"/>
  <c r="B2430" i="5"/>
  <c r="G2430" i="5"/>
  <c r="H2430" i="5"/>
  <c r="B2322" i="5"/>
  <c r="A2322" i="5"/>
  <c r="H2322" i="5"/>
  <c r="G2322" i="5"/>
  <c r="B2507" i="5"/>
  <c r="A2507" i="5"/>
  <c r="G2507" i="5"/>
  <c r="H2507" i="5"/>
  <c r="A3479" i="5"/>
  <c r="B3479" i="5"/>
  <c r="H3479" i="5"/>
  <c r="G3479" i="5"/>
  <c r="B3540" i="5"/>
  <c r="A3540" i="5"/>
  <c r="G3540" i="5"/>
  <c r="H3540" i="5"/>
  <c r="B1205" i="5"/>
  <c r="A1205" i="5"/>
  <c r="G1205" i="5"/>
  <c r="H1205" i="5"/>
  <c r="B4038" i="5"/>
  <c r="A4038" i="5"/>
  <c r="H4038" i="5"/>
  <c r="G4038" i="5"/>
  <c r="A2788" i="5"/>
  <c r="B2788" i="5"/>
  <c r="G2788" i="5"/>
  <c r="H2788" i="5"/>
  <c r="B3255" i="5"/>
  <c r="A3255" i="5"/>
  <c r="H3255" i="5"/>
  <c r="G3255" i="5"/>
  <c r="B565" i="5"/>
  <c r="A565" i="5"/>
  <c r="H565" i="5"/>
  <c r="G565" i="5"/>
  <c r="A2545" i="5"/>
  <c r="B2545" i="5"/>
  <c r="H2545" i="5"/>
  <c r="G2545" i="5"/>
  <c r="A3912" i="5"/>
  <c r="B3912" i="5"/>
  <c r="G3912" i="5"/>
  <c r="H3912" i="5"/>
  <c r="A1215" i="5"/>
  <c r="G1215" i="5"/>
  <c r="B1215" i="5"/>
  <c r="H1215" i="5"/>
  <c r="B456" i="5"/>
  <c r="A456" i="5"/>
  <c r="H456" i="5"/>
  <c r="G456" i="5"/>
  <c r="A2067" i="5"/>
  <c r="B2067" i="5"/>
  <c r="G2067" i="5"/>
  <c r="H2067" i="5"/>
  <c r="B3631" i="5"/>
  <c r="A3631" i="5"/>
  <c r="H3631" i="5"/>
  <c r="G3631" i="5"/>
  <c r="B3721" i="5"/>
  <c r="A3721" i="5"/>
  <c r="H3721" i="5"/>
  <c r="G3721" i="5"/>
  <c r="B3498" i="5"/>
  <c r="A3498" i="5"/>
  <c r="H3498" i="5"/>
  <c r="G3498" i="5"/>
  <c r="B2376" i="5"/>
  <c r="A2376" i="5"/>
  <c r="H2376" i="5"/>
  <c r="G2376" i="5"/>
  <c r="B1096" i="5"/>
  <c r="A1096" i="5"/>
  <c r="H1096" i="5"/>
  <c r="G1096" i="5"/>
  <c r="B2865" i="5"/>
  <c r="A2865" i="5"/>
  <c r="H2865" i="5"/>
  <c r="G2865" i="5"/>
  <c r="B1472" i="5"/>
  <c r="A1472" i="5"/>
  <c r="H1472" i="5"/>
  <c r="G1472" i="5"/>
  <c r="B2536" i="5"/>
  <c r="A2536" i="5"/>
  <c r="H2536" i="5"/>
  <c r="G2536" i="5"/>
  <c r="B2384" i="5"/>
  <c r="A2384" i="5"/>
  <c r="G2384" i="5"/>
  <c r="H2384" i="5"/>
  <c r="B2517" i="5"/>
  <c r="A2517" i="5"/>
  <c r="G2517" i="5"/>
  <c r="H2517" i="5"/>
  <c r="A878" i="5"/>
  <c r="H878" i="5"/>
  <c r="G878" i="5"/>
  <c r="B878" i="5"/>
  <c r="B1237" i="5"/>
  <c r="A1237" i="5"/>
  <c r="H1237" i="5"/>
  <c r="G1237" i="5"/>
  <c r="B2482" i="5"/>
  <c r="A2482" i="5"/>
  <c r="G2482" i="5"/>
  <c r="H2482" i="5"/>
  <c r="B464" i="5"/>
  <c r="A464" i="5"/>
  <c r="G464" i="5"/>
  <c r="H464" i="5"/>
  <c r="B3903" i="5"/>
  <c r="A3903" i="5"/>
  <c r="H3903" i="5"/>
  <c r="G3903" i="5"/>
  <c r="A3471" i="5"/>
  <c r="B3471" i="5"/>
  <c r="H3471" i="5"/>
  <c r="G3471" i="5"/>
  <c r="A2329" i="5"/>
  <c r="B2329" i="5"/>
  <c r="H2329" i="5"/>
  <c r="G2329" i="5"/>
  <c r="A1350" i="5"/>
  <c r="B1350" i="5"/>
  <c r="H1350" i="5"/>
  <c r="G1350" i="5"/>
  <c r="B2310" i="5"/>
  <c r="A2310" i="5"/>
  <c r="H2310" i="5"/>
  <c r="G2310" i="5"/>
  <c r="B3920" i="5"/>
  <c r="A3920" i="5"/>
  <c r="H3920" i="5"/>
  <c r="G3920" i="5"/>
  <c r="B3706" i="5"/>
  <c r="A3706" i="5"/>
  <c r="H3706" i="5"/>
  <c r="G3706" i="5"/>
  <c r="B4350" i="5"/>
  <c r="A4350" i="5"/>
  <c r="H4350" i="5"/>
  <c r="G4350" i="5"/>
  <c r="A2397" i="5"/>
  <c r="B2397" i="5"/>
  <c r="H2397" i="5"/>
  <c r="G2397" i="5"/>
  <c r="B2740" i="5"/>
  <c r="A2740" i="5"/>
  <c r="H2740" i="5"/>
  <c r="G2740" i="5"/>
  <c r="B187" i="5"/>
  <c r="A187" i="5"/>
  <c r="H187" i="5"/>
  <c r="G187" i="5"/>
  <c r="B4226" i="5"/>
  <c r="A4226" i="5"/>
  <c r="G4226" i="5"/>
  <c r="H4226" i="5"/>
  <c r="B1456" i="5"/>
  <c r="A1456" i="5"/>
  <c r="G1456" i="5"/>
  <c r="H1456" i="5"/>
  <c r="B3948" i="5"/>
  <c r="A3948" i="5"/>
  <c r="H3948" i="5"/>
  <c r="G3948" i="5"/>
  <c r="B610" i="5"/>
  <c r="A610" i="5"/>
  <c r="H610" i="5"/>
  <c r="G610" i="5"/>
  <c r="A699" i="5"/>
  <c r="B699" i="5"/>
  <c r="H699" i="5"/>
  <c r="G699" i="5"/>
  <c r="B708" i="5"/>
  <c r="A708" i="5"/>
  <c r="G708" i="5"/>
  <c r="H708" i="5"/>
  <c r="B3722" i="5"/>
  <c r="A3722" i="5"/>
  <c r="G3722" i="5"/>
  <c r="H3722" i="5"/>
  <c r="B437" i="5"/>
  <c r="A437" i="5"/>
  <c r="G437" i="5"/>
  <c r="H437" i="5"/>
  <c r="B1025" i="5"/>
  <c r="A1025" i="5"/>
  <c r="H1025" i="5"/>
  <c r="G1025" i="5"/>
  <c r="B507" i="5"/>
  <c r="A507" i="5"/>
  <c r="G507" i="5"/>
  <c r="H507" i="5"/>
  <c r="B1430" i="5"/>
  <c r="A1430" i="5"/>
  <c r="H1430" i="5"/>
  <c r="G1430" i="5"/>
  <c r="A2043" i="5"/>
  <c r="B2043" i="5"/>
  <c r="H2043" i="5"/>
  <c r="G2043" i="5"/>
  <c r="B2016" i="5"/>
  <c r="A2016" i="5"/>
  <c r="G2016" i="5"/>
  <c r="H2016" i="5"/>
  <c r="A2138" i="5"/>
  <c r="B2138" i="5"/>
  <c r="G2138" i="5"/>
  <c r="H2138" i="5"/>
  <c r="A1301" i="5"/>
  <c r="B1301" i="5"/>
  <c r="G1301" i="5"/>
  <c r="H1301" i="5"/>
  <c r="A3409" i="5"/>
  <c r="B3409" i="5"/>
  <c r="G3409" i="5"/>
  <c r="H3409" i="5"/>
  <c r="A156" i="5"/>
  <c r="B156" i="5"/>
  <c r="H156" i="5"/>
  <c r="G156" i="5"/>
  <c r="B130" i="5"/>
  <c r="A130" i="5"/>
  <c r="G130" i="5"/>
  <c r="H130" i="5"/>
  <c r="A3348" i="5"/>
  <c r="B3348" i="5"/>
  <c r="H3348" i="5"/>
  <c r="G3348" i="5"/>
  <c r="B977" i="5"/>
  <c r="A977" i="5"/>
  <c r="H977" i="5"/>
  <c r="G977" i="5"/>
  <c r="B1402" i="5"/>
  <c r="A1402" i="5"/>
  <c r="H1402" i="5"/>
  <c r="G1402" i="5"/>
  <c r="B927" i="5"/>
  <c r="A927" i="5"/>
  <c r="H927" i="5"/>
  <c r="G927" i="5"/>
  <c r="B3617" i="5"/>
  <c r="A3617" i="5"/>
  <c r="H3617" i="5"/>
  <c r="G3617" i="5"/>
  <c r="B4200" i="5"/>
  <c r="A4200" i="5"/>
  <c r="H4200" i="5"/>
  <c r="G4200" i="5"/>
  <c r="A3937" i="5"/>
  <c r="B3937" i="5"/>
  <c r="G3937" i="5"/>
  <c r="H3937" i="5"/>
  <c r="B1600" i="5"/>
  <c r="A1600" i="5"/>
  <c r="G1600" i="5"/>
  <c r="H1600" i="5"/>
  <c r="B1167" i="5"/>
  <c r="A1167" i="5"/>
  <c r="H1167" i="5"/>
  <c r="G1167" i="5"/>
  <c r="B7" i="5"/>
  <c r="H7" i="5"/>
  <c r="A7" i="5"/>
  <c r="G7" i="5"/>
  <c r="B960" i="5"/>
  <c r="A960" i="5"/>
  <c r="G960" i="5"/>
  <c r="H960" i="5"/>
  <c r="B2895" i="5"/>
  <c r="A2895" i="5"/>
  <c r="G2895" i="5"/>
  <c r="H2895" i="5"/>
  <c r="B655" i="5"/>
  <c r="G655" i="5"/>
  <c r="A655" i="5"/>
  <c r="H655" i="5"/>
  <c r="B4068" i="5"/>
  <c r="A4068" i="5"/>
  <c r="G4068" i="5"/>
  <c r="H4068" i="5"/>
  <c r="A178" i="5"/>
  <c r="B178" i="5"/>
  <c r="G178" i="5"/>
  <c r="H178" i="5"/>
  <c r="B3293" i="5"/>
  <c r="A3293" i="5"/>
  <c r="H3293" i="5"/>
  <c r="G3293" i="5"/>
  <c r="B3789" i="5"/>
  <c r="A3789" i="5"/>
  <c r="G3789" i="5"/>
  <c r="H3789" i="5"/>
  <c r="B1773" i="5"/>
  <c r="G1773" i="5"/>
  <c r="H1773" i="5"/>
  <c r="A1773" i="5"/>
  <c r="A638" i="5"/>
  <c r="B638" i="5"/>
  <c r="H638" i="5"/>
  <c r="G638" i="5"/>
  <c r="B70" i="5"/>
  <c r="A70" i="5"/>
  <c r="G70" i="5"/>
  <c r="H70" i="5"/>
  <c r="B817" i="5"/>
  <c r="A817" i="5"/>
  <c r="G817" i="5"/>
  <c r="H817" i="5"/>
  <c r="B2970" i="5"/>
  <c r="A2970" i="5"/>
  <c r="G2970" i="5"/>
  <c r="H2970" i="5"/>
  <c r="B2217" i="5"/>
  <c r="A2217" i="5"/>
  <c r="H2217" i="5"/>
  <c r="G2217" i="5"/>
  <c r="B915" i="5"/>
  <c r="A915" i="5"/>
  <c r="H915" i="5"/>
  <c r="G915" i="5"/>
  <c r="B3612" i="5"/>
  <c r="A3612" i="5"/>
  <c r="G3612" i="5"/>
  <c r="H3612" i="5"/>
  <c r="B1013" i="5"/>
  <c r="A1013" i="5"/>
  <c r="G1013" i="5"/>
  <c r="H1013" i="5"/>
  <c r="B4397" i="5"/>
  <c r="A4397" i="5"/>
  <c r="G4397" i="5"/>
  <c r="H4397" i="5"/>
  <c r="A519" i="5"/>
  <c r="B519" i="5"/>
  <c r="H519" i="5"/>
  <c r="G519" i="5"/>
  <c r="B3001" i="5"/>
  <c r="A3001" i="5"/>
  <c r="H3001" i="5"/>
  <c r="G3001" i="5"/>
  <c r="B3240" i="5"/>
  <c r="A3240" i="5"/>
  <c r="H3240" i="5"/>
  <c r="G3240" i="5"/>
  <c r="B3461" i="5"/>
  <c r="A3461" i="5"/>
  <c r="H3461" i="5"/>
  <c r="G3461" i="5"/>
  <c r="B2689" i="5"/>
  <c r="A2689" i="5"/>
  <c r="G2689" i="5"/>
  <c r="H2689" i="5"/>
  <c r="A414" i="5"/>
  <c r="B414" i="5"/>
  <c r="H414" i="5"/>
  <c r="G414" i="5"/>
  <c r="B3878" i="5"/>
  <c r="A3878" i="5"/>
  <c r="H3878" i="5"/>
  <c r="G3878" i="5"/>
  <c r="B409" i="5"/>
  <c r="A409" i="5"/>
  <c r="H409" i="5"/>
  <c r="G409" i="5"/>
  <c r="B3131" i="5"/>
  <c r="A3131" i="5"/>
  <c r="G3131" i="5"/>
  <c r="H3131" i="5"/>
  <c r="B1861" i="5"/>
  <c r="A1861" i="5"/>
  <c r="H1861" i="5"/>
  <c r="G1861" i="5"/>
  <c r="B1311" i="5"/>
  <c r="A1311" i="5"/>
  <c r="H1311" i="5"/>
  <c r="G1311" i="5"/>
  <c r="B3956" i="5"/>
  <c r="A3956" i="5"/>
  <c r="G3956" i="5"/>
  <c r="H3956" i="5"/>
  <c r="A1995" i="5"/>
  <c r="B1995" i="5"/>
  <c r="H1995" i="5"/>
  <c r="G1995" i="5"/>
  <c r="B484" i="5"/>
  <c r="A484" i="5"/>
  <c r="H484" i="5"/>
  <c r="G484" i="5"/>
  <c r="B1178" i="5"/>
  <c r="A1178" i="5"/>
  <c r="G1178" i="5"/>
  <c r="H1178" i="5"/>
  <c r="B3654" i="5"/>
  <c r="A3654" i="5"/>
  <c r="G3654" i="5"/>
  <c r="H3654" i="5"/>
  <c r="A3419" i="5"/>
  <c r="B3419" i="5"/>
  <c r="H3419" i="5"/>
  <c r="G3419" i="5"/>
  <c r="B292" i="5"/>
  <c r="A292" i="5"/>
  <c r="H292" i="5"/>
  <c r="G292" i="5"/>
  <c r="B89" i="5"/>
  <c r="H89" i="5"/>
  <c r="G89" i="5"/>
  <c r="A89" i="5"/>
  <c r="A81" i="5"/>
  <c r="H81" i="5"/>
  <c r="G81" i="5"/>
  <c r="B81" i="5"/>
  <c r="A1528" i="5"/>
  <c r="B1528" i="5"/>
  <c r="G1528" i="5"/>
  <c r="H1528" i="5"/>
  <c r="B278" i="5"/>
  <c r="H278" i="5"/>
  <c r="G278" i="5"/>
  <c r="A278" i="5"/>
  <c r="B269" i="5"/>
  <c r="A269" i="5"/>
  <c r="G269" i="5"/>
  <c r="H269" i="5"/>
  <c r="B3100" i="5"/>
  <c r="A3100" i="5"/>
  <c r="H3100" i="5"/>
  <c r="G3100" i="5"/>
  <c r="B2592" i="5"/>
  <c r="A2592" i="5"/>
  <c r="H2592" i="5"/>
  <c r="G2592" i="5"/>
  <c r="B3667" i="5"/>
  <c r="A3667" i="5"/>
  <c r="H3667" i="5"/>
  <c r="G3667" i="5"/>
  <c r="B2492" i="5"/>
  <c r="A2492" i="5"/>
  <c r="H2492" i="5"/>
  <c r="G2492" i="5"/>
  <c r="B696" i="5"/>
  <c r="A696" i="5"/>
  <c r="H696" i="5"/>
  <c r="G696" i="5"/>
  <c r="G1375" i="5"/>
  <c r="B1375" i="5"/>
  <c r="A1375" i="5"/>
  <c r="H1375" i="5"/>
  <c r="B996" i="5"/>
  <c r="A996" i="5"/>
  <c r="H996" i="5"/>
  <c r="G996" i="5"/>
  <c r="B2236" i="5"/>
  <c r="A2236" i="5"/>
  <c r="H2236" i="5"/>
  <c r="G2236" i="5"/>
  <c r="A3222" i="5"/>
  <c r="B3222" i="5"/>
  <c r="H3222" i="5"/>
  <c r="G3222" i="5"/>
  <c r="B348" i="5"/>
  <c r="A348" i="5"/>
  <c r="H348" i="5"/>
  <c r="G348" i="5"/>
  <c r="B3127" i="5"/>
  <c r="A3127" i="5"/>
  <c r="H3127" i="5"/>
  <c r="G3127" i="5"/>
  <c r="B1741" i="5"/>
  <c r="A1741" i="5"/>
  <c r="H1741" i="5"/>
  <c r="G1741" i="5"/>
  <c r="A4314" i="5"/>
  <c r="B4314" i="5"/>
  <c r="H4314" i="5"/>
  <c r="G4314" i="5"/>
  <c r="B3316" i="5"/>
  <c r="A3316" i="5"/>
  <c r="G3316" i="5"/>
  <c r="H3316" i="5"/>
  <c r="B1953" i="5"/>
  <c r="A1953" i="5"/>
  <c r="H1953" i="5"/>
  <c r="G1953" i="5"/>
  <c r="B3555" i="5"/>
  <c r="A3555" i="5"/>
  <c r="H3555" i="5"/>
  <c r="G3555" i="5"/>
  <c r="A2554" i="5"/>
  <c r="B2554" i="5"/>
  <c r="H2554" i="5"/>
  <c r="G2554" i="5"/>
  <c r="B296" i="5"/>
  <c r="A296" i="5"/>
  <c r="G296" i="5"/>
  <c r="H296" i="5"/>
  <c r="B1625" i="5"/>
  <c r="A1625" i="5"/>
  <c r="H1625" i="5"/>
  <c r="G1625" i="5"/>
  <c r="A1124" i="5"/>
  <c r="B1124" i="5"/>
  <c r="G1124" i="5"/>
  <c r="H1124" i="5"/>
  <c r="B725" i="5"/>
  <c r="A725" i="5"/>
  <c r="H725" i="5"/>
  <c r="G725" i="5"/>
  <c r="B2704" i="5"/>
  <c r="A2704" i="5"/>
  <c r="H2704" i="5"/>
  <c r="G2704" i="5"/>
  <c r="A1753" i="5"/>
  <c r="B1753" i="5"/>
  <c r="H1753" i="5"/>
  <c r="G1753" i="5"/>
  <c r="B993" i="5"/>
  <c r="A993" i="5"/>
  <c r="G993" i="5"/>
  <c r="H993" i="5"/>
  <c r="B1192" i="5"/>
  <c r="A1192" i="5"/>
  <c r="H1192" i="5"/>
  <c r="G1192" i="5"/>
  <c r="B1887" i="5"/>
  <c r="A1887" i="5"/>
  <c r="H1887" i="5"/>
  <c r="G1887" i="5"/>
  <c r="A3649" i="5"/>
  <c r="B3649" i="5"/>
  <c r="H3649" i="5"/>
  <c r="G3649" i="5"/>
  <c r="B517" i="5"/>
  <c r="A517" i="5"/>
  <c r="H517" i="5"/>
  <c r="G517" i="5"/>
  <c r="A341" i="5"/>
  <c r="B341" i="5"/>
  <c r="G341" i="5"/>
  <c r="H341" i="5"/>
  <c r="B1818" i="5"/>
  <c r="A1818" i="5"/>
  <c r="H1818" i="5"/>
  <c r="G1818" i="5"/>
  <c r="B3201" i="5"/>
  <c r="A3201" i="5"/>
  <c r="G3201" i="5"/>
  <c r="H3201" i="5"/>
  <c r="B2187" i="5"/>
  <c r="A2187" i="5"/>
  <c r="G2187" i="5"/>
  <c r="H2187" i="5"/>
  <c r="B1245" i="5"/>
  <c r="A1245" i="5"/>
  <c r="G1245" i="5"/>
  <c r="H1245" i="5"/>
  <c r="B3888" i="5"/>
  <c r="A3888" i="5"/>
  <c r="G3888" i="5"/>
  <c r="H3888" i="5"/>
  <c r="B3546" i="5"/>
  <c r="A3546" i="5"/>
  <c r="H3546" i="5"/>
  <c r="G3546" i="5"/>
  <c r="A1791" i="5"/>
  <c r="B1791" i="5"/>
  <c r="H1791" i="5"/>
  <c r="G1791" i="5"/>
  <c r="B1885" i="5"/>
  <c r="A1885" i="5"/>
  <c r="G1885" i="5"/>
  <c r="H1885" i="5"/>
  <c r="B1053" i="5"/>
  <c r="A1053" i="5"/>
  <c r="G1053" i="5"/>
  <c r="H1053" i="5"/>
  <c r="B42" i="5"/>
  <c r="A42" i="5"/>
  <c r="G42" i="5"/>
  <c r="H42" i="5"/>
  <c r="A3105" i="5"/>
  <c r="B3105" i="5"/>
  <c r="G3105" i="5"/>
  <c r="H3105" i="5"/>
  <c r="B625" i="5"/>
  <c r="A625" i="5"/>
  <c r="H625" i="5"/>
  <c r="G625" i="5"/>
  <c r="B1593" i="5"/>
  <c r="A1593" i="5"/>
  <c r="H1593" i="5"/>
  <c r="G1593" i="5"/>
  <c r="A3563" i="5"/>
  <c r="B3563" i="5"/>
  <c r="H3563" i="5"/>
  <c r="G3563" i="5"/>
  <c r="B1517" i="5"/>
  <c r="A1517" i="5"/>
  <c r="H1517" i="5"/>
  <c r="G1517" i="5"/>
  <c r="B3991" i="5"/>
  <c r="A3991" i="5"/>
  <c r="H3991" i="5"/>
  <c r="G3991" i="5"/>
  <c r="B2876" i="5"/>
  <c r="A2876" i="5"/>
  <c r="G2876" i="5"/>
  <c r="H2876" i="5"/>
  <c r="B1611" i="5"/>
  <c r="A1611" i="5"/>
  <c r="H1611" i="5"/>
  <c r="G1611" i="5"/>
  <c r="B2475" i="5"/>
  <c r="A2475" i="5"/>
  <c r="H2475" i="5"/>
  <c r="G2475" i="5"/>
  <c r="A2813" i="5"/>
  <c r="B2813" i="5"/>
  <c r="H2813" i="5"/>
  <c r="G2813" i="5"/>
  <c r="B3319" i="5"/>
  <c r="A3319" i="5"/>
  <c r="H3319" i="5"/>
  <c r="G3319" i="5"/>
  <c r="B2777" i="5"/>
  <c r="A2777" i="5"/>
  <c r="H2777" i="5"/>
  <c r="G2777" i="5"/>
  <c r="B3230" i="5"/>
  <c r="A3230" i="5"/>
  <c r="G3230" i="5"/>
  <c r="H3230" i="5"/>
  <c r="A2240" i="5"/>
  <c r="B2240" i="5"/>
  <c r="H2240" i="5"/>
  <c r="G2240" i="5"/>
  <c r="B4319" i="5"/>
  <c r="A4319" i="5"/>
  <c r="H4319" i="5"/>
  <c r="G4319" i="5"/>
  <c r="B1552" i="5"/>
  <c r="A1552" i="5"/>
  <c r="H1552" i="5"/>
  <c r="G1552" i="5"/>
  <c r="B2291" i="5"/>
  <c r="A2291" i="5"/>
  <c r="H2291" i="5"/>
  <c r="G2291" i="5"/>
  <c r="B1643" i="5"/>
  <c r="A1643" i="5"/>
  <c r="H1643" i="5"/>
  <c r="G1643" i="5"/>
  <c r="B4433" i="5"/>
  <c r="A4433" i="5"/>
  <c r="H4433" i="5"/>
  <c r="G4433" i="5"/>
  <c r="B2097" i="5"/>
  <c r="A2097" i="5"/>
  <c r="H2097" i="5"/>
  <c r="G2097" i="5"/>
  <c r="B3999" i="5"/>
  <c r="A3999" i="5"/>
  <c r="H3999" i="5"/>
  <c r="G3999" i="5"/>
  <c r="A302" i="5"/>
  <c r="B302" i="5"/>
  <c r="H302" i="5"/>
  <c r="G302" i="5"/>
  <c r="A2349" i="5"/>
  <c r="B2349" i="5"/>
  <c r="H2349" i="5"/>
  <c r="G2349" i="5"/>
  <c r="B2776" i="5"/>
  <c r="A2776" i="5"/>
  <c r="G2776" i="5"/>
  <c r="H2776" i="5"/>
  <c r="B2077" i="5"/>
  <c r="A2077" i="5"/>
  <c r="H2077" i="5"/>
  <c r="G2077" i="5"/>
  <c r="B2761" i="5"/>
  <c r="A2761" i="5"/>
  <c r="G2761" i="5"/>
  <c r="H2761" i="5"/>
  <c r="B1453" i="5"/>
  <c r="A1453" i="5"/>
  <c r="H1453" i="5"/>
  <c r="G1453" i="5"/>
  <c r="A2438" i="5"/>
  <c r="B2438" i="5"/>
  <c r="G2438" i="5"/>
  <c r="H2438" i="5"/>
  <c r="B1902" i="5"/>
  <c r="A1902" i="5"/>
  <c r="G1902" i="5"/>
  <c r="H1902" i="5"/>
  <c r="A171" i="5"/>
  <c r="B171" i="5"/>
  <c r="H171" i="5"/>
  <c r="G171" i="5"/>
  <c r="B2127" i="5"/>
  <c r="A2127" i="5"/>
  <c r="H2127" i="5"/>
  <c r="G2127" i="5"/>
  <c r="A1782" i="5"/>
  <c r="B1782" i="5"/>
  <c r="G1782" i="5"/>
  <c r="H1782" i="5"/>
  <c r="A162" i="5"/>
  <c r="B162" i="5"/>
  <c r="G162" i="5"/>
  <c r="H162" i="5"/>
  <c r="A2682" i="5"/>
  <c r="B2682" i="5"/>
  <c r="G2682" i="5"/>
  <c r="H2682" i="5"/>
  <c r="B2673" i="5"/>
  <c r="A2673" i="5"/>
  <c r="H2673" i="5"/>
  <c r="G2673" i="5"/>
  <c r="B2663" i="5"/>
  <c r="A2663" i="5"/>
  <c r="G2663" i="5"/>
  <c r="H2663" i="5"/>
  <c r="B2461" i="5"/>
  <c r="A2461" i="5"/>
  <c r="H2461" i="5"/>
  <c r="G2461" i="5"/>
  <c r="B4058" i="5"/>
  <c r="A4058" i="5"/>
  <c r="G4058" i="5"/>
  <c r="H4058" i="5"/>
  <c r="A1418" i="5"/>
  <c r="B1418" i="5"/>
  <c r="G1418" i="5"/>
  <c r="H1418" i="5"/>
  <c r="B21" i="5"/>
  <c r="A21" i="5"/>
  <c r="G21" i="5"/>
  <c r="H21" i="5"/>
  <c r="B3867" i="5"/>
  <c r="A3867" i="5"/>
  <c r="H3867" i="5"/>
  <c r="G3867" i="5"/>
  <c r="B953" i="5"/>
  <c r="A953" i="5"/>
  <c r="G953" i="5"/>
  <c r="H953" i="5"/>
  <c r="B2446" i="5"/>
  <c r="A2446" i="5"/>
  <c r="H2446" i="5"/>
  <c r="G2446" i="5"/>
  <c r="B1539" i="5"/>
  <c r="A1539" i="5"/>
  <c r="H1539" i="5"/>
  <c r="G1539" i="5"/>
  <c r="B1977" i="5"/>
  <c r="A1977" i="5"/>
  <c r="H1977" i="5"/>
  <c r="G1977" i="5"/>
  <c r="B4270" i="5"/>
  <c r="A4270" i="5"/>
  <c r="G4270" i="5"/>
  <c r="H4270" i="5"/>
  <c r="B2371" i="5"/>
  <c r="A2371" i="5"/>
  <c r="G2371" i="5"/>
  <c r="H2371" i="5"/>
  <c r="A260" i="5"/>
  <c r="B260" i="5"/>
  <c r="H260" i="5"/>
  <c r="G260" i="5"/>
  <c r="B3083" i="5"/>
  <c r="A3083" i="5"/>
  <c r="H3083" i="5"/>
  <c r="G3083" i="5"/>
  <c r="C288" i="8"/>
  <c r="B43" i="8"/>
  <c r="C438" i="8"/>
  <c r="A3168" i="5"/>
  <c r="B3168" i="5"/>
  <c r="H3168" i="5"/>
  <c r="G3168" i="5"/>
  <c r="B688" i="5"/>
  <c r="A688" i="5"/>
  <c r="H688" i="5"/>
  <c r="G688" i="5"/>
  <c r="B583" i="5"/>
  <c r="A583" i="5"/>
  <c r="H583" i="5"/>
  <c r="G583" i="5"/>
  <c r="A4020" i="5"/>
  <c r="B4020" i="5"/>
  <c r="G4020" i="5"/>
  <c r="H4020" i="5"/>
  <c r="B230" i="5"/>
  <c r="G230" i="5"/>
  <c r="A230" i="5"/>
  <c r="H230" i="5"/>
  <c r="A3365" i="5"/>
  <c r="B3365" i="5"/>
  <c r="H3365" i="5"/>
  <c r="G3365" i="5"/>
  <c r="B2830" i="5"/>
  <c r="A2830" i="5"/>
  <c r="H2830" i="5"/>
  <c r="G2830" i="5"/>
  <c r="B360" i="5"/>
  <c r="A360" i="5"/>
  <c r="H360" i="5"/>
  <c r="G360" i="5"/>
  <c r="A1553" i="5"/>
  <c r="B1553" i="5"/>
  <c r="H1553" i="5"/>
  <c r="G1553" i="5"/>
  <c r="B4338" i="5"/>
  <c r="A4338" i="5"/>
  <c r="H4338" i="5"/>
  <c r="G4338" i="5"/>
  <c r="B935" i="5"/>
  <c r="A935" i="5"/>
  <c r="H935" i="5"/>
  <c r="G935" i="5"/>
  <c r="A2726" i="5"/>
  <c r="B2726" i="5"/>
  <c r="G2726" i="5"/>
  <c r="H2726" i="5"/>
  <c r="A2632" i="5"/>
  <c r="B2632" i="5"/>
  <c r="H2632" i="5"/>
  <c r="G2632" i="5"/>
  <c r="B2601" i="5"/>
  <c r="A2601" i="5"/>
  <c r="H2601" i="5"/>
  <c r="G2601" i="5"/>
  <c r="B4235" i="5"/>
  <c r="A4235" i="5"/>
  <c r="H4235" i="5"/>
  <c r="G4235" i="5"/>
  <c r="A1683" i="5"/>
  <c r="B1683" i="5"/>
  <c r="G1683" i="5"/>
  <c r="H1683" i="5"/>
  <c r="A1038" i="5"/>
  <c r="B1038" i="5"/>
  <c r="H1038" i="5"/>
  <c r="G1038" i="5"/>
  <c r="A4134" i="5"/>
  <c r="B4134" i="5"/>
  <c r="G4134" i="5"/>
  <c r="H4134" i="5"/>
  <c r="B648" i="5"/>
  <c r="A648" i="5"/>
  <c r="H648" i="5"/>
  <c r="G648" i="5"/>
  <c r="B3397" i="5"/>
  <c r="A3397" i="5"/>
  <c r="H3397" i="5"/>
  <c r="G3397" i="5"/>
  <c r="B2048" i="5"/>
  <c r="A2048" i="5"/>
  <c r="H2048" i="5"/>
  <c r="G2048" i="5"/>
  <c r="B3149" i="5"/>
  <c r="A3149" i="5"/>
  <c r="G3149" i="5"/>
  <c r="H3149" i="5"/>
  <c r="B3821" i="5"/>
  <c r="A3821" i="5"/>
  <c r="H3821" i="5"/>
  <c r="G3821" i="5"/>
  <c r="B2421" i="5"/>
  <c r="A2421" i="5"/>
  <c r="H2421" i="5"/>
  <c r="G2421" i="5"/>
  <c r="B3802" i="5"/>
  <c r="A3802" i="5"/>
  <c r="H3802" i="5"/>
  <c r="G3802" i="5"/>
  <c r="B365" i="5"/>
  <c r="A365" i="5"/>
  <c r="H365" i="5"/>
  <c r="G365" i="5"/>
  <c r="B719" i="5"/>
  <c r="A719" i="5"/>
  <c r="H719" i="5"/>
  <c r="G719" i="5"/>
  <c r="B248" i="5"/>
  <c r="A248" i="5"/>
  <c r="H248" i="5"/>
  <c r="G248" i="5"/>
  <c r="B2651" i="5"/>
  <c r="A2651" i="5"/>
  <c r="G2651" i="5"/>
  <c r="H2651" i="5"/>
  <c r="B1914" i="5"/>
  <c r="A1914" i="5"/>
  <c r="H1914" i="5"/>
  <c r="G1914" i="5"/>
  <c r="B2343" i="5"/>
  <c r="A2343" i="5"/>
  <c r="H2343" i="5"/>
  <c r="G2343" i="5"/>
  <c r="B1093" i="5"/>
  <c r="A1093" i="5"/>
  <c r="H1093" i="5"/>
  <c r="G1093" i="5"/>
  <c r="B3400" i="5"/>
  <c r="A3400" i="5"/>
  <c r="H3400" i="5"/>
  <c r="G3400" i="5"/>
  <c r="A3813" i="5"/>
  <c r="B3813" i="5"/>
  <c r="H3813" i="5"/>
  <c r="G3813" i="5"/>
  <c r="B2623" i="5"/>
  <c r="A2623" i="5"/>
  <c r="G2623" i="5"/>
  <c r="H2623" i="5"/>
  <c r="A593" i="5"/>
  <c r="B593" i="5"/>
  <c r="H593" i="5"/>
  <c r="G593" i="5"/>
  <c r="A1677" i="5"/>
  <c r="B1677" i="5"/>
  <c r="H1677" i="5"/>
  <c r="G1677" i="5"/>
  <c r="A3265" i="5"/>
  <c r="B3265" i="5"/>
  <c r="H3265" i="5"/>
  <c r="G3265" i="5"/>
  <c r="B3030" i="5"/>
  <c r="A3030" i="5"/>
  <c r="G3030" i="5"/>
  <c r="H3030" i="5"/>
  <c r="B4136" i="5"/>
  <c r="A4136" i="5"/>
  <c r="G4136" i="5"/>
  <c r="H4136" i="5"/>
  <c r="B2500" i="5"/>
  <c r="A2500" i="5"/>
  <c r="H2500" i="5"/>
  <c r="G2500" i="5"/>
  <c r="B4013" i="5"/>
  <c r="A4013" i="5"/>
  <c r="H4013" i="5"/>
  <c r="G4013" i="5"/>
  <c r="B1960" i="5"/>
  <c r="A1960" i="5"/>
  <c r="G1960" i="5"/>
  <c r="H1960" i="5"/>
  <c r="A4489" i="5"/>
  <c r="B4489" i="5"/>
  <c r="H4489" i="5"/>
  <c r="G4489" i="5"/>
  <c r="B1571" i="5"/>
  <c r="A1571" i="5"/>
  <c r="H1571" i="5"/>
  <c r="G1571" i="5"/>
  <c r="B1345" i="5"/>
  <c r="A1345" i="5"/>
  <c r="H1345" i="5"/>
  <c r="G1345" i="5"/>
  <c r="B3279" i="5"/>
  <c r="A3279" i="5"/>
  <c r="H3279" i="5"/>
  <c r="G3279" i="5"/>
  <c r="B2256" i="5"/>
  <c r="A2256" i="5"/>
  <c r="H2256" i="5"/>
  <c r="G2256" i="5"/>
  <c r="B3702" i="5"/>
  <c r="A3702" i="5"/>
  <c r="H3702" i="5"/>
  <c r="G3702" i="5"/>
  <c r="B2223" i="5"/>
  <c r="A2223" i="5"/>
  <c r="H2223" i="5"/>
  <c r="G2223" i="5"/>
  <c r="A4328" i="5"/>
  <c r="B4328" i="5"/>
  <c r="H4328" i="5"/>
  <c r="G4328" i="5"/>
  <c r="B975" i="5"/>
  <c r="A975" i="5"/>
  <c r="H975" i="5"/>
  <c r="G975" i="5"/>
  <c r="B2086" i="5"/>
  <c r="A2086" i="5"/>
  <c r="H2086" i="5"/>
  <c r="G2086" i="5"/>
  <c r="A4166" i="5"/>
  <c r="B4166" i="5"/>
  <c r="G4166" i="5"/>
  <c r="H4166" i="5"/>
  <c r="B2200" i="5"/>
  <c r="A2200" i="5"/>
  <c r="G2200" i="5"/>
  <c r="H2200" i="5"/>
  <c r="A2527" i="5"/>
  <c r="B2527" i="5"/>
  <c r="H2527" i="5"/>
  <c r="G2527" i="5"/>
  <c r="A3864" i="5"/>
  <c r="B3864" i="5"/>
  <c r="G3864" i="5"/>
  <c r="H3864" i="5"/>
  <c r="B1485" i="5"/>
  <c r="A1485" i="5"/>
  <c r="G1485" i="5"/>
  <c r="H1485" i="5"/>
  <c r="B2416" i="5"/>
  <c r="A2416" i="5"/>
  <c r="H2416" i="5"/>
  <c r="G2416" i="5"/>
  <c r="B1364" i="5"/>
  <c r="A1364" i="5"/>
  <c r="H1364" i="5"/>
  <c r="G1364" i="5"/>
  <c r="B1004" i="5"/>
  <c r="A1004" i="5"/>
  <c r="G1004" i="5"/>
  <c r="H1004" i="5"/>
  <c r="B3831" i="5"/>
  <c r="A3831" i="5"/>
  <c r="H3831" i="5"/>
  <c r="G3831" i="5"/>
  <c r="A1722" i="5"/>
  <c r="B1722" i="5"/>
  <c r="G1722" i="5"/>
  <c r="H1722" i="5"/>
  <c r="B889" i="5"/>
  <c r="A889" i="5"/>
  <c r="G889" i="5"/>
  <c r="H889" i="5"/>
  <c r="A2889" i="5"/>
  <c r="B2889" i="5"/>
  <c r="G2889" i="5"/>
  <c r="H2889" i="5"/>
  <c r="A1465" i="5"/>
  <c r="B1465" i="5"/>
  <c r="H1465" i="5"/>
  <c r="G1465" i="5"/>
  <c r="A899" i="5"/>
  <c r="B899" i="5"/>
  <c r="H899" i="5"/>
  <c r="G899" i="5"/>
  <c r="B3176" i="5"/>
  <c r="A3176" i="5"/>
  <c r="G3176" i="5"/>
  <c r="H3176" i="5"/>
  <c r="B3519" i="5"/>
  <c r="A3519" i="5"/>
  <c r="H3519" i="5"/>
  <c r="G3519" i="5"/>
  <c r="A1653" i="5"/>
  <c r="B1653" i="5"/>
  <c r="H1653" i="5"/>
  <c r="G1653" i="5"/>
  <c r="B4185" i="5"/>
  <c r="A4185" i="5"/>
  <c r="H4185" i="5"/>
  <c r="G4185" i="5"/>
  <c r="A777" i="5"/>
  <c r="G777" i="5"/>
  <c r="B777" i="5"/>
  <c r="H777" i="5"/>
  <c r="B2751" i="5"/>
  <c r="A2751" i="5"/>
  <c r="G2751" i="5"/>
  <c r="H2751" i="5"/>
  <c r="A600" i="5"/>
  <c r="B600" i="5"/>
  <c r="H600" i="5"/>
  <c r="G600" i="5"/>
  <c r="B3693" i="5"/>
  <c r="A3693" i="5"/>
  <c r="G3693" i="5"/>
  <c r="H3693" i="5"/>
  <c r="A216" i="5"/>
  <c r="B216" i="5"/>
  <c r="G216" i="5"/>
  <c r="H216" i="5"/>
  <c r="B4008" i="5"/>
  <c r="A4008" i="5"/>
  <c r="H4008" i="5"/>
  <c r="G4008" i="5"/>
  <c r="B4274" i="5"/>
  <c r="A4274" i="5"/>
  <c r="H4274" i="5"/>
  <c r="G4274" i="5"/>
  <c r="B2428" i="5"/>
  <c r="A2428" i="5"/>
  <c r="H2428" i="5"/>
  <c r="G2428" i="5"/>
  <c r="B2318" i="5"/>
  <c r="A2318" i="5"/>
  <c r="G2318" i="5"/>
  <c r="H2318" i="5"/>
  <c r="A2511" i="5"/>
  <c r="B2511" i="5"/>
  <c r="G2511" i="5"/>
  <c r="H2511" i="5"/>
  <c r="B3051" i="5"/>
  <c r="A3051" i="5"/>
  <c r="H3051" i="5"/>
  <c r="G3051" i="5"/>
  <c r="B3481" i="5"/>
  <c r="A3481" i="5"/>
  <c r="H3481" i="5"/>
  <c r="G3481" i="5"/>
  <c r="B4500" i="5"/>
  <c r="A4500" i="5"/>
  <c r="H4500" i="5"/>
  <c r="G4500" i="5"/>
  <c r="A3537" i="5"/>
  <c r="B3537" i="5"/>
  <c r="H3537" i="5"/>
  <c r="G3537" i="5"/>
  <c r="B1202" i="5"/>
  <c r="A1202" i="5"/>
  <c r="H1202" i="5"/>
  <c r="G1202" i="5"/>
  <c r="B2614" i="5"/>
  <c r="A2614" i="5"/>
  <c r="H2614" i="5"/>
  <c r="G2614" i="5"/>
  <c r="A4037" i="5"/>
  <c r="B4037" i="5"/>
  <c r="H4037" i="5"/>
  <c r="G4037" i="5"/>
  <c r="B2787" i="5"/>
  <c r="A2787" i="5"/>
  <c r="H2787" i="5"/>
  <c r="G2787" i="5"/>
  <c r="A1157" i="5"/>
  <c r="B1157" i="5"/>
  <c r="H1157" i="5"/>
  <c r="G1157" i="5"/>
  <c r="B3387" i="5"/>
  <c r="A3387" i="5"/>
  <c r="G3387" i="5"/>
  <c r="H3387" i="5"/>
  <c r="B809" i="5"/>
  <c r="A809" i="5"/>
  <c r="H809" i="5"/>
  <c r="G809" i="5"/>
  <c r="B3254" i="5"/>
  <c r="A3254" i="5"/>
  <c r="H3254" i="5"/>
  <c r="G3254" i="5"/>
  <c r="B564" i="5"/>
  <c r="A564" i="5"/>
  <c r="H564" i="5"/>
  <c r="G564" i="5"/>
  <c r="B386" i="5"/>
  <c r="A386" i="5"/>
  <c r="H386" i="5"/>
  <c r="G386" i="5"/>
  <c r="A3911" i="5"/>
  <c r="B3911" i="5"/>
  <c r="H3911" i="5"/>
  <c r="G3911" i="5"/>
  <c r="B1219" i="5"/>
  <c r="A1219" i="5"/>
  <c r="G1219" i="5"/>
  <c r="H1219" i="5"/>
  <c r="B455" i="5"/>
  <c r="A455" i="5"/>
  <c r="H455" i="5"/>
  <c r="G455" i="5"/>
  <c r="B2066" i="5"/>
  <c r="A2066" i="5"/>
  <c r="G2066" i="5"/>
  <c r="H2066" i="5"/>
  <c r="A447" i="5"/>
  <c r="B447" i="5"/>
  <c r="H447" i="5"/>
  <c r="G447" i="5"/>
  <c r="B3714" i="5"/>
  <c r="A3714" i="5"/>
  <c r="H3714" i="5"/>
  <c r="G3714" i="5"/>
  <c r="A3497" i="5"/>
  <c r="B3497" i="5"/>
  <c r="H3497" i="5"/>
  <c r="G3497" i="5"/>
  <c r="A2372" i="5"/>
  <c r="B2372" i="5"/>
  <c r="H2372" i="5"/>
  <c r="G2372" i="5"/>
  <c r="B1101" i="5"/>
  <c r="A1101" i="5"/>
  <c r="G1101" i="5"/>
  <c r="H1101" i="5"/>
  <c r="B1155" i="5"/>
  <c r="A1155" i="5"/>
  <c r="G1155" i="5"/>
  <c r="H1155" i="5"/>
  <c r="A2946" i="5"/>
  <c r="B2946" i="5"/>
  <c r="H2946" i="5"/>
  <c r="G2946" i="5"/>
  <c r="B3680" i="5"/>
  <c r="A3680" i="5"/>
  <c r="G3680" i="5"/>
  <c r="H3680" i="5"/>
  <c r="B913" i="5"/>
  <c r="A913" i="5"/>
  <c r="H913" i="5"/>
  <c r="G913" i="5"/>
  <c r="A4442" i="5"/>
  <c r="B4442" i="5"/>
  <c r="H4442" i="5"/>
  <c r="G4442" i="5"/>
  <c r="A2389" i="5"/>
  <c r="B2389" i="5"/>
  <c r="H2389" i="5"/>
  <c r="G2389" i="5"/>
  <c r="A2524" i="5"/>
  <c r="B2524" i="5"/>
  <c r="H2524" i="5"/>
  <c r="G2524" i="5"/>
  <c r="A886" i="5"/>
  <c r="B886" i="5"/>
  <c r="G886" i="5"/>
  <c r="H886" i="5"/>
  <c r="B1714" i="5"/>
  <c r="A1714" i="5"/>
  <c r="H1714" i="5"/>
  <c r="G1714" i="5"/>
  <c r="B3904" i="5"/>
  <c r="A3904" i="5"/>
  <c r="G3904" i="5"/>
  <c r="H3904" i="5"/>
  <c r="A3470" i="5"/>
  <c r="B3470" i="5"/>
  <c r="G3470" i="5"/>
  <c r="H3470" i="5"/>
  <c r="B1349" i="5"/>
  <c r="A1349" i="5"/>
  <c r="H1349" i="5"/>
  <c r="G1349" i="5"/>
  <c r="B2309" i="5"/>
  <c r="A2309" i="5"/>
  <c r="H2309" i="5"/>
  <c r="G2309" i="5"/>
  <c r="B3928" i="5"/>
  <c r="A3928" i="5"/>
  <c r="H3928" i="5"/>
  <c r="G3928" i="5"/>
  <c r="B186" i="5"/>
  <c r="A186" i="5"/>
  <c r="H186" i="5"/>
  <c r="G186" i="5"/>
  <c r="B4227" i="5"/>
  <c r="A4227" i="5"/>
  <c r="H4227" i="5"/>
  <c r="G4227" i="5"/>
  <c r="A3955" i="5"/>
  <c r="B3955" i="5"/>
  <c r="H3955" i="5"/>
  <c r="G3955" i="5"/>
  <c r="A1323" i="5"/>
  <c r="B1323" i="5"/>
  <c r="H1323" i="5"/>
  <c r="G1323" i="5"/>
  <c r="B616" i="5"/>
  <c r="A616" i="5"/>
  <c r="H616" i="5"/>
  <c r="G616" i="5"/>
  <c r="B702" i="5"/>
  <c r="A702" i="5"/>
  <c r="H702" i="5"/>
  <c r="G702" i="5"/>
  <c r="A707" i="5"/>
  <c r="B707" i="5"/>
  <c r="H707" i="5"/>
  <c r="G707" i="5"/>
  <c r="B444" i="5"/>
  <c r="A444" i="5"/>
  <c r="G444" i="5"/>
  <c r="H444" i="5"/>
  <c r="A1988" i="5"/>
  <c r="B1988" i="5"/>
  <c r="G1988" i="5"/>
  <c r="H1988" i="5"/>
  <c r="B4452" i="5"/>
  <c r="A4452" i="5"/>
  <c r="H4452" i="5"/>
  <c r="G4452" i="5"/>
  <c r="B1022" i="5"/>
  <c r="A1022" i="5"/>
  <c r="H1022" i="5"/>
  <c r="G1022" i="5"/>
  <c r="A2013" i="5"/>
  <c r="B2013" i="5"/>
  <c r="H2013" i="5"/>
  <c r="G2013" i="5"/>
  <c r="B2142" i="5"/>
  <c r="A2142" i="5"/>
  <c r="G2142" i="5"/>
  <c r="H2142" i="5"/>
  <c r="B1308" i="5"/>
  <c r="A1308" i="5"/>
  <c r="H1308" i="5"/>
  <c r="G1308" i="5"/>
  <c r="B3407" i="5"/>
  <c r="A3407" i="5"/>
  <c r="H3407" i="5"/>
  <c r="G3407" i="5"/>
  <c r="B3344" i="5"/>
  <c r="A3344" i="5"/>
  <c r="H3344" i="5"/>
  <c r="G3344" i="5"/>
  <c r="B984" i="5"/>
  <c r="A984" i="5"/>
  <c r="H984" i="5"/>
  <c r="G984" i="5"/>
  <c r="B1400" i="5"/>
  <c r="A1400" i="5"/>
  <c r="H1400" i="5"/>
  <c r="G1400" i="5"/>
  <c r="B1690" i="5"/>
  <c r="A1690" i="5"/>
  <c r="H1690" i="5"/>
  <c r="G1690" i="5"/>
  <c r="B1069" i="5"/>
  <c r="A1069" i="5"/>
  <c r="H1069" i="5"/>
  <c r="G1069" i="5"/>
  <c r="B3616" i="5"/>
  <c r="A3616" i="5"/>
  <c r="H3616" i="5"/>
  <c r="G3616" i="5"/>
  <c r="A4207" i="5"/>
  <c r="B4207" i="5"/>
  <c r="H4207" i="5"/>
  <c r="G4207" i="5"/>
  <c r="B1132" i="5"/>
  <c r="A1132" i="5"/>
  <c r="G1132" i="5"/>
  <c r="H1132" i="5"/>
  <c r="B3936" i="5"/>
  <c r="A3936" i="5"/>
  <c r="G3936" i="5"/>
  <c r="H3936" i="5"/>
  <c r="B1598" i="5"/>
  <c r="A1598" i="5"/>
  <c r="H1598" i="5"/>
  <c r="G1598" i="5"/>
  <c r="B1170" i="5"/>
  <c r="A1170" i="5"/>
  <c r="G1170" i="5"/>
  <c r="H1170" i="5"/>
  <c r="B1269" i="5"/>
  <c r="G1269" i="5"/>
  <c r="H1269" i="5"/>
  <c r="A1269" i="5"/>
  <c r="A1264" i="5"/>
  <c r="B1264" i="5"/>
  <c r="H1264" i="5"/>
  <c r="G1264" i="5"/>
  <c r="B5" i="5"/>
  <c r="A5" i="5"/>
  <c r="H5" i="5"/>
  <c r="G5" i="5"/>
  <c r="B2898" i="5"/>
  <c r="A2898" i="5"/>
  <c r="G2898" i="5"/>
  <c r="H2898" i="5"/>
  <c r="B4291" i="5"/>
  <c r="A4291" i="5"/>
  <c r="H4291" i="5"/>
  <c r="G4291" i="5"/>
  <c r="A654" i="5"/>
  <c r="B654" i="5"/>
  <c r="H654" i="5"/>
  <c r="G654" i="5"/>
  <c r="B176" i="5"/>
  <c r="A176" i="5"/>
  <c r="H176" i="5"/>
  <c r="G176" i="5"/>
  <c r="B3292" i="5"/>
  <c r="A3292" i="5"/>
  <c r="H3292" i="5"/>
  <c r="G3292" i="5"/>
  <c r="B637" i="5"/>
  <c r="A637" i="5"/>
  <c r="H637" i="5"/>
  <c r="G637" i="5"/>
  <c r="B68" i="5"/>
  <c r="A68" i="5"/>
  <c r="G68" i="5"/>
  <c r="H68" i="5"/>
  <c r="B816" i="5"/>
  <c r="A816" i="5"/>
  <c r="H816" i="5"/>
  <c r="G816" i="5"/>
  <c r="B2968" i="5"/>
  <c r="A2968" i="5"/>
  <c r="H2968" i="5"/>
  <c r="G2968" i="5"/>
  <c r="B2214" i="5"/>
  <c r="A2214" i="5"/>
  <c r="H2214" i="5"/>
  <c r="G2214" i="5"/>
  <c r="B914" i="5"/>
  <c r="A914" i="5"/>
  <c r="H914" i="5"/>
  <c r="G914" i="5"/>
  <c r="B742" i="5"/>
  <c r="A742" i="5"/>
  <c r="G742" i="5"/>
  <c r="H742" i="5"/>
  <c r="B3743" i="5"/>
  <c r="A3743" i="5"/>
  <c r="H3743" i="5"/>
  <c r="G3743" i="5"/>
  <c r="B4404" i="5"/>
  <c r="A4404" i="5"/>
  <c r="G4404" i="5"/>
  <c r="H4404" i="5"/>
  <c r="A531" i="5"/>
  <c r="G531" i="5"/>
  <c r="B531" i="5"/>
  <c r="H531" i="5"/>
  <c r="A2280" i="5"/>
  <c r="B2280" i="5"/>
  <c r="H2280" i="5"/>
  <c r="G2280" i="5"/>
  <c r="A792" i="5"/>
  <c r="B792" i="5"/>
  <c r="G792" i="5"/>
  <c r="H792" i="5"/>
  <c r="B3239" i="5"/>
  <c r="A3239" i="5"/>
  <c r="H3239" i="5"/>
  <c r="G3239" i="5"/>
  <c r="B107" i="5"/>
  <c r="A107" i="5"/>
  <c r="H107" i="5"/>
  <c r="G107" i="5"/>
  <c r="B549" i="5"/>
  <c r="A549" i="5"/>
  <c r="H549" i="5"/>
  <c r="G549" i="5"/>
  <c r="B2642" i="5"/>
  <c r="A2642" i="5"/>
  <c r="G2642" i="5"/>
  <c r="H2642" i="5"/>
  <c r="A3468" i="5"/>
  <c r="B3468" i="5"/>
  <c r="H3468" i="5"/>
  <c r="G3468" i="5"/>
  <c r="B2695" i="5"/>
  <c r="A2695" i="5"/>
  <c r="H2695" i="5"/>
  <c r="G2695" i="5"/>
  <c r="B412" i="5"/>
  <c r="A412" i="5"/>
  <c r="H412" i="5"/>
  <c r="G412" i="5"/>
  <c r="B25" i="5"/>
  <c r="A25" i="5"/>
  <c r="H25" i="5"/>
  <c r="G25" i="5"/>
  <c r="B765" i="5"/>
  <c r="A765" i="5"/>
  <c r="G765" i="5"/>
  <c r="H765" i="5"/>
  <c r="B405" i="5"/>
  <c r="A405" i="5"/>
  <c r="G405" i="5"/>
  <c r="H405" i="5"/>
  <c r="B4075" i="5"/>
  <c r="A4075" i="5"/>
  <c r="G4075" i="5"/>
  <c r="H4075" i="5"/>
  <c r="B1587" i="5"/>
  <c r="A1587" i="5"/>
  <c r="H1587" i="5"/>
  <c r="G1587" i="5"/>
  <c r="A3135" i="5"/>
  <c r="B3135" i="5"/>
  <c r="G3135" i="5"/>
  <c r="H3135" i="5"/>
  <c r="B1860" i="5"/>
  <c r="A1860" i="5"/>
  <c r="H1860" i="5"/>
  <c r="G1860" i="5"/>
  <c r="B1314" i="5"/>
  <c r="A1314" i="5"/>
  <c r="G1314" i="5"/>
  <c r="H1314" i="5"/>
  <c r="B2115" i="5"/>
  <c r="A2115" i="5"/>
  <c r="H2115" i="5"/>
  <c r="G2115" i="5"/>
  <c r="A489" i="5"/>
  <c r="B489" i="5"/>
  <c r="H489" i="5"/>
  <c r="G489" i="5"/>
  <c r="B58" i="5"/>
  <c r="A58" i="5"/>
  <c r="H58" i="5"/>
  <c r="G58" i="5"/>
  <c r="B1177" i="5"/>
  <c r="A1177" i="5"/>
  <c r="H1177" i="5"/>
  <c r="G1177" i="5"/>
  <c r="B3653" i="5"/>
  <c r="A3653" i="5"/>
  <c r="G3653" i="5"/>
  <c r="H3653" i="5"/>
  <c r="B3418" i="5"/>
  <c r="A3418" i="5"/>
  <c r="H3418" i="5"/>
  <c r="G3418" i="5"/>
  <c r="B314" i="5"/>
  <c r="A314" i="5"/>
  <c r="G314" i="5"/>
  <c r="H314" i="5"/>
  <c r="B94" i="5"/>
  <c r="A94" i="5"/>
  <c r="H94" i="5"/>
  <c r="G94" i="5"/>
  <c r="B80" i="5"/>
  <c r="A80" i="5"/>
  <c r="H80" i="5"/>
  <c r="G80" i="5"/>
  <c r="B3027" i="5"/>
  <c r="A3027" i="5"/>
  <c r="H3027" i="5"/>
  <c r="G3027" i="5"/>
  <c r="B1526" i="5"/>
  <c r="A1526" i="5"/>
  <c r="H1526" i="5"/>
  <c r="G1526" i="5"/>
  <c r="A276" i="5"/>
  <c r="B276" i="5"/>
  <c r="H276" i="5"/>
  <c r="G276" i="5"/>
  <c r="A273" i="5"/>
  <c r="B273" i="5"/>
  <c r="G273" i="5"/>
  <c r="H273" i="5"/>
  <c r="A2590" i="5"/>
  <c r="B2590" i="5"/>
  <c r="H2590" i="5"/>
  <c r="G2590" i="5"/>
  <c r="A2490" i="5"/>
  <c r="B2490" i="5"/>
  <c r="H2490" i="5"/>
  <c r="G2490" i="5"/>
  <c r="B1373" i="5"/>
  <c r="A1373" i="5"/>
  <c r="H1373" i="5"/>
  <c r="G1373" i="5"/>
  <c r="B995" i="5"/>
  <c r="A995" i="5"/>
  <c r="H995" i="5"/>
  <c r="G995" i="5"/>
  <c r="B3221" i="5"/>
  <c r="A3221" i="5"/>
  <c r="H3221" i="5"/>
  <c r="G3221" i="5"/>
  <c r="B347" i="5"/>
  <c r="A347" i="5"/>
  <c r="H347" i="5"/>
  <c r="G347" i="5"/>
  <c r="B1844" i="5"/>
  <c r="A1844" i="5"/>
  <c r="H1844" i="5"/>
  <c r="G1844" i="5"/>
  <c r="A3672" i="5"/>
  <c r="B3672" i="5"/>
  <c r="G3672" i="5"/>
  <c r="H3672" i="5"/>
  <c r="B1740" i="5"/>
  <c r="A1740" i="5"/>
  <c r="H1740" i="5"/>
  <c r="G1740" i="5"/>
  <c r="B333" i="5"/>
  <c r="A333" i="5"/>
  <c r="G333" i="5"/>
  <c r="H333" i="5"/>
  <c r="B4315" i="5"/>
  <c r="A4315" i="5"/>
  <c r="G4315" i="5"/>
  <c r="H4315" i="5"/>
  <c r="B2357" i="5"/>
  <c r="A2357" i="5"/>
  <c r="G2357" i="5"/>
  <c r="H2357" i="5"/>
  <c r="A3312" i="5"/>
  <c r="B3312" i="5"/>
  <c r="H3312" i="5"/>
  <c r="G3312" i="5"/>
  <c r="G1951" i="5"/>
  <c r="A1951" i="5"/>
  <c r="B1951" i="5"/>
  <c r="H1951" i="5"/>
  <c r="B3554" i="5"/>
  <c r="A3554" i="5"/>
  <c r="H3554" i="5"/>
  <c r="G3554" i="5"/>
  <c r="B2552" i="5"/>
  <c r="A2552" i="5"/>
  <c r="H2552" i="5"/>
  <c r="G2552" i="5"/>
  <c r="B197" i="5"/>
  <c r="A197" i="5"/>
  <c r="H197" i="5"/>
  <c r="G197" i="5"/>
  <c r="B300" i="5"/>
  <c r="A300" i="5"/>
  <c r="H300" i="5"/>
  <c r="G300" i="5"/>
  <c r="A1632" i="5"/>
  <c r="B1632" i="5"/>
  <c r="H1632" i="5"/>
  <c r="G1632" i="5"/>
  <c r="B733" i="5"/>
  <c r="A733" i="5"/>
  <c r="H733" i="5"/>
  <c r="G733" i="5"/>
  <c r="B2700" i="5"/>
  <c r="A2700" i="5"/>
  <c r="H2700" i="5"/>
  <c r="G2700" i="5"/>
  <c r="A2400" i="5"/>
  <c r="B2400" i="5"/>
  <c r="H2400" i="5"/>
  <c r="G2400" i="5"/>
  <c r="B1752" i="5"/>
  <c r="A1752" i="5"/>
  <c r="H1752" i="5"/>
  <c r="G1752" i="5"/>
  <c r="B1798" i="5"/>
  <c r="A1798" i="5"/>
  <c r="H1798" i="5"/>
  <c r="G1798" i="5"/>
  <c r="A2131" i="5"/>
  <c r="B2131" i="5"/>
  <c r="G2131" i="5"/>
  <c r="H2131" i="5"/>
  <c r="A1894" i="5"/>
  <c r="B1894" i="5"/>
  <c r="H1894" i="5"/>
  <c r="G1894" i="5"/>
  <c r="B3642" i="5"/>
  <c r="A3642" i="5"/>
  <c r="H3642" i="5"/>
  <c r="G3642" i="5"/>
  <c r="B339" i="5"/>
  <c r="A339" i="5"/>
  <c r="H339" i="5"/>
  <c r="G339" i="5"/>
  <c r="B1817" i="5"/>
  <c r="A1817" i="5"/>
  <c r="H1817" i="5"/>
  <c r="G1817" i="5"/>
  <c r="B2106" i="5"/>
  <c r="A2106" i="5"/>
  <c r="H2106" i="5"/>
  <c r="G2106" i="5"/>
  <c r="B3884" i="5"/>
  <c r="A3884" i="5"/>
  <c r="H3884" i="5"/>
  <c r="G3884" i="5"/>
  <c r="B3549" i="5"/>
  <c r="A3549" i="5"/>
  <c r="G3549" i="5"/>
  <c r="H3549" i="5"/>
  <c r="B1790" i="5"/>
  <c r="A1790" i="5"/>
  <c r="G1790" i="5"/>
  <c r="H1790" i="5"/>
  <c r="A1278" i="5"/>
  <c r="B1278" i="5"/>
  <c r="G1278" i="5"/>
  <c r="H1278" i="5"/>
  <c r="A2466" i="5"/>
  <c r="B2466" i="5"/>
  <c r="G2466" i="5"/>
  <c r="H2466" i="5"/>
  <c r="B3104" i="5"/>
  <c r="A3104" i="5"/>
  <c r="H3104" i="5"/>
  <c r="G3104" i="5"/>
  <c r="A35" i="5"/>
  <c r="B35" i="5"/>
  <c r="H35" i="5"/>
  <c r="G35" i="5"/>
  <c r="B3567" i="5"/>
  <c r="A3567" i="5"/>
  <c r="G3567" i="5"/>
  <c r="H3567" i="5"/>
  <c r="A1042" i="5"/>
  <c r="B1042" i="5"/>
  <c r="G1042" i="5"/>
  <c r="H1042" i="5"/>
  <c r="B675" i="5"/>
  <c r="A675" i="5"/>
  <c r="H675" i="5"/>
  <c r="G675" i="5"/>
  <c r="A2883" i="5"/>
  <c r="B2883" i="5"/>
  <c r="H2883" i="5"/>
  <c r="G2883" i="5"/>
  <c r="B2479" i="5"/>
  <c r="A2479" i="5"/>
  <c r="H2479" i="5"/>
  <c r="G2479" i="5"/>
  <c r="B2821" i="5"/>
  <c r="A2821" i="5"/>
  <c r="H2821" i="5"/>
  <c r="G2821" i="5"/>
  <c r="B3318" i="5"/>
  <c r="A3318" i="5"/>
  <c r="H3318" i="5"/>
  <c r="G3318" i="5"/>
  <c r="B3234" i="5"/>
  <c r="A3234" i="5"/>
  <c r="H3234" i="5"/>
  <c r="G3234" i="5"/>
  <c r="B4380" i="5"/>
  <c r="A4380" i="5"/>
  <c r="H4380" i="5"/>
  <c r="G4380" i="5"/>
  <c r="B4324" i="5"/>
  <c r="A4324" i="5"/>
  <c r="G4324" i="5"/>
  <c r="H4324" i="5"/>
  <c r="B1551" i="5"/>
  <c r="A1551" i="5"/>
  <c r="H1551" i="5"/>
  <c r="G1551" i="5"/>
  <c r="B2298" i="5"/>
  <c r="A2298" i="5"/>
  <c r="H2298" i="5"/>
  <c r="G2298" i="5"/>
  <c r="B557" i="5"/>
  <c r="A557" i="5"/>
  <c r="G557" i="5"/>
  <c r="H557" i="5"/>
  <c r="B4437" i="5"/>
  <c r="A4437" i="5"/>
  <c r="G4437" i="5"/>
  <c r="H4437" i="5"/>
  <c r="B2095" i="5"/>
  <c r="A2095" i="5"/>
  <c r="G2095" i="5"/>
  <c r="H2095" i="5"/>
  <c r="B1763" i="5"/>
  <c r="A1763" i="5"/>
  <c r="G1763" i="5"/>
  <c r="H1763" i="5"/>
  <c r="B310" i="5"/>
  <c r="A310" i="5"/>
  <c r="H310" i="5"/>
  <c r="G310" i="5"/>
  <c r="A2348" i="5"/>
  <c r="B2348" i="5"/>
  <c r="H2348" i="5"/>
  <c r="G2348" i="5"/>
  <c r="A2775" i="5"/>
  <c r="B2775" i="5"/>
  <c r="G2775" i="5"/>
  <c r="H2775" i="5"/>
  <c r="A2076" i="5"/>
  <c r="B2076" i="5"/>
  <c r="H2076" i="5"/>
  <c r="G2076" i="5"/>
  <c r="A1446" i="5"/>
  <c r="B1446" i="5"/>
  <c r="H1446" i="5"/>
  <c r="G1446" i="5"/>
  <c r="B2436" i="5"/>
  <c r="A2436" i="5"/>
  <c r="G2436" i="5"/>
  <c r="H2436" i="5"/>
  <c r="A174" i="5"/>
  <c r="B174" i="5"/>
  <c r="H174" i="5"/>
  <c r="G174" i="5"/>
  <c r="B1389" i="5"/>
  <c r="A1389" i="5"/>
  <c r="H1389" i="5"/>
  <c r="G1389" i="5"/>
  <c r="B944" i="5"/>
  <c r="A944" i="5"/>
  <c r="G944" i="5"/>
  <c r="H944" i="5"/>
  <c r="A1781" i="5"/>
  <c r="B1781" i="5"/>
  <c r="H1781" i="5"/>
  <c r="G1781" i="5"/>
  <c r="B160" i="5"/>
  <c r="A160" i="5"/>
  <c r="G160" i="5"/>
  <c r="H160" i="5"/>
  <c r="B2681" i="5"/>
  <c r="A2681" i="5"/>
  <c r="H2681" i="5"/>
  <c r="G2681" i="5"/>
  <c r="A2670" i="5"/>
  <c r="B2670" i="5"/>
  <c r="H2670" i="5"/>
  <c r="G2670" i="5"/>
  <c r="B2661" i="5"/>
  <c r="A2661" i="5"/>
  <c r="H2661" i="5"/>
  <c r="G2661" i="5"/>
  <c r="A4104" i="5"/>
  <c r="B4104" i="5"/>
  <c r="G4104" i="5"/>
  <c r="H4104" i="5"/>
  <c r="B1425" i="5"/>
  <c r="A1425" i="5"/>
  <c r="H1425" i="5"/>
  <c r="G1425" i="5"/>
  <c r="B431" i="5"/>
  <c r="A431" i="5"/>
  <c r="H431" i="5"/>
  <c r="G431" i="5"/>
  <c r="B952" i="5"/>
  <c r="A952" i="5"/>
  <c r="H952" i="5"/>
  <c r="G952" i="5"/>
  <c r="B3735" i="5"/>
  <c r="A3735" i="5"/>
  <c r="H3735" i="5"/>
  <c r="G3735" i="5"/>
  <c r="B1984" i="5"/>
  <c r="A1984" i="5"/>
  <c r="H1984" i="5"/>
  <c r="G1984" i="5"/>
  <c r="B1642" i="5"/>
  <c r="A1642" i="5"/>
  <c r="H1642" i="5"/>
  <c r="G1642" i="5"/>
  <c r="B1809" i="5"/>
  <c r="A1809" i="5"/>
  <c r="H1809" i="5"/>
  <c r="G1809" i="5"/>
  <c r="A261" i="5"/>
  <c r="B261" i="5"/>
  <c r="H261" i="5"/>
  <c r="G261" i="5"/>
  <c r="B3085" i="5"/>
  <c r="A3085" i="5"/>
  <c r="H3085" i="5"/>
  <c r="G3085" i="5"/>
  <c r="B1971" i="5"/>
  <c r="A1971" i="5"/>
  <c r="H1971" i="5"/>
  <c r="G1971" i="5"/>
  <c r="F438" i="8"/>
  <c r="B3167" i="5"/>
  <c r="A3167" i="5"/>
  <c r="G3167" i="5"/>
  <c r="H3167" i="5"/>
  <c r="B3581" i="5"/>
  <c r="A3581" i="5"/>
  <c r="G3581" i="5"/>
  <c r="H3581" i="5"/>
  <c r="A582" i="5"/>
  <c r="B582" i="5"/>
  <c r="H582" i="5"/>
  <c r="G582" i="5"/>
  <c r="B2852" i="5"/>
  <c r="A2852" i="5"/>
  <c r="G2852" i="5"/>
  <c r="H2852" i="5"/>
  <c r="B4027" i="5"/>
  <c r="A4027" i="5"/>
  <c r="H4027" i="5"/>
  <c r="G4027" i="5"/>
  <c r="A2955" i="5"/>
  <c r="B2955" i="5"/>
  <c r="H2955" i="5"/>
  <c r="G2955" i="5"/>
  <c r="B238" i="5"/>
  <c r="A238" i="5"/>
  <c r="G238" i="5"/>
  <c r="H238" i="5"/>
  <c r="B3363" i="5"/>
  <c r="A3363" i="5"/>
  <c r="G3363" i="5"/>
  <c r="H3363" i="5"/>
  <c r="A358" i="5"/>
  <c r="B358" i="5"/>
  <c r="G358" i="5"/>
  <c r="H358" i="5"/>
  <c r="B1561" i="5"/>
  <c r="A1561" i="5"/>
  <c r="H1561" i="5"/>
  <c r="G1561" i="5"/>
  <c r="B4337" i="5"/>
  <c r="A4337" i="5"/>
  <c r="H4337" i="5"/>
  <c r="G4337" i="5"/>
  <c r="B933" i="5"/>
  <c r="A933" i="5"/>
  <c r="H933" i="5"/>
  <c r="G933" i="5"/>
  <c r="B3604" i="5"/>
  <c r="A3604" i="5"/>
  <c r="H3604" i="5"/>
  <c r="G3604" i="5"/>
  <c r="G1699" i="5"/>
  <c r="A1699" i="5"/>
  <c r="B1699" i="5"/>
  <c r="H1699" i="5"/>
  <c r="B2565" i="5"/>
  <c r="A2565" i="5"/>
  <c r="H2565" i="5"/>
  <c r="G2565" i="5"/>
  <c r="A2723" i="5"/>
  <c r="B2723" i="5"/>
  <c r="H2723" i="5"/>
  <c r="G2723" i="5"/>
  <c r="B2631" i="5"/>
  <c r="A2631" i="5"/>
  <c r="G2631" i="5"/>
  <c r="H2631" i="5"/>
  <c r="A2598" i="5"/>
  <c r="B2598" i="5"/>
  <c r="G2598" i="5"/>
  <c r="H2598" i="5"/>
  <c r="A4242" i="5"/>
  <c r="B4242" i="5"/>
  <c r="G4242" i="5"/>
  <c r="H4242" i="5"/>
  <c r="A4161" i="5"/>
  <c r="B4161" i="5"/>
  <c r="H4161" i="5"/>
  <c r="G4161" i="5"/>
  <c r="B2209" i="5"/>
  <c r="A2209" i="5"/>
  <c r="G2209" i="5"/>
  <c r="H2209" i="5"/>
  <c r="B1687" i="5"/>
  <c r="A1687" i="5"/>
  <c r="G1687" i="5"/>
  <c r="H1687" i="5"/>
  <c r="A3068" i="5"/>
  <c r="B3068" i="5"/>
  <c r="G3068" i="5"/>
  <c r="H3068" i="5"/>
  <c r="B1031" i="5"/>
  <c r="A1031" i="5"/>
  <c r="H1031" i="5"/>
  <c r="G1031" i="5"/>
  <c r="B321" i="5"/>
  <c r="A321" i="5"/>
  <c r="H321" i="5"/>
  <c r="G321" i="5"/>
  <c r="B647" i="5"/>
  <c r="A647" i="5"/>
  <c r="G647" i="5"/>
  <c r="H647" i="5"/>
  <c r="A3147" i="5"/>
  <c r="B3147" i="5"/>
  <c r="H3147" i="5"/>
  <c r="G3147" i="5"/>
  <c r="B2060" i="5"/>
  <c r="A2060" i="5"/>
  <c r="H2060" i="5"/>
  <c r="G2060" i="5"/>
  <c r="A2418" i="5"/>
  <c r="B2418" i="5"/>
  <c r="H2418" i="5"/>
  <c r="G2418" i="5"/>
  <c r="B2839" i="5"/>
  <c r="A2839" i="5"/>
  <c r="H2839" i="5"/>
  <c r="G2839" i="5"/>
  <c r="B718" i="5"/>
  <c r="A718" i="5"/>
  <c r="H718" i="5"/>
  <c r="G718" i="5"/>
  <c r="B4147" i="5"/>
  <c r="A4147" i="5"/>
  <c r="H4147" i="5"/>
  <c r="G4147" i="5"/>
  <c r="A3897" i="5"/>
  <c r="B3897" i="5"/>
  <c r="H3897" i="5"/>
  <c r="G3897" i="5"/>
  <c r="A255" i="5"/>
  <c r="B255" i="5"/>
  <c r="G255" i="5"/>
  <c r="H255" i="5"/>
  <c r="B1921" i="5"/>
  <c r="A1921" i="5"/>
  <c r="H1921" i="5"/>
  <c r="G1921" i="5"/>
  <c r="B2340" i="5"/>
  <c r="A2340" i="5"/>
  <c r="H2340" i="5"/>
  <c r="G2340" i="5"/>
  <c r="B1087" i="5"/>
  <c r="A1087" i="5"/>
  <c r="G1087" i="5"/>
  <c r="H1087" i="5"/>
  <c r="B872" i="5"/>
  <c r="A872" i="5"/>
  <c r="G872" i="5"/>
  <c r="H872" i="5"/>
  <c r="B4464" i="5"/>
  <c r="A4464" i="5"/>
  <c r="H4464" i="5"/>
  <c r="G4464" i="5"/>
  <c r="B2622" i="5"/>
  <c r="A2622" i="5"/>
  <c r="H2622" i="5"/>
  <c r="G2622" i="5"/>
  <c r="B591" i="5"/>
  <c r="A591" i="5"/>
  <c r="H591" i="5"/>
  <c r="G591" i="5"/>
  <c r="B3029" i="5"/>
  <c r="A3029" i="5"/>
  <c r="H3029" i="5"/>
  <c r="G3029" i="5"/>
  <c r="B4144" i="5"/>
  <c r="A4144" i="5"/>
  <c r="H4144" i="5"/>
  <c r="G4144" i="5"/>
  <c r="A2506" i="5"/>
  <c r="B2506" i="5"/>
  <c r="G2506" i="5"/>
  <c r="H2506" i="5"/>
  <c r="B4028" i="5"/>
  <c r="A4028" i="5"/>
  <c r="H4028" i="5"/>
  <c r="G4028" i="5"/>
  <c r="B4012" i="5"/>
  <c r="A4012" i="5"/>
  <c r="G4012" i="5"/>
  <c r="H4012" i="5"/>
  <c r="B1958" i="5"/>
  <c r="A1958" i="5"/>
  <c r="H1958" i="5"/>
  <c r="G1958" i="5"/>
  <c r="A4488" i="5"/>
  <c r="B4488" i="5"/>
  <c r="G4488" i="5"/>
  <c r="H4488" i="5"/>
  <c r="B3272" i="5"/>
  <c r="A3272" i="5"/>
  <c r="G3272" i="5"/>
  <c r="H3272" i="5"/>
  <c r="B2258" i="5"/>
  <c r="A2258" i="5"/>
  <c r="H2258" i="5"/>
  <c r="G2258" i="5"/>
  <c r="B3703" i="5"/>
  <c r="A3703" i="5"/>
  <c r="H3703" i="5"/>
  <c r="G3703" i="5"/>
  <c r="A2221" i="5"/>
  <c r="B2221" i="5"/>
  <c r="H2221" i="5"/>
  <c r="G2221" i="5"/>
  <c r="B4325" i="5"/>
  <c r="A4325" i="5"/>
  <c r="H4325" i="5"/>
  <c r="G4325" i="5"/>
  <c r="B2084" i="5"/>
  <c r="A2084" i="5"/>
  <c r="G2084" i="5"/>
  <c r="H2084" i="5"/>
  <c r="B4049" i="5"/>
  <c r="A4049" i="5"/>
  <c r="G4049" i="5"/>
  <c r="H4049" i="5"/>
  <c r="B4165" i="5"/>
  <c r="A4165" i="5"/>
  <c r="H4165" i="5"/>
  <c r="G4165" i="5"/>
  <c r="A1079" i="5"/>
  <c r="B1079" i="5"/>
  <c r="H1079" i="5"/>
  <c r="G1079" i="5"/>
  <c r="B2525" i="5"/>
  <c r="A2525" i="5"/>
  <c r="H2525" i="5"/>
  <c r="G2525" i="5"/>
  <c r="A1254" i="5"/>
  <c r="B1254" i="5"/>
  <c r="H1254" i="5"/>
  <c r="G1254" i="5"/>
  <c r="A1912" i="5"/>
  <c r="B1912" i="5"/>
  <c r="H1912" i="5"/>
  <c r="G1912" i="5"/>
  <c r="G1483" i="5"/>
  <c r="A1483" i="5"/>
  <c r="B1483" i="5"/>
  <c r="H1483" i="5"/>
  <c r="B2712" i="5"/>
  <c r="A2712" i="5"/>
  <c r="H2712" i="5"/>
  <c r="G2712" i="5"/>
  <c r="A3832" i="5"/>
  <c r="B3832" i="5"/>
  <c r="G3832" i="5"/>
  <c r="H3832" i="5"/>
  <c r="B1715" i="5"/>
  <c r="A1715" i="5"/>
  <c r="G1715" i="5"/>
  <c r="H1715" i="5"/>
  <c r="B2174" i="5"/>
  <c r="A2174" i="5"/>
  <c r="H2174" i="5"/>
  <c r="G2174" i="5"/>
  <c r="B888" i="5"/>
  <c r="A888" i="5"/>
  <c r="H888" i="5"/>
  <c r="G888" i="5"/>
  <c r="A2887" i="5"/>
  <c r="B2887" i="5"/>
  <c r="H2887" i="5"/>
  <c r="G2887" i="5"/>
  <c r="B1464" i="5"/>
  <c r="A1464" i="5"/>
  <c r="G1464" i="5"/>
  <c r="H1464" i="5"/>
  <c r="A904" i="5"/>
  <c r="B904" i="5"/>
  <c r="H904" i="5"/>
  <c r="G904" i="5"/>
  <c r="B1563" i="5"/>
  <c r="A1563" i="5"/>
  <c r="H1563" i="5"/>
  <c r="G1563" i="5"/>
  <c r="B3195" i="5"/>
  <c r="A3195" i="5"/>
  <c r="H3195" i="5"/>
  <c r="G3195" i="5"/>
  <c r="A3173" i="5"/>
  <c r="B3173" i="5"/>
  <c r="H3173" i="5"/>
  <c r="G3173" i="5"/>
  <c r="B3522" i="5"/>
  <c r="A3522" i="5"/>
  <c r="H3522" i="5"/>
  <c r="G3522" i="5"/>
  <c r="B1506" i="5"/>
  <c r="A1506" i="5"/>
  <c r="H1506" i="5"/>
  <c r="G1506" i="5"/>
  <c r="B576" i="5"/>
  <c r="A576" i="5"/>
  <c r="G576" i="5"/>
  <c r="H576" i="5"/>
  <c r="B1728" i="5"/>
  <c r="A1728" i="5"/>
  <c r="H1728" i="5"/>
  <c r="G1728" i="5"/>
  <c r="B2930" i="5"/>
  <c r="A2930" i="5"/>
  <c r="G2930" i="5"/>
  <c r="H2930" i="5"/>
  <c r="B2757" i="5"/>
  <c r="A2757" i="5"/>
  <c r="H2757" i="5"/>
  <c r="G2757" i="5"/>
  <c r="B599" i="5"/>
  <c r="A599" i="5"/>
  <c r="H599" i="5"/>
  <c r="G599" i="5"/>
  <c r="B214" i="5"/>
  <c r="A214" i="5"/>
  <c r="G214" i="5"/>
  <c r="H214" i="5"/>
  <c r="B4273" i="5"/>
  <c r="A4273" i="5"/>
  <c r="H4273" i="5"/>
  <c r="G4273" i="5"/>
  <c r="B2434" i="5"/>
  <c r="A2434" i="5"/>
  <c r="H2434" i="5"/>
  <c r="G2434" i="5"/>
  <c r="A2321" i="5"/>
  <c r="B2321" i="5"/>
  <c r="H2321" i="5"/>
  <c r="G2321" i="5"/>
  <c r="A2508" i="5"/>
  <c r="B2508" i="5"/>
  <c r="H2508" i="5"/>
  <c r="G2508" i="5"/>
  <c r="B3054" i="5"/>
  <c r="A3054" i="5"/>
  <c r="H3054" i="5"/>
  <c r="G3054" i="5"/>
  <c r="A3535" i="5"/>
  <c r="B3535" i="5"/>
  <c r="H3535" i="5"/>
  <c r="G3535" i="5"/>
  <c r="B2793" i="5"/>
  <c r="A2793" i="5"/>
  <c r="H2793" i="5"/>
  <c r="G2793" i="5"/>
  <c r="A3384" i="5"/>
  <c r="B3384" i="5"/>
  <c r="G3384" i="5"/>
  <c r="H3384" i="5"/>
  <c r="A807" i="5"/>
  <c r="B807" i="5"/>
  <c r="H807" i="5"/>
  <c r="G807" i="5"/>
  <c r="B570" i="5"/>
  <c r="A570" i="5"/>
  <c r="H570" i="5"/>
  <c r="G570" i="5"/>
  <c r="B4365" i="5"/>
  <c r="A4365" i="5"/>
  <c r="H4365" i="5"/>
  <c r="G4365" i="5"/>
  <c r="B385" i="5"/>
  <c r="A385" i="5"/>
  <c r="G385" i="5"/>
  <c r="H385" i="5"/>
  <c r="B1214" i="5"/>
  <c r="A1214" i="5"/>
  <c r="H1214" i="5"/>
  <c r="G1214" i="5"/>
  <c r="B3780" i="5"/>
  <c r="A3780" i="5"/>
  <c r="H3780" i="5"/>
  <c r="G3780" i="5"/>
  <c r="B2073" i="5"/>
  <c r="A2073" i="5"/>
  <c r="G2073" i="5"/>
  <c r="H2073" i="5"/>
  <c r="A450" i="5"/>
  <c r="B450" i="5"/>
  <c r="G450" i="5"/>
  <c r="H450" i="5"/>
  <c r="B2028" i="5"/>
  <c r="A2028" i="5"/>
  <c r="H2028" i="5"/>
  <c r="G2028" i="5"/>
  <c r="B3716" i="5"/>
  <c r="A3716" i="5"/>
  <c r="H3716" i="5"/>
  <c r="G3716" i="5"/>
  <c r="B3504" i="5"/>
  <c r="A3504" i="5"/>
  <c r="H3504" i="5"/>
  <c r="G3504" i="5"/>
  <c r="B2940" i="5"/>
  <c r="A2940" i="5"/>
  <c r="G2940" i="5"/>
  <c r="H2940" i="5"/>
  <c r="B116" i="5"/>
  <c r="A116" i="5"/>
  <c r="H116" i="5"/>
  <c r="G116" i="5"/>
  <c r="A906" i="5"/>
  <c r="B906" i="5"/>
  <c r="G906" i="5"/>
  <c r="H906" i="5"/>
  <c r="A4443" i="5"/>
  <c r="B4443" i="5"/>
  <c r="H4443" i="5"/>
  <c r="G4443" i="5"/>
  <c r="B2535" i="5"/>
  <c r="A2535" i="5"/>
  <c r="H2535" i="5"/>
  <c r="G2535" i="5"/>
  <c r="B2523" i="5"/>
  <c r="A2523" i="5"/>
  <c r="H2523" i="5"/>
  <c r="G2523" i="5"/>
  <c r="B1233" i="5"/>
  <c r="A1233" i="5"/>
  <c r="G1233" i="5"/>
  <c r="H1233" i="5"/>
  <c r="A1707" i="5"/>
  <c r="B1707" i="5"/>
  <c r="G1707" i="5"/>
  <c r="H1707" i="5"/>
  <c r="B472" i="5"/>
  <c r="A472" i="5"/>
  <c r="H472" i="5"/>
  <c r="G472" i="5"/>
  <c r="B3910" i="5"/>
  <c r="A3910" i="5"/>
  <c r="H3910" i="5"/>
  <c r="G3910" i="5"/>
  <c r="B3478" i="5"/>
  <c r="A3478" i="5"/>
  <c r="H3478" i="5"/>
  <c r="G3478" i="5"/>
  <c r="B4125" i="5"/>
  <c r="A4125" i="5"/>
  <c r="G4125" i="5"/>
  <c r="H4125" i="5"/>
  <c r="B1348" i="5"/>
  <c r="A1348" i="5"/>
  <c r="G1348" i="5"/>
  <c r="H1348" i="5"/>
  <c r="B3922" i="5"/>
  <c r="A3922" i="5"/>
  <c r="G3922" i="5"/>
  <c r="H3922" i="5"/>
  <c r="B3495" i="5"/>
  <c r="A3495" i="5"/>
  <c r="H3495" i="5"/>
  <c r="G3495" i="5"/>
  <c r="B4343" i="5"/>
  <c r="A4343" i="5"/>
  <c r="H4343" i="5"/>
  <c r="G4343" i="5"/>
  <c r="A4230" i="5"/>
  <c r="B4230" i="5"/>
  <c r="H4230" i="5"/>
  <c r="G4230" i="5"/>
  <c r="B1462" i="5"/>
  <c r="A1462" i="5"/>
  <c r="G1462" i="5"/>
  <c r="H1462" i="5"/>
  <c r="B2304" i="5"/>
  <c r="A2304" i="5"/>
  <c r="H2304" i="5"/>
  <c r="G2304" i="5"/>
  <c r="B1322" i="5"/>
  <c r="A1322" i="5"/>
  <c r="H1322" i="5"/>
  <c r="G1322" i="5"/>
  <c r="B700" i="5"/>
  <c r="A700" i="5"/>
  <c r="H700" i="5"/>
  <c r="G700" i="5"/>
  <c r="A3726" i="5"/>
  <c r="B3726" i="5"/>
  <c r="H3726" i="5"/>
  <c r="G3726" i="5"/>
  <c r="B500" i="5"/>
  <c r="A500" i="5"/>
  <c r="H500" i="5"/>
  <c r="G500" i="5"/>
  <c r="B1431" i="5"/>
  <c r="A1431" i="5"/>
  <c r="H1431" i="5"/>
  <c r="G1431" i="5"/>
  <c r="B4413" i="5"/>
  <c r="A4413" i="5"/>
  <c r="H4413" i="5"/>
  <c r="G4413" i="5"/>
  <c r="B2019" i="5"/>
  <c r="A2019" i="5"/>
  <c r="H2019" i="5"/>
  <c r="G2019" i="5"/>
  <c r="B2141" i="5"/>
  <c r="A2141" i="5"/>
  <c r="H2141" i="5"/>
  <c r="G2141" i="5"/>
  <c r="A3410" i="5"/>
  <c r="B3410" i="5"/>
  <c r="G3410" i="5"/>
  <c r="H3410" i="5"/>
  <c r="B4110" i="5"/>
  <c r="A4110" i="5"/>
  <c r="H4110" i="5"/>
  <c r="G4110" i="5"/>
  <c r="B153" i="5"/>
  <c r="A153" i="5"/>
  <c r="G153" i="5"/>
  <c r="H153" i="5"/>
  <c r="B125" i="5"/>
  <c r="A125" i="5"/>
  <c r="H125" i="5"/>
  <c r="G125" i="5"/>
  <c r="A3345" i="5"/>
  <c r="B3345" i="5"/>
  <c r="G3345" i="5"/>
  <c r="H3345" i="5"/>
  <c r="A980" i="5"/>
  <c r="B980" i="5"/>
  <c r="G980" i="5"/>
  <c r="H980" i="5"/>
  <c r="B1692" i="5"/>
  <c r="A1692" i="5"/>
  <c r="H1692" i="5"/>
  <c r="G1692" i="5"/>
  <c r="B1074" i="5"/>
  <c r="A1074" i="5"/>
  <c r="G1074" i="5"/>
  <c r="H1074" i="5"/>
  <c r="A926" i="5"/>
  <c r="B926" i="5"/>
  <c r="H926" i="5"/>
  <c r="G926" i="5"/>
  <c r="B3622" i="5"/>
  <c r="A3622" i="5"/>
  <c r="H3622" i="5"/>
  <c r="G3622" i="5"/>
  <c r="A1130" i="5"/>
  <c r="B1130" i="5"/>
  <c r="H1130" i="5"/>
  <c r="G1130" i="5"/>
  <c r="B1606" i="5"/>
  <c r="A1606" i="5"/>
  <c r="H1606" i="5"/>
  <c r="G1606" i="5"/>
  <c r="B1168" i="5"/>
  <c r="A1168" i="5"/>
  <c r="H1168" i="5"/>
  <c r="G1168" i="5"/>
  <c r="B1263" i="5"/>
  <c r="A1263" i="5"/>
  <c r="H1263" i="5"/>
  <c r="G1263" i="5"/>
  <c r="B12" i="5"/>
  <c r="A12" i="5"/>
  <c r="H12" i="5"/>
  <c r="G12" i="5"/>
  <c r="B962" i="5"/>
  <c r="A962" i="5"/>
  <c r="G962" i="5"/>
  <c r="H962" i="5"/>
  <c r="B2896" i="5"/>
  <c r="A2896" i="5"/>
  <c r="H2896" i="5"/>
  <c r="G2896" i="5"/>
  <c r="B3113" i="5"/>
  <c r="A3113" i="5"/>
  <c r="G3113" i="5"/>
  <c r="H3113" i="5"/>
  <c r="B4067" i="5"/>
  <c r="A4067" i="5"/>
  <c r="G4067" i="5"/>
  <c r="H4067" i="5"/>
  <c r="B3291" i="5"/>
  <c r="A3291" i="5"/>
  <c r="H3291" i="5"/>
  <c r="G3291" i="5"/>
  <c r="B3787" i="5"/>
  <c r="A3787" i="5"/>
  <c r="G3787" i="5"/>
  <c r="H3787" i="5"/>
  <c r="B636" i="5"/>
  <c r="A636" i="5"/>
  <c r="H636" i="5"/>
  <c r="G636" i="5"/>
  <c r="B72" i="5"/>
  <c r="A72" i="5"/>
  <c r="H72" i="5"/>
  <c r="G72" i="5"/>
  <c r="B815" i="5"/>
  <c r="A815" i="5"/>
  <c r="H815" i="5"/>
  <c r="G815" i="5"/>
  <c r="A2974" i="5"/>
  <c r="B2974" i="5"/>
  <c r="H2974" i="5"/>
  <c r="G2974" i="5"/>
  <c r="B4391" i="5"/>
  <c r="A4391" i="5"/>
  <c r="H4391" i="5"/>
  <c r="G4391" i="5"/>
  <c r="B2213" i="5"/>
  <c r="A2213" i="5"/>
  <c r="G2213" i="5"/>
  <c r="H2213" i="5"/>
  <c r="A918" i="5"/>
  <c r="B918" i="5"/>
  <c r="H918" i="5"/>
  <c r="G918" i="5"/>
  <c r="B3608" i="5"/>
  <c r="A3608" i="5"/>
  <c r="H3608" i="5"/>
  <c r="G3608" i="5"/>
  <c r="A1017" i="5"/>
  <c r="B1017" i="5"/>
  <c r="G1017" i="5"/>
  <c r="H1017" i="5"/>
  <c r="B3741" i="5"/>
  <c r="A3741" i="5"/>
  <c r="G3741" i="5"/>
  <c r="H3741" i="5"/>
  <c r="B529" i="5"/>
  <c r="A529" i="5"/>
  <c r="H529" i="5"/>
  <c r="G529" i="5"/>
  <c r="A521" i="5"/>
  <c r="B521" i="5"/>
  <c r="H521" i="5"/>
  <c r="G521" i="5"/>
  <c r="B791" i="5"/>
  <c r="A791" i="5"/>
  <c r="H791" i="5"/>
  <c r="G791" i="5"/>
  <c r="A3236" i="5"/>
  <c r="B3236" i="5"/>
  <c r="H3236" i="5"/>
  <c r="G3236" i="5"/>
  <c r="B105" i="5"/>
  <c r="A105" i="5"/>
  <c r="G105" i="5"/>
  <c r="H105" i="5"/>
  <c r="B3636" i="5"/>
  <c r="A3636" i="5"/>
  <c r="H3636" i="5"/>
  <c r="G3636" i="5"/>
  <c r="B2646" i="5"/>
  <c r="A2646" i="5"/>
  <c r="H2646" i="5"/>
  <c r="G2646" i="5"/>
  <c r="A2694" i="5"/>
  <c r="B2694" i="5"/>
  <c r="H2694" i="5"/>
  <c r="G2694" i="5"/>
  <c r="B23" i="5"/>
  <c r="A23" i="5"/>
  <c r="H23" i="5"/>
  <c r="G23" i="5"/>
  <c r="B764" i="5"/>
  <c r="A764" i="5"/>
  <c r="G764" i="5"/>
  <c r="H764" i="5"/>
  <c r="B403" i="5"/>
  <c r="A403" i="5"/>
  <c r="H403" i="5"/>
  <c r="G403" i="5"/>
  <c r="B1866" i="5"/>
  <c r="A1866" i="5"/>
  <c r="H1866" i="5"/>
  <c r="G1866" i="5"/>
  <c r="B1312" i="5"/>
  <c r="A1312" i="5"/>
  <c r="G1312" i="5"/>
  <c r="H1312" i="5"/>
  <c r="B2149" i="5"/>
  <c r="A2149" i="5"/>
  <c r="G2149" i="5"/>
  <c r="H2149" i="5"/>
  <c r="B3330" i="5"/>
  <c r="A3330" i="5"/>
  <c r="H3330" i="5"/>
  <c r="G3330" i="5"/>
  <c r="B3959" i="5"/>
  <c r="A3959" i="5"/>
  <c r="H3959" i="5"/>
  <c r="G3959" i="5"/>
  <c r="B2002" i="5"/>
  <c r="A2002" i="5"/>
  <c r="H2002" i="5"/>
  <c r="G2002" i="5"/>
  <c r="A1176" i="5"/>
  <c r="B1176" i="5"/>
  <c r="H1176" i="5"/>
  <c r="G1176" i="5"/>
  <c r="B3651" i="5"/>
  <c r="A3651" i="5"/>
  <c r="H3651" i="5"/>
  <c r="G3651" i="5"/>
  <c r="B3749" i="5"/>
  <c r="A3749" i="5"/>
  <c r="H3749" i="5"/>
  <c r="G3749" i="5"/>
  <c r="B313" i="5"/>
  <c r="A313" i="5"/>
  <c r="H313" i="5"/>
  <c r="G313" i="5"/>
  <c r="B77" i="5"/>
  <c r="A77" i="5"/>
  <c r="H77" i="5"/>
  <c r="G77" i="5"/>
  <c r="B1391" i="5"/>
  <c r="A1391" i="5"/>
  <c r="H1391" i="5"/>
  <c r="G1391" i="5"/>
  <c r="A3024" i="5"/>
  <c r="B3024" i="5"/>
  <c r="G3024" i="5"/>
  <c r="H3024" i="5"/>
  <c r="B1533" i="5"/>
  <c r="A1533" i="5"/>
  <c r="H1533" i="5"/>
  <c r="G1533" i="5"/>
  <c r="B277" i="5"/>
  <c r="A277" i="5"/>
  <c r="G277" i="5"/>
  <c r="H277" i="5"/>
  <c r="B270" i="5"/>
  <c r="A270" i="5"/>
  <c r="H270" i="5"/>
  <c r="G270" i="5"/>
  <c r="B2588" i="5"/>
  <c r="A2588" i="5"/>
  <c r="H2588" i="5"/>
  <c r="G2588" i="5"/>
  <c r="B1066" i="5"/>
  <c r="A1066" i="5"/>
  <c r="G1066" i="5"/>
  <c r="H1066" i="5"/>
  <c r="B2489" i="5"/>
  <c r="A2489" i="5"/>
  <c r="H2489" i="5"/>
  <c r="G2489" i="5"/>
  <c r="B1146" i="5"/>
  <c r="A1146" i="5"/>
  <c r="H1146" i="5"/>
  <c r="G1146" i="5"/>
  <c r="A2232" i="5"/>
  <c r="B2232" i="5"/>
  <c r="H2232" i="5"/>
  <c r="G2232" i="5"/>
  <c r="B3218" i="5"/>
  <c r="A3218" i="5"/>
  <c r="H3218" i="5"/>
  <c r="G3218" i="5"/>
  <c r="A354" i="5"/>
  <c r="B354" i="5"/>
  <c r="H354" i="5"/>
  <c r="G354" i="5"/>
  <c r="B331" i="5"/>
  <c r="A331" i="5"/>
  <c r="H331" i="5"/>
  <c r="G331" i="5"/>
  <c r="B2355" i="5"/>
  <c r="A2355" i="5"/>
  <c r="H2355" i="5"/>
  <c r="G2355" i="5"/>
  <c r="B3308" i="5"/>
  <c r="A3308" i="5"/>
  <c r="H3308" i="5"/>
  <c r="G3308" i="5"/>
  <c r="B1950" i="5"/>
  <c r="A1950" i="5"/>
  <c r="G1950" i="5"/>
  <c r="H1950" i="5"/>
  <c r="A3551" i="5"/>
  <c r="B3551" i="5"/>
  <c r="H3551" i="5"/>
  <c r="G3551" i="5"/>
  <c r="B195" i="5"/>
  <c r="A195" i="5"/>
  <c r="G195" i="5"/>
  <c r="H195" i="5"/>
  <c r="B1125" i="5"/>
  <c r="A1125" i="5"/>
  <c r="H1125" i="5"/>
  <c r="G1125" i="5"/>
  <c r="B732" i="5"/>
  <c r="A732" i="5"/>
  <c r="H732" i="5"/>
  <c r="G732" i="5"/>
  <c r="A2697" i="5"/>
  <c r="B2697" i="5"/>
  <c r="H2697" i="5"/>
  <c r="G2697" i="5"/>
  <c r="B2402" i="5"/>
  <c r="A2402" i="5"/>
  <c r="G2402" i="5"/>
  <c r="H2402" i="5"/>
  <c r="B1751" i="5"/>
  <c r="A1751" i="5"/>
  <c r="H1751" i="5"/>
  <c r="G1751" i="5"/>
  <c r="B670" i="5"/>
  <c r="A670" i="5"/>
  <c r="G670" i="5"/>
  <c r="H670" i="5"/>
  <c r="B2011" i="5"/>
  <c r="A2011" i="5"/>
  <c r="G2011" i="5"/>
  <c r="H2011" i="5"/>
  <c r="B1804" i="5"/>
  <c r="A1804" i="5"/>
  <c r="G1804" i="5"/>
  <c r="H1804" i="5"/>
  <c r="B2129" i="5"/>
  <c r="A2129" i="5"/>
  <c r="H2129" i="5"/>
  <c r="G2129" i="5"/>
  <c r="B3644" i="5"/>
  <c r="A3644" i="5"/>
  <c r="H3644" i="5"/>
  <c r="G3644" i="5"/>
  <c r="B511" i="5"/>
  <c r="A511" i="5"/>
  <c r="G511" i="5"/>
  <c r="H511" i="5"/>
  <c r="B338" i="5"/>
  <c r="A338" i="5"/>
  <c r="H338" i="5"/>
  <c r="G338" i="5"/>
  <c r="A1816" i="5"/>
  <c r="B1816" i="5"/>
  <c r="H1816" i="5"/>
  <c r="G1816" i="5"/>
  <c r="B2103" i="5"/>
  <c r="A2103" i="5"/>
  <c r="H2103" i="5"/>
  <c r="G2103" i="5"/>
  <c r="A3202" i="5"/>
  <c r="B3202" i="5"/>
  <c r="G3202" i="5"/>
  <c r="H3202" i="5"/>
  <c r="B2253" i="5"/>
  <c r="A2253" i="5"/>
  <c r="H2253" i="5"/>
  <c r="G2253" i="5"/>
  <c r="B3892" i="5"/>
  <c r="A3892" i="5"/>
  <c r="G3892" i="5"/>
  <c r="H3892" i="5"/>
  <c r="B629" i="5"/>
  <c r="A629" i="5"/>
  <c r="H629" i="5"/>
  <c r="G629" i="5"/>
  <c r="B1795" i="5"/>
  <c r="A1795" i="5"/>
  <c r="H1795" i="5"/>
  <c r="G1795" i="5"/>
  <c r="A1880" i="5"/>
  <c r="B1880" i="5"/>
  <c r="H1880" i="5"/>
  <c r="G1880" i="5"/>
  <c r="A1276" i="5"/>
  <c r="B1276" i="5"/>
  <c r="G1276" i="5"/>
  <c r="H1276" i="5"/>
  <c r="A2465" i="5"/>
  <c r="B2465" i="5"/>
  <c r="H2465" i="5"/>
  <c r="G2465" i="5"/>
  <c r="A3103" i="5"/>
  <c r="B3103" i="5"/>
  <c r="H3103" i="5"/>
  <c r="G3103" i="5"/>
  <c r="B40" i="5"/>
  <c r="A40" i="5"/>
  <c r="G40" i="5"/>
  <c r="H40" i="5"/>
  <c r="B621" i="5"/>
  <c r="G621" i="5"/>
  <c r="A621" i="5"/>
  <c r="H621" i="5"/>
  <c r="B3564" i="5"/>
  <c r="A3564" i="5"/>
  <c r="H3564" i="5"/>
  <c r="G3564" i="5"/>
  <c r="B1048" i="5"/>
  <c r="A1048" i="5"/>
  <c r="H1048" i="5"/>
  <c r="G1048" i="5"/>
  <c r="B671" i="5"/>
  <c r="A671" i="5"/>
  <c r="H671" i="5"/>
  <c r="G671" i="5"/>
  <c r="B1520" i="5"/>
  <c r="A1520" i="5"/>
  <c r="H1520" i="5"/>
  <c r="G1520" i="5"/>
  <c r="A2880" i="5"/>
  <c r="B2880" i="5"/>
  <c r="G2880" i="5"/>
  <c r="H2880" i="5"/>
  <c r="B2474" i="5"/>
  <c r="A2474" i="5"/>
  <c r="H2474" i="5"/>
  <c r="G2474" i="5"/>
  <c r="B1824" i="5"/>
  <c r="A1824" i="5"/>
  <c r="H1824" i="5"/>
  <c r="G1824" i="5"/>
  <c r="B3317" i="5"/>
  <c r="A3317" i="5"/>
  <c r="H3317" i="5"/>
  <c r="G3317" i="5"/>
  <c r="B800" i="5"/>
  <c r="A800" i="5"/>
  <c r="H800" i="5"/>
  <c r="G800" i="5"/>
  <c r="B2780" i="5"/>
  <c r="A2780" i="5"/>
  <c r="G2780" i="5"/>
  <c r="H2780" i="5"/>
  <c r="B3235" i="5"/>
  <c r="A3235" i="5"/>
  <c r="H3235" i="5"/>
  <c r="G3235" i="5"/>
  <c r="B4323" i="5"/>
  <c r="A4323" i="5"/>
  <c r="G4323" i="5"/>
  <c r="H4323" i="5"/>
  <c r="B2293" i="5"/>
  <c r="A2293" i="5"/>
  <c r="G2293" i="5"/>
  <c r="H2293" i="5"/>
  <c r="B554" i="5"/>
  <c r="A554" i="5"/>
  <c r="G554" i="5"/>
  <c r="H554" i="5"/>
  <c r="B1410" i="5"/>
  <c r="A1410" i="5"/>
  <c r="G1410" i="5"/>
  <c r="H1410" i="5"/>
  <c r="B4434" i="5"/>
  <c r="A4434" i="5"/>
  <c r="H4434" i="5"/>
  <c r="G4434" i="5"/>
  <c r="B2094" i="5"/>
  <c r="A2094" i="5"/>
  <c r="H2094" i="5"/>
  <c r="G2094" i="5"/>
  <c r="A1761" i="5"/>
  <c r="B1761" i="5"/>
  <c r="H1761" i="5"/>
  <c r="G1761" i="5"/>
  <c r="B1854" i="5"/>
  <c r="A1854" i="5"/>
  <c r="G1854" i="5"/>
  <c r="H1854" i="5"/>
  <c r="B309" i="5"/>
  <c r="G309" i="5"/>
  <c r="A309" i="5"/>
  <c r="H309" i="5"/>
  <c r="B2347" i="5"/>
  <c r="A2347" i="5"/>
  <c r="H2347" i="5"/>
  <c r="G2347" i="5"/>
  <c r="B2768" i="5"/>
  <c r="A2768" i="5"/>
  <c r="H2768" i="5"/>
  <c r="G2768" i="5"/>
  <c r="A2075" i="5"/>
  <c r="B2075" i="5"/>
  <c r="H2075" i="5"/>
  <c r="G2075" i="5"/>
  <c r="A1104" i="5"/>
  <c r="B1104" i="5"/>
  <c r="H1104" i="5"/>
  <c r="G1104" i="5"/>
  <c r="A1452" i="5"/>
  <c r="B1452" i="5"/>
  <c r="H1452" i="5"/>
  <c r="G1452" i="5"/>
  <c r="B1898" i="5"/>
  <c r="A1898" i="5"/>
  <c r="H1898" i="5"/>
  <c r="G1898" i="5"/>
  <c r="B1385" i="5"/>
  <c r="A1385" i="5"/>
  <c r="G1385" i="5"/>
  <c r="H1385" i="5"/>
  <c r="B941" i="5"/>
  <c r="A941" i="5"/>
  <c r="H941" i="5"/>
  <c r="G941" i="5"/>
  <c r="B1780" i="5"/>
  <c r="A1780" i="5"/>
  <c r="H1780" i="5"/>
  <c r="G1780" i="5"/>
  <c r="A423" i="5"/>
  <c r="B423" i="5"/>
  <c r="H423" i="5"/>
  <c r="G423" i="5"/>
  <c r="B2680" i="5"/>
  <c r="A2680" i="5"/>
  <c r="G2680" i="5"/>
  <c r="H2680" i="5"/>
  <c r="B2671" i="5"/>
  <c r="A2671" i="5"/>
  <c r="H2671" i="5"/>
  <c r="G2671" i="5"/>
  <c r="B2662" i="5"/>
  <c r="A2662" i="5"/>
  <c r="G2662" i="5"/>
  <c r="H2662" i="5"/>
  <c r="B4059" i="5"/>
  <c r="A4059" i="5"/>
  <c r="H4059" i="5"/>
  <c r="G4059" i="5"/>
  <c r="B4103" i="5"/>
  <c r="A4103" i="5"/>
  <c r="H4103" i="5"/>
  <c r="G4103" i="5"/>
  <c r="A1421" i="5"/>
  <c r="B1421" i="5"/>
  <c r="H1421" i="5"/>
  <c r="G1421" i="5"/>
  <c r="B15" i="5"/>
  <c r="A15" i="5"/>
  <c r="H15" i="5"/>
  <c r="G15" i="5"/>
  <c r="A436" i="5"/>
  <c r="B436" i="5"/>
  <c r="H436" i="5"/>
  <c r="G436" i="5"/>
  <c r="A3870" i="5"/>
  <c r="B3870" i="5"/>
  <c r="H3870" i="5"/>
  <c r="G3870" i="5"/>
  <c r="A957" i="5"/>
  <c r="B957" i="5"/>
  <c r="H957" i="5"/>
  <c r="G957" i="5"/>
  <c r="A3731" i="5"/>
  <c r="B3731" i="5"/>
  <c r="H3731" i="5"/>
  <c r="G3731" i="5"/>
  <c r="B1538" i="5"/>
  <c r="A1538" i="5"/>
  <c r="H1538" i="5"/>
  <c r="G1538" i="5"/>
  <c r="A1978" i="5"/>
  <c r="B1978" i="5"/>
  <c r="H1978" i="5"/>
  <c r="G1978" i="5"/>
  <c r="B2367" i="5"/>
  <c r="A2367" i="5"/>
  <c r="G2367" i="5"/>
  <c r="H2367" i="5"/>
  <c r="B1812" i="5"/>
  <c r="A1812" i="5"/>
  <c r="H1812" i="5"/>
  <c r="G1812" i="5"/>
  <c r="B259" i="5"/>
  <c r="A259" i="5"/>
  <c r="H259" i="5"/>
  <c r="G259" i="5"/>
  <c r="H4" i="8"/>
  <c r="U4" i="3"/>
  <c r="G3629" i="5"/>
  <c r="H3629" i="5"/>
  <c r="H2918" i="5"/>
  <c r="G2918" i="5"/>
  <c r="H1747" i="5"/>
  <c r="G1747" i="5"/>
  <c r="H2863" i="5"/>
  <c r="G2863" i="5"/>
  <c r="G2864" i="5"/>
  <c r="H2864" i="5"/>
  <c r="H2917" i="5"/>
  <c r="G2917" i="5"/>
  <c r="N224" i="8"/>
  <c r="M368" i="8"/>
  <c r="N368" i="8"/>
  <c r="M228" i="8"/>
  <c r="N228" i="8"/>
  <c r="M335" i="8"/>
  <c r="N335" i="8"/>
  <c r="M410" i="8"/>
  <c r="N410" i="8"/>
  <c r="M216" i="8"/>
  <c r="N216" i="8"/>
  <c r="M33" i="8"/>
  <c r="N33" i="8"/>
  <c r="M84" i="8"/>
  <c r="N84" i="8"/>
  <c r="M83" i="8"/>
  <c r="N83" i="8"/>
  <c r="M309" i="8"/>
  <c r="N309" i="8"/>
  <c r="M349" i="8"/>
  <c r="N227" i="8"/>
  <c r="N394" i="8"/>
  <c r="N269" i="8"/>
  <c r="M269" i="8"/>
  <c r="M22" i="8"/>
  <c r="N22" i="8"/>
  <c r="M356" i="8"/>
  <c r="N356" i="8"/>
  <c r="N271" i="8"/>
  <c r="M271" i="8"/>
  <c r="M10" i="8"/>
  <c r="N10" i="8"/>
  <c r="N427" i="8"/>
  <c r="M427" i="8"/>
  <c r="M248" i="8"/>
  <c r="N248" i="8"/>
  <c r="N429" i="8"/>
  <c r="N195" i="8"/>
  <c r="M431" i="8"/>
  <c r="N431" i="8"/>
  <c r="N101" i="8"/>
  <c r="M101" i="8"/>
  <c r="M495" i="8"/>
  <c r="N495" i="8"/>
  <c r="M480" i="8"/>
  <c r="N480" i="8"/>
  <c r="M218" i="8"/>
  <c r="N218" i="8"/>
  <c r="M170" i="8"/>
  <c r="N170" i="8"/>
  <c r="M255" i="8"/>
  <c r="N255" i="8"/>
  <c r="N245" i="8"/>
  <c r="M245" i="8"/>
  <c r="N485" i="8"/>
  <c r="M485" i="8"/>
  <c r="N233" i="8"/>
  <c r="M233" i="8"/>
  <c r="M289" i="8"/>
  <c r="N289" i="8"/>
  <c r="M98" i="8"/>
  <c r="N98" i="8"/>
  <c r="N173" i="8"/>
  <c r="M326" i="8"/>
  <c r="N326" i="8"/>
  <c r="N79" i="8"/>
  <c r="M79" i="8"/>
  <c r="M311" i="8"/>
  <c r="N311" i="8"/>
  <c r="M93" i="8"/>
  <c r="N93" i="8"/>
  <c r="M134" i="8"/>
  <c r="N134" i="8"/>
  <c r="M205" i="8"/>
  <c r="N205" i="8"/>
  <c r="M386" i="8"/>
  <c r="N386" i="8"/>
  <c r="M297" i="8"/>
  <c r="N297" i="8"/>
  <c r="N18" i="8"/>
  <c r="M18" i="8"/>
  <c r="M260" i="8"/>
  <c r="N260" i="8"/>
  <c r="M315" i="8"/>
  <c r="N315" i="8"/>
  <c r="N259" i="8"/>
  <c r="M259" i="8"/>
  <c r="N448" i="8"/>
  <c r="M448" i="8"/>
  <c r="N343" i="8"/>
  <c r="M343" i="8"/>
  <c r="M121" i="8"/>
  <c r="N121" i="8"/>
  <c r="M469" i="8"/>
  <c r="N469" i="8"/>
  <c r="N211" i="8"/>
  <c r="M211" i="8"/>
  <c r="M322" i="8"/>
  <c r="N322" i="8"/>
  <c r="N318" i="8"/>
  <c r="M318" i="8"/>
  <c r="M123" i="8"/>
  <c r="N123" i="8"/>
  <c r="N460" i="8"/>
  <c r="M460" i="8"/>
  <c r="M146" i="8"/>
  <c r="N146" i="8"/>
  <c r="M361" i="8"/>
  <c r="N361" i="8"/>
  <c r="M374" i="8"/>
  <c r="N374" i="8"/>
  <c r="M503" i="8"/>
  <c r="N503" i="8"/>
  <c r="M411" i="8"/>
  <c r="N411" i="8"/>
  <c r="M171" i="8"/>
  <c r="N171" i="8"/>
  <c r="N306" i="8"/>
  <c r="M306" i="8"/>
  <c r="M477" i="8"/>
  <c r="N477" i="8"/>
  <c r="M157" i="8"/>
  <c r="N157" i="8"/>
  <c r="M36" i="8"/>
  <c r="N36" i="8"/>
  <c r="M272" i="8"/>
  <c r="N272" i="8"/>
  <c r="N53" i="8"/>
  <c r="M53" i="8"/>
  <c r="M471" i="8"/>
  <c r="N471" i="8"/>
  <c r="M446" i="8"/>
  <c r="N446" i="8"/>
  <c r="M178" i="8"/>
  <c r="N40" i="8"/>
  <c r="M40" i="8"/>
  <c r="M37" i="8"/>
  <c r="N37" i="8"/>
  <c r="M453" i="8"/>
  <c r="N453" i="8"/>
  <c r="N247" i="8"/>
  <c r="M247" i="8"/>
  <c r="N499" i="8"/>
  <c r="M499" i="8"/>
  <c r="N199" i="8"/>
  <c r="M199" i="8"/>
  <c r="N474" i="8"/>
  <c r="M474" i="8"/>
  <c r="N151" i="8"/>
  <c r="M151" i="8"/>
  <c r="N367" i="8"/>
  <c r="M367" i="8"/>
  <c r="N319" i="8"/>
  <c r="M319" i="8"/>
  <c r="N30" i="8"/>
  <c r="M30" i="8"/>
  <c r="M131" i="8"/>
  <c r="N131" i="8"/>
  <c r="M215" i="8"/>
  <c r="N215" i="8"/>
  <c r="M158" i="8"/>
  <c r="N158" i="8"/>
  <c r="M180" i="8"/>
  <c r="N180" i="8"/>
  <c r="M190" i="8"/>
  <c r="N190" i="8"/>
  <c r="M117" i="8"/>
  <c r="N117" i="8"/>
  <c r="M147" i="8"/>
  <c r="N147" i="8"/>
  <c r="N184" i="8"/>
  <c r="M184" i="8"/>
  <c r="M128" i="8"/>
  <c r="N128" i="8"/>
  <c r="M96" i="8"/>
  <c r="N96" i="8"/>
  <c r="M95" i="8"/>
  <c r="N95" i="8"/>
  <c r="M303" i="8"/>
  <c r="N303" i="8"/>
  <c r="M45" i="8"/>
  <c r="N45" i="8"/>
  <c r="M194" i="8"/>
  <c r="N194" i="8"/>
  <c r="M122" i="8"/>
  <c r="N122" i="8"/>
  <c r="M97" i="8"/>
  <c r="N97" i="8"/>
  <c r="M99" i="8"/>
  <c r="N99" i="8"/>
  <c r="M61" i="8"/>
  <c r="N61" i="8"/>
  <c r="N7" i="8"/>
  <c r="M7" i="8"/>
  <c r="N29" i="8"/>
  <c r="M29" i="8"/>
  <c r="N257" i="8"/>
  <c r="M257" i="8"/>
  <c r="N148" i="8"/>
  <c r="M148" i="8"/>
  <c r="M44" i="8"/>
  <c r="N44" i="8"/>
  <c r="M28" i="8"/>
  <c r="N28" i="8"/>
  <c r="M106" i="8"/>
  <c r="N106" i="8"/>
  <c r="M470" i="8"/>
  <c r="N470" i="8"/>
  <c r="M206" i="8"/>
  <c r="N206" i="8"/>
  <c r="N484" i="8"/>
  <c r="M183" i="8"/>
  <c r="N183" i="8"/>
  <c r="M82" i="8"/>
  <c r="N82" i="8"/>
  <c r="M360" i="8"/>
  <c r="N360" i="8"/>
  <c r="N192" i="8"/>
  <c r="M74" i="8"/>
  <c r="N74" i="8"/>
  <c r="M73" i="8"/>
  <c r="N73" i="8"/>
  <c r="M301" i="8"/>
  <c r="N301" i="8"/>
  <c r="N473" i="8"/>
  <c r="M473" i="8"/>
  <c r="M276" i="8"/>
  <c r="N276" i="8"/>
  <c r="N221" i="8"/>
  <c r="M221" i="8"/>
  <c r="N437" i="8"/>
  <c r="M437" i="8"/>
  <c r="M39" i="8"/>
  <c r="N39" i="8"/>
  <c r="M298" i="8"/>
  <c r="N298" i="8"/>
  <c r="N138" i="8"/>
  <c r="M138" i="8"/>
  <c r="N377" i="8"/>
  <c r="M377" i="8"/>
  <c r="N115" i="8"/>
  <c r="M115" i="8"/>
  <c r="N66" i="8"/>
  <c r="M66" i="8"/>
  <c r="M478" i="8"/>
  <c r="N478" i="8"/>
  <c r="M489" i="8"/>
  <c r="N489" i="8"/>
  <c r="N304" i="8"/>
  <c r="M304" i="8"/>
  <c r="M314" i="8"/>
  <c r="N314" i="8"/>
  <c r="N88" i="8"/>
  <c r="M88" i="8"/>
  <c r="M428" i="8"/>
  <c r="N428" i="8"/>
  <c r="N137" i="8"/>
  <c r="M137" i="8"/>
  <c r="H4160" i="5"/>
  <c r="G4160" i="5"/>
  <c r="M357" i="8"/>
  <c r="N357" i="8"/>
  <c r="N294" i="8"/>
  <c r="M294" i="8"/>
  <c r="M296" i="8"/>
  <c r="N296" i="8"/>
  <c r="M408" i="8"/>
  <c r="N408" i="8"/>
  <c r="N6" i="8"/>
  <c r="M6" i="8"/>
  <c r="N472" i="8"/>
  <c r="M472" i="8"/>
  <c r="N282" i="8"/>
  <c r="M282" i="8"/>
  <c r="M86" i="8"/>
  <c r="N86" i="8"/>
  <c r="M75" i="8"/>
  <c r="N75" i="8"/>
  <c r="M167" i="8"/>
  <c r="N167" i="8"/>
  <c r="M155" i="8"/>
  <c r="N155" i="8"/>
  <c r="N172" i="8"/>
  <c r="M172" i="8"/>
  <c r="M23" i="8"/>
  <c r="N23" i="8"/>
  <c r="M458" i="8"/>
  <c r="N458" i="8"/>
  <c r="N15" i="8"/>
  <c r="N378" i="8"/>
  <c r="M378" i="8"/>
  <c r="N462" i="8"/>
  <c r="M462" i="8"/>
  <c r="M393" i="8"/>
  <c r="N393" i="8"/>
  <c r="N342" i="8"/>
  <c r="M342" i="8"/>
  <c r="N268" i="8"/>
  <c r="M268" i="8"/>
  <c r="M168" i="8"/>
  <c r="M501" i="8"/>
  <c r="N501" i="8"/>
  <c r="M464" i="8"/>
  <c r="N464" i="8"/>
  <c r="N418" i="8"/>
  <c r="N295" i="8"/>
  <c r="M295" i="8"/>
  <c r="N19" i="8"/>
  <c r="M19" i="8"/>
  <c r="M452" i="8"/>
  <c r="N452" i="8"/>
  <c r="M242" i="8"/>
  <c r="M500" i="8"/>
  <c r="N500" i="8"/>
  <c r="M24" i="8"/>
  <c r="N24" i="8"/>
  <c r="M265" i="8"/>
  <c r="N265" i="8"/>
  <c r="N220" i="8"/>
  <c r="M220" i="8"/>
  <c r="M398" i="8"/>
  <c r="N398" i="8"/>
  <c r="N365" i="8"/>
  <c r="M365" i="8"/>
  <c r="M4" i="8"/>
  <c r="N4" i="8"/>
  <c r="M479" i="8"/>
  <c r="N479" i="8"/>
  <c r="M399" i="8"/>
  <c r="N399" i="8"/>
  <c r="M65" i="8"/>
  <c r="N331" i="8"/>
  <c r="M331" i="8"/>
  <c r="N55" i="8"/>
  <c r="M55" i="8"/>
  <c r="N497" i="8"/>
  <c r="M497" i="8"/>
  <c r="M145" i="8"/>
  <c r="N145" i="8"/>
  <c r="N305" i="8"/>
  <c r="M305" i="8"/>
  <c r="N31" i="8"/>
  <c r="M31" i="8"/>
  <c r="N412" i="8"/>
  <c r="M412" i="8"/>
  <c r="N52" i="8"/>
  <c r="M52" i="8"/>
  <c r="N290" i="8"/>
  <c r="M229" i="8"/>
  <c r="N229" i="8"/>
  <c r="N89" i="8"/>
  <c r="M89" i="8"/>
  <c r="M494" i="8"/>
  <c r="N494" i="8"/>
  <c r="M113" i="8"/>
  <c r="N292" i="8"/>
  <c r="M292" i="8"/>
  <c r="M243" i="8"/>
  <c r="N243" i="8"/>
  <c r="N401" i="8"/>
  <c r="M401" i="8"/>
  <c r="N436" i="8"/>
  <c r="M436" i="8"/>
  <c r="M14" i="8"/>
  <c r="N14" i="8"/>
  <c r="M56" i="8"/>
  <c r="N56" i="8"/>
  <c r="M491" i="8"/>
  <c r="N491" i="8"/>
  <c r="M105" i="8"/>
  <c r="N105" i="8"/>
  <c r="M144" i="8"/>
  <c r="N144" i="8"/>
  <c r="M143" i="8"/>
  <c r="N143" i="8"/>
  <c r="M285" i="8"/>
  <c r="N285" i="8"/>
  <c r="M324" i="8"/>
  <c r="N324" i="8"/>
  <c r="M273" i="8"/>
  <c r="N273" i="8"/>
  <c r="M35" i="8"/>
  <c r="N35" i="8"/>
  <c r="M156" i="8"/>
  <c r="N156" i="8"/>
  <c r="M339" i="8"/>
  <c r="N339" i="8"/>
  <c r="M333" i="8"/>
  <c r="N333" i="8"/>
  <c r="M237" i="8"/>
  <c r="M447" i="8"/>
  <c r="N447" i="8"/>
  <c r="M129" i="8"/>
  <c r="N129" i="8"/>
  <c r="M338" i="8"/>
  <c r="N338" i="8"/>
  <c r="M308" i="8"/>
  <c r="N308" i="8"/>
  <c r="M164" i="8"/>
  <c r="N164" i="8"/>
  <c r="M32" i="8"/>
  <c r="N32" i="8"/>
  <c r="M207" i="8"/>
  <c r="N207" i="8"/>
  <c r="N402" i="8"/>
  <c r="M402" i="8"/>
  <c r="N461" i="8"/>
  <c r="M461" i="8"/>
  <c r="N353" i="8"/>
  <c r="M353" i="8"/>
  <c r="M330" i="8"/>
  <c r="M325" i="8"/>
  <c r="N136" i="8"/>
  <c r="M136" i="8"/>
  <c r="M253" i="8"/>
  <c r="N253" i="8"/>
  <c r="M327" i="8"/>
  <c r="N327" i="8"/>
  <c r="N400" i="8"/>
  <c r="M400" i="8"/>
  <c r="M284" i="8"/>
  <c r="N284" i="8"/>
  <c r="N185" i="8"/>
  <c r="M185" i="8"/>
  <c r="N8" i="8"/>
  <c r="M321" i="8"/>
  <c r="N321" i="8"/>
  <c r="M91" i="8"/>
  <c r="N91" i="8"/>
  <c r="M392" i="8"/>
  <c r="N392" i="8"/>
  <c r="N283" i="8"/>
  <c r="M283" i="8"/>
  <c r="N16" i="8"/>
  <c r="M16" i="8"/>
  <c r="M63" i="8"/>
  <c r="N63" i="8"/>
  <c r="M188" i="8"/>
  <c r="N188" i="8"/>
  <c r="M120" i="8"/>
  <c r="N120" i="8"/>
  <c r="N463" i="8"/>
  <c r="M463" i="8"/>
  <c r="M94" i="8"/>
  <c r="N94" i="8"/>
  <c r="M362" i="8"/>
  <c r="N362" i="8"/>
  <c r="N391" i="8"/>
  <c r="M391" i="8"/>
  <c r="N355" i="8"/>
  <c r="M355" i="8"/>
  <c r="N149" i="8"/>
  <c r="M149" i="8"/>
  <c r="M68" i="8"/>
  <c r="N68" i="8"/>
  <c r="M334" i="8"/>
  <c r="N334" i="8"/>
  <c r="M262" i="8"/>
  <c r="N262" i="8"/>
  <c r="N390" i="8"/>
  <c r="M390" i="8"/>
  <c r="M443" i="8"/>
  <c r="N443" i="8"/>
  <c r="M85" i="8"/>
  <c r="N85" i="8"/>
  <c r="M363" i="8"/>
  <c r="N363" i="8"/>
  <c r="N5" i="8"/>
  <c r="M5" i="8"/>
  <c r="N425" i="8"/>
  <c r="M425" i="8"/>
  <c r="M254" i="8"/>
  <c r="N254" i="8"/>
  <c r="M169" i="8"/>
  <c r="N169" i="8"/>
  <c r="N376" i="8"/>
  <c r="M376" i="8"/>
  <c r="N64" i="8"/>
  <c r="M64" i="8"/>
  <c r="N240" i="8"/>
  <c r="M277" i="8"/>
  <c r="N277" i="8"/>
  <c r="M481" i="8"/>
  <c r="N481" i="8"/>
  <c r="M387" i="8"/>
  <c r="N387" i="8"/>
  <c r="M422" i="8"/>
  <c r="N422" i="8"/>
  <c r="N124" i="8"/>
  <c r="M124" i="8"/>
  <c r="M385" i="8"/>
  <c r="N385" i="8"/>
  <c r="N449" i="8"/>
  <c r="M449" i="8"/>
  <c r="M421" i="8"/>
  <c r="N421" i="8"/>
  <c r="N100" i="8"/>
  <c r="M100" i="8"/>
  <c r="N281" i="8"/>
  <c r="M281" i="8"/>
  <c r="M230" i="8"/>
  <c r="N230" i="8"/>
  <c r="B2387" i="5"/>
  <c r="A2387" i="5"/>
  <c r="G2387" i="5"/>
  <c r="H2387" i="5"/>
  <c r="B3592" i="5"/>
  <c r="A3592" i="5"/>
  <c r="H3592" i="5"/>
  <c r="G3592" i="5"/>
  <c r="B929" i="5"/>
  <c r="A929" i="5"/>
  <c r="H929" i="5"/>
  <c r="G929" i="5"/>
  <c r="A1729" i="5"/>
  <c r="B2315" i="5"/>
  <c r="A2315" i="5"/>
  <c r="H2315" i="5"/>
  <c r="G2315" i="5"/>
  <c r="A4286" i="5"/>
  <c r="B4286" i="5"/>
  <c r="H4286" i="5"/>
  <c r="G4286" i="5"/>
  <c r="B2909" i="5"/>
  <c r="A2909" i="5"/>
  <c r="G2909" i="5"/>
  <c r="H2909" i="5"/>
  <c r="H398" i="5"/>
  <c r="G398" i="5"/>
  <c r="A4466" i="5"/>
  <c r="B4466" i="5"/>
  <c r="G4466" i="5"/>
  <c r="H4466" i="5"/>
  <c r="B281" i="5"/>
  <c r="A281" i="5"/>
  <c r="B866" i="5"/>
  <c r="A866" i="5"/>
  <c r="H866" i="5"/>
  <c r="G866" i="5"/>
  <c r="A2990" i="5"/>
  <c r="B2990" i="5"/>
  <c r="G2990" i="5"/>
  <c r="H2990" i="5"/>
  <c r="A2306" i="5"/>
  <c r="B2306" i="5"/>
  <c r="H2306" i="5"/>
  <c r="G2306" i="5"/>
  <c r="B2441" i="5"/>
  <c r="A2441" i="5"/>
  <c r="G2441" i="5"/>
  <c r="B479" i="5"/>
  <c r="A479" i="5"/>
  <c r="H479" i="5"/>
  <c r="G479" i="5"/>
  <c r="G4475" i="5"/>
  <c r="H4475" i="5"/>
  <c r="B1307" i="5"/>
  <c r="B668" i="5"/>
  <c r="H668" i="5"/>
  <c r="G668" i="5"/>
  <c r="G632" i="5"/>
  <c r="B1874" i="5"/>
  <c r="A1874" i="5"/>
  <c r="H1874" i="5"/>
  <c r="G1874" i="5"/>
  <c r="B4151" i="5"/>
  <c r="A4151" i="5"/>
  <c r="G4151" i="5"/>
  <c r="H4151" i="5"/>
  <c r="B1657" i="5"/>
  <c r="A1657" i="5"/>
  <c r="H1657" i="5"/>
  <c r="G1657" i="5"/>
  <c r="B3988" i="5"/>
  <c r="A3988" i="5"/>
  <c r="H3988" i="5"/>
  <c r="G3988" i="5"/>
  <c r="H1019" i="5"/>
  <c r="B154" i="5"/>
  <c r="A154" i="5"/>
  <c r="H154" i="5"/>
  <c r="G154" i="5"/>
  <c r="A2819" i="5"/>
  <c r="B2648" i="5"/>
  <c r="A2648" i="5"/>
  <c r="G2648" i="5"/>
  <c r="H2648" i="5"/>
  <c r="B1666" i="5"/>
  <c r="A1666" i="5"/>
  <c r="H1666" i="5"/>
  <c r="G1666" i="5"/>
  <c r="B3287" i="5"/>
  <c r="H3287" i="5"/>
  <c r="G2935" i="5"/>
  <c r="B937" i="5"/>
  <c r="A937" i="5"/>
  <c r="B2198" i="5"/>
  <c r="A2198" i="5"/>
  <c r="G2198" i="5"/>
  <c r="H2198" i="5"/>
  <c r="B1045" i="5"/>
  <c r="A1045" i="5"/>
  <c r="H1045" i="5"/>
  <c r="G1045" i="5"/>
  <c r="B3953" i="5"/>
  <c r="A3953" i="5"/>
  <c r="H3953" i="5"/>
  <c r="G3953" i="5"/>
  <c r="B2980" i="5"/>
  <c r="A2980" i="5"/>
  <c r="B2926" i="5"/>
  <c r="A2926" i="5"/>
  <c r="H2926" i="5"/>
  <c r="G2926" i="5"/>
  <c r="G3008" i="5"/>
  <c r="B4420" i="5"/>
  <c r="A4420" i="5"/>
  <c r="H4420" i="5"/>
  <c r="G4420" i="5"/>
  <c r="A2774" i="5"/>
  <c r="B2774" i="5"/>
  <c r="B4384" i="5"/>
  <c r="A4384" i="5"/>
  <c r="G4384" i="5"/>
  <c r="H4384" i="5"/>
  <c r="B1505" i="5"/>
  <c r="A1505" i="5"/>
  <c r="H1505" i="5"/>
  <c r="G1505" i="5"/>
  <c r="B1513" i="5"/>
  <c r="A1513" i="5"/>
  <c r="H1513" i="5"/>
  <c r="G1513" i="5"/>
  <c r="B407" i="5"/>
  <c r="A407" i="5"/>
  <c r="G407" i="5"/>
  <c r="G560" i="5"/>
  <c r="H560" i="5"/>
  <c r="G965" i="5"/>
  <c r="A1613" i="5"/>
  <c r="H1613" i="5"/>
  <c r="A1784" i="5"/>
  <c r="H1784" i="5"/>
  <c r="G1784" i="5"/>
  <c r="B839" i="5"/>
  <c r="A839" i="5"/>
  <c r="H839" i="5"/>
  <c r="G839" i="5"/>
  <c r="B884" i="5"/>
  <c r="A884" i="5"/>
  <c r="H884" i="5"/>
  <c r="G884" i="5"/>
  <c r="B857" i="5"/>
  <c r="A857" i="5"/>
  <c r="G857" i="5"/>
  <c r="H857" i="5"/>
  <c r="B2279" i="5"/>
  <c r="A2279" i="5"/>
  <c r="H2279" i="5"/>
  <c r="B587" i="5"/>
  <c r="A587" i="5"/>
  <c r="H587" i="5"/>
  <c r="G587" i="5"/>
  <c r="B1352" i="5"/>
  <c r="A1352" i="5"/>
  <c r="H1352" i="5"/>
  <c r="G1352" i="5"/>
  <c r="H3215" i="5"/>
  <c r="G3215" i="5"/>
  <c r="B2729" i="5"/>
  <c r="A2729" i="5"/>
  <c r="H2729" i="5"/>
  <c r="G2729" i="5"/>
  <c r="B2512" i="5"/>
  <c r="A2512" i="5"/>
  <c r="H2512" i="5"/>
  <c r="G2512" i="5"/>
  <c r="A1010" i="5"/>
  <c r="B1010" i="5"/>
  <c r="H1010" i="5"/>
  <c r="G1010" i="5"/>
  <c r="B893" i="5"/>
  <c r="A893" i="5"/>
  <c r="H893" i="5"/>
  <c r="G893" i="5"/>
  <c r="B1991" i="5"/>
  <c r="A1991" i="5"/>
  <c r="H1991" i="5"/>
  <c r="G1991" i="5"/>
  <c r="G3007" i="5"/>
  <c r="B3430" i="5"/>
  <c r="A3430" i="5"/>
  <c r="H3430" i="5"/>
  <c r="G3430" i="5"/>
  <c r="B4421" i="5"/>
  <c r="A4421" i="5"/>
  <c r="H4421" i="5"/>
  <c r="G4421" i="5"/>
  <c r="H2683" i="5"/>
  <c r="G2683" i="5"/>
  <c r="B2773" i="5"/>
  <c r="A2773" i="5"/>
  <c r="H2773" i="5"/>
  <c r="G2773" i="5"/>
  <c r="B4385" i="5"/>
  <c r="A4385" i="5"/>
  <c r="H4385" i="5"/>
  <c r="G4385" i="5"/>
  <c r="B1531" i="5"/>
  <c r="A1531" i="5"/>
  <c r="H1531" i="5"/>
  <c r="G1531" i="5"/>
  <c r="B1504" i="5"/>
  <c r="A1504" i="5"/>
  <c r="H1504" i="5"/>
  <c r="G1504" i="5"/>
  <c r="B874" i="5"/>
  <c r="A874" i="5"/>
  <c r="G874" i="5"/>
  <c r="H874" i="5"/>
  <c r="B4195" i="5"/>
  <c r="A4195" i="5"/>
  <c r="H4195" i="5"/>
  <c r="G4195" i="5"/>
  <c r="G2962" i="5"/>
  <c r="H2314" i="5"/>
  <c r="A1514" i="5"/>
  <c r="B1514" i="5"/>
  <c r="G1514" i="5"/>
  <c r="H1514" i="5"/>
  <c r="B4285" i="5"/>
  <c r="A4285" i="5"/>
  <c r="H4285" i="5"/>
  <c r="G4285" i="5"/>
  <c r="A1315" i="5"/>
  <c r="B1315" i="5"/>
  <c r="H1315" i="5"/>
  <c r="A55" i="5"/>
  <c r="H55" i="5"/>
  <c r="B3016" i="5"/>
  <c r="A3016" i="5"/>
  <c r="G3016" i="5"/>
  <c r="H3016" i="5"/>
  <c r="B1864" i="5"/>
  <c r="A1864" i="5"/>
  <c r="B1387" i="5"/>
  <c r="A1387" i="5"/>
  <c r="H1387" i="5"/>
  <c r="G1387" i="5"/>
  <c r="G1100" i="5"/>
  <c r="B2908" i="5"/>
  <c r="A2908" i="5"/>
  <c r="H2908" i="5"/>
  <c r="G2908" i="5"/>
  <c r="B1783" i="5"/>
  <c r="A1783" i="5"/>
  <c r="H1783" i="5"/>
  <c r="G1783" i="5"/>
  <c r="B838" i="5"/>
  <c r="A838" i="5"/>
  <c r="H838" i="5"/>
  <c r="G838" i="5"/>
  <c r="B1756" i="5"/>
  <c r="A1756" i="5"/>
  <c r="G1756" i="5"/>
  <c r="H1756" i="5"/>
  <c r="B883" i="5"/>
  <c r="A883" i="5"/>
  <c r="H883" i="5"/>
  <c r="G883" i="5"/>
  <c r="B856" i="5"/>
  <c r="A856" i="5"/>
  <c r="H856" i="5"/>
  <c r="G856" i="5"/>
  <c r="B433" i="5"/>
  <c r="G397" i="5"/>
  <c r="H397" i="5"/>
  <c r="B4465" i="5"/>
  <c r="A4465" i="5"/>
  <c r="H4465" i="5"/>
  <c r="G4465" i="5"/>
  <c r="B865" i="5"/>
  <c r="A865" i="5"/>
  <c r="G865" i="5"/>
  <c r="H865" i="5"/>
  <c r="B2989" i="5"/>
  <c r="A2989" i="5"/>
  <c r="H2989" i="5"/>
  <c r="G2989" i="5"/>
  <c r="B2305" i="5"/>
  <c r="A2305" i="5"/>
  <c r="H2305" i="5"/>
  <c r="G2305" i="5"/>
  <c r="G2440" i="5"/>
  <c r="B478" i="5"/>
  <c r="A478" i="5"/>
  <c r="H478" i="5"/>
  <c r="G478" i="5"/>
  <c r="B1306" i="5"/>
  <c r="A1306" i="5"/>
  <c r="H1306" i="5"/>
  <c r="G1306" i="5"/>
  <c r="B2296" i="5"/>
  <c r="A2296" i="5"/>
  <c r="B1873" i="5"/>
  <c r="A1873" i="5"/>
  <c r="H1873" i="5"/>
  <c r="G1873" i="5"/>
  <c r="H1603" i="5"/>
  <c r="B811" i="5"/>
  <c r="H811" i="5"/>
  <c r="G811" i="5"/>
  <c r="A1658" i="5"/>
  <c r="B1658" i="5"/>
  <c r="G1658" i="5"/>
  <c r="H1658" i="5"/>
  <c r="B3989" i="5"/>
  <c r="A3989" i="5"/>
  <c r="H3989" i="5"/>
  <c r="G3989" i="5"/>
  <c r="B4393" i="5"/>
  <c r="A4393" i="5"/>
  <c r="H4393" i="5"/>
  <c r="G4393" i="5"/>
  <c r="B1018" i="5"/>
  <c r="A1018" i="5"/>
  <c r="H1018" i="5"/>
  <c r="G1018" i="5"/>
  <c r="H730" i="5"/>
  <c r="G730" i="5"/>
  <c r="G3529" i="5"/>
  <c r="B1667" i="5"/>
  <c r="A1667" i="5"/>
  <c r="B2873" i="5"/>
  <c r="A2873" i="5"/>
  <c r="H2873" i="5"/>
  <c r="G2873" i="5"/>
  <c r="B370" i="5"/>
  <c r="A370" i="5"/>
  <c r="H370" i="5"/>
  <c r="G370" i="5"/>
  <c r="A2485" i="5"/>
  <c r="H2485" i="5"/>
  <c r="G2485" i="5"/>
  <c r="B1487" i="5"/>
  <c r="A1487" i="5"/>
  <c r="G1487" i="5"/>
  <c r="H1487" i="5"/>
  <c r="A4214" i="5"/>
  <c r="B4214" i="5"/>
  <c r="H4214" i="5"/>
  <c r="G4214" i="5"/>
  <c r="G704" i="5"/>
  <c r="A2162" i="5"/>
  <c r="B2162" i="5"/>
  <c r="H2162" i="5"/>
  <c r="G2162" i="5"/>
  <c r="B3683" i="5"/>
  <c r="A3683" i="5"/>
  <c r="H3683" i="5"/>
  <c r="G3683" i="5"/>
  <c r="B4448" i="5"/>
  <c r="A4448" i="5"/>
  <c r="H4448" i="5"/>
  <c r="G4448" i="5"/>
  <c r="B586" i="5"/>
  <c r="A586" i="5"/>
  <c r="H586" i="5"/>
  <c r="G586" i="5"/>
  <c r="B2810" i="5"/>
  <c r="A2810" i="5"/>
  <c r="H2810" i="5"/>
  <c r="G2810" i="5"/>
  <c r="A3214" i="5"/>
  <c r="G3214" i="5"/>
  <c r="B1676" i="5"/>
  <c r="A1676" i="5"/>
  <c r="A1838" i="5"/>
  <c r="B1838" i="5"/>
  <c r="H1838" i="5"/>
  <c r="G1838" i="5"/>
  <c r="B2728" i="5"/>
  <c r="A2728" i="5"/>
  <c r="H2728" i="5"/>
  <c r="G2728" i="5"/>
  <c r="B1252" i="5"/>
  <c r="A1252" i="5"/>
  <c r="G1252" i="5"/>
  <c r="H1252" i="5"/>
  <c r="B892" i="5"/>
  <c r="A892" i="5"/>
  <c r="G892" i="5"/>
  <c r="H892" i="5"/>
  <c r="B1325" i="5"/>
  <c r="B2513" i="5"/>
  <c r="A2513" i="5"/>
  <c r="H2513" i="5"/>
  <c r="G2513" i="5"/>
  <c r="B677" i="5"/>
  <c r="B2809" i="5"/>
  <c r="A2809" i="5"/>
  <c r="H2809" i="5"/>
  <c r="G2809" i="5"/>
  <c r="B1837" i="5"/>
  <c r="A1837" i="5"/>
  <c r="H1837" i="5"/>
  <c r="G1837" i="5"/>
  <c r="B2531" i="5"/>
  <c r="A2531" i="5"/>
  <c r="H2531" i="5"/>
  <c r="G2531" i="5"/>
  <c r="A4502" i="5"/>
  <c r="B4502" i="5"/>
  <c r="H4502" i="5"/>
  <c r="G4502" i="5"/>
  <c r="B4304" i="5"/>
  <c r="A4304" i="5"/>
  <c r="H4304" i="5"/>
  <c r="B1496" i="5"/>
  <c r="A1496" i="5"/>
  <c r="H1496" i="5"/>
  <c r="G1496" i="5"/>
  <c r="B1289" i="5"/>
  <c r="A1289" i="5"/>
  <c r="H1289" i="5"/>
  <c r="G1289" i="5"/>
  <c r="A1370" i="5"/>
  <c r="B1370" i="5"/>
  <c r="H1370" i="5"/>
  <c r="G1370" i="5"/>
  <c r="A2954" i="5"/>
  <c r="B2954" i="5"/>
  <c r="H2954" i="5"/>
  <c r="G2954" i="5"/>
  <c r="B1523" i="5"/>
  <c r="A1523" i="5"/>
  <c r="G1523" i="5"/>
  <c r="H1523" i="5"/>
  <c r="B253" i="5"/>
  <c r="A253" i="5"/>
  <c r="G253" i="5"/>
  <c r="H253" i="5"/>
  <c r="H4088" i="5"/>
  <c r="G4088" i="5"/>
  <c r="B4043" i="5"/>
  <c r="A4043" i="5"/>
  <c r="H4043" i="5"/>
  <c r="G4043" i="5"/>
  <c r="B1064" i="5"/>
  <c r="A1064" i="5"/>
  <c r="H1064" i="5"/>
  <c r="G1064" i="5"/>
  <c r="B3413" i="5"/>
  <c r="A3413" i="5"/>
  <c r="A2522" i="5"/>
  <c r="B2522" i="5"/>
  <c r="G2522" i="5"/>
  <c r="H2522" i="5"/>
  <c r="B3575" i="5"/>
  <c r="A3575" i="5"/>
  <c r="H3575" i="5"/>
  <c r="G3575" i="5"/>
  <c r="B1585" i="5"/>
  <c r="A1585" i="5"/>
  <c r="H1585" i="5"/>
  <c r="G1585" i="5"/>
  <c r="B3152" i="5"/>
  <c r="A3152" i="5"/>
  <c r="G3152" i="5"/>
  <c r="H3152" i="5"/>
  <c r="B3251" i="5"/>
  <c r="A3251" i="5"/>
  <c r="B2540" i="5"/>
  <c r="A2540" i="5"/>
  <c r="G2540" i="5"/>
  <c r="H2540" i="5"/>
  <c r="B4016" i="5"/>
  <c r="A4016" i="5"/>
  <c r="G4016" i="5"/>
  <c r="H4016" i="5"/>
  <c r="B2287" i="5"/>
  <c r="A2287" i="5"/>
  <c r="H2287" i="5"/>
  <c r="G2287" i="5"/>
  <c r="B1199" i="5"/>
  <c r="A1199" i="5"/>
  <c r="G1199" i="5"/>
  <c r="H1199" i="5"/>
  <c r="B2720" i="5"/>
  <c r="A2720" i="5"/>
  <c r="G2720" i="5"/>
  <c r="H2720" i="5"/>
  <c r="B785" i="5"/>
  <c r="A785" i="5"/>
  <c r="H785" i="5"/>
  <c r="G785" i="5"/>
  <c r="B1829" i="5"/>
  <c r="A1829" i="5"/>
  <c r="G1829" i="5"/>
  <c r="H1829" i="5"/>
  <c r="B3673" i="5"/>
  <c r="A3673" i="5"/>
  <c r="H3673" i="5"/>
  <c r="G3673" i="5"/>
  <c r="G776" i="5"/>
  <c r="B3566" i="5"/>
  <c r="A2666" i="5"/>
  <c r="G2666" i="5"/>
  <c r="B3143" i="5"/>
  <c r="A3143" i="5"/>
  <c r="H3143" i="5"/>
  <c r="G3143" i="5"/>
  <c r="B2171" i="5"/>
  <c r="A2171" i="5"/>
  <c r="H2171" i="5"/>
  <c r="G2171" i="5"/>
  <c r="B2045" i="5"/>
  <c r="A2045" i="5"/>
  <c r="B4412" i="5"/>
  <c r="A4412" i="5"/>
  <c r="H4412" i="5"/>
  <c r="G4412" i="5"/>
  <c r="B65" i="5"/>
  <c r="A65" i="5"/>
  <c r="H65" i="5"/>
  <c r="G65" i="5"/>
  <c r="B2612" i="5"/>
  <c r="A2612" i="5"/>
  <c r="G2612" i="5"/>
  <c r="H2612" i="5"/>
  <c r="B1280" i="5"/>
  <c r="A1280" i="5"/>
  <c r="H1280" i="5"/>
  <c r="G1280" i="5"/>
  <c r="B3494" i="5"/>
  <c r="A3494" i="5"/>
  <c r="H3494" i="5"/>
  <c r="G3494" i="5"/>
  <c r="B4339" i="5"/>
  <c r="A4339" i="5"/>
  <c r="H4339" i="5"/>
  <c r="G4339" i="5"/>
  <c r="B1937" i="5"/>
  <c r="A1937" i="5"/>
  <c r="H1937" i="5"/>
  <c r="G1937" i="5"/>
  <c r="A2216" i="5"/>
  <c r="H2216" i="5"/>
  <c r="G2216" i="5"/>
  <c r="A3458" i="5"/>
  <c r="B3458" i="5"/>
  <c r="G3458" i="5"/>
  <c r="H3458" i="5"/>
  <c r="B1072" i="5"/>
  <c r="A1072" i="5"/>
  <c r="H1072" i="5"/>
  <c r="H3314" i="5"/>
  <c r="G3314" i="5"/>
  <c r="B1684" i="5"/>
  <c r="A1684" i="5"/>
  <c r="G1684" i="5"/>
  <c r="H1684" i="5"/>
  <c r="B3602" i="5"/>
  <c r="G3602" i="5"/>
  <c r="H3602" i="5"/>
  <c r="B650" i="5"/>
  <c r="A650" i="5"/>
  <c r="H650" i="5"/>
  <c r="G650" i="5"/>
  <c r="A2243" i="5"/>
  <c r="H2243" i="5"/>
  <c r="B1397" i="5"/>
  <c r="A1397" i="5"/>
  <c r="H1397" i="5"/>
  <c r="G1397" i="5"/>
  <c r="B758" i="5"/>
  <c r="A758" i="5"/>
  <c r="H758" i="5"/>
  <c r="G758" i="5"/>
  <c r="A3853" i="5"/>
  <c r="B3853" i="5"/>
  <c r="H3853" i="5"/>
  <c r="G3853" i="5"/>
  <c r="B1009" i="5"/>
  <c r="A1009" i="5"/>
  <c r="H1009" i="5"/>
  <c r="G1009" i="5"/>
  <c r="B1117" i="5"/>
  <c r="A1117" i="5"/>
  <c r="H1117" i="5"/>
  <c r="G1117" i="5"/>
  <c r="B2684" i="5"/>
  <c r="A2684" i="5"/>
  <c r="G2684" i="5"/>
  <c r="H2684" i="5"/>
  <c r="B4196" i="5"/>
  <c r="A4196" i="5"/>
  <c r="H4196" i="5"/>
  <c r="G4196" i="5"/>
  <c r="B1865" i="5"/>
  <c r="A1865" i="5"/>
  <c r="A1360" i="5"/>
  <c r="G1360" i="5"/>
  <c r="H1360" i="5"/>
  <c r="A2225" i="5"/>
  <c r="H334" i="5"/>
  <c r="B2072" i="5"/>
  <c r="A2072" i="5"/>
  <c r="G2072" i="5"/>
  <c r="H2072" i="5"/>
  <c r="B4232" i="5"/>
  <c r="A4232" i="5"/>
  <c r="H4232" i="5"/>
  <c r="G4232" i="5"/>
  <c r="B3089" i="5"/>
  <c r="A3089" i="5"/>
  <c r="B3962" i="5"/>
  <c r="A3962" i="5"/>
  <c r="H3962" i="5"/>
  <c r="G3962" i="5"/>
  <c r="B2630" i="5"/>
  <c r="A2630" i="5"/>
  <c r="H2630" i="5"/>
  <c r="G2630" i="5"/>
  <c r="A3926" i="5"/>
  <c r="B3926" i="5"/>
  <c r="B1297" i="5"/>
  <c r="A1297" i="5"/>
  <c r="H1297" i="5"/>
  <c r="G1297" i="5"/>
  <c r="B2621" i="5"/>
  <c r="A2621" i="5"/>
  <c r="H2621" i="5"/>
  <c r="G2621" i="5"/>
  <c r="B3278" i="5"/>
  <c r="A3278" i="5"/>
  <c r="H3278" i="5"/>
  <c r="G3278" i="5"/>
  <c r="B568" i="5"/>
  <c r="A568" i="5"/>
  <c r="H568" i="5"/>
  <c r="B190" i="5"/>
  <c r="A190" i="5"/>
  <c r="H190" i="5"/>
  <c r="G190" i="5"/>
  <c r="A2332" i="5"/>
  <c r="G2332" i="5"/>
  <c r="H2332" i="5"/>
  <c r="A3646" i="5"/>
  <c r="B1432" i="5"/>
  <c r="A1432" i="5"/>
  <c r="G1432" i="5"/>
  <c r="H1432" i="5"/>
  <c r="B2071" i="5"/>
  <c r="A2071" i="5"/>
  <c r="H2071" i="5"/>
  <c r="G2071" i="5"/>
  <c r="G2602" i="5"/>
  <c r="B4231" i="5"/>
  <c r="A4231" i="5"/>
  <c r="H4231" i="5"/>
  <c r="G4231" i="5"/>
  <c r="B2530" i="5"/>
  <c r="A2530" i="5"/>
  <c r="H2530" i="5"/>
  <c r="G2530" i="5"/>
  <c r="A4006" i="5"/>
  <c r="B4006" i="5"/>
  <c r="H4006" i="5"/>
  <c r="G4006" i="5"/>
  <c r="B3961" i="5"/>
  <c r="G3961" i="5"/>
  <c r="B4501" i="5"/>
  <c r="A4501" i="5"/>
  <c r="H4501" i="5"/>
  <c r="G4501" i="5"/>
  <c r="B3898" i="5"/>
  <c r="A3898" i="5"/>
  <c r="H3898" i="5"/>
  <c r="G3898" i="5"/>
  <c r="B1495" i="5"/>
  <c r="A1495" i="5"/>
  <c r="H1495" i="5"/>
  <c r="G1495" i="5"/>
  <c r="B2629" i="5"/>
  <c r="A2629" i="5"/>
  <c r="G2629" i="5"/>
  <c r="H2629" i="5"/>
  <c r="B1288" i="5"/>
  <c r="A1288" i="5"/>
  <c r="H1288" i="5"/>
  <c r="G1288" i="5"/>
  <c r="B1369" i="5"/>
  <c r="A1369" i="5"/>
  <c r="H1369" i="5"/>
  <c r="G1369" i="5"/>
  <c r="A2953" i="5"/>
  <c r="B2953" i="5"/>
  <c r="H2953" i="5"/>
  <c r="G2953" i="5"/>
  <c r="B1522" i="5"/>
  <c r="A1522" i="5"/>
  <c r="H1522" i="5"/>
  <c r="G1522" i="5"/>
  <c r="B271" i="5"/>
  <c r="B254" i="5"/>
  <c r="A254" i="5"/>
  <c r="H254" i="5"/>
  <c r="G254" i="5"/>
  <c r="A4042" i="5"/>
  <c r="B4042" i="5"/>
  <c r="G4042" i="5"/>
  <c r="H4042" i="5"/>
  <c r="B2521" i="5"/>
  <c r="A2521" i="5"/>
  <c r="H2521" i="5"/>
  <c r="G2521" i="5"/>
  <c r="A3574" i="5"/>
  <c r="B3574" i="5"/>
  <c r="H3574" i="5"/>
  <c r="G3574" i="5"/>
  <c r="H1586" i="5"/>
  <c r="B163" i="5"/>
  <c r="A163" i="5"/>
  <c r="H163" i="5"/>
  <c r="G163" i="5"/>
  <c r="B991" i="5"/>
  <c r="A991" i="5"/>
  <c r="H991" i="5"/>
  <c r="G991" i="5"/>
  <c r="B119" i="5"/>
  <c r="A119" i="5"/>
  <c r="H119" i="5"/>
  <c r="G119" i="5"/>
  <c r="B3151" i="5"/>
  <c r="A3151" i="5"/>
  <c r="H3151" i="5"/>
  <c r="G3151" i="5"/>
  <c r="H829" i="5"/>
  <c r="B3250" i="5"/>
  <c r="A3250" i="5"/>
  <c r="G3250" i="5"/>
  <c r="H3250" i="5"/>
  <c r="B2539" i="5"/>
  <c r="A2539" i="5"/>
  <c r="H2539" i="5"/>
  <c r="G2539" i="5"/>
  <c r="B4015" i="5"/>
  <c r="A4015" i="5"/>
  <c r="H4015" i="5"/>
  <c r="G4015" i="5"/>
  <c r="H4097" i="5"/>
  <c r="G4097" i="5"/>
  <c r="B2288" i="5"/>
  <c r="A2288" i="5"/>
  <c r="G2288" i="5"/>
  <c r="H2288" i="5"/>
  <c r="A1198" i="5"/>
  <c r="B1198" i="5"/>
  <c r="H1198" i="5"/>
  <c r="G1198" i="5"/>
  <c r="B2719" i="5"/>
  <c r="A2719" i="5"/>
  <c r="H2719" i="5"/>
  <c r="G2719" i="5"/>
  <c r="A1828" i="5"/>
  <c r="B1828" i="5"/>
  <c r="A3674" i="5"/>
  <c r="B3674" i="5"/>
  <c r="G3674" i="5"/>
  <c r="H3674" i="5"/>
  <c r="A3565" i="5"/>
  <c r="H3565" i="5"/>
  <c r="B2665" i="5"/>
  <c r="B3142" i="5"/>
  <c r="A3142" i="5"/>
  <c r="H3142" i="5"/>
  <c r="G3142" i="5"/>
  <c r="A2170" i="5"/>
  <c r="H2170" i="5"/>
  <c r="G2170" i="5"/>
  <c r="B2044" i="5"/>
  <c r="A2044" i="5"/>
  <c r="H2044" i="5"/>
  <c r="G2044" i="5"/>
  <c r="B4411" i="5"/>
  <c r="G4411" i="5"/>
  <c r="B64" i="5"/>
  <c r="A64" i="5"/>
  <c r="H64" i="5"/>
  <c r="G64" i="5"/>
  <c r="B2611" i="5"/>
  <c r="A2611" i="5"/>
  <c r="H2611" i="5"/>
  <c r="G2611" i="5"/>
  <c r="H2107" i="5"/>
  <c r="B1279" i="5"/>
  <c r="A1279" i="5"/>
  <c r="B3493" i="5"/>
  <c r="A3493" i="5"/>
  <c r="H3493" i="5"/>
  <c r="G3493" i="5"/>
  <c r="B3763" i="5"/>
  <c r="A3763" i="5"/>
  <c r="H3763" i="5"/>
  <c r="G3763" i="5"/>
  <c r="A1936" i="5"/>
  <c r="B1936" i="5"/>
  <c r="H1936" i="5"/>
  <c r="G1936" i="5"/>
  <c r="B2359" i="5"/>
  <c r="A2359" i="5"/>
  <c r="H2359" i="5"/>
  <c r="G2359" i="5"/>
  <c r="B2215" i="5"/>
  <c r="A2215" i="5"/>
  <c r="H2215" i="5"/>
  <c r="G2215" i="5"/>
  <c r="B244" i="5"/>
  <c r="A244" i="5"/>
  <c r="H244" i="5"/>
  <c r="G244" i="5"/>
  <c r="B3457" i="5"/>
  <c r="A3457" i="5"/>
  <c r="H3457" i="5"/>
  <c r="G3457" i="5"/>
  <c r="B1891" i="5"/>
  <c r="A1891" i="5"/>
  <c r="H1891" i="5"/>
  <c r="G1891" i="5"/>
  <c r="B3593" i="5"/>
  <c r="A3593" i="5"/>
  <c r="H3593" i="5"/>
  <c r="G3593" i="5"/>
  <c r="G3818" i="5"/>
  <c r="B1055" i="5"/>
  <c r="B3521" i="5"/>
  <c r="A3521" i="5"/>
  <c r="H3521" i="5"/>
  <c r="G3521" i="5"/>
  <c r="B2837" i="5"/>
  <c r="A2837" i="5"/>
  <c r="G2837" i="5"/>
  <c r="H2837" i="5"/>
  <c r="B1576" i="5"/>
  <c r="B4484" i="5"/>
  <c r="A4484" i="5"/>
  <c r="B2971" i="5"/>
  <c r="A2971" i="5"/>
  <c r="B2477" i="5"/>
  <c r="G2477" i="5"/>
  <c r="B3017" i="5"/>
  <c r="A3017" i="5"/>
  <c r="H3017" i="5"/>
  <c r="G3017" i="5"/>
  <c r="B1235" i="5"/>
  <c r="A1235" i="5"/>
  <c r="H1235" i="5"/>
  <c r="G1235" i="5"/>
  <c r="G325" i="5"/>
  <c r="H325" i="5"/>
  <c r="B569" i="5"/>
  <c r="A569" i="5"/>
  <c r="H569" i="5"/>
  <c r="G569" i="5"/>
  <c r="B2585" i="5"/>
  <c r="A2585" i="5"/>
  <c r="H2585" i="5"/>
  <c r="G2585" i="5"/>
  <c r="B4007" i="5"/>
  <c r="A4007" i="5"/>
  <c r="G4007" i="5"/>
  <c r="H4007" i="5"/>
  <c r="B3899" i="5"/>
  <c r="A3899" i="5"/>
  <c r="H3899" i="5"/>
  <c r="G3899" i="5"/>
  <c r="H3719" i="5"/>
  <c r="H3836" i="5"/>
  <c r="B3925" i="5"/>
  <c r="B3512" i="5"/>
  <c r="A3512" i="5"/>
  <c r="H3512" i="5"/>
  <c r="G3512" i="5"/>
  <c r="B3917" i="5"/>
  <c r="A3917" i="5"/>
  <c r="A1298" i="5"/>
  <c r="B1298" i="5"/>
  <c r="G1298" i="5"/>
  <c r="H1298" i="5"/>
  <c r="H4366" i="5"/>
  <c r="G4366" i="5"/>
  <c r="A2620" i="5"/>
  <c r="B2620" i="5"/>
  <c r="H2620" i="5"/>
  <c r="G2620" i="5"/>
  <c r="G4249" i="5"/>
  <c r="B3277" i="5"/>
  <c r="A3277" i="5"/>
  <c r="H3277" i="5"/>
  <c r="G3277" i="5"/>
  <c r="B2566" i="5"/>
  <c r="A2566" i="5"/>
  <c r="H2566" i="5"/>
  <c r="G2566" i="5"/>
  <c r="B2342" i="5"/>
  <c r="G2342" i="5"/>
  <c r="B3485" i="5"/>
  <c r="A3485" i="5"/>
  <c r="H3485" i="5"/>
  <c r="G3485" i="5"/>
  <c r="B2747" i="5"/>
  <c r="A2747" i="5"/>
  <c r="H2747" i="5"/>
  <c r="G2747" i="5"/>
  <c r="B4439" i="5"/>
  <c r="A4439" i="5"/>
  <c r="H4439" i="5"/>
  <c r="G4439" i="5"/>
  <c r="B3503" i="5"/>
  <c r="A3503" i="5"/>
  <c r="G3503" i="5"/>
  <c r="H3503" i="5"/>
  <c r="B4223" i="5"/>
  <c r="A4223" i="5"/>
  <c r="G4223" i="5"/>
  <c r="H4223" i="5"/>
  <c r="B1811" i="5"/>
  <c r="B2675" i="5"/>
  <c r="A2675" i="5"/>
  <c r="H2675" i="5"/>
  <c r="G2675" i="5"/>
  <c r="B2900" i="5"/>
  <c r="A2900" i="5"/>
  <c r="G2900" i="5"/>
  <c r="G1549" i="5"/>
  <c r="A3170" i="5"/>
  <c r="B3170" i="5"/>
  <c r="G3170" i="5"/>
  <c r="H3170" i="5"/>
  <c r="A3782" i="5"/>
  <c r="B3782" i="5"/>
  <c r="H3782" i="5"/>
  <c r="G3782" i="5"/>
  <c r="B983" i="5"/>
  <c r="A983" i="5"/>
  <c r="G983" i="5"/>
  <c r="H983" i="5"/>
  <c r="A2035" i="5"/>
  <c r="B2035" i="5"/>
  <c r="H2035" i="5"/>
  <c r="G2035" i="5"/>
  <c r="B3449" i="5"/>
  <c r="A3449" i="5"/>
  <c r="H3449" i="5"/>
  <c r="G3449" i="5"/>
  <c r="B4079" i="5"/>
  <c r="G4079" i="5"/>
  <c r="B4123" i="5"/>
  <c r="A4123" i="5"/>
  <c r="G4123" i="5"/>
  <c r="H4123" i="5"/>
  <c r="G2369" i="5"/>
  <c r="B2027" i="5"/>
  <c r="A2027" i="5"/>
  <c r="B956" i="5"/>
  <c r="A956" i="5"/>
  <c r="H956" i="5"/>
  <c r="G956" i="5"/>
  <c r="B1919" i="5"/>
  <c r="A1919" i="5"/>
  <c r="G1919" i="5"/>
  <c r="H1919" i="5"/>
  <c r="B1208" i="5"/>
  <c r="A1208" i="5"/>
  <c r="H1208" i="5"/>
  <c r="G1208" i="5"/>
  <c r="A200" i="5"/>
  <c r="B200" i="5"/>
  <c r="H200" i="5"/>
  <c r="G200" i="5"/>
  <c r="A3755" i="5"/>
  <c r="B722" i="5"/>
  <c r="A722" i="5"/>
  <c r="G722" i="5"/>
  <c r="H722" i="5"/>
  <c r="B442" i="5"/>
  <c r="A442" i="5"/>
  <c r="H442" i="5"/>
  <c r="G442" i="5"/>
  <c r="A1334" i="5"/>
  <c r="B1334" i="5"/>
  <c r="H1334" i="5"/>
  <c r="G1334" i="5"/>
  <c r="A2639" i="5"/>
  <c r="B2414" i="5"/>
  <c r="A2414" i="5"/>
  <c r="H2414" i="5"/>
  <c r="G2414" i="5"/>
  <c r="B3359" i="5"/>
  <c r="A3359" i="5"/>
  <c r="H3359" i="5"/>
  <c r="G3359" i="5"/>
  <c r="B1649" i="5"/>
  <c r="A1649" i="5"/>
  <c r="H1649" i="5"/>
  <c r="G1649" i="5"/>
  <c r="A128" i="5"/>
  <c r="B1136" i="5"/>
  <c r="A1136" i="5"/>
  <c r="H1136" i="5"/>
  <c r="G1136" i="5"/>
  <c r="B1721" i="5"/>
  <c r="A1721" i="5"/>
  <c r="H1721" i="5"/>
  <c r="G1721" i="5"/>
  <c r="B3772" i="5"/>
  <c r="A3772" i="5"/>
  <c r="G3772" i="5"/>
  <c r="H3772" i="5"/>
  <c r="B4295" i="5"/>
  <c r="A4295" i="5"/>
  <c r="H4295" i="5"/>
  <c r="G4295" i="5"/>
  <c r="B2756" i="5"/>
  <c r="A2756" i="5"/>
  <c r="G2756" i="5"/>
  <c r="H2756" i="5"/>
  <c r="A4430" i="5"/>
  <c r="B4430" i="5"/>
  <c r="H4430" i="5"/>
  <c r="G4430" i="5"/>
  <c r="B2828" i="5"/>
  <c r="A2828" i="5"/>
  <c r="H2828" i="5"/>
  <c r="G2828" i="5"/>
  <c r="B2459" i="5"/>
  <c r="G2459" i="5"/>
  <c r="B3440" i="5"/>
  <c r="A3440" i="5"/>
  <c r="H3440" i="5"/>
  <c r="G3440" i="5"/>
  <c r="A2018" i="5"/>
  <c r="B2018" i="5"/>
  <c r="G2018" i="5"/>
  <c r="H1801" i="5"/>
  <c r="G1801" i="5"/>
  <c r="A4070" i="5"/>
  <c r="B4070" i="5"/>
  <c r="H4070" i="5"/>
  <c r="G4070" i="5"/>
  <c r="B452" i="5"/>
  <c r="A452" i="5"/>
  <c r="H452" i="5"/>
  <c r="G452" i="5"/>
  <c r="B3368" i="5"/>
  <c r="A3368" i="5"/>
  <c r="G3368" i="5"/>
  <c r="H3368" i="5"/>
  <c r="B425" i="5"/>
  <c r="A425" i="5"/>
  <c r="H425" i="5"/>
  <c r="A92" i="5"/>
  <c r="G92" i="5"/>
  <c r="B4331" i="5"/>
  <c r="A4331" i="5"/>
  <c r="H4331" i="5"/>
  <c r="G4331" i="5"/>
  <c r="B3583" i="5"/>
  <c r="A3583" i="5"/>
  <c r="H3583" i="5"/>
  <c r="G3583" i="5"/>
  <c r="A2234" i="5"/>
  <c r="B2234" i="5"/>
  <c r="B83" i="5"/>
  <c r="A83" i="5"/>
  <c r="H83" i="5"/>
  <c r="G83" i="5"/>
  <c r="B3827" i="5"/>
  <c r="A3827" i="5"/>
  <c r="H3827" i="5"/>
  <c r="G3827" i="5"/>
  <c r="B2180" i="5"/>
  <c r="A2180" i="5"/>
  <c r="H2180" i="5"/>
  <c r="G2180" i="5"/>
  <c r="B920" i="5"/>
  <c r="A920" i="5"/>
  <c r="H920" i="5"/>
  <c r="G920" i="5"/>
  <c r="B29" i="5"/>
  <c r="B182" i="5"/>
  <c r="A182" i="5"/>
  <c r="H182" i="5"/>
  <c r="G182" i="5"/>
  <c r="B1883" i="5"/>
  <c r="A1883" i="5"/>
  <c r="H1883" i="5"/>
  <c r="G1883" i="5"/>
  <c r="B2693" i="5"/>
  <c r="H2693" i="5"/>
  <c r="G604" i="5"/>
  <c r="H604" i="5"/>
  <c r="B2386" i="5"/>
  <c r="A2386" i="5"/>
  <c r="H2386" i="5"/>
  <c r="G2386" i="5"/>
  <c r="B2936" i="5"/>
  <c r="A2936" i="5"/>
  <c r="G2936" i="5"/>
  <c r="B4376" i="5"/>
  <c r="A4376" i="5"/>
  <c r="H4376" i="5"/>
  <c r="G4376" i="5"/>
  <c r="B712" i="5"/>
  <c r="A712" i="5"/>
  <c r="H712" i="5"/>
  <c r="G712" i="5"/>
  <c r="A596" i="5"/>
  <c r="B596" i="5"/>
  <c r="H596" i="5"/>
  <c r="G596" i="5"/>
  <c r="A2378" i="5"/>
  <c r="B2378" i="5"/>
  <c r="H2378" i="5"/>
  <c r="G2378" i="5"/>
  <c r="B3484" i="5"/>
  <c r="G3484" i="5"/>
  <c r="B2746" i="5"/>
  <c r="A2746" i="5"/>
  <c r="H2746" i="5"/>
  <c r="G2746" i="5"/>
  <c r="B4438" i="5"/>
  <c r="A4438" i="5"/>
  <c r="G4438" i="5"/>
  <c r="H4438" i="5"/>
  <c r="B1630" i="5"/>
  <c r="B3502" i="5"/>
  <c r="A3502" i="5"/>
  <c r="H3502" i="5"/>
  <c r="G3502" i="5"/>
  <c r="B4222" i="5"/>
  <c r="A4222" i="5"/>
  <c r="H4222" i="5"/>
  <c r="G4222" i="5"/>
  <c r="B3979" i="5"/>
  <c r="A3979" i="5"/>
  <c r="H3979" i="5"/>
  <c r="G3979" i="5"/>
  <c r="B2674" i="5"/>
  <c r="A2674" i="5"/>
  <c r="H2674" i="5"/>
  <c r="A1550" i="5"/>
  <c r="B1550" i="5"/>
  <c r="H1550" i="5"/>
  <c r="G1550" i="5"/>
  <c r="B3169" i="5"/>
  <c r="A3169" i="5"/>
  <c r="H3169" i="5"/>
  <c r="G3169" i="5"/>
  <c r="B3781" i="5"/>
  <c r="A3781" i="5"/>
  <c r="H3781" i="5"/>
  <c r="G3781" i="5"/>
  <c r="B1999" i="5"/>
  <c r="A1999" i="5"/>
  <c r="A37" i="5"/>
  <c r="B2036" i="5"/>
  <c r="A2036" i="5"/>
  <c r="H2036" i="5"/>
  <c r="G2036" i="5"/>
  <c r="B3448" i="5"/>
  <c r="A3448" i="5"/>
  <c r="H3448" i="5"/>
  <c r="G3448" i="5"/>
  <c r="A4078" i="5"/>
  <c r="H4078" i="5"/>
  <c r="G4078" i="5"/>
  <c r="B4124" i="5"/>
  <c r="A4124" i="5"/>
  <c r="G4124" i="5"/>
  <c r="H4124" i="5"/>
  <c r="B2026" i="5"/>
  <c r="A2026" i="5"/>
  <c r="H2026" i="5"/>
  <c r="G2026" i="5"/>
  <c r="B1918" i="5"/>
  <c r="A1918" i="5"/>
  <c r="H1918" i="5"/>
  <c r="G1918" i="5"/>
  <c r="A1207" i="5"/>
  <c r="B1207" i="5"/>
  <c r="H1207" i="5"/>
  <c r="G1207" i="5"/>
  <c r="B2008" i="5"/>
  <c r="A2008" i="5"/>
  <c r="G2008" i="5"/>
  <c r="H2008" i="5"/>
  <c r="B1144" i="5"/>
  <c r="B3754" i="5"/>
  <c r="H3754" i="5"/>
  <c r="B721" i="5"/>
  <c r="A721" i="5"/>
  <c r="G721" i="5"/>
  <c r="H721" i="5"/>
  <c r="B443" i="5"/>
  <c r="A443" i="5"/>
  <c r="H443" i="5"/>
  <c r="G443" i="5"/>
  <c r="A3178" i="5"/>
  <c r="B3178" i="5"/>
  <c r="G3178" i="5"/>
  <c r="H3178" i="5"/>
  <c r="A2638" i="5"/>
  <c r="B2638" i="5"/>
  <c r="G2638" i="5"/>
  <c r="H2638" i="5"/>
  <c r="A3890" i="5"/>
  <c r="B2413" i="5"/>
  <c r="A2413" i="5"/>
  <c r="H2413" i="5"/>
  <c r="G2413" i="5"/>
  <c r="A3358" i="5"/>
  <c r="B3358" i="5"/>
  <c r="H3358" i="5"/>
  <c r="G3358" i="5"/>
  <c r="B532" i="5"/>
  <c r="A532" i="5"/>
  <c r="H532" i="5"/>
  <c r="G532" i="5"/>
  <c r="B1135" i="5"/>
  <c r="A1135" i="5"/>
  <c r="H1135" i="5"/>
  <c r="G1135" i="5"/>
  <c r="B1720" i="5"/>
  <c r="A1720" i="5"/>
  <c r="G1720" i="5"/>
  <c r="H1720" i="5"/>
  <c r="B3773" i="5"/>
  <c r="A3773" i="5"/>
  <c r="H3773" i="5"/>
  <c r="G3773" i="5"/>
  <c r="B3322" i="5"/>
  <c r="H3322" i="5"/>
  <c r="B4294" i="5"/>
  <c r="A4294" i="5"/>
  <c r="H4294" i="5"/>
  <c r="G4294" i="5"/>
  <c r="B2755" i="5"/>
  <c r="A2755" i="5"/>
  <c r="H2755" i="5"/>
  <c r="G2755" i="5"/>
  <c r="A4429" i="5"/>
  <c r="B4429" i="5"/>
  <c r="H4429" i="5"/>
  <c r="G4429" i="5"/>
  <c r="B3439" i="5"/>
  <c r="A3439" i="5"/>
  <c r="H3439" i="5"/>
  <c r="G3439" i="5"/>
  <c r="B451" i="5"/>
  <c r="A451" i="5"/>
  <c r="H451" i="5"/>
  <c r="G451" i="5"/>
  <c r="B3367" i="5"/>
  <c r="A3367" i="5"/>
  <c r="H3367" i="5"/>
  <c r="G3367" i="5"/>
  <c r="A91" i="5"/>
  <c r="H91" i="5"/>
  <c r="B4330" i="5"/>
  <c r="A4330" i="5"/>
  <c r="H4330" i="5"/>
  <c r="G4330" i="5"/>
  <c r="B3584" i="5"/>
  <c r="A3584" i="5"/>
  <c r="H3584" i="5"/>
  <c r="G3584" i="5"/>
  <c r="B2233" i="5"/>
  <c r="A2233" i="5"/>
  <c r="H2233" i="5"/>
  <c r="G2233" i="5"/>
  <c r="B82" i="5"/>
  <c r="A82" i="5"/>
  <c r="H82" i="5"/>
  <c r="G82" i="5"/>
  <c r="A3826" i="5"/>
  <c r="B3826" i="5"/>
  <c r="H3826" i="5"/>
  <c r="G3826" i="5"/>
  <c r="B2179" i="5"/>
  <c r="A2179" i="5"/>
  <c r="B28" i="5"/>
  <c r="B2692" i="5"/>
  <c r="A2692" i="5"/>
  <c r="G2692" i="5"/>
  <c r="H2692" i="5"/>
  <c r="B4358" i="5"/>
  <c r="A4358" i="5"/>
  <c r="H4358" i="5"/>
  <c r="G4358" i="5"/>
  <c r="B3709" i="5"/>
  <c r="G4375" i="5"/>
  <c r="B2377" i="5"/>
  <c r="A2377" i="5"/>
  <c r="H2377" i="5"/>
  <c r="A2548" i="5"/>
  <c r="H2548" i="5"/>
  <c r="G2548" i="5"/>
  <c r="B3026" i="5"/>
  <c r="A3026" i="5"/>
  <c r="H3026" i="5"/>
  <c r="G3026" i="5"/>
  <c r="A1379" i="5"/>
  <c r="B1379" i="5"/>
  <c r="G1379" i="5"/>
  <c r="H1379" i="5"/>
  <c r="B3800" i="5"/>
  <c r="A3800" i="5"/>
  <c r="H3800" i="5"/>
  <c r="G3800" i="5"/>
  <c r="B1856" i="5"/>
  <c r="A1856" i="5"/>
  <c r="G2126" i="5"/>
  <c r="H2126" i="5"/>
  <c r="A848" i="5"/>
  <c r="B848" i="5"/>
  <c r="H848" i="5"/>
  <c r="G848" i="5"/>
  <c r="B2801" i="5"/>
  <c r="A2801" i="5"/>
  <c r="H2801" i="5"/>
  <c r="G2801" i="5"/>
  <c r="B541" i="5"/>
  <c r="A541" i="5"/>
  <c r="G541" i="5"/>
  <c r="H541" i="5"/>
  <c r="B1819" i="5"/>
  <c r="A1819" i="5"/>
  <c r="H1819" i="5"/>
  <c r="G1819" i="5"/>
  <c r="A236" i="5"/>
  <c r="B236" i="5"/>
  <c r="H236" i="5"/>
  <c r="G236" i="5"/>
  <c r="G2251" i="5"/>
  <c r="G3116" i="5"/>
  <c r="A4178" i="5"/>
  <c r="B4178" i="5"/>
  <c r="H4178" i="5"/>
  <c r="G4178" i="5"/>
  <c r="A3071" i="5"/>
  <c r="G3071" i="5"/>
  <c r="H3071" i="5"/>
  <c r="B3098" i="5"/>
  <c r="A3098" i="5"/>
  <c r="H3098" i="5"/>
  <c r="G3098" i="5"/>
  <c r="B218" i="5"/>
  <c r="A218" i="5"/>
  <c r="H218" i="5"/>
  <c r="G218" i="5"/>
  <c r="B3350" i="5"/>
  <c r="A3350" i="5"/>
  <c r="H3350" i="5"/>
  <c r="G3350" i="5"/>
  <c r="B2432" i="5"/>
  <c r="A2432" i="5"/>
  <c r="G2432" i="5"/>
  <c r="H2432" i="5"/>
  <c r="B1261" i="5"/>
  <c r="A1261" i="5"/>
  <c r="H1261" i="5"/>
  <c r="G1261" i="5"/>
  <c r="G2999" i="5"/>
  <c r="B3638" i="5"/>
  <c r="A3638" i="5"/>
  <c r="G3638" i="5"/>
  <c r="H3638" i="5"/>
  <c r="B1244" i="5"/>
  <c r="A1244" i="5"/>
  <c r="G1244" i="5"/>
  <c r="H1244" i="5"/>
  <c r="B1595" i="5"/>
  <c r="A1595" i="5"/>
  <c r="H1595" i="5"/>
  <c r="G1595" i="5"/>
  <c r="A2270" i="5"/>
  <c r="B2270" i="5"/>
  <c r="G2270" i="5"/>
  <c r="H2270" i="5"/>
  <c r="B506" i="5"/>
  <c r="A506" i="5"/>
  <c r="H506" i="5"/>
  <c r="G506" i="5"/>
  <c r="B3260" i="5"/>
  <c r="A3260" i="5"/>
  <c r="H3260" i="5"/>
  <c r="G3260" i="5"/>
  <c r="B3611" i="5"/>
  <c r="A3611" i="5"/>
  <c r="H3611" i="5"/>
  <c r="G3611" i="5"/>
  <c r="B1081" i="5"/>
  <c r="A1081" i="5"/>
  <c r="H1081" i="5"/>
  <c r="G1081" i="5"/>
  <c r="A4106" i="5"/>
  <c r="B4106" i="5"/>
  <c r="G4106" i="5"/>
  <c r="H4106" i="5"/>
  <c r="B1775" i="5"/>
  <c r="A1775" i="5"/>
  <c r="H1775" i="5"/>
  <c r="G1775" i="5"/>
  <c r="A3710" i="5"/>
  <c r="B3305" i="5"/>
  <c r="A3305" i="5"/>
  <c r="H3305" i="5"/>
  <c r="G3305" i="5"/>
  <c r="B1343" i="5"/>
  <c r="B3863" i="5"/>
  <c r="A3863" i="5"/>
  <c r="H3863" i="5"/>
  <c r="G3863" i="5"/>
  <c r="B2657" i="5"/>
  <c r="A2657" i="5"/>
  <c r="H2657" i="5"/>
  <c r="G2657" i="5"/>
  <c r="B3817" i="5"/>
  <c r="A3817" i="5"/>
  <c r="H3817" i="5"/>
  <c r="G3817" i="5"/>
  <c r="H1054" i="5"/>
  <c r="G1054" i="5"/>
  <c r="B685" i="5"/>
  <c r="A685" i="5"/>
  <c r="G685" i="5"/>
  <c r="H685" i="5"/>
  <c r="A3790" i="5"/>
  <c r="B3790" i="5"/>
  <c r="B2197" i="5"/>
  <c r="A2197" i="5"/>
  <c r="H2197" i="5"/>
  <c r="G2197" i="5"/>
  <c r="B901" i="5"/>
  <c r="A901" i="5"/>
  <c r="G901" i="5"/>
  <c r="H901" i="5"/>
  <c r="B415" i="5"/>
  <c r="A415" i="5"/>
  <c r="H415" i="5"/>
  <c r="G415" i="5"/>
  <c r="A2422" i="5"/>
  <c r="B2422" i="5"/>
  <c r="G2422" i="5"/>
  <c r="H2422" i="5"/>
  <c r="B3997" i="5"/>
  <c r="B1405" i="5"/>
  <c r="A1405" i="5"/>
  <c r="H1405" i="5"/>
  <c r="G1405" i="5"/>
  <c r="B2404" i="5"/>
  <c r="B542" i="5"/>
  <c r="A542" i="5"/>
  <c r="H542" i="5"/>
  <c r="G542" i="5"/>
  <c r="B2764" i="5"/>
  <c r="H2764" i="5"/>
  <c r="G2764" i="5"/>
  <c r="B3970" i="5"/>
  <c r="A3970" i="5"/>
  <c r="H3970" i="5"/>
  <c r="G3970" i="5"/>
  <c r="A1262" i="5"/>
  <c r="B3295" i="5"/>
  <c r="A3295" i="5"/>
  <c r="H3295" i="5"/>
  <c r="G3295" i="5"/>
  <c r="B4321" i="5"/>
  <c r="A4321" i="5"/>
  <c r="H4321" i="5"/>
  <c r="G4321" i="5"/>
  <c r="B2998" i="5"/>
  <c r="A2998" i="5"/>
  <c r="B3241" i="5"/>
  <c r="B11" i="5"/>
  <c r="A11" i="5"/>
  <c r="H11" i="5"/>
  <c r="G11" i="5"/>
  <c r="G1594" i="5"/>
  <c r="B2269" i="5"/>
  <c r="A2269" i="5"/>
  <c r="H2269" i="5"/>
  <c r="G2269" i="5"/>
  <c r="B4142" i="5"/>
  <c r="A4142" i="5"/>
  <c r="G4142" i="5"/>
  <c r="H4142" i="5"/>
  <c r="B505" i="5"/>
  <c r="A505" i="5"/>
  <c r="G505" i="5"/>
  <c r="H505" i="5"/>
  <c r="B3259" i="5"/>
  <c r="A3259" i="5"/>
  <c r="H3259" i="5"/>
  <c r="G3259" i="5"/>
  <c r="B3610" i="5"/>
  <c r="A3610" i="5"/>
  <c r="H3610" i="5"/>
  <c r="G3610" i="5"/>
  <c r="B1271" i="5"/>
  <c r="A1271" i="5"/>
  <c r="H1271" i="5"/>
  <c r="G1271" i="5"/>
  <c r="A1082" i="5"/>
  <c r="B1082" i="5"/>
  <c r="H1082" i="5"/>
  <c r="G1082" i="5"/>
  <c r="B3656" i="5"/>
  <c r="A3656" i="5"/>
  <c r="G3656" i="5"/>
  <c r="H3656" i="5"/>
  <c r="G2881" i="5"/>
  <c r="H1685" i="5"/>
  <c r="B3511" i="5"/>
  <c r="A3511" i="5"/>
  <c r="H3511" i="5"/>
  <c r="G3511" i="5"/>
  <c r="A3385" i="5"/>
  <c r="A371" i="5"/>
  <c r="H371" i="5"/>
  <c r="B3952" i="5"/>
  <c r="G3952" i="5"/>
  <c r="H3952" i="5"/>
  <c r="B3601" i="5"/>
  <c r="A3601" i="5"/>
  <c r="H3601" i="5"/>
  <c r="G3601" i="5"/>
  <c r="A1478" i="5"/>
  <c r="B1478" i="5"/>
  <c r="H1478" i="5"/>
  <c r="G1478" i="5"/>
  <c r="B1793" i="5"/>
  <c r="A1793" i="5"/>
  <c r="H1793" i="5"/>
  <c r="G1793" i="5"/>
  <c r="A3062" i="5"/>
  <c r="B3062" i="5"/>
  <c r="G3062" i="5"/>
  <c r="H3062" i="5"/>
  <c r="B902" i="5"/>
  <c r="A902" i="5"/>
  <c r="H902" i="5"/>
  <c r="G902" i="5"/>
  <c r="B2423" i="5"/>
  <c r="A2423" i="5"/>
  <c r="H2423" i="5"/>
  <c r="G2423" i="5"/>
  <c r="B578" i="5"/>
  <c r="A578" i="5"/>
  <c r="H578" i="5"/>
  <c r="G578" i="5"/>
  <c r="G1468" i="5"/>
  <c r="A938" i="5"/>
  <c r="B938" i="5"/>
  <c r="H938" i="5"/>
  <c r="G938" i="5"/>
  <c r="B3728" i="5"/>
  <c r="A3728" i="5"/>
  <c r="H3728" i="5"/>
  <c r="G3728" i="5"/>
  <c r="B928" i="5"/>
  <c r="A928" i="5"/>
  <c r="G928" i="5"/>
  <c r="H928" i="5"/>
  <c r="B2494" i="5"/>
  <c r="A2494" i="5"/>
  <c r="H2494" i="5"/>
  <c r="G2494" i="5"/>
  <c r="B1477" i="5"/>
  <c r="A1477" i="5"/>
  <c r="H1477" i="5"/>
  <c r="G1477" i="5"/>
  <c r="B4213" i="5"/>
  <c r="A4213" i="5"/>
  <c r="H4213" i="5"/>
  <c r="G4213" i="5"/>
  <c r="B1792" i="5"/>
  <c r="A1792" i="5"/>
  <c r="H1792" i="5"/>
  <c r="G1792" i="5"/>
  <c r="B649" i="5"/>
  <c r="A649" i="5"/>
  <c r="G649" i="5"/>
  <c r="H649" i="5"/>
  <c r="B703" i="5"/>
  <c r="A703" i="5"/>
  <c r="H703" i="5"/>
  <c r="G703" i="5"/>
  <c r="B3061" i="5"/>
  <c r="A3061" i="5"/>
  <c r="H3061" i="5"/>
  <c r="G3061" i="5"/>
  <c r="A2593" i="5"/>
  <c r="G2593" i="5"/>
  <c r="H2593" i="5"/>
  <c r="B2161" i="5"/>
  <c r="A2161" i="5"/>
  <c r="H2161" i="5"/>
  <c r="G2161" i="5"/>
  <c r="B1396" i="5"/>
  <c r="A1396" i="5"/>
  <c r="G1396" i="5"/>
  <c r="H1396" i="5"/>
  <c r="B3745" i="5"/>
  <c r="A3745" i="5"/>
  <c r="H3745" i="5"/>
  <c r="G3745" i="5"/>
  <c r="B3682" i="5"/>
  <c r="A3682" i="5"/>
  <c r="G3682" i="5"/>
  <c r="H3682" i="5"/>
  <c r="B4061" i="5"/>
  <c r="A4061" i="5"/>
  <c r="B4447" i="5"/>
  <c r="A4447" i="5"/>
  <c r="H4447" i="5"/>
  <c r="G4447" i="5"/>
  <c r="A1046" i="5"/>
  <c r="B1046" i="5"/>
  <c r="H1046" i="5"/>
  <c r="G1046" i="5"/>
  <c r="B3025" i="5"/>
  <c r="A3025" i="5"/>
  <c r="H3025" i="5"/>
  <c r="G3025" i="5"/>
  <c r="B1378" i="5"/>
  <c r="H1378" i="5"/>
  <c r="G1378" i="5"/>
  <c r="B3799" i="5"/>
  <c r="A3799" i="5"/>
  <c r="H3799" i="5"/>
  <c r="G3799" i="5"/>
  <c r="B2125" i="5"/>
  <c r="A2125" i="5"/>
  <c r="H2125" i="5"/>
  <c r="G2125" i="5"/>
  <c r="B847" i="5"/>
  <c r="A847" i="5"/>
  <c r="H847" i="5"/>
  <c r="G847" i="5"/>
  <c r="B2800" i="5"/>
  <c r="A2800" i="5"/>
  <c r="H2800" i="5"/>
  <c r="G2800" i="5"/>
  <c r="B235" i="5"/>
  <c r="A235" i="5"/>
  <c r="H235" i="5"/>
  <c r="G235" i="5"/>
  <c r="B316" i="5"/>
  <c r="A316" i="5"/>
  <c r="G316" i="5"/>
  <c r="H316" i="5"/>
  <c r="A4177" i="5"/>
  <c r="H4177" i="5"/>
  <c r="G4177" i="5"/>
  <c r="G3097" i="5"/>
  <c r="G343" i="5"/>
  <c r="B217" i="5"/>
  <c r="A217" i="5"/>
  <c r="G217" i="5"/>
  <c r="H217" i="5"/>
  <c r="B2431" i="5"/>
  <c r="A2431" i="5"/>
  <c r="H2431" i="5"/>
  <c r="G2431" i="5"/>
  <c r="B3872" i="5"/>
  <c r="B2836" i="5"/>
  <c r="A2836" i="5"/>
  <c r="H2836" i="5"/>
  <c r="G2836" i="5"/>
  <c r="B3520" i="5"/>
  <c r="B1577" i="5"/>
  <c r="A1577" i="5"/>
  <c r="H1577" i="5"/>
  <c r="A2927" i="5"/>
  <c r="H2927" i="5"/>
  <c r="B4457" i="5"/>
  <c r="A3854" i="5"/>
  <c r="B3854" i="5"/>
  <c r="G3854" i="5"/>
  <c r="H3854" i="5"/>
  <c r="B1558" i="5"/>
  <c r="A1558" i="5"/>
  <c r="H1558" i="5"/>
  <c r="G1558" i="5"/>
  <c r="B3035" i="5"/>
  <c r="H3035" i="5"/>
  <c r="B1342" i="5"/>
  <c r="A1342" i="5"/>
  <c r="G1342" i="5"/>
  <c r="H1342" i="5"/>
  <c r="A3862" i="5"/>
  <c r="B3862" i="5"/>
  <c r="H3862" i="5"/>
  <c r="G3862" i="5"/>
  <c r="B2656" i="5"/>
  <c r="A2656" i="5"/>
  <c r="G2656" i="5"/>
  <c r="H2656" i="5"/>
  <c r="G3161" i="5"/>
  <c r="G3691" i="5"/>
  <c r="E3691" i="5"/>
  <c r="B4115" i="5"/>
  <c r="F4115" i="5"/>
  <c r="G1702" i="5"/>
  <c r="E1702" i="5"/>
  <c r="B181" i="5"/>
  <c r="E181" i="5"/>
  <c r="B2062" i="5"/>
  <c r="E2062" i="5"/>
  <c r="B3224" i="5"/>
  <c r="F3224" i="5"/>
  <c r="B3476" i="5"/>
  <c r="F3476" i="5"/>
  <c r="B470" i="5"/>
  <c r="F470" i="5"/>
  <c r="G272" i="5"/>
  <c r="F272" i="5"/>
  <c r="B1450" i="5"/>
  <c r="E1450" i="5"/>
  <c r="H1162" i="5"/>
  <c r="H3007" i="5"/>
  <c r="G2647" i="5"/>
  <c r="E2647" i="5"/>
  <c r="G1981" i="5"/>
  <c r="E1981" i="5"/>
  <c r="G326" i="5"/>
  <c r="F326" i="5"/>
  <c r="N54" i="8"/>
  <c r="B4177" i="5"/>
  <c r="B1162" i="5"/>
  <c r="H1594" i="5"/>
  <c r="G3871" i="5"/>
  <c r="G3935" i="5"/>
  <c r="G1127" i="5"/>
  <c r="H424" i="5"/>
  <c r="G4069" i="5"/>
  <c r="B37" i="5"/>
  <c r="G875" i="5"/>
  <c r="A1586" i="5"/>
  <c r="G1712" i="5"/>
  <c r="A4088" i="5"/>
  <c r="H4168" i="5"/>
  <c r="A704" i="5"/>
  <c r="B2485" i="5"/>
  <c r="H3529" i="5"/>
  <c r="G748" i="5"/>
  <c r="B397" i="5"/>
  <c r="B3007" i="5"/>
  <c r="G1973" i="5"/>
  <c r="N456" i="8"/>
  <c r="M174" i="8"/>
  <c r="M210" i="8"/>
  <c r="M182" i="8"/>
  <c r="M328" i="8"/>
  <c r="M139" i="8"/>
  <c r="M430" i="8"/>
  <c r="A1153" i="5"/>
  <c r="E1153" i="5"/>
  <c r="B695" i="5"/>
  <c r="F695" i="5"/>
  <c r="A1648" i="5"/>
  <c r="E1648" i="5"/>
  <c r="H2819" i="5"/>
  <c r="F2819" i="5"/>
  <c r="B3890" i="5"/>
  <c r="F3890" i="5"/>
  <c r="G4241" i="5"/>
  <c r="F4241" i="5"/>
  <c r="B361" i="5"/>
  <c r="E361" i="5"/>
  <c r="B3044" i="5"/>
  <c r="F3044" i="5"/>
  <c r="B3998" i="5"/>
  <c r="F3998" i="5"/>
  <c r="B298" i="5"/>
  <c r="E298" i="5"/>
  <c r="G4051" i="5"/>
  <c r="E4051" i="5"/>
  <c r="A2782" i="5"/>
  <c r="E2782" i="5"/>
  <c r="B352" i="5"/>
  <c r="E352" i="5"/>
  <c r="A4457" i="5"/>
  <c r="F4457" i="5"/>
  <c r="A3709" i="5"/>
  <c r="E3709" i="5"/>
  <c r="H3394" i="5"/>
  <c r="E3394" i="5"/>
  <c r="A2504" i="5"/>
  <c r="F2504" i="5"/>
  <c r="A1459" i="5"/>
  <c r="E1459" i="5"/>
  <c r="A317" i="5"/>
  <c r="F317" i="5"/>
  <c r="G955" i="5"/>
  <c r="E955" i="5"/>
  <c r="A2449" i="5"/>
  <c r="E2449" i="5"/>
  <c r="H1954" i="5"/>
  <c r="E1954" i="5"/>
  <c r="B3125" i="5"/>
  <c r="F3125" i="5"/>
  <c r="B2188" i="5"/>
  <c r="E2188" i="5"/>
  <c r="M455" i="8"/>
  <c r="B2882" i="5"/>
  <c r="F2882" i="5"/>
  <c r="B3421" i="5"/>
  <c r="E3421" i="5"/>
  <c r="B2557" i="5"/>
  <c r="E2557" i="5"/>
  <c r="H209" i="5"/>
  <c r="F209" i="5"/>
  <c r="B2225" i="5"/>
  <c r="F2225" i="5"/>
  <c r="A3007" i="5"/>
  <c r="H2261" i="5"/>
  <c r="A1910" i="5"/>
  <c r="H2981" i="5"/>
  <c r="F2981" i="5"/>
  <c r="A3872" i="5"/>
  <c r="F3872" i="5"/>
  <c r="A3475" i="5"/>
  <c r="G2710" i="5"/>
  <c r="A1594" i="5"/>
  <c r="H3871" i="5"/>
  <c r="A3935" i="5"/>
  <c r="G2711" i="5"/>
  <c r="G424" i="5"/>
  <c r="H875" i="5"/>
  <c r="A3529" i="5"/>
  <c r="A748" i="5"/>
  <c r="H1973" i="5"/>
  <c r="N490" i="8"/>
  <c r="M78" i="8"/>
  <c r="M196" i="8"/>
  <c r="N191" i="8"/>
  <c r="N345" i="8"/>
  <c r="A3035" i="5"/>
  <c r="F3035" i="5"/>
  <c r="H2360" i="5"/>
  <c r="F2360" i="5"/>
  <c r="B731" i="5"/>
  <c r="F731" i="5"/>
  <c r="H4402" i="5"/>
  <c r="E4402" i="5"/>
  <c r="B2126" i="5"/>
  <c r="F2126" i="5"/>
  <c r="B3889" i="5"/>
  <c r="E3889" i="5"/>
  <c r="A965" i="5"/>
  <c r="F965" i="5"/>
  <c r="B1855" i="5"/>
  <c r="E1855" i="5"/>
  <c r="H3997" i="5"/>
  <c r="E3997" i="5"/>
  <c r="B3097" i="5"/>
  <c r="E3097" i="5"/>
  <c r="G1774" i="5"/>
  <c r="E1774" i="5"/>
  <c r="A1100" i="5"/>
  <c r="F1100" i="5"/>
  <c r="G3349" i="5"/>
  <c r="E3349" i="5"/>
  <c r="H2341" i="5"/>
  <c r="E2341" i="5"/>
  <c r="B3385" i="5"/>
  <c r="E3385" i="5"/>
  <c r="G676" i="5"/>
  <c r="E676" i="5"/>
  <c r="H1964" i="5"/>
  <c r="F1964" i="5"/>
  <c r="H10" i="5"/>
  <c r="E10" i="5"/>
  <c r="G3241" i="5"/>
  <c r="E3241" i="5"/>
  <c r="G371" i="5"/>
  <c r="F371" i="5"/>
  <c r="B136" i="5"/>
  <c r="E136" i="5"/>
  <c r="B91" i="5"/>
  <c r="E91" i="5"/>
  <c r="G3710" i="5"/>
  <c r="F3710" i="5"/>
  <c r="G3808" i="5"/>
  <c r="E3808" i="5"/>
  <c r="H2854" i="5"/>
  <c r="E2854" i="5"/>
  <c r="H3188" i="5"/>
  <c r="F3188" i="5"/>
  <c r="G1424" i="5"/>
  <c r="F1424" i="5"/>
  <c r="G973" i="5"/>
  <c r="E973" i="5"/>
  <c r="H3665" i="5"/>
  <c r="F3665" i="5"/>
  <c r="B1972" i="5"/>
  <c r="G641" i="5"/>
  <c r="F641" i="5"/>
  <c r="H1423" i="5"/>
  <c r="E1423" i="5"/>
  <c r="H2603" i="5"/>
  <c r="F2603" i="5"/>
  <c r="H704" i="5"/>
  <c r="B740" i="5"/>
  <c r="F740" i="5"/>
  <c r="H46" i="5"/>
  <c r="E46" i="5"/>
  <c r="B2567" i="5"/>
  <c r="F2567" i="5"/>
  <c r="H748" i="5"/>
  <c r="B1900" i="5"/>
  <c r="E1900" i="5"/>
  <c r="B3395" i="5"/>
  <c r="F3395" i="5"/>
  <c r="G3943" i="5"/>
  <c r="E3943" i="5"/>
  <c r="A2881" i="5"/>
  <c r="E2881" i="5"/>
  <c r="B4375" i="5"/>
  <c r="E4375" i="5"/>
  <c r="H1981" i="5"/>
  <c r="B1586" i="5"/>
  <c r="H1712" i="5"/>
  <c r="B4088" i="5"/>
  <c r="H2476" i="5"/>
  <c r="G1118" i="5"/>
  <c r="B3475" i="5"/>
  <c r="H2710" i="5"/>
  <c r="A1981" i="5"/>
  <c r="B1594" i="5"/>
  <c r="G2882" i="5"/>
  <c r="A3871" i="5"/>
  <c r="B3935" i="5"/>
  <c r="H2711" i="5"/>
  <c r="G3187" i="5"/>
  <c r="H181" i="5"/>
  <c r="G3124" i="5"/>
  <c r="A424" i="5"/>
  <c r="A875" i="5"/>
  <c r="H1900" i="5"/>
  <c r="A1712" i="5"/>
  <c r="B2495" i="5"/>
  <c r="A1765" i="5"/>
  <c r="B3529" i="5"/>
  <c r="G4150" i="5"/>
  <c r="B748" i="5"/>
  <c r="A2476" i="5"/>
  <c r="H1118" i="5"/>
  <c r="G1847" i="5"/>
  <c r="B3548" i="5"/>
  <c r="N440" i="8"/>
  <c r="M409" i="8"/>
  <c r="N34" i="8"/>
  <c r="N300" i="8"/>
  <c r="N9" i="8"/>
  <c r="G3376" i="5"/>
  <c r="M317" i="8"/>
  <c r="B1784" i="5"/>
  <c r="F1784" i="5"/>
  <c r="A811" i="5"/>
  <c r="E811" i="5"/>
  <c r="B4078" i="5"/>
  <c r="E4078" i="5"/>
  <c r="H407" i="5"/>
  <c r="F407" i="5"/>
  <c r="A910" i="5"/>
  <c r="E910" i="5"/>
  <c r="G2234" i="5"/>
  <c r="F2234" i="5"/>
  <c r="A2962" i="5"/>
  <c r="E2962" i="5"/>
  <c r="B1801" i="5"/>
  <c r="E1801" i="5"/>
  <c r="A3952" i="5"/>
  <c r="E3952" i="5"/>
  <c r="H4169" i="5"/>
  <c r="F4169" i="5"/>
  <c r="A1414" i="5"/>
  <c r="A2575" i="5"/>
  <c r="E2575" i="5"/>
  <c r="B2081" i="5"/>
  <c r="F2081" i="5"/>
  <c r="B1846" i="5"/>
  <c r="H3187" i="5"/>
  <c r="H3124" i="5"/>
  <c r="B424" i="5"/>
  <c r="A2783" i="5"/>
  <c r="B875" i="5"/>
  <c r="A1900" i="5"/>
  <c r="G46" i="5"/>
  <c r="B1712" i="5"/>
  <c r="G4250" i="5"/>
  <c r="B1765" i="5"/>
  <c r="H4150" i="5"/>
  <c r="B1694" i="5"/>
  <c r="A3421" i="5"/>
  <c r="B1118" i="5"/>
  <c r="H821" i="5"/>
  <c r="H1847" i="5"/>
  <c r="N203" i="8"/>
  <c r="N288" i="8"/>
  <c r="M413" i="8"/>
  <c r="N502" i="8"/>
  <c r="M379" i="8"/>
  <c r="N433" i="8"/>
  <c r="G2144" i="5"/>
  <c r="F2144" i="5"/>
  <c r="G425" i="5"/>
  <c r="F425" i="5"/>
  <c r="B3071" i="5"/>
  <c r="F3071" i="5"/>
  <c r="G1072" i="5"/>
  <c r="E1072" i="5"/>
  <c r="B2593" i="5"/>
  <c r="E2593" i="5"/>
  <c r="B1766" i="5"/>
  <c r="F1766" i="5"/>
  <c r="B3971" i="5"/>
  <c r="F3971" i="5"/>
  <c r="A4087" i="5"/>
  <c r="E4087" i="5"/>
  <c r="H1640" i="5"/>
  <c r="F1640" i="5"/>
  <c r="A757" i="5"/>
  <c r="E757" i="5"/>
  <c r="B1567" i="5"/>
  <c r="E1567" i="5"/>
  <c r="G667" i="5"/>
  <c r="E667" i="5"/>
  <c r="B1163" i="5"/>
  <c r="F1163" i="5"/>
  <c r="B3547" i="5"/>
  <c r="E3547" i="5"/>
  <c r="B577" i="5"/>
  <c r="B2710" i="5"/>
  <c r="H2252" i="5"/>
  <c r="B658" i="5"/>
  <c r="A497" i="5"/>
  <c r="B2711" i="5"/>
  <c r="A3187" i="5"/>
  <c r="A1954" i="5"/>
  <c r="A3124" i="5"/>
  <c r="B2783" i="5"/>
  <c r="G4340" i="5"/>
  <c r="A46" i="5"/>
  <c r="H4250" i="5"/>
  <c r="G2108" i="5"/>
  <c r="B4150" i="5"/>
  <c r="A1694" i="5"/>
  <c r="A1118" i="5"/>
  <c r="A821" i="5"/>
  <c r="A1847" i="5"/>
  <c r="M126" i="8"/>
  <c r="N72" i="8"/>
  <c r="N347" i="8"/>
  <c r="N118" i="8"/>
  <c r="B325" i="5"/>
  <c r="E325" i="5"/>
  <c r="A2764" i="5"/>
  <c r="E2764" i="5"/>
  <c r="G3079" i="5"/>
  <c r="E3079" i="5"/>
  <c r="H2063" i="5"/>
  <c r="F2063" i="5"/>
  <c r="H2945" i="5"/>
  <c r="F2945" i="5"/>
  <c r="H3034" i="5"/>
  <c r="E3034" i="5"/>
  <c r="B47" i="5"/>
  <c r="F47" i="5"/>
  <c r="A1901" i="5"/>
  <c r="F1901" i="5"/>
  <c r="A1450" i="5"/>
  <c r="G3395" i="5"/>
  <c r="B1954" i="5"/>
  <c r="B3124" i="5"/>
  <c r="G2827" i="5"/>
  <c r="B1171" i="5"/>
  <c r="G3125" i="5"/>
  <c r="H2224" i="5"/>
  <c r="H4340" i="5"/>
  <c r="G3665" i="5"/>
  <c r="B46" i="5"/>
  <c r="G3646" i="5"/>
  <c r="H2108" i="5"/>
  <c r="A4150" i="5"/>
  <c r="H4474" i="5"/>
  <c r="G1099" i="5"/>
  <c r="B821" i="5"/>
  <c r="B1847" i="5"/>
  <c r="N179" i="8"/>
  <c r="N467" i="8"/>
  <c r="N358" i="8"/>
  <c r="N444" i="8"/>
  <c r="M439" i="8"/>
  <c r="A191" i="5"/>
  <c r="F191" i="5"/>
  <c r="H830" i="5"/>
  <c r="F830" i="5"/>
  <c r="H3818" i="5"/>
  <c r="F3818" i="5"/>
  <c r="H19" i="5"/>
  <c r="E19" i="5"/>
  <c r="B73" i="5"/>
  <c r="B3871" i="5"/>
  <c r="G2981" i="5"/>
  <c r="G2252" i="5"/>
  <c r="G4061" i="5"/>
  <c r="A1171" i="5"/>
  <c r="A4340" i="5"/>
  <c r="H3646" i="5"/>
  <c r="G937" i="5"/>
  <c r="N87" i="8"/>
  <c r="N274" i="8"/>
  <c r="H4276" i="5"/>
  <c r="E4276" i="5"/>
  <c r="B1333" i="5"/>
  <c r="E1333" i="5"/>
  <c r="A622" i="5"/>
  <c r="E622" i="5"/>
  <c r="G1001" i="5"/>
  <c r="F1001" i="5"/>
  <c r="G2458" i="5"/>
  <c r="E2458" i="5"/>
  <c r="A3557" i="5"/>
  <c r="F3557" i="5"/>
  <c r="B3980" i="5"/>
  <c r="F3980" i="5"/>
  <c r="G1162" i="5"/>
  <c r="E1162" i="5"/>
  <c r="H523" i="5"/>
  <c r="E523" i="5"/>
  <c r="G416" i="5"/>
  <c r="F416" i="5"/>
  <c r="H1468" i="5"/>
  <c r="E1468" i="5"/>
  <c r="H1090" i="5"/>
  <c r="E1090" i="5"/>
  <c r="H3935" i="5"/>
  <c r="G1586" i="5"/>
  <c r="B704" i="5"/>
  <c r="A397" i="5"/>
  <c r="A577" i="5"/>
  <c r="A2710" i="5"/>
  <c r="H2882" i="5"/>
  <c r="A2711" i="5"/>
  <c r="H3395" i="5"/>
  <c r="G1343" i="5"/>
  <c r="B3187" i="5"/>
  <c r="A3395" i="5"/>
  <c r="A2981" i="5"/>
  <c r="H1343" i="5"/>
  <c r="A4115" i="5"/>
  <c r="G2179" i="5"/>
  <c r="A2224" i="5"/>
  <c r="H2045" i="5"/>
  <c r="N279" i="8"/>
  <c r="N416" i="8"/>
  <c r="M403" i="8"/>
  <c r="H4061" i="5"/>
  <c r="B2981" i="5"/>
  <c r="A1343" i="5"/>
  <c r="H2179" i="5"/>
  <c r="B362" i="5"/>
  <c r="B4340" i="5"/>
  <c r="B3646" i="5"/>
  <c r="G2045" i="5"/>
  <c r="H326" i="5"/>
  <c r="G2279" i="5"/>
  <c r="B1388" i="5"/>
  <c r="H3008" i="5"/>
  <c r="H937" i="5"/>
  <c r="A1307" i="5"/>
  <c r="M140" i="8"/>
  <c r="G1577" i="5"/>
  <c r="F1577" i="5"/>
  <c r="G3845" i="5"/>
  <c r="F3845" i="5"/>
  <c r="H2441" i="5"/>
  <c r="F2441" i="5"/>
  <c r="G2377" i="5"/>
  <c r="E2377" i="5"/>
  <c r="G2674" i="5"/>
  <c r="E2674" i="5"/>
  <c r="A668" i="5"/>
  <c r="F668" i="5"/>
  <c r="H1955" i="5"/>
  <c r="F1955" i="5"/>
  <c r="H4204" i="5"/>
  <c r="E4204" i="5"/>
  <c r="G640" i="5"/>
  <c r="E640" i="5"/>
  <c r="H2054" i="5"/>
  <c r="F2054" i="5"/>
  <c r="B4141" i="5"/>
  <c r="E4141" i="5"/>
  <c r="H1415" i="5"/>
  <c r="F1415" i="5"/>
  <c r="B1073" i="5"/>
  <c r="F1073" i="5"/>
  <c r="G4303" i="5"/>
  <c r="E4303" i="5"/>
  <c r="B3637" i="5"/>
  <c r="E3637" i="5"/>
  <c r="G694" i="5"/>
  <c r="E694" i="5"/>
  <c r="A775" i="5"/>
  <c r="E775" i="5"/>
  <c r="H613" i="5"/>
  <c r="E613" i="5"/>
  <c r="B3223" i="5"/>
  <c r="E3223" i="5"/>
  <c r="W4" i="3"/>
  <c r="W6" i="3"/>
  <c r="W12" i="3"/>
  <c r="W8" i="3"/>
  <c r="W7" i="3"/>
  <c r="W11" i="3"/>
  <c r="H12" i="8"/>
  <c r="H1027" i="5"/>
  <c r="A1027" i="5"/>
  <c r="M214" i="8"/>
  <c r="N214" i="8"/>
  <c r="B1982" i="5"/>
  <c r="A1982" i="5"/>
  <c r="A4186" i="5"/>
  <c r="H4186" i="5"/>
  <c r="G4186" i="5"/>
  <c r="B623" i="5"/>
  <c r="A623" i="5"/>
  <c r="H623" i="5"/>
  <c r="G623" i="5"/>
  <c r="H1351" i="5"/>
  <c r="G1351" i="5"/>
  <c r="B38" i="5"/>
  <c r="A38" i="5"/>
  <c r="G38" i="5"/>
  <c r="H38" i="5"/>
  <c r="B4250" i="5"/>
  <c r="A4250" i="5"/>
  <c r="B3107" i="5"/>
  <c r="A3107" i="5"/>
  <c r="G3107" i="5"/>
  <c r="H3107" i="5"/>
  <c r="B1037" i="5"/>
  <c r="A1037" i="5"/>
  <c r="G1037" i="5"/>
  <c r="H1037" i="5"/>
  <c r="G469" i="5"/>
  <c r="H469" i="5"/>
  <c r="A488" i="5"/>
  <c r="B488" i="5"/>
  <c r="H488" i="5"/>
  <c r="G488" i="5"/>
  <c r="M50" i="8"/>
  <c r="N50" i="8"/>
  <c r="M70" i="8"/>
  <c r="N70" i="8"/>
  <c r="N434" i="8"/>
  <c r="M434" i="8"/>
  <c r="H3115" i="5"/>
  <c r="G3115" i="5"/>
  <c r="B2116" i="5"/>
  <c r="A2116" i="5"/>
  <c r="H2116" i="5"/>
  <c r="G2116" i="5"/>
  <c r="M475" i="8"/>
  <c r="N475" i="8"/>
  <c r="A2368" i="5"/>
  <c r="H2368" i="5"/>
  <c r="G2368" i="5"/>
  <c r="N223" i="8"/>
  <c r="M223" i="8"/>
  <c r="M261" i="8"/>
  <c r="N261" i="8"/>
  <c r="A2882" i="5"/>
  <c r="G740" i="5"/>
  <c r="G118" i="5"/>
  <c r="A326" i="5"/>
  <c r="N468" i="8"/>
  <c r="N130" i="8"/>
  <c r="A1388" i="5"/>
  <c r="H1388" i="5"/>
  <c r="G1388" i="5"/>
  <c r="G1765" i="5"/>
  <c r="H1765" i="5"/>
  <c r="A3008" i="5"/>
  <c r="B3008" i="5"/>
  <c r="B101" i="5"/>
  <c r="A101" i="5"/>
  <c r="H101" i="5"/>
  <c r="G101" i="5"/>
  <c r="B3764" i="5"/>
  <c r="A3764" i="5"/>
  <c r="H3764" i="5"/>
  <c r="G3764" i="5"/>
  <c r="B4105" i="5"/>
  <c r="A4105" i="5"/>
  <c r="H4105" i="5"/>
  <c r="G4105" i="5"/>
  <c r="B3304" i="5"/>
  <c r="A3304" i="5"/>
  <c r="G3304" i="5"/>
  <c r="H3304" i="5"/>
  <c r="B20" i="5"/>
  <c r="A20" i="5"/>
  <c r="H20" i="5"/>
  <c r="G20" i="5"/>
  <c r="G37" i="5"/>
  <c r="H37" i="5"/>
  <c r="G821" i="5"/>
  <c r="B4249" i="5"/>
  <c r="A4249" i="5"/>
  <c r="H4249" i="5"/>
  <c r="B947" i="5"/>
  <c r="A947" i="5"/>
  <c r="H947" i="5"/>
  <c r="G947" i="5"/>
  <c r="B2252" i="5"/>
  <c r="A2252" i="5"/>
  <c r="A73" i="5"/>
  <c r="G73" i="5"/>
  <c r="H73" i="5"/>
  <c r="H3475" i="5"/>
  <c r="G3475" i="5"/>
  <c r="A362" i="5"/>
  <c r="H362" i="5"/>
  <c r="G362" i="5"/>
  <c r="B3043" i="5"/>
  <c r="A3043" i="5"/>
  <c r="H3043" i="5"/>
  <c r="G3043" i="5"/>
  <c r="B299" i="5"/>
  <c r="A299" i="5"/>
  <c r="H299" i="5"/>
  <c r="G299" i="5"/>
  <c r="B739" i="5"/>
  <c r="A739" i="5"/>
  <c r="H739" i="5"/>
  <c r="G739" i="5"/>
  <c r="B1099" i="5"/>
  <c r="A1099" i="5"/>
  <c r="H1099" i="5"/>
  <c r="G4484" i="5"/>
  <c r="H4484" i="5"/>
  <c r="A2108" i="5"/>
  <c r="B2108" i="5"/>
  <c r="B487" i="5"/>
  <c r="A487" i="5"/>
  <c r="H487" i="5"/>
  <c r="G487" i="5"/>
  <c r="B4168" i="5"/>
  <c r="G4168" i="5"/>
  <c r="A4168" i="5"/>
  <c r="H2783" i="5"/>
  <c r="G2783" i="5"/>
  <c r="A2737" i="5"/>
  <c r="B2737" i="5"/>
  <c r="H2737" i="5"/>
  <c r="G2737" i="5"/>
  <c r="A658" i="5"/>
  <c r="H658" i="5"/>
  <c r="G658" i="5"/>
  <c r="A803" i="5"/>
  <c r="H803" i="5"/>
  <c r="G803" i="5"/>
  <c r="B803" i="5"/>
  <c r="A3242" i="5"/>
  <c r="B3242" i="5"/>
  <c r="H3242" i="5"/>
  <c r="G3242" i="5"/>
  <c r="A4475" i="5"/>
  <c r="B4475" i="5"/>
  <c r="A1973" i="5"/>
  <c r="B1973" i="5"/>
  <c r="A3340" i="5"/>
  <c r="B3340" i="5"/>
  <c r="H3340" i="5"/>
  <c r="G3340" i="5"/>
  <c r="B3314" i="5"/>
  <c r="A3314" i="5"/>
  <c r="B2152" i="5"/>
  <c r="G2152" i="5"/>
  <c r="A2152" i="5"/>
  <c r="H2152" i="5"/>
  <c r="G3916" i="5"/>
  <c r="B3916" i="5"/>
  <c r="A3916" i="5"/>
  <c r="H3916" i="5"/>
  <c r="B560" i="5"/>
  <c r="A560" i="5"/>
  <c r="A3566" i="5"/>
  <c r="H3566" i="5"/>
  <c r="G3566" i="5"/>
  <c r="B3881" i="5"/>
  <c r="A3881" i="5"/>
  <c r="G3881" i="5"/>
  <c r="H3881" i="5"/>
  <c r="B793" i="5"/>
  <c r="A793" i="5"/>
  <c r="G793" i="5"/>
  <c r="H793" i="5"/>
  <c r="B4069" i="5"/>
  <c r="A4069" i="5"/>
  <c r="H4069" i="5"/>
  <c r="B4114" i="5"/>
  <c r="A4114" i="5"/>
  <c r="H4114" i="5"/>
  <c r="G4114" i="5"/>
  <c r="B3268" i="5"/>
  <c r="A3268" i="5"/>
  <c r="G3268" i="5"/>
  <c r="H3268" i="5"/>
  <c r="B631" i="5"/>
  <c r="A631" i="5"/>
  <c r="H631" i="5"/>
  <c r="G631" i="5"/>
  <c r="B460" i="5"/>
  <c r="A460" i="5"/>
  <c r="G460" i="5"/>
  <c r="H460" i="5"/>
  <c r="A3548" i="5"/>
  <c r="G3548" i="5"/>
  <c r="H3548" i="5"/>
  <c r="G577" i="5"/>
  <c r="H577" i="5"/>
  <c r="B1909" i="5"/>
  <c r="A1909" i="5"/>
  <c r="H1909" i="5"/>
  <c r="G1909" i="5"/>
  <c r="B2827" i="5"/>
  <c r="A2827" i="5"/>
  <c r="H2827" i="5"/>
  <c r="G1639" i="5"/>
  <c r="B1639" i="5"/>
  <c r="A1639" i="5"/>
  <c r="H1639" i="5"/>
  <c r="H1694" i="5"/>
  <c r="G1694" i="5"/>
  <c r="M142" i="8"/>
  <c r="N142" i="8"/>
  <c r="B127" i="5"/>
  <c r="A127" i="5"/>
  <c r="H127" i="5"/>
  <c r="G127" i="5"/>
  <c r="B2189" i="5"/>
  <c r="A2189" i="5"/>
  <c r="H2189" i="5"/>
  <c r="G2189" i="5"/>
  <c r="G829" i="5"/>
  <c r="B829" i="5"/>
  <c r="A829" i="5"/>
  <c r="M384" i="8"/>
  <c r="N384" i="8"/>
  <c r="M404" i="8"/>
  <c r="N404" i="8"/>
  <c r="N17" i="8"/>
  <c r="M17" i="8"/>
  <c r="H2369" i="5"/>
  <c r="B2369" i="5"/>
  <c r="A2369" i="5"/>
  <c r="M312" i="8"/>
  <c r="N312" i="8"/>
  <c r="A1055" i="5"/>
  <c r="H1055" i="5"/>
  <c r="G1055" i="5"/>
  <c r="N186" i="8"/>
  <c r="M186" i="8"/>
  <c r="M41" i="8"/>
  <c r="N41" i="8"/>
  <c r="N119" i="8"/>
  <c r="M119" i="8"/>
  <c r="N341" i="8"/>
  <c r="M341" i="8"/>
  <c r="M493" i="8"/>
  <c r="N493" i="8"/>
  <c r="B1180" i="5"/>
  <c r="A1180" i="5"/>
  <c r="H1180" i="5"/>
  <c r="G1180" i="5"/>
  <c r="N451" i="8"/>
  <c r="M451" i="8"/>
  <c r="M51" i="8"/>
  <c r="N51" i="8"/>
  <c r="M111" i="8"/>
  <c r="N111" i="8"/>
  <c r="B3835" i="5"/>
  <c r="A3835" i="5"/>
  <c r="H3835" i="5"/>
  <c r="G3835" i="5"/>
  <c r="N405" i="8"/>
  <c r="M405" i="8"/>
  <c r="M81" i="8"/>
  <c r="N81" i="8"/>
  <c r="G74" i="5"/>
  <c r="A74" i="5"/>
  <c r="A1243" i="5"/>
  <c r="G1243" i="5"/>
  <c r="H2323" i="5"/>
  <c r="G2323" i="5"/>
  <c r="B946" i="5"/>
  <c r="A946" i="5"/>
  <c r="H946" i="5"/>
  <c r="G946" i="5"/>
  <c r="H3790" i="5"/>
  <c r="G3790" i="5"/>
  <c r="B3647" i="5"/>
  <c r="A3647" i="5"/>
  <c r="H3647" i="5"/>
  <c r="G3647" i="5"/>
  <c r="H2855" i="5"/>
  <c r="G2855" i="5"/>
  <c r="G2890" i="5"/>
  <c r="A118" i="5"/>
  <c r="H2647" i="5"/>
  <c r="A3547" i="5"/>
  <c r="H2153" i="5"/>
  <c r="N103" i="8"/>
  <c r="M466" i="8"/>
  <c r="N466" i="8"/>
  <c r="M382" i="8"/>
  <c r="N382" i="8"/>
  <c r="A3530" i="5"/>
  <c r="B3530" i="5"/>
  <c r="G3530" i="5"/>
  <c r="H3530" i="5"/>
  <c r="G226" i="5"/>
  <c r="B766" i="5"/>
  <c r="A766" i="5"/>
  <c r="H766" i="5"/>
  <c r="G766" i="5"/>
  <c r="A1468" i="5"/>
  <c r="H740" i="5"/>
  <c r="H2503" i="5"/>
  <c r="G2557" i="5"/>
  <c r="A740" i="5"/>
  <c r="B118" i="5"/>
  <c r="G2153" i="5"/>
  <c r="M43" i="8"/>
  <c r="B1468" i="5"/>
  <c r="B3557" i="5"/>
  <c r="H2557" i="5"/>
  <c r="H2449" i="5"/>
  <c r="H226" i="5"/>
  <c r="A2153" i="5"/>
  <c r="H3791" i="5"/>
  <c r="G3791" i="5"/>
  <c r="N388" i="8"/>
  <c r="M388" i="8"/>
  <c r="M92" i="8"/>
  <c r="N92" i="8"/>
  <c r="G262" i="5"/>
  <c r="A262" i="5"/>
  <c r="H262" i="5"/>
  <c r="B4313" i="5"/>
  <c r="A4313" i="5"/>
  <c r="G497" i="5"/>
  <c r="H497" i="5"/>
  <c r="A559" i="5"/>
  <c r="H559" i="5"/>
  <c r="G559" i="5"/>
  <c r="N352" i="8"/>
  <c r="M352" i="8"/>
  <c r="B497" i="5"/>
  <c r="G830" i="5"/>
  <c r="G2449" i="5"/>
  <c r="A226" i="5"/>
  <c r="B2153" i="5"/>
  <c r="N20" i="8"/>
  <c r="N13" i="8"/>
  <c r="G3907" i="5"/>
  <c r="H1451" i="5"/>
  <c r="G1451" i="5"/>
  <c r="B1270" i="5"/>
  <c r="G1270" i="5"/>
  <c r="A2738" i="5"/>
  <c r="B2738" i="5"/>
  <c r="G2738" i="5"/>
  <c r="H2738" i="5"/>
  <c r="N150" i="8"/>
  <c r="M150" i="8"/>
  <c r="A3115" i="5"/>
  <c r="H3971" i="5"/>
  <c r="A2557" i="5"/>
  <c r="H416" i="5"/>
  <c r="B2449" i="5"/>
  <c r="B226" i="5"/>
  <c r="N351" i="8"/>
  <c r="H3907" i="5"/>
  <c r="B2594" i="5"/>
  <c r="H2594" i="5"/>
  <c r="M153" i="8"/>
  <c r="N153" i="8"/>
  <c r="H2458" i="5"/>
  <c r="B1181" i="5"/>
  <c r="A1181" i="5"/>
  <c r="G1181" i="5"/>
  <c r="H1181" i="5"/>
  <c r="B4312" i="5"/>
  <c r="A4312" i="5"/>
  <c r="G4312" i="5"/>
  <c r="H4312" i="5"/>
  <c r="B353" i="5"/>
  <c r="A353" i="5"/>
  <c r="H353" i="5"/>
  <c r="G3341" i="5"/>
  <c r="H3341" i="5"/>
  <c r="B3944" i="5"/>
  <c r="A3944" i="5"/>
  <c r="H3944" i="5"/>
  <c r="G3944" i="5"/>
  <c r="N450" i="8"/>
  <c r="M450" i="8"/>
  <c r="B2503" i="5"/>
  <c r="A2503" i="5"/>
  <c r="B2890" i="5"/>
  <c r="A2890" i="5"/>
  <c r="A1163" i="5"/>
  <c r="H1163" i="5"/>
  <c r="G1163" i="5"/>
  <c r="B973" i="5"/>
  <c r="A973" i="5"/>
  <c r="H3547" i="5"/>
  <c r="G3547" i="5"/>
  <c r="A3665" i="5"/>
  <c r="B3665" i="5"/>
  <c r="M108" i="8"/>
  <c r="N108" i="8"/>
  <c r="N407" i="8"/>
  <c r="M407" i="8"/>
  <c r="N162" i="8"/>
  <c r="M162" i="8"/>
  <c r="A3818" i="5"/>
  <c r="B3818" i="5"/>
  <c r="B2818" i="5"/>
  <c r="A2818" i="5"/>
  <c r="H2818" i="5"/>
  <c r="G2818" i="5"/>
  <c r="M419" i="8"/>
  <c r="N419" i="8"/>
  <c r="M21" i="8"/>
  <c r="N21" i="8"/>
  <c r="N112" i="8"/>
  <c r="M112" i="8"/>
  <c r="B1981" i="5"/>
  <c r="B326" i="5"/>
  <c r="G353" i="5"/>
  <c r="G2503" i="5"/>
  <c r="B3115" i="5"/>
  <c r="G4115" i="5"/>
  <c r="G1954" i="5"/>
  <c r="A469" i="5"/>
  <c r="B416" i="5"/>
  <c r="B1351" i="5"/>
  <c r="A3341" i="5"/>
  <c r="B559" i="5"/>
  <c r="A389" i="5"/>
  <c r="M492" i="8"/>
  <c r="N492" i="8"/>
  <c r="A164" i="5"/>
  <c r="G164" i="5"/>
  <c r="A2647" i="5"/>
  <c r="B2647" i="5"/>
  <c r="H3421" i="5"/>
  <c r="G3421" i="5"/>
  <c r="B3376" i="5"/>
  <c r="H3376" i="5"/>
  <c r="A1324" i="5"/>
  <c r="B1324" i="5"/>
  <c r="H1324" i="5"/>
  <c r="G1324" i="5"/>
  <c r="G4474" i="5"/>
  <c r="B4474" i="5"/>
  <c r="A4474" i="5"/>
  <c r="B2080" i="5"/>
  <c r="A2080" i="5"/>
  <c r="G2080" i="5"/>
  <c r="H2080" i="5"/>
  <c r="B3313" i="5"/>
  <c r="A3313" i="5"/>
  <c r="H3313" i="5"/>
  <c r="G3313" i="5"/>
  <c r="A1846" i="5"/>
  <c r="G1846" i="5"/>
  <c r="H1846" i="5"/>
  <c r="N426" i="8"/>
  <c r="M426" i="8"/>
  <c r="B1910" i="5"/>
  <c r="H1910" i="5"/>
  <c r="G1910" i="5"/>
  <c r="B830" i="5"/>
  <c r="A830" i="5"/>
  <c r="N307" i="8"/>
  <c r="M307" i="8"/>
  <c r="N457" i="8"/>
  <c r="M457" i="8"/>
  <c r="N246" i="8"/>
  <c r="M246" i="8"/>
  <c r="N48" i="8"/>
  <c r="M48" i="8"/>
  <c r="B3188" i="5"/>
  <c r="H2890" i="5"/>
  <c r="H973" i="5"/>
  <c r="H118" i="5"/>
  <c r="B2368" i="5"/>
  <c r="H4115" i="5"/>
  <c r="G1333" i="5"/>
  <c r="B469" i="5"/>
  <c r="A416" i="5"/>
  <c r="A1351" i="5"/>
  <c r="B3341" i="5"/>
  <c r="M12" i="8"/>
  <c r="N12" i="8"/>
  <c r="G1153" i="5"/>
  <c r="G137" i="5"/>
  <c r="B1127" i="5"/>
  <c r="G1802" i="5"/>
  <c r="A1802" i="5"/>
  <c r="B1802" i="5"/>
  <c r="H3133" i="5"/>
  <c r="G3133" i="5"/>
  <c r="B1810" i="5"/>
  <c r="H1810" i="5"/>
  <c r="B820" i="5"/>
  <c r="H1612" i="5"/>
  <c r="B1612" i="5"/>
  <c r="B335" i="5"/>
  <c r="A335" i="5"/>
  <c r="G1675" i="5"/>
  <c r="H3205" i="5"/>
  <c r="B3205" i="5"/>
  <c r="G3205" i="5"/>
  <c r="B2576" i="5"/>
  <c r="A2576" i="5"/>
  <c r="A1567" i="5"/>
  <c r="H1567" i="5"/>
  <c r="H4268" i="5"/>
  <c r="A4268" i="5"/>
  <c r="G4268" i="5"/>
  <c r="A686" i="5"/>
  <c r="H686" i="5"/>
  <c r="B4205" i="5"/>
  <c r="H4205" i="5"/>
  <c r="B4187" i="5"/>
  <c r="A4187" i="5"/>
  <c r="H982" i="5"/>
  <c r="G982" i="5"/>
  <c r="G622" i="5"/>
  <c r="H622" i="5"/>
  <c r="M62" i="8"/>
  <c r="N62" i="8"/>
  <c r="B2468" i="5"/>
  <c r="A2468" i="5"/>
  <c r="H191" i="5"/>
  <c r="G191" i="5"/>
  <c r="M359" i="8"/>
  <c r="N359" i="8"/>
  <c r="M154" i="8"/>
  <c r="N154" i="8"/>
  <c r="H4087" i="5"/>
  <c r="G4087" i="5"/>
  <c r="A1063" i="5"/>
  <c r="H1063" i="5"/>
  <c r="N127" i="8"/>
  <c r="M127" i="8"/>
  <c r="M420" i="8"/>
  <c r="N420" i="8"/>
  <c r="A4241" i="5"/>
  <c r="G1685" i="5"/>
  <c r="H3637" i="5"/>
  <c r="H1270" i="5"/>
  <c r="G2782" i="5"/>
  <c r="H2504" i="5"/>
  <c r="G614" i="5"/>
  <c r="A614" i="5"/>
  <c r="H614" i="5"/>
  <c r="A2594" i="5"/>
  <c r="G2594" i="5"/>
  <c r="H164" i="5"/>
  <c r="H3070" i="5"/>
  <c r="B19" i="5"/>
  <c r="A19" i="5"/>
  <c r="G2476" i="5"/>
  <c r="B2476" i="5"/>
  <c r="H4313" i="5"/>
  <c r="G4313" i="5"/>
  <c r="H388" i="5"/>
  <c r="G388" i="5"/>
  <c r="M125" i="8"/>
  <c r="N125" i="8"/>
  <c r="A1423" i="5"/>
  <c r="G1423" i="5"/>
  <c r="A3106" i="5"/>
  <c r="H3106" i="5"/>
  <c r="A1036" i="5"/>
  <c r="H1036" i="5"/>
  <c r="B1901" i="5"/>
  <c r="G1901" i="5"/>
  <c r="H1901" i="5"/>
  <c r="B227" i="5"/>
  <c r="H227" i="5"/>
  <c r="A227" i="5"/>
  <c r="A470" i="5"/>
  <c r="G470" i="5"/>
  <c r="H272" i="5"/>
  <c r="N424" i="8"/>
  <c r="M424" i="8"/>
  <c r="A2558" i="5"/>
  <c r="H2558" i="5"/>
  <c r="G2558" i="5"/>
  <c r="B2558" i="5"/>
  <c r="G1028" i="5"/>
  <c r="H1441" i="5"/>
  <c r="G1441" i="5"/>
  <c r="B1109" i="5"/>
  <c r="A1109" i="5"/>
  <c r="B3556" i="5"/>
  <c r="G3556" i="5"/>
  <c r="A3556" i="5"/>
  <c r="G767" i="5"/>
  <c r="B767" i="5"/>
  <c r="A767" i="5"/>
  <c r="A155" i="5"/>
  <c r="H155" i="5"/>
  <c r="G3692" i="5"/>
  <c r="A2081" i="5"/>
  <c r="H2081" i="5"/>
  <c r="G2081" i="5"/>
  <c r="H2278" i="5"/>
  <c r="B3701" i="5"/>
  <c r="A3701" i="5"/>
  <c r="M320" i="8"/>
  <c r="N320" i="8"/>
  <c r="H1469" i="5"/>
  <c r="G1469" i="5"/>
  <c r="B2891" i="5"/>
  <c r="A2891" i="5"/>
  <c r="H2891" i="5"/>
  <c r="A2450" i="5"/>
  <c r="B2450" i="5"/>
  <c r="G2450" i="5"/>
  <c r="H2450" i="5"/>
  <c r="B1955" i="5"/>
  <c r="A1955" i="5"/>
  <c r="G1955" i="5"/>
  <c r="B794" i="5"/>
  <c r="G794" i="5"/>
  <c r="G1990" i="5"/>
  <c r="B1990" i="5"/>
  <c r="A1990" i="5"/>
  <c r="B1604" i="5"/>
  <c r="H1604" i="5"/>
  <c r="A1604" i="5"/>
  <c r="B749" i="5"/>
  <c r="A749" i="5"/>
  <c r="H749" i="5"/>
  <c r="G749" i="5"/>
  <c r="A4204" i="5"/>
  <c r="G4204" i="5"/>
  <c r="B2350" i="5"/>
  <c r="H2350" i="5"/>
  <c r="M397" i="8"/>
  <c r="N397" i="8"/>
  <c r="B2117" i="5"/>
  <c r="G2117" i="5"/>
  <c r="B640" i="5"/>
  <c r="A3197" i="5"/>
  <c r="H3197" i="5"/>
  <c r="B3197" i="5"/>
  <c r="M25" i="8"/>
  <c r="N25" i="8"/>
  <c r="N293" i="8"/>
  <c r="M293" i="8"/>
  <c r="A1108" i="5"/>
  <c r="H1108" i="5"/>
  <c r="B4259" i="5"/>
  <c r="G4259" i="5"/>
  <c r="A4259" i="5"/>
  <c r="M395" i="8"/>
  <c r="N395" i="8"/>
  <c r="H1000" i="5"/>
  <c r="G1000" i="5"/>
  <c r="G3746" i="5"/>
  <c r="B3746" i="5"/>
  <c r="G4132" i="5"/>
  <c r="H4132" i="5"/>
  <c r="M181" i="8"/>
  <c r="N181" i="8"/>
  <c r="M348" i="8"/>
  <c r="N348" i="8"/>
  <c r="N496" i="8"/>
  <c r="M496" i="8"/>
  <c r="M161" i="8"/>
  <c r="N161" i="8"/>
  <c r="M231" i="8"/>
  <c r="N231" i="8"/>
  <c r="M57" i="8"/>
  <c r="N57" i="8"/>
  <c r="M133" i="8"/>
  <c r="N133" i="8"/>
  <c r="B3034" i="5"/>
  <c r="A3034" i="5"/>
  <c r="G3034" i="5"/>
  <c r="M189" i="8"/>
  <c r="N189" i="8"/>
  <c r="B1631" i="5"/>
  <c r="G1631" i="5"/>
  <c r="A56" i="5"/>
  <c r="H56" i="5"/>
  <c r="G56" i="5"/>
  <c r="M80" i="8"/>
  <c r="N80" i="8"/>
  <c r="M336" i="8"/>
  <c r="N336" i="8"/>
  <c r="M152" i="8"/>
  <c r="N152" i="8"/>
  <c r="G3035" i="5"/>
  <c r="B4241" i="5"/>
  <c r="G3701" i="5"/>
  <c r="B371" i="5"/>
  <c r="A1685" i="5"/>
  <c r="B262" i="5"/>
  <c r="A3637" i="5"/>
  <c r="H640" i="5"/>
  <c r="B389" i="5"/>
  <c r="B1451" i="5"/>
  <c r="A3971" i="5"/>
  <c r="G181" i="5"/>
  <c r="G1090" i="5"/>
  <c r="H1648" i="5"/>
  <c r="G3890" i="5"/>
  <c r="G1144" i="5"/>
  <c r="H3556" i="5"/>
  <c r="H128" i="5"/>
  <c r="A3889" i="5"/>
  <c r="H1631" i="5"/>
  <c r="G3394" i="5"/>
  <c r="G1108" i="5"/>
  <c r="H775" i="5"/>
  <c r="G4205" i="5"/>
  <c r="A3205" i="5"/>
  <c r="H1990" i="5"/>
  <c r="G155" i="5"/>
  <c r="B2972" i="5"/>
  <c r="G2972" i="5"/>
  <c r="B1532" i="5"/>
  <c r="A1532" i="5"/>
  <c r="H1532" i="5"/>
  <c r="B74" i="5"/>
  <c r="G757" i="5"/>
  <c r="A2872" i="5"/>
  <c r="H2872" i="5"/>
  <c r="B3538" i="5"/>
  <c r="G3538" i="5"/>
  <c r="A2846" i="5"/>
  <c r="B2846" i="5"/>
  <c r="G2846" i="5"/>
  <c r="H2846" i="5"/>
  <c r="B2351" i="5"/>
  <c r="A2351" i="5"/>
  <c r="G2351" i="5"/>
  <c r="M465" i="8"/>
  <c r="N465" i="8"/>
  <c r="M323" i="8"/>
  <c r="N323" i="8"/>
  <c r="N197" i="8"/>
  <c r="M197" i="8"/>
  <c r="M241" i="8"/>
  <c r="N241" i="8"/>
  <c r="M278" i="8"/>
  <c r="N278" i="8"/>
  <c r="A1270" i="5"/>
  <c r="N267" i="8"/>
  <c r="M267" i="8"/>
  <c r="B2945" i="5"/>
  <c r="A2945" i="5"/>
  <c r="M132" i="8"/>
  <c r="N132" i="8"/>
  <c r="M225" i="8"/>
  <c r="N225" i="8"/>
  <c r="A1766" i="5"/>
  <c r="G1766" i="5"/>
  <c r="H1766" i="5"/>
  <c r="N114" i="8"/>
  <c r="M114" i="8"/>
  <c r="N77" i="8"/>
  <c r="M77" i="8"/>
  <c r="N256" i="8"/>
  <c r="M256" i="8"/>
  <c r="M340" i="8"/>
  <c r="N340" i="8"/>
  <c r="B245" i="5"/>
  <c r="A245" i="5"/>
  <c r="A3044" i="5"/>
  <c r="G389" i="5"/>
  <c r="A1451" i="5"/>
  <c r="B622" i="5"/>
  <c r="H2351" i="5"/>
  <c r="H1450" i="5"/>
  <c r="H3701" i="5"/>
  <c r="B1685" i="5"/>
  <c r="G1450" i="5"/>
  <c r="A640" i="5"/>
  <c r="H74" i="5"/>
  <c r="G91" i="5"/>
  <c r="H1333" i="5"/>
  <c r="G2891" i="5"/>
  <c r="A1631" i="5"/>
  <c r="G1567" i="5"/>
  <c r="B1108" i="5"/>
  <c r="A4205" i="5"/>
  <c r="B614" i="5"/>
  <c r="B155" i="5"/>
  <c r="G19" i="5"/>
  <c r="G2945" i="5"/>
  <c r="M373" i="8"/>
  <c r="N483" i="8"/>
  <c r="M165" i="8"/>
  <c r="B2819" i="5"/>
  <c r="G2819" i="5"/>
  <c r="G3134" i="5"/>
  <c r="H3134" i="5"/>
  <c r="A3134" i="5"/>
  <c r="B964" i="5"/>
  <c r="A964" i="5"/>
  <c r="G964" i="5"/>
  <c r="A3422" i="5"/>
  <c r="B3422" i="5"/>
  <c r="H3422" i="5"/>
  <c r="G3422" i="5"/>
  <c r="H2782" i="5"/>
  <c r="B2782" i="5"/>
  <c r="B2486" i="5"/>
  <c r="A2486" i="5"/>
  <c r="G2486" i="5"/>
  <c r="A659" i="5"/>
  <c r="H659" i="5"/>
  <c r="M46" i="8"/>
  <c r="N46" i="8"/>
  <c r="G1415" i="5"/>
  <c r="B1415" i="5"/>
  <c r="A1415" i="5"/>
  <c r="H1703" i="5"/>
  <c r="A1703" i="5"/>
  <c r="G1703" i="5"/>
  <c r="G1225" i="5"/>
  <c r="B1225" i="5"/>
  <c r="H1225" i="5"/>
  <c r="A1225" i="5"/>
  <c r="B2053" i="5"/>
  <c r="A2053" i="5"/>
  <c r="G2053" i="5"/>
  <c r="H2053" i="5"/>
  <c r="G775" i="5"/>
  <c r="B775" i="5"/>
  <c r="M71" i="8"/>
  <c r="N71" i="8"/>
  <c r="M287" i="8"/>
  <c r="N287" i="8"/>
  <c r="H137" i="5"/>
  <c r="B191" i="5"/>
  <c r="G2468" i="5"/>
  <c r="H3908" i="5"/>
  <c r="G3908" i="5"/>
  <c r="G2260" i="5"/>
  <c r="H2260" i="5"/>
  <c r="B2260" i="5"/>
  <c r="B2666" i="5"/>
  <c r="H2666" i="5"/>
  <c r="H1100" i="5"/>
  <c r="B1100" i="5"/>
  <c r="A4079" i="5"/>
  <c r="H4079" i="5"/>
  <c r="A676" i="5"/>
  <c r="B676" i="5"/>
  <c r="H676" i="5"/>
  <c r="A1144" i="5"/>
  <c r="H1144" i="5"/>
  <c r="G1882" i="5"/>
  <c r="H4060" i="5"/>
  <c r="M488" i="8"/>
  <c r="N488" i="8"/>
  <c r="A181" i="5"/>
  <c r="H1748" i="5"/>
  <c r="A1748" i="5"/>
  <c r="G1748" i="5"/>
  <c r="B1748" i="5"/>
  <c r="M476" i="8"/>
  <c r="N476" i="8"/>
  <c r="M350" i="8"/>
  <c r="N350" i="8"/>
  <c r="H136" i="5"/>
  <c r="H1126" i="5"/>
  <c r="A1333" i="5"/>
  <c r="B1675" i="5"/>
  <c r="H245" i="5"/>
  <c r="G1612" i="5"/>
  <c r="H964" i="5"/>
  <c r="G1604" i="5"/>
  <c r="B4186" i="5"/>
  <c r="H3097" i="5"/>
  <c r="G136" i="5"/>
  <c r="G1855" i="5"/>
  <c r="G4187" i="5"/>
  <c r="G2062" i="5"/>
  <c r="G2575" i="5"/>
  <c r="B1243" i="5"/>
  <c r="A3070" i="5"/>
  <c r="G352" i="5"/>
  <c r="A1054" i="5"/>
  <c r="A1126" i="5"/>
  <c r="G2063" i="5"/>
  <c r="B137" i="5"/>
  <c r="G3476" i="5"/>
  <c r="A2126" i="5"/>
  <c r="A3223" i="5"/>
  <c r="G2791" i="5"/>
  <c r="G1810" i="5"/>
  <c r="A2341" i="5"/>
  <c r="A1000" i="5"/>
  <c r="H3224" i="5"/>
  <c r="H767" i="5"/>
  <c r="H794" i="5"/>
  <c r="H3692" i="5"/>
  <c r="G2350" i="5"/>
  <c r="G1109" i="5"/>
  <c r="B272" i="5"/>
  <c r="A3808" i="5"/>
  <c r="A1469" i="5"/>
  <c r="A2278" i="5"/>
  <c r="A1612" i="5"/>
  <c r="G1036" i="5"/>
  <c r="N27" i="8"/>
  <c r="M38" i="8"/>
  <c r="M226" i="8"/>
  <c r="M208" i="8"/>
  <c r="G3197" i="5"/>
  <c r="G1648" i="5"/>
  <c r="B1648" i="5"/>
  <c r="A3053" i="5"/>
  <c r="G3053" i="5"/>
  <c r="G290" i="5"/>
  <c r="A290" i="5"/>
  <c r="H290" i="5"/>
  <c r="A2251" i="5"/>
  <c r="H2251" i="5"/>
  <c r="B4367" i="5"/>
  <c r="H4367" i="5"/>
  <c r="G4367" i="5"/>
  <c r="H4483" i="5"/>
  <c r="G4483" i="5"/>
  <c r="B4051" i="5"/>
  <c r="H4051" i="5"/>
  <c r="B2000" i="5"/>
  <c r="G2000" i="5"/>
  <c r="B802" i="5"/>
  <c r="H802" i="5"/>
  <c r="A802" i="5"/>
  <c r="G802" i="5"/>
  <c r="H3709" i="5"/>
  <c r="G3709" i="5"/>
  <c r="M310" i="8"/>
  <c r="N310" i="8"/>
  <c r="N251" i="8"/>
  <c r="M251" i="8"/>
  <c r="B2504" i="5"/>
  <c r="G2504" i="5"/>
  <c r="A1693" i="5"/>
  <c r="H1693" i="5"/>
  <c r="G1693" i="5"/>
  <c r="H4141" i="5"/>
  <c r="G1073" i="5"/>
  <c r="A1073" i="5"/>
  <c r="H1073" i="5"/>
  <c r="B4303" i="5"/>
  <c r="A4303" i="5"/>
  <c r="N344" i="8"/>
  <c r="M344" i="8"/>
  <c r="B172" i="5"/>
  <c r="A172" i="5"/>
  <c r="A613" i="5"/>
  <c r="M423" i="8"/>
  <c r="N423" i="8"/>
  <c r="G1126" i="5"/>
  <c r="H1127" i="5"/>
  <c r="A731" i="5"/>
  <c r="G731" i="5"/>
  <c r="H731" i="5"/>
  <c r="G1262" i="5"/>
  <c r="H1262" i="5"/>
  <c r="B965" i="5"/>
  <c r="H965" i="5"/>
  <c r="G1865" i="5"/>
  <c r="H1865" i="5"/>
  <c r="G2206" i="5"/>
  <c r="H2206" i="5"/>
  <c r="B3349" i="5"/>
  <c r="A3349" i="5"/>
  <c r="M445" i="8"/>
  <c r="N445" i="8"/>
  <c r="N313" i="8"/>
  <c r="M313" i="8"/>
  <c r="M380" i="8"/>
  <c r="N380" i="8"/>
  <c r="A1226" i="5"/>
  <c r="G1226" i="5"/>
  <c r="H1226" i="5"/>
  <c r="M58" i="8"/>
  <c r="N58" i="8"/>
  <c r="G4169" i="5"/>
  <c r="B4169" i="5"/>
  <c r="A4169" i="5"/>
  <c r="N316" i="8"/>
  <c r="M316" i="8"/>
  <c r="H4187" i="5"/>
  <c r="H1243" i="5"/>
  <c r="A2000" i="5"/>
  <c r="B4204" i="5"/>
  <c r="A3097" i="5"/>
  <c r="H2188" i="5"/>
  <c r="A136" i="5"/>
  <c r="H1855" i="5"/>
  <c r="G298" i="5"/>
  <c r="G172" i="5"/>
  <c r="G3385" i="5"/>
  <c r="A1774" i="5"/>
  <c r="H2062" i="5"/>
  <c r="H2575" i="5"/>
  <c r="H3349" i="5"/>
  <c r="B3070" i="5"/>
  <c r="H352" i="5"/>
  <c r="B1054" i="5"/>
  <c r="B1126" i="5"/>
  <c r="G4060" i="5"/>
  <c r="A2063" i="5"/>
  <c r="H2576" i="5"/>
  <c r="H317" i="5"/>
  <c r="H3476" i="5"/>
  <c r="H3998" i="5"/>
  <c r="H955" i="5"/>
  <c r="H2791" i="5"/>
  <c r="B1000" i="5"/>
  <c r="G3224" i="5"/>
  <c r="A794" i="5"/>
  <c r="A3692" i="5"/>
  <c r="G659" i="5"/>
  <c r="A2350" i="5"/>
  <c r="G613" i="5"/>
  <c r="H4303" i="5"/>
  <c r="H1109" i="5"/>
  <c r="B290" i="5"/>
  <c r="B1469" i="5"/>
  <c r="B2278" i="5"/>
  <c r="B56" i="5"/>
  <c r="B1036" i="5"/>
  <c r="A695" i="5"/>
  <c r="M454" i="8"/>
  <c r="N369" i="8"/>
  <c r="N201" i="8"/>
  <c r="M160" i="8"/>
  <c r="G686" i="5"/>
  <c r="A4051" i="5"/>
  <c r="M291" i="8"/>
  <c r="H1153" i="5"/>
  <c r="B1153" i="5"/>
  <c r="B2297" i="5"/>
  <c r="A2297" i="5"/>
  <c r="G2297" i="5"/>
  <c r="H2297" i="5"/>
  <c r="H3890" i="5"/>
  <c r="H2098" i="5"/>
  <c r="G2098" i="5"/>
  <c r="B2098" i="5"/>
  <c r="A2098" i="5"/>
  <c r="M202" i="8"/>
  <c r="N202" i="8"/>
  <c r="A3394" i="5"/>
  <c r="B3394" i="5"/>
  <c r="A2054" i="5"/>
  <c r="B2054" i="5"/>
  <c r="G2054" i="5"/>
  <c r="G3637" i="5"/>
  <c r="M396" i="8"/>
  <c r="N396" i="8"/>
  <c r="M26" i="8"/>
  <c r="N26" i="8"/>
  <c r="B2251" i="5"/>
  <c r="H1802" i="5"/>
  <c r="G245" i="5"/>
  <c r="A776" i="5"/>
  <c r="B776" i="5"/>
  <c r="B4402" i="5"/>
  <c r="A4402" i="5"/>
  <c r="G4402" i="5"/>
  <c r="A289" i="5"/>
  <c r="H289" i="5"/>
  <c r="B289" i="5"/>
  <c r="G289" i="5"/>
  <c r="B2107" i="5"/>
  <c r="A2107" i="5"/>
  <c r="G2107" i="5"/>
  <c r="B2639" i="5"/>
  <c r="G2639" i="5"/>
  <c r="H2639" i="5"/>
  <c r="B3710" i="5"/>
  <c r="H3710" i="5"/>
  <c r="G3872" i="5"/>
  <c r="H3872" i="5"/>
  <c r="A1216" i="5"/>
  <c r="B1414" i="5"/>
  <c r="H1414" i="5"/>
  <c r="G1414" i="5"/>
  <c r="A3125" i="5"/>
  <c r="H3125" i="5"/>
  <c r="B1702" i="5"/>
  <c r="A1702" i="5"/>
  <c r="H1702" i="5"/>
  <c r="N209" i="8"/>
  <c r="M209" i="8"/>
  <c r="M346" i="8"/>
  <c r="N346" i="8"/>
  <c r="N354" i="8"/>
  <c r="M354" i="8"/>
  <c r="G1972" i="5"/>
  <c r="A1972" i="5"/>
  <c r="H1972" i="5"/>
  <c r="N238" i="8"/>
  <c r="M238" i="8"/>
  <c r="H1774" i="5"/>
  <c r="G3070" i="5"/>
  <c r="H3223" i="5"/>
  <c r="H4259" i="5"/>
  <c r="B1703" i="5"/>
  <c r="B1423" i="5"/>
  <c r="B1424" i="5"/>
  <c r="B3134" i="5"/>
  <c r="B164" i="5"/>
  <c r="A272" i="5"/>
  <c r="H2468" i="5"/>
  <c r="G2278" i="5"/>
  <c r="N200" i="8"/>
  <c r="M244" i="8"/>
  <c r="G2188" i="5"/>
  <c r="A1855" i="5"/>
  <c r="H298" i="5"/>
  <c r="H172" i="5"/>
  <c r="B1774" i="5"/>
  <c r="A3476" i="5"/>
  <c r="B3692" i="5"/>
  <c r="B659" i="5"/>
  <c r="H4241" i="5"/>
  <c r="G4457" i="5"/>
  <c r="G3044" i="5"/>
  <c r="A298" i="5"/>
  <c r="G1027" i="5"/>
  <c r="H3385" i="5"/>
  <c r="A2062" i="5"/>
  <c r="B2575" i="5"/>
  <c r="H3241" i="5"/>
  <c r="H820" i="5"/>
  <c r="A388" i="5"/>
  <c r="B4060" i="5"/>
  <c r="H1982" i="5"/>
  <c r="G4141" i="5"/>
  <c r="A641" i="5"/>
  <c r="B4268" i="5"/>
  <c r="H3557" i="5"/>
  <c r="H1001" i="5"/>
  <c r="G523" i="5"/>
  <c r="A982" i="5"/>
  <c r="A3224" i="5"/>
  <c r="H2117" i="5"/>
  <c r="B4132" i="5"/>
  <c r="H3746" i="5"/>
  <c r="G3106" i="5"/>
  <c r="B1063" i="5"/>
  <c r="A1028" i="5"/>
  <c r="A2260" i="5"/>
  <c r="G227" i="5"/>
  <c r="A4483" i="5"/>
  <c r="B686" i="5"/>
  <c r="H2486" i="5"/>
  <c r="M286" i="8"/>
  <c r="N116" i="8"/>
  <c r="N252" i="8"/>
  <c r="N270" i="8"/>
  <c r="G1964" i="5"/>
  <c r="H695" i="5"/>
  <c r="G695" i="5"/>
  <c r="A3998" i="5"/>
  <c r="G3809" i="5"/>
  <c r="M482" i="8"/>
  <c r="N482" i="8"/>
  <c r="H1729" i="5"/>
  <c r="G1729" i="5"/>
  <c r="B1729" i="5"/>
  <c r="B128" i="5"/>
  <c r="G128" i="5"/>
  <c r="M299" i="8"/>
  <c r="N299" i="8"/>
  <c r="B694" i="5"/>
  <c r="H694" i="5"/>
  <c r="A694" i="5"/>
  <c r="M266" i="8"/>
  <c r="N266" i="8"/>
  <c r="G3223" i="5"/>
  <c r="H2000" i="5"/>
  <c r="B4087" i="5"/>
  <c r="B2360" i="5"/>
  <c r="G2360" i="5"/>
  <c r="A3754" i="5"/>
  <c r="G3754" i="5"/>
  <c r="H3889" i="5"/>
  <c r="G3889" i="5"/>
  <c r="H281" i="5"/>
  <c r="G281" i="5"/>
  <c r="B4366" i="5"/>
  <c r="A4366" i="5"/>
  <c r="G2341" i="5"/>
  <c r="B2341" i="5"/>
  <c r="M498" i="8"/>
  <c r="N498" i="8"/>
  <c r="H3808" i="5"/>
  <c r="B3808" i="5"/>
  <c r="H1091" i="5"/>
  <c r="G1091" i="5"/>
  <c r="A1730" i="5"/>
  <c r="B1730" i="5"/>
  <c r="G1730" i="5"/>
  <c r="A137" i="5"/>
  <c r="A1127" i="5"/>
  <c r="H4457" i="5"/>
  <c r="G3997" i="5"/>
  <c r="A352" i="5"/>
  <c r="G820" i="5"/>
  <c r="A4060" i="5"/>
  <c r="B2063" i="5"/>
  <c r="H641" i="5"/>
  <c r="G3998" i="5"/>
  <c r="G3557" i="5"/>
  <c r="H3053" i="5"/>
  <c r="A4132" i="5"/>
  <c r="B613" i="5"/>
  <c r="G1063" i="5"/>
  <c r="H1028" i="5"/>
  <c r="H3044" i="5"/>
  <c r="A2188" i="5"/>
  <c r="A3241" i="5"/>
  <c r="B1262" i="5"/>
  <c r="A3997" i="5"/>
  <c r="A820" i="5"/>
  <c r="B388" i="5"/>
  <c r="H389" i="5"/>
  <c r="G1982" i="5"/>
  <c r="A4141" i="5"/>
  <c r="G3971" i="5"/>
  <c r="B641" i="5"/>
  <c r="B982" i="5"/>
  <c r="A2117" i="5"/>
  <c r="H470" i="5"/>
  <c r="B3053" i="5"/>
  <c r="A3746" i="5"/>
  <c r="B3106" i="5"/>
  <c r="A4367" i="5"/>
  <c r="B1028" i="5"/>
  <c r="A2360" i="5"/>
  <c r="H776" i="5"/>
  <c r="H1730" i="5"/>
  <c r="B4483" i="5"/>
  <c r="N47" i="8"/>
  <c r="N441" i="8"/>
  <c r="G4304" i="5"/>
  <c r="G3926" i="5"/>
  <c r="H3926" i="5"/>
  <c r="G1315" i="5"/>
  <c r="H1864" i="5"/>
  <c r="G1864" i="5"/>
  <c r="H2018" i="5"/>
  <c r="A2342" i="5"/>
  <c r="H2342" i="5"/>
  <c r="B3719" i="5"/>
  <c r="A3719" i="5"/>
  <c r="G3719" i="5"/>
  <c r="H2027" i="5"/>
  <c r="G2027" i="5"/>
  <c r="H3917" i="5"/>
  <c r="G3917" i="5"/>
  <c r="M166" i="8"/>
  <c r="N166" i="8"/>
  <c r="N176" i="8"/>
  <c r="M176" i="8"/>
  <c r="B2602" i="5"/>
  <c r="A2602" i="5"/>
  <c r="H2602" i="5"/>
  <c r="H1171" i="5"/>
  <c r="G1171" i="5"/>
  <c r="B2261" i="5"/>
  <c r="A2261" i="5"/>
  <c r="G2261" i="5"/>
  <c r="N415" i="8"/>
  <c r="M415" i="8"/>
  <c r="M102" i="8"/>
  <c r="N102" i="8"/>
  <c r="H1307" i="5"/>
  <c r="G1307" i="5"/>
  <c r="M110" i="8"/>
  <c r="N110" i="8"/>
  <c r="M337" i="8"/>
  <c r="N337" i="8"/>
  <c r="H1459" i="5"/>
  <c r="U12" i="3"/>
  <c r="G910" i="5"/>
  <c r="H910" i="5"/>
  <c r="A3376" i="5"/>
  <c r="B910" i="5"/>
  <c r="B1226" i="5"/>
  <c r="G1459" i="5"/>
  <c r="B1459" i="5"/>
  <c r="B2863" i="5"/>
  <c r="A2863" i="5"/>
  <c r="B515" i="5"/>
  <c r="H515" i="5"/>
  <c r="A515" i="5"/>
  <c r="G515" i="5"/>
  <c r="B1090" i="5"/>
  <c r="A1090" i="5"/>
  <c r="A974" i="5"/>
  <c r="B974" i="5"/>
  <c r="H974" i="5"/>
  <c r="G974" i="5"/>
  <c r="A2702" i="5"/>
  <c r="G2702" i="5"/>
  <c r="H2702" i="5"/>
  <c r="A496" i="5"/>
  <c r="H496" i="5"/>
  <c r="B3412" i="5"/>
  <c r="H3412" i="5"/>
  <c r="A3412" i="5"/>
  <c r="B3809" i="5"/>
  <c r="A3809" i="5"/>
  <c r="H3619" i="5"/>
  <c r="A3619" i="5"/>
  <c r="B3619" i="5"/>
  <c r="M69" i="8"/>
  <c r="N69" i="8"/>
  <c r="N364" i="8"/>
  <c r="M364" i="8"/>
  <c r="B209" i="5"/>
  <c r="A209" i="5"/>
  <c r="B1739" i="5"/>
  <c r="A1739" i="5"/>
  <c r="H1739" i="5"/>
  <c r="G1739" i="5"/>
  <c r="B4403" i="5"/>
  <c r="A4403" i="5"/>
  <c r="H4403" i="5"/>
  <c r="G4403" i="5"/>
  <c r="M442" i="8"/>
  <c r="N442" i="8"/>
  <c r="N198" i="8"/>
  <c r="M198" i="8"/>
  <c r="B523" i="5"/>
  <c r="A523" i="5"/>
  <c r="H4267" i="5"/>
  <c r="B4267" i="5"/>
  <c r="A4267" i="5"/>
  <c r="G4267" i="5"/>
  <c r="B4033" i="5"/>
  <c r="A4033" i="5"/>
  <c r="H4033" i="5"/>
  <c r="G4033" i="5"/>
  <c r="M435" i="8"/>
  <c r="N435" i="8"/>
  <c r="H4240" i="5"/>
  <c r="B4240" i="5"/>
  <c r="A4240" i="5"/>
  <c r="G4240" i="5"/>
  <c r="H3179" i="5"/>
  <c r="B3179" i="5"/>
  <c r="A3179" i="5"/>
  <c r="G3179" i="5"/>
  <c r="B2549" i="5"/>
  <c r="A2549" i="5"/>
  <c r="A100" i="5"/>
  <c r="B100" i="5"/>
  <c r="H100" i="5"/>
  <c r="G100" i="5"/>
  <c r="G3196" i="5"/>
  <c r="H3196" i="5"/>
  <c r="H2999" i="5"/>
  <c r="B2999" i="5"/>
  <c r="A2999" i="5"/>
  <c r="B1738" i="5"/>
  <c r="A1738" i="5"/>
  <c r="G1738" i="5"/>
  <c r="B2143" i="5"/>
  <c r="A2143" i="5"/>
  <c r="H2143" i="5"/>
  <c r="G2143" i="5"/>
  <c r="A307" i="5"/>
  <c r="H307" i="5"/>
  <c r="G307" i="5"/>
  <c r="B1892" i="5"/>
  <c r="A1892" i="5"/>
  <c r="G1892" i="5"/>
  <c r="H1892" i="5"/>
  <c r="H4357" i="5"/>
  <c r="G4357" i="5"/>
  <c r="B4357" i="5"/>
  <c r="A4357" i="5"/>
  <c r="B2944" i="5"/>
  <c r="H2944" i="5"/>
  <c r="B2135" i="5"/>
  <c r="H2135" i="5"/>
  <c r="B3467" i="5"/>
  <c r="A3467" i="5"/>
  <c r="H3467" i="5"/>
  <c r="G2017" i="5"/>
  <c r="H2017" i="5"/>
  <c r="A2017" i="5"/>
  <c r="B2017" i="5"/>
  <c r="A1433" i="5"/>
  <c r="H1433" i="5"/>
  <c r="B1433" i="5"/>
  <c r="G1433" i="5"/>
  <c r="A2242" i="5"/>
  <c r="H2242" i="5"/>
  <c r="B2242" i="5"/>
  <c r="G2242" i="5"/>
  <c r="G3287" i="5"/>
  <c r="B1406" i="5"/>
  <c r="A1406" i="5"/>
  <c r="H812" i="5"/>
  <c r="G812" i="5"/>
  <c r="B812" i="5"/>
  <c r="A812" i="5"/>
  <c r="B2099" i="5"/>
  <c r="A2099" i="5"/>
  <c r="G2099" i="5"/>
  <c r="H2099" i="5"/>
  <c r="H3233" i="5"/>
  <c r="G3233" i="5"/>
  <c r="B3233" i="5"/>
  <c r="A3233" i="5"/>
  <c r="H1190" i="5"/>
  <c r="A1190" i="5"/>
  <c r="B550" i="5"/>
  <c r="A550" i="5"/>
  <c r="H550" i="5"/>
  <c r="G550" i="5"/>
  <c r="A3664" i="5"/>
  <c r="G3664" i="5"/>
  <c r="B3664" i="5"/>
  <c r="H3664" i="5"/>
  <c r="G1622" i="5"/>
  <c r="A1622" i="5"/>
  <c r="B406" i="5"/>
  <c r="A406" i="5"/>
  <c r="G406" i="5"/>
  <c r="H406" i="5"/>
  <c r="A3718" i="5"/>
  <c r="B3718" i="5"/>
  <c r="G3718" i="5"/>
  <c r="H3718" i="5"/>
  <c r="B3737" i="5"/>
  <c r="A3737" i="5"/>
  <c r="G3737" i="5"/>
  <c r="H3737" i="5"/>
  <c r="A344" i="5"/>
  <c r="B344" i="5"/>
  <c r="H344" i="5"/>
  <c r="G344" i="5"/>
  <c r="H146" i="5"/>
  <c r="B146" i="5"/>
  <c r="G146" i="5"/>
  <c r="A146" i="5"/>
  <c r="H919" i="5"/>
  <c r="B919" i="5"/>
  <c r="A919" i="5"/>
  <c r="G919" i="5"/>
  <c r="G4456" i="5"/>
  <c r="A4456" i="5"/>
  <c r="G2765" i="5"/>
  <c r="A2765" i="5"/>
  <c r="H2765" i="5"/>
  <c r="B92" i="5"/>
  <c r="H92" i="5"/>
  <c r="M417" i="8"/>
  <c r="N417" i="8"/>
  <c r="H911" i="5"/>
  <c r="G911" i="5"/>
  <c r="N486" i="8"/>
  <c r="M486" i="8"/>
  <c r="G4349" i="5"/>
  <c r="H4349" i="5"/>
  <c r="G2854" i="5"/>
  <c r="G2089" i="5"/>
  <c r="B2089" i="5"/>
  <c r="A2089" i="5"/>
  <c r="H2089" i="5"/>
  <c r="B1361" i="5"/>
  <c r="A1361" i="5"/>
  <c r="H1361" i="5"/>
  <c r="G1361" i="5"/>
  <c r="B1882" i="5"/>
  <c r="H1882" i="5"/>
  <c r="H514" i="5"/>
  <c r="B514" i="5"/>
  <c r="A514" i="5"/>
  <c r="G514" i="5"/>
  <c r="B3332" i="5"/>
  <c r="H3332" i="5"/>
  <c r="G3332" i="5"/>
  <c r="A3332" i="5"/>
  <c r="B1091" i="5"/>
  <c r="A1091" i="5"/>
  <c r="H4133" i="5"/>
  <c r="B2701" i="5"/>
  <c r="A2701" i="5"/>
  <c r="H2701" i="5"/>
  <c r="G2701" i="5"/>
  <c r="B1216" i="5"/>
  <c r="G1216" i="5"/>
  <c r="H1216" i="5"/>
  <c r="H3943" i="5"/>
  <c r="B3943" i="5"/>
  <c r="A3943" i="5"/>
  <c r="N414" i="8"/>
  <c r="M414" i="8"/>
  <c r="B263" i="5"/>
  <c r="A263" i="5"/>
  <c r="G263" i="5"/>
  <c r="N264" i="8"/>
  <c r="M264" i="8"/>
  <c r="H3620" i="5"/>
  <c r="A3620" i="5"/>
  <c r="G3620" i="5"/>
  <c r="M383" i="8"/>
  <c r="N383" i="8"/>
  <c r="M11" i="8"/>
  <c r="N11" i="8"/>
  <c r="G1576" i="5"/>
  <c r="A208" i="5"/>
  <c r="H208" i="5"/>
  <c r="B208" i="5"/>
  <c r="G208" i="5"/>
  <c r="B2881" i="5"/>
  <c r="N175" i="8"/>
  <c r="M175" i="8"/>
  <c r="N375" i="8"/>
  <c r="M375" i="8"/>
  <c r="A524" i="5"/>
  <c r="B524" i="5"/>
  <c r="H524" i="5"/>
  <c r="G524" i="5"/>
  <c r="B2584" i="5"/>
  <c r="A2584" i="5"/>
  <c r="A3386" i="5"/>
  <c r="B3386" i="5"/>
  <c r="H3386" i="5"/>
  <c r="M213" i="8"/>
  <c r="N213" i="8"/>
  <c r="M302" i="8"/>
  <c r="N302" i="8"/>
  <c r="H1630" i="5"/>
  <c r="A1630" i="5"/>
  <c r="G1630" i="5"/>
  <c r="B2467" i="5"/>
  <c r="H2467" i="5"/>
  <c r="G2467" i="5"/>
  <c r="B2963" i="5"/>
  <c r="A2963" i="5"/>
  <c r="H2963" i="5"/>
  <c r="A434" i="5"/>
  <c r="H434" i="5"/>
  <c r="G434" i="5"/>
  <c r="B434" i="5"/>
  <c r="B2899" i="5"/>
  <c r="G2899" i="5"/>
  <c r="A2899" i="5"/>
  <c r="H2899" i="5"/>
  <c r="B2548" i="5"/>
  <c r="A3655" i="5"/>
  <c r="B3655" i="5"/>
  <c r="H3655" i="5"/>
  <c r="G3655" i="5"/>
  <c r="G1253" i="5"/>
  <c r="H1253" i="5"/>
  <c r="B1253" i="5"/>
  <c r="A1253" i="5"/>
  <c r="A308" i="5"/>
  <c r="G308" i="5"/>
  <c r="H308" i="5"/>
  <c r="B4097" i="5"/>
  <c r="A4097" i="5"/>
  <c r="B3836" i="5"/>
  <c r="A3836" i="5"/>
  <c r="H1856" i="5"/>
  <c r="G1856" i="5"/>
  <c r="A2134" i="5"/>
  <c r="B2134" i="5"/>
  <c r="H2134" i="5"/>
  <c r="G2134" i="5"/>
  <c r="A3466" i="5"/>
  <c r="H3466" i="5"/>
  <c r="B3466" i="5"/>
  <c r="G3466" i="5"/>
  <c r="A3484" i="5"/>
  <c r="H3484" i="5"/>
  <c r="M159" i="8"/>
  <c r="N159" i="8"/>
  <c r="H677" i="5"/>
  <c r="G677" i="5"/>
  <c r="A677" i="5"/>
  <c r="G2243" i="5"/>
  <c r="A3286" i="5"/>
  <c r="G3286" i="5"/>
  <c r="B3286" i="5"/>
  <c r="H3286" i="5"/>
  <c r="A3296" i="5"/>
  <c r="H3296" i="5"/>
  <c r="A3232" i="5"/>
  <c r="H3232" i="5"/>
  <c r="B3232" i="5"/>
  <c r="G3232" i="5"/>
  <c r="A1189" i="5"/>
  <c r="B1189" i="5"/>
  <c r="B1711" i="5"/>
  <c r="A1711" i="5"/>
  <c r="G1711" i="5"/>
  <c r="A1541" i="5"/>
  <c r="G1541" i="5"/>
  <c r="H1541" i="5"/>
  <c r="B1621" i="5"/>
  <c r="H1621" i="5"/>
  <c r="A110" i="5"/>
  <c r="H110" i="5"/>
  <c r="B110" i="5"/>
  <c r="H380" i="5"/>
  <c r="G380" i="5"/>
  <c r="B380" i="5"/>
  <c r="A380" i="5"/>
  <c r="B3161" i="5"/>
  <c r="H3161" i="5"/>
  <c r="B3736" i="5"/>
  <c r="B343" i="5"/>
  <c r="A343" i="5"/>
  <c r="A145" i="5"/>
  <c r="B145" i="5"/>
  <c r="G145" i="5"/>
  <c r="A2396" i="5"/>
  <c r="H2396" i="5"/>
  <c r="G2396" i="5"/>
  <c r="B2396" i="5"/>
  <c r="M109" i="8"/>
  <c r="N109" i="8"/>
  <c r="B2405" i="5"/>
  <c r="A2405" i="5"/>
  <c r="H2405" i="5"/>
  <c r="A1145" i="5"/>
  <c r="G1145" i="5"/>
  <c r="B1145" i="5"/>
  <c r="H1145" i="5"/>
  <c r="G29" i="5"/>
  <c r="H29" i="5"/>
  <c r="A29" i="5"/>
  <c r="B3116" i="5"/>
  <c r="A3116" i="5"/>
  <c r="H3116" i="5"/>
  <c r="N366" i="8"/>
  <c r="M366" i="8"/>
  <c r="B4025" i="5"/>
  <c r="A4025" i="5"/>
  <c r="H4025" i="5"/>
  <c r="G4025" i="5"/>
  <c r="N235" i="8"/>
  <c r="M235" i="8"/>
  <c r="M60" i="8"/>
  <c r="N60" i="8"/>
  <c r="G3331" i="5"/>
  <c r="H3331" i="5"/>
  <c r="B3880" i="5"/>
  <c r="G3880" i="5"/>
  <c r="B4348" i="5"/>
  <c r="A4348" i="5"/>
  <c r="G4348" i="5"/>
  <c r="H4348" i="5"/>
  <c r="N406" i="8"/>
  <c r="M406" i="8"/>
  <c r="B280" i="5"/>
  <c r="A280" i="5"/>
  <c r="G280" i="5"/>
  <c r="H280" i="5"/>
  <c r="B713" i="5"/>
  <c r="A713" i="5"/>
  <c r="H713" i="5"/>
  <c r="M49" i="8"/>
  <c r="N49" i="8"/>
  <c r="N258" i="8"/>
  <c r="M258" i="8"/>
  <c r="A595" i="5"/>
  <c r="B595" i="5"/>
  <c r="H595" i="5"/>
  <c r="G595" i="5"/>
  <c r="M459" i="8"/>
  <c r="N459" i="8"/>
  <c r="H1154" i="5"/>
  <c r="A1154" i="5"/>
  <c r="B1154" i="5"/>
  <c r="G1154" i="5"/>
  <c r="M280" i="8"/>
  <c r="N280" i="8"/>
  <c r="B1172" i="5"/>
  <c r="A1172" i="5"/>
  <c r="M204" i="8"/>
  <c r="N204" i="8"/>
  <c r="B784" i="5"/>
  <c r="A784" i="5"/>
  <c r="H784" i="5"/>
  <c r="G784" i="5"/>
  <c r="N487" i="8"/>
  <c r="M487" i="8"/>
  <c r="A2603" i="5"/>
  <c r="G2603" i="5"/>
  <c r="B2603" i="5"/>
  <c r="M135" i="8"/>
  <c r="N135" i="8"/>
  <c r="M250" i="8"/>
  <c r="N250" i="8"/>
  <c r="A1325" i="5"/>
  <c r="G1325" i="5"/>
  <c r="H1325" i="5"/>
  <c r="A173" i="5"/>
  <c r="B173" i="5"/>
  <c r="H173" i="5"/>
  <c r="G173" i="5"/>
  <c r="A1217" i="5"/>
  <c r="B1217" i="5"/>
  <c r="H2009" i="5"/>
  <c r="G2009" i="5"/>
  <c r="B2009" i="5"/>
  <c r="A2009" i="5"/>
  <c r="B461" i="5"/>
  <c r="A461" i="5"/>
  <c r="H461" i="5"/>
  <c r="G461" i="5"/>
  <c r="A4258" i="5"/>
  <c r="H4258" i="5"/>
  <c r="B4258" i="5"/>
  <c r="G4258" i="5"/>
  <c r="G55" i="5"/>
  <c r="B3755" i="5"/>
  <c r="G3755" i="5"/>
  <c r="H3755" i="5"/>
  <c r="A1316" i="5"/>
  <c r="B1316" i="5"/>
  <c r="H1316" i="5"/>
  <c r="G1316" i="5"/>
  <c r="B1549" i="5"/>
  <c r="H1549" i="5"/>
  <c r="A1549" i="5"/>
  <c r="B4096" i="5"/>
  <c r="A4096" i="5"/>
  <c r="H4096" i="5"/>
  <c r="G4096" i="5"/>
  <c r="B2333" i="5"/>
  <c r="A2333" i="5"/>
  <c r="G2333" i="5"/>
  <c r="A1486" i="5"/>
  <c r="B1486" i="5"/>
  <c r="H1486" i="5"/>
  <c r="G1486" i="5"/>
  <c r="H4322" i="5"/>
  <c r="A4322" i="5"/>
  <c r="B4322" i="5"/>
  <c r="G4322" i="5"/>
  <c r="B3431" i="5"/>
  <c r="G3431" i="5"/>
  <c r="H533" i="5"/>
  <c r="G3520" i="5"/>
  <c r="H3520" i="5"/>
  <c r="A3520" i="5"/>
  <c r="H1234" i="5"/>
  <c r="G1234" i="5"/>
  <c r="M90" i="8"/>
  <c r="N90" i="8"/>
  <c r="B1568" i="5"/>
  <c r="H1568" i="5"/>
  <c r="A1568" i="5"/>
  <c r="G1568" i="5"/>
  <c r="B1603" i="5"/>
  <c r="A1603" i="5"/>
  <c r="G1603" i="5"/>
  <c r="B199" i="5"/>
  <c r="G199" i="5"/>
  <c r="A199" i="5"/>
  <c r="H199" i="5"/>
  <c r="B551" i="5"/>
  <c r="H551" i="5"/>
  <c r="A551" i="5"/>
  <c r="G551" i="5"/>
  <c r="B4159" i="5"/>
  <c r="H4159" i="5"/>
  <c r="G4159" i="5"/>
  <c r="A4159" i="5"/>
  <c r="A1540" i="5"/>
  <c r="G1540" i="5"/>
  <c r="G1820" i="5"/>
  <c r="B1820" i="5"/>
  <c r="A109" i="5"/>
  <c r="B109" i="5"/>
  <c r="G109" i="5"/>
  <c r="H109" i="5"/>
  <c r="H379" i="5"/>
  <c r="G379" i="5"/>
  <c r="G3160" i="5"/>
  <c r="B3160" i="5"/>
  <c r="A3160" i="5"/>
  <c r="H3160" i="5"/>
  <c r="B2683" i="5"/>
  <c r="B992" i="5"/>
  <c r="H992" i="5"/>
  <c r="G992" i="5"/>
  <c r="A992" i="5"/>
  <c r="B2395" i="5"/>
  <c r="A2395" i="5"/>
  <c r="H2395" i="5"/>
  <c r="G2395" i="5"/>
  <c r="N222" i="8"/>
  <c r="M222" i="8"/>
  <c r="N234" i="8"/>
  <c r="M234" i="8"/>
  <c r="H2404" i="5"/>
  <c r="G2404" i="5"/>
  <c r="A28" i="5"/>
  <c r="G28" i="5"/>
  <c r="A4394" i="5"/>
  <c r="B4394" i="5"/>
  <c r="G4394" i="5"/>
  <c r="H4394" i="5"/>
  <c r="B3727" i="5"/>
  <c r="A3727" i="5"/>
  <c r="H3727" i="5"/>
  <c r="G3727" i="5"/>
  <c r="B3700" i="5"/>
  <c r="H3700" i="5"/>
  <c r="A3700" i="5"/>
  <c r="G3700" i="5"/>
  <c r="B3565" i="5"/>
  <c r="G3565" i="5"/>
  <c r="B3539" i="5"/>
  <c r="H3539" i="5"/>
  <c r="G3539" i="5"/>
  <c r="A4024" i="5"/>
  <c r="B4024" i="5"/>
  <c r="H4024" i="5"/>
  <c r="G4024" i="5"/>
  <c r="A2090" i="5"/>
  <c r="H2090" i="5"/>
  <c r="B2090" i="5"/>
  <c r="G2090" i="5"/>
  <c r="A605" i="5"/>
  <c r="H605" i="5"/>
  <c r="B605" i="5"/>
  <c r="G605" i="5"/>
  <c r="A1559" i="5"/>
  <c r="G1559" i="5"/>
  <c r="H343" i="5"/>
  <c r="A2404" i="5"/>
  <c r="H1540" i="5"/>
  <c r="G1406" i="5"/>
  <c r="A1882" i="5"/>
  <c r="G2549" i="5"/>
  <c r="H3809" i="5"/>
  <c r="H2584" i="5"/>
  <c r="B2243" i="5"/>
  <c r="B55" i="5"/>
  <c r="A2683" i="5"/>
  <c r="G3619" i="5"/>
  <c r="A3287" i="5"/>
  <c r="H3880" i="5"/>
  <c r="B1693" i="5"/>
  <c r="N249" i="8"/>
  <c r="G4133" i="5"/>
  <c r="A3880" i="5"/>
  <c r="A3161" i="5"/>
  <c r="H1559" i="5"/>
  <c r="B1540" i="5"/>
  <c r="H1406" i="5"/>
  <c r="H2549" i="5"/>
  <c r="G3836" i="5"/>
  <c r="A325" i="5"/>
  <c r="A2467" i="5"/>
  <c r="G2584" i="5"/>
  <c r="H3431" i="5"/>
  <c r="B307" i="5"/>
  <c r="B1559" i="5"/>
  <c r="H263" i="5"/>
  <c r="G3296" i="5"/>
  <c r="A4133" i="5"/>
  <c r="H1622" i="5"/>
  <c r="G1621" i="5"/>
  <c r="A3431" i="5"/>
  <c r="G2944" i="5"/>
  <c r="G2963" i="5"/>
  <c r="G496" i="5"/>
  <c r="H1820" i="5"/>
  <c r="H4456" i="5"/>
  <c r="B3296" i="5"/>
  <c r="B4133" i="5"/>
  <c r="A3331" i="5"/>
  <c r="B1622" i="5"/>
  <c r="B3620" i="5"/>
  <c r="A1621" i="5"/>
  <c r="A3539" i="5"/>
  <c r="A2944" i="5"/>
  <c r="M389" i="8"/>
  <c r="N193" i="8"/>
  <c r="H1711" i="5"/>
  <c r="G3386" i="5"/>
  <c r="G1217" i="5"/>
  <c r="B4456" i="5"/>
  <c r="A1820" i="5"/>
  <c r="G2405" i="5"/>
  <c r="A4349" i="5"/>
  <c r="H1172" i="5"/>
  <c r="B379" i="5"/>
  <c r="A533" i="5"/>
  <c r="H1189" i="5"/>
  <c r="H3736" i="5"/>
  <c r="G713" i="5"/>
  <c r="B1234" i="5"/>
  <c r="B2702" i="5"/>
  <c r="H1576" i="5"/>
  <c r="H1217" i="5"/>
  <c r="G2135" i="5"/>
  <c r="M329" i="8"/>
  <c r="B1541" i="5"/>
  <c r="B496" i="5"/>
  <c r="B2765" i="5"/>
  <c r="G1172" i="5"/>
  <c r="A379" i="5"/>
  <c r="G533" i="5"/>
  <c r="G1189" i="5"/>
  <c r="G3736" i="5"/>
  <c r="A1234" i="5"/>
  <c r="H2333" i="5"/>
  <c r="B3331" i="5"/>
  <c r="G3412" i="5"/>
  <c r="B4349" i="5"/>
  <c r="H28" i="5"/>
  <c r="H145" i="5"/>
  <c r="G3467" i="5"/>
  <c r="B533" i="5"/>
  <c r="A3736" i="5"/>
  <c r="H1738" i="5"/>
  <c r="A1576" i="5"/>
  <c r="G209" i="5"/>
  <c r="G110" i="5"/>
  <c r="B308" i="5"/>
  <c r="A2135" i="5"/>
  <c r="M332" i="8"/>
  <c r="N438" i="8"/>
  <c r="M438" i="8"/>
  <c r="M263" i="8"/>
  <c r="N263" i="8"/>
  <c r="G3323" i="5"/>
  <c r="H3323" i="5"/>
  <c r="M212" i="8"/>
  <c r="N212" i="8"/>
  <c r="B1757" i="5"/>
  <c r="A1757" i="5"/>
  <c r="H1757" i="5"/>
  <c r="G1757" i="5"/>
  <c r="H2936" i="5"/>
  <c r="B398" i="5"/>
  <c r="A398" i="5"/>
  <c r="G1999" i="5"/>
  <c r="B632" i="5"/>
  <c r="A632" i="5"/>
  <c r="H632" i="5"/>
  <c r="A3088" i="5"/>
  <c r="B3088" i="5"/>
  <c r="H3088" i="5"/>
  <c r="B2845" i="5"/>
  <c r="A2845" i="5"/>
  <c r="G2845" i="5"/>
  <c r="G433" i="5"/>
  <c r="H433" i="5"/>
  <c r="H3251" i="5"/>
  <c r="G3251" i="5"/>
  <c r="A4411" i="5"/>
  <c r="H4411" i="5"/>
  <c r="A3052" i="5"/>
  <c r="H3052" i="5"/>
  <c r="B4034" i="5"/>
  <c r="H4034" i="5"/>
  <c r="N232" i="8"/>
  <c r="M232" i="8"/>
  <c r="B2224" i="5"/>
  <c r="G2224" i="5"/>
  <c r="G3052" i="5"/>
  <c r="H2962" i="5"/>
  <c r="G3413" i="5"/>
  <c r="H3413" i="5"/>
  <c r="B730" i="5"/>
  <c r="A730" i="5"/>
  <c r="H2774" i="5"/>
  <c r="G2774" i="5"/>
  <c r="H2971" i="5"/>
  <c r="G2971" i="5"/>
  <c r="G1667" i="5"/>
  <c r="H1667" i="5"/>
  <c r="A1811" i="5"/>
  <c r="H1811" i="5"/>
  <c r="G1811" i="5"/>
  <c r="A2477" i="5"/>
  <c r="H2477" i="5"/>
  <c r="A2693" i="5"/>
  <c r="G2693" i="5"/>
  <c r="B2332" i="5"/>
  <c r="H4277" i="5"/>
  <c r="G4277" i="5"/>
  <c r="G1613" i="5"/>
  <c r="B1613" i="5"/>
  <c r="B334" i="5"/>
  <c r="A334" i="5"/>
  <c r="G334" i="5"/>
  <c r="G1676" i="5"/>
  <c r="H1676" i="5"/>
  <c r="A2459" i="5"/>
  <c r="H2459" i="5"/>
  <c r="A3206" i="5"/>
  <c r="B3206" i="5"/>
  <c r="G3206" i="5"/>
  <c r="H3206" i="5"/>
  <c r="B2170" i="5"/>
  <c r="M177" i="8"/>
  <c r="N177" i="8"/>
  <c r="A271" i="5"/>
  <c r="H271" i="5"/>
  <c r="G271" i="5"/>
  <c r="B1019" i="5"/>
  <c r="A1019" i="5"/>
  <c r="G1019" i="5"/>
  <c r="A3961" i="5"/>
  <c r="H3961" i="5"/>
  <c r="G568" i="5"/>
  <c r="H1828" i="5"/>
  <c r="G1828" i="5"/>
  <c r="M371" i="8"/>
  <c r="N371" i="8"/>
  <c r="H2980" i="5"/>
  <c r="G2980" i="5"/>
  <c r="B2792" i="5"/>
  <c r="A2792" i="5"/>
  <c r="H2792" i="5"/>
  <c r="G2792" i="5"/>
  <c r="B3215" i="5"/>
  <c r="A3215" i="5"/>
  <c r="A3602" i="5"/>
  <c r="B2927" i="5"/>
  <c r="G2927" i="5"/>
  <c r="B3214" i="5"/>
  <c r="H3214" i="5"/>
  <c r="B604" i="5"/>
  <c r="A604" i="5"/>
  <c r="A3322" i="5"/>
  <c r="G3322" i="5"/>
  <c r="B2216" i="5"/>
  <c r="B2935" i="5"/>
  <c r="A2935" i="5"/>
  <c r="H2935" i="5"/>
  <c r="H1279" i="5"/>
  <c r="G1279" i="5"/>
  <c r="B2314" i="5"/>
  <c r="A2314" i="5"/>
  <c r="G2314" i="5"/>
  <c r="G3089" i="5"/>
  <c r="H3089" i="5"/>
  <c r="A1378" i="5"/>
  <c r="A3925" i="5"/>
  <c r="H3925" i="5"/>
  <c r="G3925" i="5"/>
  <c r="H2900" i="5"/>
  <c r="H2296" i="5"/>
  <c r="G2296" i="5"/>
  <c r="H2998" i="5"/>
  <c r="G2998" i="5"/>
  <c r="M370" i="8"/>
  <c r="N370" i="8"/>
  <c r="M141" i="8"/>
  <c r="N141" i="8"/>
  <c r="H4493" i="5"/>
  <c r="G4493" i="5"/>
  <c r="M239" i="8"/>
  <c r="N239" i="8"/>
  <c r="M59" i="8"/>
  <c r="N59" i="8"/>
  <c r="M372" i="8"/>
  <c r="N372" i="8"/>
  <c r="A2495" i="5"/>
  <c r="H2495" i="5"/>
  <c r="G2495" i="5"/>
  <c r="M381" i="8"/>
  <c r="N381" i="8"/>
  <c r="N76" i="8"/>
  <c r="M76" i="8"/>
  <c r="H2225" i="5"/>
  <c r="G2225" i="5"/>
  <c r="M432" i="8"/>
  <c r="N432" i="8"/>
  <c r="A4375" i="5"/>
  <c r="A2972" i="5"/>
  <c r="H2972" i="5"/>
  <c r="A3133" i="5"/>
  <c r="B3133" i="5"/>
  <c r="A3188" i="5"/>
  <c r="G3188" i="5"/>
  <c r="B317" i="5"/>
  <c r="G317" i="5"/>
  <c r="B1640" i="5"/>
  <c r="A1640" i="5"/>
  <c r="G1640" i="5"/>
  <c r="B1001" i="5"/>
  <c r="A1001" i="5"/>
  <c r="G1532" i="5"/>
  <c r="A1810" i="5"/>
  <c r="A1424" i="5"/>
  <c r="H1424" i="5"/>
  <c r="H335" i="5"/>
  <c r="G335" i="5"/>
  <c r="H757" i="5"/>
  <c r="B757" i="5"/>
  <c r="A1675" i="5"/>
  <c r="H1675" i="5"/>
  <c r="B2458" i="5"/>
  <c r="A2458" i="5"/>
  <c r="G2576" i="5"/>
  <c r="A47" i="5"/>
  <c r="G47" i="5"/>
  <c r="H47" i="5"/>
  <c r="B3791" i="5"/>
  <c r="A3791" i="5"/>
  <c r="B667" i="5"/>
  <c r="A667" i="5"/>
  <c r="H667" i="5"/>
  <c r="B1027" i="5"/>
  <c r="B2872" i="5"/>
  <c r="G2872" i="5"/>
  <c r="B3691" i="5"/>
  <c r="A3691" i="5"/>
  <c r="H3691" i="5"/>
  <c r="B955" i="5"/>
  <c r="A955" i="5"/>
  <c r="B2791" i="5"/>
  <c r="A2791" i="5"/>
  <c r="A3538" i="5"/>
  <c r="H3538" i="5"/>
  <c r="B1360" i="5"/>
  <c r="A1801" i="5"/>
  <c r="B3052" i="5"/>
  <c r="G4034" i="5"/>
  <c r="B2962" i="5"/>
  <c r="M187" i="8"/>
  <c r="N236" i="8"/>
  <c r="G2665" i="5"/>
  <c r="H2665" i="5"/>
  <c r="A4034" i="5"/>
  <c r="A3323" i="5"/>
  <c r="G3088" i="5"/>
  <c r="N275" i="8"/>
  <c r="H2234" i="5"/>
  <c r="B3323" i="5"/>
  <c r="H1999" i="5"/>
  <c r="A2665" i="5"/>
  <c r="H2845" i="5"/>
  <c r="A433" i="5"/>
  <c r="B3079" i="5"/>
  <c r="A3079" i="5"/>
  <c r="G4052" i="5"/>
  <c r="H4052" i="5"/>
  <c r="A4052" i="5"/>
  <c r="B4052" i="5"/>
  <c r="G10" i="5"/>
  <c r="A10" i="5"/>
  <c r="B10" i="5"/>
  <c r="A4276" i="5"/>
  <c r="G4276" i="5"/>
  <c r="B4276" i="5"/>
  <c r="B2864" i="5"/>
  <c r="A2864" i="5"/>
  <c r="B4277" i="5"/>
  <c r="A4277" i="5"/>
  <c r="B3845" i="5"/>
  <c r="A3845" i="5"/>
  <c r="G4492" i="5"/>
  <c r="H4492" i="5"/>
  <c r="B4492" i="5"/>
  <c r="A4492" i="5"/>
  <c r="A1441" i="5"/>
  <c r="B1441" i="5"/>
  <c r="A2323" i="5"/>
  <c r="B2323" i="5"/>
  <c r="H1442" i="5"/>
  <c r="B1442" i="5"/>
  <c r="A1442" i="5"/>
  <c r="G1442" i="5"/>
  <c r="B2855" i="5"/>
  <c r="A2855" i="5"/>
  <c r="B3908" i="5"/>
  <c r="A3908" i="5"/>
  <c r="A2206" i="5"/>
  <c r="B2206" i="5"/>
  <c r="B1964" i="5"/>
  <c r="A1964" i="5"/>
  <c r="B1747" i="5"/>
  <c r="A1747" i="5"/>
  <c r="B3196" i="5"/>
  <c r="A3196" i="5"/>
  <c r="H1963" i="5"/>
  <c r="G1963" i="5"/>
  <c r="A1963" i="5"/>
  <c r="B1963" i="5"/>
  <c r="A911" i="5"/>
  <c r="B911" i="5"/>
  <c r="A2854" i="5"/>
  <c r="B2854" i="5"/>
  <c r="A3934" i="5"/>
  <c r="B2144" i="5"/>
  <c r="B3629" i="5"/>
  <c r="A3629" i="5"/>
  <c r="H3377" i="5"/>
  <c r="G3377" i="5"/>
  <c r="B3377" i="5"/>
  <c r="A3377" i="5"/>
  <c r="G3980" i="5"/>
  <c r="A4493" i="5"/>
  <c r="B4493" i="5"/>
  <c r="H2324" i="5"/>
  <c r="G2324" i="5"/>
  <c r="A2324" i="5"/>
  <c r="B2324" i="5"/>
  <c r="B1460" i="5"/>
  <c r="A1460" i="5"/>
  <c r="G1460" i="5"/>
  <c r="H1460" i="5"/>
  <c r="A4160" i="5"/>
  <c r="B4160" i="5"/>
  <c r="G3269" i="5"/>
  <c r="H3269" i="5"/>
  <c r="H3980" i="5"/>
  <c r="H2207" i="5"/>
  <c r="G2207" i="5"/>
  <c r="A2207" i="5"/>
  <c r="B2207" i="5"/>
  <c r="A3269" i="5"/>
  <c r="A3980" i="5"/>
  <c r="G3404" i="5"/>
  <c r="H3404" i="5"/>
  <c r="A3404" i="5"/>
  <c r="B3404" i="5"/>
  <c r="H3844" i="5"/>
  <c r="A3844" i="5"/>
  <c r="B3844" i="5"/>
  <c r="G3844" i="5"/>
  <c r="G3628" i="5"/>
  <c r="H3628" i="5"/>
  <c r="B3628" i="5"/>
  <c r="A3628" i="5"/>
  <c r="G3934" i="5"/>
  <c r="H2567" i="5"/>
  <c r="H361" i="5"/>
  <c r="M104" i="8"/>
  <c r="N104" i="8"/>
  <c r="G1190" i="5"/>
  <c r="H2144" i="5"/>
  <c r="G361" i="5"/>
  <c r="G3403" i="5"/>
  <c r="H3403" i="5"/>
  <c r="B3403" i="5"/>
  <c r="A3403" i="5"/>
  <c r="A2144" i="5"/>
  <c r="G2567" i="5"/>
  <c r="H2440" i="5"/>
  <c r="H3080" i="5"/>
  <c r="G3080" i="5"/>
  <c r="B3080" i="5"/>
  <c r="A3080" i="5"/>
  <c r="B3907" i="5"/>
  <c r="A3907" i="5"/>
  <c r="H3934" i="5"/>
  <c r="B1190" i="5"/>
  <c r="A2567" i="5"/>
  <c r="A361" i="5"/>
  <c r="A2440" i="5"/>
  <c r="N163" i="8"/>
  <c r="M163" i="8"/>
  <c r="F4808" i="5"/>
  <c r="E4808" i="5"/>
  <c r="E4809" i="5"/>
</calcChain>
</file>

<file path=xl/sharedStrings.xml><?xml version="1.0" encoding="utf-8"?>
<sst xmlns="http://schemas.openxmlformats.org/spreadsheetml/2006/main" count="1087" uniqueCount="419">
  <si>
    <t>Libro Diario — Braidy Wonders SAC</t>
  </si>
  <si>
    <t>Plantilla de registro de facturas de compra y venta, con clasificación automática de detracción (SPOT) y generación automática de asientos PCGE.</t>
  </si>
  <si>
    <t>Cómo está armado este archivo</t>
  </si>
  <si>
    <t>• Registro_Compras: una fila por factura de proveedor recibida. Al elegir el "Concepto" (según el catálogo de detracción), el archivo calcula solas la tasa, si aplica detracción, el monto a depositar y el neto a pagar.</t>
  </si>
  <si>
    <t>• Registro_Ventas: una fila por comprobante emitido a un cliente. El caso normal es sin detracción (Braidy Wonders casi siempre es el adquiriente, no el prestador, del servicio sujeto a SPOT) — la columna "¿Sujeto a detracción emitida?" queda en "NO" salvo que el servicio que facturas sea uno de los del catálogo (ej. transporte de personas).</t>
  </si>
  <si>
    <t>• Catalogo_Detracciones: tabla de referencia (Anexo 3 + transporte de carga) de la que se alimentan los menús desplegables y las fórmulas de Registro_Compras/Registro_Ventas. No editar las columnas de tasa/umbral sin confirmar el cambio normativo primero.</t>
  </si>
  <si>
    <t>• Libro_Diario: se genera solo, a partir de Registro_Compras y Registro_Ventas — no se edita a mano. Cada factura de compra con detracción genera 4 asientos (provisión del gasto, destino del gasto, depósito de la detracción, pago del neto); una compra sin detracción genera 3 (se salta el depósito). Cada venta genera el asiento de devengo y, si marcas "¿Cobrado?" = SI, el asiento de cobranza.</t>
  </si>
  <si>
    <t>Qué llenar tú (celdas en azul / con relleno amarillo)</t>
  </si>
  <si>
    <t>En Registro_Compras y Registro_Ventas: todo excepto las columnas de fórmula (tienen fondo blanco normal, texto negro). Las columnas de fórmula no se tocan — se recalculan solas.</t>
  </si>
  <si>
    <t>La fila 4 de Registro_Compras y de Registro_Ventas es un EJEMPLO (fondo verde claro) tomado de la guía de detracciones — bórrala o sobrescríbela con tu primera factura real; ya está incluida en el conteo del Libro_Diario para que veas el resultado completo de un caso real antes de cargar los tuyos.</t>
  </si>
  <si>
    <t>Alcance y limitaciones de esta plantilla</t>
  </si>
  <si>
    <t>• Cubre el lado de compras con y sin detracción (fuente: guía de detracciones consolidada) y el lado de ventas en su forma estándar — el asiento de venta (Debe 12 / Haber 70 y 40111) es la mecánica contable general del PCGE, no vino desglosada con ejemplo numérico en las fuentes que subiste; revísala con tu contador antes de depender de ella para un cierre.</t>
  </si>
  <si>
    <t>• No cubre planilla, activos fijos, ni otras operaciones — quedaron como pendientes en la guía de detracciones (§8).</t>
  </si>
  <si>
    <t>• Es independiente de Facturas_Proveedores.xlsx y de VENTAS 2026.xlsx por ahora (no jala datos de esos archivos) — dijiste que preferías decidir después si conviene conectarlos.</t>
  </si>
  <si>
    <t>• Tiene capacidad para 50 facturas de compra y 50 de venta ya armadas con fórmula. Para más filas: selecciona la última fila de cada bloque (Registro y Libro_Diario) y arrastra/copia las fórmulas hacia abajo — todas están escritas con referencias relativas a su propia fila, así que se extienden solas.</t>
  </si>
  <si>
    <t>Plan de cuentas usado</t>
  </si>
  <si>
    <t>Ver hoja Plan_Cuentas — indica cuáles cuentas vienen confirmadas en las fuentes que subiste y cuáles son la aplicación estándar del PCGE para el lado de ventas (12, 70) que no estaba desarrollada en las fuentes.</t>
  </si>
  <si>
    <t>Catálogo de servicios sujetos a detracción (Anexo 3 SUNAT) — Braidy Wonders SAC</t>
  </si>
  <si>
    <t>Fuente: guía de detracciones consolidada (20.08.2026). No editar tasas/umbrales sin confirmar la norma vigente.</t>
  </si>
  <si>
    <t>Código SUNAT</t>
  </si>
  <si>
    <t>Servicio / Bien</t>
  </si>
  <si>
    <t>Etiqueta (para menú desplegable)</t>
  </si>
  <si>
    <t>Tasa</t>
  </si>
  <si>
    <t>Umbral (moneda de la op.)</t>
  </si>
  <si>
    <t>Rubro típico en Braidy Wonders</t>
  </si>
  <si>
    <t>012</t>
  </si>
  <si>
    <t>Intermediación laboral y tercerización</t>
  </si>
  <si>
    <t>012 - Intermediación laboral y tercerización</t>
  </si>
  <si>
    <t>Limpieza/lavandería tercerizada (alojamiento)</t>
  </si>
  <si>
    <t>019</t>
  </si>
  <si>
    <t>Arrendamiento de bienes muebles e inmuebles</t>
  </si>
  <si>
    <t>019 - Arrendamiento de bienes muebles e inmuebles</t>
  </si>
  <si>
    <t>Alquiler de locales, equipos</t>
  </si>
  <si>
    <t>020</t>
  </si>
  <si>
    <t>Mantenimiento y reparación de bienes muebles</t>
  </si>
  <si>
    <t>020 - Mantenimiento y reparación de bienes muebles</t>
  </si>
  <si>
    <t>Mantenimiento de equipos (alojamiento)</t>
  </si>
  <si>
    <t>021</t>
  </si>
  <si>
    <t>Movimiento de carga</t>
  </si>
  <si>
    <t>021 - Movimiento de carga</t>
  </si>
  <si>
    <t>Logística de equipaje/carga</t>
  </si>
  <si>
    <t>022</t>
  </si>
  <si>
    <t>Otros servicios empresariales (legal, contable, consultoría, publicidad)</t>
  </si>
  <si>
    <t>022 - Otros servicios empresariales (legal, contable, consultoría, publicidad)</t>
  </si>
  <si>
    <t>Asesoría, consultoría, publicidad</t>
  </si>
  <si>
    <t>024</t>
  </si>
  <si>
    <t>Comisión mercantil</t>
  </si>
  <si>
    <t>024 - Comisión mercantil</t>
  </si>
  <si>
    <t>Comisiones de sub-agentes / intermediarios turísticos</t>
  </si>
  <si>
    <t>Fabricación de bienes por encargo</t>
  </si>
  <si>
    <t>Poco frecuente en el giro de Braidy Wonders</t>
  </si>
  <si>
    <t>026</t>
  </si>
  <si>
    <t>Servicio de transporte de personas</t>
  </si>
  <si>
    <t>026 - Servicio de transporte de personas</t>
  </si>
  <si>
    <t>Transporte terrestre de pasajeros (paquetes turísticos)</t>
  </si>
  <si>
    <t>027</t>
  </si>
  <si>
    <t>Transporte de bienes por vía terrestre (carga)</t>
  </si>
  <si>
    <t>027 - Transporte de bienes por vía terrestre (carga)</t>
  </si>
  <si>
    <t>Transporte de carga/equipaje</t>
  </si>
  <si>
    <t>030</t>
  </si>
  <si>
    <t>Contratos de construcción</t>
  </si>
  <si>
    <t>030 - Contratos de construcción</t>
  </si>
  <si>
    <t>Remodelación/reparación inmobiliaria (alojamiento)</t>
  </si>
  <si>
    <t>037</t>
  </si>
  <si>
    <t>Demás servicios gravados con IGV (residual)</t>
  </si>
  <si>
    <t>037 - Demás servicios gravados con IGV (residual)</t>
  </si>
  <si>
    <t>Hoteles/alojamiento local, salud gravada con IGV, servicios sin categoría propia</t>
  </si>
  <si>
    <t>N/A</t>
  </si>
  <si>
    <t>No sujeto a detracción (aéreo regular, salud exonerada de IGV, importación de bienes, etc.)</t>
  </si>
  <si>
    <t>N/A - No sujeto a detracción (aéreo regular, salud exonerada de IGV, importación de bienes, etc.)</t>
  </si>
  <si>
    <t>Boletos aéreos, servicios médicos exonerados, importaciones (aplica percepción, no SPOT)</t>
  </si>
  <si>
    <t>N°</t>
  </si>
  <si>
    <t>Fecha Emisión</t>
  </si>
  <si>
    <t>N° Comprobante</t>
  </si>
  <si>
    <t>RUC Proveedor</t>
  </si>
  <si>
    <t>Proveedor</t>
  </si>
  <si>
    <t>Moneda</t>
  </si>
  <si>
    <t>Valor Venta</t>
  </si>
  <si>
    <t>IGV (18%)</t>
  </si>
  <si>
    <t>Total Factura</t>
  </si>
  <si>
    <t>Cuenta de Gasto (63x)</t>
  </si>
  <si>
    <t>% Detracción</t>
  </si>
  <si>
    <t>Monto Detracción</t>
  </si>
  <si>
    <t>Fecha Depósito Detracción</t>
  </si>
  <si>
    <t>Fecha Pago Neto</t>
  </si>
  <si>
    <t>Estado</t>
  </si>
  <si>
    <t>EJEMPLO</t>
  </si>
  <si>
    <t>Registro de Ventas — Comprobantes Emitidos a Clientes</t>
  </si>
  <si>
    <t>Caso normal: "¿Sujeto a Detracción Emitida?" = NO (Braidy Wonders casi siempre es el adquiriente, no el emisor, de servicios del Anexo 3). Marca SI solo si el servicio que facturas está en el catálogo (ej. transporte de personas).</t>
  </si>
  <si>
    <t>RUC/Doc. Cliente</t>
  </si>
  <si>
    <t>Cliente</t>
  </si>
  <si>
    <t>¿Sujeto a Detracción Emitida?</t>
  </si>
  <si>
    <t>Concepto (si aplica, elige de la lista)</t>
  </si>
  <si>
    <t>Neto a Cobrar</t>
  </si>
  <si>
    <t>¿Cobrado?</t>
  </si>
  <si>
    <t>Fecha de Cobro</t>
  </si>
  <si>
    <t>2026-08-10</t>
  </si>
  <si>
    <t>F001-EJEMPLO</t>
  </si>
  <si>
    <t>10999999999</t>
  </si>
  <si>
    <t>Cliente de Ejemplo [BORRAR/REEMPLAZAR]</t>
  </si>
  <si>
    <t>USD</t>
  </si>
  <si>
    <t>NO</t>
  </si>
  <si>
    <t>SI</t>
  </si>
  <si>
    <t>2026-08-20</t>
  </si>
  <si>
    <t>Fecha</t>
  </si>
  <si>
    <t>Cuenta</t>
  </si>
  <si>
    <t>Denominación</t>
  </si>
  <si>
    <t>Plan de Cuentas (PCGE) usado en este Libro Diario</t>
  </si>
  <si>
    <t>Uso en este archivo</t>
  </si>
  <si>
    <t>Fuente</t>
  </si>
  <si>
    <t>63 / 6321-6329</t>
  </si>
  <si>
    <t>Gastos de Servicios Prestados por Terceros</t>
  </si>
  <si>
    <t>Provisión del gasto de la compra (subcuenta según la naturaleza: 6321 administrativa, etc. — tú eliges la subcuenta al llenar Registro_Compras)</t>
  </si>
  <si>
    <t>Confirmado en fuentes subidas</t>
  </si>
  <si>
    <t>40 / 40111</t>
  </si>
  <si>
    <t>IGV - Cuenta Propia</t>
  </si>
  <si>
    <t>Crédito fiscal (compras) / débito fiscal (ventas)</t>
  </si>
  <si>
    <t>42 / 4212</t>
  </si>
  <si>
    <t>Cuentas por Pagar Comerciales - Terceros (Emitidas)</t>
  </si>
  <si>
    <t>Obligación total con el proveedor; se cancela en 2 movimientos si hay detracción (depósito SPOT + pago del neto)</t>
  </si>
  <si>
    <t>42121 / 42122</t>
  </si>
  <si>
    <t>Facturas por Pagar - Neto / Detracción (subdivisionarias opcionales)</t>
  </si>
  <si>
    <t>Control separado de neto vs. detracción dentro de 4212, si se desea mayor detalle</t>
  </si>
  <si>
    <t>Sugerido en fuentes subidas (opcional, no usado en las fórmulas de este archivo)</t>
  </si>
  <si>
    <t>94</t>
  </si>
  <si>
    <t>Gastos Administrativos</t>
  </si>
  <si>
    <t>Destino del gasto (Elemento 9)</t>
  </si>
  <si>
    <t>79 / 791</t>
  </si>
  <si>
    <t>Cargas Imputables a Cuentas de Costos y Gastos</t>
  </si>
  <si>
    <t>Contrapartida del destino del gasto</t>
  </si>
  <si>
    <t>10 / 1041</t>
  </si>
  <si>
    <t>Efectivo y Equivalentes - Cuentas Corrientes Operativas</t>
  </si>
  <si>
    <t>Banco operativo: pago del neto al proveedor y depósito de la detracción de compras</t>
  </si>
  <si>
    <t>10 / 1049</t>
  </si>
  <si>
    <t>Efectivo - Otras Cuentas Bancarias (Detracciones propias, Banco de la Nación)</t>
  </si>
  <si>
    <t>Cuenta de detracciones propia de Braidy Wonders cuando EMITE un servicio sujeto a SPOT (uso restringido a tributos propios)</t>
  </si>
  <si>
    <t>Mencionado en fuentes subidas, sin ejemplo numérico</t>
  </si>
  <si>
    <t>12 / 121</t>
  </si>
  <si>
    <t>Cuentas por Cobrar Comerciales - Terceros</t>
  </si>
  <si>
    <t>Obligación total del cliente al emitir una venta</t>
  </si>
  <si>
    <t>Aplicación estándar del PCGE — NO desarrollada con ejemplo numérico en las fuentes subidas. Confirmar con tu contador antes de un cierre.</t>
  </si>
  <si>
    <t>70</t>
  </si>
  <si>
    <t>Ventas</t>
  </si>
  <si>
    <t>Ingreso por la venta (valor de venta, sin IGV)</t>
  </si>
  <si>
    <t>Relleno amarillo = cuenta aplicada con el criterio estándar del PCGE, no confirmada con un ejemplo numérico en las fuentes que subiste. Revisar con tu contador antes de depender de ella para un cierre formal.</t>
  </si>
  <si>
    <t>025 - Fabricacion de bienes por encargo</t>
  </si>
  <si>
    <t>Tipo de Cambio Diario - SUNAT (TC venta SBS publicado)</t>
  </si>
  <si>
    <t>Para compras se usa el TC VENTA de la fecha de emision. Si una fecha no tiene publicacion (fin de semana o feriado), las formulas toman automaticamente el ultimo TC publicado anterior, segun la regla SUNAT.</t>
  </si>
  <si>
    <t>TC_Compra</t>
  </si>
  <si>
    <t>TC_Venta</t>
  </si>
  <si>
    <t>PENDIENTE - pegar TC venta SBS</t>
  </si>
  <si>
    <t>025</t>
  </si>
  <si>
    <t>Registro de Compras - Facturas de Proveedores</t>
  </si>
  <si>
    <t>Llena solo las columnas de ENTRADA. Las columnas (auto) y de calculo se resuelven solas y no se tocan. La columna C (N° Comprobante) es el disparador: si esta vacia, la fila no genera ningun asiento.</t>
  </si>
  <si>
    <t>Tipo Comprobante</t>
  </si>
  <si>
    <t>Código SPOT</t>
  </si>
  <si>
    <t>Concepto (auto)</t>
  </si>
  <si>
    <t>IGV</t>
  </si>
  <si>
    <t>Total Comprobante</t>
  </si>
  <si>
    <t>TC (auto)</t>
  </si>
  <si>
    <t>Total PEN</t>
  </si>
  <si>
    <t>Umbral S/</t>
  </si>
  <si>
    <t>Sujeto a Detracción</t>
  </si>
  <si>
    <t>Detracción S/ (calculada)</t>
  </si>
  <si>
    <t>Detracción S/ (comprobante)</t>
  </si>
  <si>
    <t>Validación Detracción</t>
  </si>
  <si>
    <t>Retención 4ta (moneda fact.)</t>
  </si>
  <si>
    <t>Neto a Pagar (moneda fact.)</t>
  </si>
  <si>
    <t>N° Constancia SUNAT</t>
  </si>
  <si>
    <t>Libro Diario - Braidy Wonders SAC</t>
  </si>
  <si>
    <t>COMPRAS - Facturas de Proveedores</t>
  </si>
  <si>
    <t>Se genera solo desde Registro_Compras y Registro_Ventas. No editar a mano. Importes en PEN. Los asientos de deposito de detraccion y de pago del neto solo aparecen cuando la fecha real correspondiente esta cargada en el registro de origen.</t>
  </si>
  <si>
    <t>N° Asiento</t>
  </si>
  <si>
    <t>Debe</t>
  </si>
  <si>
    <t>Haber</t>
  </si>
  <si>
    <t>Glosa</t>
  </si>
  <si>
    <t>Ref. Comprobante</t>
  </si>
  <si>
    <t>VENTAS - Comprobantes Emitidos a Clientes</t>
  </si>
  <si>
    <t>TOTAL</t>
  </si>
  <si>
    <t>Diferencia Debe - Haber (debe dar 0)</t>
  </si>
  <si>
    <t>Control de Detracciones por Pagar</t>
  </si>
  <si>
    <t>Vista de solo lectura: se alimenta sola desde Registro_Compras (solo filas con Sujeto a Detraccion = SI). Para marcar una detraccion como depositada carga la fecha y el numero de constancia EN Registro_Compras, no aqui. Usa el filtro de la fila 3 para ocultar filas vacias.</t>
  </si>
  <si>
    <t>RUC</t>
  </si>
  <si>
    <t>% Detr.</t>
  </si>
  <si>
    <t>Base PEN</t>
  </si>
  <si>
    <t>Detracción S/</t>
  </si>
  <si>
    <t>Fecha límite depósito</t>
  </si>
  <si>
    <t>Fecha depósito real</t>
  </si>
  <si>
    <t>Días de atraso</t>
  </si>
  <si>
    <t>Alerta</t>
  </si>
  <si>
    <t>Feriados (llenar para que la fecha limite los considere)</t>
  </si>
  <si>
    <t>SUNAT (SBS publicado)</t>
  </si>
  <si>
    <t>Tipo Gasto</t>
  </si>
  <si>
    <t>F001-00005653</t>
  </si>
  <si>
    <t>20307167442</t>
  </si>
  <si>
    <t>COMISION DE PROMOCION DEL PERU PARA LA EXPORTACION Y EL TURISMO - PROMPERU</t>
  </si>
  <si>
    <t>FACTURA</t>
  </si>
  <si>
    <t>PEN</t>
  </si>
  <si>
    <t>637</t>
  </si>
  <si>
    <t>ADMINISTRATIVO</t>
  </si>
  <si>
    <t>PENDIENTE</t>
  </si>
  <si>
    <t>FL09-00136064</t>
  </si>
  <si>
    <t>20419195317</t>
  </si>
  <si>
    <t>INKA TERRA PERU S.A.C. (INKATERRA MACHU PICCHU PUEBLO HOTEL)</t>
  </si>
  <si>
    <t>639</t>
  </si>
  <si>
    <t>PROVEEDOR</t>
  </si>
  <si>
    <t>F078-00006851</t>
  </si>
  <si>
    <t>20510931514</t>
  </si>
  <si>
    <t>PERUVIAN TOURS AGENCY S.A.C. (ARANWA - HOTEL COLCA)</t>
  </si>
  <si>
    <t>F007-00024508</t>
  </si>
  <si>
    <t>20536047906</t>
  </si>
  <si>
    <t>HOTELERIA PERUANA S.A.C. (TIERRA VIVA HOTELS)</t>
  </si>
  <si>
    <t>F008-00035739</t>
  </si>
  <si>
    <t>F003-00017125</t>
  </si>
  <si>
    <t>20563817675</t>
  </si>
  <si>
    <t>CCM HOTEL GROUP S.A.C. (CASA REPUBLICA BARRANCO)</t>
  </si>
  <si>
    <t>F003-00017127</t>
  </si>
  <si>
    <t>FNC3-00001843</t>
  </si>
  <si>
    <t>NOTA DE CREDITO</t>
  </si>
  <si>
    <t>E001-7201</t>
  </si>
  <si>
    <t>20225253529</t>
  </si>
  <si>
    <t>ARCOBALENO SOCIEDAD COMERCIAL DE RESPONSABILIDAD LIMITADA</t>
  </si>
  <si>
    <t>F001-0003289</t>
  </si>
  <si>
    <t>20510815522</t>
  </si>
  <si>
    <t>AERODIANA</t>
  </si>
  <si>
    <t>F001-038853</t>
  </si>
  <si>
    <t>20358806237</t>
  </si>
  <si>
    <t>AMERICANA DE TURISMO E.I.R.L.</t>
  </si>
  <si>
    <t>E001- 173</t>
  </si>
  <si>
    <t>10408744151</t>
  </si>
  <si>
    <t>BEOUTIS BAZAN URSULA CATHERINE</t>
  </si>
  <si>
    <t>RHE</t>
  </si>
  <si>
    <t>632</t>
  </si>
  <si>
    <t>E001-129</t>
  </si>
  <si>
    <t>10239541181</t>
  </si>
  <si>
    <t>CALLAÃ‘AUPA DE HENDRICKSON FLORA</t>
  </si>
  <si>
    <t>FA02-00001849</t>
  </si>
  <si>
    <t>20527992525</t>
  </si>
  <si>
    <t>CUSCO RESTAURANTS S.A.C.</t>
  </si>
  <si>
    <t>F005-018812</t>
  </si>
  <si>
    <t>20252796623</t>
  </si>
  <si>
    <t>GRESCO S.A.C.</t>
  </si>
  <si>
    <t>E001- 558</t>
  </si>
  <si>
    <t>10239898993</t>
  </si>
  <si>
    <t>HANCO ASTETE ANDY</t>
  </si>
  <si>
    <t>F006-00003152</t>
  </si>
  <si>
    <t>20610235736</t>
  </si>
  <si>
    <t>HOTELES LA HACIENDA S.A.C.</t>
  </si>
  <si>
    <t>E001-1678</t>
  </si>
  <si>
    <t>20602511007</t>
  </si>
  <si>
    <t>INVERSIONES FENIX TOURS E.I.R.L.</t>
  </si>
  <si>
    <t>631</t>
  </si>
  <si>
    <t>E001-2661</t>
  </si>
  <si>
    <t>20602860958</t>
  </si>
  <si>
    <t>J &amp; R TURISMO E.I.R.L.</t>
  </si>
  <si>
    <t>E001-9</t>
  </si>
  <si>
    <t>10726172591</t>
  </si>
  <si>
    <t>LUCERO KARLA MADGE BOCANEGRA</t>
  </si>
  <si>
    <t>E001- 32</t>
  </si>
  <si>
    <t>10490200784</t>
  </si>
  <si>
    <t>NIKOLSKAIA VALENTINA</t>
  </si>
  <si>
    <t>F001-00000737</t>
  </si>
  <si>
    <t>20603386214</t>
  </si>
  <si>
    <t>PERUVIAN CULTURE TRAVEL AGENCIA DE VIAJES Y TURISMO S.R.L.</t>
  </si>
  <si>
    <t>E001- 504</t>
  </si>
  <si>
    <t>10422800102</t>
  </si>
  <si>
    <t>SARMIENTO LOPEZ LUIS RONALD</t>
  </si>
  <si>
    <t>E001-1230</t>
  </si>
  <si>
    <t>20600179005</t>
  </si>
  <si>
    <t>TRANSPORTES TURISTICOS LASER S.A.C.</t>
  </si>
  <si>
    <t>E001-1881</t>
  </si>
  <si>
    <t>20358309870</t>
  </si>
  <si>
    <t>CAMPING TOURS E.I.R.LTDA</t>
  </si>
  <si>
    <t>F078-00047775</t>
  </si>
  <si>
    <t>20505670443</t>
  </si>
  <si>
    <t>NESSUS HOTELES PERU S.A. (Casa Andina Select Arequipa)</t>
  </si>
  <si>
    <t>E001-327</t>
  </si>
  <si>
    <t>20603668406</t>
  </si>
  <si>
    <t>LUXURY ADVENTURE CUSCO PERU E.I.R.L.</t>
  </si>
  <si>
    <t>E001-332</t>
  </si>
  <si>
    <t>F011-30391</t>
  </si>
  <si>
    <t>20442088811</t>
  </si>
  <si>
    <t>ALBERGUE OLLANTAYTAMBO EIRL</t>
  </si>
  <si>
    <t>E001- 468</t>
  </si>
  <si>
    <t>10448269201</t>
  </si>
  <si>
    <t>ANCAYPURO TORRES JOSE LUIS</t>
  </si>
  <si>
    <t>E001- 174</t>
  </si>
  <si>
    <t>E001- 546</t>
  </si>
  <si>
    <t>10408222490</t>
  </si>
  <si>
    <t>CARRASCO ALEGRE ROLLY VICTOR</t>
  </si>
  <si>
    <t>FA02-00001856</t>
  </si>
  <si>
    <t>F005-019033</t>
  </si>
  <si>
    <t>F008-00035633</t>
  </si>
  <si>
    <t>F006-00003185</t>
  </si>
  <si>
    <t>F302-00029273</t>
  </si>
  <si>
    <t>20114803228</t>
  </si>
  <si>
    <t>INVERSIONES NACIONALES DE TURISMO S.A. (Palacio del Inka Hotel)</t>
  </si>
  <si>
    <t>E001-2662</t>
  </si>
  <si>
    <t>E001-2237</t>
  </si>
  <si>
    <t>20525581315</t>
  </si>
  <si>
    <t>MANCORA TRAVEL S.A.C.</t>
  </si>
  <si>
    <t>FL05-00036295</t>
  </si>
  <si>
    <t>20309001037</t>
  </si>
  <si>
    <t>PALMA REAL S.A.C. (INKATERRA)</t>
  </si>
  <si>
    <t>F078-00006828</t>
  </si>
  <si>
    <t>PERUVIAN TOURS AGENCY SOCIEDAD ANONIMA CERRADA (Hotel Colca - Aranwa)</t>
  </si>
  <si>
    <t>E001- 505</t>
  </si>
  <si>
    <t>F002-813</t>
  </si>
  <si>
    <t>20602052703</t>
  </si>
  <si>
    <t>TURISMO Y CONSERVACION SAC (Amazon Journeys)</t>
  </si>
  <si>
    <t>E001 742</t>
  </si>
  <si>
    <t>10214605606</t>
  </si>
  <si>
    <t>CATACORA RAMIREZ PAUL FRED</t>
  </si>
  <si>
    <t>F019-00032586</t>
  </si>
  <si>
    <t>NESSUS HOTELES PERU S.A. (CASA ANDINA)</t>
  </si>
  <si>
    <t>E001-328</t>
  </si>
  <si>
    <t>E001-333</t>
  </si>
  <si>
    <t>E001 - 109</t>
  </si>
  <si>
    <t>10731722124</t>
  </si>
  <si>
    <t>ALCAZAR GONZALES ERNESTO ANDRES</t>
  </si>
  <si>
    <t>E001-122</t>
  </si>
  <si>
    <t>10438198984</t>
  </si>
  <si>
    <t>ANICAMA ZAMORA SAULO CHRIS</t>
  </si>
  <si>
    <t>E001- 175</t>
  </si>
  <si>
    <t>FM01-00004843</t>
  </si>
  <si>
    <t>20503909007</t>
  </si>
  <si>
    <t>CLABE ANDINA S.A.C. (SUMAQ MACHU PICCHU HOTEL)</t>
  </si>
  <si>
    <t>E001-2031</t>
  </si>
  <si>
    <t>20601320500</t>
  </si>
  <si>
    <t>ETT HOUSE TOURS S.A.C.</t>
  </si>
  <si>
    <t>E001-71</t>
  </si>
  <si>
    <t>10465858414</t>
  </si>
  <si>
    <t>GUILLEN GALLO ANDRES ALEJANDRO</t>
  </si>
  <si>
    <t>FC55-00002098</t>
  </si>
  <si>
    <t>F006-00003192</t>
  </si>
  <si>
    <t>F302-00001674</t>
  </si>
  <si>
    <t>E001-2663</t>
  </si>
  <si>
    <t>E001-52</t>
  </si>
  <si>
    <t>20615850609</t>
  </si>
  <si>
    <t>MCA LUXURY CORPORATION S.A.C.</t>
  </si>
  <si>
    <t>F001-00000733</t>
  </si>
  <si>
    <t>FC03-00002537</t>
  </si>
  <si>
    <t>20387253191</t>
  </si>
  <si>
    <t>PETIT POIS S.A.C. (HOTEL SOL Y LUNA)</t>
  </si>
  <si>
    <t>FW01-00000409</t>
  </si>
  <si>
    <t>20611806893</t>
  </si>
  <si>
    <t>SIETE APUS E.I.R.L.</t>
  </si>
  <si>
    <t>E001- 542</t>
  </si>
  <si>
    <t>E001-324</t>
  </si>
  <si>
    <t>E001-329</t>
  </si>
  <si>
    <t>E001-334</t>
  </si>
  <si>
    <t>E001-111</t>
  </si>
  <si>
    <t>E001-7189</t>
  </si>
  <si>
    <t>E001- 176</t>
  </si>
  <si>
    <t>F001-11458</t>
  </si>
  <si>
    <t>20523732391</t>
  </si>
  <si>
    <t>COMPAÃ‘IA HOTELERA BAMA S.A.C. (ANANAY HOTELS)</t>
  </si>
  <si>
    <t>F005-00003003</t>
  </si>
  <si>
    <t>20492015165</t>
  </si>
  <si>
    <t>FOOD SERVICE INVESTMENT S.A.C.</t>
  </si>
  <si>
    <t>E001- 556</t>
  </si>
  <si>
    <t>F007-00024484</t>
  </si>
  <si>
    <t>HOTELERIA PERUANA S.A.C. (Tierra Viva Hotels)</t>
  </si>
  <si>
    <t>F006-00003227</t>
  </si>
  <si>
    <t>HOTELES LA HACIENDA S.A.C. (Bahia Paracas)</t>
  </si>
  <si>
    <t>FC01-00008808</t>
  </si>
  <si>
    <t>20477906380</t>
  </si>
  <si>
    <t>INVERSIONES TRES POR OCHO S.A.C. (LAS QOLQAS)</t>
  </si>
  <si>
    <t>F020-00016435</t>
  </si>
  <si>
    <t>20536180657</t>
  </si>
  <si>
    <t>LA CASA DE BARRANCO S.A.C (HOTEL B)</t>
  </si>
  <si>
    <t>F001-10305</t>
  </si>
  <si>
    <t>20490257188</t>
  </si>
  <si>
    <t>NATURA VIVE S.A.C.</t>
  </si>
  <si>
    <t>F001-00000734</t>
  </si>
  <si>
    <t>E001-1128</t>
  </si>
  <si>
    <t>20563940281</t>
  </si>
  <si>
    <t>QUECHUA TREKS PERU E.I.R.L.</t>
  </si>
  <si>
    <t>E001-1228</t>
  </si>
  <si>
    <t>E001-1880</t>
  </si>
  <si>
    <t>E001- 645</t>
  </si>
  <si>
    <t>10404124507</t>
  </si>
  <si>
    <t>GONZALES ACHAHUI HENRY LUIS</t>
  </si>
  <si>
    <t>E001-325</t>
  </si>
  <si>
    <t>E001-330</t>
  </si>
  <si>
    <t>E001-335</t>
  </si>
  <si>
    <t>F003-00000024</t>
  </si>
  <si>
    <t>20606383356</t>
  </si>
  <si>
    <t>ALQA GALERIA DE EXPRESIONES ANDINAS SRL</t>
  </si>
  <si>
    <t>E001-172</t>
  </si>
  <si>
    <t>F002-0023975</t>
  </si>
  <si>
    <t>20452235073</t>
  </si>
  <si>
    <t>BUGANVILLA TOURS S.A.C.</t>
  </si>
  <si>
    <t>E001-950</t>
  </si>
  <si>
    <t>20101091083</t>
  </si>
  <si>
    <t>COOPERATIVA DE AHORRO Y CREDITO ABACO</t>
  </si>
  <si>
    <t>635</t>
  </si>
  <si>
    <t>F005-00003004</t>
  </si>
  <si>
    <t>E001- 557</t>
  </si>
  <si>
    <t>F006-00003137</t>
  </si>
  <si>
    <t>F003-00002785</t>
  </si>
  <si>
    <t>FC01-00001238</t>
  </si>
  <si>
    <t>FF20-00003162</t>
  </si>
  <si>
    <t>F001-10336</t>
  </si>
  <si>
    <t>F001-00000736</t>
  </si>
  <si>
    <t>E001- 503</t>
  </si>
  <si>
    <t>E001-1229</t>
  </si>
  <si>
    <t>E001-1879</t>
  </si>
  <si>
    <t>E001- 646</t>
  </si>
  <si>
    <t>E001-326</t>
  </si>
  <si>
    <t>E001-331</t>
  </si>
  <si>
    <t>E001-734</t>
  </si>
  <si>
    <t>20601761310</t>
  </si>
  <si>
    <t>COCK OF THE ROCK LODGE SOCIEDAD ANONIMA CERRADA - CORL S.A.C</t>
  </si>
  <si>
    <t>E001-700</t>
  </si>
  <si>
    <t>10756090416</t>
  </si>
  <si>
    <t>CUELLAR ANDRES MANUEL ELMER</t>
  </si>
  <si>
    <t>E001- 743</t>
  </si>
  <si>
    <t>E001- 744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</si>
</sst>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10" x14ac:knownFonts="1">
    <font>
      <sz val="11"/>
      <color theme="1"/>
      <name val="Calibri"/>
      <family val="2"/>
      <charset val="1"/>
    </font>
    <font>
      <b/>
      <sz val="14"/>
      <name val="Arial"/>
      <family val="2"/>
    </font>
    <font>
      <b/>
      <i/>
      <sz val="11"/>
      <name val="Arial"/>
      <family val="2"/>
    </font>
    <font>
      <b/>
      <sz val="11"/>
      <name val="Arial"/>
      <family val="2"/>
    </font>
    <font>
      <sz val="10"/>
      <name val="Arial"/>
      <family val="2"/>
    </font>
    <font>
      <i/>
      <sz val="9"/>
      <name val="Arial"/>
      <family val="2"/>
    </font>
    <font>
      <b/>
      <sz val="11"/>
      <color rgb="FFFFFFFF"/>
      <name val="Arial"/>
      <family val="2"/>
    </font>
    <font>
      <sz val="11"/>
      <color rgb="FF000000"/>
      <name val="Arial"/>
      <family val="2"/>
    </font>
    <font>
      <sz val="11"/>
      <color rgb="FF0000FF"/>
      <name val="Arial"/>
      <family val="2"/>
    </font>
    <font>
      <b/>
      <sz val="11"/>
      <color theme="1"/>
      <name val="Calibri"/>
      <family val="2"/>
    </font>
  </fonts>
  <fills count="7">
    <fill>
      <patternFill patternType="none"/>
    </fill>
    <fill>
      <patternFill patternType="gray125"/>
    </fill>
    <fill>
      <patternFill patternType="solid">
        <fgColor rgb="FF1F4E78"/>
        <bgColor rgb="FF003366"/>
      </patternFill>
    </fill>
    <fill>
      <patternFill patternType="solid">
        <fgColor rgb="FFFCE4D6"/>
        <bgColor rgb="FFE2EFDA"/>
      </patternFill>
    </fill>
    <fill>
      <patternFill patternType="solid">
        <fgColor rgb="FFE2EFDA"/>
        <bgColor rgb="FFD9E1F2"/>
      </patternFill>
    </fill>
    <fill>
      <patternFill patternType="solid">
        <fgColor rgb="FFFFFF00"/>
        <bgColor rgb="FFFFFF00"/>
      </patternFill>
    </fill>
    <fill>
      <patternFill patternType="solid">
        <fgColor rgb="FF4F81BD"/>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2" borderId="1" xfId="0" applyFont="1" applyFill="1" applyBorder="1" applyAlignment="1">
      <alignment horizontal="center" vertical="center" wrapText="1"/>
    </xf>
    <xf numFmtId="0" fontId="4" fillId="3" borderId="1" xfId="0" applyFont="1" applyFill="1" applyBorder="1" applyAlignment="1">
      <alignment vertical="top" wrapText="1"/>
    </xf>
    <xf numFmtId="9" fontId="4" fillId="3" borderId="1" xfId="0" applyNumberFormat="1" applyFont="1" applyFill="1" applyBorder="1" applyAlignment="1">
      <alignment vertical="top" wrapText="1"/>
    </xf>
    <xf numFmtId="3" fontId="4" fillId="3" borderId="1" xfId="0" applyNumberFormat="1" applyFont="1" applyFill="1" applyBorder="1" applyAlignment="1">
      <alignment vertical="top" wrapText="1"/>
    </xf>
    <xf numFmtId="0" fontId="7" fillId="4" borderId="1" xfId="0" applyFont="1" applyFill="1" applyBorder="1"/>
    <xf numFmtId="0" fontId="8" fillId="4" borderId="1" xfId="0" applyFont="1" applyFill="1" applyBorder="1"/>
    <xf numFmtId="4" fontId="8" fillId="4" borderId="1" xfId="0" applyNumberFormat="1" applyFont="1" applyFill="1" applyBorder="1"/>
    <xf numFmtId="4" fontId="7" fillId="4" borderId="1" xfId="0" applyNumberFormat="1" applyFont="1" applyFill="1" applyBorder="1"/>
    <xf numFmtId="9" fontId="7" fillId="4" borderId="1" xfId="0" applyNumberFormat="1" applyFont="1" applyFill="1" applyBorder="1"/>
    <xf numFmtId="0" fontId="7" fillId="0" borderId="1" xfId="0" applyFont="1" applyBorder="1"/>
    <xf numFmtId="0" fontId="8" fillId="0" borderId="1" xfId="0" applyFont="1" applyBorder="1"/>
    <xf numFmtId="4" fontId="8" fillId="0" borderId="1" xfId="0" applyNumberFormat="1" applyFont="1" applyBorder="1"/>
    <xf numFmtId="4" fontId="7" fillId="0" borderId="1" xfId="0" applyNumberFormat="1" applyFont="1" applyBorder="1"/>
    <xf numFmtId="9" fontId="7" fillId="0" borderId="1" xfId="0" applyNumberFormat="1" applyFont="1" applyBorder="1"/>
    <xf numFmtId="4" fontId="0" fillId="0" borderId="0" xfId="0" applyNumberFormat="1"/>
    <xf numFmtId="0" fontId="6" fillId="2" borderId="1" xfId="0" applyFont="1" applyFill="1" applyBorder="1" applyAlignment="1">
      <alignment vertical="center" wrapText="1"/>
    </xf>
    <xf numFmtId="0" fontId="4" fillId="0" borderId="1" xfId="0" applyFont="1" applyBorder="1" applyAlignment="1">
      <alignment vertical="top" wrapText="1"/>
    </xf>
    <xf numFmtId="0" fontId="4" fillId="5" borderId="1" xfId="0" applyFont="1" applyFill="1" applyBorder="1" applyAlignment="1">
      <alignment vertical="top" wrapText="1"/>
    </xf>
    <xf numFmtId="0" fontId="9" fillId="0" borderId="0" xfId="0" applyFont="1"/>
    <xf numFmtId="164" fontId="0" fillId="0" borderId="0" xfId="0" applyNumberFormat="1"/>
    <xf numFmtId="165" fontId="0" fillId="0" borderId="0" xfId="0" applyNumberFormat="1"/>
    <xf numFmtId="49" fontId="4" fillId="3" borderId="1" xfId="0" applyNumberFormat="1" applyFont="1" applyFill="1" applyBorder="1" applyAlignment="1">
      <alignment vertical="top" wrapText="1"/>
    </xf>
    <xf numFmtId="0" fontId="9" fillId="6" borderId="0" xfId="0" applyFont="1" applyFill="1" applyAlignment="1">
      <alignment wrapText="1"/>
    </xf>
    <xf numFmtId="0" fontId="0" fillId="0" borderId="0" xfId="0" applyAlignment="1">
      <alignment wrapText="1"/>
    </xf>
    <xf numFmtId="49" fontId="0" fillId="0" borderId="0" xfId="0" applyNumberFormat="1"/>
    <xf numFmtId="9" fontId="0" fillId="0" borderId="0" xfId="0" applyNumberFormat="1"/>
    <xf numFmtId="3" fontId="0" fillId="0" borderId="0" xfId="0" applyNumberFormat="1"/>
    <xf numFmtId="0" fontId="9" fillId="6" borderId="0" xfId="0" applyFont="1" applyFill="1"/>
    <xf numFmtId="164" fontId="9" fillId="0" borderId="0" xfId="0" applyNumberFormat="1" applyFont="1"/>
    <xf numFmtId="4" fontId="9" fillId="0" borderId="0" xfId="0" applyNumberFormat="1" applyFont="1"/>
    <xf numFmtId="0" fontId="9" fillId="0" borderId="0" xfId="0" applyFont="1" applyAlignment="1">
      <alignment wrapText="1"/>
    </xf>
    <xf numFmtId="0" fontId="5" fillId="0" borderId="0" xfId="0" applyFont="1" applyAlignment="1">
      <alignment wrapText="1"/>
    </xf>
  </cellXfs>
  <cellStyles count="1">
    <cellStyle name="Normal" xfId="0" builtinId="0"/>
  </cellStyles>
  <dxfs count="2">
    <dxf>
      <fill>
        <patternFill>
          <bgColor rgb="FFFFEB9C"/>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tabSelected="1" zoomScaleNormal="100" workbookViewId="0">
      <selection activeCell="A11" sqref="A11"/>
    </sheetView>
  </sheetViews>
  <sheetFormatPr baseColWidth="10" defaultColWidth="8.7109375" defaultRowHeight="15" x14ac:dyDescent="0.25"/>
  <cols>
    <col min="1" max="1" width="100" customWidth="1"/>
  </cols>
  <sheetData>
    <row r="1" spans="1:1" ht="18" x14ac:dyDescent="0.25">
      <c r="A1" s="1" t="s">
        <v>0</v>
      </c>
    </row>
    <row r="2" spans="1:1" x14ac:dyDescent="0.25">
      <c r="A2" s="2" t="s">
        <v>1</v>
      </c>
    </row>
    <row r="4" spans="1:1" x14ac:dyDescent="0.25">
      <c r="A4" s="3" t="s">
        <v>2</v>
      </c>
    </row>
    <row r="5" spans="1:1" ht="27.75" customHeight="1" x14ac:dyDescent="0.25">
      <c r="A5" s="4" t="s">
        <v>3</v>
      </c>
    </row>
    <row r="6" spans="1:1" ht="27.75" customHeight="1" x14ac:dyDescent="0.25">
      <c r="A6" s="4" t="s">
        <v>4</v>
      </c>
    </row>
    <row r="7" spans="1:1" ht="27.75" customHeight="1" x14ac:dyDescent="0.25">
      <c r="A7" s="4" t="s">
        <v>5</v>
      </c>
    </row>
    <row r="8" spans="1:1" ht="27.75" customHeight="1" x14ac:dyDescent="0.25">
      <c r="A8" s="4" t="s">
        <v>6</v>
      </c>
    </row>
    <row r="9" spans="1:1" ht="15" customHeight="1" x14ac:dyDescent="0.25">
      <c r="A9" s="4"/>
    </row>
    <row r="10" spans="1:1" x14ac:dyDescent="0.25">
      <c r="A10" s="3" t="s">
        <v>7</v>
      </c>
    </row>
    <row r="11" spans="1:1" ht="27.75" customHeight="1" x14ac:dyDescent="0.25">
      <c r="A11" s="4" t="s">
        <v>8</v>
      </c>
    </row>
    <row r="12" spans="1:1" ht="27.75" customHeight="1" x14ac:dyDescent="0.25">
      <c r="A12" s="4" t="s">
        <v>9</v>
      </c>
    </row>
    <row r="13" spans="1:1" ht="15" customHeight="1" x14ac:dyDescent="0.25">
      <c r="A13" s="4"/>
    </row>
    <row r="14" spans="1:1" x14ac:dyDescent="0.25">
      <c r="A14" s="3" t="s">
        <v>10</v>
      </c>
    </row>
    <row r="15" spans="1:1" ht="27.75" customHeight="1" x14ac:dyDescent="0.25">
      <c r="A15" s="4" t="s">
        <v>11</v>
      </c>
    </row>
    <row r="16" spans="1:1" ht="27.75" customHeight="1" x14ac:dyDescent="0.25">
      <c r="A16" s="4" t="s">
        <v>12</v>
      </c>
    </row>
    <row r="17" spans="1:1" ht="27.75" customHeight="1" x14ac:dyDescent="0.25">
      <c r="A17" s="4" t="s">
        <v>13</v>
      </c>
    </row>
    <row r="18" spans="1:1" ht="27.75" customHeight="1" x14ac:dyDescent="0.25">
      <c r="A18" s="4" t="s">
        <v>14</v>
      </c>
    </row>
    <row r="19" spans="1:1" ht="15" customHeight="1" x14ac:dyDescent="0.25">
      <c r="A19" s="4"/>
    </row>
    <row r="20" spans="1:1" x14ac:dyDescent="0.25">
      <c r="A20" s="3" t="s">
        <v>15</v>
      </c>
    </row>
    <row r="21" spans="1:1" ht="27.75" customHeight="1" x14ac:dyDescent="0.25">
      <c r="A21" s="4"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showGridLines="0" zoomScaleNormal="100" workbookViewId="0">
      <pane ySplit="3" topLeftCell="A4" activePane="bottomLeft" state="frozen"/>
      <selection pane="bottomLeft"/>
    </sheetView>
  </sheetViews>
  <sheetFormatPr baseColWidth="10" defaultColWidth="8.7109375" defaultRowHeight="15" x14ac:dyDescent="0.25"/>
  <cols>
    <col min="1" max="1" width="14" customWidth="1"/>
    <col min="2" max="2" width="42" customWidth="1"/>
    <col min="3" max="3" width="46" customWidth="1"/>
    <col min="4" max="4" width="8" customWidth="1"/>
    <col min="5" max="5" width="22" customWidth="1"/>
    <col min="6" max="6" width="46" customWidth="1"/>
  </cols>
  <sheetData>
    <row r="1" spans="1:6" ht="18" x14ac:dyDescent="0.25">
      <c r="A1" s="1" t="s">
        <v>17</v>
      </c>
    </row>
    <row r="2" spans="1:6" x14ac:dyDescent="0.25">
      <c r="A2" s="5" t="s">
        <v>18</v>
      </c>
    </row>
    <row r="3" spans="1:6" ht="30" x14ac:dyDescent="0.25">
      <c r="A3" s="6" t="s">
        <v>19</v>
      </c>
      <c r="B3" s="6" t="s">
        <v>20</v>
      </c>
      <c r="C3" s="6" t="s">
        <v>21</v>
      </c>
      <c r="D3" s="6" t="s">
        <v>22</v>
      </c>
      <c r="E3" s="6" t="s">
        <v>23</v>
      </c>
      <c r="F3" s="6" t="s">
        <v>24</v>
      </c>
    </row>
    <row r="4" spans="1:6" x14ac:dyDescent="0.25">
      <c r="A4" s="7" t="s">
        <v>25</v>
      </c>
      <c r="B4" s="7" t="s">
        <v>26</v>
      </c>
      <c r="C4" s="7" t="s">
        <v>27</v>
      </c>
      <c r="D4" s="8">
        <v>0.12</v>
      </c>
      <c r="E4" s="9">
        <v>700</v>
      </c>
      <c r="F4" s="7" t="s">
        <v>28</v>
      </c>
    </row>
    <row r="5" spans="1:6" x14ac:dyDescent="0.25">
      <c r="A5" s="7" t="s">
        <v>29</v>
      </c>
      <c r="B5" s="7" t="s">
        <v>30</v>
      </c>
      <c r="C5" s="7" t="s">
        <v>31</v>
      </c>
      <c r="D5" s="8">
        <v>0.1</v>
      </c>
      <c r="E5" s="9">
        <v>700</v>
      </c>
      <c r="F5" s="7" t="s">
        <v>32</v>
      </c>
    </row>
    <row r="6" spans="1:6" x14ac:dyDescent="0.25">
      <c r="A6" s="7" t="s">
        <v>33</v>
      </c>
      <c r="B6" s="7" t="s">
        <v>34</v>
      </c>
      <c r="C6" s="7" t="s">
        <v>35</v>
      </c>
      <c r="D6" s="8">
        <v>0.12</v>
      </c>
      <c r="E6" s="9">
        <v>700</v>
      </c>
      <c r="F6" s="7" t="s">
        <v>36</v>
      </c>
    </row>
    <row r="7" spans="1:6" x14ac:dyDescent="0.25">
      <c r="A7" s="7" t="s">
        <v>37</v>
      </c>
      <c r="B7" s="7" t="s">
        <v>38</v>
      </c>
      <c r="C7" s="7" t="s">
        <v>39</v>
      </c>
      <c r="D7" s="8">
        <v>0.1</v>
      </c>
      <c r="E7" s="9">
        <v>700</v>
      </c>
      <c r="F7" s="7" t="s">
        <v>40</v>
      </c>
    </row>
    <row r="8" spans="1:6" ht="25.5" x14ac:dyDescent="0.25">
      <c r="A8" s="7" t="s">
        <v>41</v>
      </c>
      <c r="B8" s="7" t="s">
        <v>42</v>
      </c>
      <c r="C8" s="7" t="s">
        <v>43</v>
      </c>
      <c r="D8" s="8">
        <v>0.12</v>
      </c>
      <c r="E8" s="9">
        <v>700</v>
      </c>
      <c r="F8" s="7" t="s">
        <v>44</v>
      </c>
    </row>
    <row r="9" spans="1:6" ht="25.5" x14ac:dyDescent="0.25">
      <c r="A9" s="7" t="s">
        <v>45</v>
      </c>
      <c r="B9" s="7" t="s">
        <v>46</v>
      </c>
      <c r="C9" s="7" t="s">
        <v>47</v>
      </c>
      <c r="D9" s="8">
        <v>0.1</v>
      </c>
      <c r="E9" s="9">
        <v>700</v>
      </c>
      <c r="F9" s="7" t="s">
        <v>48</v>
      </c>
    </row>
    <row r="10" spans="1:6" x14ac:dyDescent="0.25">
      <c r="A10" s="27" t="s">
        <v>151</v>
      </c>
      <c r="B10" s="7" t="s">
        <v>49</v>
      </c>
      <c r="C10" s="7" t="s">
        <v>145</v>
      </c>
      <c r="D10" s="8">
        <v>0.1</v>
      </c>
      <c r="E10" s="9">
        <v>700</v>
      </c>
      <c r="F10" s="7" t="s">
        <v>50</v>
      </c>
    </row>
    <row r="11" spans="1:6" ht="25.5" x14ac:dyDescent="0.25">
      <c r="A11" s="7" t="s">
        <v>51</v>
      </c>
      <c r="B11" s="7" t="s">
        <v>52</v>
      </c>
      <c r="C11" s="7" t="s">
        <v>53</v>
      </c>
      <c r="D11" s="8">
        <v>0.1</v>
      </c>
      <c r="E11" s="9">
        <v>700</v>
      </c>
      <c r="F11" s="7" t="s">
        <v>54</v>
      </c>
    </row>
    <row r="12" spans="1:6" x14ac:dyDescent="0.25">
      <c r="A12" s="7" t="s">
        <v>55</v>
      </c>
      <c r="B12" s="7" t="s">
        <v>56</v>
      </c>
      <c r="C12" s="7" t="s">
        <v>57</v>
      </c>
      <c r="D12" s="8">
        <v>0.04</v>
      </c>
      <c r="E12" s="9">
        <v>400</v>
      </c>
      <c r="F12" s="7" t="s">
        <v>58</v>
      </c>
    </row>
    <row r="13" spans="1:6" x14ac:dyDescent="0.25">
      <c r="A13" s="7" t="s">
        <v>59</v>
      </c>
      <c r="B13" s="7" t="s">
        <v>60</v>
      </c>
      <c r="C13" s="7" t="s">
        <v>61</v>
      </c>
      <c r="D13" s="8">
        <v>0.04</v>
      </c>
      <c r="E13" s="9">
        <v>700</v>
      </c>
      <c r="F13" s="7" t="s">
        <v>62</v>
      </c>
    </row>
    <row r="14" spans="1:6" ht="25.5" x14ac:dyDescent="0.25">
      <c r="A14" s="7" t="s">
        <v>63</v>
      </c>
      <c r="B14" s="7" t="s">
        <v>64</v>
      </c>
      <c r="C14" s="7" t="s">
        <v>65</v>
      </c>
      <c r="D14" s="8">
        <v>0.12</v>
      </c>
      <c r="E14" s="9">
        <v>700</v>
      </c>
      <c r="F14" s="7" t="s">
        <v>66</v>
      </c>
    </row>
    <row r="15" spans="1:6" ht="25.5" x14ac:dyDescent="0.25">
      <c r="A15" s="7" t="s">
        <v>67</v>
      </c>
      <c r="B15" s="7" t="s">
        <v>68</v>
      </c>
      <c r="C15" s="7" t="s">
        <v>69</v>
      </c>
      <c r="D15" s="8">
        <v>0</v>
      </c>
      <c r="E15" s="9">
        <v>999999999</v>
      </c>
      <c r="F15" s="7" t="s">
        <v>70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03"/>
  <sheetViews>
    <sheetView showGridLines="0" zoomScaleNormal="100" workbookViewId="0">
      <pane ySplit="3" topLeftCell="A7" activePane="bottomLeft" state="frozen"/>
      <selection pane="bottomLeft" activeCell="AA3" sqref="AA3"/>
    </sheetView>
  </sheetViews>
  <sheetFormatPr baseColWidth="10" defaultColWidth="8.7109375" defaultRowHeight="15" x14ac:dyDescent="0.25"/>
  <cols>
    <col min="1" max="1" width="5" customWidth="1"/>
    <col min="2" max="2" width="12" customWidth="1"/>
    <col min="3" max="3" width="16" customWidth="1"/>
    <col min="4" max="4" width="13" customWidth="1"/>
    <col min="5" max="5" width="80.140625" bestFit="1" customWidth="1"/>
    <col min="6" max="6" width="17.5703125" bestFit="1" customWidth="1"/>
    <col min="7" max="7" width="8" customWidth="1"/>
    <col min="8" max="8" width="12" customWidth="1"/>
    <col min="9" max="9" width="10" customWidth="1"/>
    <col min="10" max="10" width="12" customWidth="1"/>
    <col min="11" max="11" width="13" customWidth="1"/>
    <col min="12" max="12" width="10" customWidth="1"/>
    <col min="13" max="14" width="12" customWidth="1"/>
    <col min="15" max="15" width="13" customWidth="1"/>
    <col min="16" max="17" width="14" customWidth="1"/>
    <col min="18" max="18" width="12" customWidth="1"/>
    <col min="19" max="19" width="14" customWidth="1"/>
  </cols>
  <sheetData>
    <row r="1" spans="1:28" x14ac:dyDescent="0.25">
      <c r="A1" s="24" t="s">
        <v>152</v>
      </c>
    </row>
    <row r="2" spans="1:28" x14ac:dyDescent="0.25">
      <c r="A2" t="s">
        <v>153</v>
      </c>
    </row>
    <row r="3" spans="1:28" s="29" customFormat="1" ht="30" customHeight="1" x14ac:dyDescent="0.25">
      <c r="A3" s="28" t="s">
        <v>71</v>
      </c>
      <c r="B3" s="28" t="s">
        <v>72</v>
      </c>
      <c r="C3" s="28" t="s">
        <v>73</v>
      </c>
      <c r="D3" s="28" t="s">
        <v>74</v>
      </c>
      <c r="E3" s="28" t="s">
        <v>75</v>
      </c>
      <c r="F3" s="28" t="s">
        <v>154</v>
      </c>
      <c r="G3" s="28" t="s">
        <v>155</v>
      </c>
      <c r="H3" s="28" t="s">
        <v>156</v>
      </c>
      <c r="I3" s="28" t="s">
        <v>76</v>
      </c>
      <c r="J3" s="28" t="s">
        <v>77</v>
      </c>
      <c r="K3" s="28" t="s">
        <v>157</v>
      </c>
      <c r="L3" s="28" t="s">
        <v>158</v>
      </c>
      <c r="M3" s="28" t="s">
        <v>80</v>
      </c>
      <c r="N3" s="28" t="s">
        <v>159</v>
      </c>
      <c r="O3" s="28" t="s">
        <v>160</v>
      </c>
      <c r="P3" s="28" t="s">
        <v>81</v>
      </c>
      <c r="Q3" s="28" t="s">
        <v>161</v>
      </c>
      <c r="R3" s="28" t="s">
        <v>162</v>
      </c>
      <c r="S3" s="28" t="s">
        <v>163</v>
      </c>
      <c r="T3" s="28" t="s">
        <v>164</v>
      </c>
      <c r="U3" s="28" t="s">
        <v>165</v>
      </c>
      <c r="V3" s="28" t="s">
        <v>166</v>
      </c>
      <c r="W3" s="28" t="s">
        <v>167</v>
      </c>
      <c r="X3" s="28" t="s">
        <v>83</v>
      </c>
      <c r="Y3" s="28" t="s">
        <v>84</v>
      </c>
      <c r="Z3" s="28" t="s">
        <v>168</v>
      </c>
      <c r="AA3" s="28" t="s">
        <v>85</v>
      </c>
      <c r="AB3" s="28" t="s">
        <v>192</v>
      </c>
    </row>
    <row r="4" spans="1:28" x14ac:dyDescent="0.25">
      <c r="A4">
        <v>1</v>
      </c>
      <c r="B4" s="25">
        <v>46253</v>
      </c>
      <c r="C4" t="s">
        <v>193</v>
      </c>
      <c r="D4" s="30" t="s">
        <v>194</v>
      </c>
      <c r="E4" t="s">
        <v>195</v>
      </c>
      <c r="F4" t="s">
        <v>196</v>
      </c>
      <c r="G4" s="30" t="s">
        <v>63</v>
      </c>
      <c r="H4" t="str">
        <f t="shared" ref="H4:H67" si="0">IF($G4="","",IFERROR(INDEX(Catalogo_Etiquetas,MATCH($G4,Catalogo_Codigos,0)),"CODIGO NO VALIDO"))</f>
        <v>037 - Demás servicios gravados con IGV (residual)</v>
      </c>
      <c r="I4" t="s">
        <v>197</v>
      </c>
      <c r="J4" s="20">
        <v>5094.92</v>
      </c>
      <c r="K4" s="20">
        <v>917.08</v>
      </c>
      <c r="L4" s="20">
        <f t="shared" ref="L4:L67" si="1">IF($C4="","",$J4+$K4)</f>
        <v>6012</v>
      </c>
      <c r="M4" s="30" t="s">
        <v>198</v>
      </c>
      <c r="N4" s="26">
        <f t="shared" ref="N4:N67" si="2">IF($C4="","",IF($I4="PEN",1,IFERROR(IF(_xlfn.XLOOKUP($B4,TC_Fechas,TC_Venta_Rango,"",-1)="","",_xlfn.XLOOKUP($B4,TC_Fechas,TC_Venta_Rango,"",-1)),"")))</f>
        <v>1</v>
      </c>
      <c r="O4" s="20">
        <f t="shared" ref="O4:O67" si="3">IF(OR($C4="",$N4=""),"",ROUND($J4*$N4,2)+ROUND($K4*$N4,2))</f>
        <v>6012</v>
      </c>
      <c r="P4" s="31">
        <f t="shared" ref="P4:P67" si="4">IF($G4="","",IFERROR(INDEX(Catalogo_Tasas,MATCH($G4,Catalogo_Codigos,0)),""))</f>
        <v>0.12</v>
      </c>
      <c r="Q4" s="32">
        <f t="shared" ref="Q4:Q67" si="5">IF($G4="","",IFERROR(INDEX(Catalogo_Umbrales,MATCH($G4,Catalogo_Codigos,0)),""))</f>
        <v>700</v>
      </c>
      <c r="R4" t="str">
        <f t="shared" ref="R4:R67" si="6">IF(OR($C4="",$P4="",$O4=""),"",IF($F4&lt;&gt;"FACTURA","NO",IF(AND($P4&gt;0,$O4&gt;$Q4),"SI","NO")))</f>
        <v>SI</v>
      </c>
      <c r="S4" s="20">
        <f t="shared" ref="S4:S67" si="7">IF($R4="SI",ROUND($O4*$P4,2),IF($C4="","",0))</f>
        <v>721.44</v>
      </c>
      <c r="T4" s="20">
        <v>721.44</v>
      </c>
      <c r="U4" t="str">
        <f t="shared" ref="U4:U67" si="8">IF($C4="","",IF($R4&lt;&gt;"SI","",IF($T4="","SIN DATO",IF(ABS($T4-$S4)&lt;=0.5,"OK","REVISAR"))))</f>
        <v>OK</v>
      </c>
      <c r="V4" s="20"/>
      <c r="W4" s="20">
        <f t="shared" ref="W4:W67" si="9">IF(OR($C4="",$N4=""),"",IF($F4="RHE",ROUND($L4-$V4,2),ROUND($L4-($S4/$N4),2)))</f>
        <v>5290.56</v>
      </c>
      <c r="X4" s="25"/>
      <c r="Y4" s="25"/>
      <c r="AA4" t="s">
        <v>200</v>
      </c>
      <c r="AB4" t="s">
        <v>199</v>
      </c>
    </row>
    <row r="5" spans="1:28" x14ac:dyDescent="0.25">
      <c r="A5">
        <v>2</v>
      </c>
      <c r="B5" s="25">
        <v>46254</v>
      </c>
      <c r="C5" t="s">
        <v>201</v>
      </c>
      <c r="D5" s="30" t="s">
        <v>202</v>
      </c>
      <c r="E5" t="s">
        <v>203</v>
      </c>
      <c r="F5" t="s">
        <v>196</v>
      </c>
      <c r="G5" s="30" t="s">
        <v>67</v>
      </c>
      <c r="H5" t="str">
        <f t="shared" si="0"/>
        <v>N/A - No sujeto a detracción (aéreo regular, salud exonerada de IGV, importación de bienes, etc.)</v>
      </c>
      <c r="I5" t="s">
        <v>100</v>
      </c>
      <c r="J5" s="20">
        <v>806.96</v>
      </c>
      <c r="K5" s="20">
        <v>0</v>
      </c>
      <c r="L5" s="20">
        <f t="shared" si="1"/>
        <v>806.96</v>
      </c>
      <c r="M5" s="30" t="s">
        <v>204</v>
      </c>
      <c r="N5" s="26">
        <f t="shared" si="2"/>
        <v>3.3610000000000002</v>
      </c>
      <c r="O5" s="20">
        <f t="shared" si="3"/>
        <v>2712.19</v>
      </c>
      <c r="P5" s="31">
        <f t="shared" si="4"/>
        <v>0</v>
      </c>
      <c r="Q5" s="32">
        <f t="shared" si="5"/>
        <v>999999999</v>
      </c>
      <c r="R5" t="str">
        <f t="shared" si="6"/>
        <v>NO</v>
      </c>
      <c r="S5" s="20">
        <f t="shared" si="7"/>
        <v>0</v>
      </c>
      <c r="T5" s="20"/>
      <c r="U5" t="str">
        <f t="shared" si="8"/>
        <v/>
      </c>
      <c r="V5" s="20"/>
      <c r="W5" s="20">
        <f t="shared" si="9"/>
        <v>806.96</v>
      </c>
      <c r="X5" s="25"/>
      <c r="Y5" s="25"/>
      <c r="AA5" t="s">
        <v>200</v>
      </c>
      <c r="AB5" t="s">
        <v>205</v>
      </c>
    </row>
    <row r="6" spans="1:28" x14ac:dyDescent="0.25">
      <c r="A6">
        <v>3</v>
      </c>
      <c r="B6" s="25">
        <v>46254</v>
      </c>
      <c r="C6" t="s">
        <v>206</v>
      </c>
      <c r="D6" s="30" t="s">
        <v>207</v>
      </c>
      <c r="E6" t="s">
        <v>208</v>
      </c>
      <c r="F6" t="s">
        <v>196</v>
      </c>
      <c r="G6" s="30" t="s">
        <v>67</v>
      </c>
      <c r="H6" t="str">
        <f t="shared" si="0"/>
        <v>N/A - No sujeto a detracción (aéreo regular, salud exonerada de IGV, importación de bienes, etc.)</v>
      </c>
      <c r="I6" t="s">
        <v>100</v>
      </c>
      <c r="J6" s="20">
        <v>936</v>
      </c>
      <c r="K6" s="20">
        <v>0</v>
      </c>
      <c r="L6" s="20">
        <f t="shared" si="1"/>
        <v>936</v>
      </c>
      <c r="M6" s="30" t="s">
        <v>204</v>
      </c>
      <c r="N6" s="26">
        <f t="shared" si="2"/>
        <v>3.3610000000000002</v>
      </c>
      <c r="O6" s="20">
        <f t="shared" si="3"/>
        <v>3145.9</v>
      </c>
      <c r="P6" s="31">
        <f t="shared" si="4"/>
        <v>0</v>
      </c>
      <c r="Q6" s="32">
        <f t="shared" si="5"/>
        <v>999999999</v>
      </c>
      <c r="R6" t="str">
        <f t="shared" si="6"/>
        <v>NO</v>
      </c>
      <c r="S6" s="20">
        <f t="shared" si="7"/>
        <v>0</v>
      </c>
      <c r="T6" s="20"/>
      <c r="U6" t="str">
        <f t="shared" si="8"/>
        <v/>
      </c>
      <c r="V6" s="20"/>
      <c r="W6" s="20">
        <f t="shared" si="9"/>
        <v>936</v>
      </c>
      <c r="X6" s="25"/>
      <c r="Y6" s="25"/>
      <c r="AA6" t="s">
        <v>200</v>
      </c>
      <c r="AB6" t="s">
        <v>205</v>
      </c>
    </row>
    <row r="7" spans="1:28" x14ac:dyDescent="0.25">
      <c r="A7">
        <v>4</v>
      </c>
      <c r="B7" s="25">
        <v>46254</v>
      </c>
      <c r="C7" t="s">
        <v>209</v>
      </c>
      <c r="D7" s="30" t="s">
        <v>210</v>
      </c>
      <c r="E7" t="s">
        <v>211</v>
      </c>
      <c r="F7" t="s">
        <v>196</v>
      </c>
      <c r="G7" s="30" t="s">
        <v>67</v>
      </c>
      <c r="H7" t="str">
        <f t="shared" si="0"/>
        <v>N/A - No sujeto a detracción (aéreo regular, salud exonerada de IGV, importación de bienes, etc.)</v>
      </c>
      <c r="I7" t="s">
        <v>100</v>
      </c>
      <c r="J7" s="20">
        <v>68</v>
      </c>
      <c r="K7" s="20">
        <v>0</v>
      </c>
      <c r="L7" s="20">
        <f t="shared" si="1"/>
        <v>68</v>
      </c>
      <c r="M7" s="30" t="s">
        <v>204</v>
      </c>
      <c r="N7" s="26">
        <f t="shared" si="2"/>
        <v>3.3610000000000002</v>
      </c>
      <c r="O7" s="20">
        <f t="shared" si="3"/>
        <v>228.55</v>
      </c>
      <c r="P7" s="31">
        <f t="shared" si="4"/>
        <v>0</v>
      </c>
      <c r="Q7" s="32">
        <f t="shared" si="5"/>
        <v>999999999</v>
      </c>
      <c r="R7" t="str">
        <f t="shared" si="6"/>
        <v>NO</v>
      </c>
      <c r="S7" s="20">
        <f t="shared" si="7"/>
        <v>0</v>
      </c>
      <c r="T7" s="20"/>
      <c r="U7" t="str">
        <f t="shared" si="8"/>
        <v/>
      </c>
      <c r="V7" s="20"/>
      <c r="W7" s="20">
        <f t="shared" si="9"/>
        <v>68</v>
      </c>
      <c r="X7" s="25"/>
      <c r="Y7" s="25"/>
      <c r="AA7" t="s">
        <v>200</v>
      </c>
      <c r="AB7" t="s">
        <v>205</v>
      </c>
    </row>
    <row r="8" spans="1:28" x14ac:dyDescent="0.25">
      <c r="A8">
        <v>5</v>
      </c>
      <c r="B8" s="25">
        <v>46254</v>
      </c>
      <c r="C8" t="s">
        <v>212</v>
      </c>
      <c r="D8" s="30" t="s">
        <v>210</v>
      </c>
      <c r="E8" t="s">
        <v>211</v>
      </c>
      <c r="F8" t="s">
        <v>196</v>
      </c>
      <c r="G8" s="30" t="s">
        <v>67</v>
      </c>
      <c r="H8" t="str">
        <f t="shared" si="0"/>
        <v>N/A - No sujeto a detracción (aéreo regular, salud exonerada de IGV, importación de bienes, etc.)</v>
      </c>
      <c r="I8" t="s">
        <v>100</v>
      </c>
      <c r="J8" s="20">
        <v>152</v>
      </c>
      <c r="K8" s="20">
        <v>0</v>
      </c>
      <c r="L8" s="20">
        <f t="shared" si="1"/>
        <v>152</v>
      </c>
      <c r="M8" s="30" t="s">
        <v>204</v>
      </c>
      <c r="N8" s="26">
        <f t="shared" si="2"/>
        <v>3.3610000000000002</v>
      </c>
      <c r="O8" s="20">
        <f t="shared" si="3"/>
        <v>510.87</v>
      </c>
      <c r="P8" s="31">
        <f t="shared" si="4"/>
        <v>0</v>
      </c>
      <c r="Q8" s="32">
        <f t="shared" si="5"/>
        <v>999999999</v>
      </c>
      <c r="R8" t="str">
        <f t="shared" si="6"/>
        <v>NO</v>
      </c>
      <c r="S8" s="20">
        <f t="shared" si="7"/>
        <v>0</v>
      </c>
      <c r="T8" s="20"/>
      <c r="U8" t="str">
        <f t="shared" si="8"/>
        <v/>
      </c>
      <c r="V8" s="20"/>
      <c r="W8" s="20">
        <f t="shared" si="9"/>
        <v>152</v>
      </c>
      <c r="X8" s="25"/>
      <c r="Y8" s="25"/>
      <c r="AA8" t="s">
        <v>200</v>
      </c>
      <c r="AB8" t="s">
        <v>205</v>
      </c>
    </row>
    <row r="9" spans="1:28" x14ac:dyDescent="0.25">
      <c r="A9">
        <v>6</v>
      </c>
      <c r="B9" s="25">
        <v>46254</v>
      </c>
      <c r="C9" t="s">
        <v>213</v>
      </c>
      <c r="D9" s="30" t="s">
        <v>214</v>
      </c>
      <c r="E9" t="s">
        <v>215</v>
      </c>
      <c r="F9" t="s">
        <v>196</v>
      </c>
      <c r="G9" s="30" t="s">
        <v>67</v>
      </c>
      <c r="H9" t="str">
        <f t="shared" si="0"/>
        <v>N/A - No sujeto a detracción (aéreo regular, salud exonerada de IGV, importación de bienes, etc.)</v>
      </c>
      <c r="I9" t="s">
        <v>100</v>
      </c>
      <c r="J9" s="20">
        <v>196.27</v>
      </c>
      <c r="K9" s="20">
        <v>18.73</v>
      </c>
      <c r="L9" s="20">
        <f t="shared" si="1"/>
        <v>215</v>
      </c>
      <c r="M9" s="30" t="s">
        <v>204</v>
      </c>
      <c r="N9" s="26">
        <f t="shared" si="2"/>
        <v>3.3610000000000002</v>
      </c>
      <c r="O9" s="20">
        <f t="shared" si="3"/>
        <v>722.61</v>
      </c>
      <c r="P9" s="31">
        <f t="shared" si="4"/>
        <v>0</v>
      </c>
      <c r="Q9" s="32">
        <f t="shared" si="5"/>
        <v>999999999</v>
      </c>
      <c r="R9" t="str">
        <f t="shared" si="6"/>
        <v>NO</v>
      </c>
      <c r="S9" s="20">
        <f t="shared" si="7"/>
        <v>0</v>
      </c>
      <c r="T9" s="20"/>
      <c r="U9" t="str">
        <f t="shared" si="8"/>
        <v/>
      </c>
      <c r="V9" s="20"/>
      <c r="W9" s="20">
        <f t="shared" si="9"/>
        <v>215</v>
      </c>
      <c r="X9" s="25"/>
      <c r="Y9" s="25"/>
      <c r="AA9" t="s">
        <v>200</v>
      </c>
      <c r="AB9" t="s">
        <v>205</v>
      </c>
    </row>
    <row r="10" spans="1:28" x14ac:dyDescent="0.25">
      <c r="A10">
        <v>7</v>
      </c>
      <c r="B10" s="25">
        <v>46254</v>
      </c>
      <c r="C10" t="s">
        <v>216</v>
      </c>
      <c r="D10" s="30" t="s">
        <v>214</v>
      </c>
      <c r="E10" t="s">
        <v>215</v>
      </c>
      <c r="F10" t="s">
        <v>196</v>
      </c>
      <c r="G10" s="30" t="s">
        <v>67</v>
      </c>
      <c r="H10" t="str">
        <f t="shared" si="0"/>
        <v>N/A - No sujeto a detracción (aéreo regular, salud exonerada de IGV, importación de bienes, etc.)</v>
      </c>
      <c r="I10" t="s">
        <v>100</v>
      </c>
      <c r="J10" s="20">
        <v>230</v>
      </c>
      <c r="K10" s="20">
        <v>0</v>
      </c>
      <c r="L10" s="20">
        <f t="shared" si="1"/>
        <v>230</v>
      </c>
      <c r="M10" s="30" t="s">
        <v>204</v>
      </c>
      <c r="N10" s="26">
        <f t="shared" si="2"/>
        <v>3.3610000000000002</v>
      </c>
      <c r="O10" s="20">
        <f t="shared" si="3"/>
        <v>773.03</v>
      </c>
      <c r="P10" s="31">
        <f t="shared" si="4"/>
        <v>0</v>
      </c>
      <c r="Q10" s="32">
        <f t="shared" si="5"/>
        <v>999999999</v>
      </c>
      <c r="R10" t="str">
        <f t="shared" si="6"/>
        <v>NO</v>
      </c>
      <c r="S10" s="20">
        <f t="shared" si="7"/>
        <v>0</v>
      </c>
      <c r="T10" s="20"/>
      <c r="U10" t="str">
        <f t="shared" si="8"/>
        <v/>
      </c>
      <c r="V10" s="20"/>
      <c r="W10" s="20">
        <f t="shared" si="9"/>
        <v>230</v>
      </c>
      <c r="X10" s="25"/>
      <c r="Y10" s="25"/>
      <c r="AA10" t="s">
        <v>200</v>
      </c>
      <c r="AB10" t="s">
        <v>205</v>
      </c>
    </row>
    <row r="11" spans="1:28" x14ac:dyDescent="0.25">
      <c r="A11">
        <v>8</v>
      </c>
      <c r="B11" s="25">
        <v>46254</v>
      </c>
      <c r="C11" t="s">
        <v>217</v>
      </c>
      <c r="D11" s="30" t="s">
        <v>214</v>
      </c>
      <c r="E11" t="s">
        <v>215</v>
      </c>
      <c r="F11" t="s">
        <v>218</v>
      </c>
      <c r="G11" s="30" t="s">
        <v>67</v>
      </c>
      <c r="H11" t="str">
        <f t="shared" si="0"/>
        <v>N/A - No sujeto a detracción (aéreo regular, salud exonerada de IGV, importación de bienes, etc.)</v>
      </c>
      <c r="I11" t="s">
        <v>100</v>
      </c>
      <c r="J11" s="20">
        <v>-209.96</v>
      </c>
      <c r="K11" s="20">
        <v>-20.04</v>
      </c>
      <c r="L11" s="20">
        <f t="shared" si="1"/>
        <v>-230</v>
      </c>
      <c r="M11" s="30" t="s">
        <v>204</v>
      </c>
      <c r="N11" s="26">
        <f t="shared" si="2"/>
        <v>3.3610000000000002</v>
      </c>
      <c r="O11" s="20">
        <f t="shared" si="3"/>
        <v>-773.03</v>
      </c>
      <c r="P11" s="31">
        <f t="shared" si="4"/>
        <v>0</v>
      </c>
      <c r="Q11" s="32">
        <f t="shared" si="5"/>
        <v>999999999</v>
      </c>
      <c r="R11" t="str">
        <f t="shared" si="6"/>
        <v>NO</v>
      </c>
      <c r="S11" s="20">
        <f t="shared" si="7"/>
        <v>0</v>
      </c>
      <c r="T11" s="20"/>
      <c r="U11" t="str">
        <f t="shared" si="8"/>
        <v/>
      </c>
      <c r="V11" s="20"/>
      <c r="W11" s="20">
        <f t="shared" si="9"/>
        <v>-230</v>
      </c>
      <c r="X11" s="25"/>
      <c r="Y11" s="25"/>
      <c r="AA11" t="s">
        <v>200</v>
      </c>
      <c r="AB11" t="s">
        <v>205</v>
      </c>
    </row>
    <row r="12" spans="1:28" x14ac:dyDescent="0.25">
      <c r="A12">
        <v>9</v>
      </c>
      <c r="B12" s="25">
        <v>46254</v>
      </c>
      <c r="C12" t="s">
        <v>219</v>
      </c>
      <c r="D12" s="30" t="s">
        <v>220</v>
      </c>
      <c r="E12" t="s">
        <v>221</v>
      </c>
      <c r="F12" t="s">
        <v>196</v>
      </c>
      <c r="G12" s="30" t="s">
        <v>63</v>
      </c>
      <c r="H12" t="str">
        <f t="shared" si="0"/>
        <v>037 - Demás servicios gravados con IGV (residual)</v>
      </c>
      <c r="I12" t="s">
        <v>100</v>
      </c>
      <c r="J12" s="20">
        <v>186.03</v>
      </c>
      <c r="K12" s="20">
        <v>33.49</v>
      </c>
      <c r="L12" s="20">
        <f t="shared" si="1"/>
        <v>219.52</v>
      </c>
      <c r="M12" s="30" t="s">
        <v>204</v>
      </c>
      <c r="N12" s="26">
        <f t="shared" si="2"/>
        <v>3.3610000000000002</v>
      </c>
      <c r="O12" s="20">
        <f t="shared" si="3"/>
        <v>737.81</v>
      </c>
      <c r="P12" s="31">
        <f t="shared" si="4"/>
        <v>0.12</v>
      </c>
      <c r="Q12" s="32">
        <f t="shared" si="5"/>
        <v>700</v>
      </c>
      <c r="R12" t="str">
        <f t="shared" si="6"/>
        <v>SI</v>
      </c>
      <c r="S12" s="20">
        <f t="shared" si="7"/>
        <v>88.54</v>
      </c>
      <c r="T12" s="20">
        <v>89</v>
      </c>
      <c r="U12" t="str">
        <f t="shared" si="8"/>
        <v>OK</v>
      </c>
      <c r="V12" s="20"/>
      <c r="W12" s="20">
        <f t="shared" si="9"/>
        <v>193.18</v>
      </c>
      <c r="X12" s="25"/>
      <c r="Y12" s="25"/>
      <c r="AA12" t="s">
        <v>200</v>
      </c>
      <c r="AB12" t="s">
        <v>205</v>
      </c>
    </row>
    <row r="13" spans="1:28" x14ac:dyDescent="0.25">
      <c r="A13">
        <v>10</v>
      </c>
      <c r="B13" s="25">
        <f>DATE(2026,8,11)</f>
        <v>46245</v>
      </c>
      <c r="C13" t="s">
        <v>222</v>
      </c>
      <c r="D13" s="30" t="s">
        <v>223</v>
      </c>
      <c r="E13" t="s">
        <v>224</v>
      </c>
      <c r="F13" t="s">
        <v>218</v>
      </c>
      <c r="G13" s="30" t="s">
        <v>67</v>
      </c>
      <c r="H13" t="str">
        <f t="shared" si="0"/>
        <v>N/A - No sujeto a detracción (aéreo regular, salud exonerada de IGV, importación de bienes, etc.)</v>
      </c>
      <c r="I13" t="s">
        <v>100</v>
      </c>
      <c r="J13" s="20">
        <v>-498.31</v>
      </c>
      <c r="K13" s="20">
        <v>-89.69</v>
      </c>
      <c r="L13" s="20">
        <f t="shared" si="1"/>
        <v>-588</v>
      </c>
      <c r="M13" s="30" t="s">
        <v>204</v>
      </c>
      <c r="N13" s="26">
        <f t="shared" si="2"/>
        <v>3.387</v>
      </c>
      <c r="O13" s="20">
        <f t="shared" si="3"/>
        <v>-1991.56</v>
      </c>
      <c r="P13" s="31">
        <f t="shared" si="4"/>
        <v>0</v>
      </c>
      <c r="Q13" s="32">
        <f t="shared" si="5"/>
        <v>999999999</v>
      </c>
      <c r="R13" t="str">
        <f t="shared" si="6"/>
        <v>NO</v>
      </c>
      <c r="S13" s="20">
        <f t="shared" si="7"/>
        <v>0</v>
      </c>
      <c r="T13" s="20"/>
      <c r="U13" t="str">
        <f t="shared" si="8"/>
        <v/>
      </c>
      <c r="V13" s="20"/>
      <c r="W13" s="20">
        <f t="shared" si="9"/>
        <v>-588</v>
      </c>
      <c r="X13" s="25"/>
      <c r="Y13" s="25"/>
      <c r="AB13" t="s">
        <v>205</v>
      </c>
    </row>
    <row r="14" spans="1:28" x14ac:dyDescent="0.25">
      <c r="A14">
        <v>11</v>
      </c>
      <c r="B14" s="25">
        <f>DATE(2026,8,6)</f>
        <v>46240</v>
      </c>
      <c r="C14" t="s">
        <v>225</v>
      </c>
      <c r="D14" s="30" t="s">
        <v>226</v>
      </c>
      <c r="E14" t="s">
        <v>227</v>
      </c>
      <c r="F14" t="s">
        <v>196</v>
      </c>
      <c r="G14" s="30" t="s">
        <v>67</v>
      </c>
      <c r="H14" t="str">
        <f t="shared" si="0"/>
        <v>N/A - No sujeto a detracción (aéreo regular, salud exonerada de IGV, importación de bienes, etc.)</v>
      </c>
      <c r="I14" t="s">
        <v>100</v>
      </c>
      <c r="J14" s="20">
        <v>61.02</v>
      </c>
      <c r="K14" s="20">
        <v>10.98</v>
      </c>
      <c r="L14" s="20">
        <f t="shared" si="1"/>
        <v>72</v>
      </c>
      <c r="M14" s="30" t="s">
        <v>204</v>
      </c>
      <c r="N14" s="26">
        <f t="shared" si="2"/>
        <v>3.3940000000000001</v>
      </c>
      <c r="O14" s="20">
        <f t="shared" si="3"/>
        <v>244.37</v>
      </c>
      <c r="P14" s="31">
        <f t="shared" si="4"/>
        <v>0</v>
      </c>
      <c r="Q14" s="32">
        <f t="shared" si="5"/>
        <v>999999999</v>
      </c>
      <c r="R14" t="str">
        <f t="shared" si="6"/>
        <v>NO</v>
      </c>
      <c r="S14" s="20">
        <f t="shared" si="7"/>
        <v>0</v>
      </c>
      <c r="T14" s="20"/>
      <c r="U14" t="str">
        <f t="shared" si="8"/>
        <v/>
      </c>
      <c r="V14" s="20"/>
      <c r="W14" s="20">
        <f t="shared" si="9"/>
        <v>72</v>
      </c>
      <c r="X14" s="25"/>
      <c r="Y14" s="25"/>
      <c r="AB14" t="s">
        <v>205</v>
      </c>
    </row>
    <row r="15" spans="1:28" x14ac:dyDescent="0.25">
      <c r="A15">
        <v>12</v>
      </c>
      <c r="B15" s="25">
        <f>DATE(2026,8,10)</f>
        <v>46244</v>
      </c>
      <c r="C15" t="s">
        <v>228</v>
      </c>
      <c r="D15" s="30" t="s">
        <v>229</v>
      </c>
      <c r="E15" t="s">
        <v>230</v>
      </c>
      <c r="F15" t="s">
        <v>231</v>
      </c>
      <c r="G15" s="30" t="s">
        <v>67</v>
      </c>
      <c r="H15" t="str">
        <f t="shared" si="0"/>
        <v>N/A - No sujeto a detracción (aéreo regular, salud exonerada de IGV, importación de bienes, etc.)</v>
      </c>
      <c r="I15" t="s">
        <v>197</v>
      </c>
      <c r="J15" s="20">
        <v>1025</v>
      </c>
      <c r="K15" s="20">
        <v>0</v>
      </c>
      <c r="L15" s="20">
        <f t="shared" si="1"/>
        <v>1025</v>
      </c>
      <c r="M15" s="30" t="s">
        <v>232</v>
      </c>
      <c r="N15" s="26">
        <f t="shared" si="2"/>
        <v>1</v>
      </c>
      <c r="O15" s="20">
        <f t="shared" si="3"/>
        <v>1025</v>
      </c>
      <c r="P15" s="31">
        <f t="shared" si="4"/>
        <v>0</v>
      </c>
      <c r="Q15" s="32">
        <f t="shared" si="5"/>
        <v>999999999</v>
      </c>
      <c r="R15" t="str">
        <f t="shared" si="6"/>
        <v>NO</v>
      </c>
      <c r="S15" s="20">
        <f t="shared" si="7"/>
        <v>0</v>
      </c>
      <c r="T15" s="20"/>
      <c r="U15" t="str">
        <f t="shared" si="8"/>
        <v/>
      </c>
      <c r="V15" s="20"/>
      <c r="W15" s="20">
        <f t="shared" si="9"/>
        <v>1025</v>
      </c>
      <c r="X15" s="25"/>
      <c r="Y15" s="25"/>
      <c r="AB15" t="s">
        <v>199</v>
      </c>
    </row>
    <row r="16" spans="1:28" x14ac:dyDescent="0.25">
      <c r="A16">
        <v>13</v>
      </c>
      <c r="B16" s="25">
        <f>DATE(2026,8,14)</f>
        <v>46248</v>
      </c>
      <c r="C16" t="s">
        <v>233</v>
      </c>
      <c r="D16" s="30" t="s">
        <v>234</v>
      </c>
      <c r="E16" t="s">
        <v>235</v>
      </c>
      <c r="F16" t="s">
        <v>231</v>
      </c>
      <c r="G16" s="30" t="s">
        <v>67</v>
      </c>
      <c r="H16" t="str">
        <f t="shared" si="0"/>
        <v>N/A - No sujeto a detracción (aéreo regular, salud exonerada de IGV, importación de bienes, etc.)</v>
      </c>
      <c r="I16" t="s">
        <v>100</v>
      </c>
      <c r="J16" s="20">
        <v>65</v>
      </c>
      <c r="K16" s="20">
        <v>0</v>
      </c>
      <c r="L16" s="20">
        <f t="shared" si="1"/>
        <v>65</v>
      </c>
      <c r="M16" s="30" t="s">
        <v>232</v>
      </c>
      <c r="N16" s="26">
        <f t="shared" si="2"/>
        <v>3.371</v>
      </c>
      <c r="O16" s="20">
        <f t="shared" si="3"/>
        <v>219.12</v>
      </c>
      <c r="P16" s="31">
        <f t="shared" si="4"/>
        <v>0</v>
      </c>
      <c r="Q16" s="32">
        <f t="shared" si="5"/>
        <v>999999999</v>
      </c>
      <c r="R16" t="str">
        <f t="shared" si="6"/>
        <v>NO</v>
      </c>
      <c r="S16" s="20">
        <f t="shared" si="7"/>
        <v>0</v>
      </c>
      <c r="T16" s="20"/>
      <c r="U16" t="str">
        <f t="shared" si="8"/>
        <v/>
      </c>
      <c r="V16" s="20">
        <v>7.8</v>
      </c>
      <c r="W16" s="20">
        <f t="shared" si="9"/>
        <v>57.2</v>
      </c>
      <c r="X16" s="25"/>
      <c r="Y16" s="25"/>
      <c r="AB16" t="s">
        <v>205</v>
      </c>
    </row>
    <row r="17" spans="1:28" x14ac:dyDescent="0.25">
      <c r="A17">
        <v>14</v>
      </c>
      <c r="B17" s="25">
        <f>DATE(2026,8,12)</f>
        <v>46246</v>
      </c>
      <c r="C17" t="s">
        <v>236</v>
      </c>
      <c r="D17" s="30" t="s">
        <v>237</v>
      </c>
      <c r="E17" t="s">
        <v>238</v>
      </c>
      <c r="F17" t="s">
        <v>196</v>
      </c>
      <c r="G17" s="30" t="s">
        <v>67</v>
      </c>
      <c r="H17" t="str">
        <f t="shared" si="0"/>
        <v>N/A - No sujeto a detracción (aéreo regular, salud exonerada de IGV, importación de bienes, etc.)</v>
      </c>
      <c r="I17" t="s">
        <v>100</v>
      </c>
      <c r="J17" s="20">
        <v>54.69</v>
      </c>
      <c r="K17" s="20">
        <v>9.84</v>
      </c>
      <c r="L17" s="20">
        <f t="shared" si="1"/>
        <v>64.53</v>
      </c>
      <c r="M17" s="30" t="s">
        <v>204</v>
      </c>
      <c r="N17" s="26">
        <f t="shared" si="2"/>
        <v>3.3719999999999999</v>
      </c>
      <c r="O17" s="20">
        <f t="shared" si="3"/>
        <v>217.59</v>
      </c>
      <c r="P17" s="31">
        <f t="shared" si="4"/>
        <v>0</v>
      </c>
      <c r="Q17" s="32">
        <f t="shared" si="5"/>
        <v>999999999</v>
      </c>
      <c r="R17" t="str">
        <f t="shared" si="6"/>
        <v>NO</v>
      </c>
      <c r="S17" s="20">
        <f t="shared" si="7"/>
        <v>0</v>
      </c>
      <c r="T17" s="20"/>
      <c r="U17" t="str">
        <f t="shared" si="8"/>
        <v/>
      </c>
      <c r="V17" s="20"/>
      <c r="W17" s="20">
        <f t="shared" si="9"/>
        <v>64.53</v>
      </c>
      <c r="X17" s="25"/>
      <c r="Y17" s="25"/>
      <c r="AB17" t="s">
        <v>205</v>
      </c>
    </row>
    <row r="18" spans="1:28" x14ac:dyDescent="0.25">
      <c r="A18">
        <v>15</v>
      </c>
      <c r="B18" s="25">
        <f>DATE(2026,8,6)</f>
        <v>46240</v>
      </c>
      <c r="C18" t="s">
        <v>239</v>
      </c>
      <c r="D18" s="30" t="s">
        <v>240</v>
      </c>
      <c r="E18" t="s">
        <v>241</v>
      </c>
      <c r="F18" t="s">
        <v>196</v>
      </c>
      <c r="G18" s="30" t="s">
        <v>67</v>
      </c>
      <c r="H18" t="str">
        <f t="shared" si="0"/>
        <v>N/A - No sujeto a detracción (aéreo regular, salud exonerada de IGV, importación de bienes, etc.)</v>
      </c>
      <c r="I18" t="s">
        <v>197</v>
      </c>
      <c r="J18" s="20">
        <v>158.72999999999999</v>
      </c>
      <c r="K18" s="20">
        <v>28.57</v>
      </c>
      <c r="L18" s="20">
        <f t="shared" si="1"/>
        <v>187.29999999999998</v>
      </c>
      <c r="M18" s="30" t="s">
        <v>204</v>
      </c>
      <c r="N18" s="26">
        <f t="shared" si="2"/>
        <v>1</v>
      </c>
      <c r="O18" s="20">
        <f t="shared" si="3"/>
        <v>187.29999999999998</v>
      </c>
      <c r="P18" s="31">
        <f t="shared" si="4"/>
        <v>0</v>
      </c>
      <c r="Q18" s="32">
        <f t="shared" si="5"/>
        <v>999999999</v>
      </c>
      <c r="R18" t="str">
        <f t="shared" si="6"/>
        <v>NO</v>
      </c>
      <c r="S18" s="20">
        <f t="shared" si="7"/>
        <v>0</v>
      </c>
      <c r="T18" s="20"/>
      <c r="U18" t="str">
        <f t="shared" si="8"/>
        <v/>
      </c>
      <c r="V18" s="20"/>
      <c r="W18" s="20">
        <f t="shared" si="9"/>
        <v>187.3</v>
      </c>
      <c r="X18" s="25"/>
      <c r="Y18" s="25"/>
      <c r="AB18" t="s">
        <v>205</v>
      </c>
    </row>
    <row r="19" spans="1:28" x14ac:dyDescent="0.25">
      <c r="A19">
        <v>16</v>
      </c>
      <c r="B19" s="25">
        <f>DATE(2026,8,4)</f>
        <v>46238</v>
      </c>
      <c r="C19" t="s">
        <v>242</v>
      </c>
      <c r="D19" s="30" t="s">
        <v>243</v>
      </c>
      <c r="E19" t="s">
        <v>244</v>
      </c>
      <c r="F19" t="s">
        <v>231</v>
      </c>
      <c r="G19" s="30" t="s">
        <v>67</v>
      </c>
      <c r="H19" t="str">
        <f t="shared" si="0"/>
        <v>N/A - No sujeto a detracción (aéreo regular, salud exonerada de IGV, importación de bienes, etc.)</v>
      </c>
      <c r="I19" t="s">
        <v>100</v>
      </c>
      <c r="J19" s="20">
        <v>75</v>
      </c>
      <c r="K19" s="20">
        <v>0</v>
      </c>
      <c r="L19" s="20">
        <f t="shared" si="1"/>
        <v>75</v>
      </c>
      <c r="M19" s="30" t="s">
        <v>232</v>
      </c>
      <c r="N19" s="26">
        <f t="shared" si="2"/>
        <v>3.4020000000000001</v>
      </c>
      <c r="O19" s="20">
        <f t="shared" si="3"/>
        <v>255.15</v>
      </c>
      <c r="P19" s="31">
        <f t="shared" si="4"/>
        <v>0</v>
      </c>
      <c r="Q19" s="32">
        <f t="shared" si="5"/>
        <v>999999999</v>
      </c>
      <c r="R19" t="str">
        <f t="shared" si="6"/>
        <v>NO</v>
      </c>
      <c r="S19" s="20">
        <f t="shared" si="7"/>
        <v>0</v>
      </c>
      <c r="T19" s="20"/>
      <c r="U19" t="str">
        <f t="shared" si="8"/>
        <v/>
      </c>
      <c r="V19" s="20"/>
      <c r="W19" s="20">
        <f t="shared" si="9"/>
        <v>75</v>
      </c>
      <c r="X19" s="25"/>
      <c r="Y19" s="25"/>
      <c r="AB19" t="s">
        <v>205</v>
      </c>
    </row>
    <row r="20" spans="1:28" x14ac:dyDescent="0.25">
      <c r="A20">
        <v>17</v>
      </c>
      <c r="B20" s="25">
        <f>DATE(2026,8,14)</f>
        <v>46248</v>
      </c>
      <c r="C20" t="s">
        <v>245</v>
      </c>
      <c r="D20" s="30" t="s">
        <v>246</v>
      </c>
      <c r="E20" t="s">
        <v>247</v>
      </c>
      <c r="F20" t="s">
        <v>196</v>
      </c>
      <c r="G20" s="30" t="s">
        <v>67</v>
      </c>
      <c r="H20" t="str">
        <f t="shared" si="0"/>
        <v>N/A - No sujeto a detracción (aéreo regular, salud exonerada de IGV, importación de bienes, etc.)</v>
      </c>
      <c r="I20" t="s">
        <v>100</v>
      </c>
      <c r="J20" s="20">
        <v>460.18</v>
      </c>
      <c r="K20" s="20">
        <v>0</v>
      </c>
      <c r="L20" s="20">
        <f t="shared" si="1"/>
        <v>460.18</v>
      </c>
      <c r="M20" s="30" t="s">
        <v>204</v>
      </c>
      <c r="N20" s="26">
        <f t="shared" si="2"/>
        <v>3.371</v>
      </c>
      <c r="O20" s="20">
        <f t="shared" si="3"/>
        <v>1551.27</v>
      </c>
      <c r="P20" s="31">
        <f t="shared" si="4"/>
        <v>0</v>
      </c>
      <c r="Q20" s="32">
        <f t="shared" si="5"/>
        <v>999999999</v>
      </c>
      <c r="R20" t="str">
        <f t="shared" si="6"/>
        <v>NO</v>
      </c>
      <c r="S20" s="20">
        <f t="shared" si="7"/>
        <v>0</v>
      </c>
      <c r="T20" s="20"/>
      <c r="U20" t="str">
        <f t="shared" si="8"/>
        <v/>
      </c>
      <c r="V20" s="20"/>
      <c r="W20" s="20">
        <f t="shared" si="9"/>
        <v>460.18</v>
      </c>
      <c r="X20" s="25"/>
      <c r="Y20" s="25"/>
      <c r="AB20" t="s">
        <v>205</v>
      </c>
    </row>
    <row r="21" spans="1:28" x14ac:dyDescent="0.25">
      <c r="A21">
        <v>18</v>
      </c>
      <c r="B21" s="25">
        <f>DATE(2026,8,4)</f>
        <v>46238</v>
      </c>
      <c r="C21" t="s">
        <v>248</v>
      </c>
      <c r="D21" s="30" t="s">
        <v>249</v>
      </c>
      <c r="E21" t="s">
        <v>250</v>
      </c>
      <c r="F21" t="s">
        <v>196</v>
      </c>
      <c r="G21" s="30" t="s">
        <v>51</v>
      </c>
      <c r="H21" t="str">
        <f t="shared" si="0"/>
        <v>026 - Servicio de transporte de personas</v>
      </c>
      <c r="I21" t="s">
        <v>100</v>
      </c>
      <c r="J21" s="20">
        <v>282.2</v>
      </c>
      <c r="K21" s="20">
        <v>50.8</v>
      </c>
      <c r="L21" s="20">
        <f t="shared" si="1"/>
        <v>333</v>
      </c>
      <c r="M21" s="30" t="s">
        <v>251</v>
      </c>
      <c r="N21" s="26">
        <f t="shared" si="2"/>
        <v>3.4020000000000001</v>
      </c>
      <c r="O21" s="20">
        <f t="shared" si="3"/>
        <v>1132.8599999999999</v>
      </c>
      <c r="P21" s="31">
        <f t="shared" si="4"/>
        <v>0.1</v>
      </c>
      <c r="Q21" s="32">
        <f t="shared" si="5"/>
        <v>700</v>
      </c>
      <c r="R21" t="str">
        <f t="shared" si="6"/>
        <v>SI</v>
      </c>
      <c r="S21" s="20">
        <f t="shared" si="7"/>
        <v>113.29</v>
      </c>
      <c r="T21" s="20">
        <v>113</v>
      </c>
      <c r="U21" t="str">
        <f t="shared" si="8"/>
        <v>OK</v>
      </c>
      <c r="V21" s="20"/>
      <c r="W21" s="20">
        <f t="shared" si="9"/>
        <v>299.7</v>
      </c>
      <c r="X21" s="25"/>
      <c r="Y21" s="25"/>
      <c r="AB21" t="s">
        <v>205</v>
      </c>
    </row>
    <row r="22" spans="1:28" x14ac:dyDescent="0.25">
      <c r="A22">
        <v>19</v>
      </c>
      <c r="B22" s="25">
        <f>DATE(2026,8,14)</f>
        <v>46248</v>
      </c>
      <c r="C22" t="s">
        <v>252</v>
      </c>
      <c r="D22" s="30" t="s">
        <v>253</v>
      </c>
      <c r="E22" t="s">
        <v>254</v>
      </c>
      <c r="F22" t="s">
        <v>196</v>
      </c>
      <c r="G22" s="30" t="s">
        <v>51</v>
      </c>
      <c r="H22" t="str">
        <f t="shared" si="0"/>
        <v>026 - Servicio de transporte de personas</v>
      </c>
      <c r="I22" t="s">
        <v>100</v>
      </c>
      <c r="J22" s="20">
        <v>660</v>
      </c>
      <c r="K22" s="20">
        <v>118.8</v>
      </c>
      <c r="L22" s="20">
        <f t="shared" si="1"/>
        <v>778.8</v>
      </c>
      <c r="M22" s="30" t="s">
        <v>251</v>
      </c>
      <c r="N22" s="26">
        <f t="shared" si="2"/>
        <v>3.371</v>
      </c>
      <c r="O22" s="20">
        <f t="shared" si="3"/>
        <v>2625.33</v>
      </c>
      <c r="P22" s="31">
        <f t="shared" si="4"/>
        <v>0.1</v>
      </c>
      <c r="Q22" s="32">
        <f t="shared" si="5"/>
        <v>700</v>
      </c>
      <c r="R22" t="str">
        <f t="shared" si="6"/>
        <v>SI</v>
      </c>
      <c r="S22" s="20">
        <f t="shared" si="7"/>
        <v>262.52999999999997</v>
      </c>
      <c r="T22" s="20">
        <v>262.52999999999997</v>
      </c>
      <c r="U22" t="str">
        <f t="shared" si="8"/>
        <v>OK</v>
      </c>
      <c r="V22" s="20"/>
      <c r="W22" s="20">
        <f t="shared" si="9"/>
        <v>700.92</v>
      </c>
      <c r="X22" s="25"/>
      <c r="Y22" s="25"/>
      <c r="AB22" t="s">
        <v>205</v>
      </c>
    </row>
    <row r="23" spans="1:28" x14ac:dyDescent="0.25">
      <c r="A23">
        <v>20</v>
      </c>
      <c r="B23" s="25">
        <f>DATE(2026,8,13)</f>
        <v>46247</v>
      </c>
      <c r="C23" t="s">
        <v>255</v>
      </c>
      <c r="D23" s="30" t="s">
        <v>256</v>
      </c>
      <c r="E23" t="s">
        <v>257</v>
      </c>
      <c r="F23" t="s">
        <v>231</v>
      </c>
      <c r="G23" s="30" t="s">
        <v>67</v>
      </c>
      <c r="H23" t="str">
        <f t="shared" si="0"/>
        <v>N/A - No sujeto a detracción (aéreo regular, salud exonerada de IGV, importación de bienes, etc.)</v>
      </c>
      <c r="I23" t="s">
        <v>197</v>
      </c>
      <c r="J23" s="20">
        <v>1100</v>
      </c>
      <c r="K23" s="20">
        <v>0</v>
      </c>
      <c r="L23" s="20">
        <f t="shared" si="1"/>
        <v>1100</v>
      </c>
      <c r="M23" s="30" t="s">
        <v>232</v>
      </c>
      <c r="N23" s="26">
        <f t="shared" si="2"/>
        <v>1</v>
      </c>
      <c r="O23" s="20">
        <f t="shared" si="3"/>
        <v>1100</v>
      </c>
      <c r="P23" s="31">
        <f t="shared" si="4"/>
        <v>0</v>
      </c>
      <c r="Q23" s="32">
        <f t="shared" si="5"/>
        <v>999999999</v>
      </c>
      <c r="R23" t="str">
        <f t="shared" si="6"/>
        <v>NO</v>
      </c>
      <c r="S23" s="20">
        <f t="shared" si="7"/>
        <v>0</v>
      </c>
      <c r="T23" s="20"/>
      <c r="U23" t="str">
        <f t="shared" si="8"/>
        <v/>
      </c>
      <c r="V23" s="20"/>
      <c r="W23" s="20">
        <f t="shared" si="9"/>
        <v>1100</v>
      </c>
      <c r="X23" s="25"/>
      <c r="Y23" s="25"/>
      <c r="AB23" t="s">
        <v>199</v>
      </c>
    </row>
    <row r="24" spans="1:28" x14ac:dyDescent="0.25">
      <c r="A24">
        <v>21</v>
      </c>
      <c r="B24" s="25">
        <f>DATE(2026,8,14)</f>
        <v>46248</v>
      </c>
      <c r="C24" t="s">
        <v>258</v>
      </c>
      <c r="D24" s="30" t="s">
        <v>259</v>
      </c>
      <c r="E24" t="s">
        <v>260</v>
      </c>
      <c r="F24" t="s">
        <v>231</v>
      </c>
      <c r="G24" s="30" t="s">
        <v>67</v>
      </c>
      <c r="H24" t="str">
        <f t="shared" si="0"/>
        <v>N/A - No sujeto a detracción (aéreo regular, salud exonerada de IGV, importación de bienes, etc.)</v>
      </c>
      <c r="I24" t="s">
        <v>100</v>
      </c>
      <c r="J24" s="20">
        <v>700</v>
      </c>
      <c r="K24" s="20">
        <v>0</v>
      </c>
      <c r="L24" s="20">
        <f t="shared" si="1"/>
        <v>700</v>
      </c>
      <c r="M24" s="30" t="s">
        <v>232</v>
      </c>
      <c r="N24" s="26">
        <f t="shared" si="2"/>
        <v>3.371</v>
      </c>
      <c r="O24" s="20">
        <f t="shared" si="3"/>
        <v>2359.6999999999998</v>
      </c>
      <c r="P24" s="31">
        <f t="shared" si="4"/>
        <v>0</v>
      </c>
      <c r="Q24" s="32">
        <f t="shared" si="5"/>
        <v>999999999</v>
      </c>
      <c r="R24" t="str">
        <f t="shared" si="6"/>
        <v>NO</v>
      </c>
      <c r="S24" s="20">
        <f t="shared" si="7"/>
        <v>0</v>
      </c>
      <c r="T24" s="20"/>
      <c r="U24" t="str">
        <f t="shared" si="8"/>
        <v/>
      </c>
      <c r="V24" s="20"/>
      <c r="W24" s="20">
        <f t="shared" si="9"/>
        <v>700</v>
      </c>
      <c r="X24" s="25"/>
      <c r="Y24" s="25"/>
      <c r="AB24" t="s">
        <v>205</v>
      </c>
    </row>
    <row r="25" spans="1:28" x14ac:dyDescent="0.25">
      <c r="A25">
        <v>22</v>
      </c>
      <c r="B25" s="25">
        <f>DATE(2026,8,12)</f>
        <v>46246</v>
      </c>
      <c r="C25" t="s">
        <v>261</v>
      </c>
      <c r="D25" s="30" t="s">
        <v>262</v>
      </c>
      <c r="E25" t="s">
        <v>263</v>
      </c>
      <c r="F25" t="s">
        <v>196</v>
      </c>
      <c r="G25" s="30" t="s">
        <v>67</v>
      </c>
      <c r="H25" t="str">
        <f t="shared" si="0"/>
        <v>N/A - No sujeto a detracción (aéreo regular, salud exonerada de IGV, importación de bienes, etc.)</v>
      </c>
      <c r="I25" t="s">
        <v>100</v>
      </c>
      <c r="J25" s="20">
        <v>61.02</v>
      </c>
      <c r="K25" s="20">
        <v>10.98</v>
      </c>
      <c r="L25" s="20">
        <f t="shared" si="1"/>
        <v>72</v>
      </c>
      <c r="M25" s="30" t="s">
        <v>204</v>
      </c>
      <c r="N25" s="26">
        <f t="shared" si="2"/>
        <v>3.3719999999999999</v>
      </c>
      <c r="O25" s="20">
        <f t="shared" si="3"/>
        <v>242.78</v>
      </c>
      <c r="P25" s="31">
        <f t="shared" si="4"/>
        <v>0</v>
      </c>
      <c r="Q25" s="32">
        <f t="shared" si="5"/>
        <v>999999999</v>
      </c>
      <c r="R25" t="str">
        <f t="shared" si="6"/>
        <v>NO</v>
      </c>
      <c r="S25" s="20">
        <f t="shared" si="7"/>
        <v>0</v>
      </c>
      <c r="T25" s="20"/>
      <c r="U25" t="str">
        <f t="shared" si="8"/>
        <v/>
      </c>
      <c r="V25" s="20"/>
      <c r="W25" s="20">
        <f t="shared" si="9"/>
        <v>72</v>
      </c>
      <c r="X25" s="25"/>
      <c r="Y25" s="25"/>
      <c r="AB25" t="s">
        <v>205</v>
      </c>
    </row>
    <row r="26" spans="1:28" x14ac:dyDescent="0.25">
      <c r="A26">
        <v>23</v>
      </c>
      <c r="B26" s="25">
        <f>DATE(2026,8,17)</f>
        <v>46251</v>
      </c>
      <c r="C26" t="s">
        <v>264</v>
      </c>
      <c r="D26" s="30" t="s">
        <v>265</v>
      </c>
      <c r="E26" t="s">
        <v>266</v>
      </c>
      <c r="F26" t="s">
        <v>231</v>
      </c>
      <c r="G26" s="30" t="s">
        <v>67</v>
      </c>
      <c r="H26" t="str">
        <f t="shared" si="0"/>
        <v>N/A - No sujeto a detracción (aéreo regular, salud exonerada de IGV, importación de bienes, etc.)</v>
      </c>
      <c r="I26" t="s">
        <v>100</v>
      </c>
      <c r="J26" s="20">
        <v>157</v>
      </c>
      <c r="K26" s="20">
        <v>0</v>
      </c>
      <c r="L26" s="20">
        <f t="shared" si="1"/>
        <v>157</v>
      </c>
      <c r="M26" s="30" t="s">
        <v>232</v>
      </c>
      <c r="N26" s="26">
        <f t="shared" si="2"/>
        <v>3.3679999999999999</v>
      </c>
      <c r="O26" s="20">
        <f t="shared" si="3"/>
        <v>528.78</v>
      </c>
      <c r="P26" s="31">
        <f t="shared" si="4"/>
        <v>0</v>
      </c>
      <c r="Q26" s="32">
        <f t="shared" si="5"/>
        <v>999999999</v>
      </c>
      <c r="R26" t="str">
        <f t="shared" si="6"/>
        <v>NO</v>
      </c>
      <c r="S26" s="20">
        <f t="shared" si="7"/>
        <v>0</v>
      </c>
      <c r="T26" s="20"/>
      <c r="U26" t="str">
        <f t="shared" si="8"/>
        <v/>
      </c>
      <c r="V26" s="20">
        <v>12.56</v>
      </c>
      <c r="W26" s="20">
        <f t="shared" si="9"/>
        <v>144.44</v>
      </c>
      <c r="X26" s="25"/>
      <c r="Y26" s="25"/>
      <c r="AB26" t="s">
        <v>205</v>
      </c>
    </row>
    <row r="27" spans="1:28" x14ac:dyDescent="0.25">
      <c r="A27">
        <v>24</v>
      </c>
      <c r="B27" s="25">
        <f>DATE(2026,8,8)</f>
        <v>46242</v>
      </c>
      <c r="C27" t="s">
        <v>267</v>
      </c>
      <c r="D27" s="30" t="s">
        <v>268</v>
      </c>
      <c r="E27" t="s">
        <v>269</v>
      </c>
      <c r="F27" t="s">
        <v>196</v>
      </c>
      <c r="G27" s="30" t="s">
        <v>51</v>
      </c>
      <c r="H27" t="str">
        <f t="shared" si="0"/>
        <v>026 - Servicio de transporte de personas</v>
      </c>
      <c r="I27" t="s">
        <v>100</v>
      </c>
      <c r="J27" s="20">
        <v>1267.74</v>
      </c>
      <c r="K27" s="20">
        <v>228.19</v>
      </c>
      <c r="L27" s="20">
        <f t="shared" si="1"/>
        <v>1495.93</v>
      </c>
      <c r="M27" s="30" t="s">
        <v>251</v>
      </c>
      <c r="N27" s="26">
        <f t="shared" si="2"/>
        <v>3.3940000000000001</v>
      </c>
      <c r="O27" s="20">
        <f t="shared" si="3"/>
        <v>5077.1900000000005</v>
      </c>
      <c r="P27" s="31">
        <f t="shared" si="4"/>
        <v>0.1</v>
      </c>
      <c r="Q27" s="32">
        <f t="shared" si="5"/>
        <v>700</v>
      </c>
      <c r="R27" t="str">
        <f t="shared" si="6"/>
        <v>SI</v>
      </c>
      <c r="S27" s="20">
        <f t="shared" si="7"/>
        <v>507.72</v>
      </c>
      <c r="T27" s="20">
        <v>508</v>
      </c>
      <c r="U27" t="str">
        <f t="shared" si="8"/>
        <v>OK</v>
      </c>
      <c r="V27" s="20"/>
      <c r="W27" s="20">
        <f t="shared" si="9"/>
        <v>1346.34</v>
      </c>
      <c r="X27" s="25"/>
      <c r="Y27" s="25"/>
      <c r="AB27" t="s">
        <v>205</v>
      </c>
    </row>
    <row r="28" spans="1:28" x14ac:dyDescent="0.25">
      <c r="A28">
        <v>25</v>
      </c>
      <c r="B28" s="25">
        <f>DATE(2026,8,8)</f>
        <v>46242</v>
      </c>
      <c r="C28" t="s">
        <v>270</v>
      </c>
      <c r="D28" s="30" t="s">
        <v>271</v>
      </c>
      <c r="E28" t="s">
        <v>272</v>
      </c>
      <c r="F28" t="s">
        <v>196</v>
      </c>
      <c r="G28" s="30" t="s">
        <v>63</v>
      </c>
      <c r="H28" t="str">
        <f t="shared" si="0"/>
        <v>037 - Demás servicios gravados con IGV (residual)</v>
      </c>
      <c r="I28" t="s">
        <v>100</v>
      </c>
      <c r="J28" s="20">
        <v>247.42</v>
      </c>
      <c r="K28" s="20">
        <v>44.53</v>
      </c>
      <c r="L28" s="20">
        <f t="shared" si="1"/>
        <v>291.95</v>
      </c>
      <c r="M28" s="30" t="s">
        <v>204</v>
      </c>
      <c r="N28" s="26">
        <f t="shared" si="2"/>
        <v>3.3940000000000001</v>
      </c>
      <c r="O28" s="20">
        <f t="shared" si="3"/>
        <v>990.87</v>
      </c>
      <c r="P28" s="31">
        <f t="shared" si="4"/>
        <v>0.12</v>
      </c>
      <c r="Q28" s="32">
        <f t="shared" si="5"/>
        <v>700</v>
      </c>
      <c r="R28" t="str">
        <f t="shared" si="6"/>
        <v>SI</v>
      </c>
      <c r="S28" s="20">
        <f t="shared" si="7"/>
        <v>118.9</v>
      </c>
      <c r="T28" s="20">
        <v>118.8</v>
      </c>
      <c r="U28" t="str">
        <f t="shared" si="8"/>
        <v>OK</v>
      </c>
      <c r="V28" s="20"/>
      <c r="W28" s="20">
        <f t="shared" si="9"/>
        <v>256.92</v>
      </c>
      <c r="X28" s="25"/>
      <c r="Y28" s="25"/>
      <c r="AB28" t="s">
        <v>205</v>
      </c>
    </row>
    <row r="29" spans="1:28" x14ac:dyDescent="0.25">
      <c r="A29">
        <v>26</v>
      </c>
      <c r="B29" s="25">
        <f>DATE(2026,8,18)</f>
        <v>46252</v>
      </c>
      <c r="C29" t="s">
        <v>273</v>
      </c>
      <c r="D29" s="30" t="s">
        <v>274</v>
      </c>
      <c r="E29" t="s">
        <v>275</v>
      </c>
      <c r="F29" t="s">
        <v>196</v>
      </c>
      <c r="G29" s="30" t="s">
        <v>67</v>
      </c>
      <c r="H29" t="str">
        <f t="shared" si="0"/>
        <v>N/A - No sujeto a detracción (aéreo regular, salud exonerada de IGV, importación de bienes, etc.)</v>
      </c>
      <c r="I29" t="s">
        <v>100</v>
      </c>
      <c r="J29" s="20">
        <v>274</v>
      </c>
      <c r="K29" s="20">
        <v>0</v>
      </c>
      <c r="L29" s="20">
        <f t="shared" si="1"/>
        <v>274</v>
      </c>
      <c r="M29" s="30" t="s">
        <v>204</v>
      </c>
      <c r="N29" s="26">
        <f t="shared" si="2"/>
        <v>3.37</v>
      </c>
      <c r="O29" s="20">
        <f t="shared" si="3"/>
        <v>923.38</v>
      </c>
      <c r="P29" s="31">
        <f t="shared" si="4"/>
        <v>0</v>
      </c>
      <c r="Q29" s="32">
        <f t="shared" si="5"/>
        <v>999999999</v>
      </c>
      <c r="R29" t="str">
        <f t="shared" si="6"/>
        <v>NO</v>
      </c>
      <c r="S29" s="20">
        <f t="shared" si="7"/>
        <v>0</v>
      </c>
      <c r="T29" s="20"/>
      <c r="U29" t="str">
        <f t="shared" si="8"/>
        <v/>
      </c>
      <c r="V29" s="20"/>
      <c r="W29" s="20">
        <f t="shared" si="9"/>
        <v>274</v>
      </c>
      <c r="X29" s="25"/>
      <c r="Y29" s="25"/>
      <c r="AB29" t="s">
        <v>205</v>
      </c>
    </row>
    <row r="30" spans="1:28" x14ac:dyDescent="0.25">
      <c r="A30">
        <v>27</v>
      </c>
      <c r="B30" s="25">
        <f>DATE(2026,8,6)</f>
        <v>46240</v>
      </c>
      <c r="C30" t="s">
        <v>276</v>
      </c>
      <c r="D30" s="30" t="s">
        <v>277</v>
      </c>
      <c r="E30" t="s">
        <v>278</v>
      </c>
      <c r="F30" t="s">
        <v>196</v>
      </c>
      <c r="G30" s="30" t="s">
        <v>67</v>
      </c>
      <c r="H30" t="str">
        <f t="shared" si="0"/>
        <v>N/A - No sujeto a detracción (aéreo regular, salud exonerada de IGV, importación de bienes, etc.)</v>
      </c>
      <c r="I30" t="s">
        <v>100</v>
      </c>
      <c r="J30" s="20">
        <v>88.98</v>
      </c>
      <c r="K30" s="20">
        <v>16.02</v>
      </c>
      <c r="L30" s="20">
        <f t="shared" si="1"/>
        <v>105</v>
      </c>
      <c r="M30" s="30" t="s">
        <v>204</v>
      </c>
      <c r="N30" s="26">
        <f t="shared" si="2"/>
        <v>3.3940000000000001</v>
      </c>
      <c r="O30" s="20">
        <f t="shared" si="3"/>
        <v>356.37</v>
      </c>
      <c r="P30" s="31">
        <f t="shared" si="4"/>
        <v>0</v>
      </c>
      <c r="Q30" s="32">
        <f t="shared" si="5"/>
        <v>999999999</v>
      </c>
      <c r="R30" t="str">
        <f t="shared" si="6"/>
        <v>NO</v>
      </c>
      <c r="S30" s="20">
        <f t="shared" si="7"/>
        <v>0</v>
      </c>
      <c r="T30" s="20"/>
      <c r="U30" t="str">
        <f t="shared" si="8"/>
        <v/>
      </c>
      <c r="V30" s="20"/>
      <c r="W30" s="20">
        <f t="shared" si="9"/>
        <v>105</v>
      </c>
      <c r="X30" s="25"/>
      <c r="Y30" s="25"/>
      <c r="AB30" t="s">
        <v>205</v>
      </c>
    </row>
    <row r="31" spans="1:28" x14ac:dyDescent="0.25">
      <c r="A31">
        <v>28</v>
      </c>
      <c r="B31" s="25">
        <f>DATE(2026,8,6)</f>
        <v>46240</v>
      </c>
      <c r="C31" t="s">
        <v>279</v>
      </c>
      <c r="D31" s="30" t="s">
        <v>277</v>
      </c>
      <c r="E31" t="s">
        <v>278</v>
      </c>
      <c r="F31" t="s">
        <v>196</v>
      </c>
      <c r="G31" s="30" t="s">
        <v>67</v>
      </c>
      <c r="H31" t="str">
        <f t="shared" si="0"/>
        <v>N/A - No sujeto a detracción (aéreo regular, salud exonerada de IGV, importación de bienes, etc.)</v>
      </c>
      <c r="I31" t="s">
        <v>100</v>
      </c>
      <c r="J31" s="20">
        <v>103.81</v>
      </c>
      <c r="K31" s="20">
        <v>18.690000000000001</v>
      </c>
      <c r="L31" s="20">
        <f t="shared" si="1"/>
        <v>122.5</v>
      </c>
      <c r="M31" s="30" t="s">
        <v>204</v>
      </c>
      <c r="N31" s="26">
        <f t="shared" si="2"/>
        <v>3.3940000000000001</v>
      </c>
      <c r="O31" s="20">
        <f t="shared" si="3"/>
        <v>415.76</v>
      </c>
      <c r="P31" s="31">
        <f t="shared" si="4"/>
        <v>0</v>
      </c>
      <c r="Q31" s="32">
        <f t="shared" si="5"/>
        <v>999999999</v>
      </c>
      <c r="R31" t="str">
        <f t="shared" si="6"/>
        <v>NO</v>
      </c>
      <c r="S31" s="20">
        <f t="shared" si="7"/>
        <v>0</v>
      </c>
      <c r="T31" s="20"/>
      <c r="U31" t="str">
        <f t="shared" si="8"/>
        <v/>
      </c>
      <c r="V31" s="20"/>
      <c r="W31" s="20">
        <f t="shared" si="9"/>
        <v>122.5</v>
      </c>
      <c r="X31" s="25"/>
      <c r="Y31" s="25"/>
      <c r="AB31" t="s">
        <v>205</v>
      </c>
    </row>
    <row r="32" spans="1:28" x14ac:dyDescent="0.25">
      <c r="A32">
        <v>29</v>
      </c>
      <c r="B32" s="25">
        <f>DATE(2026,8,19)</f>
        <v>46253</v>
      </c>
      <c r="C32" t="s">
        <v>280</v>
      </c>
      <c r="D32" s="30" t="s">
        <v>281</v>
      </c>
      <c r="E32" t="s">
        <v>282</v>
      </c>
      <c r="F32" t="s">
        <v>196</v>
      </c>
      <c r="G32" s="30" t="s">
        <v>67</v>
      </c>
      <c r="H32" t="str">
        <f t="shared" si="0"/>
        <v>N/A - No sujeto a detracción (aéreo regular, salud exonerada de IGV, importación de bienes, etc.)</v>
      </c>
      <c r="I32" t="s">
        <v>100</v>
      </c>
      <c r="J32" s="20">
        <v>89.06</v>
      </c>
      <c r="K32" s="20">
        <v>16.03</v>
      </c>
      <c r="L32" s="20">
        <f t="shared" si="1"/>
        <v>105.09</v>
      </c>
      <c r="M32" s="30" t="s">
        <v>204</v>
      </c>
      <c r="N32" s="26">
        <f t="shared" si="2"/>
        <v>3.3620000000000001</v>
      </c>
      <c r="O32" s="20">
        <f t="shared" si="3"/>
        <v>353.31</v>
      </c>
      <c r="P32" s="31">
        <f t="shared" si="4"/>
        <v>0</v>
      </c>
      <c r="Q32" s="32">
        <f t="shared" si="5"/>
        <v>999999999</v>
      </c>
      <c r="R32" t="str">
        <f t="shared" si="6"/>
        <v>NO</v>
      </c>
      <c r="S32" s="20">
        <f t="shared" si="7"/>
        <v>0</v>
      </c>
      <c r="T32" s="20"/>
      <c r="U32" t="str">
        <f t="shared" si="8"/>
        <v/>
      </c>
      <c r="V32" s="20"/>
      <c r="W32" s="20">
        <f t="shared" si="9"/>
        <v>105.09</v>
      </c>
      <c r="X32" s="25"/>
      <c r="Y32" s="25"/>
      <c r="AB32" t="s">
        <v>205</v>
      </c>
    </row>
    <row r="33" spans="1:28" x14ac:dyDescent="0.25">
      <c r="A33">
        <v>30</v>
      </c>
      <c r="B33" s="25">
        <f>DATE(2026,8,5)</f>
        <v>46239</v>
      </c>
      <c r="C33" t="s">
        <v>283</v>
      </c>
      <c r="D33" s="30" t="s">
        <v>284</v>
      </c>
      <c r="E33" t="s">
        <v>285</v>
      </c>
      <c r="F33" t="s">
        <v>231</v>
      </c>
      <c r="G33" s="30" t="s">
        <v>67</v>
      </c>
      <c r="H33" t="str">
        <f t="shared" si="0"/>
        <v>N/A - No sujeto a detracción (aéreo regular, salud exonerada de IGV, importación de bienes, etc.)</v>
      </c>
      <c r="I33" t="s">
        <v>197</v>
      </c>
      <c r="J33" s="20">
        <v>40</v>
      </c>
      <c r="K33" s="20">
        <v>0</v>
      </c>
      <c r="L33" s="20">
        <f t="shared" si="1"/>
        <v>40</v>
      </c>
      <c r="M33" s="30" t="s">
        <v>232</v>
      </c>
      <c r="N33" s="26">
        <f t="shared" si="2"/>
        <v>1</v>
      </c>
      <c r="O33" s="20">
        <f t="shared" si="3"/>
        <v>40</v>
      </c>
      <c r="P33" s="31">
        <f t="shared" si="4"/>
        <v>0</v>
      </c>
      <c r="Q33" s="32">
        <f t="shared" si="5"/>
        <v>999999999</v>
      </c>
      <c r="R33" t="str">
        <f t="shared" si="6"/>
        <v>NO</v>
      </c>
      <c r="S33" s="20">
        <f t="shared" si="7"/>
        <v>0</v>
      </c>
      <c r="T33" s="20"/>
      <c r="U33" t="str">
        <f t="shared" si="8"/>
        <v/>
      </c>
      <c r="V33" s="20"/>
      <c r="W33" s="20">
        <f t="shared" si="9"/>
        <v>40</v>
      </c>
      <c r="X33" s="25"/>
      <c r="Y33" s="25"/>
      <c r="AB33" t="s">
        <v>205</v>
      </c>
    </row>
    <row r="34" spans="1:28" x14ac:dyDescent="0.25">
      <c r="A34">
        <v>31</v>
      </c>
      <c r="B34" s="25">
        <f>DATE(2026,8,10)</f>
        <v>46244</v>
      </c>
      <c r="C34" t="s">
        <v>286</v>
      </c>
      <c r="D34" s="30" t="s">
        <v>229</v>
      </c>
      <c r="E34" t="s">
        <v>230</v>
      </c>
      <c r="F34" t="s">
        <v>231</v>
      </c>
      <c r="G34" s="30" t="s">
        <v>67</v>
      </c>
      <c r="H34" t="str">
        <f t="shared" si="0"/>
        <v>N/A - No sujeto a detracción (aéreo regular, salud exonerada de IGV, importación de bienes, etc.)</v>
      </c>
      <c r="I34" t="s">
        <v>197</v>
      </c>
      <c r="J34" s="20">
        <v>1025</v>
      </c>
      <c r="K34" s="20">
        <v>0</v>
      </c>
      <c r="L34" s="20">
        <f t="shared" si="1"/>
        <v>1025</v>
      </c>
      <c r="M34" s="30" t="s">
        <v>232</v>
      </c>
      <c r="N34" s="26">
        <f t="shared" si="2"/>
        <v>1</v>
      </c>
      <c r="O34" s="20">
        <f t="shared" si="3"/>
        <v>1025</v>
      </c>
      <c r="P34" s="31">
        <f t="shared" si="4"/>
        <v>0</v>
      </c>
      <c r="Q34" s="32">
        <f t="shared" si="5"/>
        <v>999999999</v>
      </c>
      <c r="R34" t="str">
        <f t="shared" si="6"/>
        <v>NO</v>
      </c>
      <c r="S34" s="20">
        <f t="shared" si="7"/>
        <v>0</v>
      </c>
      <c r="T34" s="20"/>
      <c r="U34" t="str">
        <f t="shared" si="8"/>
        <v/>
      </c>
      <c r="V34" s="20"/>
      <c r="W34" s="20">
        <f t="shared" si="9"/>
        <v>1025</v>
      </c>
      <c r="X34" s="25"/>
      <c r="Y34" s="25"/>
      <c r="AB34" t="s">
        <v>199</v>
      </c>
    </row>
    <row r="35" spans="1:28" x14ac:dyDescent="0.25">
      <c r="A35">
        <v>32</v>
      </c>
      <c r="B35" s="25">
        <f>DATE(2026,8,18)</f>
        <v>46252</v>
      </c>
      <c r="C35" t="s">
        <v>287</v>
      </c>
      <c r="D35" s="30" t="s">
        <v>288</v>
      </c>
      <c r="E35" t="s">
        <v>289</v>
      </c>
      <c r="F35" t="s">
        <v>231</v>
      </c>
      <c r="G35" s="30" t="s">
        <v>67</v>
      </c>
      <c r="H35" t="str">
        <f t="shared" si="0"/>
        <v>N/A - No sujeto a detracción (aéreo regular, salud exonerada de IGV, importación de bienes, etc.)</v>
      </c>
      <c r="I35" t="s">
        <v>100</v>
      </c>
      <c r="J35" s="20">
        <v>60</v>
      </c>
      <c r="K35" s="20">
        <v>0</v>
      </c>
      <c r="L35" s="20">
        <f t="shared" si="1"/>
        <v>60</v>
      </c>
      <c r="M35" s="30" t="s">
        <v>232</v>
      </c>
      <c r="N35" s="26">
        <f t="shared" si="2"/>
        <v>3.37</v>
      </c>
      <c r="O35" s="20">
        <f t="shared" si="3"/>
        <v>202.2</v>
      </c>
      <c r="P35" s="31">
        <f t="shared" si="4"/>
        <v>0</v>
      </c>
      <c r="Q35" s="32">
        <f t="shared" si="5"/>
        <v>999999999</v>
      </c>
      <c r="R35" t="str">
        <f t="shared" si="6"/>
        <v>NO</v>
      </c>
      <c r="S35" s="20">
        <f t="shared" si="7"/>
        <v>0</v>
      </c>
      <c r="T35" s="20"/>
      <c r="U35" t="str">
        <f t="shared" si="8"/>
        <v/>
      </c>
      <c r="V35" s="20"/>
      <c r="W35" s="20">
        <f t="shared" si="9"/>
        <v>60</v>
      </c>
      <c r="X35" s="25"/>
      <c r="Y35" s="25"/>
      <c r="AB35" t="s">
        <v>205</v>
      </c>
    </row>
    <row r="36" spans="1:28" x14ac:dyDescent="0.25">
      <c r="A36">
        <v>33</v>
      </c>
      <c r="B36" s="25">
        <f>DATE(2026,8,14)</f>
        <v>46248</v>
      </c>
      <c r="C36" t="s">
        <v>290</v>
      </c>
      <c r="D36" s="30" t="s">
        <v>237</v>
      </c>
      <c r="E36" t="s">
        <v>238</v>
      </c>
      <c r="F36" t="s">
        <v>196</v>
      </c>
      <c r="G36" s="30" t="s">
        <v>67</v>
      </c>
      <c r="H36" t="str">
        <f t="shared" si="0"/>
        <v>N/A - No sujeto a detracción (aéreo regular, salud exonerada de IGV, importación de bienes, etc.)</v>
      </c>
      <c r="I36" t="s">
        <v>100</v>
      </c>
      <c r="J36" s="20">
        <v>54.69</v>
      </c>
      <c r="K36" s="20">
        <v>9.84</v>
      </c>
      <c r="L36" s="20">
        <f t="shared" si="1"/>
        <v>64.53</v>
      </c>
      <c r="M36" s="30" t="s">
        <v>204</v>
      </c>
      <c r="N36" s="26">
        <f t="shared" si="2"/>
        <v>3.371</v>
      </c>
      <c r="O36" s="20">
        <f t="shared" si="3"/>
        <v>217.53000000000003</v>
      </c>
      <c r="P36" s="31">
        <f t="shared" si="4"/>
        <v>0</v>
      </c>
      <c r="Q36" s="32">
        <f t="shared" si="5"/>
        <v>999999999</v>
      </c>
      <c r="R36" t="str">
        <f t="shared" si="6"/>
        <v>NO</v>
      </c>
      <c r="S36" s="20">
        <f t="shared" si="7"/>
        <v>0</v>
      </c>
      <c r="T36" s="20"/>
      <c r="U36" t="str">
        <f t="shared" si="8"/>
        <v/>
      </c>
      <c r="V36" s="20"/>
      <c r="W36" s="20">
        <f t="shared" si="9"/>
        <v>64.53</v>
      </c>
      <c r="X36" s="25"/>
      <c r="Y36" s="25"/>
      <c r="AB36" t="s">
        <v>205</v>
      </c>
    </row>
    <row r="37" spans="1:28" x14ac:dyDescent="0.25">
      <c r="A37">
        <v>34</v>
      </c>
      <c r="B37" s="25">
        <f>DATE(2026,8,14)</f>
        <v>46248</v>
      </c>
      <c r="C37" t="s">
        <v>291</v>
      </c>
      <c r="D37" s="30" t="s">
        <v>240</v>
      </c>
      <c r="E37" t="s">
        <v>241</v>
      </c>
      <c r="F37" t="s">
        <v>196</v>
      </c>
      <c r="G37" s="30" t="s">
        <v>67</v>
      </c>
      <c r="H37" t="str">
        <f t="shared" si="0"/>
        <v>N/A - No sujeto a detracción (aéreo regular, salud exonerada de IGV, importación de bienes, etc.)</v>
      </c>
      <c r="I37" t="s">
        <v>197</v>
      </c>
      <c r="J37" s="20">
        <v>630.55999999999995</v>
      </c>
      <c r="K37" s="20">
        <v>113.5</v>
      </c>
      <c r="L37" s="20">
        <f t="shared" si="1"/>
        <v>744.06</v>
      </c>
      <c r="M37" s="30" t="s">
        <v>204</v>
      </c>
      <c r="N37" s="26">
        <f t="shared" si="2"/>
        <v>1</v>
      </c>
      <c r="O37" s="20">
        <f t="shared" si="3"/>
        <v>744.06</v>
      </c>
      <c r="P37" s="31">
        <f t="shared" si="4"/>
        <v>0</v>
      </c>
      <c r="Q37" s="32">
        <f t="shared" si="5"/>
        <v>999999999</v>
      </c>
      <c r="R37" t="str">
        <f t="shared" si="6"/>
        <v>NO</v>
      </c>
      <c r="S37" s="20">
        <f t="shared" si="7"/>
        <v>0</v>
      </c>
      <c r="T37" s="20"/>
      <c r="U37" t="str">
        <f t="shared" si="8"/>
        <v/>
      </c>
      <c r="V37" s="20"/>
      <c r="W37" s="20">
        <f t="shared" si="9"/>
        <v>744.06</v>
      </c>
      <c r="X37" s="25"/>
      <c r="Y37" s="25"/>
      <c r="AB37" t="s">
        <v>205</v>
      </c>
    </row>
    <row r="38" spans="1:28" x14ac:dyDescent="0.25">
      <c r="A38">
        <v>35</v>
      </c>
      <c r="B38" s="25">
        <f>DATE(2026,8,13)</f>
        <v>46247</v>
      </c>
      <c r="C38" t="s">
        <v>292</v>
      </c>
      <c r="D38" s="30" t="s">
        <v>210</v>
      </c>
      <c r="E38" t="s">
        <v>211</v>
      </c>
      <c r="F38" t="s">
        <v>196</v>
      </c>
      <c r="G38" s="30" t="s">
        <v>67</v>
      </c>
      <c r="H38" t="str">
        <f t="shared" si="0"/>
        <v>N/A - No sujeto a detracción (aéreo regular, salud exonerada de IGV, importación de bienes, etc.)</v>
      </c>
      <c r="I38" t="s">
        <v>100</v>
      </c>
      <c r="J38" s="20">
        <v>138.18</v>
      </c>
      <c r="K38" s="20">
        <v>0</v>
      </c>
      <c r="L38" s="20">
        <f t="shared" si="1"/>
        <v>138.18</v>
      </c>
      <c r="M38" s="30" t="s">
        <v>204</v>
      </c>
      <c r="N38" s="26">
        <f t="shared" si="2"/>
        <v>3.3650000000000002</v>
      </c>
      <c r="O38" s="20">
        <f t="shared" si="3"/>
        <v>464.98</v>
      </c>
      <c r="P38" s="31">
        <f t="shared" si="4"/>
        <v>0</v>
      </c>
      <c r="Q38" s="32">
        <f t="shared" si="5"/>
        <v>999999999</v>
      </c>
      <c r="R38" t="str">
        <f t="shared" si="6"/>
        <v>NO</v>
      </c>
      <c r="S38" s="20">
        <f t="shared" si="7"/>
        <v>0</v>
      </c>
      <c r="T38" s="20"/>
      <c r="U38" t="str">
        <f t="shared" si="8"/>
        <v/>
      </c>
      <c r="V38" s="20"/>
      <c r="W38" s="20">
        <f t="shared" si="9"/>
        <v>138.18</v>
      </c>
      <c r="X38" s="25"/>
      <c r="Y38" s="25"/>
      <c r="AB38" t="s">
        <v>205</v>
      </c>
    </row>
    <row r="39" spans="1:28" x14ac:dyDescent="0.25">
      <c r="A39">
        <v>36</v>
      </c>
      <c r="B39" s="25">
        <f>DATE(2026,8,17)</f>
        <v>46251</v>
      </c>
      <c r="C39" t="s">
        <v>293</v>
      </c>
      <c r="D39" s="30" t="s">
        <v>246</v>
      </c>
      <c r="E39" t="s">
        <v>247</v>
      </c>
      <c r="F39" t="s">
        <v>196</v>
      </c>
      <c r="G39" s="30" t="s">
        <v>67</v>
      </c>
      <c r="H39" t="str">
        <f t="shared" si="0"/>
        <v>N/A - No sujeto a detracción (aéreo regular, salud exonerada de IGV, importación de bienes, etc.)</v>
      </c>
      <c r="I39" t="s">
        <v>100</v>
      </c>
      <c r="J39" s="20">
        <v>318.58</v>
      </c>
      <c r="K39" s="20">
        <v>0</v>
      </c>
      <c r="L39" s="20">
        <f t="shared" si="1"/>
        <v>318.58</v>
      </c>
      <c r="M39" s="30" t="s">
        <v>204</v>
      </c>
      <c r="N39" s="26">
        <f t="shared" si="2"/>
        <v>3.3679999999999999</v>
      </c>
      <c r="O39" s="20">
        <f t="shared" si="3"/>
        <v>1072.98</v>
      </c>
      <c r="P39" s="31">
        <f t="shared" si="4"/>
        <v>0</v>
      </c>
      <c r="Q39" s="32">
        <f t="shared" si="5"/>
        <v>999999999</v>
      </c>
      <c r="R39" t="str">
        <f t="shared" si="6"/>
        <v>NO</v>
      </c>
      <c r="S39" s="20">
        <f t="shared" si="7"/>
        <v>0</v>
      </c>
      <c r="T39" s="20"/>
      <c r="U39" t="str">
        <f t="shared" si="8"/>
        <v/>
      </c>
      <c r="V39" s="20"/>
      <c r="W39" s="20">
        <f t="shared" si="9"/>
        <v>318.58</v>
      </c>
      <c r="X39" s="25"/>
      <c r="Y39" s="25"/>
      <c r="AB39" t="s">
        <v>205</v>
      </c>
    </row>
    <row r="40" spans="1:28" x14ac:dyDescent="0.25">
      <c r="A40">
        <v>37</v>
      </c>
      <c r="B40" s="25">
        <f>DATE(2026,8,18)</f>
        <v>46252</v>
      </c>
      <c r="C40" t="s">
        <v>294</v>
      </c>
      <c r="D40" s="30" t="s">
        <v>295</v>
      </c>
      <c r="E40" t="s">
        <v>296</v>
      </c>
      <c r="F40" t="s">
        <v>196</v>
      </c>
      <c r="G40" s="30" t="s">
        <v>67</v>
      </c>
      <c r="H40" t="str">
        <f t="shared" si="0"/>
        <v>N/A - No sujeto a detracción (aéreo regular, salud exonerada de IGV, importación de bienes, etc.)</v>
      </c>
      <c r="I40" t="s">
        <v>100</v>
      </c>
      <c r="J40" s="20">
        <v>1102</v>
      </c>
      <c r="K40" s="20">
        <v>0</v>
      </c>
      <c r="L40" s="20">
        <f t="shared" si="1"/>
        <v>1102</v>
      </c>
      <c r="M40" s="30" t="s">
        <v>204</v>
      </c>
      <c r="N40" s="26">
        <f t="shared" si="2"/>
        <v>3.37</v>
      </c>
      <c r="O40" s="20">
        <f t="shared" si="3"/>
        <v>3713.74</v>
      </c>
      <c r="P40" s="31">
        <f t="shared" si="4"/>
        <v>0</v>
      </c>
      <c r="Q40" s="32">
        <f t="shared" si="5"/>
        <v>999999999</v>
      </c>
      <c r="R40" t="str">
        <f t="shared" si="6"/>
        <v>NO</v>
      </c>
      <c r="S40" s="20">
        <f t="shared" si="7"/>
        <v>0</v>
      </c>
      <c r="T40" s="20"/>
      <c r="U40" t="str">
        <f t="shared" si="8"/>
        <v/>
      </c>
      <c r="V40" s="20"/>
      <c r="W40" s="20">
        <f t="shared" si="9"/>
        <v>1102</v>
      </c>
      <c r="X40" s="25"/>
      <c r="Y40" s="25"/>
      <c r="AB40" t="s">
        <v>205</v>
      </c>
    </row>
    <row r="41" spans="1:28" x14ac:dyDescent="0.25">
      <c r="A41">
        <v>38</v>
      </c>
      <c r="B41" s="25">
        <f>DATE(2026,8,14)</f>
        <v>46248</v>
      </c>
      <c r="C41" t="s">
        <v>297</v>
      </c>
      <c r="D41" s="30" t="s">
        <v>253</v>
      </c>
      <c r="E41" t="s">
        <v>254</v>
      </c>
      <c r="F41" t="s">
        <v>196</v>
      </c>
      <c r="G41" s="30" t="s">
        <v>51</v>
      </c>
      <c r="H41" t="str">
        <f t="shared" si="0"/>
        <v>026 - Servicio de transporte de personas</v>
      </c>
      <c r="I41" t="s">
        <v>100</v>
      </c>
      <c r="J41" s="20">
        <v>300</v>
      </c>
      <c r="K41" s="20">
        <v>54</v>
      </c>
      <c r="L41" s="20">
        <f t="shared" si="1"/>
        <v>354</v>
      </c>
      <c r="M41" s="30" t="s">
        <v>251</v>
      </c>
      <c r="N41" s="26">
        <f t="shared" si="2"/>
        <v>3.371</v>
      </c>
      <c r="O41" s="20">
        <f t="shared" si="3"/>
        <v>1193.33</v>
      </c>
      <c r="P41" s="31">
        <f t="shared" si="4"/>
        <v>0.1</v>
      </c>
      <c r="Q41" s="32">
        <f t="shared" si="5"/>
        <v>700</v>
      </c>
      <c r="R41" t="str">
        <f t="shared" si="6"/>
        <v>SI</v>
      </c>
      <c r="S41" s="20">
        <f t="shared" si="7"/>
        <v>119.33</v>
      </c>
      <c r="T41" s="20">
        <v>119.33</v>
      </c>
      <c r="U41" t="str">
        <f t="shared" si="8"/>
        <v>OK</v>
      </c>
      <c r="V41" s="20"/>
      <c r="W41" s="20">
        <f t="shared" si="9"/>
        <v>318.60000000000002</v>
      </c>
      <c r="X41" s="25"/>
      <c r="Y41" s="25"/>
      <c r="AB41" t="s">
        <v>205</v>
      </c>
    </row>
    <row r="42" spans="1:28" x14ac:dyDescent="0.25">
      <c r="A42">
        <v>39</v>
      </c>
      <c r="B42" s="25">
        <f>DATE(2026,8,1)</f>
        <v>46235</v>
      </c>
      <c r="C42" t="s">
        <v>298</v>
      </c>
      <c r="D42" s="30" t="s">
        <v>299</v>
      </c>
      <c r="E42" t="s">
        <v>300</v>
      </c>
      <c r="F42" t="s">
        <v>196</v>
      </c>
      <c r="G42" s="30" t="s">
        <v>51</v>
      </c>
      <c r="H42" t="str">
        <f t="shared" si="0"/>
        <v>026 - Servicio de transporte de personas</v>
      </c>
      <c r="I42" t="s">
        <v>197</v>
      </c>
      <c r="J42" s="20">
        <v>949.15</v>
      </c>
      <c r="K42" s="20">
        <v>170.85</v>
      </c>
      <c r="L42" s="20">
        <f t="shared" si="1"/>
        <v>1120</v>
      </c>
      <c r="M42" s="30" t="s">
        <v>251</v>
      </c>
      <c r="N42" s="26">
        <f t="shared" si="2"/>
        <v>1</v>
      </c>
      <c r="O42" s="20">
        <f t="shared" si="3"/>
        <v>1120</v>
      </c>
      <c r="P42" s="31">
        <f t="shared" si="4"/>
        <v>0.1</v>
      </c>
      <c r="Q42" s="32">
        <f t="shared" si="5"/>
        <v>700</v>
      </c>
      <c r="R42" t="str">
        <f t="shared" si="6"/>
        <v>SI</v>
      </c>
      <c r="S42" s="20">
        <f t="shared" si="7"/>
        <v>112</v>
      </c>
      <c r="T42" s="20">
        <v>112</v>
      </c>
      <c r="U42" t="str">
        <f t="shared" si="8"/>
        <v>OK</v>
      </c>
      <c r="V42" s="20"/>
      <c r="W42" s="20">
        <f t="shared" si="9"/>
        <v>1008</v>
      </c>
      <c r="X42" s="25"/>
      <c r="Y42" s="25"/>
      <c r="AB42" t="s">
        <v>205</v>
      </c>
    </row>
    <row r="43" spans="1:28" x14ac:dyDescent="0.25">
      <c r="A43">
        <v>40</v>
      </c>
      <c r="B43" s="25">
        <f>DATE(2026,8,13)</f>
        <v>46247</v>
      </c>
      <c r="C43" t="s">
        <v>301</v>
      </c>
      <c r="D43" s="30" t="s">
        <v>302</v>
      </c>
      <c r="E43" t="s">
        <v>303</v>
      </c>
      <c r="F43" t="s">
        <v>196</v>
      </c>
      <c r="G43" s="30" t="s">
        <v>67</v>
      </c>
      <c r="H43" t="str">
        <f t="shared" si="0"/>
        <v>N/A - No sujeto a detracción (aéreo regular, salud exonerada de IGV, importación de bienes, etc.)</v>
      </c>
      <c r="I43" t="s">
        <v>100</v>
      </c>
      <c r="J43" s="20">
        <v>1684.76</v>
      </c>
      <c r="K43" s="20">
        <v>0</v>
      </c>
      <c r="L43" s="20">
        <f t="shared" si="1"/>
        <v>1684.76</v>
      </c>
      <c r="M43" s="30" t="s">
        <v>204</v>
      </c>
      <c r="N43" s="26">
        <f t="shared" si="2"/>
        <v>3.3650000000000002</v>
      </c>
      <c r="O43" s="20">
        <f t="shared" si="3"/>
        <v>5669.22</v>
      </c>
      <c r="P43" s="31">
        <f t="shared" si="4"/>
        <v>0</v>
      </c>
      <c r="Q43" s="32">
        <f t="shared" si="5"/>
        <v>999999999</v>
      </c>
      <c r="R43" t="str">
        <f t="shared" si="6"/>
        <v>NO</v>
      </c>
      <c r="S43" s="20">
        <f t="shared" si="7"/>
        <v>0</v>
      </c>
      <c r="T43" s="20"/>
      <c r="U43" t="str">
        <f t="shared" si="8"/>
        <v/>
      </c>
      <c r="V43" s="20"/>
      <c r="W43" s="20">
        <f t="shared" si="9"/>
        <v>1684.76</v>
      </c>
      <c r="X43" s="25"/>
      <c r="Y43" s="25"/>
      <c r="AB43" t="s">
        <v>205</v>
      </c>
    </row>
    <row r="44" spans="1:28" x14ac:dyDescent="0.25">
      <c r="A44">
        <v>41</v>
      </c>
      <c r="B44" s="25">
        <f>DATE(2026,8,18)</f>
        <v>46252</v>
      </c>
      <c r="C44" t="s">
        <v>304</v>
      </c>
      <c r="D44" s="30" t="s">
        <v>207</v>
      </c>
      <c r="E44" t="s">
        <v>305</v>
      </c>
      <c r="F44" t="s">
        <v>196</v>
      </c>
      <c r="G44" s="30" t="s">
        <v>67</v>
      </c>
      <c r="H44" t="str">
        <f t="shared" si="0"/>
        <v>N/A - No sujeto a detracción (aéreo regular, salud exonerada de IGV, importación de bienes, etc.)</v>
      </c>
      <c r="I44" t="s">
        <v>100</v>
      </c>
      <c r="J44" s="20">
        <v>360</v>
      </c>
      <c r="K44" s="20">
        <v>0</v>
      </c>
      <c r="L44" s="20">
        <f t="shared" si="1"/>
        <v>360</v>
      </c>
      <c r="M44" s="30" t="s">
        <v>204</v>
      </c>
      <c r="N44" s="26">
        <f t="shared" si="2"/>
        <v>3.37</v>
      </c>
      <c r="O44" s="20">
        <f t="shared" si="3"/>
        <v>1213.2</v>
      </c>
      <c r="P44" s="31">
        <f t="shared" si="4"/>
        <v>0</v>
      </c>
      <c r="Q44" s="32">
        <f t="shared" si="5"/>
        <v>999999999</v>
      </c>
      <c r="R44" t="str">
        <f t="shared" si="6"/>
        <v>NO</v>
      </c>
      <c r="S44" s="20">
        <f t="shared" si="7"/>
        <v>0</v>
      </c>
      <c r="T44" s="20"/>
      <c r="U44" t="str">
        <f t="shared" si="8"/>
        <v/>
      </c>
      <c r="V44" s="20"/>
      <c r="W44" s="20">
        <f t="shared" si="9"/>
        <v>360</v>
      </c>
      <c r="X44" s="25"/>
      <c r="Y44" s="25"/>
      <c r="AB44" t="s">
        <v>205</v>
      </c>
    </row>
    <row r="45" spans="1:28" x14ac:dyDescent="0.25">
      <c r="A45">
        <v>42</v>
      </c>
      <c r="B45" s="25">
        <f>DATE(2026,8,17)</f>
        <v>46251</v>
      </c>
      <c r="C45" t="s">
        <v>306</v>
      </c>
      <c r="D45" s="30" t="s">
        <v>265</v>
      </c>
      <c r="E45" t="s">
        <v>266</v>
      </c>
      <c r="F45" t="s">
        <v>231</v>
      </c>
      <c r="G45" s="30" t="s">
        <v>67</v>
      </c>
      <c r="H45" t="str">
        <f t="shared" si="0"/>
        <v>N/A - No sujeto a detracción (aéreo regular, salud exonerada de IGV, importación de bienes, etc.)</v>
      </c>
      <c r="I45" t="s">
        <v>100</v>
      </c>
      <c r="J45" s="20">
        <v>70</v>
      </c>
      <c r="K45" s="20">
        <v>0</v>
      </c>
      <c r="L45" s="20">
        <f t="shared" si="1"/>
        <v>70</v>
      </c>
      <c r="M45" s="30" t="s">
        <v>232</v>
      </c>
      <c r="N45" s="26">
        <f t="shared" si="2"/>
        <v>3.3679999999999999</v>
      </c>
      <c r="O45" s="20">
        <f t="shared" si="3"/>
        <v>235.76</v>
      </c>
      <c r="P45" s="31">
        <f t="shared" si="4"/>
        <v>0</v>
      </c>
      <c r="Q45" s="32">
        <f t="shared" si="5"/>
        <v>999999999</v>
      </c>
      <c r="R45" t="str">
        <f t="shared" si="6"/>
        <v>NO</v>
      </c>
      <c r="S45" s="20">
        <f t="shared" si="7"/>
        <v>0</v>
      </c>
      <c r="T45" s="20"/>
      <c r="U45" t="str">
        <f t="shared" si="8"/>
        <v/>
      </c>
      <c r="V45" s="20">
        <v>5.6</v>
      </c>
      <c r="W45" s="20">
        <f t="shared" si="9"/>
        <v>64.400000000000006</v>
      </c>
      <c r="X45" s="25"/>
      <c r="Y45" s="25"/>
      <c r="AB45" t="s">
        <v>205</v>
      </c>
    </row>
    <row r="46" spans="1:28" x14ac:dyDescent="0.25">
      <c r="A46">
        <v>43</v>
      </c>
      <c r="B46" s="25">
        <f>DATE(2026,8,18)</f>
        <v>46252</v>
      </c>
      <c r="C46" t="s">
        <v>307</v>
      </c>
      <c r="D46" s="30" t="s">
        <v>308</v>
      </c>
      <c r="E46" t="s">
        <v>309</v>
      </c>
      <c r="F46" t="s">
        <v>196</v>
      </c>
      <c r="G46" s="30" t="s">
        <v>67</v>
      </c>
      <c r="H46" t="str">
        <f t="shared" si="0"/>
        <v>N/A - No sujeto a detracción (aéreo regular, salud exonerada de IGV, importación de bienes, etc.)</v>
      </c>
      <c r="I46" t="s">
        <v>100</v>
      </c>
      <c r="J46" s="20">
        <v>2100</v>
      </c>
      <c r="K46" s="20">
        <v>0</v>
      </c>
      <c r="L46" s="20">
        <f t="shared" si="1"/>
        <v>2100</v>
      </c>
      <c r="M46" s="30" t="s">
        <v>204</v>
      </c>
      <c r="N46" s="26">
        <f t="shared" si="2"/>
        <v>3.37</v>
      </c>
      <c r="O46" s="20">
        <f t="shared" si="3"/>
        <v>7077</v>
      </c>
      <c r="P46" s="31">
        <f t="shared" si="4"/>
        <v>0</v>
      </c>
      <c r="Q46" s="32">
        <f t="shared" si="5"/>
        <v>999999999</v>
      </c>
      <c r="R46" t="str">
        <f t="shared" si="6"/>
        <v>NO</v>
      </c>
      <c r="S46" s="20">
        <f t="shared" si="7"/>
        <v>0</v>
      </c>
      <c r="T46" s="20"/>
      <c r="U46" t="str">
        <f t="shared" si="8"/>
        <v/>
      </c>
      <c r="V46" s="20"/>
      <c r="W46" s="20">
        <f t="shared" si="9"/>
        <v>2100</v>
      </c>
      <c r="X46" s="25"/>
      <c r="Y46" s="25"/>
      <c r="AB46" t="s">
        <v>205</v>
      </c>
    </row>
    <row r="47" spans="1:28" x14ac:dyDescent="0.25">
      <c r="A47">
        <v>44</v>
      </c>
      <c r="B47" s="25">
        <f>DATE(2026,8,4)</f>
        <v>46238</v>
      </c>
      <c r="C47" t="s">
        <v>310</v>
      </c>
      <c r="D47" s="30" t="s">
        <v>311</v>
      </c>
      <c r="E47" t="s">
        <v>312</v>
      </c>
      <c r="F47" t="s">
        <v>231</v>
      </c>
      <c r="G47" s="30" t="s">
        <v>67</v>
      </c>
      <c r="H47" t="str">
        <f t="shared" si="0"/>
        <v>N/A - No sujeto a detracción (aéreo regular, salud exonerada de IGV, importación de bienes, etc.)</v>
      </c>
      <c r="I47" t="s">
        <v>100</v>
      </c>
      <c r="J47" s="20">
        <v>400</v>
      </c>
      <c r="K47" s="20">
        <v>0</v>
      </c>
      <c r="L47" s="20">
        <f t="shared" si="1"/>
        <v>400</v>
      </c>
      <c r="M47" s="30" t="s">
        <v>232</v>
      </c>
      <c r="N47" s="26">
        <f t="shared" si="2"/>
        <v>3.4020000000000001</v>
      </c>
      <c r="O47" s="20">
        <f t="shared" si="3"/>
        <v>1360.8</v>
      </c>
      <c r="P47" s="31">
        <f t="shared" si="4"/>
        <v>0</v>
      </c>
      <c r="Q47" s="32">
        <f t="shared" si="5"/>
        <v>999999999</v>
      </c>
      <c r="R47" t="str">
        <f t="shared" si="6"/>
        <v>NO</v>
      </c>
      <c r="S47" s="20">
        <f t="shared" si="7"/>
        <v>0</v>
      </c>
      <c r="T47" s="20"/>
      <c r="U47" t="str">
        <f t="shared" si="8"/>
        <v/>
      </c>
      <c r="V47" s="20"/>
      <c r="W47" s="20">
        <f t="shared" si="9"/>
        <v>400</v>
      </c>
      <c r="X47" s="25"/>
      <c r="Y47" s="25"/>
      <c r="AB47" t="s">
        <v>205</v>
      </c>
    </row>
    <row r="48" spans="1:28" x14ac:dyDescent="0.25">
      <c r="A48">
        <v>45</v>
      </c>
      <c r="B48" s="25">
        <f>DATE(2026,8,14)</f>
        <v>46248</v>
      </c>
      <c r="C48" t="s">
        <v>313</v>
      </c>
      <c r="D48" s="30" t="s">
        <v>274</v>
      </c>
      <c r="E48" t="s">
        <v>314</v>
      </c>
      <c r="F48" t="s">
        <v>196</v>
      </c>
      <c r="G48" s="30" t="s">
        <v>67</v>
      </c>
      <c r="H48" t="str">
        <f t="shared" si="0"/>
        <v>N/A - No sujeto a detracción (aéreo regular, salud exonerada de IGV, importación de bienes, etc.)</v>
      </c>
      <c r="I48" t="s">
        <v>100</v>
      </c>
      <c r="J48" s="20">
        <v>677.02</v>
      </c>
      <c r="K48" s="20">
        <v>0</v>
      </c>
      <c r="L48" s="20">
        <f t="shared" si="1"/>
        <v>677.02</v>
      </c>
      <c r="M48" s="30" t="s">
        <v>204</v>
      </c>
      <c r="N48" s="26">
        <f t="shared" si="2"/>
        <v>3.371</v>
      </c>
      <c r="O48" s="20">
        <f t="shared" si="3"/>
        <v>2282.23</v>
      </c>
      <c r="P48" s="31">
        <f t="shared" si="4"/>
        <v>0</v>
      </c>
      <c r="Q48" s="32">
        <f t="shared" si="5"/>
        <v>999999999</v>
      </c>
      <c r="R48" t="str">
        <f t="shared" si="6"/>
        <v>NO</v>
      </c>
      <c r="S48" s="20">
        <f t="shared" si="7"/>
        <v>0</v>
      </c>
      <c r="T48" s="20"/>
      <c r="U48" t="str">
        <f t="shared" si="8"/>
        <v/>
      </c>
      <c r="V48" s="20"/>
      <c r="W48" s="20">
        <f t="shared" si="9"/>
        <v>677.02</v>
      </c>
      <c r="X48" s="25"/>
      <c r="Y48" s="25"/>
      <c r="AB48" t="s">
        <v>205</v>
      </c>
    </row>
    <row r="49" spans="1:28" x14ac:dyDescent="0.25">
      <c r="A49">
        <v>46</v>
      </c>
      <c r="B49" s="25">
        <f>DATE(2026,8,6)</f>
        <v>46240</v>
      </c>
      <c r="C49" t="s">
        <v>315</v>
      </c>
      <c r="D49" s="30" t="s">
        <v>277</v>
      </c>
      <c r="E49" t="s">
        <v>278</v>
      </c>
      <c r="F49" t="s">
        <v>196</v>
      </c>
      <c r="G49" s="30" t="s">
        <v>67</v>
      </c>
      <c r="H49" t="str">
        <f t="shared" si="0"/>
        <v>N/A - No sujeto a detracción (aéreo regular, salud exonerada de IGV, importación de bienes, etc.)</v>
      </c>
      <c r="I49" t="s">
        <v>100</v>
      </c>
      <c r="J49" s="20">
        <v>133.47999999999999</v>
      </c>
      <c r="K49" s="20">
        <v>24.03</v>
      </c>
      <c r="L49" s="20">
        <f t="shared" si="1"/>
        <v>157.51</v>
      </c>
      <c r="M49" s="30" t="s">
        <v>204</v>
      </c>
      <c r="N49" s="26">
        <f t="shared" si="2"/>
        <v>3.3940000000000001</v>
      </c>
      <c r="O49" s="20">
        <f t="shared" si="3"/>
        <v>534.58999999999992</v>
      </c>
      <c r="P49" s="31">
        <f t="shared" si="4"/>
        <v>0</v>
      </c>
      <c r="Q49" s="32">
        <f t="shared" si="5"/>
        <v>999999999</v>
      </c>
      <c r="R49" t="str">
        <f t="shared" si="6"/>
        <v>NO</v>
      </c>
      <c r="S49" s="20">
        <f t="shared" si="7"/>
        <v>0</v>
      </c>
      <c r="T49" s="20"/>
      <c r="U49" t="str">
        <f t="shared" si="8"/>
        <v/>
      </c>
      <c r="V49" s="20"/>
      <c r="W49" s="20">
        <f t="shared" si="9"/>
        <v>157.51</v>
      </c>
      <c r="X49" s="25"/>
      <c r="Y49" s="25"/>
      <c r="AB49" t="s">
        <v>205</v>
      </c>
    </row>
    <row r="50" spans="1:28" x14ac:dyDescent="0.25">
      <c r="A50">
        <v>47</v>
      </c>
      <c r="B50" s="25">
        <f>DATE(2026,8,6)</f>
        <v>46240</v>
      </c>
      <c r="C50" t="s">
        <v>316</v>
      </c>
      <c r="D50" s="30" t="s">
        <v>277</v>
      </c>
      <c r="E50" t="s">
        <v>278</v>
      </c>
      <c r="F50" t="s">
        <v>196</v>
      </c>
      <c r="G50" s="30" t="s">
        <v>67</v>
      </c>
      <c r="H50" t="str">
        <f t="shared" si="0"/>
        <v>N/A - No sujeto a detracción (aéreo regular, salud exonerada de IGV, importación de bienes, etc.)</v>
      </c>
      <c r="I50" t="s">
        <v>100</v>
      </c>
      <c r="J50" s="20">
        <v>103.81</v>
      </c>
      <c r="K50" s="20">
        <v>18.690000000000001</v>
      </c>
      <c r="L50" s="20">
        <f t="shared" si="1"/>
        <v>122.5</v>
      </c>
      <c r="M50" s="30" t="s">
        <v>204</v>
      </c>
      <c r="N50" s="26">
        <f t="shared" si="2"/>
        <v>3.3940000000000001</v>
      </c>
      <c r="O50" s="20">
        <f t="shared" si="3"/>
        <v>415.76</v>
      </c>
      <c r="P50" s="31">
        <f t="shared" si="4"/>
        <v>0</v>
      </c>
      <c r="Q50" s="32">
        <f t="shared" si="5"/>
        <v>999999999</v>
      </c>
      <c r="R50" t="str">
        <f t="shared" si="6"/>
        <v>NO</v>
      </c>
      <c r="S50" s="20">
        <f t="shared" si="7"/>
        <v>0</v>
      </c>
      <c r="T50" s="20"/>
      <c r="U50" t="str">
        <f t="shared" si="8"/>
        <v/>
      </c>
      <c r="V50" s="20"/>
      <c r="W50" s="20">
        <f t="shared" si="9"/>
        <v>122.5</v>
      </c>
      <c r="X50" s="25"/>
      <c r="Y50" s="25"/>
      <c r="AB50" t="s">
        <v>205</v>
      </c>
    </row>
    <row r="51" spans="1:28" x14ac:dyDescent="0.25">
      <c r="A51">
        <v>48</v>
      </c>
      <c r="B51" s="25">
        <f>DATE(2026,8,5)</f>
        <v>46239</v>
      </c>
      <c r="C51" t="s">
        <v>317</v>
      </c>
      <c r="D51" s="30" t="s">
        <v>318</v>
      </c>
      <c r="E51" t="s">
        <v>319</v>
      </c>
      <c r="F51" t="s">
        <v>231</v>
      </c>
      <c r="G51" s="30" t="s">
        <v>67</v>
      </c>
      <c r="H51" t="str">
        <f t="shared" si="0"/>
        <v>N/A - No sujeto a detracción (aéreo regular, salud exonerada de IGV, importación de bienes, etc.)</v>
      </c>
      <c r="I51" t="s">
        <v>197</v>
      </c>
      <c r="J51" s="20">
        <v>1575</v>
      </c>
      <c r="K51" s="20">
        <v>0</v>
      </c>
      <c r="L51" s="20">
        <f t="shared" si="1"/>
        <v>1575</v>
      </c>
      <c r="M51" s="30" t="s">
        <v>232</v>
      </c>
      <c r="N51" s="26">
        <f t="shared" si="2"/>
        <v>1</v>
      </c>
      <c r="O51" s="20">
        <f t="shared" si="3"/>
        <v>1575</v>
      </c>
      <c r="P51" s="31">
        <f t="shared" si="4"/>
        <v>0</v>
      </c>
      <c r="Q51" s="32">
        <f t="shared" si="5"/>
        <v>999999999</v>
      </c>
      <c r="R51" t="str">
        <f t="shared" si="6"/>
        <v>NO</v>
      </c>
      <c r="S51" s="20">
        <f t="shared" si="7"/>
        <v>0</v>
      </c>
      <c r="T51" s="20"/>
      <c r="U51" t="str">
        <f t="shared" si="8"/>
        <v/>
      </c>
      <c r="V51" s="20"/>
      <c r="W51" s="20">
        <f t="shared" si="9"/>
        <v>1575</v>
      </c>
      <c r="X51" s="25"/>
      <c r="Y51" s="25"/>
      <c r="AB51" t="s">
        <v>205</v>
      </c>
    </row>
    <row r="52" spans="1:28" x14ac:dyDescent="0.25">
      <c r="A52">
        <v>49</v>
      </c>
      <c r="B52" s="25">
        <f>DATE(2026,8,7)</f>
        <v>46241</v>
      </c>
      <c r="C52" t="s">
        <v>320</v>
      </c>
      <c r="D52" s="30" t="s">
        <v>321</v>
      </c>
      <c r="E52" t="s">
        <v>322</v>
      </c>
      <c r="F52" t="s">
        <v>231</v>
      </c>
      <c r="G52" s="30" t="s">
        <v>67</v>
      </c>
      <c r="H52" t="str">
        <f t="shared" si="0"/>
        <v>N/A - No sujeto a detracción (aéreo regular, salud exonerada de IGV, importación de bienes, etc.)</v>
      </c>
      <c r="I52" t="s">
        <v>197</v>
      </c>
      <c r="J52" s="20">
        <v>2500</v>
      </c>
      <c r="K52" s="20">
        <v>0</v>
      </c>
      <c r="L52" s="20">
        <f t="shared" si="1"/>
        <v>2500</v>
      </c>
      <c r="M52" s="30" t="s">
        <v>232</v>
      </c>
      <c r="N52" s="26">
        <f t="shared" si="2"/>
        <v>1</v>
      </c>
      <c r="O52" s="20">
        <f t="shared" si="3"/>
        <v>2500</v>
      </c>
      <c r="P52" s="31">
        <f t="shared" si="4"/>
        <v>0</v>
      </c>
      <c r="Q52" s="32">
        <f t="shared" si="5"/>
        <v>999999999</v>
      </c>
      <c r="R52" t="str">
        <f t="shared" si="6"/>
        <v>NO</v>
      </c>
      <c r="S52" s="20">
        <f t="shared" si="7"/>
        <v>0</v>
      </c>
      <c r="T52" s="20"/>
      <c r="U52" t="str">
        <f t="shared" si="8"/>
        <v/>
      </c>
      <c r="V52" s="20"/>
      <c r="W52" s="20">
        <f t="shared" si="9"/>
        <v>2500</v>
      </c>
      <c r="X52" s="25"/>
      <c r="Y52" s="25"/>
      <c r="AB52" t="s">
        <v>199</v>
      </c>
    </row>
    <row r="53" spans="1:28" x14ac:dyDescent="0.25">
      <c r="A53">
        <v>50</v>
      </c>
      <c r="B53" s="25">
        <f>DATE(2026,8,10)</f>
        <v>46244</v>
      </c>
      <c r="C53" t="s">
        <v>323</v>
      </c>
      <c r="D53" s="30" t="s">
        <v>229</v>
      </c>
      <c r="E53" t="s">
        <v>230</v>
      </c>
      <c r="F53" t="s">
        <v>231</v>
      </c>
      <c r="G53" s="30" t="s">
        <v>67</v>
      </c>
      <c r="H53" t="str">
        <f t="shared" si="0"/>
        <v>N/A - No sujeto a detracción (aéreo regular, salud exonerada de IGV, importación de bienes, etc.)</v>
      </c>
      <c r="I53" t="s">
        <v>197</v>
      </c>
      <c r="J53" s="20">
        <v>1025</v>
      </c>
      <c r="K53" s="20">
        <v>0</v>
      </c>
      <c r="L53" s="20">
        <f t="shared" si="1"/>
        <v>1025</v>
      </c>
      <c r="M53" s="30" t="s">
        <v>232</v>
      </c>
      <c r="N53" s="26">
        <f t="shared" si="2"/>
        <v>1</v>
      </c>
      <c r="O53" s="20">
        <f t="shared" si="3"/>
        <v>1025</v>
      </c>
      <c r="P53" s="31">
        <f t="shared" si="4"/>
        <v>0</v>
      </c>
      <c r="Q53" s="32">
        <f t="shared" si="5"/>
        <v>999999999</v>
      </c>
      <c r="R53" t="str">
        <f t="shared" si="6"/>
        <v>NO</v>
      </c>
      <c r="S53" s="20">
        <f t="shared" si="7"/>
        <v>0</v>
      </c>
      <c r="T53" s="20"/>
      <c r="U53" t="str">
        <f t="shared" si="8"/>
        <v/>
      </c>
      <c r="V53" s="20"/>
      <c r="W53" s="20">
        <f t="shared" si="9"/>
        <v>1025</v>
      </c>
      <c r="X53" s="25"/>
      <c r="Y53" s="25"/>
      <c r="AB53" t="s">
        <v>199</v>
      </c>
    </row>
    <row r="54" spans="1:28" x14ac:dyDescent="0.25">
      <c r="A54">
        <v>51</v>
      </c>
      <c r="B54" s="25">
        <f>DATE(2026,8,16)</f>
        <v>46250</v>
      </c>
      <c r="C54" t="s">
        <v>324</v>
      </c>
      <c r="D54" s="30" t="s">
        <v>325</v>
      </c>
      <c r="E54" t="s">
        <v>326</v>
      </c>
      <c r="F54" t="s">
        <v>196</v>
      </c>
      <c r="G54" s="30" t="s">
        <v>67</v>
      </c>
      <c r="H54" t="str">
        <f t="shared" si="0"/>
        <v>N/A - No sujeto a detracción (aéreo regular, salud exonerada de IGV, importación de bienes, etc.)</v>
      </c>
      <c r="I54" t="s">
        <v>100</v>
      </c>
      <c r="J54" s="20">
        <v>504</v>
      </c>
      <c r="K54" s="20">
        <v>0</v>
      </c>
      <c r="L54" s="20">
        <f t="shared" si="1"/>
        <v>504</v>
      </c>
      <c r="M54" s="30" t="s">
        <v>204</v>
      </c>
      <c r="N54" s="26">
        <f t="shared" si="2"/>
        <v>3.371</v>
      </c>
      <c r="O54" s="20">
        <f t="shared" si="3"/>
        <v>1698.98</v>
      </c>
      <c r="P54" s="31">
        <f t="shared" si="4"/>
        <v>0</v>
      </c>
      <c r="Q54" s="32">
        <f t="shared" si="5"/>
        <v>999999999</v>
      </c>
      <c r="R54" t="str">
        <f t="shared" si="6"/>
        <v>NO</v>
      </c>
      <c r="S54" s="20">
        <f t="shared" si="7"/>
        <v>0</v>
      </c>
      <c r="T54" s="20"/>
      <c r="U54" t="str">
        <f t="shared" si="8"/>
        <v/>
      </c>
      <c r="V54" s="20"/>
      <c r="W54" s="20">
        <f t="shared" si="9"/>
        <v>504</v>
      </c>
      <c r="X54" s="25"/>
      <c r="Y54" s="25"/>
      <c r="AB54" t="s">
        <v>205</v>
      </c>
    </row>
    <row r="55" spans="1:28" x14ac:dyDescent="0.25">
      <c r="A55">
        <v>52</v>
      </c>
      <c r="B55" s="25">
        <f>DATE(2026,8,15)</f>
        <v>46249</v>
      </c>
      <c r="C55" t="s">
        <v>327</v>
      </c>
      <c r="D55" s="30" t="s">
        <v>328</v>
      </c>
      <c r="E55" t="s">
        <v>329</v>
      </c>
      <c r="F55" t="s">
        <v>196</v>
      </c>
      <c r="G55" s="30" t="s">
        <v>67</v>
      </c>
      <c r="H55" t="str">
        <f t="shared" si="0"/>
        <v>N/A - No sujeto a detracción (aéreo regular, salud exonerada de IGV, importación de bienes, etc.)</v>
      </c>
      <c r="I55" t="s">
        <v>100</v>
      </c>
      <c r="J55" s="20">
        <v>769.61</v>
      </c>
      <c r="K55" s="20">
        <v>138.53</v>
      </c>
      <c r="L55" s="20">
        <f t="shared" si="1"/>
        <v>908.14</v>
      </c>
      <c r="M55" s="30" t="s">
        <v>204</v>
      </c>
      <c r="N55" s="26">
        <f t="shared" si="2"/>
        <v>3.371</v>
      </c>
      <c r="O55" s="20">
        <f t="shared" si="3"/>
        <v>3061.34</v>
      </c>
      <c r="P55" s="31">
        <f t="shared" si="4"/>
        <v>0</v>
      </c>
      <c r="Q55" s="32">
        <f t="shared" si="5"/>
        <v>999999999</v>
      </c>
      <c r="R55" t="str">
        <f t="shared" si="6"/>
        <v>NO</v>
      </c>
      <c r="S55" s="20">
        <f t="shared" si="7"/>
        <v>0</v>
      </c>
      <c r="T55" s="20"/>
      <c r="U55" t="str">
        <f t="shared" si="8"/>
        <v/>
      </c>
      <c r="V55" s="20"/>
      <c r="W55" s="20">
        <f t="shared" si="9"/>
        <v>908.14</v>
      </c>
      <c r="X55" s="25"/>
      <c r="Y55" s="25"/>
      <c r="AB55" t="s">
        <v>205</v>
      </c>
    </row>
    <row r="56" spans="1:28" x14ac:dyDescent="0.25">
      <c r="A56">
        <v>53</v>
      </c>
      <c r="B56" s="25">
        <f>DATE(2026,8,7)</f>
        <v>46241</v>
      </c>
      <c r="C56" t="s">
        <v>330</v>
      </c>
      <c r="D56" s="30" t="s">
        <v>331</v>
      </c>
      <c r="E56" t="s">
        <v>332</v>
      </c>
      <c r="F56" t="s">
        <v>231</v>
      </c>
      <c r="G56" s="30" t="s">
        <v>67</v>
      </c>
      <c r="H56" t="str">
        <f t="shared" si="0"/>
        <v>N/A - No sujeto a detracción (aéreo regular, salud exonerada de IGV, importación de bienes, etc.)</v>
      </c>
      <c r="I56" t="s">
        <v>197</v>
      </c>
      <c r="J56" s="20">
        <v>500</v>
      </c>
      <c r="K56" s="20">
        <v>0</v>
      </c>
      <c r="L56" s="20">
        <f t="shared" si="1"/>
        <v>500</v>
      </c>
      <c r="M56" s="30" t="s">
        <v>232</v>
      </c>
      <c r="N56" s="26">
        <f t="shared" si="2"/>
        <v>1</v>
      </c>
      <c r="O56" s="20">
        <f t="shared" si="3"/>
        <v>500</v>
      </c>
      <c r="P56" s="31">
        <f t="shared" si="4"/>
        <v>0</v>
      </c>
      <c r="Q56" s="32">
        <f t="shared" si="5"/>
        <v>999999999</v>
      </c>
      <c r="R56" t="str">
        <f t="shared" si="6"/>
        <v>NO</v>
      </c>
      <c r="S56" s="20">
        <f t="shared" si="7"/>
        <v>0</v>
      </c>
      <c r="T56" s="20"/>
      <c r="U56" t="str">
        <f t="shared" si="8"/>
        <v/>
      </c>
      <c r="V56" s="20">
        <v>60</v>
      </c>
      <c r="W56" s="20">
        <f t="shared" si="9"/>
        <v>440</v>
      </c>
      <c r="X56" s="25"/>
      <c r="Y56" s="25"/>
      <c r="AB56" t="s">
        <v>199</v>
      </c>
    </row>
    <row r="57" spans="1:28" x14ac:dyDescent="0.25">
      <c r="A57">
        <v>54</v>
      </c>
      <c r="B57" s="25">
        <f>DATE(2026,8,13)</f>
        <v>46247</v>
      </c>
      <c r="C57" t="s">
        <v>333</v>
      </c>
      <c r="D57" s="30" t="s">
        <v>210</v>
      </c>
      <c r="E57" t="s">
        <v>211</v>
      </c>
      <c r="F57" t="s">
        <v>218</v>
      </c>
      <c r="G57" s="30" t="s">
        <v>67</v>
      </c>
      <c r="H57" t="str">
        <f t="shared" si="0"/>
        <v>N/A - No sujeto a detracción (aéreo regular, salud exonerada de IGV, importación de bienes, etc.)</v>
      </c>
      <c r="I57" t="s">
        <v>100</v>
      </c>
      <c r="J57" s="20">
        <v>-237.5</v>
      </c>
      <c r="K57" s="20">
        <v>-42.75</v>
      </c>
      <c r="L57" s="20">
        <f t="shared" si="1"/>
        <v>-280.25</v>
      </c>
      <c r="M57" s="30" t="s">
        <v>204</v>
      </c>
      <c r="N57" s="26">
        <f t="shared" si="2"/>
        <v>3.3650000000000002</v>
      </c>
      <c r="O57" s="20">
        <f t="shared" si="3"/>
        <v>-943.04000000000008</v>
      </c>
      <c r="P57" s="31">
        <f t="shared" si="4"/>
        <v>0</v>
      </c>
      <c r="Q57" s="32">
        <f t="shared" si="5"/>
        <v>999999999</v>
      </c>
      <c r="R57" t="str">
        <f t="shared" si="6"/>
        <v>NO</v>
      </c>
      <c r="S57" s="20">
        <f t="shared" si="7"/>
        <v>0</v>
      </c>
      <c r="T57" s="20"/>
      <c r="U57" t="str">
        <f t="shared" si="8"/>
        <v/>
      </c>
      <c r="V57" s="20"/>
      <c r="W57" s="20">
        <f t="shared" si="9"/>
        <v>-280.25</v>
      </c>
      <c r="X57" s="25"/>
      <c r="Y57" s="25"/>
      <c r="AB57" t="s">
        <v>205</v>
      </c>
    </row>
    <row r="58" spans="1:28" x14ac:dyDescent="0.25">
      <c r="A58">
        <v>55</v>
      </c>
      <c r="B58" s="25">
        <f>DATE(2026,8,17)</f>
        <v>46251</v>
      </c>
      <c r="C58" t="s">
        <v>334</v>
      </c>
      <c r="D58" s="30" t="s">
        <v>246</v>
      </c>
      <c r="E58" t="s">
        <v>247</v>
      </c>
      <c r="F58" t="s">
        <v>196</v>
      </c>
      <c r="G58" s="30" t="s">
        <v>67</v>
      </c>
      <c r="H58" t="str">
        <f t="shared" si="0"/>
        <v>N/A - No sujeto a detracción (aéreo regular, salud exonerada de IGV, importación de bienes, etc.)</v>
      </c>
      <c r="I58" t="s">
        <v>100</v>
      </c>
      <c r="J58" s="20">
        <v>94.66</v>
      </c>
      <c r="K58" s="20">
        <v>17.04</v>
      </c>
      <c r="L58" s="20">
        <f t="shared" si="1"/>
        <v>111.69999999999999</v>
      </c>
      <c r="M58" s="30" t="s">
        <v>204</v>
      </c>
      <c r="N58" s="26">
        <f t="shared" si="2"/>
        <v>3.3679999999999999</v>
      </c>
      <c r="O58" s="20">
        <f t="shared" si="3"/>
        <v>376.2</v>
      </c>
      <c r="P58" s="31">
        <f t="shared" si="4"/>
        <v>0</v>
      </c>
      <c r="Q58" s="32">
        <f t="shared" si="5"/>
        <v>999999999</v>
      </c>
      <c r="R58" t="str">
        <f t="shared" si="6"/>
        <v>NO</v>
      </c>
      <c r="S58" s="20">
        <f t="shared" si="7"/>
        <v>0</v>
      </c>
      <c r="T58" s="20"/>
      <c r="U58" t="str">
        <f t="shared" si="8"/>
        <v/>
      </c>
      <c r="V58" s="20"/>
      <c r="W58" s="20">
        <f t="shared" si="9"/>
        <v>111.7</v>
      </c>
      <c r="X58" s="25"/>
      <c r="Y58" s="25"/>
      <c r="AB58" t="s">
        <v>205</v>
      </c>
    </row>
    <row r="59" spans="1:28" x14ac:dyDescent="0.25">
      <c r="A59">
        <v>56</v>
      </c>
      <c r="B59" s="25">
        <f>DATE(2026,8,18)</f>
        <v>46252</v>
      </c>
      <c r="C59" t="s">
        <v>335</v>
      </c>
      <c r="D59" s="30" t="s">
        <v>295</v>
      </c>
      <c r="E59" t="s">
        <v>296</v>
      </c>
      <c r="F59" t="s">
        <v>218</v>
      </c>
      <c r="G59" s="30" t="s">
        <v>67</v>
      </c>
      <c r="H59" t="str">
        <f t="shared" si="0"/>
        <v>N/A - No sujeto a detracción (aéreo regular, salud exonerada de IGV, importación de bienes, etc.)</v>
      </c>
      <c r="I59" t="s">
        <v>100</v>
      </c>
      <c r="J59" s="20">
        <v>-1102</v>
      </c>
      <c r="K59" s="20">
        <v>-198.36</v>
      </c>
      <c r="L59" s="20">
        <f t="shared" si="1"/>
        <v>-1300.3600000000001</v>
      </c>
      <c r="M59" s="30" t="s">
        <v>204</v>
      </c>
      <c r="N59" s="26">
        <f t="shared" si="2"/>
        <v>3.37</v>
      </c>
      <c r="O59" s="20">
        <f t="shared" si="3"/>
        <v>-4382.21</v>
      </c>
      <c r="P59" s="31">
        <f t="shared" si="4"/>
        <v>0</v>
      </c>
      <c r="Q59" s="32">
        <f t="shared" si="5"/>
        <v>999999999</v>
      </c>
      <c r="R59" t="str">
        <f t="shared" si="6"/>
        <v>NO</v>
      </c>
      <c r="S59" s="20">
        <f t="shared" si="7"/>
        <v>0</v>
      </c>
      <c r="T59" s="20"/>
      <c r="U59" t="str">
        <f t="shared" si="8"/>
        <v/>
      </c>
      <c r="V59" s="20"/>
      <c r="W59" s="20">
        <f t="shared" si="9"/>
        <v>-1300.3599999999999</v>
      </c>
      <c r="X59" s="25"/>
      <c r="Y59" s="25"/>
      <c r="AB59" t="s">
        <v>205</v>
      </c>
    </row>
    <row r="60" spans="1:28" x14ac:dyDescent="0.25">
      <c r="A60">
        <v>57</v>
      </c>
      <c r="B60" s="25">
        <f>DATE(2026,8,14)</f>
        <v>46248</v>
      </c>
      <c r="C60" t="s">
        <v>336</v>
      </c>
      <c r="D60" s="30" t="s">
        <v>253</v>
      </c>
      <c r="E60" t="s">
        <v>254</v>
      </c>
      <c r="F60" t="s">
        <v>196</v>
      </c>
      <c r="G60" s="30" t="s">
        <v>51</v>
      </c>
      <c r="H60" t="str">
        <f t="shared" si="0"/>
        <v>026 - Servicio de transporte de personas</v>
      </c>
      <c r="I60" t="s">
        <v>100</v>
      </c>
      <c r="J60" s="20">
        <v>260</v>
      </c>
      <c r="K60" s="20">
        <v>46.8</v>
      </c>
      <c r="L60" s="20">
        <f t="shared" si="1"/>
        <v>306.8</v>
      </c>
      <c r="M60" s="30" t="s">
        <v>251</v>
      </c>
      <c r="N60" s="26">
        <f t="shared" si="2"/>
        <v>3.371</v>
      </c>
      <c r="O60" s="20">
        <f t="shared" si="3"/>
        <v>1034.22</v>
      </c>
      <c r="P60" s="31">
        <f t="shared" si="4"/>
        <v>0.1</v>
      </c>
      <c r="Q60" s="32">
        <f t="shared" si="5"/>
        <v>700</v>
      </c>
      <c r="R60" t="str">
        <f t="shared" si="6"/>
        <v>SI</v>
      </c>
      <c r="S60" s="20">
        <f t="shared" si="7"/>
        <v>103.42</v>
      </c>
      <c r="T60" s="20">
        <v>103.42</v>
      </c>
      <c r="U60" t="str">
        <f t="shared" si="8"/>
        <v>OK</v>
      </c>
      <c r="V60" s="20"/>
      <c r="W60" s="20">
        <f t="shared" si="9"/>
        <v>276.12</v>
      </c>
      <c r="X60" s="25"/>
      <c r="Y60" s="25"/>
      <c r="AB60" t="s">
        <v>205</v>
      </c>
    </row>
    <row r="61" spans="1:28" x14ac:dyDescent="0.25">
      <c r="A61">
        <v>58</v>
      </c>
      <c r="B61" s="25">
        <f>DATE(2026,8,12)</f>
        <v>46246</v>
      </c>
      <c r="C61" t="s">
        <v>337</v>
      </c>
      <c r="D61" s="30" t="s">
        <v>338</v>
      </c>
      <c r="E61" t="s">
        <v>339</v>
      </c>
      <c r="F61" t="s">
        <v>196</v>
      </c>
      <c r="G61" s="30" t="s">
        <v>51</v>
      </c>
      <c r="H61" t="str">
        <f t="shared" si="0"/>
        <v>026 - Servicio de transporte de personas</v>
      </c>
      <c r="I61" t="s">
        <v>100</v>
      </c>
      <c r="J61" s="20">
        <v>662.63</v>
      </c>
      <c r="K61" s="20">
        <v>119.27</v>
      </c>
      <c r="L61" s="20">
        <f t="shared" si="1"/>
        <v>781.9</v>
      </c>
      <c r="M61" s="30" t="s">
        <v>251</v>
      </c>
      <c r="N61" s="26">
        <f t="shared" si="2"/>
        <v>3.3719999999999999</v>
      </c>
      <c r="O61" s="20">
        <f t="shared" si="3"/>
        <v>2636.5699999999997</v>
      </c>
      <c r="P61" s="31">
        <f t="shared" si="4"/>
        <v>0.1</v>
      </c>
      <c r="Q61" s="32">
        <f t="shared" si="5"/>
        <v>700</v>
      </c>
      <c r="R61" t="str">
        <f t="shared" si="6"/>
        <v>SI</v>
      </c>
      <c r="S61" s="20">
        <f t="shared" si="7"/>
        <v>263.66000000000003</v>
      </c>
      <c r="T61" s="20">
        <v>264</v>
      </c>
      <c r="U61" t="str">
        <f t="shared" si="8"/>
        <v>OK</v>
      </c>
      <c r="V61" s="20"/>
      <c r="W61" s="20">
        <f t="shared" si="9"/>
        <v>703.71</v>
      </c>
      <c r="X61" s="25"/>
      <c r="Y61" s="25"/>
      <c r="AB61" t="s">
        <v>199</v>
      </c>
    </row>
    <row r="62" spans="1:28" x14ac:dyDescent="0.25">
      <c r="A62">
        <v>59</v>
      </c>
      <c r="B62" s="25">
        <f>DATE(2026,8,10)</f>
        <v>46244</v>
      </c>
      <c r="C62" t="s">
        <v>340</v>
      </c>
      <c r="D62" s="30" t="s">
        <v>262</v>
      </c>
      <c r="E62" t="s">
        <v>263</v>
      </c>
      <c r="F62" t="s">
        <v>196</v>
      </c>
      <c r="G62" s="30" t="s">
        <v>63</v>
      </c>
      <c r="H62" t="str">
        <f t="shared" si="0"/>
        <v>037 - Demás servicios gravados con IGV (residual)</v>
      </c>
      <c r="I62" t="s">
        <v>100</v>
      </c>
      <c r="J62" s="20">
        <v>1041.8599999999999</v>
      </c>
      <c r="K62" s="20">
        <v>187.54</v>
      </c>
      <c r="L62" s="20">
        <f t="shared" si="1"/>
        <v>1229.3999999999999</v>
      </c>
      <c r="M62" s="30" t="s">
        <v>204</v>
      </c>
      <c r="N62" s="26">
        <f t="shared" si="2"/>
        <v>3.391</v>
      </c>
      <c r="O62" s="20">
        <f t="shared" si="3"/>
        <v>4168.8999999999996</v>
      </c>
      <c r="P62" s="31">
        <f t="shared" si="4"/>
        <v>0.12</v>
      </c>
      <c r="Q62" s="32">
        <f t="shared" si="5"/>
        <v>700</v>
      </c>
      <c r="R62" t="str">
        <f t="shared" si="6"/>
        <v>SI</v>
      </c>
      <c r="S62" s="20">
        <f t="shared" si="7"/>
        <v>500.27</v>
      </c>
      <c r="T62" s="20">
        <v>500.27</v>
      </c>
      <c r="U62" t="str">
        <f t="shared" si="8"/>
        <v>OK</v>
      </c>
      <c r="V62" s="20"/>
      <c r="W62" s="20">
        <f t="shared" si="9"/>
        <v>1081.8699999999999</v>
      </c>
      <c r="X62" s="25"/>
      <c r="Y62" s="25"/>
      <c r="AB62" t="s">
        <v>205</v>
      </c>
    </row>
    <row r="63" spans="1:28" x14ac:dyDescent="0.25">
      <c r="A63">
        <v>60</v>
      </c>
      <c r="B63" s="25">
        <f>DATE(2026,8,12)</f>
        <v>46246</v>
      </c>
      <c r="C63" t="s">
        <v>341</v>
      </c>
      <c r="D63" s="30" t="s">
        <v>342</v>
      </c>
      <c r="E63" t="s">
        <v>343</v>
      </c>
      <c r="F63" t="s">
        <v>196</v>
      </c>
      <c r="G63" s="30" t="s">
        <v>67</v>
      </c>
      <c r="H63" t="str">
        <f t="shared" si="0"/>
        <v>N/A - No sujeto a detracción (aéreo regular, salud exonerada de IGV, importación de bienes, etc.)</v>
      </c>
      <c r="I63" t="s">
        <v>100</v>
      </c>
      <c r="J63" s="20">
        <v>2184.75</v>
      </c>
      <c r="K63" s="20">
        <v>393.25</v>
      </c>
      <c r="L63" s="20">
        <f t="shared" si="1"/>
        <v>2578</v>
      </c>
      <c r="M63" s="30" t="s">
        <v>204</v>
      </c>
      <c r="N63" s="26">
        <f t="shared" si="2"/>
        <v>3.3719999999999999</v>
      </c>
      <c r="O63" s="20">
        <f t="shared" si="3"/>
        <v>8693.02</v>
      </c>
      <c r="P63" s="31">
        <f t="shared" si="4"/>
        <v>0</v>
      </c>
      <c r="Q63" s="32">
        <f t="shared" si="5"/>
        <v>999999999</v>
      </c>
      <c r="R63" t="str">
        <f t="shared" si="6"/>
        <v>NO</v>
      </c>
      <c r="S63" s="20">
        <f t="shared" si="7"/>
        <v>0</v>
      </c>
      <c r="T63" s="20"/>
      <c r="U63" t="str">
        <f t="shared" si="8"/>
        <v/>
      </c>
      <c r="V63" s="20"/>
      <c r="W63" s="20">
        <f t="shared" si="9"/>
        <v>2578</v>
      </c>
      <c r="X63" s="25"/>
      <c r="Y63" s="25"/>
      <c r="AB63" t="s">
        <v>205</v>
      </c>
    </row>
    <row r="64" spans="1:28" x14ac:dyDescent="0.25">
      <c r="A64">
        <v>61</v>
      </c>
      <c r="B64" s="25">
        <f>DATE(2026,8,8)</f>
        <v>46242</v>
      </c>
      <c r="C64" t="s">
        <v>344</v>
      </c>
      <c r="D64" s="30" t="s">
        <v>345</v>
      </c>
      <c r="E64" t="s">
        <v>346</v>
      </c>
      <c r="F64" t="s">
        <v>196</v>
      </c>
      <c r="G64" s="30" t="s">
        <v>67</v>
      </c>
      <c r="H64" t="str">
        <f t="shared" si="0"/>
        <v>N/A - No sujeto a detracción (aéreo regular, salud exonerada de IGV, importación de bienes, etc.)</v>
      </c>
      <c r="I64" t="s">
        <v>197</v>
      </c>
      <c r="J64" s="20">
        <v>180.09</v>
      </c>
      <c r="K64" s="20">
        <v>18.91</v>
      </c>
      <c r="L64" s="20">
        <f t="shared" si="1"/>
        <v>199</v>
      </c>
      <c r="M64" s="30" t="s">
        <v>204</v>
      </c>
      <c r="N64" s="26">
        <f t="shared" si="2"/>
        <v>1</v>
      </c>
      <c r="O64" s="20">
        <f t="shared" si="3"/>
        <v>199</v>
      </c>
      <c r="P64" s="31">
        <f t="shared" si="4"/>
        <v>0</v>
      </c>
      <c r="Q64" s="32">
        <f t="shared" si="5"/>
        <v>999999999</v>
      </c>
      <c r="R64" t="str">
        <f t="shared" si="6"/>
        <v>NO</v>
      </c>
      <c r="S64" s="20">
        <f t="shared" si="7"/>
        <v>0</v>
      </c>
      <c r="T64" s="20"/>
      <c r="U64" t="str">
        <f t="shared" si="8"/>
        <v/>
      </c>
      <c r="V64" s="20"/>
      <c r="W64" s="20">
        <f t="shared" si="9"/>
        <v>199</v>
      </c>
      <c r="X64" s="25"/>
      <c r="Y64" s="25"/>
      <c r="AB64" t="s">
        <v>199</v>
      </c>
    </row>
    <row r="65" spans="1:28" x14ac:dyDescent="0.25">
      <c r="A65">
        <v>62</v>
      </c>
      <c r="B65" s="25">
        <f>DATE(2026,8,4)</f>
        <v>46238</v>
      </c>
      <c r="C65" t="s">
        <v>347</v>
      </c>
      <c r="D65" s="30" t="s">
        <v>288</v>
      </c>
      <c r="E65" t="s">
        <v>289</v>
      </c>
      <c r="F65" t="s">
        <v>231</v>
      </c>
      <c r="G65" s="30" t="s">
        <v>67</v>
      </c>
      <c r="H65" t="str">
        <f t="shared" si="0"/>
        <v>N/A - No sujeto a detracción (aéreo regular, salud exonerada de IGV, importación de bienes, etc.)</v>
      </c>
      <c r="I65" t="s">
        <v>100</v>
      </c>
      <c r="J65" s="20">
        <v>190</v>
      </c>
      <c r="K65" s="20">
        <v>0</v>
      </c>
      <c r="L65" s="20">
        <f t="shared" si="1"/>
        <v>190</v>
      </c>
      <c r="M65" s="30" t="s">
        <v>232</v>
      </c>
      <c r="N65" s="26">
        <f t="shared" si="2"/>
        <v>3.4020000000000001</v>
      </c>
      <c r="O65" s="20">
        <f t="shared" si="3"/>
        <v>646.38</v>
      </c>
      <c r="P65" s="31">
        <f t="shared" si="4"/>
        <v>0</v>
      </c>
      <c r="Q65" s="32">
        <f t="shared" si="5"/>
        <v>999999999</v>
      </c>
      <c r="R65" t="str">
        <f t="shared" si="6"/>
        <v>NO</v>
      </c>
      <c r="S65" s="20">
        <f t="shared" si="7"/>
        <v>0</v>
      </c>
      <c r="T65" s="20"/>
      <c r="U65" t="str">
        <f t="shared" si="8"/>
        <v/>
      </c>
      <c r="V65" s="20"/>
      <c r="W65" s="20">
        <f t="shared" si="9"/>
        <v>190</v>
      </c>
      <c r="X65" s="25"/>
      <c r="Y65" s="25"/>
      <c r="AB65" t="s">
        <v>205</v>
      </c>
    </row>
    <row r="66" spans="1:28" x14ac:dyDescent="0.25">
      <c r="A66">
        <v>63</v>
      </c>
      <c r="B66" s="25">
        <f>DATE(2026,8,6)</f>
        <v>46240</v>
      </c>
      <c r="C66" t="s">
        <v>348</v>
      </c>
      <c r="D66" s="30" t="s">
        <v>277</v>
      </c>
      <c r="E66" t="s">
        <v>278</v>
      </c>
      <c r="F66" t="s">
        <v>196</v>
      </c>
      <c r="G66" s="30" t="s">
        <v>67</v>
      </c>
      <c r="H66" t="str">
        <f t="shared" si="0"/>
        <v>N/A - No sujeto a detracción (aéreo regular, salud exonerada de IGV, importación de bienes, etc.)</v>
      </c>
      <c r="I66" t="s">
        <v>100</v>
      </c>
      <c r="J66" s="20">
        <v>118.64</v>
      </c>
      <c r="K66" s="20">
        <v>21.36</v>
      </c>
      <c r="L66" s="20">
        <f t="shared" si="1"/>
        <v>140</v>
      </c>
      <c r="M66" s="30" t="s">
        <v>204</v>
      </c>
      <c r="N66" s="26">
        <f t="shared" si="2"/>
        <v>3.3940000000000001</v>
      </c>
      <c r="O66" s="20">
        <f t="shared" si="3"/>
        <v>475.16</v>
      </c>
      <c r="P66" s="31">
        <f t="shared" si="4"/>
        <v>0</v>
      </c>
      <c r="Q66" s="32">
        <f t="shared" si="5"/>
        <v>999999999</v>
      </c>
      <c r="R66" t="str">
        <f t="shared" si="6"/>
        <v>NO</v>
      </c>
      <c r="S66" s="20">
        <f t="shared" si="7"/>
        <v>0</v>
      </c>
      <c r="T66" s="20"/>
      <c r="U66" t="str">
        <f t="shared" si="8"/>
        <v/>
      </c>
      <c r="V66" s="20"/>
      <c r="W66" s="20">
        <f t="shared" si="9"/>
        <v>140</v>
      </c>
      <c r="X66" s="25"/>
      <c r="Y66" s="25"/>
      <c r="AB66" t="s">
        <v>205</v>
      </c>
    </row>
    <row r="67" spans="1:28" x14ac:dyDescent="0.25">
      <c r="A67">
        <v>64</v>
      </c>
      <c r="B67" s="25">
        <f>DATE(2026,8,6)</f>
        <v>46240</v>
      </c>
      <c r="C67" t="s">
        <v>349</v>
      </c>
      <c r="D67" s="30" t="s">
        <v>277</v>
      </c>
      <c r="E67" t="s">
        <v>278</v>
      </c>
      <c r="F67" t="s">
        <v>196</v>
      </c>
      <c r="G67" s="30" t="s">
        <v>63</v>
      </c>
      <c r="H67" t="str">
        <f t="shared" si="0"/>
        <v>037 - Demás servicios gravados con IGV (residual)</v>
      </c>
      <c r="I67" t="s">
        <v>100</v>
      </c>
      <c r="J67" s="20">
        <v>177.97</v>
      </c>
      <c r="K67" s="20">
        <v>32.03</v>
      </c>
      <c r="L67" s="20">
        <f t="shared" si="1"/>
        <v>210</v>
      </c>
      <c r="M67" s="30" t="s">
        <v>204</v>
      </c>
      <c r="N67" s="26">
        <f t="shared" si="2"/>
        <v>3.3940000000000001</v>
      </c>
      <c r="O67" s="20">
        <f t="shared" si="3"/>
        <v>712.74</v>
      </c>
      <c r="P67" s="31">
        <f t="shared" si="4"/>
        <v>0.12</v>
      </c>
      <c r="Q67" s="32">
        <f t="shared" si="5"/>
        <v>700</v>
      </c>
      <c r="R67" t="str">
        <f t="shared" si="6"/>
        <v>SI</v>
      </c>
      <c r="S67" s="20">
        <f t="shared" si="7"/>
        <v>85.53</v>
      </c>
      <c r="T67" s="20">
        <v>86</v>
      </c>
      <c r="U67" t="str">
        <f t="shared" si="8"/>
        <v>OK</v>
      </c>
      <c r="V67" s="20"/>
      <c r="W67" s="20">
        <f t="shared" si="9"/>
        <v>184.8</v>
      </c>
      <c r="X67" s="25"/>
      <c r="Y67" s="25"/>
      <c r="AB67" t="s">
        <v>205</v>
      </c>
    </row>
    <row r="68" spans="1:28" x14ac:dyDescent="0.25">
      <c r="A68">
        <v>65</v>
      </c>
      <c r="B68" s="25">
        <f>DATE(2026,8,6)</f>
        <v>46240</v>
      </c>
      <c r="C68" t="s">
        <v>350</v>
      </c>
      <c r="D68" s="30" t="s">
        <v>277</v>
      </c>
      <c r="E68" t="s">
        <v>278</v>
      </c>
      <c r="F68" t="s">
        <v>196</v>
      </c>
      <c r="G68" s="30" t="s">
        <v>67</v>
      </c>
      <c r="H68" t="str">
        <f t="shared" ref="H68:H131" si="10">IF($G68="","",IFERROR(INDEX(Catalogo_Etiquetas,MATCH($G68,Catalogo_Codigos,0)),"CODIGO NO VALIDO"))</f>
        <v>N/A - No sujeto a detracción (aéreo regular, salud exonerada de IGV, importación de bienes, etc.)</v>
      </c>
      <c r="I68" t="s">
        <v>100</v>
      </c>
      <c r="J68" s="20">
        <v>133.47999999999999</v>
      </c>
      <c r="K68" s="20">
        <v>24.03</v>
      </c>
      <c r="L68" s="20">
        <f t="shared" ref="L68:L131" si="11">IF($C68="","",$J68+$K68)</f>
        <v>157.51</v>
      </c>
      <c r="M68" s="30" t="s">
        <v>204</v>
      </c>
      <c r="N68" s="26">
        <f t="shared" ref="N68:N131" si="12">IF($C68="","",IF($I68="PEN",1,IFERROR(IF(_xlfn.XLOOKUP($B68,TC_Fechas,TC_Venta_Rango,"",-1)="","",_xlfn.XLOOKUP($B68,TC_Fechas,TC_Venta_Rango,"",-1)),"")))</f>
        <v>3.3940000000000001</v>
      </c>
      <c r="O68" s="20">
        <f t="shared" ref="O68:O131" si="13">IF(OR($C68="",$N68=""),"",ROUND($J68*$N68,2)+ROUND($K68*$N68,2))</f>
        <v>534.58999999999992</v>
      </c>
      <c r="P68" s="31">
        <f t="shared" ref="P68:P131" si="14">IF($G68="","",IFERROR(INDEX(Catalogo_Tasas,MATCH($G68,Catalogo_Codigos,0)),""))</f>
        <v>0</v>
      </c>
      <c r="Q68" s="32">
        <f t="shared" ref="Q68:Q131" si="15">IF($G68="","",IFERROR(INDEX(Catalogo_Umbrales,MATCH($G68,Catalogo_Codigos,0)),""))</f>
        <v>999999999</v>
      </c>
      <c r="R68" t="str">
        <f t="shared" ref="R68:R131" si="16">IF(OR($C68="",$P68="",$O68=""),"",IF($F68&lt;&gt;"FACTURA","NO",IF(AND($P68&gt;0,$O68&gt;$Q68),"SI","NO")))</f>
        <v>NO</v>
      </c>
      <c r="S68" s="20">
        <f t="shared" ref="S68:S131" si="17">IF($R68="SI",ROUND($O68*$P68,2),IF($C68="","",0))</f>
        <v>0</v>
      </c>
      <c r="T68" s="20"/>
      <c r="U68" t="str">
        <f t="shared" ref="U68:U131" si="18">IF($C68="","",IF($R68&lt;&gt;"SI","",IF($T68="","SIN DATO",IF(ABS($T68-$S68)&lt;=0.5,"OK","REVISAR"))))</f>
        <v/>
      </c>
      <c r="V68" s="20"/>
      <c r="W68" s="20">
        <f t="shared" ref="W68:W131" si="19">IF(OR($C68="",$N68=""),"",IF($F68="RHE",ROUND($L68-$V68,2),ROUND($L68-($S68/$N68),2)))</f>
        <v>157.51</v>
      </c>
      <c r="X68" s="25"/>
      <c r="Y68" s="25"/>
      <c r="AB68" t="s">
        <v>205</v>
      </c>
    </row>
    <row r="69" spans="1:28" x14ac:dyDescent="0.25">
      <c r="A69">
        <v>66</v>
      </c>
      <c r="B69" s="25">
        <f>DATE(2026,8,13)</f>
        <v>46247</v>
      </c>
      <c r="C69" t="s">
        <v>351</v>
      </c>
      <c r="D69" s="30" t="s">
        <v>318</v>
      </c>
      <c r="E69" t="s">
        <v>319</v>
      </c>
      <c r="F69" t="s">
        <v>231</v>
      </c>
      <c r="G69" s="30" t="s">
        <v>67</v>
      </c>
      <c r="H69" t="str">
        <f t="shared" si="10"/>
        <v>N/A - No sujeto a detracción (aéreo regular, salud exonerada de IGV, importación de bienes, etc.)</v>
      </c>
      <c r="I69" t="s">
        <v>197</v>
      </c>
      <c r="J69" s="20">
        <v>160</v>
      </c>
      <c r="K69" s="20">
        <v>0</v>
      </c>
      <c r="L69" s="20">
        <f t="shared" si="11"/>
        <v>160</v>
      </c>
      <c r="M69" s="30" t="s">
        <v>232</v>
      </c>
      <c r="N69" s="26">
        <f t="shared" si="12"/>
        <v>1</v>
      </c>
      <c r="O69" s="20">
        <f t="shared" si="13"/>
        <v>160</v>
      </c>
      <c r="P69" s="31">
        <f t="shared" si="14"/>
        <v>0</v>
      </c>
      <c r="Q69" s="32">
        <f t="shared" si="15"/>
        <v>999999999</v>
      </c>
      <c r="R69" t="str">
        <f t="shared" si="16"/>
        <v>NO</v>
      </c>
      <c r="S69" s="20">
        <f t="shared" si="17"/>
        <v>0</v>
      </c>
      <c r="T69" s="20"/>
      <c r="U69" t="str">
        <f t="shared" si="18"/>
        <v/>
      </c>
      <c r="V69" s="20"/>
      <c r="W69" s="20">
        <f t="shared" si="19"/>
        <v>160</v>
      </c>
      <c r="X69" s="25"/>
      <c r="Y69" s="25"/>
      <c r="AB69" t="s">
        <v>205</v>
      </c>
    </row>
    <row r="70" spans="1:28" x14ac:dyDescent="0.25">
      <c r="A70">
        <v>67</v>
      </c>
      <c r="B70" s="25">
        <f>DATE(2026,8,13)</f>
        <v>46247</v>
      </c>
      <c r="C70" t="s">
        <v>352</v>
      </c>
      <c r="D70" s="30" t="s">
        <v>220</v>
      </c>
      <c r="E70" t="s">
        <v>221</v>
      </c>
      <c r="F70" t="s">
        <v>196</v>
      </c>
      <c r="G70" s="30" t="s">
        <v>63</v>
      </c>
      <c r="H70" t="str">
        <f t="shared" si="10"/>
        <v>037 - Demás servicios gravados con IGV (residual)</v>
      </c>
      <c r="I70" t="s">
        <v>100</v>
      </c>
      <c r="J70" s="20">
        <v>455.29</v>
      </c>
      <c r="K70" s="20">
        <v>81.95</v>
      </c>
      <c r="L70" s="20">
        <f t="shared" si="11"/>
        <v>537.24</v>
      </c>
      <c r="M70" s="30" t="s">
        <v>204</v>
      </c>
      <c r="N70" s="26">
        <f t="shared" si="12"/>
        <v>3.3650000000000002</v>
      </c>
      <c r="O70" s="20">
        <f t="shared" si="13"/>
        <v>1807.81</v>
      </c>
      <c r="P70" s="31">
        <f t="shared" si="14"/>
        <v>0.12</v>
      </c>
      <c r="Q70" s="32">
        <f t="shared" si="15"/>
        <v>700</v>
      </c>
      <c r="R70" t="str">
        <f t="shared" si="16"/>
        <v>SI</v>
      </c>
      <c r="S70" s="20">
        <f t="shared" si="17"/>
        <v>216.94</v>
      </c>
      <c r="T70" s="20">
        <v>217</v>
      </c>
      <c r="U70" t="str">
        <f t="shared" si="18"/>
        <v>OK</v>
      </c>
      <c r="V70" s="20"/>
      <c r="W70" s="20">
        <f t="shared" si="19"/>
        <v>472.77</v>
      </c>
      <c r="X70" s="25"/>
      <c r="Y70" s="25"/>
      <c r="AB70" t="s">
        <v>205</v>
      </c>
    </row>
    <row r="71" spans="1:28" x14ac:dyDescent="0.25">
      <c r="A71">
        <v>68</v>
      </c>
      <c r="B71" s="25">
        <f>DATE(2026,8,10)</f>
        <v>46244</v>
      </c>
      <c r="C71" t="s">
        <v>353</v>
      </c>
      <c r="D71" s="30" t="s">
        <v>229</v>
      </c>
      <c r="E71" t="s">
        <v>230</v>
      </c>
      <c r="F71" t="s">
        <v>231</v>
      </c>
      <c r="G71" s="30" t="s">
        <v>67</v>
      </c>
      <c r="H71" t="str">
        <f t="shared" si="10"/>
        <v>N/A - No sujeto a detracción (aéreo regular, salud exonerada de IGV, importación de bienes, etc.)</v>
      </c>
      <c r="I71" t="s">
        <v>197</v>
      </c>
      <c r="J71" s="20">
        <v>1025</v>
      </c>
      <c r="K71" s="20">
        <v>0</v>
      </c>
      <c r="L71" s="20">
        <f t="shared" si="11"/>
        <v>1025</v>
      </c>
      <c r="M71" s="30" t="s">
        <v>232</v>
      </c>
      <c r="N71" s="26">
        <f t="shared" si="12"/>
        <v>1</v>
      </c>
      <c r="O71" s="20">
        <f t="shared" si="13"/>
        <v>1025</v>
      </c>
      <c r="P71" s="31">
        <f t="shared" si="14"/>
        <v>0</v>
      </c>
      <c r="Q71" s="32">
        <f t="shared" si="15"/>
        <v>999999999</v>
      </c>
      <c r="R71" t="str">
        <f t="shared" si="16"/>
        <v>NO</v>
      </c>
      <c r="S71" s="20">
        <f t="shared" si="17"/>
        <v>0</v>
      </c>
      <c r="T71" s="20"/>
      <c r="U71" t="str">
        <f t="shared" si="18"/>
        <v/>
      </c>
      <c r="V71" s="20"/>
      <c r="W71" s="20">
        <f t="shared" si="19"/>
        <v>1025</v>
      </c>
      <c r="X71" s="25"/>
      <c r="Y71" s="25"/>
      <c r="AB71" t="s">
        <v>199</v>
      </c>
    </row>
    <row r="72" spans="1:28" x14ac:dyDescent="0.25">
      <c r="A72">
        <v>69</v>
      </c>
      <c r="B72" s="25">
        <f>DATE(2026,8,10)</f>
        <v>46244</v>
      </c>
      <c r="C72" t="s">
        <v>354</v>
      </c>
      <c r="D72" s="30" t="s">
        <v>355</v>
      </c>
      <c r="E72" t="s">
        <v>356</v>
      </c>
      <c r="F72" t="s">
        <v>196</v>
      </c>
      <c r="G72" s="30" t="s">
        <v>67</v>
      </c>
      <c r="H72" t="str">
        <f t="shared" si="10"/>
        <v>N/A - No sujeto a detracción (aéreo regular, salud exonerada de IGV, importación de bienes, etc.)</v>
      </c>
      <c r="I72" t="s">
        <v>100</v>
      </c>
      <c r="J72" s="20">
        <v>867.27</v>
      </c>
      <c r="K72" s="20">
        <v>0</v>
      </c>
      <c r="L72" s="20">
        <f t="shared" si="11"/>
        <v>867.27</v>
      </c>
      <c r="M72" s="30" t="s">
        <v>204</v>
      </c>
      <c r="N72" s="26">
        <f t="shared" si="12"/>
        <v>3.391</v>
      </c>
      <c r="O72" s="20">
        <f t="shared" si="13"/>
        <v>2940.91</v>
      </c>
      <c r="P72" s="31">
        <f t="shared" si="14"/>
        <v>0</v>
      </c>
      <c r="Q72" s="32">
        <f t="shared" si="15"/>
        <v>999999999</v>
      </c>
      <c r="R72" t="str">
        <f t="shared" si="16"/>
        <v>NO</v>
      </c>
      <c r="S72" s="20">
        <f t="shared" si="17"/>
        <v>0</v>
      </c>
      <c r="T72" s="20"/>
      <c r="U72" t="str">
        <f t="shared" si="18"/>
        <v/>
      </c>
      <c r="V72" s="20"/>
      <c r="W72" s="20">
        <f t="shared" si="19"/>
        <v>867.27</v>
      </c>
      <c r="X72" s="25"/>
      <c r="Y72" s="25"/>
      <c r="AB72" t="s">
        <v>205</v>
      </c>
    </row>
    <row r="73" spans="1:28" x14ac:dyDescent="0.25">
      <c r="A73">
        <v>70</v>
      </c>
      <c r="B73" s="25">
        <f>DATE(2026,8,6)</f>
        <v>46240</v>
      </c>
      <c r="C73" t="s">
        <v>357</v>
      </c>
      <c r="D73" s="30" t="s">
        <v>358</v>
      </c>
      <c r="E73" t="s">
        <v>359</v>
      </c>
      <c r="F73" t="s">
        <v>196</v>
      </c>
      <c r="G73" s="30" t="s">
        <v>67</v>
      </c>
      <c r="H73" t="str">
        <f t="shared" si="10"/>
        <v>N/A - No sujeto a detracción (aéreo regular, salud exonerada de IGV, importación de bienes, etc.)</v>
      </c>
      <c r="I73" t="s">
        <v>197</v>
      </c>
      <c r="J73" s="20">
        <v>4144</v>
      </c>
      <c r="K73" s="20">
        <v>745.92</v>
      </c>
      <c r="L73" s="20">
        <f t="shared" si="11"/>
        <v>4889.92</v>
      </c>
      <c r="M73" s="30" t="s">
        <v>204</v>
      </c>
      <c r="N73" s="26">
        <f t="shared" si="12"/>
        <v>1</v>
      </c>
      <c r="O73" s="20">
        <f t="shared" si="13"/>
        <v>4889.92</v>
      </c>
      <c r="P73" s="31">
        <f t="shared" si="14"/>
        <v>0</v>
      </c>
      <c r="Q73" s="32">
        <f t="shared" si="15"/>
        <v>999999999</v>
      </c>
      <c r="R73" t="str">
        <f t="shared" si="16"/>
        <v>NO</v>
      </c>
      <c r="S73" s="20">
        <f t="shared" si="17"/>
        <v>0</v>
      </c>
      <c r="T73" s="20"/>
      <c r="U73" t="str">
        <f t="shared" si="18"/>
        <v/>
      </c>
      <c r="V73" s="20"/>
      <c r="W73" s="20">
        <f t="shared" si="19"/>
        <v>4889.92</v>
      </c>
      <c r="X73" s="25"/>
      <c r="Y73" s="25"/>
      <c r="AB73" t="s">
        <v>205</v>
      </c>
    </row>
    <row r="74" spans="1:28" x14ac:dyDescent="0.25">
      <c r="A74">
        <v>71</v>
      </c>
      <c r="B74" s="25">
        <f>DATE(2026,8,4)</f>
        <v>46238</v>
      </c>
      <c r="C74" t="s">
        <v>360</v>
      </c>
      <c r="D74" s="30" t="s">
        <v>243</v>
      </c>
      <c r="E74" t="s">
        <v>244</v>
      </c>
      <c r="F74" t="s">
        <v>231</v>
      </c>
      <c r="G74" s="30" t="s">
        <v>67</v>
      </c>
      <c r="H74" t="str">
        <f t="shared" si="10"/>
        <v>N/A - No sujeto a detracción (aéreo regular, salud exonerada de IGV, importación de bienes, etc.)</v>
      </c>
      <c r="I74" t="s">
        <v>100</v>
      </c>
      <c r="J74" s="20">
        <v>90</v>
      </c>
      <c r="K74" s="20">
        <v>0</v>
      </c>
      <c r="L74" s="20">
        <f t="shared" si="11"/>
        <v>90</v>
      </c>
      <c r="M74" s="30" t="s">
        <v>232</v>
      </c>
      <c r="N74" s="26">
        <f t="shared" si="12"/>
        <v>3.4020000000000001</v>
      </c>
      <c r="O74" s="20">
        <f t="shared" si="13"/>
        <v>306.18</v>
      </c>
      <c r="P74" s="31">
        <f t="shared" si="14"/>
        <v>0</v>
      </c>
      <c r="Q74" s="32">
        <f t="shared" si="15"/>
        <v>999999999</v>
      </c>
      <c r="R74" t="str">
        <f t="shared" si="16"/>
        <v>NO</v>
      </c>
      <c r="S74" s="20">
        <f t="shared" si="17"/>
        <v>0</v>
      </c>
      <c r="T74" s="20"/>
      <c r="U74" t="str">
        <f t="shared" si="18"/>
        <v/>
      </c>
      <c r="V74" s="20"/>
      <c r="W74" s="20">
        <f t="shared" si="19"/>
        <v>90</v>
      </c>
      <c r="X74" s="25"/>
      <c r="Y74" s="25"/>
      <c r="AB74" t="s">
        <v>205</v>
      </c>
    </row>
    <row r="75" spans="1:28" x14ac:dyDescent="0.25">
      <c r="A75">
        <v>72</v>
      </c>
      <c r="B75" s="25">
        <f>DATE(2026,8,18)</f>
        <v>46252</v>
      </c>
      <c r="C75" t="s">
        <v>361</v>
      </c>
      <c r="D75" s="30" t="s">
        <v>210</v>
      </c>
      <c r="E75" t="s">
        <v>362</v>
      </c>
      <c r="F75" t="s">
        <v>196</v>
      </c>
      <c r="G75" s="30" t="s">
        <v>67</v>
      </c>
      <c r="H75" t="str">
        <f t="shared" si="10"/>
        <v>N/A - No sujeto a detracción (aéreo regular, salud exonerada de IGV, importación de bienes, etc.)</v>
      </c>
      <c r="I75" t="s">
        <v>100</v>
      </c>
      <c r="J75" s="20">
        <v>123.64</v>
      </c>
      <c r="K75" s="20">
        <v>0</v>
      </c>
      <c r="L75" s="20">
        <f t="shared" si="11"/>
        <v>123.64</v>
      </c>
      <c r="M75" s="30" t="s">
        <v>204</v>
      </c>
      <c r="N75" s="26">
        <f t="shared" si="12"/>
        <v>3.37</v>
      </c>
      <c r="O75" s="20">
        <f t="shared" si="13"/>
        <v>416.67</v>
      </c>
      <c r="P75" s="31">
        <f t="shared" si="14"/>
        <v>0</v>
      </c>
      <c r="Q75" s="32">
        <f t="shared" si="15"/>
        <v>999999999</v>
      </c>
      <c r="R75" t="str">
        <f t="shared" si="16"/>
        <v>NO</v>
      </c>
      <c r="S75" s="20">
        <f t="shared" si="17"/>
        <v>0</v>
      </c>
      <c r="T75" s="20"/>
      <c r="U75" t="str">
        <f t="shared" si="18"/>
        <v/>
      </c>
      <c r="V75" s="20"/>
      <c r="W75" s="20">
        <f t="shared" si="19"/>
        <v>123.64</v>
      </c>
      <c r="X75" s="25"/>
      <c r="Y75" s="25"/>
      <c r="AB75" t="s">
        <v>205</v>
      </c>
    </row>
    <row r="76" spans="1:28" x14ac:dyDescent="0.25">
      <c r="A76">
        <v>73</v>
      </c>
      <c r="B76" s="25">
        <f>DATE(2026,8,19)</f>
        <v>46253</v>
      </c>
      <c r="C76" t="s">
        <v>363</v>
      </c>
      <c r="D76" s="30" t="s">
        <v>246</v>
      </c>
      <c r="E76" t="s">
        <v>364</v>
      </c>
      <c r="F76" t="s">
        <v>196</v>
      </c>
      <c r="G76" s="30" t="s">
        <v>67</v>
      </c>
      <c r="H76" t="str">
        <f t="shared" si="10"/>
        <v>N/A - No sujeto a detracción (aéreo regular, salud exonerada de IGV, importación de bienes, etc.)</v>
      </c>
      <c r="I76" t="s">
        <v>100</v>
      </c>
      <c r="J76" s="20">
        <v>159.29</v>
      </c>
      <c r="K76" s="20">
        <v>0</v>
      </c>
      <c r="L76" s="20">
        <f t="shared" si="11"/>
        <v>159.29</v>
      </c>
      <c r="M76" s="30" t="s">
        <v>204</v>
      </c>
      <c r="N76" s="26">
        <f t="shared" si="12"/>
        <v>3.3620000000000001</v>
      </c>
      <c r="O76" s="20">
        <f t="shared" si="13"/>
        <v>535.53</v>
      </c>
      <c r="P76" s="31">
        <f t="shared" si="14"/>
        <v>0</v>
      </c>
      <c r="Q76" s="32">
        <f t="shared" si="15"/>
        <v>999999999</v>
      </c>
      <c r="R76" t="str">
        <f t="shared" si="16"/>
        <v>NO</v>
      </c>
      <c r="S76" s="20">
        <f t="shared" si="17"/>
        <v>0</v>
      </c>
      <c r="T76" s="20"/>
      <c r="U76" t="str">
        <f t="shared" si="18"/>
        <v/>
      </c>
      <c r="V76" s="20"/>
      <c r="W76" s="20">
        <f t="shared" si="19"/>
        <v>159.29</v>
      </c>
      <c r="X76" s="25"/>
      <c r="Y76" s="25"/>
      <c r="AB76" t="s">
        <v>205</v>
      </c>
    </row>
    <row r="77" spans="1:28" x14ac:dyDescent="0.25">
      <c r="A77">
        <v>74</v>
      </c>
      <c r="B77" s="25">
        <f>DATE(2026,8,16)</f>
        <v>46250</v>
      </c>
      <c r="C77" t="s">
        <v>365</v>
      </c>
      <c r="D77" s="30" t="s">
        <v>366</v>
      </c>
      <c r="E77" t="s">
        <v>367</v>
      </c>
      <c r="F77" t="s">
        <v>196</v>
      </c>
      <c r="G77" s="30" t="s">
        <v>67</v>
      </c>
      <c r="H77" t="str">
        <f t="shared" si="10"/>
        <v>N/A - No sujeto a detracción (aéreo regular, salud exonerada de IGV, importación de bienes, etc.)</v>
      </c>
      <c r="I77" t="s">
        <v>100</v>
      </c>
      <c r="J77" s="20">
        <v>681.82</v>
      </c>
      <c r="K77" s="20">
        <v>0</v>
      </c>
      <c r="L77" s="20">
        <f t="shared" si="11"/>
        <v>681.82</v>
      </c>
      <c r="M77" s="30" t="s">
        <v>204</v>
      </c>
      <c r="N77" s="26">
        <f t="shared" si="12"/>
        <v>3.371</v>
      </c>
      <c r="O77" s="20">
        <f t="shared" si="13"/>
        <v>2298.42</v>
      </c>
      <c r="P77" s="31">
        <f t="shared" si="14"/>
        <v>0</v>
      </c>
      <c r="Q77" s="32">
        <f t="shared" si="15"/>
        <v>999999999</v>
      </c>
      <c r="R77" t="str">
        <f t="shared" si="16"/>
        <v>NO</v>
      </c>
      <c r="S77" s="20">
        <f t="shared" si="17"/>
        <v>0</v>
      </c>
      <c r="T77" s="20"/>
      <c r="U77" t="str">
        <f t="shared" si="18"/>
        <v/>
      </c>
      <c r="V77" s="20"/>
      <c r="W77" s="20">
        <f t="shared" si="19"/>
        <v>681.82</v>
      </c>
      <c r="X77" s="25"/>
      <c r="Y77" s="25"/>
      <c r="AB77" t="s">
        <v>205</v>
      </c>
    </row>
    <row r="78" spans="1:28" x14ac:dyDescent="0.25">
      <c r="A78">
        <v>75</v>
      </c>
      <c r="B78" s="25">
        <f>DATE(2026,8,7)</f>
        <v>46241</v>
      </c>
      <c r="C78" t="s">
        <v>368</v>
      </c>
      <c r="D78" s="30" t="s">
        <v>369</v>
      </c>
      <c r="E78" t="s">
        <v>370</v>
      </c>
      <c r="F78" t="s">
        <v>196</v>
      </c>
      <c r="G78" s="30" t="s">
        <v>67</v>
      </c>
      <c r="H78" t="str">
        <f t="shared" si="10"/>
        <v>N/A - No sujeto a detracción (aéreo regular, salud exonerada de IGV, importación de bienes, etc.)</v>
      </c>
      <c r="I78" t="s">
        <v>100</v>
      </c>
      <c r="J78" s="20">
        <v>2830</v>
      </c>
      <c r="K78" s="20">
        <v>0</v>
      </c>
      <c r="L78" s="20">
        <f t="shared" si="11"/>
        <v>2830</v>
      </c>
      <c r="M78" s="30" t="s">
        <v>204</v>
      </c>
      <c r="N78" s="26">
        <f t="shared" si="12"/>
        <v>3.3940000000000001</v>
      </c>
      <c r="O78" s="20">
        <f t="shared" si="13"/>
        <v>9605.02</v>
      </c>
      <c r="P78" s="31">
        <f t="shared" si="14"/>
        <v>0</v>
      </c>
      <c r="Q78" s="32">
        <f t="shared" si="15"/>
        <v>999999999</v>
      </c>
      <c r="R78" t="str">
        <f t="shared" si="16"/>
        <v>NO</v>
      </c>
      <c r="S78" s="20">
        <f t="shared" si="17"/>
        <v>0</v>
      </c>
      <c r="T78" s="20"/>
      <c r="U78" t="str">
        <f t="shared" si="18"/>
        <v/>
      </c>
      <c r="V78" s="20"/>
      <c r="W78" s="20">
        <f t="shared" si="19"/>
        <v>2830</v>
      </c>
      <c r="X78" s="25"/>
      <c r="Y78" s="25"/>
      <c r="AB78" t="s">
        <v>205</v>
      </c>
    </row>
    <row r="79" spans="1:28" x14ac:dyDescent="0.25">
      <c r="A79">
        <v>76</v>
      </c>
      <c r="B79" s="25">
        <f>DATE(2026,8,8)</f>
        <v>46242</v>
      </c>
      <c r="C79" t="s">
        <v>371</v>
      </c>
      <c r="D79" s="30" t="s">
        <v>372</v>
      </c>
      <c r="E79" t="s">
        <v>373</v>
      </c>
      <c r="F79" t="s">
        <v>196</v>
      </c>
      <c r="G79" s="30" t="s">
        <v>67</v>
      </c>
      <c r="H79" t="str">
        <f t="shared" si="10"/>
        <v>N/A - No sujeto a detracción (aéreo regular, salud exonerada de IGV, importación de bienes, etc.)</v>
      </c>
      <c r="I79" t="s">
        <v>197</v>
      </c>
      <c r="J79" s="20">
        <v>441</v>
      </c>
      <c r="K79" s="20">
        <v>79.38</v>
      </c>
      <c r="L79" s="20">
        <f t="shared" si="11"/>
        <v>520.38</v>
      </c>
      <c r="M79" s="30" t="s">
        <v>204</v>
      </c>
      <c r="N79" s="26">
        <f t="shared" si="12"/>
        <v>1</v>
      </c>
      <c r="O79" s="20">
        <f t="shared" si="13"/>
        <v>520.38</v>
      </c>
      <c r="P79" s="31">
        <f t="shared" si="14"/>
        <v>0</v>
      </c>
      <c r="Q79" s="32">
        <f t="shared" si="15"/>
        <v>999999999</v>
      </c>
      <c r="R79" t="str">
        <f t="shared" si="16"/>
        <v>NO</v>
      </c>
      <c r="S79" s="20">
        <f t="shared" si="17"/>
        <v>0</v>
      </c>
      <c r="T79" s="20"/>
      <c r="U79" t="str">
        <f t="shared" si="18"/>
        <v/>
      </c>
      <c r="V79" s="20"/>
      <c r="W79" s="20">
        <f t="shared" si="19"/>
        <v>520.38</v>
      </c>
      <c r="X79" s="25"/>
      <c r="Y79" s="25"/>
      <c r="AB79" t="s">
        <v>205</v>
      </c>
    </row>
    <row r="80" spans="1:28" x14ac:dyDescent="0.25">
      <c r="A80">
        <v>77</v>
      </c>
      <c r="B80" s="25">
        <f>DATE(2026,8,11)</f>
        <v>46245</v>
      </c>
      <c r="C80" t="s">
        <v>374</v>
      </c>
      <c r="D80" s="30" t="s">
        <v>262</v>
      </c>
      <c r="E80" t="s">
        <v>263</v>
      </c>
      <c r="F80" t="s">
        <v>196</v>
      </c>
      <c r="G80" s="30" t="s">
        <v>63</v>
      </c>
      <c r="H80" t="str">
        <f t="shared" si="10"/>
        <v>037 - Demás servicios gravados con IGV (residual)</v>
      </c>
      <c r="I80" t="s">
        <v>100</v>
      </c>
      <c r="J80" s="20">
        <v>1056.44</v>
      </c>
      <c r="K80" s="20">
        <v>190.16</v>
      </c>
      <c r="L80" s="20">
        <f t="shared" si="11"/>
        <v>1246.6000000000001</v>
      </c>
      <c r="M80" s="30" t="s">
        <v>204</v>
      </c>
      <c r="N80" s="26">
        <f t="shared" si="12"/>
        <v>3.387</v>
      </c>
      <c r="O80" s="20">
        <f t="shared" si="13"/>
        <v>4222.2299999999996</v>
      </c>
      <c r="P80" s="31">
        <f t="shared" si="14"/>
        <v>0.12</v>
      </c>
      <c r="Q80" s="32">
        <f t="shared" si="15"/>
        <v>700</v>
      </c>
      <c r="R80" t="str">
        <f t="shared" si="16"/>
        <v>SI</v>
      </c>
      <c r="S80" s="20">
        <f t="shared" si="17"/>
        <v>506.67</v>
      </c>
      <c r="T80" s="20">
        <v>506.67</v>
      </c>
      <c r="U80" t="str">
        <f t="shared" si="18"/>
        <v>OK</v>
      </c>
      <c r="V80" s="20"/>
      <c r="W80" s="20">
        <f t="shared" si="19"/>
        <v>1097.01</v>
      </c>
      <c r="X80" s="25"/>
      <c r="Y80" s="25"/>
      <c r="AB80" t="s">
        <v>205</v>
      </c>
    </row>
    <row r="81" spans="1:28" x14ac:dyDescent="0.25">
      <c r="A81">
        <v>78</v>
      </c>
      <c r="B81" s="25">
        <f>DATE(2026,8,10)</f>
        <v>46244</v>
      </c>
      <c r="C81" t="s">
        <v>375</v>
      </c>
      <c r="D81" s="30" t="s">
        <v>376</v>
      </c>
      <c r="E81" t="s">
        <v>377</v>
      </c>
      <c r="F81" t="s">
        <v>196</v>
      </c>
      <c r="G81" s="30" t="s">
        <v>63</v>
      </c>
      <c r="H81" t="str">
        <f t="shared" si="10"/>
        <v>037 - Demás servicios gravados con IGV (residual)</v>
      </c>
      <c r="I81" t="s">
        <v>100</v>
      </c>
      <c r="J81" s="20">
        <v>200.85</v>
      </c>
      <c r="K81" s="20">
        <v>36.15</v>
      </c>
      <c r="L81" s="20">
        <f t="shared" si="11"/>
        <v>237</v>
      </c>
      <c r="M81" s="30" t="s">
        <v>204</v>
      </c>
      <c r="N81" s="26">
        <f t="shared" si="12"/>
        <v>3.391</v>
      </c>
      <c r="O81" s="20">
        <f t="shared" si="13"/>
        <v>803.66000000000008</v>
      </c>
      <c r="P81" s="31">
        <f t="shared" si="14"/>
        <v>0.12</v>
      </c>
      <c r="Q81" s="32">
        <f t="shared" si="15"/>
        <v>700</v>
      </c>
      <c r="R81" t="str">
        <f t="shared" si="16"/>
        <v>SI</v>
      </c>
      <c r="S81" s="20">
        <f t="shared" si="17"/>
        <v>96.44</v>
      </c>
      <c r="T81" s="20">
        <v>96</v>
      </c>
      <c r="U81" t="str">
        <f t="shared" si="18"/>
        <v>OK</v>
      </c>
      <c r="V81" s="20"/>
      <c r="W81" s="20">
        <f t="shared" si="19"/>
        <v>208.56</v>
      </c>
      <c r="X81" s="25"/>
      <c r="Y81" s="25"/>
      <c r="AB81" t="s">
        <v>205</v>
      </c>
    </row>
    <row r="82" spans="1:28" x14ac:dyDescent="0.25">
      <c r="A82">
        <v>79</v>
      </c>
      <c r="B82" s="25">
        <f>DATE(2026,8,8)</f>
        <v>46242</v>
      </c>
      <c r="C82" t="s">
        <v>378</v>
      </c>
      <c r="D82" s="30" t="s">
        <v>268</v>
      </c>
      <c r="E82" t="s">
        <v>269</v>
      </c>
      <c r="F82" t="s">
        <v>196</v>
      </c>
      <c r="G82" s="30" t="s">
        <v>67</v>
      </c>
      <c r="H82" t="str">
        <f t="shared" si="10"/>
        <v>N/A - No sujeto a detracción (aéreo regular, salud exonerada de IGV, importación de bienes, etc.)</v>
      </c>
      <c r="I82" t="s">
        <v>100</v>
      </c>
      <c r="J82" s="20">
        <v>150.33000000000001</v>
      </c>
      <c r="K82" s="20">
        <v>27.06</v>
      </c>
      <c r="L82" s="20">
        <f t="shared" si="11"/>
        <v>177.39000000000001</v>
      </c>
      <c r="M82" s="30" t="s">
        <v>204</v>
      </c>
      <c r="N82" s="26">
        <f t="shared" si="12"/>
        <v>3.3940000000000001</v>
      </c>
      <c r="O82" s="20">
        <f t="shared" si="13"/>
        <v>602.06000000000006</v>
      </c>
      <c r="P82" s="31">
        <f t="shared" si="14"/>
        <v>0</v>
      </c>
      <c r="Q82" s="32">
        <f t="shared" si="15"/>
        <v>999999999</v>
      </c>
      <c r="R82" t="str">
        <f t="shared" si="16"/>
        <v>NO</v>
      </c>
      <c r="S82" s="20">
        <f t="shared" si="17"/>
        <v>0</v>
      </c>
      <c r="T82" s="20"/>
      <c r="U82" t="str">
        <f t="shared" si="18"/>
        <v/>
      </c>
      <c r="V82" s="20"/>
      <c r="W82" s="20">
        <f t="shared" si="19"/>
        <v>177.39</v>
      </c>
      <c r="X82" s="25"/>
      <c r="Y82" s="25"/>
      <c r="AB82" t="s">
        <v>205</v>
      </c>
    </row>
    <row r="83" spans="1:28" x14ac:dyDescent="0.25">
      <c r="A83">
        <v>80</v>
      </c>
      <c r="B83" s="25">
        <f>DATE(2026,8,8)</f>
        <v>46242</v>
      </c>
      <c r="C83" t="s">
        <v>379</v>
      </c>
      <c r="D83" s="30" t="s">
        <v>271</v>
      </c>
      <c r="E83" t="s">
        <v>272</v>
      </c>
      <c r="F83" t="s">
        <v>196</v>
      </c>
      <c r="G83" s="30" t="s">
        <v>63</v>
      </c>
      <c r="H83" t="str">
        <f t="shared" si="10"/>
        <v>037 - Demás servicios gravados con IGV (residual)</v>
      </c>
      <c r="I83" t="s">
        <v>100</v>
      </c>
      <c r="J83" s="20">
        <v>442.4</v>
      </c>
      <c r="K83" s="20">
        <v>79.63</v>
      </c>
      <c r="L83" s="20">
        <f t="shared" si="11"/>
        <v>522.03</v>
      </c>
      <c r="M83" s="30" t="s">
        <v>204</v>
      </c>
      <c r="N83" s="26">
        <f t="shared" si="12"/>
        <v>3.3940000000000001</v>
      </c>
      <c r="O83" s="20">
        <f t="shared" si="13"/>
        <v>1771.77</v>
      </c>
      <c r="P83" s="31">
        <f t="shared" si="14"/>
        <v>0.12</v>
      </c>
      <c r="Q83" s="32">
        <f t="shared" si="15"/>
        <v>700</v>
      </c>
      <c r="R83" t="str">
        <f t="shared" si="16"/>
        <v>SI</v>
      </c>
      <c r="S83" s="20">
        <f t="shared" si="17"/>
        <v>212.61</v>
      </c>
      <c r="T83" s="20">
        <v>212.4</v>
      </c>
      <c r="U83" t="str">
        <f t="shared" si="18"/>
        <v>OK</v>
      </c>
      <c r="V83" s="20"/>
      <c r="W83" s="20">
        <f t="shared" si="19"/>
        <v>459.39</v>
      </c>
      <c r="X83" s="25"/>
      <c r="Y83" s="25"/>
      <c r="AB83" t="s">
        <v>205</v>
      </c>
    </row>
    <row r="84" spans="1:28" x14ac:dyDescent="0.25">
      <c r="A84">
        <v>81</v>
      </c>
      <c r="B84" s="25">
        <f>DATE(2026,8,5)</f>
        <v>46239</v>
      </c>
      <c r="C84" t="s">
        <v>380</v>
      </c>
      <c r="D84" s="30" t="s">
        <v>381</v>
      </c>
      <c r="E84" t="s">
        <v>382</v>
      </c>
      <c r="F84" t="s">
        <v>231</v>
      </c>
      <c r="G84" s="30" t="s">
        <v>67</v>
      </c>
      <c r="H84" t="str">
        <f t="shared" si="10"/>
        <v>N/A - No sujeto a detracción (aéreo regular, salud exonerada de IGV, importación de bienes, etc.)</v>
      </c>
      <c r="I84" t="s">
        <v>100</v>
      </c>
      <c r="J84" s="20">
        <v>75</v>
      </c>
      <c r="K84" s="20">
        <v>0</v>
      </c>
      <c r="L84" s="20">
        <f t="shared" si="11"/>
        <v>75</v>
      </c>
      <c r="M84" s="30" t="s">
        <v>232</v>
      </c>
      <c r="N84" s="26">
        <f t="shared" si="12"/>
        <v>3.3940000000000001</v>
      </c>
      <c r="O84" s="20">
        <f t="shared" si="13"/>
        <v>254.55</v>
      </c>
      <c r="P84" s="31">
        <f t="shared" si="14"/>
        <v>0</v>
      </c>
      <c r="Q84" s="32">
        <f t="shared" si="15"/>
        <v>999999999</v>
      </c>
      <c r="R84" t="str">
        <f t="shared" si="16"/>
        <v>NO</v>
      </c>
      <c r="S84" s="20">
        <f t="shared" si="17"/>
        <v>0</v>
      </c>
      <c r="T84" s="20"/>
      <c r="U84" t="str">
        <f t="shared" si="18"/>
        <v/>
      </c>
      <c r="V84" s="20"/>
      <c r="W84" s="20">
        <f t="shared" si="19"/>
        <v>75</v>
      </c>
      <c r="X84" s="25"/>
      <c r="Y84" s="25"/>
      <c r="AB84" t="s">
        <v>205</v>
      </c>
    </row>
    <row r="85" spans="1:28" x14ac:dyDescent="0.25">
      <c r="A85">
        <v>82</v>
      </c>
      <c r="B85" s="25">
        <f>DATE(2026,8,6)</f>
        <v>46240</v>
      </c>
      <c r="C85" t="s">
        <v>383</v>
      </c>
      <c r="D85" s="30" t="s">
        <v>277</v>
      </c>
      <c r="E85" t="s">
        <v>278</v>
      </c>
      <c r="F85" t="s">
        <v>196</v>
      </c>
      <c r="G85" s="30" t="s">
        <v>67</v>
      </c>
      <c r="H85" t="str">
        <f t="shared" si="10"/>
        <v>N/A - No sujeto a detracción (aéreo regular, salud exonerada de IGV, importación de bienes, etc.)</v>
      </c>
      <c r="I85" t="s">
        <v>100</v>
      </c>
      <c r="J85" s="20">
        <v>88.98</v>
      </c>
      <c r="K85" s="20">
        <v>16.02</v>
      </c>
      <c r="L85" s="20">
        <f t="shared" si="11"/>
        <v>105</v>
      </c>
      <c r="M85" s="30" t="s">
        <v>204</v>
      </c>
      <c r="N85" s="26">
        <f t="shared" si="12"/>
        <v>3.3940000000000001</v>
      </c>
      <c r="O85" s="20">
        <f t="shared" si="13"/>
        <v>356.37</v>
      </c>
      <c r="P85" s="31">
        <f t="shared" si="14"/>
        <v>0</v>
      </c>
      <c r="Q85" s="32">
        <f t="shared" si="15"/>
        <v>999999999</v>
      </c>
      <c r="R85" t="str">
        <f t="shared" si="16"/>
        <v>NO</v>
      </c>
      <c r="S85" s="20">
        <f t="shared" si="17"/>
        <v>0</v>
      </c>
      <c r="T85" s="20"/>
      <c r="U85" t="str">
        <f t="shared" si="18"/>
        <v/>
      </c>
      <c r="V85" s="20"/>
      <c r="W85" s="20">
        <f t="shared" si="19"/>
        <v>105</v>
      </c>
      <c r="X85" s="25"/>
      <c r="Y85" s="25"/>
      <c r="AB85" t="s">
        <v>205</v>
      </c>
    </row>
    <row r="86" spans="1:28" x14ac:dyDescent="0.25">
      <c r="A86">
        <v>83</v>
      </c>
      <c r="B86" s="25">
        <f>DATE(2026,8,6)</f>
        <v>46240</v>
      </c>
      <c r="C86" t="s">
        <v>384</v>
      </c>
      <c r="D86" s="30" t="s">
        <v>277</v>
      </c>
      <c r="E86" t="s">
        <v>278</v>
      </c>
      <c r="F86" t="s">
        <v>196</v>
      </c>
      <c r="G86" s="30" t="s">
        <v>67</v>
      </c>
      <c r="H86" t="str">
        <f t="shared" si="10"/>
        <v>N/A - No sujeto a detracción (aéreo regular, salud exonerada de IGV, importación de bienes, etc.)</v>
      </c>
      <c r="I86" t="s">
        <v>100</v>
      </c>
      <c r="J86" s="20">
        <v>133.47999999999999</v>
      </c>
      <c r="K86" s="20">
        <v>24.03</v>
      </c>
      <c r="L86" s="20">
        <f t="shared" si="11"/>
        <v>157.51</v>
      </c>
      <c r="M86" s="30" t="s">
        <v>204</v>
      </c>
      <c r="N86" s="26">
        <f t="shared" si="12"/>
        <v>3.3940000000000001</v>
      </c>
      <c r="O86" s="20">
        <f t="shared" si="13"/>
        <v>534.58999999999992</v>
      </c>
      <c r="P86" s="31">
        <f t="shared" si="14"/>
        <v>0</v>
      </c>
      <c r="Q86" s="32">
        <f t="shared" si="15"/>
        <v>999999999</v>
      </c>
      <c r="R86" t="str">
        <f t="shared" si="16"/>
        <v>NO</v>
      </c>
      <c r="S86" s="20">
        <f t="shared" si="17"/>
        <v>0</v>
      </c>
      <c r="T86" s="20"/>
      <c r="U86" t="str">
        <f t="shared" si="18"/>
        <v/>
      </c>
      <c r="V86" s="20"/>
      <c r="W86" s="20">
        <f t="shared" si="19"/>
        <v>157.51</v>
      </c>
      <c r="X86" s="25"/>
      <c r="Y86" s="25"/>
      <c r="AB86" t="s">
        <v>205</v>
      </c>
    </row>
    <row r="87" spans="1:28" x14ac:dyDescent="0.25">
      <c r="A87">
        <v>84</v>
      </c>
      <c r="B87" s="25">
        <f>DATE(2026,8,6)</f>
        <v>46240</v>
      </c>
      <c r="C87" t="s">
        <v>385</v>
      </c>
      <c r="D87" s="30" t="s">
        <v>277</v>
      </c>
      <c r="E87" t="s">
        <v>278</v>
      </c>
      <c r="F87" t="s">
        <v>196</v>
      </c>
      <c r="G87" s="30" t="s">
        <v>67</v>
      </c>
      <c r="H87" t="str">
        <f t="shared" si="10"/>
        <v>N/A - No sujeto a detracción (aéreo regular, salud exonerada de IGV, importación de bienes, etc.)</v>
      </c>
      <c r="I87" t="s">
        <v>100</v>
      </c>
      <c r="J87" s="20">
        <v>163.13999999999999</v>
      </c>
      <c r="K87" s="20">
        <v>29.36</v>
      </c>
      <c r="L87" s="20">
        <f t="shared" si="11"/>
        <v>192.5</v>
      </c>
      <c r="M87" s="30" t="s">
        <v>204</v>
      </c>
      <c r="N87" s="26">
        <f t="shared" si="12"/>
        <v>3.3940000000000001</v>
      </c>
      <c r="O87" s="20">
        <f t="shared" si="13"/>
        <v>653.35</v>
      </c>
      <c r="P87" s="31">
        <f t="shared" si="14"/>
        <v>0</v>
      </c>
      <c r="Q87" s="32">
        <f t="shared" si="15"/>
        <v>999999999</v>
      </c>
      <c r="R87" t="str">
        <f t="shared" si="16"/>
        <v>NO</v>
      </c>
      <c r="S87" s="20">
        <f t="shared" si="17"/>
        <v>0</v>
      </c>
      <c r="T87" s="20"/>
      <c r="U87" t="str">
        <f t="shared" si="18"/>
        <v/>
      </c>
      <c r="V87" s="20"/>
      <c r="W87" s="20">
        <f t="shared" si="19"/>
        <v>192.5</v>
      </c>
      <c r="X87" s="25"/>
      <c r="Y87" s="25"/>
      <c r="AB87" t="s">
        <v>205</v>
      </c>
    </row>
    <row r="88" spans="1:28" x14ac:dyDescent="0.25">
      <c r="A88">
        <v>85</v>
      </c>
      <c r="B88" s="25">
        <f>DATE(2026,8,10)</f>
        <v>46244</v>
      </c>
      <c r="C88" t="s">
        <v>386</v>
      </c>
      <c r="D88" s="30" t="s">
        <v>387</v>
      </c>
      <c r="E88" t="s">
        <v>388</v>
      </c>
      <c r="F88" t="s">
        <v>196</v>
      </c>
      <c r="G88" s="30" t="s">
        <v>67</v>
      </c>
      <c r="H88" t="str">
        <f t="shared" si="10"/>
        <v>N/A - No sujeto a detracción (aéreo regular, salud exonerada de IGV, importación de bienes, etc.)</v>
      </c>
      <c r="I88" t="s">
        <v>197</v>
      </c>
      <c r="J88" s="20">
        <v>660.64</v>
      </c>
      <c r="K88" s="20">
        <v>69.36</v>
      </c>
      <c r="L88" s="20">
        <f t="shared" si="11"/>
        <v>730</v>
      </c>
      <c r="M88" s="30" t="s">
        <v>204</v>
      </c>
      <c r="N88" s="26">
        <f t="shared" si="12"/>
        <v>1</v>
      </c>
      <c r="O88" s="20">
        <f t="shared" si="13"/>
        <v>730</v>
      </c>
      <c r="P88" s="31">
        <f t="shared" si="14"/>
        <v>0</v>
      </c>
      <c r="Q88" s="32">
        <f t="shared" si="15"/>
        <v>999999999</v>
      </c>
      <c r="R88" t="str">
        <f t="shared" si="16"/>
        <v>NO</v>
      </c>
      <c r="S88" s="20">
        <f t="shared" si="17"/>
        <v>0</v>
      </c>
      <c r="T88" s="20"/>
      <c r="U88" t="str">
        <f t="shared" si="18"/>
        <v/>
      </c>
      <c r="V88" s="20"/>
      <c r="W88" s="20">
        <f t="shared" si="19"/>
        <v>730</v>
      </c>
      <c r="X88" s="25"/>
      <c r="Y88" s="25"/>
      <c r="AB88" t="s">
        <v>205</v>
      </c>
    </row>
    <row r="89" spans="1:28" x14ac:dyDescent="0.25">
      <c r="A89">
        <v>86</v>
      </c>
      <c r="B89" s="25">
        <f>DATE(2026,8,7)</f>
        <v>46241</v>
      </c>
      <c r="C89" t="s">
        <v>389</v>
      </c>
      <c r="D89" s="30" t="s">
        <v>229</v>
      </c>
      <c r="E89" t="s">
        <v>230</v>
      </c>
      <c r="F89" t="s">
        <v>231</v>
      </c>
      <c r="G89" s="30" t="s">
        <v>67</v>
      </c>
      <c r="H89" t="str">
        <f t="shared" si="10"/>
        <v>N/A - No sujeto a detracción (aéreo regular, salud exonerada de IGV, importación de bienes, etc.)</v>
      </c>
      <c r="I89" t="s">
        <v>197</v>
      </c>
      <c r="J89" s="20">
        <v>1025</v>
      </c>
      <c r="K89" s="20">
        <v>0</v>
      </c>
      <c r="L89" s="20">
        <f t="shared" si="11"/>
        <v>1025</v>
      </c>
      <c r="M89" s="30" t="s">
        <v>232</v>
      </c>
      <c r="N89" s="26">
        <f t="shared" si="12"/>
        <v>1</v>
      </c>
      <c r="O89" s="20">
        <f t="shared" si="13"/>
        <v>1025</v>
      </c>
      <c r="P89" s="31">
        <f t="shared" si="14"/>
        <v>0</v>
      </c>
      <c r="Q89" s="32">
        <f t="shared" si="15"/>
        <v>999999999</v>
      </c>
      <c r="R89" t="str">
        <f t="shared" si="16"/>
        <v>NO</v>
      </c>
      <c r="S89" s="20">
        <f t="shared" si="17"/>
        <v>0</v>
      </c>
      <c r="T89" s="20"/>
      <c r="U89" t="str">
        <f t="shared" si="18"/>
        <v/>
      </c>
      <c r="V89" s="20"/>
      <c r="W89" s="20">
        <f t="shared" si="19"/>
        <v>1025</v>
      </c>
      <c r="X89" s="25"/>
      <c r="Y89" s="25"/>
      <c r="AB89" t="s">
        <v>199</v>
      </c>
    </row>
    <row r="90" spans="1:28" x14ac:dyDescent="0.25">
      <c r="A90">
        <v>87</v>
      </c>
      <c r="B90" s="25">
        <f>DATE(2026,8,10)</f>
        <v>46244</v>
      </c>
      <c r="C90" t="s">
        <v>390</v>
      </c>
      <c r="D90" s="30" t="s">
        <v>391</v>
      </c>
      <c r="E90" t="s">
        <v>392</v>
      </c>
      <c r="F90" t="s">
        <v>196</v>
      </c>
      <c r="G90" s="30" t="s">
        <v>63</v>
      </c>
      <c r="H90" t="str">
        <f t="shared" si="10"/>
        <v>037 - Demás servicios gravados con IGV (residual)</v>
      </c>
      <c r="I90" t="s">
        <v>100</v>
      </c>
      <c r="J90" s="20">
        <v>273</v>
      </c>
      <c r="K90" s="20">
        <v>49.14</v>
      </c>
      <c r="L90" s="20">
        <f t="shared" si="11"/>
        <v>322.14</v>
      </c>
      <c r="M90" s="30" t="s">
        <v>204</v>
      </c>
      <c r="N90" s="26">
        <f t="shared" si="12"/>
        <v>3.391</v>
      </c>
      <c r="O90" s="20">
        <f t="shared" si="13"/>
        <v>1092.3699999999999</v>
      </c>
      <c r="P90" s="31">
        <f t="shared" si="14"/>
        <v>0.12</v>
      </c>
      <c r="Q90" s="32">
        <f t="shared" si="15"/>
        <v>700</v>
      </c>
      <c r="R90" t="str">
        <f t="shared" si="16"/>
        <v>SI</v>
      </c>
      <c r="S90" s="20">
        <f t="shared" si="17"/>
        <v>131.08000000000001</v>
      </c>
      <c r="T90" s="20">
        <v>131.1</v>
      </c>
      <c r="U90" t="str">
        <f t="shared" si="18"/>
        <v>OK</v>
      </c>
      <c r="V90" s="20"/>
      <c r="W90" s="20">
        <f t="shared" si="19"/>
        <v>283.48</v>
      </c>
      <c r="X90" s="25"/>
      <c r="Y90" s="25"/>
      <c r="AB90" t="s">
        <v>205</v>
      </c>
    </row>
    <row r="91" spans="1:28" x14ac:dyDescent="0.25">
      <c r="A91">
        <v>88</v>
      </c>
      <c r="B91" s="25">
        <f>DATE(2026,8,5)</f>
        <v>46239</v>
      </c>
      <c r="C91" t="s">
        <v>393</v>
      </c>
      <c r="D91" s="30" t="s">
        <v>394</v>
      </c>
      <c r="E91" t="s">
        <v>395</v>
      </c>
      <c r="F91" t="s">
        <v>196</v>
      </c>
      <c r="G91" s="30" t="s">
        <v>29</v>
      </c>
      <c r="H91" t="str">
        <f t="shared" si="10"/>
        <v>019 - Arrendamiento de bienes muebles e inmuebles</v>
      </c>
      <c r="I91" t="s">
        <v>100</v>
      </c>
      <c r="J91" s="20">
        <v>919.28</v>
      </c>
      <c r="K91" s="20">
        <v>165.47</v>
      </c>
      <c r="L91" s="20">
        <f t="shared" si="11"/>
        <v>1084.75</v>
      </c>
      <c r="M91" s="30" t="s">
        <v>396</v>
      </c>
      <c r="N91" s="26">
        <f t="shared" si="12"/>
        <v>3.3940000000000001</v>
      </c>
      <c r="O91" s="20">
        <f t="shared" si="13"/>
        <v>3681.65</v>
      </c>
      <c r="P91" s="31">
        <f t="shared" si="14"/>
        <v>0.1</v>
      </c>
      <c r="Q91" s="32">
        <f t="shared" si="15"/>
        <v>700</v>
      </c>
      <c r="R91" t="str">
        <f t="shared" si="16"/>
        <v>SI</v>
      </c>
      <c r="S91" s="20">
        <f t="shared" si="17"/>
        <v>368.17</v>
      </c>
      <c r="T91" s="20">
        <v>368</v>
      </c>
      <c r="U91" t="str">
        <f t="shared" si="18"/>
        <v>OK</v>
      </c>
      <c r="V91" s="20"/>
      <c r="W91" s="20">
        <f t="shared" si="19"/>
        <v>976.27</v>
      </c>
      <c r="X91" s="25"/>
      <c r="Y91" s="25"/>
      <c r="AB91" t="s">
        <v>199</v>
      </c>
    </row>
    <row r="92" spans="1:28" x14ac:dyDescent="0.25">
      <c r="A92">
        <v>89</v>
      </c>
      <c r="B92" s="25">
        <f>DATE(2026,8,6)</f>
        <v>46240</v>
      </c>
      <c r="C92" t="s">
        <v>397</v>
      </c>
      <c r="D92" s="30" t="s">
        <v>358</v>
      </c>
      <c r="E92" t="s">
        <v>359</v>
      </c>
      <c r="F92" t="s">
        <v>196</v>
      </c>
      <c r="G92" s="30" t="s">
        <v>67</v>
      </c>
      <c r="H92" t="str">
        <f t="shared" si="10"/>
        <v>N/A - No sujeto a detracción (aéreo regular, salud exonerada de IGV, importación de bienes, etc.)</v>
      </c>
      <c r="I92" t="s">
        <v>197</v>
      </c>
      <c r="J92" s="20">
        <v>1092.8</v>
      </c>
      <c r="K92" s="20">
        <v>196.7</v>
      </c>
      <c r="L92" s="20">
        <f t="shared" si="11"/>
        <v>1289.5</v>
      </c>
      <c r="M92" s="30" t="s">
        <v>204</v>
      </c>
      <c r="N92" s="26">
        <f t="shared" si="12"/>
        <v>1</v>
      </c>
      <c r="O92" s="20">
        <f t="shared" si="13"/>
        <v>1289.5</v>
      </c>
      <c r="P92" s="31">
        <f t="shared" si="14"/>
        <v>0</v>
      </c>
      <c r="Q92" s="32">
        <f t="shared" si="15"/>
        <v>999999999</v>
      </c>
      <c r="R92" t="str">
        <f t="shared" si="16"/>
        <v>NO</v>
      </c>
      <c r="S92" s="20">
        <f t="shared" si="17"/>
        <v>0</v>
      </c>
      <c r="T92" s="20"/>
      <c r="U92" t="str">
        <f t="shared" si="18"/>
        <v/>
      </c>
      <c r="V92" s="20"/>
      <c r="W92" s="20">
        <f t="shared" si="19"/>
        <v>1289.5</v>
      </c>
      <c r="X92" s="25"/>
      <c r="Y92" s="25"/>
      <c r="AB92" t="s">
        <v>205</v>
      </c>
    </row>
    <row r="93" spans="1:28" x14ac:dyDescent="0.25">
      <c r="A93">
        <v>90</v>
      </c>
      <c r="B93" s="25">
        <f>DATE(2026,8,4)</f>
        <v>46238</v>
      </c>
      <c r="C93" t="s">
        <v>398</v>
      </c>
      <c r="D93" s="30" t="s">
        <v>243</v>
      </c>
      <c r="E93" t="s">
        <v>244</v>
      </c>
      <c r="F93" t="s">
        <v>231</v>
      </c>
      <c r="G93" s="30" t="s">
        <v>67</v>
      </c>
      <c r="H93" t="str">
        <f t="shared" si="10"/>
        <v>N/A - No sujeto a detracción (aéreo regular, salud exonerada de IGV, importación de bienes, etc.)</v>
      </c>
      <c r="I93" t="s">
        <v>100</v>
      </c>
      <c r="J93" s="20">
        <v>180</v>
      </c>
      <c r="K93" s="20">
        <v>0</v>
      </c>
      <c r="L93" s="20">
        <f t="shared" si="11"/>
        <v>180</v>
      </c>
      <c r="M93" s="30" t="s">
        <v>232</v>
      </c>
      <c r="N93" s="26">
        <f t="shared" si="12"/>
        <v>3.4020000000000001</v>
      </c>
      <c r="O93" s="20">
        <f t="shared" si="13"/>
        <v>612.36</v>
      </c>
      <c r="P93" s="31">
        <f t="shared" si="14"/>
        <v>0</v>
      </c>
      <c r="Q93" s="32">
        <f t="shared" si="15"/>
        <v>999999999</v>
      </c>
      <c r="R93" t="str">
        <f t="shared" si="16"/>
        <v>NO</v>
      </c>
      <c r="S93" s="20">
        <f t="shared" si="17"/>
        <v>0</v>
      </c>
      <c r="T93" s="20"/>
      <c r="U93" t="str">
        <f t="shared" si="18"/>
        <v/>
      </c>
      <c r="V93" s="20"/>
      <c r="W93" s="20">
        <f t="shared" si="19"/>
        <v>180</v>
      </c>
      <c r="X93" s="25"/>
      <c r="Y93" s="25"/>
      <c r="AB93" t="s">
        <v>205</v>
      </c>
    </row>
    <row r="94" spans="1:28" x14ac:dyDescent="0.25">
      <c r="A94">
        <v>91</v>
      </c>
      <c r="B94" s="25">
        <f>DATE(2026,8,13)</f>
        <v>46247</v>
      </c>
      <c r="C94" t="s">
        <v>399</v>
      </c>
      <c r="D94" s="30" t="s">
        <v>246</v>
      </c>
      <c r="E94" t="s">
        <v>247</v>
      </c>
      <c r="F94" t="s">
        <v>196</v>
      </c>
      <c r="G94" s="30" t="s">
        <v>67</v>
      </c>
      <c r="H94" t="str">
        <f t="shared" si="10"/>
        <v>N/A - No sujeto a detracción (aéreo regular, salud exonerada de IGV, importación de bienes, etc.)</v>
      </c>
      <c r="I94" t="s">
        <v>100</v>
      </c>
      <c r="J94" s="20">
        <v>47.33</v>
      </c>
      <c r="K94" s="20">
        <v>8.52</v>
      </c>
      <c r="L94" s="20">
        <f t="shared" si="11"/>
        <v>55.849999999999994</v>
      </c>
      <c r="M94" s="30" t="s">
        <v>204</v>
      </c>
      <c r="N94" s="26">
        <f t="shared" si="12"/>
        <v>3.3650000000000002</v>
      </c>
      <c r="O94" s="20">
        <f t="shared" si="13"/>
        <v>187.94</v>
      </c>
      <c r="P94" s="31">
        <f t="shared" si="14"/>
        <v>0</v>
      </c>
      <c r="Q94" s="32">
        <f t="shared" si="15"/>
        <v>999999999</v>
      </c>
      <c r="R94" t="str">
        <f t="shared" si="16"/>
        <v>NO</v>
      </c>
      <c r="S94" s="20">
        <f t="shared" si="17"/>
        <v>0</v>
      </c>
      <c r="T94" s="20"/>
      <c r="U94" t="str">
        <f t="shared" si="18"/>
        <v/>
      </c>
      <c r="V94" s="20"/>
      <c r="W94" s="20">
        <f t="shared" si="19"/>
        <v>55.85</v>
      </c>
      <c r="X94" s="25"/>
      <c r="Y94" s="25"/>
      <c r="AB94" t="s">
        <v>205</v>
      </c>
    </row>
    <row r="95" spans="1:28" x14ac:dyDescent="0.25">
      <c r="A95">
        <v>92</v>
      </c>
      <c r="B95" s="25">
        <f>DATE(2026,8,19)</f>
        <v>46253</v>
      </c>
      <c r="C95" t="s">
        <v>400</v>
      </c>
      <c r="D95" s="30" t="s">
        <v>246</v>
      </c>
      <c r="E95" t="s">
        <v>364</v>
      </c>
      <c r="F95" t="s">
        <v>196</v>
      </c>
      <c r="G95" s="30" t="s">
        <v>67</v>
      </c>
      <c r="H95" t="str">
        <f t="shared" si="10"/>
        <v>N/A - No sujeto a detracción (aéreo regular, salud exonerada de IGV, importación de bienes, etc.)</v>
      </c>
      <c r="I95" t="s">
        <v>100</v>
      </c>
      <c r="J95" s="20">
        <v>47.33</v>
      </c>
      <c r="K95" s="20">
        <v>8.52</v>
      </c>
      <c r="L95" s="20">
        <f t="shared" si="11"/>
        <v>55.849999999999994</v>
      </c>
      <c r="M95" s="30" t="s">
        <v>204</v>
      </c>
      <c r="N95" s="26">
        <f t="shared" si="12"/>
        <v>3.3620000000000001</v>
      </c>
      <c r="O95" s="20">
        <f t="shared" si="13"/>
        <v>187.76</v>
      </c>
      <c r="P95" s="31">
        <f t="shared" si="14"/>
        <v>0</v>
      </c>
      <c r="Q95" s="32">
        <f t="shared" si="15"/>
        <v>999999999</v>
      </c>
      <c r="R95" t="str">
        <f t="shared" si="16"/>
        <v>NO</v>
      </c>
      <c r="S95" s="20">
        <f t="shared" si="17"/>
        <v>0</v>
      </c>
      <c r="T95" s="20"/>
      <c r="U95" t="str">
        <f t="shared" si="18"/>
        <v/>
      </c>
      <c r="V95" s="20"/>
      <c r="W95" s="20">
        <f t="shared" si="19"/>
        <v>55.85</v>
      </c>
      <c r="X95" s="25"/>
      <c r="Y95" s="25"/>
      <c r="AB95" t="s">
        <v>205</v>
      </c>
    </row>
    <row r="96" spans="1:28" x14ac:dyDescent="0.25">
      <c r="A96">
        <v>93</v>
      </c>
      <c r="B96" s="25">
        <f>DATE(2026,8,16)</f>
        <v>46250</v>
      </c>
      <c r="C96" t="s">
        <v>401</v>
      </c>
      <c r="D96" s="30" t="s">
        <v>366</v>
      </c>
      <c r="E96" t="s">
        <v>367</v>
      </c>
      <c r="F96" t="s">
        <v>218</v>
      </c>
      <c r="G96" s="30" t="s">
        <v>67</v>
      </c>
      <c r="H96" t="str">
        <f t="shared" si="10"/>
        <v>N/A - No sujeto a detracción (aéreo regular, salud exonerada de IGV, importación de bienes, etc.)</v>
      </c>
      <c r="I96" t="s">
        <v>100</v>
      </c>
      <c r="J96" s="20">
        <v>-678.73</v>
      </c>
      <c r="K96" s="20">
        <v>-71.27</v>
      </c>
      <c r="L96" s="20">
        <f t="shared" si="11"/>
        <v>-750</v>
      </c>
      <c r="M96" s="30" t="s">
        <v>204</v>
      </c>
      <c r="N96" s="26">
        <f t="shared" si="12"/>
        <v>3.371</v>
      </c>
      <c r="O96" s="20">
        <f t="shared" si="13"/>
        <v>-2528.25</v>
      </c>
      <c r="P96" s="31">
        <f t="shared" si="14"/>
        <v>0</v>
      </c>
      <c r="Q96" s="32">
        <f t="shared" si="15"/>
        <v>999999999</v>
      </c>
      <c r="R96" t="str">
        <f t="shared" si="16"/>
        <v>NO</v>
      </c>
      <c r="S96" s="20">
        <f t="shared" si="17"/>
        <v>0</v>
      </c>
      <c r="T96" s="20"/>
      <c r="U96" t="str">
        <f t="shared" si="18"/>
        <v/>
      </c>
      <c r="V96" s="20"/>
      <c r="W96" s="20">
        <f t="shared" si="19"/>
        <v>-750</v>
      </c>
      <c r="X96" s="25"/>
      <c r="Y96" s="25"/>
      <c r="AB96" t="s">
        <v>205</v>
      </c>
    </row>
    <row r="97" spans="1:28" x14ac:dyDescent="0.25">
      <c r="A97">
        <v>94</v>
      </c>
      <c r="B97" s="25">
        <f>DATE(2026,8,7)</f>
        <v>46241</v>
      </c>
      <c r="C97" t="s">
        <v>402</v>
      </c>
      <c r="D97" s="30" t="s">
        <v>369</v>
      </c>
      <c r="E97" t="s">
        <v>370</v>
      </c>
      <c r="F97" t="s">
        <v>218</v>
      </c>
      <c r="G97" s="30" t="s">
        <v>67</v>
      </c>
      <c r="H97" t="str">
        <f t="shared" si="10"/>
        <v>N/A - No sujeto a detracción (aéreo regular, salud exonerada de IGV, importación de bienes, etc.)</v>
      </c>
      <c r="I97" t="s">
        <v>100</v>
      </c>
      <c r="J97" s="20">
        <v>-2432.0300000000002</v>
      </c>
      <c r="K97" s="20">
        <v>-437.77</v>
      </c>
      <c r="L97" s="20">
        <f t="shared" si="11"/>
        <v>-2869.8</v>
      </c>
      <c r="M97" s="30" t="s">
        <v>204</v>
      </c>
      <c r="N97" s="26">
        <f t="shared" si="12"/>
        <v>3.3940000000000001</v>
      </c>
      <c r="O97" s="20">
        <f t="shared" si="13"/>
        <v>-9740.0999999999985</v>
      </c>
      <c r="P97" s="31">
        <f t="shared" si="14"/>
        <v>0</v>
      </c>
      <c r="Q97" s="32">
        <f t="shared" si="15"/>
        <v>999999999</v>
      </c>
      <c r="R97" t="str">
        <f t="shared" si="16"/>
        <v>NO</v>
      </c>
      <c r="S97" s="20">
        <f t="shared" si="17"/>
        <v>0</v>
      </c>
      <c r="T97" s="20"/>
      <c r="U97" t="str">
        <f t="shared" si="18"/>
        <v/>
      </c>
      <c r="V97" s="20"/>
      <c r="W97" s="20">
        <f t="shared" si="19"/>
        <v>-2869.8</v>
      </c>
      <c r="X97" s="25"/>
      <c r="Y97" s="25"/>
      <c r="AB97" t="s">
        <v>205</v>
      </c>
    </row>
    <row r="98" spans="1:28" x14ac:dyDescent="0.25">
      <c r="A98">
        <v>95</v>
      </c>
      <c r="B98" s="25">
        <f>DATE(2026,8,13)</f>
        <v>46247</v>
      </c>
      <c r="C98" t="s">
        <v>403</v>
      </c>
      <c r="D98" s="30" t="s">
        <v>372</v>
      </c>
      <c r="E98" t="s">
        <v>373</v>
      </c>
      <c r="F98" t="s">
        <v>196</v>
      </c>
      <c r="G98" s="30" t="s">
        <v>67</v>
      </c>
      <c r="H98" t="str">
        <f t="shared" si="10"/>
        <v>N/A - No sujeto a detracción (aéreo regular, salud exonerada de IGV, importación de bienes, etc.)</v>
      </c>
      <c r="I98" t="s">
        <v>197</v>
      </c>
      <c r="J98" s="20">
        <v>4371.04</v>
      </c>
      <c r="K98" s="20">
        <v>458.96</v>
      </c>
      <c r="L98" s="20">
        <f t="shared" si="11"/>
        <v>4830</v>
      </c>
      <c r="M98" s="30" t="s">
        <v>204</v>
      </c>
      <c r="N98" s="26">
        <f t="shared" si="12"/>
        <v>1</v>
      </c>
      <c r="O98" s="20">
        <f t="shared" si="13"/>
        <v>4830</v>
      </c>
      <c r="P98" s="31">
        <f t="shared" si="14"/>
        <v>0</v>
      </c>
      <c r="Q98" s="32">
        <f t="shared" si="15"/>
        <v>999999999</v>
      </c>
      <c r="R98" t="str">
        <f t="shared" si="16"/>
        <v>NO</v>
      </c>
      <c r="S98" s="20">
        <f t="shared" si="17"/>
        <v>0</v>
      </c>
      <c r="T98" s="20"/>
      <c r="U98" t="str">
        <f t="shared" si="18"/>
        <v/>
      </c>
      <c r="V98" s="20"/>
      <c r="W98" s="20">
        <f t="shared" si="19"/>
        <v>4830</v>
      </c>
      <c r="X98" s="25"/>
      <c r="Y98" s="25"/>
      <c r="AB98" t="s">
        <v>205</v>
      </c>
    </row>
    <row r="99" spans="1:28" x14ac:dyDescent="0.25">
      <c r="A99">
        <v>96</v>
      </c>
      <c r="B99" s="25">
        <f>DATE(2026,8,11)</f>
        <v>46245</v>
      </c>
      <c r="C99" t="s">
        <v>404</v>
      </c>
      <c r="D99" s="30" t="s">
        <v>262</v>
      </c>
      <c r="E99" t="s">
        <v>263</v>
      </c>
      <c r="F99" t="s">
        <v>196</v>
      </c>
      <c r="G99" s="30" t="s">
        <v>63</v>
      </c>
      <c r="H99" t="str">
        <f t="shared" si="10"/>
        <v>037 - Demás servicios gravados con IGV (residual)</v>
      </c>
      <c r="I99" t="s">
        <v>100</v>
      </c>
      <c r="J99" s="20">
        <v>1040.68</v>
      </c>
      <c r="K99" s="20">
        <v>187.32</v>
      </c>
      <c r="L99" s="20">
        <f t="shared" si="11"/>
        <v>1228</v>
      </c>
      <c r="M99" s="30" t="s">
        <v>204</v>
      </c>
      <c r="N99" s="26">
        <f t="shared" si="12"/>
        <v>3.387</v>
      </c>
      <c r="O99" s="20">
        <f t="shared" si="13"/>
        <v>4159.2300000000005</v>
      </c>
      <c r="P99" s="31">
        <f t="shared" si="14"/>
        <v>0.12</v>
      </c>
      <c r="Q99" s="32">
        <f t="shared" si="15"/>
        <v>700</v>
      </c>
      <c r="R99" t="str">
        <f t="shared" si="16"/>
        <v>SI</v>
      </c>
      <c r="S99" s="20">
        <f t="shared" si="17"/>
        <v>499.11</v>
      </c>
      <c r="T99" s="20">
        <v>499.11</v>
      </c>
      <c r="U99" t="str">
        <f t="shared" si="18"/>
        <v>OK</v>
      </c>
      <c r="V99" s="20"/>
      <c r="W99" s="20">
        <f t="shared" si="19"/>
        <v>1080.6400000000001</v>
      </c>
      <c r="X99" s="25"/>
      <c r="Y99" s="25"/>
      <c r="AB99" t="s">
        <v>205</v>
      </c>
    </row>
    <row r="100" spans="1:28" x14ac:dyDescent="0.25">
      <c r="A100">
        <v>97</v>
      </c>
      <c r="B100" s="25">
        <f>DATE(2026,8,14)</f>
        <v>46248</v>
      </c>
      <c r="C100" t="s">
        <v>405</v>
      </c>
      <c r="D100" s="30" t="s">
        <v>265</v>
      </c>
      <c r="E100" t="s">
        <v>266</v>
      </c>
      <c r="F100" t="s">
        <v>231</v>
      </c>
      <c r="G100" s="30" t="s">
        <v>67</v>
      </c>
      <c r="H100" t="str">
        <f t="shared" si="10"/>
        <v>N/A - No sujeto a detracción (aéreo regular, salud exonerada de IGV, importación de bienes, etc.)</v>
      </c>
      <c r="I100" t="s">
        <v>100</v>
      </c>
      <c r="J100" s="20">
        <v>87</v>
      </c>
      <c r="K100" s="20">
        <v>0</v>
      </c>
      <c r="L100" s="20">
        <f t="shared" si="11"/>
        <v>87</v>
      </c>
      <c r="M100" s="30" t="s">
        <v>232</v>
      </c>
      <c r="N100" s="26">
        <f t="shared" si="12"/>
        <v>3.371</v>
      </c>
      <c r="O100" s="20">
        <f t="shared" si="13"/>
        <v>293.27999999999997</v>
      </c>
      <c r="P100" s="31">
        <f t="shared" si="14"/>
        <v>0</v>
      </c>
      <c r="Q100" s="32">
        <f t="shared" si="15"/>
        <v>999999999</v>
      </c>
      <c r="R100" t="str">
        <f t="shared" si="16"/>
        <v>NO</v>
      </c>
      <c r="S100" s="20">
        <f t="shared" si="17"/>
        <v>0</v>
      </c>
      <c r="T100" s="20"/>
      <c r="U100" t="str">
        <f t="shared" si="18"/>
        <v/>
      </c>
      <c r="V100" s="20">
        <v>6.96</v>
      </c>
      <c r="W100" s="20">
        <f t="shared" si="19"/>
        <v>80.040000000000006</v>
      </c>
      <c r="X100" s="25"/>
      <c r="Y100" s="25"/>
      <c r="AB100" t="s">
        <v>205</v>
      </c>
    </row>
    <row r="101" spans="1:28" x14ac:dyDescent="0.25">
      <c r="A101">
        <v>98</v>
      </c>
      <c r="B101" s="25">
        <f>DATE(2026,8,8)</f>
        <v>46242</v>
      </c>
      <c r="C101" t="s">
        <v>406</v>
      </c>
      <c r="D101" s="30" t="s">
        <v>268</v>
      </c>
      <c r="E101" t="s">
        <v>269</v>
      </c>
      <c r="F101" t="s">
        <v>196</v>
      </c>
      <c r="G101" s="30" t="s">
        <v>67</v>
      </c>
      <c r="H101" t="str">
        <f t="shared" si="10"/>
        <v>N/A - No sujeto a detracción (aéreo regular, salud exonerada de IGV, importación de bienes, etc.)</v>
      </c>
      <c r="I101" t="s">
        <v>100</v>
      </c>
      <c r="J101" s="20">
        <v>105.52</v>
      </c>
      <c r="K101" s="20">
        <v>18.989999999999998</v>
      </c>
      <c r="L101" s="20">
        <f t="shared" si="11"/>
        <v>124.50999999999999</v>
      </c>
      <c r="M101" s="30" t="s">
        <v>204</v>
      </c>
      <c r="N101" s="26">
        <f t="shared" si="12"/>
        <v>3.3940000000000001</v>
      </c>
      <c r="O101" s="20">
        <f t="shared" si="13"/>
        <v>422.58</v>
      </c>
      <c r="P101" s="31">
        <f t="shared" si="14"/>
        <v>0</v>
      </c>
      <c r="Q101" s="32">
        <f t="shared" si="15"/>
        <v>999999999</v>
      </c>
      <c r="R101" t="str">
        <f t="shared" si="16"/>
        <v>NO</v>
      </c>
      <c r="S101" s="20">
        <f t="shared" si="17"/>
        <v>0</v>
      </c>
      <c r="T101" s="20"/>
      <c r="U101" t="str">
        <f t="shared" si="18"/>
        <v/>
      </c>
      <c r="V101" s="20"/>
      <c r="W101" s="20">
        <f t="shared" si="19"/>
        <v>124.51</v>
      </c>
      <c r="X101" s="25"/>
      <c r="Y101" s="25"/>
      <c r="AB101" t="s">
        <v>205</v>
      </c>
    </row>
    <row r="102" spans="1:28" x14ac:dyDescent="0.25">
      <c r="A102">
        <v>99</v>
      </c>
      <c r="B102" s="25">
        <f>DATE(2026,8,8)</f>
        <v>46242</v>
      </c>
      <c r="C102" t="s">
        <v>407</v>
      </c>
      <c r="D102" s="30" t="s">
        <v>271</v>
      </c>
      <c r="E102" t="s">
        <v>272</v>
      </c>
      <c r="F102" t="s">
        <v>196</v>
      </c>
      <c r="G102" s="30" t="s">
        <v>63</v>
      </c>
      <c r="H102" t="str">
        <f t="shared" si="10"/>
        <v>037 - Demás servicios gravados con IGV (residual)</v>
      </c>
      <c r="I102" t="s">
        <v>100</v>
      </c>
      <c r="J102" s="20">
        <v>322.39999999999998</v>
      </c>
      <c r="K102" s="20">
        <v>58.03</v>
      </c>
      <c r="L102" s="20">
        <f t="shared" si="11"/>
        <v>380.42999999999995</v>
      </c>
      <c r="M102" s="30" t="s">
        <v>204</v>
      </c>
      <c r="N102" s="26">
        <f t="shared" si="12"/>
        <v>3.3940000000000001</v>
      </c>
      <c r="O102" s="20">
        <f t="shared" si="13"/>
        <v>1291.18</v>
      </c>
      <c r="P102" s="31">
        <f t="shared" si="14"/>
        <v>0.12</v>
      </c>
      <c r="Q102" s="32">
        <f t="shared" si="15"/>
        <v>700</v>
      </c>
      <c r="R102" t="str">
        <f t="shared" si="16"/>
        <v>SI</v>
      </c>
      <c r="S102" s="20">
        <f t="shared" si="17"/>
        <v>154.94</v>
      </c>
      <c r="T102" s="20">
        <v>154.80000000000001</v>
      </c>
      <c r="U102" t="str">
        <f t="shared" si="18"/>
        <v>OK</v>
      </c>
      <c r="V102" s="20"/>
      <c r="W102" s="20">
        <f t="shared" si="19"/>
        <v>334.78</v>
      </c>
      <c r="X102" s="25"/>
      <c r="Y102" s="25"/>
      <c r="AB102" t="s">
        <v>205</v>
      </c>
    </row>
    <row r="103" spans="1:28" x14ac:dyDescent="0.25">
      <c r="A103">
        <v>100</v>
      </c>
      <c r="B103" s="25">
        <f>DATE(2026,8,5)</f>
        <v>46239</v>
      </c>
      <c r="C103" t="s">
        <v>408</v>
      </c>
      <c r="D103" s="30" t="s">
        <v>381</v>
      </c>
      <c r="E103" t="s">
        <v>382</v>
      </c>
      <c r="F103" t="s">
        <v>231</v>
      </c>
      <c r="G103" s="30" t="s">
        <v>67</v>
      </c>
      <c r="H103" t="str">
        <f t="shared" si="10"/>
        <v>N/A - No sujeto a detracción (aéreo regular, salud exonerada de IGV, importación de bienes, etc.)</v>
      </c>
      <c r="I103" t="s">
        <v>100</v>
      </c>
      <c r="J103" s="20">
        <v>20</v>
      </c>
      <c r="K103" s="20">
        <v>0</v>
      </c>
      <c r="L103" s="20">
        <f t="shared" si="11"/>
        <v>20</v>
      </c>
      <c r="M103" s="30" t="s">
        <v>232</v>
      </c>
      <c r="N103" s="26">
        <f t="shared" si="12"/>
        <v>3.3940000000000001</v>
      </c>
      <c r="O103" s="20">
        <f t="shared" si="13"/>
        <v>67.88</v>
      </c>
      <c r="P103" s="31">
        <f t="shared" si="14"/>
        <v>0</v>
      </c>
      <c r="Q103" s="32">
        <f t="shared" si="15"/>
        <v>999999999</v>
      </c>
      <c r="R103" t="str">
        <f t="shared" si="16"/>
        <v>NO</v>
      </c>
      <c r="S103" s="20">
        <f t="shared" si="17"/>
        <v>0</v>
      </c>
      <c r="T103" s="20"/>
      <c r="U103" t="str">
        <f t="shared" si="18"/>
        <v/>
      </c>
      <c r="V103" s="20"/>
      <c r="W103" s="20">
        <f t="shared" si="19"/>
        <v>20</v>
      </c>
      <c r="X103" s="25"/>
      <c r="Y103" s="25"/>
      <c r="AB103" t="s">
        <v>205</v>
      </c>
    </row>
    <row r="104" spans="1:28" x14ac:dyDescent="0.25">
      <c r="A104">
        <v>101</v>
      </c>
      <c r="B104" s="25">
        <f>DATE(2026,8,6)</f>
        <v>46240</v>
      </c>
      <c r="C104" t="s">
        <v>409</v>
      </c>
      <c r="D104" s="30" t="s">
        <v>277</v>
      </c>
      <c r="E104" t="s">
        <v>278</v>
      </c>
      <c r="F104" t="s">
        <v>196</v>
      </c>
      <c r="G104" s="30" t="s">
        <v>63</v>
      </c>
      <c r="H104" t="str">
        <f t="shared" si="10"/>
        <v>037 - Demás servicios gravados con IGV (residual)</v>
      </c>
      <c r="I104" t="s">
        <v>100</v>
      </c>
      <c r="J104" s="20">
        <v>192.8</v>
      </c>
      <c r="K104" s="20">
        <v>34.700000000000003</v>
      </c>
      <c r="L104" s="20">
        <f t="shared" si="11"/>
        <v>227.5</v>
      </c>
      <c r="M104" s="30" t="s">
        <v>204</v>
      </c>
      <c r="N104" s="26">
        <f t="shared" si="12"/>
        <v>3.3940000000000001</v>
      </c>
      <c r="O104" s="20">
        <f t="shared" si="13"/>
        <v>772.13</v>
      </c>
      <c r="P104" s="31">
        <f t="shared" si="14"/>
        <v>0.12</v>
      </c>
      <c r="Q104" s="32">
        <f t="shared" si="15"/>
        <v>700</v>
      </c>
      <c r="R104" t="str">
        <f t="shared" si="16"/>
        <v>SI</v>
      </c>
      <c r="S104" s="20">
        <f t="shared" si="17"/>
        <v>92.66</v>
      </c>
      <c r="T104" s="20">
        <v>93</v>
      </c>
      <c r="U104" t="str">
        <f t="shared" si="18"/>
        <v>OK</v>
      </c>
      <c r="V104" s="20"/>
      <c r="W104" s="20">
        <f t="shared" si="19"/>
        <v>200.2</v>
      </c>
      <c r="X104" s="25"/>
      <c r="Y104" s="25"/>
      <c r="AB104" t="s">
        <v>205</v>
      </c>
    </row>
    <row r="105" spans="1:28" x14ac:dyDescent="0.25">
      <c r="A105">
        <v>102</v>
      </c>
      <c r="B105" s="25">
        <f>DATE(2026,8,6)</f>
        <v>46240</v>
      </c>
      <c r="C105" t="s">
        <v>410</v>
      </c>
      <c r="D105" s="30" t="s">
        <v>277</v>
      </c>
      <c r="E105" t="s">
        <v>278</v>
      </c>
      <c r="F105" t="s">
        <v>196</v>
      </c>
      <c r="G105" s="30" t="s">
        <v>67</v>
      </c>
      <c r="H105" t="str">
        <f t="shared" si="10"/>
        <v>N/A - No sujeto a detracción (aéreo regular, salud exonerada de IGV, importación de bienes, etc.)</v>
      </c>
      <c r="I105" t="s">
        <v>100</v>
      </c>
      <c r="J105" s="20">
        <v>163.13999999999999</v>
      </c>
      <c r="K105" s="20">
        <v>29.36</v>
      </c>
      <c r="L105" s="20">
        <f t="shared" si="11"/>
        <v>192.5</v>
      </c>
      <c r="M105" s="30" t="s">
        <v>204</v>
      </c>
      <c r="N105" s="26">
        <f t="shared" si="12"/>
        <v>3.3940000000000001</v>
      </c>
      <c r="O105" s="20">
        <f t="shared" si="13"/>
        <v>653.35</v>
      </c>
      <c r="P105" s="31">
        <f t="shared" si="14"/>
        <v>0</v>
      </c>
      <c r="Q105" s="32">
        <f t="shared" si="15"/>
        <v>999999999</v>
      </c>
      <c r="R105" t="str">
        <f t="shared" si="16"/>
        <v>NO</v>
      </c>
      <c r="S105" s="20">
        <f t="shared" si="17"/>
        <v>0</v>
      </c>
      <c r="T105" s="20"/>
      <c r="U105" t="str">
        <f t="shared" si="18"/>
        <v/>
      </c>
      <c r="V105" s="20"/>
      <c r="W105" s="20">
        <f t="shared" si="19"/>
        <v>192.5</v>
      </c>
      <c r="X105" s="25"/>
      <c r="Y105" s="25"/>
      <c r="AB105" t="s">
        <v>205</v>
      </c>
    </row>
    <row r="106" spans="1:28" x14ac:dyDescent="0.25">
      <c r="A106">
        <v>103</v>
      </c>
      <c r="B106" s="25">
        <f>DATE(2026,8,18)</f>
        <v>46252</v>
      </c>
      <c r="C106" t="s">
        <v>411</v>
      </c>
      <c r="D106" s="30" t="s">
        <v>412</v>
      </c>
      <c r="E106" t="s">
        <v>413</v>
      </c>
      <c r="F106" t="s">
        <v>196</v>
      </c>
      <c r="G106" s="30" t="s">
        <v>67</v>
      </c>
      <c r="H106" t="str">
        <f t="shared" si="10"/>
        <v>N/A - No sujeto a detracción (aéreo regular, salud exonerada de IGV, importación de bienes, etc.)</v>
      </c>
      <c r="I106" t="s">
        <v>100</v>
      </c>
      <c r="J106" s="20">
        <v>1288</v>
      </c>
      <c r="K106" s="20">
        <v>0</v>
      </c>
      <c r="L106" s="20">
        <f t="shared" si="11"/>
        <v>1288</v>
      </c>
      <c r="M106" s="30" t="s">
        <v>204</v>
      </c>
      <c r="N106" s="26">
        <f t="shared" si="12"/>
        <v>3.37</v>
      </c>
      <c r="O106" s="20">
        <f t="shared" si="13"/>
        <v>4340.5600000000004</v>
      </c>
      <c r="P106" s="31">
        <f t="shared" si="14"/>
        <v>0</v>
      </c>
      <c r="Q106" s="32">
        <f t="shared" si="15"/>
        <v>999999999</v>
      </c>
      <c r="R106" t="str">
        <f t="shared" si="16"/>
        <v>NO</v>
      </c>
      <c r="S106" s="20">
        <f t="shared" si="17"/>
        <v>0</v>
      </c>
      <c r="T106" s="20"/>
      <c r="U106" t="str">
        <f t="shared" si="18"/>
        <v/>
      </c>
      <c r="V106" s="20"/>
      <c r="W106" s="20">
        <f t="shared" si="19"/>
        <v>1288</v>
      </c>
      <c r="X106" s="25"/>
      <c r="Y106" s="25"/>
      <c r="AB106" t="s">
        <v>205</v>
      </c>
    </row>
    <row r="107" spans="1:28" x14ac:dyDescent="0.25">
      <c r="A107">
        <v>104</v>
      </c>
      <c r="B107" s="25">
        <f>DATE(2026,8,19)</f>
        <v>46253</v>
      </c>
      <c r="C107" t="s">
        <v>414</v>
      </c>
      <c r="D107" s="30" t="s">
        <v>415</v>
      </c>
      <c r="E107" t="s">
        <v>416</v>
      </c>
      <c r="F107" t="s">
        <v>196</v>
      </c>
      <c r="G107" s="30" t="s">
        <v>51</v>
      </c>
      <c r="H107" t="str">
        <f t="shared" si="10"/>
        <v>026 - Servicio de transporte de personas</v>
      </c>
      <c r="I107" t="s">
        <v>100</v>
      </c>
      <c r="J107" s="20">
        <v>1126.78</v>
      </c>
      <c r="K107" s="20">
        <v>202.82</v>
      </c>
      <c r="L107" s="20">
        <f t="shared" si="11"/>
        <v>1329.6</v>
      </c>
      <c r="M107" s="30" t="s">
        <v>251</v>
      </c>
      <c r="N107" s="26">
        <f t="shared" si="12"/>
        <v>3.3620000000000001</v>
      </c>
      <c r="O107" s="20">
        <f t="shared" si="13"/>
        <v>4470.1099999999997</v>
      </c>
      <c r="P107" s="31">
        <f t="shared" si="14"/>
        <v>0.1</v>
      </c>
      <c r="Q107" s="32">
        <f t="shared" si="15"/>
        <v>700</v>
      </c>
      <c r="R107" t="str">
        <f t="shared" si="16"/>
        <v>SI</v>
      </c>
      <c r="S107" s="20">
        <f t="shared" si="17"/>
        <v>447.01</v>
      </c>
      <c r="T107" s="20">
        <v>446</v>
      </c>
      <c r="U107" t="str">
        <f t="shared" si="18"/>
        <v>REVISAR</v>
      </c>
      <c r="V107" s="20"/>
      <c r="W107" s="20">
        <f t="shared" si="19"/>
        <v>1196.6400000000001</v>
      </c>
      <c r="X107" s="25"/>
      <c r="Y107" s="25"/>
      <c r="AB107" t="s">
        <v>205</v>
      </c>
    </row>
    <row r="108" spans="1:28" x14ac:dyDescent="0.25">
      <c r="A108">
        <v>105</v>
      </c>
      <c r="B108" s="25">
        <f>DATE(2026,8,16)</f>
        <v>46250</v>
      </c>
      <c r="C108" t="s">
        <v>417</v>
      </c>
      <c r="D108" s="30" t="s">
        <v>311</v>
      </c>
      <c r="E108" t="s">
        <v>312</v>
      </c>
      <c r="F108" t="s">
        <v>231</v>
      </c>
      <c r="G108" s="30" t="s">
        <v>67</v>
      </c>
      <c r="H108" t="str">
        <f t="shared" si="10"/>
        <v>N/A - No sujeto a detracción (aéreo regular, salud exonerada de IGV, importación de bienes, etc.)</v>
      </c>
      <c r="I108" t="s">
        <v>100</v>
      </c>
      <c r="J108" s="20">
        <v>300</v>
      </c>
      <c r="K108" s="20">
        <v>0</v>
      </c>
      <c r="L108" s="20">
        <f t="shared" si="11"/>
        <v>300</v>
      </c>
      <c r="M108" s="30" t="s">
        <v>232</v>
      </c>
      <c r="N108" s="26">
        <f t="shared" si="12"/>
        <v>3.371</v>
      </c>
      <c r="O108" s="20">
        <f t="shared" si="13"/>
        <v>1011.3</v>
      </c>
      <c r="P108" s="31">
        <f t="shared" si="14"/>
        <v>0</v>
      </c>
      <c r="Q108" s="32">
        <f t="shared" si="15"/>
        <v>999999999</v>
      </c>
      <c r="R108" t="str">
        <f t="shared" si="16"/>
        <v>NO</v>
      </c>
      <c r="S108" s="20">
        <f t="shared" si="17"/>
        <v>0</v>
      </c>
      <c r="T108" s="20"/>
      <c r="U108" t="str">
        <f t="shared" si="18"/>
        <v/>
      </c>
      <c r="V108" s="20"/>
      <c r="W108" s="20">
        <f t="shared" si="19"/>
        <v>300</v>
      </c>
      <c r="X108" s="25"/>
      <c r="Y108" s="25"/>
      <c r="AB108" t="s">
        <v>205</v>
      </c>
    </row>
    <row r="109" spans="1:28" x14ac:dyDescent="0.25">
      <c r="A109">
        <v>106</v>
      </c>
      <c r="B109" s="25">
        <f>DATE(2026,8,17)</f>
        <v>46251</v>
      </c>
      <c r="C109" t="s">
        <v>418</v>
      </c>
      <c r="D109" s="30" t="s">
        <v>311</v>
      </c>
      <c r="E109" t="s">
        <v>312</v>
      </c>
      <c r="F109" t="s">
        <v>231</v>
      </c>
      <c r="G109" s="30" t="s">
        <v>67</v>
      </c>
      <c r="H109" t="str">
        <f t="shared" si="10"/>
        <v>N/A - No sujeto a detracción (aéreo regular, salud exonerada de IGV, importación de bienes, etc.)</v>
      </c>
      <c r="I109" t="s">
        <v>100</v>
      </c>
      <c r="J109" s="20">
        <v>200</v>
      </c>
      <c r="K109" s="20">
        <v>0</v>
      </c>
      <c r="L109" s="20">
        <f t="shared" si="11"/>
        <v>200</v>
      </c>
      <c r="M109" s="30" t="s">
        <v>232</v>
      </c>
      <c r="N109" s="26">
        <f t="shared" si="12"/>
        <v>3.3679999999999999</v>
      </c>
      <c r="O109" s="20">
        <f t="shared" si="13"/>
        <v>673.6</v>
      </c>
      <c r="P109" s="31">
        <f t="shared" si="14"/>
        <v>0</v>
      </c>
      <c r="Q109" s="32">
        <f t="shared" si="15"/>
        <v>999999999</v>
      </c>
      <c r="R109" t="str">
        <f t="shared" si="16"/>
        <v>NO</v>
      </c>
      <c r="S109" s="20">
        <f t="shared" si="17"/>
        <v>0</v>
      </c>
      <c r="T109" s="20"/>
      <c r="U109" t="str">
        <f t="shared" si="18"/>
        <v/>
      </c>
      <c r="V109" s="20"/>
      <c r="W109" s="20">
        <f t="shared" si="19"/>
        <v>200</v>
      </c>
      <c r="X109" s="25"/>
      <c r="Y109" s="25"/>
      <c r="AB109" t="s">
        <v>205</v>
      </c>
    </row>
    <row r="110" spans="1:28" x14ac:dyDescent="0.25">
      <c r="A110">
        <v>107</v>
      </c>
      <c r="B110" s="25"/>
      <c r="D110" s="30"/>
      <c r="G110" s="30"/>
      <c r="H110" t="str">
        <f t="shared" si="10"/>
        <v/>
      </c>
      <c r="J110" s="20"/>
      <c r="K110" s="20"/>
      <c r="L110" s="20" t="str">
        <f t="shared" si="11"/>
        <v/>
      </c>
      <c r="M110" s="30"/>
      <c r="N110" s="26" t="str">
        <f t="shared" si="12"/>
        <v/>
      </c>
      <c r="O110" s="20" t="str">
        <f t="shared" si="13"/>
        <v/>
      </c>
      <c r="P110" s="31" t="str">
        <f t="shared" si="14"/>
        <v/>
      </c>
      <c r="Q110" s="32" t="str">
        <f t="shared" si="15"/>
        <v/>
      </c>
      <c r="R110" t="str">
        <f t="shared" si="16"/>
        <v/>
      </c>
      <c r="S110" s="20" t="str">
        <f t="shared" si="17"/>
        <v/>
      </c>
      <c r="T110" s="20"/>
      <c r="U110" t="str">
        <f t="shared" si="18"/>
        <v/>
      </c>
      <c r="V110" s="20"/>
      <c r="W110" s="20" t="str">
        <f t="shared" si="19"/>
        <v/>
      </c>
      <c r="X110" s="25"/>
      <c r="Y110" s="25"/>
    </row>
    <row r="111" spans="1:28" x14ac:dyDescent="0.25">
      <c r="A111">
        <v>108</v>
      </c>
      <c r="B111" s="25"/>
      <c r="D111" s="30"/>
      <c r="G111" s="30"/>
      <c r="H111" t="str">
        <f t="shared" si="10"/>
        <v/>
      </c>
      <c r="J111" s="20"/>
      <c r="K111" s="20"/>
      <c r="L111" s="20" t="str">
        <f t="shared" si="11"/>
        <v/>
      </c>
      <c r="M111" s="30"/>
      <c r="N111" s="26" t="str">
        <f t="shared" si="12"/>
        <v/>
      </c>
      <c r="O111" s="20" t="str">
        <f t="shared" si="13"/>
        <v/>
      </c>
      <c r="P111" s="31" t="str">
        <f t="shared" si="14"/>
        <v/>
      </c>
      <c r="Q111" s="32" t="str">
        <f t="shared" si="15"/>
        <v/>
      </c>
      <c r="R111" t="str">
        <f t="shared" si="16"/>
        <v/>
      </c>
      <c r="S111" s="20" t="str">
        <f t="shared" si="17"/>
        <v/>
      </c>
      <c r="T111" s="20"/>
      <c r="U111" t="str">
        <f t="shared" si="18"/>
        <v/>
      </c>
      <c r="V111" s="20"/>
      <c r="W111" s="20" t="str">
        <f t="shared" si="19"/>
        <v/>
      </c>
      <c r="X111" s="25"/>
      <c r="Y111" s="25"/>
    </row>
    <row r="112" spans="1:28" x14ac:dyDescent="0.25">
      <c r="A112">
        <v>109</v>
      </c>
      <c r="B112" s="25"/>
      <c r="D112" s="30"/>
      <c r="G112" s="30"/>
      <c r="H112" t="str">
        <f t="shared" si="10"/>
        <v/>
      </c>
      <c r="J112" s="20"/>
      <c r="K112" s="20"/>
      <c r="L112" s="20" t="str">
        <f t="shared" si="11"/>
        <v/>
      </c>
      <c r="M112" s="30"/>
      <c r="N112" s="26" t="str">
        <f t="shared" si="12"/>
        <v/>
      </c>
      <c r="O112" s="20" t="str">
        <f t="shared" si="13"/>
        <v/>
      </c>
      <c r="P112" s="31" t="str">
        <f t="shared" si="14"/>
        <v/>
      </c>
      <c r="Q112" s="32" t="str">
        <f t="shared" si="15"/>
        <v/>
      </c>
      <c r="R112" t="str">
        <f t="shared" si="16"/>
        <v/>
      </c>
      <c r="S112" s="20" t="str">
        <f t="shared" si="17"/>
        <v/>
      </c>
      <c r="T112" s="20"/>
      <c r="U112" t="str">
        <f t="shared" si="18"/>
        <v/>
      </c>
      <c r="V112" s="20"/>
      <c r="W112" s="20" t="str">
        <f t="shared" si="19"/>
        <v/>
      </c>
      <c r="X112" s="25"/>
      <c r="Y112" s="25"/>
    </row>
    <row r="113" spans="1:25" x14ac:dyDescent="0.25">
      <c r="A113">
        <v>110</v>
      </c>
      <c r="B113" s="25"/>
      <c r="D113" s="30"/>
      <c r="G113" s="30"/>
      <c r="H113" t="str">
        <f t="shared" si="10"/>
        <v/>
      </c>
      <c r="J113" s="20"/>
      <c r="K113" s="20"/>
      <c r="L113" s="20" t="str">
        <f t="shared" si="11"/>
        <v/>
      </c>
      <c r="M113" s="30"/>
      <c r="N113" s="26" t="str">
        <f t="shared" si="12"/>
        <v/>
      </c>
      <c r="O113" s="20" t="str">
        <f t="shared" si="13"/>
        <v/>
      </c>
      <c r="P113" s="31" t="str">
        <f t="shared" si="14"/>
        <v/>
      </c>
      <c r="Q113" s="32" t="str">
        <f t="shared" si="15"/>
        <v/>
      </c>
      <c r="R113" t="str">
        <f t="shared" si="16"/>
        <v/>
      </c>
      <c r="S113" s="20" t="str">
        <f t="shared" si="17"/>
        <v/>
      </c>
      <c r="T113" s="20"/>
      <c r="U113" t="str">
        <f t="shared" si="18"/>
        <v/>
      </c>
      <c r="V113" s="20"/>
      <c r="W113" s="20" t="str">
        <f t="shared" si="19"/>
        <v/>
      </c>
      <c r="X113" s="25"/>
      <c r="Y113" s="25"/>
    </row>
    <row r="114" spans="1:25" x14ac:dyDescent="0.25">
      <c r="A114">
        <v>111</v>
      </c>
      <c r="B114" s="25"/>
      <c r="D114" s="30"/>
      <c r="G114" s="30"/>
      <c r="H114" t="str">
        <f t="shared" si="10"/>
        <v/>
      </c>
      <c r="J114" s="20"/>
      <c r="K114" s="20"/>
      <c r="L114" s="20" t="str">
        <f t="shared" si="11"/>
        <v/>
      </c>
      <c r="M114" s="30"/>
      <c r="N114" s="26" t="str">
        <f t="shared" si="12"/>
        <v/>
      </c>
      <c r="O114" s="20" t="str">
        <f t="shared" si="13"/>
        <v/>
      </c>
      <c r="P114" s="31" t="str">
        <f t="shared" si="14"/>
        <v/>
      </c>
      <c r="Q114" s="32" t="str">
        <f t="shared" si="15"/>
        <v/>
      </c>
      <c r="R114" t="str">
        <f t="shared" si="16"/>
        <v/>
      </c>
      <c r="S114" s="20" t="str">
        <f t="shared" si="17"/>
        <v/>
      </c>
      <c r="T114" s="20"/>
      <c r="U114" t="str">
        <f t="shared" si="18"/>
        <v/>
      </c>
      <c r="V114" s="20"/>
      <c r="W114" s="20" t="str">
        <f t="shared" si="19"/>
        <v/>
      </c>
      <c r="X114" s="25"/>
      <c r="Y114" s="25"/>
    </row>
    <row r="115" spans="1:25" x14ac:dyDescent="0.25">
      <c r="A115">
        <v>112</v>
      </c>
      <c r="B115" s="25"/>
      <c r="D115" s="30"/>
      <c r="G115" s="30"/>
      <c r="H115" t="str">
        <f t="shared" si="10"/>
        <v/>
      </c>
      <c r="J115" s="20"/>
      <c r="K115" s="20"/>
      <c r="L115" s="20" t="str">
        <f t="shared" si="11"/>
        <v/>
      </c>
      <c r="M115" s="30"/>
      <c r="N115" s="26" t="str">
        <f t="shared" si="12"/>
        <v/>
      </c>
      <c r="O115" s="20" t="str">
        <f t="shared" si="13"/>
        <v/>
      </c>
      <c r="P115" s="31" t="str">
        <f t="shared" si="14"/>
        <v/>
      </c>
      <c r="Q115" s="32" t="str">
        <f t="shared" si="15"/>
        <v/>
      </c>
      <c r="R115" t="str">
        <f t="shared" si="16"/>
        <v/>
      </c>
      <c r="S115" s="20" t="str">
        <f t="shared" si="17"/>
        <v/>
      </c>
      <c r="T115" s="20"/>
      <c r="U115" t="str">
        <f t="shared" si="18"/>
        <v/>
      </c>
      <c r="V115" s="20"/>
      <c r="W115" s="20" t="str">
        <f t="shared" si="19"/>
        <v/>
      </c>
      <c r="X115" s="25"/>
      <c r="Y115" s="25"/>
    </row>
    <row r="116" spans="1:25" x14ac:dyDescent="0.25">
      <c r="A116">
        <v>113</v>
      </c>
      <c r="B116" s="25"/>
      <c r="D116" s="30"/>
      <c r="G116" s="30"/>
      <c r="H116" t="str">
        <f t="shared" si="10"/>
        <v/>
      </c>
      <c r="J116" s="20"/>
      <c r="K116" s="20"/>
      <c r="L116" s="20" t="str">
        <f t="shared" si="11"/>
        <v/>
      </c>
      <c r="M116" s="30"/>
      <c r="N116" s="26" t="str">
        <f t="shared" si="12"/>
        <v/>
      </c>
      <c r="O116" s="20" t="str">
        <f t="shared" si="13"/>
        <v/>
      </c>
      <c r="P116" s="31" t="str">
        <f t="shared" si="14"/>
        <v/>
      </c>
      <c r="Q116" s="32" t="str">
        <f t="shared" si="15"/>
        <v/>
      </c>
      <c r="R116" t="str">
        <f t="shared" si="16"/>
        <v/>
      </c>
      <c r="S116" s="20" t="str">
        <f t="shared" si="17"/>
        <v/>
      </c>
      <c r="T116" s="20"/>
      <c r="U116" t="str">
        <f t="shared" si="18"/>
        <v/>
      </c>
      <c r="V116" s="20"/>
      <c r="W116" s="20" t="str">
        <f t="shared" si="19"/>
        <v/>
      </c>
      <c r="X116" s="25"/>
      <c r="Y116" s="25"/>
    </row>
    <row r="117" spans="1:25" x14ac:dyDescent="0.25">
      <c r="A117">
        <v>114</v>
      </c>
      <c r="B117" s="25"/>
      <c r="D117" s="30"/>
      <c r="G117" s="30"/>
      <c r="H117" t="str">
        <f t="shared" si="10"/>
        <v/>
      </c>
      <c r="J117" s="20"/>
      <c r="K117" s="20"/>
      <c r="L117" s="20" t="str">
        <f t="shared" si="11"/>
        <v/>
      </c>
      <c r="M117" s="30"/>
      <c r="N117" s="26" t="str">
        <f t="shared" si="12"/>
        <v/>
      </c>
      <c r="O117" s="20" t="str">
        <f t="shared" si="13"/>
        <v/>
      </c>
      <c r="P117" s="31" t="str">
        <f t="shared" si="14"/>
        <v/>
      </c>
      <c r="Q117" s="32" t="str">
        <f t="shared" si="15"/>
        <v/>
      </c>
      <c r="R117" t="str">
        <f t="shared" si="16"/>
        <v/>
      </c>
      <c r="S117" s="20" t="str">
        <f t="shared" si="17"/>
        <v/>
      </c>
      <c r="T117" s="20"/>
      <c r="U117" t="str">
        <f t="shared" si="18"/>
        <v/>
      </c>
      <c r="V117" s="20"/>
      <c r="W117" s="20" t="str">
        <f t="shared" si="19"/>
        <v/>
      </c>
      <c r="X117" s="25"/>
      <c r="Y117" s="25"/>
    </row>
    <row r="118" spans="1:25" x14ac:dyDescent="0.25">
      <c r="A118">
        <v>115</v>
      </c>
      <c r="B118" s="25"/>
      <c r="D118" s="30"/>
      <c r="G118" s="30"/>
      <c r="H118" t="str">
        <f t="shared" si="10"/>
        <v/>
      </c>
      <c r="J118" s="20"/>
      <c r="K118" s="20"/>
      <c r="L118" s="20" t="str">
        <f t="shared" si="11"/>
        <v/>
      </c>
      <c r="M118" s="30"/>
      <c r="N118" s="26" t="str">
        <f t="shared" si="12"/>
        <v/>
      </c>
      <c r="O118" s="20" t="str">
        <f t="shared" si="13"/>
        <v/>
      </c>
      <c r="P118" s="31" t="str">
        <f t="shared" si="14"/>
        <v/>
      </c>
      <c r="Q118" s="32" t="str">
        <f t="shared" si="15"/>
        <v/>
      </c>
      <c r="R118" t="str">
        <f t="shared" si="16"/>
        <v/>
      </c>
      <c r="S118" s="20" t="str">
        <f t="shared" si="17"/>
        <v/>
      </c>
      <c r="T118" s="20"/>
      <c r="U118" t="str">
        <f t="shared" si="18"/>
        <v/>
      </c>
      <c r="V118" s="20"/>
      <c r="W118" s="20" t="str">
        <f t="shared" si="19"/>
        <v/>
      </c>
      <c r="X118" s="25"/>
      <c r="Y118" s="25"/>
    </row>
    <row r="119" spans="1:25" x14ac:dyDescent="0.25">
      <c r="A119">
        <v>116</v>
      </c>
      <c r="B119" s="25"/>
      <c r="D119" s="30"/>
      <c r="G119" s="30"/>
      <c r="H119" t="str">
        <f t="shared" si="10"/>
        <v/>
      </c>
      <c r="J119" s="20"/>
      <c r="K119" s="20"/>
      <c r="L119" s="20" t="str">
        <f t="shared" si="11"/>
        <v/>
      </c>
      <c r="M119" s="30"/>
      <c r="N119" s="26" t="str">
        <f t="shared" si="12"/>
        <v/>
      </c>
      <c r="O119" s="20" t="str">
        <f t="shared" si="13"/>
        <v/>
      </c>
      <c r="P119" s="31" t="str">
        <f t="shared" si="14"/>
        <v/>
      </c>
      <c r="Q119" s="32" t="str">
        <f t="shared" si="15"/>
        <v/>
      </c>
      <c r="R119" t="str">
        <f t="shared" si="16"/>
        <v/>
      </c>
      <c r="S119" s="20" t="str">
        <f t="shared" si="17"/>
        <v/>
      </c>
      <c r="T119" s="20"/>
      <c r="U119" t="str">
        <f t="shared" si="18"/>
        <v/>
      </c>
      <c r="V119" s="20"/>
      <c r="W119" s="20" t="str">
        <f t="shared" si="19"/>
        <v/>
      </c>
      <c r="X119" s="25"/>
      <c r="Y119" s="25"/>
    </row>
    <row r="120" spans="1:25" x14ac:dyDescent="0.25">
      <c r="A120">
        <v>117</v>
      </c>
      <c r="B120" s="25"/>
      <c r="D120" s="30"/>
      <c r="G120" s="30"/>
      <c r="H120" t="str">
        <f t="shared" si="10"/>
        <v/>
      </c>
      <c r="J120" s="20"/>
      <c r="K120" s="20"/>
      <c r="L120" s="20" t="str">
        <f t="shared" si="11"/>
        <v/>
      </c>
      <c r="M120" s="30"/>
      <c r="N120" s="26" t="str">
        <f t="shared" si="12"/>
        <v/>
      </c>
      <c r="O120" s="20" t="str">
        <f t="shared" si="13"/>
        <v/>
      </c>
      <c r="P120" s="31" t="str">
        <f t="shared" si="14"/>
        <v/>
      </c>
      <c r="Q120" s="32" t="str">
        <f t="shared" si="15"/>
        <v/>
      </c>
      <c r="R120" t="str">
        <f t="shared" si="16"/>
        <v/>
      </c>
      <c r="S120" s="20" t="str">
        <f t="shared" si="17"/>
        <v/>
      </c>
      <c r="T120" s="20"/>
      <c r="U120" t="str">
        <f t="shared" si="18"/>
        <v/>
      </c>
      <c r="V120" s="20"/>
      <c r="W120" s="20" t="str">
        <f t="shared" si="19"/>
        <v/>
      </c>
      <c r="X120" s="25"/>
      <c r="Y120" s="25"/>
    </row>
    <row r="121" spans="1:25" x14ac:dyDescent="0.25">
      <c r="A121">
        <v>118</v>
      </c>
      <c r="B121" s="25"/>
      <c r="D121" s="30"/>
      <c r="G121" s="30"/>
      <c r="H121" t="str">
        <f t="shared" si="10"/>
        <v/>
      </c>
      <c r="J121" s="20"/>
      <c r="K121" s="20"/>
      <c r="L121" s="20" t="str">
        <f t="shared" si="11"/>
        <v/>
      </c>
      <c r="M121" s="30"/>
      <c r="N121" s="26" t="str">
        <f t="shared" si="12"/>
        <v/>
      </c>
      <c r="O121" s="20" t="str">
        <f t="shared" si="13"/>
        <v/>
      </c>
      <c r="P121" s="31" t="str">
        <f t="shared" si="14"/>
        <v/>
      </c>
      <c r="Q121" s="32" t="str">
        <f t="shared" si="15"/>
        <v/>
      </c>
      <c r="R121" t="str">
        <f t="shared" si="16"/>
        <v/>
      </c>
      <c r="S121" s="20" t="str">
        <f t="shared" si="17"/>
        <v/>
      </c>
      <c r="T121" s="20"/>
      <c r="U121" t="str">
        <f t="shared" si="18"/>
        <v/>
      </c>
      <c r="V121" s="20"/>
      <c r="W121" s="20" t="str">
        <f t="shared" si="19"/>
        <v/>
      </c>
      <c r="X121" s="25"/>
      <c r="Y121" s="25"/>
    </row>
    <row r="122" spans="1:25" x14ac:dyDescent="0.25">
      <c r="A122">
        <v>119</v>
      </c>
      <c r="B122" s="25"/>
      <c r="D122" s="30"/>
      <c r="G122" s="30"/>
      <c r="H122" t="str">
        <f t="shared" si="10"/>
        <v/>
      </c>
      <c r="J122" s="20"/>
      <c r="K122" s="20"/>
      <c r="L122" s="20" t="str">
        <f t="shared" si="11"/>
        <v/>
      </c>
      <c r="M122" s="30"/>
      <c r="N122" s="26" t="str">
        <f t="shared" si="12"/>
        <v/>
      </c>
      <c r="O122" s="20" t="str">
        <f t="shared" si="13"/>
        <v/>
      </c>
      <c r="P122" s="31" t="str">
        <f t="shared" si="14"/>
        <v/>
      </c>
      <c r="Q122" s="32" t="str">
        <f t="shared" si="15"/>
        <v/>
      </c>
      <c r="R122" t="str">
        <f t="shared" si="16"/>
        <v/>
      </c>
      <c r="S122" s="20" t="str">
        <f t="shared" si="17"/>
        <v/>
      </c>
      <c r="T122" s="20"/>
      <c r="U122" t="str">
        <f t="shared" si="18"/>
        <v/>
      </c>
      <c r="V122" s="20"/>
      <c r="W122" s="20" t="str">
        <f t="shared" si="19"/>
        <v/>
      </c>
      <c r="X122" s="25"/>
      <c r="Y122" s="25"/>
    </row>
    <row r="123" spans="1:25" x14ac:dyDescent="0.25">
      <c r="A123">
        <v>120</v>
      </c>
      <c r="B123" s="25"/>
      <c r="D123" s="30"/>
      <c r="G123" s="30"/>
      <c r="H123" t="str">
        <f t="shared" si="10"/>
        <v/>
      </c>
      <c r="J123" s="20"/>
      <c r="K123" s="20"/>
      <c r="L123" s="20" t="str">
        <f t="shared" si="11"/>
        <v/>
      </c>
      <c r="M123" s="30"/>
      <c r="N123" s="26" t="str">
        <f t="shared" si="12"/>
        <v/>
      </c>
      <c r="O123" s="20" t="str">
        <f t="shared" si="13"/>
        <v/>
      </c>
      <c r="P123" s="31" t="str">
        <f t="shared" si="14"/>
        <v/>
      </c>
      <c r="Q123" s="32" t="str">
        <f t="shared" si="15"/>
        <v/>
      </c>
      <c r="R123" t="str">
        <f t="shared" si="16"/>
        <v/>
      </c>
      <c r="S123" s="20" t="str">
        <f t="shared" si="17"/>
        <v/>
      </c>
      <c r="T123" s="20"/>
      <c r="U123" t="str">
        <f t="shared" si="18"/>
        <v/>
      </c>
      <c r="V123" s="20"/>
      <c r="W123" s="20" t="str">
        <f t="shared" si="19"/>
        <v/>
      </c>
      <c r="X123" s="25"/>
      <c r="Y123" s="25"/>
    </row>
    <row r="124" spans="1:25" x14ac:dyDescent="0.25">
      <c r="A124">
        <v>121</v>
      </c>
      <c r="B124" s="25"/>
      <c r="D124" s="30"/>
      <c r="G124" s="30"/>
      <c r="H124" t="str">
        <f t="shared" si="10"/>
        <v/>
      </c>
      <c r="J124" s="20"/>
      <c r="K124" s="20"/>
      <c r="L124" s="20" t="str">
        <f t="shared" si="11"/>
        <v/>
      </c>
      <c r="M124" s="30"/>
      <c r="N124" s="26" t="str">
        <f t="shared" si="12"/>
        <v/>
      </c>
      <c r="O124" s="20" t="str">
        <f t="shared" si="13"/>
        <v/>
      </c>
      <c r="P124" s="31" t="str">
        <f t="shared" si="14"/>
        <v/>
      </c>
      <c r="Q124" s="32" t="str">
        <f t="shared" si="15"/>
        <v/>
      </c>
      <c r="R124" t="str">
        <f t="shared" si="16"/>
        <v/>
      </c>
      <c r="S124" s="20" t="str">
        <f t="shared" si="17"/>
        <v/>
      </c>
      <c r="T124" s="20"/>
      <c r="U124" t="str">
        <f t="shared" si="18"/>
        <v/>
      </c>
      <c r="V124" s="20"/>
      <c r="W124" s="20" t="str">
        <f t="shared" si="19"/>
        <v/>
      </c>
      <c r="X124" s="25"/>
      <c r="Y124" s="25"/>
    </row>
    <row r="125" spans="1:25" x14ac:dyDescent="0.25">
      <c r="A125">
        <v>122</v>
      </c>
      <c r="B125" s="25"/>
      <c r="D125" s="30"/>
      <c r="G125" s="30"/>
      <c r="H125" t="str">
        <f t="shared" si="10"/>
        <v/>
      </c>
      <c r="J125" s="20"/>
      <c r="K125" s="20"/>
      <c r="L125" s="20" t="str">
        <f t="shared" si="11"/>
        <v/>
      </c>
      <c r="M125" s="30"/>
      <c r="N125" s="26" t="str">
        <f t="shared" si="12"/>
        <v/>
      </c>
      <c r="O125" s="20" t="str">
        <f t="shared" si="13"/>
        <v/>
      </c>
      <c r="P125" s="31" t="str">
        <f t="shared" si="14"/>
        <v/>
      </c>
      <c r="Q125" s="32" t="str">
        <f t="shared" si="15"/>
        <v/>
      </c>
      <c r="R125" t="str">
        <f t="shared" si="16"/>
        <v/>
      </c>
      <c r="S125" s="20" t="str">
        <f t="shared" si="17"/>
        <v/>
      </c>
      <c r="T125" s="20"/>
      <c r="U125" t="str">
        <f t="shared" si="18"/>
        <v/>
      </c>
      <c r="V125" s="20"/>
      <c r="W125" s="20" t="str">
        <f t="shared" si="19"/>
        <v/>
      </c>
      <c r="X125" s="25"/>
      <c r="Y125" s="25"/>
    </row>
    <row r="126" spans="1:25" x14ac:dyDescent="0.25">
      <c r="A126">
        <v>123</v>
      </c>
      <c r="B126" s="25"/>
      <c r="D126" s="30"/>
      <c r="G126" s="30"/>
      <c r="H126" t="str">
        <f t="shared" si="10"/>
        <v/>
      </c>
      <c r="J126" s="20"/>
      <c r="K126" s="20"/>
      <c r="L126" s="20" t="str">
        <f t="shared" si="11"/>
        <v/>
      </c>
      <c r="M126" s="30"/>
      <c r="N126" s="26" t="str">
        <f t="shared" si="12"/>
        <v/>
      </c>
      <c r="O126" s="20" t="str">
        <f t="shared" si="13"/>
        <v/>
      </c>
      <c r="P126" s="31" t="str">
        <f t="shared" si="14"/>
        <v/>
      </c>
      <c r="Q126" s="32" t="str">
        <f t="shared" si="15"/>
        <v/>
      </c>
      <c r="R126" t="str">
        <f t="shared" si="16"/>
        <v/>
      </c>
      <c r="S126" s="20" t="str">
        <f t="shared" si="17"/>
        <v/>
      </c>
      <c r="T126" s="20"/>
      <c r="U126" t="str">
        <f t="shared" si="18"/>
        <v/>
      </c>
      <c r="V126" s="20"/>
      <c r="W126" s="20" t="str">
        <f t="shared" si="19"/>
        <v/>
      </c>
      <c r="X126" s="25"/>
      <c r="Y126" s="25"/>
    </row>
    <row r="127" spans="1:25" x14ac:dyDescent="0.25">
      <c r="A127">
        <v>124</v>
      </c>
      <c r="B127" s="25"/>
      <c r="D127" s="30"/>
      <c r="G127" s="30"/>
      <c r="H127" t="str">
        <f t="shared" si="10"/>
        <v/>
      </c>
      <c r="J127" s="20"/>
      <c r="K127" s="20"/>
      <c r="L127" s="20" t="str">
        <f t="shared" si="11"/>
        <v/>
      </c>
      <c r="M127" s="30"/>
      <c r="N127" s="26" t="str">
        <f t="shared" si="12"/>
        <v/>
      </c>
      <c r="O127" s="20" t="str">
        <f t="shared" si="13"/>
        <v/>
      </c>
      <c r="P127" s="31" t="str">
        <f t="shared" si="14"/>
        <v/>
      </c>
      <c r="Q127" s="32" t="str">
        <f t="shared" si="15"/>
        <v/>
      </c>
      <c r="R127" t="str">
        <f t="shared" si="16"/>
        <v/>
      </c>
      <c r="S127" s="20" t="str">
        <f t="shared" si="17"/>
        <v/>
      </c>
      <c r="T127" s="20"/>
      <c r="U127" t="str">
        <f t="shared" si="18"/>
        <v/>
      </c>
      <c r="V127" s="20"/>
      <c r="W127" s="20" t="str">
        <f t="shared" si="19"/>
        <v/>
      </c>
      <c r="X127" s="25"/>
      <c r="Y127" s="25"/>
    </row>
    <row r="128" spans="1:25" x14ac:dyDescent="0.25">
      <c r="A128">
        <v>125</v>
      </c>
      <c r="B128" s="25"/>
      <c r="D128" s="30"/>
      <c r="G128" s="30"/>
      <c r="H128" t="str">
        <f t="shared" si="10"/>
        <v/>
      </c>
      <c r="J128" s="20"/>
      <c r="K128" s="20"/>
      <c r="L128" s="20" t="str">
        <f t="shared" si="11"/>
        <v/>
      </c>
      <c r="M128" s="30"/>
      <c r="N128" s="26" t="str">
        <f t="shared" si="12"/>
        <v/>
      </c>
      <c r="O128" s="20" t="str">
        <f t="shared" si="13"/>
        <v/>
      </c>
      <c r="P128" s="31" t="str">
        <f t="shared" si="14"/>
        <v/>
      </c>
      <c r="Q128" s="32" t="str">
        <f t="shared" si="15"/>
        <v/>
      </c>
      <c r="R128" t="str">
        <f t="shared" si="16"/>
        <v/>
      </c>
      <c r="S128" s="20" t="str">
        <f t="shared" si="17"/>
        <v/>
      </c>
      <c r="T128" s="20"/>
      <c r="U128" t="str">
        <f t="shared" si="18"/>
        <v/>
      </c>
      <c r="V128" s="20"/>
      <c r="W128" s="20" t="str">
        <f t="shared" si="19"/>
        <v/>
      </c>
      <c r="X128" s="25"/>
      <c r="Y128" s="25"/>
    </row>
    <row r="129" spans="1:25" x14ac:dyDescent="0.25">
      <c r="A129">
        <v>126</v>
      </c>
      <c r="B129" s="25"/>
      <c r="D129" s="30"/>
      <c r="G129" s="30"/>
      <c r="H129" t="str">
        <f t="shared" si="10"/>
        <v/>
      </c>
      <c r="J129" s="20"/>
      <c r="K129" s="20"/>
      <c r="L129" s="20" t="str">
        <f t="shared" si="11"/>
        <v/>
      </c>
      <c r="M129" s="30"/>
      <c r="N129" s="26" t="str">
        <f t="shared" si="12"/>
        <v/>
      </c>
      <c r="O129" s="20" t="str">
        <f t="shared" si="13"/>
        <v/>
      </c>
      <c r="P129" s="31" t="str">
        <f t="shared" si="14"/>
        <v/>
      </c>
      <c r="Q129" s="32" t="str">
        <f t="shared" si="15"/>
        <v/>
      </c>
      <c r="R129" t="str">
        <f t="shared" si="16"/>
        <v/>
      </c>
      <c r="S129" s="20" t="str">
        <f t="shared" si="17"/>
        <v/>
      </c>
      <c r="T129" s="20"/>
      <c r="U129" t="str">
        <f t="shared" si="18"/>
        <v/>
      </c>
      <c r="V129" s="20"/>
      <c r="W129" s="20" t="str">
        <f t="shared" si="19"/>
        <v/>
      </c>
      <c r="X129" s="25"/>
      <c r="Y129" s="25"/>
    </row>
    <row r="130" spans="1:25" x14ac:dyDescent="0.25">
      <c r="A130">
        <v>127</v>
      </c>
      <c r="B130" s="25"/>
      <c r="D130" s="30"/>
      <c r="G130" s="30"/>
      <c r="H130" t="str">
        <f t="shared" si="10"/>
        <v/>
      </c>
      <c r="J130" s="20"/>
      <c r="K130" s="20"/>
      <c r="L130" s="20" t="str">
        <f t="shared" si="11"/>
        <v/>
      </c>
      <c r="M130" s="30"/>
      <c r="N130" s="26" t="str">
        <f t="shared" si="12"/>
        <v/>
      </c>
      <c r="O130" s="20" t="str">
        <f t="shared" si="13"/>
        <v/>
      </c>
      <c r="P130" s="31" t="str">
        <f t="shared" si="14"/>
        <v/>
      </c>
      <c r="Q130" s="32" t="str">
        <f t="shared" si="15"/>
        <v/>
      </c>
      <c r="R130" t="str">
        <f t="shared" si="16"/>
        <v/>
      </c>
      <c r="S130" s="20" t="str">
        <f t="shared" si="17"/>
        <v/>
      </c>
      <c r="T130" s="20"/>
      <c r="U130" t="str">
        <f t="shared" si="18"/>
        <v/>
      </c>
      <c r="V130" s="20"/>
      <c r="W130" s="20" t="str">
        <f t="shared" si="19"/>
        <v/>
      </c>
      <c r="X130" s="25"/>
      <c r="Y130" s="25"/>
    </row>
    <row r="131" spans="1:25" x14ac:dyDescent="0.25">
      <c r="A131">
        <v>128</v>
      </c>
      <c r="B131" s="25"/>
      <c r="D131" s="30"/>
      <c r="G131" s="30"/>
      <c r="H131" t="str">
        <f t="shared" si="10"/>
        <v/>
      </c>
      <c r="J131" s="20"/>
      <c r="K131" s="20"/>
      <c r="L131" s="20" t="str">
        <f t="shared" si="11"/>
        <v/>
      </c>
      <c r="M131" s="30"/>
      <c r="N131" s="26" t="str">
        <f t="shared" si="12"/>
        <v/>
      </c>
      <c r="O131" s="20" t="str">
        <f t="shared" si="13"/>
        <v/>
      </c>
      <c r="P131" s="31" t="str">
        <f t="shared" si="14"/>
        <v/>
      </c>
      <c r="Q131" s="32" t="str">
        <f t="shared" si="15"/>
        <v/>
      </c>
      <c r="R131" t="str">
        <f t="shared" si="16"/>
        <v/>
      </c>
      <c r="S131" s="20" t="str">
        <f t="shared" si="17"/>
        <v/>
      </c>
      <c r="T131" s="20"/>
      <c r="U131" t="str">
        <f t="shared" si="18"/>
        <v/>
      </c>
      <c r="V131" s="20"/>
      <c r="W131" s="20" t="str">
        <f t="shared" si="19"/>
        <v/>
      </c>
      <c r="X131" s="25"/>
      <c r="Y131" s="25"/>
    </row>
    <row r="132" spans="1:25" x14ac:dyDescent="0.25">
      <c r="A132">
        <v>129</v>
      </c>
      <c r="B132" s="25"/>
      <c r="D132" s="30"/>
      <c r="G132" s="30"/>
      <c r="H132" t="str">
        <f t="shared" ref="H132:H195" si="20">IF($G132="","",IFERROR(INDEX(Catalogo_Etiquetas,MATCH($G132,Catalogo_Codigos,0)),"CODIGO NO VALIDO"))</f>
        <v/>
      </c>
      <c r="J132" s="20"/>
      <c r="K132" s="20"/>
      <c r="L132" s="20" t="str">
        <f t="shared" ref="L132:L195" si="21">IF($C132="","",$J132+$K132)</f>
        <v/>
      </c>
      <c r="M132" s="30"/>
      <c r="N132" s="26" t="str">
        <f t="shared" ref="N132:N195" si="22">IF($C132="","",IF($I132="PEN",1,IFERROR(IF(_xlfn.XLOOKUP($B132,TC_Fechas,TC_Venta_Rango,"",-1)="","",_xlfn.XLOOKUP($B132,TC_Fechas,TC_Venta_Rango,"",-1)),"")))</f>
        <v/>
      </c>
      <c r="O132" s="20" t="str">
        <f t="shared" ref="O132:O195" si="23">IF(OR($C132="",$N132=""),"",ROUND($J132*$N132,2)+ROUND($K132*$N132,2))</f>
        <v/>
      </c>
      <c r="P132" s="31" t="str">
        <f t="shared" ref="P132:P195" si="24">IF($G132="","",IFERROR(INDEX(Catalogo_Tasas,MATCH($G132,Catalogo_Codigos,0)),""))</f>
        <v/>
      </c>
      <c r="Q132" s="32" t="str">
        <f t="shared" ref="Q132:Q195" si="25">IF($G132="","",IFERROR(INDEX(Catalogo_Umbrales,MATCH($G132,Catalogo_Codigos,0)),""))</f>
        <v/>
      </c>
      <c r="R132" t="str">
        <f t="shared" ref="R132:R195" si="26">IF(OR($C132="",$P132="",$O132=""),"",IF($F132&lt;&gt;"FACTURA","NO",IF(AND($P132&gt;0,$O132&gt;$Q132),"SI","NO")))</f>
        <v/>
      </c>
      <c r="S132" s="20" t="str">
        <f t="shared" ref="S132:S195" si="27">IF($R132="SI",ROUND($O132*$P132,2),IF($C132="","",0))</f>
        <v/>
      </c>
      <c r="T132" s="20"/>
      <c r="U132" t="str">
        <f t="shared" ref="U132:U195" si="28">IF($C132="","",IF($R132&lt;&gt;"SI","",IF($T132="","SIN DATO",IF(ABS($T132-$S132)&lt;=0.5,"OK","REVISAR"))))</f>
        <v/>
      </c>
      <c r="V132" s="20"/>
      <c r="W132" s="20" t="str">
        <f t="shared" ref="W132:W195" si="29">IF(OR($C132="",$N132=""),"",IF($F132="RHE",ROUND($L132-$V132,2),ROUND($L132-($S132/$N132),2)))</f>
        <v/>
      </c>
      <c r="X132" s="25"/>
      <c r="Y132" s="25"/>
    </row>
    <row r="133" spans="1:25" x14ac:dyDescent="0.25">
      <c r="A133">
        <v>130</v>
      </c>
      <c r="B133" s="25"/>
      <c r="D133" s="30"/>
      <c r="G133" s="30"/>
      <c r="H133" t="str">
        <f t="shared" si="20"/>
        <v/>
      </c>
      <c r="J133" s="20"/>
      <c r="K133" s="20"/>
      <c r="L133" s="20" t="str">
        <f t="shared" si="21"/>
        <v/>
      </c>
      <c r="M133" s="30"/>
      <c r="N133" s="26" t="str">
        <f t="shared" si="22"/>
        <v/>
      </c>
      <c r="O133" s="20" t="str">
        <f t="shared" si="23"/>
        <v/>
      </c>
      <c r="P133" s="31" t="str">
        <f t="shared" si="24"/>
        <v/>
      </c>
      <c r="Q133" s="32" t="str">
        <f t="shared" si="25"/>
        <v/>
      </c>
      <c r="R133" t="str">
        <f t="shared" si="26"/>
        <v/>
      </c>
      <c r="S133" s="20" t="str">
        <f t="shared" si="27"/>
        <v/>
      </c>
      <c r="T133" s="20"/>
      <c r="U133" t="str">
        <f t="shared" si="28"/>
        <v/>
      </c>
      <c r="V133" s="20"/>
      <c r="W133" s="20" t="str">
        <f t="shared" si="29"/>
        <v/>
      </c>
      <c r="X133" s="25"/>
      <c r="Y133" s="25"/>
    </row>
    <row r="134" spans="1:25" x14ac:dyDescent="0.25">
      <c r="A134">
        <v>131</v>
      </c>
      <c r="B134" s="25"/>
      <c r="D134" s="30"/>
      <c r="G134" s="30"/>
      <c r="H134" t="str">
        <f t="shared" si="20"/>
        <v/>
      </c>
      <c r="J134" s="20"/>
      <c r="K134" s="20"/>
      <c r="L134" s="20" t="str">
        <f t="shared" si="21"/>
        <v/>
      </c>
      <c r="M134" s="30"/>
      <c r="N134" s="26" t="str">
        <f t="shared" si="22"/>
        <v/>
      </c>
      <c r="O134" s="20" t="str">
        <f t="shared" si="23"/>
        <v/>
      </c>
      <c r="P134" s="31" t="str">
        <f t="shared" si="24"/>
        <v/>
      </c>
      <c r="Q134" s="32" t="str">
        <f t="shared" si="25"/>
        <v/>
      </c>
      <c r="R134" t="str">
        <f t="shared" si="26"/>
        <v/>
      </c>
      <c r="S134" s="20" t="str">
        <f t="shared" si="27"/>
        <v/>
      </c>
      <c r="T134" s="20"/>
      <c r="U134" t="str">
        <f t="shared" si="28"/>
        <v/>
      </c>
      <c r="V134" s="20"/>
      <c r="W134" s="20" t="str">
        <f t="shared" si="29"/>
        <v/>
      </c>
      <c r="X134" s="25"/>
      <c r="Y134" s="25"/>
    </row>
    <row r="135" spans="1:25" x14ac:dyDescent="0.25">
      <c r="A135">
        <v>132</v>
      </c>
      <c r="B135" s="25"/>
      <c r="D135" s="30"/>
      <c r="G135" s="30"/>
      <c r="H135" t="str">
        <f t="shared" si="20"/>
        <v/>
      </c>
      <c r="J135" s="20"/>
      <c r="K135" s="20"/>
      <c r="L135" s="20" t="str">
        <f t="shared" si="21"/>
        <v/>
      </c>
      <c r="M135" s="30"/>
      <c r="N135" s="26" t="str">
        <f t="shared" si="22"/>
        <v/>
      </c>
      <c r="O135" s="20" t="str">
        <f t="shared" si="23"/>
        <v/>
      </c>
      <c r="P135" s="31" t="str">
        <f t="shared" si="24"/>
        <v/>
      </c>
      <c r="Q135" s="32" t="str">
        <f t="shared" si="25"/>
        <v/>
      </c>
      <c r="R135" t="str">
        <f t="shared" si="26"/>
        <v/>
      </c>
      <c r="S135" s="20" t="str">
        <f t="shared" si="27"/>
        <v/>
      </c>
      <c r="T135" s="20"/>
      <c r="U135" t="str">
        <f t="shared" si="28"/>
        <v/>
      </c>
      <c r="V135" s="20"/>
      <c r="W135" s="20" t="str">
        <f t="shared" si="29"/>
        <v/>
      </c>
      <c r="X135" s="25"/>
      <c r="Y135" s="25"/>
    </row>
    <row r="136" spans="1:25" x14ac:dyDescent="0.25">
      <c r="A136">
        <v>133</v>
      </c>
      <c r="B136" s="25"/>
      <c r="D136" s="30"/>
      <c r="G136" s="30"/>
      <c r="H136" t="str">
        <f t="shared" si="20"/>
        <v/>
      </c>
      <c r="J136" s="20"/>
      <c r="K136" s="20"/>
      <c r="L136" s="20" t="str">
        <f t="shared" si="21"/>
        <v/>
      </c>
      <c r="M136" s="30"/>
      <c r="N136" s="26" t="str">
        <f t="shared" si="22"/>
        <v/>
      </c>
      <c r="O136" s="20" t="str">
        <f t="shared" si="23"/>
        <v/>
      </c>
      <c r="P136" s="31" t="str">
        <f t="shared" si="24"/>
        <v/>
      </c>
      <c r="Q136" s="32" t="str">
        <f t="shared" si="25"/>
        <v/>
      </c>
      <c r="R136" t="str">
        <f t="shared" si="26"/>
        <v/>
      </c>
      <c r="S136" s="20" t="str">
        <f t="shared" si="27"/>
        <v/>
      </c>
      <c r="T136" s="20"/>
      <c r="U136" t="str">
        <f t="shared" si="28"/>
        <v/>
      </c>
      <c r="V136" s="20"/>
      <c r="W136" s="20" t="str">
        <f t="shared" si="29"/>
        <v/>
      </c>
      <c r="X136" s="25"/>
      <c r="Y136" s="25"/>
    </row>
    <row r="137" spans="1:25" x14ac:dyDescent="0.25">
      <c r="A137">
        <v>134</v>
      </c>
      <c r="B137" s="25"/>
      <c r="D137" s="30"/>
      <c r="G137" s="30"/>
      <c r="H137" t="str">
        <f t="shared" si="20"/>
        <v/>
      </c>
      <c r="J137" s="20"/>
      <c r="K137" s="20"/>
      <c r="L137" s="20" t="str">
        <f t="shared" si="21"/>
        <v/>
      </c>
      <c r="M137" s="30"/>
      <c r="N137" s="26" t="str">
        <f t="shared" si="22"/>
        <v/>
      </c>
      <c r="O137" s="20" t="str">
        <f t="shared" si="23"/>
        <v/>
      </c>
      <c r="P137" s="31" t="str">
        <f t="shared" si="24"/>
        <v/>
      </c>
      <c r="Q137" s="32" t="str">
        <f t="shared" si="25"/>
        <v/>
      </c>
      <c r="R137" t="str">
        <f t="shared" si="26"/>
        <v/>
      </c>
      <c r="S137" s="20" t="str">
        <f t="shared" si="27"/>
        <v/>
      </c>
      <c r="T137" s="20"/>
      <c r="U137" t="str">
        <f t="shared" si="28"/>
        <v/>
      </c>
      <c r="V137" s="20"/>
      <c r="W137" s="20" t="str">
        <f t="shared" si="29"/>
        <v/>
      </c>
      <c r="X137" s="25"/>
      <c r="Y137" s="25"/>
    </row>
    <row r="138" spans="1:25" x14ac:dyDescent="0.25">
      <c r="A138">
        <v>135</v>
      </c>
      <c r="B138" s="25"/>
      <c r="D138" s="30"/>
      <c r="G138" s="30"/>
      <c r="H138" t="str">
        <f t="shared" si="20"/>
        <v/>
      </c>
      <c r="J138" s="20"/>
      <c r="K138" s="20"/>
      <c r="L138" s="20" t="str">
        <f t="shared" si="21"/>
        <v/>
      </c>
      <c r="M138" s="30"/>
      <c r="N138" s="26" t="str">
        <f t="shared" si="22"/>
        <v/>
      </c>
      <c r="O138" s="20" t="str">
        <f t="shared" si="23"/>
        <v/>
      </c>
      <c r="P138" s="31" t="str">
        <f t="shared" si="24"/>
        <v/>
      </c>
      <c r="Q138" s="32" t="str">
        <f t="shared" si="25"/>
        <v/>
      </c>
      <c r="R138" t="str">
        <f t="shared" si="26"/>
        <v/>
      </c>
      <c r="S138" s="20" t="str">
        <f t="shared" si="27"/>
        <v/>
      </c>
      <c r="T138" s="20"/>
      <c r="U138" t="str">
        <f t="shared" si="28"/>
        <v/>
      </c>
      <c r="V138" s="20"/>
      <c r="W138" s="20" t="str">
        <f t="shared" si="29"/>
        <v/>
      </c>
      <c r="X138" s="25"/>
      <c r="Y138" s="25"/>
    </row>
    <row r="139" spans="1:25" x14ac:dyDescent="0.25">
      <c r="A139">
        <v>136</v>
      </c>
      <c r="B139" s="25"/>
      <c r="D139" s="30"/>
      <c r="G139" s="30"/>
      <c r="H139" t="str">
        <f t="shared" si="20"/>
        <v/>
      </c>
      <c r="J139" s="20"/>
      <c r="K139" s="20"/>
      <c r="L139" s="20" t="str">
        <f t="shared" si="21"/>
        <v/>
      </c>
      <c r="M139" s="30"/>
      <c r="N139" s="26" t="str">
        <f t="shared" si="22"/>
        <v/>
      </c>
      <c r="O139" s="20" t="str">
        <f t="shared" si="23"/>
        <v/>
      </c>
      <c r="P139" s="31" t="str">
        <f t="shared" si="24"/>
        <v/>
      </c>
      <c r="Q139" s="32" t="str">
        <f t="shared" si="25"/>
        <v/>
      </c>
      <c r="R139" t="str">
        <f t="shared" si="26"/>
        <v/>
      </c>
      <c r="S139" s="20" t="str">
        <f t="shared" si="27"/>
        <v/>
      </c>
      <c r="T139" s="20"/>
      <c r="U139" t="str">
        <f t="shared" si="28"/>
        <v/>
      </c>
      <c r="V139" s="20"/>
      <c r="W139" s="20" t="str">
        <f t="shared" si="29"/>
        <v/>
      </c>
      <c r="X139" s="25"/>
      <c r="Y139" s="25"/>
    </row>
    <row r="140" spans="1:25" x14ac:dyDescent="0.25">
      <c r="A140">
        <v>137</v>
      </c>
      <c r="B140" s="25"/>
      <c r="D140" s="30"/>
      <c r="G140" s="30"/>
      <c r="H140" t="str">
        <f t="shared" si="20"/>
        <v/>
      </c>
      <c r="J140" s="20"/>
      <c r="K140" s="20"/>
      <c r="L140" s="20" t="str">
        <f t="shared" si="21"/>
        <v/>
      </c>
      <c r="M140" s="30"/>
      <c r="N140" s="26" t="str">
        <f t="shared" si="22"/>
        <v/>
      </c>
      <c r="O140" s="20" t="str">
        <f t="shared" si="23"/>
        <v/>
      </c>
      <c r="P140" s="31" t="str">
        <f t="shared" si="24"/>
        <v/>
      </c>
      <c r="Q140" s="32" t="str">
        <f t="shared" si="25"/>
        <v/>
      </c>
      <c r="R140" t="str">
        <f t="shared" si="26"/>
        <v/>
      </c>
      <c r="S140" s="20" t="str">
        <f t="shared" si="27"/>
        <v/>
      </c>
      <c r="T140" s="20"/>
      <c r="U140" t="str">
        <f t="shared" si="28"/>
        <v/>
      </c>
      <c r="V140" s="20"/>
      <c r="W140" s="20" t="str">
        <f t="shared" si="29"/>
        <v/>
      </c>
      <c r="X140" s="25"/>
      <c r="Y140" s="25"/>
    </row>
    <row r="141" spans="1:25" x14ac:dyDescent="0.25">
      <c r="A141">
        <v>138</v>
      </c>
      <c r="B141" s="25"/>
      <c r="D141" s="30"/>
      <c r="G141" s="30"/>
      <c r="H141" t="str">
        <f t="shared" si="20"/>
        <v/>
      </c>
      <c r="J141" s="20"/>
      <c r="K141" s="20"/>
      <c r="L141" s="20" t="str">
        <f t="shared" si="21"/>
        <v/>
      </c>
      <c r="M141" s="30"/>
      <c r="N141" s="26" t="str">
        <f t="shared" si="22"/>
        <v/>
      </c>
      <c r="O141" s="20" t="str">
        <f t="shared" si="23"/>
        <v/>
      </c>
      <c r="P141" s="31" t="str">
        <f t="shared" si="24"/>
        <v/>
      </c>
      <c r="Q141" s="32" t="str">
        <f t="shared" si="25"/>
        <v/>
      </c>
      <c r="R141" t="str">
        <f t="shared" si="26"/>
        <v/>
      </c>
      <c r="S141" s="20" t="str">
        <f t="shared" si="27"/>
        <v/>
      </c>
      <c r="T141" s="20"/>
      <c r="U141" t="str">
        <f t="shared" si="28"/>
        <v/>
      </c>
      <c r="V141" s="20"/>
      <c r="W141" s="20" t="str">
        <f t="shared" si="29"/>
        <v/>
      </c>
      <c r="X141" s="25"/>
      <c r="Y141" s="25"/>
    </row>
    <row r="142" spans="1:25" x14ac:dyDescent="0.25">
      <c r="A142">
        <v>139</v>
      </c>
      <c r="B142" s="25"/>
      <c r="D142" s="30"/>
      <c r="G142" s="30"/>
      <c r="H142" t="str">
        <f t="shared" si="20"/>
        <v/>
      </c>
      <c r="J142" s="20"/>
      <c r="K142" s="20"/>
      <c r="L142" s="20" t="str">
        <f t="shared" si="21"/>
        <v/>
      </c>
      <c r="M142" s="30"/>
      <c r="N142" s="26" t="str">
        <f t="shared" si="22"/>
        <v/>
      </c>
      <c r="O142" s="20" t="str">
        <f t="shared" si="23"/>
        <v/>
      </c>
      <c r="P142" s="31" t="str">
        <f t="shared" si="24"/>
        <v/>
      </c>
      <c r="Q142" s="32" t="str">
        <f t="shared" si="25"/>
        <v/>
      </c>
      <c r="R142" t="str">
        <f t="shared" si="26"/>
        <v/>
      </c>
      <c r="S142" s="20" t="str">
        <f t="shared" si="27"/>
        <v/>
      </c>
      <c r="T142" s="20"/>
      <c r="U142" t="str">
        <f t="shared" si="28"/>
        <v/>
      </c>
      <c r="V142" s="20"/>
      <c r="W142" s="20" t="str">
        <f t="shared" si="29"/>
        <v/>
      </c>
      <c r="X142" s="25"/>
      <c r="Y142" s="25"/>
    </row>
    <row r="143" spans="1:25" x14ac:dyDescent="0.25">
      <c r="A143">
        <v>140</v>
      </c>
      <c r="B143" s="25"/>
      <c r="D143" s="30"/>
      <c r="G143" s="30"/>
      <c r="H143" t="str">
        <f t="shared" si="20"/>
        <v/>
      </c>
      <c r="J143" s="20"/>
      <c r="K143" s="20"/>
      <c r="L143" s="20" t="str">
        <f t="shared" si="21"/>
        <v/>
      </c>
      <c r="M143" s="30"/>
      <c r="N143" s="26" t="str">
        <f t="shared" si="22"/>
        <v/>
      </c>
      <c r="O143" s="20" t="str">
        <f t="shared" si="23"/>
        <v/>
      </c>
      <c r="P143" s="31" t="str">
        <f t="shared" si="24"/>
        <v/>
      </c>
      <c r="Q143" s="32" t="str">
        <f t="shared" si="25"/>
        <v/>
      </c>
      <c r="R143" t="str">
        <f t="shared" si="26"/>
        <v/>
      </c>
      <c r="S143" s="20" t="str">
        <f t="shared" si="27"/>
        <v/>
      </c>
      <c r="T143" s="20"/>
      <c r="U143" t="str">
        <f t="shared" si="28"/>
        <v/>
      </c>
      <c r="V143" s="20"/>
      <c r="W143" s="20" t="str">
        <f t="shared" si="29"/>
        <v/>
      </c>
      <c r="X143" s="25"/>
      <c r="Y143" s="25"/>
    </row>
    <row r="144" spans="1:25" x14ac:dyDescent="0.25">
      <c r="A144">
        <v>141</v>
      </c>
      <c r="B144" s="25"/>
      <c r="D144" s="30"/>
      <c r="G144" s="30"/>
      <c r="H144" t="str">
        <f t="shared" si="20"/>
        <v/>
      </c>
      <c r="J144" s="20"/>
      <c r="K144" s="20"/>
      <c r="L144" s="20" t="str">
        <f t="shared" si="21"/>
        <v/>
      </c>
      <c r="M144" s="30"/>
      <c r="N144" s="26" t="str">
        <f t="shared" si="22"/>
        <v/>
      </c>
      <c r="O144" s="20" t="str">
        <f t="shared" si="23"/>
        <v/>
      </c>
      <c r="P144" s="31" t="str">
        <f t="shared" si="24"/>
        <v/>
      </c>
      <c r="Q144" s="32" t="str">
        <f t="shared" si="25"/>
        <v/>
      </c>
      <c r="R144" t="str">
        <f t="shared" si="26"/>
        <v/>
      </c>
      <c r="S144" s="20" t="str">
        <f t="shared" si="27"/>
        <v/>
      </c>
      <c r="T144" s="20"/>
      <c r="U144" t="str">
        <f t="shared" si="28"/>
        <v/>
      </c>
      <c r="V144" s="20"/>
      <c r="W144" s="20" t="str">
        <f t="shared" si="29"/>
        <v/>
      </c>
      <c r="X144" s="25"/>
      <c r="Y144" s="25"/>
    </row>
    <row r="145" spans="1:25" x14ac:dyDescent="0.25">
      <c r="A145">
        <v>142</v>
      </c>
      <c r="B145" s="25"/>
      <c r="D145" s="30"/>
      <c r="G145" s="30"/>
      <c r="H145" t="str">
        <f t="shared" si="20"/>
        <v/>
      </c>
      <c r="J145" s="20"/>
      <c r="K145" s="20"/>
      <c r="L145" s="20" t="str">
        <f t="shared" si="21"/>
        <v/>
      </c>
      <c r="M145" s="30"/>
      <c r="N145" s="26" t="str">
        <f t="shared" si="22"/>
        <v/>
      </c>
      <c r="O145" s="20" t="str">
        <f t="shared" si="23"/>
        <v/>
      </c>
      <c r="P145" s="31" t="str">
        <f t="shared" si="24"/>
        <v/>
      </c>
      <c r="Q145" s="32" t="str">
        <f t="shared" si="25"/>
        <v/>
      </c>
      <c r="R145" t="str">
        <f t="shared" si="26"/>
        <v/>
      </c>
      <c r="S145" s="20" t="str">
        <f t="shared" si="27"/>
        <v/>
      </c>
      <c r="T145" s="20"/>
      <c r="U145" t="str">
        <f t="shared" si="28"/>
        <v/>
      </c>
      <c r="V145" s="20"/>
      <c r="W145" s="20" t="str">
        <f t="shared" si="29"/>
        <v/>
      </c>
      <c r="X145" s="25"/>
      <c r="Y145" s="25"/>
    </row>
    <row r="146" spans="1:25" x14ac:dyDescent="0.25">
      <c r="A146">
        <v>143</v>
      </c>
      <c r="B146" s="25"/>
      <c r="D146" s="30"/>
      <c r="G146" s="30"/>
      <c r="H146" t="str">
        <f t="shared" si="20"/>
        <v/>
      </c>
      <c r="J146" s="20"/>
      <c r="K146" s="20"/>
      <c r="L146" s="20" t="str">
        <f t="shared" si="21"/>
        <v/>
      </c>
      <c r="M146" s="30"/>
      <c r="N146" s="26" t="str">
        <f t="shared" si="22"/>
        <v/>
      </c>
      <c r="O146" s="20" t="str">
        <f t="shared" si="23"/>
        <v/>
      </c>
      <c r="P146" s="31" t="str">
        <f t="shared" si="24"/>
        <v/>
      </c>
      <c r="Q146" s="32" t="str">
        <f t="shared" si="25"/>
        <v/>
      </c>
      <c r="R146" t="str">
        <f t="shared" si="26"/>
        <v/>
      </c>
      <c r="S146" s="20" t="str">
        <f t="shared" si="27"/>
        <v/>
      </c>
      <c r="T146" s="20"/>
      <c r="U146" t="str">
        <f t="shared" si="28"/>
        <v/>
      </c>
      <c r="V146" s="20"/>
      <c r="W146" s="20" t="str">
        <f t="shared" si="29"/>
        <v/>
      </c>
      <c r="X146" s="25"/>
      <c r="Y146" s="25"/>
    </row>
    <row r="147" spans="1:25" x14ac:dyDescent="0.25">
      <c r="A147">
        <v>144</v>
      </c>
      <c r="B147" s="25"/>
      <c r="D147" s="30"/>
      <c r="G147" s="30"/>
      <c r="H147" t="str">
        <f t="shared" si="20"/>
        <v/>
      </c>
      <c r="J147" s="20"/>
      <c r="K147" s="20"/>
      <c r="L147" s="20" t="str">
        <f t="shared" si="21"/>
        <v/>
      </c>
      <c r="M147" s="30"/>
      <c r="N147" s="26" t="str">
        <f t="shared" si="22"/>
        <v/>
      </c>
      <c r="O147" s="20" t="str">
        <f t="shared" si="23"/>
        <v/>
      </c>
      <c r="P147" s="31" t="str">
        <f t="shared" si="24"/>
        <v/>
      </c>
      <c r="Q147" s="32" t="str">
        <f t="shared" si="25"/>
        <v/>
      </c>
      <c r="R147" t="str">
        <f t="shared" si="26"/>
        <v/>
      </c>
      <c r="S147" s="20" t="str">
        <f t="shared" si="27"/>
        <v/>
      </c>
      <c r="T147" s="20"/>
      <c r="U147" t="str">
        <f t="shared" si="28"/>
        <v/>
      </c>
      <c r="V147" s="20"/>
      <c r="W147" s="20" t="str">
        <f t="shared" si="29"/>
        <v/>
      </c>
      <c r="X147" s="25"/>
      <c r="Y147" s="25"/>
    </row>
    <row r="148" spans="1:25" x14ac:dyDescent="0.25">
      <c r="A148">
        <v>145</v>
      </c>
      <c r="B148" s="25"/>
      <c r="D148" s="30"/>
      <c r="G148" s="30"/>
      <c r="H148" t="str">
        <f t="shared" si="20"/>
        <v/>
      </c>
      <c r="J148" s="20"/>
      <c r="K148" s="20"/>
      <c r="L148" s="20" t="str">
        <f t="shared" si="21"/>
        <v/>
      </c>
      <c r="M148" s="30"/>
      <c r="N148" s="26" t="str">
        <f t="shared" si="22"/>
        <v/>
      </c>
      <c r="O148" s="20" t="str">
        <f t="shared" si="23"/>
        <v/>
      </c>
      <c r="P148" s="31" t="str">
        <f t="shared" si="24"/>
        <v/>
      </c>
      <c r="Q148" s="32" t="str">
        <f t="shared" si="25"/>
        <v/>
      </c>
      <c r="R148" t="str">
        <f t="shared" si="26"/>
        <v/>
      </c>
      <c r="S148" s="20" t="str">
        <f t="shared" si="27"/>
        <v/>
      </c>
      <c r="T148" s="20"/>
      <c r="U148" t="str">
        <f t="shared" si="28"/>
        <v/>
      </c>
      <c r="V148" s="20"/>
      <c r="W148" s="20" t="str">
        <f t="shared" si="29"/>
        <v/>
      </c>
      <c r="X148" s="25"/>
      <c r="Y148" s="25"/>
    </row>
    <row r="149" spans="1:25" x14ac:dyDescent="0.25">
      <c r="A149">
        <v>146</v>
      </c>
      <c r="B149" s="25"/>
      <c r="D149" s="30"/>
      <c r="G149" s="30"/>
      <c r="H149" t="str">
        <f t="shared" si="20"/>
        <v/>
      </c>
      <c r="J149" s="20"/>
      <c r="K149" s="20"/>
      <c r="L149" s="20" t="str">
        <f t="shared" si="21"/>
        <v/>
      </c>
      <c r="M149" s="30"/>
      <c r="N149" s="26" t="str">
        <f t="shared" si="22"/>
        <v/>
      </c>
      <c r="O149" s="20" t="str">
        <f t="shared" si="23"/>
        <v/>
      </c>
      <c r="P149" s="31" t="str">
        <f t="shared" si="24"/>
        <v/>
      </c>
      <c r="Q149" s="32" t="str">
        <f t="shared" si="25"/>
        <v/>
      </c>
      <c r="R149" t="str">
        <f t="shared" si="26"/>
        <v/>
      </c>
      <c r="S149" s="20" t="str">
        <f t="shared" si="27"/>
        <v/>
      </c>
      <c r="T149" s="20"/>
      <c r="U149" t="str">
        <f t="shared" si="28"/>
        <v/>
      </c>
      <c r="V149" s="20"/>
      <c r="W149" s="20" t="str">
        <f t="shared" si="29"/>
        <v/>
      </c>
      <c r="X149" s="25"/>
      <c r="Y149" s="25"/>
    </row>
    <row r="150" spans="1:25" x14ac:dyDescent="0.25">
      <c r="A150">
        <v>147</v>
      </c>
      <c r="B150" s="25"/>
      <c r="D150" s="30"/>
      <c r="G150" s="30"/>
      <c r="H150" t="str">
        <f t="shared" si="20"/>
        <v/>
      </c>
      <c r="J150" s="20"/>
      <c r="K150" s="20"/>
      <c r="L150" s="20" t="str">
        <f t="shared" si="21"/>
        <v/>
      </c>
      <c r="M150" s="30"/>
      <c r="N150" s="26" t="str">
        <f t="shared" si="22"/>
        <v/>
      </c>
      <c r="O150" s="20" t="str">
        <f t="shared" si="23"/>
        <v/>
      </c>
      <c r="P150" s="31" t="str">
        <f t="shared" si="24"/>
        <v/>
      </c>
      <c r="Q150" s="32" t="str">
        <f t="shared" si="25"/>
        <v/>
      </c>
      <c r="R150" t="str">
        <f t="shared" si="26"/>
        <v/>
      </c>
      <c r="S150" s="20" t="str">
        <f t="shared" si="27"/>
        <v/>
      </c>
      <c r="T150" s="20"/>
      <c r="U150" t="str">
        <f t="shared" si="28"/>
        <v/>
      </c>
      <c r="V150" s="20"/>
      <c r="W150" s="20" t="str">
        <f t="shared" si="29"/>
        <v/>
      </c>
      <c r="X150" s="25"/>
      <c r="Y150" s="25"/>
    </row>
    <row r="151" spans="1:25" x14ac:dyDescent="0.25">
      <c r="A151">
        <v>148</v>
      </c>
      <c r="B151" s="25"/>
      <c r="D151" s="30"/>
      <c r="G151" s="30"/>
      <c r="H151" t="str">
        <f t="shared" si="20"/>
        <v/>
      </c>
      <c r="J151" s="20"/>
      <c r="K151" s="20"/>
      <c r="L151" s="20" t="str">
        <f t="shared" si="21"/>
        <v/>
      </c>
      <c r="M151" s="30"/>
      <c r="N151" s="26" t="str">
        <f t="shared" si="22"/>
        <v/>
      </c>
      <c r="O151" s="20" t="str">
        <f t="shared" si="23"/>
        <v/>
      </c>
      <c r="P151" s="31" t="str">
        <f t="shared" si="24"/>
        <v/>
      </c>
      <c r="Q151" s="32" t="str">
        <f t="shared" si="25"/>
        <v/>
      </c>
      <c r="R151" t="str">
        <f t="shared" si="26"/>
        <v/>
      </c>
      <c r="S151" s="20" t="str">
        <f t="shared" si="27"/>
        <v/>
      </c>
      <c r="T151" s="20"/>
      <c r="U151" t="str">
        <f t="shared" si="28"/>
        <v/>
      </c>
      <c r="V151" s="20"/>
      <c r="W151" s="20" t="str">
        <f t="shared" si="29"/>
        <v/>
      </c>
      <c r="X151" s="25"/>
      <c r="Y151" s="25"/>
    </row>
    <row r="152" spans="1:25" x14ac:dyDescent="0.25">
      <c r="A152">
        <v>149</v>
      </c>
      <c r="B152" s="25"/>
      <c r="D152" s="30"/>
      <c r="G152" s="30"/>
      <c r="H152" t="str">
        <f t="shared" si="20"/>
        <v/>
      </c>
      <c r="J152" s="20"/>
      <c r="K152" s="20"/>
      <c r="L152" s="20" t="str">
        <f t="shared" si="21"/>
        <v/>
      </c>
      <c r="M152" s="30"/>
      <c r="N152" s="26" t="str">
        <f t="shared" si="22"/>
        <v/>
      </c>
      <c r="O152" s="20" t="str">
        <f t="shared" si="23"/>
        <v/>
      </c>
      <c r="P152" s="31" t="str">
        <f t="shared" si="24"/>
        <v/>
      </c>
      <c r="Q152" s="32" t="str">
        <f t="shared" si="25"/>
        <v/>
      </c>
      <c r="R152" t="str">
        <f t="shared" si="26"/>
        <v/>
      </c>
      <c r="S152" s="20" t="str">
        <f t="shared" si="27"/>
        <v/>
      </c>
      <c r="T152" s="20"/>
      <c r="U152" t="str">
        <f t="shared" si="28"/>
        <v/>
      </c>
      <c r="V152" s="20"/>
      <c r="W152" s="20" t="str">
        <f t="shared" si="29"/>
        <v/>
      </c>
      <c r="X152" s="25"/>
      <c r="Y152" s="25"/>
    </row>
    <row r="153" spans="1:25" x14ac:dyDescent="0.25">
      <c r="A153">
        <v>150</v>
      </c>
      <c r="B153" s="25"/>
      <c r="D153" s="30"/>
      <c r="G153" s="30"/>
      <c r="H153" t="str">
        <f t="shared" si="20"/>
        <v/>
      </c>
      <c r="J153" s="20"/>
      <c r="K153" s="20"/>
      <c r="L153" s="20" t="str">
        <f t="shared" si="21"/>
        <v/>
      </c>
      <c r="M153" s="30"/>
      <c r="N153" s="26" t="str">
        <f t="shared" si="22"/>
        <v/>
      </c>
      <c r="O153" s="20" t="str">
        <f t="shared" si="23"/>
        <v/>
      </c>
      <c r="P153" s="31" t="str">
        <f t="shared" si="24"/>
        <v/>
      </c>
      <c r="Q153" s="32" t="str">
        <f t="shared" si="25"/>
        <v/>
      </c>
      <c r="R153" t="str">
        <f t="shared" si="26"/>
        <v/>
      </c>
      <c r="S153" s="20" t="str">
        <f t="shared" si="27"/>
        <v/>
      </c>
      <c r="T153" s="20"/>
      <c r="U153" t="str">
        <f t="shared" si="28"/>
        <v/>
      </c>
      <c r="V153" s="20"/>
      <c r="W153" s="20" t="str">
        <f t="shared" si="29"/>
        <v/>
      </c>
      <c r="X153" s="25"/>
      <c r="Y153" s="25"/>
    </row>
    <row r="154" spans="1:25" x14ac:dyDescent="0.25">
      <c r="A154">
        <v>151</v>
      </c>
      <c r="B154" s="25"/>
      <c r="D154" s="30"/>
      <c r="G154" s="30"/>
      <c r="H154" t="str">
        <f t="shared" si="20"/>
        <v/>
      </c>
      <c r="J154" s="20"/>
      <c r="K154" s="20"/>
      <c r="L154" s="20" t="str">
        <f t="shared" si="21"/>
        <v/>
      </c>
      <c r="M154" s="30"/>
      <c r="N154" s="26" t="str">
        <f t="shared" si="22"/>
        <v/>
      </c>
      <c r="O154" s="20" t="str">
        <f t="shared" si="23"/>
        <v/>
      </c>
      <c r="P154" s="31" t="str">
        <f t="shared" si="24"/>
        <v/>
      </c>
      <c r="Q154" s="32" t="str">
        <f t="shared" si="25"/>
        <v/>
      </c>
      <c r="R154" t="str">
        <f t="shared" si="26"/>
        <v/>
      </c>
      <c r="S154" s="20" t="str">
        <f t="shared" si="27"/>
        <v/>
      </c>
      <c r="T154" s="20"/>
      <c r="U154" t="str">
        <f t="shared" si="28"/>
        <v/>
      </c>
      <c r="V154" s="20"/>
      <c r="W154" s="20" t="str">
        <f t="shared" si="29"/>
        <v/>
      </c>
      <c r="X154" s="25"/>
      <c r="Y154" s="25"/>
    </row>
    <row r="155" spans="1:25" x14ac:dyDescent="0.25">
      <c r="A155">
        <v>152</v>
      </c>
      <c r="B155" s="25"/>
      <c r="D155" s="30"/>
      <c r="G155" s="30"/>
      <c r="H155" t="str">
        <f t="shared" si="20"/>
        <v/>
      </c>
      <c r="J155" s="20"/>
      <c r="K155" s="20"/>
      <c r="L155" s="20" t="str">
        <f t="shared" si="21"/>
        <v/>
      </c>
      <c r="M155" s="30"/>
      <c r="N155" s="26" t="str">
        <f t="shared" si="22"/>
        <v/>
      </c>
      <c r="O155" s="20" t="str">
        <f t="shared" si="23"/>
        <v/>
      </c>
      <c r="P155" s="31" t="str">
        <f t="shared" si="24"/>
        <v/>
      </c>
      <c r="Q155" s="32" t="str">
        <f t="shared" si="25"/>
        <v/>
      </c>
      <c r="R155" t="str">
        <f t="shared" si="26"/>
        <v/>
      </c>
      <c r="S155" s="20" t="str">
        <f t="shared" si="27"/>
        <v/>
      </c>
      <c r="T155" s="20"/>
      <c r="U155" t="str">
        <f t="shared" si="28"/>
        <v/>
      </c>
      <c r="V155" s="20"/>
      <c r="W155" s="20" t="str">
        <f t="shared" si="29"/>
        <v/>
      </c>
      <c r="X155" s="25"/>
      <c r="Y155" s="25"/>
    </row>
    <row r="156" spans="1:25" x14ac:dyDescent="0.25">
      <c r="A156">
        <v>153</v>
      </c>
      <c r="B156" s="25"/>
      <c r="D156" s="30"/>
      <c r="G156" s="30"/>
      <c r="H156" t="str">
        <f t="shared" si="20"/>
        <v/>
      </c>
      <c r="J156" s="20"/>
      <c r="K156" s="20"/>
      <c r="L156" s="20" t="str">
        <f t="shared" si="21"/>
        <v/>
      </c>
      <c r="M156" s="30"/>
      <c r="N156" s="26" t="str">
        <f t="shared" si="22"/>
        <v/>
      </c>
      <c r="O156" s="20" t="str">
        <f t="shared" si="23"/>
        <v/>
      </c>
      <c r="P156" s="31" t="str">
        <f t="shared" si="24"/>
        <v/>
      </c>
      <c r="Q156" s="32" t="str">
        <f t="shared" si="25"/>
        <v/>
      </c>
      <c r="R156" t="str">
        <f t="shared" si="26"/>
        <v/>
      </c>
      <c r="S156" s="20" t="str">
        <f t="shared" si="27"/>
        <v/>
      </c>
      <c r="T156" s="20"/>
      <c r="U156" t="str">
        <f t="shared" si="28"/>
        <v/>
      </c>
      <c r="V156" s="20"/>
      <c r="W156" s="20" t="str">
        <f t="shared" si="29"/>
        <v/>
      </c>
      <c r="X156" s="25"/>
      <c r="Y156" s="25"/>
    </row>
    <row r="157" spans="1:25" x14ac:dyDescent="0.25">
      <c r="A157">
        <v>154</v>
      </c>
      <c r="B157" s="25"/>
      <c r="D157" s="30"/>
      <c r="G157" s="30"/>
      <c r="H157" t="str">
        <f t="shared" si="20"/>
        <v/>
      </c>
      <c r="J157" s="20"/>
      <c r="K157" s="20"/>
      <c r="L157" s="20" t="str">
        <f t="shared" si="21"/>
        <v/>
      </c>
      <c r="M157" s="30"/>
      <c r="N157" s="26" t="str">
        <f t="shared" si="22"/>
        <v/>
      </c>
      <c r="O157" s="20" t="str">
        <f t="shared" si="23"/>
        <v/>
      </c>
      <c r="P157" s="31" t="str">
        <f t="shared" si="24"/>
        <v/>
      </c>
      <c r="Q157" s="32" t="str">
        <f t="shared" si="25"/>
        <v/>
      </c>
      <c r="R157" t="str">
        <f t="shared" si="26"/>
        <v/>
      </c>
      <c r="S157" s="20" t="str">
        <f t="shared" si="27"/>
        <v/>
      </c>
      <c r="T157" s="20"/>
      <c r="U157" t="str">
        <f t="shared" si="28"/>
        <v/>
      </c>
      <c r="V157" s="20"/>
      <c r="W157" s="20" t="str">
        <f t="shared" si="29"/>
        <v/>
      </c>
      <c r="X157" s="25"/>
      <c r="Y157" s="25"/>
    </row>
    <row r="158" spans="1:25" x14ac:dyDescent="0.25">
      <c r="A158">
        <v>155</v>
      </c>
      <c r="B158" s="25"/>
      <c r="D158" s="30"/>
      <c r="G158" s="30"/>
      <c r="H158" t="str">
        <f t="shared" si="20"/>
        <v/>
      </c>
      <c r="J158" s="20"/>
      <c r="K158" s="20"/>
      <c r="L158" s="20" t="str">
        <f t="shared" si="21"/>
        <v/>
      </c>
      <c r="M158" s="30"/>
      <c r="N158" s="26" t="str">
        <f t="shared" si="22"/>
        <v/>
      </c>
      <c r="O158" s="20" t="str">
        <f t="shared" si="23"/>
        <v/>
      </c>
      <c r="P158" s="31" t="str">
        <f t="shared" si="24"/>
        <v/>
      </c>
      <c r="Q158" s="32" t="str">
        <f t="shared" si="25"/>
        <v/>
      </c>
      <c r="R158" t="str">
        <f t="shared" si="26"/>
        <v/>
      </c>
      <c r="S158" s="20" t="str">
        <f t="shared" si="27"/>
        <v/>
      </c>
      <c r="T158" s="20"/>
      <c r="U158" t="str">
        <f t="shared" si="28"/>
        <v/>
      </c>
      <c r="V158" s="20"/>
      <c r="W158" s="20" t="str">
        <f t="shared" si="29"/>
        <v/>
      </c>
      <c r="X158" s="25"/>
      <c r="Y158" s="25"/>
    </row>
    <row r="159" spans="1:25" x14ac:dyDescent="0.25">
      <c r="A159">
        <v>156</v>
      </c>
      <c r="B159" s="25"/>
      <c r="D159" s="30"/>
      <c r="G159" s="30"/>
      <c r="H159" t="str">
        <f t="shared" si="20"/>
        <v/>
      </c>
      <c r="J159" s="20"/>
      <c r="K159" s="20"/>
      <c r="L159" s="20" t="str">
        <f t="shared" si="21"/>
        <v/>
      </c>
      <c r="M159" s="30"/>
      <c r="N159" s="26" t="str">
        <f t="shared" si="22"/>
        <v/>
      </c>
      <c r="O159" s="20" t="str">
        <f t="shared" si="23"/>
        <v/>
      </c>
      <c r="P159" s="31" t="str">
        <f t="shared" si="24"/>
        <v/>
      </c>
      <c r="Q159" s="32" t="str">
        <f t="shared" si="25"/>
        <v/>
      </c>
      <c r="R159" t="str">
        <f t="shared" si="26"/>
        <v/>
      </c>
      <c r="S159" s="20" t="str">
        <f t="shared" si="27"/>
        <v/>
      </c>
      <c r="T159" s="20"/>
      <c r="U159" t="str">
        <f t="shared" si="28"/>
        <v/>
      </c>
      <c r="V159" s="20"/>
      <c r="W159" s="20" t="str">
        <f t="shared" si="29"/>
        <v/>
      </c>
      <c r="X159" s="25"/>
      <c r="Y159" s="25"/>
    </row>
    <row r="160" spans="1:25" x14ac:dyDescent="0.25">
      <c r="A160">
        <v>157</v>
      </c>
      <c r="B160" s="25"/>
      <c r="D160" s="30"/>
      <c r="G160" s="30"/>
      <c r="H160" t="str">
        <f t="shared" si="20"/>
        <v/>
      </c>
      <c r="J160" s="20"/>
      <c r="K160" s="20"/>
      <c r="L160" s="20" t="str">
        <f t="shared" si="21"/>
        <v/>
      </c>
      <c r="M160" s="30"/>
      <c r="N160" s="26" t="str">
        <f t="shared" si="22"/>
        <v/>
      </c>
      <c r="O160" s="20" t="str">
        <f t="shared" si="23"/>
        <v/>
      </c>
      <c r="P160" s="31" t="str">
        <f t="shared" si="24"/>
        <v/>
      </c>
      <c r="Q160" s="32" t="str">
        <f t="shared" si="25"/>
        <v/>
      </c>
      <c r="R160" t="str">
        <f t="shared" si="26"/>
        <v/>
      </c>
      <c r="S160" s="20" t="str">
        <f t="shared" si="27"/>
        <v/>
      </c>
      <c r="T160" s="20"/>
      <c r="U160" t="str">
        <f t="shared" si="28"/>
        <v/>
      </c>
      <c r="V160" s="20"/>
      <c r="W160" s="20" t="str">
        <f t="shared" si="29"/>
        <v/>
      </c>
      <c r="X160" s="25"/>
      <c r="Y160" s="25"/>
    </row>
    <row r="161" spans="1:25" x14ac:dyDescent="0.25">
      <c r="A161">
        <v>158</v>
      </c>
      <c r="B161" s="25"/>
      <c r="D161" s="30"/>
      <c r="G161" s="30"/>
      <c r="H161" t="str">
        <f t="shared" si="20"/>
        <v/>
      </c>
      <c r="J161" s="20"/>
      <c r="K161" s="20"/>
      <c r="L161" s="20" t="str">
        <f t="shared" si="21"/>
        <v/>
      </c>
      <c r="M161" s="30"/>
      <c r="N161" s="26" t="str">
        <f t="shared" si="22"/>
        <v/>
      </c>
      <c r="O161" s="20" t="str">
        <f t="shared" si="23"/>
        <v/>
      </c>
      <c r="P161" s="31" t="str">
        <f t="shared" si="24"/>
        <v/>
      </c>
      <c r="Q161" s="32" t="str">
        <f t="shared" si="25"/>
        <v/>
      </c>
      <c r="R161" t="str">
        <f t="shared" si="26"/>
        <v/>
      </c>
      <c r="S161" s="20" t="str">
        <f t="shared" si="27"/>
        <v/>
      </c>
      <c r="T161" s="20"/>
      <c r="U161" t="str">
        <f t="shared" si="28"/>
        <v/>
      </c>
      <c r="V161" s="20"/>
      <c r="W161" s="20" t="str">
        <f t="shared" si="29"/>
        <v/>
      </c>
      <c r="X161" s="25"/>
      <c r="Y161" s="25"/>
    </row>
    <row r="162" spans="1:25" x14ac:dyDescent="0.25">
      <c r="A162">
        <v>159</v>
      </c>
      <c r="B162" s="25"/>
      <c r="D162" s="30"/>
      <c r="G162" s="30"/>
      <c r="H162" t="str">
        <f t="shared" si="20"/>
        <v/>
      </c>
      <c r="J162" s="20"/>
      <c r="K162" s="20"/>
      <c r="L162" s="20" t="str">
        <f t="shared" si="21"/>
        <v/>
      </c>
      <c r="M162" s="30"/>
      <c r="N162" s="26" t="str">
        <f t="shared" si="22"/>
        <v/>
      </c>
      <c r="O162" s="20" t="str">
        <f t="shared" si="23"/>
        <v/>
      </c>
      <c r="P162" s="31" t="str">
        <f t="shared" si="24"/>
        <v/>
      </c>
      <c r="Q162" s="32" t="str">
        <f t="shared" si="25"/>
        <v/>
      </c>
      <c r="R162" t="str">
        <f t="shared" si="26"/>
        <v/>
      </c>
      <c r="S162" s="20" t="str">
        <f t="shared" si="27"/>
        <v/>
      </c>
      <c r="T162" s="20"/>
      <c r="U162" t="str">
        <f t="shared" si="28"/>
        <v/>
      </c>
      <c r="V162" s="20"/>
      <c r="W162" s="20" t="str">
        <f t="shared" si="29"/>
        <v/>
      </c>
      <c r="X162" s="25"/>
      <c r="Y162" s="25"/>
    </row>
    <row r="163" spans="1:25" x14ac:dyDescent="0.25">
      <c r="A163">
        <v>160</v>
      </c>
      <c r="B163" s="25"/>
      <c r="D163" s="30"/>
      <c r="G163" s="30"/>
      <c r="H163" t="str">
        <f t="shared" si="20"/>
        <v/>
      </c>
      <c r="J163" s="20"/>
      <c r="K163" s="20"/>
      <c r="L163" s="20" t="str">
        <f t="shared" si="21"/>
        <v/>
      </c>
      <c r="M163" s="30"/>
      <c r="N163" s="26" t="str">
        <f t="shared" si="22"/>
        <v/>
      </c>
      <c r="O163" s="20" t="str">
        <f t="shared" si="23"/>
        <v/>
      </c>
      <c r="P163" s="31" t="str">
        <f t="shared" si="24"/>
        <v/>
      </c>
      <c r="Q163" s="32" t="str">
        <f t="shared" si="25"/>
        <v/>
      </c>
      <c r="R163" t="str">
        <f t="shared" si="26"/>
        <v/>
      </c>
      <c r="S163" s="20" t="str">
        <f t="shared" si="27"/>
        <v/>
      </c>
      <c r="T163" s="20"/>
      <c r="U163" t="str">
        <f t="shared" si="28"/>
        <v/>
      </c>
      <c r="V163" s="20"/>
      <c r="W163" s="20" t="str">
        <f t="shared" si="29"/>
        <v/>
      </c>
      <c r="X163" s="25"/>
      <c r="Y163" s="25"/>
    </row>
    <row r="164" spans="1:25" x14ac:dyDescent="0.25">
      <c r="A164">
        <v>161</v>
      </c>
      <c r="B164" s="25"/>
      <c r="D164" s="30"/>
      <c r="G164" s="30"/>
      <c r="H164" t="str">
        <f t="shared" si="20"/>
        <v/>
      </c>
      <c r="J164" s="20"/>
      <c r="K164" s="20"/>
      <c r="L164" s="20" t="str">
        <f t="shared" si="21"/>
        <v/>
      </c>
      <c r="M164" s="30"/>
      <c r="N164" s="26" t="str">
        <f t="shared" si="22"/>
        <v/>
      </c>
      <c r="O164" s="20" t="str">
        <f t="shared" si="23"/>
        <v/>
      </c>
      <c r="P164" s="31" t="str">
        <f t="shared" si="24"/>
        <v/>
      </c>
      <c r="Q164" s="32" t="str">
        <f t="shared" si="25"/>
        <v/>
      </c>
      <c r="R164" t="str">
        <f t="shared" si="26"/>
        <v/>
      </c>
      <c r="S164" s="20" t="str">
        <f t="shared" si="27"/>
        <v/>
      </c>
      <c r="T164" s="20"/>
      <c r="U164" t="str">
        <f t="shared" si="28"/>
        <v/>
      </c>
      <c r="V164" s="20"/>
      <c r="W164" s="20" t="str">
        <f t="shared" si="29"/>
        <v/>
      </c>
      <c r="X164" s="25"/>
      <c r="Y164" s="25"/>
    </row>
    <row r="165" spans="1:25" x14ac:dyDescent="0.25">
      <c r="A165">
        <v>162</v>
      </c>
      <c r="B165" s="25"/>
      <c r="D165" s="30"/>
      <c r="G165" s="30"/>
      <c r="H165" t="str">
        <f t="shared" si="20"/>
        <v/>
      </c>
      <c r="J165" s="20"/>
      <c r="K165" s="20"/>
      <c r="L165" s="20" t="str">
        <f t="shared" si="21"/>
        <v/>
      </c>
      <c r="M165" s="30"/>
      <c r="N165" s="26" t="str">
        <f t="shared" si="22"/>
        <v/>
      </c>
      <c r="O165" s="20" t="str">
        <f t="shared" si="23"/>
        <v/>
      </c>
      <c r="P165" s="31" t="str">
        <f t="shared" si="24"/>
        <v/>
      </c>
      <c r="Q165" s="32" t="str">
        <f t="shared" si="25"/>
        <v/>
      </c>
      <c r="R165" t="str">
        <f t="shared" si="26"/>
        <v/>
      </c>
      <c r="S165" s="20" t="str">
        <f t="shared" si="27"/>
        <v/>
      </c>
      <c r="T165" s="20"/>
      <c r="U165" t="str">
        <f t="shared" si="28"/>
        <v/>
      </c>
      <c r="V165" s="20"/>
      <c r="W165" s="20" t="str">
        <f t="shared" si="29"/>
        <v/>
      </c>
      <c r="X165" s="25"/>
      <c r="Y165" s="25"/>
    </row>
    <row r="166" spans="1:25" x14ac:dyDescent="0.25">
      <c r="A166">
        <v>163</v>
      </c>
      <c r="B166" s="25"/>
      <c r="D166" s="30"/>
      <c r="G166" s="30"/>
      <c r="H166" t="str">
        <f t="shared" si="20"/>
        <v/>
      </c>
      <c r="J166" s="20"/>
      <c r="K166" s="20"/>
      <c r="L166" s="20" t="str">
        <f t="shared" si="21"/>
        <v/>
      </c>
      <c r="M166" s="30"/>
      <c r="N166" s="26" t="str">
        <f t="shared" si="22"/>
        <v/>
      </c>
      <c r="O166" s="20" t="str">
        <f t="shared" si="23"/>
        <v/>
      </c>
      <c r="P166" s="31" t="str">
        <f t="shared" si="24"/>
        <v/>
      </c>
      <c r="Q166" s="32" t="str">
        <f t="shared" si="25"/>
        <v/>
      </c>
      <c r="R166" t="str">
        <f t="shared" si="26"/>
        <v/>
      </c>
      <c r="S166" s="20" t="str">
        <f t="shared" si="27"/>
        <v/>
      </c>
      <c r="T166" s="20"/>
      <c r="U166" t="str">
        <f t="shared" si="28"/>
        <v/>
      </c>
      <c r="V166" s="20"/>
      <c r="W166" s="20" t="str">
        <f t="shared" si="29"/>
        <v/>
      </c>
      <c r="X166" s="25"/>
      <c r="Y166" s="25"/>
    </row>
    <row r="167" spans="1:25" x14ac:dyDescent="0.25">
      <c r="A167">
        <v>164</v>
      </c>
      <c r="B167" s="25"/>
      <c r="D167" s="30"/>
      <c r="G167" s="30"/>
      <c r="H167" t="str">
        <f t="shared" si="20"/>
        <v/>
      </c>
      <c r="J167" s="20"/>
      <c r="K167" s="20"/>
      <c r="L167" s="20" t="str">
        <f t="shared" si="21"/>
        <v/>
      </c>
      <c r="M167" s="30"/>
      <c r="N167" s="26" t="str">
        <f t="shared" si="22"/>
        <v/>
      </c>
      <c r="O167" s="20" t="str">
        <f t="shared" si="23"/>
        <v/>
      </c>
      <c r="P167" s="31" t="str">
        <f t="shared" si="24"/>
        <v/>
      </c>
      <c r="Q167" s="32" t="str">
        <f t="shared" si="25"/>
        <v/>
      </c>
      <c r="R167" t="str">
        <f t="shared" si="26"/>
        <v/>
      </c>
      <c r="S167" s="20" t="str">
        <f t="shared" si="27"/>
        <v/>
      </c>
      <c r="T167" s="20"/>
      <c r="U167" t="str">
        <f t="shared" si="28"/>
        <v/>
      </c>
      <c r="V167" s="20"/>
      <c r="W167" s="20" t="str">
        <f t="shared" si="29"/>
        <v/>
      </c>
      <c r="X167" s="25"/>
      <c r="Y167" s="25"/>
    </row>
    <row r="168" spans="1:25" x14ac:dyDescent="0.25">
      <c r="A168">
        <v>165</v>
      </c>
      <c r="B168" s="25"/>
      <c r="D168" s="30"/>
      <c r="G168" s="30"/>
      <c r="H168" t="str">
        <f t="shared" si="20"/>
        <v/>
      </c>
      <c r="J168" s="20"/>
      <c r="K168" s="20"/>
      <c r="L168" s="20" t="str">
        <f t="shared" si="21"/>
        <v/>
      </c>
      <c r="M168" s="30"/>
      <c r="N168" s="26" t="str">
        <f t="shared" si="22"/>
        <v/>
      </c>
      <c r="O168" s="20" t="str">
        <f t="shared" si="23"/>
        <v/>
      </c>
      <c r="P168" s="31" t="str">
        <f t="shared" si="24"/>
        <v/>
      </c>
      <c r="Q168" s="32" t="str">
        <f t="shared" si="25"/>
        <v/>
      </c>
      <c r="R168" t="str">
        <f t="shared" si="26"/>
        <v/>
      </c>
      <c r="S168" s="20" t="str">
        <f t="shared" si="27"/>
        <v/>
      </c>
      <c r="T168" s="20"/>
      <c r="U168" t="str">
        <f t="shared" si="28"/>
        <v/>
      </c>
      <c r="V168" s="20"/>
      <c r="W168" s="20" t="str">
        <f t="shared" si="29"/>
        <v/>
      </c>
      <c r="X168" s="25"/>
      <c r="Y168" s="25"/>
    </row>
    <row r="169" spans="1:25" x14ac:dyDescent="0.25">
      <c r="A169">
        <v>166</v>
      </c>
      <c r="B169" s="25"/>
      <c r="D169" s="30"/>
      <c r="G169" s="30"/>
      <c r="H169" t="str">
        <f t="shared" si="20"/>
        <v/>
      </c>
      <c r="J169" s="20"/>
      <c r="K169" s="20"/>
      <c r="L169" s="20" t="str">
        <f t="shared" si="21"/>
        <v/>
      </c>
      <c r="M169" s="30"/>
      <c r="N169" s="26" t="str">
        <f t="shared" si="22"/>
        <v/>
      </c>
      <c r="O169" s="20" t="str">
        <f t="shared" si="23"/>
        <v/>
      </c>
      <c r="P169" s="31" t="str">
        <f t="shared" si="24"/>
        <v/>
      </c>
      <c r="Q169" s="32" t="str">
        <f t="shared" si="25"/>
        <v/>
      </c>
      <c r="R169" t="str">
        <f t="shared" si="26"/>
        <v/>
      </c>
      <c r="S169" s="20" t="str">
        <f t="shared" si="27"/>
        <v/>
      </c>
      <c r="T169" s="20"/>
      <c r="U169" t="str">
        <f t="shared" si="28"/>
        <v/>
      </c>
      <c r="V169" s="20"/>
      <c r="W169" s="20" t="str">
        <f t="shared" si="29"/>
        <v/>
      </c>
      <c r="X169" s="25"/>
      <c r="Y169" s="25"/>
    </row>
    <row r="170" spans="1:25" x14ac:dyDescent="0.25">
      <c r="A170">
        <v>167</v>
      </c>
      <c r="B170" s="25"/>
      <c r="D170" s="30"/>
      <c r="G170" s="30"/>
      <c r="H170" t="str">
        <f t="shared" si="20"/>
        <v/>
      </c>
      <c r="J170" s="20"/>
      <c r="K170" s="20"/>
      <c r="L170" s="20" t="str">
        <f t="shared" si="21"/>
        <v/>
      </c>
      <c r="M170" s="30"/>
      <c r="N170" s="26" t="str">
        <f t="shared" si="22"/>
        <v/>
      </c>
      <c r="O170" s="20" t="str">
        <f t="shared" si="23"/>
        <v/>
      </c>
      <c r="P170" s="31" t="str">
        <f t="shared" si="24"/>
        <v/>
      </c>
      <c r="Q170" s="32" t="str">
        <f t="shared" si="25"/>
        <v/>
      </c>
      <c r="R170" t="str">
        <f t="shared" si="26"/>
        <v/>
      </c>
      <c r="S170" s="20" t="str">
        <f t="shared" si="27"/>
        <v/>
      </c>
      <c r="T170" s="20"/>
      <c r="U170" t="str">
        <f t="shared" si="28"/>
        <v/>
      </c>
      <c r="V170" s="20"/>
      <c r="W170" s="20" t="str">
        <f t="shared" si="29"/>
        <v/>
      </c>
      <c r="X170" s="25"/>
      <c r="Y170" s="25"/>
    </row>
    <row r="171" spans="1:25" x14ac:dyDescent="0.25">
      <c r="A171">
        <v>168</v>
      </c>
      <c r="B171" s="25"/>
      <c r="D171" s="30"/>
      <c r="G171" s="30"/>
      <c r="H171" t="str">
        <f t="shared" si="20"/>
        <v/>
      </c>
      <c r="J171" s="20"/>
      <c r="K171" s="20"/>
      <c r="L171" s="20" t="str">
        <f t="shared" si="21"/>
        <v/>
      </c>
      <c r="M171" s="30"/>
      <c r="N171" s="26" t="str">
        <f t="shared" si="22"/>
        <v/>
      </c>
      <c r="O171" s="20" t="str">
        <f t="shared" si="23"/>
        <v/>
      </c>
      <c r="P171" s="31" t="str">
        <f t="shared" si="24"/>
        <v/>
      </c>
      <c r="Q171" s="32" t="str">
        <f t="shared" si="25"/>
        <v/>
      </c>
      <c r="R171" t="str">
        <f t="shared" si="26"/>
        <v/>
      </c>
      <c r="S171" s="20" t="str">
        <f t="shared" si="27"/>
        <v/>
      </c>
      <c r="T171" s="20"/>
      <c r="U171" t="str">
        <f t="shared" si="28"/>
        <v/>
      </c>
      <c r="V171" s="20"/>
      <c r="W171" s="20" t="str">
        <f t="shared" si="29"/>
        <v/>
      </c>
      <c r="X171" s="25"/>
      <c r="Y171" s="25"/>
    </row>
    <row r="172" spans="1:25" x14ac:dyDescent="0.25">
      <c r="A172">
        <v>169</v>
      </c>
      <c r="B172" s="25"/>
      <c r="D172" s="30"/>
      <c r="G172" s="30"/>
      <c r="H172" t="str">
        <f t="shared" si="20"/>
        <v/>
      </c>
      <c r="J172" s="20"/>
      <c r="K172" s="20"/>
      <c r="L172" s="20" t="str">
        <f t="shared" si="21"/>
        <v/>
      </c>
      <c r="M172" s="30"/>
      <c r="N172" s="26" t="str">
        <f t="shared" si="22"/>
        <v/>
      </c>
      <c r="O172" s="20" t="str">
        <f t="shared" si="23"/>
        <v/>
      </c>
      <c r="P172" s="31" t="str">
        <f t="shared" si="24"/>
        <v/>
      </c>
      <c r="Q172" s="32" t="str">
        <f t="shared" si="25"/>
        <v/>
      </c>
      <c r="R172" t="str">
        <f t="shared" si="26"/>
        <v/>
      </c>
      <c r="S172" s="20" t="str">
        <f t="shared" si="27"/>
        <v/>
      </c>
      <c r="T172" s="20"/>
      <c r="U172" t="str">
        <f t="shared" si="28"/>
        <v/>
      </c>
      <c r="V172" s="20"/>
      <c r="W172" s="20" t="str">
        <f t="shared" si="29"/>
        <v/>
      </c>
      <c r="X172" s="25"/>
      <c r="Y172" s="25"/>
    </row>
    <row r="173" spans="1:25" x14ac:dyDescent="0.25">
      <c r="A173">
        <v>170</v>
      </c>
      <c r="B173" s="25"/>
      <c r="D173" s="30"/>
      <c r="G173" s="30"/>
      <c r="H173" t="str">
        <f t="shared" si="20"/>
        <v/>
      </c>
      <c r="J173" s="20"/>
      <c r="K173" s="20"/>
      <c r="L173" s="20" t="str">
        <f t="shared" si="21"/>
        <v/>
      </c>
      <c r="M173" s="30"/>
      <c r="N173" s="26" t="str">
        <f t="shared" si="22"/>
        <v/>
      </c>
      <c r="O173" s="20" t="str">
        <f t="shared" si="23"/>
        <v/>
      </c>
      <c r="P173" s="31" t="str">
        <f t="shared" si="24"/>
        <v/>
      </c>
      <c r="Q173" s="32" t="str">
        <f t="shared" si="25"/>
        <v/>
      </c>
      <c r="R173" t="str">
        <f t="shared" si="26"/>
        <v/>
      </c>
      <c r="S173" s="20" t="str">
        <f t="shared" si="27"/>
        <v/>
      </c>
      <c r="T173" s="20"/>
      <c r="U173" t="str">
        <f t="shared" si="28"/>
        <v/>
      </c>
      <c r="V173" s="20"/>
      <c r="W173" s="20" t="str">
        <f t="shared" si="29"/>
        <v/>
      </c>
      <c r="X173" s="25"/>
      <c r="Y173" s="25"/>
    </row>
    <row r="174" spans="1:25" x14ac:dyDescent="0.25">
      <c r="A174">
        <v>171</v>
      </c>
      <c r="B174" s="25"/>
      <c r="D174" s="30"/>
      <c r="G174" s="30"/>
      <c r="H174" t="str">
        <f t="shared" si="20"/>
        <v/>
      </c>
      <c r="J174" s="20"/>
      <c r="K174" s="20"/>
      <c r="L174" s="20" t="str">
        <f t="shared" si="21"/>
        <v/>
      </c>
      <c r="M174" s="30"/>
      <c r="N174" s="26" t="str">
        <f t="shared" si="22"/>
        <v/>
      </c>
      <c r="O174" s="20" t="str">
        <f t="shared" si="23"/>
        <v/>
      </c>
      <c r="P174" s="31" t="str">
        <f t="shared" si="24"/>
        <v/>
      </c>
      <c r="Q174" s="32" t="str">
        <f t="shared" si="25"/>
        <v/>
      </c>
      <c r="R174" t="str">
        <f t="shared" si="26"/>
        <v/>
      </c>
      <c r="S174" s="20" t="str">
        <f t="shared" si="27"/>
        <v/>
      </c>
      <c r="T174" s="20"/>
      <c r="U174" t="str">
        <f t="shared" si="28"/>
        <v/>
      </c>
      <c r="V174" s="20"/>
      <c r="W174" s="20" t="str">
        <f t="shared" si="29"/>
        <v/>
      </c>
      <c r="X174" s="25"/>
      <c r="Y174" s="25"/>
    </row>
    <row r="175" spans="1:25" x14ac:dyDescent="0.25">
      <c r="A175">
        <v>172</v>
      </c>
      <c r="B175" s="25"/>
      <c r="D175" s="30"/>
      <c r="G175" s="30"/>
      <c r="H175" t="str">
        <f t="shared" si="20"/>
        <v/>
      </c>
      <c r="J175" s="20"/>
      <c r="K175" s="20"/>
      <c r="L175" s="20" t="str">
        <f t="shared" si="21"/>
        <v/>
      </c>
      <c r="M175" s="30"/>
      <c r="N175" s="26" t="str">
        <f t="shared" si="22"/>
        <v/>
      </c>
      <c r="O175" s="20" t="str">
        <f t="shared" si="23"/>
        <v/>
      </c>
      <c r="P175" s="31" t="str">
        <f t="shared" si="24"/>
        <v/>
      </c>
      <c r="Q175" s="32" t="str">
        <f t="shared" si="25"/>
        <v/>
      </c>
      <c r="R175" t="str">
        <f t="shared" si="26"/>
        <v/>
      </c>
      <c r="S175" s="20" t="str">
        <f t="shared" si="27"/>
        <v/>
      </c>
      <c r="T175" s="20"/>
      <c r="U175" t="str">
        <f t="shared" si="28"/>
        <v/>
      </c>
      <c r="V175" s="20"/>
      <c r="W175" s="20" t="str">
        <f t="shared" si="29"/>
        <v/>
      </c>
      <c r="X175" s="25"/>
      <c r="Y175" s="25"/>
    </row>
    <row r="176" spans="1:25" x14ac:dyDescent="0.25">
      <c r="A176">
        <v>173</v>
      </c>
      <c r="B176" s="25"/>
      <c r="D176" s="30"/>
      <c r="G176" s="30"/>
      <c r="H176" t="str">
        <f t="shared" si="20"/>
        <v/>
      </c>
      <c r="J176" s="20"/>
      <c r="K176" s="20"/>
      <c r="L176" s="20" t="str">
        <f t="shared" si="21"/>
        <v/>
      </c>
      <c r="M176" s="30"/>
      <c r="N176" s="26" t="str">
        <f t="shared" si="22"/>
        <v/>
      </c>
      <c r="O176" s="20" t="str">
        <f t="shared" si="23"/>
        <v/>
      </c>
      <c r="P176" s="31" t="str">
        <f t="shared" si="24"/>
        <v/>
      </c>
      <c r="Q176" s="32" t="str">
        <f t="shared" si="25"/>
        <v/>
      </c>
      <c r="R176" t="str">
        <f t="shared" si="26"/>
        <v/>
      </c>
      <c r="S176" s="20" t="str">
        <f t="shared" si="27"/>
        <v/>
      </c>
      <c r="T176" s="20"/>
      <c r="U176" t="str">
        <f t="shared" si="28"/>
        <v/>
      </c>
      <c r="V176" s="20"/>
      <c r="W176" s="20" t="str">
        <f t="shared" si="29"/>
        <v/>
      </c>
      <c r="X176" s="25"/>
      <c r="Y176" s="25"/>
    </row>
    <row r="177" spans="1:25" x14ac:dyDescent="0.25">
      <c r="A177">
        <v>174</v>
      </c>
      <c r="B177" s="25"/>
      <c r="D177" s="30"/>
      <c r="G177" s="30"/>
      <c r="H177" t="str">
        <f t="shared" si="20"/>
        <v/>
      </c>
      <c r="J177" s="20"/>
      <c r="K177" s="20"/>
      <c r="L177" s="20" t="str">
        <f t="shared" si="21"/>
        <v/>
      </c>
      <c r="M177" s="30"/>
      <c r="N177" s="26" t="str">
        <f t="shared" si="22"/>
        <v/>
      </c>
      <c r="O177" s="20" t="str">
        <f t="shared" si="23"/>
        <v/>
      </c>
      <c r="P177" s="31" t="str">
        <f t="shared" si="24"/>
        <v/>
      </c>
      <c r="Q177" s="32" t="str">
        <f t="shared" si="25"/>
        <v/>
      </c>
      <c r="R177" t="str">
        <f t="shared" si="26"/>
        <v/>
      </c>
      <c r="S177" s="20" t="str">
        <f t="shared" si="27"/>
        <v/>
      </c>
      <c r="T177" s="20"/>
      <c r="U177" t="str">
        <f t="shared" si="28"/>
        <v/>
      </c>
      <c r="V177" s="20"/>
      <c r="W177" s="20" t="str">
        <f t="shared" si="29"/>
        <v/>
      </c>
      <c r="X177" s="25"/>
      <c r="Y177" s="25"/>
    </row>
    <row r="178" spans="1:25" x14ac:dyDescent="0.25">
      <c r="A178">
        <v>175</v>
      </c>
      <c r="B178" s="25"/>
      <c r="D178" s="30"/>
      <c r="G178" s="30"/>
      <c r="H178" t="str">
        <f t="shared" si="20"/>
        <v/>
      </c>
      <c r="J178" s="20"/>
      <c r="K178" s="20"/>
      <c r="L178" s="20" t="str">
        <f t="shared" si="21"/>
        <v/>
      </c>
      <c r="M178" s="30"/>
      <c r="N178" s="26" t="str">
        <f t="shared" si="22"/>
        <v/>
      </c>
      <c r="O178" s="20" t="str">
        <f t="shared" si="23"/>
        <v/>
      </c>
      <c r="P178" s="31" t="str">
        <f t="shared" si="24"/>
        <v/>
      </c>
      <c r="Q178" s="32" t="str">
        <f t="shared" si="25"/>
        <v/>
      </c>
      <c r="R178" t="str">
        <f t="shared" si="26"/>
        <v/>
      </c>
      <c r="S178" s="20" t="str">
        <f t="shared" si="27"/>
        <v/>
      </c>
      <c r="T178" s="20"/>
      <c r="U178" t="str">
        <f t="shared" si="28"/>
        <v/>
      </c>
      <c r="V178" s="20"/>
      <c r="W178" s="20" t="str">
        <f t="shared" si="29"/>
        <v/>
      </c>
      <c r="X178" s="25"/>
      <c r="Y178" s="25"/>
    </row>
    <row r="179" spans="1:25" x14ac:dyDescent="0.25">
      <c r="A179">
        <v>176</v>
      </c>
      <c r="B179" s="25"/>
      <c r="D179" s="30"/>
      <c r="G179" s="30"/>
      <c r="H179" t="str">
        <f t="shared" si="20"/>
        <v/>
      </c>
      <c r="J179" s="20"/>
      <c r="K179" s="20"/>
      <c r="L179" s="20" t="str">
        <f t="shared" si="21"/>
        <v/>
      </c>
      <c r="M179" s="30"/>
      <c r="N179" s="26" t="str">
        <f t="shared" si="22"/>
        <v/>
      </c>
      <c r="O179" s="20" t="str">
        <f t="shared" si="23"/>
        <v/>
      </c>
      <c r="P179" s="31" t="str">
        <f t="shared" si="24"/>
        <v/>
      </c>
      <c r="Q179" s="32" t="str">
        <f t="shared" si="25"/>
        <v/>
      </c>
      <c r="R179" t="str">
        <f t="shared" si="26"/>
        <v/>
      </c>
      <c r="S179" s="20" t="str">
        <f t="shared" si="27"/>
        <v/>
      </c>
      <c r="T179" s="20"/>
      <c r="U179" t="str">
        <f t="shared" si="28"/>
        <v/>
      </c>
      <c r="V179" s="20"/>
      <c r="W179" s="20" t="str">
        <f t="shared" si="29"/>
        <v/>
      </c>
      <c r="X179" s="25"/>
      <c r="Y179" s="25"/>
    </row>
    <row r="180" spans="1:25" x14ac:dyDescent="0.25">
      <c r="A180">
        <v>177</v>
      </c>
      <c r="B180" s="25"/>
      <c r="D180" s="30"/>
      <c r="G180" s="30"/>
      <c r="H180" t="str">
        <f t="shared" si="20"/>
        <v/>
      </c>
      <c r="J180" s="20"/>
      <c r="K180" s="20"/>
      <c r="L180" s="20" t="str">
        <f t="shared" si="21"/>
        <v/>
      </c>
      <c r="M180" s="30"/>
      <c r="N180" s="26" t="str">
        <f t="shared" si="22"/>
        <v/>
      </c>
      <c r="O180" s="20" t="str">
        <f t="shared" si="23"/>
        <v/>
      </c>
      <c r="P180" s="31" t="str">
        <f t="shared" si="24"/>
        <v/>
      </c>
      <c r="Q180" s="32" t="str">
        <f t="shared" si="25"/>
        <v/>
      </c>
      <c r="R180" t="str">
        <f t="shared" si="26"/>
        <v/>
      </c>
      <c r="S180" s="20" t="str">
        <f t="shared" si="27"/>
        <v/>
      </c>
      <c r="T180" s="20"/>
      <c r="U180" t="str">
        <f t="shared" si="28"/>
        <v/>
      </c>
      <c r="V180" s="20"/>
      <c r="W180" s="20" t="str">
        <f t="shared" si="29"/>
        <v/>
      </c>
      <c r="X180" s="25"/>
      <c r="Y180" s="25"/>
    </row>
    <row r="181" spans="1:25" x14ac:dyDescent="0.25">
      <c r="A181">
        <v>178</v>
      </c>
      <c r="B181" s="25"/>
      <c r="D181" s="30"/>
      <c r="G181" s="30"/>
      <c r="H181" t="str">
        <f t="shared" si="20"/>
        <v/>
      </c>
      <c r="J181" s="20"/>
      <c r="K181" s="20"/>
      <c r="L181" s="20" t="str">
        <f t="shared" si="21"/>
        <v/>
      </c>
      <c r="M181" s="30"/>
      <c r="N181" s="26" t="str">
        <f t="shared" si="22"/>
        <v/>
      </c>
      <c r="O181" s="20" t="str">
        <f t="shared" si="23"/>
        <v/>
      </c>
      <c r="P181" s="31" t="str">
        <f t="shared" si="24"/>
        <v/>
      </c>
      <c r="Q181" s="32" t="str">
        <f t="shared" si="25"/>
        <v/>
      </c>
      <c r="R181" t="str">
        <f t="shared" si="26"/>
        <v/>
      </c>
      <c r="S181" s="20" t="str">
        <f t="shared" si="27"/>
        <v/>
      </c>
      <c r="T181" s="20"/>
      <c r="U181" t="str">
        <f t="shared" si="28"/>
        <v/>
      </c>
      <c r="V181" s="20"/>
      <c r="W181" s="20" t="str">
        <f t="shared" si="29"/>
        <v/>
      </c>
      <c r="X181" s="25"/>
      <c r="Y181" s="25"/>
    </row>
    <row r="182" spans="1:25" x14ac:dyDescent="0.25">
      <c r="A182">
        <v>179</v>
      </c>
      <c r="B182" s="25"/>
      <c r="D182" s="30"/>
      <c r="G182" s="30"/>
      <c r="H182" t="str">
        <f t="shared" si="20"/>
        <v/>
      </c>
      <c r="J182" s="20"/>
      <c r="K182" s="20"/>
      <c r="L182" s="20" t="str">
        <f t="shared" si="21"/>
        <v/>
      </c>
      <c r="M182" s="30"/>
      <c r="N182" s="26" t="str">
        <f t="shared" si="22"/>
        <v/>
      </c>
      <c r="O182" s="20" t="str">
        <f t="shared" si="23"/>
        <v/>
      </c>
      <c r="P182" s="31" t="str">
        <f t="shared" si="24"/>
        <v/>
      </c>
      <c r="Q182" s="32" t="str">
        <f t="shared" si="25"/>
        <v/>
      </c>
      <c r="R182" t="str">
        <f t="shared" si="26"/>
        <v/>
      </c>
      <c r="S182" s="20" t="str">
        <f t="shared" si="27"/>
        <v/>
      </c>
      <c r="T182" s="20"/>
      <c r="U182" t="str">
        <f t="shared" si="28"/>
        <v/>
      </c>
      <c r="V182" s="20"/>
      <c r="W182" s="20" t="str">
        <f t="shared" si="29"/>
        <v/>
      </c>
      <c r="X182" s="25"/>
      <c r="Y182" s="25"/>
    </row>
    <row r="183" spans="1:25" x14ac:dyDescent="0.25">
      <c r="A183">
        <v>180</v>
      </c>
      <c r="B183" s="25"/>
      <c r="D183" s="30"/>
      <c r="G183" s="30"/>
      <c r="H183" t="str">
        <f t="shared" si="20"/>
        <v/>
      </c>
      <c r="J183" s="20"/>
      <c r="K183" s="20"/>
      <c r="L183" s="20" t="str">
        <f t="shared" si="21"/>
        <v/>
      </c>
      <c r="M183" s="30"/>
      <c r="N183" s="26" t="str">
        <f t="shared" si="22"/>
        <v/>
      </c>
      <c r="O183" s="20" t="str">
        <f t="shared" si="23"/>
        <v/>
      </c>
      <c r="P183" s="31" t="str">
        <f t="shared" si="24"/>
        <v/>
      </c>
      <c r="Q183" s="32" t="str">
        <f t="shared" si="25"/>
        <v/>
      </c>
      <c r="R183" t="str">
        <f t="shared" si="26"/>
        <v/>
      </c>
      <c r="S183" s="20" t="str">
        <f t="shared" si="27"/>
        <v/>
      </c>
      <c r="T183" s="20"/>
      <c r="U183" t="str">
        <f t="shared" si="28"/>
        <v/>
      </c>
      <c r="V183" s="20"/>
      <c r="W183" s="20" t="str">
        <f t="shared" si="29"/>
        <v/>
      </c>
      <c r="X183" s="25"/>
      <c r="Y183" s="25"/>
    </row>
    <row r="184" spans="1:25" x14ac:dyDescent="0.25">
      <c r="A184">
        <v>181</v>
      </c>
      <c r="B184" s="25"/>
      <c r="D184" s="30"/>
      <c r="G184" s="30"/>
      <c r="H184" t="str">
        <f t="shared" si="20"/>
        <v/>
      </c>
      <c r="J184" s="20"/>
      <c r="K184" s="20"/>
      <c r="L184" s="20" t="str">
        <f t="shared" si="21"/>
        <v/>
      </c>
      <c r="M184" s="30"/>
      <c r="N184" s="26" t="str">
        <f t="shared" si="22"/>
        <v/>
      </c>
      <c r="O184" s="20" t="str">
        <f t="shared" si="23"/>
        <v/>
      </c>
      <c r="P184" s="31" t="str">
        <f t="shared" si="24"/>
        <v/>
      </c>
      <c r="Q184" s="32" t="str">
        <f t="shared" si="25"/>
        <v/>
      </c>
      <c r="R184" t="str">
        <f t="shared" si="26"/>
        <v/>
      </c>
      <c r="S184" s="20" t="str">
        <f t="shared" si="27"/>
        <v/>
      </c>
      <c r="T184" s="20"/>
      <c r="U184" t="str">
        <f t="shared" si="28"/>
        <v/>
      </c>
      <c r="V184" s="20"/>
      <c r="W184" s="20" t="str">
        <f t="shared" si="29"/>
        <v/>
      </c>
      <c r="X184" s="25"/>
      <c r="Y184" s="25"/>
    </row>
    <row r="185" spans="1:25" x14ac:dyDescent="0.25">
      <c r="A185">
        <v>182</v>
      </c>
      <c r="B185" s="25"/>
      <c r="D185" s="30"/>
      <c r="G185" s="30"/>
      <c r="H185" t="str">
        <f t="shared" si="20"/>
        <v/>
      </c>
      <c r="J185" s="20"/>
      <c r="K185" s="20"/>
      <c r="L185" s="20" t="str">
        <f t="shared" si="21"/>
        <v/>
      </c>
      <c r="M185" s="30"/>
      <c r="N185" s="26" t="str">
        <f t="shared" si="22"/>
        <v/>
      </c>
      <c r="O185" s="20" t="str">
        <f t="shared" si="23"/>
        <v/>
      </c>
      <c r="P185" s="31" t="str">
        <f t="shared" si="24"/>
        <v/>
      </c>
      <c r="Q185" s="32" t="str">
        <f t="shared" si="25"/>
        <v/>
      </c>
      <c r="R185" t="str">
        <f t="shared" si="26"/>
        <v/>
      </c>
      <c r="S185" s="20" t="str">
        <f t="shared" si="27"/>
        <v/>
      </c>
      <c r="T185" s="20"/>
      <c r="U185" t="str">
        <f t="shared" si="28"/>
        <v/>
      </c>
      <c r="V185" s="20"/>
      <c r="W185" s="20" t="str">
        <f t="shared" si="29"/>
        <v/>
      </c>
      <c r="X185" s="25"/>
      <c r="Y185" s="25"/>
    </row>
    <row r="186" spans="1:25" x14ac:dyDescent="0.25">
      <c r="A186">
        <v>183</v>
      </c>
      <c r="B186" s="25"/>
      <c r="D186" s="30"/>
      <c r="G186" s="30"/>
      <c r="H186" t="str">
        <f t="shared" si="20"/>
        <v/>
      </c>
      <c r="J186" s="20"/>
      <c r="K186" s="20"/>
      <c r="L186" s="20" t="str">
        <f t="shared" si="21"/>
        <v/>
      </c>
      <c r="M186" s="30"/>
      <c r="N186" s="26" t="str">
        <f t="shared" si="22"/>
        <v/>
      </c>
      <c r="O186" s="20" t="str">
        <f t="shared" si="23"/>
        <v/>
      </c>
      <c r="P186" s="31" t="str">
        <f t="shared" si="24"/>
        <v/>
      </c>
      <c r="Q186" s="32" t="str">
        <f t="shared" si="25"/>
        <v/>
      </c>
      <c r="R186" t="str">
        <f t="shared" si="26"/>
        <v/>
      </c>
      <c r="S186" s="20" t="str">
        <f t="shared" si="27"/>
        <v/>
      </c>
      <c r="T186" s="20"/>
      <c r="U186" t="str">
        <f t="shared" si="28"/>
        <v/>
      </c>
      <c r="V186" s="20"/>
      <c r="W186" s="20" t="str">
        <f t="shared" si="29"/>
        <v/>
      </c>
      <c r="X186" s="25"/>
      <c r="Y186" s="25"/>
    </row>
    <row r="187" spans="1:25" x14ac:dyDescent="0.25">
      <c r="A187">
        <v>184</v>
      </c>
      <c r="B187" s="25"/>
      <c r="D187" s="30"/>
      <c r="G187" s="30"/>
      <c r="H187" t="str">
        <f t="shared" si="20"/>
        <v/>
      </c>
      <c r="J187" s="20"/>
      <c r="K187" s="20"/>
      <c r="L187" s="20" t="str">
        <f t="shared" si="21"/>
        <v/>
      </c>
      <c r="M187" s="30"/>
      <c r="N187" s="26" t="str">
        <f t="shared" si="22"/>
        <v/>
      </c>
      <c r="O187" s="20" t="str">
        <f t="shared" si="23"/>
        <v/>
      </c>
      <c r="P187" s="31" t="str">
        <f t="shared" si="24"/>
        <v/>
      </c>
      <c r="Q187" s="32" t="str">
        <f t="shared" si="25"/>
        <v/>
      </c>
      <c r="R187" t="str">
        <f t="shared" si="26"/>
        <v/>
      </c>
      <c r="S187" s="20" t="str">
        <f t="shared" si="27"/>
        <v/>
      </c>
      <c r="T187" s="20"/>
      <c r="U187" t="str">
        <f t="shared" si="28"/>
        <v/>
      </c>
      <c r="V187" s="20"/>
      <c r="W187" s="20" t="str">
        <f t="shared" si="29"/>
        <v/>
      </c>
      <c r="X187" s="25"/>
      <c r="Y187" s="25"/>
    </row>
    <row r="188" spans="1:25" x14ac:dyDescent="0.25">
      <c r="A188">
        <v>185</v>
      </c>
      <c r="B188" s="25"/>
      <c r="D188" s="30"/>
      <c r="G188" s="30"/>
      <c r="H188" t="str">
        <f t="shared" si="20"/>
        <v/>
      </c>
      <c r="J188" s="20"/>
      <c r="K188" s="20"/>
      <c r="L188" s="20" t="str">
        <f t="shared" si="21"/>
        <v/>
      </c>
      <c r="M188" s="30"/>
      <c r="N188" s="26" t="str">
        <f t="shared" si="22"/>
        <v/>
      </c>
      <c r="O188" s="20" t="str">
        <f t="shared" si="23"/>
        <v/>
      </c>
      <c r="P188" s="31" t="str">
        <f t="shared" si="24"/>
        <v/>
      </c>
      <c r="Q188" s="32" t="str">
        <f t="shared" si="25"/>
        <v/>
      </c>
      <c r="R188" t="str">
        <f t="shared" si="26"/>
        <v/>
      </c>
      <c r="S188" s="20" t="str">
        <f t="shared" si="27"/>
        <v/>
      </c>
      <c r="T188" s="20"/>
      <c r="U188" t="str">
        <f t="shared" si="28"/>
        <v/>
      </c>
      <c r="V188" s="20"/>
      <c r="W188" s="20" t="str">
        <f t="shared" si="29"/>
        <v/>
      </c>
      <c r="X188" s="25"/>
      <c r="Y188" s="25"/>
    </row>
    <row r="189" spans="1:25" x14ac:dyDescent="0.25">
      <c r="A189">
        <v>186</v>
      </c>
      <c r="B189" s="25"/>
      <c r="D189" s="30"/>
      <c r="G189" s="30"/>
      <c r="H189" t="str">
        <f t="shared" si="20"/>
        <v/>
      </c>
      <c r="J189" s="20"/>
      <c r="K189" s="20"/>
      <c r="L189" s="20" t="str">
        <f t="shared" si="21"/>
        <v/>
      </c>
      <c r="M189" s="30"/>
      <c r="N189" s="26" t="str">
        <f t="shared" si="22"/>
        <v/>
      </c>
      <c r="O189" s="20" t="str">
        <f t="shared" si="23"/>
        <v/>
      </c>
      <c r="P189" s="31" t="str">
        <f t="shared" si="24"/>
        <v/>
      </c>
      <c r="Q189" s="32" t="str">
        <f t="shared" si="25"/>
        <v/>
      </c>
      <c r="R189" t="str">
        <f t="shared" si="26"/>
        <v/>
      </c>
      <c r="S189" s="20" t="str">
        <f t="shared" si="27"/>
        <v/>
      </c>
      <c r="T189" s="20"/>
      <c r="U189" t="str">
        <f t="shared" si="28"/>
        <v/>
      </c>
      <c r="V189" s="20"/>
      <c r="W189" s="20" t="str">
        <f t="shared" si="29"/>
        <v/>
      </c>
      <c r="X189" s="25"/>
      <c r="Y189" s="25"/>
    </row>
    <row r="190" spans="1:25" x14ac:dyDescent="0.25">
      <c r="A190">
        <v>187</v>
      </c>
      <c r="B190" s="25"/>
      <c r="D190" s="30"/>
      <c r="G190" s="30"/>
      <c r="H190" t="str">
        <f t="shared" si="20"/>
        <v/>
      </c>
      <c r="J190" s="20"/>
      <c r="K190" s="20"/>
      <c r="L190" s="20" t="str">
        <f t="shared" si="21"/>
        <v/>
      </c>
      <c r="M190" s="30"/>
      <c r="N190" s="26" t="str">
        <f t="shared" si="22"/>
        <v/>
      </c>
      <c r="O190" s="20" t="str">
        <f t="shared" si="23"/>
        <v/>
      </c>
      <c r="P190" s="31" t="str">
        <f t="shared" si="24"/>
        <v/>
      </c>
      <c r="Q190" s="32" t="str">
        <f t="shared" si="25"/>
        <v/>
      </c>
      <c r="R190" t="str">
        <f t="shared" si="26"/>
        <v/>
      </c>
      <c r="S190" s="20" t="str">
        <f t="shared" si="27"/>
        <v/>
      </c>
      <c r="T190" s="20"/>
      <c r="U190" t="str">
        <f t="shared" si="28"/>
        <v/>
      </c>
      <c r="V190" s="20"/>
      <c r="W190" s="20" t="str">
        <f t="shared" si="29"/>
        <v/>
      </c>
      <c r="X190" s="25"/>
      <c r="Y190" s="25"/>
    </row>
    <row r="191" spans="1:25" x14ac:dyDescent="0.25">
      <c r="A191">
        <v>188</v>
      </c>
      <c r="B191" s="25"/>
      <c r="D191" s="30"/>
      <c r="G191" s="30"/>
      <c r="H191" t="str">
        <f t="shared" si="20"/>
        <v/>
      </c>
      <c r="J191" s="20"/>
      <c r="K191" s="20"/>
      <c r="L191" s="20" t="str">
        <f t="shared" si="21"/>
        <v/>
      </c>
      <c r="M191" s="30"/>
      <c r="N191" s="26" t="str">
        <f t="shared" si="22"/>
        <v/>
      </c>
      <c r="O191" s="20" t="str">
        <f t="shared" si="23"/>
        <v/>
      </c>
      <c r="P191" s="31" t="str">
        <f t="shared" si="24"/>
        <v/>
      </c>
      <c r="Q191" s="32" t="str">
        <f t="shared" si="25"/>
        <v/>
      </c>
      <c r="R191" t="str">
        <f t="shared" si="26"/>
        <v/>
      </c>
      <c r="S191" s="20" t="str">
        <f t="shared" si="27"/>
        <v/>
      </c>
      <c r="T191" s="20"/>
      <c r="U191" t="str">
        <f t="shared" si="28"/>
        <v/>
      </c>
      <c r="V191" s="20"/>
      <c r="W191" s="20" t="str">
        <f t="shared" si="29"/>
        <v/>
      </c>
      <c r="X191" s="25"/>
      <c r="Y191" s="25"/>
    </row>
    <row r="192" spans="1:25" x14ac:dyDescent="0.25">
      <c r="A192">
        <v>189</v>
      </c>
      <c r="B192" s="25"/>
      <c r="D192" s="30"/>
      <c r="G192" s="30"/>
      <c r="H192" t="str">
        <f t="shared" si="20"/>
        <v/>
      </c>
      <c r="J192" s="20"/>
      <c r="K192" s="20"/>
      <c r="L192" s="20" t="str">
        <f t="shared" si="21"/>
        <v/>
      </c>
      <c r="M192" s="30"/>
      <c r="N192" s="26" t="str">
        <f t="shared" si="22"/>
        <v/>
      </c>
      <c r="O192" s="20" t="str">
        <f t="shared" si="23"/>
        <v/>
      </c>
      <c r="P192" s="31" t="str">
        <f t="shared" si="24"/>
        <v/>
      </c>
      <c r="Q192" s="32" t="str">
        <f t="shared" si="25"/>
        <v/>
      </c>
      <c r="R192" t="str">
        <f t="shared" si="26"/>
        <v/>
      </c>
      <c r="S192" s="20" t="str">
        <f t="shared" si="27"/>
        <v/>
      </c>
      <c r="T192" s="20"/>
      <c r="U192" t="str">
        <f t="shared" si="28"/>
        <v/>
      </c>
      <c r="V192" s="20"/>
      <c r="W192" s="20" t="str">
        <f t="shared" si="29"/>
        <v/>
      </c>
      <c r="X192" s="25"/>
      <c r="Y192" s="25"/>
    </row>
    <row r="193" spans="1:25" x14ac:dyDescent="0.25">
      <c r="A193">
        <v>190</v>
      </c>
      <c r="B193" s="25"/>
      <c r="D193" s="30"/>
      <c r="G193" s="30"/>
      <c r="H193" t="str">
        <f t="shared" si="20"/>
        <v/>
      </c>
      <c r="J193" s="20"/>
      <c r="K193" s="20"/>
      <c r="L193" s="20" t="str">
        <f t="shared" si="21"/>
        <v/>
      </c>
      <c r="M193" s="30"/>
      <c r="N193" s="26" t="str">
        <f t="shared" si="22"/>
        <v/>
      </c>
      <c r="O193" s="20" t="str">
        <f t="shared" si="23"/>
        <v/>
      </c>
      <c r="P193" s="31" t="str">
        <f t="shared" si="24"/>
        <v/>
      </c>
      <c r="Q193" s="32" t="str">
        <f t="shared" si="25"/>
        <v/>
      </c>
      <c r="R193" t="str">
        <f t="shared" si="26"/>
        <v/>
      </c>
      <c r="S193" s="20" t="str">
        <f t="shared" si="27"/>
        <v/>
      </c>
      <c r="T193" s="20"/>
      <c r="U193" t="str">
        <f t="shared" si="28"/>
        <v/>
      </c>
      <c r="V193" s="20"/>
      <c r="W193" s="20" t="str">
        <f t="shared" si="29"/>
        <v/>
      </c>
      <c r="X193" s="25"/>
      <c r="Y193" s="25"/>
    </row>
    <row r="194" spans="1:25" x14ac:dyDescent="0.25">
      <c r="A194">
        <v>191</v>
      </c>
      <c r="B194" s="25"/>
      <c r="D194" s="30"/>
      <c r="G194" s="30"/>
      <c r="H194" t="str">
        <f t="shared" si="20"/>
        <v/>
      </c>
      <c r="J194" s="20"/>
      <c r="K194" s="20"/>
      <c r="L194" s="20" t="str">
        <f t="shared" si="21"/>
        <v/>
      </c>
      <c r="M194" s="30"/>
      <c r="N194" s="26" t="str">
        <f t="shared" si="22"/>
        <v/>
      </c>
      <c r="O194" s="20" t="str">
        <f t="shared" si="23"/>
        <v/>
      </c>
      <c r="P194" s="31" t="str">
        <f t="shared" si="24"/>
        <v/>
      </c>
      <c r="Q194" s="32" t="str">
        <f t="shared" si="25"/>
        <v/>
      </c>
      <c r="R194" t="str">
        <f t="shared" si="26"/>
        <v/>
      </c>
      <c r="S194" s="20" t="str">
        <f t="shared" si="27"/>
        <v/>
      </c>
      <c r="T194" s="20"/>
      <c r="U194" t="str">
        <f t="shared" si="28"/>
        <v/>
      </c>
      <c r="V194" s="20"/>
      <c r="W194" s="20" t="str">
        <f t="shared" si="29"/>
        <v/>
      </c>
      <c r="X194" s="25"/>
      <c r="Y194" s="25"/>
    </row>
    <row r="195" spans="1:25" x14ac:dyDescent="0.25">
      <c r="A195">
        <v>192</v>
      </c>
      <c r="B195" s="25"/>
      <c r="D195" s="30"/>
      <c r="G195" s="30"/>
      <c r="H195" t="str">
        <f t="shared" si="20"/>
        <v/>
      </c>
      <c r="J195" s="20"/>
      <c r="K195" s="20"/>
      <c r="L195" s="20" t="str">
        <f t="shared" si="21"/>
        <v/>
      </c>
      <c r="M195" s="30"/>
      <c r="N195" s="26" t="str">
        <f t="shared" si="22"/>
        <v/>
      </c>
      <c r="O195" s="20" t="str">
        <f t="shared" si="23"/>
        <v/>
      </c>
      <c r="P195" s="31" t="str">
        <f t="shared" si="24"/>
        <v/>
      </c>
      <c r="Q195" s="32" t="str">
        <f t="shared" si="25"/>
        <v/>
      </c>
      <c r="R195" t="str">
        <f t="shared" si="26"/>
        <v/>
      </c>
      <c r="S195" s="20" t="str">
        <f t="shared" si="27"/>
        <v/>
      </c>
      <c r="T195" s="20"/>
      <c r="U195" t="str">
        <f t="shared" si="28"/>
        <v/>
      </c>
      <c r="V195" s="20"/>
      <c r="W195" s="20" t="str">
        <f t="shared" si="29"/>
        <v/>
      </c>
      <c r="X195" s="25"/>
      <c r="Y195" s="25"/>
    </row>
    <row r="196" spans="1:25" x14ac:dyDescent="0.25">
      <c r="A196">
        <v>193</v>
      </c>
      <c r="B196" s="25"/>
      <c r="D196" s="30"/>
      <c r="G196" s="30"/>
      <c r="H196" t="str">
        <f t="shared" ref="H196:H259" si="30">IF($G196="","",IFERROR(INDEX(Catalogo_Etiquetas,MATCH($G196,Catalogo_Codigos,0)),"CODIGO NO VALIDO"))</f>
        <v/>
      </c>
      <c r="J196" s="20"/>
      <c r="K196" s="20"/>
      <c r="L196" s="20" t="str">
        <f t="shared" ref="L196:L259" si="31">IF($C196="","",$J196+$K196)</f>
        <v/>
      </c>
      <c r="M196" s="30"/>
      <c r="N196" s="26" t="str">
        <f t="shared" ref="N196:N259" si="32">IF($C196="","",IF($I196="PEN",1,IFERROR(IF(_xlfn.XLOOKUP($B196,TC_Fechas,TC_Venta_Rango,"",-1)="","",_xlfn.XLOOKUP($B196,TC_Fechas,TC_Venta_Rango,"",-1)),"")))</f>
        <v/>
      </c>
      <c r="O196" s="20" t="str">
        <f t="shared" ref="O196:O259" si="33">IF(OR($C196="",$N196=""),"",ROUND($J196*$N196,2)+ROUND($K196*$N196,2))</f>
        <v/>
      </c>
      <c r="P196" s="31" t="str">
        <f t="shared" ref="P196:P259" si="34">IF($G196="","",IFERROR(INDEX(Catalogo_Tasas,MATCH($G196,Catalogo_Codigos,0)),""))</f>
        <v/>
      </c>
      <c r="Q196" s="32" t="str">
        <f t="shared" ref="Q196:Q259" si="35">IF($G196="","",IFERROR(INDEX(Catalogo_Umbrales,MATCH($G196,Catalogo_Codigos,0)),""))</f>
        <v/>
      </c>
      <c r="R196" t="str">
        <f t="shared" ref="R196:R259" si="36">IF(OR($C196="",$P196="",$O196=""),"",IF($F196&lt;&gt;"FACTURA","NO",IF(AND($P196&gt;0,$O196&gt;$Q196),"SI","NO")))</f>
        <v/>
      </c>
      <c r="S196" s="20" t="str">
        <f t="shared" ref="S196:S259" si="37">IF($R196="SI",ROUND($O196*$P196,2),IF($C196="","",0))</f>
        <v/>
      </c>
      <c r="T196" s="20"/>
      <c r="U196" t="str">
        <f t="shared" ref="U196:U259" si="38">IF($C196="","",IF($R196&lt;&gt;"SI","",IF($T196="","SIN DATO",IF(ABS($T196-$S196)&lt;=0.5,"OK","REVISAR"))))</f>
        <v/>
      </c>
      <c r="V196" s="20"/>
      <c r="W196" s="20" t="str">
        <f t="shared" ref="W196:W259" si="39">IF(OR($C196="",$N196=""),"",IF($F196="RHE",ROUND($L196-$V196,2),ROUND($L196-($S196/$N196),2)))</f>
        <v/>
      </c>
      <c r="X196" s="25"/>
      <c r="Y196" s="25"/>
    </row>
    <row r="197" spans="1:25" x14ac:dyDescent="0.25">
      <c r="A197">
        <v>194</v>
      </c>
      <c r="B197" s="25"/>
      <c r="D197" s="30"/>
      <c r="G197" s="30"/>
      <c r="H197" t="str">
        <f t="shared" si="30"/>
        <v/>
      </c>
      <c r="J197" s="20"/>
      <c r="K197" s="20"/>
      <c r="L197" s="20" t="str">
        <f t="shared" si="31"/>
        <v/>
      </c>
      <c r="M197" s="30"/>
      <c r="N197" s="26" t="str">
        <f t="shared" si="32"/>
        <v/>
      </c>
      <c r="O197" s="20" t="str">
        <f t="shared" si="33"/>
        <v/>
      </c>
      <c r="P197" s="31" t="str">
        <f t="shared" si="34"/>
        <v/>
      </c>
      <c r="Q197" s="32" t="str">
        <f t="shared" si="35"/>
        <v/>
      </c>
      <c r="R197" t="str">
        <f t="shared" si="36"/>
        <v/>
      </c>
      <c r="S197" s="20" t="str">
        <f t="shared" si="37"/>
        <v/>
      </c>
      <c r="T197" s="20"/>
      <c r="U197" t="str">
        <f t="shared" si="38"/>
        <v/>
      </c>
      <c r="V197" s="20"/>
      <c r="W197" s="20" t="str">
        <f t="shared" si="39"/>
        <v/>
      </c>
      <c r="X197" s="25"/>
      <c r="Y197" s="25"/>
    </row>
    <row r="198" spans="1:25" x14ac:dyDescent="0.25">
      <c r="A198">
        <v>195</v>
      </c>
      <c r="B198" s="25"/>
      <c r="D198" s="30"/>
      <c r="G198" s="30"/>
      <c r="H198" t="str">
        <f t="shared" si="30"/>
        <v/>
      </c>
      <c r="J198" s="20"/>
      <c r="K198" s="20"/>
      <c r="L198" s="20" t="str">
        <f t="shared" si="31"/>
        <v/>
      </c>
      <c r="M198" s="30"/>
      <c r="N198" s="26" t="str">
        <f t="shared" si="32"/>
        <v/>
      </c>
      <c r="O198" s="20" t="str">
        <f t="shared" si="33"/>
        <v/>
      </c>
      <c r="P198" s="31" t="str">
        <f t="shared" si="34"/>
        <v/>
      </c>
      <c r="Q198" s="32" t="str">
        <f t="shared" si="35"/>
        <v/>
      </c>
      <c r="R198" t="str">
        <f t="shared" si="36"/>
        <v/>
      </c>
      <c r="S198" s="20" t="str">
        <f t="shared" si="37"/>
        <v/>
      </c>
      <c r="T198" s="20"/>
      <c r="U198" t="str">
        <f t="shared" si="38"/>
        <v/>
      </c>
      <c r="V198" s="20"/>
      <c r="W198" s="20" t="str">
        <f t="shared" si="39"/>
        <v/>
      </c>
      <c r="X198" s="25"/>
      <c r="Y198" s="25"/>
    </row>
    <row r="199" spans="1:25" x14ac:dyDescent="0.25">
      <c r="A199">
        <v>196</v>
      </c>
      <c r="B199" s="25"/>
      <c r="D199" s="30"/>
      <c r="G199" s="30"/>
      <c r="H199" t="str">
        <f t="shared" si="30"/>
        <v/>
      </c>
      <c r="J199" s="20"/>
      <c r="K199" s="20"/>
      <c r="L199" s="20" t="str">
        <f t="shared" si="31"/>
        <v/>
      </c>
      <c r="M199" s="30"/>
      <c r="N199" s="26" t="str">
        <f t="shared" si="32"/>
        <v/>
      </c>
      <c r="O199" s="20" t="str">
        <f t="shared" si="33"/>
        <v/>
      </c>
      <c r="P199" s="31" t="str">
        <f t="shared" si="34"/>
        <v/>
      </c>
      <c r="Q199" s="32" t="str">
        <f t="shared" si="35"/>
        <v/>
      </c>
      <c r="R199" t="str">
        <f t="shared" si="36"/>
        <v/>
      </c>
      <c r="S199" s="20" t="str">
        <f t="shared" si="37"/>
        <v/>
      </c>
      <c r="T199" s="20"/>
      <c r="U199" t="str">
        <f t="shared" si="38"/>
        <v/>
      </c>
      <c r="V199" s="20"/>
      <c r="W199" s="20" t="str">
        <f t="shared" si="39"/>
        <v/>
      </c>
      <c r="X199" s="25"/>
      <c r="Y199" s="25"/>
    </row>
    <row r="200" spans="1:25" x14ac:dyDescent="0.25">
      <c r="A200">
        <v>197</v>
      </c>
      <c r="B200" s="25"/>
      <c r="D200" s="30"/>
      <c r="G200" s="30"/>
      <c r="H200" t="str">
        <f t="shared" si="30"/>
        <v/>
      </c>
      <c r="J200" s="20"/>
      <c r="K200" s="20"/>
      <c r="L200" s="20" t="str">
        <f t="shared" si="31"/>
        <v/>
      </c>
      <c r="M200" s="30"/>
      <c r="N200" s="26" t="str">
        <f t="shared" si="32"/>
        <v/>
      </c>
      <c r="O200" s="20" t="str">
        <f t="shared" si="33"/>
        <v/>
      </c>
      <c r="P200" s="31" t="str">
        <f t="shared" si="34"/>
        <v/>
      </c>
      <c r="Q200" s="32" t="str">
        <f t="shared" si="35"/>
        <v/>
      </c>
      <c r="R200" t="str">
        <f t="shared" si="36"/>
        <v/>
      </c>
      <c r="S200" s="20" t="str">
        <f t="shared" si="37"/>
        <v/>
      </c>
      <c r="T200" s="20"/>
      <c r="U200" t="str">
        <f t="shared" si="38"/>
        <v/>
      </c>
      <c r="V200" s="20"/>
      <c r="W200" s="20" t="str">
        <f t="shared" si="39"/>
        <v/>
      </c>
      <c r="X200" s="25"/>
      <c r="Y200" s="25"/>
    </row>
    <row r="201" spans="1:25" x14ac:dyDescent="0.25">
      <c r="A201">
        <v>198</v>
      </c>
      <c r="B201" s="25"/>
      <c r="D201" s="30"/>
      <c r="G201" s="30"/>
      <c r="H201" t="str">
        <f t="shared" si="30"/>
        <v/>
      </c>
      <c r="J201" s="20"/>
      <c r="K201" s="20"/>
      <c r="L201" s="20" t="str">
        <f t="shared" si="31"/>
        <v/>
      </c>
      <c r="M201" s="30"/>
      <c r="N201" s="26" t="str">
        <f t="shared" si="32"/>
        <v/>
      </c>
      <c r="O201" s="20" t="str">
        <f t="shared" si="33"/>
        <v/>
      </c>
      <c r="P201" s="31" t="str">
        <f t="shared" si="34"/>
        <v/>
      </c>
      <c r="Q201" s="32" t="str">
        <f t="shared" si="35"/>
        <v/>
      </c>
      <c r="R201" t="str">
        <f t="shared" si="36"/>
        <v/>
      </c>
      <c r="S201" s="20" t="str">
        <f t="shared" si="37"/>
        <v/>
      </c>
      <c r="T201" s="20"/>
      <c r="U201" t="str">
        <f t="shared" si="38"/>
        <v/>
      </c>
      <c r="V201" s="20"/>
      <c r="W201" s="20" t="str">
        <f t="shared" si="39"/>
        <v/>
      </c>
      <c r="X201" s="25"/>
      <c r="Y201" s="25"/>
    </row>
    <row r="202" spans="1:25" x14ac:dyDescent="0.25">
      <c r="A202">
        <v>199</v>
      </c>
      <c r="B202" s="25"/>
      <c r="D202" s="30"/>
      <c r="G202" s="30"/>
      <c r="H202" t="str">
        <f t="shared" si="30"/>
        <v/>
      </c>
      <c r="J202" s="20"/>
      <c r="K202" s="20"/>
      <c r="L202" s="20" t="str">
        <f t="shared" si="31"/>
        <v/>
      </c>
      <c r="M202" s="30"/>
      <c r="N202" s="26" t="str">
        <f t="shared" si="32"/>
        <v/>
      </c>
      <c r="O202" s="20" t="str">
        <f t="shared" si="33"/>
        <v/>
      </c>
      <c r="P202" s="31" t="str">
        <f t="shared" si="34"/>
        <v/>
      </c>
      <c r="Q202" s="32" t="str">
        <f t="shared" si="35"/>
        <v/>
      </c>
      <c r="R202" t="str">
        <f t="shared" si="36"/>
        <v/>
      </c>
      <c r="S202" s="20" t="str">
        <f t="shared" si="37"/>
        <v/>
      </c>
      <c r="T202" s="20"/>
      <c r="U202" t="str">
        <f t="shared" si="38"/>
        <v/>
      </c>
      <c r="V202" s="20"/>
      <c r="W202" s="20" t="str">
        <f t="shared" si="39"/>
        <v/>
      </c>
      <c r="X202" s="25"/>
      <c r="Y202" s="25"/>
    </row>
    <row r="203" spans="1:25" x14ac:dyDescent="0.25">
      <c r="A203">
        <v>200</v>
      </c>
      <c r="B203" s="25"/>
      <c r="D203" s="30"/>
      <c r="G203" s="30"/>
      <c r="H203" t="str">
        <f t="shared" si="30"/>
        <v/>
      </c>
      <c r="J203" s="20"/>
      <c r="K203" s="20"/>
      <c r="L203" s="20" t="str">
        <f t="shared" si="31"/>
        <v/>
      </c>
      <c r="M203" s="30"/>
      <c r="N203" s="26" t="str">
        <f t="shared" si="32"/>
        <v/>
      </c>
      <c r="O203" s="20" t="str">
        <f t="shared" si="33"/>
        <v/>
      </c>
      <c r="P203" s="31" t="str">
        <f t="shared" si="34"/>
        <v/>
      </c>
      <c r="Q203" s="32" t="str">
        <f t="shared" si="35"/>
        <v/>
      </c>
      <c r="R203" t="str">
        <f t="shared" si="36"/>
        <v/>
      </c>
      <c r="S203" s="20" t="str">
        <f t="shared" si="37"/>
        <v/>
      </c>
      <c r="T203" s="20"/>
      <c r="U203" t="str">
        <f t="shared" si="38"/>
        <v/>
      </c>
      <c r="V203" s="20"/>
      <c r="W203" s="20" t="str">
        <f t="shared" si="39"/>
        <v/>
      </c>
      <c r="X203" s="25"/>
      <c r="Y203" s="25"/>
    </row>
    <row r="204" spans="1:25" x14ac:dyDescent="0.25">
      <c r="A204">
        <v>201</v>
      </c>
      <c r="B204" s="25"/>
      <c r="D204" s="30"/>
      <c r="G204" s="30"/>
      <c r="H204" t="str">
        <f t="shared" si="30"/>
        <v/>
      </c>
      <c r="J204" s="20"/>
      <c r="K204" s="20"/>
      <c r="L204" s="20" t="str">
        <f t="shared" si="31"/>
        <v/>
      </c>
      <c r="M204" s="30"/>
      <c r="N204" s="26" t="str">
        <f t="shared" si="32"/>
        <v/>
      </c>
      <c r="O204" s="20" t="str">
        <f t="shared" si="33"/>
        <v/>
      </c>
      <c r="P204" s="31" t="str">
        <f t="shared" si="34"/>
        <v/>
      </c>
      <c r="Q204" s="32" t="str">
        <f t="shared" si="35"/>
        <v/>
      </c>
      <c r="R204" t="str">
        <f t="shared" si="36"/>
        <v/>
      </c>
      <c r="S204" s="20" t="str">
        <f t="shared" si="37"/>
        <v/>
      </c>
      <c r="T204" s="20"/>
      <c r="U204" t="str">
        <f t="shared" si="38"/>
        <v/>
      </c>
      <c r="V204" s="20"/>
      <c r="W204" s="20" t="str">
        <f t="shared" si="39"/>
        <v/>
      </c>
      <c r="X204" s="25"/>
      <c r="Y204" s="25"/>
    </row>
    <row r="205" spans="1:25" x14ac:dyDescent="0.25">
      <c r="A205">
        <v>202</v>
      </c>
      <c r="B205" s="25"/>
      <c r="D205" s="30"/>
      <c r="G205" s="30"/>
      <c r="H205" t="str">
        <f t="shared" si="30"/>
        <v/>
      </c>
      <c r="J205" s="20"/>
      <c r="K205" s="20"/>
      <c r="L205" s="20" t="str">
        <f t="shared" si="31"/>
        <v/>
      </c>
      <c r="M205" s="30"/>
      <c r="N205" s="26" t="str">
        <f t="shared" si="32"/>
        <v/>
      </c>
      <c r="O205" s="20" t="str">
        <f t="shared" si="33"/>
        <v/>
      </c>
      <c r="P205" s="31" t="str">
        <f t="shared" si="34"/>
        <v/>
      </c>
      <c r="Q205" s="32" t="str">
        <f t="shared" si="35"/>
        <v/>
      </c>
      <c r="R205" t="str">
        <f t="shared" si="36"/>
        <v/>
      </c>
      <c r="S205" s="20" t="str">
        <f t="shared" si="37"/>
        <v/>
      </c>
      <c r="T205" s="20"/>
      <c r="U205" t="str">
        <f t="shared" si="38"/>
        <v/>
      </c>
      <c r="V205" s="20"/>
      <c r="W205" s="20" t="str">
        <f t="shared" si="39"/>
        <v/>
      </c>
      <c r="X205" s="25"/>
      <c r="Y205" s="25"/>
    </row>
    <row r="206" spans="1:25" x14ac:dyDescent="0.25">
      <c r="A206">
        <v>203</v>
      </c>
      <c r="B206" s="25"/>
      <c r="D206" s="30"/>
      <c r="G206" s="30"/>
      <c r="H206" t="str">
        <f t="shared" si="30"/>
        <v/>
      </c>
      <c r="J206" s="20"/>
      <c r="K206" s="20"/>
      <c r="L206" s="20" t="str">
        <f t="shared" si="31"/>
        <v/>
      </c>
      <c r="M206" s="30"/>
      <c r="N206" s="26" t="str">
        <f t="shared" si="32"/>
        <v/>
      </c>
      <c r="O206" s="20" t="str">
        <f t="shared" si="33"/>
        <v/>
      </c>
      <c r="P206" s="31" t="str">
        <f t="shared" si="34"/>
        <v/>
      </c>
      <c r="Q206" s="32" t="str">
        <f t="shared" si="35"/>
        <v/>
      </c>
      <c r="R206" t="str">
        <f t="shared" si="36"/>
        <v/>
      </c>
      <c r="S206" s="20" t="str">
        <f t="shared" si="37"/>
        <v/>
      </c>
      <c r="T206" s="20"/>
      <c r="U206" t="str">
        <f t="shared" si="38"/>
        <v/>
      </c>
      <c r="V206" s="20"/>
      <c r="W206" s="20" t="str">
        <f t="shared" si="39"/>
        <v/>
      </c>
      <c r="X206" s="25"/>
      <c r="Y206" s="25"/>
    </row>
    <row r="207" spans="1:25" x14ac:dyDescent="0.25">
      <c r="A207">
        <v>204</v>
      </c>
      <c r="B207" s="25"/>
      <c r="D207" s="30"/>
      <c r="G207" s="30"/>
      <c r="H207" t="str">
        <f t="shared" si="30"/>
        <v/>
      </c>
      <c r="J207" s="20"/>
      <c r="K207" s="20"/>
      <c r="L207" s="20" t="str">
        <f t="shared" si="31"/>
        <v/>
      </c>
      <c r="M207" s="30"/>
      <c r="N207" s="26" t="str">
        <f t="shared" si="32"/>
        <v/>
      </c>
      <c r="O207" s="20" t="str">
        <f t="shared" si="33"/>
        <v/>
      </c>
      <c r="P207" s="31" t="str">
        <f t="shared" si="34"/>
        <v/>
      </c>
      <c r="Q207" s="32" t="str">
        <f t="shared" si="35"/>
        <v/>
      </c>
      <c r="R207" t="str">
        <f t="shared" si="36"/>
        <v/>
      </c>
      <c r="S207" s="20" t="str">
        <f t="shared" si="37"/>
        <v/>
      </c>
      <c r="T207" s="20"/>
      <c r="U207" t="str">
        <f t="shared" si="38"/>
        <v/>
      </c>
      <c r="V207" s="20"/>
      <c r="W207" s="20" t="str">
        <f t="shared" si="39"/>
        <v/>
      </c>
      <c r="X207" s="25"/>
      <c r="Y207" s="25"/>
    </row>
    <row r="208" spans="1:25" x14ac:dyDescent="0.25">
      <c r="A208">
        <v>205</v>
      </c>
      <c r="B208" s="25"/>
      <c r="D208" s="30"/>
      <c r="G208" s="30"/>
      <c r="H208" t="str">
        <f t="shared" si="30"/>
        <v/>
      </c>
      <c r="J208" s="20"/>
      <c r="K208" s="20"/>
      <c r="L208" s="20" t="str">
        <f t="shared" si="31"/>
        <v/>
      </c>
      <c r="M208" s="30"/>
      <c r="N208" s="26" t="str">
        <f t="shared" si="32"/>
        <v/>
      </c>
      <c r="O208" s="20" t="str">
        <f t="shared" si="33"/>
        <v/>
      </c>
      <c r="P208" s="31" t="str">
        <f t="shared" si="34"/>
        <v/>
      </c>
      <c r="Q208" s="32" t="str">
        <f t="shared" si="35"/>
        <v/>
      </c>
      <c r="R208" t="str">
        <f t="shared" si="36"/>
        <v/>
      </c>
      <c r="S208" s="20" t="str">
        <f t="shared" si="37"/>
        <v/>
      </c>
      <c r="T208" s="20"/>
      <c r="U208" t="str">
        <f t="shared" si="38"/>
        <v/>
      </c>
      <c r="V208" s="20"/>
      <c r="W208" s="20" t="str">
        <f t="shared" si="39"/>
        <v/>
      </c>
      <c r="X208" s="25"/>
      <c r="Y208" s="25"/>
    </row>
    <row r="209" spans="1:25" x14ac:dyDescent="0.25">
      <c r="A209">
        <v>206</v>
      </c>
      <c r="B209" s="25"/>
      <c r="D209" s="30"/>
      <c r="G209" s="30"/>
      <c r="H209" t="str">
        <f t="shared" si="30"/>
        <v/>
      </c>
      <c r="J209" s="20"/>
      <c r="K209" s="20"/>
      <c r="L209" s="20" t="str">
        <f t="shared" si="31"/>
        <v/>
      </c>
      <c r="M209" s="30"/>
      <c r="N209" s="26" t="str">
        <f t="shared" si="32"/>
        <v/>
      </c>
      <c r="O209" s="20" t="str">
        <f t="shared" si="33"/>
        <v/>
      </c>
      <c r="P209" s="31" t="str">
        <f t="shared" si="34"/>
        <v/>
      </c>
      <c r="Q209" s="32" t="str">
        <f t="shared" si="35"/>
        <v/>
      </c>
      <c r="R209" t="str">
        <f t="shared" si="36"/>
        <v/>
      </c>
      <c r="S209" s="20" t="str">
        <f t="shared" si="37"/>
        <v/>
      </c>
      <c r="T209" s="20"/>
      <c r="U209" t="str">
        <f t="shared" si="38"/>
        <v/>
      </c>
      <c r="V209" s="20"/>
      <c r="W209" s="20" t="str">
        <f t="shared" si="39"/>
        <v/>
      </c>
      <c r="X209" s="25"/>
      <c r="Y209" s="25"/>
    </row>
    <row r="210" spans="1:25" x14ac:dyDescent="0.25">
      <c r="A210">
        <v>207</v>
      </c>
      <c r="B210" s="25"/>
      <c r="D210" s="30"/>
      <c r="G210" s="30"/>
      <c r="H210" t="str">
        <f t="shared" si="30"/>
        <v/>
      </c>
      <c r="J210" s="20"/>
      <c r="K210" s="20"/>
      <c r="L210" s="20" t="str">
        <f t="shared" si="31"/>
        <v/>
      </c>
      <c r="M210" s="30"/>
      <c r="N210" s="26" t="str">
        <f t="shared" si="32"/>
        <v/>
      </c>
      <c r="O210" s="20" t="str">
        <f t="shared" si="33"/>
        <v/>
      </c>
      <c r="P210" s="31" t="str">
        <f t="shared" si="34"/>
        <v/>
      </c>
      <c r="Q210" s="32" t="str">
        <f t="shared" si="35"/>
        <v/>
      </c>
      <c r="R210" t="str">
        <f t="shared" si="36"/>
        <v/>
      </c>
      <c r="S210" s="20" t="str">
        <f t="shared" si="37"/>
        <v/>
      </c>
      <c r="T210" s="20"/>
      <c r="U210" t="str">
        <f t="shared" si="38"/>
        <v/>
      </c>
      <c r="V210" s="20"/>
      <c r="W210" s="20" t="str">
        <f t="shared" si="39"/>
        <v/>
      </c>
      <c r="X210" s="25"/>
      <c r="Y210" s="25"/>
    </row>
    <row r="211" spans="1:25" x14ac:dyDescent="0.25">
      <c r="A211">
        <v>208</v>
      </c>
      <c r="B211" s="25"/>
      <c r="D211" s="30"/>
      <c r="G211" s="30"/>
      <c r="H211" t="str">
        <f t="shared" si="30"/>
        <v/>
      </c>
      <c r="J211" s="20"/>
      <c r="K211" s="20"/>
      <c r="L211" s="20" t="str">
        <f t="shared" si="31"/>
        <v/>
      </c>
      <c r="M211" s="30"/>
      <c r="N211" s="26" t="str">
        <f t="shared" si="32"/>
        <v/>
      </c>
      <c r="O211" s="20" t="str">
        <f t="shared" si="33"/>
        <v/>
      </c>
      <c r="P211" s="31" t="str">
        <f t="shared" si="34"/>
        <v/>
      </c>
      <c r="Q211" s="32" t="str">
        <f t="shared" si="35"/>
        <v/>
      </c>
      <c r="R211" t="str">
        <f t="shared" si="36"/>
        <v/>
      </c>
      <c r="S211" s="20" t="str">
        <f t="shared" si="37"/>
        <v/>
      </c>
      <c r="T211" s="20"/>
      <c r="U211" t="str">
        <f t="shared" si="38"/>
        <v/>
      </c>
      <c r="V211" s="20"/>
      <c r="W211" s="20" t="str">
        <f t="shared" si="39"/>
        <v/>
      </c>
      <c r="X211" s="25"/>
      <c r="Y211" s="25"/>
    </row>
    <row r="212" spans="1:25" x14ac:dyDescent="0.25">
      <c r="A212">
        <v>209</v>
      </c>
      <c r="B212" s="25"/>
      <c r="D212" s="30"/>
      <c r="G212" s="30"/>
      <c r="H212" t="str">
        <f t="shared" si="30"/>
        <v/>
      </c>
      <c r="J212" s="20"/>
      <c r="K212" s="20"/>
      <c r="L212" s="20" t="str">
        <f t="shared" si="31"/>
        <v/>
      </c>
      <c r="M212" s="30"/>
      <c r="N212" s="26" t="str">
        <f t="shared" si="32"/>
        <v/>
      </c>
      <c r="O212" s="20" t="str">
        <f t="shared" si="33"/>
        <v/>
      </c>
      <c r="P212" s="31" t="str">
        <f t="shared" si="34"/>
        <v/>
      </c>
      <c r="Q212" s="32" t="str">
        <f t="shared" si="35"/>
        <v/>
      </c>
      <c r="R212" t="str">
        <f t="shared" si="36"/>
        <v/>
      </c>
      <c r="S212" s="20" t="str">
        <f t="shared" si="37"/>
        <v/>
      </c>
      <c r="T212" s="20"/>
      <c r="U212" t="str">
        <f t="shared" si="38"/>
        <v/>
      </c>
      <c r="V212" s="20"/>
      <c r="W212" s="20" t="str">
        <f t="shared" si="39"/>
        <v/>
      </c>
      <c r="X212" s="25"/>
      <c r="Y212" s="25"/>
    </row>
    <row r="213" spans="1:25" x14ac:dyDescent="0.25">
      <c r="A213">
        <v>210</v>
      </c>
      <c r="B213" s="25"/>
      <c r="D213" s="30"/>
      <c r="G213" s="30"/>
      <c r="H213" t="str">
        <f t="shared" si="30"/>
        <v/>
      </c>
      <c r="J213" s="20"/>
      <c r="K213" s="20"/>
      <c r="L213" s="20" t="str">
        <f t="shared" si="31"/>
        <v/>
      </c>
      <c r="M213" s="30"/>
      <c r="N213" s="26" t="str">
        <f t="shared" si="32"/>
        <v/>
      </c>
      <c r="O213" s="20" t="str">
        <f t="shared" si="33"/>
        <v/>
      </c>
      <c r="P213" s="31" t="str">
        <f t="shared" si="34"/>
        <v/>
      </c>
      <c r="Q213" s="32" t="str">
        <f t="shared" si="35"/>
        <v/>
      </c>
      <c r="R213" t="str">
        <f t="shared" si="36"/>
        <v/>
      </c>
      <c r="S213" s="20" t="str">
        <f t="shared" si="37"/>
        <v/>
      </c>
      <c r="T213" s="20"/>
      <c r="U213" t="str">
        <f t="shared" si="38"/>
        <v/>
      </c>
      <c r="V213" s="20"/>
      <c r="W213" s="20" t="str">
        <f t="shared" si="39"/>
        <v/>
      </c>
      <c r="X213" s="25"/>
      <c r="Y213" s="25"/>
    </row>
    <row r="214" spans="1:25" x14ac:dyDescent="0.25">
      <c r="A214">
        <v>211</v>
      </c>
      <c r="B214" s="25"/>
      <c r="D214" s="30"/>
      <c r="G214" s="30"/>
      <c r="H214" t="str">
        <f t="shared" si="30"/>
        <v/>
      </c>
      <c r="J214" s="20"/>
      <c r="K214" s="20"/>
      <c r="L214" s="20" t="str">
        <f t="shared" si="31"/>
        <v/>
      </c>
      <c r="M214" s="30"/>
      <c r="N214" s="26" t="str">
        <f t="shared" si="32"/>
        <v/>
      </c>
      <c r="O214" s="20" t="str">
        <f t="shared" si="33"/>
        <v/>
      </c>
      <c r="P214" s="31" t="str">
        <f t="shared" si="34"/>
        <v/>
      </c>
      <c r="Q214" s="32" t="str">
        <f t="shared" si="35"/>
        <v/>
      </c>
      <c r="R214" t="str">
        <f t="shared" si="36"/>
        <v/>
      </c>
      <c r="S214" s="20" t="str">
        <f t="shared" si="37"/>
        <v/>
      </c>
      <c r="T214" s="20"/>
      <c r="U214" t="str">
        <f t="shared" si="38"/>
        <v/>
      </c>
      <c r="V214" s="20"/>
      <c r="W214" s="20" t="str">
        <f t="shared" si="39"/>
        <v/>
      </c>
      <c r="X214" s="25"/>
      <c r="Y214" s="25"/>
    </row>
    <row r="215" spans="1:25" x14ac:dyDescent="0.25">
      <c r="A215">
        <v>212</v>
      </c>
      <c r="B215" s="25"/>
      <c r="D215" s="30"/>
      <c r="G215" s="30"/>
      <c r="H215" t="str">
        <f t="shared" si="30"/>
        <v/>
      </c>
      <c r="J215" s="20"/>
      <c r="K215" s="20"/>
      <c r="L215" s="20" t="str">
        <f t="shared" si="31"/>
        <v/>
      </c>
      <c r="M215" s="30"/>
      <c r="N215" s="26" t="str">
        <f t="shared" si="32"/>
        <v/>
      </c>
      <c r="O215" s="20" t="str">
        <f t="shared" si="33"/>
        <v/>
      </c>
      <c r="P215" s="31" t="str">
        <f t="shared" si="34"/>
        <v/>
      </c>
      <c r="Q215" s="32" t="str">
        <f t="shared" si="35"/>
        <v/>
      </c>
      <c r="R215" t="str">
        <f t="shared" si="36"/>
        <v/>
      </c>
      <c r="S215" s="20" t="str">
        <f t="shared" si="37"/>
        <v/>
      </c>
      <c r="T215" s="20"/>
      <c r="U215" t="str">
        <f t="shared" si="38"/>
        <v/>
      </c>
      <c r="V215" s="20"/>
      <c r="W215" s="20" t="str">
        <f t="shared" si="39"/>
        <v/>
      </c>
      <c r="X215" s="25"/>
      <c r="Y215" s="25"/>
    </row>
    <row r="216" spans="1:25" x14ac:dyDescent="0.25">
      <c r="A216">
        <v>213</v>
      </c>
      <c r="B216" s="25"/>
      <c r="D216" s="30"/>
      <c r="G216" s="30"/>
      <c r="H216" t="str">
        <f t="shared" si="30"/>
        <v/>
      </c>
      <c r="J216" s="20"/>
      <c r="K216" s="20"/>
      <c r="L216" s="20" t="str">
        <f t="shared" si="31"/>
        <v/>
      </c>
      <c r="M216" s="30"/>
      <c r="N216" s="26" t="str">
        <f t="shared" si="32"/>
        <v/>
      </c>
      <c r="O216" s="20" t="str">
        <f t="shared" si="33"/>
        <v/>
      </c>
      <c r="P216" s="31" t="str">
        <f t="shared" si="34"/>
        <v/>
      </c>
      <c r="Q216" s="32" t="str">
        <f t="shared" si="35"/>
        <v/>
      </c>
      <c r="R216" t="str">
        <f t="shared" si="36"/>
        <v/>
      </c>
      <c r="S216" s="20" t="str">
        <f t="shared" si="37"/>
        <v/>
      </c>
      <c r="T216" s="20"/>
      <c r="U216" t="str">
        <f t="shared" si="38"/>
        <v/>
      </c>
      <c r="V216" s="20"/>
      <c r="W216" s="20" t="str">
        <f t="shared" si="39"/>
        <v/>
      </c>
      <c r="X216" s="25"/>
      <c r="Y216" s="25"/>
    </row>
    <row r="217" spans="1:25" x14ac:dyDescent="0.25">
      <c r="A217">
        <v>214</v>
      </c>
      <c r="B217" s="25"/>
      <c r="D217" s="30"/>
      <c r="G217" s="30"/>
      <c r="H217" t="str">
        <f t="shared" si="30"/>
        <v/>
      </c>
      <c r="J217" s="20"/>
      <c r="K217" s="20"/>
      <c r="L217" s="20" t="str">
        <f t="shared" si="31"/>
        <v/>
      </c>
      <c r="M217" s="30"/>
      <c r="N217" s="26" t="str">
        <f t="shared" si="32"/>
        <v/>
      </c>
      <c r="O217" s="20" t="str">
        <f t="shared" si="33"/>
        <v/>
      </c>
      <c r="P217" s="31" t="str">
        <f t="shared" si="34"/>
        <v/>
      </c>
      <c r="Q217" s="32" t="str">
        <f t="shared" si="35"/>
        <v/>
      </c>
      <c r="R217" t="str">
        <f t="shared" si="36"/>
        <v/>
      </c>
      <c r="S217" s="20" t="str">
        <f t="shared" si="37"/>
        <v/>
      </c>
      <c r="T217" s="20"/>
      <c r="U217" t="str">
        <f t="shared" si="38"/>
        <v/>
      </c>
      <c r="V217" s="20"/>
      <c r="W217" s="20" t="str">
        <f t="shared" si="39"/>
        <v/>
      </c>
      <c r="X217" s="25"/>
      <c r="Y217" s="25"/>
    </row>
    <row r="218" spans="1:25" x14ac:dyDescent="0.25">
      <c r="A218">
        <v>215</v>
      </c>
      <c r="B218" s="25"/>
      <c r="D218" s="30"/>
      <c r="G218" s="30"/>
      <c r="H218" t="str">
        <f t="shared" si="30"/>
        <v/>
      </c>
      <c r="J218" s="20"/>
      <c r="K218" s="20"/>
      <c r="L218" s="20" t="str">
        <f t="shared" si="31"/>
        <v/>
      </c>
      <c r="M218" s="30"/>
      <c r="N218" s="26" t="str">
        <f t="shared" si="32"/>
        <v/>
      </c>
      <c r="O218" s="20" t="str">
        <f t="shared" si="33"/>
        <v/>
      </c>
      <c r="P218" s="31" t="str">
        <f t="shared" si="34"/>
        <v/>
      </c>
      <c r="Q218" s="32" t="str">
        <f t="shared" si="35"/>
        <v/>
      </c>
      <c r="R218" t="str">
        <f t="shared" si="36"/>
        <v/>
      </c>
      <c r="S218" s="20" t="str">
        <f t="shared" si="37"/>
        <v/>
      </c>
      <c r="T218" s="20"/>
      <c r="U218" t="str">
        <f t="shared" si="38"/>
        <v/>
      </c>
      <c r="V218" s="20"/>
      <c r="W218" s="20" t="str">
        <f t="shared" si="39"/>
        <v/>
      </c>
      <c r="X218" s="25"/>
      <c r="Y218" s="25"/>
    </row>
    <row r="219" spans="1:25" x14ac:dyDescent="0.25">
      <c r="A219">
        <v>216</v>
      </c>
      <c r="B219" s="25"/>
      <c r="D219" s="30"/>
      <c r="G219" s="30"/>
      <c r="H219" t="str">
        <f t="shared" si="30"/>
        <v/>
      </c>
      <c r="J219" s="20"/>
      <c r="K219" s="20"/>
      <c r="L219" s="20" t="str">
        <f t="shared" si="31"/>
        <v/>
      </c>
      <c r="M219" s="30"/>
      <c r="N219" s="26" t="str">
        <f t="shared" si="32"/>
        <v/>
      </c>
      <c r="O219" s="20" t="str">
        <f t="shared" si="33"/>
        <v/>
      </c>
      <c r="P219" s="31" t="str">
        <f t="shared" si="34"/>
        <v/>
      </c>
      <c r="Q219" s="32" t="str">
        <f t="shared" si="35"/>
        <v/>
      </c>
      <c r="R219" t="str">
        <f t="shared" si="36"/>
        <v/>
      </c>
      <c r="S219" s="20" t="str">
        <f t="shared" si="37"/>
        <v/>
      </c>
      <c r="T219" s="20"/>
      <c r="U219" t="str">
        <f t="shared" si="38"/>
        <v/>
      </c>
      <c r="V219" s="20"/>
      <c r="W219" s="20" t="str">
        <f t="shared" si="39"/>
        <v/>
      </c>
      <c r="X219" s="25"/>
      <c r="Y219" s="25"/>
    </row>
    <row r="220" spans="1:25" x14ac:dyDescent="0.25">
      <c r="A220">
        <v>217</v>
      </c>
      <c r="B220" s="25"/>
      <c r="D220" s="30"/>
      <c r="G220" s="30"/>
      <c r="H220" t="str">
        <f t="shared" si="30"/>
        <v/>
      </c>
      <c r="J220" s="20"/>
      <c r="K220" s="20"/>
      <c r="L220" s="20" t="str">
        <f t="shared" si="31"/>
        <v/>
      </c>
      <c r="M220" s="30"/>
      <c r="N220" s="26" t="str">
        <f t="shared" si="32"/>
        <v/>
      </c>
      <c r="O220" s="20" t="str">
        <f t="shared" si="33"/>
        <v/>
      </c>
      <c r="P220" s="31" t="str">
        <f t="shared" si="34"/>
        <v/>
      </c>
      <c r="Q220" s="32" t="str">
        <f t="shared" si="35"/>
        <v/>
      </c>
      <c r="R220" t="str">
        <f t="shared" si="36"/>
        <v/>
      </c>
      <c r="S220" s="20" t="str">
        <f t="shared" si="37"/>
        <v/>
      </c>
      <c r="T220" s="20"/>
      <c r="U220" t="str">
        <f t="shared" si="38"/>
        <v/>
      </c>
      <c r="V220" s="20"/>
      <c r="W220" s="20" t="str">
        <f t="shared" si="39"/>
        <v/>
      </c>
      <c r="X220" s="25"/>
      <c r="Y220" s="25"/>
    </row>
    <row r="221" spans="1:25" x14ac:dyDescent="0.25">
      <c r="A221">
        <v>218</v>
      </c>
      <c r="B221" s="25"/>
      <c r="D221" s="30"/>
      <c r="G221" s="30"/>
      <c r="H221" t="str">
        <f t="shared" si="30"/>
        <v/>
      </c>
      <c r="J221" s="20"/>
      <c r="K221" s="20"/>
      <c r="L221" s="20" t="str">
        <f t="shared" si="31"/>
        <v/>
      </c>
      <c r="M221" s="30"/>
      <c r="N221" s="26" t="str">
        <f t="shared" si="32"/>
        <v/>
      </c>
      <c r="O221" s="20" t="str">
        <f t="shared" si="33"/>
        <v/>
      </c>
      <c r="P221" s="31" t="str">
        <f t="shared" si="34"/>
        <v/>
      </c>
      <c r="Q221" s="32" t="str">
        <f t="shared" si="35"/>
        <v/>
      </c>
      <c r="R221" t="str">
        <f t="shared" si="36"/>
        <v/>
      </c>
      <c r="S221" s="20" t="str">
        <f t="shared" si="37"/>
        <v/>
      </c>
      <c r="T221" s="20"/>
      <c r="U221" t="str">
        <f t="shared" si="38"/>
        <v/>
      </c>
      <c r="V221" s="20"/>
      <c r="W221" s="20" t="str">
        <f t="shared" si="39"/>
        <v/>
      </c>
      <c r="X221" s="25"/>
      <c r="Y221" s="25"/>
    </row>
    <row r="222" spans="1:25" x14ac:dyDescent="0.25">
      <c r="A222">
        <v>219</v>
      </c>
      <c r="B222" s="25"/>
      <c r="D222" s="30"/>
      <c r="G222" s="30"/>
      <c r="H222" t="str">
        <f t="shared" si="30"/>
        <v/>
      </c>
      <c r="J222" s="20"/>
      <c r="K222" s="20"/>
      <c r="L222" s="20" t="str">
        <f t="shared" si="31"/>
        <v/>
      </c>
      <c r="M222" s="30"/>
      <c r="N222" s="26" t="str">
        <f t="shared" si="32"/>
        <v/>
      </c>
      <c r="O222" s="20" t="str">
        <f t="shared" si="33"/>
        <v/>
      </c>
      <c r="P222" s="31" t="str">
        <f t="shared" si="34"/>
        <v/>
      </c>
      <c r="Q222" s="32" t="str">
        <f t="shared" si="35"/>
        <v/>
      </c>
      <c r="R222" t="str">
        <f t="shared" si="36"/>
        <v/>
      </c>
      <c r="S222" s="20" t="str">
        <f t="shared" si="37"/>
        <v/>
      </c>
      <c r="T222" s="20"/>
      <c r="U222" t="str">
        <f t="shared" si="38"/>
        <v/>
      </c>
      <c r="V222" s="20"/>
      <c r="W222" s="20" t="str">
        <f t="shared" si="39"/>
        <v/>
      </c>
      <c r="X222" s="25"/>
      <c r="Y222" s="25"/>
    </row>
    <row r="223" spans="1:25" x14ac:dyDescent="0.25">
      <c r="A223">
        <v>220</v>
      </c>
      <c r="B223" s="25"/>
      <c r="D223" s="30"/>
      <c r="G223" s="30"/>
      <c r="H223" t="str">
        <f t="shared" si="30"/>
        <v/>
      </c>
      <c r="J223" s="20"/>
      <c r="K223" s="20"/>
      <c r="L223" s="20" t="str">
        <f t="shared" si="31"/>
        <v/>
      </c>
      <c r="M223" s="30"/>
      <c r="N223" s="26" t="str">
        <f t="shared" si="32"/>
        <v/>
      </c>
      <c r="O223" s="20" t="str">
        <f t="shared" si="33"/>
        <v/>
      </c>
      <c r="P223" s="31" t="str">
        <f t="shared" si="34"/>
        <v/>
      </c>
      <c r="Q223" s="32" t="str">
        <f t="shared" si="35"/>
        <v/>
      </c>
      <c r="R223" t="str">
        <f t="shared" si="36"/>
        <v/>
      </c>
      <c r="S223" s="20" t="str">
        <f t="shared" si="37"/>
        <v/>
      </c>
      <c r="T223" s="20"/>
      <c r="U223" t="str">
        <f t="shared" si="38"/>
        <v/>
      </c>
      <c r="V223" s="20"/>
      <c r="W223" s="20" t="str">
        <f t="shared" si="39"/>
        <v/>
      </c>
      <c r="X223" s="25"/>
      <c r="Y223" s="25"/>
    </row>
    <row r="224" spans="1:25" x14ac:dyDescent="0.25">
      <c r="A224">
        <v>221</v>
      </c>
      <c r="B224" s="25"/>
      <c r="D224" s="30"/>
      <c r="G224" s="30"/>
      <c r="H224" t="str">
        <f t="shared" si="30"/>
        <v/>
      </c>
      <c r="J224" s="20"/>
      <c r="K224" s="20"/>
      <c r="L224" s="20" t="str">
        <f t="shared" si="31"/>
        <v/>
      </c>
      <c r="M224" s="30"/>
      <c r="N224" s="26" t="str">
        <f t="shared" si="32"/>
        <v/>
      </c>
      <c r="O224" s="20" t="str">
        <f t="shared" si="33"/>
        <v/>
      </c>
      <c r="P224" s="31" t="str">
        <f t="shared" si="34"/>
        <v/>
      </c>
      <c r="Q224" s="32" t="str">
        <f t="shared" si="35"/>
        <v/>
      </c>
      <c r="R224" t="str">
        <f t="shared" si="36"/>
        <v/>
      </c>
      <c r="S224" s="20" t="str">
        <f t="shared" si="37"/>
        <v/>
      </c>
      <c r="T224" s="20"/>
      <c r="U224" t="str">
        <f t="shared" si="38"/>
        <v/>
      </c>
      <c r="V224" s="20"/>
      <c r="W224" s="20" t="str">
        <f t="shared" si="39"/>
        <v/>
      </c>
      <c r="X224" s="25"/>
      <c r="Y224" s="25"/>
    </row>
    <row r="225" spans="1:25" x14ac:dyDescent="0.25">
      <c r="A225">
        <v>222</v>
      </c>
      <c r="B225" s="25"/>
      <c r="D225" s="30"/>
      <c r="G225" s="30"/>
      <c r="H225" t="str">
        <f t="shared" si="30"/>
        <v/>
      </c>
      <c r="J225" s="20"/>
      <c r="K225" s="20"/>
      <c r="L225" s="20" t="str">
        <f t="shared" si="31"/>
        <v/>
      </c>
      <c r="M225" s="30"/>
      <c r="N225" s="26" t="str">
        <f t="shared" si="32"/>
        <v/>
      </c>
      <c r="O225" s="20" t="str">
        <f t="shared" si="33"/>
        <v/>
      </c>
      <c r="P225" s="31" t="str">
        <f t="shared" si="34"/>
        <v/>
      </c>
      <c r="Q225" s="32" t="str">
        <f t="shared" si="35"/>
        <v/>
      </c>
      <c r="R225" t="str">
        <f t="shared" si="36"/>
        <v/>
      </c>
      <c r="S225" s="20" t="str">
        <f t="shared" si="37"/>
        <v/>
      </c>
      <c r="T225" s="20"/>
      <c r="U225" t="str">
        <f t="shared" si="38"/>
        <v/>
      </c>
      <c r="V225" s="20"/>
      <c r="W225" s="20" t="str">
        <f t="shared" si="39"/>
        <v/>
      </c>
      <c r="X225" s="25"/>
      <c r="Y225" s="25"/>
    </row>
    <row r="226" spans="1:25" x14ac:dyDescent="0.25">
      <c r="A226">
        <v>223</v>
      </c>
      <c r="B226" s="25"/>
      <c r="D226" s="30"/>
      <c r="G226" s="30"/>
      <c r="H226" t="str">
        <f t="shared" si="30"/>
        <v/>
      </c>
      <c r="J226" s="20"/>
      <c r="K226" s="20"/>
      <c r="L226" s="20" t="str">
        <f t="shared" si="31"/>
        <v/>
      </c>
      <c r="M226" s="30"/>
      <c r="N226" s="26" t="str">
        <f t="shared" si="32"/>
        <v/>
      </c>
      <c r="O226" s="20" t="str">
        <f t="shared" si="33"/>
        <v/>
      </c>
      <c r="P226" s="31" t="str">
        <f t="shared" si="34"/>
        <v/>
      </c>
      <c r="Q226" s="32" t="str">
        <f t="shared" si="35"/>
        <v/>
      </c>
      <c r="R226" t="str">
        <f t="shared" si="36"/>
        <v/>
      </c>
      <c r="S226" s="20" t="str">
        <f t="shared" si="37"/>
        <v/>
      </c>
      <c r="T226" s="20"/>
      <c r="U226" t="str">
        <f t="shared" si="38"/>
        <v/>
      </c>
      <c r="V226" s="20"/>
      <c r="W226" s="20" t="str">
        <f t="shared" si="39"/>
        <v/>
      </c>
      <c r="X226" s="25"/>
      <c r="Y226" s="25"/>
    </row>
    <row r="227" spans="1:25" x14ac:dyDescent="0.25">
      <c r="A227">
        <v>224</v>
      </c>
      <c r="B227" s="25"/>
      <c r="D227" s="30"/>
      <c r="G227" s="30"/>
      <c r="H227" t="str">
        <f t="shared" si="30"/>
        <v/>
      </c>
      <c r="J227" s="20"/>
      <c r="K227" s="20"/>
      <c r="L227" s="20" t="str">
        <f t="shared" si="31"/>
        <v/>
      </c>
      <c r="M227" s="30"/>
      <c r="N227" s="26" t="str">
        <f t="shared" si="32"/>
        <v/>
      </c>
      <c r="O227" s="20" t="str">
        <f t="shared" si="33"/>
        <v/>
      </c>
      <c r="P227" s="31" t="str">
        <f t="shared" si="34"/>
        <v/>
      </c>
      <c r="Q227" s="32" t="str">
        <f t="shared" si="35"/>
        <v/>
      </c>
      <c r="R227" t="str">
        <f t="shared" si="36"/>
        <v/>
      </c>
      <c r="S227" s="20" t="str">
        <f t="shared" si="37"/>
        <v/>
      </c>
      <c r="T227" s="20"/>
      <c r="U227" t="str">
        <f t="shared" si="38"/>
        <v/>
      </c>
      <c r="V227" s="20"/>
      <c r="W227" s="20" t="str">
        <f t="shared" si="39"/>
        <v/>
      </c>
      <c r="X227" s="25"/>
      <c r="Y227" s="25"/>
    </row>
    <row r="228" spans="1:25" x14ac:dyDescent="0.25">
      <c r="A228">
        <v>225</v>
      </c>
      <c r="B228" s="25"/>
      <c r="D228" s="30"/>
      <c r="G228" s="30"/>
      <c r="H228" t="str">
        <f t="shared" si="30"/>
        <v/>
      </c>
      <c r="J228" s="20"/>
      <c r="K228" s="20"/>
      <c r="L228" s="20" t="str">
        <f t="shared" si="31"/>
        <v/>
      </c>
      <c r="M228" s="30"/>
      <c r="N228" s="26" t="str">
        <f t="shared" si="32"/>
        <v/>
      </c>
      <c r="O228" s="20" t="str">
        <f t="shared" si="33"/>
        <v/>
      </c>
      <c r="P228" s="31" t="str">
        <f t="shared" si="34"/>
        <v/>
      </c>
      <c r="Q228" s="32" t="str">
        <f t="shared" si="35"/>
        <v/>
      </c>
      <c r="R228" t="str">
        <f t="shared" si="36"/>
        <v/>
      </c>
      <c r="S228" s="20" t="str">
        <f t="shared" si="37"/>
        <v/>
      </c>
      <c r="T228" s="20"/>
      <c r="U228" t="str">
        <f t="shared" si="38"/>
        <v/>
      </c>
      <c r="V228" s="20"/>
      <c r="W228" s="20" t="str">
        <f t="shared" si="39"/>
        <v/>
      </c>
      <c r="X228" s="25"/>
      <c r="Y228" s="25"/>
    </row>
    <row r="229" spans="1:25" x14ac:dyDescent="0.25">
      <c r="A229">
        <v>226</v>
      </c>
      <c r="B229" s="25"/>
      <c r="D229" s="30"/>
      <c r="G229" s="30"/>
      <c r="H229" t="str">
        <f t="shared" si="30"/>
        <v/>
      </c>
      <c r="J229" s="20"/>
      <c r="K229" s="20"/>
      <c r="L229" s="20" t="str">
        <f t="shared" si="31"/>
        <v/>
      </c>
      <c r="M229" s="30"/>
      <c r="N229" s="26" t="str">
        <f t="shared" si="32"/>
        <v/>
      </c>
      <c r="O229" s="20" t="str">
        <f t="shared" si="33"/>
        <v/>
      </c>
      <c r="P229" s="31" t="str">
        <f t="shared" si="34"/>
        <v/>
      </c>
      <c r="Q229" s="32" t="str">
        <f t="shared" si="35"/>
        <v/>
      </c>
      <c r="R229" t="str">
        <f t="shared" si="36"/>
        <v/>
      </c>
      <c r="S229" s="20" t="str">
        <f t="shared" si="37"/>
        <v/>
      </c>
      <c r="T229" s="20"/>
      <c r="U229" t="str">
        <f t="shared" si="38"/>
        <v/>
      </c>
      <c r="V229" s="20"/>
      <c r="W229" s="20" t="str">
        <f t="shared" si="39"/>
        <v/>
      </c>
      <c r="X229" s="25"/>
      <c r="Y229" s="25"/>
    </row>
    <row r="230" spans="1:25" x14ac:dyDescent="0.25">
      <c r="A230">
        <v>227</v>
      </c>
      <c r="B230" s="25"/>
      <c r="D230" s="30"/>
      <c r="G230" s="30"/>
      <c r="H230" t="str">
        <f t="shared" si="30"/>
        <v/>
      </c>
      <c r="J230" s="20"/>
      <c r="K230" s="20"/>
      <c r="L230" s="20" t="str">
        <f t="shared" si="31"/>
        <v/>
      </c>
      <c r="M230" s="30"/>
      <c r="N230" s="26" t="str">
        <f t="shared" si="32"/>
        <v/>
      </c>
      <c r="O230" s="20" t="str">
        <f t="shared" si="33"/>
        <v/>
      </c>
      <c r="P230" s="31" t="str">
        <f t="shared" si="34"/>
        <v/>
      </c>
      <c r="Q230" s="32" t="str">
        <f t="shared" si="35"/>
        <v/>
      </c>
      <c r="R230" t="str">
        <f t="shared" si="36"/>
        <v/>
      </c>
      <c r="S230" s="20" t="str">
        <f t="shared" si="37"/>
        <v/>
      </c>
      <c r="T230" s="20"/>
      <c r="U230" t="str">
        <f t="shared" si="38"/>
        <v/>
      </c>
      <c r="V230" s="20"/>
      <c r="W230" s="20" t="str">
        <f t="shared" si="39"/>
        <v/>
      </c>
      <c r="X230" s="25"/>
      <c r="Y230" s="25"/>
    </row>
    <row r="231" spans="1:25" x14ac:dyDescent="0.25">
      <c r="A231">
        <v>228</v>
      </c>
      <c r="B231" s="25"/>
      <c r="D231" s="30"/>
      <c r="G231" s="30"/>
      <c r="H231" t="str">
        <f t="shared" si="30"/>
        <v/>
      </c>
      <c r="J231" s="20"/>
      <c r="K231" s="20"/>
      <c r="L231" s="20" t="str">
        <f t="shared" si="31"/>
        <v/>
      </c>
      <c r="M231" s="30"/>
      <c r="N231" s="26" t="str">
        <f t="shared" si="32"/>
        <v/>
      </c>
      <c r="O231" s="20" t="str">
        <f t="shared" si="33"/>
        <v/>
      </c>
      <c r="P231" s="31" t="str">
        <f t="shared" si="34"/>
        <v/>
      </c>
      <c r="Q231" s="32" t="str">
        <f t="shared" si="35"/>
        <v/>
      </c>
      <c r="R231" t="str">
        <f t="shared" si="36"/>
        <v/>
      </c>
      <c r="S231" s="20" t="str">
        <f t="shared" si="37"/>
        <v/>
      </c>
      <c r="T231" s="20"/>
      <c r="U231" t="str">
        <f t="shared" si="38"/>
        <v/>
      </c>
      <c r="V231" s="20"/>
      <c r="W231" s="20" t="str">
        <f t="shared" si="39"/>
        <v/>
      </c>
      <c r="X231" s="25"/>
      <c r="Y231" s="25"/>
    </row>
    <row r="232" spans="1:25" x14ac:dyDescent="0.25">
      <c r="A232">
        <v>229</v>
      </c>
      <c r="B232" s="25"/>
      <c r="D232" s="30"/>
      <c r="G232" s="30"/>
      <c r="H232" t="str">
        <f t="shared" si="30"/>
        <v/>
      </c>
      <c r="J232" s="20"/>
      <c r="K232" s="20"/>
      <c r="L232" s="20" t="str">
        <f t="shared" si="31"/>
        <v/>
      </c>
      <c r="M232" s="30"/>
      <c r="N232" s="26" t="str">
        <f t="shared" si="32"/>
        <v/>
      </c>
      <c r="O232" s="20" t="str">
        <f t="shared" si="33"/>
        <v/>
      </c>
      <c r="P232" s="31" t="str">
        <f t="shared" si="34"/>
        <v/>
      </c>
      <c r="Q232" s="32" t="str">
        <f t="shared" si="35"/>
        <v/>
      </c>
      <c r="R232" t="str">
        <f t="shared" si="36"/>
        <v/>
      </c>
      <c r="S232" s="20" t="str">
        <f t="shared" si="37"/>
        <v/>
      </c>
      <c r="T232" s="20"/>
      <c r="U232" t="str">
        <f t="shared" si="38"/>
        <v/>
      </c>
      <c r="V232" s="20"/>
      <c r="W232" s="20" t="str">
        <f t="shared" si="39"/>
        <v/>
      </c>
      <c r="X232" s="25"/>
      <c r="Y232" s="25"/>
    </row>
    <row r="233" spans="1:25" x14ac:dyDescent="0.25">
      <c r="A233">
        <v>230</v>
      </c>
      <c r="B233" s="25"/>
      <c r="D233" s="30"/>
      <c r="G233" s="30"/>
      <c r="H233" t="str">
        <f t="shared" si="30"/>
        <v/>
      </c>
      <c r="J233" s="20"/>
      <c r="K233" s="20"/>
      <c r="L233" s="20" t="str">
        <f t="shared" si="31"/>
        <v/>
      </c>
      <c r="M233" s="30"/>
      <c r="N233" s="26" t="str">
        <f t="shared" si="32"/>
        <v/>
      </c>
      <c r="O233" s="20" t="str">
        <f t="shared" si="33"/>
        <v/>
      </c>
      <c r="P233" s="31" t="str">
        <f t="shared" si="34"/>
        <v/>
      </c>
      <c r="Q233" s="32" t="str">
        <f t="shared" si="35"/>
        <v/>
      </c>
      <c r="R233" t="str">
        <f t="shared" si="36"/>
        <v/>
      </c>
      <c r="S233" s="20" t="str">
        <f t="shared" si="37"/>
        <v/>
      </c>
      <c r="T233" s="20"/>
      <c r="U233" t="str">
        <f t="shared" si="38"/>
        <v/>
      </c>
      <c r="V233" s="20"/>
      <c r="W233" s="20" t="str">
        <f t="shared" si="39"/>
        <v/>
      </c>
      <c r="X233" s="25"/>
      <c r="Y233" s="25"/>
    </row>
    <row r="234" spans="1:25" x14ac:dyDescent="0.25">
      <c r="A234">
        <v>231</v>
      </c>
      <c r="B234" s="25"/>
      <c r="D234" s="30"/>
      <c r="G234" s="30"/>
      <c r="H234" t="str">
        <f t="shared" si="30"/>
        <v/>
      </c>
      <c r="J234" s="20"/>
      <c r="K234" s="20"/>
      <c r="L234" s="20" t="str">
        <f t="shared" si="31"/>
        <v/>
      </c>
      <c r="M234" s="30"/>
      <c r="N234" s="26" t="str">
        <f t="shared" si="32"/>
        <v/>
      </c>
      <c r="O234" s="20" t="str">
        <f t="shared" si="33"/>
        <v/>
      </c>
      <c r="P234" s="31" t="str">
        <f t="shared" si="34"/>
        <v/>
      </c>
      <c r="Q234" s="32" t="str">
        <f t="shared" si="35"/>
        <v/>
      </c>
      <c r="R234" t="str">
        <f t="shared" si="36"/>
        <v/>
      </c>
      <c r="S234" s="20" t="str">
        <f t="shared" si="37"/>
        <v/>
      </c>
      <c r="T234" s="20"/>
      <c r="U234" t="str">
        <f t="shared" si="38"/>
        <v/>
      </c>
      <c r="V234" s="20"/>
      <c r="W234" s="20" t="str">
        <f t="shared" si="39"/>
        <v/>
      </c>
      <c r="X234" s="25"/>
      <c r="Y234" s="25"/>
    </row>
    <row r="235" spans="1:25" x14ac:dyDescent="0.25">
      <c r="A235">
        <v>232</v>
      </c>
      <c r="B235" s="25"/>
      <c r="D235" s="30"/>
      <c r="G235" s="30"/>
      <c r="H235" t="str">
        <f t="shared" si="30"/>
        <v/>
      </c>
      <c r="J235" s="20"/>
      <c r="K235" s="20"/>
      <c r="L235" s="20" t="str">
        <f t="shared" si="31"/>
        <v/>
      </c>
      <c r="M235" s="30"/>
      <c r="N235" s="26" t="str">
        <f t="shared" si="32"/>
        <v/>
      </c>
      <c r="O235" s="20" t="str">
        <f t="shared" si="33"/>
        <v/>
      </c>
      <c r="P235" s="31" t="str">
        <f t="shared" si="34"/>
        <v/>
      </c>
      <c r="Q235" s="32" t="str">
        <f t="shared" si="35"/>
        <v/>
      </c>
      <c r="R235" t="str">
        <f t="shared" si="36"/>
        <v/>
      </c>
      <c r="S235" s="20" t="str">
        <f t="shared" si="37"/>
        <v/>
      </c>
      <c r="T235" s="20"/>
      <c r="U235" t="str">
        <f t="shared" si="38"/>
        <v/>
      </c>
      <c r="V235" s="20"/>
      <c r="W235" s="20" t="str">
        <f t="shared" si="39"/>
        <v/>
      </c>
      <c r="X235" s="25"/>
      <c r="Y235" s="25"/>
    </row>
    <row r="236" spans="1:25" x14ac:dyDescent="0.25">
      <c r="A236">
        <v>233</v>
      </c>
      <c r="B236" s="25"/>
      <c r="D236" s="30"/>
      <c r="G236" s="30"/>
      <c r="H236" t="str">
        <f t="shared" si="30"/>
        <v/>
      </c>
      <c r="J236" s="20"/>
      <c r="K236" s="20"/>
      <c r="L236" s="20" t="str">
        <f t="shared" si="31"/>
        <v/>
      </c>
      <c r="M236" s="30"/>
      <c r="N236" s="26" t="str">
        <f t="shared" si="32"/>
        <v/>
      </c>
      <c r="O236" s="20" t="str">
        <f t="shared" si="33"/>
        <v/>
      </c>
      <c r="P236" s="31" t="str">
        <f t="shared" si="34"/>
        <v/>
      </c>
      <c r="Q236" s="32" t="str">
        <f t="shared" si="35"/>
        <v/>
      </c>
      <c r="R236" t="str">
        <f t="shared" si="36"/>
        <v/>
      </c>
      <c r="S236" s="20" t="str">
        <f t="shared" si="37"/>
        <v/>
      </c>
      <c r="T236" s="20"/>
      <c r="U236" t="str">
        <f t="shared" si="38"/>
        <v/>
      </c>
      <c r="V236" s="20"/>
      <c r="W236" s="20" t="str">
        <f t="shared" si="39"/>
        <v/>
      </c>
      <c r="X236" s="25"/>
      <c r="Y236" s="25"/>
    </row>
    <row r="237" spans="1:25" x14ac:dyDescent="0.25">
      <c r="A237">
        <v>234</v>
      </c>
      <c r="B237" s="25"/>
      <c r="D237" s="30"/>
      <c r="G237" s="30"/>
      <c r="H237" t="str">
        <f t="shared" si="30"/>
        <v/>
      </c>
      <c r="J237" s="20"/>
      <c r="K237" s="20"/>
      <c r="L237" s="20" t="str">
        <f t="shared" si="31"/>
        <v/>
      </c>
      <c r="M237" s="30"/>
      <c r="N237" s="26" t="str">
        <f t="shared" si="32"/>
        <v/>
      </c>
      <c r="O237" s="20" t="str">
        <f t="shared" si="33"/>
        <v/>
      </c>
      <c r="P237" s="31" t="str">
        <f t="shared" si="34"/>
        <v/>
      </c>
      <c r="Q237" s="32" t="str">
        <f t="shared" si="35"/>
        <v/>
      </c>
      <c r="R237" t="str">
        <f t="shared" si="36"/>
        <v/>
      </c>
      <c r="S237" s="20" t="str">
        <f t="shared" si="37"/>
        <v/>
      </c>
      <c r="T237" s="20"/>
      <c r="U237" t="str">
        <f t="shared" si="38"/>
        <v/>
      </c>
      <c r="V237" s="20"/>
      <c r="W237" s="20" t="str">
        <f t="shared" si="39"/>
        <v/>
      </c>
      <c r="X237" s="25"/>
      <c r="Y237" s="25"/>
    </row>
    <row r="238" spans="1:25" x14ac:dyDescent="0.25">
      <c r="A238">
        <v>235</v>
      </c>
      <c r="B238" s="25"/>
      <c r="D238" s="30"/>
      <c r="G238" s="30"/>
      <c r="H238" t="str">
        <f t="shared" si="30"/>
        <v/>
      </c>
      <c r="J238" s="20"/>
      <c r="K238" s="20"/>
      <c r="L238" s="20" t="str">
        <f t="shared" si="31"/>
        <v/>
      </c>
      <c r="M238" s="30"/>
      <c r="N238" s="26" t="str">
        <f t="shared" si="32"/>
        <v/>
      </c>
      <c r="O238" s="20" t="str">
        <f t="shared" si="33"/>
        <v/>
      </c>
      <c r="P238" s="31" t="str">
        <f t="shared" si="34"/>
        <v/>
      </c>
      <c r="Q238" s="32" t="str">
        <f t="shared" si="35"/>
        <v/>
      </c>
      <c r="R238" t="str">
        <f t="shared" si="36"/>
        <v/>
      </c>
      <c r="S238" s="20" t="str">
        <f t="shared" si="37"/>
        <v/>
      </c>
      <c r="T238" s="20"/>
      <c r="U238" t="str">
        <f t="shared" si="38"/>
        <v/>
      </c>
      <c r="V238" s="20"/>
      <c r="W238" s="20" t="str">
        <f t="shared" si="39"/>
        <v/>
      </c>
      <c r="X238" s="25"/>
      <c r="Y238" s="25"/>
    </row>
    <row r="239" spans="1:25" x14ac:dyDescent="0.25">
      <c r="A239">
        <v>236</v>
      </c>
      <c r="B239" s="25"/>
      <c r="D239" s="30"/>
      <c r="G239" s="30"/>
      <c r="H239" t="str">
        <f t="shared" si="30"/>
        <v/>
      </c>
      <c r="J239" s="20"/>
      <c r="K239" s="20"/>
      <c r="L239" s="20" t="str">
        <f t="shared" si="31"/>
        <v/>
      </c>
      <c r="M239" s="30"/>
      <c r="N239" s="26" t="str">
        <f t="shared" si="32"/>
        <v/>
      </c>
      <c r="O239" s="20" t="str">
        <f t="shared" si="33"/>
        <v/>
      </c>
      <c r="P239" s="31" t="str">
        <f t="shared" si="34"/>
        <v/>
      </c>
      <c r="Q239" s="32" t="str">
        <f t="shared" si="35"/>
        <v/>
      </c>
      <c r="R239" t="str">
        <f t="shared" si="36"/>
        <v/>
      </c>
      <c r="S239" s="20" t="str">
        <f t="shared" si="37"/>
        <v/>
      </c>
      <c r="T239" s="20"/>
      <c r="U239" t="str">
        <f t="shared" si="38"/>
        <v/>
      </c>
      <c r="V239" s="20"/>
      <c r="W239" s="20" t="str">
        <f t="shared" si="39"/>
        <v/>
      </c>
      <c r="X239" s="25"/>
      <c r="Y239" s="25"/>
    </row>
    <row r="240" spans="1:25" x14ac:dyDescent="0.25">
      <c r="A240">
        <v>237</v>
      </c>
      <c r="B240" s="25"/>
      <c r="D240" s="30"/>
      <c r="G240" s="30"/>
      <c r="H240" t="str">
        <f t="shared" si="30"/>
        <v/>
      </c>
      <c r="J240" s="20"/>
      <c r="K240" s="20"/>
      <c r="L240" s="20" t="str">
        <f t="shared" si="31"/>
        <v/>
      </c>
      <c r="M240" s="30"/>
      <c r="N240" s="26" t="str">
        <f t="shared" si="32"/>
        <v/>
      </c>
      <c r="O240" s="20" t="str">
        <f t="shared" si="33"/>
        <v/>
      </c>
      <c r="P240" s="31" t="str">
        <f t="shared" si="34"/>
        <v/>
      </c>
      <c r="Q240" s="32" t="str">
        <f t="shared" si="35"/>
        <v/>
      </c>
      <c r="R240" t="str">
        <f t="shared" si="36"/>
        <v/>
      </c>
      <c r="S240" s="20" t="str">
        <f t="shared" si="37"/>
        <v/>
      </c>
      <c r="T240" s="20"/>
      <c r="U240" t="str">
        <f t="shared" si="38"/>
        <v/>
      </c>
      <c r="V240" s="20"/>
      <c r="W240" s="20" t="str">
        <f t="shared" si="39"/>
        <v/>
      </c>
      <c r="X240" s="25"/>
      <c r="Y240" s="25"/>
    </row>
    <row r="241" spans="1:25" x14ac:dyDescent="0.25">
      <c r="A241">
        <v>238</v>
      </c>
      <c r="B241" s="25"/>
      <c r="D241" s="30"/>
      <c r="G241" s="30"/>
      <c r="H241" t="str">
        <f t="shared" si="30"/>
        <v/>
      </c>
      <c r="J241" s="20"/>
      <c r="K241" s="20"/>
      <c r="L241" s="20" t="str">
        <f t="shared" si="31"/>
        <v/>
      </c>
      <c r="M241" s="30"/>
      <c r="N241" s="26" t="str">
        <f t="shared" si="32"/>
        <v/>
      </c>
      <c r="O241" s="20" t="str">
        <f t="shared" si="33"/>
        <v/>
      </c>
      <c r="P241" s="31" t="str">
        <f t="shared" si="34"/>
        <v/>
      </c>
      <c r="Q241" s="32" t="str">
        <f t="shared" si="35"/>
        <v/>
      </c>
      <c r="R241" t="str">
        <f t="shared" si="36"/>
        <v/>
      </c>
      <c r="S241" s="20" t="str">
        <f t="shared" si="37"/>
        <v/>
      </c>
      <c r="T241" s="20"/>
      <c r="U241" t="str">
        <f t="shared" si="38"/>
        <v/>
      </c>
      <c r="V241" s="20"/>
      <c r="W241" s="20" t="str">
        <f t="shared" si="39"/>
        <v/>
      </c>
      <c r="X241" s="25"/>
      <c r="Y241" s="25"/>
    </row>
    <row r="242" spans="1:25" x14ac:dyDescent="0.25">
      <c r="A242">
        <v>239</v>
      </c>
      <c r="B242" s="25"/>
      <c r="D242" s="30"/>
      <c r="G242" s="30"/>
      <c r="H242" t="str">
        <f t="shared" si="30"/>
        <v/>
      </c>
      <c r="J242" s="20"/>
      <c r="K242" s="20"/>
      <c r="L242" s="20" t="str">
        <f t="shared" si="31"/>
        <v/>
      </c>
      <c r="M242" s="30"/>
      <c r="N242" s="26" t="str">
        <f t="shared" si="32"/>
        <v/>
      </c>
      <c r="O242" s="20" t="str">
        <f t="shared" si="33"/>
        <v/>
      </c>
      <c r="P242" s="31" t="str">
        <f t="shared" si="34"/>
        <v/>
      </c>
      <c r="Q242" s="32" t="str">
        <f t="shared" si="35"/>
        <v/>
      </c>
      <c r="R242" t="str">
        <f t="shared" si="36"/>
        <v/>
      </c>
      <c r="S242" s="20" t="str">
        <f t="shared" si="37"/>
        <v/>
      </c>
      <c r="T242" s="20"/>
      <c r="U242" t="str">
        <f t="shared" si="38"/>
        <v/>
      </c>
      <c r="V242" s="20"/>
      <c r="W242" s="20" t="str">
        <f t="shared" si="39"/>
        <v/>
      </c>
      <c r="X242" s="25"/>
      <c r="Y242" s="25"/>
    </row>
    <row r="243" spans="1:25" x14ac:dyDescent="0.25">
      <c r="A243">
        <v>240</v>
      </c>
      <c r="B243" s="25"/>
      <c r="D243" s="30"/>
      <c r="G243" s="30"/>
      <c r="H243" t="str">
        <f t="shared" si="30"/>
        <v/>
      </c>
      <c r="J243" s="20"/>
      <c r="K243" s="20"/>
      <c r="L243" s="20" t="str">
        <f t="shared" si="31"/>
        <v/>
      </c>
      <c r="M243" s="30"/>
      <c r="N243" s="26" t="str">
        <f t="shared" si="32"/>
        <v/>
      </c>
      <c r="O243" s="20" t="str">
        <f t="shared" si="33"/>
        <v/>
      </c>
      <c r="P243" s="31" t="str">
        <f t="shared" si="34"/>
        <v/>
      </c>
      <c r="Q243" s="32" t="str">
        <f t="shared" si="35"/>
        <v/>
      </c>
      <c r="R243" t="str">
        <f t="shared" si="36"/>
        <v/>
      </c>
      <c r="S243" s="20" t="str">
        <f t="shared" si="37"/>
        <v/>
      </c>
      <c r="T243" s="20"/>
      <c r="U243" t="str">
        <f t="shared" si="38"/>
        <v/>
      </c>
      <c r="V243" s="20"/>
      <c r="W243" s="20" t="str">
        <f t="shared" si="39"/>
        <v/>
      </c>
      <c r="X243" s="25"/>
      <c r="Y243" s="25"/>
    </row>
    <row r="244" spans="1:25" x14ac:dyDescent="0.25">
      <c r="A244">
        <v>241</v>
      </c>
      <c r="B244" s="25"/>
      <c r="D244" s="30"/>
      <c r="G244" s="30"/>
      <c r="H244" t="str">
        <f t="shared" si="30"/>
        <v/>
      </c>
      <c r="J244" s="20"/>
      <c r="K244" s="20"/>
      <c r="L244" s="20" t="str">
        <f t="shared" si="31"/>
        <v/>
      </c>
      <c r="M244" s="30"/>
      <c r="N244" s="26" t="str">
        <f t="shared" si="32"/>
        <v/>
      </c>
      <c r="O244" s="20" t="str">
        <f t="shared" si="33"/>
        <v/>
      </c>
      <c r="P244" s="31" t="str">
        <f t="shared" si="34"/>
        <v/>
      </c>
      <c r="Q244" s="32" t="str">
        <f t="shared" si="35"/>
        <v/>
      </c>
      <c r="R244" t="str">
        <f t="shared" si="36"/>
        <v/>
      </c>
      <c r="S244" s="20" t="str">
        <f t="shared" si="37"/>
        <v/>
      </c>
      <c r="T244" s="20"/>
      <c r="U244" t="str">
        <f t="shared" si="38"/>
        <v/>
      </c>
      <c r="V244" s="20"/>
      <c r="W244" s="20" t="str">
        <f t="shared" si="39"/>
        <v/>
      </c>
      <c r="X244" s="25"/>
      <c r="Y244" s="25"/>
    </row>
    <row r="245" spans="1:25" x14ac:dyDescent="0.25">
      <c r="A245">
        <v>242</v>
      </c>
      <c r="B245" s="25"/>
      <c r="D245" s="30"/>
      <c r="G245" s="30"/>
      <c r="H245" t="str">
        <f t="shared" si="30"/>
        <v/>
      </c>
      <c r="J245" s="20"/>
      <c r="K245" s="20"/>
      <c r="L245" s="20" t="str">
        <f t="shared" si="31"/>
        <v/>
      </c>
      <c r="M245" s="30"/>
      <c r="N245" s="26" t="str">
        <f t="shared" si="32"/>
        <v/>
      </c>
      <c r="O245" s="20" t="str">
        <f t="shared" si="33"/>
        <v/>
      </c>
      <c r="P245" s="31" t="str">
        <f t="shared" si="34"/>
        <v/>
      </c>
      <c r="Q245" s="32" t="str">
        <f t="shared" si="35"/>
        <v/>
      </c>
      <c r="R245" t="str">
        <f t="shared" si="36"/>
        <v/>
      </c>
      <c r="S245" s="20" t="str">
        <f t="shared" si="37"/>
        <v/>
      </c>
      <c r="T245" s="20"/>
      <c r="U245" t="str">
        <f t="shared" si="38"/>
        <v/>
      </c>
      <c r="V245" s="20"/>
      <c r="W245" s="20" t="str">
        <f t="shared" si="39"/>
        <v/>
      </c>
      <c r="X245" s="25"/>
      <c r="Y245" s="25"/>
    </row>
    <row r="246" spans="1:25" x14ac:dyDescent="0.25">
      <c r="A246">
        <v>243</v>
      </c>
      <c r="B246" s="25"/>
      <c r="D246" s="30"/>
      <c r="G246" s="30"/>
      <c r="H246" t="str">
        <f t="shared" si="30"/>
        <v/>
      </c>
      <c r="J246" s="20"/>
      <c r="K246" s="20"/>
      <c r="L246" s="20" t="str">
        <f t="shared" si="31"/>
        <v/>
      </c>
      <c r="M246" s="30"/>
      <c r="N246" s="26" t="str">
        <f t="shared" si="32"/>
        <v/>
      </c>
      <c r="O246" s="20" t="str">
        <f t="shared" si="33"/>
        <v/>
      </c>
      <c r="P246" s="31" t="str">
        <f t="shared" si="34"/>
        <v/>
      </c>
      <c r="Q246" s="32" t="str">
        <f t="shared" si="35"/>
        <v/>
      </c>
      <c r="R246" t="str">
        <f t="shared" si="36"/>
        <v/>
      </c>
      <c r="S246" s="20" t="str">
        <f t="shared" si="37"/>
        <v/>
      </c>
      <c r="T246" s="20"/>
      <c r="U246" t="str">
        <f t="shared" si="38"/>
        <v/>
      </c>
      <c r="V246" s="20"/>
      <c r="W246" s="20" t="str">
        <f t="shared" si="39"/>
        <v/>
      </c>
      <c r="X246" s="25"/>
      <c r="Y246" s="25"/>
    </row>
    <row r="247" spans="1:25" x14ac:dyDescent="0.25">
      <c r="A247">
        <v>244</v>
      </c>
      <c r="B247" s="25"/>
      <c r="D247" s="30"/>
      <c r="G247" s="30"/>
      <c r="H247" t="str">
        <f t="shared" si="30"/>
        <v/>
      </c>
      <c r="J247" s="20"/>
      <c r="K247" s="20"/>
      <c r="L247" s="20" t="str">
        <f t="shared" si="31"/>
        <v/>
      </c>
      <c r="M247" s="30"/>
      <c r="N247" s="26" t="str">
        <f t="shared" si="32"/>
        <v/>
      </c>
      <c r="O247" s="20" t="str">
        <f t="shared" si="33"/>
        <v/>
      </c>
      <c r="P247" s="31" t="str">
        <f t="shared" si="34"/>
        <v/>
      </c>
      <c r="Q247" s="32" t="str">
        <f t="shared" si="35"/>
        <v/>
      </c>
      <c r="R247" t="str">
        <f t="shared" si="36"/>
        <v/>
      </c>
      <c r="S247" s="20" t="str">
        <f t="shared" si="37"/>
        <v/>
      </c>
      <c r="T247" s="20"/>
      <c r="U247" t="str">
        <f t="shared" si="38"/>
        <v/>
      </c>
      <c r="V247" s="20"/>
      <c r="W247" s="20" t="str">
        <f t="shared" si="39"/>
        <v/>
      </c>
      <c r="X247" s="25"/>
      <c r="Y247" s="25"/>
    </row>
    <row r="248" spans="1:25" x14ac:dyDescent="0.25">
      <c r="A248">
        <v>245</v>
      </c>
      <c r="B248" s="25"/>
      <c r="D248" s="30"/>
      <c r="G248" s="30"/>
      <c r="H248" t="str">
        <f t="shared" si="30"/>
        <v/>
      </c>
      <c r="J248" s="20"/>
      <c r="K248" s="20"/>
      <c r="L248" s="20" t="str">
        <f t="shared" si="31"/>
        <v/>
      </c>
      <c r="M248" s="30"/>
      <c r="N248" s="26" t="str">
        <f t="shared" si="32"/>
        <v/>
      </c>
      <c r="O248" s="20" t="str">
        <f t="shared" si="33"/>
        <v/>
      </c>
      <c r="P248" s="31" t="str">
        <f t="shared" si="34"/>
        <v/>
      </c>
      <c r="Q248" s="32" t="str">
        <f t="shared" si="35"/>
        <v/>
      </c>
      <c r="R248" t="str">
        <f t="shared" si="36"/>
        <v/>
      </c>
      <c r="S248" s="20" t="str">
        <f t="shared" si="37"/>
        <v/>
      </c>
      <c r="T248" s="20"/>
      <c r="U248" t="str">
        <f t="shared" si="38"/>
        <v/>
      </c>
      <c r="V248" s="20"/>
      <c r="W248" s="20" t="str">
        <f t="shared" si="39"/>
        <v/>
      </c>
      <c r="X248" s="25"/>
      <c r="Y248" s="25"/>
    </row>
    <row r="249" spans="1:25" x14ac:dyDescent="0.25">
      <c r="A249">
        <v>246</v>
      </c>
      <c r="B249" s="25"/>
      <c r="D249" s="30"/>
      <c r="G249" s="30"/>
      <c r="H249" t="str">
        <f t="shared" si="30"/>
        <v/>
      </c>
      <c r="J249" s="20"/>
      <c r="K249" s="20"/>
      <c r="L249" s="20" t="str">
        <f t="shared" si="31"/>
        <v/>
      </c>
      <c r="M249" s="30"/>
      <c r="N249" s="26" t="str">
        <f t="shared" si="32"/>
        <v/>
      </c>
      <c r="O249" s="20" t="str">
        <f t="shared" si="33"/>
        <v/>
      </c>
      <c r="P249" s="31" t="str">
        <f t="shared" si="34"/>
        <v/>
      </c>
      <c r="Q249" s="32" t="str">
        <f t="shared" si="35"/>
        <v/>
      </c>
      <c r="R249" t="str">
        <f t="shared" si="36"/>
        <v/>
      </c>
      <c r="S249" s="20" t="str">
        <f t="shared" si="37"/>
        <v/>
      </c>
      <c r="T249" s="20"/>
      <c r="U249" t="str">
        <f t="shared" si="38"/>
        <v/>
      </c>
      <c r="V249" s="20"/>
      <c r="W249" s="20" t="str">
        <f t="shared" si="39"/>
        <v/>
      </c>
      <c r="X249" s="25"/>
      <c r="Y249" s="25"/>
    </row>
    <row r="250" spans="1:25" x14ac:dyDescent="0.25">
      <c r="A250">
        <v>247</v>
      </c>
      <c r="B250" s="25"/>
      <c r="D250" s="30"/>
      <c r="G250" s="30"/>
      <c r="H250" t="str">
        <f t="shared" si="30"/>
        <v/>
      </c>
      <c r="J250" s="20"/>
      <c r="K250" s="20"/>
      <c r="L250" s="20" t="str">
        <f t="shared" si="31"/>
        <v/>
      </c>
      <c r="M250" s="30"/>
      <c r="N250" s="26" t="str">
        <f t="shared" si="32"/>
        <v/>
      </c>
      <c r="O250" s="20" t="str">
        <f t="shared" si="33"/>
        <v/>
      </c>
      <c r="P250" s="31" t="str">
        <f t="shared" si="34"/>
        <v/>
      </c>
      <c r="Q250" s="32" t="str">
        <f t="shared" si="35"/>
        <v/>
      </c>
      <c r="R250" t="str">
        <f t="shared" si="36"/>
        <v/>
      </c>
      <c r="S250" s="20" t="str">
        <f t="shared" si="37"/>
        <v/>
      </c>
      <c r="T250" s="20"/>
      <c r="U250" t="str">
        <f t="shared" si="38"/>
        <v/>
      </c>
      <c r="V250" s="20"/>
      <c r="W250" s="20" t="str">
        <f t="shared" si="39"/>
        <v/>
      </c>
      <c r="X250" s="25"/>
      <c r="Y250" s="25"/>
    </row>
    <row r="251" spans="1:25" x14ac:dyDescent="0.25">
      <c r="A251">
        <v>248</v>
      </c>
      <c r="B251" s="25"/>
      <c r="D251" s="30"/>
      <c r="G251" s="30"/>
      <c r="H251" t="str">
        <f t="shared" si="30"/>
        <v/>
      </c>
      <c r="J251" s="20"/>
      <c r="K251" s="20"/>
      <c r="L251" s="20" t="str">
        <f t="shared" si="31"/>
        <v/>
      </c>
      <c r="M251" s="30"/>
      <c r="N251" s="26" t="str">
        <f t="shared" si="32"/>
        <v/>
      </c>
      <c r="O251" s="20" t="str">
        <f t="shared" si="33"/>
        <v/>
      </c>
      <c r="P251" s="31" t="str">
        <f t="shared" si="34"/>
        <v/>
      </c>
      <c r="Q251" s="32" t="str">
        <f t="shared" si="35"/>
        <v/>
      </c>
      <c r="R251" t="str">
        <f t="shared" si="36"/>
        <v/>
      </c>
      <c r="S251" s="20" t="str">
        <f t="shared" si="37"/>
        <v/>
      </c>
      <c r="T251" s="20"/>
      <c r="U251" t="str">
        <f t="shared" si="38"/>
        <v/>
      </c>
      <c r="V251" s="20"/>
      <c r="W251" s="20" t="str">
        <f t="shared" si="39"/>
        <v/>
      </c>
      <c r="X251" s="25"/>
      <c r="Y251" s="25"/>
    </row>
    <row r="252" spans="1:25" x14ac:dyDescent="0.25">
      <c r="A252">
        <v>249</v>
      </c>
      <c r="B252" s="25"/>
      <c r="D252" s="30"/>
      <c r="G252" s="30"/>
      <c r="H252" t="str">
        <f t="shared" si="30"/>
        <v/>
      </c>
      <c r="J252" s="20"/>
      <c r="K252" s="20"/>
      <c r="L252" s="20" t="str">
        <f t="shared" si="31"/>
        <v/>
      </c>
      <c r="M252" s="30"/>
      <c r="N252" s="26" t="str">
        <f t="shared" si="32"/>
        <v/>
      </c>
      <c r="O252" s="20" t="str">
        <f t="shared" si="33"/>
        <v/>
      </c>
      <c r="P252" s="31" t="str">
        <f t="shared" si="34"/>
        <v/>
      </c>
      <c r="Q252" s="32" t="str">
        <f t="shared" si="35"/>
        <v/>
      </c>
      <c r="R252" t="str">
        <f t="shared" si="36"/>
        <v/>
      </c>
      <c r="S252" s="20" t="str">
        <f t="shared" si="37"/>
        <v/>
      </c>
      <c r="T252" s="20"/>
      <c r="U252" t="str">
        <f t="shared" si="38"/>
        <v/>
      </c>
      <c r="V252" s="20"/>
      <c r="W252" s="20" t="str">
        <f t="shared" si="39"/>
        <v/>
      </c>
      <c r="X252" s="25"/>
      <c r="Y252" s="25"/>
    </row>
    <row r="253" spans="1:25" x14ac:dyDescent="0.25">
      <c r="A253">
        <v>250</v>
      </c>
      <c r="B253" s="25"/>
      <c r="D253" s="30"/>
      <c r="G253" s="30"/>
      <c r="H253" t="str">
        <f t="shared" si="30"/>
        <v/>
      </c>
      <c r="J253" s="20"/>
      <c r="K253" s="20"/>
      <c r="L253" s="20" t="str">
        <f t="shared" si="31"/>
        <v/>
      </c>
      <c r="M253" s="30"/>
      <c r="N253" s="26" t="str">
        <f t="shared" si="32"/>
        <v/>
      </c>
      <c r="O253" s="20" t="str">
        <f t="shared" si="33"/>
        <v/>
      </c>
      <c r="P253" s="31" t="str">
        <f t="shared" si="34"/>
        <v/>
      </c>
      <c r="Q253" s="32" t="str">
        <f t="shared" si="35"/>
        <v/>
      </c>
      <c r="R253" t="str">
        <f t="shared" si="36"/>
        <v/>
      </c>
      <c r="S253" s="20" t="str">
        <f t="shared" si="37"/>
        <v/>
      </c>
      <c r="T253" s="20"/>
      <c r="U253" t="str">
        <f t="shared" si="38"/>
        <v/>
      </c>
      <c r="V253" s="20"/>
      <c r="W253" s="20" t="str">
        <f t="shared" si="39"/>
        <v/>
      </c>
      <c r="X253" s="25"/>
      <c r="Y253" s="25"/>
    </row>
    <row r="254" spans="1:25" x14ac:dyDescent="0.25">
      <c r="A254">
        <v>251</v>
      </c>
      <c r="B254" s="25"/>
      <c r="D254" s="30"/>
      <c r="G254" s="30"/>
      <c r="H254" t="str">
        <f t="shared" si="30"/>
        <v/>
      </c>
      <c r="J254" s="20"/>
      <c r="K254" s="20"/>
      <c r="L254" s="20" t="str">
        <f t="shared" si="31"/>
        <v/>
      </c>
      <c r="M254" s="30"/>
      <c r="N254" s="26" t="str">
        <f t="shared" si="32"/>
        <v/>
      </c>
      <c r="O254" s="20" t="str">
        <f t="shared" si="33"/>
        <v/>
      </c>
      <c r="P254" s="31" t="str">
        <f t="shared" si="34"/>
        <v/>
      </c>
      <c r="Q254" s="32" t="str">
        <f t="shared" si="35"/>
        <v/>
      </c>
      <c r="R254" t="str">
        <f t="shared" si="36"/>
        <v/>
      </c>
      <c r="S254" s="20" t="str">
        <f t="shared" si="37"/>
        <v/>
      </c>
      <c r="T254" s="20"/>
      <c r="U254" t="str">
        <f t="shared" si="38"/>
        <v/>
      </c>
      <c r="V254" s="20"/>
      <c r="W254" s="20" t="str">
        <f t="shared" si="39"/>
        <v/>
      </c>
      <c r="X254" s="25"/>
      <c r="Y254" s="25"/>
    </row>
    <row r="255" spans="1:25" x14ac:dyDescent="0.25">
      <c r="A255">
        <v>252</v>
      </c>
      <c r="B255" s="25"/>
      <c r="D255" s="30"/>
      <c r="G255" s="30"/>
      <c r="H255" t="str">
        <f t="shared" si="30"/>
        <v/>
      </c>
      <c r="J255" s="20"/>
      <c r="K255" s="20"/>
      <c r="L255" s="20" t="str">
        <f t="shared" si="31"/>
        <v/>
      </c>
      <c r="M255" s="30"/>
      <c r="N255" s="26" t="str">
        <f t="shared" si="32"/>
        <v/>
      </c>
      <c r="O255" s="20" t="str">
        <f t="shared" si="33"/>
        <v/>
      </c>
      <c r="P255" s="31" t="str">
        <f t="shared" si="34"/>
        <v/>
      </c>
      <c r="Q255" s="32" t="str">
        <f t="shared" si="35"/>
        <v/>
      </c>
      <c r="R255" t="str">
        <f t="shared" si="36"/>
        <v/>
      </c>
      <c r="S255" s="20" t="str">
        <f t="shared" si="37"/>
        <v/>
      </c>
      <c r="T255" s="20"/>
      <c r="U255" t="str">
        <f t="shared" si="38"/>
        <v/>
      </c>
      <c r="V255" s="20"/>
      <c r="W255" s="20" t="str">
        <f t="shared" si="39"/>
        <v/>
      </c>
      <c r="X255" s="25"/>
      <c r="Y255" s="25"/>
    </row>
    <row r="256" spans="1:25" x14ac:dyDescent="0.25">
      <c r="A256">
        <v>253</v>
      </c>
      <c r="B256" s="25"/>
      <c r="D256" s="30"/>
      <c r="G256" s="30"/>
      <c r="H256" t="str">
        <f t="shared" si="30"/>
        <v/>
      </c>
      <c r="J256" s="20"/>
      <c r="K256" s="20"/>
      <c r="L256" s="20" t="str">
        <f t="shared" si="31"/>
        <v/>
      </c>
      <c r="M256" s="30"/>
      <c r="N256" s="26" t="str">
        <f t="shared" si="32"/>
        <v/>
      </c>
      <c r="O256" s="20" t="str">
        <f t="shared" si="33"/>
        <v/>
      </c>
      <c r="P256" s="31" t="str">
        <f t="shared" si="34"/>
        <v/>
      </c>
      <c r="Q256" s="32" t="str">
        <f t="shared" si="35"/>
        <v/>
      </c>
      <c r="R256" t="str">
        <f t="shared" si="36"/>
        <v/>
      </c>
      <c r="S256" s="20" t="str">
        <f t="shared" si="37"/>
        <v/>
      </c>
      <c r="T256" s="20"/>
      <c r="U256" t="str">
        <f t="shared" si="38"/>
        <v/>
      </c>
      <c r="V256" s="20"/>
      <c r="W256" s="20" t="str">
        <f t="shared" si="39"/>
        <v/>
      </c>
      <c r="X256" s="25"/>
      <c r="Y256" s="25"/>
    </row>
    <row r="257" spans="1:25" x14ac:dyDescent="0.25">
      <c r="A257">
        <v>254</v>
      </c>
      <c r="B257" s="25"/>
      <c r="D257" s="30"/>
      <c r="G257" s="30"/>
      <c r="H257" t="str">
        <f t="shared" si="30"/>
        <v/>
      </c>
      <c r="J257" s="20"/>
      <c r="K257" s="20"/>
      <c r="L257" s="20" t="str">
        <f t="shared" si="31"/>
        <v/>
      </c>
      <c r="M257" s="30"/>
      <c r="N257" s="26" t="str">
        <f t="shared" si="32"/>
        <v/>
      </c>
      <c r="O257" s="20" t="str">
        <f t="shared" si="33"/>
        <v/>
      </c>
      <c r="P257" s="31" t="str">
        <f t="shared" si="34"/>
        <v/>
      </c>
      <c r="Q257" s="32" t="str">
        <f t="shared" si="35"/>
        <v/>
      </c>
      <c r="R257" t="str">
        <f t="shared" si="36"/>
        <v/>
      </c>
      <c r="S257" s="20" t="str">
        <f t="shared" si="37"/>
        <v/>
      </c>
      <c r="T257" s="20"/>
      <c r="U257" t="str">
        <f t="shared" si="38"/>
        <v/>
      </c>
      <c r="V257" s="20"/>
      <c r="W257" s="20" t="str">
        <f t="shared" si="39"/>
        <v/>
      </c>
      <c r="X257" s="25"/>
      <c r="Y257" s="25"/>
    </row>
    <row r="258" spans="1:25" x14ac:dyDescent="0.25">
      <c r="A258">
        <v>255</v>
      </c>
      <c r="B258" s="25"/>
      <c r="D258" s="30"/>
      <c r="G258" s="30"/>
      <c r="H258" t="str">
        <f t="shared" si="30"/>
        <v/>
      </c>
      <c r="J258" s="20"/>
      <c r="K258" s="20"/>
      <c r="L258" s="20" t="str">
        <f t="shared" si="31"/>
        <v/>
      </c>
      <c r="M258" s="30"/>
      <c r="N258" s="26" t="str">
        <f t="shared" si="32"/>
        <v/>
      </c>
      <c r="O258" s="20" t="str">
        <f t="shared" si="33"/>
        <v/>
      </c>
      <c r="P258" s="31" t="str">
        <f t="shared" si="34"/>
        <v/>
      </c>
      <c r="Q258" s="32" t="str">
        <f t="shared" si="35"/>
        <v/>
      </c>
      <c r="R258" t="str">
        <f t="shared" si="36"/>
        <v/>
      </c>
      <c r="S258" s="20" t="str">
        <f t="shared" si="37"/>
        <v/>
      </c>
      <c r="T258" s="20"/>
      <c r="U258" t="str">
        <f t="shared" si="38"/>
        <v/>
      </c>
      <c r="V258" s="20"/>
      <c r="W258" s="20" t="str">
        <f t="shared" si="39"/>
        <v/>
      </c>
      <c r="X258" s="25"/>
      <c r="Y258" s="25"/>
    </row>
    <row r="259" spans="1:25" x14ac:dyDescent="0.25">
      <c r="A259">
        <v>256</v>
      </c>
      <c r="B259" s="25"/>
      <c r="D259" s="30"/>
      <c r="G259" s="30"/>
      <c r="H259" t="str">
        <f t="shared" si="30"/>
        <v/>
      </c>
      <c r="J259" s="20"/>
      <c r="K259" s="20"/>
      <c r="L259" s="20" t="str">
        <f t="shared" si="31"/>
        <v/>
      </c>
      <c r="M259" s="30"/>
      <c r="N259" s="26" t="str">
        <f t="shared" si="32"/>
        <v/>
      </c>
      <c r="O259" s="20" t="str">
        <f t="shared" si="33"/>
        <v/>
      </c>
      <c r="P259" s="31" t="str">
        <f t="shared" si="34"/>
        <v/>
      </c>
      <c r="Q259" s="32" t="str">
        <f t="shared" si="35"/>
        <v/>
      </c>
      <c r="R259" t="str">
        <f t="shared" si="36"/>
        <v/>
      </c>
      <c r="S259" s="20" t="str">
        <f t="shared" si="37"/>
        <v/>
      </c>
      <c r="T259" s="20"/>
      <c r="U259" t="str">
        <f t="shared" si="38"/>
        <v/>
      </c>
      <c r="V259" s="20"/>
      <c r="W259" s="20" t="str">
        <f t="shared" si="39"/>
        <v/>
      </c>
      <c r="X259" s="25"/>
      <c r="Y259" s="25"/>
    </row>
    <row r="260" spans="1:25" x14ac:dyDescent="0.25">
      <c r="A260">
        <v>257</v>
      </c>
      <c r="B260" s="25"/>
      <c r="D260" s="30"/>
      <c r="G260" s="30"/>
      <c r="H260" t="str">
        <f t="shared" ref="H260:H323" si="40">IF($G260="","",IFERROR(INDEX(Catalogo_Etiquetas,MATCH($G260,Catalogo_Codigos,0)),"CODIGO NO VALIDO"))</f>
        <v/>
      </c>
      <c r="J260" s="20"/>
      <c r="K260" s="20"/>
      <c r="L260" s="20" t="str">
        <f t="shared" ref="L260:L323" si="41">IF($C260="","",$J260+$K260)</f>
        <v/>
      </c>
      <c r="M260" s="30"/>
      <c r="N260" s="26" t="str">
        <f t="shared" ref="N260:N323" si="42">IF($C260="","",IF($I260="PEN",1,IFERROR(IF(_xlfn.XLOOKUP($B260,TC_Fechas,TC_Venta_Rango,"",-1)="","",_xlfn.XLOOKUP($B260,TC_Fechas,TC_Venta_Rango,"",-1)),"")))</f>
        <v/>
      </c>
      <c r="O260" s="20" t="str">
        <f t="shared" ref="O260:O323" si="43">IF(OR($C260="",$N260=""),"",ROUND($J260*$N260,2)+ROUND($K260*$N260,2))</f>
        <v/>
      </c>
      <c r="P260" s="31" t="str">
        <f t="shared" ref="P260:P323" si="44">IF($G260="","",IFERROR(INDEX(Catalogo_Tasas,MATCH($G260,Catalogo_Codigos,0)),""))</f>
        <v/>
      </c>
      <c r="Q260" s="32" t="str">
        <f t="shared" ref="Q260:Q323" si="45">IF($G260="","",IFERROR(INDEX(Catalogo_Umbrales,MATCH($G260,Catalogo_Codigos,0)),""))</f>
        <v/>
      </c>
      <c r="R260" t="str">
        <f t="shared" ref="R260:R323" si="46">IF(OR($C260="",$P260="",$O260=""),"",IF($F260&lt;&gt;"FACTURA","NO",IF(AND($P260&gt;0,$O260&gt;$Q260),"SI","NO")))</f>
        <v/>
      </c>
      <c r="S260" s="20" t="str">
        <f t="shared" ref="S260:S323" si="47">IF($R260="SI",ROUND($O260*$P260,2),IF($C260="","",0))</f>
        <v/>
      </c>
      <c r="T260" s="20"/>
      <c r="U260" t="str">
        <f t="shared" ref="U260:U323" si="48">IF($C260="","",IF($R260&lt;&gt;"SI","",IF($T260="","SIN DATO",IF(ABS($T260-$S260)&lt;=0.5,"OK","REVISAR"))))</f>
        <v/>
      </c>
      <c r="V260" s="20"/>
      <c r="W260" s="20" t="str">
        <f t="shared" ref="W260:W323" si="49">IF(OR($C260="",$N260=""),"",IF($F260="RHE",ROUND($L260-$V260,2),ROUND($L260-($S260/$N260),2)))</f>
        <v/>
      </c>
      <c r="X260" s="25"/>
      <c r="Y260" s="25"/>
    </row>
    <row r="261" spans="1:25" x14ac:dyDescent="0.25">
      <c r="A261">
        <v>258</v>
      </c>
      <c r="B261" s="25"/>
      <c r="D261" s="30"/>
      <c r="G261" s="30"/>
      <c r="H261" t="str">
        <f t="shared" si="40"/>
        <v/>
      </c>
      <c r="J261" s="20"/>
      <c r="K261" s="20"/>
      <c r="L261" s="20" t="str">
        <f t="shared" si="41"/>
        <v/>
      </c>
      <c r="M261" s="30"/>
      <c r="N261" s="26" t="str">
        <f t="shared" si="42"/>
        <v/>
      </c>
      <c r="O261" s="20" t="str">
        <f t="shared" si="43"/>
        <v/>
      </c>
      <c r="P261" s="31" t="str">
        <f t="shared" si="44"/>
        <v/>
      </c>
      <c r="Q261" s="32" t="str">
        <f t="shared" si="45"/>
        <v/>
      </c>
      <c r="R261" t="str">
        <f t="shared" si="46"/>
        <v/>
      </c>
      <c r="S261" s="20" t="str">
        <f t="shared" si="47"/>
        <v/>
      </c>
      <c r="T261" s="20"/>
      <c r="U261" t="str">
        <f t="shared" si="48"/>
        <v/>
      </c>
      <c r="V261" s="20"/>
      <c r="W261" s="20" t="str">
        <f t="shared" si="49"/>
        <v/>
      </c>
      <c r="X261" s="25"/>
      <c r="Y261" s="25"/>
    </row>
    <row r="262" spans="1:25" x14ac:dyDescent="0.25">
      <c r="A262">
        <v>259</v>
      </c>
      <c r="B262" s="25"/>
      <c r="D262" s="30"/>
      <c r="G262" s="30"/>
      <c r="H262" t="str">
        <f t="shared" si="40"/>
        <v/>
      </c>
      <c r="J262" s="20"/>
      <c r="K262" s="20"/>
      <c r="L262" s="20" t="str">
        <f t="shared" si="41"/>
        <v/>
      </c>
      <c r="M262" s="30"/>
      <c r="N262" s="26" t="str">
        <f t="shared" si="42"/>
        <v/>
      </c>
      <c r="O262" s="20" t="str">
        <f t="shared" si="43"/>
        <v/>
      </c>
      <c r="P262" s="31" t="str">
        <f t="shared" si="44"/>
        <v/>
      </c>
      <c r="Q262" s="32" t="str">
        <f t="shared" si="45"/>
        <v/>
      </c>
      <c r="R262" t="str">
        <f t="shared" si="46"/>
        <v/>
      </c>
      <c r="S262" s="20" t="str">
        <f t="shared" si="47"/>
        <v/>
      </c>
      <c r="T262" s="20"/>
      <c r="U262" t="str">
        <f t="shared" si="48"/>
        <v/>
      </c>
      <c r="V262" s="20"/>
      <c r="W262" s="20" t="str">
        <f t="shared" si="49"/>
        <v/>
      </c>
      <c r="X262" s="25"/>
      <c r="Y262" s="25"/>
    </row>
    <row r="263" spans="1:25" x14ac:dyDescent="0.25">
      <c r="A263">
        <v>260</v>
      </c>
      <c r="B263" s="25"/>
      <c r="D263" s="30"/>
      <c r="G263" s="30"/>
      <c r="H263" t="str">
        <f t="shared" si="40"/>
        <v/>
      </c>
      <c r="J263" s="20"/>
      <c r="K263" s="20"/>
      <c r="L263" s="20" t="str">
        <f t="shared" si="41"/>
        <v/>
      </c>
      <c r="M263" s="30"/>
      <c r="N263" s="26" t="str">
        <f t="shared" si="42"/>
        <v/>
      </c>
      <c r="O263" s="20" t="str">
        <f t="shared" si="43"/>
        <v/>
      </c>
      <c r="P263" s="31" t="str">
        <f t="shared" si="44"/>
        <v/>
      </c>
      <c r="Q263" s="32" t="str">
        <f t="shared" si="45"/>
        <v/>
      </c>
      <c r="R263" t="str">
        <f t="shared" si="46"/>
        <v/>
      </c>
      <c r="S263" s="20" t="str">
        <f t="shared" si="47"/>
        <v/>
      </c>
      <c r="T263" s="20"/>
      <c r="U263" t="str">
        <f t="shared" si="48"/>
        <v/>
      </c>
      <c r="V263" s="20"/>
      <c r="W263" s="20" t="str">
        <f t="shared" si="49"/>
        <v/>
      </c>
      <c r="X263" s="25"/>
      <c r="Y263" s="25"/>
    </row>
    <row r="264" spans="1:25" x14ac:dyDescent="0.25">
      <c r="A264">
        <v>261</v>
      </c>
      <c r="B264" s="25"/>
      <c r="D264" s="30"/>
      <c r="G264" s="30"/>
      <c r="H264" t="str">
        <f t="shared" si="40"/>
        <v/>
      </c>
      <c r="J264" s="20"/>
      <c r="K264" s="20"/>
      <c r="L264" s="20" t="str">
        <f t="shared" si="41"/>
        <v/>
      </c>
      <c r="M264" s="30"/>
      <c r="N264" s="26" t="str">
        <f t="shared" si="42"/>
        <v/>
      </c>
      <c r="O264" s="20" t="str">
        <f t="shared" si="43"/>
        <v/>
      </c>
      <c r="P264" s="31" t="str">
        <f t="shared" si="44"/>
        <v/>
      </c>
      <c r="Q264" s="32" t="str">
        <f t="shared" si="45"/>
        <v/>
      </c>
      <c r="R264" t="str">
        <f t="shared" si="46"/>
        <v/>
      </c>
      <c r="S264" s="20" t="str">
        <f t="shared" si="47"/>
        <v/>
      </c>
      <c r="T264" s="20"/>
      <c r="U264" t="str">
        <f t="shared" si="48"/>
        <v/>
      </c>
      <c r="V264" s="20"/>
      <c r="W264" s="20" t="str">
        <f t="shared" si="49"/>
        <v/>
      </c>
      <c r="X264" s="25"/>
      <c r="Y264" s="25"/>
    </row>
    <row r="265" spans="1:25" x14ac:dyDescent="0.25">
      <c r="A265">
        <v>262</v>
      </c>
      <c r="B265" s="25"/>
      <c r="D265" s="30"/>
      <c r="G265" s="30"/>
      <c r="H265" t="str">
        <f t="shared" si="40"/>
        <v/>
      </c>
      <c r="J265" s="20"/>
      <c r="K265" s="20"/>
      <c r="L265" s="20" t="str">
        <f t="shared" si="41"/>
        <v/>
      </c>
      <c r="M265" s="30"/>
      <c r="N265" s="26" t="str">
        <f t="shared" si="42"/>
        <v/>
      </c>
      <c r="O265" s="20" t="str">
        <f t="shared" si="43"/>
        <v/>
      </c>
      <c r="P265" s="31" t="str">
        <f t="shared" si="44"/>
        <v/>
      </c>
      <c r="Q265" s="32" t="str">
        <f t="shared" si="45"/>
        <v/>
      </c>
      <c r="R265" t="str">
        <f t="shared" si="46"/>
        <v/>
      </c>
      <c r="S265" s="20" t="str">
        <f t="shared" si="47"/>
        <v/>
      </c>
      <c r="T265" s="20"/>
      <c r="U265" t="str">
        <f t="shared" si="48"/>
        <v/>
      </c>
      <c r="V265" s="20"/>
      <c r="W265" s="20" t="str">
        <f t="shared" si="49"/>
        <v/>
      </c>
      <c r="X265" s="25"/>
      <c r="Y265" s="25"/>
    </row>
    <row r="266" spans="1:25" x14ac:dyDescent="0.25">
      <c r="A266">
        <v>263</v>
      </c>
      <c r="B266" s="25"/>
      <c r="D266" s="30"/>
      <c r="G266" s="30"/>
      <c r="H266" t="str">
        <f t="shared" si="40"/>
        <v/>
      </c>
      <c r="J266" s="20"/>
      <c r="K266" s="20"/>
      <c r="L266" s="20" t="str">
        <f t="shared" si="41"/>
        <v/>
      </c>
      <c r="M266" s="30"/>
      <c r="N266" s="26" t="str">
        <f t="shared" si="42"/>
        <v/>
      </c>
      <c r="O266" s="20" t="str">
        <f t="shared" si="43"/>
        <v/>
      </c>
      <c r="P266" s="31" t="str">
        <f t="shared" si="44"/>
        <v/>
      </c>
      <c r="Q266" s="32" t="str">
        <f t="shared" si="45"/>
        <v/>
      </c>
      <c r="R266" t="str">
        <f t="shared" si="46"/>
        <v/>
      </c>
      <c r="S266" s="20" t="str">
        <f t="shared" si="47"/>
        <v/>
      </c>
      <c r="T266" s="20"/>
      <c r="U266" t="str">
        <f t="shared" si="48"/>
        <v/>
      </c>
      <c r="V266" s="20"/>
      <c r="W266" s="20" t="str">
        <f t="shared" si="49"/>
        <v/>
      </c>
      <c r="X266" s="25"/>
      <c r="Y266" s="25"/>
    </row>
    <row r="267" spans="1:25" x14ac:dyDescent="0.25">
      <c r="A267">
        <v>264</v>
      </c>
      <c r="B267" s="25"/>
      <c r="D267" s="30"/>
      <c r="G267" s="30"/>
      <c r="H267" t="str">
        <f t="shared" si="40"/>
        <v/>
      </c>
      <c r="J267" s="20"/>
      <c r="K267" s="20"/>
      <c r="L267" s="20" t="str">
        <f t="shared" si="41"/>
        <v/>
      </c>
      <c r="M267" s="30"/>
      <c r="N267" s="26" t="str">
        <f t="shared" si="42"/>
        <v/>
      </c>
      <c r="O267" s="20" t="str">
        <f t="shared" si="43"/>
        <v/>
      </c>
      <c r="P267" s="31" t="str">
        <f t="shared" si="44"/>
        <v/>
      </c>
      <c r="Q267" s="32" t="str">
        <f t="shared" si="45"/>
        <v/>
      </c>
      <c r="R267" t="str">
        <f t="shared" si="46"/>
        <v/>
      </c>
      <c r="S267" s="20" t="str">
        <f t="shared" si="47"/>
        <v/>
      </c>
      <c r="T267" s="20"/>
      <c r="U267" t="str">
        <f t="shared" si="48"/>
        <v/>
      </c>
      <c r="V267" s="20"/>
      <c r="W267" s="20" t="str">
        <f t="shared" si="49"/>
        <v/>
      </c>
      <c r="X267" s="25"/>
      <c r="Y267" s="25"/>
    </row>
    <row r="268" spans="1:25" x14ac:dyDescent="0.25">
      <c r="A268">
        <v>265</v>
      </c>
      <c r="B268" s="25"/>
      <c r="D268" s="30"/>
      <c r="G268" s="30"/>
      <c r="H268" t="str">
        <f t="shared" si="40"/>
        <v/>
      </c>
      <c r="J268" s="20"/>
      <c r="K268" s="20"/>
      <c r="L268" s="20" t="str">
        <f t="shared" si="41"/>
        <v/>
      </c>
      <c r="M268" s="30"/>
      <c r="N268" s="26" t="str">
        <f t="shared" si="42"/>
        <v/>
      </c>
      <c r="O268" s="20" t="str">
        <f t="shared" si="43"/>
        <v/>
      </c>
      <c r="P268" s="31" t="str">
        <f t="shared" si="44"/>
        <v/>
      </c>
      <c r="Q268" s="32" t="str">
        <f t="shared" si="45"/>
        <v/>
      </c>
      <c r="R268" t="str">
        <f t="shared" si="46"/>
        <v/>
      </c>
      <c r="S268" s="20" t="str">
        <f t="shared" si="47"/>
        <v/>
      </c>
      <c r="T268" s="20"/>
      <c r="U268" t="str">
        <f t="shared" si="48"/>
        <v/>
      </c>
      <c r="V268" s="20"/>
      <c r="W268" s="20" t="str">
        <f t="shared" si="49"/>
        <v/>
      </c>
      <c r="X268" s="25"/>
      <c r="Y268" s="25"/>
    </row>
    <row r="269" spans="1:25" x14ac:dyDescent="0.25">
      <c r="A269">
        <v>266</v>
      </c>
      <c r="B269" s="25"/>
      <c r="D269" s="30"/>
      <c r="G269" s="30"/>
      <c r="H269" t="str">
        <f t="shared" si="40"/>
        <v/>
      </c>
      <c r="J269" s="20"/>
      <c r="K269" s="20"/>
      <c r="L269" s="20" t="str">
        <f t="shared" si="41"/>
        <v/>
      </c>
      <c r="M269" s="30"/>
      <c r="N269" s="26" t="str">
        <f t="shared" si="42"/>
        <v/>
      </c>
      <c r="O269" s="20" t="str">
        <f t="shared" si="43"/>
        <v/>
      </c>
      <c r="P269" s="31" t="str">
        <f t="shared" si="44"/>
        <v/>
      </c>
      <c r="Q269" s="32" t="str">
        <f t="shared" si="45"/>
        <v/>
      </c>
      <c r="R269" t="str">
        <f t="shared" si="46"/>
        <v/>
      </c>
      <c r="S269" s="20" t="str">
        <f t="shared" si="47"/>
        <v/>
      </c>
      <c r="T269" s="20"/>
      <c r="U269" t="str">
        <f t="shared" si="48"/>
        <v/>
      </c>
      <c r="V269" s="20"/>
      <c r="W269" s="20" t="str">
        <f t="shared" si="49"/>
        <v/>
      </c>
      <c r="X269" s="25"/>
      <c r="Y269" s="25"/>
    </row>
    <row r="270" spans="1:25" x14ac:dyDescent="0.25">
      <c r="A270">
        <v>267</v>
      </c>
      <c r="B270" s="25"/>
      <c r="D270" s="30"/>
      <c r="G270" s="30"/>
      <c r="H270" t="str">
        <f t="shared" si="40"/>
        <v/>
      </c>
      <c r="J270" s="20"/>
      <c r="K270" s="20"/>
      <c r="L270" s="20" t="str">
        <f t="shared" si="41"/>
        <v/>
      </c>
      <c r="M270" s="30"/>
      <c r="N270" s="26" t="str">
        <f t="shared" si="42"/>
        <v/>
      </c>
      <c r="O270" s="20" t="str">
        <f t="shared" si="43"/>
        <v/>
      </c>
      <c r="P270" s="31" t="str">
        <f t="shared" si="44"/>
        <v/>
      </c>
      <c r="Q270" s="32" t="str">
        <f t="shared" si="45"/>
        <v/>
      </c>
      <c r="R270" t="str">
        <f t="shared" si="46"/>
        <v/>
      </c>
      <c r="S270" s="20" t="str">
        <f t="shared" si="47"/>
        <v/>
      </c>
      <c r="T270" s="20"/>
      <c r="U270" t="str">
        <f t="shared" si="48"/>
        <v/>
      </c>
      <c r="V270" s="20"/>
      <c r="W270" s="20" t="str">
        <f t="shared" si="49"/>
        <v/>
      </c>
      <c r="X270" s="25"/>
      <c r="Y270" s="25"/>
    </row>
    <row r="271" spans="1:25" x14ac:dyDescent="0.25">
      <c r="A271">
        <v>268</v>
      </c>
      <c r="B271" s="25"/>
      <c r="D271" s="30"/>
      <c r="G271" s="30"/>
      <c r="H271" t="str">
        <f t="shared" si="40"/>
        <v/>
      </c>
      <c r="J271" s="20"/>
      <c r="K271" s="20"/>
      <c r="L271" s="20" t="str">
        <f t="shared" si="41"/>
        <v/>
      </c>
      <c r="M271" s="30"/>
      <c r="N271" s="26" t="str">
        <f t="shared" si="42"/>
        <v/>
      </c>
      <c r="O271" s="20" t="str">
        <f t="shared" si="43"/>
        <v/>
      </c>
      <c r="P271" s="31" t="str">
        <f t="shared" si="44"/>
        <v/>
      </c>
      <c r="Q271" s="32" t="str">
        <f t="shared" si="45"/>
        <v/>
      </c>
      <c r="R271" t="str">
        <f t="shared" si="46"/>
        <v/>
      </c>
      <c r="S271" s="20" t="str">
        <f t="shared" si="47"/>
        <v/>
      </c>
      <c r="T271" s="20"/>
      <c r="U271" t="str">
        <f t="shared" si="48"/>
        <v/>
      </c>
      <c r="V271" s="20"/>
      <c r="W271" s="20" t="str">
        <f t="shared" si="49"/>
        <v/>
      </c>
      <c r="X271" s="25"/>
      <c r="Y271" s="25"/>
    </row>
    <row r="272" spans="1:25" x14ac:dyDescent="0.25">
      <c r="A272">
        <v>269</v>
      </c>
      <c r="B272" s="25"/>
      <c r="D272" s="30"/>
      <c r="G272" s="30"/>
      <c r="H272" t="str">
        <f t="shared" si="40"/>
        <v/>
      </c>
      <c r="J272" s="20"/>
      <c r="K272" s="20"/>
      <c r="L272" s="20" t="str">
        <f t="shared" si="41"/>
        <v/>
      </c>
      <c r="M272" s="30"/>
      <c r="N272" s="26" t="str">
        <f t="shared" si="42"/>
        <v/>
      </c>
      <c r="O272" s="20" t="str">
        <f t="shared" si="43"/>
        <v/>
      </c>
      <c r="P272" s="31" t="str">
        <f t="shared" si="44"/>
        <v/>
      </c>
      <c r="Q272" s="32" t="str">
        <f t="shared" si="45"/>
        <v/>
      </c>
      <c r="R272" t="str">
        <f t="shared" si="46"/>
        <v/>
      </c>
      <c r="S272" s="20" t="str">
        <f t="shared" si="47"/>
        <v/>
      </c>
      <c r="T272" s="20"/>
      <c r="U272" t="str">
        <f t="shared" si="48"/>
        <v/>
      </c>
      <c r="V272" s="20"/>
      <c r="W272" s="20" t="str">
        <f t="shared" si="49"/>
        <v/>
      </c>
      <c r="X272" s="25"/>
      <c r="Y272" s="25"/>
    </row>
    <row r="273" spans="1:25" x14ac:dyDescent="0.25">
      <c r="A273">
        <v>270</v>
      </c>
      <c r="B273" s="25"/>
      <c r="D273" s="30"/>
      <c r="G273" s="30"/>
      <c r="H273" t="str">
        <f t="shared" si="40"/>
        <v/>
      </c>
      <c r="J273" s="20"/>
      <c r="K273" s="20"/>
      <c r="L273" s="20" t="str">
        <f t="shared" si="41"/>
        <v/>
      </c>
      <c r="M273" s="30"/>
      <c r="N273" s="26" t="str">
        <f t="shared" si="42"/>
        <v/>
      </c>
      <c r="O273" s="20" t="str">
        <f t="shared" si="43"/>
        <v/>
      </c>
      <c r="P273" s="31" t="str">
        <f t="shared" si="44"/>
        <v/>
      </c>
      <c r="Q273" s="32" t="str">
        <f t="shared" si="45"/>
        <v/>
      </c>
      <c r="R273" t="str">
        <f t="shared" si="46"/>
        <v/>
      </c>
      <c r="S273" s="20" t="str">
        <f t="shared" si="47"/>
        <v/>
      </c>
      <c r="T273" s="20"/>
      <c r="U273" t="str">
        <f t="shared" si="48"/>
        <v/>
      </c>
      <c r="V273" s="20"/>
      <c r="W273" s="20" t="str">
        <f t="shared" si="49"/>
        <v/>
      </c>
      <c r="X273" s="25"/>
      <c r="Y273" s="25"/>
    </row>
    <row r="274" spans="1:25" x14ac:dyDescent="0.25">
      <c r="A274">
        <v>271</v>
      </c>
      <c r="B274" s="25"/>
      <c r="D274" s="30"/>
      <c r="G274" s="30"/>
      <c r="H274" t="str">
        <f t="shared" si="40"/>
        <v/>
      </c>
      <c r="J274" s="20"/>
      <c r="K274" s="20"/>
      <c r="L274" s="20" t="str">
        <f t="shared" si="41"/>
        <v/>
      </c>
      <c r="M274" s="30"/>
      <c r="N274" s="26" t="str">
        <f t="shared" si="42"/>
        <v/>
      </c>
      <c r="O274" s="20" t="str">
        <f t="shared" si="43"/>
        <v/>
      </c>
      <c r="P274" s="31" t="str">
        <f t="shared" si="44"/>
        <v/>
      </c>
      <c r="Q274" s="32" t="str">
        <f t="shared" si="45"/>
        <v/>
      </c>
      <c r="R274" t="str">
        <f t="shared" si="46"/>
        <v/>
      </c>
      <c r="S274" s="20" t="str">
        <f t="shared" si="47"/>
        <v/>
      </c>
      <c r="T274" s="20"/>
      <c r="U274" t="str">
        <f t="shared" si="48"/>
        <v/>
      </c>
      <c r="V274" s="20"/>
      <c r="W274" s="20" t="str">
        <f t="shared" si="49"/>
        <v/>
      </c>
      <c r="X274" s="25"/>
      <c r="Y274" s="25"/>
    </row>
    <row r="275" spans="1:25" x14ac:dyDescent="0.25">
      <c r="A275">
        <v>272</v>
      </c>
      <c r="B275" s="25"/>
      <c r="D275" s="30"/>
      <c r="G275" s="30"/>
      <c r="H275" t="str">
        <f t="shared" si="40"/>
        <v/>
      </c>
      <c r="J275" s="20"/>
      <c r="K275" s="20"/>
      <c r="L275" s="20" t="str">
        <f t="shared" si="41"/>
        <v/>
      </c>
      <c r="M275" s="30"/>
      <c r="N275" s="26" t="str">
        <f t="shared" si="42"/>
        <v/>
      </c>
      <c r="O275" s="20" t="str">
        <f t="shared" si="43"/>
        <v/>
      </c>
      <c r="P275" s="31" t="str">
        <f t="shared" si="44"/>
        <v/>
      </c>
      <c r="Q275" s="32" t="str">
        <f t="shared" si="45"/>
        <v/>
      </c>
      <c r="R275" t="str">
        <f t="shared" si="46"/>
        <v/>
      </c>
      <c r="S275" s="20" t="str">
        <f t="shared" si="47"/>
        <v/>
      </c>
      <c r="T275" s="20"/>
      <c r="U275" t="str">
        <f t="shared" si="48"/>
        <v/>
      </c>
      <c r="V275" s="20"/>
      <c r="W275" s="20" t="str">
        <f t="shared" si="49"/>
        <v/>
      </c>
      <c r="X275" s="25"/>
      <c r="Y275" s="25"/>
    </row>
    <row r="276" spans="1:25" x14ac:dyDescent="0.25">
      <c r="A276">
        <v>273</v>
      </c>
      <c r="B276" s="25"/>
      <c r="D276" s="30"/>
      <c r="G276" s="30"/>
      <c r="H276" t="str">
        <f t="shared" si="40"/>
        <v/>
      </c>
      <c r="J276" s="20"/>
      <c r="K276" s="20"/>
      <c r="L276" s="20" t="str">
        <f t="shared" si="41"/>
        <v/>
      </c>
      <c r="M276" s="30"/>
      <c r="N276" s="26" t="str">
        <f t="shared" si="42"/>
        <v/>
      </c>
      <c r="O276" s="20" t="str">
        <f t="shared" si="43"/>
        <v/>
      </c>
      <c r="P276" s="31" t="str">
        <f t="shared" si="44"/>
        <v/>
      </c>
      <c r="Q276" s="32" t="str">
        <f t="shared" si="45"/>
        <v/>
      </c>
      <c r="R276" t="str">
        <f t="shared" si="46"/>
        <v/>
      </c>
      <c r="S276" s="20" t="str">
        <f t="shared" si="47"/>
        <v/>
      </c>
      <c r="T276" s="20"/>
      <c r="U276" t="str">
        <f t="shared" si="48"/>
        <v/>
      </c>
      <c r="V276" s="20"/>
      <c r="W276" s="20" t="str">
        <f t="shared" si="49"/>
        <v/>
      </c>
      <c r="X276" s="25"/>
      <c r="Y276" s="25"/>
    </row>
    <row r="277" spans="1:25" x14ac:dyDescent="0.25">
      <c r="A277">
        <v>274</v>
      </c>
      <c r="B277" s="25"/>
      <c r="D277" s="30"/>
      <c r="G277" s="30"/>
      <c r="H277" t="str">
        <f t="shared" si="40"/>
        <v/>
      </c>
      <c r="J277" s="20"/>
      <c r="K277" s="20"/>
      <c r="L277" s="20" t="str">
        <f t="shared" si="41"/>
        <v/>
      </c>
      <c r="M277" s="30"/>
      <c r="N277" s="26" t="str">
        <f t="shared" si="42"/>
        <v/>
      </c>
      <c r="O277" s="20" t="str">
        <f t="shared" si="43"/>
        <v/>
      </c>
      <c r="P277" s="31" t="str">
        <f t="shared" si="44"/>
        <v/>
      </c>
      <c r="Q277" s="32" t="str">
        <f t="shared" si="45"/>
        <v/>
      </c>
      <c r="R277" t="str">
        <f t="shared" si="46"/>
        <v/>
      </c>
      <c r="S277" s="20" t="str">
        <f t="shared" si="47"/>
        <v/>
      </c>
      <c r="T277" s="20"/>
      <c r="U277" t="str">
        <f t="shared" si="48"/>
        <v/>
      </c>
      <c r="V277" s="20"/>
      <c r="W277" s="20" t="str">
        <f t="shared" si="49"/>
        <v/>
      </c>
      <c r="X277" s="25"/>
      <c r="Y277" s="25"/>
    </row>
    <row r="278" spans="1:25" x14ac:dyDescent="0.25">
      <c r="A278">
        <v>275</v>
      </c>
      <c r="B278" s="25"/>
      <c r="D278" s="30"/>
      <c r="G278" s="30"/>
      <c r="H278" t="str">
        <f t="shared" si="40"/>
        <v/>
      </c>
      <c r="J278" s="20"/>
      <c r="K278" s="20"/>
      <c r="L278" s="20" t="str">
        <f t="shared" si="41"/>
        <v/>
      </c>
      <c r="M278" s="30"/>
      <c r="N278" s="26" t="str">
        <f t="shared" si="42"/>
        <v/>
      </c>
      <c r="O278" s="20" t="str">
        <f t="shared" si="43"/>
        <v/>
      </c>
      <c r="P278" s="31" t="str">
        <f t="shared" si="44"/>
        <v/>
      </c>
      <c r="Q278" s="32" t="str">
        <f t="shared" si="45"/>
        <v/>
      </c>
      <c r="R278" t="str">
        <f t="shared" si="46"/>
        <v/>
      </c>
      <c r="S278" s="20" t="str">
        <f t="shared" si="47"/>
        <v/>
      </c>
      <c r="T278" s="20"/>
      <c r="U278" t="str">
        <f t="shared" si="48"/>
        <v/>
      </c>
      <c r="V278" s="20"/>
      <c r="W278" s="20" t="str">
        <f t="shared" si="49"/>
        <v/>
      </c>
      <c r="X278" s="25"/>
      <c r="Y278" s="25"/>
    </row>
    <row r="279" spans="1:25" x14ac:dyDescent="0.25">
      <c r="A279">
        <v>276</v>
      </c>
      <c r="B279" s="25"/>
      <c r="D279" s="30"/>
      <c r="G279" s="30"/>
      <c r="H279" t="str">
        <f t="shared" si="40"/>
        <v/>
      </c>
      <c r="J279" s="20"/>
      <c r="K279" s="20"/>
      <c r="L279" s="20" t="str">
        <f t="shared" si="41"/>
        <v/>
      </c>
      <c r="M279" s="30"/>
      <c r="N279" s="26" t="str">
        <f t="shared" si="42"/>
        <v/>
      </c>
      <c r="O279" s="20" t="str">
        <f t="shared" si="43"/>
        <v/>
      </c>
      <c r="P279" s="31" t="str">
        <f t="shared" si="44"/>
        <v/>
      </c>
      <c r="Q279" s="32" t="str">
        <f t="shared" si="45"/>
        <v/>
      </c>
      <c r="R279" t="str">
        <f t="shared" si="46"/>
        <v/>
      </c>
      <c r="S279" s="20" t="str">
        <f t="shared" si="47"/>
        <v/>
      </c>
      <c r="T279" s="20"/>
      <c r="U279" t="str">
        <f t="shared" si="48"/>
        <v/>
      </c>
      <c r="V279" s="20"/>
      <c r="W279" s="20" t="str">
        <f t="shared" si="49"/>
        <v/>
      </c>
      <c r="X279" s="25"/>
      <c r="Y279" s="25"/>
    </row>
    <row r="280" spans="1:25" x14ac:dyDescent="0.25">
      <c r="A280">
        <v>277</v>
      </c>
      <c r="B280" s="25"/>
      <c r="D280" s="30"/>
      <c r="G280" s="30"/>
      <c r="H280" t="str">
        <f t="shared" si="40"/>
        <v/>
      </c>
      <c r="J280" s="20"/>
      <c r="K280" s="20"/>
      <c r="L280" s="20" t="str">
        <f t="shared" si="41"/>
        <v/>
      </c>
      <c r="M280" s="30"/>
      <c r="N280" s="26" t="str">
        <f t="shared" si="42"/>
        <v/>
      </c>
      <c r="O280" s="20" t="str">
        <f t="shared" si="43"/>
        <v/>
      </c>
      <c r="P280" s="31" t="str">
        <f t="shared" si="44"/>
        <v/>
      </c>
      <c r="Q280" s="32" t="str">
        <f t="shared" si="45"/>
        <v/>
      </c>
      <c r="R280" t="str">
        <f t="shared" si="46"/>
        <v/>
      </c>
      <c r="S280" s="20" t="str">
        <f t="shared" si="47"/>
        <v/>
      </c>
      <c r="T280" s="20"/>
      <c r="U280" t="str">
        <f t="shared" si="48"/>
        <v/>
      </c>
      <c r="V280" s="20"/>
      <c r="W280" s="20" t="str">
        <f t="shared" si="49"/>
        <v/>
      </c>
      <c r="X280" s="25"/>
      <c r="Y280" s="25"/>
    </row>
    <row r="281" spans="1:25" x14ac:dyDescent="0.25">
      <c r="A281">
        <v>278</v>
      </c>
      <c r="B281" s="25"/>
      <c r="D281" s="30"/>
      <c r="G281" s="30"/>
      <c r="H281" t="str">
        <f t="shared" si="40"/>
        <v/>
      </c>
      <c r="J281" s="20"/>
      <c r="K281" s="20"/>
      <c r="L281" s="20" t="str">
        <f t="shared" si="41"/>
        <v/>
      </c>
      <c r="M281" s="30"/>
      <c r="N281" s="26" t="str">
        <f t="shared" si="42"/>
        <v/>
      </c>
      <c r="O281" s="20" t="str">
        <f t="shared" si="43"/>
        <v/>
      </c>
      <c r="P281" s="31" t="str">
        <f t="shared" si="44"/>
        <v/>
      </c>
      <c r="Q281" s="32" t="str">
        <f t="shared" si="45"/>
        <v/>
      </c>
      <c r="R281" t="str">
        <f t="shared" si="46"/>
        <v/>
      </c>
      <c r="S281" s="20" t="str">
        <f t="shared" si="47"/>
        <v/>
      </c>
      <c r="T281" s="20"/>
      <c r="U281" t="str">
        <f t="shared" si="48"/>
        <v/>
      </c>
      <c r="V281" s="20"/>
      <c r="W281" s="20" t="str">
        <f t="shared" si="49"/>
        <v/>
      </c>
      <c r="X281" s="25"/>
      <c r="Y281" s="25"/>
    </row>
    <row r="282" spans="1:25" x14ac:dyDescent="0.25">
      <c r="A282">
        <v>279</v>
      </c>
      <c r="B282" s="25"/>
      <c r="D282" s="30"/>
      <c r="G282" s="30"/>
      <c r="H282" t="str">
        <f t="shared" si="40"/>
        <v/>
      </c>
      <c r="J282" s="20"/>
      <c r="K282" s="20"/>
      <c r="L282" s="20" t="str">
        <f t="shared" si="41"/>
        <v/>
      </c>
      <c r="M282" s="30"/>
      <c r="N282" s="26" t="str">
        <f t="shared" si="42"/>
        <v/>
      </c>
      <c r="O282" s="20" t="str">
        <f t="shared" si="43"/>
        <v/>
      </c>
      <c r="P282" s="31" t="str">
        <f t="shared" si="44"/>
        <v/>
      </c>
      <c r="Q282" s="32" t="str">
        <f t="shared" si="45"/>
        <v/>
      </c>
      <c r="R282" t="str">
        <f t="shared" si="46"/>
        <v/>
      </c>
      <c r="S282" s="20" t="str">
        <f t="shared" si="47"/>
        <v/>
      </c>
      <c r="T282" s="20"/>
      <c r="U282" t="str">
        <f t="shared" si="48"/>
        <v/>
      </c>
      <c r="V282" s="20"/>
      <c r="W282" s="20" t="str">
        <f t="shared" si="49"/>
        <v/>
      </c>
      <c r="X282" s="25"/>
      <c r="Y282" s="25"/>
    </row>
    <row r="283" spans="1:25" x14ac:dyDescent="0.25">
      <c r="A283">
        <v>280</v>
      </c>
      <c r="B283" s="25"/>
      <c r="D283" s="30"/>
      <c r="G283" s="30"/>
      <c r="H283" t="str">
        <f t="shared" si="40"/>
        <v/>
      </c>
      <c r="J283" s="20"/>
      <c r="K283" s="20"/>
      <c r="L283" s="20" t="str">
        <f t="shared" si="41"/>
        <v/>
      </c>
      <c r="M283" s="30"/>
      <c r="N283" s="26" t="str">
        <f t="shared" si="42"/>
        <v/>
      </c>
      <c r="O283" s="20" t="str">
        <f t="shared" si="43"/>
        <v/>
      </c>
      <c r="P283" s="31" t="str">
        <f t="shared" si="44"/>
        <v/>
      </c>
      <c r="Q283" s="32" t="str">
        <f t="shared" si="45"/>
        <v/>
      </c>
      <c r="R283" t="str">
        <f t="shared" si="46"/>
        <v/>
      </c>
      <c r="S283" s="20" t="str">
        <f t="shared" si="47"/>
        <v/>
      </c>
      <c r="T283" s="20"/>
      <c r="U283" t="str">
        <f t="shared" si="48"/>
        <v/>
      </c>
      <c r="V283" s="20"/>
      <c r="W283" s="20" t="str">
        <f t="shared" si="49"/>
        <v/>
      </c>
      <c r="X283" s="25"/>
      <c r="Y283" s="25"/>
    </row>
    <row r="284" spans="1:25" x14ac:dyDescent="0.25">
      <c r="A284">
        <v>281</v>
      </c>
      <c r="B284" s="25"/>
      <c r="D284" s="30"/>
      <c r="G284" s="30"/>
      <c r="H284" t="str">
        <f t="shared" si="40"/>
        <v/>
      </c>
      <c r="J284" s="20"/>
      <c r="K284" s="20"/>
      <c r="L284" s="20" t="str">
        <f t="shared" si="41"/>
        <v/>
      </c>
      <c r="M284" s="30"/>
      <c r="N284" s="26" t="str">
        <f t="shared" si="42"/>
        <v/>
      </c>
      <c r="O284" s="20" t="str">
        <f t="shared" si="43"/>
        <v/>
      </c>
      <c r="P284" s="31" t="str">
        <f t="shared" si="44"/>
        <v/>
      </c>
      <c r="Q284" s="32" t="str">
        <f t="shared" si="45"/>
        <v/>
      </c>
      <c r="R284" t="str">
        <f t="shared" si="46"/>
        <v/>
      </c>
      <c r="S284" s="20" t="str">
        <f t="shared" si="47"/>
        <v/>
      </c>
      <c r="T284" s="20"/>
      <c r="U284" t="str">
        <f t="shared" si="48"/>
        <v/>
      </c>
      <c r="V284" s="20"/>
      <c r="W284" s="20" t="str">
        <f t="shared" si="49"/>
        <v/>
      </c>
      <c r="X284" s="25"/>
      <c r="Y284" s="25"/>
    </row>
    <row r="285" spans="1:25" x14ac:dyDescent="0.25">
      <c r="A285">
        <v>282</v>
      </c>
      <c r="B285" s="25"/>
      <c r="D285" s="30"/>
      <c r="G285" s="30"/>
      <c r="H285" t="str">
        <f t="shared" si="40"/>
        <v/>
      </c>
      <c r="J285" s="20"/>
      <c r="K285" s="20"/>
      <c r="L285" s="20" t="str">
        <f t="shared" si="41"/>
        <v/>
      </c>
      <c r="M285" s="30"/>
      <c r="N285" s="26" t="str">
        <f t="shared" si="42"/>
        <v/>
      </c>
      <c r="O285" s="20" t="str">
        <f t="shared" si="43"/>
        <v/>
      </c>
      <c r="P285" s="31" t="str">
        <f t="shared" si="44"/>
        <v/>
      </c>
      <c r="Q285" s="32" t="str">
        <f t="shared" si="45"/>
        <v/>
      </c>
      <c r="R285" t="str">
        <f t="shared" si="46"/>
        <v/>
      </c>
      <c r="S285" s="20" t="str">
        <f t="shared" si="47"/>
        <v/>
      </c>
      <c r="T285" s="20"/>
      <c r="U285" t="str">
        <f t="shared" si="48"/>
        <v/>
      </c>
      <c r="V285" s="20"/>
      <c r="W285" s="20" t="str">
        <f t="shared" si="49"/>
        <v/>
      </c>
      <c r="X285" s="25"/>
      <c r="Y285" s="25"/>
    </row>
    <row r="286" spans="1:25" x14ac:dyDescent="0.25">
      <c r="A286">
        <v>283</v>
      </c>
      <c r="B286" s="25"/>
      <c r="D286" s="30"/>
      <c r="G286" s="30"/>
      <c r="H286" t="str">
        <f t="shared" si="40"/>
        <v/>
      </c>
      <c r="J286" s="20"/>
      <c r="K286" s="20"/>
      <c r="L286" s="20" t="str">
        <f t="shared" si="41"/>
        <v/>
      </c>
      <c r="M286" s="30"/>
      <c r="N286" s="26" t="str">
        <f t="shared" si="42"/>
        <v/>
      </c>
      <c r="O286" s="20" t="str">
        <f t="shared" si="43"/>
        <v/>
      </c>
      <c r="P286" s="31" t="str">
        <f t="shared" si="44"/>
        <v/>
      </c>
      <c r="Q286" s="32" t="str">
        <f t="shared" si="45"/>
        <v/>
      </c>
      <c r="R286" t="str">
        <f t="shared" si="46"/>
        <v/>
      </c>
      <c r="S286" s="20" t="str">
        <f t="shared" si="47"/>
        <v/>
      </c>
      <c r="T286" s="20"/>
      <c r="U286" t="str">
        <f t="shared" si="48"/>
        <v/>
      </c>
      <c r="V286" s="20"/>
      <c r="W286" s="20" t="str">
        <f t="shared" si="49"/>
        <v/>
      </c>
      <c r="X286" s="25"/>
      <c r="Y286" s="25"/>
    </row>
    <row r="287" spans="1:25" x14ac:dyDescent="0.25">
      <c r="A287">
        <v>284</v>
      </c>
      <c r="B287" s="25"/>
      <c r="D287" s="30"/>
      <c r="G287" s="30"/>
      <c r="H287" t="str">
        <f t="shared" si="40"/>
        <v/>
      </c>
      <c r="J287" s="20"/>
      <c r="K287" s="20"/>
      <c r="L287" s="20" t="str">
        <f t="shared" si="41"/>
        <v/>
      </c>
      <c r="M287" s="30"/>
      <c r="N287" s="26" t="str">
        <f t="shared" si="42"/>
        <v/>
      </c>
      <c r="O287" s="20" t="str">
        <f t="shared" si="43"/>
        <v/>
      </c>
      <c r="P287" s="31" t="str">
        <f t="shared" si="44"/>
        <v/>
      </c>
      <c r="Q287" s="32" t="str">
        <f t="shared" si="45"/>
        <v/>
      </c>
      <c r="R287" t="str">
        <f t="shared" si="46"/>
        <v/>
      </c>
      <c r="S287" s="20" t="str">
        <f t="shared" si="47"/>
        <v/>
      </c>
      <c r="T287" s="20"/>
      <c r="U287" t="str">
        <f t="shared" si="48"/>
        <v/>
      </c>
      <c r="V287" s="20"/>
      <c r="W287" s="20" t="str">
        <f t="shared" si="49"/>
        <v/>
      </c>
      <c r="X287" s="25"/>
      <c r="Y287" s="25"/>
    </row>
    <row r="288" spans="1:25" x14ac:dyDescent="0.25">
      <c r="A288">
        <v>285</v>
      </c>
      <c r="B288" s="25"/>
      <c r="D288" s="30"/>
      <c r="G288" s="30"/>
      <c r="H288" t="str">
        <f t="shared" si="40"/>
        <v/>
      </c>
      <c r="J288" s="20"/>
      <c r="K288" s="20"/>
      <c r="L288" s="20" t="str">
        <f t="shared" si="41"/>
        <v/>
      </c>
      <c r="M288" s="30"/>
      <c r="N288" s="26" t="str">
        <f t="shared" si="42"/>
        <v/>
      </c>
      <c r="O288" s="20" t="str">
        <f t="shared" si="43"/>
        <v/>
      </c>
      <c r="P288" s="31" t="str">
        <f t="shared" si="44"/>
        <v/>
      </c>
      <c r="Q288" s="32" t="str">
        <f t="shared" si="45"/>
        <v/>
      </c>
      <c r="R288" t="str">
        <f t="shared" si="46"/>
        <v/>
      </c>
      <c r="S288" s="20" t="str">
        <f t="shared" si="47"/>
        <v/>
      </c>
      <c r="T288" s="20"/>
      <c r="U288" t="str">
        <f t="shared" si="48"/>
        <v/>
      </c>
      <c r="V288" s="20"/>
      <c r="W288" s="20" t="str">
        <f t="shared" si="49"/>
        <v/>
      </c>
      <c r="X288" s="25"/>
      <c r="Y288" s="25"/>
    </row>
    <row r="289" spans="1:25" x14ac:dyDescent="0.25">
      <c r="A289">
        <v>286</v>
      </c>
      <c r="B289" s="25"/>
      <c r="D289" s="30"/>
      <c r="G289" s="30"/>
      <c r="H289" t="str">
        <f t="shared" si="40"/>
        <v/>
      </c>
      <c r="J289" s="20"/>
      <c r="K289" s="20"/>
      <c r="L289" s="20" t="str">
        <f t="shared" si="41"/>
        <v/>
      </c>
      <c r="M289" s="30"/>
      <c r="N289" s="26" t="str">
        <f t="shared" si="42"/>
        <v/>
      </c>
      <c r="O289" s="20" t="str">
        <f t="shared" si="43"/>
        <v/>
      </c>
      <c r="P289" s="31" t="str">
        <f t="shared" si="44"/>
        <v/>
      </c>
      <c r="Q289" s="32" t="str">
        <f t="shared" si="45"/>
        <v/>
      </c>
      <c r="R289" t="str">
        <f t="shared" si="46"/>
        <v/>
      </c>
      <c r="S289" s="20" t="str">
        <f t="shared" si="47"/>
        <v/>
      </c>
      <c r="T289" s="20"/>
      <c r="U289" t="str">
        <f t="shared" si="48"/>
        <v/>
      </c>
      <c r="V289" s="20"/>
      <c r="W289" s="20" t="str">
        <f t="shared" si="49"/>
        <v/>
      </c>
      <c r="X289" s="25"/>
      <c r="Y289" s="25"/>
    </row>
    <row r="290" spans="1:25" x14ac:dyDescent="0.25">
      <c r="A290">
        <v>287</v>
      </c>
      <c r="B290" s="25"/>
      <c r="D290" s="30"/>
      <c r="G290" s="30"/>
      <c r="H290" t="str">
        <f t="shared" si="40"/>
        <v/>
      </c>
      <c r="J290" s="20"/>
      <c r="K290" s="20"/>
      <c r="L290" s="20" t="str">
        <f t="shared" si="41"/>
        <v/>
      </c>
      <c r="M290" s="30"/>
      <c r="N290" s="26" t="str">
        <f t="shared" si="42"/>
        <v/>
      </c>
      <c r="O290" s="20" t="str">
        <f t="shared" si="43"/>
        <v/>
      </c>
      <c r="P290" s="31" t="str">
        <f t="shared" si="44"/>
        <v/>
      </c>
      <c r="Q290" s="32" t="str">
        <f t="shared" si="45"/>
        <v/>
      </c>
      <c r="R290" t="str">
        <f t="shared" si="46"/>
        <v/>
      </c>
      <c r="S290" s="20" t="str">
        <f t="shared" si="47"/>
        <v/>
      </c>
      <c r="T290" s="20"/>
      <c r="U290" t="str">
        <f t="shared" si="48"/>
        <v/>
      </c>
      <c r="V290" s="20"/>
      <c r="W290" s="20" t="str">
        <f t="shared" si="49"/>
        <v/>
      </c>
      <c r="X290" s="25"/>
      <c r="Y290" s="25"/>
    </row>
    <row r="291" spans="1:25" x14ac:dyDescent="0.25">
      <c r="A291">
        <v>288</v>
      </c>
      <c r="B291" s="25"/>
      <c r="D291" s="30"/>
      <c r="G291" s="30"/>
      <c r="H291" t="str">
        <f t="shared" si="40"/>
        <v/>
      </c>
      <c r="J291" s="20"/>
      <c r="K291" s="20"/>
      <c r="L291" s="20" t="str">
        <f t="shared" si="41"/>
        <v/>
      </c>
      <c r="M291" s="30"/>
      <c r="N291" s="26" t="str">
        <f t="shared" si="42"/>
        <v/>
      </c>
      <c r="O291" s="20" t="str">
        <f t="shared" si="43"/>
        <v/>
      </c>
      <c r="P291" s="31" t="str">
        <f t="shared" si="44"/>
        <v/>
      </c>
      <c r="Q291" s="32" t="str">
        <f t="shared" si="45"/>
        <v/>
      </c>
      <c r="R291" t="str">
        <f t="shared" si="46"/>
        <v/>
      </c>
      <c r="S291" s="20" t="str">
        <f t="shared" si="47"/>
        <v/>
      </c>
      <c r="T291" s="20"/>
      <c r="U291" t="str">
        <f t="shared" si="48"/>
        <v/>
      </c>
      <c r="V291" s="20"/>
      <c r="W291" s="20" t="str">
        <f t="shared" si="49"/>
        <v/>
      </c>
      <c r="X291" s="25"/>
      <c r="Y291" s="25"/>
    </row>
    <row r="292" spans="1:25" x14ac:dyDescent="0.25">
      <c r="A292">
        <v>289</v>
      </c>
      <c r="B292" s="25"/>
      <c r="D292" s="30"/>
      <c r="G292" s="30"/>
      <c r="H292" t="str">
        <f t="shared" si="40"/>
        <v/>
      </c>
      <c r="J292" s="20"/>
      <c r="K292" s="20"/>
      <c r="L292" s="20" t="str">
        <f t="shared" si="41"/>
        <v/>
      </c>
      <c r="M292" s="30"/>
      <c r="N292" s="26" t="str">
        <f t="shared" si="42"/>
        <v/>
      </c>
      <c r="O292" s="20" t="str">
        <f t="shared" si="43"/>
        <v/>
      </c>
      <c r="P292" s="31" t="str">
        <f t="shared" si="44"/>
        <v/>
      </c>
      <c r="Q292" s="32" t="str">
        <f t="shared" si="45"/>
        <v/>
      </c>
      <c r="R292" t="str">
        <f t="shared" si="46"/>
        <v/>
      </c>
      <c r="S292" s="20" t="str">
        <f t="shared" si="47"/>
        <v/>
      </c>
      <c r="T292" s="20"/>
      <c r="U292" t="str">
        <f t="shared" si="48"/>
        <v/>
      </c>
      <c r="V292" s="20"/>
      <c r="W292" s="20" t="str">
        <f t="shared" si="49"/>
        <v/>
      </c>
      <c r="X292" s="25"/>
      <c r="Y292" s="25"/>
    </row>
    <row r="293" spans="1:25" x14ac:dyDescent="0.25">
      <c r="A293">
        <v>290</v>
      </c>
      <c r="B293" s="25"/>
      <c r="D293" s="30"/>
      <c r="G293" s="30"/>
      <c r="H293" t="str">
        <f t="shared" si="40"/>
        <v/>
      </c>
      <c r="J293" s="20"/>
      <c r="K293" s="20"/>
      <c r="L293" s="20" t="str">
        <f t="shared" si="41"/>
        <v/>
      </c>
      <c r="M293" s="30"/>
      <c r="N293" s="26" t="str">
        <f t="shared" si="42"/>
        <v/>
      </c>
      <c r="O293" s="20" t="str">
        <f t="shared" si="43"/>
        <v/>
      </c>
      <c r="P293" s="31" t="str">
        <f t="shared" si="44"/>
        <v/>
      </c>
      <c r="Q293" s="32" t="str">
        <f t="shared" si="45"/>
        <v/>
      </c>
      <c r="R293" t="str">
        <f t="shared" si="46"/>
        <v/>
      </c>
      <c r="S293" s="20" t="str">
        <f t="shared" si="47"/>
        <v/>
      </c>
      <c r="T293" s="20"/>
      <c r="U293" t="str">
        <f t="shared" si="48"/>
        <v/>
      </c>
      <c r="V293" s="20"/>
      <c r="W293" s="20" t="str">
        <f t="shared" si="49"/>
        <v/>
      </c>
      <c r="X293" s="25"/>
      <c r="Y293" s="25"/>
    </row>
    <row r="294" spans="1:25" x14ac:dyDescent="0.25">
      <c r="A294">
        <v>291</v>
      </c>
      <c r="B294" s="25"/>
      <c r="D294" s="30"/>
      <c r="G294" s="30"/>
      <c r="H294" t="str">
        <f t="shared" si="40"/>
        <v/>
      </c>
      <c r="J294" s="20"/>
      <c r="K294" s="20"/>
      <c r="L294" s="20" t="str">
        <f t="shared" si="41"/>
        <v/>
      </c>
      <c r="M294" s="30"/>
      <c r="N294" s="26" t="str">
        <f t="shared" si="42"/>
        <v/>
      </c>
      <c r="O294" s="20" t="str">
        <f t="shared" si="43"/>
        <v/>
      </c>
      <c r="P294" s="31" t="str">
        <f t="shared" si="44"/>
        <v/>
      </c>
      <c r="Q294" s="32" t="str">
        <f t="shared" si="45"/>
        <v/>
      </c>
      <c r="R294" t="str">
        <f t="shared" si="46"/>
        <v/>
      </c>
      <c r="S294" s="20" t="str">
        <f t="shared" si="47"/>
        <v/>
      </c>
      <c r="T294" s="20"/>
      <c r="U294" t="str">
        <f t="shared" si="48"/>
        <v/>
      </c>
      <c r="V294" s="20"/>
      <c r="W294" s="20" t="str">
        <f t="shared" si="49"/>
        <v/>
      </c>
      <c r="X294" s="25"/>
      <c r="Y294" s="25"/>
    </row>
    <row r="295" spans="1:25" x14ac:dyDescent="0.25">
      <c r="A295">
        <v>292</v>
      </c>
      <c r="B295" s="25"/>
      <c r="D295" s="30"/>
      <c r="G295" s="30"/>
      <c r="H295" t="str">
        <f t="shared" si="40"/>
        <v/>
      </c>
      <c r="J295" s="20"/>
      <c r="K295" s="20"/>
      <c r="L295" s="20" t="str">
        <f t="shared" si="41"/>
        <v/>
      </c>
      <c r="M295" s="30"/>
      <c r="N295" s="26" t="str">
        <f t="shared" si="42"/>
        <v/>
      </c>
      <c r="O295" s="20" t="str">
        <f t="shared" si="43"/>
        <v/>
      </c>
      <c r="P295" s="31" t="str">
        <f t="shared" si="44"/>
        <v/>
      </c>
      <c r="Q295" s="32" t="str">
        <f t="shared" si="45"/>
        <v/>
      </c>
      <c r="R295" t="str">
        <f t="shared" si="46"/>
        <v/>
      </c>
      <c r="S295" s="20" t="str">
        <f t="shared" si="47"/>
        <v/>
      </c>
      <c r="T295" s="20"/>
      <c r="U295" t="str">
        <f t="shared" si="48"/>
        <v/>
      </c>
      <c r="V295" s="20"/>
      <c r="W295" s="20" t="str">
        <f t="shared" si="49"/>
        <v/>
      </c>
      <c r="X295" s="25"/>
      <c r="Y295" s="25"/>
    </row>
    <row r="296" spans="1:25" x14ac:dyDescent="0.25">
      <c r="A296">
        <v>293</v>
      </c>
      <c r="B296" s="25"/>
      <c r="D296" s="30"/>
      <c r="G296" s="30"/>
      <c r="H296" t="str">
        <f t="shared" si="40"/>
        <v/>
      </c>
      <c r="J296" s="20"/>
      <c r="K296" s="20"/>
      <c r="L296" s="20" t="str">
        <f t="shared" si="41"/>
        <v/>
      </c>
      <c r="M296" s="30"/>
      <c r="N296" s="26" t="str">
        <f t="shared" si="42"/>
        <v/>
      </c>
      <c r="O296" s="20" t="str">
        <f t="shared" si="43"/>
        <v/>
      </c>
      <c r="P296" s="31" t="str">
        <f t="shared" si="44"/>
        <v/>
      </c>
      <c r="Q296" s="32" t="str">
        <f t="shared" si="45"/>
        <v/>
      </c>
      <c r="R296" t="str">
        <f t="shared" si="46"/>
        <v/>
      </c>
      <c r="S296" s="20" t="str">
        <f t="shared" si="47"/>
        <v/>
      </c>
      <c r="T296" s="20"/>
      <c r="U296" t="str">
        <f t="shared" si="48"/>
        <v/>
      </c>
      <c r="V296" s="20"/>
      <c r="W296" s="20" t="str">
        <f t="shared" si="49"/>
        <v/>
      </c>
      <c r="X296" s="25"/>
      <c r="Y296" s="25"/>
    </row>
    <row r="297" spans="1:25" x14ac:dyDescent="0.25">
      <c r="A297">
        <v>294</v>
      </c>
      <c r="B297" s="25"/>
      <c r="D297" s="30"/>
      <c r="G297" s="30"/>
      <c r="H297" t="str">
        <f t="shared" si="40"/>
        <v/>
      </c>
      <c r="J297" s="20"/>
      <c r="K297" s="20"/>
      <c r="L297" s="20" t="str">
        <f t="shared" si="41"/>
        <v/>
      </c>
      <c r="M297" s="30"/>
      <c r="N297" s="26" t="str">
        <f t="shared" si="42"/>
        <v/>
      </c>
      <c r="O297" s="20" t="str">
        <f t="shared" si="43"/>
        <v/>
      </c>
      <c r="P297" s="31" t="str">
        <f t="shared" si="44"/>
        <v/>
      </c>
      <c r="Q297" s="32" t="str">
        <f t="shared" si="45"/>
        <v/>
      </c>
      <c r="R297" t="str">
        <f t="shared" si="46"/>
        <v/>
      </c>
      <c r="S297" s="20" t="str">
        <f t="shared" si="47"/>
        <v/>
      </c>
      <c r="T297" s="20"/>
      <c r="U297" t="str">
        <f t="shared" si="48"/>
        <v/>
      </c>
      <c r="V297" s="20"/>
      <c r="W297" s="20" t="str">
        <f t="shared" si="49"/>
        <v/>
      </c>
      <c r="X297" s="25"/>
      <c r="Y297" s="25"/>
    </row>
    <row r="298" spans="1:25" x14ac:dyDescent="0.25">
      <c r="A298">
        <v>295</v>
      </c>
      <c r="B298" s="25"/>
      <c r="D298" s="30"/>
      <c r="G298" s="30"/>
      <c r="H298" t="str">
        <f t="shared" si="40"/>
        <v/>
      </c>
      <c r="J298" s="20"/>
      <c r="K298" s="20"/>
      <c r="L298" s="20" t="str">
        <f t="shared" si="41"/>
        <v/>
      </c>
      <c r="M298" s="30"/>
      <c r="N298" s="26" t="str">
        <f t="shared" si="42"/>
        <v/>
      </c>
      <c r="O298" s="20" t="str">
        <f t="shared" si="43"/>
        <v/>
      </c>
      <c r="P298" s="31" t="str">
        <f t="shared" si="44"/>
        <v/>
      </c>
      <c r="Q298" s="32" t="str">
        <f t="shared" si="45"/>
        <v/>
      </c>
      <c r="R298" t="str">
        <f t="shared" si="46"/>
        <v/>
      </c>
      <c r="S298" s="20" t="str">
        <f t="shared" si="47"/>
        <v/>
      </c>
      <c r="T298" s="20"/>
      <c r="U298" t="str">
        <f t="shared" si="48"/>
        <v/>
      </c>
      <c r="V298" s="20"/>
      <c r="W298" s="20" t="str">
        <f t="shared" si="49"/>
        <v/>
      </c>
      <c r="X298" s="25"/>
      <c r="Y298" s="25"/>
    </row>
    <row r="299" spans="1:25" x14ac:dyDescent="0.25">
      <c r="A299">
        <v>296</v>
      </c>
      <c r="B299" s="25"/>
      <c r="D299" s="30"/>
      <c r="G299" s="30"/>
      <c r="H299" t="str">
        <f t="shared" si="40"/>
        <v/>
      </c>
      <c r="J299" s="20"/>
      <c r="K299" s="20"/>
      <c r="L299" s="20" t="str">
        <f t="shared" si="41"/>
        <v/>
      </c>
      <c r="M299" s="30"/>
      <c r="N299" s="26" t="str">
        <f t="shared" si="42"/>
        <v/>
      </c>
      <c r="O299" s="20" t="str">
        <f t="shared" si="43"/>
        <v/>
      </c>
      <c r="P299" s="31" t="str">
        <f t="shared" si="44"/>
        <v/>
      </c>
      <c r="Q299" s="32" t="str">
        <f t="shared" si="45"/>
        <v/>
      </c>
      <c r="R299" t="str">
        <f t="shared" si="46"/>
        <v/>
      </c>
      <c r="S299" s="20" t="str">
        <f t="shared" si="47"/>
        <v/>
      </c>
      <c r="T299" s="20"/>
      <c r="U299" t="str">
        <f t="shared" si="48"/>
        <v/>
      </c>
      <c r="V299" s="20"/>
      <c r="W299" s="20" t="str">
        <f t="shared" si="49"/>
        <v/>
      </c>
      <c r="X299" s="25"/>
      <c r="Y299" s="25"/>
    </row>
    <row r="300" spans="1:25" x14ac:dyDescent="0.25">
      <c r="A300">
        <v>297</v>
      </c>
      <c r="B300" s="25"/>
      <c r="D300" s="30"/>
      <c r="G300" s="30"/>
      <c r="H300" t="str">
        <f t="shared" si="40"/>
        <v/>
      </c>
      <c r="J300" s="20"/>
      <c r="K300" s="20"/>
      <c r="L300" s="20" t="str">
        <f t="shared" si="41"/>
        <v/>
      </c>
      <c r="M300" s="30"/>
      <c r="N300" s="26" t="str">
        <f t="shared" si="42"/>
        <v/>
      </c>
      <c r="O300" s="20" t="str">
        <f t="shared" si="43"/>
        <v/>
      </c>
      <c r="P300" s="31" t="str">
        <f t="shared" si="44"/>
        <v/>
      </c>
      <c r="Q300" s="32" t="str">
        <f t="shared" si="45"/>
        <v/>
      </c>
      <c r="R300" t="str">
        <f t="shared" si="46"/>
        <v/>
      </c>
      <c r="S300" s="20" t="str">
        <f t="shared" si="47"/>
        <v/>
      </c>
      <c r="T300" s="20"/>
      <c r="U300" t="str">
        <f t="shared" si="48"/>
        <v/>
      </c>
      <c r="V300" s="20"/>
      <c r="W300" s="20" t="str">
        <f t="shared" si="49"/>
        <v/>
      </c>
      <c r="X300" s="25"/>
      <c r="Y300" s="25"/>
    </row>
    <row r="301" spans="1:25" x14ac:dyDescent="0.25">
      <c r="A301">
        <v>298</v>
      </c>
      <c r="B301" s="25"/>
      <c r="D301" s="30"/>
      <c r="G301" s="30"/>
      <c r="H301" t="str">
        <f t="shared" si="40"/>
        <v/>
      </c>
      <c r="J301" s="20"/>
      <c r="K301" s="20"/>
      <c r="L301" s="20" t="str">
        <f t="shared" si="41"/>
        <v/>
      </c>
      <c r="M301" s="30"/>
      <c r="N301" s="26" t="str">
        <f t="shared" si="42"/>
        <v/>
      </c>
      <c r="O301" s="20" t="str">
        <f t="shared" si="43"/>
        <v/>
      </c>
      <c r="P301" s="31" t="str">
        <f t="shared" si="44"/>
        <v/>
      </c>
      <c r="Q301" s="32" t="str">
        <f t="shared" si="45"/>
        <v/>
      </c>
      <c r="R301" t="str">
        <f t="shared" si="46"/>
        <v/>
      </c>
      <c r="S301" s="20" t="str">
        <f t="shared" si="47"/>
        <v/>
      </c>
      <c r="T301" s="20"/>
      <c r="U301" t="str">
        <f t="shared" si="48"/>
        <v/>
      </c>
      <c r="V301" s="20"/>
      <c r="W301" s="20" t="str">
        <f t="shared" si="49"/>
        <v/>
      </c>
      <c r="X301" s="25"/>
      <c r="Y301" s="25"/>
    </row>
    <row r="302" spans="1:25" x14ac:dyDescent="0.25">
      <c r="A302">
        <v>299</v>
      </c>
      <c r="B302" s="25"/>
      <c r="D302" s="30"/>
      <c r="G302" s="30"/>
      <c r="H302" t="str">
        <f t="shared" si="40"/>
        <v/>
      </c>
      <c r="J302" s="20"/>
      <c r="K302" s="20"/>
      <c r="L302" s="20" t="str">
        <f t="shared" si="41"/>
        <v/>
      </c>
      <c r="M302" s="30"/>
      <c r="N302" s="26" t="str">
        <f t="shared" si="42"/>
        <v/>
      </c>
      <c r="O302" s="20" t="str">
        <f t="shared" si="43"/>
        <v/>
      </c>
      <c r="P302" s="31" t="str">
        <f t="shared" si="44"/>
        <v/>
      </c>
      <c r="Q302" s="32" t="str">
        <f t="shared" si="45"/>
        <v/>
      </c>
      <c r="R302" t="str">
        <f t="shared" si="46"/>
        <v/>
      </c>
      <c r="S302" s="20" t="str">
        <f t="shared" si="47"/>
        <v/>
      </c>
      <c r="T302" s="20"/>
      <c r="U302" t="str">
        <f t="shared" si="48"/>
        <v/>
      </c>
      <c r="V302" s="20"/>
      <c r="W302" s="20" t="str">
        <f t="shared" si="49"/>
        <v/>
      </c>
      <c r="X302" s="25"/>
      <c r="Y302" s="25"/>
    </row>
    <row r="303" spans="1:25" x14ac:dyDescent="0.25">
      <c r="A303">
        <v>300</v>
      </c>
      <c r="B303" s="25"/>
      <c r="D303" s="30"/>
      <c r="G303" s="30"/>
      <c r="H303" t="str">
        <f t="shared" si="40"/>
        <v/>
      </c>
      <c r="J303" s="20"/>
      <c r="K303" s="20"/>
      <c r="L303" s="20" t="str">
        <f t="shared" si="41"/>
        <v/>
      </c>
      <c r="M303" s="30"/>
      <c r="N303" s="26" t="str">
        <f t="shared" si="42"/>
        <v/>
      </c>
      <c r="O303" s="20" t="str">
        <f t="shared" si="43"/>
        <v/>
      </c>
      <c r="P303" s="31" t="str">
        <f t="shared" si="44"/>
        <v/>
      </c>
      <c r="Q303" s="32" t="str">
        <f t="shared" si="45"/>
        <v/>
      </c>
      <c r="R303" t="str">
        <f t="shared" si="46"/>
        <v/>
      </c>
      <c r="S303" s="20" t="str">
        <f t="shared" si="47"/>
        <v/>
      </c>
      <c r="T303" s="20"/>
      <c r="U303" t="str">
        <f t="shared" si="48"/>
        <v/>
      </c>
      <c r="V303" s="20"/>
      <c r="W303" s="20" t="str">
        <f t="shared" si="49"/>
        <v/>
      </c>
      <c r="X303" s="25"/>
      <c r="Y303" s="25"/>
    </row>
    <row r="304" spans="1:25" x14ac:dyDescent="0.25">
      <c r="A304">
        <v>301</v>
      </c>
      <c r="B304" s="25"/>
      <c r="D304" s="30"/>
      <c r="G304" s="30"/>
      <c r="H304" t="str">
        <f t="shared" si="40"/>
        <v/>
      </c>
      <c r="J304" s="20"/>
      <c r="K304" s="20"/>
      <c r="L304" s="20" t="str">
        <f t="shared" si="41"/>
        <v/>
      </c>
      <c r="M304" s="30"/>
      <c r="N304" s="26" t="str">
        <f t="shared" si="42"/>
        <v/>
      </c>
      <c r="O304" s="20" t="str">
        <f t="shared" si="43"/>
        <v/>
      </c>
      <c r="P304" s="31" t="str">
        <f t="shared" si="44"/>
        <v/>
      </c>
      <c r="Q304" s="32" t="str">
        <f t="shared" si="45"/>
        <v/>
      </c>
      <c r="R304" t="str">
        <f t="shared" si="46"/>
        <v/>
      </c>
      <c r="S304" s="20" t="str">
        <f t="shared" si="47"/>
        <v/>
      </c>
      <c r="T304" s="20"/>
      <c r="U304" t="str">
        <f t="shared" si="48"/>
        <v/>
      </c>
      <c r="V304" s="20"/>
      <c r="W304" s="20" t="str">
        <f t="shared" si="49"/>
        <v/>
      </c>
      <c r="X304" s="25"/>
      <c r="Y304" s="25"/>
    </row>
    <row r="305" spans="1:25" x14ac:dyDescent="0.25">
      <c r="A305">
        <v>302</v>
      </c>
      <c r="B305" s="25"/>
      <c r="D305" s="30"/>
      <c r="G305" s="30"/>
      <c r="H305" t="str">
        <f t="shared" si="40"/>
        <v/>
      </c>
      <c r="J305" s="20"/>
      <c r="K305" s="20"/>
      <c r="L305" s="20" t="str">
        <f t="shared" si="41"/>
        <v/>
      </c>
      <c r="M305" s="30"/>
      <c r="N305" s="26" t="str">
        <f t="shared" si="42"/>
        <v/>
      </c>
      <c r="O305" s="20" t="str">
        <f t="shared" si="43"/>
        <v/>
      </c>
      <c r="P305" s="31" t="str">
        <f t="shared" si="44"/>
        <v/>
      </c>
      <c r="Q305" s="32" t="str">
        <f t="shared" si="45"/>
        <v/>
      </c>
      <c r="R305" t="str">
        <f t="shared" si="46"/>
        <v/>
      </c>
      <c r="S305" s="20" t="str">
        <f t="shared" si="47"/>
        <v/>
      </c>
      <c r="T305" s="20"/>
      <c r="U305" t="str">
        <f t="shared" si="48"/>
        <v/>
      </c>
      <c r="V305" s="20"/>
      <c r="W305" s="20" t="str">
        <f t="shared" si="49"/>
        <v/>
      </c>
      <c r="X305" s="25"/>
      <c r="Y305" s="25"/>
    </row>
    <row r="306" spans="1:25" x14ac:dyDescent="0.25">
      <c r="A306">
        <v>303</v>
      </c>
      <c r="B306" s="25"/>
      <c r="D306" s="30"/>
      <c r="G306" s="30"/>
      <c r="H306" t="str">
        <f t="shared" si="40"/>
        <v/>
      </c>
      <c r="J306" s="20"/>
      <c r="K306" s="20"/>
      <c r="L306" s="20" t="str">
        <f t="shared" si="41"/>
        <v/>
      </c>
      <c r="M306" s="30"/>
      <c r="N306" s="26" t="str">
        <f t="shared" si="42"/>
        <v/>
      </c>
      <c r="O306" s="20" t="str">
        <f t="shared" si="43"/>
        <v/>
      </c>
      <c r="P306" s="31" t="str">
        <f t="shared" si="44"/>
        <v/>
      </c>
      <c r="Q306" s="32" t="str">
        <f t="shared" si="45"/>
        <v/>
      </c>
      <c r="R306" t="str">
        <f t="shared" si="46"/>
        <v/>
      </c>
      <c r="S306" s="20" t="str">
        <f t="shared" si="47"/>
        <v/>
      </c>
      <c r="T306" s="20"/>
      <c r="U306" t="str">
        <f t="shared" si="48"/>
        <v/>
      </c>
      <c r="V306" s="20"/>
      <c r="W306" s="20" t="str">
        <f t="shared" si="49"/>
        <v/>
      </c>
      <c r="X306" s="25"/>
      <c r="Y306" s="25"/>
    </row>
    <row r="307" spans="1:25" x14ac:dyDescent="0.25">
      <c r="A307">
        <v>304</v>
      </c>
      <c r="B307" s="25"/>
      <c r="D307" s="30"/>
      <c r="G307" s="30"/>
      <c r="H307" t="str">
        <f t="shared" si="40"/>
        <v/>
      </c>
      <c r="J307" s="20"/>
      <c r="K307" s="20"/>
      <c r="L307" s="20" t="str">
        <f t="shared" si="41"/>
        <v/>
      </c>
      <c r="M307" s="30"/>
      <c r="N307" s="26" t="str">
        <f t="shared" si="42"/>
        <v/>
      </c>
      <c r="O307" s="20" t="str">
        <f t="shared" si="43"/>
        <v/>
      </c>
      <c r="P307" s="31" t="str">
        <f t="shared" si="44"/>
        <v/>
      </c>
      <c r="Q307" s="32" t="str">
        <f t="shared" si="45"/>
        <v/>
      </c>
      <c r="R307" t="str">
        <f t="shared" si="46"/>
        <v/>
      </c>
      <c r="S307" s="20" t="str">
        <f t="shared" si="47"/>
        <v/>
      </c>
      <c r="T307" s="20"/>
      <c r="U307" t="str">
        <f t="shared" si="48"/>
        <v/>
      </c>
      <c r="V307" s="20"/>
      <c r="W307" s="20" t="str">
        <f t="shared" si="49"/>
        <v/>
      </c>
      <c r="X307" s="25"/>
      <c r="Y307" s="25"/>
    </row>
    <row r="308" spans="1:25" x14ac:dyDescent="0.25">
      <c r="A308">
        <v>305</v>
      </c>
      <c r="B308" s="25"/>
      <c r="D308" s="30"/>
      <c r="G308" s="30"/>
      <c r="H308" t="str">
        <f t="shared" si="40"/>
        <v/>
      </c>
      <c r="J308" s="20"/>
      <c r="K308" s="20"/>
      <c r="L308" s="20" t="str">
        <f t="shared" si="41"/>
        <v/>
      </c>
      <c r="M308" s="30"/>
      <c r="N308" s="26" t="str">
        <f t="shared" si="42"/>
        <v/>
      </c>
      <c r="O308" s="20" t="str">
        <f t="shared" si="43"/>
        <v/>
      </c>
      <c r="P308" s="31" t="str">
        <f t="shared" si="44"/>
        <v/>
      </c>
      <c r="Q308" s="32" t="str">
        <f t="shared" si="45"/>
        <v/>
      </c>
      <c r="R308" t="str">
        <f t="shared" si="46"/>
        <v/>
      </c>
      <c r="S308" s="20" t="str">
        <f t="shared" si="47"/>
        <v/>
      </c>
      <c r="T308" s="20"/>
      <c r="U308" t="str">
        <f t="shared" si="48"/>
        <v/>
      </c>
      <c r="V308" s="20"/>
      <c r="W308" s="20" t="str">
        <f t="shared" si="49"/>
        <v/>
      </c>
      <c r="X308" s="25"/>
      <c r="Y308" s="25"/>
    </row>
    <row r="309" spans="1:25" x14ac:dyDescent="0.25">
      <c r="A309">
        <v>306</v>
      </c>
      <c r="B309" s="25"/>
      <c r="D309" s="30"/>
      <c r="G309" s="30"/>
      <c r="H309" t="str">
        <f t="shared" si="40"/>
        <v/>
      </c>
      <c r="J309" s="20"/>
      <c r="K309" s="20"/>
      <c r="L309" s="20" t="str">
        <f t="shared" si="41"/>
        <v/>
      </c>
      <c r="M309" s="30"/>
      <c r="N309" s="26" t="str">
        <f t="shared" si="42"/>
        <v/>
      </c>
      <c r="O309" s="20" t="str">
        <f t="shared" si="43"/>
        <v/>
      </c>
      <c r="P309" s="31" t="str">
        <f t="shared" si="44"/>
        <v/>
      </c>
      <c r="Q309" s="32" t="str">
        <f t="shared" si="45"/>
        <v/>
      </c>
      <c r="R309" t="str">
        <f t="shared" si="46"/>
        <v/>
      </c>
      <c r="S309" s="20" t="str">
        <f t="shared" si="47"/>
        <v/>
      </c>
      <c r="T309" s="20"/>
      <c r="U309" t="str">
        <f t="shared" si="48"/>
        <v/>
      </c>
      <c r="V309" s="20"/>
      <c r="W309" s="20" t="str">
        <f t="shared" si="49"/>
        <v/>
      </c>
      <c r="X309" s="25"/>
      <c r="Y309" s="25"/>
    </row>
    <row r="310" spans="1:25" x14ac:dyDescent="0.25">
      <c r="A310">
        <v>307</v>
      </c>
      <c r="B310" s="25"/>
      <c r="D310" s="30"/>
      <c r="G310" s="30"/>
      <c r="H310" t="str">
        <f t="shared" si="40"/>
        <v/>
      </c>
      <c r="J310" s="20"/>
      <c r="K310" s="20"/>
      <c r="L310" s="20" t="str">
        <f t="shared" si="41"/>
        <v/>
      </c>
      <c r="M310" s="30"/>
      <c r="N310" s="26" t="str">
        <f t="shared" si="42"/>
        <v/>
      </c>
      <c r="O310" s="20" t="str">
        <f t="shared" si="43"/>
        <v/>
      </c>
      <c r="P310" s="31" t="str">
        <f t="shared" si="44"/>
        <v/>
      </c>
      <c r="Q310" s="32" t="str">
        <f t="shared" si="45"/>
        <v/>
      </c>
      <c r="R310" t="str">
        <f t="shared" si="46"/>
        <v/>
      </c>
      <c r="S310" s="20" t="str">
        <f t="shared" si="47"/>
        <v/>
      </c>
      <c r="T310" s="20"/>
      <c r="U310" t="str">
        <f t="shared" si="48"/>
        <v/>
      </c>
      <c r="V310" s="20"/>
      <c r="W310" s="20" t="str">
        <f t="shared" si="49"/>
        <v/>
      </c>
      <c r="X310" s="25"/>
      <c r="Y310" s="25"/>
    </row>
    <row r="311" spans="1:25" x14ac:dyDescent="0.25">
      <c r="A311">
        <v>308</v>
      </c>
      <c r="B311" s="25"/>
      <c r="D311" s="30"/>
      <c r="G311" s="30"/>
      <c r="H311" t="str">
        <f t="shared" si="40"/>
        <v/>
      </c>
      <c r="J311" s="20"/>
      <c r="K311" s="20"/>
      <c r="L311" s="20" t="str">
        <f t="shared" si="41"/>
        <v/>
      </c>
      <c r="M311" s="30"/>
      <c r="N311" s="26" t="str">
        <f t="shared" si="42"/>
        <v/>
      </c>
      <c r="O311" s="20" t="str">
        <f t="shared" si="43"/>
        <v/>
      </c>
      <c r="P311" s="31" t="str">
        <f t="shared" si="44"/>
        <v/>
      </c>
      <c r="Q311" s="32" t="str">
        <f t="shared" si="45"/>
        <v/>
      </c>
      <c r="R311" t="str">
        <f t="shared" si="46"/>
        <v/>
      </c>
      <c r="S311" s="20" t="str">
        <f t="shared" si="47"/>
        <v/>
      </c>
      <c r="T311" s="20"/>
      <c r="U311" t="str">
        <f t="shared" si="48"/>
        <v/>
      </c>
      <c r="V311" s="20"/>
      <c r="W311" s="20" t="str">
        <f t="shared" si="49"/>
        <v/>
      </c>
      <c r="X311" s="25"/>
      <c r="Y311" s="25"/>
    </row>
    <row r="312" spans="1:25" x14ac:dyDescent="0.25">
      <c r="A312">
        <v>309</v>
      </c>
      <c r="B312" s="25"/>
      <c r="D312" s="30"/>
      <c r="G312" s="30"/>
      <c r="H312" t="str">
        <f t="shared" si="40"/>
        <v/>
      </c>
      <c r="J312" s="20"/>
      <c r="K312" s="20"/>
      <c r="L312" s="20" t="str">
        <f t="shared" si="41"/>
        <v/>
      </c>
      <c r="M312" s="30"/>
      <c r="N312" s="26" t="str">
        <f t="shared" si="42"/>
        <v/>
      </c>
      <c r="O312" s="20" t="str">
        <f t="shared" si="43"/>
        <v/>
      </c>
      <c r="P312" s="31" t="str">
        <f t="shared" si="44"/>
        <v/>
      </c>
      <c r="Q312" s="32" t="str">
        <f t="shared" si="45"/>
        <v/>
      </c>
      <c r="R312" t="str">
        <f t="shared" si="46"/>
        <v/>
      </c>
      <c r="S312" s="20" t="str">
        <f t="shared" si="47"/>
        <v/>
      </c>
      <c r="T312" s="20"/>
      <c r="U312" t="str">
        <f t="shared" si="48"/>
        <v/>
      </c>
      <c r="V312" s="20"/>
      <c r="W312" s="20" t="str">
        <f t="shared" si="49"/>
        <v/>
      </c>
      <c r="X312" s="25"/>
      <c r="Y312" s="25"/>
    </row>
    <row r="313" spans="1:25" x14ac:dyDescent="0.25">
      <c r="A313">
        <v>310</v>
      </c>
      <c r="B313" s="25"/>
      <c r="D313" s="30"/>
      <c r="G313" s="30"/>
      <c r="H313" t="str">
        <f t="shared" si="40"/>
        <v/>
      </c>
      <c r="J313" s="20"/>
      <c r="K313" s="20"/>
      <c r="L313" s="20" t="str">
        <f t="shared" si="41"/>
        <v/>
      </c>
      <c r="M313" s="30"/>
      <c r="N313" s="26" t="str">
        <f t="shared" si="42"/>
        <v/>
      </c>
      <c r="O313" s="20" t="str">
        <f t="shared" si="43"/>
        <v/>
      </c>
      <c r="P313" s="31" t="str">
        <f t="shared" si="44"/>
        <v/>
      </c>
      <c r="Q313" s="32" t="str">
        <f t="shared" si="45"/>
        <v/>
      </c>
      <c r="R313" t="str">
        <f t="shared" si="46"/>
        <v/>
      </c>
      <c r="S313" s="20" t="str">
        <f t="shared" si="47"/>
        <v/>
      </c>
      <c r="T313" s="20"/>
      <c r="U313" t="str">
        <f t="shared" si="48"/>
        <v/>
      </c>
      <c r="V313" s="20"/>
      <c r="W313" s="20" t="str">
        <f t="shared" si="49"/>
        <v/>
      </c>
      <c r="X313" s="25"/>
      <c r="Y313" s="25"/>
    </row>
    <row r="314" spans="1:25" x14ac:dyDescent="0.25">
      <c r="A314">
        <v>311</v>
      </c>
      <c r="B314" s="25"/>
      <c r="D314" s="30"/>
      <c r="G314" s="30"/>
      <c r="H314" t="str">
        <f t="shared" si="40"/>
        <v/>
      </c>
      <c r="J314" s="20"/>
      <c r="K314" s="20"/>
      <c r="L314" s="20" t="str">
        <f t="shared" si="41"/>
        <v/>
      </c>
      <c r="M314" s="30"/>
      <c r="N314" s="26" t="str">
        <f t="shared" si="42"/>
        <v/>
      </c>
      <c r="O314" s="20" t="str">
        <f t="shared" si="43"/>
        <v/>
      </c>
      <c r="P314" s="31" t="str">
        <f t="shared" si="44"/>
        <v/>
      </c>
      <c r="Q314" s="32" t="str">
        <f t="shared" si="45"/>
        <v/>
      </c>
      <c r="R314" t="str">
        <f t="shared" si="46"/>
        <v/>
      </c>
      <c r="S314" s="20" t="str">
        <f t="shared" si="47"/>
        <v/>
      </c>
      <c r="T314" s="20"/>
      <c r="U314" t="str">
        <f t="shared" si="48"/>
        <v/>
      </c>
      <c r="V314" s="20"/>
      <c r="W314" s="20" t="str">
        <f t="shared" si="49"/>
        <v/>
      </c>
      <c r="X314" s="25"/>
      <c r="Y314" s="25"/>
    </row>
    <row r="315" spans="1:25" x14ac:dyDescent="0.25">
      <c r="A315">
        <v>312</v>
      </c>
      <c r="B315" s="25"/>
      <c r="D315" s="30"/>
      <c r="G315" s="30"/>
      <c r="H315" t="str">
        <f t="shared" si="40"/>
        <v/>
      </c>
      <c r="J315" s="20"/>
      <c r="K315" s="20"/>
      <c r="L315" s="20" t="str">
        <f t="shared" si="41"/>
        <v/>
      </c>
      <c r="M315" s="30"/>
      <c r="N315" s="26" t="str">
        <f t="shared" si="42"/>
        <v/>
      </c>
      <c r="O315" s="20" t="str">
        <f t="shared" si="43"/>
        <v/>
      </c>
      <c r="P315" s="31" t="str">
        <f t="shared" si="44"/>
        <v/>
      </c>
      <c r="Q315" s="32" t="str">
        <f t="shared" si="45"/>
        <v/>
      </c>
      <c r="R315" t="str">
        <f t="shared" si="46"/>
        <v/>
      </c>
      <c r="S315" s="20" t="str">
        <f t="shared" si="47"/>
        <v/>
      </c>
      <c r="T315" s="20"/>
      <c r="U315" t="str">
        <f t="shared" si="48"/>
        <v/>
      </c>
      <c r="V315" s="20"/>
      <c r="W315" s="20" t="str">
        <f t="shared" si="49"/>
        <v/>
      </c>
      <c r="X315" s="25"/>
      <c r="Y315" s="25"/>
    </row>
    <row r="316" spans="1:25" x14ac:dyDescent="0.25">
      <c r="A316">
        <v>313</v>
      </c>
      <c r="B316" s="25"/>
      <c r="D316" s="30"/>
      <c r="G316" s="30"/>
      <c r="H316" t="str">
        <f t="shared" si="40"/>
        <v/>
      </c>
      <c r="J316" s="20"/>
      <c r="K316" s="20"/>
      <c r="L316" s="20" t="str">
        <f t="shared" si="41"/>
        <v/>
      </c>
      <c r="M316" s="30"/>
      <c r="N316" s="26" t="str">
        <f t="shared" si="42"/>
        <v/>
      </c>
      <c r="O316" s="20" t="str">
        <f t="shared" si="43"/>
        <v/>
      </c>
      <c r="P316" s="31" t="str">
        <f t="shared" si="44"/>
        <v/>
      </c>
      <c r="Q316" s="32" t="str">
        <f t="shared" si="45"/>
        <v/>
      </c>
      <c r="R316" t="str">
        <f t="shared" si="46"/>
        <v/>
      </c>
      <c r="S316" s="20" t="str">
        <f t="shared" si="47"/>
        <v/>
      </c>
      <c r="T316" s="20"/>
      <c r="U316" t="str">
        <f t="shared" si="48"/>
        <v/>
      </c>
      <c r="V316" s="20"/>
      <c r="W316" s="20" t="str">
        <f t="shared" si="49"/>
        <v/>
      </c>
      <c r="X316" s="25"/>
      <c r="Y316" s="25"/>
    </row>
    <row r="317" spans="1:25" x14ac:dyDescent="0.25">
      <c r="A317">
        <v>314</v>
      </c>
      <c r="B317" s="25"/>
      <c r="D317" s="30"/>
      <c r="G317" s="30"/>
      <c r="H317" t="str">
        <f t="shared" si="40"/>
        <v/>
      </c>
      <c r="J317" s="20"/>
      <c r="K317" s="20"/>
      <c r="L317" s="20" t="str">
        <f t="shared" si="41"/>
        <v/>
      </c>
      <c r="M317" s="30"/>
      <c r="N317" s="26" t="str">
        <f t="shared" si="42"/>
        <v/>
      </c>
      <c r="O317" s="20" t="str">
        <f t="shared" si="43"/>
        <v/>
      </c>
      <c r="P317" s="31" t="str">
        <f t="shared" si="44"/>
        <v/>
      </c>
      <c r="Q317" s="32" t="str">
        <f t="shared" si="45"/>
        <v/>
      </c>
      <c r="R317" t="str">
        <f t="shared" si="46"/>
        <v/>
      </c>
      <c r="S317" s="20" t="str">
        <f t="shared" si="47"/>
        <v/>
      </c>
      <c r="T317" s="20"/>
      <c r="U317" t="str">
        <f t="shared" si="48"/>
        <v/>
      </c>
      <c r="V317" s="20"/>
      <c r="W317" s="20" t="str">
        <f t="shared" si="49"/>
        <v/>
      </c>
      <c r="X317" s="25"/>
      <c r="Y317" s="25"/>
    </row>
    <row r="318" spans="1:25" x14ac:dyDescent="0.25">
      <c r="A318">
        <v>315</v>
      </c>
      <c r="B318" s="25"/>
      <c r="D318" s="30"/>
      <c r="G318" s="30"/>
      <c r="H318" t="str">
        <f t="shared" si="40"/>
        <v/>
      </c>
      <c r="J318" s="20"/>
      <c r="K318" s="20"/>
      <c r="L318" s="20" t="str">
        <f t="shared" si="41"/>
        <v/>
      </c>
      <c r="M318" s="30"/>
      <c r="N318" s="26" t="str">
        <f t="shared" si="42"/>
        <v/>
      </c>
      <c r="O318" s="20" t="str">
        <f t="shared" si="43"/>
        <v/>
      </c>
      <c r="P318" s="31" t="str">
        <f t="shared" si="44"/>
        <v/>
      </c>
      <c r="Q318" s="32" t="str">
        <f t="shared" si="45"/>
        <v/>
      </c>
      <c r="R318" t="str">
        <f t="shared" si="46"/>
        <v/>
      </c>
      <c r="S318" s="20" t="str">
        <f t="shared" si="47"/>
        <v/>
      </c>
      <c r="T318" s="20"/>
      <c r="U318" t="str">
        <f t="shared" si="48"/>
        <v/>
      </c>
      <c r="V318" s="20"/>
      <c r="W318" s="20" t="str">
        <f t="shared" si="49"/>
        <v/>
      </c>
      <c r="X318" s="25"/>
      <c r="Y318" s="25"/>
    </row>
    <row r="319" spans="1:25" x14ac:dyDescent="0.25">
      <c r="A319">
        <v>316</v>
      </c>
      <c r="B319" s="25"/>
      <c r="D319" s="30"/>
      <c r="G319" s="30"/>
      <c r="H319" t="str">
        <f t="shared" si="40"/>
        <v/>
      </c>
      <c r="J319" s="20"/>
      <c r="K319" s="20"/>
      <c r="L319" s="20" t="str">
        <f t="shared" si="41"/>
        <v/>
      </c>
      <c r="M319" s="30"/>
      <c r="N319" s="26" t="str">
        <f t="shared" si="42"/>
        <v/>
      </c>
      <c r="O319" s="20" t="str">
        <f t="shared" si="43"/>
        <v/>
      </c>
      <c r="P319" s="31" t="str">
        <f t="shared" si="44"/>
        <v/>
      </c>
      <c r="Q319" s="32" t="str">
        <f t="shared" si="45"/>
        <v/>
      </c>
      <c r="R319" t="str">
        <f t="shared" si="46"/>
        <v/>
      </c>
      <c r="S319" s="20" t="str">
        <f t="shared" si="47"/>
        <v/>
      </c>
      <c r="T319" s="20"/>
      <c r="U319" t="str">
        <f t="shared" si="48"/>
        <v/>
      </c>
      <c r="V319" s="20"/>
      <c r="W319" s="20" t="str">
        <f t="shared" si="49"/>
        <v/>
      </c>
      <c r="X319" s="25"/>
      <c r="Y319" s="25"/>
    </row>
    <row r="320" spans="1:25" x14ac:dyDescent="0.25">
      <c r="A320">
        <v>317</v>
      </c>
      <c r="B320" s="25"/>
      <c r="D320" s="30"/>
      <c r="G320" s="30"/>
      <c r="H320" t="str">
        <f t="shared" si="40"/>
        <v/>
      </c>
      <c r="J320" s="20"/>
      <c r="K320" s="20"/>
      <c r="L320" s="20" t="str">
        <f t="shared" si="41"/>
        <v/>
      </c>
      <c r="M320" s="30"/>
      <c r="N320" s="26" t="str">
        <f t="shared" si="42"/>
        <v/>
      </c>
      <c r="O320" s="20" t="str">
        <f t="shared" si="43"/>
        <v/>
      </c>
      <c r="P320" s="31" t="str">
        <f t="shared" si="44"/>
        <v/>
      </c>
      <c r="Q320" s="32" t="str">
        <f t="shared" si="45"/>
        <v/>
      </c>
      <c r="R320" t="str">
        <f t="shared" si="46"/>
        <v/>
      </c>
      <c r="S320" s="20" t="str">
        <f t="shared" si="47"/>
        <v/>
      </c>
      <c r="T320" s="20"/>
      <c r="U320" t="str">
        <f t="shared" si="48"/>
        <v/>
      </c>
      <c r="V320" s="20"/>
      <c r="W320" s="20" t="str">
        <f t="shared" si="49"/>
        <v/>
      </c>
      <c r="X320" s="25"/>
      <c r="Y320" s="25"/>
    </row>
    <row r="321" spans="1:25" x14ac:dyDescent="0.25">
      <c r="A321">
        <v>318</v>
      </c>
      <c r="B321" s="25"/>
      <c r="D321" s="30"/>
      <c r="G321" s="30"/>
      <c r="H321" t="str">
        <f t="shared" si="40"/>
        <v/>
      </c>
      <c r="J321" s="20"/>
      <c r="K321" s="20"/>
      <c r="L321" s="20" t="str">
        <f t="shared" si="41"/>
        <v/>
      </c>
      <c r="M321" s="30"/>
      <c r="N321" s="26" t="str">
        <f t="shared" si="42"/>
        <v/>
      </c>
      <c r="O321" s="20" t="str">
        <f t="shared" si="43"/>
        <v/>
      </c>
      <c r="P321" s="31" t="str">
        <f t="shared" si="44"/>
        <v/>
      </c>
      <c r="Q321" s="32" t="str">
        <f t="shared" si="45"/>
        <v/>
      </c>
      <c r="R321" t="str">
        <f t="shared" si="46"/>
        <v/>
      </c>
      <c r="S321" s="20" t="str">
        <f t="shared" si="47"/>
        <v/>
      </c>
      <c r="T321" s="20"/>
      <c r="U321" t="str">
        <f t="shared" si="48"/>
        <v/>
      </c>
      <c r="V321" s="20"/>
      <c r="W321" s="20" t="str">
        <f t="shared" si="49"/>
        <v/>
      </c>
      <c r="X321" s="25"/>
      <c r="Y321" s="25"/>
    </row>
    <row r="322" spans="1:25" x14ac:dyDescent="0.25">
      <c r="A322">
        <v>319</v>
      </c>
      <c r="B322" s="25"/>
      <c r="D322" s="30"/>
      <c r="G322" s="30"/>
      <c r="H322" t="str">
        <f t="shared" si="40"/>
        <v/>
      </c>
      <c r="J322" s="20"/>
      <c r="K322" s="20"/>
      <c r="L322" s="20" t="str">
        <f t="shared" si="41"/>
        <v/>
      </c>
      <c r="M322" s="30"/>
      <c r="N322" s="26" t="str">
        <f t="shared" si="42"/>
        <v/>
      </c>
      <c r="O322" s="20" t="str">
        <f t="shared" si="43"/>
        <v/>
      </c>
      <c r="P322" s="31" t="str">
        <f t="shared" si="44"/>
        <v/>
      </c>
      <c r="Q322" s="32" t="str">
        <f t="shared" si="45"/>
        <v/>
      </c>
      <c r="R322" t="str">
        <f t="shared" si="46"/>
        <v/>
      </c>
      <c r="S322" s="20" t="str">
        <f t="shared" si="47"/>
        <v/>
      </c>
      <c r="T322" s="20"/>
      <c r="U322" t="str">
        <f t="shared" si="48"/>
        <v/>
      </c>
      <c r="V322" s="20"/>
      <c r="W322" s="20" t="str">
        <f t="shared" si="49"/>
        <v/>
      </c>
      <c r="X322" s="25"/>
      <c r="Y322" s="25"/>
    </row>
    <row r="323" spans="1:25" x14ac:dyDescent="0.25">
      <c r="A323">
        <v>320</v>
      </c>
      <c r="B323" s="25"/>
      <c r="D323" s="30"/>
      <c r="G323" s="30"/>
      <c r="H323" t="str">
        <f t="shared" si="40"/>
        <v/>
      </c>
      <c r="J323" s="20"/>
      <c r="K323" s="20"/>
      <c r="L323" s="20" t="str">
        <f t="shared" si="41"/>
        <v/>
      </c>
      <c r="M323" s="30"/>
      <c r="N323" s="26" t="str">
        <f t="shared" si="42"/>
        <v/>
      </c>
      <c r="O323" s="20" t="str">
        <f t="shared" si="43"/>
        <v/>
      </c>
      <c r="P323" s="31" t="str">
        <f t="shared" si="44"/>
        <v/>
      </c>
      <c r="Q323" s="32" t="str">
        <f t="shared" si="45"/>
        <v/>
      </c>
      <c r="R323" t="str">
        <f t="shared" si="46"/>
        <v/>
      </c>
      <c r="S323" s="20" t="str">
        <f t="shared" si="47"/>
        <v/>
      </c>
      <c r="T323" s="20"/>
      <c r="U323" t="str">
        <f t="shared" si="48"/>
        <v/>
      </c>
      <c r="V323" s="20"/>
      <c r="W323" s="20" t="str">
        <f t="shared" si="49"/>
        <v/>
      </c>
      <c r="X323" s="25"/>
      <c r="Y323" s="25"/>
    </row>
    <row r="324" spans="1:25" x14ac:dyDescent="0.25">
      <c r="A324">
        <v>321</v>
      </c>
      <c r="B324" s="25"/>
      <c r="D324" s="30"/>
      <c r="G324" s="30"/>
      <c r="H324" t="str">
        <f t="shared" ref="H324:H387" si="50">IF($G324="","",IFERROR(INDEX(Catalogo_Etiquetas,MATCH($G324,Catalogo_Codigos,0)),"CODIGO NO VALIDO"))</f>
        <v/>
      </c>
      <c r="J324" s="20"/>
      <c r="K324" s="20"/>
      <c r="L324" s="20" t="str">
        <f t="shared" ref="L324:L387" si="51">IF($C324="","",$J324+$K324)</f>
        <v/>
      </c>
      <c r="M324" s="30"/>
      <c r="N324" s="26" t="str">
        <f t="shared" ref="N324:N387" si="52">IF($C324="","",IF($I324="PEN",1,IFERROR(IF(_xlfn.XLOOKUP($B324,TC_Fechas,TC_Venta_Rango,"",-1)="","",_xlfn.XLOOKUP($B324,TC_Fechas,TC_Venta_Rango,"",-1)),"")))</f>
        <v/>
      </c>
      <c r="O324" s="20" t="str">
        <f t="shared" ref="O324:O387" si="53">IF(OR($C324="",$N324=""),"",ROUND($J324*$N324,2)+ROUND($K324*$N324,2))</f>
        <v/>
      </c>
      <c r="P324" s="31" t="str">
        <f t="shared" ref="P324:P387" si="54">IF($G324="","",IFERROR(INDEX(Catalogo_Tasas,MATCH($G324,Catalogo_Codigos,0)),""))</f>
        <v/>
      </c>
      <c r="Q324" s="32" t="str">
        <f t="shared" ref="Q324:Q387" si="55">IF($G324="","",IFERROR(INDEX(Catalogo_Umbrales,MATCH($G324,Catalogo_Codigos,0)),""))</f>
        <v/>
      </c>
      <c r="R324" t="str">
        <f t="shared" ref="R324:R387" si="56">IF(OR($C324="",$P324="",$O324=""),"",IF($F324&lt;&gt;"FACTURA","NO",IF(AND($P324&gt;0,$O324&gt;$Q324),"SI","NO")))</f>
        <v/>
      </c>
      <c r="S324" s="20" t="str">
        <f t="shared" ref="S324:S387" si="57">IF($R324="SI",ROUND($O324*$P324,2),IF($C324="","",0))</f>
        <v/>
      </c>
      <c r="T324" s="20"/>
      <c r="U324" t="str">
        <f t="shared" ref="U324:U387" si="58">IF($C324="","",IF($R324&lt;&gt;"SI","",IF($T324="","SIN DATO",IF(ABS($T324-$S324)&lt;=0.5,"OK","REVISAR"))))</f>
        <v/>
      </c>
      <c r="V324" s="20"/>
      <c r="W324" s="20" t="str">
        <f t="shared" ref="W324:W387" si="59">IF(OR($C324="",$N324=""),"",IF($F324="RHE",ROUND($L324-$V324,2),ROUND($L324-($S324/$N324),2)))</f>
        <v/>
      </c>
      <c r="X324" s="25"/>
      <c r="Y324" s="25"/>
    </row>
    <row r="325" spans="1:25" x14ac:dyDescent="0.25">
      <c r="A325">
        <v>322</v>
      </c>
      <c r="B325" s="25"/>
      <c r="D325" s="30"/>
      <c r="G325" s="30"/>
      <c r="H325" t="str">
        <f t="shared" si="50"/>
        <v/>
      </c>
      <c r="J325" s="20"/>
      <c r="K325" s="20"/>
      <c r="L325" s="20" t="str">
        <f t="shared" si="51"/>
        <v/>
      </c>
      <c r="M325" s="30"/>
      <c r="N325" s="26" t="str">
        <f t="shared" si="52"/>
        <v/>
      </c>
      <c r="O325" s="20" t="str">
        <f t="shared" si="53"/>
        <v/>
      </c>
      <c r="P325" s="31" t="str">
        <f t="shared" si="54"/>
        <v/>
      </c>
      <c r="Q325" s="32" t="str">
        <f t="shared" si="55"/>
        <v/>
      </c>
      <c r="R325" t="str">
        <f t="shared" si="56"/>
        <v/>
      </c>
      <c r="S325" s="20" t="str">
        <f t="shared" si="57"/>
        <v/>
      </c>
      <c r="T325" s="20"/>
      <c r="U325" t="str">
        <f t="shared" si="58"/>
        <v/>
      </c>
      <c r="V325" s="20"/>
      <c r="W325" s="20" t="str">
        <f t="shared" si="59"/>
        <v/>
      </c>
      <c r="X325" s="25"/>
      <c r="Y325" s="25"/>
    </row>
    <row r="326" spans="1:25" x14ac:dyDescent="0.25">
      <c r="A326">
        <v>323</v>
      </c>
      <c r="B326" s="25"/>
      <c r="D326" s="30"/>
      <c r="G326" s="30"/>
      <c r="H326" t="str">
        <f t="shared" si="50"/>
        <v/>
      </c>
      <c r="J326" s="20"/>
      <c r="K326" s="20"/>
      <c r="L326" s="20" t="str">
        <f t="shared" si="51"/>
        <v/>
      </c>
      <c r="M326" s="30"/>
      <c r="N326" s="26" t="str">
        <f t="shared" si="52"/>
        <v/>
      </c>
      <c r="O326" s="20" t="str">
        <f t="shared" si="53"/>
        <v/>
      </c>
      <c r="P326" s="31" t="str">
        <f t="shared" si="54"/>
        <v/>
      </c>
      <c r="Q326" s="32" t="str">
        <f t="shared" si="55"/>
        <v/>
      </c>
      <c r="R326" t="str">
        <f t="shared" si="56"/>
        <v/>
      </c>
      <c r="S326" s="20" t="str">
        <f t="shared" si="57"/>
        <v/>
      </c>
      <c r="T326" s="20"/>
      <c r="U326" t="str">
        <f t="shared" si="58"/>
        <v/>
      </c>
      <c r="V326" s="20"/>
      <c r="W326" s="20" t="str">
        <f t="shared" si="59"/>
        <v/>
      </c>
      <c r="X326" s="25"/>
      <c r="Y326" s="25"/>
    </row>
    <row r="327" spans="1:25" x14ac:dyDescent="0.25">
      <c r="A327">
        <v>324</v>
      </c>
      <c r="B327" s="25"/>
      <c r="D327" s="30"/>
      <c r="G327" s="30"/>
      <c r="H327" t="str">
        <f t="shared" si="50"/>
        <v/>
      </c>
      <c r="J327" s="20"/>
      <c r="K327" s="20"/>
      <c r="L327" s="20" t="str">
        <f t="shared" si="51"/>
        <v/>
      </c>
      <c r="M327" s="30"/>
      <c r="N327" s="26" t="str">
        <f t="shared" si="52"/>
        <v/>
      </c>
      <c r="O327" s="20" t="str">
        <f t="shared" si="53"/>
        <v/>
      </c>
      <c r="P327" s="31" t="str">
        <f t="shared" si="54"/>
        <v/>
      </c>
      <c r="Q327" s="32" t="str">
        <f t="shared" si="55"/>
        <v/>
      </c>
      <c r="R327" t="str">
        <f t="shared" si="56"/>
        <v/>
      </c>
      <c r="S327" s="20" t="str">
        <f t="shared" si="57"/>
        <v/>
      </c>
      <c r="T327" s="20"/>
      <c r="U327" t="str">
        <f t="shared" si="58"/>
        <v/>
      </c>
      <c r="V327" s="20"/>
      <c r="W327" s="20" t="str">
        <f t="shared" si="59"/>
        <v/>
      </c>
      <c r="X327" s="25"/>
      <c r="Y327" s="25"/>
    </row>
    <row r="328" spans="1:25" x14ac:dyDescent="0.25">
      <c r="A328">
        <v>325</v>
      </c>
      <c r="B328" s="25"/>
      <c r="D328" s="30"/>
      <c r="G328" s="30"/>
      <c r="H328" t="str">
        <f t="shared" si="50"/>
        <v/>
      </c>
      <c r="J328" s="20"/>
      <c r="K328" s="20"/>
      <c r="L328" s="20" t="str">
        <f t="shared" si="51"/>
        <v/>
      </c>
      <c r="M328" s="30"/>
      <c r="N328" s="26" t="str">
        <f t="shared" si="52"/>
        <v/>
      </c>
      <c r="O328" s="20" t="str">
        <f t="shared" si="53"/>
        <v/>
      </c>
      <c r="P328" s="31" t="str">
        <f t="shared" si="54"/>
        <v/>
      </c>
      <c r="Q328" s="32" t="str">
        <f t="shared" si="55"/>
        <v/>
      </c>
      <c r="R328" t="str">
        <f t="shared" si="56"/>
        <v/>
      </c>
      <c r="S328" s="20" t="str">
        <f t="shared" si="57"/>
        <v/>
      </c>
      <c r="T328" s="20"/>
      <c r="U328" t="str">
        <f t="shared" si="58"/>
        <v/>
      </c>
      <c r="V328" s="20"/>
      <c r="W328" s="20" t="str">
        <f t="shared" si="59"/>
        <v/>
      </c>
      <c r="X328" s="25"/>
      <c r="Y328" s="25"/>
    </row>
    <row r="329" spans="1:25" x14ac:dyDescent="0.25">
      <c r="A329">
        <v>326</v>
      </c>
      <c r="B329" s="25"/>
      <c r="D329" s="30"/>
      <c r="G329" s="30"/>
      <c r="H329" t="str">
        <f t="shared" si="50"/>
        <v/>
      </c>
      <c r="J329" s="20"/>
      <c r="K329" s="20"/>
      <c r="L329" s="20" t="str">
        <f t="shared" si="51"/>
        <v/>
      </c>
      <c r="M329" s="30"/>
      <c r="N329" s="26" t="str">
        <f t="shared" si="52"/>
        <v/>
      </c>
      <c r="O329" s="20" t="str">
        <f t="shared" si="53"/>
        <v/>
      </c>
      <c r="P329" s="31" t="str">
        <f t="shared" si="54"/>
        <v/>
      </c>
      <c r="Q329" s="32" t="str">
        <f t="shared" si="55"/>
        <v/>
      </c>
      <c r="R329" t="str">
        <f t="shared" si="56"/>
        <v/>
      </c>
      <c r="S329" s="20" t="str">
        <f t="shared" si="57"/>
        <v/>
      </c>
      <c r="T329" s="20"/>
      <c r="U329" t="str">
        <f t="shared" si="58"/>
        <v/>
      </c>
      <c r="V329" s="20"/>
      <c r="W329" s="20" t="str">
        <f t="shared" si="59"/>
        <v/>
      </c>
      <c r="X329" s="25"/>
      <c r="Y329" s="25"/>
    </row>
    <row r="330" spans="1:25" x14ac:dyDescent="0.25">
      <c r="A330">
        <v>327</v>
      </c>
      <c r="B330" s="25"/>
      <c r="D330" s="30"/>
      <c r="G330" s="30"/>
      <c r="H330" t="str">
        <f t="shared" si="50"/>
        <v/>
      </c>
      <c r="J330" s="20"/>
      <c r="K330" s="20"/>
      <c r="L330" s="20" t="str">
        <f t="shared" si="51"/>
        <v/>
      </c>
      <c r="M330" s="30"/>
      <c r="N330" s="26" t="str">
        <f t="shared" si="52"/>
        <v/>
      </c>
      <c r="O330" s="20" t="str">
        <f t="shared" si="53"/>
        <v/>
      </c>
      <c r="P330" s="31" t="str">
        <f t="shared" si="54"/>
        <v/>
      </c>
      <c r="Q330" s="32" t="str">
        <f t="shared" si="55"/>
        <v/>
      </c>
      <c r="R330" t="str">
        <f t="shared" si="56"/>
        <v/>
      </c>
      <c r="S330" s="20" t="str">
        <f t="shared" si="57"/>
        <v/>
      </c>
      <c r="T330" s="20"/>
      <c r="U330" t="str">
        <f t="shared" si="58"/>
        <v/>
      </c>
      <c r="V330" s="20"/>
      <c r="W330" s="20" t="str">
        <f t="shared" si="59"/>
        <v/>
      </c>
      <c r="X330" s="25"/>
      <c r="Y330" s="25"/>
    </row>
    <row r="331" spans="1:25" x14ac:dyDescent="0.25">
      <c r="A331">
        <v>328</v>
      </c>
      <c r="B331" s="25"/>
      <c r="D331" s="30"/>
      <c r="G331" s="30"/>
      <c r="H331" t="str">
        <f t="shared" si="50"/>
        <v/>
      </c>
      <c r="J331" s="20"/>
      <c r="K331" s="20"/>
      <c r="L331" s="20" t="str">
        <f t="shared" si="51"/>
        <v/>
      </c>
      <c r="M331" s="30"/>
      <c r="N331" s="26" t="str">
        <f t="shared" si="52"/>
        <v/>
      </c>
      <c r="O331" s="20" t="str">
        <f t="shared" si="53"/>
        <v/>
      </c>
      <c r="P331" s="31" t="str">
        <f t="shared" si="54"/>
        <v/>
      </c>
      <c r="Q331" s="32" t="str">
        <f t="shared" si="55"/>
        <v/>
      </c>
      <c r="R331" t="str">
        <f t="shared" si="56"/>
        <v/>
      </c>
      <c r="S331" s="20" t="str">
        <f t="shared" si="57"/>
        <v/>
      </c>
      <c r="T331" s="20"/>
      <c r="U331" t="str">
        <f t="shared" si="58"/>
        <v/>
      </c>
      <c r="V331" s="20"/>
      <c r="W331" s="20" t="str">
        <f t="shared" si="59"/>
        <v/>
      </c>
      <c r="X331" s="25"/>
      <c r="Y331" s="25"/>
    </row>
    <row r="332" spans="1:25" x14ac:dyDescent="0.25">
      <c r="A332">
        <v>329</v>
      </c>
      <c r="B332" s="25"/>
      <c r="D332" s="30"/>
      <c r="G332" s="30"/>
      <c r="H332" t="str">
        <f t="shared" si="50"/>
        <v/>
      </c>
      <c r="J332" s="20"/>
      <c r="K332" s="20"/>
      <c r="L332" s="20" t="str">
        <f t="shared" si="51"/>
        <v/>
      </c>
      <c r="M332" s="30"/>
      <c r="N332" s="26" t="str">
        <f t="shared" si="52"/>
        <v/>
      </c>
      <c r="O332" s="20" t="str">
        <f t="shared" si="53"/>
        <v/>
      </c>
      <c r="P332" s="31" t="str">
        <f t="shared" si="54"/>
        <v/>
      </c>
      <c r="Q332" s="32" t="str">
        <f t="shared" si="55"/>
        <v/>
      </c>
      <c r="R332" t="str">
        <f t="shared" si="56"/>
        <v/>
      </c>
      <c r="S332" s="20" t="str">
        <f t="shared" si="57"/>
        <v/>
      </c>
      <c r="T332" s="20"/>
      <c r="U332" t="str">
        <f t="shared" si="58"/>
        <v/>
      </c>
      <c r="V332" s="20"/>
      <c r="W332" s="20" t="str">
        <f t="shared" si="59"/>
        <v/>
      </c>
      <c r="X332" s="25"/>
      <c r="Y332" s="25"/>
    </row>
    <row r="333" spans="1:25" x14ac:dyDescent="0.25">
      <c r="A333">
        <v>330</v>
      </c>
      <c r="B333" s="25"/>
      <c r="D333" s="30"/>
      <c r="G333" s="30"/>
      <c r="H333" t="str">
        <f t="shared" si="50"/>
        <v/>
      </c>
      <c r="J333" s="20"/>
      <c r="K333" s="20"/>
      <c r="L333" s="20" t="str">
        <f t="shared" si="51"/>
        <v/>
      </c>
      <c r="M333" s="30"/>
      <c r="N333" s="26" t="str">
        <f t="shared" si="52"/>
        <v/>
      </c>
      <c r="O333" s="20" t="str">
        <f t="shared" si="53"/>
        <v/>
      </c>
      <c r="P333" s="31" t="str">
        <f t="shared" si="54"/>
        <v/>
      </c>
      <c r="Q333" s="32" t="str">
        <f t="shared" si="55"/>
        <v/>
      </c>
      <c r="R333" t="str">
        <f t="shared" si="56"/>
        <v/>
      </c>
      <c r="S333" s="20" t="str">
        <f t="shared" si="57"/>
        <v/>
      </c>
      <c r="T333" s="20"/>
      <c r="U333" t="str">
        <f t="shared" si="58"/>
        <v/>
      </c>
      <c r="V333" s="20"/>
      <c r="W333" s="20" t="str">
        <f t="shared" si="59"/>
        <v/>
      </c>
      <c r="X333" s="25"/>
      <c r="Y333" s="25"/>
    </row>
    <row r="334" spans="1:25" x14ac:dyDescent="0.25">
      <c r="A334">
        <v>331</v>
      </c>
      <c r="B334" s="25"/>
      <c r="D334" s="30"/>
      <c r="G334" s="30"/>
      <c r="H334" t="str">
        <f t="shared" si="50"/>
        <v/>
      </c>
      <c r="J334" s="20"/>
      <c r="K334" s="20"/>
      <c r="L334" s="20" t="str">
        <f t="shared" si="51"/>
        <v/>
      </c>
      <c r="M334" s="30"/>
      <c r="N334" s="26" t="str">
        <f t="shared" si="52"/>
        <v/>
      </c>
      <c r="O334" s="20" t="str">
        <f t="shared" si="53"/>
        <v/>
      </c>
      <c r="P334" s="31" t="str">
        <f t="shared" si="54"/>
        <v/>
      </c>
      <c r="Q334" s="32" t="str">
        <f t="shared" si="55"/>
        <v/>
      </c>
      <c r="R334" t="str">
        <f t="shared" si="56"/>
        <v/>
      </c>
      <c r="S334" s="20" t="str">
        <f t="shared" si="57"/>
        <v/>
      </c>
      <c r="T334" s="20"/>
      <c r="U334" t="str">
        <f t="shared" si="58"/>
        <v/>
      </c>
      <c r="V334" s="20"/>
      <c r="W334" s="20" t="str">
        <f t="shared" si="59"/>
        <v/>
      </c>
      <c r="X334" s="25"/>
      <c r="Y334" s="25"/>
    </row>
    <row r="335" spans="1:25" x14ac:dyDescent="0.25">
      <c r="A335">
        <v>332</v>
      </c>
      <c r="B335" s="25"/>
      <c r="D335" s="30"/>
      <c r="G335" s="30"/>
      <c r="H335" t="str">
        <f t="shared" si="50"/>
        <v/>
      </c>
      <c r="J335" s="20"/>
      <c r="K335" s="20"/>
      <c r="L335" s="20" t="str">
        <f t="shared" si="51"/>
        <v/>
      </c>
      <c r="M335" s="30"/>
      <c r="N335" s="26" t="str">
        <f t="shared" si="52"/>
        <v/>
      </c>
      <c r="O335" s="20" t="str">
        <f t="shared" si="53"/>
        <v/>
      </c>
      <c r="P335" s="31" t="str">
        <f t="shared" si="54"/>
        <v/>
      </c>
      <c r="Q335" s="32" t="str">
        <f t="shared" si="55"/>
        <v/>
      </c>
      <c r="R335" t="str">
        <f t="shared" si="56"/>
        <v/>
      </c>
      <c r="S335" s="20" t="str">
        <f t="shared" si="57"/>
        <v/>
      </c>
      <c r="T335" s="20"/>
      <c r="U335" t="str">
        <f t="shared" si="58"/>
        <v/>
      </c>
      <c r="V335" s="20"/>
      <c r="W335" s="20" t="str">
        <f t="shared" si="59"/>
        <v/>
      </c>
      <c r="X335" s="25"/>
      <c r="Y335" s="25"/>
    </row>
    <row r="336" spans="1:25" x14ac:dyDescent="0.25">
      <c r="A336">
        <v>333</v>
      </c>
      <c r="B336" s="25"/>
      <c r="D336" s="30"/>
      <c r="G336" s="30"/>
      <c r="H336" t="str">
        <f t="shared" si="50"/>
        <v/>
      </c>
      <c r="J336" s="20"/>
      <c r="K336" s="20"/>
      <c r="L336" s="20" t="str">
        <f t="shared" si="51"/>
        <v/>
      </c>
      <c r="M336" s="30"/>
      <c r="N336" s="26" t="str">
        <f t="shared" si="52"/>
        <v/>
      </c>
      <c r="O336" s="20" t="str">
        <f t="shared" si="53"/>
        <v/>
      </c>
      <c r="P336" s="31" t="str">
        <f t="shared" si="54"/>
        <v/>
      </c>
      <c r="Q336" s="32" t="str">
        <f t="shared" si="55"/>
        <v/>
      </c>
      <c r="R336" t="str">
        <f t="shared" si="56"/>
        <v/>
      </c>
      <c r="S336" s="20" t="str">
        <f t="shared" si="57"/>
        <v/>
      </c>
      <c r="T336" s="20"/>
      <c r="U336" t="str">
        <f t="shared" si="58"/>
        <v/>
      </c>
      <c r="V336" s="20"/>
      <c r="W336" s="20" t="str">
        <f t="shared" si="59"/>
        <v/>
      </c>
      <c r="X336" s="25"/>
      <c r="Y336" s="25"/>
    </row>
    <row r="337" spans="1:25" x14ac:dyDescent="0.25">
      <c r="A337">
        <v>334</v>
      </c>
      <c r="B337" s="25"/>
      <c r="D337" s="30"/>
      <c r="G337" s="30"/>
      <c r="H337" t="str">
        <f t="shared" si="50"/>
        <v/>
      </c>
      <c r="J337" s="20"/>
      <c r="K337" s="20"/>
      <c r="L337" s="20" t="str">
        <f t="shared" si="51"/>
        <v/>
      </c>
      <c r="M337" s="30"/>
      <c r="N337" s="26" t="str">
        <f t="shared" si="52"/>
        <v/>
      </c>
      <c r="O337" s="20" t="str">
        <f t="shared" si="53"/>
        <v/>
      </c>
      <c r="P337" s="31" t="str">
        <f t="shared" si="54"/>
        <v/>
      </c>
      <c r="Q337" s="32" t="str">
        <f t="shared" si="55"/>
        <v/>
      </c>
      <c r="R337" t="str">
        <f t="shared" si="56"/>
        <v/>
      </c>
      <c r="S337" s="20" t="str">
        <f t="shared" si="57"/>
        <v/>
      </c>
      <c r="T337" s="20"/>
      <c r="U337" t="str">
        <f t="shared" si="58"/>
        <v/>
      </c>
      <c r="V337" s="20"/>
      <c r="W337" s="20" t="str">
        <f t="shared" si="59"/>
        <v/>
      </c>
      <c r="X337" s="25"/>
      <c r="Y337" s="25"/>
    </row>
    <row r="338" spans="1:25" x14ac:dyDescent="0.25">
      <c r="A338">
        <v>335</v>
      </c>
      <c r="B338" s="25"/>
      <c r="D338" s="30"/>
      <c r="G338" s="30"/>
      <c r="H338" t="str">
        <f t="shared" si="50"/>
        <v/>
      </c>
      <c r="J338" s="20"/>
      <c r="K338" s="20"/>
      <c r="L338" s="20" t="str">
        <f t="shared" si="51"/>
        <v/>
      </c>
      <c r="M338" s="30"/>
      <c r="N338" s="26" t="str">
        <f t="shared" si="52"/>
        <v/>
      </c>
      <c r="O338" s="20" t="str">
        <f t="shared" si="53"/>
        <v/>
      </c>
      <c r="P338" s="31" t="str">
        <f t="shared" si="54"/>
        <v/>
      </c>
      <c r="Q338" s="32" t="str">
        <f t="shared" si="55"/>
        <v/>
      </c>
      <c r="R338" t="str">
        <f t="shared" si="56"/>
        <v/>
      </c>
      <c r="S338" s="20" t="str">
        <f t="shared" si="57"/>
        <v/>
      </c>
      <c r="T338" s="20"/>
      <c r="U338" t="str">
        <f t="shared" si="58"/>
        <v/>
      </c>
      <c r="V338" s="20"/>
      <c r="W338" s="20" t="str">
        <f t="shared" si="59"/>
        <v/>
      </c>
      <c r="X338" s="25"/>
      <c r="Y338" s="25"/>
    </row>
    <row r="339" spans="1:25" x14ac:dyDescent="0.25">
      <c r="A339">
        <v>336</v>
      </c>
      <c r="B339" s="25"/>
      <c r="D339" s="30"/>
      <c r="G339" s="30"/>
      <c r="H339" t="str">
        <f t="shared" si="50"/>
        <v/>
      </c>
      <c r="J339" s="20"/>
      <c r="K339" s="20"/>
      <c r="L339" s="20" t="str">
        <f t="shared" si="51"/>
        <v/>
      </c>
      <c r="M339" s="30"/>
      <c r="N339" s="26" t="str">
        <f t="shared" si="52"/>
        <v/>
      </c>
      <c r="O339" s="20" t="str">
        <f t="shared" si="53"/>
        <v/>
      </c>
      <c r="P339" s="31" t="str">
        <f t="shared" si="54"/>
        <v/>
      </c>
      <c r="Q339" s="32" t="str">
        <f t="shared" si="55"/>
        <v/>
      </c>
      <c r="R339" t="str">
        <f t="shared" si="56"/>
        <v/>
      </c>
      <c r="S339" s="20" t="str">
        <f t="shared" si="57"/>
        <v/>
      </c>
      <c r="T339" s="20"/>
      <c r="U339" t="str">
        <f t="shared" si="58"/>
        <v/>
      </c>
      <c r="V339" s="20"/>
      <c r="W339" s="20" t="str">
        <f t="shared" si="59"/>
        <v/>
      </c>
      <c r="X339" s="25"/>
      <c r="Y339" s="25"/>
    </row>
    <row r="340" spans="1:25" x14ac:dyDescent="0.25">
      <c r="A340">
        <v>337</v>
      </c>
      <c r="B340" s="25"/>
      <c r="D340" s="30"/>
      <c r="G340" s="30"/>
      <c r="H340" t="str">
        <f t="shared" si="50"/>
        <v/>
      </c>
      <c r="J340" s="20"/>
      <c r="K340" s="20"/>
      <c r="L340" s="20" t="str">
        <f t="shared" si="51"/>
        <v/>
      </c>
      <c r="M340" s="30"/>
      <c r="N340" s="26" t="str">
        <f t="shared" si="52"/>
        <v/>
      </c>
      <c r="O340" s="20" t="str">
        <f t="shared" si="53"/>
        <v/>
      </c>
      <c r="P340" s="31" t="str">
        <f t="shared" si="54"/>
        <v/>
      </c>
      <c r="Q340" s="32" t="str">
        <f t="shared" si="55"/>
        <v/>
      </c>
      <c r="R340" t="str">
        <f t="shared" si="56"/>
        <v/>
      </c>
      <c r="S340" s="20" t="str">
        <f t="shared" si="57"/>
        <v/>
      </c>
      <c r="T340" s="20"/>
      <c r="U340" t="str">
        <f t="shared" si="58"/>
        <v/>
      </c>
      <c r="V340" s="20"/>
      <c r="W340" s="20" t="str">
        <f t="shared" si="59"/>
        <v/>
      </c>
      <c r="X340" s="25"/>
      <c r="Y340" s="25"/>
    </row>
    <row r="341" spans="1:25" x14ac:dyDescent="0.25">
      <c r="A341">
        <v>338</v>
      </c>
      <c r="B341" s="25"/>
      <c r="D341" s="30"/>
      <c r="G341" s="30"/>
      <c r="H341" t="str">
        <f t="shared" si="50"/>
        <v/>
      </c>
      <c r="J341" s="20"/>
      <c r="K341" s="20"/>
      <c r="L341" s="20" t="str">
        <f t="shared" si="51"/>
        <v/>
      </c>
      <c r="M341" s="30"/>
      <c r="N341" s="26" t="str">
        <f t="shared" si="52"/>
        <v/>
      </c>
      <c r="O341" s="20" t="str">
        <f t="shared" si="53"/>
        <v/>
      </c>
      <c r="P341" s="31" t="str">
        <f t="shared" si="54"/>
        <v/>
      </c>
      <c r="Q341" s="32" t="str">
        <f t="shared" si="55"/>
        <v/>
      </c>
      <c r="R341" t="str">
        <f t="shared" si="56"/>
        <v/>
      </c>
      <c r="S341" s="20" t="str">
        <f t="shared" si="57"/>
        <v/>
      </c>
      <c r="T341" s="20"/>
      <c r="U341" t="str">
        <f t="shared" si="58"/>
        <v/>
      </c>
      <c r="V341" s="20"/>
      <c r="W341" s="20" t="str">
        <f t="shared" si="59"/>
        <v/>
      </c>
      <c r="X341" s="25"/>
      <c r="Y341" s="25"/>
    </row>
    <row r="342" spans="1:25" x14ac:dyDescent="0.25">
      <c r="A342">
        <v>339</v>
      </c>
      <c r="B342" s="25"/>
      <c r="D342" s="30"/>
      <c r="G342" s="30"/>
      <c r="H342" t="str">
        <f t="shared" si="50"/>
        <v/>
      </c>
      <c r="J342" s="20"/>
      <c r="K342" s="20"/>
      <c r="L342" s="20" t="str">
        <f t="shared" si="51"/>
        <v/>
      </c>
      <c r="M342" s="30"/>
      <c r="N342" s="26" t="str">
        <f t="shared" si="52"/>
        <v/>
      </c>
      <c r="O342" s="20" t="str">
        <f t="shared" si="53"/>
        <v/>
      </c>
      <c r="P342" s="31" t="str">
        <f t="shared" si="54"/>
        <v/>
      </c>
      <c r="Q342" s="32" t="str">
        <f t="shared" si="55"/>
        <v/>
      </c>
      <c r="R342" t="str">
        <f t="shared" si="56"/>
        <v/>
      </c>
      <c r="S342" s="20" t="str">
        <f t="shared" si="57"/>
        <v/>
      </c>
      <c r="T342" s="20"/>
      <c r="U342" t="str">
        <f t="shared" si="58"/>
        <v/>
      </c>
      <c r="V342" s="20"/>
      <c r="W342" s="20" t="str">
        <f t="shared" si="59"/>
        <v/>
      </c>
      <c r="X342" s="25"/>
      <c r="Y342" s="25"/>
    </row>
    <row r="343" spans="1:25" x14ac:dyDescent="0.25">
      <c r="A343">
        <v>340</v>
      </c>
      <c r="B343" s="25"/>
      <c r="D343" s="30"/>
      <c r="G343" s="30"/>
      <c r="H343" t="str">
        <f t="shared" si="50"/>
        <v/>
      </c>
      <c r="J343" s="20"/>
      <c r="K343" s="20"/>
      <c r="L343" s="20" t="str">
        <f t="shared" si="51"/>
        <v/>
      </c>
      <c r="M343" s="30"/>
      <c r="N343" s="26" t="str">
        <f t="shared" si="52"/>
        <v/>
      </c>
      <c r="O343" s="20" t="str">
        <f t="shared" si="53"/>
        <v/>
      </c>
      <c r="P343" s="31" t="str">
        <f t="shared" si="54"/>
        <v/>
      </c>
      <c r="Q343" s="32" t="str">
        <f t="shared" si="55"/>
        <v/>
      </c>
      <c r="R343" t="str">
        <f t="shared" si="56"/>
        <v/>
      </c>
      <c r="S343" s="20" t="str">
        <f t="shared" si="57"/>
        <v/>
      </c>
      <c r="T343" s="20"/>
      <c r="U343" t="str">
        <f t="shared" si="58"/>
        <v/>
      </c>
      <c r="V343" s="20"/>
      <c r="W343" s="20" t="str">
        <f t="shared" si="59"/>
        <v/>
      </c>
      <c r="X343" s="25"/>
      <c r="Y343" s="25"/>
    </row>
    <row r="344" spans="1:25" x14ac:dyDescent="0.25">
      <c r="A344">
        <v>341</v>
      </c>
      <c r="B344" s="25"/>
      <c r="D344" s="30"/>
      <c r="G344" s="30"/>
      <c r="H344" t="str">
        <f t="shared" si="50"/>
        <v/>
      </c>
      <c r="J344" s="20"/>
      <c r="K344" s="20"/>
      <c r="L344" s="20" t="str">
        <f t="shared" si="51"/>
        <v/>
      </c>
      <c r="M344" s="30"/>
      <c r="N344" s="26" t="str">
        <f t="shared" si="52"/>
        <v/>
      </c>
      <c r="O344" s="20" t="str">
        <f t="shared" si="53"/>
        <v/>
      </c>
      <c r="P344" s="31" t="str">
        <f t="shared" si="54"/>
        <v/>
      </c>
      <c r="Q344" s="32" t="str">
        <f t="shared" si="55"/>
        <v/>
      </c>
      <c r="R344" t="str">
        <f t="shared" si="56"/>
        <v/>
      </c>
      <c r="S344" s="20" t="str">
        <f t="shared" si="57"/>
        <v/>
      </c>
      <c r="T344" s="20"/>
      <c r="U344" t="str">
        <f t="shared" si="58"/>
        <v/>
      </c>
      <c r="V344" s="20"/>
      <c r="W344" s="20" t="str">
        <f t="shared" si="59"/>
        <v/>
      </c>
      <c r="X344" s="25"/>
      <c r="Y344" s="25"/>
    </row>
    <row r="345" spans="1:25" x14ac:dyDescent="0.25">
      <c r="A345">
        <v>342</v>
      </c>
      <c r="B345" s="25"/>
      <c r="D345" s="30"/>
      <c r="G345" s="30"/>
      <c r="H345" t="str">
        <f t="shared" si="50"/>
        <v/>
      </c>
      <c r="J345" s="20"/>
      <c r="K345" s="20"/>
      <c r="L345" s="20" t="str">
        <f t="shared" si="51"/>
        <v/>
      </c>
      <c r="M345" s="30"/>
      <c r="N345" s="26" t="str">
        <f t="shared" si="52"/>
        <v/>
      </c>
      <c r="O345" s="20" t="str">
        <f t="shared" si="53"/>
        <v/>
      </c>
      <c r="P345" s="31" t="str">
        <f t="shared" si="54"/>
        <v/>
      </c>
      <c r="Q345" s="32" t="str">
        <f t="shared" si="55"/>
        <v/>
      </c>
      <c r="R345" t="str">
        <f t="shared" si="56"/>
        <v/>
      </c>
      <c r="S345" s="20" t="str">
        <f t="shared" si="57"/>
        <v/>
      </c>
      <c r="T345" s="20"/>
      <c r="U345" t="str">
        <f t="shared" si="58"/>
        <v/>
      </c>
      <c r="V345" s="20"/>
      <c r="W345" s="20" t="str">
        <f t="shared" si="59"/>
        <v/>
      </c>
      <c r="X345" s="25"/>
      <c r="Y345" s="25"/>
    </row>
    <row r="346" spans="1:25" x14ac:dyDescent="0.25">
      <c r="A346">
        <v>343</v>
      </c>
      <c r="B346" s="25"/>
      <c r="D346" s="30"/>
      <c r="G346" s="30"/>
      <c r="H346" t="str">
        <f t="shared" si="50"/>
        <v/>
      </c>
      <c r="J346" s="20"/>
      <c r="K346" s="20"/>
      <c r="L346" s="20" t="str">
        <f t="shared" si="51"/>
        <v/>
      </c>
      <c r="M346" s="30"/>
      <c r="N346" s="26" t="str">
        <f t="shared" si="52"/>
        <v/>
      </c>
      <c r="O346" s="20" t="str">
        <f t="shared" si="53"/>
        <v/>
      </c>
      <c r="P346" s="31" t="str">
        <f t="shared" si="54"/>
        <v/>
      </c>
      <c r="Q346" s="32" t="str">
        <f t="shared" si="55"/>
        <v/>
      </c>
      <c r="R346" t="str">
        <f t="shared" si="56"/>
        <v/>
      </c>
      <c r="S346" s="20" t="str">
        <f t="shared" si="57"/>
        <v/>
      </c>
      <c r="T346" s="20"/>
      <c r="U346" t="str">
        <f t="shared" si="58"/>
        <v/>
      </c>
      <c r="V346" s="20"/>
      <c r="W346" s="20" t="str">
        <f t="shared" si="59"/>
        <v/>
      </c>
      <c r="X346" s="25"/>
      <c r="Y346" s="25"/>
    </row>
    <row r="347" spans="1:25" x14ac:dyDescent="0.25">
      <c r="A347">
        <v>344</v>
      </c>
      <c r="B347" s="25"/>
      <c r="D347" s="30"/>
      <c r="G347" s="30"/>
      <c r="H347" t="str">
        <f t="shared" si="50"/>
        <v/>
      </c>
      <c r="J347" s="20"/>
      <c r="K347" s="20"/>
      <c r="L347" s="20" t="str">
        <f t="shared" si="51"/>
        <v/>
      </c>
      <c r="M347" s="30"/>
      <c r="N347" s="26" t="str">
        <f t="shared" si="52"/>
        <v/>
      </c>
      <c r="O347" s="20" t="str">
        <f t="shared" si="53"/>
        <v/>
      </c>
      <c r="P347" s="31" t="str">
        <f t="shared" si="54"/>
        <v/>
      </c>
      <c r="Q347" s="32" t="str">
        <f t="shared" si="55"/>
        <v/>
      </c>
      <c r="R347" t="str">
        <f t="shared" si="56"/>
        <v/>
      </c>
      <c r="S347" s="20" t="str">
        <f t="shared" si="57"/>
        <v/>
      </c>
      <c r="T347" s="20"/>
      <c r="U347" t="str">
        <f t="shared" si="58"/>
        <v/>
      </c>
      <c r="V347" s="20"/>
      <c r="W347" s="20" t="str">
        <f t="shared" si="59"/>
        <v/>
      </c>
      <c r="X347" s="25"/>
      <c r="Y347" s="25"/>
    </row>
    <row r="348" spans="1:25" x14ac:dyDescent="0.25">
      <c r="A348">
        <v>345</v>
      </c>
      <c r="B348" s="25"/>
      <c r="D348" s="30"/>
      <c r="G348" s="30"/>
      <c r="H348" t="str">
        <f t="shared" si="50"/>
        <v/>
      </c>
      <c r="J348" s="20"/>
      <c r="K348" s="20"/>
      <c r="L348" s="20" t="str">
        <f t="shared" si="51"/>
        <v/>
      </c>
      <c r="M348" s="30"/>
      <c r="N348" s="26" t="str">
        <f t="shared" si="52"/>
        <v/>
      </c>
      <c r="O348" s="20" t="str">
        <f t="shared" si="53"/>
        <v/>
      </c>
      <c r="P348" s="31" t="str">
        <f t="shared" si="54"/>
        <v/>
      </c>
      <c r="Q348" s="32" t="str">
        <f t="shared" si="55"/>
        <v/>
      </c>
      <c r="R348" t="str">
        <f t="shared" si="56"/>
        <v/>
      </c>
      <c r="S348" s="20" t="str">
        <f t="shared" si="57"/>
        <v/>
      </c>
      <c r="T348" s="20"/>
      <c r="U348" t="str">
        <f t="shared" si="58"/>
        <v/>
      </c>
      <c r="V348" s="20"/>
      <c r="W348" s="20" t="str">
        <f t="shared" si="59"/>
        <v/>
      </c>
      <c r="X348" s="25"/>
      <c r="Y348" s="25"/>
    </row>
    <row r="349" spans="1:25" x14ac:dyDescent="0.25">
      <c r="A349">
        <v>346</v>
      </c>
      <c r="B349" s="25"/>
      <c r="D349" s="30"/>
      <c r="G349" s="30"/>
      <c r="H349" t="str">
        <f t="shared" si="50"/>
        <v/>
      </c>
      <c r="J349" s="20"/>
      <c r="K349" s="20"/>
      <c r="L349" s="20" t="str">
        <f t="shared" si="51"/>
        <v/>
      </c>
      <c r="M349" s="30"/>
      <c r="N349" s="26" t="str">
        <f t="shared" si="52"/>
        <v/>
      </c>
      <c r="O349" s="20" t="str">
        <f t="shared" si="53"/>
        <v/>
      </c>
      <c r="P349" s="31" t="str">
        <f t="shared" si="54"/>
        <v/>
      </c>
      <c r="Q349" s="32" t="str">
        <f t="shared" si="55"/>
        <v/>
      </c>
      <c r="R349" t="str">
        <f t="shared" si="56"/>
        <v/>
      </c>
      <c r="S349" s="20" t="str">
        <f t="shared" si="57"/>
        <v/>
      </c>
      <c r="T349" s="20"/>
      <c r="U349" t="str">
        <f t="shared" si="58"/>
        <v/>
      </c>
      <c r="V349" s="20"/>
      <c r="W349" s="20" t="str">
        <f t="shared" si="59"/>
        <v/>
      </c>
      <c r="X349" s="25"/>
      <c r="Y349" s="25"/>
    </row>
    <row r="350" spans="1:25" x14ac:dyDescent="0.25">
      <c r="A350">
        <v>347</v>
      </c>
      <c r="B350" s="25"/>
      <c r="D350" s="30"/>
      <c r="G350" s="30"/>
      <c r="H350" t="str">
        <f t="shared" si="50"/>
        <v/>
      </c>
      <c r="J350" s="20"/>
      <c r="K350" s="20"/>
      <c r="L350" s="20" t="str">
        <f t="shared" si="51"/>
        <v/>
      </c>
      <c r="M350" s="30"/>
      <c r="N350" s="26" t="str">
        <f t="shared" si="52"/>
        <v/>
      </c>
      <c r="O350" s="20" t="str">
        <f t="shared" si="53"/>
        <v/>
      </c>
      <c r="P350" s="31" t="str">
        <f t="shared" si="54"/>
        <v/>
      </c>
      <c r="Q350" s="32" t="str">
        <f t="shared" si="55"/>
        <v/>
      </c>
      <c r="R350" t="str">
        <f t="shared" si="56"/>
        <v/>
      </c>
      <c r="S350" s="20" t="str">
        <f t="shared" si="57"/>
        <v/>
      </c>
      <c r="T350" s="20"/>
      <c r="U350" t="str">
        <f t="shared" si="58"/>
        <v/>
      </c>
      <c r="V350" s="20"/>
      <c r="W350" s="20" t="str">
        <f t="shared" si="59"/>
        <v/>
      </c>
      <c r="X350" s="25"/>
      <c r="Y350" s="25"/>
    </row>
    <row r="351" spans="1:25" x14ac:dyDescent="0.25">
      <c r="A351">
        <v>348</v>
      </c>
      <c r="B351" s="25"/>
      <c r="D351" s="30"/>
      <c r="G351" s="30"/>
      <c r="H351" t="str">
        <f t="shared" si="50"/>
        <v/>
      </c>
      <c r="J351" s="20"/>
      <c r="K351" s="20"/>
      <c r="L351" s="20" t="str">
        <f t="shared" si="51"/>
        <v/>
      </c>
      <c r="M351" s="30"/>
      <c r="N351" s="26" t="str">
        <f t="shared" si="52"/>
        <v/>
      </c>
      <c r="O351" s="20" t="str">
        <f t="shared" si="53"/>
        <v/>
      </c>
      <c r="P351" s="31" t="str">
        <f t="shared" si="54"/>
        <v/>
      </c>
      <c r="Q351" s="32" t="str">
        <f t="shared" si="55"/>
        <v/>
      </c>
      <c r="R351" t="str">
        <f t="shared" si="56"/>
        <v/>
      </c>
      <c r="S351" s="20" t="str">
        <f t="shared" si="57"/>
        <v/>
      </c>
      <c r="T351" s="20"/>
      <c r="U351" t="str">
        <f t="shared" si="58"/>
        <v/>
      </c>
      <c r="V351" s="20"/>
      <c r="W351" s="20" t="str">
        <f t="shared" si="59"/>
        <v/>
      </c>
      <c r="X351" s="25"/>
      <c r="Y351" s="25"/>
    </row>
    <row r="352" spans="1:25" x14ac:dyDescent="0.25">
      <c r="A352">
        <v>349</v>
      </c>
      <c r="B352" s="25"/>
      <c r="D352" s="30"/>
      <c r="G352" s="30"/>
      <c r="H352" t="str">
        <f t="shared" si="50"/>
        <v/>
      </c>
      <c r="J352" s="20"/>
      <c r="K352" s="20"/>
      <c r="L352" s="20" t="str">
        <f t="shared" si="51"/>
        <v/>
      </c>
      <c r="M352" s="30"/>
      <c r="N352" s="26" t="str">
        <f t="shared" si="52"/>
        <v/>
      </c>
      <c r="O352" s="20" t="str">
        <f t="shared" si="53"/>
        <v/>
      </c>
      <c r="P352" s="31" t="str">
        <f t="shared" si="54"/>
        <v/>
      </c>
      <c r="Q352" s="32" t="str">
        <f t="shared" si="55"/>
        <v/>
      </c>
      <c r="R352" t="str">
        <f t="shared" si="56"/>
        <v/>
      </c>
      <c r="S352" s="20" t="str">
        <f t="shared" si="57"/>
        <v/>
      </c>
      <c r="T352" s="20"/>
      <c r="U352" t="str">
        <f t="shared" si="58"/>
        <v/>
      </c>
      <c r="V352" s="20"/>
      <c r="W352" s="20" t="str">
        <f t="shared" si="59"/>
        <v/>
      </c>
      <c r="X352" s="25"/>
      <c r="Y352" s="25"/>
    </row>
    <row r="353" spans="1:25" x14ac:dyDescent="0.25">
      <c r="A353">
        <v>350</v>
      </c>
      <c r="B353" s="25"/>
      <c r="D353" s="30"/>
      <c r="G353" s="30"/>
      <c r="H353" t="str">
        <f t="shared" si="50"/>
        <v/>
      </c>
      <c r="J353" s="20"/>
      <c r="K353" s="20"/>
      <c r="L353" s="20" t="str">
        <f t="shared" si="51"/>
        <v/>
      </c>
      <c r="M353" s="30"/>
      <c r="N353" s="26" t="str">
        <f t="shared" si="52"/>
        <v/>
      </c>
      <c r="O353" s="20" t="str">
        <f t="shared" si="53"/>
        <v/>
      </c>
      <c r="P353" s="31" t="str">
        <f t="shared" si="54"/>
        <v/>
      </c>
      <c r="Q353" s="32" t="str">
        <f t="shared" si="55"/>
        <v/>
      </c>
      <c r="R353" t="str">
        <f t="shared" si="56"/>
        <v/>
      </c>
      <c r="S353" s="20" t="str">
        <f t="shared" si="57"/>
        <v/>
      </c>
      <c r="T353" s="20"/>
      <c r="U353" t="str">
        <f t="shared" si="58"/>
        <v/>
      </c>
      <c r="V353" s="20"/>
      <c r="W353" s="20" t="str">
        <f t="shared" si="59"/>
        <v/>
      </c>
      <c r="X353" s="25"/>
      <c r="Y353" s="25"/>
    </row>
    <row r="354" spans="1:25" x14ac:dyDescent="0.25">
      <c r="A354">
        <v>351</v>
      </c>
      <c r="B354" s="25"/>
      <c r="D354" s="30"/>
      <c r="G354" s="30"/>
      <c r="H354" t="str">
        <f t="shared" si="50"/>
        <v/>
      </c>
      <c r="J354" s="20"/>
      <c r="K354" s="20"/>
      <c r="L354" s="20" t="str">
        <f t="shared" si="51"/>
        <v/>
      </c>
      <c r="M354" s="30"/>
      <c r="N354" s="26" t="str">
        <f t="shared" si="52"/>
        <v/>
      </c>
      <c r="O354" s="20" t="str">
        <f t="shared" si="53"/>
        <v/>
      </c>
      <c r="P354" s="31" t="str">
        <f t="shared" si="54"/>
        <v/>
      </c>
      <c r="Q354" s="32" t="str">
        <f t="shared" si="55"/>
        <v/>
      </c>
      <c r="R354" t="str">
        <f t="shared" si="56"/>
        <v/>
      </c>
      <c r="S354" s="20" t="str">
        <f t="shared" si="57"/>
        <v/>
      </c>
      <c r="T354" s="20"/>
      <c r="U354" t="str">
        <f t="shared" si="58"/>
        <v/>
      </c>
      <c r="V354" s="20"/>
      <c r="W354" s="20" t="str">
        <f t="shared" si="59"/>
        <v/>
      </c>
      <c r="X354" s="25"/>
      <c r="Y354" s="25"/>
    </row>
    <row r="355" spans="1:25" x14ac:dyDescent="0.25">
      <c r="A355">
        <v>352</v>
      </c>
      <c r="B355" s="25"/>
      <c r="D355" s="30"/>
      <c r="G355" s="30"/>
      <c r="H355" t="str">
        <f t="shared" si="50"/>
        <v/>
      </c>
      <c r="J355" s="20"/>
      <c r="K355" s="20"/>
      <c r="L355" s="20" t="str">
        <f t="shared" si="51"/>
        <v/>
      </c>
      <c r="M355" s="30"/>
      <c r="N355" s="26" t="str">
        <f t="shared" si="52"/>
        <v/>
      </c>
      <c r="O355" s="20" t="str">
        <f t="shared" si="53"/>
        <v/>
      </c>
      <c r="P355" s="31" t="str">
        <f t="shared" si="54"/>
        <v/>
      </c>
      <c r="Q355" s="32" t="str">
        <f t="shared" si="55"/>
        <v/>
      </c>
      <c r="R355" t="str">
        <f t="shared" si="56"/>
        <v/>
      </c>
      <c r="S355" s="20" t="str">
        <f t="shared" si="57"/>
        <v/>
      </c>
      <c r="T355" s="20"/>
      <c r="U355" t="str">
        <f t="shared" si="58"/>
        <v/>
      </c>
      <c r="V355" s="20"/>
      <c r="W355" s="20" t="str">
        <f t="shared" si="59"/>
        <v/>
      </c>
      <c r="X355" s="25"/>
      <c r="Y355" s="25"/>
    </row>
    <row r="356" spans="1:25" x14ac:dyDescent="0.25">
      <c r="A356">
        <v>353</v>
      </c>
      <c r="B356" s="25"/>
      <c r="D356" s="30"/>
      <c r="G356" s="30"/>
      <c r="H356" t="str">
        <f t="shared" si="50"/>
        <v/>
      </c>
      <c r="J356" s="20"/>
      <c r="K356" s="20"/>
      <c r="L356" s="20" t="str">
        <f t="shared" si="51"/>
        <v/>
      </c>
      <c r="M356" s="30"/>
      <c r="N356" s="26" t="str">
        <f t="shared" si="52"/>
        <v/>
      </c>
      <c r="O356" s="20" t="str">
        <f t="shared" si="53"/>
        <v/>
      </c>
      <c r="P356" s="31" t="str">
        <f t="shared" si="54"/>
        <v/>
      </c>
      <c r="Q356" s="32" t="str">
        <f t="shared" si="55"/>
        <v/>
      </c>
      <c r="R356" t="str">
        <f t="shared" si="56"/>
        <v/>
      </c>
      <c r="S356" s="20" t="str">
        <f t="shared" si="57"/>
        <v/>
      </c>
      <c r="T356" s="20"/>
      <c r="U356" t="str">
        <f t="shared" si="58"/>
        <v/>
      </c>
      <c r="V356" s="20"/>
      <c r="W356" s="20" t="str">
        <f t="shared" si="59"/>
        <v/>
      </c>
      <c r="X356" s="25"/>
      <c r="Y356" s="25"/>
    </row>
    <row r="357" spans="1:25" x14ac:dyDescent="0.25">
      <c r="A357">
        <v>354</v>
      </c>
      <c r="B357" s="25"/>
      <c r="D357" s="30"/>
      <c r="G357" s="30"/>
      <c r="H357" t="str">
        <f t="shared" si="50"/>
        <v/>
      </c>
      <c r="J357" s="20"/>
      <c r="K357" s="20"/>
      <c r="L357" s="20" t="str">
        <f t="shared" si="51"/>
        <v/>
      </c>
      <c r="M357" s="30"/>
      <c r="N357" s="26" t="str">
        <f t="shared" si="52"/>
        <v/>
      </c>
      <c r="O357" s="20" t="str">
        <f t="shared" si="53"/>
        <v/>
      </c>
      <c r="P357" s="31" t="str">
        <f t="shared" si="54"/>
        <v/>
      </c>
      <c r="Q357" s="32" t="str">
        <f t="shared" si="55"/>
        <v/>
      </c>
      <c r="R357" t="str">
        <f t="shared" si="56"/>
        <v/>
      </c>
      <c r="S357" s="20" t="str">
        <f t="shared" si="57"/>
        <v/>
      </c>
      <c r="T357" s="20"/>
      <c r="U357" t="str">
        <f t="shared" si="58"/>
        <v/>
      </c>
      <c r="V357" s="20"/>
      <c r="W357" s="20" t="str">
        <f t="shared" si="59"/>
        <v/>
      </c>
      <c r="X357" s="25"/>
      <c r="Y357" s="25"/>
    </row>
    <row r="358" spans="1:25" x14ac:dyDescent="0.25">
      <c r="A358">
        <v>355</v>
      </c>
      <c r="B358" s="25"/>
      <c r="D358" s="30"/>
      <c r="G358" s="30"/>
      <c r="H358" t="str">
        <f t="shared" si="50"/>
        <v/>
      </c>
      <c r="J358" s="20"/>
      <c r="K358" s="20"/>
      <c r="L358" s="20" t="str">
        <f t="shared" si="51"/>
        <v/>
      </c>
      <c r="M358" s="30"/>
      <c r="N358" s="26" t="str">
        <f t="shared" si="52"/>
        <v/>
      </c>
      <c r="O358" s="20" t="str">
        <f t="shared" si="53"/>
        <v/>
      </c>
      <c r="P358" s="31" t="str">
        <f t="shared" si="54"/>
        <v/>
      </c>
      <c r="Q358" s="32" t="str">
        <f t="shared" si="55"/>
        <v/>
      </c>
      <c r="R358" t="str">
        <f t="shared" si="56"/>
        <v/>
      </c>
      <c r="S358" s="20" t="str">
        <f t="shared" si="57"/>
        <v/>
      </c>
      <c r="T358" s="20"/>
      <c r="U358" t="str">
        <f t="shared" si="58"/>
        <v/>
      </c>
      <c r="V358" s="20"/>
      <c r="W358" s="20" t="str">
        <f t="shared" si="59"/>
        <v/>
      </c>
      <c r="X358" s="25"/>
      <c r="Y358" s="25"/>
    </row>
    <row r="359" spans="1:25" x14ac:dyDescent="0.25">
      <c r="A359">
        <v>356</v>
      </c>
      <c r="B359" s="25"/>
      <c r="D359" s="30"/>
      <c r="G359" s="30"/>
      <c r="H359" t="str">
        <f t="shared" si="50"/>
        <v/>
      </c>
      <c r="J359" s="20"/>
      <c r="K359" s="20"/>
      <c r="L359" s="20" t="str">
        <f t="shared" si="51"/>
        <v/>
      </c>
      <c r="M359" s="30"/>
      <c r="N359" s="26" t="str">
        <f t="shared" si="52"/>
        <v/>
      </c>
      <c r="O359" s="20" t="str">
        <f t="shared" si="53"/>
        <v/>
      </c>
      <c r="P359" s="31" t="str">
        <f t="shared" si="54"/>
        <v/>
      </c>
      <c r="Q359" s="32" t="str">
        <f t="shared" si="55"/>
        <v/>
      </c>
      <c r="R359" t="str">
        <f t="shared" si="56"/>
        <v/>
      </c>
      <c r="S359" s="20" t="str">
        <f t="shared" si="57"/>
        <v/>
      </c>
      <c r="T359" s="20"/>
      <c r="U359" t="str">
        <f t="shared" si="58"/>
        <v/>
      </c>
      <c r="V359" s="20"/>
      <c r="W359" s="20" t="str">
        <f t="shared" si="59"/>
        <v/>
      </c>
      <c r="X359" s="25"/>
      <c r="Y359" s="25"/>
    </row>
    <row r="360" spans="1:25" x14ac:dyDescent="0.25">
      <c r="A360">
        <v>357</v>
      </c>
      <c r="B360" s="25"/>
      <c r="D360" s="30"/>
      <c r="G360" s="30"/>
      <c r="H360" t="str">
        <f t="shared" si="50"/>
        <v/>
      </c>
      <c r="J360" s="20"/>
      <c r="K360" s="20"/>
      <c r="L360" s="20" t="str">
        <f t="shared" si="51"/>
        <v/>
      </c>
      <c r="M360" s="30"/>
      <c r="N360" s="26" t="str">
        <f t="shared" si="52"/>
        <v/>
      </c>
      <c r="O360" s="20" t="str">
        <f t="shared" si="53"/>
        <v/>
      </c>
      <c r="P360" s="31" t="str">
        <f t="shared" si="54"/>
        <v/>
      </c>
      <c r="Q360" s="32" t="str">
        <f t="shared" si="55"/>
        <v/>
      </c>
      <c r="R360" t="str">
        <f t="shared" si="56"/>
        <v/>
      </c>
      <c r="S360" s="20" t="str">
        <f t="shared" si="57"/>
        <v/>
      </c>
      <c r="T360" s="20"/>
      <c r="U360" t="str">
        <f t="shared" si="58"/>
        <v/>
      </c>
      <c r="V360" s="20"/>
      <c r="W360" s="20" t="str">
        <f t="shared" si="59"/>
        <v/>
      </c>
      <c r="X360" s="25"/>
      <c r="Y360" s="25"/>
    </row>
    <row r="361" spans="1:25" x14ac:dyDescent="0.25">
      <c r="A361">
        <v>358</v>
      </c>
      <c r="B361" s="25"/>
      <c r="D361" s="30"/>
      <c r="G361" s="30"/>
      <c r="H361" t="str">
        <f t="shared" si="50"/>
        <v/>
      </c>
      <c r="J361" s="20"/>
      <c r="K361" s="20"/>
      <c r="L361" s="20" t="str">
        <f t="shared" si="51"/>
        <v/>
      </c>
      <c r="M361" s="30"/>
      <c r="N361" s="26" t="str">
        <f t="shared" si="52"/>
        <v/>
      </c>
      <c r="O361" s="20" t="str">
        <f t="shared" si="53"/>
        <v/>
      </c>
      <c r="P361" s="31" t="str">
        <f t="shared" si="54"/>
        <v/>
      </c>
      <c r="Q361" s="32" t="str">
        <f t="shared" si="55"/>
        <v/>
      </c>
      <c r="R361" t="str">
        <f t="shared" si="56"/>
        <v/>
      </c>
      <c r="S361" s="20" t="str">
        <f t="shared" si="57"/>
        <v/>
      </c>
      <c r="T361" s="20"/>
      <c r="U361" t="str">
        <f t="shared" si="58"/>
        <v/>
      </c>
      <c r="V361" s="20"/>
      <c r="W361" s="20" t="str">
        <f t="shared" si="59"/>
        <v/>
      </c>
      <c r="X361" s="25"/>
      <c r="Y361" s="25"/>
    </row>
    <row r="362" spans="1:25" x14ac:dyDescent="0.25">
      <c r="A362">
        <v>359</v>
      </c>
      <c r="B362" s="25"/>
      <c r="D362" s="30"/>
      <c r="G362" s="30"/>
      <c r="H362" t="str">
        <f t="shared" si="50"/>
        <v/>
      </c>
      <c r="J362" s="20"/>
      <c r="K362" s="20"/>
      <c r="L362" s="20" t="str">
        <f t="shared" si="51"/>
        <v/>
      </c>
      <c r="M362" s="30"/>
      <c r="N362" s="26" t="str">
        <f t="shared" si="52"/>
        <v/>
      </c>
      <c r="O362" s="20" t="str">
        <f t="shared" si="53"/>
        <v/>
      </c>
      <c r="P362" s="31" t="str">
        <f t="shared" si="54"/>
        <v/>
      </c>
      <c r="Q362" s="32" t="str">
        <f t="shared" si="55"/>
        <v/>
      </c>
      <c r="R362" t="str">
        <f t="shared" si="56"/>
        <v/>
      </c>
      <c r="S362" s="20" t="str">
        <f t="shared" si="57"/>
        <v/>
      </c>
      <c r="T362" s="20"/>
      <c r="U362" t="str">
        <f t="shared" si="58"/>
        <v/>
      </c>
      <c r="V362" s="20"/>
      <c r="W362" s="20" t="str">
        <f t="shared" si="59"/>
        <v/>
      </c>
      <c r="X362" s="25"/>
      <c r="Y362" s="25"/>
    </row>
    <row r="363" spans="1:25" x14ac:dyDescent="0.25">
      <c r="A363">
        <v>360</v>
      </c>
      <c r="B363" s="25"/>
      <c r="D363" s="30"/>
      <c r="G363" s="30"/>
      <c r="H363" t="str">
        <f t="shared" si="50"/>
        <v/>
      </c>
      <c r="J363" s="20"/>
      <c r="K363" s="20"/>
      <c r="L363" s="20" t="str">
        <f t="shared" si="51"/>
        <v/>
      </c>
      <c r="M363" s="30"/>
      <c r="N363" s="26" t="str">
        <f t="shared" si="52"/>
        <v/>
      </c>
      <c r="O363" s="20" t="str">
        <f t="shared" si="53"/>
        <v/>
      </c>
      <c r="P363" s="31" t="str">
        <f t="shared" si="54"/>
        <v/>
      </c>
      <c r="Q363" s="32" t="str">
        <f t="shared" si="55"/>
        <v/>
      </c>
      <c r="R363" t="str">
        <f t="shared" si="56"/>
        <v/>
      </c>
      <c r="S363" s="20" t="str">
        <f t="shared" si="57"/>
        <v/>
      </c>
      <c r="T363" s="20"/>
      <c r="U363" t="str">
        <f t="shared" si="58"/>
        <v/>
      </c>
      <c r="V363" s="20"/>
      <c r="W363" s="20" t="str">
        <f t="shared" si="59"/>
        <v/>
      </c>
      <c r="X363" s="25"/>
      <c r="Y363" s="25"/>
    </row>
    <row r="364" spans="1:25" x14ac:dyDescent="0.25">
      <c r="A364">
        <v>361</v>
      </c>
      <c r="B364" s="25"/>
      <c r="D364" s="30"/>
      <c r="G364" s="30"/>
      <c r="H364" t="str">
        <f t="shared" si="50"/>
        <v/>
      </c>
      <c r="J364" s="20"/>
      <c r="K364" s="20"/>
      <c r="L364" s="20" t="str">
        <f t="shared" si="51"/>
        <v/>
      </c>
      <c r="M364" s="30"/>
      <c r="N364" s="26" t="str">
        <f t="shared" si="52"/>
        <v/>
      </c>
      <c r="O364" s="20" t="str">
        <f t="shared" si="53"/>
        <v/>
      </c>
      <c r="P364" s="31" t="str">
        <f t="shared" si="54"/>
        <v/>
      </c>
      <c r="Q364" s="32" t="str">
        <f t="shared" si="55"/>
        <v/>
      </c>
      <c r="R364" t="str">
        <f t="shared" si="56"/>
        <v/>
      </c>
      <c r="S364" s="20" t="str">
        <f t="shared" si="57"/>
        <v/>
      </c>
      <c r="T364" s="20"/>
      <c r="U364" t="str">
        <f t="shared" si="58"/>
        <v/>
      </c>
      <c r="V364" s="20"/>
      <c r="W364" s="20" t="str">
        <f t="shared" si="59"/>
        <v/>
      </c>
      <c r="X364" s="25"/>
      <c r="Y364" s="25"/>
    </row>
    <row r="365" spans="1:25" x14ac:dyDescent="0.25">
      <c r="A365">
        <v>362</v>
      </c>
      <c r="B365" s="25"/>
      <c r="D365" s="30"/>
      <c r="G365" s="30"/>
      <c r="H365" t="str">
        <f t="shared" si="50"/>
        <v/>
      </c>
      <c r="J365" s="20"/>
      <c r="K365" s="20"/>
      <c r="L365" s="20" t="str">
        <f t="shared" si="51"/>
        <v/>
      </c>
      <c r="M365" s="30"/>
      <c r="N365" s="26" t="str">
        <f t="shared" si="52"/>
        <v/>
      </c>
      <c r="O365" s="20" t="str">
        <f t="shared" si="53"/>
        <v/>
      </c>
      <c r="P365" s="31" t="str">
        <f t="shared" si="54"/>
        <v/>
      </c>
      <c r="Q365" s="32" t="str">
        <f t="shared" si="55"/>
        <v/>
      </c>
      <c r="R365" t="str">
        <f t="shared" si="56"/>
        <v/>
      </c>
      <c r="S365" s="20" t="str">
        <f t="shared" si="57"/>
        <v/>
      </c>
      <c r="T365" s="20"/>
      <c r="U365" t="str">
        <f t="shared" si="58"/>
        <v/>
      </c>
      <c r="V365" s="20"/>
      <c r="W365" s="20" t="str">
        <f t="shared" si="59"/>
        <v/>
      </c>
      <c r="X365" s="25"/>
      <c r="Y365" s="25"/>
    </row>
    <row r="366" spans="1:25" x14ac:dyDescent="0.25">
      <c r="A366">
        <v>363</v>
      </c>
      <c r="B366" s="25"/>
      <c r="D366" s="30"/>
      <c r="G366" s="30"/>
      <c r="H366" t="str">
        <f t="shared" si="50"/>
        <v/>
      </c>
      <c r="J366" s="20"/>
      <c r="K366" s="20"/>
      <c r="L366" s="20" t="str">
        <f t="shared" si="51"/>
        <v/>
      </c>
      <c r="M366" s="30"/>
      <c r="N366" s="26" t="str">
        <f t="shared" si="52"/>
        <v/>
      </c>
      <c r="O366" s="20" t="str">
        <f t="shared" si="53"/>
        <v/>
      </c>
      <c r="P366" s="31" t="str">
        <f t="shared" si="54"/>
        <v/>
      </c>
      <c r="Q366" s="32" t="str">
        <f t="shared" si="55"/>
        <v/>
      </c>
      <c r="R366" t="str">
        <f t="shared" si="56"/>
        <v/>
      </c>
      <c r="S366" s="20" t="str">
        <f t="shared" si="57"/>
        <v/>
      </c>
      <c r="T366" s="20"/>
      <c r="U366" t="str">
        <f t="shared" si="58"/>
        <v/>
      </c>
      <c r="V366" s="20"/>
      <c r="W366" s="20" t="str">
        <f t="shared" si="59"/>
        <v/>
      </c>
      <c r="X366" s="25"/>
      <c r="Y366" s="25"/>
    </row>
    <row r="367" spans="1:25" x14ac:dyDescent="0.25">
      <c r="A367">
        <v>364</v>
      </c>
      <c r="B367" s="25"/>
      <c r="D367" s="30"/>
      <c r="G367" s="30"/>
      <c r="H367" t="str">
        <f t="shared" si="50"/>
        <v/>
      </c>
      <c r="J367" s="20"/>
      <c r="K367" s="20"/>
      <c r="L367" s="20" t="str">
        <f t="shared" si="51"/>
        <v/>
      </c>
      <c r="M367" s="30"/>
      <c r="N367" s="26" t="str">
        <f t="shared" si="52"/>
        <v/>
      </c>
      <c r="O367" s="20" t="str">
        <f t="shared" si="53"/>
        <v/>
      </c>
      <c r="P367" s="31" t="str">
        <f t="shared" si="54"/>
        <v/>
      </c>
      <c r="Q367" s="32" t="str">
        <f t="shared" si="55"/>
        <v/>
      </c>
      <c r="R367" t="str">
        <f t="shared" si="56"/>
        <v/>
      </c>
      <c r="S367" s="20" t="str">
        <f t="shared" si="57"/>
        <v/>
      </c>
      <c r="T367" s="20"/>
      <c r="U367" t="str">
        <f t="shared" si="58"/>
        <v/>
      </c>
      <c r="V367" s="20"/>
      <c r="W367" s="20" t="str">
        <f t="shared" si="59"/>
        <v/>
      </c>
      <c r="X367" s="25"/>
      <c r="Y367" s="25"/>
    </row>
    <row r="368" spans="1:25" x14ac:dyDescent="0.25">
      <c r="A368">
        <v>365</v>
      </c>
      <c r="B368" s="25"/>
      <c r="D368" s="30"/>
      <c r="G368" s="30"/>
      <c r="H368" t="str">
        <f t="shared" si="50"/>
        <v/>
      </c>
      <c r="J368" s="20"/>
      <c r="K368" s="20"/>
      <c r="L368" s="20" t="str">
        <f t="shared" si="51"/>
        <v/>
      </c>
      <c r="M368" s="30"/>
      <c r="N368" s="26" t="str">
        <f t="shared" si="52"/>
        <v/>
      </c>
      <c r="O368" s="20" t="str">
        <f t="shared" si="53"/>
        <v/>
      </c>
      <c r="P368" s="31" t="str">
        <f t="shared" si="54"/>
        <v/>
      </c>
      <c r="Q368" s="32" t="str">
        <f t="shared" si="55"/>
        <v/>
      </c>
      <c r="R368" t="str">
        <f t="shared" si="56"/>
        <v/>
      </c>
      <c r="S368" s="20" t="str">
        <f t="shared" si="57"/>
        <v/>
      </c>
      <c r="T368" s="20"/>
      <c r="U368" t="str">
        <f t="shared" si="58"/>
        <v/>
      </c>
      <c r="V368" s="20"/>
      <c r="W368" s="20" t="str">
        <f t="shared" si="59"/>
        <v/>
      </c>
      <c r="X368" s="25"/>
      <c r="Y368" s="25"/>
    </row>
    <row r="369" spans="1:25" x14ac:dyDescent="0.25">
      <c r="A369">
        <v>366</v>
      </c>
      <c r="B369" s="25"/>
      <c r="D369" s="30"/>
      <c r="G369" s="30"/>
      <c r="H369" t="str">
        <f t="shared" si="50"/>
        <v/>
      </c>
      <c r="J369" s="20"/>
      <c r="K369" s="20"/>
      <c r="L369" s="20" t="str">
        <f t="shared" si="51"/>
        <v/>
      </c>
      <c r="M369" s="30"/>
      <c r="N369" s="26" t="str">
        <f t="shared" si="52"/>
        <v/>
      </c>
      <c r="O369" s="20" t="str">
        <f t="shared" si="53"/>
        <v/>
      </c>
      <c r="P369" s="31" t="str">
        <f t="shared" si="54"/>
        <v/>
      </c>
      <c r="Q369" s="32" t="str">
        <f t="shared" si="55"/>
        <v/>
      </c>
      <c r="R369" t="str">
        <f t="shared" si="56"/>
        <v/>
      </c>
      <c r="S369" s="20" t="str">
        <f t="shared" si="57"/>
        <v/>
      </c>
      <c r="T369" s="20"/>
      <c r="U369" t="str">
        <f t="shared" si="58"/>
        <v/>
      </c>
      <c r="V369" s="20"/>
      <c r="W369" s="20" t="str">
        <f t="shared" si="59"/>
        <v/>
      </c>
      <c r="X369" s="25"/>
      <c r="Y369" s="25"/>
    </row>
    <row r="370" spans="1:25" x14ac:dyDescent="0.25">
      <c r="A370">
        <v>367</v>
      </c>
      <c r="B370" s="25"/>
      <c r="D370" s="30"/>
      <c r="G370" s="30"/>
      <c r="H370" t="str">
        <f t="shared" si="50"/>
        <v/>
      </c>
      <c r="J370" s="20"/>
      <c r="K370" s="20"/>
      <c r="L370" s="20" t="str">
        <f t="shared" si="51"/>
        <v/>
      </c>
      <c r="M370" s="30"/>
      <c r="N370" s="26" t="str">
        <f t="shared" si="52"/>
        <v/>
      </c>
      <c r="O370" s="20" t="str">
        <f t="shared" si="53"/>
        <v/>
      </c>
      <c r="P370" s="31" t="str">
        <f t="shared" si="54"/>
        <v/>
      </c>
      <c r="Q370" s="32" t="str">
        <f t="shared" si="55"/>
        <v/>
      </c>
      <c r="R370" t="str">
        <f t="shared" si="56"/>
        <v/>
      </c>
      <c r="S370" s="20" t="str">
        <f t="shared" si="57"/>
        <v/>
      </c>
      <c r="T370" s="20"/>
      <c r="U370" t="str">
        <f t="shared" si="58"/>
        <v/>
      </c>
      <c r="V370" s="20"/>
      <c r="W370" s="20" t="str">
        <f t="shared" si="59"/>
        <v/>
      </c>
      <c r="X370" s="25"/>
      <c r="Y370" s="25"/>
    </row>
    <row r="371" spans="1:25" x14ac:dyDescent="0.25">
      <c r="A371">
        <v>368</v>
      </c>
      <c r="B371" s="25"/>
      <c r="D371" s="30"/>
      <c r="G371" s="30"/>
      <c r="H371" t="str">
        <f t="shared" si="50"/>
        <v/>
      </c>
      <c r="J371" s="20"/>
      <c r="K371" s="20"/>
      <c r="L371" s="20" t="str">
        <f t="shared" si="51"/>
        <v/>
      </c>
      <c r="M371" s="30"/>
      <c r="N371" s="26" t="str">
        <f t="shared" si="52"/>
        <v/>
      </c>
      <c r="O371" s="20" t="str">
        <f t="shared" si="53"/>
        <v/>
      </c>
      <c r="P371" s="31" t="str">
        <f t="shared" si="54"/>
        <v/>
      </c>
      <c r="Q371" s="32" t="str">
        <f t="shared" si="55"/>
        <v/>
      </c>
      <c r="R371" t="str">
        <f t="shared" si="56"/>
        <v/>
      </c>
      <c r="S371" s="20" t="str">
        <f t="shared" si="57"/>
        <v/>
      </c>
      <c r="T371" s="20"/>
      <c r="U371" t="str">
        <f t="shared" si="58"/>
        <v/>
      </c>
      <c r="V371" s="20"/>
      <c r="W371" s="20" t="str">
        <f t="shared" si="59"/>
        <v/>
      </c>
      <c r="X371" s="25"/>
      <c r="Y371" s="25"/>
    </row>
    <row r="372" spans="1:25" x14ac:dyDescent="0.25">
      <c r="A372">
        <v>369</v>
      </c>
      <c r="B372" s="25"/>
      <c r="D372" s="30"/>
      <c r="G372" s="30"/>
      <c r="H372" t="str">
        <f t="shared" si="50"/>
        <v/>
      </c>
      <c r="J372" s="20"/>
      <c r="K372" s="20"/>
      <c r="L372" s="20" t="str">
        <f t="shared" si="51"/>
        <v/>
      </c>
      <c r="M372" s="30"/>
      <c r="N372" s="26" t="str">
        <f t="shared" si="52"/>
        <v/>
      </c>
      <c r="O372" s="20" t="str">
        <f t="shared" si="53"/>
        <v/>
      </c>
      <c r="P372" s="31" t="str">
        <f t="shared" si="54"/>
        <v/>
      </c>
      <c r="Q372" s="32" t="str">
        <f t="shared" si="55"/>
        <v/>
      </c>
      <c r="R372" t="str">
        <f t="shared" si="56"/>
        <v/>
      </c>
      <c r="S372" s="20" t="str">
        <f t="shared" si="57"/>
        <v/>
      </c>
      <c r="T372" s="20"/>
      <c r="U372" t="str">
        <f t="shared" si="58"/>
        <v/>
      </c>
      <c r="V372" s="20"/>
      <c r="W372" s="20" t="str">
        <f t="shared" si="59"/>
        <v/>
      </c>
      <c r="X372" s="25"/>
      <c r="Y372" s="25"/>
    </row>
    <row r="373" spans="1:25" x14ac:dyDescent="0.25">
      <c r="A373">
        <v>370</v>
      </c>
      <c r="B373" s="25"/>
      <c r="D373" s="30"/>
      <c r="G373" s="30"/>
      <c r="H373" t="str">
        <f t="shared" si="50"/>
        <v/>
      </c>
      <c r="J373" s="20"/>
      <c r="K373" s="20"/>
      <c r="L373" s="20" t="str">
        <f t="shared" si="51"/>
        <v/>
      </c>
      <c r="M373" s="30"/>
      <c r="N373" s="26" t="str">
        <f t="shared" si="52"/>
        <v/>
      </c>
      <c r="O373" s="20" t="str">
        <f t="shared" si="53"/>
        <v/>
      </c>
      <c r="P373" s="31" t="str">
        <f t="shared" si="54"/>
        <v/>
      </c>
      <c r="Q373" s="32" t="str">
        <f t="shared" si="55"/>
        <v/>
      </c>
      <c r="R373" t="str">
        <f t="shared" si="56"/>
        <v/>
      </c>
      <c r="S373" s="20" t="str">
        <f t="shared" si="57"/>
        <v/>
      </c>
      <c r="T373" s="20"/>
      <c r="U373" t="str">
        <f t="shared" si="58"/>
        <v/>
      </c>
      <c r="V373" s="20"/>
      <c r="W373" s="20" t="str">
        <f t="shared" si="59"/>
        <v/>
      </c>
      <c r="X373" s="25"/>
      <c r="Y373" s="25"/>
    </row>
    <row r="374" spans="1:25" x14ac:dyDescent="0.25">
      <c r="A374">
        <v>371</v>
      </c>
      <c r="B374" s="25"/>
      <c r="D374" s="30"/>
      <c r="G374" s="30"/>
      <c r="H374" t="str">
        <f t="shared" si="50"/>
        <v/>
      </c>
      <c r="J374" s="20"/>
      <c r="K374" s="20"/>
      <c r="L374" s="20" t="str">
        <f t="shared" si="51"/>
        <v/>
      </c>
      <c r="M374" s="30"/>
      <c r="N374" s="26" t="str">
        <f t="shared" si="52"/>
        <v/>
      </c>
      <c r="O374" s="20" t="str">
        <f t="shared" si="53"/>
        <v/>
      </c>
      <c r="P374" s="31" t="str">
        <f t="shared" si="54"/>
        <v/>
      </c>
      <c r="Q374" s="32" t="str">
        <f t="shared" si="55"/>
        <v/>
      </c>
      <c r="R374" t="str">
        <f t="shared" si="56"/>
        <v/>
      </c>
      <c r="S374" s="20" t="str">
        <f t="shared" si="57"/>
        <v/>
      </c>
      <c r="T374" s="20"/>
      <c r="U374" t="str">
        <f t="shared" si="58"/>
        <v/>
      </c>
      <c r="V374" s="20"/>
      <c r="W374" s="20" t="str">
        <f t="shared" si="59"/>
        <v/>
      </c>
      <c r="X374" s="25"/>
      <c r="Y374" s="25"/>
    </row>
    <row r="375" spans="1:25" x14ac:dyDescent="0.25">
      <c r="A375">
        <v>372</v>
      </c>
      <c r="B375" s="25"/>
      <c r="D375" s="30"/>
      <c r="G375" s="30"/>
      <c r="H375" t="str">
        <f t="shared" si="50"/>
        <v/>
      </c>
      <c r="J375" s="20"/>
      <c r="K375" s="20"/>
      <c r="L375" s="20" t="str">
        <f t="shared" si="51"/>
        <v/>
      </c>
      <c r="M375" s="30"/>
      <c r="N375" s="26" t="str">
        <f t="shared" si="52"/>
        <v/>
      </c>
      <c r="O375" s="20" t="str">
        <f t="shared" si="53"/>
        <v/>
      </c>
      <c r="P375" s="31" t="str">
        <f t="shared" si="54"/>
        <v/>
      </c>
      <c r="Q375" s="32" t="str">
        <f t="shared" si="55"/>
        <v/>
      </c>
      <c r="R375" t="str">
        <f t="shared" si="56"/>
        <v/>
      </c>
      <c r="S375" s="20" t="str">
        <f t="shared" si="57"/>
        <v/>
      </c>
      <c r="T375" s="20"/>
      <c r="U375" t="str">
        <f t="shared" si="58"/>
        <v/>
      </c>
      <c r="V375" s="20"/>
      <c r="W375" s="20" t="str">
        <f t="shared" si="59"/>
        <v/>
      </c>
      <c r="X375" s="25"/>
      <c r="Y375" s="25"/>
    </row>
    <row r="376" spans="1:25" x14ac:dyDescent="0.25">
      <c r="A376">
        <v>373</v>
      </c>
      <c r="B376" s="25"/>
      <c r="D376" s="30"/>
      <c r="G376" s="30"/>
      <c r="H376" t="str">
        <f t="shared" si="50"/>
        <v/>
      </c>
      <c r="J376" s="20"/>
      <c r="K376" s="20"/>
      <c r="L376" s="20" t="str">
        <f t="shared" si="51"/>
        <v/>
      </c>
      <c r="M376" s="30"/>
      <c r="N376" s="26" t="str">
        <f t="shared" si="52"/>
        <v/>
      </c>
      <c r="O376" s="20" t="str">
        <f t="shared" si="53"/>
        <v/>
      </c>
      <c r="P376" s="31" t="str">
        <f t="shared" si="54"/>
        <v/>
      </c>
      <c r="Q376" s="32" t="str">
        <f t="shared" si="55"/>
        <v/>
      </c>
      <c r="R376" t="str">
        <f t="shared" si="56"/>
        <v/>
      </c>
      <c r="S376" s="20" t="str">
        <f t="shared" si="57"/>
        <v/>
      </c>
      <c r="T376" s="20"/>
      <c r="U376" t="str">
        <f t="shared" si="58"/>
        <v/>
      </c>
      <c r="V376" s="20"/>
      <c r="W376" s="20" t="str">
        <f t="shared" si="59"/>
        <v/>
      </c>
      <c r="X376" s="25"/>
      <c r="Y376" s="25"/>
    </row>
    <row r="377" spans="1:25" x14ac:dyDescent="0.25">
      <c r="A377">
        <v>374</v>
      </c>
      <c r="B377" s="25"/>
      <c r="D377" s="30"/>
      <c r="G377" s="30"/>
      <c r="H377" t="str">
        <f t="shared" si="50"/>
        <v/>
      </c>
      <c r="J377" s="20"/>
      <c r="K377" s="20"/>
      <c r="L377" s="20" t="str">
        <f t="shared" si="51"/>
        <v/>
      </c>
      <c r="M377" s="30"/>
      <c r="N377" s="26" t="str">
        <f t="shared" si="52"/>
        <v/>
      </c>
      <c r="O377" s="20" t="str">
        <f t="shared" si="53"/>
        <v/>
      </c>
      <c r="P377" s="31" t="str">
        <f t="shared" si="54"/>
        <v/>
      </c>
      <c r="Q377" s="32" t="str">
        <f t="shared" si="55"/>
        <v/>
      </c>
      <c r="R377" t="str">
        <f t="shared" si="56"/>
        <v/>
      </c>
      <c r="S377" s="20" t="str">
        <f t="shared" si="57"/>
        <v/>
      </c>
      <c r="T377" s="20"/>
      <c r="U377" t="str">
        <f t="shared" si="58"/>
        <v/>
      </c>
      <c r="V377" s="20"/>
      <c r="W377" s="20" t="str">
        <f t="shared" si="59"/>
        <v/>
      </c>
      <c r="X377" s="25"/>
      <c r="Y377" s="25"/>
    </row>
    <row r="378" spans="1:25" x14ac:dyDescent="0.25">
      <c r="A378">
        <v>375</v>
      </c>
      <c r="B378" s="25"/>
      <c r="D378" s="30"/>
      <c r="G378" s="30"/>
      <c r="H378" t="str">
        <f t="shared" si="50"/>
        <v/>
      </c>
      <c r="J378" s="20"/>
      <c r="K378" s="20"/>
      <c r="L378" s="20" t="str">
        <f t="shared" si="51"/>
        <v/>
      </c>
      <c r="M378" s="30"/>
      <c r="N378" s="26" t="str">
        <f t="shared" si="52"/>
        <v/>
      </c>
      <c r="O378" s="20" t="str">
        <f t="shared" si="53"/>
        <v/>
      </c>
      <c r="P378" s="31" t="str">
        <f t="shared" si="54"/>
        <v/>
      </c>
      <c r="Q378" s="32" t="str">
        <f t="shared" si="55"/>
        <v/>
      </c>
      <c r="R378" t="str">
        <f t="shared" si="56"/>
        <v/>
      </c>
      <c r="S378" s="20" t="str">
        <f t="shared" si="57"/>
        <v/>
      </c>
      <c r="T378" s="20"/>
      <c r="U378" t="str">
        <f t="shared" si="58"/>
        <v/>
      </c>
      <c r="V378" s="20"/>
      <c r="W378" s="20" t="str">
        <f t="shared" si="59"/>
        <v/>
      </c>
      <c r="X378" s="25"/>
      <c r="Y378" s="25"/>
    </row>
    <row r="379" spans="1:25" x14ac:dyDescent="0.25">
      <c r="A379">
        <v>376</v>
      </c>
      <c r="B379" s="25"/>
      <c r="D379" s="30"/>
      <c r="G379" s="30"/>
      <c r="H379" t="str">
        <f t="shared" si="50"/>
        <v/>
      </c>
      <c r="J379" s="20"/>
      <c r="K379" s="20"/>
      <c r="L379" s="20" t="str">
        <f t="shared" si="51"/>
        <v/>
      </c>
      <c r="M379" s="30"/>
      <c r="N379" s="26" t="str">
        <f t="shared" si="52"/>
        <v/>
      </c>
      <c r="O379" s="20" t="str">
        <f t="shared" si="53"/>
        <v/>
      </c>
      <c r="P379" s="31" t="str">
        <f t="shared" si="54"/>
        <v/>
      </c>
      <c r="Q379" s="32" t="str">
        <f t="shared" si="55"/>
        <v/>
      </c>
      <c r="R379" t="str">
        <f t="shared" si="56"/>
        <v/>
      </c>
      <c r="S379" s="20" t="str">
        <f t="shared" si="57"/>
        <v/>
      </c>
      <c r="T379" s="20"/>
      <c r="U379" t="str">
        <f t="shared" si="58"/>
        <v/>
      </c>
      <c r="V379" s="20"/>
      <c r="W379" s="20" t="str">
        <f t="shared" si="59"/>
        <v/>
      </c>
      <c r="X379" s="25"/>
      <c r="Y379" s="25"/>
    </row>
    <row r="380" spans="1:25" x14ac:dyDescent="0.25">
      <c r="A380">
        <v>377</v>
      </c>
      <c r="B380" s="25"/>
      <c r="D380" s="30"/>
      <c r="G380" s="30"/>
      <c r="H380" t="str">
        <f t="shared" si="50"/>
        <v/>
      </c>
      <c r="J380" s="20"/>
      <c r="K380" s="20"/>
      <c r="L380" s="20" t="str">
        <f t="shared" si="51"/>
        <v/>
      </c>
      <c r="M380" s="30"/>
      <c r="N380" s="26" t="str">
        <f t="shared" si="52"/>
        <v/>
      </c>
      <c r="O380" s="20" t="str">
        <f t="shared" si="53"/>
        <v/>
      </c>
      <c r="P380" s="31" t="str">
        <f t="shared" si="54"/>
        <v/>
      </c>
      <c r="Q380" s="32" t="str">
        <f t="shared" si="55"/>
        <v/>
      </c>
      <c r="R380" t="str">
        <f t="shared" si="56"/>
        <v/>
      </c>
      <c r="S380" s="20" t="str">
        <f t="shared" si="57"/>
        <v/>
      </c>
      <c r="T380" s="20"/>
      <c r="U380" t="str">
        <f t="shared" si="58"/>
        <v/>
      </c>
      <c r="V380" s="20"/>
      <c r="W380" s="20" t="str">
        <f t="shared" si="59"/>
        <v/>
      </c>
      <c r="X380" s="25"/>
      <c r="Y380" s="25"/>
    </row>
    <row r="381" spans="1:25" x14ac:dyDescent="0.25">
      <c r="A381">
        <v>378</v>
      </c>
      <c r="B381" s="25"/>
      <c r="D381" s="30"/>
      <c r="G381" s="30"/>
      <c r="H381" t="str">
        <f t="shared" si="50"/>
        <v/>
      </c>
      <c r="J381" s="20"/>
      <c r="K381" s="20"/>
      <c r="L381" s="20" t="str">
        <f t="shared" si="51"/>
        <v/>
      </c>
      <c r="M381" s="30"/>
      <c r="N381" s="26" t="str">
        <f t="shared" si="52"/>
        <v/>
      </c>
      <c r="O381" s="20" t="str">
        <f t="shared" si="53"/>
        <v/>
      </c>
      <c r="P381" s="31" t="str">
        <f t="shared" si="54"/>
        <v/>
      </c>
      <c r="Q381" s="32" t="str">
        <f t="shared" si="55"/>
        <v/>
      </c>
      <c r="R381" t="str">
        <f t="shared" si="56"/>
        <v/>
      </c>
      <c r="S381" s="20" t="str">
        <f t="shared" si="57"/>
        <v/>
      </c>
      <c r="T381" s="20"/>
      <c r="U381" t="str">
        <f t="shared" si="58"/>
        <v/>
      </c>
      <c r="V381" s="20"/>
      <c r="W381" s="20" t="str">
        <f t="shared" si="59"/>
        <v/>
      </c>
      <c r="X381" s="25"/>
      <c r="Y381" s="25"/>
    </row>
    <row r="382" spans="1:25" x14ac:dyDescent="0.25">
      <c r="A382">
        <v>379</v>
      </c>
      <c r="B382" s="25"/>
      <c r="D382" s="30"/>
      <c r="G382" s="30"/>
      <c r="H382" t="str">
        <f t="shared" si="50"/>
        <v/>
      </c>
      <c r="J382" s="20"/>
      <c r="K382" s="20"/>
      <c r="L382" s="20" t="str">
        <f t="shared" si="51"/>
        <v/>
      </c>
      <c r="M382" s="30"/>
      <c r="N382" s="26" t="str">
        <f t="shared" si="52"/>
        <v/>
      </c>
      <c r="O382" s="20" t="str">
        <f t="shared" si="53"/>
        <v/>
      </c>
      <c r="P382" s="31" t="str">
        <f t="shared" si="54"/>
        <v/>
      </c>
      <c r="Q382" s="32" t="str">
        <f t="shared" si="55"/>
        <v/>
      </c>
      <c r="R382" t="str">
        <f t="shared" si="56"/>
        <v/>
      </c>
      <c r="S382" s="20" t="str">
        <f t="shared" si="57"/>
        <v/>
      </c>
      <c r="T382" s="20"/>
      <c r="U382" t="str">
        <f t="shared" si="58"/>
        <v/>
      </c>
      <c r="V382" s="20"/>
      <c r="W382" s="20" t="str">
        <f t="shared" si="59"/>
        <v/>
      </c>
      <c r="X382" s="25"/>
      <c r="Y382" s="25"/>
    </row>
    <row r="383" spans="1:25" x14ac:dyDescent="0.25">
      <c r="A383">
        <v>380</v>
      </c>
      <c r="B383" s="25"/>
      <c r="D383" s="30"/>
      <c r="G383" s="30"/>
      <c r="H383" t="str">
        <f t="shared" si="50"/>
        <v/>
      </c>
      <c r="J383" s="20"/>
      <c r="K383" s="20"/>
      <c r="L383" s="20" t="str">
        <f t="shared" si="51"/>
        <v/>
      </c>
      <c r="M383" s="30"/>
      <c r="N383" s="26" t="str">
        <f t="shared" si="52"/>
        <v/>
      </c>
      <c r="O383" s="20" t="str">
        <f t="shared" si="53"/>
        <v/>
      </c>
      <c r="P383" s="31" t="str">
        <f t="shared" si="54"/>
        <v/>
      </c>
      <c r="Q383" s="32" t="str">
        <f t="shared" si="55"/>
        <v/>
      </c>
      <c r="R383" t="str">
        <f t="shared" si="56"/>
        <v/>
      </c>
      <c r="S383" s="20" t="str">
        <f t="shared" si="57"/>
        <v/>
      </c>
      <c r="T383" s="20"/>
      <c r="U383" t="str">
        <f t="shared" si="58"/>
        <v/>
      </c>
      <c r="V383" s="20"/>
      <c r="W383" s="20" t="str">
        <f t="shared" si="59"/>
        <v/>
      </c>
      <c r="X383" s="25"/>
      <c r="Y383" s="25"/>
    </row>
    <row r="384" spans="1:25" x14ac:dyDescent="0.25">
      <c r="A384">
        <v>381</v>
      </c>
      <c r="B384" s="25"/>
      <c r="D384" s="30"/>
      <c r="G384" s="30"/>
      <c r="H384" t="str">
        <f t="shared" si="50"/>
        <v/>
      </c>
      <c r="J384" s="20"/>
      <c r="K384" s="20"/>
      <c r="L384" s="20" t="str">
        <f t="shared" si="51"/>
        <v/>
      </c>
      <c r="M384" s="30"/>
      <c r="N384" s="26" t="str">
        <f t="shared" si="52"/>
        <v/>
      </c>
      <c r="O384" s="20" t="str">
        <f t="shared" si="53"/>
        <v/>
      </c>
      <c r="P384" s="31" t="str">
        <f t="shared" si="54"/>
        <v/>
      </c>
      <c r="Q384" s="32" t="str">
        <f t="shared" si="55"/>
        <v/>
      </c>
      <c r="R384" t="str">
        <f t="shared" si="56"/>
        <v/>
      </c>
      <c r="S384" s="20" t="str">
        <f t="shared" si="57"/>
        <v/>
      </c>
      <c r="T384" s="20"/>
      <c r="U384" t="str">
        <f t="shared" si="58"/>
        <v/>
      </c>
      <c r="V384" s="20"/>
      <c r="W384" s="20" t="str">
        <f t="shared" si="59"/>
        <v/>
      </c>
      <c r="X384" s="25"/>
      <c r="Y384" s="25"/>
    </row>
    <row r="385" spans="1:25" x14ac:dyDescent="0.25">
      <c r="A385">
        <v>382</v>
      </c>
      <c r="B385" s="25"/>
      <c r="D385" s="30"/>
      <c r="G385" s="30"/>
      <c r="H385" t="str">
        <f t="shared" si="50"/>
        <v/>
      </c>
      <c r="J385" s="20"/>
      <c r="K385" s="20"/>
      <c r="L385" s="20" t="str">
        <f t="shared" si="51"/>
        <v/>
      </c>
      <c r="M385" s="30"/>
      <c r="N385" s="26" t="str">
        <f t="shared" si="52"/>
        <v/>
      </c>
      <c r="O385" s="20" t="str">
        <f t="shared" si="53"/>
        <v/>
      </c>
      <c r="P385" s="31" t="str">
        <f t="shared" si="54"/>
        <v/>
      </c>
      <c r="Q385" s="32" t="str">
        <f t="shared" si="55"/>
        <v/>
      </c>
      <c r="R385" t="str">
        <f t="shared" si="56"/>
        <v/>
      </c>
      <c r="S385" s="20" t="str">
        <f t="shared" si="57"/>
        <v/>
      </c>
      <c r="T385" s="20"/>
      <c r="U385" t="str">
        <f t="shared" si="58"/>
        <v/>
      </c>
      <c r="V385" s="20"/>
      <c r="W385" s="20" t="str">
        <f t="shared" si="59"/>
        <v/>
      </c>
      <c r="X385" s="25"/>
      <c r="Y385" s="25"/>
    </row>
    <row r="386" spans="1:25" x14ac:dyDescent="0.25">
      <c r="A386">
        <v>383</v>
      </c>
      <c r="B386" s="25"/>
      <c r="D386" s="30"/>
      <c r="G386" s="30"/>
      <c r="H386" t="str">
        <f t="shared" si="50"/>
        <v/>
      </c>
      <c r="J386" s="20"/>
      <c r="K386" s="20"/>
      <c r="L386" s="20" t="str">
        <f t="shared" si="51"/>
        <v/>
      </c>
      <c r="M386" s="30"/>
      <c r="N386" s="26" t="str">
        <f t="shared" si="52"/>
        <v/>
      </c>
      <c r="O386" s="20" t="str">
        <f t="shared" si="53"/>
        <v/>
      </c>
      <c r="P386" s="31" t="str">
        <f t="shared" si="54"/>
        <v/>
      </c>
      <c r="Q386" s="32" t="str">
        <f t="shared" si="55"/>
        <v/>
      </c>
      <c r="R386" t="str">
        <f t="shared" si="56"/>
        <v/>
      </c>
      <c r="S386" s="20" t="str">
        <f t="shared" si="57"/>
        <v/>
      </c>
      <c r="T386" s="20"/>
      <c r="U386" t="str">
        <f t="shared" si="58"/>
        <v/>
      </c>
      <c r="V386" s="20"/>
      <c r="W386" s="20" t="str">
        <f t="shared" si="59"/>
        <v/>
      </c>
      <c r="X386" s="25"/>
      <c r="Y386" s="25"/>
    </row>
    <row r="387" spans="1:25" x14ac:dyDescent="0.25">
      <c r="A387">
        <v>384</v>
      </c>
      <c r="B387" s="25"/>
      <c r="D387" s="30"/>
      <c r="G387" s="30"/>
      <c r="H387" t="str">
        <f t="shared" si="50"/>
        <v/>
      </c>
      <c r="J387" s="20"/>
      <c r="K387" s="20"/>
      <c r="L387" s="20" t="str">
        <f t="shared" si="51"/>
        <v/>
      </c>
      <c r="M387" s="30"/>
      <c r="N387" s="26" t="str">
        <f t="shared" si="52"/>
        <v/>
      </c>
      <c r="O387" s="20" t="str">
        <f t="shared" si="53"/>
        <v/>
      </c>
      <c r="P387" s="31" t="str">
        <f t="shared" si="54"/>
        <v/>
      </c>
      <c r="Q387" s="32" t="str">
        <f t="shared" si="55"/>
        <v/>
      </c>
      <c r="R387" t="str">
        <f t="shared" si="56"/>
        <v/>
      </c>
      <c r="S387" s="20" t="str">
        <f t="shared" si="57"/>
        <v/>
      </c>
      <c r="T387" s="20"/>
      <c r="U387" t="str">
        <f t="shared" si="58"/>
        <v/>
      </c>
      <c r="V387" s="20"/>
      <c r="W387" s="20" t="str">
        <f t="shared" si="59"/>
        <v/>
      </c>
      <c r="X387" s="25"/>
      <c r="Y387" s="25"/>
    </row>
    <row r="388" spans="1:25" x14ac:dyDescent="0.25">
      <c r="A388">
        <v>385</v>
      </c>
      <c r="B388" s="25"/>
      <c r="D388" s="30"/>
      <c r="G388" s="30"/>
      <c r="H388" t="str">
        <f t="shared" ref="H388:H451" si="60">IF($G388="","",IFERROR(INDEX(Catalogo_Etiquetas,MATCH($G388,Catalogo_Codigos,0)),"CODIGO NO VALIDO"))</f>
        <v/>
      </c>
      <c r="J388" s="20"/>
      <c r="K388" s="20"/>
      <c r="L388" s="20" t="str">
        <f t="shared" ref="L388:L451" si="61">IF($C388="","",$J388+$K388)</f>
        <v/>
      </c>
      <c r="M388" s="30"/>
      <c r="N388" s="26" t="str">
        <f t="shared" ref="N388:N451" si="62">IF($C388="","",IF($I388="PEN",1,IFERROR(IF(_xlfn.XLOOKUP($B388,TC_Fechas,TC_Venta_Rango,"",-1)="","",_xlfn.XLOOKUP($B388,TC_Fechas,TC_Venta_Rango,"",-1)),"")))</f>
        <v/>
      </c>
      <c r="O388" s="20" t="str">
        <f t="shared" ref="O388:O451" si="63">IF(OR($C388="",$N388=""),"",ROUND($J388*$N388,2)+ROUND($K388*$N388,2))</f>
        <v/>
      </c>
      <c r="P388" s="31" t="str">
        <f t="shared" ref="P388:P451" si="64">IF($G388="","",IFERROR(INDEX(Catalogo_Tasas,MATCH($G388,Catalogo_Codigos,0)),""))</f>
        <v/>
      </c>
      <c r="Q388" s="32" t="str">
        <f t="shared" ref="Q388:Q451" si="65">IF($G388="","",IFERROR(INDEX(Catalogo_Umbrales,MATCH($G388,Catalogo_Codigos,0)),""))</f>
        <v/>
      </c>
      <c r="R388" t="str">
        <f t="shared" ref="R388:R451" si="66">IF(OR($C388="",$P388="",$O388=""),"",IF($F388&lt;&gt;"FACTURA","NO",IF(AND($P388&gt;0,$O388&gt;$Q388),"SI","NO")))</f>
        <v/>
      </c>
      <c r="S388" s="20" t="str">
        <f t="shared" ref="S388:S451" si="67">IF($R388="SI",ROUND($O388*$P388,2),IF($C388="","",0))</f>
        <v/>
      </c>
      <c r="T388" s="20"/>
      <c r="U388" t="str">
        <f t="shared" ref="U388:U451" si="68">IF($C388="","",IF($R388&lt;&gt;"SI","",IF($T388="","SIN DATO",IF(ABS($T388-$S388)&lt;=0.5,"OK","REVISAR"))))</f>
        <v/>
      </c>
      <c r="V388" s="20"/>
      <c r="W388" s="20" t="str">
        <f t="shared" ref="W388:W451" si="69">IF(OR($C388="",$N388=""),"",IF($F388="RHE",ROUND($L388-$V388,2),ROUND($L388-($S388/$N388),2)))</f>
        <v/>
      </c>
      <c r="X388" s="25"/>
      <c r="Y388" s="25"/>
    </row>
    <row r="389" spans="1:25" x14ac:dyDescent="0.25">
      <c r="A389">
        <v>386</v>
      </c>
      <c r="B389" s="25"/>
      <c r="D389" s="30"/>
      <c r="G389" s="30"/>
      <c r="H389" t="str">
        <f t="shared" si="60"/>
        <v/>
      </c>
      <c r="J389" s="20"/>
      <c r="K389" s="20"/>
      <c r="L389" s="20" t="str">
        <f t="shared" si="61"/>
        <v/>
      </c>
      <c r="M389" s="30"/>
      <c r="N389" s="26" t="str">
        <f t="shared" si="62"/>
        <v/>
      </c>
      <c r="O389" s="20" t="str">
        <f t="shared" si="63"/>
        <v/>
      </c>
      <c r="P389" s="31" t="str">
        <f t="shared" si="64"/>
        <v/>
      </c>
      <c r="Q389" s="32" t="str">
        <f t="shared" si="65"/>
        <v/>
      </c>
      <c r="R389" t="str">
        <f t="shared" si="66"/>
        <v/>
      </c>
      <c r="S389" s="20" t="str">
        <f t="shared" si="67"/>
        <v/>
      </c>
      <c r="T389" s="20"/>
      <c r="U389" t="str">
        <f t="shared" si="68"/>
        <v/>
      </c>
      <c r="V389" s="20"/>
      <c r="W389" s="20" t="str">
        <f t="shared" si="69"/>
        <v/>
      </c>
      <c r="X389" s="25"/>
      <c r="Y389" s="25"/>
    </row>
    <row r="390" spans="1:25" x14ac:dyDescent="0.25">
      <c r="A390">
        <v>387</v>
      </c>
      <c r="B390" s="25"/>
      <c r="D390" s="30"/>
      <c r="G390" s="30"/>
      <c r="H390" t="str">
        <f t="shared" si="60"/>
        <v/>
      </c>
      <c r="J390" s="20"/>
      <c r="K390" s="20"/>
      <c r="L390" s="20" t="str">
        <f t="shared" si="61"/>
        <v/>
      </c>
      <c r="M390" s="30"/>
      <c r="N390" s="26" t="str">
        <f t="shared" si="62"/>
        <v/>
      </c>
      <c r="O390" s="20" t="str">
        <f t="shared" si="63"/>
        <v/>
      </c>
      <c r="P390" s="31" t="str">
        <f t="shared" si="64"/>
        <v/>
      </c>
      <c r="Q390" s="32" t="str">
        <f t="shared" si="65"/>
        <v/>
      </c>
      <c r="R390" t="str">
        <f t="shared" si="66"/>
        <v/>
      </c>
      <c r="S390" s="20" t="str">
        <f t="shared" si="67"/>
        <v/>
      </c>
      <c r="T390" s="20"/>
      <c r="U390" t="str">
        <f t="shared" si="68"/>
        <v/>
      </c>
      <c r="V390" s="20"/>
      <c r="W390" s="20" t="str">
        <f t="shared" si="69"/>
        <v/>
      </c>
      <c r="X390" s="25"/>
      <c r="Y390" s="25"/>
    </row>
    <row r="391" spans="1:25" x14ac:dyDescent="0.25">
      <c r="A391">
        <v>388</v>
      </c>
      <c r="B391" s="25"/>
      <c r="D391" s="30"/>
      <c r="G391" s="30"/>
      <c r="H391" t="str">
        <f t="shared" si="60"/>
        <v/>
      </c>
      <c r="J391" s="20"/>
      <c r="K391" s="20"/>
      <c r="L391" s="20" t="str">
        <f t="shared" si="61"/>
        <v/>
      </c>
      <c r="M391" s="30"/>
      <c r="N391" s="26" t="str">
        <f t="shared" si="62"/>
        <v/>
      </c>
      <c r="O391" s="20" t="str">
        <f t="shared" si="63"/>
        <v/>
      </c>
      <c r="P391" s="31" t="str">
        <f t="shared" si="64"/>
        <v/>
      </c>
      <c r="Q391" s="32" t="str">
        <f t="shared" si="65"/>
        <v/>
      </c>
      <c r="R391" t="str">
        <f t="shared" si="66"/>
        <v/>
      </c>
      <c r="S391" s="20" t="str">
        <f t="shared" si="67"/>
        <v/>
      </c>
      <c r="T391" s="20"/>
      <c r="U391" t="str">
        <f t="shared" si="68"/>
        <v/>
      </c>
      <c r="V391" s="20"/>
      <c r="W391" s="20" t="str">
        <f t="shared" si="69"/>
        <v/>
      </c>
      <c r="X391" s="25"/>
      <c r="Y391" s="25"/>
    </row>
    <row r="392" spans="1:25" x14ac:dyDescent="0.25">
      <c r="A392">
        <v>389</v>
      </c>
      <c r="B392" s="25"/>
      <c r="D392" s="30"/>
      <c r="G392" s="30"/>
      <c r="H392" t="str">
        <f t="shared" si="60"/>
        <v/>
      </c>
      <c r="J392" s="20"/>
      <c r="K392" s="20"/>
      <c r="L392" s="20" t="str">
        <f t="shared" si="61"/>
        <v/>
      </c>
      <c r="M392" s="30"/>
      <c r="N392" s="26" t="str">
        <f t="shared" si="62"/>
        <v/>
      </c>
      <c r="O392" s="20" t="str">
        <f t="shared" si="63"/>
        <v/>
      </c>
      <c r="P392" s="31" t="str">
        <f t="shared" si="64"/>
        <v/>
      </c>
      <c r="Q392" s="32" t="str">
        <f t="shared" si="65"/>
        <v/>
      </c>
      <c r="R392" t="str">
        <f t="shared" si="66"/>
        <v/>
      </c>
      <c r="S392" s="20" t="str">
        <f t="shared" si="67"/>
        <v/>
      </c>
      <c r="T392" s="20"/>
      <c r="U392" t="str">
        <f t="shared" si="68"/>
        <v/>
      </c>
      <c r="V392" s="20"/>
      <c r="W392" s="20" t="str">
        <f t="shared" si="69"/>
        <v/>
      </c>
      <c r="X392" s="25"/>
      <c r="Y392" s="25"/>
    </row>
    <row r="393" spans="1:25" x14ac:dyDescent="0.25">
      <c r="A393">
        <v>390</v>
      </c>
      <c r="B393" s="25"/>
      <c r="D393" s="30"/>
      <c r="G393" s="30"/>
      <c r="H393" t="str">
        <f t="shared" si="60"/>
        <v/>
      </c>
      <c r="J393" s="20"/>
      <c r="K393" s="20"/>
      <c r="L393" s="20" t="str">
        <f t="shared" si="61"/>
        <v/>
      </c>
      <c r="M393" s="30"/>
      <c r="N393" s="26" t="str">
        <f t="shared" si="62"/>
        <v/>
      </c>
      <c r="O393" s="20" t="str">
        <f t="shared" si="63"/>
        <v/>
      </c>
      <c r="P393" s="31" t="str">
        <f t="shared" si="64"/>
        <v/>
      </c>
      <c r="Q393" s="32" t="str">
        <f t="shared" si="65"/>
        <v/>
      </c>
      <c r="R393" t="str">
        <f t="shared" si="66"/>
        <v/>
      </c>
      <c r="S393" s="20" t="str">
        <f t="shared" si="67"/>
        <v/>
      </c>
      <c r="T393" s="20"/>
      <c r="U393" t="str">
        <f t="shared" si="68"/>
        <v/>
      </c>
      <c r="V393" s="20"/>
      <c r="W393" s="20" t="str">
        <f t="shared" si="69"/>
        <v/>
      </c>
      <c r="X393" s="25"/>
      <c r="Y393" s="25"/>
    </row>
    <row r="394" spans="1:25" x14ac:dyDescent="0.25">
      <c r="A394">
        <v>391</v>
      </c>
      <c r="B394" s="25"/>
      <c r="D394" s="30"/>
      <c r="G394" s="30"/>
      <c r="H394" t="str">
        <f t="shared" si="60"/>
        <v/>
      </c>
      <c r="J394" s="20"/>
      <c r="K394" s="20"/>
      <c r="L394" s="20" t="str">
        <f t="shared" si="61"/>
        <v/>
      </c>
      <c r="M394" s="30"/>
      <c r="N394" s="26" t="str">
        <f t="shared" si="62"/>
        <v/>
      </c>
      <c r="O394" s="20" t="str">
        <f t="shared" si="63"/>
        <v/>
      </c>
      <c r="P394" s="31" t="str">
        <f t="shared" si="64"/>
        <v/>
      </c>
      <c r="Q394" s="32" t="str">
        <f t="shared" si="65"/>
        <v/>
      </c>
      <c r="R394" t="str">
        <f t="shared" si="66"/>
        <v/>
      </c>
      <c r="S394" s="20" t="str">
        <f t="shared" si="67"/>
        <v/>
      </c>
      <c r="T394" s="20"/>
      <c r="U394" t="str">
        <f t="shared" si="68"/>
        <v/>
      </c>
      <c r="V394" s="20"/>
      <c r="W394" s="20" t="str">
        <f t="shared" si="69"/>
        <v/>
      </c>
      <c r="X394" s="25"/>
      <c r="Y394" s="25"/>
    </row>
    <row r="395" spans="1:25" x14ac:dyDescent="0.25">
      <c r="A395">
        <v>392</v>
      </c>
      <c r="B395" s="25"/>
      <c r="D395" s="30"/>
      <c r="G395" s="30"/>
      <c r="H395" t="str">
        <f t="shared" si="60"/>
        <v/>
      </c>
      <c r="J395" s="20"/>
      <c r="K395" s="20"/>
      <c r="L395" s="20" t="str">
        <f t="shared" si="61"/>
        <v/>
      </c>
      <c r="M395" s="30"/>
      <c r="N395" s="26" t="str">
        <f t="shared" si="62"/>
        <v/>
      </c>
      <c r="O395" s="20" t="str">
        <f t="shared" si="63"/>
        <v/>
      </c>
      <c r="P395" s="31" t="str">
        <f t="shared" si="64"/>
        <v/>
      </c>
      <c r="Q395" s="32" t="str">
        <f t="shared" si="65"/>
        <v/>
      </c>
      <c r="R395" t="str">
        <f t="shared" si="66"/>
        <v/>
      </c>
      <c r="S395" s="20" t="str">
        <f t="shared" si="67"/>
        <v/>
      </c>
      <c r="T395" s="20"/>
      <c r="U395" t="str">
        <f t="shared" si="68"/>
        <v/>
      </c>
      <c r="V395" s="20"/>
      <c r="W395" s="20" t="str">
        <f t="shared" si="69"/>
        <v/>
      </c>
      <c r="X395" s="25"/>
      <c r="Y395" s="25"/>
    </row>
    <row r="396" spans="1:25" x14ac:dyDescent="0.25">
      <c r="A396">
        <v>393</v>
      </c>
      <c r="B396" s="25"/>
      <c r="D396" s="30"/>
      <c r="G396" s="30"/>
      <c r="H396" t="str">
        <f t="shared" si="60"/>
        <v/>
      </c>
      <c r="J396" s="20"/>
      <c r="K396" s="20"/>
      <c r="L396" s="20" t="str">
        <f t="shared" si="61"/>
        <v/>
      </c>
      <c r="M396" s="30"/>
      <c r="N396" s="26" t="str">
        <f t="shared" si="62"/>
        <v/>
      </c>
      <c r="O396" s="20" t="str">
        <f t="shared" si="63"/>
        <v/>
      </c>
      <c r="P396" s="31" t="str">
        <f t="shared" si="64"/>
        <v/>
      </c>
      <c r="Q396" s="32" t="str">
        <f t="shared" si="65"/>
        <v/>
      </c>
      <c r="R396" t="str">
        <f t="shared" si="66"/>
        <v/>
      </c>
      <c r="S396" s="20" t="str">
        <f t="shared" si="67"/>
        <v/>
      </c>
      <c r="T396" s="20"/>
      <c r="U396" t="str">
        <f t="shared" si="68"/>
        <v/>
      </c>
      <c r="V396" s="20"/>
      <c r="W396" s="20" t="str">
        <f t="shared" si="69"/>
        <v/>
      </c>
      <c r="X396" s="25"/>
      <c r="Y396" s="25"/>
    </row>
    <row r="397" spans="1:25" x14ac:dyDescent="0.25">
      <c r="A397">
        <v>394</v>
      </c>
      <c r="B397" s="25"/>
      <c r="D397" s="30"/>
      <c r="G397" s="30"/>
      <c r="H397" t="str">
        <f t="shared" si="60"/>
        <v/>
      </c>
      <c r="J397" s="20"/>
      <c r="K397" s="20"/>
      <c r="L397" s="20" t="str">
        <f t="shared" si="61"/>
        <v/>
      </c>
      <c r="M397" s="30"/>
      <c r="N397" s="26" t="str">
        <f t="shared" si="62"/>
        <v/>
      </c>
      <c r="O397" s="20" t="str">
        <f t="shared" si="63"/>
        <v/>
      </c>
      <c r="P397" s="31" t="str">
        <f t="shared" si="64"/>
        <v/>
      </c>
      <c r="Q397" s="32" t="str">
        <f t="shared" si="65"/>
        <v/>
      </c>
      <c r="R397" t="str">
        <f t="shared" si="66"/>
        <v/>
      </c>
      <c r="S397" s="20" t="str">
        <f t="shared" si="67"/>
        <v/>
      </c>
      <c r="T397" s="20"/>
      <c r="U397" t="str">
        <f t="shared" si="68"/>
        <v/>
      </c>
      <c r="V397" s="20"/>
      <c r="W397" s="20" t="str">
        <f t="shared" si="69"/>
        <v/>
      </c>
      <c r="X397" s="25"/>
      <c r="Y397" s="25"/>
    </row>
    <row r="398" spans="1:25" x14ac:dyDescent="0.25">
      <c r="A398">
        <v>395</v>
      </c>
      <c r="B398" s="25"/>
      <c r="D398" s="30"/>
      <c r="G398" s="30"/>
      <c r="H398" t="str">
        <f t="shared" si="60"/>
        <v/>
      </c>
      <c r="J398" s="20"/>
      <c r="K398" s="20"/>
      <c r="L398" s="20" t="str">
        <f t="shared" si="61"/>
        <v/>
      </c>
      <c r="M398" s="30"/>
      <c r="N398" s="26" t="str">
        <f t="shared" si="62"/>
        <v/>
      </c>
      <c r="O398" s="20" t="str">
        <f t="shared" si="63"/>
        <v/>
      </c>
      <c r="P398" s="31" t="str">
        <f t="shared" si="64"/>
        <v/>
      </c>
      <c r="Q398" s="32" t="str">
        <f t="shared" si="65"/>
        <v/>
      </c>
      <c r="R398" t="str">
        <f t="shared" si="66"/>
        <v/>
      </c>
      <c r="S398" s="20" t="str">
        <f t="shared" si="67"/>
        <v/>
      </c>
      <c r="T398" s="20"/>
      <c r="U398" t="str">
        <f t="shared" si="68"/>
        <v/>
      </c>
      <c r="V398" s="20"/>
      <c r="W398" s="20" t="str">
        <f t="shared" si="69"/>
        <v/>
      </c>
      <c r="X398" s="25"/>
      <c r="Y398" s="25"/>
    </row>
    <row r="399" spans="1:25" x14ac:dyDescent="0.25">
      <c r="A399">
        <v>396</v>
      </c>
      <c r="B399" s="25"/>
      <c r="D399" s="30"/>
      <c r="G399" s="30"/>
      <c r="H399" t="str">
        <f t="shared" si="60"/>
        <v/>
      </c>
      <c r="J399" s="20"/>
      <c r="K399" s="20"/>
      <c r="L399" s="20" t="str">
        <f t="shared" si="61"/>
        <v/>
      </c>
      <c r="M399" s="30"/>
      <c r="N399" s="26" t="str">
        <f t="shared" si="62"/>
        <v/>
      </c>
      <c r="O399" s="20" t="str">
        <f t="shared" si="63"/>
        <v/>
      </c>
      <c r="P399" s="31" t="str">
        <f t="shared" si="64"/>
        <v/>
      </c>
      <c r="Q399" s="32" t="str">
        <f t="shared" si="65"/>
        <v/>
      </c>
      <c r="R399" t="str">
        <f t="shared" si="66"/>
        <v/>
      </c>
      <c r="S399" s="20" t="str">
        <f t="shared" si="67"/>
        <v/>
      </c>
      <c r="T399" s="20"/>
      <c r="U399" t="str">
        <f t="shared" si="68"/>
        <v/>
      </c>
      <c r="V399" s="20"/>
      <c r="W399" s="20" t="str">
        <f t="shared" si="69"/>
        <v/>
      </c>
      <c r="X399" s="25"/>
      <c r="Y399" s="25"/>
    </row>
    <row r="400" spans="1:25" x14ac:dyDescent="0.25">
      <c r="A400">
        <v>397</v>
      </c>
      <c r="B400" s="25"/>
      <c r="D400" s="30"/>
      <c r="G400" s="30"/>
      <c r="H400" t="str">
        <f t="shared" si="60"/>
        <v/>
      </c>
      <c r="J400" s="20"/>
      <c r="K400" s="20"/>
      <c r="L400" s="20" t="str">
        <f t="shared" si="61"/>
        <v/>
      </c>
      <c r="M400" s="30"/>
      <c r="N400" s="26" t="str">
        <f t="shared" si="62"/>
        <v/>
      </c>
      <c r="O400" s="20" t="str">
        <f t="shared" si="63"/>
        <v/>
      </c>
      <c r="P400" s="31" t="str">
        <f t="shared" si="64"/>
        <v/>
      </c>
      <c r="Q400" s="32" t="str">
        <f t="shared" si="65"/>
        <v/>
      </c>
      <c r="R400" t="str">
        <f t="shared" si="66"/>
        <v/>
      </c>
      <c r="S400" s="20" t="str">
        <f t="shared" si="67"/>
        <v/>
      </c>
      <c r="T400" s="20"/>
      <c r="U400" t="str">
        <f t="shared" si="68"/>
        <v/>
      </c>
      <c r="V400" s="20"/>
      <c r="W400" s="20" t="str">
        <f t="shared" si="69"/>
        <v/>
      </c>
      <c r="X400" s="25"/>
      <c r="Y400" s="25"/>
    </row>
    <row r="401" spans="1:25" x14ac:dyDescent="0.25">
      <c r="A401">
        <v>398</v>
      </c>
      <c r="B401" s="25"/>
      <c r="D401" s="30"/>
      <c r="G401" s="30"/>
      <c r="H401" t="str">
        <f t="shared" si="60"/>
        <v/>
      </c>
      <c r="J401" s="20"/>
      <c r="K401" s="20"/>
      <c r="L401" s="20" t="str">
        <f t="shared" si="61"/>
        <v/>
      </c>
      <c r="M401" s="30"/>
      <c r="N401" s="26" t="str">
        <f t="shared" si="62"/>
        <v/>
      </c>
      <c r="O401" s="20" t="str">
        <f t="shared" si="63"/>
        <v/>
      </c>
      <c r="P401" s="31" t="str">
        <f t="shared" si="64"/>
        <v/>
      </c>
      <c r="Q401" s="32" t="str">
        <f t="shared" si="65"/>
        <v/>
      </c>
      <c r="R401" t="str">
        <f t="shared" si="66"/>
        <v/>
      </c>
      <c r="S401" s="20" t="str">
        <f t="shared" si="67"/>
        <v/>
      </c>
      <c r="T401" s="20"/>
      <c r="U401" t="str">
        <f t="shared" si="68"/>
        <v/>
      </c>
      <c r="V401" s="20"/>
      <c r="W401" s="20" t="str">
        <f t="shared" si="69"/>
        <v/>
      </c>
      <c r="X401" s="25"/>
      <c r="Y401" s="25"/>
    </row>
    <row r="402" spans="1:25" x14ac:dyDescent="0.25">
      <c r="A402">
        <v>399</v>
      </c>
      <c r="B402" s="25"/>
      <c r="D402" s="30"/>
      <c r="G402" s="30"/>
      <c r="H402" t="str">
        <f t="shared" si="60"/>
        <v/>
      </c>
      <c r="J402" s="20"/>
      <c r="K402" s="20"/>
      <c r="L402" s="20" t="str">
        <f t="shared" si="61"/>
        <v/>
      </c>
      <c r="M402" s="30"/>
      <c r="N402" s="26" t="str">
        <f t="shared" si="62"/>
        <v/>
      </c>
      <c r="O402" s="20" t="str">
        <f t="shared" si="63"/>
        <v/>
      </c>
      <c r="P402" s="31" t="str">
        <f t="shared" si="64"/>
        <v/>
      </c>
      <c r="Q402" s="32" t="str">
        <f t="shared" si="65"/>
        <v/>
      </c>
      <c r="R402" t="str">
        <f t="shared" si="66"/>
        <v/>
      </c>
      <c r="S402" s="20" t="str">
        <f t="shared" si="67"/>
        <v/>
      </c>
      <c r="T402" s="20"/>
      <c r="U402" t="str">
        <f t="shared" si="68"/>
        <v/>
      </c>
      <c r="V402" s="20"/>
      <c r="W402" s="20" t="str">
        <f t="shared" si="69"/>
        <v/>
      </c>
      <c r="X402" s="25"/>
      <c r="Y402" s="25"/>
    </row>
    <row r="403" spans="1:25" x14ac:dyDescent="0.25">
      <c r="A403">
        <v>400</v>
      </c>
      <c r="B403" s="25"/>
      <c r="D403" s="30"/>
      <c r="G403" s="30"/>
      <c r="H403" t="str">
        <f t="shared" si="60"/>
        <v/>
      </c>
      <c r="J403" s="20"/>
      <c r="K403" s="20"/>
      <c r="L403" s="20" t="str">
        <f t="shared" si="61"/>
        <v/>
      </c>
      <c r="M403" s="30"/>
      <c r="N403" s="26" t="str">
        <f t="shared" si="62"/>
        <v/>
      </c>
      <c r="O403" s="20" t="str">
        <f t="shared" si="63"/>
        <v/>
      </c>
      <c r="P403" s="31" t="str">
        <f t="shared" si="64"/>
        <v/>
      </c>
      <c r="Q403" s="32" t="str">
        <f t="shared" si="65"/>
        <v/>
      </c>
      <c r="R403" t="str">
        <f t="shared" si="66"/>
        <v/>
      </c>
      <c r="S403" s="20" t="str">
        <f t="shared" si="67"/>
        <v/>
      </c>
      <c r="T403" s="20"/>
      <c r="U403" t="str">
        <f t="shared" si="68"/>
        <v/>
      </c>
      <c r="V403" s="20"/>
      <c r="W403" s="20" t="str">
        <f t="shared" si="69"/>
        <v/>
      </c>
      <c r="X403" s="25"/>
      <c r="Y403" s="25"/>
    </row>
    <row r="404" spans="1:25" x14ac:dyDescent="0.25">
      <c r="A404">
        <v>401</v>
      </c>
      <c r="B404" s="25"/>
      <c r="D404" s="30"/>
      <c r="G404" s="30"/>
      <c r="H404" t="str">
        <f t="shared" si="60"/>
        <v/>
      </c>
      <c r="J404" s="20"/>
      <c r="K404" s="20"/>
      <c r="L404" s="20" t="str">
        <f t="shared" si="61"/>
        <v/>
      </c>
      <c r="M404" s="30"/>
      <c r="N404" s="26" t="str">
        <f t="shared" si="62"/>
        <v/>
      </c>
      <c r="O404" s="20" t="str">
        <f t="shared" si="63"/>
        <v/>
      </c>
      <c r="P404" s="31" t="str">
        <f t="shared" si="64"/>
        <v/>
      </c>
      <c r="Q404" s="32" t="str">
        <f t="shared" si="65"/>
        <v/>
      </c>
      <c r="R404" t="str">
        <f t="shared" si="66"/>
        <v/>
      </c>
      <c r="S404" s="20" t="str">
        <f t="shared" si="67"/>
        <v/>
      </c>
      <c r="T404" s="20"/>
      <c r="U404" t="str">
        <f t="shared" si="68"/>
        <v/>
      </c>
      <c r="V404" s="20"/>
      <c r="W404" s="20" t="str">
        <f t="shared" si="69"/>
        <v/>
      </c>
      <c r="X404" s="25"/>
      <c r="Y404" s="25"/>
    </row>
    <row r="405" spans="1:25" x14ac:dyDescent="0.25">
      <c r="A405">
        <v>402</v>
      </c>
      <c r="B405" s="25"/>
      <c r="D405" s="30"/>
      <c r="G405" s="30"/>
      <c r="H405" t="str">
        <f t="shared" si="60"/>
        <v/>
      </c>
      <c r="J405" s="20"/>
      <c r="K405" s="20"/>
      <c r="L405" s="20" t="str">
        <f t="shared" si="61"/>
        <v/>
      </c>
      <c r="M405" s="30"/>
      <c r="N405" s="26" t="str">
        <f t="shared" si="62"/>
        <v/>
      </c>
      <c r="O405" s="20" t="str">
        <f t="shared" si="63"/>
        <v/>
      </c>
      <c r="P405" s="31" t="str">
        <f t="shared" si="64"/>
        <v/>
      </c>
      <c r="Q405" s="32" t="str">
        <f t="shared" si="65"/>
        <v/>
      </c>
      <c r="R405" t="str">
        <f t="shared" si="66"/>
        <v/>
      </c>
      <c r="S405" s="20" t="str">
        <f t="shared" si="67"/>
        <v/>
      </c>
      <c r="T405" s="20"/>
      <c r="U405" t="str">
        <f t="shared" si="68"/>
        <v/>
      </c>
      <c r="V405" s="20"/>
      <c r="W405" s="20" t="str">
        <f t="shared" si="69"/>
        <v/>
      </c>
      <c r="X405" s="25"/>
      <c r="Y405" s="25"/>
    </row>
    <row r="406" spans="1:25" x14ac:dyDescent="0.25">
      <c r="A406">
        <v>403</v>
      </c>
      <c r="B406" s="25"/>
      <c r="D406" s="30"/>
      <c r="G406" s="30"/>
      <c r="H406" t="str">
        <f t="shared" si="60"/>
        <v/>
      </c>
      <c r="J406" s="20"/>
      <c r="K406" s="20"/>
      <c r="L406" s="20" t="str">
        <f t="shared" si="61"/>
        <v/>
      </c>
      <c r="M406" s="30"/>
      <c r="N406" s="26" t="str">
        <f t="shared" si="62"/>
        <v/>
      </c>
      <c r="O406" s="20" t="str">
        <f t="shared" si="63"/>
        <v/>
      </c>
      <c r="P406" s="31" t="str">
        <f t="shared" si="64"/>
        <v/>
      </c>
      <c r="Q406" s="32" t="str">
        <f t="shared" si="65"/>
        <v/>
      </c>
      <c r="R406" t="str">
        <f t="shared" si="66"/>
        <v/>
      </c>
      <c r="S406" s="20" t="str">
        <f t="shared" si="67"/>
        <v/>
      </c>
      <c r="T406" s="20"/>
      <c r="U406" t="str">
        <f t="shared" si="68"/>
        <v/>
      </c>
      <c r="V406" s="20"/>
      <c r="W406" s="20" t="str">
        <f t="shared" si="69"/>
        <v/>
      </c>
      <c r="X406" s="25"/>
      <c r="Y406" s="25"/>
    </row>
    <row r="407" spans="1:25" x14ac:dyDescent="0.25">
      <c r="A407">
        <v>404</v>
      </c>
      <c r="B407" s="25"/>
      <c r="D407" s="30"/>
      <c r="G407" s="30"/>
      <c r="H407" t="str">
        <f t="shared" si="60"/>
        <v/>
      </c>
      <c r="J407" s="20"/>
      <c r="K407" s="20"/>
      <c r="L407" s="20" t="str">
        <f t="shared" si="61"/>
        <v/>
      </c>
      <c r="M407" s="30"/>
      <c r="N407" s="26" t="str">
        <f t="shared" si="62"/>
        <v/>
      </c>
      <c r="O407" s="20" t="str">
        <f t="shared" si="63"/>
        <v/>
      </c>
      <c r="P407" s="31" t="str">
        <f t="shared" si="64"/>
        <v/>
      </c>
      <c r="Q407" s="32" t="str">
        <f t="shared" si="65"/>
        <v/>
      </c>
      <c r="R407" t="str">
        <f t="shared" si="66"/>
        <v/>
      </c>
      <c r="S407" s="20" t="str">
        <f t="shared" si="67"/>
        <v/>
      </c>
      <c r="T407" s="20"/>
      <c r="U407" t="str">
        <f t="shared" si="68"/>
        <v/>
      </c>
      <c r="V407" s="20"/>
      <c r="W407" s="20" t="str">
        <f t="shared" si="69"/>
        <v/>
      </c>
      <c r="X407" s="25"/>
      <c r="Y407" s="25"/>
    </row>
    <row r="408" spans="1:25" x14ac:dyDescent="0.25">
      <c r="A408">
        <v>405</v>
      </c>
      <c r="B408" s="25"/>
      <c r="D408" s="30"/>
      <c r="G408" s="30"/>
      <c r="H408" t="str">
        <f t="shared" si="60"/>
        <v/>
      </c>
      <c r="J408" s="20"/>
      <c r="K408" s="20"/>
      <c r="L408" s="20" t="str">
        <f t="shared" si="61"/>
        <v/>
      </c>
      <c r="M408" s="30"/>
      <c r="N408" s="26" t="str">
        <f t="shared" si="62"/>
        <v/>
      </c>
      <c r="O408" s="20" t="str">
        <f t="shared" si="63"/>
        <v/>
      </c>
      <c r="P408" s="31" t="str">
        <f t="shared" si="64"/>
        <v/>
      </c>
      <c r="Q408" s="32" t="str">
        <f t="shared" si="65"/>
        <v/>
      </c>
      <c r="R408" t="str">
        <f t="shared" si="66"/>
        <v/>
      </c>
      <c r="S408" s="20" t="str">
        <f t="shared" si="67"/>
        <v/>
      </c>
      <c r="T408" s="20"/>
      <c r="U408" t="str">
        <f t="shared" si="68"/>
        <v/>
      </c>
      <c r="V408" s="20"/>
      <c r="W408" s="20" t="str">
        <f t="shared" si="69"/>
        <v/>
      </c>
      <c r="X408" s="25"/>
      <c r="Y408" s="25"/>
    </row>
    <row r="409" spans="1:25" x14ac:dyDescent="0.25">
      <c r="A409">
        <v>406</v>
      </c>
      <c r="B409" s="25"/>
      <c r="D409" s="30"/>
      <c r="G409" s="30"/>
      <c r="H409" t="str">
        <f t="shared" si="60"/>
        <v/>
      </c>
      <c r="J409" s="20"/>
      <c r="K409" s="20"/>
      <c r="L409" s="20" t="str">
        <f t="shared" si="61"/>
        <v/>
      </c>
      <c r="M409" s="30"/>
      <c r="N409" s="26" t="str">
        <f t="shared" si="62"/>
        <v/>
      </c>
      <c r="O409" s="20" t="str">
        <f t="shared" si="63"/>
        <v/>
      </c>
      <c r="P409" s="31" t="str">
        <f t="shared" si="64"/>
        <v/>
      </c>
      <c r="Q409" s="32" t="str">
        <f t="shared" si="65"/>
        <v/>
      </c>
      <c r="R409" t="str">
        <f t="shared" si="66"/>
        <v/>
      </c>
      <c r="S409" s="20" t="str">
        <f t="shared" si="67"/>
        <v/>
      </c>
      <c r="T409" s="20"/>
      <c r="U409" t="str">
        <f t="shared" si="68"/>
        <v/>
      </c>
      <c r="V409" s="20"/>
      <c r="W409" s="20" t="str">
        <f t="shared" si="69"/>
        <v/>
      </c>
      <c r="X409" s="25"/>
      <c r="Y409" s="25"/>
    </row>
    <row r="410" spans="1:25" x14ac:dyDescent="0.25">
      <c r="A410">
        <v>407</v>
      </c>
      <c r="B410" s="25"/>
      <c r="D410" s="30"/>
      <c r="G410" s="30"/>
      <c r="H410" t="str">
        <f t="shared" si="60"/>
        <v/>
      </c>
      <c r="J410" s="20"/>
      <c r="K410" s="20"/>
      <c r="L410" s="20" t="str">
        <f t="shared" si="61"/>
        <v/>
      </c>
      <c r="M410" s="30"/>
      <c r="N410" s="26" t="str">
        <f t="shared" si="62"/>
        <v/>
      </c>
      <c r="O410" s="20" t="str">
        <f t="shared" si="63"/>
        <v/>
      </c>
      <c r="P410" s="31" t="str">
        <f t="shared" si="64"/>
        <v/>
      </c>
      <c r="Q410" s="32" t="str">
        <f t="shared" si="65"/>
        <v/>
      </c>
      <c r="R410" t="str">
        <f t="shared" si="66"/>
        <v/>
      </c>
      <c r="S410" s="20" t="str">
        <f t="shared" si="67"/>
        <v/>
      </c>
      <c r="T410" s="20"/>
      <c r="U410" t="str">
        <f t="shared" si="68"/>
        <v/>
      </c>
      <c r="V410" s="20"/>
      <c r="W410" s="20" t="str">
        <f t="shared" si="69"/>
        <v/>
      </c>
      <c r="X410" s="25"/>
      <c r="Y410" s="25"/>
    </row>
    <row r="411" spans="1:25" x14ac:dyDescent="0.25">
      <c r="A411">
        <v>408</v>
      </c>
      <c r="B411" s="25"/>
      <c r="D411" s="30"/>
      <c r="G411" s="30"/>
      <c r="H411" t="str">
        <f t="shared" si="60"/>
        <v/>
      </c>
      <c r="J411" s="20"/>
      <c r="K411" s="20"/>
      <c r="L411" s="20" t="str">
        <f t="shared" si="61"/>
        <v/>
      </c>
      <c r="M411" s="30"/>
      <c r="N411" s="26" t="str">
        <f t="shared" si="62"/>
        <v/>
      </c>
      <c r="O411" s="20" t="str">
        <f t="shared" si="63"/>
        <v/>
      </c>
      <c r="P411" s="31" t="str">
        <f t="shared" si="64"/>
        <v/>
      </c>
      <c r="Q411" s="32" t="str">
        <f t="shared" si="65"/>
        <v/>
      </c>
      <c r="R411" t="str">
        <f t="shared" si="66"/>
        <v/>
      </c>
      <c r="S411" s="20" t="str">
        <f t="shared" si="67"/>
        <v/>
      </c>
      <c r="T411" s="20"/>
      <c r="U411" t="str">
        <f t="shared" si="68"/>
        <v/>
      </c>
      <c r="V411" s="20"/>
      <c r="W411" s="20" t="str">
        <f t="shared" si="69"/>
        <v/>
      </c>
      <c r="X411" s="25"/>
      <c r="Y411" s="25"/>
    </row>
    <row r="412" spans="1:25" x14ac:dyDescent="0.25">
      <c r="A412">
        <v>409</v>
      </c>
      <c r="B412" s="25"/>
      <c r="D412" s="30"/>
      <c r="G412" s="30"/>
      <c r="H412" t="str">
        <f t="shared" si="60"/>
        <v/>
      </c>
      <c r="J412" s="20"/>
      <c r="K412" s="20"/>
      <c r="L412" s="20" t="str">
        <f t="shared" si="61"/>
        <v/>
      </c>
      <c r="M412" s="30"/>
      <c r="N412" s="26" t="str">
        <f t="shared" si="62"/>
        <v/>
      </c>
      <c r="O412" s="20" t="str">
        <f t="shared" si="63"/>
        <v/>
      </c>
      <c r="P412" s="31" t="str">
        <f t="shared" si="64"/>
        <v/>
      </c>
      <c r="Q412" s="32" t="str">
        <f t="shared" si="65"/>
        <v/>
      </c>
      <c r="R412" t="str">
        <f t="shared" si="66"/>
        <v/>
      </c>
      <c r="S412" s="20" t="str">
        <f t="shared" si="67"/>
        <v/>
      </c>
      <c r="T412" s="20"/>
      <c r="U412" t="str">
        <f t="shared" si="68"/>
        <v/>
      </c>
      <c r="V412" s="20"/>
      <c r="W412" s="20" t="str">
        <f t="shared" si="69"/>
        <v/>
      </c>
      <c r="X412" s="25"/>
      <c r="Y412" s="25"/>
    </row>
    <row r="413" spans="1:25" x14ac:dyDescent="0.25">
      <c r="A413">
        <v>410</v>
      </c>
      <c r="B413" s="25"/>
      <c r="D413" s="30"/>
      <c r="G413" s="30"/>
      <c r="H413" t="str">
        <f t="shared" si="60"/>
        <v/>
      </c>
      <c r="J413" s="20"/>
      <c r="K413" s="20"/>
      <c r="L413" s="20" t="str">
        <f t="shared" si="61"/>
        <v/>
      </c>
      <c r="M413" s="30"/>
      <c r="N413" s="26" t="str">
        <f t="shared" si="62"/>
        <v/>
      </c>
      <c r="O413" s="20" t="str">
        <f t="shared" si="63"/>
        <v/>
      </c>
      <c r="P413" s="31" t="str">
        <f t="shared" si="64"/>
        <v/>
      </c>
      <c r="Q413" s="32" t="str">
        <f t="shared" si="65"/>
        <v/>
      </c>
      <c r="R413" t="str">
        <f t="shared" si="66"/>
        <v/>
      </c>
      <c r="S413" s="20" t="str">
        <f t="shared" si="67"/>
        <v/>
      </c>
      <c r="T413" s="20"/>
      <c r="U413" t="str">
        <f t="shared" si="68"/>
        <v/>
      </c>
      <c r="V413" s="20"/>
      <c r="W413" s="20" t="str">
        <f t="shared" si="69"/>
        <v/>
      </c>
      <c r="X413" s="25"/>
      <c r="Y413" s="25"/>
    </row>
    <row r="414" spans="1:25" x14ac:dyDescent="0.25">
      <c r="A414">
        <v>411</v>
      </c>
      <c r="B414" s="25"/>
      <c r="D414" s="30"/>
      <c r="G414" s="30"/>
      <c r="H414" t="str">
        <f t="shared" si="60"/>
        <v/>
      </c>
      <c r="J414" s="20"/>
      <c r="K414" s="20"/>
      <c r="L414" s="20" t="str">
        <f t="shared" si="61"/>
        <v/>
      </c>
      <c r="M414" s="30"/>
      <c r="N414" s="26" t="str">
        <f t="shared" si="62"/>
        <v/>
      </c>
      <c r="O414" s="20" t="str">
        <f t="shared" si="63"/>
        <v/>
      </c>
      <c r="P414" s="31" t="str">
        <f t="shared" si="64"/>
        <v/>
      </c>
      <c r="Q414" s="32" t="str">
        <f t="shared" si="65"/>
        <v/>
      </c>
      <c r="R414" t="str">
        <f t="shared" si="66"/>
        <v/>
      </c>
      <c r="S414" s="20" t="str">
        <f t="shared" si="67"/>
        <v/>
      </c>
      <c r="T414" s="20"/>
      <c r="U414" t="str">
        <f t="shared" si="68"/>
        <v/>
      </c>
      <c r="V414" s="20"/>
      <c r="W414" s="20" t="str">
        <f t="shared" si="69"/>
        <v/>
      </c>
      <c r="X414" s="25"/>
      <c r="Y414" s="25"/>
    </row>
    <row r="415" spans="1:25" x14ac:dyDescent="0.25">
      <c r="A415">
        <v>412</v>
      </c>
      <c r="B415" s="25"/>
      <c r="D415" s="30"/>
      <c r="G415" s="30"/>
      <c r="H415" t="str">
        <f t="shared" si="60"/>
        <v/>
      </c>
      <c r="J415" s="20"/>
      <c r="K415" s="20"/>
      <c r="L415" s="20" t="str">
        <f t="shared" si="61"/>
        <v/>
      </c>
      <c r="M415" s="30"/>
      <c r="N415" s="26" t="str">
        <f t="shared" si="62"/>
        <v/>
      </c>
      <c r="O415" s="20" t="str">
        <f t="shared" si="63"/>
        <v/>
      </c>
      <c r="P415" s="31" t="str">
        <f t="shared" si="64"/>
        <v/>
      </c>
      <c r="Q415" s="32" t="str">
        <f t="shared" si="65"/>
        <v/>
      </c>
      <c r="R415" t="str">
        <f t="shared" si="66"/>
        <v/>
      </c>
      <c r="S415" s="20" t="str">
        <f t="shared" si="67"/>
        <v/>
      </c>
      <c r="T415" s="20"/>
      <c r="U415" t="str">
        <f t="shared" si="68"/>
        <v/>
      </c>
      <c r="V415" s="20"/>
      <c r="W415" s="20" t="str">
        <f t="shared" si="69"/>
        <v/>
      </c>
      <c r="X415" s="25"/>
      <c r="Y415" s="25"/>
    </row>
    <row r="416" spans="1:25" x14ac:dyDescent="0.25">
      <c r="A416">
        <v>413</v>
      </c>
      <c r="B416" s="25"/>
      <c r="D416" s="30"/>
      <c r="G416" s="30"/>
      <c r="H416" t="str">
        <f t="shared" si="60"/>
        <v/>
      </c>
      <c r="J416" s="20"/>
      <c r="K416" s="20"/>
      <c r="L416" s="20" t="str">
        <f t="shared" si="61"/>
        <v/>
      </c>
      <c r="M416" s="30"/>
      <c r="N416" s="26" t="str">
        <f t="shared" si="62"/>
        <v/>
      </c>
      <c r="O416" s="20" t="str">
        <f t="shared" si="63"/>
        <v/>
      </c>
      <c r="P416" s="31" t="str">
        <f t="shared" si="64"/>
        <v/>
      </c>
      <c r="Q416" s="32" t="str">
        <f t="shared" si="65"/>
        <v/>
      </c>
      <c r="R416" t="str">
        <f t="shared" si="66"/>
        <v/>
      </c>
      <c r="S416" s="20" t="str">
        <f t="shared" si="67"/>
        <v/>
      </c>
      <c r="T416" s="20"/>
      <c r="U416" t="str">
        <f t="shared" si="68"/>
        <v/>
      </c>
      <c r="V416" s="20"/>
      <c r="W416" s="20" t="str">
        <f t="shared" si="69"/>
        <v/>
      </c>
      <c r="X416" s="25"/>
      <c r="Y416" s="25"/>
    </row>
    <row r="417" spans="1:25" x14ac:dyDescent="0.25">
      <c r="A417">
        <v>414</v>
      </c>
      <c r="B417" s="25"/>
      <c r="D417" s="30"/>
      <c r="G417" s="30"/>
      <c r="H417" t="str">
        <f t="shared" si="60"/>
        <v/>
      </c>
      <c r="J417" s="20"/>
      <c r="K417" s="20"/>
      <c r="L417" s="20" t="str">
        <f t="shared" si="61"/>
        <v/>
      </c>
      <c r="M417" s="30"/>
      <c r="N417" s="26" t="str">
        <f t="shared" si="62"/>
        <v/>
      </c>
      <c r="O417" s="20" t="str">
        <f t="shared" si="63"/>
        <v/>
      </c>
      <c r="P417" s="31" t="str">
        <f t="shared" si="64"/>
        <v/>
      </c>
      <c r="Q417" s="32" t="str">
        <f t="shared" si="65"/>
        <v/>
      </c>
      <c r="R417" t="str">
        <f t="shared" si="66"/>
        <v/>
      </c>
      <c r="S417" s="20" t="str">
        <f t="shared" si="67"/>
        <v/>
      </c>
      <c r="T417" s="20"/>
      <c r="U417" t="str">
        <f t="shared" si="68"/>
        <v/>
      </c>
      <c r="V417" s="20"/>
      <c r="W417" s="20" t="str">
        <f t="shared" si="69"/>
        <v/>
      </c>
      <c r="X417" s="25"/>
      <c r="Y417" s="25"/>
    </row>
    <row r="418" spans="1:25" x14ac:dyDescent="0.25">
      <c r="A418">
        <v>415</v>
      </c>
      <c r="B418" s="25"/>
      <c r="D418" s="30"/>
      <c r="G418" s="30"/>
      <c r="H418" t="str">
        <f t="shared" si="60"/>
        <v/>
      </c>
      <c r="J418" s="20"/>
      <c r="K418" s="20"/>
      <c r="L418" s="20" t="str">
        <f t="shared" si="61"/>
        <v/>
      </c>
      <c r="M418" s="30"/>
      <c r="N418" s="26" t="str">
        <f t="shared" si="62"/>
        <v/>
      </c>
      <c r="O418" s="20" t="str">
        <f t="shared" si="63"/>
        <v/>
      </c>
      <c r="P418" s="31" t="str">
        <f t="shared" si="64"/>
        <v/>
      </c>
      <c r="Q418" s="32" t="str">
        <f t="shared" si="65"/>
        <v/>
      </c>
      <c r="R418" t="str">
        <f t="shared" si="66"/>
        <v/>
      </c>
      <c r="S418" s="20" t="str">
        <f t="shared" si="67"/>
        <v/>
      </c>
      <c r="T418" s="20"/>
      <c r="U418" t="str">
        <f t="shared" si="68"/>
        <v/>
      </c>
      <c r="V418" s="20"/>
      <c r="W418" s="20" t="str">
        <f t="shared" si="69"/>
        <v/>
      </c>
      <c r="X418" s="25"/>
      <c r="Y418" s="25"/>
    </row>
    <row r="419" spans="1:25" x14ac:dyDescent="0.25">
      <c r="A419">
        <v>416</v>
      </c>
      <c r="B419" s="25"/>
      <c r="D419" s="30"/>
      <c r="G419" s="30"/>
      <c r="H419" t="str">
        <f t="shared" si="60"/>
        <v/>
      </c>
      <c r="J419" s="20"/>
      <c r="K419" s="20"/>
      <c r="L419" s="20" t="str">
        <f t="shared" si="61"/>
        <v/>
      </c>
      <c r="M419" s="30"/>
      <c r="N419" s="26" t="str">
        <f t="shared" si="62"/>
        <v/>
      </c>
      <c r="O419" s="20" t="str">
        <f t="shared" si="63"/>
        <v/>
      </c>
      <c r="P419" s="31" t="str">
        <f t="shared" si="64"/>
        <v/>
      </c>
      <c r="Q419" s="32" t="str">
        <f t="shared" si="65"/>
        <v/>
      </c>
      <c r="R419" t="str">
        <f t="shared" si="66"/>
        <v/>
      </c>
      <c r="S419" s="20" t="str">
        <f t="shared" si="67"/>
        <v/>
      </c>
      <c r="T419" s="20"/>
      <c r="U419" t="str">
        <f t="shared" si="68"/>
        <v/>
      </c>
      <c r="V419" s="20"/>
      <c r="W419" s="20" t="str">
        <f t="shared" si="69"/>
        <v/>
      </c>
      <c r="X419" s="25"/>
      <c r="Y419" s="25"/>
    </row>
    <row r="420" spans="1:25" x14ac:dyDescent="0.25">
      <c r="A420">
        <v>417</v>
      </c>
      <c r="B420" s="25"/>
      <c r="D420" s="30"/>
      <c r="G420" s="30"/>
      <c r="H420" t="str">
        <f t="shared" si="60"/>
        <v/>
      </c>
      <c r="J420" s="20"/>
      <c r="K420" s="20"/>
      <c r="L420" s="20" t="str">
        <f t="shared" si="61"/>
        <v/>
      </c>
      <c r="M420" s="30"/>
      <c r="N420" s="26" t="str">
        <f t="shared" si="62"/>
        <v/>
      </c>
      <c r="O420" s="20" t="str">
        <f t="shared" si="63"/>
        <v/>
      </c>
      <c r="P420" s="31" t="str">
        <f t="shared" si="64"/>
        <v/>
      </c>
      <c r="Q420" s="32" t="str">
        <f t="shared" si="65"/>
        <v/>
      </c>
      <c r="R420" t="str">
        <f t="shared" si="66"/>
        <v/>
      </c>
      <c r="S420" s="20" t="str">
        <f t="shared" si="67"/>
        <v/>
      </c>
      <c r="T420" s="20"/>
      <c r="U420" t="str">
        <f t="shared" si="68"/>
        <v/>
      </c>
      <c r="V420" s="20"/>
      <c r="W420" s="20" t="str">
        <f t="shared" si="69"/>
        <v/>
      </c>
      <c r="X420" s="25"/>
      <c r="Y420" s="25"/>
    </row>
    <row r="421" spans="1:25" x14ac:dyDescent="0.25">
      <c r="A421">
        <v>418</v>
      </c>
      <c r="B421" s="25"/>
      <c r="D421" s="30"/>
      <c r="G421" s="30"/>
      <c r="H421" t="str">
        <f t="shared" si="60"/>
        <v/>
      </c>
      <c r="J421" s="20"/>
      <c r="K421" s="20"/>
      <c r="L421" s="20" t="str">
        <f t="shared" si="61"/>
        <v/>
      </c>
      <c r="M421" s="30"/>
      <c r="N421" s="26" t="str">
        <f t="shared" si="62"/>
        <v/>
      </c>
      <c r="O421" s="20" t="str">
        <f t="shared" si="63"/>
        <v/>
      </c>
      <c r="P421" s="31" t="str">
        <f t="shared" si="64"/>
        <v/>
      </c>
      <c r="Q421" s="32" t="str">
        <f t="shared" si="65"/>
        <v/>
      </c>
      <c r="R421" t="str">
        <f t="shared" si="66"/>
        <v/>
      </c>
      <c r="S421" s="20" t="str">
        <f t="shared" si="67"/>
        <v/>
      </c>
      <c r="T421" s="20"/>
      <c r="U421" t="str">
        <f t="shared" si="68"/>
        <v/>
      </c>
      <c r="V421" s="20"/>
      <c r="W421" s="20" t="str">
        <f t="shared" si="69"/>
        <v/>
      </c>
      <c r="X421" s="25"/>
      <c r="Y421" s="25"/>
    </row>
    <row r="422" spans="1:25" x14ac:dyDescent="0.25">
      <c r="A422">
        <v>419</v>
      </c>
      <c r="B422" s="25"/>
      <c r="D422" s="30"/>
      <c r="G422" s="30"/>
      <c r="H422" t="str">
        <f t="shared" si="60"/>
        <v/>
      </c>
      <c r="J422" s="20"/>
      <c r="K422" s="20"/>
      <c r="L422" s="20" t="str">
        <f t="shared" si="61"/>
        <v/>
      </c>
      <c r="M422" s="30"/>
      <c r="N422" s="26" t="str">
        <f t="shared" si="62"/>
        <v/>
      </c>
      <c r="O422" s="20" t="str">
        <f t="shared" si="63"/>
        <v/>
      </c>
      <c r="P422" s="31" t="str">
        <f t="shared" si="64"/>
        <v/>
      </c>
      <c r="Q422" s="32" t="str">
        <f t="shared" si="65"/>
        <v/>
      </c>
      <c r="R422" t="str">
        <f t="shared" si="66"/>
        <v/>
      </c>
      <c r="S422" s="20" t="str">
        <f t="shared" si="67"/>
        <v/>
      </c>
      <c r="T422" s="20"/>
      <c r="U422" t="str">
        <f t="shared" si="68"/>
        <v/>
      </c>
      <c r="V422" s="20"/>
      <c r="W422" s="20" t="str">
        <f t="shared" si="69"/>
        <v/>
      </c>
      <c r="X422" s="25"/>
      <c r="Y422" s="25"/>
    </row>
    <row r="423" spans="1:25" x14ac:dyDescent="0.25">
      <c r="A423">
        <v>420</v>
      </c>
      <c r="B423" s="25"/>
      <c r="D423" s="30"/>
      <c r="G423" s="30"/>
      <c r="H423" t="str">
        <f t="shared" si="60"/>
        <v/>
      </c>
      <c r="J423" s="20"/>
      <c r="K423" s="20"/>
      <c r="L423" s="20" t="str">
        <f t="shared" si="61"/>
        <v/>
      </c>
      <c r="M423" s="30"/>
      <c r="N423" s="26" t="str">
        <f t="shared" si="62"/>
        <v/>
      </c>
      <c r="O423" s="20" t="str">
        <f t="shared" si="63"/>
        <v/>
      </c>
      <c r="P423" s="31" t="str">
        <f t="shared" si="64"/>
        <v/>
      </c>
      <c r="Q423" s="32" t="str">
        <f t="shared" si="65"/>
        <v/>
      </c>
      <c r="R423" t="str">
        <f t="shared" si="66"/>
        <v/>
      </c>
      <c r="S423" s="20" t="str">
        <f t="shared" si="67"/>
        <v/>
      </c>
      <c r="T423" s="20"/>
      <c r="U423" t="str">
        <f t="shared" si="68"/>
        <v/>
      </c>
      <c r="V423" s="20"/>
      <c r="W423" s="20" t="str">
        <f t="shared" si="69"/>
        <v/>
      </c>
      <c r="X423" s="25"/>
      <c r="Y423" s="25"/>
    </row>
    <row r="424" spans="1:25" x14ac:dyDescent="0.25">
      <c r="A424">
        <v>421</v>
      </c>
      <c r="B424" s="25"/>
      <c r="D424" s="30"/>
      <c r="G424" s="30"/>
      <c r="H424" t="str">
        <f t="shared" si="60"/>
        <v/>
      </c>
      <c r="J424" s="20"/>
      <c r="K424" s="20"/>
      <c r="L424" s="20" t="str">
        <f t="shared" si="61"/>
        <v/>
      </c>
      <c r="M424" s="30"/>
      <c r="N424" s="26" t="str">
        <f t="shared" si="62"/>
        <v/>
      </c>
      <c r="O424" s="20" t="str">
        <f t="shared" si="63"/>
        <v/>
      </c>
      <c r="P424" s="31" t="str">
        <f t="shared" si="64"/>
        <v/>
      </c>
      <c r="Q424" s="32" t="str">
        <f t="shared" si="65"/>
        <v/>
      </c>
      <c r="R424" t="str">
        <f t="shared" si="66"/>
        <v/>
      </c>
      <c r="S424" s="20" t="str">
        <f t="shared" si="67"/>
        <v/>
      </c>
      <c r="T424" s="20"/>
      <c r="U424" t="str">
        <f t="shared" si="68"/>
        <v/>
      </c>
      <c r="V424" s="20"/>
      <c r="W424" s="20" t="str">
        <f t="shared" si="69"/>
        <v/>
      </c>
      <c r="X424" s="25"/>
      <c r="Y424" s="25"/>
    </row>
    <row r="425" spans="1:25" x14ac:dyDescent="0.25">
      <c r="A425">
        <v>422</v>
      </c>
      <c r="B425" s="25"/>
      <c r="D425" s="30"/>
      <c r="G425" s="30"/>
      <c r="H425" t="str">
        <f t="shared" si="60"/>
        <v/>
      </c>
      <c r="J425" s="20"/>
      <c r="K425" s="20"/>
      <c r="L425" s="20" t="str">
        <f t="shared" si="61"/>
        <v/>
      </c>
      <c r="M425" s="30"/>
      <c r="N425" s="26" t="str">
        <f t="shared" si="62"/>
        <v/>
      </c>
      <c r="O425" s="20" t="str">
        <f t="shared" si="63"/>
        <v/>
      </c>
      <c r="P425" s="31" t="str">
        <f t="shared" si="64"/>
        <v/>
      </c>
      <c r="Q425" s="32" t="str">
        <f t="shared" si="65"/>
        <v/>
      </c>
      <c r="R425" t="str">
        <f t="shared" si="66"/>
        <v/>
      </c>
      <c r="S425" s="20" t="str">
        <f t="shared" si="67"/>
        <v/>
      </c>
      <c r="T425" s="20"/>
      <c r="U425" t="str">
        <f t="shared" si="68"/>
        <v/>
      </c>
      <c r="V425" s="20"/>
      <c r="W425" s="20" t="str">
        <f t="shared" si="69"/>
        <v/>
      </c>
      <c r="X425" s="25"/>
      <c r="Y425" s="25"/>
    </row>
    <row r="426" spans="1:25" x14ac:dyDescent="0.25">
      <c r="A426">
        <v>423</v>
      </c>
      <c r="B426" s="25"/>
      <c r="D426" s="30"/>
      <c r="G426" s="30"/>
      <c r="H426" t="str">
        <f t="shared" si="60"/>
        <v/>
      </c>
      <c r="J426" s="20"/>
      <c r="K426" s="20"/>
      <c r="L426" s="20" t="str">
        <f t="shared" si="61"/>
        <v/>
      </c>
      <c r="M426" s="30"/>
      <c r="N426" s="26" t="str">
        <f t="shared" si="62"/>
        <v/>
      </c>
      <c r="O426" s="20" t="str">
        <f t="shared" si="63"/>
        <v/>
      </c>
      <c r="P426" s="31" t="str">
        <f t="shared" si="64"/>
        <v/>
      </c>
      <c r="Q426" s="32" t="str">
        <f t="shared" si="65"/>
        <v/>
      </c>
      <c r="R426" t="str">
        <f t="shared" si="66"/>
        <v/>
      </c>
      <c r="S426" s="20" t="str">
        <f t="shared" si="67"/>
        <v/>
      </c>
      <c r="T426" s="20"/>
      <c r="U426" t="str">
        <f t="shared" si="68"/>
        <v/>
      </c>
      <c r="V426" s="20"/>
      <c r="W426" s="20" t="str">
        <f t="shared" si="69"/>
        <v/>
      </c>
      <c r="X426" s="25"/>
      <c r="Y426" s="25"/>
    </row>
    <row r="427" spans="1:25" x14ac:dyDescent="0.25">
      <c r="A427">
        <v>424</v>
      </c>
      <c r="B427" s="25"/>
      <c r="D427" s="30"/>
      <c r="G427" s="30"/>
      <c r="H427" t="str">
        <f t="shared" si="60"/>
        <v/>
      </c>
      <c r="J427" s="20"/>
      <c r="K427" s="20"/>
      <c r="L427" s="20" t="str">
        <f t="shared" si="61"/>
        <v/>
      </c>
      <c r="M427" s="30"/>
      <c r="N427" s="26" t="str">
        <f t="shared" si="62"/>
        <v/>
      </c>
      <c r="O427" s="20" t="str">
        <f t="shared" si="63"/>
        <v/>
      </c>
      <c r="P427" s="31" t="str">
        <f t="shared" si="64"/>
        <v/>
      </c>
      <c r="Q427" s="32" t="str">
        <f t="shared" si="65"/>
        <v/>
      </c>
      <c r="R427" t="str">
        <f t="shared" si="66"/>
        <v/>
      </c>
      <c r="S427" s="20" t="str">
        <f t="shared" si="67"/>
        <v/>
      </c>
      <c r="T427" s="20"/>
      <c r="U427" t="str">
        <f t="shared" si="68"/>
        <v/>
      </c>
      <c r="V427" s="20"/>
      <c r="W427" s="20" t="str">
        <f t="shared" si="69"/>
        <v/>
      </c>
      <c r="X427" s="25"/>
      <c r="Y427" s="25"/>
    </row>
    <row r="428" spans="1:25" x14ac:dyDescent="0.25">
      <c r="A428">
        <v>425</v>
      </c>
      <c r="B428" s="25"/>
      <c r="D428" s="30"/>
      <c r="G428" s="30"/>
      <c r="H428" t="str">
        <f t="shared" si="60"/>
        <v/>
      </c>
      <c r="J428" s="20"/>
      <c r="K428" s="20"/>
      <c r="L428" s="20" t="str">
        <f t="shared" si="61"/>
        <v/>
      </c>
      <c r="M428" s="30"/>
      <c r="N428" s="26" t="str">
        <f t="shared" si="62"/>
        <v/>
      </c>
      <c r="O428" s="20" t="str">
        <f t="shared" si="63"/>
        <v/>
      </c>
      <c r="P428" s="31" t="str">
        <f t="shared" si="64"/>
        <v/>
      </c>
      <c r="Q428" s="32" t="str">
        <f t="shared" si="65"/>
        <v/>
      </c>
      <c r="R428" t="str">
        <f t="shared" si="66"/>
        <v/>
      </c>
      <c r="S428" s="20" t="str">
        <f t="shared" si="67"/>
        <v/>
      </c>
      <c r="T428" s="20"/>
      <c r="U428" t="str">
        <f t="shared" si="68"/>
        <v/>
      </c>
      <c r="V428" s="20"/>
      <c r="W428" s="20" t="str">
        <f t="shared" si="69"/>
        <v/>
      </c>
      <c r="X428" s="25"/>
      <c r="Y428" s="25"/>
    </row>
    <row r="429" spans="1:25" x14ac:dyDescent="0.25">
      <c r="A429">
        <v>426</v>
      </c>
      <c r="B429" s="25"/>
      <c r="D429" s="30"/>
      <c r="G429" s="30"/>
      <c r="H429" t="str">
        <f t="shared" si="60"/>
        <v/>
      </c>
      <c r="J429" s="20"/>
      <c r="K429" s="20"/>
      <c r="L429" s="20" t="str">
        <f t="shared" si="61"/>
        <v/>
      </c>
      <c r="M429" s="30"/>
      <c r="N429" s="26" t="str">
        <f t="shared" si="62"/>
        <v/>
      </c>
      <c r="O429" s="20" t="str">
        <f t="shared" si="63"/>
        <v/>
      </c>
      <c r="P429" s="31" t="str">
        <f t="shared" si="64"/>
        <v/>
      </c>
      <c r="Q429" s="32" t="str">
        <f t="shared" si="65"/>
        <v/>
      </c>
      <c r="R429" t="str">
        <f t="shared" si="66"/>
        <v/>
      </c>
      <c r="S429" s="20" t="str">
        <f t="shared" si="67"/>
        <v/>
      </c>
      <c r="T429" s="20"/>
      <c r="U429" t="str">
        <f t="shared" si="68"/>
        <v/>
      </c>
      <c r="V429" s="20"/>
      <c r="W429" s="20" t="str">
        <f t="shared" si="69"/>
        <v/>
      </c>
      <c r="X429" s="25"/>
      <c r="Y429" s="25"/>
    </row>
    <row r="430" spans="1:25" x14ac:dyDescent="0.25">
      <c r="A430">
        <v>427</v>
      </c>
      <c r="B430" s="25"/>
      <c r="D430" s="30"/>
      <c r="G430" s="30"/>
      <c r="H430" t="str">
        <f t="shared" si="60"/>
        <v/>
      </c>
      <c r="J430" s="20"/>
      <c r="K430" s="20"/>
      <c r="L430" s="20" t="str">
        <f t="shared" si="61"/>
        <v/>
      </c>
      <c r="M430" s="30"/>
      <c r="N430" s="26" t="str">
        <f t="shared" si="62"/>
        <v/>
      </c>
      <c r="O430" s="20" t="str">
        <f t="shared" si="63"/>
        <v/>
      </c>
      <c r="P430" s="31" t="str">
        <f t="shared" si="64"/>
        <v/>
      </c>
      <c r="Q430" s="32" t="str">
        <f t="shared" si="65"/>
        <v/>
      </c>
      <c r="R430" t="str">
        <f t="shared" si="66"/>
        <v/>
      </c>
      <c r="S430" s="20" t="str">
        <f t="shared" si="67"/>
        <v/>
      </c>
      <c r="T430" s="20"/>
      <c r="U430" t="str">
        <f t="shared" si="68"/>
        <v/>
      </c>
      <c r="V430" s="20"/>
      <c r="W430" s="20" t="str">
        <f t="shared" si="69"/>
        <v/>
      </c>
      <c r="X430" s="25"/>
      <c r="Y430" s="25"/>
    </row>
    <row r="431" spans="1:25" x14ac:dyDescent="0.25">
      <c r="A431">
        <v>428</v>
      </c>
      <c r="B431" s="25"/>
      <c r="D431" s="30"/>
      <c r="G431" s="30"/>
      <c r="H431" t="str">
        <f t="shared" si="60"/>
        <v/>
      </c>
      <c r="J431" s="20"/>
      <c r="K431" s="20"/>
      <c r="L431" s="20" t="str">
        <f t="shared" si="61"/>
        <v/>
      </c>
      <c r="M431" s="30"/>
      <c r="N431" s="26" t="str">
        <f t="shared" si="62"/>
        <v/>
      </c>
      <c r="O431" s="20" t="str">
        <f t="shared" si="63"/>
        <v/>
      </c>
      <c r="P431" s="31" t="str">
        <f t="shared" si="64"/>
        <v/>
      </c>
      <c r="Q431" s="32" t="str">
        <f t="shared" si="65"/>
        <v/>
      </c>
      <c r="R431" t="str">
        <f t="shared" si="66"/>
        <v/>
      </c>
      <c r="S431" s="20" t="str">
        <f t="shared" si="67"/>
        <v/>
      </c>
      <c r="T431" s="20"/>
      <c r="U431" t="str">
        <f t="shared" si="68"/>
        <v/>
      </c>
      <c r="V431" s="20"/>
      <c r="W431" s="20" t="str">
        <f t="shared" si="69"/>
        <v/>
      </c>
      <c r="X431" s="25"/>
      <c r="Y431" s="25"/>
    </row>
    <row r="432" spans="1:25" x14ac:dyDescent="0.25">
      <c r="A432">
        <v>429</v>
      </c>
      <c r="B432" s="25"/>
      <c r="D432" s="30"/>
      <c r="G432" s="30"/>
      <c r="H432" t="str">
        <f t="shared" si="60"/>
        <v/>
      </c>
      <c r="J432" s="20"/>
      <c r="K432" s="20"/>
      <c r="L432" s="20" t="str">
        <f t="shared" si="61"/>
        <v/>
      </c>
      <c r="M432" s="30"/>
      <c r="N432" s="26" t="str">
        <f t="shared" si="62"/>
        <v/>
      </c>
      <c r="O432" s="20" t="str">
        <f t="shared" si="63"/>
        <v/>
      </c>
      <c r="P432" s="31" t="str">
        <f t="shared" si="64"/>
        <v/>
      </c>
      <c r="Q432" s="32" t="str">
        <f t="shared" si="65"/>
        <v/>
      </c>
      <c r="R432" t="str">
        <f t="shared" si="66"/>
        <v/>
      </c>
      <c r="S432" s="20" t="str">
        <f t="shared" si="67"/>
        <v/>
      </c>
      <c r="T432" s="20"/>
      <c r="U432" t="str">
        <f t="shared" si="68"/>
        <v/>
      </c>
      <c r="V432" s="20"/>
      <c r="W432" s="20" t="str">
        <f t="shared" si="69"/>
        <v/>
      </c>
      <c r="X432" s="25"/>
      <c r="Y432" s="25"/>
    </row>
    <row r="433" spans="1:25" x14ac:dyDescent="0.25">
      <c r="A433">
        <v>430</v>
      </c>
      <c r="B433" s="25"/>
      <c r="D433" s="30"/>
      <c r="G433" s="30"/>
      <c r="H433" t="str">
        <f t="shared" si="60"/>
        <v/>
      </c>
      <c r="J433" s="20"/>
      <c r="K433" s="20"/>
      <c r="L433" s="20" t="str">
        <f t="shared" si="61"/>
        <v/>
      </c>
      <c r="M433" s="30"/>
      <c r="N433" s="26" t="str">
        <f t="shared" si="62"/>
        <v/>
      </c>
      <c r="O433" s="20" t="str">
        <f t="shared" si="63"/>
        <v/>
      </c>
      <c r="P433" s="31" t="str">
        <f t="shared" si="64"/>
        <v/>
      </c>
      <c r="Q433" s="32" t="str">
        <f t="shared" si="65"/>
        <v/>
      </c>
      <c r="R433" t="str">
        <f t="shared" si="66"/>
        <v/>
      </c>
      <c r="S433" s="20" t="str">
        <f t="shared" si="67"/>
        <v/>
      </c>
      <c r="T433" s="20"/>
      <c r="U433" t="str">
        <f t="shared" si="68"/>
        <v/>
      </c>
      <c r="V433" s="20"/>
      <c r="W433" s="20" t="str">
        <f t="shared" si="69"/>
        <v/>
      </c>
      <c r="X433" s="25"/>
      <c r="Y433" s="25"/>
    </row>
    <row r="434" spans="1:25" x14ac:dyDescent="0.25">
      <c r="A434">
        <v>431</v>
      </c>
      <c r="B434" s="25"/>
      <c r="D434" s="30"/>
      <c r="G434" s="30"/>
      <c r="H434" t="str">
        <f t="shared" si="60"/>
        <v/>
      </c>
      <c r="J434" s="20"/>
      <c r="K434" s="20"/>
      <c r="L434" s="20" t="str">
        <f t="shared" si="61"/>
        <v/>
      </c>
      <c r="M434" s="30"/>
      <c r="N434" s="26" t="str">
        <f t="shared" si="62"/>
        <v/>
      </c>
      <c r="O434" s="20" t="str">
        <f t="shared" si="63"/>
        <v/>
      </c>
      <c r="P434" s="31" t="str">
        <f t="shared" si="64"/>
        <v/>
      </c>
      <c r="Q434" s="32" t="str">
        <f t="shared" si="65"/>
        <v/>
      </c>
      <c r="R434" t="str">
        <f t="shared" si="66"/>
        <v/>
      </c>
      <c r="S434" s="20" t="str">
        <f t="shared" si="67"/>
        <v/>
      </c>
      <c r="T434" s="20"/>
      <c r="U434" t="str">
        <f t="shared" si="68"/>
        <v/>
      </c>
      <c r="V434" s="20"/>
      <c r="W434" s="20" t="str">
        <f t="shared" si="69"/>
        <v/>
      </c>
      <c r="X434" s="25"/>
      <c r="Y434" s="25"/>
    </row>
    <row r="435" spans="1:25" x14ac:dyDescent="0.25">
      <c r="A435">
        <v>432</v>
      </c>
      <c r="B435" s="25"/>
      <c r="D435" s="30"/>
      <c r="G435" s="30"/>
      <c r="H435" t="str">
        <f t="shared" si="60"/>
        <v/>
      </c>
      <c r="J435" s="20"/>
      <c r="K435" s="20"/>
      <c r="L435" s="20" t="str">
        <f t="shared" si="61"/>
        <v/>
      </c>
      <c r="M435" s="30"/>
      <c r="N435" s="26" t="str">
        <f t="shared" si="62"/>
        <v/>
      </c>
      <c r="O435" s="20" t="str">
        <f t="shared" si="63"/>
        <v/>
      </c>
      <c r="P435" s="31" t="str">
        <f t="shared" si="64"/>
        <v/>
      </c>
      <c r="Q435" s="32" t="str">
        <f t="shared" si="65"/>
        <v/>
      </c>
      <c r="R435" t="str">
        <f t="shared" si="66"/>
        <v/>
      </c>
      <c r="S435" s="20" t="str">
        <f t="shared" si="67"/>
        <v/>
      </c>
      <c r="T435" s="20"/>
      <c r="U435" t="str">
        <f t="shared" si="68"/>
        <v/>
      </c>
      <c r="V435" s="20"/>
      <c r="W435" s="20" t="str">
        <f t="shared" si="69"/>
        <v/>
      </c>
      <c r="X435" s="25"/>
      <c r="Y435" s="25"/>
    </row>
    <row r="436" spans="1:25" x14ac:dyDescent="0.25">
      <c r="A436">
        <v>433</v>
      </c>
      <c r="B436" s="25"/>
      <c r="D436" s="30"/>
      <c r="G436" s="30"/>
      <c r="H436" t="str">
        <f t="shared" si="60"/>
        <v/>
      </c>
      <c r="J436" s="20"/>
      <c r="K436" s="20"/>
      <c r="L436" s="20" t="str">
        <f t="shared" si="61"/>
        <v/>
      </c>
      <c r="M436" s="30"/>
      <c r="N436" s="26" t="str">
        <f t="shared" si="62"/>
        <v/>
      </c>
      <c r="O436" s="20" t="str">
        <f t="shared" si="63"/>
        <v/>
      </c>
      <c r="P436" s="31" t="str">
        <f t="shared" si="64"/>
        <v/>
      </c>
      <c r="Q436" s="32" t="str">
        <f t="shared" si="65"/>
        <v/>
      </c>
      <c r="R436" t="str">
        <f t="shared" si="66"/>
        <v/>
      </c>
      <c r="S436" s="20" t="str">
        <f t="shared" si="67"/>
        <v/>
      </c>
      <c r="T436" s="20"/>
      <c r="U436" t="str">
        <f t="shared" si="68"/>
        <v/>
      </c>
      <c r="V436" s="20"/>
      <c r="W436" s="20" t="str">
        <f t="shared" si="69"/>
        <v/>
      </c>
      <c r="X436" s="25"/>
      <c r="Y436" s="25"/>
    </row>
    <row r="437" spans="1:25" x14ac:dyDescent="0.25">
      <c r="A437">
        <v>434</v>
      </c>
      <c r="B437" s="25"/>
      <c r="D437" s="30"/>
      <c r="G437" s="30"/>
      <c r="H437" t="str">
        <f t="shared" si="60"/>
        <v/>
      </c>
      <c r="J437" s="20"/>
      <c r="K437" s="20"/>
      <c r="L437" s="20" t="str">
        <f t="shared" si="61"/>
        <v/>
      </c>
      <c r="M437" s="30"/>
      <c r="N437" s="26" t="str">
        <f t="shared" si="62"/>
        <v/>
      </c>
      <c r="O437" s="20" t="str">
        <f t="shared" si="63"/>
        <v/>
      </c>
      <c r="P437" s="31" t="str">
        <f t="shared" si="64"/>
        <v/>
      </c>
      <c r="Q437" s="32" t="str">
        <f t="shared" si="65"/>
        <v/>
      </c>
      <c r="R437" t="str">
        <f t="shared" si="66"/>
        <v/>
      </c>
      <c r="S437" s="20" t="str">
        <f t="shared" si="67"/>
        <v/>
      </c>
      <c r="T437" s="20"/>
      <c r="U437" t="str">
        <f t="shared" si="68"/>
        <v/>
      </c>
      <c r="V437" s="20"/>
      <c r="W437" s="20" t="str">
        <f t="shared" si="69"/>
        <v/>
      </c>
      <c r="X437" s="25"/>
      <c r="Y437" s="25"/>
    </row>
    <row r="438" spans="1:25" x14ac:dyDescent="0.25">
      <c r="A438">
        <v>435</v>
      </c>
      <c r="B438" s="25"/>
      <c r="D438" s="30"/>
      <c r="G438" s="30"/>
      <c r="H438" t="str">
        <f t="shared" si="60"/>
        <v/>
      </c>
      <c r="J438" s="20"/>
      <c r="K438" s="20"/>
      <c r="L438" s="20" t="str">
        <f t="shared" si="61"/>
        <v/>
      </c>
      <c r="M438" s="30"/>
      <c r="N438" s="26" t="str">
        <f t="shared" si="62"/>
        <v/>
      </c>
      <c r="O438" s="20" t="str">
        <f t="shared" si="63"/>
        <v/>
      </c>
      <c r="P438" s="31" t="str">
        <f t="shared" si="64"/>
        <v/>
      </c>
      <c r="Q438" s="32" t="str">
        <f t="shared" si="65"/>
        <v/>
      </c>
      <c r="R438" t="str">
        <f t="shared" si="66"/>
        <v/>
      </c>
      <c r="S438" s="20" t="str">
        <f t="shared" si="67"/>
        <v/>
      </c>
      <c r="T438" s="20"/>
      <c r="U438" t="str">
        <f t="shared" si="68"/>
        <v/>
      </c>
      <c r="V438" s="20"/>
      <c r="W438" s="20" t="str">
        <f t="shared" si="69"/>
        <v/>
      </c>
      <c r="X438" s="25"/>
      <c r="Y438" s="25"/>
    </row>
    <row r="439" spans="1:25" x14ac:dyDescent="0.25">
      <c r="A439">
        <v>436</v>
      </c>
      <c r="B439" s="25"/>
      <c r="D439" s="30"/>
      <c r="G439" s="30"/>
      <c r="H439" t="str">
        <f t="shared" si="60"/>
        <v/>
      </c>
      <c r="J439" s="20"/>
      <c r="K439" s="20"/>
      <c r="L439" s="20" t="str">
        <f t="shared" si="61"/>
        <v/>
      </c>
      <c r="M439" s="30"/>
      <c r="N439" s="26" t="str">
        <f t="shared" si="62"/>
        <v/>
      </c>
      <c r="O439" s="20" t="str">
        <f t="shared" si="63"/>
        <v/>
      </c>
      <c r="P439" s="31" t="str">
        <f t="shared" si="64"/>
        <v/>
      </c>
      <c r="Q439" s="32" t="str">
        <f t="shared" si="65"/>
        <v/>
      </c>
      <c r="R439" t="str">
        <f t="shared" si="66"/>
        <v/>
      </c>
      <c r="S439" s="20" t="str">
        <f t="shared" si="67"/>
        <v/>
      </c>
      <c r="T439" s="20"/>
      <c r="U439" t="str">
        <f t="shared" si="68"/>
        <v/>
      </c>
      <c r="V439" s="20"/>
      <c r="W439" s="20" t="str">
        <f t="shared" si="69"/>
        <v/>
      </c>
      <c r="X439" s="25"/>
      <c r="Y439" s="25"/>
    </row>
    <row r="440" spans="1:25" x14ac:dyDescent="0.25">
      <c r="A440">
        <v>437</v>
      </c>
      <c r="B440" s="25"/>
      <c r="D440" s="30"/>
      <c r="G440" s="30"/>
      <c r="H440" t="str">
        <f t="shared" si="60"/>
        <v/>
      </c>
      <c r="J440" s="20"/>
      <c r="K440" s="20"/>
      <c r="L440" s="20" t="str">
        <f t="shared" si="61"/>
        <v/>
      </c>
      <c r="M440" s="30"/>
      <c r="N440" s="26" t="str">
        <f t="shared" si="62"/>
        <v/>
      </c>
      <c r="O440" s="20" t="str">
        <f t="shared" si="63"/>
        <v/>
      </c>
      <c r="P440" s="31" t="str">
        <f t="shared" si="64"/>
        <v/>
      </c>
      <c r="Q440" s="32" t="str">
        <f t="shared" si="65"/>
        <v/>
      </c>
      <c r="R440" t="str">
        <f t="shared" si="66"/>
        <v/>
      </c>
      <c r="S440" s="20" t="str">
        <f t="shared" si="67"/>
        <v/>
      </c>
      <c r="T440" s="20"/>
      <c r="U440" t="str">
        <f t="shared" si="68"/>
        <v/>
      </c>
      <c r="V440" s="20"/>
      <c r="W440" s="20" t="str">
        <f t="shared" si="69"/>
        <v/>
      </c>
      <c r="X440" s="25"/>
      <c r="Y440" s="25"/>
    </row>
    <row r="441" spans="1:25" x14ac:dyDescent="0.25">
      <c r="A441">
        <v>438</v>
      </c>
      <c r="B441" s="25"/>
      <c r="D441" s="30"/>
      <c r="G441" s="30"/>
      <c r="H441" t="str">
        <f t="shared" si="60"/>
        <v/>
      </c>
      <c r="J441" s="20"/>
      <c r="K441" s="20"/>
      <c r="L441" s="20" t="str">
        <f t="shared" si="61"/>
        <v/>
      </c>
      <c r="M441" s="30"/>
      <c r="N441" s="26" t="str">
        <f t="shared" si="62"/>
        <v/>
      </c>
      <c r="O441" s="20" t="str">
        <f t="shared" si="63"/>
        <v/>
      </c>
      <c r="P441" s="31" t="str">
        <f t="shared" si="64"/>
        <v/>
      </c>
      <c r="Q441" s="32" t="str">
        <f t="shared" si="65"/>
        <v/>
      </c>
      <c r="R441" t="str">
        <f t="shared" si="66"/>
        <v/>
      </c>
      <c r="S441" s="20" t="str">
        <f t="shared" si="67"/>
        <v/>
      </c>
      <c r="T441" s="20"/>
      <c r="U441" t="str">
        <f t="shared" si="68"/>
        <v/>
      </c>
      <c r="V441" s="20"/>
      <c r="W441" s="20" t="str">
        <f t="shared" si="69"/>
        <v/>
      </c>
      <c r="X441" s="25"/>
      <c r="Y441" s="25"/>
    </row>
    <row r="442" spans="1:25" x14ac:dyDescent="0.25">
      <c r="A442">
        <v>439</v>
      </c>
      <c r="B442" s="25"/>
      <c r="D442" s="30"/>
      <c r="G442" s="30"/>
      <c r="H442" t="str">
        <f t="shared" si="60"/>
        <v/>
      </c>
      <c r="J442" s="20"/>
      <c r="K442" s="20"/>
      <c r="L442" s="20" t="str">
        <f t="shared" si="61"/>
        <v/>
      </c>
      <c r="M442" s="30"/>
      <c r="N442" s="26" t="str">
        <f t="shared" si="62"/>
        <v/>
      </c>
      <c r="O442" s="20" t="str">
        <f t="shared" si="63"/>
        <v/>
      </c>
      <c r="P442" s="31" t="str">
        <f t="shared" si="64"/>
        <v/>
      </c>
      <c r="Q442" s="32" t="str">
        <f t="shared" si="65"/>
        <v/>
      </c>
      <c r="R442" t="str">
        <f t="shared" si="66"/>
        <v/>
      </c>
      <c r="S442" s="20" t="str">
        <f t="shared" si="67"/>
        <v/>
      </c>
      <c r="T442" s="20"/>
      <c r="U442" t="str">
        <f t="shared" si="68"/>
        <v/>
      </c>
      <c r="V442" s="20"/>
      <c r="W442" s="20" t="str">
        <f t="shared" si="69"/>
        <v/>
      </c>
      <c r="X442" s="25"/>
      <c r="Y442" s="25"/>
    </row>
    <row r="443" spans="1:25" x14ac:dyDescent="0.25">
      <c r="A443">
        <v>440</v>
      </c>
      <c r="B443" s="25"/>
      <c r="D443" s="30"/>
      <c r="G443" s="30"/>
      <c r="H443" t="str">
        <f t="shared" si="60"/>
        <v/>
      </c>
      <c r="J443" s="20"/>
      <c r="K443" s="20"/>
      <c r="L443" s="20" t="str">
        <f t="shared" si="61"/>
        <v/>
      </c>
      <c r="M443" s="30"/>
      <c r="N443" s="26" t="str">
        <f t="shared" si="62"/>
        <v/>
      </c>
      <c r="O443" s="20" t="str">
        <f t="shared" si="63"/>
        <v/>
      </c>
      <c r="P443" s="31" t="str">
        <f t="shared" si="64"/>
        <v/>
      </c>
      <c r="Q443" s="32" t="str">
        <f t="shared" si="65"/>
        <v/>
      </c>
      <c r="R443" t="str">
        <f t="shared" si="66"/>
        <v/>
      </c>
      <c r="S443" s="20" t="str">
        <f t="shared" si="67"/>
        <v/>
      </c>
      <c r="T443" s="20"/>
      <c r="U443" t="str">
        <f t="shared" si="68"/>
        <v/>
      </c>
      <c r="V443" s="20"/>
      <c r="W443" s="20" t="str">
        <f t="shared" si="69"/>
        <v/>
      </c>
      <c r="X443" s="25"/>
      <c r="Y443" s="25"/>
    </row>
    <row r="444" spans="1:25" x14ac:dyDescent="0.25">
      <c r="A444">
        <v>441</v>
      </c>
      <c r="B444" s="25"/>
      <c r="D444" s="30"/>
      <c r="G444" s="30"/>
      <c r="H444" t="str">
        <f t="shared" si="60"/>
        <v/>
      </c>
      <c r="J444" s="20"/>
      <c r="K444" s="20"/>
      <c r="L444" s="20" t="str">
        <f t="shared" si="61"/>
        <v/>
      </c>
      <c r="M444" s="30"/>
      <c r="N444" s="26" t="str">
        <f t="shared" si="62"/>
        <v/>
      </c>
      <c r="O444" s="20" t="str">
        <f t="shared" si="63"/>
        <v/>
      </c>
      <c r="P444" s="31" t="str">
        <f t="shared" si="64"/>
        <v/>
      </c>
      <c r="Q444" s="32" t="str">
        <f t="shared" si="65"/>
        <v/>
      </c>
      <c r="R444" t="str">
        <f t="shared" si="66"/>
        <v/>
      </c>
      <c r="S444" s="20" t="str">
        <f t="shared" si="67"/>
        <v/>
      </c>
      <c r="T444" s="20"/>
      <c r="U444" t="str">
        <f t="shared" si="68"/>
        <v/>
      </c>
      <c r="V444" s="20"/>
      <c r="W444" s="20" t="str">
        <f t="shared" si="69"/>
        <v/>
      </c>
      <c r="X444" s="25"/>
      <c r="Y444" s="25"/>
    </row>
    <row r="445" spans="1:25" x14ac:dyDescent="0.25">
      <c r="A445">
        <v>442</v>
      </c>
      <c r="B445" s="25"/>
      <c r="D445" s="30"/>
      <c r="G445" s="30"/>
      <c r="H445" t="str">
        <f t="shared" si="60"/>
        <v/>
      </c>
      <c r="J445" s="20"/>
      <c r="K445" s="20"/>
      <c r="L445" s="20" t="str">
        <f t="shared" si="61"/>
        <v/>
      </c>
      <c r="M445" s="30"/>
      <c r="N445" s="26" t="str">
        <f t="shared" si="62"/>
        <v/>
      </c>
      <c r="O445" s="20" t="str">
        <f t="shared" si="63"/>
        <v/>
      </c>
      <c r="P445" s="31" t="str">
        <f t="shared" si="64"/>
        <v/>
      </c>
      <c r="Q445" s="32" t="str">
        <f t="shared" si="65"/>
        <v/>
      </c>
      <c r="R445" t="str">
        <f t="shared" si="66"/>
        <v/>
      </c>
      <c r="S445" s="20" t="str">
        <f t="shared" si="67"/>
        <v/>
      </c>
      <c r="T445" s="20"/>
      <c r="U445" t="str">
        <f t="shared" si="68"/>
        <v/>
      </c>
      <c r="V445" s="20"/>
      <c r="W445" s="20" t="str">
        <f t="shared" si="69"/>
        <v/>
      </c>
      <c r="X445" s="25"/>
      <c r="Y445" s="25"/>
    </row>
    <row r="446" spans="1:25" x14ac:dyDescent="0.25">
      <c r="A446">
        <v>443</v>
      </c>
      <c r="B446" s="25"/>
      <c r="D446" s="30"/>
      <c r="G446" s="30"/>
      <c r="H446" t="str">
        <f t="shared" si="60"/>
        <v/>
      </c>
      <c r="J446" s="20"/>
      <c r="K446" s="20"/>
      <c r="L446" s="20" t="str">
        <f t="shared" si="61"/>
        <v/>
      </c>
      <c r="M446" s="30"/>
      <c r="N446" s="26" t="str">
        <f t="shared" si="62"/>
        <v/>
      </c>
      <c r="O446" s="20" t="str">
        <f t="shared" si="63"/>
        <v/>
      </c>
      <c r="P446" s="31" t="str">
        <f t="shared" si="64"/>
        <v/>
      </c>
      <c r="Q446" s="32" t="str">
        <f t="shared" si="65"/>
        <v/>
      </c>
      <c r="R446" t="str">
        <f t="shared" si="66"/>
        <v/>
      </c>
      <c r="S446" s="20" t="str">
        <f t="shared" si="67"/>
        <v/>
      </c>
      <c r="T446" s="20"/>
      <c r="U446" t="str">
        <f t="shared" si="68"/>
        <v/>
      </c>
      <c r="V446" s="20"/>
      <c r="W446" s="20" t="str">
        <f t="shared" si="69"/>
        <v/>
      </c>
      <c r="X446" s="25"/>
      <c r="Y446" s="25"/>
    </row>
    <row r="447" spans="1:25" x14ac:dyDescent="0.25">
      <c r="A447">
        <v>444</v>
      </c>
      <c r="B447" s="25"/>
      <c r="D447" s="30"/>
      <c r="G447" s="30"/>
      <c r="H447" t="str">
        <f t="shared" si="60"/>
        <v/>
      </c>
      <c r="J447" s="20"/>
      <c r="K447" s="20"/>
      <c r="L447" s="20" t="str">
        <f t="shared" si="61"/>
        <v/>
      </c>
      <c r="M447" s="30"/>
      <c r="N447" s="26" t="str">
        <f t="shared" si="62"/>
        <v/>
      </c>
      <c r="O447" s="20" t="str">
        <f t="shared" si="63"/>
        <v/>
      </c>
      <c r="P447" s="31" t="str">
        <f t="shared" si="64"/>
        <v/>
      </c>
      <c r="Q447" s="32" t="str">
        <f t="shared" si="65"/>
        <v/>
      </c>
      <c r="R447" t="str">
        <f t="shared" si="66"/>
        <v/>
      </c>
      <c r="S447" s="20" t="str">
        <f t="shared" si="67"/>
        <v/>
      </c>
      <c r="T447" s="20"/>
      <c r="U447" t="str">
        <f t="shared" si="68"/>
        <v/>
      </c>
      <c r="V447" s="20"/>
      <c r="W447" s="20" t="str">
        <f t="shared" si="69"/>
        <v/>
      </c>
      <c r="X447" s="25"/>
      <c r="Y447" s="25"/>
    </row>
    <row r="448" spans="1:25" x14ac:dyDescent="0.25">
      <c r="A448">
        <v>445</v>
      </c>
      <c r="B448" s="25"/>
      <c r="D448" s="30"/>
      <c r="G448" s="30"/>
      <c r="H448" t="str">
        <f t="shared" si="60"/>
        <v/>
      </c>
      <c r="J448" s="20"/>
      <c r="K448" s="20"/>
      <c r="L448" s="20" t="str">
        <f t="shared" si="61"/>
        <v/>
      </c>
      <c r="M448" s="30"/>
      <c r="N448" s="26" t="str">
        <f t="shared" si="62"/>
        <v/>
      </c>
      <c r="O448" s="20" t="str">
        <f t="shared" si="63"/>
        <v/>
      </c>
      <c r="P448" s="31" t="str">
        <f t="shared" si="64"/>
        <v/>
      </c>
      <c r="Q448" s="32" t="str">
        <f t="shared" si="65"/>
        <v/>
      </c>
      <c r="R448" t="str">
        <f t="shared" si="66"/>
        <v/>
      </c>
      <c r="S448" s="20" t="str">
        <f t="shared" si="67"/>
        <v/>
      </c>
      <c r="T448" s="20"/>
      <c r="U448" t="str">
        <f t="shared" si="68"/>
        <v/>
      </c>
      <c r="V448" s="20"/>
      <c r="W448" s="20" t="str">
        <f t="shared" si="69"/>
        <v/>
      </c>
      <c r="X448" s="25"/>
      <c r="Y448" s="25"/>
    </row>
    <row r="449" spans="1:25" x14ac:dyDescent="0.25">
      <c r="A449">
        <v>446</v>
      </c>
      <c r="B449" s="25"/>
      <c r="D449" s="30"/>
      <c r="G449" s="30"/>
      <c r="H449" t="str">
        <f t="shared" si="60"/>
        <v/>
      </c>
      <c r="J449" s="20"/>
      <c r="K449" s="20"/>
      <c r="L449" s="20" t="str">
        <f t="shared" si="61"/>
        <v/>
      </c>
      <c r="M449" s="30"/>
      <c r="N449" s="26" t="str">
        <f t="shared" si="62"/>
        <v/>
      </c>
      <c r="O449" s="20" t="str">
        <f t="shared" si="63"/>
        <v/>
      </c>
      <c r="P449" s="31" t="str">
        <f t="shared" si="64"/>
        <v/>
      </c>
      <c r="Q449" s="32" t="str">
        <f t="shared" si="65"/>
        <v/>
      </c>
      <c r="R449" t="str">
        <f t="shared" si="66"/>
        <v/>
      </c>
      <c r="S449" s="20" t="str">
        <f t="shared" si="67"/>
        <v/>
      </c>
      <c r="T449" s="20"/>
      <c r="U449" t="str">
        <f t="shared" si="68"/>
        <v/>
      </c>
      <c r="V449" s="20"/>
      <c r="W449" s="20" t="str">
        <f t="shared" si="69"/>
        <v/>
      </c>
      <c r="X449" s="25"/>
      <c r="Y449" s="25"/>
    </row>
    <row r="450" spans="1:25" x14ac:dyDescent="0.25">
      <c r="A450">
        <v>447</v>
      </c>
      <c r="B450" s="25"/>
      <c r="D450" s="30"/>
      <c r="G450" s="30"/>
      <c r="H450" t="str">
        <f t="shared" si="60"/>
        <v/>
      </c>
      <c r="J450" s="20"/>
      <c r="K450" s="20"/>
      <c r="L450" s="20" t="str">
        <f t="shared" si="61"/>
        <v/>
      </c>
      <c r="M450" s="30"/>
      <c r="N450" s="26" t="str">
        <f t="shared" si="62"/>
        <v/>
      </c>
      <c r="O450" s="20" t="str">
        <f t="shared" si="63"/>
        <v/>
      </c>
      <c r="P450" s="31" t="str">
        <f t="shared" si="64"/>
        <v/>
      </c>
      <c r="Q450" s="32" t="str">
        <f t="shared" si="65"/>
        <v/>
      </c>
      <c r="R450" t="str">
        <f t="shared" si="66"/>
        <v/>
      </c>
      <c r="S450" s="20" t="str">
        <f t="shared" si="67"/>
        <v/>
      </c>
      <c r="T450" s="20"/>
      <c r="U450" t="str">
        <f t="shared" si="68"/>
        <v/>
      </c>
      <c r="V450" s="20"/>
      <c r="W450" s="20" t="str">
        <f t="shared" si="69"/>
        <v/>
      </c>
      <c r="X450" s="25"/>
      <c r="Y450" s="25"/>
    </row>
    <row r="451" spans="1:25" x14ac:dyDescent="0.25">
      <c r="A451">
        <v>448</v>
      </c>
      <c r="B451" s="25"/>
      <c r="D451" s="30"/>
      <c r="G451" s="30"/>
      <c r="H451" t="str">
        <f t="shared" si="60"/>
        <v/>
      </c>
      <c r="J451" s="20"/>
      <c r="K451" s="20"/>
      <c r="L451" s="20" t="str">
        <f t="shared" si="61"/>
        <v/>
      </c>
      <c r="M451" s="30"/>
      <c r="N451" s="26" t="str">
        <f t="shared" si="62"/>
        <v/>
      </c>
      <c r="O451" s="20" t="str">
        <f t="shared" si="63"/>
        <v/>
      </c>
      <c r="P451" s="31" t="str">
        <f t="shared" si="64"/>
        <v/>
      </c>
      <c r="Q451" s="32" t="str">
        <f t="shared" si="65"/>
        <v/>
      </c>
      <c r="R451" t="str">
        <f t="shared" si="66"/>
        <v/>
      </c>
      <c r="S451" s="20" t="str">
        <f t="shared" si="67"/>
        <v/>
      </c>
      <c r="T451" s="20"/>
      <c r="U451" t="str">
        <f t="shared" si="68"/>
        <v/>
      </c>
      <c r="V451" s="20"/>
      <c r="W451" s="20" t="str">
        <f t="shared" si="69"/>
        <v/>
      </c>
      <c r="X451" s="25"/>
      <c r="Y451" s="25"/>
    </row>
    <row r="452" spans="1:25" x14ac:dyDescent="0.25">
      <c r="A452">
        <v>449</v>
      </c>
      <c r="B452" s="25"/>
      <c r="D452" s="30"/>
      <c r="G452" s="30"/>
      <c r="H452" t="str">
        <f t="shared" ref="H452:H503" si="70">IF($G452="","",IFERROR(INDEX(Catalogo_Etiquetas,MATCH($G452,Catalogo_Codigos,0)),"CODIGO NO VALIDO"))</f>
        <v/>
      </c>
      <c r="J452" s="20"/>
      <c r="K452" s="20"/>
      <c r="L452" s="20" t="str">
        <f t="shared" ref="L452:L503" si="71">IF($C452="","",$J452+$K452)</f>
        <v/>
      </c>
      <c r="M452" s="30"/>
      <c r="N452" s="26" t="str">
        <f t="shared" ref="N452:N503" si="72">IF($C452="","",IF($I452="PEN",1,IFERROR(IF(_xlfn.XLOOKUP($B452,TC_Fechas,TC_Venta_Rango,"",-1)="","",_xlfn.XLOOKUP($B452,TC_Fechas,TC_Venta_Rango,"",-1)),"")))</f>
        <v/>
      </c>
      <c r="O452" s="20" t="str">
        <f t="shared" ref="O452:O503" si="73">IF(OR($C452="",$N452=""),"",ROUND($J452*$N452,2)+ROUND($K452*$N452,2))</f>
        <v/>
      </c>
      <c r="P452" s="31" t="str">
        <f t="shared" ref="P452:P503" si="74">IF($G452="","",IFERROR(INDEX(Catalogo_Tasas,MATCH($G452,Catalogo_Codigos,0)),""))</f>
        <v/>
      </c>
      <c r="Q452" s="32" t="str">
        <f t="shared" ref="Q452:Q503" si="75">IF($G452="","",IFERROR(INDEX(Catalogo_Umbrales,MATCH($G452,Catalogo_Codigos,0)),""))</f>
        <v/>
      </c>
      <c r="R452" t="str">
        <f t="shared" ref="R452:R503" si="76">IF(OR($C452="",$P452="",$O452=""),"",IF($F452&lt;&gt;"FACTURA","NO",IF(AND($P452&gt;0,$O452&gt;$Q452),"SI","NO")))</f>
        <v/>
      </c>
      <c r="S452" s="20" t="str">
        <f t="shared" ref="S452:S503" si="77">IF($R452="SI",ROUND($O452*$P452,2),IF($C452="","",0))</f>
        <v/>
      </c>
      <c r="T452" s="20"/>
      <c r="U452" t="str">
        <f t="shared" ref="U452:U503" si="78">IF($C452="","",IF($R452&lt;&gt;"SI","",IF($T452="","SIN DATO",IF(ABS($T452-$S452)&lt;=0.5,"OK","REVISAR"))))</f>
        <v/>
      </c>
      <c r="V452" s="20"/>
      <c r="W452" s="20" t="str">
        <f t="shared" ref="W452:W503" si="79">IF(OR($C452="",$N452=""),"",IF($F452="RHE",ROUND($L452-$V452,2),ROUND($L452-($S452/$N452),2)))</f>
        <v/>
      </c>
      <c r="X452" s="25"/>
      <c r="Y452" s="25"/>
    </row>
    <row r="453" spans="1:25" x14ac:dyDescent="0.25">
      <c r="A453">
        <v>450</v>
      </c>
      <c r="B453" s="25"/>
      <c r="D453" s="30"/>
      <c r="G453" s="30"/>
      <c r="H453" t="str">
        <f t="shared" si="70"/>
        <v/>
      </c>
      <c r="J453" s="20"/>
      <c r="K453" s="20"/>
      <c r="L453" s="20" t="str">
        <f t="shared" si="71"/>
        <v/>
      </c>
      <c r="M453" s="30"/>
      <c r="N453" s="26" t="str">
        <f t="shared" si="72"/>
        <v/>
      </c>
      <c r="O453" s="20" t="str">
        <f t="shared" si="73"/>
        <v/>
      </c>
      <c r="P453" s="31" t="str">
        <f t="shared" si="74"/>
        <v/>
      </c>
      <c r="Q453" s="32" t="str">
        <f t="shared" si="75"/>
        <v/>
      </c>
      <c r="R453" t="str">
        <f t="shared" si="76"/>
        <v/>
      </c>
      <c r="S453" s="20" t="str">
        <f t="shared" si="77"/>
        <v/>
      </c>
      <c r="T453" s="20"/>
      <c r="U453" t="str">
        <f t="shared" si="78"/>
        <v/>
      </c>
      <c r="V453" s="20"/>
      <c r="W453" s="20" t="str">
        <f t="shared" si="79"/>
        <v/>
      </c>
      <c r="X453" s="25"/>
      <c r="Y453" s="25"/>
    </row>
    <row r="454" spans="1:25" x14ac:dyDescent="0.25">
      <c r="A454">
        <v>451</v>
      </c>
      <c r="B454" s="25"/>
      <c r="D454" s="30"/>
      <c r="G454" s="30"/>
      <c r="H454" t="str">
        <f t="shared" si="70"/>
        <v/>
      </c>
      <c r="J454" s="20"/>
      <c r="K454" s="20"/>
      <c r="L454" s="20" t="str">
        <f t="shared" si="71"/>
        <v/>
      </c>
      <c r="M454" s="30"/>
      <c r="N454" s="26" t="str">
        <f t="shared" si="72"/>
        <v/>
      </c>
      <c r="O454" s="20" t="str">
        <f t="shared" si="73"/>
        <v/>
      </c>
      <c r="P454" s="31" t="str">
        <f t="shared" si="74"/>
        <v/>
      </c>
      <c r="Q454" s="32" t="str">
        <f t="shared" si="75"/>
        <v/>
      </c>
      <c r="R454" t="str">
        <f t="shared" si="76"/>
        <v/>
      </c>
      <c r="S454" s="20" t="str">
        <f t="shared" si="77"/>
        <v/>
      </c>
      <c r="T454" s="20"/>
      <c r="U454" t="str">
        <f t="shared" si="78"/>
        <v/>
      </c>
      <c r="V454" s="20"/>
      <c r="W454" s="20" t="str">
        <f t="shared" si="79"/>
        <v/>
      </c>
      <c r="X454" s="25"/>
      <c r="Y454" s="25"/>
    </row>
    <row r="455" spans="1:25" x14ac:dyDescent="0.25">
      <c r="A455">
        <v>452</v>
      </c>
      <c r="B455" s="25"/>
      <c r="D455" s="30"/>
      <c r="G455" s="30"/>
      <c r="H455" t="str">
        <f t="shared" si="70"/>
        <v/>
      </c>
      <c r="J455" s="20"/>
      <c r="K455" s="20"/>
      <c r="L455" s="20" t="str">
        <f t="shared" si="71"/>
        <v/>
      </c>
      <c r="M455" s="30"/>
      <c r="N455" s="26" t="str">
        <f t="shared" si="72"/>
        <v/>
      </c>
      <c r="O455" s="20" t="str">
        <f t="shared" si="73"/>
        <v/>
      </c>
      <c r="P455" s="31" t="str">
        <f t="shared" si="74"/>
        <v/>
      </c>
      <c r="Q455" s="32" t="str">
        <f t="shared" si="75"/>
        <v/>
      </c>
      <c r="R455" t="str">
        <f t="shared" si="76"/>
        <v/>
      </c>
      <c r="S455" s="20" t="str">
        <f t="shared" si="77"/>
        <v/>
      </c>
      <c r="T455" s="20"/>
      <c r="U455" t="str">
        <f t="shared" si="78"/>
        <v/>
      </c>
      <c r="V455" s="20"/>
      <c r="W455" s="20" t="str">
        <f t="shared" si="79"/>
        <v/>
      </c>
      <c r="X455" s="25"/>
      <c r="Y455" s="25"/>
    </row>
    <row r="456" spans="1:25" x14ac:dyDescent="0.25">
      <c r="A456">
        <v>453</v>
      </c>
      <c r="B456" s="25"/>
      <c r="D456" s="30"/>
      <c r="G456" s="30"/>
      <c r="H456" t="str">
        <f t="shared" si="70"/>
        <v/>
      </c>
      <c r="J456" s="20"/>
      <c r="K456" s="20"/>
      <c r="L456" s="20" t="str">
        <f t="shared" si="71"/>
        <v/>
      </c>
      <c r="M456" s="30"/>
      <c r="N456" s="26" t="str">
        <f t="shared" si="72"/>
        <v/>
      </c>
      <c r="O456" s="20" t="str">
        <f t="shared" si="73"/>
        <v/>
      </c>
      <c r="P456" s="31" t="str">
        <f t="shared" si="74"/>
        <v/>
      </c>
      <c r="Q456" s="32" t="str">
        <f t="shared" si="75"/>
        <v/>
      </c>
      <c r="R456" t="str">
        <f t="shared" si="76"/>
        <v/>
      </c>
      <c r="S456" s="20" t="str">
        <f t="shared" si="77"/>
        <v/>
      </c>
      <c r="T456" s="20"/>
      <c r="U456" t="str">
        <f t="shared" si="78"/>
        <v/>
      </c>
      <c r="V456" s="20"/>
      <c r="W456" s="20" t="str">
        <f t="shared" si="79"/>
        <v/>
      </c>
      <c r="X456" s="25"/>
      <c r="Y456" s="25"/>
    </row>
    <row r="457" spans="1:25" x14ac:dyDescent="0.25">
      <c r="A457">
        <v>454</v>
      </c>
      <c r="B457" s="25"/>
      <c r="D457" s="30"/>
      <c r="G457" s="30"/>
      <c r="H457" t="str">
        <f t="shared" si="70"/>
        <v/>
      </c>
      <c r="J457" s="20"/>
      <c r="K457" s="20"/>
      <c r="L457" s="20" t="str">
        <f t="shared" si="71"/>
        <v/>
      </c>
      <c r="M457" s="30"/>
      <c r="N457" s="26" t="str">
        <f t="shared" si="72"/>
        <v/>
      </c>
      <c r="O457" s="20" t="str">
        <f t="shared" si="73"/>
        <v/>
      </c>
      <c r="P457" s="31" t="str">
        <f t="shared" si="74"/>
        <v/>
      </c>
      <c r="Q457" s="32" t="str">
        <f t="shared" si="75"/>
        <v/>
      </c>
      <c r="R457" t="str">
        <f t="shared" si="76"/>
        <v/>
      </c>
      <c r="S457" s="20" t="str">
        <f t="shared" si="77"/>
        <v/>
      </c>
      <c r="T457" s="20"/>
      <c r="U457" t="str">
        <f t="shared" si="78"/>
        <v/>
      </c>
      <c r="V457" s="20"/>
      <c r="W457" s="20" t="str">
        <f t="shared" si="79"/>
        <v/>
      </c>
      <c r="X457" s="25"/>
      <c r="Y457" s="25"/>
    </row>
    <row r="458" spans="1:25" x14ac:dyDescent="0.25">
      <c r="A458">
        <v>455</v>
      </c>
      <c r="B458" s="25"/>
      <c r="D458" s="30"/>
      <c r="G458" s="30"/>
      <c r="H458" t="str">
        <f t="shared" si="70"/>
        <v/>
      </c>
      <c r="J458" s="20"/>
      <c r="K458" s="20"/>
      <c r="L458" s="20" t="str">
        <f t="shared" si="71"/>
        <v/>
      </c>
      <c r="M458" s="30"/>
      <c r="N458" s="26" t="str">
        <f t="shared" si="72"/>
        <v/>
      </c>
      <c r="O458" s="20" t="str">
        <f t="shared" si="73"/>
        <v/>
      </c>
      <c r="P458" s="31" t="str">
        <f t="shared" si="74"/>
        <v/>
      </c>
      <c r="Q458" s="32" t="str">
        <f t="shared" si="75"/>
        <v/>
      </c>
      <c r="R458" t="str">
        <f t="shared" si="76"/>
        <v/>
      </c>
      <c r="S458" s="20" t="str">
        <f t="shared" si="77"/>
        <v/>
      </c>
      <c r="T458" s="20"/>
      <c r="U458" t="str">
        <f t="shared" si="78"/>
        <v/>
      </c>
      <c r="V458" s="20"/>
      <c r="W458" s="20" t="str">
        <f t="shared" si="79"/>
        <v/>
      </c>
      <c r="X458" s="25"/>
      <c r="Y458" s="25"/>
    </row>
    <row r="459" spans="1:25" x14ac:dyDescent="0.25">
      <c r="A459">
        <v>456</v>
      </c>
      <c r="B459" s="25"/>
      <c r="D459" s="30"/>
      <c r="G459" s="30"/>
      <c r="H459" t="str">
        <f t="shared" si="70"/>
        <v/>
      </c>
      <c r="J459" s="20"/>
      <c r="K459" s="20"/>
      <c r="L459" s="20" t="str">
        <f t="shared" si="71"/>
        <v/>
      </c>
      <c r="M459" s="30"/>
      <c r="N459" s="26" t="str">
        <f t="shared" si="72"/>
        <v/>
      </c>
      <c r="O459" s="20" t="str">
        <f t="shared" si="73"/>
        <v/>
      </c>
      <c r="P459" s="31" t="str">
        <f t="shared" si="74"/>
        <v/>
      </c>
      <c r="Q459" s="32" t="str">
        <f t="shared" si="75"/>
        <v/>
      </c>
      <c r="R459" t="str">
        <f t="shared" si="76"/>
        <v/>
      </c>
      <c r="S459" s="20" t="str">
        <f t="shared" si="77"/>
        <v/>
      </c>
      <c r="T459" s="20"/>
      <c r="U459" t="str">
        <f t="shared" si="78"/>
        <v/>
      </c>
      <c r="V459" s="20"/>
      <c r="W459" s="20" t="str">
        <f t="shared" si="79"/>
        <v/>
      </c>
      <c r="X459" s="25"/>
      <c r="Y459" s="25"/>
    </row>
    <row r="460" spans="1:25" x14ac:dyDescent="0.25">
      <c r="A460">
        <v>457</v>
      </c>
      <c r="B460" s="25"/>
      <c r="D460" s="30"/>
      <c r="G460" s="30"/>
      <c r="H460" t="str">
        <f t="shared" si="70"/>
        <v/>
      </c>
      <c r="J460" s="20"/>
      <c r="K460" s="20"/>
      <c r="L460" s="20" t="str">
        <f t="shared" si="71"/>
        <v/>
      </c>
      <c r="M460" s="30"/>
      <c r="N460" s="26" t="str">
        <f t="shared" si="72"/>
        <v/>
      </c>
      <c r="O460" s="20" t="str">
        <f t="shared" si="73"/>
        <v/>
      </c>
      <c r="P460" s="31" t="str">
        <f t="shared" si="74"/>
        <v/>
      </c>
      <c r="Q460" s="32" t="str">
        <f t="shared" si="75"/>
        <v/>
      </c>
      <c r="R460" t="str">
        <f t="shared" si="76"/>
        <v/>
      </c>
      <c r="S460" s="20" t="str">
        <f t="shared" si="77"/>
        <v/>
      </c>
      <c r="T460" s="20"/>
      <c r="U460" t="str">
        <f t="shared" si="78"/>
        <v/>
      </c>
      <c r="V460" s="20"/>
      <c r="W460" s="20" t="str">
        <f t="shared" si="79"/>
        <v/>
      </c>
      <c r="X460" s="25"/>
      <c r="Y460" s="25"/>
    </row>
    <row r="461" spans="1:25" x14ac:dyDescent="0.25">
      <c r="A461">
        <v>458</v>
      </c>
      <c r="B461" s="25"/>
      <c r="D461" s="30"/>
      <c r="G461" s="30"/>
      <c r="H461" t="str">
        <f t="shared" si="70"/>
        <v/>
      </c>
      <c r="J461" s="20"/>
      <c r="K461" s="20"/>
      <c r="L461" s="20" t="str">
        <f t="shared" si="71"/>
        <v/>
      </c>
      <c r="M461" s="30"/>
      <c r="N461" s="26" t="str">
        <f t="shared" si="72"/>
        <v/>
      </c>
      <c r="O461" s="20" t="str">
        <f t="shared" si="73"/>
        <v/>
      </c>
      <c r="P461" s="31" t="str">
        <f t="shared" si="74"/>
        <v/>
      </c>
      <c r="Q461" s="32" t="str">
        <f t="shared" si="75"/>
        <v/>
      </c>
      <c r="R461" t="str">
        <f t="shared" si="76"/>
        <v/>
      </c>
      <c r="S461" s="20" t="str">
        <f t="shared" si="77"/>
        <v/>
      </c>
      <c r="T461" s="20"/>
      <c r="U461" t="str">
        <f t="shared" si="78"/>
        <v/>
      </c>
      <c r="V461" s="20"/>
      <c r="W461" s="20" t="str">
        <f t="shared" si="79"/>
        <v/>
      </c>
      <c r="X461" s="25"/>
      <c r="Y461" s="25"/>
    </row>
    <row r="462" spans="1:25" x14ac:dyDescent="0.25">
      <c r="A462">
        <v>459</v>
      </c>
      <c r="B462" s="25"/>
      <c r="D462" s="30"/>
      <c r="G462" s="30"/>
      <c r="H462" t="str">
        <f t="shared" si="70"/>
        <v/>
      </c>
      <c r="J462" s="20"/>
      <c r="K462" s="20"/>
      <c r="L462" s="20" t="str">
        <f t="shared" si="71"/>
        <v/>
      </c>
      <c r="M462" s="30"/>
      <c r="N462" s="26" t="str">
        <f t="shared" si="72"/>
        <v/>
      </c>
      <c r="O462" s="20" t="str">
        <f t="shared" si="73"/>
        <v/>
      </c>
      <c r="P462" s="31" t="str">
        <f t="shared" si="74"/>
        <v/>
      </c>
      <c r="Q462" s="32" t="str">
        <f t="shared" si="75"/>
        <v/>
      </c>
      <c r="R462" t="str">
        <f t="shared" si="76"/>
        <v/>
      </c>
      <c r="S462" s="20" t="str">
        <f t="shared" si="77"/>
        <v/>
      </c>
      <c r="T462" s="20"/>
      <c r="U462" t="str">
        <f t="shared" si="78"/>
        <v/>
      </c>
      <c r="V462" s="20"/>
      <c r="W462" s="20" t="str">
        <f t="shared" si="79"/>
        <v/>
      </c>
      <c r="X462" s="25"/>
      <c r="Y462" s="25"/>
    </row>
    <row r="463" spans="1:25" x14ac:dyDescent="0.25">
      <c r="A463">
        <v>460</v>
      </c>
      <c r="B463" s="25"/>
      <c r="D463" s="30"/>
      <c r="G463" s="30"/>
      <c r="H463" t="str">
        <f t="shared" si="70"/>
        <v/>
      </c>
      <c r="J463" s="20"/>
      <c r="K463" s="20"/>
      <c r="L463" s="20" t="str">
        <f t="shared" si="71"/>
        <v/>
      </c>
      <c r="M463" s="30"/>
      <c r="N463" s="26" t="str">
        <f t="shared" si="72"/>
        <v/>
      </c>
      <c r="O463" s="20" t="str">
        <f t="shared" si="73"/>
        <v/>
      </c>
      <c r="P463" s="31" t="str">
        <f t="shared" si="74"/>
        <v/>
      </c>
      <c r="Q463" s="32" t="str">
        <f t="shared" si="75"/>
        <v/>
      </c>
      <c r="R463" t="str">
        <f t="shared" si="76"/>
        <v/>
      </c>
      <c r="S463" s="20" t="str">
        <f t="shared" si="77"/>
        <v/>
      </c>
      <c r="T463" s="20"/>
      <c r="U463" t="str">
        <f t="shared" si="78"/>
        <v/>
      </c>
      <c r="V463" s="20"/>
      <c r="W463" s="20" t="str">
        <f t="shared" si="79"/>
        <v/>
      </c>
      <c r="X463" s="25"/>
      <c r="Y463" s="25"/>
    </row>
    <row r="464" spans="1:25" x14ac:dyDescent="0.25">
      <c r="A464">
        <v>461</v>
      </c>
      <c r="B464" s="25"/>
      <c r="D464" s="30"/>
      <c r="G464" s="30"/>
      <c r="H464" t="str">
        <f t="shared" si="70"/>
        <v/>
      </c>
      <c r="J464" s="20"/>
      <c r="K464" s="20"/>
      <c r="L464" s="20" t="str">
        <f t="shared" si="71"/>
        <v/>
      </c>
      <c r="M464" s="30"/>
      <c r="N464" s="26" t="str">
        <f t="shared" si="72"/>
        <v/>
      </c>
      <c r="O464" s="20" t="str">
        <f t="shared" si="73"/>
        <v/>
      </c>
      <c r="P464" s="31" t="str">
        <f t="shared" si="74"/>
        <v/>
      </c>
      <c r="Q464" s="32" t="str">
        <f t="shared" si="75"/>
        <v/>
      </c>
      <c r="R464" t="str">
        <f t="shared" si="76"/>
        <v/>
      </c>
      <c r="S464" s="20" t="str">
        <f t="shared" si="77"/>
        <v/>
      </c>
      <c r="T464" s="20"/>
      <c r="U464" t="str">
        <f t="shared" si="78"/>
        <v/>
      </c>
      <c r="V464" s="20"/>
      <c r="W464" s="20" t="str">
        <f t="shared" si="79"/>
        <v/>
      </c>
      <c r="X464" s="25"/>
      <c r="Y464" s="25"/>
    </row>
    <row r="465" spans="1:25" x14ac:dyDescent="0.25">
      <c r="A465">
        <v>462</v>
      </c>
      <c r="B465" s="25"/>
      <c r="D465" s="30"/>
      <c r="G465" s="30"/>
      <c r="H465" t="str">
        <f t="shared" si="70"/>
        <v/>
      </c>
      <c r="J465" s="20"/>
      <c r="K465" s="20"/>
      <c r="L465" s="20" t="str">
        <f t="shared" si="71"/>
        <v/>
      </c>
      <c r="M465" s="30"/>
      <c r="N465" s="26" t="str">
        <f t="shared" si="72"/>
        <v/>
      </c>
      <c r="O465" s="20" t="str">
        <f t="shared" si="73"/>
        <v/>
      </c>
      <c r="P465" s="31" t="str">
        <f t="shared" si="74"/>
        <v/>
      </c>
      <c r="Q465" s="32" t="str">
        <f t="shared" si="75"/>
        <v/>
      </c>
      <c r="R465" t="str">
        <f t="shared" si="76"/>
        <v/>
      </c>
      <c r="S465" s="20" t="str">
        <f t="shared" si="77"/>
        <v/>
      </c>
      <c r="T465" s="20"/>
      <c r="U465" t="str">
        <f t="shared" si="78"/>
        <v/>
      </c>
      <c r="V465" s="20"/>
      <c r="W465" s="20" t="str">
        <f t="shared" si="79"/>
        <v/>
      </c>
      <c r="X465" s="25"/>
      <c r="Y465" s="25"/>
    </row>
    <row r="466" spans="1:25" x14ac:dyDescent="0.25">
      <c r="A466">
        <v>463</v>
      </c>
      <c r="B466" s="25"/>
      <c r="D466" s="30"/>
      <c r="G466" s="30"/>
      <c r="H466" t="str">
        <f t="shared" si="70"/>
        <v/>
      </c>
      <c r="J466" s="20"/>
      <c r="K466" s="20"/>
      <c r="L466" s="20" t="str">
        <f t="shared" si="71"/>
        <v/>
      </c>
      <c r="M466" s="30"/>
      <c r="N466" s="26" t="str">
        <f t="shared" si="72"/>
        <v/>
      </c>
      <c r="O466" s="20" t="str">
        <f t="shared" si="73"/>
        <v/>
      </c>
      <c r="P466" s="31" t="str">
        <f t="shared" si="74"/>
        <v/>
      </c>
      <c r="Q466" s="32" t="str">
        <f t="shared" si="75"/>
        <v/>
      </c>
      <c r="R466" t="str">
        <f t="shared" si="76"/>
        <v/>
      </c>
      <c r="S466" s="20" t="str">
        <f t="shared" si="77"/>
        <v/>
      </c>
      <c r="T466" s="20"/>
      <c r="U466" t="str">
        <f t="shared" si="78"/>
        <v/>
      </c>
      <c r="V466" s="20"/>
      <c r="W466" s="20" t="str">
        <f t="shared" si="79"/>
        <v/>
      </c>
      <c r="X466" s="25"/>
      <c r="Y466" s="25"/>
    </row>
    <row r="467" spans="1:25" x14ac:dyDescent="0.25">
      <c r="A467">
        <v>464</v>
      </c>
      <c r="B467" s="25"/>
      <c r="D467" s="30"/>
      <c r="G467" s="30"/>
      <c r="H467" t="str">
        <f t="shared" si="70"/>
        <v/>
      </c>
      <c r="J467" s="20"/>
      <c r="K467" s="20"/>
      <c r="L467" s="20" t="str">
        <f t="shared" si="71"/>
        <v/>
      </c>
      <c r="M467" s="30"/>
      <c r="N467" s="26" t="str">
        <f t="shared" si="72"/>
        <v/>
      </c>
      <c r="O467" s="20" t="str">
        <f t="shared" si="73"/>
        <v/>
      </c>
      <c r="P467" s="31" t="str">
        <f t="shared" si="74"/>
        <v/>
      </c>
      <c r="Q467" s="32" t="str">
        <f t="shared" si="75"/>
        <v/>
      </c>
      <c r="R467" t="str">
        <f t="shared" si="76"/>
        <v/>
      </c>
      <c r="S467" s="20" t="str">
        <f t="shared" si="77"/>
        <v/>
      </c>
      <c r="T467" s="20"/>
      <c r="U467" t="str">
        <f t="shared" si="78"/>
        <v/>
      </c>
      <c r="V467" s="20"/>
      <c r="W467" s="20" t="str">
        <f t="shared" si="79"/>
        <v/>
      </c>
      <c r="X467" s="25"/>
      <c r="Y467" s="25"/>
    </row>
    <row r="468" spans="1:25" x14ac:dyDescent="0.25">
      <c r="A468">
        <v>465</v>
      </c>
      <c r="B468" s="25"/>
      <c r="D468" s="30"/>
      <c r="G468" s="30"/>
      <c r="H468" t="str">
        <f t="shared" si="70"/>
        <v/>
      </c>
      <c r="J468" s="20"/>
      <c r="K468" s="20"/>
      <c r="L468" s="20" t="str">
        <f t="shared" si="71"/>
        <v/>
      </c>
      <c r="M468" s="30"/>
      <c r="N468" s="26" t="str">
        <f t="shared" si="72"/>
        <v/>
      </c>
      <c r="O468" s="20" t="str">
        <f t="shared" si="73"/>
        <v/>
      </c>
      <c r="P468" s="31" t="str">
        <f t="shared" si="74"/>
        <v/>
      </c>
      <c r="Q468" s="32" t="str">
        <f t="shared" si="75"/>
        <v/>
      </c>
      <c r="R468" t="str">
        <f t="shared" si="76"/>
        <v/>
      </c>
      <c r="S468" s="20" t="str">
        <f t="shared" si="77"/>
        <v/>
      </c>
      <c r="T468" s="20"/>
      <c r="U468" t="str">
        <f t="shared" si="78"/>
        <v/>
      </c>
      <c r="V468" s="20"/>
      <c r="W468" s="20" t="str">
        <f t="shared" si="79"/>
        <v/>
      </c>
      <c r="X468" s="25"/>
      <c r="Y468" s="25"/>
    </row>
    <row r="469" spans="1:25" x14ac:dyDescent="0.25">
      <c r="A469">
        <v>466</v>
      </c>
      <c r="B469" s="25"/>
      <c r="D469" s="30"/>
      <c r="G469" s="30"/>
      <c r="H469" t="str">
        <f t="shared" si="70"/>
        <v/>
      </c>
      <c r="J469" s="20"/>
      <c r="K469" s="20"/>
      <c r="L469" s="20" t="str">
        <f t="shared" si="71"/>
        <v/>
      </c>
      <c r="M469" s="30"/>
      <c r="N469" s="26" t="str">
        <f t="shared" si="72"/>
        <v/>
      </c>
      <c r="O469" s="20" t="str">
        <f t="shared" si="73"/>
        <v/>
      </c>
      <c r="P469" s="31" t="str">
        <f t="shared" si="74"/>
        <v/>
      </c>
      <c r="Q469" s="32" t="str">
        <f t="shared" si="75"/>
        <v/>
      </c>
      <c r="R469" t="str">
        <f t="shared" si="76"/>
        <v/>
      </c>
      <c r="S469" s="20" t="str">
        <f t="shared" si="77"/>
        <v/>
      </c>
      <c r="T469" s="20"/>
      <c r="U469" t="str">
        <f t="shared" si="78"/>
        <v/>
      </c>
      <c r="V469" s="20"/>
      <c r="W469" s="20" t="str">
        <f t="shared" si="79"/>
        <v/>
      </c>
      <c r="X469" s="25"/>
      <c r="Y469" s="25"/>
    </row>
    <row r="470" spans="1:25" x14ac:dyDescent="0.25">
      <c r="A470">
        <v>467</v>
      </c>
      <c r="B470" s="25"/>
      <c r="D470" s="30"/>
      <c r="G470" s="30"/>
      <c r="H470" t="str">
        <f t="shared" si="70"/>
        <v/>
      </c>
      <c r="J470" s="20"/>
      <c r="K470" s="20"/>
      <c r="L470" s="20" t="str">
        <f t="shared" si="71"/>
        <v/>
      </c>
      <c r="M470" s="30"/>
      <c r="N470" s="26" t="str">
        <f t="shared" si="72"/>
        <v/>
      </c>
      <c r="O470" s="20" t="str">
        <f t="shared" si="73"/>
        <v/>
      </c>
      <c r="P470" s="31" t="str">
        <f t="shared" si="74"/>
        <v/>
      </c>
      <c r="Q470" s="32" t="str">
        <f t="shared" si="75"/>
        <v/>
      </c>
      <c r="R470" t="str">
        <f t="shared" si="76"/>
        <v/>
      </c>
      <c r="S470" s="20" t="str">
        <f t="shared" si="77"/>
        <v/>
      </c>
      <c r="T470" s="20"/>
      <c r="U470" t="str">
        <f t="shared" si="78"/>
        <v/>
      </c>
      <c r="V470" s="20"/>
      <c r="W470" s="20" t="str">
        <f t="shared" si="79"/>
        <v/>
      </c>
      <c r="X470" s="25"/>
      <c r="Y470" s="25"/>
    </row>
    <row r="471" spans="1:25" x14ac:dyDescent="0.25">
      <c r="A471">
        <v>468</v>
      </c>
      <c r="B471" s="25"/>
      <c r="D471" s="30"/>
      <c r="G471" s="30"/>
      <c r="H471" t="str">
        <f t="shared" si="70"/>
        <v/>
      </c>
      <c r="J471" s="20"/>
      <c r="K471" s="20"/>
      <c r="L471" s="20" t="str">
        <f t="shared" si="71"/>
        <v/>
      </c>
      <c r="M471" s="30"/>
      <c r="N471" s="26" t="str">
        <f t="shared" si="72"/>
        <v/>
      </c>
      <c r="O471" s="20" t="str">
        <f t="shared" si="73"/>
        <v/>
      </c>
      <c r="P471" s="31" t="str">
        <f t="shared" si="74"/>
        <v/>
      </c>
      <c r="Q471" s="32" t="str">
        <f t="shared" si="75"/>
        <v/>
      </c>
      <c r="R471" t="str">
        <f t="shared" si="76"/>
        <v/>
      </c>
      <c r="S471" s="20" t="str">
        <f t="shared" si="77"/>
        <v/>
      </c>
      <c r="T471" s="20"/>
      <c r="U471" t="str">
        <f t="shared" si="78"/>
        <v/>
      </c>
      <c r="V471" s="20"/>
      <c r="W471" s="20" t="str">
        <f t="shared" si="79"/>
        <v/>
      </c>
      <c r="X471" s="25"/>
      <c r="Y471" s="25"/>
    </row>
    <row r="472" spans="1:25" x14ac:dyDescent="0.25">
      <c r="A472">
        <v>469</v>
      </c>
      <c r="B472" s="25"/>
      <c r="D472" s="30"/>
      <c r="G472" s="30"/>
      <c r="H472" t="str">
        <f t="shared" si="70"/>
        <v/>
      </c>
      <c r="J472" s="20"/>
      <c r="K472" s="20"/>
      <c r="L472" s="20" t="str">
        <f t="shared" si="71"/>
        <v/>
      </c>
      <c r="M472" s="30"/>
      <c r="N472" s="26" t="str">
        <f t="shared" si="72"/>
        <v/>
      </c>
      <c r="O472" s="20" t="str">
        <f t="shared" si="73"/>
        <v/>
      </c>
      <c r="P472" s="31" t="str">
        <f t="shared" si="74"/>
        <v/>
      </c>
      <c r="Q472" s="32" t="str">
        <f t="shared" si="75"/>
        <v/>
      </c>
      <c r="R472" t="str">
        <f t="shared" si="76"/>
        <v/>
      </c>
      <c r="S472" s="20" t="str">
        <f t="shared" si="77"/>
        <v/>
      </c>
      <c r="T472" s="20"/>
      <c r="U472" t="str">
        <f t="shared" si="78"/>
        <v/>
      </c>
      <c r="V472" s="20"/>
      <c r="W472" s="20" t="str">
        <f t="shared" si="79"/>
        <v/>
      </c>
      <c r="X472" s="25"/>
      <c r="Y472" s="25"/>
    </row>
    <row r="473" spans="1:25" x14ac:dyDescent="0.25">
      <c r="A473">
        <v>470</v>
      </c>
      <c r="B473" s="25"/>
      <c r="D473" s="30"/>
      <c r="G473" s="30"/>
      <c r="H473" t="str">
        <f t="shared" si="70"/>
        <v/>
      </c>
      <c r="J473" s="20"/>
      <c r="K473" s="20"/>
      <c r="L473" s="20" t="str">
        <f t="shared" si="71"/>
        <v/>
      </c>
      <c r="M473" s="30"/>
      <c r="N473" s="26" t="str">
        <f t="shared" si="72"/>
        <v/>
      </c>
      <c r="O473" s="20" t="str">
        <f t="shared" si="73"/>
        <v/>
      </c>
      <c r="P473" s="31" t="str">
        <f t="shared" si="74"/>
        <v/>
      </c>
      <c r="Q473" s="32" t="str">
        <f t="shared" si="75"/>
        <v/>
      </c>
      <c r="R473" t="str">
        <f t="shared" si="76"/>
        <v/>
      </c>
      <c r="S473" s="20" t="str">
        <f t="shared" si="77"/>
        <v/>
      </c>
      <c r="T473" s="20"/>
      <c r="U473" t="str">
        <f t="shared" si="78"/>
        <v/>
      </c>
      <c r="V473" s="20"/>
      <c r="W473" s="20" t="str">
        <f t="shared" si="79"/>
        <v/>
      </c>
      <c r="X473" s="25"/>
      <c r="Y473" s="25"/>
    </row>
    <row r="474" spans="1:25" x14ac:dyDescent="0.25">
      <c r="A474">
        <v>471</v>
      </c>
      <c r="B474" s="25"/>
      <c r="D474" s="30"/>
      <c r="G474" s="30"/>
      <c r="H474" t="str">
        <f t="shared" si="70"/>
        <v/>
      </c>
      <c r="J474" s="20"/>
      <c r="K474" s="20"/>
      <c r="L474" s="20" t="str">
        <f t="shared" si="71"/>
        <v/>
      </c>
      <c r="M474" s="30"/>
      <c r="N474" s="26" t="str">
        <f t="shared" si="72"/>
        <v/>
      </c>
      <c r="O474" s="20" t="str">
        <f t="shared" si="73"/>
        <v/>
      </c>
      <c r="P474" s="31" t="str">
        <f t="shared" si="74"/>
        <v/>
      </c>
      <c r="Q474" s="32" t="str">
        <f t="shared" si="75"/>
        <v/>
      </c>
      <c r="R474" t="str">
        <f t="shared" si="76"/>
        <v/>
      </c>
      <c r="S474" s="20" t="str">
        <f t="shared" si="77"/>
        <v/>
      </c>
      <c r="T474" s="20"/>
      <c r="U474" t="str">
        <f t="shared" si="78"/>
        <v/>
      </c>
      <c r="V474" s="20"/>
      <c r="W474" s="20" t="str">
        <f t="shared" si="79"/>
        <v/>
      </c>
      <c r="X474" s="25"/>
      <c r="Y474" s="25"/>
    </row>
    <row r="475" spans="1:25" x14ac:dyDescent="0.25">
      <c r="A475">
        <v>472</v>
      </c>
      <c r="B475" s="25"/>
      <c r="D475" s="30"/>
      <c r="G475" s="30"/>
      <c r="H475" t="str">
        <f t="shared" si="70"/>
        <v/>
      </c>
      <c r="J475" s="20"/>
      <c r="K475" s="20"/>
      <c r="L475" s="20" t="str">
        <f t="shared" si="71"/>
        <v/>
      </c>
      <c r="M475" s="30"/>
      <c r="N475" s="26" t="str">
        <f t="shared" si="72"/>
        <v/>
      </c>
      <c r="O475" s="20" t="str">
        <f t="shared" si="73"/>
        <v/>
      </c>
      <c r="P475" s="31" t="str">
        <f t="shared" si="74"/>
        <v/>
      </c>
      <c r="Q475" s="32" t="str">
        <f t="shared" si="75"/>
        <v/>
      </c>
      <c r="R475" t="str">
        <f t="shared" si="76"/>
        <v/>
      </c>
      <c r="S475" s="20" t="str">
        <f t="shared" si="77"/>
        <v/>
      </c>
      <c r="T475" s="20"/>
      <c r="U475" t="str">
        <f t="shared" si="78"/>
        <v/>
      </c>
      <c r="V475" s="20"/>
      <c r="W475" s="20" t="str">
        <f t="shared" si="79"/>
        <v/>
      </c>
      <c r="X475" s="25"/>
      <c r="Y475" s="25"/>
    </row>
    <row r="476" spans="1:25" x14ac:dyDescent="0.25">
      <c r="A476">
        <v>473</v>
      </c>
      <c r="B476" s="25"/>
      <c r="D476" s="30"/>
      <c r="G476" s="30"/>
      <c r="H476" t="str">
        <f t="shared" si="70"/>
        <v/>
      </c>
      <c r="J476" s="20"/>
      <c r="K476" s="20"/>
      <c r="L476" s="20" t="str">
        <f t="shared" si="71"/>
        <v/>
      </c>
      <c r="M476" s="30"/>
      <c r="N476" s="26" t="str">
        <f t="shared" si="72"/>
        <v/>
      </c>
      <c r="O476" s="20" t="str">
        <f t="shared" si="73"/>
        <v/>
      </c>
      <c r="P476" s="31" t="str">
        <f t="shared" si="74"/>
        <v/>
      </c>
      <c r="Q476" s="32" t="str">
        <f t="shared" si="75"/>
        <v/>
      </c>
      <c r="R476" t="str">
        <f t="shared" si="76"/>
        <v/>
      </c>
      <c r="S476" s="20" t="str">
        <f t="shared" si="77"/>
        <v/>
      </c>
      <c r="T476" s="20"/>
      <c r="U476" t="str">
        <f t="shared" si="78"/>
        <v/>
      </c>
      <c r="V476" s="20"/>
      <c r="W476" s="20" t="str">
        <f t="shared" si="79"/>
        <v/>
      </c>
      <c r="X476" s="25"/>
      <c r="Y476" s="25"/>
    </row>
    <row r="477" spans="1:25" x14ac:dyDescent="0.25">
      <c r="A477">
        <v>474</v>
      </c>
      <c r="B477" s="25"/>
      <c r="D477" s="30"/>
      <c r="G477" s="30"/>
      <c r="H477" t="str">
        <f t="shared" si="70"/>
        <v/>
      </c>
      <c r="J477" s="20"/>
      <c r="K477" s="20"/>
      <c r="L477" s="20" t="str">
        <f t="shared" si="71"/>
        <v/>
      </c>
      <c r="M477" s="30"/>
      <c r="N477" s="26" t="str">
        <f t="shared" si="72"/>
        <v/>
      </c>
      <c r="O477" s="20" t="str">
        <f t="shared" si="73"/>
        <v/>
      </c>
      <c r="P477" s="31" t="str">
        <f t="shared" si="74"/>
        <v/>
      </c>
      <c r="Q477" s="32" t="str">
        <f t="shared" si="75"/>
        <v/>
      </c>
      <c r="R477" t="str">
        <f t="shared" si="76"/>
        <v/>
      </c>
      <c r="S477" s="20" t="str">
        <f t="shared" si="77"/>
        <v/>
      </c>
      <c r="T477" s="20"/>
      <c r="U477" t="str">
        <f t="shared" si="78"/>
        <v/>
      </c>
      <c r="V477" s="20"/>
      <c r="W477" s="20" t="str">
        <f t="shared" si="79"/>
        <v/>
      </c>
      <c r="X477" s="25"/>
      <c r="Y477" s="25"/>
    </row>
    <row r="478" spans="1:25" x14ac:dyDescent="0.25">
      <c r="A478">
        <v>475</v>
      </c>
      <c r="B478" s="25"/>
      <c r="D478" s="30"/>
      <c r="G478" s="30"/>
      <c r="H478" t="str">
        <f t="shared" si="70"/>
        <v/>
      </c>
      <c r="J478" s="20"/>
      <c r="K478" s="20"/>
      <c r="L478" s="20" t="str">
        <f t="shared" si="71"/>
        <v/>
      </c>
      <c r="M478" s="30"/>
      <c r="N478" s="26" t="str">
        <f t="shared" si="72"/>
        <v/>
      </c>
      <c r="O478" s="20" t="str">
        <f t="shared" si="73"/>
        <v/>
      </c>
      <c r="P478" s="31" t="str">
        <f t="shared" si="74"/>
        <v/>
      </c>
      <c r="Q478" s="32" t="str">
        <f t="shared" si="75"/>
        <v/>
      </c>
      <c r="R478" t="str">
        <f t="shared" si="76"/>
        <v/>
      </c>
      <c r="S478" s="20" t="str">
        <f t="shared" si="77"/>
        <v/>
      </c>
      <c r="T478" s="20"/>
      <c r="U478" t="str">
        <f t="shared" si="78"/>
        <v/>
      </c>
      <c r="V478" s="20"/>
      <c r="W478" s="20" t="str">
        <f t="shared" si="79"/>
        <v/>
      </c>
      <c r="X478" s="25"/>
      <c r="Y478" s="25"/>
    </row>
    <row r="479" spans="1:25" x14ac:dyDescent="0.25">
      <c r="A479">
        <v>476</v>
      </c>
      <c r="B479" s="25"/>
      <c r="D479" s="30"/>
      <c r="G479" s="30"/>
      <c r="H479" t="str">
        <f t="shared" si="70"/>
        <v/>
      </c>
      <c r="J479" s="20"/>
      <c r="K479" s="20"/>
      <c r="L479" s="20" t="str">
        <f t="shared" si="71"/>
        <v/>
      </c>
      <c r="M479" s="30"/>
      <c r="N479" s="26" t="str">
        <f t="shared" si="72"/>
        <v/>
      </c>
      <c r="O479" s="20" t="str">
        <f t="shared" si="73"/>
        <v/>
      </c>
      <c r="P479" s="31" t="str">
        <f t="shared" si="74"/>
        <v/>
      </c>
      <c r="Q479" s="32" t="str">
        <f t="shared" si="75"/>
        <v/>
      </c>
      <c r="R479" t="str">
        <f t="shared" si="76"/>
        <v/>
      </c>
      <c r="S479" s="20" t="str">
        <f t="shared" si="77"/>
        <v/>
      </c>
      <c r="T479" s="20"/>
      <c r="U479" t="str">
        <f t="shared" si="78"/>
        <v/>
      </c>
      <c r="V479" s="20"/>
      <c r="W479" s="20" t="str">
        <f t="shared" si="79"/>
        <v/>
      </c>
      <c r="X479" s="25"/>
      <c r="Y479" s="25"/>
    </row>
    <row r="480" spans="1:25" x14ac:dyDescent="0.25">
      <c r="A480">
        <v>477</v>
      </c>
      <c r="B480" s="25"/>
      <c r="D480" s="30"/>
      <c r="G480" s="30"/>
      <c r="H480" t="str">
        <f t="shared" si="70"/>
        <v/>
      </c>
      <c r="J480" s="20"/>
      <c r="K480" s="20"/>
      <c r="L480" s="20" t="str">
        <f t="shared" si="71"/>
        <v/>
      </c>
      <c r="M480" s="30"/>
      <c r="N480" s="26" t="str">
        <f t="shared" si="72"/>
        <v/>
      </c>
      <c r="O480" s="20" t="str">
        <f t="shared" si="73"/>
        <v/>
      </c>
      <c r="P480" s="31" t="str">
        <f t="shared" si="74"/>
        <v/>
      </c>
      <c r="Q480" s="32" t="str">
        <f t="shared" si="75"/>
        <v/>
      </c>
      <c r="R480" t="str">
        <f t="shared" si="76"/>
        <v/>
      </c>
      <c r="S480" s="20" t="str">
        <f t="shared" si="77"/>
        <v/>
      </c>
      <c r="T480" s="20"/>
      <c r="U480" t="str">
        <f t="shared" si="78"/>
        <v/>
      </c>
      <c r="V480" s="20"/>
      <c r="W480" s="20" t="str">
        <f t="shared" si="79"/>
        <v/>
      </c>
      <c r="X480" s="25"/>
      <c r="Y480" s="25"/>
    </row>
    <row r="481" spans="1:25" x14ac:dyDescent="0.25">
      <c r="A481">
        <v>478</v>
      </c>
      <c r="B481" s="25"/>
      <c r="D481" s="30"/>
      <c r="G481" s="30"/>
      <c r="H481" t="str">
        <f t="shared" si="70"/>
        <v/>
      </c>
      <c r="J481" s="20"/>
      <c r="K481" s="20"/>
      <c r="L481" s="20" t="str">
        <f t="shared" si="71"/>
        <v/>
      </c>
      <c r="M481" s="30"/>
      <c r="N481" s="26" t="str">
        <f t="shared" si="72"/>
        <v/>
      </c>
      <c r="O481" s="20" t="str">
        <f t="shared" si="73"/>
        <v/>
      </c>
      <c r="P481" s="31" t="str">
        <f t="shared" si="74"/>
        <v/>
      </c>
      <c r="Q481" s="32" t="str">
        <f t="shared" si="75"/>
        <v/>
      </c>
      <c r="R481" t="str">
        <f t="shared" si="76"/>
        <v/>
      </c>
      <c r="S481" s="20" t="str">
        <f t="shared" si="77"/>
        <v/>
      </c>
      <c r="T481" s="20"/>
      <c r="U481" t="str">
        <f t="shared" si="78"/>
        <v/>
      </c>
      <c r="V481" s="20"/>
      <c r="W481" s="20" t="str">
        <f t="shared" si="79"/>
        <v/>
      </c>
      <c r="X481" s="25"/>
      <c r="Y481" s="25"/>
    </row>
    <row r="482" spans="1:25" x14ac:dyDescent="0.25">
      <c r="A482">
        <v>479</v>
      </c>
      <c r="B482" s="25"/>
      <c r="D482" s="30"/>
      <c r="G482" s="30"/>
      <c r="H482" t="str">
        <f t="shared" si="70"/>
        <v/>
      </c>
      <c r="J482" s="20"/>
      <c r="K482" s="20"/>
      <c r="L482" s="20" t="str">
        <f t="shared" si="71"/>
        <v/>
      </c>
      <c r="M482" s="30"/>
      <c r="N482" s="26" t="str">
        <f t="shared" si="72"/>
        <v/>
      </c>
      <c r="O482" s="20" t="str">
        <f t="shared" si="73"/>
        <v/>
      </c>
      <c r="P482" s="31" t="str">
        <f t="shared" si="74"/>
        <v/>
      </c>
      <c r="Q482" s="32" t="str">
        <f t="shared" si="75"/>
        <v/>
      </c>
      <c r="R482" t="str">
        <f t="shared" si="76"/>
        <v/>
      </c>
      <c r="S482" s="20" t="str">
        <f t="shared" si="77"/>
        <v/>
      </c>
      <c r="T482" s="20"/>
      <c r="U482" t="str">
        <f t="shared" si="78"/>
        <v/>
      </c>
      <c r="V482" s="20"/>
      <c r="W482" s="20" t="str">
        <f t="shared" si="79"/>
        <v/>
      </c>
      <c r="X482" s="25"/>
      <c r="Y482" s="25"/>
    </row>
    <row r="483" spans="1:25" x14ac:dyDescent="0.25">
      <c r="A483">
        <v>480</v>
      </c>
      <c r="B483" s="25"/>
      <c r="D483" s="30"/>
      <c r="G483" s="30"/>
      <c r="H483" t="str">
        <f t="shared" si="70"/>
        <v/>
      </c>
      <c r="J483" s="20"/>
      <c r="K483" s="20"/>
      <c r="L483" s="20" t="str">
        <f t="shared" si="71"/>
        <v/>
      </c>
      <c r="M483" s="30"/>
      <c r="N483" s="26" t="str">
        <f t="shared" si="72"/>
        <v/>
      </c>
      <c r="O483" s="20" t="str">
        <f t="shared" si="73"/>
        <v/>
      </c>
      <c r="P483" s="31" t="str">
        <f t="shared" si="74"/>
        <v/>
      </c>
      <c r="Q483" s="32" t="str">
        <f t="shared" si="75"/>
        <v/>
      </c>
      <c r="R483" t="str">
        <f t="shared" si="76"/>
        <v/>
      </c>
      <c r="S483" s="20" t="str">
        <f t="shared" si="77"/>
        <v/>
      </c>
      <c r="T483" s="20"/>
      <c r="U483" t="str">
        <f t="shared" si="78"/>
        <v/>
      </c>
      <c r="V483" s="20"/>
      <c r="W483" s="20" t="str">
        <f t="shared" si="79"/>
        <v/>
      </c>
      <c r="X483" s="25"/>
      <c r="Y483" s="25"/>
    </row>
    <row r="484" spans="1:25" x14ac:dyDescent="0.25">
      <c r="A484">
        <v>481</v>
      </c>
      <c r="B484" s="25"/>
      <c r="D484" s="30"/>
      <c r="G484" s="30"/>
      <c r="H484" t="str">
        <f t="shared" si="70"/>
        <v/>
      </c>
      <c r="J484" s="20"/>
      <c r="K484" s="20"/>
      <c r="L484" s="20" t="str">
        <f t="shared" si="71"/>
        <v/>
      </c>
      <c r="M484" s="30"/>
      <c r="N484" s="26" t="str">
        <f t="shared" si="72"/>
        <v/>
      </c>
      <c r="O484" s="20" t="str">
        <f t="shared" si="73"/>
        <v/>
      </c>
      <c r="P484" s="31" t="str">
        <f t="shared" si="74"/>
        <v/>
      </c>
      <c r="Q484" s="32" t="str">
        <f t="shared" si="75"/>
        <v/>
      </c>
      <c r="R484" t="str">
        <f t="shared" si="76"/>
        <v/>
      </c>
      <c r="S484" s="20" t="str">
        <f t="shared" si="77"/>
        <v/>
      </c>
      <c r="T484" s="20"/>
      <c r="U484" t="str">
        <f t="shared" si="78"/>
        <v/>
      </c>
      <c r="V484" s="20"/>
      <c r="W484" s="20" t="str">
        <f t="shared" si="79"/>
        <v/>
      </c>
      <c r="X484" s="25"/>
      <c r="Y484" s="25"/>
    </row>
    <row r="485" spans="1:25" x14ac:dyDescent="0.25">
      <c r="A485">
        <v>482</v>
      </c>
      <c r="B485" s="25"/>
      <c r="D485" s="30"/>
      <c r="G485" s="30"/>
      <c r="H485" t="str">
        <f t="shared" si="70"/>
        <v/>
      </c>
      <c r="J485" s="20"/>
      <c r="K485" s="20"/>
      <c r="L485" s="20" t="str">
        <f t="shared" si="71"/>
        <v/>
      </c>
      <c r="M485" s="30"/>
      <c r="N485" s="26" t="str">
        <f t="shared" si="72"/>
        <v/>
      </c>
      <c r="O485" s="20" t="str">
        <f t="shared" si="73"/>
        <v/>
      </c>
      <c r="P485" s="31" t="str">
        <f t="shared" si="74"/>
        <v/>
      </c>
      <c r="Q485" s="32" t="str">
        <f t="shared" si="75"/>
        <v/>
      </c>
      <c r="R485" t="str">
        <f t="shared" si="76"/>
        <v/>
      </c>
      <c r="S485" s="20" t="str">
        <f t="shared" si="77"/>
        <v/>
      </c>
      <c r="T485" s="20"/>
      <c r="U485" t="str">
        <f t="shared" si="78"/>
        <v/>
      </c>
      <c r="V485" s="20"/>
      <c r="W485" s="20" t="str">
        <f t="shared" si="79"/>
        <v/>
      </c>
      <c r="X485" s="25"/>
      <c r="Y485" s="25"/>
    </row>
    <row r="486" spans="1:25" x14ac:dyDescent="0.25">
      <c r="A486">
        <v>483</v>
      </c>
      <c r="B486" s="25"/>
      <c r="D486" s="30"/>
      <c r="G486" s="30"/>
      <c r="H486" t="str">
        <f t="shared" si="70"/>
        <v/>
      </c>
      <c r="J486" s="20"/>
      <c r="K486" s="20"/>
      <c r="L486" s="20" t="str">
        <f t="shared" si="71"/>
        <v/>
      </c>
      <c r="M486" s="30"/>
      <c r="N486" s="26" t="str">
        <f t="shared" si="72"/>
        <v/>
      </c>
      <c r="O486" s="20" t="str">
        <f t="shared" si="73"/>
        <v/>
      </c>
      <c r="P486" s="31" t="str">
        <f t="shared" si="74"/>
        <v/>
      </c>
      <c r="Q486" s="32" t="str">
        <f t="shared" si="75"/>
        <v/>
      </c>
      <c r="R486" t="str">
        <f t="shared" si="76"/>
        <v/>
      </c>
      <c r="S486" s="20" t="str">
        <f t="shared" si="77"/>
        <v/>
      </c>
      <c r="T486" s="20"/>
      <c r="U486" t="str">
        <f t="shared" si="78"/>
        <v/>
      </c>
      <c r="V486" s="20"/>
      <c r="W486" s="20" t="str">
        <f t="shared" si="79"/>
        <v/>
      </c>
      <c r="X486" s="25"/>
      <c r="Y486" s="25"/>
    </row>
    <row r="487" spans="1:25" x14ac:dyDescent="0.25">
      <c r="A487">
        <v>484</v>
      </c>
      <c r="B487" s="25"/>
      <c r="D487" s="30"/>
      <c r="G487" s="30"/>
      <c r="H487" t="str">
        <f t="shared" si="70"/>
        <v/>
      </c>
      <c r="J487" s="20"/>
      <c r="K487" s="20"/>
      <c r="L487" s="20" t="str">
        <f t="shared" si="71"/>
        <v/>
      </c>
      <c r="M487" s="30"/>
      <c r="N487" s="26" t="str">
        <f t="shared" si="72"/>
        <v/>
      </c>
      <c r="O487" s="20" t="str">
        <f t="shared" si="73"/>
        <v/>
      </c>
      <c r="P487" s="31" t="str">
        <f t="shared" si="74"/>
        <v/>
      </c>
      <c r="Q487" s="32" t="str">
        <f t="shared" si="75"/>
        <v/>
      </c>
      <c r="R487" t="str">
        <f t="shared" si="76"/>
        <v/>
      </c>
      <c r="S487" s="20" t="str">
        <f t="shared" si="77"/>
        <v/>
      </c>
      <c r="T487" s="20"/>
      <c r="U487" t="str">
        <f t="shared" si="78"/>
        <v/>
      </c>
      <c r="V487" s="20"/>
      <c r="W487" s="20" t="str">
        <f t="shared" si="79"/>
        <v/>
      </c>
      <c r="X487" s="25"/>
      <c r="Y487" s="25"/>
    </row>
    <row r="488" spans="1:25" x14ac:dyDescent="0.25">
      <c r="A488">
        <v>485</v>
      </c>
      <c r="B488" s="25"/>
      <c r="D488" s="30"/>
      <c r="G488" s="30"/>
      <c r="H488" t="str">
        <f t="shared" si="70"/>
        <v/>
      </c>
      <c r="J488" s="20"/>
      <c r="K488" s="20"/>
      <c r="L488" s="20" t="str">
        <f t="shared" si="71"/>
        <v/>
      </c>
      <c r="M488" s="30"/>
      <c r="N488" s="26" t="str">
        <f t="shared" si="72"/>
        <v/>
      </c>
      <c r="O488" s="20" t="str">
        <f t="shared" si="73"/>
        <v/>
      </c>
      <c r="P488" s="31" t="str">
        <f t="shared" si="74"/>
        <v/>
      </c>
      <c r="Q488" s="32" t="str">
        <f t="shared" si="75"/>
        <v/>
      </c>
      <c r="R488" t="str">
        <f t="shared" si="76"/>
        <v/>
      </c>
      <c r="S488" s="20" t="str">
        <f t="shared" si="77"/>
        <v/>
      </c>
      <c r="T488" s="20"/>
      <c r="U488" t="str">
        <f t="shared" si="78"/>
        <v/>
      </c>
      <c r="V488" s="20"/>
      <c r="W488" s="20" t="str">
        <f t="shared" si="79"/>
        <v/>
      </c>
      <c r="X488" s="25"/>
      <c r="Y488" s="25"/>
    </row>
    <row r="489" spans="1:25" x14ac:dyDescent="0.25">
      <c r="A489">
        <v>486</v>
      </c>
      <c r="B489" s="25"/>
      <c r="D489" s="30"/>
      <c r="G489" s="30"/>
      <c r="H489" t="str">
        <f t="shared" si="70"/>
        <v/>
      </c>
      <c r="J489" s="20"/>
      <c r="K489" s="20"/>
      <c r="L489" s="20" t="str">
        <f t="shared" si="71"/>
        <v/>
      </c>
      <c r="M489" s="30"/>
      <c r="N489" s="26" t="str">
        <f t="shared" si="72"/>
        <v/>
      </c>
      <c r="O489" s="20" t="str">
        <f t="shared" si="73"/>
        <v/>
      </c>
      <c r="P489" s="31" t="str">
        <f t="shared" si="74"/>
        <v/>
      </c>
      <c r="Q489" s="32" t="str">
        <f t="shared" si="75"/>
        <v/>
      </c>
      <c r="R489" t="str">
        <f t="shared" si="76"/>
        <v/>
      </c>
      <c r="S489" s="20" t="str">
        <f t="shared" si="77"/>
        <v/>
      </c>
      <c r="T489" s="20"/>
      <c r="U489" t="str">
        <f t="shared" si="78"/>
        <v/>
      </c>
      <c r="V489" s="20"/>
      <c r="W489" s="20" t="str">
        <f t="shared" si="79"/>
        <v/>
      </c>
      <c r="X489" s="25"/>
      <c r="Y489" s="25"/>
    </row>
    <row r="490" spans="1:25" x14ac:dyDescent="0.25">
      <c r="A490">
        <v>487</v>
      </c>
      <c r="B490" s="25"/>
      <c r="D490" s="30"/>
      <c r="G490" s="30"/>
      <c r="H490" t="str">
        <f t="shared" si="70"/>
        <v/>
      </c>
      <c r="J490" s="20"/>
      <c r="K490" s="20"/>
      <c r="L490" s="20" t="str">
        <f t="shared" si="71"/>
        <v/>
      </c>
      <c r="M490" s="30"/>
      <c r="N490" s="26" t="str">
        <f t="shared" si="72"/>
        <v/>
      </c>
      <c r="O490" s="20" t="str">
        <f t="shared" si="73"/>
        <v/>
      </c>
      <c r="P490" s="31" t="str">
        <f t="shared" si="74"/>
        <v/>
      </c>
      <c r="Q490" s="32" t="str">
        <f t="shared" si="75"/>
        <v/>
      </c>
      <c r="R490" t="str">
        <f t="shared" si="76"/>
        <v/>
      </c>
      <c r="S490" s="20" t="str">
        <f t="shared" si="77"/>
        <v/>
      </c>
      <c r="T490" s="20"/>
      <c r="U490" t="str">
        <f t="shared" si="78"/>
        <v/>
      </c>
      <c r="V490" s="20"/>
      <c r="W490" s="20" t="str">
        <f t="shared" si="79"/>
        <v/>
      </c>
      <c r="X490" s="25"/>
      <c r="Y490" s="25"/>
    </row>
    <row r="491" spans="1:25" x14ac:dyDescent="0.25">
      <c r="A491">
        <v>488</v>
      </c>
      <c r="B491" s="25"/>
      <c r="D491" s="30"/>
      <c r="G491" s="30"/>
      <c r="H491" t="str">
        <f t="shared" si="70"/>
        <v/>
      </c>
      <c r="J491" s="20"/>
      <c r="K491" s="20"/>
      <c r="L491" s="20" t="str">
        <f t="shared" si="71"/>
        <v/>
      </c>
      <c r="M491" s="30"/>
      <c r="N491" s="26" t="str">
        <f t="shared" si="72"/>
        <v/>
      </c>
      <c r="O491" s="20" t="str">
        <f t="shared" si="73"/>
        <v/>
      </c>
      <c r="P491" s="31" t="str">
        <f t="shared" si="74"/>
        <v/>
      </c>
      <c r="Q491" s="32" t="str">
        <f t="shared" si="75"/>
        <v/>
      </c>
      <c r="R491" t="str">
        <f t="shared" si="76"/>
        <v/>
      </c>
      <c r="S491" s="20" t="str">
        <f t="shared" si="77"/>
        <v/>
      </c>
      <c r="T491" s="20"/>
      <c r="U491" t="str">
        <f t="shared" si="78"/>
        <v/>
      </c>
      <c r="V491" s="20"/>
      <c r="W491" s="20" t="str">
        <f t="shared" si="79"/>
        <v/>
      </c>
      <c r="X491" s="25"/>
      <c r="Y491" s="25"/>
    </row>
    <row r="492" spans="1:25" x14ac:dyDescent="0.25">
      <c r="A492">
        <v>489</v>
      </c>
      <c r="B492" s="25"/>
      <c r="D492" s="30"/>
      <c r="G492" s="30"/>
      <c r="H492" t="str">
        <f t="shared" si="70"/>
        <v/>
      </c>
      <c r="J492" s="20"/>
      <c r="K492" s="20"/>
      <c r="L492" s="20" t="str">
        <f t="shared" si="71"/>
        <v/>
      </c>
      <c r="M492" s="30"/>
      <c r="N492" s="26" t="str">
        <f t="shared" si="72"/>
        <v/>
      </c>
      <c r="O492" s="20" t="str">
        <f t="shared" si="73"/>
        <v/>
      </c>
      <c r="P492" s="31" t="str">
        <f t="shared" si="74"/>
        <v/>
      </c>
      <c r="Q492" s="32" t="str">
        <f t="shared" si="75"/>
        <v/>
      </c>
      <c r="R492" t="str">
        <f t="shared" si="76"/>
        <v/>
      </c>
      <c r="S492" s="20" t="str">
        <f t="shared" si="77"/>
        <v/>
      </c>
      <c r="T492" s="20"/>
      <c r="U492" t="str">
        <f t="shared" si="78"/>
        <v/>
      </c>
      <c r="V492" s="20"/>
      <c r="W492" s="20" t="str">
        <f t="shared" si="79"/>
        <v/>
      </c>
      <c r="X492" s="25"/>
      <c r="Y492" s="25"/>
    </row>
    <row r="493" spans="1:25" x14ac:dyDescent="0.25">
      <c r="A493">
        <v>490</v>
      </c>
      <c r="B493" s="25"/>
      <c r="D493" s="30"/>
      <c r="G493" s="30"/>
      <c r="H493" t="str">
        <f t="shared" si="70"/>
        <v/>
      </c>
      <c r="J493" s="20"/>
      <c r="K493" s="20"/>
      <c r="L493" s="20" t="str">
        <f t="shared" si="71"/>
        <v/>
      </c>
      <c r="M493" s="30"/>
      <c r="N493" s="26" t="str">
        <f t="shared" si="72"/>
        <v/>
      </c>
      <c r="O493" s="20" t="str">
        <f t="shared" si="73"/>
        <v/>
      </c>
      <c r="P493" s="31" t="str">
        <f t="shared" si="74"/>
        <v/>
      </c>
      <c r="Q493" s="32" t="str">
        <f t="shared" si="75"/>
        <v/>
      </c>
      <c r="R493" t="str">
        <f t="shared" si="76"/>
        <v/>
      </c>
      <c r="S493" s="20" t="str">
        <f t="shared" si="77"/>
        <v/>
      </c>
      <c r="T493" s="20"/>
      <c r="U493" t="str">
        <f t="shared" si="78"/>
        <v/>
      </c>
      <c r="V493" s="20"/>
      <c r="W493" s="20" t="str">
        <f t="shared" si="79"/>
        <v/>
      </c>
      <c r="X493" s="25"/>
      <c r="Y493" s="25"/>
    </row>
    <row r="494" spans="1:25" x14ac:dyDescent="0.25">
      <c r="A494">
        <v>491</v>
      </c>
      <c r="B494" s="25"/>
      <c r="D494" s="30"/>
      <c r="G494" s="30"/>
      <c r="H494" t="str">
        <f t="shared" si="70"/>
        <v/>
      </c>
      <c r="J494" s="20"/>
      <c r="K494" s="20"/>
      <c r="L494" s="20" t="str">
        <f t="shared" si="71"/>
        <v/>
      </c>
      <c r="M494" s="30"/>
      <c r="N494" s="26" t="str">
        <f t="shared" si="72"/>
        <v/>
      </c>
      <c r="O494" s="20" t="str">
        <f t="shared" si="73"/>
        <v/>
      </c>
      <c r="P494" s="31" t="str">
        <f t="shared" si="74"/>
        <v/>
      </c>
      <c r="Q494" s="32" t="str">
        <f t="shared" si="75"/>
        <v/>
      </c>
      <c r="R494" t="str">
        <f t="shared" si="76"/>
        <v/>
      </c>
      <c r="S494" s="20" t="str">
        <f t="shared" si="77"/>
        <v/>
      </c>
      <c r="T494" s="20"/>
      <c r="U494" t="str">
        <f t="shared" si="78"/>
        <v/>
      </c>
      <c r="V494" s="20"/>
      <c r="W494" s="20" t="str">
        <f t="shared" si="79"/>
        <v/>
      </c>
      <c r="X494" s="25"/>
      <c r="Y494" s="25"/>
    </row>
    <row r="495" spans="1:25" x14ac:dyDescent="0.25">
      <c r="A495">
        <v>492</v>
      </c>
      <c r="B495" s="25"/>
      <c r="D495" s="30"/>
      <c r="G495" s="30"/>
      <c r="H495" t="str">
        <f t="shared" si="70"/>
        <v/>
      </c>
      <c r="J495" s="20"/>
      <c r="K495" s="20"/>
      <c r="L495" s="20" t="str">
        <f t="shared" si="71"/>
        <v/>
      </c>
      <c r="M495" s="30"/>
      <c r="N495" s="26" t="str">
        <f t="shared" si="72"/>
        <v/>
      </c>
      <c r="O495" s="20" t="str">
        <f t="shared" si="73"/>
        <v/>
      </c>
      <c r="P495" s="31" t="str">
        <f t="shared" si="74"/>
        <v/>
      </c>
      <c r="Q495" s="32" t="str">
        <f t="shared" si="75"/>
        <v/>
      </c>
      <c r="R495" t="str">
        <f t="shared" si="76"/>
        <v/>
      </c>
      <c r="S495" s="20" t="str">
        <f t="shared" si="77"/>
        <v/>
      </c>
      <c r="T495" s="20"/>
      <c r="U495" t="str">
        <f t="shared" si="78"/>
        <v/>
      </c>
      <c r="V495" s="20"/>
      <c r="W495" s="20" t="str">
        <f t="shared" si="79"/>
        <v/>
      </c>
      <c r="X495" s="25"/>
      <c r="Y495" s="25"/>
    </row>
    <row r="496" spans="1:25" x14ac:dyDescent="0.25">
      <c r="A496">
        <v>493</v>
      </c>
      <c r="B496" s="25"/>
      <c r="D496" s="30"/>
      <c r="G496" s="30"/>
      <c r="H496" t="str">
        <f t="shared" si="70"/>
        <v/>
      </c>
      <c r="J496" s="20"/>
      <c r="K496" s="20"/>
      <c r="L496" s="20" t="str">
        <f t="shared" si="71"/>
        <v/>
      </c>
      <c r="M496" s="30"/>
      <c r="N496" s="26" t="str">
        <f t="shared" si="72"/>
        <v/>
      </c>
      <c r="O496" s="20" t="str">
        <f t="shared" si="73"/>
        <v/>
      </c>
      <c r="P496" s="31" t="str">
        <f t="shared" si="74"/>
        <v/>
      </c>
      <c r="Q496" s="32" t="str">
        <f t="shared" si="75"/>
        <v/>
      </c>
      <c r="R496" t="str">
        <f t="shared" si="76"/>
        <v/>
      </c>
      <c r="S496" s="20" t="str">
        <f t="shared" si="77"/>
        <v/>
      </c>
      <c r="T496" s="20"/>
      <c r="U496" t="str">
        <f t="shared" si="78"/>
        <v/>
      </c>
      <c r="V496" s="20"/>
      <c r="W496" s="20" t="str">
        <f t="shared" si="79"/>
        <v/>
      </c>
      <c r="X496" s="25"/>
      <c r="Y496" s="25"/>
    </row>
    <row r="497" spans="1:25" x14ac:dyDescent="0.25">
      <c r="A497">
        <v>494</v>
      </c>
      <c r="B497" s="25"/>
      <c r="D497" s="30"/>
      <c r="G497" s="30"/>
      <c r="H497" t="str">
        <f t="shared" si="70"/>
        <v/>
      </c>
      <c r="J497" s="20"/>
      <c r="K497" s="20"/>
      <c r="L497" s="20" t="str">
        <f t="shared" si="71"/>
        <v/>
      </c>
      <c r="M497" s="30"/>
      <c r="N497" s="26" t="str">
        <f t="shared" si="72"/>
        <v/>
      </c>
      <c r="O497" s="20" t="str">
        <f t="shared" si="73"/>
        <v/>
      </c>
      <c r="P497" s="31" t="str">
        <f t="shared" si="74"/>
        <v/>
      </c>
      <c r="Q497" s="32" t="str">
        <f t="shared" si="75"/>
        <v/>
      </c>
      <c r="R497" t="str">
        <f t="shared" si="76"/>
        <v/>
      </c>
      <c r="S497" s="20" t="str">
        <f t="shared" si="77"/>
        <v/>
      </c>
      <c r="T497" s="20"/>
      <c r="U497" t="str">
        <f t="shared" si="78"/>
        <v/>
      </c>
      <c r="V497" s="20"/>
      <c r="W497" s="20" t="str">
        <f t="shared" si="79"/>
        <v/>
      </c>
      <c r="X497" s="25"/>
      <c r="Y497" s="25"/>
    </row>
    <row r="498" spans="1:25" x14ac:dyDescent="0.25">
      <c r="A498">
        <v>495</v>
      </c>
      <c r="B498" s="25"/>
      <c r="D498" s="30"/>
      <c r="G498" s="30"/>
      <c r="H498" t="str">
        <f t="shared" si="70"/>
        <v/>
      </c>
      <c r="J498" s="20"/>
      <c r="K498" s="20"/>
      <c r="L498" s="20" t="str">
        <f t="shared" si="71"/>
        <v/>
      </c>
      <c r="M498" s="30"/>
      <c r="N498" s="26" t="str">
        <f t="shared" si="72"/>
        <v/>
      </c>
      <c r="O498" s="20" t="str">
        <f t="shared" si="73"/>
        <v/>
      </c>
      <c r="P498" s="31" t="str">
        <f t="shared" si="74"/>
        <v/>
      </c>
      <c r="Q498" s="32" t="str">
        <f t="shared" si="75"/>
        <v/>
      </c>
      <c r="R498" t="str">
        <f t="shared" si="76"/>
        <v/>
      </c>
      <c r="S498" s="20" t="str">
        <f t="shared" si="77"/>
        <v/>
      </c>
      <c r="T498" s="20"/>
      <c r="U498" t="str">
        <f t="shared" si="78"/>
        <v/>
      </c>
      <c r="V498" s="20"/>
      <c r="W498" s="20" t="str">
        <f t="shared" si="79"/>
        <v/>
      </c>
      <c r="X498" s="25"/>
      <c r="Y498" s="25"/>
    </row>
    <row r="499" spans="1:25" x14ac:dyDescent="0.25">
      <c r="A499">
        <v>496</v>
      </c>
      <c r="B499" s="25"/>
      <c r="D499" s="30"/>
      <c r="G499" s="30"/>
      <c r="H499" t="str">
        <f t="shared" si="70"/>
        <v/>
      </c>
      <c r="J499" s="20"/>
      <c r="K499" s="20"/>
      <c r="L499" s="20" t="str">
        <f t="shared" si="71"/>
        <v/>
      </c>
      <c r="M499" s="30"/>
      <c r="N499" s="26" t="str">
        <f t="shared" si="72"/>
        <v/>
      </c>
      <c r="O499" s="20" t="str">
        <f t="shared" si="73"/>
        <v/>
      </c>
      <c r="P499" s="31" t="str">
        <f t="shared" si="74"/>
        <v/>
      </c>
      <c r="Q499" s="32" t="str">
        <f t="shared" si="75"/>
        <v/>
      </c>
      <c r="R499" t="str">
        <f t="shared" si="76"/>
        <v/>
      </c>
      <c r="S499" s="20" t="str">
        <f t="shared" si="77"/>
        <v/>
      </c>
      <c r="T499" s="20"/>
      <c r="U499" t="str">
        <f t="shared" si="78"/>
        <v/>
      </c>
      <c r="V499" s="20"/>
      <c r="W499" s="20" t="str">
        <f t="shared" si="79"/>
        <v/>
      </c>
      <c r="X499" s="25"/>
      <c r="Y499" s="25"/>
    </row>
    <row r="500" spans="1:25" x14ac:dyDescent="0.25">
      <c r="A500">
        <v>497</v>
      </c>
      <c r="B500" s="25"/>
      <c r="D500" s="30"/>
      <c r="G500" s="30"/>
      <c r="H500" t="str">
        <f t="shared" si="70"/>
        <v/>
      </c>
      <c r="J500" s="20"/>
      <c r="K500" s="20"/>
      <c r="L500" s="20" t="str">
        <f t="shared" si="71"/>
        <v/>
      </c>
      <c r="M500" s="30"/>
      <c r="N500" s="26" t="str">
        <f t="shared" si="72"/>
        <v/>
      </c>
      <c r="O500" s="20" t="str">
        <f t="shared" si="73"/>
        <v/>
      </c>
      <c r="P500" s="31" t="str">
        <f t="shared" si="74"/>
        <v/>
      </c>
      <c r="Q500" s="32" t="str">
        <f t="shared" si="75"/>
        <v/>
      </c>
      <c r="R500" t="str">
        <f t="shared" si="76"/>
        <v/>
      </c>
      <c r="S500" s="20" t="str">
        <f t="shared" si="77"/>
        <v/>
      </c>
      <c r="T500" s="20"/>
      <c r="U500" t="str">
        <f t="shared" si="78"/>
        <v/>
      </c>
      <c r="V500" s="20"/>
      <c r="W500" s="20" t="str">
        <f t="shared" si="79"/>
        <v/>
      </c>
      <c r="X500" s="25"/>
      <c r="Y500" s="25"/>
    </row>
    <row r="501" spans="1:25" x14ac:dyDescent="0.25">
      <c r="A501">
        <v>498</v>
      </c>
      <c r="B501" s="25"/>
      <c r="D501" s="30"/>
      <c r="G501" s="30"/>
      <c r="H501" t="str">
        <f t="shared" si="70"/>
        <v/>
      </c>
      <c r="J501" s="20"/>
      <c r="K501" s="20"/>
      <c r="L501" s="20" t="str">
        <f t="shared" si="71"/>
        <v/>
      </c>
      <c r="M501" s="30"/>
      <c r="N501" s="26" t="str">
        <f t="shared" si="72"/>
        <v/>
      </c>
      <c r="O501" s="20" t="str">
        <f t="shared" si="73"/>
        <v/>
      </c>
      <c r="P501" s="31" t="str">
        <f t="shared" si="74"/>
        <v/>
      </c>
      <c r="Q501" s="32" t="str">
        <f t="shared" si="75"/>
        <v/>
      </c>
      <c r="R501" t="str">
        <f t="shared" si="76"/>
        <v/>
      </c>
      <c r="S501" s="20" t="str">
        <f t="shared" si="77"/>
        <v/>
      </c>
      <c r="T501" s="20"/>
      <c r="U501" t="str">
        <f t="shared" si="78"/>
        <v/>
      </c>
      <c r="V501" s="20"/>
      <c r="W501" s="20" t="str">
        <f t="shared" si="79"/>
        <v/>
      </c>
      <c r="X501" s="25"/>
      <c r="Y501" s="25"/>
    </row>
    <row r="502" spans="1:25" x14ac:dyDescent="0.25">
      <c r="A502">
        <v>499</v>
      </c>
      <c r="B502" s="25"/>
      <c r="D502" s="30"/>
      <c r="G502" s="30"/>
      <c r="H502" t="str">
        <f t="shared" si="70"/>
        <v/>
      </c>
      <c r="J502" s="20"/>
      <c r="K502" s="20"/>
      <c r="L502" s="20" t="str">
        <f t="shared" si="71"/>
        <v/>
      </c>
      <c r="M502" s="30"/>
      <c r="N502" s="26" t="str">
        <f t="shared" si="72"/>
        <v/>
      </c>
      <c r="O502" s="20" t="str">
        <f t="shared" si="73"/>
        <v/>
      </c>
      <c r="P502" s="31" t="str">
        <f t="shared" si="74"/>
        <v/>
      </c>
      <c r="Q502" s="32" t="str">
        <f t="shared" si="75"/>
        <v/>
      </c>
      <c r="R502" t="str">
        <f t="shared" si="76"/>
        <v/>
      </c>
      <c r="S502" s="20" t="str">
        <f t="shared" si="77"/>
        <v/>
      </c>
      <c r="T502" s="20"/>
      <c r="U502" t="str">
        <f t="shared" si="78"/>
        <v/>
      </c>
      <c r="V502" s="20"/>
      <c r="W502" s="20" t="str">
        <f t="shared" si="79"/>
        <v/>
      </c>
      <c r="X502" s="25"/>
      <c r="Y502" s="25"/>
    </row>
    <row r="503" spans="1:25" x14ac:dyDescent="0.25">
      <c r="A503">
        <v>500</v>
      </c>
      <c r="B503" s="25"/>
      <c r="D503" s="30"/>
      <c r="G503" s="30"/>
      <c r="H503" t="str">
        <f t="shared" si="70"/>
        <v/>
      </c>
      <c r="J503" s="20"/>
      <c r="K503" s="20"/>
      <c r="L503" s="20" t="str">
        <f t="shared" si="71"/>
        <v/>
      </c>
      <c r="M503" s="30"/>
      <c r="N503" s="26" t="str">
        <f t="shared" si="72"/>
        <v/>
      </c>
      <c r="O503" s="20" t="str">
        <f t="shared" si="73"/>
        <v/>
      </c>
      <c r="P503" s="31" t="str">
        <f t="shared" si="74"/>
        <v/>
      </c>
      <c r="Q503" s="32" t="str">
        <f t="shared" si="75"/>
        <v/>
      </c>
      <c r="R503" t="str">
        <f t="shared" si="76"/>
        <v/>
      </c>
      <c r="S503" s="20" t="str">
        <f t="shared" si="77"/>
        <v/>
      </c>
      <c r="T503" s="20"/>
      <c r="U503" t="str">
        <f t="shared" si="78"/>
        <v/>
      </c>
      <c r="V503" s="20"/>
      <c r="W503" s="20" t="str">
        <f t="shared" si="79"/>
        <v/>
      </c>
      <c r="X503" s="25"/>
      <c r="Y503" s="25"/>
    </row>
  </sheetData>
  <dataValidations count="5">
    <dataValidation type="list" allowBlank="1" showInputMessage="1" showErrorMessage="1" sqref="F4:F503" xr:uid="{E5EFB0E5-35F9-4548-8D3F-8BE5F0CAAE25}">
      <mc:AlternateContent xmlns:x12ac="http://schemas.microsoft.com/office/spreadsheetml/2011/1/ac" xmlns:mc="http://schemas.openxmlformats.org/markup-compatibility/2006">
        <mc:Choice Requires="x12ac">
          <x12ac:list>"FACTURA,RHE,NOTA DE CREDITO,RECIBO,RENDICION"</x12ac:list>
        </mc:Choice>
        <mc:Fallback>
          <formula1>"FACTURA,RHE,NOTA DE CREDITO,RECIBO,RENDICION"</formula1>
        </mc:Fallback>
      </mc:AlternateContent>
    </dataValidation>
    <dataValidation type="list" allowBlank="1" showInputMessage="1" showErrorMessage="1" sqref="G4:G503" xr:uid="{9DEC7B61-D1EB-41B6-BD7E-7ED44829EE48}">
      <formula1>Catalogo_Codigos</formula1>
    </dataValidation>
    <dataValidation type="list" allowBlank="1" showInputMessage="1" showErrorMessage="1" sqref="I4:I503" xr:uid="{0D46C7E9-767F-4556-82D9-CD0C8CFA2707}">
      <mc:AlternateContent xmlns:x12ac="http://schemas.microsoft.com/office/spreadsheetml/2011/1/ac" xmlns:mc="http://schemas.openxmlformats.org/markup-compatibility/2006">
        <mc:Choice Requires="x12ac">
          <x12ac:list>"PEN,USD"</x12ac:list>
        </mc:Choice>
        <mc:Fallback>
          <formula1>"PEN,USD"</formula1>
        </mc:Fallback>
      </mc:AlternateContent>
    </dataValidation>
    <dataValidation type="list" allowBlank="1" showInputMessage="1" showErrorMessage="1" sqref="AA4:AA503" xr:uid="{5E273FC6-B6E5-4990-8272-E569246A1666}">
      <mc:AlternateContent xmlns:x12ac="http://schemas.microsoft.com/office/spreadsheetml/2011/1/ac" xmlns:mc="http://schemas.openxmlformats.org/markup-compatibility/2006">
        <mc:Choice Requires="x12ac">
          <x12ac:list>"PENDIENTE,DETRACCION DEPOSITADA,PAGADO,ANULADO"</x12ac:list>
        </mc:Choice>
        <mc:Fallback>
          <formula1>"PENDIENTE,DETRACCION DEPOSITADA,PAGADO,ANULADO"</formula1>
        </mc:Fallback>
      </mc:AlternateContent>
    </dataValidation>
    <dataValidation type="list" allowBlank="1" showInputMessage="1" showErrorMessage="1" sqref="AB4:AB503" xr:uid="{329EFB17-D2EF-4C2B-B2C2-1D9735E9499C}">
      <mc:AlternateContent xmlns:x12ac="http://schemas.microsoft.com/office/spreadsheetml/2011/1/ac" xmlns:mc="http://schemas.openxmlformats.org/markup-compatibility/2006">
        <mc:Choice Requires="x12ac">
          <x12ac:list>"PROVEEDOR,ADMINISTRATIVO"</x12ac:list>
        </mc:Choice>
        <mc:Fallback>
          <formula1>"PROVEEDOR,ADMINISTRATIVO"</formula1>
        </mc:Fallback>
      </mc:AlternateContent>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3"/>
  <sheetViews>
    <sheetView showGridLines="0" zoomScaleNormal="100" workbookViewId="0">
      <pane ySplit="3" topLeftCell="A4" activePane="bottomLeft" state="frozen"/>
      <selection pane="bottomLeft" activeCell="C4" sqref="C4"/>
    </sheetView>
  </sheetViews>
  <sheetFormatPr baseColWidth="10" defaultColWidth="8.7109375" defaultRowHeight="15" x14ac:dyDescent="0.25"/>
  <cols>
    <col min="1" max="1" width="5" customWidth="1"/>
    <col min="2" max="2" width="12" customWidth="1"/>
    <col min="3" max="3" width="16" customWidth="1"/>
    <col min="4" max="4" width="14" customWidth="1"/>
    <col min="5" max="5" width="26" customWidth="1"/>
    <col min="6" max="6" width="8" customWidth="1"/>
    <col min="7" max="7" width="12" customWidth="1"/>
    <col min="8" max="8" width="10" customWidth="1"/>
    <col min="9" max="9" width="12" customWidth="1"/>
    <col min="10" max="10" width="14" customWidth="1"/>
    <col min="11" max="11" width="40" customWidth="1"/>
    <col min="12" max="12" width="10" customWidth="1"/>
    <col min="13" max="14" width="13" customWidth="1"/>
    <col min="15" max="15" width="10" customWidth="1"/>
    <col min="16" max="16" width="12" customWidth="1"/>
    <col min="17" max="17" width="14" customWidth="1"/>
  </cols>
  <sheetData>
    <row r="1" spans="1:17" ht="18" x14ac:dyDescent="0.25">
      <c r="A1" s="1" t="s">
        <v>87</v>
      </c>
    </row>
    <row r="2" spans="1:17" x14ac:dyDescent="0.25">
      <c r="A2" s="5" t="s">
        <v>88</v>
      </c>
    </row>
    <row r="3" spans="1:17" ht="31.5" customHeight="1" x14ac:dyDescent="0.25">
      <c r="A3" s="6" t="s">
        <v>71</v>
      </c>
      <c r="B3" s="6" t="s">
        <v>72</v>
      </c>
      <c r="C3" s="6" t="s">
        <v>73</v>
      </c>
      <c r="D3" s="6" t="s">
        <v>89</v>
      </c>
      <c r="E3" s="6" t="s">
        <v>90</v>
      </c>
      <c r="F3" s="6" t="s">
        <v>76</v>
      </c>
      <c r="G3" s="6" t="s">
        <v>77</v>
      </c>
      <c r="H3" s="6" t="s">
        <v>78</v>
      </c>
      <c r="I3" s="6" t="s">
        <v>79</v>
      </c>
      <c r="J3" s="6" t="s">
        <v>91</v>
      </c>
      <c r="K3" s="6" t="s">
        <v>92</v>
      </c>
      <c r="L3" s="6" t="s">
        <v>81</v>
      </c>
      <c r="M3" s="6" t="s">
        <v>82</v>
      </c>
      <c r="N3" s="6" t="s">
        <v>93</v>
      </c>
      <c r="O3" s="6" t="s">
        <v>94</v>
      </c>
      <c r="P3" s="6" t="s">
        <v>95</v>
      </c>
      <c r="Q3" s="6" t="s">
        <v>85</v>
      </c>
    </row>
    <row r="4" spans="1:17" x14ac:dyDescent="0.25">
      <c r="A4" s="10">
        <v>1</v>
      </c>
      <c r="B4" s="11" t="s">
        <v>96</v>
      </c>
      <c r="C4" s="11" t="s">
        <v>97</v>
      </c>
      <c r="D4" s="11" t="s">
        <v>98</v>
      </c>
      <c r="E4" s="11" t="s">
        <v>99</v>
      </c>
      <c r="F4" s="11" t="s">
        <v>100</v>
      </c>
      <c r="G4" s="12">
        <v>2000</v>
      </c>
      <c r="H4" s="13">
        <f t="shared" ref="H4:H35" si="0">IF(C4="","",G4*0.18)</f>
        <v>360</v>
      </c>
      <c r="I4" s="13">
        <f t="shared" ref="I4:I35" si="1">IF(C4="","",G4+H4)</f>
        <v>2360</v>
      </c>
      <c r="J4" s="11" t="s">
        <v>101</v>
      </c>
      <c r="K4" s="11"/>
      <c r="L4" s="14">
        <f t="shared" ref="L4:L35" si="2">IF(OR(C4="",J4&lt;&gt;"SI",K4=""),IF(C4="","",0),IFERROR(INDEX(Catalogo_Tasas,MATCH(K4,Catalogo_Etiquetas,0)),0))</f>
        <v>0</v>
      </c>
      <c r="M4" s="13">
        <f t="shared" ref="M4:M35" si="3">IF(C4="","",IF(J4="SI",ROUND(I4*L4,2),0))</f>
        <v>0</v>
      </c>
      <c r="N4" s="13">
        <f t="shared" ref="N4:N35" si="4">IF(C4="","",I4-M4)</f>
        <v>2360</v>
      </c>
      <c r="O4" s="11" t="s">
        <v>102</v>
      </c>
      <c r="P4" s="11" t="s">
        <v>103</v>
      </c>
      <c r="Q4" s="11" t="s">
        <v>86</v>
      </c>
    </row>
    <row r="5" spans="1:17" x14ac:dyDescent="0.25">
      <c r="A5" s="15">
        <v>2</v>
      </c>
      <c r="B5" s="16"/>
      <c r="C5" s="16"/>
      <c r="D5" s="16"/>
      <c r="E5" s="16"/>
      <c r="F5" s="16"/>
      <c r="G5" s="17"/>
      <c r="H5" s="18" t="str">
        <f t="shared" si="0"/>
        <v/>
      </c>
      <c r="I5" s="18" t="str">
        <f t="shared" si="1"/>
        <v/>
      </c>
      <c r="J5" s="16"/>
      <c r="K5" s="16"/>
      <c r="L5" s="19" t="str">
        <f t="shared" si="2"/>
        <v/>
      </c>
      <c r="M5" s="18" t="str">
        <f t="shared" si="3"/>
        <v/>
      </c>
      <c r="N5" s="18" t="str">
        <f t="shared" si="4"/>
        <v/>
      </c>
      <c r="O5" s="16"/>
      <c r="P5" s="16"/>
      <c r="Q5" s="16"/>
    </row>
    <row r="6" spans="1:17" x14ac:dyDescent="0.25">
      <c r="A6" s="15">
        <v>3</v>
      </c>
      <c r="B6" s="16"/>
      <c r="C6" s="16"/>
      <c r="D6" s="16"/>
      <c r="E6" s="16"/>
      <c r="F6" s="16"/>
      <c r="G6" s="17"/>
      <c r="H6" s="18" t="str">
        <f t="shared" si="0"/>
        <v/>
      </c>
      <c r="I6" s="18" t="str">
        <f t="shared" si="1"/>
        <v/>
      </c>
      <c r="J6" s="16"/>
      <c r="K6" s="16"/>
      <c r="L6" s="19" t="str">
        <f t="shared" si="2"/>
        <v/>
      </c>
      <c r="M6" s="18" t="str">
        <f t="shared" si="3"/>
        <v/>
      </c>
      <c r="N6" s="18" t="str">
        <f t="shared" si="4"/>
        <v/>
      </c>
      <c r="O6" s="16"/>
      <c r="P6" s="16"/>
      <c r="Q6" s="16"/>
    </row>
    <row r="7" spans="1:17" x14ac:dyDescent="0.25">
      <c r="A7" s="15">
        <v>4</v>
      </c>
      <c r="B7" s="16"/>
      <c r="C7" s="16"/>
      <c r="D7" s="16"/>
      <c r="E7" s="16"/>
      <c r="F7" s="16"/>
      <c r="G7" s="17"/>
      <c r="H7" s="18" t="str">
        <f t="shared" si="0"/>
        <v/>
      </c>
      <c r="I7" s="18" t="str">
        <f t="shared" si="1"/>
        <v/>
      </c>
      <c r="J7" s="16"/>
      <c r="K7" s="16"/>
      <c r="L7" s="19" t="str">
        <f t="shared" si="2"/>
        <v/>
      </c>
      <c r="M7" s="18" t="str">
        <f t="shared" si="3"/>
        <v/>
      </c>
      <c r="N7" s="18" t="str">
        <f t="shared" si="4"/>
        <v/>
      </c>
      <c r="O7" s="16"/>
      <c r="P7" s="16"/>
      <c r="Q7" s="16"/>
    </row>
    <row r="8" spans="1:17" x14ac:dyDescent="0.25">
      <c r="A8" s="15">
        <v>5</v>
      </c>
      <c r="B8" s="16"/>
      <c r="C8" s="16"/>
      <c r="D8" s="16"/>
      <c r="E8" s="16"/>
      <c r="F8" s="16"/>
      <c r="G8" s="17"/>
      <c r="H8" s="18" t="str">
        <f t="shared" si="0"/>
        <v/>
      </c>
      <c r="I8" s="18" t="str">
        <f t="shared" si="1"/>
        <v/>
      </c>
      <c r="J8" s="16"/>
      <c r="K8" s="16"/>
      <c r="L8" s="19" t="str">
        <f t="shared" si="2"/>
        <v/>
      </c>
      <c r="M8" s="18" t="str">
        <f t="shared" si="3"/>
        <v/>
      </c>
      <c r="N8" s="18" t="str">
        <f t="shared" si="4"/>
        <v/>
      </c>
      <c r="O8" s="16"/>
      <c r="P8" s="16"/>
      <c r="Q8" s="16"/>
    </row>
    <row r="9" spans="1:17" x14ac:dyDescent="0.25">
      <c r="A9" s="15">
        <v>6</v>
      </c>
      <c r="B9" s="16"/>
      <c r="C9" s="16"/>
      <c r="D9" s="16"/>
      <c r="E9" s="16"/>
      <c r="F9" s="16"/>
      <c r="G9" s="17"/>
      <c r="H9" s="18" t="str">
        <f t="shared" si="0"/>
        <v/>
      </c>
      <c r="I9" s="18" t="str">
        <f t="shared" si="1"/>
        <v/>
      </c>
      <c r="J9" s="16"/>
      <c r="K9" s="16"/>
      <c r="L9" s="19" t="str">
        <f t="shared" si="2"/>
        <v/>
      </c>
      <c r="M9" s="18" t="str">
        <f t="shared" si="3"/>
        <v/>
      </c>
      <c r="N9" s="18" t="str">
        <f t="shared" si="4"/>
        <v/>
      </c>
      <c r="O9" s="16"/>
      <c r="P9" s="16"/>
      <c r="Q9" s="16"/>
    </row>
    <row r="10" spans="1:17" x14ac:dyDescent="0.25">
      <c r="A10" s="15">
        <v>7</v>
      </c>
      <c r="B10" s="16"/>
      <c r="C10" s="16"/>
      <c r="D10" s="16"/>
      <c r="E10" s="16"/>
      <c r="F10" s="16"/>
      <c r="G10" s="17"/>
      <c r="H10" s="18" t="str">
        <f t="shared" si="0"/>
        <v/>
      </c>
      <c r="I10" s="18" t="str">
        <f t="shared" si="1"/>
        <v/>
      </c>
      <c r="J10" s="16"/>
      <c r="K10" s="16"/>
      <c r="L10" s="19" t="str">
        <f t="shared" si="2"/>
        <v/>
      </c>
      <c r="M10" s="18" t="str">
        <f t="shared" si="3"/>
        <v/>
      </c>
      <c r="N10" s="18" t="str">
        <f t="shared" si="4"/>
        <v/>
      </c>
      <c r="O10" s="16"/>
      <c r="P10" s="16"/>
      <c r="Q10" s="16"/>
    </row>
    <row r="11" spans="1:17" x14ac:dyDescent="0.25">
      <c r="A11" s="15">
        <v>8</v>
      </c>
      <c r="B11" s="16"/>
      <c r="C11" s="16"/>
      <c r="D11" s="16"/>
      <c r="E11" s="16"/>
      <c r="F11" s="16"/>
      <c r="G11" s="17"/>
      <c r="H11" s="18" t="str">
        <f t="shared" si="0"/>
        <v/>
      </c>
      <c r="I11" s="18" t="str">
        <f t="shared" si="1"/>
        <v/>
      </c>
      <c r="J11" s="16"/>
      <c r="K11" s="16"/>
      <c r="L11" s="19" t="str">
        <f t="shared" si="2"/>
        <v/>
      </c>
      <c r="M11" s="18" t="str">
        <f t="shared" si="3"/>
        <v/>
      </c>
      <c r="N11" s="18" t="str">
        <f t="shared" si="4"/>
        <v/>
      </c>
      <c r="O11" s="16"/>
      <c r="P11" s="16"/>
      <c r="Q11" s="16"/>
    </row>
    <row r="12" spans="1:17" x14ac:dyDescent="0.25">
      <c r="A12" s="15">
        <v>9</v>
      </c>
      <c r="B12" s="16"/>
      <c r="C12" s="16"/>
      <c r="D12" s="16"/>
      <c r="E12" s="16"/>
      <c r="F12" s="16"/>
      <c r="G12" s="17"/>
      <c r="H12" s="18" t="str">
        <f t="shared" si="0"/>
        <v/>
      </c>
      <c r="I12" s="18" t="str">
        <f t="shared" si="1"/>
        <v/>
      </c>
      <c r="J12" s="16"/>
      <c r="K12" s="16"/>
      <c r="L12" s="19" t="str">
        <f t="shared" si="2"/>
        <v/>
      </c>
      <c r="M12" s="18" t="str">
        <f t="shared" si="3"/>
        <v/>
      </c>
      <c r="N12" s="18" t="str">
        <f t="shared" si="4"/>
        <v/>
      </c>
      <c r="O12" s="16"/>
      <c r="P12" s="16"/>
      <c r="Q12" s="16"/>
    </row>
    <row r="13" spans="1:17" x14ac:dyDescent="0.25">
      <c r="A13" s="15">
        <v>10</v>
      </c>
      <c r="B13" s="16"/>
      <c r="C13" s="16"/>
      <c r="D13" s="16"/>
      <c r="E13" s="16"/>
      <c r="F13" s="16"/>
      <c r="G13" s="17"/>
      <c r="H13" s="18" t="str">
        <f t="shared" si="0"/>
        <v/>
      </c>
      <c r="I13" s="18" t="str">
        <f t="shared" si="1"/>
        <v/>
      </c>
      <c r="J13" s="16"/>
      <c r="K13" s="16"/>
      <c r="L13" s="19" t="str">
        <f t="shared" si="2"/>
        <v/>
      </c>
      <c r="M13" s="18" t="str">
        <f t="shared" si="3"/>
        <v/>
      </c>
      <c r="N13" s="18" t="str">
        <f t="shared" si="4"/>
        <v/>
      </c>
      <c r="O13" s="16"/>
      <c r="P13" s="16"/>
      <c r="Q13" s="16"/>
    </row>
    <row r="14" spans="1:17" x14ac:dyDescent="0.25">
      <c r="A14" s="15">
        <v>11</v>
      </c>
      <c r="B14" s="16"/>
      <c r="C14" s="16"/>
      <c r="D14" s="16"/>
      <c r="E14" s="16"/>
      <c r="F14" s="16"/>
      <c r="G14" s="17"/>
      <c r="H14" s="18" t="str">
        <f t="shared" si="0"/>
        <v/>
      </c>
      <c r="I14" s="18" t="str">
        <f t="shared" si="1"/>
        <v/>
      </c>
      <c r="J14" s="16"/>
      <c r="K14" s="16"/>
      <c r="L14" s="19" t="str">
        <f t="shared" si="2"/>
        <v/>
      </c>
      <c r="M14" s="18" t="str">
        <f t="shared" si="3"/>
        <v/>
      </c>
      <c r="N14" s="18" t="str">
        <f t="shared" si="4"/>
        <v/>
      </c>
      <c r="O14" s="16"/>
      <c r="P14" s="16"/>
      <c r="Q14" s="16"/>
    </row>
    <row r="15" spans="1:17" x14ac:dyDescent="0.25">
      <c r="A15" s="15">
        <v>12</v>
      </c>
      <c r="B15" s="16"/>
      <c r="C15" s="16"/>
      <c r="D15" s="16"/>
      <c r="E15" s="16"/>
      <c r="F15" s="16"/>
      <c r="G15" s="17"/>
      <c r="H15" s="18" t="str">
        <f t="shared" si="0"/>
        <v/>
      </c>
      <c r="I15" s="18" t="str">
        <f t="shared" si="1"/>
        <v/>
      </c>
      <c r="J15" s="16"/>
      <c r="K15" s="16"/>
      <c r="L15" s="19" t="str">
        <f t="shared" si="2"/>
        <v/>
      </c>
      <c r="M15" s="18" t="str">
        <f t="shared" si="3"/>
        <v/>
      </c>
      <c r="N15" s="18" t="str">
        <f t="shared" si="4"/>
        <v/>
      </c>
      <c r="O15" s="16"/>
      <c r="P15" s="16"/>
      <c r="Q15" s="16"/>
    </row>
    <row r="16" spans="1:17" x14ac:dyDescent="0.25">
      <c r="A16" s="15">
        <v>13</v>
      </c>
      <c r="B16" s="16"/>
      <c r="C16" s="16"/>
      <c r="D16" s="16"/>
      <c r="E16" s="16"/>
      <c r="F16" s="16"/>
      <c r="G16" s="17"/>
      <c r="H16" s="18" t="str">
        <f t="shared" si="0"/>
        <v/>
      </c>
      <c r="I16" s="18" t="str">
        <f t="shared" si="1"/>
        <v/>
      </c>
      <c r="J16" s="16"/>
      <c r="K16" s="16"/>
      <c r="L16" s="19" t="str">
        <f t="shared" si="2"/>
        <v/>
      </c>
      <c r="M16" s="18" t="str">
        <f t="shared" si="3"/>
        <v/>
      </c>
      <c r="N16" s="18" t="str">
        <f t="shared" si="4"/>
        <v/>
      </c>
      <c r="O16" s="16"/>
      <c r="P16" s="16"/>
      <c r="Q16" s="16"/>
    </row>
    <row r="17" spans="1:17" x14ac:dyDescent="0.25">
      <c r="A17" s="15">
        <v>14</v>
      </c>
      <c r="B17" s="16"/>
      <c r="C17" s="16"/>
      <c r="D17" s="16"/>
      <c r="E17" s="16"/>
      <c r="F17" s="16"/>
      <c r="G17" s="17"/>
      <c r="H17" s="18" t="str">
        <f t="shared" si="0"/>
        <v/>
      </c>
      <c r="I17" s="18" t="str">
        <f t="shared" si="1"/>
        <v/>
      </c>
      <c r="J17" s="16"/>
      <c r="K17" s="16"/>
      <c r="L17" s="19" t="str">
        <f t="shared" si="2"/>
        <v/>
      </c>
      <c r="M17" s="18" t="str">
        <f t="shared" si="3"/>
        <v/>
      </c>
      <c r="N17" s="18" t="str">
        <f t="shared" si="4"/>
        <v/>
      </c>
      <c r="O17" s="16"/>
      <c r="P17" s="16"/>
      <c r="Q17" s="16"/>
    </row>
    <row r="18" spans="1:17" x14ac:dyDescent="0.25">
      <c r="A18" s="15">
        <v>15</v>
      </c>
      <c r="B18" s="16"/>
      <c r="C18" s="16"/>
      <c r="D18" s="16"/>
      <c r="E18" s="16"/>
      <c r="F18" s="16"/>
      <c r="G18" s="17"/>
      <c r="H18" s="18" t="str">
        <f t="shared" si="0"/>
        <v/>
      </c>
      <c r="I18" s="18" t="str">
        <f t="shared" si="1"/>
        <v/>
      </c>
      <c r="J18" s="16"/>
      <c r="K18" s="16"/>
      <c r="L18" s="19" t="str">
        <f t="shared" si="2"/>
        <v/>
      </c>
      <c r="M18" s="18" t="str">
        <f t="shared" si="3"/>
        <v/>
      </c>
      <c r="N18" s="18" t="str">
        <f t="shared" si="4"/>
        <v/>
      </c>
      <c r="O18" s="16"/>
      <c r="P18" s="16"/>
      <c r="Q18" s="16"/>
    </row>
    <row r="19" spans="1:17" x14ac:dyDescent="0.25">
      <c r="A19" s="15">
        <v>16</v>
      </c>
      <c r="B19" s="16"/>
      <c r="C19" s="16"/>
      <c r="D19" s="16"/>
      <c r="E19" s="16"/>
      <c r="F19" s="16"/>
      <c r="G19" s="17"/>
      <c r="H19" s="18" t="str">
        <f t="shared" si="0"/>
        <v/>
      </c>
      <c r="I19" s="18" t="str">
        <f t="shared" si="1"/>
        <v/>
      </c>
      <c r="J19" s="16"/>
      <c r="K19" s="16"/>
      <c r="L19" s="19" t="str">
        <f t="shared" si="2"/>
        <v/>
      </c>
      <c r="M19" s="18" t="str">
        <f t="shared" si="3"/>
        <v/>
      </c>
      <c r="N19" s="18" t="str">
        <f t="shared" si="4"/>
        <v/>
      </c>
      <c r="O19" s="16"/>
      <c r="P19" s="16"/>
      <c r="Q19" s="16"/>
    </row>
    <row r="20" spans="1:17" x14ac:dyDescent="0.25">
      <c r="A20" s="15">
        <v>17</v>
      </c>
      <c r="B20" s="16"/>
      <c r="C20" s="16"/>
      <c r="D20" s="16"/>
      <c r="E20" s="16"/>
      <c r="F20" s="16"/>
      <c r="G20" s="17"/>
      <c r="H20" s="18" t="str">
        <f t="shared" si="0"/>
        <v/>
      </c>
      <c r="I20" s="18" t="str">
        <f t="shared" si="1"/>
        <v/>
      </c>
      <c r="J20" s="16"/>
      <c r="K20" s="16"/>
      <c r="L20" s="19" t="str">
        <f t="shared" si="2"/>
        <v/>
      </c>
      <c r="M20" s="18" t="str">
        <f t="shared" si="3"/>
        <v/>
      </c>
      <c r="N20" s="18" t="str">
        <f t="shared" si="4"/>
        <v/>
      </c>
      <c r="O20" s="16"/>
      <c r="P20" s="16"/>
      <c r="Q20" s="16"/>
    </row>
    <row r="21" spans="1:17" x14ac:dyDescent="0.25">
      <c r="A21" s="15">
        <v>18</v>
      </c>
      <c r="B21" s="16"/>
      <c r="C21" s="16"/>
      <c r="D21" s="16"/>
      <c r="E21" s="16"/>
      <c r="F21" s="16"/>
      <c r="G21" s="17"/>
      <c r="H21" s="18" t="str">
        <f t="shared" si="0"/>
        <v/>
      </c>
      <c r="I21" s="18" t="str">
        <f t="shared" si="1"/>
        <v/>
      </c>
      <c r="J21" s="16"/>
      <c r="K21" s="16"/>
      <c r="L21" s="19" t="str">
        <f t="shared" si="2"/>
        <v/>
      </c>
      <c r="M21" s="18" t="str">
        <f t="shared" si="3"/>
        <v/>
      </c>
      <c r="N21" s="18" t="str">
        <f t="shared" si="4"/>
        <v/>
      </c>
      <c r="O21" s="16"/>
      <c r="P21" s="16"/>
      <c r="Q21" s="16"/>
    </row>
    <row r="22" spans="1:17" x14ac:dyDescent="0.25">
      <c r="A22" s="15">
        <v>19</v>
      </c>
      <c r="B22" s="16"/>
      <c r="C22" s="16"/>
      <c r="D22" s="16"/>
      <c r="E22" s="16"/>
      <c r="F22" s="16"/>
      <c r="G22" s="17"/>
      <c r="H22" s="18" t="str">
        <f t="shared" si="0"/>
        <v/>
      </c>
      <c r="I22" s="18" t="str">
        <f t="shared" si="1"/>
        <v/>
      </c>
      <c r="J22" s="16"/>
      <c r="K22" s="16"/>
      <c r="L22" s="19" t="str">
        <f t="shared" si="2"/>
        <v/>
      </c>
      <c r="M22" s="18" t="str">
        <f t="shared" si="3"/>
        <v/>
      </c>
      <c r="N22" s="18" t="str">
        <f t="shared" si="4"/>
        <v/>
      </c>
      <c r="O22" s="16"/>
      <c r="P22" s="16"/>
      <c r="Q22" s="16"/>
    </row>
    <row r="23" spans="1:17" x14ac:dyDescent="0.25">
      <c r="A23" s="15">
        <v>20</v>
      </c>
      <c r="B23" s="16"/>
      <c r="C23" s="16"/>
      <c r="D23" s="16"/>
      <c r="E23" s="16"/>
      <c r="F23" s="16"/>
      <c r="G23" s="17"/>
      <c r="H23" s="18" t="str">
        <f t="shared" si="0"/>
        <v/>
      </c>
      <c r="I23" s="18" t="str">
        <f t="shared" si="1"/>
        <v/>
      </c>
      <c r="J23" s="16"/>
      <c r="K23" s="16"/>
      <c r="L23" s="19" t="str">
        <f t="shared" si="2"/>
        <v/>
      </c>
      <c r="M23" s="18" t="str">
        <f t="shared" si="3"/>
        <v/>
      </c>
      <c r="N23" s="18" t="str">
        <f t="shared" si="4"/>
        <v/>
      </c>
      <c r="O23" s="16"/>
      <c r="P23" s="16"/>
      <c r="Q23" s="16"/>
    </row>
    <row r="24" spans="1:17" x14ac:dyDescent="0.25">
      <c r="A24" s="15">
        <v>21</v>
      </c>
      <c r="B24" s="16"/>
      <c r="C24" s="16"/>
      <c r="D24" s="16"/>
      <c r="E24" s="16"/>
      <c r="F24" s="16"/>
      <c r="G24" s="17"/>
      <c r="H24" s="18" t="str">
        <f t="shared" si="0"/>
        <v/>
      </c>
      <c r="I24" s="18" t="str">
        <f t="shared" si="1"/>
        <v/>
      </c>
      <c r="J24" s="16"/>
      <c r="K24" s="16"/>
      <c r="L24" s="19" t="str">
        <f t="shared" si="2"/>
        <v/>
      </c>
      <c r="M24" s="18" t="str">
        <f t="shared" si="3"/>
        <v/>
      </c>
      <c r="N24" s="18" t="str">
        <f t="shared" si="4"/>
        <v/>
      </c>
      <c r="O24" s="16"/>
      <c r="P24" s="16"/>
      <c r="Q24" s="16"/>
    </row>
    <row r="25" spans="1:17" x14ac:dyDescent="0.25">
      <c r="A25" s="15">
        <v>22</v>
      </c>
      <c r="B25" s="16"/>
      <c r="C25" s="16"/>
      <c r="D25" s="16"/>
      <c r="E25" s="16"/>
      <c r="F25" s="16"/>
      <c r="G25" s="17"/>
      <c r="H25" s="18" t="str">
        <f t="shared" si="0"/>
        <v/>
      </c>
      <c r="I25" s="18" t="str">
        <f t="shared" si="1"/>
        <v/>
      </c>
      <c r="J25" s="16"/>
      <c r="K25" s="16"/>
      <c r="L25" s="19" t="str">
        <f t="shared" si="2"/>
        <v/>
      </c>
      <c r="M25" s="18" t="str">
        <f t="shared" si="3"/>
        <v/>
      </c>
      <c r="N25" s="18" t="str">
        <f t="shared" si="4"/>
        <v/>
      </c>
      <c r="O25" s="16"/>
      <c r="P25" s="16"/>
      <c r="Q25" s="16"/>
    </row>
    <row r="26" spans="1:17" x14ac:dyDescent="0.25">
      <c r="A26" s="15">
        <v>23</v>
      </c>
      <c r="B26" s="16"/>
      <c r="C26" s="16"/>
      <c r="D26" s="16"/>
      <c r="E26" s="16"/>
      <c r="F26" s="16"/>
      <c r="G26" s="17"/>
      <c r="H26" s="18" t="str">
        <f t="shared" si="0"/>
        <v/>
      </c>
      <c r="I26" s="18" t="str">
        <f t="shared" si="1"/>
        <v/>
      </c>
      <c r="J26" s="16"/>
      <c r="K26" s="16"/>
      <c r="L26" s="19" t="str">
        <f t="shared" si="2"/>
        <v/>
      </c>
      <c r="M26" s="18" t="str">
        <f t="shared" si="3"/>
        <v/>
      </c>
      <c r="N26" s="18" t="str">
        <f t="shared" si="4"/>
        <v/>
      </c>
      <c r="O26" s="16"/>
      <c r="P26" s="16"/>
      <c r="Q26" s="16"/>
    </row>
    <row r="27" spans="1:17" x14ac:dyDescent="0.25">
      <c r="A27" s="15">
        <v>24</v>
      </c>
      <c r="B27" s="16"/>
      <c r="C27" s="16"/>
      <c r="D27" s="16"/>
      <c r="E27" s="16"/>
      <c r="F27" s="16"/>
      <c r="G27" s="17"/>
      <c r="H27" s="18" t="str">
        <f t="shared" si="0"/>
        <v/>
      </c>
      <c r="I27" s="18" t="str">
        <f t="shared" si="1"/>
        <v/>
      </c>
      <c r="J27" s="16"/>
      <c r="K27" s="16"/>
      <c r="L27" s="19" t="str">
        <f t="shared" si="2"/>
        <v/>
      </c>
      <c r="M27" s="18" t="str">
        <f t="shared" si="3"/>
        <v/>
      </c>
      <c r="N27" s="18" t="str">
        <f t="shared" si="4"/>
        <v/>
      </c>
      <c r="O27" s="16"/>
      <c r="P27" s="16"/>
      <c r="Q27" s="16"/>
    </row>
    <row r="28" spans="1:17" x14ac:dyDescent="0.25">
      <c r="A28" s="15">
        <v>25</v>
      </c>
      <c r="B28" s="16"/>
      <c r="C28" s="16"/>
      <c r="D28" s="16"/>
      <c r="E28" s="16"/>
      <c r="F28" s="16"/>
      <c r="G28" s="17"/>
      <c r="H28" s="18" t="str">
        <f t="shared" si="0"/>
        <v/>
      </c>
      <c r="I28" s="18" t="str">
        <f t="shared" si="1"/>
        <v/>
      </c>
      <c r="J28" s="16"/>
      <c r="K28" s="16"/>
      <c r="L28" s="19" t="str">
        <f t="shared" si="2"/>
        <v/>
      </c>
      <c r="M28" s="18" t="str">
        <f t="shared" si="3"/>
        <v/>
      </c>
      <c r="N28" s="18" t="str">
        <f t="shared" si="4"/>
        <v/>
      </c>
      <c r="O28" s="16"/>
      <c r="P28" s="16"/>
      <c r="Q28" s="16"/>
    </row>
    <row r="29" spans="1:17" x14ac:dyDescent="0.25">
      <c r="A29" s="15">
        <v>26</v>
      </c>
      <c r="B29" s="16"/>
      <c r="C29" s="16"/>
      <c r="D29" s="16"/>
      <c r="E29" s="16"/>
      <c r="F29" s="16"/>
      <c r="G29" s="17"/>
      <c r="H29" s="18" t="str">
        <f t="shared" si="0"/>
        <v/>
      </c>
      <c r="I29" s="18" t="str">
        <f t="shared" si="1"/>
        <v/>
      </c>
      <c r="J29" s="16"/>
      <c r="K29" s="16"/>
      <c r="L29" s="19" t="str">
        <f t="shared" si="2"/>
        <v/>
      </c>
      <c r="M29" s="18" t="str">
        <f t="shared" si="3"/>
        <v/>
      </c>
      <c r="N29" s="18" t="str">
        <f t="shared" si="4"/>
        <v/>
      </c>
      <c r="O29" s="16"/>
      <c r="P29" s="16"/>
      <c r="Q29" s="16"/>
    </row>
    <row r="30" spans="1:17" x14ac:dyDescent="0.25">
      <c r="A30" s="15">
        <v>27</v>
      </c>
      <c r="B30" s="16"/>
      <c r="C30" s="16"/>
      <c r="D30" s="16"/>
      <c r="E30" s="16"/>
      <c r="F30" s="16"/>
      <c r="G30" s="17"/>
      <c r="H30" s="18" t="str">
        <f t="shared" si="0"/>
        <v/>
      </c>
      <c r="I30" s="18" t="str">
        <f t="shared" si="1"/>
        <v/>
      </c>
      <c r="J30" s="16"/>
      <c r="K30" s="16"/>
      <c r="L30" s="19" t="str">
        <f t="shared" si="2"/>
        <v/>
      </c>
      <c r="M30" s="18" t="str">
        <f t="shared" si="3"/>
        <v/>
      </c>
      <c r="N30" s="18" t="str">
        <f t="shared" si="4"/>
        <v/>
      </c>
      <c r="O30" s="16"/>
      <c r="P30" s="16"/>
      <c r="Q30" s="16"/>
    </row>
    <row r="31" spans="1:17" x14ac:dyDescent="0.25">
      <c r="A31" s="15">
        <v>28</v>
      </c>
      <c r="B31" s="16"/>
      <c r="C31" s="16"/>
      <c r="D31" s="16"/>
      <c r="E31" s="16"/>
      <c r="F31" s="16"/>
      <c r="G31" s="17"/>
      <c r="H31" s="18" t="str">
        <f t="shared" si="0"/>
        <v/>
      </c>
      <c r="I31" s="18" t="str">
        <f t="shared" si="1"/>
        <v/>
      </c>
      <c r="J31" s="16"/>
      <c r="K31" s="16"/>
      <c r="L31" s="19" t="str">
        <f t="shared" si="2"/>
        <v/>
      </c>
      <c r="M31" s="18" t="str">
        <f t="shared" si="3"/>
        <v/>
      </c>
      <c r="N31" s="18" t="str">
        <f t="shared" si="4"/>
        <v/>
      </c>
      <c r="O31" s="16"/>
      <c r="P31" s="16"/>
      <c r="Q31" s="16"/>
    </row>
    <row r="32" spans="1:17" x14ac:dyDescent="0.25">
      <c r="A32" s="15">
        <v>29</v>
      </c>
      <c r="B32" s="16"/>
      <c r="C32" s="16"/>
      <c r="D32" s="16"/>
      <c r="E32" s="16"/>
      <c r="F32" s="16"/>
      <c r="G32" s="17"/>
      <c r="H32" s="18" t="str">
        <f t="shared" si="0"/>
        <v/>
      </c>
      <c r="I32" s="18" t="str">
        <f t="shared" si="1"/>
        <v/>
      </c>
      <c r="J32" s="16"/>
      <c r="K32" s="16"/>
      <c r="L32" s="19" t="str">
        <f t="shared" si="2"/>
        <v/>
      </c>
      <c r="M32" s="18" t="str">
        <f t="shared" si="3"/>
        <v/>
      </c>
      <c r="N32" s="18" t="str">
        <f t="shared" si="4"/>
        <v/>
      </c>
      <c r="O32" s="16"/>
      <c r="P32" s="16"/>
      <c r="Q32" s="16"/>
    </row>
    <row r="33" spans="1:17" x14ac:dyDescent="0.25">
      <c r="A33" s="15">
        <v>30</v>
      </c>
      <c r="B33" s="16"/>
      <c r="C33" s="16"/>
      <c r="D33" s="16"/>
      <c r="E33" s="16"/>
      <c r="F33" s="16"/>
      <c r="G33" s="17"/>
      <c r="H33" s="18" t="str">
        <f t="shared" si="0"/>
        <v/>
      </c>
      <c r="I33" s="18" t="str">
        <f t="shared" si="1"/>
        <v/>
      </c>
      <c r="J33" s="16"/>
      <c r="K33" s="16"/>
      <c r="L33" s="19" t="str">
        <f t="shared" si="2"/>
        <v/>
      </c>
      <c r="M33" s="18" t="str">
        <f t="shared" si="3"/>
        <v/>
      </c>
      <c r="N33" s="18" t="str">
        <f t="shared" si="4"/>
        <v/>
      </c>
      <c r="O33" s="16"/>
      <c r="P33" s="16"/>
      <c r="Q33" s="16"/>
    </row>
    <row r="34" spans="1:17" x14ac:dyDescent="0.25">
      <c r="A34" s="15">
        <v>31</v>
      </c>
      <c r="B34" s="16"/>
      <c r="C34" s="16"/>
      <c r="D34" s="16"/>
      <c r="E34" s="16"/>
      <c r="F34" s="16"/>
      <c r="G34" s="17"/>
      <c r="H34" s="18" t="str">
        <f t="shared" si="0"/>
        <v/>
      </c>
      <c r="I34" s="18" t="str">
        <f t="shared" si="1"/>
        <v/>
      </c>
      <c r="J34" s="16"/>
      <c r="K34" s="16"/>
      <c r="L34" s="19" t="str">
        <f t="shared" si="2"/>
        <v/>
      </c>
      <c r="M34" s="18" t="str">
        <f t="shared" si="3"/>
        <v/>
      </c>
      <c r="N34" s="18" t="str">
        <f t="shared" si="4"/>
        <v/>
      </c>
      <c r="O34" s="16"/>
      <c r="P34" s="16"/>
      <c r="Q34" s="16"/>
    </row>
    <row r="35" spans="1:17" x14ac:dyDescent="0.25">
      <c r="A35" s="15">
        <v>32</v>
      </c>
      <c r="B35" s="16"/>
      <c r="C35" s="16"/>
      <c r="D35" s="16"/>
      <c r="E35" s="16"/>
      <c r="F35" s="16"/>
      <c r="G35" s="17"/>
      <c r="H35" s="18" t="str">
        <f t="shared" si="0"/>
        <v/>
      </c>
      <c r="I35" s="18" t="str">
        <f t="shared" si="1"/>
        <v/>
      </c>
      <c r="J35" s="16"/>
      <c r="K35" s="16"/>
      <c r="L35" s="19" t="str">
        <f t="shared" si="2"/>
        <v/>
      </c>
      <c r="M35" s="18" t="str">
        <f t="shared" si="3"/>
        <v/>
      </c>
      <c r="N35" s="18" t="str">
        <f t="shared" si="4"/>
        <v/>
      </c>
      <c r="O35" s="16"/>
      <c r="P35" s="16"/>
      <c r="Q35" s="16"/>
    </row>
    <row r="36" spans="1:17" x14ac:dyDescent="0.25">
      <c r="A36" s="15">
        <v>33</v>
      </c>
      <c r="B36" s="16"/>
      <c r="C36" s="16"/>
      <c r="D36" s="16"/>
      <c r="E36" s="16"/>
      <c r="F36" s="16"/>
      <c r="G36" s="17"/>
      <c r="H36" s="18" t="str">
        <f t="shared" ref="H36:H53" si="5">IF(C36="","",G36*0.18)</f>
        <v/>
      </c>
      <c r="I36" s="18" t="str">
        <f t="shared" ref="I36:I53" si="6">IF(C36="","",G36+H36)</f>
        <v/>
      </c>
      <c r="J36" s="16"/>
      <c r="K36" s="16"/>
      <c r="L36" s="19" t="str">
        <f t="shared" ref="L36:L53" si="7">IF(OR(C36="",J36&lt;&gt;"SI",K36=""),IF(C36="","",0),IFERROR(INDEX(Catalogo_Tasas,MATCH(K36,Catalogo_Etiquetas,0)),0))</f>
        <v/>
      </c>
      <c r="M36" s="18" t="str">
        <f t="shared" ref="M36:M53" si="8">IF(C36="","",IF(J36="SI",ROUND(I36*L36,2),0))</f>
        <v/>
      </c>
      <c r="N36" s="18" t="str">
        <f t="shared" ref="N36:N53" si="9">IF(C36="","",I36-M36)</f>
        <v/>
      </c>
      <c r="O36" s="16"/>
      <c r="P36" s="16"/>
      <c r="Q36" s="16"/>
    </row>
    <row r="37" spans="1:17" x14ac:dyDescent="0.25">
      <c r="A37" s="15">
        <v>34</v>
      </c>
      <c r="B37" s="16"/>
      <c r="C37" s="16"/>
      <c r="D37" s="16"/>
      <c r="E37" s="16"/>
      <c r="F37" s="16"/>
      <c r="G37" s="17"/>
      <c r="H37" s="18" t="str">
        <f t="shared" si="5"/>
        <v/>
      </c>
      <c r="I37" s="18" t="str">
        <f t="shared" si="6"/>
        <v/>
      </c>
      <c r="J37" s="16"/>
      <c r="K37" s="16"/>
      <c r="L37" s="19" t="str">
        <f t="shared" si="7"/>
        <v/>
      </c>
      <c r="M37" s="18" t="str">
        <f t="shared" si="8"/>
        <v/>
      </c>
      <c r="N37" s="18" t="str">
        <f t="shared" si="9"/>
        <v/>
      </c>
      <c r="O37" s="16"/>
      <c r="P37" s="16"/>
      <c r="Q37" s="16"/>
    </row>
    <row r="38" spans="1:17" x14ac:dyDescent="0.25">
      <c r="A38" s="15">
        <v>35</v>
      </c>
      <c r="B38" s="16"/>
      <c r="C38" s="16"/>
      <c r="D38" s="16"/>
      <c r="E38" s="16"/>
      <c r="F38" s="16"/>
      <c r="G38" s="17"/>
      <c r="H38" s="18" t="str">
        <f t="shared" si="5"/>
        <v/>
      </c>
      <c r="I38" s="18" t="str">
        <f t="shared" si="6"/>
        <v/>
      </c>
      <c r="J38" s="16"/>
      <c r="K38" s="16"/>
      <c r="L38" s="19" t="str">
        <f t="shared" si="7"/>
        <v/>
      </c>
      <c r="M38" s="18" t="str">
        <f t="shared" si="8"/>
        <v/>
      </c>
      <c r="N38" s="18" t="str">
        <f t="shared" si="9"/>
        <v/>
      </c>
      <c r="O38" s="16"/>
      <c r="P38" s="16"/>
      <c r="Q38" s="16"/>
    </row>
    <row r="39" spans="1:17" x14ac:dyDescent="0.25">
      <c r="A39" s="15">
        <v>36</v>
      </c>
      <c r="B39" s="16"/>
      <c r="C39" s="16"/>
      <c r="D39" s="16"/>
      <c r="E39" s="16"/>
      <c r="F39" s="16"/>
      <c r="G39" s="17"/>
      <c r="H39" s="18" t="str">
        <f t="shared" si="5"/>
        <v/>
      </c>
      <c r="I39" s="18" t="str">
        <f t="shared" si="6"/>
        <v/>
      </c>
      <c r="J39" s="16"/>
      <c r="K39" s="16"/>
      <c r="L39" s="19" t="str">
        <f t="shared" si="7"/>
        <v/>
      </c>
      <c r="M39" s="18" t="str">
        <f t="shared" si="8"/>
        <v/>
      </c>
      <c r="N39" s="18" t="str">
        <f t="shared" si="9"/>
        <v/>
      </c>
      <c r="O39" s="16"/>
      <c r="P39" s="16"/>
      <c r="Q39" s="16"/>
    </row>
    <row r="40" spans="1:17" x14ac:dyDescent="0.25">
      <c r="A40" s="15">
        <v>37</v>
      </c>
      <c r="B40" s="16"/>
      <c r="C40" s="16"/>
      <c r="D40" s="16"/>
      <c r="E40" s="16"/>
      <c r="F40" s="16"/>
      <c r="G40" s="17"/>
      <c r="H40" s="18" t="str">
        <f t="shared" si="5"/>
        <v/>
      </c>
      <c r="I40" s="18" t="str">
        <f t="shared" si="6"/>
        <v/>
      </c>
      <c r="J40" s="16"/>
      <c r="K40" s="16"/>
      <c r="L40" s="19" t="str">
        <f t="shared" si="7"/>
        <v/>
      </c>
      <c r="M40" s="18" t="str">
        <f t="shared" si="8"/>
        <v/>
      </c>
      <c r="N40" s="18" t="str">
        <f t="shared" si="9"/>
        <v/>
      </c>
      <c r="O40" s="16"/>
      <c r="P40" s="16"/>
      <c r="Q40" s="16"/>
    </row>
    <row r="41" spans="1:17" x14ac:dyDescent="0.25">
      <c r="A41" s="15">
        <v>38</v>
      </c>
      <c r="B41" s="16"/>
      <c r="C41" s="16"/>
      <c r="D41" s="16"/>
      <c r="E41" s="16"/>
      <c r="F41" s="16"/>
      <c r="G41" s="17"/>
      <c r="H41" s="18" t="str">
        <f t="shared" si="5"/>
        <v/>
      </c>
      <c r="I41" s="18" t="str">
        <f t="shared" si="6"/>
        <v/>
      </c>
      <c r="J41" s="16"/>
      <c r="K41" s="16"/>
      <c r="L41" s="19" t="str">
        <f t="shared" si="7"/>
        <v/>
      </c>
      <c r="M41" s="18" t="str">
        <f t="shared" si="8"/>
        <v/>
      </c>
      <c r="N41" s="18" t="str">
        <f t="shared" si="9"/>
        <v/>
      </c>
      <c r="O41" s="16"/>
      <c r="P41" s="16"/>
      <c r="Q41" s="16"/>
    </row>
    <row r="42" spans="1:17" x14ac:dyDescent="0.25">
      <c r="A42" s="15">
        <v>39</v>
      </c>
      <c r="B42" s="16"/>
      <c r="C42" s="16"/>
      <c r="D42" s="16"/>
      <c r="E42" s="16"/>
      <c r="F42" s="16"/>
      <c r="G42" s="17"/>
      <c r="H42" s="18" t="str">
        <f t="shared" si="5"/>
        <v/>
      </c>
      <c r="I42" s="18" t="str">
        <f t="shared" si="6"/>
        <v/>
      </c>
      <c r="J42" s="16"/>
      <c r="K42" s="16"/>
      <c r="L42" s="19" t="str">
        <f t="shared" si="7"/>
        <v/>
      </c>
      <c r="M42" s="18" t="str">
        <f t="shared" si="8"/>
        <v/>
      </c>
      <c r="N42" s="18" t="str">
        <f t="shared" si="9"/>
        <v/>
      </c>
      <c r="O42" s="16"/>
      <c r="P42" s="16"/>
      <c r="Q42" s="16"/>
    </row>
    <row r="43" spans="1:17" x14ac:dyDescent="0.25">
      <c r="A43" s="15">
        <v>40</v>
      </c>
      <c r="B43" s="16"/>
      <c r="C43" s="16"/>
      <c r="D43" s="16"/>
      <c r="E43" s="16"/>
      <c r="F43" s="16"/>
      <c r="G43" s="17"/>
      <c r="H43" s="18" t="str">
        <f t="shared" si="5"/>
        <v/>
      </c>
      <c r="I43" s="18" t="str">
        <f t="shared" si="6"/>
        <v/>
      </c>
      <c r="J43" s="16"/>
      <c r="K43" s="16"/>
      <c r="L43" s="19" t="str">
        <f t="shared" si="7"/>
        <v/>
      </c>
      <c r="M43" s="18" t="str">
        <f t="shared" si="8"/>
        <v/>
      </c>
      <c r="N43" s="18" t="str">
        <f t="shared" si="9"/>
        <v/>
      </c>
      <c r="O43" s="16"/>
      <c r="P43" s="16"/>
      <c r="Q43" s="16"/>
    </row>
    <row r="44" spans="1:17" x14ac:dyDescent="0.25">
      <c r="A44" s="15">
        <v>41</v>
      </c>
      <c r="B44" s="16"/>
      <c r="C44" s="16"/>
      <c r="D44" s="16"/>
      <c r="E44" s="16"/>
      <c r="F44" s="16"/>
      <c r="G44" s="17"/>
      <c r="H44" s="18" t="str">
        <f t="shared" si="5"/>
        <v/>
      </c>
      <c r="I44" s="18" t="str">
        <f t="shared" si="6"/>
        <v/>
      </c>
      <c r="J44" s="16"/>
      <c r="K44" s="16"/>
      <c r="L44" s="19" t="str">
        <f t="shared" si="7"/>
        <v/>
      </c>
      <c r="M44" s="18" t="str">
        <f t="shared" si="8"/>
        <v/>
      </c>
      <c r="N44" s="18" t="str">
        <f t="shared" si="9"/>
        <v/>
      </c>
      <c r="O44" s="16"/>
      <c r="P44" s="16"/>
      <c r="Q44" s="16"/>
    </row>
    <row r="45" spans="1:17" x14ac:dyDescent="0.25">
      <c r="A45" s="15">
        <v>42</v>
      </c>
      <c r="B45" s="16"/>
      <c r="C45" s="16"/>
      <c r="D45" s="16"/>
      <c r="E45" s="16"/>
      <c r="F45" s="16"/>
      <c r="G45" s="17"/>
      <c r="H45" s="18" t="str">
        <f t="shared" si="5"/>
        <v/>
      </c>
      <c r="I45" s="18" t="str">
        <f t="shared" si="6"/>
        <v/>
      </c>
      <c r="J45" s="16"/>
      <c r="K45" s="16"/>
      <c r="L45" s="19" t="str">
        <f t="shared" si="7"/>
        <v/>
      </c>
      <c r="M45" s="18" t="str">
        <f t="shared" si="8"/>
        <v/>
      </c>
      <c r="N45" s="18" t="str">
        <f t="shared" si="9"/>
        <v/>
      </c>
      <c r="O45" s="16"/>
      <c r="P45" s="16"/>
      <c r="Q45" s="16"/>
    </row>
    <row r="46" spans="1:17" x14ac:dyDescent="0.25">
      <c r="A46" s="15">
        <v>43</v>
      </c>
      <c r="B46" s="16"/>
      <c r="C46" s="16"/>
      <c r="D46" s="16"/>
      <c r="E46" s="16"/>
      <c r="F46" s="16"/>
      <c r="G46" s="17"/>
      <c r="H46" s="18" t="str">
        <f t="shared" si="5"/>
        <v/>
      </c>
      <c r="I46" s="18" t="str">
        <f t="shared" si="6"/>
        <v/>
      </c>
      <c r="J46" s="16"/>
      <c r="K46" s="16"/>
      <c r="L46" s="19" t="str">
        <f t="shared" si="7"/>
        <v/>
      </c>
      <c r="M46" s="18" t="str">
        <f t="shared" si="8"/>
        <v/>
      </c>
      <c r="N46" s="18" t="str">
        <f t="shared" si="9"/>
        <v/>
      </c>
      <c r="O46" s="16"/>
      <c r="P46" s="16"/>
      <c r="Q46" s="16"/>
    </row>
    <row r="47" spans="1:17" x14ac:dyDescent="0.25">
      <c r="A47" s="15">
        <v>44</v>
      </c>
      <c r="B47" s="16"/>
      <c r="C47" s="16"/>
      <c r="D47" s="16"/>
      <c r="E47" s="16"/>
      <c r="F47" s="16"/>
      <c r="G47" s="17"/>
      <c r="H47" s="18" t="str">
        <f t="shared" si="5"/>
        <v/>
      </c>
      <c r="I47" s="18" t="str">
        <f t="shared" si="6"/>
        <v/>
      </c>
      <c r="J47" s="16"/>
      <c r="K47" s="16"/>
      <c r="L47" s="19" t="str">
        <f t="shared" si="7"/>
        <v/>
      </c>
      <c r="M47" s="18" t="str">
        <f t="shared" si="8"/>
        <v/>
      </c>
      <c r="N47" s="18" t="str">
        <f t="shared" si="9"/>
        <v/>
      </c>
      <c r="O47" s="16"/>
      <c r="P47" s="16"/>
      <c r="Q47" s="16"/>
    </row>
    <row r="48" spans="1:17" x14ac:dyDescent="0.25">
      <c r="A48" s="15">
        <v>45</v>
      </c>
      <c r="B48" s="16"/>
      <c r="C48" s="16"/>
      <c r="D48" s="16"/>
      <c r="E48" s="16"/>
      <c r="F48" s="16"/>
      <c r="G48" s="17"/>
      <c r="H48" s="18" t="str">
        <f t="shared" si="5"/>
        <v/>
      </c>
      <c r="I48" s="18" t="str">
        <f t="shared" si="6"/>
        <v/>
      </c>
      <c r="J48" s="16"/>
      <c r="K48" s="16"/>
      <c r="L48" s="19" t="str">
        <f t="shared" si="7"/>
        <v/>
      </c>
      <c r="M48" s="18" t="str">
        <f t="shared" si="8"/>
        <v/>
      </c>
      <c r="N48" s="18" t="str">
        <f t="shared" si="9"/>
        <v/>
      </c>
      <c r="O48" s="16"/>
      <c r="P48" s="16"/>
      <c r="Q48" s="16"/>
    </row>
    <row r="49" spans="1:17" x14ac:dyDescent="0.25">
      <c r="A49" s="15">
        <v>46</v>
      </c>
      <c r="B49" s="16"/>
      <c r="C49" s="16"/>
      <c r="D49" s="16"/>
      <c r="E49" s="16"/>
      <c r="F49" s="16"/>
      <c r="G49" s="17"/>
      <c r="H49" s="18" t="str">
        <f t="shared" si="5"/>
        <v/>
      </c>
      <c r="I49" s="18" t="str">
        <f t="shared" si="6"/>
        <v/>
      </c>
      <c r="J49" s="16"/>
      <c r="K49" s="16"/>
      <c r="L49" s="19" t="str">
        <f t="shared" si="7"/>
        <v/>
      </c>
      <c r="M49" s="18" t="str">
        <f t="shared" si="8"/>
        <v/>
      </c>
      <c r="N49" s="18" t="str">
        <f t="shared" si="9"/>
        <v/>
      </c>
      <c r="O49" s="16"/>
      <c r="P49" s="16"/>
      <c r="Q49" s="16"/>
    </row>
    <row r="50" spans="1:17" x14ac:dyDescent="0.25">
      <c r="A50" s="15">
        <v>47</v>
      </c>
      <c r="B50" s="16"/>
      <c r="C50" s="16"/>
      <c r="D50" s="16"/>
      <c r="E50" s="16"/>
      <c r="F50" s="16"/>
      <c r="G50" s="17"/>
      <c r="H50" s="18" t="str">
        <f t="shared" si="5"/>
        <v/>
      </c>
      <c r="I50" s="18" t="str">
        <f t="shared" si="6"/>
        <v/>
      </c>
      <c r="J50" s="16"/>
      <c r="K50" s="16"/>
      <c r="L50" s="19" t="str">
        <f t="shared" si="7"/>
        <v/>
      </c>
      <c r="M50" s="18" t="str">
        <f t="shared" si="8"/>
        <v/>
      </c>
      <c r="N50" s="18" t="str">
        <f t="shared" si="9"/>
        <v/>
      </c>
      <c r="O50" s="16"/>
      <c r="P50" s="16"/>
      <c r="Q50" s="16"/>
    </row>
    <row r="51" spans="1:17" x14ac:dyDescent="0.25">
      <c r="A51" s="15">
        <v>48</v>
      </c>
      <c r="B51" s="16"/>
      <c r="C51" s="16"/>
      <c r="D51" s="16"/>
      <c r="E51" s="16"/>
      <c r="F51" s="16"/>
      <c r="G51" s="17"/>
      <c r="H51" s="18" t="str">
        <f t="shared" si="5"/>
        <v/>
      </c>
      <c r="I51" s="18" t="str">
        <f t="shared" si="6"/>
        <v/>
      </c>
      <c r="J51" s="16"/>
      <c r="K51" s="16"/>
      <c r="L51" s="19" t="str">
        <f t="shared" si="7"/>
        <v/>
      </c>
      <c r="M51" s="18" t="str">
        <f t="shared" si="8"/>
        <v/>
      </c>
      <c r="N51" s="18" t="str">
        <f t="shared" si="9"/>
        <v/>
      </c>
      <c r="O51" s="16"/>
      <c r="P51" s="16"/>
      <c r="Q51" s="16"/>
    </row>
    <row r="52" spans="1:17" x14ac:dyDescent="0.25">
      <c r="A52" s="15">
        <v>49</v>
      </c>
      <c r="B52" s="16"/>
      <c r="C52" s="16"/>
      <c r="D52" s="16"/>
      <c r="E52" s="16"/>
      <c r="F52" s="16"/>
      <c r="G52" s="17"/>
      <c r="H52" s="18" t="str">
        <f t="shared" si="5"/>
        <v/>
      </c>
      <c r="I52" s="18" t="str">
        <f t="shared" si="6"/>
        <v/>
      </c>
      <c r="J52" s="16"/>
      <c r="K52" s="16"/>
      <c r="L52" s="19" t="str">
        <f t="shared" si="7"/>
        <v/>
      </c>
      <c r="M52" s="18" t="str">
        <f t="shared" si="8"/>
        <v/>
      </c>
      <c r="N52" s="18" t="str">
        <f t="shared" si="9"/>
        <v/>
      </c>
      <c r="O52" s="16"/>
      <c r="P52" s="16"/>
      <c r="Q52" s="16"/>
    </row>
    <row r="53" spans="1:17" x14ac:dyDescent="0.25">
      <c r="A53" s="15">
        <v>50</v>
      </c>
      <c r="B53" s="16"/>
      <c r="C53" s="16"/>
      <c r="D53" s="16"/>
      <c r="E53" s="16"/>
      <c r="F53" s="16"/>
      <c r="G53" s="17"/>
      <c r="H53" s="18" t="str">
        <f t="shared" si="5"/>
        <v/>
      </c>
      <c r="I53" s="18" t="str">
        <f t="shared" si="6"/>
        <v/>
      </c>
      <c r="J53" s="16"/>
      <c r="K53" s="16"/>
      <c r="L53" s="19" t="str">
        <f t="shared" si="7"/>
        <v/>
      </c>
      <c r="M53" s="18" t="str">
        <f t="shared" si="8"/>
        <v/>
      </c>
      <c r="N53" s="18" t="str">
        <f t="shared" si="9"/>
        <v/>
      </c>
      <c r="O53" s="16"/>
      <c r="P53" s="16"/>
      <c r="Q53" s="16"/>
    </row>
  </sheetData>
  <dataValidations count="4">
    <dataValidation type="list" allowBlank="1" sqref="K4:K53" xr:uid="{00000000-0002-0000-0300-000000000000}">
      <formula1>Catalogo_Etiquetas</formula1>
      <formula2>0</formula2>
    </dataValidation>
    <dataValidation type="list" allowBlank="1" sqref="J4:J53 O4:O53" xr:uid="{00000000-0002-0000-0300-000001000000}">
      <formula1>"SI,NO"</formula1>
      <formula2>0</formula2>
    </dataValidation>
    <dataValidation type="list" allowBlank="1" sqref="F4:F53" xr:uid="{00000000-0002-0000-0300-000003000000}">
      <formula1>"PEN,USD"</formula1>
      <formula2>0</formula2>
    </dataValidation>
    <dataValidation type="list" allowBlank="1" sqref="Q4:Q53" xr:uid="{00000000-0002-0000-0300-000004000000}">
      <formula1>"PENDIENTE,FACTURADO,COBRADO"</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809"/>
  <sheetViews>
    <sheetView showGridLines="0" zoomScaleNormal="100" workbookViewId="0">
      <pane ySplit="3" topLeftCell="A79" activePane="bottomLeft" state="frozen"/>
      <selection pane="bottomLeft" activeCell="G110" sqref="G110"/>
    </sheetView>
  </sheetViews>
  <sheetFormatPr baseColWidth="10" defaultColWidth="8.7109375" defaultRowHeight="15" x14ac:dyDescent="0.25"/>
  <cols>
    <col min="1" max="1" width="12" customWidth="1"/>
    <col min="2" max="2" width="10.42578125" bestFit="1" customWidth="1"/>
    <col min="3" max="3" width="10" customWidth="1"/>
    <col min="4" max="4" width="45.7109375" customWidth="1"/>
    <col min="5" max="6" width="13" customWidth="1"/>
    <col min="7" max="7" width="99.42578125" customWidth="1"/>
    <col min="8" max="8" width="18.7109375" customWidth="1"/>
  </cols>
  <sheetData>
    <row r="1" spans="1:8" x14ac:dyDescent="0.25">
      <c r="A1" s="24" t="s">
        <v>169</v>
      </c>
    </row>
    <row r="2" spans="1:8" x14ac:dyDescent="0.25">
      <c r="A2" t="s">
        <v>171</v>
      </c>
    </row>
    <row r="3" spans="1:8" x14ac:dyDescent="0.25">
      <c r="A3" s="33" t="s">
        <v>104</v>
      </c>
      <c r="B3" s="33" t="s">
        <v>172</v>
      </c>
      <c r="C3" s="33" t="s">
        <v>105</v>
      </c>
      <c r="D3" s="33" t="s">
        <v>106</v>
      </c>
      <c r="E3" s="33" t="s">
        <v>173</v>
      </c>
      <c r="F3" s="33" t="s">
        <v>174</v>
      </c>
      <c r="G3" s="33" t="s">
        <v>175</v>
      </c>
      <c r="H3" s="33" t="s">
        <v>176</v>
      </c>
    </row>
    <row r="4" spans="1:8" x14ac:dyDescent="0.25">
      <c r="A4" s="24" t="s">
        <v>170</v>
      </c>
    </row>
    <row r="5" spans="1:8" x14ac:dyDescent="0.25">
      <c r="A5" s="25">
        <f>IF($C5="","",Registro_Compras!$B$4)</f>
        <v>46253</v>
      </c>
      <c r="B5" t="str">
        <f>IF($C5="","","C"&amp;TEXT(INT((ROW()-5)/9)+1,"000")&amp;"-1")</f>
        <v>C001-1</v>
      </c>
      <c r="C5" t="str">
        <f>IF(OR(Registro_Compras!$C$4="",Registro_Compras!$O$4=""),"",IF(Registro_Compras!$F$4="NOTA DE CREDITO","4212",IF(Registro_Compras!$M$4="","63",Registro_Compras!$M$4)))</f>
        <v>637</v>
      </c>
      <c r="D5" t="str">
        <f>IF(OR(Registro_Compras!$C$4="",Registro_Compras!$O$4=""),"",IF(Registro_Compras!$F$4="NOTA DE CREDITO","Cuentas por Pagar Comerciales - Terceros (Emitidas)",IF(Registro_Compras!$F$4="RHE","Honorarios Profesionales - Servicios de Terceros","Gastos de Servicios Prestados por Terceros")))</f>
        <v>Gastos de Servicios Prestados por Terceros</v>
      </c>
      <c r="E5" s="20">
        <f>IF($C5="","",IF(Registro_Compras!$F$4="NOTA DE CREDITO",ABS(Registro_Compras!$O$4),IF(Registro_Compras!$F$4="RHE",ROUND(Registro_Compras!$L$4*Registro_Compras!$N$4,2),ROUND(Registro_Compras!$J$4*Registro_Compras!$N$4,2))))</f>
        <v>5094.92</v>
      </c>
      <c r="F5" s="20" t="str">
        <f>""</f>
        <v/>
      </c>
      <c r="G5" t="str">
        <f>IF($C5="","",IF(Registro_Compras!$F$4="NOTA DE CREDITO","Por la nota de credito "&amp;Registro_Compras!$C$4&amp;" de "&amp;Registro_Compras!$E$4&amp;" [PATRON POR CONFIRMAR CON CONTADOR]",IF(Registro_Compras!$F$4="RHE","Por el registro del recibo por honorarios "&amp;Registro_Compras!$C$4&amp;" de "&amp;Registro_Compras!$E$4&amp;" [PATRON POR CONFIRMAR CON CONTADOR]","Por el registro de la factura "&amp;Registro_Compras!$C$4&amp;" de "&amp;Registro_Compras!$E$4)))</f>
        <v>Por el registro de la factura F001-00005653 de COMISION DE PROMOCION DEL PERU PARA LA EXPORTACION Y EL TURISMO - PROMPERU</v>
      </c>
      <c r="H5" t="str">
        <f>IF($C5="","",Registro_Compras!$C$4)</f>
        <v>F001-00005653</v>
      </c>
    </row>
    <row r="6" spans="1:8" x14ac:dyDescent="0.25">
      <c r="A6" s="25">
        <f>IF($C6="","",Registro_Compras!$B$4)</f>
        <v>46253</v>
      </c>
      <c r="B6" t="str">
        <f>IF($C6="","","C"&amp;TEXT(INT((ROW()-5)/9)+1,"000")&amp;"-1")</f>
        <v>C001-1</v>
      </c>
      <c r="C6" t="str">
        <f>IF(OR(Registro_Compras!$C$4="",Registro_Compras!$O$4=""),"",IF(Registro_Compras!$F$4="RHE",IF(Registro_Compras!$V$4=0,"","4017"),IF(Registro_Compras!$F$4="NOTA DE CREDITO",IF(Registro_Compras!$M$4="","63",Registro_Compras!$M$4),IF(Registro_Compras!$K$4=0,"","40111"))))</f>
        <v>40111</v>
      </c>
      <c r="D6" t="str">
        <f>IF(OR(Registro_Compras!$C$4="",Registro_Compras!$O$4=""),"",IF(Registro_Compras!$F$4="RHE","Retencion Renta 4ta Categoria por Pagar",IF(Registro_Compras!$F$4="NOTA DE CREDITO","Gastos de Servicios Prestados por Terceros","IGV - Cuenta Propia (Credito Fiscal)")))</f>
        <v>IGV - Cuenta Propia (Credito Fiscal)</v>
      </c>
      <c r="E6" s="20">
        <f>IF($C6="","",IF(Registro_Compras!$F$4="FACTURA",ROUND(Registro_Compras!$K$4*Registro_Compras!$N$4,2),""))</f>
        <v>917.08</v>
      </c>
      <c r="F6" s="20" t="str">
        <f>IF($C6="","",IF(Registro_Compras!$F$4="RHE",ROUND(Registro_Compras!$V$4*Registro_Compras!$N$4,2),IF(Registro_Compras!$F$4="NOTA DE CREDITO",ROUND(ABS(Registro_Compras!$J$4*Registro_Compras!$N$4),2),"")))</f>
        <v/>
      </c>
      <c r="G6" t="str">
        <f>IF($C6="","",IF(Registro_Compras!$F$4="NOTA DE CREDITO","Por la nota de credito "&amp;Registro_Compras!$C$4&amp;" de "&amp;Registro_Compras!$E$4&amp;" [PATRON POR CONFIRMAR CON CONTADOR]",IF(Registro_Compras!$F$4="RHE","Por el registro del recibo por honorarios "&amp;Registro_Compras!$C$4&amp;" de "&amp;Registro_Compras!$E$4&amp;" [PATRON POR CONFIRMAR CON CONTADOR]","Por el registro de la factura "&amp;Registro_Compras!$C$4&amp;" de "&amp;Registro_Compras!$E$4)))</f>
        <v>Por el registro de la factura F001-00005653 de COMISION DE PROMOCION DEL PERU PARA LA EXPORTACION Y EL TURISMO - PROMPERU</v>
      </c>
      <c r="H6" t="str">
        <f>IF($C6="","",Registro_Compras!$C$4)</f>
        <v>F001-00005653</v>
      </c>
    </row>
    <row r="7" spans="1:8" x14ac:dyDescent="0.25">
      <c r="A7" s="25">
        <f>IF($C7="","",Registro_Compras!$B$4)</f>
        <v>46253</v>
      </c>
      <c r="B7" t="str">
        <f>IF($C7="","","C"&amp;TEXT(INT((ROW()-5)/9)+1,"000")&amp;"-1")</f>
        <v>C001-1</v>
      </c>
      <c r="C7" t="str">
        <f>IF(OR(Registro_Compras!$C$4="",Registro_Compras!$O$4=""),"",IF(Registro_Compras!$F$4="NOTA DE CREDITO",IF(Registro_Compras!$K$4=0,"","40111"),"4212"))</f>
        <v>4212</v>
      </c>
      <c r="D7" t="str">
        <f>IF(OR(Registro_Compras!$C$4="",Registro_Compras!$O$4=""),"",IF(Registro_Compras!$F$4="NOTA DE CREDITO","IGV - Cuenta Propia (Credito Fiscal)","Cuentas por Pagar Comerciales - Terceros (Emitidas)"))</f>
        <v>Cuentas por Pagar Comerciales - Terceros (Emitidas)</v>
      </c>
      <c r="E7" s="20" t="str">
        <f>""</f>
        <v/>
      </c>
      <c r="F7" s="20">
        <f>IF($C7="","",IF(Registro_Compras!$F$4="NOTA DE CREDITO",ROUND(ABS(Registro_Compras!$K$4*Registro_Compras!$N$4),2),IF(Registro_Compras!$F$4="RHE",(ROUND(Registro_Compras!$L$4*Registro_Compras!$N$4,2)-ROUND(Registro_Compras!$V$4*Registro_Compras!$N$4,2)),Registro_Compras!$O$4)))</f>
        <v>6012</v>
      </c>
      <c r="G7" t="str">
        <f>IF($C7="","",IF(Registro_Compras!$F$4="NOTA DE CREDITO","Por la nota de credito "&amp;Registro_Compras!$C$4&amp;" de "&amp;Registro_Compras!$E$4&amp;" [PATRON POR CONFIRMAR CON CONTADOR]",IF(Registro_Compras!$F$4="RHE","Por el registro del recibo por honorarios "&amp;Registro_Compras!$C$4&amp;" de "&amp;Registro_Compras!$E$4&amp;" [PATRON POR CONFIRMAR CON CONTADOR]","Por el registro de la factura "&amp;Registro_Compras!$C$4&amp;" de "&amp;Registro_Compras!$E$4)))</f>
        <v>Por el registro de la factura F001-00005653 de COMISION DE PROMOCION DEL PERU PARA LA EXPORTACION Y EL TURISMO - PROMPERU</v>
      </c>
      <c r="H7" t="str">
        <f>IF($C7="","",Registro_Compras!$C$4)</f>
        <v>F001-00005653</v>
      </c>
    </row>
    <row r="8" spans="1:8" x14ac:dyDescent="0.25">
      <c r="A8" s="25">
        <f>IF($C8="","",Registro_Compras!$B$4)</f>
        <v>46253</v>
      </c>
      <c r="B8" t="str">
        <f>IF($C8="","","C"&amp;TEXT(INT((ROW()-5)/9)+1,"000")&amp;"-2")</f>
        <v>C001-2</v>
      </c>
      <c r="C8" t="str">
        <f>IF(OR(Registro_Compras!$C$4="",Registro_Compras!$O$4=""),"",IF(Registro_Compras!$AB$4="ADMINISTRATIVO","94","95"))</f>
        <v>94</v>
      </c>
      <c r="D8" t="str">
        <f>IF(OR(Registro_Compras!$C$4="",Registro_Compras!$O$4=""),"",IF(Registro_Compras!$AB$4="ADMINISTRATIVO","Gastos Administrativos","Gastos de Venta y Operacion"))</f>
        <v>Gastos Administrativos</v>
      </c>
      <c r="E8" s="20">
        <f>IF($C8="","",IF(Registro_Compras!$F$4="NOTA DE CREDITO","",IF(Registro_Compras!$F$4="RHE",ROUND(Registro_Compras!$L$4*Registro_Compras!$N$4,2),ROUND(Registro_Compras!$J$4*Registro_Compras!$N$4,2))))</f>
        <v>5094.92</v>
      </c>
      <c r="F8" s="20" t="str">
        <f>IF($C8="","",IF(Registro_Compras!$F$4="NOTA DE CREDITO",ROUND(ABS(Registro_Compras!$J$4*Registro_Compras!$N$4),2),""))</f>
        <v/>
      </c>
      <c r="G8" t="str">
        <f>IF($C8="","","Por el destino del gasto")</f>
        <v>Por el destino del gasto</v>
      </c>
      <c r="H8" t="str">
        <f>IF($C8="","",Registro_Compras!$C$4)</f>
        <v>F001-00005653</v>
      </c>
    </row>
    <row r="9" spans="1:8" x14ac:dyDescent="0.25">
      <c r="A9" s="25">
        <f>IF($C9="","",Registro_Compras!$B$4)</f>
        <v>46253</v>
      </c>
      <c r="B9" t="str">
        <f>IF($C9="","","C"&amp;TEXT(INT((ROW()-5)/9)+1,"000")&amp;"-2")</f>
        <v>C001-2</v>
      </c>
      <c r="C9" t="str">
        <f>IF(OR(Registro_Compras!$C$4="",Registro_Compras!$O$4=""),"","79/791")</f>
        <v>79/791</v>
      </c>
      <c r="D9" t="str">
        <f>IF(OR(Registro_Compras!$C$4="",Registro_Compras!$O$4=""),"","Cargas Imputables a Cuentas de Costos y Gastos")</f>
        <v>Cargas Imputables a Cuentas de Costos y Gastos</v>
      </c>
      <c r="E9" s="20" t="str">
        <f>IF($C9="","",IF(Registro_Compras!$F$4="NOTA DE CREDITO",ROUND(ABS(Registro_Compras!$J$4*Registro_Compras!$N$4),2),""))</f>
        <v/>
      </c>
      <c r="F9" s="20">
        <f>IF($C9="","",IF(Registro_Compras!$F$4="NOTA DE CREDITO","",IF(Registro_Compras!$F$4="RHE",ROUND(Registro_Compras!$L$4*Registro_Compras!$N$4,2),ROUND(Registro_Compras!$J$4*Registro_Compras!$N$4,2))))</f>
        <v>5094.92</v>
      </c>
      <c r="G9" t="str">
        <f>IF($C9="","","Por el destino del gasto")</f>
        <v>Por el destino del gasto</v>
      </c>
      <c r="H9" t="str">
        <f>IF($C9="","",Registro_Compras!$C$4)</f>
        <v>F001-00005653</v>
      </c>
    </row>
    <row r="10" spans="1:8" x14ac:dyDescent="0.25">
      <c r="A10" s="25" t="str">
        <f>IF($C10="","",Registro_Compras!$X$4)</f>
        <v/>
      </c>
      <c r="B10" t="str">
        <f>IF($C10="","","C"&amp;TEXT(INT((ROW()-5)/9)+1,"000")&amp;"-3")</f>
        <v/>
      </c>
      <c r="C10" t="str">
        <f>IF(OR(Registro_Compras!$C$4="",Registro_Compras!$O$4="",Registro_Compras!$R$4&lt;&gt;"SI",Registro_Compras!$X$4=""),"","4212")</f>
        <v/>
      </c>
      <c r="D10" t="str">
        <f>IF(OR(Registro_Compras!$C$4="",Registro_Compras!$O$4=""),"","Cuentas por Pagar Comerciales - Terceros")</f>
        <v>Cuentas por Pagar Comerciales - Terceros</v>
      </c>
      <c r="E10" s="20" t="str">
        <f>IF($C10="","",Registro_Compras!$S$4)</f>
        <v/>
      </c>
      <c r="F10" s="20" t="str">
        <f>""</f>
        <v/>
      </c>
      <c r="G10" t="str">
        <f>IF($C10="","","Por el deposito de la detraccion en el Banco de la Nacion")</f>
        <v/>
      </c>
      <c r="H10" t="str">
        <f>IF($C10="","",Registro_Compras!$C$4)</f>
        <v/>
      </c>
    </row>
    <row r="11" spans="1:8" x14ac:dyDescent="0.25">
      <c r="A11" s="25" t="str">
        <f>IF($C11="","",Registro_Compras!$X$4)</f>
        <v/>
      </c>
      <c r="B11" t="str">
        <f>IF($C11="","","C"&amp;TEXT(INT((ROW()-5)/9)+1,"000")&amp;"-3")</f>
        <v/>
      </c>
      <c r="C11" t="str">
        <f>IF(OR(Registro_Compras!$C$4="",Registro_Compras!$O$4="",Registro_Compras!$R$4&lt;&gt;"SI",Registro_Compras!$X$4=""),"","1041")</f>
        <v/>
      </c>
      <c r="D11" t="str">
        <f>IF(OR(Registro_Compras!$C$4="",Registro_Compras!$O$4=""),"","Efectivo y Equivalentes - Cta. Cte. Operativa")</f>
        <v>Efectivo y Equivalentes - Cta. Cte. Operativa</v>
      </c>
      <c r="E11" s="20" t="str">
        <f>""</f>
        <v/>
      </c>
      <c r="F11" s="20" t="str">
        <f>IF($C11="","",Registro_Compras!$S$4)</f>
        <v/>
      </c>
      <c r="G11" t="str">
        <f>IF($C11="","","Por el deposito de la detraccion en el Banco de la Nacion")</f>
        <v/>
      </c>
      <c r="H11" t="str">
        <f>IF($C11="","",Registro_Compras!$C$4)</f>
        <v/>
      </c>
    </row>
    <row r="12" spans="1:8" x14ac:dyDescent="0.25">
      <c r="A12" s="25" t="str">
        <f>IF($C12="","",Registro_Compras!$Y$4)</f>
        <v/>
      </c>
      <c r="B12" t="str">
        <f>IF($C12="","","C"&amp;TEXT(INT((ROW()-5)/9)+1,"000")&amp;"-4")</f>
        <v/>
      </c>
      <c r="C12" t="str">
        <f>IF(OR(Registro_Compras!$C$4="",Registro_Compras!$O$4="",Registro_Compras!$Y$4="",Registro_Compras!$F$4="NOTA DE CREDITO"),"","4212")</f>
        <v/>
      </c>
      <c r="D12" t="str">
        <f>IF(OR(Registro_Compras!$C$4="",Registro_Compras!$O$4=""),"","Cuentas por Pagar Comerciales - Terceros")</f>
        <v>Cuentas por Pagar Comerciales - Terceros</v>
      </c>
      <c r="E12" s="20" t="str">
        <f>IF($C12="","",IF(Registro_Compras!$F$4="RHE",(ROUND(Registro_Compras!$L$4*Registro_Compras!$N$4,2)-ROUND(Registro_Compras!$V$4*Registro_Compras!$N$4,2)),ROUND(Registro_Compras!$O$4-Registro_Compras!$S$4,2)))</f>
        <v/>
      </c>
      <c r="F12" s="20" t="str">
        <f>""</f>
        <v/>
      </c>
      <c r="G12" t="str">
        <f>IF($C12="","","Por la cancelacion del saldo al proveedor")</f>
        <v/>
      </c>
      <c r="H12" t="str">
        <f>IF($C12="","",Registro_Compras!$C$4)</f>
        <v/>
      </c>
    </row>
    <row r="13" spans="1:8" x14ac:dyDescent="0.25">
      <c r="A13" s="25" t="str">
        <f>IF($C13="","",Registro_Compras!$Y$4)</f>
        <v/>
      </c>
      <c r="B13" t="str">
        <f>IF($C13="","","C"&amp;TEXT(INT((ROW()-5)/9)+1,"000")&amp;"-4")</f>
        <v/>
      </c>
      <c r="C13" t="str">
        <f>IF(OR(Registro_Compras!$C$4="",Registro_Compras!$O$4="",Registro_Compras!$Y$4="",Registro_Compras!$F$4="NOTA DE CREDITO"),"","1041")</f>
        <v/>
      </c>
      <c r="D13" t="str">
        <f>IF(OR(Registro_Compras!$C$4="",Registro_Compras!$O$4=""),"","Efectivo y Equivalentes - Cta. Cte. Operativa")</f>
        <v>Efectivo y Equivalentes - Cta. Cte. Operativa</v>
      </c>
      <c r="E13" s="20" t="str">
        <f>""</f>
        <v/>
      </c>
      <c r="F13" s="20" t="str">
        <f>IF($C13="","",IF(Registro_Compras!$F$4="RHE",(ROUND(Registro_Compras!$L$4*Registro_Compras!$N$4,2)-ROUND(Registro_Compras!$V$4*Registro_Compras!$N$4,2)),ROUND(Registro_Compras!$O$4-Registro_Compras!$S$4,2)))</f>
        <v/>
      </c>
      <c r="G13" t="str">
        <f>IF($C13="","","Por la cancelacion del saldo al proveedor")</f>
        <v/>
      </c>
      <c r="H13" t="str">
        <f>IF($C13="","",Registro_Compras!$C$4)</f>
        <v/>
      </c>
    </row>
    <row r="14" spans="1:8" x14ac:dyDescent="0.25">
      <c r="A14" s="25">
        <f>IF($C14="","",Registro_Compras!$B$5)</f>
        <v>46254</v>
      </c>
      <c r="B14" t="str">
        <f>IF($C14="","","C"&amp;TEXT(INT((ROW()-5)/9)+1,"000")&amp;"-1")</f>
        <v>C002-1</v>
      </c>
      <c r="C14" t="str">
        <f>IF(OR(Registro_Compras!$C$5="",Registro_Compras!$O$5=""),"",IF(Registro_Compras!$F$5="NOTA DE CREDITO","4212",IF(Registro_Compras!$M$5="","63",Registro_Compras!$M$5)))</f>
        <v>639</v>
      </c>
      <c r="D14" t="str">
        <f>IF(OR(Registro_Compras!$C$5="",Registro_Compras!$O$5=""),"",IF(Registro_Compras!$F$5="NOTA DE CREDITO","Cuentas por Pagar Comerciales - Terceros (Emitidas)",IF(Registro_Compras!$F$5="RHE","Honorarios Profesionales - Servicios de Terceros","Gastos de Servicios Prestados por Terceros")))</f>
        <v>Gastos de Servicios Prestados por Terceros</v>
      </c>
      <c r="E14" s="20">
        <f>IF($C14="","",IF(Registro_Compras!$F$5="NOTA DE CREDITO",ABS(Registro_Compras!$O$5),IF(Registro_Compras!$F$5="RHE",ROUND(Registro_Compras!$L$5*Registro_Compras!$N$5,2),ROUND(Registro_Compras!$J$5*Registro_Compras!$N$5,2))))</f>
        <v>2712.19</v>
      </c>
      <c r="F14" s="20" t="str">
        <f>""</f>
        <v/>
      </c>
      <c r="G14" t="str">
        <f>IF($C14="","",IF(Registro_Compras!$F$5="NOTA DE CREDITO","Por la nota de credito "&amp;Registro_Compras!$C$5&amp;" de "&amp;Registro_Compras!$E$5&amp;" [PATRON POR CONFIRMAR CON CONTADOR]",IF(Registro_Compras!$F$5="RHE","Por el registro del recibo por honorarios "&amp;Registro_Compras!$C$5&amp;" de "&amp;Registro_Compras!$E$5&amp;" [PATRON POR CONFIRMAR CON CONTADOR]","Por el registro de la factura "&amp;Registro_Compras!$C$5&amp;" de "&amp;Registro_Compras!$E$5)))</f>
        <v>Por el registro de la factura FL09-00136064 de INKA TERRA PERU S.A.C. (INKATERRA MACHU PICCHU PUEBLO HOTEL)</v>
      </c>
      <c r="H14" t="str">
        <f>IF($C14="","",Registro_Compras!$C$5)</f>
        <v>FL09-00136064</v>
      </c>
    </row>
    <row r="15" spans="1:8" x14ac:dyDescent="0.25">
      <c r="A15" s="25" t="str">
        <f>IF($C15="","",Registro_Compras!$B$5)</f>
        <v/>
      </c>
      <c r="B15" t="str">
        <f>IF($C15="","","C"&amp;TEXT(INT((ROW()-5)/9)+1,"000")&amp;"-1")</f>
        <v/>
      </c>
      <c r="C15" t="str">
        <f>IF(OR(Registro_Compras!$C$5="",Registro_Compras!$O$5=""),"",IF(Registro_Compras!$F$5="RHE",IF(Registro_Compras!$V$5=0,"","4017"),IF(Registro_Compras!$F$5="NOTA DE CREDITO",IF(Registro_Compras!$M$5="","63",Registro_Compras!$M$5),IF(Registro_Compras!$K$5=0,"","40111"))))</f>
        <v/>
      </c>
      <c r="D15" t="str">
        <f>IF(OR(Registro_Compras!$C$5="",Registro_Compras!$O$5=""),"",IF(Registro_Compras!$F$5="RHE","Retencion Renta 4ta Categoria por Pagar",IF(Registro_Compras!$F$5="NOTA DE CREDITO","Gastos de Servicios Prestados por Terceros","IGV - Cuenta Propia (Credito Fiscal)")))</f>
        <v>IGV - Cuenta Propia (Credito Fiscal)</v>
      </c>
      <c r="E15" s="20" t="str">
        <f>IF($C15="","",IF(Registro_Compras!$F$5="FACTURA",ROUND(Registro_Compras!$K$5*Registro_Compras!$N$5,2),""))</f>
        <v/>
      </c>
      <c r="F15" s="20" t="str">
        <f>IF($C15="","",IF(Registro_Compras!$F$5="RHE",ROUND(Registro_Compras!$V$5*Registro_Compras!$N$5,2),IF(Registro_Compras!$F$5="NOTA DE CREDITO",ROUND(ABS(Registro_Compras!$J$5*Registro_Compras!$N$5),2),"")))</f>
        <v/>
      </c>
      <c r="G15" t="str">
        <f>IF($C15="","",IF(Registro_Compras!$F$5="NOTA DE CREDITO","Por la nota de credito "&amp;Registro_Compras!$C$5&amp;" de "&amp;Registro_Compras!$E$5&amp;" [PATRON POR CONFIRMAR CON CONTADOR]",IF(Registro_Compras!$F$5="RHE","Por el registro del recibo por honorarios "&amp;Registro_Compras!$C$5&amp;" de "&amp;Registro_Compras!$E$5&amp;" [PATRON POR CONFIRMAR CON CONTADOR]","Por el registro de la factura "&amp;Registro_Compras!$C$5&amp;" de "&amp;Registro_Compras!$E$5)))</f>
        <v/>
      </c>
      <c r="H15" t="str">
        <f>IF($C15="","",Registro_Compras!$C$5)</f>
        <v/>
      </c>
    </row>
    <row r="16" spans="1:8" x14ac:dyDescent="0.25">
      <c r="A16" s="25">
        <f>IF($C16="","",Registro_Compras!$B$5)</f>
        <v>46254</v>
      </c>
      <c r="B16" t="str">
        <f>IF($C16="","","C"&amp;TEXT(INT((ROW()-5)/9)+1,"000")&amp;"-1")</f>
        <v>C002-1</v>
      </c>
      <c r="C16" t="str">
        <f>IF(OR(Registro_Compras!$C$5="",Registro_Compras!$O$5=""),"",IF(Registro_Compras!$F$5="NOTA DE CREDITO",IF(Registro_Compras!$K$5=0,"","40111"),"4212"))</f>
        <v>4212</v>
      </c>
      <c r="D16" t="str">
        <f>IF(OR(Registro_Compras!$C$5="",Registro_Compras!$O$5=""),"",IF(Registro_Compras!$F$5="NOTA DE CREDITO","IGV - Cuenta Propia (Credito Fiscal)","Cuentas por Pagar Comerciales - Terceros (Emitidas)"))</f>
        <v>Cuentas por Pagar Comerciales - Terceros (Emitidas)</v>
      </c>
      <c r="E16" s="20" t="str">
        <f>""</f>
        <v/>
      </c>
      <c r="F16" s="20">
        <f>IF($C16="","",IF(Registro_Compras!$F$5="NOTA DE CREDITO",ROUND(ABS(Registro_Compras!$K$5*Registro_Compras!$N$5),2),IF(Registro_Compras!$F$5="RHE",(ROUND(Registro_Compras!$L$5*Registro_Compras!$N$5,2)-ROUND(Registro_Compras!$V$5*Registro_Compras!$N$5,2)),Registro_Compras!$O$5)))</f>
        <v>2712.19</v>
      </c>
      <c r="G16" t="str">
        <f>IF($C16="","",IF(Registro_Compras!$F$5="NOTA DE CREDITO","Por la nota de credito "&amp;Registro_Compras!$C$5&amp;" de "&amp;Registro_Compras!$E$5&amp;" [PATRON POR CONFIRMAR CON CONTADOR]",IF(Registro_Compras!$F$5="RHE","Por el registro del recibo por honorarios "&amp;Registro_Compras!$C$5&amp;" de "&amp;Registro_Compras!$E$5&amp;" [PATRON POR CONFIRMAR CON CONTADOR]","Por el registro de la factura "&amp;Registro_Compras!$C$5&amp;" de "&amp;Registro_Compras!$E$5)))</f>
        <v>Por el registro de la factura FL09-00136064 de INKA TERRA PERU S.A.C. (INKATERRA MACHU PICCHU PUEBLO HOTEL)</v>
      </c>
      <c r="H16" t="str">
        <f>IF($C16="","",Registro_Compras!$C$5)</f>
        <v>FL09-00136064</v>
      </c>
    </row>
    <row r="17" spans="1:8" x14ac:dyDescent="0.25">
      <c r="A17" s="25">
        <f>IF($C17="","",Registro_Compras!$B$5)</f>
        <v>46254</v>
      </c>
      <c r="B17" t="str">
        <f>IF($C17="","","C"&amp;TEXT(INT((ROW()-5)/9)+1,"000")&amp;"-2")</f>
        <v>C002-2</v>
      </c>
      <c r="C17" t="str">
        <f>IF(OR(Registro_Compras!$C$5="",Registro_Compras!$O$5=""),"",IF(Registro_Compras!$AB$5="ADMINISTRATIVO","94","95"))</f>
        <v>95</v>
      </c>
      <c r="D17" t="str">
        <f>IF(OR(Registro_Compras!$C$5="",Registro_Compras!$O$5=""),"",IF(Registro_Compras!$AB$5="ADMINISTRATIVO","Gastos Administrativos","Gastos de Venta y Operacion"))</f>
        <v>Gastos de Venta y Operacion</v>
      </c>
      <c r="E17" s="20">
        <f>IF($C17="","",IF(Registro_Compras!$F$5="NOTA DE CREDITO","",IF(Registro_Compras!$F$5="RHE",ROUND(Registro_Compras!$L$5*Registro_Compras!$N$5,2),ROUND(Registro_Compras!$J$5*Registro_Compras!$N$5,2))))</f>
        <v>2712.19</v>
      </c>
      <c r="F17" s="20" t="str">
        <f>IF($C17="","",IF(Registro_Compras!$F$5="NOTA DE CREDITO",ROUND(ABS(Registro_Compras!$J$5*Registro_Compras!$N$5),2),""))</f>
        <v/>
      </c>
      <c r="G17" t="str">
        <f>IF($C17="","","Por el destino del gasto")</f>
        <v>Por el destino del gasto</v>
      </c>
      <c r="H17" t="str">
        <f>IF($C17="","",Registro_Compras!$C$5)</f>
        <v>FL09-00136064</v>
      </c>
    </row>
    <row r="18" spans="1:8" x14ac:dyDescent="0.25">
      <c r="A18" s="25">
        <f>IF($C18="","",Registro_Compras!$B$5)</f>
        <v>46254</v>
      </c>
      <c r="B18" t="str">
        <f>IF($C18="","","C"&amp;TEXT(INT((ROW()-5)/9)+1,"000")&amp;"-2")</f>
        <v>C002-2</v>
      </c>
      <c r="C18" t="str">
        <f>IF(OR(Registro_Compras!$C$5="",Registro_Compras!$O$5=""),"","79/791")</f>
        <v>79/791</v>
      </c>
      <c r="D18" t="str">
        <f>IF(OR(Registro_Compras!$C$5="",Registro_Compras!$O$5=""),"","Cargas Imputables a Cuentas de Costos y Gastos")</f>
        <v>Cargas Imputables a Cuentas de Costos y Gastos</v>
      </c>
      <c r="E18" s="20" t="str">
        <f>IF($C18="","",IF(Registro_Compras!$F$5="NOTA DE CREDITO",ROUND(ABS(Registro_Compras!$J$5*Registro_Compras!$N$5),2),""))</f>
        <v/>
      </c>
      <c r="F18" s="20">
        <f>IF($C18="","",IF(Registro_Compras!$F$5="NOTA DE CREDITO","",IF(Registro_Compras!$F$5="RHE",ROUND(Registro_Compras!$L$5*Registro_Compras!$N$5,2),ROUND(Registro_Compras!$J$5*Registro_Compras!$N$5,2))))</f>
        <v>2712.19</v>
      </c>
      <c r="G18" t="str">
        <f>IF($C18="","","Por el destino del gasto")</f>
        <v>Por el destino del gasto</v>
      </c>
      <c r="H18" t="str">
        <f>IF($C18="","",Registro_Compras!$C$5)</f>
        <v>FL09-00136064</v>
      </c>
    </row>
    <row r="19" spans="1:8" x14ac:dyDescent="0.25">
      <c r="A19" s="25" t="str">
        <f>IF($C19="","",Registro_Compras!$X$5)</f>
        <v/>
      </c>
      <c r="B19" t="str">
        <f>IF($C19="","","C"&amp;TEXT(INT((ROW()-5)/9)+1,"000")&amp;"-3")</f>
        <v/>
      </c>
      <c r="C19" t="str">
        <f>IF(OR(Registro_Compras!$C$5="",Registro_Compras!$O$5="",Registro_Compras!$R$5&lt;&gt;"SI",Registro_Compras!$X$5=""),"","4212")</f>
        <v/>
      </c>
      <c r="D19" t="str">
        <f>IF(OR(Registro_Compras!$C$5="",Registro_Compras!$O$5=""),"","Cuentas por Pagar Comerciales - Terceros")</f>
        <v>Cuentas por Pagar Comerciales - Terceros</v>
      </c>
      <c r="E19" s="20" t="str">
        <f>IF($C19="","",Registro_Compras!$S$5)</f>
        <v/>
      </c>
      <c r="F19" s="20" t="str">
        <f>""</f>
        <v/>
      </c>
      <c r="G19" t="str">
        <f>IF($C19="","","Por el deposito de la detraccion en el Banco de la Nacion")</f>
        <v/>
      </c>
      <c r="H19" t="str">
        <f>IF($C19="","",Registro_Compras!$C$5)</f>
        <v/>
      </c>
    </row>
    <row r="20" spans="1:8" x14ac:dyDescent="0.25">
      <c r="A20" s="25" t="str">
        <f>IF($C20="","",Registro_Compras!$X$5)</f>
        <v/>
      </c>
      <c r="B20" t="str">
        <f>IF($C20="","","C"&amp;TEXT(INT((ROW()-5)/9)+1,"000")&amp;"-3")</f>
        <v/>
      </c>
      <c r="C20" t="str">
        <f>IF(OR(Registro_Compras!$C$5="",Registro_Compras!$O$5="",Registro_Compras!$R$5&lt;&gt;"SI",Registro_Compras!$X$5=""),"","1041")</f>
        <v/>
      </c>
      <c r="D20" t="str">
        <f>IF(OR(Registro_Compras!$C$5="",Registro_Compras!$O$5=""),"","Efectivo y Equivalentes - Cta. Cte. Operativa")</f>
        <v>Efectivo y Equivalentes - Cta. Cte. Operativa</v>
      </c>
      <c r="E20" s="20" t="str">
        <f>""</f>
        <v/>
      </c>
      <c r="F20" s="20" t="str">
        <f>IF($C20="","",Registro_Compras!$S$5)</f>
        <v/>
      </c>
      <c r="G20" t="str">
        <f>IF($C20="","","Por el deposito de la detraccion en el Banco de la Nacion")</f>
        <v/>
      </c>
      <c r="H20" t="str">
        <f>IF($C20="","",Registro_Compras!$C$5)</f>
        <v/>
      </c>
    </row>
    <row r="21" spans="1:8" x14ac:dyDescent="0.25">
      <c r="A21" s="25" t="str">
        <f>IF($C21="","",Registro_Compras!$Y$5)</f>
        <v/>
      </c>
      <c r="B21" t="str">
        <f>IF($C21="","","C"&amp;TEXT(INT((ROW()-5)/9)+1,"000")&amp;"-4")</f>
        <v/>
      </c>
      <c r="C21" t="str">
        <f>IF(OR(Registro_Compras!$C$5="",Registro_Compras!$O$5="",Registro_Compras!$Y$5="",Registro_Compras!$F$5="NOTA DE CREDITO"),"","4212")</f>
        <v/>
      </c>
      <c r="D21" t="str">
        <f>IF(OR(Registro_Compras!$C$5="",Registro_Compras!$O$5=""),"","Cuentas por Pagar Comerciales - Terceros")</f>
        <v>Cuentas por Pagar Comerciales - Terceros</v>
      </c>
      <c r="E21" s="20" t="str">
        <f>IF($C21="","",IF(Registro_Compras!$F$5="RHE",(ROUND(Registro_Compras!$L$5*Registro_Compras!$N$5,2)-ROUND(Registro_Compras!$V$5*Registro_Compras!$N$5,2)),ROUND(Registro_Compras!$O$5-Registro_Compras!$S$5,2)))</f>
        <v/>
      </c>
      <c r="F21" s="20" t="str">
        <f>""</f>
        <v/>
      </c>
      <c r="G21" t="str">
        <f>IF($C21="","","Por la cancelacion del saldo al proveedor")</f>
        <v/>
      </c>
      <c r="H21" t="str">
        <f>IF($C21="","",Registro_Compras!$C$5)</f>
        <v/>
      </c>
    </row>
    <row r="22" spans="1:8" x14ac:dyDescent="0.25">
      <c r="A22" s="25" t="str">
        <f>IF($C22="","",Registro_Compras!$Y$5)</f>
        <v/>
      </c>
      <c r="B22" t="str">
        <f>IF($C22="","","C"&amp;TEXT(INT((ROW()-5)/9)+1,"000")&amp;"-4")</f>
        <v/>
      </c>
      <c r="C22" t="str">
        <f>IF(OR(Registro_Compras!$C$5="",Registro_Compras!$O$5="",Registro_Compras!$Y$5="",Registro_Compras!$F$5="NOTA DE CREDITO"),"","1041")</f>
        <v/>
      </c>
      <c r="D22" t="str">
        <f>IF(OR(Registro_Compras!$C$5="",Registro_Compras!$O$5=""),"","Efectivo y Equivalentes - Cta. Cte. Operativa")</f>
        <v>Efectivo y Equivalentes - Cta. Cte. Operativa</v>
      </c>
      <c r="E22" s="20" t="str">
        <f>""</f>
        <v/>
      </c>
      <c r="F22" s="20" t="str">
        <f>IF($C22="","",IF(Registro_Compras!$F$5="RHE",(ROUND(Registro_Compras!$L$5*Registro_Compras!$N$5,2)-ROUND(Registro_Compras!$V$5*Registro_Compras!$N$5,2)),ROUND(Registro_Compras!$O$5-Registro_Compras!$S$5,2)))</f>
        <v/>
      </c>
      <c r="G22" t="str">
        <f>IF($C22="","","Por la cancelacion del saldo al proveedor")</f>
        <v/>
      </c>
      <c r="H22" t="str">
        <f>IF($C22="","",Registro_Compras!$C$5)</f>
        <v/>
      </c>
    </row>
    <row r="23" spans="1:8" x14ac:dyDescent="0.25">
      <c r="A23" s="25">
        <f>IF($C23="","",Registro_Compras!$B$6)</f>
        <v>46254</v>
      </c>
      <c r="B23" t="str">
        <f>IF($C23="","","C"&amp;TEXT(INT((ROW()-5)/9)+1,"000")&amp;"-1")</f>
        <v>C003-1</v>
      </c>
      <c r="C23" t="str">
        <f>IF(OR(Registro_Compras!$C$6="",Registro_Compras!$O$6=""),"",IF(Registro_Compras!$F$6="NOTA DE CREDITO","4212",IF(Registro_Compras!$M$6="","63",Registro_Compras!$M$6)))</f>
        <v>639</v>
      </c>
      <c r="D23" t="str">
        <f>IF(OR(Registro_Compras!$C$6="",Registro_Compras!$O$6=""),"",IF(Registro_Compras!$F$6="NOTA DE CREDITO","Cuentas por Pagar Comerciales - Terceros (Emitidas)",IF(Registro_Compras!$F$6="RHE","Honorarios Profesionales - Servicios de Terceros","Gastos de Servicios Prestados por Terceros")))</f>
        <v>Gastos de Servicios Prestados por Terceros</v>
      </c>
      <c r="E23" s="20">
        <f>IF($C23="","",IF(Registro_Compras!$F$6="NOTA DE CREDITO",ABS(Registro_Compras!$O$6),IF(Registro_Compras!$F$6="RHE",ROUND(Registro_Compras!$L$6*Registro_Compras!$N$6,2),ROUND(Registro_Compras!$J$6*Registro_Compras!$N$6,2))))</f>
        <v>3145.9</v>
      </c>
      <c r="F23" s="20" t="str">
        <f>""</f>
        <v/>
      </c>
      <c r="G23" t="str">
        <f>IF($C23="","",IF(Registro_Compras!$F$6="NOTA DE CREDITO","Por la nota de credito "&amp;Registro_Compras!$C$6&amp;" de "&amp;Registro_Compras!$E$6&amp;" [PATRON POR CONFIRMAR CON CONTADOR]",IF(Registro_Compras!$F$6="RHE","Por el registro del recibo por honorarios "&amp;Registro_Compras!$C$6&amp;" de "&amp;Registro_Compras!$E$6&amp;" [PATRON POR CONFIRMAR CON CONTADOR]","Por el registro de la factura "&amp;Registro_Compras!$C$6&amp;" de "&amp;Registro_Compras!$E$6)))</f>
        <v>Por el registro de la factura F078-00006851 de PERUVIAN TOURS AGENCY S.A.C. (ARANWA - HOTEL COLCA)</v>
      </c>
      <c r="H23" t="str">
        <f>IF($C23="","",Registro_Compras!$C$6)</f>
        <v>F078-00006851</v>
      </c>
    </row>
    <row r="24" spans="1:8" x14ac:dyDescent="0.25">
      <c r="A24" s="25" t="str">
        <f>IF($C24="","",Registro_Compras!$B$6)</f>
        <v/>
      </c>
      <c r="B24" t="str">
        <f>IF($C24="","","C"&amp;TEXT(INT((ROW()-5)/9)+1,"000")&amp;"-1")</f>
        <v/>
      </c>
      <c r="C24" t="str">
        <f>IF(OR(Registro_Compras!$C$6="",Registro_Compras!$O$6=""),"",IF(Registro_Compras!$F$6="RHE",IF(Registro_Compras!$V$6=0,"","4017"),IF(Registro_Compras!$F$6="NOTA DE CREDITO",IF(Registro_Compras!$M$6="","63",Registro_Compras!$M$6),IF(Registro_Compras!$K$6=0,"","40111"))))</f>
        <v/>
      </c>
      <c r="D24" t="str">
        <f>IF(OR(Registro_Compras!$C$6="",Registro_Compras!$O$6=""),"",IF(Registro_Compras!$F$6="RHE","Retencion Renta 4ta Categoria por Pagar",IF(Registro_Compras!$F$6="NOTA DE CREDITO","Gastos de Servicios Prestados por Terceros","IGV - Cuenta Propia (Credito Fiscal)")))</f>
        <v>IGV - Cuenta Propia (Credito Fiscal)</v>
      </c>
      <c r="E24" s="20" t="str">
        <f>IF($C24="","",IF(Registro_Compras!$F$6="FACTURA",ROUND(Registro_Compras!$K$6*Registro_Compras!$N$6,2),""))</f>
        <v/>
      </c>
      <c r="F24" s="20" t="str">
        <f>IF($C24="","",IF(Registro_Compras!$F$6="RHE",ROUND(Registro_Compras!$V$6*Registro_Compras!$N$6,2),IF(Registro_Compras!$F$6="NOTA DE CREDITO",ROUND(ABS(Registro_Compras!$J$6*Registro_Compras!$N$6),2),"")))</f>
        <v/>
      </c>
      <c r="G24" t="str">
        <f>IF($C24="","",IF(Registro_Compras!$F$6="NOTA DE CREDITO","Por la nota de credito "&amp;Registro_Compras!$C$6&amp;" de "&amp;Registro_Compras!$E$6&amp;" [PATRON POR CONFIRMAR CON CONTADOR]",IF(Registro_Compras!$F$6="RHE","Por el registro del recibo por honorarios "&amp;Registro_Compras!$C$6&amp;" de "&amp;Registro_Compras!$E$6&amp;" [PATRON POR CONFIRMAR CON CONTADOR]","Por el registro de la factura "&amp;Registro_Compras!$C$6&amp;" de "&amp;Registro_Compras!$E$6)))</f>
        <v/>
      </c>
      <c r="H24" t="str">
        <f>IF($C24="","",Registro_Compras!$C$6)</f>
        <v/>
      </c>
    </row>
    <row r="25" spans="1:8" x14ac:dyDescent="0.25">
      <c r="A25" s="25">
        <f>IF($C25="","",Registro_Compras!$B$6)</f>
        <v>46254</v>
      </c>
      <c r="B25" t="str">
        <f>IF($C25="","","C"&amp;TEXT(INT((ROW()-5)/9)+1,"000")&amp;"-1")</f>
        <v>C003-1</v>
      </c>
      <c r="C25" t="str">
        <f>IF(OR(Registro_Compras!$C$6="",Registro_Compras!$O$6=""),"",IF(Registro_Compras!$F$6="NOTA DE CREDITO",IF(Registro_Compras!$K$6=0,"","40111"),"4212"))</f>
        <v>4212</v>
      </c>
      <c r="D25" t="str">
        <f>IF(OR(Registro_Compras!$C$6="",Registro_Compras!$O$6=""),"",IF(Registro_Compras!$F$6="NOTA DE CREDITO","IGV - Cuenta Propia (Credito Fiscal)","Cuentas por Pagar Comerciales - Terceros (Emitidas)"))</f>
        <v>Cuentas por Pagar Comerciales - Terceros (Emitidas)</v>
      </c>
      <c r="E25" s="20" t="str">
        <f>""</f>
        <v/>
      </c>
      <c r="F25" s="20">
        <f>IF($C25="","",IF(Registro_Compras!$F$6="NOTA DE CREDITO",ROUND(ABS(Registro_Compras!$K$6*Registro_Compras!$N$6),2),IF(Registro_Compras!$F$6="RHE",(ROUND(Registro_Compras!$L$6*Registro_Compras!$N$6,2)-ROUND(Registro_Compras!$V$6*Registro_Compras!$N$6,2)),Registro_Compras!$O$6)))</f>
        <v>3145.9</v>
      </c>
      <c r="G25" t="str">
        <f>IF($C25="","",IF(Registro_Compras!$F$6="NOTA DE CREDITO","Por la nota de credito "&amp;Registro_Compras!$C$6&amp;" de "&amp;Registro_Compras!$E$6&amp;" [PATRON POR CONFIRMAR CON CONTADOR]",IF(Registro_Compras!$F$6="RHE","Por el registro del recibo por honorarios "&amp;Registro_Compras!$C$6&amp;" de "&amp;Registro_Compras!$E$6&amp;" [PATRON POR CONFIRMAR CON CONTADOR]","Por el registro de la factura "&amp;Registro_Compras!$C$6&amp;" de "&amp;Registro_Compras!$E$6)))</f>
        <v>Por el registro de la factura F078-00006851 de PERUVIAN TOURS AGENCY S.A.C. (ARANWA - HOTEL COLCA)</v>
      </c>
      <c r="H25" t="str">
        <f>IF($C25="","",Registro_Compras!$C$6)</f>
        <v>F078-00006851</v>
      </c>
    </row>
    <row r="26" spans="1:8" x14ac:dyDescent="0.25">
      <c r="A26" s="25">
        <f>IF($C26="","",Registro_Compras!$B$6)</f>
        <v>46254</v>
      </c>
      <c r="B26" t="str">
        <f>IF($C26="","","C"&amp;TEXT(INT((ROW()-5)/9)+1,"000")&amp;"-2")</f>
        <v>C003-2</v>
      </c>
      <c r="C26" t="str">
        <f>IF(OR(Registro_Compras!$C$6="",Registro_Compras!$O$6=""),"",IF(Registro_Compras!$AB$6="ADMINISTRATIVO","94","95"))</f>
        <v>95</v>
      </c>
      <c r="D26" t="str">
        <f>IF(OR(Registro_Compras!$C$6="",Registro_Compras!$O$6=""),"",IF(Registro_Compras!$AB$6="ADMINISTRATIVO","Gastos Administrativos","Gastos de Venta y Operacion"))</f>
        <v>Gastos de Venta y Operacion</v>
      </c>
      <c r="E26" s="20">
        <f>IF($C26="","",IF(Registro_Compras!$F$6="NOTA DE CREDITO","",IF(Registro_Compras!$F$6="RHE",ROUND(Registro_Compras!$L$6*Registro_Compras!$N$6,2),ROUND(Registro_Compras!$J$6*Registro_Compras!$N$6,2))))</f>
        <v>3145.9</v>
      </c>
      <c r="F26" s="20" t="str">
        <f>IF($C26="","",IF(Registro_Compras!$F$6="NOTA DE CREDITO",ROUND(ABS(Registro_Compras!$J$6*Registro_Compras!$N$6),2),""))</f>
        <v/>
      </c>
      <c r="G26" t="str">
        <f>IF($C26="","","Por el destino del gasto")</f>
        <v>Por el destino del gasto</v>
      </c>
      <c r="H26" t="str">
        <f>IF($C26="","",Registro_Compras!$C$6)</f>
        <v>F078-00006851</v>
      </c>
    </row>
    <row r="27" spans="1:8" x14ac:dyDescent="0.25">
      <c r="A27" s="25">
        <f>IF($C27="","",Registro_Compras!$B$6)</f>
        <v>46254</v>
      </c>
      <c r="B27" t="str">
        <f>IF($C27="","","C"&amp;TEXT(INT((ROW()-5)/9)+1,"000")&amp;"-2")</f>
        <v>C003-2</v>
      </c>
      <c r="C27" t="str">
        <f>IF(OR(Registro_Compras!$C$6="",Registro_Compras!$O$6=""),"","79/791")</f>
        <v>79/791</v>
      </c>
      <c r="D27" t="str">
        <f>IF(OR(Registro_Compras!$C$6="",Registro_Compras!$O$6=""),"","Cargas Imputables a Cuentas de Costos y Gastos")</f>
        <v>Cargas Imputables a Cuentas de Costos y Gastos</v>
      </c>
      <c r="E27" s="20" t="str">
        <f>IF($C27="","",IF(Registro_Compras!$F$6="NOTA DE CREDITO",ROUND(ABS(Registro_Compras!$J$6*Registro_Compras!$N$6),2),""))</f>
        <v/>
      </c>
      <c r="F27" s="20">
        <f>IF($C27="","",IF(Registro_Compras!$F$6="NOTA DE CREDITO","",IF(Registro_Compras!$F$6="RHE",ROUND(Registro_Compras!$L$6*Registro_Compras!$N$6,2),ROUND(Registro_Compras!$J$6*Registro_Compras!$N$6,2))))</f>
        <v>3145.9</v>
      </c>
      <c r="G27" t="str">
        <f>IF($C27="","","Por el destino del gasto")</f>
        <v>Por el destino del gasto</v>
      </c>
      <c r="H27" t="str">
        <f>IF($C27="","",Registro_Compras!$C$6)</f>
        <v>F078-00006851</v>
      </c>
    </row>
    <row r="28" spans="1:8" x14ac:dyDescent="0.25">
      <c r="A28" s="25" t="str">
        <f>IF($C28="","",Registro_Compras!$X$6)</f>
        <v/>
      </c>
      <c r="B28" t="str">
        <f>IF($C28="","","C"&amp;TEXT(INT((ROW()-5)/9)+1,"000")&amp;"-3")</f>
        <v/>
      </c>
      <c r="C28" t="str">
        <f>IF(OR(Registro_Compras!$C$6="",Registro_Compras!$O$6="",Registro_Compras!$R$6&lt;&gt;"SI",Registro_Compras!$X$6=""),"","4212")</f>
        <v/>
      </c>
      <c r="D28" t="str">
        <f>IF(OR(Registro_Compras!$C$6="",Registro_Compras!$O$6=""),"","Cuentas por Pagar Comerciales - Terceros")</f>
        <v>Cuentas por Pagar Comerciales - Terceros</v>
      </c>
      <c r="E28" s="20" t="str">
        <f>IF($C28="","",Registro_Compras!$S$6)</f>
        <v/>
      </c>
      <c r="F28" s="20" t="str">
        <f>""</f>
        <v/>
      </c>
      <c r="G28" t="str">
        <f>IF($C28="","","Por el deposito de la detraccion en el Banco de la Nacion")</f>
        <v/>
      </c>
      <c r="H28" t="str">
        <f>IF($C28="","",Registro_Compras!$C$6)</f>
        <v/>
      </c>
    </row>
    <row r="29" spans="1:8" x14ac:dyDescent="0.25">
      <c r="A29" s="25" t="str">
        <f>IF($C29="","",Registro_Compras!$X$6)</f>
        <v/>
      </c>
      <c r="B29" t="str">
        <f>IF($C29="","","C"&amp;TEXT(INT((ROW()-5)/9)+1,"000")&amp;"-3")</f>
        <v/>
      </c>
      <c r="C29" t="str">
        <f>IF(OR(Registro_Compras!$C$6="",Registro_Compras!$O$6="",Registro_Compras!$R$6&lt;&gt;"SI",Registro_Compras!$X$6=""),"","1041")</f>
        <v/>
      </c>
      <c r="D29" t="str">
        <f>IF(OR(Registro_Compras!$C$6="",Registro_Compras!$O$6=""),"","Efectivo y Equivalentes - Cta. Cte. Operativa")</f>
        <v>Efectivo y Equivalentes - Cta. Cte. Operativa</v>
      </c>
      <c r="E29" s="20" t="str">
        <f>""</f>
        <v/>
      </c>
      <c r="F29" s="20" t="str">
        <f>IF($C29="","",Registro_Compras!$S$6)</f>
        <v/>
      </c>
      <c r="G29" t="str">
        <f>IF($C29="","","Por el deposito de la detraccion en el Banco de la Nacion")</f>
        <v/>
      </c>
      <c r="H29" t="str">
        <f>IF($C29="","",Registro_Compras!$C$6)</f>
        <v/>
      </c>
    </row>
    <row r="30" spans="1:8" x14ac:dyDescent="0.25">
      <c r="A30" s="25" t="str">
        <f>IF($C30="","",Registro_Compras!$Y$6)</f>
        <v/>
      </c>
      <c r="B30" t="str">
        <f>IF($C30="","","C"&amp;TEXT(INT((ROW()-5)/9)+1,"000")&amp;"-4")</f>
        <v/>
      </c>
      <c r="C30" t="str">
        <f>IF(OR(Registro_Compras!$C$6="",Registro_Compras!$O$6="",Registro_Compras!$Y$6="",Registro_Compras!$F$6="NOTA DE CREDITO"),"","4212")</f>
        <v/>
      </c>
      <c r="D30" t="str">
        <f>IF(OR(Registro_Compras!$C$6="",Registro_Compras!$O$6=""),"","Cuentas por Pagar Comerciales - Terceros")</f>
        <v>Cuentas por Pagar Comerciales - Terceros</v>
      </c>
      <c r="E30" s="20" t="str">
        <f>IF($C30="","",IF(Registro_Compras!$F$6="RHE",(ROUND(Registro_Compras!$L$6*Registro_Compras!$N$6,2)-ROUND(Registro_Compras!$V$6*Registro_Compras!$N$6,2)),ROUND(Registro_Compras!$O$6-Registro_Compras!$S$6,2)))</f>
        <v/>
      </c>
      <c r="F30" s="20" t="str">
        <f>""</f>
        <v/>
      </c>
      <c r="G30" t="str">
        <f>IF($C30="","","Por la cancelacion del saldo al proveedor")</f>
        <v/>
      </c>
      <c r="H30" t="str">
        <f>IF($C30="","",Registro_Compras!$C$6)</f>
        <v/>
      </c>
    </row>
    <row r="31" spans="1:8" x14ac:dyDescent="0.25">
      <c r="A31" s="25" t="str">
        <f>IF($C31="","",Registro_Compras!$Y$6)</f>
        <v/>
      </c>
      <c r="B31" t="str">
        <f>IF($C31="","","C"&amp;TEXT(INT((ROW()-5)/9)+1,"000")&amp;"-4")</f>
        <v/>
      </c>
      <c r="C31" t="str">
        <f>IF(OR(Registro_Compras!$C$6="",Registro_Compras!$O$6="",Registro_Compras!$Y$6="",Registro_Compras!$F$6="NOTA DE CREDITO"),"","1041")</f>
        <v/>
      </c>
      <c r="D31" t="str">
        <f>IF(OR(Registro_Compras!$C$6="",Registro_Compras!$O$6=""),"","Efectivo y Equivalentes - Cta. Cte. Operativa")</f>
        <v>Efectivo y Equivalentes - Cta. Cte. Operativa</v>
      </c>
      <c r="E31" s="20" t="str">
        <f>""</f>
        <v/>
      </c>
      <c r="F31" s="20" t="str">
        <f>IF($C31="","",IF(Registro_Compras!$F$6="RHE",(ROUND(Registro_Compras!$L$6*Registro_Compras!$N$6,2)-ROUND(Registro_Compras!$V$6*Registro_Compras!$N$6,2)),ROUND(Registro_Compras!$O$6-Registro_Compras!$S$6,2)))</f>
        <v/>
      </c>
      <c r="G31" t="str">
        <f>IF($C31="","","Por la cancelacion del saldo al proveedor")</f>
        <v/>
      </c>
      <c r="H31" t="str">
        <f>IF($C31="","",Registro_Compras!$C$6)</f>
        <v/>
      </c>
    </row>
    <row r="32" spans="1:8" x14ac:dyDescent="0.25">
      <c r="A32" s="25">
        <f>IF($C32="","",Registro_Compras!$B$7)</f>
        <v>46254</v>
      </c>
      <c r="B32" t="str">
        <f>IF($C32="","","C"&amp;TEXT(INT((ROW()-5)/9)+1,"000")&amp;"-1")</f>
        <v>C004-1</v>
      </c>
      <c r="C32" t="str">
        <f>IF(OR(Registro_Compras!$C$7="",Registro_Compras!$O$7=""),"",IF(Registro_Compras!$F$7="NOTA DE CREDITO","4212",IF(Registro_Compras!$M$7="","63",Registro_Compras!$M$7)))</f>
        <v>639</v>
      </c>
      <c r="D32" t="str">
        <f>IF(OR(Registro_Compras!$C$7="",Registro_Compras!$O$7=""),"",IF(Registro_Compras!$F$7="NOTA DE CREDITO","Cuentas por Pagar Comerciales - Terceros (Emitidas)",IF(Registro_Compras!$F$7="RHE","Honorarios Profesionales - Servicios de Terceros","Gastos de Servicios Prestados por Terceros")))</f>
        <v>Gastos de Servicios Prestados por Terceros</v>
      </c>
      <c r="E32" s="20">
        <f>IF($C32="","",IF(Registro_Compras!$F$7="NOTA DE CREDITO",ABS(Registro_Compras!$O$7),IF(Registro_Compras!$F$7="RHE",ROUND(Registro_Compras!$L$7*Registro_Compras!$N$7,2),ROUND(Registro_Compras!$J$7*Registro_Compras!$N$7,2))))</f>
        <v>228.55</v>
      </c>
      <c r="F32" s="20" t="str">
        <f>""</f>
        <v/>
      </c>
      <c r="G32" t="str">
        <f>IF($C32="","",IF(Registro_Compras!$F$7="NOTA DE CREDITO","Por la nota de credito "&amp;Registro_Compras!$C$7&amp;" de "&amp;Registro_Compras!$E$7&amp;" [PATRON POR CONFIRMAR CON CONTADOR]",IF(Registro_Compras!$F$7="RHE","Por el registro del recibo por honorarios "&amp;Registro_Compras!$C$7&amp;" de "&amp;Registro_Compras!$E$7&amp;" [PATRON POR CONFIRMAR CON CONTADOR]","Por el registro de la factura "&amp;Registro_Compras!$C$7&amp;" de "&amp;Registro_Compras!$E$7)))</f>
        <v>Por el registro de la factura F007-00024508 de HOTELERIA PERUANA S.A.C. (TIERRA VIVA HOTELS)</v>
      </c>
      <c r="H32" t="str">
        <f>IF($C32="","",Registro_Compras!$C$7)</f>
        <v>F007-00024508</v>
      </c>
    </row>
    <row r="33" spans="1:8" x14ac:dyDescent="0.25">
      <c r="A33" s="25" t="str">
        <f>IF($C33="","",Registro_Compras!$B$7)</f>
        <v/>
      </c>
      <c r="B33" t="str">
        <f>IF($C33="","","C"&amp;TEXT(INT((ROW()-5)/9)+1,"000")&amp;"-1")</f>
        <v/>
      </c>
      <c r="C33" t="str">
        <f>IF(OR(Registro_Compras!$C$7="",Registro_Compras!$O$7=""),"",IF(Registro_Compras!$F$7="RHE",IF(Registro_Compras!$V$7=0,"","4017"),IF(Registro_Compras!$F$7="NOTA DE CREDITO",IF(Registro_Compras!$M$7="","63",Registro_Compras!$M$7),IF(Registro_Compras!$K$7=0,"","40111"))))</f>
        <v/>
      </c>
      <c r="D33" t="str">
        <f>IF(OR(Registro_Compras!$C$7="",Registro_Compras!$O$7=""),"",IF(Registro_Compras!$F$7="RHE","Retencion Renta 4ta Categoria por Pagar",IF(Registro_Compras!$F$7="NOTA DE CREDITO","Gastos de Servicios Prestados por Terceros","IGV - Cuenta Propia (Credito Fiscal)")))</f>
        <v>IGV - Cuenta Propia (Credito Fiscal)</v>
      </c>
      <c r="E33" s="20" t="str">
        <f>IF($C33="","",IF(Registro_Compras!$F$7="FACTURA",ROUND(Registro_Compras!$K$7*Registro_Compras!$N$7,2),""))</f>
        <v/>
      </c>
      <c r="F33" s="20" t="str">
        <f>IF($C33="","",IF(Registro_Compras!$F$7="RHE",ROUND(Registro_Compras!$V$7*Registro_Compras!$N$7,2),IF(Registro_Compras!$F$7="NOTA DE CREDITO",ROUND(ABS(Registro_Compras!$J$7*Registro_Compras!$N$7),2),"")))</f>
        <v/>
      </c>
      <c r="G33" t="str">
        <f>IF($C33="","",IF(Registro_Compras!$F$7="NOTA DE CREDITO","Por la nota de credito "&amp;Registro_Compras!$C$7&amp;" de "&amp;Registro_Compras!$E$7&amp;" [PATRON POR CONFIRMAR CON CONTADOR]",IF(Registro_Compras!$F$7="RHE","Por el registro del recibo por honorarios "&amp;Registro_Compras!$C$7&amp;" de "&amp;Registro_Compras!$E$7&amp;" [PATRON POR CONFIRMAR CON CONTADOR]","Por el registro de la factura "&amp;Registro_Compras!$C$7&amp;" de "&amp;Registro_Compras!$E$7)))</f>
        <v/>
      </c>
      <c r="H33" t="str">
        <f>IF($C33="","",Registro_Compras!$C$7)</f>
        <v/>
      </c>
    </row>
    <row r="34" spans="1:8" x14ac:dyDescent="0.25">
      <c r="A34" s="25">
        <f>IF($C34="","",Registro_Compras!$B$7)</f>
        <v>46254</v>
      </c>
      <c r="B34" t="str">
        <f>IF($C34="","","C"&amp;TEXT(INT((ROW()-5)/9)+1,"000")&amp;"-1")</f>
        <v>C004-1</v>
      </c>
      <c r="C34" t="str">
        <f>IF(OR(Registro_Compras!$C$7="",Registro_Compras!$O$7=""),"",IF(Registro_Compras!$F$7="NOTA DE CREDITO",IF(Registro_Compras!$K$7=0,"","40111"),"4212"))</f>
        <v>4212</v>
      </c>
      <c r="D34" t="str">
        <f>IF(OR(Registro_Compras!$C$7="",Registro_Compras!$O$7=""),"",IF(Registro_Compras!$F$7="NOTA DE CREDITO","IGV - Cuenta Propia (Credito Fiscal)","Cuentas por Pagar Comerciales - Terceros (Emitidas)"))</f>
        <v>Cuentas por Pagar Comerciales - Terceros (Emitidas)</v>
      </c>
      <c r="E34" s="20" t="str">
        <f>""</f>
        <v/>
      </c>
      <c r="F34" s="20">
        <f>IF($C34="","",IF(Registro_Compras!$F$7="NOTA DE CREDITO",ROUND(ABS(Registro_Compras!$K$7*Registro_Compras!$N$7),2),IF(Registro_Compras!$F$7="RHE",(ROUND(Registro_Compras!$L$7*Registro_Compras!$N$7,2)-ROUND(Registro_Compras!$V$7*Registro_Compras!$N$7,2)),Registro_Compras!$O$7)))</f>
        <v>228.55</v>
      </c>
      <c r="G34" t="str">
        <f>IF($C34="","",IF(Registro_Compras!$F$7="NOTA DE CREDITO","Por la nota de credito "&amp;Registro_Compras!$C$7&amp;" de "&amp;Registro_Compras!$E$7&amp;" [PATRON POR CONFIRMAR CON CONTADOR]",IF(Registro_Compras!$F$7="RHE","Por el registro del recibo por honorarios "&amp;Registro_Compras!$C$7&amp;" de "&amp;Registro_Compras!$E$7&amp;" [PATRON POR CONFIRMAR CON CONTADOR]","Por el registro de la factura "&amp;Registro_Compras!$C$7&amp;" de "&amp;Registro_Compras!$E$7)))</f>
        <v>Por el registro de la factura F007-00024508 de HOTELERIA PERUANA S.A.C. (TIERRA VIVA HOTELS)</v>
      </c>
      <c r="H34" t="str">
        <f>IF($C34="","",Registro_Compras!$C$7)</f>
        <v>F007-00024508</v>
      </c>
    </row>
    <row r="35" spans="1:8" x14ac:dyDescent="0.25">
      <c r="A35" s="25">
        <f>IF($C35="","",Registro_Compras!$B$7)</f>
        <v>46254</v>
      </c>
      <c r="B35" t="str">
        <f>IF($C35="","","C"&amp;TEXT(INT((ROW()-5)/9)+1,"000")&amp;"-2")</f>
        <v>C004-2</v>
      </c>
      <c r="C35" t="str">
        <f>IF(OR(Registro_Compras!$C$7="",Registro_Compras!$O$7=""),"",IF(Registro_Compras!$AB$7="ADMINISTRATIVO","94","95"))</f>
        <v>95</v>
      </c>
      <c r="D35" t="str">
        <f>IF(OR(Registro_Compras!$C$7="",Registro_Compras!$O$7=""),"",IF(Registro_Compras!$AB$7="ADMINISTRATIVO","Gastos Administrativos","Gastos de Venta y Operacion"))</f>
        <v>Gastos de Venta y Operacion</v>
      </c>
      <c r="E35" s="20">
        <f>IF($C35="","",IF(Registro_Compras!$F$7="NOTA DE CREDITO","",IF(Registro_Compras!$F$7="RHE",ROUND(Registro_Compras!$L$7*Registro_Compras!$N$7,2),ROUND(Registro_Compras!$J$7*Registro_Compras!$N$7,2))))</f>
        <v>228.55</v>
      </c>
      <c r="F35" s="20" t="str">
        <f>IF($C35="","",IF(Registro_Compras!$F$7="NOTA DE CREDITO",ROUND(ABS(Registro_Compras!$J$7*Registro_Compras!$N$7),2),""))</f>
        <v/>
      </c>
      <c r="G35" t="str">
        <f>IF($C35="","","Por el destino del gasto")</f>
        <v>Por el destino del gasto</v>
      </c>
      <c r="H35" t="str">
        <f>IF($C35="","",Registro_Compras!$C$7)</f>
        <v>F007-00024508</v>
      </c>
    </row>
    <row r="36" spans="1:8" x14ac:dyDescent="0.25">
      <c r="A36" s="25">
        <f>IF($C36="","",Registro_Compras!$B$7)</f>
        <v>46254</v>
      </c>
      <c r="B36" t="str">
        <f>IF($C36="","","C"&amp;TEXT(INT((ROW()-5)/9)+1,"000")&amp;"-2")</f>
        <v>C004-2</v>
      </c>
      <c r="C36" t="str">
        <f>IF(OR(Registro_Compras!$C$7="",Registro_Compras!$O$7=""),"","79/791")</f>
        <v>79/791</v>
      </c>
      <c r="D36" t="str">
        <f>IF(OR(Registro_Compras!$C$7="",Registro_Compras!$O$7=""),"","Cargas Imputables a Cuentas de Costos y Gastos")</f>
        <v>Cargas Imputables a Cuentas de Costos y Gastos</v>
      </c>
      <c r="E36" s="20" t="str">
        <f>IF($C36="","",IF(Registro_Compras!$F$7="NOTA DE CREDITO",ROUND(ABS(Registro_Compras!$J$7*Registro_Compras!$N$7),2),""))</f>
        <v/>
      </c>
      <c r="F36" s="20">
        <f>IF($C36="","",IF(Registro_Compras!$F$7="NOTA DE CREDITO","",IF(Registro_Compras!$F$7="RHE",ROUND(Registro_Compras!$L$7*Registro_Compras!$N$7,2),ROUND(Registro_Compras!$J$7*Registro_Compras!$N$7,2))))</f>
        <v>228.55</v>
      </c>
      <c r="G36" t="str">
        <f>IF($C36="","","Por el destino del gasto")</f>
        <v>Por el destino del gasto</v>
      </c>
      <c r="H36" t="str">
        <f>IF($C36="","",Registro_Compras!$C$7)</f>
        <v>F007-00024508</v>
      </c>
    </row>
    <row r="37" spans="1:8" x14ac:dyDescent="0.25">
      <c r="A37" s="25" t="str">
        <f>IF($C37="","",Registro_Compras!$X$7)</f>
        <v/>
      </c>
      <c r="B37" t="str">
        <f>IF($C37="","","C"&amp;TEXT(INT((ROW()-5)/9)+1,"000")&amp;"-3")</f>
        <v/>
      </c>
      <c r="C37" t="str">
        <f>IF(OR(Registro_Compras!$C$7="",Registro_Compras!$O$7="",Registro_Compras!$R$7&lt;&gt;"SI",Registro_Compras!$X$7=""),"","4212")</f>
        <v/>
      </c>
      <c r="D37" t="str">
        <f>IF(OR(Registro_Compras!$C$7="",Registro_Compras!$O$7=""),"","Cuentas por Pagar Comerciales - Terceros")</f>
        <v>Cuentas por Pagar Comerciales - Terceros</v>
      </c>
      <c r="E37" s="20" t="str">
        <f>IF($C37="","",Registro_Compras!$S$7)</f>
        <v/>
      </c>
      <c r="F37" s="20" t="str">
        <f>""</f>
        <v/>
      </c>
      <c r="G37" t="str">
        <f>IF($C37="","","Por el deposito de la detraccion en el Banco de la Nacion")</f>
        <v/>
      </c>
      <c r="H37" t="str">
        <f>IF($C37="","",Registro_Compras!$C$7)</f>
        <v/>
      </c>
    </row>
    <row r="38" spans="1:8" x14ac:dyDescent="0.25">
      <c r="A38" s="25" t="str">
        <f>IF($C38="","",Registro_Compras!$X$7)</f>
        <v/>
      </c>
      <c r="B38" t="str">
        <f>IF($C38="","","C"&amp;TEXT(INT((ROW()-5)/9)+1,"000")&amp;"-3")</f>
        <v/>
      </c>
      <c r="C38" t="str">
        <f>IF(OR(Registro_Compras!$C$7="",Registro_Compras!$O$7="",Registro_Compras!$R$7&lt;&gt;"SI",Registro_Compras!$X$7=""),"","1041")</f>
        <v/>
      </c>
      <c r="D38" t="str">
        <f>IF(OR(Registro_Compras!$C$7="",Registro_Compras!$O$7=""),"","Efectivo y Equivalentes - Cta. Cte. Operativa")</f>
        <v>Efectivo y Equivalentes - Cta. Cte. Operativa</v>
      </c>
      <c r="E38" s="20" t="str">
        <f>""</f>
        <v/>
      </c>
      <c r="F38" s="20" t="str">
        <f>IF($C38="","",Registro_Compras!$S$7)</f>
        <v/>
      </c>
      <c r="G38" t="str">
        <f>IF($C38="","","Por el deposito de la detraccion en el Banco de la Nacion")</f>
        <v/>
      </c>
      <c r="H38" t="str">
        <f>IF($C38="","",Registro_Compras!$C$7)</f>
        <v/>
      </c>
    </row>
    <row r="39" spans="1:8" x14ac:dyDescent="0.25">
      <c r="A39" s="25" t="str">
        <f>IF($C39="","",Registro_Compras!$Y$7)</f>
        <v/>
      </c>
      <c r="B39" t="str">
        <f>IF($C39="","","C"&amp;TEXT(INT((ROW()-5)/9)+1,"000")&amp;"-4")</f>
        <v/>
      </c>
      <c r="C39" t="str">
        <f>IF(OR(Registro_Compras!$C$7="",Registro_Compras!$O$7="",Registro_Compras!$Y$7="",Registro_Compras!$F$7="NOTA DE CREDITO"),"","4212")</f>
        <v/>
      </c>
      <c r="D39" t="str">
        <f>IF(OR(Registro_Compras!$C$7="",Registro_Compras!$O$7=""),"","Cuentas por Pagar Comerciales - Terceros")</f>
        <v>Cuentas por Pagar Comerciales - Terceros</v>
      </c>
      <c r="E39" s="20" t="str">
        <f>IF($C39="","",IF(Registro_Compras!$F$7="RHE",(ROUND(Registro_Compras!$L$7*Registro_Compras!$N$7,2)-ROUND(Registro_Compras!$V$7*Registro_Compras!$N$7,2)),ROUND(Registro_Compras!$O$7-Registro_Compras!$S$7,2)))</f>
        <v/>
      </c>
      <c r="F39" s="20" t="str">
        <f>""</f>
        <v/>
      </c>
      <c r="G39" t="str">
        <f>IF($C39="","","Por la cancelacion del saldo al proveedor")</f>
        <v/>
      </c>
      <c r="H39" t="str">
        <f>IF($C39="","",Registro_Compras!$C$7)</f>
        <v/>
      </c>
    </row>
    <row r="40" spans="1:8" x14ac:dyDescent="0.25">
      <c r="A40" s="25" t="str">
        <f>IF($C40="","",Registro_Compras!$Y$7)</f>
        <v/>
      </c>
      <c r="B40" t="str">
        <f>IF($C40="","","C"&amp;TEXT(INT((ROW()-5)/9)+1,"000")&amp;"-4")</f>
        <v/>
      </c>
      <c r="C40" t="str">
        <f>IF(OR(Registro_Compras!$C$7="",Registro_Compras!$O$7="",Registro_Compras!$Y$7="",Registro_Compras!$F$7="NOTA DE CREDITO"),"","1041")</f>
        <v/>
      </c>
      <c r="D40" t="str">
        <f>IF(OR(Registro_Compras!$C$7="",Registro_Compras!$O$7=""),"","Efectivo y Equivalentes - Cta. Cte. Operativa")</f>
        <v>Efectivo y Equivalentes - Cta. Cte. Operativa</v>
      </c>
      <c r="E40" s="20" t="str">
        <f>""</f>
        <v/>
      </c>
      <c r="F40" s="20" t="str">
        <f>IF($C40="","",IF(Registro_Compras!$F$7="RHE",(ROUND(Registro_Compras!$L$7*Registro_Compras!$N$7,2)-ROUND(Registro_Compras!$V$7*Registro_Compras!$N$7,2)),ROUND(Registro_Compras!$O$7-Registro_Compras!$S$7,2)))</f>
        <v/>
      </c>
      <c r="G40" t="str">
        <f>IF($C40="","","Por la cancelacion del saldo al proveedor")</f>
        <v/>
      </c>
      <c r="H40" t="str">
        <f>IF($C40="","",Registro_Compras!$C$7)</f>
        <v/>
      </c>
    </row>
    <row r="41" spans="1:8" x14ac:dyDescent="0.25">
      <c r="A41" s="25">
        <f>IF($C41="","",Registro_Compras!$B$8)</f>
        <v>46254</v>
      </c>
      <c r="B41" t="str">
        <f>IF($C41="","","C"&amp;TEXT(INT((ROW()-5)/9)+1,"000")&amp;"-1")</f>
        <v>C005-1</v>
      </c>
      <c r="C41" t="str">
        <f>IF(OR(Registro_Compras!$C$8="",Registro_Compras!$O$8=""),"",IF(Registro_Compras!$F$8="NOTA DE CREDITO","4212",IF(Registro_Compras!$M$8="","63",Registro_Compras!$M$8)))</f>
        <v>639</v>
      </c>
      <c r="D41" t="str">
        <f>IF(OR(Registro_Compras!$C$8="",Registro_Compras!$O$8=""),"",IF(Registro_Compras!$F$8="NOTA DE CREDITO","Cuentas por Pagar Comerciales - Terceros (Emitidas)",IF(Registro_Compras!$F$8="RHE","Honorarios Profesionales - Servicios de Terceros","Gastos de Servicios Prestados por Terceros")))</f>
        <v>Gastos de Servicios Prestados por Terceros</v>
      </c>
      <c r="E41" s="20">
        <f>IF($C41="","",IF(Registro_Compras!$F$8="NOTA DE CREDITO",ABS(Registro_Compras!$O$8),IF(Registro_Compras!$F$8="RHE",ROUND(Registro_Compras!$L$8*Registro_Compras!$N$8,2),ROUND(Registro_Compras!$J$8*Registro_Compras!$N$8,2))))</f>
        <v>510.87</v>
      </c>
      <c r="F41" s="20" t="str">
        <f>""</f>
        <v/>
      </c>
      <c r="G41" t="str">
        <f>IF($C41="","",IF(Registro_Compras!$F$8="NOTA DE CREDITO","Por la nota de credito "&amp;Registro_Compras!$C$8&amp;" de "&amp;Registro_Compras!$E$8&amp;" [PATRON POR CONFIRMAR CON CONTADOR]",IF(Registro_Compras!$F$8="RHE","Por el registro del recibo por honorarios "&amp;Registro_Compras!$C$8&amp;" de "&amp;Registro_Compras!$E$8&amp;" [PATRON POR CONFIRMAR CON CONTADOR]","Por el registro de la factura "&amp;Registro_Compras!$C$8&amp;" de "&amp;Registro_Compras!$E$8)))</f>
        <v>Por el registro de la factura F008-00035739 de HOTELERIA PERUANA S.A.C. (TIERRA VIVA HOTELS)</v>
      </c>
      <c r="H41" t="str">
        <f>IF($C41="","",Registro_Compras!$C$8)</f>
        <v>F008-00035739</v>
      </c>
    </row>
    <row r="42" spans="1:8" x14ac:dyDescent="0.25">
      <c r="A42" s="25" t="str">
        <f>IF($C42="","",Registro_Compras!$B$8)</f>
        <v/>
      </c>
      <c r="B42" t="str">
        <f>IF($C42="","","C"&amp;TEXT(INT((ROW()-5)/9)+1,"000")&amp;"-1")</f>
        <v/>
      </c>
      <c r="C42" t="str">
        <f>IF(OR(Registro_Compras!$C$8="",Registro_Compras!$O$8=""),"",IF(Registro_Compras!$F$8="RHE",IF(Registro_Compras!$V$8=0,"","4017"),IF(Registro_Compras!$F$8="NOTA DE CREDITO",IF(Registro_Compras!$M$8="","63",Registro_Compras!$M$8),IF(Registro_Compras!$K$8=0,"","40111"))))</f>
        <v/>
      </c>
      <c r="D42" t="str">
        <f>IF(OR(Registro_Compras!$C$8="",Registro_Compras!$O$8=""),"",IF(Registro_Compras!$F$8="RHE","Retencion Renta 4ta Categoria por Pagar",IF(Registro_Compras!$F$8="NOTA DE CREDITO","Gastos de Servicios Prestados por Terceros","IGV - Cuenta Propia (Credito Fiscal)")))</f>
        <v>IGV - Cuenta Propia (Credito Fiscal)</v>
      </c>
      <c r="E42" s="20" t="str">
        <f>IF($C42="","",IF(Registro_Compras!$F$8="FACTURA",ROUND(Registro_Compras!$K$8*Registro_Compras!$N$8,2),""))</f>
        <v/>
      </c>
      <c r="F42" s="20" t="str">
        <f>IF($C42="","",IF(Registro_Compras!$F$8="RHE",ROUND(Registro_Compras!$V$8*Registro_Compras!$N$8,2),IF(Registro_Compras!$F$8="NOTA DE CREDITO",ROUND(ABS(Registro_Compras!$J$8*Registro_Compras!$N$8),2),"")))</f>
        <v/>
      </c>
      <c r="G42" t="str">
        <f>IF($C42="","",IF(Registro_Compras!$F$8="NOTA DE CREDITO","Por la nota de credito "&amp;Registro_Compras!$C$8&amp;" de "&amp;Registro_Compras!$E$8&amp;" [PATRON POR CONFIRMAR CON CONTADOR]",IF(Registro_Compras!$F$8="RHE","Por el registro del recibo por honorarios "&amp;Registro_Compras!$C$8&amp;" de "&amp;Registro_Compras!$E$8&amp;" [PATRON POR CONFIRMAR CON CONTADOR]","Por el registro de la factura "&amp;Registro_Compras!$C$8&amp;" de "&amp;Registro_Compras!$E$8)))</f>
        <v/>
      </c>
      <c r="H42" t="str">
        <f>IF($C42="","",Registro_Compras!$C$8)</f>
        <v/>
      </c>
    </row>
    <row r="43" spans="1:8" x14ac:dyDescent="0.25">
      <c r="A43" s="25">
        <f>IF($C43="","",Registro_Compras!$B$8)</f>
        <v>46254</v>
      </c>
      <c r="B43" t="str">
        <f>IF($C43="","","C"&amp;TEXT(INT((ROW()-5)/9)+1,"000")&amp;"-1")</f>
        <v>C005-1</v>
      </c>
      <c r="C43" t="str">
        <f>IF(OR(Registro_Compras!$C$8="",Registro_Compras!$O$8=""),"",IF(Registro_Compras!$F$8="NOTA DE CREDITO",IF(Registro_Compras!$K$8=0,"","40111"),"4212"))</f>
        <v>4212</v>
      </c>
      <c r="D43" t="str">
        <f>IF(OR(Registro_Compras!$C$8="",Registro_Compras!$O$8=""),"",IF(Registro_Compras!$F$8="NOTA DE CREDITO","IGV - Cuenta Propia (Credito Fiscal)","Cuentas por Pagar Comerciales - Terceros (Emitidas)"))</f>
        <v>Cuentas por Pagar Comerciales - Terceros (Emitidas)</v>
      </c>
      <c r="E43" s="20" t="str">
        <f>""</f>
        <v/>
      </c>
      <c r="F43" s="20">
        <f>IF($C43="","",IF(Registro_Compras!$F$8="NOTA DE CREDITO",ROUND(ABS(Registro_Compras!$K$8*Registro_Compras!$N$8),2),IF(Registro_Compras!$F$8="RHE",(ROUND(Registro_Compras!$L$8*Registro_Compras!$N$8,2)-ROUND(Registro_Compras!$V$8*Registro_Compras!$N$8,2)),Registro_Compras!$O$8)))</f>
        <v>510.87</v>
      </c>
      <c r="G43" t="str">
        <f>IF($C43="","",IF(Registro_Compras!$F$8="NOTA DE CREDITO","Por la nota de credito "&amp;Registro_Compras!$C$8&amp;" de "&amp;Registro_Compras!$E$8&amp;" [PATRON POR CONFIRMAR CON CONTADOR]",IF(Registro_Compras!$F$8="RHE","Por el registro del recibo por honorarios "&amp;Registro_Compras!$C$8&amp;" de "&amp;Registro_Compras!$E$8&amp;" [PATRON POR CONFIRMAR CON CONTADOR]","Por el registro de la factura "&amp;Registro_Compras!$C$8&amp;" de "&amp;Registro_Compras!$E$8)))</f>
        <v>Por el registro de la factura F008-00035739 de HOTELERIA PERUANA S.A.C. (TIERRA VIVA HOTELS)</v>
      </c>
      <c r="H43" t="str">
        <f>IF($C43="","",Registro_Compras!$C$8)</f>
        <v>F008-00035739</v>
      </c>
    </row>
    <row r="44" spans="1:8" x14ac:dyDescent="0.25">
      <c r="A44" s="25">
        <f>IF($C44="","",Registro_Compras!$B$8)</f>
        <v>46254</v>
      </c>
      <c r="B44" t="str">
        <f>IF($C44="","","C"&amp;TEXT(INT((ROW()-5)/9)+1,"000")&amp;"-2")</f>
        <v>C005-2</v>
      </c>
      <c r="C44" t="str">
        <f>IF(OR(Registro_Compras!$C$8="",Registro_Compras!$O$8=""),"",IF(Registro_Compras!$AB$8="ADMINISTRATIVO","94","95"))</f>
        <v>95</v>
      </c>
      <c r="D44" t="str">
        <f>IF(OR(Registro_Compras!$C$8="",Registro_Compras!$O$8=""),"",IF(Registro_Compras!$AB$8="ADMINISTRATIVO","Gastos Administrativos","Gastos de Venta y Operacion"))</f>
        <v>Gastos de Venta y Operacion</v>
      </c>
      <c r="E44" s="20">
        <f>IF($C44="","",IF(Registro_Compras!$F$8="NOTA DE CREDITO","",IF(Registro_Compras!$F$8="RHE",ROUND(Registro_Compras!$L$8*Registro_Compras!$N$8,2),ROUND(Registro_Compras!$J$8*Registro_Compras!$N$8,2))))</f>
        <v>510.87</v>
      </c>
      <c r="F44" s="20" t="str">
        <f>IF($C44="","",IF(Registro_Compras!$F$8="NOTA DE CREDITO",ROUND(ABS(Registro_Compras!$J$8*Registro_Compras!$N$8),2),""))</f>
        <v/>
      </c>
      <c r="G44" t="str">
        <f>IF($C44="","","Por el destino del gasto")</f>
        <v>Por el destino del gasto</v>
      </c>
      <c r="H44" t="str">
        <f>IF($C44="","",Registro_Compras!$C$8)</f>
        <v>F008-00035739</v>
      </c>
    </row>
    <row r="45" spans="1:8" x14ac:dyDescent="0.25">
      <c r="A45" s="25">
        <f>IF($C45="","",Registro_Compras!$B$8)</f>
        <v>46254</v>
      </c>
      <c r="B45" t="str">
        <f>IF($C45="","","C"&amp;TEXT(INT((ROW()-5)/9)+1,"000")&amp;"-2")</f>
        <v>C005-2</v>
      </c>
      <c r="C45" t="str">
        <f>IF(OR(Registro_Compras!$C$8="",Registro_Compras!$O$8=""),"","79/791")</f>
        <v>79/791</v>
      </c>
      <c r="D45" t="str">
        <f>IF(OR(Registro_Compras!$C$8="",Registro_Compras!$O$8=""),"","Cargas Imputables a Cuentas de Costos y Gastos")</f>
        <v>Cargas Imputables a Cuentas de Costos y Gastos</v>
      </c>
      <c r="E45" s="20" t="str">
        <f>IF($C45="","",IF(Registro_Compras!$F$8="NOTA DE CREDITO",ROUND(ABS(Registro_Compras!$J$8*Registro_Compras!$N$8),2),""))</f>
        <v/>
      </c>
      <c r="F45" s="20">
        <f>IF($C45="","",IF(Registro_Compras!$F$8="NOTA DE CREDITO","",IF(Registro_Compras!$F$8="RHE",ROUND(Registro_Compras!$L$8*Registro_Compras!$N$8,2),ROUND(Registro_Compras!$J$8*Registro_Compras!$N$8,2))))</f>
        <v>510.87</v>
      </c>
      <c r="G45" t="str">
        <f>IF($C45="","","Por el destino del gasto")</f>
        <v>Por el destino del gasto</v>
      </c>
      <c r="H45" t="str">
        <f>IF($C45="","",Registro_Compras!$C$8)</f>
        <v>F008-00035739</v>
      </c>
    </row>
    <row r="46" spans="1:8" x14ac:dyDescent="0.25">
      <c r="A46" s="25" t="str">
        <f>IF($C46="","",Registro_Compras!$X$8)</f>
        <v/>
      </c>
      <c r="B46" t="str">
        <f>IF($C46="","","C"&amp;TEXT(INT((ROW()-5)/9)+1,"000")&amp;"-3")</f>
        <v/>
      </c>
      <c r="C46" t="str">
        <f>IF(OR(Registro_Compras!$C$8="",Registro_Compras!$O$8="",Registro_Compras!$R$8&lt;&gt;"SI",Registro_Compras!$X$8=""),"","4212")</f>
        <v/>
      </c>
      <c r="D46" t="str">
        <f>IF(OR(Registro_Compras!$C$8="",Registro_Compras!$O$8=""),"","Cuentas por Pagar Comerciales - Terceros")</f>
        <v>Cuentas por Pagar Comerciales - Terceros</v>
      </c>
      <c r="E46" s="20" t="str">
        <f>IF($C46="","",Registro_Compras!$S$8)</f>
        <v/>
      </c>
      <c r="F46" s="20" t="str">
        <f>""</f>
        <v/>
      </c>
      <c r="G46" t="str">
        <f>IF($C46="","","Por el deposito de la detraccion en el Banco de la Nacion")</f>
        <v/>
      </c>
      <c r="H46" t="str">
        <f>IF($C46="","",Registro_Compras!$C$8)</f>
        <v/>
      </c>
    </row>
    <row r="47" spans="1:8" x14ac:dyDescent="0.25">
      <c r="A47" s="25" t="str">
        <f>IF($C47="","",Registro_Compras!$X$8)</f>
        <v/>
      </c>
      <c r="B47" t="str">
        <f>IF($C47="","","C"&amp;TEXT(INT((ROW()-5)/9)+1,"000")&amp;"-3")</f>
        <v/>
      </c>
      <c r="C47" t="str">
        <f>IF(OR(Registro_Compras!$C$8="",Registro_Compras!$O$8="",Registro_Compras!$R$8&lt;&gt;"SI",Registro_Compras!$X$8=""),"","1041")</f>
        <v/>
      </c>
      <c r="D47" t="str">
        <f>IF(OR(Registro_Compras!$C$8="",Registro_Compras!$O$8=""),"","Efectivo y Equivalentes - Cta. Cte. Operativa")</f>
        <v>Efectivo y Equivalentes - Cta. Cte. Operativa</v>
      </c>
      <c r="E47" s="20" t="str">
        <f>""</f>
        <v/>
      </c>
      <c r="F47" s="20" t="str">
        <f>IF($C47="","",Registro_Compras!$S$8)</f>
        <v/>
      </c>
      <c r="G47" t="str">
        <f>IF($C47="","","Por el deposito de la detraccion en el Banco de la Nacion")</f>
        <v/>
      </c>
      <c r="H47" t="str">
        <f>IF($C47="","",Registro_Compras!$C$8)</f>
        <v/>
      </c>
    </row>
    <row r="48" spans="1:8" x14ac:dyDescent="0.25">
      <c r="A48" s="25" t="str">
        <f>IF($C48="","",Registro_Compras!$Y$8)</f>
        <v/>
      </c>
      <c r="B48" t="str">
        <f>IF($C48="","","C"&amp;TEXT(INT((ROW()-5)/9)+1,"000")&amp;"-4")</f>
        <v/>
      </c>
      <c r="C48" t="str">
        <f>IF(OR(Registro_Compras!$C$8="",Registro_Compras!$O$8="",Registro_Compras!$Y$8="",Registro_Compras!$F$8="NOTA DE CREDITO"),"","4212")</f>
        <v/>
      </c>
      <c r="D48" t="str">
        <f>IF(OR(Registro_Compras!$C$8="",Registro_Compras!$O$8=""),"","Cuentas por Pagar Comerciales - Terceros")</f>
        <v>Cuentas por Pagar Comerciales - Terceros</v>
      </c>
      <c r="E48" s="20" t="str">
        <f>IF($C48="","",IF(Registro_Compras!$F$8="RHE",(ROUND(Registro_Compras!$L$8*Registro_Compras!$N$8,2)-ROUND(Registro_Compras!$V$8*Registro_Compras!$N$8,2)),ROUND(Registro_Compras!$O$8-Registro_Compras!$S$8,2)))</f>
        <v/>
      </c>
      <c r="F48" s="20" t="str">
        <f>""</f>
        <v/>
      </c>
      <c r="G48" t="str">
        <f>IF($C48="","","Por la cancelacion del saldo al proveedor")</f>
        <v/>
      </c>
      <c r="H48" t="str">
        <f>IF($C48="","",Registro_Compras!$C$8)</f>
        <v/>
      </c>
    </row>
    <row r="49" spans="1:8" x14ac:dyDescent="0.25">
      <c r="A49" s="25" t="str">
        <f>IF($C49="","",Registro_Compras!$Y$8)</f>
        <v/>
      </c>
      <c r="B49" t="str">
        <f>IF($C49="","","C"&amp;TEXT(INT((ROW()-5)/9)+1,"000")&amp;"-4")</f>
        <v/>
      </c>
      <c r="C49" t="str">
        <f>IF(OR(Registro_Compras!$C$8="",Registro_Compras!$O$8="",Registro_Compras!$Y$8="",Registro_Compras!$F$8="NOTA DE CREDITO"),"","1041")</f>
        <v/>
      </c>
      <c r="D49" t="str">
        <f>IF(OR(Registro_Compras!$C$8="",Registro_Compras!$O$8=""),"","Efectivo y Equivalentes - Cta. Cte. Operativa")</f>
        <v>Efectivo y Equivalentes - Cta. Cte. Operativa</v>
      </c>
      <c r="E49" s="20" t="str">
        <f>""</f>
        <v/>
      </c>
      <c r="F49" s="20" t="str">
        <f>IF($C49="","",IF(Registro_Compras!$F$8="RHE",(ROUND(Registro_Compras!$L$8*Registro_Compras!$N$8,2)-ROUND(Registro_Compras!$V$8*Registro_Compras!$N$8,2)),ROUND(Registro_Compras!$O$8-Registro_Compras!$S$8,2)))</f>
        <v/>
      </c>
      <c r="G49" t="str">
        <f>IF($C49="","","Por la cancelacion del saldo al proveedor")</f>
        <v/>
      </c>
      <c r="H49" t="str">
        <f>IF($C49="","",Registro_Compras!$C$8)</f>
        <v/>
      </c>
    </row>
    <row r="50" spans="1:8" x14ac:dyDescent="0.25">
      <c r="A50" s="25">
        <f>IF($C50="","",Registro_Compras!$B$9)</f>
        <v>46254</v>
      </c>
      <c r="B50" t="str">
        <f>IF($C50="","","C"&amp;TEXT(INT((ROW()-5)/9)+1,"000")&amp;"-1")</f>
        <v>C006-1</v>
      </c>
      <c r="C50" t="str">
        <f>IF(OR(Registro_Compras!$C$9="",Registro_Compras!$O$9=""),"",IF(Registro_Compras!$F$9="NOTA DE CREDITO","4212",IF(Registro_Compras!$M$9="","63",Registro_Compras!$M$9)))</f>
        <v>639</v>
      </c>
      <c r="D50" t="str">
        <f>IF(OR(Registro_Compras!$C$9="",Registro_Compras!$O$9=""),"",IF(Registro_Compras!$F$9="NOTA DE CREDITO","Cuentas por Pagar Comerciales - Terceros (Emitidas)",IF(Registro_Compras!$F$9="RHE","Honorarios Profesionales - Servicios de Terceros","Gastos de Servicios Prestados por Terceros")))</f>
        <v>Gastos de Servicios Prestados por Terceros</v>
      </c>
      <c r="E50" s="20">
        <f>IF($C50="","",IF(Registro_Compras!$F$9="NOTA DE CREDITO",ABS(Registro_Compras!$O$9),IF(Registro_Compras!$F$9="RHE",ROUND(Registro_Compras!$L$9*Registro_Compras!$N$9,2),ROUND(Registro_Compras!$J$9*Registro_Compras!$N$9,2))))</f>
        <v>659.66</v>
      </c>
      <c r="F50" s="20" t="str">
        <f>""</f>
        <v/>
      </c>
      <c r="G50" t="str">
        <f>IF($C50="","",IF(Registro_Compras!$F$9="NOTA DE CREDITO","Por la nota de credito "&amp;Registro_Compras!$C$9&amp;" de "&amp;Registro_Compras!$E$9&amp;" [PATRON POR CONFIRMAR CON CONTADOR]",IF(Registro_Compras!$F$9="RHE","Por el registro del recibo por honorarios "&amp;Registro_Compras!$C$9&amp;" de "&amp;Registro_Compras!$E$9&amp;" [PATRON POR CONFIRMAR CON CONTADOR]","Por el registro de la factura "&amp;Registro_Compras!$C$9&amp;" de "&amp;Registro_Compras!$E$9)))</f>
        <v>Por el registro de la factura F003-00017125 de CCM HOTEL GROUP S.A.C. (CASA REPUBLICA BARRANCO)</v>
      </c>
      <c r="H50" t="str">
        <f>IF($C50="","",Registro_Compras!$C$9)</f>
        <v>F003-00017125</v>
      </c>
    </row>
    <row r="51" spans="1:8" x14ac:dyDescent="0.25">
      <c r="A51" s="25">
        <f>IF($C51="","",Registro_Compras!$B$9)</f>
        <v>46254</v>
      </c>
      <c r="B51" t="str">
        <f>IF($C51="","","C"&amp;TEXT(INT((ROW()-5)/9)+1,"000")&amp;"-1")</f>
        <v>C006-1</v>
      </c>
      <c r="C51" t="str">
        <f>IF(OR(Registro_Compras!$C$9="",Registro_Compras!$O$9=""),"",IF(Registro_Compras!$F$9="RHE",IF(Registro_Compras!$V$9=0,"","4017"),IF(Registro_Compras!$F$9="NOTA DE CREDITO",IF(Registro_Compras!$M$9="","63",Registro_Compras!$M$9),IF(Registro_Compras!$K$9=0,"","40111"))))</f>
        <v>40111</v>
      </c>
      <c r="D51" t="str">
        <f>IF(OR(Registro_Compras!$C$9="",Registro_Compras!$O$9=""),"",IF(Registro_Compras!$F$9="RHE","Retencion Renta 4ta Categoria por Pagar",IF(Registro_Compras!$F$9="NOTA DE CREDITO","Gastos de Servicios Prestados por Terceros","IGV - Cuenta Propia (Credito Fiscal)")))</f>
        <v>IGV - Cuenta Propia (Credito Fiscal)</v>
      </c>
      <c r="E51" s="20">
        <f>IF($C51="","",IF(Registro_Compras!$F$9="FACTURA",ROUND(Registro_Compras!$K$9*Registro_Compras!$N$9,2),""))</f>
        <v>62.95</v>
      </c>
      <c r="F51" s="20" t="str">
        <f>IF($C51="","",IF(Registro_Compras!$F$9="RHE",ROUND(Registro_Compras!$V$9*Registro_Compras!$N$9,2),IF(Registro_Compras!$F$9="NOTA DE CREDITO",ROUND(ABS(Registro_Compras!$J$9*Registro_Compras!$N$9),2),"")))</f>
        <v/>
      </c>
      <c r="G51" t="str">
        <f>IF($C51="","",IF(Registro_Compras!$F$9="NOTA DE CREDITO","Por la nota de credito "&amp;Registro_Compras!$C$9&amp;" de "&amp;Registro_Compras!$E$9&amp;" [PATRON POR CONFIRMAR CON CONTADOR]",IF(Registro_Compras!$F$9="RHE","Por el registro del recibo por honorarios "&amp;Registro_Compras!$C$9&amp;" de "&amp;Registro_Compras!$E$9&amp;" [PATRON POR CONFIRMAR CON CONTADOR]","Por el registro de la factura "&amp;Registro_Compras!$C$9&amp;" de "&amp;Registro_Compras!$E$9)))</f>
        <v>Por el registro de la factura F003-00017125 de CCM HOTEL GROUP S.A.C. (CASA REPUBLICA BARRANCO)</v>
      </c>
      <c r="H51" t="str">
        <f>IF($C51="","",Registro_Compras!$C$9)</f>
        <v>F003-00017125</v>
      </c>
    </row>
    <row r="52" spans="1:8" x14ac:dyDescent="0.25">
      <c r="A52" s="25">
        <f>IF($C52="","",Registro_Compras!$B$9)</f>
        <v>46254</v>
      </c>
      <c r="B52" t="str">
        <f>IF($C52="","","C"&amp;TEXT(INT((ROW()-5)/9)+1,"000")&amp;"-1")</f>
        <v>C006-1</v>
      </c>
      <c r="C52" t="str">
        <f>IF(OR(Registro_Compras!$C$9="",Registro_Compras!$O$9=""),"",IF(Registro_Compras!$F$9="NOTA DE CREDITO",IF(Registro_Compras!$K$9=0,"","40111"),"4212"))</f>
        <v>4212</v>
      </c>
      <c r="D52" t="str">
        <f>IF(OR(Registro_Compras!$C$9="",Registro_Compras!$O$9=""),"",IF(Registro_Compras!$F$9="NOTA DE CREDITO","IGV - Cuenta Propia (Credito Fiscal)","Cuentas por Pagar Comerciales - Terceros (Emitidas)"))</f>
        <v>Cuentas por Pagar Comerciales - Terceros (Emitidas)</v>
      </c>
      <c r="E52" s="20" t="str">
        <f>""</f>
        <v/>
      </c>
      <c r="F52" s="20">
        <f>IF($C52="","",IF(Registro_Compras!$F$9="NOTA DE CREDITO",ROUND(ABS(Registro_Compras!$K$9*Registro_Compras!$N$9),2),IF(Registro_Compras!$F$9="RHE",(ROUND(Registro_Compras!$L$9*Registro_Compras!$N$9,2)-ROUND(Registro_Compras!$V$9*Registro_Compras!$N$9,2)),Registro_Compras!$O$9)))</f>
        <v>722.61</v>
      </c>
      <c r="G52" t="str">
        <f>IF($C52="","",IF(Registro_Compras!$F$9="NOTA DE CREDITO","Por la nota de credito "&amp;Registro_Compras!$C$9&amp;" de "&amp;Registro_Compras!$E$9&amp;" [PATRON POR CONFIRMAR CON CONTADOR]",IF(Registro_Compras!$F$9="RHE","Por el registro del recibo por honorarios "&amp;Registro_Compras!$C$9&amp;" de "&amp;Registro_Compras!$E$9&amp;" [PATRON POR CONFIRMAR CON CONTADOR]","Por el registro de la factura "&amp;Registro_Compras!$C$9&amp;" de "&amp;Registro_Compras!$E$9)))</f>
        <v>Por el registro de la factura F003-00017125 de CCM HOTEL GROUP S.A.C. (CASA REPUBLICA BARRANCO)</v>
      </c>
      <c r="H52" t="str">
        <f>IF($C52="","",Registro_Compras!$C$9)</f>
        <v>F003-00017125</v>
      </c>
    </row>
    <row r="53" spans="1:8" x14ac:dyDescent="0.25">
      <c r="A53" s="25">
        <f>IF($C53="","",Registro_Compras!$B$9)</f>
        <v>46254</v>
      </c>
      <c r="B53" t="str">
        <f>IF($C53="","","C"&amp;TEXT(INT((ROW()-5)/9)+1,"000")&amp;"-2")</f>
        <v>C006-2</v>
      </c>
      <c r="C53" t="str">
        <f>IF(OR(Registro_Compras!$C$9="",Registro_Compras!$O$9=""),"",IF(Registro_Compras!$AB$9="ADMINISTRATIVO","94","95"))</f>
        <v>95</v>
      </c>
      <c r="D53" t="str">
        <f>IF(OR(Registro_Compras!$C$9="",Registro_Compras!$O$9=""),"",IF(Registro_Compras!$AB$9="ADMINISTRATIVO","Gastos Administrativos","Gastos de Venta y Operacion"))</f>
        <v>Gastos de Venta y Operacion</v>
      </c>
      <c r="E53" s="20">
        <f>IF($C53="","",IF(Registro_Compras!$F$9="NOTA DE CREDITO","",IF(Registro_Compras!$F$9="RHE",ROUND(Registro_Compras!$L$9*Registro_Compras!$N$9,2),ROUND(Registro_Compras!$J$9*Registro_Compras!$N$9,2))))</f>
        <v>659.66</v>
      </c>
      <c r="F53" s="20" t="str">
        <f>IF($C53="","",IF(Registro_Compras!$F$9="NOTA DE CREDITO",ROUND(ABS(Registro_Compras!$J$9*Registro_Compras!$N$9),2),""))</f>
        <v/>
      </c>
      <c r="G53" t="str">
        <f>IF($C53="","","Por el destino del gasto")</f>
        <v>Por el destino del gasto</v>
      </c>
      <c r="H53" t="str">
        <f>IF($C53="","",Registro_Compras!$C$9)</f>
        <v>F003-00017125</v>
      </c>
    </row>
    <row r="54" spans="1:8" x14ac:dyDescent="0.25">
      <c r="A54" s="25">
        <f>IF($C54="","",Registro_Compras!$B$9)</f>
        <v>46254</v>
      </c>
      <c r="B54" t="str">
        <f>IF($C54="","","C"&amp;TEXT(INT((ROW()-5)/9)+1,"000")&amp;"-2")</f>
        <v>C006-2</v>
      </c>
      <c r="C54" t="str">
        <f>IF(OR(Registro_Compras!$C$9="",Registro_Compras!$O$9=""),"","79/791")</f>
        <v>79/791</v>
      </c>
      <c r="D54" t="str">
        <f>IF(OR(Registro_Compras!$C$9="",Registro_Compras!$O$9=""),"","Cargas Imputables a Cuentas de Costos y Gastos")</f>
        <v>Cargas Imputables a Cuentas de Costos y Gastos</v>
      </c>
      <c r="E54" s="20" t="str">
        <f>IF($C54="","",IF(Registro_Compras!$F$9="NOTA DE CREDITO",ROUND(ABS(Registro_Compras!$J$9*Registro_Compras!$N$9),2),""))</f>
        <v/>
      </c>
      <c r="F54" s="20">
        <f>IF($C54="","",IF(Registro_Compras!$F$9="NOTA DE CREDITO","",IF(Registro_Compras!$F$9="RHE",ROUND(Registro_Compras!$L$9*Registro_Compras!$N$9,2),ROUND(Registro_Compras!$J$9*Registro_Compras!$N$9,2))))</f>
        <v>659.66</v>
      </c>
      <c r="G54" t="str">
        <f>IF($C54="","","Por el destino del gasto")</f>
        <v>Por el destino del gasto</v>
      </c>
      <c r="H54" t="str">
        <f>IF($C54="","",Registro_Compras!$C$9)</f>
        <v>F003-00017125</v>
      </c>
    </row>
    <row r="55" spans="1:8" x14ac:dyDescent="0.25">
      <c r="A55" s="25" t="str">
        <f>IF($C55="","",Registro_Compras!$X$9)</f>
        <v/>
      </c>
      <c r="B55" t="str">
        <f>IF($C55="","","C"&amp;TEXT(INT((ROW()-5)/9)+1,"000")&amp;"-3")</f>
        <v/>
      </c>
      <c r="C55" t="str">
        <f>IF(OR(Registro_Compras!$C$9="",Registro_Compras!$O$9="",Registro_Compras!$R$9&lt;&gt;"SI",Registro_Compras!$X$9=""),"","4212")</f>
        <v/>
      </c>
      <c r="D55" t="str">
        <f>IF(OR(Registro_Compras!$C$9="",Registro_Compras!$O$9=""),"","Cuentas por Pagar Comerciales - Terceros")</f>
        <v>Cuentas por Pagar Comerciales - Terceros</v>
      </c>
      <c r="E55" s="20" t="str">
        <f>IF($C55="","",Registro_Compras!$S$9)</f>
        <v/>
      </c>
      <c r="F55" s="20" t="str">
        <f>""</f>
        <v/>
      </c>
      <c r="G55" t="str">
        <f>IF($C55="","","Por el deposito de la detraccion en el Banco de la Nacion")</f>
        <v/>
      </c>
      <c r="H55" t="str">
        <f>IF($C55="","",Registro_Compras!$C$9)</f>
        <v/>
      </c>
    </row>
    <row r="56" spans="1:8" x14ac:dyDescent="0.25">
      <c r="A56" s="25" t="str">
        <f>IF($C56="","",Registro_Compras!$X$9)</f>
        <v/>
      </c>
      <c r="B56" t="str">
        <f>IF($C56="","","C"&amp;TEXT(INT((ROW()-5)/9)+1,"000")&amp;"-3")</f>
        <v/>
      </c>
      <c r="C56" t="str">
        <f>IF(OR(Registro_Compras!$C$9="",Registro_Compras!$O$9="",Registro_Compras!$R$9&lt;&gt;"SI",Registro_Compras!$X$9=""),"","1041")</f>
        <v/>
      </c>
      <c r="D56" t="str">
        <f>IF(OR(Registro_Compras!$C$9="",Registro_Compras!$O$9=""),"","Efectivo y Equivalentes - Cta. Cte. Operativa")</f>
        <v>Efectivo y Equivalentes - Cta. Cte. Operativa</v>
      </c>
      <c r="E56" s="20" t="str">
        <f>""</f>
        <v/>
      </c>
      <c r="F56" s="20" t="str">
        <f>IF($C56="","",Registro_Compras!$S$9)</f>
        <v/>
      </c>
      <c r="G56" t="str">
        <f>IF($C56="","","Por el deposito de la detraccion en el Banco de la Nacion")</f>
        <v/>
      </c>
      <c r="H56" t="str">
        <f>IF($C56="","",Registro_Compras!$C$9)</f>
        <v/>
      </c>
    </row>
    <row r="57" spans="1:8" x14ac:dyDescent="0.25">
      <c r="A57" s="25" t="str">
        <f>IF($C57="","",Registro_Compras!$Y$9)</f>
        <v/>
      </c>
      <c r="B57" t="str">
        <f>IF($C57="","","C"&amp;TEXT(INT((ROW()-5)/9)+1,"000")&amp;"-4")</f>
        <v/>
      </c>
      <c r="C57" t="str">
        <f>IF(OR(Registro_Compras!$C$9="",Registro_Compras!$O$9="",Registro_Compras!$Y$9="",Registro_Compras!$F$9="NOTA DE CREDITO"),"","4212")</f>
        <v/>
      </c>
      <c r="D57" t="str">
        <f>IF(OR(Registro_Compras!$C$9="",Registro_Compras!$O$9=""),"","Cuentas por Pagar Comerciales - Terceros")</f>
        <v>Cuentas por Pagar Comerciales - Terceros</v>
      </c>
      <c r="E57" s="20" t="str">
        <f>IF($C57="","",IF(Registro_Compras!$F$9="RHE",(ROUND(Registro_Compras!$L$9*Registro_Compras!$N$9,2)-ROUND(Registro_Compras!$V$9*Registro_Compras!$N$9,2)),ROUND(Registro_Compras!$O$9-Registro_Compras!$S$9,2)))</f>
        <v/>
      </c>
      <c r="F57" s="20" t="str">
        <f>""</f>
        <v/>
      </c>
      <c r="G57" t="str">
        <f>IF($C57="","","Por la cancelacion del saldo al proveedor")</f>
        <v/>
      </c>
      <c r="H57" t="str">
        <f>IF($C57="","",Registro_Compras!$C$9)</f>
        <v/>
      </c>
    </row>
    <row r="58" spans="1:8" x14ac:dyDescent="0.25">
      <c r="A58" s="25" t="str">
        <f>IF($C58="","",Registro_Compras!$Y$9)</f>
        <v/>
      </c>
      <c r="B58" t="str">
        <f>IF($C58="","","C"&amp;TEXT(INT((ROW()-5)/9)+1,"000")&amp;"-4")</f>
        <v/>
      </c>
      <c r="C58" t="str">
        <f>IF(OR(Registro_Compras!$C$9="",Registro_Compras!$O$9="",Registro_Compras!$Y$9="",Registro_Compras!$F$9="NOTA DE CREDITO"),"","1041")</f>
        <v/>
      </c>
      <c r="D58" t="str">
        <f>IF(OR(Registro_Compras!$C$9="",Registro_Compras!$O$9=""),"","Efectivo y Equivalentes - Cta. Cte. Operativa")</f>
        <v>Efectivo y Equivalentes - Cta. Cte. Operativa</v>
      </c>
      <c r="E58" s="20" t="str">
        <f>""</f>
        <v/>
      </c>
      <c r="F58" s="20" t="str">
        <f>IF($C58="","",IF(Registro_Compras!$F$9="RHE",(ROUND(Registro_Compras!$L$9*Registro_Compras!$N$9,2)-ROUND(Registro_Compras!$V$9*Registro_Compras!$N$9,2)),ROUND(Registro_Compras!$O$9-Registro_Compras!$S$9,2)))</f>
        <v/>
      </c>
      <c r="G58" t="str">
        <f>IF($C58="","","Por la cancelacion del saldo al proveedor")</f>
        <v/>
      </c>
      <c r="H58" t="str">
        <f>IF($C58="","",Registro_Compras!$C$9)</f>
        <v/>
      </c>
    </row>
    <row r="59" spans="1:8" x14ac:dyDescent="0.25">
      <c r="A59" s="25">
        <f>IF($C59="","",Registro_Compras!$B$10)</f>
        <v>46254</v>
      </c>
      <c r="B59" t="str">
        <f>IF($C59="","","C"&amp;TEXT(INT((ROW()-5)/9)+1,"000")&amp;"-1")</f>
        <v>C007-1</v>
      </c>
      <c r="C59" t="str">
        <f>IF(OR(Registro_Compras!$C$10="",Registro_Compras!$O$10=""),"",IF(Registro_Compras!$F$10="NOTA DE CREDITO","4212",IF(Registro_Compras!$M$10="","63",Registro_Compras!$M$10)))</f>
        <v>639</v>
      </c>
      <c r="D59" t="str">
        <f>IF(OR(Registro_Compras!$C$10="",Registro_Compras!$O$10=""),"",IF(Registro_Compras!$F$10="NOTA DE CREDITO","Cuentas por Pagar Comerciales - Terceros (Emitidas)",IF(Registro_Compras!$F$10="RHE","Honorarios Profesionales - Servicios de Terceros","Gastos de Servicios Prestados por Terceros")))</f>
        <v>Gastos de Servicios Prestados por Terceros</v>
      </c>
      <c r="E59" s="20">
        <f>IF($C59="","",IF(Registro_Compras!$F$10="NOTA DE CREDITO",ABS(Registro_Compras!$O$10),IF(Registro_Compras!$F$10="RHE",ROUND(Registro_Compras!$L$10*Registro_Compras!$N$10,2),ROUND(Registro_Compras!$J$10*Registro_Compras!$N$10,2))))</f>
        <v>773.03</v>
      </c>
      <c r="F59" s="20" t="str">
        <f>""</f>
        <v/>
      </c>
      <c r="G59" t="str">
        <f>IF($C59="","",IF(Registro_Compras!$F$10="NOTA DE CREDITO","Por la nota de credito "&amp;Registro_Compras!$C$10&amp;" de "&amp;Registro_Compras!$E$10&amp;" [PATRON POR CONFIRMAR CON CONTADOR]",IF(Registro_Compras!$F$10="RHE","Por el registro del recibo por honorarios "&amp;Registro_Compras!$C$10&amp;" de "&amp;Registro_Compras!$E$10&amp;" [PATRON POR CONFIRMAR CON CONTADOR]","Por el registro de la factura "&amp;Registro_Compras!$C$10&amp;" de "&amp;Registro_Compras!$E$10)))</f>
        <v>Por el registro de la factura F003-00017127 de CCM HOTEL GROUP S.A.C. (CASA REPUBLICA BARRANCO)</v>
      </c>
      <c r="H59" t="str">
        <f>IF($C59="","",Registro_Compras!$C$10)</f>
        <v>F003-00017127</v>
      </c>
    </row>
    <row r="60" spans="1:8" x14ac:dyDescent="0.25">
      <c r="A60" s="25" t="str">
        <f>IF($C60="","",Registro_Compras!$B$10)</f>
        <v/>
      </c>
      <c r="B60" t="str">
        <f>IF($C60="","","C"&amp;TEXT(INT((ROW()-5)/9)+1,"000")&amp;"-1")</f>
        <v/>
      </c>
      <c r="C60" t="str">
        <f>IF(OR(Registro_Compras!$C$10="",Registro_Compras!$O$10=""),"",IF(Registro_Compras!$F$10="RHE",IF(Registro_Compras!$V$10=0,"","4017"),IF(Registro_Compras!$F$10="NOTA DE CREDITO",IF(Registro_Compras!$M$10="","63",Registro_Compras!$M$10),IF(Registro_Compras!$K$10=0,"","40111"))))</f>
        <v/>
      </c>
      <c r="D60" t="str">
        <f>IF(OR(Registro_Compras!$C$10="",Registro_Compras!$O$10=""),"",IF(Registro_Compras!$F$10="RHE","Retencion Renta 4ta Categoria por Pagar",IF(Registro_Compras!$F$10="NOTA DE CREDITO","Gastos de Servicios Prestados por Terceros","IGV - Cuenta Propia (Credito Fiscal)")))</f>
        <v>IGV - Cuenta Propia (Credito Fiscal)</v>
      </c>
      <c r="E60" s="20" t="str">
        <f>IF($C60="","",IF(Registro_Compras!$F$10="FACTURA",ROUND(Registro_Compras!$K$10*Registro_Compras!$N$10,2),""))</f>
        <v/>
      </c>
      <c r="F60" s="20" t="str">
        <f>IF($C60="","",IF(Registro_Compras!$F$10="RHE",ROUND(Registro_Compras!$V$10*Registro_Compras!$N$10,2),IF(Registro_Compras!$F$10="NOTA DE CREDITO",ROUND(ABS(Registro_Compras!$J$10*Registro_Compras!$N$10),2),"")))</f>
        <v/>
      </c>
      <c r="G60" t="str">
        <f>IF($C60="","",IF(Registro_Compras!$F$10="NOTA DE CREDITO","Por la nota de credito "&amp;Registro_Compras!$C$10&amp;" de "&amp;Registro_Compras!$E$10&amp;" [PATRON POR CONFIRMAR CON CONTADOR]",IF(Registro_Compras!$F$10="RHE","Por el registro del recibo por honorarios "&amp;Registro_Compras!$C$10&amp;" de "&amp;Registro_Compras!$E$10&amp;" [PATRON POR CONFIRMAR CON CONTADOR]","Por el registro de la factura "&amp;Registro_Compras!$C$10&amp;" de "&amp;Registro_Compras!$E$10)))</f>
        <v/>
      </c>
      <c r="H60" t="str">
        <f>IF($C60="","",Registro_Compras!$C$10)</f>
        <v/>
      </c>
    </row>
    <row r="61" spans="1:8" x14ac:dyDescent="0.25">
      <c r="A61" s="25">
        <f>IF($C61="","",Registro_Compras!$B$10)</f>
        <v>46254</v>
      </c>
      <c r="B61" t="str">
        <f>IF($C61="","","C"&amp;TEXT(INT((ROW()-5)/9)+1,"000")&amp;"-1")</f>
        <v>C007-1</v>
      </c>
      <c r="C61" t="str">
        <f>IF(OR(Registro_Compras!$C$10="",Registro_Compras!$O$10=""),"",IF(Registro_Compras!$F$10="NOTA DE CREDITO",IF(Registro_Compras!$K$10=0,"","40111"),"4212"))</f>
        <v>4212</v>
      </c>
      <c r="D61" t="str">
        <f>IF(OR(Registro_Compras!$C$10="",Registro_Compras!$O$10=""),"",IF(Registro_Compras!$F$10="NOTA DE CREDITO","IGV - Cuenta Propia (Credito Fiscal)","Cuentas por Pagar Comerciales - Terceros (Emitidas)"))</f>
        <v>Cuentas por Pagar Comerciales - Terceros (Emitidas)</v>
      </c>
      <c r="E61" s="20" t="str">
        <f>""</f>
        <v/>
      </c>
      <c r="F61" s="20">
        <f>IF($C61="","",IF(Registro_Compras!$F$10="NOTA DE CREDITO",ROUND(ABS(Registro_Compras!$K$10*Registro_Compras!$N$10),2),IF(Registro_Compras!$F$10="RHE",(ROUND(Registro_Compras!$L$10*Registro_Compras!$N$10,2)-ROUND(Registro_Compras!$V$10*Registro_Compras!$N$10,2)),Registro_Compras!$O$10)))</f>
        <v>773.03</v>
      </c>
      <c r="G61" t="str">
        <f>IF($C61="","",IF(Registro_Compras!$F$10="NOTA DE CREDITO","Por la nota de credito "&amp;Registro_Compras!$C$10&amp;" de "&amp;Registro_Compras!$E$10&amp;" [PATRON POR CONFIRMAR CON CONTADOR]",IF(Registro_Compras!$F$10="RHE","Por el registro del recibo por honorarios "&amp;Registro_Compras!$C$10&amp;" de "&amp;Registro_Compras!$E$10&amp;" [PATRON POR CONFIRMAR CON CONTADOR]","Por el registro de la factura "&amp;Registro_Compras!$C$10&amp;" de "&amp;Registro_Compras!$E$10)))</f>
        <v>Por el registro de la factura F003-00017127 de CCM HOTEL GROUP S.A.C. (CASA REPUBLICA BARRANCO)</v>
      </c>
      <c r="H61" t="str">
        <f>IF($C61="","",Registro_Compras!$C$10)</f>
        <v>F003-00017127</v>
      </c>
    </row>
    <row r="62" spans="1:8" x14ac:dyDescent="0.25">
      <c r="A62" s="25">
        <f>IF($C62="","",Registro_Compras!$B$10)</f>
        <v>46254</v>
      </c>
      <c r="B62" t="str">
        <f>IF($C62="","","C"&amp;TEXT(INT((ROW()-5)/9)+1,"000")&amp;"-2")</f>
        <v>C007-2</v>
      </c>
      <c r="C62" t="str">
        <f>IF(OR(Registro_Compras!$C$10="",Registro_Compras!$O$10=""),"",IF(Registro_Compras!$AB$10="ADMINISTRATIVO","94","95"))</f>
        <v>95</v>
      </c>
      <c r="D62" t="str">
        <f>IF(OR(Registro_Compras!$C$10="",Registro_Compras!$O$10=""),"",IF(Registro_Compras!$AB$10="ADMINISTRATIVO","Gastos Administrativos","Gastos de Venta y Operacion"))</f>
        <v>Gastos de Venta y Operacion</v>
      </c>
      <c r="E62" s="20">
        <f>IF($C62="","",IF(Registro_Compras!$F$10="NOTA DE CREDITO","",IF(Registro_Compras!$F$10="RHE",ROUND(Registro_Compras!$L$10*Registro_Compras!$N$10,2),ROUND(Registro_Compras!$J$10*Registro_Compras!$N$10,2))))</f>
        <v>773.03</v>
      </c>
      <c r="F62" s="20" t="str">
        <f>IF($C62="","",IF(Registro_Compras!$F$10="NOTA DE CREDITO",ROUND(ABS(Registro_Compras!$J$10*Registro_Compras!$N$10),2),""))</f>
        <v/>
      </c>
      <c r="G62" t="str">
        <f>IF($C62="","","Por el destino del gasto")</f>
        <v>Por el destino del gasto</v>
      </c>
      <c r="H62" t="str">
        <f>IF($C62="","",Registro_Compras!$C$10)</f>
        <v>F003-00017127</v>
      </c>
    </row>
    <row r="63" spans="1:8" x14ac:dyDescent="0.25">
      <c r="A63" s="25">
        <f>IF($C63="","",Registro_Compras!$B$10)</f>
        <v>46254</v>
      </c>
      <c r="B63" t="str">
        <f>IF($C63="","","C"&amp;TEXT(INT((ROW()-5)/9)+1,"000")&amp;"-2")</f>
        <v>C007-2</v>
      </c>
      <c r="C63" t="str">
        <f>IF(OR(Registro_Compras!$C$10="",Registro_Compras!$O$10=""),"","79/791")</f>
        <v>79/791</v>
      </c>
      <c r="D63" t="str">
        <f>IF(OR(Registro_Compras!$C$10="",Registro_Compras!$O$10=""),"","Cargas Imputables a Cuentas de Costos y Gastos")</f>
        <v>Cargas Imputables a Cuentas de Costos y Gastos</v>
      </c>
      <c r="E63" s="20" t="str">
        <f>IF($C63="","",IF(Registro_Compras!$F$10="NOTA DE CREDITO",ROUND(ABS(Registro_Compras!$J$10*Registro_Compras!$N$10),2),""))</f>
        <v/>
      </c>
      <c r="F63" s="20">
        <f>IF($C63="","",IF(Registro_Compras!$F$10="NOTA DE CREDITO","",IF(Registro_Compras!$F$10="RHE",ROUND(Registro_Compras!$L$10*Registro_Compras!$N$10,2),ROUND(Registro_Compras!$J$10*Registro_Compras!$N$10,2))))</f>
        <v>773.03</v>
      </c>
      <c r="G63" t="str">
        <f>IF($C63="","","Por el destino del gasto")</f>
        <v>Por el destino del gasto</v>
      </c>
      <c r="H63" t="str">
        <f>IF($C63="","",Registro_Compras!$C$10)</f>
        <v>F003-00017127</v>
      </c>
    </row>
    <row r="64" spans="1:8" x14ac:dyDescent="0.25">
      <c r="A64" s="25" t="str">
        <f>IF($C64="","",Registro_Compras!$X$10)</f>
        <v/>
      </c>
      <c r="B64" t="str">
        <f>IF($C64="","","C"&amp;TEXT(INT((ROW()-5)/9)+1,"000")&amp;"-3")</f>
        <v/>
      </c>
      <c r="C64" t="str">
        <f>IF(OR(Registro_Compras!$C$10="",Registro_Compras!$O$10="",Registro_Compras!$R$10&lt;&gt;"SI",Registro_Compras!$X$10=""),"","4212")</f>
        <v/>
      </c>
      <c r="D64" t="str">
        <f>IF(OR(Registro_Compras!$C$10="",Registro_Compras!$O$10=""),"","Cuentas por Pagar Comerciales - Terceros")</f>
        <v>Cuentas por Pagar Comerciales - Terceros</v>
      </c>
      <c r="E64" s="20" t="str">
        <f>IF($C64="","",Registro_Compras!$S$10)</f>
        <v/>
      </c>
      <c r="F64" s="20" t="str">
        <f>""</f>
        <v/>
      </c>
      <c r="G64" t="str">
        <f>IF($C64="","","Por el deposito de la detraccion en el Banco de la Nacion")</f>
        <v/>
      </c>
      <c r="H64" t="str">
        <f>IF($C64="","",Registro_Compras!$C$10)</f>
        <v/>
      </c>
    </row>
    <row r="65" spans="1:8" x14ac:dyDescent="0.25">
      <c r="A65" s="25" t="str">
        <f>IF($C65="","",Registro_Compras!$X$10)</f>
        <v/>
      </c>
      <c r="B65" t="str">
        <f>IF($C65="","","C"&amp;TEXT(INT((ROW()-5)/9)+1,"000")&amp;"-3")</f>
        <v/>
      </c>
      <c r="C65" t="str">
        <f>IF(OR(Registro_Compras!$C$10="",Registro_Compras!$O$10="",Registro_Compras!$R$10&lt;&gt;"SI",Registro_Compras!$X$10=""),"","1041")</f>
        <v/>
      </c>
      <c r="D65" t="str">
        <f>IF(OR(Registro_Compras!$C$10="",Registro_Compras!$O$10=""),"","Efectivo y Equivalentes - Cta. Cte. Operativa")</f>
        <v>Efectivo y Equivalentes - Cta. Cte. Operativa</v>
      </c>
      <c r="E65" s="20" t="str">
        <f>""</f>
        <v/>
      </c>
      <c r="F65" s="20" t="str">
        <f>IF($C65="","",Registro_Compras!$S$10)</f>
        <v/>
      </c>
      <c r="G65" t="str">
        <f>IF($C65="","","Por el deposito de la detraccion en el Banco de la Nacion")</f>
        <v/>
      </c>
      <c r="H65" t="str">
        <f>IF($C65="","",Registro_Compras!$C$10)</f>
        <v/>
      </c>
    </row>
    <row r="66" spans="1:8" x14ac:dyDescent="0.25">
      <c r="A66" s="25" t="str">
        <f>IF($C66="","",Registro_Compras!$Y$10)</f>
        <v/>
      </c>
      <c r="B66" t="str">
        <f>IF($C66="","","C"&amp;TEXT(INT((ROW()-5)/9)+1,"000")&amp;"-4")</f>
        <v/>
      </c>
      <c r="C66" t="str">
        <f>IF(OR(Registro_Compras!$C$10="",Registro_Compras!$O$10="",Registro_Compras!$Y$10="",Registro_Compras!$F$10="NOTA DE CREDITO"),"","4212")</f>
        <v/>
      </c>
      <c r="D66" t="str">
        <f>IF(OR(Registro_Compras!$C$10="",Registro_Compras!$O$10=""),"","Cuentas por Pagar Comerciales - Terceros")</f>
        <v>Cuentas por Pagar Comerciales - Terceros</v>
      </c>
      <c r="E66" s="20" t="str">
        <f>IF($C66="","",IF(Registro_Compras!$F$10="RHE",(ROUND(Registro_Compras!$L$10*Registro_Compras!$N$10,2)-ROUND(Registro_Compras!$V$10*Registro_Compras!$N$10,2)),ROUND(Registro_Compras!$O$10-Registro_Compras!$S$10,2)))</f>
        <v/>
      </c>
      <c r="F66" s="20" t="str">
        <f>""</f>
        <v/>
      </c>
      <c r="G66" t="str">
        <f>IF($C66="","","Por la cancelacion del saldo al proveedor")</f>
        <v/>
      </c>
      <c r="H66" t="str">
        <f>IF($C66="","",Registro_Compras!$C$10)</f>
        <v/>
      </c>
    </row>
    <row r="67" spans="1:8" x14ac:dyDescent="0.25">
      <c r="A67" s="25" t="str">
        <f>IF($C67="","",Registro_Compras!$Y$10)</f>
        <v/>
      </c>
      <c r="B67" t="str">
        <f>IF($C67="","","C"&amp;TEXT(INT((ROW()-5)/9)+1,"000")&amp;"-4")</f>
        <v/>
      </c>
      <c r="C67" t="str">
        <f>IF(OR(Registro_Compras!$C$10="",Registro_Compras!$O$10="",Registro_Compras!$Y$10="",Registro_Compras!$F$10="NOTA DE CREDITO"),"","1041")</f>
        <v/>
      </c>
      <c r="D67" t="str">
        <f>IF(OR(Registro_Compras!$C$10="",Registro_Compras!$O$10=""),"","Efectivo y Equivalentes - Cta. Cte. Operativa")</f>
        <v>Efectivo y Equivalentes - Cta. Cte. Operativa</v>
      </c>
      <c r="E67" s="20" t="str">
        <f>""</f>
        <v/>
      </c>
      <c r="F67" s="20" t="str">
        <f>IF($C67="","",IF(Registro_Compras!$F$10="RHE",(ROUND(Registro_Compras!$L$10*Registro_Compras!$N$10,2)-ROUND(Registro_Compras!$V$10*Registro_Compras!$N$10,2)),ROUND(Registro_Compras!$O$10-Registro_Compras!$S$10,2)))</f>
        <v/>
      </c>
      <c r="G67" t="str">
        <f>IF($C67="","","Por la cancelacion del saldo al proveedor")</f>
        <v/>
      </c>
      <c r="H67" t="str">
        <f>IF($C67="","",Registro_Compras!$C$10)</f>
        <v/>
      </c>
    </row>
    <row r="68" spans="1:8" x14ac:dyDescent="0.25">
      <c r="A68" s="25">
        <f>IF($C68="","",Registro_Compras!$B$11)</f>
        <v>46254</v>
      </c>
      <c r="B68" t="str">
        <f>IF($C68="","","C"&amp;TEXT(INT((ROW()-5)/9)+1,"000")&amp;"-1")</f>
        <v>C008-1</v>
      </c>
      <c r="C68" t="str">
        <f>IF(OR(Registro_Compras!$C$11="",Registro_Compras!$O$11=""),"",IF(Registro_Compras!$F$11="NOTA DE CREDITO","4212",IF(Registro_Compras!$M$11="","63",Registro_Compras!$M$11)))</f>
        <v>4212</v>
      </c>
      <c r="D68" t="str">
        <f>IF(OR(Registro_Compras!$C$11="",Registro_Compras!$O$11=""),"",IF(Registro_Compras!$F$11="NOTA DE CREDITO","Cuentas por Pagar Comerciales - Terceros (Emitidas)",IF(Registro_Compras!$F$11="RHE","Honorarios Profesionales - Servicios de Terceros","Gastos de Servicios Prestados por Terceros")))</f>
        <v>Cuentas por Pagar Comerciales - Terceros (Emitidas)</v>
      </c>
      <c r="E68" s="20">
        <f>IF($C68="","",IF(Registro_Compras!$F$11="NOTA DE CREDITO",ABS(Registro_Compras!$O$11),IF(Registro_Compras!$F$11="RHE",ROUND(Registro_Compras!$L$11*Registro_Compras!$N$11,2),ROUND(Registro_Compras!$J$11*Registro_Compras!$N$11,2))))</f>
        <v>773.03</v>
      </c>
      <c r="F68" s="20" t="str">
        <f>""</f>
        <v/>
      </c>
      <c r="G68" t="str">
        <f>IF($C68="","",IF(Registro_Compras!$F$11="NOTA DE CREDITO","Por la nota de credito "&amp;Registro_Compras!$C$11&amp;" de "&amp;Registro_Compras!$E$11&amp;" [PATRON POR CONFIRMAR CON CONTADOR]",IF(Registro_Compras!$F$11="RHE","Por el registro del recibo por honorarios "&amp;Registro_Compras!$C$11&amp;" de "&amp;Registro_Compras!$E$11&amp;" [PATRON POR CONFIRMAR CON CONTADOR]","Por el registro de la factura "&amp;Registro_Compras!$C$11&amp;" de "&amp;Registro_Compras!$E$11)))</f>
        <v>Por la nota de credito FNC3-00001843 de CCM HOTEL GROUP S.A.C. (CASA REPUBLICA BARRANCO) [PATRON POR CONFIRMAR CON CONTADOR]</v>
      </c>
      <c r="H68" t="str">
        <f>IF($C68="","",Registro_Compras!$C$11)</f>
        <v>FNC3-00001843</v>
      </c>
    </row>
    <row r="69" spans="1:8" x14ac:dyDescent="0.25">
      <c r="A69" s="25">
        <f>IF($C69="","",Registro_Compras!$B$11)</f>
        <v>46254</v>
      </c>
      <c r="B69" t="str">
        <f>IF($C69="","","C"&amp;TEXT(INT((ROW()-5)/9)+1,"000")&amp;"-1")</f>
        <v>C008-1</v>
      </c>
      <c r="C69" t="str">
        <f>IF(OR(Registro_Compras!$C$11="",Registro_Compras!$O$11=""),"",IF(Registro_Compras!$F$11="RHE",IF(Registro_Compras!$V$11=0,"","4017"),IF(Registro_Compras!$F$11="NOTA DE CREDITO",IF(Registro_Compras!$M$11="","63",Registro_Compras!$M$11),IF(Registro_Compras!$K$11=0,"","40111"))))</f>
        <v>639</v>
      </c>
      <c r="D69" t="str">
        <f>IF(OR(Registro_Compras!$C$11="",Registro_Compras!$O$11=""),"",IF(Registro_Compras!$F$11="RHE","Retencion Renta 4ta Categoria por Pagar",IF(Registro_Compras!$F$11="NOTA DE CREDITO","Gastos de Servicios Prestados por Terceros","IGV - Cuenta Propia (Credito Fiscal)")))</f>
        <v>Gastos de Servicios Prestados por Terceros</v>
      </c>
      <c r="E69" s="20" t="str">
        <f>IF($C69="","",IF(Registro_Compras!$F$11="FACTURA",ROUND(Registro_Compras!$K$11*Registro_Compras!$N$11,2),""))</f>
        <v/>
      </c>
      <c r="F69" s="20">
        <f>IF($C69="","",IF(Registro_Compras!$F$11="RHE",ROUND(Registro_Compras!$V$11*Registro_Compras!$N$11,2),IF(Registro_Compras!$F$11="NOTA DE CREDITO",ROUND(ABS(Registro_Compras!$J$11*Registro_Compras!$N$11),2),"")))</f>
        <v>705.68</v>
      </c>
      <c r="G69" t="str">
        <f>IF($C69="","",IF(Registro_Compras!$F$11="NOTA DE CREDITO","Por la nota de credito "&amp;Registro_Compras!$C$11&amp;" de "&amp;Registro_Compras!$E$11&amp;" [PATRON POR CONFIRMAR CON CONTADOR]",IF(Registro_Compras!$F$11="RHE","Por el registro del recibo por honorarios "&amp;Registro_Compras!$C$11&amp;" de "&amp;Registro_Compras!$E$11&amp;" [PATRON POR CONFIRMAR CON CONTADOR]","Por el registro de la factura "&amp;Registro_Compras!$C$11&amp;" de "&amp;Registro_Compras!$E$11)))</f>
        <v>Por la nota de credito FNC3-00001843 de CCM HOTEL GROUP S.A.C. (CASA REPUBLICA BARRANCO) [PATRON POR CONFIRMAR CON CONTADOR]</v>
      </c>
      <c r="H69" t="str">
        <f>IF($C69="","",Registro_Compras!$C$11)</f>
        <v>FNC3-00001843</v>
      </c>
    </row>
    <row r="70" spans="1:8" x14ac:dyDescent="0.25">
      <c r="A70" s="25">
        <f>IF($C70="","",Registro_Compras!$B$11)</f>
        <v>46254</v>
      </c>
      <c r="B70" t="str">
        <f>IF($C70="","","C"&amp;TEXT(INT((ROW()-5)/9)+1,"000")&amp;"-1")</f>
        <v>C008-1</v>
      </c>
      <c r="C70" t="str">
        <f>IF(OR(Registro_Compras!$C$11="",Registro_Compras!$O$11=""),"",IF(Registro_Compras!$F$11="NOTA DE CREDITO",IF(Registro_Compras!$K$11=0,"","40111"),"4212"))</f>
        <v>40111</v>
      </c>
      <c r="D70" t="str">
        <f>IF(OR(Registro_Compras!$C$11="",Registro_Compras!$O$11=""),"",IF(Registro_Compras!$F$11="NOTA DE CREDITO","IGV - Cuenta Propia (Credito Fiscal)","Cuentas por Pagar Comerciales - Terceros (Emitidas)"))</f>
        <v>IGV - Cuenta Propia (Credito Fiscal)</v>
      </c>
      <c r="E70" s="20" t="str">
        <f>""</f>
        <v/>
      </c>
      <c r="F70" s="20">
        <f>IF($C70="","",IF(Registro_Compras!$F$11="NOTA DE CREDITO",ROUND(ABS(Registro_Compras!$K$11*Registro_Compras!$N$11),2),IF(Registro_Compras!$F$11="RHE",(ROUND(Registro_Compras!$L$11*Registro_Compras!$N$11,2)-ROUND(Registro_Compras!$V$11*Registro_Compras!$N$11,2)),Registro_Compras!$O$11)))</f>
        <v>67.349999999999994</v>
      </c>
      <c r="G70" t="str">
        <f>IF($C70="","",IF(Registro_Compras!$F$11="NOTA DE CREDITO","Por la nota de credito "&amp;Registro_Compras!$C$11&amp;" de "&amp;Registro_Compras!$E$11&amp;" [PATRON POR CONFIRMAR CON CONTADOR]",IF(Registro_Compras!$F$11="RHE","Por el registro del recibo por honorarios "&amp;Registro_Compras!$C$11&amp;" de "&amp;Registro_Compras!$E$11&amp;" [PATRON POR CONFIRMAR CON CONTADOR]","Por el registro de la factura "&amp;Registro_Compras!$C$11&amp;" de "&amp;Registro_Compras!$E$11)))</f>
        <v>Por la nota de credito FNC3-00001843 de CCM HOTEL GROUP S.A.C. (CASA REPUBLICA BARRANCO) [PATRON POR CONFIRMAR CON CONTADOR]</v>
      </c>
      <c r="H70" t="str">
        <f>IF($C70="","",Registro_Compras!$C$11)</f>
        <v>FNC3-00001843</v>
      </c>
    </row>
    <row r="71" spans="1:8" x14ac:dyDescent="0.25">
      <c r="A71" s="25">
        <f>IF($C71="","",Registro_Compras!$B$11)</f>
        <v>46254</v>
      </c>
      <c r="B71" t="str">
        <f>IF($C71="","","C"&amp;TEXT(INT((ROW()-5)/9)+1,"000")&amp;"-2")</f>
        <v>C008-2</v>
      </c>
      <c r="C71" t="str">
        <f>IF(OR(Registro_Compras!$C$11="",Registro_Compras!$O$11=""),"",IF(Registro_Compras!$AB$11="ADMINISTRATIVO","94","95"))</f>
        <v>95</v>
      </c>
      <c r="D71" t="str">
        <f>IF(OR(Registro_Compras!$C$11="",Registro_Compras!$O$11=""),"",IF(Registro_Compras!$AB$11="ADMINISTRATIVO","Gastos Administrativos","Gastos de Venta y Operacion"))</f>
        <v>Gastos de Venta y Operacion</v>
      </c>
      <c r="E71" s="20" t="str">
        <f>IF($C71="","",IF(Registro_Compras!$F$11="NOTA DE CREDITO","",IF(Registro_Compras!$F$11="RHE",ROUND(Registro_Compras!$L$11*Registro_Compras!$N$11,2),ROUND(Registro_Compras!$J$11*Registro_Compras!$N$11,2))))</f>
        <v/>
      </c>
      <c r="F71" s="20">
        <f>IF($C71="","",IF(Registro_Compras!$F$11="NOTA DE CREDITO",ROUND(ABS(Registro_Compras!$J$11*Registro_Compras!$N$11),2),""))</f>
        <v>705.68</v>
      </c>
      <c r="G71" t="str">
        <f>IF($C71="","","Por el destino del gasto")</f>
        <v>Por el destino del gasto</v>
      </c>
      <c r="H71" t="str">
        <f>IF($C71="","",Registro_Compras!$C$11)</f>
        <v>FNC3-00001843</v>
      </c>
    </row>
    <row r="72" spans="1:8" x14ac:dyDescent="0.25">
      <c r="A72" s="25">
        <f>IF($C72="","",Registro_Compras!$B$11)</f>
        <v>46254</v>
      </c>
      <c r="B72" t="str">
        <f>IF($C72="","","C"&amp;TEXT(INT((ROW()-5)/9)+1,"000")&amp;"-2")</f>
        <v>C008-2</v>
      </c>
      <c r="C72" t="str">
        <f>IF(OR(Registro_Compras!$C$11="",Registro_Compras!$O$11=""),"","79/791")</f>
        <v>79/791</v>
      </c>
      <c r="D72" t="str">
        <f>IF(OR(Registro_Compras!$C$11="",Registro_Compras!$O$11=""),"","Cargas Imputables a Cuentas de Costos y Gastos")</f>
        <v>Cargas Imputables a Cuentas de Costos y Gastos</v>
      </c>
      <c r="E72" s="20">
        <f>IF($C72="","",IF(Registro_Compras!$F$11="NOTA DE CREDITO",ROUND(ABS(Registro_Compras!$J$11*Registro_Compras!$N$11),2),""))</f>
        <v>705.68</v>
      </c>
      <c r="F72" s="20" t="str">
        <f>IF($C72="","",IF(Registro_Compras!$F$11="NOTA DE CREDITO","",IF(Registro_Compras!$F$11="RHE",ROUND(Registro_Compras!$L$11*Registro_Compras!$N$11,2),ROUND(Registro_Compras!$J$11*Registro_Compras!$N$11,2))))</f>
        <v/>
      </c>
      <c r="G72" t="str">
        <f>IF($C72="","","Por el destino del gasto")</f>
        <v>Por el destino del gasto</v>
      </c>
      <c r="H72" t="str">
        <f>IF($C72="","",Registro_Compras!$C$11)</f>
        <v>FNC3-00001843</v>
      </c>
    </row>
    <row r="73" spans="1:8" x14ac:dyDescent="0.25">
      <c r="A73" s="25" t="str">
        <f>IF($C73="","",Registro_Compras!$X$11)</f>
        <v/>
      </c>
      <c r="B73" t="str">
        <f>IF($C73="","","C"&amp;TEXT(INT((ROW()-5)/9)+1,"000")&amp;"-3")</f>
        <v/>
      </c>
      <c r="C73" t="str">
        <f>IF(OR(Registro_Compras!$C$11="",Registro_Compras!$O$11="",Registro_Compras!$R$11&lt;&gt;"SI",Registro_Compras!$X$11=""),"","4212")</f>
        <v/>
      </c>
      <c r="D73" t="str">
        <f>IF(OR(Registro_Compras!$C$11="",Registro_Compras!$O$11=""),"","Cuentas por Pagar Comerciales - Terceros")</f>
        <v>Cuentas por Pagar Comerciales - Terceros</v>
      </c>
      <c r="E73" s="20" t="str">
        <f>IF($C73="","",Registro_Compras!$S$11)</f>
        <v/>
      </c>
      <c r="F73" s="20" t="str">
        <f>""</f>
        <v/>
      </c>
      <c r="G73" t="str">
        <f>IF($C73="","","Por el deposito de la detraccion en el Banco de la Nacion")</f>
        <v/>
      </c>
      <c r="H73" t="str">
        <f>IF($C73="","",Registro_Compras!$C$11)</f>
        <v/>
      </c>
    </row>
    <row r="74" spans="1:8" x14ac:dyDescent="0.25">
      <c r="A74" s="25" t="str">
        <f>IF($C74="","",Registro_Compras!$X$11)</f>
        <v/>
      </c>
      <c r="B74" t="str">
        <f>IF($C74="","","C"&amp;TEXT(INT((ROW()-5)/9)+1,"000")&amp;"-3")</f>
        <v/>
      </c>
      <c r="C74" t="str">
        <f>IF(OR(Registro_Compras!$C$11="",Registro_Compras!$O$11="",Registro_Compras!$R$11&lt;&gt;"SI",Registro_Compras!$X$11=""),"","1041")</f>
        <v/>
      </c>
      <c r="D74" t="str">
        <f>IF(OR(Registro_Compras!$C$11="",Registro_Compras!$O$11=""),"","Efectivo y Equivalentes - Cta. Cte. Operativa")</f>
        <v>Efectivo y Equivalentes - Cta. Cte. Operativa</v>
      </c>
      <c r="E74" s="20" t="str">
        <f>""</f>
        <v/>
      </c>
      <c r="F74" s="20" t="str">
        <f>IF($C74="","",Registro_Compras!$S$11)</f>
        <v/>
      </c>
      <c r="G74" t="str">
        <f>IF($C74="","","Por el deposito de la detraccion en el Banco de la Nacion")</f>
        <v/>
      </c>
      <c r="H74" t="str">
        <f>IF($C74="","",Registro_Compras!$C$11)</f>
        <v/>
      </c>
    </row>
    <row r="75" spans="1:8" x14ac:dyDescent="0.25">
      <c r="A75" s="25" t="str">
        <f>IF($C75="","",Registro_Compras!$Y$11)</f>
        <v/>
      </c>
      <c r="B75" t="str">
        <f>IF($C75="","","C"&amp;TEXT(INT((ROW()-5)/9)+1,"000")&amp;"-4")</f>
        <v/>
      </c>
      <c r="C75" t="str">
        <f>IF(OR(Registro_Compras!$C$11="",Registro_Compras!$O$11="",Registro_Compras!$Y$11="",Registro_Compras!$F$11="NOTA DE CREDITO"),"","4212")</f>
        <v/>
      </c>
      <c r="D75" t="str">
        <f>IF(OR(Registro_Compras!$C$11="",Registro_Compras!$O$11=""),"","Cuentas por Pagar Comerciales - Terceros")</f>
        <v>Cuentas por Pagar Comerciales - Terceros</v>
      </c>
      <c r="E75" s="20" t="str">
        <f>IF($C75="","",IF(Registro_Compras!$F$11="RHE",(ROUND(Registro_Compras!$L$11*Registro_Compras!$N$11,2)-ROUND(Registro_Compras!$V$11*Registro_Compras!$N$11,2)),ROUND(Registro_Compras!$O$11-Registro_Compras!$S$11,2)))</f>
        <v/>
      </c>
      <c r="F75" s="20" t="str">
        <f>""</f>
        <v/>
      </c>
      <c r="G75" t="str">
        <f>IF($C75="","","Por la cancelacion del saldo al proveedor")</f>
        <v/>
      </c>
      <c r="H75" t="str">
        <f>IF($C75="","",Registro_Compras!$C$11)</f>
        <v/>
      </c>
    </row>
    <row r="76" spans="1:8" x14ac:dyDescent="0.25">
      <c r="A76" s="25" t="str">
        <f>IF($C76="","",Registro_Compras!$Y$11)</f>
        <v/>
      </c>
      <c r="B76" t="str">
        <f>IF($C76="","","C"&amp;TEXT(INT((ROW()-5)/9)+1,"000")&amp;"-4")</f>
        <v/>
      </c>
      <c r="C76" t="str">
        <f>IF(OR(Registro_Compras!$C$11="",Registro_Compras!$O$11="",Registro_Compras!$Y$11="",Registro_Compras!$F$11="NOTA DE CREDITO"),"","1041")</f>
        <v/>
      </c>
      <c r="D76" t="str">
        <f>IF(OR(Registro_Compras!$C$11="",Registro_Compras!$O$11=""),"","Efectivo y Equivalentes - Cta. Cte. Operativa")</f>
        <v>Efectivo y Equivalentes - Cta. Cte. Operativa</v>
      </c>
      <c r="E76" s="20" t="str">
        <f>""</f>
        <v/>
      </c>
      <c r="F76" s="20" t="str">
        <f>IF($C76="","",IF(Registro_Compras!$F$11="RHE",(ROUND(Registro_Compras!$L$11*Registro_Compras!$N$11,2)-ROUND(Registro_Compras!$V$11*Registro_Compras!$N$11,2)),ROUND(Registro_Compras!$O$11-Registro_Compras!$S$11,2)))</f>
        <v/>
      </c>
      <c r="G76" t="str">
        <f>IF($C76="","","Por la cancelacion del saldo al proveedor")</f>
        <v/>
      </c>
      <c r="H76" t="str">
        <f>IF($C76="","",Registro_Compras!$C$11)</f>
        <v/>
      </c>
    </row>
    <row r="77" spans="1:8" x14ac:dyDescent="0.25">
      <c r="A77" s="25">
        <f>IF($C77="","",Registro_Compras!$B$12)</f>
        <v>46254</v>
      </c>
      <c r="B77" t="str">
        <f>IF($C77="","","C"&amp;TEXT(INT((ROW()-5)/9)+1,"000")&amp;"-1")</f>
        <v>C009-1</v>
      </c>
      <c r="C77" t="str">
        <f>IF(OR(Registro_Compras!$C$12="",Registro_Compras!$O$12=""),"",IF(Registro_Compras!$F$12="NOTA DE CREDITO","4212",IF(Registro_Compras!$M$12="","63",Registro_Compras!$M$12)))</f>
        <v>639</v>
      </c>
      <c r="D77" t="str">
        <f>IF(OR(Registro_Compras!$C$12="",Registro_Compras!$O$12=""),"",IF(Registro_Compras!$F$12="NOTA DE CREDITO","Cuentas por Pagar Comerciales - Terceros (Emitidas)",IF(Registro_Compras!$F$12="RHE","Honorarios Profesionales - Servicios de Terceros","Gastos de Servicios Prestados por Terceros")))</f>
        <v>Gastos de Servicios Prestados por Terceros</v>
      </c>
      <c r="E77" s="20">
        <f>IF($C77="","",IF(Registro_Compras!$F$12="NOTA DE CREDITO",ABS(Registro_Compras!$O$12),IF(Registro_Compras!$F$12="RHE",ROUND(Registro_Compras!$L$12*Registro_Compras!$N$12,2),ROUND(Registro_Compras!$J$12*Registro_Compras!$N$12,2))))</f>
        <v>625.25</v>
      </c>
      <c r="F77" s="20" t="str">
        <f>""</f>
        <v/>
      </c>
      <c r="G77" t="str">
        <f>IF($C77="","",IF(Registro_Compras!$F$12="NOTA DE CREDITO","Por la nota de credito "&amp;Registro_Compras!$C$12&amp;" de "&amp;Registro_Compras!$E$12&amp;" [PATRON POR CONFIRMAR CON CONTADOR]",IF(Registro_Compras!$F$12="RHE","Por el registro del recibo por honorarios "&amp;Registro_Compras!$C$12&amp;" de "&amp;Registro_Compras!$E$12&amp;" [PATRON POR CONFIRMAR CON CONTADOR]","Por el registro de la factura "&amp;Registro_Compras!$C$12&amp;" de "&amp;Registro_Compras!$E$12)))</f>
        <v>Por el registro de la factura E001-7201 de ARCOBALENO SOCIEDAD COMERCIAL DE RESPONSABILIDAD LIMITADA</v>
      </c>
      <c r="H77" t="str">
        <f>IF($C77="","",Registro_Compras!$C$12)</f>
        <v>E001-7201</v>
      </c>
    </row>
    <row r="78" spans="1:8" x14ac:dyDescent="0.25">
      <c r="A78" s="25">
        <f>IF($C78="","",Registro_Compras!$B$12)</f>
        <v>46254</v>
      </c>
      <c r="B78" t="str">
        <f>IF($C78="","","C"&amp;TEXT(INT((ROW()-5)/9)+1,"000")&amp;"-1")</f>
        <v>C009-1</v>
      </c>
      <c r="C78" t="str">
        <f>IF(OR(Registro_Compras!$C$12="",Registro_Compras!$O$12=""),"",IF(Registro_Compras!$F$12="RHE",IF(Registro_Compras!$V$12=0,"","4017"),IF(Registro_Compras!$F$12="NOTA DE CREDITO",IF(Registro_Compras!$M$12="","63",Registro_Compras!$M$12),IF(Registro_Compras!$K$12=0,"","40111"))))</f>
        <v>40111</v>
      </c>
      <c r="D78" t="str">
        <f>IF(OR(Registro_Compras!$C$12="",Registro_Compras!$O$12=""),"",IF(Registro_Compras!$F$12="RHE","Retencion Renta 4ta Categoria por Pagar",IF(Registro_Compras!$F$12="NOTA DE CREDITO","Gastos de Servicios Prestados por Terceros","IGV - Cuenta Propia (Credito Fiscal)")))</f>
        <v>IGV - Cuenta Propia (Credito Fiscal)</v>
      </c>
      <c r="E78" s="20">
        <f>IF($C78="","",IF(Registro_Compras!$F$12="FACTURA",ROUND(Registro_Compras!$K$12*Registro_Compras!$N$12,2),""))</f>
        <v>112.56</v>
      </c>
      <c r="F78" s="20" t="str">
        <f>IF($C78="","",IF(Registro_Compras!$F$12="RHE",ROUND(Registro_Compras!$V$12*Registro_Compras!$N$12,2),IF(Registro_Compras!$F$12="NOTA DE CREDITO",ROUND(ABS(Registro_Compras!$J$12*Registro_Compras!$N$12),2),"")))</f>
        <v/>
      </c>
      <c r="G78" t="str">
        <f>IF($C78="","",IF(Registro_Compras!$F$12="NOTA DE CREDITO","Por la nota de credito "&amp;Registro_Compras!$C$12&amp;" de "&amp;Registro_Compras!$E$12&amp;" [PATRON POR CONFIRMAR CON CONTADOR]",IF(Registro_Compras!$F$12="RHE","Por el registro del recibo por honorarios "&amp;Registro_Compras!$C$12&amp;" de "&amp;Registro_Compras!$E$12&amp;" [PATRON POR CONFIRMAR CON CONTADOR]","Por el registro de la factura "&amp;Registro_Compras!$C$12&amp;" de "&amp;Registro_Compras!$E$12)))</f>
        <v>Por el registro de la factura E001-7201 de ARCOBALENO SOCIEDAD COMERCIAL DE RESPONSABILIDAD LIMITADA</v>
      </c>
      <c r="H78" t="str">
        <f>IF($C78="","",Registro_Compras!$C$12)</f>
        <v>E001-7201</v>
      </c>
    </row>
    <row r="79" spans="1:8" x14ac:dyDescent="0.25">
      <c r="A79" s="25">
        <f>IF($C79="","",Registro_Compras!$B$12)</f>
        <v>46254</v>
      </c>
      <c r="B79" t="str">
        <f>IF($C79="","","C"&amp;TEXT(INT((ROW()-5)/9)+1,"000")&amp;"-1")</f>
        <v>C009-1</v>
      </c>
      <c r="C79" t="str">
        <f>IF(OR(Registro_Compras!$C$12="",Registro_Compras!$O$12=""),"",IF(Registro_Compras!$F$12="NOTA DE CREDITO",IF(Registro_Compras!$K$12=0,"","40111"),"4212"))</f>
        <v>4212</v>
      </c>
      <c r="D79" t="str">
        <f>IF(OR(Registro_Compras!$C$12="",Registro_Compras!$O$12=""),"",IF(Registro_Compras!$F$12="NOTA DE CREDITO","IGV - Cuenta Propia (Credito Fiscal)","Cuentas por Pagar Comerciales - Terceros (Emitidas)"))</f>
        <v>Cuentas por Pagar Comerciales - Terceros (Emitidas)</v>
      </c>
      <c r="E79" s="20" t="str">
        <f>""</f>
        <v/>
      </c>
      <c r="F79" s="20">
        <f>IF($C79="","",IF(Registro_Compras!$F$12="NOTA DE CREDITO",ROUND(ABS(Registro_Compras!$K$12*Registro_Compras!$N$12),2),IF(Registro_Compras!$F$12="RHE",(ROUND(Registro_Compras!$L$12*Registro_Compras!$N$12,2)-ROUND(Registro_Compras!$V$12*Registro_Compras!$N$12,2)),Registro_Compras!$O$12)))</f>
        <v>737.81</v>
      </c>
      <c r="G79" t="str">
        <f>IF($C79="","",IF(Registro_Compras!$F$12="NOTA DE CREDITO","Por la nota de credito "&amp;Registro_Compras!$C$12&amp;" de "&amp;Registro_Compras!$E$12&amp;" [PATRON POR CONFIRMAR CON CONTADOR]",IF(Registro_Compras!$F$12="RHE","Por el registro del recibo por honorarios "&amp;Registro_Compras!$C$12&amp;" de "&amp;Registro_Compras!$E$12&amp;" [PATRON POR CONFIRMAR CON CONTADOR]","Por el registro de la factura "&amp;Registro_Compras!$C$12&amp;" de "&amp;Registro_Compras!$E$12)))</f>
        <v>Por el registro de la factura E001-7201 de ARCOBALENO SOCIEDAD COMERCIAL DE RESPONSABILIDAD LIMITADA</v>
      </c>
      <c r="H79" t="str">
        <f>IF($C79="","",Registro_Compras!$C$12)</f>
        <v>E001-7201</v>
      </c>
    </row>
    <row r="80" spans="1:8" x14ac:dyDescent="0.25">
      <c r="A80" s="25">
        <f>IF($C80="","",Registro_Compras!$B$12)</f>
        <v>46254</v>
      </c>
      <c r="B80" t="str">
        <f>IF($C80="","","C"&amp;TEXT(INT((ROW()-5)/9)+1,"000")&amp;"-2")</f>
        <v>C009-2</v>
      </c>
      <c r="C80" t="str">
        <f>IF(OR(Registro_Compras!$C$12="",Registro_Compras!$O$12=""),"",IF(Registro_Compras!$AB$12="ADMINISTRATIVO","94","95"))</f>
        <v>95</v>
      </c>
      <c r="D80" t="str">
        <f>IF(OR(Registro_Compras!$C$12="",Registro_Compras!$O$12=""),"",IF(Registro_Compras!$AB$12="ADMINISTRATIVO","Gastos Administrativos","Gastos de Venta y Operacion"))</f>
        <v>Gastos de Venta y Operacion</v>
      </c>
      <c r="E80" s="20">
        <f>IF($C80="","",IF(Registro_Compras!$F$12="NOTA DE CREDITO","",IF(Registro_Compras!$F$12="RHE",ROUND(Registro_Compras!$L$12*Registro_Compras!$N$12,2),ROUND(Registro_Compras!$J$12*Registro_Compras!$N$12,2))))</f>
        <v>625.25</v>
      </c>
      <c r="F80" s="20" t="str">
        <f>IF($C80="","",IF(Registro_Compras!$F$12="NOTA DE CREDITO",ROUND(ABS(Registro_Compras!$J$12*Registro_Compras!$N$12),2),""))</f>
        <v/>
      </c>
      <c r="G80" t="str">
        <f>IF($C80="","","Por el destino del gasto")</f>
        <v>Por el destino del gasto</v>
      </c>
      <c r="H80" t="str">
        <f>IF($C80="","",Registro_Compras!$C$12)</f>
        <v>E001-7201</v>
      </c>
    </row>
    <row r="81" spans="1:8" x14ac:dyDescent="0.25">
      <c r="A81" s="25">
        <f>IF($C81="","",Registro_Compras!$B$12)</f>
        <v>46254</v>
      </c>
      <c r="B81" t="str">
        <f>IF($C81="","","C"&amp;TEXT(INT((ROW()-5)/9)+1,"000")&amp;"-2")</f>
        <v>C009-2</v>
      </c>
      <c r="C81" t="str">
        <f>IF(OR(Registro_Compras!$C$12="",Registro_Compras!$O$12=""),"","79/791")</f>
        <v>79/791</v>
      </c>
      <c r="D81" t="str">
        <f>IF(OR(Registro_Compras!$C$12="",Registro_Compras!$O$12=""),"","Cargas Imputables a Cuentas de Costos y Gastos")</f>
        <v>Cargas Imputables a Cuentas de Costos y Gastos</v>
      </c>
      <c r="E81" s="20" t="str">
        <f>IF($C81="","",IF(Registro_Compras!$F$12="NOTA DE CREDITO",ROUND(ABS(Registro_Compras!$J$12*Registro_Compras!$N$12),2),""))</f>
        <v/>
      </c>
      <c r="F81" s="20">
        <f>IF($C81="","",IF(Registro_Compras!$F$12="NOTA DE CREDITO","",IF(Registro_Compras!$F$12="RHE",ROUND(Registro_Compras!$L$12*Registro_Compras!$N$12,2),ROUND(Registro_Compras!$J$12*Registro_Compras!$N$12,2))))</f>
        <v>625.25</v>
      </c>
      <c r="G81" t="str">
        <f>IF($C81="","","Por el destino del gasto")</f>
        <v>Por el destino del gasto</v>
      </c>
      <c r="H81" t="str">
        <f>IF($C81="","",Registro_Compras!$C$12)</f>
        <v>E001-7201</v>
      </c>
    </row>
    <row r="82" spans="1:8" x14ac:dyDescent="0.25">
      <c r="A82" s="25" t="str">
        <f>IF($C82="","",Registro_Compras!$X$12)</f>
        <v/>
      </c>
      <c r="B82" t="str">
        <f>IF($C82="","","C"&amp;TEXT(INT((ROW()-5)/9)+1,"000")&amp;"-3")</f>
        <v/>
      </c>
      <c r="C82" t="str">
        <f>IF(OR(Registro_Compras!$C$12="",Registro_Compras!$O$12="",Registro_Compras!$R$12&lt;&gt;"SI",Registro_Compras!$X$12=""),"","4212")</f>
        <v/>
      </c>
      <c r="D82" t="str">
        <f>IF(OR(Registro_Compras!$C$12="",Registro_Compras!$O$12=""),"","Cuentas por Pagar Comerciales - Terceros")</f>
        <v>Cuentas por Pagar Comerciales - Terceros</v>
      </c>
      <c r="E82" s="20" t="str">
        <f>IF($C82="","",Registro_Compras!$S$12)</f>
        <v/>
      </c>
      <c r="F82" s="20" t="str">
        <f>""</f>
        <v/>
      </c>
      <c r="G82" t="str">
        <f>IF($C82="","","Por el deposito de la detraccion en el Banco de la Nacion")</f>
        <v/>
      </c>
      <c r="H82" t="str">
        <f>IF($C82="","",Registro_Compras!$C$12)</f>
        <v/>
      </c>
    </row>
    <row r="83" spans="1:8" x14ac:dyDescent="0.25">
      <c r="A83" s="25" t="str">
        <f>IF($C83="","",Registro_Compras!$X$12)</f>
        <v/>
      </c>
      <c r="B83" t="str">
        <f>IF($C83="","","C"&amp;TEXT(INT((ROW()-5)/9)+1,"000")&amp;"-3")</f>
        <v/>
      </c>
      <c r="C83" t="str">
        <f>IF(OR(Registro_Compras!$C$12="",Registro_Compras!$O$12="",Registro_Compras!$R$12&lt;&gt;"SI",Registro_Compras!$X$12=""),"","1041")</f>
        <v/>
      </c>
      <c r="D83" t="str">
        <f>IF(OR(Registro_Compras!$C$12="",Registro_Compras!$O$12=""),"","Efectivo y Equivalentes - Cta. Cte. Operativa")</f>
        <v>Efectivo y Equivalentes - Cta. Cte. Operativa</v>
      </c>
      <c r="E83" s="20" t="str">
        <f>""</f>
        <v/>
      </c>
      <c r="F83" s="20" t="str">
        <f>IF($C83="","",Registro_Compras!$S$12)</f>
        <v/>
      </c>
      <c r="G83" t="str">
        <f>IF($C83="","","Por el deposito de la detraccion en el Banco de la Nacion")</f>
        <v/>
      </c>
      <c r="H83" t="str">
        <f>IF($C83="","",Registro_Compras!$C$12)</f>
        <v/>
      </c>
    </row>
    <row r="84" spans="1:8" x14ac:dyDescent="0.25">
      <c r="A84" s="25" t="str">
        <f>IF($C84="","",Registro_Compras!$Y$12)</f>
        <v/>
      </c>
      <c r="B84" t="str">
        <f>IF($C84="","","C"&amp;TEXT(INT((ROW()-5)/9)+1,"000")&amp;"-4")</f>
        <v/>
      </c>
      <c r="C84" t="str">
        <f>IF(OR(Registro_Compras!$C$12="",Registro_Compras!$O$12="",Registro_Compras!$Y$12="",Registro_Compras!$F$12="NOTA DE CREDITO"),"","4212")</f>
        <v/>
      </c>
      <c r="D84" t="str">
        <f>IF(OR(Registro_Compras!$C$12="",Registro_Compras!$O$12=""),"","Cuentas por Pagar Comerciales - Terceros")</f>
        <v>Cuentas por Pagar Comerciales - Terceros</v>
      </c>
      <c r="E84" s="20" t="str">
        <f>IF($C84="","",IF(Registro_Compras!$F$12="RHE",(ROUND(Registro_Compras!$L$12*Registro_Compras!$N$12,2)-ROUND(Registro_Compras!$V$12*Registro_Compras!$N$12,2)),ROUND(Registro_Compras!$O$12-Registro_Compras!$S$12,2)))</f>
        <v/>
      </c>
      <c r="F84" s="20" t="str">
        <f>""</f>
        <v/>
      </c>
      <c r="G84" t="str">
        <f>IF($C84="","","Por la cancelacion del saldo al proveedor")</f>
        <v/>
      </c>
      <c r="H84" t="str">
        <f>IF($C84="","",Registro_Compras!$C$12)</f>
        <v/>
      </c>
    </row>
    <row r="85" spans="1:8" x14ac:dyDescent="0.25">
      <c r="A85" s="25" t="str">
        <f>IF($C85="","",Registro_Compras!$Y$12)</f>
        <v/>
      </c>
      <c r="B85" t="str">
        <f>IF($C85="","","C"&amp;TEXT(INT((ROW()-5)/9)+1,"000")&amp;"-4")</f>
        <v/>
      </c>
      <c r="C85" t="str">
        <f>IF(OR(Registro_Compras!$C$12="",Registro_Compras!$O$12="",Registro_Compras!$Y$12="",Registro_Compras!$F$12="NOTA DE CREDITO"),"","1041")</f>
        <v/>
      </c>
      <c r="D85" t="str">
        <f>IF(OR(Registro_Compras!$C$12="",Registro_Compras!$O$12=""),"","Efectivo y Equivalentes - Cta. Cte. Operativa")</f>
        <v>Efectivo y Equivalentes - Cta. Cte. Operativa</v>
      </c>
      <c r="E85" s="20" t="str">
        <f>""</f>
        <v/>
      </c>
      <c r="F85" s="20" t="str">
        <f>IF($C85="","",IF(Registro_Compras!$F$12="RHE",(ROUND(Registro_Compras!$L$12*Registro_Compras!$N$12,2)-ROUND(Registro_Compras!$V$12*Registro_Compras!$N$12,2)),ROUND(Registro_Compras!$O$12-Registro_Compras!$S$12,2)))</f>
        <v/>
      </c>
      <c r="G85" t="str">
        <f>IF($C85="","","Por la cancelacion del saldo al proveedor")</f>
        <v/>
      </c>
      <c r="H85" t="str">
        <f>IF($C85="","",Registro_Compras!$C$12)</f>
        <v/>
      </c>
    </row>
    <row r="86" spans="1:8" x14ac:dyDescent="0.25">
      <c r="A86" s="25">
        <f>IF($C86="","",Registro_Compras!$B$13)</f>
        <v>46245</v>
      </c>
      <c r="B86" t="str">
        <f>IF($C86="","","C"&amp;TEXT(INT((ROW()-5)/9)+1,"000")&amp;"-1")</f>
        <v>C010-1</v>
      </c>
      <c r="C86" t="str">
        <f>IF(OR(Registro_Compras!$C$13="",Registro_Compras!$O$13=""),"",IF(Registro_Compras!$F$13="NOTA DE CREDITO","4212",IF(Registro_Compras!$M$13="","63",Registro_Compras!$M$13)))</f>
        <v>4212</v>
      </c>
      <c r="D86" t="str">
        <f>IF(OR(Registro_Compras!$C$13="",Registro_Compras!$O$13=""),"",IF(Registro_Compras!$F$13="NOTA DE CREDITO","Cuentas por Pagar Comerciales - Terceros (Emitidas)",IF(Registro_Compras!$F$13="RHE","Honorarios Profesionales - Servicios de Terceros","Gastos de Servicios Prestados por Terceros")))</f>
        <v>Cuentas por Pagar Comerciales - Terceros (Emitidas)</v>
      </c>
      <c r="E86" s="20">
        <f>IF($C86="","",IF(Registro_Compras!$F$13="NOTA DE CREDITO",ABS(Registro_Compras!$O$13),IF(Registro_Compras!$F$13="RHE",ROUND(Registro_Compras!$L$13*Registro_Compras!$N$13,2),ROUND(Registro_Compras!$J$13*Registro_Compras!$N$13,2))))</f>
        <v>1991.56</v>
      </c>
      <c r="F86" s="20" t="str">
        <f>""</f>
        <v/>
      </c>
      <c r="G86" t="str">
        <f>IF($C86="","",IF(Registro_Compras!$F$13="NOTA DE CREDITO","Por la nota de credito "&amp;Registro_Compras!$C$13&amp;" de "&amp;Registro_Compras!$E$13&amp;" [PATRON POR CONFIRMAR CON CONTADOR]",IF(Registro_Compras!$F$13="RHE","Por el registro del recibo por honorarios "&amp;Registro_Compras!$C$13&amp;" de "&amp;Registro_Compras!$E$13&amp;" [PATRON POR CONFIRMAR CON CONTADOR]","Por el registro de la factura "&amp;Registro_Compras!$C$13&amp;" de "&amp;Registro_Compras!$E$13)))</f>
        <v>Por la nota de credito F001-0003289 de AERODIANA [PATRON POR CONFIRMAR CON CONTADOR]</v>
      </c>
      <c r="H86" t="str">
        <f>IF($C86="","",Registro_Compras!$C$13)</f>
        <v>F001-0003289</v>
      </c>
    </row>
    <row r="87" spans="1:8" x14ac:dyDescent="0.25">
      <c r="A87" s="25">
        <f>IF($C87="","",Registro_Compras!$B$13)</f>
        <v>46245</v>
      </c>
      <c r="B87" t="str">
        <f>IF($C87="","","C"&amp;TEXT(INT((ROW()-5)/9)+1,"000")&amp;"-1")</f>
        <v>C010-1</v>
      </c>
      <c r="C87" t="str">
        <f>IF(OR(Registro_Compras!$C$13="",Registro_Compras!$O$13=""),"",IF(Registro_Compras!$F$13="RHE",IF(Registro_Compras!$V$13=0,"","4017"),IF(Registro_Compras!$F$13="NOTA DE CREDITO",IF(Registro_Compras!$M$13="","63",Registro_Compras!$M$13),IF(Registro_Compras!$K$13=0,"","40111"))))</f>
        <v>639</v>
      </c>
      <c r="D87" t="str">
        <f>IF(OR(Registro_Compras!$C$13="",Registro_Compras!$O$13=""),"",IF(Registro_Compras!$F$13="RHE","Retencion Renta 4ta Categoria por Pagar",IF(Registro_Compras!$F$13="NOTA DE CREDITO","Gastos de Servicios Prestados por Terceros","IGV - Cuenta Propia (Credito Fiscal)")))</f>
        <v>Gastos de Servicios Prestados por Terceros</v>
      </c>
      <c r="E87" s="20" t="str">
        <f>IF($C87="","",IF(Registro_Compras!$F$13="FACTURA",ROUND(Registro_Compras!$K$13*Registro_Compras!$N$13,2),""))</f>
        <v/>
      </c>
      <c r="F87" s="20">
        <f>IF($C87="","",IF(Registro_Compras!$F$13="RHE",ROUND(Registro_Compras!$V$13*Registro_Compras!$N$13,2),IF(Registro_Compras!$F$13="NOTA DE CREDITO",ROUND(ABS(Registro_Compras!$J$13*Registro_Compras!$N$13),2),"")))</f>
        <v>1687.78</v>
      </c>
      <c r="G87" t="str">
        <f>IF($C87="","",IF(Registro_Compras!$F$13="NOTA DE CREDITO","Por la nota de credito "&amp;Registro_Compras!$C$13&amp;" de "&amp;Registro_Compras!$E$13&amp;" [PATRON POR CONFIRMAR CON CONTADOR]",IF(Registro_Compras!$F$13="RHE","Por el registro del recibo por honorarios "&amp;Registro_Compras!$C$13&amp;" de "&amp;Registro_Compras!$E$13&amp;" [PATRON POR CONFIRMAR CON CONTADOR]","Por el registro de la factura "&amp;Registro_Compras!$C$13&amp;" de "&amp;Registro_Compras!$E$13)))</f>
        <v>Por la nota de credito F001-0003289 de AERODIANA [PATRON POR CONFIRMAR CON CONTADOR]</v>
      </c>
      <c r="H87" t="str">
        <f>IF($C87="","",Registro_Compras!$C$13)</f>
        <v>F001-0003289</v>
      </c>
    </row>
    <row r="88" spans="1:8" x14ac:dyDescent="0.25">
      <c r="A88" s="25">
        <f>IF($C88="","",Registro_Compras!$B$13)</f>
        <v>46245</v>
      </c>
      <c r="B88" t="str">
        <f>IF($C88="","","C"&amp;TEXT(INT((ROW()-5)/9)+1,"000")&amp;"-1")</f>
        <v>C010-1</v>
      </c>
      <c r="C88" t="str">
        <f>IF(OR(Registro_Compras!$C$13="",Registro_Compras!$O$13=""),"",IF(Registro_Compras!$F$13="NOTA DE CREDITO",IF(Registro_Compras!$K$13=0,"","40111"),"4212"))</f>
        <v>40111</v>
      </c>
      <c r="D88" t="str">
        <f>IF(OR(Registro_Compras!$C$13="",Registro_Compras!$O$13=""),"",IF(Registro_Compras!$F$13="NOTA DE CREDITO","IGV - Cuenta Propia (Credito Fiscal)","Cuentas por Pagar Comerciales - Terceros (Emitidas)"))</f>
        <v>IGV - Cuenta Propia (Credito Fiscal)</v>
      </c>
      <c r="E88" s="20" t="str">
        <f>""</f>
        <v/>
      </c>
      <c r="F88" s="20">
        <f>IF($C88="","",IF(Registro_Compras!$F$13="NOTA DE CREDITO",ROUND(ABS(Registro_Compras!$K$13*Registro_Compras!$N$13),2),IF(Registro_Compras!$F$13="RHE",(ROUND(Registro_Compras!$L$13*Registro_Compras!$N$13,2)-ROUND(Registro_Compras!$V$13*Registro_Compras!$N$13,2)),Registro_Compras!$O$13)))</f>
        <v>303.77999999999997</v>
      </c>
      <c r="G88" t="str">
        <f>IF($C88="","",IF(Registro_Compras!$F$13="NOTA DE CREDITO","Por la nota de credito "&amp;Registro_Compras!$C$13&amp;" de "&amp;Registro_Compras!$E$13&amp;" [PATRON POR CONFIRMAR CON CONTADOR]",IF(Registro_Compras!$F$13="RHE","Por el registro del recibo por honorarios "&amp;Registro_Compras!$C$13&amp;" de "&amp;Registro_Compras!$E$13&amp;" [PATRON POR CONFIRMAR CON CONTADOR]","Por el registro de la factura "&amp;Registro_Compras!$C$13&amp;" de "&amp;Registro_Compras!$E$13)))</f>
        <v>Por la nota de credito F001-0003289 de AERODIANA [PATRON POR CONFIRMAR CON CONTADOR]</v>
      </c>
      <c r="H88" t="str">
        <f>IF($C88="","",Registro_Compras!$C$13)</f>
        <v>F001-0003289</v>
      </c>
    </row>
    <row r="89" spans="1:8" x14ac:dyDescent="0.25">
      <c r="A89" s="25">
        <f>IF($C89="","",Registro_Compras!$B$13)</f>
        <v>46245</v>
      </c>
      <c r="B89" t="str">
        <f>IF($C89="","","C"&amp;TEXT(INT((ROW()-5)/9)+1,"000")&amp;"-2")</f>
        <v>C010-2</v>
      </c>
      <c r="C89" t="str">
        <f>IF(OR(Registro_Compras!$C$13="",Registro_Compras!$O$13=""),"",IF(Registro_Compras!$AB$13="ADMINISTRATIVO","94","95"))</f>
        <v>95</v>
      </c>
      <c r="D89" t="str">
        <f>IF(OR(Registro_Compras!$C$13="",Registro_Compras!$O$13=""),"",IF(Registro_Compras!$AB$13="ADMINISTRATIVO","Gastos Administrativos","Gastos de Venta y Operacion"))</f>
        <v>Gastos de Venta y Operacion</v>
      </c>
      <c r="E89" s="20" t="str">
        <f>IF($C89="","",IF(Registro_Compras!$F$13="NOTA DE CREDITO","",IF(Registro_Compras!$F$13="RHE",ROUND(Registro_Compras!$L$13*Registro_Compras!$N$13,2),ROUND(Registro_Compras!$J$13*Registro_Compras!$N$13,2))))</f>
        <v/>
      </c>
      <c r="F89" s="20">
        <f>IF($C89="","",IF(Registro_Compras!$F$13="NOTA DE CREDITO",ROUND(ABS(Registro_Compras!$J$13*Registro_Compras!$N$13),2),""))</f>
        <v>1687.78</v>
      </c>
      <c r="G89" t="str">
        <f>IF($C89="","","Por el destino del gasto")</f>
        <v>Por el destino del gasto</v>
      </c>
      <c r="H89" t="str">
        <f>IF($C89="","",Registro_Compras!$C$13)</f>
        <v>F001-0003289</v>
      </c>
    </row>
    <row r="90" spans="1:8" x14ac:dyDescent="0.25">
      <c r="A90" s="25">
        <f>IF($C90="","",Registro_Compras!$B$13)</f>
        <v>46245</v>
      </c>
      <c r="B90" t="str">
        <f>IF($C90="","","C"&amp;TEXT(INT((ROW()-5)/9)+1,"000")&amp;"-2")</f>
        <v>C010-2</v>
      </c>
      <c r="C90" t="str">
        <f>IF(OR(Registro_Compras!$C$13="",Registro_Compras!$O$13=""),"","79/791")</f>
        <v>79/791</v>
      </c>
      <c r="D90" t="str">
        <f>IF(OR(Registro_Compras!$C$13="",Registro_Compras!$O$13=""),"","Cargas Imputables a Cuentas de Costos y Gastos")</f>
        <v>Cargas Imputables a Cuentas de Costos y Gastos</v>
      </c>
      <c r="E90" s="20">
        <f>IF($C90="","",IF(Registro_Compras!$F$13="NOTA DE CREDITO",ROUND(ABS(Registro_Compras!$J$13*Registro_Compras!$N$13),2),""))</f>
        <v>1687.78</v>
      </c>
      <c r="F90" s="20" t="str">
        <f>IF($C90="","",IF(Registro_Compras!$F$13="NOTA DE CREDITO","",IF(Registro_Compras!$F$13="RHE",ROUND(Registro_Compras!$L$13*Registro_Compras!$N$13,2),ROUND(Registro_Compras!$J$13*Registro_Compras!$N$13,2))))</f>
        <v/>
      </c>
      <c r="G90" t="str">
        <f>IF($C90="","","Por el destino del gasto")</f>
        <v>Por el destino del gasto</v>
      </c>
      <c r="H90" t="str">
        <f>IF($C90="","",Registro_Compras!$C$13)</f>
        <v>F001-0003289</v>
      </c>
    </row>
    <row r="91" spans="1:8" x14ac:dyDescent="0.25">
      <c r="A91" s="25" t="str">
        <f>IF($C91="","",Registro_Compras!$X$13)</f>
        <v/>
      </c>
      <c r="B91" t="str">
        <f>IF($C91="","","C"&amp;TEXT(INT((ROW()-5)/9)+1,"000")&amp;"-3")</f>
        <v/>
      </c>
      <c r="C91" t="str">
        <f>IF(OR(Registro_Compras!$C$13="",Registro_Compras!$O$13="",Registro_Compras!$R$13&lt;&gt;"SI",Registro_Compras!$X$13=""),"","4212")</f>
        <v/>
      </c>
      <c r="D91" t="str">
        <f>IF(OR(Registro_Compras!$C$13="",Registro_Compras!$O$13=""),"","Cuentas por Pagar Comerciales - Terceros")</f>
        <v>Cuentas por Pagar Comerciales - Terceros</v>
      </c>
      <c r="E91" s="20" t="str">
        <f>IF($C91="","",Registro_Compras!$S$13)</f>
        <v/>
      </c>
      <c r="F91" s="20" t="str">
        <f>""</f>
        <v/>
      </c>
      <c r="G91" t="str">
        <f>IF($C91="","","Por el deposito de la detraccion en el Banco de la Nacion")</f>
        <v/>
      </c>
      <c r="H91" t="str">
        <f>IF($C91="","",Registro_Compras!$C$13)</f>
        <v/>
      </c>
    </row>
    <row r="92" spans="1:8" x14ac:dyDescent="0.25">
      <c r="A92" s="25" t="str">
        <f>IF($C92="","",Registro_Compras!$X$13)</f>
        <v/>
      </c>
      <c r="B92" t="str">
        <f>IF($C92="","","C"&amp;TEXT(INT((ROW()-5)/9)+1,"000")&amp;"-3")</f>
        <v/>
      </c>
      <c r="C92" t="str">
        <f>IF(OR(Registro_Compras!$C$13="",Registro_Compras!$O$13="",Registro_Compras!$R$13&lt;&gt;"SI",Registro_Compras!$X$13=""),"","1041")</f>
        <v/>
      </c>
      <c r="D92" t="str">
        <f>IF(OR(Registro_Compras!$C$13="",Registro_Compras!$O$13=""),"","Efectivo y Equivalentes - Cta. Cte. Operativa")</f>
        <v>Efectivo y Equivalentes - Cta. Cte. Operativa</v>
      </c>
      <c r="E92" s="20" t="str">
        <f>""</f>
        <v/>
      </c>
      <c r="F92" s="20" t="str">
        <f>IF($C92="","",Registro_Compras!$S$13)</f>
        <v/>
      </c>
      <c r="G92" t="str">
        <f>IF($C92="","","Por el deposito de la detraccion en el Banco de la Nacion")</f>
        <v/>
      </c>
      <c r="H92" t="str">
        <f>IF($C92="","",Registro_Compras!$C$13)</f>
        <v/>
      </c>
    </row>
    <row r="93" spans="1:8" x14ac:dyDescent="0.25">
      <c r="A93" s="25" t="str">
        <f>IF($C93="","",Registro_Compras!$Y$13)</f>
        <v/>
      </c>
      <c r="B93" t="str">
        <f>IF($C93="","","C"&amp;TEXT(INT((ROW()-5)/9)+1,"000")&amp;"-4")</f>
        <v/>
      </c>
      <c r="C93" t="str">
        <f>IF(OR(Registro_Compras!$C$13="",Registro_Compras!$O$13="",Registro_Compras!$Y$13="",Registro_Compras!$F$13="NOTA DE CREDITO"),"","4212")</f>
        <v/>
      </c>
      <c r="D93" t="str">
        <f>IF(OR(Registro_Compras!$C$13="",Registro_Compras!$O$13=""),"","Cuentas por Pagar Comerciales - Terceros")</f>
        <v>Cuentas por Pagar Comerciales - Terceros</v>
      </c>
      <c r="E93" s="20" t="str">
        <f>IF($C93="","",IF(Registro_Compras!$F$13="RHE",(ROUND(Registro_Compras!$L$13*Registro_Compras!$N$13,2)-ROUND(Registro_Compras!$V$13*Registro_Compras!$N$13,2)),ROUND(Registro_Compras!$O$13-Registro_Compras!$S$13,2)))</f>
        <v/>
      </c>
      <c r="F93" s="20" t="str">
        <f>""</f>
        <v/>
      </c>
      <c r="G93" t="str">
        <f>IF($C93="","","Por la cancelacion del saldo al proveedor")</f>
        <v/>
      </c>
      <c r="H93" t="str">
        <f>IF($C93="","",Registro_Compras!$C$13)</f>
        <v/>
      </c>
    </row>
    <row r="94" spans="1:8" x14ac:dyDescent="0.25">
      <c r="A94" s="25" t="str">
        <f>IF($C94="","",Registro_Compras!$Y$13)</f>
        <v/>
      </c>
      <c r="B94" t="str">
        <f>IF($C94="","","C"&amp;TEXT(INT((ROW()-5)/9)+1,"000")&amp;"-4")</f>
        <v/>
      </c>
      <c r="C94" t="str">
        <f>IF(OR(Registro_Compras!$C$13="",Registro_Compras!$O$13="",Registro_Compras!$Y$13="",Registro_Compras!$F$13="NOTA DE CREDITO"),"","1041")</f>
        <v/>
      </c>
      <c r="D94" t="str">
        <f>IF(OR(Registro_Compras!$C$13="",Registro_Compras!$O$13=""),"","Efectivo y Equivalentes - Cta. Cte. Operativa")</f>
        <v>Efectivo y Equivalentes - Cta. Cte. Operativa</v>
      </c>
      <c r="E94" s="20" t="str">
        <f>""</f>
        <v/>
      </c>
      <c r="F94" s="20" t="str">
        <f>IF($C94="","",IF(Registro_Compras!$F$13="RHE",(ROUND(Registro_Compras!$L$13*Registro_Compras!$N$13,2)-ROUND(Registro_Compras!$V$13*Registro_Compras!$N$13,2)),ROUND(Registro_Compras!$O$13-Registro_Compras!$S$13,2)))</f>
        <v/>
      </c>
      <c r="G94" t="str">
        <f>IF($C94="","","Por la cancelacion del saldo al proveedor")</f>
        <v/>
      </c>
      <c r="H94" t="str">
        <f>IF($C94="","",Registro_Compras!$C$13)</f>
        <v/>
      </c>
    </row>
    <row r="95" spans="1:8" x14ac:dyDescent="0.25">
      <c r="A95" s="25">
        <f>IF($C95="","",Registro_Compras!$B$14)</f>
        <v>46240</v>
      </c>
      <c r="B95" t="str">
        <f>IF($C95="","","C"&amp;TEXT(INT((ROW()-5)/9)+1,"000")&amp;"-1")</f>
        <v>C011-1</v>
      </c>
      <c r="C95" t="str">
        <f>IF(OR(Registro_Compras!$C$14="",Registro_Compras!$O$14=""),"",IF(Registro_Compras!$F$14="NOTA DE CREDITO","4212",IF(Registro_Compras!$M$14="","63",Registro_Compras!$M$14)))</f>
        <v>639</v>
      </c>
      <c r="D95" t="str">
        <f>IF(OR(Registro_Compras!$C$14="",Registro_Compras!$O$14=""),"",IF(Registro_Compras!$F$14="NOTA DE CREDITO","Cuentas por Pagar Comerciales - Terceros (Emitidas)",IF(Registro_Compras!$F$14="RHE","Honorarios Profesionales - Servicios de Terceros","Gastos de Servicios Prestados por Terceros")))</f>
        <v>Gastos de Servicios Prestados por Terceros</v>
      </c>
      <c r="E95" s="20">
        <f>IF($C95="","",IF(Registro_Compras!$F$14="NOTA DE CREDITO",ABS(Registro_Compras!$O$14),IF(Registro_Compras!$F$14="RHE",ROUND(Registro_Compras!$L$14*Registro_Compras!$N$14,2),ROUND(Registro_Compras!$J$14*Registro_Compras!$N$14,2))))</f>
        <v>207.1</v>
      </c>
      <c r="F95" s="20" t="str">
        <f>""</f>
        <v/>
      </c>
      <c r="G95" t="str">
        <f>IF($C95="","",IF(Registro_Compras!$F$14="NOTA DE CREDITO","Por la nota de credito "&amp;Registro_Compras!$C$14&amp;" de "&amp;Registro_Compras!$E$14&amp;" [PATRON POR CONFIRMAR CON CONTADOR]",IF(Registro_Compras!$F$14="RHE","Por el registro del recibo por honorarios "&amp;Registro_Compras!$C$14&amp;" de "&amp;Registro_Compras!$E$14&amp;" [PATRON POR CONFIRMAR CON CONTADOR]","Por el registro de la factura "&amp;Registro_Compras!$C$14&amp;" de "&amp;Registro_Compras!$E$14)))</f>
        <v>Por el registro de la factura F001-038853 de AMERICANA DE TURISMO E.I.R.L.</v>
      </c>
      <c r="H95" t="str">
        <f>IF($C95="","",Registro_Compras!$C$14)</f>
        <v>F001-038853</v>
      </c>
    </row>
    <row r="96" spans="1:8" x14ac:dyDescent="0.25">
      <c r="A96" s="25">
        <f>IF($C96="","",Registro_Compras!$B$14)</f>
        <v>46240</v>
      </c>
      <c r="B96" t="str">
        <f>IF($C96="","","C"&amp;TEXT(INT((ROW()-5)/9)+1,"000")&amp;"-1")</f>
        <v>C011-1</v>
      </c>
      <c r="C96" t="str">
        <f>IF(OR(Registro_Compras!$C$14="",Registro_Compras!$O$14=""),"",IF(Registro_Compras!$F$14="RHE",IF(Registro_Compras!$V$14=0,"","4017"),IF(Registro_Compras!$F$14="NOTA DE CREDITO",IF(Registro_Compras!$M$14="","63",Registro_Compras!$M$14),IF(Registro_Compras!$K$14=0,"","40111"))))</f>
        <v>40111</v>
      </c>
      <c r="D96" t="str">
        <f>IF(OR(Registro_Compras!$C$14="",Registro_Compras!$O$14=""),"",IF(Registro_Compras!$F$14="RHE","Retencion Renta 4ta Categoria por Pagar",IF(Registro_Compras!$F$14="NOTA DE CREDITO","Gastos de Servicios Prestados por Terceros","IGV - Cuenta Propia (Credito Fiscal)")))</f>
        <v>IGV - Cuenta Propia (Credito Fiscal)</v>
      </c>
      <c r="E96" s="20">
        <f>IF($C96="","",IF(Registro_Compras!$F$14="FACTURA",ROUND(Registro_Compras!$K$14*Registro_Compras!$N$14,2),""))</f>
        <v>37.270000000000003</v>
      </c>
      <c r="F96" s="20" t="str">
        <f>IF($C96="","",IF(Registro_Compras!$F$14="RHE",ROUND(Registro_Compras!$V$14*Registro_Compras!$N$14,2),IF(Registro_Compras!$F$14="NOTA DE CREDITO",ROUND(ABS(Registro_Compras!$J$14*Registro_Compras!$N$14),2),"")))</f>
        <v/>
      </c>
      <c r="G96" t="str">
        <f>IF($C96="","",IF(Registro_Compras!$F$14="NOTA DE CREDITO","Por la nota de credito "&amp;Registro_Compras!$C$14&amp;" de "&amp;Registro_Compras!$E$14&amp;" [PATRON POR CONFIRMAR CON CONTADOR]",IF(Registro_Compras!$F$14="RHE","Por el registro del recibo por honorarios "&amp;Registro_Compras!$C$14&amp;" de "&amp;Registro_Compras!$E$14&amp;" [PATRON POR CONFIRMAR CON CONTADOR]","Por el registro de la factura "&amp;Registro_Compras!$C$14&amp;" de "&amp;Registro_Compras!$E$14)))</f>
        <v>Por el registro de la factura F001-038853 de AMERICANA DE TURISMO E.I.R.L.</v>
      </c>
      <c r="H96" t="str">
        <f>IF($C96="","",Registro_Compras!$C$14)</f>
        <v>F001-038853</v>
      </c>
    </row>
    <row r="97" spans="1:8" x14ac:dyDescent="0.25">
      <c r="A97" s="25">
        <f>IF($C97="","",Registro_Compras!$B$14)</f>
        <v>46240</v>
      </c>
      <c r="B97" t="str">
        <f>IF($C97="","","C"&amp;TEXT(INT((ROW()-5)/9)+1,"000")&amp;"-1")</f>
        <v>C011-1</v>
      </c>
      <c r="C97" t="str">
        <f>IF(OR(Registro_Compras!$C$14="",Registro_Compras!$O$14=""),"",IF(Registro_Compras!$F$14="NOTA DE CREDITO",IF(Registro_Compras!$K$14=0,"","40111"),"4212"))</f>
        <v>4212</v>
      </c>
      <c r="D97" t="str">
        <f>IF(OR(Registro_Compras!$C$14="",Registro_Compras!$O$14=""),"",IF(Registro_Compras!$F$14="NOTA DE CREDITO","IGV - Cuenta Propia (Credito Fiscal)","Cuentas por Pagar Comerciales - Terceros (Emitidas)"))</f>
        <v>Cuentas por Pagar Comerciales - Terceros (Emitidas)</v>
      </c>
      <c r="E97" s="20" t="str">
        <f>""</f>
        <v/>
      </c>
      <c r="F97" s="20">
        <f>IF($C97="","",IF(Registro_Compras!$F$14="NOTA DE CREDITO",ROUND(ABS(Registro_Compras!$K$14*Registro_Compras!$N$14),2),IF(Registro_Compras!$F$14="RHE",(ROUND(Registro_Compras!$L$14*Registro_Compras!$N$14,2)-ROUND(Registro_Compras!$V$14*Registro_Compras!$N$14,2)),Registro_Compras!$O$14)))</f>
        <v>244.37</v>
      </c>
      <c r="G97" t="str">
        <f>IF($C97="","",IF(Registro_Compras!$F$14="NOTA DE CREDITO","Por la nota de credito "&amp;Registro_Compras!$C$14&amp;" de "&amp;Registro_Compras!$E$14&amp;" [PATRON POR CONFIRMAR CON CONTADOR]",IF(Registro_Compras!$F$14="RHE","Por el registro del recibo por honorarios "&amp;Registro_Compras!$C$14&amp;" de "&amp;Registro_Compras!$E$14&amp;" [PATRON POR CONFIRMAR CON CONTADOR]","Por el registro de la factura "&amp;Registro_Compras!$C$14&amp;" de "&amp;Registro_Compras!$E$14)))</f>
        <v>Por el registro de la factura F001-038853 de AMERICANA DE TURISMO E.I.R.L.</v>
      </c>
      <c r="H97" t="str">
        <f>IF($C97="","",Registro_Compras!$C$14)</f>
        <v>F001-038853</v>
      </c>
    </row>
    <row r="98" spans="1:8" x14ac:dyDescent="0.25">
      <c r="A98" s="25">
        <f>IF($C98="","",Registro_Compras!$B$14)</f>
        <v>46240</v>
      </c>
      <c r="B98" t="str">
        <f>IF($C98="","","C"&amp;TEXT(INT((ROW()-5)/9)+1,"000")&amp;"-2")</f>
        <v>C011-2</v>
      </c>
      <c r="C98" t="str">
        <f>IF(OR(Registro_Compras!$C$14="",Registro_Compras!$O$14=""),"",IF(Registro_Compras!$AB$14="ADMINISTRATIVO","94","95"))</f>
        <v>95</v>
      </c>
      <c r="D98" t="str">
        <f>IF(OR(Registro_Compras!$C$14="",Registro_Compras!$O$14=""),"",IF(Registro_Compras!$AB$14="ADMINISTRATIVO","Gastos Administrativos","Gastos de Venta y Operacion"))</f>
        <v>Gastos de Venta y Operacion</v>
      </c>
      <c r="E98" s="20">
        <f>IF($C98="","",IF(Registro_Compras!$F$14="NOTA DE CREDITO","",IF(Registro_Compras!$F$14="RHE",ROUND(Registro_Compras!$L$14*Registro_Compras!$N$14,2),ROUND(Registro_Compras!$J$14*Registro_Compras!$N$14,2))))</f>
        <v>207.1</v>
      </c>
      <c r="F98" s="20" t="str">
        <f>IF($C98="","",IF(Registro_Compras!$F$14="NOTA DE CREDITO",ROUND(ABS(Registro_Compras!$J$14*Registro_Compras!$N$14),2),""))</f>
        <v/>
      </c>
      <c r="G98" t="str">
        <f>IF($C98="","","Por el destino del gasto")</f>
        <v>Por el destino del gasto</v>
      </c>
      <c r="H98" t="str">
        <f>IF($C98="","",Registro_Compras!$C$14)</f>
        <v>F001-038853</v>
      </c>
    </row>
    <row r="99" spans="1:8" x14ac:dyDescent="0.25">
      <c r="A99" s="25">
        <f>IF($C99="","",Registro_Compras!$B$14)</f>
        <v>46240</v>
      </c>
      <c r="B99" t="str">
        <f>IF($C99="","","C"&amp;TEXT(INT((ROW()-5)/9)+1,"000")&amp;"-2")</f>
        <v>C011-2</v>
      </c>
      <c r="C99" t="str">
        <f>IF(OR(Registro_Compras!$C$14="",Registro_Compras!$O$14=""),"","79/791")</f>
        <v>79/791</v>
      </c>
      <c r="D99" t="str">
        <f>IF(OR(Registro_Compras!$C$14="",Registro_Compras!$O$14=""),"","Cargas Imputables a Cuentas de Costos y Gastos")</f>
        <v>Cargas Imputables a Cuentas de Costos y Gastos</v>
      </c>
      <c r="E99" s="20" t="str">
        <f>IF($C99="","",IF(Registro_Compras!$F$14="NOTA DE CREDITO",ROUND(ABS(Registro_Compras!$J$14*Registro_Compras!$N$14),2),""))</f>
        <v/>
      </c>
      <c r="F99" s="20">
        <f>IF($C99="","",IF(Registro_Compras!$F$14="NOTA DE CREDITO","",IF(Registro_Compras!$F$14="RHE",ROUND(Registro_Compras!$L$14*Registro_Compras!$N$14,2),ROUND(Registro_Compras!$J$14*Registro_Compras!$N$14,2))))</f>
        <v>207.1</v>
      </c>
      <c r="G99" t="str">
        <f>IF($C99="","","Por el destino del gasto")</f>
        <v>Por el destino del gasto</v>
      </c>
      <c r="H99" t="str">
        <f>IF($C99="","",Registro_Compras!$C$14)</f>
        <v>F001-038853</v>
      </c>
    </row>
    <row r="100" spans="1:8" x14ac:dyDescent="0.25">
      <c r="A100" s="25" t="str">
        <f>IF($C100="","",Registro_Compras!$X$14)</f>
        <v/>
      </c>
      <c r="B100" t="str">
        <f>IF($C100="","","C"&amp;TEXT(INT((ROW()-5)/9)+1,"000")&amp;"-3")</f>
        <v/>
      </c>
      <c r="C100" t="str">
        <f>IF(OR(Registro_Compras!$C$14="",Registro_Compras!$O$14="",Registro_Compras!$R$14&lt;&gt;"SI",Registro_Compras!$X$14=""),"","4212")</f>
        <v/>
      </c>
      <c r="D100" t="str">
        <f>IF(OR(Registro_Compras!$C$14="",Registro_Compras!$O$14=""),"","Cuentas por Pagar Comerciales - Terceros")</f>
        <v>Cuentas por Pagar Comerciales - Terceros</v>
      </c>
      <c r="E100" s="20" t="str">
        <f>IF($C100="","",Registro_Compras!$S$14)</f>
        <v/>
      </c>
      <c r="F100" s="20" t="str">
        <f>""</f>
        <v/>
      </c>
      <c r="G100" t="str">
        <f>IF($C100="","","Por el deposito de la detraccion en el Banco de la Nacion")</f>
        <v/>
      </c>
      <c r="H100" t="str">
        <f>IF($C100="","",Registro_Compras!$C$14)</f>
        <v/>
      </c>
    </row>
    <row r="101" spans="1:8" x14ac:dyDescent="0.25">
      <c r="A101" s="25" t="str">
        <f>IF($C101="","",Registro_Compras!$X$14)</f>
        <v/>
      </c>
      <c r="B101" t="str">
        <f>IF($C101="","","C"&amp;TEXT(INT((ROW()-5)/9)+1,"000")&amp;"-3")</f>
        <v/>
      </c>
      <c r="C101" t="str">
        <f>IF(OR(Registro_Compras!$C$14="",Registro_Compras!$O$14="",Registro_Compras!$R$14&lt;&gt;"SI",Registro_Compras!$X$14=""),"","1041")</f>
        <v/>
      </c>
      <c r="D101" t="str">
        <f>IF(OR(Registro_Compras!$C$14="",Registro_Compras!$O$14=""),"","Efectivo y Equivalentes - Cta. Cte. Operativa")</f>
        <v>Efectivo y Equivalentes - Cta. Cte. Operativa</v>
      </c>
      <c r="E101" s="20" t="str">
        <f>""</f>
        <v/>
      </c>
      <c r="F101" s="20" t="str">
        <f>IF($C101="","",Registro_Compras!$S$14)</f>
        <v/>
      </c>
      <c r="G101" t="str">
        <f>IF($C101="","","Por el deposito de la detraccion en el Banco de la Nacion")</f>
        <v/>
      </c>
      <c r="H101" t="str">
        <f>IF($C101="","",Registro_Compras!$C$14)</f>
        <v/>
      </c>
    </row>
    <row r="102" spans="1:8" x14ac:dyDescent="0.25">
      <c r="A102" s="25" t="str">
        <f>IF($C102="","",Registro_Compras!$Y$14)</f>
        <v/>
      </c>
      <c r="B102" t="str">
        <f>IF($C102="","","C"&amp;TEXT(INT((ROW()-5)/9)+1,"000")&amp;"-4")</f>
        <v/>
      </c>
      <c r="C102" t="str">
        <f>IF(OR(Registro_Compras!$C$14="",Registro_Compras!$O$14="",Registro_Compras!$Y$14="",Registro_Compras!$F$14="NOTA DE CREDITO"),"","4212")</f>
        <v/>
      </c>
      <c r="D102" t="str">
        <f>IF(OR(Registro_Compras!$C$14="",Registro_Compras!$O$14=""),"","Cuentas por Pagar Comerciales - Terceros")</f>
        <v>Cuentas por Pagar Comerciales - Terceros</v>
      </c>
      <c r="E102" s="20" t="str">
        <f>IF($C102="","",IF(Registro_Compras!$F$14="RHE",(ROUND(Registro_Compras!$L$14*Registro_Compras!$N$14,2)-ROUND(Registro_Compras!$V$14*Registro_Compras!$N$14,2)),ROUND(Registro_Compras!$O$14-Registro_Compras!$S$14,2)))</f>
        <v/>
      </c>
      <c r="F102" s="20" t="str">
        <f>""</f>
        <v/>
      </c>
      <c r="G102" t="str">
        <f>IF($C102="","","Por la cancelacion del saldo al proveedor")</f>
        <v/>
      </c>
      <c r="H102" t="str">
        <f>IF($C102="","",Registro_Compras!$C$14)</f>
        <v/>
      </c>
    </row>
    <row r="103" spans="1:8" x14ac:dyDescent="0.25">
      <c r="A103" s="25" t="str">
        <f>IF($C103="","",Registro_Compras!$Y$14)</f>
        <v/>
      </c>
      <c r="B103" t="str">
        <f>IF($C103="","","C"&amp;TEXT(INT((ROW()-5)/9)+1,"000")&amp;"-4")</f>
        <v/>
      </c>
      <c r="C103" t="str">
        <f>IF(OR(Registro_Compras!$C$14="",Registro_Compras!$O$14="",Registro_Compras!$Y$14="",Registro_Compras!$F$14="NOTA DE CREDITO"),"","1041")</f>
        <v/>
      </c>
      <c r="D103" t="str">
        <f>IF(OR(Registro_Compras!$C$14="",Registro_Compras!$O$14=""),"","Efectivo y Equivalentes - Cta. Cte. Operativa")</f>
        <v>Efectivo y Equivalentes - Cta. Cte. Operativa</v>
      </c>
      <c r="E103" s="20" t="str">
        <f>""</f>
        <v/>
      </c>
      <c r="F103" s="20" t="str">
        <f>IF($C103="","",IF(Registro_Compras!$F$14="RHE",(ROUND(Registro_Compras!$L$14*Registro_Compras!$N$14,2)-ROUND(Registro_Compras!$V$14*Registro_Compras!$N$14,2)),ROUND(Registro_Compras!$O$14-Registro_Compras!$S$14,2)))</f>
        <v/>
      </c>
      <c r="G103" t="str">
        <f>IF($C103="","","Por la cancelacion del saldo al proveedor")</f>
        <v/>
      </c>
      <c r="H103" t="str">
        <f>IF($C103="","",Registro_Compras!$C$14)</f>
        <v/>
      </c>
    </row>
    <row r="104" spans="1:8" x14ac:dyDescent="0.25">
      <c r="A104" s="25">
        <f>IF($C104="","",Registro_Compras!$B$15)</f>
        <v>46244</v>
      </c>
      <c r="B104" t="str">
        <f>IF($C104="","","C"&amp;TEXT(INT((ROW()-5)/9)+1,"000")&amp;"-1")</f>
        <v>C012-1</v>
      </c>
      <c r="C104" t="str">
        <f>IF(OR(Registro_Compras!$C$15="",Registro_Compras!$O$15=""),"",IF(Registro_Compras!$F$15="NOTA DE CREDITO","4212",IF(Registro_Compras!$M$15="","63",Registro_Compras!$M$15)))</f>
        <v>632</v>
      </c>
      <c r="D104" t="str">
        <f>IF(OR(Registro_Compras!$C$15="",Registro_Compras!$O$15=""),"",IF(Registro_Compras!$F$15="NOTA DE CREDITO","Cuentas por Pagar Comerciales - Terceros (Emitidas)",IF(Registro_Compras!$F$15="RHE","Honorarios Profesionales - Servicios de Terceros","Gastos de Servicios Prestados por Terceros")))</f>
        <v>Honorarios Profesionales - Servicios de Terceros</v>
      </c>
      <c r="E104" s="20">
        <f>IF($C104="","",IF(Registro_Compras!$F$15="NOTA DE CREDITO",ABS(Registro_Compras!$O$15),IF(Registro_Compras!$F$15="RHE",ROUND(Registro_Compras!$L$15*Registro_Compras!$N$15,2),ROUND(Registro_Compras!$J$15*Registro_Compras!$N$15,2))))</f>
        <v>1025</v>
      </c>
      <c r="F104" s="20" t="str">
        <f>""</f>
        <v/>
      </c>
      <c r="G104" t="str">
        <f>IF($C104="","",IF(Registro_Compras!$F$15="NOTA DE CREDITO","Por la nota de credito "&amp;Registro_Compras!$C$15&amp;" de "&amp;Registro_Compras!$E$15&amp;" [PATRON POR CONFIRMAR CON CONTADOR]",IF(Registro_Compras!$F$15="RHE","Por el registro del recibo por honorarios "&amp;Registro_Compras!$C$15&amp;" de "&amp;Registro_Compras!$E$15&amp;" [PATRON POR CONFIRMAR CON CONTADOR]","Por el registro de la factura "&amp;Registro_Compras!$C$15&amp;" de "&amp;Registro_Compras!$E$15)))</f>
        <v>Por el registro del recibo por honorarios E001- 173 de BEOUTIS BAZAN URSULA CATHERINE [PATRON POR CONFIRMAR CON CONTADOR]</v>
      </c>
      <c r="H104" t="str">
        <f>IF($C104="","",Registro_Compras!$C$15)</f>
        <v>E001- 173</v>
      </c>
    </row>
    <row r="105" spans="1:8" x14ac:dyDescent="0.25">
      <c r="A105" s="25" t="str">
        <f>IF($C105="","",Registro_Compras!$B$15)</f>
        <v/>
      </c>
      <c r="B105" t="str">
        <f>IF($C105="","","C"&amp;TEXT(INT((ROW()-5)/9)+1,"000")&amp;"-1")</f>
        <v/>
      </c>
      <c r="C105" t="str">
        <f>IF(OR(Registro_Compras!$C$15="",Registro_Compras!$O$15=""),"",IF(Registro_Compras!$F$15="RHE",IF(Registro_Compras!$V$15=0,"","4017"),IF(Registro_Compras!$F$15="NOTA DE CREDITO",IF(Registro_Compras!$M$15="","63",Registro_Compras!$M$15),IF(Registro_Compras!$K$15=0,"","40111"))))</f>
        <v/>
      </c>
      <c r="D105" t="str">
        <f>IF(OR(Registro_Compras!$C$15="",Registro_Compras!$O$15=""),"",IF(Registro_Compras!$F$15="RHE","Retencion Renta 4ta Categoria por Pagar",IF(Registro_Compras!$F$15="NOTA DE CREDITO","Gastos de Servicios Prestados por Terceros","IGV - Cuenta Propia (Credito Fiscal)")))</f>
        <v>Retencion Renta 4ta Categoria por Pagar</v>
      </c>
      <c r="E105" s="20" t="str">
        <f>IF($C105="","",IF(Registro_Compras!$F$15="FACTURA",ROUND(Registro_Compras!$K$15*Registro_Compras!$N$15,2),""))</f>
        <v/>
      </c>
      <c r="F105" s="20" t="str">
        <f>IF($C105="","",IF(Registro_Compras!$F$15="RHE",ROUND(Registro_Compras!$V$15*Registro_Compras!$N$15,2),IF(Registro_Compras!$F$15="NOTA DE CREDITO",ROUND(ABS(Registro_Compras!$J$15*Registro_Compras!$N$15),2),"")))</f>
        <v/>
      </c>
      <c r="G105" t="str">
        <f>IF($C105="","",IF(Registro_Compras!$F$15="NOTA DE CREDITO","Por la nota de credito "&amp;Registro_Compras!$C$15&amp;" de "&amp;Registro_Compras!$E$15&amp;" [PATRON POR CONFIRMAR CON CONTADOR]",IF(Registro_Compras!$F$15="RHE","Por el registro del recibo por honorarios "&amp;Registro_Compras!$C$15&amp;" de "&amp;Registro_Compras!$E$15&amp;" [PATRON POR CONFIRMAR CON CONTADOR]","Por el registro de la factura "&amp;Registro_Compras!$C$15&amp;" de "&amp;Registro_Compras!$E$15)))</f>
        <v/>
      </c>
      <c r="H105" t="str">
        <f>IF($C105="","",Registro_Compras!$C$15)</f>
        <v/>
      </c>
    </row>
    <row r="106" spans="1:8" x14ac:dyDescent="0.25">
      <c r="A106" s="25">
        <f>IF($C106="","",Registro_Compras!$B$15)</f>
        <v>46244</v>
      </c>
      <c r="B106" t="str">
        <f>IF($C106="","","C"&amp;TEXT(INT((ROW()-5)/9)+1,"000")&amp;"-1")</f>
        <v>C012-1</v>
      </c>
      <c r="C106" t="str">
        <f>IF(OR(Registro_Compras!$C$15="",Registro_Compras!$O$15=""),"",IF(Registro_Compras!$F$15="NOTA DE CREDITO",IF(Registro_Compras!$K$15=0,"","40111"),"4212"))</f>
        <v>4212</v>
      </c>
      <c r="D106" t="str">
        <f>IF(OR(Registro_Compras!$C$15="",Registro_Compras!$O$15=""),"",IF(Registro_Compras!$F$15="NOTA DE CREDITO","IGV - Cuenta Propia (Credito Fiscal)","Cuentas por Pagar Comerciales - Terceros (Emitidas)"))</f>
        <v>Cuentas por Pagar Comerciales - Terceros (Emitidas)</v>
      </c>
      <c r="E106" s="20" t="str">
        <f>""</f>
        <v/>
      </c>
      <c r="F106" s="20">
        <f>IF($C106="","",IF(Registro_Compras!$F$15="NOTA DE CREDITO",ROUND(ABS(Registro_Compras!$K$15*Registro_Compras!$N$15),2),IF(Registro_Compras!$F$15="RHE",(ROUND(Registro_Compras!$L$15*Registro_Compras!$N$15,2)-ROUND(Registro_Compras!$V$15*Registro_Compras!$N$15,2)),Registro_Compras!$O$15)))</f>
        <v>1025</v>
      </c>
      <c r="G106" t="str">
        <f>IF($C106="","",IF(Registro_Compras!$F$15="NOTA DE CREDITO","Por la nota de credito "&amp;Registro_Compras!$C$15&amp;" de "&amp;Registro_Compras!$E$15&amp;" [PATRON POR CONFIRMAR CON CONTADOR]",IF(Registro_Compras!$F$15="RHE","Por el registro del recibo por honorarios "&amp;Registro_Compras!$C$15&amp;" de "&amp;Registro_Compras!$E$15&amp;" [PATRON POR CONFIRMAR CON CONTADOR]","Por el registro de la factura "&amp;Registro_Compras!$C$15&amp;" de "&amp;Registro_Compras!$E$15)))</f>
        <v>Por el registro del recibo por honorarios E001- 173 de BEOUTIS BAZAN URSULA CATHERINE [PATRON POR CONFIRMAR CON CONTADOR]</v>
      </c>
      <c r="H106" t="str">
        <f>IF($C106="","",Registro_Compras!$C$15)</f>
        <v>E001- 173</v>
      </c>
    </row>
    <row r="107" spans="1:8" x14ac:dyDescent="0.25">
      <c r="A107" s="25">
        <f>IF($C107="","",Registro_Compras!$B$15)</f>
        <v>46244</v>
      </c>
      <c r="B107" t="str">
        <f>IF($C107="","","C"&amp;TEXT(INT((ROW()-5)/9)+1,"000")&amp;"-2")</f>
        <v>C012-2</v>
      </c>
      <c r="C107" t="str">
        <f>IF(OR(Registro_Compras!$C$15="",Registro_Compras!$O$15=""),"",IF(Registro_Compras!$AB$15="ADMINISTRATIVO","94","95"))</f>
        <v>94</v>
      </c>
      <c r="D107" t="str">
        <f>IF(OR(Registro_Compras!$C$15="",Registro_Compras!$O$15=""),"",IF(Registro_Compras!$AB$15="ADMINISTRATIVO","Gastos Administrativos","Gastos de Venta y Operacion"))</f>
        <v>Gastos Administrativos</v>
      </c>
      <c r="E107" s="20">
        <f>IF($C107="","",IF(Registro_Compras!$F$15="NOTA DE CREDITO","",IF(Registro_Compras!$F$15="RHE",ROUND(Registro_Compras!$L$15*Registro_Compras!$N$15,2),ROUND(Registro_Compras!$J$15*Registro_Compras!$N$15,2))))</f>
        <v>1025</v>
      </c>
      <c r="F107" s="20" t="str">
        <f>IF($C107="","",IF(Registro_Compras!$F$15="NOTA DE CREDITO",ROUND(ABS(Registro_Compras!$J$15*Registro_Compras!$N$15),2),""))</f>
        <v/>
      </c>
      <c r="G107" t="str">
        <f>IF($C107="","","Por el destino del gasto")</f>
        <v>Por el destino del gasto</v>
      </c>
      <c r="H107" t="str">
        <f>IF($C107="","",Registro_Compras!$C$15)</f>
        <v>E001- 173</v>
      </c>
    </row>
    <row r="108" spans="1:8" x14ac:dyDescent="0.25">
      <c r="A108" s="25">
        <f>IF($C108="","",Registro_Compras!$B$15)</f>
        <v>46244</v>
      </c>
      <c r="B108" t="str">
        <f>IF($C108="","","C"&amp;TEXT(INT((ROW()-5)/9)+1,"000")&amp;"-2")</f>
        <v>C012-2</v>
      </c>
      <c r="C108" t="str">
        <f>IF(OR(Registro_Compras!$C$15="",Registro_Compras!$O$15=""),"","79/791")</f>
        <v>79/791</v>
      </c>
      <c r="D108" t="str">
        <f>IF(OR(Registro_Compras!$C$15="",Registro_Compras!$O$15=""),"","Cargas Imputables a Cuentas de Costos y Gastos")</f>
        <v>Cargas Imputables a Cuentas de Costos y Gastos</v>
      </c>
      <c r="E108" s="20" t="str">
        <f>IF($C108="","",IF(Registro_Compras!$F$15="NOTA DE CREDITO",ROUND(ABS(Registro_Compras!$J$15*Registro_Compras!$N$15),2),""))</f>
        <v/>
      </c>
      <c r="F108" s="20">
        <f>IF($C108="","",IF(Registro_Compras!$F$15="NOTA DE CREDITO","",IF(Registro_Compras!$F$15="RHE",ROUND(Registro_Compras!$L$15*Registro_Compras!$N$15,2),ROUND(Registro_Compras!$J$15*Registro_Compras!$N$15,2))))</f>
        <v>1025</v>
      </c>
      <c r="G108" t="str">
        <f>IF($C108="","","Por el destino del gasto")</f>
        <v>Por el destino del gasto</v>
      </c>
      <c r="H108" t="str">
        <f>IF($C108="","",Registro_Compras!$C$15)</f>
        <v>E001- 173</v>
      </c>
    </row>
    <row r="109" spans="1:8" x14ac:dyDescent="0.25">
      <c r="A109" s="25" t="str">
        <f>IF($C109="","",Registro_Compras!$X$15)</f>
        <v/>
      </c>
      <c r="B109" t="str">
        <f>IF($C109="","","C"&amp;TEXT(INT((ROW()-5)/9)+1,"000")&amp;"-3")</f>
        <v/>
      </c>
      <c r="C109" t="str">
        <f>IF(OR(Registro_Compras!$C$15="",Registro_Compras!$O$15="",Registro_Compras!$R$15&lt;&gt;"SI",Registro_Compras!$X$15=""),"","4212")</f>
        <v/>
      </c>
      <c r="D109" t="str">
        <f>IF(OR(Registro_Compras!$C$15="",Registro_Compras!$O$15=""),"","Cuentas por Pagar Comerciales - Terceros")</f>
        <v>Cuentas por Pagar Comerciales - Terceros</v>
      </c>
      <c r="E109" s="20" t="str">
        <f>IF($C109="","",Registro_Compras!$S$15)</f>
        <v/>
      </c>
      <c r="F109" s="20" t="str">
        <f>""</f>
        <v/>
      </c>
      <c r="G109" t="str">
        <f>IF($C109="","","Por el deposito de la detraccion en el Banco de la Nacion")</f>
        <v/>
      </c>
      <c r="H109" t="str">
        <f>IF($C109="","",Registro_Compras!$C$15)</f>
        <v/>
      </c>
    </row>
    <row r="110" spans="1:8" x14ac:dyDescent="0.25">
      <c r="A110" s="25" t="str">
        <f>IF($C110="","",Registro_Compras!$X$15)</f>
        <v/>
      </c>
      <c r="B110" t="str">
        <f>IF($C110="","","C"&amp;TEXT(INT((ROW()-5)/9)+1,"000")&amp;"-3")</f>
        <v/>
      </c>
      <c r="C110" t="str">
        <f>IF(OR(Registro_Compras!$C$15="",Registro_Compras!$O$15="",Registro_Compras!$R$15&lt;&gt;"SI",Registro_Compras!$X$15=""),"","1041")</f>
        <v/>
      </c>
      <c r="D110" t="str">
        <f>IF(OR(Registro_Compras!$C$15="",Registro_Compras!$O$15=""),"","Efectivo y Equivalentes - Cta. Cte. Operativa")</f>
        <v>Efectivo y Equivalentes - Cta. Cte. Operativa</v>
      </c>
      <c r="E110" s="20" t="str">
        <f>""</f>
        <v/>
      </c>
      <c r="F110" s="20" t="str">
        <f>IF($C110="","",Registro_Compras!$S$15)</f>
        <v/>
      </c>
      <c r="G110" t="str">
        <f>IF($C110="","","Por el deposito de la detraccion en el Banco de la Nacion")</f>
        <v/>
      </c>
      <c r="H110" t="str">
        <f>IF($C110="","",Registro_Compras!$C$15)</f>
        <v/>
      </c>
    </row>
    <row r="111" spans="1:8" x14ac:dyDescent="0.25">
      <c r="A111" s="25" t="str">
        <f>IF($C111="","",Registro_Compras!$Y$15)</f>
        <v/>
      </c>
      <c r="B111" t="str">
        <f>IF($C111="","","C"&amp;TEXT(INT((ROW()-5)/9)+1,"000")&amp;"-4")</f>
        <v/>
      </c>
      <c r="C111" t="str">
        <f>IF(OR(Registro_Compras!$C$15="",Registro_Compras!$O$15="",Registro_Compras!$Y$15="",Registro_Compras!$F$15="NOTA DE CREDITO"),"","4212")</f>
        <v/>
      </c>
      <c r="D111" t="str">
        <f>IF(OR(Registro_Compras!$C$15="",Registro_Compras!$O$15=""),"","Cuentas por Pagar Comerciales - Terceros")</f>
        <v>Cuentas por Pagar Comerciales - Terceros</v>
      </c>
      <c r="E111" s="20" t="str">
        <f>IF($C111="","",IF(Registro_Compras!$F$15="RHE",(ROUND(Registro_Compras!$L$15*Registro_Compras!$N$15,2)-ROUND(Registro_Compras!$V$15*Registro_Compras!$N$15,2)),ROUND(Registro_Compras!$O$15-Registro_Compras!$S$15,2)))</f>
        <v/>
      </c>
      <c r="F111" s="20" t="str">
        <f>""</f>
        <v/>
      </c>
      <c r="G111" t="str">
        <f>IF($C111="","","Por la cancelacion del saldo al proveedor")</f>
        <v/>
      </c>
      <c r="H111" t="str">
        <f>IF($C111="","",Registro_Compras!$C$15)</f>
        <v/>
      </c>
    </row>
    <row r="112" spans="1:8" x14ac:dyDescent="0.25">
      <c r="A112" s="25" t="str">
        <f>IF($C112="","",Registro_Compras!$Y$15)</f>
        <v/>
      </c>
      <c r="B112" t="str">
        <f>IF($C112="","","C"&amp;TEXT(INT((ROW()-5)/9)+1,"000")&amp;"-4")</f>
        <v/>
      </c>
      <c r="C112" t="str">
        <f>IF(OR(Registro_Compras!$C$15="",Registro_Compras!$O$15="",Registro_Compras!$Y$15="",Registro_Compras!$F$15="NOTA DE CREDITO"),"","1041")</f>
        <v/>
      </c>
      <c r="D112" t="str">
        <f>IF(OR(Registro_Compras!$C$15="",Registro_Compras!$O$15=""),"","Efectivo y Equivalentes - Cta. Cte. Operativa")</f>
        <v>Efectivo y Equivalentes - Cta. Cte. Operativa</v>
      </c>
      <c r="E112" s="20" t="str">
        <f>""</f>
        <v/>
      </c>
      <c r="F112" s="20" t="str">
        <f>IF($C112="","",IF(Registro_Compras!$F$15="RHE",(ROUND(Registro_Compras!$L$15*Registro_Compras!$N$15,2)-ROUND(Registro_Compras!$V$15*Registro_Compras!$N$15,2)),ROUND(Registro_Compras!$O$15-Registro_Compras!$S$15,2)))</f>
        <v/>
      </c>
      <c r="G112" t="str">
        <f>IF($C112="","","Por la cancelacion del saldo al proveedor")</f>
        <v/>
      </c>
      <c r="H112" t="str">
        <f>IF($C112="","",Registro_Compras!$C$15)</f>
        <v/>
      </c>
    </row>
    <row r="113" spans="1:8" x14ac:dyDescent="0.25">
      <c r="A113" s="25">
        <f>IF($C113="","",Registro_Compras!$B$16)</f>
        <v>46248</v>
      </c>
      <c r="B113" t="str">
        <f>IF($C113="","","C"&amp;TEXT(INT((ROW()-5)/9)+1,"000")&amp;"-1")</f>
        <v>C013-1</v>
      </c>
      <c r="C113" t="str">
        <f>IF(OR(Registro_Compras!$C$16="",Registro_Compras!$O$16=""),"",IF(Registro_Compras!$F$16="NOTA DE CREDITO","4212",IF(Registro_Compras!$M$16="","63",Registro_Compras!$M$16)))</f>
        <v>632</v>
      </c>
      <c r="D113" t="str">
        <f>IF(OR(Registro_Compras!$C$16="",Registro_Compras!$O$16=""),"",IF(Registro_Compras!$F$16="NOTA DE CREDITO","Cuentas por Pagar Comerciales - Terceros (Emitidas)",IF(Registro_Compras!$F$16="RHE","Honorarios Profesionales - Servicios de Terceros","Gastos de Servicios Prestados por Terceros")))</f>
        <v>Honorarios Profesionales - Servicios de Terceros</v>
      </c>
      <c r="E113" s="20">
        <f>IF($C113="","",IF(Registro_Compras!$F$16="NOTA DE CREDITO",ABS(Registro_Compras!$O$16),IF(Registro_Compras!$F$16="RHE",ROUND(Registro_Compras!$L$16*Registro_Compras!$N$16,2),ROUND(Registro_Compras!$J$16*Registro_Compras!$N$16,2))))</f>
        <v>219.12</v>
      </c>
      <c r="F113" s="20" t="str">
        <f>""</f>
        <v/>
      </c>
      <c r="G113" t="str">
        <f>IF($C113="","",IF(Registro_Compras!$F$16="NOTA DE CREDITO","Por la nota de credito "&amp;Registro_Compras!$C$16&amp;" de "&amp;Registro_Compras!$E$16&amp;" [PATRON POR CONFIRMAR CON CONTADOR]",IF(Registro_Compras!$F$16="RHE","Por el registro del recibo por honorarios "&amp;Registro_Compras!$C$16&amp;" de "&amp;Registro_Compras!$E$16&amp;" [PATRON POR CONFIRMAR CON CONTADOR]","Por el registro de la factura "&amp;Registro_Compras!$C$16&amp;" de "&amp;Registro_Compras!$E$16)))</f>
        <v>Por el registro del recibo por honorarios E001-129 de CALLAÃ‘AUPA DE HENDRICKSON FLORA [PATRON POR CONFIRMAR CON CONTADOR]</v>
      </c>
      <c r="H113" t="str">
        <f>IF($C113="","",Registro_Compras!$C$16)</f>
        <v>E001-129</v>
      </c>
    </row>
    <row r="114" spans="1:8" x14ac:dyDescent="0.25">
      <c r="A114" s="25">
        <f>IF($C114="","",Registro_Compras!$B$16)</f>
        <v>46248</v>
      </c>
      <c r="B114" t="str">
        <f>IF($C114="","","C"&amp;TEXT(INT((ROW()-5)/9)+1,"000")&amp;"-1")</f>
        <v>C013-1</v>
      </c>
      <c r="C114" t="str">
        <f>IF(OR(Registro_Compras!$C$16="",Registro_Compras!$O$16=""),"",IF(Registro_Compras!$F$16="RHE",IF(Registro_Compras!$V$16=0,"","4017"),IF(Registro_Compras!$F$16="NOTA DE CREDITO",IF(Registro_Compras!$M$16="","63",Registro_Compras!$M$16),IF(Registro_Compras!$K$16=0,"","40111"))))</f>
        <v>4017</v>
      </c>
      <c r="D114" t="str">
        <f>IF(OR(Registro_Compras!$C$16="",Registro_Compras!$O$16=""),"",IF(Registro_Compras!$F$16="RHE","Retencion Renta 4ta Categoria por Pagar",IF(Registro_Compras!$F$16="NOTA DE CREDITO","Gastos de Servicios Prestados por Terceros","IGV - Cuenta Propia (Credito Fiscal)")))</f>
        <v>Retencion Renta 4ta Categoria por Pagar</v>
      </c>
      <c r="E114" s="20" t="str">
        <f>IF($C114="","",IF(Registro_Compras!$F$16="FACTURA",ROUND(Registro_Compras!$K$16*Registro_Compras!$N$16,2),""))</f>
        <v/>
      </c>
      <c r="F114" s="20">
        <f>IF($C114="","",IF(Registro_Compras!$F$16="RHE",ROUND(Registro_Compras!$V$16*Registro_Compras!$N$16,2),IF(Registro_Compras!$F$16="NOTA DE CREDITO",ROUND(ABS(Registro_Compras!$J$16*Registro_Compras!$N$16),2),"")))</f>
        <v>26.29</v>
      </c>
      <c r="G114" t="str">
        <f>IF($C114="","",IF(Registro_Compras!$F$16="NOTA DE CREDITO","Por la nota de credito "&amp;Registro_Compras!$C$16&amp;" de "&amp;Registro_Compras!$E$16&amp;" [PATRON POR CONFIRMAR CON CONTADOR]",IF(Registro_Compras!$F$16="RHE","Por el registro del recibo por honorarios "&amp;Registro_Compras!$C$16&amp;" de "&amp;Registro_Compras!$E$16&amp;" [PATRON POR CONFIRMAR CON CONTADOR]","Por el registro de la factura "&amp;Registro_Compras!$C$16&amp;" de "&amp;Registro_Compras!$E$16)))</f>
        <v>Por el registro del recibo por honorarios E001-129 de CALLAÃ‘AUPA DE HENDRICKSON FLORA [PATRON POR CONFIRMAR CON CONTADOR]</v>
      </c>
      <c r="H114" t="str">
        <f>IF($C114="","",Registro_Compras!$C$16)</f>
        <v>E001-129</v>
      </c>
    </row>
    <row r="115" spans="1:8" x14ac:dyDescent="0.25">
      <c r="A115" s="25">
        <f>IF($C115="","",Registro_Compras!$B$16)</f>
        <v>46248</v>
      </c>
      <c r="B115" t="str">
        <f>IF($C115="","","C"&amp;TEXT(INT((ROW()-5)/9)+1,"000")&amp;"-1")</f>
        <v>C013-1</v>
      </c>
      <c r="C115" t="str">
        <f>IF(OR(Registro_Compras!$C$16="",Registro_Compras!$O$16=""),"",IF(Registro_Compras!$F$16="NOTA DE CREDITO",IF(Registro_Compras!$K$16=0,"","40111"),"4212"))</f>
        <v>4212</v>
      </c>
      <c r="D115" t="str">
        <f>IF(OR(Registro_Compras!$C$16="",Registro_Compras!$O$16=""),"",IF(Registro_Compras!$F$16="NOTA DE CREDITO","IGV - Cuenta Propia (Credito Fiscal)","Cuentas por Pagar Comerciales - Terceros (Emitidas)"))</f>
        <v>Cuentas por Pagar Comerciales - Terceros (Emitidas)</v>
      </c>
      <c r="E115" s="20" t="str">
        <f>""</f>
        <v/>
      </c>
      <c r="F115" s="20">
        <f>IF($C115="","",IF(Registro_Compras!$F$16="NOTA DE CREDITO",ROUND(ABS(Registro_Compras!$K$16*Registro_Compras!$N$16),2),IF(Registro_Compras!$F$16="RHE",(ROUND(Registro_Compras!$L$16*Registro_Compras!$N$16,2)-ROUND(Registro_Compras!$V$16*Registro_Compras!$N$16,2)),Registro_Compras!$O$16)))</f>
        <v>192.83</v>
      </c>
      <c r="G115" t="str">
        <f>IF($C115="","",IF(Registro_Compras!$F$16="NOTA DE CREDITO","Por la nota de credito "&amp;Registro_Compras!$C$16&amp;" de "&amp;Registro_Compras!$E$16&amp;" [PATRON POR CONFIRMAR CON CONTADOR]",IF(Registro_Compras!$F$16="RHE","Por el registro del recibo por honorarios "&amp;Registro_Compras!$C$16&amp;" de "&amp;Registro_Compras!$E$16&amp;" [PATRON POR CONFIRMAR CON CONTADOR]","Por el registro de la factura "&amp;Registro_Compras!$C$16&amp;" de "&amp;Registro_Compras!$E$16)))</f>
        <v>Por el registro del recibo por honorarios E001-129 de CALLAÃ‘AUPA DE HENDRICKSON FLORA [PATRON POR CONFIRMAR CON CONTADOR]</v>
      </c>
      <c r="H115" t="str">
        <f>IF($C115="","",Registro_Compras!$C$16)</f>
        <v>E001-129</v>
      </c>
    </row>
    <row r="116" spans="1:8" x14ac:dyDescent="0.25">
      <c r="A116" s="25">
        <f>IF($C116="","",Registro_Compras!$B$16)</f>
        <v>46248</v>
      </c>
      <c r="B116" t="str">
        <f>IF($C116="","","C"&amp;TEXT(INT((ROW()-5)/9)+1,"000")&amp;"-2")</f>
        <v>C013-2</v>
      </c>
      <c r="C116" t="str">
        <f>IF(OR(Registro_Compras!$C$16="",Registro_Compras!$O$16=""),"",IF(Registro_Compras!$AB$16="ADMINISTRATIVO","94","95"))</f>
        <v>95</v>
      </c>
      <c r="D116" t="str">
        <f>IF(OR(Registro_Compras!$C$16="",Registro_Compras!$O$16=""),"",IF(Registro_Compras!$AB$16="ADMINISTRATIVO","Gastos Administrativos","Gastos de Venta y Operacion"))</f>
        <v>Gastos de Venta y Operacion</v>
      </c>
      <c r="E116" s="20">
        <f>IF($C116="","",IF(Registro_Compras!$F$16="NOTA DE CREDITO","",IF(Registro_Compras!$F$16="RHE",ROUND(Registro_Compras!$L$16*Registro_Compras!$N$16,2),ROUND(Registro_Compras!$J$16*Registro_Compras!$N$16,2))))</f>
        <v>219.12</v>
      </c>
      <c r="F116" s="20" t="str">
        <f>IF($C116="","",IF(Registro_Compras!$F$16="NOTA DE CREDITO",ROUND(ABS(Registro_Compras!$J$16*Registro_Compras!$N$16),2),""))</f>
        <v/>
      </c>
      <c r="G116" t="str">
        <f>IF($C116="","","Por el destino del gasto")</f>
        <v>Por el destino del gasto</v>
      </c>
      <c r="H116" t="str">
        <f>IF($C116="","",Registro_Compras!$C$16)</f>
        <v>E001-129</v>
      </c>
    </row>
    <row r="117" spans="1:8" x14ac:dyDescent="0.25">
      <c r="A117" s="25">
        <f>IF($C117="","",Registro_Compras!$B$16)</f>
        <v>46248</v>
      </c>
      <c r="B117" t="str">
        <f>IF($C117="","","C"&amp;TEXT(INT((ROW()-5)/9)+1,"000")&amp;"-2")</f>
        <v>C013-2</v>
      </c>
      <c r="C117" t="str">
        <f>IF(OR(Registro_Compras!$C$16="",Registro_Compras!$O$16=""),"","79/791")</f>
        <v>79/791</v>
      </c>
      <c r="D117" t="str">
        <f>IF(OR(Registro_Compras!$C$16="",Registro_Compras!$O$16=""),"","Cargas Imputables a Cuentas de Costos y Gastos")</f>
        <v>Cargas Imputables a Cuentas de Costos y Gastos</v>
      </c>
      <c r="E117" s="20" t="str">
        <f>IF($C117="","",IF(Registro_Compras!$F$16="NOTA DE CREDITO",ROUND(ABS(Registro_Compras!$J$16*Registro_Compras!$N$16),2),""))</f>
        <v/>
      </c>
      <c r="F117" s="20">
        <f>IF($C117="","",IF(Registro_Compras!$F$16="NOTA DE CREDITO","",IF(Registro_Compras!$F$16="RHE",ROUND(Registro_Compras!$L$16*Registro_Compras!$N$16,2),ROUND(Registro_Compras!$J$16*Registro_Compras!$N$16,2))))</f>
        <v>219.12</v>
      </c>
      <c r="G117" t="str">
        <f>IF($C117="","","Por el destino del gasto")</f>
        <v>Por el destino del gasto</v>
      </c>
      <c r="H117" t="str">
        <f>IF($C117="","",Registro_Compras!$C$16)</f>
        <v>E001-129</v>
      </c>
    </row>
    <row r="118" spans="1:8" x14ac:dyDescent="0.25">
      <c r="A118" s="25" t="str">
        <f>IF($C118="","",Registro_Compras!$X$16)</f>
        <v/>
      </c>
      <c r="B118" t="str">
        <f>IF($C118="","","C"&amp;TEXT(INT((ROW()-5)/9)+1,"000")&amp;"-3")</f>
        <v/>
      </c>
      <c r="C118" t="str">
        <f>IF(OR(Registro_Compras!$C$16="",Registro_Compras!$O$16="",Registro_Compras!$R$16&lt;&gt;"SI",Registro_Compras!$X$16=""),"","4212")</f>
        <v/>
      </c>
      <c r="D118" t="str">
        <f>IF(OR(Registro_Compras!$C$16="",Registro_Compras!$O$16=""),"","Cuentas por Pagar Comerciales - Terceros")</f>
        <v>Cuentas por Pagar Comerciales - Terceros</v>
      </c>
      <c r="E118" s="20" t="str">
        <f>IF($C118="","",Registro_Compras!$S$16)</f>
        <v/>
      </c>
      <c r="F118" s="20" t="str">
        <f>""</f>
        <v/>
      </c>
      <c r="G118" t="str">
        <f>IF($C118="","","Por el deposito de la detraccion en el Banco de la Nacion")</f>
        <v/>
      </c>
      <c r="H118" t="str">
        <f>IF($C118="","",Registro_Compras!$C$16)</f>
        <v/>
      </c>
    </row>
    <row r="119" spans="1:8" x14ac:dyDescent="0.25">
      <c r="A119" s="25" t="str">
        <f>IF($C119="","",Registro_Compras!$X$16)</f>
        <v/>
      </c>
      <c r="B119" t="str">
        <f>IF($C119="","","C"&amp;TEXT(INT((ROW()-5)/9)+1,"000")&amp;"-3")</f>
        <v/>
      </c>
      <c r="C119" t="str">
        <f>IF(OR(Registro_Compras!$C$16="",Registro_Compras!$O$16="",Registro_Compras!$R$16&lt;&gt;"SI",Registro_Compras!$X$16=""),"","1041")</f>
        <v/>
      </c>
      <c r="D119" t="str">
        <f>IF(OR(Registro_Compras!$C$16="",Registro_Compras!$O$16=""),"","Efectivo y Equivalentes - Cta. Cte. Operativa")</f>
        <v>Efectivo y Equivalentes - Cta. Cte. Operativa</v>
      </c>
      <c r="E119" s="20" t="str">
        <f>""</f>
        <v/>
      </c>
      <c r="F119" s="20" t="str">
        <f>IF($C119="","",Registro_Compras!$S$16)</f>
        <v/>
      </c>
      <c r="G119" t="str">
        <f>IF($C119="","","Por el deposito de la detraccion en el Banco de la Nacion")</f>
        <v/>
      </c>
      <c r="H119" t="str">
        <f>IF($C119="","",Registro_Compras!$C$16)</f>
        <v/>
      </c>
    </row>
    <row r="120" spans="1:8" x14ac:dyDescent="0.25">
      <c r="A120" s="25" t="str">
        <f>IF($C120="","",Registro_Compras!$Y$16)</f>
        <v/>
      </c>
      <c r="B120" t="str">
        <f>IF($C120="","","C"&amp;TEXT(INT((ROW()-5)/9)+1,"000")&amp;"-4")</f>
        <v/>
      </c>
      <c r="C120" t="str">
        <f>IF(OR(Registro_Compras!$C$16="",Registro_Compras!$O$16="",Registro_Compras!$Y$16="",Registro_Compras!$F$16="NOTA DE CREDITO"),"","4212")</f>
        <v/>
      </c>
      <c r="D120" t="str">
        <f>IF(OR(Registro_Compras!$C$16="",Registro_Compras!$O$16=""),"","Cuentas por Pagar Comerciales - Terceros")</f>
        <v>Cuentas por Pagar Comerciales - Terceros</v>
      </c>
      <c r="E120" s="20" t="str">
        <f>IF($C120="","",IF(Registro_Compras!$F$16="RHE",(ROUND(Registro_Compras!$L$16*Registro_Compras!$N$16,2)-ROUND(Registro_Compras!$V$16*Registro_Compras!$N$16,2)),ROUND(Registro_Compras!$O$16-Registro_Compras!$S$16,2)))</f>
        <v/>
      </c>
      <c r="F120" s="20" t="str">
        <f>""</f>
        <v/>
      </c>
      <c r="G120" t="str">
        <f>IF($C120="","","Por la cancelacion del saldo al proveedor")</f>
        <v/>
      </c>
      <c r="H120" t="str">
        <f>IF($C120="","",Registro_Compras!$C$16)</f>
        <v/>
      </c>
    </row>
    <row r="121" spans="1:8" x14ac:dyDescent="0.25">
      <c r="A121" s="25" t="str">
        <f>IF($C121="","",Registro_Compras!$Y$16)</f>
        <v/>
      </c>
      <c r="B121" t="str">
        <f>IF($C121="","","C"&amp;TEXT(INT((ROW()-5)/9)+1,"000")&amp;"-4")</f>
        <v/>
      </c>
      <c r="C121" t="str">
        <f>IF(OR(Registro_Compras!$C$16="",Registro_Compras!$O$16="",Registro_Compras!$Y$16="",Registro_Compras!$F$16="NOTA DE CREDITO"),"","1041")</f>
        <v/>
      </c>
      <c r="D121" t="str">
        <f>IF(OR(Registro_Compras!$C$16="",Registro_Compras!$O$16=""),"","Efectivo y Equivalentes - Cta. Cte. Operativa")</f>
        <v>Efectivo y Equivalentes - Cta. Cte. Operativa</v>
      </c>
      <c r="E121" s="20" t="str">
        <f>""</f>
        <v/>
      </c>
      <c r="F121" s="20" t="str">
        <f>IF($C121="","",IF(Registro_Compras!$F$16="RHE",(ROUND(Registro_Compras!$L$16*Registro_Compras!$N$16,2)-ROUND(Registro_Compras!$V$16*Registro_Compras!$N$16,2)),ROUND(Registro_Compras!$O$16-Registro_Compras!$S$16,2)))</f>
        <v/>
      </c>
      <c r="G121" t="str">
        <f>IF($C121="","","Por la cancelacion del saldo al proveedor")</f>
        <v/>
      </c>
      <c r="H121" t="str">
        <f>IF($C121="","",Registro_Compras!$C$16)</f>
        <v/>
      </c>
    </row>
    <row r="122" spans="1:8" x14ac:dyDescent="0.25">
      <c r="A122" s="25">
        <f>IF($C122="","",Registro_Compras!$B$17)</f>
        <v>46246</v>
      </c>
      <c r="B122" t="str">
        <f>IF($C122="","","C"&amp;TEXT(INT((ROW()-5)/9)+1,"000")&amp;"-1")</f>
        <v>C014-1</v>
      </c>
      <c r="C122" t="str">
        <f>IF(OR(Registro_Compras!$C$17="",Registro_Compras!$O$17=""),"",IF(Registro_Compras!$F$17="NOTA DE CREDITO","4212",IF(Registro_Compras!$M$17="","63",Registro_Compras!$M$17)))</f>
        <v>639</v>
      </c>
      <c r="D122" t="str">
        <f>IF(OR(Registro_Compras!$C$17="",Registro_Compras!$O$17=""),"",IF(Registro_Compras!$F$17="NOTA DE CREDITO","Cuentas por Pagar Comerciales - Terceros (Emitidas)",IF(Registro_Compras!$F$17="RHE","Honorarios Profesionales - Servicios de Terceros","Gastos de Servicios Prestados por Terceros")))</f>
        <v>Gastos de Servicios Prestados por Terceros</v>
      </c>
      <c r="E122" s="20">
        <f>IF($C122="","",IF(Registro_Compras!$F$17="NOTA DE CREDITO",ABS(Registro_Compras!$O$17),IF(Registro_Compras!$F$17="RHE",ROUND(Registro_Compras!$L$17*Registro_Compras!$N$17,2),ROUND(Registro_Compras!$J$17*Registro_Compras!$N$17,2))))</f>
        <v>184.41</v>
      </c>
      <c r="F122" s="20" t="str">
        <f>""</f>
        <v/>
      </c>
      <c r="G122" t="str">
        <f>IF($C122="","",IF(Registro_Compras!$F$17="NOTA DE CREDITO","Por la nota de credito "&amp;Registro_Compras!$C$17&amp;" de "&amp;Registro_Compras!$E$17&amp;" [PATRON POR CONFIRMAR CON CONTADOR]",IF(Registro_Compras!$F$17="RHE","Por el registro del recibo por honorarios "&amp;Registro_Compras!$C$17&amp;" de "&amp;Registro_Compras!$E$17&amp;" [PATRON POR CONFIRMAR CON CONTADOR]","Por el registro de la factura "&amp;Registro_Compras!$C$17&amp;" de "&amp;Registro_Compras!$E$17)))</f>
        <v>Por el registro de la factura FA02-00001849 de CUSCO RESTAURANTS S.A.C.</v>
      </c>
      <c r="H122" t="str">
        <f>IF($C122="","",Registro_Compras!$C$17)</f>
        <v>FA02-00001849</v>
      </c>
    </row>
    <row r="123" spans="1:8" x14ac:dyDescent="0.25">
      <c r="A123" s="25">
        <f>IF($C123="","",Registro_Compras!$B$17)</f>
        <v>46246</v>
      </c>
      <c r="B123" t="str">
        <f>IF($C123="","","C"&amp;TEXT(INT((ROW()-5)/9)+1,"000")&amp;"-1")</f>
        <v>C014-1</v>
      </c>
      <c r="C123" t="str">
        <f>IF(OR(Registro_Compras!$C$17="",Registro_Compras!$O$17=""),"",IF(Registro_Compras!$F$17="RHE",IF(Registro_Compras!$V$17=0,"","4017"),IF(Registro_Compras!$F$17="NOTA DE CREDITO",IF(Registro_Compras!$M$17="","63",Registro_Compras!$M$17),IF(Registro_Compras!$K$17=0,"","40111"))))</f>
        <v>40111</v>
      </c>
      <c r="D123" t="str">
        <f>IF(OR(Registro_Compras!$C$17="",Registro_Compras!$O$17=""),"",IF(Registro_Compras!$F$17="RHE","Retencion Renta 4ta Categoria por Pagar",IF(Registro_Compras!$F$17="NOTA DE CREDITO","Gastos de Servicios Prestados por Terceros","IGV - Cuenta Propia (Credito Fiscal)")))</f>
        <v>IGV - Cuenta Propia (Credito Fiscal)</v>
      </c>
      <c r="E123" s="20">
        <f>IF($C123="","",IF(Registro_Compras!$F$17="FACTURA",ROUND(Registro_Compras!$K$17*Registro_Compras!$N$17,2),""))</f>
        <v>33.18</v>
      </c>
      <c r="F123" s="20" t="str">
        <f>IF($C123="","",IF(Registro_Compras!$F$17="RHE",ROUND(Registro_Compras!$V$17*Registro_Compras!$N$17,2),IF(Registro_Compras!$F$17="NOTA DE CREDITO",ROUND(ABS(Registro_Compras!$J$17*Registro_Compras!$N$17),2),"")))</f>
        <v/>
      </c>
      <c r="G123" t="str">
        <f>IF($C123="","",IF(Registro_Compras!$F$17="NOTA DE CREDITO","Por la nota de credito "&amp;Registro_Compras!$C$17&amp;" de "&amp;Registro_Compras!$E$17&amp;" [PATRON POR CONFIRMAR CON CONTADOR]",IF(Registro_Compras!$F$17="RHE","Por el registro del recibo por honorarios "&amp;Registro_Compras!$C$17&amp;" de "&amp;Registro_Compras!$E$17&amp;" [PATRON POR CONFIRMAR CON CONTADOR]","Por el registro de la factura "&amp;Registro_Compras!$C$17&amp;" de "&amp;Registro_Compras!$E$17)))</f>
        <v>Por el registro de la factura FA02-00001849 de CUSCO RESTAURANTS S.A.C.</v>
      </c>
      <c r="H123" t="str">
        <f>IF($C123="","",Registro_Compras!$C$17)</f>
        <v>FA02-00001849</v>
      </c>
    </row>
    <row r="124" spans="1:8" x14ac:dyDescent="0.25">
      <c r="A124" s="25">
        <f>IF($C124="","",Registro_Compras!$B$17)</f>
        <v>46246</v>
      </c>
      <c r="B124" t="str">
        <f>IF($C124="","","C"&amp;TEXT(INT((ROW()-5)/9)+1,"000")&amp;"-1")</f>
        <v>C014-1</v>
      </c>
      <c r="C124" t="str">
        <f>IF(OR(Registro_Compras!$C$17="",Registro_Compras!$O$17=""),"",IF(Registro_Compras!$F$17="NOTA DE CREDITO",IF(Registro_Compras!$K$17=0,"","40111"),"4212"))</f>
        <v>4212</v>
      </c>
      <c r="D124" t="str">
        <f>IF(OR(Registro_Compras!$C$17="",Registro_Compras!$O$17=""),"",IF(Registro_Compras!$F$17="NOTA DE CREDITO","IGV - Cuenta Propia (Credito Fiscal)","Cuentas por Pagar Comerciales - Terceros (Emitidas)"))</f>
        <v>Cuentas por Pagar Comerciales - Terceros (Emitidas)</v>
      </c>
      <c r="E124" s="20" t="str">
        <f>""</f>
        <v/>
      </c>
      <c r="F124" s="20">
        <f>IF($C124="","",IF(Registro_Compras!$F$17="NOTA DE CREDITO",ROUND(ABS(Registro_Compras!$K$17*Registro_Compras!$N$17),2),IF(Registro_Compras!$F$17="RHE",(ROUND(Registro_Compras!$L$17*Registro_Compras!$N$17,2)-ROUND(Registro_Compras!$V$17*Registro_Compras!$N$17,2)),Registro_Compras!$O$17)))</f>
        <v>217.59</v>
      </c>
      <c r="G124" t="str">
        <f>IF($C124="","",IF(Registro_Compras!$F$17="NOTA DE CREDITO","Por la nota de credito "&amp;Registro_Compras!$C$17&amp;" de "&amp;Registro_Compras!$E$17&amp;" [PATRON POR CONFIRMAR CON CONTADOR]",IF(Registro_Compras!$F$17="RHE","Por el registro del recibo por honorarios "&amp;Registro_Compras!$C$17&amp;" de "&amp;Registro_Compras!$E$17&amp;" [PATRON POR CONFIRMAR CON CONTADOR]","Por el registro de la factura "&amp;Registro_Compras!$C$17&amp;" de "&amp;Registro_Compras!$E$17)))</f>
        <v>Por el registro de la factura FA02-00001849 de CUSCO RESTAURANTS S.A.C.</v>
      </c>
      <c r="H124" t="str">
        <f>IF($C124="","",Registro_Compras!$C$17)</f>
        <v>FA02-00001849</v>
      </c>
    </row>
    <row r="125" spans="1:8" x14ac:dyDescent="0.25">
      <c r="A125" s="25">
        <f>IF($C125="","",Registro_Compras!$B$17)</f>
        <v>46246</v>
      </c>
      <c r="B125" t="str">
        <f>IF($C125="","","C"&amp;TEXT(INT((ROW()-5)/9)+1,"000")&amp;"-2")</f>
        <v>C014-2</v>
      </c>
      <c r="C125" t="str">
        <f>IF(OR(Registro_Compras!$C$17="",Registro_Compras!$O$17=""),"",IF(Registro_Compras!$AB$17="ADMINISTRATIVO","94","95"))</f>
        <v>95</v>
      </c>
      <c r="D125" t="str">
        <f>IF(OR(Registro_Compras!$C$17="",Registro_Compras!$O$17=""),"",IF(Registro_Compras!$AB$17="ADMINISTRATIVO","Gastos Administrativos","Gastos de Venta y Operacion"))</f>
        <v>Gastos de Venta y Operacion</v>
      </c>
      <c r="E125" s="20">
        <f>IF($C125="","",IF(Registro_Compras!$F$17="NOTA DE CREDITO","",IF(Registro_Compras!$F$17="RHE",ROUND(Registro_Compras!$L$17*Registro_Compras!$N$17,2),ROUND(Registro_Compras!$J$17*Registro_Compras!$N$17,2))))</f>
        <v>184.41</v>
      </c>
      <c r="F125" s="20" t="str">
        <f>IF($C125="","",IF(Registro_Compras!$F$17="NOTA DE CREDITO",ROUND(ABS(Registro_Compras!$J$17*Registro_Compras!$N$17),2),""))</f>
        <v/>
      </c>
      <c r="G125" t="str">
        <f>IF($C125="","","Por el destino del gasto")</f>
        <v>Por el destino del gasto</v>
      </c>
      <c r="H125" t="str">
        <f>IF($C125="","",Registro_Compras!$C$17)</f>
        <v>FA02-00001849</v>
      </c>
    </row>
    <row r="126" spans="1:8" x14ac:dyDescent="0.25">
      <c r="A126" s="25">
        <f>IF($C126="","",Registro_Compras!$B$17)</f>
        <v>46246</v>
      </c>
      <c r="B126" t="str">
        <f>IF($C126="","","C"&amp;TEXT(INT((ROW()-5)/9)+1,"000")&amp;"-2")</f>
        <v>C014-2</v>
      </c>
      <c r="C126" t="str">
        <f>IF(OR(Registro_Compras!$C$17="",Registro_Compras!$O$17=""),"","79/791")</f>
        <v>79/791</v>
      </c>
      <c r="D126" t="str">
        <f>IF(OR(Registro_Compras!$C$17="",Registro_Compras!$O$17=""),"","Cargas Imputables a Cuentas de Costos y Gastos")</f>
        <v>Cargas Imputables a Cuentas de Costos y Gastos</v>
      </c>
      <c r="E126" s="20" t="str">
        <f>IF($C126="","",IF(Registro_Compras!$F$17="NOTA DE CREDITO",ROUND(ABS(Registro_Compras!$J$17*Registro_Compras!$N$17),2),""))</f>
        <v/>
      </c>
      <c r="F126" s="20">
        <f>IF($C126="","",IF(Registro_Compras!$F$17="NOTA DE CREDITO","",IF(Registro_Compras!$F$17="RHE",ROUND(Registro_Compras!$L$17*Registro_Compras!$N$17,2),ROUND(Registro_Compras!$J$17*Registro_Compras!$N$17,2))))</f>
        <v>184.41</v>
      </c>
      <c r="G126" t="str">
        <f>IF($C126="","","Por el destino del gasto")</f>
        <v>Por el destino del gasto</v>
      </c>
      <c r="H126" t="str">
        <f>IF($C126="","",Registro_Compras!$C$17)</f>
        <v>FA02-00001849</v>
      </c>
    </row>
    <row r="127" spans="1:8" x14ac:dyDescent="0.25">
      <c r="A127" s="25" t="str">
        <f>IF($C127="","",Registro_Compras!$X$17)</f>
        <v/>
      </c>
      <c r="B127" t="str">
        <f>IF($C127="","","C"&amp;TEXT(INT((ROW()-5)/9)+1,"000")&amp;"-3")</f>
        <v/>
      </c>
      <c r="C127" t="str">
        <f>IF(OR(Registro_Compras!$C$17="",Registro_Compras!$O$17="",Registro_Compras!$R$17&lt;&gt;"SI",Registro_Compras!$X$17=""),"","4212")</f>
        <v/>
      </c>
      <c r="D127" t="str">
        <f>IF(OR(Registro_Compras!$C$17="",Registro_Compras!$O$17=""),"","Cuentas por Pagar Comerciales - Terceros")</f>
        <v>Cuentas por Pagar Comerciales - Terceros</v>
      </c>
      <c r="E127" s="20" t="str">
        <f>IF($C127="","",Registro_Compras!$S$17)</f>
        <v/>
      </c>
      <c r="F127" s="20" t="str">
        <f>""</f>
        <v/>
      </c>
      <c r="G127" t="str">
        <f>IF($C127="","","Por el deposito de la detraccion en el Banco de la Nacion")</f>
        <v/>
      </c>
      <c r="H127" t="str">
        <f>IF($C127="","",Registro_Compras!$C$17)</f>
        <v/>
      </c>
    </row>
    <row r="128" spans="1:8" x14ac:dyDescent="0.25">
      <c r="A128" s="25" t="str">
        <f>IF($C128="","",Registro_Compras!$X$17)</f>
        <v/>
      </c>
      <c r="B128" t="str">
        <f>IF($C128="","","C"&amp;TEXT(INT((ROW()-5)/9)+1,"000")&amp;"-3")</f>
        <v/>
      </c>
      <c r="C128" t="str">
        <f>IF(OR(Registro_Compras!$C$17="",Registro_Compras!$O$17="",Registro_Compras!$R$17&lt;&gt;"SI",Registro_Compras!$X$17=""),"","1041")</f>
        <v/>
      </c>
      <c r="D128" t="str">
        <f>IF(OR(Registro_Compras!$C$17="",Registro_Compras!$O$17=""),"","Efectivo y Equivalentes - Cta. Cte. Operativa")</f>
        <v>Efectivo y Equivalentes - Cta. Cte. Operativa</v>
      </c>
      <c r="E128" s="20" t="str">
        <f>""</f>
        <v/>
      </c>
      <c r="F128" s="20" t="str">
        <f>IF($C128="","",Registro_Compras!$S$17)</f>
        <v/>
      </c>
      <c r="G128" t="str">
        <f>IF($C128="","","Por el deposito de la detraccion en el Banco de la Nacion")</f>
        <v/>
      </c>
      <c r="H128" t="str">
        <f>IF($C128="","",Registro_Compras!$C$17)</f>
        <v/>
      </c>
    </row>
    <row r="129" spans="1:8" x14ac:dyDescent="0.25">
      <c r="A129" s="25" t="str">
        <f>IF($C129="","",Registro_Compras!$Y$17)</f>
        <v/>
      </c>
      <c r="B129" t="str">
        <f>IF($C129="","","C"&amp;TEXT(INT((ROW()-5)/9)+1,"000")&amp;"-4")</f>
        <v/>
      </c>
      <c r="C129" t="str">
        <f>IF(OR(Registro_Compras!$C$17="",Registro_Compras!$O$17="",Registro_Compras!$Y$17="",Registro_Compras!$F$17="NOTA DE CREDITO"),"","4212")</f>
        <v/>
      </c>
      <c r="D129" t="str">
        <f>IF(OR(Registro_Compras!$C$17="",Registro_Compras!$O$17=""),"","Cuentas por Pagar Comerciales - Terceros")</f>
        <v>Cuentas por Pagar Comerciales - Terceros</v>
      </c>
      <c r="E129" s="20" t="str">
        <f>IF($C129="","",IF(Registro_Compras!$F$17="RHE",(ROUND(Registro_Compras!$L$17*Registro_Compras!$N$17,2)-ROUND(Registro_Compras!$V$17*Registro_Compras!$N$17,2)),ROUND(Registro_Compras!$O$17-Registro_Compras!$S$17,2)))</f>
        <v/>
      </c>
      <c r="F129" s="20" t="str">
        <f>""</f>
        <v/>
      </c>
      <c r="G129" t="str">
        <f>IF($C129="","","Por la cancelacion del saldo al proveedor")</f>
        <v/>
      </c>
      <c r="H129" t="str">
        <f>IF($C129="","",Registro_Compras!$C$17)</f>
        <v/>
      </c>
    </row>
    <row r="130" spans="1:8" x14ac:dyDescent="0.25">
      <c r="A130" s="25" t="str">
        <f>IF($C130="","",Registro_Compras!$Y$17)</f>
        <v/>
      </c>
      <c r="B130" t="str">
        <f>IF($C130="","","C"&amp;TEXT(INT((ROW()-5)/9)+1,"000")&amp;"-4")</f>
        <v/>
      </c>
      <c r="C130" t="str">
        <f>IF(OR(Registro_Compras!$C$17="",Registro_Compras!$O$17="",Registro_Compras!$Y$17="",Registro_Compras!$F$17="NOTA DE CREDITO"),"","1041")</f>
        <v/>
      </c>
      <c r="D130" t="str">
        <f>IF(OR(Registro_Compras!$C$17="",Registro_Compras!$O$17=""),"","Efectivo y Equivalentes - Cta. Cte. Operativa")</f>
        <v>Efectivo y Equivalentes - Cta. Cte. Operativa</v>
      </c>
      <c r="E130" s="20" t="str">
        <f>""</f>
        <v/>
      </c>
      <c r="F130" s="20" t="str">
        <f>IF($C130="","",IF(Registro_Compras!$F$17="RHE",(ROUND(Registro_Compras!$L$17*Registro_Compras!$N$17,2)-ROUND(Registro_Compras!$V$17*Registro_Compras!$N$17,2)),ROUND(Registro_Compras!$O$17-Registro_Compras!$S$17,2)))</f>
        <v/>
      </c>
      <c r="G130" t="str">
        <f>IF($C130="","","Por la cancelacion del saldo al proveedor")</f>
        <v/>
      </c>
      <c r="H130" t="str">
        <f>IF($C130="","",Registro_Compras!$C$17)</f>
        <v/>
      </c>
    </row>
    <row r="131" spans="1:8" x14ac:dyDescent="0.25">
      <c r="A131" s="25">
        <f>IF($C131="","",Registro_Compras!$B$18)</f>
        <v>46240</v>
      </c>
      <c r="B131" t="str">
        <f>IF($C131="","","C"&amp;TEXT(INT((ROW()-5)/9)+1,"000")&amp;"-1")</f>
        <v>C015-1</v>
      </c>
      <c r="C131" t="str">
        <f>IF(OR(Registro_Compras!$C$18="",Registro_Compras!$O$18=""),"",IF(Registro_Compras!$F$18="NOTA DE CREDITO","4212",IF(Registro_Compras!$M$18="","63",Registro_Compras!$M$18)))</f>
        <v>639</v>
      </c>
      <c r="D131" t="str">
        <f>IF(OR(Registro_Compras!$C$18="",Registro_Compras!$O$18=""),"",IF(Registro_Compras!$F$18="NOTA DE CREDITO","Cuentas por Pagar Comerciales - Terceros (Emitidas)",IF(Registro_Compras!$F$18="RHE","Honorarios Profesionales - Servicios de Terceros","Gastos de Servicios Prestados por Terceros")))</f>
        <v>Gastos de Servicios Prestados por Terceros</v>
      </c>
      <c r="E131" s="20">
        <f>IF($C131="","",IF(Registro_Compras!$F$18="NOTA DE CREDITO",ABS(Registro_Compras!$O$18),IF(Registro_Compras!$F$18="RHE",ROUND(Registro_Compras!$L$18*Registro_Compras!$N$18,2),ROUND(Registro_Compras!$J$18*Registro_Compras!$N$18,2))))</f>
        <v>158.72999999999999</v>
      </c>
      <c r="F131" s="20" t="str">
        <f>""</f>
        <v/>
      </c>
      <c r="G131" t="str">
        <f>IF($C131="","",IF(Registro_Compras!$F$18="NOTA DE CREDITO","Por la nota de credito "&amp;Registro_Compras!$C$18&amp;" de "&amp;Registro_Compras!$E$18&amp;" [PATRON POR CONFIRMAR CON CONTADOR]",IF(Registro_Compras!$F$18="RHE","Por el registro del recibo por honorarios "&amp;Registro_Compras!$C$18&amp;" de "&amp;Registro_Compras!$E$18&amp;" [PATRON POR CONFIRMAR CON CONTADOR]","Por el registro de la factura "&amp;Registro_Compras!$C$18&amp;" de "&amp;Registro_Compras!$E$18)))</f>
        <v>Por el registro de la factura F005-018812 de GRESCO S.A.C.</v>
      </c>
      <c r="H131" t="str">
        <f>IF($C131="","",Registro_Compras!$C$18)</f>
        <v>F005-018812</v>
      </c>
    </row>
    <row r="132" spans="1:8" x14ac:dyDescent="0.25">
      <c r="A132" s="25">
        <f>IF($C132="","",Registro_Compras!$B$18)</f>
        <v>46240</v>
      </c>
      <c r="B132" t="str">
        <f>IF($C132="","","C"&amp;TEXT(INT((ROW()-5)/9)+1,"000")&amp;"-1")</f>
        <v>C015-1</v>
      </c>
      <c r="C132" t="str">
        <f>IF(OR(Registro_Compras!$C$18="",Registro_Compras!$O$18=""),"",IF(Registro_Compras!$F$18="RHE",IF(Registro_Compras!$V$18=0,"","4017"),IF(Registro_Compras!$F$18="NOTA DE CREDITO",IF(Registro_Compras!$M$18="","63",Registro_Compras!$M$18),IF(Registro_Compras!$K$18=0,"","40111"))))</f>
        <v>40111</v>
      </c>
      <c r="D132" t="str">
        <f>IF(OR(Registro_Compras!$C$18="",Registro_Compras!$O$18=""),"",IF(Registro_Compras!$F$18="RHE","Retencion Renta 4ta Categoria por Pagar",IF(Registro_Compras!$F$18="NOTA DE CREDITO","Gastos de Servicios Prestados por Terceros","IGV - Cuenta Propia (Credito Fiscal)")))</f>
        <v>IGV - Cuenta Propia (Credito Fiscal)</v>
      </c>
      <c r="E132" s="20">
        <f>IF($C132="","",IF(Registro_Compras!$F$18="FACTURA",ROUND(Registro_Compras!$K$18*Registro_Compras!$N$18,2),""))</f>
        <v>28.57</v>
      </c>
      <c r="F132" s="20" t="str">
        <f>IF($C132="","",IF(Registro_Compras!$F$18="RHE",ROUND(Registro_Compras!$V$18*Registro_Compras!$N$18,2),IF(Registro_Compras!$F$18="NOTA DE CREDITO",ROUND(ABS(Registro_Compras!$J$18*Registro_Compras!$N$18),2),"")))</f>
        <v/>
      </c>
      <c r="G132" t="str">
        <f>IF($C132="","",IF(Registro_Compras!$F$18="NOTA DE CREDITO","Por la nota de credito "&amp;Registro_Compras!$C$18&amp;" de "&amp;Registro_Compras!$E$18&amp;" [PATRON POR CONFIRMAR CON CONTADOR]",IF(Registro_Compras!$F$18="RHE","Por el registro del recibo por honorarios "&amp;Registro_Compras!$C$18&amp;" de "&amp;Registro_Compras!$E$18&amp;" [PATRON POR CONFIRMAR CON CONTADOR]","Por el registro de la factura "&amp;Registro_Compras!$C$18&amp;" de "&amp;Registro_Compras!$E$18)))</f>
        <v>Por el registro de la factura F005-018812 de GRESCO S.A.C.</v>
      </c>
      <c r="H132" t="str">
        <f>IF($C132="","",Registro_Compras!$C$18)</f>
        <v>F005-018812</v>
      </c>
    </row>
    <row r="133" spans="1:8" x14ac:dyDescent="0.25">
      <c r="A133" s="25">
        <f>IF($C133="","",Registro_Compras!$B$18)</f>
        <v>46240</v>
      </c>
      <c r="B133" t="str">
        <f>IF($C133="","","C"&amp;TEXT(INT((ROW()-5)/9)+1,"000")&amp;"-1")</f>
        <v>C015-1</v>
      </c>
      <c r="C133" t="str">
        <f>IF(OR(Registro_Compras!$C$18="",Registro_Compras!$O$18=""),"",IF(Registro_Compras!$F$18="NOTA DE CREDITO",IF(Registro_Compras!$K$18=0,"","40111"),"4212"))</f>
        <v>4212</v>
      </c>
      <c r="D133" t="str">
        <f>IF(OR(Registro_Compras!$C$18="",Registro_Compras!$O$18=""),"",IF(Registro_Compras!$F$18="NOTA DE CREDITO","IGV - Cuenta Propia (Credito Fiscal)","Cuentas por Pagar Comerciales - Terceros (Emitidas)"))</f>
        <v>Cuentas por Pagar Comerciales - Terceros (Emitidas)</v>
      </c>
      <c r="E133" s="20" t="str">
        <f>""</f>
        <v/>
      </c>
      <c r="F133" s="20">
        <f>IF($C133="","",IF(Registro_Compras!$F$18="NOTA DE CREDITO",ROUND(ABS(Registro_Compras!$K$18*Registro_Compras!$N$18),2),IF(Registro_Compras!$F$18="RHE",(ROUND(Registro_Compras!$L$18*Registro_Compras!$N$18,2)-ROUND(Registro_Compras!$V$18*Registro_Compras!$N$18,2)),Registro_Compras!$O$18)))</f>
        <v>187.29999999999998</v>
      </c>
      <c r="G133" t="str">
        <f>IF($C133="","",IF(Registro_Compras!$F$18="NOTA DE CREDITO","Por la nota de credito "&amp;Registro_Compras!$C$18&amp;" de "&amp;Registro_Compras!$E$18&amp;" [PATRON POR CONFIRMAR CON CONTADOR]",IF(Registro_Compras!$F$18="RHE","Por el registro del recibo por honorarios "&amp;Registro_Compras!$C$18&amp;" de "&amp;Registro_Compras!$E$18&amp;" [PATRON POR CONFIRMAR CON CONTADOR]","Por el registro de la factura "&amp;Registro_Compras!$C$18&amp;" de "&amp;Registro_Compras!$E$18)))</f>
        <v>Por el registro de la factura F005-018812 de GRESCO S.A.C.</v>
      </c>
      <c r="H133" t="str">
        <f>IF($C133="","",Registro_Compras!$C$18)</f>
        <v>F005-018812</v>
      </c>
    </row>
    <row r="134" spans="1:8" x14ac:dyDescent="0.25">
      <c r="A134" s="25">
        <f>IF($C134="","",Registro_Compras!$B$18)</f>
        <v>46240</v>
      </c>
      <c r="B134" t="str">
        <f>IF($C134="","","C"&amp;TEXT(INT((ROW()-5)/9)+1,"000")&amp;"-2")</f>
        <v>C015-2</v>
      </c>
      <c r="C134" t="str">
        <f>IF(OR(Registro_Compras!$C$18="",Registro_Compras!$O$18=""),"",IF(Registro_Compras!$AB$18="ADMINISTRATIVO","94","95"))</f>
        <v>95</v>
      </c>
      <c r="D134" t="str">
        <f>IF(OR(Registro_Compras!$C$18="",Registro_Compras!$O$18=""),"",IF(Registro_Compras!$AB$18="ADMINISTRATIVO","Gastos Administrativos","Gastos de Venta y Operacion"))</f>
        <v>Gastos de Venta y Operacion</v>
      </c>
      <c r="E134" s="20">
        <f>IF($C134="","",IF(Registro_Compras!$F$18="NOTA DE CREDITO","",IF(Registro_Compras!$F$18="RHE",ROUND(Registro_Compras!$L$18*Registro_Compras!$N$18,2),ROUND(Registro_Compras!$J$18*Registro_Compras!$N$18,2))))</f>
        <v>158.72999999999999</v>
      </c>
      <c r="F134" s="20" t="str">
        <f>IF($C134="","",IF(Registro_Compras!$F$18="NOTA DE CREDITO",ROUND(ABS(Registro_Compras!$J$18*Registro_Compras!$N$18),2),""))</f>
        <v/>
      </c>
      <c r="G134" t="str">
        <f>IF($C134="","","Por el destino del gasto")</f>
        <v>Por el destino del gasto</v>
      </c>
      <c r="H134" t="str">
        <f>IF($C134="","",Registro_Compras!$C$18)</f>
        <v>F005-018812</v>
      </c>
    </row>
    <row r="135" spans="1:8" x14ac:dyDescent="0.25">
      <c r="A135" s="25">
        <f>IF($C135="","",Registro_Compras!$B$18)</f>
        <v>46240</v>
      </c>
      <c r="B135" t="str">
        <f>IF($C135="","","C"&amp;TEXT(INT((ROW()-5)/9)+1,"000")&amp;"-2")</f>
        <v>C015-2</v>
      </c>
      <c r="C135" t="str">
        <f>IF(OR(Registro_Compras!$C$18="",Registro_Compras!$O$18=""),"","79/791")</f>
        <v>79/791</v>
      </c>
      <c r="D135" t="str">
        <f>IF(OR(Registro_Compras!$C$18="",Registro_Compras!$O$18=""),"","Cargas Imputables a Cuentas de Costos y Gastos")</f>
        <v>Cargas Imputables a Cuentas de Costos y Gastos</v>
      </c>
      <c r="E135" s="20" t="str">
        <f>IF($C135="","",IF(Registro_Compras!$F$18="NOTA DE CREDITO",ROUND(ABS(Registro_Compras!$J$18*Registro_Compras!$N$18),2),""))</f>
        <v/>
      </c>
      <c r="F135" s="20">
        <f>IF($C135="","",IF(Registro_Compras!$F$18="NOTA DE CREDITO","",IF(Registro_Compras!$F$18="RHE",ROUND(Registro_Compras!$L$18*Registro_Compras!$N$18,2),ROUND(Registro_Compras!$J$18*Registro_Compras!$N$18,2))))</f>
        <v>158.72999999999999</v>
      </c>
      <c r="G135" t="str">
        <f>IF($C135="","","Por el destino del gasto")</f>
        <v>Por el destino del gasto</v>
      </c>
      <c r="H135" t="str">
        <f>IF($C135="","",Registro_Compras!$C$18)</f>
        <v>F005-018812</v>
      </c>
    </row>
    <row r="136" spans="1:8" x14ac:dyDescent="0.25">
      <c r="A136" s="25" t="str">
        <f>IF($C136="","",Registro_Compras!$X$18)</f>
        <v/>
      </c>
      <c r="B136" t="str">
        <f>IF($C136="","","C"&amp;TEXT(INT((ROW()-5)/9)+1,"000")&amp;"-3")</f>
        <v/>
      </c>
      <c r="C136" t="str">
        <f>IF(OR(Registro_Compras!$C$18="",Registro_Compras!$O$18="",Registro_Compras!$R$18&lt;&gt;"SI",Registro_Compras!$X$18=""),"","4212")</f>
        <v/>
      </c>
      <c r="D136" t="str">
        <f>IF(OR(Registro_Compras!$C$18="",Registro_Compras!$O$18=""),"","Cuentas por Pagar Comerciales - Terceros")</f>
        <v>Cuentas por Pagar Comerciales - Terceros</v>
      </c>
      <c r="E136" s="20" t="str">
        <f>IF($C136="","",Registro_Compras!$S$18)</f>
        <v/>
      </c>
      <c r="F136" s="20" t="str">
        <f>""</f>
        <v/>
      </c>
      <c r="G136" t="str">
        <f>IF($C136="","","Por el deposito de la detraccion en el Banco de la Nacion")</f>
        <v/>
      </c>
      <c r="H136" t="str">
        <f>IF($C136="","",Registro_Compras!$C$18)</f>
        <v/>
      </c>
    </row>
    <row r="137" spans="1:8" x14ac:dyDescent="0.25">
      <c r="A137" s="25" t="str">
        <f>IF($C137="","",Registro_Compras!$X$18)</f>
        <v/>
      </c>
      <c r="B137" t="str">
        <f>IF($C137="","","C"&amp;TEXT(INT((ROW()-5)/9)+1,"000")&amp;"-3")</f>
        <v/>
      </c>
      <c r="C137" t="str">
        <f>IF(OR(Registro_Compras!$C$18="",Registro_Compras!$O$18="",Registro_Compras!$R$18&lt;&gt;"SI",Registro_Compras!$X$18=""),"","1041")</f>
        <v/>
      </c>
      <c r="D137" t="str">
        <f>IF(OR(Registro_Compras!$C$18="",Registro_Compras!$O$18=""),"","Efectivo y Equivalentes - Cta. Cte. Operativa")</f>
        <v>Efectivo y Equivalentes - Cta. Cte. Operativa</v>
      </c>
      <c r="E137" s="20" t="str">
        <f>""</f>
        <v/>
      </c>
      <c r="F137" s="20" t="str">
        <f>IF($C137="","",Registro_Compras!$S$18)</f>
        <v/>
      </c>
      <c r="G137" t="str">
        <f>IF($C137="","","Por el deposito de la detraccion en el Banco de la Nacion")</f>
        <v/>
      </c>
      <c r="H137" t="str">
        <f>IF($C137="","",Registro_Compras!$C$18)</f>
        <v/>
      </c>
    </row>
    <row r="138" spans="1:8" x14ac:dyDescent="0.25">
      <c r="A138" s="25" t="str">
        <f>IF($C138="","",Registro_Compras!$Y$18)</f>
        <v/>
      </c>
      <c r="B138" t="str">
        <f>IF($C138="","","C"&amp;TEXT(INT((ROW()-5)/9)+1,"000")&amp;"-4")</f>
        <v/>
      </c>
      <c r="C138" t="str">
        <f>IF(OR(Registro_Compras!$C$18="",Registro_Compras!$O$18="",Registro_Compras!$Y$18="",Registro_Compras!$F$18="NOTA DE CREDITO"),"","4212")</f>
        <v/>
      </c>
      <c r="D138" t="str">
        <f>IF(OR(Registro_Compras!$C$18="",Registro_Compras!$O$18=""),"","Cuentas por Pagar Comerciales - Terceros")</f>
        <v>Cuentas por Pagar Comerciales - Terceros</v>
      </c>
      <c r="E138" s="20" t="str">
        <f>IF($C138="","",IF(Registro_Compras!$F$18="RHE",(ROUND(Registro_Compras!$L$18*Registro_Compras!$N$18,2)-ROUND(Registro_Compras!$V$18*Registro_Compras!$N$18,2)),ROUND(Registro_Compras!$O$18-Registro_Compras!$S$18,2)))</f>
        <v/>
      </c>
      <c r="F138" s="20" t="str">
        <f>""</f>
        <v/>
      </c>
      <c r="G138" t="str">
        <f>IF($C138="","","Por la cancelacion del saldo al proveedor")</f>
        <v/>
      </c>
      <c r="H138" t="str">
        <f>IF($C138="","",Registro_Compras!$C$18)</f>
        <v/>
      </c>
    </row>
    <row r="139" spans="1:8" x14ac:dyDescent="0.25">
      <c r="A139" s="25" t="str">
        <f>IF($C139="","",Registro_Compras!$Y$18)</f>
        <v/>
      </c>
      <c r="B139" t="str">
        <f>IF($C139="","","C"&amp;TEXT(INT((ROW()-5)/9)+1,"000")&amp;"-4")</f>
        <v/>
      </c>
      <c r="C139" t="str">
        <f>IF(OR(Registro_Compras!$C$18="",Registro_Compras!$O$18="",Registro_Compras!$Y$18="",Registro_Compras!$F$18="NOTA DE CREDITO"),"","1041")</f>
        <v/>
      </c>
      <c r="D139" t="str">
        <f>IF(OR(Registro_Compras!$C$18="",Registro_Compras!$O$18=""),"","Efectivo y Equivalentes - Cta. Cte. Operativa")</f>
        <v>Efectivo y Equivalentes - Cta. Cte. Operativa</v>
      </c>
      <c r="E139" s="20" t="str">
        <f>""</f>
        <v/>
      </c>
      <c r="F139" s="20" t="str">
        <f>IF($C139="","",IF(Registro_Compras!$F$18="RHE",(ROUND(Registro_Compras!$L$18*Registro_Compras!$N$18,2)-ROUND(Registro_Compras!$V$18*Registro_Compras!$N$18,2)),ROUND(Registro_Compras!$O$18-Registro_Compras!$S$18,2)))</f>
        <v/>
      </c>
      <c r="G139" t="str">
        <f>IF($C139="","","Por la cancelacion del saldo al proveedor")</f>
        <v/>
      </c>
      <c r="H139" t="str">
        <f>IF($C139="","",Registro_Compras!$C$18)</f>
        <v/>
      </c>
    </row>
    <row r="140" spans="1:8" x14ac:dyDescent="0.25">
      <c r="A140" s="25">
        <f>IF($C140="","",Registro_Compras!$B$19)</f>
        <v>46238</v>
      </c>
      <c r="B140" t="str">
        <f>IF($C140="","","C"&amp;TEXT(INT((ROW()-5)/9)+1,"000")&amp;"-1")</f>
        <v>C016-1</v>
      </c>
      <c r="C140" t="str">
        <f>IF(OR(Registro_Compras!$C$19="",Registro_Compras!$O$19=""),"",IF(Registro_Compras!$F$19="NOTA DE CREDITO","4212",IF(Registro_Compras!$M$19="","63",Registro_Compras!$M$19)))</f>
        <v>632</v>
      </c>
      <c r="D140" t="str">
        <f>IF(OR(Registro_Compras!$C$19="",Registro_Compras!$O$19=""),"",IF(Registro_Compras!$F$19="NOTA DE CREDITO","Cuentas por Pagar Comerciales - Terceros (Emitidas)",IF(Registro_Compras!$F$19="RHE","Honorarios Profesionales - Servicios de Terceros","Gastos de Servicios Prestados por Terceros")))</f>
        <v>Honorarios Profesionales - Servicios de Terceros</v>
      </c>
      <c r="E140" s="20">
        <f>IF($C140="","",IF(Registro_Compras!$F$19="NOTA DE CREDITO",ABS(Registro_Compras!$O$19),IF(Registro_Compras!$F$19="RHE",ROUND(Registro_Compras!$L$19*Registro_Compras!$N$19,2),ROUND(Registro_Compras!$J$19*Registro_Compras!$N$19,2))))</f>
        <v>255.15</v>
      </c>
      <c r="F140" s="20" t="str">
        <f>""</f>
        <v/>
      </c>
      <c r="G140" t="str">
        <f>IF($C140="","",IF(Registro_Compras!$F$19="NOTA DE CREDITO","Por la nota de credito "&amp;Registro_Compras!$C$19&amp;" de "&amp;Registro_Compras!$E$19&amp;" [PATRON POR CONFIRMAR CON CONTADOR]",IF(Registro_Compras!$F$19="RHE","Por el registro del recibo por honorarios "&amp;Registro_Compras!$C$19&amp;" de "&amp;Registro_Compras!$E$19&amp;" [PATRON POR CONFIRMAR CON CONTADOR]","Por el registro de la factura "&amp;Registro_Compras!$C$19&amp;" de "&amp;Registro_Compras!$E$19)))</f>
        <v>Por el registro del recibo por honorarios E001- 558 de HANCO ASTETE ANDY [PATRON POR CONFIRMAR CON CONTADOR]</v>
      </c>
      <c r="H140" t="str">
        <f>IF($C140="","",Registro_Compras!$C$19)</f>
        <v>E001- 558</v>
      </c>
    </row>
    <row r="141" spans="1:8" x14ac:dyDescent="0.25">
      <c r="A141" s="25" t="str">
        <f>IF($C141="","",Registro_Compras!$B$19)</f>
        <v/>
      </c>
      <c r="B141" t="str">
        <f>IF($C141="","","C"&amp;TEXT(INT((ROW()-5)/9)+1,"000")&amp;"-1")</f>
        <v/>
      </c>
      <c r="C141" t="str">
        <f>IF(OR(Registro_Compras!$C$19="",Registro_Compras!$O$19=""),"",IF(Registro_Compras!$F$19="RHE",IF(Registro_Compras!$V$19=0,"","4017"),IF(Registro_Compras!$F$19="NOTA DE CREDITO",IF(Registro_Compras!$M$19="","63",Registro_Compras!$M$19),IF(Registro_Compras!$K$19=0,"","40111"))))</f>
        <v/>
      </c>
      <c r="D141" t="str">
        <f>IF(OR(Registro_Compras!$C$19="",Registro_Compras!$O$19=""),"",IF(Registro_Compras!$F$19="RHE","Retencion Renta 4ta Categoria por Pagar",IF(Registro_Compras!$F$19="NOTA DE CREDITO","Gastos de Servicios Prestados por Terceros","IGV - Cuenta Propia (Credito Fiscal)")))</f>
        <v>Retencion Renta 4ta Categoria por Pagar</v>
      </c>
      <c r="E141" s="20" t="str">
        <f>IF($C141="","",IF(Registro_Compras!$F$19="FACTURA",ROUND(Registro_Compras!$K$19*Registro_Compras!$N$19,2),""))</f>
        <v/>
      </c>
      <c r="F141" s="20" t="str">
        <f>IF($C141="","",IF(Registro_Compras!$F$19="RHE",ROUND(Registro_Compras!$V$19*Registro_Compras!$N$19,2),IF(Registro_Compras!$F$19="NOTA DE CREDITO",ROUND(ABS(Registro_Compras!$J$19*Registro_Compras!$N$19),2),"")))</f>
        <v/>
      </c>
      <c r="G141" t="str">
        <f>IF($C141="","",IF(Registro_Compras!$F$19="NOTA DE CREDITO","Por la nota de credito "&amp;Registro_Compras!$C$19&amp;" de "&amp;Registro_Compras!$E$19&amp;" [PATRON POR CONFIRMAR CON CONTADOR]",IF(Registro_Compras!$F$19="RHE","Por el registro del recibo por honorarios "&amp;Registro_Compras!$C$19&amp;" de "&amp;Registro_Compras!$E$19&amp;" [PATRON POR CONFIRMAR CON CONTADOR]","Por el registro de la factura "&amp;Registro_Compras!$C$19&amp;" de "&amp;Registro_Compras!$E$19)))</f>
        <v/>
      </c>
      <c r="H141" t="str">
        <f>IF($C141="","",Registro_Compras!$C$19)</f>
        <v/>
      </c>
    </row>
    <row r="142" spans="1:8" x14ac:dyDescent="0.25">
      <c r="A142" s="25">
        <f>IF($C142="","",Registro_Compras!$B$19)</f>
        <v>46238</v>
      </c>
      <c r="B142" t="str">
        <f>IF($C142="","","C"&amp;TEXT(INT((ROW()-5)/9)+1,"000")&amp;"-1")</f>
        <v>C016-1</v>
      </c>
      <c r="C142" t="str">
        <f>IF(OR(Registro_Compras!$C$19="",Registro_Compras!$O$19=""),"",IF(Registro_Compras!$F$19="NOTA DE CREDITO",IF(Registro_Compras!$K$19=0,"","40111"),"4212"))</f>
        <v>4212</v>
      </c>
      <c r="D142" t="str">
        <f>IF(OR(Registro_Compras!$C$19="",Registro_Compras!$O$19=""),"",IF(Registro_Compras!$F$19="NOTA DE CREDITO","IGV - Cuenta Propia (Credito Fiscal)","Cuentas por Pagar Comerciales - Terceros (Emitidas)"))</f>
        <v>Cuentas por Pagar Comerciales - Terceros (Emitidas)</v>
      </c>
      <c r="E142" s="20" t="str">
        <f>""</f>
        <v/>
      </c>
      <c r="F142" s="20">
        <f>IF($C142="","",IF(Registro_Compras!$F$19="NOTA DE CREDITO",ROUND(ABS(Registro_Compras!$K$19*Registro_Compras!$N$19),2),IF(Registro_Compras!$F$19="RHE",(ROUND(Registro_Compras!$L$19*Registro_Compras!$N$19,2)-ROUND(Registro_Compras!$V$19*Registro_Compras!$N$19,2)),Registro_Compras!$O$19)))</f>
        <v>255.15</v>
      </c>
      <c r="G142" t="str">
        <f>IF($C142="","",IF(Registro_Compras!$F$19="NOTA DE CREDITO","Por la nota de credito "&amp;Registro_Compras!$C$19&amp;" de "&amp;Registro_Compras!$E$19&amp;" [PATRON POR CONFIRMAR CON CONTADOR]",IF(Registro_Compras!$F$19="RHE","Por el registro del recibo por honorarios "&amp;Registro_Compras!$C$19&amp;" de "&amp;Registro_Compras!$E$19&amp;" [PATRON POR CONFIRMAR CON CONTADOR]","Por el registro de la factura "&amp;Registro_Compras!$C$19&amp;" de "&amp;Registro_Compras!$E$19)))</f>
        <v>Por el registro del recibo por honorarios E001- 558 de HANCO ASTETE ANDY [PATRON POR CONFIRMAR CON CONTADOR]</v>
      </c>
      <c r="H142" t="str">
        <f>IF($C142="","",Registro_Compras!$C$19)</f>
        <v>E001- 558</v>
      </c>
    </row>
    <row r="143" spans="1:8" x14ac:dyDescent="0.25">
      <c r="A143" s="25">
        <f>IF($C143="","",Registro_Compras!$B$19)</f>
        <v>46238</v>
      </c>
      <c r="B143" t="str">
        <f>IF($C143="","","C"&amp;TEXT(INT((ROW()-5)/9)+1,"000")&amp;"-2")</f>
        <v>C016-2</v>
      </c>
      <c r="C143" t="str">
        <f>IF(OR(Registro_Compras!$C$19="",Registro_Compras!$O$19=""),"",IF(Registro_Compras!$AB$19="ADMINISTRATIVO","94","95"))</f>
        <v>95</v>
      </c>
      <c r="D143" t="str">
        <f>IF(OR(Registro_Compras!$C$19="",Registro_Compras!$O$19=""),"",IF(Registro_Compras!$AB$19="ADMINISTRATIVO","Gastos Administrativos","Gastos de Venta y Operacion"))</f>
        <v>Gastos de Venta y Operacion</v>
      </c>
      <c r="E143" s="20">
        <f>IF($C143="","",IF(Registro_Compras!$F$19="NOTA DE CREDITO","",IF(Registro_Compras!$F$19="RHE",ROUND(Registro_Compras!$L$19*Registro_Compras!$N$19,2),ROUND(Registro_Compras!$J$19*Registro_Compras!$N$19,2))))</f>
        <v>255.15</v>
      </c>
      <c r="F143" s="20" t="str">
        <f>IF($C143="","",IF(Registro_Compras!$F$19="NOTA DE CREDITO",ROUND(ABS(Registro_Compras!$J$19*Registro_Compras!$N$19),2),""))</f>
        <v/>
      </c>
      <c r="G143" t="str">
        <f>IF($C143="","","Por el destino del gasto")</f>
        <v>Por el destino del gasto</v>
      </c>
      <c r="H143" t="str">
        <f>IF($C143="","",Registro_Compras!$C$19)</f>
        <v>E001- 558</v>
      </c>
    </row>
    <row r="144" spans="1:8" x14ac:dyDescent="0.25">
      <c r="A144" s="25">
        <f>IF($C144="","",Registro_Compras!$B$19)</f>
        <v>46238</v>
      </c>
      <c r="B144" t="str">
        <f>IF($C144="","","C"&amp;TEXT(INT((ROW()-5)/9)+1,"000")&amp;"-2")</f>
        <v>C016-2</v>
      </c>
      <c r="C144" t="str">
        <f>IF(OR(Registro_Compras!$C$19="",Registro_Compras!$O$19=""),"","79/791")</f>
        <v>79/791</v>
      </c>
      <c r="D144" t="str">
        <f>IF(OR(Registro_Compras!$C$19="",Registro_Compras!$O$19=""),"","Cargas Imputables a Cuentas de Costos y Gastos")</f>
        <v>Cargas Imputables a Cuentas de Costos y Gastos</v>
      </c>
      <c r="E144" s="20" t="str">
        <f>IF($C144="","",IF(Registro_Compras!$F$19="NOTA DE CREDITO",ROUND(ABS(Registro_Compras!$J$19*Registro_Compras!$N$19),2),""))</f>
        <v/>
      </c>
      <c r="F144" s="20">
        <f>IF($C144="","",IF(Registro_Compras!$F$19="NOTA DE CREDITO","",IF(Registro_Compras!$F$19="RHE",ROUND(Registro_Compras!$L$19*Registro_Compras!$N$19,2),ROUND(Registro_Compras!$J$19*Registro_Compras!$N$19,2))))</f>
        <v>255.15</v>
      </c>
      <c r="G144" t="str">
        <f>IF($C144="","","Por el destino del gasto")</f>
        <v>Por el destino del gasto</v>
      </c>
      <c r="H144" t="str">
        <f>IF($C144="","",Registro_Compras!$C$19)</f>
        <v>E001- 558</v>
      </c>
    </row>
    <row r="145" spans="1:8" x14ac:dyDescent="0.25">
      <c r="A145" s="25" t="str">
        <f>IF($C145="","",Registro_Compras!$X$19)</f>
        <v/>
      </c>
      <c r="B145" t="str">
        <f>IF($C145="","","C"&amp;TEXT(INT((ROW()-5)/9)+1,"000")&amp;"-3")</f>
        <v/>
      </c>
      <c r="C145" t="str">
        <f>IF(OR(Registro_Compras!$C$19="",Registro_Compras!$O$19="",Registro_Compras!$R$19&lt;&gt;"SI",Registro_Compras!$X$19=""),"","4212")</f>
        <v/>
      </c>
      <c r="D145" t="str">
        <f>IF(OR(Registro_Compras!$C$19="",Registro_Compras!$O$19=""),"","Cuentas por Pagar Comerciales - Terceros")</f>
        <v>Cuentas por Pagar Comerciales - Terceros</v>
      </c>
      <c r="E145" s="20" t="str">
        <f>IF($C145="","",Registro_Compras!$S$19)</f>
        <v/>
      </c>
      <c r="F145" s="20" t="str">
        <f>""</f>
        <v/>
      </c>
      <c r="G145" t="str">
        <f>IF($C145="","","Por el deposito de la detraccion en el Banco de la Nacion")</f>
        <v/>
      </c>
      <c r="H145" t="str">
        <f>IF($C145="","",Registro_Compras!$C$19)</f>
        <v/>
      </c>
    </row>
    <row r="146" spans="1:8" x14ac:dyDescent="0.25">
      <c r="A146" s="25" t="str">
        <f>IF($C146="","",Registro_Compras!$X$19)</f>
        <v/>
      </c>
      <c r="B146" t="str">
        <f>IF($C146="","","C"&amp;TEXT(INT((ROW()-5)/9)+1,"000")&amp;"-3")</f>
        <v/>
      </c>
      <c r="C146" t="str">
        <f>IF(OR(Registro_Compras!$C$19="",Registro_Compras!$O$19="",Registro_Compras!$R$19&lt;&gt;"SI",Registro_Compras!$X$19=""),"","1041")</f>
        <v/>
      </c>
      <c r="D146" t="str">
        <f>IF(OR(Registro_Compras!$C$19="",Registro_Compras!$O$19=""),"","Efectivo y Equivalentes - Cta. Cte. Operativa")</f>
        <v>Efectivo y Equivalentes - Cta. Cte. Operativa</v>
      </c>
      <c r="E146" s="20" t="str">
        <f>""</f>
        <v/>
      </c>
      <c r="F146" s="20" t="str">
        <f>IF($C146="","",Registro_Compras!$S$19)</f>
        <v/>
      </c>
      <c r="G146" t="str">
        <f>IF($C146="","","Por el deposito de la detraccion en el Banco de la Nacion")</f>
        <v/>
      </c>
      <c r="H146" t="str">
        <f>IF($C146="","",Registro_Compras!$C$19)</f>
        <v/>
      </c>
    </row>
    <row r="147" spans="1:8" x14ac:dyDescent="0.25">
      <c r="A147" s="25" t="str">
        <f>IF($C147="","",Registro_Compras!$Y$19)</f>
        <v/>
      </c>
      <c r="B147" t="str">
        <f>IF($C147="","","C"&amp;TEXT(INT((ROW()-5)/9)+1,"000")&amp;"-4")</f>
        <v/>
      </c>
      <c r="C147" t="str">
        <f>IF(OR(Registro_Compras!$C$19="",Registro_Compras!$O$19="",Registro_Compras!$Y$19="",Registro_Compras!$F$19="NOTA DE CREDITO"),"","4212")</f>
        <v/>
      </c>
      <c r="D147" t="str">
        <f>IF(OR(Registro_Compras!$C$19="",Registro_Compras!$O$19=""),"","Cuentas por Pagar Comerciales - Terceros")</f>
        <v>Cuentas por Pagar Comerciales - Terceros</v>
      </c>
      <c r="E147" s="20" t="str">
        <f>IF($C147="","",IF(Registro_Compras!$F$19="RHE",(ROUND(Registro_Compras!$L$19*Registro_Compras!$N$19,2)-ROUND(Registro_Compras!$V$19*Registro_Compras!$N$19,2)),ROUND(Registro_Compras!$O$19-Registro_Compras!$S$19,2)))</f>
        <v/>
      </c>
      <c r="F147" s="20" t="str">
        <f>""</f>
        <v/>
      </c>
      <c r="G147" t="str">
        <f>IF($C147="","","Por la cancelacion del saldo al proveedor")</f>
        <v/>
      </c>
      <c r="H147" t="str">
        <f>IF($C147="","",Registro_Compras!$C$19)</f>
        <v/>
      </c>
    </row>
    <row r="148" spans="1:8" x14ac:dyDescent="0.25">
      <c r="A148" s="25" t="str">
        <f>IF($C148="","",Registro_Compras!$Y$19)</f>
        <v/>
      </c>
      <c r="B148" t="str">
        <f>IF($C148="","","C"&amp;TEXT(INT((ROW()-5)/9)+1,"000")&amp;"-4")</f>
        <v/>
      </c>
      <c r="C148" t="str">
        <f>IF(OR(Registro_Compras!$C$19="",Registro_Compras!$O$19="",Registro_Compras!$Y$19="",Registro_Compras!$F$19="NOTA DE CREDITO"),"","1041")</f>
        <v/>
      </c>
      <c r="D148" t="str">
        <f>IF(OR(Registro_Compras!$C$19="",Registro_Compras!$O$19=""),"","Efectivo y Equivalentes - Cta. Cte. Operativa")</f>
        <v>Efectivo y Equivalentes - Cta. Cte. Operativa</v>
      </c>
      <c r="E148" s="20" t="str">
        <f>""</f>
        <v/>
      </c>
      <c r="F148" s="20" t="str">
        <f>IF($C148="","",IF(Registro_Compras!$F$19="RHE",(ROUND(Registro_Compras!$L$19*Registro_Compras!$N$19,2)-ROUND(Registro_Compras!$V$19*Registro_Compras!$N$19,2)),ROUND(Registro_Compras!$O$19-Registro_Compras!$S$19,2)))</f>
        <v/>
      </c>
      <c r="G148" t="str">
        <f>IF($C148="","","Por la cancelacion del saldo al proveedor")</f>
        <v/>
      </c>
      <c r="H148" t="str">
        <f>IF($C148="","",Registro_Compras!$C$19)</f>
        <v/>
      </c>
    </row>
    <row r="149" spans="1:8" x14ac:dyDescent="0.25">
      <c r="A149" s="25">
        <f>IF($C149="","",Registro_Compras!$B$20)</f>
        <v>46248</v>
      </c>
      <c r="B149" t="str">
        <f>IF($C149="","","C"&amp;TEXT(INT((ROW()-5)/9)+1,"000")&amp;"-1")</f>
        <v>C017-1</v>
      </c>
      <c r="C149" t="str">
        <f>IF(OR(Registro_Compras!$C$20="",Registro_Compras!$O$20=""),"",IF(Registro_Compras!$F$20="NOTA DE CREDITO","4212",IF(Registro_Compras!$M$20="","63",Registro_Compras!$M$20)))</f>
        <v>639</v>
      </c>
      <c r="D149" t="str">
        <f>IF(OR(Registro_Compras!$C$20="",Registro_Compras!$O$20=""),"",IF(Registro_Compras!$F$20="NOTA DE CREDITO","Cuentas por Pagar Comerciales - Terceros (Emitidas)",IF(Registro_Compras!$F$20="RHE","Honorarios Profesionales - Servicios de Terceros","Gastos de Servicios Prestados por Terceros")))</f>
        <v>Gastos de Servicios Prestados por Terceros</v>
      </c>
      <c r="E149" s="20">
        <f>IF($C149="","",IF(Registro_Compras!$F$20="NOTA DE CREDITO",ABS(Registro_Compras!$O$20),IF(Registro_Compras!$F$20="RHE",ROUND(Registro_Compras!$L$20*Registro_Compras!$N$20,2),ROUND(Registro_Compras!$J$20*Registro_Compras!$N$20,2))))</f>
        <v>1551.27</v>
      </c>
      <c r="F149" s="20" t="str">
        <f>""</f>
        <v/>
      </c>
      <c r="G149" t="str">
        <f>IF($C149="","",IF(Registro_Compras!$F$20="NOTA DE CREDITO","Por la nota de credito "&amp;Registro_Compras!$C$20&amp;" de "&amp;Registro_Compras!$E$20&amp;" [PATRON POR CONFIRMAR CON CONTADOR]",IF(Registro_Compras!$F$20="RHE","Por el registro del recibo por honorarios "&amp;Registro_Compras!$C$20&amp;" de "&amp;Registro_Compras!$E$20&amp;" [PATRON POR CONFIRMAR CON CONTADOR]","Por el registro de la factura "&amp;Registro_Compras!$C$20&amp;" de "&amp;Registro_Compras!$E$20)))</f>
        <v>Por el registro de la factura F006-00003152 de HOTELES LA HACIENDA S.A.C.</v>
      </c>
      <c r="H149" t="str">
        <f>IF($C149="","",Registro_Compras!$C$20)</f>
        <v>F006-00003152</v>
      </c>
    </row>
    <row r="150" spans="1:8" x14ac:dyDescent="0.25">
      <c r="A150" s="25" t="str">
        <f>IF($C150="","",Registro_Compras!$B$20)</f>
        <v/>
      </c>
      <c r="B150" t="str">
        <f>IF($C150="","","C"&amp;TEXT(INT((ROW()-5)/9)+1,"000")&amp;"-1")</f>
        <v/>
      </c>
      <c r="C150" t="str">
        <f>IF(OR(Registro_Compras!$C$20="",Registro_Compras!$O$20=""),"",IF(Registro_Compras!$F$20="RHE",IF(Registro_Compras!$V$20=0,"","4017"),IF(Registro_Compras!$F$20="NOTA DE CREDITO",IF(Registro_Compras!$M$20="","63",Registro_Compras!$M$20),IF(Registro_Compras!$K$20=0,"","40111"))))</f>
        <v/>
      </c>
      <c r="D150" t="str">
        <f>IF(OR(Registro_Compras!$C$20="",Registro_Compras!$O$20=""),"",IF(Registro_Compras!$F$20="RHE","Retencion Renta 4ta Categoria por Pagar",IF(Registro_Compras!$F$20="NOTA DE CREDITO","Gastos de Servicios Prestados por Terceros","IGV - Cuenta Propia (Credito Fiscal)")))</f>
        <v>IGV - Cuenta Propia (Credito Fiscal)</v>
      </c>
      <c r="E150" s="20" t="str">
        <f>IF($C150="","",IF(Registro_Compras!$F$20="FACTURA",ROUND(Registro_Compras!$K$20*Registro_Compras!$N$20,2),""))</f>
        <v/>
      </c>
      <c r="F150" s="20" t="str">
        <f>IF($C150="","",IF(Registro_Compras!$F$20="RHE",ROUND(Registro_Compras!$V$20*Registro_Compras!$N$20,2),IF(Registro_Compras!$F$20="NOTA DE CREDITO",ROUND(ABS(Registro_Compras!$J$20*Registro_Compras!$N$20),2),"")))</f>
        <v/>
      </c>
      <c r="G150" t="str">
        <f>IF($C150="","",IF(Registro_Compras!$F$20="NOTA DE CREDITO","Por la nota de credito "&amp;Registro_Compras!$C$20&amp;" de "&amp;Registro_Compras!$E$20&amp;" [PATRON POR CONFIRMAR CON CONTADOR]",IF(Registro_Compras!$F$20="RHE","Por el registro del recibo por honorarios "&amp;Registro_Compras!$C$20&amp;" de "&amp;Registro_Compras!$E$20&amp;" [PATRON POR CONFIRMAR CON CONTADOR]","Por el registro de la factura "&amp;Registro_Compras!$C$20&amp;" de "&amp;Registro_Compras!$E$20)))</f>
        <v/>
      </c>
      <c r="H150" t="str">
        <f>IF($C150="","",Registro_Compras!$C$20)</f>
        <v/>
      </c>
    </row>
    <row r="151" spans="1:8" x14ac:dyDescent="0.25">
      <c r="A151" s="25">
        <f>IF($C151="","",Registro_Compras!$B$20)</f>
        <v>46248</v>
      </c>
      <c r="B151" t="str">
        <f>IF($C151="","","C"&amp;TEXT(INT((ROW()-5)/9)+1,"000")&amp;"-1")</f>
        <v>C017-1</v>
      </c>
      <c r="C151" t="str">
        <f>IF(OR(Registro_Compras!$C$20="",Registro_Compras!$O$20=""),"",IF(Registro_Compras!$F$20="NOTA DE CREDITO",IF(Registro_Compras!$K$20=0,"","40111"),"4212"))</f>
        <v>4212</v>
      </c>
      <c r="D151" t="str">
        <f>IF(OR(Registro_Compras!$C$20="",Registro_Compras!$O$20=""),"",IF(Registro_Compras!$F$20="NOTA DE CREDITO","IGV - Cuenta Propia (Credito Fiscal)","Cuentas por Pagar Comerciales - Terceros (Emitidas)"))</f>
        <v>Cuentas por Pagar Comerciales - Terceros (Emitidas)</v>
      </c>
      <c r="E151" s="20" t="str">
        <f>""</f>
        <v/>
      </c>
      <c r="F151" s="20">
        <f>IF($C151="","",IF(Registro_Compras!$F$20="NOTA DE CREDITO",ROUND(ABS(Registro_Compras!$K$20*Registro_Compras!$N$20),2),IF(Registro_Compras!$F$20="RHE",(ROUND(Registro_Compras!$L$20*Registro_Compras!$N$20,2)-ROUND(Registro_Compras!$V$20*Registro_Compras!$N$20,2)),Registro_Compras!$O$20)))</f>
        <v>1551.27</v>
      </c>
      <c r="G151" t="str">
        <f>IF($C151="","",IF(Registro_Compras!$F$20="NOTA DE CREDITO","Por la nota de credito "&amp;Registro_Compras!$C$20&amp;" de "&amp;Registro_Compras!$E$20&amp;" [PATRON POR CONFIRMAR CON CONTADOR]",IF(Registro_Compras!$F$20="RHE","Por el registro del recibo por honorarios "&amp;Registro_Compras!$C$20&amp;" de "&amp;Registro_Compras!$E$20&amp;" [PATRON POR CONFIRMAR CON CONTADOR]","Por el registro de la factura "&amp;Registro_Compras!$C$20&amp;" de "&amp;Registro_Compras!$E$20)))</f>
        <v>Por el registro de la factura F006-00003152 de HOTELES LA HACIENDA S.A.C.</v>
      </c>
      <c r="H151" t="str">
        <f>IF($C151="","",Registro_Compras!$C$20)</f>
        <v>F006-00003152</v>
      </c>
    </row>
    <row r="152" spans="1:8" x14ac:dyDescent="0.25">
      <c r="A152" s="25">
        <f>IF($C152="","",Registro_Compras!$B$20)</f>
        <v>46248</v>
      </c>
      <c r="B152" t="str">
        <f>IF($C152="","","C"&amp;TEXT(INT((ROW()-5)/9)+1,"000")&amp;"-2")</f>
        <v>C017-2</v>
      </c>
      <c r="C152" t="str">
        <f>IF(OR(Registro_Compras!$C$20="",Registro_Compras!$O$20=""),"",IF(Registro_Compras!$AB$20="ADMINISTRATIVO","94","95"))</f>
        <v>95</v>
      </c>
      <c r="D152" t="str">
        <f>IF(OR(Registro_Compras!$C$20="",Registro_Compras!$O$20=""),"",IF(Registro_Compras!$AB$20="ADMINISTRATIVO","Gastos Administrativos","Gastos de Venta y Operacion"))</f>
        <v>Gastos de Venta y Operacion</v>
      </c>
      <c r="E152" s="20">
        <f>IF($C152="","",IF(Registro_Compras!$F$20="NOTA DE CREDITO","",IF(Registro_Compras!$F$20="RHE",ROUND(Registro_Compras!$L$20*Registro_Compras!$N$20,2),ROUND(Registro_Compras!$J$20*Registro_Compras!$N$20,2))))</f>
        <v>1551.27</v>
      </c>
      <c r="F152" s="20" t="str">
        <f>IF($C152="","",IF(Registro_Compras!$F$20="NOTA DE CREDITO",ROUND(ABS(Registro_Compras!$J$20*Registro_Compras!$N$20),2),""))</f>
        <v/>
      </c>
      <c r="G152" t="str">
        <f>IF($C152="","","Por el destino del gasto")</f>
        <v>Por el destino del gasto</v>
      </c>
      <c r="H152" t="str">
        <f>IF($C152="","",Registro_Compras!$C$20)</f>
        <v>F006-00003152</v>
      </c>
    </row>
    <row r="153" spans="1:8" x14ac:dyDescent="0.25">
      <c r="A153" s="25">
        <f>IF($C153="","",Registro_Compras!$B$20)</f>
        <v>46248</v>
      </c>
      <c r="B153" t="str">
        <f>IF($C153="","","C"&amp;TEXT(INT((ROW()-5)/9)+1,"000")&amp;"-2")</f>
        <v>C017-2</v>
      </c>
      <c r="C153" t="str">
        <f>IF(OR(Registro_Compras!$C$20="",Registro_Compras!$O$20=""),"","79/791")</f>
        <v>79/791</v>
      </c>
      <c r="D153" t="str">
        <f>IF(OR(Registro_Compras!$C$20="",Registro_Compras!$O$20=""),"","Cargas Imputables a Cuentas de Costos y Gastos")</f>
        <v>Cargas Imputables a Cuentas de Costos y Gastos</v>
      </c>
      <c r="E153" s="20" t="str">
        <f>IF($C153="","",IF(Registro_Compras!$F$20="NOTA DE CREDITO",ROUND(ABS(Registro_Compras!$J$20*Registro_Compras!$N$20),2),""))</f>
        <v/>
      </c>
      <c r="F153" s="20">
        <f>IF($C153="","",IF(Registro_Compras!$F$20="NOTA DE CREDITO","",IF(Registro_Compras!$F$20="RHE",ROUND(Registro_Compras!$L$20*Registro_Compras!$N$20,2),ROUND(Registro_Compras!$J$20*Registro_Compras!$N$20,2))))</f>
        <v>1551.27</v>
      </c>
      <c r="G153" t="str">
        <f>IF($C153="","","Por el destino del gasto")</f>
        <v>Por el destino del gasto</v>
      </c>
      <c r="H153" t="str">
        <f>IF($C153="","",Registro_Compras!$C$20)</f>
        <v>F006-00003152</v>
      </c>
    </row>
    <row r="154" spans="1:8" x14ac:dyDescent="0.25">
      <c r="A154" s="25" t="str">
        <f>IF($C154="","",Registro_Compras!$X$20)</f>
        <v/>
      </c>
      <c r="B154" t="str">
        <f>IF($C154="","","C"&amp;TEXT(INT((ROW()-5)/9)+1,"000")&amp;"-3")</f>
        <v/>
      </c>
      <c r="C154" t="str">
        <f>IF(OR(Registro_Compras!$C$20="",Registro_Compras!$O$20="",Registro_Compras!$R$20&lt;&gt;"SI",Registro_Compras!$X$20=""),"","4212")</f>
        <v/>
      </c>
      <c r="D154" t="str">
        <f>IF(OR(Registro_Compras!$C$20="",Registro_Compras!$O$20=""),"","Cuentas por Pagar Comerciales - Terceros")</f>
        <v>Cuentas por Pagar Comerciales - Terceros</v>
      </c>
      <c r="E154" s="20" t="str">
        <f>IF($C154="","",Registro_Compras!$S$20)</f>
        <v/>
      </c>
      <c r="F154" s="20" t="str">
        <f>""</f>
        <v/>
      </c>
      <c r="G154" t="str">
        <f>IF($C154="","","Por el deposito de la detraccion en el Banco de la Nacion")</f>
        <v/>
      </c>
      <c r="H154" t="str">
        <f>IF($C154="","",Registro_Compras!$C$20)</f>
        <v/>
      </c>
    </row>
    <row r="155" spans="1:8" x14ac:dyDescent="0.25">
      <c r="A155" s="25" t="str">
        <f>IF($C155="","",Registro_Compras!$X$20)</f>
        <v/>
      </c>
      <c r="B155" t="str">
        <f>IF($C155="","","C"&amp;TEXT(INT((ROW()-5)/9)+1,"000")&amp;"-3")</f>
        <v/>
      </c>
      <c r="C155" t="str">
        <f>IF(OR(Registro_Compras!$C$20="",Registro_Compras!$O$20="",Registro_Compras!$R$20&lt;&gt;"SI",Registro_Compras!$X$20=""),"","1041")</f>
        <v/>
      </c>
      <c r="D155" t="str">
        <f>IF(OR(Registro_Compras!$C$20="",Registro_Compras!$O$20=""),"","Efectivo y Equivalentes - Cta. Cte. Operativa")</f>
        <v>Efectivo y Equivalentes - Cta. Cte. Operativa</v>
      </c>
      <c r="E155" s="20" t="str">
        <f>""</f>
        <v/>
      </c>
      <c r="F155" s="20" t="str">
        <f>IF($C155="","",Registro_Compras!$S$20)</f>
        <v/>
      </c>
      <c r="G155" t="str">
        <f>IF($C155="","","Por el deposito de la detraccion en el Banco de la Nacion")</f>
        <v/>
      </c>
      <c r="H155" t="str">
        <f>IF($C155="","",Registro_Compras!$C$20)</f>
        <v/>
      </c>
    </row>
    <row r="156" spans="1:8" x14ac:dyDescent="0.25">
      <c r="A156" s="25" t="str">
        <f>IF($C156="","",Registro_Compras!$Y$20)</f>
        <v/>
      </c>
      <c r="B156" t="str">
        <f>IF($C156="","","C"&amp;TEXT(INT((ROW()-5)/9)+1,"000")&amp;"-4")</f>
        <v/>
      </c>
      <c r="C156" t="str">
        <f>IF(OR(Registro_Compras!$C$20="",Registro_Compras!$O$20="",Registro_Compras!$Y$20="",Registro_Compras!$F$20="NOTA DE CREDITO"),"","4212")</f>
        <v/>
      </c>
      <c r="D156" t="str">
        <f>IF(OR(Registro_Compras!$C$20="",Registro_Compras!$O$20=""),"","Cuentas por Pagar Comerciales - Terceros")</f>
        <v>Cuentas por Pagar Comerciales - Terceros</v>
      </c>
      <c r="E156" s="20" t="str">
        <f>IF($C156="","",IF(Registro_Compras!$F$20="RHE",(ROUND(Registro_Compras!$L$20*Registro_Compras!$N$20,2)-ROUND(Registro_Compras!$V$20*Registro_Compras!$N$20,2)),ROUND(Registro_Compras!$O$20-Registro_Compras!$S$20,2)))</f>
        <v/>
      </c>
      <c r="F156" s="20" t="str">
        <f>""</f>
        <v/>
      </c>
      <c r="G156" t="str">
        <f>IF($C156="","","Por la cancelacion del saldo al proveedor")</f>
        <v/>
      </c>
      <c r="H156" t="str">
        <f>IF($C156="","",Registro_Compras!$C$20)</f>
        <v/>
      </c>
    </row>
    <row r="157" spans="1:8" x14ac:dyDescent="0.25">
      <c r="A157" s="25" t="str">
        <f>IF($C157="","",Registro_Compras!$Y$20)</f>
        <v/>
      </c>
      <c r="B157" t="str">
        <f>IF($C157="","","C"&amp;TEXT(INT((ROW()-5)/9)+1,"000")&amp;"-4")</f>
        <v/>
      </c>
      <c r="C157" t="str">
        <f>IF(OR(Registro_Compras!$C$20="",Registro_Compras!$O$20="",Registro_Compras!$Y$20="",Registro_Compras!$F$20="NOTA DE CREDITO"),"","1041")</f>
        <v/>
      </c>
      <c r="D157" t="str">
        <f>IF(OR(Registro_Compras!$C$20="",Registro_Compras!$O$20=""),"","Efectivo y Equivalentes - Cta. Cte. Operativa")</f>
        <v>Efectivo y Equivalentes - Cta. Cte. Operativa</v>
      </c>
      <c r="E157" s="20" t="str">
        <f>""</f>
        <v/>
      </c>
      <c r="F157" s="20" t="str">
        <f>IF($C157="","",IF(Registro_Compras!$F$20="RHE",(ROUND(Registro_Compras!$L$20*Registro_Compras!$N$20,2)-ROUND(Registro_Compras!$V$20*Registro_Compras!$N$20,2)),ROUND(Registro_Compras!$O$20-Registro_Compras!$S$20,2)))</f>
        <v/>
      </c>
      <c r="G157" t="str">
        <f>IF($C157="","","Por la cancelacion del saldo al proveedor")</f>
        <v/>
      </c>
      <c r="H157" t="str">
        <f>IF($C157="","",Registro_Compras!$C$20)</f>
        <v/>
      </c>
    </row>
    <row r="158" spans="1:8" x14ac:dyDescent="0.25">
      <c r="A158" s="25">
        <f>IF($C158="","",Registro_Compras!$B$21)</f>
        <v>46238</v>
      </c>
      <c r="B158" t="str">
        <f>IF($C158="","","C"&amp;TEXT(INT((ROW()-5)/9)+1,"000")&amp;"-1")</f>
        <v>C018-1</v>
      </c>
      <c r="C158" t="str">
        <f>IF(OR(Registro_Compras!$C$21="",Registro_Compras!$O$21=""),"",IF(Registro_Compras!$F$21="NOTA DE CREDITO","4212",IF(Registro_Compras!$M$21="","63",Registro_Compras!$M$21)))</f>
        <v>631</v>
      </c>
      <c r="D158" t="str">
        <f>IF(OR(Registro_Compras!$C$21="",Registro_Compras!$O$21=""),"",IF(Registro_Compras!$F$21="NOTA DE CREDITO","Cuentas por Pagar Comerciales - Terceros (Emitidas)",IF(Registro_Compras!$F$21="RHE","Honorarios Profesionales - Servicios de Terceros","Gastos de Servicios Prestados por Terceros")))</f>
        <v>Gastos de Servicios Prestados por Terceros</v>
      </c>
      <c r="E158" s="20">
        <f>IF($C158="","",IF(Registro_Compras!$F$21="NOTA DE CREDITO",ABS(Registro_Compras!$O$21),IF(Registro_Compras!$F$21="RHE",ROUND(Registro_Compras!$L$21*Registro_Compras!$N$21,2),ROUND(Registro_Compras!$J$21*Registro_Compras!$N$21,2))))</f>
        <v>960.04</v>
      </c>
      <c r="F158" s="20" t="str">
        <f>""</f>
        <v/>
      </c>
      <c r="G158" t="str">
        <f>IF($C158="","",IF(Registro_Compras!$F$21="NOTA DE CREDITO","Por la nota de credito "&amp;Registro_Compras!$C$21&amp;" de "&amp;Registro_Compras!$E$21&amp;" [PATRON POR CONFIRMAR CON CONTADOR]",IF(Registro_Compras!$F$21="RHE","Por el registro del recibo por honorarios "&amp;Registro_Compras!$C$21&amp;" de "&amp;Registro_Compras!$E$21&amp;" [PATRON POR CONFIRMAR CON CONTADOR]","Por el registro de la factura "&amp;Registro_Compras!$C$21&amp;" de "&amp;Registro_Compras!$E$21)))</f>
        <v>Por el registro de la factura E001-1678 de INVERSIONES FENIX TOURS E.I.R.L.</v>
      </c>
      <c r="H158" t="str">
        <f>IF($C158="","",Registro_Compras!$C$21)</f>
        <v>E001-1678</v>
      </c>
    </row>
    <row r="159" spans="1:8" x14ac:dyDescent="0.25">
      <c r="A159" s="25">
        <f>IF($C159="","",Registro_Compras!$B$21)</f>
        <v>46238</v>
      </c>
      <c r="B159" t="str">
        <f>IF($C159="","","C"&amp;TEXT(INT((ROW()-5)/9)+1,"000")&amp;"-1")</f>
        <v>C018-1</v>
      </c>
      <c r="C159" t="str">
        <f>IF(OR(Registro_Compras!$C$21="",Registro_Compras!$O$21=""),"",IF(Registro_Compras!$F$21="RHE",IF(Registro_Compras!$V$21=0,"","4017"),IF(Registro_Compras!$F$21="NOTA DE CREDITO",IF(Registro_Compras!$M$21="","63",Registro_Compras!$M$21),IF(Registro_Compras!$K$21=0,"","40111"))))</f>
        <v>40111</v>
      </c>
      <c r="D159" t="str">
        <f>IF(OR(Registro_Compras!$C$21="",Registro_Compras!$O$21=""),"",IF(Registro_Compras!$F$21="RHE","Retencion Renta 4ta Categoria por Pagar",IF(Registro_Compras!$F$21="NOTA DE CREDITO","Gastos de Servicios Prestados por Terceros","IGV - Cuenta Propia (Credito Fiscal)")))</f>
        <v>IGV - Cuenta Propia (Credito Fiscal)</v>
      </c>
      <c r="E159" s="20">
        <f>IF($C159="","",IF(Registro_Compras!$F$21="FACTURA",ROUND(Registro_Compras!$K$21*Registro_Compras!$N$21,2),""))</f>
        <v>172.82</v>
      </c>
      <c r="F159" s="20" t="str">
        <f>IF($C159="","",IF(Registro_Compras!$F$21="RHE",ROUND(Registro_Compras!$V$21*Registro_Compras!$N$21,2),IF(Registro_Compras!$F$21="NOTA DE CREDITO",ROUND(ABS(Registro_Compras!$J$21*Registro_Compras!$N$21),2),"")))</f>
        <v/>
      </c>
      <c r="G159" t="str">
        <f>IF($C159="","",IF(Registro_Compras!$F$21="NOTA DE CREDITO","Por la nota de credito "&amp;Registro_Compras!$C$21&amp;" de "&amp;Registro_Compras!$E$21&amp;" [PATRON POR CONFIRMAR CON CONTADOR]",IF(Registro_Compras!$F$21="RHE","Por el registro del recibo por honorarios "&amp;Registro_Compras!$C$21&amp;" de "&amp;Registro_Compras!$E$21&amp;" [PATRON POR CONFIRMAR CON CONTADOR]","Por el registro de la factura "&amp;Registro_Compras!$C$21&amp;" de "&amp;Registro_Compras!$E$21)))</f>
        <v>Por el registro de la factura E001-1678 de INVERSIONES FENIX TOURS E.I.R.L.</v>
      </c>
      <c r="H159" t="str">
        <f>IF($C159="","",Registro_Compras!$C$21)</f>
        <v>E001-1678</v>
      </c>
    </row>
    <row r="160" spans="1:8" x14ac:dyDescent="0.25">
      <c r="A160" s="25">
        <f>IF($C160="","",Registro_Compras!$B$21)</f>
        <v>46238</v>
      </c>
      <c r="B160" t="str">
        <f>IF($C160="","","C"&amp;TEXT(INT((ROW()-5)/9)+1,"000")&amp;"-1")</f>
        <v>C018-1</v>
      </c>
      <c r="C160" t="str">
        <f>IF(OR(Registro_Compras!$C$21="",Registro_Compras!$O$21=""),"",IF(Registro_Compras!$F$21="NOTA DE CREDITO",IF(Registro_Compras!$K$21=0,"","40111"),"4212"))</f>
        <v>4212</v>
      </c>
      <c r="D160" t="str">
        <f>IF(OR(Registro_Compras!$C$21="",Registro_Compras!$O$21=""),"",IF(Registro_Compras!$F$21="NOTA DE CREDITO","IGV - Cuenta Propia (Credito Fiscal)","Cuentas por Pagar Comerciales - Terceros (Emitidas)"))</f>
        <v>Cuentas por Pagar Comerciales - Terceros (Emitidas)</v>
      </c>
      <c r="E160" s="20" t="str">
        <f>""</f>
        <v/>
      </c>
      <c r="F160" s="20">
        <f>IF($C160="","",IF(Registro_Compras!$F$21="NOTA DE CREDITO",ROUND(ABS(Registro_Compras!$K$21*Registro_Compras!$N$21),2),IF(Registro_Compras!$F$21="RHE",(ROUND(Registro_Compras!$L$21*Registro_Compras!$N$21,2)-ROUND(Registro_Compras!$V$21*Registro_Compras!$N$21,2)),Registro_Compras!$O$21)))</f>
        <v>1132.8599999999999</v>
      </c>
      <c r="G160" t="str">
        <f>IF($C160="","",IF(Registro_Compras!$F$21="NOTA DE CREDITO","Por la nota de credito "&amp;Registro_Compras!$C$21&amp;" de "&amp;Registro_Compras!$E$21&amp;" [PATRON POR CONFIRMAR CON CONTADOR]",IF(Registro_Compras!$F$21="RHE","Por el registro del recibo por honorarios "&amp;Registro_Compras!$C$21&amp;" de "&amp;Registro_Compras!$E$21&amp;" [PATRON POR CONFIRMAR CON CONTADOR]","Por el registro de la factura "&amp;Registro_Compras!$C$21&amp;" de "&amp;Registro_Compras!$E$21)))</f>
        <v>Por el registro de la factura E001-1678 de INVERSIONES FENIX TOURS E.I.R.L.</v>
      </c>
      <c r="H160" t="str">
        <f>IF($C160="","",Registro_Compras!$C$21)</f>
        <v>E001-1678</v>
      </c>
    </row>
    <row r="161" spans="1:8" x14ac:dyDescent="0.25">
      <c r="A161" s="25">
        <f>IF($C161="","",Registro_Compras!$B$21)</f>
        <v>46238</v>
      </c>
      <c r="B161" t="str">
        <f>IF($C161="","","C"&amp;TEXT(INT((ROW()-5)/9)+1,"000")&amp;"-2")</f>
        <v>C018-2</v>
      </c>
      <c r="C161" t="str">
        <f>IF(OR(Registro_Compras!$C$21="",Registro_Compras!$O$21=""),"",IF(Registro_Compras!$AB$21="ADMINISTRATIVO","94","95"))</f>
        <v>95</v>
      </c>
      <c r="D161" t="str">
        <f>IF(OR(Registro_Compras!$C$21="",Registro_Compras!$O$21=""),"",IF(Registro_Compras!$AB$21="ADMINISTRATIVO","Gastos Administrativos","Gastos de Venta y Operacion"))</f>
        <v>Gastos de Venta y Operacion</v>
      </c>
      <c r="E161" s="20">
        <f>IF($C161="","",IF(Registro_Compras!$F$21="NOTA DE CREDITO","",IF(Registro_Compras!$F$21="RHE",ROUND(Registro_Compras!$L$21*Registro_Compras!$N$21,2),ROUND(Registro_Compras!$J$21*Registro_Compras!$N$21,2))))</f>
        <v>960.04</v>
      </c>
      <c r="F161" s="20" t="str">
        <f>IF($C161="","",IF(Registro_Compras!$F$21="NOTA DE CREDITO",ROUND(ABS(Registro_Compras!$J$21*Registro_Compras!$N$21),2),""))</f>
        <v/>
      </c>
      <c r="G161" t="str">
        <f>IF($C161="","","Por el destino del gasto")</f>
        <v>Por el destino del gasto</v>
      </c>
      <c r="H161" t="str">
        <f>IF($C161="","",Registro_Compras!$C$21)</f>
        <v>E001-1678</v>
      </c>
    </row>
    <row r="162" spans="1:8" x14ac:dyDescent="0.25">
      <c r="A162" s="25">
        <f>IF($C162="","",Registro_Compras!$B$21)</f>
        <v>46238</v>
      </c>
      <c r="B162" t="str">
        <f>IF($C162="","","C"&amp;TEXT(INT((ROW()-5)/9)+1,"000")&amp;"-2")</f>
        <v>C018-2</v>
      </c>
      <c r="C162" t="str">
        <f>IF(OR(Registro_Compras!$C$21="",Registro_Compras!$O$21=""),"","79/791")</f>
        <v>79/791</v>
      </c>
      <c r="D162" t="str">
        <f>IF(OR(Registro_Compras!$C$21="",Registro_Compras!$O$21=""),"","Cargas Imputables a Cuentas de Costos y Gastos")</f>
        <v>Cargas Imputables a Cuentas de Costos y Gastos</v>
      </c>
      <c r="E162" s="20" t="str">
        <f>IF($C162="","",IF(Registro_Compras!$F$21="NOTA DE CREDITO",ROUND(ABS(Registro_Compras!$J$21*Registro_Compras!$N$21),2),""))</f>
        <v/>
      </c>
      <c r="F162" s="20">
        <f>IF($C162="","",IF(Registro_Compras!$F$21="NOTA DE CREDITO","",IF(Registro_Compras!$F$21="RHE",ROUND(Registro_Compras!$L$21*Registro_Compras!$N$21,2),ROUND(Registro_Compras!$J$21*Registro_Compras!$N$21,2))))</f>
        <v>960.04</v>
      </c>
      <c r="G162" t="str">
        <f>IF($C162="","","Por el destino del gasto")</f>
        <v>Por el destino del gasto</v>
      </c>
      <c r="H162" t="str">
        <f>IF($C162="","",Registro_Compras!$C$21)</f>
        <v>E001-1678</v>
      </c>
    </row>
    <row r="163" spans="1:8" x14ac:dyDescent="0.25">
      <c r="A163" s="25" t="str">
        <f>IF($C163="","",Registro_Compras!$X$21)</f>
        <v/>
      </c>
      <c r="B163" t="str">
        <f>IF($C163="","","C"&amp;TEXT(INT((ROW()-5)/9)+1,"000")&amp;"-3")</f>
        <v/>
      </c>
      <c r="C163" t="str">
        <f>IF(OR(Registro_Compras!$C$21="",Registro_Compras!$O$21="",Registro_Compras!$R$21&lt;&gt;"SI",Registro_Compras!$X$21=""),"","4212")</f>
        <v/>
      </c>
      <c r="D163" t="str">
        <f>IF(OR(Registro_Compras!$C$21="",Registro_Compras!$O$21=""),"","Cuentas por Pagar Comerciales - Terceros")</f>
        <v>Cuentas por Pagar Comerciales - Terceros</v>
      </c>
      <c r="E163" s="20" t="str">
        <f>IF($C163="","",Registro_Compras!$S$21)</f>
        <v/>
      </c>
      <c r="F163" s="20" t="str">
        <f>""</f>
        <v/>
      </c>
      <c r="G163" t="str">
        <f>IF($C163="","","Por el deposito de la detraccion en el Banco de la Nacion")</f>
        <v/>
      </c>
      <c r="H163" t="str">
        <f>IF($C163="","",Registro_Compras!$C$21)</f>
        <v/>
      </c>
    </row>
    <row r="164" spans="1:8" x14ac:dyDescent="0.25">
      <c r="A164" s="25" t="str">
        <f>IF($C164="","",Registro_Compras!$X$21)</f>
        <v/>
      </c>
      <c r="B164" t="str">
        <f>IF($C164="","","C"&amp;TEXT(INT((ROW()-5)/9)+1,"000")&amp;"-3")</f>
        <v/>
      </c>
      <c r="C164" t="str">
        <f>IF(OR(Registro_Compras!$C$21="",Registro_Compras!$O$21="",Registro_Compras!$R$21&lt;&gt;"SI",Registro_Compras!$X$21=""),"","1041")</f>
        <v/>
      </c>
      <c r="D164" t="str">
        <f>IF(OR(Registro_Compras!$C$21="",Registro_Compras!$O$21=""),"","Efectivo y Equivalentes - Cta. Cte. Operativa")</f>
        <v>Efectivo y Equivalentes - Cta. Cte. Operativa</v>
      </c>
      <c r="E164" s="20" t="str">
        <f>""</f>
        <v/>
      </c>
      <c r="F164" s="20" t="str">
        <f>IF($C164="","",Registro_Compras!$S$21)</f>
        <v/>
      </c>
      <c r="G164" t="str">
        <f>IF($C164="","","Por el deposito de la detraccion en el Banco de la Nacion")</f>
        <v/>
      </c>
      <c r="H164" t="str">
        <f>IF($C164="","",Registro_Compras!$C$21)</f>
        <v/>
      </c>
    </row>
    <row r="165" spans="1:8" x14ac:dyDescent="0.25">
      <c r="A165" s="25" t="str">
        <f>IF($C165="","",Registro_Compras!$Y$21)</f>
        <v/>
      </c>
      <c r="B165" t="str">
        <f>IF($C165="","","C"&amp;TEXT(INT((ROW()-5)/9)+1,"000")&amp;"-4")</f>
        <v/>
      </c>
      <c r="C165" t="str">
        <f>IF(OR(Registro_Compras!$C$21="",Registro_Compras!$O$21="",Registro_Compras!$Y$21="",Registro_Compras!$F$21="NOTA DE CREDITO"),"","4212")</f>
        <v/>
      </c>
      <c r="D165" t="str">
        <f>IF(OR(Registro_Compras!$C$21="",Registro_Compras!$O$21=""),"","Cuentas por Pagar Comerciales - Terceros")</f>
        <v>Cuentas por Pagar Comerciales - Terceros</v>
      </c>
      <c r="E165" s="20" t="str">
        <f>IF($C165="","",IF(Registro_Compras!$F$21="RHE",(ROUND(Registro_Compras!$L$21*Registro_Compras!$N$21,2)-ROUND(Registro_Compras!$V$21*Registro_Compras!$N$21,2)),ROUND(Registro_Compras!$O$21-Registro_Compras!$S$21,2)))</f>
        <v/>
      </c>
      <c r="F165" s="20" t="str">
        <f>""</f>
        <v/>
      </c>
      <c r="G165" t="str">
        <f>IF($C165="","","Por la cancelacion del saldo al proveedor")</f>
        <v/>
      </c>
      <c r="H165" t="str">
        <f>IF($C165="","",Registro_Compras!$C$21)</f>
        <v/>
      </c>
    </row>
    <row r="166" spans="1:8" x14ac:dyDescent="0.25">
      <c r="A166" s="25" t="str">
        <f>IF($C166="","",Registro_Compras!$Y$21)</f>
        <v/>
      </c>
      <c r="B166" t="str">
        <f>IF($C166="","","C"&amp;TEXT(INT((ROW()-5)/9)+1,"000")&amp;"-4")</f>
        <v/>
      </c>
      <c r="C166" t="str">
        <f>IF(OR(Registro_Compras!$C$21="",Registro_Compras!$O$21="",Registro_Compras!$Y$21="",Registro_Compras!$F$21="NOTA DE CREDITO"),"","1041")</f>
        <v/>
      </c>
      <c r="D166" t="str">
        <f>IF(OR(Registro_Compras!$C$21="",Registro_Compras!$O$21=""),"","Efectivo y Equivalentes - Cta. Cte. Operativa")</f>
        <v>Efectivo y Equivalentes - Cta. Cte. Operativa</v>
      </c>
      <c r="E166" s="20" t="str">
        <f>""</f>
        <v/>
      </c>
      <c r="F166" s="20" t="str">
        <f>IF($C166="","",IF(Registro_Compras!$F$21="RHE",(ROUND(Registro_Compras!$L$21*Registro_Compras!$N$21,2)-ROUND(Registro_Compras!$V$21*Registro_Compras!$N$21,2)),ROUND(Registro_Compras!$O$21-Registro_Compras!$S$21,2)))</f>
        <v/>
      </c>
      <c r="G166" t="str">
        <f>IF($C166="","","Por la cancelacion del saldo al proveedor")</f>
        <v/>
      </c>
      <c r="H166" t="str">
        <f>IF($C166="","",Registro_Compras!$C$21)</f>
        <v/>
      </c>
    </row>
    <row r="167" spans="1:8" x14ac:dyDescent="0.25">
      <c r="A167" s="25">
        <f>IF($C167="","",Registro_Compras!$B$22)</f>
        <v>46248</v>
      </c>
      <c r="B167" t="str">
        <f>IF($C167="","","C"&amp;TEXT(INT((ROW()-5)/9)+1,"000")&amp;"-1")</f>
        <v>C019-1</v>
      </c>
      <c r="C167" t="str">
        <f>IF(OR(Registro_Compras!$C$22="",Registro_Compras!$O$22=""),"",IF(Registro_Compras!$F$22="NOTA DE CREDITO","4212",IF(Registro_Compras!$M$22="","63",Registro_Compras!$M$22)))</f>
        <v>631</v>
      </c>
      <c r="D167" t="str">
        <f>IF(OR(Registro_Compras!$C$22="",Registro_Compras!$O$22=""),"",IF(Registro_Compras!$F$22="NOTA DE CREDITO","Cuentas por Pagar Comerciales - Terceros (Emitidas)",IF(Registro_Compras!$F$22="RHE","Honorarios Profesionales - Servicios de Terceros","Gastos de Servicios Prestados por Terceros")))</f>
        <v>Gastos de Servicios Prestados por Terceros</v>
      </c>
      <c r="E167" s="20">
        <f>IF($C167="","",IF(Registro_Compras!$F$22="NOTA DE CREDITO",ABS(Registro_Compras!$O$22),IF(Registro_Compras!$F$22="RHE",ROUND(Registro_Compras!$L$22*Registro_Compras!$N$22,2),ROUND(Registro_Compras!$J$22*Registro_Compras!$N$22,2))))</f>
        <v>2224.86</v>
      </c>
      <c r="F167" s="20" t="str">
        <f>""</f>
        <v/>
      </c>
      <c r="G167" t="str">
        <f>IF($C167="","",IF(Registro_Compras!$F$22="NOTA DE CREDITO","Por la nota de credito "&amp;Registro_Compras!$C$22&amp;" de "&amp;Registro_Compras!$E$22&amp;" [PATRON POR CONFIRMAR CON CONTADOR]",IF(Registro_Compras!$F$22="RHE","Por el registro del recibo por honorarios "&amp;Registro_Compras!$C$22&amp;" de "&amp;Registro_Compras!$E$22&amp;" [PATRON POR CONFIRMAR CON CONTADOR]","Por el registro de la factura "&amp;Registro_Compras!$C$22&amp;" de "&amp;Registro_Compras!$E$22)))</f>
        <v>Por el registro de la factura E001-2661 de J &amp; R TURISMO E.I.R.L.</v>
      </c>
      <c r="H167" t="str">
        <f>IF($C167="","",Registro_Compras!$C$22)</f>
        <v>E001-2661</v>
      </c>
    </row>
    <row r="168" spans="1:8" x14ac:dyDescent="0.25">
      <c r="A168" s="25">
        <f>IF($C168="","",Registro_Compras!$B$22)</f>
        <v>46248</v>
      </c>
      <c r="B168" t="str">
        <f>IF($C168="","","C"&amp;TEXT(INT((ROW()-5)/9)+1,"000")&amp;"-1")</f>
        <v>C019-1</v>
      </c>
      <c r="C168" t="str">
        <f>IF(OR(Registro_Compras!$C$22="",Registro_Compras!$O$22=""),"",IF(Registro_Compras!$F$22="RHE",IF(Registro_Compras!$V$22=0,"","4017"),IF(Registro_Compras!$F$22="NOTA DE CREDITO",IF(Registro_Compras!$M$22="","63",Registro_Compras!$M$22),IF(Registro_Compras!$K$22=0,"","40111"))))</f>
        <v>40111</v>
      </c>
      <c r="D168" t="str">
        <f>IF(OR(Registro_Compras!$C$22="",Registro_Compras!$O$22=""),"",IF(Registro_Compras!$F$22="RHE","Retencion Renta 4ta Categoria por Pagar",IF(Registro_Compras!$F$22="NOTA DE CREDITO","Gastos de Servicios Prestados por Terceros","IGV - Cuenta Propia (Credito Fiscal)")))</f>
        <v>IGV - Cuenta Propia (Credito Fiscal)</v>
      </c>
      <c r="E168" s="20">
        <f>IF($C168="","",IF(Registro_Compras!$F$22="FACTURA",ROUND(Registro_Compras!$K$22*Registro_Compras!$N$22,2),""))</f>
        <v>400.47</v>
      </c>
      <c r="F168" s="20" t="str">
        <f>IF($C168="","",IF(Registro_Compras!$F$22="RHE",ROUND(Registro_Compras!$V$22*Registro_Compras!$N$22,2),IF(Registro_Compras!$F$22="NOTA DE CREDITO",ROUND(ABS(Registro_Compras!$J$22*Registro_Compras!$N$22),2),"")))</f>
        <v/>
      </c>
      <c r="G168" t="str">
        <f>IF($C168="","",IF(Registro_Compras!$F$22="NOTA DE CREDITO","Por la nota de credito "&amp;Registro_Compras!$C$22&amp;" de "&amp;Registro_Compras!$E$22&amp;" [PATRON POR CONFIRMAR CON CONTADOR]",IF(Registro_Compras!$F$22="RHE","Por el registro del recibo por honorarios "&amp;Registro_Compras!$C$22&amp;" de "&amp;Registro_Compras!$E$22&amp;" [PATRON POR CONFIRMAR CON CONTADOR]","Por el registro de la factura "&amp;Registro_Compras!$C$22&amp;" de "&amp;Registro_Compras!$E$22)))</f>
        <v>Por el registro de la factura E001-2661 de J &amp; R TURISMO E.I.R.L.</v>
      </c>
      <c r="H168" t="str">
        <f>IF($C168="","",Registro_Compras!$C$22)</f>
        <v>E001-2661</v>
      </c>
    </row>
    <row r="169" spans="1:8" x14ac:dyDescent="0.25">
      <c r="A169" s="25">
        <f>IF($C169="","",Registro_Compras!$B$22)</f>
        <v>46248</v>
      </c>
      <c r="B169" t="str">
        <f>IF($C169="","","C"&amp;TEXT(INT((ROW()-5)/9)+1,"000")&amp;"-1")</f>
        <v>C019-1</v>
      </c>
      <c r="C169" t="str">
        <f>IF(OR(Registro_Compras!$C$22="",Registro_Compras!$O$22=""),"",IF(Registro_Compras!$F$22="NOTA DE CREDITO",IF(Registro_Compras!$K$22=0,"","40111"),"4212"))</f>
        <v>4212</v>
      </c>
      <c r="D169" t="str">
        <f>IF(OR(Registro_Compras!$C$22="",Registro_Compras!$O$22=""),"",IF(Registro_Compras!$F$22="NOTA DE CREDITO","IGV - Cuenta Propia (Credito Fiscal)","Cuentas por Pagar Comerciales - Terceros (Emitidas)"))</f>
        <v>Cuentas por Pagar Comerciales - Terceros (Emitidas)</v>
      </c>
      <c r="E169" s="20" t="str">
        <f>""</f>
        <v/>
      </c>
      <c r="F169" s="20">
        <f>IF($C169="","",IF(Registro_Compras!$F$22="NOTA DE CREDITO",ROUND(ABS(Registro_Compras!$K$22*Registro_Compras!$N$22),2),IF(Registro_Compras!$F$22="RHE",(ROUND(Registro_Compras!$L$22*Registro_Compras!$N$22,2)-ROUND(Registro_Compras!$V$22*Registro_Compras!$N$22,2)),Registro_Compras!$O$22)))</f>
        <v>2625.33</v>
      </c>
      <c r="G169" t="str">
        <f>IF($C169="","",IF(Registro_Compras!$F$22="NOTA DE CREDITO","Por la nota de credito "&amp;Registro_Compras!$C$22&amp;" de "&amp;Registro_Compras!$E$22&amp;" [PATRON POR CONFIRMAR CON CONTADOR]",IF(Registro_Compras!$F$22="RHE","Por el registro del recibo por honorarios "&amp;Registro_Compras!$C$22&amp;" de "&amp;Registro_Compras!$E$22&amp;" [PATRON POR CONFIRMAR CON CONTADOR]","Por el registro de la factura "&amp;Registro_Compras!$C$22&amp;" de "&amp;Registro_Compras!$E$22)))</f>
        <v>Por el registro de la factura E001-2661 de J &amp; R TURISMO E.I.R.L.</v>
      </c>
      <c r="H169" t="str">
        <f>IF($C169="","",Registro_Compras!$C$22)</f>
        <v>E001-2661</v>
      </c>
    </row>
    <row r="170" spans="1:8" x14ac:dyDescent="0.25">
      <c r="A170" s="25">
        <f>IF($C170="","",Registro_Compras!$B$22)</f>
        <v>46248</v>
      </c>
      <c r="B170" t="str">
        <f>IF($C170="","","C"&amp;TEXT(INT((ROW()-5)/9)+1,"000")&amp;"-2")</f>
        <v>C019-2</v>
      </c>
      <c r="C170" t="str">
        <f>IF(OR(Registro_Compras!$C$22="",Registro_Compras!$O$22=""),"",IF(Registro_Compras!$AB$22="ADMINISTRATIVO","94","95"))</f>
        <v>95</v>
      </c>
      <c r="D170" t="str">
        <f>IF(OR(Registro_Compras!$C$22="",Registro_Compras!$O$22=""),"",IF(Registro_Compras!$AB$22="ADMINISTRATIVO","Gastos Administrativos","Gastos de Venta y Operacion"))</f>
        <v>Gastos de Venta y Operacion</v>
      </c>
      <c r="E170" s="20">
        <f>IF($C170="","",IF(Registro_Compras!$F$22="NOTA DE CREDITO","",IF(Registro_Compras!$F$22="RHE",ROUND(Registro_Compras!$L$22*Registro_Compras!$N$22,2),ROUND(Registro_Compras!$J$22*Registro_Compras!$N$22,2))))</f>
        <v>2224.86</v>
      </c>
      <c r="F170" s="20" t="str">
        <f>IF($C170="","",IF(Registro_Compras!$F$22="NOTA DE CREDITO",ROUND(ABS(Registro_Compras!$J$22*Registro_Compras!$N$22),2),""))</f>
        <v/>
      </c>
      <c r="G170" t="str">
        <f>IF($C170="","","Por el destino del gasto")</f>
        <v>Por el destino del gasto</v>
      </c>
      <c r="H170" t="str">
        <f>IF($C170="","",Registro_Compras!$C$22)</f>
        <v>E001-2661</v>
      </c>
    </row>
    <row r="171" spans="1:8" x14ac:dyDescent="0.25">
      <c r="A171" s="25">
        <f>IF($C171="","",Registro_Compras!$B$22)</f>
        <v>46248</v>
      </c>
      <c r="B171" t="str">
        <f>IF($C171="","","C"&amp;TEXT(INT((ROW()-5)/9)+1,"000")&amp;"-2")</f>
        <v>C019-2</v>
      </c>
      <c r="C171" t="str">
        <f>IF(OR(Registro_Compras!$C$22="",Registro_Compras!$O$22=""),"","79/791")</f>
        <v>79/791</v>
      </c>
      <c r="D171" t="str">
        <f>IF(OR(Registro_Compras!$C$22="",Registro_Compras!$O$22=""),"","Cargas Imputables a Cuentas de Costos y Gastos")</f>
        <v>Cargas Imputables a Cuentas de Costos y Gastos</v>
      </c>
      <c r="E171" s="20" t="str">
        <f>IF($C171="","",IF(Registro_Compras!$F$22="NOTA DE CREDITO",ROUND(ABS(Registro_Compras!$J$22*Registro_Compras!$N$22),2),""))</f>
        <v/>
      </c>
      <c r="F171" s="20">
        <f>IF($C171="","",IF(Registro_Compras!$F$22="NOTA DE CREDITO","",IF(Registro_Compras!$F$22="RHE",ROUND(Registro_Compras!$L$22*Registro_Compras!$N$22,2),ROUND(Registro_Compras!$J$22*Registro_Compras!$N$22,2))))</f>
        <v>2224.86</v>
      </c>
      <c r="G171" t="str">
        <f>IF($C171="","","Por el destino del gasto")</f>
        <v>Por el destino del gasto</v>
      </c>
      <c r="H171" t="str">
        <f>IF($C171="","",Registro_Compras!$C$22)</f>
        <v>E001-2661</v>
      </c>
    </row>
    <row r="172" spans="1:8" x14ac:dyDescent="0.25">
      <c r="A172" s="25" t="str">
        <f>IF($C172="","",Registro_Compras!$X$22)</f>
        <v/>
      </c>
      <c r="B172" t="str">
        <f>IF($C172="","","C"&amp;TEXT(INT((ROW()-5)/9)+1,"000")&amp;"-3")</f>
        <v/>
      </c>
      <c r="C172" t="str">
        <f>IF(OR(Registro_Compras!$C$22="",Registro_Compras!$O$22="",Registro_Compras!$R$22&lt;&gt;"SI",Registro_Compras!$X$22=""),"","4212")</f>
        <v/>
      </c>
      <c r="D172" t="str">
        <f>IF(OR(Registro_Compras!$C$22="",Registro_Compras!$O$22=""),"","Cuentas por Pagar Comerciales - Terceros")</f>
        <v>Cuentas por Pagar Comerciales - Terceros</v>
      </c>
      <c r="E172" s="20" t="str">
        <f>IF($C172="","",Registro_Compras!$S$22)</f>
        <v/>
      </c>
      <c r="F172" s="20" t="str">
        <f>""</f>
        <v/>
      </c>
      <c r="G172" t="str">
        <f>IF($C172="","","Por el deposito de la detraccion en el Banco de la Nacion")</f>
        <v/>
      </c>
      <c r="H172" t="str">
        <f>IF($C172="","",Registro_Compras!$C$22)</f>
        <v/>
      </c>
    </row>
    <row r="173" spans="1:8" x14ac:dyDescent="0.25">
      <c r="A173" s="25" t="str">
        <f>IF($C173="","",Registro_Compras!$X$22)</f>
        <v/>
      </c>
      <c r="B173" t="str">
        <f>IF($C173="","","C"&amp;TEXT(INT((ROW()-5)/9)+1,"000")&amp;"-3")</f>
        <v/>
      </c>
      <c r="C173" t="str">
        <f>IF(OR(Registro_Compras!$C$22="",Registro_Compras!$O$22="",Registro_Compras!$R$22&lt;&gt;"SI",Registro_Compras!$X$22=""),"","1041")</f>
        <v/>
      </c>
      <c r="D173" t="str">
        <f>IF(OR(Registro_Compras!$C$22="",Registro_Compras!$O$22=""),"","Efectivo y Equivalentes - Cta. Cte. Operativa")</f>
        <v>Efectivo y Equivalentes - Cta. Cte. Operativa</v>
      </c>
      <c r="E173" s="20" t="str">
        <f>""</f>
        <v/>
      </c>
      <c r="F173" s="20" t="str">
        <f>IF($C173="","",Registro_Compras!$S$22)</f>
        <v/>
      </c>
      <c r="G173" t="str">
        <f>IF($C173="","","Por el deposito de la detraccion en el Banco de la Nacion")</f>
        <v/>
      </c>
      <c r="H173" t="str">
        <f>IF($C173="","",Registro_Compras!$C$22)</f>
        <v/>
      </c>
    </row>
    <row r="174" spans="1:8" x14ac:dyDescent="0.25">
      <c r="A174" s="25" t="str">
        <f>IF($C174="","",Registro_Compras!$Y$22)</f>
        <v/>
      </c>
      <c r="B174" t="str">
        <f>IF($C174="","","C"&amp;TEXT(INT((ROW()-5)/9)+1,"000")&amp;"-4")</f>
        <v/>
      </c>
      <c r="C174" t="str">
        <f>IF(OR(Registro_Compras!$C$22="",Registro_Compras!$O$22="",Registro_Compras!$Y$22="",Registro_Compras!$F$22="NOTA DE CREDITO"),"","4212")</f>
        <v/>
      </c>
      <c r="D174" t="str">
        <f>IF(OR(Registro_Compras!$C$22="",Registro_Compras!$O$22=""),"","Cuentas por Pagar Comerciales - Terceros")</f>
        <v>Cuentas por Pagar Comerciales - Terceros</v>
      </c>
      <c r="E174" s="20" t="str">
        <f>IF($C174="","",IF(Registro_Compras!$F$22="RHE",(ROUND(Registro_Compras!$L$22*Registro_Compras!$N$22,2)-ROUND(Registro_Compras!$V$22*Registro_Compras!$N$22,2)),ROUND(Registro_Compras!$O$22-Registro_Compras!$S$22,2)))</f>
        <v/>
      </c>
      <c r="F174" s="20" t="str">
        <f>""</f>
        <v/>
      </c>
      <c r="G174" t="str">
        <f>IF($C174="","","Por la cancelacion del saldo al proveedor")</f>
        <v/>
      </c>
      <c r="H174" t="str">
        <f>IF($C174="","",Registro_Compras!$C$22)</f>
        <v/>
      </c>
    </row>
    <row r="175" spans="1:8" x14ac:dyDescent="0.25">
      <c r="A175" s="25" t="str">
        <f>IF($C175="","",Registro_Compras!$Y$22)</f>
        <v/>
      </c>
      <c r="B175" t="str">
        <f>IF($C175="","","C"&amp;TEXT(INT((ROW()-5)/9)+1,"000")&amp;"-4")</f>
        <v/>
      </c>
      <c r="C175" t="str">
        <f>IF(OR(Registro_Compras!$C$22="",Registro_Compras!$O$22="",Registro_Compras!$Y$22="",Registro_Compras!$F$22="NOTA DE CREDITO"),"","1041")</f>
        <v/>
      </c>
      <c r="D175" t="str">
        <f>IF(OR(Registro_Compras!$C$22="",Registro_Compras!$O$22=""),"","Efectivo y Equivalentes - Cta. Cte. Operativa")</f>
        <v>Efectivo y Equivalentes - Cta. Cte. Operativa</v>
      </c>
      <c r="E175" s="20" t="str">
        <f>""</f>
        <v/>
      </c>
      <c r="F175" s="20" t="str">
        <f>IF($C175="","",IF(Registro_Compras!$F$22="RHE",(ROUND(Registro_Compras!$L$22*Registro_Compras!$N$22,2)-ROUND(Registro_Compras!$V$22*Registro_Compras!$N$22,2)),ROUND(Registro_Compras!$O$22-Registro_Compras!$S$22,2)))</f>
        <v/>
      </c>
      <c r="G175" t="str">
        <f>IF($C175="","","Por la cancelacion del saldo al proveedor")</f>
        <v/>
      </c>
      <c r="H175" t="str">
        <f>IF($C175="","",Registro_Compras!$C$22)</f>
        <v/>
      </c>
    </row>
    <row r="176" spans="1:8" x14ac:dyDescent="0.25">
      <c r="A176" s="25">
        <f>IF($C176="","",Registro_Compras!$B$23)</f>
        <v>46247</v>
      </c>
      <c r="B176" t="str">
        <f>IF($C176="","","C"&amp;TEXT(INT((ROW()-5)/9)+1,"000")&amp;"-1")</f>
        <v>C020-1</v>
      </c>
      <c r="C176" t="str">
        <f>IF(OR(Registro_Compras!$C$23="",Registro_Compras!$O$23=""),"",IF(Registro_Compras!$F$23="NOTA DE CREDITO","4212",IF(Registro_Compras!$M$23="","63",Registro_Compras!$M$23)))</f>
        <v>632</v>
      </c>
      <c r="D176" t="str">
        <f>IF(OR(Registro_Compras!$C$23="",Registro_Compras!$O$23=""),"",IF(Registro_Compras!$F$23="NOTA DE CREDITO","Cuentas por Pagar Comerciales - Terceros (Emitidas)",IF(Registro_Compras!$F$23="RHE","Honorarios Profesionales - Servicios de Terceros","Gastos de Servicios Prestados por Terceros")))</f>
        <v>Honorarios Profesionales - Servicios de Terceros</v>
      </c>
      <c r="E176" s="20">
        <f>IF($C176="","",IF(Registro_Compras!$F$23="NOTA DE CREDITO",ABS(Registro_Compras!$O$23),IF(Registro_Compras!$F$23="RHE",ROUND(Registro_Compras!$L$23*Registro_Compras!$N$23,2),ROUND(Registro_Compras!$J$23*Registro_Compras!$N$23,2))))</f>
        <v>1100</v>
      </c>
      <c r="F176" s="20" t="str">
        <f>""</f>
        <v/>
      </c>
      <c r="G176" t="str">
        <f>IF($C176="","",IF(Registro_Compras!$F$23="NOTA DE CREDITO","Por la nota de credito "&amp;Registro_Compras!$C$23&amp;" de "&amp;Registro_Compras!$E$23&amp;" [PATRON POR CONFIRMAR CON CONTADOR]",IF(Registro_Compras!$F$23="RHE","Por el registro del recibo por honorarios "&amp;Registro_Compras!$C$23&amp;" de "&amp;Registro_Compras!$E$23&amp;" [PATRON POR CONFIRMAR CON CONTADOR]","Por el registro de la factura "&amp;Registro_Compras!$C$23&amp;" de "&amp;Registro_Compras!$E$23)))</f>
        <v>Por el registro del recibo por honorarios E001-9 de LUCERO KARLA MADGE BOCANEGRA [PATRON POR CONFIRMAR CON CONTADOR]</v>
      </c>
      <c r="H176" t="str">
        <f>IF($C176="","",Registro_Compras!$C$23)</f>
        <v>E001-9</v>
      </c>
    </row>
    <row r="177" spans="1:8" x14ac:dyDescent="0.25">
      <c r="A177" s="25" t="str">
        <f>IF($C177="","",Registro_Compras!$B$23)</f>
        <v/>
      </c>
      <c r="B177" t="str">
        <f>IF($C177="","","C"&amp;TEXT(INT((ROW()-5)/9)+1,"000")&amp;"-1")</f>
        <v/>
      </c>
      <c r="C177" t="str">
        <f>IF(OR(Registro_Compras!$C$23="",Registro_Compras!$O$23=""),"",IF(Registro_Compras!$F$23="RHE",IF(Registro_Compras!$V$23=0,"","4017"),IF(Registro_Compras!$F$23="NOTA DE CREDITO",IF(Registro_Compras!$M$23="","63",Registro_Compras!$M$23),IF(Registro_Compras!$K$23=0,"","40111"))))</f>
        <v/>
      </c>
      <c r="D177" t="str">
        <f>IF(OR(Registro_Compras!$C$23="",Registro_Compras!$O$23=""),"",IF(Registro_Compras!$F$23="RHE","Retencion Renta 4ta Categoria por Pagar",IF(Registro_Compras!$F$23="NOTA DE CREDITO","Gastos de Servicios Prestados por Terceros","IGV - Cuenta Propia (Credito Fiscal)")))</f>
        <v>Retencion Renta 4ta Categoria por Pagar</v>
      </c>
      <c r="E177" s="20" t="str">
        <f>IF($C177="","",IF(Registro_Compras!$F$23="FACTURA",ROUND(Registro_Compras!$K$23*Registro_Compras!$N$23,2),""))</f>
        <v/>
      </c>
      <c r="F177" s="20" t="str">
        <f>IF($C177="","",IF(Registro_Compras!$F$23="RHE",ROUND(Registro_Compras!$V$23*Registro_Compras!$N$23,2),IF(Registro_Compras!$F$23="NOTA DE CREDITO",ROUND(ABS(Registro_Compras!$J$23*Registro_Compras!$N$23),2),"")))</f>
        <v/>
      </c>
      <c r="G177" t="str">
        <f>IF($C177="","",IF(Registro_Compras!$F$23="NOTA DE CREDITO","Por la nota de credito "&amp;Registro_Compras!$C$23&amp;" de "&amp;Registro_Compras!$E$23&amp;" [PATRON POR CONFIRMAR CON CONTADOR]",IF(Registro_Compras!$F$23="RHE","Por el registro del recibo por honorarios "&amp;Registro_Compras!$C$23&amp;" de "&amp;Registro_Compras!$E$23&amp;" [PATRON POR CONFIRMAR CON CONTADOR]","Por el registro de la factura "&amp;Registro_Compras!$C$23&amp;" de "&amp;Registro_Compras!$E$23)))</f>
        <v/>
      </c>
      <c r="H177" t="str">
        <f>IF($C177="","",Registro_Compras!$C$23)</f>
        <v/>
      </c>
    </row>
    <row r="178" spans="1:8" x14ac:dyDescent="0.25">
      <c r="A178" s="25">
        <f>IF($C178="","",Registro_Compras!$B$23)</f>
        <v>46247</v>
      </c>
      <c r="B178" t="str">
        <f>IF($C178="","","C"&amp;TEXT(INT((ROW()-5)/9)+1,"000")&amp;"-1")</f>
        <v>C020-1</v>
      </c>
      <c r="C178" t="str">
        <f>IF(OR(Registro_Compras!$C$23="",Registro_Compras!$O$23=""),"",IF(Registro_Compras!$F$23="NOTA DE CREDITO",IF(Registro_Compras!$K$23=0,"","40111"),"4212"))</f>
        <v>4212</v>
      </c>
      <c r="D178" t="str">
        <f>IF(OR(Registro_Compras!$C$23="",Registro_Compras!$O$23=""),"",IF(Registro_Compras!$F$23="NOTA DE CREDITO","IGV - Cuenta Propia (Credito Fiscal)","Cuentas por Pagar Comerciales - Terceros (Emitidas)"))</f>
        <v>Cuentas por Pagar Comerciales - Terceros (Emitidas)</v>
      </c>
      <c r="E178" s="20" t="str">
        <f>""</f>
        <v/>
      </c>
      <c r="F178" s="20">
        <f>IF($C178="","",IF(Registro_Compras!$F$23="NOTA DE CREDITO",ROUND(ABS(Registro_Compras!$K$23*Registro_Compras!$N$23),2),IF(Registro_Compras!$F$23="RHE",(ROUND(Registro_Compras!$L$23*Registro_Compras!$N$23,2)-ROUND(Registro_Compras!$V$23*Registro_Compras!$N$23,2)),Registro_Compras!$O$23)))</f>
        <v>1100</v>
      </c>
      <c r="G178" t="str">
        <f>IF($C178="","",IF(Registro_Compras!$F$23="NOTA DE CREDITO","Por la nota de credito "&amp;Registro_Compras!$C$23&amp;" de "&amp;Registro_Compras!$E$23&amp;" [PATRON POR CONFIRMAR CON CONTADOR]",IF(Registro_Compras!$F$23="RHE","Por el registro del recibo por honorarios "&amp;Registro_Compras!$C$23&amp;" de "&amp;Registro_Compras!$E$23&amp;" [PATRON POR CONFIRMAR CON CONTADOR]","Por el registro de la factura "&amp;Registro_Compras!$C$23&amp;" de "&amp;Registro_Compras!$E$23)))</f>
        <v>Por el registro del recibo por honorarios E001-9 de LUCERO KARLA MADGE BOCANEGRA [PATRON POR CONFIRMAR CON CONTADOR]</v>
      </c>
      <c r="H178" t="str">
        <f>IF($C178="","",Registro_Compras!$C$23)</f>
        <v>E001-9</v>
      </c>
    </row>
    <row r="179" spans="1:8" x14ac:dyDescent="0.25">
      <c r="A179" s="25">
        <f>IF($C179="","",Registro_Compras!$B$23)</f>
        <v>46247</v>
      </c>
      <c r="B179" t="str">
        <f>IF($C179="","","C"&amp;TEXT(INT((ROW()-5)/9)+1,"000")&amp;"-2")</f>
        <v>C020-2</v>
      </c>
      <c r="C179" t="str">
        <f>IF(OR(Registro_Compras!$C$23="",Registro_Compras!$O$23=""),"",IF(Registro_Compras!$AB$23="ADMINISTRATIVO","94","95"))</f>
        <v>94</v>
      </c>
      <c r="D179" t="str">
        <f>IF(OR(Registro_Compras!$C$23="",Registro_Compras!$O$23=""),"",IF(Registro_Compras!$AB$23="ADMINISTRATIVO","Gastos Administrativos","Gastos de Venta y Operacion"))</f>
        <v>Gastos Administrativos</v>
      </c>
      <c r="E179" s="20">
        <f>IF($C179="","",IF(Registro_Compras!$F$23="NOTA DE CREDITO","",IF(Registro_Compras!$F$23="RHE",ROUND(Registro_Compras!$L$23*Registro_Compras!$N$23,2),ROUND(Registro_Compras!$J$23*Registro_Compras!$N$23,2))))</f>
        <v>1100</v>
      </c>
      <c r="F179" s="20" t="str">
        <f>IF($C179="","",IF(Registro_Compras!$F$23="NOTA DE CREDITO",ROUND(ABS(Registro_Compras!$J$23*Registro_Compras!$N$23),2),""))</f>
        <v/>
      </c>
      <c r="G179" t="str">
        <f>IF($C179="","","Por el destino del gasto")</f>
        <v>Por el destino del gasto</v>
      </c>
      <c r="H179" t="str">
        <f>IF($C179="","",Registro_Compras!$C$23)</f>
        <v>E001-9</v>
      </c>
    </row>
    <row r="180" spans="1:8" x14ac:dyDescent="0.25">
      <c r="A180" s="25">
        <f>IF($C180="","",Registro_Compras!$B$23)</f>
        <v>46247</v>
      </c>
      <c r="B180" t="str">
        <f>IF($C180="","","C"&amp;TEXT(INT((ROW()-5)/9)+1,"000")&amp;"-2")</f>
        <v>C020-2</v>
      </c>
      <c r="C180" t="str">
        <f>IF(OR(Registro_Compras!$C$23="",Registro_Compras!$O$23=""),"","79/791")</f>
        <v>79/791</v>
      </c>
      <c r="D180" t="str">
        <f>IF(OR(Registro_Compras!$C$23="",Registro_Compras!$O$23=""),"","Cargas Imputables a Cuentas de Costos y Gastos")</f>
        <v>Cargas Imputables a Cuentas de Costos y Gastos</v>
      </c>
      <c r="E180" s="20" t="str">
        <f>IF($C180="","",IF(Registro_Compras!$F$23="NOTA DE CREDITO",ROUND(ABS(Registro_Compras!$J$23*Registro_Compras!$N$23),2),""))</f>
        <v/>
      </c>
      <c r="F180" s="20">
        <f>IF($C180="","",IF(Registro_Compras!$F$23="NOTA DE CREDITO","",IF(Registro_Compras!$F$23="RHE",ROUND(Registro_Compras!$L$23*Registro_Compras!$N$23,2),ROUND(Registro_Compras!$J$23*Registro_Compras!$N$23,2))))</f>
        <v>1100</v>
      </c>
      <c r="G180" t="str">
        <f>IF($C180="","","Por el destino del gasto")</f>
        <v>Por el destino del gasto</v>
      </c>
      <c r="H180" t="str">
        <f>IF($C180="","",Registro_Compras!$C$23)</f>
        <v>E001-9</v>
      </c>
    </row>
    <row r="181" spans="1:8" x14ac:dyDescent="0.25">
      <c r="A181" s="25" t="str">
        <f>IF($C181="","",Registro_Compras!$X$23)</f>
        <v/>
      </c>
      <c r="B181" t="str">
        <f>IF($C181="","","C"&amp;TEXT(INT((ROW()-5)/9)+1,"000")&amp;"-3")</f>
        <v/>
      </c>
      <c r="C181" t="str">
        <f>IF(OR(Registro_Compras!$C$23="",Registro_Compras!$O$23="",Registro_Compras!$R$23&lt;&gt;"SI",Registro_Compras!$X$23=""),"","4212")</f>
        <v/>
      </c>
      <c r="D181" t="str">
        <f>IF(OR(Registro_Compras!$C$23="",Registro_Compras!$O$23=""),"","Cuentas por Pagar Comerciales - Terceros")</f>
        <v>Cuentas por Pagar Comerciales - Terceros</v>
      </c>
      <c r="E181" s="20" t="str">
        <f>IF($C181="","",Registro_Compras!$S$23)</f>
        <v/>
      </c>
      <c r="F181" s="20" t="str">
        <f>""</f>
        <v/>
      </c>
      <c r="G181" t="str">
        <f>IF($C181="","","Por el deposito de la detraccion en el Banco de la Nacion")</f>
        <v/>
      </c>
      <c r="H181" t="str">
        <f>IF($C181="","",Registro_Compras!$C$23)</f>
        <v/>
      </c>
    </row>
    <row r="182" spans="1:8" x14ac:dyDescent="0.25">
      <c r="A182" s="25" t="str">
        <f>IF($C182="","",Registro_Compras!$X$23)</f>
        <v/>
      </c>
      <c r="B182" t="str">
        <f>IF($C182="","","C"&amp;TEXT(INT((ROW()-5)/9)+1,"000")&amp;"-3")</f>
        <v/>
      </c>
      <c r="C182" t="str">
        <f>IF(OR(Registro_Compras!$C$23="",Registro_Compras!$O$23="",Registro_Compras!$R$23&lt;&gt;"SI",Registro_Compras!$X$23=""),"","1041")</f>
        <v/>
      </c>
      <c r="D182" t="str">
        <f>IF(OR(Registro_Compras!$C$23="",Registro_Compras!$O$23=""),"","Efectivo y Equivalentes - Cta. Cte. Operativa")</f>
        <v>Efectivo y Equivalentes - Cta. Cte. Operativa</v>
      </c>
      <c r="E182" s="20" t="str">
        <f>""</f>
        <v/>
      </c>
      <c r="F182" s="20" t="str">
        <f>IF($C182="","",Registro_Compras!$S$23)</f>
        <v/>
      </c>
      <c r="G182" t="str">
        <f>IF($C182="","","Por el deposito de la detraccion en el Banco de la Nacion")</f>
        <v/>
      </c>
      <c r="H182" t="str">
        <f>IF($C182="","",Registro_Compras!$C$23)</f>
        <v/>
      </c>
    </row>
    <row r="183" spans="1:8" x14ac:dyDescent="0.25">
      <c r="A183" s="25" t="str">
        <f>IF($C183="","",Registro_Compras!$Y$23)</f>
        <v/>
      </c>
      <c r="B183" t="str">
        <f>IF($C183="","","C"&amp;TEXT(INT((ROW()-5)/9)+1,"000")&amp;"-4")</f>
        <v/>
      </c>
      <c r="C183" t="str">
        <f>IF(OR(Registro_Compras!$C$23="",Registro_Compras!$O$23="",Registro_Compras!$Y$23="",Registro_Compras!$F$23="NOTA DE CREDITO"),"","4212")</f>
        <v/>
      </c>
      <c r="D183" t="str">
        <f>IF(OR(Registro_Compras!$C$23="",Registro_Compras!$O$23=""),"","Cuentas por Pagar Comerciales - Terceros")</f>
        <v>Cuentas por Pagar Comerciales - Terceros</v>
      </c>
      <c r="E183" s="20" t="str">
        <f>IF($C183="","",IF(Registro_Compras!$F$23="RHE",(ROUND(Registro_Compras!$L$23*Registro_Compras!$N$23,2)-ROUND(Registro_Compras!$V$23*Registro_Compras!$N$23,2)),ROUND(Registro_Compras!$O$23-Registro_Compras!$S$23,2)))</f>
        <v/>
      </c>
      <c r="F183" s="20" t="str">
        <f>""</f>
        <v/>
      </c>
      <c r="G183" t="str">
        <f>IF($C183="","","Por la cancelacion del saldo al proveedor")</f>
        <v/>
      </c>
      <c r="H183" t="str">
        <f>IF($C183="","",Registro_Compras!$C$23)</f>
        <v/>
      </c>
    </row>
    <row r="184" spans="1:8" x14ac:dyDescent="0.25">
      <c r="A184" s="25" t="str">
        <f>IF($C184="","",Registro_Compras!$Y$23)</f>
        <v/>
      </c>
      <c r="B184" t="str">
        <f>IF($C184="","","C"&amp;TEXT(INT((ROW()-5)/9)+1,"000")&amp;"-4")</f>
        <v/>
      </c>
      <c r="C184" t="str">
        <f>IF(OR(Registro_Compras!$C$23="",Registro_Compras!$O$23="",Registro_Compras!$Y$23="",Registro_Compras!$F$23="NOTA DE CREDITO"),"","1041")</f>
        <v/>
      </c>
      <c r="D184" t="str">
        <f>IF(OR(Registro_Compras!$C$23="",Registro_Compras!$O$23=""),"","Efectivo y Equivalentes - Cta. Cte. Operativa")</f>
        <v>Efectivo y Equivalentes - Cta. Cte. Operativa</v>
      </c>
      <c r="E184" s="20" t="str">
        <f>""</f>
        <v/>
      </c>
      <c r="F184" s="20" t="str">
        <f>IF($C184="","",IF(Registro_Compras!$F$23="RHE",(ROUND(Registro_Compras!$L$23*Registro_Compras!$N$23,2)-ROUND(Registro_Compras!$V$23*Registro_Compras!$N$23,2)),ROUND(Registro_Compras!$O$23-Registro_Compras!$S$23,2)))</f>
        <v/>
      </c>
      <c r="G184" t="str">
        <f>IF($C184="","","Por la cancelacion del saldo al proveedor")</f>
        <v/>
      </c>
      <c r="H184" t="str">
        <f>IF($C184="","",Registro_Compras!$C$23)</f>
        <v/>
      </c>
    </row>
    <row r="185" spans="1:8" x14ac:dyDescent="0.25">
      <c r="A185" s="25">
        <f>IF($C185="","",Registro_Compras!$B$24)</f>
        <v>46248</v>
      </c>
      <c r="B185" t="str">
        <f>IF($C185="","","C"&amp;TEXT(INT((ROW()-5)/9)+1,"000")&amp;"-1")</f>
        <v>C021-1</v>
      </c>
      <c r="C185" t="str">
        <f>IF(OR(Registro_Compras!$C$24="",Registro_Compras!$O$24=""),"",IF(Registro_Compras!$F$24="NOTA DE CREDITO","4212",IF(Registro_Compras!$M$24="","63",Registro_Compras!$M$24)))</f>
        <v>632</v>
      </c>
      <c r="D185" t="str">
        <f>IF(OR(Registro_Compras!$C$24="",Registro_Compras!$O$24=""),"",IF(Registro_Compras!$F$24="NOTA DE CREDITO","Cuentas por Pagar Comerciales - Terceros (Emitidas)",IF(Registro_Compras!$F$24="RHE","Honorarios Profesionales - Servicios de Terceros","Gastos de Servicios Prestados por Terceros")))</f>
        <v>Honorarios Profesionales - Servicios de Terceros</v>
      </c>
      <c r="E185" s="20">
        <f>IF($C185="","",IF(Registro_Compras!$F$24="NOTA DE CREDITO",ABS(Registro_Compras!$O$24),IF(Registro_Compras!$F$24="RHE",ROUND(Registro_Compras!$L$24*Registro_Compras!$N$24,2),ROUND(Registro_Compras!$J$24*Registro_Compras!$N$24,2))))</f>
        <v>2359.6999999999998</v>
      </c>
      <c r="F185" s="20" t="str">
        <f>""</f>
        <v/>
      </c>
      <c r="G185" t="str">
        <f>IF($C185="","",IF(Registro_Compras!$F$24="NOTA DE CREDITO","Por la nota de credito "&amp;Registro_Compras!$C$24&amp;" de "&amp;Registro_Compras!$E$24&amp;" [PATRON POR CONFIRMAR CON CONTADOR]",IF(Registro_Compras!$F$24="RHE","Por el registro del recibo por honorarios "&amp;Registro_Compras!$C$24&amp;" de "&amp;Registro_Compras!$E$24&amp;" [PATRON POR CONFIRMAR CON CONTADOR]","Por el registro de la factura "&amp;Registro_Compras!$C$24&amp;" de "&amp;Registro_Compras!$E$24)))</f>
        <v>Por el registro del recibo por honorarios E001- 32 de NIKOLSKAIA VALENTINA [PATRON POR CONFIRMAR CON CONTADOR]</v>
      </c>
      <c r="H185" t="str">
        <f>IF($C185="","",Registro_Compras!$C$24)</f>
        <v>E001- 32</v>
      </c>
    </row>
    <row r="186" spans="1:8" x14ac:dyDescent="0.25">
      <c r="A186" s="25" t="str">
        <f>IF($C186="","",Registro_Compras!$B$24)</f>
        <v/>
      </c>
      <c r="B186" t="str">
        <f>IF($C186="","","C"&amp;TEXT(INT((ROW()-5)/9)+1,"000")&amp;"-1")</f>
        <v/>
      </c>
      <c r="C186" t="str">
        <f>IF(OR(Registro_Compras!$C$24="",Registro_Compras!$O$24=""),"",IF(Registro_Compras!$F$24="RHE",IF(Registro_Compras!$V$24=0,"","4017"),IF(Registro_Compras!$F$24="NOTA DE CREDITO",IF(Registro_Compras!$M$24="","63",Registro_Compras!$M$24),IF(Registro_Compras!$K$24=0,"","40111"))))</f>
        <v/>
      </c>
      <c r="D186" t="str">
        <f>IF(OR(Registro_Compras!$C$24="",Registro_Compras!$O$24=""),"",IF(Registro_Compras!$F$24="RHE","Retencion Renta 4ta Categoria por Pagar",IF(Registro_Compras!$F$24="NOTA DE CREDITO","Gastos de Servicios Prestados por Terceros","IGV - Cuenta Propia (Credito Fiscal)")))</f>
        <v>Retencion Renta 4ta Categoria por Pagar</v>
      </c>
      <c r="E186" s="20" t="str">
        <f>IF($C186="","",IF(Registro_Compras!$F$24="FACTURA",ROUND(Registro_Compras!$K$24*Registro_Compras!$N$24,2),""))</f>
        <v/>
      </c>
      <c r="F186" s="20" t="str">
        <f>IF($C186="","",IF(Registro_Compras!$F$24="RHE",ROUND(Registro_Compras!$V$24*Registro_Compras!$N$24,2),IF(Registro_Compras!$F$24="NOTA DE CREDITO",ROUND(ABS(Registro_Compras!$J$24*Registro_Compras!$N$24),2),"")))</f>
        <v/>
      </c>
      <c r="G186" t="str">
        <f>IF($C186="","",IF(Registro_Compras!$F$24="NOTA DE CREDITO","Por la nota de credito "&amp;Registro_Compras!$C$24&amp;" de "&amp;Registro_Compras!$E$24&amp;" [PATRON POR CONFIRMAR CON CONTADOR]",IF(Registro_Compras!$F$24="RHE","Por el registro del recibo por honorarios "&amp;Registro_Compras!$C$24&amp;" de "&amp;Registro_Compras!$E$24&amp;" [PATRON POR CONFIRMAR CON CONTADOR]","Por el registro de la factura "&amp;Registro_Compras!$C$24&amp;" de "&amp;Registro_Compras!$E$24)))</f>
        <v/>
      </c>
      <c r="H186" t="str">
        <f>IF($C186="","",Registro_Compras!$C$24)</f>
        <v/>
      </c>
    </row>
    <row r="187" spans="1:8" x14ac:dyDescent="0.25">
      <c r="A187" s="25">
        <f>IF($C187="","",Registro_Compras!$B$24)</f>
        <v>46248</v>
      </c>
      <c r="B187" t="str">
        <f>IF($C187="","","C"&amp;TEXT(INT((ROW()-5)/9)+1,"000")&amp;"-1")</f>
        <v>C021-1</v>
      </c>
      <c r="C187" t="str">
        <f>IF(OR(Registro_Compras!$C$24="",Registro_Compras!$O$24=""),"",IF(Registro_Compras!$F$24="NOTA DE CREDITO",IF(Registro_Compras!$K$24=0,"","40111"),"4212"))</f>
        <v>4212</v>
      </c>
      <c r="D187" t="str">
        <f>IF(OR(Registro_Compras!$C$24="",Registro_Compras!$O$24=""),"",IF(Registro_Compras!$F$24="NOTA DE CREDITO","IGV - Cuenta Propia (Credito Fiscal)","Cuentas por Pagar Comerciales - Terceros (Emitidas)"))</f>
        <v>Cuentas por Pagar Comerciales - Terceros (Emitidas)</v>
      </c>
      <c r="E187" s="20" t="str">
        <f>""</f>
        <v/>
      </c>
      <c r="F187" s="20">
        <f>IF($C187="","",IF(Registro_Compras!$F$24="NOTA DE CREDITO",ROUND(ABS(Registro_Compras!$K$24*Registro_Compras!$N$24),2),IF(Registro_Compras!$F$24="RHE",(ROUND(Registro_Compras!$L$24*Registro_Compras!$N$24,2)-ROUND(Registro_Compras!$V$24*Registro_Compras!$N$24,2)),Registro_Compras!$O$24)))</f>
        <v>2359.6999999999998</v>
      </c>
      <c r="G187" t="str">
        <f>IF($C187="","",IF(Registro_Compras!$F$24="NOTA DE CREDITO","Por la nota de credito "&amp;Registro_Compras!$C$24&amp;" de "&amp;Registro_Compras!$E$24&amp;" [PATRON POR CONFIRMAR CON CONTADOR]",IF(Registro_Compras!$F$24="RHE","Por el registro del recibo por honorarios "&amp;Registro_Compras!$C$24&amp;" de "&amp;Registro_Compras!$E$24&amp;" [PATRON POR CONFIRMAR CON CONTADOR]","Por el registro de la factura "&amp;Registro_Compras!$C$24&amp;" de "&amp;Registro_Compras!$E$24)))</f>
        <v>Por el registro del recibo por honorarios E001- 32 de NIKOLSKAIA VALENTINA [PATRON POR CONFIRMAR CON CONTADOR]</v>
      </c>
      <c r="H187" t="str">
        <f>IF($C187="","",Registro_Compras!$C$24)</f>
        <v>E001- 32</v>
      </c>
    </row>
    <row r="188" spans="1:8" x14ac:dyDescent="0.25">
      <c r="A188" s="25">
        <f>IF($C188="","",Registro_Compras!$B$24)</f>
        <v>46248</v>
      </c>
      <c r="B188" t="str">
        <f>IF($C188="","","C"&amp;TEXT(INT((ROW()-5)/9)+1,"000")&amp;"-2")</f>
        <v>C021-2</v>
      </c>
      <c r="C188" t="str">
        <f>IF(OR(Registro_Compras!$C$24="",Registro_Compras!$O$24=""),"",IF(Registro_Compras!$AB$24="ADMINISTRATIVO","94","95"))</f>
        <v>95</v>
      </c>
      <c r="D188" t="str">
        <f>IF(OR(Registro_Compras!$C$24="",Registro_Compras!$O$24=""),"",IF(Registro_Compras!$AB$24="ADMINISTRATIVO","Gastos Administrativos","Gastos de Venta y Operacion"))</f>
        <v>Gastos de Venta y Operacion</v>
      </c>
      <c r="E188" s="20">
        <f>IF($C188="","",IF(Registro_Compras!$F$24="NOTA DE CREDITO","",IF(Registro_Compras!$F$24="RHE",ROUND(Registro_Compras!$L$24*Registro_Compras!$N$24,2),ROUND(Registro_Compras!$J$24*Registro_Compras!$N$24,2))))</f>
        <v>2359.6999999999998</v>
      </c>
      <c r="F188" s="20" t="str">
        <f>IF($C188="","",IF(Registro_Compras!$F$24="NOTA DE CREDITO",ROUND(ABS(Registro_Compras!$J$24*Registro_Compras!$N$24),2),""))</f>
        <v/>
      </c>
      <c r="G188" t="str">
        <f>IF($C188="","","Por el destino del gasto")</f>
        <v>Por el destino del gasto</v>
      </c>
      <c r="H188" t="str">
        <f>IF($C188="","",Registro_Compras!$C$24)</f>
        <v>E001- 32</v>
      </c>
    </row>
    <row r="189" spans="1:8" x14ac:dyDescent="0.25">
      <c r="A189" s="25">
        <f>IF($C189="","",Registro_Compras!$B$24)</f>
        <v>46248</v>
      </c>
      <c r="B189" t="str">
        <f>IF($C189="","","C"&amp;TEXT(INT((ROW()-5)/9)+1,"000")&amp;"-2")</f>
        <v>C021-2</v>
      </c>
      <c r="C189" t="str">
        <f>IF(OR(Registro_Compras!$C$24="",Registro_Compras!$O$24=""),"","79/791")</f>
        <v>79/791</v>
      </c>
      <c r="D189" t="str">
        <f>IF(OR(Registro_Compras!$C$24="",Registro_Compras!$O$24=""),"","Cargas Imputables a Cuentas de Costos y Gastos")</f>
        <v>Cargas Imputables a Cuentas de Costos y Gastos</v>
      </c>
      <c r="E189" s="20" t="str">
        <f>IF($C189="","",IF(Registro_Compras!$F$24="NOTA DE CREDITO",ROUND(ABS(Registro_Compras!$J$24*Registro_Compras!$N$24),2),""))</f>
        <v/>
      </c>
      <c r="F189" s="20">
        <f>IF($C189="","",IF(Registro_Compras!$F$24="NOTA DE CREDITO","",IF(Registro_Compras!$F$24="RHE",ROUND(Registro_Compras!$L$24*Registro_Compras!$N$24,2),ROUND(Registro_Compras!$J$24*Registro_Compras!$N$24,2))))</f>
        <v>2359.6999999999998</v>
      </c>
      <c r="G189" t="str">
        <f>IF($C189="","","Por el destino del gasto")</f>
        <v>Por el destino del gasto</v>
      </c>
      <c r="H189" t="str">
        <f>IF($C189="","",Registro_Compras!$C$24)</f>
        <v>E001- 32</v>
      </c>
    </row>
    <row r="190" spans="1:8" x14ac:dyDescent="0.25">
      <c r="A190" s="25" t="str">
        <f>IF($C190="","",Registro_Compras!$X$24)</f>
        <v/>
      </c>
      <c r="B190" t="str">
        <f>IF($C190="","","C"&amp;TEXT(INT((ROW()-5)/9)+1,"000")&amp;"-3")</f>
        <v/>
      </c>
      <c r="C190" t="str">
        <f>IF(OR(Registro_Compras!$C$24="",Registro_Compras!$O$24="",Registro_Compras!$R$24&lt;&gt;"SI",Registro_Compras!$X$24=""),"","4212")</f>
        <v/>
      </c>
      <c r="D190" t="str">
        <f>IF(OR(Registro_Compras!$C$24="",Registro_Compras!$O$24=""),"","Cuentas por Pagar Comerciales - Terceros")</f>
        <v>Cuentas por Pagar Comerciales - Terceros</v>
      </c>
      <c r="E190" s="20" t="str">
        <f>IF($C190="","",Registro_Compras!$S$24)</f>
        <v/>
      </c>
      <c r="F190" s="20" t="str">
        <f>""</f>
        <v/>
      </c>
      <c r="G190" t="str">
        <f>IF($C190="","","Por el deposito de la detraccion en el Banco de la Nacion")</f>
        <v/>
      </c>
      <c r="H190" t="str">
        <f>IF($C190="","",Registro_Compras!$C$24)</f>
        <v/>
      </c>
    </row>
    <row r="191" spans="1:8" x14ac:dyDescent="0.25">
      <c r="A191" s="25" t="str">
        <f>IF($C191="","",Registro_Compras!$X$24)</f>
        <v/>
      </c>
      <c r="B191" t="str">
        <f>IF($C191="","","C"&amp;TEXT(INT((ROW()-5)/9)+1,"000")&amp;"-3")</f>
        <v/>
      </c>
      <c r="C191" t="str">
        <f>IF(OR(Registro_Compras!$C$24="",Registro_Compras!$O$24="",Registro_Compras!$R$24&lt;&gt;"SI",Registro_Compras!$X$24=""),"","1041")</f>
        <v/>
      </c>
      <c r="D191" t="str">
        <f>IF(OR(Registro_Compras!$C$24="",Registro_Compras!$O$24=""),"","Efectivo y Equivalentes - Cta. Cte. Operativa")</f>
        <v>Efectivo y Equivalentes - Cta. Cte. Operativa</v>
      </c>
      <c r="E191" s="20" t="str">
        <f>""</f>
        <v/>
      </c>
      <c r="F191" s="20" t="str">
        <f>IF($C191="","",Registro_Compras!$S$24)</f>
        <v/>
      </c>
      <c r="G191" t="str">
        <f>IF($C191="","","Por el deposito de la detraccion en el Banco de la Nacion")</f>
        <v/>
      </c>
      <c r="H191" t="str">
        <f>IF($C191="","",Registro_Compras!$C$24)</f>
        <v/>
      </c>
    </row>
    <row r="192" spans="1:8" x14ac:dyDescent="0.25">
      <c r="A192" s="25" t="str">
        <f>IF($C192="","",Registro_Compras!$Y$24)</f>
        <v/>
      </c>
      <c r="B192" t="str">
        <f>IF($C192="","","C"&amp;TEXT(INT((ROW()-5)/9)+1,"000")&amp;"-4")</f>
        <v/>
      </c>
      <c r="C192" t="str">
        <f>IF(OR(Registro_Compras!$C$24="",Registro_Compras!$O$24="",Registro_Compras!$Y$24="",Registro_Compras!$F$24="NOTA DE CREDITO"),"","4212")</f>
        <v/>
      </c>
      <c r="D192" t="str">
        <f>IF(OR(Registro_Compras!$C$24="",Registro_Compras!$O$24=""),"","Cuentas por Pagar Comerciales - Terceros")</f>
        <v>Cuentas por Pagar Comerciales - Terceros</v>
      </c>
      <c r="E192" s="20" t="str">
        <f>IF($C192="","",IF(Registro_Compras!$F$24="RHE",(ROUND(Registro_Compras!$L$24*Registro_Compras!$N$24,2)-ROUND(Registro_Compras!$V$24*Registro_Compras!$N$24,2)),ROUND(Registro_Compras!$O$24-Registro_Compras!$S$24,2)))</f>
        <v/>
      </c>
      <c r="F192" s="20" t="str">
        <f>""</f>
        <v/>
      </c>
      <c r="G192" t="str">
        <f>IF($C192="","","Por la cancelacion del saldo al proveedor")</f>
        <v/>
      </c>
      <c r="H192" t="str">
        <f>IF($C192="","",Registro_Compras!$C$24)</f>
        <v/>
      </c>
    </row>
    <row r="193" spans="1:8" x14ac:dyDescent="0.25">
      <c r="A193" s="25" t="str">
        <f>IF($C193="","",Registro_Compras!$Y$24)</f>
        <v/>
      </c>
      <c r="B193" t="str">
        <f>IF($C193="","","C"&amp;TEXT(INT((ROW()-5)/9)+1,"000")&amp;"-4")</f>
        <v/>
      </c>
      <c r="C193" t="str">
        <f>IF(OR(Registro_Compras!$C$24="",Registro_Compras!$O$24="",Registro_Compras!$Y$24="",Registro_Compras!$F$24="NOTA DE CREDITO"),"","1041")</f>
        <v/>
      </c>
      <c r="D193" t="str">
        <f>IF(OR(Registro_Compras!$C$24="",Registro_Compras!$O$24=""),"","Efectivo y Equivalentes - Cta. Cte. Operativa")</f>
        <v>Efectivo y Equivalentes - Cta. Cte. Operativa</v>
      </c>
      <c r="E193" s="20" t="str">
        <f>""</f>
        <v/>
      </c>
      <c r="F193" s="20" t="str">
        <f>IF($C193="","",IF(Registro_Compras!$F$24="RHE",(ROUND(Registro_Compras!$L$24*Registro_Compras!$N$24,2)-ROUND(Registro_Compras!$V$24*Registro_Compras!$N$24,2)),ROUND(Registro_Compras!$O$24-Registro_Compras!$S$24,2)))</f>
        <v/>
      </c>
      <c r="G193" t="str">
        <f>IF($C193="","","Por la cancelacion del saldo al proveedor")</f>
        <v/>
      </c>
      <c r="H193" t="str">
        <f>IF($C193="","",Registro_Compras!$C$24)</f>
        <v/>
      </c>
    </row>
    <row r="194" spans="1:8" x14ac:dyDescent="0.25">
      <c r="A194" s="25">
        <f>IF($C194="","",Registro_Compras!$B$25)</f>
        <v>46246</v>
      </c>
      <c r="B194" t="str">
        <f>IF($C194="","","C"&amp;TEXT(INT((ROW()-5)/9)+1,"000")&amp;"-1")</f>
        <v>C022-1</v>
      </c>
      <c r="C194" t="str">
        <f>IF(OR(Registro_Compras!$C$25="",Registro_Compras!$O$25=""),"",IF(Registro_Compras!$F$25="NOTA DE CREDITO","4212",IF(Registro_Compras!$M$25="","63",Registro_Compras!$M$25)))</f>
        <v>639</v>
      </c>
      <c r="D194" t="str">
        <f>IF(OR(Registro_Compras!$C$25="",Registro_Compras!$O$25=""),"",IF(Registro_Compras!$F$25="NOTA DE CREDITO","Cuentas por Pagar Comerciales - Terceros (Emitidas)",IF(Registro_Compras!$F$25="RHE","Honorarios Profesionales - Servicios de Terceros","Gastos de Servicios Prestados por Terceros")))</f>
        <v>Gastos de Servicios Prestados por Terceros</v>
      </c>
      <c r="E194" s="20">
        <f>IF($C194="","",IF(Registro_Compras!$F$25="NOTA DE CREDITO",ABS(Registro_Compras!$O$25),IF(Registro_Compras!$F$25="RHE",ROUND(Registro_Compras!$L$25*Registro_Compras!$N$25,2),ROUND(Registro_Compras!$J$25*Registro_Compras!$N$25,2))))</f>
        <v>205.76</v>
      </c>
      <c r="F194" s="20" t="str">
        <f>""</f>
        <v/>
      </c>
      <c r="G194" t="str">
        <f>IF($C194="","",IF(Registro_Compras!$F$25="NOTA DE CREDITO","Por la nota de credito "&amp;Registro_Compras!$C$25&amp;" de "&amp;Registro_Compras!$E$25&amp;" [PATRON POR CONFIRMAR CON CONTADOR]",IF(Registro_Compras!$F$25="RHE","Por el registro del recibo por honorarios "&amp;Registro_Compras!$C$25&amp;" de "&amp;Registro_Compras!$E$25&amp;" [PATRON POR CONFIRMAR CON CONTADOR]","Por el registro de la factura "&amp;Registro_Compras!$C$25&amp;" de "&amp;Registro_Compras!$E$25)))</f>
        <v>Por el registro de la factura F001-00000737 de PERUVIAN CULTURE TRAVEL AGENCIA DE VIAJES Y TURISMO S.R.L.</v>
      </c>
      <c r="H194" t="str">
        <f>IF($C194="","",Registro_Compras!$C$25)</f>
        <v>F001-00000737</v>
      </c>
    </row>
    <row r="195" spans="1:8" x14ac:dyDescent="0.25">
      <c r="A195" s="25">
        <f>IF($C195="","",Registro_Compras!$B$25)</f>
        <v>46246</v>
      </c>
      <c r="B195" t="str">
        <f>IF($C195="","","C"&amp;TEXT(INT((ROW()-5)/9)+1,"000")&amp;"-1")</f>
        <v>C022-1</v>
      </c>
      <c r="C195" t="str">
        <f>IF(OR(Registro_Compras!$C$25="",Registro_Compras!$O$25=""),"",IF(Registro_Compras!$F$25="RHE",IF(Registro_Compras!$V$25=0,"","4017"),IF(Registro_Compras!$F$25="NOTA DE CREDITO",IF(Registro_Compras!$M$25="","63",Registro_Compras!$M$25),IF(Registro_Compras!$K$25=0,"","40111"))))</f>
        <v>40111</v>
      </c>
      <c r="D195" t="str">
        <f>IF(OR(Registro_Compras!$C$25="",Registro_Compras!$O$25=""),"",IF(Registro_Compras!$F$25="RHE","Retencion Renta 4ta Categoria por Pagar",IF(Registro_Compras!$F$25="NOTA DE CREDITO","Gastos de Servicios Prestados por Terceros","IGV - Cuenta Propia (Credito Fiscal)")))</f>
        <v>IGV - Cuenta Propia (Credito Fiscal)</v>
      </c>
      <c r="E195" s="20">
        <f>IF($C195="","",IF(Registro_Compras!$F$25="FACTURA",ROUND(Registro_Compras!$K$25*Registro_Compras!$N$25,2),""))</f>
        <v>37.020000000000003</v>
      </c>
      <c r="F195" s="20" t="str">
        <f>IF($C195="","",IF(Registro_Compras!$F$25="RHE",ROUND(Registro_Compras!$V$25*Registro_Compras!$N$25,2),IF(Registro_Compras!$F$25="NOTA DE CREDITO",ROUND(ABS(Registro_Compras!$J$25*Registro_Compras!$N$25),2),"")))</f>
        <v/>
      </c>
      <c r="G195" t="str">
        <f>IF($C195="","",IF(Registro_Compras!$F$25="NOTA DE CREDITO","Por la nota de credito "&amp;Registro_Compras!$C$25&amp;" de "&amp;Registro_Compras!$E$25&amp;" [PATRON POR CONFIRMAR CON CONTADOR]",IF(Registro_Compras!$F$25="RHE","Por el registro del recibo por honorarios "&amp;Registro_Compras!$C$25&amp;" de "&amp;Registro_Compras!$E$25&amp;" [PATRON POR CONFIRMAR CON CONTADOR]","Por el registro de la factura "&amp;Registro_Compras!$C$25&amp;" de "&amp;Registro_Compras!$E$25)))</f>
        <v>Por el registro de la factura F001-00000737 de PERUVIAN CULTURE TRAVEL AGENCIA DE VIAJES Y TURISMO S.R.L.</v>
      </c>
      <c r="H195" t="str">
        <f>IF($C195="","",Registro_Compras!$C$25)</f>
        <v>F001-00000737</v>
      </c>
    </row>
    <row r="196" spans="1:8" x14ac:dyDescent="0.25">
      <c r="A196" s="25">
        <f>IF($C196="","",Registro_Compras!$B$25)</f>
        <v>46246</v>
      </c>
      <c r="B196" t="str">
        <f>IF($C196="","","C"&amp;TEXT(INT((ROW()-5)/9)+1,"000")&amp;"-1")</f>
        <v>C022-1</v>
      </c>
      <c r="C196" t="str">
        <f>IF(OR(Registro_Compras!$C$25="",Registro_Compras!$O$25=""),"",IF(Registro_Compras!$F$25="NOTA DE CREDITO",IF(Registro_Compras!$K$25=0,"","40111"),"4212"))</f>
        <v>4212</v>
      </c>
      <c r="D196" t="str">
        <f>IF(OR(Registro_Compras!$C$25="",Registro_Compras!$O$25=""),"",IF(Registro_Compras!$F$25="NOTA DE CREDITO","IGV - Cuenta Propia (Credito Fiscal)","Cuentas por Pagar Comerciales - Terceros (Emitidas)"))</f>
        <v>Cuentas por Pagar Comerciales - Terceros (Emitidas)</v>
      </c>
      <c r="E196" s="20" t="str">
        <f>""</f>
        <v/>
      </c>
      <c r="F196" s="20">
        <f>IF($C196="","",IF(Registro_Compras!$F$25="NOTA DE CREDITO",ROUND(ABS(Registro_Compras!$K$25*Registro_Compras!$N$25),2),IF(Registro_Compras!$F$25="RHE",(ROUND(Registro_Compras!$L$25*Registro_Compras!$N$25,2)-ROUND(Registro_Compras!$V$25*Registro_Compras!$N$25,2)),Registro_Compras!$O$25)))</f>
        <v>242.78</v>
      </c>
      <c r="G196" t="str">
        <f>IF($C196="","",IF(Registro_Compras!$F$25="NOTA DE CREDITO","Por la nota de credito "&amp;Registro_Compras!$C$25&amp;" de "&amp;Registro_Compras!$E$25&amp;" [PATRON POR CONFIRMAR CON CONTADOR]",IF(Registro_Compras!$F$25="RHE","Por el registro del recibo por honorarios "&amp;Registro_Compras!$C$25&amp;" de "&amp;Registro_Compras!$E$25&amp;" [PATRON POR CONFIRMAR CON CONTADOR]","Por el registro de la factura "&amp;Registro_Compras!$C$25&amp;" de "&amp;Registro_Compras!$E$25)))</f>
        <v>Por el registro de la factura F001-00000737 de PERUVIAN CULTURE TRAVEL AGENCIA DE VIAJES Y TURISMO S.R.L.</v>
      </c>
      <c r="H196" t="str">
        <f>IF($C196="","",Registro_Compras!$C$25)</f>
        <v>F001-00000737</v>
      </c>
    </row>
    <row r="197" spans="1:8" x14ac:dyDescent="0.25">
      <c r="A197" s="25">
        <f>IF($C197="","",Registro_Compras!$B$25)</f>
        <v>46246</v>
      </c>
      <c r="B197" t="str">
        <f>IF($C197="","","C"&amp;TEXT(INT((ROW()-5)/9)+1,"000")&amp;"-2")</f>
        <v>C022-2</v>
      </c>
      <c r="C197" t="str">
        <f>IF(OR(Registro_Compras!$C$25="",Registro_Compras!$O$25=""),"",IF(Registro_Compras!$AB$25="ADMINISTRATIVO","94","95"))</f>
        <v>95</v>
      </c>
      <c r="D197" t="str">
        <f>IF(OR(Registro_Compras!$C$25="",Registro_Compras!$O$25=""),"",IF(Registro_Compras!$AB$25="ADMINISTRATIVO","Gastos Administrativos","Gastos de Venta y Operacion"))</f>
        <v>Gastos de Venta y Operacion</v>
      </c>
      <c r="E197" s="20">
        <f>IF($C197="","",IF(Registro_Compras!$F$25="NOTA DE CREDITO","",IF(Registro_Compras!$F$25="RHE",ROUND(Registro_Compras!$L$25*Registro_Compras!$N$25,2),ROUND(Registro_Compras!$J$25*Registro_Compras!$N$25,2))))</f>
        <v>205.76</v>
      </c>
      <c r="F197" s="20" t="str">
        <f>IF($C197="","",IF(Registro_Compras!$F$25="NOTA DE CREDITO",ROUND(ABS(Registro_Compras!$J$25*Registro_Compras!$N$25),2),""))</f>
        <v/>
      </c>
      <c r="G197" t="str">
        <f>IF($C197="","","Por el destino del gasto")</f>
        <v>Por el destino del gasto</v>
      </c>
      <c r="H197" t="str">
        <f>IF($C197="","",Registro_Compras!$C$25)</f>
        <v>F001-00000737</v>
      </c>
    </row>
    <row r="198" spans="1:8" x14ac:dyDescent="0.25">
      <c r="A198" s="25">
        <f>IF($C198="","",Registro_Compras!$B$25)</f>
        <v>46246</v>
      </c>
      <c r="B198" t="str">
        <f>IF($C198="","","C"&amp;TEXT(INT((ROW()-5)/9)+1,"000")&amp;"-2")</f>
        <v>C022-2</v>
      </c>
      <c r="C198" t="str">
        <f>IF(OR(Registro_Compras!$C$25="",Registro_Compras!$O$25=""),"","79/791")</f>
        <v>79/791</v>
      </c>
      <c r="D198" t="str">
        <f>IF(OR(Registro_Compras!$C$25="",Registro_Compras!$O$25=""),"","Cargas Imputables a Cuentas de Costos y Gastos")</f>
        <v>Cargas Imputables a Cuentas de Costos y Gastos</v>
      </c>
      <c r="E198" s="20" t="str">
        <f>IF($C198="","",IF(Registro_Compras!$F$25="NOTA DE CREDITO",ROUND(ABS(Registro_Compras!$J$25*Registro_Compras!$N$25),2),""))</f>
        <v/>
      </c>
      <c r="F198" s="20">
        <f>IF($C198="","",IF(Registro_Compras!$F$25="NOTA DE CREDITO","",IF(Registro_Compras!$F$25="RHE",ROUND(Registro_Compras!$L$25*Registro_Compras!$N$25,2),ROUND(Registro_Compras!$J$25*Registro_Compras!$N$25,2))))</f>
        <v>205.76</v>
      </c>
      <c r="G198" t="str">
        <f>IF($C198="","","Por el destino del gasto")</f>
        <v>Por el destino del gasto</v>
      </c>
      <c r="H198" t="str">
        <f>IF($C198="","",Registro_Compras!$C$25)</f>
        <v>F001-00000737</v>
      </c>
    </row>
    <row r="199" spans="1:8" x14ac:dyDescent="0.25">
      <c r="A199" s="25" t="str">
        <f>IF($C199="","",Registro_Compras!$X$25)</f>
        <v/>
      </c>
      <c r="B199" t="str">
        <f>IF($C199="","","C"&amp;TEXT(INT((ROW()-5)/9)+1,"000")&amp;"-3")</f>
        <v/>
      </c>
      <c r="C199" t="str">
        <f>IF(OR(Registro_Compras!$C$25="",Registro_Compras!$O$25="",Registro_Compras!$R$25&lt;&gt;"SI",Registro_Compras!$X$25=""),"","4212")</f>
        <v/>
      </c>
      <c r="D199" t="str">
        <f>IF(OR(Registro_Compras!$C$25="",Registro_Compras!$O$25=""),"","Cuentas por Pagar Comerciales - Terceros")</f>
        <v>Cuentas por Pagar Comerciales - Terceros</v>
      </c>
      <c r="E199" s="20" t="str">
        <f>IF($C199="","",Registro_Compras!$S$25)</f>
        <v/>
      </c>
      <c r="F199" s="20" t="str">
        <f>""</f>
        <v/>
      </c>
      <c r="G199" t="str">
        <f>IF($C199="","","Por el deposito de la detraccion en el Banco de la Nacion")</f>
        <v/>
      </c>
      <c r="H199" t="str">
        <f>IF($C199="","",Registro_Compras!$C$25)</f>
        <v/>
      </c>
    </row>
    <row r="200" spans="1:8" x14ac:dyDescent="0.25">
      <c r="A200" s="25" t="str">
        <f>IF($C200="","",Registro_Compras!$X$25)</f>
        <v/>
      </c>
      <c r="B200" t="str">
        <f>IF($C200="","","C"&amp;TEXT(INT((ROW()-5)/9)+1,"000")&amp;"-3")</f>
        <v/>
      </c>
      <c r="C200" t="str">
        <f>IF(OR(Registro_Compras!$C$25="",Registro_Compras!$O$25="",Registro_Compras!$R$25&lt;&gt;"SI",Registro_Compras!$X$25=""),"","1041")</f>
        <v/>
      </c>
      <c r="D200" t="str">
        <f>IF(OR(Registro_Compras!$C$25="",Registro_Compras!$O$25=""),"","Efectivo y Equivalentes - Cta. Cte. Operativa")</f>
        <v>Efectivo y Equivalentes - Cta. Cte. Operativa</v>
      </c>
      <c r="E200" s="20" t="str">
        <f>""</f>
        <v/>
      </c>
      <c r="F200" s="20" t="str">
        <f>IF($C200="","",Registro_Compras!$S$25)</f>
        <v/>
      </c>
      <c r="G200" t="str">
        <f>IF($C200="","","Por el deposito de la detraccion en el Banco de la Nacion")</f>
        <v/>
      </c>
      <c r="H200" t="str">
        <f>IF($C200="","",Registro_Compras!$C$25)</f>
        <v/>
      </c>
    </row>
    <row r="201" spans="1:8" x14ac:dyDescent="0.25">
      <c r="A201" s="25" t="str">
        <f>IF($C201="","",Registro_Compras!$Y$25)</f>
        <v/>
      </c>
      <c r="B201" t="str">
        <f>IF($C201="","","C"&amp;TEXT(INT((ROW()-5)/9)+1,"000")&amp;"-4")</f>
        <v/>
      </c>
      <c r="C201" t="str">
        <f>IF(OR(Registro_Compras!$C$25="",Registro_Compras!$O$25="",Registro_Compras!$Y$25="",Registro_Compras!$F$25="NOTA DE CREDITO"),"","4212")</f>
        <v/>
      </c>
      <c r="D201" t="str">
        <f>IF(OR(Registro_Compras!$C$25="",Registro_Compras!$O$25=""),"","Cuentas por Pagar Comerciales - Terceros")</f>
        <v>Cuentas por Pagar Comerciales - Terceros</v>
      </c>
      <c r="E201" s="20" t="str">
        <f>IF($C201="","",IF(Registro_Compras!$F$25="RHE",(ROUND(Registro_Compras!$L$25*Registro_Compras!$N$25,2)-ROUND(Registro_Compras!$V$25*Registro_Compras!$N$25,2)),ROUND(Registro_Compras!$O$25-Registro_Compras!$S$25,2)))</f>
        <v/>
      </c>
      <c r="F201" s="20" t="str">
        <f>""</f>
        <v/>
      </c>
      <c r="G201" t="str">
        <f>IF($C201="","","Por la cancelacion del saldo al proveedor")</f>
        <v/>
      </c>
      <c r="H201" t="str">
        <f>IF($C201="","",Registro_Compras!$C$25)</f>
        <v/>
      </c>
    </row>
    <row r="202" spans="1:8" x14ac:dyDescent="0.25">
      <c r="A202" s="25" t="str">
        <f>IF($C202="","",Registro_Compras!$Y$25)</f>
        <v/>
      </c>
      <c r="B202" t="str">
        <f>IF($C202="","","C"&amp;TEXT(INT((ROW()-5)/9)+1,"000")&amp;"-4")</f>
        <v/>
      </c>
      <c r="C202" t="str">
        <f>IF(OR(Registro_Compras!$C$25="",Registro_Compras!$O$25="",Registro_Compras!$Y$25="",Registro_Compras!$F$25="NOTA DE CREDITO"),"","1041")</f>
        <v/>
      </c>
      <c r="D202" t="str">
        <f>IF(OR(Registro_Compras!$C$25="",Registro_Compras!$O$25=""),"","Efectivo y Equivalentes - Cta. Cte. Operativa")</f>
        <v>Efectivo y Equivalentes - Cta. Cte. Operativa</v>
      </c>
      <c r="E202" s="20" t="str">
        <f>""</f>
        <v/>
      </c>
      <c r="F202" s="20" t="str">
        <f>IF($C202="","",IF(Registro_Compras!$F$25="RHE",(ROUND(Registro_Compras!$L$25*Registro_Compras!$N$25,2)-ROUND(Registro_Compras!$V$25*Registro_Compras!$N$25,2)),ROUND(Registro_Compras!$O$25-Registro_Compras!$S$25,2)))</f>
        <v/>
      </c>
      <c r="G202" t="str">
        <f>IF($C202="","","Por la cancelacion del saldo al proveedor")</f>
        <v/>
      </c>
      <c r="H202" t="str">
        <f>IF($C202="","",Registro_Compras!$C$25)</f>
        <v/>
      </c>
    </row>
    <row r="203" spans="1:8" x14ac:dyDescent="0.25">
      <c r="A203" s="25">
        <f>IF($C203="","",Registro_Compras!$B$26)</f>
        <v>46251</v>
      </c>
      <c r="B203" t="str">
        <f>IF($C203="","","C"&amp;TEXT(INT((ROW()-5)/9)+1,"000")&amp;"-1")</f>
        <v>C023-1</v>
      </c>
      <c r="C203" t="str">
        <f>IF(OR(Registro_Compras!$C$26="",Registro_Compras!$O$26=""),"",IF(Registro_Compras!$F$26="NOTA DE CREDITO","4212",IF(Registro_Compras!$M$26="","63",Registro_Compras!$M$26)))</f>
        <v>632</v>
      </c>
      <c r="D203" t="str">
        <f>IF(OR(Registro_Compras!$C$26="",Registro_Compras!$O$26=""),"",IF(Registro_Compras!$F$26="NOTA DE CREDITO","Cuentas por Pagar Comerciales - Terceros (Emitidas)",IF(Registro_Compras!$F$26="RHE","Honorarios Profesionales - Servicios de Terceros","Gastos de Servicios Prestados por Terceros")))</f>
        <v>Honorarios Profesionales - Servicios de Terceros</v>
      </c>
      <c r="E203" s="20">
        <f>IF($C203="","",IF(Registro_Compras!$F$26="NOTA DE CREDITO",ABS(Registro_Compras!$O$26),IF(Registro_Compras!$F$26="RHE",ROUND(Registro_Compras!$L$26*Registro_Compras!$N$26,2),ROUND(Registro_Compras!$J$26*Registro_Compras!$N$26,2))))</f>
        <v>528.78</v>
      </c>
      <c r="F203" s="20" t="str">
        <f>""</f>
        <v/>
      </c>
      <c r="G203" t="str">
        <f>IF($C203="","",IF(Registro_Compras!$F$26="NOTA DE CREDITO","Por la nota de credito "&amp;Registro_Compras!$C$26&amp;" de "&amp;Registro_Compras!$E$26&amp;" [PATRON POR CONFIRMAR CON CONTADOR]",IF(Registro_Compras!$F$26="RHE","Por el registro del recibo por honorarios "&amp;Registro_Compras!$C$26&amp;" de "&amp;Registro_Compras!$E$26&amp;" [PATRON POR CONFIRMAR CON CONTADOR]","Por el registro de la factura "&amp;Registro_Compras!$C$26&amp;" de "&amp;Registro_Compras!$E$26)))</f>
        <v>Por el registro del recibo por honorarios E001- 504 de SARMIENTO LOPEZ LUIS RONALD [PATRON POR CONFIRMAR CON CONTADOR]</v>
      </c>
      <c r="H203" t="str">
        <f>IF($C203="","",Registro_Compras!$C$26)</f>
        <v>E001- 504</v>
      </c>
    </row>
    <row r="204" spans="1:8" x14ac:dyDescent="0.25">
      <c r="A204" s="25">
        <f>IF($C204="","",Registro_Compras!$B$26)</f>
        <v>46251</v>
      </c>
      <c r="B204" t="str">
        <f>IF($C204="","","C"&amp;TEXT(INT((ROW()-5)/9)+1,"000")&amp;"-1")</f>
        <v>C023-1</v>
      </c>
      <c r="C204" t="str">
        <f>IF(OR(Registro_Compras!$C$26="",Registro_Compras!$O$26=""),"",IF(Registro_Compras!$F$26="RHE",IF(Registro_Compras!$V$26=0,"","4017"),IF(Registro_Compras!$F$26="NOTA DE CREDITO",IF(Registro_Compras!$M$26="","63",Registro_Compras!$M$26),IF(Registro_Compras!$K$26=0,"","40111"))))</f>
        <v>4017</v>
      </c>
      <c r="D204" t="str">
        <f>IF(OR(Registro_Compras!$C$26="",Registro_Compras!$O$26=""),"",IF(Registro_Compras!$F$26="RHE","Retencion Renta 4ta Categoria por Pagar",IF(Registro_Compras!$F$26="NOTA DE CREDITO","Gastos de Servicios Prestados por Terceros","IGV - Cuenta Propia (Credito Fiscal)")))</f>
        <v>Retencion Renta 4ta Categoria por Pagar</v>
      </c>
      <c r="E204" s="20" t="str">
        <f>IF($C204="","",IF(Registro_Compras!$F$26="FACTURA",ROUND(Registro_Compras!$K$26*Registro_Compras!$N$26,2),""))</f>
        <v/>
      </c>
      <c r="F204" s="20">
        <f>IF($C204="","",IF(Registro_Compras!$F$26="RHE",ROUND(Registro_Compras!$V$26*Registro_Compras!$N$26,2),IF(Registro_Compras!$F$26="NOTA DE CREDITO",ROUND(ABS(Registro_Compras!$J$26*Registro_Compras!$N$26),2),"")))</f>
        <v>42.3</v>
      </c>
      <c r="G204" t="str">
        <f>IF($C204="","",IF(Registro_Compras!$F$26="NOTA DE CREDITO","Por la nota de credito "&amp;Registro_Compras!$C$26&amp;" de "&amp;Registro_Compras!$E$26&amp;" [PATRON POR CONFIRMAR CON CONTADOR]",IF(Registro_Compras!$F$26="RHE","Por el registro del recibo por honorarios "&amp;Registro_Compras!$C$26&amp;" de "&amp;Registro_Compras!$E$26&amp;" [PATRON POR CONFIRMAR CON CONTADOR]","Por el registro de la factura "&amp;Registro_Compras!$C$26&amp;" de "&amp;Registro_Compras!$E$26)))</f>
        <v>Por el registro del recibo por honorarios E001- 504 de SARMIENTO LOPEZ LUIS RONALD [PATRON POR CONFIRMAR CON CONTADOR]</v>
      </c>
      <c r="H204" t="str">
        <f>IF($C204="","",Registro_Compras!$C$26)</f>
        <v>E001- 504</v>
      </c>
    </row>
    <row r="205" spans="1:8" x14ac:dyDescent="0.25">
      <c r="A205" s="25">
        <f>IF($C205="","",Registro_Compras!$B$26)</f>
        <v>46251</v>
      </c>
      <c r="B205" t="str">
        <f>IF($C205="","","C"&amp;TEXT(INT((ROW()-5)/9)+1,"000")&amp;"-1")</f>
        <v>C023-1</v>
      </c>
      <c r="C205" t="str">
        <f>IF(OR(Registro_Compras!$C$26="",Registro_Compras!$O$26=""),"",IF(Registro_Compras!$F$26="NOTA DE CREDITO",IF(Registro_Compras!$K$26=0,"","40111"),"4212"))</f>
        <v>4212</v>
      </c>
      <c r="D205" t="str">
        <f>IF(OR(Registro_Compras!$C$26="",Registro_Compras!$O$26=""),"",IF(Registro_Compras!$F$26="NOTA DE CREDITO","IGV - Cuenta Propia (Credito Fiscal)","Cuentas por Pagar Comerciales - Terceros (Emitidas)"))</f>
        <v>Cuentas por Pagar Comerciales - Terceros (Emitidas)</v>
      </c>
      <c r="E205" s="20" t="str">
        <f>""</f>
        <v/>
      </c>
      <c r="F205" s="20">
        <f>IF($C205="","",IF(Registro_Compras!$F$26="NOTA DE CREDITO",ROUND(ABS(Registro_Compras!$K$26*Registro_Compras!$N$26),2),IF(Registro_Compras!$F$26="RHE",(ROUND(Registro_Compras!$L$26*Registro_Compras!$N$26,2)-ROUND(Registro_Compras!$V$26*Registro_Compras!$N$26,2)),Registro_Compras!$O$26)))</f>
        <v>486.47999999999996</v>
      </c>
      <c r="G205" t="str">
        <f>IF($C205="","",IF(Registro_Compras!$F$26="NOTA DE CREDITO","Por la nota de credito "&amp;Registro_Compras!$C$26&amp;" de "&amp;Registro_Compras!$E$26&amp;" [PATRON POR CONFIRMAR CON CONTADOR]",IF(Registro_Compras!$F$26="RHE","Por el registro del recibo por honorarios "&amp;Registro_Compras!$C$26&amp;" de "&amp;Registro_Compras!$E$26&amp;" [PATRON POR CONFIRMAR CON CONTADOR]","Por el registro de la factura "&amp;Registro_Compras!$C$26&amp;" de "&amp;Registro_Compras!$E$26)))</f>
        <v>Por el registro del recibo por honorarios E001- 504 de SARMIENTO LOPEZ LUIS RONALD [PATRON POR CONFIRMAR CON CONTADOR]</v>
      </c>
      <c r="H205" t="str">
        <f>IF($C205="","",Registro_Compras!$C$26)</f>
        <v>E001- 504</v>
      </c>
    </row>
    <row r="206" spans="1:8" x14ac:dyDescent="0.25">
      <c r="A206" s="25">
        <f>IF($C206="","",Registro_Compras!$B$26)</f>
        <v>46251</v>
      </c>
      <c r="B206" t="str">
        <f>IF($C206="","","C"&amp;TEXT(INT((ROW()-5)/9)+1,"000")&amp;"-2")</f>
        <v>C023-2</v>
      </c>
      <c r="C206" t="str">
        <f>IF(OR(Registro_Compras!$C$26="",Registro_Compras!$O$26=""),"",IF(Registro_Compras!$AB$26="ADMINISTRATIVO","94","95"))</f>
        <v>95</v>
      </c>
      <c r="D206" t="str">
        <f>IF(OR(Registro_Compras!$C$26="",Registro_Compras!$O$26=""),"",IF(Registro_Compras!$AB$26="ADMINISTRATIVO","Gastos Administrativos","Gastos de Venta y Operacion"))</f>
        <v>Gastos de Venta y Operacion</v>
      </c>
      <c r="E206" s="20">
        <f>IF($C206="","",IF(Registro_Compras!$F$26="NOTA DE CREDITO","",IF(Registro_Compras!$F$26="RHE",ROUND(Registro_Compras!$L$26*Registro_Compras!$N$26,2),ROUND(Registro_Compras!$J$26*Registro_Compras!$N$26,2))))</f>
        <v>528.78</v>
      </c>
      <c r="F206" s="20" t="str">
        <f>IF($C206="","",IF(Registro_Compras!$F$26="NOTA DE CREDITO",ROUND(ABS(Registro_Compras!$J$26*Registro_Compras!$N$26),2),""))</f>
        <v/>
      </c>
      <c r="G206" t="str">
        <f>IF($C206="","","Por el destino del gasto")</f>
        <v>Por el destino del gasto</v>
      </c>
      <c r="H206" t="str">
        <f>IF($C206="","",Registro_Compras!$C$26)</f>
        <v>E001- 504</v>
      </c>
    </row>
    <row r="207" spans="1:8" x14ac:dyDescent="0.25">
      <c r="A207" s="25">
        <f>IF($C207="","",Registro_Compras!$B$26)</f>
        <v>46251</v>
      </c>
      <c r="B207" t="str">
        <f>IF($C207="","","C"&amp;TEXT(INT((ROW()-5)/9)+1,"000")&amp;"-2")</f>
        <v>C023-2</v>
      </c>
      <c r="C207" t="str">
        <f>IF(OR(Registro_Compras!$C$26="",Registro_Compras!$O$26=""),"","79/791")</f>
        <v>79/791</v>
      </c>
      <c r="D207" t="str">
        <f>IF(OR(Registro_Compras!$C$26="",Registro_Compras!$O$26=""),"","Cargas Imputables a Cuentas de Costos y Gastos")</f>
        <v>Cargas Imputables a Cuentas de Costos y Gastos</v>
      </c>
      <c r="E207" s="20" t="str">
        <f>IF($C207="","",IF(Registro_Compras!$F$26="NOTA DE CREDITO",ROUND(ABS(Registro_Compras!$J$26*Registro_Compras!$N$26),2),""))</f>
        <v/>
      </c>
      <c r="F207" s="20">
        <f>IF($C207="","",IF(Registro_Compras!$F$26="NOTA DE CREDITO","",IF(Registro_Compras!$F$26="RHE",ROUND(Registro_Compras!$L$26*Registro_Compras!$N$26,2),ROUND(Registro_Compras!$J$26*Registro_Compras!$N$26,2))))</f>
        <v>528.78</v>
      </c>
      <c r="G207" t="str">
        <f>IF($C207="","","Por el destino del gasto")</f>
        <v>Por el destino del gasto</v>
      </c>
      <c r="H207" t="str">
        <f>IF($C207="","",Registro_Compras!$C$26)</f>
        <v>E001- 504</v>
      </c>
    </row>
    <row r="208" spans="1:8" x14ac:dyDescent="0.25">
      <c r="A208" s="25" t="str">
        <f>IF($C208="","",Registro_Compras!$X$26)</f>
        <v/>
      </c>
      <c r="B208" t="str">
        <f>IF($C208="","","C"&amp;TEXT(INT((ROW()-5)/9)+1,"000")&amp;"-3")</f>
        <v/>
      </c>
      <c r="C208" t="str">
        <f>IF(OR(Registro_Compras!$C$26="",Registro_Compras!$O$26="",Registro_Compras!$R$26&lt;&gt;"SI",Registro_Compras!$X$26=""),"","4212")</f>
        <v/>
      </c>
      <c r="D208" t="str">
        <f>IF(OR(Registro_Compras!$C$26="",Registro_Compras!$O$26=""),"","Cuentas por Pagar Comerciales - Terceros")</f>
        <v>Cuentas por Pagar Comerciales - Terceros</v>
      </c>
      <c r="E208" s="20" t="str">
        <f>IF($C208="","",Registro_Compras!$S$26)</f>
        <v/>
      </c>
      <c r="F208" s="20" t="str">
        <f>""</f>
        <v/>
      </c>
      <c r="G208" t="str">
        <f>IF($C208="","","Por el deposito de la detraccion en el Banco de la Nacion")</f>
        <v/>
      </c>
      <c r="H208" t="str">
        <f>IF($C208="","",Registro_Compras!$C$26)</f>
        <v/>
      </c>
    </row>
    <row r="209" spans="1:8" x14ac:dyDescent="0.25">
      <c r="A209" s="25" t="str">
        <f>IF($C209="","",Registro_Compras!$X$26)</f>
        <v/>
      </c>
      <c r="B209" t="str">
        <f>IF($C209="","","C"&amp;TEXT(INT((ROW()-5)/9)+1,"000")&amp;"-3")</f>
        <v/>
      </c>
      <c r="C209" t="str">
        <f>IF(OR(Registro_Compras!$C$26="",Registro_Compras!$O$26="",Registro_Compras!$R$26&lt;&gt;"SI",Registro_Compras!$X$26=""),"","1041")</f>
        <v/>
      </c>
      <c r="D209" t="str">
        <f>IF(OR(Registro_Compras!$C$26="",Registro_Compras!$O$26=""),"","Efectivo y Equivalentes - Cta. Cte. Operativa")</f>
        <v>Efectivo y Equivalentes - Cta. Cte. Operativa</v>
      </c>
      <c r="E209" s="20" t="str">
        <f>""</f>
        <v/>
      </c>
      <c r="F209" s="20" t="str">
        <f>IF($C209="","",Registro_Compras!$S$26)</f>
        <v/>
      </c>
      <c r="G209" t="str">
        <f>IF($C209="","","Por el deposito de la detraccion en el Banco de la Nacion")</f>
        <v/>
      </c>
      <c r="H209" t="str">
        <f>IF($C209="","",Registro_Compras!$C$26)</f>
        <v/>
      </c>
    </row>
    <row r="210" spans="1:8" x14ac:dyDescent="0.25">
      <c r="A210" s="25" t="str">
        <f>IF($C210="","",Registro_Compras!$Y$26)</f>
        <v/>
      </c>
      <c r="B210" t="str">
        <f>IF($C210="","","C"&amp;TEXT(INT((ROW()-5)/9)+1,"000")&amp;"-4")</f>
        <v/>
      </c>
      <c r="C210" t="str">
        <f>IF(OR(Registro_Compras!$C$26="",Registro_Compras!$O$26="",Registro_Compras!$Y$26="",Registro_Compras!$F$26="NOTA DE CREDITO"),"","4212")</f>
        <v/>
      </c>
      <c r="D210" t="str">
        <f>IF(OR(Registro_Compras!$C$26="",Registro_Compras!$O$26=""),"","Cuentas por Pagar Comerciales - Terceros")</f>
        <v>Cuentas por Pagar Comerciales - Terceros</v>
      </c>
      <c r="E210" s="20" t="str">
        <f>IF($C210="","",IF(Registro_Compras!$F$26="RHE",(ROUND(Registro_Compras!$L$26*Registro_Compras!$N$26,2)-ROUND(Registro_Compras!$V$26*Registro_Compras!$N$26,2)),ROUND(Registro_Compras!$O$26-Registro_Compras!$S$26,2)))</f>
        <v/>
      </c>
      <c r="F210" s="20" t="str">
        <f>""</f>
        <v/>
      </c>
      <c r="G210" t="str">
        <f>IF($C210="","","Por la cancelacion del saldo al proveedor")</f>
        <v/>
      </c>
      <c r="H210" t="str">
        <f>IF($C210="","",Registro_Compras!$C$26)</f>
        <v/>
      </c>
    </row>
    <row r="211" spans="1:8" x14ac:dyDescent="0.25">
      <c r="A211" s="25" t="str">
        <f>IF($C211="","",Registro_Compras!$Y$26)</f>
        <v/>
      </c>
      <c r="B211" t="str">
        <f>IF($C211="","","C"&amp;TEXT(INT((ROW()-5)/9)+1,"000")&amp;"-4")</f>
        <v/>
      </c>
      <c r="C211" t="str">
        <f>IF(OR(Registro_Compras!$C$26="",Registro_Compras!$O$26="",Registro_Compras!$Y$26="",Registro_Compras!$F$26="NOTA DE CREDITO"),"","1041")</f>
        <v/>
      </c>
      <c r="D211" t="str">
        <f>IF(OR(Registro_Compras!$C$26="",Registro_Compras!$O$26=""),"","Efectivo y Equivalentes - Cta. Cte. Operativa")</f>
        <v>Efectivo y Equivalentes - Cta. Cte. Operativa</v>
      </c>
      <c r="E211" s="20" t="str">
        <f>""</f>
        <v/>
      </c>
      <c r="F211" s="20" t="str">
        <f>IF($C211="","",IF(Registro_Compras!$F$26="RHE",(ROUND(Registro_Compras!$L$26*Registro_Compras!$N$26,2)-ROUND(Registro_Compras!$V$26*Registro_Compras!$N$26,2)),ROUND(Registro_Compras!$O$26-Registro_Compras!$S$26,2)))</f>
        <v/>
      </c>
      <c r="G211" t="str">
        <f>IF($C211="","","Por la cancelacion del saldo al proveedor")</f>
        <v/>
      </c>
      <c r="H211" t="str">
        <f>IF($C211="","",Registro_Compras!$C$26)</f>
        <v/>
      </c>
    </row>
    <row r="212" spans="1:8" x14ac:dyDescent="0.25">
      <c r="A212" s="25">
        <f>IF($C212="","",Registro_Compras!$B$27)</f>
        <v>46242</v>
      </c>
      <c r="B212" t="str">
        <f>IF($C212="","","C"&amp;TEXT(INT((ROW()-5)/9)+1,"000")&amp;"-1")</f>
        <v>C024-1</v>
      </c>
      <c r="C212" t="str">
        <f>IF(OR(Registro_Compras!$C$27="",Registro_Compras!$O$27=""),"",IF(Registro_Compras!$F$27="NOTA DE CREDITO","4212",IF(Registro_Compras!$M$27="","63",Registro_Compras!$M$27)))</f>
        <v>631</v>
      </c>
      <c r="D212" t="str">
        <f>IF(OR(Registro_Compras!$C$27="",Registro_Compras!$O$27=""),"",IF(Registro_Compras!$F$27="NOTA DE CREDITO","Cuentas por Pagar Comerciales - Terceros (Emitidas)",IF(Registro_Compras!$F$27="RHE","Honorarios Profesionales - Servicios de Terceros","Gastos de Servicios Prestados por Terceros")))</f>
        <v>Gastos de Servicios Prestados por Terceros</v>
      </c>
      <c r="E212" s="20">
        <f>IF($C212="","",IF(Registro_Compras!$F$27="NOTA DE CREDITO",ABS(Registro_Compras!$O$27),IF(Registro_Compras!$F$27="RHE",ROUND(Registro_Compras!$L$27*Registro_Compras!$N$27,2),ROUND(Registro_Compras!$J$27*Registro_Compras!$N$27,2))))</f>
        <v>4302.71</v>
      </c>
      <c r="F212" s="20" t="str">
        <f>""</f>
        <v/>
      </c>
      <c r="G212" t="str">
        <f>IF($C212="","",IF(Registro_Compras!$F$27="NOTA DE CREDITO","Por la nota de credito "&amp;Registro_Compras!$C$27&amp;" de "&amp;Registro_Compras!$E$27&amp;" [PATRON POR CONFIRMAR CON CONTADOR]",IF(Registro_Compras!$F$27="RHE","Por el registro del recibo por honorarios "&amp;Registro_Compras!$C$27&amp;" de "&amp;Registro_Compras!$E$27&amp;" [PATRON POR CONFIRMAR CON CONTADOR]","Por el registro de la factura "&amp;Registro_Compras!$C$27&amp;" de "&amp;Registro_Compras!$E$27)))</f>
        <v>Por el registro de la factura E001-1230 de TRANSPORTES TURISTICOS LASER S.A.C.</v>
      </c>
      <c r="H212" t="str">
        <f>IF($C212="","",Registro_Compras!$C$27)</f>
        <v>E001-1230</v>
      </c>
    </row>
    <row r="213" spans="1:8" x14ac:dyDescent="0.25">
      <c r="A213" s="25">
        <f>IF($C213="","",Registro_Compras!$B$27)</f>
        <v>46242</v>
      </c>
      <c r="B213" t="str">
        <f>IF($C213="","","C"&amp;TEXT(INT((ROW()-5)/9)+1,"000")&amp;"-1")</f>
        <v>C024-1</v>
      </c>
      <c r="C213" t="str">
        <f>IF(OR(Registro_Compras!$C$27="",Registro_Compras!$O$27=""),"",IF(Registro_Compras!$F$27="RHE",IF(Registro_Compras!$V$27=0,"","4017"),IF(Registro_Compras!$F$27="NOTA DE CREDITO",IF(Registro_Compras!$M$27="","63",Registro_Compras!$M$27),IF(Registro_Compras!$K$27=0,"","40111"))))</f>
        <v>40111</v>
      </c>
      <c r="D213" t="str">
        <f>IF(OR(Registro_Compras!$C$27="",Registro_Compras!$O$27=""),"",IF(Registro_Compras!$F$27="RHE","Retencion Renta 4ta Categoria por Pagar",IF(Registro_Compras!$F$27="NOTA DE CREDITO","Gastos de Servicios Prestados por Terceros","IGV - Cuenta Propia (Credito Fiscal)")))</f>
        <v>IGV - Cuenta Propia (Credito Fiscal)</v>
      </c>
      <c r="E213" s="20">
        <f>IF($C213="","",IF(Registro_Compras!$F$27="FACTURA",ROUND(Registro_Compras!$K$27*Registro_Compras!$N$27,2),""))</f>
        <v>774.48</v>
      </c>
      <c r="F213" s="20" t="str">
        <f>IF($C213="","",IF(Registro_Compras!$F$27="RHE",ROUND(Registro_Compras!$V$27*Registro_Compras!$N$27,2),IF(Registro_Compras!$F$27="NOTA DE CREDITO",ROUND(ABS(Registro_Compras!$J$27*Registro_Compras!$N$27),2),"")))</f>
        <v/>
      </c>
      <c r="G213" t="str">
        <f>IF($C213="","",IF(Registro_Compras!$F$27="NOTA DE CREDITO","Por la nota de credito "&amp;Registro_Compras!$C$27&amp;" de "&amp;Registro_Compras!$E$27&amp;" [PATRON POR CONFIRMAR CON CONTADOR]",IF(Registro_Compras!$F$27="RHE","Por el registro del recibo por honorarios "&amp;Registro_Compras!$C$27&amp;" de "&amp;Registro_Compras!$E$27&amp;" [PATRON POR CONFIRMAR CON CONTADOR]","Por el registro de la factura "&amp;Registro_Compras!$C$27&amp;" de "&amp;Registro_Compras!$E$27)))</f>
        <v>Por el registro de la factura E001-1230 de TRANSPORTES TURISTICOS LASER S.A.C.</v>
      </c>
      <c r="H213" t="str">
        <f>IF($C213="","",Registro_Compras!$C$27)</f>
        <v>E001-1230</v>
      </c>
    </row>
    <row r="214" spans="1:8" x14ac:dyDescent="0.25">
      <c r="A214" s="25">
        <f>IF($C214="","",Registro_Compras!$B$27)</f>
        <v>46242</v>
      </c>
      <c r="B214" t="str">
        <f>IF($C214="","","C"&amp;TEXT(INT((ROW()-5)/9)+1,"000")&amp;"-1")</f>
        <v>C024-1</v>
      </c>
      <c r="C214" t="str">
        <f>IF(OR(Registro_Compras!$C$27="",Registro_Compras!$O$27=""),"",IF(Registro_Compras!$F$27="NOTA DE CREDITO",IF(Registro_Compras!$K$27=0,"","40111"),"4212"))</f>
        <v>4212</v>
      </c>
      <c r="D214" t="str">
        <f>IF(OR(Registro_Compras!$C$27="",Registro_Compras!$O$27=""),"",IF(Registro_Compras!$F$27="NOTA DE CREDITO","IGV - Cuenta Propia (Credito Fiscal)","Cuentas por Pagar Comerciales - Terceros (Emitidas)"))</f>
        <v>Cuentas por Pagar Comerciales - Terceros (Emitidas)</v>
      </c>
      <c r="E214" s="20" t="str">
        <f>""</f>
        <v/>
      </c>
      <c r="F214" s="20">
        <f>IF($C214="","",IF(Registro_Compras!$F$27="NOTA DE CREDITO",ROUND(ABS(Registro_Compras!$K$27*Registro_Compras!$N$27),2),IF(Registro_Compras!$F$27="RHE",(ROUND(Registro_Compras!$L$27*Registro_Compras!$N$27,2)-ROUND(Registro_Compras!$V$27*Registro_Compras!$N$27,2)),Registro_Compras!$O$27)))</f>
        <v>5077.1900000000005</v>
      </c>
      <c r="G214" t="str">
        <f>IF($C214="","",IF(Registro_Compras!$F$27="NOTA DE CREDITO","Por la nota de credito "&amp;Registro_Compras!$C$27&amp;" de "&amp;Registro_Compras!$E$27&amp;" [PATRON POR CONFIRMAR CON CONTADOR]",IF(Registro_Compras!$F$27="RHE","Por el registro del recibo por honorarios "&amp;Registro_Compras!$C$27&amp;" de "&amp;Registro_Compras!$E$27&amp;" [PATRON POR CONFIRMAR CON CONTADOR]","Por el registro de la factura "&amp;Registro_Compras!$C$27&amp;" de "&amp;Registro_Compras!$E$27)))</f>
        <v>Por el registro de la factura E001-1230 de TRANSPORTES TURISTICOS LASER S.A.C.</v>
      </c>
      <c r="H214" t="str">
        <f>IF($C214="","",Registro_Compras!$C$27)</f>
        <v>E001-1230</v>
      </c>
    </row>
    <row r="215" spans="1:8" x14ac:dyDescent="0.25">
      <c r="A215" s="25">
        <f>IF($C215="","",Registro_Compras!$B$27)</f>
        <v>46242</v>
      </c>
      <c r="B215" t="str">
        <f>IF($C215="","","C"&amp;TEXT(INT((ROW()-5)/9)+1,"000")&amp;"-2")</f>
        <v>C024-2</v>
      </c>
      <c r="C215" t="str">
        <f>IF(OR(Registro_Compras!$C$27="",Registro_Compras!$O$27=""),"",IF(Registro_Compras!$AB$27="ADMINISTRATIVO","94","95"))</f>
        <v>95</v>
      </c>
      <c r="D215" t="str">
        <f>IF(OR(Registro_Compras!$C$27="",Registro_Compras!$O$27=""),"",IF(Registro_Compras!$AB$27="ADMINISTRATIVO","Gastos Administrativos","Gastos de Venta y Operacion"))</f>
        <v>Gastos de Venta y Operacion</v>
      </c>
      <c r="E215" s="20">
        <f>IF($C215="","",IF(Registro_Compras!$F$27="NOTA DE CREDITO","",IF(Registro_Compras!$F$27="RHE",ROUND(Registro_Compras!$L$27*Registro_Compras!$N$27,2),ROUND(Registro_Compras!$J$27*Registro_Compras!$N$27,2))))</f>
        <v>4302.71</v>
      </c>
      <c r="F215" s="20" t="str">
        <f>IF($C215="","",IF(Registro_Compras!$F$27="NOTA DE CREDITO",ROUND(ABS(Registro_Compras!$J$27*Registro_Compras!$N$27),2),""))</f>
        <v/>
      </c>
      <c r="G215" t="str">
        <f>IF($C215="","","Por el destino del gasto")</f>
        <v>Por el destino del gasto</v>
      </c>
      <c r="H215" t="str">
        <f>IF($C215="","",Registro_Compras!$C$27)</f>
        <v>E001-1230</v>
      </c>
    </row>
    <row r="216" spans="1:8" x14ac:dyDescent="0.25">
      <c r="A216" s="25">
        <f>IF($C216="","",Registro_Compras!$B$27)</f>
        <v>46242</v>
      </c>
      <c r="B216" t="str">
        <f>IF($C216="","","C"&amp;TEXT(INT((ROW()-5)/9)+1,"000")&amp;"-2")</f>
        <v>C024-2</v>
      </c>
      <c r="C216" t="str">
        <f>IF(OR(Registro_Compras!$C$27="",Registro_Compras!$O$27=""),"","79/791")</f>
        <v>79/791</v>
      </c>
      <c r="D216" t="str">
        <f>IF(OR(Registro_Compras!$C$27="",Registro_Compras!$O$27=""),"","Cargas Imputables a Cuentas de Costos y Gastos")</f>
        <v>Cargas Imputables a Cuentas de Costos y Gastos</v>
      </c>
      <c r="E216" s="20" t="str">
        <f>IF($C216="","",IF(Registro_Compras!$F$27="NOTA DE CREDITO",ROUND(ABS(Registro_Compras!$J$27*Registro_Compras!$N$27),2),""))</f>
        <v/>
      </c>
      <c r="F216" s="20">
        <f>IF($C216="","",IF(Registro_Compras!$F$27="NOTA DE CREDITO","",IF(Registro_Compras!$F$27="RHE",ROUND(Registro_Compras!$L$27*Registro_Compras!$N$27,2),ROUND(Registro_Compras!$J$27*Registro_Compras!$N$27,2))))</f>
        <v>4302.71</v>
      </c>
      <c r="G216" t="str">
        <f>IF($C216="","","Por el destino del gasto")</f>
        <v>Por el destino del gasto</v>
      </c>
      <c r="H216" t="str">
        <f>IF($C216="","",Registro_Compras!$C$27)</f>
        <v>E001-1230</v>
      </c>
    </row>
    <row r="217" spans="1:8" x14ac:dyDescent="0.25">
      <c r="A217" s="25" t="str">
        <f>IF($C217="","",Registro_Compras!$X$27)</f>
        <v/>
      </c>
      <c r="B217" t="str">
        <f>IF($C217="","","C"&amp;TEXT(INT((ROW()-5)/9)+1,"000")&amp;"-3")</f>
        <v/>
      </c>
      <c r="C217" t="str">
        <f>IF(OR(Registro_Compras!$C$27="",Registro_Compras!$O$27="",Registro_Compras!$R$27&lt;&gt;"SI",Registro_Compras!$X$27=""),"","4212")</f>
        <v/>
      </c>
      <c r="D217" t="str">
        <f>IF(OR(Registro_Compras!$C$27="",Registro_Compras!$O$27=""),"","Cuentas por Pagar Comerciales - Terceros")</f>
        <v>Cuentas por Pagar Comerciales - Terceros</v>
      </c>
      <c r="E217" s="20" t="str">
        <f>IF($C217="","",Registro_Compras!$S$27)</f>
        <v/>
      </c>
      <c r="F217" s="20" t="str">
        <f>""</f>
        <v/>
      </c>
      <c r="G217" t="str">
        <f>IF($C217="","","Por el deposito de la detraccion en el Banco de la Nacion")</f>
        <v/>
      </c>
      <c r="H217" t="str">
        <f>IF($C217="","",Registro_Compras!$C$27)</f>
        <v/>
      </c>
    </row>
    <row r="218" spans="1:8" x14ac:dyDescent="0.25">
      <c r="A218" s="25" t="str">
        <f>IF($C218="","",Registro_Compras!$X$27)</f>
        <v/>
      </c>
      <c r="B218" t="str">
        <f>IF($C218="","","C"&amp;TEXT(INT((ROW()-5)/9)+1,"000")&amp;"-3")</f>
        <v/>
      </c>
      <c r="C218" t="str">
        <f>IF(OR(Registro_Compras!$C$27="",Registro_Compras!$O$27="",Registro_Compras!$R$27&lt;&gt;"SI",Registro_Compras!$X$27=""),"","1041")</f>
        <v/>
      </c>
      <c r="D218" t="str">
        <f>IF(OR(Registro_Compras!$C$27="",Registro_Compras!$O$27=""),"","Efectivo y Equivalentes - Cta. Cte. Operativa")</f>
        <v>Efectivo y Equivalentes - Cta. Cte. Operativa</v>
      </c>
      <c r="E218" s="20" t="str">
        <f>""</f>
        <v/>
      </c>
      <c r="F218" s="20" t="str">
        <f>IF($C218="","",Registro_Compras!$S$27)</f>
        <v/>
      </c>
      <c r="G218" t="str">
        <f>IF($C218="","","Por el deposito de la detraccion en el Banco de la Nacion")</f>
        <v/>
      </c>
      <c r="H218" t="str">
        <f>IF($C218="","",Registro_Compras!$C$27)</f>
        <v/>
      </c>
    </row>
    <row r="219" spans="1:8" x14ac:dyDescent="0.25">
      <c r="A219" s="25" t="str">
        <f>IF($C219="","",Registro_Compras!$Y$27)</f>
        <v/>
      </c>
      <c r="B219" t="str">
        <f>IF($C219="","","C"&amp;TEXT(INT((ROW()-5)/9)+1,"000")&amp;"-4")</f>
        <v/>
      </c>
      <c r="C219" t="str">
        <f>IF(OR(Registro_Compras!$C$27="",Registro_Compras!$O$27="",Registro_Compras!$Y$27="",Registro_Compras!$F$27="NOTA DE CREDITO"),"","4212")</f>
        <v/>
      </c>
      <c r="D219" t="str">
        <f>IF(OR(Registro_Compras!$C$27="",Registro_Compras!$O$27=""),"","Cuentas por Pagar Comerciales - Terceros")</f>
        <v>Cuentas por Pagar Comerciales - Terceros</v>
      </c>
      <c r="E219" s="20" t="str">
        <f>IF($C219="","",IF(Registro_Compras!$F$27="RHE",(ROUND(Registro_Compras!$L$27*Registro_Compras!$N$27,2)-ROUND(Registro_Compras!$V$27*Registro_Compras!$N$27,2)),ROUND(Registro_Compras!$O$27-Registro_Compras!$S$27,2)))</f>
        <v/>
      </c>
      <c r="F219" s="20" t="str">
        <f>""</f>
        <v/>
      </c>
      <c r="G219" t="str">
        <f>IF($C219="","","Por la cancelacion del saldo al proveedor")</f>
        <v/>
      </c>
      <c r="H219" t="str">
        <f>IF($C219="","",Registro_Compras!$C$27)</f>
        <v/>
      </c>
    </row>
    <row r="220" spans="1:8" x14ac:dyDescent="0.25">
      <c r="A220" s="25" t="str">
        <f>IF($C220="","",Registro_Compras!$Y$27)</f>
        <v/>
      </c>
      <c r="B220" t="str">
        <f>IF($C220="","","C"&amp;TEXT(INT((ROW()-5)/9)+1,"000")&amp;"-4")</f>
        <v/>
      </c>
      <c r="C220" t="str">
        <f>IF(OR(Registro_Compras!$C$27="",Registro_Compras!$O$27="",Registro_Compras!$Y$27="",Registro_Compras!$F$27="NOTA DE CREDITO"),"","1041")</f>
        <v/>
      </c>
      <c r="D220" t="str">
        <f>IF(OR(Registro_Compras!$C$27="",Registro_Compras!$O$27=""),"","Efectivo y Equivalentes - Cta. Cte. Operativa")</f>
        <v>Efectivo y Equivalentes - Cta. Cte. Operativa</v>
      </c>
      <c r="E220" s="20" t="str">
        <f>""</f>
        <v/>
      </c>
      <c r="F220" s="20" t="str">
        <f>IF($C220="","",IF(Registro_Compras!$F$27="RHE",(ROUND(Registro_Compras!$L$27*Registro_Compras!$N$27,2)-ROUND(Registro_Compras!$V$27*Registro_Compras!$N$27,2)),ROUND(Registro_Compras!$O$27-Registro_Compras!$S$27,2)))</f>
        <v/>
      </c>
      <c r="G220" t="str">
        <f>IF($C220="","","Por la cancelacion del saldo al proveedor")</f>
        <v/>
      </c>
      <c r="H220" t="str">
        <f>IF($C220="","",Registro_Compras!$C$27)</f>
        <v/>
      </c>
    </row>
    <row r="221" spans="1:8" x14ac:dyDescent="0.25">
      <c r="A221" s="25">
        <f>IF($C221="","",Registro_Compras!$B$28)</f>
        <v>46242</v>
      </c>
      <c r="B221" t="str">
        <f>IF($C221="","","C"&amp;TEXT(INT((ROW()-5)/9)+1,"000")&amp;"-1")</f>
        <v>C025-1</v>
      </c>
      <c r="C221" t="str">
        <f>IF(OR(Registro_Compras!$C$28="",Registro_Compras!$O$28=""),"",IF(Registro_Compras!$F$28="NOTA DE CREDITO","4212",IF(Registro_Compras!$M$28="","63",Registro_Compras!$M$28)))</f>
        <v>639</v>
      </c>
      <c r="D221" t="str">
        <f>IF(OR(Registro_Compras!$C$28="",Registro_Compras!$O$28=""),"",IF(Registro_Compras!$F$28="NOTA DE CREDITO","Cuentas por Pagar Comerciales - Terceros (Emitidas)",IF(Registro_Compras!$F$28="RHE","Honorarios Profesionales - Servicios de Terceros","Gastos de Servicios Prestados por Terceros")))</f>
        <v>Gastos de Servicios Prestados por Terceros</v>
      </c>
      <c r="E221" s="20">
        <f>IF($C221="","",IF(Registro_Compras!$F$28="NOTA DE CREDITO",ABS(Registro_Compras!$O$28),IF(Registro_Compras!$F$28="RHE",ROUND(Registro_Compras!$L$28*Registro_Compras!$N$28,2),ROUND(Registro_Compras!$J$28*Registro_Compras!$N$28,2))))</f>
        <v>839.74</v>
      </c>
      <c r="F221" s="20" t="str">
        <f>""</f>
        <v/>
      </c>
      <c r="G221" t="str">
        <f>IF($C221="","",IF(Registro_Compras!$F$28="NOTA DE CREDITO","Por la nota de credito "&amp;Registro_Compras!$C$28&amp;" de "&amp;Registro_Compras!$E$28&amp;" [PATRON POR CONFIRMAR CON CONTADOR]",IF(Registro_Compras!$F$28="RHE","Por el registro del recibo por honorarios "&amp;Registro_Compras!$C$28&amp;" de "&amp;Registro_Compras!$E$28&amp;" [PATRON POR CONFIRMAR CON CONTADOR]","Por el registro de la factura "&amp;Registro_Compras!$C$28&amp;" de "&amp;Registro_Compras!$E$28)))</f>
        <v>Por el registro de la factura E001-1881 de CAMPING TOURS E.I.R.LTDA</v>
      </c>
      <c r="H221" t="str">
        <f>IF($C221="","",Registro_Compras!$C$28)</f>
        <v>E001-1881</v>
      </c>
    </row>
    <row r="222" spans="1:8" x14ac:dyDescent="0.25">
      <c r="A222" s="25">
        <f>IF($C222="","",Registro_Compras!$B$28)</f>
        <v>46242</v>
      </c>
      <c r="B222" t="str">
        <f>IF($C222="","","C"&amp;TEXT(INT((ROW()-5)/9)+1,"000")&amp;"-1")</f>
        <v>C025-1</v>
      </c>
      <c r="C222" t="str">
        <f>IF(OR(Registro_Compras!$C$28="",Registro_Compras!$O$28=""),"",IF(Registro_Compras!$F$28="RHE",IF(Registro_Compras!$V$28=0,"","4017"),IF(Registro_Compras!$F$28="NOTA DE CREDITO",IF(Registro_Compras!$M$28="","63",Registro_Compras!$M$28),IF(Registro_Compras!$K$28=0,"","40111"))))</f>
        <v>40111</v>
      </c>
      <c r="D222" t="str">
        <f>IF(OR(Registro_Compras!$C$28="",Registro_Compras!$O$28=""),"",IF(Registro_Compras!$F$28="RHE","Retencion Renta 4ta Categoria por Pagar",IF(Registro_Compras!$F$28="NOTA DE CREDITO","Gastos de Servicios Prestados por Terceros","IGV - Cuenta Propia (Credito Fiscal)")))</f>
        <v>IGV - Cuenta Propia (Credito Fiscal)</v>
      </c>
      <c r="E222" s="20">
        <f>IF($C222="","",IF(Registro_Compras!$F$28="FACTURA",ROUND(Registro_Compras!$K$28*Registro_Compras!$N$28,2),""))</f>
        <v>151.13</v>
      </c>
      <c r="F222" s="20" t="str">
        <f>IF($C222="","",IF(Registro_Compras!$F$28="RHE",ROUND(Registro_Compras!$V$28*Registro_Compras!$N$28,2),IF(Registro_Compras!$F$28="NOTA DE CREDITO",ROUND(ABS(Registro_Compras!$J$28*Registro_Compras!$N$28),2),"")))</f>
        <v/>
      </c>
      <c r="G222" t="str">
        <f>IF($C222="","",IF(Registro_Compras!$F$28="NOTA DE CREDITO","Por la nota de credito "&amp;Registro_Compras!$C$28&amp;" de "&amp;Registro_Compras!$E$28&amp;" [PATRON POR CONFIRMAR CON CONTADOR]",IF(Registro_Compras!$F$28="RHE","Por el registro del recibo por honorarios "&amp;Registro_Compras!$C$28&amp;" de "&amp;Registro_Compras!$E$28&amp;" [PATRON POR CONFIRMAR CON CONTADOR]","Por el registro de la factura "&amp;Registro_Compras!$C$28&amp;" de "&amp;Registro_Compras!$E$28)))</f>
        <v>Por el registro de la factura E001-1881 de CAMPING TOURS E.I.R.LTDA</v>
      </c>
      <c r="H222" t="str">
        <f>IF($C222="","",Registro_Compras!$C$28)</f>
        <v>E001-1881</v>
      </c>
    </row>
    <row r="223" spans="1:8" x14ac:dyDescent="0.25">
      <c r="A223" s="25">
        <f>IF($C223="","",Registro_Compras!$B$28)</f>
        <v>46242</v>
      </c>
      <c r="B223" t="str">
        <f>IF($C223="","","C"&amp;TEXT(INT((ROW()-5)/9)+1,"000")&amp;"-1")</f>
        <v>C025-1</v>
      </c>
      <c r="C223" t="str">
        <f>IF(OR(Registro_Compras!$C$28="",Registro_Compras!$O$28=""),"",IF(Registro_Compras!$F$28="NOTA DE CREDITO",IF(Registro_Compras!$K$28=0,"","40111"),"4212"))</f>
        <v>4212</v>
      </c>
      <c r="D223" t="str">
        <f>IF(OR(Registro_Compras!$C$28="",Registro_Compras!$O$28=""),"",IF(Registro_Compras!$F$28="NOTA DE CREDITO","IGV - Cuenta Propia (Credito Fiscal)","Cuentas por Pagar Comerciales - Terceros (Emitidas)"))</f>
        <v>Cuentas por Pagar Comerciales - Terceros (Emitidas)</v>
      </c>
      <c r="E223" s="20" t="str">
        <f>""</f>
        <v/>
      </c>
      <c r="F223" s="20">
        <f>IF($C223="","",IF(Registro_Compras!$F$28="NOTA DE CREDITO",ROUND(ABS(Registro_Compras!$K$28*Registro_Compras!$N$28),2),IF(Registro_Compras!$F$28="RHE",(ROUND(Registro_Compras!$L$28*Registro_Compras!$N$28,2)-ROUND(Registro_Compras!$V$28*Registro_Compras!$N$28,2)),Registro_Compras!$O$28)))</f>
        <v>990.87</v>
      </c>
      <c r="G223" t="str">
        <f>IF($C223="","",IF(Registro_Compras!$F$28="NOTA DE CREDITO","Por la nota de credito "&amp;Registro_Compras!$C$28&amp;" de "&amp;Registro_Compras!$E$28&amp;" [PATRON POR CONFIRMAR CON CONTADOR]",IF(Registro_Compras!$F$28="RHE","Por el registro del recibo por honorarios "&amp;Registro_Compras!$C$28&amp;" de "&amp;Registro_Compras!$E$28&amp;" [PATRON POR CONFIRMAR CON CONTADOR]","Por el registro de la factura "&amp;Registro_Compras!$C$28&amp;" de "&amp;Registro_Compras!$E$28)))</f>
        <v>Por el registro de la factura E001-1881 de CAMPING TOURS E.I.R.LTDA</v>
      </c>
      <c r="H223" t="str">
        <f>IF($C223="","",Registro_Compras!$C$28)</f>
        <v>E001-1881</v>
      </c>
    </row>
    <row r="224" spans="1:8" x14ac:dyDescent="0.25">
      <c r="A224" s="25">
        <f>IF($C224="","",Registro_Compras!$B$28)</f>
        <v>46242</v>
      </c>
      <c r="B224" t="str">
        <f>IF($C224="","","C"&amp;TEXT(INT((ROW()-5)/9)+1,"000")&amp;"-2")</f>
        <v>C025-2</v>
      </c>
      <c r="C224" t="str">
        <f>IF(OR(Registro_Compras!$C$28="",Registro_Compras!$O$28=""),"",IF(Registro_Compras!$AB$28="ADMINISTRATIVO","94","95"))</f>
        <v>95</v>
      </c>
      <c r="D224" t="str">
        <f>IF(OR(Registro_Compras!$C$28="",Registro_Compras!$O$28=""),"",IF(Registro_Compras!$AB$28="ADMINISTRATIVO","Gastos Administrativos","Gastos de Venta y Operacion"))</f>
        <v>Gastos de Venta y Operacion</v>
      </c>
      <c r="E224" s="20">
        <f>IF($C224="","",IF(Registro_Compras!$F$28="NOTA DE CREDITO","",IF(Registro_Compras!$F$28="RHE",ROUND(Registro_Compras!$L$28*Registro_Compras!$N$28,2),ROUND(Registro_Compras!$J$28*Registro_Compras!$N$28,2))))</f>
        <v>839.74</v>
      </c>
      <c r="F224" s="20" t="str">
        <f>IF($C224="","",IF(Registro_Compras!$F$28="NOTA DE CREDITO",ROUND(ABS(Registro_Compras!$J$28*Registro_Compras!$N$28),2),""))</f>
        <v/>
      </c>
      <c r="G224" t="str">
        <f>IF($C224="","","Por el destino del gasto")</f>
        <v>Por el destino del gasto</v>
      </c>
      <c r="H224" t="str">
        <f>IF($C224="","",Registro_Compras!$C$28)</f>
        <v>E001-1881</v>
      </c>
    </row>
    <row r="225" spans="1:8" x14ac:dyDescent="0.25">
      <c r="A225" s="25">
        <f>IF($C225="","",Registro_Compras!$B$28)</f>
        <v>46242</v>
      </c>
      <c r="B225" t="str">
        <f>IF($C225="","","C"&amp;TEXT(INT((ROW()-5)/9)+1,"000")&amp;"-2")</f>
        <v>C025-2</v>
      </c>
      <c r="C225" t="str">
        <f>IF(OR(Registro_Compras!$C$28="",Registro_Compras!$O$28=""),"","79/791")</f>
        <v>79/791</v>
      </c>
      <c r="D225" t="str">
        <f>IF(OR(Registro_Compras!$C$28="",Registro_Compras!$O$28=""),"","Cargas Imputables a Cuentas de Costos y Gastos")</f>
        <v>Cargas Imputables a Cuentas de Costos y Gastos</v>
      </c>
      <c r="E225" s="20" t="str">
        <f>IF($C225="","",IF(Registro_Compras!$F$28="NOTA DE CREDITO",ROUND(ABS(Registro_Compras!$J$28*Registro_Compras!$N$28),2),""))</f>
        <v/>
      </c>
      <c r="F225" s="20">
        <f>IF($C225="","",IF(Registro_Compras!$F$28="NOTA DE CREDITO","",IF(Registro_Compras!$F$28="RHE",ROUND(Registro_Compras!$L$28*Registro_Compras!$N$28,2),ROUND(Registro_Compras!$J$28*Registro_Compras!$N$28,2))))</f>
        <v>839.74</v>
      </c>
      <c r="G225" t="str">
        <f>IF($C225="","","Por el destino del gasto")</f>
        <v>Por el destino del gasto</v>
      </c>
      <c r="H225" t="str">
        <f>IF($C225="","",Registro_Compras!$C$28)</f>
        <v>E001-1881</v>
      </c>
    </row>
    <row r="226" spans="1:8" x14ac:dyDescent="0.25">
      <c r="A226" s="25" t="str">
        <f>IF($C226="","",Registro_Compras!$X$28)</f>
        <v/>
      </c>
      <c r="B226" t="str">
        <f>IF($C226="","","C"&amp;TEXT(INT((ROW()-5)/9)+1,"000")&amp;"-3")</f>
        <v/>
      </c>
      <c r="C226" t="str">
        <f>IF(OR(Registro_Compras!$C$28="",Registro_Compras!$O$28="",Registro_Compras!$R$28&lt;&gt;"SI",Registro_Compras!$X$28=""),"","4212")</f>
        <v/>
      </c>
      <c r="D226" t="str">
        <f>IF(OR(Registro_Compras!$C$28="",Registro_Compras!$O$28=""),"","Cuentas por Pagar Comerciales - Terceros")</f>
        <v>Cuentas por Pagar Comerciales - Terceros</v>
      </c>
      <c r="E226" s="20" t="str">
        <f>IF($C226="","",Registro_Compras!$S$28)</f>
        <v/>
      </c>
      <c r="F226" s="20" t="str">
        <f>""</f>
        <v/>
      </c>
      <c r="G226" t="str">
        <f>IF($C226="","","Por el deposito de la detraccion en el Banco de la Nacion")</f>
        <v/>
      </c>
      <c r="H226" t="str">
        <f>IF($C226="","",Registro_Compras!$C$28)</f>
        <v/>
      </c>
    </row>
    <row r="227" spans="1:8" x14ac:dyDescent="0.25">
      <c r="A227" s="25" t="str">
        <f>IF($C227="","",Registro_Compras!$X$28)</f>
        <v/>
      </c>
      <c r="B227" t="str">
        <f>IF($C227="","","C"&amp;TEXT(INT((ROW()-5)/9)+1,"000")&amp;"-3")</f>
        <v/>
      </c>
      <c r="C227" t="str">
        <f>IF(OR(Registro_Compras!$C$28="",Registro_Compras!$O$28="",Registro_Compras!$R$28&lt;&gt;"SI",Registro_Compras!$X$28=""),"","1041")</f>
        <v/>
      </c>
      <c r="D227" t="str">
        <f>IF(OR(Registro_Compras!$C$28="",Registro_Compras!$O$28=""),"","Efectivo y Equivalentes - Cta. Cte. Operativa")</f>
        <v>Efectivo y Equivalentes - Cta. Cte. Operativa</v>
      </c>
      <c r="E227" s="20" t="str">
        <f>""</f>
        <v/>
      </c>
      <c r="F227" s="20" t="str">
        <f>IF($C227="","",Registro_Compras!$S$28)</f>
        <v/>
      </c>
      <c r="G227" t="str">
        <f>IF($C227="","","Por el deposito de la detraccion en el Banco de la Nacion")</f>
        <v/>
      </c>
      <c r="H227" t="str">
        <f>IF($C227="","",Registro_Compras!$C$28)</f>
        <v/>
      </c>
    </row>
    <row r="228" spans="1:8" x14ac:dyDescent="0.25">
      <c r="A228" s="25" t="str">
        <f>IF($C228="","",Registro_Compras!$Y$28)</f>
        <v/>
      </c>
      <c r="B228" t="str">
        <f>IF($C228="","","C"&amp;TEXT(INT((ROW()-5)/9)+1,"000")&amp;"-4")</f>
        <v/>
      </c>
      <c r="C228" t="str">
        <f>IF(OR(Registro_Compras!$C$28="",Registro_Compras!$O$28="",Registro_Compras!$Y$28="",Registro_Compras!$F$28="NOTA DE CREDITO"),"","4212")</f>
        <v/>
      </c>
      <c r="D228" t="str">
        <f>IF(OR(Registro_Compras!$C$28="",Registro_Compras!$O$28=""),"","Cuentas por Pagar Comerciales - Terceros")</f>
        <v>Cuentas por Pagar Comerciales - Terceros</v>
      </c>
      <c r="E228" s="20" t="str">
        <f>IF($C228="","",IF(Registro_Compras!$F$28="RHE",(ROUND(Registro_Compras!$L$28*Registro_Compras!$N$28,2)-ROUND(Registro_Compras!$V$28*Registro_Compras!$N$28,2)),ROUND(Registro_Compras!$O$28-Registro_Compras!$S$28,2)))</f>
        <v/>
      </c>
      <c r="F228" s="20" t="str">
        <f>""</f>
        <v/>
      </c>
      <c r="G228" t="str">
        <f>IF($C228="","","Por la cancelacion del saldo al proveedor")</f>
        <v/>
      </c>
      <c r="H228" t="str">
        <f>IF($C228="","",Registro_Compras!$C$28)</f>
        <v/>
      </c>
    </row>
    <row r="229" spans="1:8" x14ac:dyDescent="0.25">
      <c r="A229" s="25" t="str">
        <f>IF($C229="","",Registro_Compras!$Y$28)</f>
        <v/>
      </c>
      <c r="B229" t="str">
        <f>IF($C229="","","C"&amp;TEXT(INT((ROW()-5)/9)+1,"000")&amp;"-4")</f>
        <v/>
      </c>
      <c r="C229" t="str">
        <f>IF(OR(Registro_Compras!$C$28="",Registro_Compras!$O$28="",Registro_Compras!$Y$28="",Registro_Compras!$F$28="NOTA DE CREDITO"),"","1041")</f>
        <v/>
      </c>
      <c r="D229" t="str">
        <f>IF(OR(Registro_Compras!$C$28="",Registro_Compras!$O$28=""),"","Efectivo y Equivalentes - Cta. Cte. Operativa")</f>
        <v>Efectivo y Equivalentes - Cta. Cte. Operativa</v>
      </c>
      <c r="E229" s="20" t="str">
        <f>""</f>
        <v/>
      </c>
      <c r="F229" s="20" t="str">
        <f>IF($C229="","",IF(Registro_Compras!$F$28="RHE",(ROUND(Registro_Compras!$L$28*Registro_Compras!$N$28,2)-ROUND(Registro_Compras!$V$28*Registro_Compras!$N$28,2)),ROUND(Registro_Compras!$O$28-Registro_Compras!$S$28,2)))</f>
        <v/>
      </c>
      <c r="G229" t="str">
        <f>IF($C229="","","Por la cancelacion del saldo al proveedor")</f>
        <v/>
      </c>
      <c r="H229" t="str">
        <f>IF($C229="","",Registro_Compras!$C$28)</f>
        <v/>
      </c>
    </row>
    <row r="230" spans="1:8" x14ac:dyDescent="0.25">
      <c r="A230" s="25">
        <f>IF($C230="","",Registro_Compras!$B$29)</f>
        <v>46252</v>
      </c>
      <c r="B230" t="str">
        <f>IF($C230="","","C"&amp;TEXT(INT((ROW()-5)/9)+1,"000")&amp;"-1")</f>
        <v>C026-1</v>
      </c>
      <c r="C230" t="str">
        <f>IF(OR(Registro_Compras!$C$29="",Registro_Compras!$O$29=""),"",IF(Registro_Compras!$F$29="NOTA DE CREDITO","4212",IF(Registro_Compras!$M$29="","63",Registro_Compras!$M$29)))</f>
        <v>639</v>
      </c>
      <c r="D230" t="str">
        <f>IF(OR(Registro_Compras!$C$29="",Registro_Compras!$O$29=""),"",IF(Registro_Compras!$F$29="NOTA DE CREDITO","Cuentas por Pagar Comerciales - Terceros (Emitidas)",IF(Registro_Compras!$F$29="RHE","Honorarios Profesionales - Servicios de Terceros","Gastos de Servicios Prestados por Terceros")))</f>
        <v>Gastos de Servicios Prestados por Terceros</v>
      </c>
      <c r="E230" s="20">
        <f>IF($C230="","",IF(Registro_Compras!$F$29="NOTA DE CREDITO",ABS(Registro_Compras!$O$29),IF(Registro_Compras!$F$29="RHE",ROUND(Registro_Compras!$L$29*Registro_Compras!$N$29,2),ROUND(Registro_Compras!$J$29*Registro_Compras!$N$29,2))))</f>
        <v>923.38</v>
      </c>
      <c r="F230" s="20" t="str">
        <f>""</f>
        <v/>
      </c>
      <c r="G230" t="str">
        <f>IF($C230="","",IF(Registro_Compras!$F$29="NOTA DE CREDITO","Por la nota de credito "&amp;Registro_Compras!$C$29&amp;" de "&amp;Registro_Compras!$E$29&amp;" [PATRON POR CONFIRMAR CON CONTADOR]",IF(Registro_Compras!$F$29="RHE","Por el registro del recibo por honorarios "&amp;Registro_Compras!$C$29&amp;" de "&amp;Registro_Compras!$E$29&amp;" [PATRON POR CONFIRMAR CON CONTADOR]","Por el registro de la factura "&amp;Registro_Compras!$C$29&amp;" de "&amp;Registro_Compras!$E$29)))</f>
        <v>Por el registro de la factura F078-00047775 de NESSUS HOTELES PERU S.A. (Casa Andina Select Arequipa)</v>
      </c>
      <c r="H230" t="str">
        <f>IF($C230="","",Registro_Compras!$C$29)</f>
        <v>F078-00047775</v>
      </c>
    </row>
    <row r="231" spans="1:8" x14ac:dyDescent="0.25">
      <c r="A231" s="25" t="str">
        <f>IF($C231="","",Registro_Compras!$B$29)</f>
        <v/>
      </c>
      <c r="B231" t="str">
        <f>IF($C231="","","C"&amp;TEXT(INT((ROW()-5)/9)+1,"000")&amp;"-1")</f>
        <v/>
      </c>
      <c r="C231" t="str">
        <f>IF(OR(Registro_Compras!$C$29="",Registro_Compras!$O$29=""),"",IF(Registro_Compras!$F$29="RHE",IF(Registro_Compras!$V$29=0,"","4017"),IF(Registro_Compras!$F$29="NOTA DE CREDITO",IF(Registro_Compras!$M$29="","63",Registro_Compras!$M$29),IF(Registro_Compras!$K$29=0,"","40111"))))</f>
        <v/>
      </c>
      <c r="D231" t="str">
        <f>IF(OR(Registro_Compras!$C$29="",Registro_Compras!$O$29=""),"",IF(Registro_Compras!$F$29="RHE","Retencion Renta 4ta Categoria por Pagar",IF(Registro_Compras!$F$29="NOTA DE CREDITO","Gastos de Servicios Prestados por Terceros","IGV - Cuenta Propia (Credito Fiscal)")))</f>
        <v>IGV - Cuenta Propia (Credito Fiscal)</v>
      </c>
      <c r="E231" s="20" t="str">
        <f>IF($C231="","",IF(Registro_Compras!$F$29="FACTURA",ROUND(Registro_Compras!$K$29*Registro_Compras!$N$29,2),""))</f>
        <v/>
      </c>
      <c r="F231" s="20" t="str">
        <f>IF($C231="","",IF(Registro_Compras!$F$29="RHE",ROUND(Registro_Compras!$V$29*Registro_Compras!$N$29,2),IF(Registro_Compras!$F$29="NOTA DE CREDITO",ROUND(ABS(Registro_Compras!$J$29*Registro_Compras!$N$29),2),"")))</f>
        <v/>
      </c>
      <c r="G231" t="str">
        <f>IF($C231="","",IF(Registro_Compras!$F$29="NOTA DE CREDITO","Por la nota de credito "&amp;Registro_Compras!$C$29&amp;" de "&amp;Registro_Compras!$E$29&amp;" [PATRON POR CONFIRMAR CON CONTADOR]",IF(Registro_Compras!$F$29="RHE","Por el registro del recibo por honorarios "&amp;Registro_Compras!$C$29&amp;" de "&amp;Registro_Compras!$E$29&amp;" [PATRON POR CONFIRMAR CON CONTADOR]","Por el registro de la factura "&amp;Registro_Compras!$C$29&amp;" de "&amp;Registro_Compras!$E$29)))</f>
        <v/>
      </c>
      <c r="H231" t="str">
        <f>IF($C231="","",Registro_Compras!$C$29)</f>
        <v/>
      </c>
    </row>
    <row r="232" spans="1:8" x14ac:dyDescent="0.25">
      <c r="A232" s="25">
        <f>IF($C232="","",Registro_Compras!$B$29)</f>
        <v>46252</v>
      </c>
      <c r="B232" t="str">
        <f>IF($C232="","","C"&amp;TEXT(INT((ROW()-5)/9)+1,"000")&amp;"-1")</f>
        <v>C026-1</v>
      </c>
      <c r="C232" t="str">
        <f>IF(OR(Registro_Compras!$C$29="",Registro_Compras!$O$29=""),"",IF(Registro_Compras!$F$29="NOTA DE CREDITO",IF(Registro_Compras!$K$29=0,"","40111"),"4212"))</f>
        <v>4212</v>
      </c>
      <c r="D232" t="str">
        <f>IF(OR(Registro_Compras!$C$29="",Registro_Compras!$O$29=""),"",IF(Registro_Compras!$F$29="NOTA DE CREDITO","IGV - Cuenta Propia (Credito Fiscal)","Cuentas por Pagar Comerciales - Terceros (Emitidas)"))</f>
        <v>Cuentas por Pagar Comerciales - Terceros (Emitidas)</v>
      </c>
      <c r="E232" s="20" t="str">
        <f>""</f>
        <v/>
      </c>
      <c r="F232" s="20">
        <f>IF($C232="","",IF(Registro_Compras!$F$29="NOTA DE CREDITO",ROUND(ABS(Registro_Compras!$K$29*Registro_Compras!$N$29),2),IF(Registro_Compras!$F$29="RHE",(ROUND(Registro_Compras!$L$29*Registro_Compras!$N$29,2)-ROUND(Registro_Compras!$V$29*Registro_Compras!$N$29,2)),Registro_Compras!$O$29)))</f>
        <v>923.38</v>
      </c>
      <c r="G232" t="str">
        <f>IF($C232="","",IF(Registro_Compras!$F$29="NOTA DE CREDITO","Por la nota de credito "&amp;Registro_Compras!$C$29&amp;" de "&amp;Registro_Compras!$E$29&amp;" [PATRON POR CONFIRMAR CON CONTADOR]",IF(Registro_Compras!$F$29="RHE","Por el registro del recibo por honorarios "&amp;Registro_Compras!$C$29&amp;" de "&amp;Registro_Compras!$E$29&amp;" [PATRON POR CONFIRMAR CON CONTADOR]","Por el registro de la factura "&amp;Registro_Compras!$C$29&amp;" de "&amp;Registro_Compras!$E$29)))</f>
        <v>Por el registro de la factura F078-00047775 de NESSUS HOTELES PERU S.A. (Casa Andina Select Arequipa)</v>
      </c>
      <c r="H232" t="str">
        <f>IF($C232="","",Registro_Compras!$C$29)</f>
        <v>F078-00047775</v>
      </c>
    </row>
    <row r="233" spans="1:8" x14ac:dyDescent="0.25">
      <c r="A233" s="25">
        <f>IF($C233="","",Registro_Compras!$B$29)</f>
        <v>46252</v>
      </c>
      <c r="B233" t="str">
        <f>IF($C233="","","C"&amp;TEXT(INT((ROW()-5)/9)+1,"000")&amp;"-2")</f>
        <v>C026-2</v>
      </c>
      <c r="C233" t="str">
        <f>IF(OR(Registro_Compras!$C$29="",Registro_Compras!$O$29=""),"",IF(Registro_Compras!$AB$29="ADMINISTRATIVO","94","95"))</f>
        <v>95</v>
      </c>
      <c r="D233" t="str">
        <f>IF(OR(Registro_Compras!$C$29="",Registro_Compras!$O$29=""),"",IF(Registro_Compras!$AB$29="ADMINISTRATIVO","Gastos Administrativos","Gastos de Venta y Operacion"))</f>
        <v>Gastos de Venta y Operacion</v>
      </c>
      <c r="E233" s="20">
        <f>IF($C233="","",IF(Registro_Compras!$F$29="NOTA DE CREDITO","",IF(Registro_Compras!$F$29="RHE",ROUND(Registro_Compras!$L$29*Registro_Compras!$N$29,2),ROUND(Registro_Compras!$J$29*Registro_Compras!$N$29,2))))</f>
        <v>923.38</v>
      </c>
      <c r="F233" s="20" t="str">
        <f>IF($C233="","",IF(Registro_Compras!$F$29="NOTA DE CREDITO",ROUND(ABS(Registro_Compras!$J$29*Registro_Compras!$N$29),2),""))</f>
        <v/>
      </c>
      <c r="G233" t="str">
        <f>IF($C233="","","Por el destino del gasto")</f>
        <v>Por el destino del gasto</v>
      </c>
      <c r="H233" t="str">
        <f>IF($C233="","",Registro_Compras!$C$29)</f>
        <v>F078-00047775</v>
      </c>
    </row>
    <row r="234" spans="1:8" x14ac:dyDescent="0.25">
      <c r="A234" s="25">
        <f>IF($C234="","",Registro_Compras!$B$29)</f>
        <v>46252</v>
      </c>
      <c r="B234" t="str">
        <f>IF($C234="","","C"&amp;TEXT(INT((ROW()-5)/9)+1,"000")&amp;"-2")</f>
        <v>C026-2</v>
      </c>
      <c r="C234" t="str">
        <f>IF(OR(Registro_Compras!$C$29="",Registro_Compras!$O$29=""),"","79/791")</f>
        <v>79/791</v>
      </c>
      <c r="D234" t="str">
        <f>IF(OR(Registro_Compras!$C$29="",Registro_Compras!$O$29=""),"","Cargas Imputables a Cuentas de Costos y Gastos")</f>
        <v>Cargas Imputables a Cuentas de Costos y Gastos</v>
      </c>
      <c r="E234" s="20" t="str">
        <f>IF($C234="","",IF(Registro_Compras!$F$29="NOTA DE CREDITO",ROUND(ABS(Registro_Compras!$J$29*Registro_Compras!$N$29),2),""))</f>
        <v/>
      </c>
      <c r="F234" s="20">
        <f>IF($C234="","",IF(Registro_Compras!$F$29="NOTA DE CREDITO","",IF(Registro_Compras!$F$29="RHE",ROUND(Registro_Compras!$L$29*Registro_Compras!$N$29,2),ROUND(Registro_Compras!$J$29*Registro_Compras!$N$29,2))))</f>
        <v>923.38</v>
      </c>
      <c r="G234" t="str">
        <f>IF($C234="","","Por el destino del gasto")</f>
        <v>Por el destino del gasto</v>
      </c>
      <c r="H234" t="str">
        <f>IF($C234="","",Registro_Compras!$C$29)</f>
        <v>F078-00047775</v>
      </c>
    </row>
    <row r="235" spans="1:8" x14ac:dyDescent="0.25">
      <c r="A235" s="25" t="str">
        <f>IF($C235="","",Registro_Compras!$X$29)</f>
        <v/>
      </c>
      <c r="B235" t="str">
        <f>IF($C235="","","C"&amp;TEXT(INT((ROW()-5)/9)+1,"000")&amp;"-3")</f>
        <v/>
      </c>
      <c r="C235" t="str">
        <f>IF(OR(Registro_Compras!$C$29="",Registro_Compras!$O$29="",Registro_Compras!$R$29&lt;&gt;"SI",Registro_Compras!$X$29=""),"","4212")</f>
        <v/>
      </c>
      <c r="D235" t="str">
        <f>IF(OR(Registro_Compras!$C$29="",Registro_Compras!$O$29=""),"","Cuentas por Pagar Comerciales - Terceros")</f>
        <v>Cuentas por Pagar Comerciales - Terceros</v>
      </c>
      <c r="E235" s="20" t="str">
        <f>IF($C235="","",Registro_Compras!$S$29)</f>
        <v/>
      </c>
      <c r="F235" s="20" t="str">
        <f>""</f>
        <v/>
      </c>
      <c r="G235" t="str">
        <f>IF($C235="","","Por el deposito de la detraccion en el Banco de la Nacion")</f>
        <v/>
      </c>
      <c r="H235" t="str">
        <f>IF($C235="","",Registro_Compras!$C$29)</f>
        <v/>
      </c>
    </row>
    <row r="236" spans="1:8" x14ac:dyDescent="0.25">
      <c r="A236" s="25" t="str">
        <f>IF($C236="","",Registro_Compras!$X$29)</f>
        <v/>
      </c>
      <c r="B236" t="str">
        <f>IF($C236="","","C"&amp;TEXT(INT((ROW()-5)/9)+1,"000")&amp;"-3")</f>
        <v/>
      </c>
      <c r="C236" t="str">
        <f>IF(OR(Registro_Compras!$C$29="",Registro_Compras!$O$29="",Registro_Compras!$R$29&lt;&gt;"SI",Registro_Compras!$X$29=""),"","1041")</f>
        <v/>
      </c>
      <c r="D236" t="str">
        <f>IF(OR(Registro_Compras!$C$29="",Registro_Compras!$O$29=""),"","Efectivo y Equivalentes - Cta. Cte. Operativa")</f>
        <v>Efectivo y Equivalentes - Cta. Cte. Operativa</v>
      </c>
      <c r="E236" s="20" t="str">
        <f>""</f>
        <v/>
      </c>
      <c r="F236" s="20" t="str">
        <f>IF($C236="","",Registro_Compras!$S$29)</f>
        <v/>
      </c>
      <c r="G236" t="str">
        <f>IF($C236="","","Por el deposito de la detraccion en el Banco de la Nacion")</f>
        <v/>
      </c>
      <c r="H236" t="str">
        <f>IF($C236="","",Registro_Compras!$C$29)</f>
        <v/>
      </c>
    </row>
    <row r="237" spans="1:8" x14ac:dyDescent="0.25">
      <c r="A237" s="25" t="str">
        <f>IF($C237="","",Registro_Compras!$Y$29)</f>
        <v/>
      </c>
      <c r="B237" t="str">
        <f>IF($C237="","","C"&amp;TEXT(INT((ROW()-5)/9)+1,"000")&amp;"-4")</f>
        <v/>
      </c>
      <c r="C237" t="str">
        <f>IF(OR(Registro_Compras!$C$29="",Registro_Compras!$O$29="",Registro_Compras!$Y$29="",Registro_Compras!$F$29="NOTA DE CREDITO"),"","4212")</f>
        <v/>
      </c>
      <c r="D237" t="str">
        <f>IF(OR(Registro_Compras!$C$29="",Registro_Compras!$O$29=""),"","Cuentas por Pagar Comerciales - Terceros")</f>
        <v>Cuentas por Pagar Comerciales - Terceros</v>
      </c>
      <c r="E237" s="20" t="str">
        <f>IF($C237="","",IF(Registro_Compras!$F$29="RHE",(ROUND(Registro_Compras!$L$29*Registro_Compras!$N$29,2)-ROUND(Registro_Compras!$V$29*Registro_Compras!$N$29,2)),ROUND(Registro_Compras!$O$29-Registro_Compras!$S$29,2)))</f>
        <v/>
      </c>
      <c r="F237" s="20" t="str">
        <f>""</f>
        <v/>
      </c>
      <c r="G237" t="str">
        <f>IF($C237="","","Por la cancelacion del saldo al proveedor")</f>
        <v/>
      </c>
      <c r="H237" t="str">
        <f>IF($C237="","",Registro_Compras!$C$29)</f>
        <v/>
      </c>
    </row>
    <row r="238" spans="1:8" x14ac:dyDescent="0.25">
      <c r="A238" s="25" t="str">
        <f>IF($C238="","",Registro_Compras!$Y$29)</f>
        <v/>
      </c>
      <c r="B238" t="str">
        <f>IF($C238="","","C"&amp;TEXT(INT((ROW()-5)/9)+1,"000")&amp;"-4")</f>
        <v/>
      </c>
      <c r="C238" t="str">
        <f>IF(OR(Registro_Compras!$C$29="",Registro_Compras!$O$29="",Registro_Compras!$Y$29="",Registro_Compras!$F$29="NOTA DE CREDITO"),"","1041")</f>
        <v/>
      </c>
      <c r="D238" t="str">
        <f>IF(OR(Registro_Compras!$C$29="",Registro_Compras!$O$29=""),"","Efectivo y Equivalentes - Cta. Cte. Operativa")</f>
        <v>Efectivo y Equivalentes - Cta. Cte. Operativa</v>
      </c>
      <c r="E238" s="20" t="str">
        <f>""</f>
        <v/>
      </c>
      <c r="F238" s="20" t="str">
        <f>IF($C238="","",IF(Registro_Compras!$F$29="RHE",(ROUND(Registro_Compras!$L$29*Registro_Compras!$N$29,2)-ROUND(Registro_Compras!$V$29*Registro_Compras!$N$29,2)),ROUND(Registro_Compras!$O$29-Registro_Compras!$S$29,2)))</f>
        <v/>
      </c>
      <c r="G238" t="str">
        <f>IF($C238="","","Por la cancelacion del saldo al proveedor")</f>
        <v/>
      </c>
      <c r="H238" t="str">
        <f>IF($C238="","",Registro_Compras!$C$29)</f>
        <v/>
      </c>
    </row>
    <row r="239" spans="1:8" x14ac:dyDescent="0.25">
      <c r="A239" s="25">
        <f>IF($C239="","",Registro_Compras!$B$30)</f>
        <v>46240</v>
      </c>
      <c r="B239" t="str">
        <f>IF($C239="","","C"&amp;TEXT(INT((ROW()-5)/9)+1,"000")&amp;"-1")</f>
        <v>C027-1</v>
      </c>
      <c r="C239" t="str">
        <f>IF(OR(Registro_Compras!$C$30="",Registro_Compras!$O$30=""),"",IF(Registro_Compras!$F$30="NOTA DE CREDITO","4212",IF(Registro_Compras!$M$30="","63",Registro_Compras!$M$30)))</f>
        <v>639</v>
      </c>
      <c r="D239" t="str">
        <f>IF(OR(Registro_Compras!$C$30="",Registro_Compras!$O$30=""),"",IF(Registro_Compras!$F$30="NOTA DE CREDITO","Cuentas por Pagar Comerciales - Terceros (Emitidas)",IF(Registro_Compras!$F$30="RHE","Honorarios Profesionales - Servicios de Terceros","Gastos de Servicios Prestados por Terceros")))</f>
        <v>Gastos de Servicios Prestados por Terceros</v>
      </c>
      <c r="E239" s="20">
        <f>IF($C239="","",IF(Registro_Compras!$F$30="NOTA DE CREDITO",ABS(Registro_Compras!$O$30),IF(Registro_Compras!$F$30="RHE",ROUND(Registro_Compras!$L$30*Registro_Compras!$N$30,2),ROUND(Registro_Compras!$J$30*Registro_Compras!$N$30,2))))</f>
        <v>302</v>
      </c>
      <c r="F239" s="20" t="str">
        <f>""</f>
        <v/>
      </c>
      <c r="G239" t="str">
        <f>IF($C239="","",IF(Registro_Compras!$F$30="NOTA DE CREDITO","Por la nota de credito "&amp;Registro_Compras!$C$30&amp;" de "&amp;Registro_Compras!$E$30&amp;" [PATRON POR CONFIRMAR CON CONTADOR]",IF(Registro_Compras!$F$30="RHE","Por el registro del recibo por honorarios "&amp;Registro_Compras!$C$30&amp;" de "&amp;Registro_Compras!$E$30&amp;" [PATRON POR CONFIRMAR CON CONTADOR]","Por el registro de la factura "&amp;Registro_Compras!$C$30&amp;" de "&amp;Registro_Compras!$E$30)))</f>
        <v>Por el registro de la factura E001-327 de LUXURY ADVENTURE CUSCO PERU E.I.R.L.</v>
      </c>
      <c r="H239" t="str">
        <f>IF($C239="","",Registro_Compras!$C$30)</f>
        <v>E001-327</v>
      </c>
    </row>
    <row r="240" spans="1:8" x14ac:dyDescent="0.25">
      <c r="A240" s="25">
        <f>IF($C240="","",Registro_Compras!$B$30)</f>
        <v>46240</v>
      </c>
      <c r="B240" t="str">
        <f>IF($C240="","","C"&amp;TEXT(INT((ROW()-5)/9)+1,"000")&amp;"-1")</f>
        <v>C027-1</v>
      </c>
      <c r="C240" t="str">
        <f>IF(OR(Registro_Compras!$C$30="",Registro_Compras!$O$30=""),"",IF(Registro_Compras!$F$30="RHE",IF(Registro_Compras!$V$30=0,"","4017"),IF(Registro_Compras!$F$30="NOTA DE CREDITO",IF(Registro_Compras!$M$30="","63",Registro_Compras!$M$30),IF(Registro_Compras!$K$30=0,"","40111"))))</f>
        <v>40111</v>
      </c>
      <c r="D240" t="str">
        <f>IF(OR(Registro_Compras!$C$30="",Registro_Compras!$O$30=""),"",IF(Registro_Compras!$F$30="RHE","Retencion Renta 4ta Categoria por Pagar",IF(Registro_Compras!$F$30="NOTA DE CREDITO","Gastos de Servicios Prestados por Terceros","IGV - Cuenta Propia (Credito Fiscal)")))</f>
        <v>IGV - Cuenta Propia (Credito Fiscal)</v>
      </c>
      <c r="E240" s="20">
        <f>IF($C240="","",IF(Registro_Compras!$F$30="FACTURA",ROUND(Registro_Compras!$K$30*Registro_Compras!$N$30,2),""))</f>
        <v>54.37</v>
      </c>
      <c r="F240" s="20" t="str">
        <f>IF($C240="","",IF(Registro_Compras!$F$30="RHE",ROUND(Registro_Compras!$V$30*Registro_Compras!$N$30,2),IF(Registro_Compras!$F$30="NOTA DE CREDITO",ROUND(ABS(Registro_Compras!$J$30*Registro_Compras!$N$30),2),"")))</f>
        <v/>
      </c>
      <c r="G240" t="str">
        <f>IF($C240="","",IF(Registro_Compras!$F$30="NOTA DE CREDITO","Por la nota de credito "&amp;Registro_Compras!$C$30&amp;" de "&amp;Registro_Compras!$E$30&amp;" [PATRON POR CONFIRMAR CON CONTADOR]",IF(Registro_Compras!$F$30="RHE","Por el registro del recibo por honorarios "&amp;Registro_Compras!$C$30&amp;" de "&amp;Registro_Compras!$E$30&amp;" [PATRON POR CONFIRMAR CON CONTADOR]","Por el registro de la factura "&amp;Registro_Compras!$C$30&amp;" de "&amp;Registro_Compras!$E$30)))</f>
        <v>Por el registro de la factura E001-327 de LUXURY ADVENTURE CUSCO PERU E.I.R.L.</v>
      </c>
      <c r="H240" t="str">
        <f>IF($C240="","",Registro_Compras!$C$30)</f>
        <v>E001-327</v>
      </c>
    </row>
    <row r="241" spans="1:8" x14ac:dyDescent="0.25">
      <c r="A241" s="25">
        <f>IF($C241="","",Registro_Compras!$B$30)</f>
        <v>46240</v>
      </c>
      <c r="B241" t="str">
        <f>IF($C241="","","C"&amp;TEXT(INT((ROW()-5)/9)+1,"000")&amp;"-1")</f>
        <v>C027-1</v>
      </c>
      <c r="C241" t="str">
        <f>IF(OR(Registro_Compras!$C$30="",Registro_Compras!$O$30=""),"",IF(Registro_Compras!$F$30="NOTA DE CREDITO",IF(Registro_Compras!$K$30=0,"","40111"),"4212"))</f>
        <v>4212</v>
      </c>
      <c r="D241" t="str">
        <f>IF(OR(Registro_Compras!$C$30="",Registro_Compras!$O$30=""),"",IF(Registro_Compras!$F$30="NOTA DE CREDITO","IGV - Cuenta Propia (Credito Fiscal)","Cuentas por Pagar Comerciales - Terceros (Emitidas)"))</f>
        <v>Cuentas por Pagar Comerciales - Terceros (Emitidas)</v>
      </c>
      <c r="E241" s="20" t="str">
        <f>""</f>
        <v/>
      </c>
      <c r="F241" s="20">
        <f>IF($C241="","",IF(Registro_Compras!$F$30="NOTA DE CREDITO",ROUND(ABS(Registro_Compras!$K$30*Registro_Compras!$N$30),2),IF(Registro_Compras!$F$30="RHE",(ROUND(Registro_Compras!$L$30*Registro_Compras!$N$30,2)-ROUND(Registro_Compras!$V$30*Registro_Compras!$N$30,2)),Registro_Compras!$O$30)))</f>
        <v>356.37</v>
      </c>
      <c r="G241" t="str">
        <f>IF($C241="","",IF(Registro_Compras!$F$30="NOTA DE CREDITO","Por la nota de credito "&amp;Registro_Compras!$C$30&amp;" de "&amp;Registro_Compras!$E$30&amp;" [PATRON POR CONFIRMAR CON CONTADOR]",IF(Registro_Compras!$F$30="RHE","Por el registro del recibo por honorarios "&amp;Registro_Compras!$C$30&amp;" de "&amp;Registro_Compras!$E$30&amp;" [PATRON POR CONFIRMAR CON CONTADOR]","Por el registro de la factura "&amp;Registro_Compras!$C$30&amp;" de "&amp;Registro_Compras!$E$30)))</f>
        <v>Por el registro de la factura E001-327 de LUXURY ADVENTURE CUSCO PERU E.I.R.L.</v>
      </c>
      <c r="H241" t="str">
        <f>IF($C241="","",Registro_Compras!$C$30)</f>
        <v>E001-327</v>
      </c>
    </row>
    <row r="242" spans="1:8" x14ac:dyDescent="0.25">
      <c r="A242" s="25">
        <f>IF($C242="","",Registro_Compras!$B$30)</f>
        <v>46240</v>
      </c>
      <c r="B242" t="str">
        <f>IF($C242="","","C"&amp;TEXT(INT((ROW()-5)/9)+1,"000")&amp;"-2")</f>
        <v>C027-2</v>
      </c>
      <c r="C242" t="str">
        <f>IF(OR(Registro_Compras!$C$30="",Registro_Compras!$O$30=""),"",IF(Registro_Compras!$AB$30="ADMINISTRATIVO","94","95"))</f>
        <v>95</v>
      </c>
      <c r="D242" t="str">
        <f>IF(OR(Registro_Compras!$C$30="",Registro_Compras!$O$30=""),"",IF(Registro_Compras!$AB$30="ADMINISTRATIVO","Gastos Administrativos","Gastos de Venta y Operacion"))</f>
        <v>Gastos de Venta y Operacion</v>
      </c>
      <c r="E242" s="20">
        <f>IF($C242="","",IF(Registro_Compras!$F$30="NOTA DE CREDITO","",IF(Registro_Compras!$F$30="RHE",ROUND(Registro_Compras!$L$30*Registro_Compras!$N$30,2),ROUND(Registro_Compras!$J$30*Registro_Compras!$N$30,2))))</f>
        <v>302</v>
      </c>
      <c r="F242" s="20" t="str">
        <f>IF($C242="","",IF(Registro_Compras!$F$30="NOTA DE CREDITO",ROUND(ABS(Registro_Compras!$J$30*Registro_Compras!$N$30),2),""))</f>
        <v/>
      </c>
      <c r="G242" t="str">
        <f>IF($C242="","","Por el destino del gasto")</f>
        <v>Por el destino del gasto</v>
      </c>
      <c r="H242" t="str">
        <f>IF($C242="","",Registro_Compras!$C$30)</f>
        <v>E001-327</v>
      </c>
    </row>
    <row r="243" spans="1:8" x14ac:dyDescent="0.25">
      <c r="A243" s="25">
        <f>IF($C243="","",Registro_Compras!$B$30)</f>
        <v>46240</v>
      </c>
      <c r="B243" t="str">
        <f>IF($C243="","","C"&amp;TEXT(INT((ROW()-5)/9)+1,"000")&amp;"-2")</f>
        <v>C027-2</v>
      </c>
      <c r="C243" t="str">
        <f>IF(OR(Registro_Compras!$C$30="",Registro_Compras!$O$30=""),"","79/791")</f>
        <v>79/791</v>
      </c>
      <c r="D243" t="str">
        <f>IF(OR(Registro_Compras!$C$30="",Registro_Compras!$O$30=""),"","Cargas Imputables a Cuentas de Costos y Gastos")</f>
        <v>Cargas Imputables a Cuentas de Costos y Gastos</v>
      </c>
      <c r="E243" s="20" t="str">
        <f>IF($C243="","",IF(Registro_Compras!$F$30="NOTA DE CREDITO",ROUND(ABS(Registro_Compras!$J$30*Registro_Compras!$N$30),2),""))</f>
        <v/>
      </c>
      <c r="F243" s="20">
        <f>IF($C243="","",IF(Registro_Compras!$F$30="NOTA DE CREDITO","",IF(Registro_Compras!$F$30="RHE",ROUND(Registro_Compras!$L$30*Registro_Compras!$N$30,2),ROUND(Registro_Compras!$J$30*Registro_Compras!$N$30,2))))</f>
        <v>302</v>
      </c>
      <c r="G243" t="str">
        <f>IF($C243="","","Por el destino del gasto")</f>
        <v>Por el destino del gasto</v>
      </c>
      <c r="H243" t="str">
        <f>IF($C243="","",Registro_Compras!$C$30)</f>
        <v>E001-327</v>
      </c>
    </row>
    <row r="244" spans="1:8" x14ac:dyDescent="0.25">
      <c r="A244" s="25" t="str">
        <f>IF($C244="","",Registro_Compras!$X$30)</f>
        <v/>
      </c>
      <c r="B244" t="str">
        <f>IF($C244="","","C"&amp;TEXT(INT((ROW()-5)/9)+1,"000")&amp;"-3")</f>
        <v/>
      </c>
      <c r="C244" t="str">
        <f>IF(OR(Registro_Compras!$C$30="",Registro_Compras!$O$30="",Registro_Compras!$R$30&lt;&gt;"SI",Registro_Compras!$X$30=""),"","4212")</f>
        <v/>
      </c>
      <c r="D244" t="str">
        <f>IF(OR(Registro_Compras!$C$30="",Registro_Compras!$O$30=""),"","Cuentas por Pagar Comerciales - Terceros")</f>
        <v>Cuentas por Pagar Comerciales - Terceros</v>
      </c>
      <c r="E244" s="20" t="str">
        <f>IF($C244="","",Registro_Compras!$S$30)</f>
        <v/>
      </c>
      <c r="F244" s="20" t="str">
        <f>""</f>
        <v/>
      </c>
      <c r="G244" t="str">
        <f>IF($C244="","","Por el deposito de la detraccion en el Banco de la Nacion")</f>
        <v/>
      </c>
      <c r="H244" t="str">
        <f>IF($C244="","",Registro_Compras!$C$30)</f>
        <v/>
      </c>
    </row>
    <row r="245" spans="1:8" x14ac:dyDescent="0.25">
      <c r="A245" s="25" t="str">
        <f>IF($C245="","",Registro_Compras!$X$30)</f>
        <v/>
      </c>
      <c r="B245" t="str">
        <f>IF($C245="","","C"&amp;TEXT(INT((ROW()-5)/9)+1,"000")&amp;"-3")</f>
        <v/>
      </c>
      <c r="C245" t="str">
        <f>IF(OR(Registro_Compras!$C$30="",Registro_Compras!$O$30="",Registro_Compras!$R$30&lt;&gt;"SI",Registro_Compras!$X$30=""),"","1041")</f>
        <v/>
      </c>
      <c r="D245" t="str">
        <f>IF(OR(Registro_Compras!$C$30="",Registro_Compras!$O$30=""),"","Efectivo y Equivalentes - Cta. Cte. Operativa")</f>
        <v>Efectivo y Equivalentes - Cta. Cte. Operativa</v>
      </c>
      <c r="E245" s="20" t="str">
        <f>""</f>
        <v/>
      </c>
      <c r="F245" s="20" t="str">
        <f>IF($C245="","",Registro_Compras!$S$30)</f>
        <v/>
      </c>
      <c r="G245" t="str">
        <f>IF($C245="","","Por el deposito de la detraccion en el Banco de la Nacion")</f>
        <v/>
      </c>
      <c r="H245" t="str">
        <f>IF($C245="","",Registro_Compras!$C$30)</f>
        <v/>
      </c>
    </row>
    <row r="246" spans="1:8" x14ac:dyDescent="0.25">
      <c r="A246" s="25" t="str">
        <f>IF($C246="","",Registro_Compras!$Y$30)</f>
        <v/>
      </c>
      <c r="B246" t="str">
        <f>IF($C246="","","C"&amp;TEXT(INT((ROW()-5)/9)+1,"000")&amp;"-4")</f>
        <v/>
      </c>
      <c r="C246" t="str">
        <f>IF(OR(Registro_Compras!$C$30="",Registro_Compras!$O$30="",Registro_Compras!$Y$30="",Registro_Compras!$F$30="NOTA DE CREDITO"),"","4212")</f>
        <v/>
      </c>
      <c r="D246" t="str">
        <f>IF(OR(Registro_Compras!$C$30="",Registro_Compras!$O$30=""),"","Cuentas por Pagar Comerciales - Terceros")</f>
        <v>Cuentas por Pagar Comerciales - Terceros</v>
      </c>
      <c r="E246" s="20" t="str">
        <f>IF($C246="","",IF(Registro_Compras!$F$30="RHE",(ROUND(Registro_Compras!$L$30*Registro_Compras!$N$30,2)-ROUND(Registro_Compras!$V$30*Registro_Compras!$N$30,2)),ROUND(Registro_Compras!$O$30-Registro_Compras!$S$30,2)))</f>
        <v/>
      </c>
      <c r="F246" s="20" t="str">
        <f>""</f>
        <v/>
      </c>
      <c r="G246" t="str">
        <f>IF($C246="","","Por la cancelacion del saldo al proveedor")</f>
        <v/>
      </c>
      <c r="H246" t="str">
        <f>IF($C246="","",Registro_Compras!$C$30)</f>
        <v/>
      </c>
    </row>
    <row r="247" spans="1:8" x14ac:dyDescent="0.25">
      <c r="A247" s="25" t="str">
        <f>IF($C247="","",Registro_Compras!$Y$30)</f>
        <v/>
      </c>
      <c r="B247" t="str">
        <f>IF($C247="","","C"&amp;TEXT(INT((ROW()-5)/9)+1,"000")&amp;"-4")</f>
        <v/>
      </c>
      <c r="C247" t="str">
        <f>IF(OR(Registro_Compras!$C$30="",Registro_Compras!$O$30="",Registro_Compras!$Y$30="",Registro_Compras!$F$30="NOTA DE CREDITO"),"","1041")</f>
        <v/>
      </c>
      <c r="D247" t="str">
        <f>IF(OR(Registro_Compras!$C$30="",Registro_Compras!$O$30=""),"","Efectivo y Equivalentes - Cta. Cte. Operativa")</f>
        <v>Efectivo y Equivalentes - Cta. Cte. Operativa</v>
      </c>
      <c r="E247" s="20" t="str">
        <f>""</f>
        <v/>
      </c>
      <c r="F247" s="20" t="str">
        <f>IF($C247="","",IF(Registro_Compras!$F$30="RHE",(ROUND(Registro_Compras!$L$30*Registro_Compras!$N$30,2)-ROUND(Registro_Compras!$V$30*Registro_Compras!$N$30,2)),ROUND(Registro_Compras!$O$30-Registro_Compras!$S$30,2)))</f>
        <v/>
      </c>
      <c r="G247" t="str">
        <f>IF($C247="","","Por la cancelacion del saldo al proveedor")</f>
        <v/>
      </c>
      <c r="H247" t="str">
        <f>IF($C247="","",Registro_Compras!$C$30)</f>
        <v/>
      </c>
    </row>
    <row r="248" spans="1:8" x14ac:dyDescent="0.25">
      <c r="A248" s="25">
        <f>IF($C248="","",Registro_Compras!$B$31)</f>
        <v>46240</v>
      </c>
      <c r="B248" t="str">
        <f>IF($C248="","","C"&amp;TEXT(INT((ROW()-5)/9)+1,"000")&amp;"-1")</f>
        <v>C028-1</v>
      </c>
      <c r="C248" t="str">
        <f>IF(OR(Registro_Compras!$C$31="",Registro_Compras!$O$31=""),"",IF(Registro_Compras!$F$31="NOTA DE CREDITO","4212",IF(Registro_Compras!$M$31="","63",Registro_Compras!$M$31)))</f>
        <v>639</v>
      </c>
      <c r="D248" t="str">
        <f>IF(OR(Registro_Compras!$C$31="",Registro_Compras!$O$31=""),"",IF(Registro_Compras!$F$31="NOTA DE CREDITO","Cuentas por Pagar Comerciales - Terceros (Emitidas)",IF(Registro_Compras!$F$31="RHE","Honorarios Profesionales - Servicios de Terceros","Gastos de Servicios Prestados por Terceros")))</f>
        <v>Gastos de Servicios Prestados por Terceros</v>
      </c>
      <c r="E248" s="20">
        <f>IF($C248="","",IF(Registro_Compras!$F$31="NOTA DE CREDITO",ABS(Registro_Compras!$O$31),IF(Registro_Compras!$F$31="RHE",ROUND(Registro_Compras!$L$31*Registro_Compras!$N$31,2),ROUND(Registro_Compras!$J$31*Registro_Compras!$N$31,2))))</f>
        <v>352.33</v>
      </c>
      <c r="F248" s="20" t="str">
        <f>""</f>
        <v/>
      </c>
      <c r="G248" t="str">
        <f>IF($C248="","",IF(Registro_Compras!$F$31="NOTA DE CREDITO","Por la nota de credito "&amp;Registro_Compras!$C$31&amp;" de "&amp;Registro_Compras!$E$31&amp;" [PATRON POR CONFIRMAR CON CONTADOR]",IF(Registro_Compras!$F$31="RHE","Por el registro del recibo por honorarios "&amp;Registro_Compras!$C$31&amp;" de "&amp;Registro_Compras!$E$31&amp;" [PATRON POR CONFIRMAR CON CONTADOR]","Por el registro de la factura "&amp;Registro_Compras!$C$31&amp;" de "&amp;Registro_Compras!$E$31)))</f>
        <v>Por el registro de la factura E001-332 de LUXURY ADVENTURE CUSCO PERU E.I.R.L.</v>
      </c>
      <c r="H248" t="str">
        <f>IF($C248="","",Registro_Compras!$C$31)</f>
        <v>E001-332</v>
      </c>
    </row>
    <row r="249" spans="1:8" x14ac:dyDescent="0.25">
      <c r="A249" s="25">
        <f>IF($C249="","",Registro_Compras!$B$31)</f>
        <v>46240</v>
      </c>
      <c r="B249" t="str">
        <f>IF($C249="","","C"&amp;TEXT(INT((ROW()-5)/9)+1,"000")&amp;"-1")</f>
        <v>C028-1</v>
      </c>
      <c r="C249" t="str">
        <f>IF(OR(Registro_Compras!$C$31="",Registro_Compras!$O$31=""),"",IF(Registro_Compras!$F$31="RHE",IF(Registro_Compras!$V$31=0,"","4017"),IF(Registro_Compras!$F$31="NOTA DE CREDITO",IF(Registro_Compras!$M$31="","63",Registro_Compras!$M$31),IF(Registro_Compras!$K$31=0,"","40111"))))</f>
        <v>40111</v>
      </c>
      <c r="D249" t="str">
        <f>IF(OR(Registro_Compras!$C$31="",Registro_Compras!$O$31=""),"",IF(Registro_Compras!$F$31="RHE","Retencion Renta 4ta Categoria por Pagar",IF(Registro_Compras!$F$31="NOTA DE CREDITO","Gastos de Servicios Prestados por Terceros","IGV - Cuenta Propia (Credito Fiscal)")))</f>
        <v>IGV - Cuenta Propia (Credito Fiscal)</v>
      </c>
      <c r="E249" s="20">
        <f>IF($C249="","",IF(Registro_Compras!$F$31="FACTURA",ROUND(Registro_Compras!$K$31*Registro_Compras!$N$31,2),""))</f>
        <v>63.43</v>
      </c>
      <c r="F249" s="20" t="str">
        <f>IF($C249="","",IF(Registro_Compras!$F$31="RHE",ROUND(Registro_Compras!$V$31*Registro_Compras!$N$31,2),IF(Registro_Compras!$F$31="NOTA DE CREDITO",ROUND(ABS(Registro_Compras!$J$31*Registro_Compras!$N$31),2),"")))</f>
        <v/>
      </c>
      <c r="G249" t="str">
        <f>IF($C249="","",IF(Registro_Compras!$F$31="NOTA DE CREDITO","Por la nota de credito "&amp;Registro_Compras!$C$31&amp;" de "&amp;Registro_Compras!$E$31&amp;" [PATRON POR CONFIRMAR CON CONTADOR]",IF(Registro_Compras!$F$31="RHE","Por el registro del recibo por honorarios "&amp;Registro_Compras!$C$31&amp;" de "&amp;Registro_Compras!$E$31&amp;" [PATRON POR CONFIRMAR CON CONTADOR]","Por el registro de la factura "&amp;Registro_Compras!$C$31&amp;" de "&amp;Registro_Compras!$E$31)))</f>
        <v>Por el registro de la factura E001-332 de LUXURY ADVENTURE CUSCO PERU E.I.R.L.</v>
      </c>
      <c r="H249" t="str">
        <f>IF($C249="","",Registro_Compras!$C$31)</f>
        <v>E001-332</v>
      </c>
    </row>
    <row r="250" spans="1:8" x14ac:dyDescent="0.25">
      <c r="A250" s="25">
        <f>IF($C250="","",Registro_Compras!$B$31)</f>
        <v>46240</v>
      </c>
      <c r="B250" t="str">
        <f>IF($C250="","","C"&amp;TEXT(INT((ROW()-5)/9)+1,"000")&amp;"-1")</f>
        <v>C028-1</v>
      </c>
      <c r="C250" t="str">
        <f>IF(OR(Registro_Compras!$C$31="",Registro_Compras!$O$31=""),"",IF(Registro_Compras!$F$31="NOTA DE CREDITO",IF(Registro_Compras!$K$31=0,"","40111"),"4212"))</f>
        <v>4212</v>
      </c>
      <c r="D250" t="str">
        <f>IF(OR(Registro_Compras!$C$31="",Registro_Compras!$O$31=""),"",IF(Registro_Compras!$F$31="NOTA DE CREDITO","IGV - Cuenta Propia (Credito Fiscal)","Cuentas por Pagar Comerciales - Terceros (Emitidas)"))</f>
        <v>Cuentas por Pagar Comerciales - Terceros (Emitidas)</v>
      </c>
      <c r="E250" s="20" t="str">
        <f>""</f>
        <v/>
      </c>
      <c r="F250" s="20">
        <f>IF($C250="","",IF(Registro_Compras!$F$31="NOTA DE CREDITO",ROUND(ABS(Registro_Compras!$K$31*Registro_Compras!$N$31),2),IF(Registro_Compras!$F$31="RHE",(ROUND(Registro_Compras!$L$31*Registro_Compras!$N$31,2)-ROUND(Registro_Compras!$V$31*Registro_Compras!$N$31,2)),Registro_Compras!$O$31)))</f>
        <v>415.76</v>
      </c>
      <c r="G250" t="str">
        <f>IF($C250="","",IF(Registro_Compras!$F$31="NOTA DE CREDITO","Por la nota de credito "&amp;Registro_Compras!$C$31&amp;" de "&amp;Registro_Compras!$E$31&amp;" [PATRON POR CONFIRMAR CON CONTADOR]",IF(Registro_Compras!$F$31="RHE","Por el registro del recibo por honorarios "&amp;Registro_Compras!$C$31&amp;" de "&amp;Registro_Compras!$E$31&amp;" [PATRON POR CONFIRMAR CON CONTADOR]","Por el registro de la factura "&amp;Registro_Compras!$C$31&amp;" de "&amp;Registro_Compras!$E$31)))</f>
        <v>Por el registro de la factura E001-332 de LUXURY ADVENTURE CUSCO PERU E.I.R.L.</v>
      </c>
      <c r="H250" t="str">
        <f>IF($C250="","",Registro_Compras!$C$31)</f>
        <v>E001-332</v>
      </c>
    </row>
    <row r="251" spans="1:8" x14ac:dyDescent="0.25">
      <c r="A251" s="25">
        <f>IF($C251="","",Registro_Compras!$B$31)</f>
        <v>46240</v>
      </c>
      <c r="B251" t="str">
        <f>IF($C251="","","C"&amp;TEXT(INT((ROW()-5)/9)+1,"000")&amp;"-2")</f>
        <v>C028-2</v>
      </c>
      <c r="C251" t="str">
        <f>IF(OR(Registro_Compras!$C$31="",Registro_Compras!$O$31=""),"",IF(Registro_Compras!$AB$31="ADMINISTRATIVO","94","95"))</f>
        <v>95</v>
      </c>
      <c r="D251" t="str">
        <f>IF(OR(Registro_Compras!$C$31="",Registro_Compras!$O$31=""),"",IF(Registro_Compras!$AB$31="ADMINISTRATIVO","Gastos Administrativos","Gastos de Venta y Operacion"))</f>
        <v>Gastos de Venta y Operacion</v>
      </c>
      <c r="E251" s="20">
        <f>IF($C251="","",IF(Registro_Compras!$F$31="NOTA DE CREDITO","",IF(Registro_Compras!$F$31="RHE",ROUND(Registro_Compras!$L$31*Registro_Compras!$N$31,2),ROUND(Registro_Compras!$J$31*Registro_Compras!$N$31,2))))</f>
        <v>352.33</v>
      </c>
      <c r="F251" s="20" t="str">
        <f>IF($C251="","",IF(Registro_Compras!$F$31="NOTA DE CREDITO",ROUND(ABS(Registro_Compras!$J$31*Registro_Compras!$N$31),2),""))</f>
        <v/>
      </c>
      <c r="G251" t="str">
        <f>IF($C251="","","Por el destino del gasto")</f>
        <v>Por el destino del gasto</v>
      </c>
      <c r="H251" t="str">
        <f>IF($C251="","",Registro_Compras!$C$31)</f>
        <v>E001-332</v>
      </c>
    </row>
    <row r="252" spans="1:8" x14ac:dyDescent="0.25">
      <c r="A252" s="25">
        <f>IF($C252="","",Registro_Compras!$B$31)</f>
        <v>46240</v>
      </c>
      <c r="B252" t="str">
        <f>IF($C252="","","C"&amp;TEXT(INT((ROW()-5)/9)+1,"000")&amp;"-2")</f>
        <v>C028-2</v>
      </c>
      <c r="C252" t="str">
        <f>IF(OR(Registro_Compras!$C$31="",Registro_Compras!$O$31=""),"","79/791")</f>
        <v>79/791</v>
      </c>
      <c r="D252" t="str">
        <f>IF(OR(Registro_Compras!$C$31="",Registro_Compras!$O$31=""),"","Cargas Imputables a Cuentas de Costos y Gastos")</f>
        <v>Cargas Imputables a Cuentas de Costos y Gastos</v>
      </c>
      <c r="E252" s="20" t="str">
        <f>IF($C252="","",IF(Registro_Compras!$F$31="NOTA DE CREDITO",ROUND(ABS(Registro_Compras!$J$31*Registro_Compras!$N$31),2),""))</f>
        <v/>
      </c>
      <c r="F252" s="20">
        <f>IF($C252="","",IF(Registro_Compras!$F$31="NOTA DE CREDITO","",IF(Registro_Compras!$F$31="RHE",ROUND(Registro_Compras!$L$31*Registro_Compras!$N$31,2),ROUND(Registro_Compras!$J$31*Registro_Compras!$N$31,2))))</f>
        <v>352.33</v>
      </c>
      <c r="G252" t="str">
        <f>IF($C252="","","Por el destino del gasto")</f>
        <v>Por el destino del gasto</v>
      </c>
      <c r="H252" t="str">
        <f>IF($C252="","",Registro_Compras!$C$31)</f>
        <v>E001-332</v>
      </c>
    </row>
    <row r="253" spans="1:8" x14ac:dyDescent="0.25">
      <c r="A253" s="25" t="str">
        <f>IF($C253="","",Registro_Compras!$X$31)</f>
        <v/>
      </c>
      <c r="B253" t="str">
        <f>IF($C253="","","C"&amp;TEXT(INT((ROW()-5)/9)+1,"000")&amp;"-3")</f>
        <v/>
      </c>
      <c r="C253" t="str">
        <f>IF(OR(Registro_Compras!$C$31="",Registro_Compras!$O$31="",Registro_Compras!$R$31&lt;&gt;"SI",Registro_Compras!$X$31=""),"","4212")</f>
        <v/>
      </c>
      <c r="D253" t="str">
        <f>IF(OR(Registro_Compras!$C$31="",Registro_Compras!$O$31=""),"","Cuentas por Pagar Comerciales - Terceros")</f>
        <v>Cuentas por Pagar Comerciales - Terceros</v>
      </c>
      <c r="E253" s="20" t="str">
        <f>IF($C253="","",Registro_Compras!$S$31)</f>
        <v/>
      </c>
      <c r="F253" s="20" t="str">
        <f>""</f>
        <v/>
      </c>
      <c r="G253" t="str">
        <f>IF($C253="","","Por el deposito de la detraccion en el Banco de la Nacion")</f>
        <v/>
      </c>
      <c r="H253" t="str">
        <f>IF($C253="","",Registro_Compras!$C$31)</f>
        <v/>
      </c>
    </row>
    <row r="254" spans="1:8" x14ac:dyDescent="0.25">
      <c r="A254" s="25" t="str">
        <f>IF($C254="","",Registro_Compras!$X$31)</f>
        <v/>
      </c>
      <c r="B254" t="str">
        <f>IF($C254="","","C"&amp;TEXT(INT((ROW()-5)/9)+1,"000")&amp;"-3")</f>
        <v/>
      </c>
      <c r="C254" t="str">
        <f>IF(OR(Registro_Compras!$C$31="",Registro_Compras!$O$31="",Registro_Compras!$R$31&lt;&gt;"SI",Registro_Compras!$X$31=""),"","1041")</f>
        <v/>
      </c>
      <c r="D254" t="str">
        <f>IF(OR(Registro_Compras!$C$31="",Registro_Compras!$O$31=""),"","Efectivo y Equivalentes - Cta. Cte. Operativa")</f>
        <v>Efectivo y Equivalentes - Cta. Cte. Operativa</v>
      </c>
      <c r="E254" s="20" t="str">
        <f>""</f>
        <v/>
      </c>
      <c r="F254" s="20" t="str">
        <f>IF($C254="","",Registro_Compras!$S$31)</f>
        <v/>
      </c>
      <c r="G254" t="str">
        <f>IF($C254="","","Por el deposito de la detraccion en el Banco de la Nacion")</f>
        <v/>
      </c>
      <c r="H254" t="str">
        <f>IF($C254="","",Registro_Compras!$C$31)</f>
        <v/>
      </c>
    </row>
    <row r="255" spans="1:8" x14ac:dyDescent="0.25">
      <c r="A255" s="25" t="str">
        <f>IF($C255="","",Registro_Compras!$Y$31)</f>
        <v/>
      </c>
      <c r="B255" t="str">
        <f>IF($C255="","","C"&amp;TEXT(INT((ROW()-5)/9)+1,"000")&amp;"-4")</f>
        <v/>
      </c>
      <c r="C255" t="str">
        <f>IF(OR(Registro_Compras!$C$31="",Registro_Compras!$O$31="",Registro_Compras!$Y$31="",Registro_Compras!$F$31="NOTA DE CREDITO"),"","4212")</f>
        <v/>
      </c>
      <c r="D255" t="str">
        <f>IF(OR(Registro_Compras!$C$31="",Registro_Compras!$O$31=""),"","Cuentas por Pagar Comerciales - Terceros")</f>
        <v>Cuentas por Pagar Comerciales - Terceros</v>
      </c>
      <c r="E255" s="20" t="str">
        <f>IF($C255="","",IF(Registro_Compras!$F$31="RHE",(ROUND(Registro_Compras!$L$31*Registro_Compras!$N$31,2)-ROUND(Registro_Compras!$V$31*Registro_Compras!$N$31,2)),ROUND(Registro_Compras!$O$31-Registro_Compras!$S$31,2)))</f>
        <v/>
      </c>
      <c r="F255" s="20" t="str">
        <f>""</f>
        <v/>
      </c>
      <c r="G255" t="str">
        <f>IF($C255="","","Por la cancelacion del saldo al proveedor")</f>
        <v/>
      </c>
      <c r="H255" t="str">
        <f>IF($C255="","",Registro_Compras!$C$31)</f>
        <v/>
      </c>
    </row>
    <row r="256" spans="1:8" x14ac:dyDescent="0.25">
      <c r="A256" s="25" t="str">
        <f>IF($C256="","",Registro_Compras!$Y$31)</f>
        <v/>
      </c>
      <c r="B256" t="str">
        <f>IF($C256="","","C"&amp;TEXT(INT((ROW()-5)/9)+1,"000")&amp;"-4")</f>
        <v/>
      </c>
      <c r="C256" t="str">
        <f>IF(OR(Registro_Compras!$C$31="",Registro_Compras!$O$31="",Registro_Compras!$Y$31="",Registro_Compras!$F$31="NOTA DE CREDITO"),"","1041")</f>
        <v/>
      </c>
      <c r="D256" t="str">
        <f>IF(OR(Registro_Compras!$C$31="",Registro_Compras!$O$31=""),"","Efectivo y Equivalentes - Cta. Cte. Operativa")</f>
        <v>Efectivo y Equivalentes - Cta. Cte. Operativa</v>
      </c>
      <c r="E256" s="20" t="str">
        <f>""</f>
        <v/>
      </c>
      <c r="F256" s="20" t="str">
        <f>IF($C256="","",IF(Registro_Compras!$F$31="RHE",(ROUND(Registro_Compras!$L$31*Registro_Compras!$N$31,2)-ROUND(Registro_Compras!$V$31*Registro_Compras!$N$31,2)),ROUND(Registro_Compras!$O$31-Registro_Compras!$S$31,2)))</f>
        <v/>
      </c>
      <c r="G256" t="str">
        <f>IF($C256="","","Por la cancelacion del saldo al proveedor")</f>
        <v/>
      </c>
      <c r="H256" t="str">
        <f>IF($C256="","",Registro_Compras!$C$31)</f>
        <v/>
      </c>
    </row>
    <row r="257" spans="1:8" x14ac:dyDescent="0.25">
      <c r="A257" s="25">
        <f>IF($C257="","",Registro_Compras!$B$32)</f>
        <v>46253</v>
      </c>
      <c r="B257" t="str">
        <f>IF($C257="","","C"&amp;TEXT(INT((ROW()-5)/9)+1,"000")&amp;"-1")</f>
        <v>C029-1</v>
      </c>
      <c r="C257" t="str">
        <f>IF(OR(Registro_Compras!$C$32="",Registro_Compras!$O$32=""),"",IF(Registro_Compras!$F$32="NOTA DE CREDITO","4212",IF(Registro_Compras!$M$32="","63",Registro_Compras!$M$32)))</f>
        <v>639</v>
      </c>
      <c r="D257" t="str">
        <f>IF(OR(Registro_Compras!$C$32="",Registro_Compras!$O$32=""),"",IF(Registro_Compras!$F$32="NOTA DE CREDITO","Cuentas por Pagar Comerciales - Terceros (Emitidas)",IF(Registro_Compras!$F$32="RHE","Honorarios Profesionales - Servicios de Terceros","Gastos de Servicios Prestados por Terceros")))</f>
        <v>Gastos de Servicios Prestados por Terceros</v>
      </c>
      <c r="E257" s="20">
        <f>IF($C257="","",IF(Registro_Compras!$F$32="NOTA DE CREDITO",ABS(Registro_Compras!$O$32),IF(Registro_Compras!$F$32="RHE",ROUND(Registro_Compras!$L$32*Registro_Compras!$N$32,2),ROUND(Registro_Compras!$J$32*Registro_Compras!$N$32,2))))</f>
        <v>299.42</v>
      </c>
      <c r="F257" s="20" t="str">
        <f>""</f>
        <v/>
      </c>
      <c r="G257" t="str">
        <f>IF($C257="","",IF(Registro_Compras!$F$32="NOTA DE CREDITO","Por la nota de credito "&amp;Registro_Compras!$C$32&amp;" de "&amp;Registro_Compras!$E$32&amp;" [PATRON POR CONFIRMAR CON CONTADOR]",IF(Registro_Compras!$F$32="RHE","Por el registro del recibo por honorarios "&amp;Registro_Compras!$C$32&amp;" de "&amp;Registro_Compras!$E$32&amp;" [PATRON POR CONFIRMAR CON CONTADOR]","Por el registro de la factura "&amp;Registro_Compras!$C$32&amp;" de "&amp;Registro_Compras!$E$32)))</f>
        <v>Por el registro de la factura F011-30391 de ALBERGUE OLLANTAYTAMBO EIRL</v>
      </c>
      <c r="H257" t="str">
        <f>IF($C257="","",Registro_Compras!$C$32)</f>
        <v>F011-30391</v>
      </c>
    </row>
    <row r="258" spans="1:8" x14ac:dyDescent="0.25">
      <c r="A258" s="25">
        <f>IF($C258="","",Registro_Compras!$B$32)</f>
        <v>46253</v>
      </c>
      <c r="B258" t="str">
        <f>IF($C258="","","C"&amp;TEXT(INT((ROW()-5)/9)+1,"000")&amp;"-1")</f>
        <v>C029-1</v>
      </c>
      <c r="C258" t="str">
        <f>IF(OR(Registro_Compras!$C$32="",Registro_Compras!$O$32=""),"",IF(Registro_Compras!$F$32="RHE",IF(Registro_Compras!$V$32=0,"","4017"),IF(Registro_Compras!$F$32="NOTA DE CREDITO",IF(Registro_Compras!$M$32="","63",Registro_Compras!$M$32),IF(Registro_Compras!$K$32=0,"","40111"))))</f>
        <v>40111</v>
      </c>
      <c r="D258" t="str">
        <f>IF(OR(Registro_Compras!$C$32="",Registro_Compras!$O$32=""),"",IF(Registro_Compras!$F$32="RHE","Retencion Renta 4ta Categoria por Pagar",IF(Registro_Compras!$F$32="NOTA DE CREDITO","Gastos de Servicios Prestados por Terceros","IGV - Cuenta Propia (Credito Fiscal)")))</f>
        <v>IGV - Cuenta Propia (Credito Fiscal)</v>
      </c>
      <c r="E258" s="20">
        <f>IF($C258="","",IF(Registro_Compras!$F$32="FACTURA",ROUND(Registro_Compras!$K$32*Registro_Compras!$N$32,2),""))</f>
        <v>53.89</v>
      </c>
      <c r="F258" s="20" t="str">
        <f>IF($C258="","",IF(Registro_Compras!$F$32="RHE",ROUND(Registro_Compras!$V$32*Registro_Compras!$N$32,2),IF(Registro_Compras!$F$32="NOTA DE CREDITO",ROUND(ABS(Registro_Compras!$J$32*Registro_Compras!$N$32),2),"")))</f>
        <v/>
      </c>
      <c r="G258" t="str">
        <f>IF($C258="","",IF(Registro_Compras!$F$32="NOTA DE CREDITO","Por la nota de credito "&amp;Registro_Compras!$C$32&amp;" de "&amp;Registro_Compras!$E$32&amp;" [PATRON POR CONFIRMAR CON CONTADOR]",IF(Registro_Compras!$F$32="RHE","Por el registro del recibo por honorarios "&amp;Registro_Compras!$C$32&amp;" de "&amp;Registro_Compras!$E$32&amp;" [PATRON POR CONFIRMAR CON CONTADOR]","Por el registro de la factura "&amp;Registro_Compras!$C$32&amp;" de "&amp;Registro_Compras!$E$32)))</f>
        <v>Por el registro de la factura F011-30391 de ALBERGUE OLLANTAYTAMBO EIRL</v>
      </c>
      <c r="H258" t="str">
        <f>IF($C258="","",Registro_Compras!$C$32)</f>
        <v>F011-30391</v>
      </c>
    </row>
    <row r="259" spans="1:8" x14ac:dyDescent="0.25">
      <c r="A259" s="25">
        <f>IF($C259="","",Registro_Compras!$B$32)</f>
        <v>46253</v>
      </c>
      <c r="B259" t="str">
        <f>IF($C259="","","C"&amp;TEXT(INT((ROW()-5)/9)+1,"000")&amp;"-1")</f>
        <v>C029-1</v>
      </c>
      <c r="C259" t="str">
        <f>IF(OR(Registro_Compras!$C$32="",Registro_Compras!$O$32=""),"",IF(Registro_Compras!$F$32="NOTA DE CREDITO",IF(Registro_Compras!$K$32=0,"","40111"),"4212"))</f>
        <v>4212</v>
      </c>
      <c r="D259" t="str">
        <f>IF(OR(Registro_Compras!$C$32="",Registro_Compras!$O$32=""),"",IF(Registro_Compras!$F$32="NOTA DE CREDITO","IGV - Cuenta Propia (Credito Fiscal)","Cuentas por Pagar Comerciales - Terceros (Emitidas)"))</f>
        <v>Cuentas por Pagar Comerciales - Terceros (Emitidas)</v>
      </c>
      <c r="E259" s="20" t="str">
        <f>""</f>
        <v/>
      </c>
      <c r="F259" s="20">
        <f>IF($C259="","",IF(Registro_Compras!$F$32="NOTA DE CREDITO",ROUND(ABS(Registro_Compras!$K$32*Registro_Compras!$N$32),2),IF(Registro_Compras!$F$32="RHE",(ROUND(Registro_Compras!$L$32*Registro_Compras!$N$32,2)-ROUND(Registro_Compras!$V$32*Registro_Compras!$N$32,2)),Registro_Compras!$O$32)))</f>
        <v>353.31</v>
      </c>
      <c r="G259" t="str">
        <f>IF($C259="","",IF(Registro_Compras!$F$32="NOTA DE CREDITO","Por la nota de credito "&amp;Registro_Compras!$C$32&amp;" de "&amp;Registro_Compras!$E$32&amp;" [PATRON POR CONFIRMAR CON CONTADOR]",IF(Registro_Compras!$F$32="RHE","Por el registro del recibo por honorarios "&amp;Registro_Compras!$C$32&amp;" de "&amp;Registro_Compras!$E$32&amp;" [PATRON POR CONFIRMAR CON CONTADOR]","Por el registro de la factura "&amp;Registro_Compras!$C$32&amp;" de "&amp;Registro_Compras!$E$32)))</f>
        <v>Por el registro de la factura F011-30391 de ALBERGUE OLLANTAYTAMBO EIRL</v>
      </c>
      <c r="H259" t="str">
        <f>IF($C259="","",Registro_Compras!$C$32)</f>
        <v>F011-30391</v>
      </c>
    </row>
    <row r="260" spans="1:8" x14ac:dyDescent="0.25">
      <c r="A260" s="25">
        <f>IF($C260="","",Registro_Compras!$B$32)</f>
        <v>46253</v>
      </c>
      <c r="B260" t="str">
        <f>IF($C260="","","C"&amp;TEXT(INT((ROW()-5)/9)+1,"000")&amp;"-2")</f>
        <v>C029-2</v>
      </c>
      <c r="C260" t="str">
        <f>IF(OR(Registro_Compras!$C$32="",Registro_Compras!$O$32=""),"",IF(Registro_Compras!$AB$32="ADMINISTRATIVO","94","95"))</f>
        <v>95</v>
      </c>
      <c r="D260" t="str">
        <f>IF(OR(Registro_Compras!$C$32="",Registro_Compras!$O$32=""),"",IF(Registro_Compras!$AB$32="ADMINISTRATIVO","Gastos Administrativos","Gastos de Venta y Operacion"))</f>
        <v>Gastos de Venta y Operacion</v>
      </c>
      <c r="E260" s="20">
        <f>IF($C260="","",IF(Registro_Compras!$F$32="NOTA DE CREDITO","",IF(Registro_Compras!$F$32="RHE",ROUND(Registro_Compras!$L$32*Registro_Compras!$N$32,2),ROUND(Registro_Compras!$J$32*Registro_Compras!$N$32,2))))</f>
        <v>299.42</v>
      </c>
      <c r="F260" s="20" t="str">
        <f>IF($C260="","",IF(Registro_Compras!$F$32="NOTA DE CREDITO",ROUND(ABS(Registro_Compras!$J$32*Registro_Compras!$N$32),2),""))</f>
        <v/>
      </c>
      <c r="G260" t="str">
        <f>IF($C260="","","Por el destino del gasto")</f>
        <v>Por el destino del gasto</v>
      </c>
      <c r="H260" t="str">
        <f>IF($C260="","",Registro_Compras!$C$32)</f>
        <v>F011-30391</v>
      </c>
    </row>
    <row r="261" spans="1:8" x14ac:dyDescent="0.25">
      <c r="A261" s="25">
        <f>IF($C261="","",Registro_Compras!$B$32)</f>
        <v>46253</v>
      </c>
      <c r="B261" t="str">
        <f>IF($C261="","","C"&amp;TEXT(INT((ROW()-5)/9)+1,"000")&amp;"-2")</f>
        <v>C029-2</v>
      </c>
      <c r="C261" t="str">
        <f>IF(OR(Registro_Compras!$C$32="",Registro_Compras!$O$32=""),"","79/791")</f>
        <v>79/791</v>
      </c>
      <c r="D261" t="str">
        <f>IF(OR(Registro_Compras!$C$32="",Registro_Compras!$O$32=""),"","Cargas Imputables a Cuentas de Costos y Gastos")</f>
        <v>Cargas Imputables a Cuentas de Costos y Gastos</v>
      </c>
      <c r="E261" s="20" t="str">
        <f>IF($C261="","",IF(Registro_Compras!$F$32="NOTA DE CREDITO",ROUND(ABS(Registro_Compras!$J$32*Registro_Compras!$N$32),2),""))</f>
        <v/>
      </c>
      <c r="F261" s="20">
        <f>IF($C261="","",IF(Registro_Compras!$F$32="NOTA DE CREDITO","",IF(Registro_Compras!$F$32="RHE",ROUND(Registro_Compras!$L$32*Registro_Compras!$N$32,2),ROUND(Registro_Compras!$J$32*Registro_Compras!$N$32,2))))</f>
        <v>299.42</v>
      </c>
      <c r="G261" t="str">
        <f>IF($C261="","","Por el destino del gasto")</f>
        <v>Por el destino del gasto</v>
      </c>
      <c r="H261" t="str">
        <f>IF($C261="","",Registro_Compras!$C$32)</f>
        <v>F011-30391</v>
      </c>
    </row>
    <row r="262" spans="1:8" x14ac:dyDescent="0.25">
      <c r="A262" s="25" t="str">
        <f>IF($C262="","",Registro_Compras!$X$32)</f>
        <v/>
      </c>
      <c r="B262" t="str">
        <f>IF($C262="","","C"&amp;TEXT(INT((ROW()-5)/9)+1,"000")&amp;"-3")</f>
        <v/>
      </c>
      <c r="C262" t="str">
        <f>IF(OR(Registro_Compras!$C$32="",Registro_Compras!$O$32="",Registro_Compras!$R$32&lt;&gt;"SI",Registro_Compras!$X$32=""),"","4212")</f>
        <v/>
      </c>
      <c r="D262" t="str">
        <f>IF(OR(Registro_Compras!$C$32="",Registro_Compras!$O$32=""),"","Cuentas por Pagar Comerciales - Terceros")</f>
        <v>Cuentas por Pagar Comerciales - Terceros</v>
      </c>
      <c r="E262" s="20" t="str">
        <f>IF($C262="","",Registro_Compras!$S$32)</f>
        <v/>
      </c>
      <c r="F262" s="20" t="str">
        <f>""</f>
        <v/>
      </c>
      <c r="G262" t="str">
        <f>IF($C262="","","Por el deposito de la detraccion en el Banco de la Nacion")</f>
        <v/>
      </c>
      <c r="H262" t="str">
        <f>IF($C262="","",Registro_Compras!$C$32)</f>
        <v/>
      </c>
    </row>
    <row r="263" spans="1:8" x14ac:dyDescent="0.25">
      <c r="A263" s="25" t="str">
        <f>IF($C263="","",Registro_Compras!$X$32)</f>
        <v/>
      </c>
      <c r="B263" t="str">
        <f>IF($C263="","","C"&amp;TEXT(INT((ROW()-5)/9)+1,"000")&amp;"-3")</f>
        <v/>
      </c>
      <c r="C263" t="str">
        <f>IF(OR(Registro_Compras!$C$32="",Registro_Compras!$O$32="",Registro_Compras!$R$32&lt;&gt;"SI",Registro_Compras!$X$32=""),"","1041")</f>
        <v/>
      </c>
      <c r="D263" t="str">
        <f>IF(OR(Registro_Compras!$C$32="",Registro_Compras!$O$32=""),"","Efectivo y Equivalentes - Cta. Cte. Operativa")</f>
        <v>Efectivo y Equivalentes - Cta. Cte. Operativa</v>
      </c>
      <c r="E263" s="20" t="str">
        <f>""</f>
        <v/>
      </c>
      <c r="F263" s="20" t="str">
        <f>IF($C263="","",Registro_Compras!$S$32)</f>
        <v/>
      </c>
      <c r="G263" t="str">
        <f>IF($C263="","","Por el deposito de la detraccion en el Banco de la Nacion")</f>
        <v/>
      </c>
      <c r="H263" t="str">
        <f>IF($C263="","",Registro_Compras!$C$32)</f>
        <v/>
      </c>
    </row>
    <row r="264" spans="1:8" x14ac:dyDescent="0.25">
      <c r="A264" s="25" t="str">
        <f>IF($C264="","",Registro_Compras!$Y$32)</f>
        <v/>
      </c>
      <c r="B264" t="str">
        <f>IF($C264="","","C"&amp;TEXT(INT((ROW()-5)/9)+1,"000")&amp;"-4")</f>
        <v/>
      </c>
      <c r="C264" t="str">
        <f>IF(OR(Registro_Compras!$C$32="",Registro_Compras!$O$32="",Registro_Compras!$Y$32="",Registro_Compras!$F$32="NOTA DE CREDITO"),"","4212")</f>
        <v/>
      </c>
      <c r="D264" t="str">
        <f>IF(OR(Registro_Compras!$C$32="",Registro_Compras!$O$32=""),"","Cuentas por Pagar Comerciales - Terceros")</f>
        <v>Cuentas por Pagar Comerciales - Terceros</v>
      </c>
      <c r="E264" s="20" t="str">
        <f>IF($C264="","",IF(Registro_Compras!$F$32="RHE",(ROUND(Registro_Compras!$L$32*Registro_Compras!$N$32,2)-ROUND(Registro_Compras!$V$32*Registro_Compras!$N$32,2)),ROUND(Registro_Compras!$O$32-Registro_Compras!$S$32,2)))</f>
        <v/>
      </c>
      <c r="F264" s="20" t="str">
        <f>""</f>
        <v/>
      </c>
      <c r="G264" t="str">
        <f>IF($C264="","","Por la cancelacion del saldo al proveedor")</f>
        <v/>
      </c>
      <c r="H264" t="str">
        <f>IF($C264="","",Registro_Compras!$C$32)</f>
        <v/>
      </c>
    </row>
    <row r="265" spans="1:8" x14ac:dyDescent="0.25">
      <c r="A265" s="25" t="str">
        <f>IF($C265="","",Registro_Compras!$Y$32)</f>
        <v/>
      </c>
      <c r="B265" t="str">
        <f>IF($C265="","","C"&amp;TEXT(INT((ROW()-5)/9)+1,"000")&amp;"-4")</f>
        <v/>
      </c>
      <c r="C265" t="str">
        <f>IF(OR(Registro_Compras!$C$32="",Registro_Compras!$O$32="",Registro_Compras!$Y$32="",Registro_Compras!$F$32="NOTA DE CREDITO"),"","1041")</f>
        <v/>
      </c>
      <c r="D265" t="str">
        <f>IF(OR(Registro_Compras!$C$32="",Registro_Compras!$O$32=""),"","Efectivo y Equivalentes - Cta. Cte. Operativa")</f>
        <v>Efectivo y Equivalentes - Cta. Cte. Operativa</v>
      </c>
      <c r="E265" s="20" t="str">
        <f>""</f>
        <v/>
      </c>
      <c r="F265" s="20" t="str">
        <f>IF($C265="","",IF(Registro_Compras!$F$32="RHE",(ROUND(Registro_Compras!$L$32*Registro_Compras!$N$32,2)-ROUND(Registro_Compras!$V$32*Registro_Compras!$N$32,2)),ROUND(Registro_Compras!$O$32-Registro_Compras!$S$32,2)))</f>
        <v/>
      </c>
      <c r="G265" t="str">
        <f>IF($C265="","","Por la cancelacion del saldo al proveedor")</f>
        <v/>
      </c>
      <c r="H265" t="str">
        <f>IF($C265="","",Registro_Compras!$C$32)</f>
        <v/>
      </c>
    </row>
    <row r="266" spans="1:8" x14ac:dyDescent="0.25">
      <c r="A266" s="25">
        <f>IF($C266="","",Registro_Compras!$B$33)</f>
        <v>46239</v>
      </c>
      <c r="B266" t="str">
        <f>IF($C266="","","C"&amp;TEXT(INT((ROW()-5)/9)+1,"000")&amp;"-1")</f>
        <v>C030-1</v>
      </c>
      <c r="C266" t="str">
        <f>IF(OR(Registro_Compras!$C$33="",Registro_Compras!$O$33=""),"",IF(Registro_Compras!$F$33="NOTA DE CREDITO","4212",IF(Registro_Compras!$M$33="","63",Registro_Compras!$M$33)))</f>
        <v>632</v>
      </c>
      <c r="D266" t="str">
        <f>IF(OR(Registro_Compras!$C$33="",Registro_Compras!$O$33=""),"",IF(Registro_Compras!$F$33="NOTA DE CREDITO","Cuentas por Pagar Comerciales - Terceros (Emitidas)",IF(Registro_Compras!$F$33="RHE","Honorarios Profesionales - Servicios de Terceros","Gastos de Servicios Prestados por Terceros")))</f>
        <v>Honorarios Profesionales - Servicios de Terceros</v>
      </c>
      <c r="E266" s="20">
        <f>IF($C266="","",IF(Registro_Compras!$F$33="NOTA DE CREDITO",ABS(Registro_Compras!$O$33),IF(Registro_Compras!$F$33="RHE",ROUND(Registro_Compras!$L$33*Registro_Compras!$N$33,2),ROUND(Registro_Compras!$J$33*Registro_Compras!$N$33,2))))</f>
        <v>40</v>
      </c>
      <c r="F266" s="20" t="str">
        <f>""</f>
        <v/>
      </c>
      <c r="G266" t="str">
        <f>IF($C266="","",IF(Registro_Compras!$F$33="NOTA DE CREDITO","Por la nota de credito "&amp;Registro_Compras!$C$33&amp;" de "&amp;Registro_Compras!$E$33&amp;" [PATRON POR CONFIRMAR CON CONTADOR]",IF(Registro_Compras!$F$33="RHE","Por el registro del recibo por honorarios "&amp;Registro_Compras!$C$33&amp;" de "&amp;Registro_Compras!$E$33&amp;" [PATRON POR CONFIRMAR CON CONTADOR]","Por el registro de la factura "&amp;Registro_Compras!$C$33&amp;" de "&amp;Registro_Compras!$E$33)))</f>
        <v>Por el registro del recibo por honorarios E001- 468 de ANCAYPURO TORRES JOSE LUIS [PATRON POR CONFIRMAR CON CONTADOR]</v>
      </c>
      <c r="H266" t="str">
        <f>IF($C266="","",Registro_Compras!$C$33)</f>
        <v>E001- 468</v>
      </c>
    </row>
    <row r="267" spans="1:8" x14ac:dyDescent="0.25">
      <c r="A267" s="25" t="str">
        <f>IF($C267="","",Registro_Compras!$B$33)</f>
        <v/>
      </c>
      <c r="B267" t="str">
        <f>IF($C267="","","C"&amp;TEXT(INT((ROW()-5)/9)+1,"000")&amp;"-1")</f>
        <v/>
      </c>
      <c r="C267" t="str">
        <f>IF(OR(Registro_Compras!$C$33="",Registro_Compras!$O$33=""),"",IF(Registro_Compras!$F$33="RHE",IF(Registro_Compras!$V$33=0,"","4017"),IF(Registro_Compras!$F$33="NOTA DE CREDITO",IF(Registro_Compras!$M$33="","63",Registro_Compras!$M$33),IF(Registro_Compras!$K$33=0,"","40111"))))</f>
        <v/>
      </c>
      <c r="D267" t="str">
        <f>IF(OR(Registro_Compras!$C$33="",Registro_Compras!$O$33=""),"",IF(Registro_Compras!$F$33="RHE","Retencion Renta 4ta Categoria por Pagar",IF(Registro_Compras!$F$33="NOTA DE CREDITO","Gastos de Servicios Prestados por Terceros","IGV - Cuenta Propia (Credito Fiscal)")))</f>
        <v>Retencion Renta 4ta Categoria por Pagar</v>
      </c>
      <c r="E267" s="20" t="str">
        <f>IF($C267="","",IF(Registro_Compras!$F$33="FACTURA",ROUND(Registro_Compras!$K$33*Registro_Compras!$N$33,2),""))</f>
        <v/>
      </c>
      <c r="F267" s="20" t="str">
        <f>IF($C267="","",IF(Registro_Compras!$F$33="RHE",ROUND(Registro_Compras!$V$33*Registro_Compras!$N$33,2),IF(Registro_Compras!$F$33="NOTA DE CREDITO",ROUND(ABS(Registro_Compras!$J$33*Registro_Compras!$N$33),2),"")))</f>
        <v/>
      </c>
      <c r="G267" t="str">
        <f>IF($C267="","",IF(Registro_Compras!$F$33="NOTA DE CREDITO","Por la nota de credito "&amp;Registro_Compras!$C$33&amp;" de "&amp;Registro_Compras!$E$33&amp;" [PATRON POR CONFIRMAR CON CONTADOR]",IF(Registro_Compras!$F$33="RHE","Por el registro del recibo por honorarios "&amp;Registro_Compras!$C$33&amp;" de "&amp;Registro_Compras!$E$33&amp;" [PATRON POR CONFIRMAR CON CONTADOR]","Por el registro de la factura "&amp;Registro_Compras!$C$33&amp;" de "&amp;Registro_Compras!$E$33)))</f>
        <v/>
      </c>
      <c r="H267" t="str">
        <f>IF($C267="","",Registro_Compras!$C$33)</f>
        <v/>
      </c>
    </row>
    <row r="268" spans="1:8" x14ac:dyDescent="0.25">
      <c r="A268" s="25">
        <f>IF($C268="","",Registro_Compras!$B$33)</f>
        <v>46239</v>
      </c>
      <c r="B268" t="str">
        <f>IF($C268="","","C"&amp;TEXT(INT((ROW()-5)/9)+1,"000")&amp;"-1")</f>
        <v>C030-1</v>
      </c>
      <c r="C268" t="str">
        <f>IF(OR(Registro_Compras!$C$33="",Registro_Compras!$O$33=""),"",IF(Registro_Compras!$F$33="NOTA DE CREDITO",IF(Registro_Compras!$K$33=0,"","40111"),"4212"))</f>
        <v>4212</v>
      </c>
      <c r="D268" t="str">
        <f>IF(OR(Registro_Compras!$C$33="",Registro_Compras!$O$33=""),"",IF(Registro_Compras!$F$33="NOTA DE CREDITO","IGV - Cuenta Propia (Credito Fiscal)","Cuentas por Pagar Comerciales - Terceros (Emitidas)"))</f>
        <v>Cuentas por Pagar Comerciales - Terceros (Emitidas)</v>
      </c>
      <c r="E268" s="20" t="str">
        <f>""</f>
        <v/>
      </c>
      <c r="F268" s="20">
        <f>IF($C268="","",IF(Registro_Compras!$F$33="NOTA DE CREDITO",ROUND(ABS(Registro_Compras!$K$33*Registro_Compras!$N$33),2),IF(Registro_Compras!$F$33="RHE",(ROUND(Registro_Compras!$L$33*Registro_Compras!$N$33,2)-ROUND(Registro_Compras!$V$33*Registro_Compras!$N$33,2)),Registro_Compras!$O$33)))</f>
        <v>40</v>
      </c>
      <c r="G268" t="str">
        <f>IF($C268="","",IF(Registro_Compras!$F$33="NOTA DE CREDITO","Por la nota de credito "&amp;Registro_Compras!$C$33&amp;" de "&amp;Registro_Compras!$E$33&amp;" [PATRON POR CONFIRMAR CON CONTADOR]",IF(Registro_Compras!$F$33="RHE","Por el registro del recibo por honorarios "&amp;Registro_Compras!$C$33&amp;" de "&amp;Registro_Compras!$E$33&amp;" [PATRON POR CONFIRMAR CON CONTADOR]","Por el registro de la factura "&amp;Registro_Compras!$C$33&amp;" de "&amp;Registro_Compras!$E$33)))</f>
        <v>Por el registro del recibo por honorarios E001- 468 de ANCAYPURO TORRES JOSE LUIS [PATRON POR CONFIRMAR CON CONTADOR]</v>
      </c>
      <c r="H268" t="str">
        <f>IF($C268="","",Registro_Compras!$C$33)</f>
        <v>E001- 468</v>
      </c>
    </row>
    <row r="269" spans="1:8" x14ac:dyDescent="0.25">
      <c r="A269" s="25">
        <f>IF($C269="","",Registro_Compras!$B$33)</f>
        <v>46239</v>
      </c>
      <c r="B269" t="str">
        <f>IF($C269="","","C"&amp;TEXT(INT((ROW()-5)/9)+1,"000")&amp;"-2")</f>
        <v>C030-2</v>
      </c>
      <c r="C269" t="str">
        <f>IF(OR(Registro_Compras!$C$33="",Registro_Compras!$O$33=""),"",IF(Registro_Compras!$AB$33="ADMINISTRATIVO","94","95"))</f>
        <v>95</v>
      </c>
      <c r="D269" t="str">
        <f>IF(OR(Registro_Compras!$C$33="",Registro_Compras!$O$33=""),"",IF(Registro_Compras!$AB$33="ADMINISTRATIVO","Gastos Administrativos","Gastos de Venta y Operacion"))</f>
        <v>Gastos de Venta y Operacion</v>
      </c>
      <c r="E269" s="20">
        <f>IF($C269="","",IF(Registro_Compras!$F$33="NOTA DE CREDITO","",IF(Registro_Compras!$F$33="RHE",ROUND(Registro_Compras!$L$33*Registro_Compras!$N$33,2),ROUND(Registro_Compras!$J$33*Registro_Compras!$N$33,2))))</f>
        <v>40</v>
      </c>
      <c r="F269" s="20" t="str">
        <f>IF($C269="","",IF(Registro_Compras!$F$33="NOTA DE CREDITO",ROUND(ABS(Registro_Compras!$J$33*Registro_Compras!$N$33),2),""))</f>
        <v/>
      </c>
      <c r="G269" t="str">
        <f>IF($C269="","","Por el destino del gasto")</f>
        <v>Por el destino del gasto</v>
      </c>
      <c r="H269" t="str">
        <f>IF($C269="","",Registro_Compras!$C$33)</f>
        <v>E001- 468</v>
      </c>
    </row>
    <row r="270" spans="1:8" x14ac:dyDescent="0.25">
      <c r="A270" s="25">
        <f>IF($C270="","",Registro_Compras!$B$33)</f>
        <v>46239</v>
      </c>
      <c r="B270" t="str">
        <f>IF($C270="","","C"&amp;TEXT(INT((ROW()-5)/9)+1,"000")&amp;"-2")</f>
        <v>C030-2</v>
      </c>
      <c r="C270" t="str">
        <f>IF(OR(Registro_Compras!$C$33="",Registro_Compras!$O$33=""),"","79/791")</f>
        <v>79/791</v>
      </c>
      <c r="D270" t="str">
        <f>IF(OR(Registro_Compras!$C$33="",Registro_Compras!$O$33=""),"","Cargas Imputables a Cuentas de Costos y Gastos")</f>
        <v>Cargas Imputables a Cuentas de Costos y Gastos</v>
      </c>
      <c r="E270" s="20" t="str">
        <f>IF($C270="","",IF(Registro_Compras!$F$33="NOTA DE CREDITO",ROUND(ABS(Registro_Compras!$J$33*Registro_Compras!$N$33),2),""))</f>
        <v/>
      </c>
      <c r="F270" s="20">
        <f>IF($C270="","",IF(Registro_Compras!$F$33="NOTA DE CREDITO","",IF(Registro_Compras!$F$33="RHE",ROUND(Registro_Compras!$L$33*Registro_Compras!$N$33,2),ROUND(Registro_Compras!$J$33*Registro_Compras!$N$33,2))))</f>
        <v>40</v>
      </c>
      <c r="G270" t="str">
        <f>IF($C270="","","Por el destino del gasto")</f>
        <v>Por el destino del gasto</v>
      </c>
      <c r="H270" t="str">
        <f>IF($C270="","",Registro_Compras!$C$33)</f>
        <v>E001- 468</v>
      </c>
    </row>
    <row r="271" spans="1:8" x14ac:dyDescent="0.25">
      <c r="A271" s="25" t="str">
        <f>IF($C271="","",Registro_Compras!$X$33)</f>
        <v/>
      </c>
      <c r="B271" t="str">
        <f>IF($C271="","","C"&amp;TEXT(INT((ROW()-5)/9)+1,"000")&amp;"-3")</f>
        <v/>
      </c>
      <c r="C271" t="str">
        <f>IF(OR(Registro_Compras!$C$33="",Registro_Compras!$O$33="",Registro_Compras!$R$33&lt;&gt;"SI",Registro_Compras!$X$33=""),"","4212")</f>
        <v/>
      </c>
      <c r="D271" t="str">
        <f>IF(OR(Registro_Compras!$C$33="",Registro_Compras!$O$33=""),"","Cuentas por Pagar Comerciales - Terceros")</f>
        <v>Cuentas por Pagar Comerciales - Terceros</v>
      </c>
      <c r="E271" s="20" t="str">
        <f>IF($C271="","",Registro_Compras!$S$33)</f>
        <v/>
      </c>
      <c r="F271" s="20" t="str">
        <f>""</f>
        <v/>
      </c>
      <c r="G271" t="str">
        <f>IF($C271="","","Por el deposito de la detraccion en el Banco de la Nacion")</f>
        <v/>
      </c>
      <c r="H271" t="str">
        <f>IF($C271="","",Registro_Compras!$C$33)</f>
        <v/>
      </c>
    </row>
    <row r="272" spans="1:8" x14ac:dyDescent="0.25">
      <c r="A272" s="25" t="str">
        <f>IF($C272="","",Registro_Compras!$X$33)</f>
        <v/>
      </c>
      <c r="B272" t="str">
        <f>IF($C272="","","C"&amp;TEXT(INT((ROW()-5)/9)+1,"000")&amp;"-3")</f>
        <v/>
      </c>
      <c r="C272" t="str">
        <f>IF(OR(Registro_Compras!$C$33="",Registro_Compras!$O$33="",Registro_Compras!$R$33&lt;&gt;"SI",Registro_Compras!$X$33=""),"","1041")</f>
        <v/>
      </c>
      <c r="D272" t="str">
        <f>IF(OR(Registro_Compras!$C$33="",Registro_Compras!$O$33=""),"","Efectivo y Equivalentes - Cta. Cte. Operativa")</f>
        <v>Efectivo y Equivalentes - Cta. Cte. Operativa</v>
      </c>
      <c r="E272" s="20" t="str">
        <f>""</f>
        <v/>
      </c>
      <c r="F272" s="20" t="str">
        <f>IF($C272="","",Registro_Compras!$S$33)</f>
        <v/>
      </c>
      <c r="G272" t="str">
        <f>IF($C272="","","Por el deposito de la detraccion en el Banco de la Nacion")</f>
        <v/>
      </c>
      <c r="H272" t="str">
        <f>IF($C272="","",Registro_Compras!$C$33)</f>
        <v/>
      </c>
    </row>
    <row r="273" spans="1:8" x14ac:dyDescent="0.25">
      <c r="A273" s="25" t="str">
        <f>IF($C273="","",Registro_Compras!$Y$33)</f>
        <v/>
      </c>
      <c r="B273" t="str">
        <f>IF($C273="","","C"&amp;TEXT(INT((ROW()-5)/9)+1,"000")&amp;"-4")</f>
        <v/>
      </c>
      <c r="C273" t="str">
        <f>IF(OR(Registro_Compras!$C$33="",Registro_Compras!$O$33="",Registro_Compras!$Y$33="",Registro_Compras!$F$33="NOTA DE CREDITO"),"","4212")</f>
        <v/>
      </c>
      <c r="D273" t="str">
        <f>IF(OR(Registro_Compras!$C$33="",Registro_Compras!$O$33=""),"","Cuentas por Pagar Comerciales - Terceros")</f>
        <v>Cuentas por Pagar Comerciales - Terceros</v>
      </c>
      <c r="E273" s="20" t="str">
        <f>IF($C273="","",IF(Registro_Compras!$F$33="RHE",(ROUND(Registro_Compras!$L$33*Registro_Compras!$N$33,2)-ROUND(Registro_Compras!$V$33*Registro_Compras!$N$33,2)),ROUND(Registro_Compras!$O$33-Registro_Compras!$S$33,2)))</f>
        <v/>
      </c>
      <c r="F273" s="20" t="str">
        <f>""</f>
        <v/>
      </c>
      <c r="G273" t="str">
        <f>IF($C273="","","Por la cancelacion del saldo al proveedor")</f>
        <v/>
      </c>
      <c r="H273" t="str">
        <f>IF($C273="","",Registro_Compras!$C$33)</f>
        <v/>
      </c>
    </row>
    <row r="274" spans="1:8" x14ac:dyDescent="0.25">
      <c r="A274" s="25" t="str">
        <f>IF($C274="","",Registro_Compras!$Y$33)</f>
        <v/>
      </c>
      <c r="B274" t="str">
        <f>IF($C274="","","C"&amp;TEXT(INT((ROW()-5)/9)+1,"000")&amp;"-4")</f>
        <v/>
      </c>
      <c r="C274" t="str">
        <f>IF(OR(Registro_Compras!$C$33="",Registro_Compras!$O$33="",Registro_Compras!$Y$33="",Registro_Compras!$F$33="NOTA DE CREDITO"),"","1041")</f>
        <v/>
      </c>
      <c r="D274" t="str">
        <f>IF(OR(Registro_Compras!$C$33="",Registro_Compras!$O$33=""),"","Efectivo y Equivalentes - Cta. Cte. Operativa")</f>
        <v>Efectivo y Equivalentes - Cta. Cte. Operativa</v>
      </c>
      <c r="E274" s="20" t="str">
        <f>""</f>
        <v/>
      </c>
      <c r="F274" s="20" t="str">
        <f>IF($C274="","",IF(Registro_Compras!$F$33="RHE",(ROUND(Registro_Compras!$L$33*Registro_Compras!$N$33,2)-ROUND(Registro_Compras!$V$33*Registro_Compras!$N$33,2)),ROUND(Registro_Compras!$O$33-Registro_Compras!$S$33,2)))</f>
        <v/>
      </c>
      <c r="G274" t="str">
        <f>IF($C274="","","Por la cancelacion del saldo al proveedor")</f>
        <v/>
      </c>
      <c r="H274" t="str">
        <f>IF($C274="","",Registro_Compras!$C$33)</f>
        <v/>
      </c>
    </row>
    <row r="275" spans="1:8" x14ac:dyDescent="0.25">
      <c r="A275" s="25">
        <f>IF($C275="","",Registro_Compras!$B$34)</f>
        <v>46244</v>
      </c>
      <c r="B275" t="str">
        <f>IF($C275="","","C"&amp;TEXT(INT((ROW()-5)/9)+1,"000")&amp;"-1")</f>
        <v>C031-1</v>
      </c>
      <c r="C275" t="str">
        <f>IF(OR(Registro_Compras!$C$34="",Registro_Compras!$O$34=""),"",IF(Registro_Compras!$F$34="NOTA DE CREDITO","4212",IF(Registro_Compras!$M$34="","63",Registro_Compras!$M$34)))</f>
        <v>632</v>
      </c>
      <c r="D275" t="str">
        <f>IF(OR(Registro_Compras!$C$34="",Registro_Compras!$O$34=""),"",IF(Registro_Compras!$F$34="NOTA DE CREDITO","Cuentas por Pagar Comerciales - Terceros (Emitidas)",IF(Registro_Compras!$F$34="RHE","Honorarios Profesionales - Servicios de Terceros","Gastos de Servicios Prestados por Terceros")))</f>
        <v>Honorarios Profesionales - Servicios de Terceros</v>
      </c>
      <c r="E275" s="20">
        <f>IF($C275="","",IF(Registro_Compras!$F$34="NOTA DE CREDITO",ABS(Registro_Compras!$O$34),IF(Registro_Compras!$F$34="RHE",ROUND(Registro_Compras!$L$34*Registro_Compras!$N$34,2),ROUND(Registro_Compras!$J$34*Registro_Compras!$N$34,2))))</f>
        <v>1025</v>
      </c>
      <c r="F275" s="20" t="str">
        <f>""</f>
        <v/>
      </c>
      <c r="G275" t="str">
        <f>IF($C275="","",IF(Registro_Compras!$F$34="NOTA DE CREDITO","Por la nota de credito "&amp;Registro_Compras!$C$34&amp;" de "&amp;Registro_Compras!$E$34&amp;" [PATRON POR CONFIRMAR CON CONTADOR]",IF(Registro_Compras!$F$34="RHE","Por el registro del recibo por honorarios "&amp;Registro_Compras!$C$34&amp;" de "&amp;Registro_Compras!$E$34&amp;" [PATRON POR CONFIRMAR CON CONTADOR]","Por el registro de la factura "&amp;Registro_Compras!$C$34&amp;" de "&amp;Registro_Compras!$E$34)))</f>
        <v>Por el registro del recibo por honorarios E001- 174 de BEOUTIS BAZAN URSULA CATHERINE [PATRON POR CONFIRMAR CON CONTADOR]</v>
      </c>
      <c r="H275" t="str">
        <f>IF($C275="","",Registro_Compras!$C$34)</f>
        <v>E001- 174</v>
      </c>
    </row>
    <row r="276" spans="1:8" x14ac:dyDescent="0.25">
      <c r="A276" s="25" t="str">
        <f>IF($C276="","",Registro_Compras!$B$34)</f>
        <v/>
      </c>
      <c r="B276" t="str">
        <f>IF($C276="","","C"&amp;TEXT(INT((ROW()-5)/9)+1,"000")&amp;"-1")</f>
        <v/>
      </c>
      <c r="C276" t="str">
        <f>IF(OR(Registro_Compras!$C$34="",Registro_Compras!$O$34=""),"",IF(Registro_Compras!$F$34="RHE",IF(Registro_Compras!$V$34=0,"","4017"),IF(Registro_Compras!$F$34="NOTA DE CREDITO",IF(Registro_Compras!$M$34="","63",Registro_Compras!$M$34),IF(Registro_Compras!$K$34=0,"","40111"))))</f>
        <v/>
      </c>
      <c r="D276" t="str">
        <f>IF(OR(Registro_Compras!$C$34="",Registro_Compras!$O$34=""),"",IF(Registro_Compras!$F$34="RHE","Retencion Renta 4ta Categoria por Pagar",IF(Registro_Compras!$F$34="NOTA DE CREDITO","Gastos de Servicios Prestados por Terceros","IGV - Cuenta Propia (Credito Fiscal)")))</f>
        <v>Retencion Renta 4ta Categoria por Pagar</v>
      </c>
      <c r="E276" s="20" t="str">
        <f>IF($C276="","",IF(Registro_Compras!$F$34="FACTURA",ROUND(Registro_Compras!$K$34*Registro_Compras!$N$34,2),""))</f>
        <v/>
      </c>
      <c r="F276" s="20" t="str">
        <f>IF($C276="","",IF(Registro_Compras!$F$34="RHE",ROUND(Registro_Compras!$V$34*Registro_Compras!$N$34,2),IF(Registro_Compras!$F$34="NOTA DE CREDITO",ROUND(ABS(Registro_Compras!$J$34*Registro_Compras!$N$34),2),"")))</f>
        <v/>
      </c>
      <c r="G276" t="str">
        <f>IF($C276="","",IF(Registro_Compras!$F$34="NOTA DE CREDITO","Por la nota de credito "&amp;Registro_Compras!$C$34&amp;" de "&amp;Registro_Compras!$E$34&amp;" [PATRON POR CONFIRMAR CON CONTADOR]",IF(Registro_Compras!$F$34="RHE","Por el registro del recibo por honorarios "&amp;Registro_Compras!$C$34&amp;" de "&amp;Registro_Compras!$E$34&amp;" [PATRON POR CONFIRMAR CON CONTADOR]","Por el registro de la factura "&amp;Registro_Compras!$C$34&amp;" de "&amp;Registro_Compras!$E$34)))</f>
        <v/>
      </c>
      <c r="H276" t="str">
        <f>IF($C276="","",Registro_Compras!$C$34)</f>
        <v/>
      </c>
    </row>
    <row r="277" spans="1:8" x14ac:dyDescent="0.25">
      <c r="A277" s="25">
        <f>IF($C277="","",Registro_Compras!$B$34)</f>
        <v>46244</v>
      </c>
      <c r="B277" t="str">
        <f>IF($C277="","","C"&amp;TEXT(INT((ROW()-5)/9)+1,"000")&amp;"-1")</f>
        <v>C031-1</v>
      </c>
      <c r="C277" t="str">
        <f>IF(OR(Registro_Compras!$C$34="",Registro_Compras!$O$34=""),"",IF(Registro_Compras!$F$34="NOTA DE CREDITO",IF(Registro_Compras!$K$34=0,"","40111"),"4212"))</f>
        <v>4212</v>
      </c>
      <c r="D277" t="str">
        <f>IF(OR(Registro_Compras!$C$34="",Registro_Compras!$O$34=""),"",IF(Registro_Compras!$F$34="NOTA DE CREDITO","IGV - Cuenta Propia (Credito Fiscal)","Cuentas por Pagar Comerciales - Terceros (Emitidas)"))</f>
        <v>Cuentas por Pagar Comerciales - Terceros (Emitidas)</v>
      </c>
      <c r="E277" s="20" t="str">
        <f>""</f>
        <v/>
      </c>
      <c r="F277" s="20">
        <f>IF($C277="","",IF(Registro_Compras!$F$34="NOTA DE CREDITO",ROUND(ABS(Registro_Compras!$K$34*Registro_Compras!$N$34),2),IF(Registro_Compras!$F$34="RHE",(ROUND(Registro_Compras!$L$34*Registro_Compras!$N$34,2)-ROUND(Registro_Compras!$V$34*Registro_Compras!$N$34,2)),Registro_Compras!$O$34)))</f>
        <v>1025</v>
      </c>
      <c r="G277" t="str">
        <f>IF($C277="","",IF(Registro_Compras!$F$34="NOTA DE CREDITO","Por la nota de credito "&amp;Registro_Compras!$C$34&amp;" de "&amp;Registro_Compras!$E$34&amp;" [PATRON POR CONFIRMAR CON CONTADOR]",IF(Registro_Compras!$F$34="RHE","Por el registro del recibo por honorarios "&amp;Registro_Compras!$C$34&amp;" de "&amp;Registro_Compras!$E$34&amp;" [PATRON POR CONFIRMAR CON CONTADOR]","Por el registro de la factura "&amp;Registro_Compras!$C$34&amp;" de "&amp;Registro_Compras!$E$34)))</f>
        <v>Por el registro del recibo por honorarios E001- 174 de BEOUTIS BAZAN URSULA CATHERINE [PATRON POR CONFIRMAR CON CONTADOR]</v>
      </c>
      <c r="H277" t="str">
        <f>IF($C277="","",Registro_Compras!$C$34)</f>
        <v>E001- 174</v>
      </c>
    </row>
    <row r="278" spans="1:8" x14ac:dyDescent="0.25">
      <c r="A278" s="25">
        <f>IF($C278="","",Registro_Compras!$B$34)</f>
        <v>46244</v>
      </c>
      <c r="B278" t="str">
        <f>IF($C278="","","C"&amp;TEXT(INT((ROW()-5)/9)+1,"000")&amp;"-2")</f>
        <v>C031-2</v>
      </c>
      <c r="C278" t="str">
        <f>IF(OR(Registro_Compras!$C$34="",Registro_Compras!$O$34=""),"",IF(Registro_Compras!$AB$34="ADMINISTRATIVO","94","95"))</f>
        <v>94</v>
      </c>
      <c r="D278" t="str">
        <f>IF(OR(Registro_Compras!$C$34="",Registro_Compras!$O$34=""),"",IF(Registro_Compras!$AB$34="ADMINISTRATIVO","Gastos Administrativos","Gastos de Venta y Operacion"))</f>
        <v>Gastos Administrativos</v>
      </c>
      <c r="E278" s="20">
        <f>IF($C278="","",IF(Registro_Compras!$F$34="NOTA DE CREDITO","",IF(Registro_Compras!$F$34="RHE",ROUND(Registro_Compras!$L$34*Registro_Compras!$N$34,2),ROUND(Registro_Compras!$J$34*Registro_Compras!$N$34,2))))</f>
        <v>1025</v>
      </c>
      <c r="F278" s="20" t="str">
        <f>IF($C278="","",IF(Registro_Compras!$F$34="NOTA DE CREDITO",ROUND(ABS(Registro_Compras!$J$34*Registro_Compras!$N$34),2),""))</f>
        <v/>
      </c>
      <c r="G278" t="str">
        <f>IF($C278="","","Por el destino del gasto")</f>
        <v>Por el destino del gasto</v>
      </c>
      <c r="H278" t="str">
        <f>IF($C278="","",Registro_Compras!$C$34)</f>
        <v>E001- 174</v>
      </c>
    </row>
    <row r="279" spans="1:8" x14ac:dyDescent="0.25">
      <c r="A279" s="25">
        <f>IF($C279="","",Registro_Compras!$B$34)</f>
        <v>46244</v>
      </c>
      <c r="B279" t="str">
        <f>IF($C279="","","C"&amp;TEXT(INT((ROW()-5)/9)+1,"000")&amp;"-2")</f>
        <v>C031-2</v>
      </c>
      <c r="C279" t="str">
        <f>IF(OR(Registro_Compras!$C$34="",Registro_Compras!$O$34=""),"","79/791")</f>
        <v>79/791</v>
      </c>
      <c r="D279" t="str">
        <f>IF(OR(Registro_Compras!$C$34="",Registro_Compras!$O$34=""),"","Cargas Imputables a Cuentas de Costos y Gastos")</f>
        <v>Cargas Imputables a Cuentas de Costos y Gastos</v>
      </c>
      <c r="E279" s="20" t="str">
        <f>IF($C279="","",IF(Registro_Compras!$F$34="NOTA DE CREDITO",ROUND(ABS(Registro_Compras!$J$34*Registro_Compras!$N$34),2),""))</f>
        <v/>
      </c>
      <c r="F279" s="20">
        <f>IF($C279="","",IF(Registro_Compras!$F$34="NOTA DE CREDITO","",IF(Registro_Compras!$F$34="RHE",ROUND(Registro_Compras!$L$34*Registro_Compras!$N$34,2),ROUND(Registro_Compras!$J$34*Registro_Compras!$N$34,2))))</f>
        <v>1025</v>
      </c>
      <c r="G279" t="str">
        <f>IF($C279="","","Por el destino del gasto")</f>
        <v>Por el destino del gasto</v>
      </c>
      <c r="H279" t="str">
        <f>IF($C279="","",Registro_Compras!$C$34)</f>
        <v>E001- 174</v>
      </c>
    </row>
    <row r="280" spans="1:8" x14ac:dyDescent="0.25">
      <c r="A280" s="25" t="str">
        <f>IF($C280="","",Registro_Compras!$X$34)</f>
        <v/>
      </c>
      <c r="B280" t="str">
        <f>IF($C280="","","C"&amp;TEXT(INT((ROW()-5)/9)+1,"000")&amp;"-3")</f>
        <v/>
      </c>
      <c r="C280" t="str">
        <f>IF(OR(Registro_Compras!$C$34="",Registro_Compras!$O$34="",Registro_Compras!$R$34&lt;&gt;"SI",Registro_Compras!$X$34=""),"","4212")</f>
        <v/>
      </c>
      <c r="D280" t="str">
        <f>IF(OR(Registro_Compras!$C$34="",Registro_Compras!$O$34=""),"","Cuentas por Pagar Comerciales - Terceros")</f>
        <v>Cuentas por Pagar Comerciales - Terceros</v>
      </c>
      <c r="E280" s="20" t="str">
        <f>IF($C280="","",Registro_Compras!$S$34)</f>
        <v/>
      </c>
      <c r="F280" s="20" t="str">
        <f>""</f>
        <v/>
      </c>
      <c r="G280" t="str">
        <f>IF($C280="","","Por el deposito de la detraccion en el Banco de la Nacion")</f>
        <v/>
      </c>
      <c r="H280" t="str">
        <f>IF($C280="","",Registro_Compras!$C$34)</f>
        <v/>
      </c>
    </row>
    <row r="281" spans="1:8" x14ac:dyDescent="0.25">
      <c r="A281" s="25" t="str">
        <f>IF($C281="","",Registro_Compras!$X$34)</f>
        <v/>
      </c>
      <c r="B281" t="str">
        <f>IF($C281="","","C"&amp;TEXT(INT((ROW()-5)/9)+1,"000")&amp;"-3")</f>
        <v/>
      </c>
      <c r="C281" t="str">
        <f>IF(OR(Registro_Compras!$C$34="",Registro_Compras!$O$34="",Registro_Compras!$R$34&lt;&gt;"SI",Registro_Compras!$X$34=""),"","1041")</f>
        <v/>
      </c>
      <c r="D281" t="str">
        <f>IF(OR(Registro_Compras!$C$34="",Registro_Compras!$O$34=""),"","Efectivo y Equivalentes - Cta. Cte. Operativa")</f>
        <v>Efectivo y Equivalentes - Cta. Cte. Operativa</v>
      </c>
      <c r="E281" s="20" t="str">
        <f>""</f>
        <v/>
      </c>
      <c r="F281" s="20" t="str">
        <f>IF($C281="","",Registro_Compras!$S$34)</f>
        <v/>
      </c>
      <c r="G281" t="str">
        <f>IF($C281="","","Por el deposito de la detraccion en el Banco de la Nacion")</f>
        <v/>
      </c>
      <c r="H281" t="str">
        <f>IF($C281="","",Registro_Compras!$C$34)</f>
        <v/>
      </c>
    </row>
    <row r="282" spans="1:8" x14ac:dyDescent="0.25">
      <c r="A282" s="25" t="str">
        <f>IF($C282="","",Registro_Compras!$Y$34)</f>
        <v/>
      </c>
      <c r="B282" t="str">
        <f>IF($C282="","","C"&amp;TEXT(INT((ROW()-5)/9)+1,"000")&amp;"-4")</f>
        <v/>
      </c>
      <c r="C282" t="str">
        <f>IF(OR(Registro_Compras!$C$34="",Registro_Compras!$O$34="",Registro_Compras!$Y$34="",Registro_Compras!$F$34="NOTA DE CREDITO"),"","4212")</f>
        <v/>
      </c>
      <c r="D282" t="str">
        <f>IF(OR(Registro_Compras!$C$34="",Registro_Compras!$O$34=""),"","Cuentas por Pagar Comerciales - Terceros")</f>
        <v>Cuentas por Pagar Comerciales - Terceros</v>
      </c>
      <c r="E282" s="20" t="str">
        <f>IF($C282="","",IF(Registro_Compras!$F$34="RHE",(ROUND(Registro_Compras!$L$34*Registro_Compras!$N$34,2)-ROUND(Registro_Compras!$V$34*Registro_Compras!$N$34,2)),ROUND(Registro_Compras!$O$34-Registro_Compras!$S$34,2)))</f>
        <v/>
      </c>
      <c r="F282" s="20" t="str">
        <f>""</f>
        <v/>
      </c>
      <c r="G282" t="str">
        <f>IF($C282="","","Por la cancelacion del saldo al proveedor")</f>
        <v/>
      </c>
      <c r="H282" t="str">
        <f>IF($C282="","",Registro_Compras!$C$34)</f>
        <v/>
      </c>
    </row>
    <row r="283" spans="1:8" x14ac:dyDescent="0.25">
      <c r="A283" s="25" t="str">
        <f>IF($C283="","",Registro_Compras!$Y$34)</f>
        <v/>
      </c>
      <c r="B283" t="str">
        <f>IF($C283="","","C"&amp;TEXT(INT((ROW()-5)/9)+1,"000")&amp;"-4")</f>
        <v/>
      </c>
      <c r="C283" t="str">
        <f>IF(OR(Registro_Compras!$C$34="",Registro_Compras!$O$34="",Registro_Compras!$Y$34="",Registro_Compras!$F$34="NOTA DE CREDITO"),"","1041")</f>
        <v/>
      </c>
      <c r="D283" t="str">
        <f>IF(OR(Registro_Compras!$C$34="",Registro_Compras!$O$34=""),"","Efectivo y Equivalentes - Cta. Cte. Operativa")</f>
        <v>Efectivo y Equivalentes - Cta. Cte. Operativa</v>
      </c>
      <c r="E283" s="20" t="str">
        <f>""</f>
        <v/>
      </c>
      <c r="F283" s="20" t="str">
        <f>IF($C283="","",IF(Registro_Compras!$F$34="RHE",(ROUND(Registro_Compras!$L$34*Registro_Compras!$N$34,2)-ROUND(Registro_Compras!$V$34*Registro_Compras!$N$34,2)),ROUND(Registro_Compras!$O$34-Registro_Compras!$S$34,2)))</f>
        <v/>
      </c>
      <c r="G283" t="str">
        <f>IF($C283="","","Por la cancelacion del saldo al proveedor")</f>
        <v/>
      </c>
      <c r="H283" t="str">
        <f>IF($C283="","",Registro_Compras!$C$34)</f>
        <v/>
      </c>
    </row>
    <row r="284" spans="1:8" x14ac:dyDescent="0.25">
      <c r="A284" s="25">
        <f>IF($C284="","",Registro_Compras!$B$35)</f>
        <v>46252</v>
      </c>
      <c r="B284" t="str">
        <f>IF($C284="","","C"&amp;TEXT(INT((ROW()-5)/9)+1,"000")&amp;"-1")</f>
        <v>C032-1</v>
      </c>
      <c r="C284" t="str">
        <f>IF(OR(Registro_Compras!$C$35="",Registro_Compras!$O$35=""),"",IF(Registro_Compras!$F$35="NOTA DE CREDITO","4212",IF(Registro_Compras!$M$35="","63",Registro_Compras!$M$35)))</f>
        <v>632</v>
      </c>
      <c r="D284" t="str">
        <f>IF(OR(Registro_Compras!$C$35="",Registro_Compras!$O$35=""),"",IF(Registro_Compras!$F$35="NOTA DE CREDITO","Cuentas por Pagar Comerciales - Terceros (Emitidas)",IF(Registro_Compras!$F$35="RHE","Honorarios Profesionales - Servicios de Terceros","Gastos de Servicios Prestados por Terceros")))</f>
        <v>Honorarios Profesionales - Servicios de Terceros</v>
      </c>
      <c r="E284" s="20">
        <f>IF($C284="","",IF(Registro_Compras!$F$35="NOTA DE CREDITO",ABS(Registro_Compras!$O$35),IF(Registro_Compras!$F$35="RHE",ROUND(Registro_Compras!$L$35*Registro_Compras!$N$35,2),ROUND(Registro_Compras!$J$35*Registro_Compras!$N$35,2))))</f>
        <v>202.2</v>
      </c>
      <c r="F284" s="20" t="str">
        <f>""</f>
        <v/>
      </c>
      <c r="G284" t="str">
        <f>IF($C284="","",IF(Registro_Compras!$F$35="NOTA DE CREDITO","Por la nota de credito "&amp;Registro_Compras!$C$35&amp;" de "&amp;Registro_Compras!$E$35&amp;" [PATRON POR CONFIRMAR CON CONTADOR]",IF(Registro_Compras!$F$35="RHE","Por el registro del recibo por honorarios "&amp;Registro_Compras!$C$35&amp;" de "&amp;Registro_Compras!$E$35&amp;" [PATRON POR CONFIRMAR CON CONTADOR]","Por el registro de la factura "&amp;Registro_Compras!$C$35&amp;" de "&amp;Registro_Compras!$E$35)))</f>
        <v>Por el registro del recibo por honorarios E001- 546 de CARRASCO ALEGRE ROLLY VICTOR [PATRON POR CONFIRMAR CON CONTADOR]</v>
      </c>
      <c r="H284" t="str">
        <f>IF($C284="","",Registro_Compras!$C$35)</f>
        <v>E001- 546</v>
      </c>
    </row>
    <row r="285" spans="1:8" x14ac:dyDescent="0.25">
      <c r="A285" s="25" t="str">
        <f>IF($C285="","",Registro_Compras!$B$35)</f>
        <v/>
      </c>
      <c r="B285" t="str">
        <f>IF($C285="","","C"&amp;TEXT(INT((ROW()-5)/9)+1,"000")&amp;"-1")</f>
        <v/>
      </c>
      <c r="C285" t="str">
        <f>IF(OR(Registro_Compras!$C$35="",Registro_Compras!$O$35=""),"",IF(Registro_Compras!$F$35="RHE",IF(Registro_Compras!$V$35=0,"","4017"),IF(Registro_Compras!$F$35="NOTA DE CREDITO",IF(Registro_Compras!$M$35="","63",Registro_Compras!$M$35),IF(Registro_Compras!$K$35=0,"","40111"))))</f>
        <v/>
      </c>
      <c r="D285" t="str">
        <f>IF(OR(Registro_Compras!$C$35="",Registro_Compras!$O$35=""),"",IF(Registro_Compras!$F$35="RHE","Retencion Renta 4ta Categoria por Pagar",IF(Registro_Compras!$F$35="NOTA DE CREDITO","Gastos de Servicios Prestados por Terceros","IGV - Cuenta Propia (Credito Fiscal)")))</f>
        <v>Retencion Renta 4ta Categoria por Pagar</v>
      </c>
      <c r="E285" s="20" t="str">
        <f>IF($C285="","",IF(Registro_Compras!$F$35="FACTURA",ROUND(Registro_Compras!$K$35*Registro_Compras!$N$35,2),""))</f>
        <v/>
      </c>
      <c r="F285" s="20" t="str">
        <f>IF($C285="","",IF(Registro_Compras!$F$35="RHE",ROUND(Registro_Compras!$V$35*Registro_Compras!$N$35,2),IF(Registro_Compras!$F$35="NOTA DE CREDITO",ROUND(ABS(Registro_Compras!$J$35*Registro_Compras!$N$35),2),"")))</f>
        <v/>
      </c>
      <c r="G285" t="str">
        <f>IF($C285="","",IF(Registro_Compras!$F$35="NOTA DE CREDITO","Por la nota de credito "&amp;Registro_Compras!$C$35&amp;" de "&amp;Registro_Compras!$E$35&amp;" [PATRON POR CONFIRMAR CON CONTADOR]",IF(Registro_Compras!$F$35="RHE","Por el registro del recibo por honorarios "&amp;Registro_Compras!$C$35&amp;" de "&amp;Registro_Compras!$E$35&amp;" [PATRON POR CONFIRMAR CON CONTADOR]","Por el registro de la factura "&amp;Registro_Compras!$C$35&amp;" de "&amp;Registro_Compras!$E$35)))</f>
        <v/>
      </c>
      <c r="H285" t="str">
        <f>IF($C285="","",Registro_Compras!$C$35)</f>
        <v/>
      </c>
    </row>
    <row r="286" spans="1:8" x14ac:dyDescent="0.25">
      <c r="A286" s="25">
        <f>IF($C286="","",Registro_Compras!$B$35)</f>
        <v>46252</v>
      </c>
      <c r="B286" t="str">
        <f>IF($C286="","","C"&amp;TEXT(INT((ROW()-5)/9)+1,"000")&amp;"-1")</f>
        <v>C032-1</v>
      </c>
      <c r="C286" t="str">
        <f>IF(OR(Registro_Compras!$C$35="",Registro_Compras!$O$35=""),"",IF(Registro_Compras!$F$35="NOTA DE CREDITO",IF(Registro_Compras!$K$35=0,"","40111"),"4212"))</f>
        <v>4212</v>
      </c>
      <c r="D286" t="str">
        <f>IF(OR(Registro_Compras!$C$35="",Registro_Compras!$O$35=""),"",IF(Registro_Compras!$F$35="NOTA DE CREDITO","IGV - Cuenta Propia (Credito Fiscal)","Cuentas por Pagar Comerciales - Terceros (Emitidas)"))</f>
        <v>Cuentas por Pagar Comerciales - Terceros (Emitidas)</v>
      </c>
      <c r="E286" s="20" t="str">
        <f>""</f>
        <v/>
      </c>
      <c r="F286" s="20">
        <f>IF($C286="","",IF(Registro_Compras!$F$35="NOTA DE CREDITO",ROUND(ABS(Registro_Compras!$K$35*Registro_Compras!$N$35),2),IF(Registro_Compras!$F$35="RHE",(ROUND(Registro_Compras!$L$35*Registro_Compras!$N$35,2)-ROUND(Registro_Compras!$V$35*Registro_Compras!$N$35,2)),Registro_Compras!$O$35)))</f>
        <v>202.2</v>
      </c>
      <c r="G286" t="str">
        <f>IF($C286="","",IF(Registro_Compras!$F$35="NOTA DE CREDITO","Por la nota de credito "&amp;Registro_Compras!$C$35&amp;" de "&amp;Registro_Compras!$E$35&amp;" [PATRON POR CONFIRMAR CON CONTADOR]",IF(Registro_Compras!$F$35="RHE","Por el registro del recibo por honorarios "&amp;Registro_Compras!$C$35&amp;" de "&amp;Registro_Compras!$E$35&amp;" [PATRON POR CONFIRMAR CON CONTADOR]","Por el registro de la factura "&amp;Registro_Compras!$C$35&amp;" de "&amp;Registro_Compras!$E$35)))</f>
        <v>Por el registro del recibo por honorarios E001- 546 de CARRASCO ALEGRE ROLLY VICTOR [PATRON POR CONFIRMAR CON CONTADOR]</v>
      </c>
      <c r="H286" t="str">
        <f>IF($C286="","",Registro_Compras!$C$35)</f>
        <v>E001- 546</v>
      </c>
    </row>
    <row r="287" spans="1:8" x14ac:dyDescent="0.25">
      <c r="A287" s="25">
        <f>IF($C287="","",Registro_Compras!$B$35)</f>
        <v>46252</v>
      </c>
      <c r="B287" t="str">
        <f>IF($C287="","","C"&amp;TEXT(INT((ROW()-5)/9)+1,"000")&amp;"-2")</f>
        <v>C032-2</v>
      </c>
      <c r="C287" t="str">
        <f>IF(OR(Registro_Compras!$C$35="",Registro_Compras!$O$35=""),"",IF(Registro_Compras!$AB$35="ADMINISTRATIVO","94","95"))</f>
        <v>95</v>
      </c>
      <c r="D287" t="str">
        <f>IF(OR(Registro_Compras!$C$35="",Registro_Compras!$O$35=""),"",IF(Registro_Compras!$AB$35="ADMINISTRATIVO","Gastos Administrativos","Gastos de Venta y Operacion"))</f>
        <v>Gastos de Venta y Operacion</v>
      </c>
      <c r="E287" s="20">
        <f>IF($C287="","",IF(Registro_Compras!$F$35="NOTA DE CREDITO","",IF(Registro_Compras!$F$35="RHE",ROUND(Registro_Compras!$L$35*Registro_Compras!$N$35,2),ROUND(Registro_Compras!$J$35*Registro_Compras!$N$35,2))))</f>
        <v>202.2</v>
      </c>
      <c r="F287" s="20" t="str">
        <f>IF($C287="","",IF(Registro_Compras!$F$35="NOTA DE CREDITO",ROUND(ABS(Registro_Compras!$J$35*Registro_Compras!$N$35),2),""))</f>
        <v/>
      </c>
      <c r="G287" t="str">
        <f>IF($C287="","","Por el destino del gasto")</f>
        <v>Por el destino del gasto</v>
      </c>
      <c r="H287" t="str">
        <f>IF($C287="","",Registro_Compras!$C$35)</f>
        <v>E001- 546</v>
      </c>
    </row>
    <row r="288" spans="1:8" x14ac:dyDescent="0.25">
      <c r="A288" s="25">
        <f>IF($C288="","",Registro_Compras!$B$35)</f>
        <v>46252</v>
      </c>
      <c r="B288" t="str">
        <f>IF($C288="","","C"&amp;TEXT(INT((ROW()-5)/9)+1,"000")&amp;"-2")</f>
        <v>C032-2</v>
      </c>
      <c r="C288" t="str">
        <f>IF(OR(Registro_Compras!$C$35="",Registro_Compras!$O$35=""),"","79/791")</f>
        <v>79/791</v>
      </c>
      <c r="D288" t="str">
        <f>IF(OR(Registro_Compras!$C$35="",Registro_Compras!$O$35=""),"","Cargas Imputables a Cuentas de Costos y Gastos")</f>
        <v>Cargas Imputables a Cuentas de Costos y Gastos</v>
      </c>
      <c r="E288" s="20" t="str">
        <f>IF($C288="","",IF(Registro_Compras!$F$35="NOTA DE CREDITO",ROUND(ABS(Registro_Compras!$J$35*Registro_Compras!$N$35),2),""))</f>
        <v/>
      </c>
      <c r="F288" s="20">
        <f>IF($C288="","",IF(Registro_Compras!$F$35="NOTA DE CREDITO","",IF(Registro_Compras!$F$35="RHE",ROUND(Registro_Compras!$L$35*Registro_Compras!$N$35,2),ROUND(Registro_Compras!$J$35*Registro_Compras!$N$35,2))))</f>
        <v>202.2</v>
      </c>
      <c r="G288" t="str">
        <f>IF($C288="","","Por el destino del gasto")</f>
        <v>Por el destino del gasto</v>
      </c>
      <c r="H288" t="str">
        <f>IF($C288="","",Registro_Compras!$C$35)</f>
        <v>E001- 546</v>
      </c>
    </row>
    <row r="289" spans="1:8" x14ac:dyDescent="0.25">
      <c r="A289" s="25" t="str">
        <f>IF($C289="","",Registro_Compras!$X$35)</f>
        <v/>
      </c>
      <c r="B289" t="str">
        <f>IF($C289="","","C"&amp;TEXT(INT((ROW()-5)/9)+1,"000")&amp;"-3")</f>
        <v/>
      </c>
      <c r="C289" t="str">
        <f>IF(OR(Registro_Compras!$C$35="",Registro_Compras!$O$35="",Registro_Compras!$R$35&lt;&gt;"SI",Registro_Compras!$X$35=""),"","4212")</f>
        <v/>
      </c>
      <c r="D289" t="str">
        <f>IF(OR(Registro_Compras!$C$35="",Registro_Compras!$O$35=""),"","Cuentas por Pagar Comerciales - Terceros")</f>
        <v>Cuentas por Pagar Comerciales - Terceros</v>
      </c>
      <c r="E289" s="20" t="str">
        <f>IF($C289="","",Registro_Compras!$S$35)</f>
        <v/>
      </c>
      <c r="F289" s="20" t="str">
        <f>""</f>
        <v/>
      </c>
      <c r="G289" t="str">
        <f>IF($C289="","","Por el deposito de la detraccion en el Banco de la Nacion")</f>
        <v/>
      </c>
      <c r="H289" t="str">
        <f>IF($C289="","",Registro_Compras!$C$35)</f>
        <v/>
      </c>
    </row>
    <row r="290" spans="1:8" x14ac:dyDescent="0.25">
      <c r="A290" s="25" t="str">
        <f>IF($C290="","",Registro_Compras!$X$35)</f>
        <v/>
      </c>
      <c r="B290" t="str">
        <f>IF($C290="","","C"&amp;TEXT(INT((ROW()-5)/9)+1,"000")&amp;"-3")</f>
        <v/>
      </c>
      <c r="C290" t="str">
        <f>IF(OR(Registro_Compras!$C$35="",Registro_Compras!$O$35="",Registro_Compras!$R$35&lt;&gt;"SI",Registro_Compras!$X$35=""),"","1041")</f>
        <v/>
      </c>
      <c r="D290" t="str">
        <f>IF(OR(Registro_Compras!$C$35="",Registro_Compras!$O$35=""),"","Efectivo y Equivalentes - Cta. Cte. Operativa")</f>
        <v>Efectivo y Equivalentes - Cta. Cte. Operativa</v>
      </c>
      <c r="E290" s="20" t="str">
        <f>""</f>
        <v/>
      </c>
      <c r="F290" s="20" t="str">
        <f>IF($C290="","",Registro_Compras!$S$35)</f>
        <v/>
      </c>
      <c r="G290" t="str">
        <f>IF($C290="","","Por el deposito de la detraccion en el Banco de la Nacion")</f>
        <v/>
      </c>
      <c r="H290" t="str">
        <f>IF($C290="","",Registro_Compras!$C$35)</f>
        <v/>
      </c>
    </row>
    <row r="291" spans="1:8" x14ac:dyDescent="0.25">
      <c r="A291" s="25" t="str">
        <f>IF($C291="","",Registro_Compras!$Y$35)</f>
        <v/>
      </c>
      <c r="B291" t="str">
        <f>IF($C291="","","C"&amp;TEXT(INT((ROW()-5)/9)+1,"000")&amp;"-4")</f>
        <v/>
      </c>
      <c r="C291" t="str">
        <f>IF(OR(Registro_Compras!$C$35="",Registro_Compras!$O$35="",Registro_Compras!$Y$35="",Registro_Compras!$F$35="NOTA DE CREDITO"),"","4212")</f>
        <v/>
      </c>
      <c r="D291" t="str">
        <f>IF(OR(Registro_Compras!$C$35="",Registro_Compras!$O$35=""),"","Cuentas por Pagar Comerciales - Terceros")</f>
        <v>Cuentas por Pagar Comerciales - Terceros</v>
      </c>
      <c r="E291" s="20" t="str">
        <f>IF($C291="","",IF(Registro_Compras!$F$35="RHE",(ROUND(Registro_Compras!$L$35*Registro_Compras!$N$35,2)-ROUND(Registro_Compras!$V$35*Registro_Compras!$N$35,2)),ROUND(Registro_Compras!$O$35-Registro_Compras!$S$35,2)))</f>
        <v/>
      </c>
      <c r="F291" s="20" t="str">
        <f>""</f>
        <v/>
      </c>
      <c r="G291" t="str">
        <f>IF($C291="","","Por la cancelacion del saldo al proveedor")</f>
        <v/>
      </c>
      <c r="H291" t="str">
        <f>IF($C291="","",Registro_Compras!$C$35)</f>
        <v/>
      </c>
    </row>
    <row r="292" spans="1:8" x14ac:dyDescent="0.25">
      <c r="A292" s="25" t="str">
        <f>IF($C292="","",Registro_Compras!$Y$35)</f>
        <v/>
      </c>
      <c r="B292" t="str">
        <f>IF($C292="","","C"&amp;TEXT(INT((ROW()-5)/9)+1,"000")&amp;"-4")</f>
        <v/>
      </c>
      <c r="C292" t="str">
        <f>IF(OR(Registro_Compras!$C$35="",Registro_Compras!$O$35="",Registro_Compras!$Y$35="",Registro_Compras!$F$35="NOTA DE CREDITO"),"","1041")</f>
        <v/>
      </c>
      <c r="D292" t="str">
        <f>IF(OR(Registro_Compras!$C$35="",Registro_Compras!$O$35=""),"","Efectivo y Equivalentes - Cta. Cte. Operativa")</f>
        <v>Efectivo y Equivalentes - Cta. Cte. Operativa</v>
      </c>
      <c r="E292" s="20" t="str">
        <f>""</f>
        <v/>
      </c>
      <c r="F292" s="20" t="str">
        <f>IF($C292="","",IF(Registro_Compras!$F$35="RHE",(ROUND(Registro_Compras!$L$35*Registro_Compras!$N$35,2)-ROUND(Registro_Compras!$V$35*Registro_Compras!$N$35,2)),ROUND(Registro_Compras!$O$35-Registro_Compras!$S$35,2)))</f>
        <v/>
      </c>
      <c r="G292" t="str">
        <f>IF($C292="","","Por la cancelacion del saldo al proveedor")</f>
        <v/>
      </c>
      <c r="H292" t="str">
        <f>IF($C292="","",Registro_Compras!$C$35)</f>
        <v/>
      </c>
    </row>
    <row r="293" spans="1:8" x14ac:dyDescent="0.25">
      <c r="A293" s="25">
        <f>IF($C293="","",Registro_Compras!$B$36)</f>
        <v>46248</v>
      </c>
      <c r="B293" t="str">
        <f>IF($C293="","","C"&amp;TEXT(INT((ROW()-5)/9)+1,"000")&amp;"-1")</f>
        <v>C033-1</v>
      </c>
      <c r="C293" t="str">
        <f>IF(OR(Registro_Compras!$C$36="",Registro_Compras!$O$36=""),"",IF(Registro_Compras!$F$36="NOTA DE CREDITO","4212",IF(Registro_Compras!$M$36="","63",Registro_Compras!$M$36)))</f>
        <v>639</v>
      </c>
      <c r="D293" t="str">
        <f>IF(OR(Registro_Compras!$C$36="",Registro_Compras!$O$36=""),"",IF(Registro_Compras!$F$36="NOTA DE CREDITO","Cuentas por Pagar Comerciales - Terceros (Emitidas)",IF(Registro_Compras!$F$36="RHE","Honorarios Profesionales - Servicios de Terceros","Gastos de Servicios Prestados por Terceros")))</f>
        <v>Gastos de Servicios Prestados por Terceros</v>
      </c>
      <c r="E293" s="20">
        <f>IF($C293="","",IF(Registro_Compras!$F$36="NOTA DE CREDITO",ABS(Registro_Compras!$O$36),IF(Registro_Compras!$F$36="RHE",ROUND(Registro_Compras!$L$36*Registro_Compras!$N$36,2),ROUND(Registro_Compras!$J$36*Registro_Compras!$N$36,2))))</f>
        <v>184.36</v>
      </c>
      <c r="F293" s="20" t="str">
        <f>""</f>
        <v/>
      </c>
      <c r="G293" t="str">
        <f>IF($C293="","",IF(Registro_Compras!$F$36="NOTA DE CREDITO","Por la nota de credito "&amp;Registro_Compras!$C$36&amp;" de "&amp;Registro_Compras!$E$36&amp;" [PATRON POR CONFIRMAR CON CONTADOR]",IF(Registro_Compras!$F$36="RHE","Por el registro del recibo por honorarios "&amp;Registro_Compras!$C$36&amp;" de "&amp;Registro_Compras!$E$36&amp;" [PATRON POR CONFIRMAR CON CONTADOR]","Por el registro de la factura "&amp;Registro_Compras!$C$36&amp;" de "&amp;Registro_Compras!$E$36)))</f>
        <v>Por el registro de la factura FA02-00001856 de CUSCO RESTAURANTS S.A.C.</v>
      </c>
      <c r="H293" t="str">
        <f>IF($C293="","",Registro_Compras!$C$36)</f>
        <v>FA02-00001856</v>
      </c>
    </row>
    <row r="294" spans="1:8" x14ac:dyDescent="0.25">
      <c r="A294" s="25">
        <f>IF($C294="","",Registro_Compras!$B$36)</f>
        <v>46248</v>
      </c>
      <c r="B294" t="str">
        <f>IF($C294="","","C"&amp;TEXT(INT((ROW()-5)/9)+1,"000")&amp;"-1")</f>
        <v>C033-1</v>
      </c>
      <c r="C294" t="str">
        <f>IF(OR(Registro_Compras!$C$36="",Registro_Compras!$O$36=""),"",IF(Registro_Compras!$F$36="RHE",IF(Registro_Compras!$V$36=0,"","4017"),IF(Registro_Compras!$F$36="NOTA DE CREDITO",IF(Registro_Compras!$M$36="","63",Registro_Compras!$M$36),IF(Registro_Compras!$K$36=0,"","40111"))))</f>
        <v>40111</v>
      </c>
      <c r="D294" t="str">
        <f>IF(OR(Registro_Compras!$C$36="",Registro_Compras!$O$36=""),"",IF(Registro_Compras!$F$36="RHE","Retencion Renta 4ta Categoria por Pagar",IF(Registro_Compras!$F$36="NOTA DE CREDITO","Gastos de Servicios Prestados por Terceros","IGV - Cuenta Propia (Credito Fiscal)")))</f>
        <v>IGV - Cuenta Propia (Credito Fiscal)</v>
      </c>
      <c r="E294" s="20">
        <f>IF($C294="","",IF(Registro_Compras!$F$36="FACTURA",ROUND(Registro_Compras!$K$36*Registro_Compras!$N$36,2),""))</f>
        <v>33.17</v>
      </c>
      <c r="F294" s="20" t="str">
        <f>IF($C294="","",IF(Registro_Compras!$F$36="RHE",ROUND(Registro_Compras!$V$36*Registro_Compras!$N$36,2),IF(Registro_Compras!$F$36="NOTA DE CREDITO",ROUND(ABS(Registro_Compras!$J$36*Registro_Compras!$N$36),2),"")))</f>
        <v/>
      </c>
      <c r="G294" t="str">
        <f>IF($C294="","",IF(Registro_Compras!$F$36="NOTA DE CREDITO","Por la nota de credito "&amp;Registro_Compras!$C$36&amp;" de "&amp;Registro_Compras!$E$36&amp;" [PATRON POR CONFIRMAR CON CONTADOR]",IF(Registro_Compras!$F$36="RHE","Por el registro del recibo por honorarios "&amp;Registro_Compras!$C$36&amp;" de "&amp;Registro_Compras!$E$36&amp;" [PATRON POR CONFIRMAR CON CONTADOR]","Por el registro de la factura "&amp;Registro_Compras!$C$36&amp;" de "&amp;Registro_Compras!$E$36)))</f>
        <v>Por el registro de la factura FA02-00001856 de CUSCO RESTAURANTS S.A.C.</v>
      </c>
      <c r="H294" t="str">
        <f>IF($C294="","",Registro_Compras!$C$36)</f>
        <v>FA02-00001856</v>
      </c>
    </row>
    <row r="295" spans="1:8" x14ac:dyDescent="0.25">
      <c r="A295" s="25">
        <f>IF($C295="","",Registro_Compras!$B$36)</f>
        <v>46248</v>
      </c>
      <c r="B295" t="str">
        <f>IF($C295="","","C"&amp;TEXT(INT((ROW()-5)/9)+1,"000")&amp;"-1")</f>
        <v>C033-1</v>
      </c>
      <c r="C295" t="str">
        <f>IF(OR(Registro_Compras!$C$36="",Registro_Compras!$O$36=""),"",IF(Registro_Compras!$F$36="NOTA DE CREDITO",IF(Registro_Compras!$K$36=0,"","40111"),"4212"))</f>
        <v>4212</v>
      </c>
      <c r="D295" t="str">
        <f>IF(OR(Registro_Compras!$C$36="",Registro_Compras!$O$36=""),"",IF(Registro_Compras!$F$36="NOTA DE CREDITO","IGV - Cuenta Propia (Credito Fiscal)","Cuentas por Pagar Comerciales - Terceros (Emitidas)"))</f>
        <v>Cuentas por Pagar Comerciales - Terceros (Emitidas)</v>
      </c>
      <c r="E295" s="20" t="str">
        <f>""</f>
        <v/>
      </c>
      <c r="F295" s="20">
        <f>IF($C295="","",IF(Registro_Compras!$F$36="NOTA DE CREDITO",ROUND(ABS(Registro_Compras!$K$36*Registro_Compras!$N$36),2),IF(Registro_Compras!$F$36="RHE",(ROUND(Registro_Compras!$L$36*Registro_Compras!$N$36,2)-ROUND(Registro_Compras!$V$36*Registro_Compras!$N$36,2)),Registro_Compras!$O$36)))</f>
        <v>217.53000000000003</v>
      </c>
      <c r="G295" t="str">
        <f>IF($C295="","",IF(Registro_Compras!$F$36="NOTA DE CREDITO","Por la nota de credito "&amp;Registro_Compras!$C$36&amp;" de "&amp;Registro_Compras!$E$36&amp;" [PATRON POR CONFIRMAR CON CONTADOR]",IF(Registro_Compras!$F$36="RHE","Por el registro del recibo por honorarios "&amp;Registro_Compras!$C$36&amp;" de "&amp;Registro_Compras!$E$36&amp;" [PATRON POR CONFIRMAR CON CONTADOR]","Por el registro de la factura "&amp;Registro_Compras!$C$36&amp;" de "&amp;Registro_Compras!$E$36)))</f>
        <v>Por el registro de la factura FA02-00001856 de CUSCO RESTAURANTS S.A.C.</v>
      </c>
      <c r="H295" t="str">
        <f>IF($C295="","",Registro_Compras!$C$36)</f>
        <v>FA02-00001856</v>
      </c>
    </row>
    <row r="296" spans="1:8" x14ac:dyDescent="0.25">
      <c r="A296" s="25">
        <f>IF($C296="","",Registro_Compras!$B$36)</f>
        <v>46248</v>
      </c>
      <c r="B296" t="str">
        <f>IF($C296="","","C"&amp;TEXT(INT((ROW()-5)/9)+1,"000")&amp;"-2")</f>
        <v>C033-2</v>
      </c>
      <c r="C296" t="str">
        <f>IF(OR(Registro_Compras!$C$36="",Registro_Compras!$O$36=""),"",IF(Registro_Compras!$AB$36="ADMINISTRATIVO","94","95"))</f>
        <v>95</v>
      </c>
      <c r="D296" t="str">
        <f>IF(OR(Registro_Compras!$C$36="",Registro_Compras!$O$36=""),"",IF(Registro_Compras!$AB$36="ADMINISTRATIVO","Gastos Administrativos","Gastos de Venta y Operacion"))</f>
        <v>Gastos de Venta y Operacion</v>
      </c>
      <c r="E296" s="20">
        <f>IF($C296="","",IF(Registro_Compras!$F$36="NOTA DE CREDITO","",IF(Registro_Compras!$F$36="RHE",ROUND(Registro_Compras!$L$36*Registro_Compras!$N$36,2),ROUND(Registro_Compras!$J$36*Registro_Compras!$N$36,2))))</f>
        <v>184.36</v>
      </c>
      <c r="F296" s="20" t="str">
        <f>IF($C296="","",IF(Registro_Compras!$F$36="NOTA DE CREDITO",ROUND(ABS(Registro_Compras!$J$36*Registro_Compras!$N$36),2),""))</f>
        <v/>
      </c>
      <c r="G296" t="str">
        <f>IF($C296="","","Por el destino del gasto")</f>
        <v>Por el destino del gasto</v>
      </c>
      <c r="H296" t="str">
        <f>IF($C296="","",Registro_Compras!$C$36)</f>
        <v>FA02-00001856</v>
      </c>
    </row>
    <row r="297" spans="1:8" x14ac:dyDescent="0.25">
      <c r="A297" s="25">
        <f>IF($C297="","",Registro_Compras!$B$36)</f>
        <v>46248</v>
      </c>
      <c r="B297" t="str">
        <f>IF($C297="","","C"&amp;TEXT(INT((ROW()-5)/9)+1,"000")&amp;"-2")</f>
        <v>C033-2</v>
      </c>
      <c r="C297" t="str">
        <f>IF(OR(Registro_Compras!$C$36="",Registro_Compras!$O$36=""),"","79/791")</f>
        <v>79/791</v>
      </c>
      <c r="D297" t="str">
        <f>IF(OR(Registro_Compras!$C$36="",Registro_Compras!$O$36=""),"","Cargas Imputables a Cuentas de Costos y Gastos")</f>
        <v>Cargas Imputables a Cuentas de Costos y Gastos</v>
      </c>
      <c r="E297" s="20" t="str">
        <f>IF($C297="","",IF(Registro_Compras!$F$36="NOTA DE CREDITO",ROUND(ABS(Registro_Compras!$J$36*Registro_Compras!$N$36),2),""))</f>
        <v/>
      </c>
      <c r="F297" s="20">
        <f>IF($C297="","",IF(Registro_Compras!$F$36="NOTA DE CREDITO","",IF(Registro_Compras!$F$36="RHE",ROUND(Registro_Compras!$L$36*Registro_Compras!$N$36,2),ROUND(Registro_Compras!$J$36*Registro_Compras!$N$36,2))))</f>
        <v>184.36</v>
      </c>
      <c r="G297" t="str">
        <f>IF($C297="","","Por el destino del gasto")</f>
        <v>Por el destino del gasto</v>
      </c>
      <c r="H297" t="str">
        <f>IF($C297="","",Registro_Compras!$C$36)</f>
        <v>FA02-00001856</v>
      </c>
    </row>
    <row r="298" spans="1:8" x14ac:dyDescent="0.25">
      <c r="A298" s="25" t="str">
        <f>IF($C298="","",Registro_Compras!$X$36)</f>
        <v/>
      </c>
      <c r="B298" t="str">
        <f>IF($C298="","","C"&amp;TEXT(INT((ROW()-5)/9)+1,"000")&amp;"-3")</f>
        <v/>
      </c>
      <c r="C298" t="str">
        <f>IF(OR(Registro_Compras!$C$36="",Registro_Compras!$O$36="",Registro_Compras!$R$36&lt;&gt;"SI",Registro_Compras!$X$36=""),"","4212")</f>
        <v/>
      </c>
      <c r="D298" t="str">
        <f>IF(OR(Registro_Compras!$C$36="",Registro_Compras!$O$36=""),"","Cuentas por Pagar Comerciales - Terceros")</f>
        <v>Cuentas por Pagar Comerciales - Terceros</v>
      </c>
      <c r="E298" s="20" t="str">
        <f>IF($C298="","",Registro_Compras!$S$36)</f>
        <v/>
      </c>
      <c r="F298" s="20" t="str">
        <f>""</f>
        <v/>
      </c>
      <c r="G298" t="str">
        <f>IF($C298="","","Por el deposito de la detraccion en el Banco de la Nacion")</f>
        <v/>
      </c>
      <c r="H298" t="str">
        <f>IF($C298="","",Registro_Compras!$C$36)</f>
        <v/>
      </c>
    </row>
    <row r="299" spans="1:8" x14ac:dyDescent="0.25">
      <c r="A299" s="25" t="str">
        <f>IF($C299="","",Registro_Compras!$X$36)</f>
        <v/>
      </c>
      <c r="B299" t="str">
        <f>IF($C299="","","C"&amp;TEXT(INT((ROW()-5)/9)+1,"000")&amp;"-3")</f>
        <v/>
      </c>
      <c r="C299" t="str">
        <f>IF(OR(Registro_Compras!$C$36="",Registro_Compras!$O$36="",Registro_Compras!$R$36&lt;&gt;"SI",Registro_Compras!$X$36=""),"","1041")</f>
        <v/>
      </c>
      <c r="D299" t="str">
        <f>IF(OR(Registro_Compras!$C$36="",Registro_Compras!$O$36=""),"","Efectivo y Equivalentes - Cta. Cte. Operativa")</f>
        <v>Efectivo y Equivalentes - Cta. Cte. Operativa</v>
      </c>
      <c r="E299" s="20" t="str">
        <f>""</f>
        <v/>
      </c>
      <c r="F299" s="20" t="str">
        <f>IF($C299="","",Registro_Compras!$S$36)</f>
        <v/>
      </c>
      <c r="G299" t="str">
        <f>IF($C299="","","Por el deposito de la detraccion en el Banco de la Nacion")</f>
        <v/>
      </c>
      <c r="H299" t="str">
        <f>IF($C299="","",Registro_Compras!$C$36)</f>
        <v/>
      </c>
    </row>
    <row r="300" spans="1:8" x14ac:dyDescent="0.25">
      <c r="A300" s="25" t="str">
        <f>IF($C300="","",Registro_Compras!$Y$36)</f>
        <v/>
      </c>
      <c r="B300" t="str">
        <f>IF($C300="","","C"&amp;TEXT(INT((ROW()-5)/9)+1,"000")&amp;"-4")</f>
        <v/>
      </c>
      <c r="C300" t="str">
        <f>IF(OR(Registro_Compras!$C$36="",Registro_Compras!$O$36="",Registro_Compras!$Y$36="",Registro_Compras!$F$36="NOTA DE CREDITO"),"","4212")</f>
        <v/>
      </c>
      <c r="D300" t="str">
        <f>IF(OR(Registro_Compras!$C$36="",Registro_Compras!$O$36=""),"","Cuentas por Pagar Comerciales - Terceros")</f>
        <v>Cuentas por Pagar Comerciales - Terceros</v>
      </c>
      <c r="E300" s="20" t="str">
        <f>IF($C300="","",IF(Registro_Compras!$F$36="RHE",(ROUND(Registro_Compras!$L$36*Registro_Compras!$N$36,2)-ROUND(Registro_Compras!$V$36*Registro_Compras!$N$36,2)),ROUND(Registro_Compras!$O$36-Registro_Compras!$S$36,2)))</f>
        <v/>
      </c>
      <c r="F300" s="20" t="str">
        <f>""</f>
        <v/>
      </c>
      <c r="G300" t="str">
        <f>IF($C300="","","Por la cancelacion del saldo al proveedor")</f>
        <v/>
      </c>
      <c r="H300" t="str">
        <f>IF($C300="","",Registro_Compras!$C$36)</f>
        <v/>
      </c>
    </row>
    <row r="301" spans="1:8" x14ac:dyDescent="0.25">
      <c r="A301" s="25" t="str">
        <f>IF($C301="","",Registro_Compras!$Y$36)</f>
        <v/>
      </c>
      <c r="B301" t="str">
        <f>IF($C301="","","C"&amp;TEXT(INT((ROW()-5)/9)+1,"000")&amp;"-4")</f>
        <v/>
      </c>
      <c r="C301" t="str">
        <f>IF(OR(Registro_Compras!$C$36="",Registro_Compras!$O$36="",Registro_Compras!$Y$36="",Registro_Compras!$F$36="NOTA DE CREDITO"),"","1041")</f>
        <v/>
      </c>
      <c r="D301" t="str">
        <f>IF(OR(Registro_Compras!$C$36="",Registro_Compras!$O$36=""),"","Efectivo y Equivalentes - Cta. Cte. Operativa")</f>
        <v>Efectivo y Equivalentes - Cta. Cte. Operativa</v>
      </c>
      <c r="E301" s="20" t="str">
        <f>""</f>
        <v/>
      </c>
      <c r="F301" s="20" t="str">
        <f>IF($C301="","",IF(Registro_Compras!$F$36="RHE",(ROUND(Registro_Compras!$L$36*Registro_Compras!$N$36,2)-ROUND(Registro_Compras!$V$36*Registro_Compras!$N$36,2)),ROUND(Registro_Compras!$O$36-Registro_Compras!$S$36,2)))</f>
        <v/>
      </c>
      <c r="G301" t="str">
        <f>IF($C301="","","Por la cancelacion del saldo al proveedor")</f>
        <v/>
      </c>
      <c r="H301" t="str">
        <f>IF($C301="","",Registro_Compras!$C$36)</f>
        <v/>
      </c>
    </row>
    <row r="302" spans="1:8" x14ac:dyDescent="0.25">
      <c r="A302" s="25">
        <f>IF($C302="","",Registro_Compras!$B$37)</f>
        <v>46248</v>
      </c>
      <c r="B302" t="str">
        <f>IF($C302="","","C"&amp;TEXT(INT((ROW()-5)/9)+1,"000")&amp;"-1")</f>
        <v>C034-1</v>
      </c>
      <c r="C302" t="str">
        <f>IF(OR(Registro_Compras!$C$37="",Registro_Compras!$O$37=""),"",IF(Registro_Compras!$F$37="NOTA DE CREDITO","4212",IF(Registro_Compras!$M$37="","63",Registro_Compras!$M$37)))</f>
        <v>639</v>
      </c>
      <c r="D302" t="str">
        <f>IF(OR(Registro_Compras!$C$37="",Registro_Compras!$O$37=""),"",IF(Registro_Compras!$F$37="NOTA DE CREDITO","Cuentas por Pagar Comerciales - Terceros (Emitidas)",IF(Registro_Compras!$F$37="RHE","Honorarios Profesionales - Servicios de Terceros","Gastos de Servicios Prestados por Terceros")))</f>
        <v>Gastos de Servicios Prestados por Terceros</v>
      </c>
      <c r="E302" s="20">
        <f>IF($C302="","",IF(Registro_Compras!$F$37="NOTA DE CREDITO",ABS(Registro_Compras!$O$37),IF(Registro_Compras!$F$37="RHE",ROUND(Registro_Compras!$L$37*Registro_Compras!$N$37,2),ROUND(Registro_Compras!$J$37*Registro_Compras!$N$37,2))))</f>
        <v>630.55999999999995</v>
      </c>
      <c r="F302" s="20" t="str">
        <f>""</f>
        <v/>
      </c>
      <c r="G302" t="str">
        <f>IF($C302="","",IF(Registro_Compras!$F$37="NOTA DE CREDITO","Por la nota de credito "&amp;Registro_Compras!$C$37&amp;" de "&amp;Registro_Compras!$E$37&amp;" [PATRON POR CONFIRMAR CON CONTADOR]",IF(Registro_Compras!$F$37="RHE","Por el registro del recibo por honorarios "&amp;Registro_Compras!$C$37&amp;" de "&amp;Registro_Compras!$E$37&amp;" [PATRON POR CONFIRMAR CON CONTADOR]","Por el registro de la factura "&amp;Registro_Compras!$C$37&amp;" de "&amp;Registro_Compras!$E$37)))</f>
        <v>Por el registro de la factura F005-019033 de GRESCO S.A.C.</v>
      </c>
      <c r="H302" t="str">
        <f>IF($C302="","",Registro_Compras!$C$37)</f>
        <v>F005-019033</v>
      </c>
    </row>
    <row r="303" spans="1:8" x14ac:dyDescent="0.25">
      <c r="A303" s="25">
        <f>IF($C303="","",Registro_Compras!$B$37)</f>
        <v>46248</v>
      </c>
      <c r="B303" t="str">
        <f>IF($C303="","","C"&amp;TEXT(INT((ROW()-5)/9)+1,"000")&amp;"-1")</f>
        <v>C034-1</v>
      </c>
      <c r="C303" t="str">
        <f>IF(OR(Registro_Compras!$C$37="",Registro_Compras!$O$37=""),"",IF(Registro_Compras!$F$37="RHE",IF(Registro_Compras!$V$37=0,"","4017"),IF(Registro_Compras!$F$37="NOTA DE CREDITO",IF(Registro_Compras!$M$37="","63",Registro_Compras!$M$37),IF(Registro_Compras!$K$37=0,"","40111"))))</f>
        <v>40111</v>
      </c>
      <c r="D303" t="str">
        <f>IF(OR(Registro_Compras!$C$37="",Registro_Compras!$O$37=""),"",IF(Registro_Compras!$F$37="RHE","Retencion Renta 4ta Categoria por Pagar",IF(Registro_Compras!$F$37="NOTA DE CREDITO","Gastos de Servicios Prestados por Terceros","IGV - Cuenta Propia (Credito Fiscal)")))</f>
        <v>IGV - Cuenta Propia (Credito Fiscal)</v>
      </c>
      <c r="E303" s="20">
        <f>IF($C303="","",IF(Registro_Compras!$F$37="FACTURA",ROUND(Registro_Compras!$K$37*Registro_Compras!$N$37,2),""))</f>
        <v>113.5</v>
      </c>
      <c r="F303" s="20" t="str">
        <f>IF($C303="","",IF(Registro_Compras!$F$37="RHE",ROUND(Registro_Compras!$V$37*Registro_Compras!$N$37,2),IF(Registro_Compras!$F$37="NOTA DE CREDITO",ROUND(ABS(Registro_Compras!$J$37*Registro_Compras!$N$37),2),"")))</f>
        <v/>
      </c>
      <c r="G303" t="str">
        <f>IF($C303="","",IF(Registro_Compras!$F$37="NOTA DE CREDITO","Por la nota de credito "&amp;Registro_Compras!$C$37&amp;" de "&amp;Registro_Compras!$E$37&amp;" [PATRON POR CONFIRMAR CON CONTADOR]",IF(Registro_Compras!$F$37="RHE","Por el registro del recibo por honorarios "&amp;Registro_Compras!$C$37&amp;" de "&amp;Registro_Compras!$E$37&amp;" [PATRON POR CONFIRMAR CON CONTADOR]","Por el registro de la factura "&amp;Registro_Compras!$C$37&amp;" de "&amp;Registro_Compras!$E$37)))</f>
        <v>Por el registro de la factura F005-019033 de GRESCO S.A.C.</v>
      </c>
      <c r="H303" t="str">
        <f>IF($C303="","",Registro_Compras!$C$37)</f>
        <v>F005-019033</v>
      </c>
    </row>
    <row r="304" spans="1:8" x14ac:dyDescent="0.25">
      <c r="A304" s="25">
        <f>IF($C304="","",Registro_Compras!$B$37)</f>
        <v>46248</v>
      </c>
      <c r="B304" t="str">
        <f>IF($C304="","","C"&amp;TEXT(INT((ROW()-5)/9)+1,"000")&amp;"-1")</f>
        <v>C034-1</v>
      </c>
      <c r="C304" t="str">
        <f>IF(OR(Registro_Compras!$C$37="",Registro_Compras!$O$37=""),"",IF(Registro_Compras!$F$37="NOTA DE CREDITO",IF(Registro_Compras!$K$37=0,"","40111"),"4212"))</f>
        <v>4212</v>
      </c>
      <c r="D304" t="str">
        <f>IF(OR(Registro_Compras!$C$37="",Registro_Compras!$O$37=""),"",IF(Registro_Compras!$F$37="NOTA DE CREDITO","IGV - Cuenta Propia (Credito Fiscal)","Cuentas por Pagar Comerciales - Terceros (Emitidas)"))</f>
        <v>Cuentas por Pagar Comerciales - Terceros (Emitidas)</v>
      </c>
      <c r="E304" s="20" t="str">
        <f>""</f>
        <v/>
      </c>
      <c r="F304" s="20">
        <f>IF($C304="","",IF(Registro_Compras!$F$37="NOTA DE CREDITO",ROUND(ABS(Registro_Compras!$K$37*Registro_Compras!$N$37),2),IF(Registro_Compras!$F$37="RHE",(ROUND(Registro_Compras!$L$37*Registro_Compras!$N$37,2)-ROUND(Registro_Compras!$V$37*Registro_Compras!$N$37,2)),Registro_Compras!$O$37)))</f>
        <v>744.06</v>
      </c>
      <c r="G304" t="str">
        <f>IF($C304="","",IF(Registro_Compras!$F$37="NOTA DE CREDITO","Por la nota de credito "&amp;Registro_Compras!$C$37&amp;" de "&amp;Registro_Compras!$E$37&amp;" [PATRON POR CONFIRMAR CON CONTADOR]",IF(Registro_Compras!$F$37="RHE","Por el registro del recibo por honorarios "&amp;Registro_Compras!$C$37&amp;" de "&amp;Registro_Compras!$E$37&amp;" [PATRON POR CONFIRMAR CON CONTADOR]","Por el registro de la factura "&amp;Registro_Compras!$C$37&amp;" de "&amp;Registro_Compras!$E$37)))</f>
        <v>Por el registro de la factura F005-019033 de GRESCO S.A.C.</v>
      </c>
      <c r="H304" t="str">
        <f>IF($C304="","",Registro_Compras!$C$37)</f>
        <v>F005-019033</v>
      </c>
    </row>
    <row r="305" spans="1:8" x14ac:dyDescent="0.25">
      <c r="A305" s="25">
        <f>IF($C305="","",Registro_Compras!$B$37)</f>
        <v>46248</v>
      </c>
      <c r="B305" t="str">
        <f>IF($C305="","","C"&amp;TEXT(INT((ROW()-5)/9)+1,"000")&amp;"-2")</f>
        <v>C034-2</v>
      </c>
      <c r="C305" t="str">
        <f>IF(OR(Registro_Compras!$C$37="",Registro_Compras!$O$37=""),"",IF(Registro_Compras!$AB$37="ADMINISTRATIVO","94","95"))</f>
        <v>95</v>
      </c>
      <c r="D305" t="str">
        <f>IF(OR(Registro_Compras!$C$37="",Registro_Compras!$O$37=""),"",IF(Registro_Compras!$AB$37="ADMINISTRATIVO","Gastos Administrativos","Gastos de Venta y Operacion"))</f>
        <v>Gastos de Venta y Operacion</v>
      </c>
      <c r="E305" s="20">
        <f>IF($C305="","",IF(Registro_Compras!$F$37="NOTA DE CREDITO","",IF(Registro_Compras!$F$37="RHE",ROUND(Registro_Compras!$L$37*Registro_Compras!$N$37,2),ROUND(Registro_Compras!$J$37*Registro_Compras!$N$37,2))))</f>
        <v>630.55999999999995</v>
      </c>
      <c r="F305" s="20" t="str">
        <f>IF($C305="","",IF(Registro_Compras!$F$37="NOTA DE CREDITO",ROUND(ABS(Registro_Compras!$J$37*Registro_Compras!$N$37),2),""))</f>
        <v/>
      </c>
      <c r="G305" t="str">
        <f>IF($C305="","","Por el destino del gasto")</f>
        <v>Por el destino del gasto</v>
      </c>
      <c r="H305" t="str">
        <f>IF($C305="","",Registro_Compras!$C$37)</f>
        <v>F005-019033</v>
      </c>
    </row>
    <row r="306" spans="1:8" x14ac:dyDescent="0.25">
      <c r="A306" s="25">
        <f>IF($C306="","",Registro_Compras!$B$37)</f>
        <v>46248</v>
      </c>
      <c r="B306" t="str">
        <f>IF($C306="","","C"&amp;TEXT(INT((ROW()-5)/9)+1,"000")&amp;"-2")</f>
        <v>C034-2</v>
      </c>
      <c r="C306" t="str">
        <f>IF(OR(Registro_Compras!$C$37="",Registro_Compras!$O$37=""),"","79/791")</f>
        <v>79/791</v>
      </c>
      <c r="D306" t="str">
        <f>IF(OR(Registro_Compras!$C$37="",Registro_Compras!$O$37=""),"","Cargas Imputables a Cuentas de Costos y Gastos")</f>
        <v>Cargas Imputables a Cuentas de Costos y Gastos</v>
      </c>
      <c r="E306" s="20" t="str">
        <f>IF($C306="","",IF(Registro_Compras!$F$37="NOTA DE CREDITO",ROUND(ABS(Registro_Compras!$J$37*Registro_Compras!$N$37),2),""))</f>
        <v/>
      </c>
      <c r="F306" s="20">
        <f>IF($C306="","",IF(Registro_Compras!$F$37="NOTA DE CREDITO","",IF(Registro_Compras!$F$37="RHE",ROUND(Registro_Compras!$L$37*Registro_Compras!$N$37,2),ROUND(Registro_Compras!$J$37*Registro_Compras!$N$37,2))))</f>
        <v>630.55999999999995</v>
      </c>
      <c r="G306" t="str">
        <f>IF($C306="","","Por el destino del gasto")</f>
        <v>Por el destino del gasto</v>
      </c>
      <c r="H306" t="str">
        <f>IF($C306="","",Registro_Compras!$C$37)</f>
        <v>F005-019033</v>
      </c>
    </row>
    <row r="307" spans="1:8" x14ac:dyDescent="0.25">
      <c r="A307" s="25" t="str">
        <f>IF($C307="","",Registro_Compras!$X$37)</f>
        <v/>
      </c>
      <c r="B307" t="str">
        <f>IF($C307="","","C"&amp;TEXT(INT((ROW()-5)/9)+1,"000")&amp;"-3")</f>
        <v/>
      </c>
      <c r="C307" t="str">
        <f>IF(OR(Registro_Compras!$C$37="",Registro_Compras!$O$37="",Registro_Compras!$R$37&lt;&gt;"SI",Registro_Compras!$X$37=""),"","4212")</f>
        <v/>
      </c>
      <c r="D307" t="str">
        <f>IF(OR(Registro_Compras!$C$37="",Registro_Compras!$O$37=""),"","Cuentas por Pagar Comerciales - Terceros")</f>
        <v>Cuentas por Pagar Comerciales - Terceros</v>
      </c>
      <c r="E307" s="20" t="str">
        <f>IF($C307="","",Registro_Compras!$S$37)</f>
        <v/>
      </c>
      <c r="F307" s="20" t="str">
        <f>""</f>
        <v/>
      </c>
      <c r="G307" t="str">
        <f>IF($C307="","","Por el deposito de la detraccion en el Banco de la Nacion")</f>
        <v/>
      </c>
      <c r="H307" t="str">
        <f>IF($C307="","",Registro_Compras!$C$37)</f>
        <v/>
      </c>
    </row>
    <row r="308" spans="1:8" x14ac:dyDescent="0.25">
      <c r="A308" s="25" t="str">
        <f>IF($C308="","",Registro_Compras!$X$37)</f>
        <v/>
      </c>
      <c r="B308" t="str">
        <f>IF($C308="","","C"&amp;TEXT(INT((ROW()-5)/9)+1,"000")&amp;"-3")</f>
        <v/>
      </c>
      <c r="C308" t="str">
        <f>IF(OR(Registro_Compras!$C$37="",Registro_Compras!$O$37="",Registro_Compras!$R$37&lt;&gt;"SI",Registro_Compras!$X$37=""),"","1041")</f>
        <v/>
      </c>
      <c r="D308" t="str">
        <f>IF(OR(Registro_Compras!$C$37="",Registro_Compras!$O$37=""),"","Efectivo y Equivalentes - Cta. Cte. Operativa")</f>
        <v>Efectivo y Equivalentes - Cta. Cte. Operativa</v>
      </c>
      <c r="E308" s="20" t="str">
        <f>""</f>
        <v/>
      </c>
      <c r="F308" s="20" t="str">
        <f>IF($C308="","",Registro_Compras!$S$37)</f>
        <v/>
      </c>
      <c r="G308" t="str">
        <f>IF($C308="","","Por el deposito de la detraccion en el Banco de la Nacion")</f>
        <v/>
      </c>
      <c r="H308" t="str">
        <f>IF($C308="","",Registro_Compras!$C$37)</f>
        <v/>
      </c>
    </row>
    <row r="309" spans="1:8" x14ac:dyDescent="0.25">
      <c r="A309" s="25" t="str">
        <f>IF($C309="","",Registro_Compras!$Y$37)</f>
        <v/>
      </c>
      <c r="B309" t="str">
        <f>IF($C309="","","C"&amp;TEXT(INT((ROW()-5)/9)+1,"000")&amp;"-4")</f>
        <v/>
      </c>
      <c r="C309" t="str">
        <f>IF(OR(Registro_Compras!$C$37="",Registro_Compras!$O$37="",Registro_Compras!$Y$37="",Registro_Compras!$F$37="NOTA DE CREDITO"),"","4212")</f>
        <v/>
      </c>
      <c r="D309" t="str">
        <f>IF(OR(Registro_Compras!$C$37="",Registro_Compras!$O$37=""),"","Cuentas por Pagar Comerciales - Terceros")</f>
        <v>Cuentas por Pagar Comerciales - Terceros</v>
      </c>
      <c r="E309" s="20" t="str">
        <f>IF($C309="","",IF(Registro_Compras!$F$37="RHE",(ROUND(Registro_Compras!$L$37*Registro_Compras!$N$37,2)-ROUND(Registro_Compras!$V$37*Registro_Compras!$N$37,2)),ROUND(Registro_Compras!$O$37-Registro_Compras!$S$37,2)))</f>
        <v/>
      </c>
      <c r="F309" s="20" t="str">
        <f>""</f>
        <v/>
      </c>
      <c r="G309" t="str">
        <f>IF($C309="","","Por la cancelacion del saldo al proveedor")</f>
        <v/>
      </c>
      <c r="H309" t="str">
        <f>IF($C309="","",Registro_Compras!$C$37)</f>
        <v/>
      </c>
    </row>
    <row r="310" spans="1:8" x14ac:dyDescent="0.25">
      <c r="A310" s="25" t="str">
        <f>IF($C310="","",Registro_Compras!$Y$37)</f>
        <v/>
      </c>
      <c r="B310" t="str">
        <f>IF($C310="","","C"&amp;TEXT(INT((ROW()-5)/9)+1,"000")&amp;"-4")</f>
        <v/>
      </c>
      <c r="C310" t="str">
        <f>IF(OR(Registro_Compras!$C$37="",Registro_Compras!$O$37="",Registro_Compras!$Y$37="",Registro_Compras!$F$37="NOTA DE CREDITO"),"","1041")</f>
        <v/>
      </c>
      <c r="D310" t="str">
        <f>IF(OR(Registro_Compras!$C$37="",Registro_Compras!$O$37=""),"","Efectivo y Equivalentes - Cta. Cte. Operativa")</f>
        <v>Efectivo y Equivalentes - Cta. Cte. Operativa</v>
      </c>
      <c r="E310" s="20" t="str">
        <f>""</f>
        <v/>
      </c>
      <c r="F310" s="20" t="str">
        <f>IF($C310="","",IF(Registro_Compras!$F$37="RHE",(ROUND(Registro_Compras!$L$37*Registro_Compras!$N$37,2)-ROUND(Registro_Compras!$V$37*Registro_Compras!$N$37,2)),ROUND(Registro_Compras!$O$37-Registro_Compras!$S$37,2)))</f>
        <v/>
      </c>
      <c r="G310" t="str">
        <f>IF($C310="","","Por la cancelacion del saldo al proveedor")</f>
        <v/>
      </c>
      <c r="H310" t="str">
        <f>IF($C310="","",Registro_Compras!$C$37)</f>
        <v/>
      </c>
    </row>
    <row r="311" spans="1:8" x14ac:dyDescent="0.25">
      <c r="A311" s="25">
        <f>IF($C311="","",Registro_Compras!$B$38)</f>
        <v>46247</v>
      </c>
      <c r="B311" t="str">
        <f>IF($C311="","","C"&amp;TEXT(INT((ROW()-5)/9)+1,"000")&amp;"-1")</f>
        <v>C035-1</v>
      </c>
      <c r="C311" t="str">
        <f>IF(OR(Registro_Compras!$C$38="",Registro_Compras!$O$38=""),"",IF(Registro_Compras!$F$38="NOTA DE CREDITO","4212",IF(Registro_Compras!$M$38="","63",Registro_Compras!$M$38)))</f>
        <v>639</v>
      </c>
      <c r="D311" t="str">
        <f>IF(OR(Registro_Compras!$C$38="",Registro_Compras!$O$38=""),"",IF(Registro_Compras!$F$38="NOTA DE CREDITO","Cuentas por Pagar Comerciales - Terceros (Emitidas)",IF(Registro_Compras!$F$38="RHE","Honorarios Profesionales - Servicios de Terceros","Gastos de Servicios Prestados por Terceros")))</f>
        <v>Gastos de Servicios Prestados por Terceros</v>
      </c>
      <c r="E311" s="20">
        <f>IF($C311="","",IF(Registro_Compras!$F$38="NOTA DE CREDITO",ABS(Registro_Compras!$O$38),IF(Registro_Compras!$F$38="RHE",ROUND(Registro_Compras!$L$38*Registro_Compras!$N$38,2),ROUND(Registro_Compras!$J$38*Registro_Compras!$N$38,2))))</f>
        <v>464.98</v>
      </c>
      <c r="F311" s="20" t="str">
        <f>""</f>
        <v/>
      </c>
      <c r="G311" t="str">
        <f>IF($C311="","",IF(Registro_Compras!$F$38="NOTA DE CREDITO","Por la nota de credito "&amp;Registro_Compras!$C$38&amp;" de "&amp;Registro_Compras!$E$38&amp;" [PATRON POR CONFIRMAR CON CONTADOR]",IF(Registro_Compras!$F$38="RHE","Por el registro del recibo por honorarios "&amp;Registro_Compras!$C$38&amp;" de "&amp;Registro_Compras!$E$38&amp;" [PATRON POR CONFIRMAR CON CONTADOR]","Por el registro de la factura "&amp;Registro_Compras!$C$38&amp;" de "&amp;Registro_Compras!$E$38)))</f>
        <v>Por el registro de la factura F008-00035633 de HOTELERIA PERUANA S.A.C. (TIERRA VIVA HOTELS)</v>
      </c>
      <c r="H311" t="str">
        <f>IF($C311="","",Registro_Compras!$C$38)</f>
        <v>F008-00035633</v>
      </c>
    </row>
    <row r="312" spans="1:8" x14ac:dyDescent="0.25">
      <c r="A312" s="25" t="str">
        <f>IF($C312="","",Registro_Compras!$B$38)</f>
        <v/>
      </c>
      <c r="B312" t="str">
        <f>IF($C312="","","C"&amp;TEXT(INT((ROW()-5)/9)+1,"000")&amp;"-1")</f>
        <v/>
      </c>
      <c r="C312" t="str">
        <f>IF(OR(Registro_Compras!$C$38="",Registro_Compras!$O$38=""),"",IF(Registro_Compras!$F$38="RHE",IF(Registro_Compras!$V$38=0,"","4017"),IF(Registro_Compras!$F$38="NOTA DE CREDITO",IF(Registro_Compras!$M$38="","63",Registro_Compras!$M$38),IF(Registro_Compras!$K$38=0,"","40111"))))</f>
        <v/>
      </c>
      <c r="D312" t="str">
        <f>IF(OR(Registro_Compras!$C$38="",Registro_Compras!$O$38=""),"",IF(Registro_Compras!$F$38="RHE","Retencion Renta 4ta Categoria por Pagar",IF(Registro_Compras!$F$38="NOTA DE CREDITO","Gastos de Servicios Prestados por Terceros","IGV - Cuenta Propia (Credito Fiscal)")))</f>
        <v>IGV - Cuenta Propia (Credito Fiscal)</v>
      </c>
      <c r="E312" s="20" t="str">
        <f>IF($C312="","",IF(Registro_Compras!$F$38="FACTURA",ROUND(Registro_Compras!$K$38*Registro_Compras!$N$38,2),""))</f>
        <v/>
      </c>
      <c r="F312" s="20" t="str">
        <f>IF($C312="","",IF(Registro_Compras!$F$38="RHE",ROUND(Registro_Compras!$V$38*Registro_Compras!$N$38,2),IF(Registro_Compras!$F$38="NOTA DE CREDITO",ROUND(ABS(Registro_Compras!$J$38*Registro_Compras!$N$38),2),"")))</f>
        <v/>
      </c>
      <c r="G312" t="str">
        <f>IF($C312="","",IF(Registro_Compras!$F$38="NOTA DE CREDITO","Por la nota de credito "&amp;Registro_Compras!$C$38&amp;" de "&amp;Registro_Compras!$E$38&amp;" [PATRON POR CONFIRMAR CON CONTADOR]",IF(Registro_Compras!$F$38="RHE","Por el registro del recibo por honorarios "&amp;Registro_Compras!$C$38&amp;" de "&amp;Registro_Compras!$E$38&amp;" [PATRON POR CONFIRMAR CON CONTADOR]","Por el registro de la factura "&amp;Registro_Compras!$C$38&amp;" de "&amp;Registro_Compras!$E$38)))</f>
        <v/>
      </c>
      <c r="H312" t="str">
        <f>IF($C312="","",Registro_Compras!$C$38)</f>
        <v/>
      </c>
    </row>
    <row r="313" spans="1:8" x14ac:dyDescent="0.25">
      <c r="A313" s="25">
        <f>IF($C313="","",Registro_Compras!$B$38)</f>
        <v>46247</v>
      </c>
      <c r="B313" t="str">
        <f>IF($C313="","","C"&amp;TEXT(INT((ROW()-5)/9)+1,"000")&amp;"-1")</f>
        <v>C035-1</v>
      </c>
      <c r="C313" t="str">
        <f>IF(OR(Registro_Compras!$C$38="",Registro_Compras!$O$38=""),"",IF(Registro_Compras!$F$38="NOTA DE CREDITO",IF(Registro_Compras!$K$38=0,"","40111"),"4212"))</f>
        <v>4212</v>
      </c>
      <c r="D313" t="str">
        <f>IF(OR(Registro_Compras!$C$38="",Registro_Compras!$O$38=""),"",IF(Registro_Compras!$F$38="NOTA DE CREDITO","IGV - Cuenta Propia (Credito Fiscal)","Cuentas por Pagar Comerciales - Terceros (Emitidas)"))</f>
        <v>Cuentas por Pagar Comerciales - Terceros (Emitidas)</v>
      </c>
      <c r="E313" s="20" t="str">
        <f>""</f>
        <v/>
      </c>
      <c r="F313" s="20">
        <f>IF($C313="","",IF(Registro_Compras!$F$38="NOTA DE CREDITO",ROUND(ABS(Registro_Compras!$K$38*Registro_Compras!$N$38),2),IF(Registro_Compras!$F$38="RHE",(ROUND(Registro_Compras!$L$38*Registro_Compras!$N$38,2)-ROUND(Registro_Compras!$V$38*Registro_Compras!$N$38,2)),Registro_Compras!$O$38)))</f>
        <v>464.98</v>
      </c>
      <c r="G313" t="str">
        <f>IF($C313="","",IF(Registro_Compras!$F$38="NOTA DE CREDITO","Por la nota de credito "&amp;Registro_Compras!$C$38&amp;" de "&amp;Registro_Compras!$E$38&amp;" [PATRON POR CONFIRMAR CON CONTADOR]",IF(Registro_Compras!$F$38="RHE","Por el registro del recibo por honorarios "&amp;Registro_Compras!$C$38&amp;" de "&amp;Registro_Compras!$E$38&amp;" [PATRON POR CONFIRMAR CON CONTADOR]","Por el registro de la factura "&amp;Registro_Compras!$C$38&amp;" de "&amp;Registro_Compras!$E$38)))</f>
        <v>Por el registro de la factura F008-00035633 de HOTELERIA PERUANA S.A.C. (TIERRA VIVA HOTELS)</v>
      </c>
      <c r="H313" t="str">
        <f>IF($C313="","",Registro_Compras!$C$38)</f>
        <v>F008-00035633</v>
      </c>
    </row>
    <row r="314" spans="1:8" x14ac:dyDescent="0.25">
      <c r="A314" s="25">
        <f>IF($C314="","",Registro_Compras!$B$38)</f>
        <v>46247</v>
      </c>
      <c r="B314" t="str">
        <f>IF($C314="","","C"&amp;TEXT(INT((ROW()-5)/9)+1,"000")&amp;"-2")</f>
        <v>C035-2</v>
      </c>
      <c r="C314" t="str">
        <f>IF(OR(Registro_Compras!$C$38="",Registro_Compras!$O$38=""),"",IF(Registro_Compras!$AB$38="ADMINISTRATIVO","94","95"))</f>
        <v>95</v>
      </c>
      <c r="D314" t="str">
        <f>IF(OR(Registro_Compras!$C$38="",Registro_Compras!$O$38=""),"",IF(Registro_Compras!$AB$38="ADMINISTRATIVO","Gastos Administrativos","Gastos de Venta y Operacion"))</f>
        <v>Gastos de Venta y Operacion</v>
      </c>
      <c r="E314" s="20">
        <f>IF($C314="","",IF(Registro_Compras!$F$38="NOTA DE CREDITO","",IF(Registro_Compras!$F$38="RHE",ROUND(Registro_Compras!$L$38*Registro_Compras!$N$38,2),ROUND(Registro_Compras!$J$38*Registro_Compras!$N$38,2))))</f>
        <v>464.98</v>
      </c>
      <c r="F314" s="20" t="str">
        <f>IF($C314="","",IF(Registro_Compras!$F$38="NOTA DE CREDITO",ROUND(ABS(Registro_Compras!$J$38*Registro_Compras!$N$38),2),""))</f>
        <v/>
      </c>
      <c r="G314" t="str">
        <f>IF($C314="","","Por el destino del gasto")</f>
        <v>Por el destino del gasto</v>
      </c>
      <c r="H314" t="str">
        <f>IF($C314="","",Registro_Compras!$C$38)</f>
        <v>F008-00035633</v>
      </c>
    </row>
    <row r="315" spans="1:8" x14ac:dyDescent="0.25">
      <c r="A315" s="25">
        <f>IF($C315="","",Registro_Compras!$B$38)</f>
        <v>46247</v>
      </c>
      <c r="B315" t="str">
        <f>IF($C315="","","C"&amp;TEXT(INT((ROW()-5)/9)+1,"000")&amp;"-2")</f>
        <v>C035-2</v>
      </c>
      <c r="C315" t="str">
        <f>IF(OR(Registro_Compras!$C$38="",Registro_Compras!$O$38=""),"","79/791")</f>
        <v>79/791</v>
      </c>
      <c r="D315" t="str">
        <f>IF(OR(Registro_Compras!$C$38="",Registro_Compras!$O$38=""),"","Cargas Imputables a Cuentas de Costos y Gastos")</f>
        <v>Cargas Imputables a Cuentas de Costos y Gastos</v>
      </c>
      <c r="E315" s="20" t="str">
        <f>IF($C315="","",IF(Registro_Compras!$F$38="NOTA DE CREDITO",ROUND(ABS(Registro_Compras!$J$38*Registro_Compras!$N$38),2),""))</f>
        <v/>
      </c>
      <c r="F315" s="20">
        <f>IF($C315="","",IF(Registro_Compras!$F$38="NOTA DE CREDITO","",IF(Registro_Compras!$F$38="RHE",ROUND(Registro_Compras!$L$38*Registro_Compras!$N$38,2),ROUND(Registro_Compras!$J$38*Registro_Compras!$N$38,2))))</f>
        <v>464.98</v>
      </c>
      <c r="G315" t="str">
        <f>IF($C315="","","Por el destino del gasto")</f>
        <v>Por el destino del gasto</v>
      </c>
      <c r="H315" t="str">
        <f>IF($C315="","",Registro_Compras!$C$38)</f>
        <v>F008-00035633</v>
      </c>
    </row>
    <row r="316" spans="1:8" x14ac:dyDescent="0.25">
      <c r="A316" s="25" t="str">
        <f>IF($C316="","",Registro_Compras!$X$38)</f>
        <v/>
      </c>
      <c r="B316" t="str">
        <f>IF($C316="","","C"&amp;TEXT(INT((ROW()-5)/9)+1,"000")&amp;"-3")</f>
        <v/>
      </c>
      <c r="C316" t="str">
        <f>IF(OR(Registro_Compras!$C$38="",Registro_Compras!$O$38="",Registro_Compras!$R$38&lt;&gt;"SI",Registro_Compras!$X$38=""),"","4212")</f>
        <v/>
      </c>
      <c r="D316" t="str">
        <f>IF(OR(Registro_Compras!$C$38="",Registro_Compras!$O$38=""),"","Cuentas por Pagar Comerciales - Terceros")</f>
        <v>Cuentas por Pagar Comerciales - Terceros</v>
      </c>
      <c r="E316" s="20" t="str">
        <f>IF($C316="","",Registro_Compras!$S$38)</f>
        <v/>
      </c>
      <c r="F316" s="20" t="str">
        <f>""</f>
        <v/>
      </c>
      <c r="G316" t="str">
        <f>IF($C316="","","Por el deposito de la detraccion en el Banco de la Nacion")</f>
        <v/>
      </c>
      <c r="H316" t="str">
        <f>IF($C316="","",Registro_Compras!$C$38)</f>
        <v/>
      </c>
    </row>
    <row r="317" spans="1:8" x14ac:dyDescent="0.25">
      <c r="A317" s="25" t="str">
        <f>IF($C317="","",Registro_Compras!$X$38)</f>
        <v/>
      </c>
      <c r="B317" t="str">
        <f>IF($C317="","","C"&amp;TEXT(INT((ROW()-5)/9)+1,"000")&amp;"-3")</f>
        <v/>
      </c>
      <c r="C317" t="str">
        <f>IF(OR(Registro_Compras!$C$38="",Registro_Compras!$O$38="",Registro_Compras!$R$38&lt;&gt;"SI",Registro_Compras!$X$38=""),"","1041")</f>
        <v/>
      </c>
      <c r="D317" t="str">
        <f>IF(OR(Registro_Compras!$C$38="",Registro_Compras!$O$38=""),"","Efectivo y Equivalentes - Cta. Cte. Operativa")</f>
        <v>Efectivo y Equivalentes - Cta. Cte. Operativa</v>
      </c>
      <c r="E317" s="20" t="str">
        <f>""</f>
        <v/>
      </c>
      <c r="F317" s="20" t="str">
        <f>IF($C317="","",Registro_Compras!$S$38)</f>
        <v/>
      </c>
      <c r="G317" t="str">
        <f>IF($C317="","","Por el deposito de la detraccion en el Banco de la Nacion")</f>
        <v/>
      </c>
      <c r="H317" t="str">
        <f>IF($C317="","",Registro_Compras!$C$38)</f>
        <v/>
      </c>
    </row>
    <row r="318" spans="1:8" x14ac:dyDescent="0.25">
      <c r="A318" s="25" t="str">
        <f>IF($C318="","",Registro_Compras!$Y$38)</f>
        <v/>
      </c>
      <c r="B318" t="str">
        <f>IF($C318="","","C"&amp;TEXT(INT((ROW()-5)/9)+1,"000")&amp;"-4")</f>
        <v/>
      </c>
      <c r="C318" t="str">
        <f>IF(OR(Registro_Compras!$C$38="",Registro_Compras!$O$38="",Registro_Compras!$Y$38="",Registro_Compras!$F$38="NOTA DE CREDITO"),"","4212")</f>
        <v/>
      </c>
      <c r="D318" t="str">
        <f>IF(OR(Registro_Compras!$C$38="",Registro_Compras!$O$38=""),"","Cuentas por Pagar Comerciales - Terceros")</f>
        <v>Cuentas por Pagar Comerciales - Terceros</v>
      </c>
      <c r="E318" s="20" t="str">
        <f>IF($C318="","",IF(Registro_Compras!$F$38="RHE",(ROUND(Registro_Compras!$L$38*Registro_Compras!$N$38,2)-ROUND(Registro_Compras!$V$38*Registro_Compras!$N$38,2)),ROUND(Registro_Compras!$O$38-Registro_Compras!$S$38,2)))</f>
        <v/>
      </c>
      <c r="F318" s="20" t="str">
        <f>""</f>
        <v/>
      </c>
      <c r="G318" t="str">
        <f>IF($C318="","","Por la cancelacion del saldo al proveedor")</f>
        <v/>
      </c>
      <c r="H318" t="str">
        <f>IF($C318="","",Registro_Compras!$C$38)</f>
        <v/>
      </c>
    </row>
    <row r="319" spans="1:8" x14ac:dyDescent="0.25">
      <c r="A319" s="25" t="str">
        <f>IF($C319="","",Registro_Compras!$Y$38)</f>
        <v/>
      </c>
      <c r="B319" t="str">
        <f>IF($C319="","","C"&amp;TEXT(INT((ROW()-5)/9)+1,"000")&amp;"-4")</f>
        <v/>
      </c>
      <c r="C319" t="str">
        <f>IF(OR(Registro_Compras!$C$38="",Registro_Compras!$O$38="",Registro_Compras!$Y$38="",Registro_Compras!$F$38="NOTA DE CREDITO"),"","1041")</f>
        <v/>
      </c>
      <c r="D319" t="str">
        <f>IF(OR(Registro_Compras!$C$38="",Registro_Compras!$O$38=""),"","Efectivo y Equivalentes - Cta. Cte. Operativa")</f>
        <v>Efectivo y Equivalentes - Cta. Cte. Operativa</v>
      </c>
      <c r="E319" s="20" t="str">
        <f>""</f>
        <v/>
      </c>
      <c r="F319" s="20" t="str">
        <f>IF($C319="","",IF(Registro_Compras!$F$38="RHE",(ROUND(Registro_Compras!$L$38*Registro_Compras!$N$38,2)-ROUND(Registro_Compras!$V$38*Registro_Compras!$N$38,2)),ROUND(Registro_Compras!$O$38-Registro_Compras!$S$38,2)))</f>
        <v/>
      </c>
      <c r="G319" t="str">
        <f>IF($C319="","","Por la cancelacion del saldo al proveedor")</f>
        <v/>
      </c>
      <c r="H319" t="str">
        <f>IF($C319="","",Registro_Compras!$C$38)</f>
        <v/>
      </c>
    </row>
    <row r="320" spans="1:8" x14ac:dyDescent="0.25">
      <c r="A320" s="25">
        <f>IF($C320="","",Registro_Compras!$B$39)</f>
        <v>46251</v>
      </c>
      <c r="B320" t="str">
        <f>IF($C320="","","C"&amp;TEXT(INT((ROW()-5)/9)+1,"000")&amp;"-1")</f>
        <v>C036-1</v>
      </c>
      <c r="C320" t="str">
        <f>IF(OR(Registro_Compras!$C$39="",Registro_Compras!$O$39=""),"",IF(Registro_Compras!$F$39="NOTA DE CREDITO","4212",IF(Registro_Compras!$M$39="","63",Registro_Compras!$M$39)))</f>
        <v>639</v>
      </c>
      <c r="D320" t="str">
        <f>IF(OR(Registro_Compras!$C$39="",Registro_Compras!$O$39=""),"",IF(Registro_Compras!$F$39="NOTA DE CREDITO","Cuentas por Pagar Comerciales - Terceros (Emitidas)",IF(Registro_Compras!$F$39="RHE","Honorarios Profesionales - Servicios de Terceros","Gastos de Servicios Prestados por Terceros")))</f>
        <v>Gastos de Servicios Prestados por Terceros</v>
      </c>
      <c r="E320" s="20">
        <f>IF($C320="","",IF(Registro_Compras!$F$39="NOTA DE CREDITO",ABS(Registro_Compras!$O$39),IF(Registro_Compras!$F$39="RHE",ROUND(Registro_Compras!$L$39*Registro_Compras!$N$39,2),ROUND(Registro_Compras!$J$39*Registro_Compras!$N$39,2))))</f>
        <v>1072.98</v>
      </c>
      <c r="F320" s="20" t="str">
        <f>""</f>
        <v/>
      </c>
      <c r="G320" t="str">
        <f>IF($C320="","",IF(Registro_Compras!$F$39="NOTA DE CREDITO","Por la nota de credito "&amp;Registro_Compras!$C$39&amp;" de "&amp;Registro_Compras!$E$39&amp;" [PATRON POR CONFIRMAR CON CONTADOR]",IF(Registro_Compras!$F$39="RHE","Por el registro del recibo por honorarios "&amp;Registro_Compras!$C$39&amp;" de "&amp;Registro_Compras!$E$39&amp;" [PATRON POR CONFIRMAR CON CONTADOR]","Por el registro de la factura "&amp;Registro_Compras!$C$39&amp;" de "&amp;Registro_Compras!$E$39)))</f>
        <v>Por el registro de la factura F006-00003185 de HOTELES LA HACIENDA S.A.C.</v>
      </c>
      <c r="H320" t="str">
        <f>IF($C320="","",Registro_Compras!$C$39)</f>
        <v>F006-00003185</v>
      </c>
    </row>
    <row r="321" spans="1:8" x14ac:dyDescent="0.25">
      <c r="A321" s="25" t="str">
        <f>IF($C321="","",Registro_Compras!$B$39)</f>
        <v/>
      </c>
      <c r="B321" t="str">
        <f>IF($C321="","","C"&amp;TEXT(INT((ROW()-5)/9)+1,"000")&amp;"-1")</f>
        <v/>
      </c>
      <c r="C321" t="str">
        <f>IF(OR(Registro_Compras!$C$39="",Registro_Compras!$O$39=""),"",IF(Registro_Compras!$F$39="RHE",IF(Registro_Compras!$V$39=0,"","4017"),IF(Registro_Compras!$F$39="NOTA DE CREDITO",IF(Registro_Compras!$M$39="","63",Registro_Compras!$M$39),IF(Registro_Compras!$K$39=0,"","40111"))))</f>
        <v/>
      </c>
      <c r="D321" t="str">
        <f>IF(OR(Registro_Compras!$C$39="",Registro_Compras!$O$39=""),"",IF(Registro_Compras!$F$39="RHE","Retencion Renta 4ta Categoria por Pagar",IF(Registro_Compras!$F$39="NOTA DE CREDITO","Gastos de Servicios Prestados por Terceros","IGV - Cuenta Propia (Credito Fiscal)")))</f>
        <v>IGV - Cuenta Propia (Credito Fiscal)</v>
      </c>
      <c r="E321" s="20" t="str">
        <f>IF($C321="","",IF(Registro_Compras!$F$39="FACTURA",ROUND(Registro_Compras!$K$39*Registro_Compras!$N$39,2),""))</f>
        <v/>
      </c>
      <c r="F321" s="20" t="str">
        <f>IF($C321="","",IF(Registro_Compras!$F$39="RHE",ROUND(Registro_Compras!$V$39*Registro_Compras!$N$39,2),IF(Registro_Compras!$F$39="NOTA DE CREDITO",ROUND(ABS(Registro_Compras!$J$39*Registro_Compras!$N$39),2),"")))</f>
        <v/>
      </c>
      <c r="G321" t="str">
        <f>IF($C321="","",IF(Registro_Compras!$F$39="NOTA DE CREDITO","Por la nota de credito "&amp;Registro_Compras!$C$39&amp;" de "&amp;Registro_Compras!$E$39&amp;" [PATRON POR CONFIRMAR CON CONTADOR]",IF(Registro_Compras!$F$39="RHE","Por el registro del recibo por honorarios "&amp;Registro_Compras!$C$39&amp;" de "&amp;Registro_Compras!$E$39&amp;" [PATRON POR CONFIRMAR CON CONTADOR]","Por el registro de la factura "&amp;Registro_Compras!$C$39&amp;" de "&amp;Registro_Compras!$E$39)))</f>
        <v/>
      </c>
      <c r="H321" t="str">
        <f>IF($C321="","",Registro_Compras!$C$39)</f>
        <v/>
      </c>
    </row>
    <row r="322" spans="1:8" x14ac:dyDescent="0.25">
      <c r="A322" s="25">
        <f>IF($C322="","",Registro_Compras!$B$39)</f>
        <v>46251</v>
      </c>
      <c r="B322" t="str">
        <f>IF($C322="","","C"&amp;TEXT(INT((ROW()-5)/9)+1,"000")&amp;"-1")</f>
        <v>C036-1</v>
      </c>
      <c r="C322" t="str">
        <f>IF(OR(Registro_Compras!$C$39="",Registro_Compras!$O$39=""),"",IF(Registro_Compras!$F$39="NOTA DE CREDITO",IF(Registro_Compras!$K$39=0,"","40111"),"4212"))</f>
        <v>4212</v>
      </c>
      <c r="D322" t="str">
        <f>IF(OR(Registro_Compras!$C$39="",Registro_Compras!$O$39=""),"",IF(Registro_Compras!$F$39="NOTA DE CREDITO","IGV - Cuenta Propia (Credito Fiscal)","Cuentas por Pagar Comerciales - Terceros (Emitidas)"))</f>
        <v>Cuentas por Pagar Comerciales - Terceros (Emitidas)</v>
      </c>
      <c r="E322" s="20" t="str">
        <f>""</f>
        <v/>
      </c>
      <c r="F322" s="20">
        <f>IF($C322="","",IF(Registro_Compras!$F$39="NOTA DE CREDITO",ROUND(ABS(Registro_Compras!$K$39*Registro_Compras!$N$39),2),IF(Registro_Compras!$F$39="RHE",(ROUND(Registro_Compras!$L$39*Registro_Compras!$N$39,2)-ROUND(Registro_Compras!$V$39*Registro_Compras!$N$39,2)),Registro_Compras!$O$39)))</f>
        <v>1072.98</v>
      </c>
      <c r="G322" t="str">
        <f>IF($C322="","",IF(Registro_Compras!$F$39="NOTA DE CREDITO","Por la nota de credito "&amp;Registro_Compras!$C$39&amp;" de "&amp;Registro_Compras!$E$39&amp;" [PATRON POR CONFIRMAR CON CONTADOR]",IF(Registro_Compras!$F$39="RHE","Por el registro del recibo por honorarios "&amp;Registro_Compras!$C$39&amp;" de "&amp;Registro_Compras!$E$39&amp;" [PATRON POR CONFIRMAR CON CONTADOR]","Por el registro de la factura "&amp;Registro_Compras!$C$39&amp;" de "&amp;Registro_Compras!$E$39)))</f>
        <v>Por el registro de la factura F006-00003185 de HOTELES LA HACIENDA S.A.C.</v>
      </c>
      <c r="H322" t="str">
        <f>IF($C322="","",Registro_Compras!$C$39)</f>
        <v>F006-00003185</v>
      </c>
    </row>
    <row r="323" spans="1:8" x14ac:dyDescent="0.25">
      <c r="A323" s="25">
        <f>IF($C323="","",Registro_Compras!$B$39)</f>
        <v>46251</v>
      </c>
      <c r="B323" t="str">
        <f>IF($C323="","","C"&amp;TEXT(INT((ROW()-5)/9)+1,"000")&amp;"-2")</f>
        <v>C036-2</v>
      </c>
      <c r="C323" t="str">
        <f>IF(OR(Registro_Compras!$C$39="",Registro_Compras!$O$39=""),"",IF(Registro_Compras!$AB$39="ADMINISTRATIVO","94","95"))</f>
        <v>95</v>
      </c>
      <c r="D323" t="str">
        <f>IF(OR(Registro_Compras!$C$39="",Registro_Compras!$O$39=""),"",IF(Registro_Compras!$AB$39="ADMINISTRATIVO","Gastos Administrativos","Gastos de Venta y Operacion"))</f>
        <v>Gastos de Venta y Operacion</v>
      </c>
      <c r="E323" s="20">
        <f>IF($C323="","",IF(Registro_Compras!$F$39="NOTA DE CREDITO","",IF(Registro_Compras!$F$39="RHE",ROUND(Registro_Compras!$L$39*Registro_Compras!$N$39,2),ROUND(Registro_Compras!$J$39*Registro_Compras!$N$39,2))))</f>
        <v>1072.98</v>
      </c>
      <c r="F323" s="20" t="str">
        <f>IF($C323="","",IF(Registro_Compras!$F$39="NOTA DE CREDITO",ROUND(ABS(Registro_Compras!$J$39*Registro_Compras!$N$39),2),""))</f>
        <v/>
      </c>
      <c r="G323" t="str">
        <f>IF($C323="","","Por el destino del gasto")</f>
        <v>Por el destino del gasto</v>
      </c>
      <c r="H323" t="str">
        <f>IF($C323="","",Registro_Compras!$C$39)</f>
        <v>F006-00003185</v>
      </c>
    </row>
    <row r="324" spans="1:8" x14ac:dyDescent="0.25">
      <c r="A324" s="25">
        <f>IF($C324="","",Registro_Compras!$B$39)</f>
        <v>46251</v>
      </c>
      <c r="B324" t="str">
        <f>IF($C324="","","C"&amp;TEXT(INT((ROW()-5)/9)+1,"000")&amp;"-2")</f>
        <v>C036-2</v>
      </c>
      <c r="C324" t="str">
        <f>IF(OR(Registro_Compras!$C$39="",Registro_Compras!$O$39=""),"","79/791")</f>
        <v>79/791</v>
      </c>
      <c r="D324" t="str">
        <f>IF(OR(Registro_Compras!$C$39="",Registro_Compras!$O$39=""),"","Cargas Imputables a Cuentas de Costos y Gastos")</f>
        <v>Cargas Imputables a Cuentas de Costos y Gastos</v>
      </c>
      <c r="E324" s="20" t="str">
        <f>IF($C324="","",IF(Registro_Compras!$F$39="NOTA DE CREDITO",ROUND(ABS(Registro_Compras!$J$39*Registro_Compras!$N$39),2),""))</f>
        <v/>
      </c>
      <c r="F324" s="20">
        <f>IF($C324="","",IF(Registro_Compras!$F$39="NOTA DE CREDITO","",IF(Registro_Compras!$F$39="RHE",ROUND(Registro_Compras!$L$39*Registro_Compras!$N$39,2),ROUND(Registro_Compras!$J$39*Registro_Compras!$N$39,2))))</f>
        <v>1072.98</v>
      </c>
      <c r="G324" t="str">
        <f>IF($C324="","","Por el destino del gasto")</f>
        <v>Por el destino del gasto</v>
      </c>
      <c r="H324" t="str">
        <f>IF($C324="","",Registro_Compras!$C$39)</f>
        <v>F006-00003185</v>
      </c>
    </row>
    <row r="325" spans="1:8" x14ac:dyDescent="0.25">
      <c r="A325" s="25" t="str">
        <f>IF($C325="","",Registro_Compras!$X$39)</f>
        <v/>
      </c>
      <c r="B325" t="str">
        <f>IF($C325="","","C"&amp;TEXT(INT((ROW()-5)/9)+1,"000")&amp;"-3")</f>
        <v/>
      </c>
      <c r="C325" t="str">
        <f>IF(OR(Registro_Compras!$C$39="",Registro_Compras!$O$39="",Registro_Compras!$R$39&lt;&gt;"SI",Registro_Compras!$X$39=""),"","4212")</f>
        <v/>
      </c>
      <c r="D325" t="str">
        <f>IF(OR(Registro_Compras!$C$39="",Registro_Compras!$O$39=""),"","Cuentas por Pagar Comerciales - Terceros")</f>
        <v>Cuentas por Pagar Comerciales - Terceros</v>
      </c>
      <c r="E325" s="20" t="str">
        <f>IF($C325="","",Registro_Compras!$S$39)</f>
        <v/>
      </c>
      <c r="F325" s="20" t="str">
        <f>""</f>
        <v/>
      </c>
      <c r="G325" t="str">
        <f>IF($C325="","","Por el deposito de la detraccion en el Banco de la Nacion")</f>
        <v/>
      </c>
      <c r="H325" t="str">
        <f>IF($C325="","",Registro_Compras!$C$39)</f>
        <v/>
      </c>
    </row>
    <row r="326" spans="1:8" x14ac:dyDescent="0.25">
      <c r="A326" s="25" t="str">
        <f>IF($C326="","",Registro_Compras!$X$39)</f>
        <v/>
      </c>
      <c r="B326" t="str">
        <f>IF($C326="","","C"&amp;TEXT(INT((ROW()-5)/9)+1,"000")&amp;"-3")</f>
        <v/>
      </c>
      <c r="C326" t="str">
        <f>IF(OR(Registro_Compras!$C$39="",Registro_Compras!$O$39="",Registro_Compras!$R$39&lt;&gt;"SI",Registro_Compras!$X$39=""),"","1041")</f>
        <v/>
      </c>
      <c r="D326" t="str">
        <f>IF(OR(Registro_Compras!$C$39="",Registro_Compras!$O$39=""),"","Efectivo y Equivalentes - Cta. Cte. Operativa")</f>
        <v>Efectivo y Equivalentes - Cta. Cte. Operativa</v>
      </c>
      <c r="E326" s="20" t="str">
        <f>""</f>
        <v/>
      </c>
      <c r="F326" s="20" t="str">
        <f>IF($C326="","",Registro_Compras!$S$39)</f>
        <v/>
      </c>
      <c r="G326" t="str">
        <f>IF($C326="","","Por el deposito de la detraccion en el Banco de la Nacion")</f>
        <v/>
      </c>
      <c r="H326" t="str">
        <f>IF($C326="","",Registro_Compras!$C$39)</f>
        <v/>
      </c>
    </row>
    <row r="327" spans="1:8" x14ac:dyDescent="0.25">
      <c r="A327" s="25" t="str">
        <f>IF($C327="","",Registro_Compras!$Y$39)</f>
        <v/>
      </c>
      <c r="B327" t="str">
        <f>IF($C327="","","C"&amp;TEXT(INT((ROW()-5)/9)+1,"000")&amp;"-4")</f>
        <v/>
      </c>
      <c r="C327" t="str">
        <f>IF(OR(Registro_Compras!$C$39="",Registro_Compras!$O$39="",Registro_Compras!$Y$39="",Registro_Compras!$F$39="NOTA DE CREDITO"),"","4212")</f>
        <v/>
      </c>
      <c r="D327" t="str">
        <f>IF(OR(Registro_Compras!$C$39="",Registro_Compras!$O$39=""),"","Cuentas por Pagar Comerciales - Terceros")</f>
        <v>Cuentas por Pagar Comerciales - Terceros</v>
      </c>
      <c r="E327" s="20" t="str">
        <f>IF($C327="","",IF(Registro_Compras!$F$39="RHE",(ROUND(Registro_Compras!$L$39*Registro_Compras!$N$39,2)-ROUND(Registro_Compras!$V$39*Registro_Compras!$N$39,2)),ROUND(Registro_Compras!$O$39-Registro_Compras!$S$39,2)))</f>
        <v/>
      </c>
      <c r="F327" s="20" t="str">
        <f>""</f>
        <v/>
      </c>
      <c r="G327" t="str">
        <f>IF($C327="","","Por la cancelacion del saldo al proveedor")</f>
        <v/>
      </c>
      <c r="H327" t="str">
        <f>IF($C327="","",Registro_Compras!$C$39)</f>
        <v/>
      </c>
    </row>
    <row r="328" spans="1:8" x14ac:dyDescent="0.25">
      <c r="A328" s="25" t="str">
        <f>IF($C328="","",Registro_Compras!$Y$39)</f>
        <v/>
      </c>
      <c r="B328" t="str">
        <f>IF($C328="","","C"&amp;TEXT(INT((ROW()-5)/9)+1,"000")&amp;"-4")</f>
        <v/>
      </c>
      <c r="C328" t="str">
        <f>IF(OR(Registro_Compras!$C$39="",Registro_Compras!$O$39="",Registro_Compras!$Y$39="",Registro_Compras!$F$39="NOTA DE CREDITO"),"","1041")</f>
        <v/>
      </c>
      <c r="D328" t="str">
        <f>IF(OR(Registro_Compras!$C$39="",Registro_Compras!$O$39=""),"","Efectivo y Equivalentes - Cta. Cte. Operativa")</f>
        <v>Efectivo y Equivalentes - Cta. Cte. Operativa</v>
      </c>
      <c r="E328" s="20" t="str">
        <f>""</f>
        <v/>
      </c>
      <c r="F328" s="20" t="str">
        <f>IF($C328="","",IF(Registro_Compras!$F$39="RHE",(ROUND(Registro_Compras!$L$39*Registro_Compras!$N$39,2)-ROUND(Registro_Compras!$V$39*Registro_Compras!$N$39,2)),ROUND(Registro_Compras!$O$39-Registro_Compras!$S$39,2)))</f>
        <v/>
      </c>
      <c r="G328" t="str">
        <f>IF($C328="","","Por la cancelacion del saldo al proveedor")</f>
        <v/>
      </c>
      <c r="H328" t="str">
        <f>IF($C328="","",Registro_Compras!$C$39)</f>
        <v/>
      </c>
    </row>
    <row r="329" spans="1:8" x14ac:dyDescent="0.25">
      <c r="A329" s="25">
        <f>IF($C329="","",Registro_Compras!$B$40)</f>
        <v>46252</v>
      </c>
      <c r="B329" t="str">
        <f>IF($C329="","","C"&amp;TEXT(INT((ROW()-5)/9)+1,"000")&amp;"-1")</f>
        <v>C037-1</v>
      </c>
      <c r="C329" t="str">
        <f>IF(OR(Registro_Compras!$C$40="",Registro_Compras!$O$40=""),"",IF(Registro_Compras!$F$40="NOTA DE CREDITO","4212",IF(Registro_Compras!$M$40="","63",Registro_Compras!$M$40)))</f>
        <v>639</v>
      </c>
      <c r="D329" t="str">
        <f>IF(OR(Registro_Compras!$C$40="",Registro_Compras!$O$40=""),"",IF(Registro_Compras!$F$40="NOTA DE CREDITO","Cuentas por Pagar Comerciales - Terceros (Emitidas)",IF(Registro_Compras!$F$40="RHE","Honorarios Profesionales - Servicios de Terceros","Gastos de Servicios Prestados por Terceros")))</f>
        <v>Gastos de Servicios Prestados por Terceros</v>
      </c>
      <c r="E329" s="20">
        <f>IF($C329="","",IF(Registro_Compras!$F$40="NOTA DE CREDITO",ABS(Registro_Compras!$O$40),IF(Registro_Compras!$F$40="RHE",ROUND(Registro_Compras!$L$40*Registro_Compras!$N$40,2),ROUND(Registro_Compras!$J$40*Registro_Compras!$N$40,2))))</f>
        <v>3713.74</v>
      </c>
      <c r="F329" s="20" t="str">
        <f>""</f>
        <v/>
      </c>
      <c r="G329" t="str">
        <f>IF($C329="","",IF(Registro_Compras!$F$40="NOTA DE CREDITO","Por la nota de credito "&amp;Registro_Compras!$C$40&amp;" de "&amp;Registro_Compras!$E$40&amp;" [PATRON POR CONFIRMAR CON CONTADOR]",IF(Registro_Compras!$F$40="RHE","Por el registro del recibo por honorarios "&amp;Registro_Compras!$C$40&amp;" de "&amp;Registro_Compras!$E$40&amp;" [PATRON POR CONFIRMAR CON CONTADOR]","Por el registro de la factura "&amp;Registro_Compras!$C$40&amp;" de "&amp;Registro_Compras!$E$40)))</f>
        <v>Por el registro de la factura F302-00029273 de INVERSIONES NACIONALES DE TURISMO S.A. (Palacio del Inka Hotel)</v>
      </c>
      <c r="H329" t="str">
        <f>IF($C329="","",Registro_Compras!$C$40)</f>
        <v>F302-00029273</v>
      </c>
    </row>
    <row r="330" spans="1:8" x14ac:dyDescent="0.25">
      <c r="A330" s="25" t="str">
        <f>IF($C330="","",Registro_Compras!$B$40)</f>
        <v/>
      </c>
      <c r="B330" t="str">
        <f>IF($C330="","","C"&amp;TEXT(INT((ROW()-5)/9)+1,"000")&amp;"-1")</f>
        <v/>
      </c>
      <c r="C330" t="str">
        <f>IF(OR(Registro_Compras!$C$40="",Registro_Compras!$O$40=""),"",IF(Registro_Compras!$F$40="RHE",IF(Registro_Compras!$V$40=0,"","4017"),IF(Registro_Compras!$F$40="NOTA DE CREDITO",IF(Registro_Compras!$M$40="","63",Registro_Compras!$M$40),IF(Registro_Compras!$K$40=0,"","40111"))))</f>
        <v/>
      </c>
      <c r="D330" t="str">
        <f>IF(OR(Registro_Compras!$C$40="",Registro_Compras!$O$40=""),"",IF(Registro_Compras!$F$40="RHE","Retencion Renta 4ta Categoria por Pagar",IF(Registro_Compras!$F$40="NOTA DE CREDITO","Gastos de Servicios Prestados por Terceros","IGV - Cuenta Propia (Credito Fiscal)")))</f>
        <v>IGV - Cuenta Propia (Credito Fiscal)</v>
      </c>
      <c r="E330" s="20" t="str">
        <f>IF($C330="","",IF(Registro_Compras!$F$40="FACTURA",ROUND(Registro_Compras!$K$40*Registro_Compras!$N$40,2),""))</f>
        <v/>
      </c>
      <c r="F330" s="20" t="str">
        <f>IF($C330="","",IF(Registro_Compras!$F$40="RHE",ROUND(Registro_Compras!$V$40*Registro_Compras!$N$40,2),IF(Registro_Compras!$F$40="NOTA DE CREDITO",ROUND(ABS(Registro_Compras!$J$40*Registro_Compras!$N$40),2),"")))</f>
        <v/>
      </c>
      <c r="G330" t="str">
        <f>IF($C330="","",IF(Registro_Compras!$F$40="NOTA DE CREDITO","Por la nota de credito "&amp;Registro_Compras!$C$40&amp;" de "&amp;Registro_Compras!$E$40&amp;" [PATRON POR CONFIRMAR CON CONTADOR]",IF(Registro_Compras!$F$40="RHE","Por el registro del recibo por honorarios "&amp;Registro_Compras!$C$40&amp;" de "&amp;Registro_Compras!$E$40&amp;" [PATRON POR CONFIRMAR CON CONTADOR]","Por el registro de la factura "&amp;Registro_Compras!$C$40&amp;" de "&amp;Registro_Compras!$E$40)))</f>
        <v/>
      </c>
      <c r="H330" t="str">
        <f>IF($C330="","",Registro_Compras!$C$40)</f>
        <v/>
      </c>
    </row>
    <row r="331" spans="1:8" x14ac:dyDescent="0.25">
      <c r="A331" s="25">
        <f>IF($C331="","",Registro_Compras!$B$40)</f>
        <v>46252</v>
      </c>
      <c r="B331" t="str">
        <f>IF($C331="","","C"&amp;TEXT(INT((ROW()-5)/9)+1,"000")&amp;"-1")</f>
        <v>C037-1</v>
      </c>
      <c r="C331" t="str">
        <f>IF(OR(Registro_Compras!$C$40="",Registro_Compras!$O$40=""),"",IF(Registro_Compras!$F$40="NOTA DE CREDITO",IF(Registro_Compras!$K$40=0,"","40111"),"4212"))</f>
        <v>4212</v>
      </c>
      <c r="D331" t="str">
        <f>IF(OR(Registro_Compras!$C$40="",Registro_Compras!$O$40=""),"",IF(Registro_Compras!$F$40="NOTA DE CREDITO","IGV - Cuenta Propia (Credito Fiscal)","Cuentas por Pagar Comerciales - Terceros (Emitidas)"))</f>
        <v>Cuentas por Pagar Comerciales - Terceros (Emitidas)</v>
      </c>
      <c r="E331" s="20" t="str">
        <f>""</f>
        <v/>
      </c>
      <c r="F331" s="20">
        <f>IF($C331="","",IF(Registro_Compras!$F$40="NOTA DE CREDITO",ROUND(ABS(Registro_Compras!$K$40*Registro_Compras!$N$40),2),IF(Registro_Compras!$F$40="RHE",(ROUND(Registro_Compras!$L$40*Registro_Compras!$N$40,2)-ROUND(Registro_Compras!$V$40*Registro_Compras!$N$40,2)),Registro_Compras!$O$40)))</f>
        <v>3713.74</v>
      </c>
      <c r="G331" t="str">
        <f>IF($C331="","",IF(Registro_Compras!$F$40="NOTA DE CREDITO","Por la nota de credito "&amp;Registro_Compras!$C$40&amp;" de "&amp;Registro_Compras!$E$40&amp;" [PATRON POR CONFIRMAR CON CONTADOR]",IF(Registro_Compras!$F$40="RHE","Por el registro del recibo por honorarios "&amp;Registro_Compras!$C$40&amp;" de "&amp;Registro_Compras!$E$40&amp;" [PATRON POR CONFIRMAR CON CONTADOR]","Por el registro de la factura "&amp;Registro_Compras!$C$40&amp;" de "&amp;Registro_Compras!$E$40)))</f>
        <v>Por el registro de la factura F302-00029273 de INVERSIONES NACIONALES DE TURISMO S.A. (Palacio del Inka Hotel)</v>
      </c>
      <c r="H331" t="str">
        <f>IF($C331="","",Registro_Compras!$C$40)</f>
        <v>F302-00029273</v>
      </c>
    </row>
    <row r="332" spans="1:8" x14ac:dyDescent="0.25">
      <c r="A332" s="25">
        <f>IF($C332="","",Registro_Compras!$B$40)</f>
        <v>46252</v>
      </c>
      <c r="B332" t="str">
        <f>IF($C332="","","C"&amp;TEXT(INT((ROW()-5)/9)+1,"000")&amp;"-2")</f>
        <v>C037-2</v>
      </c>
      <c r="C332" t="str">
        <f>IF(OR(Registro_Compras!$C$40="",Registro_Compras!$O$40=""),"",IF(Registro_Compras!$AB$40="ADMINISTRATIVO","94","95"))</f>
        <v>95</v>
      </c>
      <c r="D332" t="str">
        <f>IF(OR(Registro_Compras!$C$40="",Registro_Compras!$O$40=""),"",IF(Registro_Compras!$AB$40="ADMINISTRATIVO","Gastos Administrativos","Gastos de Venta y Operacion"))</f>
        <v>Gastos de Venta y Operacion</v>
      </c>
      <c r="E332" s="20">
        <f>IF($C332="","",IF(Registro_Compras!$F$40="NOTA DE CREDITO","",IF(Registro_Compras!$F$40="RHE",ROUND(Registro_Compras!$L$40*Registro_Compras!$N$40,2),ROUND(Registro_Compras!$J$40*Registro_Compras!$N$40,2))))</f>
        <v>3713.74</v>
      </c>
      <c r="F332" s="20" t="str">
        <f>IF($C332="","",IF(Registro_Compras!$F$40="NOTA DE CREDITO",ROUND(ABS(Registro_Compras!$J$40*Registro_Compras!$N$40),2),""))</f>
        <v/>
      </c>
      <c r="G332" t="str">
        <f>IF($C332="","","Por el destino del gasto")</f>
        <v>Por el destino del gasto</v>
      </c>
      <c r="H332" t="str">
        <f>IF($C332="","",Registro_Compras!$C$40)</f>
        <v>F302-00029273</v>
      </c>
    </row>
    <row r="333" spans="1:8" x14ac:dyDescent="0.25">
      <c r="A333" s="25">
        <f>IF($C333="","",Registro_Compras!$B$40)</f>
        <v>46252</v>
      </c>
      <c r="B333" t="str">
        <f>IF($C333="","","C"&amp;TEXT(INT((ROW()-5)/9)+1,"000")&amp;"-2")</f>
        <v>C037-2</v>
      </c>
      <c r="C333" t="str">
        <f>IF(OR(Registro_Compras!$C$40="",Registro_Compras!$O$40=""),"","79/791")</f>
        <v>79/791</v>
      </c>
      <c r="D333" t="str">
        <f>IF(OR(Registro_Compras!$C$40="",Registro_Compras!$O$40=""),"","Cargas Imputables a Cuentas de Costos y Gastos")</f>
        <v>Cargas Imputables a Cuentas de Costos y Gastos</v>
      </c>
      <c r="E333" s="20" t="str">
        <f>IF($C333="","",IF(Registro_Compras!$F$40="NOTA DE CREDITO",ROUND(ABS(Registro_Compras!$J$40*Registro_Compras!$N$40),2),""))</f>
        <v/>
      </c>
      <c r="F333" s="20">
        <f>IF($C333="","",IF(Registro_Compras!$F$40="NOTA DE CREDITO","",IF(Registro_Compras!$F$40="RHE",ROUND(Registro_Compras!$L$40*Registro_Compras!$N$40,2),ROUND(Registro_Compras!$J$40*Registro_Compras!$N$40,2))))</f>
        <v>3713.74</v>
      </c>
      <c r="G333" t="str">
        <f>IF($C333="","","Por el destino del gasto")</f>
        <v>Por el destino del gasto</v>
      </c>
      <c r="H333" t="str">
        <f>IF($C333="","",Registro_Compras!$C$40)</f>
        <v>F302-00029273</v>
      </c>
    </row>
    <row r="334" spans="1:8" x14ac:dyDescent="0.25">
      <c r="A334" s="25" t="str">
        <f>IF($C334="","",Registro_Compras!$X$40)</f>
        <v/>
      </c>
      <c r="B334" t="str">
        <f>IF($C334="","","C"&amp;TEXT(INT((ROW()-5)/9)+1,"000")&amp;"-3")</f>
        <v/>
      </c>
      <c r="C334" t="str">
        <f>IF(OR(Registro_Compras!$C$40="",Registro_Compras!$O$40="",Registro_Compras!$R$40&lt;&gt;"SI",Registro_Compras!$X$40=""),"","4212")</f>
        <v/>
      </c>
      <c r="D334" t="str">
        <f>IF(OR(Registro_Compras!$C$40="",Registro_Compras!$O$40=""),"","Cuentas por Pagar Comerciales - Terceros")</f>
        <v>Cuentas por Pagar Comerciales - Terceros</v>
      </c>
      <c r="E334" s="20" t="str">
        <f>IF($C334="","",Registro_Compras!$S$40)</f>
        <v/>
      </c>
      <c r="F334" s="20" t="str">
        <f>""</f>
        <v/>
      </c>
      <c r="G334" t="str">
        <f>IF($C334="","","Por el deposito de la detraccion en el Banco de la Nacion")</f>
        <v/>
      </c>
      <c r="H334" t="str">
        <f>IF($C334="","",Registro_Compras!$C$40)</f>
        <v/>
      </c>
    </row>
    <row r="335" spans="1:8" x14ac:dyDescent="0.25">
      <c r="A335" s="25" t="str">
        <f>IF($C335="","",Registro_Compras!$X$40)</f>
        <v/>
      </c>
      <c r="B335" t="str">
        <f>IF($C335="","","C"&amp;TEXT(INT((ROW()-5)/9)+1,"000")&amp;"-3")</f>
        <v/>
      </c>
      <c r="C335" t="str">
        <f>IF(OR(Registro_Compras!$C$40="",Registro_Compras!$O$40="",Registro_Compras!$R$40&lt;&gt;"SI",Registro_Compras!$X$40=""),"","1041")</f>
        <v/>
      </c>
      <c r="D335" t="str">
        <f>IF(OR(Registro_Compras!$C$40="",Registro_Compras!$O$40=""),"","Efectivo y Equivalentes - Cta. Cte. Operativa")</f>
        <v>Efectivo y Equivalentes - Cta. Cte. Operativa</v>
      </c>
      <c r="E335" s="20" t="str">
        <f>""</f>
        <v/>
      </c>
      <c r="F335" s="20" t="str">
        <f>IF($C335="","",Registro_Compras!$S$40)</f>
        <v/>
      </c>
      <c r="G335" t="str">
        <f>IF($C335="","","Por el deposito de la detraccion en el Banco de la Nacion")</f>
        <v/>
      </c>
      <c r="H335" t="str">
        <f>IF($C335="","",Registro_Compras!$C$40)</f>
        <v/>
      </c>
    </row>
    <row r="336" spans="1:8" x14ac:dyDescent="0.25">
      <c r="A336" s="25" t="str">
        <f>IF($C336="","",Registro_Compras!$Y$40)</f>
        <v/>
      </c>
      <c r="B336" t="str">
        <f>IF($C336="","","C"&amp;TEXT(INT((ROW()-5)/9)+1,"000")&amp;"-4")</f>
        <v/>
      </c>
      <c r="C336" t="str">
        <f>IF(OR(Registro_Compras!$C$40="",Registro_Compras!$O$40="",Registro_Compras!$Y$40="",Registro_Compras!$F$40="NOTA DE CREDITO"),"","4212")</f>
        <v/>
      </c>
      <c r="D336" t="str">
        <f>IF(OR(Registro_Compras!$C$40="",Registro_Compras!$O$40=""),"","Cuentas por Pagar Comerciales - Terceros")</f>
        <v>Cuentas por Pagar Comerciales - Terceros</v>
      </c>
      <c r="E336" s="20" t="str">
        <f>IF($C336="","",IF(Registro_Compras!$F$40="RHE",(ROUND(Registro_Compras!$L$40*Registro_Compras!$N$40,2)-ROUND(Registro_Compras!$V$40*Registro_Compras!$N$40,2)),ROUND(Registro_Compras!$O$40-Registro_Compras!$S$40,2)))</f>
        <v/>
      </c>
      <c r="F336" s="20" t="str">
        <f>""</f>
        <v/>
      </c>
      <c r="G336" t="str">
        <f>IF($C336="","","Por la cancelacion del saldo al proveedor")</f>
        <v/>
      </c>
      <c r="H336" t="str">
        <f>IF($C336="","",Registro_Compras!$C$40)</f>
        <v/>
      </c>
    </row>
    <row r="337" spans="1:8" x14ac:dyDescent="0.25">
      <c r="A337" s="25" t="str">
        <f>IF($C337="","",Registro_Compras!$Y$40)</f>
        <v/>
      </c>
      <c r="B337" t="str">
        <f>IF($C337="","","C"&amp;TEXT(INT((ROW()-5)/9)+1,"000")&amp;"-4")</f>
        <v/>
      </c>
      <c r="C337" t="str">
        <f>IF(OR(Registro_Compras!$C$40="",Registro_Compras!$O$40="",Registro_Compras!$Y$40="",Registro_Compras!$F$40="NOTA DE CREDITO"),"","1041")</f>
        <v/>
      </c>
      <c r="D337" t="str">
        <f>IF(OR(Registro_Compras!$C$40="",Registro_Compras!$O$40=""),"","Efectivo y Equivalentes - Cta. Cte. Operativa")</f>
        <v>Efectivo y Equivalentes - Cta. Cte. Operativa</v>
      </c>
      <c r="E337" s="20" t="str">
        <f>""</f>
        <v/>
      </c>
      <c r="F337" s="20" t="str">
        <f>IF($C337="","",IF(Registro_Compras!$F$40="RHE",(ROUND(Registro_Compras!$L$40*Registro_Compras!$N$40,2)-ROUND(Registro_Compras!$V$40*Registro_Compras!$N$40,2)),ROUND(Registro_Compras!$O$40-Registro_Compras!$S$40,2)))</f>
        <v/>
      </c>
      <c r="G337" t="str">
        <f>IF($C337="","","Por la cancelacion del saldo al proveedor")</f>
        <v/>
      </c>
      <c r="H337" t="str">
        <f>IF($C337="","",Registro_Compras!$C$40)</f>
        <v/>
      </c>
    </row>
    <row r="338" spans="1:8" x14ac:dyDescent="0.25">
      <c r="A338" s="25">
        <f>IF($C338="","",Registro_Compras!$B$41)</f>
        <v>46248</v>
      </c>
      <c r="B338" t="str">
        <f>IF($C338="","","C"&amp;TEXT(INT((ROW()-5)/9)+1,"000")&amp;"-1")</f>
        <v>C038-1</v>
      </c>
      <c r="C338" t="str">
        <f>IF(OR(Registro_Compras!$C$41="",Registro_Compras!$O$41=""),"",IF(Registro_Compras!$F$41="NOTA DE CREDITO","4212",IF(Registro_Compras!$M$41="","63",Registro_Compras!$M$41)))</f>
        <v>631</v>
      </c>
      <c r="D338" t="str">
        <f>IF(OR(Registro_Compras!$C$41="",Registro_Compras!$O$41=""),"",IF(Registro_Compras!$F$41="NOTA DE CREDITO","Cuentas por Pagar Comerciales - Terceros (Emitidas)",IF(Registro_Compras!$F$41="RHE","Honorarios Profesionales - Servicios de Terceros","Gastos de Servicios Prestados por Terceros")))</f>
        <v>Gastos de Servicios Prestados por Terceros</v>
      </c>
      <c r="E338" s="20">
        <f>IF($C338="","",IF(Registro_Compras!$F$41="NOTA DE CREDITO",ABS(Registro_Compras!$O$41),IF(Registro_Compras!$F$41="RHE",ROUND(Registro_Compras!$L$41*Registro_Compras!$N$41,2),ROUND(Registro_Compras!$J$41*Registro_Compras!$N$41,2))))</f>
        <v>1011.3</v>
      </c>
      <c r="F338" s="20" t="str">
        <f>""</f>
        <v/>
      </c>
      <c r="G338" t="str">
        <f>IF($C338="","",IF(Registro_Compras!$F$41="NOTA DE CREDITO","Por la nota de credito "&amp;Registro_Compras!$C$41&amp;" de "&amp;Registro_Compras!$E$41&amp;" [PATRON POR CONFIRMAR CON CONTADOR]",IF(Registro_Compras!$F$41="RHE","Por el registro del recibo por honorarios "&amp;Registro_Compras!$C$41&amp;" de "&amp;Registro_Compras!$E$41&amp;" [PATRON POR CONFIRMAR CON CONTADOR]","Por el registro de la factura "&amp;Registro_Compras!$C$41&amp;" de "&amp;Registro_Compras!$E$41)))</f>
        <v>Por el registro de la factura E001-2662 de J &amp; R TURISMO E.I.R.L.</v>
      </c>
      <c r="H338" t="str">
        <f>IF($C338="","",Registro_Compras!$C$41)</f>
        <v>E001-2662</v>
      </c>
    </row>
    <row r="339" spans="1:8" x14ac:dyDescent="0.25">
      <c r="A339" s="25">
        <f>IF($C339="","",Registro_Compras!$B$41)</f>
        <v>46248</v>
      </c>
      <c r="B339" t="str">
        <f>IF($C339="","","C"&amp;TEXT(INT((ROW()-5)/9)+1,"000")&amp;"-1")</f>
        <v>C038-1</v>
      </c>
      <c r="C339" t="str">
        <f>IF(OR(Registro_Compras!$C$41="",Registro_Compras!$O$41=""),"",IF(Registro_Compras!$F$41="RHE",IF(Registro_Compras!$V$41=0,"","4017"),IF(Registro_Compras!$F$41="NOTA DE CREDITO",IF(Registro_Compras!$M$41="","63",Registro_Compras!$M$41),IF(Registro_Compras!$K$41=0,"","40111"))))</f>
        <v>40111</v>
      </c>
      <c r="D339" t="str">
        <f>IF(OR(Registro_Compras!$C$41="",Registro_Compras!$O$41=""),"",IF(Registro_Compras!$F$41="RHE","Retencion Renta 4ta Categoria por Pagar",IF(Registro_Compras!$F$41="NOTA DE CREDITO","Gastos de Servicios Prestados por Terceros","IGV - Cuenta Propia (Credito Fiscal)")))</f>
        <v>IGV - Cuenta Propia (Credito Fiscal)</v>
      </c>
      <c r="E339" s="20">
        <f>IF($C339="","",IF(Registro_Compras!$F$41="FACTURA",ROUND(Registro_Compras!$K$41*Registro_Compras!$N$41,2),""))</f>
        <v>182.03</v>
      </c>
      <c r="F339" s="20" t="str">
        <f>IF($C339="","",IF(Registro_Compras!$F$41="RHE",ROUND(Registro_Compras!$V$41*Registro_Compras!$N$41,2),IF(Registro_Compras!$F$41="NOTA DE CREDITO",ROUND(ABS(Registro_Compras!$J$41*Registro_Compras!$N$41),2),"")))</f>
        <v/>
      </c>
      <c r="G339" t="str">
        <f>IF($C339="","",IF(Registro_Compras!$F$41="NOTA DE CREDITO","Por la nota de credito "&amp;Registro_Compras!$C$41&amp;" de "&amp;Registro_Compras!$E$41&amp;" [PATRON POR CONFIRMAR CON CONTADOR]",IF(Registro_Compras!$F$41="RHE","Por el registro del recibo por honorarios "&amp;Registro_Compras!$C$41&amp;" de "&amp;Registro_Compras!$E$41&amp;" [PATRON POR CONFIRMAR CON CONTADOR]","Por el registro de la factura "&amp;Registro_Compras!$C$41&amp;" de "&amp;Registro_Compras!$E$41)))</f>
        <v>Por el registro de la factura E001-2662 de J &amp; R TURISMO E.I.R.L.</v>
      </c>
      <c r="H339" t="str">
        <f>IF($C339="","",Registro_Compras!$C$41)</f>
        <v>E001-2662</v>
      </c>
    </row>
    <row r="340" spans="1:8" x14ac:dyDescent="0.25">
      <c r="A340" s="25">
        <f>IF($C340="","",Registro_Compras!$B$41)</f>
        <v>46248</v>
      </c>
      <c r="B340" t="str">
        <f>IF($C340="","","C"&amp;TEXT(INT((ROW()-5)/9)+1,"000")&amp;"-1")</f>
        <v>C038-1</v>
      </c>
      <c r="C340" t="str">
        <f>IF(OR(Registro_Compras!$C$41="",Registro_Compras!$O$41=""),"",IF(Registro_Compras!$F$41="NOTA DE CREDITO",IF(Registro_Compras!$K$41=0,"","40111"),"4212"))</f>
        <v>4212</v>
      </c>
      <c r="D340" t="str">
        <f>IF(OR(Registro_Compras!$C$41="",Registro_Compras!$O$41=""),"",IF(Registro_Compras!$F$41="NOTA DE CREDITO","IGV - Cuenta Propia (Credito Fiscal)","Cuentas por Pagar Comerciales - Terceros (Emitidas)"))</f>
        <v>Cuentas por Pagar Comerciales - Terceros (Emitidas)</v>
      </c>
      <c r="E340" s="20" t="str">
        <f>""</f>
        <v/>
      </c>
      <c r="F340" s="20">
        <f>IF($C340="","",IF(Registro_Compras!$F$41="NOTA DE CREDITO",ROUND(ABS(Registro_Compras!$K$41*Registro_Compras!$N$41),2),IF(Registro_Compras!$F$41="RHE",(ROUND(Registro_Compras!$L$41*Registro_Compras!$N$41,2)-ROUND(Registro_Compras!$V$41*Registro_Compras!$N$41,2)),Registro_Compras!$O$41)))</f>
        <v>1193.33</v>
      </c>
      <c r="G340" t="str">
        <f>IF($C340="","",IF(Registro_Compras!$F$41="NOTA DE CREDITO","Por la nota de credito "&amp;Registro_Compras!$C$41&amp;" de "&amp;Registro_Compras!$E$41&amp;" [PATRON POR CONFIRMAR CON CONTADOR]",IF(Registro_Compras!$F$41="RHE","Por el registro del recibo por honorarios "&amp;Registro_Compras!$C$41&amp;" de "&amp;Registro_Compras!$E$41&amp;" [PATRON POR CONFIRMAR CON CONTADOR]","Por el registro de la factura "&amp;Registro_Compras!$C$41&amp;" de "&amp;Registro_Compras!$E$41)))</f>
        <v>Por el registro de la factura E001-2662 de J &amp; R TURISMO E.I.R.L.</v>
      </c>
      <c r="H340" t="str">
        <f>IF($C340="","",Registro_Compras!$C$41)</f>
        <v>E001-2662</v>
      </c>
    </row>
    <row r="341" spans="1:8" x14ac:dyDescent="0.25">
      <c r="A341" s="25">
        <f>IF($C341="","",Registro_Compras!$B$41)</f>
        <v>46248</v>
      </c>
      <c r="B341" t="str">
        <f>IF($C341="","","C"&amp;TEXT(INT((ROW()-5)/9)+1,"000")&amp;"-2")</f>
        <v>C038-2</v>
      </c>
      <c r="C341" t="str">
        <f>IF(OR(Registro_Compras!$C$41="",Registro_Compras!$O$41=""),"",IF(Registro_Compras!$AB$41="ADMINISTRATIVO","94","95"))</f>
        <v>95</v>
      </c>
      <c r="D341" t="str">
        <f>IF(OR(Registro_Compras!$C$41="",Registro_Compras!$O$41=""),"",IF(Registro_Compras!$AB$41="ADMINISTRATIVO","Gastos Administrativos","Gastos de Venta y Operacion"))</f>
        <v>Gastos de Venta y Operacion</v>
      </c>
      <c r="E341" s="20">
        <f>IF($C341="","",IF(Registro_Compras!$F$41="NOTA DE CREDITO","",IF(Registro_Compras!$F$41="RHE",ROUND(Registro_Compras!$L$41*Registro_Compras!$N$41,2),ROUND(Registro_Compras!$J$41*Registro_Compras!$N$41,2))))</f>
        <v>1011.3</v>
      </c>
      <c r="F341" s="20" t="str">
        <f>IF($C341="","",IF(Registro_Compras!$F$41="NOTA DE CREDITO",ROUND(ABS(Registro_Compras!$J$41*Registro_Compras!$N$41),2),""))</f>
        <v/>
      </c>
      <c r="G341" t="str">
        <f>IF($C341="","","Por el destino del gasto")</f>
        <v>Por el destino del gasto</v>
      </c>
      <c r="H341" t="str">
        <f>IF($C341="","",Registro_Compras!$C$41)</f>
        <v>E001-2662</v>
      </c>
    </row>
    <row r="342" spans="1:8" x14ac:dyDescent="0.25">
      <c r="A342" s="25">
        <f>IF($C342="","",Registro_Compras!$B$41)</f>
        <v>46248</v>
      </c>
      <c r="B342" t="str">
        <f>IF($C342="","","C"&amp;TEXT(INT((ROW()-5)/9)+1,"000")&amp;"-2")</f>
        <v>C038-2</v>
      </c>
      <c r="C342" t="str">
        <f>IF(OR(Registro_Compras!$C$41="",Registro_Compras!$O$41=""),"","79/791")</f>
        <v>79/791</v>
      </c>
      <c r="D342" t="str">
        <f>IF(OR(Registro_Compras!$C$41="",Registro_Compras!$O$41=""),"","Cargas Imputables a Cuentas de Costos y Gastos")</f>
        <v>Cargas Imputables a Cuentas de Costos y Gastos</v>
      </c>
      <c r="E342" s="20" t="str">
        <f>IF($C342="","",IF(Registro_Compras!$F$41="NOTA DE CREDITO",ROUND(ABS(Registro_Compras!$J$41*Registro_Compras!$N$41),2),""))</f>
        <v/>
      </c>
      <c r="F342" s="20">
        <f>IF($C342="","",IF(Registro_Compras!$F$41="NOTA DE CREDITO","",IF(Registro_Compras!$F$41="RHE",ROUND(Registro_Compras!$L$41*Registro_Compras!$N$41,2),ROUND(Registro_Compras!$J$41*Registro_Compras!$N$41,2))))</f>
        <v>1011.3</v>
      </c>
      <c r="G342" t="str">
        <f>IF($C342="","","Por el destino del gasto")</f>
        <v>Por el destino del gasto</v>
      </c>
      <c r="H342" t="str">
        <f>IF($C342="","",Registro_Compras!$C$41)</f>
        <v>E001-2662</v>
      </c>
    </row>
    <row r="343" spans="1:8" x14ac:dyDescent="0.25">
      <c r="A343" s="25" t="str">
        <f>IF($C343="","",Registro_Compras!$X$41)</f>
        <v/>
      </c>
      <c r="B343" t="str">
        <f>IF($C343="","","C"&amp;TEXT(INT((ROW()-5)/9)+1,"000")&amp;"-3")</f>
        <v/>
      </c>
      <c r="C343" t="str">
        <f>IF(OR(Registro_Compras!$C$41="",Registro_Compras!$O$41="",Registro_Compras!$R$41&lt;&gt;"SI",Registro_Compras!$X$41=""),"","4212")</f>
        <v/>
      </c>
      <c r="D343" t="str">
        <f>IF(OR(Registro_Compras!$C$41="",Registro_Compras!$O$41=""),"","Cuentas por Pagar Comerciales - Terceros")</f>
        <v>Cuentas por Pagar Comerciales - Terceros</v>
      </c>
      <c r="E343" s="20" t="str">
        <f>IF($C343="","",Registro_Compras!$S$41)</f>
        <v/>
      </c>
      <c r="F343" s="20" t="str">
        <f>""</f>
        <v/>
      </c>
      <c r="G343" t="str">
        <f>IF($C343="","","Por el deposito de la detraccion en el Banco de la Nacion")</f>
        <v/>
      </c>
      <c r="H343" t="str">
        <f>IF($C343="","",Registro_Compras!$C$41)</f>
        <v/>
      </c>
    </row>
    <row r="344" spans="1:8" x14ac:dyDescent="0.25">
      <c r="A344" s="25" t="str">
        <f>IF($C344="","",Registro_Compras!$X$41)</f>
        <v/>
      </c>
      <c r="B344" t="str">
        <f>IF($C344="","","C"&amp;TEXT(INT((ROW()-5)/9)+1,"000")&amp;"-3")</f>
        <v/>
      </c>
      <c r="C344" t="str">
        <f>IF(OR(Registro_Compras!$C$41="",Registro_Compras!$O$41="",Registro_Compras!$R$41&lt;&gt;"SI",Registro_Compras!$X$41=""),"","1041")</f>
        <v/>
      </c>
      <c r="D344" t="str">
        <f>IF(OR(Registro_Compras!$C$41="",Registro_Compras!$O$41=""),"","Efectivo y Equivalentes - Cta. Cte. Operativa")</f>
        <v>Efectivo y Equivalentes - Cta. Cte. Operativa</v>
      </c>
      <c r="E344" s="20" t="str">
        <f>""</f>
        <v/>
      </c>
      <c r="F344" s="20" t="str">
        <f>IF($C344="","",Registro_Compras!$S$41)</f>
        <v/>
      </c>
      <c r="G344" t="str">
        <f>IF($C344="","","Por el deposito de la detraccion en el Banco de la Nacion")</f>
        <v/>
      </c>
      <c r="H344" t="str">
        <f>IF($C344="","",Registro_Compras!$C$41)</f>
        <v/>
      </c>
    </row>
    <row r="345" spans="1:8" x14ac:dyDescent="0.25">
      <c r="A345" s="25" t="str">
        <f>IF($C345="","",Registro_Compras!$Y$41)</f>
        <v/>
      </c>
      <c r="B345" t="str">
        <f>IF($C345="","","C"&amp;TEXT(INT((ROW()-5)/9)+1,"000")&amp;"-4")</f>
        <v/>
      </c>
      <c r="C345" t="str">
        <f>IF(OR(Registro_Compras!$C$41="",Registro_Compras!$O$41="",Registro_Compras!$Y$41="",Registro_Compras!$F$41="NOTA DE CREDITO"),"","4212")</f>
        <v/>
      </c>
      <c r="D345" t="str">
        <f>IF(OR(Registro_Compras!$C$41="",Registro_Compras!$O$41=""),"","Cuentas por Pagar Comerciales - Terceros")</f>
        <v>Cuentas por Pagar Comerciales - Terceros</v>
      </c>
      <c r="E345" s="20" t="str">
        <f>IF($C345="","",IF(Registro_Compras!$F$41="RHE",(ROUND(Registro_Compras!$L$41*Registro_Compras!$N$41,2)-ROUND(Registro_Compras!$V$41*Registro_Compras!$N$41,2)),ROUND(Registro_Compras!$O$41-Registro_Compras!$S$41,2)))</f>
        <v/>
      </c>
      <c r="F345" s="20" t="str">
        <f>""</f>
        <v/>
      </c>
      <c r="G345" t="str">
        <f>IF($C345="","","Por la cancelacion del saldo al proveedor")</f>
        <v/>
      </c>
      <c r="H345" t="str">
        <f>IF($C345="","",Registro_Compras!$C$41)</f>
        <v/>
      </c>
    </row>
    <row r="346" spans="1:8" x14ac:dyDescent="0.25">
      <c r="A346" s="25" t="str">
        <f>IF($C346="","",Registro_Compras!$Y$41)</f>
        <v/>
      </c>
      <c r="B346" t="str">
        <f>IF($C346="","","C"&amp;TEXT(INT((ROW()-5)/9)+1,"000")&amp;"-4")</f>
        <v/>
      </c>
      <c r="C346" t="str">
        <f>IF(OR(Registro_Compras!$C$41="",Registro_Compras!$O$41="",Registro_Compras!$Y$41="",Registro_Compras!$F$41="NOTA DE CREDITO"),"","1041")</f>
        <v/>
      </c>
      <c r="D346" t="str">
        <f>IF(OR(Registro_Compras!$C$41="",Registro_Compras!$O$41=""),"","Efectivo y Equivalentes - Cta. Cte. Operativa")</f>
        <v>Efectivo y Equivalentes - Cta. Cte. Operativa</v>
      </c>
      <c r="E346" s="20" t="str">
        <f>""</f>
        <v/>
      </c>
      <c r="F346" s="20" t="str">
        <f>IF($C346="","",IF(Registro_Compras!$F$41="RHE",(ROUND(Registro_Compras!$L$41*Registro_Compras!$N$41,2)-ROUND(Registro_Compras!$V$41*Registro_Compras!$N$41,2)),ROUND(Registro_Compras!$O$41-Registro_Compras!$S$41,2)))</f>
        <v/>
      </c>
      <c r="G346" t="str">
        <f>IF($C346="","","Por la cancelacion del saldo al proveedor")</f>
        <v/>
      </c>
      <c r="H346" t="str">
        <f>IF($C346="","",Registro_Compras!$C$41)</f>
        <v/>
      </c>
    </row>
    <row r="347" spans="1:8" x14ac:dyDescent="0.25">
      <c r="A347" s="25">
        <f>IF($C347="","",Registro_Compras!$B$42)</f>
        <v>46235</v>
      </c>
      <c r="B347" t="str">
        <f>IF($C347="","","C"&amp;TEXT(INT((ROW()-5)/9)+1,"000")&amp;"-1")</f>
        <v>C039-1</v>
      </c>
      <c r="C347" t="str">
        <f>IF(OR(Registro_Compras!$C$42="",Registro_Compras!$O$42=""),"",IF(Registro_Compras!$F$42="NOTA DE CREDITO","4212",IF(Registro_Compras!$M$42="","63",Registro_Compras!$M$42)))</f>
        <v>631</v>
      </c>
      <c r="D347" t="str">
        <f>IF(OR(Registro_Compras!$C$42="",Registro_Compras!$O$42=""),"",IF(Registro_Compras!$F$42="NOTA DE CREDITO","Cuentas por Pagar Comerciales - Terceros (Emitidas)",IF(Registro_Compras!$F$42="RHE","Honorarios Profesionales - Servicios de Terceros","Gastos de Servicios Prestados por Terceros")))</f>
        <v>Gastos de Servicios Prestados por Terceros</v>
      </c>
      <c r="E347" s="20">
        <f>IF($C347="","",IF(Registro_Compras!$F$42="NOTA DE CREDITO",ABS(Registro_Compras!$O$42),IF(Registro_Compras!$F$42="RHE",ROUND(Registro_Compras!$L$42*Registro_Compras!$N$42,2),ROUND(Registro_Compras!$J$42*Registro_Compras!$N$42,2))))</f>
        <v>949.15</v>
      </c>
      <c r="F347" s="20" t="str">
        <f>""</f>
        <v/>
      </c>
      <c r="G347" t="str">
        <f>IF($C347="","",IF(Registro_Compras!$F$42="NOTA DE CREDITO","Por la nota de credito "&amp;Registro_Compras!$C$42&amp;" de "&amp;Registro_Compras!$E$42&amp;" [PATRON POR CONFIRMAR CON CONTADOR]",IF(Registro_Compras!$F$42="RHE","Por el registro del recibo por honorarios "&amp;Registro_Compras!$C$42&amp;" de "&amp;Registro_Compras!$E$42&amp;" [PATRON POR CONFIRMAR CON CONTADOR]","Por el registro de la factura "&amp;Registro_Compras!$C$42&amp;" de "&amp;Registro_Compras!$E$42)))</f>
        <v>Por el registro de la factura E001-2237 de MANCORA TRAVEL S.A.C.</v>
      </c>
      <c r="H347" t="str">
        <f>IF($C347="","",Registro_Compras!$C$42)</f>
        <v>E001-2237</v>
      </c>
    </row>
    <row r="348" spans="1:8" x14ac:dyDescent="0.25">
      <c r="A348" s="25">
        <f>IF($C348="","",Registro_Compras!$B$42)</f>
        <v>46235</v>
      </c>
      <c r="B348" t="str">
        <f>IF($C348="","","C"&amp;TEXT(INT((ROW()-5)/9)+1,"000")&amp;"-1")</f>
        <v>C039-1</v>
      </c>
      <c r="C348" t="str">
        <f>IF(OR(Registro_Compras!$C$42="",Registro_Compras!$O$42=""),"",IF(Registro_Compras!$F$42="RHE",IF(Registro_Compras!$V$42=0,"","4017"),IF(Registro_Compras!$F$42="NOTA DE CREDITO",IF(Registro_Compras!$M$42="","63",Registro_Compras!$M$42),IF(Registro_Compras!$K$42=0,"","40111"))))</f>
        <v>40111</v>
      </c>
      <c r="D348" t="str">
        <f>IF(OR(Registro_Compras!$C$42="",Registro_Compras!$O$42=""),"",IF(Registro_Compras!$F$42="RHE","Retencion Renta 4ta Categoria por Pagar",IF(Registro_Compras!$F$42="NOTA DE CREDITO","Gastos de Servicios Prestados por Terceros","IGV - Cuenta Propia (Credito Fiscal)")))</f>
        <v>IGV - Cuenta Propia (Credito Fiscal)</v>
      </c>
      <c r="E348" s="20">
        <f>IF($C348="","",IF(Registro_Compras!$F$42="FACTURA",ROUND(Registro_Compras!$K$42*Registro_Compras!$N$42,2),""))</f>
        <v>170.85</v>
      </c>
      <c r="F348" s="20" t="str">
        <f>IF($C348="","",IF(Registro_Compras!$F$42="RHE",ROUND(Registro_Compras!$V$42*Registro_Compras!$N$42,2),IF(Registro_Compras!$F$42="NOTA DE CREDITO",ROUND(ABS(Registro_Compras!$J$42*Registro_Compras!$N$42),2),"")))</f>
        <v/>
      </c>
      <c r="G348" t="str">
        <f>IF($C348="","",IF(Registro_Compras!$F$42="NOTA DE CREDITO","Por la nota de credito "&amp;Registro_Compras!$C$42&amp;" de "&amp;Registro_Compras!$E$42&amp;" [PATRON POR CONFIRMAR CON CONTADOR]",IF(Registro_Compras!$F$42="RHE","Por el registro del recibo por honorarios "&amp;Registro_Compras!$C$42&amp;" de "&amp;Registro_Compras!$E$42&amp;" [PATRON POR CONFIRMAR CON CONTADOR]","Por el registro de la factura "&amp;Registro_Compras!$C$42&amp;" de "&amp;Registro_Compras!$E$42)))</f>
        <v>Por el registro de la factura E001-2237 de MANCORA TRAVEL S.A.C.</v>
      </c>
      <c r="H348" t="str">
        <f>IF($C348="","",Registro_Compras!$C$42)</f>
        <v>E001-2237</v>
      </c>
    </row>
    <row r="349" spans="1:8" x14ac:dyDescent="0.25">
      <c r="A349" s="25">
        <f>IF($C349="","",Registro_Compras!$B$42)</f>
        <v>46235</v>
      </c>
      <c r="B349" t="str">
        <f>IF($C349="","","C"&amp;TEXT(INT((ROW()-5)/9)+1,"000")&amp;"-1")</f>
        <v>C039-1</v>
      </c>
      <c r="C349" t="str">
        <f>IF(OR(Registro_Compras!$C$42="",Registro_Compras!$O$42=""),"",IF(Registro_Compras!$F$42="NOTA DE CREDITO",IF(Registro_Compras!$K$42=0,"","40111"),"4212"))</f>
        <v>4212</v>
      </c>
      <c r="D349" t="str">
        <f>IF(OR(Registro_Compras!$C$42="",Registro_Compras!$O$42=""),"",IF(Registro_Compras!$F$42="NOTA DE CREDITO","IGV - Cuenta Propia (Credito Fiscal)","Cuentas por Pagar Comerciales - Terceros (Emitidas)"))</f>
        <v>Cuentas por Pagar Comerciales - Terceros (Emitidas)</v>
      </c>
      <c r="E349" s="20" t="str">
        <f>""</f>
        <v/>
      </c>
      <c r="F349" s="20">
        <f>IF($C349="","",IF(Registro_Compras!$F$42="NOTA DE CREDITO",ROUND(ABS(Registro_Compras!$K$42*Registro_Compras!$N$42),2),IF(Registro_Compras!$F$42="RHE",(ROUND(Registro_Compras!$L$42*Registro_Compras!$N$42,2)-ROUND(Registro_Compras!$V$42*Registro_Compras!$N$42,2)),Registro_Compras!$O$42)))</f>
        <v>1120</v>
      </c>
      <c r="G349" t="str">
        <f>IF($C349="","",IF(Registro_Compras!$F$42="NOTA DE CREDITO","Por la nota de credito "&amp;Registro_Compras!$C$42&amp;" de "&amp;Registro_Compras!$E$42&amp;" [PATRON POR CONFIRMAR CON CONTADOR]",IF(Registro_Compras!$F$42="RHE","Por el registro del recibo por honorarios "&amp;Registro_Compras!$C$42&amp;" de "&amp;Registro_Compras!$E$42&amp;" [PATRON POR CONFIRMAR CON CONTADOR]","Por el registro de la factura "&amp;Registro_Compras!$C$42&amp;" de "&amp;Registro_Compras!$E$42)))</f>
        <v>Por el registro de la factura E001-2237 de MANCORA TRAVEL S.A.C.</v>
      </c>
      <c r="H349" t="str">
        <f>IF($C349="","",Registro_Compras!$C$42)</f>
        <v>E001-2237</v>
      </c>
    </row>
    <row r="350" spans="1:8" x14ac:dyDescent="0.25">
      <c r="A350" s="25">
        <f>IF($C350="","",Registro_Compras!$B$42)</f>
        <v>46235</v>
      </c>
      <c r="B350" t="str">
        <f>IF($C350="","","C"&amp;TEXT(INT((ROW()-5)/9)+1,"000")&amp;"-2")</f>
        <v>C039-2</v>
      </c>
      <c r="C350" t="str">
        <f>IF(OR(Registro_Compras!$C$42="",Registro_Compras!$O$42=""),"",IF(Registro_Compras!$AB$42="ADMINISTRATIVO","94","95"))</f>
        <v>95</v>
      </c>
      <c r="D350" t="str">
        <f>IF(OR(Registro_Compras!$C$42="",Registro_Compras!$O$42=""),"",IF(Registro_Compras!$AB$42="ADMINISTRATIVO","Gastos Administrativos","Gastos de Venta y Operacion"))</f>
        <v>Gastos de Venta y Operacion</v>
      </c>
      <c r="E350" s="20">
        <f>IF($C350="","",IF(Registro_Compras!$F$42="NOTA DE CREDITO","",IF(Registro_Compras!$F$42="RHE",ROUND(Registro_Compras!$L$42*Registro_Compras!$N$42,2),ROUND(Registro_Compras!$J$42*Registro_Compras!$N$42,2))))</f>
        <v>949.15</v>
      </c>
      <c r="F350" s="20" t="str">
        <f>IF($C350="","",IF(Registro_Compras!$F$42="NOTA DE CREDITO",ROUND(ABS(Registro_Compras!$J$42*Registro_Compras!$N$42),2),""))</f>
        <v/>
      </c>
      <c r="G350" t="str">
        <f>IF($C350="","","Por el destino del gasto")</f>
        <v>Por el destino del gasto</v>
      </c>
      <c r="H350" t="str">
        <f>IF($C350="","",Registro_Compras!$C$42)</f>
        <v>E001-2237</v>
      </c>
    </row>
    <row r="351" spans="1:8" x14ac:dyDescent="0.25">
      <c r="A351" s="25">
        <f>IF($C351="","",Registro_Compras!$B$42)</f>
        <v>46235</v>
      </c>
      <c r="B351" t="str">
        <f>IF($C351="","","C"&amp;TEXT(INT((ROW()-5)/9)+1,"000")&amp;"-2")</f>
        <v>C039-2</v>
      </c>
      <c r="C351" t="str">
        <f>IF(OR(Registro_Compras!$C$42="",Registro_Compras!$O$42=""),"","79/791")</f>
        <v>79/791</v>
      </c>
      <c r="D351" t="str">
        <f>IF(OR(Registro_Compras!$C$42="",Registro_Compras!$O$42=""),"","Cargas Imputables a Cuentas de Costos y Gastos")</f>
        <v>Cargas Imputables a Cuentas de Costos y Gastos</v>
      </c>
      <c r="E351" s="20" t="str">
        <f>IF($C351="","",IF(Registro_Compras!$F$42="NOTA DE CREDITO",ROUND(ABS(Registro_Compras!$J$42*Registro_Compras!$N$42),2),""))</f>
        <v/>
      </c>
      <c r="F351" s="20">
        <f>IF($C351="","",IF(Registro_Compras!$F$42="NOTA DE CREDITO","",IF(Registro_Compras!$F$42="RHE",ROUND(Registro_Compras!$L$42*Registro_Compras!$N$42,2),ROUND(Registro_Compras!$J$42*Registro_Compras!$N$42,2))))</f>
        <v>949.15</v>
      </c>
      <c r="G351" t="str">
        <f>IF($C351="","","Por el destino del gasto")</f>
        <v>Por el destino del gasto</v>
      </c>
      <c r="H351" t="str">
        <f>IF($C351="","",Registro_Compras!$C$42)</f>
        <v>E001-2237</v>
      </c>
    </row>
    <row r="352" spans="1:8" x14ac:dyDescent="0.25">
      <c r="A352" s="25" t="str">
        <f>IF($C352="","",Registro_Compras!$X$42)</f>
        <v/>
      </c>
      <c r="B352" t="str">
        <f>IF($C352="","","C"&amp;TEXT(INT((ROW()-5)/9)+1,"000")&amp;"-3")</f>
        <v/>
      </c>
      <c r="C352" t="str">
        <f>IF(OR(Registro_Compras!$C$42="",Registro_Compras!$O$42="",Registro_Compras!$R$42&lt;&gt;"SI",Registro_Compras!$X$42=""),"","4212")</f>
        <v/>
      </c>
      <c r="D352" t="str">
        <f>IF(OR(Registro_Compras!$C$42="",Registro_Compras!$O$42=""),"","Cuentas por Pagar Comerciales - Terceros")</f>
        <v>Cuentas por Pagar Comerciales - Terceros</v>
      </c>
      <c r="E352" s="20" t="str">
        <f>IF($C352="","",Registro_Compras!$S$42)</f>
        <v/>
      </c>
      <c r="F352" s="20" t="str">
        <f>""</f>
        <v/>
      </c>
      <c r="G352" t="str">
        <f>IF($C352="","","Por el deposito de la detraccion en el Banco de la Nacion")</f>
        <v/>
      </c>
      <c r="H352" t="str">
        <f>IF($C352="","",Registro_Compras!$C$42)</f>
        <v/>
      </c>
    </row>
    <row r="353" spans="1:8" x14ac:dyDescent="0.25">
      <c r="A353" s="25" t="str">
        <f>IF($C353="","",Registro_Compras!$X$42)</f>
        <v/>
      </c>
      <c r="B353" t="str">
        <f>IF($C353="","","C"&amp;TEXT(INT((ROW()-5)/9)+1,"000")&amp;"-3")</f>
        <v/>
      </c>
      <c r="C353" t="str">
        <f>IF(OR(Registro_Compras!$C$42="",Registro_Compras!$O$42="",Registro_Compras!$R$42&lt;&gt;"SI",Registro_Compras!$X$42=""),"","1041")</f>
        <v/>
      </c>
      <c r="D353" t="str">
        <f>IF(OR(Registro_Compras!$C$42="",Registro_Compras!$O$42=""),"","Efectivo y Equivalentes - Cta. Cte. Operativa")</f>
        <v>Efectivo y Equivalentes - Cta. Cte. Operativa</v>
      </c>
      <c r="E353" s="20" t="str">
        <f>""</f>
        <v/>
      </c>
      <c r="F353" s="20" t="str">
        <f>IF($C353="","",Registro_Compras!$S$42)</f>
        <v/>
      </c>
      <c r="G353" t="str">
        <f>IF($C353="","","Por el deposito de la detraccion en el Banco de la Nacion")</f>
        <v/>
      </c>
      <c r="H353" t="str">
        <f>IF($C353="","",Registro_Compras!$C$42)</f>
        <v/>
      </c>
    </row>
    <row r="354" spans="1:8" x14ac:dyDescent="0.25">
      <c r="A354" s="25" t="str">
        <f>IF($C354="","",Registro_Compras!$Y$42)</f>
        <v/>
      </c>
      <c r="B354" t="str">
        <f>IF($C354="","","C"&amp;TEXT(INT((ROW()-5)/9)+1,"000")&amp;"-4")</f>
        <v/>
      </c>
      <c r="C354" t="str">
        <f>IF(OR(Registro_Compras!$C$42="",Registro_Compras!$O$42="",Registro_Compras!$Y$42="",Registro_Compras!$F$42="NOTA DE CREDITO"),"","4212")</f>
        <v/>
      </c>
      <c r="D354" t="str">
        <f>IF(OR(Registro_Compras!$C$42="",Registro_Compras!$O$42=""),"","Cuentas por Pagar Comerciales - Terceros")</f>
        <v>Cuentas por Pagar Comerciales - Terceros</v>
      </c>
      <c r="E354" s="20" t="str">
        <f>IF($C354="","",IF(Registro_Compras!$F$42="RHE",(ROUND(Registro_Compras!$L$42*Registro_Compras!$N$42,2)-ROUND(Registro_Compras!$V$42*Registro_Compras!$N$42,2)),ROUND(Registro_Compras!$O$42-Registro_Compras!$S$42,2)))</f>
        <v/>
      </c>
      <c r="F354" s="20" t="str">
        <f>""</f>
        <v/>
      </c>
      <c r="G354" t="str">
        <f>IF($C354="","","Por la cancelacion del saldo al proveedor")</f>
        <v/>
      </c>
      <c r="H354" t="str">
        <f>IF($C354="","",Registro_Compras!$C$42)</f>
        <v/>
      </c>
    </row>
    <row r="355" spans="1:8" x14ac:dyDescent="0.25">
      <c r="A355" s="25" t="str">
        <f>IF($C355="","",Registro_Compras!$Y$42)</f>
        <v/>
      </c>
      <c r="B355" t="str">
        <f>IF($C355="","","C"&amp;TEXT(INT((ROW()-5)/9)+1,"000")&amp;"-4")</f>
        <v/>
      </c>
      <c r="C355" t="str">
        <f>IF(OR(Registro_Compras!$C$42="",Registro_Compras!$O$42="",Registro_Compras!$Y$42="",Registro_Compras!$F$42="NOTA DE CREDITO"),"","1041")</f>
        <v/>
      </c>
      <c r="D355" t="str">
        <f>IF(OR(Registro_Compras!$C$42="",Registro_Compras!$O$42=""),"","Efectivo y Equivalentes - Cta. Cte. Operativa")</f>
        <v>Efectivo y Equivalentes - Cta. Cte. Operativa</v>
      </c>
      <c r="E355" s="20" t="str">
        <f>""</f>
        <v/>
      </c>
      <c r="F355" s="20" t="str">
        <f>IF($C355="","",IF(Registro_Compras!$F$42="RHE",(ROUND(Registro_Compras!$L$42*Registro_Compras!$N$42,2)-ROUND(Registro_Compras!$V$42*Registro_Compras!$N$42,2)),ROUND(Registro_Compras!$O$42-Registro_Compras!$S$42,2)))</f>
        <v/>
      </c>
      <c r="G355" t="str">
        <f>IF($C355="","","Por la cancelacion del saldo al proveedor")</f>
        <v/>
      </c>
      <c r="H355" t="str">
        <f>IF($C355="","",Registro_Compras!$C$42)</f>
        <v/>
      </c>
    </row>
    <row r="356" spans="1:8" x14ac:dyDescent="0.25">
      <c r="A356" s="25">
        <f>IF($C356="","",Registro_Compras!$B$43)</f>
        <v>46247</v>
      </c>
      <c r="B356" t="str">
        <f>IF($C356="","","C"&amp;TEXT(INT((ROW()-5)/9)+1,"000")&amp;"-1")</f>
        <v>C040-1</v>
      </c>
      <c r="C356" t="str">
        <f>IF(OR(Registro_Compras!$C$43="",Registro_Compras!$O$43=""),"",IF(Registro_Compras!$F$43="NOTA DE CREDITO","4212",IF(Registro_Compras!$M$43="","63",Registro_Compras!$M$43)))</f>
        <v>639</v>
      </c>
      <c r="D356" t="str">
        <f>IF(OR(Registro_Compras!$C$43="",Registro_Compras!$O$43=""),"",IF(Registro_Compras!$F$43="NOTA DE CREDITO","Cuentas por Pagar Comerciales - Terceros (Emitidas)",IF(Registro_Compras!$F$43="RHE","Honorarios Profesionales - Servicios de Terceros","Gastos de Servicios Prestados por Terceros")))</f>
        <v>Gastos de Servicios Prestados por Terceros</v>
      </c>
      <c r="E356" s="20">
        <f>IF($C356="","",IF(Registro_Compras!$F$43="NOTA DE CREDITO",ABS(Registro_Compras!$O$43),IF(Registro_Compras!$F$43="RHE",ROUND(Registro_Compras!$L$43*Registro_Compras!$N$43,2),ROUND(Registro_Compras!$J$43*Registro_Compras!$N$43,2))))</f>
        <v>5669.22</v>
      </c>
      <c r="F356" s="20" t="str">
        <f>""</f>
        <v/>
      </c>
      <c r="G356" t="str">
        <f>IF($C356="","",IF(Registro_Compras!$F$43="NOTA DE CREDITO","Por la nota de credito "&amp;Registro_Compras!$C$43&amp;" de "&amp;Registro_Compras!$E$43&amp;" [PATRON POR CONFIRMAR CON CONTADOR]",IF(Registro_Compras!$F$43="RHE","Por el registro del recibo por honorarios "&amp;Registro_Compras!$C$43&amp;" de "&amp;Registro_Compras!$E$43&amp;" [PATRON POR CONFIRMAR CON CONTADOR]","Por el registro de la factura "&amp;Registro_Compras!$C$43&amp;" de "&amp;Registro_Compras!$E$43)))</f>
        <v>Por el registro de la factura FL05-00036295 de PALMA REAL S.A.C. (INKATERRA)</v>
      </c>
      <c r="H356" t="str">
        <f>IF($C356="","",Registro_Compras!$C$43)</f>
        <v>FL05-00036295</v>
      </c>
    </row>
    <row r="357" spans="1:8" x14ac:dyDescent="0.25">
      <c r="A357" s="25" t="str">
        <f>IF($C357="","",Registro_Compras!$B$43)</f>
        <v/>
      </c>
      <c r="B357" t="str">
        <f>IF($C357="","","C"&amp;TEXT(INT((ROW()-5)/9)+1,"000")&amp;"-1")</f>
        <v/>
      </c>
      <c r="C357" t="str">
        <f>IF(OR(Registro_Compras!$C$43="",Registro_Compras!$O$43=""),"",IF(Registro_Compras!$F$43="RHE",IF(Registro_Compras!$V$43=0,"","4017"),IF(Registro_Compras!$F$43="NOTA DE CREDITO",IF(Registro_Compras!$M$43="","63",Registro_Compras!$M$43),IF(Registro_Compras!$K$43=0,"","40111"))))</f>
        <v/>
      </c>
      <c r="D357" t="str">
        <f>IF(OR(Registro_Compras!$C$43="",Registro_Compras!$O$43=""),"",IF(Registro_Compras!$F$43="RHE","Retencion Renta 4ta Categoria por Pagar",IF(Registro_Compras!$F$43="NOTA DE CREDITO","Gastos de Servicios Prestados por Terceros","IGV - Cuenta Propia (Credito Fiscal)")))</f>
        <v>IGV - Cuenta Propia (Credito Fiscal)</v>
      </c>
      <c r="E357" s="20" t="str">
        <f>IF($C357="","",IF(Registro_Compras!$F$43="FACTURA",ROUND(Registro_Compras!$K$43*Registro_Compras!$N$43,2),""))</f>
        <v/>
      </c>
      <c r="F357" s="20" t="str">
        <f>IF($C357="","",IF(Registro_Compras!$F$43="RHE",ROUND(Registro_Compras!$V$43*Registro_Compras!$N$43,2),IF(Registro_Compras!$F$43="NOTA DE CREDITO",ROUND(ABS(Registro_Compras!$J$43*Registro_Compras!$N$43),2),"")))</f>
        <v/>
      </c>
      <c r="G357" t="str">
        <f>IF($C357="","",IF(Registro_Compras!$F$43="NOTA DE CREDITO","Por la nota de credito "&amp;Registro_Compras!$C$43&amp;" de "&amp;Registro_Compras!$E$43&amp;" [PATRON POR CONFIRMAR CON CONTADOR]",IF(Registro_Compras!$F$43="RHE","Por el registro del recibo por honorarios "&amp;Registro_Compras!$C$43&amp;" de "&amp;Registro_Compras!$E$43&amp;" [PATRON POR CONFIRMAR CON CONTADOR]","Por el registro de la factura "&amp;Registro_Compras!$C$43&amp;" de "&amp;Registro_Compras!$E$43)))</f>
        <v/>
      </c>
      <c r="H357" t="str">
        <f>IF($C357="","",Registro_Compras!$C$43)</f>
        <v/>
      </c>
    </row>
    <row r="358" spans="1:8" x14ac:dyDescent="0.25">
      <c r="A358" s="25">
        <f>IF($C358="","",Registro_Compras!$B$43)</f>
        <v>46247</v>
      </c>
      <c r="B358" t="str">
        <f>IF($C358="","","C"&amp;TEXT(INT((ROW()-5)/9)+1,"000")&amp;"-1")</f>
        <v>C040-1</v>
      </c>
      <c r="C358" t="str">
        <f>IF(OR(Registro_Compras!$C$43="",Registro_Compras!$O$43=""),"",IF(Registro_Compras!$F$43="NOTA DE CREDITO",IF(Registro_Compras!$K$43=0,"","40111"),"4212"))</f>
        <v>4212</v>
      </c>
      <c r="D358" t="str">
        <f>IF(OR(Registro_Compras!$C$43="",Registro_Compras!$O$43=""),"",IF(Registro_Compras!$F$43="NOTA DE CREDITO","IGV - Cuenta Propia (Credito Fiscal)","Cuentas por Pagar Comerciales - Terceros (Emitidas)"))</f>
        <v>Cuentas por Pagar Comerciales - Terceros (Emitidas)</v>
      </c>
      <c r="E358" s="20" t="str">
        <f>""</f>
        <v/>
      </c>
      <c r="F358" s="20">
        <f>IF($C358="","",IF(Registro_Compras!$F$43="NOTA DE CREDITO",ROUND(ABS(Registro_Compras!$K$43*Registro_Compras!$N$43),2),IF(Registro_Compras!$F$43="RHE",(ROUND(Registro_Compras!$L$43*Registro_Compras!$N$43,2)-ROUND(Registro_Compras!$V$43*Registro_Compras!$N$43,2)),Registro_Compras!$O$43)))</f>
        <v>5669.22</v>
      </c>
      <c r="G358" t="str">
        <f>IF($C358="","",IF(Registro_Compras!$F$43="NOTA DE CREDITO","Por la nota de credito "&amp;Registro_Compras!$C$43&amp;" de "&amp;Registro_Compras!$E$43&amp;" [PATRON POR CONFIRMAR CON CONTADOR]",IF(Registro_Compras!$F$43="RHE","Por el registro del recibo por honorarios "&amp;Registro_Compras!$C$43&amp;" de "&amp;Registro_Compras!$E$43&amp;" [PATRON POR CONFIRMAR CON CONTADOR]","Por el registro de la factura "&amp;Registro_Compras!$C$43&amp;" de "&amp;Registro_Compras!$E$43)))</f>
        <v>Por el registro de la factura FL05-00036295 de PALMA REAL S.A.C. (INKATERRA)</v>
      </c>
      <c r="H358" t="str">
        <f>IF($C358="","",Registro_Compras!$C$43)</f>
        <v>FL05-00036295</v>
      </c>
    </row>
    <row r="359" spans="1:8" x14ac:dyDescent="0.25">
      <c r="A359" s="25">
        <f>IF($C359="","",Registro_Compras!$B$43)</f>
        <v>46247</v>
      </c>
      <c r="B359" t="str">
        <f>IF($C359="","","C"&amp;TEXT(INT((ROW()-5)/9)+1,"000")&amp;"-2")</f>
        <v>C040-2</v>
      </c>
      <c r="C359" t="str">
        <f>IF(OR(Registro_Compras!$C$43="",Registro_Compras!$O$43=""),"",IF(Registro_Compras!$AB$43="ADMINISTRATIVO","94","95"))</f>
        <v>95</v>
      </c>
      <c r="D359" t="str">
        <f>IF(OR(Registro_Compras!$C$43="",Registro_Compras!$O$43=""),"",IF(Registro_Compras!$AB$43="ADMINISTRATIVO","Gastos Administrativos","Gastos de Venta y Operacion"))</f>
        <v>Gastos de Venta y Operacion</v>
      </c>
      <c r="E359" s="20">
        <f>IF($C359="","",IF(Registro_Compras!$F$43="NOTA DE CREDITO","",IF(Registro_Compras!$F$43="RHE",ROUND(Registro_Compras!$L$43*Registro_Compras!$N$43,2),ROUND(Registro_Compras!$J$43*Registro_Compras!$N$43,2))))</f>
        <v>5669.22</v>
      </c>
      <c r="F359" s="20" t="str">
        <f>IF($C359="","",IF(Registro_Compras!$F$43="NOTA DE CREDITO",ROUND(ABS(Registro_Compras!$J$43*Registro_Compras!$N$43),2),""))</f>
        <v/>
      </c>
      <c r="G359" t="str">
        <f>IF($C359="","","Por el destino del gasto")</f>
        <v>Por el destino del gasto</v>
      </c>
      <c r="H359" t="str">
        <f>IF($C359="","",Registro_Compras!$C$43)</f>
        <v>FL05-00036295</v>
      </c>
    </row>
    <row r="360" spans="1:8" x14ac:dyDescent="0.25">
      <c r="A360" s="25">
        <f>IF($C360="","",Registro_Compras!$B$43)</f>
        <v>46247</v>
      </c>
      <c r="B360" t="str">
        <f>IF($C360="","","C"&amp;TEXT(INT((ROW()-5)/9)+1,"000")&amp;"-2")</f>
        <v>C040-2</v>
      </c>
      <c r="C360" t="str">
        <f>IF(OR(Registro_Compras!$C$43="",Registro_Compras!$O$43=""),"","79/791")</f>
        <v>79/791</v>
      </c>
      <c r="D360" t="str">
        <f>IF(OR(Registro_Compras!$C$43="",Registro_Compras!$O$43=""),"","Cargas Imputables a Cuentas de Costos y Gastos")</f>
        <v>Cargas Imputables a Cuentas de Costos y Gastos</v>
      </c>
      <c r="E360" s="20" t="str">
        <f>IF($C360="","",IF(Registro_Compras!$F$43="NOTA DE CREDITO",ROUND(ABS(Registro_Compras!$J$43*Registro_Compras!$N$43),2),""))</f>
        <v/>
      </c>
      <c r="F360" s="20">
        <f>IF($C360="","",IF(Registro_Compras!$F$43="NOTA DE CREDITO","",IF(Registro_Compras!$F$43="RHE",ROUND(Registro_Compras!$L$43*Registro_Compras!$N$43,2),ROUND(Registro_Compras!$J$43*Registro_Compras!$N$43,2))))</f>
        <v>5669.22</v>
      </c>
      <c r="G360" t="str">
        <f>IF($C360="","","Por el destino del gasto")</f>
        <v>Por el destino del gasto</v>
      </c>
      <c r="H360" t="str">
        <f>IF($C360="","",Registro_Compras!$C$43)</f>
        <v>FL05-00036295</v>
      </c>
    </row>
    <row r="361" spans="1:8" x14ac:dyDescent="0.25">
      <c r="A361" s="25" t="str">
        <f>IF($C361="","",Registro_Compras!$X$43)</f>
        <v/>
      </c>
      <c r="B361" t="str">
        <f>IF($C361="","","C"&amp;TEXT(INT((ROW()-5)/9)+1,"000")&amp;"-3")</f>
        <v/>
      </c>
      <c r="C361" t="str">
        <f>IF(OR(Registro_Compras!$C$43="",Registro_Compras!$O$43="",Registro_Compras!$R$43&lt;&gt;"SI",Registro_Compras!$X$43=""),"","4212")</f>
        <v/>
      </c>
      <c r="D361" t="str">
        <f>IF(OR(Registro_Compras!$C$43="",Registro_Compras!$O$43=""),"","Cuentas por Pagar Comerciales - Terceros")</f>
        <v>Cuentas por Pagar Comerciales - Terceros</v>
      </c>
      <c r="E361" s="20" t="str">
        <f>IF($C361="","",Registro_Compras!$S$43)</f>
        <v/>
      </c>
      <c r="F361" s="20" t="str">
        <f>""</f>
        <v/>
      </c>
      <c r="G361" t="str">
        <f>IF($C361="","","Por el deposito de la detraccion en el Banco de la Nacion")</f>
        <v/>
      </c>
      <c r="H361" t="str">
        <f>IF($C361="","",Registro_Compras!$C$43)</f>
        <v/>
      </c>
    </row>
    <row r="362" spans="1:8" x14ac:dyDescent="0.25">
      <c r="A362" s="25" t="str">
        <f>IF($C362="","",Registro_Compras!$X$43)</f>
        <v/>
      </c>
      <c r="B362" t="str">
        <f>IF($C362="","","C"&amp;TEXT(INT((ROW()-5)/9)+1,"000")&amp;"-3")</f>
        <v/>
      </c>
      <c r="C362" t="str">
        <f>IF(OR(Registro_Compras!$C$43="",Registro_Compras!$O$43="",Registro_Compras!$R$43&lt;&gt;"SI",Registro_Compras!$X$43=""),"","1041")</f>
        <v/>
      </c>
      <c r="D362" t="str">
        <f>IF(OR(Registro_Compras!$C$43="",Registro_Compras!$O$43=""),"","Efectivo y Equivalentes - Cta. Cte. Operativa")</f>
        <v>Efectivo y Equivalentes - Cta. Cte. Operativa</v>
      </c>
      <c r="E362" s="20" t="str">
        <f>""</f>
        <v/>
      </c>
      <c r="F362" s="20" t="str">
        <f>IF($C362="","",Registro_Compras!$S$43)</f>
        <v/>
      </c>
      <c r="G362" t="str">
        <f>IF($C362="","","Por el deposito de la detraccion en el Banco de la Nacion")</f>
        <v/>
      </c>
      <c r="H362" t="str">
        <f>IF($C362="","",Registro_Compras!$C$43)</f>
        <v/>
      </c>
    </row>
    <row r="363" spans="1:8" x14ac:dyDescent="0.25">
      <c r="A363" s="25" t="str">
        <f>IF($C363="","",Registro_Compras!$Y$43)</f>
        <v/>
      </c>
      <c r="B363" t="str">
        <f>IF($C363="","","C"&amp;TEXT(INT((ROW()-5)/9)+1,"000")&amp;"-4")</f>
        <v/>
      </c>
      <c r="C363" t="str">
        <f>IF(OR(Registro_Compras!$C$43="",Registro_Compras!$O$43="",Registro_Compras!$Y$43="",Registro_Compras!$F$43="NOTA DE CREDITO"),"","4212")</f>
        <v/>
      </c>
      <c r="D363" t="str">
        <f>IF(OR(Registro_Compras!$C$43="",Registro_Compras!$O$43=""),"","Cuentas por Pagar Comerciales - Terceros")</f>
        <v>Cuentas por Pagar Comerciales - Terceros</v>
      </c>
      <c r="E363" s="20" t="str">
        <f>IF($C363="","",IF(Registro_Compras!$F$43="RHE",(ROUND(Registro_Compras!$L$43*Registro_Compras!$N$43,2)-ROUND(Registro_Compras!$V$43*Registro_Compras!$N$43,2)),ROUND(Registro_Compras!$O$43-Registro_Compras!$S$43,2)))</f>
        <v/>
      </c>
      <c r="F363" s="20" t="str">
        <f>""</f>
        <v/>
      </c>
      <c r="G363" t="str">
        <f>IF($C363="","","Por la cancelacion del saldo al proveedor")</f>
        <v/>
      </c>
      <c r="H363" t="str">
        <f>IF($C363="","",Registro_Compras!$C$43)</f>
        <v/>
      </c>
    </row>
    <row r="364" spans="1:8" x14ac:dyDescent="0.25">
      <c r="A364" s="25" t="str">
        <f>IF($C364="","",Registro_Compras!$Y$43)</f>
        <v/>
      </c>
      <c r="B364" t="str">
        <f>IF($C364="","","C"&amp;TEXT(INT((ROW()-5)/9)+1,"000")&amp;"-4")</f>
        <v/>
      </c>
      <c r="C364" t="str">
        <f>IF(OR(Registro_Compras!$C$43="",Registro_Compras!$O$43="",Registro_Compras!$Y$43="",Registro_Compras!$F$43="NOTA DE CREDITO"),"","1041")</f>
        <v/>
      </c>
      <c r="D364" t="str">
        <f>IF(OR(Registro_Compras!$C$43="",Registro_Compras!$O$43=""),"","Efectivo y Equivalentes - Cta. Cte. Operativa")</f>
        <v>Efectivo y Equivalentes - Cta. Cte. Operativa</v>
      </c>
      <c r="E364" s="20" t="str">
        <f>""</f>
        <v/>
      </c>
      <c r="F364" s="20" t="str">
        <f>IF($C364="","",IF(Registro_Compras!$F$43="RHE",(ROUND(Registro_Compras!$L$43*Registro_Compras!$N$43,2)-ROUND(Registro_Compras!$V$43*Registro_Compras!$N$43,2)),ROUND(Registro_Compras!$O$43-Registro_Compras!$S$43,2)))</f>
        <v/>
      </c>
      <c r="G364" t="str">
        <f>IF($C364="","","Por la cancelacion del saldo al proveedor")</f>
        <v/>
      </c>
      <c r="H364" t="str">
        <f>IF($C364="","",Registro_Compras!$C$43)</f>
        <v/>
      </c>
    </row>
    <row r="365" spans="1:8" x14ac:dyDescent="0.25">
      <c r="A365" s="25">
        <f>IF($C365="","",Registro_Compras!$B$44)</f>
        <v>46252</v>
      </c>
      <c r="B365" t="str">
        <f>IF($C365="","","C"&amp;TEXT(INT((ROW()-5)/9)+1,"000")&amp;"-1")</f>
        <v>C041-1</v>
      </c>
      <c r="C365" t="str">
        <f>IF(OR(Registro_Compras!$C$44="",Registro_Compras!$O$44=""),"",IF(Registro_Compras!$F$44="NOTA DE CREDITO","4212",IF(Registro_Compras!$M$44="","63",Registro_Compras!$M$44)))</f>
        <v>639</v>
      </c>
      <c r="D365" t="str">
        <f>IF(OR(Registro_Compras!$C$44="",Registro_Compras!$O$44=""),"",IF(Registro_Compras!$F$44="NOTA DE CREDITO","Cuentas por Pagar Comerciales - Terceros (Emitidas)",IF(Registro_Compras!$F$44="RHE","Honorarios Profesionales - Servicios de Terceros","Gastos de Servicios Prestados por Terceros")))</f>
        <v>Gastos de Servicios Prestados por Terceros</v>
      </c>
      <c r="E365" s="20">
        <f>IF($C365="","",IF(Registro_Compras!$F$44="NOTA DE CREDITO",ABS(Registro_Compras!$O$44),IF(Registro_Compras!$F$44="RHE",ROUND(Registro_Compras!$L$44*Registro_Compras!$N$44,2),ROUND(Registro_Compras!$J$44*Registro_Compras!$N$44,2))))</f>
        <v>1213.2</v>
      </c>
      <c r="F365" s="20" t="str">
        <f>""</f>
        <v/>
      </c>
      <c r="G365" t="str">
        <f>IF($C365="","",IF(Registro_Compras!$F$44="NOTA DE CREDITO","Por la nota de credito "&amp;Registro_Compras!$C$44&amp;" de "&amp;Registro_Compras!$E$44&amp;" [PATRON POR CONFIRMAR CON CONTADOR]",IF(Registro_Compras!$F$44="RHE","Por el registro del recibo por honorarios "&amp;Registro_Compras!$C$44&amp;" de "&amp;Registro_Compras!$E$44&amp;" [PATRON POR CONFIRMAR CON CONTADOR]","Por el registro de la factura "&amp;Registro_Compras!$C$44&amp;" de "&amp;Registro_Compras!$E$44)))</f>
        <v>Por el registro de la factura F078-00006828 de PERUVIAN TOURS AGENCY SOCIEDAD ANONIMA CERRADA (Hotel Colca - Aranwa)</v>
      </c>
      <c r="H365" t="str">
        <f>IF($C365="","",Registro_Compras!$C$44)</f>
        <v>F078-00006828</v>
      </c>
    </row>
    <row r="366" spans="1:8" x14ac:dyDescent="0.25">
      <c r="A366" s="25" t="str">
        <f>IF($C366="","",Registro_Compras!$B$44)</f>
        <v/>
      </c>
      <c r="B366" t="str">
        <f>IF($C366="","","C"&amp;TEXT(INT((ROW()-5)/9)+1,"000")&amp;"-1")</f>
        <v/>
      </c>
      <c r="C366" t="str">
        <f>IF(OR(Registro_Compras!$C$44="",Registro_Compras!$O$44=""),"",IF(Registro_Compras!$F$44="RHE",IF(Registro_Compras!$V$44=0,"","4017"),IF(Registro_Compras!$F$44="NOTA DE CREDITO",IF(Registro_Compras!$M$44="","63",Registro_Compras!$M$44),IF(Registro_Compras!$K$44=0,"","40111"))))</f>
        <v/>
      </c>
      <c r="D366" t="str">
        <f>IF(OR(Registro_Compras!$C$44="",Registro_Compras!$O$44=""),"",IF(Registro_Compras!$F$44="RHE","Retencion Renta 4ta Categoria por Pagar",IF(Registro_Compras!$F$44="NOTA DE CREDITO","Gastos de Servicios Prestados por Terceros","IGV - Cuenta Propia (Credito Fiscal)")))</f>
        <v>IGV - Cuenta Propia (Credito Fiscal)</v>
      </c>
      <c r="E366" s="20" t="str">
        <f>IF($C366="","",IF(Registro_Compras!$F$44="FACTURA",ROUND(Registro_Compras!$K$44*Registro_Compras!$N$44,2),""))</f>
        <v/>
      </c>
      <c r="F366" s="20" t="str">
        <f>IF($C366="","",IF(Registro_Compras!$F$44="RHE",ROUND(Registro_Compras!$V$44*Registro_Compras!$N$44,2),IF(Registro_Compras!$F$44="NOTA DE CREDITO",ROUND(ABS(Registro_Compras!$J$44*Registro_Compras!$N$44),2),"")))</f>
        <v/>
      </c>
      <c r="G366" t="str">
        <f>IF($C366="","",IF(Registro_Compras!$F$44="NOTA DE CREDITO","Por la nota de credito "&amp;Registro_Compras!$C$44&amp;" de "&amp;Registro_Compras!$E$44&amp;" [PATRON POR CONFIRMAR CON CONTADOR]",IF(Registro_Compras!$F$44="RHE","Por el registro del recibo por honorarios "&amp;Registro_Compras!$C$44&amp;" de "&amp;Registro_Compras!$E$44&amp;" [PATRON POR CONFIRMAR CON CONTADOR]","Por el registro de la factura "&amp;Registro_Compras!$C$44&amp;" de "&amp;Registro_Compras!$E$44)))</f>
        <v/>
      </c>
      <c r="H366" t="str">
        <f>IF($C366="","",Registro_Compras!$C$44)</f>
        <v/>
      </c>
    </row>
    <row r="367" spans="1:8" x14ac:dyDescent="0.25">
      <c r="A367" s="25">
        <f>IF($C367="","",Registro_Compras!$B$44)</f>
        <v>46252</v>
      </c>
      <c r="B367" t="str">
        <f>IF($C367="","","C"&amp;TEXT(INT((ROW()-5)/9)+1,"000")&amp;"-1")</f>
        <v>C041-1</v>
      </c>
      <c r="C367" t="str">
        <f>IF(OR(Registro_Compras!$C$44="",Registro_Compras!$O$44=""),"",IF(Registro_Compras!$F$44="NOTA DE CREDITO",IF(Registro_Compras!$K$44=0,"","40111"),"4212"))</f>
        <v>4212</v>
      </c>
      <c r="D367" t="str">
        <f>IF(OR(Registro_Compras!$C$44="",Registro_Compras!$O$44=""),"",IF(Registro_Compras!$F$44="NOTA DE CREDITO","IGV - Cuenta Propia (Credito Fiscal)","Cuentas por Pagar Comerciales - Terceros (Emitidas)"))</f>
        <v>Cuentas por Pagar Comerciales - Terceros (Emitidas)</v>
      </c>
      <c r="E367" s="20" t="str">
        <f>""</f>
        <v/>
      </c>
      <c r="F367" s="20">
        <f>IF($C367="","",IF(Registro_Compras!$F$44="NOTA DE CREDITO",ROUND(ABS(Registro_Compras!$K$44*Registro_Compras!$N$44),2),IF(Registro_Compras!$F$44="RHE",(ROUND(Registro_Compras!$L$44*Registro_Compras!$N$44,2)-ROUND(Registro_Compras!$V$44*Registro_Compras!$N$44,2)),Registro_Compras!$O$44)))</f>
        <v>1213.2</v>
      </c>
      <c r="G367" t="str">
        <f>IF($C367="","",IF(Registro_Compras!$F$44="NOTA DE CREDITO","Por la nota de credito "&amp;Registro_Compras!$C$44&amp;" de "&amp;Registro_Compras!$E$44&amp;" [PATRON POR CONFIRMAR CON CONTADOR]",IF(Registro_Compras!$F$44="RHE","Por el registro del recibo por honorarios "&amp;Registro_Compras!$C$44&amp;" de "&amp;Registro_Compras!$E$44&amp;" [PATRON POR CONFIRMAR CON CONTADOR]","Por el registro de la factura "&amp;Registro_Compras!$C$44&amp;" de "&amp;Registro_Compras!$E$44)))</f>
        <v>Por el registro de la factura F078-00006828 de PERUVIAN TOURS AGENCY SOCIEDAD ANONIMA CERRADA (Hotel Colca - Aranwa)</v>
      </c>
      <c r="H367" t="str">
        <f>IF($C367="","",Registro_Compras!$C$44)</f>
        <v>F078-00006828</v>
      </c>
    </row>
    <row r="368" spans="1:8" x14ac:dyDescent="0.25">
      <c r="A368" s="25">
        <f>IF($C368="","",Registro_Compras!$B$44)</f>
        <v>46252</v>
      </c>
      <c r="B368" t="str">
        <f>IF($C368="","","C"&amp;TEXT(INT((ROW()-5)/9)+1,"000")&amp;"-2")</f>
        <v>C041-2</v>
      </c>
      <c r="C368" t="str">
        <f>IF(OR(Registro_Compras!$C$44="",Registro_Compras!$O$44=""),"",IF(Registro_Compras!$AB$44="ADMINISTRATIVO","94","95"))</f>
        <v>95</v>
      </c>
      <c r="D368" t="str">
        <f>IF(OR(Registro_Compras!$C$44="",Registro_Compras!$O$44=""),"",IF(Registro_Compras!$AB$44="ADMINISTRATIVO","Gastos Administrativos","Gastos de Venta y Operacion"))</f>
        <v>Gastos de Venta y Operacion</v>
      </c>
      <c r="E368" s="20">
        <f>IF($C368="","",IF(Registro_Compras!$F$44="NOTA DE CREDITO","",IF(Registro_Compras!$F$44="RHE",ROUND(Registro_Compras!$L$44*Registro_Compras!$N$44,2),ROUND(Registro_Compras!$J$44*Registro_Compras!$N$44,2))))</f>
        <v>1213.2</v>
      </c>
      <c r="F368" s="20" t="str">
        <f>IF($C368="","",IF(Registro_Compras!$F$44="NOTA DE CREDITO",ROUND(ABS(Registro_Compras!$J$44*Registro_Compras!$N$44),2),""))</f>
        <v/>
      </c>
      <c r="G368" t="str">
        <f>IF($C368="","","Por el destino del gasto")</f>
        <v>Por el destino del gasto</v>
      </c>
      <c r="H368" t="str">
        <f>IF($C368="","",Registro_Compras!$C$44)</f>
        <v>F078-00006828</v>
      </c>
    </row>
    <row r="369" spans="1:8" x14ac:dyDescent="0.25">
      <c r="A369" s="25">
        <f>IF($C369="","",Registro_Compras!$B$44)</f>
        <v>46252</v>
      </c>
      <c r="B369" t="str">
        <f>IF($C369="","","C"&amp;TEXT(INT((ROW()-5)/9)+1,"000")&amp;"-2")</f>
        <v>C041-2</v>
      </c>
      <c r="C369" t="str">
        <f>IF(OR(Registro_Compras!$C$44="",Registro_Compras!$O$44=""),"","79/791")</f>
        <v>79/791</v>
      </c>
      <c r="D369" t="str">
        <f>IF(OR(Registro_Compras!$C$44="",Registro_Compras!$O$44=""),"","Cargas Imputables a Cuentas de Costos y Gastos")</f>
        <v>Cargas Imputables a Cuentas de Costos y Gastos</v>
      </c>
      <c r="E369" s="20" t="str">
        <f>IF($C369="","",IF(Registro_Compras!$F$44="NOTA DE CREDITO",ROUND(ABS(Registro_Compras!$J$44*Registro_Compras!$N$44),2),""))</f>
        <v/>
      </c>
      <c r="F369" s="20">
        <f>IF($C369="","",IF(Registro_Compras!$F$44="NOTA DE CREDITO","",IF(Registro_Compras!$F$44="RHE",ROUND(Registro_Compras!$L$44*Registro_Compras!$N$44,2),ROUND(Registro_Compras!$J$44*Registro_Compras!$N$44,2))))</f>
        <v>1213.2</v>
      </c>
      <c r="G369" t="str">
        <f>IF($C369="","","Por el destino del gasto")</f>
        <v>Por el destino del gasto</v>
      </c>
      <c r="H369" t="str">
        <f>IF($C369="","",Registro_Compras!$C$44)</f>
        <v>F078-00006828</v>
      </c>
    </row>
    <row r="370" spans="1:8" x14ac:dyDescent="0.25">
      <c r="A370" s="25" t="str">
        <f>IF($C370="","",Registro_Compras!$X$44)</f>
        <v/>
      </c>
      <c r="B370" t="str">
        <f>IF($C370="","","C"&amp;TEXT(INT((ROW()-5)/9)+1,"000")&amp;"-3")</f>
        <v/>
      </c>
      <c r="C370" t="str">
        <f>IF(OR(Registro_Compras!$C$44="",Registro_Compras!$O$44="",Registro_Compras!$R$44&lt;&gt;"SI",Registro_Compras!$X$44=""),"","4212")</f>
        <v/>
      </c>
      <c r="D370" t="str">
        <f>IF(OR(Registro_Compras!$C$44="",Registro_Compras!$O$44=""),"","Cuentas por Pagar Comerciales - Terceros")</f>
        <v>Cuentas por Pagar Comerciales - Terceros</v>
      </c>
      <c r="E370" s="20" t="str">
        <f>IF($C370="","",Registro_Compras!$S$44)</f>
        <v/>
      </c>
      <c r="F370" s="20" t="str">
        <f>""</f>
        <v/>
      </c>
      <c r="G370" t="str">
        <f>IF($C370="","","Por el deposito de la detraccion en el Banco de la Nacion")</f>
        <v/>
      </c>
      <c r="H370" t="str">
        <f>IF($C370="","",Registro_Compras!$C$44)</f>
        <v/>
      </c>
    </row>
    <row r="371" spans="1:8" x14ac:dyDescent="0.25">
      <c r="A371" s="25" t="str">
        <f>IF($C371="","",Registro_Compras!$X$44)</f>
        <v/>
      </c>
      <c r="B371" t="str">
        <f>IF($C371="","","C"&amp;TEXT(INT((ROW()-5)/9)+1,"000")&amp;"-3")</f>
        <v/>
      </c>
      <c r="C371" t="str">
        <f>IF(OR(Registro_Compras!$C$44="",Registro_Compras!$O$44="",Registro_Compras!$R$44&lt;&gt;"SI",Registro_Compras!$X$44=""),"","1041")</f>
        <v/>
      </c>
      <c r="D371" t="str">
        <f>IF(OR(Registro_Compras!$C$44="",Registro_Compras!$O$44=""),"","Efectivo y Equivalentes - Cta. Cte. Operativa")</f>
        <v>Efectivo y Equivalentes - Cta. Cte. Operativa</v>
      </c>
      <c r="E371" s="20" t="str">
        <f>""</f>
        <v/>
      </c>
      <c r="F371" s="20" t="str">
        <f>IF($C371="","",Registro_Compras!$S$44)</f>
        <v/>
      </c>
      <c r="G371" t="str">
        <f>IF($C371="","","Por el deposito de la detraccion en el Banco de la Nacion")</f>
        <v/>
      </c>
      <c r="H371" t="str">
        <f>IF($C371="","",Registro_Compras!$C$44)</f>
        <v/>
      </c>
    </row>
    <row r="372" spans="1:8" x14ac:dyDescent="0.25">
      <c r="A372" s="25" t="str">
        <f>IF($C372="","",Registro_Compras!$Y$44)</f>
        <v/>
      </c>
      <c r="B372" t="str">
        <f>IF($C372="","","C"&amp;TEXT(INT((ROW()-5)/9)+1,"000")&amp;"-4")</f>
        <v/>
      </c>
      <c r="C372" t="str">
        <f>IF(OR(Registro_Compras!$C$44="",Registro_Compras!$O$44="",Registro_Compras!$Y$44="",Registro_Compras!$F$44="NOTA DE CREDITO"),"","4212")</f>
        <v/>
      </c>
      <c r="D372" t="str">
        <f>IF(OR(Registro_Compras!$C$44="",Registro_Compras!$O$44=""),"","Cuentas por Pagar Comerciales - Terceros")</f>
        <v>Cuentas por Pagar Comerciales - Terceros</v>
      </c>
      <c r="E372" s="20" t="str">
        <f>IF($C372="","",IF(Registro_Compras!$F$44="RHE",(ROUND(Registro_Compras!$L$44*Registro_Compras!$N$44,2)-ROUND(Registro_Compras!$V$44*Registro_Compras!$N$44,2)),ROUND(Registro_Compras!$O$44-Registro_Compras!$S$44,2)))</f>
        <v/>
      </c>
      <c r="F372" s="20" t="str">
        <f>""</f>
        <v/>
      </c>
      <c r="G372" t="str">
        <f>IF($C372="","","Por la cancelacion del saldo al proveedor")</f>
        <v/>
      </c>
      <c r="H372" t="str">
        <f>IF($C372="","",Registro_Compras!$C$44)</f>
        <v/>
      </c>
    </row>
    <row r="373" spans="1:8" x14ac:dyDescent="0.25">
      <c r="A373" s="25" t="str">
        <f>IF($C373="","",Registro_Compras!$Y$44)</f>
        <v/>
      </c>
      <c r="B373" t="str">
        <f>IF($C373="","","C"&amp;TEXT(INT((ROW()-5)/9)+1,"000")&amp;"-4")</f>
        <v/>
      </c>
      <c r="C373" t="str">
        <f>IF(OR(Registro_Compras!$C$44="",Registro_Compras!$O$44="",Registro_Compras!$Y$44="",Registro_Compras!$F$44="NOTA DE CREDITO"),"","1041")</f>
        <v/>
      </c>
      <c r="D373" t="str">
        <f>IF(OR(Registro_Compras!$C$44="",Registro_Compras!$O$44=""),"","Efectivo y Equivalentes - Cta. Cte. Operativa")</f>
        <v>Efectivo y Equivalentes - Cta. Cte. Operativa</v>
      </c>
      <c r="E373" s="20" t="str">
        <f>""</f>
        <v/>
      </c>
      <c r="F373" s="20" t="str">
        <f>IF($C373="","",IF(Registro_Compras!$F$44="RHE",(ROUND(Registro_Compras!$L$44*Registro_Compras!$N$44,2)-ROUND(Registro_Compras!$V$44*Registro_Compras!$N$44,2)),ROUND(Registro_Compras!$O$44-Registro_Compras!$S$44,2)))</f>
        <v/>
      </c>
      <c r="G373" t="str">
        <f>IF($C373="","","Por la cancelacion del saldo al proveedor")</f>
        <v/>
      </c>
      <c r="H373" t="str">
        <f>IF($C373="","",Registro_Compras!$C$44)</f>
        <v/>
      </c>
    </row>
    <row r="374" spans="1:8" x14ac:dyDescent="0.25">
      <c r="A374" s="25">
        <f>IF($C374="","",Registro_Compras!$B$45)</f>
        <v>46251</v>
      </c>
      <c r="B374" t="str">
        <f>IF($C374="","","C"&amp;TEXT(INT((ROW()-5)/9)+1,"000")&amp;"-1")</f>
        <v>C042-1</v>
      </c>
      <c r="C374" t="str">
        <f>IF(OR(Registro_Compras!$C$45="",Registro_Compras!$O$45=""),"",IF(Registro_Compras!$F$45="NOTA DE CREDITO","4212",IF(Registro_Compras!$M$45="","63",Registro_Compras!$M$45)))</f>
        <v>632</v>
      </c>
      <c r="D374" t="str">
        <f>IF(OR(Registro_Compras!$C$45="",Registro_Compras!$O$45=""),"",IF(Registro_Compras!$F$45="NOTA DE CREDITO","Cuentas por Pagar Comerciales - Terceros (Emitidas)",IF(Registro_Compras!$F$45="RHE","Honorarios Profesionales - Servicios de Terceros","Gastos de Servicios Prestados por Terceros")))</f>
        <v>Honorarios Profesionales - Servicios de Terceros</v>
      </c>
      <c r="E374" s="20">
        <f>IF($C374="","",IF(Registro_Compras!$F$45="NOTA DE CREDITO",ABS(Registro_Compras!$O$45),IF(Registro_Compras!$F$45="RHE",ROUND(Registro_Compras!$L$45*Registro_Compras!$N$45,2),ROUND(Registro_Compras!$J$45*Registro_Compras!$N$45,2))))</f>
        <v>235.76</v>
      </c>
      <c r="F374" s="20" t="str">
        <f>""</f>
        <v/>
      </c>
      <c r="G374" t="str">
        <f>IF($C374="","",IF(Registro_Compras!$F$45="NOTA DE CREDITO","Por la nota de credito "&amp;Registro_Compras!$C$45&amp;" de "&amp;Registro_Compras!$E$45&amp;" [PATRON POR CONFIRMAR CON CONTADOR]",IF(Registro_Compras!$F$45="RHE","Por el registro del recibo por honorarios "&amp;Registro_Compras!$C$45&amp;" de "&amp;Registro_Compras!$E$45&amp;" [PATRON POR CONFIRMAR CON CONTADOR]","Por el registro de la factura "&amp;Registro_Compras!$C$45&amp;" de "&amp;Registro_Compras!$E$45)))</f>
        <v>Por el registro del recibo por honorarios E001- 505 de SARMIENTO LOPEZ LUIS RONALD [PATRON POR CONFIRMAR CON CONTADOR]</v>
      </c>
      <c r="H374" t="str">
        <f>IF($C374="","",Registro_Compras!$C$45)</f>
        <v>E001- 505</v>
      </c>
    </row>
    <row r="375" spans="1:8" x14ac:dyDescent="0.25">
      <c r="A375" s="25">
        <f>IF($C375="","",Registro_Compras!$B$45)</f>
        <v>46251</v>
      </c>
      <c r="B375" t="str">
        <f>IF($C375="","","C"&amp;TEXT(INT((ROW()-5)/9)+1,"000")&amp;"-1")</f>
        <v>C042-1</v>
      </c>
      <c r="C375" t="str">
        <f>IF(OR(Registro_Compras!$C$45="",Registro_Compras!$O$45=""),"",IF(Registro_Compras!$F$45="RHE",IF(Registro_Compras!$V$45=0,"","4017"),IF(Registro_Compras!$F$45="NOTA DE CREDITO",IF(Registro_Compras!$M$45="","63",Registro_Compras!$M$45),IF(Registro_Compras!$K$45=0,"","40111"))))</f>
        <v>4017</v>
      </c>
      <c r="D375" t="str">
        <f>IF(OR(Registro_Compras!$C$45="",Registro_Compras!$O$45=""),"",IF(Registro_Compras!$F$45="RHE","Retencion Renta 4ta Categoria por Pagar",IF(Registro_Compras!$F$45="NOTA DE CREDITO","Gastos de Servicios Prestados por Terceros","IGV - Cuenta Propia (Credito Fiscal)")))</f>
        <v>Retencion Renta 4ta Categoria por Pagar</v>
      </c>
      <c r="E375" s="20" t="str">
        <f>IF($C375="","",IF(Registro_Compras!$F$45="FACTURA",ROUND(Registro_Compras!$K$45*Registro_Compras!$N$45,2),""))</f>
        <v/>
      </c>
      <c r="F375" s="20">
        <f>IF($C375="","",IF(Registro_Compras!$F$45="RHE",ROUND(Registro_Compras!$V$45*Registro_Compras!$N$45,2),IF(Registro_Compras!$F$45="NOTA DE CREDITO",ROUND(ABS(Registro_Compras!$J$45*Registro_Compras!$N$45),2),"")))</f>
        <v>18.86</v>
      </c>
      <c r="G375" t="str">
        <f>IF($C375="","",IF(Registro_Compras!$F$45="NOTA DE CREDITO","Por la nota de credito "&amp;Registro_Compras!$C$45&amp;" de "&amp;Registro_Compras!$E$45&amp;" [PATRON POR CONFIRMAR CON CONTADOR]",IF(Registro_Compras!$F$45="RHE","Por el registro del recibo por honorarios "&amp;Registro_Compras!$C$45&amp;" de "&amp;Registro_Compras!$E$45&amp;" [PATRON POR CONFIRMAR CON CONTADOR]","Por el registro de la factura "&amp;Registro_Compras!$C$45&amp;" de "&amp;Registro_Compras!$E$45)))</f>
        <v>Por el registro del recibo por honorarios E001- 505 de SARMIENTO LOPEZ LUIS RONALD [PATRON POR CONFIRMAR CON CONTADOR]</v>
      </c>
      <c r="H375" t="str">
        <f>IF($C375="","",Registro_Compras!$C$45)</f>
        <v>E001- 505</v>
      </c>
    </row>
    <row r="376" spans="1:8" x14ac:dyDescent="0.25">
      <c r="A376" s="25">
        <f>IF($C376="","",Registro_Compras!$B$45)</f>
        <v>46251</v>
      </c>
      <c r="B376" t="str">
        <f>IF($C376="","","C"&amp;TEXT(INT((ROW()-5)/9)+1,"000")&amp;"-1")</f>
        <v>C042-1</v>
      </c>
      <c r="C376" t="str">
        <f>IF(OR(Registro_Compras!$C$45="",Registro_Compras!$O$45=""),"",IF(Registro_Compras!$F$45="NOTA DE CREDITO",IF(Registro_Compras!$K$45=0,"","40111"),"4212"))</f>
        <v>4212</v>
      </c>
      <c r="D376" t="str">
        <f>IF(OR(Registro_Compras!$C$45="",Registro_Compras!$O$45=""),"",IF(Registro_Compras!$F$45="NOTA DE CREDITO","IGV - Cuenta Propia (Credito Fiscal)","Cuentas por Pagar Comerciales - Terceros (Emitidas)"))</f>
        <v>Cuentas por Pagar Comerciales - Terceros (Emitidas)</v>
      </c>
      <c r="E376" s="20" t="str">
        <f>""</f>
        <v/>
      </c>
      <c r="F376" s="20">
        <f>IF($C376="","",IF(Registro_Compras!$F$45="NOTA DE CREDITO",ROUND(ABS(Registro_Compras!$K$45*Registro_Compras!$N$45),2),IF(Registro_Compras!$F$45="RHE",(ROUND(Registro_Compras!$L$45*Registro_Compras!$N$45,2)-ROUND(Registro_Compras!$V$45*Registro_Compras!$N$45,2)),Registro_Compras!$O$45)))</f>
        <v>216.89999999999998</v>
      </c>
      <c r="G376" t="str">
        <f>IF($C376="","",IF(Registro_Compras!$F$45="NOTA DE CREDITO","Por la nota de credito "&amp;Registro_Compras!$C$45&amp;" de "&amp;Registro_Compras!$E$45&amp;" [PATRON POR CONFIRMAR CON CONTADOR]",IF(Registro_Compras!$F$45="RHE","Por el registro del recibo por honorarios "&amp;Registro_Compras!$C$45&amp;" de "&amp;Registro_Compras!$E$45&amp;" [PATRON POR CONFIRMAR CON CONTADOR]","Por el registro de la factura "&amp;Registro_Compras!$C$45&amp;" de "&amp;Registro_Compras!$E$45)))</f>
        <v>Por el registro del recibo por honorarios E001- 505 de SARMIENTO LOPEZ LUIS RONALD [PATRON POR CONFIRMAR CON CONTADOR]</v>
      </c>
      <c r="H376" t="str">
        <f>IF($C376="","",Registro_Compras!$C$45)</f>
        <v>E001- 505</v>
      </c>
    </row>
    <row r="377" spans="1:8" x14ac:dyDescent="0.25">
      <c r="A377" s="25">
        <f>IF($C377="","",Registro_Compras!$B$45)</f>
        <v>46251</v>
      </c>
      <c r="B377" t="str">
        <f>IF($C377="","","C"&amp;TEXT(INT((ROW()-5)/9)+1,"000")&amp;"-2")</f>
        <v>C042-2</v>
      </c>
      <c r="C377" t="str">
        <f>IF(OR(Registro_Compras!$C$45="",Registro_Compras!$O$45=""),"",IF(Registro_Compras!$AB$45="ADMINISTRATIVO","94","95"))</f>
        <v>95</v>
      </c>
      <c r="D377" t="str">
        <f>IF(OR(Registro_Compras!$C$45="",Registro_Compras!$O$45=""),"",IF(Registro_Compras!$AB$45="ADMINISTRATIVO","Gastos Administrativos","Gastos de Venta y Operacion"))</f>
        <v>Gastos de Venta y Operacion</v>
      </c>
      <c r="E377" s="20">
        <f>IF($C377="","",IF(Registro_Compras!$F$45="NOTA DE CREDITO","",IF(Registro_Compras!$F$45="RHE",ROUND(Registro_Compras!$L$45*Registro_Compras!$N$45,2),ROUND(Registro_Compras!$J$45*Registro_Compras!$N$45,2))))</f>
        <v>235.76</v>
      </c>
      <c r="F377" s="20" t="str">
        <f>IF($C377="","",IF(Registro_Compras!$F$45="NOTA DE CREDITO",ROUND(ABS(Registro_Compras!$J$45*Registro_Compras!$N$45),2),""))</f>
        <v/>
      </c>
      <c r="G377" t="str">
        <f>IF($C377="","","Por el destino del gasto")</f>
        <v>Por el destino del gasto</v>
      </c>
      <c r="H377" t="str">
        <f>IF($C377="","",Registro_Compras!$C$45)</f>
        <v>E001- 505</v>
      </c>
    </row>
    <row r="378" spans="1:8" x14ac:dyDescent="0.25">
      <c r="A378" s="25">
        <f>IF($C378="","",Registro_Compras!$B$45)</f>
        <v>46251</v>
      </c>
      <c r="B378" t="str">
        <f>IF($C378="","","C"&amp;TEXT(INT((ROW()-5)/9)+1,"000")&amp;"-2")</f>
        <v>C042-2</v>
      </c>
      <c r="C378" t="str">
        <f>IF(OR(Registro_Compras!$C$45="",Registro_Compras!$O$45=""),"","79/791")</f>
        <v>79/791</v>
      </c>
      <c r="D378" t="str">
        <f>IF(OR(Registro_Compras!$C$45="",Registro_Compras!$O$45=""),"","Cargas Imputables a Cuentas de Costos y Gastos")</f>
        <v>Cargas Imputables a Cuentas de Costos y Gastos</v>
      </c>
      <c r="E378" s="20" t="str">
        <f>IF($C378="","",IF(Registro_Compras!$F$45="NOTA DE CREDITO",ROUND(ABS(Registro_Compras!$J$45*Registro_Compras!$N$45),2),""))</f>
        <v/>
      </c>
      <c r="F378" s="20">
        <f>IF($C378="","",IF(Registro_Compras!$F$45="NOTA DE CREDITO","",IF(Registro_Compras!$F$45="RHE",ROUND(Registro_Compras!$L$45*Registro_Compras!$N$45,2),ROUND(Registro_Compras!$J$45*Registro_Compras!$N$45,2))))</f>
        <v>235.76</v>
      </c>
      <c r="G378" t="str">
        <f>IF($C378="","","Por el destino del gasto")</f>
        <v>Por el destino del gasto</v>
      </c>
      <c r="H378" t="str">
        <f>IF($C378="","",Registro_Compras!$C$45)</f>
        <v>E001- 505</v>
      </c>
    </row>
    <row r="379" spans="1:8" x14ac:dyDescent="0.25">
      <c r="A379" s="25" t="str">
        <f>IF($C379="","",Registro_Compras!$X$45)</f>
        <v/>
      </c>
      <c r="B379" t="str">
        <f>IF($C379="","","C"&amp;TEXT(INT((ROW()-5)/9)+1,"000")&amp;"-3")</f>
        <v/>
      </c>
      <c r="C379" t="str">
        <f>IF(OR(Registro_Compras!$C$45="",Registro_Compras!$O$45="",Registro_Compras!$R$45&lt;&gt;"SI",Registro_Compras!$X$45=""),"","4212")</f>
        <v/>
      </c>
      <c r="D379" t="str">
        <f>IF(OR(Registro_Compras!$C$45="",Registro_Compras!$O$45=""),"","Cuentas por Pagar Comerciales - Terceros")</f>
        <v>Cuentas por Pagar Comerciales - Terceros</v>
      </c>
      <c r="E379" s="20" t="str">
        <f>IF($C379="","",Registro_Compras!$S$45)</f>
        <v/>
      </c>
      <c r="F379" s="20" t="str">
        <f>""</f>
        <v/>
      </c>
      <c r="G379" t="str">
        <f>IF($C379="","","Por el deposito de la detraccion en el Banco de la Nacion")</f>
        <v/>
      </c>
      <c r="H379" t="str">
        <f>IF($C379="","",Registro_Compras!$C$45)</f>
        <v/>
      </c>
    </row>
    <row r="380" spans="1:8" x14ac:dyDescent="0.25">
      <c r="A380" s="25" t="str">
        <f>IF($C380="","",Registro_Compras!$X$45)</f>
        <v/>
      </c>
      <c r="B380" t="str">
        <f>IF($C380="","","C"&amp;TEXT(INT((ROW()-5)/9)+1,"000")&amp;"-3")</f>
        <v/>
      </c>
      <c r="C380" t="str">
        <f>IF(OR(Registro_Compras!$C$45="",Registro_Compras!$O$45="",Registro_Compras!$R$45&lt;&gt;"SI",Registro_Compras!$X$45=""),"","1041")</f>
        <v/>
      </c>
      <c r="D380" t="str">
        <f>IF(OR(Registro_Compras!$C$45="",Registro_Compras!$O$45=""),"","Efectivo y Equivalentes - Cta. Cte. Operativa")</f>
        <v>Efectivo y Equivalentes - Cta. Cte. Operativa</v>
      </c>
      <c r="E380" s="20" t="str">
        <f>""</f>
        <v/>
      </c>
      <c r="F380" s="20" t="str">
        <f>IF($C380="","",Registro_Compras!$S$45)</f>
        <v/>
      </c>
      <c r="G380" t="str">
        <f>IF($C380="","","Por el deposito de la detraccion en el Banco de la Nacion")</f>
        <v/>
      </c>
      <c r="H380" t="str">
        <f>IF($C380="","",Registro_Compras!$C$45)</f>
        <v/>
      </c>
    </row>
    <row r="381" spans="1:8" x14ac:dyDescent="0.25">
      <c r="A381" s="25" t="str">
        <f>IF($C381="","",Registro_Compras!$Y$45)</f>
        <v/>
      </c>
      <c r="B381" t="str">
        <f>IF($C381="","","C"&amp;TEXT(INT((ROW()-5)/9)+1,"000")&amp;"-4")</f>
        <v/>
      </c>
      <c r="C381" t="str">
        <f>IF(OR(Registro_Compras!$C$45="",Registro_Compras!$O$45="",Registro_Compras!$Y$45="",Registro_Compras!$F$45="NOTA DE CREDITO"),"","4212")</f>
        <v/>
      </c>
      <c r="D381" t="str">
        <f>IF(OR(Registro_Compras!$C$45="",Registro_Compras!$O$45=""),"","Cuentas por Pagar Comerciales - Terceros")</f>
        <v>Cuentas por Pagar Comerciales - Terceros</v>
      </c>
      <c r="E381" s="20" t="str">
        <f>IF($C381="","",IF(Registro_Compras!$F$45="RHE",(ROUND(Registro_Compras!$L$45*Registro_Compras!$N$45,2)-ROUND(Registro_Compras!$V$45*Registro_Compras!$N$45,2)),ROUND(Registro_Compras!$O$45-Registro_Compras!$S$45,2)))</f>
        <v/>
      </c>
      <c r="F381" s="20" t="str">
        <f>""</f>
        <v/>
      </c>
      <c r="G381" t="str">
        <f>IF($C381="","","Por la cancelacion del saldo al proveedor")</f>
        <v/>
      </c>
      <c r="H381" t="str">
        <f>IF($C381="","",Registro_Compras!$C$45)</f>
        <v/>
      </c>
    </row>
    <row r="382" spans="1:8" x14ac:dyDescent="0.25">
      <c r="A382" s="25" t="str">
        <f>IF($C382="","",Registro_Compras!$Y$45)</f>
        <v/>
      </c>
      <c r="B382" t="str">
        <f>IF($C382="","","C"&amp;TEXT(INT((ROW()-5)/9)+1,"000")&amp;"-4")</f>
        <v/>
      </c>
      <c r="C382" t="str">
        <f>IF(OR(Registro_Compras!$C$45="",Registro_Compras!$O$45="",Registro_Compras!$Y$45="",Registro_Compras!$F$45="NOTA DE CREDITO"),"","1041")</f>
        <v/>
      </c>
      <c r="D382" t="str">
        <f>IF(OR(Registro_Compras!$C$45="",Registro_Compras!$O$45=""),"","Efectivo y Equivalentes - Cta. Cte. Operativa")</f>
        <v>Efectivo y Equivalentes - Cta. Cte. Operativa</v>
      </c>
      <c r="E382" s="20" t="str">
        <f>""</f>
        <v/>
      </c>
      <c r="F382" s="20" t="str">
        <f>IF($C382="","",IF(Registro_Compras!$F$45="RHE",(ROUND(Registro_Compras!$L$45*Registro_Compras!$N$45,2)-ROUND(Registro_Compras!$V$45*Registro_Compras!$N$45,2)),ROUND(Registro_Compras!$O$45-Registro_Compras!$S$45,2)))</f>
        <v/>
      </c>
      <c r="G382" t="str">
        <f>IF($C382="","","Por la cancelacion del saldo al proveedor")</f>
        <v/>
      </c>
      <c r="H382" t="str">
        <f>IF($C382="","",Registro_Compras!$C$45)</f>
        <v/>
      </c>
    </row>
    <row r="383" spans="1:8" x14ac:dyDescent="0.25">
      <c r="A383" s="25">
        <f>IF($C383="","",Registro_Compras!$B$46)</f>
        <v>46252</v>
      </c>
      <c r="B383" t="str">
        <f>IF($C383="","","C"&amp;TEXT(INT((ROW()-5)/9)+1,"000")&amp;"-1")</f>
        <v>C043-1</v>
      </c>
      <c r="C383" t="str">
        <f>IF(OR(Registro_Compras!$C$46="",Registro_Compras!$O$46=""),"",IF(Registro_Compras!$F$46="NOTA DE CREDITO","4212",IF(Registro_Compras!$M$46="","63",Registro_Compras!$M$46)))</f>
        <v>639</v>
      </c>
      <c r="D383" t="str">
        <f>IF(OR(Registro_Compras!$C$46="",Registro_Compras!$O$46=""),"",IF(Registro_Compras!$F$46="NOTA DE CREDITO","Cuentas por Pagar Comerciales - Terceros (Emitidas)",IF(Registro_Compras!$F$46="RHE","Honorarios Profesionales - Servicios de Terceros","Gastos de Servicios Prestados por Terceros")))</f>
        <v>Gastos de Servicios Prestados por Terceros</v>
      </c>
      <c r="E383" s="20">
        <f>IF($C383="","",IF(Registro_Compras!$F$46="NOTA DE CREDITO",ABS(Registro_Compras!$O$46),IF(Registro_Compras!$F$46="RHE",ROUND(Registro_Compras!$L$46*Registro_Compras!$N$46,2),ROUND(Registro_Compras!$J$46*Registro_Compras!$N$46,2))))</f>
        <v>7077</v>
      </c>
      <c r="F383" s="20" t="str">
        <f>""</f>
        <v/>
      </c>
      <c r="G383" t="str">
        <f>IF($C383="","",IF(Registro_Compras!$F$46="NOTA DE CREDITO","Por la nota de credito "&amp;Registro_Compras!$C$46&amp;" de "&amp;Registro_Compras!$E$46&amp;" [PATRON POR CONFIRMAR CON CONTADOR]",IF(Registro_Compras!$F$46="RHE","Por el registro del recibo por honorarios "&amp;Registro_Compras!$C$46&amp;" de "&amp;Registro_Compras!$E$46&amp;" [PATRON POR CONFIRMAR CON CONTADOR]","Por el registro de la factura "&amp;Registro_Compras!$C$46&amp;" de "&amp;Registro_Compras!$E$46)))</f>
        <v>Por el registro de la factura F002-813 de TURISMO Y CONSERVACION SAC (Amazon Journeys)</v>
      </c>
      <c r="H383" t="str">
        <f>IF($C383="","",Registro_Compras!$C$46)</f>
        <v>F002-813</v>
      </c>
    </row>
    <row r="384" spans="1:8" x14ac:dyDescent="0.25">
      <c r="A384" s="25" t="str">
        <f>IF($C384="","",Registro_Compras!$B$46)</f>
        <v/>
      </c>
      <c r="B384" t="str">
        <f>IF($C384="","","C"&amp;TEXT(INT((ROW()-5)/9)+1,"000")&amp;"-1")</f>
        <v/>
      </c>
      <c r="C384" t="str">
        <f>IF(OR(Registro_Compras!$C$46="",Registro_Compras!$O$46=""),"",IF(Registro_Compras!$F$46="RHE",IF(Registro_Compras!$V$46=0,"","4017"),IF(Registro_Compras!$F$46="NOTA DE CREDITO",IF(Registro_Compras!$M$46="","63",Registro_Compras!$M$46),IF(Registro_Compras!$K$46=0,"","40111"))))</f>
        <v/>
      </c>
      <c r="D384" t="str">
        <f>IF(OR(Registro_Compras!$C$46="",Registro_Compras!$O$46=""),"",IF(Registro_Compras!$F$46="RHE","Retencion Renta 4ta Categoria por Pagar",IF(Registro_Compras!$F$46="NOTA DE CREDITO","Gastos de Servicios Prestados por Terceros","IGV - Cuenta Propia (Credito Fiscal)")))</f>
        <v>IGV - Cuenta Propia (Credito Fiscal)</v>
      </c>
      <c r="E384" s="20" t="str">
        <f>IF($C384="","",IF(Registro_Compras!$F$46="FACTURA",ROUND(Registro_Compras!$K$46*Registro_Compras!$N$46,2),""))</f>
        <v/>
      </c>
      <c r="F384" s="20" t="str">
        <f>IF($C384="","",IF(Registro_Compras!$F$46="RHE",ROUND(Registro_Compras!$V$46*Registro_Compras!$N$46,2),IF(Registro_Compras!$F$46="NOTA DE CREDITO",ROUND(ABS(Registro_Compras!$J$46*Registro_Compras!$N$46),2),"")))</f>
        <v/>
      </c>
      <c r="G384" t="str">
        <f>IF($C384="","",IF(Registro_Compras!$F$46="NOTA DE CREDITO","Por la nota de credito "&amp;Registro_Compras!$C$46&amp;" de "&amp;Registro_Compras!$E$46&amp;" [PATRON POR CONFIRMAR CON CONTADOR]",IF(Registro_Compras!$F$46="RHE","Por el registro del recibo por honorarios "&amp;Registro_Compras!$C$46&amp;" de "&amp;Registro_Compras!$E$46&amp;" [PATRON POR CONFIRMAR CON CONTADOR]","Por el registro de la factura "&amp;Registro_Compras!$C$46&amp;" de "&amp;Registro_Compras!$E$46)))</f>
        <v/>
      </c>
      <c r="H384" t="str">
        <f>IF($C384="","",Registro_Compras!$C$46)</f>
        <v/>
      </c>
    </row>
    <row r="385" spans="1:8" x14ac:dyDescent="0.25">
      <c r="A385" s="25">
        <f>IF($C385="","",Registro_Compras!$B$46)</f>
        <v>46252</v>
      </c>
      <c r="B385" t="str">
        <f>IF($C385="","","C"&amp;TEXT(INT((ROW()-5)/9)+1,"000")&amp;"-1")</f>
        <v>C043-1</v>
      </c>
      <c r="C385" t="str">
        <f>IF(OR(Registro_Compras!$C$46="",Registro_Compras!$O$46=""),"",IF(Registro_Compras!$F$46="NOTA DE CREDITO",IF(Registro_Compras!$K$46=0,"","40111"),"4212"))</f>
        <v>4212</v>
      </c>
      <c r="D385" t="str">
        <f>IF(OR(Registro_Compras!$C$46="",Registro_Compras!$O$46=""),"",IF(Registro_Compras!$F$46="NOTA DE CREDITO","IGV - Cuenta Propia (Credito Fiscal)","Cuentas por Pagar Comerciales - Terceros (Emitidas)"))</f>
        <v>Cuentas por Pagar Comerciales - Terceros (Emitidas)</v>
      </c>
      <c r="E385" s="20" t="str">
        <f>""</f>
        <v/>
      </c>
      <c r="F385" s="20">
        <f>IF($C385="","",IF(Registro_Compras!$F$46="NOTA DE CREDITO",ROUND(ABS(Registro_Compras!$K$46*Registro_Compras!$N$46),2),IF(Registro_Compras!$F$46="RHE",(ROUND(Registro_Compras!$L$46*Registro_Compras!$N$46,2)-ROUND(Registro_Compras!$V$46*Registro_Compras!$N$46,2)),Registro_Compras!$O$46)))</f>
        <v>7077</v>
      </c>
      <c r="G385" t="str">
        <f>IF($C385="","",IF(Registro_Compras!$F$46="NOTA DE CREDITO","Por la nota de credito "&amp;Registro_Compras!$C$46&amp;" de "&amp;Registro_Compras!$E$46&amp;" [PATRON POR CONFIRMAR CON CONTADOR]",IF(Registro_Compras!$F$46="RHE","Por el registro del recibo por honorarios "&amp;Registro_Compras!$C$46&amp;" de "&amp;Registro_Compras!$E$46&amp;" [PATRON POR CONFIRMAR CON CONTADOR]","Por el registro de la factura "&amp;Registro_Compras!$C$46&amp;" de "&amp;Registro_Compras!$E$46)))</f>
        <v>Por el registro de la factura F002-813 de TURISMO Y CONSERVACION SAC (Amazon Journeys)</v>
      </c>
      <c r="H385" t="str">
        <f>IF($C385="","",Registro_Compras!$C$46)</f>
        <v>F002-813</v>
      </c>
    </row>
    <row r="386" spans="1:8" x14ac:dyDescent="0.25">
      <c r="A386" s="25">
        <f>IF($C386="","",Registro_Compras!$B$46)</f>
        <v>46252</v>
      </c>
      <c r="B386" t="str">
        <f>IF($C386="","","C"&amp;TEXT(INT((ROW()-5)/9)+1,"000")&amp;"-2")</f>
        <v>C043-2</v>
      </c>
      <c r="C386" t="str">
        <f>IF(OR(Registro_Compras!$C$46="",Registro_Compras!$O$46=""),"",IF(Registro_Compras!$AB$46="ADMINISTRATIVO","94","95"))</f>
        <v>95</v>
      </c>
      <c r="D386" t="str">
        <f>IF(OR(Registro_Compras!$C$46="",Registro_Compras!$O$46=""),"",IF(Registro_Compras!$AB$46="ADMINISTRATIVO","Gastos Administrativos","Gastos de Venta y Operacion"))</f>
        <v>Gastos de Venta y Operacion</v>
      </c>
      <c r="E386" s="20">
        <f>IF($C386="","",IF(Registro_Compras!$F$46="NOTA DE CREDITO","",IF(Registro_Compras!$F$46="RHE",ROUND(Registro_Compras!$L$46*Registro_Compras!$N$46,2),ROUND(Registro_Compras!$J$46*Registro_Compras!$N$46,2))))</f>
        <v>7077</v>
      </c>
      <c r="F386" s="20" t="str">
        <f>IF($C386="","",IF(Registro_Compras!$F$46="NOTA DE CREDITO",ROUND(ABS(Registro_Compras!$J$46*Registro_Compras!$N$46),2),""))</f>
        <v/>
      </c>
      <c r="G386" t="str">
        <f>IF($C386="","","Por el destino del gasto")</f>
        <v>Por el destino del gasto</v>
      </c>
      <c r="H386" t="str">
        <f>IF($C386="","",Registro_Compras!$C$46)</f>
        <v>F002-813</v>
      </c>
    </row>
    <row r="387" spans="1:8" x14ac:dyDescent="0.25">
      <c r="A387" s="25">
        <f>IF($C387="","",Registro_Compras!$B$46)</f>
        <v>46252</v>
      </c>
      <c r="B387" t="str">
        <f>IF($C387="","","C"&amp;TEXT(INT((ROW()-5)/9)+1,"000")&amp;"-2")</f>
        <v>C043-2</v>
      </c>
      <c r="C387" t="str">
        <f>IF(OR(Registro_Compras!$C$46="",Registro_Compras!$O$46=""),"","79/791")</f>
        <v>79/791</v>
      </c>
      <c r="D387" t="str">
        <f>IF(OR(Registro_Compras!$C$46="",Registro_Compras!$O$46=""),"","Cargas Imputables a Cuentas de Costos y Gastos")</f>
        <v>Cargas Imputables a Cuentas de Costos y Gastos</v>
      </c>
      <c r="E387" s="20" t="str">
        <f>IF($C387="","",IF(Registro_Compras!$F$46="NOTA DE CREDITO",ROUND(ABS(Registro_Compras!$J$46*Registro_Compras!$N$46),2),""))</f>
        <v/>
      </c>
      <c r="F387" s="20">
        <f>IF($C387="","",IF(Registro_Compras!$F$46="NOTA DE CREDITO","",IF(Registro_Compras!$F$46="RHE",ROUND(Registro_Compras!$L$46*Registro_Compras!$N$46,2),ROUND(Registro_Compras!$J$46*Registro_Compras!$N$46,2))))</f>
        <v>7077</v>
      </c>
      <c r="G387" t="str">
        <f>IF($C387="","","Por el destino del gasto")</f>
        <v>Por el destino del gasto</v>
      </c>
      <c r="H387" t="str">
        <f>IF($C387="","",Registro_Compras!$C$46)</f>
        <v>F002-813</v>
      </c>
    </row>
    <row r="388" spans="1:8" x14ac:dyDescent="0.25">
      <c r="A388" s="25" t="str">
        <f>IF($C388="","",Registro_Compras!$X$46)</f>
        <v/>
      </c>
      <c r="B388" t="str">
        <f>IF($C388="","","C"&amp;TEXT(INT((ROW()-5)/9)+1,"000")&amp;"-3")</f>
        <v/>
      </c>
      <c r="C388" t="str">
        <f>IF(OR(Registro_Compras!$C$46="",Registro_Compras!$O$46="",Registro_Compras!$R$46&lt;&gt;"SI",Registro_Compras!$X$46=""),"","4212")</f>
        <v/>
      </c>
      <c r="D388" t="str">
        <f>IF(OR(Registro_Compras!$C$46="",Registro_Compras!$O$46=""),"","Cuentas por Pagar Comerciales - Terceros")</f>
        <v>Cuentas por Pagar Comerciales - Terceros</v>
      </c>
      <c r="E388" s="20" t="str">
        <f>IF($C388="","",Registro_Compras!$S$46)</f>
        <v/>
      </c>
      <c r="F388" s="20" t="str">
        <f>""</f>
        <v/>
      </c>
      <c r="G388" t="str">
        <f>IF($C388="","","Por el deposito de la detraccion en el Banco de la Nacion")</f>
        <v/>
      </c>
      <c r="H388" t="str">
        <f>IF($C388="","",Registro_Compras!$C$46)</f>
        <v/>
      </c>
    </row>
    <row r="389" spans="1:8" x14ac:dyDescent="0.25">
      <c r="A389" s="25" t="str">
        <f>IF($C389="","",Registro_Compras!$X$46)</f>
        <v/>
      </c>
      <c r="B389" t="str">
        <f>IF($C389="","","C"&amp;TEXT(INT((ROW()-5)/9)+1,"000")&amp;"-3")</f>
        <v/>
      </c>
      <c r="C389" t="str">
        <f>IF(OR(Registro_Compras!$C$46="",Registro_Compras!$O$46="",Registro_Compras!$R$46&lt;&gt;"SI",Registro_Compras!$X$46=""),"","1041")</f>
        <v/>
      </c>
      <c r="D389" t="str">
        <f>IF(OR(Registro_Compras!$C$46="",Registro_Compras!$O$46=""),"","Efectivo y Equivalentes - Cta. Cte. Operativa")</f>
        <v>Efectivo y Equivalentes - Cta. Cte. Operativa</v>
      </c>
      <c r="E389" s="20" t="str">
        <f>""</f>
        <v/>
      </c>
      <c r="F389" s="20" t="str">
        <f>IF($C389="","",Registro_Compras!$S$46)</f>
        <v/>
      </c>
      <c r="G389" t="str">
        <f>IF($C389="","","Por el deposito de la detraccion en el Banco de la Nacion")</f>
        <v/>
      </c>
      <c r="H389" t="str">
        <f>IF($C389="","",Registro_Compras!$C$46)</f>
        <v/>
      </c>
    </row>
    <row r="390" spans="1:8" x14ac:dyDescent="0.25">
      <c r="A390" s="25" t="str">
        <f>IF($C390="","",Registro_Compras!$Y$46)</f>
        <v/>
      </c>
      <c r="B390" t="str">
        <f>IF($C390="","","C"&amp;TEXT(INT((ROW()-5)/9)+1,"000")&amp;"-4")</f>
        <v/>
      </c>
      <c r="C390" t="str">
        <f>IF(OR(Registro_Compras!$C$46="",Registro_Compras!$O$46="",Registro_Compras!$Y$46="",Registro_Compras!$F$46="NOTA DE CREDITO"),"","4212")</f>
        <v/>
      </c>
      <c r="D390" t="str">
        <f>IF(OR(Registro_Compras!$C$46="",Registro_Compras!$O$46=""),"","Cuentas por Pagar Comerciales - Terceros")</f>
        <v>Cuentas por Pagar Comerciales - Terceros</v>
      </c>
      <c r="E390" s="20" t="str">
        <f>IF($C390="","",IF(Registro_Compras!$F$46="RHE",(ROUND(Registro_Compras!$L$46*Registro_Compras!$N$46,2)-ROUND(Registro_Compras!$V$46*Registro_Compras!$N$46,2)),ROUND(Registro_Compras!$O$46-Registro_Compras!$S$46,2)))</f>
        <v/>
      </c>
      <c r="F390" s="20" t="str">
        <f>""</f>
        <v/>
      </c>
      <c r="G390" t="str">
        <f>IF($C390="","","Por la cancelacion del saldo al proveedor")</f>
        <v/>
      </c>
      <c r="H390" t="str">
        <f>IF($C390="","",Registro_Compras!$C$46)</f>
        <v/>
      </c>
    </row>
    <row r="391" spans="1:8" x14ac:dyDescent="0.25">
      <c r="A391" s="25" t="str">
        <f>IF($C391="","",Registro_Compras!$Y$46)</f>
        <v/>
      </c>
      <c r="B391" t="str">
        <f>IF($C391="","","C"&amp;TEXT(INT((ROW()-5)/9)+1,"000")&amp;"-4")</f>
        <v/>
      </c>
      <c r="C391" t="str">
        <f>IF(OR(Registro_Compras!$C$46="",Registro_Compras!$O$46="",Registro_Compras!$Y$46="",Registro_Compras!$F$46="NOTA DE CREDITO"),"","1041")</f>
        <v/>
      </c>
      <c r="D391" t="str">
        <f>IF(OR(Registro_Compras!$C$46="",Registro_Compras!$O$46=""),"","Efectivo y Equivalentes - Cta. Cte. Operativa")</f>
        <v>Efectivo y Equivalentes - Cta. Cte. Operativa</v>
      </c>
      <c r="E391" s="20" t="str">
        <f>""</f>
        <v/>
      </c>
      <c r="F391" s="20" t="str">
        <f>IF($C391="","",IF(Registro_Compras!$F$46="RHE",(ROUND(Registro_Compras!$L$46*Registro_Compras!$N$46,2)-ROUND(Registro_Compras!$V$46*Registro_Compras!$N$46,2)),ROUND(Registro_Compras!$O$46-Registro_Compras!$S$46,2)))</f>
        <v/>
      </c>
      <c r="G391" t="str">
        <f>IF($C391="","","Por la cancelacion del saldo al proveedor")</f>
        <v/>
      </c>
      <c r="H391" t="str">
        <f>IF($C391="","",Registro_Compras!$C$46)</f>
        <v/>
      </c>
    </row>
    <row r="392" spans="1:8" x14ac:dyDescent="0.25">
      <c r="A392" s="25">
        <f>IF($C392="","",Registro_Compras!$B$47)</f>
        <v>46238</v>
      </c>
      <c r="B392" t="str">
        <f>IF($C392="","","C"&amp;TEXT(INT((ROW()-5)/9)+1,"000")&amp;"-1")</f>
        <v>C044-1</v>
      </c>
      <c r="C392" t="str">
        <f>IF(OR(Registro_Compras!$C$47="",Registro_Compras!$O$47=""),"",IF(Registro_Compras!$F$47="NOTA DE CREDITO","4212",IF(Registro_Compras!$M$47="","63",Registro_Compras!$M$47)))</f>
        <v>632</v>
      </c>
      <c r="D392" t="str">
        <f>IF(OR(Registro_Compras!$C$47="",Registro_Compras!$O$47=""),"",IF(Registro_Compras!$F$47="NOTA DE CREDITO","Cuentas por Pagar Comerciales - Terceros (Emitidas)",IF(Registro_Compras!$F$47="RHE","Honorarios Profesionales - Servicios de Terceros","Gastos de Servicios Prestados por Terceros")))</f>
        <v>Honorarios Profesionales - Servicios de Terceros</v>
      </c>
      <c r="E392" s="20">
        <f>IF($C392="","",IF(Registro_Compras!$F$47="NOTA DE CREDITO",ABS(Registro_Compras!$O$47),IF(Registro_Compras!$F$47="RHE",ROUND(Registro_Compras!$L$47*Registro_Compras!$N$47,2),ROUND(Registro_Compras!$J$47*Registro_Compras!$N$47,2))))</f>
        <v>1360.8</v>
      </c>
      <c r="F392" s="20" t="str">
        <f>""</f>
        <v/>
      </c>
      <c r="G392" t="str">
        <f>IF($C392="","",IF(Registro_Compras!$F$47="NOTA DE CREDITO","Por la nota de credito "&amp;Registro_Compras!$C$47&amp;" de "&amp;Registro_Compras!$E$47&amp;" [PATRON POR CONFIRMAR CON CONTADOR]",IF(Registro_Compras!$F$47="RHE","Por el registro del recibo por honorarios "&amp;Registro_Compras!$C$47&amp;" de "&amp;Registro_Compras!$E$47&amp;" [PATRON POR CONFIRMAR CON CONTADOR]","Por el registro de la factura "&amp;Registro_Compras!$C$47&amp;" de "&amp;Registro_Compras!$E$47)))</f>
        <v>Por el registro del recibo por honorarios E001 742 de CATACORA RAMIREZ PAUL FRED [PATRON POR CONFIRMAR CON CONTADOR]</v>
      </c>
      <c r="H392" t="str">
        <f>IF($C392="","",Registro_Compras!$C$47)</f>
        <v>E001 742</v>
      </c>
    </row>
    <row r="393" spans="1:8" x14ac:dyDescent="0.25">
      <c r="A393" s="25" t="str">
        <f>IF($C393="","",Registro_Compras!$B$47)</f>
        <v/>
      </c>
      <c r="B393" t="str">
        <f>IF($C393="","","C"&amp;TEXT(INT((ROW()-5)/9)+1,"000")&amp;"-1")</f>
        <v/>
      </c>
      <c r="C393" t="str">
        <f>IF(OR(Registro_Compras!$C$47="",Registro_Compras!$O$47=""),"",IF(Registro_Compras!$F$47="RHE",IF(Registro_Compras!$V$47=0,"","4017"),IF(Registro_Compras!$F$47="NOTA DE CREDITO",IF(Registro_Compras!$M$47="","63",Registro_Compras!$M$47),IF(Registro_Compras!$K$47=0,"","40111"))))</f>
        <v/>
      </c>
      <c r="D393" t="str">
        <f>IF(OR(Registro_Compras!$C$47="",Registro_Compras!$O$47=""),"",IF(Registro_Compras!$F$47="RHE","Retencion Renta 4ta Categoria por Pagar",IF(Registro_Compras!$F$47="NOTA DE CREDITO","Gastos de Servicios Prestados por Terceros","IGV - Cuenta Propia (Credito Fiscal)")))</f>
        <v>Retencion Renta 4ta Categoria por Pagar</v>
      </c>
      <c r="E393" s="20" t="str">
        <f>IF($C393="","",IF(Registro_Compras!$F$47="FACTURA",ROUND(Registro_Compras!$K$47*Registro_Compras!$N$47,2),""))</f>
        <v/>
      </c>
      <c r="F393" s="20" t="str">
        <f>IF($C393="","",IF(Registro_Compras!$F$47="RHE",ROUND(Registro_Compras!$V$47*Registro_Compras!$N$47,2),IF(Registro_Compras!$F$47="NOTA DE CREDITO",ROUND(ABS(Registro_Compras!$J$47*Registro_Compras!$N$47),2),"")))</f>
        <v/>
      </c>
      <c r="G393" t="str">
        <f>IF($C393="","",IF(Registro_Compras!$F$47="NOTA DE CREDITO","Por la nota de credito "&amp;Registro_Compras!$C$47&amp;" de "&amp;Registro_Compras!$E$47&amp;" [PATRON POR CONFIRMAR CON CONTADOR]",IF(Registro_Compras!$F$47="RHE","Por el registro del recibo por honorarios "&amp;Registro_Compras!$C$47&amp;" de "&amp;Registro_Compras!$E$47&amp;" [PATRON POR CONFIRMAR CON CONTADOR]","Por el registro de la factura "&amp;Registro_Compras!$C$47&amp;" de "&amp;Registro_Compras!$E$47)))</f>
        <v/>
      </c>
      <c r="H393" t="str">
        <f>IF($C393="","",Registro_Compras!$C$47)</f>
        <v/>
      </c>
    </row>
    <row r="394" spans="1:8" x14ac:dyDescent="0.25">
      <c r="A394" s="25">
        <f>IF($C394="","",Registro_Compras!$B$47)</f>
        <v>46238</v>
      </c>
      <c r="B394" t="str">
        <f>IF($C394="","","C"&amp;TEXT(INT((ROW()-5)/9)+1,"000")&amp;"-1")</f>
        <v>C044-1</v>
      </c>
      <c r="C394" t="str">
        <f>IF(OR(Registro_Compras!$C$47="",Registro_Compras!$O$47=""),"",IF(Registro_Compras!$F$47="NOTA DE CREDITO",IF(Registro_Compras!$K$47=0,"","40111"),"4212"))</f>
        <v>4212</v>
      </c>
      <c r="D394" t="str">
        <f>IF(OR(Registro_Compras!$C$47="",Registro_Compras!$O$47=""),"",IF(Registro_Compras!$F$47="NOTA DE CREDITO","IGV - Cuenta Propia (Credito Fiscal)","Cuentas por Pagar Comerciales - Terceros (Emitidas)"))</f>
        <v>Cuentas por Pagar Comerciales - Terceros (Emitidas)</v>
      </c>
      <c r="E394" s="20" t="str">
        <f>""</f>
        <v/>
      </c>
      <c r="F394" s="20">
        <f>IF($C394="","",IF(Registro_Compras!$F$47="NOTA DE CREDITO",ROUND(ABS(Registro_Compras!$K$47*Registro_Compras!$N$47),2),IF(Registro_Compras!$F$47="RHE",(ROUND(Registro_Compras!$L$47*Registro_Compras!$N$47,2)-ROUND(Registro_Compras!$V$47*Registro_Compras!$N$47,2)),Registro_Compras!$O$47)))</f>
        <v>1360.8</v>
      </c>
      <c r="G394" t="str">
        <f>IF($C394="","",IF(Registro_Compras!$F$47="NOTA DE CREDITO","Por la nota de credito "&amp;Registro_Compras!$C$47&amp;" de "&amp;Registro_Compras!$E$47&amp;" [PATRON POR CONFIRMAR CON CONTADOR]",IF(Registro_Compras!$F$47="RHE","Por el registro del recibo por honorarios "&amp;Registro_Compras!$C$47&amp;" de "&amp;Registro_Compras!$E$47&amp;" [PATRON POR CONFIRMAR CON CONTADOR]","Por el registro de la factura "&amp;Registro_Compras!$C$47&amp;" de "&amp;Registro_Compras!$E$47)))</f>
        <v>Por el registro del recibo por honorarios E001 742 de CATACORA RAMIREZ PAUL FRED [PATRON POR CONFIRMAR CON CONTADOR]</v>
      </c>
      <c r="H394" t="str">
        <f>IF($C394="","",Registro_Compras!$C$47)</f>
        <v>E001 742</v>
      </c>
    </row>
    <row r="395" spans="1:8" x14ac:dyDescent="0.25">
      <c r="A395" s="25">
        <f>IF($C395="","",Registro_Compras!$B$47)</f>
        <v>46238</v>
      </c>
      <c r="B395" t="str">
        <f>IF($C395="","","C"&amp;TEXT(INT((ROW()-5)/9)+1,"000")&amp;"-2")</f>
        <v>C044-2</v>
      </c>
      <c r="C395" t="str">
        <f>IF(OR(Registro_Compras!$C$47="",Registro_Compras!$O$47=""),"",IF(Registro_Compras!$AB$47="ADMINISTRATIVO","94","95"))</f>
        <v>95</v>
      </c>
      <c r="D395" t="str">
        <f>IF(OR(Registro_Compras!$C$47="",Registro_Compras!$O$47=""),"",IF(Registro_Compras!$AB$47="ADMINISTRATIVO","Gastos Administrativos","Gastos de Venta y Operacion"))</f>
        <v>Gastos de Venta y Operacion</v>
      </c>
      <c r="E395" s="20">
        <f>IF($C395="","",IF(Registro_Compras!$F$47="NOTA DE CREDITO","",IF(Registro_Compras!$F$47="RHE",ROUND(Registro_Compras!$L$47*Registro_Compras!$N$47,2),ROUND(Registro_Compras!$J$47*Registro_Compras!$N$47,2))))</f>
        <v>1360.8</v>
      </c>
      <c r="F395" s="20" t="str">
        <f>IF($C395="","",IF(Registro_Compras!$F$47="NOTA DE CREDITO",ROUND(ABS(Registro_Compras!$J$47*Registro_Compras!$N$47),2),""))</f>
        <v/>
      </c>
      <c r="G395" t="str">
        <f>IF($C395="","","Por el destino del gasto")</f>
        <v>Por el destino del gasto</v>
      </c>
      <c r="H395" t="str">
        <f>IF($C395="","",Registro_Compras!$C$47)</f>
        <v>E001 742</v>
      </c>
    </row>
    <row r="396" spans="1:8" x14ac:dyDescent="0.25">
      <c r="A396" s="25">
        <f>IF($C396="","",Registro_Compras!$B$47)</f>
        <v>46238</v>
      </c>
      <c r="B396" t="str">
        <f>IF($C396="","","C"&amp;TEXT(INT((ROW()-5)/9)+1,"000")&amp;"-2")</f>
        <v>C044-2</v>
      </c>
      <c r="C396" t="str">
        <f>IF(OR(Registro_Compras!$C$47="",Registro_Compras!$O$47=""),"","79/791")</f>
        <v>79/791</v>
      </c>
      <c r="D396" t="str">
        <f>IF(OR(Registro_Compras!$C$47="",Registro_Compras!$O$47=""),"","Cargas Imputables a Cuentas de Costos y Gastos")</f>
        <v>Cargas Imputables a Cuentas de Costos y Gastos</v>
      </c>
      <c r="E396" s="20" t="str">
        <f>IF($C396="","",IF(Registro_Compras!$F$47="NOTA DE CREDITO",ROUND(ABS(Registro_Compras!$J$47*Registro_Compras!$N$47),2),""))</f>
        <v/>
      </c>
      <c r="F396" s="20">
        <f>IF($C396="","",IF(Registro_Compras!$F$47="NOTA DE CREDITO","",IF(Registro_Compras!$F$47="RHE",ROUND(Registro_Compras!$L$47*Registro_Compras!$N$47,2),ROUND(Registro_Compras!$J$47*Registro_Compras!$N$47,2))))</f>
        <v>1360.8</v>
      </c>
      <c r="G396" t="str">
        <f>IF($C396="","","Por el destino del gasto")</f>
        <v>Por el destino del gasto</v>
      </c>
      <c r="H396" t="str">
        <f>IF($C396="","",Registro_Compras!$C$47)</f>
        <v>E001 742</v>
      </c>
    </row>
    <row r="397" spans="1:8" x14ac:dyDescent="0.25">
      <c r="A397" s="25" t="str">
        <f>IF($C397="","",Registro_Compras!$X$47)</f>
        <v/>
      </c>
      <c r="B397" t="str">
        <f>IF($C397="","","C"&amp;TEXT(INT((ROW()-5)/9)+1,"000")&amp;"-3")</f>
        <v/>
      </c>
      <c r="C397" t="str">
        <f>IF(OR(Registro_Compras!$C$47="",Registro_Compras!$O$47="",Registro_Compras!$R$47&lt;&gt;"SI",Registro_Compras!$X$47=""),"","4212")</f>
        <v/>
      </c>
      <c r="D397" t="str">
        <f>IF(OR(Registro_Compras!$C$47="",Registro_Compras!$O$47=""),"","Cuentas por Pagar Comerciales - Terceros")</f>
        <v>Cuentas por Pagar Comerciales - Terceros</v>
      </c>
      <c r="E397" s="20" t="str">
        <f>IF($C397="","",Registro_Compras!$S$47)</f>
        <v/>
      </c>
      <c r="F397" s="20" t="str">
        <f>""</f>
        <v/>
      </c>
      <c r="G397" t="str">
        <f>IF($C397="","","Por el deposito de la detraccion en el Banco de la Nacion")</f>
        <v/>
      </c>
      <c r="H397" t="str">
        <f>IF($C397="","",Registro_Compras!$C$47)</f>
        <v/>
      </c>
    </row>
    <row r="398" spans="1:8" x14ac:dyDescent="0.25">
      <c r="A398" s="25" t="str">
        <f>IF($C398="","",Registro_Compras!$X$47)</f>
        <v/>
      </c>
      <c r="B398" t="str">
        <f>IF($C398="","","C"&amp;TEXT(INT((ROW()-5)/9)+1,"000")&amp;"-3")</f>
        <v/>
      </c>
      <c r="C398" t="str">
        <f>IF(OR(Registro_Compras!$C$47="",Registro_Compras!$O$47="",Registro_Compras!$R$47&lt;&gt;"SI",Registro_Compras!$X$47=""),"","1041")</f>
        <v/>
      </c>
      <c r="D398" t="str">
        <f>IF(OR(Registro_Compras!$C$47="",Registro_Compras!$O$47=""),"","Efectivo y Equivalentes - Cta. Cte. Operativa")</f>
        <v>Efectivo y Equivalentes - Cta. Cte. Operativa</v>
      </c>
      <c r="E398" s="20" t="str">
        <f>""</f>
        <v/>
      </c>
      <c r="F398" s="20" t="str">
        <f>IF($C398="","",Registro_Compras!$S$47)</f>
        <v/>
      </c>
      <c r="G398" t="str">
        <f>IF($C398="","","Por el deposito de la detraccion en el Banco de la Nacion")</f>
        <v/>
      </c>
      <c r="H398" t="str">
        <f>IF($C398="","",Registro_Compras!$C$47)</f>
        <v/>
      </c>
    </row>
    <row r="399" spans="1:8" x14ac:dyDescent="0.25">
      <c r="A399" s="25" t="str">
        <f>IF($C399="","",Registro_Compras!$Y$47)</f>
        <v/>
      </c>
      <c r="B399" t="str">
        <f>IF($C399="","","C"&amp;TEXT(INT((ROW()-5)/9)+1,"000")&amp;"-4")</f>
        <v/>
      </c>
      <c r="C399" t="str">
        <f>IF(OR(Registro_Compras!$C$47="",Registro_Compras!$O$47="",Registro_Compras!$Y$47="",Registro_Compras!$F$47="NOTA DE CREDITO"),"","4212")</f>
        <v/>
      </c>
      <c r="D399" t="str">
        <f>IF(OR(Registro_Compras!$C$47="",Registro_Compras!$O$47=""),"","Cuentas por Pagar Comerciales - Terceros")</f>
        <v>Cuentas por Pagar Comerciales - Terceros</v>
      </c>
      <c r="E399" s="20" t="str">
        <f>IF($C399="","",IF(Registro_Compras!$F$47="RHE",(ROUND(Registro_Compras!$L$47*Registro_Compras!$N$47,2)-ROUND(Registro_Compras!$V$47*Registro_Compras!$N$47,2)),ROUND(Registro_Compras!$O$47-Registro_Compras!$S$47,2)))</f>
        <v/>
      </c>
      <c r="F399" s="20" t="str">
        <f>""</f>
        <v/>
      </c>
      <c r="G399" t="str">
        <f>IF($C399="","","Por la cancelacion del saldo al proveedor")</f>
        <v/>
      </c>
      <c r="H399" t="str">
        <f>IF($C399="","",Registro_Compras!$C$47)</f>
        <v/>
      </c>
    </row>
    <row r="400" spans="1:8" x14ac:dyDescent="0.25">
      <c r="A400" s="25" t="str">
        <f>IF($C400="","",Registro_Compras!$Y$47)</f>
        <v/>
      </c>
      <c r="B400" t="str">
        <f>IF($C400="","","C"&amp;TEXT(INT((ROW()-5)/9)+1,"000")&amp;"-4")</f>
        <v/>
      </c>
      <c r="C400" t="str">
        <f>IF(OR(Registro_Compras!$C$47="",Registro_Compras!$O$47="",Registro_Compras!$Y$47="",Registro_Compras!$F$47="NOTA DE CREDITO"),"","1041")</f>
        <v/>
      </c>
      <c r="D400" t="str">
        <f>IF(OR(Registro_Compras!$C$47="",Registro_Compras!$O$47=""),"","Efectivo y Equivalentes - Cta. Cte. Operativa")</f>
        <v>Efectivo y Equivalentes - Cta. Cte. Operativa</v>
      </c>
      <c r="E400" s="20" t="str">
        <f>""</f>
        <v/>
      </c>
      <c r="F400" s="20" t="str">
        <f>IF($C400="","",IF(Registro_Compras!$F$47="RHE",(ROUND(Registro_Compras!$L$47*Registro_Compras!$N$47,2)-ROUND(Registro_Compras!$V$47*Registro_Compras!$N$47,2)),ROUND(Registro_Compras!$O$47-Registro_Compras!$S$47,2)))</f>
        <v/>
      </c>
      <c r="G400" t="str">
        <f>IF($C400="","","Por la cancelacion del saldo al proveedor")</f>
        <v/>
      </c>
      <c r="H400" t="str">
        <f>IF($C400="","",Registro_Compras!$C$47)</f>
        <v/>
      </c>
    </row>
    <row r="401" spans="1:8" x14ac:dyDescent="0.25">
      <c r="A401" s="25">
        <f>IF($C401="","",Registro_Compras!$B$48)</f>
        <v>46248</v>
      </c>
      <c r="B401" t="str">
        <f>IF($C401="","","C"&amp;TEXT(INT((ROW()-5)/9)+1,"000")&amp;"-1")</f>
        <v>C045-1</v>
      </c>
      <c r="C401" t="str">
        <f>IF(OR(Registro_Compras!$C$48="",Registro_Compras!$O$48=""),"",IF(Registro_Compras!$F$48="NOTA DE CREDITO","4212",IF(Registro_Compras!$M$48="","63",Registro_Compras!$M$48)))</f>
        <v>639</v>
      </c>
      <c r="D401" t="str">
        <f>IF(OR(Registro_Compras!$C$48="",Registro_Compras!$O$48=""),"",IF(Registro_Compras!$F$48="NOTA DE CREDITO","Cuentas por Pagar Comerciales - Terceros (Emitidas)",IF(Registro_Compras!$F$48="RHE","Honorarios Profesionales - Servicios de Terceros","Gastos de Servicios Prestados por Terceros")))</f>
        <v>Gastos de Servicios Prestados por Terceros</v>
      </c>
      <c r="E401" s="20">
        <f>IF($C401="","",IF(Registro_Compras!$F$48="NOTA DE CREDITO",ABS(Registro_Compras!$O$48),IF(Registro_Compras!$F$48="RHE",ROUND(Registro_Compras!$L$48*Registro_Compras!$N$48,2),ROUND(Registro_Compras!$J$48*Registro_Compras!$N$48,2))))</f>
        <v>2282.23</v>
      </c>
      <c r="F401" s="20" t="str">
        <f>""</f>
        <v/>
      </c>
      <c r="G401" t="str">
        <f>IF($C401="","",IF(Registro_Compras!$F$48="NOTA DE CREDITO","Por la nota de credito "&amp;Registro_Compras!$C$48&amp;" de "&amp;Registro_Compras!$E$48&amp;" [PATRON POR CONFIRMAR CON CONTADOR]",IF(Registro_Compras!$F$48="RHE","Por el registro del recibo por honorarios "&amp;Registro_Compras!$C$48&amp;" de "&amp;Registro_Compras!$E$48&amp;" [PATRON POR CONFIRMAR CON CONTADOR]","Por el registro de la factura "&amp;Registro_Compras!$C$48&amp;" de "&amp;Registro_Compras!$E$48)))</f>
        <v>Por el registro de la factura F019-00032586 de NESSUS HOTELES PERU S.A. (CASA ANDINA)</v>
      </c>
      <c r="H401" t="str">
        <f>IF($C401="","",Registro_Compras!$C$48)</f>
        <v>F019-00032586</v>
      </c>
    </row>
    <row r="402" spans="1:8" x14ac:dyDescent="0.25">
      <c r="A402" s="25" t="str">
        <f>IF($C402="","",Registro_Compras!$B$48)</f>
        <v/>
      </c>
      <c r="B402" t="str">
        <f>IF($C402="","","C"&amp;TEXT(INT((ROW()-5)/9)+1,"000")&amp;"-1")</f>
        <v/>
      </c>
      <c r="C402" t="str">
        <f>IF(OR(Registro_Compras!$C$48="",Registro_Compras!$O$48=""),"",IF(Registro_Compras!$F$48="RHE",IF(Registro_Compras!$V$48=0,"","4017"),IF(Registro_Compras!$F$48="NOTA DE CREDITO",IF(Registro_Compras!$M$48="","63",Registro_Compras!$M$48),IF(Registro_Compras!$K$48=0,"","40111"))))</f>
        <v/>
      </c>
      <c r="D402" t="str">
        <f>IF(OR(Registro_Compras!$C$48="",Registro_Compras!$O$48=""),"",IF(Registro_Compras!$F$48="RHE","Retencion Renta 4ta Categoria por Pagar",IF(Registro_Compras!$F$48="NOTA DE CREDITO","Gastos de Servicios Prestados por Terceros","IGV - Cuenta Propia (Credito Fiscal)")))</f>
        <v>IGV - Cuenta Propia (Credito Fiscal)</v>
      </c>
      <c r="E402" s="20" t="str">
        <f>IF($C402="","",IF(Registro_Compras!$F$48="FACTURA",ROUND(Registro_Compras!$K$48*Registro_Compras!$N$48,2),""))</f>
        <v/>
      </c>
      <c r="F402" s="20" t="str">
        <f>IF($C402="","",IF(Registro_Compras!$F$48="RHE",ROUND(Registro_Compras!$V$48*Registro_Compras!$N$48,2),IF(Registro_Compras!$F$48="NOTA DE CREDITO",ROUND(ABS(Registro_Compras!$J$48*Registro_Compras!$N$48),2),"")))</f>
        <v/>
      </c>
      <c r="G402" t="str">
        <f>IF($C402="","",IF(Registro_Compras!$F$48="NOTA DE CREDITO","Por la nota de credito "&amp;Registro_Compras!$C$48&amp;" de "&amp;Registro_Compras!$E$48&amp;" [PATRON POR CONFIRMAR CON CONTADOR]",IF(Registro_Compras!$F$48="RHE","Por el registro del recibo por honorarios "&amp;Registro_Compras!$C$48&amp;" de "&amp;Registro_Compras!$E$48&amp;" [PATRON POR CONFIRMAR CON CONTADOR]","Por el registro de la factura "&amp;Registro_Compras!$C$48&amp;" de "&amp;Registro_Compras!$E$48)))</f>
        <v/>
      </c>
      <c r="H402" t="str">
        <f>IF($C402="","",Registro_Compras!$C$48)</f>
        <v/>
      </c>
    </row>
    <row r="403" spans="1:8" x14ac:dyDescent="0.25">
      <c r="A403" s="25">
        <f>IF($C403="","",Registro_Compras!$B$48)</f>
        <v>46248</v>
      </c>
      <c r="B403" t="str">
        <f>IF($C403="","","C"&amp;TEXT(INT((ROW()-5)/9)+1,"000")&amp;"-1")</f>
        <v>C045-1</v>
      </c>
      <c r="C403" t="str">
        <f>IF(OR(Registro_Compras!$C$48="",Registro_Compras!$O$48=""),"",IF(Registro_Compras!$F$48="NOTA DE CREDITO",IF(Registro_Compras!$K$48=0,"","40111"),"4212"))</f>
        <v>4212</v>
      </c>
      <c r="D403" t="str">
        <f>IF(OR(Registro_Compras!$C$48="",Registro_Compras!$O$48=""),"",IF(Registro_Compras!$F$48="NOTA DE CREDITO","IGV - Cuenta Propia (Credito Fiscal)","Cuentas por Pagar Comerciales - Terceros (Emitidas)"))</f>
        <v>Cuentas por Pagar Comerciales - Terceros (Emitidas)</v>
      </c>
      <c r="E403" s="20" t="str">
        <f>""</f>
        <v/>
      </c>
      <c r="F403" s="20">
        <f>IF($C403="","",IF(Registro_Compras!$F$48="NOTA DE CREDITO",ROUND(ABS(Registro_Compras!$K$48*Registro_Compras!$N$48),2),IF(Registro_Compras!$F$48="RHE",(ROUND(Registro_Compras!$L$48*Registro_Compras!$N$48,2)-ROUND(Registro_Compras!$V$48*Registro_Compras!$N$48,2)),Registro_Compras!$O$48)))</f>
        <v>2282.23</v>
      </c>
      <c r="G403" t="str">
        <f>IF($C403="","",IF(Registro_Compras!$F$48="NOTA DE CREDITO","Por la nota de credito "&amp;Registro_Compras!$C$48&amp;" de "&amp;Registro_Compras!$E$48&amp;" [PATRON POR CONFIRMAR CON CONTADOR]",IF(Registro_Compras!$F$48="RHE","Por el registro del recibo por honorarios "&amp;Registro_Compras!$C$48&amp;" de "&amp;Registro_Compras!$E$48&amp;" [PATRON POR CONFIRMAR CON CONTADOR]","Por el registro de la factura "&amp;Registro_Compras!$C$48&amp;" de "&amp;Registro_Compras!$E$48)))</f>
        <v>Por el registro de la factura F019-00032586 de NESSUS HOTELES PERU S.A. (CASA ANDINA)</v>
      </c>
      <c r="H403" t="str">
        <f>IF($C403="","",Registro_Compras!$C$48)</f>
        <v>F019-00032586</v>
      </c>
    </row>
    <row r="404" spans="1:8" x14ac:dyDescent="0.25">
      <c r="A404" s="25">
        <f>IF($C404="","",Registro_Compras!$B$48)</f>
        <v>46248</v>
      </c>
      <c r="B404" t="str">
        <f>IF($C404="","","C"&amp;TEXT(INT((ROW()-5)/9)+1,"000")&amp;"-2")</f>
        <v>C045-2</v>
      </c>
      <c r="C404" t="str">
        <f>IF(OR(Registro_Compras!$C$48="",Registro_Compras!$O$48=""),"",IF(Registro_Compras!$AB$48="ADMINISTRATIVO","94","95"))</f>
        <v>95</v>
      </c>
      <c r="D404" t="str">
        <f>IF(OR(Registro_Compras!$C$48="",Registro_Compras!$O$48=""),"",IF(Registro_Compras!$AB$48="ADMINISTRATIVO","Gastos Administrativos","Gastos de Venta y Operacion"))</f>
        <v>Gastos de Venta y Operacion</v>
      </c>
      <c r="E404" s="20">
        <f>IF($C404="","",IF(Registro_Compras!$F$48="NOTA DE CREDITO","",IF(Registro_Compras!$F$48="RHE",ROUND(Registro_Compras!$L$48*Registro_Compras!$N$48,2),ROUND(Registro_Compras!$J$48*Registro_Compras!$N$48,2))))</f>
        <v>2282.23</v>
      </c>
      <c r="F404" s="20" t="str">
        <f>IF($C404="","",IF(Registro_Compras!$F$48="NOTA DE CREDITO",ROUND(ABS(Registro_Compras!$J$48*Registro_Compras!$N$48),2),""))</f>
        <v/>
      </c>
      <c r="G404" t="str">
        <f>IF($C404="","","Por el destino del gasto")</f>
        <v>Por el destino del gasto</v>
      </c>
      <c r="H404" t="str">
        <f>IF($C404="","",Registro_Compras!$C$48)</f>
        <v>F019-00032586</v>
      </c>
    </row>
    <row r="405" spans="1:8" x14ac:dyDescent="0.25">
      <c r="A405" s="25">
        <f>IF($C405="","",Registro_Compras!$B$48)</f>
        <v>46248</v>
      </c>
      <c r="B405" t="str">
        <f>IF($C405="","","C"&amp;TEXT(INT((ROW()-5)/9)+1,"000")&amp;"-2")</f>
        <v>C045-2</v>
      </c>
      <c r="C405" t="str">
        <f>IF(OR(Registro_Compras!$C$48="",Registro_Compras!$O$48=""),"","79/791")</f>
        <v>79/791</v>
      </c>
      <c r="D405" t="str">
        <f>IF(OR(Registro_Compras!$C$48="",Registro_Compras!$O$48=""),"","Cargas Imputables a Cuentas de Costos y Gastos")</f>
        <v>Cargas Imputables a Cuentas de Costos y Gastos</v>
      </c>
      <c r="E405" s="20" t="str">
        <f>IF($C405="","",IF(Registro_Compras!$F$48="NOTA DE CREDITO",ROUND(ABS(Registro_Compras!$J$48*Registro_Compras!$N$48),2),""))</f>
        <v/>
      </c>
      <c r="F405" s="20">
        <f>IF($C405="","",IF(Registro_Compras!$F$48="NOTA DE CREDITO","",IF(Registro_Compras!$F$48="RHE",ROUND(Registro_Compras!$L$48*Registro_Compras!$N$48,2),ROUND(Registro_Compras!$J$48*Registro_Compras!$N$48,2))))</f>
        <v>2282.23</v>
      </c>
      <c r="G405" t="str">
        <f>IF($C405="","","Por el destino del gasto")</f>
        <v>Por el destino del gasto</v>
      </c>
      <c r="H405" t="str">
        <f>IF($C405="","",Registro_Compras!$C$48)</f>
        <v>F019-00032586</v>
      </c>
    </row>
    <row r="406" spans="1:8" x14ac:dyDescent="0.25">
      <c r="A406" s="25" t="str">
        <f>IF($C406="","",Registro_Compras!$X$48)</f>
        <v/>
      </c>
      <c r="B406" t="str">
        <f>IF($C406="","","C"&amp;TEXT(INT((ROW()-5)/9)+1,"000")&amp;"-3")</f>
        <v/>
      </c>
      <c r="C406" t="str">
        <f>IF(OR(Registro_Compras!$C$48="",Registro_Compras!$O$48="",Registro_Compras!$R$48&lt;&gt;"SI",Registro_Compras!$X$48=""),"","4212")</f>
        <v/>
      </c>
      <c r="D406" t="str">
        <f>IF(OR(Registro_Compras!$C$48="",Registro_Compras!$O$48=""),"","Cuentas por Pagar Comerciales - Terceros")</f>
        <v>Cuentas por Pagar Comerciales - Terceros</v>
      </c>
      <c r="E406" s="20" t="str">
        <f>IF($C406="","",Registro_Compras!$S$48)</f>
        <v/>
      </c>
      <c r="F406" s="20" t="str">
        <f>""</f>
        <v/>
      </c>
      <c r="G406" t="str">
        <f>IF($C406="","","Por el deposito de la detraccion en el Banco de la Nacion")</f>
        <v/>
      </c>
      <c r="H406" t="str">
        <f>IF($C406="","",Registro_Compras!$C$48)</f>
        <v/>
      </c>
    </row>
    <row r="407" spans="1:8" x14ac:dyDescent="0.25">
      <c r="A407" s="25" t="str">
        <f>IF($C407="","",Registro_Compras!$X$48)</f>
        <v/>
      </c>
      <c r="B407" t="str">
        <f>IF($C407="","","C"&amp;TEXT(INT((ROW()-5)/9)+1,"000")&amp;"-3")</f>
        <v/>
      </c>
      <c r="C407" t="str">
        <f>IF(OR(Registro_Compras!$C$48="",Registro_Compras!$O$48="",Registro_Compras!$R$48&lt;&gt;"SI",Registro_Compras!$X$48=""),"","1041")</f>
        <v/>
      </c>
      <c r="D407" t="str">
        <f>IF(OR(Registro_Compras!$C$48="",Registro_Compras!$O$48=""),"","Efectivo y Equivalentes - Cta. Cte. Operativa")</f>
        <v>Efectivo y Equivalentes - Cta. Cte. Operativa</v>
      </c>
      <c r="E407" s="20" t="str">
        <f>""</f>
        <v/>
      </c>
      <c r="F407" s="20" t="str">
        <f>IF($C407="","",Registro_Compras!$S$48)</f>
        <v/>
      </c>
      <c r="G407" t="str">
        <f>IF($C407="","","Por el deposito de la detraccion en el Banco de la Nacion")</f>
        <v/>
      </c>
      <c r="H407" t="str">
        <f>IF($C407="","",Registro_Compras!$C$48)</f>
        <v/>
      </c>
    </row>
    <row r="408" spans="1:8" x14ac:dyDescent="0.25">
      <c r="A408" s="25" t="str">
        <f>IF($C408="","",Registro_Compras!$Y$48)</f>
        <v/>
      </c>
      <c r="B408" t="str">
        <f>IF($C408="","","C"&amp;TEXT(INT((ROW()-5)/9)+1,"000")&amp;"-4")</f>
        <v/>
      </c>
      <c r="C408" t="str">
        <f>IF(OR(Registro_Compras!$C$48="",Registro_Compras!$O$48="",Registro_Compras!$Y$48="",Registro_Compras!$F$48="NOTA DE CREDITO"),"","4212")</f>
        <v/>
      </c>
      <c r="D408" t="str">
        <f>IF(OR(Registro_Compras!$C$48="",Registro_Compras!$O$48=""),"","Cuentas por Pagar Comerciales - Terceros")</f>
        <v>Cuentas por Pagar Comerciales - Terceros</v>
      </c>
      <c r="E408" s="20" t="str">
        <f>IF($C408="","",IF(Registro_Compras!$F$48="RHE",(ROUND(Registro_Compras!$L$48*Registro_Compras!$N$48,2)-ROUND(Registro_Compras!$V$48*Registro_Compras!$N$48,2)),ROUND(Registro_Compras!$O$48-Registro_Compras!$S$48,2)))</f>
        <v/>
      </c>
      <c r="F408" s="20" t="str">
        <f>""</f>
        <v/>
      </c>
      <c r="G408" t="str">
        <f>IF($C408="","","Por la cancelacion del saldo al proveedor")</f>
        <v/>
      </c>
      <c r="H408" t="str">
        <f>IF($C408="","",Registro_Compras!$C$48)</f>
        <v/>
      </c>
    </row>
    <row r="409" spans="1:8" x14ac:dyDescent="0.25">
      <c r="A409" s="25" t="str">
        <f>IF($C409="","",Registro_Compras!$Y$48)</f>
        <v/>
      </c>
      <c r="B409" t="str">
        <f>IF($C409="","","C"&amp;TEXT(INT((ROW()-5)/9)+1,"000")&amp;"-4")</f>
        <v/>
      </c>
      <c r="C409" t="str">
        <f>IF(OR(Registro_Compras!$C$48="",Registro_Compras!$O$48="",Registro_Compras!$Y$48="",Registro_Compras!$F$48="NOTA DE CREDITO"),"","1041")</f>
        <v/>
      </c>
      <c r="D409" t="str">
        <f>IF(OR(Registro_Compras!$C$48="",Registro_Compras!$O$48=""),"","Efectivo y Equivalentes - Cta. Cte. Operativa")</f>
        <v>Efectivo y Equivalentes - Cta. Cte. Operativa</v>
      </c>
      <c r="E409" s="20" t="str">
        <f>""</f>
        <v/>
      </c>
      <c r="F409" s="20" t="str">
        <f>IF($C409="","",IF(Registro_Compras!$F$48="RHE",(ROUND(Registro_Compras!$L$48*Registro_Compras!$N$48,2)-ROUND(Registro_Compras!$V$48*Registro_Compras!$N$48,2)),ROUND(Registro_Compras!$O$48-Registro_Compras!$S$48,2)))</f>
        <v/>
      </c>
      <c r="G409" t="str">
        <f>IF($C409="","","Por la cancelacion del saldo al proveedor")</f>
        <v/>
      </c>
      <c r="H409" t="str">
        <f>IF($C409="","",Registro_Compras!$C$48)</f>
        <v/>
      </c>
    </row>
    <row r="410" spans="1:8" x14ac:dyDescent="0.25">
      <c r="A410" s="25">
        <f>IF($C410="","",Registro_Compras!$B$49)</f>
        <v>46240</v>
      </c>
      <c r="B410" t="str">
        <f>IF($C410="","","C"&amp;TEXT(INT((ROW()-5)/9)+1,"000")&amp;"-1")</f>
        <v>C046-1</v>
      </c>
      <c r="C410" t="str">
        <f>IF(OR(Registro_Compras!$C$49="",Registro_Compras!$O$49=""),"",IF(Registro_Compras!$F$49="NOTA DE CREDITO","4212",IF(Registro_Compras!$M$49="","63",Registro_Compras!$M$49)))</f>
        <v>639</v>
      </c>
      <c r="D410" t="str">
        <f>IF(OR(Registro_Compras!$C$49="",Registro_Compras!$O$49=""),"",IF(Registro_Compras!$F$49="NOTA DE CREDITO","Cuentas por Pagar Comerciales - Terceros (Emitidas)",IF(Registro_Compras!$F$49="RHE","Honorarios Profesionales - Servicios de Terceros","Gastos de Servicios Prestados por Terceros")))</f>
        <v>Gastos de Servicios Prestados por Terceros</v>
      </c>
      <c r="E410" s="20">
        <f>IF($C410="","",IF(Registro_Compras!$F$49="NOTA DE CREDITO",ABS(Registro_Compras!$O$49),IF(Registro_Compras!$F$49="RHE",ROUND(Registro_Compras!$L$49*Registro_Compras!$N$49,2),ROUND(Registro_Compras!$J$49*Registro_Compras!$N$49,2))))</f>
        <v>453.03</v>
      </c>
      <c r="F410" s="20" t="str">
        <f>""</f>
        <v/>
      </c>
      <c r="G410" t="str">
        <f>IF($C410="","",IF(Registro_Compras!$F$49="NOTA DE CREDITO","Por la nota de credito "&amp;Registro_Compras!$C$49&amp;" de "&amp;Registro_Compras!$E$49&amp;" [PATRON POR CONFIRMAR CON CONTADOR]",IF(Registro_Compras!$F$49="RHE","Por el registro del recibo por honorarios "&amp;Registro_Compras!$C$49&amp;" de "&amp;Registro_Compras!$E$49&amp;" [PATRON POR CONFIRMAR CON CONTADOR]","Por el registro de la factura "&amp;Registro_Compras!$C$49&amp;" de "&amp;Registro_Compras!$E$49)))</f>
        <v>Por el registro de la factura E001-328 de LUXURY ADVENTURE CUSCO PERU E.I.R.L.</v>
      </c>
      <c r="H410" t="str">
        <f>IF($C410="","",Registro_Compras!$C$49)</f>
        <v>E001-328</v>
      </c>
    </row>
    <row r="411" spans="1:8" x14ac:dyDescent="0.25">
      <c r="A411" s="25">
        <f>IF($C411="","",Registro_Compras!$B$49)</f>
        <v>46240</v>
      </c>
      <c r="B411" t="str">
        <f>IF($C411="","","C"&amp;TEXT(INT((ROW()-5)/9)+1,"000")&amp;"-1")</f>
        <v>C046-1</v>
      </c>
      <c r="C411" t="str">
        <f>IF(OR(Registro_Compras!$C$49="",Registro_Compras!$O$49=""),"",IF(Registro_Compras!$F$49="RHE",IF(Registro_Compras!$V$49=0,"","4017"),IF(Registro_Compras!$F$49="NOTA DE CREDITO",IF(Registro_Compras!$M$49="","63",Registro_Compras!$M$49),IF(Registro_Compras!$K$49=0,"","40111"))))</f>
        <v>40111</v>
      </c>
      <c r="D411" t="str">
        <f>IF(OR(Registro_Compras!$C$49="",Registro_Compras!$O$49=""),"",IF(Registro_Compras!$F$49="RHE","Retencion Renta 4ta Categoria por Pagar",IF(Registro_Compras!$F$49="NOTA DE CREDITO","Gastos de Servicios Prestados por Terceros","IGV - Cuenta Propia (Credito Fiscal)")))</f>
        <v>IGV - Cuenta Propia (Credito Fiscal)</v>
      </c>
      <c r="E411" s="20">
        <f>IF($C411="","",IF(Registro_Compras!$F$49="FACTURA",ROUND(Registro_Compras!$K$49*Registro_Compras!$N$49,2),""))</f>
        <v>81.56</v>
      </c>
      <c r="F411" s="20" t="str">
        <f>IF($C411="","",IF(Registro_Compras!$F$49="RHE",ROUND(Registro_Compras!$V$49*Registro_Compras!$N$49,2),IF(Registro_Compras!$F$49="NOTA DE CREDITO",ROUND(ABS(Registro_Compras!$J$49*Registro_Compras!$N$49),2),"")))</f>
        <v/>
      </c>
      <c r="G411" t="str">
        <f>IF($C411="","",IF(Registro_Compras!$F$49="NOTA DE CREDITO","Por la nota de credito "&amp;Registro_Compras!$C$49&amp;" de "&amp;Registro_Compras!$E$49&amp;" [PATRON POR CONFIRMAR CON CONTADOR]",IF(Registro_Compras!$F$49="RHE","Por el registro del recibo por honorarios "&amp;Registro_Compras!$C$49&amp;" de "&amp;Registro_Compras!$E$49&amp;" [PATRON POR CONFIRMAR CON CONTADOR]","Por el registro de la factura "&amp;Registro_Compras!$C$49&amp;" de "&amp;Registro_Compras!$E$49)))</f>
        <v>Por el registro de la factura E001-328 de LUXURY ADVENTURE CUSCO PERU E.I.R.L.</v>
      </c>
      <c r="H411" t="str">
        <f>IF($C411="","",Registro_Compras!$C$49)</f>
        <v>E001-328</v>
      </c>
    </row>
    <row r="412" spans="1:8" x14ac:dyDescent="0.25">
      <c r="A412" s="25">
        <f>IF($C412="","",Registro_Compras!$B$49)</f>
        <v>46240</v>
      </c>
      <c r="B412" t="str">
        <f>IF($C412="","","C"&amp;TEXT(INT((ROW()-5)/9)+1,"000")&amp;"-1")</f>
        <v>C046-1</v>
      </c>
      <c r="C412" t="str">
        <f>IF(OR(Registro_Compras!$C$49="",Registro_Compras!$O$49=""),"",IF(Registro_Compras!$F$49="NOTA DE CREDITO",IF(Registro_Compras!$K$49=0,"","40111"),"4212"))</f>
        <v>4212</v>
      </c>
      <c r="D412" t="str">
        <f>IF(OR(Registro_Compras!$C$49="",Registro_Compras!$O$49=""),"",IF(Registro_Compras!$F$49="NOTA DE CREDITO","IGV - Cuenta Propia (Credito Fiscal)","Cuentas por Pagar Comerciales - Terceros (Emitidas)"))</f>
        <v>Cuentas por Pagar Comerciales - Terceros (Emitidas)</v>
      </c>
      <c r="E412" s="20" t="str">
        <f>""</f>
        <v/>
      </c>
      <c r="F412" s="20">
        <f>IF($C412="","",IF(Registro_Compras!$F$49="NOTA DE CREDITO",ROUND(ABS(Registro_Compras!$K$49*Registro_Compras!$N$49),2),IF(Registro_Compras!$F$49="RHE",(ROUND(Registro_Compras!$L$49*Registro_Compras!$N$49,2)-ROUND(Registro_Compras!$V$49*Registro_Compras!$N$49,2)),Registro_Compras!$O$49)))</f>
        <v>534.58999999999992</v>
      </c>
      <c r="G412" t="str">
        <f>IF($C412="","",IF(Registro_Compras!$F$49="NOTA DE CREDITO","Por la nota de credito "&amp;Registro_Compras!$C$49&amp;" de "&amp;Registro_Compras!$E$49&amp;" [PATRON POR CONFIRMAR CON CONTADOR]",IF(Registro_Compras!$F$49="RHE","Por el registro del recibo por honorarios "&amp;Registro_Compras!$C$49&amp;" de "&amp;Registro_Compras!$E$49&amp;" [PATRON POR CONFIRMAR CON CONTADOR]","Por el registro de la factura "&amp;Registro_Compras!$C$49&amp;" de "&amp;Registro_Compras!$E$49)))</f>
        <v>Por el registro de la factura E001-328 de LUXURY ADVENTURE CUSCO PERU E.I.R.L.</v>
      </c>
      <c r="H412" t="str">
        <f>IF($C412="","",Registro_Compras!$C$49)</f>
        <v>E001-328</v>
      </c>
    </row>
    <row r="413" spans="1:8" x14ac:dyDescent="0.25">
      <c r="A413" s="25">
        <f>IF($C413="","",Registro_Compras!$B$49)</f>
        <v>46240</v>
      </c>
      <c r="B413" t="str">
        <f>IF($C413="","","C"&amp;TEXT(INT((ROW()-5)/9)+1,"000")&amp;"-2")</f>
        <v>C046-2</v>
      </c>
      <c r="C413" t="str">
        <f>IF(OR(Registro_Compras!$C$49="",Registro_Compras!$O$49=""),"",IF(Registro_Compras!$AB$49="ADMINISTRATIVO","94","95"))</f>
        <v>95</v>
      </c>
      <c r="D413" t="str">
        <f>IF(OR(Registro_Compras!$C$49="",Registro_Compras!$O$49=""),"",IF(Registro_Compras!$AB$49="ADMINISTRATIVO","Gastos Administrativos","Gastos de Venta y Operacion"))</f>
        <v>Gastos de Venta y Operacion</v>
      </c>
      <c r="E413" s="20">
        <f>IF($C413="","",IF(Registro_Compras!$F$49="NOTA DE CREDITO","",IF(Registro_Compras!$F$49="RHE",ROUND(Registro_Compras!$L$49*Registro_Compras!$N$49,2),ROUND(Registro_Compras!$J$49*Registro_Compras!$N$49,2))))</f>
        <v>453.03</v>
      </c>
      <c r="F413" s="20" t="str">
        <f>IF($C413="","",IF(Registro_Compras!$F$49="NOTA DE CREDITO",ROUND(ABS(Registro_Compras!$J$49*Registro_Compras!$N$49),2),""))</f>
        <v/>
      </c>
      <c r="G413" t="str">
        <f>IF($C413="","","Por el destino del gasto")</f>
        <v>Por el destino del gasto</v>
      </c>
      <c r="H413" t="str">
        <f>IF($C413="","",Registro_Compras!$C$49)</f>
        <v>E001-328</v>
      </c>
    </row>
    <row r="414" spans="1:8" x14ac:dyDescent="0.25">
      <c r="A414" s="25">
        <f>IF($C414="","",Registro_Compras!$B$49)</f>
        <v>46240</v>
      </c>
      <c r="B414" t="str">
        <f>IF($C414="","","C"&amp;TEXT(INT((ROW()-5)/9)+1,"000")&amp;"-2")</f>
        <v>C046-2</v>
      </c>
      <c r="C414" t="str">
        <f>IF(OR(Registro_Compras!$C$49="",Registro_Compras!$O$49=""),"","79/791")</f>
        <v>79/791</v>
      </c>
      <c r="D414" t="str">
        <f>IF(OR(Registro_Compras!$C$49="",Registro_Compras!$O$49=""),"","Cargas Imputables a Cuentas de Costos y Gastos")</f>
        <v>Cargas Imputables a Cuentas de Costos y Gastos</v>
      </c>
      <c r="E414" s="20" t="str">
        <f>IF($C414="","",IF(Registro_Compras!$F$49="NOTA DE CREDITO",ROUND(ABS(Registro_Compras!$J$49*Registro_Compras!$N$49),2),""))</f>
        <v/>
      </c>
      <c r="F414" s="20">
        <f>IF($C414="","",IF(Registro_Compras!$F$49="NOTA DE CREDITO","",IF(Registro_Compras!$F$49="RHE",ROUND(Registro_Compras!$L$49*Registro_Compras!$N$49,2),ROUND(Registro_Compras!$J$49*Registro_Compras!$N$49,2))))</f>
        <v>453.03</v>
      </c>
      <c r="G414" t="str">
        <f>IF($C414="","","Por el destino del gasto")</f>
        <v>Por el destino del gasto</v>
      </c>
      <c r="H414" t="str">
        <f>IF($C414="","",Registro_Compras!$C$49)</f>
        <v>E001-328</v>
      </c>
    </row>
    <row r="415" spans="1:8" x14ac:dyDescent="0.25">
      <c r="A415" s="25" t="str">
        <f>IF($C415="","",Registro_Compras!$X$49)</f>
        <v/>
      </c>
      <c r="B415" t="str">
        <f>IF($C415="","","C"&amp;TEXT(INT((ROW()-5)/9)+1,"000")&amp;"-3")</f>
        <v/>
      </c>
      <c r="C415" t="str">
        <f>IF(OR(Registro_Compras!$C$49="",Registro_Compras!$O$49="",Registro_Compras!$R$49&lt;&gt;"SI",Registro_Compras!$X$49=""),"","4212")</f>
        <v/>
      </c>
      <c r="D415" t="str">
        <f>IF(OR(Registro_Compras!$C$49="",Registro_Compras!$O$49=""),"","Cuentas por Pagar Comerciales - Terceros")</f>
        <v>Cuentas por Pagar Comerciales - Terceros</v>
      </c>
      <c r="E415" s="20" t="str">
        <f>IF($C415="","",Registro_Compras!$S$49)</f>
        <v/>
      </c>
      <c r="F415" s="20" t="str">
        <f>""</f>
        <v/>
      </c>
      <c r="G415" t="str">
        <f>IF($C415="","","Por el deposito de la detraccion en el Banco de la Nacion")</f>
        <v/>
      </c>
      <c r="H415" t="str">
        <f>IF($C415="","",Registro_Compras!$C$49)</f>
        <v/>
      </c>
    </row>
    <row r="416" spans="1:8" x14ac:dyDescent="0.25">
      <c r="A416" s="25" t="str">
        <f>IF($C416="","",Registro_Compras!$X$49)</f>
        <v/>
      </c>
      <c r="B416" t="str">
        <f>IF($C416="","","C"&amp;TEXT(INT((ROW()-5)/9)+1,"000")&amp;"-3")</f>
        <v/>
      </c>
      <c r="C416" t="str">
        <f>IF(OR(Registro_Compras!$C$49="",Registro_Compras!$O$49="",Registro_Compras!$R$49&lt;&gt;"SI",Registro_Compras!$X$49=""),"","1041")</f>
        <v/>
      </c>
      <c r="D416" t="str">
        <f>IF(OR(Registro_Compras!$C$49="",Registro_Compras!$O$49=""),"","Efectivo y Equivalentes - Cta. Cte. Operativa")</f>
        <v>Efectivo y Equivalentes - Cta. Cte. Operativa</v>
      </c>
      <c r="E416" s="20" t="str">
        <f>""</f>
        <v/>
      </c>
      <c r="F416" s="20" t="str">
        <f>IF($C416="","",Registro_Compras!$S$49)</f>
        <v/>
      </c>
      <c r="G416" t="str">
        <f>IF($C416="","","Por el deposito de la detraccion en el Banco de la Nacion")</f>
        <v/>
      </c>
      <c r="H416" t="str">
        <f>IF($C416="","",Registro_Compras!$C$49)</f>
        <v/>
      </c>
    </row>
    <row r="417" spans="1:8" x14ac:dyDescent="0.25">
      <c r="A417" s="25" t="str">
        <f>IF($C417="","",Registro_Compras!$Y$49)</f>
        <v/>
      </c>
      <c r="B417" t="str">
        <f>IF($C417="","","C"&amp;TEXT(INT((ROW()-5)/9)+1,"000")&amp;"-4")</f>
        <v/>
      </c>
      <c r="C417" t="str">
        <f>IF(OR(Registro_Compras!$C$49="",Registro_Compras!$O$49="",Registro_Compras!$Y$49="",Registro_Compras!$F$49="NOTA DE CREDITO"),"","4212")</f>
        <v/>
      </c>
      <c r="D417" t="str">
        <f>IF(OR(Registro_Compras!$C$49="",Registro_Compras!$O$49=""),"","Cuentas por Pagar Comerciales - Terceros")</f>
        <v>Cuentas por Pagar Comerciales - Terceros</v>
      </c>
      <c r="E417" s="20" t="str">
        <f>IF($C417="","",IF(Registro_Compras!$F$49="RHE",(ROUND(Registro_Compras!$L$49*Registro_Compras!$N$49,2)-ROUND(Registro_Compras!$V$49*Registro_Compras!$N$49,2)),ROUND(Registro_Compras!$O$49-Registro_Compras!$S$49,2)))</f>
        <v/>
      </c>
      <c r="F417" s="20" t="str">
        <f>""</f>
        <v/>
      </c>
      <c r="G417" t="str">
        <f>IF($C417="","","Por la cancelacion del saldo al proveedor")</f>
        <v/>
      </c>
      <c r="H417" t="str">
        <f>IF($C417="","",Registro_Compras!$C$49)</f>
        <v/>
      </c>
    </row>
    <row r="418" spans="1:8" x14ac:dyDescent="0.25">
      <c r="A418" s="25" t="str">
        <f>IF($C418="","",Registro_Compras!$Y$49)</f>
        <v/>
      </c>
      <c r="B418" t="str">
        <f>IF($C418="","","C"&amp;TEXT(INT((ROW()-5)/9)+1,"000")&amp;"-4")</f>
        <v/>
      </c>
      <c r="C418" t="str">
        <f>IF(OR(Registro_Compras!$C$49="",Registro_Compras!$O$49="",Registro_Compras!$Y$49="",Registro_Compras!$F$49="NOTA DE CREDITO"),"","1041")</f>
        <v/>
      </c>
      <c r="D418" t="str">
        <f>IF(OR(Registro_Compras!$C$49="",Registro_Compras!$O$49=""),"","Efectivo y Equivalentes - Cta. Cte. Operativa")</f>
        <v>Efectivo y Equivalentes - Cta. Cte. Operativa</v>
      </c>
      <c r="E418" s="20" t="str">
        <f>""</f>
        <v/>
      </c>
      <c r="F418" s="20" t="str">
        <f>IF($C418="","",IF(Registro_Compras!$F$49="RHE",(ROUND(Registro_Compras!$L$49*Registro_Compras!$N$49,2)-ROUND(Registro_Compras!$V$49*Registro_Compras!$N$49,2)),ROUND(Registro_Compras!$O$49-Registro_Compras!$S$49,2)))</f>
        <v/>
      </c>
      <c r="G418" t="str">
        <f>IF($C418="","","Por la cancelacion del saldo al proveedor")</f>
        <v/>
      </c>
      <c r="H418" t="str">
        <f>IF($C418="","",Registro_Compras!$C$49)</f>
        <v/>
      </c>
    </row>
    <row r="419" spans="1:8" x14ac:dyDescent="0.25">
      <c r="A419" s="25">
        <f>IF($C419="","",Registro_Compras!$B$50)</f>
        <v>46240</v>
      </c>
      <c r="B419" t="str">
        <f>IF($C419="","","C"&amp;TEXT(INT((ROW()-5)/9)+1,"000")&amp;"-1")</f>
        <v>C047-1</v>
      </c>
      <c r="C419" t="str">
        <f>IF(OR(Registro_Compras!$C$50="",Registro_Compras!$O$50=""),"",IF(Registro_Compras!$F$50="NOTA DE CREDITO","4212",IF(Registro_Compras!$M$50="","63",Registro_Compras!$M$50)))</f>
        <v>639</v>
      </c>
      <c r="D419" t="str">
        <f>IF(OR(Registro_Compras!$C$50="",Registro_Compras!$O$50=""),"",IF(Registro_Compras!$F$50="NOTA DE CREDITO","Cuentas por Pagar Comerciales - Terceros (Emitidas)",IF(Registro_Compras!$F$50="RHE","Honorarios Profesionales - Servicios de Terceros","Gastos de Servicios Prestados por Terceros")))</f>
        <v>Gastos de Servicios Prestados por Terceros</v>
      </c>
      <c r="E419" s="20">
        <f>IF($C419="","",IF(Registro_Compras!$F$50="NOTA DE CREDITO",ABS(Registro_Compras!$O$50),IF(Registro_Compras!$F$50="RHE",ROUND(Registro_Compras!$L$50*Registro_Compras!$N$50,2),ROUND(Registro_Compras!$J$50*Registro_Compras!$N$50,2))))</f>
        <v>352.33</v>
      </c>
      <c r="F419" s="20" t="str">
        <f>""</f>
        <v/>
      </c>
      <c r="G419" t="str">
        <f>IF($C419="","",IF(Registro_Compras!$F$50="NOTA DE CREDITO","Por la nota de credito "&amp;Registro_Compras!$C$50&amp;" de "&amp;Registro_Compras!$E$50&amp;" [PATRON POR CONFIRMAR CON CONTADOR]",IF(Registro_Compras!$F$50="RHE","Por el registro del recibo por honorarios "&amp;Registro_Compras!$C$50&amp;" de "&amp;Registro_Compras!$E$50&amp;" [PATRON POR CONFIRMAR CON CONTADOR]","Por el registro de la factura "&amp;Registro_Compras!$C$50&amp;" de "&amp;Registro_Compras!$E$50)))</f>
        <v>Por el registro de la factura E001-333 de LUXURY ADVENTURE CUSCO PERU E.I.R.L.</v>
      </c>
      <c r="H419" t="str">
        <f>IF($C419="","",Registro_Compras!$C$50)</f>
        <v>E001-333</v>
      </c>
    </row>
    <row r="420" spans="1:8" x14ac:dyDescent="0.25">
      <c r="A420" s="25">
        <f>IF($C420="","",Registro_Compras!$B$50)</f>
        <v>46240</v>
      </c>
      <c r="B420" t="str">
        <f>IF($C420="","","C"&amp;TEXT(INT((ROW()-5)/9)+1,"000")&amp;"-1")</f>
        <v>C047-1</v>
      </c>
      <c r="C420" t="str">
        <f>IF(OR(Registro_Compras!$C$50="",Registro_Compras!$O$50=""),"",IF(Registro_Compras!$F$50="RHE",IF(Registro_Compras!$V$50=0,"","4017"),IF(Registro_Compras!$F$50="NOTA DE CREDITO",IF(Registro_Compras!$M$50="","63",Registro_Compras!$M$50),IF(Registro_Compras!$K$50=0,"","40111"))))</f>
        <v>40111</v>
      </c>
      <c r="D420" t="str">
        <f>IF(OR(Registro_Compras!$C$50="",Registro_Compras!$O$50=""),"",IF(Registro_Compras!$F$50="RHE","Retencion Renta 4ta Categoria por Pagar",IF(Registro_Compras!$F$50="NOTA DE CREDITO","Gastos de Servicios Prestados por Terceros","IGV - Cuenta Propia (Credito Fiscal)")))</f>
        <v>IGV - Cuenta Propia (Credito Fiscal)</v>
      </c>
      <c r="E420" s="20">
        <f>IF($C420="","",IF(Registro_Compras!$F$50="FACTURA",ROUND(Registro_Compras!$K$50*Registro_Compras!$N$50,2),""))</f>
        <v>63.43</v>
      </c>
      <c r="F420" s="20" t="str">
        <f>IF($C420="","",IF(Registro_Compras!$F$50="RHE",ROUND(Registro_Compras!$V$50*Registro_Compras!$N$50,2),IF(Registro_Compras!$F$50="NOTA DE CREDITO",ROUND(ABS(Registro_Compras!$J$50*Registro_Compras!$N$50),2),"")))</f>
        <v/>
      </c>
      <c r="G420" t="str">
        <f>IF($C420="","",IF(Registro_Compras!$F$50="NOTA DE CREDITO","Por la nota de credito "&amp;Registro_Compras!$C$50&amp;" de "&amp;Registro_Compras!$E$50&amp;" [PATRON POR CONFIRMAR CON CONTADOR]",IF(Registro_Compras!$F$50="RHE","Por el registro del recibo por honorarios "&amp;Registro_Compras!$C$50&amp;" de "&amp;Registro_Compras!$E$50&amp;" [PATRON POR CONFIRMAR CON CONTADOR]","Por el registro de la factura "&amp;Registro_Compras!$C$50&amp;" de "&amp;Registro_Compras!$E$50)))</f>
        <v>Por el registro de la factura E001-333 de LUXURY ADVENTURE CUSCO PERU E.I.R.L.</v>
      </c>
      <c r="H420" t="str">
        <f>IF($C420="","",Registro_Compras!$C$50)</f>
        <v>E001-333</v>
      </c>
    </row>
    <row r="421" spans="1:8" x14ac:dyDescent="0.25">
      <c r="A421" s="25">
        <f>IF($C421="","",Registro_Compras!$B$50)</f>
        <v>46240</v>
      </c>
      <c r="B421" t="str">
        <f>IF($C421="","","C"&amp;TEXT(INT((ROW()-5)/9)+1,"000")&amp;"-1")</f>
        <v>C047-1</v>
      </c>
      <c r="C421" t="str">
        <f>IF(OR(Registro_Compras!$C$50="",Registro_Compras!$O$50=""),"",IF(Registro_Compras!$F$50="NOTA DE CREDITO",IF(Registro_Compras!$K$50=0,"","40111"),"4212"))</f>
        <v>4212</v>
      </c>
      <c r="D421" t="str">
        <f>IF(OR(Registro_Compras!$C$50="",Registro_Compras!$O$50=""),"",IF(Registro_Compras!$F$50="NOTA DE CREDITO","IGV - Cuenta Propia (Credito Fiscal)","Cuentas por Pagar Comerciales - Terceros (Emitidas)"))</f>
        <v>Cuentas por Pagar Comerciales - Terceros (Emitidas)</v>
      </c>
      <c r="E421" s="20" t="str">
        <f>""</f>
        <v/>
      </c>
      <c r="F421" s="20">
        <f>IF($C421="","",IF(Registro_Compras!$F$50="NOTA DE CREDITO",ROUND(ABS(Registro_Compras!$K$50*Registro_Compras!$N$50),2),IF(Registro_Compras!$F$50="RHE",(ROUND(Registro_Compras!$L$50*Registro_Compras!$N$50,2)-ROUND(Registro_Compras!$V$50*Registro_Compras!$N$50,2)),Registro_Compras!$O$50)))</f>
        <v>415.76</v>
      </c>
      <c r="G421" t="str">
        <f>IF($C421="","",IF(Registro_Compras!$F$50="NOTA DE CREDITO","Por la nota de credito "&amp;Registro_Compras!$C$50&amp;" de "&amp;Registro_Compras!$E$50&amp;" [PATRON POR CONFIRMAR CON CONTADOR]",IF(Registro_Compras!$F$50="RHE","Por el registro del recibo por honorarios "&amp;Registro_Compras!$C$50&amp;" de "&amp;Registro_Compras!$E$50&amp;" [PATRON POR CONFIRMAR CON CONTADOR]","Por el registro de la factura "&amp;Registro_Compras!$C$50&amp;" de "&amp;Registro_Compras!$E$50)))</f>
        <v>Por el registro de la factura E001-333 de LUXURY ADVENTURE CUSCO PERU E.I.R.L.</v>
      </c>
      <c r="H421" t="str">
        <f>IF($C421="","",Registro_Compras!$C$50)</f>
        <v>E001-333</v>
      </c>
    </row>
    <row r="422" spans="1:8" x14ac:dyDescent="0.25">
      <c r="A422" s="25">
        <f>IF($C422="","",Registro_Compras!$B$50)</f>
        <v>46240</v>
      </c>
      <c r="B422" t="str">
        <f>IF($C422="","","C"&amp;TEXT(INT((ROW()-5)/9)+1,"000")&amp;"-2")</f>
        <v>C047-2</v>
      </c>
      <c r="C422" t="str">
        <f>IF(OR(Registro_Compras!$C$50="",Registro_Compras!$O$50=""),"",IF(Registro_Compras!$AB$50="ADMINISTRATIVO","94","95"))</f>
        <v>95</v>
      </c>
      <c r="D422" t="str">
        <f>IF(OR(Registro_Compras!$C$50="",Registro_Compras!$O$50=""),"",IF(Registro_Compras!$AB$50="ADMINISTRATIVO","Gastos Administrativos","Gastos de Venta y Operacion"))</f>
        <v>Gastos de Venta y Operacion</v>
      </c>
      <c r="E422" s="20">
        <f>IF($C422="","",IF(Registro_Compras!$F$50="NOTA DE CREDITO","",IF(Registro_Compras!$F$50="RHE",ROUND(Registro_Compras!$L$50*Registro_Compras!$N$50,2),ROUND(Registro_Compras!$J$50*Registro_Compras!$N$50,2))))</f>
        <v>352.33</v>
      </c>
      <c r="F422" s="20" t="str">
        <f>IF($C422="","",IF(Registro_Compras!$F$50="NOTA DE CREDITO",ROUND(ABS(Registro_Compras!$J$50*Registro_Compras!$N$50),2),""))</f>
        <v/>
      </c>
      <c r="G422" t="str">
        <f>IF($C422="","","Por el destino del gasto")</f>
        <v>Por el destino del gasto</v>
      </c>
      <c r="H422" t="str">
        <f>IF($C422="","",Registro_Compras!$C$50)</f>
        <v>E001-333</v>
      </c>
    </row>
    <row r="423" spans="1:8" x14ac:dyDescent="0.25">
      <c r="A423" s="25">
        <f>IF($C423="","",Registro_Compras!$B$50)</f>
        <v>46240</v>
      </c>
      <c r="B423" t="str">
        <f>IF($C423="","","C"&amp;TEXT(INT((ROW()-5)/9)+1,"000")&amp;"-2")</f>
        <v>C047-2</v>
      </c>
      <c r="C423" t="str">
        <f>IF(OR(Registro_Compras!$C$50="",Registro_Compras!$O$50=""),"","79/791")</f>
        <v>79/791</v>
      </c>
      <c r="D423" t="str">
        <f>IF(OR(Registro_Compras!$C$50="",Registro_Compras!$O$50=""),"","Cargas Imputables a Cuentas de Costos y Gastos")</f>
        <v>Cargas Imputables a Cuentas de Costos y Gastos</v>
      </c>
      <c r="E423" s="20" t="str">
        <f>IF($C423="","",IF(Registro_Compras!$F$50="NOTA DE CREDITO",ROUND(ABS(Registro_Compras!$J$50*Registro_Compras!$N$50),2),""))</f>
        <v/>
      </c>
      <c r="F423" s="20">
        <f>IF($C423="","",IF(Registro_Compras!$F$50="NOTA DE CREDITO","",IF(Registro_Compras!$F$50="RHE",ROUND(Registro_Compras!$L$50*Registro_Compras!$N$50,2),ROUND(Registro_Compras!$J$50*Registro_Compras!$N$50,2))))</f>
        <v>352.33</v>
      </c>
      <c r="G423" t="str">
        <f>IF($C423="","","Por el destino del gasto")</f>
        <v>Por el destino del gasto</v>
      </c>
      <c r="H423" t="str">
        <f>IF($C423="","",Registro_Compras!$C$50)</f>
        <v>E001-333</v>
      </c>
    </row>
    <row r="424" spans="1:8" x14ac:dyDescent="0.25">
      <c r="A424" s="25" t="str">
        <f>IF($C424="","",Registro_Compras!$X$50)</f>
        <v/>
      </c>
      <c r="B424" t="str">
        <f>IF($C424="","","C"&amp;TEXT(INT((ROW()-5)/9)+1,"000")&amp;"-3")</f>
        <v/>
      </c>
      <c r="C424" t="str">
        <f>IF(OR(Registro_Compras!$C$50="",Registro_Compras!$O$50="",Registro_Compras!$R$50&lt;&gt;"SI",Registro_Compras!$X$50=""),"","4212")</f>
        <v/>
      </c>
      <c r="D424" t="str">
        <f>IF(OR(Registro_Compras!$C$50="",Registro_Compras!$O$50=""),"","Cuentas por Pagar Comerciales - Terceros")</f>
        <v>Cuentas por Pagar Comerciales - Terceros</v>
      </c>
      <c r="E424" s="20" t="str">
        <f>IF($C424="","",Registro_Compras!$S$50)</f>
        <v/>
      </c>
      <c r="F424" s="20" t="str">
        <f>""</f>
        <v/>
      </c>
      <c r="G424" t="str">
        <f>IF($C424="","","Por el deposito de la detraccion en el Banco de la Nacion")</f>
        <v/>
      </c>
      <c r="H424" t="str">
        <f>IF($C424="","",Registro_Compras!$C$50)</f>
        <v/>
      </c>
    </row>
    <row r="425" spans="1:8" x14ac:dyDescent="0.25">
      <c r="A425" s="25" t="str">
        <f>IF($C425="","",Registro_Compras!$X$50)</f>
        <v/>
      </c>
      <c r="B425" t="str">
        <f>IF($C425="","","C"&amp;TEXT(INT((ROW()-5)/9)+1,"000")&amp;"-3")</f>
        <v/>
      </c>
      <c r="C425" t="str">
        <f>IF(OR(Registro_Compras!$C$50="",Registro_Compras!$O$50="",Registro_Compras!$R$50&lt;&gt;"SI",Registro_Compras!$X$50=""),"","1041")</f>
        <v/>
      </c>
      <c r="D425" t="str">
        <f>IF(OR(Registro_Compras!$C$50="",Registro_Compras!$O$50=""),"","Efectivo y Equivalentes - Cta. Cte. Operativa")</f>
        <v>Efectivo y Equivalentes - Cta. Cte. Operativa</v>
      </c>
      <c r="E425" s="20" t="str">
        <f>""</f>
        <v/>
      </c>
      <c r="F425" s="20" t="str">
        <f>IF($C425="","",Registro_Compras!$S$50)</f>
        <v/>
      </c>
      <c r="G425" t="str">
        <f>IF($C425="","","Por el deposito de la detraccion en el Banco de la Nacion")</f>
        <v/>
      </c>
      <c r="H425" t="str">
        <f>IF($C425="","",Registro_Compras!$C$50)</f>
        <v/>
      </c>
    </row>
    <row r="426" spans="1:8" x14ac:dyDescent="0.25">
      <c r="A426" s="25" t="str">
        <f>IF($C426="","",Registro_Compras!$Y$50)</f>
        <v/>
      </c>
      <c r="B426" t="str">
        <f>IF($C426="","","C"&amp;TEXT(INT((ROW()-5)/9)+1,"000")&amp;"-4")</f>
        <v/>
      </c>
      <c r="C426" t="str">
        <f>IF(OR(Registro_Compras!$C$50="",Registro_Compras!$O$50="",Registro_Compras!$Y$50="",Registro_Compras!$F$50="NOTA DE CREDITO"),"","4212")</f>
        <v/>
      </c>
      <c r="D426" t="str">
        <f>IF(OR(Registro_Compras!$C$50="",Registro_Compras!$O$50=""),"","Cuentas por Pagar Comerciales - Terceros")</f>
        <v>Cuentas por Pagar Comerciales - Terceros</v>
      </c>
      <c r="E426" s="20" t="str">
        <f>IF($C426="","",IF(Registro_Compras!$F$50="RHE",(ROUND(Registro_Compras!$L$50*Registro_Compras!$N$50,2)-ROUND(Registro_Compras!$V$50*Registro_Compras!$N$50,2)),ROUND(Registro_Compras!$O$50-Registro_Compras!$S$50,2)))</f>
        <v/>
      </c>
      <c r="F426" s="20" t="str">
        <f>""</f>
        <v/>
      </c>
      <c r="G426" t="str">
        <f>IF($C426="","","Por la cancelacion del saldo al proveedor")</f>
        <v/>
      </c>
      <c r="H426" t="str">
        <f>IF($C426="","",Registro_Compras!$C$50)</f>
        <v/>
      </c>
    </row>
    <row r="427" spans="1:8" x14ac:dyDescent="0.25">
      <c r="A427" s="25" t="str">
        <f>IF($C427="","",Registro_Compras!$Y$50)</f>
        <v/>
      </c>
      <c r="B427" t="str">
        <f>IF($C427="","","C"&amp;TEXT(INT((ROW()-5)/9)+1,"000")&amp;"-4")</f>
        <v/>
      </c>
      <c r="C427" t="str">
        <f>IF(OR(Registro_Compras!$C$50="",Registro_Compras!$O$50="",Registro_Compras!$Y$50="",Registro_Compras!$F$50="NOTA DE CREDITO"),"","1041")</f>
        <v/>
      </c>
      <c r="D427" t="str">
        <f>IF(OR(Registro_Compras!$C$50="",Registro_Compras!$O$50=""),"","Efectivo y Equivalentes - Cta. Cte. Operativa")</f>
        <v>Efectivo y Equivalentes - Cta. Cte. Operativa</v>
      </c>
      <c r="E427" s="20" t="str">
        <f>""</f>
        <v/>
      </c>
      <c r="F427" s="20" t="str">
        <f>IF($C427="","",IF(Registro_Compras!$F$50="RHE",(ROUND(Registro_Compras!$L$50*Registro_Compras!$N$50,2)-ROUND(Registro_Compras!$V$50*Registro_Compras!$N$50,2)),ROUND(Registro_Compras!$O$50-Registro_Compras!$S$50,2)))</f>
        <v/>
      </c>
      <c r="G427" t="str">
        <f>IF($C427="","","Por la cancelacion del saldo al proveedor")</f>
        <v/>
      </c>
      <c r="H427" t="str">
        <f>IF($C427="","",Registro_Compras!$C$50)</f>
        <v/>
      </c>
    </row>
    <row r="428" spans="1:8" x14ac:dyDescent="0.25">
      <c r="A428" s="25">
        <f>IF($C428="","",Registro_Compras!$B$51)</f>
        <v>46239</v>
      </c>
      <c r="B428" t="str">
        <f>IF($C428="","","C"&amp;TEXT(INT((ROW()-5)/9)+1,"000")&amp;"-1")</f>
        <v>C048-1</v>
      </c>
      <c r="C428" t="str">
        <f>IF(OR(Registro_Compras!$C$51="",Registro_Compras!$O$51=""),"",IF(Registro_Compras!$F$51="NOTA DE CREDITO","4212",IF(Registro_Compras!$M$51="","63",Registro_Compras!$M$51)))</f>
        <v>632</v>
      </c>
      <c r="D428" t="str">
        <f>IF(OR(Registro_Compras!$C$51="",Registro_Compras!$O$51=""),"",IF(Registro_Compras!$F$51="NOTA DE CREDITO","Cuentas por Pagar Comerciales - Terceros (Emitidas)",IF(Registro_Compras!$F$51="RHE","Honorarios Profesionales - Servicios de Terceros","Gastos de Servicios Prestados por Terceros")))</f>
        <v>Honorarios Profesionales - Servicios de Terceros</v>
      </c>
      <c r="E428" s="20">
        <f>IF($C428="","",IF(Registro_Compras!$F$51="NOTA DE CREDITO",ABS(Registro_Compras!$O$51),IF(Registro_Compras!$F$51="RHE",ROUND(Registro_Compras!$L$51*Registro_Compras!$N$51,2),ROUND(Registro_Compras!$J$51*Registro_Compras!$N$51,2))))</f>
        <v>1575</v>
      </c>
      <c r="F428" s="20" t="str">
        <f>""</f>
        <v/>
      </c>
      <c r="G428" t="str">
        <f>IF($C428="","",IF(Registro_Compras!$F$51="NOTA DE CREDITO","Por la nota de credito "&amp;Registro_Compras!$C$51&amp;" de "&amp;Registro_Compras!$E$51&amp;" [PATRON POR CONFIRMAR CON CONTADOR]",IF(Registro_Compras!$F$51="RHE","Por el registro del recibo por honorarios "&amp;Registro_Compras!$C$51&amp;" de "&amp;Registro_Compras!$E$51&amp;" [PATRON POR CONFIRMAR CON CONTADOR]","Por el registro de la factura "&amp;Registro_Compras!$C$51&amp;" de "&amp;Registro_Compras!$E$51)))</f>
        <v>Por el registro del recibo por honorarios E001 - 109 de ALCAZAR GONZALES ERNESTO ANDRES [PATRON POR CONFIRMAR CON CONTADOR]</v>
      </c>
      <c r="H428" t="str">
        <f>IF($C428="","",Registro_Compras!$C$51)</f>
        <v>E001 - 109</v>
      </c>
    </row>
    <row r="429" spans="1:8" x14ac:dyDescent="0.25">
      <c r="A429" s="25" t="str">
        <f>IF($C429="","",Registro_Compras!$B$51)</f>
        <v/>
      </c>
      <c r="B429" t="str">
        <f>IF($C429="","","C"&amp;TEXT(INT((ROW()-5)/9)+1,"000")&amp;"-1")</f>
        <v/>
      </c>
      <c r="C429" t="str">
        <f>IF(OR(Registro_Compras!$C$51="",Registro_Compras!$O$51=""),"",IF(Registro_Compras!$F$51="RHE",IF(Registro_Compras!$V$51=0,"","4017"),IF(Registro_Compras!$F$51="NOTA DE CREDITO",IF(Registro_Compras!$M$51="","63",Registro_Compras!$M$51),IF(Registro_Compras!$K$51=0,"","40111"))))</f>
        <v/>
      </c>
      <c r="D429" t="str">
        <f>IF(OR(Registro_Compras!$C$51="",Registro_Compras!$O$51=""),"",IF(Registro_Compras!$F$51="RHE","Retencion Renta 4ta Categoria por Pagar",IF(Registro_Compras!$F$51="NOTA DE CREDITO","Gastos de Servicios Prestados por Terceros","IGV - Cuenta Propia (Credito Fiscal)")))</f>
        <v>Retencion Renta 4ta Categoria por Pagar</v>
      </c>
      <c r="E429" s="20" t="str">
        <f>IF($C429="","",IF(Registro_Compras!$F$51="FACTURA",ROUND(Registro_Compras!$K$51*Registro_Compras!$N$51,2),""))</f>
        <v/>
      </c>
      <c r="F429" s="20" t="str">
        <f>IF($C429="","",IF(Registro_Compras!$F$51="RHE",ROUND(Registro_Compras!$V$51*Registro_Compras!$N$51,2),IF(Registro_Compras!$F$51="NOTA DE CREDITO",ROUND(ABS(Registro_Compras!$J$51*Registro_Compras!$N$51),2),"")))</f>
        <v/>
      </c>
      <c r="G429" t="str">
        <f>IF($C429="","",IF(Registro_Compras!$F$51="NOTA DE CREDITO","Por la nota de credito "&amp;Registro_Compras!$C$51&amp;" de "&amp;Registro_Compras!$E$51&amp;" [PATRON POR CONFIRMAR CON CONTADOR]",IF(Registro_Compras!$F$51="RHE","Por el registro del recibo por honorarios "&amp;Registro_Compras!$C$51&amp;" de "&amp;Registro_Compras!$E$51&amp;" [PATRON POR CONFIRMAR CON CONTADOR]","Por el registro de la factura "&amp;Registro_Compras!$C$51&amp;" de "&amp;Registro_Compras!$E$51)))</f>
        <v/>
      </c>
      <c r="H429" t="str">
        <f>IF($C429="","",Registro_Compras!$C$51)</f>
        <v/>
      </c>
    </row>
    <row r="430" spans="1:8" x14ac:dyDescent="0.25">
      <c r="A430" s="25">
        <f>IF($C430="","",Registro_Compras!$B$51)</f>
        <v>46239</v>
      </c>
      <c r="B430" t="str">
        <f>IF($C430="","","C"&amp;TEXT(INT((ROW()-5)/9)+1,"000")&amp;"-1")</f>
        <v>C048-1</v>
      </c>
      <c r="C430" t="str">
        <f>IF(OR(Registro_Compras!$C$51="",Registro_Compras!$O$51=""),"",IF(Registro_Compras!$F$51="NOTA DE CREDITO",IF(Registro_Compras!$K$51=0,"","40111"),"4212"))</f>
        <v>4212</v>
      </c>
      <c r="D430" t="str">
        <f>IF(OR(Registro_Compras!$C$51="",Registro_Compras!$O$51=""),"",IF(Registro_Compras!$F$51="NOTA DE CREDITO","IGV - Cuenta Propia (Credito Fiscal)","Cuentas por Pagar Comerciales - Terceros (Emitidas)"))</f>
        <v>Cuentas por Pagar Comerciales - Terceros (Emitidas)</v>
      </c>
      <c r="E430" s="20" t="str">
        <f>""</f>
        <v/>
      </c>
      <c r="F430" s="20">
        <f>IF($C430="","",IF(Registro_Compras!$F$51="NOTA DE CREDITO",ROUND(ABS(Registro_Compras!$K$51*Registro_Compras!$N$51),2),IF(Registro_Compras!$F$51="RHE",(ROUND(Registro_Compras!$L$51*Registro_Compras!$N$51,2)-ROUND(Registro_Compras!$V$51*Registro_Compras!$N$51,2)),Registro_Compras!$O$51)))</f>
        <v>1575</v>
      </c>
      <c r="G430" t="str">
        <f>IF($C430="","",IF(Registro_Compras!$F$51="NOTA DE CREDITO","Por la nota de credito "&amp;Registro_Compras!$C$51&amp;" de "&amp;Registro_Compras!$E$51&amp;" [PATRON POR CONFIRMAR CON CONTADOR]",IF(Registro_Compras!$F$51="RHE","Por el registro del recibo por honorarios "&amp;Registro_Compras!$C$51&amp;" de "&amp;Registro_Compras!$E$51&amp;" [PATRON POR CONFIRMAR CON CONTADOR]","Por el registro de la factura "&amp;Registro_Compras!$C$51&amp;" de "&amp;Registro_Compras!$E$51)))</f>
        <v>Por el registro del recibo por honorarios E001 - 109 de ALCAZAR GONZALES ERNESTO ANDRES [PATRON POR CONFIRMAR CON CONTADOR]</v>
      </c>
      <c r="H430" t="str">
        <f>IF($C430="","",Registro_Compras!$C$51)</f>
        <v>E001 - 109</v>
      </c>
    </row>
    <row r="431" spans="1:8" x14ac:dyDescent="0.25">
      <c r="A431" s="25">
        <f>IF($C431="","",Registro_Compras!$B$51)</f>
        <v>46239</v>
      </c>
      <c r="B431" t="str">
        <f>IF($C431="","","C"&amp;TEXT(INT((ROW()-5)/9)+1,"000")&amp;"-2")</f>
        <v>C048-2</v>
      </c>
      <c r="C431" t="str">
        <f>IF(OR(Registro_Compras!$C$51="",Registro_Compras!$O$51=""),"",IF(Registro_Compras!$AB$51="ADMINISTRATIVO","94","95"))</f>
        <v>95</v>
      </c>
      <c r="D431" t="str">
        <f>IF(OR(Registro_Compras!$C$51="",Registro_Compras!$O$51=""),"",IF(Registro_Compras!$AB$51="ADMINISTRATIVO","Gastos Administrativos","Gastos de Venta y Operacion"))</f>
        <v>Gastos de Venta y Operacion</v>
      </c>
      <c r="E431" s="20">
        <f>IF($C431="","",IF(Registro_Compras!$F$51="NOTA DE CREDITO","",IF(Registro_Compras!$F$51="RHE",ROUND(Registro_Compras!$L$51*Registro_Compras!$N$51,2),ROUND(Registro_Compras!$J$51*Registro_Compras!$N$51,2))))</f>
        <v>1575</v>
      </c>
      <c r="F431" s="20" t="str">
        <f>IF($C431="","",IF(Registro_Compras!$F$51="NOTA DE CREDITO",ROUND(ABS(Registro_Compras!$J$51*Registro_Compras!$N$51),2),""))</f>
        <v/>
      </c>
      <c r="G431" t="str">
        <f>IF($C431="","","Por el destino del gasto")</f>
        <v>Por el destino del gasto</v>
      </c>
      <c r="H431" t="str">
        <f>IF($C431="","",Registro_Compras!$C$51)</f>
        <v>E001 - 109</v>
      </c>
    </row>
    <row r="432" spans="1:8" x14ac:dyDescent="0.25">
      <c r="A432" s="25">
        <f>IF($C432="","",Registro_Compras!$B$51)</f>
        <v>46239</v>
      </c>
      <c r="B432" t="str">
        <f>IF($C432="","","C"&amp;TEXT(INT((ROW()-5)/9)+1,"000")&amp;"-2")</f>
        <v>C048-2</v>
      </c>
      <c r="C432" t="str">
        <f>IF(OR(Registro_Compras!$C$51="",Registro_Compras!$O$51=""),"","79/791")</f>
        <v>79/791</v>
      </c>
      <c r="D432" t="str">
        <f>IF(OR(Registro_Compras!$C$51="",Registro_Compras!$O$51=""),"","Cargas Imputables a Cuentas de Costos y Gastos")</f>
        <v>Cargas Imputables a Cuentas de Costos y Gastos</v>
      </c>
      <c r="E432" s="20" t="str">
        <f>IF($C432="","",IF(Registro_Compras!$F$51="NOTA DE CREDITO",ROUND(ABS(Registro_Compras!$J$51*Registro_Compras!$N$51),2),""))</f>
        <v/>
      </c>
      <c r="F432" s="20">
        <f>IF($C432="","",IF(Registro_Compras!$F$51="NOTA DE CREDITO","",IF(Registro_Compras!$F$51="RHE",ROUND(Registro_Compras!$L$51*Registro_Compras!$N$51,2),ROUND(Registro_Compras!$J$51*Registro_Compras!$N$51,2))))</f>
        <v>1575</v>
      </c>
      <c r="G432" t="str">
        <f>IF($C432="","","Por el destino del gasto")</f>
        <v>Por el destino del gasto</v>
      </c>
      <c r="H432" t="str">
        <f>IF($C432="","",Registro_Compras!$C$51)</f>
        <v>E001 - 109</v>
      </c>
    </row>
    <row r="433" spans="1:8" x14ac:dyDescent="0.25">
      <c r="A433" s="25" t="str">
        <f>IF($C433="","",Registro_Compras!$X$51)</f>
        <v/>
      </c>
      <c r="B433" t="str">
        <f>IF($C433="","","C"&amp;TEXT(INT((ROW()-5)/9)+1,"000")&amp;"-3")</f>
        <v/>
      </c>
      <c r="C433" t="str">
        <f>IF(OR(Registro_Compras!$C$51="",Registro_Compras!$O$51="",Registro_Compras!$R$51&lt;&gt;"SI",Registro_Compras!$X$51=""),"","4212")</f>
        <v/>
      </c>
      <c r="D433" t="str">
        <f>IF(OR(Registro_Compras!$C$51="",Registro_Compras!$O$51=""),"","Cuentas por Pagar Comerciales - Terceros")</f>
        <v>Cuentas por Pagar Comerciales - Terceros</v>
      </c>
      <c r="E433" s="20" t="str">
        <f>IF($C433="","",Registro_Compras!$S$51)</f>
        <v/>
      </c>
      <c r="F433" s="20" t="str">
        <f>""</f>
        <v/>
      </c>
      <c r="G433" t="str">
        <f>IF($C433="","","Por el deposito de la detraccion en el Banco de la Nacion")</f>
        <v/>
      </c>
      <c r="H433" t="str">
        <f>IF($C433="","",Registro_Compras!$C$51)</f>
        <v/>
      </c>
    </row>
    <row r="434" spans="1:8" x14ac:dyDescent="0.25">
      <c r="A434" s="25" t="str">
        <f>IF($C434="","",Registro_Compras!$X$51)</f>
        <v/>
      </c>
      <c r="B434" t="str">
        <f>IF($C434="","","C"&amp;TEXT(INT((ROW()-5)/9)+1,"000")&amp;"-3")</f>
        <v/>
      </c>
      <c r="C434" t="str">
        <f>IF(OR(Registro_Compras!$C$51="",Registro_Compras!$O$51="",Registro_Compras!$R$51&lt;&gt;"SI",Registro_Compras!$X$51=""),"","1041")</f>
        <v/>
      </c>
      <c r="D434" t="str">
        <f>IF(OR(Registro_Compras!$C$51="",Registro_Compras!$O$51=""),"","Efectivo y Equivalentes - Cta. Cte. Operativa")</f>
        <v>Efectivo y Equivalentes - Cta. Cte. Operativa</v>
      </c>
      <c r="E434" s="20" t="str">
        <f>""</f>
        <v/>
      </c>
      <c r="F434" s="20" t="str">
        <f>IF($C434="","",Registro_Compras!$S$51)</f>
        <v/>
      </c>
      <c r="G434" t="str">
        <f>IF($C434="","","Por el deposito de la detraccion en el Banco de la Nacion")</f>
        <v/>
      </c>
      <c r="H434" t="str">
        <f>IF($C434="","",Registro_Compras!$C$51)</f>
        <v/>
      </c>
    </row>
    <row r="435" spans="1:8" x14ac:dyDescent="0.25">
      <c r="A435" s="25" t="str">
        <f>IF($C435="","",Registro_Compras!$Y$51)</f>
        <v/>
      </c>
      <c r="B435" t="str">
        <f>IF($C435="","","C"&amp;TEXT(INT((ROW()-5)/9)+1,"000")&amp;"-4")</f>
        <v/>
      </c>
      <c r="C435" t="str">
        <f>IF(OR(Registro_Compras!$C$51="",Registro_Compras!$O$51="",Registro_Compras!$Y$51="",Registro_Compras!$F$51="NOTA DE CREDITO"),"","4212")</f>
        <v/>
      </c>
      <c r="D435" t="str">
        <f>IF(OR(Registro_Compras!$C$51="",Registro_Compras!$O$51=""),"","Cuentas por Pagar Comerciales - Terceros")</f>
        <v>Cuentas por Pagar Comerciales - Terceros</v>
      </c>
      <c r="E435" s="20" t="str">
        <f>IF($C435="","",IF(Registro_Compras!$F$51="RHE",(ROUND(Registro_Compras!$L$51*Registro_Compras!$N$51,2)-ROUND(Registro_Compras!$V$51*Registro_Compras!$N$51,2)),ROUND(Registro_Compras!$O$51-Registro_Compras!$S$51,2)))</f>
        <v/>
      </c>
      <c r="F435" s="20" t="str">
        <f>""</f>
        <v/>
      </c>
      <c r="G435" t="str">
        <f>IF($C435="","","Por la cancelacion del saldo al proveedor")</f>
        <v/>
      </c>
      <c r="H435" t="str">
        <f>IF($C435="","",Registro_Compras!$C$51)</f>
        <v/>
      </c>
    </row>
    <row r="436" spans="1:8" x14ac:dyDescent="0.25">
      <c r="A436" s="25" t="str">
        <f>IF($C436="","",Registro_Compras!$Y$51)</f>
        <v/>
      </c>
      <c r="B436" t="str">
        <f>IF($C436="","","C"&amp;TEXT(INT((ROW()-5)/9)+1,"000")&amp;"-4")</f>
        <v/>
      </c>
      <c r="C436" t="str">
        <f>IF(OR(Registro_Compras!$C$51="",Registro_Compras!$O$51="",Registro_Compras!$Y$51="",Registro_Compras!$F$51="NOTA DE CREDITO"),"","1041")</f>
        <v/>
      </c>
      <c r="D436" t="str">
        <f>IF(OR(Registro_Compras!$C$51="",Registro_Compras!$O$51=""),"","Efectivo y Equivalentes - Cta. Cte. Operativa")</f>
        <v>Efectivo y Equivalentes - Cta. Cte. Operativa</v>
      </c>
      <c r="E436" s="20" t="str">
        <f>""</f>
        <v/>
      </c>
      <c r="F436" s="20" t="str">
        <f>IF($C436="","",IF(Registro_Compras!$F$51="RHE",(ROUND(Registro_Compras!$L$51*Registro_Compras!$N$51,2)-ROUND(Registro_Compras!$V$51*Registro_Compras!$N$51,2)),ROUND(Registro_Compras!$O$51-Registro_Compras!$S$51,2)))</f>
        <v/>
      </c>
      <c r="G436" t="str">
        <f>IF($C436="","","Por la cancelacion del saldo al proveedor")</f>
        <v/>
      </c>
      <c r="H436" t="str">
        <f>IF($C436="","",Registro_Compras!$C$51)</f>
        <v/>
      </c>
    </row>
    <row r="437" spans="1:8" x14ac:dyDescent="0.25">
      <c r="A437" s="25">
        <f>IF($C437="","",Registro_Compras!$B$52)</f>
        <v>46241</v>
      </c>
      <c r="B437" t="str">
        <f>IF($C437="","","C"&amp;TEXT(INT((ROW()-5)/9)+1,"000")&amp;"-1")</f>
        <v>C049-1</v>
      </c>
      <c r="C437" t="str">
        <f>IF(OR(Registro_Compras!$C$52="",Registro_Compras!$O$52=""),"",IF(Registro_Compras!$F$52="NOTA DE CREDITO","4212",IF(Registro_Compras!$M$52="","63",Registro_Compras!$M$52)))</f>
        <v>632</v>
      </c>
      <c r="D437" t="str">
        <f>IF(OR(Registro_Compras!$C$52="",Registro_Compras!$O$52=""),"",IF(Registro_Compras!$F$52="NOTA DE CREDITO","Cuentas por Pagar Comerciales - Terceros (Emitidas)",IF(Registro_Compras!$F$52="RHE","Honorarios Profesionales - Servicios de Terceros","Gastos de Servicios Prestados por Terceros")))</f>
        <v>Honorarios Profesionales - Servicios de Terceros</v>
      </c>
      <c r="E437" s="20">
        <f>IF($C437="","",IF(Registro_Compras!$F$52="NOTA DE CREDITO",ABS(Registro_Compras!$O$52),IF(Registro_Compras!$F$52="RHE",ROUND(Registro_Compras!$L$52*Registro_Compras!$N$52,2),ROUND(Registro_Compras!$J$52*Registro_Compras!$N$52,2))))</f>
        <v>2500</v>
      </c>
      <c r="F437" s="20" t="str">
        <f>""</f>
        <v/>
      </c>
      <c r="G437" t="str">
        <f>IF($C437="","",IF(Registro_Compras!$F$52="NOTA DE CREDITO","Por la nota de credito "&amp;Registro_Compras!$C$52&amp;" de "&amp;Registro_Compras!$E$52&amp;" [PATRON POR CONFIRMAR CON CONTADOR]",IF(Registro_Compras!$F$52="RHE","Por el registro del recibo por honorarios "&amp;Registro_Compras!$C$52&amp;" de "&amp;Registro_Compras!$E$52&amp;" [PATRON POR CONFIRMAR CON CONTADOR]","Por el registro de la factura "&amp;Registro_Compras!$C$52&amp;" de "&amp;Registro_Compras!$E$52)))</f>
        <v>Por el registro del recibo por honorarios E001-122 de ANICAMA ZAMORA SAULO CHRIS [PATRON POR CONFIRMAR CON CONTADOR]</v>
      </c>
      <c r="H437" t="str">
        <f>IF($C437="","",Registro_Compras!$C$52)</f>
        <v>E001-122</v>
      </c>
    </row>
    <row r="438" spans="1:8" x14ac:dyDescent="0.25">
      <c r="A438" s="25" t="str">
        <f>IF($C438="","",Registro_Compras!$B$52)</f>
        <v/>
      </c>
      <c r="B438" t="str">
        <f>IF($C438="","","C"&amp;TEXT(INT((ROW()-5)/9)+1,"000")&amp;"-1")</f>
        <v/>
      </c>
      <c r="C438" t="str">
        <f>IF(OR(Registro_Compras!$C$52="",Registro_Compras!$O$52=""),"",IF(Registro_Compras!$F$52="RHE",IF(Registro_Compras!$V$52=0,"","4017"),IF(Registro_Compras!$F$52="NOTA DE CREDITO",IF(Registro_Compras!$M$52="","63",Registro_Compras!$M$52),IF(Registro_Compras!$K$52=0,"","40111"))))</f>
        <v/>
      </c>
      <c r="D438" t="str">
        <f>IF(OR(Registro_Compras!$C$52="",Registro_Compras!$O$52=""),"",IF(Registro_Compras!$F$52="RHE","Retencion Renta 4ta Categoria por Pagar",IF(Registro_Compras!$F$52="NOTA DE CREDITO","Gastos de Servicios Prestados por Terceros","IGV - Cuenta Propia (Credito Fiscal)")))</f>
        <v>Retencion Renta 4ta Categoria por Pagar</v>
      </c>
      <c r="E438" s="20" t="str">
        <f>IF($C438="","",IF(Registro_Compras!$F$52="FACTURA",ROUND(Registro_Compras!$K$52*Registro_Compras!$N$52,2),""))</f>
        <v/>
      </c>
      <c r="F438" s="20" t="str">
        <f>IF($C438="","",IF(Registro_Compras!$F$52="RHE",ROUND(Registro_Compras!$V$52*Registro_Compras!$N$52,2),IF(Registro_Compras!$F$52="NOTA DE CREDITO",ROUND(ABS(Registro_Compras!$J$52*Registro_Compras!$N$52),2),"")))</f>
        <v/>
      </c>
      <c r="G438" t="str">
        <f>IF($C438="","",IF(Registro_Compras!$F$52="NOTA DE CREDITO","Por la nota de credito "&amp;Registro_Compras!$C$52&amp;" de "&amp;Registro_Compras!$E$52&amp;" [PATRON POR CONFIRMAR CON CONTADOR]",IF(Registro_Compras!$F$52="RHE","Por el registro del recibo por honorarios "&amp;Registro_Compras!$C$52&amp;" de "&amp;Registro_Compras!$E$52&amp;" [PATRON POR CONFIRMAR CON CONTADOR]","Por el registro de la factura "&amp;Registro_Compras!$C$52&amp;" de "&amp;Registro_Compras!$E$52)))</f>
        <v/>
      </c>
      <c r="H438" t="str">
        <f>IF($C438="","",Registro_Compras!$C$52)</f>
        <v/>
      </c>
    </row>
    <row r="439" spans="1:8" x14ac:dyDescent="0.25">
      <c r="A439" s="25">
        <f>IF($C439="","",Registro_Compras!$B$52)</f>
        <v>46241</v>
      </c>
      <c r="B439" t="str">
        <f>IF($C439="","","C"&amp;TEXT(INT((ROW()-5)/9)+1,"000")&amp;"-1")</f>
        <v>C049-1</v>
      </c>
      <c r="C439" t="str">
        <f>IF(OR(Registro_Compras!$C$52="",Registro_Compras!$O$52=""),"",IF(Registro_Compras!$F$52="NOTA DE CREDITO",IF(Registro_Compras!$K$52=0,"","40111"),"4212"))</f>
        <v>4212</v>
      </c>
      <c r="D439" t="str">
        <f>IF(OR(Registro_Compras!$C$52="",Registro_Compras!$O$52=""),"",IF(Registro_Compras!$F$52="NOTA DE CREDITO","IGV - Cuenta Propia (Credito Fiscal)","Cuentas por Pagar Comerciales - Terceros (Emitidas)"))</f>
        <v>Cuentas por Pagar Comerciales - Terceros (Emitidas)</v>
      </c>
      <c r="E439" s="20" t="str">
        <f>""</f>
        <v/>
      </c>
      <c r="F439" s="20">
        <f>IF($C439="","",IF(Registro_Compras!$F$52="NOTA DE CREDITO",ROUND(ABS(Registro_Compras!$K$52*Registro_Compras!$N$52),2),IF(Registro_Compras!$F$52="RHE",(ROUND(Registro_Compras!$L$52*Registro_Compras!$N$52,2)-ROUND(Registro_Compras!$V$52*Registro_Compras!$N$52,2)),Registro_Compras!$O$52)))</f>
        <v>2500</v>
      </c>
      <c r="G439" t="str">
        <f>IF($C439="","",IF(Registro_Compras!$F$52="NOTA DE CREDITO","Por la nota de credito "&amp;Registro_Compras!$C$52&amp;" de "&amp;Registro_Compras!$E$52&amp;" [PATRON POR CONFIRMAR CON CONTADOR]",IF(Registro_Compras!$F$52="RHE","Por el registro del recibo por honorarios "&amp;Registro_Compras!$C$52&amp;" de "&amp;Registro_Compras!$E$52&amp;" [PATRON POR CONFIRMAR CON CONTADOR]","Por el registro de la factura "&amp;Registro_Compras!$C$52&amp;" de "&amp;Registro_Compras!$E$52)))</f>
        <v>Por el registro del recibo por honorarios E001-122 de ANICAMA ZAMORA SAULO CHRIS [PATRON POR CONFIRMAR CON CONTADOR]</v>
      </c>
      <c r="H439" t="str">
        <f>IF($C439="","",Registro_Compras!$C$52)</f>
        <v>E001-122</v>
      </c>
    </row>
    <row r="440" spans="1:8" x14ac:dyDescent="0.25">
      <c r="A440" s="25">
        <f>IF($C440="","",Registro_Compras!$B$52)</f>
        <v>46241</v>
      </c>
      <c r="B440" t="str">
        <f>IF($C440="","","C"&amp;TEXT(INT((ROW()-5)/9)+1,"000")&amp;"-2")</f>
        <v>C049-2</v>
      </c>
      <c r="C440" t="str">
        <f>IF(OR(Registro_Compras!$C$52="",Registro_Compras!$O$52=""),"",IF(Registro_Compras!$AB$52="ADMINISTRATIVO","94","95"))</f>
        <v>94</v>
      </c>
      <c r="D440" t="str">
        <f>IF(OR(Registro_Compras!$C$52="",Registro_Compras!$O$52=""),"",IF(Registro_Compras!$AB$52="ADMINISTRATIVO","Gastos Administrativos","Gastos de Venta y Operacion"))</f>
        <v>Gastos Administrativos</v>
      </c>
      <c r="E440" s="20">
        <f>IF($C440="","",IF(Registro_Compras!$F$52="NOTA DE CREDITO","",IF(Registro_Compras!$F$52="RHE",ROUND(Registro_Compras!$L$52*Registro_Compras!$N$52,2),ROUND(Registro_Compras!$J$52*Registro_Compras!$N$52,2))))</f>
        <v>2500</v>
      </c>
      <c r="F440" s="20" t="str">
        <f>IF($C440="","",IF(Registro_Compras!$F$52="NOTA DE CREDITO",ROUND(ABS(Registro_Compras!$J$52*Registro_Compras!$N$52),2),""))</f>
        <v/>
      </c>
      <c r="G440" t="str">
        <f>IF($C440="","","Por el destino del gasto")</f>
        <v>Por el destino del gasto</v>
      </c>
      <c r="H440" t="str">
        <f>IF($C440="","",Registro_Compras!$C$52)</f>
        <v>E001-122</v>
      </c>
    </row>
    <row r="441" spans="1:8" x14ac:dyDescent="0.25">
      <c r="A441" s="25">
        <f>IF($C441="","",Registro_Compras!$B$52)</f>
        <v>46241</v>
      </c>
      <c r="B441" t="str">
        <f>IF($C441="","","C"&amp;TEXT(INT((ROW()-5)/9)+1,"000")&amp;"-2")</f>
        <v>C049-2</v>
      </c>
      <c r="C441" t="str">
        <f>IF(OR(Registro_Compras!$C$52="",Registro_Compras!$O$52=""),"","79/791")</f>
        <v>79/791</v>
      </c>
      <c r="D441" t="str">
        <f>IF(OR(Registro_Compras!$C$52="",Registro_Compras!$O$52=""),"","Cargas Imputables a Cuentas de Costos y Gastos")</f>
        <v>Cargas Imputables a Cuentas de Costos y Gastos</v>
      </c>
      <c r="E441" s="20" t="str">
        <f>IF($C441="","",IF(Registro_Compras!$F$52="NOTA DE CREDITO",ROUND(ABS(Registro_Compras!$J$52*Registro_Compras!$N$52),2),""))</f>
        <v/>
      </c>
      <c r="F441" s="20">
        <f>IF($C441="","",IF(Registro_Compras!$F$52="NOTA DE CREDITO","",IF(Registro_Compras!$F$52="RHE",ROUND(Registro_Compras!$L$52*Registro_Compras!$N$52,2),ROUND(Registro_Compras!$J$52*Registro_Compras!$N$52,2))))</f>
        <v>2500</v>
      </c>
      <c r="G441" t="str">
        <f>IF($C441="","","Por el destino del gasto")</f>
        <v>Por el destino del gasto</v>
      </c>
      <c r="H441" t="str">
        <f>IF($C441="","",Registro_Compras!$C$52)</f>
        <v>E001-122</v>
      </c>
    </row>
    <row r="442" spans="1:8" x14ac:dyDescent="0.25">
      <c r="A442" s="25" t="str">
        <f>IF($C442="","",Registro_Compras!$X$52)</f>
        <v/>
      </c>
      <c r="B442" t="str">
        <f>IF($C442="","","C"&amp;TEXT(INT((ROW()-5)/9)+1,"000")&amp;"-3")</f>
        <v/>
      </c>
      <c r="C442" t="str">
        <f>IF(OR(Registro_Compras!$C$52="",Registro_Compras!$O$52="",Registro_Compras!$R$52&lt;&gt;"SI",Registro_Compras!$X$52=""),"","4212")</f>
        <v/>
      </c>
      <c r="D442" t="str">
        <f>IF(OR(Registro_Compras!$C$52="",Registro_Compras!$O$52=""),"","Cuentas por Pagar Comerciales - Terceros")</f>
        <v>Cuentas por Pagar Comerciales - Terceros</v>
      </c>
      <c r="E442" s="20" t="str">
        <f>IF($C442="","",Registro_Compras!$S$52)</f>
        <v/>
      </c>
      <c r="F442" s="20" t="str">
        <f>""</f>
        <v/>
      </c>
      <c r="G442" t="str">
        <f>IF($C442="","","Por el deposito de la detraccion en el Banco de la Nacion")</f>
        <v/>
      </c>
      <c r="H442" t="str">
        <f>IF($C442="","",Registro_Compras!$C$52)</f>
        <v/>
      </c>
    </row>
    <row r="443" spans="1:8" x14ac:dyDescent="0.25">
      <c r="A443" s="25" t="str">
        <f>IF($C443="","",Registro_Compras!$X$52)</f>
        <v/>
      </c>
      <c r="B443" t="str">
        <f>IF($C443="","","C"&amp;TEXT(INT((ROW()-5)/9)+1,"000")&amp;"-3")</f>
        <v/>
      </c>
      <c r="C443" t="str">
        <f>IF(OR(Registro_Compras!$C$52="",Registro_Compras!$O$52="",Registro_Compras!$R$52&lt;&gt;"SI",Registro_Compras!$X$52=""),"","1041")</f>
        <v/>
      </c>
      <c r="D443" t="str">
        <f>IF(OR(Registro_Compras!$C$52="",Registro_Compras!$O$52=""),"","Efectivo y Equivalentes - Cta. Cte. Operativa")</f>
        <v>Efectivo y Equivalentes - Cta. Cte. Operativa</v>
      </c>
      <c r="E443" s="20" t="str">
        <f>""</f>
        <v/>
      </c>
      <c r="F443" s="20" t="str">
        <f>IF($C443="","",Registro_Compras!$S$52)</f>
        <v/>
      </c>
      <c r="G443" t="str">
        <f>IF($C443="","","Por el deposito de la detraccion en el Banco de la Nacion")</f>
        <v/>
      </c>
      <c r="H443" t="str">
        <f>IF($C443="","",Registro_Compras!$C$52)</f>
        <v/>
      </c>
    </row>
    <row r="444" spans="1:8" x14ac:dyDescent="0.25">
      <c r="A444" s="25" t="str">
        <f>IF($C444="","",Registro_Compras!$Y$52)</f>
        <v/>
      </c>
      <c r="B444" t="str">
        <f>IF($C444="","","C"&amp;TEXT(INT((ROW()-5)/9)+1,"000")&amp;"-4")</f>
        <v/>
      </c>
      <c r="C444" t="str">
        <f>IF(OR(Registro_Compras!$C$52="",Registro_Compras!$O$52="",Registro_Compras!$Y$52="",Registro_Compras!$F$52="NOTA DE CREDITO"),"","4212")</f>
        <v/>
      </c>
      <c r="D444" t="str">
        <f>IF(OR(Registro_Compras!$C$52="",Registro_Compras!$O$52=""),"","Cuentas por Pagar Comerciales - Terceros")</f>
        <v>Cuentas por Pagar Comerciales - Terceros</v>
      </c>
      <c r="E444" s="20" t="str">
        <f>IF($C444="","",IF(Registro_Compras!$F$52="RHE",(ROUND(Registro_Compras!$L$52*Registro_Compras!$N$52,2)-ROUND(Registro_Compras!$V$52*Registro_Compras!$N$52,2)),ROUND(Registro_Compras!$O$52-Registro_Compras!$S$52,2)))</f>
        <v/>
      </c>
      <c r="F444" s="20" t="str">
        <f>""</f>
        <v/>
      </c>
      <c r="G444" t="str">
        <f>IF($C444="","","Por la cancelacion del saldo al proveedor")</f>
        <v/>
      </c>
      <c r="H444" t="str">
        <f>IF($C444="","",Registro_Compras!$C$52)</f>
        <v/>
      </c>
    </row>
    <row r="445" spans="1:8" x14ac:dyDescent="0.25">
      <c r="A445" s="25" t="str">
        <f>IF($C445="","",Registro_Compras!$Y$52)</f>
        <v/>
      </c>
      <c r="B445" t="str">
        <f>IF($C445="","","C"&amp;TEXT(INT((ROW()-5)/9)+1,"000")&amp;"-4")</f>
        <v/>
      </c>
      <c r="C445" t="str">
        <f>IF(OR(Registro_Compras!$C$52="",Registro_Compras!$O$52="",Registro_Compras!$Y$52="",Registro_Compras!$F$52="NOTA DE CREDITO"),"","1041")</f>
        <v/>
      </c>
      <c r="D445" t="str">
        <f>IF(OR(Registro_Compras!$C$52="",Registro_Compras!$O$52=""),"","Efectivo y Equivalentes - Cta. Cte. Operativa")</f>
        <v>Efectivo y Equivalentes - Cta. Cte. Operativa</v>
      </c>
      <c r="E445" s="20" t="str">
        <f>""</f>
        <v/>
      </c>
      <c r="F445" s="20" t="str">
        <f>IF($C445="","",IF(Registro_Compras!$F$52="RHE",(ROUND(Registro_Compras!$L$52*Registro_Compras!$N$52,2)-ROUND(Registro_Compras!$V$52*Registro_Compras!$N$52,2)),ROUND(Registro_Compras!$O$52-Registro_Compras!$S$52,2)))</f>
        <v/>
      </c>
      <c r="G445" t="str">
        <f>IF($C445="","","Por la cancelacion del saldo al proveedor")</f>
        <v/>
      </c>
      <c r="H445" t="str">
        <f>IF($C445="","",Registro_Compras!$C$52)</f>
        <v/>
      </c>
    </row>
    <row r="446" spans="1:8" x14ac:dyDescent="0.25">
      <c r="A446" s="25">
        <f>IF($C446="","",Registro_Compras!$B$53)</f>
        <v>46244</v>
      </c>
      <c r="B446" t="str">
        <f>IF($C446="","","C"&amp;TEXT(INT((ROW()-5)/9)+1,"000")&amp;"-1")</f>
        <v>C050-1</v>
      </c>
      <c r="C446" t="str">
        <f>IF(OR(Registro_Compras!$C$53="",Registro_Compras!$O$53=""),"",IF(Registro_Compras!$F$53="NOTA DE CREDITO","4212",IF(Registro_Compras!$M$53="","63",Registro_Compras!$M$53)))</f>
        <v>632</v>
      </c>
      <c r="D446" t="str">
        <f>IF(OR(Registro_Compras!$C$53="",Registro_Compras!$O$53=""),"",IF(Registro_Compras!$F$53="NOTA DE CREDITO","Cuentas por Pagar Comerciales - Terceros (Emitidas)",IF(Registro_Compras!$F$53="RHE","Honorarios Profesionales - Servicios de Terceros","Gastos de Servicios Prestados por Terceros")))</f>
        <v>Honorarios Profesionales - Servicios de Terceros</v>
      </c>
      <c r="E446" s="20">
        <f>IF($C446="","",IF(Registro_Compras!$F$53="NOTA DE CREDITO",ABS(Registro_Compras!$O$53),IF(Registro_Compras!$F$53="RHE",ROUND(Registro_Compras!$L$53*Registro_Compras!$N$53,2),ROUND(Registro_Compras!$J$53*Registro_Compras!$N$53,2))))</f>
        <v>1025</v>
      </c>
      <c r="F446" s="20" t="str">
        <f>""</f>
        <v/>
      </c>
      <c r="G446" t="str">
        <f>IF($C446="","",IF(Registro_Compras!$F$53="NOTA DE CREDITO","Por la nota de credito "&amp;Registro_Compras!$C$53&amp;" de "&amp;Registro_Compras!$E$53&amp;" [PATRON POR CONFIRMAR CON CONTADOR]",IF(Registro_Compras!$F$53="RHE","Por el registro del recibo por honorarios "&amp;Registro_Compras!$C$53&amp;" de "&amp;Registro_Compras!$E$53&amp;" [PATRON POR CONFIRMAR CON CONTADOR]","Por el registro de la factura "&amp;Registro_Compras!$C$53&amp;" de "&amp;Registro_Compras!$E$53)))</f>
        <v>Por el registro del recibo por honorarios E001- 175 de BEOUTIS BAZAN URSULA CATHERINE [PATRON POR CONFIRMAR CON CONTADOR]</v>
      </c>
      <c r="H446" t="str">
        <f>IF($C446="","",Registro_Compras!$C$53)</f>
        <v>E001- 175</v>
      </c>
    </row>
    <row r="447" spans="1:8" x14ac:dyDescent="0.25">
      <c r="A447" s="25" t="str">
        <f>IF($C447="","",Registro_Compras!$B$53)</f>
        <v/>
      </c>
      <c r="B447" t="str">
        <f>IF($C447="","","C"&amp;TEXT(INT((ROW()-5)/9)+1,"000")&amp;"-1")</f>
        <v/>
      </c>
      <c r="C447" t="str">
        <f>IF(OR(Registro_Compras!$C$53="",Registro_Compras!$O$53=""),"",IF(Registro_Compras!$F$53="RHE",IF(Registro_Compras!$V$53=0,"","4017"),IF(Registro_Compras!$F$53="NOTA DE CREDITO",IF(Registro_Compras!$M$53="","63",Registro_Compras!$M$53),IF(Registro_Compras!$K$53=0,"","40111"))))</f>
        <v/>
      </c>
      <c r="D447" t="str">
        <f>IF(OR(Registro_Compras!$C$53="",Registro_Compras!$O$53=""),"",IF(Registro_Compras!$F$53="RHE","Retencion Renta 4ta Categoria por Pagar",IF(Registro_Compras!$F$53="NOTA DE CREDITO","Gastos de Servicios Prestados por Terceros","IGV - Cuenta Propia (Credito Fiscal)")))</f>
        <v>Retencion Renta 4ta Categoria por Pagar</v>
      </c>
      <c r="E447" s="20" t="str">
        <f>IF($C447="","",IF(Registro_Compras!$F$53="FACTURA",ROUND(Registro_Compras!$K$53*Registro_Compras!$N$53,2),""))</f>
        <v/>
      </c>
      <c r="F447" s="20" t="str">
        <f>IF($C447="","",IF(Registro_Compras!$F$53="RHE",ROUND(Registro_Compras!$V$53*Registro_Compras!$N$53,2),IF(Registro_Compras!$F$53="NOTA DE CREDITO",ROUND(ABS(Registro_Compras!$J$53*Registro_Compras!$N$53),2),"")))</f>
        <v/>
      </c>
      <c r="G447" t="str">
        <f>IF($C447="","",IF(Registro_Compras!$F$53="NOTA DE CREDITO","Por la nota de credito "&amp;Registro_Compras!$C$53&amp;" de "&amp;Registro_Compras!$E$53&amp;" [PATRON POR CONFIRMAR CON CONTADOR]",IF(Registro_Compras!$F$53="RHE","Por el registro del recibo por honorarios "&amp;Registro_Compras!$C$53&amp;" de "&amp;Registro_Compras!$E$53&amp;" [PATRON POR CONFIRMAR CON CONTADOR]","Por el registro de la factura "&amp;Registro_Compras!$C$53&amp;" de "&amp;Registro_Compras!$E$53)))</f>
        <v/>
      </c>
      <c r="H447" t="str">
        <f>IF($C447="","",Registro_Compras!$C$53)</f>
        <v/>
      </c>
    </row>
    <row r="448" spans="1:8" x14ac:dyDescent="0.25">
      <c r="A448" s="25">
        <f>IF($C448="","",Registro_Compras!$B$53)</f>
        <v>46244</v>
      </c>
      <c r="B448" t="str">
        <f>IF($C448="","","C"&amp;TEXT(INT((ROW()-5)/9)+1,"000")&amp;"-1")</f>
        <v>C050-1</v>
      </c>
      <c r="C448" t="str">
        <f>IF(OR(Registro_Compras!$C$53="",Registro_Compras!$O$53=""),"",IF(Registro_Compras!$F$53="NOTA DE CREDITO",IF(Registro_Compras!$K$53=0,"","40111"),"4212"))</f>
        <v>4212</v>
      </c>
      <c r="D448" t="str">
        <f>IF(OR(Registro_Compras!$C$53="",Registro_Compras!$O$53=""),"",IF(Registro_Compras!$F$53="NOTA DE CREDITO","IGV - Cuenta Propia (Credito Fiscal)","Cuentas por Pagar Comerciales - Terceros (Emitidas)"))</f>
        <v>Cuentas por Pagar Comerciales - Terceros (Emitidas)</v>
      </c>
      <c r="E448" s="20" t="str">
        <f>""</f>
        <v/>
      </c>
      <c r="F448" s="20">
        <f>IF($C448="","",IF(Registro_Compras!$F$53="NOTA DE CREDITO",ROUND(ABS(Registro_Compras!$K$53*Registro_Compras!$N$53),2),IF(Registro_Compras!$F$53="RHE",(ROUND(Registro_Compras!$L$53*Registro_Compras!$N$53,2)-ROUND(Registro_Compras!$V$53*Registro_Compras!$N$53,2)),Registro_Compras!$O$53)))</f>
        <v>1025</v>
      </c>
      <c r="G448" t="str">
        <f>IF($C448="","",IF(Registro_Compras!$F$53="NOTA DE CREDITO","Por la nota de credito "&amp;Registro_Compras!$C$53&amp;" de "&amp;Registro_Compras!$E$53&amp;" [PATRON POR CONFIRMAR CON CONTADOR]",IF(Registro_Compras!$F$53="RHE","Por el registro del recibo por honorarios "&amp;Registro_Compras!$C$53&amp;" de "&amp;Registro_Compras!$E$53&amp;" [PATRON POR CONFIRMAR CON CONTADOR]","Por el registro de la factura "&amp;Registro_Compras!$C$53&amp;" de "&amp;Registro_Compras!$E$53)))</f>
        <v>Por el registro del recibo por honorarios E001- 175 de BEOUTIS BAZAN URSULA CATHERINE [PATRON POR CONFIRMAR CON CONTADOR]</v>
      </c>
      <c r="H448" t="str">
        <f>IF($C448="","",Registro_Compras!$C$53)</f>
        <v>E001- 175</v>
      </c>
    </row>
    <row r="449" spans="1:8" x14ac:dyDescent="0.25">
      <c r="A449" s="25">
        <f>IF($C449="","",Registro_Compras!$B$53)</f>
        <v>46244</v>
      </c>
      <c r="B449" t="str">
        <f>IF($C449="","","C"&amp;TEXT(INT((ROW()-5)/9)+1,"000")&amp;"-2")</f>
        <v>C050-2</v>
      </c>
      <c r="C449" t="str">
        <f>IF(OR(Registro_Compras!$C$53="",Registro_Compras!$O$53=""),"",IF(Registro_Compras!$AB$53="ADMINISTRATIVO","94","95"))</f>
        <v>94</v>
      </c>
      <c r="D449" t="str">
        <f>IF(OR(Registro_Compras!$C$53="",Registro_Compras!$O$53=""),"",IF(Registro_Compras!$AB$53="ADMINISTRATIVO","Gastos Administrativos","Gastos de Venta y Operacion"))</f>
        <v>Gastos Administrativos</v>
      </c>
      <c r="E449" s="20">
        <f>IF($C449="","",IF(Registro_Compras!$F$53="NOTA DE CREDITO","",IF(Registro_Compras!$F$53="RHE",ROUND(Registro_Compras!$L$53*Registro_Compras!$N$53,2),ROUND(Registro_Compras!$J$53*Registro_Compras!$N$53,2))))</f>
        <v>1025</v>
      </c>
      <c r="F449" s="20" t="str">
        <f>IF($C449="","",IF(Registro_Compras!$F$53="NOTA DE CREDITO",ROUND(ABS(Registro_Compras!$J$53*Registro_Compras!$N$53),2),""))</f>
        <v/>
      </c>
      <c r="G449" t="str">
        <f>IF($C449="","","Por el destino del gasto")</f>
        <v>Por el destino del gasto</v>
      </c>
      <c r="H449" t="str">
        <f>IF($C449="","",Registro_Compras!$C$53)</f>
        <v>E001- 175</v>
      </c>
    </row>
    <row r="450" spans="1:8" x14ac:dyDescent="0.25">
      <c r="A450" s="25">
        <f>IF($C450="","",Registro_Compras!$B$53)</f>
        <v>46244</v>
      </c>
      <c r="B450" t="str">
        <f>IF($C450="","","C"&amp;TEXT(INT((ROW()-5)/9)+1,"000")&amp;"-2")</f>
        <v>C050-2</v>
      </c>
      <c r="C450" t="str">
        <f>IF(OR(Registro_Compras!$C$53="",Registro_Compras!$O$53=""),"","79/791")</f>
        <v>79/791</v>
      </c>
      <c r="D450" t="str">
        <f>IF(OR(Registro_Compras!$C$53="",Registro_Compras!$O$53=""),"","Cargas Imputables a Cuentas de Costos y Gastos")</f>
        <v>Cargas Imputables a Cuentas de Costos y Gastos</v>
      </c>
      <c r="E450" s="20" t="str">
        <f>IF($C450="","",IF(Registro_Compras!$F$53="NOTA DE CREDITO",ROUND(ABS(Registro_Compras!$J$53*Registro_Compras!$N$53),2),""))</f>
        <v/>
      </c>
      <c r="F450" s="20">
        <f>IF($C450="","",IF(Registro_Compras!$F$53="NOTA DE CREDITO","",IF(Registro_Compras!$F$53="RHE",ROUND(Registro_Compras!$L$53*Registro_Compras!$N$53,2),ROUND(Registro_Compras!$J$53*Registro_Compras!$N$53,2))))</f>
        <v>1025</v>
      </c>
      <c r="G450" t="str">
        <f>IF($C450="","","Por el destino del gasto")</f>
        <v>Por el destino del gasto</v>
      </c>
      <c r="H450" t="str">
        <f>IF($C450="","",Registro_Compras!$C$53)</f>
        <v>E001- 175</v>
      </c>
    </row>
    <row r="451" spans="1:8" x14ac:dyDescent="0.25">
      <c r="A451" s="25" t="str">
        <f>IF($C451="","",Registro_Compras!$X$53)</f>
        <v/>
      </c>
      <c r="B451" t="str">
        <f>IF($C451="","","C"&amp;TEXT(INT((ROW()-5)/9)+1,"000")&amp;"-3")</f>
        <v/>
      </c>
      <c r="C451" t="str">
        <f>IF(OR(Registro_Compras!$C$53="",Registro_Compras!$O$53="",Registro_Compras!$R$53&lt;&gt;"SI",Registro_Compras!$X$53=""),"","4212")</f>
        <v/>
      </c>
      <c r="D451" t="str">
        <f>IF(OR(Registro_Compras!$C$53="",Registro_Compras!$O$53=""),"","Cuentas por Pagar Comerciales - Terceros")</f>
        <v>Cuentas por Pagar Comerciales - Terceros</v>
      </c>
      <c r="E451" s="20" t="str">
        <f>IF($C451="","",Registro_Compras!$S$53)</f>
        <v/>
      </c>
      <c r="F451" s="20" t="str">
        <f>""</f>
        <v/>
      </c>
      <c r="G451" t="str">
        <f>IF($C451="","","Por el deposito de la detraccion en el Banco de la Nacion")</f>
        <v/>
      </c>
      <c r="H451" t="str">
        <f>IF($C451="","",Registro_Compras!$C$53)</f>
        <v/>
      </c>
    </row>
    <row r="452" spans="1:8" x14ac:dyDescent="0.25">
      <c r="A452" s="25" t="str">
        <f>IF($C452="","",Registro_Compras!$X$53)</f>
        <v/>
      </c>
      <c r="B452" t="str">
        <f>IF($C452="","","C"&amp;TEXT(INT((ROW()-5)/9)+1,"000")&amp;"-3")</f>
        <v/>
      </c>
      <c r="C452" t="str">
        <f>IF(OR(Registro_Compras!$C$53="",Registro_Compras!$O$53="",Registro_Compras!$R$53&lt;&gt;"SI",Registro_Compras!$X$53=""),"","1041")</f>
        <v/>
      </c>
      <c r="D452" t="str">
        <f>IF(OR(Registro_Compras!$C$53="",Registro_Compras!$O$53=""),"","Efectivo y Equivalentes - Cta. Cte. Operativa")</f>
        <v>Efectivo y Equivalentes - Cta. Cte. Operativa</v>
      </c>
      <c r="E452" s="20" t="str">
        <f>""</f>
        <v/>
      </c>
      <c r="F452" s="20" t="str">
        <f>IF($C452="","",Registro_Compras!$S$53)</f>
        <v/>
      </c>
      <c r="G452" t="str">
        <f>IF($C452="","","Por el deposito de la detraccion en el Banco de la Nacion")</f>
        <v/>
      </c>
      <c r="H452" t="str">
        <f>IF($C452="","",Registro_Compras!$C$53)</f>
        <v/>
      </c>
    </row>
    <row r="453" spans="1:8" x14ac:dyDescent="0.25">
      <c r="A453" s="25" t="str">
        <f>IF($C453="","",Registro_Compras!$Y$53)</f>
        <v/>
      </c>
      <c r="B453" t="str">
        <f>IF($C453="","","C"&amp;TEXT(INT((ROW()-5)/9)+1,"000")&amp;"-4")</f>
        <v/>
      </c>
      <c r="C453" t="str">
        <f>IF(OR(Registro_Compras!$C$53="",Registro_Compras!$O$53="",Registro_Compras!$Y$53="",Registro_Compras!$F$53="NOTA DE CREDITO"),"","4212")</f>
        <v/>
      </c>
      <c r="D453" t="str">
        <f>IF(OR(Registro_Compras!$C$53="",Registro_Compras!$O$53=""),"","Cuentas por Pagar Comerciales - Terceros")</f>
        <v>Cuentas por Pagar Comerciales - Terceros</v>
      </c>
      <c r="E453" s="20" t="str">
        <f>IF($C453="","",IF(Registro_Compras!$F$53="RHE",(ROUND(Registro_Compras!$L$53*Registro_Compras!$N$53,2)-ROUND(Registro_Compras!$V$53*Registro_Compras!$N$53,2)),ROUND(Registro_Compras!$O$53-Registro_Compras!$S$53,2)))</f>
        <v/>
      </c>
      <c r="F453" s="20" t="str">
        <f>""</f>
        <v/>
      </c>
      <c r="G453" t="str">
        <f>IF($C453="","","Por la cancelacion del saldo al proveedor")</f>
        <v/>
      </c>
      <c r="H453" t="str">
        <f>IF($C453="","",Registro_Compras!$C$53)</f>
        <v/>
      </c>
    </row>
    <row r="454" spans="1:8" x14ac:dyDescent="0.25">
      <c r="A454" s="25" t="str">
        <f>IF($C454="","",Registro_Compras!$Y$53)</f>
        <v/>
      </c>
      <c r="B454" t="str">
        <f>IF($C454="","","C"&amp;TEXT(INT((ROW()-5)/9)+1,"000")&amp;"-4")</f>
        <v/>
      </c>
      <c r="C454" t="str">
        <f>IF(OR(Registro_Compras!$C$53="",Registro_Compras!$O$53="",Registro_Compras!$Y$53="",Registro_Compras!$F$53="NOTA DE CREDITO"),"","1041")</f>
        <v/>
      </c>
      <c r="D454" t="str">
        <f>IF(OR(Registro_Compras!$C$53="",Registro_Compras!$O$53=""),"","Efectivo y Equivalentes - Cta. Cte. Operativa")</f>
        <v>Efectivo y Equivalentes - Cta. Cte. Operativa</v>
      </c>
      <c r="E454" s="20" t="str">
        <f>""</f>
        <v/>
      </c>
      <c r="F454" s="20" t="str">
        <f>IF($C454="","",IF(Registro_Compras!$F$53="RHE",(ROUND(Registro_Compras!$L$53*Registro_Compras!$N$53,2)-ROUND(Registro_Compras!$V$53*Registro_Compras!$N$53,2)),ROUND(Registro_Compras!$O$53-Registro_Compras!$S$53,2)))</f>
        <v/>
      </c>
      <c r="G454" t="str">
        <f>IF($C454="","","Por la cancelacion del saldo al proveedor")</f>
        <v/>
      </c>
      <c r="H454" t="str">
        <f>IF($C454="","",Registro_Compras!$C$53)</f>
        <v/>
      </c>
    </row>
    <row r="455" spans="1:8" x14ac:dyDescent="0.25">
      <c r="A455" s="25">
        <f>IF($C455="","",Registro_Compras!$B$54)</f>
        <v>46250</v>
      </c>
      <c r="B455" t="str">
        <f>IF($C455="","","C"&amp;TEXT(INT((ROW()-5)/9)+1,"000")&amp;"-1")</f>
        <v>C051-1</v>
      </c>
      <c r="C455" t="str">
        <f>IF(OR(Registro_Compras!$C$54="",Registro_Compras!$O$54=""),"",IF(Registro_Compras!$F$54="NOTA DE CREDITO","4212",IF(Registro_Compras!$M$54="","63",Registro_Compras!$M$54)))</f>
        <v>639</v>
      </c>
      <c r="D455" t="str">
        <f>IF(OR(Registro_Compras!$C$54="",Registro_Compras!$O$54=""),"",IF(Registro_Compras!$F$54="NOTA DE CREDITO","Cuentas por Pagar Comerciales - Terceros (Emitidas)",IF(Registro_Compras!$F$54="RHE","Honorarios Profesionales - Servicios de Terceros","Gastos de Servicios Prestados por Terceros")))</f>
        <v>Gastos de Servicios Prestados por Terceros</v>
      </c>
      <c r="E455" s="20">
        <f>IF($C455="","",IF(Registro_Compras!$F$54="NOTA DE CREDITO",ABS(Registro_Compras!$O$54),IF(Registro_Compras!$F$54="RHE",ROUND(Registro_Compras!$L$54*Registro_Compras!$N$54,2),ROUND(Registro_Compras!$J$54*Registro_Compras!$N$54,2))))</f>
        <v>1698.98</v>
      </c>
      <c r="F455" s="20" t="str">
        <f>""</f>
        <v/>
      </c>
      <c r="G455" t="str">
        <f>IF($C455="","",IF(Registro_Compras!$F$54="NOTA DE CREDITO","Por la nota de credito "&amp;Registro_Compras!$C$54&amp;" de "&amp;Registro_Compras!$E$54&amp;" [PATRON POR CONFIRMAR CON CONTADOR]",IF(Registro_Compras!$F$54="RHE","Por el registro del recibo por honorarios "&amp;Registro_Compras!$C$54&amp;" de "&amp;Registro_Compras!$E$54&amp;" [PATRON POR CONFIRMAR CON CONTADOR]","Por el registro de la factura "&amp;Registro_Compras!$C$54&amp;" de "&amp;Registro_Compras!$E$54)))</f>
        <v>Por el registro de la factura FM01-00004843 de CLABE ANDINA S.A.C. (SUMAQ MACHU PICCHU HOTEL)</v>
      </c>
      <c r="H455" t="str">
        <f>IF($C455="","",Registro_Compras!$C$54)</f>
        <v>FM01-00004843</v>
      </c>
    </row>
    <row r="456" spans="1:8" x14ac:dyDescent="0.25">
      <c r="A456" s="25" t="str">
        <f>IF($C456="","",Registro_Compras!$B$54)</f>
        <v/>
      </c>
      <c r="B456" t="str">
        <f>IF($C456="","","C"&amp;TEXT(INT((ROW()-5)/9)+1,"000")&amp;"-1")</f>
        <v/>
      </c>
      <c r="C456" t="str">
        <f>IF(OR(Registro_Compras!$C$54="",Registro_Compras!$O$54=""),"",IF(Registro_Compras!$F$54="RHE",IF(Registro_Compras!$V$54=0,"","4017"),IF(Registro_Compras!$F$54="NOTA DE CREDITO",IF(Registro_Compras!$M$54="","63",Registro_Compras!$M$54),IF(Registro_Compras!$K$54=0,"","40111"))))</f>
        <v/>
      </c>
      <c r="D456" t="str">
        <f>IF(OR(Registro_Compras!$C$54="",Registro_Compras!$O$54=""),"",IF(Registro_Compras!$F$54="RHE","Retencion Renta 4ta Categoria por Pagar",IF(Registro_Compras!$F$54="NOTA DE CREDITO","Gastos de Servicios Prestados por Terceros","IGV - Cuenta Propia (Credito Fiscal)")))</f>
        <v>IGV - Cuenta Propia (Credito Fiscal)</v>
      </c>
      <c r="E456" s="20" t="str">
        <f>IF($C456="","",IF(Registro_Compras!$F$54="FACTURA",ROUND(Registro_Compras!$K$54*Registro_Compras!$N$54,2),""))</f>
        <v/>
      </c>
      <c r="F456" s="20" t="str">
        <f>IF($C456="","",IF(Registro_Compras!$F$54="RHE",ROUND(Registro_Compras!$V$54*Registro_Compras!$N$54,2),IF(Registro_Compras!$F$54="NOTA DE CREDITO",ROUND(ABS(Registro_Compras!$J$54*Registro_Compras!$N$54),2),"")))</f>
        <v/>
      </c>
      <c r="G456" t="str">
        <f>IF($C456="","",IF(Registro_Compras!$F$54="NOTA DE CREDITO","Por la nota de credito "&amp;Registro_Compras!$C$54&amp;" de "&amp;Registro_Compras!$E$54&amp;" [PATRON POR CONFIRMAR CON CONTADOR]",IF(Registro_Compras!$F$54="RHE","Por el registro del recibo por honorarios "&amp;Registro_Compras!$C$54&amp;" de "&amp;Registro_Compras!$E$54&amp;" [PATRON POR CONFIRMAR CON CONTADOR]","Por el registro de la factura "&amp;Registro_Compras!$C$54&amp;" de "&amp;Registro_Compras!$E$54)))</f>
        <v/>
      </c>
      <c r="H456" t="str">
        <f>IF($C456="","",Registro_Compras!$C$54)</f>
        <v/>
      </c>
    </row>
    <row r="457" spans="1:8" x14ac:dyDescent="0.25">
      <c r="A457" s="25">
        <f>IF($C457="","",Registro_Compras!$B$54)</f>
        <v>46250</v>
      </c>
      <c r="B457" t="str">
        <f>IF($C457="","","C"&amp;TEXT(INT((ROW()-5)/9)+1,"000")&amp;"-1")</f>
        <v>C051-1</v>
      </c>
      <c r="C457" t="str">
        <f>IF(OR(Registro_Compras!$C$54="",Registro_Compras!$O$54=""),"",IF(Registro_Compras!$F$54="NOTA DE CREDITO",IF(Registro_Compras!$K$54=0,"","40111"),"4212"))</f>
        <v>4212</v>
      </c>
      <c r="D457" t="str">
        <f>IF(OR(Registro_Compras!$C$54="",Registro_Compras!$O$54=""),"",IF(Registro_Compras!$F$54="NOTA DE CREDITO","IGV - Cuenta Propia (Credito Fiscal)","Cuentas por Pagar Comerciales - Terceros (Emitidas)"))</f>
        <v>Cuentas por Pagar Comerciales - Terceros (Emitidas)</v>
      </c>
      <c r="E457" s="20" t="str">
        <f>""</f>
        <v/>
      </c>
      <c r="F457" s="20">
        <f>IF($C457="","",IF(Registro_Compras!$F$54="NOTA DE CREDITO",ROUND(ABS(Registro_Compras!$K$54*Registro_Compras!$N$54),2),IF(Registro_Compras!$F$54="RHE",(ROUND(Registro_Compras!$L$54*Registro_Compras!$N$54,2)-ROUND(Registro_Compras!$V$54*Registro_Compras!$N$54,2)),Registro_Compras!$O$54)))</f>
        <v>1698.98</v>
      </c>
      <c r="G457" t="str">
        <f>IF($C457="","",IF(Registro_Compras!$F$54="NOTA DE CREDITO","Por la nota de credito "&amp;Registro_Compras!$C$54&amp;" de "&amp;Registro_Compras!$E$54&amp;" [PATRON POR CONFIRMAR CON CONTADOR]",IF(Registro_Compras!$F$54="RHE","Por el registro del recibo por honorarios "&amp;Registro_Compras!$C$54&amp;" de "&amp;Registro_Compras!$E$54&amp;" [PATRON POR CONFIRMAR CON CONTADOR]","Por el registro de la factura "&amp;Registro_Compras!$C$54&amp;" de "&amp;Registro_Compras!$E$54)))</f>
        <v>Por el registro de la factura FM01-00004843 de CLABE ANDINA S.A.C. (SUMAQ MACHU PICCHU HOTEL)</v>
      </c>
      <c r="H457" t="str">
        <f>IF($C457="","",Registro_Compras!$C$54)</f>
        <v>FM01-00004843</v>
      </c>
    </row>
    <row r="458" spans="1:8" x14ac:dyDescent="0.25">
      <c r="A458" s="25">
        <f>IF($C458="","",Registro_Compras!$B$54)</f>
        <v>46250</v>
      </c>
      <c r="B458" t="str">
        <f>IF($C458="","","C"&amp;TEXT(INT((ROW()-5)/9)+1,"000")&amp;"-2")</f>
        <v>C051-2</v>
      </c>
      <c r="C458" t="str">
        <f>IF(OR(Registro_Compras!$C$54="",Registro_Compras!$O$54=""),"",IF(Registro_Compras!$AB$54="ADMINISTRATIVO","94","95"))</f>
        <v>95</v>
      </c>
      <c r="D458" t="str">
        <f>IF(OR(Registro_Compras!$C$54="",Registro_Compras!$O$54=""),"",IF(Registro_Compras!$AB$54="ADMINISTRATIVO","Gastos Administrativos","Gastos de Venta y Operacion"))</f>
        <v>Gastos de Venta y Operacion</v>
      </c>
      <c r="E458" s="20">
        <f>IF($C458="","",IF(Registro_Compras!$F$54="NOTA DE CREDITO","",IF(Registro_Compras!$F$54="RHE",ROUND(Registro_Compras!$L$54*Registro_Compras!$N$54,2),ROUND(Registro_Compras!$J$54*Registro_Compras!$N$54,2))))</f>
        <v>1698.98</v>
      </c>
      <c r="F458" s="20" t="str">
        <f>IF($C458="","",IF(Registro_Compras!$F$54="NOTA DE CREDITO",ROUND(ABS(Registro_Compras!$J$54*Registro_Compras!$N$54),2),""))</f>
        <v/>
      </c>
      <c r="G458" t="str">
        <f>IF($C458="","","Por el destino del gasto")</f>
        <v>Por el destino del gasto</v>
      </c>
      <c r="H458" t="str">
        <f>IF($C458="","",Registro_Compras!$C$54)</f>
        <v>FM01-00004843</v>
      </c>
    </row>
    <row r="459" spans="1:8" x14ac:dyDescent="0.25">
      <c r="A459" s="25">
        <f>IF($C459="","",Registro_Compras!$B$54)</f>
        <v>46250</v>
      </c>
      <c r="B459" t="str">
        <f>IF($C459="","","C"&amp;TEXT(INT((ROW()-5)/9)+1,"000")&amp;"-2")</f>
        <v>C051-2</v>
      </c>
      <c r="C459" t="str">
        <f>IF(OR(Registro_Compras!$C$54="",Registro_Compras!$O$54=""),"","79/791")</f>
        <v>79/791</v>
      </c>
      <c r="D459" t="str">
        <f>IF(OR(Registro_Compras!$C$54="",Registro_Compras!$O$54=""),"","Cargas Imputables a Cuentas de Costos y Gastos")</f>
        <v>Cargas Imputables a Cuentas de Costos y Gastos</v>
      </c>
      <c r="E459" s="20" t="str">
        <f>IF($C459="","",IF(Registro_Compras!$F$54="NOTA DE CREDITO",ROUND(ABS(Registro_Compras!$J$54*Registro_Compras!$N$54),2),""))</f>
        <v/>
      </c>
      <c r="F459" s="20">
        <f>IF($C459="","",IF(Registro_Compras!$F$54="NOTA DE CREDITO","",IF(Registro_Compras!$F$54="RHE",ROUND(Registro_Compras!$L$54*Registro_Compras!$N$54,2),ROUND(Registro_Compras!$J$54*Registro_Compras!$N$54,2))))</f>
        <v>1698.98</v>
      </c>
      <c r="G459" t="str">
        <f>IF($C459="","","Por el destino del gasto")</f>
        <v>Por el destino del gasto</v>
      </c>
      <c r="H459" t="str">
        <f>IF($C459="","",Registro_Compras!$C$54)</f>
        <v>FM01-00004843</v>
      </c>
    </row>
    <row r="460" spans="1:8" x14ac:dyDescent="0.25">
      <c r="A460" s="25" t="str">
        <f>IF($C460="","",Registro_Compras!$X$54)</f>
        <v/>
      </c>
      <c r="B460" t="str">
        <f>IF($C460="","","C"&amp;TEXT(INT((ROW()-5)/9)+1,"000")&amp;"-3")</f>
        <v/>
      </c>
      <c r="C460" t="str">
        <f>IF(OR(Registro_Compras!$C$54="",Registro_Compras!$O$54="",Registro_Compras!$R$54&lt;&gt;"SI",Registro_Compras!$X$54=""),"","4212")</f>
        <v/>
      </c>
      <c r="D460" t="str">
        <f>IF(OR(Registro_Compras!$C$54="",Registro_Compras!$O$54=""),"","Cuentas por Pagar Comerciales - Terceros")</f>
        <v>Cuentas por Pagar Comerciales - Terceros</v>
      </c>
      <c r="E460" s="20" t="str">
        <f>IF($C460="","",Registro_Compras!$S$54)</f>
        <v/>
      </c>
      <c r="F460" s="20" t="str">
        <f>""</f>
        <v/>
      </c>
      <c r="G460" t="str">
        <f>IF($C460="","","Por el deposito de la detraccion en el Banco de la Nacion")</f>
        <v/>
      </c>
      <c r="H460" t="str">
        <f>IF($C460="","",Registro_Compras!$C$54)</f>
        <v/>
      </c>
    </row>
    <row r="461" spans="1:8" x14ac:dyDescent="0.25">
      <c r="A461" s="25" t="str">
        <f>IF($C461="","",Registro_Compras!$X$54)</f>
        <v/>
      </c>
      <c r="B461" t="str">
        <f>IF($C461="","","C"&amp;TEXT(INT((ROW()-5)/9)+1,"000")&amp;"-3")</f>
        <v/>
      </c>
      <c r="C461" t="str">
        <f>IF(OR(Registro_Compras!$C$54="",Registro_Compras!$O$54="",Registro_Compras!$R$54&lt;&gt;"SI",Registro_Compras!$X$54=""),"","1041")</f>
        <v/>
      </c>
      <c r="D461" t="str">
        <f>IF(OR(Registro_Compras!$C$54="",Registro_Compras!$O$54=""),"","Efectivo y Equivalentes - Cta. Cte. Operativa")</f>
        <v>Efectivo y Equivalentes - Cta. Cte. Operativa</v>
      </c>
      <c r="E461" s="20" t="str">
        <f>""</f>
        <v/>
      </c>
      <c r="F461" s="20" t="str">
        <f>IF($C461="","",Registro_Compras!$S$54)</f>
        <v/>
      </c>
      <c r="G461" t="str">
        <f>IF($C461="","","Por el deposito de la detraccion en el Banco de la Nacion")</f>
        <v/>
      </c>
      <c r="H461" t="str">
        <f>IF($C461="","",Registro_Compras!$C$54)</f>
        <v/>
      </c>
    </row>
    <row r="462" spans="1:8" x14ac:dyDescent="0.25">
      <c r="A462" s="25" t="str">
        <f>IF($C462="","",Registro_Compras!$Y$54)</f>
        <v/>
      </c>
      <c r="B462" t="str">
        <f>IF($C462="","","C"&amp;TEXT(INT((ROW()-5)/9)+1,"000")&amp;"-4")</f>
        <v/>
      </c>
      <c r="C462" t="str">
        <f>IF(OR(Registro_Compras!$C$54="",Registro_Compras!$O$54="",Registro_Compras!$Y$54="",Registro_Compras!$F$54="NOTA DE CREDITO"),"","4212")</f>
        <v/>
      </c>
      <c r="D462" t="str">
        <f>IF(OR(Registro_Compras!$C$54="",Registro_Compras!$O$54=""),"","Cuentas por Pagar Comerciales - Terceros")</f>
        <v>Cuentas por Pagar Comerciales - Terceros</v>
      </c>
      <c r="E462" s="20" t="str">
        <f>IF($C462="","",IF(Registro_Compras!$F$54="RHE",(ROUND(Registro_Compras!$L$54*Registro_Compras!$N$54,2)-ROUND(Registro_Compras!$V$54*Registro_Compras!$N$54,2)),ROUND(Registro_Compras!$O$54-Registro_Compras!$S$54,2)))</f>
        <v/>
      </c>
      <c r="F462" s="20" t="str">
        <f>""</f>
        <v/>
      </c>
      <c r="G462" t="str">
        <f>IF($C462="","","Por la cancelacion del saldo al proveedor")</f>
        <v/>
      </c>
      <c r="H462" t="str">
        <f>IF($C462="","",Registro_Compras!$C$54)</f>
        <v/>
      </c>
    </row>
    <row r="463" spans="1:8" x14ac:dyDescent="0.25">
      <c r="A463" s="25" t="str">
        <f>IF($C463="","",Registro_Compras!$Y$54)</f>
        <v/>
      </c>
      <c r="B463" t="str">
        <f>IF($C463="","","C"&amp;TEXT(INT((ROW()-5)/9)+1,"000")&amp;"-4")</f>
        <v/>
      </c>
      <c r="C463" t="str">
        <f>IF(OR(Registro_Compras!$C$54="",Registro_Compras!$O$54="",Registro_Compras!$Y$54="",Registro_Compras!$F$54="NOTA DE CREDITO"),"","1041")</f>
        <v/>
      </c>
      <c r="D463" t="str">
        <f>IF(OR(Registro_Compras!$C$54="",Registro_Compras!$O$54=""),"","Efectivo y Equivalentes - Cta. Cte. Operativa")</f>
        <v>Efectivo y Equivalentes - Cta. Cte. Operativa</v>
      </c>
      <c r="E463" s="20" t="str">
        <f>""</f>
        <v/>
      </c>
      <c r="F463" s="20" t="str">
        <f>IF($C463="","",IF(Registro_Compras!$F$54="RHE",(ROUND(Registro_Compras!$L$54*Registro_Compras!$N$54,2)-ROUND(Registro_Compras!$V$54*Registro_Compras!$N$54,2)),ROUND(Registro_Compras!$O$54-Registro_Compras!$S$54,2)))</f>
        <v/>
      </c>
      <c r="G463" t="str">
        <f>IF($C463="","","Por la cancelacion del saldo al proveedor")</f>
        <v/>
      </c>
      <c r="H463" t="str">
        <f>IF($C463="","",Registro_Compras!$C$54)</f>
        <v/>
      </c>
    </row>
    <row r="464" spans="1:8" x14ac:dyDescent="0.25">
      <c r="A464" s="25">
        <f>IF($C464="","",Registro_Compras!$B$55)</f>
        <v>46249</v>
      </c>
      <c r="B464" t="str">
        <f>IF($C464="","","C"&amp;TEXT(INT((ROW()-5)/9)+1,"000")&amp;"-1")</f>
        <v>C052-1</v>
      </c>
      <c r="C464" t="str">
        <f>IF(OR(Registro_Compras!$C$55="",Registro_Compras!$O$55=""),"",IF(Registro_Compras!$F$55="NOTA DE CREDITO","4212",IF(Registro_Compras!$M$55="","63",Registro_Compras!$M$55)))</f>
        <v>639</v>
      </c>
      <c r="D464" t="str">
        <f>IF(OR(Registro_Compras!$C$55="",Registro_Compras!$O$55=""),"",IF(Registro_Compras!$F$55="NOTA DE CREDITO","Cuentas por Pagar Comerciales - Terceros (Emitidas)",IF(Registro_Compras!$F$55="RHE","Honorarios Profesionales - Servicios de Terceros","Gastos de Servicios Prestados por Terceros")))</f>
        <v>Gastos de Servicios Prestados por Terceros</v>
      </c>
      <c r="E464" s="20">
        <f>IF($C464="","",IF(Registro_Compras!$F$55="NOTA DE CREDITO",ABS(Registro_Compras!$O$55),IF(Registro_Compras!$F$55="RHE",ROUND(Registro_Compras!$L$55*Registro_Compras!$N$55,2),ROUND(Registro_Compras!$J$55*Registro_Compras!$N$55,2))))</f>
        <v>2594.36</v>
      </c>
      <c r="F464" s="20" t="str">
        <f>""</f>
        <v/>
      </c>
      <c r="G464" t="str">
        <f>IF($C464="","",IF(Registro_Compras!$F$55="NOTA DE CREDITO","Por la nota de credito "&amp;Registro_Compras!$C$55&amp;" de "&amp;Registro_Compras!$E$55&amp;" [PATRON POR CONFIRMAR CON CONTADOR]",IF(Registro_Compras!$F$55="RHE","Por el registro del recibo por honorarios "&amp;Registro_Compras!$C$55&amp;" de "&amp;Registro_Compras!$E$55&amp;" [PATRON POR CONFIRMAR CON CONTADOR]","Por el registro de la factura "&amp;Registro_Compras!$C$55&amp;" de "&amp;Registro_Compras!$E$55)))</f>
        <v>Por el registro de la factura E001-2031 de ETT HOUSE TOURS S.A.C.</v>
      </c>
      <c r="H464" t="str">
        <f>IF($C464="","",Registro_Compras!$C$55)</f>
        <v>E001-2031</v>
      </c>
    </row>
    <row r="465" spans="1:8" x14ac:dyDescent="0.25">
      <c r="A465" s="25">
        <f>IF($C465="","",Registro_Compras!$B$55)</f>
        <v>46249</v>
      </c>
      <c r="B465" t="str">
        <f>IF($C465="","","C"&amp;TEXT(INT((ROW()-5)/9)+1,"000")&amp;"-1")</f>
        <v>C052-1</v>
      </c>
      <c r="C465" t="str">
        <f>IF(OR(Registro_Compras!$C$55="",Registro_Compras!$O$55=""),"",IF(Registro_Compras!$F$55="RHE",IF(Registro_Compras!$V$55=0,"","4017"),IF(Registro_Compras!$F$55="NOTA DE CREDITO",IF(Registro_Compras!$M$55="","63",Registro_Compras!$M$55),IF(Registro_Compras!$K$55=0,"","40111"))))</f>
        <v>40111</v>
      </c>
      <c r="D465" t="str">
        <f>IF(OR(Registro_Compras!$C$55="",Registro_Compras!$O$55=""),"",IF(Registro_Compras!$F$55="RHE","Retencion Renta 4ta Categoria por Pagar",IF(Registro_Compras!$F$55="NOTA DE CREDITO","Gastos de Servicios Prestados por Terceros","IGV - Cuenta Propia (Credito Fiscal)")))</f>
        <v>IGV - Cuenta Propia (Credito Fiscal)</v>
      </c>
      <c r="E465" s="20">
        <f>IF($C465="","",IF(Registro_Compras!$F$55="FACTURA",ROUND(Registro_Compras!$K$55*Registro_Compras!$N$55,2),""))</f>
        <v>466.98</v>
      </c>
      <c r="F465" s="20" t="str">
        <f>IF($C465="","",IF(Registro_Compras!$F$55="RHE",ROUND(Registro_Compras!$V$55*Registro_Compras!$N$55,2),IF(Registro_Compras!$F$55="NOTA DE CREDITO",ROUND(ABS(Registro_Compras!$J$55*Registro_Compras!$N$55),2),"")))</f>
        <v/>
      </c>
      <c r="G465" t="str">
        <f>IF($C465="","",IF(Registro_Compras!$F$55="NOTA DE CREDITO","Por la nota de credito "&amp;Registro_Compras!$C$55&amp;" de "&amp;Registro_Compras!$E$55&amp;" [PATRON POR CONFIRMAR CON CONTADOR]",IF(Registro_Compras!$F$55="RHE","Por el registro del recibo por honorarios "&amp;Registro_Compras!$C$55&amp;" de "&amp;Registro_Compras!$E$55&amp;" [PATRON POR CONFIRMAR CON CONTADOR]","Por el registro de la factura "&amp;Registro_Compras!$C$55&amp;" de "&amp;Registro_Compras!$E$55)))</f>
        <v>Por el registro de la factura E001-2031 de ETT HOUSE TOURS S.A.C.</v>
      </c>
      <c r="H465" t="str">
        <f>IF($C465="","",Registro_Compras!$C$55)</f>
        <v>E001-2031</v>
      </c>
    </row>
    <row r="466" spans="1:8" x14ac:dyDescent="0.25">
      <c r="A466" s="25">
        <f>IF($C466="","",Registro_Compras!$B$55)</f>
        <v>46249</v>
      </c>
      <c r="B466" t="str">
        <f>IF($C466="","","C"&amp;TEXT(INT((ROW()-5)/9)+1,"000")&amp;"-1")</f>
        <v>C052-1</v>
      </c>
      <c r="C466" t="str">
        <f>IF(OR(Registro_Compras!$C$55="",Registro_Compras!$O$55=""),"",IF(Registro_Compras!$F$55="NOTA DE CREDITO",IF(Registro_Compras!$K$55=0,"","40111"),"4212"))</f>
        <v>4212</v>
      </c>
      <c r="D466" t="str">
        <f>IF(OR(Registro_Compras!$C$55="",Registro_Compras!$O$55=""),"",IF(Registro_Compras!$F$55="NOTA DE CREDITO","IGV - Cuenta Propia (Credito Fiscal)","Cuentas por Pagar Comerciales - Terceros (Emitidas)"))</f>
        <v>Cuentas por Pagar Comerciales - Terceros (Emitidas)</v>
      </c>
      <c r="E466" s="20" t="str">
        <f>""</f>
        <v/>
      </c>
      <c r="F466" s="20">
        <f>IF($C466="","",IF(Registro_Compras!$F$55="NOTA DE CREDITO",ROUND(ABS(Registro_Compras!$K$55*Registro_Compras!$N$55),2),IF(Registro_Compras!$F$55="RHE",(ROUND(Registro_Compras!$L$55*Registro_Compras!$N$55,2)-ROUND(Registro_Compras!$V$55*Registro_Compras!$N$55,2)),Registro_Compras!$O$55)))</f>
        <v>3061.34</v>
      </c>
      <c r="G466" t="str">
        <f>IF($C466="","",IF(Registro_Compras!$F$55="NOTA DE CREDITO","Por la nota de credito "&amp;Registro_Compras!$C$55&amp;" de "&amp;Registro_Compras!$E$55&amp;" [PATRON POR CONFIRMAR CON CONTADOR]",IF(Registro_Compras!$F$55="RHE","Por el registro del recibo por honorarios "&amp;Registro_Compras!$C$55&amp;" de "&amp;Registro_Compras!$E$55&amp;" [PATRON POR CONFIRMAR CON CONTADOR]","Por el registro de la factura "&amp;Registro_Compras!$C$55&amp;" de "&amp;Registro_Compras!$E$55)))</f>
        <v>Por el registro de la factura E001-2031 de ETT HOUSE TOURS S.A.C.</v>
      </c>
      <c r="H466" t="str">
        <f>IF($C466="","",Registro_Compras!$C$55)</f>
        <v>E001-2031</v>
      </c>
    </row>
    <row r="467" spans="1:8" x14ac:dyDescent="0.25">
      <c r="A467" s="25">
        <f>IF($C467="","",Registro_Compras!$B$55)</f>
        <v>46249</v>
      </c>
      <c r="B467" t="str">
        <f>IF($C467="","","C"&amp;TEXT(INT((ROW()-5)/9)+1,"000")&amp;"-2")</f>
        <v>C052-2</v>
      </c>
      <c r="C467" t="str">
        <f>IF(OR(Registro_Compras!$C$55="",Registro_Compras!$O$55=""),"",IF(Registro_Compras!$AB$55="ADMINISTRATIVO","94","95"))</f>
        <v>95</v>
      </c>
      <c r="D467" t="str">
        <f>IF(OR(Registro_Compras!$C$55="",Registro_Compras!$O$55=""),"",IF(Registro_Compras!$AB$55="ADMINISTRATIVO","Gastos Administrativos","Gastos de Venta y Operacion"))</f>
        <v>Gastos de Venta y Operacion</v>
      </c>
      <c r="E467" s="20">
        <f>IF($C467="","",IF(Registro_Compras!$F$55="NOTA DE CREDITO","",IF(Registro_Compras!$F$55="RHE",ROUND(Registro_Compras!$L$55*Registro_Compras!$N$55,2),ROUND(Registro_Compras!$J$55*Registro_Compras!$N$55,2))))</f>
        <v>2594.36</v>
      </c>
      <c r="F467" s="20" t="str">
        <f>IF($C467="","",IF(Registro_Compras!$F$55="NOTA DE CREDITO",ROUND(ABS(Registro_Compras!$J$55*Registro_Compras!$N$55),2),""))</f>
        <v/>
      </c>
      <c r="G467" t="str">
        <f>IF($C467="","","Por el destino del gasto")</f>
        <v>Por el destino del gasto</v>
      </c>
      <c r="H467" t="str">
        <f>IF($C467="","",Registro_Compras!$C$55)</f>
        <v>E001-2031</v>
      </c>
    </row>
    <row r="468" spans="1:8" x14ac:dyDescent="0.25">
      <c r="A468" s="25">
        <f>IF($C468="","",Registro_Compras!$B$55)</f>
        <v>46249</v>
      </c>
      <c r="B468" t="str">
        <f>IF($C468="","","C"&amp;TEXT(INT((ROW()-5)/9)+1,"000")&amp;"-2")</f>
        <v>C052-2</v>
      </c>
      <c r="C468" t="str">
        <f>IF(OR(Registro_Compras!$C$55="",Registro_Compras!$O$55=""),"","79/791")</f>
        <v>79/791</v>
      </c>
      <c r="D468" t="str">
        <f>IF(OR(Registro_Compras!$C$55="",Registro_Compras!$O$55=""),"","Cargas Imputables a Cuentas de Costos y Gastos")</f>
        <v>Cargas Imputables a Cuentas de Costos y Gastos</v>
      </c>
      <c r="E468" s="20" t="str">
        <f>IF($C468="","",IF(Registro_Compras!$F$55="NOTA DE CREDITO",ROUND(ABS(Registro_Compras!$J$55*Registro_Compras!$N$55),2),""))</f>
        <v/>
      </c>
      <c r="F468" s="20">
        <f>IF($C468="","",IF(Registro_Compras!$F$55="NOTA DE CREDITO","",IF(Registro_Compras!$F$55="RHE",ROUND(Registro_Compras!$L$55*Registro_Compras!$N$55,2),ROUND(Registro_Compras!$J$55*Registro_Compras!$N$55,2))))</f>
        <v>2594.36</v>
      </c>
      <c r="G468" t="str">
        <f>IF($C468="","","Por el destino del gasto")</f>
        <v>Por el destino del gasto</v>
      </c>
      <c r="H468" t="str">
        <f>IF($C468="","",Registro_Compras!$C$55)</f>
        <v>E001-2031</v>
      </c>
    </row>
    <row r="469" spans="1:8" x14ac:dyDescent="0.25">
      <c r="A469" s="25" t="str">
        <f>IF($C469="","",Registro_Compras!$X$55)</f>
        <v/>
      </c>
      <c r="B469" t="str">
        <f>IF($C469="","","C"&amp;TEXT(INT((ROW()-5)/9)+1,"000")&amp;"-3")</f>
        <v/>
      </c>
      <c r="C469" t="str">
        <f>IF(OR(Registro_Compras!$C$55="",Registro_Compras!$O$55="",Registro_Compras!$R$55&lt;&gt;"SI",Registro_Compras!$X$55=""),"","4212")</f>
        <v/>
      </c>
      <c r="D469" t="str">
        <f>IF(OR(Registro_Compras!$C$55="",Registro_Compras!$O$55=""),"","Cuentas por Pagar Comerciales - Terceros")</f>
        <v>Cuentas por Pagar Comerciales - Terceros</v>
      </c>
      <c r="E469" s="20" t="str">
        <f>IF($C469="","",Registro_Compras!$S$55)</f>
        <v/>
      </c>
      <c r="F469" s="20" t="str">
        <f>""</f>
        <v/>
      </c>
      <c r="G469" t="str">
        <f>IF($C469="","","Por el deposito de la detraccion en el Banco de la Nacion")</f>
        <v/>
      </c>
      <c r="H469" t="str">
        <f>IF($C469="","",Registro_Compras!$C$55)</f>
        <v/>
      </c>
    </row>
    <row r="470" spans="1:8" x14ac:dyDescent="0.25">
      <c r="A470" s="25" t="str">
        <f>IF($C470="","",Registro_Compras!$X$55)</f>
        <v/>
      </c>
      <c r="B470" t="str">
        <f>IF($C470="","","C"&amp;TEXT(INT((ROW()-5)/9)+1,"000")&amp;"-3")</f>
        <v/>
      </c>
      <c r="C470" t="str">
        <f>IF(OR(Registro_Compras!$C$55="",Registro_Compras!$O$55="",Registro_Compras!$R$55&lt;&gt;"SI",Registro_Compras!$X$55=""),"","1041")</f>
        <v/>
      </c>
      <c r="D470" t="str">
        <f>IF(OR(Registro_Compras!$C$55="",Registro_Compras!$O$55=""),"","Efectivo y Equivalentes - Cta. Cte. Operativa")</f>
        <v>Efectivo y Equivalentes - Cta. Cte. Operativa</v>
      </c>
      <c r="E470" s="20" t="str">
        <f>""</f>
        <v/>
      </c>
      <c r="F470" s="20" t="str">
        <f>IF($C470="","",Registro_Compras!$S$55)</f>
        <v/>
      </c>
      <c r="G470" t="str">
        <f>IF($C470="","","Por el deposito de la detraccion en el Banco de la Nacion")</f>
        <v/>
      </c>
      <c r="H470" t="str">
        <f>IF($C470="","",Registro_Compras!$C$55)</f>
        <v/>
      </c>
    </row>
    <row r="471" spans="1:8" x14ac:dyDescent="0.25">
      <c r="A471" s="25" t="str">
        <f>IF($C471="","",Registro_Compras!$Y$55)</f>
        <v/>
      </c>
      <c r="B471" t="str">
        <f>IF($C471="","","C"&amp;TEXT(INT((ROW()-5)/9)+1,"000")&amp;"-4")</f>
        <v/>
      </c>
      <c r="C471" t="str">
        <f>IF(OR(Registro_Compras!$C$55="",Registro_Compras!$O$55="",Registro_Compras!$Y$55="",Registro_Compras!$F$55="NOTA DE CREDITO"),"","4212")</f>
        <v/>
      </c>
      <c r="D471" t="str">
        <f>IF(OR(Registro_Compras!$C$55="",Registro_Compras!$O$55=""),"","Cuentas por Pagar Comerciales - Terceros")</f>
        <v>Cuentas por Pagar Comerciales - Terceros</v>
      </c>
      <c r="E471" s="20" t="str">
        <f>IF($C471="","",IF(Registro_Compras!$F$55="RHE",(ROUND(Registro_Compras!$L$55*Registro_Compras!$N$55,2)-ROUND(Registro_Compras!$V$55*Registro_Compras!$N$55,2)),ROUND(Registro_Compras!$O$55-Registro_Compras!$S$55,2)))</f>
        <v/>
      </c>
      <c r="F471" s="20" t="str">
        <f>""</f>
        <v/>
      </c>
      <c r="G471" t="str">
        <f>IF($C471="","","Por la cancelacion del saldo al proveedor")</f>
        <v/>
      </c>
      <c r="H471" t="str">
        <f>IF($C471="","",Registro_Compras!$C$55)</f>
        <v/>
      </c>
    </row>
    <row r="472" spans="1:8" x14ac:dyDescent="0.25">
      <c r="A472" s="25" t="str">
        <f>IF($C472="","",Registro_Compras!$Y$55)</f>
        <v/>
      </c>
      <c r="B472" t="str">
        <f>IF($C472="","","C"&amp;TEXT(INT((ROW()-5)/9)+1,"000")&amp;"-4")</f>
        <v/>
      </c>
      <c r="C472" t="str">
        <f>IF(OR(Registro_Compras!$C$55="",Registro_Compras!$O$55="",Registro_Compras!$Y$55="",Registro_Compras!$F$55="NOTA DE CREDITO"),"","1041")</f>
        <v/>
      </c>
      <c r="D472" t="str">
        <f>IF(OR(Registro_Compras!$C$55="",Registro_Compras!$O$55=""),"","Efectivo y Equivalentes - Cta. Cte. Operativa")</f>
        <v>Efectivo y Equivalentes - Cta. Cte. Operativa</v>
      </c>
      <c r="E472" s="20" t="str">
        <f>""</f>
        <v/>
      </c>
      <c r="F472" s="20" t="str">
        <f>IF($C472="","",IF(Registro_Compras!$F$55="RHE",(ROUND(Registro_Compras!$L$55*Registro_Compras!$N$55,2)-ROUND(Registro_Compras!$V$55*Registro_Compras!$N$55,2)),ROUND(Registro_Compras!$O$55-Registro_Compras!$S$55,2)))</f>
        <v/>
      </c>
      <c r="G472" t="str">
        <f>IF($C472="","","Por la cancelacion del saldo al proveedor")</f>
        <v/>
      </c>
      <c r="H472" t="str">
        <f>IF($C472="","",Registro_Compras!$C$55)</f>
        <v/>
      </c>
    </row>
    <row r="473" spans="1:8" x14ac:dyDescent="0.25">
      <c r="A473" s="25">
        <f>IF($C473="","",Registro_Compras!$B$56)</f>
        <v>46241</v>
      </c>
      <c r="B473" t="str">
        <f>IF($C473="","","C"&amp;TEXT(INT((ROW()-5)/9)+1,"000")&amp;"-1")</f>
        <v>C053-1</v>
      </c>
      <c r="C473" t="str">
        <f>IF(OR(Registro_Compras!$C$56="",Registro_Compras!$O$56=""),"",IF(Registro_Compras!$F$56="NOTA DE CREDITO","4212",IF(Registro_Compras!$M$56="","63",Registro_Compras!$M$56)))</f>
        <v>632</v>
      </c>
      <c r="D473" t="str">
        <f>IF(OR(Registro_Compras!$C$56="",Registro_Compras!$O$56=""),"",IF(Registro_Compras!$F$56="NOTA DE CREDITO","Cuentas por Pagar Comerciales - Terceros (Emitidas)",IF(Registro_Compras!$F$56="RHE","Honorarios Profesionales - Servicios de Terceros","Gastos de Servicios Prestados por Terceros")))</f>
        <v>Honorarios Profesionales - Servicios de Terceros</v>
      </c>
      <c r="E473" s="20">
        <f>IF($C473="","",IF(Registro_Compras!$F$56="NOTA DE CREDITO",ABS(Registro_Compras!$O$56),IF(Registro_Compras!$F$56="RHE",ROUND(Registro_Compras!$L$56*Registro_Compras!$N$56,2),ROUND(Registro_Compras!$J$56*Registro_Compras!$N$56,2))))</f>
        <v>500</v>
      </c>
      <c r="F473" s="20" t="str">
        <f>""</f>
        <v/>
      </c>
      <c r="G473" t="str">
        <f>IF($C473="","",IF(Registro_Compras!$F$56="NOTA DE CREDITO","Por la nota de credito "&amp;Registro_Compras!$C$56&amp;" de "&amp;Registro_Compras!$E$56&amp;" [PATRON POR CONFIRMAR CON CONTADOR]",IF(Registro_Compras!$F$56="RHE","Por el registro del recibo por honorarios "&amp;Registro_Compras!$C$56&amp;" de "&amp;Registro_Compras!$E$56&amp;" [PATRON POR CONFIRMAR CON CONTADOR]","Por el registro de la factura "&amp;Registro_Compras!$C$56&amp;" de "&amp;Registro_Compras!$E$56)))</f>
        <v>Por el registro del recibo por honorarios E001-71 de GUILLEN GALLO ANDRES ALEJANDRO [PATRON POR CONFIRMAR CON CONTADOR]</v>
      </c>
      <c r="H473" t="str">
        <f>IF($C473="","",Registro_Compras!$C$56)</f>
        <v>E001-71</v>
      </c>
    </row>
    <row r="474" spans="1:8" x14ac:dyDescent="0.25">
      <c r="A474" s="25">
        <f>IF($C474="","",Registro_Compras!$B$56)</f>
        <v>46241</v>
      </c>
      <c r="B474" t="str">
        <f>IF($C474="","","C"&amp;TEXT(INT((ROW()-5)/9)+1,"000")&amp;"-1")</f>
        <v>C053-1</v>
      </c>
      <c r="C474" t="str">
        <f>IF(OR(Registro_Compras!$C$56="",Registro_Compras!$O$56=""),"",IF(Registro_Compras!$F$56="RHE",IF(Registro_Compras!$V$56=0,"","4017"),IF(Registro_Compras!$F$56="NOTA DE CREDITO",IF(Registro_Compras!$M$56="","63",Registro_Compras!$M$56),IF(Registro_Compras!$K$56=0,"","40111"))))</f>
        <v>4017</v>
      </c>
      <c r="D474" t="str">
        <f>IF(OR(Registro_Compras!$C$56="",Registro_Compras!$O$56=""),"",IF(Registro_Compras!$F$56="RHE","Retencion Renta 4ta Categoria por Pagar",IF(Registro_Compras!$F$56="NOTA DE CREDITO","Gastos de Servicios Prestados por Terceros","IGV - Cuenta Propia (Credito Fiscal)")))</f>
        <v>Retencion Renta 4ta Categoria por Pagar</v>
      </c>
      <c r="E474" s="20" t="str">
        <f>IF($C474="","",IF(Registro_Compras!$F$56="FACTURA",ROUND(Registro_Compras!$K$56*Registro_Compras!$N$56,2),""))</f>
        <v/>
      </c>
      <c r="F474" s="20">
        <f>IF($C474="","",IF(Registro_Compras!$F$56="RHE",ROUND(Registro_Compras!$V$56*Registro_Compras!$N$56,2),IF(Registro_Compras!$F$56="NOTA DE CREDITO",ROUND(ABS(Registro_Compras!$J$56*Registro_Compras!$N$56),2),"")))</f>
        <v>60</v>
      </c>
      <c r="G474" t="str">
        <f>IF($C474="","",IF(Registro_Compras!$F$56="NOTA DE CREDITO","Por la nota de credito "&amp;Registro_Compras!$C$56&amp;" de "&amp;Registro_Compras!$E$56&amp;" [PATRON POR CONFIRMAR CON CONTADOR]",IF(Registro_Compras!$F$56="RHE","Por el registro del recibo por honorarios "&amp;Registro_Compras!$C$56&amp;" de "&amp;Registro_Compras!$E$56&amp;" [PATRON POR CONFIRMAR CON CONTADOR]","Por el registro de la factura "&amp;Registro_Compras!$C$56&amp;" de "&amp;Registro_Compras!$E$56)))</f>
        <v>Por el registro del recibo por honorarios E001-71 de GUILLEN GALLO ANDRES ALEJANDRO [PATRON POR CONFIRMAR CON CONTADOR]</v>
      </c>
      <c r="H474" t="str">
        <f>IF($C474="","",Registro_Compras!$C$56)</f>
        <v>E001-71</v>
      </c>
    </row>
    <row r="475" spans="1:8" x14ac:dyDescent="0.25">
      <c r="A475" s="25">
        <f>IF($C475="","",Registro_Compras!$B$56)</f>
        <v>46241</v>
      </c>
      <c r="B475" t="str">
        <f>IF($C475="","","C"&amp;TEXT(INT((ROW()-5)/9)+1,"000")&amp;"-1")</f>
        <v>C053-1</v>
      </c>
      <c r="C475" t="str">
        <f>IF(OR(Registro_Compras!$C$56="",Registro_Compras!$O$56=""),"",IF(Registro_Compras!$F$56="NOTA DE CREDITO",IF(Registro_Compras!$K$56=0,"","40111"),"4212"))</f>
        <v>4212</v>
      </c>
      <c r="D475" t="str">
        <f>IF(OR(Registro_Compras!$C$56="",Registro_Compras!$O$56=""),"",IF(Registro_Compras!$F$56="NOTA DE CREDITO","IGV - Cuenta Propia (Credito Fiscal)","Cuentas por Pagar Comerciales - Terceros (Emitidas)"))</f>
        <v>Cuentas por Pagar Comerciales - Terceros (Emitidas)</v>
      </c>
      <c r="E475" s="20" t="str">
        <f>""</f>
        <v/>
      </c>
      <c r="F475" s="20">
        <f>IF($C475="","",IF(Registro_Compras!$F$56="NOTA DE CREDITO",ROUND(ABS(Registro_Compras!$K$56*Registro_Compras!$N$56),2),IF(Registro_Compras!$F$56="RHE",(ROUND(Registro_Compras!$L$56*Registro_Compras!$N$56,2)-ROUND(Registro_Compras!$V$56*Registro_Compras!$N$56,2)),Registro_Compras!$O$56)))</f>
        <v>440</v>
      </c>
      <c r="G475" t="str">
        <f>IF($C475="","",IF(Registro_Compras!$F$56="NOTA DE CREDITO","Por la nota de credito "&amp;Registro_Compras!$C$56&amp;" de "&amp;Registro_Compras!$E$56&amp;" [PATRON POR CONFIRMAR CON CONTADOR]",IF(Registro_Compras!$F$56="RHE","Por el registro del recibo por honorarios "&amp;Registro_Compras!$C$56&amp;" de "&amp;Registro_Compras!$E$56&amp;" [PATRON POR CONFIRMAR CON CONTADOR]","Por el registro de la factura "&amp;Registro_Compras!$C$56&amp;" de "&amp;Registro_Compras!$E$56)))</f>
        <v>Por el registro del recibo por honorarios E001-71 de GUILLEN GALLO ANDRES ALEJANDRO [PATRON POR CONFIRMAR CON CONTADOR]</v>
      </c>
      <c r="H475" t="str">
        <f>IF($C475="","",Registro_Compras!$C$56)</f>
        <v>E001-71</v>
      </c>
    </row>
    <row r="476" spans="1:8" x14ac:dyDescent="0.25">
      <c r="A476" s="25">
        <f>IF($C476="","",Registro_Compras!$B$56)</f>
        <v>46241</v>
      </c>
      <c r="B476" t="str">
        <f>IF($C476="","","C"&amp;TEXT(INT((ROW()-5)/9)+1,"000")&amp;"-2")</f>
        <v>C053-2</v>
      </c>
      <c r="C476" t="str">
        <f>IF(OR(Registro_Compras!$C$56="",Registro_Compras!$O$56=""),"",IF(Registro_Compras!$AB$56="ADMINISTRATIVO","94","95"))</f>
        <v>94</v>
      </c>
      <c r="D476" t="str">
        <f>IF(OR(Registro_Compras!$C$56="",Registro_Compras!$O$56=""),"",IF(Registro_Compras!$AB$56="ADMINISTRATIVO","Gastos Administrativos","Gastos de Venta y Operacion"))</f>
        <v>Gastos Administrativos</v>
      </c>
      <c r="E476" s="20">
        <f>IF($C476="","",IF(Registro_Compras!$F$56="NOTA DE CREDITO","",IF(Registro_Compras!$F$56="RHE",ROUND(Registro_Compras!$L$56*Registro_Compras!$N$56,2),ROUND(Registro_Compras!$J$56*Registro_Compras!$N$56,2))))</f>
        <v>500</v>
      </c>
      <c r="F476" s="20" t="str">
        <f>IF($C476="","",IF(Registro_Compras!$F$56="NOTA DE CREDITO",ROUND(ABS(Registro_Compras!$J$56*Registro_Compras!$N$56),2),""))</f>
        <v/>
      </c>
      <c r="G476" t="str">
        <f>IF($C476="","","Por el destino del gasto")</f>
        <v>Por el destino del gasto</v>
      </c>
      <c r="H476" t="str">
        <f>IF($C476="","",Registro_Compras!$C$56)</f>
        <v>E001-71</v>
      </c>
    </row>
    <row r="477" spans="1:8" x14ac:dyDescent="0.25">
      <c r="A477" s="25">
        <f>IF($C477="","",Registro_Compras!$B$56)</f>
        <v>46241</v>
      </c>
      <c r="B477" t="str">
        <f>IF($C477="","","C"&amp;TEXT(INT((ROW()-5)/9)+1,"000")&amp;"-2")</f>
        <v>C053-2</v>
      </c>
      <c r="C477" t="str">
        <f>IF(OR(Registro_Compras!$C$56="",Registro_Compras!$O$56=""),"","79/791")</f>
        <v>79/791</v>
      </c>
      <c r="D477" t="str">
        <f>IF(OR(Registro_Compras!$C$56="",Registro_Compras!$O$56=""),"","Cargas Imputables a Cuentas de Costos y Gastos")</f>
        <v>Cargas Imputables a Cuentas de Costos y Gastos</v>
      </c>
      <c r="E477" s="20" t="str">
        <f>IF($C477="","",IF(Registro_Compras!$F$56="NOTA DE CREDITO",ROUND(ABS(Registro_Compras!$J$56*Registro_Compras!$N$56),2),""))</f>
        <v/>
      </c>
      <c r="F477" s="20">
        <f>IF($C477="","",IF(Registro_Compras!$F$56="NOTA DE CREDITO","",IF(Registro_Compras!$F$56="RHE",ROUND(Registro_Compras!$L$56*Registro_Compras!$N$56,2),ROUND(Registro_Compras!$J$56*Registro_Compras!$N$56,2))))</f>
        <v>500</v>
      </c>
      <c r="G477" t="str">
        <f>IF($C477="","","Por el destino del gasto")</f>
        <v>Por el destino del gasto</v>
      </c>
      <c r="H477" t="str">
        <f>IF($C477="","",Registro_Compras!$C$56)</f>
        <v>E001-71</v>
      </c>
    </row>
    <row r="478" spans="1:8" x14ac:dyDescent="0.25">
      <c r="A478" s="25" t="str">
        <f>IF($C478="","",Registro_Compras!$X$56)</f>
        <v/>
      </c>
      <c r="B478" t="str">
        <f>IF($C478="","","C"&amp;TEXT(INT((ROW()-5)/9)+1,"000")&amp;"-3")</f>
        <v/>
      </c>
      <c r="C478" t="str">
        <f>IF(OR(Registro_Compras!$C$56="",Registro_Compras!$O$56="",Registro_Compras!$R$56&lt;&gt;"SI",Registro_Compras!$X$56=""),"","4212")</f>
        <v/>
      </c>
      <c r="D478" t="str">
        <f>IF(OR(Registro_Compras!$C$56="",Registro_Compras!$O$56=""),"","Cuentas por Pagar Comerciales - Terceros")</f>
        <v>Cuentas por Pagar Comerciales - Terceros</v>
      </c>
      <c r="E478" s="20" t="str">
        <f>IF($C478="","",Registro_Compras!$S$56)</f>
        <v/>
      </c>
      <c r="F478" s="20" t="str">
        <f>""</f>
        <v/>
      </c>
      <c r="G478" t="str">
        <f>IF($C478="","","Por el deposito de la detraccion en el Banco de la Nacion")</f>
        <v/>
      </c>
      <c r="H478" t="str">
        <f>IF($C478="","",Registro_Compras!$C$56)</f>
        <v/>
      </c>
    </row>
    <row r="479" spans="1:8" x14ac:dyDescent="0.25">
      <c r="A479" s="25" t="str">
        <f>IF($C479="","",Registro_Compras!$X$56)</f>
        <v/>
      </c>
      <c r="B479" t="str">
        <f>IF($C479="","","C"&amp;TEXT(INT((ROW()-5)/9)+1,"000")&amp;"-3")</f>
        <v/>
      </c>
      <c r="C479" t="str">
        <f>IF(OR(Registro_Compras!$C$56="",Registro_Compras!$O$56="",Registro_Compras!$R$56&lt;&gt;"SI",Registro_Compras!$X$56=""),"","1041")</f>
        <v/>
      </c>
      <c r="D479" t="str">
        <f>IF(OR(Registro_Compras!$C$56="",Registro_Compras!$O$56=""),"","Efectivo y Equivalentes - Cta. Cte. Operativa")</f>
        <v>Efectivo y Equivalentes - Cta. Cte. Operativa</v>
      </c>
      <c r="E479" s="20" t="str">
        <f>""</f>
        <v/>
      </c>
      <c r="F479" s="20" t="str">
        <f>IF($C479="","",Registro_Compras!$S$56)</f>
        <v/>
      </c>
      <c r="G479" t="str">
        <f>IF($C479="","","Por el deposito de la detraccion en el Banco de la Nacion")</f>
        <v/>
      </c>
      <c r="H479" t="str">
        <f>IF($C479="","",Registro_Compras!$C$56)</f>
        <v/>
      </c>
    </row>
    <row r="480" spans="1:8" x14ac:dyDescent="0.25">
      <c r="A480" s="25" t="str">
        <f>IF($C480="","",Registro_Compras!$Y$56)</f>
        <v/>
      </c>
      <c r="B480" t="str">
        <f>IF($C480="","","C"&amp;TEXT(INT((ROW()-5)/9)+1,"000")&amp;"-4")</f>
        <v/>
      </c>
      <c r="C480" t="str">
        <f>IF(OR(Registro_Compras!$C$56="",Registro_Compras!$O$56="",Registro_Compras!$Y$56="",Registro_Compras!$F$56="NOTA DE CREDITO"),"","4212")</f>
        <v/>
      </c>
      <c r="D480" t="str">
        <f>IF(OR(Registro_Compras!$C$56="",Registro_Compras!$O$56=""),"","Cuentas por Pagar Comerciales - Terceros")</f>
        <v>Cuentas por Pagar Comerciales - Terceros</v>
      </c>
      <c r="E480" s="20" t="str">
        <f>IF($C480="","",IF(Registro_Compras!$F$56="RHE",(ROUND(Registro_Compras!$L$56*Registro_Compras!$N$56,2)-ROUND(Registro_Compras!$V$56*Registro_Compras!$N$56,2)),ROUND(Registro_Compras!$O$56-Registro_Compras!$S$56,2)))</f>
        <v/>
      </c>
      <c r="F480" s="20" t="str">
        <f>""</f>
        <v/>
      </c>
      <c r="G480" t="str">
        <f>IF($C480="","","Por la cancelacion del saldo al proveedor")</f>
        <v/>
      </c>
      <c r="H480" t="str">
        <f>IF($C480="","",Registro_Compras!$C$56)</f>
        <v/>
      </c>
    </row>
    <row r="481" spans="1:8" x14ac:dyDescent="0.25">
      <c r="A481" s="25" t="str">
        <f>IF($C481="","",Registro_Compras!$Y$56)</f>
        <v/>
      </c>
      <c r="B481" t="str">
        <f>IF($C481="","","C"&amp;TEXT(INT((ROW()-5)/9)+1,"000")&amp;"-4")</f>
        <v/>
      </c>
      <c r="C481" t="str">
        <f>IF(OR(Registro_Compras!$C$56="",Registro_Compras!$O$56="",Registro_Compras!$Y$56="",Registro_Compras!$F$56="NOTA DE CREDITO"),"","1041")</f>
        <v/>
      </c>
      <c r="D481" t="str">
        <f>IF(OR(Registro_Compras!$C$56="",Registro_Compras!$O$56=""),"","Efectivo y Equivalentes - Cta. Cte. Operativa")</f>
        <v>Efectivo y Equivalentes - Cta. Cte. Operativa</v>
      </c>
      <c r="E481" s="20" t="str">
        <f>""</f>
        <v/>
      </c>
      <c r="F481" s="20" t="str">
        <f>IF($C481="","",IF(Registro_Compras!$F$56="RHE",(ROUND(Registro_Compras!$L$56*Registro_Compras!$N$56,2)-ROUND(Registro_Compras!$V$56*Registro_Compras!$N$56,2)),ROUND(Registro_Compras!$O$56-Registro_Compras!$S$56,2)))</f>
        <v/>
      </c>
      <c r="G481" t="str">
        <f>IF($C481="","","Por la cancelacion del saldo al proveedor")</f>
        <v/>
      </c>
      <c r="H481" t="str">
        <f>IF($C481="","",Registro_Compras!$C$56)</f>
        <v/>
      </c>
    </row>
    <row r="482" spans="1:8" x14ac:dyDescent="0.25">
      <c r="A482" s="25">
        <f>IF($C482="","",Registro_Compras!$B$57)</f>
        <v>46247</v>
      </c>
      <c r="B482" t="str">
        <f>IF($C482="","","C"&amp;TEXT(INT((ROW()-5)/9)+1,"000")&amp;"-1")</f>
        <v>C054-1</v>
      </c>
      <c r="C482" t="str">
        <f>IF(OR(Registro_Compras!$C$57="",Registro_Compras!$O$57=""),"",IF(Registro_Compras!$F$57="NOTA DE CREDITO","4212",IF(Registro_Compras!$M$57="","63",Registro_Compras!$M$57)))</f>
        <v>4212</v>
      </c>
      <c r="D482" t="str">
        <f>IF(OR(Registro_Compras!$C$57="",Registro_Compras!$O$57=""),"",IF(Registro_Compras!$F$57="NOTA DE CREDITO","Cuentas por Pagar Comerciales - Terceros (Emitidas)",IF(Registro_Compras!$F$57="RHE","Honorarios Profesionales - Servicios de Terceros","Gastos de Servicios Prestados por Terceros")))</f>
        <v>Cuentas por Pagar Comerciales - Terceros (Emitidas)</v>
      </c>
      <c r="E482" s="20">
        <f>IF($C482="","",IF(Registro_Compras!$F$57="NOTA DE CREDITO",ABS(Registro_Compras!$O$57),IF(Registro_Compras!$F$57="RHE",ROUND(Registro_Compras!$L$57*Registro_Compras!$N$57,2),ROUND(Registro_Compras!$J$57*Registro_Compras!$N$57,2))))</f>
        <v>943.04000000000008</v>
      </c>
      <c r="F482" s="20" t="str">
        <f>""</f>
        <v/>
      </c>
      <c r="G482" t="str">
        <f>IF($C482="","",IF(Registro_Compras!$F$57="NOTA DE CREDITO","Por la nota de credito "&amp;Registro_Compras!$C$57&amp;" de "&amp;Registro_Compras!$E$57&amp;" [PATRON POR CONFIRMAR CON CONTADOR]",IF(Registro_Compras!$F$57="RHE","Por el registro del recibo por honorarios "&amp;Registro_Compras!$C$57&amp;" de "&amp;Registro_Compras!$E$57&amp;" [PATRON POR CONFIRMAR CON CONTADOR]","Por el registro de la factura "&amp;Registro_Compras!$C$57&amp;" de "&amp;Registro_Compras!$E$57)))</f>
        <v>Por la nota de credito FC55-00002098 de HOTELERIA PERUANA S.A.C. (TIERRA VIVA HOTELS) [PATRON POR CONFIRMAR CON CONTADOR]</v>
      </c>
      <c r="H482" t="str">
        <f>IF($C482="","",Registro_Compras!$C$57)</f>
        <v>FC55-00002098</v>
      </c>
    </row>
    <row r="483" spans="1:8" x14ac:dyDescent="0.25">
      <c r="A483" s="25">
        <f>IF($C483="","",Registro_Compras!$B$57)</f>
        <v>46247</v>
      </c>
      <c r="B483" t="str">
        <f>IF($C483="","","C"&amp;TEXT(INT((ROW()-5)/9)+1,"000")&amp;"-1")</f>
        <v>C054-1</v>
      </c>
      <c r="C483" t="str">
        <f>IF(OR(Registro_Compras!$C$57="",Registro_Compras!$O$57=""),"",IF(Registro_Compras!$F$57="RHE",IF(Registro_Compras!$V$57=0,"","4017"),IF(Registro_Compras!$F$57="NOTA DE CREDITO",IF(Registro_Compras!$M$57="","63",Registro_Compras!$M$57),IF(Registro_Compras!$K$57=0,"","40111"))))</f>
        <v>639</v>
      </c>
      <c r="D483" t="str">
        <f>IF(OR(Registro_Compras!$C$57="",Registro_Compras!$O$57=""),"",IF(Registro_Compras!$F$57="RHE","Retencion Renta 4ta Categoria por Pagar",IF(Registro_Compras!$F$57="NOTA DE CREDITO","Gastos de Servicios Prestados por Terceros","IGV - Cuenta Propia (Credito Fiscal)")))</f>
        <v>Gastos de Servicios Prestados por Terceros</v>
      </c>
      <c r="E483" s="20" t="str">
        <f>IF($C483="","",IF(Registro_Compras!$F$57="FACTURA",ROUND(Registro_Compras!$K$57*Registro_Compras!$N$57,2),""))</f>
        <v/>
      </c>
      <c r="F483" s="20">
        <f>IF($C483="","",IF(Registro_Compras!$F$57="RHE",ROUND(Registro_Compras!$V$57*Registro_Compras!$N$57,2),IF(Registro_Compras!$F$57="NOTA DE CREDITO",ROUND(ABS(Registro_Compras!$J$57*Registro_Compras!$N$57),2),"")))</f>
        <v>799.19</v>
      </c>
      <c r="G483" t="str">
        <f>IF($C483="","",IF(Registro_Compras!$F$57="NOTA DE CREDITO","Por la nota de credito "&amp;Registro_Compras!$C$57&amp;" de "&amp;Registro_Compras!$E$57&amp;" [PATRON POR CONFIRMAR CON CONTADOR]",IF(Registro_Compras!$F$57="RHE","Por el registro del recibo por honorarios "&amp;Registro_Compras!$C$57&amp;" de "&amp;Registro_Compras!$E$57&amp;" [PATRON POR CONFIRMAR CON CONTADOR]","Por el registro de la factura "&amp;Registro_Compras!$C$57&amp;" de "&amp;Registro_Compras!$E$57)))</f>
        <v>Por la nota de credito FC55-00002098 de HOTELERIA PERUANA S.A.C. (TIERRA VIVA HOTELS) [PATRON POR CONFIRMAR CON CONTADOR]</v>
      </c>
      <c r="H483" t="str">
        <f>IF($C483="","",Registro_Compras!$C$57)</f>
        <v>FC55-00002098</v>
      </c>
    </row>
    <row r="484" spans="1:8" x14ac:dyDescent="0.25">
      <c r="A484" s="25">
        <f>IF($C484="","",Registro_Compras!$B$57)</f>
        <v>46247</v>
      </c>
      <c r="B484" t="str">
        <f>IF($C484="","","C"&amp;TEXT(INT((ROW()-5)/9)+1,"000")&amp;"-1")</f>
        <v>C054-1</v>
      </c>
      <c r="C484" t="str">
        <f>IF(OR(Registro_Compras!$C$57="",Registro_Compras!$O$57=""),"",IF(Registro_Compras!$F$57="NOTA DE CREDITO",IF(Registro_Compras!$K$57=0,"","40111"),"4212"))</f>
        <v>40111</v>
      </c>
      <c r="D484" t="str">
        <f>IF(OR(Registro_Compras!$C$57="",Registro_Compras!$O$57=""),"",IF(Registro_Compras!$F$57="NOTA DE CREDITO","IGV - Cuenta Propia (Credito Fiscal)","Cuentas por Pagar Comerciales - Terceros (Emitidas)"))</f>
        <v>IGV - Cuenta Propia (Credito Fiscal)</v>
      </c>
      <c r="E484" s="20" t="str">
        <f>""</f>
        <v/>
      </c>
      <c r="F484" s="20">
        <f>IF($C484="","",IF(Registro_Compras!$F$57="NOTA DE CREDITO",ROUND(ABS(Registro_Compras!$K$57*Registro_Compras!$N$57),2),IF(Registro_Compras!$F$57="RHE",(ROUND(Registro_Compras!$L$57*Registro_Compras!$N$57,2)-ROUND(Registro_Compras!$V$57*Registro_Compras!$N$57,2)),Registro_Compras!$O$57)))</f>
        <v>143.85</v>
      </c>
      <c r="G484" t="str">
        <f>IF($C484="","",IF(Registro_Compras!$F$57="NOTA DE CREDITO","Por la nota de credito "&amp;Registro_Compras!$C$57&amp;" de "&amp;Registro_Compras!$E$57&amp;" [PATRON POR CONFIRMAR CON CONTADOR]",IF(Registro_Compras!$F$57="RHE","Por el registro del recibo por honorarios "&amp;Registro_Compras!$C$57&amp;" de "&amp;Registro_Compras!$E$57&amp;" [PATRON POR CONFIRMAR CON CONTADOR]","Por el registro de la factura "&amp;Registro_Compras!$C$57&amp;" de "&amp;Registro_Compras!$E$57)))</f>
        <v>Por la nota de credito FC55-00002098 de HOTELERIA PERUANA S.A.C. (TIERRA VIVA HOTELS) [PATRON POR CONFIRMAR CON CONTADOR]</v>
      </c>
      <c r="H484" t="str">
        <f>IF($C484="","",Registro_Compras!$C$57)</f>
        <v>FC55-00002098</v>
      </c>
    </row>
    <row r="485" spans="1:8" x14ac:dyDescent="0.25">
      <c r="A485" s="25">
        <f>IF($C485="","",Registro_Compras!$B$57)</f>
        <v>46247</v>
      </c>
      <c r="B485" t="str">
        <f>IF($C485="","","C"&amp;TEXT(INT((ROW()-5)/9)+1,"000")&amp;"-2")</f>
        <v>C054-2</v>
      </c>
      <c r="C485" t="str">
        <f>IF(OR(Registro_Compras!$C$57="",Registro_Compras!$O$57=""),"",IF(Registro_Compras!$AB$57="ADMINISTRATIVO","94","95"))</f>
        <v>95</v>
      </c>
      <c r="D485" t="str">
        <f>IF(OR(Registro_Compras!$C$57="",Registro_Compras!$O$57=""),"",IF(Registro_Compras!$AB$57="ADMINISTRATIVO","Gastos Administrativos","Gastos de Venta y Operacion"))</f>
        <v>Gastos de Venta y Operacion</v>
      </c>
      <c r="E485" s="20" t="str">
        <f>IF($C485="","",IF(Registro_Compras!$F$57="NOTA DE CREDITO","",IF(Registro_Compras!$F$57="RHE",ROUND(Registro_Compras!$L$57*Registro_Compras!$N$57,2),ROUND(Registro_Compras!$J$57*Registro_Compras!$N$57,2))))</f>
        <v/>
      </c>
      <c r="F485" s="20">
        <f>IF($C485="","",IF(Registro_Compras!$F$57="NOTA DE CREDITO",ROUND(ABS(Registro_Compras!$J$57*Registro_Compras!$N$57),2),""))</f>
        <v>799.19</v>
      </c>
      <c r="G485" t="str">
        <f>IF($C485="","","Por el destino del gasto")</f>
        <v>Por el destino del gasto</v>
      </c>
      <c r="H485" t="str">
        <f>IF($C485="","",Registro_Compras!$C$57)</f>
        <v>FC55-00002098</v>
      </c>
    </row>
    <row r="486" spans="1:8" x14ac:dyDescent="0.25">
      <c r="A486" s="25">
        <f>IF($C486="","",Registro_Compras!$B$57)</f>
        <v>46247</v>
      </c>
      <c r="B486" t="str">
        <f>IF($C486="","","C"&amp;TEXT(INT((ROW()-5)/9)+1,"000")&amp;"-2")</f>
        <v>C054-2</v>
      </c>
      <c r="C486" t="str">
        <f>IF(OR(Registro_Compras!$C$57="",Registro_Compras!$O$57=""),"","79/791")</f>
        <v>79/791</v>
      </c>
      <c r="D486" t="str">
        <f>IF(OR(Registro_Compras!$C$57="",Registro_Compras!$O$57=""),"","Cargas Imputables a Cuentas de Costos y Gastos")</f>
        <v>Cargas Imputables a Cuentas de Costos y Gastos</v>
      </c>
      <c r="E486" s="20">
        <f>IF($C486="","",IF(Registro_Compras!$F$57="NOTA DE CREDITO",ROUND(ABS(Registro_Compras!$J$57*Registro_Compras!$N$57),2),""))</f>
        <v>799.19</v>
      </c>
      <c r="F486" s="20" t="str">
        <f>IF($C486="","",IF(Registro_Compras!$F$57="NOTA DE CREDITO","",IF(Registro_Compras!$F$57="RHE",ROUND(Registro_Compras!$L$57*Registro_Compras!$N$57,2),ROUND(Registro_Compras!$J$57*Registro_Compras!$N$57,2))))</f>
        <v/>
      </c>
      <c r="G486" t="str">
        <f>IF($C486="","","Por el destino del gasto")</f>
        <v>Por el destino del gasto</v>
      </c>
      <c r="H486" t="str">
        <f>IF($C486="","",Registro_Compras!$C$57)</f>
        <v>FC55-00002098</v>
      </c>
    </row>
    <row r="487" spans="1:8" x14ac:dyDescent="0.25">
      <c r="A487" s="25" t="str">
        <f>IF($C487="","",Registro_Compras!$X$57)</f>
        <v/>
      </c>
      <c r="B487" t="str">
        <f>IF($C487="","","C"&amp;TEXT(INT((ROW()-5)/9)+1,"000")&amp;"-3")</f>
        <v/>
      </c>
      <c r="C487" t="str">
        <f>IF(OR(Registro_Compras!$C$57="",Registro_Compras!$O$57="",Registro_Compras!$R$57&lt;&gt;"SI",Registro_Compras!$X$57=""),"","4212")</f>
        <v/>
      </c>
      <c r="D487" t="str">
        <f>IF(OR(Registro_Compras!$C$57="",Registro_Compras!$O$57=""),"","Cuentas por Pagar Comerciales - Terceros")</f>
        <v>Cuentas por Pagar Comerciales - Terceros</v>
      </c>
      <c r="E487" s="20" t="str">
        <f>IF($C487="","",Registro_Compras!$S$57)</f>
        <v/>
      </c>
      <c r="F487" s="20" t="str">
        <f>""</f>
        <v/>
      </c>
      <c r="G487" t="str">
        <f>IF($C487="","","Por el deposito de la detraccion en el Banco de la Nacion")</f>
        <v/>
      </c>
      <c r="H487" t="str">
        <f>IF($C487="","",Registro_Compras!$C$57)</f>
        <v/>
      </c>
    </row>
    <row r="488" spans="1:8" x14ac:dyDescent="0.25">
      <c r="A488" s="25" t="str">
        <f>IF($C488="","",Registro_Compras!$X$57)</f>
        <v/>
      </c>
      <c r="B488" t="str">
        <f>IF($C488="","","C"&amp;TEXT(INT((ROW()-5)/9)+1,"000")&amp;"-3")</f>
        <v/>
      </c>
      <c r="C488" t="str">
        <f>IF(OR(Registro_Compras!$C$57="",Registro_Compras!$O$57="",Registro_Compras!$R$57&lt;&gt;"SI",Registro_Compras!$X$57=""),"","1041")</f>
        <v/>
      </c>
      <c r="D488" t="str">
        <f>IF(OR(Registro_Compras!$C$57="",Registro_Compras!$O$57=""),"","Efectivo y Equivalentes - Cta. Cte. Operativa")</f>
        <v>Efectivo y Equivalentes - Cta. Cte. Operativa</v>
      </c>
      <c r="E488" s="20" t="str">
        <f>""</f>
        <v/>
      </c>
      <c r="F488" s="20" t="str">
        <f>IF($C488="","",Registro_Compras!$S$57)</f>
        <v/>
      </c>
      <c r="G488" t="str">
        <f>IF($C488="","","Por el deposito de la detraccion en el Banco de la Nacion")</f>
        <v/>
      </c>
      <c r="H488" t="str">
        <f>IF($C488="","",Registro_Compras!$C$57)</f>
        <v/>
      </c>
    </row>
    <row r="489" spans="1:8" x14ac:dyDescent="0.25">
      <c r="A489" s="25" t="str">
        <f>IF($C489="","",Registro_Compras!$Y$57)</f>
        <v/>
      </c>
      <c r="B489" t="str">
        <f>IF($C489="","","C"&amp;TEXT(INT((ROW()-5)/9)+1,"000")&amp;"-4")</f>
        <v/>
      </c>
      <c r="C489" t="str">
        <f>IF(OR(Registro_Compras!$C$57="",Registro_Compras!$O$57="",Registro_Compras!$Y$57="",Registro_Compras!$F$57="NOTA DE CREDITO"),"","4212")</f>
        <v/>
      </c>
      <c r="D489" t="str">
        <f>IF(OR(Registro_Compras!$C$57="",Registro_Compras!$O$57=""),"","Cuentas por Pagar Comerciales - Terceros")</f>
        <v>Cuentas por Pagar Comerciales - Terceros</v>
      </c>
      <c r="E489" s="20" t="str">
        <f>IF($C489="","",IF(Registro_Compras!$F$57="RHE",(ROUND(Registro_Compras!$L$57*Registro_Compras!$N$57,2)-ROUND(Registro_Compras!$V$57*Registro_Compras!$N$57,2)),ROUND(Registro_Compras!$O$57-Registro_Compras!$S$57,2)))</f>
        <v/>
      </c>
      <c r="F489" s="20" t="str">
        <f>""</f>
        <v/>
      </c>
      <c r="G489" t="str">
        <f>IF($C489="","","Por la cancelacion del saldo al proveedor")</f>
        <v/>
      </c>
      <c r="H489" t="str">
        <f>IF($C489="","",Registro_Compras!$C$57)</f>
        <v/>
      </c>
    </row>
    <row r="490" spans="1:8" x14ac:dyDescent="0.25">
      <c r="A490" s="25" t="str">
        <f>IF($C490="","",Registro_Compras!$Y$57)</f>
        <v/>
      </c>
      <c r="B490" t="str">
        <f>IF($C490="","","C"&amp;TEXT(INT((ROW()-5)/9)+1,"000")&amp;"-4")</f>
        <v/>
      </c>
      <c r="C490" t="str">
        <f>IF(OR(Registro_Compras!$C$57="",Registro_Compras!$O$57="",Registro_Compras!$Y$57="",Registro_Compras!$F$57="NOTA DE CREDITO"),"","1041")</f>
        <v/>
      </c>
      <c r="D490" t="str">
        <f>IF(OR(Registro_Compras!$C$57="",Registro_Compras!$O$57=""),"","Efectivo y Equivalentes - Cta. Cte. Operativa")</f>
        <v>Efectivo y Equivalentes - Cta. Cte. Operativa</v>
      </c>
      <c r="E490" s="20" t="str">
        <f>""</f>
        <v/>
      </c>
      <c r="F490" s="20" t="str">
        <f>IF($C490="","",IF(Registro_Compras!$F$57="RHE",(ROUND(Registro_Compras!$L$57*Registro_Compras!$N$57,2)-ROUND(Registro_Compras!$V$57*Registro_Compras!$N$57,2)),ROUND(Registro_Compras!$O$57-Registro_Compras!$S$57,2)))</f>
        <v/>
      </c>
      <c r="G490" t="str">
        <f>IF($C490="","","Por la cancelacion del saldo al proveedor")</f>
        <v/>
      </c>
      <c r="H490" t="str">
        <f>IF($C490="","",Registro_Compras!$C$57)</f>
        <v/>
      </c>
    </row>
    <row r="491" spans="1:8" x14ac:dyDescent="0.25">
      <c r="A491" s="25">
        <f>IF($C491="","",Registro_Compras!$B$58)</f>
        <v>46251</v>
      </c>
      <c r="B491" t="str">
        <f>IF($C491="","","C"&amp;TEXT(INT((ROW()-5)/9)+1,"000")&amp;"-1")</f>
        <v>C055-1</v>
      </c>
      <c r="C491" t="str">
        <f>IF(OR(Registro_Compras!$C$58="",Registro_Compras!$O$58=""),"",IF(Registro_Compras!$F$58="NOTA DE CREDITO","4212",IF(Registro_Compras!$M$58="","63",Registro_Compras!$M$58)))</f>
        <v>639</v>
      </c>
      <c r="D491" t="str">
        <f>IF(OR(Registro_Compras!$C$58="",Registro_Compras!$O$58=""),"",IF(Registro_Compras!$F$58="NOTA DE CREDITO","Cuentas por Pagar Comerciales - Terceros (Emitidas)",IF(Registro_Compras!$F$58="RHE","Honorarios Profesionales - Servicios de Terceros","Gastos de Servicios Prestados por Terceros")))</f>
        <v>Gastos de Servicios Prestados por Terceros</v>
      </c>
      <c r="E491" s="20">
        <f>IF($C491="","",IF(Registro_Compras!$F$58="NOTA DE CREDITO",ABS(Registro_Compras!$O$58),IF(Registro_Compras!$F$58="RHE",ROUND(Registro_Compras!$L$58*Registro_Compras!$N$58,2),ROUND(Registro_Compras!$J$58*Registro_Compras!$N$58,2))))</f>
        <v>318.81</v>
      </c>
      <c r="F491" s="20" t="str">
        <f>""</f>
        <v/>
      </c>
      <c r="G491" t="str">
        <f>IF($C491="","",IF(Registro_Compras!$F$58="NOTA DE CREDITO","Por la nota de credito "&amp;Registro_Compras!$C$58&amp;" de "&amp;Registro_Compras!$E$58&amp;" [PATRON POR CONFIRMAR CON CONTADOR]",IF(Registro_Compras!$F$58="RHE","Por el registro del recibo por honorarios "&amp;Registro_Compras!$C$58&amp;" de "&amp;Registro_Compras!$E$58&amp;" [PATRON POR CONFIRMAR CON CONTADOR]","Por el registro de la factura "&amp;Registro_Compras!$C$58&amp;" de "&amp;Registro_Compras!$E$58)))</f>
        <v>Por el registro de la factura F006-00003192 de HOTELES LA HACIENDA S.A.C.</v>
      </c>
      <c r="H491" t="str">
        <f>IF($C491="","",Registro_Compras!$C$58)</f>
        <v>F006-00003192</v>
      </c>
    </row>
    <row r="492" spans="1:8" x14ac:dyDescent="0.25">
      <c r="A492" s="25">
        <f>IF($C492="","",Registro_Compras!$B$58)</f>
        <v>46251</v>
      </c>
      <c r="B492" t="str">
        <f>IF($C492="","","C"&amp;TEXT(INT((ROW()-5)/9)+1,"000")&amp;"-1")</f>
        <v>C055-1</v>
      </c>
      <c r="C492" t="str">
        <f>IF(OR(Registro_Compras!$C$58="",Registro_Compras!$O$58=""),"",IF(Registro_Compras!$F$58="RHE",IF(Registro_Compras!$V$58=0,"","4017"),IF(Registro_Compras!$F$58="NOTA DE CREDITO",IF(Registro_Compras!$M$58="","63",Registro_Compras!$M$58),IF(Registro_Compras!$K$58=0,"","40111"))))</f>
        <v>40111</v>
      </c>
      <c r="D492" t="str">
        <f>IF(OR(Registro_Compras!$C$58="",Registro_Compras!$O$58=""),"",IF(Registro_Compras!$F$58="RHE","Retencion Renta 4ta Categoria por Pagar",IF(Registro_Compras!$F$58="NOTA DE CREDITO","Gastos de Servicios Prestados por Terceros","IGV - Cuenta Propia (Credito Fiscal)")))</f>
        <v>IGV - Cuenta Propia (Credito Fiscal)</v>
      </c>
      <c r="E492" s="20">
        <f>IF($C492="","",IF(Registro_Compras!$F$58="FACTURA",ROUND(Registro_Compras!$K$58*Registro_Compras!$N$58,2),""))</f>
        <v>57.39</v>
      </c>
      <c r="F492" s="20" t="str">
        <f>IF($C492="","",IF(Registro_Compras!$F$58="RHE",ROUND(Registro_Compras!$V$58*Registro_Compras!$N$58,2),IF(Registro_Compras!$F$58="NOTA DE CREDITO",ROUND(ABS(Registro_Compras!$J$58*Registro_Compras!$N$58),2),"")))</f>
        <v/>
      </c>
      <c r="G492" t="str">
        <f>IF($C492="","",IF(Registro_Compras!$F$58="NOTA DE CREDITO","Por la nota de credito "&amp;Registro_Compras!$C$58&amp;" de "&amp;Registro_Compras!$E$58&amp;" [PATRON POR CONFIRMAR CON CONTADOR]",IF(Registro_Compras!$F$58="RHE","Por el registro del recibo por honorarios "&amp;Registro_Compras!$C$58&amp;" de "&amp;Registro_Compras!$E$58&amp;" [PATRON POR CONFIRMAR CON CONTADOR]","Por el registro de la factura "&amp;Registro_Compras!$C$58&amp;" de "&amp;Registro_Compras!$E$58)))</f>
        <v>Por el registro de la factura F006-00003192 de HOTELES LA HACIENDA S.A.C.</v>
      </c>
      <c r="H492" t="str">
        <f>IF($C492="","",Registro_Compras!$C$58)</f>
        <v>F006-00003192</v>
      </c>
    </row>
    <row r="493" spans="1:8" x14ac:dyDescent="0.25">
      <c r="A493" s="25">
        <f>IF($C493="","",Registro_Compras!$B$58)</f>
        <v>46251</v>
      </c>
      <c r="B493" t="str">
        <f>IF($C493="","","C"&amp;TEXT(INT((ROW()-5)/9)+1,"000")&amp;"-1")</f>
        <v>C055-1</v>
      </c>
      <c r="C493" t="str">
        <f>IF(OR(Registro_Compras!$C$58="",Registro_Compras!$O$58=""),"",IF(Registro_Compras!$F$58="NOTA DE CREDITO",IF(Registro_Compras!$K$58=0,"","40111"),"4212"))</f>
        <v>4212</v>
      </c>
      <c r="D493" t="str">
        <f>IF(OR(Registro_Compras!$C$58="",Registro_Compras!$O$58=""),"",IF(Registro_Compras!$F$58="NOTA DE CREDITO","IGV - Cuenta Propia (Credito Fiscal)","Cuentas por Pagar Comerciales - Terceros (Emitidas)"))</f>
        <v>Cuentas por Pagar Comerciales - Terceros (Emitidas)</v>
      </c>
      <c r="E493" s="20" t="str">
        <f>""</f>
        <v/>
      </c>
      <c r="F493" s="20">
        <f>IF($C493="","",IF(Registro_Compras!$F$58="NOTA DE CREDITO",ROUND(ABS(Registro_Compras!$K$58*Registro_Compras!$N$58),2),IF(Registro_Compras!$F$58="RHE",(ROUND(Registro_Compras!$L$58*Registro_Compras!$N$58,2)-ROUND(Registro_Compras!$V$58*Registro_Compras!$N$58,2)),Registro_Compras!$O$58)))</f>
        <v>376.2</v>
      </c>
      <c r="G493" t="str">
        <f>IF($C493="","",IF(Registro_Compras!$F$58="NOTA DE CREDITO","Por la nota de credito "&amp;Registro_Compras!$C$58&amp;" de "&amp;Registro_Compras!$E$58&amp;" [PATRON POR CONFIRMAR CON CONTADOR]",IF(Registro_Compras!$F$58="RHE","Por el registro del recibo por honorarios "&amp;Registro_Compras!$C$58&amp;" de "&amp;Registro_Compras!$E$58&amp;" [PATRON POR CONFIRMAR CON CONTADOR]","Por el registro de la factura "&amp;Registro_Compras!$C$58&amp;" de "&amp;Registro_Compras!$E$58)))</f>
        <v>Por el registro de la factura F006-00003192 de HOTELES LA HACIENDA S.A.C.</v>
      </c>
      <c r="H493" t="str">
        <f>IF($C493="","",Registro_Compras!$C$58)</f>
        <v>F006-00003192</v>
      </c>
    </row>
    <row r="494" spans="1:8" x14ac:dyDescent="0.25">
      <c r="A494" s="25">
        <f>IF($C494="","",Registro_Compras!$B$58)</f>
        <v>46251</v>
      </c>
      <c r="B494" t="str">
        <f>IF($C494="","","C"&amp;TEXT(INT((ROW()-5)/9)+1,"000")&amp;"-2")</f>
        <v>C055-2</v>
      </c>
      <c r="C494" t="str">
        <f>IF(OR(Registro_Compras!$C$58="",Registro_Compras!$O$58=""),"",IF(Registro_Compras!$AB$58="ADMINISTRATIVO","94","95"))</f>
        <v>95</v>
      </c>
      <c r="D494" t="str">
        <f>IF(OR(Registro_Compras!$C$58="",Registro_Compras!$O$58=""),"",IF(Registro_Compras!$AB$58="ADMINISTRATIVO","Gastos Administrativos","Gastos de Venta y Operacion"))</f>
        <v>Gastos de Venta y Operacion</v>
      </c>
      <c r="E494" s="20">
        <f>IF($C494="","",IF(Registro_Compras!$F$58="NOTA DE CREDITO","",IF(Registro_Compras!$F$58="RHE",ROUND(Registro_Compras!$L$58*Registro_Compras!$N$58,2),ROUND(Registro_Compras!$J$58*Registro_Compras!$N$58,2))))</f>
        <v>318.81</v>
      </c>
      <c r="F494" s="20" t="str">
        <f>IF($C494="","",IF(Registro_Compras!$F$58="NOTA DE CREDITO",ROUND(ABS(Registro_Compras!$J$58*Registro_Compras!$N$58),2),""))</f>
        <v/>
      </c>
      <c r="G494" t="str">
        <f>IF($C494="","","Por el destino del gasto")</f>
        <v>Por el destino del gasto</v>
      </c>
      <c r="H494" t="str">
        <f>IF($C494="","",Registro_Compras!$C$58)</f>
        <v>F006-00003192</v>
      </c>
    </row>
    <row r="495" spans="1:8" x14ac:dyDescent="0.25">
      <c r="A495" s="25">
        <f>IF($C495="","",Registro_Compras!$B$58)</f>
        <v>46251</v>
      </c>
      <c r="B495" t="str">
        <f>IF($C495="","","C"&amp;TEXT(INT((ROW()-5)/9)+1,"000")&amp;"-2")</f>
        <v>C055-2</v>
      </c>
      <c r="C495" t="str">
        <f>IF(OR(Registro_Compras!$C$58="",Registro_Compras!$O$58=""),"","79/791")</f>
        <v>79/791</v>
      </c>
      <c r="D495" t="str">
        <f>IF(OR(Registro_Compras!$C$58="",Registro_Compras!$O$58=""),"","Cargas Imputables a Cuentas de Costos y Gastos")</f>
        <v>Cargas Imputables a Cuentas de Costos y Gastos</v>
      </c>
      <c r="E495" s="20" t="str">
        <f>IF($C495="","",IF(Registro_Compras!$F$58="NOTA DE CREDITO",ROUND(ABS(Registro_Compras!$J$58*Registro_Compras!$N$58),2),""))</f>
        <v/>
      </c>
      <c r="F495" s="20">
        <f>IF($C495="","",IF(Registro_Compras!$F$58="NOTA DE CREDITO","",IF(Registro_Compras!$F$58="RHE",ROUND(Registro_Compras!$L$58*Registro_Compras!$N$58,2),ROUND(Registro_Compras!$J$58*Registro_Compras!$N$58,2))))</f>
        <v>318.81</v>
      </c>
      <c r="G495" t="str">
        <f>IF($C495="","","Por el destino del gasto")</f>
        <v>Por el destino del gasto</v>
      </c>
      <c r="H495" t="str">
        <f>IF($C495="","",Registro_Compras!$C$58)</f>
        <v>F006-00003192</v>
      </c>
    </row>
    <row r="496" spans="1:8" x14ac:dyDescent="0.25">
      <c r="A496" s="25" t="str">
        <f>IF($C496="","",Registro_Compras!$X$58)</f>
        <v/>
      </c>
      <c r="B496" t="str">
        <f>IF($C496="","","C"&amp;TEXT(INT((ROW()-5)/9)+1,"000")&amp;"-3")</f>
        <v/>
      </c>
      <c r="C496" t="str">
        <f>IF(OR(Registro_Compras!$C$58="",Registro_Compras!$O$58="",Registro_Compras!$R$58&lt;&gt;"SI",Registro_Compras!$X$58=""),"","4212")</f>
        <v/>
      </c>
      <c r="D496" t="str">
        <f>IF(OR(Registro_Compras!$C$58="",Registro_Compras!$O$58=""),"","Cuentas por Pagar Comerciales - Terceros")</f>
        <v>Cuentas por Pagar Comerciales - Terceros</v>
      </c>
      <c r="E496" s="20" t="str">
        <f>IF($C496="","",Registro_Compras!$S$58)</f>
        <v/>
      </c>
      <c r="F496" s="20" t="str">
        <f>""</f>
        <v/>
      </c>
      <c r="G496" t="str">
        <f>IF($C496="","","Por el deposito de la detraccion en el Banco de la Nacion")</f>
        <v/>
      </c>
      <c r="H496" t="str">
        <f>IF($C496="","",Registro_Compras!$C$58)</f>
        <v/>
      </c>
    </row>
    <row r="497" spans="1:8" x14ac:dyDescent="0.25">
      <c r="A497" s="25" t="str">
        <f>IF($C497="","",Registro_Compras!$X$58)</f>
        <v/>
      </c>
      <c r="B497" t="str">
        <f>IF($C497="","","C"&amp;TEXT(INT((ROW()-5)/9)+1,"000")&amp;"-3")</f>
        <v/>
      </c>
      <c r="C497" t="str">
        <f>IF(OR(Registro_Compras!$C$58="",Registro_Compras!$O$58="",Registro_Compras!$R$58&lt;&gt;"SI",Registro_Compras!$X$58=""),"","1041")</f>
        <v/>
      </c>
      <c r="D497" t="str">
        <f>IF(OR(Registro_Compras!$C$58="",Registro_Compras!$O$58=""),"","Efectivo y Equivalentes - Cta. Cte. Operativa")</f>
        <v>Efectivo y Equivalentes - Cta. Cte. Operativa</v>
      </c>
      <c r="E497" s="20" t="str">
        <f>""</f>
        <v/>
      </c>
      <c r="F497" s="20" t="str">
        <f>IF($C497="","",Registro_Compras!$S$58)</f>
        <v/>
      </c>
      <c r="G497" t="str">
        <f>IF($C497="","","Por el deposito de la detraccion en el Banco de la Nacion")</f>
        <v/>
      </c>
      <c r="H497" t="str">
        <f>IF($C497="","",Registro_Compras!$C$58)</f>
        <v/>
      </c>
    </row>
    <row r="498" spans="1:8" x14ac:dyDescent="0.25">
      <c r="A498" s="25" t="str">
        <f>IF($C498="","",Registro_Compras!$Y$58)</f>
        <v/>
      </c>
      <c r="B498" t="str">
        <f>IF($C498="","","C"&amp;TEXT(INT((ROW()-5)/9)+1,"000")&amp;"-4")</f>
        <v/>
      </c>
      <c r="C498" t="str">
        <f>IF(OR(Registro_Compras!$C$58="",Registro_Compras!$O$58="",Registro_Compras!$Y$58="",Registro_Compras!$F$58="NOTA DE CREDITO"),"","4212")</f>
        <v/>
      </c>
      <c r="D498" t="str">
        <f>IF(OR(Registro_Compras!$C$58="",Registro_Compras!$O$58=""),"","Cuentas por Pagar Comerciales - Terceros")</f>
        <v>Cuentas por Pagar Comerciales - Terceros</v>
      </c>
      <c r="E498" s="20" t="str">
        <f>IF($C498="","",IF(Registro_Compras!$F$58="RHE",(ROUND(Registro_Compras!$L$58*Registro_Compras!$N$58,2)-ROUND(Registro_Compras!$V$58*Registro_Compras!$N$58,2)),ROUND(Registro_Compras!$O$58-Registro_Compras!$S$58,2)))</f>
        <v/>
      </c>
      <c r="F498" s="20" t="str">
        <f>""</f>
        <v/>
      </c>
      <c r="G498" t="str">
        <f>IF($C498="","","Por la cancelacion del saldo al proveedor")</f>
        <v/>
      </c>
      <c r="H498" t="str">
        <f>IF($C498="","",Registro_Compras!$C$58)</f>
        <v/>
      </c>
    </row>
    <row r="499" spans="1:8" x14ac:dyDescent="0.25">
      <c r="A499" s="25" t="str">
        <f>IF($C499="","",Registro_Compras!$Y$58)</f>
        <v/>
      </c>
      <c r="B499" t="str">
        <f>IF($C499="","","C"&amp;TEXT(INT((ROW()-5)/9)+1,"000")&amp;"-4")</f>
        <v/>
      </c>
      <c r="C499" t="str">
        <f>IF(OR(Registro_Compras!$C$58="",Registro_Compras!$O$58="",Registro_Compras!$Y$58="",Registro_Compras!$F$58="NOTA DE CREDITO"),"","1041")</f>
        <v/>
      </c>
      <c r="D499" t="str">
        <f>IF(OR(Registro_Compras!$C$58="",Registro_Compras!$O$58=""),"","Efectivo y Equivalentes - Cta. Cte. Operativa")</f>
        <v>Efectivo y Equivalentes - Cta. Cte. Operativa</v>
      </c>
      <c r="E499" s="20" t="str">
        <f>""</f>
        <v/>
      </c>
      <c r="F499" s="20" t="str">
        <f>IF($C499="","",IF(Registro_Compras!$F$58="RHE",(ROUND(Registro_Compras!$L$58*Registro_Compras!$N$58,2)-ROUND(Registro_Compras!$V$58*Registro_Compras!$N$58,2)),ROUND(Registro_Compras!$O$58-Registro_Compras!$S$58,2)))</f>
        <v/>
      </c>
      <c r="G499" t="str">
        <f>IF($C499="","","Por la cancelacion del saldo al proveedor")</f>
        <v/>
      </c>
      <c r="H499" t="str">
        <f>IF($C499="","",Registro_Compras!$C$58)</f>
        <v/>
      </c>
    </row>
    <row r="500" spans="1:8" x14ac:dyDescent="0.25">
      <c r="A500" s="25">
        <f>IF($C500="","",Registro_Compras!$B$59)</f>
        <v>46252</v>
      </c>
      <c r="B500" t="str">
        <f>IF($C500="","","C"&amp;TEXT(INT((ROW()-5)/9)+1,"000")&amp;"-1")</f>
        <v>C056-1</v>
      </c>
      <c r="C500" t="str">
        <f>IF(OR(Registro_Compras!$C$59="",Registro_Compras!$O$59=""),"",IF(Registro_Compras!$F$59="NOTA DE CREDITO","4212",IF(Registro_Compras!$M$59="","63",Registro_Compras!$M$59)))</f>
        <v>4212</v>
      </c>
      <c r="D500" t="str">
        <f>IF(OR(Registro_Compras!$C$59="",Registro_Compras!$O$59=""),"",IF(Registro_Compras!$F$59="NOTA DE CREDITO","Cuentas por Pagar Comerciales - Terceros (Emitidas)",IF(Registro_Compras!$F$59="RHE","Honorarios Profesionales - Servicios de Terceros","Gastos de Servicios Prestados por Terceros")))</f>
        <v>Cuentas por Pagar Comerciales - Terceros (Emitidas)</v>
      </c>
      <c r="E500" s="20">
        <f>IF($C500="","",IF(Registro_Compras!$F$59="NOTA DE CREDITO",ABS(Registro_Compras!$O$59),IF(Registro_Compras!$F$59="RHE",ROUND(Registro_Compras!$L$59*Registro_Compras!$N$59,2),ROUND(Registro_Compras!$J$59*Registro_Compras!$N$59,2))))</f>
        <v>4382.21</v>
      </c>
      <c r="F500" s="20" t="str">
        <f>""</f>
        <v/>
      </c>
      <c r="G500" t="str">
        <f>IF($C500="","",IF(Registro_Compras!$F$59="NOTA DE CREDITO","Por la nota de credito "&amp;Registro_Compras!$C$59&amp;" de "&amp;Registro_Compras!$E$59&amp;" [PATRON POR CONFIRMAR CON CONTADOR]",IF(Registro_Compras!$F$59="RHE","Por el registro del recibo por honorarios "&amp;Registro_Compras!$C$59&amp;" de "&amp;Registro_Compras!$E$59&amp;" [PATRON POR CONFIRMAR CON CONTADOR]","Por el registro de la factura "&amp;Registro_Compras!$C$59&amp;" de "&amp;Registro_Compras!$E$59)))</f>
        <v>Por la nota de credito F302-00001674 de INVERSIONES NACIONALES DE TURISMO S.A. (Palacio del Inka Hotel) [PATRON POR CONFIRMAR CON CONTADOR]</v>
      </c>
      <c r="H500" t="str">
        <f>IF($C500="","",Registro_Compras!$C$59)</f>
        <v>F302-00001674</v>
      </c>
    </row>
    <row r="501" spans="1:8" x14ac:dyDescent="0.25">
      <c r="A501" s="25">
        <f>IF($C501="","",Registro_Compras!$B$59)</f>
        <v>46252</v>
      </c>
      <c r="B501" t="str">
        <f>IF($C501="","","C"&amp;TEXT(INT((ROW()-5)/9)+1,"000")&amp;"-1")</f>
        <v>C056-1</v>
      </c>
      <c r="C501" t="str">
        <f>IF(OR(Registro_Compras!$C$59="",Registro_Compras!$O$59=""),"",IF(Registro_Compras!$F$59="RHE",IF(Registro_Compras!$V$59=0,"","4017"),IF(Registro_Compras!$F$59="NOTA DE CREDITO",IF(Registro_Compras!$M$59="","63",Registro_Compras!$M$59),IF(Registro_Compras!$K$59=0,"","40111"))))</f>
        <v>639</v>
      </c>
      <c r="D501" t="str">
        <f>IF(OR(Registro_Compras!$C$59="",Registro_Compras!$O$59=""),"",IF(Registro_Compras!$F$59="RHE","Retencion Renta 4ta Categoria por Pagar",IF(Registro_Compras!$F$59="NOTA DE CREDITO","Gastos de Servicios Prestados por Terceros","IGV - Cuenta Propia (Credito Fiscal)")))</f>
        <v>Gastos de Servicios Prestados por Terceros</v>
      </c>
      <c r="E501" s="20" t="str">
        <f>IF($C501="","",IF(Registro_Compras!$F$59="FACTURA",ROUND(Registro_Compras!$K$59*Registro_Compras!$N$59,2),""))</f>
        <v/>
      </c>
      <c r="F501" s="20">
        <f>IF($C501="","",IF(Registro_Compras!$F$59="RHE",ROUND(Registro_Compras!$V$59*Registro_Compras!$N$59,2),IF(Registro_Compras!$F$59="NOTA DE CREDITO",ROUND(ABS(Registro_Compras!$J$59*Registro_Compras!$N$59),2),"")))</f>
        <v>3713.74</v>
      </c>
      <c r="G501" t="str">
        <f>IF($C501="","",IF(Registro_Compras!$F$59="NOTA DE CREDITO","Por la nota de credito "&amp;Registro_Compras!$C$59&amp;" de "&amp;Registro_Compras!$E$59&amp;" [PATRON POR CONFIRMAR CON CONTADOR]",IF(Registro_Compras!$F$59="RHE","Por el registro del recibo por honorarios "&amp;Registro_Compras!$C$59&amp;" de "&amp;Registro_Compras!$E$59&amp;" [PATRON POR CONFIRMAR CON CONTADOR]","Por el registro de la factura "&amp;Registro_Compras!$C$59&amp;" de "&amp;Registro_Compras!$E$59)))</f>
        <v>Por la nota de credito F302-00001674 de INVERSIONES NACIONALES DE TURISMO S.A. (Palacio del Inka Hotel) [PATRON POR CONFIRMAR CON CONTADOR]</v>
      </c>
      <c r="H501" t="str">
        <f>IF($C501="","",Registro_Compras!$C$59)</f>
        <v>F302-00001674</v>
      </c>
    </row>
    <row r="502" spans="1:8" x14ac:dyDescent="0.25">
      <c r="A502" s="25">
        <f>IF($C502="","",Registro_Compras!$B$59)</f>
        <v>46252</v>
      </c>
      <c r="B502" t="str">
        <f>IF($C502="","","C"&amp;TEXT(INT((ROW()-5)/9)+1,"000")&amp;"-1")</f>
        <v>C056-1</v>
      </c>
      <c r="C502" t="str">
        <f>IF(OR(Registro_Compras!$C$59="",Registro_Compras!$O$59=""),"",IF(Registro_Compras!$F$59="NOTA DE CREDITO",IF(Registro_Compras!$K$59=0,"","40111"),"4212"))</f>
        <v>40111</v>
      </c>
      <c r="D502" t="str">
        <f>IF(OR(Registro_Compras!$C$59="",Registro_Compras!$O$59=""),"",IF(Registro_Compras!$F$59="NOTA DE CREDITO","IGV - Cuenta Propia (Credito Fiscal)","Cuentas por Pagar Comerciales - Terceros (Emitidas)"))</f>
        <v>IGV - Cuenta Propia (Credito Fiscal)</v>
      </c>
      <c r="E502" s="20" t="str">
        <f>""</f>
        <v/>
      </c>
      <c r="F502" s="20">
        <f>IF($C502="","",IF(Registro_Compras!$F$59="NOTA DE CREDITO",ROUND(ABS(Registro_Compras!$K$59*Registro_Compras!$N$59),2),IF(Registro_Compras!$F$59="RHE",(ROUND(Registro_Compras!$L$59*Registro_Compras!$N$59,2)-ROUND(Registro_Compras!$V$59*Registro_Compras!$N$59,2)),Registro_Compras!$O$59)))</f>
        <v>668.47</v>
      </c>
      <c r="G502" t="str">
        <f>IF($C502="","",IF(Registro_Compras!$F$59="NOTA DE CREDITO","Por la nota de credito "&amp;Registro_Compras!$C$59&amp;" de "&amp;Registro_Compras!$E$59&amp;" [PATRON POR CONFIRMAR CON CONTADOR]",IF(Registro_Compras!$F$59="RHE","Por el registro del recibo por honorarios "&amp;Registro_Compras!$C$59&amp;" de "&amp;Registro_Compras!$E$59&amp;" [PATRON POR CONFIRMAR CON CONTADOR]","Por el registro de la factura "&amp;Registro_Compras!$C$59&amp;" de "&amp;Registro_Compras!$E$59)))</f>
        <v>Por la nota de credito F302-00001674 de INVERSIONES NACIONALES DE TURISMO S.A. (Palacio del Inka Hotel) [PATRON POR CONFIRMAR CON CONTADOR]</v>
      </c>
      <c r="H502" t="str">
        <f>IF($C502="","",Registro_Compras!$C$59)</f>
        <v>F302-00001674</v>
      </c>
    </row>
    <row r="503" spans="1:8" x14ac:dyDescent="0.25">
      <c r="A503" s="25">
        <f>IF($C503="","",Registro_Compras!$B$59)</f>
        <v>46252</v>
      </c>
      <c r="B503" t="str">
        <f>IF($C503="","","C"&amp;TEXT(INT((ROW()-5)/9)+1,"000")&amp;"-2")</f>
        <v>C056-2</v>
      </c>
      <c r="C503" t="str">
        <f>IF(OR(Registro_Compras!$C$59="",Registro_Compras!$O$59=""),"",IF(Registro_Compras!$AB$59="ADMINISTRATIVO","94","95"))</f>
        <v>95</v>
      </c>
      <c r="D503" t="str">
        <f>IF(OR(Registro_Compras!$C$59="",Registro_Compras!$O$59=""),"",IF(Registro_Compras!$AB$59="ADMINISTRATIVO","Gastos Administrativos","Gastos de Venta y Operacion"))</f>
        <v>Gastos de Venta y Operacion</v>
      </c>
      <c r="E503" s="20" t="str">
        <f>IF($C503="","",IF(Registro_Compras!$F$59="NOTA DE CREDITO","",IF(Registro_Compras!$F$59="RHE",ROUND(Registro_Compras!$L$59*Registro_Compras!$N$59,2),ROUND(Registro_Compras!$J$59*Registro_Compras!$N$59,2))))</f>
        <v/>
      </c>
      <c r="F503" s="20">
        <f>IF($C503="","",IF(Registro_Compras!$F$59="NOTA DE CREDITO",ROUND(ABS(Registro_Compras!$J$59*Registro_Compras!$N$59),2),""))</f>
        <v>3713.74</v>
      </c>
      <c r="G503" t="str">
        <f>IF($C503="","","Por el destino del gasto")</f>
        <v>Por el destino del gasto</v>
      </c>
      <c r="H503" t="str">
        <f>IF($C503="","",Registro_Compras!$C$59)</f>
        <v>F302-00001674</v>
      </c>
    </row>
    <row r="504" spans="1:8" x14ac:dyDescent="0.25">
      <c r="A504" s="25">
        <f>IF($C504="","",Registro_Compras!$B$59)</f>
        <v>46252</v>
      </c>
      <c r="B504" t="str">
        <f>IF($C504="","","C"&amp;TEXT(INT((ROW()-5)/9)+1,"000")&amp;"-2")</f>
        <v>C056-2</v>
      </c>
      <c r="C504" t="str">
        <f>IF(OR(Registro_Compras!$C$59="",Registro_Compras!$O$59=""),"","79/791")</f>
        <v>79/791</v>
      </c>
      <c r="D504" t="str">
        <f>IF(OR(Registro_Compras!$C$59="",Registro_Compras!$O$59=""),"","Cargas Imputables a Cuentas de Costos y Gastos")</f>
        <v>Cargas Imputables a Cuentas de Costos y Gastos</v>
      </c>
      <c r="E504" s="20">
        <f>IF($C504="","",IF(Registro_Compras!$F$59="NOTA DE CREDITO",ROUND(ABS(Registro_Compras!$J$59*Registro_Compras!$N$59),2),""))</f>
        <v>3713.74</v>
      </c>
      <c r="F504" s="20" t="str">
        <f>IF($C504="","",IF(Registro_Compras!$F$59="NOTA DE CREDITO","",IF(Registro_Compras!$F$59="RHE",ROUND(Registro_Compras!$L$59*Registro_Compras!$N$59,2),ROUND(Registro_Compras!$J$59*Registro_Compras!$N$59,2))))</f>
        <v/>
      </c>
      <c r="G504" t="str">
        <f>IF($C504="","","Por el destino del gasto")</f>
        <v>Por el destino del gasto</v>
      </c>
      <c r="H504" t="str">
        <f>IF($C504="","",Registro_Compras!$C$59)</f>
        <v>F302-00001674</v>
      </c>
    </row>
    <row r="505" spans="1:8" x14ac:dyDescent="0.25">
      <c r="A505" s="25" t="str">
        <f>IF($C505="","",Registro_Compras!$X$59)</f>
        <v/>
      </c>
      <c r="B505" t="str">
        <f>IF($C505="","","C"&amp;TEXT(INT((ROW()-5)/9)+1,"000")&amp;"-3")</f>
        <v/>
      </c>
      <c r="C505" t="str">
        <f>IF(OR(Registro_Compras!$C$59="",Registro_Compras!$O$59="",Registro_Compras!$R$59&lt;&gt;"SI",Registro_Compras!$X$59=""),"","4212")</f>
        <v/>
      </c>
      <c r="D505" t="str">
        <f>IF(OR(Registro_Compras!$C$59="",Registro_Compras!$O$59=""),"","Cuentas por Pagar Comerciales - Terceros")</f>
        <v>Cuentas por Pagar Comerciales - Terceros</v>
      </c>
      <c r="E505" s="20" t="str">
        <f>IF($C505="","",Registro_Compras!$S$59)</f>
        <v/>
      </c>
      <c r="F505" s="20" t="str">
        <f>""</f>
        <v/>
      </c>
      <c r="G505" t="str">
        <f>IF($C505="","","Por el deposito de la detraccion en el Banco de la Nacion")</f>
        <v/>
      </c>
      <c r="H505" t="str">
        <f>IF($C505="","",Registro_Compras!$C$59)</f>
        <v/>
      </c>
    </row>
    <row r="506" spans="1:8" x14ac:dyDescent="0.25">
      <c r="A506" s="25" t="str">
        <f>IF($C506="","",Registro_Compras!$X$59)</f>
        <v/>
      </c>
      <c r="B506" t="str">
        <f>IF($C506="","","C"&amp;TEXT(INT((ROW()-5)/9)+1,"000")&amp;"-3")</f>
        <v/>
      </c>
      <c r="C506" t="str">
        <f>IF(OR(Registro_Compras!$C$59="",Registro_Compras!$O$59="",Registro_Compras!$R$59&lt;&gt;"SI",Registro_Compras!$X$59=""),"","1041")</f>
        <v/>
      </c>
      <c r="D506" t="str">
        <f>IF(OR(Registro_Compras!$C$59="",Registro_Compras!$O$59=""),"","Efectivo y Equivalentes - Cta. Cte. Operativa")</f>
        <v>Efectivo y Equivalentes - Cta. Cte. Operativa</v>
      </c>
      <c r="E506" s="20" t="str">
        <f>""</f>
        <v/>
      </c>
      <c r="F506" s="20" t="str">
        <f>IF($C506="","",Registro_Compras!$S$59)</f>
        <v/>
      </c>
      <c r="G506" t="str">
        <f>IF($C506="","","Por el deposito de la detraccion en el Banco de la Nacion")</f>
        <v/>
      </c>
      <c r="H506" t="str">
        <f>IF($C506="","",Registro_Compras!$C$59)</f>
        <v/>
      </c>
    </row>
    <row r="507" spans="1:8" x14ac:dyDescent="0.25">
      <c r="A507" s="25" t="str">
        <f>IF($C507="","",Registro_Compras!$Y$59)</f>
        <v/>
      </c>
      <c r="B507" t="str">
        <f>IF($C507="","","C"&amp;TEXT(INT((ROW()-5)/9)+1,"000")&amp;"-4")</f>
        <v/>
      </c>
      <c r="C507" t="str">
        <f>IF(OR(Registro_Compras!$C$59="",Registro_Compras!$O$59="",Registro_Compras!$Y$59="",Registro_Compras!$F$59="NOTA DE CREDITO"),"","4212")</f>
        <v/>
      </c>
      <c r="D507" t="str">
        <f>IF(OR(Registro_Compras!$C$59="",Registro_Compras!$O$59=""),"","Cuentas por Pagar Comerciales - Terceros")</f>
        <v>Cuentas por Pagar Comerciales - Terceros</v>
      </c>
      <c r="E507" s="20" t="str">
        <f>IF($C507="","",IF(Registro_Compras!$F$59="RHE",(ROUND(Registro_Compras!$L$59*Registro_Compras!$N$59,2)-ROUND(Registro_Compras!$V$59*Registro_Compras!$N$59,2)),ROUND(Registro_Compras!$O$59-Registro_Compras!$S$59,2)))</f>
        <v/>
      </c>
      <c r="F507" s="20" t="str">
        <f>""</f>
        <v/>
      </c>
      <c r="G507" t="str">
        <f>IF($C507="","","Por la cancelacion del saldo al proveedor")</f>
        <v/>
      </c>
      <c r="H507" t="str">
        <f>IF($C507="","",Registro_Compras!$C$59)</f>
        <v/>
      </c>
    </row>
    <row r="508" spans="1:8" x14ac:dyDescent="0.25">
      <c r="A508" s="25" t="str">
        <f>IF($C508="","",Registro_Compras!$Y$59)</f>
        <v/>
      </c>
      <c r="B508" t="str">
        <f>IF($C508="","","C"&amp;TEXT(INT((ROW()-5)/9)+1,"000")&amp;"-4")</f>
        <v/>
      </c>
      <c r="C508" t="str">
        <f>IF(OR(Registro_Compras!$C$59="",Registro_Compras!$O$59="",Registro_Compras!$Y$59="",Registro_Compras!$F$59="NOTA DE CREDITO"),"","1041")</f>
        <v/>
      </c>
      <c r="D508" t="str">
        <f>IF(OR(Registro_Compras!$C$59="",Registro_Compras!$O$59=""),"","Efectivo y Equivalentes - Cta. Cte. Operativa")</f>
        <v>Efectivo y Equivalentes - Cta. Cte. Operativa</v>
      </c>
      <c r="E508" s="20" t="str">
        <f>""</f>
        <v/>
      </c>
      <c r="F508" s="20" t="str">
        <f>IF($C508="","",IF(Registro_Compras!$F$59="RHE",(ROUND(Registro_Compras!$L$59*Registro_Compras!$N$59,2)-ROUND(Registro_Compras!$V$59*Registro_Compras!$N$59,2)),ROUND(Registro_Compras!$O$59-Registro_Compras!$S$59,2)))</f>
        <v/>
      </c>
      <c r="G508" t="str">
        <f>IF($C508="","","Por la cancelacion del saldo al proveedor")</f>
        <v/>
      </c>
      <c r="H508" t="str">
        <f>IF($C508="","",Registro_Compras!$C$59)</f>
        <v/>
      </c>
    </row>
    <row r="509" spans="1:8" x14ac:dyDescent="0.25">
      <c r="A509" s="25">
        <f>IF($C509="","",Registro_Compras!$B$60)</f>
        <v>46248</v>
      </c>
      <c r="B509" t="str">
        <f>IF($C509="","","C"&amp;TEXT(INT((ROW()-5)/9)+1,"000")&amp;"-1")</f>
        <v>C057-1</v>
      </c>
      <c r="C509" t="str">
        <f>IF(OR(Registro_Compras!$C$60="",Registro_Compras!$O$60=""),"",IF(Registro_Compras!$F$60="NOTA DE CREDITO","4212",IF(Registro_Compras!$M$60="","63",Registro_Compras!$M$60)))</f>
        <v>631</v>
      </c>
      <c r="D509" t="str">
        <f>IF(OR(Registro_Compras!$C$60="",Registro_Compras!$O$60=""),"",IF(Registro_Compras!$F$60="NOTA DE CREDITO","Cuentas por Pagar Comerciales - Terceros (Emitidas)",IF(Registro_Compras!$F$60="RHE","Honorarios Profesionales - Servicios de Terceros","Gastos de Servicios Prestados por Terceros")))</f>
        <v>Gastos de Servicios Prestados por Terceros</v>
      </c>
      <c r="E509" s="20">
        <f>IF($C509="","",IF(Registro_Compras!$F$60="NOTA DE CREDITO",ABS(Registro_Compras!$O$60),IF(Registro_Compras!$F$60="RHE",ROUND(Registro_Compras!$L$60*Registro_Compras!$N$60,2),ROUND(Registro_Compras!$J$60*Registro_Compras!$N$60,2))))</f>
        <v>876.46</v>
      </c>
      <c r="F509" s="20" t="str">
        <f>""</f>
        <v/>
      </c>
      <c r="G509" t="str">
        <f>IF($C509="","",IF(Registro_Compras!$F$60="NOTA DE CREDITO","Por la nota de credito "&amp;Registro_Compras!$C$60&amp;" de "&amp;Registro_Compras!$E$60&amp;" [PATRON POR CONFIRMAR CON CONTADOR]",IF(Registro_Compras!$F$60="RHE","Por el registro del recibo por honorarios "&amp;Registro_Compras!$C$60&amp;" de "&amp;Registro_Compras!$E$60&amp;" [PATRON POR CONFIRMAR CON CONTADOR]","Por el registro de la factura "&amp;Registro_Compras!$C$60&amp;" de "&amp;Registro_Compras!$E$60)))</f>
        <v>Por el registro de la factura E001-2663 de J &amp; R TURISMO E.I.R.L.</v>
      </c>
      <c r="H509" t="str">
        <f>IF($C509="","",Registro_Compras!$C$60)</f>
        <v>E001-2663</v>
      </c>
    </row>
    <row r="510" spans="1:8" x14ac:dyDescent="0.25">
      <c r="A510" s="25">
        <f>IF($C510="","",Registro_Compras!$B$60)</f>
        <v>46248</v>
      </c>
      <c r="B510" t="str">
        <f>IF($C510="","","C"&amp;TEXT(INT((ROW()-5)/9)+1,"000")&amp;"-1")</f>
        <v>C057-1</v>
      </c>
      <c r="C510" t="str">
        <f>IF(OR(Registro_Compras!$C$60="",Registro_Compras!$O$60=""),"",IF(Registro_Compras!$F$60="RHE",IF(Registro_Compras!$V$60=0,"","4017"),IF(Registro_Compras!$F$60="NOTA DE CREDITO",IF(Registro_Compras!$M$60="","63",Registro_Compras!$M$60),IF(Registro_Compras!$K$60=0,"","40111"))))</f>
        <v>40111</v>
      </c>
      <c r="D510" t="str">
        <f>IF(OR(Registro_Compras!$C$60="",Registro_Compras!$O$60=""),"",IF(Registro_Compras!$F$60="RHE","Retencion Renta 4ta Categoria por Pagar",IF(Registro_Compras!$F$60="NOTA DE CREDITO","Gastos de Servicios Prestados por Terceros","IGV - Cuenta Propia (Credito Fiscal)")))</f>
        <v>IGV - Cuenta Propia (Credito Fiscal)</v>
      </c>
      <c r="E510" s="20">
        <f>IF($C510="","",IF(Registro_Compras!$F$60="FACTURA",ROUND(Registro_Compras!$K$60*Registro_Compras!$N$60,2),""))</f>
        <v>157.76</v>
      </c>
      <c r="F510" s="20" t="str">
        <f>IF($C510="","",IF(Registro_Compras!$F$60="RHE",ROUND(Registro_Compras!$V$60*Registro_Compras!$N$60,2),IF(Registro_Compras!$F$60="NOTA DE CREDITO",ROUND(ABS(Registro_Compras!$J$60*Registro_Compras!$N$60),2),"")))</f>
        <v/>
      </c>
      <c r="G510" t="str">
        <f>IF($C510="","",IF(Registro_Compras!$F$60="NOTA DE CREDITO","Por la nota de credito "&amp;Registro_Compras!$C$60&amp;" de "&amp;Registro_Compras!$E$60&amp;" [PATRON POR CONFIRMAR CON CONTADOR]",IF(Registro_Compras!$F$60="RHE","Por el registro del recibo por honorarios "&amp;Registro_Compras!$C$60&amp;" de "&amp;Registro_Compras!$E$60&amp;" [PATRON POR CONFIRMAR CON CONTADOR]","Por el registro de la factura "&amp;Registro_Compras!$C$60&amp;" de "&amp;Registro_Compras!$E$60)))</f>
        <v>Por el registro de la factura E001-2663 de J &amp; R TURISMO E.I.R.L.</v>
      </c>
      <c r="H510" t="str">
        <f>IF($C510="","",Registro_Compras!$C$60)</f>
        <v>E001-2663</v>
      </c>
    </row>
    <row r="511" spans="1:8" x14ac:dyDescent="0.25">
      <c r="A511" s="25">
        <f>IF($C511="","",Registro_Compras!$B$60)</f>
        <v>46248</v>
      </c>
      <c r="B511" t="str">
        <f>IF($C511="","","C"&amp;TEXT(INT((ROW()-5)/9)+1,"000")&amp;"-1")</f>
        <v>C057-1</v>
      </c>
      <c r="C511" t="str">
        <f>IF(OR(Registro_Compras!$C$60="",Registro_Compras!$O$60=""),"",IF(Registro_Compras!$F$60="NOTA DE CREDITO",IF(Registro_Compras!$K$60=0,"","40111"),"4212"))</f>
        <v>4212</v>
      </c>
      <c r="D511" t="str">
        <f>IF(OR(Registro_Compras!$C$60="",Registro_Compras!$O$60=""),"",IF(Registro_Compras!$F$60="NOTA DE CREDITO","IGV - Cuenta Propia (Credito Fiscal)","Cuentas por Pagar Comerciales - Terceros (Emitidas)"))</f>
        <v>Cuentas por Pagar Comerciales - Terceros (Emitidas)</v>
      </c>
      <c r="E511" s="20" t="str">
        <f>""</f>
        <v/>
      </c>
      <c r="F511" s="20">
        <f>IF($C511="","",IF(Registro_Compras!$F$60="NOTA DE CREDITO",ROUND(ABS(Registro_Compras!$K$60*Registro_Compras!$N$60),2),IF(Registro_Compras!$F$60="RHE",(ROUND(Registro_Compras!$L$60*Registro_Compras!$N$60,2)-ROUND(Registro_Compras!$V$60*Registro_Compras!$N$60,2)),Registro_Compras!$O$60)))</f>
        <v>1034.22</v>
      </c>
      <c r="G511" t="str">
        <f>IF($C511="","",IF(Registro_Compras!$F$60="NOTA DE CREDITO","Por la nota de credito "&amp;Registro_Compras!$C$60&amp;" de "&amp;Registro_Compras!$E$60&amp;" [PATRON POR CONFIRMAR CON CONTADOR]",IF(Registro_Compras!$F$60="RHE","Por el registro del recibo por honorarios "&amp;Registro_Compras!$C$60&amp;" de "&amp;Registro_Compras!$E$60&amp;" [PATRON POR CONFIRMAR CON CONTADOR]","Por el registro de la factura "&amp;Registro_Compras!$C$60&amp;" de "&amp;Registro_Compras!$E$60)))</f>
        <v>Por el registro de la factura E001-2663 de J &amp; R TURISMO E.I.R.L.</v>
      </c>
      <c r="H511" t="str">
        <f>IF($C511="","",Registro_Compras!$C$60)</f>
        <v>E001-2663</v>
      </c>
    </row>
    <row r="512" spans="1:8" x14ac:dyDescent="0.25">
      <c r="A512" s="25">
        <f>IF($C512="","",Registro_Compras!$B$60)</f>
        <v>46248</v>
      </c>
      <c r="B512" t="str">
        <f>IF($C512="","","C"&amp;TEXT(INT((ROW()-5)/9)+1,"000")&amp;"-2")</f>
        <v>C057-2</v>
      </c>
      <c r="C512" t="str">
        <f>IF(OR(Registro_Compras!$C$60="",Registro_Compras!$O$60=""),"",IF(Registro_Compras!$AB$60="ADMINISTRATIVO","94","95"))</f>
        <v>95</v>
      </c>
      <c r="D512" t="str">
        <f>IF(OR(Registro_Compras!$C$60="",Registro_Compras!$O$60=""),"",IF(Registro_Compras!$AB$60="ADMINISTRATIVO","Gastos Administrativos","Gastos de Venta y Operacion"))</f>
        <v>Gastos de Venta y Operacion</v>
      </c>
      <c r="E512" s="20">
        <f>IF($C512="","",IF(Registro_Compras!$F$60="NOTA DE CREDITO","",IF(Registro_Compras!$F$60="RHE",ROUND(Registro_Compras!$L$60*Registro_Compras!$N$60,2),ROUND(Registro_Compras!$J$60*Registro_Compras!$N$60,2))))</f>
        <v>876.46</v>
      </c>
      <c r="F512" s="20" t="str">
        <f>IF($C512="","",IF(Registro_Compras!$F$60="NOTA DE CREDITO",ROUND(ABS(Registro_Compras!$J$60*Registro_Compras!$N$60),2),""))</f>
        <v/>
      </c>
      <c r="G512" t="str">
        <f>IF($C512="","","Por el destino del gasto")</f>
        <v>Por el destino del gasto</v>
      </c>
      <c r="H512" t="str">
        <f>IF($C512="","",Registro_Compras!$C$60)</f>
        <v>E001-2663</v>
      </c>
    </row>
    <row r="513" spans="1:8" x14ac:dyDescent="0.25">
      <c r="A513" s="25">
        <f>IF($C513="","",Registro_Compras!$B$60)</f>
        <v>46248</v>
      </c>
      <c r="B513" t="str">
        <f>IF($C513="","","C"&amp;TEXT(INT((ROW()-5)/9)+1,"000")&amp;"-2")</f>
        <v>C057-2</v>
      </c>
      <c r="C513" t="str">
        <f>IF(OR(Registro_Compras!$C$60="",Registro_Compras!$O$60=""),"","79/791")</f>
        <v>79/791</v>
      </c>
      <c r="D513" t="str">
        <f>IF(OR(Registro_Compras!$C$60="",Registro_Compras!$O$60=""),"","Cargas Imputables a Cuentas de Costos y Gastos")</f>
        <v>Cargas Imputables a Cuentas de Costos y Gastos</v>
      </c>
      <c r="E513" s="20" t="str">
        <f>IF($C513="","",IF(Registro_Compras!$F$60="NOTA DE CREDITO",ROUND(ABS(Registro_Compras!$J$60*Registro_Compras!$N$60),2),""))</f>
        <v/>
      </c>
      <c r="F513" s="20">
        <f>IF($C513="","",IF(Registro_Compras!$F$60="NOTA DE CREDITO","",IF(Registro_Compras!$F$60="RHE",ROUND(Registro_Compras!$L$60*Registro_Compras!$N$60,2),ROUND(Registro_Compras!$J$60*Registro_Compras!$N$60,2))))</f>
        <v>876.46</v>
      </c>
      <c r="G513" t="str">
        <f>IF($C513="","","Por el destino del gasto")</f>
        <v>Por el destino del gasto</v>
      </c>
      <c r="H513" t="str">
        <f>IF($C513="","",Registro_Compras!$C$60)</f>
        <v>E001-2663</v>
      </c>
    </row>
    <row r="514" spans="1:8" x14ac:dyDescent="0.25">
      <c r="A514" s="25" t="str">
        <f>IF($C514="","",Registro_Compras!$X$60)</f>
        <v/>
      </c>
      <c r="B514" t="str">
        <f>IF($C514="","","C"&amp;TEXT(INT((ROW()-5)/9)+1,"000")&amp;"-3")</f>
        <v/>
      </c>
      <c r="C514" t="str">
        <f>IF(OR(Registro_Compras!$C$60="",Registro_Compras!$O$60="",Registro_Compras!$R$60&lt;&gt;"SI",Registro_Compras!$X$60=""),"","4212")</f>
        <v/>
      </c>
      <c r="D514" t="str">
        <f>IF(OR(Registro_Compras!$C$60="",Registro_Compras!$O$60=""),"","Cuentas por Pagar Comerciales - Terceros")</f>
        <v>Cuentas por Pagar Comerciales - Terceros</v>
      </c>
      <c r="E514" s="20" t="str">
        <f>IF($C514="","",Registro_Compras!$S$60)</f>
        <v/>
      </c>
      <c r="F514" s="20" t="str">
        <f>""</f>
        <v/>
      </c>
      <c r="G514" t="str">
        <f>IF($C514="","","Por el deposito de la detraccion en el Banco de la Nacion")</f>
        <v/>
      </c>
      <c r="H514" t="str">
        <f>IF($C514="","",Registro_Compras!$C$60)</f>
        <v/>
      </c>
    </row>
    <row r="515" spans="1:8" x14ac:dyDescent="0.25">
      <c r="A515" s="25" t="str">
        <f>IF($C515="","",Registro_Compras!$X$60)</f>
        <v/>
      </c>
      <c r="B515" t="str">
        <f>IF($C515="","","C"&amp;TEXT(INT((ROW()-5)/9)+1,"000")&amp;"-3")</f>
        <v/>
      </c>
      <c r="C515" t="str">
        <f>IF(OR(Registro_Compras!$C$60="",Registro_Compras!$O$60="",Registro_Compras!$R$60&lt;&gt;"SI",Registro_Compras!$X$60=""),"","1041")</f>
        <v/>
      </c>
      <c r="D515" t="str">
        <f>IF(OR(Registro_Compras!$C$60="",Registro_Compras!$O$60=""),"","Efectivo y Equivalentes - Cta. Cte. Operativa")</f>
        <v>Efectivo y Equivalentes - Cta. Cte. Operativa</v>
      </c>
      <c r="E515" s="20" t="str">
        <f>""</f>
        <v/>
      </c>
      <c r="F515" s="20" t="str">
        <f>IF($C515="","",Registro_Compras!$S$60)</f>
        <v/>
      </c>
      <c r="G515" t="str">
        <f>IF($C515="","","Por el deposito de la detraccion en el Banco de la Nacion")</f>
        <v/>
      </c>
      <c r="H515" t="str">
        <f>IF($C515="","",Registro_Compras!$C$60)</f>
        <v/>
      </c>
    </row>
    <row r="516" spans="1:8" x14ac:dyDescent="0.25">
      <c r="A516" s="25" t="str">
        <f>IF($C516="","",Registro_Compras!$Y$60)</f>
        <v/>
      </c>
      <c r="B516" t="str">
        <f>IF($C516="","","C"&amp;TEXT(INT((ROW()-5)/9)+1,"000")&amp;"-4")</f>
        <v/>
      </c>
      <c r="C516" t="str">
        <f>IF(OR(Registro_Compras!$C$60="",Registro_Compras!$O$60="",Registro_Compras!$Y$60="",Registro_Compras!$F$60="NOTA DE CREDITO"),"","4212")</f>
        <v/>
      </c>
      <c r="D516" t="str">
        <f>IF(OR(Registro_Compras!$C$60="",Registro_Compras!$O$60=""),"","Cuentas por Pagar Comerciales - Terceros")</f>
        <v>Cuentas por Pagar Comerciales - Terceros</v>
      </c>
      <c r="E516" s="20" t="str">
        <f>IF($C516="","",IF(Registro_Compras!$F$60="RHE",(ROUND(Registro_Compras!$L$60*Registro_Compras!$N$60,2)-ROUND(Registro_Compras!$V$60*Registro_Compras!$N$60,2)),ROUND(Registro_Compras!$O$60-Registro_Compras!$S$60,2)))</f>
        <v/>
      </c>
      <c r="F516" s="20" t="str">
        <f>""</f>
        <v/>
      </c>
      <c r="G516" t="str">
        <f>IF($C516="","","Por la cancelacion del saldo al proveedor")</f>
        <v/>
      </c>
      <c r="H516" t="str">
        <f>IF($C516="","",Registro_Compras!$C$60)</f>
        <v/>
      </c>
    </row>
    <row r="517" spans="1:8" x14ac:dyDescent="0.25">
      <c r="A517" s="25" t="str">
        <f>IF($C517="","",Registro_Compras!$Y$60)</f>
        <v/>
      </c>
      <c r="B517" t="str">
        <f>IF($C517="","","C"&amp;TEXT(INT((ROW()-5)/9)+1,"000")&amp;"-4")</f>
        <v/>
      </c>
      <c r="C517" t="str">
        <f>IF(OR(Registro_Compras!$C$60="",Registro_Compras!$O$60="",Registro_Compras!$Y$60="",Registro_Compras!$F$60="NOTA DE CREDITO"),"","1041")</f>
        <v/>
      </c>
      <c r="D517" t="str">
        <f>IF(OR(Registro_Compras!$C$60="",Registro_Compras!$O$60=""),"","Efectivo y Equivalentes - Cta. Cte. Operativa")</f>
        <v>Efectivo y Equivalentes - Cta. Cte. Operativa</v>
      </c>
      <c r="E517" s="20" t="str">
        <f>""</f>
        <v/>
      </c>
      <c r="F517" s="20" t="str">
        <f>IF($C517="","",IF(Registro_Compras!$F$60="RHE",(ROUND(Registro_Compras!$L$60*Registro_Compras!$N$60,2)-ROUND(Registro_Compras!$V$60*Registro_Compras!$N$60,2)),ROUND(Registro_Compras!$O$60-Registro_Compras!$S$60,2)))</f>
        <v/>
      </c>
      <c r="G517" t="str">
        <f>IF($C517="","","Por la cancelacion del saldo al proveedor")</f>
        <v/>
      </c>
      <c r="H517" t="str">
        <f>IF($C517="","",Registro_Compras!$C$60)</f>
        <v/>
      </c>
    </row>
    <row r="518" spans="1:8" x14ac:dyDescent="0.25">
      <c r="A518" s="25">
        <f>IF($C518="","",Registro_Compras!$B$61)</f>
        <v>46246</v>
      </c>
      <c r="B518" t="str">
        <f>IF($C518="","","C"&amp;TEXT(INT((ROW()-5)/9)+1,"000")&amp;"-1")</f>
        <v>C058-1</v>
      </c>
      <c r="C518" t="str">
        <f>IF(OR(Registro_Compras!$C$61="",Registro_Compras!$O$61=""),"",IF(Registro_Compras!$F$61="NOTA DE CREDITO","4212",IF(Registro_Compras!$M$61="","63",Registro_Compras!$M$61)))</f>
        <v>631</v>
      </c>
      <c r="D518" t="str">
        <f>IF(OR(Registro_Compras!$C$61="",Registro_Compras!$O$61=""),"",IF(Registro_Compras!$F$61="NOTA DE CREDITO","Cuentas por Pagar Comerciales - Terceros (Emitidas)",IF(Registro_Compras!$F$61="RHE","Honorarios Profesionales - Servicios de Terceros","Gastos de Servicios Prestados por Terceros")))</f>
        <v>Gastos de Servicios Prestados por Terceros</v>
      </c>
      <c r="E518" s="20">
        <f>IF($C518="","",IF(Registro_Compras!$F$61="NOTA DE CREDITO",ABS(Registro_Compras!$O$61),IF(Registro_Compras!$F$61="RHE",ROUND(Registro_Compras!$L$61*Registro_Compras!$N$61,2),ROUND(Registro_Compras!$J$61*Registro_Compras!$N$61,2))))</f>
        <v>2234.39</v>
      </c>
      <c r="F518" s="20" t="str">
        <f>""</f>
        <v/>
      </c>
      <c r="G518" t="str">
        <f>IF($C518="","",IF(Registro_Compras!$F$61="NOTA DE CREDITO","Por la nota de credito "&amp;Registro_Compras!$C$61&amp;" de "&amp;Registro_Compras!$E$61&amp;" [PATRON POR CONFIRMAR CON CONTADOR]",IF(Registro_Compras!$F$61="RHE","Por el registro del recibo por honorarios "&amp;Registro_Compras!$C$61&amp;" de "&amp;Registro_Compras!$E$61&amp;" [PATRON POR CONFIRMAR CON CONTADOR]","Por el registro de la factura "&amp;Registro_Compras!$C$61&amp;" de "&amp;Registro_Compras!$E$61)))</f>
        <v>Por el registro de la factura E001-52 de MCA LUXURY CORPORATION S.A.C.</v>
      </c>
      <c r="H518" t="str">
        <f>IF($C518="","",Registro_Compras!$C$61)</f>
        <v>E001-52</v>
      </c>
    </row>
    <row r="519" spans="1:8" x14ac:dyDescent="0.25">
      <c r="A519" s="25">
        <f>IF($C519="","",Registro_Compras!$B$61)</f>
        <v>46246</v>
      </c>
      <c r="B519" t="str">
        <f>IF($C519="","","C"&amp;TEXT(INT((ROW()-5)/9)+1,"000")&amp;"-1")</f>
        <v>C058-1</v>
      </c>
      <c r="C519" t="str">
        <f>IF(OR(Registro_Compras!$C$61="",Registro_Compras!$O$61=""),"",IF(Registro_Compras!$F$61="RHE",IF(Registro_Compras!$V$61=0,"","4017"),IF(Registro_Compras!$F$61="NOTA DE CREDITO",IF(Registro_Compras!$M$61="","63",Registro_Compras!$M$61),IF(Registro_Compras!$K$61=0,"","40111"))))</f>
        <v>40111</v>
      </c>
      <c r="D519" t="str">
        <f>IF(OR(Registro_Compras!$C$61="",Registro_Compras!$O$61=""),"",IF(Registro_Compras!$F$61="RHE","Retencion Renta 4ta Categoria por Pagar",IF(Registro_Compras!$F$61="NOTA DE CREDITO","Gastos de Servicios Prestados por Terceros","IGV - Cuenta Propia (Credito Fiscal)")))</f>
        <v>IGV - Cuenta Propia (Credito Fiscal)</v>
      </c>
      <c r="E519" s="20">
        <f>IF($C519="","",IF(Registro_Compras!$F$61="FACTURA",ROUND(Registro_Compras!$K$61*Registro_Compras!$N$61,2),""))</f>
        <v>402.18</v>
      </c>
      <c r="F519" s="20" t="str">
        <f>IF($C519="","",IF(Registro_Compras!$F$61="RHE",ROUND(Registro_Compras!$V$61*Registro_Compras!$N$61,2),IF(Registro_Compras!$F$61="NOTA DE CREDITO",ROUND(ABS(Registro_Compras!$J$61*Registro_Compras!$N$61),2),"")))</f>
        <v/>
      </c>
      <c r="G519" t="str">
        <f>IF($C519="","",IF(Registro_Compras!$F$61="NOTA DE CREDITO","Por la nota de credito "&amp;Registro_Compras!$C$61&amp;" de "&amp;Registro_Compras!$E$61&amp;" [PATRON POR CONFIRMAR CON CONTADOR]",IF(Registro_Compras!$F$61="RHE","Por el registro del recibo por honorarios "&amp;Registro_Compras!$C$61&amp;" de "&amp;Registro_Compras!$E$61&amp;" [PATRON POR CONFIRMAR CON CONTADOR]","Por el registro de la factura "&amp;Registro_Compras!$C$61&amp;" de "&amp;Registro_Compras!$E$61)))</f>
        <v>Por el registro de la factura E001-52 de MCA LUXURY CORPORATION S.A.C.</v>
      </c>
      <c r="H519" t="str">
        <f>IF($C519="","",Registro_Compras!$C$61)</f>
        <v>E001-52</v>
      </c>
    </row>
    <row r="520" spans="1:8" x14ac:dyDescent="0.25">
      <c r="A520" s="25">
        <f>IF($C520="","",Registro_Compras!$B$61)</f>
        <v>46246</v>
      </c>
      <c r="B520" t="str">
        <f>IF($C520="","","C"&amp;TEXT(INT((ROW()-5)/9)+1,"000")&amp;"-1")</f>
        <v>C058-1</v>
      </c>
      <c r="C520" t="str">
        <f>IF(OR(Registro_Compras!$C$61="",Registro_Compras!$O$61=""),"",IF(Registro_Compras!$F$61="NOTA DE CREDITO",IF(Registro_Compras!$K$61=0,"","40111"),"4212"))</f>
        <v>4212</v>
      </c>
      <c r="D520" t="str">
        <f>IF(OR(Registro_Compras!$C$61="",Registro_Compras!$O$61=""),"",IF(Registro_Compras!$F$61="NOTA DE CREDITO","IGV - Cuenta Propia (Credito Fiscal)","Cuentas por Pagar Comerciales - Terceros (Emitidas)"))</f>
        <v>Cuentas por Pagar Comerciales - Terceros (Emitidas)</v>
      </c>
      <c r="E520" s="20" t="str">
        <f>""</f>
        <v/>
      </c>
      <c r="F520" s="20">
        <f>IF($C520="","",IF(Registro_Compras!$F$61="NOTA DE CREDITO",ROUND(ABS(Registro_Compras!$K$61*Registro_Compras!$N$61),2),IF(Registro_Compras!$F$61="RHE",(ROUND(Registro_Compras!$L$61*Registro_Compras!$N$61,2)-ROUND(Registro_Compras!$V$61*Registro_Compras!$N$61,2)),Registro_Compras!$O$61)))</f>
        <v>2636.5699999999997</v>
      </c>
      <c r="G520" t="str">
        <f>IF($C520="","",IF(Registro_Compras!$F$61="NOTA DE CREDITO","Por la nota de credito "&amp;Registro_Compras!$C$61&amp;" de "&amp;Registro_Compras!$E$61&amp;" [PATRON POR CONFIRMAR CON CONTADOR]",IF(Registro_Compras!$F$61="RHE","Por el registro del recibo por honorarios "&amp;Registro_Compras!$C$61&amp;" de "&amp;Registro_Compras!$E$61&amp;" [PATRON POR CONFIRMAR CON CONTADOR]","Por el registro de la factura "&amp;Registro_Compras!$C$61&amp;" de "&amp;Registro_Compras!$E$61)))</f>
        <v>Por el registro de la factura E001-52 de MCA LUXURY CORPORATION S.A.C.</v>
      </c>
      <c r="H520" t="str">
        <f>IF($C520="","",Registro_Compras!$C$61)</f>
        <v>E001-52</v>
      </c>
    </row>
    <row r="521" spans="1:8" x14ac:dyDescent="0.25">
      <c r="A521" s="25">
        <f>IF($C521="","",Registro_Compras!$B$61)</f>
        <v>46246</v>
      </c>
      <c r="B521" t="str">
        <f>IF($C521="","","C"&amp;TEXT(INT((ROW()-5)/9)+1,"000")&amp;"-2")</f>
        <v>C058-2</v>
      </c>
      <c r="C521" t="str">
        <f>IF(OR(Registro_Compras!$C$61="",Registro_Compras!$O$61=""),"",IF(Registro_Compras!$AB$61="ADMINISTRATIVO","94","95"))</f>
        <v>94</v>
      </c>
      <c r="D521" t="str">
        <f>IF(OR(Registro_Compras!$C$61="",Registro_Compras!$O$61=""),"",IF(Registro_Compras!$AB$61="ADMINISTRATIVO","Gastos Administrativos","Gastos de Venta y Operacion"))</f>
        <v>Gastos Administrativos</v>
      </c>
      <c r="E521" s="20">
        <f>IF($C521="","",IF(Registro_Compras!$F$61="NOTA DE CREDITO","",IF(Registro_Compras!$F$61="RHE",ROUND(Registro_Compras!$L$61*Registro_Compras!$N$61,2),ROUND(Registro_Compras!$J$61*Registro_Compras!$N$61,2))))</f>
        <v>2234.39</v>
      </c>
      <c r="F521" s="20" t="str">
        <f>IF($C521="","",IF(Registro_Compras!$F$61="NOTA DE CREDITO",ROUND(ABS(Registro_Compras!$J$61*Registro_Compras!$N$61),2),""))</f>
        <v/>
      </c>
      <c r="G521" t="str">
        <f>IF($C521="","","Por el destino del gasto")</f>
        <v>Por el destino del gasto</v>
      </c>
      <c r="H521" t="str">
        <f>IF($C521="","",Registro_Compras!$C$61)</f>
        <v>E001-52</v>
      </c>
    </row>
    <row r="522" spans="1:8" x14ac:dyDescent="0.25">
      <c r="A522" s="25">
        <f>IF($C522="","",Registro_Compras!$B$61)</f>
        <v>46246</v>
      </c>
      <c r="B522" t="str">
        <f>IF($C522="","","C"&amp;TEXT(INT((ROW()-5)/9)+1,"000")&amp;"-2")</f>
        <v>C058-2</v>
      </c>
      <c r="C522" t="str">
        <f>IF(OR(Registro_Compras!$C$61="",Registro_Compras!$O$61=""),"","79/791")</f>
        <v>79/791</v>
      </c>
      <c r="D522" t="str">
        <f>IF(OR(Registro_Compras!$C$61="",Registro_Compras!$O$61=""),"","Cargas Imputables a Cuentas de Costos y Gastos")</f>
        <v>Cargas Imputables a Cuentas de Costos y Gastos</v>
      </c>
      <c r="E522" s="20" t="str">
        <f>IF($C522="","",IF(Registro_Compras!$F$61="NOTA DE CREDITO",ROUND(ABS(Registro_Compras!$J$61*Registro_Compras!$N$61),2),""))</f>
        <v/>
      </c>
      <c r="F522" s="20">
        <f>IF($C522="","",IF(Registro_Compras!$F$61="NOTA DE CREDITO","",IF(Registro_Compras!$F$61="RHE",ROUND(Registro_Compras!$L$61*Registro_Compras!$N$61,2),ROUND(Registro_Compras!$J$61*Registro_Compras!$N$61,2))))</f>
        <v>2234.39</v>
      </c>
      <c r="G522" t="str">
        <f>IF($C522="","","Por el destino del gasto")</f>
        <v>Por el destino del gasto</v>
      </c>
      <c r="H522" t="str">
        <f>IF($C522="","",Registro_Compras!$C$61)</f>
        <v>E001-52</v>
      </c>
    </row>
    <row r="523" spans="1:8" x14ac:dyDescent="0.25">
      <c r="A523" s="25" t="str">
        <f>IF($C523="","",Registro_Compras!$X$61)</f>
        <v/>
      </c>
      <c r="B523" t="str">
        <f>IF($C523="","","C"&amp;TEXT(INT((ROW()-5)/9)+1,"000")&amp;"-3")</f>
        <v/>
      </c>
      <c r="C523" t="str">
        <f>IF(OR(Registro_Compras!$C$61="",Registro_Compras!$O$61="",Registro_Compras!$R$61&lt;&gt;"SI",Registro_Compras!$X$61=""),"","4212")</f>
        <v/>
      </c>
      <c r="D523" t="str">
        <f>IF(OR(Registro_Compras!$C$61="",Registro_Compras!$O$61=""),"","Cuentas por Pagar Comerciales - Terceros")</f>
        <v>Cuentas por Pagar Comerciales - Terceros</v>
      </c>
      <c r="E523" s="20" t="str">
        <f>IF($C523="","",Registro_Compras!$S$61)</f>
        <v/>
      </c>
      <c r="F523" s="20" t="str">
        <f>""</f>
        <v/>
      </c>
      <c r="G523" t="str">
        <f>IF($C523="","","Por el deposito de la detraccion en el Banco de la Nacion")</f>
        <v/>
      </c>
      <c r="H523" t="str">
        <f>IF($C523="","",Registro_Compras!$C$61)</f>
        <v/>
      </c>
    </row>
    <row r="524" spans="1:8" x14ac:dyDescent="0.25">
      <c r="A524" s="25" t="str">
        <f>IF($C524="","",Registro_Compras!$X$61)</f>
        <v/>
      </c>
      <c r="B524" t="str">
        <f>IF($C524="","","C"&amp;TEXT(INT((ROW()-5)/9)+1,"000")&amp;"-3")</f>
        <v/>
      </c>
      <c r="C524" t="str">
        <f>IF(OR(Registro_Compras!$C$61="",Registro_Compras!$O$61="",Registro_Compras!$R$61&lt;&gt;"SI",Registro_Compras!$X$61=""),"","1041")</f>
        <v/>
      </c>
      <c r="D524" t="str">
        <f>IF(OR(Registro_Compras!$C$61="",Registro_Compras!$O$61=""),"","Efectivo y Equivalentes - Cta. Cte. Operativa")</f>
        <v>Efectivo y Equivalentes - Cta. Cte. Operativa</v>
      </c>
      <c r="E524" s="20" t="str">
        <f>""</f>
        <v/>
      </c>
      <c r="F524" s="20" t="str">
        <f>IF($C524="","",Registro_Compras!$S$61)</f>
        <v/>
      </c>
      <c r="G524" t="str">
        <f>IF($C524="","","Por el deposito de la detraccion en el Banco de la Nacion")</f>
        <v/>
      </c>
      <c r="H524" t="str">
        <f>IF($C524="","",Registro_Compras!$C$61)</f>
        <v/>
      </c>
    </row>
    <row r="525" spans="1:8" x14ac:dyDescent="0.25">
      <c r="A525" s="25" t="str">
        <f>IF($C525="","",Registro_Compras!$Y$61)</f>
        <v/>
      </c>
      <c r="B525" t="str">
        <f>IF($C525="","","C"&amp;TEXT(INT((ROW()-5)/9)+1,"000")&amp;"-4")</f>
        <v/>
      </c>
      <c r="C525" t="str">
        <f>IF(OR(Registro_Compras!$C$61="",Registro_Compras!$O$61="",Registro_Compras!$Y$61="",Registro_Compras!$F$61="NOTA DE CREDITO"),"","4212")</f>
        <v/>
      </c>
      <c r="D525" t="str">
        <f>IF(OR(Registro_Compras!$C$61="",Registro_Compras!$O$61=""),"","Cuentas por Pagar Comerciales - Terceros")</f>
        <v>Cuentas por Pagar Comerciales - Terceros</v>
      </c>
      <c r="E525" s="20" t="str">
        <f>IF($C525="","",IF(Registro_Compras!$F$61="RHE",(ROUND(Registro_Compras!$L$61*Registro_Compras!$N$61,2)-ROUND(Registro_Compras!$V$61*Registro_Compras!$N$61,2)),ROUND(Registro_Compras!$O$61-Registro_Compras!$S$61,2)))</f>
        <v/>
      </c>
      <c r="F525" s="20" t="str">
        <f>""</f>
        <v/>
      </c>
      <c r="G525" t="str">
        <f>IF($C525="","","Por la cancelacion del saldo al proveedor")</f>
        <v/>
      </c>
      <c r="H525" t="str">
        <f>IF($C525="","",Registro_Compras!$C$61)</f>
        <v/>
      </c>
    </row>
    <row r="526" spans="1:8" x14ac:dyDescent="0.25">
      <c r="A526" s="25" t="str">
        <f>IF($C526="","",Registro_Compras!$Y$61)</f>
        <v/>
      </c>
      <c r="B526" t="str">
        <f>IF($C526="","","C"&amp;TEXT(INT((ROW()-5)/9)+1,"000")&amp;"-4")</f>
        <v/>
      </c>
      <c r="C526" t="str">
        <f>IF(OR(Registro_Compras!$C$61="",Registro_Compras!$O$61="",Registro_Compras!$Y$61="",Registro_Compras!$F$61="NOTA DE CREDITO"),"","1041")</f>
        <v/>
      </c>
      <c r="D526" t="str">
        <f>IF(OR(Registro_Compras!$C$61="",Registro_Compras!$O$61=""),"","Efectivo y Equivalentes - Cta. Cte. Operativa")</f>
        <v>Efectivo y Equivalentes - Cta. Cte. Operativa</v>
      </c>
      <c r="E526" s="20" t="str">
        <f>""</f>
        <v/>
      </c>
      <c r="F526" s="20" t="str">
        <f>IF($C526="","",IF(Registro_Compras!$F$61="RHE",(ROUND(Registro_Compras!$L$61*Registro_Compras!$N$61,2)-ROUND(Registro_Compras!$V$61*Registro_Compras!$N$61,2)),ROUND(Registro_Compras!$O$61-Registro_Compras!$S$61,2)))</f>
        <v/>
      </c>
      <c r="G526" t="str">
        <f>IF($C526="","","Por la cancelacion del saldo al proveedor")</f>
        <v/>
      </c>
      <c r="H526" t="str">
        <f>IF($C526="","",Registro_Compras!$C$61)</f>
        <v/>
      </c>
    </row>
    <row r="527" spans="1:8" x14ac:dyDescent="0.25">
      <c r="A527" s="25">
        <f>IF($C527="","",Registro_Compras!$B$62)</f>
        <v>46244</v>
      </c>
      <c r="B527" t="str">
        <f>IF($C527="","","C"&amp;TEXT(INT((ROW()-5)/9)+1,"000")&amp;"-1")</f>
        <v>C059-1</v>
      </c>
      <c r="C527" t="str">
        <f>IF(OR(Registro_Compras!$C$62="",Registro_Compras!$O$62=""),"",IF(Registro_Compras!$F$62="NOTA DE CREDITO","4212",IF(Registro_Compras!$M$62="","63",Registro_Compras!$M$62)))</f>
        <v>639</v>
      </c>
      <c r="D527" t="str">
        <f>IF(OR(Registro_Compras!$C$62="",Registro_Compras!$O$62=""),"",IF(Registro_Compras!$F$62="NOTA DE CREDITO","Cuentas por Pagar Comerciales - Terceros (Emitidas)",IF(Registro_Compras!$F$62="RHE","Honorarios Profesionales - Servicios de Terceros","Gastos de Servicios Prestados por Terceros")))</f>
        <v>Gastos de Servicios Prestados por Terceros</v>
      </c>
      <c r="E527" s="20">
        <f>IF($C527="","",IF(Registro_Compras!$F$62="NOTA DE CREDITO",ABS(Registro_Compras!$O$62),IF(Registro_Compras!$F$62="RHE",ROUND(Registro_Compras!$L$62*Registro_Compras!$N$62,2),ROUND(Registro_Compras!$J$62*Registro_Compras!$N$62,2))))</f>
        <v>3532.95</v>
      </c>
      <c r="F527" s="20" t="str">
        <f>""</f>
        <v/>
      </c>
      <c r="G527" t="str">
        <f>IF($C527="","",IF(Registro_Compras!$F$62="NOTA DE CREDITO","Por la nota de credito "&amp;Registro_Compras!$C$62&amp;" de "&amp;Registro_Compras!$E$62&amp;" [PATRON POR CONFIRMAR CON CONTADOR]",IF(Registro_Compras!$F$62="RHE","Por el registro del recibo por honorarios "&amp;Registro_Compras!$C$62&amp;" de "&amp;Registro_Compras!$E$62&amp;" [PATRON POR CONFIRMAR CON CONTADOR]","Por el registro de la factura "&amp;Registro_Compras!$C$62&amp;" de "&amp;Registro_Compras!$E$62)))</f>
        <v>Por el registro de la factura F001-00000733 de PERUVIAN CULTURE TRAVEL AGENCIA DE VIAJES Y TURISMO S.R.L.</v>
      </c>
      <c r="H527" t="str">
        <f>IF($C527="","",Registro_Compras!$C$62)</f>
        <v>F001-00000733</v>
      </c>
    </row>
    <row r="528" spans="1:8" x14ac:dyDescent="0.25">
      <c r="A528" s="25">
        <f>IF($C528="","",Registro_Compras!$B$62)</f>
        <v>46244</v>
      </c>
      <c r="B528" t="str">
        <f>IF($C528="","","C"&amp;TEXT(INT((ROW()-5)/9)+1,"000")&amp;"-1")</f>
        <v>C059-1</v>
      </c>
      <c r="C528" t="str">
        <f>IF(OR(Registro_Compras!$C$62="",Registro_Compras!$O$62=""),"",IF(Registro_Compras!$F$62="RHE",IF(Registro_Compras!$V$62=0,"","4017"),IF(Registro_Compras!$F$62="NOTA DE CREDITO",IF(Registro_Compras!$M$62="","63",Registro_Compras!$M$62),IF(Registro_Compras!$K$62=0,"","40111"))))</f>
        <v>40111</v>
      </c>
      <c r="D528" t="str">
        <f>IF(OR(Registro_Compras!$C$62="",Registro_Compras!$O$62=""),"",IF(Registro_Compras!$F$62="RHE","Retencion Renta 4ta Categoria por Pagar",IF(Registro_Compras!$F$62="NOTA DE CREDITO","Gastos de Servicios Prestados por Terceros","IGV - Cuenta Propia (Credito Fiscal)")))</f>
        <v>IGV - Cuenta Propia (Credito Fiscal)</v>
      </c>
      <c r="E528" s="20">
        <f>IF($C528="","",IF(Registro_Compras!$F$62="FACTURA",ROUND(Registro_Compras!$K$62*Registro_Compras!$N$62,2),""))</f>
        <v>635.95000000000005</v>
      </c>
      <c r="F528" s="20" t="str">
        <f>IF($C528="","",IF(Registro_Compras!$F$62="RHE",ROUND(Registro_Compras!$V$62*Registro_Compras!$N$62,2),IF(Registro_Compras!$F$62="NOTA DE CREDITO",ROUND(ABS(Registro_Compras!$J$62*Registro_Compras!$N$62),2),"")))</f>
        <v/>
      </c>
      <c r="G528" t="str">
        <f>IF($C528="","",IF(Registro_Compras!$F$62="NOTA DE CREDITO","Por la nota de credito "&amp;Registro_Compras!$C$62&amp;" de "&amp;Registro_Compras!$E$62&amp;" [PATRON POR CONFIRMAR CON CONTADOR]",IF(Registro_Compras!$F$62="RHE","Por el registro del recibo por honorarios "&amp;Registro_Compras!$C$62&amp;" de "&amp;Registro_Compras!$E$62&amp;" [PATRON POR CONFIRMAR CON CONTADOR]","Por el registro de la factura "&amp;Registro_Compras!$C$62&amp;" de "&amp;Registro_Compras!$E$62)))</f>
        <v>Por el registro de la factura F001-00000733 de PERUVIAN CULTURE TRAVEL AGENCIA DE VIAJES Y TURISMO S.R.L.</v>
      </c>
      <c r="H528" t="str">
        <f>IF($C528="","",Registro_Compras!$C$62)</f>
        <v>F001-00000733</v>
      </c>
    </row>
    <row r="529" spans="1:8" x14ac:dyDescent="0.25">
      <c r="A529" s="25">
        <f>IF($C529="","",Registro_Compras!$B$62)</f>
        <v>46244</v>
      </c>
      <c r="B529" t="str">
        <f>IF($C529="","","C"&amp;TEXT(INT((ROW()-5)/9)+1,"000")&amp;"-1")</f>
        <v>C059-1</v>
      </c>
      <c r="C529" t="str">
        <f>IF(OR(Registro_Compras!$C$62="",Registro_Compras!$O$62=""),"",IF(Registro_Compras!$F$62="NOTA DE CREDITO",IF(Registro_Compras!$K$62=0,"","40111"),"4212"))</f>
        <v>4212</v>
      </c>
      <c r="D529" t="str">
        <f>IF(OR(Registro_Compras!$C$62="",Registro_Compras!$O$62=""),"",IF(Registro_Compras!$F$62="NOTA DE CREDITO","IGV - Cuenta Propia (Credito Fiscal)","Cuentas por Pagar Comerciales - Terceros (Emitidas)"))</f>
        <v>Cuentas por Pagar Comerciales - Terceros (Emitidas)</v>
      </c>
      <c r="E529" s="20" t="str">
        <f>""</f>
        <v/>
      </c>
      <c r="F529" s="20">
        <f>IF($C529="","",IF(Registro_Compras!$F$62="NOTA DE CREDITO",ROUND(ABS(Registro_Compras!$K$62*Registro_Compras!$N$62),2),IF(Registro_Compras!$F$62="RHE",(ROUND(Registro_Compras!$L$62*Registro_Compras!$N$62,2)-ROUND(Registro_Compras!$V$62*Registro_Compras!$N$62,2)),Registro_Compras!$O$62)))</f>
        <v>4168.8999999999996</v>
      </c>
      <c r="G529" t="str">
        <f>IF($C529="","",IF(Registro_Compras!$F$62="NOTA DE CREDITO","Por la nota de credito "&amp;Registro_Compras!$C$62&amp;" de "&amp;Registro_Compras!$E$62&amp;" [PATRON POR CONFIRMAR CON CONTADOR]",IF(Registro_Compras!$F$62="RHE","Por el registro del recibo por honorarios "&amp;Registro_Compras!$C$62&amp;" de "&amp;Registro_Compras!$E$62&amp;" [PATRON POR CONFIRMAR CON CONTADOR]","Por el registro de la factura "&amp;Registro_Compras!$C$62&amp;" de "&amp;Registro_Compras!$E$62)))</f>
        <v>Por el registro de la factura F001-00000733 de PERUVIAN CULTURE TRAVEL AGENCIA DE VIAJES Y TURISMO S.R.L.</v>
      </c>
      <c r="H529" t="str">
        <f>IF($C529="","",Registro_Compras!$C$62)</f>
        <v>F001-00000733</v>
      </c>
    </row>
    <row r="530" spans="1:8" x14ac:dyDescent="0.25">
      <c r="A530" s="25">
        <f>IF($C530="","",Registro_Compras!$B$62)</f>
        <v>46244</v>
      </c>
      <c r="B530" t="str">
        <f>IF($C530="","","C"&amp;TEXT(INT((ROW()-5)/9)+1,"000")&amp;"-2")</f>
        <v>C059-2</v>
      </c>
      <c r="C530" t="str">
        <f>IF(OR(Registro_Compras!$C$62="",Registro_Compras!$O$62=""),"",IF(Registro_Compras!$AB$62="ADMINISTRATIVO","94","95"))</f>
        <v>95</v>
      </c>
      <c r="D530" t="str">
        <f>IF(OR(Registro_Compras!$C$62="",Registro_Compras!$O$62=""),"",IF(Registro_Compras!$AB$62="ADMINISTRATIVO","Gastos Administrativos","Gastos de Venta y Operacion"))</f>
        <v>Gastos de Venta y Operacion</v>
      </c>
      <c r="E530" s="20">
        <f>IF($C530="","",IF(Registro_Compras!$F$62="NOTA DE CREDITO","",IF(Registro_Compras!$F$62="RHE",ROUND(Registro_Compras!$L$62*Registro_Compras!$N$62,2),ROUND(Registro_Compras!$J$62*Registro_Compras!$N$62,2))))</f>
        <v>3532.95</v>
      </c>
      <c r="F530" s="20" t="str">
        <f>IF($C530="","",IF(Registro_Compras!$F$62="NOTA DE CREDITO",ROUND(ABS(Registro_Compras!$J$62*Registro_Compras!$N$62),2),""))</f>
        <v/>
      </c>
      <c r="G530" t="str">
        <f>IF($C530="","","Por el destino del gasto")</f>
        <v>Por el destino del gasto</v>
      </c>
      <c r="H530" t="str">
        <f>IF($C530="","",Registro_Compras!$C$62)</f>
        <v>F001-00000733</v>
      </c>
    </row>
    <row r="531" spans="1:8" x14ac:dyDescent="0.25">
      <c r="A531" s="25">
        <f>IF($C531="","",Registro_Compras!$B$62)</f>
        <v>46244</v>
      </c>
      <c r="B531" t="str">
        <f>IF($C531="","","C"&amp;TEXT(INT((ROW()-5)/9)+1,"000")&amp;"-2")</f>
        <v>C059-2</v>
      </c>
      <c r="C531" t="str">
        <f>IF(OR(Registro_Compras!$C$62="",Registro_Compras!$O$62=""),"","79/791")</f>
        <v>79/791</v>
      </c>
      <c r="D531" t="str">
        <f>IF(OR(Registro_Compras!$C$62="",Registro_Compras!$O$62=""),"","Cargas Imputables a Cuentas de Costos y Gastos")</f>
        <v>Cargas Imputables a Cuentas de Costos y Gastos</v>
      </c>
      <c r="E531" s="20" t="str">
        <f>IF($C531="","",IF(Registro_Compras!$F$62="NOTA DE CREDITO",ROUND(ABS(Registro_Compras!$J$62*Registro_Compras!$N$62),2),""))</f>
        <v/>
      </c>
      <c r="F531" s="20">
        <f>IF($C531="","",IF(Registro_Compras!$F$62="NOTA DE CREDITO","",IF(Registro_Compras!$F$62="RHE",ROUND(Registro_Compras!$L$62*Registro_Compras!$N$62,2),ROUND(Registro_Compras!$J$62*Registro_Compras!$N$62,2))))</f>
        <v>3532.95</v>
      </c>
      <c r="G531" t="str">
        <f>IF($C531="","","Por el destino del gasto")</f>
        <v>Por el destino del gasto</v>
      </c>
      <c r="H531" t="str">
        <f>IF($C531="","",Registro_Compras!$C$62)</f>
        <v>F001-00000733</v>
      </c>
    </row>
    <row r="532" spans="1:8" x14ac:dyDescent="0.25">
      <c r="A532" s="25" t="str">
        <f>IF($C532="","",Registro_Compras!$X$62)</f>
        <v/>
      </c>
      <c r="B532" t="str">
        <f>IF($C532="","","C"&amp;TEXT(INT((ROW()-5)/9)+1,"000")&amp;"-3")</f>
        <v/>
      </c>
      <c r="C532" t="str">
        <f>IF(OR(Registro_Compras!$C$62="",Registro_Compras!$O$62="",Registro_Compras!$R$62&lt;&gt;"SI",Registro_Compras!$X$62=""),"","4212")</f>
        <v/>
      </c>
      <c r="D532" t="str">
        <f>IF(OR(Registro_Compras!$C$62="",Registro_Compras!$O$62=""),"","Cuentas por Pagar Comerciales - Terceros")</f>
        <v>Cuentas por Pagar Comerciales - Terceros</v>
      </c>
      <c r="E532" s="20" t="str">
        <f>IF($C532="","",Registro_Compras!$S$62)</f>
        <v/>
      </c>
      <c r="F532" s="20" t="str">
        <f>""</f>
        <v/>
      </c>
      <c r="G532" t="str">
        <f>IF($C532="","","Por el deposito de la detraccion en el Banco de la Nacion")</f>
        <v/>
      </c>
      <c r="H532" t="str">
        <f>IF($C532="","",Registro_Compras!$C$62)</f>
        <v/>
      </c>
    </row>
    <row r="533" spans="1:8" x14ac:dyDescent="0.25">
      <c r="A533" s="25" t="str">
        <f>IF($C533="","",Registro_Compras!$X$62)</f>
        <v/>
      </c>
      <c r="B533" t="str">
        <f>IF($C533="","","C"&amp;TEXT(INT((ROW()-5)/9)+1,"000")&amp;"-3")</f>
        <v/>
      </c>
      <c r="C533" t="str">
        <f>IF(OR(Registro_Compras!$C$62="",Registro_Compras!$O$62="",Registro_Compras!$R$62&lt;&gt;"SI",Registro_Compras!$X$62=""),"","1041")</f>
        <v/>
      </c>
      <c r="D533" t="str">
        <f>IF(OR(Registro_Compras!$C$62="",Registro_Compras!$O$62=""),"","Efectivo y Equivalentes - Cta. Cte. Operativa")</f>
        <v>Efectivo y Equivalentes - Cta. Cte. Operativa</v>
      </c>
      <c r="E533" s="20" t="str">
        <f>""</f>
        <v/>
      </c>
      <c r="F533" s="20" t="str">
        <f>IF($C533="","",Registro_Compras!$S$62)</f>
        <v/>
      </c>
      <c r="G533" t="str">
        <f>IF($C533="","","Por el deposito de la detraccion en el Banco de la Nacion")</f>
        <v/>
      </c>
      <c r="H533" t="str">
        <f>IF($C533="","",Registro_Compras!$C$62)</f>
        <v/>
      </c>
    </row>
    <row r="534" spans="1:8" x14ac:dyDescent="0.25">
      <c r="A534" s="25" t="str">
        <f>IF($C534="","",Registro_Compras!$Y$62)</f>
        <v/>
      </c>
      <c r="B534" t="str">
        <f>IF($C534="","","C"&amp;TEXT(INT((ROW()-5)/9)+1,"000")&amp;"-4")</f>
        <v/>
      </c>
      <c r="C534" t="str">
        <f>IF(OR(Registro_Compras!$C$62="",Registro_Compras!$O$62="",Registro_Compras!$Y$62="",Registro_Compras!$F$62="NOTA DE CREDITO"),"","4212")</f>
        <v/>
      </c>
      <c r="D534" t="str">
        <f>IF(OR(Registro_Compras!$C$62="",Registro_Compras!$O$62=""),"","Cuentas por Pagar Comerciales - Terceros")</f>
        <v>Cuentas por Pagar Comerciales - Terceros</v>
      </c>
      <c r="E534" s="20" t="str">
        <f>IF($C534="","",IF(Registro_Compras!$F$62="RHE",(ROUND(Registro_Compras!$L$62*Registro_Compras!$N$62,2)-ROUND(Registro_Compras!$V$62*Registro_Compras!$N$62,2)),ROUND(Registro_Compras!$O$62-Registro_Compras!$S$62,2)))</f>
        <v/>
      </c>
      <c r="F534" s="20" t="str">
        <f>""</f>
        <v/>
      </c>
      <c r="G534" t="str">
        <f>IF($C534="","","Por la cancelacion del saldo al proveedor")</f>
        <v/>
      </c>
      <c r="H534" t="str">
        <f>IF($C534="","",Registro_Compras!$C$62)</f>
        <v/>
      </c>
    </row>
    <row r="535" spans="1:8" x14ac:dyDescent="0.25">
      <c r="A535" s="25" t="str">
        <f>IF($C535="","",Registro_Compras!$Y$62)</f>
        <v/>
      </c>
      <c r="B535" t="str">
        <f>IF($C535="","","C"&amp;TEXT(INT((ROW()-5)/9)+1,"000")&amp;"-4")</f>
        <v/>
      </c>
      <c r="C535" t="str">
        <f>IF(OR(Registro_Compras!$C$62="",Registro_Compras!$O$62="",Registro_Compras!$Y$62="",Registro_Compras!$F$62="NOTA DE CREDITO"),"","1041")</f>
        <v/>
      </c>
      <c r="D535" t="str">
        <f>IF(OR(Registro_Compras!$C$62="",Registro_Compras!$O$62=""),"","Efectivo y Equivalentes - Cta. Cte. Operativa")</f>
        <v>Efectivo y Equivalentes - Cta. Cte. Operativa</v>
      </c>
      <c r="E535" s="20" t="str">
        <f>""</f>
        <v/>
      </c>
      <c r="F535" s="20" t="str">
        <f>IF($C535="","",IF(Registro_Compras!$F$62="RHE",(ROUND(Registro_Compras!$L$62*Registro_Compras!$N$62,2)-ROUND(Registro_Compras!$V$62*Registro_Compras!$N$62,2)),ROUND(Registro_Compras!$O$62-Registro_Compras!$S$62,2)))</f>
        <v/>
      </c>
      <c r="G535" t="str">
        <f>IF($C535="","","Por la cancelacion del saldo al proveedor")</f>
        <v/>
      </c>
      <c r="H535" t="str">
        <f>IF($C535="","",Registro_Compras!$C$62)</f>
        <v/>
      </c>
    </row>
    <row r="536" spans="1:8" x14ac:dyDescent="0.25">
      <c r="A536" s="25">
        <f>IF($C536="","",Registro_Compras!$B$63)</f>
        <v>46246</v>
      </c>
      <c r="B536" t="str">
        <f>IF($C536="","","C"&amp;TEXT(INT((ROW()-5)/9)+1,"000")&amp;"-1")</f>
        <v>C060-1</v>
      </c>
      <c r="C536" t="str">
        <f>IF(OR(Registro_Compras!$C$63="",Registro_Compras!$O$63=""),"",IF(Registro_Compras!$F$63="NOTA DE CREDITO","4212",IF(Registro_Compras!$M$63="","63",Registro_Compras!$M$63)))</f>
        <v>639</v>
      </c>
      <c r="D536" t="str">
        <f>IF(OR(Registro_Compras!$C$63="",Registro_Compras!$O$63=""),"",IF(Registro_Compras!$F$63="NOTA DE CREDITO","Cuentas por Pagar Comerciales - Terceros (Emitidas)",IF(Registro_Compras!$F$63="RHE","Honorarios Profesionales - Servicios de Terceros","Gastos de Servicios Prestados por Terceros")))</f>
        <v>Gastos de Servicios Prestados por Terceros</v>
      </c>
      <c r="E536" s="20">
        <f>IF($C536="","",IF(Registro_Compras!$F$63="NOTA DE CREDITO",ABS(Registro_Compras!$O$63),IF(Registro_Compras!$F$63="RHE",ROUND(Registro_Compras!$L$63*Registro_Compras!$N$63,2),ROUND(Registro_Compras!$J$63*Registro_Compras!$N$63,2))))</f>
        <v>7366.98</v>
      </c>
      <c r="F536" s="20" t="str">
        <f>""</f>
        <v/>
      </c>
      <c r="G536" t="str">
        <f>IF($C536="","",IF(Registro_Compras!$F$63="NOTA DE CREDITO","Por la nota de credito "&amp;Registro_Compras!$C$63&amp;" de "&amp;Registro_Compras!$E$63&amp;" [PATRON POR CONFIRMAR CON CONTADOR]",IF(Registro_Compras!$F$63="RHE","Por el registro del recibo por honorarios "&amp;Registro_Compras!$C$63&amp;" de "&amp;Registro_Compras!$E$63&amp;" [PATRON POR CONFIRMAR CON CONTADOR]","Por el registro de la factura "&amp;Registro_Compras!$C$63&amp;" de "&amp;Registro_Compras!$E$63)))</f>
        <v>Por el registro de la factura FC03-00002537 de PETIT POIS S.A.C. (HOTEL SOL Y LUNA)</v>
      </c>
      <c r="H536" t="str">
        <f>IF($C536="","",Registro_Compras!$C$63)</f>
        <v>FC03-00002537</v>
      </c>
    </row>
    <row r="537" spans="1:8" x14ac:dyDescent="0.25">
      <c r="A537" s="25">
        <f>IF($C537="","",Registro_Compras!$B$63)</f>
        <v>46246</v>
      </c>
      <c r="B537" t="str">
        <f>IF($C537="","","C"&amp;TEXT(INT((ROW()-5)/9)+1,"000")&amp;"-1")</f>
        <v>C060-1</v>
      </c>
      <c r="C537" t="str">
        <f>IF(OR(Registro_Compras!$C$63="",Registro_Compras!$O$63=""),"",IF(Registro_Compras!$F$63="RHE",IF(Registro_Compras!$V$63=0,"","4017"),IF(Registro_Compras!$F$63="NOTA DE CREDITO",IF(Registro_Compras!$M$63="","63",Registro_Compras!$M$63),IF(Registro_Compras!$K$63=0,"","40111"))))</f>
        <v>40111</v>
      </c>
      <c r="D537" t="str">
        <f>IF(OR(Registro_Compras!$C$63="",Registro_Compras!$O$63=""),"",IF(Registro_Compras!$F$63="RHE","Retencion Renta 4ta Categoria por Pagar",IF(Registro_Compras!$F$63="NOTA DE CREDITO","Gastos de Servicios Prestados por Terceros","IGV - Cuenta Propia (Credito Fiscal)")))</f>
        <v>IGV - Cuenta Propia (Credito Fiscal)</v>
      </c>
      <c r="E537" s="20">
        <f>IF($C537="","",IF(Registro_Compras!$F$63="FACTURA",ROUND(Registro_Compras!$K$63*Registro_Compras!$N$63,2),""))</f>
        <v>1326.04</v>
      </c>
      <c r="F537" s="20" t="str">
        <f>IF($C537="","",IF(Registro_Compras!$F$63="RHE",ROUND(Registro_Compras!$V$63*Registro_Compras!$N$63,2),IF(Registro_Compras!$F$63="NOTA DE CREDITO",ROUND(ABS(Registro_Compras!$J$63*Registro_Compras!$N$63),2),"")))</f>
        <v/>
      </c>
      <c r="G537" t="str">
        <f>IF($C537="","",IF(Registro_Compras!$F$63="NOTA DE CREDITO","Por la nota de credito "&amp;Registro_Compras!$C$63&amp;" de "&amp;Registro_Compras!$E$63&amp;" [PATRON POR CONFIRMAR CON CONTADOR]",IF(Registro_Compras!$F$63="RHE","Por el registro del recibo por honorarios "&amp;Registro_Compras!$C$63&amp;" de "&amp;Registro_Compras!$E$63&amp;" [PATRON POR CONFIRMAR CON CONTADOR]","Por el registro de la factura "&amp;Registro_Compras!$C$63&amp;" de "&amp;Registro_Compras!$E$63)))</f>
        <v>Por el registro de la factura FC03-00002537 de PETIT POIS S.A.C. (HOTEL SOL Y LUNA)</v>
      </c>
      <c r="H537" t="str">
        <f>IF($C537="","",Registro_Compras!$C$63)</f>
        <v>FC03-00002537</v>
      </c>
    </row>
    <row r="538" spans="1:8" x14ac:dyDescent="0.25">
      <c r="A538" s="25">
        <f>IF($C538="","",Registro_Compras!$B$63)</f>
        <v>46246</v>
      </c>
      <c r="B538" t="str">
        <f>IF($C538="","","C"&amp;TEXT(INT((ROW()-5)/9)+1,"000")&amp;"-1")</f>
        <v>C060-1</v>
      </c>
      <c r="C538" t="str">
        <f>IF(OR(Registro_Compras!$C$63="",Registro_Compras!$O$63=""),"",IF(Registro_Compras!$F$63="NOTA DE CREDITO",IF(Registro_Compras!$K$63=0,"","40111"),"4212"))</f>
        <v>4212</v>
      </c>
      <c r="D538" t="str">
        <f>IF(OR(Registro_Compras!$C$63="",Registro_Compras!$O$63=""),"",IF(Registro_Compras!$F$63="NOTA DE CREDITO","IGV - Cuenta Propia (Credito Fiscal)","Cuentas por Pagar Comerciales - Terceros (Emitidas)"))</f>
        <v>Cuentas por Pagar Comerciales - Terceros (Emitidas)</v>
      </c>
      <c r="E538" s="20" t="str">
        <f>""</f>
        <v/>
      </c>
      <c r="F538" s="20">
        <f>IF($C538="","",IF(Registro_Compras!$F$63="NOTA DE CREDITO",ROUND(ABS(Registro_Compras!$K$63*Registro_Compras!$N$63),2),IF(Registro_Compras!$F$63="RHE",(ROUND(Registro_Compras!$L$63*Registro_Compras!$N$63,2)-ROUND(Registro_Compras!$V$63*Registro_Compras!$N$63,2)),Registro_Compras!$O$63)))</f>
        <v>8693.02</v>
      </c>
      <c r="G538" t="str">
        <f>IF($C538="","",IF(Registro_Compras!$F$63="NOTA DE CREDITO","Por la nota de credito "&amp;Registro_Compras!$C$63&amp;" de "&amp;Registro_Compras!$E$63&amp;" [PATRON POR CONFIRMAR CON CONTADOR]",IF(Registro_Compras!$F$63="RHE","Por el registro del recibo por honorarios "&amp;Registro_Compras!$C$63&amp;" de "&amp;Registro_Compras!$E$63&amp;" [PATRON POR CONFIRMAR CON CONTADOR]","Por el registro de la factura "&amp;Registro_Compras!$C$63&amp;" de "&amp;Registro_Compras!$E$63)))</f>
        <v>Por el registro de la factura FC03-00002537 de PETIT POIS S.A.C. (HOTEL SOL Y LUNA)</v>
      </c>
      <c r="H538" t="str">
        <f>IF($C538="","",Registro_Compras!$C$63)</f>
        <v>FC03-00002537</v>
      </c>
    </row>
    <row r="539" spans="1:8" x14ac:dyDescent="0.25">
      <c r="A539" s="25">
        <f>IF($C539="","",Registro_Compras!$B$63)</f>
        <v>46246</v>
      </c>
      <c r="B539" t="str">
        <f>IF($C539="","","C"&amp;TEXT(INT((ROW()-5)/9)+1,"000")&amp;"-2")</f>
        <v>C060-2</v>
      </c>
      <c r="C539" t="str">
        <f>IF(OR(Registro_Compras!$C$63="",Registro_Compras!$O$63=""),"",IF(Registro_Compras!$AB$63="ADMINISTRATIVO","94","95"))</f>
        <v>95</v>
      </c>
      <c r="D539" t="str">
        <f>IF(OR(Registro_Compras!$C$63="",Registro_Compras!$O$63=""),"",IF(Registro_Compras!$AB$63="ADMINISTRATIVO","Gastos Administrativos","Gastos de Venta y Operacion"))</f>
        <v>Gastos de Venta y Operacion</v>
      </c>
      <c r="E539" s="20">
        <f>IF($C539="","",IF(Registro_Compras!$F$63="NOTA DE CREDITO","",IF(Registro_Compras!$F$63="RHE",ROUND(Registro_Compras!$L$63*Registro_Compras!$N$63,2),ROUND(Registro_Compras!$J$63*Registro_Compras!$N$63,2))))</f>
        <v>7366.98</v>
      </c>
      <c r="F539" s="20" t="str">
        <f>IF($C539="","",IF(Registro_Compras!$F$63="NOTA DE CREDITO",ROUND(ABS(Registro_Compras!$J$63*Registro_Compras!$N$63),2),""))</f>
        <v/>
      </c>
      <c r="G539" t="str">
        <f>IF($C539="","","Por el destino del gasto")</f>
        <v>Por el destino del gasto</v>
      </c>
      <c r="H539" t="str">
        <f>IF($C539="","",Registro_Compras!$C$63)</f>
        <v>FC03-00002537</v>
      </c>
    </row>
    <row r="540" spans="1:8" x14ac:dyDescent="0.25">
      <c r="A540" s="25">
        <f>IF($C540="","",Registro_Compras!$B$63)</f>
        <v>46246</v>
      </c>
      <c r="B540" t="str">
        <f>IF($C540="","","C"&amp;TEXT(INT((ROW()-5)/9)+1,"000")&amp;"-2")</f>
        <v>C060-2</v>
      </c>
      <c r="C540" t="str">
        <f>IF(OR(Registro_Compras!$C$63="",Registro_Compras!$O$63=""),"","79/791")</f>
        <v>79/791</v>
      </c>
      <c r="D540" t="str">
        <f>IF(OR(Registro_Compras!$C$63="",Registro_Compras!$O$63=""),"","Cargas Imputables a Cuentas de Costos y Gastos")</f>
        <v>Cargas Imputables a Cuentas de Costos y Gastos</v>
      </c>
      <c r="E540" s="20" t="str">
        <f>IF($C540="","",IF(Registro_Compras!$F$63="NOTA DE CREDITO",ROUND(ABS(Registro_Compras!$J$63*Registro_Compras!$N$63),2),""))</f>
        <v/>
      </c>
      <c r="F540" s="20">
        <f>IF($C540="","",IF(Registro_Compras!$F$63="NOTA DE CREDITO","",IF(Registro_Compras!$F$63="RHE",ROUND(Registro_Compras!$L$63*Registro_Compras!$N$63,2),ROUND(Registro_Compras!$J$63*Registro_Compras!$N$63,2))))</f>
        <v>7366.98</v>
      </c>
      <c r="G540" t="str">
        <f>IF($C540="","","Por el destino del gasto")</f>
        <v>Por el destino del gasto</v>
      </c>
      <c r="H540" t="str">
        <f>IF($C540="","",Registro_Compras!$C$63)</f>
        <v>FC03-00002537</v>
      </c>
    </row>
    <row r="541" spans="1:8" x14ac:dyDescent="0.25">
      <c r="A541" s="25" t="str">
        <f>IF($C541="","",Registro_Compras!$X$63)</f>
        <v/>
      </c>
      <c r="B541" t="str">
        <f>IF($C541="","","C"&amp;TEXT(INT((ROW()-5)/9)+1,"000")&amp;"-3")</f>
        <v/>
      </c>
      <c r="C541" t="str">
        <f>IF(OR(Registro_Compras!$C$63="",Registro_Compras!$O$63="",Registro_Compras!$R$63&lt;&gt;"SI",Registro_Compras!$X$63=""),"","4212")</f>
        <v/>
      </c>
      <c r="D541" t="str">
        <f>IF(OR(Registro_Compras!$C$63="",Registro_Compras!$O$63=""),"","Cuentas por Pagar Comerciales - Terceros")</f>
        <v>Cuentas por Pagar Comerciales - Terceros</v>
      </c>
      <c r="E541" s="20" t="str">
        <f>IF($C541="","",Registro_Compras!$S$63)</f>
        <v/>
      </c>
      <c r="F541" s="20" t="str">
        <f>""</f>
        <v/>
      </c>
      <c r="G541" t="str">
        <f>IF($C541="","","Por el deposito de la detraccion en el Banco de la Nacion")</f>
        <v/>
      </c>
      <c r="H541" t="str">
        <f>IF($C541="","",Registro_Compras!$C$63)</f>
        <v/>
      </c>
    </row>
    <row r="542" spans="1:8" x14ac:dyDescent="0.25">
      <c r="A542" s="25" t="str">
        <f>IF($C542="","",Registro_Compras!$X$63)</f>
        <v/>
      </c>
      <c r="B542" t="str">
        <f>IF($C542="","","C"&amp;TEXT(INT((ROW()-5)/9)+1,"000")&amp;"-3")</f>
        <v/>
      </c>
      <c r="C542" t="str">
        <f>IF(OR(Registro_Compras!$C$63="",Registro_Compras!$O$63="",Registro_Compras!$R$63&lt;&gt;"SI",Registro_Compras!$X$63=""),"","1041")</f>
        <v/>
      </c>
      <c r="D542" t="str">
        <f>IF(OR(Registro_Compras!$C$63="",Registro_Compras!$O$63=""),"","Efectivo y Equivalentes - Cta. Cte. Operativa")</f>
        <v>Efectivo y Equivalentes - Cta. Cte. Operativa</v>
      </c>
      <c r="E542" s="20" t="str">
        <f>""</f>
        <v/>
      </c>
      <c r="F542" s="20" t="str">
        <f>IF($C542="","",Registro_Compras!$S$63)</f>
        <v/>
      </c>
      <c r="G542" t="str">
        <f>IF($C542="","","Por el deposito de la detraccion en el Banco de la Nacion")</f>
        <v/>
      </c>
      <c r="H542" t="str">
        <f>IF($C542="","",Registro_Compras!$C$63)</f>
        <v/>
      </c>
    </row>
    <row r="543" spans="1:8" x14ac:dyDescent="0.25">
      <c r="A543" s="25" t="str">
        <f>IF($C543="","",Registro_Compras!$Y$63)</f>
        <v/>
      </c>
      <c r="B543" t="str">
        <f>IF($C543="","","C"&amp;TEXT(INT((ROW()-5)/9)+1,"000")&amp;"-4")</f>
        <v/>
      </c>
      <c r="C543" t="str">
        <f>IF(OR(Registro_Compras!$C$63="",Registro_Compras!$O$63="",Registro_Compras!$Y$63="",Registro_Compras!$F$63="NOTA DE CREDITO"),"","4212")</f>
        <v/>
      </c>
      <c r="D543" t="str">
        <f>IF(OR(Registro_Compras!$C$63="",Registro_Compras!$O$63=""),"","Cuentas por Pagar Comerciales - Terceros")</f>
        <v>Cuentas por Pagar Comerciales - Terceros</v>
      </c>
      <c r="E543" s="20" t="str">
        <f>IF($C543="","",IF(Registro_Compras!$F$63="RHE",(ROUND(Registro_Compras!$L$63*Registro_Compras!$N$63,2)-ROUND(Registro_Compras!$V$63*Registro_Compras!$N$63,2)),ROUND(Registro_Compras!$O$63-Registro_Compras!$S$63,2)))</f>
        <v/>
      </c>
      <c r="F543" s="20" t="str">
        <f>""</f>
        <v/>
      </c>
      <c r="G543" t="str">
        <f>IF($C543="","","Por la cancelacion del saldo al proveedor")</f>
        <v/>
      </c>
      <c r="H543" t="str">
        <f>IF($C543="","",Registro_Compras!$C$63)</f>
        <v/>
      </c>
    </row>
    <row r="544" spans="1:8" x14ac:dyDescent="0.25">
      <c r="A544" s="25" t="str">
        <f>IF($C544="","",Registro_Compras!$Y$63)</f>
        <v/>
      </c>
      <c r="B544" t="str">
        <f>IF($C544="","","C"&amp;TEXT(INT((ROW()-5)/9)+1,"000")&amp;"-4")</f>
        <v/>
      </c>
      <c r="C544" t="str">
        <f>IF(OR(Registro_Compras!$C$63="",Registro_Compras!$O$63="",Registro_Compras!$Y$63="",Registro_Compras!$F$63="NOTA DE CREDITO"),"","1041")</f>
        <v/>
      </c>
      <c r="D544" t="str">
        <f>IF(OR(Registro_Compras!$C$63="",Registro_Compras!$O$63=""),"","Efectivo y Equivalentes - Cta. Cte. Operativa")</f>
        <v>Efectivo y Equivalentes - Cta. Cte. Operativa</v>
      </c>
      <c r="E544" s="20" t="str">
        <f>""</f>
        <v/>
      </c>
      <c r="F544" s="20" t="str">
        <f>IF($C544="","",IF(Registro_Compras!$F$63="RHE",(ROUND(Registro_Compras!$L$63*Registro_Compras!$N$63,2)-ROUND(Registro_Compras!$V$63*Registro_Compras!$N$63,2)),ROUND(Registro_Compras!$O$63-Registro_Compras!$S$63,2)))</f>
        <v/>
      </c>
      <c r="G544" t="str">
        <f>IF($C544="","","Por la cancelacion del saldo al proveedor")</f>
        <v/>
      </c>
      <c r="H544" t="str">
        <f>IF($C544="","",Registro_Compras!$C$63)</f>
        <v/>
      </c>
    </row>
    <row r="545" spans="1:8" x14ac:dyDescent="0.25">
      <c r="A545" s="25">
        <f>IF($C545="","",Registro_Compras!$B$64)</f>
        <v>46242</v>
      </c>
      <c r="B545" t="str">
        <f>IF($C545="","","C"&amp;TEXT(INT((ROW()-5)/9)+1,"000")&amp;"-1")</f>
        <v>C061-1</v>
      </c>
      <c r="C545" t="str">
        <f>IF(OR(Registro_Compras!$C$64="",Registro_Compras!$O$64=""),"",IF(Registro_Compras!$F$64="NOTA DE CREDITO","4212",IF(Registro_Compras!$M$64="","63",Registro_Compras!$M$64)))</f>
        <v>639</v>
      </c>
      <c r="D545" t="str">
        <f>IF(OR(Registro_Compras!$C$64="",Registro_Compras!$O$64=""),"",IF(Registro_Compras!$F$64="NOTA DE CREDITO","Cuentas por Pagar Comerciales - Terceros (Emitidas)",IF(Registro_Compras!$F$64="RHE","Honorarios Profesionales - Servicios de Terceros","Gastos de Servicios Prestados por Terceros")))</f>
        <v>Gastos de Servicios Prestados por Terceros</v>
      </c>
      <c r="E545" s="20">
        <f>IF($C545="","",IF(Registro_Compras!$F$64="NOTA DE CREDITO",ABS(Registro_Compras!$O$64),IF(Registro_Compras!$F$64="RHE",ROUND(Registro_Compras!$L$64*Registro_Compras!$N$64,2),ROUND(Registro_Compras!$J$64*Registro_Compras!$N$64,2))))</f>
        <v>180.09</v>
      </c>
      <c r="F545" s="20" t="str">
        <f>""</f>
        <v/>
      </c>
      <c r="G545" t="str">
        <f>IF($C545="","",IF(Registro_Compras!$F$64="NOTA DE CREDITO","Por la nota de credito "&amp;Registro_Compras!$C$64&amp;" de "&amp;Registro_Compras!$E$64&amp;" [PATRON POR CONFIRMAR CON CONTADOR]",IF(Registro_Compras!$F$64="RHE","Por el registro del recibo por honorarios "&amp;Registro_Compras!$C$64&amp;" de "&amp;Registro_Compras!$E$64&amp;" [PATRON POR CONFIRMAR CON CONTADOR]","Por el registro de la factura "&amp;Registro_Compras!$C$64&amp;" de "&amp;Registro_Compras!$E$64)))</f>
        <v>Por el registro de la factura FW01-00000409 de SIETE APUS E.I.R.L.</v>
      </c>
      <c r="H545" t="str">
        <f>IF($C545="","",Registro_Compras!$C$64)</f>
        <v>FW01-00000409</v>
      </c>
    </row>
    <row r="546" spans="1:8" x14ac:dyDescent="0.25">
      <c r="A546" s="25">
        <f>IF($C546="","",Registro_Compras!$B$64)</f>
        <v>46242</v>
      </c>
      <c r="B546" t="str">
        <f>IF($C546="","","C"&amp;TEXT(INT((ROW()-5)/9)+1,"000")&amp;"-1")</f>
        <v>C061-1</v>
      </c>
      <c r="C546" t="str">
        <f>IF(OR(Registro_Compras!$C$64="",Registro_Compras!$O$64=""),"",IF(Registro_Compras!$F$64="RHE",IF(Registro_Compras!$V$64=0,"","4017"),IF(Registro_Compras!$F$64="NOTA DE CREDITO",IF(Registro_Compras!$M$64="","63",Registro_Compras!$M$64),IF(Registro_Compras!$K$64=0,"","40111"))))</f>
        <v>40111</v>
      </c>
      <c r="D546" t="str">
        <f>IF(OR(Registro_Compras!$C$64="",Registro_Compras!$O$64=""),"",IF(Registro_Compras!$F$64="RHE","Retencion Renta 4ta Categoria por Pagar",IF(Registro_Compras!$F$64="NOTA DE CREDITO","Gastos de Servicios Prestados por Terceros","IGV - Cuenta Propia (Credito Fiscal)")))</f>
        <v>IGV - Cuenta Propia (Credito Fiscal)</v>
      </c>
      <c r="E546" s="20">
        <f>IF($C546="","",IF(Registro_Compras!$F$64="FACTURA",ROUND(Registro_Compras!$K$64*Registro_Compras!$N$64,2),""))</f>
        <v>18.91</v>
      </c>
      <c r="F546" s="20" t="str">
        <f>IF($C546="","",IF(Registro_Compras!$F$64="RHE",ROUND(Registro_Compras!$V$64*Registro_Compras!$N$64,2),IF(Registro_Compras!$F$64="NOTA DE CREDITO",ROUND(ABS(Registro_Compras!$J$64*Registro_Compras!$N$64),2),"")))</f>
        <v/>
      </c>
      <c r="G546" t="str">
        <f>IF($C546="","",IF(Registro_Compras!$F$64="NOTA DE CREDITO","Por la nota de credito "&amp;Registro_Compras!$C$64&amp;" de "&amp;Registro_Compras!$E$64&amp;" [PATRON POR CONFIRMAR CON CONTADOR]",IF(Registro_Compras!$F$64="RHE","Por el registro del recibo por honorarios "&amp;Registro_Compras!$C$64&amp;" de "&amp;Registro_Compras!$E$64&amp;" [PATRON POR CONFIRMAR CON CONTADOR]","Por el registro de la factura "&amp;Registro_Compras!$C$64&amp;" de "&amp;Registro_Compras!$E$64)))</f>
        <v>Por el registro de la factura FW01-00000409 de SIETE APUS E.I.R.L.</v>
      </c>
      <c r="H546" t="str">
        <f>IF($C546="","",Registro_Compras!$C$64)</f>
        <v>FW01-00000409</v>
      </c>
    </row>
    <row r="547" spans="1:8" x14ac:dyDescent="0.25">
      <c r="A547" s="25">
        <f>IF($C547="","",Registro_Compras!$B$64)</f>
        <v>46242</v>
      </c>
      <c r="B547" t="str">
        <f>IF($C547="","","C"&amp;TEXT(INT((ROW()-5)/9)+1,"000")&amp;"-1")</f>
        <v>C061-1</v>
      </c>
      <c r="C547" t="str">
        <f>IF(OR(Registro_Compras!$C$64="",Registro_Compras!$O$64=""),"",IF(Registro_Compras!$F$64="NOTA DE CREDITO",IF(Registro_Compras!$K$64=0,"","40111"),"4212"))</f>
        <v>4212</v>
      </c>
      <c r="D547" t="str">
        <f>IF(OR(Registro_Compras!$C$64="",Registro_Compras!$O$64=""),"",IF(Registro_Compras!$F$64="NOTA DE CREDITO","IGV - Cuenta Propia (Credito Fiscal)","Cuentas por Pagar Comerciales - Terceros (Emitidas)"))</f>
        <v>Cuentas por Pagar Comerciales - Terceros (Emitidas)</v>
      </c>
      <c r="E547" s="20" t="str">
        <f>""</f>
        <v/>
      </c>
      <c r="F547" s="20">
        <f>IF($C547="","",IF(Registro_Compras!$F$64="NOTA DE CREDITO",ROUND(ABS(Registro_Compras!$K$64*Registro_Compras!$N$64),2),IF(Registro_Compras!$F$64="RHE",(ROUND(Registro_Compras!$L$64*Registro_Compras!$N$64,2)-ROUND(Registro_Compras!$V$64*Registro_Compras!$N$64,2)),Registro_Compras!$O$64)))</f>
        <v>199</v>
      </c>
      <c r="G547" t="str">
        <f>IF($C547="","",IF(Registro_Compras!$F$64="NOTA DE CREDITO","Por la nota de credito "&amp;Registro_Compras!$C$64&amp;" de "&amp;Registro_Compras!$E$64&amp;" [PATRON POR CONFIRMAR CON CONTADOR]",IF(Registro_Compras!$F$64="RHE","Por el registro del recibo por honorarios "&amp;Registro_Compras!$C$64&amp;" de "&amp;Registro_Compras!$E$64&amp;" [PATRON POR CONFIRMAR CON CONTADOR]","Por el registro de la factura "&amp;Registro_Compras!$C$64&amp;" de "&amp;Registro_Compras!$E$64)))</f>
        <v>Por el registro de la factura FW01-00000409 de SIETE APUS E.I.R.L.</v>
      </c>
      <c r="H547" t="str">
        <f>IF($C547="","",Registro_Compras!$C$64)</f>
        <v>FW01-00000409</v>
      </c>
    </row>
    <row r="548" spans="1:8" x14ac:dyDescent="0.25">
      <c r="A548" s="25">
        <f>IF($C548="","",Registro_Compras!$B$64)</f>
        <v>46242</v>
      </c>
      <c r="B548" t="str">
        <f>IF($C548="","","C"&amp;TEXT(INT((ROW()-5)/9)+1,"000")&amp;"-2")</f>
        <v>C061-2</v>
      </c>
      <c r="C548" t="str">
        <f>IF(OR(Registro_Compras!$C$64="",Registro_Compras!$O$64=""),"",IF(Registro_Compras!$AB$64="ADMINISTRATIVO","94","95"))</f>
        <v>94</v>
      </c>
      <c r="D548" t="str">
        <f>IF(OR(Registro_Compras!$C$64="",Registro_Compras!$O$64=""),"",IF(Registro_Compras!$AB$64="ADMINISTRATIVO","Gastos Administrativos","Gastos de Venta y Operacion"))</f>
        <v>Gastos Administrativos</v>
      </c>
      <c r="E548" s="20">
        <f>IF($C548="","",IF(Registro_Compras!$F$64="NOTA DE CREDITO","",IF(Registro_Compras!$F$64="RHE",ROUND(Registro_Compras!$L$64*Registro_Compras!$N$64,2),ROUND(Registro_Compras!$J$64*Registro_Compras!$N$64,2))))</f>
        <v>180.09</v>
      </c>
      <c r="F548" s="20" t="str">
        <f>IF($C548="","",IF(Registro_Compras!$F$64="NOTA DE CREDITO",ROUND(ABS(Registro_Compras!$J$64*Registro_Compras!$N$64),2),""))</f>
        <v/>
      </c>
      <c r="G548" t="str">
        <f>IF($C548="","","Por el destino del gasto")</f>
        <v>Por el destino del gasto</v>
      </c>
      <c r="H548" t="str">
        <f>IF($C548="","",Registro_Compras!$C$64)</f>
        <v>FW01-00000409</v>
      </c>
    </row>
    <row r="549" spans="1:8" x14ac:dyDescent="0.25">
      <c r="A549" s="25">
        <f>IF($C549="","",Registro_Compras!$B$64)</f>
        <v>46242</v>
      </c>
      <c r="B549" t="str">
        <f>IF($C549="","","C"&amp;TEXT(INT((ROW()-5)/9)+1,"000")&amp;"-2")</f>
        <v>C061-2</v>
      </c>
      <c r="C549" t="str">
        <f>IF(OR(Registro_Compras!$C$64="",Registro_Compras!$O$64=""),"","79/791")</f>
        <v>79/791</v>
      </c>
      <c r="D549" t="str">
        <f>IF(OR(Registro_Compras!$C$64="",Registro_Compras!$O$64=""),"","Cargas Imputables a Cuentas de Costos y Gastos")</f>
        <v>Cargas Imputables a Cuentas de Costos y Gastos</v>
      </c>
      <c r="E549" s="20" t="str">
        <f>IF($C549="","",IF(Registro_Compras!$F$64="NOTA DE CREDITO",ROUND(ABS(Registro_Compras!$J$64*Registro_Compras!$N$64),2),""))</f>
        <v/>
      </c>
      <c r="F549" s="20">
        <f>IF($C549="","",IF(Registro_Compras!$F$64="NOTA DE CREDITO","",IF(Registro_Compras!$F$64="RHE",ROUND(Registro_Compras!$L$64*Registro_Compras!$N$64,2),ROUND(Registro_Compras!$J$64*Registro_Compras!$N$64,2))))</f>
        <v>180.09</v>
      </c>
      <c r="G549" t="str">
        <f>IF($C549="","","Por el destino del gasto")</f>
        <v>Por el destino del gasto</v>
      </c>
      <c r="H549" t="str">
        <f>IF($C549="","",Registro_Compras!$C$64)</f>
        <v>FW01-00000409</v>
      </c>
    </row>
    <row r="550" spans="1:8" x14ac:dyDescent="0.25">
      <c r="A550" s="25" t="str">
        <f>IF($C550="","",Registro_Compras!$X$64)</f>
        <v/>
      </c>
      <c r="B550" t="str">
        <f>IF($C550="","","C"&amp;TEXT(INT((ROW()-5)/9)+1,"000")&amp;"-3")</f>
        <v/>
      </c>
      <c r="C550" t="str">
        <f>IF(OR(Registro_Compras!$C$64="",Registro_Compras!$O$64="",Registro_Compras!$R$64&lt;&gt;"SI",Registro_Compras!$X$64=""),"","4212")</f>
        <v/>
      </c>
      <c r="D550" t="str">
        <f>IF(OR(Registro_Compras!$C$64="",Registro_Compras!$O$64=""),"","Cuentas por Pagar Comerciales - Terceros")</f>
        <v>Cuentas por Pagar Comerciales - Terceros</v>
      </c>
      <c r="E550" s="20" t="str">
        <f>IF($C550="","",Registro_Compras!$S$64)</f>
        <v/>
      </c>
      <c r="F550" s="20" t="str">
        <f>""</f>
        <v/>
      </c>
      <c r="G550" t="str">
        <f>IF($C550="","","Por el deposito de la detraccion en el Banco de la Nacion")</f>
        <v/>
      </c>
      <c r="H550" t="str">
        <f>IF($C550="","",Registro_Compras!$C$64)</f>
        <v/>
      </c>
    </row>
    <row r="551" spans="1:8" x14ac:dyDescent="0.25">
      <c r="A551" s="25" t="str">
        <f>IF($C551="","",Registro_Compras!$X$64)</f>
        <v/>
      </c>
      <c r="B551" t="str">
        <f>IF($C551="","","C"&amp;TEXT(INT((ROW()-5)/9)+1,"000")&amp;"-3")</f>
        <v/>
      </c>
      <c r="C551" t="str">
        <f>IF(OR(Registro_Compras!$C$64="",Registro_Compras!$O$64="",Registro_Compras!$R$64&lt;&gt;"SI",Registro_Compras!$X$64=""),"","1041")</f>
        <v/>
      </c>
      <c r="D551" t="str">
        <f>IF(OR(Registro_Compras!$C$64="",Registro_Compras!$O$64=""),"","Efectivo y Equivalentes - Cta. Cte. Operativa")</f>
        <v>Efectivo y Equivalentes - Cta. Cte. Operativa</v>
      </c>
      <c r="E551" s="20" t="str">
        <f>""</f>
        <v/>
      </c>
      <c r="F551" s="20" t="str">
        <f>IF($C551="","",Registro_Compras!$S$64)</f>
        <v/>
      </c>
      <c r="G551" t="str">
        <f>IF($C551="","","Por el deposito de la detraccion en el Banco de la Nacion")</f>
        <v/>
      </c>
      <c r="H551" t="str">
        <f>IF($C551="","",Registro_Compras!$C$64)</f>
        <v/>
      </c>
    </row>
    <row r="552" spans="1:8" x14ac:dyDescent="0.25">
      <c r="A552" s="25" t="str">
        <f>IF($C552="","",Registro_Compras!$Y$64)</f>
        <v/>
      </c>
      <c r="B552" t="str">
        <f>IF($C552="","","C"&amp;TEXT(INT((ROW()-5)/9)+1,"000")&amp;"-4")</f>
        <v/>
      </c>
      <c r="C552" t="str">
        <f>IF(OR(Registro_Compras!$C$64="",Registro_Compras!$O$64="",Registro_Compras!$Y$64="",Registro_Compras!$F$64="NOTA DE CREDITO"),"","4212")</f>
        <v/>
      </c>
      <c r="D552" t="str">
        <f>IF(OR(Registro_Compras!$C$64="",Registro_Compras!$O$64=""),"","Cuentas por Pagar Comerciales - Terceros")</f>
        <v>Cuentas por Pagar Comerciales - Terceros</v>
      </c>
      <c r="E552" s="20" t="str">
        <f>IF($C552="","",IF(Registro_Compras!$F$64="RHE",(ROUND(Registro_Compras!$L$64*Registro_Compras!$N$64,2)-ROUND(Registro_Compras!$V$64*Registro_Compras!$N$64,2)),ROUND(Registro_Compras!$O$64-Registro_Compras!$S$64,2)))</f>
        <v/>
      </c>
      <c r="F552" s="20" t="str">
        <f>""</f>
        <v/>
      </c>
      <c r="G552" t="str">
        <f>IF($C552="","","Por la cancelacion del saldo al proveedor")</f>
        <v/>
      </c>
      <c r="H552" t="str">
        <f>IF($C552="","",Registro_Compras!$C$64)</f>
        <v/>
      </c>
    </row>
    <row r="553" spans="1:8" x14ac:dyDescent="0.25">
      <c r="A553" s="25" t="str">
        <f>IF($C553="","",Registro_Compras!$Y$64)</f>
        <v/>
      </c>
      <c r="B553" t="str">
        <f>IF($C553="","","C"&amp;TEXT(INT((ROW()-5)/9)+1,"000")&amp;"-4")</f>
        <v/>
      </c>
      <c r="C553" t="str">
        <f>IF(OR(Registro_Compras!$C$64="",Registro_Compras!$O$64="",Registro_Compras!$Y$64="",Registro_Compras!$F$64="NOTA DE CREDITO"),"","1041")</f>
        <v/>
      </c>
      <c r="D553" t="str">
        <f>IF(OR(Registro_Compras!$C$64="",Registro_Compras!$O$64=""),"","Efectivo y Equivalentes - Cta. Cte. Operativa")</f>
        <v>Efectivo y Equivalentes - Cta. Cte. Operativa</v>
      </c>
      <c r="E553" s="20" t="str">
        <f>""</f>
        <v/>
      </c>
      <c r="F553" s="20" t="str">
        <f>IF($C553="","",IF(Registro_Compras!$F$64="RHE",(ROUND(Registro_Compras!$L$64*Registro_Compras!$N$64,2)-ROUND(Registro_Compras!$V$64*Registro_Compras!$N$64,2)),ROUND(Registro_Compras!$O$64-Registro_Compras!$S$64,2)))</f>
        <v/>
      </c>
      <c r="G553" t="str">
        <f>IF($C553="","","Por la cancelacion del saldo al proveedor")</f>
        <v/>
      </c>
      <c r="H553" t="str">
        <f>IF($C553="","",Registro_Compras!$C$64)</f>
        <v/>
      </c>
    </row>
    <row r="554" spans="1:8" x14ac:dyDescent="0.25">
      <c r="A554" s="25">
        <f>IF($C554="","",Registro_Compras!$B$65)</f>
        <v>46238</v>
      </c>
      <c r="B554" t="str">
        <f>IF($C554="","","C"&amp;TEXT(INT((ROW()-5)/9)+1,"000")&amp;"-1")</f>
        <v>C062-1</v>
      </c>
      <c r="C554" t="str">
        <f>IF(OR(Registro_Compras!$C$65="",Registro_Compras!$O$65=""),"",IF(Registro_Compras!$F$65="NOTA DE CREDITO","4212",IF(Registro_Compras!$M$65="","63",Registro_Compras!$M$65)))</f>
        <v>632</v>
      </c>
      <c r="D554" t="str">
        <f>IF(OR(Registro_Compras!$C$65="",Registro_Compras!$O$65=""),"",IF(Registro_Compras!$F$65="NOTA DE CREDITO","Cuentas por Pagar Comerciales - Terceros (Emitidas)",IF(Registro_Compras!$F$65="RHE","Honorarios Profesionales - Servicios de Terceros","Gastos de Servicios Prestados por Terceros")))</f>
        <v>Honorarios Profesionales - Servicios de Terceros</v>
      </c>
      <c r="E554" s="20">
        <f>IF($C554="","",IF(Registro_Compras!$F$65="NOTA DE CREDITO",ABS(Registro_Compras!$O$65),IF(Registro_Compras!$F$65="RHE",ROUND(Registro_Compras!$L$65*Registro_Compras!$N$65,2),ROUND(Registro_Compras!$J$65*Registro_Compras!$N$65,2))))</f>
        <v>646.38</v>
      </c>
      <c r="F554" s="20" t="str">
        <f>""</f>
        <v/>
      </c>
      <c r="G554" t="str">
        <f>IF($C554="","",IF(Registro_Compras!$F$65="NOTA DE CREDITO","Por la nota de credito "&amp;Registro_Compras!$C$65&amp;" de "&amp;Registro_Compras!$E$65&amp;" [PATRON POR CONFIRMAR CON CONTADOR]",IF(Registro_Compras!$F$65="RHE","Por el registro del recibo por honorarios "&amp;Registro_Compras!$C$65&amp;" de "&amp;Registro_Compras!$E$65&amp;" [PATRON POR CONFIRMAR CON CONTADOR]","Por el registro de la factura "&amp;Registro_Compras!$C$65&amp;" de "&amp;Registro_Compras!$E$65)))</f>
        <v>Por el registro del recibo por honorarios E001- 542 de CARRASCO ALEGRE ROLLY VICTOR [PATRON POR CONFIRMAR CON CONTADOR]</v>
      </c>
      <c r="H554" t="str">
        <f>IF($C554="","",Registro_Compras!$C$65)</f>
        <v>E001- 542</v>
      </c>
    </row>
    <row r="555" spans="1:8" x14ac:dyDescent="0.25">
      <c r="A555" s="25" t="str">
        <f>IF($C555="","",Registro_Compras!$B$65)</f>
        <v/>
      </c>
      <c r="B555" t="str">
        <f>IF($C555="","","C"&amp;TEXT(INT((ROW()-5)/9)+1,"000")&amp;"-1")</f>
        <v/>
      </c>
      <c r="C555" t="str">
        <f>IF(OR(Registro_Compras!$C$65="",Registro_Compras!$O$65=""),"",IF(Registro_Compras!$F$65="RHE",IF(Registro_Compras!$V$65=0,"","4017"),IF(Registro_Compras!$F$65="NOTA DE CREDITO",IF(Registro_Compras!$M$65="","63",Registro_Compras!$M$65),IF(Registro_Compras!$K$65=0,"","40111"))))</f>
        <v/>
      </c>
      <c r="D555" t="str">
        <f>IF(OR(Registro_Compras!$C$65="",Registro_Compras!$O$65=""),"",IF(Registro_Compras!$F$65="RHE","Retencion Renta 4ta Categoria por Pagar",IF(Registro_Compras!$F$65="NOTA DE CREDITO","Gastos de Servicios Prestados por Terceros","IGV - Cuenta Propia (Credito Fiscal)")))</f>
        <v>Retencion Renta 4ta Categoria por Pagar</v>
      </c>
      <c r="E555" s="20" t="str">
        <f>IF($C555="","",IF(Registro_Compras!$F$65="FACTURA",ROUND(Registro_Compras!$K$65*Registro_Compras!$N$65,2),""))</f>
        <v/>
      </c>
      <c r="F555" s="20" t="str">
        <f>IF($C555="","",IF(Registro_Compras!$F$65="RHE",ROUND(Registro_Compras!$V$65*Registro_Compras!$N$65,2),IF(Registro_Compras!$F$65="NOTA DE CREDITO",ROUND(ABS(Registro_Compras!$J$65*Registro_Compras!$N$65),2),"")))</f>
        <v/>
      </c>
      <c r="G555" t="str">
        <f>IF($C555="","",IF(Registro_Compras!$F$65="NOTA DE CREDITO","Por la nota de credito "&amp;Registro_Compras!$C$65&amp;" de "&amp;Registro_Compras!$E$65&amp;" [PATRON POR CONFIRMAR CON CONTADOR]",IF(Registro_Compras!$F$65="RHE","Por el registro del recibo por honorarios "&amp;Registro_Compras!$C$65&amp;" de "&amp;Registro_Compras!$E$65&amp;" [PATRON POR CONFIRMAR CON CONTADOR]","Por el registro de la factura "&amp;Registro_Compras!$C$65&amp;" de "&amp;Registro_Compras!$E$65)))</f>
        <v/>
      </c>
      <c r="H555" t="str">
        <f>IF($C555="","",Registro_Compras!$C$65)</f>
        <v/>
      </c>
    </row>
    <row r="556" spans="1:8" x14ac:dyDescent="0.25">
      <c r="A556" s="25">
        <f>IF($C556="","",Registro_Compras!$B$65)</f>
        <v>46238</v>
      </c>
      <c r="B556" t="str">
        <f>IF($C556="","","C"&amp;TEXT(INT((ROW()-5)/9)+1,"000")&amp;"-1")</f>
        <v>C062-1</v>
      </c>
      <c r="C556" t="str">
        <f>IF(OR(Registro_Compras!$C$65="",Registro_Compras!$O$65=""),"",IF(Registro_Compras!$F$65="NOTA DE CREDITO",IF(Registro_Compras!$K$65=0,"","40111"),"4212"))</f>
        <v>4212</v>
      </c>
      <c r="D556" t="str">
        <f>IF(OR(Registro_Compras!$C$65="",Registro_Compras!$O$65=""),"",IF(Registro_Compras!$F$65="NOTA DE CREDITO","IGV - Cuenta Propia (Credito Fiscal)","Cuentas por Pagar Comerciales - Terceros (Emitidas)"))</f>
        <v>Cuentas por Pagar Comerciales - Terceros (Emitidas)</v>
      </c>
      <c r="E556" s="20" t="str">
        <f>""</f>
        <v/>
      </c>
      <c r="F556" s="20">
        <f>IF($C556="","",IF(Registro_Compras!$F$65="NOTA DE CREDITO",ROUND(ABS(Registro_Compras!$K$65*Registro_Compras!$N$65),2),IF(Registro_Compras!$F$65="RHE",(ROUND(Registro_Compras!$L$65*Registro_Compras!$N$65,2)-ROUND(Registro_Compras!$V$65*Registro_Compras!$N$65,2)),Registro_Compras!$O$65)))</f>
        <v>646.38</v>
      </c>
      <c r="G556" t="str">
        <f>IF($C556="","",IF(Registro_Compras!$F$65="NOTA DE CREDITO","Por la nota de credito "&amp;Registro_Compras!$C$65&amp;" de "&amp;Registro_Compras!$E$65&amp;" [PATRON POR CONFIRMAR CON CONTADOR]",IF(Registro_Compras!$F$65="RHE","Por el registro del recibo por honorarios "&amp;Registro_Compras!$C$65&amp;" de "&amp;Registro_Compras!$E$65&amp;" [PATRON POR CONFIRMAR CON CONTADOR]","Por el registro de la factura "&amp;Registro_Compras!$C$65&amp;" de "&amp;Registro_Compras!$E$65)))</f>
        <v>Por el registro del recibo por honorarios E001- 542 de CARRASCO ALEGRE ROLLY VICTOR [PATRON POR CONFIRMAR CON CONTADOR]</v>
      </c>
      <c r="H556" t="str">
        <f>IF($C556="","",Registro_Compras!$C$65)</f>
        <v>E001- 542</v>
      </c>
    </row>
    <row r="557" spans="1:8" x14ac:dyDescent="0.25">
      <c r="A557" s="25">
        <f>IF($C557="","",Registro_Compras!$B$65)</f>
        <v>46238</v>
      </c>
      <c r="B557" t="str">
        <f>IF($C557="","","C"&amp;TEXT(INT((ROW()-5)/9)+1,"000")&amp;"-2")</f>
        <v>C062-2</v>
      </c>
      <c r="C557" t="str">
        <f>IF(OR(Registro_Compras!$C$65="",Registro_Compras!$O$65=""),"",IF(Registro_Compras!$AB$65="ADMINISTRATIVO","94","95"))</f>
        <v>95</v>
      </c>
      <c r="D557" t="str">
        <f>IF(OR(Registro_Compras!$C$65="",Registro_Compras!$O$65=""),"",IF(Registro_Compras!$AB$65="ADMINISTRATIVO","Gastos Administrativos","Gastos de Venta y Operacion"))</f>
        <v>Gastos de Venta y Operacion</v>
      </c>
      <c r="E557" s="20">
        <f>IF($C557="","",IF(Registro_Compras!$F$65="NOTA DE CREDITO","",IF(Registro_Compras!$F$65="RHE",ROUND(Registro_Compras!$L$65*Registro_Compras!$N$65,2),ROUND(Registro_Compras!$J$65*Registro_Compras!$N$65,2))))</f>
        <v>646.38</v>
      </c>
      <c r="F557" s="20" t="str">
        <f>IF($C557="","",IF(Registro_Compras!$F$65="NOTA DE CREDITO",ROUND(ABS(Registro_Compras!$J$65*Registro_Compras!$N$65),2),""))</f>
        <v/>
      </c>
      <c r="G557" t="str">
        <f>IF($C557="","","Por el destino del gasto")</f>
        <v>Por el destino del gasto</v>
      </c>
      <c r="H557" t="str">
        <f>IF($C557="","",Registro_Compras!$C$65)</f>
        <v>E001- 542</v>
      </c>
    </row>
    <row r="558" spans="1:8" x14ac:dyDescent="0.25">
      <c r="A558" s="25">
        <f>IF($C558="","",Registro_Compras!$B$65)</f>
        <v>46238</v>
      </c>
      <c r="B558" t="str">
        <f>IF($C558="","","C"&amp;TEXT(INT((ROW()-5)/9)+1,"000")&amp;"-2")</f>
        <v>C062-2</v>
      </c>
      <c r="C558" t="str">
        <f>IF(OR(Registro_Compras!$C$65="",Registro_Compras!$O$65=""),"","79/791")</f>
        <v>79/791</v>
      </c>
      <c r="D558" t="str">
        <f>IF(OR(Registro_Compras!$C$65="",Registro_Compras!$O$65=""),"","Cargas Imputables a Cuentas de Costos y Gastos")</f>
        <v>Cargas Imputables a Cuentas de Costos y Gastos</v>
      </c>
      <c r="E558" s="20" t="str">
        <f>IF($C558="","",IF(Registro_Compras!$F$65="NOTA DE CREDITO",ROUND(ABS(Registro_Compras!$J$65*Registro_Compras!$N$65),2),""))</f>
        <v/>
      </c>
      <c r="F558" s="20">
        <f>IF($C558="","",IF(Registro_Compras!$F$65="NOTA DE CREDITO","",IF(Registro_Compras!$F$65="RHE",ROUND(Registro_Compras!$L$65*Registro_Compras!$N$65,2),ROUND(Registro_Compras!$J$65*Registro_Compras!$N$65,2))))</f>
        <v>646.38</v>
      </c>
      <c r="G558" t="str">
        <f>IF($C558="","","Por el destino del gasto")</f>
        <v>Por el destino del gasto</v>
      </c>
      <c r="H558" t="str">
        <f>IF($C558="","",Registro_Compras!$C$65)</f>
        <v>E001- 542</v>
      </c>
    </row>
    <row r="559" spans="1:8" x14ac:dyDescent="0.25">
      <c r="A559" s="25" t="str">
        <f>IF($C559="","",Registro_Compras!$X$65)</f>
        <v/>
      </c>
      <c r="B559" t="str">
        <f>IF($C559="","","C"&amp;TEXT(INT((ROW()-5)/9)+1,"000")&amp;"-3")</f>
        <v/>
      </c>
      <c r="C559" t="str">
        <f>IF(OR(Registro_Compras!$C$65="",Registro_Compras!$O$65="",Registro_Compras!$R$65&lt;&gt;"SI",Registro_Compras!$X$65=""),"","4212")</f>
        <v/>
      </c>
      <c r="D559" t="str">
        <f>IF(OR(Registro_Compras!$C$65="",Registro_Compras!$O$65=""),"","Cuentas por Pagar Comerciales - Terceros")</f>
        <v>Cuentas por Pagar Comerciales - Terceros</v>
      </c>
      <c r="E559" s="20" t="str">
        <f>IF($C559="","",Registro_Compras!$S$65)</f>
        <v/>
      </c>
      <c r="F559" s="20" t="str">
        <f>""</f>
        <v/>
      </c>
      <c r="G559" t="str">
        <f>IF($C559="","","Por el deposito de la detraccion en el Banco de la Nacion")</f>
        <v/>
      </c>
      <c r="H559" t="str">
        <f>IF($C559="","",Registro_Compras!$C$65)</f>
        <v/>
      </c>
    </row>
    <row r="560" spans="1:8" x14ac:dyDescent="0.25">
      <c r="A560" s="25" t="str">
        <f>IF($C560="","",Registro_Compras!$X$65)</f>
        <v/>
      </c>
      <c r="B560" t="str">
        <f>IF($C560="","","C"&amp;TEXT(INT((ROW()-5)/9)+1,"000")&amp;"-3")</f>
        <v/>
      </c>
      <c r="C560" t="str">
        <f>IF(OR(Registro_Compras!$C$65="",Registro_Compras!$O$65="",Registro_Compras!$R$65&lt;&gt;"SI",Registro_Compras!$X$65=""),"","1041")</f>
        <v/>
      </c>
      <c r="D560" t="str">
        <f>IF(OR(Registro_Compras!$C$65="",Registro_Compras!$O$65=""),"","Efectivo y Equivalentes - Cta. Cte. Operativa")</f>
        <v>Efectivo y Equivalentes - Cta. Cte. Operativa</v>
      </c>
      <c r="E560" s="20" t="str">
        <f>""</f>
        <v/>
      </c>
      <c r="F560" s="20" t="str">
        <f>IF($C560="","",Registro_Compras!$S$65)</f>
        <v/>
      </c>
      <c r="G560" t="str">
        <f>IF($C560="","","Por el deposito de la detraccion en el Banco de la Nacion")</f>
        <v/>
      </c>
      <c r="H560" t="str">
        <f>IF($C560="","",Registro_Compras!$C$65)</f>
        <v/>
      </c>
    </row>
    <row r="561" spans="1:8" x14ac:dyDescent="0.25">
      <c r="A561" s="25" t="str">
        <f>IF($C561="","",Registro_Compras!$Y$65)</f>
        <v/>
      </c>
      <c r="B561" t="str">
        <f>IF($C561="","","C"&amp;TEXT(INT((ROW()-5)/9)+1,"000")&amp;"-4")</f>
        <v/>
      </c>
      <c r="C561" t="str">
        <f>IF(OR(Registro_Compras!$C$65="",Registro_Compras!$O$65="",Registro_Compras!$Y$65="",Registro_Compras!$F$65="NOTA DE CREDITO"),"","4212")</f>
        <v/>
      </c>
      <c r="D561" t="str">
        <f>IF(OR(Registro_Compras!$C$65="",Registro_Compras!$O$65=""),"","Cuentas por Pagar Comerciales - Terceros")</f>
        <v>Cuentas por Pagar Comerciales - Terceros</v>
      </c>
      <c r="E561" s="20" t="str">
        <f>IF($C561="","",IF(Registro_Compras!$F$65="RHE",(ROUND(Registro_Compras!$L$65*Registro_Compras!$N$65,2)-ROUND(Registro_Compras!$V$65*Registro_Compras!$N$65,2)),ROUND(Registro_Compras!$O$65-Registro_Compras!$S$65,2)))</f>
        <v/>
      </c>
      <c r="F561" s="20" t="str">
        <f>""</f>
        <v/>
      </c>
      <c r="G561" t="str">
        <f>IF($C561="","","Por la cancelacion del saldo al proveedor")</f>
        <v/>
      </c>
      <c r="H561" t="str">
        <f>IF($C561="","",Registro_Compras!$C$65)</f>
        <v/>
      </c>
    </row>
    <row r="562" spans="1:8" x14ac:dyDescent="0.25">
      <c r="A562" s="25" t="str">
        <f>IF($C562="","",Registro_Compras!$Y$65)</f>
        <v/>
      </c>
      <c r="B562" t="str">
        <f>IF($C562="","","C"&amp;TEXT(INT((ROW()-5)/9)+1,"000")&amp;"-4")</f>
        <v/>
      </c>
      <c r="C562" t="str">
        <f>IF(OR(Registro_Compras!$C$65="",Registro_Compras!$O$65="",Registro_Compras!$Y$65="",Registro_Compras!$F$65="NOTA DE CREDITO"),"","1041")</f>
        <v/>
      </c>
      <c r="D562" t="str">
        <f>IF(OR(Registro_Compras!$C$65="",Registro_Compras!$O$65=""),"","Efectivo y Equivalentes - Cta. Cte. Operativa")</f>
        <v>Efectivo y Equivalentes - Cta. Cte. Operativa</v>
      </c>
      <c r="E562" s="20" t="str">
        <f>""</f>
        <v/>
      </c>
      <c r="F562" s="20" t="str">
        <f>IF($C562="","",IF(Registro_Compras!$F$65="RHE",(ROUND(Registro_Compras!$L$65*Registro_Compras!$N$65,2)-ROUND(Registro_Compras!$V$65*Registro_Compras!$N$65,2)),ROUND(Registro_Compras!$O$65-Registro_Compras!$S$65,2)))</f>
        <v/>
      </c>
      <c r="G562" t="str">
        <f>IF($C562="","","Por la cancelacion del saldo al proveedor")</f>
        <v/>
      </c>
      <c r="H562" t="str">
        <f>IF($C562="","",Registro_Compras!$C$65)</f>
        <v/>
      </c>
    </row>
    <row r="563" spans="1:8" x14ac:dyDescent="0.25">
      <c r="A563" s="25">
        <f>IF($C563="","",Registro_Compras!$B$66)</f>
        <v>46240</v>
      </c>
      <c r="B563" t="str">
        <f>IF($C563="","","C"&amp;TEXT(INT((ROW()-5)/9)+1,"000")&amp;"-1")</f>
        <v>C063-1</v>
      </c>
      <c r="C563" t="str">
        <f>IF(OR(Registro_Compras!$C$66="",Registro_Compras!$O$66=""),"",IF(Registro_Compras!$F$66="NOTA DE CREDITO","4212",IF(Registro_Compras!$M$66="","63",Registro_Compras!$M$66)))</f>
        <v>639</v>
      </c>
      <c r="D563" t="str">
        <f>IF(OR(Registro_Compras!$C$66="",Registro_Compras!$O$66=""),"",IF(Registro_Compras!$F$66="NOTA DE CREDITO","Cuentas por Pagar Comerciales - Terceros (Emitidas)",IF(Registro_Compras!$F$66="RHE","Honorarios Profesionales - Servicios de Terceros","Gastos de Servicios Prestados por Terceros")))</f>
        <v>Gastos de Servicios Prestados por Terceros</v>
      </c>
      <c r="E563" s="20">
        <f>IF($C563="","",IF(Registro_Compras!$F$66="NOTA DE CREDITO",ABS(Registro_Compras!$O$66),IF(Registro_Compras!$F$66="RHE",ROUND(Registro_Compras!$L$66*Registro_Compras!$N$66,2),ROUND(Registro_Compras!$J$66*Registro_Compras!$N$66,2))))</f>
        <v>402.66</v>
      </c>
      <c r="F563" s="20" t="str">
        <f>""</f>
        <v/>
      </c>
      <c r="G563" t="str">
        <f>IF($C563="","",IF(Registro_Compras!$F$66="NOTA DE CREDITO","Por la nota de credito "&amp;Registro_Compras!$C$66&amp;" de "&amp;Registro_Compras!$E$66&amp;" [PATRON POR CONFIRMAR CON CONTADOR]",IF(Registro_Compras!$F$66="RHE","Por el registro del recibo por honorarios "&amp;Registro_Compras!$C$66&amp;" de "&amp;Registro_Compras!$E$66&amp;" [PATRON POR CONFIRMAR CON CONTADOR]","Por el registro de la factura "&amp;Registro_Compras!$C$66&amp;" de "&amp;Registro_Compras!$E$66)))</f>
        <v>Por el registro de la factura E001-324 de LUXURY ADVENTURE CUSCO PERU E.I.R.L.</v>
      </c>
      <c r="H563" t="str">
        <f>IF($C563="","",Registro_Compras!$C$66)</f>
        <v>E001-324</v>
      </c>
    </row>
    <row r="564" spans="1:8" x14ac:dyDescent="0.25">
      <c r="A564" s="25">
        <f>IF($C564="","",Registro_Compras!$B$66)</f>
        <v>46240</v>
      </c>
      <c r="B564" t="str">
        <f>IF($C564="","","C"&amp;TEXT(INT((ROW()-5)/9)+1,"000")&amp;"-1")</f>
        <v>C063-1</v>
      </c>
      <c r="C564" t="str">
        <f>IF(OR(Registro_Compras!$C$66="",Registro_Compras!$O$66=""),"",IF(Registro_Compras!$F$66="RHE",IF(Registro_Compras!$V$66=0,"","4017"),IF(Registro_Compras!$F$66="NOTA DE CREDITO",IF(Registro_Compras!$M$66="","63",Registro_Compras!$M$66),IF(Registro_Compras!$K$66=0,"","40111"))))</f>
        <v>40111</v>
      </c>
      <c r="D564" t="str">
        <f>IF(OR(Registro_Compras!$C$66="",Registro_Compras!$O$66=""),"",IF(Registro_Compras!$F$66="RHE","Retencion Renta 4ta Categoria por Pagar",IF(Registro_Compras!$F$66="NOTA DE CREDITO","Gastos de Servicios Prestados por Terceros","IGV - Cuenta Propia (Credito Fiscal)")))</f>
        <v>IGV - Cuenta Propia (Credito Fiscal)</v>
      </c>
      <c r="E564" s="20">
        <f>IF($C564="","",IF(Registro_Compras!$F$66="FACTURA",ROUND(Registro_Compras!$K$66*Registro_Compras!$N$66,2),""))</f>
        <v>72.5</v>
      </c>
      <c r="F564" s="20" t="str">
        <f>IF($C564="","",IF(Registro_Compras!$F$66="RHE",ROUND(Registro_Compras!$V$66*Registro_Compras!$N$66,2),IF(Registro_Compras!$F$66="NOTA DE CREDITO",ROUND(ABS(Registro_Compras!$J$66*Registro_Compras!$N$66),2),"")))</f>
        <v/>
      </c>
      <c r="G564" t="str">
        <f>IF($C564="","",IF(Registro_Compras!$F$66="NOTA DE CREDITO","Por la nota de credito "&amp;Registro_Compras!$C$66&amp;" de "&amp;Registro_Compras!$E$66&amp;" [PATRON POR CONFIRMAR CON CONTADOR]",IF(Registro_Compras!$F$66="RHE","Por el registro del recibo por honorarios "&amp;Registro_Compras!$C$66&amp;" de "&amp;Registro_Compras!$E$66&amp;" [PATRON POR CONFIRMAR CON CONTADOR]","Por el registro de la factura "&amp;Registro_Compras!$C$66&amp;" de "&amp;Registro_Compras!$E$66)))</f>
        <v>Por el registro de la factura E001-324 de LUXURY ADVENTURE CUSCO PERU E.I.R.L.</v>
      </c>
      <c r="H564" t="str">
        <f>IF($C564="","",Registro_Compras!$C$66)</f>
        <v>E001-324</v>
      </c>
    </row>
    <row r="565" spans="1:8" x14ac:dyDescent="0.25">
      <c r="A565" s="25">
        <f>IF($C565="","",Registro_Compras!$B$66)</f>
        <v>46240</v>
      </c>
      <c r="B565" t="str">
        <f>IF($C565="","","C"&amp;TEXT(INT((ROW()-5)/9)+1,"000")&amp;"-1")</f>
        <v>C063-1</v>
      </c>
      <c r="C565" t="str">
        <f>IF(OR(Registro_Compras!$C$66="",Registro_Compras!$O$66=""),"",IF(Registro_Compras!$F$66="NOTA DE CREDITO",IF(Registro_Compras!$K$66=0,"","40111"),"4212"))</f>
        <v>4212</v>
      </c>
      <c r="D565" t="str">
        <f>IF(OR(Registro_Compras!$C$66="",Registro_Compras!$O$66=""),"",IF(Registro_Compras!$F$66="NOTA DE CREDITO","IGV - Cuenta Propia (Credito Fiscal)","Cuentas por Pagar Comerciales - Terceros (Emitidas)"))</f>
        <v>Cuentas por Pagar Comerciales - Terceros (Emitidas)</v>
      </c>
      <c r="E565" s="20" t="str">
        <f>""</f>
        <v/>
      </c>
      <c r="F565" s="20">
        <f>IF($C565="","",IF(Registro_Compras!$F$66="NOTA DE CREDITO",ROUND(ABS(Registro_Compras!$K$66*Registro_Compras!$N$66),2),IF(Registro_Compras!$F$66="RHE",(ROUND(Registro_Compras!$L$66*Registro_Compras!$N$66,2)-ROUND(Registro_Compras!$V$66*Registro_Compras!$N$66,2)),Registro_Compras!$O$66)))</f>
        <v>475.16</v>
      </c>
      <c r="G565" t="str">
        <f>IF($C565="","",IF(Registro_Compras!$F$66="NOTA DE CREDITO","Por la nota de credito "&amp;Registro_Compras!$C$66&amp;" de "&amp;Registro_Compras!$E$66&amp;" [PATRON POR CONFIRMAR CON CONTADOR]",IF(Registro_Compras!$F$66="RHE","Por el registro del recibo por honorarios "&amp;Registro_Compras!$C$66&amp;" de "&amp;Registro_Compras!$E$66&amp;" [PATRON POR CONFIRMAR CON CONTADOR]","Por el registro de la factura "&amp;Registro_Compras!$C$66&amp;" de "&amp;Registro_Compras!$E$66)))</f>
        <v>Por el registro de la factura E001-324 de LUXURY ADVENTURE CUSCO PERU E.I.R.L.</v>
      </c>
      <c r="H565" t="str">
        <f>IF($C565="","",Registro_Compras!$C$66)</f>
        <v>E001-324</v>
      </c>
    </row>
    <row r="566" spans="1:8" x14ac:dyDescent="0.25">
      <c r="A566" s="25">
        <f>IF($C566="","",Registro_Compras!$B$66)</f>
        <v>46240</v>
      </c>
      <c r="B566" t="str">
        <f>IF($C566="","","C"&amp;TEXT(INT((ROW()-5)/9)+1,"000")&amp;"-2")</f>
        <v>C063-2</v>
      </c>
      <c r="C566" t="str">
        <f>IF(OR(Registro_Compras!$C$66="",Registro_Compras!$O$66=""),"",IF(Registro_Compras!$AB$66="ADMINISTRATIVO","94","95"))</f>
        <v>95</v>
      </c>
      <c r="D566" t="str">
        <f>IF(OR(Registro_Compras!$C$66="",Registro_Compras!$O$66=""),"",IF(Registro_Compras!$AB$66="ADMINISTRATIVO","Gastos Administrativos","Gastos de Venta y Operacion"))</f>
        <v>Gastos de Venta y Operacion</v>
      </c>
      <c r="E566" s="20">
        <f>IF($C566="","",IF(Registro_Compras!$F$66="NOTA DE CREDITO","",IF(Registro_Compras!$F$66="RHE",ROUND(Registro_Compras!$L$66*Registro_Compras!$N$66,2),ROUND(Registro_Compras!$J$66*Registro_Compras!$N$66,2))))</f>
        <v>402.66</v>
      </c>
      <c r="F566" s="20" t="str">
        <f>IF($C566="","",IF(Registro_Compras!$F$66="NOTA DE CREDITO",ROUND(ABS(Registro_Compras!$J$66*Registro_Compras!$N$66),2),""))</f>
        <v/>
      </c>
      <c r="G566" t="str">
        <f>IF($C566="","","Por el destino del gasto")</f>
        <v>Por el destino del gasto</v>
      </c>
      <c r="H566" t="str">
        <f>IF($C566="","",Registro_Compras!$C$66)</f>
        <v>E001-324</v>
      </c>
    </row>
    <row r="567" spans="1:8" x14ac:dyDescent="0.25">
      <c r="A567" s="25">
        <f>IF($C567="","",Registro_Compras!$B$66)</f>
        <v>46240</v>
      </c>
      <c r="B567" t="str">
        <f>IF($C567="","","C"&amp;TEXT(INT((ROW()-5)/9)+1,"000")&amp;"-2")</f>
        <v>C063-2</v>
      </c>
      <c r="C567" t="str">
        <f>IF(OR(Registro_Compras!$C$66="",Registro_Compras!$O$66=""),"","79/791")</f>
        <v>79/791</v>
      </c>
      <c r="D567" t="str">
        <f>IF(OR(Registro_Compras!$C$66="",Registro_Compras!$O$66=""),"","Cargas Imputables a Cuentas de Costos y Gastos")</f>
        <v>Cargas Imputables a Cuentas de Costos y Gastos</v>
      </c>
      <c r="E567" s="20" t="str">
        <f>IF($C567="","",IF(Registro_Compras!$F$66="NOTA DE CREDITO",ROUND(ABS(Registro_Compras!$J$66*Registro_Compras!$N$66),2),""))</f>
        <v/>
      </c>
      <c r="F567" s="20">
        <f>IF($C567="","",IF(Registro_Compras!$F$66="NOTA DE CREDITO","",IF(Registro_Compras!$F$66="RHE",ROUND(Registro_Compras!$L$66*Registro_Compras!$N$66,2),ROUND(Registro_Compras!$J$66*Registro_Compras!$N$66,2))))</f>
        <v>402.66</v>
      </c>
      <c r="G567" t="str">
        <f>IF($C567="","","Por el destino del gasto")</f>
        <v>Por el destino del gasto</v>
      </c>
      <c r="H567" t="str">
        <f>IF($C567="","",Registro_Compras!$C$66)</f>
        <v>E001-324</v>
      </c>
    </row>
    <row r="568" spans="1:8" x14ac:dyDescent="0.25">
      <c r="A568" s="25" t="str">
        <f>IF($C568="","",Registro_Compras!$X$66)</f>
        <v/>
      </c>
      <c r="B568" t="str">
        <f>IF($C568="","","C"&amp;TEXT(INT((ROW()-5)/9)+1,"000")&amp;"-3")</f>
        <v/>
      </c>
      <c r="C568" t="str">
        <f>IF(OR(Registro_Compras!$C$66="",Registro_Compras!$O$66="",Registro_Compras!$R$66&lt;&gt;"SI",Registro_Compras!$X$66=""),"","4212")</f>
        <v/>
      </c>
      <c r="D568" t="str">
        <f>IF(OR(Registro_Compras!$C$66="",Registro_Compras!$O$66=""),"","Cuentas por Pagar Comerciales - Terceros")</f>
        <v>Cuentas por Pagar Comerciales - Terceros</v>
      </c>
      <c r="E568" s="20" t="str">
        <f>IF($C568="","",Registro_Compras!$S$66)</f>
        <v/>
      </c>
      <c r="F568" s="20" t="str">
        <f>""</f>
        <v/>
      </c>
      <c r="G568" t="str">
        <f>IF($C568="","","Por el deposito de la detraccion en el Banco de la Nacion")</f>
        <v/>
      </c>
      <c r="H568" t="str">
        <f>IF($C568="","",Registro_Compras!$C$66)</f>
        <v/>
      </c>
    </row>
    <row r="569" spans="1:8" x14ac:dyDescent="0.25">
      <c r="A569" s="25" t="str">
        <f>IF($C569="","",Registro_Compras!$X$66)</f>
        <v/>
      </c>
      <c r="B569" t="str">
        <f>IF($C569="","","C"&amp;TEXT(INT((ROW()-5)/9)+1,"000")&amp;"-3")</f>
        <v/>
      </c>
      <c r="C569" t="str">
        <f>IF(OR(Registro_Compras!$C$66="",Registro_Compras!$O$66="",Registro_Compras!$R$66&lt;&gt;"SI",Registro_Compras!$X$66=""),"","1041")</f>
        <v/>
      </c>
      <c r="D569" t="str">
        <f>IF(OR(Registro_Compras!$C$66="",Registro_Compras!$O$66=""),"","Efectivo y Equivalentes - Cta. Cte. Operativa")</f>
        <v>Efectivo y Equivalentes - Cta. Cte. Operativa</v>
      </c>
      <c r="E569" s="20" t="str">
        <f>""</f>
        <v/>
      </c>
      <c r="F569" s="20" t="str">
        <f>IF($C569="","",Registro_Compras!$S$66)</f>
        <v/>
      </c>
      <c r="G569" t="str">
        <f>IF($C569="","","Por el deposito de la detraccion en el Banco de la Nacion")</f>
        <v/>
      </c>
      <c r="H569" t="str">
        <f>IF($C569="","",Registro_Compras!$C$66)</f>
        <v/>
      </c>
    </row>
    <row r="570" spans="1:8" x14ac:dyDescent="0.25">
      <c r="A570" s="25" t="str">
        <f>IF($C570="","",Registro_Compras!$Y$66)</f>
        <v/>
      </c>
      <c r="B570" t="str">
        <f>IF($C570="","","C"&amp;TEXT(INT((ROW()-5)/9)+1,"000")&amp;"-4")</f>
        <v/>
      </c>
      <c r="C570" t="str">
        <f>IF(OR(Registro_Compras!$C$66="",Registro_Compras!$O$66="",Registro_Compras!$Y$66="",Registro_Compras!$F$66="NOTA DE CREDITO"),"","4212")</f>
        <v/>
      </c>
      <c r="D570" t="str">
        <f>IF(OR(Registro_Compras!$C$66="",Registro_Compras!$O$66=""),"","Cuentas por Pagar Comerciales - Terceros")</f>
        <v>Cuentas por Pagar Comerciales - Terceros</v>
      </c>
      <c r="E570" s="20" t="str">
        <f>IF($C570="","",IF(Registro_Compras!$F$66="RHE",(ROUND(Registro_Compras!$L$66*Registro_Compras!$N$66,2)-ROUND(Registro_Compras!$V$66*Registro_Compras!$N$66,2)),ROUND(Registro_Compras!$O$66-Registro_Compras!$S$66,2)))</f>
        <v/>
      </c>
      <c r="F570" s="20" t="str">
        <f>""</f>
        <v/>
      </c>
      <c r="G570" t="str">
        <f>IF($C570="","","Por la cancelacion del saldo al proveedor")</f>
        <v/>
      </c>
      <c r="H570" t="str">
        <f>IF($C570="","",Registro_Compras!$C$66)</f>
        <v/>
      </c>
    </row>
    <row r="571" spans="1:8" x14ac:dyDescent="0.25">
      <c r="A571" s="25" t="str">
        <f>IF($C571="","",Registro_Compras!$Y$66)</f>
        <v/>
      </c>
      <c r="B571" t="str">
        <f>IF($C571="","","C"&amp;TEXT(INT((ROW()-5)/9)+1,"000")&amp;"-4")</f>
        <v/>
      </c>
      <c r="C571" t="str">
        <f>IF(OR(Registro_Compras!$C$66="",Registro_Compras!$O$66="",Registro_Compras!$Y$66="",Registro_Compras!$F$66="NOTA DE CREDITO"),"","1041")</f>
        <v/>
      </c>
      <c r="D571" t="str">
        <f>IF(OR(Registro_Compras!$C$66="",Registro_Compras!$O$66=""),"","Efectivo y Equivalentes - Cta. Cte. Operativa")</f>
        <v>Efectivo y Equivalentes - Cta. Cte. Operativa</v>
      </c>
      <c r="E571" s="20" t="str">
        <f>""</f>
        <v/>
      </c>
      <c r="F571" s="20" t="str">
        <f>IF($C571="","",IF(Registro_Compras!$F$66="RHE",(ROUND(Registro_Compras!$L$66*Registro_Compras!$N$66,2)-ROUND(Registro_Compras!$V$66*Registro_Compras!$N$66,2)),ROUND(Registro_Compras!$O$66-Registro_Compras!$S$66,2)))</f>
        <v/>
      </c>
      <c r="G571" t="str">
        <f>IF($C571="","","Por la cancelacion del saldo al proveedor")</f>
        <v/>
      </c>
      <c r="H571" t="str">
        <f>IF($C571="","",Registro_Compras!$C$66)</f>
        <v/>
      </c>
    </row>
    <row r="572" spans="1:8" x14ac:dyDescent="0.25">
      <c r="A572" s="25">
        <f>IF($C572="","",Registro_Compras!$B$67)</f>
        <v>46240</v>
      </c>
      <c r="B572" t="str">
        <f>IF($C572="","","C"&amp;TEXT(INT((ROW()-5)/9)+1,"000")&amp;"-1")</f>
        <v>C064-1</v>
      </c>
      <c r="C572" t="str">
        <f>IF(OR(Registro_Compras!$C$67="",Registro_Compras!$O$67=""),"",IF(Registro_Compras!$F$67="NOTA DE CREDITO","4212",IF(Registro_Compras!$M$67="","63",Registro_Compras!$M$67)))</f>
        <v>639</v>
      </c>
      <c r="D572" t="str">
        <f>IF(OR(Registro_Compras!$C$67="",Registro_Compras!$O$67=""),"",IF(Registro_Compras!$F$67="NOTA DE CREDITO","Cuentas por Pagar Comerciales - Terceros (Emitidas)",IF(Registro_Compras!$F$67="RHE","Honorarios Profesionales - Servicios de Terceros","Gastos de Servicios Prestados por Terceros")))</f>
        <v>Gastos de Servicios Prestados por Terceros</v>
      </c>
      <c r="E572" s="20">
        <f>IF($C572="","",IF(Registro_Compras!$F$67="NOTA DE CREDITO",ABS(Registro_Compras!$O$67),IF(Registro_Compras!$F$67="RHE",ROUND(Registro_Compras!$L$67*Registro_Compras!$N$67,2),ROUND(Registro_Compras!$J$67*Registro_Compras!$N$67,2))))</f>
        <v>604.03</v>
      </c>
      <c r="F572" s="20" t="str">
        <f>""</f>
        <v/>
      </c>
      <c r="G572" t="str">
        <f>IF($C572="","",IF(Registro_Compras!$F$67="NOTA DE CREDITO","Por la nota de credito "&amp;Registro_Compras!$C$67&amp;" de "&amp;Registro_Compras!$E$67&amp;" [PATRON POR CONFIRMAR CON CONTADOR]",IF(Registro_Compras!$F$67="RHE","Por el registro del recibo por honorarios "&amp;Registro_Compras!$C$67&amp;" de "&amp;Registro_Compras!$E$67&amp;" [PATRON POR CONFIRMAR CON CONTADOR]","Por el registro de la factura "&amp;Registro_Compras!$C$67&amp;" de "&amp;Registro_Compras!$E$67)))</f>
        <v>Por el registro de la factura E001-329 de LUXURY ADVENTURE CUSCO PERU E.I.R.L.</v>
      </c>
      <c r="H572" t="str">
        <f>IF($C572="","",Registro_Compras!$C$67)</f>
        <v>E001-329</v>
      </c>
    </row>
    <row r="573" spans="1:8" x14ac:dyDescent="0.25">
      <c r="A573" s="25">
        <f>IF($C573="","",Registro_Compras!$B$67)</f>
        <v>46240</v>
      </c>
      <c r="B573" t="str">
        <f>IF($C573="","","C"&amp;TEXT(INT((ROW()-5)/9)+1,"000")&amp;"-1")</f>
        <v>C064-1</v>
      </c>
      <c r="C573" t="str">
        <f>IF(OR(Registro_Compras!$C$67="",Registro_Compras!$O$67=""),"",IF(Registro_Compras!$F$67="RHE",IF(Registro_Compras!$V$67=0,"","4017"),IF(Registro_Compras!$F$67="NOTA DE CREDITO",IF(Registro_Compras!$M$67="","63",Registro_Compras!$M$67),IF(Registro_Compras!$K$67=0,"","40111"))))</f>
        <v>40111</v>
      </c>
      <c r="D573" t="str">
        <f>IF(OR(Registro_Compras!$C$67="",Registro_Compras!$O$67=""),"",IF(Registro_Compras!$F$67="RHE","Retencion Renta 4ta Categoria por Pagar",IF(Registro_Compras!$F$67="NOTA DE CREDITO","Gastos de Servicios Prestados por Terceros","IGV - Cuenta Propia (Credito Fiscal)")))</f>
        <v>IGV - Cuenta Propia (Credito Fiscal)</v>
      </c>
      <c r="E573" s="20">
        <f>IF($C573="","",IF(Registro_Compras!$F$67="FACTURA",ROUND(Registro_Compras!$K$67*Registro_Compras!$N$67,2),""))</f>
        <v>108.71</v>
      </c>
      <c r="F573" s="20" t="str">
        <f>IF($C573="","",IF(Registro_Compras!$F$67="RHE",ROUND(Registro_Compras!$V$67*Registro_Compras!$N$67,2),IF(Registro_Compras!$F$67="NOTA DE CREDITO",ROUND(ABS(Registro_Compras!$J$67*Registro_Compras!$N$67),2),"")))</f>
        <v/>
      </c>
      <c r="G573" t="str">
        <f>IF($C573="","",IF(Registro_Compras!$F$67="NOTA DE CREDITO","Por la nota de credito "&amp;Registro_Compras!$C$67&amp;" de "&amp;Registro_Compras!$E$67&amp;" [PATRON POR CONFIRMAR CON CONTADOR]",IF(Registro_Compras!$F$67="RHE","Por el registro del recibo por honorarios "&amp;Registro_Compras!$C$67&amp;" de "&amp;Registro_Compras!$E$67&amp;" [PATRON POR CONFIRMAR CON CONTADOR]","Por el registro de la factura "&amp;Registro_Compras!$C$67&amp;" de "&amp;Registro_Compras!$E$67)))</f>
        <v>Por el registro de la factura E001-329 de LUXURY ADVENTURE CUSCO PERU E.I.R.L.</v>
      </c>
      <c r="H573" t="str">
        <f>IF($C573="","",Registro_Compras!$C$67)</f>
        <v>E001-329</v>
      </c>
    </row>
    <row r="574" spans="1:8" x14ac:dyDescent="0.25">
      <c r="A574" s="25">
        <f>IF($C574="","",Registro_Compras!$B$67)</f>
        <v>46240</v>
      </c>
      <c r="B574" t="str">
        <f>IF($C574="","","C"&amp;TEXT(INT((ROW()-5)/9)+1,"000")&amp;"-1")</f>
        <v>C064-1</v>
      </c>
      <c r="C574" t="str">
        <f>IF(OR(Registro_Compras!$C$67="",Registro_Compras!$O$67=""),"",IF(Registro_Compras!$F$67="NOTA DE CREDITO",IF(Registro_Compras!$K$67=0,"","40111"),"4212"))</f>
        <v>4212</v>
      </c>
      <c r="D574" t="str">
        <f>IF(OR(Registro_Compras!$C$67="",Registro_Compras!$O$67=""),"",IF(Registro_Compras!$F$67="NOTA DE CREDITO","IGV - Cuenta Propia (Credito Fiscal)","Cuentas por Pagar Comerciales - Terceros (Emitidas)"))</f>
        <v>Cuentas por Pagar Comerciales - Terceros (Emitidas)</v>
      </c>
      <c r="E574" s="20" t="str">
        <f>""</f>
        <v/>
      </c>
      <c r="F574" s="20">
        <f>IF($C574="","",IF(Registro_Compras!$F$67="NOTA DE CREDITO",ROUND(ABS(Registro_Compras!$K$67*Registro_Compras!$N$67),2),IF(Registro_Compras!$F$67="RHE",(ROUND(Registro_Compras!$L$67*Registro_Compras!$N$67,2)-ROUND(Registro_Compras!$V$67*Registro_Compras!$N$67,2)),Registro_Compras!$O$67)))</f>
        <v>712.74</v>
      </c>
      <c r="G574" t="str">
        <f>IF($C574="","",IF(Registro_Compras!$F$67="NOTA DE CREDITO","Por la nota de credito "&amp;Registro_Compras!$C$67&amp;" de "&amp;Registro_Compras!$E$67&amp;" [PATRON POR CONFIRMAR CON CONTADOR]",IF(Registro_Compras!$F$67="RHE","Por el registro del recibo por honorarios "&amp;Registro_Compras!$C$67&amp;" de "&amp;Registro_Compras!$E$67&amp;" [PATRON POR CONFIRMAR CON CONTADOR]","Por el registro de la factura "&amp;Registro_Compras!$C$67&amp;" de "&amp;Registro_Compras!$E$67)))</f>
        <v>Por el registro de la factura E001-329 de LUXURY ADVENTURE CUSCO PERU E.I.R.L.</v>
      </c>
      <c r="H574" t="str">
        <f>IF($C574="","",Registro_Compras!$C$67)</f>
        <v>E001-329</v>
      </c>
    </row>
    <row r="575" spans="1:8" x14ac:dyDescent="0.25">
      <c r="A575" s="25">
        <f>IF($C575="","",Registro_Compras!$B$67)</f>
        <v>46240</v>
      </c>
      <c r="B575" t="str">
        <f>IF($C575="","","C"&amp;TEXT(INT((ROW()-5)/9)+1,"000")&amp;"-2")</f>
        <v>C064-2</v>
      </c>
      <c r="C575" t="str">
        <f>IF(OR(Registro_Compras!$C$67="",Registro_Compras!$O$67=""),"",IF(Registro_Compras!$AB$67="ADMINISTRATIVO","94","95"))</f>
        <v>95</v>
      </c>
      <c r="D575" t="str">
        <f>IF(OR(Registro_Compras!$C$67="",Registro_Compras!$O$67=""),"",IF(Registro_Compras!$AB$67="ADMINISTRATIVO","Gastos Administrativos","Gastos de Venta y Operacion"))</f>
        <v>Gastos de Venta y Operacion</v>
      </c>
      <c r="E575" s="20">
        <f>IF($C575="","",IF(Registro_Compras!$F$67="NOTA DE CREDITO","",IF(Registro_Compras!$F$67="RHE",ROUND(Registro_Compras!$L$67*Registro_Compras!$N$67,2),ROUND(Registro_Compras!$J$67*Registro_Compras!$N$67,2))))</f>
        <v>604.03</v>
      </c>
      <c r="F575" s="20" t="str">
        <f>IF($C575="","",IF(Registro_Compras!$F$67="NOTA DE CREDITO",ROUND(ABS(Registro_Compras!$J$67*Registro_Compras!$N$67),2),""))</f>
        <v/>
      </c>
      <c r="G575" t="str">
        <f>IF($C575="","","Por el destino del gasto")</f>
        <v>Por el destino del gasto</v>
      </c>
      <c r="H575" t="str">
        <f>IF($C575="","",Registro_Compras!$C$67)</f>
        <v>E001-329</v>
      </c>
    </row>
    <row r="576" spans="1:8" x14ac:dyDescent="0.25">
      <c r="A576" s="25">
        <f>IF($C576="","",Registro_Compras!$B$67)</f>
        <v>46240</v>
      </c>
      <c r="B576" t="str">
        <f>IF($C576="","","C"&amp;TEXT(INT((ROW()-5)/9)+1,"000")&amp;"-2")</f>
        <v>C064-2</v>
      </c>
      <c r="C576" t="str">
        <f>IF(OR(Registro_Compras!$C$67="",Registro_Compras!$O$67=""),"","79/791")</f>
        <v>79/791</v>
      </c>
      <c r="D576" t="str">
        <f>IF(OR(Registro_Compras!$C$67="",Registro_Compras!$O$67=""),"","Cargas Imputables a Cuentas de Costos y Gastos")</f>
        <v>Cargas Imputables a Cuentas de Costos y Gastos</v>
      </c>
      <c r="E576" s="20" t="str">
        <f>IF($C576="","",IF(Registro_Compras!$F$67="NOTA DE CREDITO",ROUND(ABS(Registro_Compras!$J$67*Registro_Compras!$N$67),2),""))</f>
        <v/>
      </c>
      <c r="F576" s="20">
        <f>IF($C576="","",IF(Registro_Compras!$F$67="NOTA DE CREDITO","",IF(Registro_Compras!$F$67="RHE",ROUND(Registro_Compras!$L$67*Registro_Compras!$N$67,2),ROUND(Registro_Compras!$J$67*Registro_Compras!$N$67,2))))</f>
        <v>604.03</v>
      </c>
      <c r="G576" t="str">
        <f>IF($C576="","","Por el destino del gasto")</f>
        <v>Por el destino del gasto</v>
      </c>
      <c r="H576" t="str">
        <f>IF($C576="","",Registro_Compras!$C$67)</f>
        <v>E001-329</v>
      </c>
    </row>
    <row r="577" spans="1:8" x14ac:dyDescent="0.25">
      <c r="A577" s="25" t="str">
        <f>IF($C577="","",Registro_Compras!$X$67)</f>
        <v/>
      </c>
      <c r="B577" t="str">
        <f>IF($C577="","","C"&amp;TEXT(INT((ROW()-5)/9)+1,"000")&amp;"-3")</f>
        <v/>
      </c>
      <c r="C577" t="str">
        <f>IF(OR(Registro_Compras!$C$67="",Registro_Compras!$O$67="",Registro_Compras!$R$67&lt;&gt;"SI",Registro_Compras!$X$67=""),"","4212")</f>
        <v/>
      </c>
      <c r="D577" t="str">
        <f>IF(OR(Registro_Compras!$C$67="",Registro_Compras!$O$67=""),"","Cuentas por Pagar Comerciales - Terceros")</f>
        <v>Cuentas por Pagar Comerciales - Terceros</v>
      </c>
      <c r="E577" s="20" t="str">
        <f>IF($C577="","",Registro_Compras!$S$67)</f>
        <v/>
      </c>
      <c r="F577" s="20" t="str">
        <f>""</f>
        <v/>
      </c>
      <c r="G577" t="str">
        <f>IF($C577="","","Por el deposito de la detraccion en el Banco de la Nacion")</f>
        <v/>
      </c>
      <c r="H577" t="str">
        <f>IF($C577="","",Registro_Compras!$C$67)</f>
        <v/>
      </c>
    </row>
    <row r="578" spans="1:8" x14ac:dyDescent="0.25">
      <c r="A578" s="25" t="str">
        <f>IF($C578="","",Registro_Compras!$X$67)</f>
        <v/>
      </c>
      <c r="B578" t="str">
        <f>IF($C578="","","C"&amp;TEXT(INT((ROW()-5)/9)+1,"000")&amp;"-3")</f>
        <v/>
      </c>
      <c r="C578" t="str">
        <f>IF(OR(Registro_Compras!$C$67="",Registro_Compras!$O$67="",Registro_Compras!$R$67&lt;&gt;"SI",Registro_Compras!$X$67=""),"","1041")</f>
        <v/>
      </c>
      <c r="D578" t="str">
        <f>IF(OR(Registro_Compras!$C$67="",Registro_Compras!$O$67=""),"","Efectivo y Equivalentes - Cta. Cte. Operativa")</f>
        <v>Efectivo y Equivalentes - Cta. Cte. Operativa</v>
      </c>
      <c r="E578" s="20" t="str">
        <f>""</f>
        <v/>
      </c>
      <c r="F578" s="20" t="str">
        <f>IF($C578="","",Registro_Compras!$S$67)</f>
        <v/>
      </c>
      <c r="G578" t="str">
        <f>IF($C578="","","Por el deposito de la detraccion en el Banco de la Nacion")</f>
        <v/>
      </c>
      <c r="H578" t="str">
        <f>IF($C578="","",Registro_Compras!$C$67)</f>
        <v/>
      </c>
    </row>
    <row r="579" spans="1:8" x14ac:dyDescent="0.25">
      <c r="A579" s="25" t="str">
        <f>IF($C579="","",Registro_Compras!$Y$67)</f>
        <v/>
      </c>
      <c r="B579" t="str">
        <f>IF($C579="","","C"&amp;TEXT(INT((ROW()-5)/9)+1,"000")&amp;"-4")</f>
        <v/>
      </c>
      <c r="C579" t="str">
        <f>IF(OR(Registro_Compras!$C$67="",Registro_Compras!$O$67="",Registro_Compras!$Y$67="",Registro_Compras!$F$67="NOTA DE CREDITO"),"","4212")</f>
        <v/>
      </c>
      <c r="D579" t="str">
        <f>IF(OR(Registro_Compras!$C$67="",Registro_Compras!$O$67=""),"","Cuentas por Pagar Comerciales - Terceros")</f>
        <v>Cuentas por Pagar Comerciales - Terceros</v>
      </c>
      <c r="E579" s="20" t="str">
        <f>IF($C579="","",IF(Registro_Compras!$F$67="RHE",(ROUND(Registro_Compras!$L$67*Registro_Compras!$N$67,2)-ROUND(Registro_Compras!$V$67*Registro_Compras!$N$67,2)),ROUND(Registro_Compras!$O$67-Registro_Compras!$S$67,2)))</f>
        <v/>
      </c>
      <c r="F579" s="20" t="str">
        <f>""</f>
        <v/>
      </c>
      <c r="G579" t="str">
        <f>IF($C579="","","Por la cancelacion del saldo al proveedor")</f>
        <v/>
      </c>
      <c r="H579" t="str">
        <f>IF($C579="","",Registro_Compras!$C$67)</f>
        <v/>
      </c>
    </row>
    <row r="580" spans="1:8" x14ac:dyDescent="0.25">
      <c r="A580" s="25" t="str">
        <f>IF($C580="","",Registro_Compras!$Y$67)</f>
        <v/>
      </c>
      <c r="B580" t="str">
        <f>IF($C580="","","C"&amp;TEXT(INT((ROW()-5)/9)+1,"000")&amp;"-4")</f>
        <v/>
      </c>
      <c r="C580" t="str">
        <f>IF(OR(Registro_Compras!$C$67="",Registro_Compras!$O$67="",Registro_Compras!$Y$67="",Registro_Compras!$F$67="NOTA DE CREDITO"),"","1041")</f>
        <v/>
      </c>
      <c r="D580" t="str">
        <f>IF(OR(Registro_Compras!$C$67="",Registro_Compras!$O$67=""),"","Efectivo y Equivalentes - Cta. Cte. Operativa")</f>
        <v>Efectivo y Equivalentes - Cta. Cte. Operativa</v>
      </c>
      <c r="E580" s="20" t="str">
        <f>""</f>
        <v/>
      </c>
      <c r="F580" s="20" t="str">
        <f>IF($C580="","",IF(Registro_Compras!$F$67="RHE",(ROUND(Registro_Compras!$L$67*Registro_Compras!$N$67,2)-ROUND(Registro_Compras!$V$67*Registro_Compras!$N$67,2)),ROUND(Registro_Compras!$O$67-Registro_Compras!$S$67,2)))</f>
        <v/>
      </c>
      <c r="G580" t="str">
        <f>IF($C580="","","Por la cancelacion del saldo al proveedor")</f>
        <v/>
      </c>
      <c r="H580" t="str">
        <f>IF($C580="","",Registro_Compras!$C$67)</f>
        <v/>
      </c>
    </row>
    <row r="581" spans="1:8" x14ac:dyDescent="0.25">
      <c r="A581" s="25">
        <f>IF($C581="","",Registro_Compras!$B$68)</f>
        <v>46240</v>
      </c>
      <c r="B581" t="str">
        <f>IF($C581="","","C"&amp;TEXT(INT((ROW()-5)/9)+1,"000")&amp;"-1")</f>
        <v>C065-1</v>
      </c>
      <c r="C581" t="str">
        <f>IF(OR(Registro_Compras!$C$68="",Registro_Compras!$O$68=""),"",IF(Registro_Compras!$F$68="NOTA DE CREDITO","4212",IF(Registro_Compras!$M$68="","63",Registro_Compras!$M$68)))</f>
        <v>639</v>
      </c>
      <c r="D581" t="str">
        <f>IF(OR(Registro_Compras!$C$68="",Registro_Compras!$O$68=""),"",IF(Registro_Compras!$F$68="NOTA DE CREDITO","Cuentas por Pagar Comerciales - Terceros (Emitidas)",IF(Registro_Compras!$F$68="RHE","Honorarios Profesionales - Servicios de Terceros","Gastos de Servicios Prestados por Terceros")))</f>
        <v>Gastos de Servicios Prestados por Terceros</v>
      </c>
      <c r="E581" s="20">
        <f>IF($C581="","",IF(Registro_Compras!$F$68="NOTA DE CREDITO",ABS(Registro_Compras!$O$68),IF(Registro_Compras!$F$68="RHE",ROUND(Registro_Compras!$L$68*Registro_Compras!$N$68,2),ROUND(Registro_Compras!$J$68*Registro_Compras!$N$68,2))))</f>
        <v>453.03</v>
      </c>
      <c r="F581" s="20" t="str">
        <f>""</f>
        <v/>
      </c>
      <c r="G581" t="str">
        <f>IF($C581="","",IF(Registro_Compras!$F$68="NOTA DE CREDITO","Por la nota de credito "&amp;Registro_Compras!$C$68&amp;" de "&amp;Registro_Compras!$E$68&amp;" [PATRON POR CONFIRMAR CON CONTADOR]",IF(Registro_Compras!$F$68="RHE","Por el registro del recibo por honorarios "&amp;Registro_Compras!$C$68&amp;" de "&amp;Registro_Compras!$E$68&amp;" [PATRON POR CONFIRMAR CON CONTADOR]","Por el registro de la factura "&amp;Registro_Compras!$C$68&amp;" de "&amp;Registro_Compras!$E$68)))</f>
        <v>Por el registro de la factura E001-334 de LUXURY ADVENTURE CUSCO PERU E.I.R.L.</v>
      </c>
      <c r="H581" t="str">
        <f>IF($C581="","",Registro_Compras!$C$68)</f>
        <v>E001-334</v>
      </c>
    </row>
    <row r="582" spans="1:8" x14ac:dyDescent="0.25">
      <c r="A582" s="25">
        <f>IF($C582="","",Registro_Compras!$B$68)</f>
        <v>46240</v>
      </c>
      <c r="B582" t="str">
        <f>IF($C582="","","C"&amp;TEXT(INT((ROW()-5)/9)+1,"000")&amp;"-1")</f>
        <v>C065-1</v>
      </c>
      <c r="C582" t="str">
        <f>IF(OR(Registro_Compras!$C$68="",Registro_Compras!$O$68=""),"",IF(Registro_Compras!$F$68="RHE",IF(Registro_Compras!$V$68=0,"","4017"),IF(Registro_Compras!$F$68="NOTA DE CREDITO",IF(Registro_Compras!$M$68="","63",Registro_Compras!$M$68),IF(Registro_Compras!$K$68=0,"","40111"))))</f>
        <v>40111</v>
      </c>
      <c r="D582" t="str">
        <f>IF(OR(Registro_Compras!$C$68="",Registro_Compras!$O$68=""),"",IF(Registro_Compras!$F$68="RHE","Retencion Renta 4ta Categoria por Pagar",IF(Registro_Compras!$F$68="NOTA DE CREDITO","Gastos de Servicios Prestados por Terceros","IGV - Cuenta Propia (Credito Fiscal)")))</f>
        <v>IGV - Cuenta Propia (Credito Fiscal)</v>
      </c>
      <c r="E582" s="20">
        <f>IF($C582="","",IF(Registro_Compras!$F$68="FACTURA",ROUND(Registro_Compras!$K$68*Registro_Compras!$N$68,2),""))</f>
        <v>81.56</v>
      </c>
      <c r="F582" s="20" t="str">
        <f>IF($C582="","",IF(Registro_Compras!$F$68="RHE",ROUND(Registro_Compras!$V$68*Registro_Compras!$N$68,2),IF(Registro_Compras!$F$68="NOTA DE CREDITO",ROUND(ABS(Registro_Compras!$J$68*Registro_Compras!$N$68),2),"")))</f>
        <v/>
      </c>
      <c r="G582" t="str">
        <f>IF($C582="","",IF(Registro_Compras!$F$68="NOTA DE CREDITO","Por la nota de credito "&amp;Registro_Compras!$C$68&amp;" de "&amp;Registro_Compras!$E$68&amp;" [PATRON POR CONFIRMAR CON CONTADOR]",IF(Registro_Compras!$F$68="RHE","Por el registro del recibo por honorarios "&amp;Registro_Compras!$C$68&amp;" de "&amp;Registro_Compras!$E$68&amp;" [PATRON POR CONFIRMAR CON CONTADOR]","Por el registro de la factura "&amp;Registro_Compras!$C$68&amp;" de "&amp;Registro_Compras!$E$68)))</f>
        <v>Por el registro de la factura E001-334 de LUXURY ADVENTURE CUSCO PERU E.I.R.L.</v>
      </c>
      <c r="H582" t="str">
        <f>IF($C582="","",Registro_Compras!$C$68)</f>
        <v>E001-334</v>
      </c>
    </row>
    <row r="583" spans="1:8" x14ac:dyDescent="0.25">
      <c r="A583" s="25">
        <f>IF($C583="","",Registro_Compras!$B$68)</f>
        <v>46240</v>
      </c>
      <c r="B583" t="str">
        <f>IF($C583="","","C"&amp;TEXT(INT((ROW()-5)/9)+1,"000")&amp;"-1")</f>
        <v>C065-1</v>
      </c>
      <c r="C583" t="str">
        <f>IF(OR(Registro_Compras!$C$68="",Registro_Compras!$O$68=""),"",IF(Registro_Compras!$F$68="NOTA DE CREDITO",IF(Registro_Compras!$K$68=0,"","40111"),"4212"))</f>
        <v>4212</v>
      </c>
      <c r="D583" t="str">
        <f>IF(OR(Registro_Compras!$C$68="",Registro_Compras!$O$68=""),"",IF(Registro_Compras!$F$68="NOTA DE CREDITO","IGV - Cuenta Propia (Credito Fiscal)","Cuentas por Pagar Comerciales - Terceros (Emitidas)"))</f>
        <v>Cuentas por Pagar Comerciales - Terceros (Emitidas)</v>
      </c>
      <c r="E583" s="20" t="str">
        <f>""</f>
        <v/>
      </c>
      <c r="F583" s="20">
        <f>IF($C583="","",IF(Registro_Compras!$F$68="NOTA DE CREDITO",ROUND(ABS(Registro_Compras!$K$68*Registro_Compras!$N$68),2),IF(Registro_Compras!$F$68="RHE",(ROUND(Registro_Compras!$L$68*Registro_Compras!$N$68,2)-ROUND(Registro_Compras!$V$68*Registro_Compras!$N$68,2)),Registro_Compras!$O$68)))</f>
        <v>534.58999999999992</v>
      </c>
      <c r="G583" t="str">
        <f>IF($C583="","",IF(Registro_Compras!$F$68="NOTA DE CREDITO","Por la nota de credito "&amp;Registro_Compras!$C$68&amp;" de "&amp;Registro_Compras!$E$68&amp;" [PATRON POR CONFIRMAR CON CONTADOR]",IF(Registro_Compras!$F$68="RHE","Por el registro del recibo por honorarios "&amp;Registro_Compras!$C$68&amp;" de "&amp;Registro_Compras!$E$68&amp;" [PATRON POR CONFIRMAR CON CONTADOR]","Por el registro de la factura "&amp;Registro_Compras!$C$68&amp;" de "&amp;Registro_Compras!$E$68)))</f>
        <v>Por el registro de la factura E001-334 de LUXURY ADVENTURE CUSCO PERU E.I.R.L.</v>
      </c>
      <c r="H583" t="str">
        <f>IF($C583="","",Registro_Compras!$C$68)</f>
        <v>E001-334</v>
      </c>
    </row>
    <row r="584" spans="1:8" x14ac:dyDescent="0.25">
      <c r="A584" s="25">
        <f>IF($C584="","",Registro_Compras!$B$68)</f>
        <v>46240</v>
      </c>
      <c r="B584" t="str">
        <f>IF($C584="","","C"&amp;TEXT(INT((ROW()-5)/9)+1,"000")&amp;"-2")</f>
        <v>C065-2</v>
      </c>
      <c r="C584" t="str">
        <f>IF(OR(Registro_Compras!$C$68="",Registro_Compras!$O$68=""),"",IF(Registro_Compras!$AB$68="ADMINISTRATIVO","94","95"))</f>
        <v>95</v>
      </c>
      <c r="D584" t="str">
        <f>IF(OR(Registro_Compras!$C$68="",Registro_Compras!$O$68=""),"",IF(Registro_Compras!$AB$68="ADMINISTRATIVO","Gastos Administrativos","Gastos de Venta y Operacion"))</f>
        <v>Gastos de Venta y Operacion</v>
      </c>
      <c r="E584" s="20">
        <f>IF($C584="","",IF(Registro_Compras!$F$68="NOTA DE CREDITO","",IF(Registro_Compras!$F$68="RHE",ROUND(Registro_Compras!$L$68*Registro_Compras!$N$68,2),ROUND(Registro_Compras!$J$68*Registro_Compras!$N$68,2))))</f>
        <v>453.03</v>
      </c>
      <c r="F584" s="20" t="str">
        <f>IF($C584="","",IF(Registro_Compras!$F$68="NOTA DE CREDITO",ROUND(ABS(Registro_Compras!$J$68*Registro_Compras!$N$68),2),""))</f>
        <v/>
      </c>
      <c r="G584" t="str">
        <f>IF($C584="","","Por el destino del gasto")</f>
        <v>Por el destino del gasto</v>
      </c>
      <c r="H584" t="str">
        <f>IF($C584="","",Registro_Compras!$C$68)</f>
        <v>E001-334</v>
      </c>
    </row>
    <row r="585" spans="1:8" x14ac:dyDescent="0.25">
      <c r="A585" s="25">
        <f>IF($C585="","",Registro_Compras!$B$68)</f>
        <v>46240</v>
      </c>
      <c r="B585" t="str">
        <f>IF($C585="","","C"&amp;TEXT(INT((ROW()-5)/9)+1,"000")&amp;"-2")</f>
        <v>C065-2</v>
      </c>
      <c r="C585" t="str">
        <f>IF(OR(Registro_Compras!$C$68="",Registro_Compras!$O$68=""),"","79/791")</f>
        <v>79/791</v>
      </c>
      <c r="D585" t="str">
        <f>IF(OR(Registro_Compras!$C$68="",Registro_Compras!$O$68=""),"","Cargas Imputables a Cuentas de Costos y Gastos")</f>
        <v>Cargas Imputables a Cuentas de Costos y Gastos</v>
      </c>
      <c r="E585" s="20" t="str">
        <f>IF($C585="","",IF(Registro_Compras!$F$68="NOTA DE CREDITO",ROUND(ABS(Registro_Compras!$J$68*Registro_Compras!$N$68),2),""))</f>
        <v/>
      </c>
      <c r="F585" s="20">
        <f>IF($C585="","",IF(Registro_Compras!$F$68="NOTA DE CREDITO","",IF(Registro_Compras!$F$68="RHE",ROUND(Registro_Compras!$L$68*Registro_Compras!$N$68,2),ROUND(Registro_Compras!$J$68*Registro_Compras!$N$68,2))))</f>
        <v>453.03</v>
      </c>
      <c r="G585" t="str">
        <f>IF($C585="","","Por el destino del gasto")</f>
        <v>Por el destino del gasto</v>
      </c>
      <c r="H585" t="str">
        <f>IF($C585="","",Registro_Compras!$C$68)</f>
        <v>E001-334</v>
      </c>
    </row>
    <row r="586" spans="1:8" x14ac:dyDescent="0.25">
      <c r="A586" s="25" t="str">
        <f>IF($C586="","",Registro_Compras!$X$68)</f>
        <v/>
      </c>
      <c r="B586" t="str">
        <f>IF($C586="","","C"&amp;TEXT(INT((ROW()-5)/9)+1,"000")&amp;"-3")</f>
        <v/>
      </c>
      <c r="C586" t="str">
        <f>IF(OR(Registro_Compras!$C$68="",Registro_Compras!$O$68="",Registro_Compras!$R$68&lt;&gt;"SI",Registro_Compras!$X$68=""),"","4212")</f>
        <v/>
      </c>
      <c r="D586" t="str">
        <f>IF(OR(Registro_Compras!$C$68="",Registro_Compras!$O$68=""),"","Cuentas por Pagar Comerciales - Terceros")</f>
        <v>Cuentas por Pagar Comerciales - Terceros</v>
      </c>
      <c r="E586" s="20" t="str">
        <f>IF($C586="","",Registro_Compras!$S$68)</f>
        <v/>
      </c>
      <c r="F586" s="20" t="str">
        <f>""</f>
        <v/>
      </c>
      <c r="G586" t="str">
        <f>IF($C586="","","Por el deposito de la detraccion en el Banco de la Nacion")</f>
        <v/>
      </c>
      <c r="H586" t="str">
        <f>IF($C586="","",Registro_Compras!$C$68)</f>
        <v/>
      </c>
    </row>
    <row r="587" spans="1:8" x14ac:dyDescent="0.25">
      <c r="A587" s="25" t="str">
        <f>IF($C587="","",Registro_Compras!$X$68)</f>
        <v/>
      </c>
      <c r="B587" t="str">
        <f>IF($C587="","","C"&amp;TEXT(INT((ROW()-5)/9)+1,"000")&amp;"-3")</f>
        <v/>
      </c>
      <c r="C587" t="str">
        <f>IF(OR(Registro_Compras!$C$68="",Registro_Compras!$O$68="",Registro_Compras!$R$68&lt;&gt;"SI",Registro_Compras!$X$68=""),"","1041")</f>
        <v/>
      </c>
      <c r="D587" t="str">
        <f>IF(OR(Registro_Compras!$C$68="",Registro_Compras!$O$68=""),"","Efectivo y Equivalentes - Cta. Cte. Operativa")</f>
        <v>Efectivo y Equivalentes - Cta. Cte. Operativa</v>
      </c>
      <c r="E587" s="20" t="str">
        <f>""</f>
        <v/>
      </c>
      <c r="F587" s="20" t="str">
        <f>IF($C587="","",Registro_Compras!$S$68)</f>
        <v/>
      </c>
      <c r="G587" t="str">
        <f>IF($C587="","","Por el deposito de la detraccion en el Banco de la Nacion")</f>
        <v/>
      </c>
      <c r="H587" t="str">
        <f>IF($C587="","",Registro_Compras!$C$68)</f>
        <v/>
      </c>
    </row>
    <row r="588" spans="1:8" x14ac:dyDescent="0.25">
      <c r="A588" s="25" t="str">
        <f>IF($C588="","",Registro_Compras!$Y$68)</f>
        <v/>
      </c>
      <c r="B588" t="str">
        <f>IF($C588="","","C"&amp;TEXT(INT((ROW()-5)/9)+1,"000")&amp;"-4")</f>
        <v/>
      </c>
      <c r="C588" t="str">
        <f>IF(OR(Registro_Compras!$C$68="",Registro_Compras!$O$68="",Registro_Compras!$Y$68="",Registro_Compras!$F$68="NOTA DE CREDITO"),"","4212")</f>
        <v/>
      </c>
      <c r="D588" t="str">
        <f>IF(OR(Registro_Compras!$C$68="",Registro_Compras!$O$68=""),"","Cuentas por Pagar Comerciales - Terceros")</f>
        <v>Cuentas por Pagar Comerciales - Terceros</v>
      </c>
      <c r="E588" s="20" t="str">
        <f>IF($C588="","",IF(Registro_Compras!$F$68="RHE",(ROUND(Registro_Compras!$L$68*Registro_Compras!$N$68,2)-ROUND(Registro_Compras!$V$68*Registro_Compras!$N$68,2)),ROUND(Registro_Compras!$O$68-Registro_Compras!$S$68,2)))</f>
        <v/>
      </c>
      <c r="F588" s="20" t="str">
        <f>""</f>
        <v/>
      </c>
      <c r="G588" t="str">
        <f>IF($C588="","","Por la cancelacion del saldo al proveedor")</f>
        <v/>
      </c>
      <c r="H588" t="str">
        <f>IF($C588="","",Registro_Compras!$C$68)</f>
        <v/>
      </c>
    </row>
    <row r="589" spans="1:8" x14ac:dyDescent="0.25">
      <c r="A589" s="25" t="str">
        <f>IF($C589="","",Registro_Compras!$Y$68)</f>
        <v/>
      </c>
      <c r="B589" t="str">
        <f>IF($C589="","","C"&amp;TEXT(INT((ROW()-5)/9)+1,"000")&amp;"-4")</f>
        <v/>
      </c>
      <c r="C589" t="str">
        <f>IF(OR(Registro_Compras!$C$68="",Registro_Compras!$O$68="",Registro_Compras!$Y$68="",Registro_Compras!$F$68="NOTA DE CREDITO"),"","1041")</f>
        <v/>
      </c>
      <c r="D589" t="str">
        <f>IF(OR(Registro_Compras!$C$68="",Registro_Compras!$O$68=""),"","Efectivo y Equivalentes - Cta. Cte. Operativa")</f>
        <v>Efectivo y Equivalentes - Cta. Cte. Operativa</v>
      </c>
      <c r="E589" s="20" t="str">
        <f>""</f>
        <v/>
      </c>
      <c r="F589" s="20" t="str">
        <f>IF($C589="","",IF(Registro_Compras!$F$68="RHE",(ROUND(Registro_Compras!$L$68*Registro_Compras!$N$68,2)-ROUND(Registro_Compras!$V$68*Registro_Compras!$N$68,2)),ROUND(Registro_Compras!$O$68-Registro_Compras!$S$68,2)))</f>
        <v/>
      </c>
      <c r="G589" t="str">
        <f>IF($C589="","","Por la cancelacion del saldo al proveedor")</f>
        <v/>
      </c>
      <c r="H589" t="str">
        <f>IF($C589="","",Registro_Compras!$C$68)</f>
        <v/>
      </c>
    </row>
    <row r="590" spans="1:8" x14ac:dyDescent="0.25">
      <c r="A590" s="25">
        <f>IF($C590="","",Registro_Compras!$B$69)</f>
        <v>46247</v>
      </c>
      <c r="B590" t="str">
        <f>IF($C590="","","C"&amp;TEXT(INT((ROW()-5)/9)+1,"000")&amp;"-1")</f>
        <v>C066-1</v>
      </c>
      <c r="C590" t="str">
        <f>IF(OR(Registro_Compras!$C$69="",Registro_Compras!$O$69=""),"",IF(Registro_Compras!$F$69="NOTA DE CREDITO","4212",IF(Registro_Compras!$M$69="","63",Registro_Compras!$M$69)))</f>
        <v>632</v>
      </c>
      <c r="D590" t="str">
        <f>IF(OR(Registro_Compras!$C$69="",Registro_Compras!$O$69=""),"",IF(Registro_Compras!$F$69="NOTA DE CREDITO","Cuentas por Pagar Comerciales - Terceros (Emitidas)",IF(Registro_Compras!$F$69="RHE","Honorarios Profesionales - Servicios de Terceros","Gastos de Servicios Prestados por Terceros")))</f>
        <v>Honorarios Profesionales - Servicios de Terceros</v>
      </c>
      <c r="E590" s="20">
        <f>IF($C590="","",IF(Registro_Compras!$F$69="NOTA DE CREDITO",ABS(Registro_Compras!$O$69),IF(Registro_Compras!$F$69="RHE",ROUND(Registro_Compras!$L$69*Registro_Compras!$N$69,2),ROUND(Registro_Compras!$J$69*Registro_Compras!$N$69,2))))</f>
        <v>160</v>
      </c>
      <c r="F590" s="20" t="str">
        <f>""</f>
        <v/>
      </c>
      <c r="G590" t="str">
        <f>IF($C590="","",IF(Registro_Compras!$F$69="NOTA DE CREDITO","Por la nota de credito "&amp;Registro_Compras!$C$69&amp;" de "&amp;Registro_Compras!$E$69&amp;" [PATRON POR CONFIRMAR CON CONTADOR]",IF(Registro_Compras!$F$69="RHE","Por el registro del recibo por honorarios "&amp;Registro_Compras!$C$69&amp;" de "&amp;Registro_Compras!$E$69&amp;" [PATRON POR CONFIRMAR CON CONTADOR]","Por el registro de la factura "&amp;Registro_Compras!$C$69&amp;" de "&amp;Registro_Compras!$E$69)))</f>
        <v>Por el registro del recibo por honorarios E001-111 de ALCAZAR GONZALES ERNESTO ANDRES [PATRON POR CONFIRMAR CON CONTADOR]</v>
      </c>
      <c r="H590" t="str">
        <f>IF($C590="","",Registro_Compras!$C$69)</f>
        <v>E001-111</v>
      </c>
    </row>
    <row r="591" spans="1:8" x14ac:dyDescent="0.25">
      <c r="A591" s="25" t="str">
        <f>IF($C591="","",Registro_Compras!$B$69)</f>
        <v/>
      </c>
      <c r="B591" t="str">
        <f>IF($C591="","","C"&amp;TEXT(INT((ROW()-5)/9)+1,"000")&amp;"-1")</f>
        <v/>
      </c>
      <c r="C591" t="str">
        <f>IF(OR(Registro_Compras!$C$69="",Registro_Compras!$O$69=""),"",IF(Registro_Compras!$F$69="RHE",IF(Registro_Compras!$V$69=0,"","4017"),IF(Registro_Compras!$F$69="NOTA DE CREDITO",IF(Registro_Compras!$M$69="","63",Registro_Compras!$M$69),IF(Registro_Compras!$K$69=0,"","40111"))))</f>
        <v/>
      </c>
      <c r="D591" t="str">
        <f>IF(OR(Registro_Compras!$C$69="",Registro_Compras!$O$69=""),"",IF(Registro_Compras!$F$69="RHE","Retencion Renta 4ta Categoria por Pagar",IF(Registro_Compras!$F$69="NOTA DE CREDITO","Gastos de Servicios Prestados por Terceros","IGV - Cuenta Propia (Credito Fiscal)")))</f>
        <v>Retencion Renta 4ta Categoria por Pagar</v>
      </c>
      <c r="E591" s="20" t="str">
        <f>IF($C591="","",IF(Registro_Compras!$F$69="FACTURA",ROUND(Registro_Compras!$K$69*Registro_Compras!$N$69,2),""))</f>
        <v/>
      </c>
      <c r="F591" s="20" t="str">
        <f>IF($C591="","",IF(Registro_Compras!$F$69="RHE",ROUND(Registro_Compras!$V$69*Registro_Compras!$N$69,2),IF(Registro_Compras!$F$69="NOTA DE CREDITO",ROUND(ABS(Registro_Compras!$J$69*Registro_Compras!$N$69),2),"")))</f>
        <v/>
      </c>
      <c r="G591" t="str">
        <f>IF($C591="","",IF(Registro_Compras!$F$69="NOTA DE CREDITO","Por la nota de credito "&amp;Registro_Compras!$C$69&amp;" de "&amp;Registro_Compras!$E$69&amp;" [PATRON POR CONFIRMAR CON CONTADOR]",IF(Registro_Compras!$F$69="RHE","Por el registro del recibo por honorarios "&amp;Registro_Compras!$C$69&amp;" de "&amp;Registro_Compras!$E$69&amp;" [PATRON POR CONFIRMAR CON CONTADOR]","Por el registro de la factura "&amp;Registro_Compras!$C$69&amp;" de "&amp;Registro_Compras!$E$69)))</f>
        <v/>
      </c>
      <c r="H591" t="str">
        <f>IF($C591="","",Registro_Compras!$C$69)</f>
        <v/>
      </c>
    </row>
    <row r="592" spans="1:8" x14ac:dyDescent="0.25">
      <c r="A592" s="25">
        <f>IF($C592="","",Registro_Compras!$B$69)</f>
        <v>46247</v>
      </c>
      <c r="B592" t="str">
        <f>IF($C592="","","C"&amp;TEXT(INT((ROW()-5)/9)+1,"000")&amp;"-1")</f>
        <v>C066-1</v>
      </c>
      <c r="C592" t="str">
        <f>IF(OR(Registro_Compras!$C$69="",Registro_Compras!$O$69=""),"",IF(Registro_Compras!$F$69="NOTA DE CREDITO",IF(Registro_Compras!$K$69=0,"","40111"),"4212"))</f>
        <v>4212</v>
      </c>
      <c r="D592" t="str">
        <f>IF(OR(Registro_Compras!$C$69="",Registro_Compras!$O$69=""),"",IF(Registro_Compras!$F$69="NOTA DE CREDITO","IGV - Cuenta Propia (Credito Fiscal)","Cuentas por Pagar Comerciales - Terceros (Emitidas)"))</f>
        <v>Cuentas por Pagar Comerciales - Terceros (Emitidas)</v>
      </c>
      <c r="E592" s="20" t="str">
        <f>""</f>
        <v/>
      </c>
      <c r="F592" s="20">
        <f>IF($C592="","",IF(Registro_Compras!$F$69="NOTA DE CREDITO",ROUND(ABS(Registro_Compras!$K$69*Registro_Compras!$N$69),2),IF(Registro_Compras!$F$69="RHE",(ROUND(Registro_Compras!$L$69*Registro_Compras!$N$69,2)-ROUND(Registro_Compras!$V$69*Registro_Compras!$N$69,2)),Registro_Compras!$O$69)))</f>
        <v>160</v>
      </c>
      <c r="G592" t="str">
        <f>IF($C592="","",IF(Registro_Compras!$F$69="NOTA DE CREDITO","Por la nota de credito "&amp;Registro_Compras!$C$69&amp;" de "&amp;Registro_Compras!$E$69&amp;" [PATRON POR CONFIRMAR CON CONTADOR]",IF(Registro_Compras!$F$69="RHE","Por el registro del recibo por honorarios "&amp;Registro_Compras!$C$69&amp;" de "&amp;Registro_Compras!$E$69&amp;" [PATRON POR CONFIRMAR CON CONTADOR]","Por el registro de la factura "&amp;Registro_Compras!$C$69&amp;" de "&amp;Registro_Compras!$E$69)))</f>
        <v>Por el registro del recibo por honorarios E001-111 de ALCAZAR GONZALES ERNESTO ANDRES [PATRON POR CONFIRMAR CON CONTADOR]</v>
      </c>
      <c r="H592" t="str">
        <f>IF($C592="","",Registro_Compras!$C$69)</f>
        <v>E001-111</v>
      </c>
    </row>
    <row r="593" spans="1:8" x14ac:dyDescent="0.25">
      <c r="A593" s="25">
        <f>IF($C593="","",Registro_Compras!$B$69)</f>
        <v>46247</v>
      </c>
      <c r="B593" t="str">
        <f>IF($C593="","","C"&amp;TEXT(INT((ROW()-5)/9)+1,"000")&amp;"-2")</f>
        <v>C066-2</v>
      </c>
      <c r="C593" t="str">
        <f>IF(OR(Registro_Compras!$C$69="",Registro_Compras!$O$69=""),"",IF(Registro_Compras!$AB$69="ADMINISTRATIVO","94","95"))</f>
        <v>95</v>
      </c>
      <c r="D593" t="str">
        <f>IF(OR(Registro_Compras!$C$69="",Registro_Compras!$O$69=""),"",IF(Registro_Compras!$AB$69="ADMINISTRATIVO","Gastos Administrativos","Gastos de Venta y Operacion"))</f>
        <v>Gastos de Venta y Operacion</v>
      </c>
      <c r="E593" s="20">
        <f>IF($C593="","",IF(Registro_Compras!$F$69="NOTA DE CREDITO","",IF(Registro_Compras!$F$69="RHE",ROUND(Registro_Compras!$L$69*Registro_Compras!$N$69,2),ROUND(Registro_Compras!$J$69*Registro_Compras!$N$69,2))))</f>
        <v>160</v>
      </c>
      <c r="F593" s="20" t="str">
        <f>IF($C593="","",IF(Registro_Compras!$F$69="NOTA DE CREDITO",ROUND(ABS(Registro_Compras!$J$69*Registro_Compras!$N$69),2),""))</f>
        <v/>
      </c>
      <c r="G593" t="str">
        <f>IF($C593="","","Por el destino del gasto")</f>
        <v>Por el destino del gasto</v>
      </c>
      <c r="H593" t="str">
        <f>IF($C593="","",Registro_Compras!$C$69)</f>
        <v>E001-111</v>
      </c>
    </row>
    <row r="594" spans="1:8" x14ac:dyDescent="0.25">
      <c r="A594" s="25">
        <f>IF($C594="","",Registro_Compras!$B$69)</f>
        <v>46247</v>
      </c>
      <c r="B594" t="str">
        <f>IF($C594="","","C"&amp;TEXT(INT((ROW()-5)/9)+1,"000")&amp;"-2")</f>
        <v>C066-2</v>
      </c>
      <c r="C594" t="str">
        <f>IF(OR(Registro_Compras!$C$69="",Registro_Compras!$O$69=""),"","79/791")</f>
        <v>79/791</v>
      </c>
      <c r="D594" t="str">
        <f>IF(OR(Registro_Compras!$C$69="",Registro_Compras!$O$69=""),"","Cargas Imputables a Cuentas de Costos y Gastos")</f>
        <v>Cargas Imputables a Cuentas de Costos y Gastos</v>
      </c>
      <c r="E594" s="20" t="str">
        <f>IF($C594="","",IF(Registro_Compras!$F$69="NOTA DE CREDITO",ROUND(ABS(Registro_Compras!$J$69*Registro_Compras!$N$69),2),""))</f>
        <v/>
      </c>
      <c r="F594" s="20">
        <f>IF($C594="","",IF(Registro_Compras!$F$69="NOTA DE CREDITO","",IF(Registro_Compras!$F$69="RHE",ROUND(Registro_Compras!$L$69*Registro_Compras!$N$69,2),ROUND(Registro_Compras!$J$69*Registro_Compras!$N$69,2))))</f>
        <v>160</v>
      </c>
      <c r="G594" t="str">
        <f>IF($C594="","","Por el destino del gasto")</f>
        <v>Por el destino del gasto</v>
      </c>
      <c r="H594" t="str">
        <f>IF($C594="","",Registro_Compras!$C$69)</f>
        <v>E001-111</v>
      </c>
    </row>
    <row r="595" spans="1:8" x14ac:dyDescent="0.25">
      <c r="A595" s="25" t="str">
        <f>IF($C595="","",Registro_Compras!$X$69)</f>
        <v/>
      </c>
      <c r="B595" t="str">
        <f>IF($C595="","","C"&amp;TEXT(INT((ROW()-5)/9)+1,"000")&amp;"-3")</f>
        <v/>
      </c>
      <c r="C595" t="str">
        <f>IF(OR(Registro_Compras!$C$69="",Registro_Compras!$O$69="",Registro_Compras!$R$69&lt;&gt;"SI",Registro_Compras!$X$69=""),"","4212")</f>
        <v/>
      </c>
      <c r="D595" t="str">
        <f>IF(OR(Registro_Compras!$C$69="",Registro_Compras!$O$69=""),"","Cuentas por Pagar Comerciales - Terceros")</f>
        <v>Cuentas por Pagar Comerciales - Terceros</v>
      </c>
      <c r="E595" s="20" t="str">
        <f>IF($C595="","",Registro_Compras!$S$69)</f>
        <v/>
      </c>
      <c r="F595" s="20" t="str">
        <f>""</f>
        <v/>
      </c>
      <c r="G595" t="str">
        <f>IF($C595="","","Por el deposito de la detraccion en el Banco de la Nacion")</f>
        <v/>
      </c>
      <c r="H595" t="str">
        <f>IF($C595="","",Registro_Compras!$C$69)</f>
        <v/>
      </c>
    </row>
    <row r="596" spans="1:8" x14ac:dyDescent="0.25">
      <c r="A596" s="25" t="str">
        <f>IF($C596="","",Registro_Compras!$X$69)</f>
        <v/>
      </c>
      <c r="B596" t="str">
        <f>IF($C596="","","C"&amp;TEXT(INT((ROW()-5)/9)+1,"000")&amp;"-3")</f>
        <v/>
      </c>
      <c r="C596" t="str">
        <f>IF(OR(Registro_Compras!$C$69="",Registro_Compras!$O$69="",Registro_Compras!$R$69&lt;&gt;"SI",Registro_Compras!$X$69=""),"","1041")</f>
        <v/>
      </c>
      <c r="D596" t="str">
        <f>IF(OR(Registro_Compras!$C$69="",Registro_Compras!$O$69=""),"","Efectivo y Equivalentes - Cta. Cte. Operativa")</f>
        <v>Efectivo y Equivalentes - Cta. Cte. Operativa</v>
      </c>
      <c r="E596" s="20" t="str">
        <f>""</f>
        <v/>
      </c>
      <c r="F596" s="20" t="str">
        <f>IF($C596="","",Registro_Compras!$S$69)</f>
        <v/>
      </c>
      <c r="G596" t="str">
        <f>IF($C596="","","Por el deposito de la detraccion en el Banco de la Nacion")</f>
        <v/>
      </c>
      <c r="H596" t="str">
        <f>IF($C596="","",Registro_Compras!$C$69)</f>
        <v/>
      </c>
    </row>
    <row r="597" spans="1:8" x14ac:dyDescent="0.25">
      <c r="A597" s="25" t="str">
        <f>IF($C597="","",Registro_Compras!$Y$69)</f>
        <v/>
      </c>
      <c r="B597" t="str">
        <f>IF($C597="","","C"&amp;TEXT(INT((ROW()-5)/9)+1,"000")&amp;"-4")</f>
        <v/>
      </c>
      <c r="C597" t="str">
        <f>IF(OR(Registro_Compras!$C$69="",Registro_Compras!$O$69="",Registro_Compras!$Y$69="",Registro_Compras!$F$69="NOTA DE CREDITO"),"","4212")</f>
        <v/>
      </c>
      <c r="D597" t="str">
        <f>IF(OR(Registro_Compras!$C$69="",Registro_Compras!$O$69=""),"","Cuentas por Pagar Comerciales - Terceros")</f>
        <v>Cuentas por Pagar Comerciales - Terceros</v>
      </c>
      <c r="E597" s="20" t="str">
        <f>IF($C597="","",IF(Registro_Compras!$F$69="RHE",(ROUND(Registro_Compras!$L$69*Registro_Compras!$N$69,2)-ROUND(Registro_Compras!$V$69*Registro_Compras!$N$69,2)),ROUND(Registro_Compras!$O$69-Registro_Compras!$S$69,2)))</f>
        <v/>
      </c>
      <c r="F597" s="20" t="str">
        <f>""</f>
        <v/>
      </c>
      <c r="G597" t="str">
        <f>IF($C597="","","Por la cancelacion del saldo al proveedor")</f>
        <v/>
      </c>
      <c r="H597" t="str">
        <f>IF($C597="","",Registro_Compras!$C$69)</f>
        <v/>
      </c>
    </row>
    <row r="598" spans="1:8" x14ac:dyDescent="0.25">
      <c r="A598" s="25" t="str">
        <f>IF($C598="","",Registro_Compras!$Y$69)</f>
        <v/>
      </c>
      <c r="B598" t="str">
        <f>IF($C598="","","C"&amp;TEXT(INT((ROW()-5)/9)+1,"000")&amp;"-4")</f>
        <v/>
      </c>
      <c r="C598" t="str">
        <f>IF(OR(Registro_Compras!$C$69="",Registro_Compras!$O$69="",Registro_Compras!$Y$69="",Registro_Compras!$F$69="NOTA DE CREDITO"),"","1041")</f>
        <v/>
      </c>
      <c r="D598" t="str">
        <f>IF(OR(Registro_Compras!$C$69="",Registro_Compras!$O$69=""),"","Efectivo y Equivalentes - Cta. Cte. Operativa")</f>
        <v>Efectivo y Equivalentes - Cta. Cte. Operativa</v>
      </c>
      <c r="E598" s="20" t="str">
        <f>""</f>
        <v/>
      </c>
      <c r="F598" s="20" t="str">
        <f>IF($C598="","",IF(Registro_Compras!$F$69="RHE",(ROUND(Registro_Compras!$L$69*Registro_Compras!$N$69,2)-ROUND(Registro_Compras!$V$69*Registro_Compras!$N$69,2)),ROUND(Registro_Compras!$O$69-Registro_Compras!$S$69,2)))</f>
        <v/>
      </c>
      <c r="G598" t="str">
        <f>IF($C598="","","Por la cancelacion del saldo al proveedor")</f>
        <v/>
      </c>
      <c r="H598" t="str">
        <f>IF($C598="","",Registro_Compras!$C$69)</f>
        <v/>
      </c>
    </row>
    <row r="599" spans="1:8" x14ac:dyDescent="0.25">
      <c r="A599" s="25">
        <f>IF($C599="","",Registro_Compras!$B$70)</f>
        <v>46247</v>
      </c>
      <c r="B599" t="str">
        <f>IF($C599="","","C"&amp;TEXT(INT((ROW()-5)/9)+1,"000")&amp;"-1")</f>
        <v>C067-1</v>
      </c>
      <c r="C599" t="str">
        <f>IF(OR(Registro_Compras!$C$70="",Registro_Compras!$O$70=""),"",IF(Registro_Compras!$F$70="NOTA DE CREDITO","4212",IF(Registro_Compras!$M$70="","63",Registro_Compras!$M$70)))</f>
        <v>639</v>
      </c>
      <c r="D599" t="str">
        <f>IF(OR(Registro_Compras!$C$70="",Registro_Compras!$O$70=""),"",IF(Registro_Compras!$F$70="NOTA DE CREDITO","Cuentas por Pagar Comerciales - Terceros (Emitidas)",IF(Registro_Compras!$F$70="RHE","Honorarios Profesionales - Servicios de Terceros","Gastos de Servicios Prestados por Terceros")))</f>
        <v>Gastos de Servicios Prestados por Terceros</v>
      </c>
      <c r="E599" s="20">
        <f>IF($C599="","",IF(Registro_Compras!$F$70="NOTA DE CREDITO",ABS(Registro_Compras!$O$70),IF(Registro_Compras!$F$70="RHE",ROUND(Registro_Compras!$L$70*Registro_Compras!$N$70,2),ROUND(Registro_Compras!$J$70*Registro_Compras!$N$70,2))))</f>
        <v>1532.05</v>
      </c>
      <c r="F599" s="20" t="str">
        <f>""</f>
        <v/>
      </c>
      <c r="G599" t="str">
        <f>IF($C599="","",IF(Registro_Compras!$F$70="NOTA DE CREDITO","Por la nota de credito "&amp;Registro_Compras!$C$70&amp;" de "&amp;Registro_Compras!$E$70&amp;" [PATRON POR CONFIRMAR CON CONTADOR]",IF(Registro_Compras!$F$70="RHE","Por el registro del recibo por honorarios "&amp;Registro_Compras!$C$70&amp;" de "&amp;Registro_Compras!$E$70&amp;" [PATRON POR CONFIRMAR CON CONTADOR]","Por el registro de la factura "&amp;Registro_Compras!$C$70&amp;" de "&amp;Registro_Compras!$E$70)))</f>
        <v>Por el registro de la factura E001-7189 de ARCOBALENO SOCIEDAD COMERCIAL DE RESPONSABILIDAD LIMITADA</v>
      </c>
      <c r="H599" t="str">
        <f>IF($C599="","",Registro_Compras!$C$70)</f>
        <v>E001-7189</v>
      </c>
    </row>
    <row r="600" spans="1:8" x14ac:dyDescent="0.25">
      <c r="A600" s="25">
        <f>IF($C600="","",Registro_Compras!$B$70)</f>
        <v>46247</v>
      </c>
      <c r="B600" t="str">
        <f>IF($C600="","","C"&amp;TEXT(INT((ROW()-5)/9)+1,"000")&amp;"-1")</f>
        <v>C067-1</v>
      </c>
      <c r="C600" t="str">
        <f>IF(OR(Registro_Compras!$C$70="",Registro_Compras!$O$70=""),"",IF(Registro_Compras!$F$70="RHE",IF(Registro_Compras!$V$70=0,"","4017"),IF(Registro_Compras!$F$70="NOTA DE CREDITO",IF(Registro_Compras!$M$70="","63",Registro_Compras!$M$70),IF(Registro_Compras!$K$70=0,"","40111"))))</f>
        <v>40111</v>
      </c>
      <c r="D600" t="str">
        <f>IF(OR(Registro_Compras!$C$70="",Registro_Compras!$O$70=""),"",IF(Registro_Compras!$F$70="RHE","Retencion Renta 4ta Categoria por Pagar",IF(Registro_Compras!$F$70="NOTA DE CREDITO","Gastos de Servicios Prestados por Terceros","IGV - Cuenta Propia (Credito Fiscal)")))</f>
        <v>IGV - Cuenta Propia (Credito Fiscal)</v>
      </c>
      <c r="E600" s="20">
        <f>IF($C600="","",IF(Registro_Compras!$F$70="FACTURA",ROUND(Registro_Compras!$K$70*Registro_Compras!$N$70,2),""))</f>
        <v>275.76</v>
      </c>
      <c r="F600" s="20" t="str">
        <f>IF($C600="","",IF(Registro_Compras!$F$70="RHE",ROUND(Registro_Compras!$V$70*Registro_Compras!$N$70,2),IF(Registro_Compras!$F$70="NOTA DE CREDITO",ROUND(ABS(Registro_Compras!$J$70*Registro_Compras!$N$70),2),"")))</f>
        <v/>
      </c>
      <c r="G600" t="str">
        <f>IF($C600="","",IF(Registro_Compras!$F$70="NOTA DE CREDITO","Por la nota de credito "&amp;Registro_Compras!$C$70&amp;" de "&amp;Registro_Compras!$E$70&amp;" [PATRON POR CONFIRMAR CON CONTADOR]",IF(Registro_Compras!$F$70="RHE","Por el registro del recibo por honorarios "&amp;Registro_Compras!$C$70&amp;" de "&amp;Registro_Compras!$E$70&amp;" [PATRON POR CONFIRMAR CON CONTADOR]","Por el registro de la factura "&amp;Registro_Compras!$C$70&amp;" de "&amp;Registro_Compras!$E$70)))</f>
        <v>Por el registro de la factura E001-7189 de ARCOBALENO SOCIEDAD COMERCIAL DE RESPONSABILIDAD LIMITADA</v>
      </c>
      <c r="H600" t="str">
        <f>IF($C600="","",Registro_Compras!$C$70)</f>
        <v>E001-7189</v>
      </c>
    </row>
    <row r="601" spans="1:8" x14ac:dyDescent="0.25">
      <c r="A601" s="25">
        <f>IF($C601="","",Registro_Compras!$B$70)</f>
        <v>46247</v>
      </c>
      <c r="B601" t="str">
        <f>IF($C601="","","C"&amp;TEXT(INT((ROW()-5)/9)+1,"000")&amp;"-1")</f>
        <v>C067-1</v>
      </c>
      <c r="C601" t="str">
        <f>IF(OR(Registro_Compras!$C$70="",Registro_Compras!$O$70=""),"",IF(Registro_Compras!$F$70="NOTA DE CREDITO",IF(Registro_Compras!$K$70=0,"","40111"),"4212"))</f>
        <v>4212</v>
      </c>
      <c r="D601" t="str">
        <f>IF(OR(Registro_Compras!$C$70="",Registro_Compras!$O$70=""),"",IF(Registro_Compras!$F$70="NOTA DE CREDITO","IGV - Cuenta Propia (Credito Fiscal)","Cuentas por Pagar Comerciales - Terceros (Emitidas)"))</f>
        <v>Cuentas por Pagar Comerciales - Terceros (Emitidas)</v>
      </c>
      <c r="E601" s="20" t="str">
        <f>""</f>
        <v/>
      </c>
      <c r="F601" s="20">
        <f>IF($C601="","",IF(Registro_Compras!$F$70="NOTA DE CREDITO",ROUND(ABS(Registro_Compras!$K$70*Registro_Compras!$N$70),2),IF(Registro_Compras!$F$70="RHE",(ROUND(Registro_Compras!$L$70*Registro_Compras!$N$70,2)-ROUND(Registro_Compras!$V$70*Registro_Compras!$N$70,2)),Registro_Compras!$O$70)))</f>
        <v>1807.81</v>
      </c>
      <c r="G601" t="str">
        <f>IF($C601="","",IF(Registro_Compras!$F$70="NOTA DE CREDITO","Por la nota de credito "&amp;Registro_Compras!$C$70&amp;" de "&amp;Registro_Compras!$E$70&amp;" [PATRON POR CONFIRMAR CON CONTADOR]",IF(Registro_Compras!$F$70="RHE","Por el registro del recibo por honorarios "&amp;Registro_Compras!$C$70&amp;" de "&amp;Registro_Compras!$E$70&amp;" [PATRON POR CONFIRMAR CON CONTADOR]","Por el registro de la factura "&amp;Registro_Compras!$C$70&amp;" de "&amp;Registro_Compras!$E$70)))</f>
        <v>Por el registro de la factura E001-7189 de ARCOBALENO SOCIEDAD COMERCIAL DE RESPONSABILIDAD LIMITADA</v>
      </c>
      <c r="H601" t="str">
        <f>IF($C601="","",Registro_Compras!$C$70)</f>
        <v>E001-7189</v>
      </c>
    </row>
    <row r="602" spans="1:8" x14ac:dyDescent="0.25">
      <c r="A602" s="25">
        <f>IF($C602="","",Registro_Compras!$B$70)</f>
        <v>46247</v>
      </c>
      <c r="B602" t="str">
        <f>IF($C602="","","C"&amp;TEXT(INT((ROW()-5)/9)+1,"000")&amp;"-2")</f>
        <v>C067-2</v>
      </c>
      <c r="C602" t="str">
        <f>IF(OR(Registro_Compras!$C$70="",Registro_Compras!$O$70=""),"",IF(Registro_Compras!$AB$70="ADMINISTRATIVO","94","95"))</f>
        <v>95</v>
      </c>
      <c r="D602" t="str">
        <f>IF(OR(Registro_Compras!$C$70="",Registro_Compras!$O$70=""),"",IF(Registro_Compras!$AB$70="ADMINISTRATIVO","Gastos Administrativos","Gastos de Venta y Operacion"))</f>
        <v>Gastos de Venta y Operacion</v>
      </c>
      <c r="E602" s="20">
        <f>IF($C602="","",IF(Registro_Compras!$F$70="NOTA DE CREDITO","",IF(Registro_Compras!$F$70="RHE",ROUND(Registro_Compras!$L$70*Registro_Compras!$N$70,2),ROUND(Registro_Compras!$J$70*Registro_Compras!$N$70,2))))</f>
        <v>1532.05</v>
      </c>
      <c r="F602" s="20" t="str">
        <f>IF($C602="","",IF(Registro_Compras!$F$70="NOTA DE CREDITO",ROUND(ABS(Registro_Compras!$J$70*Registro_Compras!$N$70),2),""))</f>
        <v/>
      </c>
      <c r="G602" t="str">
        <f>IF($C602="","","Por el destino del gasto")</f>
        <v>Por el destino del gasto</v>
      </c>
      <c r="H602" t="str">
        <f>IF($C602="","",Registro_Compras!$C$70)</f>
        <v>E001-7189</v>
      </c>
    </row>
    <row r="603" spans="1:8" x14ac:dyDescent="0.25">
      <c r="A603" s="25">
        <f>IF($C603="","",Registro_Compras!$B$70)</f>
        <v>46247</v>
      </c>
      <c r="B603" t="str">
        <f>IF($C603="","","C"&amp;TEXT(INT((ROW()-5)/9)+1,"000")&amp;"-2")</f>
        <v>C067-2</v>
      </c>
      <c r="C603" t="str">
        <f>IF(OR(Registro_Compras!$C$70="",Registro_Compras!$O$70=""),"","79/791")</f>
        <v>79/791</v>
      </c>
      <c r="D603" t="str">
        <f>IF(OR(Registro_Compras!$C$70="",Registro_Compras!$O$70=""),"","Cargas Imputables a Cuentas de Costos y Gastos")</f>
        <v>Cargas Imputables a Cuentas de Costos y Gastos</v>
      </c>
      <c r="E603" s="20" t="str">
        <f>IF($C603="","",IF(Registro_Compras!$F$70="NOTA DE CREDITO",ROUND(ABS(Registro_Compras!$J$70*Registro_Compras!$N$70),2),""))</f>
        <v/>
      </c>
      <c r="F603" s="20">
        <f>IF($C603="","",IF(Registro_Compras!$F$70="NOTA DE CREDITO","",IF(Registro_Compras!$F$70="RHE",ROUND(Registro_Compras!$L$70*Registro_Compras!$N$70,2),ROUND(Registro_Compras!$J$70*Registro_Compras!$N$70,2))))</f>
        <v>1532.05</v>
      </c>
      <c r="G603" t="str">
        <f>IF($C603="","","Por el destino del gasto")</f>
        <v>Por el destino del gasto</v>
      </c>
      <c r="H603" t="str">
        <f>IF($C603="","",Registro_Compras!$C$70)</f>
        <v>E001-7189</v>
      </c>
    </row>
    <row r="604" spans="1:8" x14ac:dyDescent="0.25">
      <c r="A604" s="25" t="str">
        <f>IF($C604="","",Registro_Compras!$X$70)</f>
        <v/>
      </c>
      <c r="B604" t="str">
        <f>IF($C604="","","C"&amp;TEXT(INT((ROW()-5)/9)+1,"000")&amp;"-3")</f>
        <v/>
      </c>
      <c r="C604" t="str">
        <f>IF(OR(Registro_Compras!$C$70="",Registro_Compras!$O$70="",Registro_Compras!$R$70&lt;&gt;"SI",Registro_Compras!$X$70=""),"","4212")</f>
        <v/>
      </c>
      <c r="D604" t="str">
        <f>IF(OR(Registro_Compras!$C$70="",Registro_Compras!$O$70=""),"","Cuentas por Pagar Comerciales - Terceros")</f>
        <v>Cuentas por Pagar Comerciales - Terceros</v>
      </c>
      <c r="E604" s="20" t="str">
        <f>IF($C604="","",Registro_Compras!$S$70)</f>
        <v/>
      </c>
      <c r="F604" s="20" t="str">
        <f>""</f>
        <v/>
      </c>
      <c r="G604" t="str">
        <f>IF($C604="","","Por el deposito de la detraccion en el Banco de la Nacion")</f>
        <v/>
      </c>
      <c r="H604" t="str">
        <f>IF($C604="","",Registro_Compras!$C$70)</f>
        <v/>
      </c>
    </row>
    <row r="605" spans="1:8" x14ac:dyDescent="0.25">
      <c r="A605" s="25" t="str">
        <f>IF($C605="","",Registro_Compras!$X$70)</f>
        <v/>
      </c>
      <c r="B605" t="str">
        <f>IF($C605="","","C"&amp;TEXT(INT((ROW()-5)/9)+1,"000")&amp;"-3")</f>
        <v/>
      </c>
      <c r="C605" t="str">
        <f>IF(OR(Registro_Compras!$C$70="",Registro_Compras!$O$70="",Registro_Compras!$R$70&lt;&gt;"SI",Registro_Compras!$X$70=""),"","1041")</f>
        <v/>
      </c>
      <c r="D605" t="str">
        <f>IF(OR(Registro_Compras!$C$70="",Registro_Compras!$O$70=""),"","Efectivo y Equivalentes - Cta. Cte. Operativa")</f>
        <v>Efectivo y Equivalentes - Cta. Cte. Operativa</v>
      </c>
      <c r="E605" s="20" t="str">
        <f>""</f>
        <v/>
      </c>
      <c r="F605" s="20" t="str">
        <f>IF($C605="","",Registro_Compras!$S$70)</f>
        <v/>
      </c>
      <c r="G605" t="str">
        <f>IF($C605="","","Por el deposito de la detraccion en el Banco de la Nacion")</f>
        <v/>
      </c>
      <c r="H605" t="str">
        <f>IF($C605="","",Registro_Compras!$C$70)</f>
        <v/>
      </c>
    </row>
    <row r="606" spans="1:8" x14ac:dyDescent="0.25">
      <c r="A606" s="25" t="str">
        <f>IF($C606="","",Registro_Compras!$Y$70)</f>
        <v/>
      </c>
      <c r="B606" t="str">
        <f>IF($C606="","","C"&amp;TEXT(INT((ROW()-5)/9)+1,"000")&amp;"-4")</f>
        <v/>
      </c>
      <c r="C606" t="str">
        <f>IF(OR(Registro_Compras!$C$70="",Registro_Compras!$O$70="",Registro_Compras!$Y$70="",Registro_Compras!$F$70="NOTA DE CREDITO"),"","4212")</f>
        <v/>
      </c>
      <c r="D606" t="str">
        <f>IF(OR(Registro_Compras!$C$70="",Registro_Compras!$O$70=""),"","Cuentas por Pagar Comerciales - Terceros")</f>
        <v>Cuentas por Pagar Comerciales - Terceros</v>
      </c>
      <c r="E606" s="20" t="str">
        <f>IF($C606="","",IF(Registro_Compras!$F$70="RHE",(ROUND(Registro_Compras!$L$70*Registro_Compras!$N$70,2)-ROUND(Registro_Compras!$V$70*Registro_Compras!$N$70,2)),ROUND(Registro_Compras!$O$70-Registro_Compras!$S$70,2)))</f>
        <v/>
      </c>
      <c r="F606" s="20" t="str">
        <f>""</f>
        <v/>
      </c>
      <c r="G606" t="str">
        <f>IF($C606="","","Por la cancelacion del saldo al proveedor")</f>
        <v/>
      </c>
      <c r="H606" t="str">
        <f>IF($C606="","",Registro_Compras!$C$70)</f>
        <v/>
      </c>
    </row>
    <row r="607" spans="1:8" x14ac:dyDescent="0.25">
      <c r="A607" s="25" t="str">
        <f>IF($C607="","",Registro_Compras!$Y$70)</f>
        <v/>
      </c>
      <c r="B607" t="str">
        <f>IF($C607="","","C"&amp;TEXT(INT((ROW()-5)/9)+1,"000")&amp;"-4")</f>
        <v/>
      </c>
      <c r="C607" t="str">
        <f>IF(OR(Registro_Compras!$C$70="",Registro_Compras!$O$70="",Registro_Compras!$Y$70="",Registro_Compras!$F$70="NOTA DE CREDITO"),"","1041")</f>
        <v/>
      </c>
      <c r="D607" t="str">
        <f>IF(OR(Registro_Compras!$C$70="",Registro_Compras!$O$70=""),"","Efectivo y Equivalentes - Cta. Cte. Operativa")</f>
        <v>Efectivo y Equivalentes - Cta. Cte. Operativa</v>
      </c>
      <c r="E607" s="20" t="str">
        <f>""</f>
        <v/>
      </c>
      <c r="F607" s="20" t="str">
        <f>IF($C607="","",IF(Registro_Compras!$F$70="RHE",(ROUND(Registro_Compras!$L$70*Registro_Compras!$N$70,2)-ROUND(Registro_Compras!$V$70*Registro_Compras!$N$70,2)),ROUND(Registro_Compras!$O$70-Registro_Compras!$S$70,2)))</f>
        <v/>
      </c>
      <c r="G607" t="str">
        <f>IF($C607="","","Por la cancelacion del saldo al proveedor")</f>
        <v/>
      </c>
      <c r="H607" t="str">
        <f>IF($C607="","",Registro_Compras!$C$70)</f>
        <v/>
      </c>
    </row>
    <row r="608" spans="1:8" x14ac:dyDescent="0.25">
      <c r="A608" s="25">
        <f>IF($C608="","",Registro_Compras!$B$71)</f>
        <v>46244</v>
      </c>
      <c r="B608" t="str">
        <f>IF($C608="","","C"&amp;TEXT(INT((ROW()-5)/9)+1,"000")&amp;"-1")</f>
        <v>C068-1</v>
      </c>
      <c r="C608" t="str">
        <f>IF(OR(Registro_Compras!$C$71="",Registro_Compras!$O$71=""),"",IF(Registro_Compras!$F$71="NOTA DE CREDITO","4212",IF(Registro_Compras!$M$71="","63",Registro_Compras!$M$71)))</f>
        <v>632</v>
      </c>
      <c r="D608" t="str">
        <f>IF(OR(Registro_Compras!$C$71="",Registro_Compras!$O$71=""),"",IF(Registro_Compras!$F$71="NOTA DE CREDITO","Cuentas por Pagar Comerciales - Terceros (Emitidas)",IF(Registro_Compras!$F$71="RHE","Honorarios Profesionales - Servicios de Terceros","Gastos de Servicios Prestados por Terceros")))</f>
        <v>Honorarios Profesionales - Servicios de Terceros</v>
      </c>
      <c r="E608" s="20">
        <f>IF($C608="","",IF(Registro_Compras!$F$71="NOTA DE CREDITO",ABS(Registro_Compras!$O$71),IF(Registro_Compras!$F$71="RHE",ROUND(Registro_Compras!$L$71*Registro_Compras!$N$71,2),ROUND(Registro_Compras!$J$71*Registro_Compras!$N$71,2))))</f>
        <v>1025</v>
      </c>
      <c r="F608" s="20" t="str">
        <f>""</f>
        <v/>
      </c>
      <c r="G608" t="str">
        <f>IF($C608="","",IF(Registro_Compras!$F$71="NOTA DE CREDITO","Por la nota de credito "&amp;Registro_Compras!$C$71&amp;" de "&amp;Registro_Compras!$E$71&amp;" [PATRON POR CONFIRMAR CON CONTADOR]",IF(Registro_Compras!$F$71="RHE","Por el registro del recibo por honorarios "&amp;Registro_Compras!$C$71&amp;" de "&amp;Registro_Compras!$E$71&amp;" [PATRON POR CONFIRMAR CON CONTADOR]","Por el registro de la factura "&amp;Registro_Compras!$C$71&amp;" de "&amp;Registro_Compras!$E$71)))</f>
        <v>Por el registro del recibo por honorarios E001- 176 de BEOUTIS BAZAN URSULA CATHERINE [PATRON POR CONFIRMAR CON CONTADOR]</v>
      </c>
      <c r="H608" t="str">
        <f>IF($C608="","",Registro_Compras!$C$71)</f>
        <v>E001- 176</v>
      </c>
    </row>
    <row r="609" spans="1:8" x14ac:dyDescent="0.25">
      <c r="A609" s="25" t="str">
        <f>IF($C609="","",Registro_Compras!$B$71)</f>
        <v/>
      </c>
      <c r="B609" t="str">
        <f>IF($C609="","","C"&amp;TEXT(INT((ROW()-5)/9)+1,"000")&amp;"-1")</f>
        <v/>
      </c>
      <c r="C609" t="str">
        <f>IF(OR(Registro_Compras!$C$71="",Registro_Compras!$O$71=""),"",IF(Registro_Compras!$F$71="RHE",IF(Registro_Compras!$V$71=0,"","4017"),IF(Registro_Compras!$F$71="NOTA DE CREDITO",IF(Registro_Compras!$M$71="","63",Registro_Compras!$M$71),IF(Registro_Compras!$K$71=0,"","40111"))))</f>
        <v/>
      </c>
      <c r="D609" t="str">
        <f>IF(OR(Registro_Compras!$C$71="",Registro_Compras!$O$71=""),"",IF(Registro_Compras!$F$71="RHE","Retencion Renta 4ta Categoria por Pagar",IF(Registro_Compras!$F$71="NOTA DE CREDITO","Gastos de Servicios Prestados por Terceros","IGV - Cuenta Propia (Credito Fiscal)")))</f>
        <v>Retencion Renta 4ta Categoria por Pagar</v>
      </c>
      <c r="E609" s="20" t="str">
        <f>IF($C609="","",IF(Registro_Compras!$F$71="FACTURA",ROUND(Registro_Compras!$K$71*Registro_Compras!$N$71,2),""))</f>
        <v/>
      </c>
      <c r="F609" s="20" t="str">
        <f>IF($C609="","",IF(Registro_Compras!$F$71="RHE",ROUND(Registro_Compras!$V$71*Registro_Compras!$N$71,2),IF(Registro_Compras!$F$71="NOTA DE CREDITO",ROUND(ABS(Registro_Compras!$J$71*Registro_Compras!$N$71),2),"")))</f>
        <v/>
      </c>
      <c r="G609" t="str">
        <f>IF($C609="","",IF(Registro_Compras!$F$71="NOTA DE CREDITO","Por la nota de credito "&amp;Registro_Compras!$C$71&amp;" de "&amp;Registro_Compras!$E$71&amp;" [PATRON POR CONFIRMAR CON CONTADOR]",IF(Registro_Compras!$F$71="RHE","Por el registro del recibo por honorarios "&amp;Registro_Compras!$C$71&amp;" de "&amp;Registro_Compras!$E$71&amp;" [PATRON POR CONFIRMAR CON CONTADOR]","Por el registro de la factura "&amp;Registro_Compras!$C$71&amp;" de "&amp;Registro_Compras!$E$71)))</f>
        <v/>
      </c>
      <c r="H609" t="str">
        <f>IF($C609="","",Registro_Compras!$C$71)</f>
        <v/>
      </c>
    </row>
    <row r="610" spans="1:8" x14ac:dyDescent="0.25">
      <c r="A610" s="25">
        <f>IF($C610="","",Registro_Compras!$B$71)</f>
        <v>46244</v>
      </c>
      <c r="B610" t="str">
        <f>IF($C610="","","C"&amp;TEXT(INT((ROW()-5)/9)+1,"000")&amp;"-1")</f>
        <v>C068-1</v>
      </c>
      <c r="C610" t="str">
        <f>IF(OR(Registro_Compras!$C$71="",Registro_Compras!$O$71=""),"",IF(Registro_Compras!$F$71="NOTA DE CREDITO",IF(Registro_Compras!$K$71=0,"","40111"),"4212"))</f>
        <v>4212</v>
      </c>
      <c r="D610" t="str">
        <f>IF(OR(Registro_Compras!$C$71="",Registro_Compras!$O$71=""),"",IF(Registro_Compras!$F$71="NOTA DE CREDITO","IGV - Cuenta Propia (Credito Fiscal)","Cuentas por Pagar Comerciales - Terceros (Emitidas)"))</f>
        <v>Cuentas por Pagar Comerciales - Terceros (Emitidas)</v>
      </c>
      <c r="E610" s="20" t="str">
        <f>""</f>
        <v/>
      </c>
      <c r="F610" s="20">
        <f>IF($C610="","",IF(Registro_Compras!$F$71="NOTA DE CREDITO",ROUND(ABS(Registro_Compras!$K$71*Registro_Compras!$N$71),2),IF(Registro_Compras!$F$71="RHE",(ROUND(Registro_Compras!$L$71*Registro_Compras!$N$71,2)-ROUND(Registro_Compras!$V$71*Registro_Compras!$N$71,2)),Registro_Compras!$O$71)))</f>
        <v>1025</v>
      </c>
      <c r="G610" t="str">
        <f>IF($C610="","",IF(Registro_Compras!$F$71="NOTA DE CREDITO","Por la nota de credito "&amp;Registro_Compras!$C$71&amp;" de "&amp;Registro_Compras!$E$71&amp;" [PATRON POR CONFIRMAR CON CONTADOR]",IF(Registro_Compras!$F$71="RHE","Por el registro del recibo por honorarios "&amp;Registro_Compras!$C$71&amp;" de "&amp;Registro_Compras!$E$71&amp;" [PATRON POR CONFIRMAR CON CONTADOR]","Por el registro de la factura "&amp;Registro_Compras!$C$71&amp;" de "&amp;Registro_Compras!$E$71)))</f>
        <v>Por el registro del recibo por honorarios E001- 176 de BEOUTIS BAZAN URSULA CATHERINE [PATRON POR CONFIRMAR CON CONTADOR]</v>
      </c>
      <c r="H610" t="str">
        <f>IF($C610="","",Registro_Compras!$C$71)</f>
        <v>E001- 176</v>
      </c>
    </row>
    <row r="611" spans="1:8" x14ac:dyDescent="0.25">
      <c r="A611" s="25">
        <f>IF($C611="","",Registro_Compras!$B$71)</f>
        <v>46244</v>
      </c>
      <c r="B611" t="str">
        <f>IF($C611="","","C"&amp;TEXT(INT((ROW()-5)/9)+1,"000")&amp;"-2")</f>
        <v>C068-2</v>
      </c>
      <c r="C611" t="str">
        <f>IF(OR(Registro_Compras!$C$71="",Registro_Compras!$O$71=""),"",IF(Registro_Compras!$AB$71="ADMINISTRATIVO","94","95"))</f>
        <v>94</v>
      </c>
      <c r="D611" t="str">
        <f>IF(OR(Registro_Compras!$C$71="",Registro_Compras!$O$71=""),"",IF(Registro_Compras!$AB$71="ADMINISTRATIVO","Gastos Administrativos","Gastos de Venta y Operacion"))</f>
        <v>Gastos Administrativos</v>
      </c>
      <c r="E611" s="20">
        <f>IF($C611="","",IF(Registro_Compras!$F$71="NOTA DE CREDITO","",IF(Registro_Compras!$F$71="RHE",ROUND(Registro_Compras!$L$71*Registro_Compras!$N$71,2),ROUND(Registro_Compras!$J$71*Registro_Compras!$N$71,2))))</f>
        <v>1025</v>
      </c>
      <c r="F611" s="20" t="str">
        <f>IF($C611="","",IF(Registro_Compras!$F$71="NOTA DE CREDITO",ROUND(ABS(Registro_Compras!$J$71*Registro_Compras!$N$71),2),""))</f>
        <v/>
      </c>
      <c r="G611" t="str">
        <f>IF($C611="","","Por el destino del gasto")</f>
        <v>Por el destino del gasto</v>
      </c>
      <c r="H611" t="str">
        <f>IF($C611="","",Registro_Compras!$C$71)</f>
        <v>E001- 176</v>
      </c>
    </row>
    <row r="612" spans="1:8" x14ac:dyDescent="0.25">
      <c r="A612" s="25">
        <f>IF($C612="","",Registro_Compras!$B$71)</f>
        <v>46244</v>
      </c>
      <c r="B612" t="str">
        <f>IF($C612="","","C"&amp;TEXT(INT((ROW()-5)/9)+1,"000")&amp;"-2")</f>
        <v>C068-2</v>
      </c>
      <c r="C612" t="str">
        <f>IF(OR(Registro_Compras!$C$71="",Registro_Compras!$O$71=""),"","79/791")</f>
        <v>79/791</v>
      </c>
      <c r="D612" t="str">
        <f>IF(OR(Registro_Compras!$C$71="",Registro_Compras!$O$71=""),"","Cargas Imputables a Cuentas de Costos y Gastos")</f>
        <v>Cargas Imputables a Cuentas de Costos y Gastos</v>
      </c>
      <c r="E612" s="20" t="str">
        <f>IF($C612="","",IF(Registro_Compras!$F$71="NOTA DE CREDITO",ROUND(ABS(Registro_Compras!$J$71*Registro_Compras!$N$71),2),""))</f>
        <v/>
      </c>
      <c r="F612" s="20">
        <f>IF($C612="","",IF(Registro_Compras!$F$71="NOTA DE CREDITO","",IF(Registro_Compras!$F$71="RHE",ROUND(Registro_Compras!$L$71*Registro_Compras!$N$71,2),ROUND(Registro_Compras!$J$71*Registro_Compras!$N$71,2))))</f>
        <v>1025</v>
      </c>
      <c r="G612" t="str">
        <f>IF($C612="","","Por el destino del gasto")</f>
        <v>Por el destino del gasto</v>
      </c>
      <c r="H612" t="str">
        <f>IF($C612="","",Registro_Compras!$C$71)</f>
        <v>E001- 176</v>
      </c>
    </row>
    <row r="613" spans="1:8" x14ac:dyDescent="0.25">
      <c r="A613" s="25" t="str">
        <f>IF($C613="","",Registro_Compras!$X$71)</f>
        <v/>
      </c>
      <c r="B613" t="str">
        <f>IF($C613="","","C"&amp;TEXT(INT((ROW()-5)/9)+1,"000")&amp;"-3")</f>
        <v/>
      </c>
      <c r="C613" t="str">
        <f>IF(OR(Registro_Compras!$C$71="",Registro_Compras!$O$71="",Registro_Compras!$R$71&lt;&gt;"SI",Registro_Compras!$X$71=""),"","4212")</f>
        <v/>
      </c>
      <c r="D613" t="str">
        <f>IF(OR(Registro_Compras!$C$71="",Registro_Compras!$O$71=""),"","Cuentas por Pagar Comerciales - Terceros")</f>
        <v>Cuentas por Pagar Comerciales - Terceros</v>
      </c>
      <c r="E613" s="20" t="str">
        <f>IF($C613="","",Registro_Compras!$S$71)</f>
        <v/>
      </c>
      <c r="F613" s="20" t="str">
        <f>""</f>
        <v/>
      </c>
      <c r="G613" t="str">
        <f>IF($C613="","","Por el deposito de la detraccion en el Banco de la Nacion")</f>
        <v/>
      </c>
      <c r="H613" t="str">
        <f>IF($C613="","",Registro_Compras!$C$71)</f>
        <v/>
      </c>
    </row>
    <row r="614" spans="1:8" x14ac:dyDescent="0.25">
      <c r="A614" s="25" t="str">
        <f>IF($C614="","",Registro_Compras!$X$71)</f>
        <v/>
      </c>
      <c r="B614" t="str">
        <f>IF($C614="","","C"&amp;TEXT(INT((ROW()-5)/9)+1,"000")&amp;"-3")</f>
        <v/>
      </c>
      <c r="C614" t="str">
        <f>IF(OR(Registro_Compras!$C$71="",Registro_Compras!$O$71="",Registro_Compras!$R$71&lt;&gt;"SI",Registro_Compras!$X$71=""),"","1041")</f>
        <v/>
      </c>
      <c r="D614" t="str">
        <f>IF(OR(Registro_Compras!$C$71="",Registro_Compras!$O$71=""),"","Efectivo y Equivalentes - Cta. Cte. Operativa")</f>
        <v>Efectivo y Equivalentes - Cta. Cte. Operativa</v>
      </c>
      <c r="E614" s="20" t="str">
        <f>""</f>
        <v/>
      </c>
      <c r="F614" s="20" t="str">
        <f>IF($C614="","",Registro_Compras!$S$71)</f>
        <v/>
      </c>
      <c r="G614" t="str">
        <f>IF($C614="","","Por el deposito de la detraccion en el Banco de la Nacion")</f>
        <v/>
      </c>
      <c r="H614" t="str">
        <f>IF($C614="","",Registro_Compras!$C$71)</f>
        <v/>
      </c>
    </row>
    <row r="615" spans="1:8" x14ac:dyDescent="0.25">
      <c r="A615" s="25" t="str">
        <f>IF($C615="","",Registro_Compras!$Y$71)</f>
        <v/>
      </c>
      <c r="B615" t="str">
        <f>IF($C615="","","C"&amp;TEXT(INT((ROW()-5)/9)+1,"000")&amp;"-4")</f>
        <v/>
      </c>
      <c r="C615" t="str">
        <f>IF(OR(Registro_Compras!$C$71="",Registro_Compras!$O$71="",Registro_Compras!$Y$71="",Registro_Compras!$F$71="NOTA DE CREDITO"),"","4212")</f>
        <v/>
      </c>
      <c r="D615" t="str">
        <f>IF(OR(Registro_Compras!$C$71="",Registro_Compras!$O$71=""),"","Cuentas por Pagar Comerciales - Terceros")</f>
        <v>Cuentas por Pagar Comerciales - Terceros</v>
      </c>
      <c r="E615" s="20" t="str">
        <f>IF($C615="","",IF(Registro_Compras!$F$71="RHE",(ROUND(Registro_Compras!$L$71*Registro_Compras!$N$71,2)-ROUND(Registro_Compras!$V$71*Registro_Compras!$N$71,2)),ROUND(Registro_Compras!$O$71-Registro_Compras!$S$71,2)))</f>
        <v/>
      </c>
      <c r="F615" s="20" t="str">
        <f>""</f>
        <v/>
      </c>
      <c r="G615" t="str">
        <f>IF($C615="","","Por la cancelacion del saldo al proveedor")</f>
        <v/>
      </c>
      <c r="H615" t="str">
        <f>IF($C615="","",Registro_Compras!$C$71)</f>
        <v/>
      </c>
    </row>
    <row r="616" spans="1:8" x14ac:dyDescent="0.25">
      <c r="A616" s="25" t="str">
        <f>IF($C616="","",Registro_Compras!$Y$71)</f>
        <v/>
      </c>
      <c r="B616" t="str">
        <f>IF($C616="","","C"&amp;TEXT(INT((ROW()-5)/9)+1,"000")&amp;"-4")</f>
        <v/>
      </c>
      <c r="C616" t="str">
        <f>IF(OR(Registro_Compras!$C$71="",Registro_Compras!$O$71="",Registro_Compras!$Y$71="",Registro_Compras!$F$71="NOTA DE CREDITO"),"","1041")</f>
        <v/>
      </c>
      <c r="D616" t="str">
        <f>IF(OR(Registro_Compras!$C$71="",Registro_Compras!$O$71=""),"","Efectivo y Equivalentes - Cta. Cte. Operativa")</f>
        <v>Efectivo y Equivalentes - Cta. Cte. Operativa</v>
      </c>
      <c r="E616" s="20" t="str">
        <f>""</f>
        <v/>
      </c>
      <c r="F616" s="20" t="str">
        <f>IF($C616="","",IF(Registro_Compras!$F$71="RHE",(ROUND(Registro_Compras!$L$71*Registro_Compras!$N$71,2)-ROUND(Registro_Compras!$V$71*Registro_Compras!$N$71,2)),ROUND(Registro_Compras!$O$71-Registro_Compras!$S$71,2)))</f>
        <v/>
      </c>
      <c r="G616" t="str">
        <f>IF($C616="","","Por la cancelacion del saldo al proveedor")</f>
        <v/>
      </c>
      <c r="H616" t="str">
        <f>IF($C616="","",Registro_Compras!$C$71)</f>
        <v/>
      </c>
    </row>
    <row r="617" spans="1:8" x14ac:dyDescent="0.25">
      <c r="A617" s="25">
        <f>IF($C617="","",Registro_Compras!$B$72)</f>
        <v>46244</v>
      </c>
      <c r="B617" t="str">
        <f>IF($C617="","","C"&amp;TEXT(INT((ROW()-5)/9)+1,"000")&amp;"-1")</f>
        <v>C069-1</v>
      </c>
      <c r="C617" t="str">
        <f>IF(OR(Registro_Compras!$C$72="",Registro_Compras!$O$72=""),"",IF(Registro_Compras!$F$72="NOTA DE CREDITO","4212",IF(Registro_Compras!$M$72="","63",Registro_Compras!$M$72)))</f>
        <v>639</v>
      </c>
      <c r="D617" t="str">
        <f>IF(OR(Registro_Compras!$C$72="",Registro_Compras!$O$72=""),"",IF(Registro_Compras!$F$72="NOTA DE CREDITO","Cuentas por Pagar Comerciales - Terceros (Emitidas)",IF(Registro_Compras!$F$72="RHE","Honorarios Profesionales - Servicios de Terceros","Gastos de Servicios Prestados por Terceros")))</f>
        <v>Gastos de Servicios Prestados por Terceros</v>
      </c>
      <c r="E617" s="20">
        <f>IF($C617="","",IF(Registro_Compras!$F$72="NOTA DE CREDITO",ABS(Registro_Compras!$O$72),IF(Registro_Compras!$F$72="RHE",ROUND(Registro_Compras!$L$72*Registro_Compras!$N$72,2),ROUND(Registro_Compras!$J$72*Registro_Compras!$N$72,2))))</f>
        <v>2940.91</v>
      </c>
      <c r="F617" s="20" t="str">
        <f>""</f>
        <v/>
      </c>
      <c r="G617" t="str">
        <f>IF($C617="","",IF(Registro_Compras!$F$72="NOTA DE CREDITO","Por la nota de credito "&amp;Registro_Compras!$C$72&amp;" de "&amp;Registro_Compras!$E$72&amp;" [PATRON POR CONFIRMAR CON CONTADOR]",IF(Registro_Compras!$F$72="RHE","Por el registro del recibo por honorarios "&amp;Registro_Compras!$C$72&amp;" de "&amp;Registro_Compras!$E$72&amp;" [PATRON POR CONFIRMAR CON CONTADOR]","Por el registro de la factura "&amp;Registro_Compras!$C$72&amp;" de "&amp;Registro_Compras!$E$72)))</f>
        <v>Por el registro de la factura F001-11458 de COMPAÃ‘IA HOTELERA BAMA S.A.C. (ANANAY HOTELS)</v>
      </c>
      <c r="H617" t="str">
        <f>IF($C617="","",Registro_Compras!$C$72)</f>
        <v>F001-11458</v>
      </c>
    </row>
    <row r="618" spans="1:8" x14ac:dyDescent="0.25">
      <c r="A618" s="25" t="str">
        <f>IF($C618="","",Registro_Compras!$B$72)</f>
        <v/>
      </c>
      <c r="B618" t="str">
        <f>IF($C618="","","C"&amp;TEXT(INT((ROW()-5)/9)+1,"000")&amp;"-1")</f>
        <v/>
      </c>
      <c r="C618" t="str">
        <f>IF(OR(Registro_Compras!$C$72="",Registro_Compras!$O$72=""),"",IF(Registro_Compras!$F$72="RHE",IF(Registro_Compras!$V$72=0,"","4017"),IF(Registro_Compras!$F$72="NOTA DE CREDITO",IF(Registro_Compras!$M$72="","63",Registro_Compras!$M$72),IF(Registro_Compras!$K$72=0,"","40111"))))</f>
        <v/>
      </c>
      <c r="D618" t="str">
        <f>IF(OR(Registro_Compras!$C$72="",Registro_Compras!$O$72=""),"",IF(Registro_Compras!$F$72="RHE","Retencion Renta 4ta Categoria por Pagar",IF(Registro_Compras!$F$72="NOTA DE CREDITO","Gastos de Servicios Prestados por Terceros","IGV - Cuenta Propia (Credito Fiscal)")))</f>
        <v>IGV - Cuenta Propia (Credito Fiscal)</v>
      </c>
      <c r="E618" s="20" t="str">
        <f>IF($C618="","",IF(Registro_Compras!$F$72="FACTURA",ROUND(Registro_Compras!$K$72*Registro_Compras!$N$72,2),""))</f>
        <v/>
      </c>
      <c r="F618" s="20" t="str">
        <f>IF($C618="","",IF(Registro_Compras!$F$72="RHE",ROUND(Registro_Compras!$V$72*Registro_Compras!$N$72,2),IF(Registro_Compras!$F$72="NOTA DE CREDITO",ROUND(ABS(Registro_Compras!$J$72*Registro_Compras!$N$72),2),"")))</f>
        <v/>
      </c>
      <c r="G618" t="str">
        <f>IF($C618="","",IF(Registro_Compras!$F$72="NOTA DE CREDITO","Por la nota de credito "&amp;Registro_Compras!$C$72&amp;" de "&amp;Registro_Compras!$E$72&amp;" [PATRON POR CONFIRMAR CON CONTADOR]",IF(Registro_Compras!$F$72="RHE","Por el registro del recibo por honorarios "&amp;Registro_Compras!$C$72&amp;" de "&amp;Registro_Compras!$E$72&amp;" [PATRON POR CONFIRMAR CON CONTADOR]","Por el registro de la factura "&amp;Registro_Compras!$C$72&amp;" de "&amp;Registro_Compras!$E$72)))</f>
        <v/>
      </c>
      <c r="H618" t="str">
        <f>IF($C618="","",Registro_Compras!$C$72)</f>
        <v/>
      </c>
    </row>
    <row r="619" spans="1:8" x14ac:dyDescent="0.25">
      <c r="A619" s="25">
        <f>IF($C619="","",Registro_Compras!$B$72)</f>
        <v>46244</v>
      </c>
      <c r="B619" t="str">
        <f>IF($C619="","","C"&amp;TEXT(INT((ROW()-5)/9)+1,"000")&amp;"-1")</f>
        <v>C069-1</v>
      </c>
      <c r="C619" t="str">
        <f>IF(OR(Registro_Compras!$C$72="",Registro_Compras!$O$72=""),"",IF(Registro_Compras!$F$72="NOTA DE CREDITO",IF(Registro_Compras!$K$72=0,"","40111"),"4212"))</f>
        <v>4212</v>
      </c>
      <c r="D619" t="str">
        <f>IF(OR(Registro_Compras!$C$72="",Registro_Compras!$O$72=""),"",IF(Registro_Compras!$F$72="NOTA DE CREDITO","IGV - Cuenta Propia (Credito Fiscal)","Cuentas por Pagar Comerciales - Terceros (Emitidas)"))</f>
        <v>Cuentas por Pagar Comerciales - Terceros (Emitidas)</v>
      </c>
      <c r="E619" s="20" t="str">
        <f>""</f>
        <v/>
      </c>
      <c r="F619" s="20">
        <f>IF($C619="","",IF(Registro_Compras!$F$72="NOTA DE CREDITO",ROUND(ABS(Registro_Compras!$K$72*Registro_Compras!$N$72),2),IF(Registro_Compras!$F$72="RHE",(ROUND(Registro_Compras!$L$72*Registro_Compras!$N$72,2)-ROUND(Registro_Compras!$V$72*Registro_Compras!$N$72,2)),Registro_Compras!$O$72)))</f>
        <v>2940.91</v>
      </c>
      <c r="G619" t="str">
        <f>IF($C619="","",IF(Registro_Compras!$F$72="NOTA DE CREDITO","Por la nota de credito "&amp;Registro_Compras!$C$72&amp;" de "&amp;Registro_Compras!$E$72&amp;" [PATRON POR CONFIRMAR CON CONTADOR]",IF(Registro_Compras!$F$72="RHE","Por el registro del recibo por honorarios "&amp;Registro_Compras!$C$72&amp;" de "&amp;Registro_Compras!$E$72&amp;" [PATRON POR CONFIRMAR CON CONTADOR]","Por el registro de la factura "&amp;Registro_Compras!$C$72&amp;" de "&amp;Registro_Compras!$E$72)))</f>
        <v>Por el registro de la factura F001-11458 de COMPAÃ‘IA HOTELERA BAMA S.A.C. (ANANAY HOTELS)</v>
      </c>
      <c r="H619" t="str">
        <f>IF($C619="","",Registro_Compras!$C$72)</f>
        <v>F001-11458</v>
      </c>
    </row>
    <row r="620" spans="1:8" x14ac:dyDescent="0.25">
      <c r="A620" s="25">
        <f>IF($C620="","",Registro_Compras!$B$72)</f>
        <v>46244</v>
      </c>
      <c r="B620" t="str">
        <f>IF($C620="","","C"&amp;TEXT(INT((ROW()-5)/9)+1,"000")&amp;"-2")</f>
        <v>C069-2</v>
      </c>
      <c r="C620" t="str">
        <f>IF(OR(Registro_Compras!$C$72="",Registro_Compras!$O$72=""),"",IF(Registro_Compras!$AB$72="ADMINISTRATIVO","94","95"))</f>
        <v>95</v>
      </c>
      <c r="D620" t="str">
        <f>IF(OR(Registro_Compras!$C$72="",Registro_Compras!$O$72=""),"",IF(Registro_Compras!$AB$72="ADMINISTRATIVO","Gastos Administrativos","Gastos de Venta y Operacion"))</f>
        <v>Gastos de Venta y Operacion</v>
      </c>
      <c r="E620" s="20">
        <f>IF($C620="","",IF(Registro_Compras!$F$72="NOTA DE CREDITO","",IF(Registro_Compras!$F$72="RHE",ROUND(Registro_Compras!$L$72*Registro_Compras!$N$72,2),ROUND(Registro_Compras!$J$72*Registro_Compras!$N$72,2))))</f>
        <v>2940.91</v>
      </c>
      <c r="F620" s="20" t="str">
        <f>IF($C620="","",IF(Registro_Compras!$F$72="NOTA DE CREDITO",ROUND(ABS(Registro_Compras!$J$72*Registro_Compras!$N$72),2),""))</f>
        <v/>
      </c>
      <c r="G620" t="str">
        <f>IF($C620="","","Por el destino del gasto")</f>
        <v>Por el destino del gasto</v>
      </c>
      <c r="H620" t="str">
        <f>IF($C620="","",Registro_Compras!$C$72)</f>
        <v>F001-11458</v>
      </c>
    </row>
    <row r="621" spans="1:8" x14ac:dyDescent="0.25">
      <c r="A621" s="25">
        <f>IF($C621="","",Registro_Compras!$B$72)</f>
        <v>46244</v>
      </c>
      <c r="B621" t="str">
        <f>IF($C621="","","C"&amp;TEXT(INT((ROW()-5)/9)+1,"000")&amp;"-2")</f>
        <v>C069-2</v>
      </c>
      <c r="C621" t="str">
        <f>IF(OR(Registro_Compras!$C$72="",Registro_Compras!$O$72=""),"","79/791")</f>
        <v>79/791</v>
      </c>
      <c r="D621" t="str">
        <f>IF(OR(Registro_Compras!$C$72="",Registro_Compras!$O$72=""),"","Cargas Imputables a Cuentas de Costos y Gastos")</f>
        <v>Cargas Imputables a Cuentas de Costos y Gastos</v>
      </c>
      <c r="E621" s="20" t="str">
        <f>IF($C621="","",IF(Registro_Compras!$F$72="NOTA DE CREDITO",ROUND(ABS(Registro_Compras!$J$72*Registro_Compras!$N$72),2),""))</f>
        <v/>
      </c>
      <c r="F621" s="20">
        <f>IF($C621="","",IF(Registro_Compras!$F$72="NOTA DE CREDITO","",IF(Registro_Compras!$F$72="RHE",ROUND(Registro_Compras!$L$72*Registro_Compras!$N$72,2),ROUND(Registro_Compras!$J$72*Registro_Compras!$N$72,2))))</f>
        <v>2940.91</v>
      </c>
      <c r="G621" t="str">
        <f>IF($C621="","","Por el destino del gasto")</f>
        <v>Por el destino del gasto</v>
      </c>
      <c r="H621" t="str">
        <f>IF($C621="","",Registro_Compras!$C$72)</f>
        <v>F001-11458</v>
      </c>
    </row>
    <row r="622" spans="1:8" x14ac:dyDescent="0.25">
      <c r="A622" s="25" t="str">
        <f>IF($C622="","",Registro_Compras!$X$72)</f>
        <v/>
      </c>
      <c r="B622" t="str">
        <f>IF($C622="","","C"&amp;TEXT(INT((ROW()-5)/9)+1,"000")&amp;"-3")</f>
        <v/>
      </c>
      <c r="C622" t="str">
        <f>IF(OR(Registro_Compras!$C$72="",Registro_Compras!$O$72="",Registro_Compras!$R$72&lt;&gt;"SI",Registro_Compras!$X$72=""),"","4212")</f>
        <v/>
      </c>
      <c r="D622" t="str">
        <f>IF(OR(Registro_Compras!$C$72="",Registro_Compras!$O$72=""),"","Cuentas por Pagar Comerciales - Terceros")</f>
        <v>Cuentas por Pagar Comerciales - Terceros</v>
      </c>
      <c r="E622" s="20" t="str">
        <f>IF($C622="","",Registro_Compras!$S$72)</f>
        <v/>
      </c>
      <c r="F622" s="20" t="str">
        <f>""</f>
        <v/>
      </c>
      <c r="G622" t="str">
        <f>IF($C622="","","Por el deposito de la detraccion en el Banco de la Nacion")</f>
        <v/>
      </c>
      <c r="H622" t="str">
        <f>IF($C622="","",Registro_Compras!$C$72)</f>
        <v/>
      </c>
    </row>
    <row r="623" spans="1:8" x14ac:dyDescent="0.25">
      <c r="A623" s="25" t="str">
        <f>IF($C623="","",Registro_Compras!$X$72)</f>
        <v/>
      </c>
      <c r="B623" t="str">
        <f>IF($C623="","","C"&amp;TEXT(INT((ROW()-5)/9)+1,"000")&amp;"-3")</f>
        <v/>
      </c>
      <c r="C623" t="str">
        <f>IF(OR(Registro_Compras!$C$72="",Registro_Compras!$O$72="",Registro_Compras!$R$72&lt;&gt;"SI",Registro_Compras!$X$72=""),"","1041")</f>
        <v/>
      </c>
      <c r="D623" t="str">
        <f>IF(OR(Registro_Compras!$C$72="",Registro_Compras!$O$72=""),"","Efectivo y Equivalentes - Cta. Cte. Operativa")</f>
        <v>Efectivo y Equivalentes - Cta. Cte. Operativa</v>
      </c>
      <c r="E623" s="20" t="str">
        <f>""</f>
        <v/>
      </c>
      <c r="F623" s="20" t="str">
        <f>IF($C623="","",Registro_Compras!$S$72)</f>
        <v/>
      </c>
      <c r="G623" t="str">
        <f>IF($C623="","","Por el deposito de la detraccion en el Banco de la Nacion")</f>
        <v/>
      </c>
      <c r="H623" t="str">
        <f>IF($C623="","",Registro_Compras!$C$72)</f>
        <v/>
      </c>
    </row>
    <row r="624" spans="1:8" x14ac:dyDescent="0.25">
      <c r="A624" s="25" t="str">
        <f>IF($C624="","",Registro_Compras!$Y$72)</f>
        <v/>
      </c>
      <c r="B624" t="str">
        <f>IF($C624="","","C"&amp;TEXT(INT((ROW()-5)/9)+1,"000")&amp;"-4")</f>
        <v/>
      </c>
      <c r="C624" t="str">
        <f>IF(OR(Registro_Compras!$C$72="",Registro_Compras!$O$72="",Registro_Compras!$Y$72="",Registro_Compras!$F$72="NOTA DE CREDITO"),"","4212")</f>
        <v/>
      </c>
      <c r="D624" t="str">
        <f>IF(OR(Registro_Compras!$C$72="",Registro_Compras!$O$72=""),"","Cuentas por Pagar Comerciales - Terceros")</f>
        <v>Cuentas por Pagar Comerciales - Terceros</v>
      </c>
      <c r="E624" s="20" t="str">
        <f>IF($C624="","",IF(Registro_Compras!$F$72="RHE",(ROUND(Registro_Compras!$L$72*Registro_Compras!$N$72,2)-ROUND(Registro_Compras!$V$72*Registro_Compras!$N$72,2)),ROUND(Registro_Compras!$O$72-Registro_Compras!$S$72,2)))</f>
        <v/>
      </c>
      <c r="F624" s="20" t="str">
        <f>""</f>
        <v/>
      </c>
      <c r="G624" t="str">
        <f>IF($C624="","","Por la cancelacion del saldo al proveedor")</f>
        <v/>
      </c>
      <c r="H624" t="str">
        <f>IF($C624="","",Registro_Compras!$C$72)</f>
        <v/>
      </c>
    </row>
    <row r="625" spans="1:8" x14ac:dyDescent="0.25">
      <c r="A625" s="25" t="str">
        <f>IF($C625="","",Registro_Compras!$Y$72)</f>
        <v/>
      </c>
      <c r="B625" t="str">
        <f>IF($C625="","","C"&amp;TEXT(INT((ROW()-5)/9)+1,"000")&amp;"-4")</f>
        <v/>
      </c>
      <c r="C625" t="str">
        <f>IF(OR(Registro_Compras!$C$72="",Registro_Compras!$O$72="",Registro_Compras!$Y$72="",Registro_Compras!$F$72="NOTA DE CREDITO"),"","1041")</f>
        <v/>
      </c>
      <c r="D625" t="str">
        <f>IF(OR(Registro_Compras!$C$72="",Registro_Compras!$O$72=""),"","Efectivo y Equivalentes - Cta. Cte. Operativa")</f>
        <v>Efectivo y Equivalentes - Cta. Cte. Operativa</v>
      </c>
      <c r="E625" s="20" t="str">
        <f>""</f>
        <v/>
      </c>
      <c r="F625" s="20" t="str">
        <f>IF($C625="","",IF(Registro_Compras!$F$72="RHE",(ROUND(Registro_Compras!$L$72*Registro_Compras!$N$72,2)-ROUND(Registro_Compras!$V$72*Registro_Compras!$N$72,2)),ROUND(Registro_Compras!$O$72-Registro_Compras!$S$72,2)))</f>
        <v/>
      </c>
      <c r="G625" t="str">
        <f>IF($C625="","","Por la cancelacion del saldo al proveedor")</f>
        <v/>
      </c>
      <c r="H625" t="str">
        <f>IF($C625="","",Registro_Compras!$C$72)</f>
        <v/>
      </c>
    </row>
    <row r="626" spans="1:8" x14ac:dyDescent="0.25">
      <c r="A626" s="25">
        <f>IF($C626="","",Registro_Compras!$B$73)</f>
        <v>46240</v>
      </c>
      <c r="B626" t="str">
        <f>IF($C626="","","C"&amp;TEXT(INT((ROW()-5)/9)+1,"000")&amp;"-1")</f>
        <v>C070-1</v>
      </c>
      <c r="C626" t="str">
        <f>IF(OR(Registro_Compras!$C$73="",Registro_Compras!$O$73=""),"",IF(Registro_Compras!$F$73="NOTA DE CREDITO","4212",IF(Registro_Compras!$M$73="","63",Registro_Compras!$M$73)))</f>
        <v>639</v>
      </c>
      <c r="D626" t="str">
        <f>IF(OR(Registro_Compras!$C$73="",Registro_Compras!$O$73=""),"",IF(Registro_Compras!$F$73="NOTA DE CREDITO","Cuentas por Pagar Comerciales - Terceros (Emitidas)",IF(Registro_Compras!$F$73="RHE","Honorarios Profesionales - Servicios de Terceros","Gastos de Servicios Prestados por Terceros")))</f>
        <v>Gastos de Servicios Prestados por Terceros</v>
      </c>
      <c r="E626" s="20">
        <f>IF($C626="","",IF(Registro_Compras!$F$73="NOTA DE CREDITO",ABS(Registro_Compras!$O$73),IF(Registro_Compras!$F$73="RHE",ROUND(Registro_Compras!$L$73*Registro_Compras!$N$73,2),ROUND(Registro_Compras!$J$73*Registro_Compras!$N$73,2))))</f>
        <v>4144</v>
      </c>
      <c r="F626" s="20" t="str">
        <f>""</f>
        <v/>
      </c>
      <c r="G626" t="str">
        <f>IF($C626="","",IF(Registro_Compras!$F$73="NOTA DE CREDITO","Por la nota de credito "&amp;Registro_Compras!$C$73&amp;" de "&amp;Registro_Compras!$E$73&amp;" [PATRON POR CONFIRMAR CON CONTADOR]",IF(Registro_Compras!$F$73="RHE","Por el registro del recibo por honorarios "&amp;Registro_Compras!$C$73&amp;" de "&amp;Registro_Compras!$E$73&amp;" [PATRON POR CONFIRMAR CON CONTADOR]","Por el registro de la factura "&amp;Registro_Compras!$C$73&amp;" de "&amp;Registro_Compras!$E$73)))</f>
        <v>Por el registro de la factura F005-00003003 de FOOD SERVICE INVESTMENT S.A.C.</v>
      </c>
      <c r="H626" t="str">
        <f>IF($C626="","",Registro_Compras!$C$73)</f>
        <v>F005-00003003</v>
      </c>
    </row>
    <row r="627" spans="1:8" x14ac:dyDescent="0.25">
      <c r="A627" s="25">
        <f>IF($C627="","",Registro_Compras!$B$73)</f>
        <v>46240</v>
      </c>
      <c r="B627" t="str">
        <f>IF($C627="","","C"&amp;TEXT(INT((ROW()-5)/9)+1,"000")&amp;"-1")</f>
        <v>C070-1</v>
      </c>
      <c r="C627" t="str">
        <f>IF(OR(Registro_Compras!$C$73="",Registro_Compras!$O$73=""),"",IF(Registro_Compras!$F$73="RHE",IF(Registro_Compras!$V$73=0,"","4017"),IF(Registro_Compras!$F$73="NOTA DE CREDITO",IF(Registro_Compras!$M$73="","63",Registro_Compras!$M$73),IF(Registro_Compras!$K$73=0,"","40111"))))</f>
        <v>40111</v>
      </c>
      <c r="D627" t="str">
        <f>IF(OR(Registro_Compras!$C$73="",Registro_Compras!$O$73=""),"",IF(Registro_Compras!$F$73="RHE","Retencion Renta 4ta Categoria por Pagar",IF(Registro_Compras!$F$73="NOTA DE CREDITO","Gastos de Servicios Prestados por Terceros","IGV - Cuenta Propia (Credito Fiscal)")))</f>
        <v>IGV - Cuenta Propia (Credito Fiscal)</v>
      </c>
      <c r="E627" s="20">
        <f>IF($C627="","",IF(Registro_Compras!$F$73="FACTURA",ROUND(Registro_Compras!$K$73*Registro_Compras!$N$73,2),""))</f>
        <v>745.92</v>
      </c>
      <c r="F627" s="20" t="str">
        <f>IF($C627="","",IF(Registro_Compras!$F$73="RHE",ROUND(Registro_Compras!$V$73*Registro_Compras!$N$73,2),IF(Registro_Compras!$F$73="NOTA DE CREDITO",ROUND(ABS(Registro_Compras!$J$73*Registro_Compras!$N$73),2),"")))</f>
        <v/>
      </c>
      <c r="G627" t="str">
        <f>IF($C627="","",IF(Registro_Compras!$F$73="NOTA DE CREDITO","Por la nota de credito "&amp;Registro_Compras!$C$73&amp;" de "&amp;Registro_Compras!$E$73&amp;" [PATRON POR CONFIRMAR CON CONTADOR]",IF(Registro_Compras!$F$73="RHE","Por el registro del recibo por honorarios "&amp;Registro_Compras!$C$73&amp;" de "&amp;Registro_Compras!$E$73&amp;" [PATRON POR CONFIRMAR CON CONTADOR]","Por el registro de la factura "&amp;Registro_Compras!$C$73&amp;" de "&amp;Registro_Compras!$E$73)))</f>
        <v>Por el registro de la factura F005-00003003 de FOOD SERVICE INVESTMENT S.A.C.</v>
      </c>
      <c r="H627" t="str">
        <f>IF($C627="","",Registro_Compras!$C$73)</f>
        <v>F005-00003003</v>
      </c>
    </row>
    <row r="628" spans="1:8" x14ac:dyDescent="0.25">
      <c r="A628" s="25">
        <f>IF($C628="","",Registro_Compras!$B$73)</f>
        <v>46240</v>
      </c>
      <c r="B628" t="str">
        <f>IF($C628="","","C"&amp;TEXT(INT((ROW()-5)/9)+1,"000")&amp;"-1")</f>
        <v>C070-1</v>
      </c>
      <c r="C628" t="str">
        <f>IF(OR(Registro_Compras!$C$73="",Registro_Compras!$O$73=""),"",IF(Registro_Compras!$F$73="NOTA DE CREDITO",IF(Registro_Compras!$K$73=0,"","40111"),"4212"))</f>
        <v>4212</v>
      </c>
      <c r="D628" t="str">
        <f>IF(OR(Registro_Compras!$C$73="",Registro_Compras!$O$73=""),"",IF(Registro_Compras!$F$73="NOTA DE CREDITO","IGV - Cuenta Propia (Credito Fiscal)","Cuentas por Pagar Comerciales - Terceros (Emitidas)"))</f>
        <v>Cuentas por Pagar Comerciales - Terceros (Emitidas)</v>
      </c>
      <c r="E628" s="20" t="str">
        <f>""</f>
        <v/>
      </c>
      <c r="F628" s="20">
        <f>IF($C628="","",IF(Registro_Compras!$F$73="NOTA DE CREDITO",ROUND(ABS(Registro_Compras!$K$73*Registro_Compras!$N$73),2),IF(Registro_Compras!$F$73="RHE",(ROUND(Registro_Compras!$L$73*Registro_Compras!$N$73,2)-ROUND(Registro_Compras!$V$73*Registro_Compras!$N$73,2)),Registro_Compras!$O$73)))</f>
        <v>4889.92</v>
      </c>
      <c r="G628" t="str">
        <f>IF($C628="","",IF(Registro_Compras!$F$73="NOTA DE CREDITO","Por la nota de credito "&amp;Registro_Compras!$C$73&amp;" de "&amp;Registro_Compras!$E$73&amp;" [PATRON POR CONFIRMAR CON CONTADOR]",IF(Registro_Compras!$F$73="RHE","Por el registro del recibo por honorarios "&amp;Registro_Compras!$C$73&amp;" de "&amp;Registro_Compras!$E$73&amp;" [PATRON POR CONFIRMAR CON CONTADOR]","Por el registro de la factura "&amp;Registro_Compras!$C$73&amp;" de "&amp;Registro_Compras!$E$73)))</f>
        <v>Por el registro de la factura F005-00003003 de FOOD SERVICE INVESTMENT S.A.C.</v>
      </c>
      <c r="H628" t="str">
        <f>IF($C628="","",Registro_Compras!$C$73)</f>
        <v>F005-00003003</v>
      </c>
    </row>
    <row r="629" spans="1:8" x14ac:dyDescent="0.25">
      <c r="A629" s="25">
        <f>IF($C629="","",Registro_Compras!$B$73)</f>
        <v>46240</v>
      </c>
      <c r="B629" t="str">
        <f>IF($C629="","","C"&amp;TEXT(INT((ROW()-5)/9)+1,"000")&amp;"-2")</f>
        <v>C070-2</v>
      </c>
      <c r="C629" t="str">
        <f>IF(OR(Registro_Compras!$C$73="",Registro_Compras!$O$73=""),"",IF(Registro_Compras!$AB$73="ADMINISTRATIVO","94","95"))</f>
        <v>95</v>
      </c>
      <c r="D629" t="str">
        <f>IF(OR(Registro_Compras!$C$73="",Registro_Compras!$O$73=""),"",IF(Registro_Compras!$AB$73="ADMINISTRATIVO","Gastos Administrativos","Gastos de Venta y Operacion"))</f>
        <v>Gastos de Venta y Operacion</v>
      </c>
      <c r="E629" s="20">
        <f>IF($C629="","",IF(Registro_Compras!$F$73="NOTA DE CREDITO","",IF(Registro_Compras!$F$73="RHE",ROUND(Registro_Compras!$L$73*Registro_Compras!$N$73,2),ROUND(Registro_Compras!$J$73*Registro_Compras!$N$73,2))))</f>
        <v>4144</v>
      </c>
      <c r="F629" s="20" t="str">
        <f>IF($C629="","",IF(Registro_Compras!$F$73="NOTA DE CREDITO",ROUND(ABS(Registro_Compras!$J$73*Registro_Compras!$N$73),2),""))</f>
        <v/>
      </c>
      <c r="G629" t="str">
        <f>IF($C629="","","Por el destino del gasto")</f>
        <v>Por el destino del gasto</v>
      </c>
      <c r="H629" t="str">
        <f>IF($C629="","",Registro_Compras!$C$73)</f>
        <v>F005-00003003</v>
      </c>
    </row>
    <row r="630" spans="1:8" x14ac:dyDescent="0.25">
      <c r="A630" s="25">
        <f>IF($C630="","",Registro_Compras!$B$73)</f>
        <v>46240</v>
      </c>
      <c r="B630" t="str">
        <f>IF($C630="","","C"&amp;TEXT(INT((ROW()-5)/9)+1,"000")&amp;"-2")</f>
        <v>C070-2</v>
      </c>
      <c r="C630" t="str">
        <f>IF(OR(Registro_Compras!$C$73="",Registro_Compras!$O$73=""),"","79/791")</f>
        <v>79/791</v>
      </c>
      <c r="D630" t="str">
        <f>IF(OR(Registro_Compras!$C$73="",Registro_Compras!$O$73=""),"","Cargas Imputables a Cuentas de Costos y Gastos")</f>
        <v>Cargas Imputables a Cuentas de Costos y Gastos</v>
      </c>
      <c r="E630" s="20" t="str">
        <f>IF($C630="","",IF(Registro_Compras!$F$73="NOTA DE CREDITO",ROUND(ABS(Registro_Compras!$J$73*Registro_Compras!$N$73),2),""))</f>
        <v/>
      </c>
      <c r="F630" s="20">
        <f>IF($C630="","",IF(Registro_Compras!$F$73="NOTA DE CREDITO","",IF(Registro_Compras!$F$73="RHE",ROUND(Registro_Compras!$L$73*Registro_Compras!$N$73,2),ROUND(Registro_Compras!$J$73*Registro_Compras!$N$73,2))))</f>
        <v>4144</v>
      </c>
      <c r="G630" t="str">
        <f>IF($C630="","","Por el destino del gasto")</f>
        <v>Por el destino del gasto</v>
      </c>
      <c r="H630" t="str">
        <f>IF($C630="","",Registro_Compras!$C$73)</f>
        <v>F005-00003003</v>
      </c>
    </row>
    <row r="631" spans="1:8" x14ac:dyDescent="0.25">
      <c r="A631" s="25" t="str">
        <f>IF($C631="","",Registro_Compras!$X$73)</f>
        <v/>
      </c>
      <c r="B631" t="str">
        <f>IF($C631="","","C"&amp;TEXT(INT((ROW()-5)/9)+1,"000")&amp;"-3")</f>
        <v/>
      </c>
      <c r="C631" t="str">
        <f>IF(OR(Registro_Compras!$C$73="",Registro_Compras!$O$73="",Registro_Compras!$R$73&lt;&gt;"SI",Registro_Compras!$X$73=""),"","4212")</f>
        <v/>
      </c>
      <c r="D631" t="str">
        <f>IF(OR(Registro_Compras!$C$73="",Registro_Compras!$O$73=""),"","Cuentas por Pagar Comerciales - Terceros")</f>
        <v>Cuentas por Pagar Comerciales - Terceros</v>
      </c>
      <c r="E631" s="20" t="str">
        <f>IF($C631="","",Registro_Compras!$S$73)</f>
        <v/>
      </c>
      <c r="F631" s="20" t="str">
        <f>""</f>
        <v/>
      </c>
      <c r="G631" t="str">
        <f>IF($C631="","","Por el deposito de la detraccion en el Banco de la Nacion")</f>
        <v/>
      </c>
      <c r="H631" t="str">
        <f>IF($C631="","",Registro_Compras!$C$73)</f>
        <v/>
      </c>
    </row>
    <row r="632" spans="1:8" x14ac:dyDescent="0.25">
      <c r="A632" s="25" t="str">
        <f>IF($C632="","",Registro_Compras!$X$73)</f>
        <v/>
      </c>
      <c r="B632" t="str">
        <f>IF($C632="","","C"&amp;TEXT(INT((ROW()-5)/9)+1,"000")&amp;"-3")</f>
        <v/>
      </c>
      <c r="C632" t="str">
        <f>IF(OR(Registro_Compras!$C$73="",Registro_Compras!$O$73="",Registro_Compras!$R$73&lt;&gt;"SI",Registro_Compras!$X$73=""),"","1041")</f>
        <v/>
      </c>
      <c r="D632" t="str">
        <f>IF(OR(Registro_Compras!$C$73="",Registro_Compras!$O$73=""),"","Efectivo y Equivalentes - Cta. Cte. Operativa")</f>
        <v>Efectivo y Equivalentes - Cta. Cte. Operativa</v>
      </c>
      <c r="E632" s="20" t="str">
        <f>""</f>
        <v/>
      </c>
      <c r="F632" s="20" t="str">
        <f>IF($C632="","",Registro_Compras!$S$73)</f>
        <v/>
      </c>
      <c r="G632" t="str">
        <f>IF($C632="","","Por el deposito de la detraccion en el Banco de la Nacion")</f>
        <v/>
      </c>
      <c r="H632" t="str">
        <f>IF($C632="","",Registro_Compras!$C$73)</f>
        <v/>
      </c>
    </row>
    <row r="633" spans="1:8" x14ac:dyDescent="0.25">
      <c r="A633" s="25" t="str">
        <f>IF($C633="","",Registro_Compras!$Y$73)</f>
        <v/>
      </c>
      <c r="B633" t="str">
        <f>IF($C633="","","C"&amp;TEXT(INT((ROW()-5)/9)+1,"000")&amp;"-4")</f>
        <v/>
      </c>
      <c r="C633" t="str">
        <f>IF(OR(Registro_Compras!$C$73="",Registro_Compras!$O$73="",Registro_Compras!$Y$73="",Registro_Compras!$F$73="NOTA DE CREDITO"),"","4212")</f>
        <v/>
      </c>
      <c r="D633" t="str">
        <f>IF(OR(Registro_Compras!$C$73="",Registro_Compras!$O$73=""),"","Cuentas por Pagar Comerciales - Terceros")</f>
        <v>Cuentas por Pagar Comerciales - Terceros</v>
      </c>
      <c r="E633" s="20" t="str">
        <f>IF($C633="","",IF(Registro_Compras!$F$73="RHE",(ROUND(Registro_Compras!$L$73*Registro_Compras!$N$73,2)-ROUND(Registro_Compras!$V$73*Registro_Compras!$N$73,2)),ROUND(Registro_Compras!$O$73-Registro_Compras!$S$73,2)))</f>
        <v/>
      </c>
      <c r="F633" s="20" t="str">
        <f>""</f>
        <v/>
      </c>
      <c r="G633" t="str">
        <f>IF($C633="","","Por la cancelacion del saldo al proveedor")</f>
        <v/>
      </c>
      <c r="H633" t="str">
        <f>IF($C633="","",Registro_Compras!$C$73)</f>
        <v/>
      </c>
    </row>
    <row r="634" spans="1:8" x14ac:dyDescent="0.25">
      <c r="A634" s="25" t="str">
        <f>IF($C634="","",Registro_Compras!$Y$73)</f>
        <v/>
      </c>
      <c r="B634" t="str">
        <f>IF($C634="","","C"&amp;TEXT(INT((ROW()-5)/9)+1,"000")&amp;"-4")</f>
        <v/>
      </c>
      <c r="C634" t="str">
        <f>IF(OR(Registro_Compras!$C$73="",Registro_Compras!$O$73="",Registro_Compras!$Y$73="",Registro_Compras!$F$73="NOTA DE CREDITO"),"","1041")</f>
        <v/>
      </c>
      <c r="D634" t="str">
        <f>IF(OR(Registro_Compras!$C$73="",Registro_Compras!$O$73=""),"","Efectivo y Equivalentes - Cta. Cte. Operativa")</f>
        <v>Efectivo y Equivalentes - Cta. Cte. Operativa</v>
      </c>
      <c r="E634" s="20" t="str">
        <f>""</f>
        <v/>
      </c>
      <c r="F634" s="20" t="str">
        <f>IF($C634="","",IF(Registro_Compras!$F$73="RHE",(ROUND(Registro_Compras!$L$73*Registro_Compras!$N$73,2)-ROUND(Registro_Compras!$V$73*Registro_Compras!$N$73,2)),ROUND(Registro_Compras!$O$73-Registro_Compras!$S$73,2)))</f>
        <v/>
      </c>
      <c r="G634" t="str">
        <f>IF($C634="","","Por la cancelacion del saldo al proveedor")</f>
        <v/>
      </c>
      <c r="H634" t="str">
        <f>IF($C634="","",Registro_Compras!$C$73)</f>
        <v/>
      </c>
    </row>
    <row r="635" spans="1:8" x14ac:dyDescent="0.25">
      <c r="A635" s="25">
        <f>IF($C635="","",Registro_Compras!$B$74)</f>
        <v>46238</v>
      </c>
      <c r="B635" t="str">
        <f>IF($C635="","","C"&amp;TEXT(INT((ROW()-5)/9)+1,"000")&amp;"-1")</f>
        <v>C071-1</v>
      </c>
      <c r="C635" t="str">
        <f>IF(OR(Registro_Compras!$C$74="",Registro_Compras!$O$74=""),"",IF(Registro_Compras!$F$74="NOTA DE CREDITO","4212",IF(Registro_Compras!$M$74="","63",Registro_Compras!$M$74)))</f>
        <v>632</v>
      </c>
      <c r="D635" t="str">
        <f>IF(OR(Registro_Compras!$C$74="",Registro_Compras!$O$74=""),"",IF(Registro_Compras!$F$74="NOTA DE CREDITO","Cuentas por Pagar Comerciales - Terceros (Emitidas)",IF(Registro_Compras!$F$74="RHE","Honorarios Profesionales - Servicios de Terceros","Gastos de Servicios Prestados por Terceros")))</f>
        <v>Honorarios Profesionales - Servicios de Terceros</v>
      </c>
      <c r="E635" s="20">
        <f>IF($C635="","",IF(Registro_Compras!$F$74="NOTA DE CREDITO",ABS(Registro_Compras!$O$74),IF(Registro_Compras!$F$74="RHE",ROUND(Registro_Compras!$L$74*Registro_Compras!$N$74,2),ROUND(Registro_Compras!$J$74*Registro_Compras!$N$74,2))))</f>
        <v>306.18</v>
      </c>
      <c r="F635" s="20" t="str">
        <f>""</f>
        <v/>
      </c>
      <c r="G635" t="str">
        <f>IF($C635="","",IF(Registro_Compras!$F$74="NOTA DE CREDITO","Por la nota de credito "&amp;Registro_Compras!$C$74&amp;" de "&amp;Registro_Compras!$E$74&amp;" [PATRON POR CONFIRMAR CON CONTADOR]",IF(Registro_Compras!$F$74="RHE","Por el registro del recibo por honorarios "&amp;Registro_Compras!$C$74&amp;" de "&amp;Registro_Compras!$E$74&amp;" [PATRON POR CONFIRMAR CON CONTADOR]","Por el registro de la factura "&amp;Registro_Compras!$C$74&amp;" de "&amp;Registro_Compras!$E$74)))</f>
        <v>Por el registro del recibo por honorarios E001- 556 de HANCO ASTETE ANDY [PATRON POR CONFIRMAR CON CONTADOR]</v>
      </c>
      <c r="H635" t="str">
        <f>IF($C635="","",Registro_Compras!$C$74)</f>
        <v>E001- 556</v>
      </c>
    </row>
    <row r="636" spans="1:8" x14ac:dyDescent="0.25">
      <c r="A636" s="25" t="str">
        <f>IF($C636="","",Registro_Compras!$B$74)</f>
        <v/>
      </c>
      <c r="B636" t="str">
        <f>IF($C636="","","C"&amp;TEXT(INT((ROW()-5)/9)+1,"000")&amp;"-1")</f>
        <v/>
      </c>
      <c r="C636" t="str">
        <f>IF(OR(Registro_Compras!$C$74="",Registro_Compras!$O$74=""),"",IF(Registro_Compras!$F$74="RHE",IF(Registro_Compras!$V$74=0,"","4017"),IF(Registro_Compras!$F$74="NOTA DE CREDITO",IF(Registro_Compras!$M$74="","63",Registro_Compras!$M$74),IF(Registro_Compras!$K$74=0,"","40111"))))</f>
        <v/>
      </c>
      <c r="D636" t="str">
        <f>IF(OR(Registro_Compras!$C$74="",Registro_Compras!$O$74=""),"",IF(Registro_Compras!$F$74="RHE","Retencion Renta 4ta Categoria por Pagar",IF(Registro_Compras!$F$74="NOTA DE CREDITO","Gastos de Servicios Prestados por Terceros","IGV - Cuenta Propia (Credito Fiscal)")))</f>
        <v>Retencion Renta 4ta Categoria por Pagar</v>
      </c>
      <c r="E636" s="20" t="str">
        <f>IF($C636="","",IF(Registro_Compras!$F$74="FACTURA",ROUND(Registro_Compras!$K$74*Registro_Compras!$N$74,2),""))</f>
        <v/>
      </c>
      <c r="F636" s="20" t="str">
        <f>IF($C636="","",IF(Registro_Compras!$F$74="RHE",ROUND(Registro_Compras!$V$74*Registro_Compras!$N$74,2),IF(Registro_Compras!$F$74="NOTA DE CREDITO",ROUND(ABS(Registro_Compras!$J$74*Registro_Compras!$N$74),2),"")))</f>
        <v/>
      </c>
      <c r="G636" t="str">
        <f>IF($C636="","",IF(Registro_Compras!$F$74="NOTA DE CREDITO","Por la nota de credito "&amp;Registro_Compras!$C$74&amp;" de "&amp;Registro_Compras!$E$74&amp;" [PATRON POR CONFIRMAR CON CONTADOR]",IF(Registro_Compras!$F$74="RHE","Por el registro del recibo por honorarios "&amp;Registro_Compras!$C$74&amp;" de "&amp;Registro_Compras!$E$74&amp;" [PATRON POR CONFIRMAR CON CONTADOR]","Por el registro de la factura "&amp;Registro_Compras!$C$74&amp;" de "&amp;Registro_Compras!$E$74)))</f>
        <v/>
      </c>
      <c r="H636" t="str">
        <f>IF($C636="","",Registro_Compras!$C$74)</f>
        <v/>
      </c>
    </row>
    <row r="637" spans="1:8" x14ac:dyDescent="0.25">
      <c r="A637" s="25">
        <f>IF($C637="","",Registro_Compras!$B$74)</f>
        <v>46238</v>
      </c>
      <c r="B637" t="str">
        <f>IF($C637="","","C"&amp;TEXT(INT((ROW()-5)/9)+1,"000")&amp;"-1")</f>
        <v>C071-1</v>
      </c>
      <c r="C637" t="str">
        <f>IF(OR(Registro_Compras!$C$74="",Registro_Compras!$O$74=""),"",IF(Registro_Compras!$F$74="NOTA DE CREDITO",IF(Registro_Compras!$K$74=0,"","40111"),"4212"))</f>
        <v>4212</v>
      </c>
      <c r="D637" t="str">
        <f>IF(OR(Registro_Compras!$C$74="",Registro_Compras!$O$74=""),"",IF(Registro_Compras!$F$74="NOTA DE CREDITO","IGV - Cuenta Propia (Credito Fiscal)","Cuentas por Pagar Comerciales - Terceros (Emitidas)"))</f>
        <v>Cuentas por Pagar Comerciales - Terceros (Emitidas)</v>
      </c>
      <c r="E637" s="20" t="str">
        <f>""</f>
        <v/>
      </c>
      <c r="F637" s="20">
        <f>IF($C637="","",IF(Registro_Compras!$F$74="NOTA DE CREDITO",ROUND(ABS(Registro_Compras!$K$74*Registro_Compras!$N$74),2),IF(Registro_Compras!$F$74="RHE",(ROUND(Registro_Compras!$L$74*Registro_Compras!$N$74,2)-ROUND(Registro_Compras!$V$74*Registro_Compras!$N$74,2)),Registro_Compras!$O$74)))</f>
        <v>306.18</v>
      </c>
      <c r="G637" t="str">
        <f>IF($C637="","",IF(Registro_Compras!$F$74="NOTA DE CREDITO","Por la nota de credito "&amp;Registro_Compras!$C$74&amp;" de "&amp;Registro_Compras!$E$74&amp;" [PATRON POR CONFIRMAR CON CONTADOR]",IF(Registro_Compras!$F$74="RHE","Por el registro del recibo por honorarios "&amp;Registro_Compras!$C$74&amp;" de "&amp;Registro_Compras!$E$74&amp;" [PATRON POR CONFIRMAR CON CONTADOR]","Por el registro de la factura "&amp;Registro_Compras!$C$74&amp;" de "&amp;Registro_Compras!$E$74)))</f>
        <v>Por el registro del recibo por honorarios E001- 556 de HANCO ASTETE ANDY [PATRON POR CONFIRMAR CON CONTADOR]</v>
      </c>
      <c r="H637" t="str">
        <f>IF($C637="","",Registro_Compras!$C$74)</f>
        <v>E001- 556</v>
      </c>
    </row>
    <row r="638" spans="1:8" x14ac:dyDescent="0.25">
      <c r="A638" s="25">
        <f>IF($C638="","",Registro_Compras!$B$74)</f>
        <v>46238</v>
      </c>
      <c r="B638" t="str">
        <f>IF($C638="","","C"&amp;TEXT(INT((ROW()-5)/9)+1,"000")&amp;"-2")</f>
        <v>C071-2</v>
      </c>
      <c r="C638" t="str">
        <f>IF(OR(Registro_Compras!$C$74="",Registro_Compras!$O$74=""),"",IF(Registro_Compras!$AB$74="ADMINISTRATIVO","94","95"))</f>
        <v>95</v>
      </c>
      <c r="D638" t="str">
        <f>IF(OR(Registro_Compras!$C$74="",Registro_Compras!$O$74=""),"",IF(Registro_Compras!$AB$74="ADMINISTRATIVO","Gastos Administrativos","Gastos de Venta y Operacion"))</f>
        <v>Gastos de Venta y Operacion</v>
      </c>
      <c r="E638" s="20">
        <f>IF($C638="","",IF(Registro_Compras!$F$74="NOTA DE CREDITO","",IF(Registro_Compras!$F$74="RHE",ROUND(Registro_Compras!$L$74*Registro_Compras!$N$74,2),ROUND(Registro_Compras!$J$74*Registro_Compras!$N$74,2))))</f>
        <v>306.18</v>
      </c>
      <c r="F638" s="20" t="str">
        <f>IF($C638="","",IF(Registro_Compras!$F$74="NOTA DE CREDITO",ROUND(ABS(Registro_Compras!$J$74*Registro_Compras!$N$74),2),""))</f>
        <v/>
      </c>
      <c r="G638" t="str">
        <f>IF($C638="","","Por el destino del gasto")</f>
        <v>Por el destino del gasto</v>
      </c>
      <c r="H638" t="str">
        <f>IF($C638="","",Registro_Compras!$C$74)</f>
        <v>E001- 556</v>
      </c>
    </row>
    <row r="639" spans="1:8" x14ac:dyDescent="0.25">
      <c r="A639" s="25">
        <f>IF($C639="","",Registro_Compras!$B$74)</f>
        <v>46238</v>
      </c>
      <c r="B639" t="str">
        <f>IF($C639="","","C"&amp;TEXT(INT((ROW()-5)/9)+1,"000")&amp;"-2")</f>
        <v>C071-2</v>
      </c>
      <c r="C639" t="str">
        <f>IF(OR(Registro_Compras!$C$74="",Registro_Compras!$O$74=""),"","79/791")</f>
        <v>79/791</v>
      </c>
      <c r="D639" t="str">
        <f>IF(OR(Registro_Compras!$C$74="",Registro_Compras!$O$74=""),"","Cargas Imputables a Cuentas de Costos y Gastos")</f>
        <v>Cargas Imputables a Cuentas de Costos y Gastos</v>
      </c>
      <c r="E639" s="20" t="str">
        <f>IF($C639="","",IF(Registro_Compras!$F$74="NOTA DE CREDITO",ROUND(ABS(Registro_Compras!$J$74*Registro_Compras!$N$74),2),""))</f>
        <v/>
      </c>
      <c r="F639" s="20">
        <f>IF($C639="","",IF(Registro_Compras!$F$74="NOTA DE CREDITO","",IF(Registro_Compras!$F$74="RHE",ROUND(Registro_Compras!$L$74*Registro_Compras!$N$74,2),ROUND(Registro_Compras!$J$74*Registro_Compras!$N$74,2))))</f>
        <v>306.18</v>
      </c>
      <c r="G639" t="str">
        <f>IF($C639="","","Por el destino del gasto")</f>
        <v>Por el destino del gasto</v>
      </c>
      <c r="H639" t="str">
        <f>IF($C639="","",Registro_Compras!$C$74)</f>
        <v>E001- 556</v>
      </c>
    </row>
    <row r="640" spans="1:8" x14ac:dyDescent="0.25">
      <c r="A640" s="25" t="str">
        <f>IF($C640="","",Registro_Compras!$X$74)</f>
        <v/>
      </c>
      <c r="B640" t="str">
        <f>IF($C640="","","C"&amp;TEXT(INT((ROW()-5)/9)+1,"000")&amp;"-3")</f>
        <v/>
      </c>
      <c r="C640" t="str">
        <f>IF(OR(Registro_Compras!$C$74="",Registro_Compras!$O$74="",Registro_Compras!$R$74&lt;&gt;"SI",Registro_Compras!$X$74=""),"","4212")</f>
        <v/>
      </c>
      <c r="D640" t="str">
        <f>IF(OR(Registro_Compras!$C$74="",Registro_Compras!$O$74=""),"","Cuentas por Pagar Comerciales - Terceros")</f>
        <v>Cuentas por Pagar Comerciales - Terceros</v>
      </c>
      <c r="E640" s="20" t="str">
        <f>IF($C640="","",Registro_Compras!$S$74)</f>
        <v/>
      </c>
      <c r="F640" s="20" t="str">
        <f>""</f>
        <v/>
      </c>
      <c r="G640" t="str">
        <f>IF($C640="","","Por el deposito de la detraccion en el Banco de la Nacion")</f>
        <v/>
      </c>
      <c r="H640" t="str">
        <f>IF($C640="","",Registro_Compras!$C$74)</f>
        <v/>
      </c>
    </row>
    <row r="641" spans="1:8" x14ac:dyDescent="0.25">
      <c r="A641" s="25" t="str">
        <f>IF($C641="","",Registro_Compras!$X$74)</f>
        <v/>
      </c>
      <c r="B641" t="str">
        <f>IF($C641="","","C"&amp;TEXT(INT((ROW()-5)/9)+1,"000")&amp;"-3")</f>
        <v/>
      </c>
      <c r="C641" t="str">
        <f>IF(OR(Registro_Compras!$C$74="",Registro_Compras!$O$74="",Registro_Compras!$R$74&lt;&gt;"SI",Registro_Compras!$X$74=""),"","1041")</f>
        <v/>
      </c>
      <c r="D641" t="str">
        <f>IF(OR(Registro_Compras!$C$74="",Registro_Compras!$O$74=""),"","Efectivo y Equivalentes - Cta. Cte. Operativa")</f>
        <v>Efectivo y Equivalentes - Cta. Cte. Operativa</v>
      </c>
      <c r="E641" s="20" t="str">
        <f>""</f>
        <v/>
      </c>
      <c r="F641" s="20" t="str">
        <f>IF($C641="","",Registro_Compras!$S$74)</f>
        <v/>
      </c>
      <c r="G641" t="str">
        <f>IF($C641="","","Por el deposito de la detraccion en el Banco de la Nacion")</f>
        <v/>
      </c>
      <c r="H641" t="str">
        <f>IF($C641="","",Registro_Compras!$C$74)</f>
        <v/>
      </c>
    </row>
    <row r="642" spans="1:8" x14ac:dyDescent="0.25">
      <c r="A642" s="25" t="str">
        <f>IF($C642="","",Registro_Compras!$Y$74)</f>
        <v/>
      </c>
      <c r="B642" t="str">
        <f>IF($C642="","","C"&amp;TEXT(INT((ROW()-5)/9)+1,"000")&amp;"-4")</f>
        <v/>
      </c>
      <c r="C642" t="str">
        <f>IF(OR(Registro_Compras!$C$74="",Registro_Compras!$O$74="",Registro_Compras!$Y$74="",Registro_Compras!$F$74="NOTA DE CREDITO"),"","4212")</f>
        <v/>
      </c>
      <c r="D642" t="str">
        <f>IF(OR(Registro_Compras!$C$74="",Registro_Compras!$O$74=""),"","Cuentas por Pagar Comerciales - Terceros")</f>
        <v>Cuentas por Pagar Comerciales - Terceros</v>
      </c>
      <c r="E642" s="20" t="str">
        <f>IF($C642="","",IF(Registro_Compras!$F$74="RHE",(ROUND(Registro_Compras!$L$74*Registro_Compras!$N$74,2)-ROUND(Registro_Compras!$V$74*Registro_Compras!$N$74,2)),ROUND(Registro_Compras!$O$74-Registro_Compras!$S$74,2)))</f>
        <v/>
      </c>
      <c r="F642" s="20" t="str">
        <f>""</f>
        <v/>
      </c>
      <c r="G642" t="str">
        <f>IF($C642="","","Por la cancelacion del saldo al proveedor")</f>
        <v/>
      </c>
      <c r="H642" t="str">
        <f>IF($C642="","",Registro_Compras!$C$74)</f>
        <v/>
      </c>
    </row>
    <row r="643" spans="1:8" x14ac:dyDescent="0.25">
      <c r="A643" s="25" t="str">
        <f>IF($C643="","",Registro_Compras!$Y$74)</f>
        <v/>
      </c>
      <c r="B643" t="str">
        <f>IF($C643="","","C"&amp;TEXT(INT((ROW()-5)/9)+1,"000")&amp;"-4")</f>
        <v/>
      </c>
      <c r="C643" t="str">
        <f>IF(OR(Registro_Compras!$C$74="",Registro_Compras!$O$74="",Registro_Compras!$Y$74="",Registro_Compras!$F$74="NOTA DE CREDITO"),"","1041")</f>
        <v/>
      </c>
      <c r="D643" t="str">
        <f>IF(OR(Registro_Compras!$C$74="",Registro_Compras!$O$74=""),"","Efectivo y Equivalentes - Cta. Cte. Operativa")</f>
        <v>Efectivo y Equivalentes - Cta. Cte. Operativa</v>
      </c>
      <c r="E643" s="20" t="str">
        <f>""</f>
        <v/>
      </c>
      <c r="F643" s="20" t="str">
        <f>IF($C643="","",IF(Registro_Compras!$F$74="RHE",(ROUND(Registro_Compras!$L$74*Registro_Compras!$N$74,2)-ROUND(Registro_Compras!$V$74*Registro_Compras!$N$74,2)),ROUND(Registro_Compras!$O$74-Registro_Compras!$S$74,2)))</f>
        <v/>
      </c>
      <c r="G643" t="str">
        <f>IF($C643="","","Por la cancelacion del saldo al proveedor")</f>
        <v/>
      </c>
      <c r="H643" t="str">
        <f>IF($C643="","",Registro_Compras!$C$74)</f>
        <v/>
      </c>
    </row>
    <row r="644" spans="1:8" x14ac:dyDescent="0.25">
      <c r="A644" s="25">
        <f>IF($C644="","",Registro_Compras!$B$75)</f>
        <v>46252</v>
      </c>
      <c r="B644" t="str">
        <f>IF($C644="","","C"&amp;TEXT(INT((ROW()-5)/9)+1,"000")&amp;"-1")</f>
        <v>C072-1</v>
      </c>
      <c r="C644" t="str">
        <f>IF(OR(Registro_Compras!$C$75="",Registro_Compras!$O$75=""),"",IF(Registro_Compras!$F$75="NOTA DE CREDITO","4212",IF(Registro_Compras!$M$75="","63",Registro_Compras!$M$75)))</f>
        <v>639</v>
      </c>
      <c r="D644" t="str">
        <f>IF(OR(Registro_Compras!$C$75="",Registro_Compras!$O$75=""),"",IF(Registro_Compras!$F$75="NOTA DE CREDITO","Cuentas por Pagar Comerciales - Terceros (Emitidas)",IF(Registro_Compras!$F$75="RHE","Honorarios Profesionales - Servicios de Terceros","Gastos de Servicios Prestados por Terceros")))</f>
        <v>Gastos de Servicios Prestados por Terceros</v>
      </c>
      <c r="E644" s="20">
        <f>IF($C644="","",IF(Registro_Compras!$F$75="NOTA DE CREDITO",ABS(Registro_Compras!$O$75),IF(Registro_Compras!$F$75="RHE",ROUND(Registro_Compras!$L$75*Registro_Compras!$N$75,2),ROUND(Registro_Compras!$J$75*Registro_Compras!$N$75,2))))</f>
        <v>416.67</v>
      </c>
      <c r="F644" s="20" t="str">
        <f>""</f>
        <v/>
      </c>
      <c r="G644" t="str">
        <f>IF($C644="","",IF(Registro_Compras!$F$75="NOTA DE CREDITO","Por la nota de credito "&amp;Registro_Compras!$C$75&amp;" de "&amp;Registro_Compras!$E$75&amp;" [PATRON POR CONFIRMAR CON CONTADOR]",IF(Registro_Compras!$F$75="RHE","Por el registro del recibo por honorarios "&amp;Registro_Compras!$C$75&amp;" de "&amp;Registro_Compras!$E$75&amp;" [PATRON POR CONFIRMAR CON CONTADOR]","Por el registro de la factura "&amp;Registro_Compras!$C$75&amp;" de "&amp;Registro_Compras!$E$75)))</f>
        <v>Por el registro de la factura F007-00024484 de HOTELERIA PERUANA S.A.C. (Tierra Viva Hotels)</v>
      </c>
      <c r="H644" t="str">
        <f>IF($C644="","",Registro_Compras!$C$75)</f>
        <v>F007-00024484</v>
      </c>
    </row>
    <row r="645" spans="1:8" x14ac:dyDescent="0.25">
      <c r="A645" s="25" t="str">
        <f>IF($C645="","",Registro_Compras!$B$75)</f>
        <v/>
      </c>
      <c r="B645" t="str">
        <f>IF($C645="","","C"&amp;TEXT(INT((ROW()-5)/9)+1,"000")&amp;"-1")</f>
        <v/>
      </c>
      <c r="C645" t="str">
        <f>IF(OR(Registro_Compras!$C$75="",Registro_Compras!$O$75=""),"",IF(Registro_Compras!$F$75="RHE",IF(Registro_Compras!$V$75=0,"","4017"),IF(Registro_Compras!$F$75="NOTA DE CREDITO",IF(Registro_Compras!$M$75="","63",Registro_Compras!$M$75),IF(Registro_Compras!$K$75=0,"","40111"))))</f>
        <v/>
      </c>
      <c r="D645" t="str">
        <f>IF(OR(Registro_Compras!$C$75="",Registro_Compras!$O$75=""),"",IF(Registro_Compras!$F$75="RHE","Retencion Renta 4ta Categoria por Pagar",IF(Registro_Compras!$F$75="NOTA DE CREDITO","Gastos de Servicios Prestados por Terceros","IGV - Cuenta Propia (Credito Fiscal)")))</f>
        <v>IGV - Cuenta Propia (Credito Fiscal)</v>
      </c>
      <c r="E645" s="20" t="str">
        <f>IF($C645="","",IF(Registro_Compras!$F$75="FACTURA",ROUND(Registro_Compras!$K$75*Registro_Compras!$N$75,2),""))</f>
        <v/>
      </c>
      <c r="F645" s="20" t="str">
        <f>IF($C645="","",IF(Registro_Compras!$F$75="RHE",ROUND(Registro_Compras!$V$75*Registro_Compras!$N$75,2),IF(Registro_Compras!$F$75="NOTA DE CREDITO",ROUND(ABS(Registro_Compras!$J$75*Registro_Compras!$N$75),2),"")))</f>
        <v/>
      </c>
      <c r="G645" t="str">
        <f>IF($C645="","",IF(Registro_Compras!$F$75="NOTA DE CREDITO","Por la nota de credito "&amp;Registro_Compras!$C$75&amp;" de "&amp;Registro_Compras!$E$75&amp;" [PATRON POR CONFIRMAR CON CONTADOR]",IF(Registro_Compras!$F$75="RHE","Por el registro del recibo por honorarios "&amp;Registro_Compras!$C$75&amp;" de "&amp;Registro_Compras!$E$75&amp;" [PATRON POR CONFIRMAR CON CONTADOR]","Por el registro de la factura "&amp;Registro_Compras!$C$75&amp;" de "&amp;Registro_Compras!$E$75)))</f>
        <v/>
      </c>
      <c r="H645" t="str">
        <f>IF($C645="","",Registro_Compras!$C$75)</f>
        <v/>
      </c>
    </row>
    <row r="646" spans="1:8" x14ac:dyDescent="0.25">
      <c r="A646" s="25">
        <f>IF($C646="","",Registro_Compras!$B$75)</f>
        <v>46252</v>
      </c>
      <c r="B646" t="str">
        <f>IF($C646="","","C"&amp;TEXT(INT((ROW()-5)/9)+1,"000")&amp;"-1")</f>
        <v>C072-1</v>
      </c>
      <c r="C646" t="str">
        <f>IF(OR(Registro_Compras!$C$75="",Registro_Compras!$O$75=""),"",IF(Registro_Compras!$F$75="NOTA DE CREDITO",IF(Registro_Compras!$K$75=0,"","40111"),"4212"))</f>
        <v>4212</v>
      </c>
      <c r="D646" t="str">
        <f>IF(OR(Registro_Compras!$C$75="",Registro_Compras!$O$75=""),"",IF(Registro_Compras!$F$75="NOTA DE CREDITO","IGV - Cuenta Propia (Credito Fiscal)","Cuentas por Pagar Comerciales - Terceros (Emitidas)"))</f>
        <v>Cuentas por Pagar Comerciales - Terceros (Emitidas)</v>
      </c>
      <c r="E646" s="20" t="str">
        <f>""</f>
        <v/>
      </c>
      <c r="F646" s="20">
        <f>IF($C646="","",IF(Registro_Compras!$F$75="NOTA DE CREDITO",ROUND(ABS(Registro_Compras!$K$75*Registro_Compras!$N$75),2),IF(Registro_Compras!$F$75="RHE",(ROUND(Registro_Compras!$L$75*Registro_Compras!$N$75,2)-ROUND(Registro_Compras!$V$75*Registro_Compras!$N$75,2)),Registro_Compras!$O$75)))</f>
        <v>416.67</v>
      </c>
      <c r="G646" t="str">
        <f>IF($C646="","",IF(Registro_Compras!$F$75="NOTA DE CREDITO","Por la nota de credito "&amp;Registro_Compras!$C$75&amp;" de "&amp;Registro_Compras!$E$75&amp;" [PATRON POR CONFIRMAR CON CONTADOR]",IF(Registro_Compras!$F$75="RHE","Por el registro del recibo por honorarios "&amp;Registro_Compras!$C$75&amp;" de "&amp;Registro_Compras!$E$75&amp;" [PATRON POR CONFIRMAR CON CONTADOR]","Por el registro de la factura "&amp;Registro_Compras!$C$75&amp;" de "&amp;Registro_Compras!$E$75)))</f>
        <v>Por el registro de la factura F007-00024484 de HOTELERIA PERUANA S.A.C. (Tierra Viva Hotels)</v>
      </c>
      <c r="H646" t="str">
        <f>IF($C646="","",Registro_Compras!$C$75)</f>
        <v>F007-00024484</v>
      </c>
    </row>
    <row r="647" spans="1:8" x14ac:dyDescent="0.25">
      <c r="A647" s="25">
        <f>IF($C647="","",Registro_Compras!$B$75)</f>
        <v>46252</v>
      </c>
      <c r="B647" t="str">
        <f>IF($C647="","","C"&amp;TEXT(INT((ROW()-5)/9)+1,"000")&amp;"-2")</f>
        <v>C072-2</v>
      </c>
      <c r="C647" t="str">
        <f>IF(OR(Registro_Compras!$C$75="",Registro_Compras!$O$75=""),"",IF(Registro_Compras!$AB$75="ADMINISTRATIVO","94","95"))</f>
        <v>95</v>
      </c>
      <c r="D647" t="str">
        <f>IF(OR(Registro_Compras!$C$75="",Registro_Compras!$O$75=""),"",IF(Registro_Compras!$AB$75="ADMINISTRATIVO","Gastos Administrativos","Gastos de Venta y Operacion"))</f>
        <v>Gastos de Venta y Operacion</v>
      </c>
      <c r="E647" s="20">
        <f>IF($C647="","",IF(Registro_Compras!$F$75="NOTA DE CREDITO","",IF(Registro_Compras!$F$75="RHE",ROUND(Registro_Compras!$L$75*Registro_Compras!$N$75,2),ROUND(Registro_Compras!$J$75*Registro_Compras!$N$75,2))))</f>
        <v>416.67</v>
      </c>
      <c r="F647" s="20" t="str">
        <f>IF($C647="","",IF(Registro_Compras!$F$75="NOTA DE CREDITO",ROUND(ABS(Registro_Compras!$J$75*Registro_Compras!$N$75),2),""))</f>
        <v/>
      </c>
      <c r="G647" t="str">
        <f>IF($C647="","","Por el destino del gasto")</f>
        <v>Por el destino del gasto</v>
      </c>
      <c r="H647" t="str">
        <f>IF($C647="","",Registro_Compras!$C$75)</f>
        <v>F007-00024484</v>
      </c>
    </row>
    <row r="648" spans="1:8" x14ac:dyDescent="0.25">
      <c r="A648" s="25">
        <f>IF($C648="","",Registro_Compras!$B$75)</f>
        <v>46252</v>
      </c>
      <c r="B648" t="str">
        <f>IF($C648="","","C"&amp;TEXT(INT((ROW()-5)/9)+1,"000")&amp;"-2")</f>
        <v>C072-2</v>
      </c>
      <c r="C648" t="str">
        <f>IF(OR(Registro_Compras!$C$75="",Registro_Compras!$O$75=""),"","79/791")</f>
        <v>79/791</v>
      </c>
      <c r="D648" t="str">
        <f>IF(OR(Registro_Compras!$C$75="",Registro_Compras!$O$75=""),"","Cargas Imputables a Cuentas de Costos y Gastos")</f>
        <v>Cargas Imputables a Cuentas de Costos y Gastos</v>
      </c>
      <c r="E648" s="20" t="str">
        <f>IF($C648="","",IF(Registro_Compras!$F$75="NOTA DE CREDITO",ROUND(ABS(Registro_Compras!$J$75*Registro_Compras!$N$75),2),""))</f>
        <v/>
      </c>
      <c r="F648" s="20">
        <f>IF($C648="","",IF(Registro_Compras!$F$75="NOTA DE CREDITO","",IF(Registro_Compras!$F$75="RHE",ROUND(Registro_Compras!$L$75*Registro_Compras!$N$75,2),ROUND(Registro_Compras!$J$75*Registro_Compras!$N$75,2))))</f>
        <v>416.67</v>
      </c>
      <c r="G648" t="str">
        <f>IF($C648="","","Por el destino del gasto")</f>
        <v>Por el destino del gasto</v>
      </c>
      <c r="H648" t="str">
        <f>IF($C648="","",Registro_Compras!$C$75)</f>
        <v>F007-00024484</v>
      </c>
    </row>
    <row r="649" spans="1:8" x14ac:dyDescent="0.25">
      <c r="A649" s="25" t="str">
        <f>IF($C649="","",Registro_Compras!$X$75)</f>
        <v/>
      </c>
      <c r="B649" t="str">
        <f>IF($C649="","","C"&amp;TEXT(INT((ROW()-5)/9)+1,"000")&amp;"-3")</f>
        <v/>
      </c>
      <c r="C649" t="str">
        <f>IF(OR(Registro_Compras!$C$75="",Registro_Compras!$O$75="",Registro_Compras!$R$75&lt;&gt;"SI",Registro_Compras!$X$75=""),"","4212")</f>
        <v/>
      </c>
      <c r="D649" t="str">
        <f>IF(OR(Registro_Compras!$C$75="",Registro_Compras!$O$75=""),"","Cuentas por Pagar Comerciales - Terceros")</f>
        <v>Cuentas por Pagar Comerciales - Terceros</v>
      </c>
      <c r="E649" s="20" t="str">
        <f>IF($C649="","",Registro_Compras!$S$75)</f>
        <v/>
      </c>
      <c r="F649" s="20" t="str">
        <f>""</f>
        <v/>
      </c>
      <c r="G649" t="str">
        <f>IF($C649="","","Por el deposito de la detraccion en el Banco de la Nacion")</f>
        <v/>
      </c>
      <c r="H649" t="str">
        <f>IF($C649="","",Registro_Compras!$C$75)</f>
        <v/>
      </c>
    </row>
    <row r="650" spans="1:8" x14ac:dyDescent="0.25">
      <c r="A650" s="25" t="str">
        <f>IF($C650="","",Registro_Compras!$X$75)</f>
        <v/>
      </c>
      <c r="B650" t="str">
        <f>IF($C650="","","C"&amp;TEXT(INT((ROW()-5)/9)+1,"000")&amp;"-3")</f>
        <v/>
      </c>
      <c r="C650" t="str">
        <f>IF(OR(Registro_Compras!$C$75="",Registro_Compras!$O$75="",Registro_Compras!$R$75&lt;&gt;"SI",Registro_Compras!$X$75=""),"","1041")</f>
        <v/>
      </c>
      <c r="D650" t="str">
        <f>IF(OR(Registro_Compras!$C$75="",Registro_Compras!$O$75=""),"","Efectivo y Equivalentes - Cta. Cte. Operativa")</f>
        <v>Efectivo y Equivalentes - Cta. Cte. Operativa</v>
      </c>
      <c r="E650" s="20" t="str">
        <f>""</f>
        <v/>
      </c>
      <c r="F650" s="20" t="str">
        <f>IF($C650="","",Registro_Compras!$S$75)</f>
        <v/>
      </c>
      <c r="G650" t="str">
        <f>IF($C650="","","Por el deposito de la detraccion en el Banco de la Nacion")</f>
        <v/>
      </c>
      <c r="H650" t="str">
        <f>IF($C650="","",Registro_Compras!$C$75)</f>
        <v/>
      </c>
    </row>
    <row r="651" spans="1:8" x14ac:dyDescent="0.25">
      <c r="A651" s="25" t="str">
        <f>IF($C651="","",Registro_Compras!$Y$75)</f>
        <v/>
      </c>
      <c r="B651" t="str">
        <f>IF($C651="","","C"&amp;TEXT(INT((ROW()-5)/9)+1,"000")&amp;"-4")</f>
        <v/>
      </c>
      <c r="C651" t="str">
        <f>IF(OR(Registro_Compras!$C$75="",Registro_Compras!$O$75="",Registro_Compras!$Y$75="",Registro_Compras!$F$75="NOTA DE CREDITO"),"","4212")</f>
        <v/>
      </c>
      <c r="D651" t="str">
        <f>IF(OR(Registro_Compras!$C$75="",Registro_Compras!$O$75=""),"","Cuentas por Pagar Comerciales - Terceros")</f>
        <v>Cuentas por Pagar Comerciales - Terceros</v>
      </c>
      <c r="E651" s="20" t="str">
        <f>IF($C651="","",IF(Registro_Compras!$F$75="RHE",(ROUND(Registro_Compras!$L$75*Registro_Compras!$N$75,2)-ROUND(Registro_Compras!$V$75*Registro_Compras!$N$75,2)),ROUND(Registro_Compras!$O$75-Registro_Compras!$S$75,2)))</f>
        <v/>
      </c>
      <c r="F651" s="20" t="str">
        <f>""</f>
        <v/>
      </c>
      <c r="G651" t="str">
        <f>IF($C651="","","Por la cancelacion del saldo al proveedor")</f>
        <v/>
      </c>
      <c r="H651" t="str">
        <f>IF($C651="","",Registro_Compras!$C$75)</f>
        <v/>
      </c>
    </row>
    <row r="652" spans="1:8" x14ac:dyDescent="0.25">
      <c r="A652" s="25" t="str">
        <f>IF($C652="","",Registro_Compras!$Y$75)</f>
        <v/>
      </c>
      <c r="B652" t="str">
        <f>IF($C652="","","C"&amp;TEXT(INT((ROW()-5)/9)+1,"000")&amp;"-4")</f>
        <v/>
      </c>
      <c r="C652" t="str">
        <f>IF(OR(Registro_Compras!$C$75="",Registro_Compras!$O$75="",Registro_Compras!$Y$75="",Registro_Compras!$F$75="NOTA DE CREDITO"),"","1041")</f>
        <v/>
      </c>
      <c r="D652" t="str">
        <f>IF(OR(Registro_Compras!$C$75="",Registro_Compras!$O$75=""),"","Efectivo y Equivalentes - Cta. Cte. Operativa")</f>
        <v>Efectivo y Equivalentes - Cta. Cte. Operativa</v>
      </c>
      <c r="E652" s="20" t="str">
        <f>""</f>
        <v/>
      </c>
      <c r="F652" s="20" t="str">
        <f>IF($C652="","",IF(Registro_Compras!$F$75="RHE",(ROUND(Registro_Compras!$L$75*Registro_Compras!$N$75,2)-ROUND(Registro_Compras!$V$75*Registro_Compras!$N$75,2)),ROUND(Registro_Compras!$O$75-Registro_Compras!$S$75,2)))</f>
        <v/>
      </c>
      <c r="G652" t="str">
        <f>IF($C652="","","Por la cancelacion del saldo al proveedor")</f>
        <v/>
      </c>
      <c r="H652" t="str">
        <f>IF($C652="","",Registro_Compras!$C$75)</f>
        <v/>
      </c>
    </row>
    <row r="653" spans="1:8" x14ac:dyDescent="0.25">
      <c r="A653" s="25">
        <f>IF($C653="","",Registro_Compras!$B$76)</f>
        <v>46253</v>
      </c>
      <c r="B653" t="str">
        <f>IF($C653="","","C"&amp;TEXT(INT((ROW()-5)/9)+1,"000")&amp;"-1")</f>
        <v>C073-1</v>
      </c>
      <c r="C653" t="str">
        <f>IF(OR(Registro_Compras!$C$76="",Registro_Compras!$O$76=""),"",IF(Registro_Compras!$F$76="NOTA DE CREDITO","4212",IF(Registro_Compras!$M$76="","63",Registro_Compras!$M$76)))</f>
        <v>639</v>
      </c>
      <c r="D653" t="str">
        <f>IF(OR(Registro_Compras!$C$76="",Registro_Compras!$O$76=""),"",IF(Registro_Compras!$F$76="NOTA DE CREDITO","Cuentas por Pagar Comerciales - Terceros (Emitidas)",IF(Registro_Compras!$F$76="RHE","Honorarios Profesionales - Servicios de Terceros","Gastos de Servicios Prestados por Terceros")))</f>
        <v>Gastos de Servicios Prestados por Terceros</v>
      </c>
      <c r="E653" s="20">
        <f>IF($C653="","",IF(Registro_Compras!$F$76="NOTA DE CREDITO",ABS(Registro_Compras!$O$76),IF(Registro_Compras!$F$76="RHE",ROUND(Registro_Compras!$L$76*Registro_Compras!$N$76,2),ROUND(Registro_Compras!$J$76*Registro_Compras!$N$76,2))))</f>
        <v>535.53</v>
      </c>
      <c r="F653" s="20" t="str">
        <f>""</f>
        <v/>
      </c>
      <c r="G653" t="str">
        <f>IF($C653="","",IF(Registro_Compras!$F$76="NOTA DE CREDITO","Por la nota de credito "&amp;Registro_Compras!$C$76&amp;" de "&amp;Registro_Compras!$E$76&amp;" [PATRON POR CONFIRMAR CON CONTADOR]",IF(Registro_Compras!$F$76="RHE","Por el registro del recibo por honorarios "&amp;Registro_Compras!$C$76&amp;" de "&amp;Registro_Compras!$E$76&amp;" [PATRON POR CONFIRMAR CON CONTADOR]","Por el registro de la factura "&amp;Registro_Compras!$C$76&amp;" de "&amp;Registro_Compras!$E$76)))</f>
        <v>Por el registro de la factura F006-00003227 de HOTELES LA HACIENDA S.A.C. (Bahia Paracas)</v>
      </c>
      <c r="H653" t="str">
        <f>IF($C653="","",Registro_Compras!$C$76)</f>
        <v>F006-00003227</v>
      </c>
    </row>
    <row r="654" spans="1:8" x14ac:dyDescent="0.25">
      <c r="A654" s="25" t="str">
        <f>IF($C654="","",Registro_Compras!$B$76)</f>
        <v/>
      </c>
      <c r="B654" t="str">
        <f>IF($C654="","","C"&amp;TEXT(INT((ROW()-5)/9)+1,"000")&amp;"-1")</f>
        <v/>
      </c>
      <c r="C654" t="str">
        <f>IF(OR(Registro_Compras!$C$76="",Registro_Compras!$O$76=""),"",IF(Registro_Compras!$F$76="RHE",IF(Registro_Compras!$V$76=0,"","4017"),IF(Registro_Compras!$F$76="NOTA DE CREDITO",IF(Registro_Compras!$M$76="","63",Registro_Compras!$M$76),IF(Registro_Compras!$K$76=0,"","40111"))))</f>
        <v/>
      </c>
      <c r="D654" t="str">
        <f>IF(OR(Registro_Compras!$C$76="",Registro_Compras!$O$76=""),"",IF(Registro_Compras!$F$76="RHE","Retencion Renta 4ta Categoria por Pagar",IF(Registro_Compras!$F$76="NOTA DE CREDITO","Gastos de Servicios Prestados por Terceros","IGV - Cuenta Propia (Credito Fiscal)")))</f>
        <v>IGV - Cuenta Propia (Credito Fiscal)</v>
      </c>
      <c r="E654" s="20" t="str">
        <f>IF($C654="","",IF(Registro_Compras!$F$76="FACTURA",ROUND(Registro_Compras!$K$76*Registro_Compras!$N$76,2),""))</f>
        <v/>
      </c>
      <c r="F654" s="20" t="str">
        <f>IF($C654="","",IF(Registro_Compras!$F$76="RHE",ROUND(Registro_Compras!$V$76*Registro_Compras!$N$76,2),IF(Registro_Compras!$F$76="NOTA DE CREDITO",ROUND(ABS(Registro_Compras!$J$76*Registro_Compras!$N$76),2),"")))</f>
        <v/>
      </c>
      <c r="G654" t="str">
        <f>IF($C654="","",IF(Registro_Compras!$F$76="NOTA DE CREDITO","Por la nota de credito "&amp;Registro_Compras!$C$76&amp;" de "&amp;Registro_Compras!$E$76&amp;" [PATRON POR CONFIRMAR CON CONTADOR]",IF(Registro_Compras!$F$76="RHE","Por el registro del recibo por honorarios "&amp;Registro_Compras!$C$76&amp;" de "&amp;Registro_Compras!$E$76&amp;" [PATRON POR CONFIRMAR CON CONTADOR]","Por el registro de la factura "&amp;Registro_Compras!$C$76&amp;" de "&amp;Registro_Compras!$E$76)))</f>
        <v/>
      </c>
      <c r="H654" t="str">
        <f>IF($C654="","",Registro_Compras!$C$76)</f>
        <v/>
      </c>
    </row>
    <row r="655" spans="1:8" x14ac:dyDescent="0.25">
      <c r="A655" s="25">
        <f>IF($C655="","",Registro_Compras!$B$76)</f>
        <v>46253</v>
      </c>
      <c r="B655" t="str">
        <f>IF($C655="","","C"&amp;TEXT(INT((ROW()-5)/9)+1,"000")&amp;"-1")</f>
        <v>C073-1</v>
      </c>
      <c r="C655" t="str">
        <f>IF(OR(Registro_Compras!$C$76="",Registro_Compras!$O$76=""),"",IF(Registro_Compras!$F$76="NOTA DE CREDITO",IF(Registro_Compras!$K$76=0,"","40111"),"4212"))</f>
        <v>4212</v>
      </c>
      <c r="D655" t="str">
        <f>IF(OR(Registro_Compras!$C$76="",Registro_Compras!$O$76=""),"",IF(Registro_Compras!$F$76="NOTA DE CREDITO","IGV - Cuenta Propia (Credito Fiscal)","Cuentas por Pagar Comerciales - Terceros (Emitidas)"))</f>
        <v>Cuentas por Pagar Comerciales - Terceros (Emitidas)</v>
      </c>
      <c r="E655" s="20" t="str">
        <f>""</f>
        <v/>
      </c>
      <c r="F655" s="20">
        <f>IF($C655="","",IF(Registro_Compras!$F$76="NOTA DE CREDITO",ROUND(ABS(Registro_Compras!$K$76*Registro_Compras!$N$76),2),IF(Registro_Compras!$F$76="RHE",(ROUND(Registro_Compras!$L$76*Registro_Compras!$N$76,2)-ROUND(Registro_Compras!$V$76*Registro_Compras!$N$76,2)),Registro_Compras!$O$76)))</f>
        <v>535.53</v>
      </c>
      <c r="G655" t="str">
        <f>IF($C655="","",IF(Registro_Compras!$F$76="NOTA DE CREDITO","Por la nota de credito "&amp;Registro_Compras!$C$76&amp;" de "&amp;Registro_Compras!$E$76&amp;" [PATRON POR CONFIRMAR CON CONTADOR]",IF(Registro_Compras!$F$76="RHE","Por el registro del recibo por honorarios "&amp;Registro_Compras!$C$76&amp;" de "&amp;Registro_Compras!$E$76&amp;" [PATRON POR CONFIRMAR CON CONTADOR]","Por el registro de la factura "&amp;Registro_Compras!$C$76&amp;" de "&amp;Registro_Compras!$E$76)))</f>
        <v>Por el registro de la factura F006-00003227 de HOTELES LA HACIENDA S.A.C. (Bahia Paracas)</v>
      </c>
      <c r="H655" t="str">
        <f>IF($C655="","",Registro_Compras!$C$76)</f>
        <v>F006-00003227</v>
      </c>
    </row>
    <row r="656" spans="1:8" x14ac:dyDescent="0.25">
      <c r="A656" s="25">
        <f>IF($C656="","",Registro_Compras!$B$76)</f>
        <v>46253</v>
      </c>
      <c r="B656" t="str">
        <f>IF($C656="","","C"&amp;TEXT(INT((ROW()-5)/9)+1,"000")&amp;"-2")</f>
        <v>C073-2</v>
      </c>
      <c r="C656" t="str">
        <f>IF(OR(Registro_Compras!$C$76="",Registro_Compras!$O$76=""),"",IF(Registro_Compras!$AB$76="ADMINISTRATIVO","94","95"))</f>
        <v>95</v>
      </c>
      <c r="D656" t="str">
        <f>IF(OR(Registro_Compras!$C$76="",Registro_Compras!$O$76=""),"",IF(Registro_Compras!$AB$76="ADMINISTRATIVO","Gastos Administrativos","Gastos de Venta y Operacion"))</f>
        <v>Gastos de Venta y Operacion</v>
      </c>
      <c r="E656" s="20">
        <f>IF($C656="","",IF(Registro_Compras!$F$76="NOTA DE CREDITO","",IF(Registro_Compras!$F$76="RHE",ROUND(Registro_Compras!$L$76*Registro_Compras!$N$76,2),ROUND(Registro_Compras!$J$76*Registro_Compras!$N$76,2))))</f>
        <v>535.53</v>
      </c>
      <c r="F656" s="20" t="str">
        <f>IF($C656="","",IF(Registro_Compras!$F$76="NOTA DE CREDITO",ROUND(ABS(Registro_Compras!$J$76*Registro_Compras!$N$76),2),""))</f>
        <v/>
      </c>
      <c r="G656" t="str">
        <f>IF($C656="","","Por el destino del gasto")</f>
        <v>Por el destino del gasto</v>
      </c>
      <c r="H656" t="str">
        <f>IF($C656="","",Registro_Compras!$C$76)</f>
        <v>F006-00003227</v>
      </c>
    </row>
    <row r="657" spans="1:8" x14ac:dyDescent="0.25">
      <c r="A657" s="25">
        <f>IF($C657="","",Registro_Compras!$B$76)</f>
        <v>46253</v>
      </c>
      <c r="B657" t="str">
        <f>IF($C657="","","C"&amp;TEXT(INT((ROW()-5)/9)+1,"000")&amp;"-2")</f>
        <v>C073-2</v>
      </c>
      <c r="C657" t="str">
        <f>IF(OR(Registro_Compras!$C$76="",Registro_Compras!$O$76=""),"","79/791")</f>
        <v>79/791</v>
      </c>
      <c r="D657" t="str">
        <f>IF(OR(Registro_Compras!$C$76="",Registro_Compras!$O$76=""),"","Cargas Imputables a Cuentas de Costos y Gastos")</f>
        <v>Cargas Imputables a Cuentas de Costos y Gastos</v>
      </c>
      <c r="E657" s="20" t="str">
        <f>IF($C657="","",IF(Registro_Compras!$F$76="NOTA DE CREDITO",ROUND(ABS(Registro_Compras!$J$76*Registro_Compras!$N$76),2),""))</f>
        <v/>
      </c>
      <c r="F657" s="20">
        <f>IF($C657="","",IF(Registro_Compras!$F$76="NOTA DE CREDITO","",IF(Registro_Compras!$F$76="RHE",ROUND(Registro_Compras!$L$76*Registro_Compras!$N$76,2),ROUND(Registro_Compras!$J$76*Registro_Compras!$N$76,2))))</f>
        <v>535.53</v>
      </c>
      <c r="G657" t="str">
        <f>IF($C657="","","Por el destino del gasto")</f>
        <v>Por el destino del gasto</v>
      </c>
      <c r="H657" t="str">
        <f>IF($C657="","",Registro_Compras!$C$76)</f>
        <v>F006-00003227</v>
      </c>
    </row>
    <row r="658" spans="1:8" x14ac:dyDescent="0.25">
      <c r="A658" s="25" t="str">
        <f>IF($C658="","",Registro_Compras!$X$76)</f>
        <v/>
      </c>
      <c r="B658" t="str">
        <f>IF($C658="","","C"&amp;TEXT(INT((ROW()-5)/9)+1,"000")&amp;"-3")</f>
        <v/>
      </c>
      <c r="C658" t="str">
        <f>IF(OR(Registro_Compras!$C$76="",Registro_Compras!$O$76="",Registro_Compras!$R$76&lt;&gt;"SI",Registro_Compras!$X$76=""),"","4212")</f>
        <v/>
      </c>
      <c r="D658" t="str">
        <f>IF(OR(Registro_Compras!$C$76="",Registro_Compras!$O$76=""),"","Cuentas por Pagar Comerciales - Terceros")</f>
        <v>Cuentas por Pagar Comerciales - Terceros</v>
      </c>
      <c r="E658" s="20" t="str">
        <f>IF($C658="","",Registro_Compras!$S$76)</f>
        <v/>
      </c>
      <c r="F658" s="20" t="str">
        <f>""</f>
        <v/>
      </c>
      <c r="G658" t="str">
        <f>IF($C658="","","Por el deposito de la detraccion en el Banco de la Nacion")</f>
        <v/>
      </c>
      <c r="H658" t="str">
        <f>IF($C658="","",Registro_Compras!$C$76)</f>
        <v/>
      </c>
    </row>
    <row r="659" spans="1:8" x14ac:dyDescent="0.25">
      <c r="A659" s="25" t="str">
        <f>IF($C659="","",Registro_Compras!$X$76)</f>
        <v/>
      </c>
      <c r="B659" t="str">
        <f>IF($C659="","","C"&amp;TEXT(INT((ROW()-5)/9)+1,"000")&amp;"-3")</f>
        <v/>
      </c>
      <c r="C659" t="str">
        <f>IF(OR(Registro_Compras!$C$76="",Registro_Compras!$O$76="",Registro_Compras!$R$76&lt;&gt;"SI",Registro_Compras!$X$76=""),"","1041")</f>
        <v/>
      </c>
      <c r="D659" t="str">
        <f>IF(OR(Registro_Compras!$C$76="",Registro_Compras!$O$76=""),"","Efectivo y Equivalentes - Cta. Cte. Operativa")</f>
        <v>Efectivo y Equivalentes - Cta. Cte. Operativa</v>
      </c>
      <c r="E659" s="20" t="str">
        <f>""</f>
        <v/>
      </c>
      <c r="F659" s="20" t="str">
        <f>IF($C659="","",Registro_Compras!$S$76)</f>
        <v/>
      </c>
      <c r="G659" t="str">
        <f>IF($C659="","","Por el deposito de la detraccion en el Banco de la Nacion")</f>
        <v/>
      </c>
      <c r="H659" t="str">
        <f>IF($C659="","",Registro_Compras!$C$76)</f>
        <v/>
      </c>
    </row>
    <row r="660" spans="1:8" x14ac:dyDescent="0.25">
      <c r="A660" s="25" t="str">
        <f>IF($C660="","",Registro_Compras!$Y$76)</f>
        <v/>
      </c>
      <c r="B660" t="str">
        <f>IF($C660="","","C"&amp;TEXT(INT((ROW()-5)/9)+1,"000")&amp;"-4")</f>
        <v/>
      </c>
      <c r="C660" t="str">
        <f>IF(OR(Registro_Compras!$C$76="",Registro_Compras!$O$76="",Registro_Compras!$Y$76="",Registro_Compras!$F$76="NOTA DE CREDITO"),"","4212")</f>
        <v/>
      </c>
      <c r="D660" t="str">
        <f>IF(OR(Registro_Compras!$C$76="",Registro_Compras!$O$76=""),"","Cuentas por Pagar Comerciales - Terceros")</f>
        <v>Cuentas por Pagar Comerciales - Terceros</v>
      </c>
      <c r="E660" s="20" t="str">
        <f>IF($C660="","",IF(Registro_Compras!$F$76="RHE",(ROUND(Registro_Compras!$L$76*Registro_Compras!$N$76,2)-ROUND(Registro_Compras!$V$76*Registro_Compras!$N$76,2)),ROUND(Registro_Compras!$O$76-Registro_Compras!$S$76,2)))</f>
        <v/>
      </c>
      <c r="F660" s="20" t="str">
        <f>""</f>
        <v/>
      </c>
      <c r="G660" t="str">
        <f>IF($C660="","","Por la cancelacion del saldo al proveedor")</f>
        <v/>
      </c>
      <c r="H660" t="str">
        <f>IF($C660="","",Registro_Compras!$C$76)</f>
        <v/>
      </c>
    </row>
    <row r="661" spans="1:8" x14ac:dyDescent="0.25">
      <c r="A661" s="25" t="str">
        <f>IF($C661="","",Registro_Compras!$Y$76)</f>
        <v/>
      </c>
      <c r="B661" t="str">
        <f>IF($C661="","","C"&amp;TEXT(INT((ROW()-5)/9)+1,"000")&amp;"-4")</f>
        <v/>
      </c>
      <c r="C661" t="str">
        <f>IF(OR(Registro_Compras!$C$76="",Registro_Compras!$O$76="",Registro_Compras!$Y$76="",Registro_Compras!$F$76="NOTA DE CREDITO"),"","1041")</f>
        <v/>
      </c>
      <c r="D661" t="str">
        <f>IF(OR(Registro_Compras!$C$76="",Registro_Compras!$O$76=""),"","Efectivo y Equivalentes - Cta. Cte. Operativa")</f>
        <v>Efectivo y Equivalentes - Cta. Cte. Operativa</v>
      </c>
      <c r="E661" s="20" t="str">
        <f>""</f>
        <v/>
      </c>
      <c r="F661" s="20" t="str">
        <f>IF($C661="","",IF(Registro_Compras!$F$76="RHE",(ROUND(Registro_Compras!$L$76*Registro_Compras!$N$76,2)-ROUND(Registro_Compras!$V$76*Registro_Compras!$N$76,2)),ROUND(Registro_Compras!$O$76-Registro_Compras!$S$76,2)))</f>
        <v/>
      </c>
      <c r="G661" t="str">
        <f>IF($C661="","","Por la cancelacion del saldo al proveedor")</f>
        <v/>
      </c>
      <c r="H661" t="str">
        <f>IF($C661="","",Registro_Compras!$C$76)</f>
        <v/>
      </c>
    </row>
    <row r="662" spans="1:8" x14ac:dyDescent="0.25">
      <c r="A662" s="25">
        <f>IF($C662="","",Registro_Compras!$B$77)</f>
        <v>46250</v>
      </c>
      <c r="B662" t="str">
        <f>IF($C662="","","C"&amp;TEXT(INT((ROW()-5)/9)+1,"000")&amp;"-1")</f>
        <v>C074-1</v>
      </c>
      <c r="C662" t="str">
        <f>IF(OR(Registro_Compras!$C$77="",Registro_Compras!$O$77=""),"",IF(Registro_Compras!$F$77="NOTA DE CREDITO","4212",IF(Registro_Compras!$M$77="","63",Registro_Compras!$M$77)))</f>
        <v>639</v>
      </c>
      <c r="D662" t="str">
        <f>IF(OR(Registro_Compras!$C$77="",Registro_Compras!$O$77=""),"",IF(Registro_Compras!$F$77="NOTA DE CREDITO","Cuentas por Pagar Comerciales - Terceros (Emitidas)",IF(Registro_Compras!$F$77="RHE","Honorarios Profesionales - Servicios de Terceros","Gastos de Servicios Prestados por Terceros")))</f>
        <v>Gastos de Servicios Prestados por Terceros</v>
      </c>
      <c r="E662" s="20">
        <f>IF($C662="","",IF(Registro_Compras!$F$77="NOTA DE CREDITO",ABS(Registro_Compras!$O$77),IF(Registro_Compras!$F$77="RHE",ROUND(Registro_Compras!$L$77*Registro_Compras!$N$77,2),ROUND(Registro_Compras!$J$77*Registro_Compras!$N$77,2))))</f>
        <v>2298.42</v>
      </c>
      <c r="F662" s="20" t="str">
        <f>""</f>
        <v/>
      </c>
      <c r="G662" t="str">
        <f>IF($C662="","",IF(Registro_Compras!$F$77="NOTA DE CREDITO","Por la nota de credito "&amp;Registro_Compras!$C$77&amp;" de "&amp;Registro_Compras!$E$77&amp;" [PATRON POR CONFIRMAR CON CONTADOR]",IF(Registro_Compras!$F$77="RHE","Por el registro del recibo por honorarios "&amp;Registro_Compras!$C$77&amp;" de "&amp;Registro_Compras!$E$77&amp;" [PATRON POR CONFIRMAR CON CONTADOR]","Por el registro de la factura "&amp;Registro_Compras!$C$77&amp;" de "&amp;Registro_Compras!$E$77)))</f>
        <v>Por el registro de la factura FC01-00008808 de INVERSIONES TRES POR OCHO S.A.C. (LAS QOLQAS)</v>
      </c>
      <c r="H662" t="str">
        <f>IF($C662="","",Registro_Compras!$C$77)</f>
        <v>FC01-00008808</v>
      </c>
    </row>
    <row r="663" spans="1:8" x14ac:dyDescent="0.25">
      <c r="A663" s="25" t="str">
        <f>IF($C663="","",Registro_Compras!$B$77)</f>
        <v/>
      </c>
      <c r="B663" t="str">
        <f>IF($C663="","","C"&amp;TEXT(INT((ROW()-5)/9)+1,"000")&amp;"-1")</f>
        <v/>
      </c>
      <c r="C663" t="str">
        <f>IF(OR(Registro_Compras!$C$77="",Registro_Compras!$O$77=""),"",IF(Registro_Compras!$F$77="RHE",IF(Registro_Compras!$V$77=0,"","4017"),IF(Registro_Compras!$F$77="NOTA DE CREDITO",IF(Registro_Compras!$M$77="","63",Registro_Compras!$M$77),IF(Registro_Compras!$K$77=0,"","40111"))))</f>
        <v/>
      </c>
      <c r="D663" t="str">
        <f>IF(OR(Registro_Compras!$C$77="",Registro_Compras!$O$77=""),"",IF(Registro_Compras!$F$77="RHE","Retencion Renta 4ta Categoria por Pagar",IF(Registro_Compras!$F$77="NOTA DE CREDITO","Gastos de Servicios Prestados por Terceros","IGV - Cuenta Propia (Credito Fiscal)")))</f>
        <v>IGV - Cuenta Propia (Credito Fiscal)</v>
      </c>
      <c r="E663" s="20" t="str">
        <f>IF($C663="","",IF(Registro_Compras!$F$77="FACTURA",ROUND(Registro_Compras!$K$77*Registro_Compras!$N$77,2),""))</f>
        <v/>
      </c>
      <c r="F663" s="20" t="str">
        <f>IF($C663="","",IF(Registro_Compras!$F$77="RHE",ROUND(Registro_Compras!$V$77*Registro_Compras!$N$77,2),IF(Registro_Compras!$F$77="NOTA DE CREDITO",ROUND(ABS(Registro_Compras!$J$77*Registro_Compras!$N$77),2),"")))</f>
        <v/>
      </c>
      <c r="G663" t="str">
        <f>IF($C663="","",IF(Registro_Compras!$F$77="NOTA DE CREDITO","Por la nota de credito "&amp;Registro_Compras!$C$77&amp;" de "&amp;Registro_Compras!$E$77&amp;" [PATRON POR CONFIRMAR CON CONTADOR]",IF(Registro_Compras!$F$77="RHE","Por el registro del recibo por honorarios "&amp;Registro_Compras!$C$77&amp;" de "&amp;Registro_Compras!$E$77&amp;" [PATRON POR CONFIRMAR CON CONTADOR]","Por el registro de la factura "&amp;Registro_Compras!$C$77&amp;" de "&amp;Registro_Compras!$E$77)))</f>
        <v/>
      </c>
      <c r="H663" t="str">
        <f>IF($C663="","",Registro_Compras!$C$77)</f>
        <v/>
      </c>
    </row>
    <row r="664" spans="1:8" x14ac:dyDescent="0.25">
      <c r="A664" s="25">
        <f>IF($C664="","",Registro_Compras!$B$77)</f>
        <v>46250</v>
      </c>
      <c r="B664" t="str">
        <f>IF($C664="","","C"&amp;TEXT(INT((ROW()-5)/9)+1,"000")&amp;"-1")</f>
        <v>C074-1</v>
      </c>
      <c r="C664" t="str">
        <f>IF(OR(Registro_Compras!$C$77="",Registro_Compras!$O$77=""),"",IF(Registro_Compras!$F$77="NOTA DE CREDITO",IF(Registro_Compras!$K$77=0,"","40111"),"4212"))</f>
        <v>4212</v>
      </c>
      <c r="D664" t="str">
        <f>IF(OR(Registro_Compras!$C$77="",Registro_Compras!$O$77=""),"",IF(Registro_Compras!$F$77="NOTA DE CREDITO","IGV - Cuenta Propia (Credito Fiscal)","Cuentas por Pagar Comerciales - Terceros (Emitidas)"))</f>
        <v>Cuentas por Pagar Comerciales - Terceros (Emitidas)</v>
      </c>
      <c r="E664" s="20" t="str">
        <f>""</f>
        <v/>
      </c>
      <c r="F664" s="20">
        <f>IF($C664="","",IF(Registro_Compras!$F$77="NOTA DE CREDITO",ROUND(ABS(Registro_Compras!$K$77*Registro_Compras!$N$77),2),IF(Registro_Compras!$F$77="RHE",(ROUND(Registro_Compras!$L$77*Registro_Compras!$N$77,2)-ROUND(Registro_Compras!$V$77*Registro_Compras!$N$77,2)),Registro_Compras!$O$77)))</f>
        <v>2298.42</v>
      </c>
      <c r="G664" t="str">
        <f>IF($C664="","",IF(Registro_Compras!$F$77="NOTA DE CREDITO","Por la nota de credito "&amp;Registro_Compras!$C$77&amp;" de "&amp;Registro_Compras!$E$77&amp;" [PATRON POR CONFIRMAR CON CONTADOR]",IF(Registro_Compras!$F$77="RHE","Por el registro del recibo por honorarios "&amp;Registro_Compras!$C$77&amp;" de "&amp;Registro_Compras!$E$77&amp;" [PATRON POR CONFIRMAR CON CONTADOR]","Por el registro de la factura "&amp;Registro_Compras!$C$77&amp;" de "&amp;Registro_Compras!$E$77)))</f>
        <v>Por el registro de la factura FC01-00008808 de INVERSIONES TRES POR OCHO S.A.C. (LAS QOLQAS)</v>
      </c>
      <c r="H664" t="str">
        <f>IF($C664="","",Registro_Compras!$C$77)</f>
        <v>FC01-00008808</v>
      </c>
    </row>
    <row r="665" spans="1:8" x14ac:dyDescent="0.25">
      <c r="A665" s="25">
        <f>IF($C665="","",Registro_Compras!$B$77)</f>
        <v>46250</v>
      </c>
      <c r="B665" t="str">
        <f>IF($C665="","","C"&amp;TEXT(INT((ROW()-5)/9)+1,"000")&amp;"-2")</f>
        <v>C074-2</v>
      </c>
      <c r="C665" t="str">
        <f>IF(OR(Registro_Compras!$C$77="",Registro_Compras!$O$77=""),"",IF(Registro_Compras!$AB$77="ADMINISTRATIVO","94","95"))</f>
        <v>95</v>
      </c>
      <c r="D665" t="str">
        <f>IF(OR(Registro_Compras!$C$77="",Registro_Compras!$O$77=""),"",IF(Registro_Compras!$AB$77="ADMINISTRATIVO","Gastos Administrativos","Gastos de Venta y Operacion"))</f>
        <v>Gastos de Venta y Operacion</v>
      </c>
      <c r="E665" s="20">
        <f>IF($C665="","",IF(Registro_Compras!$F$77="NOTA DE CREDITO","",IF(Registro_Compras!$F$77="RHE",ROUND(Registro_Compras!$L$77*Registro_Compras!$N$77,2),ROUND(Registro_Compras!$J$77*Registro_Compras!$N$77,2))))</f>
        <v>2298.42</v>
      </c>
      <c r="F665" s="20" t="str">
        <f>IF($C665="","",IF(Registro_Compras!$F$77="NOTA DE CREDITO",ROUND(ABS(Registro_Compras!$J$77*Registro_Compras!$N$77),2),""))</f>
        <v/>
      </c>
      <c r="G665" t="str">
        <f>IF($C665="","","Por el destino del gasto")</f>
        <v>Por el destino del gasto</v>
      </c>
      <c r="H665" t="str">
        <f>IF($C665="","",Registro_Compras!$C$77)</f>
        <v>FC01-00008808</v>
      </c>
    </row>
    <row r="666" spans="1:8" x14ac:dyDescent="0.25">
      <c r="A666" s="25">
        <f>IF($C666="","",Registro_Compras!$B$77)</f>
        <v>46250</v>
      </c>
      <c r="B666" t="str">
        <f>IF($C666="","","C"&amp;TEXT(INT((ROW()-5)/9)+1,"000")&amp;"-2")</f>
        <v>C074-2</v>
      </c>
      <c r="C666" t="str">
        <f>IF(OR(Registro_Compras!$C$77="",Registro_Compras!$O$77=""),"","79/791")</f>
        <v>79/791</v>
      </c>
      <c r="D666" t="str">
        <f>IF(OR(Registro_Compras!$C$77="",Registro_Compras!$O$77=""),"","Cargas Imputables a Cuentas de Costos y Gastos")</f>
        <v>Cargas Imputables a Cuentas de Costos y Gastos</v>
      </c>
      <c r="E666" s="20" t="str">
        <f>IF($C666="","",IF(Registro_Compras!$F$77="NOTA DE CREDITO",ROUND(ABS(Registro_Compras!$J$77*Registro_Compras!$N$77),2),""))</f>
        <v/>
      </c>
      <c r="F666" s="20">
        <f>IF($C666="","",IF(Registro_Compras!$F$77="NOTA DE CREDITO","",IF(Registro_Compras!$F$77="RHE",ROUND(Registro_Compras!$L$77*Registro_Compras!$N$77,2),ROUND(Registro_Compras!$J$77*Registro_Compras!$N$77,2))))</f>
        <v>2298.42</v>
      </c>
      <c r="G666" t="str">
        <f>IF($C666="","","Por el destino del gasto")</f>
        <v>Por el destino del gasto</v>
      </c>
      <c r="H666" t="str">
        <f>IF($C666="","",Registro_Compras!$C$77)</f>
        <v>FC01-00008808</v>
      </c>
    </row>
    <row r="667" spans="1:8" x14ac:dyDescent="0.25">
      <c r="A667" s="25" t="str">
        <f>IF($C667="","",Registro_Compras!$X$77)</f>
        <v/>
      </c>
      <c r="B667" t="str">
        <f>IF($C667="","","C"&amp;TEXT(INT((ROW()-5)/9)+1,"000")&amp;"-3")</f>
        <v/>
      </c>
      <c r="C667" t="str">
        <f>IF(OR(Registro_Compras!$C$77="",Registro_Compras!$O$77="",Registro_Compras!$R$77&lt;&gt;"SI",Registro_Compras!$X$77=""),"","4212")</f>
        <v/>
      </c>
      <c r="D667" t="str">
        <f>IF(OR(Registro_Compras!$C$77="",Registro_Compras!$O$77=""),"","Cuentas por Pagar Comerciales - Terceros")</f>
        <v>Cuentas por Pagar Comerciales - Terceros</v>
      </c>
      <c r="E667" s="20" t="str">
        <f>IF($C667="","",Registro_Compras!$S$77)</f>
        <v/>
      </c>
      <c r="F667" s="20" t="str">
        <f>""</f>
        <v/>
      </c>
      <c r="G667" t="str">
        <f>IF($C667="","","Por el deposito de la detraccion en el Banco de la Nacion")</f>
        <v/>
      </c>
      <c r="H667" t="str">
        <f>IF($C667="","",Registro_Compras!$C$77)</f>
        <v/>
      </c>
    </row>
    <row r="668" spans="1:8" x14ac:dyDescent="0.25">
      <c r="A668" s="25" t="str">
        <f>IF($C668="","",Registro_Compras!$X$77)</f>
        <v/>
      </c>
      <c r="B668" t="str">
        <f>IF($C668="","","C"&amp;TEXT(INT((ROW()-5)/9)+1,"000")&amp;"-3")</f>
        <v/>
      </c>
      <c r="C668" t="str">
        <f>IF(OR(Registro_Compras!$C$77="",Registro_Compras!$O$77="",Registro_Compras!$R$77&lt;&gt;"SI",Registro_Compras!$X$77=""),"","1041")</f>
        <v/>
      </c>
      <c r="D668" t="str">
        <f>IF(OR(Registro_Compras!$C$77="",Registro_Compras!$O$77=""),"","Efectivo y Equivalentes - Cta. Cte. Operativa")</f>
        <v>Efectivo y Equivalentes - Cta. Cte. Operativa</v>
      </c>
      <c r="E668" s="20" t="str">
        <f>""</f>
        <v/>
      </c>
      <c r="F668" s="20" t="str">
        <f>IF($C668="","",Registro_Compras!$S$77)</f>
        <v/>
      </c>
      <c r="G668" t="str">
        <f>IF($C668="","","Por el deposito de la detraccion en el Banco de la Nacion")</f>
        <v/>
      </c>
      <c r="H668" t="str">
        <f>IF($C668="","",Registro_Compras!$C$77)</f>
        <v/>
      </c>
    </row>
    <row r="669" spans="1:8" x14ac:dyDescent="0.25">
      <c r="A669" s="25" t="str">
        <f>IF($C669="","",Registro_Compras!$Y$77)</f>
        <v/>
      </c>
      <c r="B669" t="str">
        <f>IF($C669="","","C"&amp;TEXT(INT((ROW()-5)/9)+1,"000")&amp;"-4")</f>
        <v/>
      </c>
      <c r="C669" t="str">
        <f>IF(OR(Registro_Compras!$C$77="",Registro_Compras!$O$77="",Registro_Compras!$Y$77="",Registro_Compras!$F$77="NOTA DE CREDITO"),"","4212")</f>
        <v/>
      </c>
      <c r="D669" t="str">
        <f>IF(OR(Registro_Compras!$C$77="",Registro_Compras!$O$77=""),"","Cuentas por Pagar Comerciales - Terceros")</f>
        <v>Cuentas por Pagar Comerciales - Terceros</v>
      </c>
      <c r="E669" s="20" t="str">
        <f>IF($C669="","",IF(Registro_Compras!$F$77="RHE",(ROUND(Registro_Compras!$L$77*Registro_Compras!$N$77,2)-ROUND(Registro_Compras!$V$77*Registro_Compras!$N$77,2)),ROUND(Registro_Compras!$O$77-Registro_Compras!$S$77,2)))</f>
        <v/>
      </c>
      <c r="F669" s="20" t="str">
        <f>""</f>
        <v/>
      </c>
      <c r="G669" t="str">
        <f>IF($C669="","","Por la cancelacion del saldo al proveedor")</f>
        <v/>
      </c>
      <c r="H669" t="str">
        <f>IF($C669="","",Registro_Compras!$C$77)</f>
        <v/>
      </c>
    </row>
    <row r="670" spans="1:8" x14ac:dyDescent="0.25">
      <c r="A670" s="25" t="str">
        <f>IF($C670="","",Registro_Compras!$Y$77)</f>
        <v/>
      </c>
      <c r="B670" t="str">
        <f>IF($C670="","","C"&amp;TEXT(INT((ROW()-5)/9)+1,"000")&amp;"-4")</f>
        <v/>
      </c>
      <c r="C670" t="str">
        <f>IF(OR(Registro_Compras!$C$77="",Registro_Compras!$O$77="",Registro_Compras!$Y$77="",Registro_Compras!$F$77="NOTA DE CREDITO"),"","1041")</f>
        <v/>
      </c>
      <c r="D670" t="str">
        <f>IF(OR(Registro_Compras!$C$77="",Registro_Compras!$O$77=""),"","Efectivo y Equivalentes - Cta. Cte. Operativa")</f>
        <v>Efectivo y Equivalentes - Cta. Cte. Operativa</v>
      </c>
      <c r="E670" s="20" t="str">
        <f>""</f>
        <v/>
      </c>
      <c r="F670" s="20" t="str">
        <f>IF($C670="","",IF(Registro_Compras!$F$77="RHE",(ROUND(Registro_Compras!$L$77*Registro_Compras!$N$77,2)-ROUND(Registro_Compras!$V$77*Registro_Compras!$N$77,2)),ROUND(Registro_Compras!$O$77-Registro_Compras!$S$77,2)))</f>
        <v/>
      </c>
      <c r="G670" t="str">
        <f>IF($C670="","","Por la cancelacion del saldo al proveedor")</f>
        <v/>
      </c>
      <c r="H670" t="str">
        <f>IF($C670="","",Registro_Compras!$C$77)</f>
        <v/>
      </c>
    </row>
    <row r="671" spans="1:8" x14ac:dyDescent="0.25">
      <c r="A671" s="25">
        <f>IF($C671="","",Registro_Compras!$B$78)</f>
        <v>46241</v>
      </c>
      <c r="B671" t="str">
        <f>IF($C671="","","C"&amp;TEXT(INT((ROW()-5)/9)+1,"000")&amp;"-1")</f>
        <v>C075-1</v>
      </c>
      <c r="C671" t="str">
        <f>IF(OR(Registro_Compras!$C$78="",Registro_Compras!$O$78=""),"",IF(Registro_Compras!$F$78="NOTA DE CREDITO","4212",IF(Registro_Compras!$M$78="","63",Registro_Compras!$M$78)))</f>
        <v>639</v>
      </c>
      <c r="D671" t="str">
        <f>IF(OR(Registro_Compras!$C$78="",Registro_Compras!$O$78=""),"",IF(Registro_Compras!$F$78="NOTA DE CREDITO","Cuentas por Pagar Comerciales - Terceros (Emitidas)",IF(Registro_Compras!$F$78="RHE","Honorarios Profesionales - Servicios de Terceros","Gastos de Servicios Prestados por Terceros")))</f>
        <v>Gastos de Servicios Prestados por Terceros</v>
      </c>
      <c r="E671" s="20">
        <f>IF($C671="","",IF(Registro_Compras!$F$78="NOTA DE CREDITO",ABS(Registro_Compras!$O$78),IF(Registro_Compras!$F$78="RHE",ROUND(Registro_Compras!$L$78*Registro_Compras!$N$78,2),ROUND(Registro_Compras!$J$78*Registro_Compras!$N$78,2))))</f>
        <v>9605.02</v>
      </c>
      <c r="F671" s="20" t="str">
        <f>""</f>
        <v/>
      </c>
      <c r="G671" t="str">
        <f>IF($C671="","",IF(Registro_Compras!$F$78="NOTA DE CREDITO","Por la nota de credito "&amp;Registro_Compras!$C$78&amp;" de "&amp;Registro_Compras!$E$78&amp;" [PATRON POR CONFIRMAR CON CONTADOR]",IF(Registro_Compras!$F$78="RHE","Por el registro del recibo por honorarios "&amp;Registro_Compras!$C$78&amp;" de "&amp;Registro_Compras!$E$78&amp;" [PATRON POR CONFIRMAR CON CONTADOR]","Por el registro de la factura "&amp;Registro_Compras!$C$78&amp;" de "&amp;Registro_Compras!$E$78)))</f>
        <v>Por el registro de la factura F020-00016435 de LA CASA DE BARRANCO S.A.C (HOTEL B)</v>
      </c>
      <c r="H671" t="str">
        <f>IF($C671="","",Registro_Compras!$C$78)</f>
        <v>F020-00016435</v>
      </c>
    </row>
    <row r="672" spans="1:8" x14ac:dyDescent="0.25">
      <c r="A672" s="25" t="str">
        <f>IF($C672="","",Registro_Compras!$B$78)</f>
        <v/>
      </c>
      <c r="B672" t="str">
        <f>IF($C672="","","C"&amp;TEXT(INT((ROW()-5)/9)+1,"000")&amp;"-1")</f>
        <v/>
      </c>
      <c r="C672" t="str">
        <f>IF(OR(Registro_Compras!$C$78="",Registro_Compras!$O$78=""),"",IF(Registro_Compras!$F$78="RHE",IF(Registro_Compras!$V$78=0,"","4017"),IF(Registro_Compras!$F$78="NOTA DE CREDITO",IF(Registro_Compras!$M$78="","63",Registro_Compras!$M$78),IF(Registro_Compras!$K$78=0,"","40111"))))</f>
        <v/>
      </c>
      <c r="D672" t="str">
        <f>IF(OR(Registro_Compras!$C$78="",Registro_Compras!$O$78=""),"",IF(Registro_Compras!$F$78="RHE","Retencion Renta 4ta Categoria por Pagar",IF(Registro_Compras!$F$78="NOTA DE CREDITO","Gastos de Servicios Prestados por Terceros","IGV - Cuenta Propia (Credito Fiscal)")))</f>
        <v>IGV - Cuenta Propia (Credito Fiscal)</v>
      </c>
      <c r="E672" s="20" t="str">
        <f>IF($C672="","",IF(Registro_Compras!$F$78="FACTURA",ROUND(Registro_Compras!$K$78*Registro_Compras!$N$78,2),""))</f>
        <v/>
      </c>
      <c r="F672" s="20" t="str">
        <f>IF($C672="","",IF(Registro_Compras!$F$78="RHE",ROUND(Registro_Compras!$V$78*Registro_Compras!$N$78,2),IF(Registro_Compras!$F$78="NOTA DE CREDITO",ROUND(ABS(Registro_Compras!$J$78*Registro_Compras!$N$78),2),"")))</f>
        <v/>
      </c>
      <c r="G672" t="str">
        <f>IF($C672="","",IF(Registro_Compras!$F$78="NOTA DE CREDITO","Por la nota de credito "&amp;Registro_Compras!$C$78&amp;" de "&amp;Registro_Compras!$E$78&amp;" [PATRON POR CONFIRMAR CON CONTADOR]",IF(Registro_Compras!$F$78="RHE","Por el registro del recibo por honorarios "&amp;Registro_Compras!$C$78&amp;" de "&amp;Registro_Compras!$E$78&amp;" [PATRON POR CONFIRMAR CON CONTADOR]","Por el registro de la factura "&amp;Registro_Compras!$C$78&amp;" de "&amp;Registro_Compras!$E$78)))</f>
        <v/>
      </c>
      <c r="H672" t="str">
        <f>IF($C672="","",Registro_Compras!$C$78)</f>
        <v/>
      </c>
    </row>
    <row r="673" spans="1:8" x14ac:dyDescent="0.25">
      <c r="A673" s="25">
        <f>IF($C673="","",Registro_Compras!$B$78)</f>
        <v>46241</v>
      </c>
      <c r="B673" t="str">
        <f>IF($C673="","","C"&amp;TEXT(INT((ROW()-5)/9)+1,"000")&amp;"-1")</f>
        <v>C075-1</v>
      </c>
      <c r="C673" t="str">
        <f>IF(OR(Registro_Compras!$C$78="",Registro_Compras!$O$78=""),"",IF(Registro_Compras!$F$78="NOTA DE CREDITO",IF(Registro_Compras!$K$78=0,"","40111"),"4212"))</f>
        <v>4212</v>
      </c>
      <c r="D673" t="str">
        <f>IF(OR(Registro_Compras!$C$78="",Registro_Compras!$O$78=""),"",IF(Registro_Compras!$F$78="NOTA DE CREDITO","IGV - Cuenta Propia (Credito Fiscal)","Cuentas por Pagar Comerciales - Terceros (Emitidas)"))</f>
        <v>Cuentas por Pagar Comerciales - Terceros (Emitidas)</v>
      </c>
      <c r="E673" s="20" t="str">
        <f>""</f>
        <v/>
      </c>
      <c r="F673" s="20">
        <f>IF($C673="","",IF(Registro_Compras!$F$78="NOTA DE CREDITO",ROUND(ABS(Registro_Compras!$K$78*Registro_Compras!$N$78),2),IF(Registro_Compras!$F$78="RHE",(ROUND(Registro_Compras!$L$78*Registro_Compras!$N$78,2)-ROUND(Registro_Compras!$V$78*Registro_Compras!$N$78,2)),Registro_Compras!$O$78)))</f>
        <v>9605.02</v>
      </c>
      <c r="G673" t="str">
        <f>IF($C673="","",IF(Registro_Compras!$F$78="NOTA DE CREDITO","Por la nota de credito "&amp;Registro_Compras!$C$78&amp;" de "&amp;Registro_Compras!$E$78&amp;" [PATRON POR CONFIRMAR CON CONTADOR]",IF(Registro_Compras!$F$78="RHE","Por el registro del recibo por honorarios "&amp;Registro_Compras!$C$78&amp;" de "&amp;Registro_Compras!$E$78&amp;" [PATRON POR CONFIRMAR CON CONTADOR]","Por el registro de la factura "&amp;Registro_Compras!$C$78&amp;" de "&amp;Registro_Compras!$E$78)))</f>
        <v>Por el registro de la factura F020-00016435 de LA CASA DE BARRANCO S.A.C (HOTEL B)</v>
      </c>
      <c r="H673" t="str">
        <f>IF($C673="","",Registro_Compras!$C$78)</f>
        <v>F020-00016435</v>
      </c>
    </row>
    <row r="674" spans="1:8" x14ac:dyDescent="0.25">
      <c r="A674" s="25">
        <f>IF($C674="","",Registro_Compras!$B$78)</f>
        <v>46241</v>
      </c>
      <c r="B674" t="str">
        <f>IF($C674="","","C"&amp;TEXT(INT((ROW()-5)/9)+1,"000")&amp;"-2")</f>
        <v>C075-2</v>
      </c>
      <c r="C674" t="str">
        <f>IF(OR(Registro_Compras!$C$78="",Registro_Compras!$O$78=""),"",IF(Registro_Compras!$AB$78="ADMINISTRATIVO","94","95"))</f>
        <v>95</v>
      </c>
      <c r="D674" t="str">
        <f>IF(OR(Registro_Compras!$C$78="",Registro_Compras!$O$78=""),"",IF(Registro_Compras!$AB$78="ADMINISTRATIVO","Gastos Administrativos","Gastos de Venta y Operacion"))</f>
        <v>Gastos de Venta y Operacion</v>
      </c>
      <c r="E674" s="20">
        <f>IF($C674="","",IF(Registro_Compras!$F$78="NOTA DE CREDITO","",IF(Registro_Compras!$F$78="RHE",ROUND(Registro_Compras!$L$78*Registro_Compras!$N$78,2),ROUND(Registro_Compras!$J$78*Registro_Compras!$N$78,2))))</f>
        <v>9605.02</v>
      </c>
      <c r="F674" s="20" t="str">
        <f>IF($C674="","",IF(Registro_Compras!$F$78="NOTA DE CREDITO",ROUND(ABS(Registro_Compras!$J$78*Registro_Compras!$N$78),2),""))</f>
        <v/>
      </c>
      <c r="G674" t="str">
        <f>IF($C674="","","Por el destino del gasto")</f>
        <v>Por el destino del gasto</v>
      </c>
      <c r="H674" t="str">
        <f>IF($C674="","",Registro_Compras!$C$78)</f>
        <v>F020-00016435</v>
      </c>
    </row>
    <row r="675" spans="1:8" x14ac:dyDescent="0.25">
      <c r="A675" s="25">
        <f>IF($C675="","",Registro_Compras!$B$78)</f>
        <v>46241</v>
      </c>
      <c r="B675" t="str">
        <f>IF($C675="","","C"&amp;TEXT(INT((ROW()-5)/9)+1,"000")&amp;"-2")</f>
        <v>C075-2</v>
      </c>
      <c r="C675" t="str">
        <f>IF(OR(Registro_Compras!$C$78="",Registro_Compras!$O$78=""),"","79/791")</f>
        <v>79/791</v>
      </c>
      <c r="D675" t="str">
        <f>IF(OR(Registro_Compras!$C$78="",Registro_Compras!$O$78=""),"","Cargas Imputables a Cuentas de Costos y Gastos")</f>
        <v>Cargas Imputables a Cuentas de Costos y Gastos</v>
      </c>
      <c r="E675" s="20" t="str">
        <f>IF($C675="","",IF(Registro_Compras!$F$78="NOTA DE CREDITO",ROUND(ABS(Registro_Compras!$J$78*Registro_Compras!$N$78),2),""))</f>
        <v/>
      </c>
      <c r="F675" s="20">
        <f>IF($C675="","",IF(Registro_Compras!$F$78="NOTA DE CREDITO","",IF(Registro_Compras!$F$78="RHE",ROUND(Registro_Compras!$L$78*Registro_Compras!$N$78,2),ROUND(Registro_Compras!$J$78*Registro_Compras!$N$78,2))))</f>
        <v>9605.02</v>
      </c>
      <c r="G675" t="str">
        <f>IF($C675="","","Por el destino del gasto")</f>
        <v>Por el destino del gasto</v>
      </c>
      <c r="H675" t="str">
        <f>IF($C675="","",Registro_Compras!$C$78)</f>
        <v>F020-00016435</v>
      </c>
    </row>
    <row r="676" spans="1:8" x14ac:dyDescent="0.25">
      <c r="A676" s="25" t="str">
        <f>IF($C676="","",Registro_Compras!$X$78)</f>
        <v/>
      </c>
      <c r="B676" t="str">
        <f>IF($C676="","","C"&amp;TEXT(INT((ROW()-5)/9)+1,"000")&amp;"-3")</f>
        <v/>
      </c>
      <c r="C676" t="str">
        <f>IF(OR(Registro_Compras!$C$78="",Registro_Compras!$O$78="",Registro_Compras!$R$78&lt;&gt;"SI",Registro_Compras!$X$78=""),"","4212")</f>
        <v/>
      </c>
      <c r="D676" t="str">
        <f>IF(OR(Registro_Compras!$C$78="",Registro_Compras!$O$78=""),"","Cuentas por Pagar Comerciales - Terceros")</f>
        <v>Cuentas por Pagar Comerciales - Terceros</v>
      </c>
      <c r="E676" s="20" t="str">
        <f>IF($C676="","",Registro_Compras!$S$78)</f>
        <v/>
      </c>
      <c r="F676" s="20" t="str">
        <f>""</f>
        <v/>
      </c>
      <c r="G676" t="str">
        <f>IF($C676="","","Por el deposito de la detraccion en el Banco de la Nacion")</f>
        <v/>
      </c>
      <c r="H676" t="str">
        <f>IF($C676="","",Registro_Compras!$C$78)</f>
        <v/>
      </c>
    </row>
    <row r="677" spans="1:8" x14ac:dyDescent="0.25">
      <c r="A677" s="25" t="str">
        <f>IF($C677="","",Registro_Compras!$X$78)</f>
        <v/>
      </c>
      <c r="B677" t="str">
        <f>IF($C677="","","C"&amp;TEXT(INT((ROW()-5)/9)+1,"000")&amp;"-3")</f>
        <v/>
      </c>
      <c r="C677" t="str">
        <f>IF(OR(Registro_Compras!$C$78="",Registro_Compras!$O$78="",Registro_Compras!$R$78&lt;&gt;"SI",Registro_Compras!$X$78=""),"","1041")</f>
        <v/>
      </c>
      <c r="D677" t="str">
        <f>IF(OR(Registro_Compras!$C$78="",Registro_Compras!$O$78=""),"","Efectivo y Equivalentes - Cta. Cte. Operativa")</f>
        <v>Efectivo y Equivalentes - Cta. Cte. Operativa</v>
      </c>
      <c r="E677" s="20" t="str">
        <f>""</f>
        <v/>
      </c>
      <c r="F677" s="20" t="str">
        <f>IF($C677="","",Registro_Compras!$S$78)</f>
        <v/>
      </c>
      <c r="G677" t="str">
        <f>IF($C677="","","Por el deposito de la detraccion en el Banco de la Nacion")</f>
        <v/>
      </c>
      <c r="H677" t="str">
        <f>IF($C677="","",Registro_Compras!$C$78)</f>
        <v/>
      </c>
    </row>
    <row r="678" spans="1:8" x14ac:dyDescent="0.25">
      <c r="A678" s="25" t="str">
        <f>IF($C678="","",Registro_Compras!$Y$78)</f>
        <v/>
      </c>
      <c r="B678" t="str">
        <f>IF($C678="","","C"&amp;TEXT(INT((ROW()-5)/9)+1,"000")&amp;"-4")</f>
        <v/>
      </c>
      <c r="C678" t="str">
        <f>IF(OR(Registro_Compras!$C$78="",Registro_Compras!$O$78="",Registro_Compras!$Y$78="",Registro_Compras!$F$78="NOTA DE CREDITO"),"","4212")</f>
        <v/>
      </c>
      <c r="D678" t="str">
        <f>IF(OR(Registro_Compras!$C$78="",Registro_Compras!$O$78=""),"","Cuentas por Pagar Comerciales - Terceros")</f>
        <v>Cuentas por Pagar Comerciales - Terceros</v>
      </c>
      <c r="E678" s="20" t="str">
        <f>IF($C678="","",IF(Registro_Compras!$F$78="RHE",(ROUND(Registro_Compras!$L$78*Registro_Compras!$N$78,2)-ROUND(Registro_Compras!$V$78*Registro_Compras!$N$78,2)),ROUND(Registro_Compras!$O$78-Registro_Compras!$S$78,2)))</f>
        <v/>
      </c>
      <c r="F678" s="20" t="str">
        <f>""</f>
        <v/>
      </c>
      <c r="G678" t="str">
        <f>IF($C678="","","Por la cancelacion del saldo al proveedor")</f>
        <v/>
      </c>
      <c r="H678" t="str">
        <f>IF($C678="","",Registro_Compras!$C$78)</f>
        <v/>
      </c>
    </row>
    <row r="679" spans="1:8" x14ac:dyDescent="0.25">
      <c r="A679" s="25" t="str">
        <f>IF($C679="","",Registro_Compras!$Y$78)</f>
        <v/>
      </c>
      <c r="B679" t="str">
        <f>IF($C679="","","C"&amp;TEXT(INT((ROW()-5)/9)+1,"000")&amp;"-4")</f>
        <v/>
      </c>
      <c r="C679" t="str">
        <f>IF(OR(Registro_Compras!$C$78="",Registro_Compras!$O$78="",Registro_Compras!$Y$78="",Registro_Compras!$F$78="NOTA DE CREDITO"),"","1041")</f>
        <v/>
      </c>
      <c r="D679" t="str">
        <f>IF(OR(Registro_Compras!$C$78="",Registro_Compras!$O$78=""),"","Efectivo y Equivalentes - Cta. Cte. Operativa")</f>
        <v>Efectivo y Equivalentes - Cta. Cte. Operativa</v>
      </c>
      <c r="E679" s="20" t="str">
        <f>""</f>
        <v/>
      </c>
      <c r="F679" s="20" t="str">
        <f>IF($C679="","",IF(Registro_Compras!$F$78="RHE",(ROUND(Registro_Compras!$L$78*Registro_Compras!$N$78,2)-ROUND(Registro_Compras!$V$78*Registro_Compras!$N$78,2)),ROUND(Registro_Compras!$O$78-Registro_Compras!$S$78,2)))</f>
        <v/>
      </c>
      <c r="G679" t="str">
        <f>IF($C679="","","Por la cancelacion del saldo al proveedor")</f>
        <v/>
      </c>
      <c r="H679" t="str">
        <f>IF($C679="","",Registro_Compras!$C$78)</f>
        <v/>
      </c>
    </row>
    <row r="680" spans="1:8" x14ac:dyDescent="0.25">
      <c r="A680" s="25">
        <f>IF($C680="","",Registro_Compras!$B$79)</f>
        <v>46242</v>
      </c>
      <c r="B680" t="str">
        <f>IF($C680="","","C"&amp;TEXT(INT((ROW()-5)/9)+1,"000")&amp;"-1")</f>
        <v>C076-1</v>
      </c>
      <c r="C680" t="str">
        <f>IF(OR(Registro_Compras!$C$79="",Registro_Compras!$O$79=""),"",IF(Registro_Compras!$F$79="NOTA DE CREDITO","4212",IF(Registro_Compras!$M$79="","63",Registro_Compras!$M$79)))</f>
        <v>639</v>
      </c>
      <c r="D680" t="str">
        <f>IF(OR(Registro_Compras!$C$79="",Registro_Compras!$O$79=""),"",IF(Registro_Compras!$F$79="NOTA DE CREDITO","Cuentas por Pagar Comerciales - Terceros (Emitidas)",IF(Registro_Compras!$F$79="RHE","Honorarios Profesionales - Servicios de Terceros","Gastos de Servicios Prestados por Terceros")))</f>
        <v>Gastos de Servicios Prestados por Terceros</v>
      </c>
      <c r="E680" s="20">
        <f>IF($C680="","",IF(Registro_Compras!$F$79="NOTA DE CREDITO",ABS(Registro_Compras!$O$79),IF(Registro_Compras!$F$79="RHE",ROUND(Registro_Compras!$L$79*Registro_Compras!$N$79,2),ROUND(Registro_Compras!$J$79*Registro_Compras!$N$79,2))))</f>
        <v>441</v>
      </c>
      <c r="F680" s="20" t="str">
        <f>""</f>
        <v/>
      </c>
      <c r="G680" t="str">
        <f>IF($C680="","",IF(Registro_Compras!$F$79="NOTA DE CREDITO","Por la nota de credito "&amp;Registro_Compras!$C$79&amp;" de "&amp;Registro_Compras!$E$79&amp;" [PATRON POR CONFIRMAR CON CONTADOR]",IF(Registro_Compras!$F$79="RHE","Por el registro del recibo por honorarios "&amp;Registro_Compras!$C$79&amp;" de "&amp;Registro_Compras!$E$79&amp;" [PATRON POR CONFIRMAR CON CONTADOR]","Por el registro de la factura "&amp;Registro_Compras!$C$79&amp;" de "&amp;Registro_Compras!$E$79)))</f>
        <v>Por el registro de la factura F001-10305 de NATURA VIVE S.A.C.</v>
      </c>
      <c r="H680" t="str">
        <f>IF($C680="","",Registro_Compras!$C$79)</f>
        <v>F001-10305</v>
      </c>
    </row>
    <row r="681" spans="1:8" x14ac:dyDescent="0.25">
      <c r="A681" s="25">
        <f>IF($C681="","",Registro_Compras!$B$79)</f>
        <v>46242</v>
      </c>
      <c r="B681" t="str">
        <f>IF($C681="","","C"&amp;TEXT(INT((ROW()-5)/9)+1,"000")&amp;"-1")</f>
        <v>C076-1</v>
      </c>
      <c r="C681" t="str">
        <f>IF(OR(Registro_Compras!$C$79="",Registro_Compras!$O$79=""),"",IF(Registro_Compras!$F$79="RHE",IF(Registro_Compras!$V$79=0,"","4017"),IF(Registro_Compras!$F$79="NOTA DE CREDITO",IF(Registro_Compras!$M$79="","63",Registro_Compras!$M$79),IF(Registro_Compras!$K$79=0,"","40111"))))</f>
        <v>40111</v>
      </c>
      <c r="D681" t="str">
        <f>IF(OR(Registro_Compras!$C$79="",Registro_Compras!$O$79=""),"",IF(Registro_Compras!$F$79="RHE","Retencion Renta 4ta Categoria por Pagar",IF(Registro_Compras!$F$79="NOTA DE CREDITO","Gastos de Servicios Prestados por Terceros","IGV - Cuenta Propia (Credito Fiscal)")))</f>
        <v>IGV - Cuenta Propia (Credito Fiscal)</v>
      </c>
      <c r="E681" s="20">
        <f>IF($C681="","",IF(Registro_Compras!$F$79="FACTURA",ROUND(Registro_Compras!$K$79*Registro_Compras!$N$79,2),""))</f>
        <v>79.38</v>
      </c>
      <c r="F681" s="20" t="str">
        <f>IF($C681="","",IF(Registro_Compras!$F$79="RHE",ROUND(Registro_Compras!$V$79*Registro_Compras!$N$79,2),IF(Registro_Compras!$F$79="NOTA DE CREDITO",ROUND(ABS(Registro_Compras!$J$79*Registro_Compras!$N$79),2),"")))</f>
        <v/>
      </c>
      <c r="G681" t="str">
        <f>IF($C681="","",IF(Registro_Compras!$F$79="NOTA DE CREDITO","Por la nota de credito "&amp;Registro_Compras!$C$79&amp;" de "&amp;Registro_Compras!$E$79&amp;" [PATRON POR CONFIRMAR CON CONTADOR]",IF(Registro_Compras!$F$79="RHE","Por el registro del recibo por honorarios "&amp;Registro_Compras!$C$79&amp;" de "&amp;Registro_Compras!$E$79&amp;" [PATRON POR CONFIRMAR CON CONTADOR]","Por el registro de la factura "&amp;Registro_Compras!$C$79&amp;" de "&amp;Registro_Compras!$E$79)))</f>
        <v>Por el registro de la factura F001-10305 de NATURA VIVE S.A.C.</v>
      </c>
      <c r="H681" t="str">
        <f>IF($C681="","",Registro_Compras!$C$79)</f>
        <v>F001-10305</v>
      </c>
    </row>
    <row r="682" spans="1:8" x14ac:dyDescent="0.25">
      <c r="A682" s="25">
        <f>IF($C682="","",Registro_Compras!$B$79)</f>
        <v>46242</v>
      </c>
      <c r="B682" t="str">
        <f>IF($C682="","","C"&amp;TEXT(INT((ROW()-5)/9)+1,"000")&amp;"-1")</f>
        <v>C076-1</v>
      </c>
      <c r="C682" t="str">
        <f>IF(OR(Registro_Compras!$C$79="",Registro_Compras!$O$79=""),"",IF(Registro_Compras!$F$79="NOTA DE CREDITO",IF(Registro_Compras!$K$79=0,"","40111"),"4212"))</f>
        <v>4212</v>
      </c>
      <c r="D682" t="str">
        <f>IF(OR(Registro_Compras!$C$79="",Registro_Compras!$O$79=""),"",IF(Registro_Compras!$F$79="NOTA DE CREDITO","IGV - Cuenta Propia (Credito Fiscal)","Cuentas por Pagar Comerciales - Terceros (Emitidas)"))</f>
        <v>Cuentas por Pagar Comerciales - Terceros (Emitidas)</v>
      </c>
      <c r="E682" s="20" t="str">
        <f>""</f>
        <v/>
      </c>
      <c r="F682" s="20">
        <f>IF($C682="","",IF(Registro_Compras!$F$79="NOTA DE CREDITO",ROUND(ABS(Registro_Compras!$K$79*Registro_Compras!$N$79),2),IF(Registro_Compras!$F$79="RHE",(ROUND(Registro_Compras!$L$79*Registro_Compras!$N$79,2)-ROUND(Registro_Compras!$V$79*Registro_Compras!$N$79,2)),Registro_Compras!$O$79)))</f>
        <v>520.38</v>
      </c>
      <c r="G682" t="str">
        <f>IF($C682="","",IF(Registro_Compras!$F$79="NOTA DE CREDITO","Por la nota de credito "&amp;Registro_Compras!$C$79&amp;" de "&amp;Registro_Compras!$E$79&amp;" [PATRON POR CONFIRMAR CON CONTADOR]",IF(Registro_Compras!$F$79="RHE","Por el registro del recibo por honorarios "&amp;Registro_Compras!$C$79&amp;" de "&amp;Registro_Compras!$E$79&amp;" [PATRON POR CONFIRMAR CON CONTADOR]","Por el registro de la factura "&amp;Registro_Compras!$C$79&amp;" de "&amp;Registro_Compras!$E$79)))</f>
        <v>Por el registro de la factura F001-10305 de NATURA VIVE S.A.C.</v>
      </c>
      <c r="H682" t="str">
        <f>IF($C682="","",Registro_Compras!$C$79)</f>
        <v>F001-10305</v>
      </c>
    </row>
    <row r="683" spans="1:8" x14ac:dyDescent="0.25">
      <c r="A683" s="25">
        <f>IF($C683="","",Registro_Compras!$B$79)</f>
        <v>46242</v>
      </c>
      <c r="B683" t="str">
        <f>IF($C683="","","C"&amp;TEXT(INT((ROW()-5)/9)+1,"000")&amp;"-2")</f>
        <v>C076-2</v>
      </c>
      <c r="C683" t="str">
        <f>IF(OR(Registro_Compras!$C$79="",Registro_Compras!$O$79=""),"",IF(Registro_Compras!$AB$79="ADMINISTRATIVO","94","95"))</f>
        <v>95</v>
      </c>
      <c r="D683" t="str">
        <f>IF(OR(Registro_Compras!$C$79="",Registro_Compras!$O$79=""),"",IF(Registro_Compras!$AB$79="ADMINISTRATIVO","Gastos Administrativos","Gastos de Venta y Operacion"))</f>
        <v>Gastos de Venta y Operacion</v>
      </c>
      <c r="E683" s="20">
        <f>IF($C683="","",IF(Registro_Compras!$F$79="NOTA DE CREDITO","",IF(Registro_Compras!$F$79="RHE",ROUND(Registro_Compras!$L$79*Registro_Compras!$N$79,2),ROUND(Registro_Compras!$J$79*Registro_Compras!$N$79,2))))</f>
        <v>441</v>
      </c>
      <c r="F683" s="20" t="str">
        <f>IF($C683="","",IF(Registro_Compras!$F$79="NOTA DE CREDITO",ROUND(ABS(Registro_Compras!$J$79*Registro_Compras!$N$79),2),""))</f>
        <v/>
      </c>
      <c r="G683" t="str">
        <f>IF($C683="","","Por el destino del gasto")</f>
        <v>Por el destino del gasto</v>
      </c>
      <c r="H683" t="str">
        <f>IF($C683="","",Registro_Compras!$C$79)</f>
        <v>F001-10305</v>
      </c>
    </row>
    <row r="684" spans="1:8" x14ac:dyDescent="0.25">
      <c r="A684" s="25">
        <f>IF($C684="","",Registro_Compras!$B$79)</f>
        <v>46242</v>
      </c>
      <c r="B684" t="str">
        <f>IF($C684="","","C"&amp;TEXT(INT((ROW()-5)/9)+1,"000")&amp;"-2")</f>
        <v>C076-2</v>
      </c>
      <c r="C684" t="str">
        <f>IF(OR(Registro_Compras!$C$79="",Registro_Compras!$O$79=""),"","79/791")</f>
        <v>79/791</v>
      </c>
      <c r="D684" t="str">
        <f>IF(OR(Registro_Compras!$C$79="",Registro_Compras!$O$79=""),"","Cargas Imputables a Cuentas de Costos y Gastos")</f>
        <v>Cargas Imputables a Cuentas de Costos y Gastos</v>
      </c>
      <c r="E684" s="20" t="str">
        <f>IF($C684="","",IF(Registro_Compras!$F$79="NOTA DE CREDITO",ROUND(ABS(Registro_Compras!$J$79*Registro_Compras!$N$79),2),""))</f>
        <v/>
      </c>
      <c r="F684" s="20">
        <f>IF($C684="","",IF(Registro_Compras!$F$79="NOTA DE CREDITO","",IF(Registro_Compras!$F$79="RHE",ROUND(Registro_Compras!$L$79*Registro_Compras!$N$79,2),ROUND(Registro_Compras!$J$79*Registro_Compras!$N$79,2))))</f>
        <v>441</v>
      </c>
      <c r="G684" t="str">
        <f>IF($C684="","","Por el destino del gasto")</f>
        <v>Por el destino del gasto</v>
      </c>
      <c r="H684" t="str">
        <f>IF($C684="","",Registro_Compras!$C$79)</f>
        <v>F001-10305</v>
      </c>
    </row>
    <row r="685" spans="1:8" x14ac:dyDescent="0.25">
      <c r="A685" s="25" t="str">
        <f>IF($C685="","",Registro_Compras!$X$79)</f>
        <v/>
      </c>
      <c r="B685" t="str">
        <f>IF($C685="","","C"&amp;TEXT(INT((ROW()-5)/9)+1,"000")&amp;"-3")</f>
        <v/>
      </c>
      <c r="C685" t="str">
        <f>IF(OR(Registro_Compras!$C$79="",Registro_Compras!$O$79="",Registro_Compras!$R$79&lt;&gt;"SI",Registro_Compras!$X$79=""),"","4212")</f>
        <v/>
      </c>
      <c r="D685" t="str">
        <f>IF(OR(Registro_Compras!$C$79="",Registro_Compras!$O$79=""),"","Cuentas por Pagar Comerciales - Terceros")</f>
        <v>Cuentas por Pagar Comerciales - Terceros</v>
      </c>
      <c r="E685" s="20" t="str">
        <f>IF($C685="","",Registro_Compras!$S$79)</f>
        <v/>
      </c>
      <c r="F685" s="20" t="str">
        <f>""</f>
        <v/>
      </c>
      <c r="G685" t="str">
        <f>IF($C685="","","Por el deposito de la detraccion en el Banco de la Nacion")</f>
        <v/>
      </c>
      <c r="H685" t="str">
        <f>IF($C685="","",Registro_Compras!$C$79)</f>
        <v/>
      </c>
    </row>
    <row r="686" spans="1:8" x14ac:dyDescent="0.25">
      <c r="A686" s="25" t="str">
        <f>IF($C686="","",Registro_Compras!$X$79)</f>
        <v/>
      </c>
      <c r="B686" t="str">
        <f>IF($C686="","","C"&amp;TEXT(INT((ROW()-5)/9)+1,"000")&amp;"-3")</f>
        <v/>
      </c>
      <c r="C686" t="str">
        <f>IF(OR(Registro_Compras!$C$79="",Registro_Compras!$O$79="",Registro_Compras!$R$79&lt;&gt;"SI",Registro_Compras!$X$79=""),"","1041")</f>
        <v/>
      </c>
      <c r="D686" t="str">
        <f>IF(OR(Registro_Compras!$C$79="",Registro_Compras!$O$79=""),"","Efectivo y Equivalentes - Cta. Cte. Operativa")</f>
        <v>Efectivo y Equivalentes - Cta. Cte. Operativa</v>
      </c>
      <c r="E686" s="20" t="str">
        <f>""</f>
        <v/>
      </c>
      <c r="F686" s="20" t="str">
        <f>IF($C686="","",Registro_Compras!$S$79)</f>
        <v/>
      </c>
      <c r="G686" t="str">
        <f>IF($C686="","","Por el deposito de la detraccion en el Banco de la Nacion")</f>
        <v/>
      </c>
      <c r="H686" t="str">
        <f>IF($C686="","",Registro_Compras!$C$79)</f>
        <v/>
      </c>
    </row>
    <row r="687" spans="1:8" x14ac:dyDescent="0.25">
      <c r="A687" s="25" t="str">
        <f>IF($C687="","",Registro_Compras!$Y$79)</f>
        <v/>
      </c>
      <c r="B687" t="str">
        <f>IF($C687="","","C"&amp;TEXT(INT((ROW()-5)/9)+1,"000")&amp;"-4")</f>
        <v/>
      </c>
      <c r="C687" t="str">
        <f>IF(OR(Registro_Compras!$C$79="",Registro_Compras!$O$79="",Registro_Compras!$Y$79="",Registro_Compras!$F$79="NOTA DE CREDITO"),"","4212")</f>
        <v/>
      </c>
      <c r="D687" t="str">
        <f>IF(OR(Registro_Compras!$C$79="",Registro_Compras!$O$79=""),"","Cuentas por Pagar Comerciales - Terceros")</f>
        <v>Cuentas por Pagar Comerciales - Terceros</v>
      </c>
      <c r="E687" s="20" t="str">
        <f>IF($C687="","",IF(Registro_Compras!$F$79="RHE",(ROUND(Registro_Compras!$L$79*Registro_Compras!$N$79,2)-ROUND(Registro_Compras!$V$79*Registro_Compras!$N$79,2)),ROUND(Registro_Compras!$O$79-Registro_Compras!$S$79,2)))</f>
        <v/>
      </c>
      <c r="F687" s="20" t="str">
        <f>""</f>
        <v/>
      </c>
      <c r="G687" t="str">
        <f>IF($C687="","","Por la cancelacion del saldo al proveedor")</f>
        <v/>
      </c>
      <c r="H687" t="str">
        <f>IF($C687="","",Registro_Compras!$C$79)</f>
        <v/>
      </c>
    </row>
    <row r="688" spans="1:8" x14ac:dyDescent="0.25">
      <c r="A688" s="25" t="str">
        <f>IF($C688="","",Registro_Compras!$Y$79)</f>
        <v/>
      </c>
      <c r="B688" t="str">
        <f>IF($C688="","","C"&amp;TEXT(INT((ROW()-5)/9)+1,"000")&amp;"-4")</f>
        <v/>
      </c>
      <c r="C688" t="str">
        <f>IF(OR(Registro_Compras!$C$79="",Registro_Compras!$O$79="",Registro_Compras!$Y$79="",Registro_Compras!$F$79="NOTA DE CREDITO"),"","1041")</f>
        <v/>
      </c>
      <c r="D688" t="str">
        <f>IF(OR(Registro_Compras!$C$79="",Registro_Compras!$O$79=""),"","Efectivo y Equivalentes - Cta. Cte. Operativa")</f>
        <v>Efectivo y Equivalentes - Cta. Cte. Operativa</v>
      </c>
      <c r="E688" s="20" t="str">
        <f>""</f>
        <v/>
      </c>
      <c r="F688" s="20" t="str">
        <f>IF($C688="","",IF(Registro_Compras!$F$79="RHE",(ROUND(Registro_Compras!$L$79*Registro_Compras!$N$79,2)-ROUND(Registro_Compras!$V$79*Registro_Compras!$N$79,2)),ROUND(Registro_Compras!$O$79-Registro_Compras!$S$79,2)))</f>
        <v/>
      </c>
      <c r="G688" t="str">
        <f>IF($C688="","","Por la cancelacion del saldo al proveedor")</f>
        <v/>
      </c>
      <c r="H688" t="str">
        <f>IF($C688="","",Registro_Compras!$C$79)</f>
        <v/>
      </c>
    </row>
    <row r="689" spans="1:8" x14ac:dyDescent="0.25">
      <c r="A689" s="25">
        <f>IF($C689="","",Registro_Compras!$B$80)</f>
        <v>46245</v>
      </c>
      <c r="B689" t="str">
        <f>IF($C689="","","C"&amp;TEXT(INT((ROW()-5)/9)+1,"000")&amp;"-1")</f>
        <v>C077-1</v>
      </c>
      <c r="C689" t="str">
        <f>IF(OR(Registro_Compras!$C$80="",Registro_Compras!$O$80=""),"",IF(Registro_Compras!$F$80="NOTA DE CREDITO","4212",IF(Registro_Compras!$M$80="","63",Registro_Compras!$M$80)))</f>
        <v>639</v>
      </c>
      <c r="D689" t="str">
        <f>IF(OR(Registro_Compras!$C$80="",Registro_Compras!$O$80=""),"",IF(Registro_Compras!$F$80="NOTA DE CREDITO","Cuentas por Pagar Comerciales - Terceros (Emitidas)",IF(Registro_Compras!$F$80="RHE","Honorarios Profesionales - Servicios de Terceros","Gastos de Servicios Prestados por Terceros")))</f>
        <v>Gastos de Servicios Prestados por Terceros</v>
      </c>
      <c r="E689" s="20">
        <f>IF($C689="","",IF(Registro_Compras!$F$80="NOTA DE CREDITO",ABS(Registro_Compras!$O$80),IF(Registro_Compras!$F$80="RHE",ROUND(Registro_Compras!$L$80*Registro_Compras!$N$80,2),ROUND(Registro_Compras!$J$80*Registro_Compras!$N$80,2))))</f>
        <v>3578.16</v>
      </c>
      <c r="F689" s="20" t="str">
        <f>""</f>
        <v/>
      </c>
      <c r="G689" t="str">
        <f>IF($C689="","",IF(Registro_Compras!$F$80="NOTA DE CREDITO","Por la nota de credito "&amp;Registro_Compras!$C$80&amp;" de "&amp;Registro_Compras!$E$80&amp;" [PATRON POR CONFIRMAR CON CONTADOR]",IF(Registro_Compras!$F$80="RHE","Por el registro del recibo por honorarios "&amp;Registro_Compras!$C$80&amp;" de "&amp;Registro_Compras!$E$80&amp;" [PATRON POR CONFIRMAR CON CONTADOR]","Por el registro de la factura "&amp;Registro_Compras!$C$80&amp;" de "&amp;Registro_Compras!$E$80)))</f>
        <v>Por el registro de la factura F001-00000734 de PERUVIAN CULTURE TRAVEL AGENCIA DE VIAJES Y TURISMO S.R.L.</v>
      </c>
      <c r="H689" t="str">
        <f>IF($C689="","",Registro_Compras!$C$80)</f>
        <v>F001-00000734</v>
      </c>
    </row>
    <row r="690" spans="1:8" x14ac:dyDescent="0.25">
      <c r="A690" s="25">
        <f>IF($C690="","",Registro_Compras!$B$80)</f>
        <v>46245</v>
      </c>
      <c r="B690" t="str">
        <f>IF($C690="","","C"&amp;TEXT(INT((ROW()-5)/9)+1,"000")&amp;"-1")</f>
        <v>C077-1</v>
      </c>
      <c r="C690" t="str">
        <f>IF(OR(Registro_Compras!$C$80="",Registro_Compras!$O$80=""),"",IF(Registro_Compras!$F$80="RHE",IF(Registro_Compras!$V$80=0,"","4017"),IF(Registro_Compras!$F$80="NOTA DE CREDITO",IF(Registro_Compras!$M$80="","63",Registro_Compras!$M$80),IF(Registro_Compras!$K$80=0,"","40111"))))</f>
        <v>40111</v>
      </c>
      <c r="D690" t="str">
        <f>IF(OR(Registro_Compras!$C$80="",Registro_Compras!$O$80=""),"",IF(Registro_Compras!$F$80="RHE","Retencion Renta 4ta Categoria por Pagar",IF(Registro_Compras!$F$80="NOTA DE CREDITO","Gastos de Servicios Prestados por Terceros","IGV - Cuenta Propia (Credito Fiscal)")))</f>
        <v>IGV - Cuenta Propia (Credito Fiscal)</v>
      </c>
      <c r="E690" s="20">
        <f>IF($C690="","",IF(Registro_Compras!$F$80="FACTURA",ROUND(Registro_Compras!$K$80*Registro_Compras!$N$80,2),""))</f>
        <v>644.07000000000005</v>
      </c>
      <c r="F690" s="20" t="str">
        <f>IF($C690="","",IF(Registro_Compras!$F$80="RHE",ROUND(Registro_Compras!$V$80*Registro_Compras!$N$80,2),IF(Registro_Compras!$F$80="NOTA DE CREDITO",ROUND(ABS(Registro_Compras!$J$80*Registro_Compras!$N$80),2),"")))</f>
        <v/>
      </c>
      <c r="G690" t="str">
        <f>IF($C690="","",IF(Registro_Compras!$F$80="NOTA DE CREDITO","Por la nota de credito "&amp;Registro_Compras!$C$80&amp;" de "&amp;Registro_Compras!$E$80&amp;" [PATRON POR CONFIRMAR CON CONTADOR]",IF(Registro_Compras!$F$80="RHE","Por el registro del recibo por honorarios "&amp;Registro_Compras!$C$80&amp;" de "&amp;Registro_Compras!$E$80&amp;" [PATRON POR CONFIRMAR CON CONTADOR]","Por el registro de la factura "&amp;Registro_Compras!$C$80&amp;" de "&amp;Registro_Compras!$E$80)))</f>
        <v>Por el registro de la factura F001-00000734 de PERUVIAN CULTURE TRAVEL AGENCIA DE VIAJES Y TURISMO S.R.L.</v>
      </c>
      <c r="H690" t="str">
        <f>IF($C690="","",Registro_Compras!$C$80)</f>
        <v>F001-00000734</v>
      </c>
    </row>
    <row r="691" spans="1:8" x14ac:dyDescent="0.25">
      <c r="A691" s="25">
        <f>IF($C691="","",Registro_Compras!$B$80)</f>
        <v>46245</v>
      </c>
      <c r="B691" t="str">
        <f>IF($C691="","","C"&amp;TEXT(INT((ROW()-5)/9)+1,"000")&amp;"-1")</f>
        <v>C077-1</v>
      </c>
      <c r="C691" t="str">
        <f>IF(OR(Registro_Compras!$C$80="",Registro_Compras!$O$80=""),"",IF(Registro_Compras!$F$80="NOTA DE CREDITO",IF(Registro_Compras!$K$80=0,"","40111"),"4212"))</f>
        <v>4212</v>
      </c>
      <c r="D691" t="str">
        <f>IF(OR(Registro_Compras!$C$80="",Registro_Compras!$O$80=""),"",IF(Registro_Compras!$F$80="NOTA DE CREDITO","IGV - Cuenta Propia (Credito Fiscal)","Cuentas por Pagar Comerciales - Terceros (Emitidas)"))</f>
        <v>Cuentas por Pagar Comerciales - Terceros (Emitidas)</v>
      </c>
      <c r="E691" s="20" t="str">
        <f>""</f>
        <v/>
      </c>
      <c r="F691" s="20">
        <f>IF($C691="","",IF(Registro_Compras!$F$80="NOTA DE CREDITO",ROUND(ABS(Registro_Compras!$K$80*Registro_Compras!$N$80),2),IF(Registro_Compras!$F$80="RHE",(ROUND(Registro_Compras!$L$80*Registro_Compras!$N$80,2)-ROUND(Registro_Compras!$V$80*Registro_Compras!$N$80,2)),Registro_Compras!$O$80)))</f>
        <v>4222.2299999999996</v>
      </c>
      <c r="G691" t="str">
        <f>IF($C691="","",IF(Registro_Compras!$F$80="NOTA DE CREDITO","Por la nota de credito "&amp;Registro_Compras!$C$80&amp;" de "&amp;Registro_Compras!$E$80&amp;" [PATRON POR CONFIRMAR CON CONTADOR]",IF(Registro_Compras!$F$80="RHE","Por el registro del recibo por honorarios "&amp;Registro_Compras!$C$80&amp;" de "&amp;Registro_Compras!$E$80&amp;" [PATRON POR CONFIRMAR CON CONTADOR]","Por el registro de la factura "&amp;Registro_Compras!$C$80&amp;" de "&amp;Registro_Compras!$E$80)))</f>
        <v>Por el registro de la factura F001-00000734 de PERUVIAN CULTURE TRAVEL AGENCIA DE VIAJES Y TURISMO S.R.L.</v>
      </c>
      <c r="H691" t="str">
        <f>IF($C691="","",Registro_Compras!$C$80)</f>
        <v>F001-00000734</v>
      </c>
    </row>
    <row r="692" spans="1:8" x14ac:dyDescent="0.25">
      <c r="A692" s="25">
        <f>IF($C692="","",Registro_Compras!$B$80)</f>
        <v>46245</v>
      </c>
      <c r="B692" t="str">
        <f>IF($C692="","","C"&amp;TEXT(INT((ROW()-5)/9)+1,"000")&amp;"-2")</f>
        <v>C077-2</v>
      </c>
      <c r="C692" t="str">
        <f>IF(OR(Registro_Compras!$C$80="",Registro_Compras!$O$80=""),"",IF(Registro_Compras!$AB$80="ADMINISTRATIVO","94","95"))</f>
        <v>95</v>
      </c>
      <c r="D692" t="str">
        <f>IF(OR(Registro_Compras!$C$80="",Registro_Compras!$O$80=""),"",IF(Registro_Compras!$AB$80="ADMINISTRATIVO","Gastos Administrativos","Gastos de Venta y Operacion"))</f>
        <v>Gastos de Venta y Operacion</v>
      </c>
      <c r="E692" s="20">
        <f>IF($C692="","",IF(Registro_Compras!$F$80="NOTA DE CREDITO","",IF(Registro_Compras!$F$80="RHE",ROUND(Registro_Compras!$L$80*Registro_Compras!$N$80,2),ROUND(Registro_Compras!$J$80*Registro_Compras!$N$80,2))))</f>
        <v>3578.16</v>
      </c>
      <c r="F692" s="20" t="str">
        <f>IF($C692="","",IF(Registro_Compras!$F$80="NOTA DE CREDITO",ROUND(ABS(Registro_Compras!$J$80*Registro_Compras!$N$80),2),""))</f>
        <v/>
      </c>
      <c r="G692" t="str">
        <f>IF($C692="","","Por el destino del gasto")</f>
        <v>Por el destino del gasto</v>
      </c>
      <c r="H692" t="str">
        <f>IF($C692="","",Registro_Compras!$C$80)</f>
        <v>F001-00000734</v>
      </c>
    </row>
    <row r="693" spans="1:8" x14ac:dyDescent="0.25">
      <c r="A693" s="25">
        <f>IF($C693="","",Registro_Compras!$B$80)</f>
        <v>46245</v>
      </c>
      <c r="B693" t="str">
        <f>IF($C693="","","C"&amp;TEXT(INT((ROW()-5)/9)+1,"000")&amp;"-2")</f>
        <v>C077-2</v>
      </c>
      <c r="C693" t="str">
        <f>IF(OR(Registro_Compras!$C$80="",Registro_Compras!$O$80=""),"","79/791")</f>
        <v>79/791</v>
      </c>
      <c r="D693" t="str">
        <f>IF(OR(Registro_Compras!$C$80="",Registro_Compras!$O$80=""),"","Cargas Imputables a Cuentas de Costos y Gastos")</f>
        <v>Cargas Imputables a Cuentas de Costos y Gastos</v>
      </c>
      <c r="E693" s="20" t="str">
        <f>IF($C693="","",IF(Registro_Compras!$F$80="NOTA DE CREDITO",ROUND(ABS(Registro_Compras!$J$80*Registro_Compras!$N$80),2),""))</f>
        <v/>
      </c>
      <c r="F693" s="20">
        <f>IF($C693="","",IF(Registro_Compras!$F$80="NOTA DE CREDITO","",IF(Registro_Compras!$F$80="RHE",ROUND(Registro_Compras!$L$80*Registro_Compras!$N$80,2),ROUND(Registro_Compras!$J$80*Registro_Compras!$N$80,2))))</f>
        <v>3578.16</v>
      </c>
      <c r="G693" t="str">
        <f>IF($C693="","","Por el destino del gasto")</f>
        <v>Por el destino del gasto</v>
      </c>
      <c r="H693" t="str">
        <f>IF($C693="","",Registro_Compras!$C$80)</f>
        <v>F001-00000734</v>
      </c>
    </row>
    <row r="694" spans="1:8" x14ac:dyDescent="0.25">
      <c r="A694" s="25" t="str">
        <f>IF($C694="","",Registro_Compras!$X$80)</f>
        <v/>
      </c>
      <c r="B694" t="str">
        <f>IF($C694="","","C"&amp;TEXT(INT((ROW()-5)/9)+1,"000")&amp;"-3")</f>
        <v/>
      </c>
      <c r="C694" t="str">
        <f>IF(OR(Registro_Compras!$C$80="",Registro_Compras!$O$80="",Registro_Compras!$R$80&lt;&gt;"SI",Registro_Compras!$X$80=""),"","4212")</f>
        <v/>
      </c>
      <c r="D694" t="str">
        <f>IF(OR(Registro_Compras!$C$80="",Registro_Compras!$O$80=""),"","Cuentas por Pagar Comerciales - Terceros")</f>
        <v>Cuentas por Pagar Comerciales - Terceros</v>
      </c>
      <c r="E694" s="20" t="str">
        <f>IF($C694="","",Registro_Compras!$S$80)</f>
        <v/>
      </c>
      <c r="F694" s="20" t="str">
        <f>""</f>
        <v/>
      </c>
      <c r="G694" t="str">
        <f>IF($C694="","","Por el deposito de la detraccion en el Banco de la Nacion")</f>
        <v/>
      </c>
      <c r="H694" t="str">
        <f>IF($C694="","",Registro_Compras!$C$80)</f>
        <v/>
      </c>
    </row>
    <row r="695" spans="1:8" x14ac:dyDescent="0.25">
      <c r="A695" s="25" t="str">
        <f>IF($C695="","",Registro_Compras!$X$80)</f>
        <v/>
      </c>
      <c r="B695" t="str">
        <f>IF($C695="","","C"&amp;TEXT(INT((ROW()-5)/9)+1,"000")&amp;"-3")</f>
        <v/>
      </c>
      <c r="C695" t="str">
        <f>IF(OR(Registro_Compras!$C$80="",Registro_Compras!$O$80="",Registro_Compras!$R$80&lt;&gt;"SI",Registro_Compras!$X$80=""),"","1041")</f>
        <v/>
      </c>
      <c r="D695" t="str">
        <f>IF(OR(Registro_Compras!$C$80="",Registro_Compras!$O$80=""),"","Efectivo y Equivalentes - Cta. Cte. Operativa")</f>
        <v>Efectivo y Equivalentes - Cta. Cte. Operativa</v>
      </c>
      <c r="E695" s="20" t="str">
        <f>""</f>
        <v/>
      </c>
      <c r="F695" s="20" t="str">
        <f>IF($C695="","",Registro_Compras!$S$80)</f>
        <v/>
      </c>
      <c r="G695" t="str">
        <f>IF($C695="","","Por el deposito de la detraccion en el Banco de la Nacion")</f>
        <v/>
      </c>
      <c r="H695" t="str">
        <f>IF($C695="","",Registro_Compras!$C$80)</f>
        <v/>
      </c>
    </row>
    <row r="696" spans="1:8" x14ac:dyDescent="0.25">
      <c r="A696" s="25" t="str">
        <f>IF($C696="","",Registro_Compras!$Y$80)</f>
        <v/>
      </c>
      <c r="B696" t="str">
        <f>IF($C696="","","C"&amp;TEXT(INT((ROW()-5)/9)+1,"000")&amp;"-4")</f>
        <v/>
      </c>
      <c r="C696" t="str">
        <f>IF(OR(Registro_Compras!$C$80="",Registro_Compras!$O$80="",Registro_Compras!$Y$80="",Registro_Compras!$F$80="NOTA DE CREDITO"),"","4212")</f>
        <v/>
      </c>
      <c r="D696" t="str">
        <f>IF(OR(Registro_Compras!$C$80="",Registro_Compras!$O$80=""),"","Cuentas por Pagar Comerciales - Terceros")</f>
        <v>Cuentas por Pagar Comerciales - Terceros</v>
      </c>
      <c r="E696" s="20" t="str">
        <f>IF($C696="","",IF(Registro_Compras!$F$80="RHE",(ROUND(Registro_Compras!$L$80*Registro_Compras!$N$80,2)-ROUND(Registro_Compras!$V$80*Registro_Compras!$N$80,2)),ROUND(Registro_Compras!$O$80-Registro_Compras!$S$80,2)))</f>
        <v/>
      </c>
      <c r="F696" s="20" t="str">
        <f>""</f>
        <v/>
      </c>
      <c r="G696" t="str">
        <f>IF($C696="","","Por la cancelacion del saldo al proveedor")</f>
        <v/>
      </c>
      <c r="H696" t="str">
        <f>IF($C696="","",Registro_Compras!$C$80)</f>
        <v/>
      </c>
    </row>
    <row r="697" spans="1:8" x14ac:dyDescent="0.25">
      <c r="A697" s="25" t="str">
        <f>IF($C697="","",Registro_Compras!$Y$80)</f>
        <v/>
      </c>
      <c r="B697" t="str">
        <f>IF($C697="","","C"&amp;TEXT(INT((ROW()-5)/9)+1,"000")&amp;"-4")</f>
        <v/>
      </c>
      <c r="C697" t="str">
        <f>IF(OR(Registro_Compras!$C$80="",Registro_Compras!$O$80="",Registro_Compras!$Y$80="",Registro_Compras!$F$80="NOTA DE CREDITO"),"","1041")</f>
        <v/>
      </c>
      <c r="D697" t="str">
        <f>IF(OR(Registro_Compras!$C$80="",Registro_Compras!$O$80=""),"","Efectivo y Equivalentes - Cta. Cte. Operativa")</f>
        <v>Efectivo y Equivalentes - Cta. Cte. Operativa</v>
      </c>
      <c r="E697" s="20" t="str">
        <f>""</f>
        <v/>
      </c>
      <c r="F697" s="20" t="str">
        <f>IF($C697="","",IF(Registro_Compras!$F$80="RHE",(ROUND(Registro_Compras!$L$80*Registro_Compras!$N$80,2)-ROUND(Registro_Compras!$V$80*Registro_Compras!$N$80,2)),ROUND(Registro_Compras!$O$80-Registro_Compras!$S$80,2)))</f>
        <v/>
      </c>
      <c r="G697" t="str">
        <f>IF($C697="","","Por la cancelacion del saldo al proveedor")</f>
        <v/>
      </c>
      <c r="H697" t="str">
        <f>IF($C697="","",Registro_Compras!$C$80)</f>
        <v/>
      </c>
    </row>
    <row r="698" spans="1:8" x14ac:dyDescent="0.25">
      <c r="A698" s="25">
        <f>IF($C698="","",Registro_Compras!$B$81)</f>
        <v>46244</v>
      </c>
      <c r="B698" t="str">
        <f>IF($C698="","","C"&amp;TEXT(INT((ROW()-5)/9)+1,"000")&amp;"-1")</f>
        <v>C078-1</v>
      </c>
      <c r="C698" t="str">
        <f>IF(OR(Registro_Compras!$C$81="",Registro_Compras!$O$81=""),"",IF(Registro_Compras!$F$81="NOTA DE CREDITO","4212",IF(Registro_Compras!$M$81="","63",Registro_Compras!$M$81)))</f>
        <v>639</v>
      </c>
      <c r="D698" t="str">
        <f>IF(OR(Registro_Compras!$C$81="",Registro_Compras!$O$81=""),"",IF(Registro_Compras!$F$81="NOTA DE CREDITO","Cuentas por Pagar Comerciales - Terceros (Emitidas)",IF(Registro_Compras!$F$81="RHE","Honorarios Profesionales - Servicios de Terceros","Gastos de Servicios Prestados por Terceros")))</f>
        <v>Gastos de Servicios Prestados por Terceros</v>
      </c>
      <c r="E698" s="20">
        <f>IF($C698="","",IF(Registro_Compras!$F$81="NOTA DE CREDITO",ABS(Registro_Compras!$O$81),IF(Registro_Compras!$F$81="RHE",ROUND(Registro_Compras!$L$81*Registro_Compras!$N$81,2),ROUND(Registro_Compras!$J$81*Registro_Compras!$N$81,2))))</f>
        <v>681.08</v>
      </c>
      <c r="F698" s="20" t="str">
        <f>""</f>
        <v/>
      </c>
      <c r="G698" t="str">
        <f>IF($C698="","",IF(Registro_Compras!$F$81="NOTA DE CREDITO","Por la nota de credito "&amp;Registro_Compras!$C$81&amp;" de "&amp;Registro_Compras!$E$81&amp;" [PATRON POR CONFIRMAR CON CONTADOR]",IF(Registro_Compras!$F$81="RHE","Por el registro del recibo por honorarios "&amp;Registro_Compras!$C$81&amp;" de "&amp;Registro_Compras!$E$81&amp;" [PATRON POR CONFIRMAR CON CONTADOR]","Por el registro de la factura "&amp;Registro_Compras!$C$81&amp;" de "&amp;Registro_Compras!$E$81)))</f>
        <v>Por el registro de la factura E001-1128 de QUECHUA TREKS PERU E.I.R.L.</v>
      </c>
      <c r="H698" t="str">
        <f>IF($C698="","",Registro_Compras!$C$81)</f>
        <v>E001-1128</v>
      </c>
    </row>
    <row r="699" spans="1:8" x14ac:dyDescent="0.25">
      <c r="A699" s="25">
        <f>IF($C699="","",Registro_Compras!$B$81)</f>
        <v>46244</v>
      </c>
      <c r="B699" t="str">
        <f>IF($C699="","","C"&amp;TEXT(INT((ROW()-5)/9)+1,"000")&amp;"-1")</f>
        <v>C078-1</v>
      </c>
      <c r="C699" t="str">
        <f>IF(OR(Registro_Compras!$C$81="",Registro_Compras!$O$81=""),"",IF(Registro_Compras!$F$81="RHE",IF(Registro_Compras!$V$81=0,"","4017"),IF(Registro_Compras!$F$81="NOTA DE CREDITO",IF(Registro_Compras!$M$81="","63",Registro_Compras!$M$81),IF(Registro_Compras!$K$81=0,"","40111"))))</f>
        <v>40111</v>
      </c>
      <c r="D699" t="str">
        <f>IF(OR(Registro_Compras!$C$81="",Registro_Compras!$O$81=""),"",IF(Registro_Compras!$F$81="RHE","Retencion Renta 4ta Categoria por Pagar",IF(Registro_Compras!$F$81="NOTA DE CREDITO","Gastos de Servicios Prestados por Terceros","IGV - Cuenta Propia (Credito Fiscal)")))</f>
        <v>IGV - Cuenta Propia (Credito Fiscal)</v>
      </c>
      <c r="E699" s="20">
        <f>IF($C699="","",IF(Registro_Compras!$F$81="FACTURA",ROUND(Registro_Compras!$K$81*Registro_Compras!$N$81,2),""))</f>
        <v>122.58</v>
      </c>
      <c r="F699" s="20" t="str">
        <f>IF($C699="","",IF(Registro_Compras!$F$81="RHE",ROUND(Registro_Compras!$V$81*Registro_Compras!$N$81,2),IF(Registro_Compras!$F$81="NOTA DE CREDITO",ROUND(ABS(Registro_Compras!$J$81*Registro_Compras!$N$81),2),"")))</f>
        <v/>
      </c>
      <c r="G699" t="str">
        <f>IF($C699="","",IF(Registro_Compras!$F$81="NOTA DE CREDITO","Por la nota de credito "&amp;Registro_Compras!$C$81&amp;" de "&amp;Registro_Compras!$E$81&amp;" [PATRON POR CONFIRMAR CON CONTADOR]",IF(Registro_Compras!$F$81="RHE","Por el registro del recibo por honorarios "&amp;Registro_Compras!$C$81&amp;" de "&amp;Registro_Compras!$E$81&amp;" [PATRON POR CONFIRMAR CON CONTADOR]","Por el registro de la factura "&amp;Registro_Compras!$C$81&amp;" de "&amp;Registro_Compras!$E$81)))</f>
        <v>Por el registro de la factura E001-1128 de QUECHUA TREKS PERU E.I.R.L.</v>
      </c>
      <c r="H699" t="str">
        <f>IF($C699="","",Registro_Compras!$C$81)</f>
        <v>E001-1128</v>
      </c>
    </row>
    <row r="700" spans="1:8" x14ac:dyDescent="0.25">
      <c r="A700" s="25">
        <f>IF($C700="","",Registro_Compras!$B$81)</f>
        <v>46244</v>
      </c>
      <c r="B700" t="str">
        <f>IF($C700="","","C"&amp;TEXT(INT((ROW()-5)/9)+1,"000")&amp;"-1")</f>
        <v>C078-1</v>
      </c>
      <c r="C700" t="str">
        <f>IF(OR(Registro_Compras!$C$81="",Registro_Compras!$O$81=""),"",IF(Registro_Compras!$F$81="NOTA DE CREDITO",IF(Registro_Compras!$K$81=0,"","40111"),"4212"))</f>
        <v>4212</v>
      </c>
      <c r="D700" t="str">
        <f>IF(OR(Registro_Compras!$C$81="",Registro_Compras!$O$81=""),"",IF(Registro_Compras!$F$81="NOTA DE CREDITO","IGV - Cuenta Propia (Credito Fiscal)","Cuentas por Pagar Comerciales - Terceros (Emitidas)"))</f>
        <v>Cuentas por Pagar Comerciales - Terceros (Emitidas)</v>
      </c>
      <c r="E700" s="20" t="str">
        <f>""</f>
        <v/>
      </c>
      <c r="F700" s="20">
        <f>IF($C700="","",IF(Registro_Compras!$F$81="NOTA DE CREDITO",ROUND(ABS(Registro_Compras!$K$81*Registro_Compras!$N$81),2),IF(Registro_Compras!$F$81="RHE",(ROUND(Registro_Compras!$L$81*Registro_Compras!$N$81,2)-ROUND(Registro_Compras!$V$81*Registro_Compras!$N$81,2)),Registro_Compras!$O$81)))</f>
        <v>803.66000000000008</v>
      </c>
      <c r="G700" t="str">
        <f>IF($C700="","",IF(Registro_Compras!$F$81="NOTA DE CREDITO","Por la nota de credito "&amp;Registro_Compras!$C$81&amp;" de "&amp;Registro_Compras!$E$81&amp;" [PATRON POR CONFIRMAR CON CONTADOR]",IF(Registro_Compras!$F$81="RHE","Por el registro del recibo por honorarios "&amp;Registro_Compras!$C$81&amp;" de "&amp;Registro_Compras!$E$81&amp;" [PATRON POR CONFIRMAR CON CONTADOR]","Por el registro de la factura "&amp;Registro_Compras!$C$81&amp;" de "&amp;Registro_Compras!$E$81)))</f>
        <v>Por el registro de la factura E001-1128 de QUECHUA TREKS PERU E.I.R.L.</v>
      </c>
      <c r="H700" t="str">
        <f>IF($C700="","",Registro_Compras!$C$81)</f>
        <v>E001-1128</v>
      </c>
    </row>
    <row r="701" spans="1:8" x14ac:dyDescent="0.25">
      <c r="A701" s="25">
        <f>IF($C701="","",Registro_Compras!$B$81)</f>
        <v>46244</v>
      </c>
      <c r="B701" t="str">
        <f>IF($C701="","","C"&amp;TEXT(INT((ROW()-5)/9)+1,"000")&amp;"-2")</f>
        <v>C078-2</v>
      </c>
      <c r="C701" t="str">
        <f>IF(OR(Registro_Compras!$C$81="",Registro_Compras!$O$81=""),"",IF(Registro_Compras!$AB$81="ADMINISTRATIVO","94","95"))</f>
        <v>95</v>
      </c>
      <c r="D701" t="str">
        <f>IF(OR(Registro_Compras!$C$81="",Registro_Compras!$O$81=""),"",IF(Registro_Compras!$AB$81="ADMINISTRATIVO","Gastos Administrativos","Gastos de Venta y Operacion"))</f>
        <v>Gastos de Venta y Operacion</v>
      </c>
      <c r="E701" s="20">
        <f>IF($C701="","",IF(Registro_Compras!$F$81="NOTA DE CREDITO","",IF(Registro_Compras!$F$81="RHE",ROUND(Registro_Compras!$L$81*Registro_Compras!$N$81,2),ROUND(Registro_Compras!$J$81*Registro_Compras!$N$81,2))))</f>
        <v>681.08</v>
      </c>
      <c r="F701" s="20" t="str">
        <f>IF($C701="","",IF(Registro_Compras!$F$81="NOTA DE CREDITO",ROUND(ABS(Registro_Compras!$J$81*Registro_Compras!$N$81),2),""))</f>
        <v/>
      </c>
      <c r="G701" t="str">
        <f>IF($C701="","","Por el destino del gasto")</f>
        <v>Por el destino del gasto</v>
      </c>
      <c r="H701" t="str">
        <f>IF($C701="","",Registro_Compras!$C$81)</f>
        <v>E001-1128</v>
      </c>
    </row>
    <row r="702" spans="1:8" x14ac:dyDescent="0.25">
      <c r="A702" s="25">
        <f>IF($C702="","",Registro_Compras!$B$81)</f>
        <v>46244</v>
      </c>
      <c r="B702" t="str">
        <f>IF($C702="","","C"&amp;TEXT(INT((ROW()-5)/9)+1,"000")&amp;"-2")</f>
        <v>C078-2</v>
      </c>
      <c r="C702" t="str">
        <f>IF(OR(Registro_Compras!$C$81="",Registro_Compras!$O$81=""),"","79/791")</f>
        <v>79/791</v>
      </c>
      <c r="D702" t="str">
        <f>IF(OR(Registro_Compras!$C$81="",Registro_Compras!$O$81=""),"","Cargas Imputables a Cuentas de Costos y Gastos")</f>
        <v>Cargas Imputables a Cuentas de Costos y Gastos</v>
      </c>
      <c r="E702" s="20" t="str">
        <f>IF($C702="","",IF(Registro_Compras!$F$81="NOTA DE CREDITO",ROUND(ABS(Registro_Compras!$J$81*Registro_Compras!$N$81),2),""))</f>
        <v/>
      </c>
      <c r="F702" s="20">
        <f>IF($C702="","",IF(Registro_Compras!$F$81="NOTA DE CREDITO","",IF(Registro_Compras!$F$81="RHE",ROUND(Registro_Compras!$L$81*Registro_Compras!$N$81,2),ROUND(Registro_Compras!$J$81*Registro_Compras!$N$81,2))))</f>
        <v>681.08</v>
      </c>
      <c r="G702" t="str">
        <f>IF($C702="","","Por el destino del gasto")</f>
        <v>Por el destino del gasto</v>
      </c>
      <c r="H702" t="str">
        <f>IF($C702="","",Registro_Compras!$C$81)</f>
        <v>E001-1128</v>
      </c>
    </row>
    <row r="703" spans="1:8" x14ac:dyDescent="0.25">
      <c r="A703" s="25" t="str">
        <f>IF($C703="","",Registro_Compras!$X$81)</f>
        <v/>
      </c>
      <c r="B703" t="str">
        <f>IF($C703="","","C"&amp;TEXT(INT((ROW()-5)/9)+1,"000")&amp;"-3")</f>
        <v/>
      </c>
      <c r="C703" t="str">
        <f>IF(OR(Registro_Compras!$C$81="",Registro_Compras!$O$81="",Registro_Compras!$R$81&lt;&gt;"SI",Registro_Compras!$X$81=""),"","4212")</f>
        <v/>
      </c>
      <c r="D703" t="str">
        <f>IF(OR(Registro_Compras!$C$81="",Registro_Compras!$O$81=""),"","Cuentas por Pagar Comerciales - Terceros")</f>
        <v>Cuentas por Pagar Comerciales - Terceros</v>
      </c>
      <c r="E703" s="20" t="str">
        <f>IF($C703="","",Registro_Compras!$S$81)</f>
        <v/>
      </c>
      <c r="F703" s="20" t="str">
        <f>""</f>
        <v/>
      </c>
      <c r="G703" t="str">
        <f>IF($C703="","","Por el deposito de la detraccion en el Banco de la Nacion")</f>
        <v/>
      </c>
      <c r="H703" t="str">
        <f>IF($C703="","",Registro_Compras!$C$81)</f>
        <v/>
      </c>
    </row>
    <row r="704" spans="1:8" x14ac:dyDescent="0.25">
      <c r="A704" s="25" t="str">
        <f>IF($C704="","",Registro_Compras!$X$81)</f>
        <v/>
      </c>
      <c r="B704" t="str">
        <f>IF($C704="","","C"&amp;TEXT(INT((ROW()-5)/9)+1,"000")&amp;"-3")</f>
        <v/>
      </c>
      <c r="C704" t="str">
        <f>IF(OR(Registro_Compras!$C$81="",Registro_Compras!$O$81="",Registro_Compras!$R$81&lt;&gt;"SI",Registro_Compras!$X$81=""),"","1041")</f>
        <v/>
      </c>
      <c r="D704" t="str">
        <f>IF(OR(Registro_Compras!$C$81="",Registro_Compras!$O$81=""),"","Efectivo y Equivalentes - Cta. Cte. Operativa")</f>
        <v>Efectivo y Equivalentes - Cta. Cte. Operativa</v>
      </c>
      <c r="E704" s="20" t="str">
        <f>""</f>
        <v/>
      </c>
      <c r="F704" s="20" t="str">
        <f>IF($C704="","",Registro_Compras!$S$81)</f>
        <v/>
      </c>
      <c r="G704" t="str">
        <f>IF($C704="","","Por el deposito de la detraccion en el Banco de la Nacion")</f>
        <v/>
      </c>
      <c r="H704" t="str">
        <f>IF($C704="","",Registro_Compras!$C$81)</f>
        <v/>
      </c>
    </row>
    <row r="705" spans="1:8" x14ac:dyDescent="0.25">
      <c r="A705" s="25" t="str">
        <f>IF($C705="","",Registro_Compras!$Y$81)</f>
        <v/>
      </c>
      <c r="B705" t="str">
        <f>IF($C705="","","C"&amp;TEXT(INT((ROW()-5)/9)+1,"000")&amp;"-4")</f>
        <v/>
      </c>
      <c r="C705" t="str">
        <f>IF(OR(Registro_Compras!$C$81="",Registro_Compras!$O$81="",Registro_Compras!$Y$81="",Registro_Compras!$F$81="NOTA DE CREDITO"),"","4212")</f>
        <v/>
      </c>
      <c r="D705" t="str">
        <f>IF(OR(Registro_Compras!$C$81="",Registro_Compras!$O$81=""),"","Cuentas por Pagar Comerciales - Terceros")</f>
        <v>Cuentas por Pagar Comerciales - Terceros</v>
      </c>
      <c r="E705" s="20" t="str">
        <f>IF($C705="","",IF(Registro_Compras!$F$81="RHE",(ROUND(Registro_Compras!$L$81*Registro_Compras!$N$81,2)-ROUND(Registro_Compras!$V$81*Registro_Compras!$N$81,2)),ROUND(Registro_Compras!$O$81-Registro_Compras!$S$81,2)))</f>
        <v/>
      </c>
      <c r="F705" s="20" t="str">
        <f>""</f>
        <v/>
      </c>
      <c r="G705" t="str">
        <f>IF($C705="","","Por la cancelacion del saldo al proveedor")</f>
        <v/>
      </c>
      <c r="H705" t="str">
        <f>IF($C705="","",Registro_Compras!$C$81)</f>
        <v/>
      </c>
    </row>
    <row r="706" spans="1:8" x14ac:dyDescent="0.25">
      <c r="A706" s="25" t="str">
        <f>IF($C706="","",Registro_Compras!$Y$81)</f>
        <v/>
      </c>
      <c r="B706" t="str">
        <f>IF($C706="","","C"&amp;TEXT(INT((ROW()-5)/9)+1,"000")&amp;"-4")</f>
        <v/>
      </c>
      <c r="C706" t="str">
        <f>IF(OR(Registro_Compras!$C$81="",Registro_Compras!$O$81="",Registro_Compras!$Y$81="",Registro_Compras!$F$81="NOTA DE CREDITO"),"","1041")</f>
        <v/>
      </c>
      <c r="D706" t="str">
        <f>IF(OR(Registro_Compras!$C$81="",Registro_Compras!$O$81=""),"","Efectivo y Equivalentes - Cta. Cte. Operativa")</f>
        <v>Efectivo y Equivalentes - Cta. Cte. Operativa</v>
      </c>
      <c r="E706" s="20" t="str">
        <f>""</f>
        <v/>
      </c>
      <c r="F706" s="20" t="str">
        <f>IF($C706="","",IF(Registro_Compras!$F$81="RHE",(ROUND(Registro_Compras!$L$81*Registro_Compras!$N$81,2)-ROUND(Registro_Compras!$V$81*Registro_Compras!$N$81,2)),ROUND(Registro_Compras!$O$81-Registro_Compras!$S$81,2)))</f>
        <v/>
      </c>
      <c r="G706" t="str">
        <f>IF($C706="","","Por la cancelacion del saldo al proveedor")</f>
        <v/>
      </c>
      <c r="H706" t="str">
        <f>IF($C706="","",Registro_Compras!$C$81)</f>
        <v/>
      </c>
    </row>
    <row r="707" spans="1:8" x14ac:dyDescent="0.25">
      <c r="A707" s="25">
        <f>IF($C707="","",Registro_Compras!$B$82)</f>
        <v>46242</v>
      </c>
      <c r="B707" t="str">
        <f>IF($C707="","","C"&amp;TEXT(INT((ROW()-5)/9)+1,"000")&amp;"-1")</f>
        <v>C079-1</v>
      </c>
      <c r="C707" t="str">
        <f>IF(OR(Registro_Compras!$C$82="",Registro_Compras!$O$82=""),"",IF(Registro_Compras!$F$82="NOTA DE CREDITO","4212",IF(Registro_Compras!$M$82="","63",Registro_Compras!$M$82)))</f>
        <v>639</v>
      </c>
      <c r="D707" t="str">
        <f>IF(OR(Registro_Compras!$C$82="",Registro_Compras!$O$82=""),"",IF(Registro_Compras!$F$82="NOTA DE CREDITO","Cuentas por Pagar Comerciales - Terceros (Emitidas)",IF(Registro_Compras!$F$82="RHE","Honorarios Profesionales - Servicios de Terceros","Gastos de Servicios Prestados por Terceros")))</f>
        <v>Gastos de Servicios Prestados por Terceros</v>
      </c>
      <c r="E707" s="20">
        <f>IF($C707="","",IF(Registro_Compras!$F$82="NOTA DE CREDITO",ABS(Registro_Compras!$O$82),IF(Registro_Compras!$F$82="RHE",ROUND(Registro_Compras!$L$82*Registro_Compras!$N$82,2),ROUND(Registro_Compras!$J$82*Registro_Compras!$N$82,2))))</f>
        <v>510.22</v>
      </c>
      <c r="F707" s="20" t="str">
        <f>""</f>
        <v/>
      </c>
      <c r="G707" t="str">
        <f>IF($C707="","",IF(Registro_Compras!$F$82="NOTA DE CREDITO","Por la nota de credito "&amp;Registro_Compras!$C$82&amp;" de "&amp;Registro_Compras!$E$82&amp;" [PATRON POR CONFIRMAR CON CONTADOR]",IF(Registro_Compras!$F$82="RHE","Por el registro del recibo por honorarios "&amp;Registro_Compras!$C$82&amp;" de "&amp;Registro_Compras!$E$82&amp;" [PATRON POR CONFIRMAR CON CONTADOR]","Por el registro de la factura "&amp;Registro_Compras!$C$82&amp;" de "&amp;Registro_Compras!$E$82)))</f>
        <v>Por el registro de la factura E001-1228 de TRANSPORTES TURISTICOS LASER S.A.C.</v>
      </c>
      <c r="H707" t="str">
        <f>IF($C707="","",Registro_Compras!$C$82)</f>
        <v>E001-1228</v>
      </c>
    </row>
    <row r="708" spans="1:8" x14ac:dyDescent="0.25">
      <c r="A708" s="25">
        <f>IF($C708="","",Registro_Compras!$B$82)</f>
        <v>46242</v>
      </c>
      <c r="B708" t="str">
        <f>IF($C708="","","C"&amp;TEXT(INT((ROW()-5)/9)+1,"000")&amp;"-1")</f>
        <v>C079-1</v>
      </c>
      <c r="C708" t="str">
        <f>IF(OR(Registro_Compras!$C$82="",Registro_Compras!$O$82=""),"",IF(Registro_Compras!$F$82="RHE",IF(Registro_Compras!$V$82=0,"","4017"),IF(Registro_Compras!$F$82="NOTA DE CREDITO",IF(Registro_Compras!$M$82="","63",Registro_Compras!$M$82),IF(Registro_Compras!$K$82=0,"","40111"))))</f>
        <v>40111</v>
      </c>
      <c r="D708" t="str">
        <f>IF(OR(Registro_Compras!$C$82="",Registro_Compras!$O$82=""),"",IF(Registro_Compras!$F$82="RHE","Retencion Renta 4ta Categoria por Pagar",IF(Registro_Compras!$F$82="NOTA DE CREDITO","Gastos de Servicios Prestados por Terceros","IGV - Cuenta Propia (Credito Fiscal)")))</f>
        <v>IGV - Cuenta Propia (Credito Fiscal)</v>
      </c>
      <c r="E708" s="20">
        <f>IF($C708="","",IF(Registro_Compras!$F$82="FACTURA",ROUND(Registro_Compras!$K$82*Registro_Compras!$N$82,2),""))</f>
        <v>91.84</v>
      </c>
      <c r="F708" s="20" t="str">
        <f>IF($C708="","",IF(Registro_Compras!$F$82="RHE",ROUND(Registro_Compras!$V$82*Registro_Compras!$N$82,2),IF(Registro_Compras!$F$82="NOTA DE CREDITO",ROUND(ABS(Registro_Compras!$J$82*Registro_Compras!$N$82),2),"")))</f>
        <v/>
      </c>
      <c r="G708" t="str">
        <f>IF($C708="","",IF(Registro_Compras!$F$82="NOTA DE CREDITO","Por la nota de credito "&amp;Registro_Compras!$C$82&amp;" de "&amp;Registro_Compras!$E$82&amp;" [PATRON POR CONFIRMAR CON CONTADOR]",IF(Registro_Compras!$F$82="RHE","Por el registro del recibo por honorarios "&amp;Registro_Compras!$C$82&amp;" de "&amp;Registro_Compras!$E$82&amp;" [PATRON POR CONFIRMAR CON CONTADOR]","Por el registro de la factura "&amp;Registro_Compras!$C$82&amp;" de "&amp;Registro_Compras!$E$82)))</f>
        <v>Por el registro de la factura E001-1228 de TRANSPORTES TURISTICOS LASER S.A.C.</v>
      </c>
      <c r="H708" t="str">
        <f>IF($C708="","",Registro_Compras!$C$82)</f>
        <v>E001-1228</v>
      </c>
    </row>
    <row r="709" spans="1:8" x14ac:dyDescent="0.25">
      <c r="A709" s="25">
        <f>IF($C709="","",Registro_Compras!$B$82)</f>
        <v>46242</v>
      </c>
      <c r="B709" t="str">
        <f>IF($C709="","","C"&amp;TEXT(INT((ROW()-5)/9)+1,"000")&amp;"-1")</f>
        <v>C079-1</v>
      </c>
      <c r="C709" t="str">
        <f>IF(OR(Registro_Compras!$C$82="",Registro_Compras!$O$82=""),"",IF(Registro_Compras!$F$82="NOTA DE CREDITO",IF(Registro_Compras!$K$82=0,"","40111"),"4212"))</f>
        <v>4212</v>
      </c>
      <c r="D709" t="str">
        <f>IF(OR(Registro_Compras!$C$82="",Registro_Compras!$O$82=""),"",IF(Registro_Compras!$F$82="NOTA DE CREDITO","IGV - Cuenta Propia (Credito Fiscal)","Cuentas por Pagar Comerciales - Terceros (Emitidas)"))</f>
        <v>Cuentas por Pagar Comerciales - Terceros (Emitidas)</v>
      </c>
      <c r="E709" s="20" t="str">
        <f>""</f>
        <v/>
      </c>
      <c r="F709" s="20">
        <f>IF($C709="","",IF(Registro_Compras!$F$82="NOTA DE CREDITO",ROUND(ABS(Registro_Compras!$K$82*Registro_Compras!$N$82),2),IF(Registro_Compras!$F$82="RHE",(ROUND(Registro_Compras!$L$82*Registro_Compras!$N$82,2)-ROUND(Registro_Compras!$V$82*Registro_Compras!$N$82,2)),Registro_Compras!$O$82)))</f>
        <v>602.06000000000006</v>
      </c>
      <c r="G709" t="str">
        <f>IF($C709="","",IF(Registro_Compras!$F$82="NOTA DE CREDITO","Por la nota de credito "&amp;Registro_Compras!$C$82&amp;" de "&amp;Registro_Compras!$E$82&amp;" [PATRON POR CONFIRMAR CON CONTADOR]",IF(Registro_Compras!$F$82="RHE","Por el registro del recibo por honorarios "&amp;Registro_Compras!$C$82&amp;" de "&amp;Registro_Compras!$E$82&amp;" [PATRON POR CONFIRMAR CON CONTADOR]","Por el registro de la factura "&amp;Registro_Compras!$C$82&amp;" de "&amp;Registro_Compras!$E$82)))</f>
        <v>Por el registro de la factura E001-1228 de TRANSPORTES TURISTICOS LASER S.A.C.</v>
      </c>
      <c r="H709" t="str">
        <f>IF($C709="","",Registro_Compras!$C$82)</f>
        <v>E001-1228</v>
      </c>
    </row>
    <row r="710" spans="1:8" x14ac:dyDescent="0.25">
      <c r="A710" s="25">
        <f>IF($C710="","",Registro_Compras!$B$82)</f>
        <v>46242</v>
      </c>
      <c r="B710" t="str">
        <f>IF($C710="","","C"&amp;TEXT(INT((ROW()-5)/9)+1,"000")&amp;"-2")</f>
        <v>C079-2</v>
      </c>
      <c r="C710" t="str">
        <f>IF(OR(Registro_Compras!$C$82="",Registro_Compras!$O$82=""),"",IF(Registro_Compras!$AB$82="ADMINISTRATIVO","94","95"))</f>
        <v>95</v>
      </c>
      <c r="D710" t="str">
        <f>IF(OR(Registro_Compras!$C$82="",Registro_Compras!$O$82=""),"",IF(Registro_Compras!$AB$82="ADMINISTRATIVO","Gastos Administrativos","Gastos de Venta y Operacion"))</f>
        <v>Gastos de Venta y Operacion</v>
      </c>
      <c r="E710" s="20">
        <f>IF($C710="","",IF(Registro_Compras!$F$82="NOTA DE CREDITO","",IF(Registro_Compras!$F$82="RHE",ROUND(Registro_Compras!$L$82*Registro_Compras!$N$82,2),ROUND(Registro_Compras!$J$82*Registro_Compras!$N$82,2))))</f>
        <v>510.22</v>
      </c>
      <c r="F710" s="20" t="str">
        <f>IF($C710="","",IF(Registro_Compras!$F$82="NOTA DE CREDITO",ROUND(ABS(Registro_Compras!$J$82*Registro_Compras!$N$82),2),""))</f>
        <v/>
      </c>
      <c r="G710" t="str">
        <f>IF($C710="","","Por el destino del gasto")</f>
        <v>Por el destino del gasto</v>
      </c>
      <c r="H710" t="str">
        <f>IF($C710="","",Registro_Compras!$C$82)</f>
        <v>E001-1228</v>
      </c>
    </row>
    <row r="711" spans="1:8" x14ac:dyDescent="0.25">
      <c r="A711" s="25">
        <f>IF($C711="","",Registro_Compras!$B$82)</f>
        <v>46242</v>
      </c>
      <c r="B711" t="str">
        <f>IF($C711="","","C"&amp;TEXT(INT((ROW()-5)/9)+1,"000")&amp;"-2")</f>
        <v>C079-2</v>
      </c>
      <c r="C711" t="str">
        <f>IF(OR(Registro_Compras!$C$82="",Registro_Compras!$O$82=""),"","79/791")</f>
        <v>79/791</v>
      </c>
      <c r="D711" t="str">
        <f>IF(OR(Registro_Compras!$C$82="",Registro_Compras!$O$82=""),"","Cargas Imputables a Cuentas de Costos y Gastos")</f>
        <v>Cargas Imputables a Cuentas de Costos y Gastos</v>
      </c>
      <c r="E711" s="20" t="str">
        <f>IF($C711="","",IF(Registro_Compras!$F$82="NOTA DE CREDITO",ROUND(ABS(Registro_Compras!$J$82*Registro_Compras!$N$82),2),""))</f>
        <v/>
      </c>
      <c r="F711" s="20">
        <f>IF($C711="","",IF(Registro_Compras!$F$82="NOTA DE CREDITO","",IF(Registro_Compras!$F$82="RHE",ROUND(Registro_Compras!$L$82*Registro_Compras!$N$82,2),ROUND(Registro_Compras!$J$82*Registro_Compras!$N$82,2))))</f>
        <v>510.22</v>
      </c>
      <c r="G711" t="str">
        <f>IF($C711="","","Por el destino del gasto")</f>
        <v>Por el destino del gasto</v>
      </c>
      <c r="H711" t="str">
        <f>IF($C711="","",Registro_Compras!$C$82)</f>
        <v>E001-1228</v>
      </c>
    </row>
    <row r="712" spans="1:8" x14ac:dyDescent="0.25">
      <c r="A712" s="25" t="str">
        <f>IF($C712="","",Registro_Compras!$X$82)</f>
        <v/>
      </c>
      <c r="B712" t="str">
        <f>IF($C712="","","C"&amp;TEXT(INT((ROW()-5)/9)+1,"000")&amp;"-3")</f>
        <v/>
      </c>
      <c r="C712" t="str">
        <f>IF(OR(Registro_Compras!$C$82="",Registro_Compras!$O$82="",Registro_Compras!$R$82&lt;&gt;"SI",Registro_Compras!$X$82=""),"","4212")</f>
        <v/>
      </c>
      <c r="D712" t="str">
        <f>IF(OR(Registro_Compras!$C$82="",Registro_Compras!$O$82=""),"","Cuentas por Pagar Comerciales - Terceros")</f>
        <v>Cuentas por Pagar Comerciales - Terceros</v>
      </c>
      <c r="E712" s="20" t="str">
        <f>IF($C712="","",Registro_Compras!$S$82)</f>
        <v/>
      </c>
      <c r="F712" s="20" t="str">
        <f>""</f>
        <v/>
      </c>
      <c r="G712" t="str">
        <f>IF($C712="","","Por el deposito de la detraccion en el Banco de la Nacion")</f>
        <v/>
      </c>
      <c r="H712" t="str">
        <f>IF($C712="","",Registro_Compras!$C$82)</f>
        <v/>
      </c>
    </row>
    <row r="713" spans="1:8" x14ac:dyDescent="0.25">
      <c r="A713" s="25" t="str">
        <f>IF($C713="","",Registro_Compras!$X$82)</f>
        <v/>
      </c>
      <c r="B713" t="str">
        <f>IF($C713="","","C"&amp;TEXT(INT((ROW()-5)/9)+1,"000")&amp;"-3")</f>
        <v/>
      </c>
      <c r="C713" t="str">
        <f>IF(OR(Registro_Compras!$C$82="",Registro_Compras!$O$82="",Registro_Compras!$R$82&lt;&gt;"SI",Registro_Compras!$X$82=""),"","1041")</f>
        <v/>
      </c>
      <c r="D713" t="str">
        <f>IF(OR(Registro_Compras!$C$82="",Registro_Compras!$O$82=""),"","Efectivo y Equivalentes - Cta. Cte. Operativa")</f>
        <v>Efectivo y Equivalentes - Cta. Cte. Operativa</v>
      </c>
      <c r="E713" s="20" t="str">
        <f>""</f>
        <v/>
      </c>
      <c r="F713" s="20" t="str">
        <f>IF($C713="","",Registro_Compras!$S$82)</f>
        <v/>
      </c>
      <c r="G713" t="str">
        <f>IF($C713="","","Por el deposito de la detraccion en el Banco de la Nacion")</f>
        <v/>
      </c>
      <c r="H713" t="str">
        <f>IF($C713="","",Registro_Compras!$C$82)</f>
        <v/>
      </c>
    </row>
    <row r="714" spans="1:8" x14ac:dyDescent="0.25">
      <c r="A714" s="25" t="str">
        <f>IF($C714="","",Registro_Compras!$Y$82)</f>
        <v/>
      </c>
      <c r="B714" t="str">
        <f>IF($C714="","","C"&amp;TEXT(INT((ROW()-5)/9)+1,"000")&amp;"-4")</f>
        <v/>
      </c>
      <c r="C714" t="str">
        <f>IF(OR(Registro_Compras!$C$82="",Registro_Compras!$O$82="",Registro_Compras!$Y$82="",Registro_Compras!$F$82="NOTA DE CREDITO"),"","4212")</f>
        <v/>
      </c>
      <c r="D714" t="str">
        <f>IF(OR(Registro_Compras!$C$82="",Registro_Compras!$O$82=""),"","Cuentas por Pagar Comerciales - Terceros")</f>
        <v>Cuentas por Pagar Comerciales - Terceros</v>
      </c>
      <c r="E714" s="20" t="str">
        <f>IF($C714="","",IF(Registro_Compras!$F$82="RHE",(ROUND(Registro_Compras!$L$82*Registro_Compras!$N$82,2)-ROUND(Registro_Compras!$V$82*Registro_Compras!$N$82,2)),ROUND(Registro_Compras!$O$82-Registro_Compras!$S$82,2)))</f>
        <v/>
      </c>
      <c r="F714" s="20" t="str">
        <f>""</f>
        <v/>
      </c>
      <c r="G714" t="str">
        <f>IF($C714="","","Por la cancelacion del saldo al proveedor")</f>
        <v/>
      </c>
      <c r="H714" t="str">
        <f>IF($C714="","",Registro_Compras!$C$82)</f>
        <v/>
      </c>
    </row>
    <row r="715" spans="1:8" x14ac:dyDescent="0.25">
      <c r="A715" s="25" t="str">
        <f>IF($C715="","",Registro_Compras!$Y$82)</f>
        <v/>
      </c>
      <c r="B715" t="str">
        <f>IF($C715="","","C"&amp;TEXT(INT((ROW()-5)/9)+1,"000")&amp;"-4")</f>
        <v/>
      </c>
      <c r="C715" t="str">
        <f>IF(OR(Registro_Compras!$C$82="",Registro_Compras!$O$82="",Registro_Compras!$Y$82="",Registro_Compras!$F$82="NOTA DE CREDITO"),"","1041")</f>
        <v/>
      </c>
      <c r="D715" t="str">
        <f>IF(OR(Registro_Compras!$C$82="",Registro_Compras!$O$82=""),"","Efectivo y Equivalentes - Cta. Cte. Operativa")</f>
        <v>Efectivo y Equivalentes - Cta. Cte. Operativa</v>
      </c>
      <c r="E715" s="20" t="str">
        <f>""</f>
        <v/>
      </c>
      <c r="F715" s="20" t="str">
        <f>IF($C715="","",IF(Registro_Compras!$F$82="RHE",(ROUND(Registro_Compras!$L$82*Registro_Compras!$N$82,2)-ROUND(Registro_Compras!$V$82*Registro_Compras!$N$82,2)),ROUND(Registro_Compras!$O$82-Registro_Compras!$S$82,2)))</f>
        <v/>
      </c>
      <c r="G715" t="str">
        <f>IF($C715="","","Por la cancelacion del saldo al proveedor")</f>
        <v/>
      </c>
      <c r="H715" t="str">
        <f>IF($C715="","",Registro_Compras!$C$82)</f>
        <v/>
      </c>
    </row>
    <row r="716" spans="1:8" x14ac:dyDescent="0.25">
      <c r="A716" s="25">
        <f>IF($C716="","",Registro_Compras!$B$83)</f>
        <v>46242</v>
      </c>
      <c r="B716" t="str">
        <f>IF($C716="","","C"&amp;TEXT(INT((ROW()-5)/9)+1,"000")&amp;"-1")</f>
        <v>C080-1</v>
      </c>
      <c r="C716" t="str">
        <f>IF(OR(Registro_Compras!$C$83="",Registro_Compras!$O$83=""),"",IF(Registro_Compras!$F$83="NOTA DE CREDITO","4212",IF(Registro_Compras!$M$83="","63",Registro_Compras!$M$83)))</f>
        <v>639</v>
      </c>
      <c r="D716" t="str">
        <f>IF(OR(Registro_Compras!$C$83="",Registro_Compras!$O$83=""),"",IF(Registro_Compras!$F$83="NOTA DE CREDITO","Cuentas por Pagar Comerciales - Terceros (Emitidas)",IF(Registro_Compras!$F$83="RHE","Honorarios Profesionales - Servicios de Terceros","Gastos de Servicios Prestados por Terceros")))</f>
        <v>Gastos de Servicios Prestados por Terceros</v>
      </c>
      <c r="E716" s="20">
        <f>IF($C716="","",IF(Registro_Compras!$F$83="NOTA DE CREDITO",ABS(Registro_Compras!$O$83),IF(Registro_Compras!$F$83="RHE",ROUND(Registro_Compras!$L$83*Registro_Compras!$N$83,2),ROUND(Registro_Compras!$J$83*Registro_Compras!$N$83,2))))</f>
        <v>1501.51</v>
      </c>
      <c r="F716" s="20" t="str">
        <f>""</f>
        <v/>
      </c>
      <c r="G716" t="str">
        <f>IF($C716="","",IF(Registro_Compras!$F$83="NOTA DE CREDITO","Por la nota de credito "&amp;Registro_Compras!$C$83&amp;" de "&amp;Registro_Compras!$E$83&amp;" [PATRON POR CONFIRMAR CON CONTADOR]",IF(Registro_Compras!$F$83="RHE","Por el registro del recibo por honorarios "&amp;Registro_Compras!$C$83&amp;" de "&amp;Registro_Compras!$E$83&amp;" [PATRON POR CONFIRMAR CON CONTADOR]","Por el registro de la factura "&amp;Registro_Compras!$C$83&amp;" de "&amp;Registro_Compras!$E$83)))</f>
        <v>Por el registro de la factura E001-1880 de CAMPING TOURS E.I.R.LTDA</v>
      </c>
      <c r="H716" t="str">
        <f>IF($C716="","",Registro_Compras!$C$83)</f>
        <v>E001-1880</v>
      </c>
    </row>
    <row r="717" spans="1:8" x14ac:dyDescent="0.25">
      <c r="A717" s="25">
        <f>IF($C717="","",Registro_Compras!$B$83)</f>
        <v>46242</v>
      </c>
      <c r="B717" t="str">
        <f>IF($C717="","","C"&amp;TEXT(INT((ROW()-5)/9)+1,"000")&amp;"-1")</f>
        <v>C080-1</v>
      </c>
      <c r="C717" t="str">
        <f>IF(OR(Registro_Compras!$C$83="",Registro_Compras!$O$83=""),"",IF(Registro_Compras!$F$83="RHE",IF(Registro_Compras!$V$83=0,"","4017"),IF(Registro_Compras!$F$83="NOTA DE CREDITO",IF(Registro_Compras!$M$83="","63",Registro_Compras!$M$83),IF(Registro_Compras!$K$83=0,"","40111"))))</f>
        <v>40111</v>
      </c>
      <c r="D717" t="str">
        <f>IF(OR(Registro_Compras!$C$83="",Registro_Compras!$O$83=""),"",IF(Registro_Compras!$F$83="RHE","Retencion Renta 4ta Categoria por Pagar",IF(Registro_Compras!$F$83="NOTA DE CREDITO","Gastos de Servicios Prestados por Terceros","IGV - Cuenta Propia (Credito Fiscal)")))</f>
        <v>IGV - Cuenta Propia (Credito Fiscal)</v>
      </c>
      <c r="E717" s="20">
        <f>IF($C717="","",IF(Registro_Compras!$F$83="FACTURA",ROUND(Registro_Compras!$K$83*Registro_Compras!$N$83,2),""))</f>
        <v>270.26</v>
      </c>
      <c r="F717" s="20" t="str">
        <f>IF($C717="","",IF(Registro_Compras!$F$83="RHE",ROUND(Registro_Compras!$V$83*Registro_Compras!$N$83,2),IF(Registro_Compras!$F$83="NOTA DE CREDITO",ROUND(ABS(Registro_Compras!$J$83*Registro_Compras!$N$83),2),"")))</f>
        <v/>
      </c>
      <c r="G717" t="str">
        <f>IF($C717="","",IF(Registro_Compras!$F$83="NOTA DE CREDITO","Por la nota de credito "&amp;Registro_Compras!$C$83&amp;" de "&amp;Registro_Compras!$E$83&amp;" [PATRON POR CONFIRMAR CON CONTADOR]",IF(Registro_Compras!$F$83="RHE","Por el registro del recibo por honorarios "&amp;Registro_Compras!$C$83&amp;" de "&amp;Registro_Compras!$E$83&amp;" [PATRON POR CONFIRMAR CON CONTADOR]","Por el registro de la factura "&amp;Registro_Compras!$C$83&amp;" de "&amp;Registro_Compras!$E$83)))</f>
        <v>Por el registro de la factura E001-1880 de CAMPING TOURS E.I.R.LTDA</v>
      </c>
      <c r="H717" t="str">
        <f>IF($C717="","",Registro_Compras!$C$83)</f>
        <v>E001-1880</v>
      </c>
    </row>
    <row r="718" spans="1:8" x14ac:dyDescent="0.25">
      <c r="A718" s="25">
        <f>IF($C718="","",Registro_Compras!$B$83)</f>
        <v>46242</v>
      </c>
      <c r="B718" t="str">
        <f>IF($C718="","","C"&amp;TEXT(INT((ROW()-5)/9)+1,"000")&amp;"-1")</f>
        <v>C080-1</v>
      </c>
      <c r="C718" t="str">
        <f>IF(OR(Registro_Compras!$C$83="",Registro_Compras!$O$83=""),"",IF(Registro_Compras!$F$83="NOTA DE CREDITO",IF(Registro_Compras!$K$83=0,"","40111"),"4212"))</f>
        <v>4212</v>
      </c>
      <c r="D718" t="str">
        <f>IF(OR(Registro_Compras!$C$83="",Registro_Compras!$O$83=""),"",IF(Registro_Compras!$F$83="NOTA DE CREDITO","IGV - Cuenta Propia (Credito Fiscal)","Cuentas por Pagar Comerciales - Terceros (Emitidas)"))</f>
        <v>Cuentas por Pagar Comerciales - Terceros (Emitidas)</v>
      </c>
      <c r="E718" s="20" t="str">
        <f>""</f>
        <v/>
      </c>
      <c r="F718" s="20">
        <f>IF($C718="","",IF(Registro_Compras!$F$83="NOTA DE CREDITO",ROUND(ABS(Registro_Compras!$K$83*Registro_Compras!$N$83),2),IF(Registro_Compras!$F$83="RHE",(ROUND(Registro_Compras!$L$83*Registro_Compras!$N$83,2)-ROUND(Registro_Compras!$V$83*Registro_Compras!$N$83,2)),Registro_Compras!$O$83)))</f>
        <v>1771.77</v>
      </c>
      <c r="G718" t="str">
        <f>IF($C718="","",IF(Registro_Compras!$F$83="NOTA DE CREDITO","Por la nota de credito "&amp;Registro_Compras!$C$83&amp;" de "&amp;Registro_Compras!$E$83&amp;" [PATRON POR CONFIRMAR CON CONTADOR]",IF(Registro_Compras!$F$83="RHE","Por el registro del recibo por honorarios "&amp;Registro_Compras!$C$83&amp;" de "&amp;Registro_Compras!$E$83&amp;" [PATRON POR CONFIRMAR CON CONTADOR]","Por el registro de la factura "&amp;Registro_Compras!$C$83&amp;" de "&amp;Registro_Compras!$E$83)))</f>
        <v>Por el registro de la factura E001-1880 de CAMPING TOURS E.I.R.LTDA</v>
      </c>
      <c r="H718" t="str">
        <f>IF($C718="","",Registro_Compras!$C$83)</f>
        <v>E001-1880</v>
      </c>
    </row>
    <row r="719" spans="1:8" x14ac:dyDescent="0.25">
      <c r="A719" s="25">
        <f>IF($C719="","",Registro_Compras!$B$83)</f>
        <v>46242</v>
      </c>
      <c r="B719" t="str">
        <f>IF($C719="","","C"&amp;TEXT(INT((ROW()-5)/9)+1,"000")&amp;"-2")</f>
        <v>C080-2</v>
      </c>
      <c r="C719" t="str">
        <f>IF(OR(Registro_Compras!$C$83="",Registro_Compras!$O$83=""),"",IF(Registro_Compras!$AB$83="ADMINISTRATIVO","94","95"))</f>
        <v>95</v>
      </c>
      <c r="D719" t="str">
        <f>IF(OR(Registro_Compras!$C$83="",Registro_Compras!$O$83=""),"",IF(Registro_Compras!$AB$83="ADMINISTRATIVO","Gastos Administrativos","Gastos de Venta y Operacion"))</f>
        <v>Gastos de Venta y Operacion</v>
      </c>
      <c r="E719" s="20">
        <f>IF($C719="","",IF(Registro_Compras!$F$83="NOTA DE CREDITO","",IF(Registro_Compras!$F$83="RHE",ROUND(Registro_Compras!$L$83*Registro_Compras!$N$83,2),ROUND(Registro_Compras!$J$83*Registro_Compras!$N$83,2))))</f>
        <v>1501.51</v>
      </c>
      <c r="F719" s="20" t="str">
        <f>IF($C719="","",IF(Registro_Compras!$F$83="NOTA DE CREDITO",ROUND(ABS(Registro_Compras!$J$83*Registro_Compras!$N$83),2),""))</f>
        <v/>
      </c>
      <c r="G719" t="str">
        <f>IF($C719="","","Por el destino del gasto")</f>
        <v>Por el destino del gasto</v>
      </c>
      <c r="H719" t="str">
        <f>IF($C719="","",Registro_Compras!$C$83)</f>
        <v>E001-1880</v>
      </c>
    </row>
    <row r="720" spans="1:8" x14ac:dyDescent="0.25">
      <c r="A720" s="25">
        <f>IF($C720="","",Registro_Compras!$B$83)</f>
        <v>46242</v>
      </c>
      <c r="B720" t="str">
        <f>IF($C720="","","C"&amp;TEXT(INT((ROW()-5)/9)+1,"000")&amp;"-2")</f>
        <v>C080-2</v>
      </c>
      <c r="C720" t="str">
        <f>IF(OR(Registro_Compras!$C$83="",Registro_Compras!$O$83=""),"","79/791")</f>
        <v>79/791</v>
      </c>
      <c r="D720" t="str">
        <f>IF(OR(Registro_Compras!$C$83="",Registro_Compras!$O$83=""),"","Cargas Imputables a Cuentas de Costos y Gastos")</f>
        <v>Cargas Imputables a Cuentas de Costos y Gastos</v>
      </c>
      <c r="E720" s="20" t="str">
        <f>IF($C720="","",IF(Registro_Compras!$F$83="NOTA DE CREDITO",ROUND(ABS(Registro_Compras!$J$83*Registro_Compras!$N$83),2),""))</f>
        <v/>
      </c>
      <c r="F720" s="20">
        <f>IF($C720="","",IF(Registro_Compras!$F$83="NOTA DE CREDITO","",IF(Registro_Compras!$F$83="RHE",ROUND(Registro_Compras!$L$83*Registro_Compras!$N$83,2),ROUND(Registro_Compras!$J$83*Registro_Compras!$N$83,2))))</f>
        <v>1501.51</v>
      </c>
      <c r="G720" t="str">
        <f>IF($C720="","","Por el destino del gasto")</f>
        <v>Por el destino del gasto</v>
      </c>
      <c r="H720" t="str">
        <f>IF($C720="","",Registro_Compras!$C$83)</f>
        <v>E001-1880</v>
      </c>
    </row>
    <row r="721" spans="1:8" x14ac:dyDescent="0.25">
      <c r="A721" s="25" t="str">
        <f>IF($C721="","",Registro_Compras!$X$83)</f>
        <v/>
      </c>
      <c r="B721" t="str">
        <f>IF($C721="","","C"&amp;TEXT(INT((ROW()-5)/9)+1,"000")&amp;"-3")</f>
        <v/>
      </c>
      <c r="C721" t="str">
        <f>IF(OR(Registro_Compras!$C$83="",Registro_Compras!$O$83="",Registro_Compras!$R$83&lt;&gt;"SI",Registro_Compras!$X$83=""),"","4212")</f>
        <v/>
      </c>
      <c r="D721" t="str">
        <f>IF(OR(Registro_Compras!$C$83="",Registro_Compras!$O$83=""),"","Cuentas por Pagar Comerciales - Terceros")</f>
        <v>Cuentas por Pagar Comerciales - Terceros</v>
      </c>
      <c r="E721" s="20" t="str">
        <f>IF($C721="","",Registro_Compras!$S$83)</f>
        <v/>
      </c>
      <c r="F721" s="20" t="str">
        <f>""</f>
        <v/>
      </c>
      <c r="G721" t="str">
        <f>IF($C721="","","Por el deposito de la detraccion en el Banco de la Nacion")</f>
        <v/>
      </c>
      <c r="H721" t="str">
        <f>IF($C721="","",Registro_Compras!$C$83)</f>
        <v/>
      </c>
    </row>
    <row r="722" spans="1:8" x14ac:dyDescent="0.25">
      <c r="A722" s="25" t="str">
        <f>IF($C722="","",Registro_Compras!$X$83)</f>
        <v/>
      </c>
      <c r="B722" t="str">
        <f>IF($C722="","","C"&amp;TEXT(INT((ROW()-5)/9)+1,"000")&amp;"-3")</f>
        <v/>
      </c>
      <c r="C722" t="str">
        <f>IF(OR(Registro_Compras!$C$83="",Registro_Compras!$O$83="",Registro_Compras!$R$83&lt;&gt;"SI",Registro_Compras!$X$83=""),"","1041")</f>
        <v/>
      </c>
      <c r="D722" t="str">
        <f>IF(OR(Registro_Compras!$C$83="",Registro_Compras!$O$83=""),"","Efectivo y Equivalentes - Cta. Cte. Operativa")</f>
        <v>Efectivo y Equivalentes - Cta. Cte. Operativa</v>
      </c>
      <c r="E722" s="20" t="str">
        <f>""</f>
        <v/>
      </c>
      <c r="F722" s="20" t="str">
        <f>IF($C722="","",Registro_Compras!$S$83)</f>
        <v/>
      </c>
      <c r="G722" t="str">
        <f>IF($C722="","","Por el deposito de la detraccion en el Banco de la Nacion")</f>
        <v/>
      </c>
      <c r="H722" t="str">
        <f>IF($C722="","",Registro_Compras!$C$83)</f>
        <v/>
      </c>
    </row>
    <row r="723" spans="1:8" x14ac:dyDescent="0.25">
      <c r="A723" s="25" t="str">
        <f>IF($C723="","",Registro_Compras!$Y$83)</f>
        <v/>
      </c>
      <c r="B723" t="str">
        <f>IF($C723="","","C"&amp;TEXT(INT((ROW()-5)/9)+1,"000")&amp;"-4")</f>
        <v/>
      </c>
      <c r="C723" t="str">
        <f>IF(OR(Registro_Compras!$C$83="",Registro_Compras!$O$83="",Registro_Compras!$Y$83="",Registro_Compras!$F$83="NOTA DE CREDITO"),"","4212")</f>
        <v/>
      </c>
      <c r="D723" t="str">
        <f>IF(OR(Registro_Compras!$C$83="",Registro_Compras!$O$83=""),"","Cuentas por Pagar Comerciales - Terceros")</f>
        <v>Cuentas por Pagar Comerciales - Terceros</v>
      </c>
      <c r="E723" s="20" t="str">
        <f>IF($C723="","",IF(Registro_Compras!$F$83="RHE",(ROUND(Registro_Compras!$L$83*Registro_Compras!$N$83,2)-ROUND(Registro_Compras!$V$83*Registro_Compras!$N$83,2)),ROUND(Registro_Compras!$O$83-Registro_Compras!$S$83,2)))</f>
        <v/>
      </c>
      <c r="F723" s="20" t="str">
        <f>""</f>
        <v/>
      </c>
      <c r="G723" t="str">
        <f>IF($C723="","","Por la cancelacion del saldo al proveedor")</f>
        <v/>
      </c>
      <c r="H723" t="str">
        <f>IF($C723="","",Registro_Compras!$C$83)</f>
        <v/>
      </c>
    </row>
    <row r="724" spans="1:8" x14ac:dyDescent="0.25">
      <c r="A724" s="25" t="str">
        <f>IF($C724="","",Registro_Compras!$Y$83)</f>
        <v/>
      </c>
      <c r="B724" t="str">
        <f>IF($C724="","","C"&amp;TEXT(INT((ROW()-5)/9)+1,"000")&amp;"-4")</f>
        <v/>
      </c>
      <c r="C724" t="str">
        <f>IF(OR(Registro_Compras!$C$83="",Registro_Compras!$O$83="",Registro_Compras!$Y$83="",Registro_Compras!$F$83="NOTA DE CREDITO"),"","1041")</f>
        <v/>
      </c>
      <c r="D724" t="str">
        <f>IF(OR(Registro_Compras!$C$83="",Registro_Compras!$O$83=""),"","Efectivo y Equivalentes - Cta. Cte. Operativa")</f>
        <v>Efectivo y Equivalentes - Cta. Cte. Operativa</v>
      </c>
      <c r="E724" s="20" t="str">
        <f>""</f>
        <v/>
      </c>
      <c r="F724" s="20" t="str">
        <f>IF($C724="","",IF(Registro_Compras!$F$83="RHE",(ROUND(Registro_Compras!$L$83*Registro_Compras!$N$83,2)-ROUND(Registro_Compras!$V$83*Registro_Compras!$N$83,2)),ROUND(Registro_Compras!$O$83-Registro_Compras!$S$83,2)))</f>
        <v/>
      </c>
      <c r="G724" t="str">
        <f>IF($C724="","","Por la cancelacion del saldo al proveedor")</f>
        <v/>
      </c>
      <c r="H724" t="str">
        <f>IF($C724="","",Registro_Compras!$C$83)</f>
        <v/>
      </c>
    </row>
    <row r="725" spans="1:8" x14ac:dyDescent="0.25">
      <c r="A725" s="25">
        <f>IF($C725="","",Registro_Compras!$B$84)</f>
        <v>46239</v>
      </c>
      <c r="B725" t="str">
        <f>IF($C725="","","C"&amp;TEXT(INT((ROW()-5)/9)+1,"000")&amp;"-1")</f>
        <v>C081-1</v>
      </c>
      <c r="C725" t="str">
        <f>IF(OR(Registro_Compras!$C$84="",Registro_Compras!$O$84=""),"",IF(Registro_Compras!$F$84="NOTA DE CREDITO","4212",IF(Registro_Compras!$M$84="","63",Registro_Compras!$M$84)))</f>
        <v>632</v>
      </c>
      <c r="D725" t="str">
        <f>IF(OR(Registro_Compras!$C$84="",Registro_Compras!$O$84=""),"",IF(Registro_Compras!$F$84="NOTA DE CREDITO","Cuentas por Pagar Comerciales - Terceros (Emitidas)",IF(Registro_Compras!$F$84="RHE","Honorarios Profesionales - Servicios de Terceros","Gastos de Servicios Prestados por Terceros")))</f>
        <v>Honorarios Profesionales - Servicios de Terceros</v>
      </c>
      <c r="E725" s="20">
        <f>IF($C725="","",IF(Registro_Compras!$F$84="NOTA DE CREDITO",ABS(Registro_Compras!$O$84),IF(Registro_Compras!$F$84="RHE",ROUND(Registro_Compras!$L$84*Registro_Compras!$N$84,2),ROUND(Registro_Compras!$J$84*Registro_Compras!$N$84,2))))</f>
        <v>254.55</v>
      </c>
      <c r="F725" s="20" t="str">
        <f>""</f>
        <v/>
      </c>
      <c r="G725" t="str">
        <f>IF($C725="","",IF(Registro_Compras!$F$84="NOTA DE CREDITO","Por la nota de credito "&amp;Registro_Compras!$C$84&amp;" de "&amp;Registro_Compras!$E$84&amp;" [PATRON POR CONFIRMAR CON CONTADOR]",IF(Registro_Compras!$F$84="RHE","Por el registro del recibo por honorarios "&amp;Registro_Compras!$C$84&amp;" de "&amp;Registro_Compras!$E$84&amp;" [PATRON POR CONFIRMAR CON CONTADOR]","Por el registro de la factura "&amp;Registro_Compras!$C$84&amp;" de "&amp;Registro_Compras!$E$84)))</f>
        <v>Por el registro del recibo por honorarios E001- 645 de GONZALES ACHAHUI HENRY LUIS [PATRON POR CONFIRMAR CON CONTADOR]</v>
      </c>
      <c r="H725" t="str">
        <f>IF($C725="","",Registro_Compras!$C$84)</f>
        <v>E001- 645</v>
      </c>
    </row>
    <row r="726" spans="1:8" x14ac:dyDescent="0.25">
      <c r="A726" s="25" t="str">
        <f>IF($C726="","",Registro_Compras!$B$84)</f>
        <v/>
      </c>
      <c r="B726" t="str">
        <f>IF($C726="","","C"&amp;TEXT(INT((ROW()-5)/9)+1,"000")&amp;"-1")</f>
        <v/>
      </c>
      <c r="C726" t="str">
        <f>IF(OR(Registro_Compras!$C$84="",Registro_Compras!$O$84=""),"",IF(Registro_Compras!$F$84="RHE",IF(Registro_Compras!$V$84=0,"","4017"),IF(Registro_Compras!$F$84="NOTA DE CREDITO",IF(Registro_Compras!$M$84="","63",Registro_Compras!$M$84),IF(Registro_Compras!$K$84=0,"","40111"))))</f>
        <v/>
      </c>
      <c r="D726" t="str">
        <f>IF(OR(Registro_Compras!$C$84="",Registro_Compras!$O$84=""),"",IF(Registro_Compras!$F$84="RHE","Retencion Renta 4ta Categoria por Pagar",IF(Registro_Compras!$F$84="NOTA DE CREDITO","Gastos de Servicios Prestados por Terceros","IGV - Cuenta Propia (Credito Fiscal)")))</f>
        <v>Retencion Renta 4ta Categoria por Pagar</v>
      </c>
      <c r="E726" s="20" t="str">
        <f>IF($C726="","",IF(Registro_Compras!$F$84="FACTURA",ROUND(Registro_Compras!$K$84*Registro_Compras!$N$84,2),""))</f>
        <v/>
      </c>
      <c r="F726" s="20" t="str">
        <f>IF($C726="","",IF(Registro_Compras!$F$84="RHE",ROUND(Registro_Compras!$V$84*Registro_Compras!$N$84,2),IF(Registro_Compras!$F$84="NOTA DE CREDITO",ROUND(ABS(Registro_Compras!$J$84*Registro_Compras!$N$84),2),"")))</f>
        <v/>
      </c>
      <c r="G726" t="str">
        <f>IF($C726="","",IF(Registro_Compras!$F$84="NOTA DE CREDITO","Por la nota de credito "&amp;Registro_Compras!$C$84&amp;" de "&amp;Registro_Compras!$E$84&amp;" [PATRON POR CONFIRMAR CON CONTADOR]",IF(Registro_Compras!$F$84="RHE","Por el registro del recibo por honorarios "&amp;Registro_Compras!$C$84&amp;" de "&amp;Registro_Compras!$E$84&amp;" [PATRON POR CONFIRMAR CON CONTADOR]","Por el registro de la factura "&amp;Registro_Compras!$C$84&amp;" de "&amp;Registro_Compras!$E$84)))</f>
        <v/>
      </c>
      <c r="H726" t="str">
        <f>IF($C726="","",Registro_Compras!$C$84)</f>
        <v/>
      </c>
    </row>
    <row r="727" spans="1:8" x14ac:dyDescent="0.25">
      <c r="A727" s="25">
        <f>IF($C727="","",Registro_Compras!$B$84)</f>
        <v>46239</v>
      </c>
      <c r="B727" t="str">
        <f>IF($C727="","","C"&amp;TEXT(INT((ROW()-5)/9)+1,"000")&amp;"-1")</f>
        <v>C081-1</v>
      </c>
      <c r="C727" t="str">
        <f>IF(OR(Registro_Compras!$C$84="",Registro_Compras!$O$84=""),"",IF(Registro_Compras!$F$84="NOTA DE CREDITO",IF(Registro_Compras!$K$84=0,"","40111"),"4212"))</f>
        <v>4212</v>
      </c>
      <c r="D727" t="str">
        <f>IF(OR(Registro_Compras!$C$84="",Registro_Compras!$O$84=""),"",IF(Registro_Compras!$F$84="NOTA DE CREDITO","IGV - Cuenta Propia (Credito Fiscal)","Cuentas por Pagar Comerciales - Terceros (Emitidas)"))</f>
        <v>Cuentas por Pagar Comerciales - Terceros (Emitidas)</v>
      </c>
      <c r="E727" s="20" t="str">
        <f>""</f>
        <v/>
      </c>
      <c r="F727" s="20">
        <f>IF($C727="","",IF(Registro_Compras!$F$84="NOTA DE CREDITO",ROUND(ABS(Registro_Compras!$K$84*Registro_Compras!$N$84),2),IF(Registro_Compras!$F$84="RHE",(ROUND(Registro_Compras!$L$84*Registro_Compras!$N$84,2)-ROUND(Registro_Compras!$V$84*Registro_Compras!$N$84,2)),Registro_Compras!$O$84)))</f>
        <v>254.55</v>
      </c>
      <c r="G727" t="str">
        <f>IF($C727="","",IF(Registro_Compras!$F$84="NOTA DE CREDITO","Por la nota de credito "&amp;Registro_Compras!$C$84&amp;" de "&amp;Registro_Compras!$E$84&amp;" [PATRON POR CONFIRMAR CON CONTADOR]",IF(Registro_Compras!$F$84="RHE","Por el registro del recibo por honorarios "&amp;Registro_Compras!$C$84&amp;" de "&amp;Registro_Compras!$E$84&amp;" [PATRON POR CONFIRMAR CON CONTADOR]","Por el registro de la factura "&amp;Registro_Compras!$C$84&amp;" de "&amp;Registro_Compras!$E$84)))</f>
        <v>Por el registro del recibo por honorarios E001- 645 de GONZALES ACHAHUI HENRY LUIS [PATRON POR CONFIRMAR CON CONTADOR]</v>
      </c>
      <c r="H727" t="str">
        <f>IF($C727="","",Registro_Compras!$C$84)</f>
        <v>E001- 645</v>
      </c>
    </row>
    <row r="728" spans="1:8" x14ac:dyDescent="0.25">
      <c r="A728" s="25">
        <f>IF($C728="","",Registro_Compras!$B$84)</f>
        <v>46239</v>
      </c>
      <c r="B728" t="str">
        <f>IF($C728="","","C"&amp;TEXT(INT((ROW()-5)/9)+1,"000")&amp;"-2")</f>
        <v>C081-2</v>
      </c>
      <c r="C728" t="str">
        <f>IF(OR(Registro_Compras!$C$84="",Registro_Compras!$O$84=""),"",IF(Registro_Compras!$AB$84="ADMINISTRATIVO","94","95"))</f>
        <v>95</v>
      </c>
      <c r="D728" t="str">
        <f>IF(OR(Registro_Compras!$C$84="",Registro_Compras!$O$84=""),"",IF(Registro_Compras!$AB$84="ADMINISTRATIVO","Gastos Administrativos","Gastos de Venta y Operacion"))</f>
        <v>Gastos de Venta y Operacion</v>
      </c>
      <c r="E728" s="20">
        <f>IF($C728="","",IF(Registro_Compras!$F$84="NOTA DE CREDITO","",IF(Registro_Compras!$F$84="RHE",ROUND(Registro_Compras!$L$84*Registro_Compras!$N$84,2),ROUND(Registro_Compras!$J$84*Registro_Compras!$N$84,2))))</f>
        <v>254.55</v>
      </c>
      <c r="F728" s="20" t="str">
        <f>IF($C728="","",IF(Registro_Compras!$F$84="NOTA DE CREDITO",ROUND(ABS(Registro_Compras!$J$84*Registro_Compras!$N$84),2),""))</f>
        <v/>
      </c>
      <c r="G728" t="str">
        <f>IF($C728="","","Por el destino del gasto")</f>
        <v>Por el destino del gasto</v>
      </c>
      <c r="H728" t="str">
        <f>IF($C728="","",Registro_Compras!$C$84)</f>
        <v>E001- 645</v>
      </c>
    </row>
    <row r="729" spans="1:8" x14ac:dyDescent="0.25">
      <c r="A729" s="25">
        <f>IF($C729="","",Registro_Compras!$B$84)</f>
        <v>46239</v>
      </c>
      <c r="B729" t="str">
        <f>IF($C729="","","C"&amp;TEXT(INT((ROW()-5)/9)+1,"000")&amp;"-2")</f>
        <v>C081-2</v>
      </c>
      <c r="C729" t="str">
        <f>IF(OR(Registro_Compras!$C$84="",Registro_Compras!$O$84=""),"","79/791")</f>
        <v>79/791</v>
      </c>
      <c r="D729" t="str">
        <f>IF(OR(Registro_Compras!$C$84="",Registro_Compras!$O$84=""),"","Cargas Imputables a Cuentas de Costos y Gastos")</f>
        <v>Cargas Imputables a Cuentas de Costos y Gastos</v>
      </c>
      <c r="E729" s="20" t="str">
        <f>IF($C729="","",IF(Registro_Compras!$F$84="NOTA DE CREDITO",ROUND(ABS(Registro_Compras!$J$84*Registro_Compras!$N$84),2),""))</f>
        <v/>
      </c>
      <c r="F729" s="20">
        <f>IF($C729="","",IF(Registro_Compras!$F$84="NOTA DE CREDITO","",IF(Registro_Compras!$F$84="RHE",ROUND(Registro_Compras!$L$84*Registro_Compras!$N$84,2),ROUND(Registro_Compras!$J$84*Registro_Compras!$N$84,2))))</f>
        <v>254.55</v>
      </c>
      <c r="G729" t="str">
        <f>IF($C729="","","Por el destino del gasto")</f>
        <v>Por el destino del gasto</v>
      </c>
      <c r="H729" t="str">
        <f>IF($C729="","",Registro_Compras!$C$84)</f>
        <v>E001- 645</v>
      </c>
    </row>
    <row r="730" spans="1:8" x14ac:dyDescent="0.25">
      <c r="A730" s="25" t="str">
        <f>IF($C730="","",Registro_Compras!$X$84)</f>
        <v/>
      </c>
      <c r="B730" t="str">
        <f>IF($C730="","","C"&amp;TEXT(INT((ROW()-5)/9)+1,"000")&amp;"-3")</f>
        <v/>
      </c>
      <c r="C730" t="str">
        <f>IF(OR(Registro_Compras!$C$84="",Registro_Compras!$O$84="",Registro_Compras!$R$84&lt;&gt;"SI",Registro_Compras!$X$84=""),"","4212")</f>
        <v/>
      </c>
      <c r="D730" t="str">
        <f>IF(OR(Registro_Compras!$C$84="",Registro_Compras!$O$84=""),"","Cuentas por Pagar Comerciales - Terceros")</f>
        <v>Cuentas por Pagar Comerciales - Terceros</v>
      </c>
      <c r="E730" s="20" t="str">
        <f>IF($C730="","",Registro_Compras!$S$84)</f>
        <v/>
      </c>
      <c r="F730" s="20" t="str">
        <f>""</f>
        <v/>
      </c>
      <c r="G730" t="str">
        <f>IF($C730="","","Por el deposito de la detraccion en el Banco de la Nacion")</f>
        <v/>
      </c>
      <c r="H730" t="str">
        <f>IF($C730="","",Registro_Compras!$C$84)</f>
        <v/>
      </c>
    </row>
    <row r="731" spans="1:8" x14ac:dyDescent="0.25">
      <c r="A731" s="25" t="str">
        <f>IF($C731="","",Registro_Compras!$X$84)</f>
        <v/>
      </c>
      <c r="B731" t="str">
        <f>IF($C731="","","C"&amp;TEXT(INT((ROW()-5)/9)+1,"000")&amp;"-3")</f>
        <v/>
      </c>
      <c r="C731" t="str">
        <f>IF(OR(Registro_Compras!$C$84="",Registro_Compras!$O$84="",Registro_Compras!$R$84&lt;&gt;"SI",Registro_Compras!$X$84=""),"","1041")</f>
        <v/>
      </c>
      <c r="D731" t="str">
        <f>IF(OR(Registro_Compras!$C$84="",Registro_Compras!$O$84=""),"","Efectivo y Equivalentes - Cta. Cte. Operativa")</f>
        <v>Efectivo y Equivalentes - Cta. Cte. Operativa</v>
      </c>
      <c r="E731" s="20" t="str">
        <f>""</f>
        <v/>
      </c>
      <c r="F731" s="20" t="str">
        <f>IF($C731="","",Registro_Compras!$S$84)</f>
        <v/>
      </c>
      <c r="G731" t="str">
        <f>IF($C731="","","Por el deposito de la detraccion en el Banco de la Nacion")</f>
        <v/>
      </c>
      <c r="H731" t="str">
        <f>IF($C731="","",Registro_Compras!$C$84)</f>
        <v/>
      </c>
    </row>
    <row r="732" spans="1:8" x14ac:dyDescent="0.25">
      <c r="A732" s="25" t="str">
        <f>IF($C732="","",Registro_Compras!$Y$84)</f>
        <v/>
      </c>
      <c r="B732" t="str">
        <f>IF($C732="","","C"&amp;TEXT(INT((ROW()-5)/9)+1,"000")&amp;"-4")</f>
        <v/>
      </c>
      <c r="C732" t="str">
        <f>IF(OR(Registro_Compras!$C$84="",Registro_Compras!$O$84="",Registro_Compras!$Y$84="",Registro_Compras!$F$84="NOTA DE CREDITO"),"","4212")</f>
        <v/>
      </c>
      <c r="D732" t="str">
        <f>IF(OR(Registro_Compras!$C$84="",Registro_Compras!$O$84=""),"","Cuentas por Pagar Comerciales - Terceros")</f>
        <v>Cuentas por Pagar Comerciales - Terceros</v>
      </c>
      <c r="E732" s="20" t="str">
        <f>IF($C732="","",IF(Registro_Compras!$F$84="RHE",(ROUND(Registro_Compras!$L$84*Registro_Compras!$N$84,2)-ROUND(Registro_Compras!$V$84*Registro_Compras!$N$84,2)),ROUND(Registro_Compras!$O$84-Registro_Compras!$S$84,2)))</f>
        <v/>
      </c>
      <c r="F732" s="20" t="str">
        <f>""</f>
        <v/>
      </c>
      <c r="G732" t="str">
        <f>IF($C732="","","Por la cancelacion del saldo al proveedor")</f>
        <v/>
      </c>
      <c r="H732" t="str">
        <f>IF($C732="","",Registro_Compras!$C$84)</f>
        <v/>
      </c>
    </row>
    <row r="733" spans="1:8" x14ac:dyDescent="0.25">
      <c r="A733" s="25" t="str">
        <f>IF($C733="","",Registro_Compras!$Y$84)</f>
        <v/>
      </c>
      <c r="B733" t="str">
        <f>IF($C733="","","C"&amp;TEXT(INT((ROW()-5)/9)+1,"000")&amp;"-4")</f>
        <v/>
      </c>
      <c r="C733" t="str">
        <f>IF(OR(Registro_Compras!$C$84="",Registro_Compras!$O$84="",Registro_Compras!$Y$84="",Registro_Compras!$F$84="NOTA DE CREDITO"),"","1041")</f>
        <v/>
      </c>
      <c r="D733" t="str">
        <f>IF(OR(Registro_Compras!$C$84="",Registro_Compras!$O$84=""),"","Efectivo y Equivalentes - Cta. Cte. Operativa")</f>
        <v>Efectivo y Equivalentes - Cta. Cte. Operativa</v>
      </c>
      <c r="E733" s="20" t="str">
        <f>""</f>
        <v/>
      </c>
      <c r="F733" s="20" t="str">
        <f>IF($C733="","",IF(Registro_Compras!$F$84="RHE",(ROUND(Registro_Compras!$L$84*Registro_Compras!$N$84,2)-ROUND(Registro_Compras!$V$84*Registro_Compras!$N$84,2)),ROUND(Registro_Compras!$O$84-Registro_Compras!$S$84,2)))</f>
        <v/>
      </c>
      <c r="G733" t="str">
        <f>IF($C733="","","Por la cancelacion del saldo al proveedor")</f>
        <v/>
      </c>
      <c r="H733" t="str">
        <f>IF($C733="","",Registro_Compras!$C$84)</f>
        <v/>
      </c>
    </row>
    <row r="734" spans="1:8" x14ac:dyDescent="0.25">
      <c r="A734" s="25">
        <f>IF($C734="","",Registro_Compras!$B$85)</f>
        <v>46240</v>
      </c>
      <c r="B734" t="str">
        <f>IF($C734="","","C"&amp;TEXT(INT((ROW()-5)/9)+1,"000")&amp;"-1")</f>
        <v>C082-1</v>
      </c>
      <c r="C734" t="str">
        <f>IF(OR(Registro_Compras!$C$85="",Registro_Compras!$O$85=""),"",IF(Registro_Compras!$F$85="NOTA DE CREDITO","4212",IF(Registro_Compras!$M$85="","63",Registro_Compras!$M$85)))</f>
        <v>639</v>
      </c>
      <c r="D734" t="str">
        <f>IF(OR(Registro_Compras!$C$85="",Registro_Compras!$O$85=""),"",IF(Registro_Compras!$F$85="NOTA DE CREDITO","Cuentas por Pagar Comerciales - Terceros (Emitidas)",IF(Registro_Compras!$F$85="RHE","Honorarios Profesionales - Servicios de Terceros","Gastos de Servicios Prestados por Terceros")))</f>
        <v>Gastos de Servicios Prestados por Terceros</v>
      </c>
      <c r="E734" s="20">
        <f>IF($C734="","",IF(Registro_Compras!$F$85="NOTA DE CREDITO",ABS(Registro_Compras!$O$85),IF(Registro_Compras!$F$85="RHE",ROUND(Registro_Compras!$L$85*Registro_Compras!$N$85,2),ROUND(Registro_Compras!$J$85*Registro_Compras!$N$85,2))))</f>
        <v>302</v>
      </c>
      <c r="F734" s="20" t="str">
        <f>""</f>
        <v/>
      </c>
      <c r="G734" t="str">
        <f>IF($C734="","",IF(Registro_Compras!$F$85="NOTA DE CREDITO","Por la nota de credito "&amp;Registro_Compras!$C$85&amp;" de "&amp;Registro_Compras!$E$85&amp;" [PATRON POR CONFIRMAR CON CONTADOR]",IF(Registro_Compras!$F$85="RHE","Por el registro del recibo por honorarios "&amp;Registro_Compras!$C$85&amp;" de "&amp;Registro_Compras!$E$85&amp;" [PATRON POR CONFIRMAR CON CONTADOR]","Por el registro de la factura "&amp;Registro_Compras!$C$85&amp;" de "&amp;Registro_Compras!$E$85)))</f>
        <v>Por el registro de la factura E001-325 de LUXURY ADVENTURE CUSCO PERU E.I.R.L.</v>
      </c>
      <c r="H734" t="str">
        <f>IF($C734="","",Registro_Compras!$C$85)</f>
        <v>E001-325</v>
      </c>
    </row>
    <row r="735" spans="1:8" x14ac:dyDescent="0.25">
      <c r="A735" s="25">
        <f>IF($C735="","",Registro_Compras!$B$85)</f>
        <v>46240</v>
      </c>
      <c r="B735" t="str">
        <f>IF($C735="","","C"&amp;TEXT(INT((ROW()-5)/9)+1,"000")&amp;"-1")</f>
        <v>C082-1</v>
      </c>
      <c r="C735" t="str">
        <f>IF(OR(Registro_Compras!$C$85="",Registro_Compras!$O$85=""),"",IF(Registro_Compras!$F$85="RHE",IF(Registro_Compras!$V$85=0,"","4017"),IF(Registro_Compras!$F$85="NOTA DE CREDITO",IF(Registro_Compras!$M$85="","63",Registro_Compras!$M$85),IF(Registro_Compras!$K$85=0,"","40111"))))</f>
        <v>40111</v>
      </c>
      <c r="D735" t="str">
        <f>IF(OR(Registro_Compras!$C$85="",Registro_Compras!$O$85=""),"",IF(Registro_Compras!$F$85="RHE","Retencion Renta 4ta Categoria por Pagar",IF(Registro_Compras!$F$85="NOTA DE CREDITO","Gastos de Servicios Prestados por Terceros","IGV - Cuenta Propia (Credito Fiscal)")))</f>
        <v>IGV - Cuenta Propia (Credito Fiscal)</v>
      </c>
      <c r="E735" s="20">
        <f>IF($C735="","",IF(Registro_Compras!$F$85="FACTURA",ROUND(Registro_Compras!$K$85*Registro_Compras!$N$85,2),""))</f>
        <v>54.37</v>
      </c>
      <c r="F735" s="20" t="str">
        <f>IF($C735="","",IF(Registro_Compras!$F$85="RHE",ROUND(Registro_Compras!$V$85*Registro_Compras!$N$85,2),IF(Registro_Compras!$F$85="NOTA DE CREDITO",ROUND(ABS(Registro_Compras!$J$85*Registro_Compras!$N$85),2),"")))</f>
        <v/>
      </c>
      <c r="G735" t="str">
        <f>IF($C735="","",IF(Registro_Compras!$F$85="NOTA DE CREDITO","Por la nota de credito "&amp;Registro_Compras!$C$85&amp;" de "&amp;Registro_Compras!$E$85&amp;" [PATRON POR CONFIRMAR CON CONTADOR]",IF(Registro_Compras!$F$85="RHE","Por el registro del recibo por honorarios "&amp;Registro_Compras!$C$85&amp;" de "&amp;Registro_Compras!$E$85&amp;" [PATRON POR CONFIRMAR CON CONTADOR]","Por el registro de la factura "&amp;Registro_Compras!$C$85&amp;" de "&amp;Registro_Compras!$E$85)))</f>
        <v>Por el registro de la factura E001-325 de LUXURY ADVENTURE CUSCO PERU E.I.R.L.</v>
      </c>
      <c r="H735" t="str">
        <f>IF($C735="","",Registro_Compras!$C$85)</f>
        <v>E001-325</v>
      </c>
    </row>
    <row r="736" spans="1:8" x14ac:dyDescent="0.25">
      <c r="A736" s="25">
        <f>IF($C736="","",Registro_Compras!$B$85)</f>
        <v>46240</v>
      </c>
      <c r="B736" t="str">
        <f>IF($C736="","","C"&amp;TEXT(INT((ROW()-5)/9)+1,"000")&amp;"-1")</f>
        <v>C082-1</v>
      </c>
      <c r="C736" t="str">
        <f>IF(OR(Registro_Compras!$C$85="",Registro_Compras!$O$85=""),"",IF(Registro_Compras!$F$85="NOTA DE CREDITO",IF(Registro_Compras!$K$85=0,"","40111"),"4212"))</f>
        <v>4212</v>
      </c>
      <c r="D736" t="str">
        <f>IF(OR(Registro_Compras!$C$85="",Registro_Compras!$O$85=""),"",IF(Registro_Compras!$F$85="NOTA DE CREDITO","IGV - Cuenta Propia (Credito Fiscal)","Cuentas por Pagar Comerciales - Terceros (Emitidas)"))</f>
        <v>Cuentas por Pagar Comerciales - Terceros (Emitidas)</v>
      </c>
      <c r="E736" s="20" t="str">
        <f>""</f>
        <v/>
      </c>
      <c r="F736" s="20">
        <f>IF($C736="","",IF(Registro_Compras!$F$85="NOTA DE CREDITO",ROUND(ABS(Registro_Compras!$K$85*Registro_Compras!$N$85),2),IF(Registro_Compras!$F$85="RHE",(ROUND(Registro_Compras!$L$85*Registro_Compras!$N$85,2)-ROUND(Registro_Compras!$V$85*Registro_Compras!$N$85,2)),Registro_Compras!$O$85)))</f>
        <v>356.37</v>
      </c>
      <c r="G736" t="str">
        <f>IF($C736="","",IF(Registro_Compras!$F$85="NOTA DE CREDITO","Por la nota de credito "&amp;Registro_Compras!$C$85&amp;" de "&amp;Registro_Compras!$E$85&amp;" [PATRON POR CONFIRMAR CON CONTADOR]",IF(Registro_Compras!$F$85="RHE","Por el registro del recibo por honorarios "&amp;Registro_Compras!$C$85&amp;" de "&amp;Registro_Compras!$E$85&amp;" [PATRON POR CONFIRMAR CON CONTADOR]","Por el registro de la factura "&amp;Registro_Compras!$C$85&amp;" de "&amp;Registro_Compras!$E$85)))</f>
        <v>Por el registro de la factura E001-325 de LUXURY ADVENTURE CUSCO PERU E.I.R.L.</v>
      </c>
      <c r="H736" t="str">
        <f>IF($C736="","",Registro_Compras!$C$85)</f>
        <v>E001-325</v>
      </c>
    </row>
    <row r="737" spans="1:8" x14ac:dyDescent="0.25">
      <c r="A737" s="25">
        <f>IF($C737="","",Registro_Compras!$B$85)</f>
        <v>46240</v>
      </c>
      <c r="B737" t="str">
        <f>IF($C737="","","C"&amp;TEXT(INT((ROW()-5)/9)+1,"000")&amp;"-2")</f>
        <v>C082-2</v>
      </c>
      <c r="C737" t="str">
        <f>IF(OR(Registro_Compras!$C$85="",Registro_Compras!$O$85=""),"",IF(Registro_Compras!$AB$85="ADMINISTRATIVO","94","95"))</f>
        <v>95</v>
      </c>
      <c r="D737" t="str">
        <f>IF(OR(Registro_Compras!$C$85="",Registro_Compras!$O$85=""),"",IF(Registro_Compras!$AB$85="ADMINISTRATIVO","Gastos Administrativos","Gastos de Venta y Operacion"))</f>
        <v>Gastos de Venta y Operacion</v>
      </c>
      <c r="E737" s="20">
        <f>IF($C737="","",IF(Registro_Compras!$F$85="NOTA DE CREDITO","",IF(Registro_Compras!$F$85="RHE",ROUND(Registro_Compras!$L$85*Registro_Compras!$N$85,2),ROUND(Registro_Compras!$J$85*Registro_Compras!$N$85,2))))</f>
        <v>302</v>
      </c>
      <c r="F737" s="20" t="str">
        <f>IF($C737="","",IF(Registro_Compras!$F$85="NOTA DE CREDITO",ROUND(ABS(Registro_Compras!$J$85*Registro_Compras!$N$85),2),""))</f>
        <v/>
      </c>
      <c r="G737" t="str">
        <f>IF($C737="","","Por el destino del gasto")</f>
        <v>Por el destino del gasto</v>
      </c>
      <c r="H737" t="str">
        <f>IF($C737="","",Registro_Compras!$C$85)</f>
        <v>E001-325</v>
      </c>
    </row>
    <row r="738" spans="1:8" x14ac:dyDescent="0.25">
      <c r="A738" s="25">
        <f>IF($C738="","",Registro_Compras!$B$85)</f>
        <v>46240</v>
      </c>
      <c r="B738" t="str">
        <f>IF($C738="","","C"&amp;TEXT(INT((ROW()-5)/9)+1,"000")&amp;"-2")</f>
        <v>C082-2</v>
      </c>
      <c r="C738" t="str">
        <f>IF(OR(Registro_Compras!$C$85="",Registro_Compras!$O$85=""),"","79/791")</f>
        <v>79/791</v>
      </c>
      <c r="D738" t="str">
        <f>IF(OR(Registro_Compras!$C$85="",Registro_Compras!$O$85=""),"","Cargas Imputables a Cuentas de Costos y Gastos")</f>
        <v>Cargas Imputables a Cuentas de Costos y Gastos</v>
      </c>
      <c r="E738" s="20" t="str">
        <f>IF($C738="","",IF(Registro_Compras!$F$85="NOTA DE CREDITO",ROUND(ABS(Registro_Compras!$J$85*Registro_Compras!$N$85),2),""))</f>
        <v/>
      </c>
      <c r="F738" s="20">
        <f>IF($C738="","",IF(Registro_Compras!$F$85="NOTA DE CREDITO","",IF(Registro_Compras!$F$85="RHE",ROUND(Registro_Compras!$L$85*Registro_Compras!$N$85,2),ROUND(Registro_Compras!$J$85*Registro_Compras!$N$85,2))))</f>
        <v>302</v>
      </c>
      <c r="G738" t="str">
        <f>IF($C738="","","Por el destino del gasto")</f>
        <v>Por el destino del gasto</v>
      </c>
      <c r="H738" t="str">
        <f>IF($C738="","",Registro_Compras!$C$85)</f>
        <v>E001-325</v>
      </c>
    </row>
    <row r="739" spans="1:8" x14ac:dyDescent="0.25">
      <c r="A739" s="25" t="str">
        <f>IF($C739="","",Registro_Compras!$X$85)</f>
        <v/>
      </c>
      <c r="B739" t="str">
        <f>IF($C739="","","C"&amp;TEXT(INT((ROW()-5)/9)+1,"000")&amp;"-3")</f>
        <v/>
      </c>
      <c r="C739" t="str">
        <f>IF(OR(Registro_Compras!$C$85="",Registro_Compras!$O$85="",Registro_Compras!$R$85&lt;&gt;"SI",Registro_Compras!$X$85=""),"","4212")</f>
        <v/>
      </c>
      <c r="D739" t="str">
        <f>IF(OR(Registro_Compras!$C$85="",Registro_Compras!$O$85=""),"","Cuentas por Pagar Comerciales - Terceros")</f>
        <v>Cuentas por Pagar Comerciales - Terceros</v>
      </c>
      <c r="E739" s="20" t="str">
        <f>IF($C739="","",Registro_Compras!$S$85)</f>
        <v/>
      </c>
      <c r="F739" s="20" t="str">
        <f>""</f>
        <v/>
      </c>
      <c r="G739" t="str">
        <f>IF($C739="","","Por el deposito de la detraccion en el Banco de la Nacion")</f>
        <v/>
      </c>
      <c r="H739" t="str">
        <f>IF($C739="","",Registro_Compras!$C$85)</f>
        <v/>
      </c>
    </row>
    <row r="740" spans="1:8" x14ac:dyDescent="0.25">
      <c r="A740" s="25" t="str">
        <f>IF($C740="","",Registro_Compras!$X$85)</f>
        <v/>
      </c>
      <c r="B740" t="str">
        <f>IF($C740="","","C"&amp;TEXT(INT((ROW()-5)/9)+1,"000")&amp;"-3")</f>
        <v/>
      </c>
      <c r="C740" t="str">
        <f>IF(OR(Registro_Compras!$C$85="",Registro_Compras!$O$85="",Registro_Compras!$R$85&lt;&gt;"SI",Registro_Compras!$X$85=""),"","1041")</f>
        <v/>
      </c>
      <c r="D740" t="str">
        <f>IF(OR(Registro_Compras!$C$85="",Registro_Compras!$O$85=""),"","Efectivo y Equivalentes - Cta. Cte. Operativa")</f>
        <v>Efectivo y Equivalentes - Cta. Cte. Operativa</v>
      </c>
      <c r="E740" s="20" t="str">
        <f>""</f>
        <v/>
      </c>
      <c r="F740" s="20" t="str">
        <f>IF($C740="","",Registro_Compras!$S$85)</f>
        <v/>
      </c>
      <c r="G740" t="str">
        <f>IF($C740="","","Por el deposito de la detraccion en el Banco de la Nacion")</f>
        <v/>
      </c>
      <c r="H740" t="str">
        <f>IF($C740="","",Registro_Compras!$C$85)</f>
        <v/>
      </c>
    </row>
    <row r="741" spans="1:8" x14ac:dyDescent="0.25">
      <c r="A741" s="25" t="str">
        <f>IF($C741="","",Registro_Compras!$Y$85)</f>
        <v/>
      </c>
      <c r="B741" t="str">
        <f>IF($C741="","","C"&amp;TEXT(INT((ROW()-5)/9)+1,"000")&amp;"-4")</f>
        <v/>
      </c>
      <c r="C741" t="str">
        <f>IF(OR(Registro_Compras!$C$85="",Registro_Compras!$O$85="",Registro_Compras!$Y$85="",Registro_Compras!$F$85="NOTA DE CREDITO"),"","4212")</f>
        <v/>
      </c>
      <c r="D741" t="str">
        <f>IF(OR(Registro_Compras!$C$85="",Registro_Compras!$O$85=""),"","Cuentas por Pagar Comerciales - Terceros")</f>
        <v>Cuentas por Pagar Comerciales - Terceros</v>
      </c>
      <c r="E741" s="20" t="str">
        <f>IF($C741="","",IF(Registro_Compras!$F$85="RHE",(ROUND(Registro_Compras!$L$85*Registro_Compras!$N$85,2)-ROUND(Registro_Compras!$V$85*Registro_Compras!$N$85,2)),ROUND(Registro_Compras!$O$85-Registro_Compras!$S$85,2)))</f>
        <v/>
      </c>
      <c r="F741" s="20" t="str">
        <f>""</f>
        <v/>
      </c>
      <c r="G741" t="str">
        <f>IF($C741="","","Por la cancelacion del saldo al proveedor")</f>
        <v/>
      </c>
      <c r="H741" t="str">
        <f>IF($C741="","",Registro_Compras!$C$85)</f>
        <v/>
      </c>
    </row>
    <row r="742" spans="1:8" x14ac:dyDescent="0.25">
      <c r="A742" s="25" t="str">
        <f>IF($C742="","",Registro_Compras!$Y$85)</f>
        <v/>
      </c>
      <c r="B742" t="str">
        <f>IF($C742="","","C"&amp;TEXT(INT((ROW()-5)/9)+1,"000")&amp;"-4")</f>
        <v/>
      </c>
      <c r="C742" t="str">
        <f>IF(OR(Registro_Compras!$C$85="",Registro_Compras!$O$85="",Registro_Compras!$Y$85="",Registro_Compras!$F$85="NOTA DE CREDITO"),"","1041")</f>
        <v/>
      </c>
      <c r="D742" t="str">
        <f>IF(OR(Registro_Compras!$C$85="",Registro_Compras!$O$85=""),"","Efectivo y Equivalentes - Cta. Cte. Operativa")</f>
        <v>Efectivo y Equivalentes - Cta. Cte. Operativa</v>
      </c>
      <c r="E742" s="20" t="str">
        <f>""</f>
        <v/>
      </c>
      <c r="F742" s="20" t="str">
        <f>IF($C742="","",IF(Registro_Compras!$F$85="RHE",(ROUND(Registro_Compras!$L$85*Registro_Compras!$N$85,2)-ROUND(Registro_Compras!$V$85*Registro_Compras!$N$85,2)),ROUND(Registro_Compras!$O$85-Registro_Compras!$S$85,2)))</f>
        <v/>
      </c>
      <c r="G742" t="str">
        <f>IF($C742="","","Por la cancelacion del saldo al proveedor")</f>
        <v/>
      </c>
      <c r="H742" t="str">
        <f>IF($C742="","",Registro_Compras!$C$85)</f>
        <v/>
      </c>
    </row>
    <row r="743" spans="1:8" x14ac:dyDescent="0.25">
      <c r="A743" s="25">
        <f>IF($C743="","",Registro_Compras!$B$86)</f>
        <v>46240</v>
      </c>
      <c r="B743" t="str">
        <f>IF($C743="","","C"&amp;TEXT(INT((ROW()-5)/9)+1,"000")&amp;"-1")</f>
        <v>C083-1</v>
      </c>
      <c r="C743" t="str">
        <f>IF(OR(Registro_Compras!$C$86="",Registro_Compras!$O$86=""),"",IF(Registro_Compras!$F$86="NOTA DE CREDITO","4212",IF(Registro_Compras!$M$86="","63",Registro_Compras!$M$86)))</f>
        <v>639</v>
      </c>
      <c r="D743" t="str">
        <f>IF(OR(Registro_Compras!$C$86="",Registro_Compras!$O$86=""),"",IF(Registro_Compras!$F$86="NOTA DE CREDITO","Cuentas por Pagar Comerciales - Terceros (Emitidas)",IF(Registro_Compras!$F$86="RHE","Honorarios Profesionales - Servicios de Terceros","Gastos de Servicios Prestados por Terceros")))</f>
        <v>Gastos de Servicios Prestados por Terceros</v>
      </c>
      <c r="E743" s="20">
        <f>IF($C743="","",IF(Registro_Compras!$F$86="NOTA DE CREDITO",ABS(Registro_Compras!$O$86),IF(Registro_Compras!$F$86="RHE",ROUND(Registro_Compras!$L$86*Registro_Compras!$N$86,2),ROUND(Registro_Compras!$J$86*Registro_Compras!$N$86,2))))</f>
        <v>453.03</v>
      </c>
      <c r="F743" s="20" t="str">
        <f>""</f>
        <v/>
      </c>
      <c r="G743" t="str">
        <f>IF($C743="","",IF(Registro_Compras!$F$86="NOTA DE CREDITO","Por la nota de credito "&amp;Registro_Compras!$C$86&amp;" de "&amp;Registro_Compras!$E$86&amp;" [PATRON POR CONFIRMAR CON CONTADOR]",IF(Registro_Compras!$F$86="RHE","Por el registro del recibo por honorarios "&amp;Registro_Compras!$C$86&amp;" de "&amp;Registro_Compras!$E$86&amp;" [PATRON POR CONFIRMAR CON CONTADOR]","Por el registro de la factura "&amp;Registro_Compras!$C$86&amp;" de "&amp;Registro_Compras!$E$86)))</f>
        <v>Por el registro de la factura E001-330 de LUXURY ADVENTURE CUSCO PERU E.I.R.L.</v>
      </c>
      <c r="H743" t="str">
        <f>IF($C743="","",Registro_Compras!$C$86)</f>
        <v>E001-330</v>
      </c>
    </row>
    <row r="744" spans="1:8" x14ac:dyDescent="0.25">
      <c r="A744" s="25">
        <f>IF($C744="","",Registro_Compras!$B$86)</f>
        <v>46240</v>
      </c>
      <c r="B744" t="str">
        <f>IF($C744="","","C"&amp;TEXT(INT((ROW()-5)/9)+1,"000")&amp;"-1")</f>
        <v>C083-1</v>
      </c>
      <c r="C744" t="str">
        <f>IF(OR(Registro_Compras!$C$86="",Registro_Compras!$O$86=""),"",IF(Registro_Compras!$F$86="RHE",IF(Registro_Compras!$V$86=0,"","4017"),IF(Registro_Compras!$F$86="NOTA DE CREDITO",IF(Registro_Compras!$M$86="","63",Registro_Compras!$M$86),IF(Registro_Compras!$K$86=0,"","40111"))))</f>
        <v>40111</v>
      </c>
      <c r="D744" t="str">
        <f>IF(OR(Registro_Compras!$C$86="",Registro_Compras!$O$86=""),"",IF(Registro_Compras!$F$86="RHE","Retencion Renta 4ta Categoria por Pagar",IF(Registro_Compras!$F$86="NOTA DE CREDITO","Gastos de Servicios Prestados por Terceros","IGV - Cuenta Propia (Credito Fiscal)")))</f>
        <v>IGV - Cuenta Propia (Credito Fiscal)</v>
      </c>
      <c r="E744" s="20">
        <f>IF($C744="","",IF(Registro_Compras!$F$86="FACTURA",ROUND(Registro_Compras!$K$86*Registro_Compras!$N$86,2),""))</f>
        <v>81.56</v>
      </c>
      <c r="F744" s="20" t="str">
        <f>IF($C744="","",IF(Registro_Compras!$F$86="RHE",ROUND(Registro_Compras!$V$86*Registro_Compras!$N$86,2),IF(Registro_Compras!$F$86="NOTA DE CREDITO",ROUND(ABS(Registro_Compras!$J$86*Registro_Compras!$N$86),2),"")))</f>
        <v/>
      </c>
      <c r="G744" t="str">
        <f>IF($C744="","",IF(Registro_Compras!$F$86="NOTA DE CREDITO","Por la nota de credito "&amp;Registro_Compras!$C$86&amp;" de "&amp;Registro_Compras!$E$86&amp;" [PATRON POR CONFIRMAR CON CONTADOR]",IF(Registro_Compras!$F$86="RHE","Por el registro del recibo por honorarios "&amp;Registro_Compras!$C$86&amp;" de "&amp;Registro_Compras!$E$86&amp;" [PATRON POR CONFIRMAR CON CONTADOR]","Por el registro de la factura "&amp;Registro_Compras!$C$86&amp;" de "&amp;Registro_Compras!$E$86)))</f>
        <v>Por el registro de la factura E001-330 de LUXURY ADVENTURE CUSCO PERU E.I.R.L.</v>
      </c>
      <c r="H744" t="str">
        <f>IF($C744="","",Registro_Compras!$C$86)</f>
        <v>E001-330</v>
      </c>
    </row>
    <row r="745" spans="1:8" x14ac:dyDescent="0.25">
      <c r="A745" s="25">
        <f>IF($C745="","",Registro_Compras!$B$86)</f>
        <v>46240</v>
      </c>
      <c r="B745" t="str">
        <f>IF($C745="","","C"&amp;TEXT(INT((ROW()-5)/9)+1,"000")&amp;"-1")</f>
        <v>C083-1</v>
      </c>
      <c r="C745" t="str">
        <f>IF(OR(Registro_Compras!$C$86="",Registro_Compras!$O$86=""),"",IF(Registro_Compras!$F$86="NOTA DE CREDITO",IF(Registro_Compras!$K$86=0,"","40111"),"4212"))</f>
        <v>4212</v>
      </c>
      <c r="D745" t="str">
        <f>IF(OR(Registro_Compras!$C$86="",Registro_Compras!$O$86=""),"",IF(Registro_Compras!$F$86="NOTA DE CREDITO","IGV - Cuenta Propia (Credito Fiscal)","Cuentas por Pagar Comerciales - Terceros (Emitidas)"))</f>
        <v>Cuentas por Pagar Comerciales - Terceros (Emitidas)</v>
      </c>
      <c r="E745" s="20" t="str">
        <f>""</f>
        <v/>
      </c>
      <c r="F745" s="20">
        <f>IF($C745="","",IF(Registro_Compras!$F$86="NOTA DE CREDITO",ROUND(ABS(Registro_Compras!$K$86*Registro_Compras!$N$86),2),IF(Registro_Compras!$F$86="RHE",(ROUND(Registro_Compras!$L$86*Registro_Compras!$N$86,2)-ROUND(Registro_Compras!$V$86*Registro_Compras!$N$86,2)),Registro_Compras!$O$86)))</f>
        <v>534.58999999999992</v>
      </c>
      <c r="G745" t="str">
        <f>IF($C745="","",IF(Registro_Compras!$F$86="NOTA DE CREDITO","Por la nota de credito "&amp;Registro_Compras!$C$86&amp;" de "&amp;Registro_Compras!$E$86&amp;" [PATRON POR CONFIRMAR CON CONTADOR]",IF(Registro_Compras!$F$86="RHE","Por el registro del recibo por honorarios "&amp;Registro_Compras!$C$86&amp;" de "&amp;Registro_Compras!$E$86&amp;" [PATRON POR CONFIRMAR CON CONTADOR]","Por el registro de la factura "&amp;Registro_Compras!$C$86&amp;" de "&amp;Registro_Compras!$E$86)))</f>
        <v>Por el registro de la factura E001-330 de LUXURY ADVENTURE CUSCO PERU E.I.R.L.</v>
      </c>
      <c r="H745" t="str">
        <f>IF($C745="","",Registro_Compras!$C$86)</f>
        <v>E001-330</v>
      </c>
    </row>
    <row r="746" spans="1:8" x14ac:dyDescent="0.25">
      <c r="A746" s="25">
        <f>IF($C746="","",Registro_Compras!$B$86)</f>
        <v>46240</v>
      </c>
      <c r="B746" t="str">
        <f>IF($C746="","","C"&amp;TEXT(INT((ROW()-5)/9)+1,"000")&amp;"-2")</f>
        <v>C083-2</v>
      </c>
      <c r="C746" t="str">
        <f>IF(OR(Registro_Compras!$C$86="",Registro_Compras!$O$86=""),"",IF(Registro_Compras!$AB$86="ADMINISTRATIVO","94","95"))</f>
        <v>95</v>
      </c>
      <c r="D746" t="str">
        <f>IF(OR(Registro_Compras!$C$86="",Registro_Compras!$O$86=""),"",IF(Registro_Compras!$AB$86="ADMINISTRATIVO","Gastos Administrativos","Gastos de Venta y Operacion"))</f>
        <v>Gastos de Venta y Operacion</v>
      </c>
      <c r="E746" s="20">
        <f>IF($C746="","",IF(Registro_Compras!$F$86="NOTA DE CREDITO","",IF(Registro_Compras!$F$86="RHE",ROUND(Registro_Compras!$L$86*Registro_Compras!$N$86,2),ROUND(Registro_Compras!$J$86*Registro_Compras!$N$86,2))))</f>
        <v>453.03</v>
      </c>
      <c r="F746" s="20" t="str">
        <f>IF($C746="","",IF(Registro_Compras!$F$86="NOTA DE CREDITO",ROUND(ABS(Registro_Compras!$J$86*Registro_Compras!$N$86),2),""))</f>
        <v/>
      </c>
      <c r="G746" t="str">
        <f>IF($C746="","","Por el destino del gasto")</f>
        <v>Por el destino del gasto</v>
      </c>
      <c r="H746" t="str">
        <f>IF($C746="","",Registro_Compras!$C$86)</f>
        <v>E001-330</v>
      </c>
    </row>
    <row r="747" spans="1:8" x14ac:dyDescent="0.25">
      <c r="A747" s="25">
        <f>IF($C747="","",Registro_Compras!$B$86)</f>
        <v>46240</v>
      </c>
      <c r="B747" t="str">
        <f>IF($C747="","","C"&amp;TEXT(INT((ROW()-5)/9)+1,"000")&amp;"-2")</f>
        <v>C083-2</v>
      </c>
      <c r="C747" t="str">
        <f>IF(OR(Registro_Compras!$C$86="",Registro_Compras!$O$86=""),"","79/791")</f>
        <v>79/791</v>
      </c>
      <c r="D747" t="str">
        <f>IF(OR(Registro_Compras!$C$86="",Registro_Compras!$O$86=""),"","Cargas Imputables a Cuentas de Costos y Gastos")</f>
        <v>Cargas Imputables a Cuentas de Costos y Gastos</v>
      </c>
      <c r="E747" s="20" t="str">
        <f>IF($C747="","",IF(Registro_Compras!$F$86="NOTA DE CREDITO",ROUND(ABS(Registro_Compras!$J$86*Registro_Compras!$N$86),2),""))</f>
        <v/>
      </c>
      <c r="F747" s="20">
        <f>IF($C747="","",IF(Registro_Compras!$F$86="NOTA DE CREDITO","",IF(Registro_Compras!$F$86="RHE",ROUND(Registro_Compras!$L$86*Registro_Compras!$N$86,2),ROUND(Registro_Compras!$J$86*Registro_Compras!$N$86,2))))</f>
        <v>453.03</v>
      </c>
      <c r="G747" t="str">
        <f>IF($C747="","","Por el destino del gasto")</f>
        <v>Por el destino del gasto</v>
      </c>
      <c r="H747" t="str">
        <f>IF($C747="","",Registro_Compras!$C$86)</f>
        <v>E001-330</v>
      </c>
    </row>
    <row r="748" spans="1:8" x14ac:dyDescent="0.25">
      <c r="A748" s="25" t="str">
        <f>IF($C748="","",Registro_Compras!$X$86)</f>
        <v/>
      </c>
      <c r="B748" t="str">
        <f>IF($C748="","","C"&amp;TEXT(INT((ROW()-5)/9)+1,"000")&amp;"-3")</f>
        <v/>
      </c>
      <c r="C748" t="str">
        <f>IF(OR(Registro_Compras!$C$86="",Registro_Compras!$O$86="",Registro_Compras!$R$86&lt;&gt;"SI",Registro_Compras!$X$86=""),"","4212")</f>
        <v/>
      </c>
      <c r="D748" t="str">
        <f>IF(OR(Registro_Compras!$C$86="",Registro_Compras!$O$86=""),"","Cuentas por Pagar Comerciales - Terceros")</f>
        <v>Cuentas por Pagar Comerciales - Terceros</v>
      </c>
      <c r="E748" s="20" t="str">
        <f>IF($C748="","",Registro_Compras!$S$86)</f>
        <v/>
      </c>
      <c r="F748" s="20" t="str">
        <f>""</f>
        <v/>
      </c>
      <c r="G748" t="str">
        <f>IF($C748="","","Por el deposito de la detraccion en el Banco de la Nacion")</f>
        <v/>
      </c>
      <c r="H748" t="str">
        <f>IF($C748="","",Registro_Compras!$C$86)</f>
        <v/>
      </c>
    </row>
    <row r="749" spans="1:8" x14ac:dyDescent="0.25">
      <c r="A749" s="25" t="str">
        <f>IF($C749="","",Registro_Compras!$X$86)</f>
        <v/>
      </c>
      <c r="B749" t="str">
        <f>IF($C749="","","C"&amp;TEXT(INT((ROW()-5)/9)+1,"000")&amp;"-3")</f>
        <v/>
      </c>
      <c r="C749" t="str">
        <f>IF(OR(Registro_Compras!$C$86="",Registro_Compras!$O$86="",Registro_Compras!$R$86&lt;&gt;"SI",Registro_Compras!$X$86=""),"","1041")</f>
        <v/>
      </c>
      <c r="D749" t="str">
        <f>IF(OR(Registro_Compras!$C$86="",Registro_Compras!$O$86=""),"","Efectivo y Equivalentes - Cta. Cte. Operativa")</f>
        <v>Efectivo y Equivalentes - Cta. Cte. Operativa</v>
      </c>
      <c r="E749" s="20" t="str">
        <f>""</f>
        <v/>
      </c>
      <c r="F749" s="20" t="str">
        <f>IF($C749="","",Registro_Compras!$S$86)</f>
        <v/>
      </c>
      <c r="G749" t="str">
        <f>IF($C749="","","Por el deposito de la detraccion en el Banco de la Nacion")</f>
        <v/>
      </c>
      <c r="H749" t="str">
        <f>IF($C749="","",Registro_Compras!$C$86)</f>
        <v/>
      </c>
    </row>
    <row r="750" spans="1:8" x14ac:dyDescent="0.25">
      <c r="A750" s="25" t="str">
        <f>IF($C750="","",Registro_Compras!$Y$86)</f>
        <v/>
      </c>
      <c r="B750" t="str">
        <f>IF($C750="","","C"&amp;TEXT(INT((ROW()-5)/9)+1,"000")&amp;"-4")</f>
        <v/>
      </c>
      <c r="C750" t="str">
        <f>IF(OR(Registro_Compras!$C$86="",Registro_Compras!$O$86="",Registro_Compras!$Y$86="",Registro_Compras!$F$86="NOTA DE CREDITO"),"","4212")</f>
        <v/>
      </c>
      <c r="D750" t="str">
        <f>IF(OR(Registro_Compras!$C$86="",Registro_Compras!$O$86=""),"","Cuentas por Pagar Comerciales - Terceros")</f>
        <v>Cuentas por Pagar Comerciales - Terceros</v>
      </c>
      <c r="E750" s="20" t="str">
        <f>IF($C750="","",IF(Registro_Compras!$F$86="RHE",(ROUND(Registro_Compras!$L$86*Registro_Compras!$N$86,2)-ROUND(Registro_Compras!$V$86*Registro_Compras!$N$86,2)),ROUND(Registro_Compras!$O$86-Registro_Compras!$S$86,2)))</f>
        <v/>
      </c>
      <c r="F750" s="20" t="str">
        <f>""</f>
        <v/>
      </c>
      <c r="G750" t="str">
        <f>IF($C750="","","Por la cancelacion del saldo al proveedor")</f>
        <v/>
      </c>
      <c r="H750" t="str">
        <f>IF($C750="","",Registro_Compras!$C$86)</f>
        <v/>
      </c>
    </row>
    <row r="751" spans="1:8" x14ac:dyDescent="0.25">
      <c r="A751" s="25" t="str">
        <f>IF($C751="","",Registro_Compras!$Y$86)</f>
        <v/>
      </c>
      <c r="B751" t="str">
        <f>IF($C751="","","C"&amp;TEXT(INT((ROW()-5)/9)+1,"000")&amp;"-4")</f>
        <v/>
      </c>
      <c r="C751" t="str">
        <f>IF(OR(Registro_Compras!$C$86="",Registro_Compras!$O$86="",Registro_Compras!$Y$86="",Registro_Compras!$F$86="NOTA DE CREDITO"),"","1041")</f>
        <v/>
      </c>
      <c r="D751" t="str">
        <f>IF(OR(Registro_Compras!$C$86="",Registro_Compras!$O$86=""),"","Efectivo y Equivalentes - Cta. Cte. Operativa")</f>
        <v>Efectivo y Equivalentes - Cta. Cte. Operativa</v>
      </c>
      <c r="E751" s="20" t="str">
        <f>""</f>
        <v/>
      </c>
      <c r="F751" s="20" t="str">
        <f>IF($C751="","",IF(Registro_Compras!$F$86="RHE",(ROUND(Registro_Compras!$L$86*Registro_Compras!$N$86,2)-ROUND(Registro_Compras!$V$86*Registro_Compras!$N$86,2)),ROUND(Registro_Compras!$O$86-Registro_Compras!$S$86,2)))</f>
        <v/>
      </c>
      <c r="G751" t="str">
        <f>IF($C751="","","Por la cancelacion del saldo al proveedor")</f>
        <v/>
      </c>
      <c r="H751" t="str">
        <f>IF($C751="","",Registro_Compras!$C$86)</f>
        <v/>
      </c>
    </row>
    <row r="752" spans="1:8" x14ac:dyDescent="0.25">
      <c r="A752" s="25">
        <f>IF($C752="","",Registro_Compras!$B$87)</f>
        <v>46240</v>
      </c>
      <c r="B752" t="str">
        <f>IF($C752="","","C"&amp;TEXT(INT((ROW()-5)/9)+1,"000")&amp;"-1")</f>
        <v>C084-1</v>
      </c>
      <c r="C752" t="str">
        <f>IF(OR(Registro_Compras!$C$87="",Registro_Compras!$O$87=""),"",IF(Registro_Compras!$F$87="NOTA DE CREDITO","4212",IF(Registro_Compras!$M$87="","63",Registro_Compras!$M$87)))</f>
        <v>639</v>
      </c>
      <c r="D752" t="str">
        <f>IF(OR(Registro_Compras!$C$87="",Registro_Compras!$O$87=""),"",IF(Registro_Compras!$F$87="NOTA DE CREDITO","Cuentas por Pagar Comerciales - Terceros (Emitidas)",IF(Registro_Compras!$F$87="RHE","Honorarios Profesionales - Servicios de Terceros","Gastos de Servicios Prestados por Terceros")))</f>
        <v>Gastos de Servicios Prestados por Terceros</v>
      </c>
      <c r="E752" s="20">
        <f>IF($C752="","",IF(Registro_Compras!$F$87="NOTA DE CREDITO",ABS(Registro_Compras!$O$87),IF(Registro_Compras!$F$87="RHE",ROUND(Registro_Compras!$L$87*Registro_Compras!$N$87,2),ROUND(Registro_Compras!$J$87*Registro_Compras!$N$87,2))))</f>
        <v>553.70000000000005</v>
      </c>
      <c r="F752" s="20" t="str">
        <f>""</f>
        <v/>
      </c>
      <c r="G752" t="str">
        <f>IF($C752="","",IF(Registro_Compras!$F$87="NOTA DE CREDITO","Por la nota de credito "&amp;Registro_Compras!$C$87&amp;" de "&amp;Registro_Compras!$E$87&amp;" [PATRON POR CONFIRMAR CON CONTADOR]",IF(Registro_Compras!$F$87="RHE","Por el registro del recibo por honorarios "&amp;Registro_Compras!$C$87&amp;" de "&amp;Registro_Compras!$E$87&amp;" [PATRON POR CONFIRMAR CON CONTADOR]","Por el registro de la factura "&amp;Registro_Compras!$C$87&amp;" de "&amp;Registro_Compras!$E$87)))</f>
        <v>Por el registro de la factura E001-335 de LUXURY ADVENTURE CUSCO PERU E.I.R.L.</v>
      </c>
      <c r="H752" t="str">
        <f>IF($C752="","",Registro_Compras!$C$87)</f>
        <v>E001-335</v>
      </c>
    </row>
    <row r="753" spans="1:8" x14ac:dyDescent="0.25">
      <c r="A753" s="25">
        <f>IF($C753="","",Registro_Compras!$B$87)</f>
        <v>46240</v>
      </c>
      <c r="B753" t="str">
        <f>IF($C753="","","C"&amp;TEXT(INT((ROW()-5)/9)+1,"000")&amp;"-1")</f>
        <v>C084-1</v>
      </c>
      <c r="C753" t="str">
        <f>IF(OR(Registro_Compras!$C$87="",Registro_Compras!$O$87=""),"",IF(Registro_Compras!$F$87="RHE",IF(Registro_Compras!$V$87=0,"","4017"),IF(Registro_Compras!$F$87="NOTA DE CREDITO",IF(Registro_Compras!$M$87="","63",Registro_Compras!$M$87),IF(Registro_Compras!$K$87=0,"","40111"))))</f>
        <v>40111</v>
      </c>
      <c r="D753" t="str">
        <f>IF(OR(Registro_Compras!$C$87="",Registro_Compras!$O$87=""),"",IF(Registro_Compras!$F$87="RHE","Retencion Renta 4ta Categoria por Pagar",IF(Registro_Compras!$F$87="NOTA DE CREDITO","Gastos de Servicios Prestados por Terceros","IGV - Cuenta Propia (Credito Fiscal)")))</f>
        <v>IGV - Cuenta Propia (Credito Fiscal)</v>
      </c>
      <c r="E753" s="20">
        <f>IF($C753="","",IF(Registro_Compras!$F$87="FACTURA",ROUND(Registro_Compras!$K$87*Registro_Compras!$N$87,2),""))</f>
        <v>99.65</v>
      </c>
      <c r="F753" s="20" t="str">
        <f>IF($C753="","",IF(Registro_Compras!$F$87="RHE",ROUND(Registro_Compras!$V$87*Registro_Compras!$N$87,2),IF(Registro_Compras!$F$87="NOTA DE CREDITO",ROUND(ABS(Registro_Compras!$J$87*Registro_Compras!$N$87),2),"")))</f>
        <v/>
      </c>
      <c r="G753" t="str">
        <f>IF($C753="","",IF(Registro_Compras!$F$87="NOTA DE CREDITO","Por la nota de credito "&amp;Registro_Compras!$C$87&amp;" de "&amp;Registro_Compras!$E$87&amp;" [PATRON POR CONFIRMAR CON CONTADOR]",IF(Registro_Compras!$F$87="RHE","Por el registro del recibo por honorarios "&amp;Registro_Compras!$C$87&amp;" de "&amp;Registro_Compras!$E$87&amp;" [PATRON POR CONFIRMAR CON CONTADOR]","Por el registro de la factura "&amp;Registro_Compras!$C$87&amp;" de "&amp;Registro_Compras!$E$87)))</f>
        <v>Por el registro de la factura E001-335 de LUXURY ADVENTURE CUSCO PERU E.I.R.L.</v>
      </c>
      <c r="H753" t="str">
        <f>IF($C753="","",Registro_Compras!$C$87)</f>
        <v>E001-335</v>
      </c>
    </row>
    <row r="754" spans="1:8" x14ac:dyDescent="0.25">
      <c r="A754" s="25">
        <f>IF($C754="","",Registro_Compras!$B$87)</f>
        <v>46240</v>
      </c>
      <c r="B754" t="str">
        <f>IF($C754="","","C"&amp;TEXT(INT((ROW()-5)/9)+1,"000")&amp;"-1")</f>
        <v>C084-1</v>
      </c>
      <c r="C754" t="str">
        <f>IF(OR(Registro_Compras!$C$87="",Registro_Compras!$O$87=""),"",IF(Registro_Compras!$F$87="NOTA DE CREDITO",IF(Registro_Compras!$K$87=0,"","40111"),"4212"))</f>
        <v>4212</v>
      </c>
      <c r="D754" t="str">
        <f>IF(OR(Registro_Compras!$C$87="",Registro_Compras!$O$87=""),"",IF(Registro_Compras!$F$87="NOTA DE CREDITO","IGV - Cuenta Propia (Credito Fiscal)","Cuentas por Pagar Comerciales - Terceros (Emitidas)"))</f>
        <v>Cuentas por Pagar Comerciales - Terceros (Emitidas)</v>
      </c>
      <c r="E754" s="20" t="str">
        <f>""</f>
        <v/>
      </c>
      <c r="F754" s="20">
        <f>IF($C754="","",IF(Registro_Compras!$F$87="NOTA DE CREDITO",ROUND(ABS(Registro_Compras!$K$87*Registro_Compras!$N$87),2),IF(Registro_Compras!$F$87="RHE",(ROUND(Registro_Compras!$L$87*Registro_Compras!$N$87,2)-ROUND(Registro_Compras!$V$87*Registro_Compras!$N$87,2)),Registro_Compras!$O$87)))</f>
        <v>653.35</v>
      </c>
      <c r="G754" t="str">
        <f>IF($C754="","",IF(Registro_Compras!$F$87="NOTA DE CREDITO","Por la nota de credito "&amp;Registro_Compras!$C$87&amp;" de "&amp;Registro_Compras!$E$87&amp;" [PATRON POR CONFIRMAR CON CONTADOR]",IF(Registro_Compras!$F$87="RHE","Por el registro del recibo por honorarios "&amp;Registro_Compras!$C$87&amp;" de "&amp;Registro_Compras!$E$87&amp;" [PATRON POR CONFIRMAR CON CONTADOR]","Por el registro de la factura "&amp;Registro_Compras!$C$87&amp;" de "&amp;Registro_Compras!$E$87)))</f>
        <v>Por el registro de la factura E001-335 de LUXURY ADVENTURE CUSCO PERU E.I.R.L.</v>
      </c>
      <c r="H754" t="str">
        <f>IF($C754="","",Registro_Compras!$C$87)</f>
        <v>E001-335</v>
      </c>
    </row>
    <row r="755" spans="1:8" x14ac:dyDescent="0.25">
      <c r="A755" s="25">
        <f>IF($C755="","",Registro_Compras!$B$87)</f>
        <v>46240</v>
      </c>
      <c r="B755" t="str">
        <f>IF($C755="","","C"&amp;TEXT(INT((ROW()-5)/9)+1,"000")&amp;"-2")</f>
        <v>C084-2</v>
      </c>
      <c r="C755" t="str">
        <f>IF(OR(Registro_Compras!$C$87="",Registro_Compras!$O$87=""),"",IF(Registro_Compras!$AB$87="ADMINISTRATIVO","94","95"))</f>
        <v>95</v>
      </c>
      <c r="D755" t="str">
        <f>IF(OR(Registro_Compras!$C$87="",Registro_Compras!$O$87=""),"",IF(Registro_Compras!$AB$87="ADMINISTRATIVO","Gastos Administrativos","Gastos de Venta y Operacion"))</f>
        <v>Gastos de Venta y Operacion</v>
      </c>
      <c r="E755" s="20">
        <f>IF($C755="","",IF(Registro_Compras!$F$87="NOTA DE CREDITO","",IF(Registro_Compras!$F$87="RHE",ROUND(Registro_Compras!$L$87*Registro_Compras!$N$87,2),ROUND(Registro_Compras!$J$87*Registro_Compras!$N$87,2))))</f>
        <v>553.70000000000005</v>
      </c>
      <c r="F755" s="20" t="str">
        <f>IF($C755="","",IF(Registro_Compras!$F$87="NOTA DE CREDITO",ROUND(ABS(Registro_Compras!$J$87*Registro_Compras!$N$87),2),""))</f>
        <v/>
      </c>
      <c r="G755" t="str">
        <f>IF($C755="","","Por el destino del gasto")</f>
        <v>Por el destino del gasto</v>
      </c>
      <c r="H755" t="str">
        <f>IF($C755="","",Registro_Compras!$C$87)</f>
        <v>E001-335</v>
      </c>
    </row>
    <row r="756" spans="1:8" x14ac:dyDescent="0.25">
      <c r="A756" s="25">
        <f>IF($C756="","",Registro_Compras!$B$87)</f>
        <v>46240</v>
      </c>
      <c r="B756" t="str">
        <f>IF($C756="","","C"&amp;TEXT(INT((ROW()-5)/9)+1,"000")&amp;"-2")</f>
        <v>C084-2</v>
      </c>
      <c r="C756" t="str">
        <f>IF(OR(Registro_Compras!$C$87="",Registro_Compras!$O$87=""),"","79/791")</f>
        <v>79/791</v>
      </c>
      <c r="D756" t="str">
        <f>IF(OR(Registro_Compras!$C$87="",Registro_Compras!$O$87=""),"","Cargas Imputables a Cuentas de Costos y Gastos")</f>
        <v>Cargas Imputables a Cuentas de Costos y Gastos</v>
      </c>
      <c r="E756" s="20" t="str">
        <f>IF($C756="","",IF(Registro_Compras!$F$87="NOTA DE CREDITO",ROUND(ABS(Registro_Compras!$J$87*Registro_Compras!$N$87),2),""))</f>
        <v/>
      </c>
      <c r="F756" s="20">
        <f>IF($C756="","",IF(Registro_Compras!$F$87="NOTA DE CREDITO","",IF(Registro_Compras!$F$87="RHE",ROUND(Registro_Compras!$L$87*Registro_Compras!$N$87,2),ROUND(Registro_Compras!$J$87*Registro_Compras!$N$87,2))))</f>
        <v>553.70000000000005</v>
      </c>
      <c r="G756" t="str">
        <f>IF($C756="","","Por el destino del gasto")</f>
        <v>Por el destino del gasto</v>
      </c>
      <c r="H756" t="str">
        <f>IF($C756="","",Registro_Compras!$C$87)</f>
        <v>E001-335</v>
      </c>
    </row>
    <row r="757" spans="1:8" x14ac:dyDescent="0.25">
      <c r="A757" s="25" t="str">
        <f>IF($C757="","",Registro_Compras!$X$87)</f>
        <v/>
      </c>
      <c r="B757" t="str">
        <f>IF($C757="","","C"&amp;TEXT(INT((ROW()-5)/9)+1,"000")&amp;"-3")</f>
        <v/>
      </c>
      <c r="C757" t="str">
        <f>IF(OR(Registro_Compras!$C$87="",Registro_Compras!$O$87="",Registro_Compras!$R$87&lt;&gt;"SI",Registro_Compras!$X$87=""),"","4212")</f>
        <v/>
      </c>
      <c r="D757" t="str">
        <f>IF(OR(Registro_Compras!$C$87="",Registro_Compras!$O$87=""),"","Cuentas por Pagar Comerciales - Terceros")</f>
        <v>Cuentas por Pagar Comerciales - Terceros</v>
      </c>
      <c r="E757" s="20" t="str">
        <f>IF($C757="","",Registro_Compras!$S$87)</f>
        <v/>
      </c>
      <c r="F757" s="20" t="str">
        <f>""</f>
        <v/>
      </c>
      <c r="G757" t="str">
        <f>IF($C757="","","Por el deposito de la detraccion en el Banco de la Nacion")</f>
        <v/>
      </c>
      <c r="H757" t="str">
        <f>IF($C757="","",Registro_Compras!$C$87)</f>
        <v/>
      </c>
    </row>
    <row r="758" spans="1:8" x14ac:dyDescent="0.25">
      <c r="A758" s="25" t="str">
        <f>IF($C758="","",Registro_Compras!$X$87)</f>
        <v/>
      </c>
      <c r="B758" t="str">
        <f>IF($C758="","","C"&amp;TEXT(INT((ROW()-5)/9)+1,"000")&amp;"-3")</f>
        <v/>
      </c>
      <c r="C758" t="str">
        <f>IF(OR(Registro_Compras!$C$87="",Registro_Compras!$O$87="",Registro_Compras!$R$87&lt;&gt;"SI",Registro_Compras!$X$87=""),"","1041")</f>
        <v/>
      </c>
      <c r="D758" t="str">
        <f>IF(OR(Registro_Compras!$C$87="",Registro_Compras!$O$87=""),"","Efectivo y Equivalentes - Cta. Cte. Operativa")</f>
        <v>Efectivo y Equivalentes - Cta. Cte. Operativa</v>
      </c>
      <c r="E758" s="20" t="str">
        <f>""</f>
        <v/>
      </c>
      <c r="F758" s="20" t="str">
        <f>IF($C758="","",Registro_Compras!$S$87)</f>
        <v/>
      </c>
      <c r="G758" t="str">
        <f>IF($C758="","","Por el deposito de la detraccion en el Banco de la Nacion")</f>
        <v/>
      </c>
      <c r="H758" t="str">
        <f>IF($C758="","",Registro_Compras!$C$87)</f>
        <v/>
      </c>
    </row>
    <row r="759" spans="1:8" x14ac:dyDescent="0.25">
      <c r="A759" s="25" t="str">
        <f>IF($C759="","",Registro_Compras!$Y$87)</f>
        <v/>
      </c>
      <c r="B759" t="str">
        <f>IF($C759="","","C"&amp;TEXT(INT((ROW()-5)/9)+1,"000")&amp;"-4")</f>
        <v/>
      </c>
      <c r="C759" t="str">
        <f>IF(OR(Registro_Compras!$C$87="",Registro_Compras!$O$87="",Registro_Compras!$Y$87="",Registro_Compras!$F$87="NOTA DE CREDITO"),"","4212")</f>
        <v/>
      </c>
      <c r="D759" t="str">
        <f>IF(OR(Registro_Compras!$C$87="",Registro_Compras!$O$87=""),"","Cuentas por Pagar Comerciales - Terceros")</f>
        <v>Cuentas por Pagar Comerciales - Terceros</v>
      </c>
      <c r="E759" s="20" t="str">
        <f>IF($C759="","",IF(Registro_Compras!$F$87="RHE",(ROUND(Registro_Compras!$L$87*Registro_Compras!$N$87,2)-ROUND(Registro_Compras!$V$87*Registro_Compras!$N$87,2)),ROUND(Registro_Compras!$O$87-Registro_Compras!$S$87,2)))</f>
        <v/>
      </c>
      <c r="F759" s="20" t="str">
        <f>""</f>
        <v/>
      </c>
      <c r="G759" t="str">
        <f>IF($C759="","","Por la cancelacion del saldo al proveedor")</f>
        <v/>
      </c>
      <c r="H759" t="str">
        <f>IF($C759="","",Registro_Compras!$C$87)</f>
        <v/>
      </c>
    </row>
    <row r="760" spans="1:8" x14ac:dyDescent="0.25">
      <c r="A760" s="25" t="str">
        <f>IF($C760="","",Registro_Compras!$Y$87)</f>
        <v/>
      </c>
      <c r="B760" t="str">
        <f>IF($C760="","","C"&amp;TEXT(INT((ROW()-5)/9)+1,"000")&amp;"-4")</f>
        <v/>
      </c>
      <c r="C760" t="str">
        <f>IF(OR(Registro_Compras!$C$87="",Registro_Compras!$O$87="",Registro_Compras!$Y$87="",Registro_Compras!$F$87="NOTA DE CREDITO"),"","1041")</f>
        <v/>
      </c>
      <c r="D760" t="str">
        <f>IF(OR(Registro_Compras!$C$87="",Registro_Compras!$O$87=""),"","Efectivo y Equivalentes - Cta. Cte. Operativa")</f>
        <v>Efectivo y Equivalentes - Cta. Cte. Operativa</v>
      </c>
      <c r="E760" s="20" t="str">
        <f>""</f>
        <v/>
      </c>
      <c r="F760" s="20" t="str">
        <f>IF($C760="","",IF(Registro_Compras!$F$87="RHE",(ROUND(Registro_Compras!$L$87*Registro_Compras!$N$87,2)-ROUND(Registro_Compras!$V$87*Registro_Compras!$N$87,2)),ROUND(Registro_Compras!$O$87-Registro_Compras!$S$87,2)))</f>
        <v/>
      </c>
      <c r="G760" t="str">
        <f>IF($C760="","","Por la cancelacion del saldo al proveedor")</f>
        <v/>
      </c>
      <c r="H760" t="str">
        <f>IF($C760="","",Registro_Compras!$C$87)</f>
        <v/>
      </c>
    </row>
    <row r="761" spans="1:8" x14ac:dyDescent="0.25">
      <c r="A761" s="25">
        <f>IF($C761="","",Registro_Compras!$B$88)</f>
        <v>46244</v>
      </c>
      <c r="B761" t="str">
        <f>IF($C761="","","C"&amp;TEXT(INT((ROW()-5)/9)+1,"000")&amp;"-1")</f>
        <v>C085-1</v>
      </c>
      <c r="C761" t="str">
        <f>IF(OR(Registro_Compras!$C$88="",Registro_Compras!$O$88=""),"",IF(Registro_Compras!$F$88="NOTA DE CREDITO","4212",IF(Registro_Compras!$M$88="","63",Registro_Compras!$M$88)))</f>
        <v>639</v>
      </c>
      <c r="D761" t="str">
        <f>IF(OR(Registro_Compras!$C$88="",Registro_Compras!$O$88=""),"",IF(Registro_Compras!$F$88="NOTA DE CREDITO","Cuentas por Pagar Comerciales - Terceros (Emitidas)",IF(Registro_Compras!$F$88="RHE","Honorarios Profesionales - Servicios de Terceros","Gastos de Servicios Prestados por Terceros")))</f>
        <v>Gastos de Servicios Prestados por Terceros</v>
      </c>
      <c r="E761" s="20">
        <f>IF($C761="","",IF(Registro_Compras!$F$88="NOTA DE CREDITO",ABS(Registro_Compras!$O$88),IF(Registro_Compras!$F$88="RHE",ROUND(Registro_Compras!$L$88*Registro_Compras!$N$88,2),ROUND(Registro_Compras!$J$88*Registro_Compras!$N$88,2))))</f>
        <v>660.64</v>
      </c>
      <c r="F761" s="20" t="str">
        <f>""</f>
        <v/>
      </c>
      <c r="G761" t="str">
        <f>IF($C761="","",IF(Registro_Compras!$F$88="NOTA DE CREDITO","Por la nota de credito "&amp;Registro_Compras!$C$88&amp;" de "&amp;Registro_Compras!$E$88&amp;" [PATRON POR CONFIRMAR CON CONTADOR]",IF(Registro_Compras!$F$88="RHE","Por el registro del recibo por honorarios "&amp;Registro_Compras!$C$88&amp;" de "&amp;Registro_Compras!$E$88&amp;" [PATRON POR CONFIRMAR CON CONTADOR]","Por el registro de la factura "&amp;Registro_Compras!$C$88&amp;" de "&amp;Registro_Compras!$E$88)))</f>
        <v>Por el registro de la factura F003-00000024 de ALQA GALERIA DE EXPRESIONES ANDINAS SRL</v>
      </c>
      <c r="H761" t="str">
        <f>IF($C761="","",Registro_Compras!$C$88)</f>
        <v>F003-00000024</v>
      </c>
    </row>
    <row r="762" spans="1:8" x14ac:dyDescent="0.25">
      <c r="A762" s="25">
        <f>IF($C762="","",Registro_Compras!$B$88)</f>
        <v>46244</v>
      </c>
      <c r="B762" t="str">
        <f>IF($C762="","","C"&amp;TEXT(INT((ROW()-5)/9)+1,"000")&amp;"-1")</f>
        <v>C085-1</v>
      </c>
      <c r="C762" t="str">
        <f>IF(OR(Registro_Compras!$C$88="",Registro_Compras!$O$88=""),"",IF(Registro_Compras!$F$88="RHE",IF(Registro_Compras!$V$88=0,"","4017"),IF(Registro_Compras!$F$88="NOTA DE CREDITO",IF(Registro_Compras!$M$88="","63",Registro_Compras!$M$88),IF(Registro_Compras!$K$88=0,"","40111"))))</f>
        <v>40111</v>
      </c>
      <c r="D762" t="str">
        <f>IF(OR(Registro_Compras!$C$88="",Registro_Compras!$O$88=""),"",IF(Registro_Compras!$F$88="RHE","Retencion Renta 4ta Categoria por Pagar",IF(Registro_Compras!$F$88="NOTA DE CREDITO","Gastos de Servicios Prestados por Terceros","IGV - Cuenta Propia (Credito Fiscal)")))</f>
        <v>IGV - Cuenta Propia (Credito Fiscal)</v>
      </c>
      <c r="E762" s="20">
        <f>IF($C762="","",IF(Registro_Compras!$F$88="FACTURA",ROUND(Registro_Compras!$K$88*Registro_Compras!$N$88,2),""))</f>
        <v>69.36</v>
      </c>
      <c r="F762" s="20" t="str">
        <f>IF($C762="","",IF(Registro_Compras!$F$88="RHE",ROUND(Registro_Compras!$V$88*Registro_Compras!$N$88,2),IF(Registro_Compras!$F$88="NOTA DE CREDITO",ROUND(ABS(Registro_Compras!$J$88*Registro_Compras!$N$88),2),"")))</f>
        <v/>
      </c>
      <c r="G762" t="str">
        <f>IF($C762="","",IF(Registro_Compras!$F$88="NOTA DE CREDITO","Por la nota de credito "&amp;Registro_Compras!$C$88&amp;" de "&amp;Registro_Compras!$E$88&amp;" [PATRON POR CONFIRMAR CON CONTADOR]",IF(Registro_Compras!$F$88="RHE","Por el registro del recibo por honorarios "&amp;Registro_Compras!$C$88&amp;" de "&amp;Registro_Compras!$E$88&amp;" [PATRON POR CONFIRMAR CON CONTADOR]","Por el registro de la factura "&amp;Registro_Compras!$C$88&amp;" de "&amp;Registro_Compras!$E$88)))</f>
        <v>Por el registro de la factura F003-00000024 de ALQA GALERIA DE EXPRESIONES ANDINAS SRL</v>
      </c>
      <c r="H762" t="str">
        <f>IF($C762="","",Registro_Compras!$C$88)</f>
        <v>F003-00000024</v>
      </c>
    </row>
    <row r="763" spans="1:8" x14ac:dyDescent="0.25">
      <c r="A763" s="25">
        <f>IF($C763="","",Registro_Compras!$B$88)</f>
        <v>46244</v>
      </c>
      <c r="B763" t="str">
        <f>IF($C763="","","C"&amp;TEXT(INT((ROW()-5)/9)+1,"000")&amp;"-1")</f>
        <v>C085-1</v>
      </c>
      <c r="C763" t="str">
        <f>IF(OR(Registro_Compras!$C$88="",Registro_Compras!$O$88=""),"",IF(Registro_Compras!$F$88="NOTA DE CREDITO",IF(Registro_Compras!$K$88=0,"","40111"),"4212"))</f>
        <v>4212</v>
      </c>
      <c r="D763" t="str">
        <f>IF(OR(Registro_Compras!$C$88="",Registro_Compras!$O$88=""),"",IF(Registro_Compras!$F$88="NOTA DE CREDITO","IGV - Cuenta Propia (Credito Fiscal)","Cuentas por Pagar Comerciales - Terceros (Emitidas)"))</f>
        <v>Cuentas por Pagar Comerciales - Terceros (Emitidas)</v>
      </c>
      <c r="E763" s="20" t="str">
        <f>""</f>
        <v/>
      </c>
      <c r="F763" s="20">
        <f>IF($C763="","",IF(Registro_Compras!$F$88="NOTA DE CREDITO",ROUND(ABS(Registro_Compras!$K$88*Registro_Compras!$N$88),2),IF(Registro_Compras!$F$88="RHE",(ROUND(Registro_Compras!$L$88*Registro_Compras!$N$88,2)-ROUND(Registro_Compras!$V$88*Registro_Compras!$N$88,2)),Registro_Compras!$O$88)))</f>
        <v>730</v>
      </c>
      <c r="G763" t="str">
        <f>IF($C763="","",IF(Registro_Compras!$F$88="NOTA DE CREDITO","Por la nota de credito "&amp;Registro_Compras!$C$88&amp;" de "&amp;Registro_Compras!$E$88&amp;" [PATRON POR CONFIRMAR CON CONTADOR]",IF(Registro_Compras!$F$88="RHE","Por el registro del recibo por honorarios "&amp;Registro_Compras!$C$88&amp;" de "&amp;Registro_Compras!$E$88&amp;" [PATRON POR CONFIRMAR CON CONTADOR]","Por el registro de la factura "&amp;Registro_Compras!$C$88&amp;" de "&amp;Registro_Compras!$E$88)))</f>
        <v>Por el registro de la factura F003-00000024 de ALQA GALERIA DE EXPRESIONES ANDINAS SRL</v>
      </c>
      <c r="H763" t="str">
        <f>IF($C763="","",Registro_Compras!$C$88)</f>
        <v>F003-00000024</v>
      </c>
    </row>
    <row r="764" spans="1:8" x14ac:dyDescent="0.25">
      <c r="A764" s="25">
        <f>IF($C764="","",Registro_Compras!$B$88)</f>
        <v>46244</v>
      </c>
      <c r="B764" t="str">
        <f>IF($C764="","","C"&amp;TEXT(INT((ROW()-5)/9)+1,"000")&amp;"-2")</f>
        <v>C085-2</v>
      </c>
      <c r="C764" t="str">
        <f>IF(OR(Registro_Compras!$C$88="",Registro_Compras!$O$88=""),"",IF(Registro_Compras!$AB$88="ADMINISTRATIVO","94","95"))</f>
        <v>95</v>
      </c>
      <c r="D764" t="str">
        <f>IF(OR(Registro_Compras!$C$88="",Registro_Compras!$O$88=""),"",IF(Registro_Compras!$AB$88="ADMINISTRATIVO","Gastos Administrativos","Gastos de Venta y Operacion"))</f>
        <v>Gastos de Venta y Operacion</v>
      </c>
      <c r="E764" s="20">
        <f>IF($C764="","",IF(Registro_Compras!$F$88="NOTA DE CREDITO","",IF(Registro_Compras!$F$88="RHE",ROUND(Registro_Compras!$L$88*Registro_Compras!$N$88,2),ROUND(Registro_Compras!$J$88*Registro_Compras!$N$88,2))))</f>
        <v>660.64</v>
      </c>
      <c r="F764" s="20" t="str">
        <f>IF($C764="","",IF(Registro_Compras!$F$88="NOTA DE CREDITO",ROUND(ABS(Registro_Compras!$J$88*Registro_Compras!$N$88),2),""))</f>
        <v/>
      </c>
      <c r="G764" t="str">
        <f>IF($C764="","","Por el destino del gasto")</f>
        <v>Por el destino del gasto</v>
      </c>
      <c r="H764" t="str">
        <f>IF($C764="","",Registro_Compras!$C$88)</f>
        <v>F003-00000024</v>
      </c>
    </row>
    <row r="765" spans="1:8" x14ac:dyDescent="0.25">
      <c r="A765" s="25">
        <f>IF($C765="","",Registro_Compras!$B$88)</f>
        <v>46244</v>
      </c>
      <c r="B765" t="str">
        <f>IF($C765="","","C"&amp;TEXT(INT((ROW()-5)/9)+1,"000")&amp;"-2")</f>
        <v>C085-2</v>
      </c>
      <c r="C765" t="str">
        <f>IF(OR(Registro_Compras!$C$88="",Registro_Compras!$O$88=""),"","79/791")</f>
        <v>79/791</v>
      </c>
      <c r="D765" t="str">
        <f>IF(OR(Registro_Compras!$C$88="",Registro_Compras!$O$88=""),"","Cargas Imputables a Cuentas de Costos y Gastos")</f>
        <v>Cargas Imputables a Cuentas de Costos y Gastos</v>
      </c>
      <c r="E765" s="20" t="str">
        <f>IF($C765="","",IF(Registro_Compras!$F$88="NOTA DE CREDITO",ROUND(ABS(Registro_Compras!$J$88*Registro_Compras!$N$88),2),""))</f>
        <v/>
      </c>
      <c r="F765" s="20">
        <f>IF($C765="","",IF(Registro_Compras!$F$88="NOTA DE CREDITO","",IF(Registro_Compras!$F$88="RHE",ROUND(Registro_Compras!$L$88*Registro_Compras!$N$88,2),ROUND(Registro_Compras!$J$88*Registro_Compras!$N$88,2))))</f>
        <v>660.64</v>
      </c>
      <c r="G765" t="str">
        <f>IF($C765="","","Por el destino del gasto")</f>
        <v>Por el destino del gasto</v>
      </c>
      <c r="H765" t="str">
        <f>IF($C765="","",Registro_Compras!$C$88)</f>
        <v>F003-00000024</v>
      </c>
    </row>
    <row r="766" spans="1:8" x14ac:dyDescent="0.25">
      <c r="A766" s="25" t="str">
        <f>IF($C766="","",Registro_Compras!$X$88)</f>
        <v/>
      </c>
      <c r="B766" t="str">
        <f>IF($C766="","","C"&amp;TEXT(INT((ROW()-5)/9)+1,"000")&amp;"-3")</f>
        <v/>
      </c>
      <c r="C766" t="str">
        <f>IF(OR(Registro_Compras!$C$88="",Registro_Compras!$O$88="",Registro_Compras!$R$88&lt;&gt;"SI",Registro_Compras!$X$88=""),"","4212")</f>
        <v/>
      </c>
      <c r="D766" t="str">
        <f>IF(OR(Registro_Compras!$C$88="",Registro_Compras!$O$88=""),"","Cuentas por Pagar Comerciales - Terceros")</f>
        <v>Cuentas por Pagar Comerciales - Terceros</v>
      </c>
      <c r="E766" s="20" t="str">
        <f>IF($C766="","",Registro_Compras!$S$88)</f>
        <v/>
      </c>
      <c r="F766" s="20" t="str">
        <f>""</f>
        <v/>
      </c>
      <c r="G766" t="str">
        <f>IF($C766="","","Por el deposito de la detraccion en el Banco de la Nacion")</f>
        <v/>
      </c>
      <c r="H766" t="str">
        <f>IF($C766="","",Registro_Compras!$C$88)</f>
        <v/>
      </c>
    </row>
    <row r="767" spans="1:8" x14ac:dyDescent="0.25">
      <c r="A767" s="25" t="str">
        <f>IF($C767="","",Registro_Compras!$X$88)</f>
        <v/>
      </c>
      <c r="B767" t="str">
        <f>IF($C767="","","C"&amp;TEXT(INT((ROW()-5)/9)+1,"000")&amp;"-3")</f>
        <v/>
      </c>
      <c r="C767" t="str">
        <f>IF(OR(Registro_Compras!$C$88="",Registro_Compras!$O$88="",Registro_Compras!$R$88&lt;&gt;"SI",Registro_Compras!$X$88=""),"","1041")</f>
        <v/>
      </c>
      <c r="D767" t="str">
        <f>IF(OR(Registro_Compras!$C$88="",Registro_Compras!$O$88=""),"","Efectivo y Equivalentes - Cta. Cte. Operativa")</f>
        <v>Efectivo y Equivalentes - Cta. Cte. Operativa</v>
      </c>
      <c r="E767" s="20" t="str">
        <f>""</f>
        <v/>
      </c>
      <c r="F767" s="20" t="str">
        <f>IF($C767="","",Registro_Compras!$S$88)</f>
        <v/>
      </c>
      <c r="G767" t="str">
        <f>IF($C767="","","Por el deposito de la detraccion en el Banco de la Nacion")</f>
        <v/>
      </c>
      <c r="H767" t="str">
        <f>IF($C767="","",Registro_Compras!$C$88)</f>
        <v/>
      </c>
    </row>
    <row r="768" spans="1:8" x14ac:dyDescent="0.25">
      <c r="A768" s="25" t="str">
        <f>IF($C768="","",Registro_Compras!$Y$88)</f>
        <v/>
      </c>
      <c r="B768" t="str">
        <f>IF($C768="","","C"&amp;TEXT(INT((ROW()-5)/9)+1,"000")&amp;"-4")</f>
        <v/>
      </c>
      <c r="C768" t="str">
        <f>IF(OR(Registro_Compras!$C$88="",Registro_Compras!$O$88="",Registro_Compras!$Y$88="",Registro_Compras!$F$88="NOTA DE CREDITO"),"","4212")</f>
        <v/>
      </c>
      <c r="D768" t="str">
        <f>IF(OR(Registro_Compras!$C$88="",Registro_Compras!$O$88=""),"","Cuentas por Pagar Comerciales - Terceros")</f>
        <v>Cuentas por Pagar Comerciales - Terceros</v>
      </c>
      <c r="E768" s="20" t="str">
        <f>IF($C768="","",IF(Registro_Compras!$F$88="RHE",(ROUND(Registro_Compras!$L$88*Registro_Compras!$N$88,2)-ROUND(Registro_Compras!$V$88*Registro_Compras!$N$88,2)),ROUND(Registro_Compras!$O$88-Registro_Compras!$S$88,2)))</f>
        <v/>
      </c>
      <c r="F768" s="20" t="str">
        <f>""</f>
        <v/>
      </c>
      <c r="G768" t="str">
        <f>IF($C768="","","Por la cancelacion del saldo al proveedor")</f>
        <v/>
      </c>
      <c r="H768" t="str">
        <f>IF($C768="","",Registro_Compras!$C$88)</f>
        <v/>
      </c>
    </row>
    <row r="769" spans="1:8" x14ac:dyDescent="0.25">
      <c r="A769" s="25" t="str">
        <f>IF($C769="","",Registro_Compras!$Y$88)</f>
        <v/>
      </c>
      <c r="B769" t="str">
        <f>IF($C769="","","C"&amp;TEXT(INT((ROW()-5)/9)+1,"000")&amp;"-4")</f>
        <v/>
      </c>
      <c r="C769" t="str">
        <f>IF(OR(Registro_Compras!$C$88="",Registro_Compras!$O$88="",Registro_Compras!$Y$88="",Registro_Compras!$F$88="NOTA DE CREDITO"),"","1041")</f>
        <v/>
      </c>
      <c r="D769" t="str">
        <f>IF(OR(Registro_Compras!$C$88="",Registro_Compras!$O$88=""),"","Efectivo y Equivalentes - Cta. Cte. Operativa")</f>
        <v>Efectivo y Equivalentes - Cta. Cte. Operativa</v>
      </c>
      <c r="E769" s="20" t="str">
        <f>""</f>
        <v/>
      </c>
      <c r="F769" s="20" t="str">
        <f>IF($C769="","",IF(Registro_Compras!$F$88="RHE",(ROUND(Registro_Compras!$L$88*Registro_Compras!$N$88,2)-ROUND(Registro_Compras!$V$88*Registro_Compras!$N$88,2)),ROUND(Registro_Compras!$O$88-Registro_Compras!$S$88,2)))</f>
        <v/>
      </c>
      <c r="G769" t="str">
        <f>IF($C769="","","Por la cancelacion del saldo al proveedor")</f>
        <v/>
      </c>
      <c r="H769" t="str">
        <f>IF($C769="","",Registro_Compras!$C$88)</f>
        <v/>
      </c>
    </row>
    <row r="770" spans="1:8" x14ac:dyDescent="0.25">
      <c r="A770" s="25">
        <f>IF($C770="","",Registro_Compras!$B$89)</f>
        <v>46241</v>
      </c>
      <c r="B770" t="str">
        <f>IF($C770="","","C"&amp;TEXT(INT((ROW()-5)/9)+1,"000")&amp;"-1")</f>
        <v>C086-1</v>
      </c>
      <c r="C770" t="str">
        <f>IF(OR(Registro_Compras!$C$89="",Registro_Compras!$O$89=""),"",IF(Registro_Compras!$F$89="NOTA DE CREDITO","4212",IF(Registro_Compras!$M$89="","63",Registro_Compras!$M$89)))</f>
        <v>632</v>
      </c>
      <c r="D770" t="str">
        <f>IF(OR(Registro_Compras!$C$89="",Registro_Compras!$O$89=""),"",IF(Registro_Compras!$F$89="NOTA DE CREDITO","Cuentas por Pagar Comerciales - Terceros (Emitidas)",IF(Registro_Compras!$F$89="RHE","Honorarios Profesionales - Servicios de Terceros","Gastos de Servicios Prestados por Terceros")))</f>
        <v>Honorarios Profesionales - Servicios de Terceros</v>
      </c>
      <c r="E770" s="20">
        <f>IF($C770="","",IF(Registro_Compras!$F$89="NOTA DE CREDITO",ABS(Registro_Compras!$O$89),IF(Registro_Compras!$F$89="RHE",ROUND(Registro_Compras!$L$89*Registro_Compras!$N$89,2),ROUND(Registro_Compras!$J$89*Registro_Compras!$N$89,2))))</f>
        <v>1025</v>
      </c>
      <c r="F770" s="20" t="str">
        <f>""</f>
        <v/>
      </c>
      <c r="G770" t="str">
        <f>IF($C770="","",IF(Registro_Compras!$F$89="NOTA DE CREDITO","Por la nota de credito "&amp;Registro_Compras!$C$89&amp;" de "&amp;Registro_Compras!$E$89&amp;" [PATRON POR CONFIRMAR CON CONTADOR]",IF(Registro_Compras!$F$89="RHE","Por el registro del recibo por honorarios "&amp;Registro_Compras!$C$89&amp;" de "&amp;Registro_Compras!$E$89&amp;" [PATRON POR CONFIRMAR CON CONTADOR]","Por el registro de la factura "&amp;Registro_Compras!$C$89&amp;" de "&amp;Registro_Compras!$E$89)))</f>
        <v>Por el registro del recibo por honorarios E001-172 de BEOUTIS BAZAN URSULA CATHERINE [PATRON POR CONFIRMAR CON CONTADOR]</v>
      </c>
      <c r="H770" t="str">
        <f>IF($C770="","",Registro_Compras!$C$89)</f>
        <v>E001-172</v>
      </c>
    </row>
    <row r="771" spans="1:8" x14ac:dyDescent="0.25">
      <c r="A771" s="25" t="str">
        <f>IF($C771="","",Registro_Compras!$B$89)</f>
        <v/>
      </c>
      <c r="B771" t="str">
        <f>IF($C771="","","C"&amp;TEXT(INT((ROW()-5)/9)+1,"000")&amp;"-1")</f>
        <v/>
      </c>
      <c r="C771" t="str">
        <f>IF(OR(Registro_Compras!$C$89="",Registro_Compras!$O$89=""),"",IF(Registro_Compras!$F$89="RHE",IF(Registro_Compras!$V$89=0,"","4017"),IF(Registro_Compras!$F$89="NOTA DE CREDITO",IF(Registro_Compras!$M$89="","63",Registro_Compras!$M$89),IF(Registro_Compras!$K$89=0,"","40111"))))</f>
        <v/>
      </c>
      <c r="D771" t="str">
        <f>IF(OR(Registro_Compras!$C$89="",Registro_Compras!$O$89=""),"",IF(Registro_Compras!$F$89="RHE","Retencion Renta 4ta Categoria por Pagar",IF(Registro_Compras!$F$89="NOTA DE CREDITO","Gastos de Servicios Prestados por Terceros","IGV - Cuenta Propia (Credito Fiscal)")))</f>
        <v>Retencion Renta 4ta Categoria por Pagar</v>
      </c>
      <c r="E771" s="20" t="str">
        <f>IF($C771="","",IF(Registro_Compras!$F$89="FACTURA",ROUND(Registro_Compras!$K$89*Registro_Compras!$N$89,2),""))</f>
        <v/>
      </c>
      <c r="F771" s="20" t="str">
        <f>IF($C771="","",IF(Registro_Compras!$F$89="RHE",ROUND(Registro_Compras!$V$89*Registro_Compras!$N$89,2),IF(Registro_Compras!$F$89="NOTA DE CREDITO",ROUND(ABS(Registro_Compras!$J$89*Registro_Compras!$N$89),2),"")))</f>
        <v/>
      </c>
      <c r="G771" t="str">
        <f>IF($C771="","",IF(Registro_Compras!$F$89="NOTA DE CREDITO","Por la nota de credito "&amp;Registro_Compras!$C$89&amp;" de "&amp;Registro_Compras!$E$89&amp;" [PATRON POR CONFIRMAR CON CONTADOR]",IF(Registro_Compras!$F$89="RHE","Por el registro del recibo por honorarios "&amp;Registro_Compras!$C$89&amp;" de "&amp;Registro_Compras!$E$89&amp;" [PATRON POR CONFIRMAR CON CONTADOR]","Por el registro de la factura "&amp;Registro_Compras!$C$89&amp;" de "&amp;Registro_Compras!$E$89)))</f>
        <v/>
      </c>
      <c r="H771" t="str">
        <f>IF($C771="","",Registro_Compras!$C$89)</f>
        <v/>
      </c>
    </row>
    <row r="772" spans="1:8" x14ac:dyDescent="0.25">
      <c r="A772" s="25">
        <f>IF($C772="","",Registro_Compras!$B$89)</f>
        <v>46241</v>
      </c>
      <c r="B772" t="str">
        <f>IF($C772="","","C"&amp;TEXT(INT((ROW()-5)/9)+1,"000")&amp;"-1")</f>
        <v>C086-1</v>
      </c>
      <c r="C772" t="str">
        <f>IF(OR(Registro_Compras!$C$89="",Registro_Compras!$O$89=""),"",IF(Registro_Compras!$F$89="NOTA DE CREDITO",IF(Registro_Compras!$K$89=0,"","40111"),"4212"))</f>
        <v>4212</v>
      </c>
      <c r="D772" t="str">
        <f>IF(OR(Registro_Compras!$C$89="",Registro_Compras!$O$89=""),"",IF(Registro_Compras!$F$89="NOTA DE CREDITO","IGV - Cuenta Propia (Credito Fiscal)","Cuentas por Pagar Comerciales - Terceros (Emitidas)"))</f>
        <v>Cuentas por Pagar Comerciales - Terceros (Emitidas)</v>
      </c>
      <c r="E772" s="20" t="str">
        <f>""</f>
        <v/>
      </c>
      <c r="F772" s="20">
        <f>IF($C772="","",IF(Registro_Compras!$F$89="NOTA DE CREDITO",ROUND(ABS(Registro_Compras!$K$89*Registro_Compras!$N$89),2),IF(Registro_Compras!$F$89="RHE",(ROUND(Registro_Compras!$L$89*Registro_Compras!$N$89,2)-ROUND(Registro_Compras!$V$89*Registro_Compras!$N$89,2)),Registro_Compras!$O$89)))</f>
        <v>1025</v>
      </c>
      <c r="G772" t="str">
        <f>IF($C772="","",IF(Registro_Compras!$F$89="NOTA DE CREDITO","Por la nota de credito "&amp;Registro_Compras!$C$89&amp;" de "&amp;Registro_Compras!$E$89&amp;" [PATRON POR CONFIRMAR CON CONTADOR]",IF(Registro_Compras!$F$89="RHE","Por el registro del recibo por honorarios "&amp;Registro_Compras!$C$89&amp;" de "&amp;Registro_Compras!$E$89&amp;" [PATRON POR CONFIRMAR CON CONTADOR]","Por el registro de la factura "&amp;Registro_Compras!$C$89&amp;" de "&amp;Registro_Compras!$E$89)))</f>
        <v>Por el registro del recibo por honorarios E001-172 de BEOUTIS BAZAN URSULA CATHERINE [PATRON POR CONFIRMAR CON CONTADOR]</v>
      </c>
      <c r="H772" t="str">
        <f>IF($C772="","",Registro_Compras!$C$89)</f>
        <v>E001-172</v>
      </c>
    </row>
    <row r="773" spans="1:8" x14ac:dyDescent="0.25">
      <c r="A773" s="25">
        <f>IF($C773="","",Registro_Compras!$B$89)</f>
        <v>46241</v>
      </c>
      <c r="B773" t="str">
        <f>IF($C773="","","C"&amp;TEXT(INT((ROW()-5)/9)+1,"000")&amp;"-2")</f>
        <v>C086-2</v>
      </c>
      <c r="C773" t="str">
        <f>IF(OR(Registro_Compras!$C$89="",Registro_Compras!$O$89=""),"",IF(Registro_Compras!$AB$89="ADMINISTRATIVO","94","95"))</f>
        <v>94</v>
      </c>
      <c r="D773" t="str">
        <f>IF(OR(Registro_Compras!$C$89="",Registro_Compras!$O$89=""),"",IF(Registro_Compras!$AB$89="ADMINISTRATIVO","Gastos Administrativos","Gastos de Venta y Operacion"))</f>
        <v>Gastos Administrativos</v>
      </c>
      <c r="E773" s="20">
        <f>IF($C773="","",IF(Registro_Compras!$F$89="NOTA DE CREDITO","",IF(Registro_Compras!$F$89="RHE",ROUND(Registro_Compras!$L$89*Registro_Compras!$N$89,2),ROUND(Registro_Compras!$J$89*Registro_Compras!$N$89,2))))</f>
        <v>1025</v>
      </c>
      <c r="F773" s="20" t="str">
        <f>IF($C773="","",IF(Registro_Compras!$F$89="NOTA DE CREDITO",ROUND(ABS(Registro_Compras!$J$89*Registro_Compras!$N$89),2),""))</f>
        <v/>
      </c>
      <c r="G773" t="str">
        <f>IF($C773="","","Por el destino del gasto")</f>
        <v>Por el destino del gasto</v>
      </c>
      <c r="H773" t="str">
        <f>IF($C773="","",Registro_Compras!$C$89)</f>
        <v>E001-172</v>
      </c>
    </row>
    <row r="774" spans="1:8" x14ac:dyDescent="0.25">
      <c r="A774" s="25">
        <f>IF($C774="","",Registro_Compras!$B$89)</f>
        <v>46241</v>
      </c>
      <c r="B774" t="str">
        <f>IF($C774="","","C"&amp;TEXT(INT((ROW()-5)/9)+1,"000")&amp;"-2")</f>
        <v>C086-2</v>
      </c>
      <c r="C774" t="str">
        <f>IF(OR(Registro_Compras!$C$89="",Registro_Compras!$O$89=""),"","79/791")</f>
        <v>79/791</v>
      </c>
      <c r="D774" t="str">
        <f>IF(OR(Registro_Compras!$C$89="",Registro_Compras!$O$89=""),"","Cargas Imputables a Cuentas de Costos y Gastos")</f>
        <v>Cargas Imputables a Cuentas de Costos y Gastos</v>
      </c>
      <c r="E774" s="20" t="str">
        <f>IF($C774="","",IF(Registro_Compras!$F$89="NOTA DE CREDITO",ROUND(ABS(Registro_Compras!$J$89*Registro_Compras!$N$89),2),""))</f>
        <v/>
      </c>
      <c r="F774" s="20">
        <f>IF($C774="","",IF(Registro_Compras!$F$89="NOTA DE CREDITO","",IF(Registro_Compras!$F$89="RHE",ROUND(Registro_Compras!$L$89*Registro_Compras!$N$89,2),ROUND(Registro_Compras!$J$89*Registro_Compras!$N$89,2))))</f>
        <v>1025</v>
      </c>
      <c r="G774" t="str">
        <f>IF($C774="","","Por el destino del gasto")</f>
        <v>Por el destino del gasto</v>
      </c>
      <c r="H774" t="str">
        <f>IF($C774="","",Registro_Compras!$C$89)</f>
        <v>E001-172</v>
      </c>
    </row>
    <row r="775" spans="1:8" x14ac:dyDescent="0.25">
      <c r="A775" s="25" t="str">
        <f>IF($C775="","",Registro_Compras!$X$89)</f>
        <v/>
      </c>
      <c r="B775" t="str">
        <f>IF($C775="","","C"&amp;TEXT(INT((ROW()-5)/9)+1,"000")&amp;"-3")</f>
        <v/>
      </c>
      <c r="C775" t="str">
        <f>IF(OR(Registro_Compras!$C$89="",Registro_Compras!$O$89="",Registro_Compras!$R$89&lt;&gt;"SI",Registro_Compras!$X$89=""),"","4212")</f>
        <v/>
      </c>
      <c r="D775" t="str">
        <f>IF(OR(Registro_Compras!$C$89="",Registro_Compras!$O$89=""),"","Cuentas por Pagar Comerciales - Terceros")</f>
        <v>Cuentas por Pagar Comerciales - Terceros</v>
      </c>
      <c r="E775" s="20" t="str">
        <f>IF($C775="","",Registro_Compras!$S$89)</f>
        <v/>
      </c>
      <c r="F775" s="20" t="str">
        <f>""</f>
        <v/>
      </c>
      <c r="G775" t="str">
        <f>IF($C775="","","Por el deposito de la detraccion en el Banco de la Nacion")</f>
        <v/>
      </c>
      <c r="H775" t="str">
        <f>IF($C775="","",Registro_Compras!$C$89)</f>
        <v/>
      </c>
    </row>
    <row r="776" spans="1:8" x14ac:dyDescent="0.25">
      <c r="A776" s="25" t="str">
        <f>IF($C776="","",Registro_Compras!$X$89)</f>
        <v/>
      </c>
      <c r="B776" t="str">
        <f>IF($C776="","","C"&amp;TEXT(INT((ROW()-5)/9)+1,"000")&amp;"-3")</f>
        <v/>
      </c>
      <c r="C776" t="str">
        <f>IF(OR(Registro_Compras!$C$89="",Registro_Compras!$O$89="",Registro_Compras!$R$89&lt;&gt;"SI",Registro_Compras!$X$89=""),"","1041")</f>
        <v/>
      </c>
      <c r="D776" t="str">
        <f>IF(OR(Registro_Compras!$C$89="",Registro_Compras!$O$89=""),"","Efectivo y Equivalentes - Cta. Cte. Operativa")</f>
        <v>Efectivo y Equivalentes - Cta. Cte. Operativa</v>
      </c>
      <c r="E776" s="20" t="str">
        <f>""</f>
        <v/>
      </c>
      <c r="F776" s="20" t="str">
        <f>IF($C776="","",Registro_Compras!$S$89)</f>
        <v/>
      </c>
      <c r="G776" t="str">
        <f>IF($C776="","","Por el deposito de la detraccion en el Banco de la Nacion")</f>
        <v/>
      </c>
      <c r="H776" t="str">
        <f>IF($C776="","",Registro_Compras!$C$89)</f>
        <v/>
      </c>
    </row>
    <row r="777" spans="1:8" x14ac:dyDescent="0.25">
      <c r="A777" s="25" t="str">
        <f>IF($C777="","",Registro_Compras!$Y$89)</f>
        <v/>
      </c>
      <c r="B777" t="str">
        <f>IF($C777="","","C"&amp;TEXT(INT((ROW()-5)/9)+1,"000")&amp;"-4")</f>
        <v/>
      </c>
      <c r="C777" t="str">
        <f>IF(OR(Registro_Compras!$C$89="",Registro_Compras!$O$89="",Registro_Compras!$Y$89="",Registro_Compras!$F$89="NOTA DE CREDITO"),"","4212")</f>
        <v/>
      </c>
      <c r="D777" t="str">
        <f>IF(OR(Registro_Compras!$C$89="",Registro_Compras!$O$89=""),"","Cuentas por Pagar Comerciales - Terceros")</f>
        <v>Cuentas por Pagar Comerciales - Terceros</v>
      </c>
      <c r="E777" s="20" t="str">
        <f>IF($C777="","",IF(Registro_Compras!$F$89="RHE",(ROUND(Registro_Compras!$L$89*Registro_Compras!$N$89,2)-ROUND(Registro_Compras!$V$89*Registro_Compras!$N$89,2)),ROUND(Registro_Compras!$O$89-Registro_Compras!$S$89,2)))</f>
        <v/>
      </c>
      <c r="F777" s="20" t="str">
        <f>""</f>
        <v/>
      </c>
      <c r="G777" t="str">
        <f>IF($C777="","","Por la cancelacion del saldo al proveedor")</f>
        <v/>
      </c>
      <c r="H777" t="str">
        <f>IF($C777="","",Registro_Compras!$C$89)</f>
        <v/>
      </c>
    </row>
    <row r="778" spans="1:8" x14ac:dyDescent="0.25">
      <c r="A778" s="25" t="str">
        <f>IF($C778="","",Registro_Compras!$Y$89)</f>
        <v/>
      </c>
      <c r="B778" t="str">
        <f>IF($C778="","","C"&amp;TEXT(INT((ROW()-5)/9)+1,"000")&amp;"-4")</f>
        <v/>
      </c>
      <c r="C778" t="str">
        <f>IF(OR(Registro_Compras!$C$89="",Registro_Compras!$O$89="",Registro_Compras!$Y$89="",Registro_Compras!$F$89="NOTA DE CREDITO"),"","1041")</f>
        <v/>
      </c>
      <c r="D778" t="str">
        <f>IF(OR(Registro_Compras!$C$89="",Registro_Compras!$O$89=""),"","Efectivo y Equivalentes - Cta. Cte. Operativa")</f>
        <v>Efectivo y Equivalentes - Cta. Cte. Operativa</v>
      </c>
      <c r="E778" s="20" t="str">
        <f>""</f>
        <v/>
      </c>
      <c r="F778" s="20" t="str">
        <f>IF($C778="","",IF(Registro_Compras!$F$89="RHE",(ROUND(Registro_Compras!$L$89*Registro_Compras!$N$89,2)-ROUND(Registro_Compras!$V$89*Registro_Compras!$N$89,2)),ROUND(Registro_Compras!$O$89-Registro_Compras!$S$89,2)))</f>
        <v/>
      </c>
      <c r="G778" t="str">
        <f>IF($C778="","","Por la cancelacion del saldo al proveedor")</f>
        <v/>
      </c>
      <c r="H778" t="str">
        <f>IF($C778="","",Registro_Compras!$C$89)</f>
        <v/>
      </c>
    </row>
    <row r="779" spans="1:8" x14ac:dyDescent="0.25">
      <c r="A779" s="25">
        <f>IF($C779="","",Registro_Compras!$B$90)</f>
        <v>46244</v>
      </c>
      <c r="B779" t="str">
        <f>IF($C779="","","C"&amp;TEXT(INT((ROW()-5)/9)+1,"000")&amp;"-1")</f>
        <v>C087-1</v>
      </c>
      <c r="C779" t="str">
        <f>IF(OR(Registro_Compras!$C$90="",Registro_Compras!$O$90=""),"",IF(Registro_Compras!$F$90="NOTA DE CREDITO","4212",IF(Registro_Compras!$M$90="","63",Registro_Compras!$M$90)))</f>
        <v>639</v>
      </c>
      <c r="D779" t="str">
        <f>IF(OR(Registro_Compras!$C$90="",Registro_Compras!$O$90=""),"",IF(Registro_Compras!$F$90="NOTA DE CREDITO","Cuentas por Pagar Comerciales - Terceros (Emitidas)",IF(Registro_Compras!$F$90="RHE","Honorarios Profesionales - Servicios de Terceros","Gastos de Servicios Prestados por Terceros")))</f>
        <v>Gastos de Servicios Prestados por Terceros</v>
      </c>
      <c r="E779" s="20">
        <f>IF($C779="","",IF(Registro_Compras!$F$90="NOTA DE CREDITO",ABS(Registro_Compras!$O$90),IF(Registro_Compras!$F$90="RHE",ROUND(Registro_Compras!$L$90*Registro_Compras!$N$90,2),ROUND(Registro_Compras!$J$90*Registro_Compras!$N$90,2))))</f>
        <v>925.74</v>
      </c>
      <c r="F779" s="20" t="str">
        <f>""</f>
        <v/>
      </c>
      <c r="G779" t="str">
        <f>IF($C779="","",IF(Registro_Compras!$F$90="NOTA DE CREDITO","Por la nota de credito "&amp;Registro_Compras!$C$90&amp;" de "&amp;Registro_Compras!$E$90&amp;" [PATRON POR CONFIRMAR CON CONTADOR]",IF(Registro_Compras!$F$90="RHE","Por el registro del recibo por honorarios "&amp;Registro_Compras!$C$90&amp;" de "&amp;Registro_Compras!$E$90&amp;" [PATRON POR CONFIRMAR CON CONTADOR]","Por el registro de la factura "&amp;Registro_Compras!$C$90&amp;" de "&amp;Registro_Compras!$E$90)))</f>
        <v>Por el registro de la factura F002-0023975 de BUGANVILLA TOURS S.A.C.</v>
      </c>
      <c r="H779" t="str">
        <f>IF($C779="","",Registro_Compras!$C$90)</f>
        <v>F002-0023975</v>
      </c>
    </row>
    <row r="780" spans="1:8" x14ac:dyDescent="0.25">
      <c r="A780" s="25">
        <f>IF($C780="","",Registro_Compras!$B$90)</f>
        <v>46244</v>
      </c>
      <c r="B780" t="str">
        <f>IF($C780="","","C"&amp;TEXT(INT((ROW()-5)/9)+1,"000")&amp;"-1")</f>
        <v>C087-1</v>
      </c>
      <c r="C780" t="str">
        <f>IF(OR(Registro_Compras!$C$90="",Registro_Compras!$O$90=""),"",IF(Registro_Compras!$F$90="RHE",IF(Registro_Compras!$V$90=0,"","4017"),IF(Registro_Compras!$F$90="NOTA DE CREDITO",IF(Registro_Compras!$M$90="","63",Registro_Compras!$M$90),IF(Registro_Compras!$K$90=0,"","40111"))))</f>
        <v>40111</v>
      </c>
      <c r="D780" t="str">
        <f>IF(OR(Registro_Compras!$C$90="",Registro_Compras!$O$90=""),"",IF(Registro_Compras!$F$90="RHE","Retencion Renta 4ta Categoria por Pagar",IF(Registro_Compras!$F$90="NOTA DE CREDITO","Gastos de Servicios Prestados por Terceros","IGV - Cuenta Propia (Credito Fiscal)")))</f>
        <v>IGV - Cuenta Propia (Credito Fiscal)</v>
      </c>
      <c r="E780" s="20">
        <f>IF($C780="","",IF(Registro_Compras!$F$90="FACTURA",ROUND(Registro_Compras!$K$90*Registro_Compras!$N$90,2),""))</f>
        <v>166.63</v>
      </c>
      <c r="F780" s="20" t="str">
        <f>IF($C780="","",IF(Registro_Compras!$F$90="RHE",ROUND(Registro_Compras!$V$90*Registro_Compras!$N$90,2),IF(Registro_Compras!$F$90="NOTA DE CREDITO",ROUND(ABS(Registro_Compras!$J$90*Registro_Compras!$N$90),2),"")))</f>
        <v/>
      </c>
      <c r="G780" t="str">
        <f>IF($C780="","",IF(Registro_Compras!$F$90="NOTA DE CREDITO","Por la nota de credito "&amp;Registro_Compras!$C$90&amp;" de "&amp;Registro_Compras!$E$90&amp;" [PATRON POR CONFIRMAR CON CONTADOR]",IF(Registro_Compras!$F$90="RHE","Por el registro del recibo por honorarios "&amp;Registro_Compras!$C$90&amp;" de "&amp;Registro_Compras!$E$90&amp;" [PATRON POR CONFIRMAR CON CONTADOR]","Por el registro de la factura "&amp;Registro_Compras!$C$90&amp;" de "&amp;Registro_Compras!$E$90)))</f>
        <v>Por el registro de la factura F002-0023975 de BUGANVILLA TOURS S.A.C.</v>
      </c>
      <c r="H780" t="str">
        <f>IF($C780="","",Registro_Compras!$C$90)</f>
        <v>F002-0023975</v>
      </c>
    </row>
    <row r="781" spans="1:8" x14ac:dyDescent="0.25">
      <c r="A781" s="25">
        <f>IF($C781="","",Registro_Compras!$B$90)</f>
        <v>46244</v>
      </c>
      <c r="B781" t="str">
        <f>IF($C781="","","C"&amp;TEXT(INT((ROW()-5)/9)+1,"000")&amp;"-1")</f>
        <v>C087-1</v>
      </c>
      <c r="C781" t="str">
        <f>IF(OR(Registro_Compras!$C$90="",Registro_Compras!$O$90=""),"",IF(Registro_Compras!$F$90="NOTA DE CREDITO",IF(Registro_Compras!$K$90=0,"","40111"),"4212"))</f>
        <v>4212</v>
      </c>
      <c r="D781" t="str">
        <f>IF(OR(Registro_Compras!$C$90="",Registro_Compras!$O$90=""),"",IF(Registro_Compras!$F$90="NOTA DE CREDITO","IGV - Cuenta Propia (Credito Fiscal)","Cuentas por Pagar Comerciales - Terceros (Emitidas)"))</f>
        <v>Cuentas por Pagar Comerciales - Terceros (Emitidas)</v>
      </c>
      <c r="E781" s="20" t="str">
        <f>""</f>
        <v/>
      </c>
      <c r="F781" s="20">
        <f>IF($C781="","",IF(Registro_Compras!$F$90="NOTA DE CREDITO",ROUND(ABS(Registro_Compras!$K$90*Registro_Compras!$N$90),2),IF(Registro_Compras!$F$90="RHE",(ROUND(Registro_Compras!$L$90*Registro_Compras!$N$90,2)-ROUND(Registro_Compras!$V$90*Registro_Compras!$N$90,2)),Registro_Compras!$O$90)))</f>
        <v>1092.3699999999999</v>
      </c>
      <c r="G781" t="str">
        <f>IF($C781="","",IF(Registro_Compras!$F$90="NOTA DE CREDITO","Por la nota de credito "&amp;Registro_Compras!$C$90&amp;" de "&amp;Registro_Compras!$E$90&amp;" [PATRON POR CONFIRMAR CON CONTADOR]",IF(Registro_Compras!$F$90="RHE","Por el registro del recibo por honorarios "&amp;Registro_Compras!$C$90&amp;" de "&amp;Registro_Compras!$E$90&amp;" [PATRON POR CONFIRMAR CON CONTADOR]","Por el registro de la factura "&amp;Registro_Compras!$C$90&amp;" de "&amp;Registro_Compras!$E$90)))</f>
        <v>Por el registro de la factura F002-0023975 de BUGANVILLA TOURS S.A.C.</v>
      </c>
      <c r="H781" t="str">
        <f>IF($C781="","",Registro_Compras!$C$90)</f>
        <v>F002-0023975</v>
      </c>
    </row>
    <row r="782" spans="1:8" x14ac:dyDescent="0.25">
      <c r="A782" s="25">
        <f>IF($C782="","",Registro_Compras!$B$90)</f>
        <v>46244</v>
      </c>
      <c r="B782" t="str">
        <f>IF($C782="","","C"&amp;TEXT(INT((ROW()-5)/9)+1,"000")&amp;"-2")</f>
        <v>C087-2</v>
      </c>
      <c r="C782" t="str">
        <f>IF(OR(Registro_Compras!$C$90="",Registro_Compras!$O$90=""),"",IF(Registro_Compras!$AB$90="ADMINISTRATIVO","94","95"))</f>
        <v>95</v>
      </c>
      <c r="D782" t="str">
        <f>IF(OR(Registro_Compras!$C$90="",Registro_Compras!$O$90=""),"",IF(Registro_Compras!$AB$90="ADMINISTRATIVO","Gastos Administrativos","Gastos de Venta y Operacion"))</f>
        <v>Gastos de Venta y Operacion</v>
      </c>
      <c r="E782" s="20">
        <f>IF($C782="","",IF(Registro_Compras!$F$90="NOTA DE CREDITO","",IF(Registro_Compras!$F$90="RHE",ROUND(Registro_Compras!$L$90*Registro_Compras!$N$90,2),ROUND(Registro_Compras!$J$90*Registro_Compras!$N$90,2))))</f>
        <v>925.74</v>
      </c>
      <c r="F782" s="20" t="str">
        <f>IF($C782="","",IF(Registro_Compras!$F$90="NOTA DE CREDITO",ROUND(ABS(Registro_Compras!$J$90*Registro_Compras!$N$90),2),""))</f>
        <v/>
      </c>
      <c r="G782" t="str">
        <f>IF($C782="","","Por el destino del gasto")</f>
        <v>Por el destino del gasto</v>
      </c>
      <c r="H782" t="str">
        <f>IF($C782="","",Registro_Compras!$C$90)</f>
        <v>F002-0023975</v>
      </c>
    </row>
    <row r="783" spans="1:8" x14ac:dyDescent="0.25">
      <c r="A783" s="25">
        <f>IF($C783="","",Registro_Compras!$B$90)</f>
        <v>46244</v>
      </c>
      <c r="B783" t="str">
        <f>IF($C783="","","C"&amp;TEXT(INT((ROW()-5)/9)+1,"000")&amp;"-2")</f>
        <v>C087-2</v>
      </c>
      <c r="C783" t="str">
        <f>IF(OR(Registro_Compras!$C$90="",Registro_Compras!$O$90=""),"","79/791")</f>
        <v>79/791</v>
      </c>
      <c r="D783" t="str">
        <f>IF(OR(Registro_Compras!$C$90="",Registro_Compras!$O$90=""),"","Cargas Imputables a Cuentas de Costos y Gastos")</f>
        <v>Cargas Imputables a Cuentas de Costos y Gastos</v>
      </c>
      <c r="E783" s="20" t="str">
        <f>IF($C783="","",IF(Registro_Compras!$F$90="NOTA DE CREDITO",ROUND(ABS(Registro_Compras!$J$90*Registro_Compras!$N$90),2),""))</f>
        <v/>
      </c>
      <c r="F783" s="20">
        <f>IF($C783="","",IF(Registro_Compras!$F$90="NOTA DE CREDITO","",IF(Registro_Compras!$F$90="RHE",ROUND(Registro_Compras!$L$90*Registro_Compras!$N$90,2),ROUND(Registro_Compras!$J$90*Registro_Compras!$N$90,2))))</f>
        <v>925.74</v>
      </c>
      <c r="G783" t="str">
        <f>IF($C783="","","Por el destino del gasto")</f>
        <v>Por el destino del gasto</v>
      </c>
      <c r="H783" t="str">
        <f>IF($C783="","",Registro_Compras!$C$90)</f>
        <v>F002-0023975</v>
      </c>
    </row>
    <row r="784" spans="1:8" x14ac:dyDescent="0.25">
      <c r="A784" s="25" t="str">
        <f>IF($C784="","",Registro_Compras!$X$90)</f>
        <v/>
      </c>
      <c r="B784" t="str">
        <f>IF($C784="","","C"&amp;TEXT(INT((ROW()-5)/9)+1,"000")&amp;"-3")</f>
        <v/>
      </c>
      <c r="C784" t="str">
        <f>IF(OR(Registro_Compras!$C$90="",Registro_Compras!$O$90="",Registro_Compras!$R$90&lt;&gt;"SI",Registro_Compras!$X$90=""),"","4212")</f>
        <v/>
      </c>
      <c r="D784" t="str">
        <f>IF(OR(Registro_Compras!$C$90="",Registro_Compras!$O$90=""),"","Cuentas por Pagar Comerciales - Terceros")</f>
        <v>Cuentas por Pagar Comerciales - Terceros</v>
      </c>
      <c r="E784" s="20" t="str">
        <f>IF($C784="","",Registro_Compras!$S$90)</f>
        <v/>
      </c>
      <c r="F784" s="20" t="str">
        <f>""</f>
        <v/>
      </c>
      <c r="G784" t="str">
        <f>IF($C784="","","Por el deposito de la detraccion en el Banco de la Nacion")</f>
        <v/>
      </c>
      <c r="H784" t="str">
        <f>IF($C784="","",Registro_Compras!$C$90)</f>
        <v/>
      </c>
    </row>
    <row r="785" spans="1:8" x14ac:dyDescent="0.25">
      <c r="A785" s="25" t="str">
        <f>IF($C785="","",Registro_Compras!$X$90)</f>
        <v/>
      </c>
      <c r="B785" t="str">
        <f>IF($C785="","","C"&amp;TEXT(INT((ROW()-5)/9)+1,"000")&amp;"-3")</f>
        <v/>
      </c>
      <c r="C785" t="str">
        <f>IF(OR(Registro_Compras!$C$90="",Registro_Compras!$O$90="",Registro_Compras!$R$90&lt;&gt;"SI",Registro_Compras!$X$90=""),"","1041")</f>
        <v/>
      </c>
      <c r="D785" t="str">
        <f>IF(OR(Registro_Compras!$C$90="",Registro_Compras!$O$90=""),"","Efectivo y Equivalentes - Cta. Cte. Operativa")</f>
        <v>Efectivo y Equivalentes - Cta. Cte. Operativa</v>
      </c>
      <c r="E785" s="20" t="str">
        <f>""</f>
        <v/>
      </c>
      <c r="F785" s="20" t="str">
        <f>IF($C785="","",Registro_Compras!$S$90)</f>
        <v/>
      </c>
      <c r="G785" t="str">
        <f>IF($C785="","","Por el deposito de la detraccion en el Banco de la Nacion")</f>
        <v/>
      </c>
      <c r="H785" t="str">
        <f>IF($C785="","",Registro_Compras!$C$90)</f>
        <v/>
      </c>
    </row>
    <row r="786" spans="1:8" x14ac:dyDescent="0.25">
      <c r="A786" s="25" t="str">
        <f>IF($C786="","",Registro_Compras!$Y$90)</f>
        <v/>
      </c>
      <c r="B786" t="str">
        <f>IF($C786="","","C"&amp;TEXT(INT((ROW()-5)/9)+1,"000")&amp;"-4")</f>
        <v/>
      </c>
      <c r="C786" t="str">
        <f>IF(OR(Registro_Compras!$C$90="",Registro_Compras!$O$90="",Registro_Compras!$Y$90="",Registro_Compras!$F$90="NOTA DE CREDITO"),"","4212")</f>
        <v/>
      </c>
      <c r="D786" t="str">
        <f>IF(OR(Registro_Compras!$C$90="",Registro_Compras!$O$90=""),"","Cuentas por Pagar Comerciales - Terceros")</f>
        <v>Cuentas por Pagar Comerciales - Terceros</v>
      </c>
      <c r="E786" s="20" t="str">
        <f>IF($C786="","",IF(Registro_Compras!$F$90="RHE",(ROUND(Registro_Compras!$L$90*Registro_Compras!$N$90,2)-ROUND(Registro_Compras!$V$90*Registro_Compras!$N$90,2)),ROUND(Registro_Compras!$O$90-Registro_Compras!$S$90,2)))</f>
        <v/>
      </c>
      <c r="F786" s="20" t="str">
        <f>""</f>
        <v/>
      </c>
      <c r="G786" t="str">
        <f>IF($C786="","","Por la cancelacion del saldo al proveedor")</f>
        <v/>
      </c>
      <c r="H786" t="str">
        <f>IF($C786="","",Registro_Compras!$C$90)</f>
        <v/>
      </c>
    </row>
    <row r="787" spans="1:8" x14ac:dyDescent="0.25">
      <c r="A787" s="25" t="str">
        <f>IF($C787="","",Registro_Compras!$Y$90)</f>
        <v/>
      </c>
      <c r="B787" t="str">
        <f>IF($C787="","","C"&amp;TEXT(INT((ROW()-5)/9)+1,"000")&amp;"-4")</f>
        <v/>
      </c>
      <c r="C787" t="str">
        <f>IF(OR(Registro_Compras!$C$90="",Registro_Compras!$O$90="",Registro_Compras!$Y$90="",Registro_Compras!$F$90="NOTA DE CREDITO"),"","1041")</f>
        <v/>
      </c>
      <c r="D787" t="str">
        <f>IF(OR(Registro_Compras!$C$90="",Registro_Compras!$O$90=""),"","Efectivo y Equivalentes - Cta. Cte. Operativa")</f>
        <v>Efectivo y Equivalentes - Cta. Cte. Operativa</v>
      </c>
      <c r="E787" s="20" t="str">
        <f>""</f>
        <v/>
      </c>
      <c r="F787" s="20" t="str">
        <f>IF($C787="","",IF(Registro_Compras!$F$90="RHE",(ROUND(Registro_Compras!$L$90*Registro_Compras!$N$90,2)-ROUND(Registro_Compras!$V$90*Registro_Compras!$N$90,2)),ROUND(Registro_Compras!$O$90-Registro_Compras!$S$90,2)))</f>
        <v/>
      </c>
      <c r="G787" t="str">
        <f>IF($C787="","","Por la cancelacion del saldo al proveedor")</f>
        <v/>
      </c>
      <c r="H787" t="str">
        <f>IF($C787="","",Registro_Compras!$C$90)</f>
        <v/>
      </c>
    </row>
    <row r="788" spans="1:8" x14ac:dyDescent="0.25">
      <c r="A788" s="25">
        <f>IF($C788="","",Registro_Compras!$B$91)</f>
        <v>46239</v>
      </c>
      <c r="B788" t="str">
        <f>IF($C788="","","C"&amp;TEXT(INT((ROW()-5)/9)+1,"000")&amp;"-1")</f>
        <v>C088-1</v>
      </c>
      <c r="C788" t="str">
        <f>IF(OR(Registro_Compras!$C$91="",Registro_Compras!$O$91=""),"",IF(Registro_Compras!$F$91="NOTA DE CREDITO","4212",IF(Registro_Compras!$M$91="","63",Registro_Compras!$M$91)))</f>
        <v>635</v>
      </c>
      <c r="D788" t="str">
        <f>IF(OR(Registro_Compras!$C$91="",Registro_Compras!$O$91=""),"",IF(Registro_Compras!$F$91="NOTA DE CREDITO","Cuentas por Pagar Comerciales - Terceros (Emitidas)",IF(Registro_Compras!$F$91="RHE","Honorarios Profesionales - Servicios de Terceros","Gastos de Servicios Prestados por Terceros")))</f>
        <v>Gastos de Servicios Prestados por Terceros</v>
      </c>
      <c r="E788" s="20">
        <f>IF($C788="","",IF(Registro_Compras!$F$91="NOTA DE CREDITO",ABS(Registro_Compras!$O$91),IF(Registro_Compras!$F$91="RHE",ROUND(Registro_Compras!$L$91*Registro_Compras!$N$91,2),ROUND(Registro_Compras!$J$91*Registro_Compras!$N$91,2))))</f>
        <v>3120.04</v>
      </c>
      <c r="F788" s="20" t="str">
        <f>""</f>
        <v/>
      </c>
      <c r="G788" t="str">
        <f>IF($C788="","",IF(Registro_Compras!$F$91="NOTA DE CREDITO","Por la nota de credito "&amp;Registro_Compras!$C$91&amp;" de "&amp;Registro_Compras!$E$91&amp;" [PATRON POR CONFIRMAR CON CONTADOR]",IF(Registro_Compras!$F$91="RHE","Por el registro del recibo por honorarios "&amp;Registro_Compras!$C$91&amp;" de "&amp;Registro_Compras!$E$91&amp;" [PATRON POR CONFIRMAR CON CONTADOR]","Por el registro de la factura "&amp;Registro_Compras!$C$91&amp;" de "&amp;Registro_Compras!$E$91)))</f>
        <v>Por el registro de la factura E001-950 de COOPERATIVA DE AHORRO Y CREDITO ABACO</v>
      </c>
      <c r="H788" t="str">
        <f>IF($C788="","",Registro_Compras!$C$91)</f>
        <v>E001-950</v>
      </c>
    </row>
    <row r="789" spans="1:8" x14ac:dyDescent="0.25">
      <c r="A789" s="25">
        <f>IF($C789="","",Registro_Compras!$B$91)</f>
        <v>46239</v>
      </c>
      <c r="B789" t="str">
        <f>IF($C789="","","C"&amp;TEXT(INT((ROW()-5)/9)+1,"000")&amp;"-1")</f>
        <v>C088-1</v>
      </c>
      <c r="C789" t="str">
        <f>IF(OR(Registro_Compras!$C$91="",Registro_Compras!$O$91=""),"",IF(Registro_Compras!$F$91="RHE",IF(Registro_Compras!$V$91=0,"","4017"),IF(Registro_Compras!$F$91="NOTA DE CREDITO",IF(Registro_Compras!$M$91="","63",Registro_Compras!$M$91),IF(Registro_Compras!$K$91=0,"","40111"))))</f>
        <v>40111</v>
      </c>
      <c r="D789" t="str">
        <f>IF(OR(Registro_Compras!$C$91="",Registro_Compras!$O$91=""),"",IF(Registro_Compras!$F$91="RHE","Retencion Renta 4ta Categoria por Pagar",IF(Registro_Compras!$F$91="NOTA DE CREDITO","Gastos de Servicios Prestados por Terceros","IGV - Cuenta Propia (Credito Fiscal)")))</f>
        <v>IGV - Cuenta Propia (Credito Fiscal)</v>
      </c>
      <c r="E789" s="20">
        <f>IF($C789="","",IF(Registro_Compras!$F$91="FACTURA",ROUND(Registro_Compras!$K$91*Registro_Compras!$N$91,2),""))</f>
        <v>561.61</v>
      </c>
      <c r="F789" s="20" t="str">
        <f>IF($C789="","",IF(Registro_Compras!$F$91="RHE",ROUND(Registro_Compras!$V$91*Registro_Compras!$N$91,2),IF(Registro_Compras!$F$91="NOTA DE CREDITO",ROUND(ABS(Registro_Compras!$J$91*Registro_Compras!$N$91),2),"")))</f>
        <v/>
      </c>
      <c r="G789" t="str">
        <f>IF($C789="","",IF(Registro_Compras!$F$91="NOTA DE CREDITO","Por la nota de credito "&amp;Registro_Compras!$C$91&amp;" de "&amp;Registro_Compras!$E$91&amp;" [PATRON POR CONFIRMAR CON CONTADOR]",IF(Registro_Compras!$F$91="RHE","Por el registro del recibo por honorarios "&amp;Registro_Compras!$C$91&amp;" de "&amp;Registro_Compras!$E$91&amp;" [PATRON POR CONFIRMAR CON CONTADOR]","Por el registro de la factura "&amp;Registro_Compras!$C$91&amp;" de "&amp;Registro_Compras!$E$91)))</f>
        <v>Por el registro de la factura E001-950 de COOPERATIVA DE AHORRO Y CREDITO ABACO</v>
      </c>
      <c r="H789" t="str">
        <f>IF($C789="","",Registro_Compras!$C$91)</f>
        <v>E001-950</v>
      </c>
    </row>
    <row r="790" spans="1:8" x14ac:dyDescent="0.25">
      <c r="A790" s="25">
        <f>IF($C790="","",Registro_Compras!$B$91)</f>
        <v>46239</v>
      </c>
      <c r="B790" t="str">
        <f>IF($C790="","","C"&amp;TEXT(INT((ROW()-5)/9)+1,"000")&amp;"-1")</f>
        <v>C088-1</v>
      </c>
      <c r="C790" t="str">
        <f>IF(OR(Registro_Compras!$C$91="",Registro_Compras!$O$91=""),"",IF(Registro_Compras!$F$91="NOTA DE CREDITO",IF(Registro_Compras!$K$91=0,"","40111"),"4212"))</f>
        <v>4212</v>
      </c>
      <c r="D790" t="str">
        <f>IF(OR(Registro_Compras!$C$91="",Registro_Compras!$O$91=""),"",IF(Registro_Compras!$F$91="NOTA DE CREDITO","IGV - Cuenta Propia (Credito Fiscal)","Cuentas por Pagar Comerciales - Terceros (Emitidas)"))</f>
        <v>Cuentas por Pagar Comerciales - Terceros (Emitidas)</v>
      </c>
      <c r="E790" s="20" t="str">
        <f>""</f>
        <v/>
      </c>
      <c r="F790" s="20">
        <f>IF($C790="","",IF(Registro_Compras!$F$91="NOTA DE CREDITO",ROUND(ABS(Registro_Compras!$K$91*Registro_Compras!$N$91),2),IF(Registro_Compras!$F$91="RHE",(ROUND(Registro_Compras!$L$91*Registro_Compras!$N$91,2)-ROUND(Registro_Compras!$V$91*Registro_Compras!$N$91,2)),Registro_Compras!$O$91)))</f>
        <v>3681.65</v>
      </c>
      <c r="G790" t="str">
        <f>IF($C790="","",IF(Registro_Compras!$F$91="NOTA DE CREDITO","Por la nota de credito "&amp;Registro_Compras!$C$91&amp;" de "&amp;Registro_Compras!$E$91&amp;" [PATRON POR CONFIRMAR CON CONTADOR]",IF(Registro_Compras!$F$91="RHE","Por el registro del recibo por honorarios "&amp;Registro_Compras!$C$91&amp;" de "&amp;Registro_Compras!$E$91&amp;" [PATRON POR CONFIRMAR CON CONTADOR]","Por el registro de la factura "&amp;Registro_Compras!$C$91&amp;" de "&amp;Registro_Compras!$E$91)))</f>
        <v>Por el registro de la factura E001-950 de COOPERATIVA DE AHORRO Y CREDITO ABACO</v>
      </c>
      <c r="H790" t="str">
        <f>IF($C790="","",Registro_Compras!$C$91)</f>
        <v>E001-950</v>
      </c>
    </row>
    <row r="791" spans="1:8" x14ac:dyDescent="0.25">
      <c r="A791" s="25">
        <f>IF($C791="","",Registro_Compras!$B$91)</f>
        <v>46239</v>
      </c>
      <c r="B791" t="str">
        <f>IF($C791="","","C"&amp;TEXT(INT((ROW()-5)/9)+1,"000")&amp;"-2")</f>
        <v>C088-2</v>
      </c>
      <c r="C791" t="str">
        <f>IF(OR(Registro_Compras!$C$91="",Registro_Compras!$O$91=""),"",IF(Registro_Compras!$AB$91="ADMINISTRATIVO","94","95"))</f>
        <v>94</v>
      </c>
      <c r="D791" t="str">
        <f>IF(OR(Registro_Compras!$C$91="",Registro_Compras!$O$91=""),"",IF(Registro_Compras!$AB$91="ADMINISTRATIVO","Gastos Administrativos","Gastos de Venta y Operacion"))</f>
        <v>Gastos Administrativos</v>
      </c>
      <c r="E791" s="20">
        <f>IF($C791="","",IF(Registro_Compras!$F$91="NOTA DE CREDITO","",IF(Registro_Compras!$F$91="RHE",ROUND(Registro_Compras!$L$91*Registro_Compras!$N$91,2),ROUND(Registro_Compras!$J$91*Registro_Compras!$N$91,2))))</f>
        <v>3120.04</v>
      </c>
      <c r="F791" s="20" t="str">
        <f>IF($C791="","",IF(Registro_Compras!$F$91="NOTA DE CREDITO",ROUND(ABS(Registro_Compras!$J$91*Registro_Compras!$N$91),2),""))</f>
        <v/>
      </c>
      <c r="G791" t="str">
        <f>IF($C791="","","Por el destino del gasto")</f>
        <v>Por el destino del gasto</v>
      </c>
      <c r="H791" t="str">
        <f>IF($C791="","",Registro_Compras!$C$91)</f>
        <v>E001-950</v>
      </c>
    </row>
    <row r="792" spans="1:8" x14ac:dyDescent="0.25">
      <c r="A792" s="25">
        <f>IF($C792="","",Registro_Compras!$B$91)</f>
        <v>46239</v>
      </c>
      <c r="B792" t="str">
        <f>IF($C792="","","C"&amp;TEXT(INT((ROW()-5)/9)+1,"000")&amp;"-2")</f>
        <v>C088-2</v>
      </c>
      <c r="C792" t="str">
        <f>IF(OR(Registro_Compras!$C$91="",Registro_Compras!$O$91=""),"","79/791")</f>
        <v>79/791</v>
      </c>
      <c r="D792" t="str">
        <f>IF(OR(Registro_Compras!$C$91="",Registro_Compras!$O$91=""),"","Cargas Imputables a Cuentas de Costos y Gastos")</f>
        <v>Cargas Imputables a Cuentas de Costos y Gastos</v>
      </c>
      <c r="E792" s="20" t="str">
        <f>IF($C792="","",IF(Registro_Compras!$F$91="NOTA DE CREDITO",ROUND(ABS(Registro_Compras!$J$91*Registro_Compras!$N$91),2),""))</f>
        <v/>
      </c>
      <c r="F792" s="20">
        <f>IF($C792="","",IF(Registro_Compras!$F$91="NOTA DE CREDITO","",IF(Registro_Compras!$F$91="RHE",ROUND(Registro_Compras!$L$91*Registro_Compras!$N$91,2),ROUND(Registro_Compras!$J$91*Registro_Compras!$N$91,2))))</f>
        <v>3120.04</v>
      </c>
      <c r="G792" t="str">
        <f>IF($C792="","","Por el destino del gasto")</f>
        <v>Por el destino del gasto</v>
      </c>
      <c r="H792" t="str">
        <f>IF($C792="","",Registro_Compras!$C$91)</f>
        <v>E001-950</v>
      </c>
    </row>
    <row r="793" spans="1:8" x14ac:dyDescent="0.25">
      <c r="A793" s="25" t="str">
        <f>IF($C793="","",Registro_Compras!$X$91)</f>
        <v/>
      </c>
      <c r="B793" t="str">
        <f>IF($C793="","","C"&amp;TEXT(INT((ROW()-5)/9)+1,"000")&amp;"-3")</f>
        <v/>
      </c>
      <c r="C793" t="str">
        <f>IF(OR(Registro_Compras!$C$91="",Registro_Compras!$O$91="",Registro_Compras!$R$91&lt;&gt;"SI",Registro_Compras!$X$91=""),"","4212")</f>
        <v/>
      </c>
      <c r="D793" t="str">
        <f>IF(OR(Registro_Compras!$C$91="",Registro_Compras!$O$91=""),"","Cuentas por Pagar Comerciales - Terceros")</f>
        <v>Cuentas por Pagar Comerciales - Terceros</v>
      </c>
      <c r="E793" s="20" t="str">
        <f>IF($C793="","",Registro_Compras!$S$91)</f>
        <v/>
      </c>
      <c r="F793" s="20" t="str">
        <f>""</f>
        <v/>
      </c>
      <c r="G793" t="str">
        <f>IF($C793="","","Por el deposito de la detraccion en el Banco de la Nacion")</f>
        <v/>
      </c>
      <c r="H793" t="str">
        <f>IF($C793="","",Registro_Compras!$C$91)</f>
        <v/>
      </c>
    </row>
    <row r="794" spans="1:8" x14ac:dyDescent="0.25">
      <c r="A794" s="25" t="str">
        <f>IF($C794="","",Registro_Compras!$X$91)</f>
        <v/>
      </c>
      <c r="B794" t="str">
        <f>IF($C794="","","C"&amp;TEXT(INT((ROW()-5)/9)+1,"000")&amp;"-3")</f>
        <v/>
      </c>
      <c r="C794" t="str">
        <f>IF(OR(Registro_Compras!$C$91="",Registro_Compras!$O$91="",Registro_Compras!$R$91&lt;&gt;"SI",Registro_Compras!$X$91=""),"","1041")</f>
        <v/>
      </c>
      <c r="D794" t="str">
        <f>IF(OR(Registro_Compras!$C$91="",Registro_Compras!$O$91=""),"","Efectivo y Equivalentes - Cta. Cte. Operativa")</f>
        <v>Efectivo y Equivalentes - Cta. Cte. Operativa</v>
      </c>
      <c r="E794" s="20" t="str">
        <f>""</f>
        <v/>
      </c>
      <c r="F794" s="20" t="str">
        <f>IF($C794="","",Registro_Compras!$S$91)</f>
        <v/>
      </c>
      <c r="G794" t="str">
        <f>IF($C794="","","Por el deposito de la detraccion en el Banco de la Nacion")</f>
        <v/>
      </c>
      <c r="H794" t="str">
        <f>IF($C794="","",Registro_Compras!$C$91)</f>
        <v/>
      </c>
    </row>
    <row r="795" spans="1:8" x14ac:dyDescent="0.25">
      <c r="A795" s="25" t="str">
        <f>IF($C795="","",Registro_Compras!$Y$91)</f>
        <v/>
      </c>
      <c r="B795" t="str">
        <f>IF($C795="","","C"&amp;TEXT(INT((ROW()-5)/9)+1,"000")&amp;"-4")</f>
        <v/>
      </c>
      <c r="C795" t="str">
        <f>IF(OR(Registro_Compras!$C$91="",Registro_Compras!$O$91="",Registro_Compras!$Y$91="",Registro_Compras!$F$91="NOTA DE CREDITO"),"","4212")</f>
        <v/>
      </c>
      <c r="D795" t="str">
        <f>IF(OR(Registro_Compras!$C$91="",Registro_Compras!$O$91=""),"","Cuentas por Pagar Comerciales - Terceros")</f>
        <v>Cuentas por Pagar Comerciales - Terceros</v>
      </c>
      <c r="E795" s="20" t="str">
        <f>IF($C795="","",IF(Registro_Compras!$F$91="RHE",(ROUND(Registro_Compras!$L$91*Registro_Compras!$N$91,2)-ROUND(Registro_Compras!$V$91*Registro_Compras!$N$91,2)),ROUND(Registro_Compras!$O$91-Registro_Compras!$S$91,2)))</f>
        <v/>
      </c>
      <c r="F795" s="20" t="str">
        <f>""</f>
        <v/>
      </c>
      <c r="G795" t="str">
        <f>IF($C795="","","Por la cancelacion del saldo al proveedor")</f>
        <v/>
      </c>
      <c r="H795" t="str">
        <f>IF($C795="","",Registro_Compras!$C$91)</f>
        <v/>
      </c>
    </row>
    <row r="796" spans="1:8" x14ac:dyDescent="0.25">
      <c r="A796" s="25" t="str">
        <f>IF($C796="","",Registro_Compras!$Y$91)</f>
        <v/>
      </c>
      <c r="B796" t="str">
        <f>IF($C796="","","C"&amp;TEXT(INT((ROW()-5)/9)+1,"000")&amp;"-4")</f>
        <v/>
      </c>
      <c r="C796" t="str">
        <f>IF(OR(Registro_Compras!$C$91="",Registro_Compras!$O$91="",Registro_Compras!$Y$91="",Registro_Compras!$F$91="NOTA DE CREDITO"),"","1041")</f>
        <v/>
      </c>
      <c r="D796" t="str">
        <f>IF(OR(Registro_Compras!$C$91="",Registro_Compras!$O$91=""),"","Efectivo y Equivalentes - Cta. Cte. Operativa")</f>
        <v>Efectivo y Equivalentes - Cta. Cte. Operativa</v>
      </c>
      <c r="E796" s="20" t="str">
        <f>""</f>
        <v/>
      </c>
      <c r="F796" s="20" t="str">
        <f>IF($C796="","",IF(Registro_Compras!$F$91="RHE",(ROUND(Registro_Compras!$L$91*Registro_Compras!$N$91,2)-ROUND(Registro_Compras!$V$91*Registro_Compras!$N$91,2)),ROUND(Registro_Compras!$O$91-Registro_Compras!$S$91,2)))</f>
        <v/>
      </c>
      <c r="G796" t="str">
        <f>IF($C796="","","Por la cancelacion del saldo al proveedor")</f>
        <v/>
      </c>
      <c r="H796" t="str">
        <f>IF($C796="","",Registro_Compras!$C$91)</f>
        <v/>
      </c>
    </row>
    <row r="797" spans="1:8" x14ac:dyDescent="0.25">
      <c r="A797" s="25">
        <f>IF($C797="","",Registro_Compras!$B$92)</f>
        <v>46240</v>
      </c>
      <c r="B797" t="str">
        <f>IF($C797="","","C"&amp;TEXT(INT((ROW()-5)/9)+1,"000")&amp;"-1")</f>
        <v>C089-1</v>
      </c>
      <c r="C797" t="str">
        <f>IF(OR(Registro_Compras!$C$92="",Registro_Compras!$O$92=""),"",IF(Registro_Compras!$F$92="NOTA DE CREDITO","4212",IF(Registro_Compras!$M$92="","63",Registro_Compras!$M$92)))</f>
        <v>639</v>
      </c>
      <c r="D797" t="str">
        <f>IF(OR(Registro_Compras!$C$92="",Registro_Compras!$O$92=""),"",IF(Registro_Compras!$F$92="NOTA DE CREDITO","Cuentas por Pagar Comerciales - Terceros (Emitidas)",IF(Registro_Compras!$F$92="RHE","Honorarios Profesionales - Servicios de Terceros","Gastos de Servicios Prestados por Terceros")))</f>
        <v>Gastos de Servicios Prestados por Terceros</v>
      </c>
      <c r="E797" s="20">
        <f>IF($C797="","",IF(Registro_Compras!$F$92="NOTA DE CREDITO",ABS(Registro_Compras!$O$92),IF(Registro_Compras!$F$92="RHE",ROUND(Registro_Compras!$L$92*Registro_Compras!$N$92,2),ROUND(Registro_Compras!$J$92*Registro_Compras!$N$92,2))))</f>
        <v>1092.8</v>
      </c>
      <c r="F797" s="20" t="str">
        <f>""</f>
        <v/>
      </c>
      <c r="G797" t="str">
        <f>IF($C797="","",IF(Registro_Compras!$F$92="NOTA DE CREDITO","Por la nota de credito "&amp;Registro_Compras!$C$92&amp;" de "&amp;Registro_Compras!$E$92&amp;" [PATRON POR CONFIRMAR CON CONTADOR]",IF(Registro_Compras!$F$92="RHE","Por el registro del recibo por honorarios "&amp;Registro_Compras!$C$92&amp;" de "&amp;Registro_Compras!$E$92&amp;" [PATRON POR CONFIRMAR CON CONTADOR]","Por el registro de la factura "&amp;Registro_Compras!$C$92&amp;" de "&amp;Registro_Compras!$E$92)))</f>
        <v>Por el registro de la factura F005-00003004 de FOOD SERVICE INVESTMENT S.A.C.</v>
      </c>
      <c r="H797" t="str">
        <f>IF($C797="","",Registro_Compras!$C$92)</f>
        <v>F005-00003004</v>
      </c>
    </row>
    <row r="798" spans="1:8" x14ac:dyDescent="0.25">
      <c r="A798" s="25">
        <f>IF($C798="","",Registro_Compras!$B$92)</f>
        <v>46240</v>
      </c>
      <c r="B798" t="str">
        <f>IF($C798="","","C"&amp;TEXT(INT((ROW()-5)/9)+1,"000")&amp;"-1")</f>
        <v>C089-1</v>
      </c>
      <c r="C798" t="str">
        <f>IF(OR(Registro_Compras!$C$92="",Registro_Compras!$O$92=""),"",IF(Registro_Compras!$F$92="RHE",IF(Registro_Compras!$V$92=0,"","4017"),IF(Registro_Compras!$F$92="NOTA DE CREDITO",IF(Registro_Compras!$M$92="","63",Registro_Compras!$M$92),IF(Registro_Compras!$K$92=0,"","40111"))))</f>
        <v>40111</v>
      </c>
      <c r="D798" t="str">
        <f>IF(OR(Registro_Compras!$C$92="",Registro_Compras!$O$92=""),"",IF(Registro_Compras!$F$92="RHE","Retencion Renta 4ta Categoria por Pagar",IF(Registro_Compras!$F$92="NOTA DE CREDITO","Gastos de Servicios Prestados por Terceros","IGV - Cuenta Propia (Credito Fiscal)")))</f>
        <v>IGV - Cuenta Propia (Credito Fiscal)</v>
      </c>
      <c r="E798" s="20">
        <f>IF($C798="","",IF(Registro_Compras!$F$92="FACTURA",ROUND(Registro_Compras!$K$92*Registro_Compras!$N$92,2),""))</f>
        <v>196.7</v>
      </c>
      <c r="F798" s="20" t="str">
        <f>IF($C798="","",IF(Registro_Compras!$F$92="RHE",ROUND(Registro_Compras!$V$92*Registro_Compras!$N$92,2),IF(Registro_Compras!$F$92="NOTA DE CREDITO",ROUND(ABS(Registro_Compras!$J$92*Registro_Compras!$N$92),2),"")))</f>
        <v/>
      </c>
      <c r="G798" t="str">
        <f>IF($C798="","",IF(Registro_Compras!$F$92="NOTA DE CREDITO","Por la nota de credito "&amp;Registro_Compras!$C$92&amp;" de "&amp;Registro_Compras!$E$92&amp;" [PATRON POR CONFIRMAR CON CONTADOR]",IF(Registro_Compras!$F$92="RHE","Por el registro del recibo por honorarios "&amp;Registro_Compras!$C$92&amp;" de "&amp;Registro_Compras!$E$92&amp;" [PATRON POR CONFIRMAR CON CONTADOR]","Por el registro de la factura "&amp;Registro_Compras!$C$92&amp;" de "&amp;Registro_Compras!$E$92)))</f>
        <v>Por el registro de la factura F005-00003004 de FOOD SERVICE INVESTMENT S.A.C.</v>
      </c>
      <c r="H798" t="str">
        <f>IF($C798="","",Registro_Compras!$C$92)</f>
        <v>F005-00003004</v>
      </c>
    </row>
    <row r="799" spans="1:8" x14ac:dyDescent="0.25">
      <c r="A799" s="25">
        <f>IF($C799="","",Registro_Compras!$B$92)</f>
        <v>46240</v>
      </c>
      <c r="B799" t="str">
        <f>IF($C799="","","C"&amp;TEXT(INT((ROW()-5)/9)+1,"000")&amp;"-1")</f>
        <v>C089-1</v>
      </c>
      <c r="C799" t="str">
        <f>IF(OR(Registro_Compras!$C$92="",Registro_Compras!$O$92=""),"",IF(Registro_Compras!$F$92="NOTA DE CREDITO",IF(Registro_Compras!$K$92=0,"","40111"),"4212"))</f>
        <v>4212</v>
      </c>
      <c r="D799" t="str">
        <f>IF(OR(Registro_Compras!$C$92="",Registro_Compras!$O$92=""),"",IF(Registro_Compras!$F$92="NOTA DE CREDITO","IGV - Cuenta Propia (Credito Fiscal)","Cuentas por Pagar Comerciales - Terceros (Emitidas)"))</f>
        <v>Cuentas por Pagar Comerciales - Terceros (Emitidas)</v>
      </c>
      <c r="E799" s="20" t="str">
        <f>""</f>
        <v/>
      </c>
      <c r="F799" s="20">
        <f>IF($C799="","",IF(Registro_Compras!$F$92="NOTA DE CREDITO",ROUND(ABS(Registro_Compras!$K$92*Registro_Compras!$N$92),2),IF(Registro_Compras!$F$92="RHE",(ROUND(Registro_Compras!$L$92*Registro_Compras!$N$92,2)-ROUND(Registro_Compras!$V$92*Registro_Compras!$N$92,2)),Registro_Compras!$O$92)))</f>
        <v>1289.5</v>
      </c>
      <c r="G799" t="str">
        <f>IF($C799="","",IF(Registro_Compras!$F$92="NOTA DE CREDITO","Por la nota de credito "&amp;Registro_Compras!$C$92&amp;" de "&amp;Registro_Compras!$E$92&amp;" [PATRON POR CONFIRMAR CON CONTADOR]",IF(Registro_Compras!$F$92="RHE","Por el registro del recibo por honorarios "&amp;Registro_Compras!$C$92&amp;" de "&amp;Registro_Compras!$E$92&amp;" [PATRON POR CONFIRMAR CON CONTADOR]","Por el registro de la factura "&amp;Registro_Compras!$C$92&amp;" de "&amp;Registro_Compras!$E$92)))</f>
        <v>Por el registro de la factura F005-00003004 de FOOD SERVICE INVESTMENT S.A.C.</v>
      </c>
      <c r="H799" t="str">
        <f>IF($C799="","",Registro_Compras!$C$92)</f>
        <v>F005-00003004</v>
      </c>
    </row>
    <row r="800" spans="1:8" x14ac:dyDescent="0.25">
      <c r="A800" s="25">
        <f>IF($C800="","",Registro_Compras!$B$92)</f>
        <v>46240</v>
      </c>
      <c r="B800" t="str">
        <f>IF($C800="","","C"&amp;TEXT(INT((ROW()-5)/9)+1,"000")&amp;"-2")</f>
        <v>C089-2</v>
      </c>
      <c r="C800" t="str">
        <f>IF(OR(Registro_Compras!$C$92="",Registro_Compras!$O$92=""),"",IF(Registro_Compras!$AB$92="ADMINISTRATIVO","94","95"))</f>
        <v>95</v>
      </c>
      <c r="D800" t="str">
        <f>IF(OR(Registro_Compras!$C$92="",Registro_Compras!$O$92=""),"",IF(Registro_Compras!$AB$92="ADMINISTRATIVO","Gastos Administrativos","Gastos de Venta y Operacion"))</f>
        <v>Gastos de Venta y Operacion</v>
      </c>
      <c r="E800" s="20">
        <f>IF($C800="","",IF(Registro_Compras!$F$92="NOTA DE CREDITO","",IF(Registro_Compras!$F$92="RHE",ROUND(Registro_Compras!$L$92*Registro_Compras!$N$92,2),ROUND(Registro_Compras!$J$92*Registro_Compras!$N$92,2))))</f>
        <v>1092.8</v>
      </c>
      <c r="F800" s="20" t="str">
        <f>IF($C800="","",IF(Registro_Compras!$F$92="NOTA DE CREDITO",ROUND(ABS(Registro_Compras!$J$92*Registro_Compras!$N$92),2),""))</f>
        <v/>
      </c>
      <c r="G800" t="str">
        <f>IF($C800="","","Por el destino del gasto")</f>
        <v>Por el destino del gasto</v>
      </c>
      <c r="H800" t="str">
        <f>IF($C800="","",Registro_Compras!$C$92)</f>
        <v>F005-00003004</v>
      </c>
    </row>
    <row r="801" spans="1:8" x14ac:dyDescent="0.25">
      <c r="A801" s="25">
        <f>IF($C801="","",Registro_Compras!$B$92)</f>
        <v>46240</v>
      </c>
      <c r="B801" t="str">
        <f>IF($C801="","","C"&amp;TEXT(INT((ROW()-5)/9)+1,"000")&amp;"-2")</f>
        <v>C089-2</v>
      </c>
      <c r="C801" t="str">
        <f>IF(OR(Registro_Compras!$C$92="",Registro_Compras!$O$92=""),"","79/791")</f>
        <v>79/791</v>
      </c>
      <c r="D801" t="str">
        <f>IF(OR(Registro_Compras!$C$92="",Registro_Compras!$O$92=""),"","Cargas Imputables a Cuentas de Costos y Gastos")</f>
        <v>Cargas Imputables a Cuentas de Costos y Gastos</v>
      </c>
      <c r="E801" s="20" t="str">
        <f>IF($C801="","",IF(Registro_Compras!$F$92="NOTA DE CREDITO",ROUND(ABS(Registro_Compras!$J$92*Registro_Compras!$N$92),2),""))</f>
        <v/>
      </c>
      <c r="F801" s="20">
        <f>IF($C801="","",IF(Registro_Compras!$F$92="NOTA DE CREDITO","",IF(Registro_Compras!$F$92="RHE",ROUND(Registro_Compras!$L$92*Registro_Compras!$N$92,2),ROUND(Registro_Compras!$J$92*Registro_Compras!$N$92,2))))</f>
        <v>1092.8</v>
      </c>
      <c r="G801" t="str">
        <f>IF($C801="","","Por el destino del gasto")</f>
        <v>Por el destino del gasto</v>
      </c>
      <c r="H801" t="str">
        <f>IF($C801="","",Registro_Compras!$C$92)</f>
        <v>F005-00003004</v>
      </c>
    </row>
    <row r="802" spans="1:8" x14ac:dyDescent="0.25">
      <c r="A802" s="25" t="str">
        <f>IF($C802="","",Registro_Compras!$X$92)</f>
        <v/>
      </c>
      <c r="B802" t="str">
        <f>IF($C802="","","C"&amp;TEXT(INT((ROW()-5)/9)+1,"000")&amp;"-3")</f>
        <v/>
      </c>
      <c r="C802" t="str">
        <f>IF(OR(Registro_Compras!$C$92="",Registro_Compras!$O$92="",Registro_Compras!$R$92&lt;&gt;"SI",Registro_Compras!$X$92=""),"","4212")</f>
        <v/>
      </c>
      <c r="D802" t="str">
        <f>IF(OR(Registro_Compras!$C$92="",Registro_Compras!$O$92=""),"","Cuentas por Pagar Comerciales - Terceros")</f>
        <v>Cuentas por Pagar Comerciales - Terceros</v>
      </c>
      <c r="E802" s="20" t="str">
        <f>IF($C802="","",Registro_Compras!$S$92)</f>
        <v/>
      </c>
      <c r="F802" s="20" t="str">
        <f>""</f>
        <v/>
      </c>
      <c r="G802" t="str">
        <f>IF($C802="","","Por el deposito de la detraccion en el Banco de la Nacion")</f>
        <v/>
      </c>
      <c r="H802" t="str">
        <f>IF($C802="","",Registro_Compras!$C$92)</f>
        <v/>
      </c>
    </row>
    <row r="803" spans="1:8" x14ac:dyDescent="0.25">
      <c r="A803" s="25" t="str">
        <f>IF($C803="","",Registro_Compras!$X$92)</f>
        <v/>
      </c>
      <c r="B803" t="str">
        <f>IF($C803="","","C"&amp;TEXT(INT((ROW()-5)/9)+1,"000")&amp;"-3")</f>
        <v/>
      </c>
      <c r="C803" t="str">
        <f>IF(OR(Registro_Compras!$C$92="",Registro_Compras!$O$92="",Registro_Compras!$R$92&lt;&gt;"SI",Registro_Compras!$X$92=""),"","1041")</f>
        <v/>
      </c>
      <c r="D803" t="str">
        <f>IF(OR(Registro_Compras!$C$92="",Registro_Compras!$O$92=""),"","Efectivo y Equivalentes - Cta. Cte. Operativa")</f>
        <v>Efectivo y Equivalentes - Cta. Cte. Operativa</v>
      </c>
      <c r="E803" s="20" t="str">
        <f>""</f>
        <v/>
      </c>
      <c r="F803" s="20" t="str">
        <f>IF($C803="","",Registro_Compras!$S$92)</f>
        <v/>
      </c>
      <c r="G803" t="str">
        <f>IF($C803="","","Por el deposito de la detraccion en el Banco de la Nacion")</f>
        <v/>
      </c>
      <c r="H803" t="str">
        <f>IF($C803="","",Registro_Compras!$C$92)</f>
        <v/>
      </c>
    </row>
    <row r="804" spans="1:8" x14ac:dyDescent="0.25">
      <c r="A804" s="25" t="str">
        <f>IF($C804="","",Registro_Compras!$Y$92)</f>
        <v/>
      </c>
      <c r="B804" t="str">
        <f>IF($C804="","","C"&amp;TEXT(INT((ROW()-5)/9)+1,"000")&amp;"-4")</f>
        <v/>
      </c>
      <c r="C804" t="str">
        <f>IF(OR(Registro_Compras!$C$92="",Registro_Compras!$O$92="",Registro_Compras!$Y$92="",Registro_Compras!$F$92="NOTA DE CREDITO"),"","4212")</f>
        <v/>
      </c>
      <c r="D804" t="str">
        <f>IF(OR(Registro_Compras!$C$92="",Registro_Compras!$O$92=""),"","Cuentas por Pagar Comerciales - Terceros")</f>
        <v>Cuentas por Pagar Comerciales - Terceros</v>
      </c>
      <c r="E804" s="20" t="str">
        <f>IF($C804="","",IF(Registro_Compras!$F$92="RHE",(ROUND(Registro_Compras!$L$92*Registro_Compras!$N$92,2)-ROUND(Registro_Compras!$V$92*Registro_Compras!$N$92,2)),ROUND(Registro_Compras!$O$92-Registro_Compras!$S$92,2)))</f>
        <v/>
      </c>
      <c r="F804" s="20" t="str">
        <f>""</f>
        <v/>
      </c>
      <c r="G804" t="str">
        <f>IF($C804="","","Por la cancelacion del saldo al proveedor")</f>
        <v/>
      </c>
      <c r="H804" t="str">
        <f>IF($C804="","",Registro_Compras!$C$92)</f>
        <v/>
      </c>
    </row>
    <row r="805" spans="1:8" x14ac:dyDescent="0.25">
      <c r="A805" s="25" t="str">
        <f>IF($C805="","",Registro_Compras!$Y$92)</f>
        <v/>
      </c>
      <c r="B805" t="str">
        <f>IF($C805="","","C"&amp;TEXT(INT((ROW()-5)/9)+1,"000")&amp;"-4")</f>
        <v/>
      </c>
      <c r="C805" t="str">
        <f>IF(OR(Registro_Compras!$C$92="",Registro_Compras!$O$92="",Registro_Compras!$Y$92="",Registro_Compras!$F$92="NOTA DE CREDITO"),"","1041")</f>
        <v/>
      </c>
      <c r="D805" t="str">
        <f>IF(OR(Registro_Compras!$C$92="",Registro_Compras!$O$92=""),"","Efectivo y Equivalentes - Cta. Cte. Operativa")</f>
        <v>Efectivo y Equivalentes - Cta. Cte. Operativa</v>
      </c>
      <c r="E805" s="20" t="str">
        <f>""</f>
        <v/>
      </c>
      <c r="F805" s="20" t="str">
        <f>IF($C805="","",IF(Registro_Compras!$F$92="RHE",(ROUND(Registro_Compras!$L$92*Registro_Compras!$N$92,2)-ROUND(Registro_Compras!$V$92*Registro_Compras!$N$92,2)),ROUND(Registro_Compras!$O$92-Registro_Compras!$S$92,2)))</f>
        <v/>
      </c>
      <c r="G805" t="str">
        <f>IF($C805="","","Por la cancelacion del saldo al proveedor")</f>
        <v/>
      </c>
      <c r="H805" t="str">
        <f>IF($C805="","",Registro_Compras!$C$92)</f>
        <v/>
      </c>
    </row>
    <row r="806" spans="1:8" x14ac:dyDescent="0.25">
      <c r="A806" s="25">
        <f>IF($C806="","",Registro_Compras!$B$93)</f>
        <v>46238</v>
      </c>
      <c r="B806" t="str">
        <f>IF($C806="","","C"&amp;TEXT(INT((ROW()-5)/9)+1,"000")&amp;"-1")</f>
        <v>C090-1</v>
      </c>
      <c r="C806" t="str">
        <f>IF(OR(Registro_Compras!$C$93="",Registro_Compras!$O$93=""),"",IF(Registro_Compras!$F$93="NOTA DE CREDITO","4212",IF(Registro_Compras!$M$93="","63",Registro_Compras!$M$93)))</f>
        <v>632</v>
      </c>
      <c r="D806" t="str">
        <f>IF(OR(Registro_Compras!$C$93="",Registro_Compras!$O$93=""),"",IF(Registro_Compras!$F$93="NOTA DE CREDITO","Cuentas por Pagar Comerciales - Terceros (Emitidas)",IF(Registro_Compras!$F$93="RHE","Honorarios Profesionales - Servicios de Terceros","Gastos de Servicios Prestados por Terceros")))</f>
        <v>Honorarios Profesionales - Servicios de Terceros</v>
      </c>
      <c r="E806" s="20">
        <f>IF($C806="","",IF(Registro_Compras!$F$93="NOTA DE CREDITO",ABS(Registro_Compras!$O$93),IF(Registro_Compras!$F$93="RHE",ROUND(Registro_Compras!$L$93*Registro_Compras!$N$93,2),ROUND(Registro_Compras!$J$93*Registro_Compras!$N$93,2))))</f>
        <v>612.36</v>
      </c>
      <c r="F806" s="20" t="str">
        <f>""</f>
        <v/>
      </c>
      <c r="G806" t="str">
        <f>IF($C806="","",IF(Registro_Compras!$F$93="NOTA DE CREDITO","Por la nota de credito "&amp;Registro_Compras!$C$93&amp;" de "&amp;Registro_Compras!$E$93&amp;" [PATRON POR CONFIRMAR CON CONTADOR]",IF(Registro_Compras!$F$93="RHE","Por el registro del recibo por honorarios "&amp;Registro_Compras!$C$93&amp;" de "&amp;Registro_Compras!$E$93&amp;" [PATRON POR CONFIRMAR CON CONTADOR]","Por el registro de la factura "&amp;Registro_Compras!$C$93&amp;" de "&amp;Registro_Compras!$E$93)))</f>
        <v>Por el registro del recibo por honorarios E001- 557 de HANCO ASTETE ANDY [PATRON POR CONFIRMAR CON CONTADOR]</v>
      </c>
      <c r="H806" t="str">
        <f>IF($C806="","",Registro_Compras!$C$93)</f>
        <v>E001- 557</v>
      </c>
    </row>
    <row r="807" spans="1:8" x14ac:dyDescent="0.25">
      <c r="A807" s="25" t="str">
        <f>IF($C807="","",Registro_Compras!$B$93)</f>
        <v/>
      </c>
      <c r="B807" t="str">
        <f>IF($C807="","","C"&amp;TEXT(INT((ROW()-5)/9)+1,"000")&amp;"-1")</f>
        <v/>
      </c>
      <c r="C807" t="str">
        <f>IF(OR(Registro_Compras!$C$93="",Registro_Compras!$O$93=""),"",IF(Registro_Compras!$F$93="RHE",IF(Registro_Compras!$V$93=0,"","4017"),IF(Registro_Compras!$F$93="NOTA DE CREDITO",IF(Registro_Compras!$M$93="","63",Registro_Compras!$M$93),IF(Registro_Compras!$K$93=0,"","40111"))))</f>
        <v/>
      </c>
      <c r="D807" t="str">
        <f>IF(OR(Registro_Compras!$C$93="",Registro_Compras!$O$93=""),"",IF(Registro_Compras!$F$93="RHE","Retencion Renta 4ta Categoria por Pagar",IF(Registro_Compras!$F$93="NOTA DE CREDITO","Gastos de Servicios Prestados por Terceros","IGV - Cuenta Propia (Credito Fiscal)")))</f>
        <v>Retencion Renta 4ta Categoria por Pagar</v>
      </c>
      <c r="E807" s="20" t="str">
        <f>IF($C807="","",IF(Registro_Compras!$F$93="FACTURA",ROUND(Registro_Compras!$K$93*Registro_Compras!$N$93,2),""))</f>
        <v/>
      </c>
      <c r="F807" s="20" t="str">
        <f>IF($C807="","",IF(Registro_Compras!$F$93="RHE",ROUND(Registro_Compras!$V$93*Registro_Compras!$N$93,2),IF(Registro_Compras!$F$93="NOTA DE CREDITO",ROUND(ABS(Registro_Compras!$J$93*Registro_Compras!$N$93),2),"")))</f>
        <v/>
      </c>
      <c r="G807" t="str">
        <f>IF($C807="","",IF(Registro_Compras!$F$93="NOTA DE CREDITO","Por la nota de credito "&amp;Registro_Compras!$C$93&amp;" de "&amp;Registro_Compras!$E$93&amp;" [PATRON POR CONFIRMAR CON CONTADOR]",IF(Registro_Compras!$F$93="RHE","Por el registro del recibo por honorarios "&amp;Registro_Compras!$C$93&amp;" de "&amp;Registro_Compras!$E$93&amp;" [PATRON POR CONFIRMAR CON CONTADOR]","Por el registro de la factura "&amp;Registro_Compras!$C$93&amp;" de "&amp;Registro_Compras!$E$93)))</f>
        <v/>
      </c>
      <c r="H807" t="str">
        <f>IF($C807="","",Registro_Compras!$C$93)</f>
        <v/>
      </c>
    </row>
    <row r="808" spans="1:8" x14ac:dyDescent="0.25">
      <c r="A808" s="25">
        <f>IF($C808="","",Registro_Compras!$B$93)</f>
        <v>46238</v>
      </c>
      <c r="B808" t="str">
        <f>IF($C808="","","C"&amp;TEXT(INT((ROW()-5)/9)+1,"000")&amp;"-1")</f>
        <v>C090-1</v>
      </c>
      <c r="C808" t="str">
        <f>IF(OR(Registro_Compras!$C$93="",Registro_Compras!$O$93=""),"",IF(Registro_Compras!$F$93="NOTA DE CREDITO",IF(Registro_Compras!$K$93=0,"","40111"),"4212"))</f>
        <v>4212</v>
      </c>
      <c r="D808" t="str">
        <f>IF(OR(Registro_Compras!$C$93="",Registro_Compras!$O$93=""),"",IF(Registro_Compras!$F$93="NOTA DE CREDITO","IGV - Cuenta Propia (Credito Fiscal)","Cuentas por Pagar Comerciales - Terceros (Emitidas)"))</f>
        <v>Cuentas por Pagar Comerciales - Terceros (Emitidas)</v>
      </c>
      <c r="E808" s="20" t="str">
        <f>""</f>
        <v/>
      </c>
      <c r="F808" s="20">
        <f>IF($C808="","",IF(Registro_Compras!$F$93="NOTA DE CREDITO",ROUND(ABS(Registro_Compras!$K$93*Registro_Compras!$N$93),2),IF(Registro_Compras!$F$93="RHE",(ROUND(Registro_Compras!$L$93*Registro_Compras!$N$93,2)-ROUND(Registro_Compras!$V$93*Registro_Compras!$N$93,2)),Registro_Compras!$O$93)))</f>
        <v>612.36</v>
      </c>
      <c r="G808" t="str">
        <f>IF($C808="","",IF(Registro_Compras!$F$93="NOTA DE CREDITO","Por la nota de credito "&amp;Registro_Compras!$C$93&amp;" de "&amp;Registro_Compras!$E$93&amp;" [PATRON POR CONFIRMAR CON CONTADOR]",IF(Registro_Compras!$F$93="RHE","Por el registro del recibo por honorarios "&amp;Registro_Compras!$C$93&amp;" de "&amp;Registro_Compras!$E$93&amp;" [PATRON POR CONFIRMAR CON CONTADOR]","Por el registro de la factura "&amp;Registro_Compras!$C$93&amp;" de "&amp;Registro_Compras!$E$93)))</f>
        <v>Por el registro del recibo por honorarios E001- 557 de HANCO ASTETE ANDY [PATRON POR CONFIRMAR CON CONTADOR]</v>
      </c>
      <c r="H808" t="str">
        <f>IF($C808="","",Registro_Compras!$C$93)</f>
        <v>E001- 557</v>
      </c>
    </row>
    <row r="809" spans="1:8" x14ac:dyDescent="0.25">
      <c r="A809" s="25">
        <f>IF($C809="","",Registro_Compras!$B$93)</f>
        <v>46238</v>
      </c>
      <c r="B809" t="str">
        <f>IF($C809="","","C"&amp;TEXT(INT((ROW()-5)/9)+1,"000")&amp;"-2")</f>
        <v>C090-2</v>
      </c>
      <c r="C809" t="str">
        <f>IF(OR(Registro_Compras!$C$93="",Registro_Compras!$O$93=""),"",IF(Registro_Compras!$AB$93="ADMINISTRATIVO","94","95"))</f>
        <v>95</v>
      </c>
      <c r="D809" t="str">
        <f>IF(OR(Registro_Compras!$C$93="",Registro_Compras!$O$93=""),"",IF(Registro_Compras!$AB$93="ADMINISTRATIVO","Gastos Administrativos","Gastos de Venta y Operacion"))</f>
        <v>Gastos de Venta y Operacion</v>
      </c>
      <c r="E809" s="20">
        <f>IF($C809="","",IF(Registro_Compras!$F$93="NOTA DE CREDITO","",IF(Registro_Compras!$F$93="RHE",ROUND(Registro_Compras!$L$93*Registro_Compras!$N$93,2),ROUND(Registro_Compras!$J$93*Registro_Compras!$N$93,2))))</f>
        <v>612.36</v>
      </c>
      <c r="F809" s="20" t="str">
        <f>IF($C809="","",IF(Registro_Compras!$F$93="NOTA DE CREDITO",ROUND(ABS(Registro_Compras!$J$93*Registro_Compras!$N$93),2),""))</f>
        <v/>
      </c>
      <c r="G809" t="str">
        <f>IF($C809="","","Por el destino del gasto")</f>
        <v>Por el destino del gasto</v>
      </c>
      <c r="H809" t="str">
        <f>IF($C809="","",Registro_Compras!$C$93)</f>
        <v>E001- 557</v>
      </c>
    </row>
    <row r="810" spans="1:8" x14ac:dyDescent="0.25">
      <c r="A810" s="25">
        <f>IF($C810="","",Registro_Compras!$B$93)</f>
        <v>46238</v>
      </c>
      <c r="B810" t="str">
        <f>IF($C810="","","C"&amp;TEXT(INT((ROW()-5)/9)+1,"000")&amp;"-2")</f>
        <v>C090-2</v>
      </c>
      <c r="C810" t="str">
        <f>IF(OR(Registro_Compras!$C$93="",Registro_Compras!$O$93=""),"","79/791")</f>
        <v>79/791</v>
      </c>
      <c r="D810" t="str">
        <f>IF(OR(Registro_Compras!$C$93="",Registro_Compras!$O$93=""),"","Cargas Imputables a Cuentas de Costos y Gastos")</f>
        <v>Cargas Imputables a Cuentas de Costos y Gastos</v>
      </c>
      <c r="E810" s="20" t="str">
        <f>IF($C810="","",IF(Registro_Compras!$F$93="NOTA DE CREDITO",ROUND(ABS(Registro_Compras!$J$93*Registro_Compras!$N$93),2),""))</f>
        <v/>
      </c>
      <c r="F810" s="20">
        <f>IF($C810="","",IF(Registro_Compras!$F$93="NOTA DE CREDITO","",IF(Registro_Compras!$F$93="RHE",ROUND(Registro_Compras!$L$93*Registro_Compras!$N$93,2),ROUND(Registro_Compras!$J$93*Registro_Compras!$N$93,2))))</f>
        <v>612.36</v>
      </c>
      <c r="G810" t="str">
        <f>IF($C810="","","Por el destino del gasto")</f>
        <v>Por el destino del gasto</v>
      </c>
      <c r="H810" t="str">
        <f>IF($C810="","",Registro_Compras!$C$93)</f>
        <v>E001- 557</v>
      </c>
    </row>
    <row r="811" spans="1:8" x14ac:dyDescent="0.25">
      <c r="A811" s="25" t="str">
        <f>IF($C811="","",Registro_Compras!$X$93)</f>
        <v/>
      </c>
      <c r="B811" t="str">
        <f>IF($C811="","","C"&amp;TEXT(INT((ROW()-5)/9)+1,"000")&amp;"-3")</f>
        <v/>
      </c>
      <c r="C811" t="str">
        <f>IF(OR(Registro_Compras!$C$93="",Registro_Compras!$O$93="",Registro_Compras!$R$93&lt;&gt;"SI",Registro_Compras!$X$93=""),"","4212")</f>
        <v/>
      </c>
      <c r="D811" t="str">
        <f>IF(OR(Registro_Compras!$C$93="",Registro_Compras!$O$93=""),"","Cuentas por Pagar Comerciales - Terceros")</f>
        <v>Cuentas por Pagar Comerciales - Terceros</v>
      </c>
      <c r="E811" s="20" t="str">
        <f>IF($C811="","",Registro_Compras!$S$93)</f>
        <v/>
      </c>
      <c r="F811" s="20" t="str">
        <f>""</f>
        <v/>
      </c>
      <c r="G811" t="str">
        <f>IF($C811="","","Por el deposito de la detraccion en el Banco de la Nacion")</f>
        <v/>
      </c>
      <c r="H811" t="str">
        <f>IF($C811="","",Registro_Compras!$C$93)</f>
        <v/>
      </c>
    </row>
    <row r="812" spans="1:8" x14ac:dyDescent="0.25">
      <c r="A812" s="25" t="str">
        <f>IF($C812="","",Registro_Compras!$X$93)</f>
        <v/>
      </c>
      <c r="B812" t="str">
        <f>IF($C812="","","C"&amp;TEXT(INT((ROW()-5)/9)+1,"000")&amp;"-3")</f>
        <v/>
      </c>
      <c r="C812" t="str">
        <f>IF(OR(Registro_Compras!$C$93="",Registro_Compras!$O$93="",Registro_Compras!$R$93&lt;&gt;"SI",Registro_Compras!$X$93=""),"","1041")</f>
        <v/>
      </c>
      <c r="D812" t="str">
        <f>IF(OR(Registro_Compras!$C$93="",Registro_Compras!$O$93=""),"","Efectivo y Equivalentes - Cta. Cte. Operativa")</f>
        <v>Efectivo y Equivalentes - Cta. Cte. Operativa</v>
      </c>
      <c r="E812" s="20" t="str">
        <f>""</f>
        <v/>
      </c>
      <c r="F812" s="20" t="str">
        <f>IF($C812="","",Registro_Compras!$S$93)</f>
        <v/>
      </c>
      <c r="G812" t="str">
        <f>IF($C812="","","Por el deposito de la detraccion en el Banco de la Nacion")</f>
        <v/>
      </c>
      <c r="H812" t="str">
        <f>IF($C812="","",Registro_Compras!$C$93)</f>
        <v/>
      </c>
    </row>
    <row r="813" spans="1:8" x14ac:dyDescent="0.25">
      <c r="A813" s="25" t="str">
        <f>IF($C813="","",Registro_Compras!$Y$93)</f>
        <v/>
      </c>
      <c r="B813" t="str">
        <f>IF($C813="","","C"&amp;TEXT(INT((ROW()-5)/9)+1,"000")&amp;"-4")</f>
        <v/>
      </c>
      <c r="C813" t="str">
        <f>IF(OR(Registro_Compras!$C$93="",Registro_Compras!$O$93="",Registro_Compras!$Y$93="",Registro_Compras!$F$93="NOTA DE CREDITO"),"","4212")</f>
        <v/>
      </c>
      <c r="D813" t="str">
        <f>IF(OR(Registro_Compras!$C$93="",Registro_Compras!$O$93=""),"","Cuentas por Pagar Comerciales - Terceros")</f>
        <v>Cuentas por Pagar Comerciales - Terceros</v>
      </c>
      <c r="E813" s="20" t="str">
        <f>IF($C813="","",IF(Registro_Compras!$F$93="RHE",(ROUND(Registro_Compras!$L$93*Registro_Compras!$N$93,2)-ROUND(Registro_Compras!$V$93*Registro_Compras!$N$93,2)),ROUND(Registro_Compras!$O$93-Registro_Compras!$S$93,2)))</f>
        <v/>
      </c>
      <c r="F813" s="20" t="str">
        <f>""</f>
        <v/>
      </c>
      <c r="G813" t="str">
        <f>IF($C813="","","Por la cancelacion del saldo al proveedor")</f>
        <v/>
      </c>
      <c r="H813" t="str">
        <f>IF($C813="","",Registro_Compras!$C$93)</f>
        <v/>
      </c>
    </row>
    <row r="814" spans="1:8" x14ac:dyDescent="0.25">
      <c r="A814" s="25" t="str">
        <f>IF($C814="","",Registro_Compras!$Y$93)</f>
        <v/>
      </c>
      <c r="B814" t="str">
        <f>IF($C814="","","C"&amp;TEXT(INT((ROW()-5)/9)+1,"000")&amp;"-4")</f>
        <v/>
      </c>
      <c r="C814" t="str">
        <f>IF(OR(Registro_Compras!$C$93="",Registro_Compras!$O$93="",Registro_Compras!$Y$93="",Registro_Compras!$F$93="NOTA DE CREDITO"),"","1041")</f>
        <v/>
      </c>
      <c r="D814" t="str">
        <f>IF(OR(Registro_Compras!$C$93="",Registro_Compras!$O$93=""),"","Efectivo y Equivalentes - Cta. Cte. Operativa")</f>
        <v>Efectivo y Equivalentes - Cta. Cte. Operativa</v>
      </c>
      <c r="E814" s="20" t="str">
        <f>""</f>
        <v/>
      </c>
      <c r="F814" s="20" t="str">
        <f>IF($C814="","",IF(Registro_Compras!$F$93="RHE",(ROUND(Registro_Compras!$L$93*Registro_Compras!$N$93,2)-ROUND(Registro_Compras!$V$93*Registro_Compras!$N$93,2)),ROUND(Registro_Compras!$O$93-Registro_Compras!$S$93,2)))</f>
        <v/>
      </c>
      <c r="G814" t="str">
        <f>IF($C814="","","Por la cancelacion del saldo al proveedor")</f>
        <v/>
      </c>
      <c r="H814" t="str">
        <f>IF($C814="","",Registro_Compras!$C$93)</f>
        <v/>
      </c>
    </row>
    <row r="815" spans="1:8" x14ac:dyDescent="0.25">
      <c r="A815" s="25">
        <f>IF($C815="","",Registro_Compras!$B$94)</f>
        <v>46247</v>
      </c>
      <c r="B815" t="str">
        <f>IF($C815="","","C"&amp;TEXT(INT((ROW()-5)/9)+1,"000")&amp;"-1")</f>
        <v>C091-1</v>
      </c>
      <c r="C815" t="str">
        <f>IF(OR(Registro_Compras!$C$94="",Registro_Compras!$O$94=""),"",IF(Registro_Compras!$F$94="NOTA DE CREDITO","4212",IF(Registro_Compras!$M$94="","63",Registro_Compras!$M$94)))</f>
        <v>639</v>
      </c>
      <c r="D815" t="str">
        <f>IF(OR(Registro_Compras!$C$94="",Registro_Compras!$O$94=""),"",IF(Registro_Compras!$F$94="NOTA DE CREDITO","Cuentas por Pagar Comerciales - Terceros (Emitidas)",IF(Registro_Compras!$F$94="RHE","Honorarios Profesionales - Servicios de Terceros","Gastos de Servicios Prestados por Terceros")))</f>
        <v>Gastos de Servicios Prestados por Terceros</v>
      </c>
      <c r="E815" s="20">
        <f>IF($C815="","",IF(Registro_Compras!$F$94="NOTA DE CREDITO",ABS(Registro_Compras!$O$94),IF(Registro_Compras!$F$94="RHE",ROUND(Registro_Compras!$L$94*Registro_Compras!$N$94,2),ROUND(Registro_Compras!$J$94*Registro_Compras!$N$94,2))))</f>
        <v>159.27000000000001</v>
      </c>
      <c r="F815" s="20" t="str">
        <f>""</f>
        <v/>
      </c>
      <c r="G815" t="str">
        <f>IF($C815="","",IF(Registro_Compras!$F$94="NOTA DE CREDITO","Por la nota de credito "&amp;Registro_Compras!$C$94&amp;" de "&amp;Registro_Compras!$E$94&amp;" [PATRON POR CONFIRMAR CON CONTADOR]",IF(Registro_Compras!$F$94="RHE","Por el registro del recibo por honorarios "&amp;Registro_Compras!$C$94&amp;" de "&amp;Registro_Compras!$E$94&amp;" [PATRON POR CONFIRMAR CON CONTADOR]","Por el registro de la factura "&amp;Registro_Compras!$C$94&amp;" de "&amp;Registro_Compras!$E$94)))</f>
        <v>Por el registro de la factura F006-00003137 de HOTELES LA HACIENDA S.A.C.</v>
      </c>
      <c r="H815" t="str">
        <f>IF($C815="","",Registro_Compras!$C$94)</f>
        <v>F006-00003137</v>
      </c>
    </row>
    <row r="816" spans="1:8" x14ac:dyDescent="0.25">
      <c r="A816" s="25">
        <f>IF($C816="","",Registro_Compras!$B$94)</f>
        <v>46247</v>
      </c>
      <c r="B816" t="str">
        <f>IF($C816="","","C"&amp;TEXT(INT((ROW()-5)/9)+1,"000")&amp;"-1")</f>
        <v>C091-1</v>
      </c>
      <c r="C816" t="str">
        <f>IF(OR(Registro_Compras!$C$94="",Registro_Compras!$O$94=""),"",IF(Registro_Compras!$F$94="RHE",IF(Registro_Compras!$V$94=0,"","4017"),IF(Registro_Compras!$F$94="NOTA DE CREDITO",IF(Registro_Compras!$M$94="","63",Registro_Compras!$M$94),IF(Registro_Compras!$K$94=0,"","40111"))))</f>
        <v>40111</v>
      </c>
      <c r="D816" t="str">
        <f>IF(OR(Registro_Compras!$C$94="",Registro_Compras!$O$94=""),"",IF(Registro_Compras!$F$94="RHE","Retencion Renta 4ta Categoria por Pagar",IF(Registro_Compras!$F$94="NOTA DE CREDITO","Gastos de Servicios Prestados por Terceros","IGV - Cuenta Propia (Credito Fiscal)")))</f>
        <v>IGV - Cuenta Propia (Credito Fiscal)</v>
      </c>
      <c r="E816" s="20">
        <f>IF($C816="","",IF(Registro_Compras!$F$94="FACTURA",ROUND(Registro_Compras!$K$94*Registro_Compras!$N$94,2),""))</f>
        <v>28.67</v>
      </c>
      <c r="F816" s="20" t="str">
        <f>IF($C816="","",IF(Registro_Compras!$F$94="RHE",ROUND(Registro_Compras!$V$94*Registro_Compras!$N$94,2),IF(Registro_Compras!$F$94="NOTA DE CREDITO",ROUND(ABS(Registro_Compras!$J$94*Registro_Compras!$N$94),2),"")))</f>
        <v/>
      </c>
      <c r="G816" t="str">
        <f>IF($C816="","",IF(Registro_Compras!$F$94="NOTA DE CREDITO","Por la nota de credito "&amp;Registro_Compras!$C$94&amp;" de "&amp;Registro_Compras!$E$94&amp;" [PATRON POR CONFIRMAR CON CONTADOR]",IF(Registro_Compras!$F$94="RHE","Por el registro del recibo por honorarios "&amp;Registro_Compras!$C$94&amp;" de "&amp;Registro_Compras!$E$94&amp;" [PATRON POR CONFIRMAR CON CONTADOR]","Por el registro de la factura "&amp;Registro_Compras!$C$94&amp;" de "&amp;Registro_Compras!$E$94)))</f>
        <v>Por el registro de la factura F006-00003137 de HOTELES LA HACIENDA S.A.C.</v>
      </c>
      <c r="H816" t="str">
        <f>IF($C816="","",Registro_Compras!$C$94)</f>
        <v>F006-00003137</v>
      </c>
    </row>
    <row r="817" spans="1:8" x14ac:dyDescent="0.25">
      <c r="A817" s="25">
        <f>IF($C817="","",Registro_Compras!$B$94)</f>
        <v>46247</v>
      </c>
      <c r="B817" t="str">
        <f>IF($C817="","","C"&amp;TEXT(INT((ROW()-5)/9)+1,"000")&amp;"-1")</f>
        <v>C091-1</v>
      </c>
      <c r="C817" t="str">
        <f>IF(OR(Registro_Compras!$C$94="",Registro_Compras!$O$94=""),"",IF(Registro_Compras!$F$94="NOTA DE CREDITO",IF(Registro_Compras!$K$94=0,"","40111"),"4212"))</f>
        <v>4212</v>
      </c>
      <c r="D817" t="str">
        <f>IF(OR(Registro_Compras!$C$94="",Registro_Compras!$O$94=""),"",IF(Registro_Compras!$F$94="NOTA DE CREDITO","IGV - Cuenta Propia (Credito Fiscal)","Cuentas por Pagar Comerciales - Terceros (Emitidas)"))</f>
        <v>Cuentas por Pagar Comerciales - Terceros (Emitidas)</v>
      </c>
      <c r="E817" s="20" t="str">
        <f>""</f>
        <v/>
      </c>
      <c r="F817" s="20">
        <f>IF($C817="","",IF(Registro_Compras!$F$94="NOTA DE CREDITO",ROUND(ABS(Registro_Compras!$K$94*Registro_Compras!$N$94),2),IF(Registro_Compras!$F$94="RHE",(ROUND(Registro_Compras!$L$94*Registro_Compras!$N$94,2)-ROUND(Registro_Compras!$V$94*Registro_Compras!$N$94,2)),Registro_Compras!$O$94)))</f>
        <v>187.94</v>
      </c>
      <c r="G817" t="str">
        <f>IF($C817="","",IF(Registro_Compras!$F$94="NOTA DE CREDITO","Por la nota de credito "&amp;Registro_Compras!$C$94&amp;" de "&amp;Registro_Compras!$E$94&amp;" [PATRON POR CONFIRMAR CON CONTADOR]",IF(Registro_Compras!$F$94="RHE","Por el registro del recibo por honorarios "&amp;Registro_Compras!$C$94&amp;" de "&amp;Registro_Compras!$E$94&amp;" [PATRON POR CONFIRMAR CON CONTADOR]","Por el registro de la factura "&amp;Registro_Compras!$C$94&amp;" de "&amp;Registro_Compras!$E$94)))</f>
        <v>Por el registro de la factura F006-00003137 de HOTELES LA HACIENDA S.A.C.</v>
      </c>
      <c r="H817" t="str">
        <f>IF($C817="","",Registro_Compras!$C$94)</f>
        <v>F006-00003137</v>
      </c>
    </row>
    <row r="818" spans="1:8" x14ac:dyDescent="0.25">
      <c r="A818" s="25">
        <f>IF($C818="","",Registro_Compras!$B$94)</f>
        <v>46247</v>
      </c>
      <c r="B818" t="str">
        <f>IF($C818="","","C"&amp;TEXT(INT((ROW()-5)/9)+1,"000")&amp;"-2")</f>
        <v>C091-2</v>
      </c>
      <c r="C818" t="str">
        <f>IF(OR(Registro_Compras!$C$94="",Registro_Compras!$O$94=""),"",IF(Registro_Compras!$AB$94="ADMINISTRATIVO","94","95"))</f>
        <v>95</v>
      </c>
      <c r="D818" t="str">
        <f>IF(OR(Registro_Compras!$C$94="",Registro_Compras!$O$94=""),"",IF(Registro_Compras!$AB$94="ADMINISTRATIVO","Gastos Administrativos","Gastos de Venta y Operacion"))</f>
        <v>Gastos de Venta y Operacion</v>
      </c>
      <c r="E818" s="20">
        <f>IF($C818="","",IF(Registro_Compras!$F$94="NOTA DE CREDITO","",IF(Registro_Compras!$F$94="RHE",ROUND(Registro_Compras!$L$94*Registro_Compras!$N$94,2),ROUND(Registro_Compras!$J$94*Registro_Compras!$N$94,2))))</f>
        <v>159.27000000000001</v>
      </c>
      <c r="F818" s="20" t="str">
        <f>IF($C818="","",IF(Registro_Compras!$F$94="NOTA DE CREDITO",ROUND(ABS(Registro_Compras!$J$94*Registro_Compras!$N$94),2),""))</f>
        <v/>
      </c>
      <c r="G818" t="str">
        <f>IF($C818="","","Por el destino del gasto")</f>
        <v>Por el destino del gasto</v>
      </c>
      <c r="H818" t="str">
        <f>IF($C818="","",Registro_Compras!$C$94)</f>
        <v>F006-00003137</v>
      </c>
    </row>
    <row r="819" spans="1:8" x14ac:dyDescent="0.25">
      <c r="A819" s="25">
        <f>IF($C819="","",Registro_Compras!$B$94)</f>
        <v>46247</v>
      </c>
      <c r="B819" t="str">
        <f>IF($C819="","","C"&amp;TEXT(INT((ROW()-5)/9)+1,"000")&amp;"-2")</f>
        <v>C091-2</v>
      </c>
      <c r="C819" t="str">
        <f>IF(OR(Registro_Compras!$C$94="",Registro_Compras!$O$94=""),"","79/791")</f>
        <v>79/791</v>
      </c>
      <c r="D819" t="str">
        <f>IF(OR(Registro_Compras!$C$94="",Registro_Compras!$O$94=""),"","Cargas Imputables a Cuentas de Costos y Gastos")</f>
        <v>Cargas Imputables a Cuentas de Costos y Gastos</v>
      </c>
      <c r="E819" s="20" t="str">
        <f>IF($C819="","",IF(Registro_Compras!$F$94="NOTA DE CREDITO",ROUND(ABS(Registro_Compras!$J$94*Registro_Compras!$N$94),2),""))</f>
        <v/>
      </c>
      <c r="F819" s="20">
        <f>IF($C819="","",IF(Registro_Compras!$F$94="NOTA DE CREDITO","",IF(Registro_Compras!$F$94="RHE",ROUND(Registro_Compras!$L$94*Registro_Compras!$N$94,2),ROUND(Registro_Compras!$J$94*Registro_Compras!$N$94,2))))</f>
        <v>159.27000000000001</v>
      </c>
      <c r="G819" t="str">
        <f>IF($C819="","","Por el destino del gasto")</f>
        <v>Por el destino del gasto</v>
      </c>
      <c r="H819" t="str">
        <f>IF($C819="","",Registro_Compras!$C$94)</f>
        <v>F006-00003137</v>
      </c>
    </row>
    <row r="820" spans="1:8" x14ac:dyDescent="0.25">
      <c r="A820" s="25" t="str">
        <f>IF($C820="","",Registro_Compras!$X$94)</f>
        <v/>
      </c>
      <c r="B820" t="str">
        <f>IF($C820="","","C"&amp;TEXT(INT((ROW()-5)/9)+1,"000")&amp;"-3")</f>
        <v/>
      </c>
      <c r="C820" t="str">
        <f>IF(OR(Registro_Compras!$C$94="",Registro_Compras!$O$94="",Registro_Compras!$R$94&lt;&gt;"SI",Registro_Compras!$X$94=""),"","4212")</f>
        <v/>
      </c>
      <c r="D820" t="str">
        <f>IF(OR(Registro_Compras!$C$94="",Registro_Compras!$O$94=""),"","Cuentas por Pagar Comerciales - Terceros")</f>
        <v>Cuentas por Pagar Comerciales - Terceros</v>
      </c>
      <c r="E820" s="20" t="str">
        <f>IF($C820="","",Registro_Compras!$S$94)</f>
        <v/>
      </c>
      <c r="F820" s="20" t="str">
        <f>""</f>
        <v/>
      </c>
      <c r="G820" t="str">
        <f>IF($C820="","","Por el deposito de la detraccion en el Banco de la Nacion")</f>
        <v/>
      </c>
      <c r="H820" t="str">
        <f>IF($C820="","",Registro_Compras!$C$94)</f>
        <v/>
      </c>
    </row>
    <row r="821" spans="1:8" x14ac:dyDescent="0.25">
      <c r="A821" s="25" t="str">
        <f>IF($C821="","",Registro_Compras!$X$94)</f>
        <v/>
      </c>
      <c r="B821" t="str">
        <f>IF($C821="","","C"&amp;TEXT(INT((ROW()-5)/9)+1,"000")&amp;"-3")</f>
        <v/>
      </c>
      <c r="C821" t="str">
        <f>IF(OR(Registro_Compras!$C$94="",Registro_Compras!$O$94="",Registro_Compras!$R$94&lt;&gt;"SI",Registro_Compras!$X$94=""),"","1041")</f>
        <v/>
      </c>
      <c r="D821" t="str">
        <f>IF(OR(Registro_Compras!$C$94="",Registro_Compras!$O$94=""),"","Efectivo y Equivalentes - Cta. Cte. Operativa")</f>
        <v>Efectivo y Equivalentes - Cta. Cte. Operativa</v>
      </c>
      <c r="E821" s="20" t="str">
        <f>""</f>
        <v/>
      </c>
      <c r="F821" s="20" t="str">
        <f>IF($C821="","",Registro_Compras!$S$94)</f>
        <v/>
      </c>
      <c r="G821" t="str">
        <f>IF($C821="","","Por el deposito de la detraccion en el Banco de la Nacion")</f>
        <v/>
      </c>
      <c r="H821" t="str">
        <f>IF($C821="","",Registro_Compras!$C$94)</f>
        <v/>
      </c>
    </row>
    <row r="822" spans="1:8" x14ac:dyDescent="0.25">
      <c r="A822" s="25" t="str">
        <f>IF($C822="","",Registro_Compras!$Y$94)</f>
        <v/>
      </c>
      <c r="B822" t="str">
        <f>IF($C822="","","C"&amp;TEXT(INT((ROW()-5)/9)+1,"000")&amp;"-4")</f>
        <v/>
      </c>
      <c r="C822" t="str">
        <f>IF(OR(Registro_Compras!$C$94="",Registro_Compras!$O$94="",Registro_Compras!$Y$94="",Registro_Compras!$F$94="NOTA DE CREDITO"),"","4212")</f>
        <v/>
      </c>
      <c r="D822" t="str">
        <f>IF(OR(Registro_Compras!$C$94="",Registro_Compras!$O$94=""),"","Cuentas por Pagar Comerciales - Terceros")</f>
        <v>Cuentas por Pagar Comerciales - Terceros</v>
      </c>
      <c r="E822" s="20" t="str">
        <f>IF($C822="","",IF(Registro_Compras!$F$94="RHE",(ROUND(Registro_Compras!$L$94*Registro_Compras!$N$94,2)-ROUND(Registro_Compras!$V$94*Registro_Compras!$N$94,2)),ROUND(Registro_Compras!$O$94-Registro_Compras!$S$94,2)))</f>
        <v/>
      </c>
      <c r="F822" s="20" t="str">
        <f>""</f>
        <v/>
      </c>
      <c r="G822" t="str">
        <f>IF($C822="","","Por la cancelacion del saldo al proveedor")</f>
        <v/>
      </c>
      <c r="H822" t="str">
        <f>IF($C822="","",Registro_Compras!$C$94)</f>
        <v/>
      </c>
    </row>
    <row r="823" spans="1:8" x14ac:dyDescent="0.25">
      <c r="A823" s="25" t="str">
        <f>IF($C823="","",Registro_Compras!$Y$94)</f>
        <v/>
      </c>
      <c r="B823" t="str">
        <f>IF($C823="","","C"&amp;TEXT(INT((ROW()-5)/9)+1,"000")&amp;"-4")</f>
        <v/>
      </c>
      <c r="C823" t="str">
        <f>IF(OR(Registro_Compras!$C$94="",Registro_Compras!$O$94="",Registro_Compras!$Y$94="",Registro_Compras!$F$94="NOTA DE CREDITO"),"","1041")</f>
        <v/>
      </c>
      <c r="D823" t="str">
        <f>IF(OR(Registro_Compras!$C$94="",Registro_Compras!$O$94=""),"","Efectivo y Equivalentes - Cta. Cte. Operativa")</f>
        <v>Efectivo y Equivalentes - Cta. Cte. Operativa</v>
      </c>
      <c r="E823" s="20" t="str">
        <f>""</f>
        <v/>
      </c>
      <c r="F823" s="20" t="str">
        <f>IF($C823="","",IF(Registro_Compras!$F$94="RHE",(ROUND(Registro_Compras!$L$94*Registro_Compras!$N$94,2)-ROUND(Registro_Compras!$V$94*Registro_Compras!$N$94,2)),ROUND(Registro_Compras!$O$94-Registro_Compras!$S$94,2)))</f>
        <v/>
      </c>
      <c r="G823" t="str">
        <f>IF($C823="","","Por la cancelacion del saldo al proveedor")</f>
        <v/>
      </c>
      <c r="H823" t="str">
        <f>IF($C823="","",Registro_Compras!$C$94)</f>
        <v/>
      </c>
    </row>
    <row r="824" spans="1:8" x14ac:dyDescent="0.25">
      <c r="A824" s="25">
        <f>IF($C824="","",Registro_Compras!$B$95)</f>
        <v>46253</v>
      </c>
      <c r="B824" t="str">
        <f>IF($C824="","","C"&amp;TEXT(INT((ROW()-5)/9)+1,"000")&amp;"-1")</f>
        <v>C092-1</v>
      </c>
      <c r="C824" t="str">
        <f>IF(OR(Registro_Compras!$C$95="",Registro_Compras!$O$95=""),"",IF(Registro_Compras!$F$95="NOTA DE CREDITO","4212",IF(Registro_Compras!$M$95="","63",Registro_Compras!$M$95)))</f>
        <v>639</v>
      </c>
      <c r="D824" t="str">
        <f>IF(OR(Registro_Compras!$C$95="",Registro_Compras!$O$95=""),"",IF(Registro_Compras!$F$95="NOTA DE CREDITO","Cuentas por Pagar Comerciales - Terceros (Emitidas)",IF(Registro_Compras!$F$95="RHE","Honorarios Profesionales - Servicios de Terceros","Gastos de Servicios Prestados por Terceros")))</f>
        <v>Gastos de Servicios Prestados por Terceros</v>
      </c>
      <c r="E824" s="20">
        <f>IF($C824="","",IF(Registro_Compras!$F$95="NOTA DE CREDITO",ABS(Registro_Compras!$O$95),IF(Registro_Compras!$F$95="RHE",ROUND(Registro_Compras!$L$95*Registro_Compras!$N$95,2),ROUND(Registro_Compras!$J$95*Registro_Compras!$N$95,2))))</f>
        <v>159.12</v>
      </c>
      <c r="F824" s="20" t="str">
        <f>""</f>
        <v/>
      </c>
      <c r="G824" t="str">
        <f>IF($C824="","",IF(Registro_Compras!$F$95="NOTA DE CREDITO","Por la nota de credito "&amp;Registro_Compras!$C$95&amp;" de "&amp;Registro_Compras!$E$95&amp;" [PATRON POR CONFIRMAR CON CONTADOR]",IF(Registro_Compras!$F$95="RHE","Por el registro del recibo por honorarios "&amp;Registro_Compras!$C$95&amp;" de "&amp;Registro_Compras!$E$95&amp;" [PATRON POR CONFIRMAR CON CONTADOR]","Por el registro de la factura "&amp;Registro_Compras!$C$95&amp;" de "&amp;Registro_Compras!$E$95)))</f>
        <v>Por el registro de la factura F003-00002785 de HOTELES LA HACIENDA S.A.C. (Bahia Paracas)</v>
      </c>
      <c r="H824" t="str">
        <f>IF($C824="","",Registro_Compras!$C$95)</f>
        <v>F003-00002785</v>
      </c>
    </row>
    <row r="825" spans="1:8" x14ac:dyDescent="0.25">
      <c r="A825" s="25">
        <f>IF($C825="","",Registro_Compras!$B$95)</f>
        <v>46253</v>
      </c>
      <c r="B825" t="str">
        <f>IF($C825="","","C"&amp;TEXT(INT((ROW()-5)/9)+1,"000")&amp;"-1")</f>
        <v>C092-1</v>
      </c>
      <c r="C825" t="str">
        <f>IF(OR(Registro_Compras!$C$95="",Registro_Compras!$O$95=""),"",IF(Registro_Compras!$F$95="RHE",IF(Registro_Compras!$V$95=0,"","4017"),IF(Registro_Compras!$F$95="NOTA DE CREDITO",IF(Registro_Compras!$M$95="","63",Registro_Compras!$M$95),IF(Registro_Compras!$K$95=0,"","40111"))))</f>
        <v>40111</v>
      </c>
      <c r="D825" t="str">
        <f>IF(OR(Registro_Compras!$C$95="",Registro_Compras!$O$95=""),"",IF(Registro_Compras!$F$95="RHE","Retencion Renta 4ta Categoria por Pagar",IF(Registro_Compras!$F$95="NOTA DE CREDITO","Gastos de Servicios Prestados por Terceros","IGV - Cuenta Propia (Credito Fiscal)")))</f>
        <v>IGV - Cuenta Propia (Credito Fiscal)</v>
      </c>
      <c r="E825" s="20">
        <f>IF($C825="","",IF(Registro_Compras!$F$95="FACTURA",ROUND(Registro_Compras!$K$95*Registro_Compras!$N$95,2),""))</f>
        <v>28.64</v>
      </c>
      <c r="F825" s="20" t="str">
        <f>IF($C825="","",IF(Registro_Compras!$F$95="RHE",ROUND(Registro_Compras!$V$95*Registro_Compras!$N$95,2),IF(Registro_Compras!$F$95="NOTA DE CREDITO",ROUND(ABS(Registro_Compras!$J$95*Registro_Compras!$N$95),2),"")))</f>
        <v/>
      </c>
      <c r="G825" t="str">
        <f>IF($C825="","",IF(Registro_Compras!$F$95="NOTA DE CREDITO","Por la nota de credito "&amp;Registro_Compras!$C$95&amp;" de "&amp;Registro_Compras!$E$95&amp;" [PATRON POR CONFIRMAR CON CONTADOR]",IF(Registro_Compras!$F$95="RHE","Por el registro del recibo por honorarios "&amp;Registro_Compras!$C$95&amp;" de "&amp;Registro_Compras!$E$95&amp;" [PATRON POR CONFIRMAR CON CONTADOR]","Por el registro de la factura "&amp;Registro_Compras!$C$95&amp;" de "&amp;Registro_Compras!$E$95)))</f>
        <v>Por el registro de la factura F003-00002785 de HOTELES LA HACIENDA S.A.C. (Bahia Paracas)</v>
      </c>
      <c r="H825" t="str">
        <f>IF($C825="","",Registro_Compras!$C$95)</f>
        <v>F003-00002785</v>
      </c>
    </row>
    <row r="826" spans="1:8" x14ac:dyDescent="0.25">
      <c r="A826" s="25">
        <f>IF($C826="","",Registro_Compras!$B$95)</f>
        <v>46253</v>
      </c>
      <c r="B826" t="str">
        <f>IF($C826="","","C"&amp;TEXT(INT((ROW()-5)/9)+1,"000")&amp;"-1")</f>
        <v>C092-1</v>
      </c>
      <c r="C826" t="str">
        <f>IF(OR(Registro_Compras!$C$95="",Registro_Compras!$O$95=""),"",IF(Registro_Compras!$F$95="NOTA DE CREDITO",IF(Registro_Compras!$K$95=0,"","40111"),"4212"))</f>
        <v>4212</v>
      </c>
      <c r="D826" t="str">
        <f>IF(OR(Registro_Compras!$C$95="",Registro_Compras!$O$95=""),"",IF(Registro_Compras!$F$95="NOTA DE CREDITO","IGV - Cuenta Propia (Credito Fiscal)","Cuentas por Pagar Comerciales - Terceros (Emitidas)"))</f>
        <v>Cuentas por Pagar Comerciales - Terceros (Emitidas)</v>
      </c>
      <c r="E826" s="20" t="str">
        <f>""</f>
        <v/>
      </c>
      <c r="F826" s="20">
        <f>IF($C826="","",IF(Registro_Compras!$F$95="NOTA DE CREDITO",ROUND(ABS(Registro_Compras!$K$95*Registro_Compras!$N$95),2),IF(Registro_Compras!$F$95="RHE",(ROUND(Registro_Compras!$L$95*Registro_Compras!$N$95,2)-ROUND(Registro_Compras!$V$95*Registro_Compras!$N$95,2)),Registro_Compras!$O$95)))</f>
        <v>187.76</v>
      </c>
      <c r="G826" t="str">
        <f>IF($C826="","",IF(Registro_Compras!$F$95="NOTA DE CREDITO","Por la nota de credito "&amp;Registro_Compras!$C$95&amp;" de "&amp;Registro_Compras!$E$95&amp;" [PATRON POR CONFIRMAR CON CONTADOR]",IF(Registro_Compras!$F$95="RHE","Por el registro del recibo por honorarios "&amp;Registro_Compras!$C$95&amp;" de "&amp;Registro_Compras!$E$95&amp;" [PATRON POR CONFIRMAR CON CONTADOR]","Por el registro de la factura "&amp;Registro_Compras!$C$95&amp;" de "&amp;Registro_Compras!$E$95)))</f>
        <v>Por el registro de la factura F003-00002785 de HOTELES LA HACIENDA S.A.C. (Bahia Paracas)</v>
      </c>
      <c r="H826" t="str">
        <f>IF($C826="","",Registro_Compras!$C$95)</f>
        <v>F003-00002785</v>
      </c>
    </row>
    <row r="827" spans="1:8" x14ac:dyDescent="0.25">
      <c r="A827" s="25">
        <f>IF($C827="","",Registro_Compras!$B$95)</f>
        <v>46253</v>
      </c>
      <c r="B827" t="str">
        <f>IF($C827="","","C"&amp;TEXT(INT((ROW()-5)/9)+1,"000")&amp;"-2")</f>
        <v>C092-2</v>
      </c>
      <c r="C827" t="str">
        <f>IF(OR(Registro_Compras!$C$95="",Registro_Compras!$O$95=""),"",IF(Registro_Compras!$AB$95="ADMINISTRATIVO","94","95"))</f>
        <v>95</v>
      </c>
      <c r="D827" t="str">
        <f>IF(OR(Registro_Compras!$C$95="",Registro_Compras!$O$95=""),"",IF(Registro_Compras!$AB$95="ADMINISTRATIVO","Gastos Administrativos","Gastos de Venta y Operacion"))</f>
        <v>Gastos de Venta y Operacion</v>
      </c>
      <c r="E827" s="20">
        <f>IF($C827="","",IF(Registro_Compras!$F$95="NOTA DE CREDITO","",IF(Registro_Compras!$F$95="RHE",ROUND(Registro_Compras!$L$95*Registro_Compras!$N$95,2),ROUND(Registro_Compras!$J$95*Registro_Compras!$N$95,2))))</f>
        <v>159.12</v>
      </c>
      <c r="F827" s="20" t="str">
        <f>IF($C827="","",IF(Registro_Compras!$F$95="NOTA DE CREDITO",ROUND(ABS(Registro_Compras!$J$95*Registro_Compras!$N$95),2),""))</f>
        <v/>
      </c>
      <c r="G827" t="str">
        <f>IF($C827="","","Por el destino del gasto")</f>
        <v>Por el destino del gasto</v>
      </c>
      <c r="H827" t="str">
        <f>IF($C827="","",Registro_Compras!$C$95)</f>
        <v>F003-00002785</v>
      </c>
    </row>
    <row r="828" spans="1:8" x14ac:dyDescent="0.25">
      <c r="A828" s="25">
        <f>IF($C828="","",Registro_Compras!$B$95)</f>
        <v>46253</v>
      </c>
      <c r="B828" t="str">
        <f>IF($C828="","","C"&amp;TEXT(INT((ROW()-5)/9)+1,"000")&amp;"-2")</f>
        <v>C092-2</v>
      </c>
      <c r="C828" t="str">
        <f>IF(OR(Registro_Compras!$C$95="",Registro_Compras!$O$95=""),"","79/791")</f>
        <v>79/791</v>
      </c>
      <c r="D828" t="str">
        <f>IF(OR(Registro_Compras!$C$95="",Registro_Compras!$O$95=""),"","Cargas Imputables a Cuentas de Costos y Gastos")</f>
        <v>Cargas Imputables a Cuentas de Costos y Gastos</v>
      </c>
      <c r="E828" s="20" t="str">
        <f>IF($C828="","",IF(Registro_Compras!$F$95="NOTA DE CREDITO",ROUND(ABS(Registro_Compras!$J$95*Registro_Compras!$N$95),2),""))</f>
        <v/>
      </c>
      <c r="F828" s="20">
        <f>IF($C828="","",IF(Registro_Compras!$F$95="NOTA DE CREDITO","",IF(Registro_Compras!$F$95="RHE",ROUND(Registro_Compras!$L$95*Registro_Compras!$N$95,2),ROUND(Registro_Compras!$J$95*Registro_Compras!$N$95,2))))</f>
        <v>159.12</v>
      </c>
      <c r="G828" t="str">
        <f>IF($C828="","","Por el destino del gasto")</f>
        <v>Por el destino del gasto</v>
      </c>
      <c r="H828" t="str">
        <f>IF($C828="","",Registro_Compras!$C$95)</f>
        <v>F003-00002785</v>
      </c>
    </row>
    <row r="829" spans="1:8" x14ac:dyDescent="0.25">
      <c r="A829" s="25" t="str">
        <f>IF($C829="","",Registro_Compras!$X$95)</f>
        <v/>
      </c>
      <c r="B829" t="str">
        <f>IF($C829="","","C"&amp;TEXT(INT((ROW()-5)/9)+1,"000")&amp;"-3")</f>
        <v/>
      </c>
      <c r="C829" t="str">
        <f>IF(OR(Registro_Compras!$C$95="",Registro_Compras!$O$95="",Registro_Compras!$R$95&lt;&gt;"SI",Registro_Compras!$X$95=""),"","4212")</f>
        <v/>
      </c>
      <c r="D829" t="str">
        <f>IF(OR(Registro_Compras!$C$95="",Registro_Compras!$O$95=""),"","Cuentas por Pagar Comerciales - Terceros")</f>
        <v>Cuentas por Pagar Comerciales - Terceros</v>
      </c>
      <c r="E829" s="20" t="str">
        <f>IF($C829="","",Registro_Compras!$S$95)</f>
        <v/>
      </c>
      <c r="F829" s="20" t="str">
        <f>""</f>
        <v/>
      </c>
      <c r="G829" t="str">
        <f>IF($C829="","","Por el deposito de la detraccion en el Banco de la Nacion")</f>
        <v/>
      </c>
      <c r="H829" t="str">
        <f>IF($C829="","",Registro_Compras!$C$95)</f>
        <v/>
      </c>
    </row>
    <row r="830" spans="1:8" x14ac:dyDescent="0.25">
      <c r="A830" s="25" t="str">
        <f>IF($C830="","",Registro_Compras!$X$95)</f>
        <v/>
      </c>
      <c r="B830" t="str">
        <f>IF($C830="","","C"&amp;TEXT(INT((ROW()-5)/9)+1,"000")&amp;"-3")</f>
        <v/>
      </c>
      <c r="C830" t="str">
        <f>IF(OR(Registro_Compras!$C$95="",Registro_Compras!$O$95="",Registro_Compras!$R$95&lt;&gt;"SI",Registro_Compras!$X$95=""),"","1041")</f>
        <v/>
      </c>
      <c r="D830" t="str">
        <f>IF(OR(Registro_Compras!$C$95="",Registro_Compras!$O$95=""),"","Efectivo y Equivalentes - Cta. Cte. Operativa")</f>
        <v>Efectivo y Equivalentes - Cta. Cte. Operativa</v>
      </c>
      <c r="E830" s="20" t="str">
        <f>""</f>
        <v/>
      </c>
      <c r="F830" s="20" t="str">
        <f>IF($C830="","",Registro_Compras!$S$95)</f>
        <v/>
      </c>
      <c r="G830" t="str">
        <f>IF($C830="","","Por el deposito de la detraccion en el Banco de la Nacion")</f>
        <v/>
      </c>
      <c r="H830" t="str">
        <f>IF($C830="","",Registro_Compras!$C$95)</f>
        <v/>
      </c>
    </row>
    <row r="831" spans="1:8" x14ac:dyDescent="0.25">
      <c r="A831" s="25" t="str">
        <f>IF($C831="","",Registro_Compras!$Y$95)</f>
        <v/>
      </c>
      <c r="B831" t="str">
        <f>IF($C831="","","C"&amp;TEXT(INT((ROW()-5)/9)+1,"000")&amp;"-4")</f>
        <v/>
      </c>
      <c r="C831" t="str">
        <f>IF(OR(Registro_Compras!$C$95="",Registro_Compras!$O$95="",Registro_Compras!$Y$95="",Registro_Compras!$F$95="NOTA DE CREDITO"),"","4212")</f>
        <v/>
      </c>
      <c r="D831" t="str">
        <f>IF(OR(Registro_Compras!$C$95="",Registro_Compras!$O$95=""),"","Cuentas por Pagar Comerciales - Terceros")</f>
        <v>Cuentas por Pagar Comerciales - Terceros</v>
      </c>
      <c r="E831" s="20" t="str">
        <f>IF($C831="","",IF(Registro_Compras!$F$95="RHE",(ROUND(Registro_Compras!$L$95*Registro_Compras!$N$95,2)-ROUND(Registro_Compras!$V$95*Registro_Compras!$N$95,2)),ROUND(Registro_Compras!$O$95-Registro_Compras!$S$95,2)))</f>
        <v/>
      </c>
      <c r="F831" s="20" t="str">
        <f>""</f>
        <v/>
      </c>
      <c r="G831" t="str">
        <f>IF($C831="","","Por la cancelacion del saldo al proveedor")</f>
        <v/>
      </c>
      <c r="H831" t="str">
        <f>IF($C831="","",Registro_Compras!$C$95)</f>
        <v/>
      </c>
    </row>
    <row r="832" spans="1:8" x14ac:dyDescent="0.25">
      <c r="A832" s="25" t="str">
        <f>IF($C832="","",Registro_Compras!$Y$95)</f>
        <v/>
      </c>
      <c r="B832" t="str">
        <f>IF($C832="","","C"&amp;TEXT(INT((ROW()-5)/9)+1,"000")&amp;"-4")</f>
        <v/>
      </c>
      <c r="C832" t="str">
        <f>IF(OR(Registro_Compras!$C$95="",Registro_Compras!$O$95="",Registro_Compras!$Y$95="",Registro_Compras!$F$95="NOTA DE CREDITO"),"","1041")</f>
        <v/>
      </c>
      <c r="D832" t="str">
        <f>IF(OR(Registro_Compras!$C$95="",Registro_Compras!$O$95=""),"","Efectivo y Equivalentes - Cta. Cte. Operativa")</f>
        <v>Efectivo y Equivalentes - Cta. Cte. Operativa</v>
      </c>
      <c r="E832" s="20" t="str">
        <f>""</f>
        <v/>
      </c>
      <c r="F832" s="20" t="str">
        <f>IF($C832="","",IF(Registro_Compras!$F$95="RHE",(ROUND(Registro_Compras!$L$95*Registro_Compras!$N$95,2)-ROUND(Registro_Compras!$V$95*Registro_Compras!$N$95,2)),ROUND(Registro_Compras!$O$95-Registro_Compras!$S$95,2)))</f>
        <v/>
      </c>
      <c r="G832" t="str">
        <f>IF($C832="","","Por la cancelacion del saldo al proveedor")</f>
        <v/>
      </c>
      <c r="H832" t="str">
        <f>IF($C832="","",Registro_Compras!$C$95)</f>
        <v/>
      </c>
    </row>
    <row r="833" spans="1:8" x14ac:dyDescent="0.25">
      <c r="A833" s="25">
        <f>IF($C833="","",Registro_Compras!$B$96)</f>
        <v>46250</v>
      </c>
      <c r="B833" t="str">
        <f>IF($C833="","","C"&amp;TEXT(INT((ROW()-5)/9)+1,"000")&amp;"-1")</f>
        <v>C093-1</v>
      </c>
      <c r="C833" t="str">
        <f>IF(OR(Registro_Compras!$C$96="",Registro_Compras!$O$96=""),"",IF(Registro_Compras!$F$96="NOTA DE CREDITO","4212",IF(Registro_Compras!$M$96="","63",Registro_Compras!$M$96)))</f>
        <v>4212</v>
      </c>
      <c r="D833" t="str">
        <f>IF(OR(Registro_Compras!$C$96="",Registro_Compras!$O$96=""),"",IF(Registro_Compras!$F$96="NOTA DE CREDITO","Cuentas por Pagar Comerciales - Terceros (Emitidas)",IF(Registro_Compras!$F$96="RHE","Honorarios Profesionales - Servicios de Terceros","Gastos de Servicios Prestados por Terceros")))</f>
        <v>Cuentas por Pagar Comerciales - Terceros (Emitidas)</v>
      </c>
      <c r="E833" s="20">
        <f>IF($C833="","",IF(Registro_Compras!$F$96="NOTA DE CREDITO",ABS(Registro_Compras!$O$96),IF(Registro_Compras!$F$96="RHE",ROUND(Registro_Compras!$L$96*Registro_Compras!$N$96,2),ROUND(Registro_Compras!$J$96*Registro_Compras!$N$96,2))))</f>
        <v>2528.25</v>
      </c>
      <c r="F833" s="20" t="str">
        <f>""</f>
        <v/>
      </c>
      <c r="G833" t="str">
        <f>IF($C833="","",IF(Registro_Compras!$F$96="NOTA DE CREDITO","Por la nota de credito "&amp;Registro_Compras!$C$96&amp;" de "&amp;Registro_Compras!$E$96&amp;" [PATRON POR CONFIRMAR CON CONTADOR]",IF(Registro_Compras!$F$96="RHE","Por el registro del recibo por honorarios "&amp;Registro_Compras!$C$96&amp;" de "&amp;Registro_Compras!$E$96&amp;" [PATRON POR CONFIRMAR CON CONTADOR]","Por el registro de la factura "&amp;Registro_Compras!$C$96&amp;" de "&amp;Registro_Compras!$E$96)))</f>
        <v>Por la nota de credito FC01-00001238 de INVERSIONES TRES POR OCHO S.A.C. (LAS QOLQAS) [PATRON POR CONFIRMAR CON CONTADOR]</v>
      </c>
      <c r="H833" t="str">
        <f>IF($C833="","",Registro_Compras!$C$96)</f>
        <v>FC01-00001238</v>
      </c>
    </row>
    <row r="834" spans="1:8" x14ac:dyDescent="0.25">
      <c r="A834" s="25">
        <f>IF($C834="","",Registro_Compras!$B$96)</f>
        <v>46250</v>
      </c>
      <c r="B834" t="str">
        <f>IF($C834="","","C"&amp;TEXT(INT((ROW()-5)/9)+1,"000")&amp;"-1")</f>
        <v>C093-1</v>
      </c>
      <c r="C834" t="str">
        <f>IF(OR(Registro_Compras!$C$96="",Registro_Compras!$O$96=""),"",IF(Registro_Compras!$F$96="RHE",IF(Registro_Compras!$V$96=0,"","4017"),IF(Registro_Compras!$F$96="NOTA DE CREDITO",IF(Registro_Compras!$M$96="","63",Registro_Compras!$M$96),IF(Registro_Compras!$K$96=0,"","40111"))))</f>
        <v>639</v>
      </c>
      <c r="D834" t="str">
        <f>IF(OR(Registro_Compras!$C$96="",Registro_Compras!$O$96=""),"",IF(Registro_Compras!$F$96="RHE","Retencion Renta 4ta Categoria por Pagar",IF(Registro_Compras!$F$96="NOTA DE CREDITO","Gastos de Servicios Prestados por Terceros","IGV - Cuenta Propia (Credito Fiscal)")))</f>
        <v>Gastos de Servicios Prestados por Terceros</v>
      </c>
      <c r="E834" s="20" t="str">
        <f>IF($C834="","",IF(Registro_Compras!$F$96="FACTURA",ROUND(Registro_Compras!$K$96*Registro_Compras!$N$96,2),""))</f>
        <v/>
      </c>
      <c r="F834" s="20">
        <f>IF($C834="","",IF(Registro_Compras!$F$96="RHE",ROUND(Registro_Compras!$V$96*Registro_Compras!$N$96,2),IF(Registro_Compras!$F$96="NOTA DE CREDITO",ROUND(ABS(Registro_Compras!$J$96*Registro_Compras!$N$96),2),"")))</f>
        <v>2288</v>
      </c>
      <c r="G834" t="str">
        <f>IF($C834="","",IF(Registro_Compras!$F$96="NOTA DE CREDITO","Por la nota de credito "&amp;Registro_Compras!$C$96&amp;" de "&amp;Registro_Compras!$E$96&amp;" [PATRON POR CONFIRMAR CON CONTADOR]",IF(Registro_Compras!$F$96="RHE","Por el registro del recibo por honorarios "&amp;Registro_Compras!$C$96&amp;" de "&amp;Registro_Compras!$E$96&amp;" [PATRON POR CONFIRMAR CON CONTADOR]","Por el registro de la factura "&amp;Registro_Compras!$C$96&amp;" de "&amp;Registro_Compras!$E$96)))</f>
        <v>Por la nota de credito FC01-00001238 de INVERSIONES TRES POR OCHO S.A.C. (LAS QOLQAS) [PATRON POR CONFIRMAR CON CONTADOR]</v>
      </c>
      <c r="H834" t="str">
        <f>IF($C834="","",Registro_Compras!$C$96)</f>
        <v>FC01-00001238</v>
      </c>
    </row>
    <row r="835" spans="1:8" x14ac:dyDescent="0.25">
      <c r="A835" s="25">
        <f>IF($C835="","",Registro_Compras!$B$96)</f>
        <v>46250</v>
      </c>
      <c r="B835" t="str">
        <f>IF($C835="","","C"&amp;TEXT(INT((ROW()-5)/9)+1,"000")&amp;"-1")</f>
        <v>C093-1</v>
      </c>
      <c r="C835" t="str">
        <f>IF(OR(Registro_Compras!$C$96="",Registro_Compras!$O$96=""),"",IF(Registro_Compras!$F$96="NOTA DE CREDITO",IF(Registro_Compras!$K$96=0,"","40111"),"4212"))</f>
        <v>40111</v>
      </c>
      <c r="D835" t="str">
        <f>IF(OR(Registro_Compras!$C$96="",Registro_Compras!$O$96=""),"",IF(Registro_Compras!$F$96="NOTA DE CREDITO","IGV - Cuenta Propia (Credito Fiscal)","Cuentas por Pagar Comerciales - Terceros (Emitidas)"))</f>
        <v>IGV - Cuenta Propia (Credito Fiscal)</v>
      </c>
      <c r="E835" s="20" t="str">
        <f>""</f>
        <v/>
      </c>
      <c r="F835" s="20">
        <f>IF($C835="","",IF(Registro_Compras!$F$96="NOTA DE CREDITO",ROUND(ABS(Registro_Compras!$K$96*Registro_Compras!$N$96),2),IF(Registro_Compras!$F$96="RHE",(ROUND(Registro_Compras!$L$96*Registro_Compras!$N$96,2)-ROUND(Registro_Compras!$V$96*Registro_Compras!$N$96,2)),Registro_Compras!$O$96)))</f>
        <v>240.25</v>
      </c>
      <c r="G835" t="str">
        <f>IF($C835="","",IF(Registro_Compras!$F$96="NOTA DE CREDITO","Por la nota de credito "&amp;Registro_Compras!$C$96&amp;" de "&amp;Registro_Compras!$E$96&amp;" [PATRON POR CONFIRMAR CON CONTADOR]",IF(Registro_Compras!$F$96="RHE","Por el registro del recibo por honorarios "&amp;Registro_Compras!$C$96&amp;" de "&amp;Registro_Compras!$E$96&amp;" [PATRON POR CONFIRMAR CON CONTADOR]","Por el registro de la factura "&amp;Registro_Compras!$C$96&amp;" de "&amp;Registro_Compras!$E$96)))</f>
        <v>Por la nota de credito FC01-00001238 de INVERSIONES TRES POR OCHO S.A.C. (LAS QOLQAS) [PATRON POR CONFIRMAR CON CONTADOR]</v>
      </c>
      <c r="H835" t="str">
        <f>IF($C835="","",Registro_Compras!$C$96)</f>
        <v>FC01-00001238</v>
      </c>
    </row>
    <row r="836" spans="1:8" x14ac:dyDescent="0.25">
      <c r="A836" s="25">
        <f>IF($C836="","",Registro_Compras!$B$96)</f>
        <v>46250</v>
      </c>
      <c r="B836" t="str">
        <f>IF($C836="","","C"&amp;TEXT(INT((ROW()-5)/9)+1,"000")&amp;"-2")</f>
        <v>C093-2</v>
      </c>
      <c r="C836" t="str">
        <f>IF(OR(Registro_Compras!$C$96="",Registro_Compras!$O$96=""),"",IF(Registro_Compras!$AB$96="ADMINISTRATIVO","94","95"))</f>
        <v>95</v>
      </c>
      <c r="D836" t="str">
        <f>IF(OR(Registro_Compras!$C$96="",Registro_Compras!$O$96=""),"",IF(Registro_Compras!$AB$96="ADMINISTRATIVO","Gastos Administrativos","Gastos de Venta y Operacion"))</f>
        <v>Gastos de Venta y Operacion</v>
      </c>
      <c r="E836" s="20" t="str">
        <f>IF($C836="","",IF(Registro_Compras!$F$96="NOTA DE CREDITO","",IF(Registro_Compras!$F$96="RHE",ROUND(Registro_Compras!$L$96*Registro_Compras!$N$96,2),ROUND(Registro_Compras!$J$96*Registro_Compras!$N$96,2))))</f>
        <v/>
      </c>
      <c r="F836" s="20">
        <f>IF($C836="","",IF(Registro_Compras!$F$96="NOTA DE CREDITO",ROUND(ABS(Registro_Compras!$J$96*Registro_Compras!$N$96),2),""))</f>
        <v>2288</v>
      </c>
      <c r="G836" t="str">
        <f>IF($C836="","","Por el destino del gasto")</f>
        <v>Por el destino del gasto</v>
      </c>
      <c r="H836" t="str">
        <f>IF($C836="","",Registro_Compras!$C$96)</f>
        <v>FC01-00001238</v>
      </c>
    </row>
    <row r="837" spans="1:8" x14ac:dyDescent="0.25">
      <c r="A837" s="25">
        <f>IF($C837="","",Registro_Compras!$B$96)</f>
        <v>46250</v>
      </c>
      <c r="B837" t="str">
        <f>IF($C837="","","C"&amp;TEXT(INT((ROW()-5)/9)+1,"000")&amp;"-2")</f>
        <v>C093-2</v>
      </c>
      <c r="C837" t="str">
        <f>IF(OR(Registro_Compras!$C$96="",Registro_Compras!$O$96=""),"","79/791")</f>
        <v>79/791</v>
      </c>
      <c r="D837" t="str">
        <f>IF(OR(Registro_Compras!$C$96="",Registro_Compras!$O$96=""),"","Cargas Imputables a Cuentas de Costos y Gastos")</f>
        <v>Cargas Imputables a Cuentas de Costos y Gastos</v>
      </c>
      <c r="E837" s="20">
        <f>IF($C837="","",IF(Registro_Compras!$F$96="NOTA DE CREDITO",ROUND(ABS(Registro_Compras!$J$96*Registro_Compras!$N$96),2),""))</f>
        <v>2288</v>
      </c>
      <c r="F837" s="20" t="str">
        <f>IF($C837="","",IF(Registro_Compras!$F$96="NOTA DE CREDITO","",IF(Registro_Compras!$F$96="RHE",ROUND(Registro_Compras!$L$96*Registro_Compras!$N$96,2),ROUND(Registro_Compras!$J$96*Registro_Compras!$N$96,2))))</f>
        <v/>
      </c>
      <c r="G837" t="str">
        <f>IF($C837="","","Por el destino del gasto")</f>
        <v>Por el destino del gasto</v>
      </c>
      <c r="H837" t="str">
        <f>IF($C837="","",Registro_Compras!$C$96)</f>
        <v>FC01-00001238</v>
      </c>
    </row>
    <row r="838" spans="1:8" x14ac:dyDescent="0.25">
      <c r="A838" s="25" t="str">
        <f>IF($C838="","",Registro_Compras!$X$96)</f>
        <v/>
      </c>
      <c r="B838" t="str">
        <f>IF($C838="","","C"&amp;TEXT(INT((ROW()-5)/9)+1,"000")&amp;"-3")</f>
        <v/>
      </c>
      <c r="C838" t="str">
        <f>IF(OR(Registro_Compras!$C$96="",Registro_Compras!$O$96="",Registro_Compras!$R$96&lt;&gt;"SI",Registro_Compras!$X$96=""),"","4212")</f>
        <v/>
      </c>
      <c r="D838" t="str">
        <f>IF(OR(Registro_Compras!$C$96="",Registro_Compras!$O$96=""),"","Cuentas por Pagar Comerciales - Terceros")</f>
        <v>Cuentas por Pagar Comerciales - Terceros</v>
      </c>
      <c r="E838" s="20" t="str">
        <f>IF($C838="","",Registro_Compras!$S$96)</f>
        <v/>
      </c>
      <c r="F838" s="20" t="str">
        <f>""</f>
        <v/>
      </c>
      <c r="G838" t="str">
        <f>IF($C838="","","Por el deposito de la detraccion en el Banco de la Nacion")</f>
        <v/>
      </c>
      <c r="H838" t="str">
        <f>IF($C838="","",Registro_Compras!$C$96)</f>
        <v/>
      </c>
    </row>
    <row r="839" spans="1:8" x14ac:dyDescent="0.25">
      <c r="A839" s="25" t="str">
        <f>IF($C839="","",Registro_Compras!$X$96)</f>
        <v/>
      </c>
      <c r="B839" t="str">
        <f>IF($C839="","","C"&amp;TEXT(INT((ROW()-5)/9)+1,"000")&amp;"-3")</f>
        <v/>
      </c>
      <c r="C839" t="str">
        <f>IF(OR(Registro_Compras!$C$96="",Registro_Compras!$O$96="",Registro_Compras!$R$96&lt;&gt;"SI",Registro_Compras!$X$96=""),"","1041")</f>
        <v/>
      </c>
      <c r="D839" t="str">
        <f>IF(OR(Registro_Compras!$C$96="",Registro_Compras!$O$96=""),"","Efectivo y Equivalentes - Cta. Cte. Operativa")</f>
        <v>Efectivo y Equivalentes - Cta. Cte. Operativa</v>
      </c>
      <c r="E839" s="20" t="str">
        <f>""</f>
        <v/>
      </c>
      <c r="F839" s="20" t="str">
        <f>IF($C839="","",Registro_Compras!$S$96)</f>
        <v/>
      </c>
      <c r="G839" t="str">
        <f>IF($C839="","","Por el deposito de la detraccion en el Banco de la Nacion")</f>
        <v/>
      </c>
      <c r="H839" t="str">
        <f>IF($C839="","",Registro_Compras!$C$96)</f>
        <v/>
      </c>
    </row>
    <row r="840" spans="1:8" x14ac:dyDescent="0.25">
      <c r="A840" s="25" t="str">
        <f>IF($C840="","",Registro_Compras!$Y$96)</f>
        <v/>
      </c>
      <c r="B840" t="str">
        <f>IF($C840="","","C"&amp;TEXT(INT((ROW()-5)/9)+1,"000")&amp;"-4")</f>
        <v/>
      </c>
      <c r="C840" t="str">
        <f>IF(OR(Registro_Compras!$C$96="",Registro_Compras!$O$96="",Registro_Compras!$Y$96="",Registro_Compras!$F$96="NOTA DE CREDITO"),"","4212")</f>
        <v/>
      </c>
      <c r="D840" t="str">
        <f>IF(OR(Registro_Compras!$C$96="",Registro_Compras!$O$96=""),"","Cuentas por Pagar Comerciales - Terceros")</f>
        <v>Cuentas por Pagar Comerciales - Terceros</v>
      </c>
      <c r="E840" s="20" t="str">
        <f>IF($C840="","",IF(Registro_Compras!$F$96="RHE",(ROUND(Registro_Compras!$L$96*Registro_Compras!$N$96,2)-ROUND(Registro_Compras!$V$96*Registro_Compras!$N$96,2)),ROUND(Registro_Compras!$O$96-Registro_Compras!$S$96,2)))</f>
        <v/>
      </c>
      <c r="F840" s="20" t="str">
        <f>""</f>
        <v/>
      </c>
      <c r="G840" t="str">
        <f>IF($C840="","","Por la cancelacion del saldo al proveedor")</f>
        <v/>
      </c>
      <c r="H840" t="str">
        <f>IF($C840="","",Registro_Compras!$C$96)</f>
        <v/>
      </c>
    </row>
    <row r="841" spans="1:8" x14ac:dyDescent="0.25">
      <c r="A841" s="25" t="str">
        <f>IF($C841="","",Registro_Compras!$Y$96)</f>
        <v/>
      </c>
      <c r="B841" t="str">
        <f>IF($C841="","","C"&amp;TEXT(INT((ROW()-5)/9)+1,"000")&amp;"-4")</f>
        <v/>
      </c>
      <c r="C841" t="str">
        <f>IF(OR(Registro_Compras!$C$96="",Registro_Compras!$O$96="",Registro_Compras!$Y$96="",Registro_Compras!$F$96="NOTA DE CREDITO"),"","1041")</f>
        <v/>
      </c>
      <c r="D841" t="str">
        <f>IF(OR(Registro_Compras!$C$96="",Registro_Compras!$O$96=""),"","Efectivo y Equivalentes - Cta. Cte. Operativa")</f>
        <v>Efectivo y Equivalentes - Cta. Cte. Operativa</v>
      </c>
      <c r="E841" s="20" t="str">
        <f>""</f>
        <v/>
      </c>
      <c r="F841" s="20" t="str">
        <f>IF($C841="","",IF(Registro_Compras!$F$96="RHE",(ROUND(Registro_Compras!$L$96*Registro_Compras!$N$96,2)-ROUND(Registro_Compras!$V$96*Registro_Compras!$N$96,2)),ROUND(Registro_Compras!$O$96-Registro_Compras!$S$96,2)))</f>
        <v/>
      </c>
      <c r="G841" t="str">
        <f>IF($C841="","","Por la cancelacion del saldo al proveedor")</f>
        <v/>
      </c>
      <c r="H841" t="str">
        <f>IF($C841="","",Registro_Compras!$C$96)</f>
        <v/>
      </c>
    </row>
    <row r="842" spans="1:8" x14ac:dyDescent="0.25">
      <c r="A842" s="25">
        <f>IF($C842="","",Registro_Compras!$B$97)</f>
        <v>46241</v>
      </c>
      <c r="B842" t="str">
        <f>IF($C842="","","C"&amp;TEXT(INT((ROW()-5)/9)+1,"000")&amp;"-1")</f>
        <v>C094-1</v>
      </c>
      <c r="C842" t="str">
        <f>IF(OR(Registro_Compras!$C$97="",Registro_Compras!$O$97=""),"",IF(Registro_Compras!$F$97="NOTA DE CREDITO","4212",IF(Registro_Compras!$M$97="","63",Registro_Compras!$M$97)))</f>
        <v>4212</v>
      </c>
      <c r="D842" t="str">
        <f>IF(OR(Registro_Compras!$C$97="",Registro_Compras!$O$97=""),"",IF(Registro_Compras!$F$97="NOTA DE CREDITO","Cuentas por Pagar Comerciales - Terceros (Emitidas)",IF(Registro_Compras!$F$97="RHE","Honorarios Profesionales - Servicios de Terceros","Gastos de Servicios Prestados por Terceros")))</f>
        <v>Cuentas por Pagar Comerciales - Terceros (Emitidas)</v>
      </c>
      <c r="E842" s="20">
        <f>IF($C842="","",IF(Registro_Compras!$F$97="NOTA DE CREDITO",ABS(Registro_Compras!$O$97),IF(Registro_Compras!$F$97="RHE",ROUND(Registro_Compras!$L$97*Registro_Compras!$N$97,2),ROUND(Registro_Compras!$J$97*Registro_Compras!$N$97,2))))</f>
        <v>9740.0999999999985</v>
      </c>
      <c r="F842" s="20" t="str">
        <f>""</f>
        <v/>
      </c>
      <c r="G842" t="str">
        <f>IF($C842="","",IF(Registro_Compras!$F$97="NOTA DE CREDITO","Por la nota de credito "&amp;Registro_Compras!$C$97&amp;" de "&amp;Registro_Compras!$E$97&amp;" [PATRON POR CONFIRMAR CON CONTADOR]",IF(Registro_Compras!$F$97="RHE","Por el registro del recibo por honorarios "&amp;Registro_Compras!$C$97&amp;" de "&amp;Registro_Compras!$E$97&amp;" [PATRON POR CONFIRMAR CON CONTADOR]","Por el registro de la factura "&amp;Registro_Compras!$C$97&amp;" de "&amp;Registro_Compras!$E$97)))</f>
        <v>Por la nota de credito FF20-00003162 de LA CASA DE BARRANCO S.A.C (HOTEL B) [PATRON POR CONFIRMAR CON CONTADOR]</v>
      </c>
      <c r="H842" t="str">
        <f>IF($C842="","",Registro_Compras!$C$97)</f>
        <v>FF20-00003162</v>
      </c>
    </row>
    <row r="843" spans="1:8" x14ac:dyDescent="0.25">
      <c r="A843" s="25">
        <f>IF($C843="","",Registro_Compras!$B$97)</f>
        <v>46241</v>
      </c>
      <c r="B843" t="str">
        <f>IF($C843="","","C"&amp;TEXT(INT((ROW()-5)/9)+1,"000")&amp;"-1")</f>
        <v>C094-1</v>
      </c>
      <c r="C843" t="str">
        <f>IF(OR(Registro_Compras!$C$97="",Registro_Compras!$O$97=""),"",IF(Registro_Compras!$F$97="RHE",IF(Registro_Compras!$V$97=0,"","4017"),IF(Registro_Compras!$F$97="NOTA DE CREDITO",IF(Registro_Compras!$M$97="","63",Registro_Compras!$M$97),IF(Registro_Compras!$K$97=0,"","40111"))))</f>
        <v>639</v>
      </c>
      <c r="D843" t="str">
        <f>IF(OR(Registro_Compras!$C$97="",Registro_Compras!$O$97=""),"",IF(Registro_Compras!$F$97="RHE","Retencion Renta 4ta Categoria por Pagar",IF(Registro_Compras!$F$97="NOTA DE CREDITO","Gastos de Servicios Prestados por Terceros","IGV - Cuenta Propia (Credito Fiscal)")))</f>
        <v>Gastos de Servicios Prestados por Terceros</v>
      </c>
      <c r="E843" s="20" t="str">
        <f>IF($C843="","",IF(Registro_Compras!$F$97="FACTURA",ROUND(Registro_Compras!$K$97*Registro_Compras!$N$97,2),""))</f>
        <v/>
      </c>
      <c r="F843" s="20">
        <f>IF($C843="","",IF(Registro_Compras!$F$97="RHE",ROUND(Registro_Compras!$V$97*Registro_Compras!$N$97,2),IF(Registro_Compras!$F$97="NOTA DE CREDITO",ROUND(ABS(Registro_Compras!$J$97*Registro_Compras!$N$97),2),"")))</f>
        <v>8254.31</v>
      </c>
      <c r="G843" t="str">
        <f>IF($C843="","",IF(Registro_Compras!$F$97="NOTA DE CREDITO","Por la nota de credito "&amp;Registro_Compras!$C$97&amp;" de "&amp;Registro_Compras!$E$97&amp;" [PATRON POR CONFIRMAR CON CONTADOR]",IF(Registro_Compras!$F$97="RHE","Por el registro del recibo por honorarios "&amp;Registro_Compras!$C$97&amp;" de "&amp;Registro_Compras!$E$97&amp;" [PATRON POR CONFIRMAR CON CONTADOR]","Por el registro de la factura "&amp;Registro_Compras!$C$97&amp;" de "&amp;Registro_Compras!$E$97)))</f>
        <v>Por la nota de credito FF20-00003162 de LA CASA DE BARRANCO S.A.C (HOTEL B) [PATRON POR CONFIRMAR CON CONTADOR]</v>
      </c>
      <c r="H843" t="str">
        <f>IF($C843="","",Registro_Compras!$C$97)</f>
        <v>FF20-00003162</v>
      </c>
    </row>
    <row r="844" spans="1:8" x14ac:dyDescent="0.25">
      <c r="A844" s="25">
        <f>IF($C844="","",Registro_Compras!$B$97)</f>
        <v>46241</v>
      </c>
      <c r="B844" t="str">
        <f>IF($C844="","","C"&amp;TEXT(INT((ROW()-5)/9)+1,"000")&amp;"-1")</f>
        <v>C094-1</v>
      </c>
      <c r="C844" t="str">
        <f>IF(OR(Registro_Compras!$C$97="",Registro_Compras!$O$97=""),"",IF(Registro_Compras!$F$97="NOTA DE CREDITO",IF(Registro_Compras!$K$97=0,"","40111"),"4212"))</f>
        <v>40111</v>
      </c>
      <c r="D844" t="str">
        <f>IF(OR(Registro_Compras!$C$97="",Registro_Compras!$O$97=""),"",IF(Registro_Compras!$F$97="NOTA DE CREDITO","IGV - Cuenta Propia (Credito Fiscal)","Cuentas por Pagar Comerciales - Terceros (Emitidas)"))</f>
        <v>IGV - Cuenta Propia (Credito Fiscal)</v>
      </c>
      <c r="E844" s="20" t="str">
        <f>""</f>
        <v/>
      </c>
      <c r="F844" s="20">
        <f>IF($C844="","",IF(Registro_Compras!$F$97="NOTA DE CREDITO",ROUND(ABS(Registro_Compras!$K$97*Registro_Compras!$N$97),2),IF(Registro_Compras!$F$97="RHE",(ROUND(Registro_Compras!$L$97*Registro_Compras!$N$97,2)-ROUND(Registro_Compras!$V$97*Registro_Compras!$N$97,2)),Registro_Compras!$O$97)))</f>
        <v>1485.79</v>
      </c>
      <c r="G844" t="str">
        <f>IF($C844="","",IF(Registro_Compras!$F$97="NOTA DE CREDITO","Por la nota de credito "&amp;Registro_Compras!$C$97&amp;" de "&amp;Registro_Compras!$E$97&amp;" [PATRON POR CONFIRMAR CON CONTADOR]",IF(Registro_Compras!$F$97="RHE","Por el registro del recibo por honorarios "&amp;Registro_Compras!$C$97&amp;" de "&amp;Registro_Compras!$E$97&amp;" [PATRON POR CONFIRMAR CON CONTADOR]","Por el registro de la factura "&amp;Registro_Compras!$C$97&amp;" de "&amp;Registro_Compras!$E$97)))</f>
        <v>Por la nota de credito FF20-00003162 de LA CASA DE BARRANCO S.A.C (HOTEL B) [PATRON POR CONFIRMAR CON CONTADOR]</v>
      </c>
      <c r="H844" t="str">
        <f>IF($C844="","",Registro_Compras!$C$97)</f>
        <v>FF20-00003162</v>
      </c>
    </row>
    <row r="845" spans="1:8" x14ac:dyDescent="0.25">
      <c r="A845" s="25">
        <f>IF($C845="","",Registro_Compras!$B$97)</f>
        <v>46241</v>
      </c>
      <c r="B845" t="str">
        <f>IF($C845="","","C"&amp;TEXT(INT((ROW()-5)/9)+1,"000")&amp;"-2")</f>
        <v>C094-2</v>
      </c>
      <c r="C845" t="str">
        <f>IF(OR(Registro_Compras!$C$97="",Registro_Compras!$O$97=""),"",IF(Registro_Compras!$AB$97="ADMINISTRATIVO","94","95"))</f>
        <v>95</v>
      </c>
      <c r="D845" t="str">
        <f>IF(OR(Registro_Compras!$C$97="",Registro_Compras!$O$97=""),"",IF(Registro_Compras!$AB$97="ADMINISTRATIVO","Gastos Administrativos","Gastos de Venta y Operacion"))</f>
        <v>Gastos de Venta y Operacion</v>
      </c>
      <c r="E845" s="20" t="str">
        <f>IF($C845="","",IF(Registro_Compras!$F$97="NOTA DE CREDITO","",IF(Registro_Compras!$F$97="RHE",ROUND(Registro_Compras!$L$97*Registro_Compras!$N$97,2),ROUND(Registro_Compras!$J$97*Registro_Compras!$N$97,2))))</f>
        <v/>
      </c>
      <c r="F845" s="20">
        <f>IF($C845="","",IF(Registro_Compras!$F$97="NOTA DE CREDITO",ROUND(ABS(Registro_Compras!$J$97*Registro_Compras!$N$97),2),""))</f>
        <v>8254.31</v>
      </c>
      <c r="G845" t="str">
        <f>IF($C845="","","Por el destino del gasto")</f>
        <v>Por el destino del gasto</v>
      </c>
      <c r="H845" t="str">
        <f>IF($C845="","",Registro_Compras!$C$97)</f>
        <v>FF20-00003162</v>
      </c>
    </row>
    <row r="846" spans="1:8" x14ac:dyDescent="0.25">
      <c r="A846" s="25">
        <f>IF($C846="","",Registro_Compras!$B$97)</f>
        <v>46241</v>
      </c>
      <c r="B846" t="str">
        <f>IF($C846="","","C"&amp;TEXT(INT((ROW()-5)/9)+1,"000")&amp;"-2")</f>
        <v>C094-2</v>
      </c>
      <c r="C846" t="str">
        <f>IF(OR(Registro_Compras!$C$97="",Registro_Compras!$O$97=""),"","79/791")</f>
        <v>79/791</v>
      </c>
      <c r="D846" t="str">
        <f>IF(OR(Registro_Compras!$C$97="",Registro_Compras!$O$97=""),"","Cargas Imputables a Cuentas de Costos y Gastos")</f>
        <v>Cargas Imputables a Cuentas de Costos y Gastos</v>
      </c>
      <c r="E846" s="20">
        <f>IF($C846="","",IF(Registro_Compras!$F$97="NOTA DE CREDITO",ROUND(ABS(Registro_Compras!$J$97*Registro_Compras!$N$97),2),""))</f>
        <v>8254.31</v>
      </c>
      <c r="F846" s="20" t="str">
        <f>IF($C846="","",IF(Registro_Compras!$F$97="NOTA DE CREDITO","",IF(Registro_Compras!$F$97="RHE",ROUND(Registro_Compras!$L$97*Registro_Compras!$N$97,2),ROUND(Registro_Compras!$J$97*Registro_Compras!$N$97,2))))</f>
        <v/>
      </c>
      <c r="G846" t="str">
        <f>IF($C846="","","Por el destino del gasto")</f>
        <v>Por el destino del gasto</v>
      </c>
      <c r="H846" t="str">
        <f>IF($C846="","",Registro_Compras!$C$97)</f>
        <v>FF20-00003162</v>
      </c>
    </row>
    <row r="847" spans="1:8" x14ac:dyDescent="0.25">
      <c r="A847" s="25" t="str">
        <f>IF($C847="","",Registro_Compras!$X$97)</f>
        <v/>
      </c>
      <c r="B847" t="str">
        <f>IF($C847="","","C"&amp;TEXT(INT((ROW()-5)/9)+1,"000")&amp;"-3")</f>
        <v/>
      </c>
      <c r="C847" t="str">
        <f>IF(OR(Registro_Compras!$C$97="",Registro_Compras!$O$97="",Registro_Compras!$R$97&lt;&gt;"SI",Registro_Compras!$X$97=""),"","4212")</f>
        <v/>
      </c>
      <c r="D847" t="str">
        <f>IF(OR(Registro_Compras!$C$97="",Registro_Compras!$O$97=""),"","Cuentas por Pagar Comerciales - Terceros")</f>
        <v>Cuentas por Pagar Comerciales - Terceros</v>
      </c>
      <c r="E847" s="20" t="str">
        <f>IF($C847="","",Registro_Compras!$S$97)</f>
        <v/>
      </c>
      <c r="F847" s="20" t="str">
        <f>""</f>
        <v/>
      </c>
      <c r="G847" t="str">
        <f>IF($C847="","","Por el deposito de la detraccion en el Banco de la Nacion")</f>
        <v/>
      </c>
      <c r="H847" t="str">
        <f>IF($C847="","",Registro_Compras!$C$97)</f>
        <v/>
      </c>
    </row>
    <row r="848" spans="1:8" x14ac:dyDescent="0.25">
      <c r="A848" s="25" t="str">
        <f>IF($C848="","",Registro_Compras!$X$97)</f>
        <v/>
      </c>
      <c r="B848" t="str">
        <f>IF($C848="","","C"&amp;TEXT(INT((ROW()-5)/9)+1,"000")&amp;"-3")</f>
        <v/>
      </c>
      <c r="C848" t="str">
        <f>IF(OR(Registro_Compras!$C$97="",Registro_Compras!$O$97="",Registro_Compras!$R$97&lt;&gt;"SI",Registro_Compras!$X$97=""),"","1041")</f>
        <v/>
      </c>
      <c r="D848" t="str">
        <f>IF(OR(Registro_Compras!$C$97="",Registro_Compras!$O$97=""),"","Efectivo y Equivalentes - Cta. Cte. Operativa")</f>
        <v>Efectivo y Equivalentes - Cta. Cte. Operativa</v>
      </c>
      <c r="E848" s="20" t="str">
        <f>""</f>
        <v/>
      </c>
      <c r="F848" s="20" t="str">
        <f>IF($C848="","",Registro_Compras!$S$97)</f>
        <v/>
      </c>
      <c r="G848" t="str">
        <f>IF($C848="","","Por el deposito de la detraccion en el Banco de la Nacion")</f>
        <v/>
      </c>
      <c r="H848" t="str">
        <f>IF($C848="","",Registro_Compras!$C$97)</f>
        <v/>
      </c>
    </row>
    <row r="849" spans="1:8" x14ac:dyDescent="0.25">
      <c r="A849" s="25" t="str">
        <f>IF($C849="","",Registro_Compras!$Y$97)</f>
        <v/>
      </c>
      <c r="B849" t="str">
        <f>IF($C849="","","C"&amp;TEXT(INT((ROW()-5)/9)+1,"000")&amp;"-4")</f>
        <v/>
      </c>
      <c r="C849" t="str">
        <f>IF(OR(Registro_Compras!$C$97="",Registro_Compras!$O$97="",Registro_Compras!$Y$97="",Registro_Compras!$F$97="NOTA DE CREDITO"),"","4212")</f>
        <v/>
      </c>
      <c r="D849" t="str">
        <f>IF(OR(Registro_Compras!$C$97="",Registro_Compras!$O$97=""),"","Cuentas por Pagar Comerciales - Terceros")</f>
        <v>Cuentas por Pagar Comerciales - Terceros</v>
      </c>
      <c r="E849" s="20" t="str">
        <f>IF($C849="","",IF(Registro_Compras!$F$97="RHE",(ROUND(Registro_Compras!$L$97*Registro_Compras!$N$97,2)-ROUND(Registro_Compras!$V$97*Registro_Compras!$N$97,2)),ROUND(Registro_Compras!$O$97-Registro_Compras!$S$97,2)))</f>
        <v/>
      </c>
      <c r="F849" s="20" t="str">
        <f>""</f>
        <v/>
      </c>
      <c r="G849" t="str">
        <f>IF($C849="","","Por la cancelacion del saldo al proveedor")</f>
        <v/>
      </c>
      <c r="H849" t="str">
        <f>IF($C849="","",Registro_Compras!$C$97)</f>
        <v/>
      </c>
    </row>
    <row r="850" spans="1:8" x14ac:dyDescent="0.25">
      <c r="A850" s="25" t="str">
        <f>IF($C850="","",Registro_Compras!$Y$97)</f>
        <v/>
      </c>
      <c r="B850" t="str">
        <f>IF($C850="","","C"&amp;TEXT(INT((ROW()-5)/9)+1,"000")&amp;"-4")</f>
        <v/>
      </c>
      <c r="C850" t="str">
        <f>IF(OR(Registro_Compras!$C$97="",Registro_Compras!$O$97="",Registro_Compras!$Y$97="",Registro_Compras!$F$97="NOTA DE CREDITO"),"","1041")</f>
        <v/>
      </c>
      <c r="D850" t="str">
        <f>IF(OR(Registro_Compras!$C$97="",Registro_Compras!$O$97=""),"","Efectivo y Equivalentes - Cta. Cte. Operativa")</f>
        <v>Efectivo y Equivalentes - Cta. Cte. Operativa</v>
      </c>
      <c r="E850" s="20" t="str">
        <f>""</f>
        <v/>
      </c>
      <c r="F850" s="20" t="str">
        <f>IF($C850="","",IF(Registro_Compras!$F$97="RHE",(ROUND(Registro_Compras!$L$97*Registro_Compras!$N$97,2)-ROUND(Registro_Compras!$V$97*Registro_Compras!$N$97,2)),ROUND(Registro_Compras!$O$97-Registro_Compras!$S$97,2)))</f>
        <v/>
      </c>
      <c r="G850" t="str">
        <f>IF($C850="","","Por la cancelacion del saldo al proveedor")</f>
        <v/>
      </c>
      <c r="H850" t="str">
        <f>IF($C850="","",Registro_Compras!$C$97)</f>
        <v/>
      </c>
    </row>
    <row r="851" spans="1:8" x14ac:dyDescent="0.25">
      <c r="A851" s="25">
        <f>IF($C851="","",Registro_Compras!$B$98)</f>
        <v>46247</v>
      </c>
      <c r="B851" t="str">
        <f>IF($C851="","","C"&amp;TEXT(INT((ROW()-5)/9)+1,"000")&amp;"-1")</f>
        <v>C095-1</v>
      </c>
      <c r="C851" t="str">
        <f>IF(OR(Registro_Compras!$C$98="",Registro_Compras!$O$98=""),"",IF(Registro_Compras!$F$98="NOTA DE CREDITO","4212",IF(Registro_Compras!$M$98="","63",Registro_Compras!$M$98)))</f>
        <v>639</v>
      </c>
      <c r="D851" t="str">
        <f>IF(OR(Registro_Compras!$C$98="",Registro_Compras!$O$98=""),"",IF(Registro_Compras!$F$98="NOTA DE CREDITO","Cuentas por Pagar Comerciales - Terceros (Emitidas)",IF(Registro_Compras!$F$98="RHE","Honorarios Profesionales - Servicios de Terceros","Gastos de Servicios Prestados por Terceros")))</f>
        <v>Gastos de Servicios Prestados por Terceros</v>
      </c>
      <c r="E851" s="20">
        <f>IF($C851="","",IF(Registro_Compras!$F$98="NOTA DE CREDITO",ABS(Registro_Compras!$O$98),IF(Registro_Compras!$F$98="RHE",ROUND(Registro_Compras!$L$98*Registro_Compras!$N$98,2),ROUND(Registro_Compras!$J$98*Registro_Compras!$N$98,2))))</f>
        <v>4371.04</v>
      </c>
      <c r="F851" s="20" t="str">
        <f>""</f>
        <v/>
      </c>
      <c r="G851" t="str">
        <f>IF($C851="","",IF(Registro_Compras!$F$98="NOTA DE CREDITO","Por la nota de credito "&amp;Registro_Compras!$C$98&amp;" de "&amp;Registro_Compras!$E$98&amp;" [PATRON POR CONFIRMAR CON CONTADOR]",IF(Registro_Compras!$F$98="RHE","Por el registro del recibo por honorarios "&amp;Registro_Compras!$C$98&amp;" de "&amp;Registro_Compras!$E$98&amp;" [PATRON POR CONFIRMAR CON CONTADOR]","Por el registro de la factura "&amp;Registro_Compras!$C$98&amp;" de "&amp;Registro_Compras!$E$98)))</f>
        <v>Por el registro de la factura F001-10336 de NATURA VIVE S.A.C.</v>
      </c>
      <c r="H851" t="str">
        <f>IF($C851="","",Registro_Compras!$C$98)</f>
        <v>F001-10336</v>
      </c>
    </row>
    <row r="852" spans="1:8" x14ac:dyDescent="0.25">
      <c r="A852" s="25">
        <f>IF($C852="","",Registro_Compras!$B$98)</f>
        <v>46247</v>
      </c>
      <c r="B852" t="str">
        <f>IF($C852="","","C"&amp;TEXT(INT((ROW()-5)/9)+1,"000")&amp;"-1")</f>
        <v>C095-1</v>
      </c>
      <c r="C852" t="str">
        <f>IF(OR(Registro_Compras!$C$98="",Registro_Compras!$O$98=""),"",IF(Registro_Compras!$F$98="RHE",IF(Registro_Compras!$V$98=0,"","4017"),IF(Registro_Compras!$F$98="NOTA DE CREDITO",IF(Registro_Compras!$M$98="","63",Registro_Compras!$M$98),IF(Registro_Compras!$K$98=0,"","40111"))))</f>
        <v>40111</v>
      </c>
      <c r="D852" t="str">
        <f>IF(OR(Registro_Compras!$C$98="",Registro_Compras!$O$98=""),"",IF(Registro_Compras!$F$98="RHE","Retencion Renta 4ta Categoria por Pagar",IF(Registro_Compras!$F$98="NOTA DE CREDITO","Gastos de Servicios Prestados por Terceros","IGV - Cuenta Propia (Credito Fiscal)")))</f>
        <v>IGV - Cuenta Propia (Credito Fiscal)</v>
      </c>
      <c r="E852" s="20">
        <f>IF($C852="","",IF(Registro_Compras!$F$98="FACTURA",ROUND(Registro_Compras!$K$98*Registro_Compras!$N$98,2),""))</f>
        <v>458.96</v>
      </c>
      <c r="F852" s="20" t="str">
        <f>IF($C852="","",IF(Registro_Compras!$F$98="RHE",ROUND(Registro_Compras!$V$98*Registro_Compras!$N$98,2),IF(Registro_Compras!$F$98="NOTA DE CREDITO",ROUND(ABS(Registro_Compras!$J$98*Registro_Compras!$N$98),2),"")))</f>
        <v/>
      </c>
      <c r="G852" t="str">
        <f>IF($C852="","",IF(Registro_Compras!$F$98="NOTA DE CREDITO","Por la nota de credito "&amp;Registro_Compras!$C$98&amp;" de "&amp;Registro_Compras!$E$98&amp;" [PATRON POR CONFIRMAR CON CONTADOR]",IF(Registro_Compras!$F$98="RHE","Por el registro del recibo por honorarios "&amp;Registro_Compras!$C$98&amp;" de "&amp;Registro_Compras!$E$98&amp;" [PATRON POR CONFIRMAR CON CONTADOR]","Por el registro de la factura "&amp;Registro_Compras!$C$98&amp;" de "&amp;Registro_Compras!$E$98)))</f>
        <v>Por el registro de la factura F001-10336 de NATURA VIVE S.A.C.</v>
      </c>
      <c r="H852" t="str">
        <f>IF($C852="","",Registro_Compras!$C$98)</f>
        <v>F001-10336</v>
      </c>
    </row>
    <row r="853" spans="1:8" x14ac:dyDescent="0.25">
      <c r="A853" s="25">
        <f>IF($C853="","",Registro_Compras!$B$98)</f>
        <v>46247</v>
      </c>
      <c r="B853" t="str">
        <f>IF($C853="","","C"&amp;TEXT(INT((ROW()-5)/9)+1,"000")&amp;"-1")</f>
        <v>C095-1</v>
      </c>
      <c r="C853" t="str">
        <f>IF(OR(Registro_Compras!$C$98="",Registro_Compras!$O$98=""),"",IF(Registro_Compras!$F$98="NOTA DE CREDITO",IF(Registro_Compras!$K$98=0,"","40111"),"4212"))</f>
        <v>4212</v>
      </c>
      <c r="D853" t="str">
        <f>IF(OR(Registro_Compras!$C$98="",Registro_Compras!$O$98=""),"",IF(Registro_Compras!$F$98="NOTA DE CREDITO","IGV - Cuenta Propia (Credito Fiscal)","Cuentas por Pagar Comerciales - Terceros (Emitidas)"))</f>
        <v>Cuentas por Pagar Comerciales - Terceros (Emitidas)</v>
      </c>
      <c r="E853" s="20" t="str">
        <f>""</f>
        <v/>
      </c>
      <c r="F853" s="20">
        <f>IF($C853="","",IF(Registro_Compras!$F$98="NOTA DE CREDITO",ROUND(ABS(Registro_Compras!$K$98*Registro_Compras!$N$98),2),IF(Registro_Compras!$F$98="RHE",(ROUND(Registro_Compras!$L$98*Registro_Compras!$N$98,2)-ROUND(Registro_Compras!$V$98*Registro_Compras!$N$98,2)),Registro_Compras!$O$98)))</f>
        <v>4830</v>
      </c>
      <c r="G853" t="str">
        <f>IF($C853="","",IF(Registro_Compras!$F$98="NOTA DE CREDITO","Por la nota de credito "&amp;Registro_Compras!$C$98&amp;" de "&amp;Registro_Compras!$E$98&amp;" [PATRON POR CONFIRMAR CON CONTADOR]",IF(Registro_Compras!$F$98="RHE","Por el registro del recibo por honorarios "&amp;Registro_Compras!$C$98&amp;" de "&amp;Registro_Compras!$E$98&amp;" [PATRON POR CONFIRMAR CON CONTADOR]","Por el registro de la factura "&amp;Registro_Compras!$C$98&amp;" de "&amp;Registro_Compras!$E$98)))</f>
        <v>Por el registro de la factura F001-10336 de NATURA VIVE S.A.C.</v>
      </c>
      <c r="H853" t="str">
        <f>IF($C853="","",Registro_Compras!$C$98)</f>
        <v>F001-10336</v>
      </c>
    </row>
    <row r="854" spans="1:8" x14ac:dyDescent="0.25">
      <c r="A854" s="25">
        <f>IF($C854="","",Registro_Compras!$B$98)</f>
        <v>46247</v>
      </c>
      <c r="B854" t="str">
        <f>IF($C854="","","C"&amp;TEXT(INT((ROW()-5)/9)+1,"000")&amp;"-2")</f>
        <v>C095-2</v>
      </c>
      <c r="C854" t="str">
        <f>IF(OR(Registro_Compras!$C$98="",Registro_Compras!$O$98=""),"",IF(Registro_Compras!$AB$98="ADMINISTRATIVO","94","95"))</f>
        <v>95</v>
      </c>
      <c r="D854" t="str">
        <f>IF(OR(Registro_Compras!$C$98="",Registro_Compras!$O$98=""),"",IF(Registro_Compras!$AB$98="ADMINISTRATIVO","Gastos Administrativos","Gastos de Venta y Operacion"))</f>
        <v>Gastos de Venta y Operacion</v>
      </c>
      <c r="E854" s="20">
        <f>IF($C854="","",IF(Registro_Compras!$F$98="NOTA DE CREDITO","",IF(Registro_Compras!$F$98="RHE",ROUND(Registro_Compras!$L$98*Registro_Compras!$N$98,2),ROUND(Registro_Compras!$J$98*Registro_Compras!$N$98,2))))</f>
        <v>4371.04</v>
      </c>
      <c r="F854" s="20" t="str">
        <f>IF($C854="","",IF(Registro_Compras!$F$98="NOTA DE CREDITO",ROUND(ABS(Registro_Compras!$J$98*Registro_Compras!$N$98),2),""))</f>
        <v/>
      </c>
      <c r="G854" t="str">
        <f>IF($C854="","","Por el destino del gasto")</f>
        <v>Por el destino del gasto</v>
      </c>
      <c r="H854" t="str">
        <f>IF($C854="","",Registro_Compras!$C$98)</f>
        <v>F001-10336</v>
      </c>
    </row>
    <row r="855" spans="1:8" x14ac:dyDescent="0.25">
      <c r="A855" s="25">
        <f>IF($C855="","",Registro_Compras!$B$98)</f>
        <v>46247</v>
      </c>
      <c r="B855" t="str">
        <f>IF($C855="","","C"&amp;TEXT(INT((ROW()-5)/9)+1,"000")&amp;"-2")</f>
        <v>C095-2</v>
      </c>
      <c r="C855" t="str">
        <f>IF(OR(Registro_Compras!$C$98="",Registro_Compras!$O$98=""),"","79/791")</f>
        <v>79/791</v>
      </c>
      <c r="D855" t="str">
        <f>IF(OR(Registro_Compras!$C$98="",Registro_Compras!$O$98=""),"","Cargas Imputables a Cuentas de Costos y Gastos")</f>
        <v>Cargas Imputables a Cuentas de Costos y Gastos</v>
      </c>
      <c r="E855" s="20" t="str">
        <f>IF($C855="","",IF(Registro_Compras!$F$98="NOTA DE CREDITO",ROUND(ABS(Registro_Compras!$J$98*Registro_Compras!$N$98),2),""))</f>
        <v/>
      </c>
      <c r="F855" s="20">
        <f>IF($C855="","",IF(Registro_Compras!$F$98="NOTA DE CREDITO","",IF(Registro_Compras!$F$98="RHE",ROUND(Registro_Compras!$L$98*Registro_Compras!$N$98,2),ROUND(Registro_Compras!$J$98*Registro_Compras!$N$98,2))))</f>
        <v>4371.04</v>
      </c>
      <c r="G855" t="str">
        <f>IF($C855="","","Por el destino del gasto")</f>
        <v>Por el destino del gasto</v>
      </c>
      <c r="H855" t="str">
        <f>IF($C855="","",Registro_Compras!$C$98)</f>
        <v>F001-10336</v>
      </c>
    </row>
    <row r="856" spans="1:8" x14ac:dyDescent="0.25">
      <c r="A856" s="25" t="str">
        <f>IF($C856="","",Registro_Compras!$X$98)</f>
        <v/>
      </c>
      <c r="B856" t="str">
        <f>IF($C856="","","C"&amp;TEXT(INT((ROW()-5)/9)+1,"000")&amp;"-3")</f>
        <v/>
      </c>
      <c r="C856" t="str">
        <f>IF(OR(Registro_Compras!$C$98="",Registro_Compras!$O$98="",Registro_Compras!$R$98&lt;&gt;"SI",Registro_Compras!$X$98=""),"","4212")</f>
        <v/>
      </c>
      <c r="D856" t="str">
        <f>IF(OR(Registro_Compras!$C$98="",Registro_Compras!$O$98=""),"","Cuentas por Pagar Comerciales - Terceros")</f>
        <v>Cuentas por Pagar Comerciales - Terceros</v>
      </c>
      <c r="E856" s="20" t="str">
        <f>IF($C856="","",Registro_Compras!$S$98)</f>
        <v/>
      </c>
      <c r="F856" s="20" t="str">
        <f>""</f>
        <v/>
      </c>
      <c r="G856" t="str">
        <f>IF($C856="","","Por el deposito de la detraccion en el Banco de la Nacion")</f>
        <v/>
      </c>
      <c r="H856" t="str">
        <f>IF($C856="","",Registro_Compras!$C$98)</f>
        <v/>
      </c>
    </row>
    <row r="857" spans="1:8" x14ac:dyDescent="0.25">
      <c r="A857" s="25" t="str">
        <f>IF($C857="","",Registro_Compras!$X$98)</f>
        <v/>
      </c>
      <c r="B857" t="str">
        <f>IF($C857="","","C"&amp;TEXT(INT((ROW()-5)/9)+1,"000")&amp;"-3")</f>
        <v/>
      </c>
      <c r="C857" t="str">
        <f>IF(OR(Registro_Compras!$C$98="",Registro_Compras!$O$98="",Registro_Compras!$R$98&lt;&gt;"SI",Registro_Compras!$X$98=""),"","1041")</f>
        <v/>
      </c>
      <c r="D857" t="str">
        <f>IF(OR(Registro_Compras!$C$98="",Registro_Compras!$O$98=""),"","Efectivo y Equivalentes - Cta. Cte. Operativa")</f>
        <v>Efectivo y Equivalentes - Cta. Cte. Operativa</v>
      </c>
      <c r="E857" s="20" t="str">
        <f>""</f>
        <v/>
      </c>
      <c r="F857" s="20" t="str">
        <f>IF($C857="","",Registro_Compras!$S$98)</f>
        <v/>
      </c>
      <c r="G857" t="str">
        <f>IF($C857="","","Por el deposito de la detraccion en el Banco de la Nacion")</f>
        <v/>
      </c>
      <c r="H857" t="str">
        <f>IF($C857="","",Registro_Compras!$C$98)</f>
        <v/>
      </c>
    </row>
    <row r="858" spans="1:8" x14ac:dyDescent="0.25">
      <c r="A858" s="25" t="str">
        <f>IF($C858="","",Registro_Compras!$Y$98)</f>
        <v/>
      </c>
      <c r="B858" t="str">
        <f>IF($C858="","","C"&amp;TEXT(INT((ROW()-5)/9)+1,"000")&amp;"-4")</f>
        <v/>
      </c>
      <c r="C858" t="str">
        <f>IF(OR(Registro_Compras!$C$98="",Registro_Compras!$O$98="",Registro_Compras!$Y$98="",Registro_Compras!$F$98="NOTA DE CREDITO"),"","4212")</f>
        <v/>
      </c>
      <c r="D858" t="str">
        <f>IF(OR(Registro_Compras!$C$98="",Registro_Compras!$O$98=""),"","Cuentas por Pagar Comerciales - Terceros")</f>
        <v>Cuentas por Pagar Comerciales - Terceros</v>
      </c>
      <c r="E858" s="20" t="str">
        <f>IF($C858="","",IF(Registro_Compras!$F$98="RHE",(ROUND(Registro_Compras!$L$98*Registro_Compras!$N$98,2)-ROUND(Registro_Compras!$V$98*Registro_Compras!$N$98,2)),ROUND(Registro_Compras!$O$98-Registro_Compras!$S$98,2)))</f>
        <v/>
      </c>
      <c r="F858" s="20" t="str">
        <f>""</f>
        <v/>
      </c>
      <c r="G858" t="str">
        <f>IF($C858="","","Por la cancelacion del saldo al proveedor")</f>
        <v/>
      </c>
      <c r="H858" t="str">
        <f>IF($C858="","",Registro_Compras!$C$98)</f>
        <v/>
      </c>
    </row>
    <row r="859" spans="1:8" x14ac:dyDescent="0.25">
      <c r="A859" s="25" t="str">
        <f>IF($C859="","",Registro_Compras!$Y$98)</f>
        <v/>
      </c>
      <c r="B859" t="str">
        <f>IF($C859="","","C"&amp;TEXT(INT((ROW()-5)/9)+1,"000")&amp;"-4")</f>
        <v/>
      </c>
      <c r="C859" t="str">
        <f>IF(OR(Registro_Compras!$C$98="",Registro_Compras!$O$98="",Registro_Compras!$Y$98="",Registro_Compras!$F$98="NOTA DE CREDITO"),"","1041")</f>
        <v/>
      </c>
      <c r="D859" t="str">
        <f>IF(OR(Registro_Compras!$C$98="",Registro_Compras!$O$98=""),"","Efectivo y Equivalentes - Cta. Cte. Operativa")</f>
        <v>Efectivo y Equivalentes - Cta. Cte. Operativa</v>
      </c>
      <c r="E859" s="20" t="str">
        <f>""</f>
        <v/>
      </c>
      <c r="F859" s="20" t="str">
        <f>IF($C859="","",IF(Registro_Compras!$F$98="RHE",(ROUND(Registro_Compras!$L$98*Registro_Compras!$N$98,2)-ROUND(Registro_Compras!$V$98*Registro_Compras!$N$98,2)),ROUND(Registro_Compras!$O$98-Registro_Compras!$S$98,2)))</f>
        <v/>
      </c>
      <c r="G859" t="str">
        <f>IF($C859="","","Por la cancelacion del saldo al proveedor")</f>
        <v/>
      </c>
      <c r="H859" t="str">
        <f>IF($C859="","",Registro_Compras!$C$98)</f>
        <v/>
      </c>
    </row>
    <row r="860" spans="1:8" x14ac:dyDescent="0.25">
      <c r="A860" s="25">
        <f>IF($C860="","",Registro_Compras!$B$99)</f>
        <v>46245</v>
      </c>
      <c r="B860" t="str">
        <f>IF($C860="","","C"&amp;TEXT(INT((ROW()-5)/9)+1,"000")&amp;"-1")</f>
        <v>C096-1</v>
      </c>
      <c r="C860" t="str">
        <f>IF(OR(Registro_Compras!$C$99="",Registro_Compras!$O$99=""),"",IF(Registro_Compras!$F$99="NOTA DE CREDITO","4212",IF(Registro_Compras!$M$99="","63",Registro_Compras!$M$99)))</f>
        <v>639</v>
      </c>
      <c r="D860" t="str">
        <f>IF(OR(Registro_Compras!$C$99="",Registro_Compras!$O$99=""),"",IF(Registro_Compras!$F$99="NOTA DE CREDITO","Cuentas por Pagar Comerciales - Terceros (Emitidas)",IF(Registro_Compras!$F$99="RHE","Honorarios Profesionales - Servicios de Terceros","Gastos de Servicios Prestados por Terceros")))</f>
        <v>Gastos de Servicios Prestados por Terceros</v>
      </c>
      <c r="E860" s="20">
        <f>IF($C860="","",IF(Registro_Compras!$F$99="NOTA DE CREDITO",ABS(Registro_Compras!$O$99),IF(Registro_Compras!$F$99="RHE",ROUND(Registro_Compras!$L$99*Registro_Compras!$N$99,2),ROUND(Registro_Compras!$J$99*Registro_Compras!$N$99,2))))</f>
        <v>3524.78</v>
      </c>
      <c r="F860" s="20" t="str">
        <f>""</f>
        <v/>
      </c>
      <c r="G860" t="str">
        <f>IF($C860="","",IF(Registro_Compras!$F$99="NOTA DE CREDITO","Por la nota de credito "&amp;Registro_Compras!$C$99&amp;" de "&amp;Registro_Compras!$E$99&amp;" [PATRON POR CONFIRMAR CON CONTADOR]",IF(Registro_Compras!$F$99="RHE","Por el registro del recibo por honorarios "&amp;Registro_Compras!$C$99&amp;" de "&amp;Registro_Compras!$E$99&amp;" [PATRON POR CONFIRMAR CON CONTADOR]","Por el registro de la factura "&amp;Registro_Compras!$C$99&amp;" de "&amp;Registro_Compras!$E$99)))</f>
        <v>Por el registro de la factura F001-00000736 de PERUVIAN CULTURE TRAVEL AGENCIA DE VIAJES Y TURISMO S.R.L.</v>
      </c>
      <c r="H860" t="str">
        <f>IF($C860="","",Registro_Compras!$C$99)</f>
        <v>F001-00000736</v>
      </c>
    </row>
    <row r="861" spans="1:8" x14ac:dyDescent="0.25">
      <c r="A861" s="25">
        <f>IF($C861="","",Registro_Compras!$B$99)</f>
        <v>46245</v>
      </c>
      <c r="B861" t="str">
        <f>IF($C861="","","C"&amp;TEXT(INT((ROW()-5)/9)+1,"000")&amp;"-1")</f>
        <v>C096-1</v>
      </c>
      <c r="C861" t="str">
        <f>IF(OR(Registro_Compras!$C$99="",Registro_Compras!$O$99=""),"",IF(Registro_Compras!$F$99="RHE",IF(Registro_Compras!$V$99=0,"","4017"),IF(Registro_Compras!$F$99="NOTA DE CREDITO",IF(Registro_Compras!$M$99="","63",Registro_Compras!$M$99),IF(Registro_Compras!$K$99=0,"","40111"))))</f>
        <v>40111</v>
      </c>
      <c r="D861" t="str">
        <f>IF(OR(Registro_Compras!$C$99="",Registro_Compras!$O$99=""),"",IF(Registro_Compras!$F$99="RHE","Retencion Renta 4ta Categoria por Pagar",IF(Registro_Compras!$F$99="NOTA DE CREDITO","Gastos de Servicios Prestados por Terceros","IGV - Cuenta Propia (Credito Fiscal)")))</f>
        <v>IGV - Cuenta Propia (Credito Fiscal)</v>
      </c>
      <c r="E861" s="20">
        <f>IF($C861="","",IF(Registro_Compras!$F$99="FACTURA",ROUND(Registro_Compras!$K$99*Registro_Compras!$N$99,2),""))</f>
        <v>634.45000000000005</v>
      </c>
      <c r="F861" s="20" t="str">
        <f>IF($C861="","",IF(Registro_Compras!$F$99="RHE",ROUND(Registro_Compras!$V$99*Registro_Compras!$N$99,2),IF(Registro_Compras!$F$99="NOTA DE CREDITO",ROUND(ABS(Registro_Compras!$J$99*Registro_Compras!$N$99),2),"")))</f>
        <v/>
      </c>
      <c r="G861" t="str">
        <f>IF($C861="","",IF(Registro_Compras!$F$99="NOTA DE CREDITO","Por la nota de credito "&amp;Registro_Compras!$C$99&amp;" de "&amp;Registro_Compras!$E$99&amp;" [PATRON POR CONFIRMAR CON CONTADOR]",IF(Registro_Compras!$F$99="RHE","Por el registro del recibo por honorarios "&amp;Registro_Compras!$C$99&amp;" de "&amp;Registro_Compras!$E$99&amp;" [PATRON POR CONFIRMAR CON CONTADOR]","Por el registro de la factura "&amp;Registro_Compras!$C$99&amp;" de "&amp;Registro_Compras!$E$99)))</f>
        <v>Por el registro de la factura F001-00000736 de PERUVIAN CULTURE TRAVEL AGENCIA DE VIAJES Y TURISMO S.R.L.</v>
      </c>
      <c r="H861" t="str">
        <f>IF($C861="","",Registro_Compras!$C$99)</f>
        <v>F001-00000736</v>
      </c>
    </row>
    <row r="862" spans="1:8" x14ac:dyDescent="0.25">
      <c r="A862" s="25">
        <f>IF($C862="","",Registro_Compras!$B$99)</f>
        <v>46245</v>
      </c>
      <c r="B862" t="str">
        <f>IF($C862="","","C"&amp;TEXT(INT((ROW()-5)/9)+1,"000")&amp;"-1")</f>
        <v>C096-1</v>
      </c>
      <c r="C862" t="str">
        <f>IF(OR(Registro_Compras!$C$99="",Registro_Compras!$O$99=""),"",IF(Registro_Compras!$F$99="NOTA DE CREDITO",IF(Registro_Compras!$K$99=0,"","40111"),"4212"))</f>
        <v>4212</v>
      </c>
      <c r="D862" t="str">
        <f>IF(OR(Registro_Compras!$C$99="",Registro_Compras!$O$99=""),"",IF(Registro_Compras!$F$99="NOTA DE CREDITO","IGV - Cuenta Propia (Credito Fiscal)","Cuentas por Pagar Comerciales - Terceros (Emitidas)"))</f>
        <v>Cuentas por Pagar Comerciales - Terceros (Emitidas)</v>
      </c>
      <c r="E862" s="20" t="str">
        <f>""</f>
        <v/>
      </c>
      <c r="F862" s="20">
        <f>IF($C862="","",IF(Registro_Compras!$F$99="NOTA DE CREDITO",ROUND(ABS(Registro_Compras!$K$99*Registro_Compras!$N$99),2),IF(Registro_Compras!$F$99="RHE",(ROUND(Registro_Compras!$L$99*Registro_Compras!$N$99,2)-ROUND(Registro_Compras!$V$99*Registro_Compras!$N$99,2)),Registro_Compras!$O$99)))</f>
        <v>4159.2300000000005</v>
      </c>
      <c r="G862" t="str">
        <f>IF($C862="","",IF(Registro_Compras!$F$99="NOTA DE CREDITO","Por la nota de credito "&amp;Registro_Compras!$C$99&amp;" de "&amp;Registro_Compras!$E$99&amp;" [PATRON POR CONFIRMAR CON CONTADOR]",IF(Registro_Compras!$F$99="RHE","Por el registro del recibo por honorarios "&amp;Registro_Compras!$C$99&amp;" de "&amp;Registro_Compras!$E$99&amp;" [PATRON POR CONFIRMAR CON CONTADOR]","Por el registro de la factura "&amp;Registro_Compras!$C$99&amp;" de "&amp;Registro_Compras!$E$99)))</f>
        <v>Por el registro de la factura F001-00000736 de PERUVIAN CULTURE TRAVEL AGENCIA DE VIAJES Y TURISMO S.R.L.</v>
      </c>
      <c r="H862" t="str">
        <f>IF($C862="","",Registro_Compras!$C$99)</f>
        <v>F001-00000736</v>
      </c>
    </row>
    <row r="863" spans="1:8" x14ac:dyDescent="0.25">
      <c r="A863" s="25">
        <f>IF($C863="","",Registro_Compras!$B$99)</f>
        <v>46245</v>
      </c>
      <c r="B863" t="str">
        <f>IF($C863="","","C"&amp;TEXT(INT((ROW()-5)/9)+1,"000")&amp;"-2")</f>
        <v>C096-2</v>
      </c>
      <c r="C863" t="str">
        <f>IF(OR(Registro_Compras!$C$99="",Registro_Compras!$O$99=""),"",IF(Registro_Compras!$AB$99="ADMINISTRATIVO","94","95"))</f>
        <v>95</v>
      </c>
      <c r="D863" t="str">
        <f>IF(OR(Registro_Compras!$C$99="",Registro_Compras!$O$99=""),"",IF(Registro_Compras!$AB$99="ADMINISTRATIVO","Gastos Administrativos","Gastos de Venta y Operacion"))</f>
        <v>Gastos de Venta y Operacion</v>
      </c>
      <c r="E863" s="20">
        <f>IF($C863="","",IF(Registro_Compras!$F$99="NOTA DE CREDITO","",IF(Registro_Compras!$F$99="RHE",ROUND(Registro_Compras!$L$99*Registro_Compras!$N$99,2),ROUND(Registro_Compras!$J$99*Registro_Compras!$N$99,2))))</f>
        <v>3524.78</v>
      </c>
      <c r="F863" s="20" t="str">
        <f>IF($C863="","",IF(Registro_Compras!$F$99="NOTA DE CREDITO",ROUND(ABS(Registro_Compras!$J$99*Registro_Compras!$N$99),2),""))</f>
        <v/>
      </c>
      <c r="G863" t="str">
        <f>IF($C863="","","Por el destino del gasto")</f>
        <v>Por el destino del gasto</v>
      </c>
      <c r="H863" t="str">
        <f>IF($C863="","",Registro_Compras!$C$99)</f>
        <v>F001-00000736</v>
      </c>
    </row>
    <row r="864" spans="1:8" x14ac:dyDescent="0.25">
      <c r="A864" s="25">
        <f>IF($C864="","",Registro_Compras!$B$99)</f>
        <v>46245</v>
      </c>
      <c r="B864" t="str">
        <f>IF($C864="","","C"&amp;TEXT(INT((ROW()-5)/9)+1,"000")&amp;"-2")</f>
        <v>C096-2</v>
      </c>
      <c r="C864" t="str">
        <f>IF(OR(Registro_Compras!$C$99="",Registro_Compras!$O$99=""),"","79/791")</f>
        <v>79/791</v>
      </c>
      <c r="D864" t="str">
        <f>IF(OR(Registro_Compras!$C$99="",Registro_Compras!$O$99=""),"","Cargas Imputables a Cuentas de Costos y Gastos")</f>
        <v>Cargas Imputables a Cuentas de Costos y Gastos</v>
      </c>
      <c r="E864" s="20" t="str">
        <f>IF($C864="","",IF(Registro_Compras!$F$99="NOTA DE CREDITO",ROUND(ABS(Registro_Compras!$J$99*Registro_Compras!$N$99),2),""))</f>
        <v/>
      </c>
      <c r="F864" s="20">
        <f>IF($C864="","",IF(Registro_Compras!$F$99="NOTA DE CREDITO","",IF(Registro_Compras!$F$99="RHE",ROUND(Registro_Compras!$L$99*Registro_Compras!$N$99,2),ROUND(Registro_Compras!$J$99*Registro_Compras!$N$99,2))))</f>
        <v>3524.78</v>
      </c>
      <c r="G864" t="str">
        <f>IF($C864="","","Por el destino del gasto")</f>
        <v>Por el destino del gasto</v>
      </c>
      <c r="H864" t="str">
        <f>IF($C864="","",Registro_Compras!$C$99)</f>
        <v>F001-00000736</v>
      </c>
    </row>
    <row r="865" spans="1:8" x14ac:dyDescent="0.25">
      <c r="A865" s="25" t="str">
        <f>IF($C865="","",Registro_Compras!$X$99)</f>
        <v/>
      </c>
      <c r="B865" t="str">
        <f>IF($C865="","","C"&amp;TEXT(INT((ROW()-5)/9)+1,"000")&amp;"-3")</f>
        <v/>
      </c>
      <c r="C865" t="str">
        <f>IF(OR(Registro_Compras!$C$99="",Registro_Compras!$O$99="",Registro_Compras!$R$99&lt;&gt;"SI",Registro_Compras!$X$99=""),"","4212")</f>
        <v/>
      </c>
      <c r="D865" t="str">
        <f>IF(OR(Registro_Compras!$C$99="",Registro_Compras!$O$99=""),"","Cuentas por Pagar Comerciales - Terceros")</f>
        <v>Cuentas por Pagar Comerciales - Terceros</v>
      </c>
      <c r="E865" s="20" t="str">
        <f>IF($C865="","",Registro_Compras!$S$99)</f>
        <v/>
      </c>
      <c r="F865" s="20" t="str">
        <f>""</f>
        <v/>
      </c>
      <c r="G865" t="str">
        <f>IF($C865="","","Por el deposito de la detraccion en el Banco de la Nacion")</f>
        <v/>
      </c>
      <c r="H865" t="str">
        <f>IF($C865="","",Registro_Compras!$C$99)</f>
        <v/>
      </c>
    </row>
    <row r="866" spans="1:8" x14ac:dyDescent="0.25">
      <c r="A866" s="25" t="str">
        <f>IF($C866="","",Registro_Compras!$X$99)</f>
        <v/>
      </c>
      <c r="B866" t="str">
        <f>IF($C866="","","C"&amp;TEXT(INT((ROW()-5)/9)+1,"000")&amp;"-3")</f>
        <v/>
      </c>
      <c r="C866" t="str">
        <f>IF(OR(Registro_Compras!$C$99="",Registro_Compras!$O$99="",Registro_Compras!$R$99&lt;&gt;"SI",Registro_Compras!$X$99=""),"","1041")</f>
        <v/>
      </c>
      <c r="D866" t="str">
        <f>IF(OR(Registro_Compras!$C$99="",Registro_Compras!$O$99=""),"","Efectivo y Equivalentes - Cta. Cte. Operativa")</f>
        <v>Efectivo y Equivalentes - Cta. Cte. Operativa</v>
      </c>
      <c r="E866" s="20" t="str">
        <f>""</f>
        <v/>
      </c>
      <c r="F866" s="20" t="str">
        <f>IF($C866="","",Registro_Compras!$S$99)</f>
        <v/>
      </c>
      <c r="G866" t="str">
        <f>IF($C866="","","Por el deposito de la detraccion en el Banco de la Nacion")</f>
        <v/>
      </c>
      <c r="H866" t="str">
        <f>IF($C866="","",Registro_Compras!$C$99)</f>
        <v/>
      </c>
    </row>
    <row r="867" spans="1:8" x14ac:dyDescent="0.25">
      <c r="A867" s="25" t="str">
        <f>IF($C867="","",Registro_Compras!$Y$99)</f>
        <v/>
      </c>
      <c r="B867" t="str">
        <f>IF($C867="","","C"&amp;TEXT(INT((ROW()-5)/9)+1,"000")&amp;"-4")</f>
        <v/>
      </c>
      <c r="C867" t="str">
        <f>IF(OR(Registro_Compras!$C$99="",Registro_Compras!$O$99="",Registro_Compras!$Y$99="",Registro_Compras!$F$99="NOTA DE CREDITO"),"","4212")</f>
        <v/>
      </c>
      <c r="D867" t="str">
        <f>IF(OR(Registro_Compras!$C$99="",Registro_Compras!$O$99=""),"","Cuentas por Pagar Comerciales - Terceros")</f>
        <v>Cuentas por Pagar Comerciales - Terceros</v>
      </c>
      <c r="E867" s="20" t="str">
        <f>IF($C867="","",IF(Registro_Compras!$F$99="RHE",(ROUND(Registro_Compras!$L$99*Registro_Compras!$N$99,2)-ROUND(Registro_Compras!$V$99*Registro_Compras!$N$99,2)),ROUND(Registro_Compras!$O$99-Registro_Compras!$S$99,2)))</f>
        <v/>
      </c>
      <c r="F867" s="20" t="str">
        <f>""</f>
        <v/>
      </c>
      <c r="G867" t="str">
        <f>IF($C867="","","Por la cancelacion del saldo al proveedor")</f>
        <v/>
      </c>
      <c r="H867" t="str">
        <f>IF($C867="","",Registro_Compras!$C$99)</f>
        <v/>
      </c>
    </row>
    <row r="868" spans="1:8" x14ac:dyDescent="0.25">
      <c r="A868" s="25" t="str">
        <f>IF($C868="","",Registro_Compras!$Y$99)</f>
        <v/>
      </c>
      <c r="B868" t="str">
        <f>IF($C868="","","C"&amp;TEXT(INT((ROW()-5)/9)+1,"000")&amp;"-4")</f>
        <v/>
      </c>
      <c r="C868" t="str">
        <f>IF(OR(Registro_Compras!$C$99="",Registro_Compras!$O$99="",Registro_Compras!$Y$99="",Registro_Compras!$F$99="NOTA DE CREDITO"),"","1041")</f>
        <v/>
      </c>
      <c r="D868" t="str">
        <f>IF(OR(Registro_Compras!$C$99="",Registro_Compras!$O$99=""),"","Efectivo y Equivalentes - Cta. Cte. Operativa")</f>
        <v>Efectivo y Equivalentes - Cta. Cte. Operativa</v>
      </c>
      <c r="E868" s="20" t="str">
        <f>""</f>
        <v/>
      </c>
      <c r="F868" s="20" t="str">
        <f>IF($C868="","",IF(Registro_Compras!$F$99="RHE",(ROUND(Registro_Compras!$L$99*Registro_Compras!$N$99,2)-ROUND(Registro_Compras!$V$99*Registro_Compras!$N$99,2)),ROUND(Registro_Compras!$O$99-Registro_Compras!$S$99,2)))</f>
        <v/>
      </c>
      <c r="G868" t="str">
        <f>IF($C868="","","Por la cancelacion del saldo al proveedor")</f>
        <v/>
      </c>
      <c r="H868" t="str">
        <f>IF($C868="","",Registro_Compras!$C$99)</f>
        <v/>
      </c>
    </row>
    <row r="869" spans="1:8" x14ac:dyDescent="0.25">
      <c r="A869" s="25">
        <f>IF($C869="","",Registro_Compras!$B$100)</f>
        <v>46248</v>
      </c>
      <c r="B869" t="str">
        <f>IF($C869="","","C"&amp;TEXT(INT((ROW()-5)/9)+1,"000")&amp;"-1")</f>
        <v>C097-1</v>
      </c>
      <c r="C869" t="str">
        <f>IF(OR(Registro_Compras!$C$100="",Registro_Compras!$O$100=""),"",IF(Registro_Compras!$F$100="NOTA DE CREDITO","4212",IF(Registro_Compras!$M$100="","63",Registro_Compras!$M$100)))</f>
        <v>632</v>
      </c>
      <c r="D869" t="str">
        <f>IF(OR(Registro_Compras!$C$100="",Registro_Compras!$O$100=""),"",IF(Registro_Compras!$F$100="NOTA DE CREDITO","Cuentas por Pagar Comerciales - Terceros (Emitidas)",IF(Registro_Compras!$F$100="RHE","Honorarios Profesionales - Servicios de Terceros","Gastos de Servicios Prestados por Terceros")))</f>
        <v>Honorarios Profesionales - Servicios de Terceros</v>
      </c>
      <c r="E869" s="20">
        <f>IF($C869="","",IF(Registro_Compras!$F$100="NOTA DE CREDITO",ABS(Registro_Compras!$O$100),IF(Registro_Compras!$F$100="RHE",ROUND(Registro_Compras!$L$100*Registro_Compras!$N$100,2),ROUND(Registro_Compras!$J$100*Registro_Compras!$N$100,2))))</f>
        <v>293.27999999999997</v>
      </c>
      <c r="F869" s="20" t="str">
        <f>""</f>
        <v/>
      </c>
      <c r="G869" t="str">
        <f>IF($C869="","",IF(Registro_Compras!$F$100="NOTA DE CREDITO","Por la nota de credito "&amp;Registro_Compras!$C$100&amp;" de "&amp;Registro_Compras!$E$100&amp;" [PATRON POR CONFIRMAR CON CONTADOR]",IF(Registro_Compras!$F$100="RHE","Por el registro del recibo por honorarios "&amp;Registro_Compras!$C$100&amp;" de "&amp;Registro_Compras!$E$100&amp;" [PATRON POR CONFIRMAR CON CONTADOR]","Por el registro de la factura "&amp;Registro_Compras!$C$100&amp;" de "&amp;Registro_Compras!$E$100)))</f>
        <v>Por el registro del recibo por honorarios E001- 503 de SARMIENTO LOPEZ LUIS RONALD [PATRON POR CONFIRMAR CON CONTADOR]</v>
      </c>
      <c r="H869" t="str">
        <f>IF($C869="","",Registro_Compras!$C$100)</f>
        <v>E001- 503</v>
      </c>
    </row>
    <row r="870" spans="1:8" x14ac:dyDescent="0.25">
      <c r="A870" s="25">
        <f>IF($C870="","",Registro_Compras!$B$100)</f>
        <v>46248</v>
      </c>
      <c r="B870" t="str">
        <f>IF($C870="","","C"&amp;TEXT(INT((ROW()-5)/9)+1,"000")&amp;"-1")</f>
        <v>C097-1</v>
      </c>
      <c r="C870" t="str">
        <f>IF(OR(Registro_Compras!$C$100="",Registro_Compras!$O$100=""),"",IF(Registro_Compras!$F$100="RHE",IF(Registro_Compras!$V$100=0,"","4017"),IF(Registro_Compras!$F$100="NOTA DE CREDITO",IF(Registro_Compras!$M$100="","63",Registro_Compras!$M$100),IF(Registro_Compras!$K$100=0,"","40111"))))</f>
        <v>4017</v>
      </c>
      <c r="D870" t="str">
        <f>IF(OR(Registro_Compras!$C$100="",Registro_Compras!$O$100=""),"",IF(Registro_Compras!$F$100="RHE","Retencion Renta 4ta Categoria por Pagar",IF(Registro_Compras!$F$100="NOTA DE CREDITO","Gastos de Servicios Prestados por Terceros","IGV - Cuenta Propia (Credito Fiscal)")))</f>
        <v>Retencion Renta 4ta Categoria por Pagar</v>
      </c>
      <c r="E870" s="20" t="str">
        <f>IF($C870="","",IF(Registro_Compras!$F$100="FACTURA",ROUND(Registro_Compras!$K$100*Registro_Compras!$N$100,2),""))</f>
        <v/>
      </c>
      <c r="F870" s="20">
        <f>IF($C870="","",IF(Registro_Compras!$F$100="RHE",ROUND(Registro_Compras!$V$100*Registro_Compras!$N$100,2),IF(Registro_Compras!$F$100="NOTA DE CREDITO",ROUND(ABS(Registro_Compras!$J$100*Registro_Compras!$N$100),2),"")))</f>
        <v>23.46</v>
      </c>
      <c r="G870" t="str">
        <f>IF($C870="","",IF(Registro_Compras!$F$100="NOTA DE CREDITO","Por la nota de credito "&amp;Registro_Compras!$C$100&amp;" de "&amp;Registro_Compras!$E$100&amp;" [PATRON POR CONFIRMAR CON CONTADOR]",IF(Registro_Compras!$F$100="RHE","Por el registro del recibo por honorarios "&amp;Registro_Compras!$C$100&amp;" de "&amp;Registro_Compras!$E$100&amp;" [PATRON POR CONFIRMAR CON CONTADOR]","Por el registro de la factura "&amp;Registro_Compras!$C$100&amp;" de "&amp;Registro_Compras!$E$100)))</f>
        <v>Por el registro del recibo por honorarios E001- 503 de SARMIENTO LOPEZ LUIS RONALD [PATRON POR CONFIRMAR CON CONTADOR]</v>
      </c>
      <c r="H870" t="str">
        <f>IF($C870="","",Registro_Compras!$C$100)</f>
        <v>E001- 503</v>
      </c>
    </row>
    <row r="871" spans="1:8" x14ac:dyDescent="0.25">
      <c r="A871" s="25">
        <f>IF($C871="","",Registro_Compras!$B$100)</f>
        <v>46248</v>
      </c>
      <c r="B871" t="str">
        <f>IF($C871="","","C"&amp;TEXT(INT((ROW()-5)/9)+1,"000")&amp;"-1")</f>
        <v>C097-1</v>
      </c>
      <c r="C871" t="str">
        <f>IF(OR(Registro_Compras!$C$100="",Registro_Compras!$O$100=""),"",IF(Registro_Compras!$F$100="NOTA DE CREDITO",IF(Registro_Compras!$K$100=0,"","40111"),"4212"))</f>
        <v>4212</v>
      </c>
      <c r="D871" t="str">
        <f>IF(OR(Registro_Compras!$C$100="",Registro_Compras!$O$100=""),"",IF(Registro_Compras!$F$100="NOTA DE CREDITO","IGV - Cuenta Propia (Credito Fiscal)","Cuentas por Pagar Comerciales - Terceros (Emitidas)"))</f>
        <v>Cuentas por Pagar Comerciales - Terceros (Emitidas)</v>
      </c>
      <c r="E871" s="20" t="str">
        <f>""</f>
        <v/>
      </c>
      <c r="F871" s="20">
        <f>IF($C871="","",IF(Registro_Compras!$F$100="NOTA DE CREDITO",ROUND(ABS(Registro_Compras!$K$100*Registro_Compras!$N$100),2),IF(Registro_Compras!$F$100="RHE",(ROUND(Registro_Compras!$L$100*Registro_Compras!$N$100,2)-ROUND(Registro_Compras!$V$100*Registro_Compras!$N$100,2)),Registro_Compras!$O$100)))</f>
        <v>269.82</v>
      </c>
      <c r="G871" t="str">
        <f>IF($C871="","",IF(Registro_Compras!$F$100="NOTA DE CREDITO","Por la nota de credito "&amp;Registro_Compras!$C$100&amp;" de "&amp;Registro_Compras!$E$100&amp;" [PATRON POR CONFIRMAR CON CONTADOR]",IF(Registro_Compras!$F$100="RHE","Por el registro del recibo por honorarios "&amp;Registro_Compras!$C$100&amp;" de "&amp;Registro_Compras!$E$100&amp;" [PATRON POR CONFIRMAR CON CONTADOR]","Por el registro de la factura "&amp;Registro_Compras!$C$100&amp;" de "&amp;Registro_Compras!$E$100)))</f>
        <v>Por el registro del recibo por honorarios E001- 503 de SARMIENTO LOPEZ LUIS RONALD [PATRON POR CONFIRMAR CON CONTADOR]</v>
      </c>
      <c r="H871" t="str">
        <f>IF($C871="","",Registro_Compras!$C$100)</f>
        <v>E001- 503</v>
      </c>
    </row>
    <row r="872" spans="1:8" x14ac:dyDescent="0.25">
      <c r="A872" s="25">
        <f>IF($C872="","",Registro_Compras!$B$100)</f>
        <v>46248</v>
      </c>
      <c r="B872" t="str">
        <f>IF($C872="","","C"&amp;TEXT(INT((ROW()-5)/9)+1,"000")&amp;"-2")</f>
        <v>C097-2</v>
      </c>
      <c r="C872" t="str">
        <f>IF(OR(Registro_Compras!$C$100="",Registro_Compras!$O$100=""),"",IF(Registro_Compras!$AB$100="ADMINISTRATIVO","94","95"))</f>
        <v>95</v>
      </c>
      <c r="D872" t="str">
        <f>IF(OR(Registro_Compras!$C$100="",Registro_Compras!$O$100=""),"",IF(Registro_Compras!$AB$100="ADMINISTRATIVO","Gastos Administrativos","Gastos de Venta y Operacion"))</f>
        <v>Gastos de Venta y Operacion</v>
      </c>
      <c r="E872" s="20">
        <f>IF($C872="","",IF(Registro_Compras!$F$100="NOTA DE CREDITO","",IF(Registro_Compras!$F$100="RHE",ROUND(Registro_Compras!$L$100*Registro_Compras!$N$100,2),ROUND(Registro_Compras!$J$100*Registro_Compras!$N$100,2))))</f>
        <v>293.27999999999997</v>
      </c>
      <c r="F872" s="20" t="str">
        <f>IF($C872="","",IF(Registro_Compras!$F$100="NOTA DE CREDITO",ROUND(ABS(Registro_Compras!$J$100*Registro_Compras!$N$100),2),""))</f>
        <v/>
      </c>
      <c r="G872" t="str">
        <f>IF($C872="","","Por el destino del gasto")</f>
        <v>Por el destino del gasto</v>
      </c>
      <c r="H872" t="str">
        <f>IF($C872="","",Registro_Compras!$C$100)</f>
        <v>E001- 503</v>
      </c>
    </row>
    <row r="873" spans="1:8" x14ac:dyDescent="0.25">
      <c r="A873" s="25">
        <f>IF($C873="","",Registro_Compras!$B$100)</f>
        <v>46248</v>
      </c>
      <c r="B873" t="str">
        <f>IF($C873="","","C"&amp;TEXT(INT((ROW()-5)/9)+1,"000")&amp;"-2")</f>
        <v>C097-2</v>
      </c>
      <c r="C873" t="str">
        <f>IF(OR(Registro_Compras!$C$100="",Registro_Compras!$O$100=""),"","79/791")</f>
        <v>79/791</v>
      </c>
      <c r="D873" t="str">
        <f>IF(OR(Registro_Compras!$C$100="",Registro_Compras!$O$100=""),"","Cargas Imputables a Cuentas de Costos y Gastos")</f>
        <v>Cargas Imputables a Cuentas de Costos y Gastos</v>
      </c>
      <c r="E873" s="20" t="str">
        <f>IF($C873="","",IF(Registro_Compras!$F$100="NOTA DE CREDITO",ROUND(ABS(Registro_Compras!$J$100*Registro_Compras!$N$100),2),""))</f>
        <v/>
      </c>
      <c r="F873" s="20">
        <f>IF($C873="","",IF(Registro_Compras!$F$100="NOTA DE CREDITO","",IF(Registro_Compras!$F$100="RHE",ROUND(Registro_Compras!$L$100*Registro_Compras!$N$100,2),ROUND(Registro_Compras!$J$100*Registro_Compras!$N$100,2))))</f>
        <v>293.27999999999997</v>
      </c>
      <c r="G873" t="str">
        <f>IF($C873="","","Por el destino del gasto")</f>
        <v>Por el destino del gasto</v>
      </c>
      <c r="H873" t="str">
        <f>IF($C873="","",Registro_Compras!$C$100)</f>
        <v>E001- 503</v>
      </c>
    </row>
    <row r="874" spans="1:8" x14ac:dyDescent="0.25">
      <c r="A874" s="25" t="str">
        <f>IF($C874="","",Registro_Compras!$X$100)</f>
        <v/>
      </c>
      <c r="B874" t="str">
        <f>IF($C874="","","C"&amp;TEXT(INT((ROW()-5)/9)+1,"000")&amp;"-3")</f>
        <v/>
      </c>
      <c r="C874" t="str">
        <f>IF(OR(Registro_Compras!$C$100="",Registro_Compras!$O$100="",Registro_Compras!$R$100&lt;&gt;"SI",Registro_Compras!$X$100=""),"","4212")</f>
        <v/>
      </c>
      <c r="D874" t="str">
        <f>IF(OR(Registro_Compras!$C$100="",Registro_Compras!$O$100=""),"","Cuentas por Pagar Comerciales - Terceros")</f>
        <v>Cuentas por Pagar Comerciales - Terceros</v>
      </c>
      <c r="E874" s="20" t="str">
        <f>IF($C874="","",Registro_Compras!$S$100)</f>
        <v/>
      </c>
      <c r="F874" s="20" t="str">
        <f>""</f>
        <v/>
      </c>
      <c r="G874" t="str">
        <f>IF($C874="","","Por el deposito de la detraccion en el Banco de la Nacion")</f>
        <v/>
      </c>
      <c r="H874" t="str">
        <f>IF($C874="","",Registro_Compras!$C$100)</f>
        <v/>
      </c>
    </row>
    <row r="875" spans="1:8" x14ac:dyDescent="0.25">
      <c r="A875" s="25" t="str">
        <f>IF($C875="","",Registro_Compras!$X$100)</f>
        <v/>
      </c>
      <c r="B875" t="str">
        <f>IF($C875="","","C"&amp;TEXT(INT((ROW()-5)/9)+1,"000")&amp;"-3")</f>
        <v/>
      </c>
      <c r="C875" t="str">
        <f>IF(OR(Registro_Compras!$C$100="",Registro_Compras!$O$100="",Registro_Compras!$R$100&lt;&gt;"SI",Registro_Compras!$X$100=""),"","1041")</f>
        <v/>
      </c>
      <c r="D875" t="str">
        <f>IF(OR(Registro_Compras!$C$100="",Registro_Compras!$O$100=""),"","Efectivo y Equivalentes - Cta. Cte. Operativa")</f>
        <v>Efectivo y Equivalentes - Cta. Cte. Operativa</v>
      </c>
      <c r="E875" s="20" t="str">
        <f>""</f>
        <v/>
      </c>
      <c r="F875" s="20" t="str">
        <f>IF($C875="","",Registro_Compras!$S$100)</f>
        <v/>
      </c>
      <c r="G875" t="str">
        <f>IF($C875="","","Por el deposito de la detraccion en el Banco de la Nacion")</f>
        <v/>
      </c>
      <c r="H875" t="str">
        <f>IF($C875="","",Registro_Compras!$C$100)</f>
        <v/>
      </c>
    </row>
    <row r="876" spans="1:8" x14ac:dyDescent="0.25">
      <c r="A876" s="25" t="str">
        <f>IF($C876="","",Registro_Compras!$Y$100)</f>
        <v/>
      </c>
      <c r="B876" t="str">
        <f>IF($C876="","","C"&amp;TEXT(INT((ROW()-5)/9)+1,"000")&amp;"-4")</f>
        <v/>
      </c>
      <c r="C876" t="str">
        <f>IF(OR(Registro_Compras!$C$100="",Registro_Compras!$O$100="",Registro_Compras!$Y$100="",Registro_Compras!$F$100="NOTA DE CREDITO"),"","4212")</f>
        <v/>
      </c>
      <c r="D876" t="str">
        <f>IF(OR(Registro_Compras!$C$100="",Registro_Compras!$O$100=""),"","Cuentas por Pagar Comerciales - Terceros")</f>
        <v>Cuentas por Pagar Comerciales - Terceros</v>
      </c>
      <c r="E876" s="20" t="str">
        <f>IF($C876="","",IF(Registro_Compras!$F$100="RHE",(ROUND(Registro_Compras!$L$100*Registro_Compras!$N$100,2)-ROUND(Registro_Compras!$V$100*Registro_Compras!$N$100,2)),ROUND(Registro_Compras!$O$100-Registro_Compras!$S$100,2)))</f>
        <v/>
      </c>
      <c r="F876" s="20" t="str">
        <f>""</f>
        <v/>
      </c>
      <c r="G876" t="str">
        <f>IF($C876="","","Por la cancelacion del saldo al proveedor")</f>
        <v/>
      </c>
      <c r="H876" t="str">
        <f>IF($C876="","",Registro_Compras!$C$100)</f>
        <v/>
      </c>
    </row>
    <row r="877" spans="1:8" x14ac:dyDescent="0.25">
      <c r="A877" s="25" t="str">
        <f>IF($C877="","",Registro_Compras!$Y$100)</f>
        <v/>
      </c>
      <c r="B877" t="str">
        <f>IF($C877="","","C"&amp;TEXT(INT((ROW()-5)/9)+1,"000")&amp;"-4")</f>
        <v/>
      </c>
      <c r="C877" t="str">
        <f>IF(OR(Registro_Compras!$C$100="",Registro_Compras!$O$100="",Registro_Compras!$Y$100="",Registro_Compras!$F$100="NOTA DE CREDITO"),"","1041")</f>
        <v/>
      </c>
      <c r="D877" t="str">
        <f>IF(OR(Registro_Compras!$C$100="",Registro_Compras!$O$100=""),"","Efectivo y Equivalentes - Cta. Cte. Operativa")</f>
        <v>Efectivo y Equivalentes - Cta. Cte. Operativa</v>
      </c>
      <c r="E877" s="20" t="str">
        <f>""</f>
        <v/>
      </c>
      <c r="F877" s="20" t="str">
        <f>IF($C877="","",IF(Registro_Compras!$F$100="RHE",(ROUND(Registro_Compras!$L$100*Registro_Compras!$N$100,2)-ROUND(Registro_Compras!$V$100*Registro_Compras!$N$100,2)),ROUND(Registro_Compras!$O$100-Registro_Compras!$S$100,2)))</f>
        <v/>
      </c>
      <c r="G877" t="str">
        <f>IF($C877="","","Por la cancelacion del saldo al proveedor")</f>
        <v/>
      </c>
      <c r="H877" t="str">
        <f>IF($C877="","",Registro_Compras!$C$100)</f>
        <v/>
      </c>
    </row>
    <row r="878" spans="1:8" x14ac:dyDescent="0.25">
      <c r="A878" s="25">
        <f>IF($C878="","",Registro_Compras!$B$101)</f>
        <v>46242</v>
      </c>
      <c r="B878" t="str">
        <f>IF($C878="","","C"&amp;TEXT(INT((ROW()-5)/9)+1,"000")&amp;"-1")</f>
        <v>C098-1</v>
      </c>
      <c r="C878" t="str">
        <f>IF(OR(Registro_Compras!$C$101="",Registro_Compras!$O$101=""),"",IF(Registro_Compras!$F$101="NOTA DE CREDITO","4212",IF(Registro_Compras!$M$101="","63",Registro_Compras!$M$101)))</f>
        <v>639</v>
      </c>
      <c r="D878" t="str">
        <f>IF(OR(Registro_Compras!$C$101="",Registro_Compras!$O$101=""),"",IF(Registro_Compras!$F$101="NOTA DE CREDITO","Cuentas por Pagar Comerciales - Terceros (Emitidas)",IF(Registro_Compras!$F$101="RHE","Honorarios Profesionales - Servicios de Terceros","Gastos de Servicios Prestados por Terceros")))</f>
        <v>Gastos de Servicios Prestados por Terceros</v>
      </c>
      <c r="E878" s="20">
        <f>IF($C878="","",IF(Registro_Compras!$F$101="NOTA DE CREDITO",ABS(Registro_Compras!$O$101),IF(Registro_Compras!$F$101="RHE",ROUND(Registro_Compras!$L$101*Registro_Compras!$N$101,2),ROUND(Registro_Compras!$J$101*Registro_Compras!$N$101,2))))</f>
        <v>358.13</v>
      </c>
      <c r="F878" s="20" t="str">
        <f>""</f>
        <v/>
      </c>
      <c r="G878" t="str">
        <f>IF($C878="","",IF(Registro_Compras!$F$101="NOTA DE CREDITO","Por la nota de credito "&amp;Registro_Compras!$C$101&amp;" de "&amp;Registro_Compras!$E$101&amp;" [PATRON POR CONFIRMAR CON CONTADOR]",IF(Registro_Compras!$F$101="RHE","Por el registro del recibo por honorarios "&amp;Registro_Compras!$C$101&amp;" de "&amp;Registro_Compras!$E$101&amp;" [PATRON POR CONFIRMAR CON CONTADOR]","Por el registro de la factura "&amp;Registro_Compras!$C$101&amp;" de "&amp;Registro_Compras!$E$101)))</f>
        <v>Por el registro de la factura E001-1229 de TRANSPORTES TURISTICOS LASER S.A.C.</v>
      </c>
      <c r="H878" t="str">
        <f>IF($C878="","",Registro_Compras!$C$101)</f>
        <v>E001-1229</v>
      </c>
    </row>
    <row r="879" spans="1:8" x14ac:dyDescent="0.25">
      <c r="A879" s="25">
        <f>IF($C879="","",Registro_Compras!$B$101)</f>
        <v>46242</v>
      </c>
      <c r="B879" t="str">
        <f>IF($C879="","","C"&amp;TEXT(INT((ROW()-5)/9)+1,"000")&amp;"-1")</f>
        <v>C098-1</v>
      </c>
      <c r="C879" t="str">
        <f>IF(OR(Registro_Compras!$C$101="",Registro_Compras!$O$101=""),"",IF(Registro_Compras!$F$101="RHE",IF(Registro_Compras!$V$101=0,"","4017"),IF(Registro_Compras!$F$101="NOTA DE CREDITO",IF(Registro_Compras!$M$101="","63",Registro_Compras!$M$101),IF(Registro_Compras!$K$101=0,"","40111"))))</f>
        <v>40111</v>
      </c>
      <c r="D879" t="str">
        <f>IF(OR(Registro_Compras!$C$101="",Registro_Compras!$O$101=""),"",IF(Registro_Compras!$F$101="RHE","Retencion Renta 4ta Categoria por Pagar",IF(Registro_Compras!$F$101="NOTA DE CREDITO","Gastos de Servicios Prestados por Terceros","IGV - Cuenta Propia (Credito Fiscal)")))</f>
        <v>IGV - Cuenta Propia (Credito Fiscal)</v>
      </c>
      <c r="E879" s="20">
        <f>IF($C879="","",IF(Registro_Compras!$F$101="FACTURA",ROUND(Registro_Compras!$K$101*Registro_Compras!$N$101,2),""))</f>
        <v>64.45</v>
      </c>
      <c r="F879" s="20" t="str">
        <f>IF($C879="","",IF(Registro_Compras!$F$101="RHE",ROUND(Registro_Compras!$V$101*Registro_Compras!$N$101,2),IF(Registro_Compras!$F$101="NOTA DE CREDITO",ROUND(ABS(Registro_Compras!$J$101*Registro_Compras!$N$101),2),"")))</f>
        <v/>
      </c>
      <c r="G879" t="str">
        <f>IF($C879="","",IF(Registro_Compras!$F$101="NOTA DE CREDITO","Por la nota de credito "&amp;Registro_Compras!$C$101&amp;" de "&amp;Registro_Compras!$E$101&amp;" [PATRON POR CONFIRMAR CON CONTADOR]",IF(Registro_Compras!$F$101="RHE","Por el registro del recibo por honorarios "&amp;Registro_Compras!$C$101&amp;" de "&amp;Registro_Compras!$E$101&amp;" [PATRON POR CONFIRMAR CON CONTADOR]","Por el registro de la factura "&amp;Registro_Compras!$C$101&amp;" de "&amp;Registro_Compras!$E$101)))</f>
        <v>Por el registro de la factura E001-1229 de TRANSPORTES TURISTICOS LASER S.A.C.</v>
      </c>
      <c r="H879" t="str">
        <f>IF($C879="","",Registro_Compras!$C$101)</f>
        <v>E001-1229</v>
      </c>
    </row>
    <row r="880" spans="1:8" x14ac:dyDescent="0.25">
      <c r="A880" s="25">
        <f>IF($C880="","",Registro_Compras!$B$101)</f>
        <v>46242</v>
      </c>
      <c r="B880" t="str">
        <f>IF($C880="","","C"&amp;TEXT(INT((ROW()-5)/9)+1,"000")&amp;"-1")</f>
        <v>C098-1</v>
      </c>
      <c r="C880" t="str">
        <f>IF(OR(Registro_Compras!$C$101="",Registro_Compras!$O$101=""),"",IF(Registro_Compras!$F$101="NOTA DE CREDITO",IF(Registro_Compras!$K$101=0,"","40111"),"4212"))</f>
        <v>4212</v>
      </c>
      <c r="D880" t="str">
        <f>IF(OR(Registro_Compras!$C$101="",Registro_Compras!$O$101=""),"",IF(Registro_Compras!$F$101="NOTA DE CREDITO","IGV - Cuenta Propia (Credito Fiscal)","Cuentas por Pagar Comerciales - Terceros (Emitidas)"))</f>
        <v>Cuentas por Pagar Comerciales - Terceros (Emitidas)</v>
      </c>
      <c r="E880" s="20" t="str">
        <f>""</f>
        <v/>
      </c>
      <c r="F880" s="20">
        <f>IF($C880="","",IF(Registro_Compras!$F$101="NOTA DE CREDITO",ROUND(ABS(Registro_Compras!$K$101*Registro_Compras!$N$101),2),IF(Registro_Compras!$F$101="RHE",(ROUND(Registro_Compras!$L$101*Registro_Compras!$N$101,2)-ROUND(Registro_Compras!$V$101*Registro_Compras!$N$101,2)),Registro_Compras!$O$101)))</f>
        <v>422.58</v>
      </c>
      <c r="G880" t="str">
        <f>IF($C880="","",IF(Registro_Compras!$F$101="NOTA DE CREDITO","Por la nota de credito "&amp;Registro_Compras!$C$101&amp;" de "&amp;Registro_Compras!$E$101&amp;" [PATRON POR CONFIRMAR CON CONTADOR]",IF(Registro_Compras!$F$101="RHE","Por el registro del recibo por honorarios "&amp;Registro_Compras!$C$101&amp;" de "&amp;Registro_Compras!$E$101&amp;" [PATRON POR CONFIRMAR CON CONTADOR]","Por el registro de la factura "&amp;Registro_Compras!$C$101&amp;" de "&amp;Registro_Compras!$E$101)))</f>
        <v>Por el registro de la factura E001-1229 de TRANSPORTES TURISTICOS LASER S.A.C.</v>
      </c>
      <c r="H880" t="str">
        <f>IF($C880="","",Registro_Compras!$C$101)</f>
        <v>E001-1229</v>
      </c>
    </row>
    <row r="881" spans="1:8" x14ac:dyDescent="0.25">
      <c r="A881" s="25">
        <f>IF($C881="","",Registro_Compras!$B$101)</f>
        <v>46242</v>
      </c>
      <c r="B881" t="str">
        <f>IF($C881="","","C"&amp;TEXT(INT((ROW()-5)/9)+1,"000")&amp;"-2")</f>
        <v>C098-2</v>
      </c>
      <c r="C881" t="str">
        <f>IF(OR(Registro_Compras!$C$101="",Registro_Compras!$O$101=""),"",IF(Registro_Compras!$AB$101="ADMINISTRATIVO","94","95"))</f>
        <v>95</v>
      </c>
      <c r="D881" t="str">
        <f>IF(OR(Registro_Compras!$C$101="",Registro_Compras!$O$101=""),"",IF(Registro_Compras!$AB$101="ADMINISTRATIVO","Gastos Administrativos","Gastos de Venta y Operacion"))</f>
        <v>Gastos de Venta y Operacion</v>
      </c>
      <c r="E881" s="20">
        <f>IF($C881="","",IF(Registro_Compras!$F$101="NOTA DE CREDITO","",IF(Registro_Compras!$F$101="RHE",ROUND(Registro_Compras!$L$101*Registro_Compras!$N$101,2),ROUND(Registro_Compras!$J$101*Registro_Compras!$N$101,2))))</f>
        <v>358.13</v>
      </c>
      <c r="F881" s="20" t="str">
        <f>IF($C881="","",IF(Registro_Compras!$F$101="NOTA DE CREDITO",ROUND(ABS(Registro_Compras!$J$101*Registro_Compras!$N$101),2),""))</f>
        <v/>
      </c>
      <c r="G881" t="str">
        <f>IF($C881="","","Por el destino del gasto")</f>
        <v>Por el destino del gasto</v>
      </c>
      <c r="H881" t="str">
        <f>IF($C881="","",Registro_Compras!$C$101)</f>
        <v>E001-1229</v>
      </c>
    </row>
    <row r="882" spans="1:8" x14ac:dyDescent="0.25">
      <c r="A882" s="25">
        <f>IF($C882="","",Registro_Compras!$B$101)</f>
        <v>46242</v>
      </c>
      <c r="B882" t="str">
        <f>IF($C882="","","C"&amp;TEXT(INT((ROW()-5)/9)+1,"000")&amp;"-2")</f>
        <v>C098-2</v>
      </c>
      <c r="C882" t="str">
        <f>IF(OR(Registro_Compras!$C$101="",Registro_Compras!$O$101=""),"","79/791")</f>
        <v>79/791</v>
      </c>
      <c r="D882" t="str">
        <f>IF(OR(Registro_Compras!$C$101="",Registro_Compras!$O$101=""),"","Cargas Imputables a Cuentas de Costos y Gastos")</f>
        <v>Cargas Imputables a Cuentas de Costos y Gastos</v>
      </c>
      <c r="E882" s="20" t="str">
        <f>IF($C882="","",IF(Registro_Compras!$F$101="NOTA DE CREDITO",ROUND(ABS(Registro_Compras!$J$101*Registro_Compras!$N$101),2),""))</f>
        <v/>
      </c>
      <c r="F882" s="20">
        <f>IF($C882="","",IF(Registro_Compras!$F$101="NOTA DE CREDITO","",IF(Registro_Compras!$F$101="RHE",ROUND(Registro_Compras!$L$101*Registro_Compras!$N$101,2),ROUND(Registro_Compras!$J$101*Registro_Compras!$N$101,2))))</f>
        <v>358.13</v>
      </c>
      <c r="G882" t="str">
        <f>IF($C882="","","Por el destino del gasto")</f>
        <v>Por el destino del gasto</v>
      </c>
      <c r="H882" t="str">
        <f>IF($C882="","",Registro_Compras!$C$101)</f>
        <v>E001-1229</v>
      </c>
    </row>
    <row r="883" spans="1:8" x14ac:dyDescent="0.25">
      <c r="A883" s="25" t="str">
        <f>IF($C883="","",Registro_Compras!$X$101)</f>
        <v/>
      </c>
      <c r="B883" t="str">
        <f>IF($C883="","","C"&amp;TEXT(INT((ROW()-5)/9)+1,"000")&amp;"-3")</f>
        <v/>
      </c>
      <c r="C883" t="str">
        <f>IF(OR(Registro_Compras!$C$101="",Registro_Compras!$O$101="",Registro_Compras!$R$101&lt;&gt;"SI",Registro_Compras!$X$101=""),"","4212")</f>
        <v/>
      </c>
      <c r="D883" t="str">
        <f>IF(OR(Registro_Compras!$C$101="",Registro_Compras!$O$101=""),"","Cuentas por Pagar Comerciales - Terceros")</f>
        <v>Cuentas por Pagar Comerciales - Terceros</v>
      </c>
      <c r="E883" s="20" t="str">
        <f>IF($C883="","",Registro_Compras!$S$101)</f>
        <v/>
      </c>
      <c r="F883" s="20" t="str">
        <f>""</f>
        <v/>
      </c>
      <c r="G883" t="str">
        <f>IF($C883="","","Por el deposito de la detraccion en el Banco de la Nacion")</f>
        <v/>
      </c>
      <c r="H883" t="str">
        <f>IF($C883="","",Registro_Compras!$C$101)</f>
        <v/>
      </c>
    </row>
    <row r="884" spans="1:8" x14ac:dyDescent="0.25">
      <c r="A884" s="25" t="str">
        <f>IF($C884="","",Registro_Compras!$X$101)</f>
        <v/>
      </c>
      <c r="B884" t="str">
        <f>IF($C884="","","C"&amp;TEXT(INT((ROW()-5)/9)+1,"000")&amp;"-3")</f>
        <v/>
      </c>
      <c r="C884" t="str">
        <f>IF(OR(Registro_Compras!$C$101="",Registro_Compras!$O$101="",Registro_Compras!$R$101&lt;&gt;"SI",Registro_Compras!$X$101=""),"","1041")</f>
        <v/>
      </c>
      <c r="D884" t="str">
        <f>IF(OR(Registro_Compras!$C$101="",Registro_Compras!$O$101=""),"","Efectivo y Equivalentes - Cta. Cte. Operativa")</f>
        <v>Efectivo y Equivalentes - Cta. Cte. Operativa</v>
      </c>
      <c r="E884" s="20" t="str">
        <f>""</f>
        <v/>
      </c>
      <c r="F884" s="20" t="str">
        <f>IF($C884="","",Registro_Compras!$S$101)</f>
        <v/>
      </c>
      <c r="G884" t="str">
        <f>IF($C884="","","Por el deposito de la detraccion en el Banco de la Nacion")</f>
        <v/>
      </c>
      <c r="H884" t="str">
        <f>IF($C884="","",Registro_Compras!$C$101)</f>
        <v/>
      </c>
    </row>
    <row r="885" spans="1:8" x14ac:dyDescent="0.25">
      <c r="A885" s="25" t="str">
        <f>IF($C885="","",Registro_Compras!$Y$101)</f>
        <v/>
      </c>
      <c r="B885" t="str">
        <f>IF($C885="","","C"&amp;TEXT(INT((ROW()-5)/9)+1,"000")&amp;"-4")</f>
        <v/>
      </c>
      <c r="C885" t="str">
        <f>IF(OR(Registro_Compras!$C$101="",Registro_Compras!$O$101="",Registro_Compras!$Y$101="",Registro_Compras!$F$101="NOTA DE CREDITO"),"","4212")</f>
        <v/>
      </c>
      <c r="D885" t="str">
        <f>IF(OR(Registro_Compras!$C$101="",Registro_Compras!$O$101=""),"","Cuentas por Pagar Comerciales - Terceros")</f>
        <v>Cuentas por Pagar Comerciales - Terceros</v>
      </c>
      <c r="E885" s="20" t="str">
        <f>IF($C885="","",IF(Registro_Compras!$F$101="RHE",(ROUND(Registro_Compras!$L$101*Registro_Compras!$N$101,2)-ROUND(Registro_Compras!$V$101*Registro_Compras!$N$101,2)),ROUND(Registro_Compras!$O$101-Registro_Compras!$S$101,2)))</f>
        <v/>
      </c>
      <c r="F885" s="20" t="str">
        <f>""</f>
        <v/>
      </c>
      <c r="G885" t="str">
        <f>IF($C885="","","Por la cancelacion del saldo al proveedor")</f>
        <v/>
      </c>
      <c r="H885" t="str">
        <f>IF($C885="","",Registro_Compras!$C$101)</f>
        <v/>
      </c>
    </row>
    <row r="886" spans="1:8" x14ac:dyDescent="0.25">
      <c r="A886" s="25" t="str">
        <f>IF($C886="","",Registro_Compras!$Y$101)</f>
        <v/>
      </c>
      <c r="B886" t="str">
        <f>IF($C886="","","C"&amp;TEXT(INT((ROW()-5)/9)+1,"000")&amp;"-4")</f>
        <v/>
      </c>
      <c r="C886" t="str">
        <f>IF(OR(Registro_Compras!$C$101="",Registro_Compras!$O$101="",Registro_Compras!$Y$101="",Registro_Compras!$F$101="NOTA DE CREDITO"),"","1041")</f>
        <v/>
      </c>
      <c r="D886" t="str">
        <f>IF(OR(Registro_Compras!$C$101="",Registro_Compras!$O$101=""),"","Efectivo y Equivalentes - Cta. Cte. Operativa")</f>
        <v>Efectivo y Equivalentes - Cta. Cte. Operativa</v>
      </c>
      <c r="E886" s="20" t="str">
        <f>""</f>
        <v/>
      </c>
      <c r="F886" s="20" t="str">
        <f>IF($C886="","",IF(Registro_Compras!$F$101="RHE",(ROUND(Registro_Compras!$L$101*Registro_Compras!$N$101,2)-ROUND(Registro_Compras!$V$101*Registro_Compras!$N$101,2)),ROUND(Registro_Compras!$O$101-Registro_Compras!$S$101,2)))</f>
        <v/>
      </c>
      <c r="G886" t="str">
        <f>IF($C886="","","Por la cancelacion del saldo al proveedor")</f>
        <v/>
      </c>
      <c r="H886" t="str">
        <f>IF($C886="","",Registro_Compras!$C$101)</f>
        <v/>
      </c>
    </row>
    <row r="887" spans="1:8" x14ac:dyDescent="0.25">
      <c r="A887" s="25">
        <f>IF($C887="","",Registro_Compras!$B$102)</f>
        <v>46242</v>
      </c>
      <c r="B887" t="str">
        <f>IF($C887="","","C"&amp;TEXT(INT((ROW()-5)/9)+1,"000")&amp;"-1")</f>
        <v>C099-1</v>
      </c>
      <c r="C887" t="str">
        <f>IF(OR(Registro_Compras!$C$102="",Registro_Compras!$O$102=""),"",IF(Registro_Compras!$F$102="NOTA DE CREDITO","4212",IF(Registro_Compras!$M$102="","63",Registro_Compras!$M$102)))</f>
        <v>639</v>
      </c>
      <c r="D887" t="str">
        <f>IF(OR(Registro_Compras!$C$102="",Registro_Compras!$O$102=""),"",IF(Registro_Compras!$F$102="NOTA DE CREDITO","Cuentas por Pagar Comerciales - Terceros (Emitidas)",IF(Registro_Compras!$F$102="RHE","Honorarios Profesionales - Servicios de Terceros","Gastos de Servicios Prestados por Terceros")))</f>
        <v>Gastos de Servicios Prestados por Terceros</v>
      </c>
      <c r="E887" s="20">
        <f>IF($C887="","",IF(Registro_Compras!$F$102="NOTA DE CREDITO",ABS(Registro_Compras!$O$102),IF(Registro_Compras!$F$102="RHE",ROUND(Registro_Compras!$L$102*Registro_Compras!$N$102,2),ROUND(Registro_Compras!$J$102*Registro_Compras!$N$102,2))))</f>
        <v>1094.23</v>
      </c>
      <c r="F887" s="20" t="str">
        <f>""</f>
        <v/>
      </c>
      <c r="G887" t="str">
        <f>IF($C887="","",IF(Registro_Compras!$F$102="NOTA DE CREDITO","Por la nota de credito "&amp;Registro_Compras!$C$102&amp;" de "&amp;Registro_Compras!$E$102&amp;" [PATRON POR CONFIRMAR CON CONTADOR]",IF(Registro_Compras!$F$102="RHE","Por el registro del recibo por honorarios "&amp;Registro_Compras!$C$102&amp;" de "&amp;Registro_Compras!$E$102&amp;" [PATRON POR CONFIRMAR CON CONTADOR]","Por el registro de la factura "&amp;Registro_Compras!$C$102&amp;" de "&amp;Registro_Compras!$E$102)))</f>
        <v>Por el registro de la factura E001-1879 de CAMPING TOURS E.I.R.LTDA</v>
      </c>
      <c r="H887" t="str">
        <f>IF($C887="","",Registro_Compras!$C$102)</f>
        <v>E001-1879</v>
      </c>
    </row>
    <row r="888" spans="1:8" x14ac:dyDescent="0.25">
      <c r="A888" s="25">
        <f>IF($C888="","",Registro_Compras!$B$102)</f>
        <v>46242</v>
      </c>
      <c r="B888" t="str">
        <f>IF($C888="","","C"&amp;TEXT(INT((ROW()-5)/9)+1,"000")&amp;"-1")</f>
        <v>C099-1</v>
      </c>
      <c r="C888" t="str">
        <f>IF(OR(Registro_Compras!$C$102="",Registro_Compras!$O$102=""),"",IF(Registro_Compras!$F$102="RHE",IF(Registro_Compras!$V$102=0,"","4017"),IF(Registro_Compras!$F$102="NOTA DE CREDITO",IF(Registro_Compras!$M$102="","63",Registro_Compras!$M$102),IF(Registro_Compras!$K$102=0,"","40111"))))</f>
        <v>40111</v>
      </c>
      <c r="D888" t="str">
        <f>IF(OR(Registro_Compras!$C$102="",Registro_Compras!$O$102=""),"",IF(Registro_Compras!$F$102="RHE","Retencion Renta 4ta Categoria por Pagar",IF(Registro_Compras!$F$102="NOTA DE CREDITO","Gastos de Servicios Prestados por Terceros","IGV - Cuenta Propia (Credito Fiscal)")))</f>
        <v>IGV - Cuenta Propia (Credito Fiscal)</v>
      </c>
      <c r="E888" s="20">
        <f>IF($C888="","",IF(Registro_Compras!$F$102="FACTURA",ROUND(Registro_Compras!$K$102*Registro_Compras!$N$102,2),""))</f>
        <v>196.95</v>
      </c>
      <c r="F888" s="20" t="str">
        <f>IF($C888="","",IF(Registro_Compras!$F$102="RHE",ROUND(Registro_Compras!$V$102*Registro_Compras!$N$102,2),IF(Registro_Compras!$F$102="NOTA DE CREDITO",ROUND(ABS(Registro_Compras!$J$102*Registro_Compras!$N$102),2),"")))</f>
        <v/>
      </c>
      <c r="G888" t="str">
        <f>IF($C888="","",IF(Registro_Compras!$F$102="NOTA DE CREDITO","Por la nota de credito "&amp;Registro_Compras!$C$102&amp;" de "&amp;Registro_Compras!$E$102&amp;" [PATRON POR CONFIRMAR CON CONTADOR]",IF(Registro_Compras!$F$102="RHE","Por el registro del recibo por honorarios "&amp;Registro_Compras!$C$102&amp;" de "&amp;Registro_Compras!$E$102&amp;" [PATRON POR CONFIRMAR CON CONTADOR]","Por el registro de la factura "&amp;Registro_Compras!$C$102&amp;" de "&amp;Registro_Compras!$E$102)))</f>
        <v>Por el registro de la factura E001-1879 de CAMPING TOURS E.I.R.LTDA</v>
      </c>
      <c r="H888" t="str">
        <f>IF($C888="","",Registro_Compras!$C$102)</f>
        <v>E001-1879</v>
      </c>
    </row>
    <row r="889" spans="1:8" x14ac:dyDescent="0.25">
      <c r="A889" s="25">
        <f>IF($C889="","",Registro_Compras!$B$102)</f>
        <v>46242</v>
      </c>
      <c r="B889" t="str">
        <f>IF($C889="","","C"&amp;TEXT(INT((ROW()-5)/9)+1,"000")&amp;"-1")</f>
        <v>C099-1</v>
      </c>
      <c r="C889" t="str">
        <f>IF(OR(Registro_Compras!$C$102="",Registro_Compras!$O$102=""),"",IF(Registro_Compras!$F$102="NOTA DE CREDITO",IF(Registro_Compras!$K$102=0,"","40111"),"4212"))</f>
        <v>4212</v>
      </c>
      <c r="D889" t="str">
        <f>IF(OR(Registro_Compras!$C$102="",Registro_Compras!$O$102=""),"",IF(Registro_Compras!$F$102="NOTA DE CREDITO","IGV - Cuenta Propia (Credito Fiscal)","Cuentas por Pagar Comerciales - Terceros (Emitidas)"))</f>
        <v>Cuentas por Pagar Comerciales - Terceros (Emitidas)</v>
      </c>
      <c r="E889" s="20" t="str">
        <f>""</f>
        <v/>
      </c>
      <c r="F889" s="20">
        <f>IF($C889="","",IF(Registro_Compras!$F$102="NOTA DE CREDITO",ROUND(ABS(Registro_Compras!$K$102*Registro_Compras!$N$102),2),IF(Registro_Compras!$F$102="RHE",(ROUND(Registro_Compras!$L$102*Registro_Compras!$N$102,2)-ROUND(Registro_Compras!$V$102*Registro_Compras!$N$102,2)),Registro_Compras!$O$102)))</f>
        <v>1291.18</v>
      </c>
      <c r="G889" t="str">
        <f>IF($C889="","",IF(Registro_Compras!$F$102="NOTA DE CREDITO","Por la nota de credito "&amp;Registro_Compras!$C$102&amp;" de "&amp;Registro_Compras!$E$102&amp;" [PATRON POR CONFIRMAR CON CONTADOR]",IF(Registro_Compras!$F$102="RHE","Por el registro del recibo por honorarios "&amp;Registro_Compras!$C$102&amp;" de "&amp;Registro_Compras!$E$102&amp;" [PATRON POR CONFIRMAR CON CONTADOR]","Por el registro de la factura "&amp;Registro_Compras!$C$102&amp;" de "&amp;Registro_Compras!$E$102)))</f>
        <v>Por el registro de la factura E001-1879 de CAMPING TOURS E.I.R.LTDA</v>
      </c>
      <c r="H889" t="str">
        <f>IF($C889="","",Registro_Compras!$C$102)</f>
        <v>E001-1879</v>
      </c>
    </row>
    <row r="890" spans="1:8" x14ac:dyDescent="0.25">
      <c r="A890" s="25">
        <f>IF($C890="","",Registro_Compras!$B$102)</f>
        <v>46242</v>
      </c>
      <c r="B890" t="str">
        <f>IF($C890="","","C"&amp;TEXT(INT((ROW()-5)/9)+1,"000")&amp;"-2")</f>
        <v>C099-2</v>
      </c>
      <c r="C890" t="str">
        <f>IF(OR(Registro_Compras!$C$102="",Registro_Compras!$O$102=""),"",IF(Registro_Compras!$AB$102="ADMINISTRATIVO","94","95"))</f>
        <v>95</v>
      </c>
      <c r="D890" t="str">
        <f>IF(OR(Registro_Compras!$C$102="",Registro_Compras!$O$102=""),"",IF(Registro_Compras!$AB$102="ADMINISTRATIVO","Gastos Administrativos","Gastos de Venta y Operacion"))</f>
        <v>Gastos de Venta y Operacion</v>
      </c>
      <c r="E890" s="20">
        <f>IF($C890="","",IF(Registro_Compras!$F$102="NOTA DE CREDITO","",IF(Registro_Compras!$F$102="RHE",ROUND(Registro_Compras!$L$102*Registro_Compras!$N$102,2),ROUND(Registro_Compras!$J$102*Registro_Compras!$N$102,2))))</f>
        <v>1094.23</v>
      </c>
      <c r="F890" s="20" t="str">
        <f>IF($C890="","",IF(Registro_Compras!$F$102="NOTA DE CREDITO",ROUND(ABS(Registro_Compras!$J$102*Registro_Compras!$N$102),2),""))</f>
        <v/>
      </c>
      <c r="G890" t="str">
        <f>IF($C890="","","Por el destino del gasto")</f>
        <v>Por el destino del gasto</v>
      </c>
      <c r="H890" t="str">
        <f>IF($C890="","",Registro_Compras!$C$102)</f>
        <v>E001-1879</v>
      </c>
    </row>
    <row r="891" spans="1:8" x14ac:dyDescent="0.25">
      <c r="A891" s="25">
        <f>IF($C891="","",Registro_Compras!$B$102)</f>
        <v>46242</v>
      </c>
      <c r="B891" t="str">
        <f>IF($C891="","","C"&amp;TEXT(INT((ROW()-5)/9)+1,"000")&amp;"-2")</f>
        <v>C099-2</v>
      </c>
      <c r="C891" t="str">
        <f>IF(OR(Registro_Compras!$C$102="",Registro_Compras!$O$102=""),"","79/791")</f>
        <v>79/791</v>
      </c>
      <c r="D891" t="str">
        <f>IF(OR(Registro_Compras!$C$102="",Registro_Compras!$O$102=""),"","Cargas Imputables a Cuentas de Costos y Gastos")</f>
        <v>Cargas Imputables a Cuentas de Costos y Gastos</v>
      </c>
      <c r="E891" s="20" t="str">
        <f>IF($C891="","",IF(Registro_Compras!$F$102="NOTA DE CREDITO",ROUND(ABS(Registro_Compras!$J$102*Registro_Compras!$N$102),2),""))</f>
        <v/>
      </c>
      <c r="F891" s="20">
        <f>IF($C891="","",IF(Registro_Compras!$F$102="NOTA DE CREDITO","",IF(Registro_Compras!$F$102="RHE",ROUND(Registro_Compras!$L$102*Registro_Compras!$N$102,2),ROUND(Registro_Compras!$J$102*Registro_Compras!$N$102,2))))</f>
        <v>1094.23</v>
      </c>
      <c r="G891" t="str">
        <f>IF($C891="","","Por el destino del gasto")</f>
        <v>Por el destino del gasto</v>
      </c>
      <c r="H891" t="str">
        <f>IF($C891="","",Registro_Compras!$C$102)</f>
        <v>E001-1879</v>
      </c>
    </row>
    <row r="892" spans="1:8" x14ac:dyDescent="0.25">
      <c r="A892" s="25" t="str">
        <f>IF($C892="","",Registro_Compras!$X$102)</f>
        <v/>
      </c>
      <c r="B892" t="str">
        <f>IF($C892="","","C"&amp;TEXT(INT((ROW()-5)/9)+1,"000")&amp;"-3")</f>
        <v/>
      </c>
      <c r="C892" t="str">
        <f>IF(OR(Registro_Compras!$C$102="",Registro_Compras!$O$102="",Registro_Compras!$R$102&lt;&gt;"SI",Registro_Compras!$X$102=""),"","4212")</f>
        <v/>
      </c>
      <c r="D892" t="str">
        <f>IF(OR(Registro_Compras!$C$102="",Registro_Compras!$O$102=""),"","Cuentas por Pagar Comerciales - Terceros")</f>
        <v>Cuentas por Pagar Comerciales - Terceros</v>
      </c>
      <c r="E892" s="20" t="str">
        <f>IF($C892="","",Registro_Compras!$S$102)</f>
        <v/>
      </c>
      <c r="F892" s="20" t="str">
        <f>""</f>
        <v/>
      </c>
      <c r="G892" t="str">
        <f>IF($C892="","","Por el deposito de la detraccion en el Banco de la Nacion")</f>
        <v/>
      </c>
      <c r="H892" t="str">
        <f>IF($C892="","",Registro_Compras!$C$102)</f>
        <v/>
      </c>
    </row>
    <row r="893" spans="1:8" x14ac:dyDescent="0.25">
      <c r="A893" s="25" t="str">
        <f>IF($C893="","",Registro_Compras!$X$102)</f>
        <v/>
      </c>
      <c r="B893" t="str">
        <f>IF($C893="","","C"&amp;TEXT(INT((ROW()-5)/9)+1,"000")&amp;"-3")</f>
        <v/>
      </c>
      <c r="C893" t="str">
        <f>IF(OR(Registro_Compras!$C$102="",Registro_Compras!$O$102="",Registro_Compras!$R$102&lt;&gt;"SI",Registro_Compras!$X$102=""),"","1041")</f>
        <v/>
      </c>
      <c r="D893" t="str">
        <f>IF(OR(Registro_Compras!$C$102="",Registro_Compras!$O$102=""),"","Efectivo y Equivalentes - Cta. Cte. Operativa")</f>
        <v>Efectivo y Equivalentes - Cta. Cte. Operativa</v>
      </c>
      <c r="E893" s="20" t="str">
        <f>""</f>
        <v/>
      </c>
      <c r="F893" s="20" t="str">
        <f>IF($C893="","",Registro_Compras!$S$102)</f>
        <v/>
      </c>
      <c r="G893" t="str">
        <f>IF($C893="","","Por el deposito de la detraccion en el Banco de la Nacion")</f>
        <v/>
      </c>
      <c r="H893" t="str">
        <f>IF($C893="","",Registro_Compras!$C$102)</f>
        <v/>
      </c>
    </row>
    <row r="894" spans="1:8" x14ac:dyDescent="0.25">
      <c r="A894" s="25" t="str">
        <f>IF($C894="","",Registro_Compras!$Y$102)</f>
        <v/>
      </c>
      <c r="B894" t="str">
        <f>IF($C894="","","C"&amp;TEXT(INT((ROW()-5)/9)+1,"000")&amp;"-4")</f>
        <v/>
      </c>
      <c r="C894" t="str">
        <f>IF(OR(Registro_Compras!$C$102="",Registro_Compras!$O$102="",Registro_Compras!$Y$102="",Registro_Compras!$F$102="NOTA DE CREDITO"),"","4212")</f>
        <v/>
      </c>
      <c r="D894" t="str">
        <f>IF(OR(Registro_Compras!$C$102="",Registro_Compras!$O$102=""),"","Cuentas por Pagar Comerciales - Terceros")</f>
        <v>Cuentas por Pagar Comerciales - Terceros</v>
      </c>
      <c r="E894" s="20" t="str">
        <f>IF($C894="","",IF(Registro_Compras!$F$102="RHE",(ROUND(Registro_Compras!$L$102*Registro_Compras!$N$102,2)-ROUND(Registro_Compras!$V$102*Registro_Compras!$N$102,2)),ROUND(Registro_Compras!$O$102-Registro_Compras!$S$102,2)))</f>
        <v/>
      </c>
      <c r="F894" s="20" t="str">
        <f>""</f>
        <v/>
      </c>
      <c r="G894" t="str">
        <f>IF($C894="","","Por la cancelacion del saldo al proveedor")</f>
        <v/>
      </c>
      <c r="H894" t="str">
        <f>IF($C894="","",Registro_Compras!$C$102)</f>
        <v/>
      </c>
    </row>
    <row r="895" spans="1:8" x14ac:dyDescent="0.25">
      <c r="A895" s="25" t="str">
        <f>IF($C895="","",Registro_Compras!$Y$102)</f>
        <v/>
      </c>
      <c r="B895" t="str">
        <f>IF($C895="","","C"&amp;TEXT(INT((ROW()-5)/9)+1,"000")&amp;"-4")</f>
        <v/>
      </c>
      <c r="C895" t="str">
        <f>IF(OR(Registro_Compras!$C$102="",Registro_Compras!$O$102="",Registro_Compras!$Y$102="",Registro_Compras!$F$102="NOTA DE CREDITO"),"","1041")</f>
        <v/>
      </c>
      <c r="D895" t="str">
        <f>IF(OR(Registro_Compras!$C$102="",Registro_Compras!$O$102=""),"","Efectivo y Equivalentes - Cta. Cte. Operativa")</f>
        <v>Efectivo y Equivalentes - Cta. Cte. Operativa</v>
      </c>
      <c r="E895" s="20" t="str">
        <f>""</f>
        <v/>
      </c>
      <c r="F895" s="20" t="str">
        <f>IF($C895="","",IF(Registro_Compras!$F$102="RHE",(ROUND(Registro_Compras!$L$102*Registro_Compras!$N$102,2)-ROUND(Registro_Compras!$V$102*Registro_Compras!$N$102,2)),ROUND(Registro_Compras!$O$102-Registro_Compras!$S$102,2)))</f>
        <v/>
      </c>
      <c r="G895" t="str">
        <f>IF($C895="","","Por la cancelacion del saldo al proveedor")</f>
        <v/>
      </c>
      <c r="H895" t="str">
        <f>IF($C895="","",Registro_Compras!$C$102)</f>
        <v/>
      </c>
    </row>
    <row r="896" spans="1:8" x14ac:dyDescent="0.25">
      <c r="A896" s="25">
        <f>IF($C896="","",Registro_Compras!$B$103)</f>
        <v>46239</v>
      </c>
      <c r="B896" t="str">
        <f>IF($C896="","","C"&amp;TEXT(INT((ROW()-5)/9)+1,"000")&amp;"-1")</f>
        <v>C100-1</v>
      </c>
      <c r="C896" t="str">
        <f>IF(OR(Registro_Compras!$C$103="",Registro_Compras!$O$103=""),"",IF(Registro_Compras!$F$103="NOTA DE CREDITO","4212",IF(Registro_Compras!$M$103="","63",Registro_Compras!$M$103)))</f>
        <v>632</v>
      </c>
      <c r="D896" t="str">
        <f>IF(OR(Registro_Compras!$C$103="",Registro_Compras!$O$103=""),"",IF(Registro_Compras!$F$103="NOTA DE CREDITO","Cuentas por Pagar Comerciales - Terceros (Emitidas)",IF(Registro_Compras!$F$103="RHE","Honorarios Profesionales - Servicios de Terceros","Gastos de Servicios Prestados por Terceros")))</f>
        <v>Honorarios Profesionales - Servicios de Terceros</v>
      </c>
      <c r="E896" s="20">
        <f>IF($C896="","",IF(Registro_Compras!$F$103="NOTA DE CREDITO",ABS(Registro_Compras!$O$103),IF(Registro_Compras!$F$103="RHE",ROUND(Registro_Compras!$L$103*Registro_Compras!$N$103,2),ROUND(Registro_Compras!$J$103*Registro_Compras!$N$103,2))))</f>
        <v>67.88</v>
      </c>
      <c r="F896" s="20" t="str">
        <f>""</f>
        <v/>
      </c>
      <c r="G896" t="str">
        <f>IF($C896="","",IF(Registro_Compras!$F$103="NOTA DE CREDITO","Por la nota de credito "&amp;Registro_Compras!$C$103&amp;" de "&amp;Registro_Compras!$E$103&amp;" [PATRON POR CONFIRMAR CON CONTADOR]",IF(Registro_Compras!$F$103="RHE","Por el registro del recibo por honorarios "&amp;Registro_Compras!$C$103&amp;" de "&amp;Registro_Compras!$E$103&amp;" [PATRON POR CONFIRMAR CON CONTADOR]","Por el registro de la factura "&amp;Registro_Compras!$C$103&amp;" de "&amp;Registro_Compras!$E$103)))</f>
        <v>Por el registro del recibo por honorarios E001- 646 de GONZALES ACHAHUI HENRY LUIS [PATRON POR CONFIRMAR CON CONTADOR]</v>
      </c>
      <c r="H896" t="str">
        <f>IF($C896="","",Registro_Compras!$C$103)</f>
        <v>E001- 646</v>
      </c>
    </row>
    <row r="897" spans="1:8" x14ac:dyDescent="0.25">
      <c r="A897" s="25" t="str">
        <f>IF($C897="","",Registro_Compras!$B$103)</f>
        <v/>
      </c>
      <c r="B897" t="str">
        <f>IF($C897="","","C"&amp;TEXT(INT((ROW()-5)/9)+1,"000")&amp;"-1")</f>
        <v/>
      </c>
      <c r="C897" t="str">
        <f>IF(OR(Registro_Compras!$C$103="",Registro_Compras!$O$103=""),"",IF(Registro_Compras!$F$103="RHE",IF(Registro_Compras!$V$103=0,"","4017"),IF(Registro_Compras!$F$103="NOTA DE CREDITO",IF(Registro_Compras!$M$103="","63",Registro_Compras!$M$103),IF(Registro_Compras!$K$103=0,"","40111"))))</f>
        <v/>
      </c>
      <c r="D897" t="str">
        <f>IF(OR(Registro_Compras!$C$103="",Registro_Compras!$O$103=""),"",IF(Registro_Compras!$F$103="RHE","Retencion Renta 4ta Categoria por Pagar",IF(Registro_Compras!$F$103="NOTA DE CREDITO","Gastos de Servicios Prestados por Terceros","IGV - Cuenta Propia (Credito Fiscal)")))</f>
        <v>Retencion Renta 4ta Categoria por Pagar</v>
      </c>
      <c r="E897" s="20" t="str">
        <f>IF($C897="","",IF(Registro_Compras!$F$103="FACTURA",ROUND(Registro_Compras!$K$103*Registro_Compras!$N$103,2),""))</f>
        <v/>
      </c>
      <c r="F897" s="20" t="str">
        <f>IF($C897="","",IF(Registro_Compras!$F$103="RHE",ROUND(Registro_Compras!$V$103*Registro_Compras!$N$103,2),IF(Registro_Compras!$F$103="NOTA DE CREDITO",ROUND(ABS(Registro_Compras!$J$103*Registro_Compras!$N$103),2),"")))</f>
        <v/>
      </c>
      <c r="G897" t="str">
        <f>IF($C897="","",IF(Registro_Compras!$F$103="NOTA DE CREDITO","Por la nota de credito "&amp;Registro_Compras!$C$103&amp;" de "&amp;Registro_Compras!$E$103&amp;" [PATRON POR CONFIRMAR CON CONTADOR]",IF(Registro_Compras!$F$103="RHE","Por el registro del recibo por honorarios "&amp;Registro_Compras!$C$103&amp;" de "&amp;Registro_Compras!$E$103&amp;" [PATRON POR CONFIRMAR CON CONTADOR]","Por el registro de la factura "&amp;Registro_Compras!$C$103&amp;" de "&amp;Registro_Compras!$E$103)))</f>
        <v/>
      </c>
      <c r="H897" t="str">
        <f>IF($C897="","",Registro_Compras!$C$103)</f>
        <v/>
      </c>
    </row>
    <row r="898" spans="1:8" x14ac:dyDescent="0.25">
      <c r="A898" s="25">
        <f>IF($C898="","",Registro_Compras!$B$103)</f>
        <v>46239</v>
      </c>
      <c r="B898" t="str">
        <f>IF($C898="","","C"&amp;TEXT(INT((ROW()-5)/9)+1,"000")&amp;"-1")</f>
        <v>C100-1</v>
      </c>
      <c r="C898" t="str">
        <f>IF(OR(Registro_Compras!$C$103="",Registro_Compras!$O$103=""),"",IF(Registro_Compras!$F$103="NOTA DE CREDITO",IF(Registro_Compras!$K$103=0,"","40111"),"4212"))</f>
        <v>4212</v>
      </c>
      <c r="D898" t="str">
        <f>IF(OR(Registro_Compras!$C$103="",Registro_Compras!$O$103=""),"",IF(Registro_Compras!$F$103="NOTA DE CREDITO","IGV - Cuenta Propia (Credito Fiscal)","Cuentas por Pagar Comerciales - Terceros (Emitidas)"))</f>
        <v>Cuentas por Pagar Comerciales - Terceros (Emitidas)</v>
      </c>
      <c r="E898" s="20" t="str">
        <f>""</f>
        <v/>
      </c>
      <c r="F898" s="20">
        <f>IF($C898="","",IF(Registro_Compras!$F$103="NOTA DE CREDITO",ROUND(ABS(Registro_Compras!$K$103*Registro_Compras!$N$103),2),IF(Registro_Compras!$F$103="RHE",(ROUND(Registro_Compras!$L$103*Registro_Compras!$N$103,2)-ROUND(Registro_Compras!$V$103*Registro_Compras!$N$103,2)),Registro_Compras!$O$103)))</f>
        <v>67.88</v>
      </c>
      <c r="G898" t="str">
        <f>IF($C898="","",IF(Registro_Compras!$F$103="NOTA DE CREDITO","Por la nota de credito "&amp;Registro_Compras!$C$103&amp;" de "&amp;Registro_Compras!$E$103&amp;" [PATRON POR CONFIRMAR CON CONTADOR]",IF(Registro_Compras!$F$103="RHE","Por el registro del recibo por honorarios "&amp;Registro_Compras!$C$103&amp;" de "&amp;Registro_Compras!$E$103&amp;" [PATRON POR CONFIRMAR CON CONTADOR]","Por el registro de la factura "&amp;Registro_Compras!$C$103&amp;" de "&amp;Registro_Compras!$E$103)))</f>
        <v>Por el registro del recibo por honorarios E001- 646 de GONZALES ACHAHUI HENRY LUIS [PATRON POR CONFIRMAR CON CONTADOR]</v>
      </c>
      <c r="H898" t="str">
        <f>IF($C898="","",Registro_Compras!$C$103)</f>
        <v>E001- 646</v>
      </c>
    </row>
    <row r="899" spans="1:8" x14ac:dyDescent="0.25">
      <c r="A899" s="25">
        <f>IF($C899="","",Registro_Compras!$B$103)</f>
        <v>46239</v>
      </c>
      <c r="B899" t="str">
        <f>IF($C899="","","C"&amp;TEXT(INT((ROW()-5)/9)+1,"000")&amp;"-2")</f>
        <v>C100-2</v>
      </c>
      <c r="C899" t="str">
        <f>IF(OR(Registro_Compras!$C$103="",Registro_Compras!$O$103=""),"",IF(Registro_Compras!$AB$103="ADMINISTRATIVO","94","95"))</f>
        <v>95</v>
      </c>
      <c r="D899" t="str">
        <f>IF(OR(Registro_Compras!$C$103="",Registro_Compras!$O$103=""),"",IF(Registro_Compras!$AB$103="ADMINISTRATIVO","Gastos Administrativos","Gastos de Venta y Operacion"))</f>
        <v>Gastos de Venta y Operacion</v>
      </c>
      <c r="E899" s="20">
        <f>IF($C899="","",IF(Registro_Compras!$F$103="NOTA DE CREDITO","",IF(Registro_Compras!$F$103="RHE",ROUND(Registro_Compras!$L$103*Registro_Compras!$N$103,2),ROUND(Registro_Compras!$J$103*Registro_Compras!$N$103,2))))</f>
        <v>67.88</v>
      </c>
      <c r="F899" s="20" t="str">
        <f>IF($C899="","",IF(Registro_Compras!$F$103="NOTA DE CREDITO",ROUND(ABS(Registro_Compras!$J$103*Registro_Compras!$N$103),2),""))</f>
        <v/>
      </c>
      <c r="G899" t="str">
        <f>IF($C899="","","Por el destino del gasto")</f>
        <v>Por el destino del gasto</v>
      </c>
      <c r="H899" t="str">
        <f>IF($C899="","",Registro_Compras!$C$103)</f>
        <v>E001- 646</v>
      </c>
    </row>
    <row r="900" spans="1:8" x14ac:dyDescent="0.25">
      <c r="A900" s="25">
        <f>IF($C900="","",Registro_Compras!$B$103)</f>
        <v>46239</v>
      </c>
      <c r="B900" t="str">
        <f>IF($C900="","","C"&amp;TEXT(INT((ROW()-5)/9)+1,"000")&amp;"-2")</f>
        <v>C100-2</v>
      </c>
      <c r="C900" t="str">
        <f>IF(OR(Registro_Compras!$C$103="",Registro_Compras!$O$103=""),"","79/791")</f>
        <v>79/791</v>
      </c>
      <c r="D900" t="str">
        <f>IF(OR(Registro_Compras!$C$103="",Registro_Compras!$O$103=""),"","Cargas Imputables a Cuentas de Costos y Gastos")</f>
        <v>Cargas Imputables a Cuentas de Costos y Gastos</v>
      </c>
      <c r="E900" s="20" t="str">
        <f>IF($C900="","",IF(Registro_Compras!$F$103="NOTA DE CREDITO",ROUND(ABS(Registro_Compras!$J$103*Registro_Compras!$N$103),2),""))</f>
        <v/>
      </c>
      <c r="F900" s="20">
        <f>IF($C900="","",IF(Registro_Compras!$F$103="NOTA DE CREDITO","",IF(Registro_Compras!$F$103="RHE",ROUND(Registro_Compras!$L$103*Registro_Compras!$N$103,2),ROUND(Registro_Compras!$J$103*Registro_Compras!$N$103,2))))</f>
        <v>67.88</v>
      </c>
      <c r="G900" t="str">
        <f>IF($C900="","","Por el destino del gasto")</f>
        <v>Por el destino del gasto</v>
      </c>
      <c r="H900" t="str">
        <f>IF($C900="","",Registro_Compras!$C$103)</f>
        <v>E001- 646</v>
      </c>
    </row>
    <row r="901" spans="1:8" x14ac:dyDescent="0.25">
      <c r="A901" s="25" t="str">
        <f>IF($C901="","",Registro_Compras!$X$103)</f>
        <v/>
      </c>
      <c r="B901" t="str">
        <f>IF($C901="","","C"&amp;TEXT(INT((ROW()-5)/9)+1,"000")&amp;"-3")</f>
        <v/>
      </c>
      <c r="C901" t="str">
        <f>IF(OR(Registro_Compras!$C$103="",Registro_Compras!$O$103="",Registro_Compras!$R$103&lt;&gt;"SI",Registro_Compras!$X$103=""),"","4212")</f>
        <v/>
      </c>
      <c r="D901" t="str">
        <f>IF(OR(Registro_Compras!$C$103="",Registro_Compras!$O$103=""),"","Cuentas por Pagar Comerciales - Terceros")</f>
        <v>Cuentas por Pagar Comerciales - Terceros</v>
      </c>
      <c r="E901" s="20" t="str">
        <f>IF($C901="","",Registro_Compras!$S$103)</f>
        <v/>
      </c>
      <c r="F901" s="20" t="str">
        <f>""</f>
        <v/>
      </c>
      <c r="G901" t="str">
        <f>IF($C901="","","Por el deposito de la detraccion en el Banco de la Nacion")</f>
        <v/>
      </c>
      <c r="H901" t="str">
        <f>IF($C901="","",Registro_Compras!$C$103)</f>
        <v/>
      </c>
    </row>
    <row r="902" spans="1:8" x14ac:dyDescent="0.25">
      <c r="A902" s="25" t="str">
        <f>IF($C902="","",Registro_Compras!$X$103)</f>
        <v/>
      </c>
      <c r="B902" t="str">
        <f>IF($C902="","","C"&amp;TEXT(INT((ROW()-5)/9)+1,"000")&amp;"-3")</f>
        <v/>
      </c>
      <c r="C902" t="str">
        <f>IF(OR(Registro_Compras!$C$103="",Registro_Compras!$O$103="",Registro_Compras!$R$103&lt;&gt;"SI",Registro_Compras!$X$103=""),"","1041")</f>
        <v/>
      </c>
      <c r="D902" t="str">
        <f>IF(OR(Registro_Compras!$C$103="",Registro_Compras!$O$103=""),"","Efectivo y Equivalentes - Cta. Cte. Operativa")</f>
        <v>Efectivo y Equivalentes - Cta. Cte. Operativa</v>
      </c>
      <c r="E902" s="20" t="str">
        <f>""</f>
        <v/>
      </c>
      <c r="F902" s="20" t="str">
        <f>IF($C902="","",Registro_Compras!$S$103)</f>
        <v/>
      </c>
      <c r="G902" t="str">
        <f>IF($C902="","","Por el deposito de la detraccion en el Banco de la Nacion")</f>
        <v/>
      </c>
      <c r="H902" t="str">
        <f>IF($C902="","",Registro_Compras!$C$103)</f>
        <v/>
      </c>
    </row>
    <row r="903" spans="1:8" x14ac:dyDescent="0.25">
      <c r="A903" s="25" t="str">
        <f>IF($C903="","",Registro_Compras!$Y$103)</f>
        <v/>
      </c>
      <c r="B903" t="str">
        <f>IF($C903="","","C"&amp;TEXT(INT((ROW()-5)/9)+1,"000")&amp;"-4")</f>
        <v/>
      </c>
      <c r="C903" t="str">
        <f>IF(OR(Registro_Compras!$C$103="",Registro_Compras!$O$103="",Registro_Compras!$Y$103="",Registro_Compras!$F$103="NOTA DE CREDITO"),"","4212")</f>
        <v/>
      </c>
      <c r="D903" t="str">
        <f>IF(OR(Registro_Compras!$C$103="",Registro_Compras!$O$103=""),"","Cuentas por Pagar Comerciales - Terceros")</f>
        <v>Cuentas por Pagar Comerciales - Terceros</v>
      </c>
      <c r="E903" s="20" t="str">
        <f>IF($C903="","",IF(Registro_Compras!$F$103="RHE",(ROUND(Registro_Compras!$L$103*Registro_Compras!$N$103,2)-ROUND(Registro_Compras!$V$103*Registro_Compras!$N$103,2)),ROUND(Registro_Compras!$O$103-Registro_Compras!$S$103,2)))</f>
        <v/>
      </c>
      <c r="F903" s="20" t="str">
        <f>""</f>
        <v/>
      </c>
      <c r="G903" t="str">
        <f>IF($C903="","","Por la cancelacion del saldo al proveedor")</f>
        <v/>
      </c>
      <c r="H903" t="str">
        <f>IF($C903="","",Registro_Compras!$C$103)</f>
        <v/>
      </c>
    </row>
    <row r="904" spans="1:8" x14ac:dyDescent="0.25">
      <c r="A904" s="25" t="str">
        <f>IF($C904="","",Registro_Compras!$Y$103)</f>
        <v/>
      </c>
      <c r="B904" t="str">
        <f>IF($C904="","","C"&amp;TEXT(INT((ROW()-5)/9)+1,"000")&amp;"-4")</f>
        <v/>
      </c>
      <c r="C904" t="str">
        <f>IF(OR(Registro_Compras!$C$103="",Registro_Compras!$O$103="",Registro_Compras!$Y$103="",Registro_Compras!$F$103="NOTA DE CREDITO"),"","1041")</f>
        <v/>
      </c>
      <c r="D904" t="str">
        <f>IF(OR(Registro_Compras!$C$103="",Registro_Compras!$O$103=""),"","Efectivo y Equivalentes - Cta. Cte. Operativa")</f>
        <v>Efectivo y Equivalentes - Cta. Cte. Operativa</v>
      </c>
      <c r="E904" s="20" t="str">
        <f>""</f>
        <v/>
      </c>
      <c r="F904" s="20" t="str">
        <f>IF($C904="","",IF(Registro_Compras!$F$103="RHE",(ROUND(Registro_Compras!$L$103*Registro_Compras!$N$103,2)-ROUND(Registro_Compras!$V$103*Registro_Compras!$N$103,2)),ROUND(Registro_Compras!$O$103-Registro_Compras!$S$103,2)))</f>
        <v/>
      </c>
      <c r="G904" t="str">
        <f>IF($C904="","","Por la cancelacion del saldo al proveedor")</f>
        <v/>
      </c>
      <c r="H904" t="str">
        <f>IF($C904="","",Registro_Compras!$C$103)</f>
        <v/>
      </c>
    </row>
    <row r="905" spans="1:8" x14ac:dyDescent="0.25">
      <c r="A905" s="25">
        <f>IF($C905="","",Registro_Compras!$B$104)</f>
        <v>46240</v>
      </c>
      <c r="B905" t="str">
        <f>IF($C905="","","C"&amp;TEXT(INT((ROW()-5)/9)+1,"000")&amp;"-1")</f>
        <v>C101-1</v>
      </c>
      <c r="C905" t="str">
        <f>IF(OR(Registro_Compras!$C$104="",Registro_Compras!$O$104=""),"",IF(Registro_Compras!$F$104="NOTA DE CREDITO","4212",IF(Registro_Compras!$M$104="","63",Registro_Compras!$M$104)))</f>
        <v>639</v>
      </c>
      <c r="D905" t="str">
        <f>IF(OR(Registro_Compras!$C$104="",Registro_Compras!$O$104=""),"",IF(Registro_Compras!$F$104="NOTA DE CREDITO","Cuentas por Pagar Comerciales - Terceros (Emitidas)",IF(Registro_Compras!$F$104="RHE","Honorarios Profesionales - Servicios de Terceros","Gastos de Servicios Prestados por Terceros")))</f>
        <v>Gastos de Servicios Prestados por Terceros</v>
      </c>
      <c r="E905" s="20">
        <f>IF($C905="","",IF(Registro_Compras!$F$104="NOTA DE CREDITO",ABS(Registro_Compras!$O$104),IF(Registro_Compras!$F$104="RHE",ROUND(Registro_Compras!$L$104*Registro_Compras!$N$104,2),ROUND(Registro_Compras!$J$104*Registro_Compras!$N$104,2))))</f>
        <v>654.36</v>
      </c>
      <c r="F905" s="20" t="str">
        <f>""</f>
        <v/>
      </c>
      <c r="G905" t="str">
        <f>IF($C905="","",IF(Registro_Compras!$F$104="NOTA DE CREDITO","Por la nota de credito "&amp;Registro_Compras!$C$104&amp;" de "&amp;Registro_Compras!$E$104&amp;" [PATRON POR CONFIRMAR CON CONTADOR]",IF(Registro_Compras!$F$104="RHE","Por el registro del recibo por honorarios "&amp;Registro_Compras!$C$104&amp;" de "&amp;Registro_Compras!$E$104&amp;" [PATRON POR CONFIRMAR CON CONTADOR]","Por el registro de la factura "&amp;Registro_Compras!$C$104&amp;" de "&amp;Registro_Compras!$E$104)))</f>
        <v>Por el registro de la factura E001-326 de LUXURY ADVENTURE CUSCO PERU E.I.R.L.</v>
      </c>
      <c r="H905" t="str">
        <f>IF($C905="","",Registro_Compras!$C$104)</f>
        <v>E001-326</v>
      </c>
    </row>
    <row r="906" spans="1:8" x14ac:dyDescent="0.25">
      <c r="A906" s="25">
        <f>IF($C906="","",Registro_Compras!$B$104)</f>
        <v>46240</v>
      </c>
      <c r="B906" t="str">
        <f>IF($C906="","","C"&amp;TEXT(INT((ROW()-5)/9)+1,"000")&amp;"-1")</f>
        <v>C101-1</v>
      </c>
      <c r="C906" t="str">
        <f>IF(OR(Registro_Compras!$C$104="",Registro_Compras!$O$104=""),"",IF(Registro_Compras!$F$104="RHE",IF(Registro_Compras!$V$104=0,"","4017"),IF(Registro_Compras!$F$104="NOTA DE CREDITO",IF(Registro_Compras!$M$104="","63",Registro_Compras!$M$104),IF(Registro_Compras!$K$104=0,"","40111"))))</f>
        <v>40111</v>
      </c>
      <c r="D906" t="str">
        <f>IF(OR(Registro_Compras!$C$104="",Registro_Compras!$O$104=""),"",IF(Registro_Compras!$F$104="RHE","Retencion Renta 4ta Categoria por Pagar",IF(Registro_Compras!$F$104="NOTA DE CREDITO","Gastos de Servicios Prestados por Terceros","IGV - Cuenta Propia (Credito Fiscal)")))</f>
        <v>IGV - Cuenta Propia (Credito Fiscal)</v>
      </c>
      <c r="E906" s="20">
        <f>IF($C906="","",IF(Registro_Compras!$F$104="FACTURA",ROUND(Registro_Compras!$K$104*Registro_Compras!$N$104,2),""))</f>
        <v>117.77</v>
      </c>
      <c r="F906" s="20" t="str">
        <f>IF($C906="","",IF(Registro_Compras!$F$104="RHE",ROUND(Registro_Compras!$V$104*Registro_Compras!$N$104,2),IF(Registro_Compras!$F$104="NOTA DE CREDITO",ROUND(ABS(Registro_Compras!$J$104*Registro_Compras!$N$104),2),"")))</f>
        <v/>
      </c>
      <c r="G906" t="str">
        <f>IF($C906="","",IF(Registro_Compras!$F$104="NOTA DE CREDITO","Por la nota de credito "&amp;Registro_Compras!$C$104&amp;" de "&amp;Registro_Compras!$E$104&amp;" [PATRON POR CONFIRMAR CON CONTADOR]",IF(Registro_Compras!$F$104="RHE","Por el registro del recibo por honorarios "&amp;Registro_Compras!$C$104&amp;" de "&amp;Registro_Compras!$E$104&amp;" [PATRON POR CONFIRMAR CON CONTADOR]","Por el registro de la factura "&amp;Registro_Compras!$C$104&amp;" de "&amp;Registro_Compras!$E$104)))</f>
        <v>Por el registro de la factura E001-326 de LUXURY ADVENTURE CUSCO PERU E.I.R.L.</v>
      </c>
      <c r="H906" t="str">
        <f>IF($C906="","",Registro_Compras!$C$104)</f>
        <v>E001-326</v>
      </c>
    </row>
    <row r="907" spans="1:8" x14ac:dyDescent="0.25">
      <c r="A907" s="25">
        <f>IF($C907="","",Registro_Compras!$B$104)</f>
        <v>46240</v>
      </c>
      <c r="B907" t="str">
        <f>IF($C907="","","C"&amp;TEXT(INT((ROW()-5)/9)+1,"000")&amp;"-1")</f>
        <v>C101-1</v>
      </c>
      <c r="C907" t="str">
        <f>IF(OR(Registro_Compras!$C$104="",Registro_Compras!$O$104=""),"",IF(Registro_Compras!$F$104="NOTA DE CREDITO",IF(Registro_Compras!$K$104=0,"","40111"),"4212"))</f>
        <v>4212</v>
      </c>
      <c r="D907" t="str">
        <f>IF(OR(Registro_Compras!$C$104="",Registro_Compras!$O$104=""),"",IF(Registro_Compras!$F$104="NOTA DE CREDITO","IGV - Cuenta Propia (Credito Fiscal)","Cuentas por Pagar Comerciales - Terceros (Emitidas)"))</f>
        <v>Cuentas por Pagar Comerciales - Terceros (Emitidas)</v>
      </c>
      <c r="E907" s="20" t="str">
        <f>""</f>
        <v/>
      </c>
      <c r="F907" s="20">
        <f>IF($C907="","",IF(Registro_Compras!$F$104="NOTA DE CREDITO",ROUND(ABS(Registro_Compras!$K$104*Registro_Compras!$N$104),2),IF(Registro_Compras!$F$104="RHE",(ROUND(Registro_Compras!$L$104*Registro_Compras!$N$104,2)-ROUND(Registro_Compras!$V$104*Registro_Compras!$N$104,2)),Registro_Compras!$O$104)))</f>
        <v>772.13</v>
      </c>
      <c r="G907" t="str">
        <f>IF($C907="","",IF(Registro_Compras!$F$104="NOTA DE CREDITO","Por la nota de credito "&amp;Registro_Compras!$C$104&amp;" de "&amp;Registro_Compras!$E$104&amp;" [PATRON POR CONFIRMAR CON CONTADOR]",IF(Registro_Compras!$F$104="RHE","Por el registro del recibo por honorarios "&amp;Registro_Compras!$C$104&amp;" de "&amp;Registro_Compras!$E$104&amp;" [PATRON POR CONFIRMAR CON CONTADOR]","Por el registro de la factura "&amp;Registro_Compras!$C$104&amp;" de "&amp;Registro_Compras!$E$104)))</f>
        <v>Por el registro de la factura E001-326 de LUXURY ADVENTURE CUSCO PERU E.I.R.L.</v>
      </c>
      <c r="H907" t="str">
        <f>IF($C907="","",Registro_Compras!$C$104)</f>
        <v>E001-326</v>
      </c>
    </row>
    <row r="908" spans="1:8" x14ac:dyDescent="0.25">
      <c r="A908" s="25">
        <f>IF($C908="","",Registro_Compras!$B$104)</f>
        <v>46240</v>
      </c>
      <c r="B908" t="str">
        <f>IF($C908="","","C"&amp;TEXT(INT((ROW()-5)/9)+1,"000")&amp;"-2")</f>
        <v>C101-2</v>
      </c>
      <c r="C908" t="str">
        <f>IF(OR(Registro_Compras!$C$104="",Registro_Compras!$O$104=""),"",IF(Registro_Compras!$AB$104="ADMINISTRATIVO","94","95"))</f>
        <v>95</v>
      </c>
      <c r="D908" t="str">
        <f>IF(OR(Registro_Compras!$C$104="",Registro_Compras!$O$104=""),"",IF(Registro_Compras!$AB$104="ADMINISTRATIVO","Gastos Administrativos","Gastos de Venta y Operacion"))</f>
        <v>Gastos de Venta y Operacion</v>
      </c>
      <c r="E908" s="20">
        <f>IF($C908="","",IF(Registro_Compras!$F$104="NOTA DE CREDITO","",IF(Registro_Compras!$F$104="RHE",ROUND(Registro_Compras!$L$104*Registro_Compras!$N$104,2),ROUND(Registro_Compras!$J$104*Registro_Compras!$N$104,2))))</f>
        <v>654.36</v>
      </c>
      <c r="F908" s="20" t="str">
        <f>IF($C908="","",IF(Registro_Compras!$F$104="NOTA DE CREDITO",ROUND(ABS(Registro_Compras!$J$104*Registro_Compras!$N$104),2),""))</f>
        <v/>
      </c>
      <c r="G908" t="str">
        <f>IF($C908="","","Por el destino del gasto")</f>
        <v>Por el destino del gasto</v>
      </c>
      <c r="H908" t="str">
        <f>IF($C908="","",Registro_Compras!$C$104)</f>
        <v>E001-326</v>
      </c>
    </row>
    <row r="909" spans="1:8" x14ac:dyDescent="0.25">
      <c r="A909" s="25">
        <f>IF($C909="","",Registro_Compras!$B$104)</f>
        <v>46240</v>
      </c>
      <c r="B909" t="str">
        <f>IF($C909="","","C"&amp;TEXT(INT((ROW()-5)/9)+1,"000")&amp;"-2")</f>
        <v>C101-2</v>
      </c>
      <c r="C909" t="str">
        <f>IF(OR(Registro_Compras!$C$104="",Registro_Compras!$O$104=""),"","79/791")</f>
        <v>79/791</v>
      </c>
      <c r="D909" t="str">
        <f>IF(OR(Registro_Compras!$C$104="",Registro_Compras!$O$104=""),"","Cargas Imputables a Cuentas de Costos y Gastos")</f>
        <v>Cargas Imputables a Cuentas de Costos y Gastos</v>
      </c>
      <c r="E909" s="20" t="str">
        <f>IF($C909="","",IF(Registro_Compras!$F$104="NOTA DE CREDITO",ROUND(ABS(Registro_Compras!$J$104*Registro_Compras!$N$104),2),""))</f>
        <v/>
      </c>
      <c r="F909" s="20">
        <f>IF($C909="","",IF(Registro_Compras!$F$104="NOTA DE CREDITO","",IF(Registro_Compras!$F$104="RHE",ROUND(Registro_Compras!$L$104*Registro_Compras!$N$104,2),ROUND(Registro_Compras!$J$104*Registro_Compras!$N$104,2))))</f>
        <v>654.36</v>
      </c>
      <c r="G909" t="str">
        <f>IF($C909="","","Por el destino del gasto")</f>
        <v>Por el destino del gasto</v>
      </c>
      <c r="H909" t="str">
        <f>IF($C909="","",Registro_Compras!$C$104)</f>
        <v>E001-326</v>
      </c>
    </row>
    <row r="910" spans="1:8" x14ac:dyDescent="0.25">
      <c r="A910" s="25" t="str">
        <f>IF($C910="","",Registro_Compras!$X$104)</f>
        <v/>
      </c>
      <c r="B910" t="str">
        <f>IF($C910="","","C"&amp;TEXT(INT((ROW()-5)/9)+1,"000")&amp;"-3")</f>
        <v/>
      </c>
      <c r="C910" t="str">
        <f>IF(OR(Registro_Compras!$C$104="",Registro_Compras!$O$104="",Registro_Compras!$R$104&lt;&gt;"SI",Registro_Compras!$X$104=""),"","4212")</f>
        <v/>
      </c>
      <c r="D910" t="str">
        <f>IF(OR(Registro_Compras!$C$104="",Registro_Compras!$O$104=""),"","Cuentas por Pagar Comerciales - Terceros")</f>
        <v>Cuentas por Pagar Comerciales - Terceros</v>
      </c>
      <c r="E910" s="20" t="str">
        <f>IF($C910="","",Registro_Compras!$S$104)</f>
        <v/>
      </c>
      <c r="F910" s="20" t="str">
        <f>""</f>
        <v/>
      </c>
      <c r="G910" t="str">
        <f>IF($C910="","","Por el deposito de la detraccion en el Banco de la Nacion")</f>
        <v/>
      </c>
      <c r="H910" t="str">
        <f>IF($C910="","",Registro_Compras!$C$104)</f>
        <v/>
      </c>
    </row>
    <row r="911" spans="1:8" x14ac:dyDescent="0.25">
      <c r="A911" s="25" t="str">
        <f>IF($C911="","",Registro_Compras!$X$104)</f>
        <v/>
      </c>
      <c r="B911" t="str">
        <f>IF($C911="","","C"&amp;TEXT(INT((ROW()-5)/9)+1,"000")&amp;"-3")</f>
        <v/>
      </c>
      <c r="C911" t="str">
        <f>IF(OR(Registro_Compras!$C$104="",Registro_Compras!$O$104="",Registro_Compras!$R$104&lt;&gt;"SI",Registro_Compras!$X$104=""),"","1041")</f>
        <v/>
      </c>
      <c r="D911" t="str">
        <f>IF(OR(Registro_Compras!$C$104="",Registro_Compras!$O$104=""),"","Efectivo y Equivalentes - Cta. Cte. Operativa")</f>
        <v>Efectivo y Equivalentes - Cta. Cte. Operativa</v>
      </c>
      <c r="E911" s="20" t="str">
        <f>""</f>
        <v/>
      </c>
      <c r="F911" s="20" t="str">
        <f>IF($C911="","",Registro_Compras!$S$104)</f>
        <v/>
      </c>
      <c r="G911" t="str">
        <f>IF($C911="","","Por el deposito de la detraccion en el Banco de la Nacion")</f>
        <v/>
      </c>
      <c r="H911" t="str">
        <f>IF($C911="","",Registro_Compras!$C$104)</f>
        <v/>
      </c>
    </row>
    <row r="912" spans="1:8" x14ac:dyDescent="0.25">
      <c r="A912" s="25" t="str">
        <f>IF($C912="","",Registro_Compras!$Y$104)</f>
        <v/>
      </c>
      <c r="B912" t="str">
        <f>IF($C912="","","C"&amp;TEXT(INT((ROW()-5)/9)+1,"000")&amp;"-4")</f>
        <v/>
      </c>
      <c r="C912" t="str">
        <f>IF(OR(Registro_Compras!$C$104="",Registro_Compras!$O$104="",Registro_Compras!$Y$104="",Registro_Compras!$F$104="NOTA DE CREDITO"),"","4212")</f>
        <v/>
      </c>
      <c r="D912" t="str">
        <f>IF(OR(Registro_Compras!$C$104="",Registro_Compras!$O$104=""),"","Cuentas por Pagar Comerciales - Terceros")</f>
        <v>Cuentas por Pagar Comerciales - Terceros</v>
      </c>
      <c r="E912" s="20" t="str">
        <f>IF($C912="","",IF(Registro_Compras!$F$104="RHE",(ROUND(Registro_Compras!$L$104*Registro_Compras!$N$104,2)-ROUND(Registro_Compras!$V$104*Registro_Compras!$N$104,2)),ROUND(Registro_Compras!$O$104-Registro_Compras!$S$104,2)))</f>
        <v/>
      </c>
      <c r="F912" s="20" t="str">
        <f>""</f>
        <v/>
      </c>
      <c r="G912" t="str">
        <f>IF($C912="","","Por la cancelacion del saldo al proveedor")</f>
        <v/>
      </c>
      <c r="H912" t="str">
        <f>IF($C912="","",Registro_Compras!$C$104)</f>
        <v/>
      </c>
    </row>
    <row r="913" spans="1:8" x14ac:dyDescent="0.25">
      <c r="A913" s="25" t="str">
        <f>IF($C913="","",Registro_Compras!$Y$104)</f>
        <v/>
      </c>
      <c r="B913" t="str">
        <f>IF($C913="","","C"&amp;TEXT(INT((ROW()-5)/9)+1,"000")&amp;"-4")</f>
        <v/>
      </c>
      <c r="C913" t="str">
        <f>IF(OR(Registro_Compras!$C$104="",Registro_Compras!$O$104="",Registro_Compras!$Y$104="",Registro_Compras!$F$104="NOTA DE CREDITO"),"","1041")</f>
        <v/>
      </c>
      <c r="D913" t="str">
        <f>IF(OR(Registro_Compras!$C$104="",Registro_Compras!$O$104=""),"","Efectivo y Equivalentes - Cta. Cte. Operativa")</f>
        <v>Efectivo y Equivalentes - Cta. Cte. Operativa</v>
      </c>
      <c r="E913" s="20" t="str">
        <f>""</f>
        <v/>
      </c>
      <c r="F913" s="20" t="str">
        <f>IF($C913="","",IF(Registro_Compras!$F$104="RHE",(ROUND(Registro_Compras!$L$104*Registro_Compras!$N$104,2)-ROUND(Registro_Compras!$V$104*Registro_Compras!$N$104,2)),ROUND(Registro_Compras!$O$104-Registro_Compras!$S$104,2)))</f>
        <v/>
      </c>
      <c r="G913" t="str">
        <f>IF($C913="","","Por la cancelacion del saldo al proveedor")</f>
        <v/>
      </c>
      <c r="H913" t="str">
        <f>IF($C913="","",Registro_Compras!$C$104)</f>
        <v/>
      </c>
    </row>
    <row r="914" spans="1:8" x14ac:dyDescent="0.25">
      <c r="A914" s="25">
        <f>IF($C914="","",Registro_Compras!$B$105)</f>
        <v>46240</v>
      </c>
      <c r="B914" t="str">
        <f>IF($C914="","","C"&amp;TEXT(INT((ROW()-5)/9)+1,"000")&amp;"-1")</f>
        <v>C102-1</v>
      </c>
      <c r="C914" t="str">
        <f>IF(OR(Registro_Compras!$C$105="",Registro_Compras!$O$105=""),"",IF(Registro_Compras!$F$105="NOTA DE CREDITO","4212",IF(Registro_Compras!$M$105="","63",Registro_Compras!$M$105)))</f>
        <v>639</v>
      </c>
      <c r="D914" t="str">
        <f>IF(OR(Registro_Compras!$C$105="",Registro_Compras!$O$105=""),"",IF(Registro_Compras!$F$105="NOTA DE CREDITO","Cuentas por Pagar Comerciales - Terceros (Emitidas)",IF(Registro_Compras!$F$105="RHE","Honorarios Profesionales - Servicios de Terceros","Gastos de Servicios Prestados por Terceros")))</f>
        <v>Gastos de Servicios Prestados por Terceros</v>
      </c>
      <c r="E914" s="20">
        <f>IF($C914="","",IF(Registro_Compras!$F$105="NOTA DE CREDITO",ABS(Registro_Compras!$O$105),IF(Registro_Compras!$F$105="RHE",ROUND(Registro_Compras!$L$105*Registro_Compras!$N$105,2),ROUND(Registro_Compras!$J$105*Registro_Compras!$N$105,2))))</f>
        <v>553.70000000000005</v>
      </c>
      <c r="F914" s="20" t="str">
        <f>""</f>
        <v/>
      </c>
      <c r="G914" t="str">
        <f>IF($C914="","",IF(Registro_Compras!$F$105="NOTA DE CREDITO","Por la nota de credito "&amp;Registro_Compras!$C$105&amp;" de "&amp;Registro_Compras!$E$105&amp;" [PATRON POR CONFIRMAR CON CONTADOR]",IF(Registro_Compras!$F$105="RHE","Por el registro del recibo por honorarios "&amp;Registro_Compras!$C$105&amp;" de "&amp;Registro_Compras!$E$105&amp;" [PATRON POR CONFIRMAR CON CONTADOR]","Por el registro de la factura "&amp;Registro_Compras!$C$105&amp;" de "&amp;Registro_Compras!$E$105)))</f>
        <v>Por el registro de la factura E001-331 de LUXURY ADVENTURE CUSCO PERU E.I.R.L.</v>
      </c>
      <c r="H914" t="str">
        <f>IF($C914="","",Registro_Compras!$C$105)</f>
        <v>E001-331</v>
      </c>
    </row>
    <row r="915" spans="1:8" x14ac:dyDescent="0.25">
      <c r="A915" s="25">
        <f>IF($C915="","",Registro_Compras!$B$105)</f>
        <v>46240</v>
      </c>
      <c r="B915" t="str">
        <f>IF($C915="","","C"&amp;TEXT(INT((ROW()-5)/9)+1,"000")&amp;"-1")</f>
        <v>C102-1</v>
      </c>
      <c r="C915" t="str">
        <f>IF(OR(Registro_Compras!$C$105="",Registro_Compras!$O$105=""),"",IF(Registro_Compras!$F$105="RHE",IF(Registro_Compras!$V$105=0,"","4017"),IF(Registro_Compras!$F$105="NOTA DE CREDITO",IF(Registro_Compras!$M$105="","63",Registro_Compras!$M$105),IF(Registro_Compras!$K$105=0,"","40111"))))</f>
        <v>40111</v>
      </c>
      <c r="D915" t="str">
        <f>IF(OR(Registro_Compras!$C$105="",Registro_Compras!$O$105=""),"",IF(Registro_Compras!$F$105="RHE","Retencion Renta 4ta Categoria por Pagar",IF(Registro_Compras!$F$105="NOTA DE CREDITO","Gastos de Servicios Prestados por Terceros","IGV - Cuenta Propia (Credito Fiscal)")))</f>
        <v>IGV - Cuenta Propia (Credito Fiscal)</v>
      </c>
      <c r="E915" s="20">
        <f>IF($C915="","",IF(Registro_Compras!$F$105="FACTURA",ROUND(Registro_Compras!$K$105*Registro_Compras!$N$105,2),""))</f>
        <v>99.65</v>
      </c>
      <c r="F915" s="20" t="str">
        <f>IF($C915="","",IF(Registro_Compras!$F$105="RHE",ROUND(Registro_Compras!$V$105*Registro_Compras!$N$105,2),IF(Registro_Compras!$F$105="NOTA DE CREDITO",ROUND(ABS(Registro_Compras!$J$105*Registro_Compras!$N$105),2),"")))</f>
        <v/>
      </c>
      <c r="G915" t="str">
        <f>IF($C915="","",IF(Registro_Compras!$F$105="NOTA DE CREDITO","Por la nota de credito "&amp;Registro_Compras!$C$105&amp;" de "&amp;Registro_Compras!$E$105&amp;" [PATRON POR CONFIRMAR CON CONTADOR]",IF(Registro_Compras!$F$105="RHE","Por el registro del recibo por honorarios "&amp;Registro_Compras!$C$105&amp;" de "&amp;Registro_Compras!$E$105&amp;" [PATRON POR CONFIRMAR CON CONTADOR]","Por el registro de la factura "&amp;Registro_Compras!$C$105&amp;" de "&amp;Registro_Compras!$E$105)))</f>
        <v>Por el registro de la factura E001-331 de LUXURY ADVENTURE CUSCO PERU E.I.R.L.</v>
      </c>
      <c r="H915" t="str">
        <f>IF($C915="","",Registro_Compras!$C$105)</f>
        <v>E001-331</v>
      </c>
    </row>
    <row r="916" spans="1:8" x14ac:dyDescent="0.25">
      <c r="A916" s="25">
        <f>IF($C916="","",Registro_Compras!$B$105)</f>
        <v>46240</v>
      </c>
      <c r="B916" t="str">
        <f>IF($C916="","","C"&amp;TEXT(INT((ROW()-5)/9)+1,"000")&amp;"-1")</f>
        <v>C102-1</v>
      </c>
      <c r="C916" t="str">
        <f>IF(OR(Registro_Compras!$C$105="",Registro_Compras!$O$105=""),"",IF(Registro_Compras!$F$105="NOTA DE CREDITO",IF(Registro_Compras!$K$105=0,"","40111"),"4212"))</f>
        <v>4212</v>
      </c>
      <c r="D916" t="str">
        <f>IF(OR(Registro_Compras!$C$105="",Registro_Compras!$O$105=""),"",IF(Registro_Compras!$F$105="NOTA DE CREDITO","IGV - Cuenta Propia (Credito Fiscal)","Cuentas por Pagar Comerciales - Terceros (Emitidas)"))</f>
        <v>Cuentas por Pagar Comerciales - Terceros (Emitidas)</v>
      </c>
      <c r="E916" s="20" t="str">
        <f>""</f>
        <v/>
      </c>
      <c r="F916" s="20">
        <f>IF($C916="","",IF(Registro_Compras!$F$105="NOTA DE CREDITO",ROUND(ABS(Registro_Compras!$K$105*Registro_Compras!$N$105),2),IF(Registro_Compras!$F$105="RHE",(ROUND(Registro_Compras!$L$105*Registro_Compras!$N$105,2)-ROUND(Registro_Compras!$V$105*Registro_Compras!$N$105,2)),Registro_Compras!$O$105)))</f>
        <v>653.35</v>
      </c>
      <c r="G916" t="str">
        <f>IF($C916="","",IF(Registro_Compras!$F$105="NOTA DE CREDITO","Por la nota de credito "&amp;Registro_Compras!$C$105&amp;" de "&amp;Registro_Compras!$E$105&amp;" [PATRON POR CONFIRMAR CON CONTADOR]",IF(Registro_Compras!$F$105="RHE","Por el registro del recibo por honorarios "&amp;Registro_Compras!$C$105&amp;" de "&amp;Registro_Compras!$E$105&amp;" [PATRON POR CONFIRMAR CON CONTADOR]","Por el registro de la factura "&amp;Registro_Compras!$C$105&amp;" de "&amp;Registro_Compras!$E$105)))</f>
        <v>Por el registro de la factura E001-331 de LUXURY ADVENTURE CUSCO PERU E.I.R.L.</v>
      </c>
      <c r="H916" t="str">
        <f>IF($C916="","",Registro_Compras!$C$105)</f>
        <v>E001-331</v>
      </c>
    </row>
    <row r="917" spans="1:8" x14ac:dyDescent="0.25">
      <c r="A917" s="25">
        <f>IF($C917="","",Registro_Compras!$B$105)</f>
        <v>46240</v>
      </c>
      <c r="B917" t="str">
        <f>IF($C917="","","C"&amp;TEXT(INT((ROW()-5)/9)+1,"000")&amp;"-2")</f>
        <v>C102-2</v>
      </c>
      <c r="C917" t="str">
        <f>IF(OR(Registro_Compras!$C$105="",Registro_Compras!$O$105=""),"",IF(Registro_Compras!$AB$105="ADMINISTRATIVO","94","95"))</f>
        <v>95</v>
      </c>
      <c r="D917" t="str">
        <f>IF(OR(Registro_Compras!$C$105="",Registro_Compras!$O$105=""),"",IF(Registro_Compras!$AB$105="ADMINISTRATIVO","Gastos Administrativos","Gastos de Venta y Operacion"))</f>
        <v>Gastos de Venta y Operacion</v>
      </c>
      <c r="E917" s="20">
        <f>IF($C917="","",IF(Registro_Compras!$F$105="NOTA DE CREDITO","",IF(Registro_Compras!$F$105="RHE",ROUND(Registro_Compras!$L$105*Registro_Compras!$N$105,2),ROUND(Registro_Compras!$J$105*Registro_Compras!$N$105,2))))</f>
        <v>553.70000000000005</v>
      </c>
      <c r="F917" s="20" t="str">
        <f>IF($C917="","",IF(Registro_Compras!$F$105="NOTA DE CREDITO",ROUND(ABS(Registro_Compras!$J$105*Registro_Compras!$N$105),2),""))</f>
        <v/>
      </c>
      <c r="G917" t="str">
        <f>IF($C917="","","Por el destino del gasto")</f>
        <v>Por el destino del gasto</v>
      </c>
      <c r="H917" t="str">
        <f>IF($C917="","",Registro_Compras!$C$105)</f>
        <v>E001-331</v>
      </c>
    </row>
    <row r="918" spans="1:8" x14ac:dyDescent="0.25">
      <c r="A918" s="25">
        <f>IF($C918="","",Registro_Compras!$B$105)</f>
        <v>46240</v>
      </c>
      <c r="B918" t="str">
        <f>IF($C918="","","C"&amp;TEXT(INT((ROW()-5)/9)+1,"000")&amp;"-2")</f>
        <v>C102-2</v>
      </c>
      <c r="C918" t="str">
        <f>IF(OR(Registro_Compras!$C$105="",Registro_Compras!$O$105=""),"","79/791")</f>
        <v>79/791</v>
      </c>
      <c r="D918" t="str">
        <f>IF(OR(Registro_Compras!$C$105="",Registro_Compras!$O$105=""),"","Cargas Imputables a Cuentas de Costos y Gastos")</f>
        <v>Cargas Imputables a Cuentas de Costos y Gastos</v>
      </c>
      <c r="E918" s="20" t="str">
        <f>IF($C918="","",IF(Registro_Compras!$F$105="NOTA DE CREDITO",ROUND(ABS(Registro_Compras!$J$105*Registro_Compras!$N$105),2),""))</f>
        <v/>
      </c>
      <c r="F918" s="20">
        <f>IF($C918="","",IF(Registro_Compras!$F$105="NOTA DE CREDITO","",IF(Registro_Compras!$F$105="RHE",ROUND(Registro_Compras!$L$105*Registro_Compras!$N$105,2),ROUND(Registro_Compras!$J$105*Registro_Compras!$N$105,2))))</f>
        <v>553.70000000000005</v>
      </c>
      <c r="G918" t="str">
        <f>IF($C918="","","Por el destino del gasto")</f>
        <v>Por el destino del gasto</v>
      </c>
      <c r="H918" t="str">
        <f>IF($C918="","",Registro_Compras!$C$105)</f>
        <v>E001-331</v>
      </c>
    </row>
    <row r="919" spans="1:8" x14ac:dyDescent="0.25">
      <c r="A919" s="25" t="str">
        <f>IF($C919="","",Registro_Compras!$X$105)</f>
        <v/>
      </c>
      <c r="B919" t="str">
        <f>IF($C919="","","C"&amp;TEXT(INT((ROW()-5)/9)+1,"000")&amp;"-3")</f>
        <v/>
      </c>
      <c r="C919" t="str">
        <f>IF(OR(Registro_Compras!$C$105="",Registro_Compras!$O$105="",Registro_Compras!$R$105&lt;&gt;"SI",Registro_Compras!$X$105=""),"","4212")</f>
        <v/>
      </c>
      <c r="D919" t="str">
        <f>IF(OR(Registro_Compras!$C$105="",Registro_Compras!$O$105=""),"","Cuentas por Pagar Comerciales - Terceros")</f>
        <v>Cuentas por Pagar Comerciales - Terceros</v>
      </c>
      <c r="E919" s="20" t="str">
        <f>IF($C919="","",Registro_Compras!$S$105)</f>
        <v/>
      </c>
      <c r="F919" s="20" t="str">
        <f>""</f>
        <v/>
      </c>
      <c r="G919" t="str">
        <f>IF($C919="","","Por el deposito de la detraccion en el Banco de la Nacion")</f>
        <v/>
      </c>
      <c r="H919" t="str">
        <f>IF($C919="","",Registro_Compras!$C$105)</f>
        <v/>
      </c>
    </row>
    <row r="920" spans="1:8" x14ac:dyDescent="0.25">
      <c r="A920" s="25" t="str">
        <f>IF($C920="","",Registro_Compras!$X$105)</f>
        <v/>
      </c>
      <c r="B920" t="str">
        <f>IF($C920="","","C"&amp;TEXT(INT((ROW()-5)/9)+1,"000")&amp;"-3")</f>
        <v/>
      </c>
      <c r="C920" t="str">
        <f>IF(OR(Registro_Compras!$C$105="",Registro_Compras!$O$105="",Registro_Compras!$R$105&lt;&gt;"SI",Registro_Compras!$X$105=""),"","1041")</f>
        <v/>
      </c>
      <c r="D920" t="str">
        <f>IF(OR(Registro_Compras!$C$105="",Registro_Compras!$O$105=""),"","Efectivo y Equivalentes - Cta. Cte. Operativa")</f>
        <v>Efectivo y Equivalentes - Cta. Cte. Operativa</v>
      </c>
      <c r="E920" s="20" t="str">
        <f>""</f>
        <v/>
      </c>
      <c r="F920" s="20" t="str">
        <f>IF($C920="","",Registro_Compras!$S$105)</f>
        <v/>
      </c>
      <c r="G920" t="str">
        <f>IF($C920="","","Por el deposito de la detraccion en el Banco de la Nacion")</f>
        <v/>
      </c>
      <c r="H920" t="str">
        <f>IF($C920="","",Registro_Compras!$C$105)</f>
        <v/>
      </c>
    </row>
    <row r="921" spans="1:8" x14ac:dyDescent="0.25">
      <c r="A921" s="25" t="str">
        <f>IF($C921="","",Registro_Compras!$Y$105)</f>
        <v/>
      </c>
      <c r="B921" t="str">
        <f>IF($C921="","","C"&amp;TEXT(INT((ROW()-5)/9)+1,"000")&amp;"-4")</f>
        <v/>
      </c>
      <c r="C921" t="str">
        <f>IF(OR(Registro_Compras!$C$105="",Registro_Compras!$O$105="",Registro_Compras!$Y$105="",Registro_Compras!$F$105="NOTA DE CREDITO"),"","4212")</f>
        <v/>
      </c>
      <c r="D921" t="str">
        <f>IF(OR(Registro_Compras!$C$105="",Registro_Compras!$O$105=""),"","Cuentas por Pagar Comerciales - Terceros")</f>
        <v>Cuentas por Pagar Comerciales - Terceros</v>
      </c>
      <c r="E921" s="20" t="str">
        <f>IF($C921="","",IF(Registro_Compras!$F$105="RHE",(ROUND(Registro_Compras!$L$105*Registro_Compras!$N$105,2)-ROUND(Registro_Compras!$V$105*Registro_Compras!$N$105,2)),ROUND(Registro_Compras!$O$105-Registro_Compras!$S$105,2)))</f>
        <v/>
      </c>
      <c r="F921" s="20" t="str">
        <f>""</f>
        <v/>
      </c>
      <c r="G921" t="str">
        <f>IF($C921="","","Por la cancelacion del saldo al proveedor")</f>
        <v/>
      </c>
      <c r="H921" t="str">
        <f>IF($C921="","",Registro_Compras!$C$105)</f>
        <v/>
      </c>
    </row>
    <row r="922" spans="1:8" x14ac:dyDescent="0.25">
      <c r="A922" s="25" t="str">
        <f>IF($C922="","",Registro_Compras!$Y$105)</f>
        <v/>
      </c>
      <c r="B922" t="str">
        <f>IF($C922="","","C"&amp;TEXT(INT((ROW()-5)/9)+1,"000")&amp;"-4")</f>
        <v/>
      </c>
      <c r="C922" t="str">
        <f>IF(OR(Registro_Compras!$C$105="",Registro_Compras!$O$105="",Registro_Compras!$Y$105="",Registro_Compras!$F$105="NOTA DE CREDITO"),"","1041")</f>
        <v/>
      </c>
      <c r="D922" t="str">
        <f>IF(OR(Registro_Compras!$C$105="",Registro_Compras!$O$105=""),"","Efectivo y Equivalentes - Cta. Cte. Operativa")</f>
        <v>Efectivo y Equivalentes - Cta. Cte. Operativa</v>
      </c>
      <c r="E922" s="20" t="str">
        <f>""</f>
        <v/>
      </c>
      <c r="F922" s="20" t="str">
        <f>IF($C922="","",IF(Registro_Compras!$F$105="RHE",(ROUND(Registro_Compras!$L$105*Registro_Compras!$N$105,2)-ROUND(Registro_Compras!$V$105*Registro_Compras!$N$105,2)),ROUND(Registro_Compras!$O$105-Registro_Compras!$S$105,2)))</f>
        <v/>
      </c>
      <c r="G922" t="str">
        <f>IF($C922="","","Por la cancelacion del saldo al proveedor")</f>
        <v/>
      </c>
      <c r="H922" t="str">
        <f>IF($C922="","",Registro_Compras!$C$105)</f>
        <v/>
      </c>
    </row>
    <row r="923" spans="1:8" x14ac:dyDescent="0.25">
      <c r="A923" s="25">
        <f>IF($C923="","",Registro_Compras!$B$106)</f>
        <v>46252</v>
      </c>
      <c r="B923" t="str">
        <f>IF($C923="","","C"&amp;TEXT(INT((ROW()-5)/9)+1,"000")&amp;"-1")</f>
        <v>C103-1</v>
      </c>
      <c r="C923" t="str">
        <f>IF(OR(Registro_Compras!$C$106="",Registro_Compras!$O$106=""),"",IF(Registro_Compras!$F$106="NOTA DE CREDITO","4212",IF(Registro_Compras!$M$106="","63",Registro_Compras!$M$106)))</f>
        <v>639</v>
      </c>
      <c r="D923" t="str">
        <f>IF(OR(Registro_Compras!$C$106="",Registro_Compras!$O$106=""),"",IF(Registro_Compras!$F$106="NOTA DE CREDITO","Cuentas por Pagar Comerciales - Terceros (Emitidas)",IF(Registro_Compras!$F$106="RHE","Honorarios Profesionales - Servicios de Terceros","Gastos de Servicios Prestados por Terceros")))</f>
        <v>Gastos de Servicios Prestados por Terceros</v>
      </c>
      <c r="E923" s="20">
        <f>IF($C923="","",IF(Registro_Compras!$F$106="NOTA DE CREDITO",ABS(Registro_Compras!$O$106),IF(Registro_Compras!$F$106="RHE",ROUND(Registro_Compras!$L$106*Registro_Compras!$N$106,2),ROUND(Registro_Compras!$J$106*Registro_Compras!$N$106,2))))</f>
        <v>4340.5600000000004</v>
      </c>
      <c r="F923" s="20" t="str">
        <f>""</f>
        <v/>
      </c>
      <c r="G923" t="str">
        <f>IF($C923="","",IF(Registro_Compras!$F$106="NOTA DE CREDITO","Por la nota de credito "&amp;Registro_Compras!$C$106&amp;" de "&amp;Registro_Compras!$E$106&amp;" [PATRON POR CONFIRMAR CON CONTADOR]",IF(Registro_Compras!$F$106="RHE","Por el registro del recibo por honorarios "&amp;Registro_Compras!$C$106&amp;" de "&amp;Registro_Compras!$E$106&amp;" [PATRON POR CONFIRMAR CON CONTADOR]","Por el registro de la factura "&amp;Registro_Compras!$C$106&amp;" de "&amp;Registro_Compras!$E$106)))</f>
        <v>Por el registro de la factura E001-734 de COCK OF THE ROCK LODGE SOCIEDAD ANONIMA CERRADA - CORL S.A.C</v>
      </c>
      <c r="H923" t="str">
        <f>IF($C923="","",Registro_Compras!$C$106)</f>
        <v>E001-734</v>
      </c>
    </row>
    <row r="924" spans="1:8" x14ac:dyDescent="0.25">
      <c r="A924" s="25" t="str">
        <f>IF($C924="","",Registro_Compras!$B$106)</f>
        <v/>
      </c>
      <c r="B924" t="str">
        <f>IF($C924="","","C"&amp;TEXT(INT((ROW()-5)/9)+1,"000")&amp;"-1")</f>
        <v/>
      </c>
      <c r="C924" t="str">
        <f>IF(OR(Registro_Compras!$C$106="",Registro_Compras!$O$106=""),"",IF(Registro_Compras!$F$106="RHE",IF(Registro_Compras!$V$106=0,"","4017"),IF(Registro_Compras!$F$106="NOTA DE CREDITO",IF(Registro_Compras!$M$106="","63",Registro_Compras!$M$106),IF(Registro_Compras!$K$106=0,"","40111"))))</f>
        <v/>
      </c>
      <c r="D924" t="str">
        <f>IF(OR(Registro_Compras!$C$106="",Registro_Compras!$O$106=""),"",IF(Registro_Compras!$F$106="RHE","Retencion Renta 4ta Categoria por Pagar",IF(Registro_Compras!$F$106="NOTA DE CREDITO","Gastos de Servicios Prestados por Terceros","IGV - Cuenta Propia (Credito Fiscal)")))</f>
        <v>IGV - Cuenta Propia (Credito Fiscal)</v>
      </c>
      <c r="E924" s="20" t="str">
        <f>IF($C924="","",IF(Registro_Compras!$F$106="FACTURA",ROUND(Registro_Compras!$K$106*Registro_Compras!$N$106,2),""))</f>
        <v/>
      </c>
      <c r="F924" s="20" t="str">
        <f>IF($C924="","",IF(Registro_Compras!$F$106="RHE",ROUND(Registro_Compras!$V$106*Registro_Compras!$N$106,2),IF(Registro_Compras!$F$106="NOTA DE CREDITO",ROUND(ABS(Registro_Compras!$J$106*Registro_Compras!$N$106),2),"")))</f>
        <v/>
      </c>
      <c r="G924" t="str">
        <f>IF($C924="","",IF(Registro_Compras!$F$106="NOTA DE CREDITO","Por la nota de credito "&amp;Registro_Compras!$C$106&amp;" de "&amp;Registro_Compras!$E$106&amp;" [PATRON POR CONFIRMAR CON CONTADOR]",IF(Registro_Compras!$F$106="RHE","Por el registro del recibo por honorarios "&amp;Registro_Compras!$C$106&amp;" de "&amp;Registro_Compras!$E$106&amp;" [PATRON POR CONFIRMAR CON CONTADOR]","Por el registro de la factura "&amp;Registro_Compras!$C$106&amp;" de "&amp;Registro_Compras!$E$106)))</f>
        <v/>
      </c>
      <c r="H924" t="str">
        <f>IF($C924="","",Registro_Compras!$C$106)</f>
        <v/>
      </c>
    </row>
    <row r="925" spans="1:8" x14ac:dyDescent="0.25">
      <c r="A925" s="25">
        <f>IF($C925="","",Registro_Compras!$B$106)</f>
        <v>46252</v>
      </c>
      <c r="B925" t="str">
        <f>IF($C925="","","C"&amp;TEXT(INT((ROW()-5)/9)+1,"000")&amp;"-1")</f>
        <v>C103-1</v>
      </c>
      <c r="C925" t="str">
        <f>IF(OR(Registro_Compras!$C$106="",Registro_Compras!$O$106=""),"",IF(Registro_Compras!$F$106="NOTA DE CREDITO",IF(Registro_Compras!$K$106=0,"","40111"),"4212"))</f>
        <v>4212</v>
      </c>
      <c r="D925" t="str">
        <f>IF(OR(Registro_Compras!$C$106="",Registro_Compras!$O$106=""),"",IF(Registro_Compras!$F$106="NOTA DE CREDITO","IGV - Cuenta Propia (Credito Fiscal)","Cuentas por Pagar Comerciales - Terceros (Emitidas)"))</f>
        <v>Cuentas por Pagar Comerciales - Terceros (Emitidas)</v>
      </c>
      <c r="E925" s="20" t="str">
        <f>""</f>
        <v/>
      </c>
      <c r="F925" s="20">
        <f>IF($C925="","",IF(Registro_Compras!$F$106="NOTA DE CREDITO",ROUND(ABS(Registro_Compras!$K$106*Registro_Compras!$N$106),2),IF(Registro_Compras!$F$106="RHE",(ROUND(Registro_Compras!$L$106*Registro_Compras!$N$106,2)-ROUND(Registro_Compras!$V$106*Registro_Compras!$N$106,2)),Registro_Compras!$O$106)))</f>
        <v>4340.5600000000004</v>
      </c>
      <c r="G925" t="str">
        <f>IF($C925="","",IF(Registro_Compras!$F$106="NOTA DE CREDITO","Por la nota de credito "&amp;Registro_Compras!$C$106&amp;" de "&amp;Registro_Compras!$E$106&amp;" [PATRON POR CONFIRMAR CON CONTADOR]",IF(Registro_Compras!$F$106="RHE","Por el registro del recibo por honorarios "&amp;Registro_Compras!$C$106&amp;" de "&amp;Registro_Compras!$E$106&amp;" [PATRON POR CONFIRMAR CON CONTADOR]","Por el registro de la factura "&amp;Registro_Compras!$C$106&amp;" de "&amp;Registro_Compras!$E$106)))</f>
        <v>Por el registro de la factura E001-734 de COCK OF THE ROCK LODGE SOCIEDAD ANONIMA CERRADA - CORL S.A.C</v>
      </c>
      <c r="H925" t="str">
        <f>IF($C925="","",Registro_Compras!$C$106)</f>
        <v>E001-734</v>
      </c>
    </row>
    <row r="926" spans="1:8" x14ac:dyDescent="0.25">
      <c r="A926" s="25">
        <f>IF($C926="","",Registro_Compras!$B$106)</f>
        <v>46252</v>
      </c>
      <c r="B926" t="str">
        <f>IF($C926="","","C"&amp;TEXT(INT((ROW()-5)/9)+1,"000")&amp;"-2")</f>
        <v>C103-2</v>
      </c>
      <c r="C926" t="str">
        <f>IF(OR(Registro_Compras!$C$106="",Registro_Compras!$O$106=""),"",IF(Registro_Compras!$AB$106="ADMINISTRATIVO","94","95"))</f>
        <v>95</v>
      </c>
      <c r="D926" t="str">
        <f>IF(OR(Registro_Compras!$C$106="",Registro_Compras!$O$106=""),"",IF(Registro_Compras!$AB$106="ADMINISTRATIVO","Gastos Administrativos","Gastos de Venta y Operacion"))</f>
        <v>Gastos de Venta y Operacion</v>
      </c>
      <c r="E926" s="20">
        <f>IF($C926="","",IF(Registro_Compras!$F$106="NOTA DE CREDITO","",IF(Registro_Compras!$F$106="RHE",ROUND(Registro_Compras!$L$106*Registro_Compras!$N$106,2),ROUND(Registro_Compras!$J$106*Registro_Compras!$N$106,2))))</f>
        <v>4340.5600000000004</v>
      </c>
      <c r="F926" s="20" t="str">
        <f>IF($C926="","",IF(Registro_Compras!$F$106="NOTA DE CREDITO",ROUND(ABS(Registro_Compras!$J$106*Registro_Compras!$N$106),2),""))</f>
        <v/>
      </c>
      <c r="G926" t="str">
        <f>IF($C926="","","Por el destino del gasto")</f>
        <v>Por el destino del gasto</v>
      </c>
      <c r="H926" t="str">
        <f>IF($C926="","",Registro_Compras!$C$106)</f>
        <v>E001-734</v>
      </c>
    </row>
    <row r="927" spans="1:8" x14ac:dyDescent="0.25">
      <c r="A927" s="25">
        <f>IF($C927="","",Registro_Compras!$B$106)</f>
        <v>46252</v>
      </c>
      <c r="B927" t="str">
        <f>IF($C927="","","C"&amp;TEXT(INT((ROW()-5)/9)+1,"000")&amp;"-2")</f>
        <v>C103-2</v>
      </c>
      <c r="C927" t="str">
        <f>IF(OR(Registro_Compras!$C$106="",Registro_Compras!$O$106=""),"","79/791")</f>
        <v>79/791</v>
      </c>
      <c r="D927" t="str">
        <f>IF(OR(Registro_Compras!$C$106="",Registro_Compras!$O$106=""),"","Cargas Imputables a Cuentas de Costos y Gastos")</f>
        <v>Cargas Imputables a Cuentas de Costos y Gastos</v>
      </c>
      <c r="E927" s="20" t="str">
        <f>IF($C927="","",IF(Registro_Compras!$F$106="NOTA DE CREDITO",ROUND(ABS(Registro_Compras!$J$106*Registro_Compras!$N$106),2),""))</f>
        <v/>
      </c>
      <c r="F927" s="20">
        <f>IF($C927="","",IF(Registro_Compras!$F$106="NOTA DE CREDITO","",IF(Registro_Compras!$F$106="RHE",ROUND(Registro_Compras!$L$106*Registro_Compras!$N$106,2),ROUND(Registro_Compras!$J$106*Registro_Compras!$N$106,2))))</f>
        <v>4340.5600000000004</v>
      </c>
      <c r="G927" t="str">
        <f>IF($C927="","","Por el destino del gasto")</f>
        <v>Por el destino del gasto</v>
      </c>
      <c r="H927" t="str">
        <f>IF($C927="","",Registro_Compras!$C$106)</f>
        <v>E001-734</v>
      </c>
    </row>
    <row r="928" spans="1:8" x14ac:dyDescent="0.25">
      <c r="A928" s="25" t="str">
        <f>IF($C928="","",Registro_Compras!$X$106)</f>
        <v/>
      </c>
      <c r="B928" t="str">
        <f>IF($C928="","","C"&amp;TEXT(INT((ROW()-5)/9)+1,"000")&amp;"-3")</f>
        <v/>
      </c>
      <c r="C928" t="str">
        <f>IF(OR(Registro_Compras!$C$106="",Registro_Compras!$O$106="",Registro_Compras!$R$106&lt;&gt;"SI",Registro_Compras!$X$106=""),"","4212")</f>
        <v/>
      </c>
      <c r="D928" t="str">
        <f>IF(OR(Registro_Compras!$C$106="",Registro_Compras!$O$106=""),"","Cuentas por Pagar Comerciales - Terceros")</f>
        <v>Cuentas por Pagar Comerciales - Terceros</v>
      </c>
      <c r="E928" s="20" t="str">
        <f>IF($C928="","",Registro_Compras!$S$106)</f>
        <v/>
      </c>
      <c r="F928" s="20" t="str">
        <f>""</f>
        <v/>
      </c>
      <c r="G928" t="str">
        <f>IF($C928="","","Por el deposito de la detraccion en el Banco de la Nacion")</f>
        <v/>
      </c>
      <c r="H928" t="str">
        <f>IF($C928="","",Registro_Compras!$C$106)</f>
        <v/>
      </c>
    </row>
    <row r="929" spans="1:8" x14ac:dyDescent="0.25">
      <c r="A929" s="25" t="str">
        <f>IF($C929="","",Registro_Compras!$X$106)</f>
        <v/>
      </c>
      <c r="B929" t="str">
        <f>IF($C929="","","C"&amp;TEXT(INT((ROW()-5)/9)+1,"000")&amp;"-3")</f>
        <v/>
      </c>
      <c r="C929" t="str">
        <f>IF(OR(Registro_Compras!$C$106="",Registro_Compras!$O$106="",Registro_Compras!$R$106&lt;&gt;"SI",Registro_Compras!$X$106=""),"","1041")</f>
        <v/>
      </c>
      <c r="D929" t="str">
        <f>IF(OR(Registro_Compras!$C$106="",Registro_Compras!$O$106=""),"","Efectivo y Equivalentes - Cta. Cte. Operativa")</f>
        <v>Efectivo y Equivalentes - Cta. Cte. Operativa</v>
      </c>
      <c r="E929" s="20" t="str">
        <f>""</f>
        <v/>
      </c>
      <c r="F929" s="20" t="str">
        <f>IF($C929="","",Registro_Compras!$S$106)</f>
        <v/>
      </c>
      <c r="G929" t="str">
        <f>IF($C929="","","Por el deposito de la detraccion en el Banco de la Nacion")</f>
        <v/>
      </c>
      <c r="H929" t="str">
        <f>IF($C929="","",Registro_Compras!$C$106)</f>
        <v/>
      </c>
    </row>
    <row r="930" spans="1:8" x14ac:dyDescent="0.25">
      <c r="A930" s="25" t="str">
        <f>IF($C930="","",Registro_Compras!$Y$106)</f>
        <v/>
      </c>
      <c r="B930" t="str">
        <f>IF($C930="","","C"&amp;TEXT(INT((ROW()-5)/9)+1,"000")&amp;"-4")</f>
        <v/>
      </c>
      <c r="C930" t="str">
        <f>IF(OR(Registro_Compras!$C$106="",Registro_Compras!$O$106="",Registro_Compras!$Y$106="",Registro_Compras!$F$106="NOTA DE CREDITO"),"","4212")</f>
        <v/>
      </c>
      <c r="D930" t="str">
        <f>IF(OR(Registro_Compras!$C$106="",Registro_Compras!$O$106=""),"","Cuentas por Pagar Comerciales - Terceros")</f>
        <v>Cuentas por Pagar Comerciales - Terceros</v>
      </c>
      <c r="E930" s="20" t="str">
        <f>IF($C930="","",IF(Registro_Compras!$F$106="RHE",(ROUND(Registro_Compras!$L$106*Registro_Compras!$N$106,2)-ROUND(Registro_Compras!$V$106*Registro_Compras!$N$106,2)),ROUND(Registro_Compras!$O$106-Registro_Compras!$S$106,2)))</f>
        <v/>
      </c>
      <c r="F930" s="20" t="str">
        <f>""</f>
        <v/>
      </c>
      <c r="G930" t="str">
        <f>IF($C930="","","Por la cancelacion del saldo al proveedor")</f>
        <v/>
      </c>
      <c r="H930" t="str">
        <f>IF($C930="","",Registro_Compras!$C$106)</f>
        <v/>
      </c>
    </row>
    <row r="931" spans="1:8" x14ac:dyDescent="0.25">
      <c r="A931" s="25" t="str">
        <f>IF($C931="","",Registro_Compras!$Y$106)</f>
        <v/>
      </c>
      <c r="B931" t="str">
        <f>IF($C931="","","C"&amp;TEXT(INT((ROW()-5)/9)+1,"000")&amp;"-4")</f>
        <v/>
      </c>
      <c r="C931" t="str">
        <f>IF(OR(Registro_Compras!$C$106="",Registro_Compras!$O$106="",Registro_Compras!$Y$106="",Registro_Compras!$F$106="NOTA DE CREDITO"),"","1041")</f>
        <v/>
      </c>
      <c r="D931" t="str">
        <f>IF(OR(Registro_Compras!$C$106="",Registro_Compras!$O$106=""),"","Efectivo y Equivalentes - Cta. Cte. Operativa")</f>
        <v>Efectivo y Equivalentes - Cta. Cte. Operativa</v>
      </c>
      <c r="E931" s="20" t="str">
        <f>""</f>
        <v/>
      </c>
      <c r="F931" s="20" t="str">
        <f>IF($C931="","",IF(Registro_Compras!$F$106="RHE",(ROUND(Registro_Compras!$L$106*Registro_Compras!$N$106,2)-ROUND(Registro_Compras!$V$106*Registro_Compras!$N$106,2)),ROUND(Registro_Compras!$O$106-Registro_Compras!$S$106,2)))</f>
        <v/>
      </c>
      <c r="G931" t="str">
        <f>IF($C931="","","Por la cancelacion del saldo al proveedor")</f>
        <v/>
      </c>
      <c r="H931" t="str">
        <f>IF($C931="","",Registro_Compras!$C$106)</f>
        <v/>
      </c>
    </row>
    <row r="932" spans="1:8" x14ac:dyDescent="0.25">
      <c r="A932" s="25">
        <f>IF($C932="","",Registro_Compras!$B$107)</f>
        <v>46253</v>
      </c>
      <c r="B932" t="str">
        <f>IF($C932="","","C"&amp;TEXT(INT((ROW()-5)/9)+1,"000")&amp;"-1")</f>
        <v>C104-1</v>
      </c>
      <c r="C932" t="str">
        <f>IF(OR(Registro_Compras!$C$107="",Registro_Compras!$O$107=""),"",IF(Registro_Compras!$F$107="NOTA DE CREDITO","4212",IF(Registro_Compras!$M$107="","63",Registro_Compras!$M$107)))</f>
        <v>631</v>
      </c>
      <c r="D932" t="str">
        <f>IF(OR(Registro_Compras!$C$107="",Registro_Compras!$O$107=""),"",IF(Registro_Compras!$F$107="NOTA DE CREDITO","Cuentas por Pagar Comerciales - Terceros (Emitidas)",IF(Registro_Compras!$F$107="RHE","Honorarios Profesionales - Servicios de Terceros","Gastos de Servicios Prestados por Terceros")))</f>
        <v>Gastos de Servicios Prestados por Terceros</v>
      </c>
      <c r="E932" s="20">
        <f>IF($C932="","",IF(Registro_Compras!$F$107="NOTA DE CREDITO",ABS(Registro_Compras!$O$107),IF(Registro_Compras!$F$107="RHE",ROUND(Registro_Compras!$L$107*Registro_Compras!$N$107,2),ROUND(Registro_Compras!$J$107*Registro_Compras!$N$107,2))))</f>
        <v>3788.23</v>
      </c>
      <c r="F932" s="20" t="str">
        <f>""</f>
        <v/>
      </c>
      <c r="G932" t="str">
        <f>IF($C932="","",IF(Registro_Compras!$F$107="NOTA DE CREDITO","Por la nota de credito "&amp;Registro_Compras!$C$107&amp;" de "&amp;Registro_Compras!$E$107&amp;" [PATRON POR CONFIRMAR CON CONTADOR]",IF(Registro_Compras!$F$107="RHE","Por el registro del recibo por honorarios "&amp;Registro_Compras!$C$107&amp;" de "&amp;Registro_Compras!$E$107&amp;" [PATRON POR CONFIRMAR CON CONTADOR]","Por el registro de la factura "&amp;Registro_Compras!$C$107&amp;" de "&amp;Registro_Compras!$E$107)))</f>
        <v>Por el registro de la factura E001-700 de CUELLAR ANDRES MANUEL ELMER</v>
      </c>
      <c r="H932" t="str">
        <f>IF($C932="","",Registro_Compras!$C$107)</f>
        <v>E001-700</v>
      </c>
    </row>
    <row r="933" spans="1:8" x14ac:dyDescent="0.25">
      <c r="A933" s="25">
        <f>IF($C933="","",Registro_Compras!$B$107)</f>
        <v>46253</v>
      </c>
      <c r="B933" t="str">
        <f>IF($C933="","","C"&amp;TEXT(INT((ROW()-5)/9)+1,"000")&amp;"-1")</f>
        <v>C104-1</v>
      </c>
      <c r="C933" t="str">
        <f>IF(OR(Registro_Compras!$C$107="",Registro_Compras!$O$107=""),"",IF(Registro_Compras!$F$107="RHE",IF(Registro_Compras!$V$107=0,"","4017"),IF(Registro_Compras!$F$107="NOTA DE CREDITO",IF(Registro_Compras!$M$107="","63",Registro_Compras!$M$107),IF(Registro_Compras!$K$107=0,"","40111"))))</f>
        <v>40111</v>
      </c>
      <c r="D933" t="str">
        <f>IF(OR(Registro_Compras!$C$107="",Registro_Compras!$O$107=""),"",IF(Registro_Compras!$F$107="RHE","Retencion Renta 4ta Categoria por Pagar",IF(Registro_Compras!$F$107="NOTA DE CREDITO","Gastos de Servicios Prestados por Terceros","IGV - Cuenta Propia (Credito Fiscal)")))</f>
        <v>IGV - Cuenta Propia (Credito Fiscal)</v>
      </c>
      <c r="E933" s="20">
        <f>IF($C933="","",IF(Registro_Compras!$F$107="FACTURA",ROUND(Registro_Compras!$K$107*Registro_Compras!$N$107,2),""))</f>
        <v>681.88</v>
      </c>
      <c r="F933" s="20" t="str">
        <f>IF($C933="","",IF(Registro_Compras!$F$107="RHE",ROUND(Registro_Compras!$V$107*Registro_Compras!$N$107,2),IF(Registro_Compras!$F$107="NOTA DE CREDITO",ROUND(ABS(Registro_Compras!$J$107*Registro_Compras!$N$107),2),"")))</f>
        <v/>
      </c>
      <c r="G933" t="str">
        <f>IF($C933="","",IF(Registro_Compras!$F$107="NOTA DE CREDITO","Por la nota de credito "&amp;Registro_Compras!$C$107&amp;" de "&amp;Registro_Compras!$E$107&amp;" [PATRON POR CONFIRMAR CON CONTADOR]",IF(Registro_Compras!$F$107="RHE","Por el registro del recibo por honorarios "&amp;Registro_Compras!$C$107&amp;" de "&amp;Registro_Compras!$E$107&amp;" [PATRON POR CONFIRMAR CON CONTADOR]","Por el registro de la factura "&amp;Registro_Compras!$C$107&amp;" de "&amp;Registro_Compras!$E$107)))</f>
        <v>Por el registro de la factura E001-700 de CUELLAR ANDRES MANUEL ELMER</v>
      </c>
      <c r="H933" t="str">
        <f>IF($C933="","",Registro_Compras!$C$107)</f>
        <v>E001-700</v>
      </c>
    </row>
    <row r="934" spans="1:8" x14ac:dyDescent="0.25">
      <c r="A934" s="25">
        <f>IF($C934="","",Registro_Compras!$B$107)</f>
        <v>46253</v>
      </c>
      <c r="B934" t="str">
        <f>IF($C934="","","C"&amp;TEXT(INT((ROW()-5)/9)+1,"000")&amp;"-1")</f>
        <v>C104-1</v>
      </c>
      <c r="C934" t="str">
        <f>IF(OR(Registro_Compras!$C$107="",Registro_Compras!$O$107=""),"",IF(Registro_Compras!$F$107="NOTA DE CREDITO",IF(Registro_Compras!$K$107=0,"","40111"),"4212"))</f>
        <v>4212</v>
      </c>
      <c r="D934" t="str">
        <f>IF(OR(Registro_Compras!$C$107="",Registro_Compras!$O$107=""),"",IF(Registro_Compras!$F$107="NOTA DE CREDITO","IGV - Cuenta Propia (Credito Fiscal)","Cuentas por Pagar Comerciales - Terceros (Emitidas)"))</f>
        <v>Cuentas por Pagar Comerciales - Terceros (Emitidas)</v>
      </c>
      <c r="E934" s="20" t="str">
        <f>""</f>
        <v/>
      </c>
      <c r="F934" s="20">
        <f>IF($C934="","",IF(Registro_Compras!$F$107="NOTA DE CREDITO",ROUND(ABS(Registro_Compras!$K$107*Registro_Compras!$N$107),2),IF(Registro_Compras!$F$107="RHE",(ROUND(Registro_Compras!$L$107*Registro_Compras!$N$107,2)-ROUND(Registro_Compras!$V$107*Registro_Compras!$N$107,2)),Registro_Compras!$O$107)))</f>
        <v>4470.1099999999997</v>
      </c>
      <c r="G934" t="str">
        <f>IF($C934="","",IF(Registro_Compras!$F$107="NOTA DE CREDITO","Por la nota de credito "&amp;Registro_Compras!$C$107&amp;" de "&amp;Registro_Compras!$E$107&amp;" [PATRON POR CONFIRMAR CON CONTADOR]",IF(Registro_Compras!$F$107="RHE","Por el registro del recibo por honorarios "&amp;Registro_Compras!$C$107&amp;" de "&amp;Registro_Compras!$E$107&amp;" [PATRON POR CONFIRMAR CON CONTADOR]","Por el registro de la factura "&amp;Registro_Compras!$C$107&amp;" de "&amp;Registro_Compras!$E$107)))</f>
        <v>Por el registro de la factura E001-700 de CUELLAR ANDRES MANUEL ELMER</v>
      </c>
      <c r="H934" t="str">
        <f>IF($C934="","",Registro_Compras!$C$107)</f>
        <v>E001-700</v>
      </c>
    </row>
    <row r="935" spans="1:8" x14ac:dyDescent="0.25">
      <c r="A935" s="25">
        <f>IF($C935="","",Registro_Compras!$B$107)</f>
        <v>46253</v>
      </c>
      <c r="B935" t="str">
        <f>IF($C935="","","C"&amp;TEXT(INT((ROW()-5)/9)+1,"000")&amp;"-2")</f>
        <v>C104-2</v>
      </c>
      <c r="C935" t="str">
        <f>IF(OR(Registro_Compras!$C$107="",Registro_Compras!$O$107=""),"",IF(Registro_Compras!$AB$107="ADMINISTRATIVO","94","95"))</f>
        <v>95</v>
      </c>
      <c r="D935" t="str">
        <f>IF(OR(Registro_Compras!$C$107="",Registro_Compras!$O$107=""),"",IF(Registro_Compras!$AB$107="ADMINISTRATIVO","Gastos Administrativos","Gastos de Venta y Operacion"))</f>
        <v>Gastos de Venta y Operacion</v>
      </c>
      <c r="E935" s="20">
        <f>IF($C935="","",IF(Registro_Compras!$F$107="NOTA DE CREDITO","",IF(Registro_Compras!$F$107="RHE",ROUND(Registro_Compras!$L$107*Registro_Compras!$N$107,2),ROUND(Registro_Compras!$J$107*Registro_Compras!$N$107,2))))</f>
        <v>3788.23</v>
      </c>
      <c r="F935" s="20" t="str">
        <f>IF($C935="","",IF(Registro_Compras!$F$107="NOTA DE CREDITO",ROUND(ABS(Registro_Compras!$J$107*Registro_Compras!$N$107),2),""))</f>
        <v/>
      </c>
      <c r="G935" t="str">
        <f>IF($C935="","","Por el destino del gasto")</f>
        <v>Por el destino del gasto</v>
      </c>
      <c r="H935" t="str">
        <f>IF($C935="","",Registro_Compras!$C$107)</f>
        <v>E001-700</v>
      </c>
    </row>
    <row r="936" spans="1:8" x14ac:dyDescent="0.25">
      <c r="A936" s="25">
        <f>IF($C936="","",Registro_Compras!$B$107)</f>
        <v>46253</v>
      </c>
      <c r="B936" t="str">
        <f>IF($C936="","","C"&amp;TEXT(INT((ROW()-5)/9)+1,"000")&amp;"-2")</f>
        <v>C104-2</v>
      </c>
      <c r="C936" t="str">
        <f>IF(OR(Registro_Compras!$C$107="",Registro_Compras!$O$107=""),"","79/791")</f>
        <v>79/791</v>
      </c>
      <c r="D936" t="str">
        <f>IF(OR(Registro_Compras!$C$107="",Registro_Compras!$O$107=""),"","Cargas Imputables a Cuentas de Costos y Gastos")</f>
        <v>Cargas Imputables a Cuentas de Costos y Gastos</v>
      </c>
      <c r="E936" s="20" t="str">
        <f>IF($C936="","",IF(Registro_Compras!$F$107="NOTA DE CREDITO",ROUND(ABS(Registro_Compras!$J$107*Registro_Compras!$N$107),2),""))</f>
        <v/>
      </c>
      <c r="F936" s="20">
        <f>IF($C936="","",IF(Registro_Compras!$F$107="NOTA DE CREDITO","",IF(Registro_Compras!$F$107="RHE",ROUND(Registro_Compras!$L$107*Registro_Compras!$N$107,2),ROUND(Registro_Compras!$J$107*Registro_Compras!$N$107,2))))</f>
        <v>3788.23</v>
      </c>
      <c r="G936" t="str">
        <f>IF($C936="","","Por el destino del gasto")</f>
        <v>Por el destino del gasto</v>
      </c>
      <c r="H936" t="str">
        <f>IF($C936="","",Registro_Compras!$C$107)</f>
        <v>E001-700</v>
      </c>
    </row>
    <row r="937" spans="1:8" x14ac:dyDescent="0.25">
      <c r="A937" s="25" t="str">
        <f>IF($C937="","",Registro_Compras!$X$107)</f>
        <v/>
      </c>
      <c r="B937" t="str">
        <f>IF($C937="","","C"&amp;TEXT(INT((ROW()-5)/9)+1,"000")&amp;"-3")</f>
        <v/>
      </c>
      <c r="C937" t="str">
        <f>IF(OR(Registro_Compras!$C$107="",Registro_Compras!$O$107="",Registro_Compras!$R$107&lt;&gt;"SI",Registro_Compras!$X$107=""),"","4212")</f>
        <v/>
      </c>
      <c r="D937" t="str">
        <f>IF(OR(Registro_Compras!$C$107="",Registro_Compras!$O$107=""),"","Cuentas por Pagar Comerciales - Terceros")</f>
        <v>Cuentas por Pagar Comerciales - Terceros</v>
      </c>
      <c r="E937" s="20" t="str">
        <f>IF($C937="","",Registro_Compras!$S$107)</f>
        <v/>
      </c>
      <c r="F937" s="20" t="str">
        <f>""</f>
        <v/>
      </c>
      <c r="G937" t="str">
        <f>IF($C937="","","Por el deposito de la detraccion en el Banco de la Nacion")</f>
        <v/>
      </c>
      <c r="H937" t="str">
        <f>IF($C937="","",Registro_Compras!$C$107)</f>
        <v/>
      </c>
    </row>
    <row r="938" spans="1:8" x14ac:dyDescent="0.25">
      <c r="A938" s="25" t="str">
        <f>IF($C938="","",Registro_Compras!$X$107)</f>
        <v/>
      </c>
      <c r="B938" t="str">
        <f>IF($C938="","","C"&amp;TEXT(INT((ROW()-5)/9)+1,"000")&amp;"-3")</f>
        <v/>
      </c>
      <c r="C938" t="str">
        <f>IF(OR(Registro_Compras!$C$107="",Registro_Compras!$O$107="",Registro_Compras!$R$107&lt;&gt;"SI",Registro_Compras!$X$107=""),"","1041")</f>
        <v/>
      </c>
      <c r="D938" t="str">
        <f>IF(OR(Registro_Compras!$C$107="",Registro_Compras!$O$107=""),"","Efectivo y Equivalentes - Cta. Cte. Operativa")</f>
        <v>Efectivo y Equivalentes - Cta. Cte. Operativa</v>
      </c>
      <c r="E938" s="20" t="str">
        <f>""</f>
        <v/>
      </c>
      <c r="F938" s="20" t="str">
        <f>IF($C938="","",Registro_Compras!$S$107)</f>
        <v/>
      </c>
      <c r="G938" t="str">
        <f>IF($C938="","","Por el deposito de la detraccion en el Banco de la Nacion")</f>
        <v/>
      </c>
      <c r="H938" t="str">
        <f>IF($C938="","",Registro_Compras!$C$107)</f>
        <v/>
      </c>
    </row>
    <row r="939" spans="1:8" x14ac:dyDescent="0.25">
      <c r="A939" s="25" t="str">
        <f>IF($C939="","",Registro_Compras!$Y$107)</f>
        <v/>
      </c>
      <c r="B939" t="str">
        <f>IF($C939="","","C"&amp;TEXT(INT((ROW()-5)/9)+1,"000")&amp;"-4")</f>
        <v/>
      </c>
      <c r="C939" t="str">
        <f>IF(OR(Registro_Compras!$C$107="",Registro_Compras!$O$107="",Registro_Compras!$Y$107="",Registro_Compras!$F$107="NOTA DE CREDITO"),"","4212")</f>
        <v/>
      </c>
      <c r="D939" t="str">
        <f>IF(OR(Registro_Compras!$C$107="",Registro_Compras!$O$107=""),"","Cuentas por Pagar Comerciales - Terceros")</f>
        <v>Cuentas por Pagar Comerciales - Terceros</v>
      </c>
      <c r="E939" s="20" t="str">
        <f>IF($C939="","",IF(Registro_Compras!$F$107="RHE",(ROUND(Registro_Compras!$L$107*Registro_Compras!$N$107,2)-ROUND(Registro_Compras!$V$107*Registro_Compras!$N$107,2)),ROUND(Registro_Compras!$O$107-Registro_Compras!$S$107,2)))</f>
        <v/>
      </c>
      <c r="F939" s="20" t="str">
        <f>""</f>
        <v/>
      </c>
      <c r="G939" t="str">
        <f>IF($C939="","","Por la cancelacion del saldo al proveedor")</f>
        <v/>
      </c>
      <c r="H939" t="str">
        <f>IF($C939="","",Registro_Compras!$C$107)</f>
        <v/>
      </c>
    </row>
    <row r="940" spans="1:8" x14ac:dyDescent="0.25">
      <c r="A940" s="25" t="str">
        <f>IF($C940="","",Registro_Compras!$Y$107)</f>
        <v/>
      </c>
      <c r="B940" t="str">
        <f>IF($C940="","","C"&amp;TEXT(INT((ROW()-5)/9)+1,"000")&amp;"-4")</f>
        <v/>
      </c>
      <c r="C940" t="str">
        <f>IF(OR(Registro_Compras!$C$107="",Registro_Compras!$O$107="",Registro_Compras!$Y$107="",Registro_Compras!$F$107="NOTA DE CREDITO"),"","1041")</f>
        <v/>
      </c>
      <c r="D940" t="str">
        <f>IF(OR(Registro_Compras!$C$107="",Registro_Compras!$O$107=""),"","Efectivo y Equivalentes - Cta. Cte. Operativa")</f>
        <v>Efectivo y Equivalentes - Cta. Cte. Operativa</v>
      </c>
      <c r="E940" s="20" t="str">
        <f>""</f>
        <v/>
      </c>
      <c r="F940" s="20" t="str">
        <f>IF($C940="","",IF(Registro_Compras!$F$107="RHE",(ROUND(Registro_Compras!$L$107*Registro_Compras!$N$107,2)-ROUND(Registro_Compras!$V$107*Registro_Compras!$N$107,2)),ROUND(Registro_Compras!$O$107-Registro_Compras!$S$107,2)))</f>
        <v/>
      </c>
      <c r="G940" t="str">
        <f>IF($C940="","","Por la cancelacion del saldo al proveedor")</f>
        <v/>
      </c>
      <c r="H940" t="str">
        <f>IF($C940="","",Registro_Compras!$C$107)</f>
        <v/>
      </c>
    </row>
    <row r="941" spans="1:8" x14ac:dyDescent="0.25">
      <c r="A941" s="25">
        <f>IF($C941="","",Registro_Compras!$B$108)</f>
        <v>46250</v>
      </c>
      <c r="B941" t="str">
        <f>IF($C941="","","C"&amp;TEXT(INT((ROW()-5)/9)+1,"000")&amp;"-1")</f>
        <v>C105-1</v>
      </c>
      <c r="C941" t="str">
        <f>IF(OR(Registro_Compras!$C$108="",Registro_Compras!$O$108=""),"",IF(Registro_Compras!$F$108="NOTA DE CREDITO","4212",IF(Registro_Compras!$M$108="","63",Registro_Compras!$M$108)))</f>
        <v>632</v>
      </c>
      <c r="D941" t="str">
        <f>IF(OR(Registro_Compras!$C$108="",Registro_Compras!$O$108=""),"",IF(Registro_Compras!$F$108="NOTA DE CREDITO","Cuentas por Pagar Comerciales - Terceros (Emitidas)",IF(Registro_Compras!$F$108="RHE","Honorarios Profesionales - Servicios de Terceros","Gastos de Servicios Prestados por Terceros")))</f>
        <v>Honorarios Profesionales - Servicios de Terceros</v>
      </c>
      <c r="E941" s="20">
        <f>IF($C941="","",IF(Registro_Compras!$F$108="NOTA DE CREDITO",ABS(Registro_Compras!$O$108),IF(Registro_Compras!$F$108="RHE",ROUND(Registro_Compras!$L$108*Registro_Compras!$N$108,2),ROUND(Registro_Compras!$J$108*Registro_Compras!$N$108,2))))</f>
        <v>1011.3</v>
      </c>
      <c r="F941" s="20" t="str">
        <f>""</f>
        <v/>
      </c>
      <c r="G941" t="str">
        <f>IF($C941="","",IF(Registro_Compras!$F$108="NOTA DE CREDITO","Por la nota de credito "&amp;Registro_Compras!$C$108&amp;" de "&amp;Registro_Compras!$E$108&amp;" [PATRON POR CONFIRMAR CON CONTADOR]",IF(Registro_Compras!$F$108="RHE","Por el registro del recibo por honorarios "&amp;Registro_Compras!$C$108&amp;" de "&amp;Registro_Compras!$E$108&amp;" [PATRON POR CONFIRMAR CON CONTADOR]","Por el registro de la factura "&amp;Registro_Compras!$C$108&amp;" de "&amp;Registro_Compras!$E$108)))</f>
        <v>Por el registro del recibo por honorarios E001- 743 de CATACORA RAMIREZ PAUL FRED [PATRON POR CONFIRMAR CON CONTADOR]</v>
      </c>
      <c r="H941" t="str">
        <f>IF($C941="","",Registro_Compras!$C$108)</f>
        <v>E001- 743</v>
      </c>
    </row>
    <row r="942" spans="1:8" x14ac:dyDescent="0.25">
      <c r="A942" s="25" t="str">
        <f>IF($C942="","",Registro_Compras!$B$108)</f>
        <v/>
      </c>
      <c r="B942" t="str">
        <f>IF($C942="","","C"&amp;TEXT(INT((ROW()-5)/9)+1,"000")&amp;"-1")</f>
        <v/>
      </c>
      <c r="C942" t="str">
        <f>IF(OR(Registro_Compras!$C$108="",Registro_Compras!$O$108=""),"",IF(Registro_Compras!$F$108="RHE",IF(Registro_Compras!$V$108=0,"","4017"),IF(Registro_Compras!$F$108="NOTA DE CREDITO",IF(Registro_Compras!$M$108="","63",Registro_Compras!$M$108),IF(Registro_Compras!$K$108=0,"","40111"))))</f>
        <v/>
      </c>
      <c r="D942" t="str">
        <f>IF(OR(Registro_Compras!$C$108="",Registro_Compras!$O$108=""),"",IF(Registro_Compras!$F$108="RHE","Retencion Renta 4ta Categoria por Pagar",IF(Registro_Compras!$F$108="NOTA DE CREDITO","Gastos de Servicios Prestados por Terceros","IGV - Cuenta Propia (Credito Fiscal)")))</f>
        <v>Retencion Renta 4ta Categoria por Pagar</v>
      </c>
      <c r="E942" s="20" t="str">
        <f>IF($C942="","",IF(Registro_Compras!$F$108="FACTURA",ROUND(Registro_Compras!$K$108*Registro_Compras!$N$108,2),""))</f>
        <v/>
      </c>
      <c r="F942" s="20" t="str">
        <f>IF($C942="","",IF(Registro_Compras!$F$108="RHE",ROUND(Registro_Compras!$V$108*Registro_Compras!$N$108,2),IF(Registro_Compras!$F$108="NOTA DE CREDITO",ROUND(ABS(Registro_Compras!$J$108*Registro_Compras!$N$108),2),"")))</f>
        <v/>
      </c>
      <c r="G942" t="str">
        <f>IF($C942="","",IF(Registro_Compras!$F$108="NOTA DE CREDITO","Por la nota de credito "&amp;Registro_Compras!$C$108&amp;" de "&amp;Registro_Compras!$E$108&amp;" [PATRON POR CONFIRMAR CON CONTADOR]",IF(Registro_Compras!$F$108="RHE","Por el registro del recibo por honorarios "&amp;Registro_Compras!$C$108&amp;" de "&amp;Registro_Compras!$E$108&amp;" [PATRON POR CONFIRMAR CON CONTADOR]","Por el registro de la factura "&amp;Registro_Compras!$C$108&amp;" de "&amp;Registro_Compras!$E$108)))</f>
        <v/>
      </c>
      <c r="H942" t="str">
        <f>IF($C942="","",Registro_Compras!$C$108)</f>
        <v/>
      </c>
    </row>
    <row r="943" spans="1:8" x14ac:dyDescent="0.25">
      <c r="A943" s="25">
        <f>IF($C943="","",Registro_Compras!$B$108)</f>
        <v>46250</v>
      </c>
      <c r="B943" t="str">
        <f>IF($C943="","","C"&amp;TEXT(INT((ROW()-5)/9)+1,"000")&amp;"-1")</f>
        <v>C105-1</v>
      </c>
      <c r="C943" t="str">
        <f>IF(OR(Registro_Compras!$C$108="",Registro_Compras!$O$108=""),"",IF(Registro_Compras!$F$108="NOTA DE CREDITO",IF(Registro_Compras!$K$108=0,"","40111"),"4212"))</f>
        <v>4212</v>
      </c>
      <c r="D943" t="str">
        <f>IF(OR(Registro_Compras!$C$108="",Registro_Compras!$O$108=""),"",IF(Registro_Compras!$F$108="NOTA DE CREDITO","IGV - Cuenta Propia (Credito Fiscal)","Cuentas por Pagar Comerciales - Terceros (Emitidas)"))</f>
        <v>Cuentas por Pagar Comerciales - Terceros (Emitidas)</v>
      </c>
      <c r="E943" s="20" t="str">
        <f>""</f>
        <v/>
      </c>
      <c r="F943" s="20">
        <f>IF($C943="","",IF(Registro_Compras!$F$108="NOTA DE CREDITO",ROUND(ABS(Registro_Compras!$K$108*Registro_Compras!$N$108),2),IF(Registro_Compras!$F$108="RHE",(ROUND(Registro_Compras!$L$108*Registro_Compras!$N$108,2)-ROUND(Registro_Compras!$V$108*Registro_Compras!$N$108,2)),Registro_Compras!$O$108)))</f>
        <v>1011.3</v>
      </c>
      <c r="G943" t="str">
        <f>IF($C943="","",IF(Registro_Compras!$F$108="NOTA DE CREDITO","Por la nota de credito "&amp;Registro_Compras!$C$108&amp;" de "&amp;Registro_Compras!$E$108&amp;" [PATRON POR CONFIRMAR CON CONTADOR]",IF(Registro_Compras!$F$108="RHE","Por el registro del recibo por honorarios "&amp;Registro_Compras!$C$108&amp;" de "&amp;Registro_Compras!$E$108&amp;" [PATRON POR CONFIRMAR CON CONTADOR]","Por el registro de la factura "&amp;Registro_Compras!$C$108&amp;" de "&amp;Registro_Compras!$E$108)))</f>
        <v>Por el registro del recibo por honorarios E001- 743 de CATACORA RAMIREZ PAUL FRED [PATRON POR CONFIRMAR CON CONTADOR]</v>
      </c>
      <c r="H943" t="str">
        <f>IF($C943="","",Registro_Compras!$C$108)</f>
        <v>E001- 743</v>
      </c>
    </row>
    <row r="944" spans="1:8" x14ac:dyDescent="0.25">
      <c r="A944" s="25">
        <f>IF($C944="","",Registro_Compras!$B$108)</f>
        <v>46250</v>
      </c>
      <c r="B944" t="str">
        <f>IF($C944="","","C"&amp;TEXT(INT((ROW()-5)/9)+1,"000")&amp;"-2")</f>
        <v>C105-2</v>
      </c>
      <c r="C944" t="str">
        <f>IF(OR(Registro_Compras!$C$108="",Registro_Compras!$O$108=""),"",IF(Registro_Compras!$AB$108="ADMINISTRATIVO","94","95"))</f>
        <v>95</v>
      </c>
      <c r="D944" t="str">
        <f>IF(OR(Registro_Compras!$C$108="",Registro_Compras!$O$108=""),"",IF(Registro_Compras!$AB$108="ADMINISTRATIVO","Gastos Administrativos","Gastos de Venta y Operacion"))</f>
        <v>Gastos de Venta y Operacion</v>
      </c>
      <c r="E944" s="20">
        <f>IF($C944="","",IF(Registro_Compras!$F$108="NOTA DE CREDITO","",IF(Registro_Compras!$F$108="RHE",ROUND(Registro_Compras!$L$108*Registro_Compras!$N$108,2),ROUND(Registro_Compras!$J$108*Registro_Compras!$N$108,2))))</f>
        <v>1011.3</v>
      </c>
      <c r="F944" s="20" t="str">
        <f>IF($C944="","",IF(Registro_Compras!$F$108="NOTA DE CREDITO",ROUND(ABS(Registro_Compras!$J$108*Registro_Compras!$N$108),2),""))</f>
        <v/>
      </c>
      <c r="G944" t="str">
        <f>IF($C944="","","Por el destino del gasto")</f>
        <v>Por el destino del gasto</v>
      </c>
      <c r="H944" t="str">
        <f>IF($C944="","",Registro_Compras!$C$108)</f>
        <v>E001- 743</v>
      </c>
    </row>
    <row r="945" spans="1:8" x14ac:dyDescent="0.25">
      <c r="A945" s="25">
        <f>IF($C945="","",Registro_Compras!$B$108)</f>
        <v>46250</v>
      </c>
      <c r="B945" t="str">
        <f>IF($C945="","","C"&amp;TEXT(INT((ROW()-5)/9)+1,"000")&amp;"-2")</f>
        <v>C105-2</v>
      </c>
      <c r="C945" t="str">
        <f>IF(OR(Registro_Compras!$C$108="",Registro_Compras!$O$108=""),"","79/791")</f>
        <v>79/791</v>
      </c>
      <c r="D945" t="str">
        <f>IF(OR(Registro_Compras!$C$108="",Registro_Compras!$O$108=""),"","Cargas Imputables a Cuentas de Costos y Gastos")</f>
        <v>Cargas Imputables a Cuentas de Costos y Gastos</v>
      </c>
      <c r="E945" s="20" t="str">
        <f>IF($C945="","",IF(Registro_Compras!$F$108="NOTA DE CREDITO",ROUND(ABS(Registro_Compras!$J$108*Registro_Compras!$N$108),2),""))</f>
        <v/>
      </c>
      <c r="F945" s="20">
        <f>IF($C945="","",IF(Registro_Compras!$F$108="NOTA DE CREDITO","",IF(Registro_Compras!$F$108="RHE",ROUND(Registro_Compras!$L$108*Registro_Compras!$N$108,2),ROUND(Registro_Compras!$J$108*Registro_Compras!$N$108,2))))</f>
        <v>1011.3</v>
      </c>
      <c r="G945" t="str">
        <f>IF($C945="","","Por el destino del gasto")</f>
        <v>Por el destino del gasto</v>
      </c>
      <c r="H945" t="str">
        <f>IF($C945="","",Registro_Compras!$C$108)</f>
        <v>E001- 743</v>
      </c>
    </row>
    <row r="946" spans="1:8" x14ac:dyDescent="0.25">
      <c r="A946" s="25" t="str">
        <f>IF($C946="","",Registro_Compras!$X$108)</f>
        <v/>
      </c>
      <c r="B946" t="str">
        <f>IF($C946="","","C"&amp;TEXT(INT((ROW()-5)/9)+1,"000")&amp;"-3")</f>
        <v/>
      </c>
      <c r="C946" t="str">
        <f>IF(OR(Registro_Compras!$C$108="",Registro_Compras!$O$108="",Registro_Compras!$R$108&lt;&gt;"SI",Registro_Compras!$X$108=""),"","4212")</f>
        <v/>
      </c>
      <c r="D946" t="str">
        <f>IF(OR(Registro_Compras!$C$108="",Registro_Compras!$O$108=""),"","Cuentas por Pagar Comerciales - Terceros")</f>
        <v>Cuentas por Pagar Comerciales - Terceros</v>
      </c>
      <c r="E946" s="20" t="str">
        <f>IF($C946="","",Registro_Compras!$S$108)</f>
        <v/>
      </c>
      <c r="F946" s="20" t="str">
        <f>""</f>
        <v/>
      </c>
      <c r="G946" t="str">
        <f>IF($C946="","","Por el deposito de la detraccion en el Banco de la Nacion")</f>
        <v/>
      </c>
      <c r="H946" t="str">
        <f>IF($C946="","",Registro_Compras!$C$108)</f>
        <v/>
      </c>
    </row>
    <row r="947" spans="1:8" x14ac:dyDescent="0.25">
      <c r="A947" s="25" t="str">
        <f>IF($C947="","",Registro_Compras!$X$108)</f>
        <v/>
      </c>
      <c r="B947" t="str">
        <f>IF($C947="","","C"&amp;TEXT(INT((ROW()-5)/9)+1,"000")&amp;"-3")</f>
        <v/>
      </c>
      <c r="C947" t="str">
        <f>IF(OR(Registro_Compras!$C$108="",Registro_Compras!$O$108="",Registro_Compras!$R$108&lt;&gt;"SI",Registro_Compras!$X$108=""),"","1041")</f>
        <v/>
      </c>
      <c r="D947" t="str">
        <f>IF(OR(Registro_Compras!$C$108="",Registro_Compras!$O$108=""),"","Efectivo y Equivalentes - Cta. Cte. Operativa")</f>
        <v>Efectivo y Equivalentes - Cta. Cte. Operativa</v>
      </c>
      <c r="E947" s="20" t="str">
        <f>""</f>
        <v/>
      </c>
      <c r="F947" s="20" t="str">
        <f>IF($C947="","",Registro_Compras!$S$108)</f>
        <v/>
      </c>
      <c r="G947" t="str">
        <f>IF($C947="","","Por el deposito de la detraccion en el Banco de la Nacion")</f>
        <v/>
      </c>
      <c r="H947" t="str">
        <f>IF($C947="","",Registro_Compras!$C$108)</f>
        <v/>
      </c>
    </row>
    <row r="948" spans="1:8" x14ac:dyDescent="0.25">
      <c r="A948" s="25" t="str">
        <f>IF($C948="","",Registro_Compras!$Y$108)</f>
        <v/>
      </c>
      <c r="B948" t="str">
        <f>IF($C948="","","C"&amp;TEXT(INT((ROW()-5)/9)+1,"000")&amp;"-4")</f>
        <v/>
      </c>
      <c r="C948" t="str">
        <f>IF(OR(Registro_Compras!$C$108="",Registro_Compras!$O$108="",Registro_Compras!$Y$108="",Registro_Compras!$F$108="NOTA DE CREDITO"),"","4212")</f>
        <v/>
      </c>
      <c r="D948" t="str">
        <f>IF(OR(Registro_Compras!$C$108="",Registro_Compras!$O$108=""),"","Cuentas por Pagar Comerciales - Terceros")</f>
        <v>Cuentas por Pagar Comerciales - Terceros</v>
      </c>
      <c r="E948" s="20" t="str">
        <f>IF($C948="","",IF(Registro_Compras!$F$108="RHE",(ROUND(Registro_Compras!$L$108*Registro_Compras!$N$108,2)-ROUND(Registro_Compras!$V$108*Registro_Compras!$N$108,2)),ROUND(Registro_Compras!$O$108-Registro_Compras!$S$108,2)))</f>
        <v/>
      </c>
      <c r="F948" s="20" t="str">
        <f>""</f>
        <v/>
      </c>
      <c r="G948" t="str">
        <f>IF($C948="","","Por la cancelacion del saldo al proveedor")</f>
        <v/>
      </c>
      <c r="H948" t="str">
        <f>IF($C948="","",Registro_Compras!$C$108)</f>
        <v/>
      </c>
    </row>
    <row r="949" spans="1:8" x14ac:dyDescent="0.25">
      <c r="A949" s="25" t="str">
        <f>IF($C949="","",Registro_Compras!$Y$108)</f>
        <v/>
      </c>
      <c r="B949" t="str">
        <f>IF($C949="","","C"&amp;TEXT(INT((ROW()-5)/9)+1,"000")&amp;"-4")</f>
        <v/>
      </c>
      <c r="C949" t="str">
        <f>IF(OR(Registro_Compras!$C$108="",Registro_Compras!$O$108="",Registro_Compras!$Y$108="",Registro_Compras!$F$108="NOTA DE CREDITO"),"","1041")</f>
        <v/>
      </c>
      <c r="D949" t="str">
        <f>IF(OR(Registro_Compras!$C$108="",Registro_Compras!$O$108=""),"","Efectivo y Equivalentes - Cta. Cte. Operativa")</f>
        <v>Efectivo y Equivalentes - Cta. Cte. Operativa</v>
      </c>
      <c r="E949" s="20" t="str">
        <f>""</f>
        <v/>
      </c>
      <c r="F949" s="20" t="str">
        <f>IF($C949="","",IF(Registro_Compras!$F$108="RHE",(ROUND(Registro_Compras!$L$108*Registro_Compras!$N$108,2)-ROUND(Registro_Compras!$V$108*Registro_Compras!$N$108,2)),ROUND(Registro_Compras!$O$108-Registro_Compras!$S$108,2)))</f>
        <v/>
      </c>
      <c r="G949" t="str">
        <f>IF($C949="","","Por la cancelacion del saldo al proveedor")</f>
        <v/>
      </c>
      <c r="H949" t="str">
        <f>IF($C949="","",Registro_Compras!$C$108)</f>
        <v/>
      </c>
    </row>
    <row r="950" spans="1:8" x14ac:dyDescent="0.25">
      <c r="A950" s="25">
        <f>IF($C950="","",Registro_Compras!$B$109)</f>
        <v>46251</v>
      </c>
      <c r="B950" t="str">
        <f>IF($C950="","","C"&amp;TEXT(INT((ROW()-5)/9)+1,"000")&amp;"-1")</f>
        <v>C106-1</v>
      </c>
      <c r="C950" t="str">
        <f>IF(OR(Registro_Compras!$C$109="",Registro_Compras!$O$109=""),"",IF(Registro_Compras!$F$109="NOTA DE CREDITO","4212",IF(Registro_Compras!$M$109="","63",Registro_Compras!$M$109)))</f>
        <v>632</v>
      </c>
      <c r="D950" t="str">
        <f>IF(OR(Registro_Compras!$C$109="",Registro_Compras!$O$109=""),"",IF(Registro_Compras!$F$109="NOTA DE CREDITO","Cuentas por Pagar Comerciales - Terceros (Emitidas)",IF(Registro_Compras!$F$109="RHE","Honorarios Profesionales - Servicios de Terceros","Gastos de Servicios Prestados por Terceros")))</f>
        <v>Honorarios Profesionales - Servicios de Terceros</v>
      </c>
      <c r="E950" s="20">
        <f>IF($C950="","",IF(Registro_Compras!$F$109="NOTA DE CREDITO",ABS(Registro_Compras!$O$109),IF(Registro_Compras!$F$109="RHE",ROUND(Registro_Compras!$L$109*Registro_Compras!$N$109,2),ROUND(Registro_Compras!$J$109*Registro_Compras!$N$109,2))))</f>
        <v>673.6</v>
      </c>
      <c r="F950" s="20" t="str">
        <f>""</f>
        <v/>
      </c>
      <c r="G950" t="str">
        <f>IF($C950="","",IF(Registro_Compras!$F$109="NOTA DE CREDITO","Por la nota de credito "&amp;Registro_Compras!$C$109&amp;" de "&amp;Registro_Compras!$E$109&amp;" [PATRON POR CONFIRMAR CON CONTADOR]",IF(Registro_Compras!$F$109="RHE","Por el registro del recibo por honorarios "&amp;Registro_Compras!$C$109&amp;" de "&amp;Registro_Compras!$E$109&amp;" [PATRON POR CONFIRMAR CON CONTADOR]","Por el registro de la factura "&amp;Registro_Compras!$C$109&amp;" de "&amp;Registro_Compras!$E$109)))</f>
        <v>Por el registro del recibo por honorarios E001- 744 de CATACORA RAMIREZ PAUL FRED [PATRON POR CONFIRMAR CON CONTADOR]</v>
      </c>
      <c r="H950" t="str">
        <f>IF($C950="","",Registro_Compras!$C$109)</f>
        <v>E001- 744</v>
      </c>
    </row>
    <row r="951" spans="1:8" x14ac:dyDescent="0.25">
      <c r="A951" s="25" t="str">
        <f>IF($C951="","",Registro_Compras!$B$109)</f>
        <v/>
      </c>
      <c r="B951" t="str">
        <f>IF($C951="","","C"&amp;TEXT(INT((ROW()-5)/9)+1,"000")&amp;"-1")</f>
        <v/>
      </c>
      <c r="C951" t="str">
        <f>IF(OR(Registro_Compras!$C$109="",Registro_Compras!$O$109=""),"",IF(Registro_Compras!$F$109="RHE",IF(Registro_Compras!$V$109=0,"","4017"),IF(Registro_Compras!$F$109="NOTA DE CREDITO",IF(Registro_Compras!$M$109="","63",Registro_Compras!$M$109),IF(Registro_Compras!$K$109=0,"","40111"))))</f>
        <v/>
      </c>
      <c r="D951" t="str">
        <f>IF(OR(Registro_Compras!$C$109="",Registro_Compras!$O$109=""),"",IF(Registro_Compras!$F$109="RHE","Retencion Renta 4ta Categoria por Pagar",IF(Registro_Compras!$F$109="NOTA DE CREDITO","Gastos de Servicios Prestados por Terceros","IGV - Cuenta Propia (Credito Fiscal)")))</f>
        <v>Retencion Renta 4ta Categoria por Pagar</v>
      </c>
      <c r="E951" s="20" t="str">
        <f>IF($C951="","",IF(Registro_Compras!$F$109="FACTURA",ROUND(Registro_Compras!$K$109*Registro_Compras!$N$109,2),""))</f>
        <v/>
      </c>
      <c r="F951" s="20" t="str">
        <f>IF($C951="","",IF(Registro_Compras!$F$109="RHE",ROUND(Registro_Compras!$V$109*Registro_Compras!$N$109,2),IF(Registro_Compras!$F$109="NOTA DE CREDITO",ROUND(ABS(Registro_Compras!$J$109*Registro_Compras!$N$109),2),"")))</f>
        <v/>
      </c>
      <c r="G951" t="str">
        <f>IF($C951="","",IF(Registro_Compras!$F$109="NOTA DE CREDITO","Por la nota de credito "&amp;Registro_Compras!$C$109&amp;" de "&amp;Registro_Compras!$E$109&amp;" [PATRON POR CONFIRMAR CON CONTADOR]",IF(Registro_Compras!$F$109="RHE","Por el registro del recibo por honorarios "&amp;Registro_Compras!$C$109&amp;" de "&amp;Registro_Compras!$E$109&amp;" [PATRON POR CONFIRMAR CON CONTADOR]","Por el registro de la factura "&amp;Registro_Compras!$C$109&amp;" de "&amp;Registro_Compras!$E$109)))</f>
        <v/>
      </c>
      <c r="H951" t="str">
        <f>IF($C951="","",Registro_Compras!$C$109)</f>
        <v/>
      </c>
    </row>
    <row r="952" spans="1:8" x14ac:dyDescent="0.25">
      <c r="A952" s="25">
        <f>IF($C952="","",Registro_Compras!$B$109)</f>
        <v>46251</v>
      </c>
      <c r="B952" t="str">
        <f>IF($C952="","","C"&amp;TEXT(INT((ROW()-5)/9)+1,"000")&amp;"-1")</f>
        <v>C106-1</v>
      </c>
      <c r="C952" t="str">
        <f>IF(OR(Registro_Compras!$C$109="",Registro_Compras!$O$109=""),"",IF(Registro_Compras!$F$109="NOTA DE CREDITO",IF(Registro_Compras!$K$109=0,"","40111"),"4212"))</f>
        <v>4212</v>
      </c>
      <c r="D952" t="str">
        <f>IF(OR(Registro_Compras!$C$109="",Registro_Compras!$O$109=""),"",IF(Registro_Compras!$F$109="NOTA DE CREDITO","IGV - Cuenta Propia (Credito Fiscal)","Cuentas por Pagar Comerciales - Terceros (Emitidas)"))</f>
        <v>Cuentas por Pagar Comerciales - Terceros (Emitidas)</v>
      </c>
      <c r="E952" s="20" t="str">
        <f>""</f>
        <v/>
      </c>
      <c r="F952" s="20">
        <f>IF($C952="","",IF(Registro_Compras!$F$109="NOTA DE CREDITO",ROUND(ABS(Registro_Compras!$K$109*Registro_Compras!$N$109),2),IF(Registro_Compras!$F$109="RHE",(ROUND(Registro_Compras!$L$109*Registro_Compras!$N$109,2)-ROUND(Registro_Compras!$V$109*Registro_Compras!$N$109,2)),Registro_Compras!$O$109)))</f>
        <v>673.6</v>
      </c>
      <c r="G952" t="str">
        <f>IF($C952="","",IF(Registro_Compras!$F$109="NOTA DE CREDITO","Por la nota de credito "&amp;Registro_Compras!$C$109&amp;" de "&amp;Registro_Compras!$E$109&amp;" [PATRON POR CONFIRMAR CON CONTADOR]",IF(Registro_Compras!$F$109="RHE","Por el registro del recibo por honorarios "&amp;Registro_Compras!$C$109&amp;" de "&amp;Registro_Compras!$E$109&amp;" [PATRON POR CONFIRMAR CON CONTADOR]","Por el registro de la factura "&amp;Registro_Compras!$C$109&amp;" de "&amp;Registro_Compras!$E$109)))</f>
        <v>Por el registro del recibo por honorarios E001- 744 de CATACORA RAMIREZ PAUL FRED [PATRON POR CONFIRMAR CON CONTADOR]</v>
      </c>
      <c r="H952" t="str">
        <f>IF($C952="","",Registro_Compras!$C$109)</f>
        <v>E001- 744</v>
      </c>
    </row>
    <row r="953" spans="1:8" x14ac:dyDescent="0.25">
      <c r="A953" s="25">
        <f>IF($C953="","",Registro_Compras!$B$109)</f>
        <v>46251</v>
      </c>
      <c r="B953" t="str">
        <f>IF($C953="","","C"&amp;TEXT(INT((ROW()-5)/9)+1,"000")&amp;"-2")</f>
        <v>C106-2</v>
      </c>
      <c r="C953" t="str">
        <f>IF(OR(Registro_Compras!$C$109="",Registro_Compras!$O$109=""),"",IF(Registro_Compras!$AB$109="ADMINISTRATIVO","94","95"))</f>
        <v>95</v>
      </c>
      <c r="D953" t="str">
        <f>IF(OR(Registro_Compras!$C$109="",Registro_Compras!$O$109=""),"",IF(Registro_Compras!$AB$109="ADMINISTRATIVO","Gastos Administrativos","Gastos de Venta y Operacion"))</f>
        <v>Gastos de Venta y Operacion</v>
      </c>
      <c r="E953" s="20">
        <f>IF($C953="","",IF(Registro_Compras!$F$109="NOTA DE CREDITO","",IF(Registro_Compras!$F$109="RHE",ROUND(Registro_Compras!$L$109*Registro_Compras!$N$109,2),ROUND(Registro_Compras!$J$109*Registro_Compras!$N$109,2))))</f>
        <v>673.6</v>
      </c>
      <c r="F953" s="20" t="str">
        <f>IF($C953="","",IF(Registro_Compras!$F$109="NOTA DE CREDITO",ROUND(ABS(Registro_Compras!$J$109*Registro_Compras!$N$109),2),""))</f>
        <v/>
      </c>
      <c r="G953" t="str">
        <f>IF($C953="","","Por el destino del gasto")</f>
        <v>Por el destino del gasto</v>
      </c>
      <c r="H953" t="str">
        <f>IF($C953="","",Registro_Compras!$C$109)</f>
        <v>E001- 744</v>
      </c>
    </row>
    <row r="954" spans="1:8" x14ac:dyDescent="0.25">
      <c r="A954" s="25">
        <f>IF($C954="","",Registro_Compras!$B$109)</f>
        <v>46251</v>
      </c>
      <c r="B954" t="str">
        <f>IF($C954="","","C"&amp;TEXT(INT((ROW()-5)/9)+1,"000")&amp;"-2")</f>
        <v>C106-2</v>
      </c>
      <c r="C954" t="str">
        <f>IF(OR(Registro_Compras!$C$109="",Registro_Compras!$O$109=""),"","79/791")</f>
        <v>79/791</v>
      </c>
      <c r="D954" t="str">
        <f>IF(OR(Registro_Compras!$C$109="",Registro_Compras!$O$109=""),"","Cargas Imputables a Cuentas de Costos y Gastos")</f>
        <v>Cargas Imputables a Cuentas de Costos y Gastos</v>
      </c>
      <c r="E954" s="20" t="str">
        <f>IF($C954="","",IF(Registro_Compras!$F$109="NOTA DE CREDITO",ROUND(ABS(Registro_Compras!$J$109*Registro_Compras!$N$109),2),""))</f>
        <v/>
      </c>
      <c r="F954" s="20">
        <f>IF($C954="","",IF(Registro_Compras!$F$109="NOTA DE CREDITO","",IF(Registro_Compras!$F$109="RHE",ROUND(Registro_Compras!$L$109*Registro_Compras!$N$109,2),ROUND(Registro_Compras!$J$109*Registro_Compras!$N$109,2))))</f>
        <v>673.6</v>
      </c>
      <c r="G954" t="str">
        <f>IF($C954="","","Por el destino del gasto")</f>
        <v>Por el destino del gasto</v>
      </c>
      <c r="H954" t="str">
        <f>IF($C954="","",Registro_Compras!$C$109)</f>
        <v>E001- 744</v>
      </c>
    </row>
    <row r="955" spans="1:8" x14ac:dyDescent="0.25">
      <c r="A955" s="25" t="str">
        <f>IF($C955="","",Registro_Compras!$X$109)</f>
        <v/>
      </c>
      <c r="B955" t="str">
        <f>IF($C955="","","C"&amp;TEXT(INT((ROW()-5)/9)+1,"000")&amp;"-3")</f>
        <v/>
      </c>
      <c r="C955" t="str">
        <f>IF(OR(Registro_Compras!$C$109="",Registro_Compras!$O$109="",Registro_Compras!$R$109&lt;&gt;"SI",Registro_Compras!$X$109=""),"","4212")</f>
        <v/>
      </c>
      <c r="D955" t="str">
        <f>IF(OR(Registro_Compras!$C$109="",Registro_Compras!$O$109=""),"","Cuentas por Pagar Comerciales - Terceros")</f>
        <v>Cuentas por Pagar Comerciales - Terceros</v>
      </c>
      <c r="E955" s="20" t="str">
        <f>IF($C955="","",Registro_Compras!$S$109)</f>
        <v/>
      </c>
      <c r="F955" s="20" t="str">
        <f>""</f>
        <v/>
      </c>
      <c r="G955" t="str">
        <f>IF($C955="","","Por el deposito de la detraccion en el Banco de la Nacion")</f>
        <v/>
      </c>
      <c r="H955" t="str">
        <f>IF($C955="","",Registro_Compras!$C$109)</f>
        <v/>
      </c>
    </row>
    <row r="956" spans="1:8" x14ac:dyDescent="0.25">
      <c r="A956" s="25" t="str">
        <f>IF($C956="","",Registro_Compras!$X$109)</f>
        <v/>
      </c>
      <c r="B956" t="str">
        <f>IF($C956="","","C"&amp;TEXT(INT((ROW()-5)/9)+1,"000")&amp;"-3")</f>
        <v/>
      </c>
      <c r="C956" t="str">
        <f>IF(OR(Registro_Compras!$C$109="",Registro_Compras!$O$109="",Registro_Compras!$R$109&lt;&gt;"SI",Registro_Compras!$X$109=""),"","1041")</f>
        <v/>
      </c>
      <c r="D956" t="str">
        <f>IF(OR(Registro_Compras!$C$109="",Registro_Compras!$O$109=""),"","Efectivo y Equivalentes - Cta. Cte. Operativa")</f>
        <v>Efectivo y Equivalentes - Cta. Cte. Operativa</v>
      </c>
      <c r="E956" s="20" t="str">
        <f>""</f>
        <v/>
      </c>
      <c r="F956" s="20" t="str">
        <f>IF($C956="","",Registro_Compras!$S$109)</f>
        <v/>
      </c>
      <c r="G956" t="str">
        <f>IF($C956="","","Por el deposito de la detraccion en el Banco de la Nacion")</f>
        <v/>
      </c>
      <c r="H956" t="str">
        <f>IF($C956="","",Registro_Compras!$C$109)</f>
        <v/>
      </c>
    </row>
    <row r="957" spans="1:8" x14ac:dyDescent="0.25">
      <c r="A957" s="25" t="str">
        <f>IF($C957="","",Registro_Compras!$Y$109)</f>
        <v/>
      </c>
      <c r="B957" t="str">
        <f>IF($C957="","","C"&amp;TEXT(INT((ROW()-5)/9)+1,"000")&amp;"-4")</f>
        <v/>
      </c>
      <c r="C957" t="str">
        <f>IF(OR(Registro_Compras!$C$109="",Registro_Compras!$O$109="",Registro_Compras!$Y$109="",Registro_Compras!$F$109="NOTA DE CREDITO"),"","4212")</f>
        <v/>
      </c>
      <c r="D957" t="str">
        <f>IF(OR(Registro_Compras!$C$109="",Registro_Compras!$O$109=""),"","Cuentas por Pagar Comerciales - Terceros")</f>
        <v>Cuentas por Pagar Comerciales - Terceros</v>
      </c>
      <c r="E957" s="20" t="str">
        <f>IF($C957="","",IF(Registro_Compras!$F$109="RHE",(ROUND(Registro_Compras!$L$109*Registro_Compras!$N$109,2)-ROUND(Registro_Compras!$V$109*Registro_Compras!$N$109,2)),ROUND(Registro_Compras!$O$109-Registro_Compras!$S$109,2)))</f>
        <v/>
      </c>
      <c r="F957" s="20" t="str">
        <f>""</f>
        <v/>
      </c>
      <c r="G957" t="str">
        <f>IF($C957="","","Por la cancelacion del saldo al proveedor")</f>
        <v/>
      </c>
      <c r="H957" t="str">
        <f>IF($C957="","",Registro_Compras!$C$109)</f>
        <v/>
      </c>
    </row>
    <row r="958" spans="1:8" x14ac:dyDescent="0.25">
      <c r="A958" s="25" t="str">
        <f>IF($C958="","",Registro_Compras!$Y$109)</f>
        <v/>
      </c>
      <c r="B958" t="str">
        <f>IF($C958="","","C"&amp;TEXT(INT((ROW()-5)/9)+1,"000")&amp;"-4")</f>
        <v/>
      </c>
      <c r="C958" t="str">
        <f>IF(OR(Registro_Compras!$C$109="",Registro_Compras!$O$109="",Registro_Compras!$Y$109="",Registro_Compras!$F$109="NOTA DE CREDITO"),"","1041")</f>
        <v/>
      </c>
      <c r="D958" t="str">
        <f>IF(OR(Registro_Compras!$C$109="",Registro_Compras!$O$109=""),"","Efectivo y Equivalentes - Cta. Cte. Operativa")</f>
        <v>Efectivo y Equivalentes - Cta. Cte. Operativa</v>
      </c>
      <c r="E958" s="20" t="str">
        <f>""</f>
        <v/>
      </c>
      <c r="F958" s="20" t="str">
        <f>IF($C958="","",IF(Registro_Compras!$F$109="RHE",(ROUND(Registro_Compras!$L$109*Registro_Compras!$N$109,2)-ROUND(Registro_Compras!$V$109*Registro_Compras!$N$109,2)),ROUND(Registro_Compras!$O$109-Registro_Compras!$S$109,2)))</f>
        <v/>
      </c>
      <c r="G958" t="str">
        <f>IF($C958="","","Por la cancelacion del saldo al proveedor")</f>
        <v/>
      </c>
      <c r="H958" t="str">
        <f>IF($C958="","",Registro_Compras!$C$109)</f>
        <v/>
      </c>
    </row>
    <row r="959" spans="1:8" x14ac:dyDescent="0.25">
      <c r="A959" s="25" t="str">
        <f>IF($C959="","",Registro_Compras!$B$110)</f>
        <v/>
      </c>
      <c r="B959" t="str">
        <f>IF($C959="","","C"&amp;TEXT(INT((ROW()-5)/9)+1,"000")&amp;"-1")</f>
        <v/>
      </c>
      <c r="C959" t="str">
        <f>IF(OR(Registro_Compras!$C$110="",Registro_Compras!$O$110=""),"",IF(Registro_Compras!$F$110="NOTA DE CREDITO","4212",IF(Registro_Compras!$M$110="","63",Registro_Compras!$M$110)))</f>
        <v/>
      </c>
      <c r="D959" t="str">
        <f>IF(OR(Registro_Compras!$C$110="",Registro_Compras!$O$110=""),"",IF(Registro_Compras!$F$110="NOTA DE CREDITO","Cuentas por Pagar Comerciales - Terceros (Emitidas)",IF(Registro_Compras!$F$110="RHE","Honorarios Profesionales - Servicios de Terceros","Gastos de Servicios Prestados por Terceros")))</f>
        <v/>
      </c>
      <c r="E959" s="20" t="str">
        <f>IF($C959="","",IF(Registro_Compras!$F$110="NOTA DE CREDITO",ABS(Registro_Compras!$O$110),IF(Registro_Compras!$F$110="RHE",ROUND(Registro_Compras!$L$110*Registro_Compras!$N$110,2),ROUND(Registro_Compras!$J$110*Registro_Compras!$N$110,2))))</f>
        <v/>
      </c>
      <c r="F959" s="20" t="str">
        <f>""</f>
        <v/>
      </c>
      <c r="G959" t="str">
        <f>IF($C959="","",IF(Registro_Compras!$F$110="NOTA DE CREDITO","Por la nota de credito "&amp;Registro_Compras!$C$110&amp;" de "&amp;Registro_Compras!$E$110&amp;" [PATRON POR CONFIRMAR CON CONTADOR]",IF(Registro_Compras!$F$110="RHE","Por el registro del recibo por honorarios "&amp;Registro_Compras!$C$110&amp;" de "&amp;Registro_Compras!$E$110&amp;" [PATRON POR CONFIRMAR CON CONTADOR]","Por el registro de la factura "&amp;Registro_Compras!$C$110&amp;" de "&amp;Registro_Compras!$E$110)))</f>
        <v/>
      </c>
      <c r="H959" t="str">
        <f>IF($C959="","",Registro_Compras!$C$110)</f>
        <v/>
      </c>
    </row>
    <row r="960" spans="1:8" x14ac:dyDescent="0.25">
      <c r="A960" s="25" t="str">
        <f>IF($C960="","",Registro_Compras!$B$110)</f>
        <v/>
      </c>
      <c r="B960" t="str">
        <f>IF($C960="","","C"&amp;TEXT(INT((ROW()-5)/9)+1,"000")&amp;"-1")</f>
        <v/>
      </c>
      <c r="C960" t="str">
        <f>IF(OR(Registro_Compras!$C$110="",Registro_Compras!$O$110=""),"",IF(Registro_Compras!$F$110="RHE",IF(Registro_Compras!$V$110=0,"","4017"),IF(Registro_Compras!$F$110="NOTA DE CREDITO",IF(Registro_Compras!$M$110="","63",Registro_Compras!$M$110),IF(Registro_Compras!$K$110=0,"","40111"))))</f>
        <v/>
      </c>
      <c r="D960" t="str">
        <f>IF(OR(Registro_Compras!$C$110="",Registro_Compras!$O$110=""),"",IF(Registro_Compras!$F$110="RHE","Retencion Renta 4ta Categoria por Pagar",IF(Registro_Compras!$F$110="NOTA DE CREDITO","Gastos de Servicios Prestados por Terceros","IGV - Cuenta Propia (Credito Fiscal)")))</f>
        <v/>
      </c>
      <c r="E960" s="20" t="str">
        <f>IF($C960="","",IF(Registro_Compras!$F$110="FACTURA",ROUND(Registro_Compras!$K$110*Registro_Compras!$N$110,2),""))</f>
        <v/>
      </c>
      <c r="F960" s="20" t="str">
        <f>IF($C960="","",IF(Registro_Compras!$F$110="RHE",ROUND(Registro_Compras!$V$110*Registro_Compras!$N$110,2),IF(Registro_Compras!$F$110="NOTA DE CREDITO",ROUND(ABS(Registro_Compras!$J$110*Registro_Compras!$N$110),2),"")))</f>
        <v/>
      </c>
      <c r="G960" t="str">
        <f>IF($C960="","",IF(Registro_Compras!$F$110="NOTA DE CREDITO","Por la nota de credito "&amp;Registro_Compras!$C$110&amp;" de "&amp;Registro_Compras!$E$110&amp;" [PATRON POR CONFIRMAR CON CONTADOR]",IF(Registro_Compras!$F$110="RHE","Por el registro del recibo por honorarios "&amp;Registro_Compras!$C$110&amp;" de "&amp;Registro_Compras!$E$110&amp;" [PATRON POR CONFIRMAR CON CONTADOR]","Por el registro de la factura "&amp;Registro_Compras!$C$110&amp;" de "&amp;Registro_Compras!$E$110)))</f>
        <v/>
      </c>
      <c r="H960" t="str">
        <f>IF($C960="","",Registro_Compras!$C$110)</f>
        <v/>
      </c>
    </row>
    <row r="961" spans="1:8" x14ac:dyDescent="0.25">
      <c r="A961" s="25" t="str">
        <f>IF($C961="","",Registro_Compras!$B$110)</f>
        <v/>
      </c>
      <c r="B961" t="str">
        <f>IF($C961="","","C"&amp;TEXT(INT((ROW()-5)/9)+1,"000")&amp;"-1")</f>
        <v/>
      </c>
      <c r="C961" t="str">
        <f>IF(OR(Registro_Compras!$C$110="",Registro_Compras!$O$110=""),"",IF(Registro_Compras!$F$110="NOTA DE CREDITO",IF(Registro_Compras!$K$110=0,"","40111"),"4212"))</f>
        <v/>
      </c>
      <c r="D961" t="str">
        <f>IF(OR(Registro_Compras!$C$110="",Registro_Compras!$O$110=""),"",IF(Registro_Compras!$F$110="NOTA DE CREDITO","IGV - Cuenta Propia (Credito Fiscal)","Cuentas por Pagar Comerciales - Terceros (Emitidas)"))</f>
        <v/>
      </c>
      <c r="E961" s="20" t="str">
        <f>""</f>
        <v/>
      </c>
      <c r="F961" s="20" t="str">
        <f>IF($C961="","",IF(Registro_Compras!$F$110="NOTA DE CREDITO",ROUND(ABS(Registro_Compras!$K$110*Registro_Compras!$N$110),2),IF(Registro_Compras!$F$110="RHE",(ROUND(Registro_Compras!$L$110*Registro_Compras!$N$110,2)-ROUND(Registro_Compras!$V$110*Registro_Compras!$N$110,2)),Registro_Compras!$O$110)))</f>
        <v/>
      </c>
      <c r="G961" t="str">
        <f>IF($C961="","",IF(Registro_Compras!$F$110="NOTA DE CREDITO","Por la nota de credito "&amp;Registro_Compras!$C$110&amp;" de "&amp;Registro_Compras!$E$110&amp;" [PATRON POR CONFIRMAR CON CONTADOR]",IF(Registro_Compras!$F$110="RHE","Por el registro del recibo por honorarios "&amp;Registro_Compras!$C$110&amp;" de "&amp;Registro_Compras!$E$110&amp;" [PATRON POR CONFIRMAR CON CONTADOR]","Por el registro de la factura "&amp;Registro_Compras!$C$110&amp;" de "&amp;Registro_Compras!$E$110)))</f>
        <v/>
      </c>
      <c r="H961" t="str">
        <f>IF($C961="","",Registro_Compras!$C$110)</f>
        <v/>
      </c>
    </row>
    <row r="962" spans="1:8" x14ac:dyDescent="0.25">
      <c r="A962" s="25" t="str">
        <f>IF($C962="","",Registro_Compras!$B$110)</f>
        <v/>
      </c>
      <c r="B962" t="str">
        <f>IF($C962="","","C"&amp;TEXT(INT((ROW()-5)/9)+1,"000")&amp;"-2")</f>
        <v/>
      </c>
      <c r="C962" t="str">
        <f>IF(OR(Registro_Compras!$C$110="",Registro_Compras!$O$110=""),"",IF(Registro_Compras!$AB$110="ADMINISTRATIVO","94","95"))</f>
        <v/>
      </c>
      <c r="D962" t="str">
        <f>IF(OR(Registro_Compras!$C$110="",Registro_Compras!$O$110=""),"",IF(Registro_Compras!$AB$110="ADMINISTRATIVO","Gastos Administrativos","Gastos de Venta y Operacion"))</f>
        <v/>
      </c>
      <c r="E962" s="20" t="str">
        <f>IF($C962="","",IF(Registro_Compras!$F$110="NOTA DE CREDITO","",IF(Registro_Compras!$F$110="RHE",ROUND(Registro_Compras!$L$110*Registro_Compras!$N$110,2),ROUND(Registro_Compras!$J$110*Registro_Compras!$N$110,2))))</f>
        <v/>
      </c>
      <c r="F962" s="20" t="str">
        <f>IF($C962="","",IF(Registro_Compras!$F$110="NOTA DE CREDITO",ROUND(ABS(Registro_Compras!$J$110*Registro_Compras!$N$110),2),""))</f>
        <v/>
      </c>
      <c r="G962" t="str">
        <f>IF($C962="","","Por el destino del gasto")</f>
        <v/>
      </c>
      <c r="H962" t="str">
        <f>IF($C962="","",Registro_Compras!$C$110)</f>
        <v/>
      </c>
    </row>
    <row r="963" spans="1:8" x14ac:dyDescent="0.25">
      <c r="A963" s="25" t="str">
        <f>IF($C963="","",Registro_Compras!$B$110)</f>
        <v/>
      </c>
      <c r="B963" t="str">
        <f>IF($C963="","","C"&amp;TEXT(INT((ROW()-5)/9)+1,"000")&amp;"-2")</f>
        <v/>
      </c>
      <c r="C963" t="str">
        <f>IF(OR(Registro_Compras!$C$110="",Registro_Compras!$O$110=""),"","79/791")</f>
        <v/>
      </c>
      <c r="D963" t="str">
        <f>IF(OR(Registro_Compras!$C$110="",Registro_Compras!$O$110=""),"","Cargas Imputables a Cuentas de Costos y Gastos")</f>
        <v/>
      </c>
      <c r="E963" s="20" t="str">
        <f>IF($C963="","",IF(Registro_Compras!$F$110="NOTA DE CREDITO",ROUND(ABS(Registro_Compras!$J$110*Registro_Compras!$N$110),2),""))</f>
        <v/>
      </c>
      <c r="F963" s="20" t="str">
        <f>IF($C963="","",IF(Registro_Compras!$F$110="NOTA DE CREDITO","",IF(Registro_Compras!$F$110="RHE",ROUND(Registro_Compras!$L$110*Registro_Compras!$N$110,2),ROUND(Registro_Compras!$J$110*Registro_Compras!$N$110,2))))</f>
        <v/>
      </c>
      <c r="G963" t="str">
        <f>IF($C963="","","Por el destino del gasto")</f>
        <v/>
      </c>
      <c r="H963" t="str">
        <f>IF($C963="","",Registro_Compras!$C$110)</f>
        <v/>
      </c>
    </row>
    <row r="964" spans="1:8" x14ac:dyDescent="0.25">
      <c r="A964" s="25" t="str">
        <f>IF($C964="","",Registro_Compras!$X$110)</f>
        <v/>
      </c>
      <c r="B964" t="str">
        <f>IF($C964="","","C"&amp;TEXT(INT((ROW()-5)/9)+1,"000")&amp;"-3")</f>
        <v/>
      </c>
      <c r="C964" t="str">
        <f>IF(OR(Registro_Compras!$C$110="",Registro_Compras!$O$110="",Registro_Compras!$R$110&lt;&gt;"SI",Registro_Compras!$X$110=""),"","4212")</f>
        <v/>
      </c>
      <c r="D964" t="str">
        <f>IF(OR(Registro_Compras!$C$110="",Registro_Compras!$O$110=""),"","Cuentas por Pagar Comerciales - Terceros")</f>
        <v/>
      </c>
      <c r="E964" s="20" t="str">
        <f>IF($C964="","",Registro_Compras!$S$110)</f>
        <v/>
      </c>
      <c r="F964" s="20" t="str">
        <f>""</f>
        <v/>
      </c>
      <c r="G964" t="str">
        <f>IF($C964="","","Por el deposito de la detraccion en el Banco de la Nacion")</f>
        <v/>
      </c>
      <c r="H964" t="str">
        <f>IF($C964="","",Registro_Compras!$C$110)</f>
        <v/>
      </c>
    </row>
    <row r="965" spans="1:8" x14ac:dyDescent="0.25">
      <c r="A965" s="25" t="str">
        <f>IF($C965="","",Registro_Compras!$X$110)</f>
        <v/>
      </c>
      <c r="B965" t="str">
        <f>IF($C965="","","C"&amp;TEXT(INT((ROW()-5)/9)+1,"000")&amp;"-3")</f>
        <v/>
      </c>
      <c r="C965" t="str">
        <f>IF(OR(Registro_Compras!$C$110="",Registro_Compras!$O$110="",Registro_Compras!$R$110&lt;&gt;"SI",Registro_Compras!$X$110=""),"","1041")</f>
        <v/>
      </c>
      <c r="D965" t="str">
        <f>IF(OR(Registro_Compras!$C$110="",Registro_Compras!$O$110=""),"","Efectivo y Equivalentes - Cta. Cte. Operativa")</f>
        <v/>
      </c>
      <c r="E965" s="20" t="str">
        <f>""</f>
        <v/>
      </c>
      <c r="F965" s="20" t="str">
        <f>IF($C965="","",Registro_Compras!$S$110)</f>
        <v/>
      </c>
      <c r="G965" t="str">
        <f>IF($C965="","","Por el deposito de la detraccion en el Banco de la Nacion")</f>
        <v/>
      </c>
      <c r="H965" t="str">
        <f>IF($C965="","",Registro_Compras!$C$110)</f>
        <v/>
      </c>
    </row>
    <row r="966" spans="1:8" x14ac:dyDescent="0.25">
      <c r="A966" s="25" t="str">
        <f>IF($C966="","",Registro_Compras!$Y$110)</f>
        <v/>
      </c>
      <c r="B966" t="str">
        <f>IF($C966="","","C"&amp;TEXT(INT((ROW()-5)/9)+1,"000")&amp;"-4")</f>
        <v/>
      </c>
      <c r="C966" t="str">
        <f>IF(OR(Registro_Compras!$C$110="",Registro_Compras!$O$110="",Registro_Compras!$Y$110="",Registro_Compras!$F$110="NOTA DE CREDITO"),"","4212")</f>
        <v/>
      </c>
      <c r="D966" t="str">
        <f>IF(OR(Registro_Compras!$C$110="",Registro_Compras!$O$110=""),"","Cuentas por Pagar Comerciales - Terceros")</f>
        <v/>
      </c>
      <c r="E966" s="20" t="str">
        <f>IF($C966="","",IF(Registro_Compras!$F$110="RHE",(ROUND(Registro_Compras!$L$110*Registro_Compras!$N$110,2)-ROUND(Registro_Compras!$V$110*Registro_Compras!$N$110,2)),ROUND(Registro_Compras!$O$110-Registro_Compras!$S$110,2)))</f>
        <v/>
      </c>
      <c r="F966" s="20" t="str">
        <f>""</f>
        <v/>
      </c>
      <c r="G966" t="str">
        <f>IF($C966="","","Por la cancelacion del saldo al proveedor")</f>
        <v/>
      </c>
      <c r="H966" t="str">
        <f>IF($C966="","",Registro_Compras!$C$110)</f>
        <v/>
      </c>
    </row>
    <row r="967" spans="1:8" x14ac:dyDescent="0.25">
      <c r="A967" s="25" t="str">
        <f>IF($C967="","",Registro_Compras!$Y$110)</f>
        <v/>
      </c>
      <c r="B967" t="str">
        <f>IF($C967="","","C"&amp;TEXT(INT((ROW()-5)/9)+1,"000")&amp;"-4")</f>
        <v/>
      </c>
      <c r="C967" t="str">
        <f>IF(OR(Registro_Compras!$C$110="",Registro_Compras!$O$110="",Registro_Compras!$Y$110="",Registro_Compras!$F$110="NOTA DE CREDITO"),"","1041")</f>
        <v/>
      </c>
      <c r="D967" t="str">
        <f>IF(OR(Registro_Compras!$C$110="",Registro_Compras!$O$110=""),"","Efectivo y Equivalentes - Cta. Cte. Operativa")</f>
        <v/>
      </c>
      <c r="E967" s="20" t="str">
        <f>""</f>
        <v/>
      </c>
      <c r="F967" s="20" t="str">
        <f>IF($C967="","",IF(Registro_Compras!$F$110="RHE",(ROUND(Registro_Compras!$L$110*Registro_Compras!$N$110,2)-ROUND(Registro_Compras!$V$110*Registro_Compras!$N$110,2)),ROUND(Registro_Compras!$O$110-Registro_Compras!$S$110,2)))</f>
        <v/>
      </c>
      <c r="G967" t="str">
        <f>IF($C967="","","Por la cancelacion del saldo al proveedor")</f>
        <v/>
      </c>
      <c r="H967" t="str">
        <f>IF($C967="","",Registro_Compras!$C$110)</f>
        <v/>
      </c>
    </row>
    <row r="968" spans="1:8" x14ac:dyDescent="0.25">
      <c r="A968" s="25" t="str">
        <f>IF($C968="","",Registro_Compras!$B$111)</f>
        <v/>
      </c>
      <c r="B968" t="str">
        <f>IF($C968="","","C"&amp;TEXT(INT((ROW()-5)/9)+1,"000")&amp;"-1")</f>
        <v/>
      </c>
      <c r="C968" t="str">
        <f>IF(OR(Registro_Compras!$C$111="",Registro_Compras!$O$111=""),"",IF(Registro_Compras!$F$111="NOTA DE CREDITO","4212",IF(Registro_Compras!$M$111="","63",Registro_Compras!$M$111)))</f>
        <v/>
      </c>
      <c r="D968" t="str">
        <f>IF(OR(Registro_Compras!$C$111="",Registro_Compras!$O$111=""),"",IF(Registro_Compras!$F$111="NOTA DE CREDITO","Cuentas por Pagar Comerciales - Terceros (Emitidas)",IF(Registro_Compras!$F$111="RHE","Honorarios Profesionales - Servicios de Terceros","Gastos de Servicios Prestados por Terceros")))</f>
        <v/>
      </c>
      <c r="E968" s="20" t="str">
        <f>IF($C968="","",IF(Registro_Compras!$F$111="NOTA DE CREDITO",ABS(Registro_Compras!$O$111),IF(Registro_Compras!$F$111="RHE",ROUND(Registro_Compras!$L$111*Registro_Compras!$N$111,2),ROUND(Registro_Compras!$J$111*Registro_Compras!$N$111,2))))</f>
        <v/>
      </c>
      <c r="F968" s="20" t="str">
        <f>""</f>
        <v/>
      </c>
      <c r="G968" t="str">
        <f>IF($C968="","",IF(Registro_Compras!$F$111="NOTA DE CREDITO","Por la nota de credito "&amp;Registro_Compras!$C$111&amp;" de "&amp;Registro_Compras!$E$111&amp;" [PATRON POR CONFIRMAR CON CONTADOR]",IF(Registro_Compras!$F$111="RHE","Por el registro del recibo por honorarios "&amp;Registro_Compras!$C$111&amp;" de "&amp;Registro_Compras!$E$111&amp;" [PATRON POR CONFIRMAR CON CONTADOR]","Por el registro de la factura "&amp;Registro_Compras!$C$111&amp;" de "&amp;Registro_Compras!$E$111)))</f>
        <v/>
      </c>
      <c r="H968" t="str">
        <f>IF($C968="","",Registro_Compras!$C$111)</f>
        <v/>
      </c>
    </row>
    <row r="969" spans="1:8" x14ac:dyDescent="0.25">
      <c r="A969" s="25" t="str">
        <f>IF($C969="","",Registro_Compras!$B$111)</f>
        <v/>
      </c>
      <c r="B969" t="str">
        <f>IF($C969="","","C"&amp;TEXT(INT((ROW()-5)/9)+1,"000")&amp;"-1")</f>
        <v/>
      </c>
      <c r="C969" t="str">
        <f>IF(OR(Registro_Compras!$C$111="",Registro_Compras!$O$111=""),"",IF(Registro_Compras!$F$111="RHE",IF(Registro_Compras!$V$111=0,"","4017"),IF(Registro_Compras!$F$111="NOTA DE CREDITO",IF(Registro_Compras!$M$111="","63",Registro_Compras!$M$111),IF(Registro_Compras!$K$111=0,"","40111"))))</f>
        <v/>
      </c>
      <c r="D969" t="str">
        <f>IF(OR(Registro_Compras!$C$111="",Registro_Compras!$O$111=""),"",IF(Registro_Compras!$F$111="RHE","Retencion Renta 4ta Categoria por Pagar",IF(Registro_Compras!$F$111="NOTA DE CREDITO","Gastos de Servicios Prestados por Terceros","IGV - Cuenta Propia (Credito Fiscal)")))</f>
        <v/>
      </c>
      <c r="E969" s="20" t="str">
        <f>IF($C969="","",IF(Registro_Compras!$F$111="FACTURA",ROUND(Registro_Compras!$K$111*Registro_Compras!$N$111,2),""))</f>
        <v/>
      </c>
      <c r="F969" s="20" t="str">
        <f>IF($C969="","",IF(Registro_Compras!$F$111="RHE",ROUND(Registro_Compras!$V$111*Registro_Compras!$N$111,2),IF(Registro_Compras!$F$111="NOTA DE CREDITO",ROUND(ABS(Registro_Compras!$J$111*Registro_Compras!$N$111),2),"")))</f>
        <v/>
      </c>
      <c r="G969" t="str">
        <f>IF($C969="","",IF(Registro_Compras!$F$111="NOTA DE CREDITO","Por la nota de credito "&amp;Registro_Compras!$C$111&amp;" de "&amp;Registro_Compras!$E$111&amp;" [PATRON POR CONFIRMAR CON CONTADOR]",IF(Registro_Compras!$F$111="RHE","Por el registro del recibo por honorarios "&amp;Registro_Compras!$C$111&amp;" de "&amp;Registro_Compras!$E$111&amp;" [PATRON POR CONFIRMAR CON CONTADOR]","Por el registro de la factura "&amp;Registro_Compras!$C$111&amp;" de "&amp;Registro_Compras!$E$111)))</f>
        <v/>
      </c>
      <c r="H969" t="str">
        <f>IF($C969="","",Registro_Compras!$C$111)</f>
        <v/>
      </c>
    </row>
    <row r="970" spans="1:8" x14ac:dyDescent="0.25">
      <c r="A970" s="25" t="str">
        <f>IF($C970="","",Registro_Compras!$B$111)</f>
        <v/>
      </c>
      <c r="B970" t="str">
        <f>IF($C970="","","C"&amp;TEXT(INT((ROW()-5)/9)+1,"000")&amp;"-1")</f>
        <v/>
      </c>
      <c r="C970" t="str">
        <f>IF(OR(Registro_Compras!$C$111="",Registro_Compras!$O$111=""),"",IF(Registro_Compras!$F$111="NOTA DE CREDITO",IF(Registro_Compras!$K$111=0,"","40111"),"4212"))</f>
        <v/>
      </c>
      <c r="D970" t="str">
        <f>IF(OR(Registro_Compras!$C$111="",Registro_Compras!$O$111=""),"",IF(Registro_Compras!$F$111="NOTA DE CREDITO","IGV - Cuenta Propia (Credito Fiscal)","Cuentas por Pagar Comerciales - Terceros (Emitidas)"))</f>
        <v/>
      </c>
      <c r="E970" s="20" t="str">
        <f>""</f>
        <v/>
      </c>
      <c r="F970" s="20" t="str">
        <f>IF($C970="","",IF(Registro_Compras!$F$111="NOTA DE CREDITO",ROUND(ABS(Registro_Compras!$K$111*Registro_Compras!$N$111),2),IF(Registro_Compras!$F$111="RHE",(ROUND(Registro_Compras!$L$111*Registro_Compras!$N$111,2)-ROUND(Registro_Compras!$V$111*Registro_Compras!$N$111,2)),Registro_Compras!$O$111)))</f>
        <v/>
      </c>
      <c r="G970" t="str">
        <f>IF($C970="","",IF(Registro_Compras!$F$111="NOTA DE CREDITO","Por la nota de credito "&amp;Registro_Compras!$C$111&amp;" de "&amp;Registro_Compras!$E$111&amp;" [PATRON POR CONFIRMAR CON CONTADOR]",IF(Registro_Compras!$F$111="RHE","Por el registro del recibo por honorarios "&amp;Registro_Compras!$C$111&amp;" de "&amp;Registro_Compras!$E$111&amp;" [PATRON POR CONFIRMAR CON CONTADOR]","Por el registro de la factura "&amp;Registro_Compras!$C$111&amp;" de "&amp;Registro_Compras!$E$111)))</f>
        <v/>
      </c>
      <c r="H970" t="str">
        <f>IF($C970="","",Registro_Compras!$C$111)</f>
        <v/>
      </c>
    </row>
    <row r="971" spans="1:8" x14ac:dyDescent="0.25">
      <c r="A971" s="25" t="str">
        <f>IF($C971="","",Registro_Compras!$B$111)</f>
        <v/>
      </c>
      <c r="B971" t="str">
        <f>IF($C971="","","C"&amp;TEXT(INT((ROW()-5)/9)+1,"000")&amp;"-2")</f>
        <v/>
      </c>
      <c r="C971" t="str">
        <f>IF(OR(Registro_Compras!$C$111="",Registro_Compras!$O$111=""),"",IF(Registro_Compras!$AB$111="ADMINISTRATIVO","94","95"))</f>
        <v/>
      </c>
      <c r="D971" t="str">
        <f>IF(OR(Registro_Compras!$C$111="",Registro_Compras!$O$111=""),"",IF(Registro_Compras!$AB$111="ADMINISTRATIVO","Gastos Administrativos","Gastos de Venta y Operacion"))</f>
        <v/>
      </c>
      <c r="E971" s="20" t="str">
        <f>IF($C971="","",IF(Registro_Compras!$F$111="NOTA DE CREDITO","",IF(Registro_Compras!$F$111="RHE",ROUND(Registro_Compras!$L$111*Registro_Compras!$N$111,2),ROUND(Registro_Compras!$J$111*Registro_Compras!$N$111,2))))</f>
        <v/>
      </c>
      <c r="F971" s="20" t="str">
        <f>IF($C971="","",IF(Registro_Compras!$F$111="NOTA DE CREDITO",ROUND(ABS(Registro_Compras!$J$111*Registro_Compras!$N$111),2),""))</f>
        <v/>
      </c>
      <c r="G971" t="str">
        <f>IF($C971="","","Por el destino del gasto")</f>
        <v/>
      </c>
      <c r="H971" t="str">
        <f>IF($C971="","",Registro_Compras!$C$111)</f>
        <v/>
      </c>
    </row>
    <row r="972" spans="1:8" x14ac:dyDescent="0.25">
      <c r="A972" s="25" t="str">
        <f>IF($C972="","",Registro_Compras!$B$111)</f>
        <v/>
      </c>
      <c r="B972" t="str">
        <f>IF($C972="","","C"&amp;TEXT(INT((ROW()-5)/9)+1,"000")&amp;"-2")</f>
        <v/>
      </c>
      <c r="C972" t="str">
        <f>IF(OR(Registro_Compras!$C$111="",Registro_Compras!$O$111=""),"","79/791")</f>
        <v/>
      </c>
      <c r="D972" t="str">
        <f>IF(OR(Registro_Compras!$C$111="",Registro_Compras!$O$111=""),"","Cargas Imputables a Cuentas de Costos y Gastos")</f>
        <v/>
      </c>
      <c r="E972" s="20" t="str">
        <f>IF($C972="","",IF(Registro_Compras!$F$111="NOTA DE CREDITO",ROUND(ABS(Registro_Compras!$J$111*Registro_Compras!$N$111),2),""))</f>
        <v/>
      </c>
      <c r="F972" s="20" t="str">
        <f>IF($C972="","",IF(Registro_Compras!$F$111="NOTA DE CREDITO","",IF(Registro_Compras!$F$111="RHE",ROUND(Registro_Compras!$L$111*Registro_Compras!$N$111,2),ROUND(Registro_Compras!$J$111*Registro_Compras!$N$111,2))))</f>
        <v/>
      </c>
      <c r="G972" t="str">
        <f>IF($C972="","","Por el destino del gasto")</f>
        <v/>
      </c>
      <c r="H972" t="str">
        <f>IF($C972="","",Registro_Compras!$C$111)</f>
        <v/>
      </c>
    </row>
    <row r="973" spans="1:8" x14ac:dyDescent="0.25">
      <c r="A973" s="25" t="str">
        <f>IF($C973="","",Registro_Compras!$X$111)</f>
        <v/>
      </c>
      <c r="B973" t="str">
        <f>IF($C973="","","C"&amp;TEXT(INT((ROW()-5)/9)+1,"000")&amp;"-3")</f>
        <v/>
      </c>
      <c r="C973" t="str">
        <f>IF(OR(Registro_Compras!$C$111="",Registro_Compras!$O$111="",Registro_Compras!$R$111&lt;&gt;"SI",Registro_Compras!$X$111=""),"","4212")</f>
        <v/>
      </c>
      <c r="D973" t="str">
        <f>IF(OR(Registro_Compras!$C$111="",Registro_Compras!$O$111=""),"","Cuentas por Pagar Comerciales - Terceros")</f>
        <v/>
      </c>
      <c r="E973" s="20" t="str">
        <f>IF($C973="","",Registro_Compras!$S$111)</f>
        <v/>
      </c>
      <c r="F973" s="20" t="str">
        <f>""</f>
        <v/>
      </c>
      <c r="G973" t="str">
        <f>IF($C973="","","Por el deposito de la detraccion en el Banco de la Nacion")</f>
        <v/>
      </c>
      <c r="H973" t="str">
        <f>IF($C973="","",Registro_Compras!$C$111)</f>
        <v/>
      </c>
    </row>
    <row r="974" spans="1:8" x14ac:dyDescent="0.25">
      <c r="A974" s="25" t="str">
        <f>IF($C974="","",Registro_Compras!$X$111)</f>
        <v/>
      </c>
      <c r="B974" t="str">
        <f>IF($C974="","","C"&amp;TEXT(INT((ROW()-5)/9)+1,"000")&amp;"-3")</f>
        <v/>
      </c>
      <c r="C974" t="str">
        <f>IF(OR(Registro_Compras!$C$111="",Registro_Compras!$O$111="",Registro_Compras!$R$111&lt;&gt;"SI",Registro_Compras!$X$111=""),"","1041")</f>
        <v/>
      </c>
      <c r="D974" t="str">
        <f>IF(OR(Registro_Compras!$C$111="",Registro_Compras!$O$111=""),"","Efectivo y Equivalentes - Cta. Cte. Operativa")</f>
        <v/>
      </c>
      <c r="E974" s="20" t="str">
        <f>""</f>
        <v/>
      </c>
      <c r="F974" s="20" t="str">
        <f>IF($C974="","",Registro_Compras!$S$111)</f>
        <v/>
      </c>
      <c r="G974" t="str">
        <f>IF($C974="","","Por el deposito de la detraccion en el Banco de la Nacion")</f>
        <v/>
      </c>
      <c r="H974" t="str">
        <f>IF($C974="","",Registro_Compras!$C$111)</f>
        <v/>
      </c>
    </row>
    <row r="975" spans="1:8" x14ac:dyDescent="0.25">
      <c r="A975" s="25" t="str">
        <f>IF($C975="","",Registro_Compras!$Y$111)</f>
        <v/>
      </c>
      <c r="B975" t="str">
        <f>IF($C975="","","C"&amp;TEXT(INT((ROW()-5)/9)+1,"000")&amp;"-4")</f>
        <v/>
      </c>
      <c r="C975" t="str">
        <f>IF(OR(Registro_Compras!$C$111="",Registro_Compras!$O$111="",Registro_Compras!$Y$111="",Registro_Compras!$F$111="NOTA DE CREDITO"),"","4212")</f>
        <v/>
      </c>
      <c r="D975" t="str">
        <f>IF(OR(Registro_Compras!$C$111="",Registro_Compras!$O$111=""),"","Cuentas por Pagar Comerciales - Terceros")</f>
        <v/>
      </c>
      <c r="E975" s="20" t="str">
        <f>IF($C975="","",IF(Registro_Compras!$F$111="RHE",(ROUND(Registro_Compras!$L$111*Registro_Compras!$N$111,2)-ROUND(Registro_Compras!$V$111*Registro_Compras!$N$111,2)),ROUND(Registro_Compras!$O$111-Registro_Compras!$S$111,2)))</f>
        <v/>
      </c>
      <c r="F975" s="20" t="str">
        <f>""</f>
        <v/>
      </c>
      <c r="G975" t="str">
        <f>IF($C975="","","Por la cancelacion del saldo al proveedor")</f>
        <v/>
      </c>
      <c r="H975" t="str">
        <f>IF($C975="","",Registro_Compras!$C$111)</f>
        <v/>
      </c>
    </row>
    <row r="976" spans="1:8" x14ac:dyDescent="0.25">
      <c r="A976" s="25" t="str">
        <f>IF($C976="","",Registro_Compras!$Y$111)</f>
        <v/>
      </c>
      <c r="B976" t="str">
        <f>IF($C976="","","C"&amp;TEXT(INT((ROW()-5)/9)+1,"000")&amp;"-4")</f>
        <v/>
      </c>
      <c r="C976" t="str">
        <f>IF(OR(Registro_Compras!$C$111="",Registro_Compras!$O$111="",Registro_Compras!$Y$111="",Registro_Compras!$F$111="NOTA DE CREDITO"),"","1041")</f>
        <v/>
      </c>
      <c r="D976" t="str">
        <f>IF(OR(Registro_Compras!$C$111="",Registro_Compras!$O$111=""),"","Efectivo y Equivalentes - Cta. Cte. Operativa")</f>
        <v/>
      </c>
      <c r="E976" s="20" t="str">
        <f>""</f>
        <v/>
      </c>
      <c r="F976" s="20" t="str">
        <f>IF($C976="","",IF(Registro_Compras!$F$111="RHE",(ROUND(Registro_Compras!$L$111*Registro_Compras!$N$111,2)-ROUND(Registro_Compras!$V$111*Registro_Compras!$N$111,2)),ROUND(Registro_Compras!$O$111-Registro_Compras!$S$111,2)))</f>
        <v/>
      </c>
      <c r="G976" t="str">
        <f>IF($C976="","","Por la cancelacion del saldo al proveedor")</f>
        <v/>
      </c>
      <c r="H976" t="str">
        <f>IF($C976="","",Registro_Compras!$C$111)</f>
        <v/>
      </c>
    </row>
    <row r="977" spans="1:8" x14ac:dyDescent="0.25">
      <c r="A977" s="25" t="str">
        <f>IF($C977="","",Registro_Compras!$B$112)</f>
        <v/>
      </c>
      <c r="B977" t="str">
        <f>IF($C977="","","C"&amp;TEXT(INT((ROW()-5)/9)+1,"000")&amp;"-1")</f>
        <v/>
      </c>
      <c r="C977" t="str">
        <f>IF(OR(Registro_Compras!$C$112="",Registro_Compras!$O$112=""),"",IF(Registro_Compras!$F$112="NOTA DE CREDITO","4212",IF(Registro_Compras!$M$112="","63",Registro_Compras!$M$112)))</f>
        <v/>
      </c>
      <c r="D977" t="str">
        <f>IF(OR(Registro_Compras!$C$112="",Registro_Compras!$O$112=""),"",IF(Registro_Compras!$F$112="NOTA DE CREDITO","Cuentas por Pagar Comerciales - Terceros (Emitidas)",IF(Registro_Compras!$F$112="RHE","Honorarios Profesionales - Servicios de Terceros","Gastos de Servicios Prestados por Terceros")))</f>
        <v/>
      </c>
      <c r="E977" s="20" t="str">
        <f>IF($C977="","",IF(Registro_Compras!$F$112="NOTA DE CREDITO",ABS(Registro_Compras!$O$112),IF(Registro_Compras!$F$112="RHE",ROUND(Registro_Compras!$L$112*Registro_Compras!$N$112,2),ROUND(Registro_Compras!$J$112*Registro_Compras!$N$112,2))))</f>
        <v/>
      </c>
      <c r="F977" s="20" t="str">
        <f>""</f>
        <v/>
      </c>
      <c r="G977" t="str">
        <f>IF($C977="","",IF(Registro_Compras!$F$112="NOTA DE CREDITO","Por la nota de credito "&amp;Registro_Compras!$C$112&amp;" de "&amp;Registro_Compras!$E$112&amp;" [PATRON POR CONFIRMAR CON CONTADOR]",IF(Registro_Compras!$F$112="RHE","Por el registro del recibo por honorarios "&amp;Registro_Compras!$C$112&amp;" de "&amp;Registro_Compras!$E$112&amp;" [PATRON POR CONFIRMAR CON CONTADOR]","Por el registro de la factura "&amp;Registro_Compras!$C$112&amp;" de "&amp;Registro_Compras!$E$112)))</f>
        <v/>
      </c>
      <c r="H977" t="str">
        <f>IF($C977="","",Registro_Compras!$C$112)</f>
        <v/>
      </c>
    </row>
    <row r="978" spans="1:8" x14ac:dyDescent="0.25">
      <c r="A978" s="25" t="str">
        <f>IF($C978="","",Registro_Compras!$B$112)</f>
        <v/>
      </c>
      <c r="B978" t="str">
        <f>IF($C978="","","C"&amp;TEXT(INT((ROW()-5)/9)+1,"000")&amp;"-1")</f>
        <v/>
      </c>
      <c r="C978" t="str">
        <f>IF(OR(Registro_Compras!$C$112="",Registro_Compras!$O$112=""),"",IF(Registro_Compras!$F$112="RHE",IF(Registro_Compras!$V$112=0,"","4017"),IF(Registro_Compras!$F$112="NOTA DE CREDITO",IF(Registro_Compras!$M$112="","63",Registro_Compras!$M$112),IF(Registro_Compras!$K$112=0,"","40111"))))</f>
        <v/>
      </c>
      <c r="D978" t="str">
        <f>IF(OR(Registro_Compras!$C$112="",Registro_Compras!$O$112=""),"",IF(Registro_Compras!$F$112="RHE","Retencion Renta 4ta Categoria por Pagar",IF(Registro_Compras!$F$112="NOTA DE CREDITO","Gastos de Servicios Prestados por Terceros","IGV - Cuenta Propia (Credito Fiscal)")))</f>
        <v/>
      </c>
      <c r="E978" s="20" t="str">
        <f>IF($C978="","",IF(Registro_Compras!$F$112="FACTURA",ROUND(Registro_Compras!$K$112*Registro_Compras!$N$112,2),""))</f>
        <v/>
      </c>
      <c r="F978" s="20" t="str">
        <f>IF($C978="","",IF(Registro_Compras!$F$112="RHE",ROUND(Registro_Compras!$V$112*Registro_Compras!$N$112,2),IF(Registro_Compras!$F$112="NOTA DE CREDITO",ROUND(ABS(Registro_Compras!$J$112*Registro_Compras!$N$112),2),"")))</f>
        <v/>
      </c>
      <c r="G978" t="str">
        <f>IF($C978="","",IF(Registro_Compras!$F$112="NOTA DE CREDITO","Por la nota de credito "&amp;Registro_Compras!$C$112&amp;" de "&amp;Registro_Compras!$E$112&amp;" [PATRON POR CONFIRMAR CON CONTADOR]",IF(Registro_Compras!$F$112="RHE","Por el registro del recibo por honorarios "&amp;Registro_Compras!$C$112&amp;" de "&amp;Registro_Compras!$E$112&amp;" [PATRON POR CONFIRMAR CON CONTADOR]","Por el registro de la factura "&amp;Registro_Compras!$C$112&amp;" de "&amp;Registro_Compras!$E$112)))</f>
        <v/>
      </c>
      <c r="H978" t="str">
        <f>IF($C978="","",Registro_Compras!$C$112)</f>
        <v/>
      </c>
    </row>
    <row r="979" spans="1:8" x14ac:dyDescent="0.25">
      <c r="A979" s="25" t="str">
        <f>IF($C979="","",Registro_Compras!$B$112)</f>
        <v/>
      </c>
      <c r="B979" t="str">
        <f>IF($C979="","","C"&amp;TEXT(INT((ROW()-5)/9)+1,"000")&amp;"-1")</f>
        <v/>
      </c>
      <c r="C979" t="str">
        <f>IF(OR(Registro_Compras!$C$112="",Registro_Compras!$O$112=""),"",IF(Registro_Compras!$F$112="NOTA DE CREDITO",IF(Registro_Compras!$K$112=0,"","40111"),"4212"))</f>
        <v/>
      </c>
      <c r="D979" t="str">
        <f>IF(OR(Registro_Compras!$C$112="",Registro_Compras!$O$112=""),"",IF(Registro_Compras!$F$112="NOTA DE CREDITO","IGV - Cuenta Propia (Credito Fiscal)","Cuentas por Pagar Comerciales - Terceros (Emitidas)"))</f>
        <v/>
      </c>
      <c r="E979" s="20" t="str">
        <f>""</f>
        <v/>
      </c>
      <c r="F979" s="20" t="str">
        <f>IF($C979="","",IF(Registro_Compras!$F$112="NOTA DE CREDITO",ROUND(ABS(Registro_Compras!$K$112*Registro_Compras!$N$112),2),IF(Registro_Compras!$F$112="RHE",(ROUND(Registro_Compras!$L$112*Registro_Compras!$N$112,2)-ROUND(Registro_Compras!$V$112*Registro_Compras!$N$112,2)),Registro_Compras!$O$112)))</f>
        <v/>
      </c>
      <c r="G979" t="str">
        <f>IF($C979="","",IF(Registro_Compras!$F$112="NOTA DE CREDITO","Por la nota de credito "&amp;Registro_Compras!$C$112&amp;" de "&amp;Registro_Compras!$E$112&amp;" [PATRON POR CONFIRMAR CON CONTADOR]",IF(Registro_Compras!$F$112="RHE","Por el registro del recibo por honorarios "&amp;Registro_Compras!$C$112&amp;" de "&amp;Registro_Compras!$E$112&amp;" [PATRON POR CONFIRMAR CON CONTADOR]","Por el registro de la factura "&amp;Registro_Compras!$C$112&amp;" de "&amp;Registro_Compras!$E$112)))</f>
        <v/>
      </c>
      <c r="H979" t="str">
        <f>IF($C979="","",Registro_Compras!$C$112)</f>
        <v/>
      </c>
    </row>
    <row r="980" spans="1:8" x14ac:dyDescent="0.25">
      <c r="A980" s="25" t="str">
        <f>IF($C980="","",Registro_Compras!$B$112)</f>
        <v/>
      </c>
      <c r="B980" t="str">
        <f>IF($C980="","","C"&amp;TEXT(INT((ROW()-5)/9)+1,"000")&amp;"-2")</f>
        <v/>
      </c>
      <c r="C980" t="str">
        <f>IF(OR(Registro_Compras!$C$112="",Registro_Compras!$O$112=""),"",IF(Registro_Compras!$AB$112="ADMINISTRATIVO","94","95"))</f>
        <v/>
      </c>
      <c r="D980" t="str">
        <f>IF(OR(Registro_Compras!$C$112="",Registro_Compras!$O$112=""),"",IF(Registro_Compras!$AB$112="ADMINISTRATIVO","Gastos Administrativos","Gastos de Venta y Operacion"))</f>
        <v/>
      </c>
      <c r="E980" s="20" t="str">
        <f>IF($C980="","",IF(Registro_Compras!$F$112="NOTA DE CREDITO","",IF(Registro_Compras!$F$112="RHE",ROUND(Registro_Compras!$L$112*Registro_Compras!$N$112,2),ROUND(Registro_Compras!$J$112*Registro_Compras!$N$112,2))))</f>
        <v/>
      </c>
      <c r="F980" s="20" t="str">
        <f>IF($C980="","",IF(Registro_Compras!$F$112="NOTA DE CREDITO",ROUND(ABS(Registro_Compras!$J$112*Registro_Compras!$N$112),2),""))</f>
        <v/>
      </c>
      <c r="G980" t="str">
        <f>IF($C980="","","Por el destino del gasto")</f>
        <v/>
      </c>
      <c r="H980" t="str">
        <f>IF($C980="","",Registro_Compras!$C$112)</f>
        <v/>
      </c>
    </row>
    <row r="981" spans="1:8" x14ac:dyDescent="0.25">
      <c r="A981" s="25" t="str">
        <f>IF($C981="","",Registro_Compras!$B$112)</f>
        <v/>
      </c>
      <c r="B981" t="str">
        <f>IF($C981="","","C"&amp;TEXT(INT((ROW()-5)/9)+1,"000")&amp;"-2")</f>
        <v/>
      </c>
      <c r="C981" t="str">
        <f>IF(OR(Registro_Compras!$C$112="",Registro_Compras!$O$112=""),"","79/791")</f>
        <v/>
      </c>
      <c r="D981" t="str">
        <f>IF(OR(Registro_Compras!$C$112="",Registro_Compras!$O$112=""),"","Cargas Imputables a Cuentas de Costos y Gastos")</f>
        <v/>
      </c>
      <c r="E981" s="20" t="str">
        <f>IF($C981="","",IF(Registro_Compras!$F$112="NOTA DE CREDITO",ROUND(ABS(Registro_Compras!$J$112*Registro_Compras!$N$112),2),""))</f>
        <v/>
      </c>
      <c r="F981" s="20" t="str">
        <f>IF($C981="","",IF(Registro_Compras!$F$112="NOTA DE CREDITO","",IF(Registro_Compras!$F$112="RHE",ROUND(Registro_Compras!$L$112*Registro_Compras!$N$112,2),ROUND(Registro_Compras!$J$112*Registro_Compras!$N$112,2))))</f>
        <v/>
      </c>
      <c r="G981" t="str">
        <f>IF($C981="","","Por el destino del gasto")</f>
        <v/>
      </c>
      <c r="H981" t="str">
        <f>IF($C981="","",Registro_Compras!$C$112)</f>
        <v/>
      </c>
    </row>
    <row r="982" spans="1:8" x14ac:dyDescent="0.25">
      <c r="A982" s="25" t="str">
        <f>IF($C982="","",Registro_Compras!$X$112)</f>
        <v/>
      </c>
      <c r="B982" t="str">
        <f>IF($C982="","","C"&amp;TEXT(INT((ROW()-5)/9)+1,"000")&amp;"-3")</f>
        <v/>
      </c>
      <c r="C982" t="str">
        <f>IF(OR(Registro_Compras!$C$112="",Registro_Compras!$O$112="",Registro_Compras!$R$112&lt;&gt;"SI",Registro_Compras!$X$112=""),"","4212")</f>
        <v/>
      </c>
      <c r="D982" t="str">
        <f>IF(OR(Registro_Compras!$C$112="",Registro_Compras!$O$112=""),"","Cuentas por Pagar Comerciales - Terceros")</f>
        <v/>
      </c>
      <c r="E982" s="20" t="str">
        <f>IF($C982="","",Registro_Compras!$S$112)</f>
        <v/>
      </c>
      <c r="F982" s="20" t="str">
        <f>""</f>
        <v/>
      </c>
      <c r="G982" t="str">
        <f>IF($C982="","","Por el deposito de la detraccion en el Banco de la Nacion")</f>
        <v/>
      </c>
      <c r="H982" t="str">
        <f>IF($C982="","",Registro_Compras!$C$112)</f>
        <v/>
      </c>
    </row>
    <row r="983" spans="1:8" x14ac:dyDescent="0.25">
      <c r="A983" s="25" t="str">
        <f>IF($C983="","",Registro_Compras!$X$112)</f>
        <v/>
      </c>
      <c r="B983" t="str">
        <f>IF($C983="","","C"&amp;TEXT(INT((ROW()-5)/9)+1,"000")&amp;"-3")</f>
        <v/>
      </c>
      <c r="C983" t="str">
        <f>IF(OR(Registro_Compras!$C$112="",Registro_Compras!$O$112="",Registro_Compras!$R$112&lt;&gt;"SI",Registro_Compras!$X$112=""),"","1041")</f>
        <v/>
      </c>
      <c r="D983" t="str">
        <f>IF(OR(Registro_Compras!$C$112="",Registro_Compras!$O$112=""),"","Efectivo y Equivalentes - Cta. Cte. Operativa")</f>
        <v/>
      </c>
      <c r="E983" s="20" t="str">
        <f>""</f>
        <v/>
      </c>
      <c r="F983" s="20" t="str">
        <f>IF($C983="","",Registro_Compras!$S$112)</f>
        <v/>
      </c>
      <c r="G983" t="str">
        <f>IF($C983="","","Por el deposito de la detraccion en el Banco de la Nacion")</f>
        <v/>
      </c>
      <c r="H983" t="str">
        <f>IF($C983="","",Registro_Compras!$C$112)</f>
        <v/>
      </c>
    </row>
    <row r="984" spans="1:8" x14ac:dyDescent="0.25">
      <c r="A984" s="25" t="str">
        <f>IF($C984="","",Registro_Compras!$Y$112)</f>
        <v/>
      </c>
      <c r="B984" t="str">
        <f>IF($C984="","","C"&amp;TEXT(INT((ROW()-5)/9)+1,"000")&amp;"-4")</f>
        <v/>
      </c>
      <c r="C984" t="str">
        <f>IF(OR(Registro_Compras!$C$112="",Registro_Compras!$O$112="",Registro_Compras!$Y$112="",Registro_Compras!$F$112="NOTA DE CREDITO"),"","4212")</f>
        <v/>
      </c>
      <c r="D984" t="str">
        <f>IF(OR(Registro_Compras!$C$112="",Registro_Compras!$O$112=""),"","Cuentas por Pagar Comerciales - Terceros")</f>
        <v/>
      </c>
      <c r="E984" s="20" t="str">
        <f>IF($C984="","",IF(Registro_Compras!$F$112="RHE",(ROUND(Registro_Compras!$L$112*Registro_Compras!$N$112,2)-ROUND(Registro_Compras!$V$112*Registro_Compras!$N$112,2)),ROUND(Registro_Compras!$O$112-Registro_Compras!$S$112,2)))</f>
        <v/>
      </c>
      <c r="F984" s="20" t="str">
        <f>""</f>
        <v/>
      </c>
      <c r="G984" t="str">
        <f>IF($C984="","","Por la cancelacion del saldo al proveedor")</f>
        <v/>
      </c>
      <c r="H984" t="str">
        <f>IF($C984="","",Registro_Compras!$C$112)</f>
        <v/>
      </c>
    </row>
    <row r="985" spans="1:8" x14ac:dyDescent="0.25">
      <c r="A985" s="25" t="str">
        <f>IF($C985="","",Registro_Compras!$Y$112)</f>
        <v/>
      </c>
      <c r="B985" t="str">
        <f>IF($C985="","","C"&amp;TEXT(INT((ROW()-5)/9)+1,"000")&amp;"-4")</f>
        <v/>
      </c>
      <c r="C985" t="str">
        <f>IF(OR(Registro_Compras!$C$112="",Registro_Compras!$O$112="",Registro_Compras!$Y$112="",Registro_Compras!$F$112="NOTA DE CREDITO"),"","1041")</f>
        <v/>
      </c>
      <c r="D985" t="str">
        <f>IF(OR(Registro_Compras!$C$112="",Registro_Compras!$O$112=""),"","Efectivo y Equivalentes - Cta. Cte. Operativa")</f>
        <v/>
      </c>
      <c r="E985" s="20" t="str">
        <f>""</f>
        <v/>
      </c>
      <c r="F985" s="20" t="str">
        <f>IF($C985="","",IF(Registro_Compras!$F$112="RHE",(ROUND(Registro_Compras!$L$112*Registro_Compras!$N$112,2)-ROUND(Registro_Compras!$V$112*Registro_Compras!$N$112,2)),ROUND(Registro_Compras!$O$112-Registro_Compras!$S$112,2)))</f>
        <v/>
      </c>
      <c r="G985" t="str">
        <f>IF($C985="","","Por la cancelacion del saldo al proveedor")</f>
        <v/>
      </c>
      <c r="H985" t="str">
        <f>IF($C985="","",Registro_Compras!$C$112)</f>
        <v/>
      </c>
    </row>
    <row r="986" spans="1:8" x14ac:dyDescent="0.25">
      <c r="A986" s="25" t="str">
        <f>IF($C986="","",Registro_Compras!$B$113)</f>
        <v/>
      </c>
      <c r="B986" t="str">
        <f>IF($C986="","","C"&amp;TEXT(INT((ROW()-5)/9)+1,"000")&amp;"-1")</f>
        <v/>
      </c>
      <c r="C986" t="str">
        <f>IF(OR(Registro_Compras!$C$113="",Registro_Compras!$O$113=""),"",IF(Registro_Compras!$F$113="NOTA DE CREDITO","4212",IF(Registro_Compras!$M$113="","63",Registro_Compras!$M$113)))</f>
        <v/>
      </c>
      <c r="D986" t="str">
        <f>IF(OR(Registro_Compras!$C$113="",Registro_Compras!$O$113=""),"",IF(Registro_Compras!$F$113="NOTA DE CREDITO","Cuentas por Pagar Comerciales - Terceros (Emitidas)",IF(Registro_Compras!$F$113="RHE","Honorarios Profesionales - Servicios de Terceros","Gastos de Servicios Prestados por Terceros")))</f>
        <v/>
      </c>
      <c r="E986" s="20" t="str">
        <f>IF($C986="","",IF(Registro_Compras!$F$113="NOTA DE CREDITO",ABS(Registro_Compras!$O$113),IF(Registro_Compras!$F$113="RHE",ROUND(Registro_Compras!$L$113*Registro_Compras!$N$113,2),ROUND(Registro_Compras!$J$113*Registro_Compras!$N$113,2))))</f>
        <v/>
      </c>
      <c r="F986" s="20" t="str">
        <f>""</f>
        <v/>
      </c>
      <c r="G986" t="str">
        <f>IF($C986="","",IF(Registro_Compras!$F$113="NOTA DE CREDITO","Por la nota de credito "&amp;Registro_Compras!$C$113&amp;" de "&amp;Registro_Compras!$E$113&amp;" [PATRON POR CONFIRMAR CON CONTADOR]",IF(Registro_Compras!$F$113="RHE","Por el registro del recibo por honorarios "&amp;Registro_Compras!$C$113&amp;" de "&amp;Registro_Compras!$E$113&amp;" [PATRON POR CONFIRMAR CON CONTADOR]","Por el registro de la factura "&amp;Registro_Compras!$C$113&amp;" de "&amp;Registro_Compras!$E$113)))</f>
        <v/>
      </c>
      <c r="H986" t="str">
        <f>IF($C986="","",Registro_Compras!$C$113)</f>
        <v/>
      </c>
    </row>
    <row r="987" spans="1:8" x14ac:dyDescent="0.25">
      <c r="A987" s="25" t="str">
        <f>IF($C987="","",Registro_Compras!$B$113)</f>
        <v/>
      </c>
      <c r="B987" t="str">
        <f>IF($C987="","","C"&amp;TEXT(INT((ROW()-5)/9)+1,"000")&amp;"-1")</f>
        <v/>
      </c>
      <c r="C987" t="str">
        <f>IF(OR(Registro_Compras!$C$113="",Registro_Compras!$O$113=""),"",IF(Registro_Compras!$F$113="RHE",IF(Registro_Compras!$V$113=0,"","4017"),IF(Registro_Compras!$F$113="NOTA DE CREDITO",IF(Registro_Compras!$M$113="","63",Registro_Compras!$M$113),IF(Registro_Compras!$K$113=0,"","40111"))))</f>
        <v/>
      </c>
      <c r="D987" t="str">
        <f>IF(OR(Registro_Compras!$C$113="",Registro_Compras!$O$113=""),"",IF(Registro_Compras!$F$113="RHE","Retencion Renta 4ta Categoria por Pagar",IF(Registro_Compras!$F$113="NOTA DE CREDITO","Gastos de Servicios Prestados por Terceros","IGV - Cuenta Propia (Credito Fiscal)")))</f>
        <v/>
      </c>
      <c r="E987" s="20" t="str">
        <f>IF($C987="","",IF(Registro_Compras!$F$113="FACTURA",ROUND(Registro_Compras!$K$113*Registro_Compras!$N$113,2),""))</f>
        <v/>
      </c>
      <c r="F987" s="20" t="str">
        <f>IF($C987="","",IF(Registro_Compras!$F$113="RHE",ROUND(Registro_Compras!$V$113*Registro_Compras!$N$113,2),IF(Registro_Compras!$F$113="NOTA DE CREDITO",ROUND(ABS(Registro_Compras!$J$113*Registro_Compras!$N$113),2),"")))</f>
        <v/>
      </c>
      <c r="G987" t="str">
        <f>IF($C987="","",IF(Registro_Compras!$F$113="NOTA DE CREDITO","Por la nota de credito "&amp;Registro_Compras!$C$113&amp;" de "&amp;Registro_Compras!$E$113&amp;" [PATRON POR CONFIRMAR CON CONTADOR]",IF(Registro_Compras!$F$113="RHE","Por el registro del recibo por honorarios "&amp;Registro_Compras!$C$113&amp;" de "&amp;Registro_Compras!$E$113&amp;" [PATRON POR CONFIRMAR CON CONTADOR]","Por el registro de la factura "&amp;Registro_Compras!$C$113&amp;" de "&amp;Registro_Compras!$E$113)))</f>
        <v/>
      </c>
      <c r="H987" t="str">
        <f>IF($C987="","",Registro_Compras!$C$113)</f>
        <v/>
      </c>
    </row>
    <row r="988" spans="1:8" x14ac:dyDescent="0.25">
      <c r="A988" s="25" t="str">
        <f>IF($C988="","",Registro_Compras!$B$113)</f>
        <v/>
      </c>
      <c r="B988" t="str">
        <f>IF($C988="","","C"&amp;TEXT(INT((ROW()-5)/9)+1,"000")&amp;"-1")</f>
        <v/>
      </c>
      <c r="C988" t="str">
        <f>IF(OR(Registro_Compras!$C$113="",Registro_Compras!$O$113=""),"",IF(Registro_Compras!$F$113="NOTA DE CREDITO",IF(Registro_Compras!$K$113=0,"","40111"),"4212"))</f>
        <v/>
      </c>
      <c r="D988" t="str">
        <f>IF(OR(Registro_Compras!$C$113="",Registro_Compras!$O$113=""),"",IF(Registro_Compras!$F$113="NOTA DE CREDITO","IGV - Cuenta Propia (Credito Fiscal)","Cuentas por Pagar Comerciales - Terceros (Emitidas)"))</f>
        <v/>
      </c>
      <c r="E988" s="20" t="str">
        <f>""</f>
        <v/>
      </c>
      <c r="F988" s="20" t="str">
        <f>IF($C988="","",IF(Registro_Compras!$F$113="NOTA DE CREDITO",ROUND(ABS(Registro_Compras!$K$113*Registro_Compras!$N$113),2),IF(Registro_Compras!$F$113="RHE",(ROUND(Registro_Compras!$L$113*Registro_Compras!$N$113,2)-ROUND(Registro_Compras!$V$113*Registro_Compras!$N$113,2)),Registro_Compras!$O$113)))</f>
        <v/>
      </c>
      <c r="G988" t="str">
        <f>IF($C988="","",IF(Registro_Compras!$F$113="NOTA DE CREDITO","Por la nota de credito "&amp;Registro_Compras!$C$113&amp;" de "&amp;Registro_Compras!$E$113&amp;" [PATRON POR CONFIRMAR CON CONTADOR]",IF(Registro_Compras!$F$113="RHE","Por el registro del recibo por honorarios "&amp;Registro_Compras!$C$113&amp;" de "&amp;Registro_Compras!$E$113&amp;" [PATRON POR CONFIRMAR CON CONTADOR]","Por el registro de la factura "&amp;Registro_Compras!$C$113&amp;" de "&amp;Registro_Compras!$E$113)))</f>
        <v/>
      </c>
      <c r="H988" t="str">
        <f>IF($C988="","",Registro_Compras!$C$113)</f>
        <v/>
      </c>
    </row>
    <row r="989" spans="1:8" x14ac:dyDescent="0.25">
      <c r="A989" s="25" t="str">
        <f>IF($C989="","",Registro_Compras!$B$113)</f>
        <v/>
      </c>
      <c r="B989" t="str">
        <f>IF($C989="","","C"&amp;TEXT(INT((ROW()-5)/9)+1,"000")&amp;"-2")</f>
        <v/>
      </c>
      <c r="C989" t="str">
        <f>IF(OR(Registro_Compras!$C$113="",Registro_Compras!$O$113=""),"",IF(Registro_Compras!$AB$113="ADMINISTRATIVO","94","95"))</f>
        <v/>
      </c>
      <c r="D989" t="str">
        <f>IF(OR(Registro_Compras!$C$113="",Registro_Compras!$O$113=""),"",IF(Registro_Compras!$AB$113="ADMINISTRATIVO","Gastos Administrativos","Gastos de Venta y Operacion"))</f>
        <v/>
      </c>
      <c r="E989" s="20" t="str">
        <f>IF($C989="","",IF(Registro_Compras!$F$113="NOTA DE CREDITO","",IF(Registro_Compras!$F$113="RHE",ROUND(Registro_Compras!$L$113*Registro_Compras!$N$113,2),ROUND(Registro_Compras!$J$113*Registro_Compras!$N$113,2))))</f>
        <v/>
      </c>
      <c r="F989" s="20" t="str">
        <f>IF($C989="","",IF(Registro_Compras!$F$113="NOTA DE CREDITO",ROUND(ABS(Registro_Compras!$J$113*Registro_Compras!$N$113),2),""))</f>
        <v/>
      </c>
      <c r="G989" t="str">
        <f>IF($C989="","","Por el destino del gasto")</f>
        <v/>
      </c>
      <c r="H989" t="str">
        <f>IF($C989="","",Registro_Compras!$C$113)</f>
        <v/>
      </c>
    </row>
    <row r="990" spans="1:8" x14ac:dyDescent="0.25">
      <c r="A990" s="25" t="str">
        <f>IF($C990="","",Registro_Compras!$B$113)</f>
        <v/>
      </c>
      <c r="B990" t="str">
        <f>IF($C990="","","C"&amp;TEXT(INT((ROW()-5)/9)+1,"000")&amp;"-2")</f>
        <v/>
      </c>
      <c r="C990" t="str">
        <f>IF(OR(Registro_Compras!$C$113="",Registro_Compras!$O$113=""),"","79/791")</f>
        <v/>
      </c>
      <c r="D990" t="str">
        <f>IF(OR(Registro_Compras!$C$113="",Registro_Compras!$O$113=""),"","Cargas Imputables a Cuentas de Costos y Gastos")</f>
        <v/>
      </c>
      <c r="E990" s="20" t="str">
        <f>IF($C990="","",IF(Registro_Compras!$F$113="NOTA DE CREDITO",ROUND(ABS(Registro_Compras!$J$113*Registro_Compras!$N$113),2),""))</f>
        <v/>
      </c>
      <c r="F990" s="20" t="str">
        <f>IF($C990="","",IF(Registro_Compras!$F$113="NOTA DE CREDITO","",IF(Registro_Compras!$F$113="RHE",ROUND(Registro_Compras!$L$113*Registro_Compras!$N$113,2),ROUND(Registro_Compras!$J$113*Registro_Compras!$N$113,2))))</f>
        <v/>
      </c>
      <c r="G990" t="str">
        <f>IF($C990="","","Por el destino del gasto")</f>
        <v/>
      </c>
      <c r="H990" t="str">
        <f>IF($C990="","",Registro_Compras!$C$113)</f>
        <v/>
      </c>
    </row>
    <row r="991" spans="1:8" x14ac:dyDescent="0.25">
      <c r="A991" s="25" t="str">
        <f>IF($C991="","",Registro_Compras!$X$113)</f>
        <v/>
      </c>
      <c r="B991" t="str">
        <f>IF($C991="","","C"&amp;TEXT(INT((ROW()-5)/9)+1,"000")&amp;"-3")</f>
        <v/>
      </c>
      <c r="C991" t="str">
        <f>IF(OR(Registro_Compras!$C$113="",Registro_Compras!$O$113="",Registro_Compras!$R$113&lt;&gt;"SI",Registro_Compras!$X$113=""),"","4212")</f>
        <v/>
      </c>
      <c r="D991" t="str">
        <f>IF(OR(Registro_Compras!$C$113="",Registro_Compras!$O$113=""),"","Cuentas por Pagar Comerciales - Terceros")</f>
        <v/>
      </c>
      <c r="E991" s="20" t="str">
        <f>IF($C991="","",Registro_Compras!$S$113)</f>
        <v/>
      </c>
      <c r="F991" s="20" t="str">
        <f>""</f>
        <v/>
      </c>
      <c r="G991" t="str">
        <f>IF($C991="","","Por el deposito de la detraccion en el Banco de la Nacion")</f>
        <v/>
      </c>
      <c r="H991" t="str">
        <f>IF($C991="","",Registro_Compras!$C$113)</f>
        <v/>
      </c>
    </row>
    <row r="992" spans="1:8" x14ac:dyDescent="0.25">
      <c r="A992" s="25" t="str">
        <f>IF($C992="","",Registro_Compras!$X$113)</f>
        <v/>
      </c>
      <c r="B992" t="str">
        <f>IF($C992="","","C"&amp;TEXT(INT((ROW()-5)/9)+1,"000")&amp;"-3")</f>
        <v/>
      </c>
      <c r="C992" t="str">
        <f>IF(OR(Registro_Compras!$C$113="",Registro_Compras!$O$113="",Registro_Compras!$R$113&lt;&gt;"SI",Registro_Compras!$X$113=""),"","1041")</f>
        <v/>
      </c>
      <c r="D992" t="str">
        <f>IF(OR(Registro_Compras!$C$113="",Registro_Compras!$O$113=""),"","Efectivo y Equivalentes - Cta. Cte. Operativa")</f>
        <v/>
      </c>
      <c r="E992" s="20" t="str">
        <f>""</f>
        <v/>
      </c>
      <c r="F992" s="20" t="str">
        <f>IF($C992="","",Registro_Compras!$S$113)</f>
        <v/>
      </c>
      <c r="G992" t="str">
        <f>IF($C992="","","Por el deposito de la detraccion en el Banco de la Nacion")</f>
        <v/>
      </c>
      <c r="H992" t="str">
        <f>IF($C992="","",Registro_Compras!$C$113)</f>
        <v/>
      </c>
    </row>
    <row r="993" spans="1:8" x14ac:dyDescent="0.25">
      <c r="A993" s="25" t="str">
        <f>IF($C993="","",Registro_Compras!$Y$113)</f>
        <v/>
      </c>
      <c r="B993" t="str">
        <f>IF($C993="","","C"&amp;TEXT(INT((ROW()-5)/9)+1,"000")&amp;"-4")</f>
        <v/>
      </c>
      <c r="C993" t="str">
        <f>IF(OR(Registro_Compras!$C$113="",Registro_Compras!$O$113="",Registro_Compras!$Y$113="",Registro_Compras!$F$113="NOTA DE CREDITO"),"","4212")</f>
        <v/>
      </c>
      <c r="D993" t="str">
        <f>IF(OR(Registro_Compras!$C$113="",Registro_Compras!$O$113=""),"","Cuentas por Pagar Comerciales - Terceros")</f>
        <v/>
      </c>
      <c r="E993" s="20" t="str">
        <f>IF($C993="","",IF(Registro_Compras!$F$113="RHE",(ROUND(Registro_Compras!$L$113*Registro_Compras!$N$113,2)-ROUND(Registro_Compras!$V$113*Registro_Compras!$N$113,2)),ROUND(Registro_Compras!$O$113-Registro_Compras!$S$113,2)))</f>
        <v/>
      </c>
      <c r="F993" s="20" t="str">
        <f>""</f>
        <v/>
      </c>
      <c r="G993" t="str">
        <f>IF($C993="","","Por la cancelacion del saldo al proveedor")</f>
        <v/>
      </c>
      <c r="H993" t="str">
        <f>IF($C993="","",Registro_Compras!$C$113)</f>
        <v/>
      </c>
    </row>
    <row r="994" spans="1:8" x14ac:dyDescent="0.25">
      <c r="A994" s="25" t="str">
        <f>IF($C994="","",Registro_Compras!$Y$113)</f>
        <v/>
      </c>
      <c r="B994" t="str">
        <f>IF($C994="","","C"&amp;TEXT(INT((ROW()-5)/9)+1,"000")&amp;"-4")</f>
        <v/>
      </c>
      <c r="C994" t="str">
        <f>IF(OR(Registro_Compras!$C$113="",Registro_Compras!$O$113="",Registro_Compras!$Y$113="",Registro_Compras!$F$113="NOTA DE CREDITO"),"","1041")</f>
        <v/>
      </c>
      <c r="D994" t="str">
        <f>IF(OR(Registro_Compras!$C$113="",Registro_Compras!$O$113=""),"","Efectivo y Equivalentes - Cta. Cte. Operativa")</f>
        <v/>
      </c>
      <c r="E994" s="20" t="str">
        <f>""</f>
        <v/>
      </c>
      <c r="F994" s="20" t="str">
        <f>IF($C994="","",IF(Registro_Compras!$F$113="RHE",(ROUND(Registro_Compras!$L$113*Registro_Compras!$N$113,2)-ROUND(Registro_Compras!$V$113*Registro_Compras!$N$113,2)),ROUND(Registro_Compras!$O$113-Registro_Compras!$S$113,2)))</f>
        <v/>
      </c>
      <c r="G994" t="str">
        <f>IF($C994="","","Por la cancelacion del saldo al proveedor")</f>
        <v/>
      </c>
      <c r="H994" t="str">
        <f>IF($C994="","",Registro_Compras!$C$113)</f>
        <v/>
      </c>
    </row>
    <row r="995" spans="1:8" x14ac:dyDescent="0.25">
      <c r="A995" s="25" t="str">
        <f>IF($C995="","",Registro_Compras!$B$114)</f>
        <v/>
      </c>
      <c r="B995" t="str">
        <f>IF($C995="","","C"&amp;TEXT(INT((ROW()-5)/9)+1,"000")&amp;"-1")</f>
        <v/>
      </c>
      <c r="C995" t="str">
        <f>IF(OR(Registro_Compras!$C$114="",Registro_Compras!$O$114=""),"",IF(Registro_Compras!$F$114="NOTA DE CREDITO","4212",IF(Registro_Compras!$M$114="","63",Registro_Compras!$M$114)))</f>
        <v/>
      </c>
      <c r="D995" t="str">
        <f>IF(OR(Registro_Compras!$C$114="",Registro_Compras!$O$114=""),"",IF(Registro_Compras!$F$114="NOTA DE CREDITO","Cuentas por Pagar Comerciales - Terceros (Emitidas)",IF(Registro_Compras!$F$114="RHE","Honorarios Profesionales - Servicios de Terceros","Gastos de Servicios Prestados por Terceros")))</f>
        <v/>
      </c>
      <c r="E995" s="20" t="str">
        <f>IF($C995="","",IF(Registro_Compras!$F$114="NOTA DE CREDITO",ABS(Registro_Compras!$O$114),IF(Registro_Compras!$F$114="RHE",ROUND(Registro_Compras!$L$114*Registro_Compras!$N$114,2),ROUND(Registro_Compras!$J$114*Registro_Compras!$N$114,2))))</f>
        <v/>
      </c>
      <c r="F995" s="20" t="str">
        <f>""</f>
        <v/>
      </c>
      <c r="G995" t="str">
        <f>IF($C995="","",IF(Registro_Compras!$F$114="NOTA DE CREDITO","Por la nota de credito "&amp;Registro_Compras!$C$114&amp;" de "&amp;Registro_Compras!$E$114&amp;" [PATRON POR CONFIRMAR CON CONTADOR]",IF(Registro_Compras!$F$114="RHE","Por el registro del recibo por honorarios "&amp;Registro_Compras!$C$114&amp;" de "&amp;Registro_Compras!$E$114&amp;" [PATRON POR CONFIRMAR CON CONTADOR]","Por el registro de la factura "&amp;Registro_Compras!$C$114&amp;" de "&amp;Registro_Compras!$E$114)))</f>
        <v/>
      </c>
      <c r="H995" t="str">
        <f>IF($C995="","",Registro_Compras!$C$114)</f>
        <v/>
      </c>
    </row>
    <row r="996" spans="1:8" x14ac:dyDescent="0.25">
      <c r="A996" s="25" t="str">
        <f>IF($C996="","",Registro_Compras!$B$114)</f>
        <v/>
      </c>
      <c r="B996" t="str">
        <f>IF($C996="","","C"&amp;TEXT(INT((ROW()-5)/9)+1,"000")&amp;"-1")</f>
        <v/>
      </c>
      <c r="C996" t="str">
        <f>IF(OR(Registro_Compras!$C$114="",Registro_Compras!$O$114=""),"",IF(Registro_Compras!$F$114="RHE",IF(Registro_Compras!$V$114=0,"","4017"),IF(Registro_Compras!$F$114="NOTA DE CREDITO",IF(Registro_Compras!$M$114="","63",Registro_Compras!$M$114),IF(Registro_Compras!$K$114=0,"","40111"))))</f>
        <v/>
      </c>
      <c r="D996" t="str">
        <f>IF(OR(Registro_Compras!$C$114="",Registro_Compras!$O$114=""),"",IF(Registro_Compras!$F$114="RHE","Retencion Renta 4ta Categoria por Pagar",IF(Registro_Compras!$F$114="NOTA DE CREDITO","Gastos de Servicios Prestados por Terceros","IGV - Cuenta Propia (Credito Fiscal)")))</f>
        <v/>
      </c>
      <c r="E996" s="20" t="str">
        <f>IF($C996="","",IF(Registro_Compras!$F$114="FACTURA",ROUND(Registro_Compras!$K$114*Registro_Compras!$N$114,2),""))</f>
        <v/>
      </c>
      <c r="F996" s="20" t="str">
        <f>IF($C996="","",IF(Registro_Compras!$F$114="RHE",ROUND(Registro_Compras!$V$114*Registro_Compras!$N$114,2),IF(Registro_Compras!$F$114="NOTA DE CREDITO",ROUND(ABS(Registro_Compras!$J$114*Registro_Compras!$N$114),2),"")))</f>
        <v/>
      </c>
      <c r="G996" t="str">
        <f>IF($C996="","",IF(Registro_Compras!$F$114="NOTA DE CREDITO","Por la nota de credito "&amp;Registro_Compras!$C$114&amp;" de "&amp;Registro_Compras!$E$114&amp;" [PATRON POR CONFIRMAR CON CONTADOR]",IF(Registro_Compras!$F$114="RHE","Por el registro del recibo por honorarios "&amp;Registro_Compras!$C$114&amp;" de "&amp;Registro_Compras!$E$114&amp;" [PATRON POR CONFIRMAR CON CONTADOR]","Por el registro de la factura "&amp;Registro_Compras!$C$114&amp;" de "&amp;Registro_Compras!$E$114)))</f>
        <v/>
      </c>
      <c r="H996" t="str">
        <f>IF($C996="","",Registro_Compras!$C$114)</f>
        <v/>
      </c>
    </row>
    <row r="997" spans="1:8" x14ac:dyDescent="0.25">
      <c r="A997" s="25" t="str">
        <f>IF($C997="","",Registro_Compras!$B$114)</f>
        <v/>
      </c>
      <c r="B997" t="str">
        <f>IF($C997="","","C"&amp;TEXT(INT((ROW()-5)/9)+1,"000")&amp;"-1")</f>
        <v/>
      </c>
      <c r="C997" t="str">
        <f>IF(OR(Registro_Compras!$C$114="",Registro_Compras!$O$114=""),"",IF(Registro_Compras!$F$114="NOTA DE CREDITO",IF(Registro_Compras!$K$114=0,"","40111"),"4212"))</f>
        <v/>
      </c>
      <c r="D997" t="str">
        <f>IF(OR(Registro_Compras!$C$114="",Registro_Compras!$O$114=""),"",IF(Registro_Compras!$F$114="NOTA DE CREDITO","IGV - Cuenta Propia (Credito Fiscal)","Cuentas por Pagar Comerciales - Terceros (Emitidas)"))</f>
        <v/>
      </c>
      <c r="E997" s="20" t="str">
        <f>""</f>
        <v/>
      </c>
      <c r="F997" s="20" t="str">
        <f>IF($C997="","",IF(Registro_Compras!$F$114="NOTA DE CREDITO",ROUND(ABS(Registro_Compras!$K$114*Registro_Compras!$N$114),2),IF(Registro_Compras!$F$114="RHE",(ROUND(Registro_Compras!$L$114*Registro_Compras!$N$114,2)-ROUND(Registro_Compras!$V$114*Registro_Compras!$N$114,2)),Registro_Compras!$O$114)))</f>
        <v/>
      </c>
      <c r="G997" t="str">
        <f>IF($C997="","",IF(Registro_Compras!$F$114="NOTA DE CREDITO","Por la nota de credito "&amp;Registro_Compras!$C$114&amp;" de "&amp;Registro_Compras!$E$114&amp;" [PATRON POR CONFIRMAR CON CONTADOR]",IF(Registro_Compras!$F$114="RHE","Por el registro del recibo por honorarios "&amp;Registro_Compras!$C$114&amp;" de "&amp;Registro_Compras!$E$114&amp;" [PATRON POR CONFIRMAR CON CONTADOR]","Por el registro de la factura "&amp;Registro_Compras!$C$114&amp;" de "&amp;Registro_Compras!$E$114)))</f>
        <v/>
      </c>
      <c r="H997" t="str">
        <f>IF($C997="","",Registro_Compras!$C$114)</f>
        <v/>
      </c>
    </row>
    <row r="998" spans="1:8" x14ac:dyDescent="0.25">
      <c r="A998" s="25" t="str">
        <f>IF($C998="","",Registro_Compras!$B$114)</f>
        <v/>
      </c>
      <c r="B998" t="str">
        <f>IF($C998="","","C"&amp;TEXT(INT((ROW()-5)/9)+1,"000")&amp;"-2")</f>
        <v/>
      </c>
      <c r="C998" t="str">
        <f>IF(OR(Registro_Compras!$C$114="",Registro_Compras!$O$114=""),"",IF(Registro_Compras!$AB$114="ADMINISTRATIVO","94","95"))</f>
        <v/>
      </c>
      <c r="D998" t="str">
        <f>IF(OR(Registro_Compras!$C$114="",Registro_Compras!$O$114=""),"",IF(Registro_Compras!$AB$114="ADMINISTRATIVO","Gastos Administrativos","Gastos de Venta y Operacion"))</f>
        <v/>
      </c>
      <c r="E998" s="20" t="str">
        <f>IF($C998="","",IF(Registro_Compras!$F$114="NOTA DE CREDITO","",IF(Registro_Compras!$F$114="RHE",ROUND(Registro_Compras!$L$114*Registro_Compras!$N$114,2),ROUND(Registro_Compras!$J$114*Registro_Compras!$N$114,2))))</f>
        <v/>
      </c>
      <c r="F998" s="20" t="str">
        <f>IF($C998="","",IF(Registro_Compras!$F$114="NOTA DE CREDITO",ROUND(ABS(Registro_Compras!$J$114*Registro_Compras!$N$114),2),""))</f>
        <v/>
      </c>
      <c r="G998" t="str">
        <f>IF($C998="","","Por el destino del gasto")</f>
        <v/>
      </c>
      <c r="H998" t="str">
        <f>IF($C998="","",Registro_Compras!$C$114)</f>
        <v/>
      </c>
    </row>
    <row r="999" spans="1:8" x14ac:dyDescent="0.25">
      <c r="A999" s="25" t="str">
        <f>IF($C999="","",Registro_Compras!$B$114)</f>
        <v/>
      </c>
      <c r="B999" t="str">
        <f>IF($C999="","","C"&amp;TEXT(INT((ROW()-5)/9)+1,"000")&amp;"-2")</f>
        <v/>
      </c>
      <c r="C999" t="str">
        <f>IF(OR(Registro_Compras!$C$114="",Registro_Compras!$O$114=""),"","79/791")</f>
        <v/>
      </c>
      <c r="D999" t="str">
        <f>IF(OR(Registro_Compras!$C$114="",Registro_Compras!$O$114=""),"","Cargas Imputables a Cuentas de Costos y Gastos")</f>
        <v/>
      </c>
      <c r="E999" s="20" t="str">
        <f>IF($C999="","",IF(Registro_Compras!$F$114="NOTA DE CREDITO",ROUND(ABS(Registro_Compras!$J$114*Registro_Compras!$N$114),2),""))</f>
        <v/>
      </c>
      <c r="F999" s="20" t="str">
        <f>IF($C999="","",IF(Registro_Compras!$F$114="NOTA DE CREDITO","",IF(Registro_Compras!$F$114="RHE",ROUND(Registro_Compras!$L$114*Registro_Compras!$N$114,2),ROUND(Registro_Compras!$J$114*Registro_Compras!$N$114,2))))</f>
        <v/>
      </c>
      <c r="G999" t="str">
        <f>IF($C999="","","Por el destino del gasto")</f>
        <v/>
      </c>
      <c r="H999" t="str">
        <f>IF($C999="","",Registro_Compras!$C$114)</f>
        <v/>
      </c>
    </row>
    <row r="1000" spans="1:8" x14ac:dyDescent="0.25">
      <c r="A1000" s="25" t="str">
        <f>IF($C1000="","",Registro_Compras!$X$114)</f>
        <v/>
      </c>
      <c r="B1000" t="str">
        <f>IF($C1000="","","C"&amp;TEXT(INT((ROW()-5)/9)+1,"000")&amp;"-3")</f>
        <v/>
      </c>
      <c r="C1000" t="str">
        <f>IF(OR(Registro_Compras!$C$114="",Registro_Compras!$O$114="",Registro_Compras!$R$114&lt;&gt;"SI",Registro_Compras!$X$114=""),"","4212")</f>
        <v/>
      </c>
      <c r="D1000" t="str">
        <f>IF(OR(Registro_Compras!$C$114="",Registro_Compras!$O$114=""),"","Cuentas por Pagar Comerciales - Terceros")</f>
        <v/>
      </c>
      <c r="E1000" s="20" t="str">
        <f>IF($C1000="","",Registro_Compras!$S$114)</f>
        <v/>
      </c>
      <c r="F1000" s="20" t="str">
        <f>""</f>
        <v/>
      </c>
      <c r="G1000" t="str">
        <f>IF($C1000="","","Por el deposito de la detraccion en el Banco de la Nacion")</f>
        <v/>
      </c>
      <c r="H1000" t="str">
        <f>IF($C1000="","",Registro_Compras!$C$114)</f>
        <v/>
      </c>
    </row>
    <row r="1001" spans="1:8" x14ac:dyDescent="0.25">
      <c r="A1001" s="25" t="str">
        <f>IF($C1001="","",Registro_Compras!$X$114)</f>
        <v/>
      </c>
      <c r="B1001" t="str">
        <f>IF($C1001="","","C"&amp;TEXT(INT((ROW()-5)/9)+1,"000")&amp;"-3")</f>
        <v/>
      </c>
      <c r="C1001" t="str">
        <f>IF(OR(Registro_Compras!$C$114="",Registro_Compras!$O$114="",Registro_Compras!$R$114&lt;&gt;"SI",Registro_Compras!$X$114=""),"","1041")</f>
        <v/>
      </c>
      <c r="D1001" t="str">
        <f>IF(OR(Registro_Compras!$C$114="",Registro_Compras!$O$114=""),"","Efectivo y Equivalentes - Cta. Cte. Operativa")</f>
        <v/>
      </c>
      <c r="E1001" s="20" t="str">
        <f>""</f>
        <v/>
      </c>
      <c r="F1001" s="20" t="str">
        <f>IF($C1001="","",Registro_Compras!$S$114)</f>
        <v/>
      </c>
      <c r="G1001" t="str">
        <f>IF($C1001="","","Por el deposito de la detraccion en el Banco de la Nacion")</f>
        <v/>
      </c>
      <c r="H1001" t="str">
        <f>IF($C1001="","",Registro_Compras!$C$114)</f>
        <v/>
      </c>
    </row>
    <row r="1002" spans="1:8" x14ac:dyDescent="0.25">
      <c r="A1002" s="25" t="str">
        <f>IF($C1002="","",Registro_Compras!$Y$114)</f>
        <v/>
      </c>
      <c r="B1002" t="str">
        <f>IF($C1002="","","C"&amp;TEXT(INT((ROW()-5)/9)+1,"000")&amp;"-4")</f>
        <v/>
      </c>
      <c r="C1002" t="str">
        <f>IF(OR(Registro_Compras!$C$114="",Registro_Compras!$O$114="",Registro_Compras!$Y$114="",Registro_Compras!$F$114="NOTA DE CREDITO"),"","4212")</f>
        <v/>
      </c>
      <c r="D1002" t="str">
        <f>IF(OR(Registro_Compras!$C$114="",Registro_Compras!$O$114=""),"","Cuentas por Pagar Comerciales - Terceros")</f>
        <v/>
      </c>
      <c r="E1002" s="20" t="str">
        <f>IF($C1002="","",IF(Registro_Compras!$F$114="RHE",(ROUND(Registro_Compras!$L$114*Registro_Compras!$N$114,2)-ROUND(Registro_Compras!$V$114*Registro_Compras!$N$114,2)),ROUND(Registro_Compras!$O$114-Registro_Compras!$S$114,2)))</f>
        <v/>
      </c>
      <c r="F1002" s="20" t="str">
        <f>""</f>
        <v/>
      </c>
      <c r="G1002" t="str">
        <f>IF($C1002="","","Por la cancelacion del saldo al proveedor")</f>
        <v/>
      </c>
      <c r="H1002" t="str">
        <f>IF($C1002="","",Registro_Compras!$C$114)</f>
        <v/>
      </c>
    </row>
    <row r="1003" spans="1:8" x14ac:dyDescent="0.25">
      <c r="A1003" s="25" t="str">
        <f>IF($C1003="","",Registro_Compras!$Y$114)</f>
        <v/>
      </c>
      <c r="B1003" t="str">
        <f>IF($C1003="","","C"&amp;TEXT(INT((ROW()-5)/9)+1,"000")&amp;"-4")</f>
        <v/>
      </c>
      <c r="C1003" t="str">
        <f>IF(OR(Registro_Compras!$C$114="",Registro_Compras!$O$114="",Registro_Compras!$Y$114="",Registro_Compras!$F$114="NOTA DE CREDITO"),"","1041")</f>
        <v/>
      </c>
      <c r="D1003" t="str">
        <f>IF(OR(Registro_Compras!$C$114="",Registro_Compras!$O$114=""),"","Efectivo y Equivalentes - Cta. Cte. Operativa")</f>
        <v/>
      </c>
      <c r="E1003" s="20" t="str">
        <f>""</f>
        <v/>
      </c>
      <c r="F1003" s="20" t="str">
        <f>IF($C1003="","",IF(Registro_Compras!$F$114="RHE",(ROUND(Registro_Compras!$L$114*Registro_Compras!$N$114,2)-ROUND(Registro_Compras!$V$114*Registro_Compras!$N$114,2)),ROUND(Registro_Compras!$O$114-Registro_Compras!$S$114,2)))</f>
        <v/>
      </c>
      <c r="G1003" t="str">
        <f>IF($C1003="","","Por la cancelacion del saldo al proveedor")</f>
        <v/>
      </c>
      <c r="H1003" t="str">
        <f>IF($C1003="","",Registro_Compras!$C$114)</f>
        <v/>
      </c>
    </row>
    <row r="1004" spans="1:8" x14ac:dyDescent="0.25">
      <c r="A1004" s="25" t="str">
        <f>IF($C1004="","",Registro_Compras!$B$115)</f>
        <v/>
      </c>
      <c r="B1004" t="str">
        <f>IF($C1004="","","C"&amp;TEXT(INT((ROW()-5)/9)+1,"000")&amp;"-1")</f>
        <v/>
      </c>
      <c r="C1004" t="str">
        <f>IF(OR(Registro_Compras!$C$115="",Registro_Compras!$O$115=""),"",IF(Registro_Compras!$F$115="NOTA DE CREDITO","4212",IF(Registro_Compras!$M$115="","63",Registro_Compras!$M$115)))</f>
        <v/>
      </c>
      <c r="D1004" t="str">
        <f>IF(OR(Registro_Compras!$C$115="",Registro_Compras!$O$115=""),"",IF(Registro_Compras!$F$115="NOTA DE CREDITO","Cuentas por Pagar Comerciales - Terceros (Emitidas)",IF(Registro_Compras!$F$115="RHE","Honorarios Profesionales - Servicios de Terceros","Gastos de Servicios Prestados por Terceros")))</f>
        <v/>
      </c>
      <c r="E1004" s="20" t="str">
        <f>IF($C1004="","",IF(Registro_Compras!$F$115="NOTA DE CREDITO",ABS(Registro_Compras!$O$115),IF(Registro_Compras!$F$115="RHE",ROUND(Registro_Compras!$L$115*Registro_Compras!$N$115,2),ROUND(Registro_Compras!$J$115*Registro_Compras!$N$115,2))))</f>
        <v/>
      </c>
      <c r="F1004" s="20" t="str">
        <f>""</f>
        <v/>
      </c>
      <c r="G1004" t="str">
        <f>IF($C1004="","",IF(Registro_Compras!$F$115="NOTA DE CREDITO","Por la nota de credito "&amp;Registro_Compras!$C$115&amp;" de "&amp;Registro_Compras!$E$115&amp;" [PATRON POR CONFIRMAR CON CONTADOR]",IF(Registro_Compras!$F$115="RHE","Por el registro del recibo por honorarios "&amp;Registro_Compras!$C$115&amp;" de "&amp;Registro_Compras!$E$115&amp;" [PATRON POR CONFIRMAR CON CONTADOR]","Por el registro de la factura "&amp;Registro_Compras!$C$115&amp;" de "&amp;Registro_Compras!$E$115)))</f>
        <v/>
      </c>
      <c r="H1004" t="str">
        <f>IF($C1004="","",Registro_Compras!$C$115)</f>
        <v/>
      </c>
    </row>
    <row r="1005" spans="1:8" x14ac:dyDescent="0.25">
      <c r="A1005" s="25" t="str">
        <f>IF($C1005="","",Registro_Compras!$B$115)</f>
        <v/>
      </c>
      <c r="B1005" t="str">
        <f>IF($C1005="","","C"&amp;TEXT(INT((ROW()-5)/9)+1,"000")&amp;"-1")</f>
        <v/>
      </c>
      <c r="C1005" t="str">
        <f>IF(OR(Registro_Compras!$C$115="",Registro_Compras!$O$115=""),"",IF(Registro_Compras!$F$115="RHE",IF(Registro_Compras!$V$115=0,"","4017"),IF(Registro_Compras!$F$115="NOTA DE CREDITO",IF(Registro_Compras!$M$115="","63",Registro_Compras!$M$115),IF(Registro_Compras!$K$115=0,"","40111"))))</f>
        <v/>
      </c>
      <c r="D1005" t="str">
        <f>IF(OR(Registro_Compras!$C$115="",Registro_Compras!$O$115=""),"",IF(Registro_Compras!$F$115="RHE","Retencion Renta 4ta Categoria por Pagar",IF(Registro_Compras!$F$115="NOTA DE CREDITO","Gastos de Servicios Prestados por Terceros","IGV - Cuenta Propia (Credito Fiscal)")))</f>
        <v/>
      </c>
      <c r="E1005" s="20" t="str">
        <f>IF($C1005="","",IF(Registro_Compras!$F$115="FACTURA",ROUND(Registro_Compras!$K$115*Registro_Compras!$N$115,2),""))</f>
        <v/>
      </c>
      <c r="F1005" s="20" t="str">
        <f>IF($C1005="","",IF(Registro_Compras!$F$115="RHE",ROUND(Registro_Compras!$V$115*Registro_Compras!$N$115,2),IF(Registro_Compras!$F$115="NOTA DE CREDITO",ROUND(ABS(Registro_Compras!$J$115*Registro_Compras!$N$115),2),"")))</f>
        <v/>
      </c>
      <c r="G1005" t="str">
        <f>IF($C1005="","",IF(Registro_Compras!$F$115="NOTA DE CREDITO","Por la nota de credito "&amp;Registro_Compras!$C$115&amp;" de "&amp;Registro_Compras!$E$115&amp;" [PATRON POR CONFIRMAR CON CONTADOR]",IF(Registro_Compras!$F$115="RHE","Por el registro del recibo por honorarios "&amp;Registro_Compras!$C$115&amp;" de "&amp;Registro_Compras!$E$115&amp;" [PATRON POR CONFIRMAR CON CONTADOR]","Por el registro de la factura "&amp;Registro_Compras!$C$115&amp;" de "&amp;Registro_Compras!$E$115)))</f>
        <v/>
      </c>
      <c r="H1005" t="str">
        <f>IF($C1005="","",Registro_Compras!$C$115)</f>
        <v/>
      </c>
    </row>
    <row r="1006" spans="1:8" x14ac:dyDescent="0.25">
      <c r="A1006" s="25" t="str">
        <f>IF($C1006="","",Registro_Compras!$B$115)</f>
        <v/>
      </c>
      <c r="B1006" t="str">
        <f>IF($C1006="","","C"&amp;TEXT(INT((ROW()-5)/9)+1,"000")&amp;"-1")</f>
        <v/>
      </c>
      <c r="C1006" t="str">
        <f>IF(OR(Registro_Compras!$C$115="",Registro_Compras!$O$115=""),"",IF(Registro_Compras!$F$115="NOTA DE CREDITO",IF(Registro_Compras!$K$115=0,"","40111"),"4212"))</f>
        <v/>
      </c>
      <c r="D1006" t="str">
        <f>IF(OR(Registro_Compras!$C$115="",Registro_Compras!$O$115=""),"",IF(Registro_Compras!$F$115="NOTA DE CREDITO","IGV - Cuenta Propia (Credito Fiscal)","Cuentas por Pagar Comerciales - Terceros (Emitidas)"))</f>
        <v/>
      </c>
      <c r="E1006" s="20" t="str">
        <f>""</f>
        <v/>
      </c>
      <c r="F1006" s="20" t="str">
        <f>IF($C1006="","",IF(Registro_Compras!$F$115="NOTA DE CREDITO",ROUND(ABS(Registro_Compras!$K$115*Registro_Compras!$N$115),2),IF(Registro_Compras!$F$115="RHE",(ROUND(Registro_Compras!$L$115*Registro_Compras!$N$115,2)-ROUND(Registro_Compras!$V$115*Registro_Compras!$N$115,2)),Registro_Compras!$O$115)))</f>
        <v/>
      </c>
      <c r="G1006" t="str">
        <f>IF($C1006="","",IF(Registro_Compras!$F$115="NOTA DE CREDITO","Por la nota de credito "&amp;Registro_Compras!$C$115&amp;" de "&amp;Registro_Compras!$E$115&amp;" [PATRON POR CONFIRMAR CON CONTADOR]",IF(Registro_Compras!$F$115="RHE","Por el registro del recibo por honorarios "&amp;Registro_Compras!$C$115&amp;" de "&amp;Registro_Compras!$E$115&amp;" [PATRON POR CONFIRMAR CON CONTADOR]","Por el registro de la factura "&amp;Registro_Compras!$C$115&amp;" de "&amp;Registro_Compras!$E$115)))</f>
        <v/>
      </c>
      <c r="H1006" t="str">
        <f>IF($C1006="","",Registro_Compras!$C$115)</f>
        <v/>
      </c>
    </row>
    <row r="1007" spans="1:8" x14ac:dyDescent="0.25">
      <c r="A1007" s="25" t="str">
        <f>IF($C1007="","",Registro_Compras!$B$115)</f>
        <v/>
      </c>
      <c r="B1007" t="str">
        <f>IF($C1007="","","C"&amp;TEXT(INT((ROW()-5)/9)+1,"000")&amp;"-2")</f>
        <v/>
      </c>
      <c r="C1007" t="str">
        <f>IF(OR(Registro_Compras!$C$115="",Registro_Compras!$O$115=""),"",IF(Registro_Compras!$AB$115="ADMINISTRATIVO","94","95"))</f>
        <v/>
      </c>
      <c r="D1007" t="str">
        <f>IF(OR(Registro_Compras!$C$115="",Registro_Compras!$O$115=""),"",IF(Registro_Compras!$AB$115="ADMINISTRATIVO","Gastos Administrativos","Gastos de Venta y Operacion"))</f>
        <v/>
      </c>
      <c r="E1007" s="20" t="str">
        <f>IF($C1007="","",IF(Registro_Compras!$F$115="NOTA DE CREDITO","",IF(Registro_Compras!$F$115="RHE",ROUND(Registro_Compras!$L$115*Registro_Compras!$N$115,2),ROUND(Registro_Compras!$J$115*Registro_Compras!$N$115,2))))</f>
        <v/>
      </c>
      <c r="F1007" s="20" t="str">
        <f>IF($C1007="","",IF(Registro_Compras!$F$115="NOTA DE CREDITO",ROUND(ABS(Registro_Compras!$J$115*Registro_Compras!$N$115),2),""))</f>
        <v/>
      </c>
      <c r="G1007" t="str">
        <f>IF($C1007="","","Por el destino del gasto")</f>
        <v/>
      </c>
      <c r="H1007" t="str">
        <f>IF($C1007="","",Registro_Compras!$C$115)</f>
        <v/>
      </c>
    </row>
    <row r="1008" spans="1:8" x14ac:dyDescent="0.25">
      <c r="A1008" s="25" t="str">
        <f>IF($C1008="","",Registro_Compras!$B$115)</f>
        <v/>
      </c>
      <c r="B1008" t="str">
        <f>IF($C1008="","","C"&amp;TEXT(INT((ROW()-5)/9)+1,"000")&amp;"-2")</f>
        <v/>
      </c>
      <c r="C1008" t="str">
        <f>IF(OR(Registro_Compras!$C$115="",Registro_Compras!$O$115=""),"","79/791")</f>
        <v/>
      </c>
      <c r="D1008" t="str">
        <f>IF(OR(Registro_Compras!$C$115="",Registro_Compras!$O$115=""),"","Cargas Imputables a Cuentas de Costos y Gastos")</f>
        <v/>
      </c>
      <c r="E1008" s="20" t="str">
        <f>IF($C1008="","",IF(Registro_Compras!$F$115="NOTA DE CREDITO",ROUND(ABS(Registro_Compras!$J$115*Registro_Compras!$N$115),2),""))</f>
        <v/>
      </c>
      <c r="F1008" s="20" t="str">
        <f>IF($C1008="","",IF(Registro_Compras!$F$115="NOTA DE CREDITO","",IF(Registro_Compras!$F$115="RHE",ROUND(Registro_Compras!$L$115*Registro_Compras!$N$115,2),ROUND(Registro_Compras!$J$115*Registro_Compras!$N$115,2))))</f>
        <v/>
      </c>
      <c r="G1008" t="str">
        <f>IF($C1008="","","Por el destino del gasto")</f>
        <v/>
      </c>
      <c r="H1008" t="str">
        <f>IF($C1008="","",Registro_Compras!$C$115)</f>
        <v/>
      </c>
    </row>
    <row r="1009" spans="1:8" x14ac:dyDescent="0.25">
      <c r="A1009" s="25" t="str">
        <f>IF($C1009="","",Registro_Compras!$X$115)</f>
        <v/>
      </c>
      <c r="B1009" t="str">
        <f>IF($C1009="","","C"&amp;TEXT(INT((ROW()-5)/9)+1,"000")&amp;"-3")</f>
        <v/>
      </c>
      <c r="C1009" t="str">
        <f>IF(OR(Registro_Compras!$C$115="",Registro_Compras!$O$115="",Registro_Compras!$R$115&lt;&gt;"SI",Registro_Compras!$X$115=""),"","4212")</f>
        <v/>
      </c>
      <c r="D1009" t="str">
        <f>IF(OR(Registro_Compras!$C$115="",Registro_Compras!$O$115=""),"","Cuentas por Pagar Comerciales - Terceros")</f>
        <v/>
      </c>
      <c r="E1009" s="20" t="str">
        <f>IF($C1009="","",Registro_Compras!$S$115)</f>
        <v/>
      </c>
      <c r="F1009" s="20" t="str">
        <f>""</f>
        <v/>
      </c>
      <c r="G1009" t="str">
        <f>IF($C1009="","","Por el deposito de la detraccion en el Banco de la Nacion")</f>
        <v/>
      </c>
      <c r="H1009" t="str">
        <f>IF($C1009="","",Registro_Compras!$C$115)</f>
        <v/>
      </c>
    </row>
    <row r="1010" spans="1:8" x14ac:dyDescent="0.25">
      <c r="A1010" s="25" t="str">
        <f>IF($C1010="","",Registro_Compras!$X$115)</f>
        <v/>
      </c>
      <c r="B1010" t="str">
        <f>IF($C1010="","","C"&amp;TEXT(INT((ROW()-5)/9)+1,"000")&amp;"-3")</f>
        <v/>
      </c>
      <c r="C1010" t="str">
        <f>IF(OR(Registro_Compras!$C$115="",Registro_Compras!$O$115="",Registro_Compras!$R$115&lt;&gt;"SI",Registro_Compras!$X$115=""),"","1041")</f>
        <v/>
      </c>
      <c r="D1010" t="str">
        <f>IF(OR(Registro_Compras!$C$115="",Registro_Compras!$O$115=""),"","Efectivo y Equivalentes - Cta. Cte. Operativa")</f>
        <v/>
      </c>
      <c r="E1010" s="20" t="str">
        <f>""</f>
        <v/>
      </c>
      <c r="F1010" s="20" t="str">
        <f>IF($C1010="","",Registro_Compras!$S$115)</f>
        <v/>
      </c>
      <c r="G1010" t="str">
        <f>IF($C1010="","","Por el deposito de la detraccion en el Banco de la Nacion")</f>
        <v/>
      </c>
      <c r="H1010" t="str">
        <f>IF($C1010="","",Registro_Compras!$C$115)</f>
        <v/>
      </c>
    </row>
    <row r="1011" spans="1:8" x14ac:dyDescent="0.25">
      <c r="A1011" s="25" t="str">
        <f>IF($C1011="","",Registro_Compras!$Y$115)</f>
        <v/>
      </c>
      <c r="B1011" t="str">
        <f>IF($C1011="","","C"&amp;TEXT(INT((ROW()-5)/9)+1,"000")&amp;"-4")</f>
        <v/>
      </c>
      <c r="C1011" t="str">
        <f>IF(OR(Registro_Compras!$C$115="",Registro_Compras!$O$115="",Registro_Compras!$Y$115="",Registro_Compras!$F$115="NOTA DE CREDITO"),"","4212")</f>
        <v/>
      </c>
      <c r="D1011" t="str">
        <f>IF(OR(Registro_Compras!$C$115="",Registro_Compras!$O$115=""),"","Cuentas por Pagar Comerciales - Terceros")</f>
        <v/>
      </c>
      <c r="E1011" s="20" t="str">
        <f>IF($C1011="","",IF(Registro_Compras!$F$115="RHE",(ROUND(Registro_Compras!$L$115*Registro_Compras!$N$115,2)-ROUND(Registro_Compras!$V$115*Registro_Compras!$N$115,2)),ROUND(Registro_Compras!$O$115-Registro_Compras!$S$115,2)))</f>
        <v/>
      </c>
      <c r="F1011" s="20" t="str">
        <f>""</f>
        <v/>
      </c>
      <c r="G1011" t="str">
        <f>IF($C1011="","","Por la cancelacion del saldo al proveedor")</f>
        <v/>
      </c>
      <c r="H1011" t="str">
        <f>IF($C1011="","",Registro_Compras!$C$115)</f>
        <v/>
      </c>
    </row>
    <row r="1012" spans="1:8" x14ac:dyDescent="0.25">
      <c r="A1012" s="25" t="str">
        <f>IF($C1012="","",Registro_Compras!$Y$115)</f>
        <v/>
      </c>
      <c r="B1012" t="str">
        <f>IF($C1012="","","C"&amp;TEXT(INT((ROW()-5)/9)+1,"000")&amp;"-4")</f>
        <v/>
      </c>
      <c r="C1012" t="str">
        <f>IF(OR(Registro_Compras!$C$115="",Registro_Compras!$O$115="",Registro_Compras!$Y$115="",Registro_Compras!$F$115="NOTA DE CREDITO"),"","1041")</f>
        <v/>
      </c>
      <c r="D1012" t="str">
        <f>IF(OR(Registro_Compras!$C$115="",Registro_Compras!$O$115=""),"","Efectivo y Equivalentes - Cta. Cte. Operativa")</f>
        <v/>
      </c>
      <c r="E1012" s="20" t="str">
        <f>""</f>
        <v/>
      </c>
      <c r="F1012" s="20" t="str">
        <f>IF($C1012="","",IF(Registro_Compras!$F$115="RHE",(ROUND(Registro_Compras!$L$115*Registro_Compras!$N$115,2)-ROUND(Registro_Compras!$V$115*Registro_Compras!$N$115,2)),ROUND(Registro_Compras!$O$115-Registro_Compras!$S$115,2)))</f>
        <v/>
      </c>
      <c r="G1012" t="str">
        <f>IF($C1012="","","Por la cancelacion del saldo al proveedor")</f>
        <v/>
      </c>
      <c r="H1012" t="str">
        <f>IF($C1012="","",Registro_Compras!$C$115)</f>
        <v/>
      </c>
    </row>
    <row r="1013" spans="1:8" x14ac:dyDescent="0.25">
      <c r="A1013" s="25" t="str">
        <f>IF($C1013="","",Registro_Compras!$B$116)</f>
        <v/>
      </c>
      <c r="B1013" t="str">
        <f>IF($C1013="","","C"&amp;TEXT(INT((ROW()-5)/9)+1,"000")&amp;"-1")</f>
        <v/>
      </c>
      <c r="C1013" t="str">
        <f>IF(OR(Registro_Compras!$C$116="",Registro_Compras!$O$116=""),"",IF(Registro_Compras!$F$116="NOTA DE CREDITO","4212",IF(Registro_Compras!$M$116="","63",Registro_Compras!$M$116)))</f>
        <v/>
      </c>
      <c r="D1013" t="str">
        <f>IF(OR(Registro_Compras!$C$116="",Registro_Compras!$O$116=""),"",IF(Registro_Compras!$F$116="NOTA DE CREDITO","Cuentas por Pagar Comerciales - Terceros (Emitidas)",IF(Registro_Compras!$F$116="RHE","Honorarios Profesionales - Servicios de Terceros","Gastos de Servicios Prestados por Terceros")))</f>
        <v/>
      </c>
      <c r="E1013" s="20" t="str">
        <f>IF($C1013="","",IF(Registro_Compras!$F$116="NOTA DE CREDITO",ABS(Registro_Compras!$O$116),IF(Registro_Compras!$F$116="RHE",ROUND(Registro_Compras!$L$116*Registro_Compras!$N$116,2),ROUND(Registro_Compras!$J$116*Registro_Compras!$N$116,2))))</f>
        <v/>
      </c>
      <c r="F1013" s="20" t="str">
        <f>""</f>
        <v/>
      </c>
      <c r="G1013" t="str">
        <f>IF($C1013="","",IF(Registro_Compras!$F$116="NOTA DE CREDITO","Por la nota de credito "&amp;Registro_Compras!$C$116&amp;" de "&amp;Registro_Compras!$E$116&amp;" [PATRON POR CONFIRMAR CON CONTADOR]",IF(Registro_Compras!$F$116="RHE","Por el registro del recibo por honorarios "&amp;Registro_Compras!$C$116&amp;" de "&amp;Registro_Compras!$E$116&amp;" [PATRON POR CONFIRMAR CON CONTADOR]","Por el registro de la factura "&amp;Registro_Compras!$C$116&amp;" de "&amp;Registro_Compras!$E$116)))</f>
        <v/>
      </c>
      <c r="H1013" t="str">
        <f>IF($C1013="","",Registro_Compras!$C$116)</f>
        <v/>
      </c>
    </row>
    <row r="1014" spans="1:8" x14ac:dyDescent="0.25">
      <c r="A1014" s="25" t="str">
        <f>IF($C1014="","",Registro_Compras!$B$116)</f>
        <v/>
      </c>
      <c r="B1014" t="str">
        <f>IF($C1014="","","C"&amp;TEXT(INT((ROW()-5)/9)+1,"000")&amp;"-1")</f>
        <v/>
      </c>
      <c r="C1014" t="str">
        <f>IF(OR(Registro_Compras!$C$116="",Registro_Compras!$O$116=""),"",IF(Registro_Compras!$F$116="RHE",IF(Registro_Compras!$V$116=0,"","4017"),IF(Registro_Compras!$F$116="NOTA DE CREDITO",IF(Registro_Compras!$M$116="","63",Registro_Compras!$M$116),IF(Registro_Compras!$K$116=0,"","40111"))))</f>
        <v/>
      </c>
      <c r="D1014" t="str">
        <f>IF(OR(Registro_Compras!$C$116="",Registro_Compras!$O$116=""),"",IF(Registro_Compras!$F$116="RHE","Retencion Renta 4ta Categoria por Pagar",IF(Registro_Compras!$F$116="NOTA DE CREDITO","Gastos de Servicios Prestados por Terceros","IGV - Cuenta Propia (Credito Fiscal)")))</f>
        <v/>
      </c>
      <c r="E1014" s="20" t="str">
        <f>IF($C1014="","",IF(Registro_Compras!$F$116="FACTURA",ROUND(Registro_Compras!$K$116*Registro_Compras!$N$116,2),""))</f>
        <v/>
      </c>
      <c r="F1014" s="20" t="str">
        <f>IF($C1014="","",IF(Registro_Compras!$F$116="RHE",ROUND(Registro_Compras!$V$116*Registro_Compras!$N$116,2),IF(Registro_Compras!$F$116="NOTA DE CREDITO",ROUND(ABS(Registro_Compras!$J$116*Registro_Compras!$N$116),2),"")))</f>
        <v/>
      </c>
      <c r="G1014" t="str">
        <f>IF($C1014="","",IF(Registro_Compras!$F$116="NOTA DE CREDITO","Por la nota de credito "&amp;Registro_Compras!$C$116&amp;" de "&amp;Registro_Compras!$E$116&amp;" [PATRON POR CONFIRMAR CON CONTADOR]",IF(Registro_Compras!$F$116="RHE","Por el registro del recibo por honorarios "&amp;Registro_Compras!$C$116&amp;" de "&amp;Registro_Compras!$E$116&amp;" [PATRON POR CONFIRMAR CON CONTADOR]","Por el registro de la factura "&amp;Registro_Compras!$C$116&amp;" de "&amp;Registro_Compras!$E$116)))</f>
        <v/>
      </c>
      <c r="H1014" t="str">
        <f>IF($C1014="","",Registro_Compras!$C$116)</f>
        <v/>
      </c>
    </row>
    <row r="1015" spans="1:8" x14ac:dyDescent="0.25">
      <c r="A1015" s="25" t="str">
        <f>IF($C1015="","",Registro_Compras!$B$116)</f>
        <v/>
      </c>
      <c r="B1015" t="str">
        <f>IF($C1015="","","C"&amp;TEXT(INT((ROW()-5)/9)+1,"000")&amp;"-1")</f>
        <v/>
      </c>
      <c r="C1015" t="str">
        <f>IF(OR(Registro_Compras!$C$116="",Registro_Compras!$O$116=""),"",IF(Registro_Compras!$F$116="NOTA DE CREDITO",IF(Registro_Compras!$K$116=0,"","40111"),"4212"))</f>
        <v/>
      </c>
      <c r="D1015" t="str">
        <f>IF(OR(Registro_Compras!$C$116="",Registro_Compras!$O$116=""),"",IF(Registro_Compras!$F$116="NOTA DE CREDITO","IGV - Cuenta Propia (Credito Fiscal)","Cuentas por Pagar Comerciales - Terceros (Emitidas)"))</f>
        <v/>
      </c>
      <c r="E1015" s="20" t="str">
        <f>""</f>
        <v/>
      </c>
      <c r="F1015" s="20" t="str">
        <f>IF($C1015="","",IF(Registro_Compras!$F$116="NOTA DE CREDITO",ROUND(ABS(Registro_Compras!$K$116*Registro_Compras!$N$116),2),IF(Registro_Compras!$F$116="RHE",(ROUND(Registro_Compras!$L$116*Registro_Compras!$N$116,2)-ROUND(Registro_Compras!$V$116*Registro_Compras!$N$116,2)),Registro_Compras!$O$116)))</f>
        <v/>
      </c>
      <c r="G1015" t="str">
        <f>IF($C1015="","",IF(Registro_Compras!$F$116="NOTA DE CREDITO","Por la nota de credito "&amp;Registro_Compras!$C$116&amp;" de "&amp;Registro_Compras!$E$116&amp;" [PATRON POR CONFIRMAR CON CONTADOR]",IF(Registro_Compras!$F$116="RHE","Por el registro del recibo por honorarios "&amp;Registro_Compras!$C$116&amp;" de "&amp;Registro_Compras!$E$116&amp;" [PATRON POR CONFIRMAR CON CONTADOR]","Por el registro de la factura "&amp;Registro_Compras!$C$116&amp;" de "&amp;Registro_Compras!$E$116)))</f>
        <v/>
      </c>
      <c r="H1015" t="str">
        <f>IF($C1015="","",Registro_Compras!$C$116)</f>
        <v/>
      </c>
    </row>
    <row r="1016" spans="1:8" x14ac:dyDescent="0.25">
      <c r="A1016" s="25" t="str">
        <f>IF($C1016="","",Registro_Compras!$B$116)</f>
        <v/>
      </c>
      <c r="B1016" t="str">
        <f>IF($C1016="","","C"&amp;TEXT(INT((ROW()-5)/9)+1,"000")&amp;"-2")</f>
        <v/>
      </c>
      <c r="C1016" t="str">
        <f>IF(OR(Registro_Compras!$C$116="",Registro_Compras!$O$116=""),"",IF(Registro_Compras!$AB$116="ADMINISTRATIVO","94","95"))</f>
        <v/>
      </c>
      <c r="D1016" t="str">
        <f>IF(OR(Registro_Compras!$C$116="",Registro_Compras!$O$116=""),"",IF(Registro_Compras!$AB$116="ADMINISTRATIVO","Gastos Administrativos","Gastos de Venta y Operacion"))</f>
        <v/>
      </c>
      <c r="E1016" s="20" t="str">
        <f>IF($C1016="","",IF(Registro_Compras!$F$116="NOTA DE CREDITO","",IF(Registro_Compras!$F$116="RHE",ROUND(Registro_Compras!$L$116*Registro_Compras!$N$116,2),ROUND(Registro_Compras!$J$116*Registro_Compras!$N$116,2))))</f>
        <v/>
      </c>
      <c r="F1016" s="20" t="str">
        <f>IF($C1016="","",IF(Registro_Compras!$F$116="NOTA DE CREDITO",ROUND(ABS(Registro_Compras!$J$116*Registro_Compras!$N$116),2),""))</f>
        <v/>
      </c>
      <c r="G1016" t="str">
        <f>IF($C1016="","","Por el destino del gasto")</f>
        <v/>
      </c>
      <c r="H1016" t="str">
        <f>IF($C1016="","",Registro_Compras!$C$116)</f>
        <v/>
      </c>
    </row>
    <row r="1017" spans="1:8" x14ac:dyDescent="0.25">
      <c r="A1017" s="25" t="str">
        <f>IF($C1017="","",Registro_Compras!$B$116)</f>
        <v/>
      </c>
      <c r="B1017" t="str">
        <f>IF($C1017="","","C"&amp;TEXT(INT((ROW()-5)/9)+1,"000")&amp;"-2")</f>
        <v/>
      </c>
      <c r="C1017" t="str">
        <f>IF(OR(Registro_Compras!$C$116="",Registro_Compras!$O$116=""),"","79/791")</f>
        <v/>
      </c>
      <c r="D1017" t="str">
        <f>IF(OR(Registro_Compras!$C$116="",Registro_Compras!$O$116=""),"","Cargas Imputables a Cuentas de Costos y Gastos")</f>
        <v/>
      </c>
      <c r="E1017" s="20" t="str">
        <f>IF($C1017="","",IF(Registro_Compras!$F$116="NOTA DE CREDITO",ROUND(ABS(Registro_Compras!$J$116*Registro_Compras!$N$116),2),""))</f>
        <v/>
      </c>
      <c r="F1017" s="20" t="str">
        <f>IF($C1017="","",IF(Registro_Compras!$F$116="NOTA DE CREDITO","",IF(Registro_Compras!$F$116="RHE",ROUND(Registro_Compras!$L$116*Registro_Compras!$N$116,2),ROUND(Registro_Compras!$J$116*Registro_Compras!$N$116,2))))</f>
        <v/>
      </c>
      <c r="G1017" t="str">
        <f>IF($C1017="","","Por el destino del gasto")</f>
        <v/>
      </c>
      <c r="H1017" t="str">
        <f>IF($C1017="","",Registro_Compras!$C$116)</f>
        <v/>
      </c>
    </row>
    <row r="1018" spans="1:8" x14ac:dyDescent="0.25">
      <c r="A1018" s="25" t="str">
        <f>IF($C1018="","",Registro_Compras!$X$116)</f>
        <v/>
      </c>
      <c r="B1018" t="str">
        <f>IF($C1018="","","C"&amp;TEXT(INT((ROW()-5)/9)+1,"000")&amp;"-3")</f>
        <v/>
      </c>
      <c r="C1018" t="str">
        <f>IF(OR(Registro_Compras!$C$116="",Registro_Compras!$O$116="",Registro_Compras!$R$116&lt;&gt;"SI",Registro_Compras!$X$116=""),"","4212")</f>
        <v/>
      </c>
      <c r="D1018" t="str">
        <f>IF(OR(Registro_Compras!$C$116="",Registro_Compras!$O$116=""),"","Cuentas por Pagar Comerciales - Terceros")</f>
        <v/>
      </c>
      <c r="E1018" s="20" t="str">
        <f>IF($C1018="","",Registro_Compras!$S$116)</f>
        <v/>
      </c>
      <c r="F1018" s="20" t="str">
        <f>""</f>
        <v/>
      </c>
      <c r="G1018" t="str">
        <f>IF($C1018="","","Por el deposito de la detraccion en el Banco de la Nacion")</f>
        <v/>
      </c>
      <c r="H1018" t="str">
        <f>IF($C1018="","",Registro_Compras!$C$116)</f>
        <v/>
      </c>
    </row>
    <row r="1019" spans="1:8" x14ac:dyDescent="0.25">
      <c r="A1019" s="25" t="str">
        <f>IF($C1019="","",Registro_Compras!$X$116)</f>
        <v/>
      </c>
      <c r="B1019" t="str">
        <f>IF($C1019="","","C"&amp;TEXT(INT((ROW()-5)/9)+1,"000")&amp;"-3")</f>
        <v/>
      </c>
      <c r="C1019" t="str">
        <f>IF(OR(Registro_Compras!$C$116="",Registro_Compras!$O$116="",Registro_Compras!$R$116&lt;&gt;"SI",Registro_Compras!$X$116=""),"","1041")</f>
        <v/>
      </c>
      <c r="D1019" t="str">
        <f>IF(OR(Registro_Compras!$C$116="",Registro_Compras!$O$116=""),"","Efectivo y Equivalentes - Cta. Cte. Operativa")</f>
        <v/>
      </c>
      <c r="E1019" s="20" t="str">
        <f>""</f>
        <v/>
      </c>
      <c r="F1019" s="20" t="str">
        <f>IF($C1019="","",Registro_Compras!$S$116)</f>
        <v/>
      </c>
      <c r="G1019" t="str">
        <f>IF($C1019="","","Por el deposito de la detraccion en el Banco de la Nacion")</f>
        <v/>
      </c>
      <c r="H1019" t="str">
        <f>IF($C1019="","",Registro_Compras!$C$116)</f>
        <v/>
      </c>
    </row>
    <row r="1020" spans="1:8" x14ac:dyDescent="0.25">
      <c r="A1020" s="25" t="str">
        <f>IF($C1020="","",Registro_Compras!$Y$116)</f>
        <v/>
      </c>
      <c r="B1020" t="str">
        <f>IF($C1020="","","C"&amp;TEXT(INT((ROW()-5)/9)+1,"000")&amp;"-4")</f>
        <v/>
      </c>
      <c r="C1020" t="str">
        <f>IF(OR(Registro_Compras!$C$116="",Registro_Compras!$O$116="",Registro_Compras!$Y$116="",Registro_Compras!$F$116="NOTA DE CREDITO"),"","4212")</f>
        <v/>
      </c>
      <c r="D1020" t="str">
        <f>IF(OR(Registro_Compras!$C$116="",Registro_Compras!$O$116=""),"","Cuentas por Pagar Comerciales - Terceros")</f>
        <v/>
      </c>
      <c r="E1020" s="20" t="str">
        <f>IF($C1020="","",IF(Registro_Compras!$F$116="RHE",(ROUND(Registro_Compras!$L$116*Registro_Compras!$N$116,2)-ROUND(Registro_Compras!$V$116*Registro_Compras!$N$116,2)),ROUND(Registro_Compras!$O$116-Registro_Compras!$S$116,2)))</f>
        <v/>
      </c>
      <c r="F1020" s="20" t="str">
        <f>""</f>
        <v/>
      </c>
      <c r="G1020" t="str">
        <f>IF($C1020="","","Por la cancelacion del saldo al proveedor")</f>
        <v/>
      </c>
      <c r="H1020" t="str">
        <f>IF($C1020="","",Registro_Compras!$C$116)</f>
        <v/>
      </c>
    </row>
    <row r="1021" spans="1:8" x14ac:dyDescent="0.25">
      <c r="A1021" s="25" t="str">
        <f>IF($C1021="","",Registro_Compras!$Y$116)</f>
        <v/>
      </c>
      <c r="B1021" t="str">
        <f>IF($C1021="","","C"&amp;TEXT(INT((ROW()-5)/9)+1,"000")&amp;"-4")</f>
        <v/>
      </c>
      <c r="C1021" t="str">
        <f>IF(OR(Registro_Compras!$C$116="",Registro_Compras!$O$116="",Registro_Compras!$Y$116="",Registro_Compras!$F$116="NOTA DE CREDITO"),"","1041")</f>
        <v/>
      </c>
      <c r="D1021" t="str">
        <f>IF(OR(Registro_Compras!$C$116="",Registro_Compras!$O$116=""),"","Efectivo y Equivalentes - Cta. Cte. Operativa")</f>
        <v/>
      </c>
      <c r="E1021" s="20" t="str">
        <f>""</f>
        <v/>
      </c>
      <c r="F1021" s="20" t="str">
        <f>IF($C1021="","",IF(Registro_Compras!$F$116="RHE",(ROUND(Registro_Compras!$L$116*Registro_Compras!$N$116,2)-ROUND(Registro_Compras!$V$116*Registro_Compras!$N$116,2)),ROUND(Registro_Compras!$O$116-Registro_Compras!$S$116,2)))</f>
        <v/>
      </c>
      <c r="G1021" t="str">
        <f>IF($C1021="","","Por la cancelacion del saldo al proveedor")</f>
        <v/>
      </c>
      <c r="H1021" t="str">
        <f>IF($C1021="","",Registro_Compras!$C$116)</f>
        <v/>
      </c>
    </row>
    <row r="1022" spans="1:8" x14ac:dyDescent="0.25">
      <c r="A1022" s="25" t="str">
        <f>IF($C1022="","",Registro_Compras!$B$117)</f>
        <v/>
      </c>
      <c r="B1022" t="str">
        <f>IF($C1022="","","C"&amp;TEXT(INT((ROW()-5)/9)+1,"000")&amp;"-1")</f>
        <v/>
      </c>
      <c r="C1022" t="str">
        <f>IF(OR(Registro_Compras!$C$117="",Registro_Compras!$O$117=""),"",IF(Registro_Compras!$F$117="NOTA DE CREDITO","4212",IF(Registro_Compras!$M$117="","63",Registro_Compras!$M$117)))</f>
        <v/>
      </c>
      <c r="D1022" t="str">
        <f>IF(OR(Registro_Compras!$C$117="",Registro_Compras!$O$117=""),"",IF(Registro_Compras!$F$117="NOTA DE CREDITO","Cuentas por Pagar Comerciales - Terceros (Emitidas)",IF(Registro_Compras!$F$117="RHE","Honorarios Profesionales - Servicios de Terceros","Gastos de Servicios Prestados por Terceros")))</f>
        <v/>
      </c>
      <c r="E1022" s="20" t="str">
        <f>IF($C1022="","",IF(Registro_Compras!$F$117="NOTA DE CREDITO",ABS(Registro_Compras!$O$117),IF(Registro_Compras!$F$117="RHE",ROUND(Registro_Compras!$L$117*Registro_Compras!$N$117,2),ROUND(Registro_Compras!$J$117*Registro_Compras!$N$117,2))))</f>
        <v/>
      </c>
      <c r="F1022" s="20" t="str">
        <f>""</f>
        <v/>
      </c>
      <c r="G1022" t="str">
        <f>IF($C1022="","",IF(Registro_Compras!$F$117="NOTA DE CREDITO","Por la nota de credito "&amp;Registro_Compras!$C$117&amp;" de "&amp;Registro_Compras!$E$117&amp;" [PATRON POR CONFIRMAR CON CONTADOR]",IF(Registro_Compras!$F$117="RHE","Por el registro del recibo por honorarios "&amp;Registro_Compras!$C$117&amp;" de "&amp;Registro_Compras!$E$117&amp;" [PATRON POR CONFIRMAR CON CONTADOR]","Por el registro de la factura "&amp;Registro_Compras!$C$117&amp;" de "&amp;Registro_Compras!$E$117)))</f>
        <v/>
      </c>
      <c r="H1022" t="str">
        <f>IF($C1022="","",Registro_Compras!$C$117)</f>
        <v/>
      </c>
    </row>
    <row r="1023" spans="1:8" x14ac:dyDescent="0.25">
      <c r="A1023" s="25" t="str">
        <f>IF($C1023="","",Registro_Compras!$B$117)</f>
        <v/>
      </c>
      <c r="B1023" t="str">
        <f>IF($C1023="","","C"&amp;TEXT(INT((ROW()-5)/9)+1,"000")&amp;"-1")</f>
        <v/>
      </c>
      <c r="C1023" t="str">
        <f>IF(OR(Registro_Compras!$C$117="",Registro_Compras!$O$117=""),"",IF(Registro_Compras!$F$117="RHE",IF(Registro_Compras!$V$117=0,"","4017"),IF(Registro_Compras!$F$117="NOTA DE CREDITO",IF(Registro_Compras!$M$117="","63",Registro_Compras!$M$117),IF(Registro_Compras!$K$117=0,"","40111"))))</f>
        <v/>
      </c>
      <c r="D1023" t="str">
        <f>IF(OR(Registro_Compras!$C$117="",Registro_Compras!$O$117=""),"",IF(Registro_Compras!$F$117="RHE","Retencion Renta 4ta Categoria por Pagar",IF(Registro_Compras!$F$117="NOTA DE CREDITO","Gastos de Servicios Prestados por Terceros","IGV - Cuenta Propia (Credito Fiscal)")))</f>
        <v/>
      </c>
      <c r="E1023" s="20" t="str">
        <f>IF($C1023="","",IF(Registro_Compras!$F$117="FACTURA",ROUND(Registro_Compras!$K$117*Registro_Compras!$N$117,2),""))</f>
        <v/>
      </c>
      <c r="F1023" s="20" t="str">
        <f>IF($C1023="","",IF(Registro_Compras!$F$117="RHE",ROUND(Registro_Compras!$V$117*Registro_Compras!$N$117,2),IF(Registro_Compras!$F$117="NOTA DE CREDITO",ROUND(ABS(Registro_Compras!$J$117*Registro_Compras!$N$117),2),"")))</f>
        <v/>
      </c>
      <c r="G1023" t="str">
        <f>IF($C1023="","",IF(Registro_Compras!$F$117="NOTA DE CREDITO","Por la nota de credito "&amp;Registro_Compras!$C$117&amp;" de "&amp;Registro_Compras!$E$117&amp;" [PATRON POR CONFIRMAR CON CONTADOR]",IF(Registro_Compras!$F$117="RHE","Por el registro del recibo por honorarios "&amp;Registro_Compras!$C$117&amp;" de "&amp;Registro_Compras!$E$117&amp;" [PATRON POR CONFIRMAR CON CONTADOR]","Por el registro de la factura "&amp;Registro_Compras!$C$117&amp;" de "&amp;Registro_Compras!$E$117)))</f>
        <v/>
      </c>
      <c r="H1023" t="str">
        <f>IF($C1023="","",Registro_Compras!$C$117)</f>
        <v/>
      </c>
    </row>
    <row r="1024" spans="1:8" x14ac:dyDescent="0.25">
      <c r="A1024" s="25" t="str">
        <f>IF($C1024="","",Registro_Compras!$B$117)</f>
        <v/>
      </c>
      <c r="B1024" t="str">
        <f>IF($C1024="","","C"&amp;TEXT(INT((ROW()-5)/9)+1,"000")&amp;"-1")</f>
        <v/>
      </c>
      <c r="C1024" t="str">
        <f>IF(OR(Registro_Compras!$C$117="",Registro_Compras!$O$117=""),"",IF(Registro_Compras!$F$117="NOTA DE CREDITO",IF(Registro_Compras!$K$117=0,"","40111"),"4212"))</f>
        <v/>
      </c>
      <c r="D1024" t="str">
        <f>IF(OR(Registro_Compras!$C$117="",Registro_Compras!$O$117=""),"",IF(Registro_Compras!$F$117="NOTA DE CREDITO","IGV - Cuenta Propia (Credito Fiscal)","Cuentas por Pagar Comerciales - Terceros (Emitidas)"))</f>
        <v/>
      </c>
      <c r="E1024" s="20" t="str">
        <f>""</f>
        <v/>
      </c>
      <c r="F1024" s="20" t="str">
        <f>IF($C1024="","",IF(Registro_Compras!$F$117="NOTA DE CREDITO",ROUND(ABS(Registro_Compras!$K$117*Registro_Compras!$N$117),2),IF(Registro_Compras!$F$117="RHE",(ROUND(Registro_Compras!$L$117*Registro_Compras!$N$117,2)-ROUND(Registro_Compras!$V$117*Registro_Compras!$N$117,2)),Registro_Compras!$O$117)))</f>
        <v/>
      </c>
      <c r="G1024" t="str">
        <f>IF($C1024="","",IF(Registro_Compras!$F$117="NOTA DE CREDITO","Por la nota de credito "&amp;Registro_Compras!$C$117&amp;" de "&amp;Registro_Compras!$E$117&amp;" [PATRON POR CONFIRMAR CON CONTADOR]",IF(Registro_Compras!$F$117="RHE","Por el registro del recibo por honorarios "&amp;Registro_Compras!$C$117&amp;" de "&amp;Registro_Compras!$E$117&amp;" [PATRON POR CONFIRMAR CON CONTADOR]","Por el registro de la factura "&amp;Registro_Compras!$C$117&amp;" de "&amp;Registro_Compras!$E$117)))</f>
        <v/>
      </c>
      <c r="H1024" t="str">
        <f>IF($C1024="","",Registro_Compras!$C$117)</f>
        <v/>
      </c>
    </row>
    <row r="1025" spans="1:8" x14ac:dyDescent="0.25">
      <c r="A1025" s="25" t="str">
        <f>IF($C1025="","",Registro_Compras!$B$117)</f>
        <v/>
      </c>
      <c r="B1025" t="str">
        <f>IF($C1025="","","C"&amp;TEXT(INT((ROW()-5)/9)+1,"000")&amp;"-2")</f>
        <v/>
      </c>
      <c r="C1025" t="str">
        <f>IF(OR(Registro_Compras!$C$117="",Registro_Compras!$O$117=""),"",IF(Registro_Compras!$AB$117="ADMINISTRATIVO","94","95"))</f>
        <v/>
      </c>
      <c r="D1025" t="str">
        <f>IF(OR(Registro_Compras!$C$117="",Registro_Compras!$O$117=""),"",IF(Registro_Compras!$AB$117="ADMINISTRATIVO","Gastos Administrativos","Gastos de Venta y Operacion"))</f>
        <v/>
      </c>
      <c r="E1025" s="20" t="str">
        <f>IF($C1025="","",IF(Registro_Compras!$F$117="NOTA DE CREDITO","",IF(Registro_Compras!$F$117="RHE",ROUND(Registro_Compras!$L$117*Registro_Compras!$N$117,2),ROUND(Registro_Compras!$J$117*Registro_Compras!$N$117,2))))</f>
        <v/>
      </c>
      <c r="F1025" s="20" t="str">
        <f>IF($C1025="","",IF(Registro_Compras!$F$117="NOTA DE CREDITO",ROUND(ABS(Registro_Compras!$J$117*Registro_Compras!$N$117),2),""))</f>
        <v/>
      </c>
      <c r="G1025" t="str">
        <f>IF($C1025="","","Por el destino del gasto")</f>
        <v/>
      </c>
      <c r="H1025" t="str">
        <f>IF($C1025="","",Registro_Compras!$C$117)</f>
        <v/>
      </c>
    </row>
    <row r="1026" spans="1:8" x14ac:dyDescent="0.25">
      <c r="A1026" s="25" t="str">
        <f>IF($C1026="","",Registro_Compras!$B$117)</f>
        <v/>
      </c>
      <c r="B1026" t="str">
        <f>IF($C1026="","","C"&amp;TEXT(INT((ROW()-5)/9)+1,"000")&amp;"-2")</f>
        <v/>
      </c>
      <c r="C1026" t="str">
        <f>IF(OR(Registro_Compras!$C$117="",Registro_Compras!$O$117=""),"","79/791")</f>
        <v/>
      </c>
      <c r="D1026" t="str">
        <f>IF(OR(Registro_Compras!$C$117="",Registro_Compras!$O$117=""),"","Cargas Imputables a Cuentas de Costos y Gastos")</f>
        <v/>
      </c>
      <c r="E1026" s="20" t="str">
        <f>IF($C1026="","",IF(Registro_Compras!$F$117="NOTA DE CREDITO",ROUND(ABS(Registro_Compras!$J$117*Registro_Compras!$N$117),2),""))</f>
        <v/>
      </c>
      <c r="F1026" s="20" t="str">
        <f>IF($C1026="","",IF(Registro_Compras!$F$117="NOTA DE CREDITO","",IF(Registro_Compras!$F$117="RHE",ROUND(Registro_Compras!$L$117*Registro_Compras!$N$117,2),ROUND(Registro_Compras!$J$117*Registro_Compras!$N$117,2))))</f>
        <v/>
      </c>
      <c r="G1026" t="str">
        <f>IF($C1026="","","Por el destino del gasto")</f>
        <v/>
      </c>
      <c r="H1026" t="str">
        <f>IF($C1026="","",Registro_Compras!$C$117)</f>
        <v/>
      </c>
    </row>
    <row r="1027" spans="1:8" x14ac:dyDescent="0.25">
      <c r="A1027" s="25" t="str">
        <f>IF($C1027="","",Registro_Compras!$X$117)</f>
        <v/>
      </c>
      <c r="B1027" t="str">
        <f>IF($C1027="","","C"&amp;TEXT(INT((ROW()-5)/9)+1,"000")&amp;"-3")</f>
        <v/>
      </c>
      <c r="C1027" t="str">
        <f>IF(OR(Registro_Compras!$C$117="",Registro_Compras!$O$117="",Registro_Compras!$R$117&lt;&gt;"SI",Registro_Compras!$X$117=""),"","4212")</f>
        <v/>
      </c>
      <c r="D1027" t="str">
        <f>IF(OR(Registro_Compras!$C$117="",Registro_Compras!$O$117=""),"","Cuentas por Pagar Comerciales - Terceros")</f>
        <v/>
      </c>
      <c r="E1027" s="20" t="str">
        <f>IF($C1027="","",Registro_Compras!$S$117)</f>
        <v/>
      </c>
      <c r="F1027" s="20" t="str">
        <f>""</f>
        <v/>
      </c>
      <c r="G1027" t="str">
        <f>IF($C1027="","","Por el deposito de la detraccion en el Banco de la Nacion")</f>
        <v/>
      </c>
      <c r="H1027" t="str">
        <f>IF($C1027="","",Registro_Compras!$C$117)</f>
        <v/>
      </c>
    </row>
    <row r="1028" spans="1:8" x14ac:dyDescent="0.25">
      <c r="A1028" s="25" t="str">
        <f>IF($C1028="","",Registro_Compras!$X$117)</f>
        <v/>
      </c>
      <c r="B1028" t="str">
        <f>IF($C1028="","","C"&amp;TEXT(INT((ROW()-5)/9)+1,"000")&amp;"-3")</f>
        <v/>
      </c>
      <c r="C1028" t="str">
        <f>IF(OR(Registro_Compras!$C$117="",Registro_Compras!$O$117="",Registro_Compras!$R$117&lt;&gt;"SI",Registro_Compras!$X$117=""),"","1041")</f>
        <v/>
      </c>
      <c r="D1028" t="str">
        <f>IF(OR(Registro_Compras!$C$117="",Registro_Compras!$O$117=""),"","Efectivo y Equivalentes - Cta. Cte. Operativa")</f>
        <v/>
      </c>
      <c r="E1028" s="20" t="str">
        <f>""</f>
        <v/>
      </c>
      <c r="F1028" s="20" t="str">
        <f>IF($C1028="","",Registro_Compras!$S$117)</f>
        <v/>
      </c>
      <c r="G1028" t="str">
        <f>IF($C1028="","","Por el deposito de la detraccion en el Banco de la Nacion")</f>
        <v/>
      </c>
      <c r="H1028" t="str">
        <f>IF($C1028="","",Registro_Compras!$C$117)</f>
        <v/>
      </c>
    </row>
    <row r="1029" spans="1:8" x14ac:dyDescent="0.25">
      <c r="A1029" s="25" t="str">
        <f>IF($C1029="","",Registro_Compras!$Y$117)</f>
        <v/>
      </c>
      <c r="B1029" t="str">
        <f>IF($C1029="","","C"&amp;TEXT(INT((ROW()-5)/9)+1,"000")&amp;"-4")</f>
        <v/>
      </c>
      <c r="C1029" t="str">
        <f>IF(OR(Registro_Compras!$C$117="",Registro_Compras!$O$117="",Registro_Compras!$Y$117="",Registro_Compras!$F$117="NOTA DE CREDITO"),"","4212")</f>
        <v/>
      </c>
      <c r="D1029" t="str">
        <f>IF(OR(Registro_Compras!$C$117="",Registro_Compras!$O$117=""),"","Cuentas por Pagar Comerciales - Terceros")</f>
        <v/>
      </c>
      <c r="E1029" s="20" t="str">
        <f>IF($C1029="","",IF(Registro_Compras!$F$117="RHE",(ROUND(Registro_Compras!$L$117*Registro_Compras!$N$117,2)-ROUND(Registro_Compras!$V$117*Registro_Compras!$N$117,2)),ROUND(Registro_Compras!$O$117-Registro_Compras!$S$117,2)))</f>
        <v/>
      </c>
      <c r="F1029" s="20" t="str">
        <f>""</f>
        <v/>
      </c>
      <c r="G1029" t="str">
        <f>IF($C1029="","","Por la cancelacion del saldo al proveedor")</f>
        <v/>
      </c>
      <c r="H1029" t="str">
        <f>IF($C1029="","",Registro_Compras!$C$117)</f>
        <v/>
      </c>
    </row>
    <row r="1030" spans="1:8" x14ac:dyDescent="0.25">
      <c r="A1030" s="25" t="str">
        <f>IF($C1030="","",Registro_Compras!$Y$117)</f>
        <v/>
      </c>
      <c r="B1030" t="str">
        <f>IF($C1030="","","C"&amp;TEXT(INT((ROW()-5)/9)+1,"000")&amp;"-4")</f>
        <v/>
      </c>
      <c r="C1030" t="str">
        <f>IF(OR(Registro_Compras!$C$117="",Registro_Compras!$O$117="",Registro_Compras!$Y$117="",Registro_Compras!$F$117="NOTA DE CREDITO"),"","1041")</f>
        <v/>
      </c>
      <c r="D1030" t="str">
        <f>IF(OR(Registro_Compras!$C$117="",Registro_Compras!$O$117=""),"","Efectivo y Equivalentes - Cta. Cte. Operativa")</f>
        <v/>
      </c>
      <c r="E1030" s="20" t="str">
        <f>""</f>
        <v/>
      </c>
      <c r="F1030" s="20" t="str">
        <f>IF($C1030="","",IF(Registro_Compras!$F$117="RHE",(ROUND(Registro_Compras!$L$117*Registro_Compras!$N$117,2)-ROUND(Registro_Compras!$V$117*Registro_Compras!$N$117,2)),ROUND(Registro_Compras!$O$117-Registro_Compras!$S$117,2)))</f>
        <v/>
      </c>
      <c r="G1030" t="str">
        <f>IF($C1030="","","Por la cancelacion del saldo al proveedor")</f>
        <v/>
      </c>
      <c r="H1030" t="str">
        <f>IF($C1030="","",Registro_Compras!$C$117)</f>
        <v/>
      </c>
    </row>
    <row r="1031" spans="1:8" x14ac:dyDescent="0.25">
      <c r="A1031" s="25" t="str">
        <f>IF($C1031="","",Registro_Compras!$B$118)</f>
        <v/>
      </c>
      <c r="B1031" t="str">
        <f>IF($C1031="","","C"&amp;TEXT(INT((ROW()-5)/9)+1,"000")&amp;"-1")</f>
        <v/>
      </c>
      <c r="C1031" t="str">
        <f>IF(OR(Registro_Compras!$C$118="",Registro_Compras!$O$118=""),"",IF(Registro_Compras!$F$118="NOTA DE CREDITO","4212",IF(Registro_Compras!$M$118="","63",Registro_Compras!$M$118)))</f>
        <v/>
      </c>
      <c r="D1031" t="str">
        <f>IF(OR(Registro_Compras!$C$118="",Registro_Compras!$O$118=""),"",IF(Registro_Compras!$F$118="NOTA DE CREDITO","Cuentas por Pagar Comerciales - Terceros (Emitidas)",IF(Registro_Compras!$F$118="RHE","Honorarios Profesionales - Servicios de Terceros","Gastos de Servicios Prestados por Terceros")))</f>
        <v/>
      </c>
      <c r="E1031" s="20" t="str">
        <f>IF($C1031="","",IF(Registro_Compras!$F$118="NOTA DE CREDITO",ABS(Registro_Compras!$O$118),IF(Registro_Compras!$F$118="RHE",ROUND(Registro_Compras!$L$118*Registro_Compras!$N$118,2),ROUND(Registro_Compras!$J$118*Registro_Compras!$N$118,2))))</f>
        <v/>
      </c>
      <c r="F1031" s="20" t="str">
        <f>""</f>
        <v/>
      </c>
      <c r="G1031" t="str">
        <f>IF($C1031="","",IF(Registro_Compras!$F$118="NOTA DE CREDITO","Por la nota de credito "&amp;Registro_Compras!$C$118&amp;" de "&amp;Registro_Compras!$E$118&amp;" [PATRON POR CONFIRMAR CON CONTADOR]",IF(Registro_Compras!$F$118="RHE","Por el registro del recibo por honorarios "&amp;Registro_Compras!$C$118&amp;" de "&amp;Registro_Compras!$E$118&amp;" [PATRON POR CONFIRMAR CON CONTADOR]","Por el registro de la factura "&amp;Registro_Compras!$C$118&amp;" de "&amp;Registro_Compras!$E$118)))</f>
        <v/>
      </c>
      <c r="H1031" t="str">
        <f>IF($C1031="","",Registro_Compras!$C$118)</f>
        <v/>
      </c>
    </row>
    <row r="1032" spans="1:8" x14ac:dyDescent="0.25">
      <c r="A1032" s="25" t="str">
        <f>IF($C1032="","",Registro_Compras!$B$118)</f>
        <v/>
      </c>
      <c r="B1032" t="str">
        <f>IF($C1032="","","C"&amp;TEXT(INT((ROW()-5)/9)+1,"000")&amp;"-1")</f>
        <v/>
      </c>
      <c r="C1032" t="str">
        <f>IF(OR(Registro_Compras!$C$118="",Registro_Compras!$O$118=""),"",IF(Registro_Compras!$F$118="RHE",IF(Registro_Compras!$V$118=0,"","4017"),IF(Registro_Compras!$F$118="NOTA DE CREDITO",IF(Registro_Compras!$M$118="","63",Registro_Compras!$M$118),IF(Registro_Compras!$K$118=0,"","40111"))))</f>
        <v/>
      </c>
      <c r="D1032" t="str">
        <f>IF(OR(Registro_Compras!$C$118="",Registro_Compras!$O$118=""),"",IF(Registro_Compras!$F$118="RHE","Retencion Renta 4ta Categoria por Pagar",IF(Registro_Compras!$F$118="NOTA DE CREDITO","Gastos de Servicios Prestados por Terceros","IGV - Cuenta Propia (Credito Fiscal)")))</f>
        <v/>
      </c>
      <c r="E1032" s="20" t="str">
        <f>IF($C1032="","",IF(Registro_Compras!$F$118="FACTURA",ROUND(Registro_Compras!$K$118*Registro_Compras!$N$118,2),""))</f>
        <v/>
      </c>
      <c r="F1032" s="20" t="str">
        <f>IF($C1032="","",IF(Registro_Compras!$F$118="RHE",ROUND(Registro_Compras!$V$118*Registro_Compras!$N$118,2),IF(Registro_Compras!$F$118="NOTA DE CREDITO",ROUND(ABS(Registro_Compras!$J$118*Registro_Compras!$N$118),2),"")))</f>
        <v/>
      </c>
      <c r="G1032" t="str">
        <f>IF($C1032="","",IF(Registro_Compras!$F$118="NOTA DE CREDITO","Por la nota de credito "&amp;Registro_Compras!$C$118&amp;" de "&amp;Registro_Compras!$E$118&amp;" [PATRON POR CONFIRMAR CON CONTADOR]",IF(Registro_Compras!$F$118="RHE","Por el registro del recibo por honorarios "&amp;Registro_Compras!$C$118&amp;" de "&amp;Registro_Compras!$E$118&amp;" [PATRON POR CONFIRMAR CON CONTADOR]","Por el registro de la factura "&amp;Registro_Compras!$C$118&amp;" de "&amp;Registro_Compras!$E$118)))</f>
        <v/>
      </c>
      <c r="H1032" t="str">
        <f>IF($C1032="","",Registro_Compras!$C$118)</f>
        <v/>
      </c>
    </row>
    <row r="1033" spans="1:8" x14ac:dyDescent="0.25">
      <c r="A1033" s="25" t="str">
        <f>IF($C1033="","",Registro_Compras!$B$118)</f>
        <v/>
      </c>
      <c r="B1033" t="str">
        <f>IF($C1033="","","C"&amp;TEXT(INT((ROW()-5)/9)+1,"000")&amp;"-1")</f>
        <v/>
      </c>
      <c r="C1033" t="str">
        <f>IF(OR(Registro_Compras!$C$118="",Registro_Compras!$O$118=""),"",IF(Registro_Compras!$F$118="NOTA DE CREDITO",IF(Registro_Compras!$K$118=0,"","40111"),"4212"))</f>
        <v/>
      </c>
      <c r="D1033" t="str">
        <f>IF(OR(Registro_Compras!$C$118="",Registro_Compras!$O$118=""),"",IF(Registro_Compras!$F$118="NOTA DE CREDITO","IGV - Cuenta Propia (Credito Fiscal)","Cuentas por Pagar Comerciales - Terceros (Emitidas)"))</f>
        <v/>
      </c>
      <c r="E1033" s="20" t="str">
        <f>""</f>
        <v/>
      </c>
      <c r="F1033" s="20" t="str">
        <f>IF($C1033="","",IF(Registro_Compras!$F$118="NOTA DE CREDITO",ROUND(ABS(Registro_Compras!$K$118*Registro_Compras!$N$118),2),IF(Registro_Compras!$F$118="RHE",(ROUND(Registro_Compras!$L$118*Registro_Compras!$N$118,2)-ROUND(Registro_Compras!$V$118*Registro_Compras!$N$118,2)),Registro_Compras!$O$118)))</f>
        <v/>
      </c>
      <c r="G1033" t="str">
        <f>IF($C1033="","",IF(Registro_Compras!$F$118="NOTA DE CREDITO","Por la nota de credito "&amp;Registro_Compras!$C$118&amp;" de "&amp;Registro_Compras!$E$118&amp;" [PATRON POR CONFIRMAR CON CONTADOR]",IF(Registro_Compras!$F$118="RHE","Por el registro del recibo por honorarios "&amp;Registro_Compras!$C$118&amp;" de "&amp;Registro_Compras!$E$118&amp;" [PATRON POR CONFIRMAR CON CONTADOR]","Por el registro de la factura "&amp;Registro_Compras!$C$118&amp;" de "&amp;Registro_Compras!$E$118)))</f>
        <v/>
      </c>
      <c r="H1033" t="str">
        <f>IF($C1033="","",Registro_Compras!$C$118)</f>
        <v/>
      </c>
    </row>
    <row r="1034" spans="1:8" x14ac:dyDescent="0.25">
      <c r="A1034" s="25" t="str">
        <f>IF($C1034="","",Registro_Compras!$B$118)</f>
        <v/>
      </c>
      <c r="B1034" t="str">
        <f>IF($C1034="","","C"&amp;TEXT(INT((ROW()-5)/9)+1,"000")&amp;"-2")</f>
        <v/>
      </c>
      <c r="C1034" t="str">
        <f>IF(OR(Registro_Compras!$C$118="",Registro_Compras!$O$118=""),"",IF(Registro_Compras!$AB$118="ADMINISTRATIVO","94","95"))</f>
        <v/>
      </c>
      <c r="D1034" t="str">
        <f>IF(OR(Registro_Compras!$C$118="",Registro_Compras!$O$118=""),"",IF(Registro_Compras!$AB$118="ADMINISTRATIVO","Gastos Administrativos","Gastos de Venta y Operacion"))</f>
        <v/>
      </c>
      <c r="E1034" s="20" t="str">
        <f>IF($C1034="","",IF(Registro_Compras!$F$118="NOTA DE CREDITO","",IF(Registro_Compras!$F$118="RHE",ROUND(Registro_Compras!$L$118*Registro_Compras!$N$118,2),ROUND(Registro_Compras!$J$118*Registro_Compras!$N$118,2))))</f>
        <v/>
      </c>
      <c r="F1034" s="20" t="str">
        <f>IF($C1034="","",IF(Registro_Compras!$F$118="NOTA DE CREDITO",ROUND(ABS(Registro_Compras!$J$118*Registro_Compras!$N$118),2),""))</f>
        <v/>
      </c>
      <c r="G1034" t="str">
        <f>IF($C1034="","","Por el destino del gasto")</f>
        <v/>
      </c>
      <c r="H1034" t="str">
        <f>IF($C1034="","",Registro_Compras!$C$118)</f>
        <v/>
      </c>
    </row>
    <row r="1035" spans="1:8" x14ac:dyDescent="0.25">
      <c r="A1035" s="25" t="str">
        <f>IF($C1035="","",Registro_Compras!$B$118)</f>
        <v/>
      </c>
      <c r="B1035" t="str">
        <f>IF($C1035="","","C"&amp;TEXT(INT((ROW()-5)/9)+1,"000")&amp;"-2")</f>
        <v/>
      </c>
      <c r="C1035" t="str">
        <f>IF(OR(Registro_Compras!$C$118="",Registro_Compras!$O$118=""),"","79/791")</f>
        <v/>
      </c>
      <c r="D1035" t="str">
        <f>IF(OR(Registro_Compras!$C$118="",Registro_Compras!$O$118=""),"","Cargas Imputables a Cuentas de Costos y Gastos")</f>
        <v/>
      </c>
      <c r="E1035" s="20" t="str">
        <f>IF($C1035="","",IF(Registro_Compras!$F$118="NOTA DE CREDITO",ROUND(ABS(Registro_Compras!$J$118*Registro_Compras!$N$118),2),""))</f>
        <v/>
      </c>
      <c r="F1035" s="20" t="str">
        <f>IF($C1035="","",IF(Registro_Compras!$F$118="NOTA DE CREDITO","",IF(Registro_Compras!$F$118="RHE",ROUND(Registro_Compras!$L$118*Registro_Compras!$N$118,2),ROUND(Registro_Compras!$J$118*Registro_Compras!$N$118,2))))</f>
        <v/>
      </c>
      <c r="G1035" t="str">
        <f>IF($C1035="","","Por el destino del gasto")</f>
        <v/>
      </c>
      <c r="H1035" t="str">
        <f>IF($C1035="","",Registro_Compras!$C$118)</f>
        <v/>
      </c>
    </row>
    <row r="1036" spans="1:8" x14ac:dyDescent="0.25">
      <c r="A1036" s="25" t="str">
        <f>IF($C1036="","",Registro_Compras!$X$118)</f>
        <v/>
      </c>
      <c r="B1036" t="str">
        <f>IF($C1036="","","C"&amp;TEXT(INT((ROW()-5)/9)+1,"000")&amp;"-3")</f>
        <v/>
      </c>
      <c r="C1036" t="str">
        <f>IF(OR(Registro_Compras!$C$118="",Registro_Compras!$O$118="",Registro_Compras!$R$118&lt;&gt;"SI",Registro_Compras!$X$118=""),"","4212")</f>
        <v/>
      </c>
      <c r="D1036" t="str">
        <f>IF(OR(Registro_Compras!$C$118="",Registro_Compras!$O$118=""),"","Cuentas por Pagar Comerciales - Terceros")</f>
        <v/>
      </c>
      <c r="E1036" s="20" t="str">
        <f>IF($C1036="","",Registro_Compras!$S$118)</f>
        <v/>
      </c>
      <c r="F1036" s="20" t="str">
        <f>""</f>
        <v/>
      </c>
      <c r="G1036" t="str">
        <f>IF($C1036="","","Por el deposito de la detraccion en el Banco de la Nacion")</f>
        <v/>
      </c>
      <c r="H1036" t="str">
        <f>IF($C1036="","",Registro_Compras!$C$118)</f>
        <v/>
      </c>
    </row>
    <row r="1037" spans="1:8" x14ac:dyDescent="0.25">
      <c r="A1037" s="25" t="str">
        <f>IF($C1037="","",Registro_Compras!$X$118)</f>
        <v/>
      </c>
      <c r="B1037" t="str">
        <f>IF($C1037="","","C"&amp;TEXT(INT((ROW()-5)/9)+1,"000")&amp;"-3")</f>
        <v/>
      </c>
      <c r="C1037" t="str">
        <f>IF(OR(Registro_Compras!$C$118="",Registro_Compras!$O$118="",Registro_Compras!$R$118&lt;&gt;"SI",Registro_Compras!$X$118=""),"","1041")</f>
        <v/>
      </c>
      <c r="D1037" t="str">
        <f>IF(OR(Registro_Compras!$C$118="",Registro_Compras!$O$118=""),"","Efectivo y Equivalentes - Cta. Cte. Operativa")</f>
        <v/>
      </c>
      <c r="E1037" s="20" t="str">
        <f>""</f>
        <v/>
      </c>
      <c r="F1037" s="20" t="str">
        <f>IF($C1037="","",Registro_Compras!$S$118)</f>
        <v/>
      </c>
      <c r="G1037" t="str">
        <f>IF($C1037="","","Por el deposito de la detraccion en el Banco de la Nacion")</f>
        <v/>
      </c>
      <c r="H1037" t="str">
        <f>IF($C1037="","",Registro_Compras!$C$118)</f>
        <v/>
      </c>
    </row>
    <row r="1038" spans="1:8" x14ac:dyDescent="0.25">
      <c r="A1038" s="25" t="str">
        <f>IF($C1038="","",Registro_Compras!$Y$118)</f>
        <v/>
      </c>
      <c r="B1038" t="str">
        <f>IF($C1038="","","C"&amp;TEXT(INT((ROW()-5)/9)+1,"000")&amp;"-4")</f>
        <v/>
      </c>
      <c r="C1038" t="str">
        <f>IF(OR(Registro_Compras!$C$118="",Registro_Compras!$O$118="",Registro_Compras!$Y$118="",Registro_Compras!$F$118="NOTA DE CREDITO"),"","4212")</f>
        <v/>
      </c>
      <c r="D1038" t="str">
        <f>IF(OR(Registro_Compras!$C$118="",Registro_Compras!$O$118=""),"","Cuentas por Pagar Comerciales - Terceros")</f>
        <v/>
      </c>
      <c r="E1038" s="20" t="str">
        <f>IF($C1038="","",IF(Registro_Compras!$F$118="RHE",(ROUND(Registro_Compras!$L$118*Registro_Compras!$N$118,2)-ROUND(Registro_Compras!$V$118*Registro_Compras!$N$118,2)),ROUND(Registro_Compras!$O$118-Registro_Compras!$S$118,2)))</f>
        <v/>
      </c>
      <c r="F1038" s="20" t="str">
        <f>""</f>
        <v/>
      </c>
      <c r="G1038" t="str">
        <f>IF($C1038="","","Por la cancelacion del saldo al proveedor")</f>
        <v/>
      </c>
      <c r="H1038" t="str">
        <f>IF($C1038="","",Registro_Compras!$C$118)</f>
        <v/>
      </c>
    </row>
    <row r="1039" spans="1:8" x14ac:dyDescent="0.25">
      <c r="A1039" s="25" t="str">
        <f>IF($C1039="","",Registro_Compras!$Y$118)</f>
        <v/>
      </c>
      <c r="B1039" t="str">
        <f>IF($C1039="","","C"&amp;TEXT(INT((ROW()-5)/9)+1,"000")&amp;"-4")</f>
        <v/>
      </c>
      <c r="C1039" t="str">
        <f>IF(OR(Registro_Compras!$C$118="",Registro_Compras!$O$118="",Registro_Compras!$Y$118="",Registro_Compras!$F$118="NOTA DE CREDITO"),"","1041")</f>
        <v/>
      </c>
      <c r="D1039" t="str">
        <f>IF(OR(Registro_Compras!$C$118="",Registro_Compras!$O$118=""),"","Efectivo y Equivalentes - Cta. Cte. Operativa")</f>
        <v/>
      </c>
      <c r="E1039" s="20" t="str">
        <f>""</f>
        <v/>
      </c>
      <c r="F1039" s="20" t="str">
        <f>IF($C1039="","",IF(Registro_Compras!$F$118="RHE",(ROUND(Registro_Compras!$L$118*Registro_Compras!$N$118,2)-ROUND(Registro_Compras!$V$118*Registro_Compras!$N$118,2)),ROUND(Registro_Compras!$O$118-Registro_Compras!$S$118,2)))</f>
        <v/>
      </c>
      <c r="G1039" t="str">
        <f>IF($C1039="","","Por la cancelacion del saldo al proveedor")</f>
        <v/>
      </c>
      <c r="H1039" t="str">
        <f>IF($C1039="","",Registro_Compras!$C$118)</f>
        <v/>
      </c>
    </row>
    <row r="1040" spans="1:8" x14ac:dyDescent="0.25">
      <c r="A1040" s="25" t="str">
        <f>IF($C1040="","",Registro_Compras!$B$119)</f>
        <v/>
      </c>
      <c r="B1040" t="str">
        <f>IF($C1040="","","C"&amp;TEXT(INT((ROW()-5)/9)+1,"000")&amp;"-1")</f>
        <v/>
      </c>
      <c r="C1040" t="str">
        <f>IF(OR(Registro_Compras!$C$119="",Registro_Compras!$O$119=""),"",IF(Registro_Compras!$F$119="NOTA DE CREDITO","4212",IF(Registro_Compras!$M$119="","63",Registro_Compras!$M$119)))</f>
        <v/>
      </c>
      <c r="D1040" t="str">
        <f>IF(OR(Registro_Compras!$C$119="",Registro_Compras!$O$119=""),"",IF(Registro_Compras!$F$119="NOTA DE CREDITO","Cuentas por Pagar Comerciales - Terceros (Emitidas)",IF(Registro_Compras!$F$119="RHE","Honorarios Profesionales - Servicios de Terceros","Gastos de Servicios Prestados por Terceros")))</f>
        <v/>
      </c>
      <c r="E1040" s="20" t="str">
        <f>IF($C1040="","",IF(Registro_Compras!$F$119="NOTA DE CREDITO",ABS(Registro_Compras!$O$119),IF(Registro_Compras!$F$119="RHE",ROUND(Registro_Compras!$L$119*Registro_Compras!$N$119,2),ROUND(Registro_Compras!$J$119*Registro_Compras!$N$119,2))))</f>
        <v/>
      </c>
      <c r="F1040" s="20" t="str">
        <f>""</f>
        <v/>
      </c>
      <c r="G1040" t="str">
        <f>IF($C1040="","",IF(Registro_Compras!$F$119="NOTA DE CREDITO","Por la nota de credito "&amp;Registro_Compras!$C$119&amp;" de "&amp;Registro_Compras!$E$119&amp;" [PATRON POR CONFIRMAR CON CONTADOR]",IF(Registro_Compras!$F$119="RHE","Por el registro del recibo por honorarios "&amp;Registro_Compras!$C$119&amp;" de "&amp;Registro_Compras!$E$119&amp;" [PATRON POR CONFIRMAR CON CONTADOR]","Por el registro de la factura "&amp;Registro_Compras!$C$119&amp;" de "&amp;Registro_Compras!$E$119)))</f>
        <v/>
      </c>
      <c r="H1040" t="str">
        <f>IF($C1040="","",Registro_Compras!$C$119)</f>
        <v/>
      </c>
    </row>
    <row r="1041" spans="1:8" x14ac:dyDescent="0.25">
      <c r="A1041" s="25" t="str">
        <f>IF($C1041="","",Registro_Compras!$B$119)</f>
        <v/>
      </c>
      <c r="B1041" t="str">
        <f>IF($C1041="","","C"&amp;TEXT(INT((ROW()-5)/9)+1,"000")&amp;"-1")</f>
        <v/>
      </c>
      <c r="C1041" t="str">
        <f>IF(OR(Registro_Compras!$C$119="",Registro_Compras!$O$119=""),"",IF(Registro_Compras!$F$119="RHE",IF(Registro_Compras!$V$119=0,"","4017"),IF(Registro_Compras!$F$119="NOTA DE CREDITO",IF(Registro_Compras!$M$119="","63",Registro_Compras!$M$119),IF(Registro_Compras!$K$119=0,"","40111"))))</f>
        <v/>
      </c>
      <c r="D1041" t="str">
        <f>IF(OR(Registro_Compras!$C$119="",Registro_Compras!$O$119=""),"",IF(Registro_Compras!$F$119="RHE","Retencion Renta 4ta Categoria por Pagar",IF(Registro_Compras!$F$119="NOTA DE CREDITO","Gastos de Servicios Prestados por Terceros","IGV - Cuenta Propia (Credito Fiscal)")))</f>
        <v/>
      </c>
      <c r="E1041" s="20" t="str">
        <f>IF($C1041="","",IF(Registro_Compras!$F$119="FACTURA",ROUND(Registro_Compras!$K$119*Registro_Compras!$N$119,2),""))</f>
        <v/>
      </c>
      <c r="F1041" s="20" t="str">
        <f>IF($C1041="","",IF(Registro_Compras!$F$119="RHE",ROUND(Registro_Compras!$V$119*Registro_Compras!$N$119,2),IF(Registro_Compras!$F$119="NOTA DE CREDITO",ROUND(ABS(Registro_Compras!$J$119*Registro_Compras!$N$119),2),"")))</f>
        <v/>
      </c>
      <c r="G1041" t="str">
        <f>IF($C1041="","",IF(Registro_Compras!$F$119="NOTA DE CREDITO","Por la nota de credito "&amp;Registro_Compras!$C$119&amp;" de "&amp;Registro_Compras!$E$119&amp;" [PATRON POR CONFIRMAR CON CONTADOR]",IF(Registro_Compras!$F$119="RHE","Por el registro del recibo por honorarios "&amp;Registro_Compras!$C$119&amp;" de "&amp;Registro_Compras!$E$119&amp;" [PATRON POR CONFIRMAR CON CONTADOR]","Por el registro de la factura "&amp;Registro_Compras!$C$119&amp;" de "&amp;Registro_Compras!$E$119)))</f>
        <v/>
      </c>
      <c r="H1041" t="str">
        <f>IF($C1041="","",Registro_Compras!$C$119)</f>
        <v/>
      </c>
    </row>
    <row r="1042" spans="1:8" x14ac:dyDescent="0.25">
      <c r="A1042" s="25" t="str">
        <f>IF($C1042="","",Registro_Compras!$B$119)</f>
        <v/>
      </c>
      <c r="B1042" t="str">
        <f>IF($C1042="","","C"&amp;TEXT(INT((ROW()-5)/9)+1,"000")&amp;"-1")</f>
        <v/>
      </c>
      <c r="C1042" t="str">
        <f>IF(OR(Registro_Compras!$C$119="",Registro_Compras!$O$119=""),"",IF(Registro_Compras!$F$119="NOTA DE CREDITO",IF(Registro_Compras!$K$119=0,"","40111"),"4212"))</f>
        <v/>
      </c>
      <c r="D1042" t="str">
        <f>IF(OR(Registro_Compras!$C$119="",Registro_Compras!$O$119=""),"",IF(Registro_Compras!$F$119="NOTA DE CREDITO","IGV - Cuenta Propia (Credito Fiscal)","Cuentas por Pagar Comerciales - Terceros (Emitidas)"))</f>
        <v/>
      </c>
      <c r="E1042" s="20" t="str">
        <f>""</f>
        <v/>
      </c>
      <c r="F1042" s="20" t="str">
        <f>IF($C1042="","",IF(Registro_Compras!$F$119="NOTA DE CREDITO",ROUND(ABS(Registro_Compras!$K$119*Registro_Compras!$N$119),2),IF(Registro_Compras!$F$119="RHE",(ROUND(Registro_Compras!$L$119*Registro_Compras!$N$119,2)-ROUND(Registro_Compras!$V$119*Registro_Compras!$N$119,2)),Registro_Compras!$O$119)))</f>
        <v/>
      </c>
      <c r="G1042" t="str">
        <f>IF($C1042="","",IF(Registro_Compras!$F$119="NOTA DE CREDITO","Por la nota de credito "&amp;Registro_Compras!$C$119&amp;" de "&amp;Registro_Compras!$E$119&amp;" [PATRON POR CONFIRMAR CON CONTADOR]",IF(Registro_Compras!$F$119="RHE","Por el registro del recibo por honorarios "&amp;Registro_Compras!$C$119&amp;" de "&amp;Registro_Compras!$E$119&amp;" [PATRON POR CONFIRMAR CON CONTADOR]","Por el registro de la factura "&amp;Registro_Compras!$C$119&amp;" de "&amp;Registro_Compras!$E$119)))</f>
        <v/>
      </c>
      <c r="H1042" t="str">
        <f>IF($C1042="","",Registro_Compras!$C$119)</f>
        <v/>
      </c>
    </row>
    <row r="1043" spans="1:8" x14ac:dyDescent="0.25">
      <c r="A1043" s="25" t="str">
        <f>IF($C1043="","",Registro_Compras!$B$119)</f>
        <v/>
      </c>
      <c r="B1043" t="str">
        <f>IF($C1043="","","C"&amp;TEXT(INT((ROW()-5)/9)+1,"000")&amp;"-2")</f>
        <v/>
      </c>
      <c r="C1043" t="str">
        <f>IF(OR(Registro_Compras!$C$119="",Registro_Compras!$O$119=""),"",IF(Registro_Compras!$AB$119="ADMINISTRATIVO","94","95"))</f>
        <v/>
      </c>
      <c r="D1043" t="str">
        <f>IF(OR(Registro_Compras!$C$119="",Registro_Compras!$O$119=""),"",IF(Registro_Compras!$AB$119="ADMINISTRATIVO","Gastos Administrativos","Gastos de Venta y Operacion"))</f>
        <v/>
      </c>
      <c r="E1043" s="20" t="str">
        <f>IF($C1043="","",IF(Registro_Compras!$F$119="NOTA DE CREDITO","",IF(Registro_Compras!$F$119="RHE",ROUND(Registro_Compras!$L$119*Registro_Compras!$N$119,2),ROUND(Registro_Compras!$J$119*Registro_Compras!$N$119,2))))</f>
        <v/>
      </c>
      <c r="F1043" s="20" t="str">
        <f>IF($C1043="","",IF(Registro_Compras!$F$119="NOTA DE CREDITO",ROUND(ABS(Registro_Compras!$J$119*Registro_Compras!$N$119),2),""))</f>
        <v/>
      </c>
      <c r="G1043" t="str">
        <f>IF($C1043="","","Por el destino del gasto")</f>
        <v/>
      </c>
      <c r="H1043" t="str">
        <f>IF($C1043="","",Registro_Compras!$C$119)</f>
        <v/>
      </c>
    </row>
    <row r="1044" spans="1:8" x14ac:dyDescent="0.25">
      <c r="A1044" s="25" t="str">
        <f>IF($C1044="","",Registro_Compras!$B$119)</f>
        <v/>
      </c>
      <c r="B1044" t="str">
        <f>IF($C1044="","","C"&amp;TEXT(INT((ROW()-5)/9)+1,"000")&amp;"-2")</f>
        <v/>
      </c>
      <c r="C1044" t="str">
        <f>IF(OR(Registro_Compras!$C$119="",Registro_Compras!$O$119=""),"","79/791")</f>
        <v/>
      </c>
      <c r="D1044" t="str">
        <f>IF(OR(Registro_Compras!$C$119="",Registro_Compras!$O$119=""),"","Cargas Imputables a Cuentas de Costos y Gastos")</f>
        <v/>
      </c>
      <c r="E1044" s="20" t="str">
        <f>IF($C1044="","",IF(Registro_Compras!$F$119="NOTA DE CREDITO",ROUND(ABS(Registro_Compras!$J$119*Registro_Compras!$N$119),2),""))</f>
        <v/>
      </c>
      <c r="F1044" s="20" t="str">
        <f>IF($C1044="","",IF(Registro_Compras!$F$119="NOTA DE CREDITO","",IF(Registro_Compras!$F$119="RHE",ROUND(Registro_Compras!$L$119*Registro_Compras!$N$119,2),ROUND(Registro_Compras!$J$119*Registro_Compras!$N$119,2))))</f>
        <v/>
      </c>
      <c r="G1044" t="str">
        <f>IF($C1044="","","Por el destino del gasto")</f>
        <v/>
      </c>
      <c r="H1044" t="str">
        <f>IF($C1044="","",Registro_Compras!$C$119)</f>
        <v/>
      </c>
    </row>
    <row r="1045" spans="1:8" x14ac:dyDescent="0.25">
      <c r="A1045" s="25" t="str">
        <f>IF($C1045="","",Registro_Compras!$X$119)</f>
        <v/>
      </c>
      <c r="B1045" t="str">
        <f>IF($C1045="","","C"&amp;TEXT(INT((ROW()-5)/9)+1,"000")&amp;"-3")</f>
        <v/>
      </c>
      <c r="C1045" t="str">
        <f>IF(OR(Registro_Compras!$C$119="",Registro_Compras!$O$119="",Registro_Compras!$R$119&lt;&gt;"SI",Registro_Compras!$X$119=""),"","4212")</f>
        <v/>
      </c>
      <c r="D1045" t="str">
        <f>IF(OR(Registro_Compras!$C$119="",Registro_Compras!$O$119=""),"","Cuentas por Pagar Comerciales - Terceros")</f>
        <v/>
      </c>
      <c r="E1045" s="20" t="str">
        <f>IF($C1045="","",Registro_Compras!$S$119)</f>
        <v/>
      </c>
      <c r="F1045" s="20" t="str">
        <f>""</f>
        <v/>
      </c>
      <c r="G1045" t="str">
        <f>IF($C1045="","","Por el deposito de la detraccion en el Banco de la Nacion")</f>
        <v/>
      </c>
      <c r="H1045" t="str">
        <f>IF($C1045="","",Registro_Compras!$C$119)</f>
        <v/>
      </c>
    </row>
    <row r="1046" spans="1:8" x14ac:dyDescent="0.25">
      <c r="A1046" s="25" t="str">
        <f>IF($C1046="","",Registro_Compras!$X$119)</f>
        <v/>
      </c>
      <c r="B1046" t="str">
        <f>IF($C1046="","","C"&amp;TEXT(INT((ROW()-5)/9)+1,"000")&amp;"-3")</f>
        <v/>
      </c>
      <c r="C1046" t="str">
        <f>IF(OR(Registro_Compras!$C$119="",Registro_Compras!$O$119="",Registro_Compras!$R$119&lt;&gt;"SI",Registro_Compras!$X$119=""),"","1041")</f>
        <v/>
      </c>
      <c r="D1046" t="str">
        <f>IF(OR(Registro_Compras!$C$119="",Registro_Compras!$O$119=""),"","Efectivo y Equivalentes - Cta. Cte. Operativa")</f>
        <v/>
      </c>
      <c r="E1046" s="20" t="str">
        <f>""</f>
        <v/>
      </c>
      <c r="F1046" s="20" t="str">
        <f>IF($C1046="","",Registro_Compras!$S$119)</f>
        <v/>
      </c>
      <c r="G1046" t="str">
        <f>IF($C1046="","","Por el deposito de la detraccion en el Banco de la Nacion")</f>
        <v/>
      </c>
      <c r="H1046" t="str">
        <f>IF($C1046="","",Registro_Compras!$C$119)</f>
        <v/>
      </c>
    </row>
    <row r="1047" spans="1:8" x14ac:dyDescent="0.25">
      <c r="A1047" s="25" t="str">
        <f>IF($C1047="","",Registro_Compras!$Y$119)</f>
        <v/>
      </c>
      <c r="B1047" t="str">
        <f>IF($C1047="","","C"&amp;TEXT(INT((ROW()-5)/9)+1,"000")&amp;"-4")</f>
        <v/>
      </c>
      <c r="C1047" t="str">
        <f>IF(OR(Registro_Compras!$C$119="",Registro_Compras!$O$119="",Registro_Compras!$Y$119="",Registro_Compras!$F$119="NOTA DE CREDITO"),"","4212")</f>
        <v/>
      </c>
      <c r="D1047" t="str">
        <f>IF(OR(Registro_Compras!$C$119="",Registro_Compras!$O$119=""),"","Cuentas por Pagar Comerciales - Terceros")</f>
        <v/>
      </c>
      <c r="E1047" s="20" t="str">
        <f>IF($C1047="","",IF(Registro_Compras!$F$119="RHE",(ROUND(Registro_Compras!$L$119*Registro_Compras!$N$119,2)-ROUND(Registro_Compras!$V$119*Registro_Compras!$N$119,2)),ROUND(Registro_Compras!$O$119-Registro_Compras!$S$119,2)))</f>
        <v/>
      </c>
      <c r="F1047" s="20" t="str">
        <f>""</f>
        <v/>
      </c>
      <c r="G1047" t="str">
        <f>IF($C1047="","","Por la cancelacion del saldo al proveedor")</f>
        <v/>
      </c>
      <c r="H1047" t="str">
        <f>IF($C1047="","",Registro_Compras!$C$119)</f>
        <v/>
      </c>
    </row>
    <row r="1048" spans="1:8" x14ac:dyDescent="0.25">
      <c r="A1048" s="25" t="str">
        <f>IF($C1048="","",Registro_Compras!$Y$119)</f>
        <v/>
      </c>
      <c r="B1048" t="str">
        <f>IF($C1048="","","C"&amp;TEXT(INT((ROW()-5)/9)+1,"000")&amp;"-4")</f>
        <v/>
      </c>
      <c r="C1048" t="str">
        <f>IF(OR(Registro_Compras!$C$119="",Registro_Compras!$O$119="",Registro_Compras!$Y$119="",Registro_Compras!$F$119="NOTA DE CREDITO"),"","1041")</f>
        <v/>
      </c>
      <c r="D1048" t="str">
        <f>IF(OR(Registro_Compras!$C$119="",Registro_Compras!$O$119=""),"","Efectivo y Equivalentes - Cta. Cte. Operativa")</f>
        <v/>
      </c>
      <c r="E1048" s="20" t="str">
        <f>""</f>
        <v/>
      </c>
      <c r="F1048" s="20" t="str">
        <f>IF($C1048="","",IF(Registro_Compras!$F$119="RHE",(ROUND(Registro_Compras!$L$119*Registro_Compras!$N$119,2)-ROUND(Registro_Compras!$V$119*Registro_Compras!$N$119,2)),ROUND(Registro_Compras!$O$119-Registro_Compras!$S$119,2)))</f>
        <v/>
      </c>
      <c r="G1048" t="str">
        <f>IF($C1048="","","Por la cancelacion del saldo al proveedor")</f>
        <v/>
      </c>
      <c r="H1048" t="str">
        <f>IF($C1048="","",Registro_Compras!$C$119)</f>
        <v/>
      </c>
    </row>
    <row r="1049" spans="1:8" x14ac:dyDescent="0.25">
      <c r="A1049" s="25" t="str">
        <f>IF($C1049="","",Registro_Compras!$B$120)</f>
        <v/>
      </c>
      <c r="B1049" t="str">
        <f>IF($C1049="","","C"&amp;TEXT(INT((ROW()-5)/9)+1,"000")&amp;"-1")</f>
        <v/>
      </c>
      <c r="C1049" t="str">
        <f>IF(OR(Registro_Compras!$C$120="",Registro_Compras!$O$120=""),"",IF(Registro_Compras!$F$120="NOTA DE CREDITO","4212",IF(Registro_Compras!$M$120="","63",Registro_Compras!$M$120)))</f>
        <v/>
      </c>
      <c r="D1049" t="str">
        <f>IF(OR(Registro_Compras!$C$120="",Registro_Compras!$O$120=""),"",IF(Registro_Compras!$F$120="NOTA DE CREDITO","Cuentas por Pagar Comerciales - Terceros (Emitidas)",IF(Registro_Compras!$F$120="RHE","Honorarios Profesionales - Servicios de Terceros","Gastos de Servicios Prestados por Terceros")))</f>
        <v/>
      </c>
      <c r="E1049" s="20" t="str">
        <f>IF($C1049="","",IF(Registro_Compras!$F$120="NOTA DE CREDITO",ABS(Registro_Compras!$O$120),IF(Registro_Compras!$F$120="RHE",ROUND(Registro_Compras!$L$120*Registro_Compras!$N$120,2),ROUND(Registro_Compras!$J$120*Registro_Compras!$N$120,2))))</f>
        <v/>
      </c>
      <c r="F1049" s="20" t="str">
        <f>""</f>
        <v/>
      </c>
      <c r="G1049" t="str">
        <f>IF($C1049="","",IF(Registro_Compras!$F$120="NOTA DE CREDITO","Por la nota de credito "&amp;Registro_Compras!$C$120&amp;" de "&amp;Registro_Compras!$E$120&amp;" [PATRON POR CONFIRMAR CON CONTADOR]",IF(Registro_Compras!$F$120="RHE","Por el registro del recibo por honorarios "&amp;Registro_Compras!$C$120&amp;" de "&amp;Registro_Compras!$E$120&amp;" [PATRON POR CONFIRMAR CON CONTADOR]","Por el registro de la factura "&amp;Registro_Compras!$C$120&amp;" de "&amp;Registro_Compras!$E$120)))</f>
        <v/>
      </c>
      <c r="H1049" t="str">
        <f>IF($C1049="","",Registro_Compras!$C$120)</f>
        <v/>
      </c>
    </row>
    <row r="1050" spans="1:8" x14ac:dyDescent="0.25">
      <c r="A1050" s="25" t="str">
        <f>IF($C1050="","",Registro_Compras!$B$120)</f>
        <v/>
      </c>
      <c r="B1050" t="str">
        <f>IF($C1050="","","C"&amp;TEXT(INT((ROW()-5)/9)+1,"000")&amp;"-1")</f>
        <v/>
      </c>
      <c r="C1050" t="str">
        <f>IF(OR(Registro_Compras!$C$120="",Registro_Compras!$O$120=""),"",IF(Registro_Compras!$F$120="RHE",IF(Registro_Compras!$V$120=0,"","4017"),IF(Registro_Compras!$F$120="NOTA DE CREDITO",IF(Registro_Compras!$M$120="","63",Registro_Compras!$M$120),IF(Registro_Compras!$K$120=0,"","40111"))))</f>
        <v/>
      </c>
      <c r="D1050" t="str">
        <f>IF(OR(Registro_Compras!$C$120="",Registro_Compras!$O$120=""),"",IF(Registro_Compras!$F$120="RHE","Retencion Renta 4ta Categoria por Pagar",IF(Registro_Compras!$F$120="NOTA DE CREDITO","Gastos de Servicios Prestados por Terceros","IGV - Cuenta Propia (Credito Fiscal)")))</f>
        <v/>
      </c>
      <c r="E1050" s="20" t="str">
        <f>IF($C1050="","",IF(Registro_Compras!$F$120="FACTURA",ROUND(Registro_Compras!$K$120*Registro_Compras!$N$120,2),""))</f>
        <v/>
      </c>
      <c r="F1050" s="20" t="str">
        <f>IF($C1050="","",IF(Registro_Compras!$F$120="RHE",ROUND(Registro_Compras!$V$120*Registro_Compras!$N$120,2),IF(Registro_Compras!$F$120="NOTA DE CREDITO",ROUND(ABS(Registro_Compras!$J$120*Registro_Compras!$N$120),2),"")))</f>
        <v/>
      </c>
      <c r="G1050" t="str">
        <f>IF($C1050="","",IF(Registro_Compras!$F$120="NOTA DE CREDITO","Por la nota de credito "&amp;Registro_Compras!$C$120&amp;" de "&amp;Registro_Compras!$E$120&amp;" [PATRON POR CONFIRMAR CON CONTADOR]",IF(Registro_Compras!$F$120="RHE","Por el registro del recibo por honorarios "&amp;Registro_Compras!$C$120&amp;" de "&amp;Registro_Compras!$E$120&amp;" [PATRON POR CONFIRMAR CON CONTADOR]","Por el registro de la factura "&amp;Registro_Compras!$C$120&amp;" de "&amp;Registro_Compras!$E$120)))</f>
        <v/>
      </c>
      <c r="H1050" t="str">
        <f>IF($C1050="","",Registro_Compras!$C$120)</f>
        <v/>
      </c>
    </row>
    <row r="1051" spans="1:8" x14ac:dyDescent="0.25">
      <c r="A1051" s="25" t="str">
        <f>IF($C1051="","",Registro_Compras!$B$120)</f>
        <v/>
      </c>
      <c r="B1051" t="str">
        <f>IF($C1051="","","C"&amp;TEXT(INT((ROW()-5)/9)+1,"000")&amp;"-1")</f>
        <v/>
      </c>
      <c r="C1051" t="str">
        <f>IF(OR(Registro_Compras!$C$120="",Registro_Compras!$O$120=""),"",IF(Registro_Compras!$F$120="NOTA DE CREDITO",IF(Registro_Compras!$K$120=0,"","40111"),"4212"))</f>
        <v/>
      </c>
      <c r="D1051" t="str">
        <f>IF(OR(Registro_Compras!$C$120="",Registro_Compras!$O$120=""),"",IF(Registro_Compras!$F$120="NOTA DE CREDITO","IGV - Cuenta Propia (Credito Fiscal)","Cuentas por Pagar Comerciales - Terceros (Emitidas)"))</f>
        <v/>
      </c>
      <c r="E1051" s="20" t="str">
        <f>""</f>
        <v/>
      </c>
      <c r="F1051" s="20" t="str">
        <f>IF($C1051="","",IF(Registro_Compras!$F$120="NOTA DE CREDITO",ROUND(ABS(Registro_Compras!$K$120*Registro_Compras!$N$120),2),IF(Registro_Compras!$F$120="RHE",(ROUND(Registro_Compras!$L$120*Registro_Compras!$N$120,2)-ROUND(Registro_Compras!$V$120*Registro_Compras!$N$120,2)),Registro_Compras!$O$120)))</f>
        <v/>
      </c>
      <c r="G1051" t="str">
        <f>IF($C1051="","",IF(Registro_Compras!$F$120="NOTA DE CREDITO","Por la nota de credito "&amp;Registro_Compras!$C$120&amp;" de "&amp;Registro_Compras!$E$120&amp;" [PATRON POR CONFIRMAR CON CONTADOR]",IF(Registro_Compras!$F$120="RHE","Por el registro del recibo por honorarios "&amp;Registro_Compras!$C$120&amp;" de "&amp;Registro_Compras!$E$120&amp;" [PATRON POR CONFIRMAR CON CONTADOR]","Por el registro de la factura "&amp;Registro_Compras!$C$120&amp;" de "&amp;Registro_Compras!$E$120)))</f>
        <v/>
      </c>
      <c r="H1051" t="str">
        <f>IF($C1051="","",Registro_Compras!$C$120)</f>
        <v/>
      </c>
    </row>
    <row r="1052" spans="1:8" x14ac:dyDescent="0.25">
      <c r="A1052" s="25" t="str">
        <f>IF($C1052="","",Registro_Compras!$B$120)</f>
        <v/>
      </c>
      <c r="B1052" t="str">
        <f>IF($C1052="","","C"&amp;TEXT(INT((ROW()-5)/9)+1,"000")&amp;"-2")</f>
        <v/>
      </c>
      <c r="C1052" t="str">
        <f>IF(OR(Registro_Compras!$C$120="",Registro_Compras!$O$120=""),"",IF(Registro_Compras!$AB$120="ADMINISTRATIVO","94","95"))</f>
        <v/>
      </c>
      <c r="D1052" t="str">
        <f>IF(OR(Registro_Compras!$C$120="",Registro_Compras!$O$120=""),"",IF(Registro_Compras!$AB$120="ADMINISTRATIVO","Gastos Administrativos","Gastos de Venta y Operacion"))</f>
        <v/>
      </c>
      <c r="E1052" s="20" t="str">
        <f>IF($C1052="","",IF(Registro_Compras!$F$120="NOTA DE CREDITO","",IF(Registro_Compras!$F$120="RHE",ROUND(Registro_Compras!$L$120*Registro_Compras!$N$120,2),ROUND(Registro_Compras!$J$120*Registro_Compras!$N$120,2))))</f>
        <v/>
      </c>
      <c r="F1052" s="20" t="str">
        <f>IF($C1052="","",IF(Registro_Compras!$F$120="NOTA DE CREDITO",ROUND(ABS(Registro_Compras!$J$120*Registro_Compras!$N$120),2),""))</f>
        <v/>
      </c>
      <c r="G1052" t="str">
        <f>IF($C1052="","","Por el destino del gasto")</f>
        <v/>
      </c>
      <c r="H1052" t="str">
        <f>IF($C1052="","",Registro_Compras!$C$120)</f>
        <v/>
      </c>
    </row>
    <row r="1053" spans="1:8" x14ac:dyDescent="0.25">
      <c r="A1053" s="25" t="str">
        <f>IF($C1053="","",Registro_Compras!$B$120)</f>
        <v/>
      </c>
      <c r="B1053" t="str">
        <f>IF($C1053="","","C"&amp;TEXT(INT((ROW()-5)/9)+1,"000")&amp;"-2")</f>
        <v/>
      </c>
      <c r="C1053" t="str">
        <f>IF(OR(Registro_Compras!$C$120="",Registro_Compras!$O$120=""),"","79/791")</f>
        <v/>
      </c>
      <c r="D1053" t="str">
        <f>IF(OR(Registro_Compras!$C$120="",Registro_Compras!$O$120=""),"","Cargas Imputables a Cuentas de Costos y Gastos")</f>
        <v/>
      </c>
      <c r="E1053" s="20" t="str">
        <f>IF($C1053="","",IF(Registro_Compras!$F$120="NOTA DE CREDITO",ROUND(ABS(Registro_Compras!$J$120*Registro_Compras!$N$120),2),""))</f>
        <v/>
      </c>
      <c r="F1053" s="20" t="str">
        <f>IF($C1053="","",IF(Registro_Compras!$F$120="NOTA DE CREDITO","",IF(Registro_Compras!$F$120="RHE",ROUND(Registro_Compras!$L$120*Registro_Compras!$N$120,2),ROUND(Registro_Compras!$J$120*Registro_Compras!$N$120,2))))</f>
        <v/>
      </c>
      <c r="G1053" t="str">
        <f>IF($C1053="","","Por el destino del gasto")</f>
        <v/>
      </c>
      <c r="H1053" t="str">
        <f>IF($C1053="","",Registro_Compras!$C$120)</f>
        <v/>
      </c>
    </row>
    <row r="1054" spans="1:8" x14ac:dyDescent="0.25">
      <c r="A1054" s="25" t="str">
        <f>IF($C1054="","",Registro_Compras!$X$120)</f>
        <v/>
      </c>
      <c r="B1054" t="str">
        <f>IF($C1054="","","C"&amp;TEXT(INT((ROW()-5)/9)+1,"000")&amp;"-3")</f>
        <v/>
      </c>
      <c r="C1054" t="str">
        <f>IF(OR(Registro_Compras!$C$120="",Registro_Compras!$O$120="",Registro_Compras!$R$120&lt;&gt;"SI",Registro_Compras!$X$120=""),"","4212")</f>
        <v/>
      </c>
      <c r="D1054" t="str">
        <f>IF(OR(Registro_Compras!$C$120="",Registro_Compras!$O$120=""),"","Cuentas por Pagar Comerciales - Terceros")</f>
        <v/>
      </c>
      <c r="E1054" s="20" t="str">
        <f>IF($C1054="","",Registro_Compras!$S$120)</f>
        <v/>
      </c>
      <c r="F1054" s="20" t="str">
        <f>""</f>
        <v/>
      </c>
      <c r="G1054" t="str">
        <f>IF($C1054="","","Por el deposito de la detraccion en el Banco de la Nacion")</f>
        <v/>
      </c>
      <c r="H1054" t="str">
        <f>IF($C1054="","",Registro_Compras!$C$120)</f>
        <v/>
      </c>
    </row>
    <row r="1055" spans="1:8" x14ac:dyDescent="0.25">
      <c r="A1055" s="25" t="str">
        <f>IF($C1055="","",Registro_Compras!$X$120)</f>
        <v/>
      </c>
      <c r="B1055" t="str">
        <f>IF($C1055="","","C"&amp;TEXT(INT((ROW()-5)/9)+1,"000")&amp;"-3")</f>
        <v/>
      </c>
      <c r="C1055" t="str">
        <f>IF(OR(Registro_Compras!$C$120="",Registro_Compras!$O$120="",Registro_Compras!$R$120&lt;&gt;"SI",Registro_Compras!$X$120=""),"","1041")</f>
        <v/>
      </c>
      <c r="D1055" t="str">
        <f>IF(OR(Registro_Compras!$C$120="",Registro_Compras!$O$120=""),"","Efectivo y Equivalentes - Cta. Cte. Operativa")</f>
        <v/>
      </c>
      <c r="E1055" s="20" t="str">
        <f>""</f>
        <v/>
      </c>
      <c r="F1055" s="20" t="str">
        <f>IF($C1055="","",Registro_Compras!$S$120)</f>
        <v/>
      </c>
      <c r="G1055" t="str">
        <f>IF($C1055="","","Por el deposito de la detraccion en el Banco de la Nacion")</f>
        <v/>
      </c>
      <c r="H1055" t="str">
        <f>IF($C1055="","",Registro_Compras!$C$120)</f>
        <v/>
      </c>
    </row>
    <row r="1056" spans="1:8" x14ac:dyDescent="0.25">
      <c r="A1056" s="25" t="str">
        <f>IF($C1056="","",Registro_Compras!$Y$120)</f>
        <v/>
      </c>
      <c r="B1056" t="str">
        <f>IF($C1056="","","C"&amp;TEXT(INT((ROW()-5)/9)+1,"000")&amp;"-4")</f>
        <v/>
      </c>
      <c r="C1056" t="str">
        <f>IF(OR(Registro_Compras!$C$120="",Registro_Compras!$O$120="",Registro_Compras!$Y$120="",Registro_Compras!$F$120="NOTA DE CREDITO"),"","4212")</f>
        <v/>
      </c>
      <c r="D1056" t="str">
        <f>IF(OR(Registro_Compras!$C$120="",Registro_Compras!$O$120=""),"","Cuentas por Pagar Comerciales - Terceros")</f>
        <v/>
      </c>
      <c r="E1056" s="20" t="str">
        <f>IF($C1056="","",IF(Registro_Compras!$F$120="RHE",(ROUND(Registro_Compras!$L$120*Registro_Compras!$N$120,2)-ROUND(Registro_Compras!$V$120*Registro_Compras!$N$120,2)),ROUND(Registro_Compras!$O$120-Registro_Compras!$S$120,2)))</f>
        <v/>
      </c>
      <c r="F1056" s="20" t="str">
        <f>""</f>
        <v/>
      </c>
      <c r="G1056" t="str">
        <f>IF($C1056="","","Por la cancelacion del saldo al proveedor")</f>
        <v/>
      </c>
      <c r="H1056" t="str">
        <f>IF($C1056="","",Registro_Compras!$C$120)</f>
        <v/>
      </c>
    </row>
    <row r="1057" spans="1:8" x14ac:dyDescent="0.25">
      <c r="A1057" s="25" t="str">
        <f>IF($C1057="","",Registro_Compras!$Y$120)</f>
        <v/>
      </c>
      <c r="B1057" t="str">
        <f>IF($C1057="","","C"&amp;TEXT(INT((ROW()-5)/9)+1,"000")&amp;"-4")</f>
        <v/>
      </c>
      <c r="C1057" t="str">
        <f>IF(OR(Registro_Compras!$C$120="",Registro_Compras!$O$120="",Registro_Compras!$Y$120="",Registro_Compras!$F$120="NOTA DE CREDITO"),"","1041")</f>
        <v/>
      </c>
      <c r="D1057" t="str">
        <f>IF(OR(Registro_Compras!$C$120="",Registro_Compras!$O$120=""),"","Efectivo y Equivalentes - Cta. Cte. Operativa")</f>
        <v/>
      </c>
      <c r="E1057" s="20" t="str">
        <f>""</f>
        <v/>
      </c>
      <c r="F1057" s="20" t="str">
        <f>IF($C1057="","",IF(Registro_Compras!$F$120="RHE",(ROUND(Registro_Compras!$L$120*Registro_Compras!$N$120,2)-ROUND(Registro_Compras!$V$120*Registro_Compras!$N$120,2)),ROUND(Registro_Compras!$O$120-Registro_Compras!$S$120,2)))</f>
        <v/>
      </c>
      <c r="G1057" t="str">
        <f>IF($C1057="","","Por la cancelacion del saldo al proveedor")</f>
        <v/>
      </c>
      <c r="H1057" t="str">
        <f>IF($C1057="","",Registro_Compras!$C$120)</f>
        <v/>
      </c>
    </row>
    <row r="1058" spans="1:8" x14ac:dyDescent="0.25">
      <c r="A1058" s="25" t="str">
        <f>IF($C1058="","",Registro_Compras!$B$121)</f>
        <v/>
      </c>
      <c r="B1058" t="str">
        <f>IF($C1058="","","C"&amp;TEXT(INT((ROW()-5)/9)+1,"000")&amp;"-1")</f>
        <v/>
      </c>
      <c r="C1058" t="str">
        <f>IF(OR(Registro_Compras!$C$121="",Registro_Compras!$O$121=""),"",IF(Registro_Compras!$F$121="NOTA DE CREDITO","4212",IF(Registro_Compras!$M$121="","63",Registro_Compras!$M$121)))</f>
        <v/>
      </c>
      <c r="D1058" t="str">
        <f>IF(OR(Registro_Compras!$C$121="",Registro_Compras!$O$121=""),"",IF(Registro_Compras!$F$121="NOTA DE CREDITO","Cuentas por Pagar Comerciales - Terceros (Emitidas)",IF(Registro_Compras!$F$121="RHE","Honorarios Profesionales - Servicios de Terceros","Gastos de Servicios Prestados por Terceros")))</f>
        <v/>
      </c>
      <c r="E1058" s="20" t="str">
        <f>IF($C1058="","",IF(Registro_Compras!$F$121="NOTA DE CREDITO",ABS(Registro_Compras!$O$121),IF(Registro_Compras!$F$121="RHE",ROUND(Registro_Compras!$L$121*Registro_Compras!$N$121,2),ROUND(Registro_Compras!$J$121*Registro_Compras!$N$121,2))))</f>
        <v/>
      </c>
      <c r="F1058" s="20" t="str">
        <f>""</f>
        <v/>
      </c>
      <c r="G1058" t="str">
        <f>IF($C1058="","",IF(Registro_Compras!$F$121="NOTA DE CREDITO","Por la nota de credito "&amp;Registro_Compras!$C$121&amp;" de "&amp;Registro_Compras!$E$121&amp;" [PATRON POR CONFIRMAR CON CONTADOR]",IF(Registro_Compras!$F$121="RHE","Por el registro del recibo por honorarios "&amp;Registro_Compras!$C$121&amp;" de "&amp;Registro_Compras!$E$121&amp;" [PATRON POR CONFIRMAR CON CONTADOR]","Por el registro de la factura "&amp;Registro_Compras!$C$121&amp;" de "&amp;Registro_Compras!$E$121)))</f>
        <v/>
      </c>
      <c r="H1058" t="str">
        <f>IF($C1058="","",Registro_Compras!$C$121)</f>
        <v/>
      </c>
    </row>
    <row r="1059" spans="1:8" x14ac:dyDescent="0.25">
      <c r="A1059" s="25" t="str">
        <f>IF($C1059="","",Registro_Compras!$B$121)</f>
        <v/>
      </c>
      <c r="B1059" t="str">
        <f>IF($C1059="","","C"&amp;TEXT(INT((ROW()-5)/9)+1,"000")&amp;"-1")</f>
        <v/>
      </c>
      <c r="C1059" t="str">
        <f>IF(OR(Registro_Compras!$C$121="",Registro_Compras!$O$121=""),"",IF(Registro_Compras!$F$121="RHE",IF(Registro_Compras!$V$121=0,"","4017"),IF(Registro_Compras!$F$121="NOTA DE CREDITO",IF(Registro_Compras!$M$121="","63",Registro_Compras!$M$121),IF(Registro_Compras!$K$121=0,"","40111"))))</f>
        <v/>
      </c>
      <c r="D1059" t="str">
        <f>IF(OR(Registro_Compras!$C$121="",Registro_Compras!$O$121=""),"",IF(Registro_Compras!$F$121="RHE","Retencion Renta 4ta Categoria por Pagar",IF(Registro_Compras!$F$121="NOTA DE CREDITO","Gastos de Servicios Prestados por Terceros","IGV - Cuenta Propia (Credito Fiscal)")))</f>
        <v/>
      </c>
      <c r="E1059" s="20" t="str">
        <f>IF($C1059="","",IF(Registro_Compras!$F$121="FACTURA",ROUND(Registro_Compras!$K$121*Registro_Compras!$N$121,2),""))</f>
        <v/>
      </c>
      <c r="F1059" s="20" t="str">
        <f>IF($C1059="","",IF(Registro_Compras!$F$121="RHE",ROUND(Registro_Compras!$V$121*Registro_Compras!$N$121,2),IF(Registro_Compras!$F$121="NOTA DE CREDITO",ROUND(ABS(Registro_Compras!$J$121*Registro_Compras!$N$121),2),"")))</f>
        <v/>
      </c>
      <c r="G1059" t="str">
        <f>IF($C1059="","",IF(Registro_Compras!$F$121="NOTA DE CREDITO","Por la nota de credito "&amp;Registro_Compras!$C$121&amp;" de "&amp;Registro_Compras!$E$121&amp;" [PATRON POR CONFIRMAR CON CONTADOR]",IF(Registro_Compras!$F$121="RHE","Por el registro del recibo por honorarios "&amp;Registro_Compras!$C$121&amp;" de "&amp;Registro_Compras!$E$121&amp;" [PATRON POR CONFIRMAR CON CONTADOR]","Por el registro de la factura "&amp;Registro_Compras!$C$121&amp;" de "&amp;Registro_Compras!$E$121)))</f>
        <v/>
      </c>
      <c r="H1059" t="str">
        <f>IF($C1059="","",Registro_Compras!$C$121)</f>
        <v/>
      </c>
    </row>
    <row r="1060" spans="1:8" x14ac:dyDescent="0.25">
      <c r="A1060" s="25" t="str">
        <f>IF($C1060="","",Registro_Compras!$B$121)</f>
        <v/>
      </c>
      <c r="B1060" t="str">
        <f>IF($C1060="","","C"&amp;TEXT(INT((ROW()-5)/9)+1,"000")&amp;"-1")</f>
        <v/>
      </c>
      <c r="C1060" t="str">
        <f>IF(OR(Registro_Compras!$C$121="",Registro_Compras!$O$121=""),"",IF(Registro_Compras!$F$121="NOTA DE CREDITO",IF(Registro_Compras!$K$121=0,"","40111"),"4212"))</f>
        <v/>
      </c>
      <c r="D1060" t="str">
        <f>IF(OR(Registro_Compras!$C$121="",Registro_Compras!$O$121=""),"",IF(Registro_Compras!$F$121="NOTA DE CREDITO","IGV - Cuenta Propia (Credito Fiscal)","Cuentas por Pagar Comerciales - Terceros (Emitidas)"))</f>
        <v/>
      </c>
      <c r="E1060" s="20" t="str">
        <f>""</f>
        <v/>
      </c>
      <c r="F1060" s="20" t="str">
        <f>IF($C1060="","",IF(Registro_Compras!$F$121="NOTA DE CREDITO",ROUND(ABS(Registro_Compras!$K$121*Registro_Compras!$N$121),2),IF(Registro_Compras!$F$121="RHE",(ROUND(Registro_Compras!$L$121*Registro_Compras!$N$121,2)-ROUND(Registro_Compras!$V$121*Registro_Compras!$N$121,2)),Registro_Compras!$O$121)))</f>
        <v/>
      </c>
      <c r="G1060" t="str">
        <f>IF($C1060="","",IF(Registro_Compras!$F$121="NOTA DE CREDITO","Por la nota de credito "&amp;Registro_Compras!$C$121&amp;" de "&amp;Registro_Compras!$E$121&amp;" [PATRON POR CONFIRMAR CON CONTADOR]",IF(Registro_Compras!$F$121="RHE","Por el registro del recibo por honorarios "&amp;Registro_Compras!$C$121&amp;" de "&amp;Registro_Compras!$E$121&amp;" [PATRON POR CONFIRMAR CON CONTADOR]","Por el registro de la factura "&amp;Registro_Compras!$C$121&amp;" de "&amp;Registro_Compras!$E$121)))</f>
        <v/>
      </c>
      <c r="H1060" t="str">
        <f>IF($C1060="","",Registro_Compras!$C$121)</f>
        <v/>
      </c>
    </row>
    <row r="1061" spans="1:8" x14ac:dyDescent="0.25">
      <c r="A1061" s="25" t="str">
        <f>IF($C1061="","",Registro_Compras!$B$121)</f>
        <v/>
      </c>
      <c r="B1061" t="str">
        <f>IF($C1061="","","C"&amp;TEXT(INT((ROW()-5)/9)+1,"000")&amp;"-2")</f>
        <v/>
      </c>
      <c r="C1061" t="str">
        <f>IF(OR(Registro_Compras!$C$121="",Registro_Compras!$O$121=""),"",IF(Registro_Compras!$AB$121="ADMINISTRATIVO","94","95"))</f>
        <v/>
      </c>
      <c r="D1061" t="str">
        <f>IF(OR(Registro_Compras!$C$121="",Registro_Compras!$O$121=""),"",IF(Registro_Compras!$AB$121="ADMINISTRATIVO","Gastos Administrativos","Gastos de Venta y Operacion"))</f>
        <v/>
      </c>
      <c r="E1061" s="20" t="str">
        <f>IF($C1061="","",IF(Registro_Compras!$F$121="NOTA DE CREDITO","",IF(Registro_Compras!$F$121="RHE",ROUND(Registro_Compras!$L$121*Registro_Compras!$N$121,2),ROUND(Registro_Compras!$J$121*Registro_Compras!$N$121,2))))</f>
        <v/>
      </c>
      <c r="F1061" s="20" t="str">
        <f>IF($C1061="","",IF(Registro_Compras!$F$121="NOTA DE CREDITO",ROUND(ABS(Registro_Compras!$J$121*Registro_Compras!$N$121),2),""))</f>
        <v/>
      </c>
      <c r="G1061" t="str">
        <f>IF($C1061="","","Por el destino del gasto")</f>
        <v/>
      </c>
      <c r="H1061" t="str">
        <f>IF($C1061="","",Registro_Compras!$C$121)</f>
        <v/>
      </c>
    </row>
    <row r="1062" spans="1:8" x14ac:dyDescent="0.25">
      <c r="A1062" s="25" t="str">
        <f>IF($C1062="","",Registro_Compras!$B$121)</f>
        <v/>
      </c>
      <c r="B1062" t="str">
        <f>IF($C1062="","","C"&amp;TEXT(INT((ROW()-5)/9)+1,"000")&amp;"-2")</f>
        <v/>
      </c>
      <c r="C1062" t="str">
        <f>IF(OR(Registro_Compras!$C$121="",Registro_Compras!$O$121=""),"","79/791")</f>
        <v/>
      </c>
      <c r="D1062" t="str">
        <f>IF(OR(Registro_Compras!$C$121="",Registro_Compras!$O$121=""),"","Cargas Imputables a Cuentas de Costos y Gastos")</f>
        <v/>
      </c>
      <c r="E1062" s="20" t="str">
        <f>IF($C1062="","",IF(Registro_Compras!$F$121="NOTA DE CREDITO",ROUND(ABS(Registro_Compras!$J$121*Registro_Compras!$N$121),2),""))</f>
        <v/>
      </c>
      <c r="F1062" s="20" t="str">
        <f>IF($C1062="","",IF(Registro_Compras!$F$121="NOTA DE CREDITO","",IF(Registro_Compras!$F$121="RHE",ROUND(Registro_Compras!$L$121*Registro_Compras!$N$121,2),ROUND(Registro_Compras!$J$121*Registro_Compras!$N$121,2))))</f>
        <v/>
      </c>
      <c r="G1062" t="str">
        <f>IF($C1062="","","Por el destino del gasto")</f>
        <v/>
      </c>
      <c r="H1062" t="str">
        <f>IF($C1062="","",Registro_Compras!$C$121)</f>
        <v/>
      </c>
    </row>
    <row r="1063" spans="1:8" x14ac:dyDescent="0.25">
      <c r="A1063" s="25" t="str">
        <f>IF($C1063="","",Registro_Compras!$X$121)</f>
        <v/>
      </c>
      <c r="B1063" t="str">
        <f>IF($C1063="","","C"&amp;TEXT(INT((ROW()-5)/9)+1,"000")&amp;"-3")</f>
        <v/>
      </c>
      <c r="C1063" t="str">
        <f>IF(OR(Registro_Compras!$C$121="",Registro_Compras!$O$121="",Registro_Compras!$R$121&lt;&gt;"SI",Registro_Compras!$X$121=""),"","4212")</f>
        <v/>
      </c>
      <c r="D1063" t="str">
        <f>IF(OR(Registro_Compras!$C$121="",Registro_Compras!$O$121=""),"","Cuentas por Pagar Comerciales - Terceros")</f>
        <v/>
      </c>
      <c r="E1063" s="20" t="str">
        <f>IF($C1063="","",Registro_Compras!$S$121)</f>
        <v/>
      </c>
      <c r="F1063" s="20" t="str">
        <f>""</f>
        <v/>
      </c>
      <c r="G1063" t="str">
        <f>IF($C1063="","","Por el deposito de la detraccion en el Banco de la Nacion")</f>
        <v/>
      </c>
      <c r="H1063" t="str">
        <f>IF($C1063="","",Registro_Compras!$C$121)</f>
        <v/>
      </c>
    </row>
    <row r="1064" spans="1:8" x14ac:dyDescent="0.25">
      <c r="A1064" s="25" t="str">
        <f>IF($C1064="","",Registro_Compras!$X$121)</f>
        <v/>
      </c>
      <c r="B1064" t="str">
        <f>IF($C1064="","","C"&amp;TEXT(INT((ROW()-5)/9)+1,"000")&amp;"-3")</f>
        <v/>
      </c>
      <c r="C1064" t="str">
        <f>IF(OR(Registro_Compras!$C$121="",Registro_Compras!$O$121="",Registro_Compras!$R$121&lt;&gt;"SI",Registro_Compras!$X$121=""),"","1041")</f>
        <v/>
      </c>
      <c r="D1064" t="str">
        <f>IF(OR(Registro_Compras!$C$121="",Registro_Compras!$O$121=""),"","Efectivo y Equivalentes - Cta. Cte. Operativa")</f>
        <v/>
      </c>
      <c r="E1064" s="20" t="str">
        <f>""</f>
        <v/>
      </c>
      <c r="F1064" s="20" t="str">
        <f>IF($C1064="","",Registro_Compras!$S$121)</f>
        <v/>
      </c>
      <c r="G1064" t="str">
        <f>IF($C1064="","","Por el deposito de la detraccion en el Banco de la Nacion")</f>
        <v/>
      </c>
      <c r="H1064" t="str">
        <f>IF($C1064="","",Registro_Compras!$C$121)</f>
        <v/>
      </c>
    </row>
    <row r="1065" spans="1:8" x14ac:dyDescent="0.25">
      <c r="A1065" s="25" t="str">
        <f>IF($C1065="","",Registro_Compras!$Y$121)</f>
        <v/>
      </c>
      <c r="B1065" t="str">
        <f>IF($C1065="","","C"&amp;TEXT(INT((ROW()-5)/9)+1,"000")&amp;"-4")</f>
        <v/>
      </c>
      <c r="C1065" t="str">
        <f>IF(OR(Registro_Compras!$C$121="",Registro_Compras!$O$121="",Registro_Compras!$Y$121="",Registro_Compras!$F$121="NOTA DE CREDITO"),"","4212")</f>
        <v/>
      </c>
      <c r="D1065" t="str">
        <f>IF(OR(Registro_Compras!$C$121="",Registro_Compras!$O$121=""),"","Cuentas por Pagar Comerciales - Terceros")</f>
        <v/>
      </c>
      <c r="E1065" s="20" t="str">
        <f>IF($C1065="","",IF(Registro_Compras!$F$121="RHE",(ROUND(Registro_Compras!$L$121*Registro_Compras!$N$121,2)-ROUND(Registro_Compras!$V$121*Registro_Compras!$N$121,2)),ROUND(Registro_Compras!$O$121-Registro_Compras!$S$121,2)))</f>
        <v/>
      </c>
      <c r="F1065" s="20" t="str">
        <f>""</f>
        <v/>
      </c>
      <c r="G1065" t="str">
        <f>IF($C1065="","","Por la cancelacion del saldo al proveedor")</f>
        <v/>
      </c>
      <c r="H1065" t="str">
        <f>IF($C1065="","",Registro_Compras!$C$121)</f>
        <v/>
      </c>
    </row>
    <row r="1066" spans="1:8" x14ac:dyDescent="0.25">
      <c r="A1066" s="25" t="str">
        <f>IF($C1066="","",Registro_Compras!$Y$121)</f>
        <v/>
      </c>
      <c r="B1066" t="str">
        <f>IF($C1066="","","C"&amp;TEXT(INT((ROW()-5)/9)+1,"000")&amp;"-4")</f>
        <v/>
      </c>
      <c r="C1066" t="str">
        <f>IF(OR(Registro_Compras!$C$121="",Registro_Compras!$O$121="",Registro_Compras!$Y$121="",Registro_Compras!$F$121="NOTA DE CREDITO"),"","1041")</f>
        <v/>
      </c>
      <c r="D1066" t="str">
        <f>IF(OR(Registro_Compras!$C$121="",Registro_Compras!$O$121=""),"","Efectivo y Equivalentes - Cta. Cte. Operativa")</f>
        <v/>
      </c>
      <c r="E1066" s="20" t="str">
        <f>""</f>
        <v/>
      </c>
      <c r="F1066" s="20" t="str">
        <f>IF($C1066="","",IF(Registro_Compras!$F$121="RHE",(ROUND(Registro_Compras!$L$121*Registro_Compras!$N$121,2)-ROUND(Registro_Compras!$V$121*Registro_Compras!$N$121,2)),ROUND(Registro_Compras!$O$121-Registro_Compras!$S$121,2)))</f>
        <v/>
      </c>
      <c r="G1066" t="str">
        <f>IF($C1066="","","Por la cancelacion del saldo al proveedor")</f>
        <v/>
      </c>
      <c r="H1066" t="str">
        <f>IF($C1066="","",Registro_Compras!$C$121)</f>
        <v/>
      </c>
    </row>
    <row r="1067" spans="1:8" x14ac:dyDescent="0.25">
      <c r="A1067" s="25" t="str">
        <f>IF($C1067="","",Registro_Compras!$B$122)</f>
        <v/>
      </c>
      <c r="B1067" t="str">
        <f>IF($C1067="","","C"&amp;TEXT(INT((ROW()-5)/9)+1,"000")&amp;"-1")</f>
        <v/>
      </c>
      <c r="C1067" t="str">
        <f>IF(OR(Registro_Compras!$C$122="",Registro_Compras!$O$122=""),"",IF(Registro_Compras!$F$122="NOTA DE CREDITO","4212",IF(Registro_Compras!$M$122="","63",Registro_Compras!$M$122)))</f>
        <v/>
      </c>
      <c r="D1067" t="str">
        <f>IF(OR(Registro_Compras!$C$122="",Registro_Compras!$O$122=""),"",IF(Registro_Compras!$F$122="NOTA DE CREDITO","Cuentas por Pagar Comerciales - Terceros (Emitidas)",IF(Registro_Compras!$F$122="RHE","Honorarios Profesionales - Servicios de Terceros","Gastos de Servicios Prestados por Terceros")))</f>
        <v/>
      </c>
      <c r="E1067" s="20" t="str">
        <f>IF($C1067="","",IF(Registro_Compras!$F$122="NOTA DE CREDITO",ABS(Registro_Compras!$O$122),IF(Registro_Compras!$F$122="RHE",ROUND(Registro_Compras!$L$122*Registro_Compras!$N$122,2),ROUND(Registro_Compras!$J$122*Registro_Compras!$N$122,2))))</f>
        <v/>
      </c>
      <c r="F1067" s="20" t="str">
        <f>""</f>
        <v/>
      </c>
      <c r="G1067" t="str">
        <f>IF($C1067="","",IF(Registro_Compras!$F$122="NOTA DE CREDITO","Por la nota de credito "&amp;Registro_Compras!$C$122&amp;" de "&amp;Registro_Compras!$E$122&amp;" [PATRON POR CONFIRMAR CON CONTADOR]",IF(Registro_Compras!$F$122="RHE","Por el registro del recibo por honorarios "&amp;Registro_Compras!$C$122&amp;" de "&amp;Registro_Compras!$E$122&amp;" [PATRON POR CONFIRMAR CON CONTADOR]","Por el registro de la factura "&amp;Registro_Compras!$C$122&amp;" de "&amp;Registro_Compras!$E$122)))</f>
        <v/>
      </c>
      <c r="H1067" t="str">
        <f>IF($C1067="","",Registro_Compras!$C$122)</f>
        <v/>
      </c>
    </row>
    <row r="1068" spans="1:8" x14ac:dyDescent="0.25">
      <c r="A1068" s="25" t="str">
        <f>IF($C1068="","",Registro_Compras!$B$122)</f>
        <v/>
      </c>
      <c r="B1068" t="str">
        <f>IF($C1068="","","C"&amp;TEXT(INT((ROW()-5)/9)+1,"000")&amp;"-1")</f>
        <v/>
      </c>
      <c r="C1068" t="str">
        <f>IF(OR(Registro_Compras!$C$122="",Registro_Compras!$O$122=""),"",IF(Registro_Compras!$F$122="RHE",IF(Registro_Compras!$V$122=0,"","4017"),IF(Registro_Compras!$F$122="NOTA DE CREDITO",IF(Registro_Compras!$M$122="","63",Registro_Compras!$M$122),IF(Registro_Compras!$K$122=0,"","40111"))))</f>
        <v/>
      </c>
      <c r="D1068" t="str">
        <f>IF(OR(Registro_Compras!$C$122="",Registro_Compras!$O$122=""),"",IF(Registro_Compras!$F$122="RHE","Retencion Renta 4ta Categoria por Pagar",IF(Registro_Compras!$F$122="NOTA DE CREDITO","Gastos de Servicios Prestados por Terceros","IGV - Cuenta Propia (Credito Fiscal)")))</f>
        <v/>
      </c>
      <c r="E1068" s="20" t="str">
        <f>IF($C1068="","",IF(Registro_Compras!$F$122="FACTURA",ROUND(Registro_Compras!$K$122*Registro_Compras!$N$122,2),""))</f>
        <v/>
      </c>
      <c r="F1068" s="20" t="str">
        <f>IF($C1068="","",IF(Registro_Compras!$F$122="RHE",ROUND(Registro_Compras!$V$122*Registro_Compras!$N$122,2),IF(Registro_Compras!$F$122="NOTA DE CREDITO",ROUND(ABS(Registro_Compras!$J$122*Registro_Compras!$N$122),2),"")))</f>
        <v/>
      </c>
      <c r="G1068" t="str">
        <f>IF($C1068="","",IF(Registro_Compras!$F$122="NOTA DE CREDITO","Por la nota de credito "&amp;Registro_Compras!$C$122&amp;" de "&amp;Registro_Compras!$E$122&amp;" [PATRON POR CONFIRMAR CON CONTADOR]",IF(Registro_Compras!$F$122="RHE","Por el registro del recibo por honorarios "&amp;Registro_Compras!$C$122&amp;" de "&amp;Registro_Compras!$E$122&amp;" [PATRON POR CONFIRMAR CON CONTADOR]","Por el registro de la factura "&amp;Registro_Compras!$C$122&amp;" de "&amp;Registro_Compras!$E$122)))</f>
        <v/>
      </c>
      <c r="H1068" t="str">
        <f>IF($C1068="","",Registro_Compras!$C$122)</f>
        <v/>
      </c>
    </row>
    <row r="1069" spans="1:8" x14ac:dyDescent="0.25">
      <c r="A1069" s="25" t="str">
        <f>IF($C1069="","",Registro_Compras!$B$122)</f>
        <v/>
      </c>
      <c r="B1069" t="str">
        <f>IF($C1069="","","C"&amp;TEXT(INT((ROW()-5)/9)+1,"000")&amp;"-1")</f>
        <v/>
      </c>
      <c r="C1069" t="str">
        <f>IF(OR(Registro_Compras!$C$122="",Registro_Compras!$O$122=""),"",IF(Registro_Compras!$F$122="NOTA DE CREDITO",IF(Registro_Compras!$K$122=0,"","40111"),"4212"))</f>
        <v/>
      </c>
      <c r="D1069" t="str">
        <f>IF(OR(Registro_Compras!$C$122="",Registro_Compras!$O$122=""),"",IF(Registro_Compras!$F$122="NOTA DE CREDITO","IGV - Cuenta Propia (Credito Fiscal)","Cuentas por Pagar Comerciales - Terceros (Emitidas)"))</f>
        <v/>
      </c>
      <c r="E1069" s="20" t="str">
        <f>""</f>
        <v/>
      </c>
      <c r="F1069" s="20" t="str">
        <f>IF($C1069="","",IF(Registro_Compras!$F$122="NOTA DE CREDITO",ROUND(ABS(Registro_Compras!$K$122*Registro_Compras!$N$122),2),IF(Registro_Compras!$F$122="RHE",(ROUND(Registro_Compras!$L$122*Registro_Compras!$N$122,2)-ROUND(Registro_Compras!$V$122*Registro_Compras!$N$122,2)),Registro_Compras!$O$122)))</f>
        <v/>
      </c>
      <c r="G1069" t="str">
        <f>IF($C1069="","",IF(Registro_Compras!$F$122="NOTA DE CREDITO","Por la nota de credito "&amp;Registro_Compras!$C$122&amp;" de "&amp;Registro_Compras!$E$122&amp;" [PATRON POR CONFIRMAR CON CONTADOR]",IF(Registro_Compras!$F$122="RHE","Por el registro del recibo por honorarios "&amp;Registro_Compras!$C$122&amp;" de "&amp;Registro_Compras!$E$122&amp;" [PATRON POR CONFIRMAR CON CONTADOR]","Por el registro de la factura "&amp;Registro_Compras!$C$122&amp;" de "&amp;Registro_Compras!$E$122)))</f>
        <v/>
      </c>
      <c r="H1069" t="str">
        <f>IF($C1069="","",Registro_Compras!$C$122)</f>
        <v/>
      </c>
    </row>
    <row r="1070" spans="1:8" x14ac:dyDescent="0.25">
      <c r="A1070" s="25" t="str">
        <f>IF($C1070="","",Registro_Compras!$B$122)</f>
        <v/>
      </c>
      <c r="B1070" t="str">
        <f>IF($C1070="","","C"&amp;TEXT(INT((ROW()-5)/9)+1,"000")&amp;"-2")</f>
        <v/>
      </c>
      <c r="C1070" t="str">
        <f>IF(OR(Registro_Compras!$C$122="",Registro_Compras!$O$122=""),"",IF(Registro_Compras!$AB$122="ADMINISTRATIVO","94","95"))</f>
        <v/>
      </c>
      <c r="D1070" t="str">
        <f>IF(OR(Registro_Compras!$C$122="",Registro_Compras!$O$122=""),"",IF(Registro_Compras!$AB$122="ADMINISTRATIVO","Gastos Administrativos","Gastos de Venta y Operacion"))</f>
        <v/>
      </c>
      <c r="E1070" s="20" t="str">
        <f>IF($C1070="","",IF(Registro_Compras!$F$122="NOTA DE CREDITO","",IF(Registro_Compras!$F$122="RHE",ROUND(Registro_Compras!$L$122*Registro_Compras!$N$122,2),ROUND(Registro_Compras!$J$122*Registro_Compras!$N$122,2))))</f>
        <v/>
      </c>
      <c r="F1070" s="20" t="str">
        <f>IF($C1070="","",IF(Registro_Compras!$F$122="NOTA DE CREDITO",ROUND(ABS(Registro_Compras!$J$122*Registro_Compras!$N$122),2),""))</f>
        <v/>
      </c>
      <c r="G1070" t="str">
        <f>IF($C1070="","","Por el destino del gasto")</f>
        <v/>
      </c>
      <c r="H1070" t="str">
        <f>IF($C1070="","",Registro_Compras!$C$122)</f>
        <v/>
      </c>
    </row>
    <row r="1071" spans="1:8" x14ac:dyDescent="0.25">
      <c r="A1071" s="25" t="str">
        <f>IF($C1071="","",Registro_Compras!$B$122)</f>
        <v/>
      </c>
      <c r="B1071" t="str">
        <f>IF($C1071="","","C"&amp;TEXT(INT((ROW()-5)/9)+1,"000")&amp;"-2")</f>
        <v/>
      </c>
      <c r="C1071" t="str">
        <f>IF(OR(Registro_Compras!$C$122="",Registro_Compras!$O$122=""),"","79/791")</f>
        <v/>
      </c>
      <c r="D1071" t="str">
        <f>IF(OR(Registro_Compras!$C$122="",Registro_Compras!$O$122=""),"","Cargas Imputables a Cuentas de Costos y Gastos")</f>
        <v/>
      </c>
      <c r="E1071" s="20" t="str">
        <f>IF($C1071="","",IF(Registro_Compras!$F$122="NOTA DE CREDITO",ROUND(ABS(Registro_Compras!$J$122*Registro_Compras!$N$122),2),""))</f>
        <v/>
      </c>
      <c r="F1071" s="20" t="str">
        <f>IF($C1071="","",IF(Registro_Compras!$F$122="NOTA DE CREDITO","",IF(Registro_Compras!$F$122="RHE",ROUND(Registro_Compras!$L$122*Registro_Compras!$N$122,2),ROUND(Registro_Compras!$J$122*Registro_Compras!$N$122,2))))</f>
        <v/>
      </c>
      <c r="G1071" t="str">
        <f>IF($C1071="","","Por el destino del gasto")</f>
        <v/>
      </c>
      <c r="H1071" t="str">
        <f>IF($C1071="","",Registro_Compras!$C$122)</f>
        <v/>
      </c>
    </row>
    <row r="1072" spans="1:8" x14ac:dyDescent="0.25">
      <c r="A1072" s="25" t="str">
        <f>IF($C1072="","",Registro_Compras!$X$122)</f>
        <v/>
      </c>
      <c r="B1072" t="str">
        <f>IF($C1072="","","C"&amp;TEXT(INT((ROW()-5)/9)+1,"000")&amp;"-3")</f>
        <v/>
      </c>
      <c r="C1072" t="str">
        <f>IF(OR(Registro_Compras!$C$122="",Registro_Compras!$O$122="",Registro_Compras!$R$122&lt;&gt;"SI",Registro_Compras!$X$122=""),"","4212")</f>
        <v/>
      </c>
      <c r="D1072" t="str">
        <f>IF(OR(Registro_Compras!$C$122="",Registro_Compras!$O$122=""),"","Cuentas por Pagar Comerciales - Terceros")</f>
        <v/>
      </c>
      <c r="E1072" s="20" t="str">
        <f>IF($C1072="","",Registro_Compras!$S$122)</f>
        <v/>
      </c>
      <c r="F1072" s="20" t="str">
        <f>""</f>
        <v/>
      </c>
      <c r="G1072" t="str">
        <f>IF($C1072="","","Por el deposito de la detraccion en el Banco de la Nacion")</f>
        <v/>
      </c>
      <c r="H1072" t="str">
        <f>IF($C1072="","",Registro_Compras!$C$122)</f>
        <v/>
      </c>
    </row>
    <row r="1073" spans="1:8" x14ac:dyDescent="0.25">
      <c r="A1073" s="25" t="str">
        <f>IF($C1073="","",Registro_Compras!$X$122)</f>
        <v/>
      </c>
      <c r="B1073" t="str">
        <f>IF($C1073="","","C"&amp;TEXT(INT((ROW()-5)/9)+1,"000")&amp;"-3")</f>
        <v/>
      </c>
      <c r="C1073" t="str">
        <f>IF(OR(Registro_Compras!$C$122="",Registro_Compras!$O$122="",Registro_Compras!$R$122&lt;&gt;"SI",Registro_Compras!$X$122=""),"","1041")</f>
        <v/>
      </c>
      <c r="D1073" t="str">
        <f>IF(OR(Registro_Compras!$C$122="",Registro_Compras!$O$122=""),"","Efectivo y Equivalentes - Cta. Cte. Operativa")</f>
        <v/>
      </c>
      <c r="E1073" s="20" t="str">
        <f>""</f>
        <v/>
      </c>
      <c r="F1073" s="20" t="str">
        <f>IF($C1073="","",Registro_Compras!$S$122)</f>
        <v/>
      </c>
      <c r="G1073" t="str">
        <f>IF($C1073="","","Por el deposito de la detraccion en el Banco de la Nacion")</f>
        <v/>
      </c>
      <c r="H1073" t="str">
        <f>IF($C1073="","",Registro_Compras!$C$122)</f>
        <v/>
      </c>
    </row>
    <row r="1074" spans="1:8" x14ac:dyDescent="0.25">
      <c r="A1074" s="25" t="str">
        <f>IF($C1074="","",Registro_Compras!$Y$122)</f>
        <v/>
      </c>
      <c r="B1074" t="str">
        <f>IF($C1074="","","C"&amp;TEXT(INT((ROW()-5)/9)+1,"000")&amp;"-4")</f>
        <v/>
      </c>
      <c r="C1074" t="str">
        <f>IF(OR(Registro_Compras!$C$122="",Registro_Compras!$O$122="",Registro_Compras!$Y$122="",Registro_Compras!$F$122="NOTA DE CREDITO"),"","4212")</f>
        <v/>
      </c>
      <c r="D1074" t="str">
        <f>IF(OR(Registro_Compras!$C$122="",Registro_Compras!$O$122=""),"","Cuentas por Pagar Comerciales - Terceros")</f>
        <v/>
      </c>
      <c r="E1074" s="20" t="str">
        <f>IF($C1074="","",IF(Registro_Compras!$F$122="RHE",(ROUND(Registro_Compras!$L$122*Registro_Compras!$N$122,2)-ROUND(Registro_Compras!$V$122*Registro_Compras!$N$122,2)),ROUND(Registro_Compras!$O$122-Registro_Compras!$S$122,2)))</f>
        <v/>
      </c>
      <c r="F1074" s="20" t="str">
        <f>""</f>
        <v/>
      </c>
      <c r="G1074" t="str">
        <f>IF($C1074="","","Por la cancelacion del saldo al proveedor")</f>
        <v/>
      </c>
      <c r="H1074" t="str">
        <f>IF($C1074="","",Registro_Compras!$C$122)</f>
        <v/>
      </c>
    </row>
    <row r="1075" spans="1:8" x14ac:dyDescent="0.25">
      <c r="A1075" s="25" t="str">
        <f>IF($C1075="","",Registro_Compras!$Y$122)</f>
        <v/>
      </c>
      <c r="B1075" t="str">
        <f>IF($C1075="","","C"&amp;TEXT(INT((ROW()-5)/9)+1,"000")&amp;"-4")</f>
        <v/>
      </c>
      <c r="C1075" t="str">
        <f>IF(OR(Registro_Compras!$C$122="",Registro_Compras!$O$122="",Registro_Compras!$Y$122="",Registro_Compras!$F$122="NOTA DE CREDITO"),"","1041")</f>
        <v/>
      </c>
      <c r="D1075" t="str">
        <f>IF(OR(Registro_Compras!$C$122="",Registro_Compras!$O$122=""),"","Efectivo y Equivalentes - Cta. Cte. Operativa")</f>
        <v/>
      </c>
      <c r="E1075" s="20" t="str">
        <f>""</f>
        <v/>
      </c>
      <c r="F1075" s="20" t="str">
        <f>IF($C1075="","",IF(Registro_Compras!$F$122="RHE",(ROUND(Registro_Compras!$L$122*Registro_Compras!$N$122,2)-ROUND(Registro_Compras!$V$122*Registro_Compras!$N$122,2)),ROUND(Registro_Compras!$O$122-Registro_Compras!$S$122,2)))</f>
        <v/>
      </c>
      <c r="G1075" t="str">
        <f>IF($C1075="","","Por la cancelacion del saldo al proveedor")</f>
        <v/>
      </c>
      <c r="H1075" t="str">
        <f>IF($C1075="","",Registro_Compras!$C$122)</f>
        <v/>
      </c>
    </row>
    <row r="1076" spans="1:8" x14ac:dyDescent="0.25">
      <c r="A1076" s="25" t="str">
        <f>IF($C1076="","",Registro_Compras!$B$123)</f>
        <v/>
      </c>
      <c r="B1076" t="str">
        <f>IF($C1076="","","C"&amp;TEXT(INT((ROW()-5)/9)+1,"000")&amp;"-1")</f>
        <v/>
      </c>
      <c r="C1076" t="str">
        <f>IF(OR(Registro_Compras!$C$123="",Registro_Compras!$O$123=""),"",IF(Registro_Compras!$F$123="NOTA DE CREDITO","4212",IF(Registro_Compras!$M$123="","63",Registro_Compras!$M$123)))</f>
        <v/>
      </c>
      <c r="D1076" t="str">
        <f>IF(OR(Registro_Compras!$C$123="",Registro_Compras!$O$123=""),"",IF(Registro_Compras!$F$123="NOTA DE CREDITO","Cuentas por Pagar Comerciales - Terceros (Emitidas)",IF(Registro_Compras!$F$123="RHE","Honorarios Profesionales - Servicios de Terceros","Gastos de Servicios Prestados por Terceros")))</f>
        <v/>
      </c>
      <c r="E1076" s="20" t="str">
        <f>IF($C1076="","",IF(Registro_Compras!$F$123="NOTA DE CREDITO",ABS(Registro_Compras!$O$123),IF(Registro_Compras!$F$123="RHE",ROUND(Registro_Compras!$L$123*Registro_Compras!$N$123,2),ROUND(Registro_Compras!$J$123*Registro_Compras!$N$123,2))))</f>
        <v/>
      </c>
      <c r="F1076" s="20" t="str">
        <f>""</f>
        <v/>
      </c>
      <c r="G1076" t="str">
        <f>IF($C1076="","",IF(Registro_Compras!$F$123="NOTA DE CREDITO","Por la nota de credito "&amp;Registro_Compras!$C$123&amp;" de "&amp;Registro_Compras!$E$123&amp;" [PATRON POR CONFIRMAR CON CONTADOR]",IF(Registro_Compras!$F$123="RHE","Por el registro del recibo por honorarios "&amp;Registro_Compras!$C$123&amp;" de "&amp;Registro_Compras!$E$123&amp;" [PATRON POR CONFIRMAR CON CONTADOR]","Por el registro de la factura "&amp;Registro_Compras!$C$123&amp;" de "&amp;Registro_Compras!$E$123)))</f>
        <v/>
      </c>
      <c r="H1076" t="str">
        <f>IF($C1076="","",Registro_Compras!$C$123)</f>
        <v/>
      </c>
    </row>
    <row r="1077" spans="1:8" x14ac:dyDescent="0.25">
      <c r="A1077" s="25" t="str">
        <f>IF($C1077="","",Registro_Compras!$B$123)</f>
        <v/>
      </c>
      <c r="B1077" t="str">
        <f>IF($C1077="","","C"&amp;TEXT(INT((ROW()-5)/9)+1,"000")&amp;"-1")</f>
        <v/>
      </c>
      <c r="C1077" t="str">
        <f>IF(OR(Registro_Compras!$C$123="",Registro_Compras!$O$123=""),"",IF(Registro_Compras!$F$123="RHE",IF(Registro_Compras!$V$123=0,"","4017"),IF(Registro_Compras!$F$123="NOTA DE CREDITO",IF(Registro_Compras!$M$123="","63",Registro_Compras!$M$123),IF(Registro_Compras!$K$123=0,"","40111"))))</f>
        <v/>
      </c>
      <c r="D1077" t="str">
        <f>IF(OR(Registro_Compras!$C$123="",Registro_Compras!$O$123=""),"",IF(Registro_Compras!$F$123="RHE","Retencion Renta 4ta Categoria por Pagar",IF(Registro_Compras!$F$123="NOTA DE CREDITO","Gastos de Servicios Prestados por Terceros","IGV - Cuenta Propia (Credito Fiscal)")))</f>
        <v/>
      </c>
      <c r="E1077" s="20" t="str">
        <f>IF($C1077="","",IF(Registro_Compras!$F$123="FACTURA",ROUND(Registro_Compras!$K$123*Registro_Compras!$N$123,2),""))</f>
        <v/>
      </c>
      <c r="F1077" s="20" t="str">
        <f>IF($C1077="","",IF(Registro_Compras!$F$123="RHE",ROUND(Registro_Compras!$V$123*Registro_Compras!$N$123,2),IF(Registro_Compras!$F$123="NOTA DE CREDITO",ROUND(ABS(Registro_Compras!$J$123*Registro_Compras!$N$123),2),"")))</f>
        <v/>
      </c>
      <c r="G1077" t="str">
        <f>IF($C1077="","",IF(Registro_Compras!$F$123="NOTA DE CREDITO","Por la nota de credito "&amp;Registro_Compras!$C$123&amp;" de "&amp;Registro_Compras!$E$123&amp;" [PATRON POR CONFIRMAR CON CONTADOR]",IF(Registro_Compras!$F$123="RHE","Por el registro del recibo por honorarios "&amp;Registro_Compras!$C$123&amp;" de "&amp;Registro_Compras!$E$123&amp;" [PATRON POR CONFIRMAR CON CONTADOR]","Por el registro de la factura "&amp;Registro_Compras!$C$123&amp;" de "&amp;Registro_Compras!$E$123)))</f>
        <v/>
      </c>
      <c r="H1077" t="str">
        <f>IF($C1077="","",Registro_Compras!$C$123)</f>
        <v/>
      </c>
    </row>
    <row r="1078" spans="1:8" x14ac:dyDescent="0.25">
      <c r="A1078" s="25" t="str">
        <f>IF($C1078="","",Registro_Compras!$B$123)</f>
        <v/>
      </c>
      <c r="B1078" t="str">
        <f>IF($C1078="","","C"&amp;TEXT(INT((ROW()-5)/9)+1,"000")&amp;"-1")</f>
        <v/>
      </c>
      <c r="C1078" t="str">
        <f>IF(OR(Registro_Compras!$C$123="",Registro_Compras!$O$123=""),"",IF(Registro_Compras!$F$123="NOTA DE CREDITO",IF(Registro_Compras!$K$123=0,"","40111"),"4212"))</f>
        <v/>
      </c>
      <c r="D1078" t="str">
        <f>IF(OR(Registro_Compras!$C$123="",Registro_Compras!$O$123=""),"",IF(Registro_Compras!$F$123="NOTA DE CREDITO","IGV - Cuenta Propia (Credito Fiscal)","Cuentas por Pagar Comerciales - Terceros (Emitidas)"))</f>
        <v/>
      </c>
      <c r="E1078" s="20" t="str">
        <f>""</f>
        <v/>
      </c>
      <c r="F1078" s="20" t="str">
        <f>IF($C1078="","",IF(Registro_Compras!$F$123="NOTA DE CREDITO",ROUND(ABS(Registro_Compras!$K$123*Registro_Compras!$N$123),2),IF(Registro_Compras!$F$123="RHE",(ROUND(Registro_Compras!$L$123*Registro_Compras!$N$123,2)-ROUND(Registro_Compras!$V$123*Registro_Compras!$N$123,2)),Registro_Compras!$O$123)))</f>
        <v/>
      </c>
      <c r="G1078" t="str">
        <f>IF($C1078="","",IF(Registro_Compras!$F$123="NOTA DE CREDITO","Por la nota de credito "&amp;Registro_Compras!$C$123&amp;" de "&amp;Registro_Compras!$E$123&amp;" [PATRON POR CONFIRMAR CON CONTADOR]",IF(Registro_Compras!$F$123="RHE","Por el registro del recibo por honorarios "&amp;Registro_Compras!$C$123&amp;" de "&amp;Registro_Compras!$E$123&amp;" [PATRON POR CONFIRMAR CON CONTADOR]","Por el registro de la factura "&amp;Registro_Compras!$C$123&amp;" de "&amp;Registro_Compras!$E$123)))</f>
        <v/>
      </c>
      <c r="H1078" t="str">
        <f>IF($C1078="","",Registro_Compras!$C$123)</f>
        <v/>
      </c>
    </row>
    <row r="1079" spans="1:8" x14ac:dyDescent="0.25">
      <c r="A1079" s="25" t="str">
        <f>IF($C1079="","",Registro_Compras!$B$123)</f>
        <v/>
      </c>
      <c r="B1079" t="str">
        <f>IF($C1079="","","C"&amp;TEXT(INT((ROW()-5)/9)+1,"000")&amp;"-2")</f>
        <v/>
      </c>
      <c r="C1079" t="str">
        <f>IF(OR(Registro_Compras!$C$123="",Registro_Compras!$O$123=""),"",IF(Registro_Compras!$AB$123="ADMINISTRATIVO","94","95"))</f>
        <v/>
      </c>
      <c r="D1079" t="str">
        <f>IF(OR(Registro_Compras!$C$123="",Registro_Compras!$O$123=""),"",IF(Registro_Compras!$AB$123="ADMINISTRATIVO","Gastos Administrativos","Gastos de Venta y Operacion"))</f>
        <v/>
      </c>
      <c r="E1079" s="20" t="str">
        <f>IF($C1079="","",IF(Registro_Compras!$F$123="NOTA DE CREDITO","",IF(Registro_Compras!$F$123="RHE",ROUND(Registro_Compras!$L$123*Registro_Compras!$N$123,2),ROUND(Registro_Compras!$J$123*Registro_Compras!$N$123,2))))</f>
        <v/>
      </c>
      <c r="F1079" s="20" t="str">
        <f>IF($C1079="","",IF(Registro_Compras!$F$123="NOTA DE CREDITO",ROUND(ABS(Registro_Compras!$J$123*Registro_Compras!$N$123),2),""))</f>
        <v/>
      </c>
      <c r="G1079" t="str">
        <f>IF($C1079="","","Por el destino del gasto")</f>
        <v/>
      </c>
      <c r="H1079" t="str">
        <f>IF($C1079="","",Registro_Compras!$C$123)</f>
        <v/>
      </c>
    </row>
    <row r="1080" spans="1:8" x14ac:dyDescent="0.25">
      <c r="A1080" s="25" t="str">
        <f>IF($C1080="","",Registro_Compras!$B$123)</f>
        <v/>
      </c>
      <c r="B1080" t="str">
        <f>IF($C1080="","","C"&amp;TEXT(INT((ROW()-5)/9)+1,"000")&amp;"-2")</f>
        <v/>
      </c>
      <c r="C1080" t="str">
        <f>IF(OR(Registro_Compras!$C$123="",Registro_Compras!$O$123=""),"","79/791")</f>
        <v/>
      </c>
      <c r="D1080" t="str">
        <f>IF(OR(Registro_Compras!$C$123="",Registro_Compras!$O$123=""),"","Cargas Imputables a Cuentas de Costos y Gastos")</f>
        <v/>
      </c>
      <c r="E1080" s="20" t="str">
        <f>IF($C1080="","",IF(Registro_Compras!$F$123="NOTA DE CREDITO",ROUND(ABS(Registro_Compras!$J$123*Registro_Compras!$N$123),2),""))</f>
        <v/>
      </c>
      <c r="F1080" s="20" t="str">
        <f>IF($C1080="","",IF(Registro_Compras!$F$123="NOTA DE CREDITO","",IF(Registro_Compras!$F$123="RHE",ROUND(Registro_Compras!$L$123*Registro_Compras!$N$123,2),ROUND(Registro_Compras!$J$123*Registro_Compras!$N$123,2))))</f>
        <v/>
      </c>
      <c r="G1080" t="str">
        <f>IF($C1080="","","Por el destino del gasto")</f>
        <v/>
      </c>
      <c r="H1080" t="str">
        <f>IF($C1080="","",Registro_Compras!$C$123)</f>
        <v/>
      </c>
    </row>
    <row r="1081" spans="1:8" x14ac:dyDescent="0.25">
      <c r="A1081" s="25" t="str">
        <f>IF($C1081="","",Registro_Compras!$X$123)</f>
        <v/>
      </c>
      <c r="B1081" t="str">
        <f>IF($C1081="","","C"&amp;TEXT(INT((ROW()-5)/9)+1,"000")&amp;"-3")</f>
        <v/>
      </c>
      <c r="C1081" t="str">
        <f>IF(OR(Registro_Compras!$C$123="",Registro_Compras!$O$123="",Registro_Compras!$R$123&lt;&gt;"SI",Registro_Compras!$X$123=""),"","4212")</f>
        <v/>
      </c>
      <c r="D1081" t="str">
        <f>IF(OR(Registro_Compras!$C$123="",Registro_Compras!$O$123=""),"","Cuentas por Pagar Comerciales - Terceros")</f>
        <v/>
      </c>
      <c r="E1081" s="20" t="str">
        <f>IF($C1081="","",Registro_Compras!$S$123)</f>
        <v/>
      </c>
      <c r="F1081" s="20" t="str">
        <f>""</f>
        <v/>
      </c>
      <c r="G1081" t="str">
        <f>IF($C1081="","","Por el deposito de la detraccion en el Banco de la Nacion")</f>
        <v/>
      </c>
      <c r="H1081" t="str">
        <f>IF($C1081="","",Registro_Compras!$C$123)</f>
        <v/>
      </c>
    </row>
    <row r="1082" spans="1:8" x14ac:dyDescent="0.25">
      <c r="A1082" s="25" t="str">
        <f>IF($C1082="","",Registro_Compras!$X$123)</f>
        <v/>
      </c>
      <c r="B1082" t="str">
        <f>IF($C1082="","","C"&amp;TEXT(INT((ROW()-5)/9)+1,"000")&amp;"-3")</f>
        <v/>
      </c>
      <c r="C1082" t="str">
        <f>IF(OR(Registro_Compras!$C$123="",Registro_Compras!$O$123="",Registro_Compras!$R$123&lt;&gt;"SI",Registro_Compras!$X$123=""),"","1041")</f>
        <v/>
      </c>
      <c r="D1082" t="str">
        <f>IF(OR(Registro_Compras!$C$123="",Registro_Compras!$O$123=""),"","Efectivo y Equivalentes - Cta. Cte. Operativa")</f>
        <v/>
      </c>
      <c r="E1082" s="20" t="str">
        <f>""</f>
        <v/>
      </c>
      <c r="F1082" s="20" t="str">
        <f>IF($C1082="","",Registro_Compras!$S$123)</f>
        <v/>
      </c>
      <c r="G1082" t="str">
        <f>IF($C1082="","","Por el deposito de la detraccion en el Banco de la Nacion")</f>
        <v/>
      </c>
      <c r="H1082" t="str">
        <f>IF($C1082="","",Registro_Compras!$C$123)</f>
        <v/>
      </c>
    </row>
    <row r="1083" spans="1:8" x14ac:dyDescent="0.25">
      <c r="A1083" s="25" t="str">
        <f>IF($C1083="","",Registro_Compras!$Y$123)</f>
        <v/>
      </c>
      <c r="B1083" t="str">
        <f>IF($C1083="","","C"&amp;TEXT(INT((ROW()-5)/9)+1,"000")&amp;"-4")</f>
        <v/>
      </c>
      <c r="C1083" t="str">
        <f>IF(OR(Registro_Compras!$C$123="",Registro_Compras!$O$123="",Registro_Compras!$Y$123="",Registro_Compras!$F$123="NOTA DE CREDITO"),"","4212")</f>
        <v/>
      </c>
      <c r="D1083" t="str">
        <f>IF(OR(Registro_Compras!$C$123="",Registro_Compras!$O$123=""),"","Cuentas por Pagar Comerciales - Terceros")</f>
        <v/>
      </c>
      <c r="E1083" s="20" t="str">
        <f>IF($C1083="","",IF(Registro_Compras!$F$123="RHE",(ROUND(Registro_Compras!$L$123*Registro_Compras!$N$123,2)-ROUND(Registro_Compras!$V$123*Registro_Compras!$N$123,2)),ROUND(Registro_Compras!$O$123-Registro_Compras!$S$123,2)))</f>
        <v/>
      </c>
      <c r="F1083" s="20" t="str">
        <f>""</f>
        <v/>
      </c>
      <c r="G1083" t="str">
        <f>IF($C1083="","","Por la cancelacion del saldo al proveedor")</f>
        <v/>
      </c>
      <c r="H1083" t="str">
        <f>IF($C1083="","",Registro_Compras!$C$123)</f>
        <v/>
      </c>
    </row>
    <row r="1084" spans="1:8" x14ac:dyDescent="0.25">
      <c r="A1084" s="25" t="str">
        <f>IF($C1084="","",Registro_Compras!$Y$123)</f>
        <v/>
      </c>
      <c r="B1084" t="str">
        <f>IF($C1084="","","C"&amp;TEXT(INT((ROW()-5)/9)+1,"000")&amp;"-4")</f>
        <v/>
      </c>
      <c r="C1084" t="str">
        <f>IF(OR(Registro_Compras!$C$123="",Registro_Compras!$O$123="",Registro_Compras!$Y$123="",Registro_Compras!$F$123="NOTA DE CREDITO"),"","1041")</f>
        <v/>
      </c>
      <c r="D1084" t="str">
        <f>IF(OR(Registro_Compras!$C$123="",Registro_Compras!$O$123=""),"","Efectivo y Equivalentes - Cta. Cte. Operativa")</f>
        <v/>
      </c>
      <c r="E1084" s="20" t="str">
        <f>""</f>
        <v/>
      </c>
      <c r="F1084" s="20" t="str">
        <f>IF($C1084="","",IF(Registro_Compras!$F$123="RHE",(ROUND(Registro_Compras!$L$123*Registro_Compras!$N$123,2)-ROUND(Registro_Compras!$V$123*Registro_Compras!$N$123,2)),ROUND(Registro_Compras!$O$123-Registro_Compras!$S$123,2)))</f>
        <v/>
      </c>
      <c r="G1084" t="str">
        <f>IF($C1084="","","Por la cancelacion del saldo al proveedor")</f>
        <v/>
      </c>
      <c r="H1084" t="str">
        <f>IF($C1084="","",Registro_Compras!$C$123)</f>
        <v/>
      </c>
    </row>
    <row r="1085" spans="1:8" x14ac:dyDescent="0.25">
      <c r="A1085" s="25" t="str">
        <f>IF($C1085="","",Registro_Compras!$B$124)</f>
        <v/>
      </c>
      <c r="B1085" t="str">
        <f>IF($C1085="","","C"&amp;TEXT(INT((ROW()-5)/9)+1,"000")&amp;"-1")</f>
        <v/>
      </c>
      <c r="C1085" t="str">
        <f>IF(OR(Registro_Compras!$C$124="",Registro_Compras!$O$124=""),"",IF(Registro_Compras!$F$124="NOTA DE CREDITO","4212",IF(Registro_Compras!$M$124="","63",Registro_Compras!$M$124)))</f>
        <v/>
      </c>
      <c r="D1085" t="str">
        <f>IF(OR(Registro_Compras!$C$124="",Registro_Compras!$O$124=""),"",IF(Registro_Compras!$F$124="NOTA DE CREDITO","Cuentas por Pagar Comerciales - Terceros (Emitidas)",IF(Registro_Compras!$F$124="RHE","Honorarios Profesionales - Servicios de Terceros","Gastos de Servicios Prestados por Terceros")))</f>
        <v/>
      </c>
      <c r="E1085" s="20" t="str">
        <f>IF($C1085="","",IF(Registro_Compras!$F$124="NOTA DE CREDITO",ABS(Registro_Compras!$O$124),IF(Registro_Compras!$F$124="RHE",ROUND(Registro_Compras!$L$124*Registro_Compras!$N$124,2),ROUND(Registro_Compras!$J$124*Registro_Compras!$N$124,2))))</f>
        <v/>
      </c>
      <c r="F1085" s="20" t="str">
        <f>""</f>
        <v/>
      </c>
      <c r="G1085" t="str">
        <f>IF($C1085="","",IF(Registro_Compras!$F$124="NOTA DE CREDITO","Por la nota de credito "&amp;Registro_Compras!$C$124&amp;" de "&amp;Registro_Compras!$E$124&amp;" [PATRON POR CONFIRMAR CON CONTADOR]",IF(Registro_Compras!$F$124="RHE","Por el registro del recibo por honorarios "&amp;Registro_Compras!$C$124&amp;" de "&amp;Registro_Compras!$E$124&amp;" [PATRON POR CONFIRMAR CON CONTADOR]","Por el registro de la factura "&amp;Registro_Compras!$C$124&amp;" de "&amp;Registro_Compras!$E$124)))</f>
        <v/>
      </c>
      <c r="H1085" t="str">
        <f>IF($C1085="","",Registro_Compras!$C$124)</f>
        <v/>
      </c>
    </row>
    <row r="1086" spans="1:8" x14ac:dyDescent="0.25">
      <c r="A1086" s="25" t="str">
        <f>IF($C1086="","",Registro_Compras!$B$124)</f>
        <v/>
      </c>
      <c r="B1086" t="str">
        <f>IF($C1086="","","C"&amp;TEXT(INT((ROW()-5)/9)+1,"000")&amp;"-1")</f>
        <v/>
      </c>
      <c r="C1086" t="str">
        <f>IF(OR(Registro_Compras!$C$124="",Registro_Compras!$O$124=""),"",IF(Registro_Compras!$F$124="RHE",IF(Registro_Compras!$V$124=0,"","4017"),IF(Registro_Compras!$F$124="NOTA DE CREDITO",IF(Registro_Compras!$M$124="","63",Registro_Compras!$M$124),IF(Registro_Compras!$K$124=0,"","40111"))))</f>
        <v/>
      </c>
      <c r="D1086" t="str">
        <f>IF(OR(Registro_Compras!$C$124="",Registro_Compras!$O$124=""),"",IF(Registro_Compras!$F$124="RHE","Retencion Renta 4ta Categoria por Pagar",IF(Registro_Compras!$F$124="NOTA DE CREDITO","Gastos de Servicios Prestados por Terceros","IGV - Cuenta Propia (Credito Fiscal)")))</f>
        <v/>
      </c>
      <c r="E1086" s="20" t="str">
        <f>IF($C1086="","",IF(Registro_Compras!$F$124="FACTURA",ROUND(Registro_Compras!$K$124*Registro_Compras!$N$124,2),""))</f>
        <v/>
      </c>
      <c r="F1086" s="20" t="str">
        <f>IF($C1086="","",IF(Registro_Compras!$F$124="RHE",ROUND(Registro_Compras!$V$124*Registro_Compras!$N$124,2),IF(Registro_Compras!$F$124="NOTA DE CREDITO",ROUND(ABS(Registro_Compras!$J$124*Registro_Compras!$N$124),2),"")))</f>
        <v/>
      </c>
      <c r="G1086" t="str">
        <f>IF($C1086="","",IF(Registro_Compras!$F$124="NOTA DE CREDITO","Por la nota de credito "&amp;Registro_Compras!$C$124&amp;" de "&amp;Registro_Compras!$E$124&amp;" [PATRON POR CONFIRMAR CON CONTADOR]",IF(Registro_Compras!$F$124="RHE","Por el registro del recibo por honorarios "&amp;Registro_Compras!$C$124&amp;" de "&amp;Registro_Compras!$E$124&amp;" [PATRON POR CONFIRMAR CON CONTADOR]","Por el registro de la factura "&amp;Registro_Compras!$C$124&amp;" de "&amp;Registro_Compras!$E$124)))</f>
        <v/>
      </c>
      <c r="H1086" t="str">
        <f>IF($C1086="","",Registro_Compras!$C$124)</f>
        <v/>
      </c>
    </row>
    <row r="1087" spans="1:8" x14ac:dyDescent="0.25">
      <c r="A1087" s="25" t="str">
        <f>IF($C1087="","",Registro_Compras!$B$124)</f>
        <v/>
      </c>
      <c r="B1087" t="str">
        <f>IF($C1087="","","C"&amp;TEXT(INT((ROW()-5)/9)+1,"000")&amp;"-1")</f>
        <v/>
      </c>
      <c r="C1087" t="str">
        <f>IF(OR(Registro_Compras!$C$124="",Registro_Compras!$O$124=""),"",IF(Registro_Compras!$F$124="NOTA DE CREDITO",IF(Registro_Compras!$K$124=0,"","40111"),"4212"))</f>
        <v/>
      </c>
      <c r="D1087" t="str">
        <f>IF(OR(Registro_Compras!$C$124="",Registro_Compras!$O$124=""),"",IF(Registro_Compras!$F$124="NOTA DE CREDITO","IGV - Cuenta Propia (Credito Fiscal)","Cuentas por Pagar Comerciales - Terceros (Emitidas)"))</f>
        <v/>
      </c>
      <c r="E1087" s="20" t="str">
        <f>""</f>
        <v/>
      </c>
      <c r="F1087" s="20" t="str">
        <f>IF($C1087="","",IF(Registro_Compras!$F$124="NOTA DE CREDITO",ROUND(ABS(Registro_Compras!$K$124*Registro_Compras!$N$124),2),IF(Registro_Compras!$F$124="RHE",(ROUND(Registro_Compras!$L$124*Registro_Compras!$N$124,2)-ROUND(Registro_Compras!$V$124*Registro_Compras!$N$124,2)),Registro_Compras!$O$124)))</f>
        <v/>
      </c>
      <c r="G1087" t="str">
        <f>IF($C1087="","",IF(Registro_Compras!$F$124="NOTA DE CREDITO","Por la nota de credito "&amp;Registro_Compras!$C$124&amp;" de "&amp;Registro_Compras!$E$124&amp;" [PATRON POR CONFIRMAR CON CONTADOR]",IF(Registro_Compras!$F$124="RHE","Por el registro del recibo por honorarios "&amp;Registro_Compras!$C$124&amp;" de "&amp;Registro_Compras!$E$124&amp;" [PATRON POR CONFIRMAR CON CONTADOR]","Por el registro de la factura "&amp;Registro_Compras!$C$124&amp;" de "&amp;Registro_Compras!$E$124)))</f>
        <v/>
      </c>
      <c r="H1087" t="str">
        <f>IF($C1087="","",Registro_Compras!$C$124)</f>
        <v/>
      </c>
    </row>
    <row r="1088" spans="1:8" x14ac:dyDescent="0.25">
      <c r="A1088" s="25" t="str">
        <f>IF($C1088="","",Registro_Compras!$B$124)</f>
        <v/>
      </c>
      <c r="B1088" t="str">
        <f>IF($C1088="","","C"&amp;TEXT(INT((ROW()-5)/9)+1,"000")&amp;"-2")</f>
        <v/>
      </c>
      <c r="C1088" t="str">
        <f>IF(OR(Registro_Compras!$C$124="",Registro_Compras!$O$124=""),"",IF(Registro_Compras!$AB$124="ADMINISTRATIVO","94","95"))</f>
        <v/>
      </c>
      <c r="D1088" t="str">
        <f>IF(OR(Registro_Compras!$C$124="",Registro_Compras!$O$124=""),"",IF(Registro_Compras!$AB$124="ADMINISTRATIVO","Gastos Administrativos","Gastos de Venta y Operacion"))</f>
        <v/>
      </c>
      <c r="E1088" s="20" t="str">
        <f>IF($C1088="","",IF(Registro_Compras!$F$124="NOTA DE CREDITO","",IF(Registro_Compras!$F$124="RHE",ROUND(Registro_Compras!$L$124*Registro_Compras!$N$124,2),ROUND(Registro_Compras!$J$124*Registro_Compras!$N$124,2))))</f>
        <v/>
      </c>
      <c r="F1088" s="20" t="str">
        <f>IF($C1088="","",IF(Registro_Compras!$F$124="NOTA DE CREDITO",ROUND(ABS(Registro_Compras!$J$124*Registro_Compras!$N$124),2),""))</f>
        <v/>
      </c>
      <c r="G1088" t="str">
        <f>IF($C1088="","","Por el destino del gasto")</f>
        <v/>
      </c>
      <c r="H1088" t="str">
        <f>IF($C1088="","",Registro_Compras!$C$124)</f>
        <v/>
      </c>
    </row>
    <row r="1089" spans="1:8" x14ac:dyDescent="0.25">
      <c r="A1089" s="25" t="str">
        <f>IF($C1089="","",Registro_Compras!$B$124)</f>
        <v/>
      </c>
      <c r="B1089" t="str">
        <f>IF($C1089="","","C"&amp;TEXT(INT((ROW()-5)/9)+1,"000")&amp;"-2")</f>
        <v/>
      </c>
      <c r="C1089" t="str">
        <f>IF(OR(Registro_Compras!$C$124="",Registro_Compras!$O$124=""),"","79/791")</f>
        <v/>
      </c>
      <c r="D1089" t="str">
        <f>IF(OR(Registro_Compras!$C$124="",Registro_Compras!$O$124=""),"","Cargas Imputables a Cuentas de Costos y Gastos")</f>
        <v/>
      </c>
      <c r="E1089" s="20" t="str">
        <f>IF($C1089="","",IF(Registro_Compras!$F$124="NOTA DE CREDITO",ROUND(ABS(Registro_Compras!$J$124*Registro_Compras!$N$124),2),""))</f>
        <v/>
      </c>
      <c r="F1089" s="20" t="str">
        <f>IF($C1089="","",IF(Registro_Compras!$F$124="NOTA DE CREDITO","",IF(Registro_Compras!$F$124="RHE",ROUND(Registro_Compras!$L$124*Registro_Compras!$N$124,2),ROUND(Registro_Compras!$J$124*Registro_Compras!$N$124,2))))</f>
        <v/>
      </c>
      <c r="G1089" t="str">
        <f>IF($C1089="","","Por el destino del gasto")</f>
        <v/>
      </c>
      <c r="H1089" t="str">
        <f>IF($C1089="","",Registro_Compras!$C$124)</f>
        <v/>
      </c>
    </row>
    <row r="1090" spans="1:8" x14ac:dyDescent="0.25">
      <c r="A1090" s="25" t="str">
        <f>IF($C1090="","",Registro_Compras!$X$124)</f>
        <v/>
      </c>
      <c r="B1090" t="str">
        <f>IF($C1090="","","C"&amp;TEXT(INT((ROW()-5)/9)+1,"000")&amp;"-3")</f>
        <v/>
      </c>
      <c r="C1090" t="str">
        <f>IF(OR(Registro_Compras!$C$124="",Registro_Compras!$O$124="",Registro_Compras!$R$124&lt;&gt;"SI",Registro_Compras!$X$124=""),"","4212")</f>
        <v/>
      </c>
      <c r="D1090" t="str">
        <f>IF(OR(Registro_Compras!$C$124="",Registro_Compras!$O$124=""),"","Cuentas por Pagar Comerciales - Terceros")</f>
        <v/>
      </c>
      <c r="E1090" s="20" t="str">
        <f>IF($C1090="","",Registro_Compras!$S$124)</f>
        <v/>
      </c>
      <c r="F1090" s="20" t="str">
        <f>""</f>
        <v/>
      </c>
      <c r="G1090" t="str">
        <f>IF($C1090="","","Por el deposito de la detraccion en el Banco de la Nacion")</f>
        <v/>
      </c>
      <c r="H1090" t="str">
        <f>IF($C1090="","",Registro_Compras!$C$124)</f>
        <v/>
      </c>
    </row>
    <row r="1091" spans="1:8" x14ac:dyDescent="0.25">
      <c r="A1091" s="25" t="str">
        <f>IF($C1091="","",Registro_Compras!$X$124)</f>
        <v/>
      </c>
      <c r="B1091" t="str">
        <f>IF($C1091="","","C"&amp;TEXT(INT((ROW()-5)/9)+1,"000")&amp;"-3")</f>
        <v/>
      </c>
      <c r="C1091" t="str">
        <f>IF(OR(Registro_Compras!$C$124="",Registro_Compras!$O$124="",Registro_Compras!$R$124&lt;&gt;"SI",Registro_Compras!$X$124=""),"","1041")</f>
        <v/>
      </c>
      <c r="D1091" t="str">
        <f>IF(OR(Registro_Compras!$C$124="",Registro_Compras!$O$124=""),"","Efectivo y Equivalentes - Cta. Cte. Operativa")</f>
        <v/>
      </c>
      <c r="E1091" s="20" t="str">
        <f>""</f>
        <v/>
      </c>
      <c r="F1091" s="20" t="str">
        <f>IF($C1091="","",Registro_Compras!$S$124)</f>
        <v/>
      </c>
      <c r="G1091" t="str">
        <f>IF($C1091="","","Por el deposito de la detraccion en el Banco de la Nacion")</f>
        <v/>
      </c>
      <c r="H1091" t="str">
        <f>IF($C1091="","",Registro_Compras!$C$124)</f>
        <v/>
      </c>
    </row>
    <row r="1092" spans="1:8" x14ac:dyDescent="0.25">
      <c r="A1092" s="25" t="str">
        <f>IF($C1092="","",Registro_Compras!$Y$124)</f>
        <v/>
      </c>
      <c r="B1092" t="str">
        <f>IF($C1092="","","C"&amp;TEXT(INT((ROW()-5)/9)+1,"000")&amp;"-4")</f>
        <v/>
      </c>
      <c r="C1092" t="str">
        <f>IF(OR(Registro_Compras!$C$124="",Registro_Compras!$O$124="",Registro_Compras!$Y$124="",Registro_Compras!$F$124="NOTA DE CREDITO"),"","4212")</f>
        <v/>
      </c>
      <c r="D1092" t="str">
        <f>IF(OR(Registro_Compras!$C$124="",Registro_Compras!$O$124=""),"","Cuentas por Pagar Comerciales - Terceros")</f>
        <v/>
      </c>
      <c r="E1092" s="20" t="str">
        <f>IF($C1092="","",IF(Registro_Compras!$F$124="RHE",(ROUND(Registro_Compras!$L$124*Registro_Compras!$N$124,2)-ROUND(Registro_Compras!$V$124*Registro_Compras!$N$124,2)),ROUND(Registro_Compras!$O$124-Registro_Compras!$S$124,2)))</f>
        <v/>
      </c>
      <c r="F1092" s="20" t="str">
        <f>""</f>
        <v/>
      </c>
      <c r="G1092" t="str">
        <f>IF($C1092="","","Por la cancelacion del saldo al proveedor")</f>
        <v/>
      </c>
      <c r="H1092" t="str">
        <f>IF($C1092="","",Registro_Compras!$C$124)</f>
        <v/>
      </c>
    </row>
    <row r="1093" spans="1:8" x14ac:dyDescent="0.25">
      <c r="A1093" s="25" t="str">
        <f>IF($C1093="","",Registro_Compras!$Y$124)</f>
        <v/>
      </c>
      <c r="B1093" t="str">
        <f>IF($C1093="","","C"&amp;TEXT(INT((ROW()-5)/9)+1,"000")&amp;"-4")</f>
        <v/>
      </c>
      <c r="C1093" t="str">
        <f>IF(OR(Registro_Compras!$C$124="",Registro_Compras!$O$124="",Registro_Compras!$Y$124="",Registro_Compras!$F$124="NOTA DE CREDITO"),"","1041")</f>
        <v/>
      </c>
      <c r="D1093" t="str">
        <f>IF(OR(Registro_Compras!$C$124="",Registro_Compras!$O$124=""),"","Efectivo y Equivalentes - Cta. Cte. Operativa")</f>
        <v/>
      </c>
      <c r="E1093" s="20" t="str">
        <f>""</f>
        <v/>
      </c>
      <c r="F1093" s="20" t="str">
        <f>IF($C1093="","",IF(Registro_Compras!$F$124="RHE",(ROUND(Registro_Compras!$L$124*Registro_Compras!$N$124,2)-ROUND(Registro_Compras!$V$124*Registro_Compras!$N$124,2)),ROUND(Registro_Compras!$O$124-Registro_Compras!$S$124,2)))</f>
        <v/>
      </c>
      <c r="G1093" t="str">
        <f>IF($C1093="","","Por la cancelacion del saldo al proveedor")</f>
        <v/>
      </c>
      <c r="H1093" t="str">
        <f>IF($C1093="","",Registro_Compras!$C$124)</f>
        <v/>
      </c>
    </row>
    <row r="1094" spans="1:8" x14ac:dyDescent="0.25">
      <c r="A1094" s="25" t="str">
        <f>IF($C1094="","",Registro_Compras!$B$125)</f>
        <v/>
      </c>
      <c r="B1094" t="str">
        <f>IF($C1094="","","C"&amp;TEXT(INT((ROW()-5)/9)+1,"000")&amp;"-1")</f>
        <v/>
      </c>
      <c r="C1094" t="str">
        <f>IF(OR(Registro_Compras!$C$125="",Registro_Compras!$O$125=""),"",IF(Registro_Compras!$F$125="NOTA DE CREDITO","4212",IF(Registro_Compras!$M$125="","63",Registro_Compras!$M$125)))</f>
        <v/>
      </c>
      <c r="D1094" t="str">
        <f>IF(OR(Registro_Compras!$C$125="",Registro_Compras!$O$125=""),"",IF(Registro_Compras!$F$125="NOTA DE CREDITO","Cuentas por Pagar Comerciales - Terceros (Emitidas)",IF(Registro_Compras!$F$125="RHE","Honorarios Profesionales - Servicios de Terceros","Gastos de Servicios Prestados por Terceros")))</f>
        <v/>
      </c>
      <c r="E1094" s="20" t="str">
        <f>IF($C1094="","",IF(Registro_Compras!$F$125="NOTA DE CREDITO",ABS(Registro_Compras!$O$125),IF(Registro_Compras!$F$125="RHE",ROUND(Registro_Compras!$L$125*Registro_Compras!$N$125,2),ROUND(Registro_Compras!$J$125*Registro_Compras!$N$125,2))))</f>
        <v/>
      </c>
      <c r="F1094" s="20" t="str">
        <f>""</f>
        <v/>
      </c>
      <c r="G1094" t="str">
        <f>IF($C1094="","",IF(Registro_Compras!$F$125="NOTA DE CREDITO","Por la nota de credito "&amp;Registro_Compras!$C$125&amp;" de "&amp;Registro_Compras!$E$125&amp;" [PATRON POR CONFIRMAR CON CONTADOR]",IF(Registro_Compras!$F$125="RHE","Por el registro del recibo por honorarios "&amp;Registro_Compras!$C$125&amp;" de "&amp;Registro_Compras!$E$125&amp;" [PATRON POR CONFIRMAR CON CONTADOR]","Por el registro de la factura "&amp;Registro_Compras!$C$125&amp;" de "&amp;Registro_Compras!$E$125)))</f>
        <v/>
      </c>
      <c r="H1094" t="str">
        <f>IF($C1094="","",Registro_Compras!$C$125)</f>
        <v/>
      </c>
    </row>
    <row r="1095" spans="1:8" x14ac:dyDescent="0.25">
      <c r="A1095" s="25" t="str">
        <f>IF($C1095="","",Registro_Compras!$B$125)</f>
        <v/>
      </c>
      <c r="B1095" t="str">
        <f>IF($C1095="","","C"&amp;TEXT(INT((ROW()-5)/9)+1,"000")&amp;"-1")</f>
        <v/>
      </c>
      <c r="C1095" t="str">
        <f>IF(OR(Registro_Compras!$C$125="",Registro_Compras!$O$125=""),"",IF(Registro_Compras!$F$125="RHE",IF(Registro_Compras!$V$125=0,"","4017"),IF(Registro_Compras!$F$125="NOTA DE CREDITO",IF(Registro_Compras!$M$125="","63",Registro_Compras!$M$125),IF(Registro_Compras!$K$125=0,"","40111"))))</f>
        <v/>
      </c>
      <c r="D1095" t="str">
        <f>IF(OR(Registro_Compras!$C$125="",Registro_Compras!$O$125=""),"",IF(Registro_Compras!$F$125="RHE","Retencion Renta 4ta Categoria por Pagar",IF(Registro_Compras!$F$125="NOTA DE CREDITO","Gastos de Servicios Prestados por Terceros","IGV - Cuenta Propia (Credito Fiscal)")))</f>
        <v/>
      </c>
      <c r="E1095" s="20" t="str">
        <f>IF($C1095="","",IF(Registro_Compras!$F$125="FACTURA",ROUND(Registro_Compras!$K$125*Registro_Compras!$N$125,2),""))</f>
        <v/>
      </c>
      <c r="F1095" s="20" t="str">
        <f>IF($C1095="","",IF(Registro_Compras!$F$125="RHE",ROUND(Registro_Compras!$V$125*Registro_Compras!$N$125,2),IF(Registro_Compras!$F$125="NOTA DE CREDITO",ROUND(ABS(Registro_Compras!$J$125*Registro_Compras!$N$125),2),"")))</f>
        <v/>
      </c>
      <c r="G1095" t="str">
        <f>IF($C1095="","",IF(Registro_Compras!$F$125="NOTA DE CREDITO","Por la nota de credito "&amp;Registro_Compras!$C$125&amp;" de "&amp;Registro_Compras!$E$125&amp;" [PATRON POR CONFIRMAR CON CONTADOR]",IF(Registro_Compras!$F$125="RHE","Por el registro del recibo por honorarios "&amp;Registro_Compras!$C$125&amp;" de "&amp;Registro_Compras!$E$125&amp;" [PATRON POR CONFIRMAR CON CONTADOR]","Por el registro de la factura "&amp;Registro_Compras!$C$125&amp;" de "&amp;Registro_Compras!$E$125)))</f>
        <v/>
      </c>
      <c r="H1095" t="str">
        <f>IF($C1095="","",Registro_Compras!$C$125)</f>
        <v/>
      </c>
    </row>
    <row r="1096" spans="1:8" x14ac:dyDescent="0.25">
      <c r="A1096" s="25" t="str">
        <f>IF($C1096="","",Registro_Compras!$B$125)</f>
        <v/>
      </c>
      <c r="B1096" t="str">
        <f>IF($C1096="","","C"&amp;TEXT(INT((ROW()-5)/9)+1,"000")&amp;"-1")</f>
        <v/>
      </c>
      <c r="C1096" t="str">
        <f>IF(OR(Registro_Compras!$C$125="",Registro_Compras!$O$125=""),"",IF(Registro_Compras!$F$125="NOTA DE CREDITO",IF(Registro_Compras!$K$125=0,"","40111"),"4212"))</f>
        <v/>
      </c>
      <c r="D1096" t="str">
        <f>IF(OR(Registro_Compras!$C$125="",Registro_Compras!$O$125=""),"",IF(Registro_Compras!$F$125="NOTA DE CREDITO","IGV - Cuenta Propia (Credito Fiscal)","Cuentas por Pagar Comerciales - Terceros (Emitidas)"))</f>
        <v/>
      </c>
      <c r="E1096" s="20" t="str">
        <f>""</f>
        <v/>
      </c>
      <c r="F1096" s="20" t="str">
        <f>IF($C1096="","",IF(Registro_Compras!$F$125="NOTA DE CREDITO",ROUND(ABS(Registro_Compras!$K$125*Registro_Compras!$N$125),2),IF(Registro_Compras!$F$125="RHE",(ROUND(Registro_Compras!$L$125*Registro_Compras!$N$125,2)-ROUND(Registro_Compras!$V$125*Registro_Compras!$N$125,2)),Registro_Compras!$O$125)))</f>
        <v/>
      </c>
      <c r="G1096" t="str">
        <f>IF($C1096="","",IF(Registro_Compras!$F$125="NOTA DE CREDITO","Por la nota de credito "&amp;Registro_Compras!$C$125&amp;" de "&amp;Registro_Compras!$E$125&amp;" [PATRON POR CONFIRMAR CON CONTADOR]",IF(Registro_Compras!$F$125="RHE","Por el registro del recibo por honorarios "&amp;Registro_Compras!$C$125&amp;" de "&amp;Registro_Compras!$E$125&amp;" [PATRON POR CONFIRMAR CON CONTADOR]","Por el registro de la factura "&amp;Registro_Compras!$C$125&amp;" de "&amp;Registro_Compras!$E$125)))</f>
        <v/>
      </c>
      <c r="H1096" t="str">
        <f>IF($C1096="","",Registro_Compras!$C$125)</f>
        <v/>
      </c>
    </row>
    <row r="1097" spans="1:8" x14ac:dyDescent="0.25">
      <c r="A1097" s="25" t="str">
        <f>IF($C1097="","",Registro_Compras!$B$125)</f>
        <v/>
      </c>
      <c r="B1097" t="str">
        <f>IF($C1097="","","C"&amp;TEXT(INT((ROW()-5)/9)+1,"000")&amp;"-2")</f>
        <v/>
      </c>
      <c r="C1097" t="str">
        <f>IF(OR(Registro_Compras!$C$125="",Registro_Compras!$O$125=""),"",IF(Registro_Compras!$AB$125="ADMINISTRATIVO","94","95"))</f>
        <v/>
      </c>
      <c r="D1097" t="str">
        <f>IF(OR(Registro_Compras!$C$125="",Registro_Compras!$O$125=""),"",IF(Registro_Compras!$AB$125="ADMINISTRATIVO","Gastos Administrativos","Gastos de Venta y Operacion"))</f>
        <v/>
      </c>
      <c r="E1097" s="20" t="str">
        <f>IF($C1097="","",IF(Registro_Compras!$F$125="NOTA DE CREDITO","",IF(Registro_Compras!$F$125="RHE",ROUND(Registro_Compras!$L$125*Registro_Compras!$N$125,2),ROUND(Registro_Compras!$J$125*Registro_Compras!$N$125,2))))</f>
        <v/>
      </c>
      <c r="F1097" s="20" t="str">
        <f>IF($C1097="","",IF(Registro_Compras!$F$125="NOTA DE CREDITO",ROUND(ABS(Registro_Compras!$J$125*Registro_Compras!$N$125),2),""))</f>
        <v/>
      </c>
      <c r="G1097" t="str">
        <f>IF($C1097="","","Por el destino del gasto")</f>
        <v/>
      </c>
      <c r="H1097" t="str">
        <f>IF($C1097="","",Registro_Compras!$C$125)</f>
        <v/>
      </c>
    </row>
    <row r="1098" spans="1:8" x14ac:dyDescent="0.25">
      <c r="A1098" s="25" t="str">
        <f>IF($C1098="","",Registro_Compras!$B$125)</f>
        <v/>
      </c>
      <c r="B1098" t="str">
        <f>IF($C1098="","","C"&amp;TEXT(INT((ROW()-5)/9)+1,"000")&amp;"-2")</f>
        <v/>
      </c>
      <c r="C1098" t="str">
        <f>IF(OR(Registro_Compras!$C$125="",Registro_Compras!$O$125=""),"","79/791")</f>
        <v/>
      </c>
      <c r="D1098" t="str">
        <f>IF(OR(Registro_Compras!$C$125="",Registro_Compras!$O$125=""),"","Cargas Imputables a Cuentas de Costos y Gastos")</f>
        <v/>
      </c>
      <c r="E1098" s="20" t="str">
        <f>IF($C1098="","",IF(Registro_Compras!$F$125="NOTA DE CREDITO",ROUND(ABS(Registro_Compras!$J$125*Registro_Compras!$N$125),2),""))</f>
        <v/>
      </c>
      <c r="F1098" s="20" t="str">
        <f>IF($C1098="","",IF(Registro_Compras!$F$125="NOTA DE CREDITO","",IF(Registro_Compras!$F$125="RHE",ROUND(Registro_Compras!$L$125*Registro_Compras!$N$125,2),ROUND(Registro_Compras!$J$125*Registro_Compras!$N$125,2))))</f>
        <v/>
      </c>
      <c r="G1098" t="str">
        <f>IF($C1098="","","Por el destino del gasto")</f>
        <v/>
      </c>
      <c r="H1098" t="str">
        <f>IF($C1098="","",Registro_Compras!$C$125)</f>
        <v/>
      </c>
    </row>
    <row r="1099" spans="1:8" x14ac:dyDescent="0.25">
      <c r="A1099" s="25" t="str">
        <f>IF($C1099="","",Registro_Compras!$X$125)</f>
        <v/>
      </c>
      <c r="B1099" t="str">
        <f>IF($C1099="","","C"&amp;TEXT(INT((ROW()-5)/9)+1,"000")&amp;"-3")</f>
        <v/>
      </c>
      <c r="C1099" t="str">
        <f>IF(OR(Registro_Compras!$C$125="",Registro_Compras!$O$125="",Registro_Compras!$R$125&lt;&gt;"SI",Registro_Compras!$X$125=""),"","4212")</f>
        <v/>
      </c>
      <c r="D1099" t="str">
        <f>IF(OR(Registro_Compras!$C$125="",Registro_Compras!$O$125=""),"","Cuentas por Pagar Comerciales - Terceros")</f>
        <v/>
      </c>
      <c r="E1099" s="20" t="str">
        <f>IF($C1099="","",Registro_Compras!$S$125)</f>
        <v/>
      </c>
      <c r="F1099" s="20" t="str">
        <f>""</f>
        <v/>
      </c>
      <c r="G1099" t="str">
        <f>IF($C1099="","","Por el deposito de la detraccion en el Banco de la Nacion")</f>
        <v/>
      </c>
      <c r="H1099" t="str">
        <f>IF($C1099="","",Registro_Compras!$C$125)</f>
        <v/>
      </c>
    </row>
    <row r="1100" spans="1:8" x14ac:dyDescent="0.25">
      <c r="A1100" s="25" t="str">
        <f>IF($C1100="","",Registro_Compras!$X$125)</f>
        <v/>
      </c>
      <c r="B1100" t="str">
        <f>IF($C1100="","","C"&amp;TEXT(INT((ROW()-5)/9)+1,"000")&amp;"-3")</f>
        <v/>
      </c>
      <c r="C1100" t="str">
        <f>IF(OR(Registro_Compras!$C$125="",Registro_Compras!$O$125="",Registro_Compras!$R$125&lt;&gt;"SI",Registro_Compras!$X$125=""),"","1041")</f>
        <v/>
      </c>
      <c r="D1100" t="str">
        <f>IF(OR(Registro_Compras!$C$125="",Registro_Compras!$O$125=""),"","Efectivo y Equivalentes - Cta. Cte. Operativa")</f>
        <v/>
      </c>
      <c r="E1100" s="20" t="str">
        <f>""</f>
        <v/>
      </c>
      <c r="F1100" s="20" t="str">
        <f>IF($C1100="","",Registro_Compras!$S$125)</f>
        <v/>
      </c>
      <c r="G1100" t="str">
        <f>IF($C1100="","","Por el deposito de la detraccion en el Banco de la Nacion")</f>
        <v/>
      </c>
      <c r="H1100" t="str">
        <f>IF($C1100="","",Registro_Compras!$C$125)</f>
        <v/>
      </c>
    </row>
    <row r="1101" spans="1:8" x14ac:dyDescent="0.25">
      <c r="A1101" s="25" t="str">
        <f>IF($C1101="","",Registro_Compras!$Y$125)</f>
        <v/>
      </c>
      <c r="B1101" t="str">
        <f>IF($C1101="","","C"&amp;TEXT(INT((ROW()-5)/9)+1,"000")&amp;"-4")</f>
        <v/>
      </c>
      <c r="C1101" t="str">
        <f>IF(OR(Registro_Compras!$C$125="",Registro_Compras!$O$125="",Registro_Compras!$Y$125="",Registro_Compras!$F$125="NOTA DE CREDITO"),"","4212")</f>
        <v/>
      </c>
      <c r="D1101" t="str">
        <f>IF(OR(Registro_Compras!$C$125="",Registro_Compras!$O$125=""),"","Cuentas por Pagar Comerciales - Terceros")</f>
        <v/>
      </c>
      <c r="E1101" s="20" t="str">
        <f>IF($C1101="","",IF(Registro_Compras!$F$125="RHE",(ROUND(Registro_Compras!$L$125*Registro_Compras!$N$125,2)-ROUND(Registro_Compras!$V$125*Registro_Compras!$N$125,2)),ROUND(Registro_Compras!$O$125-Registro_Compras!$S$125,2)))</f>
        <v/>
      </c>
      <c r="F1101" s="20" t="str">
        <f>""</f>
        <v/>
      </c>
      <c r="G1101" t="str">
        <f>IF($C1101="","","Por la cancelacion del saldo al proveedor")</f>
        <v/>
      </c>
      <c r="H1101" t="str">
        <f>IF($C1101="","",Registro_Compras!$C$125)</f>
        <v/>
      </c>
    </row>
    <row r="1102" spans="1:8" x14ac:dyDescent="0.25">
      <c r="A1102" s="25" t="str">
        <f>IF($C1102="","",Registro_Compras!$Y$125)</f>
        <v/>
      </c>
      <c r="B1102" t="str">
        <f>IF($C1102="","","C"&amp;TEXT(INT((ROW()-5)/9)+1,"000")&amp;"-4")</f>
        <v/>
      </c>
      <c r="C1102" t="str">
        <f>IF(OR(Registro_Compras!$C$125="",Registro_Compras!$O$125="",Registro_Compras!$Y$125="",Registro_Compras!$F$125="NOTA DE CREDITO"),"","1041")</f>
        <v/>
      </c>
      <c r="D1102" t="str">
        <f>IF(OR(Registro_Compras!$C$125="",Registro_Compras!$O$125=""),"","Efectivo y Equivalentes - Cta. Cte. Operativa")</f>
        <v/>
      </c>
      <c r="E1102" s="20" t="str">
        <f>""</f>
        <v/>
      </c>
      <c r="F1102" s="20" t="str">
        <f>IF($C1102="","",IF(Registro_Compras!$F$125="RHE",(ROUND(Registro_Compras!$L$125*Registro_Compras!$N$125,2)-ROUND(Registro_Compras!$V$125*Registro_Compras!$N$125,2)),ROUND(Registro_Compras!$O$125-Registro_Compras!$S$125,2)))</f>
        <v/>
      </c>
      <c r="G1102" t="str">
        <f>IF($C1102="","","Por la cancelacion del saldo al proveedor")</f>
        <v/>
      </c>
      <c r="H1102" t="str">
        <f>IF($C1102="","",Registro_Compras!$C$125)</f>
        <v/>
      </c>
    </row>
    <row r="1103" spans="1:8" x14ac:dyDescent="0.25">
      <c r="A1103" s="25" t="str">
        <f>IF($C1103="","",Registro_Compras!$B$126)</f>
        <v/>
      </c>
      <c r="B1103" t="str">
        <f>IF($C1103="","","C"&amp;TEXT(INT((ROW()-5)/9)+1,"000")&amp;"-1")</f>
        <v/>
      </c>
      <c r="C1103" t="str">
        <f>IF(OR(Registro_Compras!$C$126="",Registro_Compras!$O$126=""),"",IF(Registro_Compras!$F$126="NOTA DE CREDITO","4212",IF(Registro_Compras!$M$126="","63",Registro_Compras!$M$126)))</f>
        <v/>
      </c>
      <c r="D1103" t="str">
        <f>IF(OR(Registro_Compras!$C$126="",Registro_Compras!$O$126=""),"",IF(Registro_Compras!$F$126="NOTA DE CREDITO","Cuentas por Pagar Comerciales - Terceros (Emitidas)",IF(Registro_Compras!$F$126="RHE","Honorarios Profesionales - Servicios de Terceros","Gastos de Servicios Prestados por Terceros")))</f>
        <v/>
      </c>
      <c r="E1103" s="20" t="str">
        <f>IF($C1103="","",IF(Registro_Compras!$F$126="NOTA DE CREDITO",ABS(Registro_Compras!$O$126),IF(Registro_Compras!$F$126="RHE",ROUND(Registro_Compras!$L$126*Registro_Compras!$N$126,2),ROUND(Registro_Compras!$J$126*Registro_Compras!$N$126,2))))</f>
        <v/>
      </c>
      <c r="F1103" s="20" t="str">
        <f>""</f>
        <v/>
      </c>
      <c r="G1103" t="str">
        <f>IF($C1103="","",IF(Registro_Compras!$F$126="NOTA DE CREDITO","Por la nota de credito "&amp;Registro_Compras!$C$126&amp;" de "&amp;Registro_Compras!$E$126&amp;" [PATRON POR CONFIRMAR CON CONTADOR]",IF(Registro_Compras!$F$126="RHE","Por el registro del recibo por honorarios "&amp;Registro_Compras!$C$126&amp;" de "&amp;Registro_Compras!$E$126&amp;" [PATRON POR CONFIRMAR CON CONTADOR]","Por el registro de la factura "&amp;Registro_Compras!$C$126&amp;" de "&amp;Registro_Compras!$E$126)))</f>
        <v/>
      </c>
      <c r="H1103" t="str">
        <f>IF($C1103="","",Registro_Compras!$C$126)</f>
        <v/>
      </c>
    </row>
    <row r="1104" spans="1:8" x14ac:dyDescent="0.25">
      <c r="A1104" s="25" t="str">
        <f>IF($C1104="","",Registro_Compras!$B$126)</f>
        <v/>
      </c>
      <c r="B1104" t="str">
        <f>IF($C1104="","","C"&amp;TEXT(INT((ROW()-5)/9)+1,"000")&amp;"-1")</f>
        <v/>
      </c>
      <c r="C1104" t="str">
        <f>IF(OR(Registro_Compras!$C$126="",Registro_Compras!$O$126=""),"",IF(Registro_Compras!$F$126="RHE",IF(Registro_Compras!$V$126=0,"","4017"),IF(Registro_Compras!$F$126="NOTA DE CREDITO",IF(Registro_Compras!$M$126="","63",Registro_Compras!$M$126),IF(Registro_Compras!$K$126=0,"","40111"))))</f>
        <v/>
      </c>
      <c r="D1104" t="str">
        <f>IF(OR(Registro_Compras!$C$126="",Registro_Compras!$O$126=""),"",IF(Registro_Compras!$F$126="RHE","Retencion Renta 4ta Categoria por Pagar",IF(Registro_Compras!$F$126="NOTA DE CREDITO","Gastos de Servicios Prestados por Terceros","IGV - Cuenta Propia (Credito Fiscal)")))</f>
        <v/>
      </c>
      <c r="E1104" s="20" t="str">
        <f>IF($C1104="","",IF(Registro_Compras!$F$126="FACTURA",ROUND(Registro_Compras!$K$126*Registro_Compras!$N$126,2),""))</f>
        <v/>
      </c>
      <c r="F1104" s="20" t="str">
        <f>IF($C1104="","",IF(Registro_Compras!$F$126="RHE",ROUND(Registro_Compras!$V$126*Registro_Compras!$N$126,2),IF(Registro_Compras!$F$126="NOTA DE CREDITO",ROUND(ABS(Registro_Compras!$J$126*Registro_Compras!$N$126),2),"")))</f>
        <v/>
      </c>
      <c r="G1104" t="str">
        <f>IF($C1104="","",IF(Registro_Compras!$F$126="NOTA DE CREDITO","Por la nota de credito "&amp;Registro_Compras!$C$126&amp;" de "&amp;Registro_Compras!$E$126&amp;" [PATRON POR CONFIRMAR CON CONTADOR]",IF(Registro_Compras!$F$126="RHE","Por el registro del recibo por honorarios "&amp;Registro_Compras!$C$126&amp;" de "&amp;Registro_Compras!$E$126&amp;" [PATRON POR CONFIRMAR CON CONTADOR]","Por el registro de la factura "&amp;Registro_Compras!$C$126&amp;" de "&amp;Registro_Compras!$E$126)))</f>
        <v/>
      </c>
      <c r="H1104" t="str">
        <f>IF($C1104="","",Registro_Compras!$C$126)</f>
        <v/>
      </c>
    </row>
    <row r="1105" spans="1:8" x14ac:dyDescent="0.25">
      <c r="A1105" s="25" t="str">
        <f>IF($C1105="","",Registro_Compras!$B$126)</f>
        <v/>
      </c>
      <c r="B1105" t="str">
        <f>IF($C1105="","","C"&amp;TEXT(INT((ROW()-5)/9)+1,"000")&amp;"-1")</f>
        <v/>
      </c>
      <c r="C1105" t="str">
        <f>IF(OR(Registro_Compras!$C$126="",Registro_Compras!$O$126=""),"",IF(Registro_Compras!$F$126="NOTA DE CREDITO",IF(Registro_Compras!$K$126=0,"","40111"),"4212"))</f>
        <v/>
      </c>
      <c r="D1105" t="str">
        <f>IF(OR(Registro_Compras!$C$126="",Registro_Compras!$O$126=""),"",IF(Registro_Compras!$F$126="NOTA DE CREDITO","IGV - Cuenta Propia (Credito Fiscal)","Cuentas por Pagar Comerciales - Terceros (Emitidas)"))</f>
        <v/>
      </c>
      <c r="E1105" s="20" t="str">
        <f>""</f>
        <v/>
      </c>
      <c r="F1105" s="20" t="str">
        <f>IF($C1105="","",IF(Registro_Compras!$F$126="NOTA DE CREDITO",ROUND(ABS(Registro_Compras!$K$126*Registro_Compras!$N$126),2),IF(Registro_Compras!$F$126="RHE",(ROUND(Registro_Compras!$L$126*Registro_Compras!$N$126,2)-ROUND(Registro_Compras!$V$126*Registro_Compras!$N$126,2)),Registro_Compras!$O$126)))</f>
        <v/>
      </c>
      <c r="G1105" t="str">
        <f>IF($C1105="","",IF(Registro_Compras!$F$126="NOTA DE CREDITO","Por la nota de credito "&amp;Registro_Compras!$C$126&amp;" de "&amp;Registro_Compras!$E$126&amp;" [PATRON POR CONFIRMAR CON CONTADOR]",IF(Registro_Compras!$F$126="RHE","Por el registro del recibo por honorarios "&amp;Registro_Compras!$C$126&amp;" de "&amp;Registro_Compras!$E$126&amp;" [PATRON POR CONFIRMAR CON CONTADOR]","Por el registro de la factura "&amp;Registro_Compras!$C$126&amp;" de "&amp;Registro_Compras!$E$126)))</f>
        <v/>
      </c>
      <c r="H1105" t="str">
        <f>IF($C1105="","",Registro_Compras!$C$126)</f>
        <v/>
      </c>
    </row>
    <row r="1106" spans="1:8" x14ac:dyDescent="0.25">
      <c r="A1106" s="25" t="str">
        <f>IF($C1106="","",Registro_Compras!$B$126)</f>
        <v/>
      </c>
      <c r="B1106" t="str">
        <f>IF($C1106="","","C"&amp;TEXT(INT((ROW()-5)/9)+1,"000")&amp;"-2")</f>
        <v/>
      </c>
      <c r="C1106" t="str">
        <f>IF(OR(Registro_Compras!$C$126="",Registro_Compras!$O$126=""),"",IF(Registro_Compras!$AB$126="ADMINISTRATIVO","94","95"))</f>
        <v/>
      </c>
      <c r="D1106" t="str">
        <f>IF(OR(Registro_Compras!$C$126="",Registro_Compras!$O$126=""),"",IF(Registro_Compras!$AB$126="ADMINISTRATIVO","Gastos Administrativos","Gastos de Venta y Operacion"))</f>
        <v/>
      </c>
      <c r="E1106" s="20" t="str">
        <f>IF($C1106="","",IF(Registro_Compras!$F$126="NOTA DE CREDITO","",IF(Registro_Compras!$F$126="RHE",ROUND(Registro_Compras!$L$126*Registro_Compras!$N$126,2),ROUND(Registro_Compras!$J$126*Registro_Compras!$N$126,2))))</f>
        <v/>
      </c>
      <c r="F1106" s="20" t="str">
        <f>IF($C1106="","",IF(Registro_Compras!$F$126="NOTA DE CREDITO",ROUND(ABS(Registro_Compras!$J$126*Registro_Compras!$N$126),2),""))</f>
        <v/>
      </c>
      <c r="G1106" t="str">
        <f>IF($C1106="","","Por el destino del gasto")</f>
        <v/>
      </c>
      <c r="H1106" t="str">
        <f>IF($C1106="","",Registro_Compras!$C$126)</f>
        <v/>
      </c>
    </row>
    <row r="1107" spans="1:8" x14ac:dyDescent="0.25">
      <c r="A1107" s="25" t="str">
        <f>IF($C1107="","",Registro_Compras!$B$126)</f>
        <v/>
      </c>
      <c r="B1107" t="str">
        <f>IF($C1107="","","C"&amp;TEXT(INT((ROW()-5)/9)+1,"000")&amp;"-2")</f>
        <v/>
      </c>
      <c r="C1107" t="str">
        <f>IF(OR(Registro_Compras!$C$126="",Registro_Compras!$O$126=""),"","79/791")</f>
        <v/>
      </c>
      <c r="D1107" t="str">
        <f>IF(OR(Registro_Compras!$C$126="",Registro_Compras!$O$126=""),"","Cargas Imputables a Cuentas de Costos y Gastos")</f>
        <v/>
      </c>
      <c r="E1107" s="20" t="str">
        <f>IF($C1107="","",IF(Registro_Compras!$F$126="NOTA DE CREDITO",ROUND(ABS(Registro_Compras!$J$126*Registro_Compras!$N$126),2),""))</f>
        <v/>
      </c>
      <c r="F1107" s="20" t="str">
        <f>IF($C1107="","",IF(Registro_Compras!$F$126="NOTA DE CREDITO","",IF(Registro_Compras!$F$126="RHE",ROUND(Registro_Compras!$L$126*Registro_Compras!$N$126,2),ROUND(Registro_Compras!$J$126*Registro_Compras!$N$126,2))))</f>
        <v/>
      </c>
      <c r="G1107" t="str">
        <f>IF($C1107="","","Por el destino del gasto")</f>
        <v/>
      </c>
      <c r="H1107" t="str">
        <f>IF($C1107="","",Registro_Compras!$C$126)</f>
        <v/>
      </c>
    </row>
    <row r="1108" spans="1:8" x14ac:dyDescent="0.25">
      <c r="A1108" s="25" t="str">
        <f>IF($C1108="","",Registro_Compras!$X$126)</f>
        <v/>
      </c>
      <c r="B1108" t="str">
        <f>IF($C1108="","","C"&amp;TEXT(INT((ROW()-5)/9)+1,"000")&amp;"-3")</f>
        <v/>
      </c>
      <c r="C1108" t="str">
        <f>IF(OR(Registro_Compras!$C$126="",Registro_Compras!$O$126="",Registro_Compras!$R$126&lt;&gt;"SI",Registro_Compras!$X$126=""),"","4212")</f>
        <v/>
      </c>
      <c r="D1108" t="str">
        <f>IF(OR(Registro_Compras!$C$126="",Registro_Compras!$O$126=""),"","Cuentas por Pagar Comerciales - Terceros")</f>
        <v/>
      </c>
      <c r="E1108" s="20" t="str">
        <f>IF($C1108="","",Registro_Compras!$S$126)</f>
        <v/>
      </c>
      <c r="F1108" s="20" t="str">
        <f>""</f>
        <v/>
      </c>
      <c r="G1108" t="str">
        <f>IF($C1108="","","Por el deposito de la detraccion en el Banco de la Nacion")</f>
        <v/>
      </c>
      <c r="H1108" t="str">
        <f>IF($C1108="","",Registro_Compras!$C$126)</f>
        <v/>
      </c>
    </row>
    <row r="1109" spans="1:8" x14ac:dyDescent="0.25">
      <c r="A1109" s="25" t="str">
        <f>IF($C1109="","",Registro_Compras!$X$126)</f>
        <v/>
      </c>
      <c r="B1109" t="str">
        <f>IF($C1109="","","C"&amp;TEXT(INT((ROW()-5)/9)+1,"000")&amp;"-3")</f>
        <v/>
      </c>
      <c r="C1109" t="str">
        <f>IF(OR(Registro_Compras!$C$126="",Registro_Compras!$O$126="",Registro_Compras!$R$126&lt;&gt;"SI",Registro_Compras!$X$126=""),"","1041")</f>
        <v/>
      </c>
      <c r="D1109" t="str">
        <f>IF(OR(Registro_Compras!$C$126="",Registro_Compras!$O$126=""),"","Efectivo y Equivalentes - Cta. Cte. Operativa")</f>
        <v/>
      </c>
      <c r="E1109" s="20" t="str">
        <f>""</f>
        <v/>
      </c>
      <c r="F1109" s="20" t="str">
        <f>IF($C1109="","",Registro_Compras!$S$126)</f>
        <v/>
      </c>
      <c r="G1109" t="str">
        <f>IF($C1109="","","Por el deposito de la detraccion en el Banco de la Nacion")</f>
        <v/>
      </c>
      <c r="H1109" t="str">
        <f>IF($C1109="","",Registro_Compras!$C$126)</f>
        <v/>
      </c>
    </row>
    <row r="1110" spans="1:8" x14ac:dyDescent="0.25">
      <c r="A1110" s="25" t="str">
        <f>IF($C1110="","",Registro_Compras!$Y$126)</f>
        <v/>
      </c>
      <c r="B1110" t="str">
        <f>IF($C1110="","","C"&amp;TEXT(INT((ROW()-5)/9)+1,"000")&amp;"-4")</f>
        <v/>
      </c>
      <c r="C1110" t="str">
        <f>IF(OR(Registro_Compras!$C$126="",Registro_Compras!$O$126="",Registro_Compras!$Y$126="",Registro_Compras!$F$126="NOTA DE CREDITO"),"","4212")</f>
        <v/>
      </c>
      <c r="D1110" t="str">
        <f>IF(OR(Registro_Compras!$C$126="",Registro_Compras!$O$126=""),"","Cuentas por Pagar Comerciales - Terceros")</f>
        <v/>
      </c>
      <c r="E1110" s="20" t="str">
        <f>IF($C1110="","",IF(Registro_Compras!$F$126="RHE",(ROUND(Registro_Compras!$L$126*Registro_Compras!$N$126,2)-ROUND(Registro_Compras!$V$126*Registro_Compras!$N$126,2)),ROUND(Registro_Compras!$O$126-Registro_Compras!$S$126,2)))</f>
        <v/>
      </c>
      <c r="F1110" s="20" t="str">
        <f>""</f>
        <v/>
      </c>
      <c r="G1110" t="str">
        <f>IF($C1110="","","Por la cancelacion del saldo al proveedor")</f>
        <v/>
      </c>
      <c r="H1110" t="str">
        <f>IF($C1110="","",Registro_Compras!$C$126)</f>
        <v/>
      </c>
    </row>
    <row r="1111" spans="1:8" x14ac:dyDescent="0.25">
      <c r="A1111" s="25" t="str">
        <f>IF($C1111="","",Registro_Compras!$Y$126)</f>
        <v/>
      </c>
      <c r="B1111" t="str">
        <f>IF($C1111="","","C"&amp;TEXT(INT((ROW()-5)/9)+1,"000")&amp;"-4")</f>
        <v/>
      </c>
      <c r="C1111" t="str">
        <f>IF(OR(Registro_Compras!$C$126="",Registro_Compras!$O$126="",Registro_Compras!$Y$126="",Registro_Compras!$F$126="NOTA DE CREDITO"),"","1041")</f>
        <v/>
      </c>
      <c r="D1111" t="str">
        <f>IF(OR(Registro_Compras!$C$126="",Registro_Compras!$O$126=""),"","Efectivo y Equivalentes - Cta. Cte. Operativa")</f>
        <v/>
      </c>
      <c r="E1111" s="20" t="str">
        <f>""</f>
        <v/>
      </c>
      <c r="F1111" s="20" t="str">
        <f>IF($C1111="","",IF(Registro_Compras!$F$126="RHE",(ROUND(Registro_Compras!$L$126*Registro_Compras!$N$126,2)-ROUND(Registro_Compras!$V$126*Registro_Compras!$N$126,2)),ROUND(Registro_Compras!$O$126-Registro_Compras!$S$126,2)))</f>
        <v/>
      </c>
      <c r="G1111" t="str">
        <f>IF($C1111="","","Por la cancelacion del saldo al proveedor")</f>
        <v/>
      </c>
      <c r="H1111" t="str">
        <f>IF($C1111="","",Registro_Compras!$C$126)</f>
        <v/>
      </c>
    </row>
    <row r="1112" spans="1:8" x14ac:dyDescent="0.25">
      <c r="A1112" s="25" t="str">
        <f>IF($C1112="","",Registro_Compras!$B$127)</f>
        <v/>
      </c>
      <c r="B1112" t="str">
        <f>IF($C1112="","","C"&amp;TEXT(INT((ROW()-5)/9)+1,"000")&amp;"-1")</f>
        <v/>
      </c>
      <c r="C1112" t="str">
        <f>IF(OR(Registro_Compras!$C$127="",Registro_Compras!$O$127=""),"",IF(Registro_Compras!$F$127="NOTA DE CREDITO","4212",IF(Registro_Compras!$M$127="","63",Registro_Compras!$M$127)))</f>
        <v/>
      </c>
      <c r="D1112" t="str">
        <f>IF(OR(Registro_Compras!$C$127="",Registro_Compras!$O$127=""),"",IF(Registro_Compras!$F$127="NOTA DE CREDITO","Cuentas por Pagar Comerciales - Terceros (Emitidas)",IF(Registro_Compras!$F$127="RHE","Honorarios Profesionales - Servicios de Terceros","Gastos de Servicios Prestados por Terceros")))</f>
        <v/>
      </c>
      <c r="E1112" s="20" t="str">
        <f>IF($C1112="","",IF(Registro_Compras!$F$127="NOTA DE CREDITO",ABS(Registro_Compras!$O$127),IF(Registro_Compras!$F$127="RHE",ROUND(Registro_Compras!$L$127*Registro_Compras!$N$127,2),ROUND(Registro_Compras!$J$127*Registro_Compras!$N$127,2))))</f>
        <v/>
      </c>
      <c r="F1112" s="20" t="str">
        <f>""</f>
        <v/>
      </c>
      <c r="G1112" t="str">
        <f>IF($C1112="","",IF(Registro_Compras!$F$127="NOTA DE CREDITO","Por la nota de credito "&amp;Registro_Compras!$C$127&amp;" de "&amp;Registro_Compras!$E$127&amp;" [PATRON POR CONFIRMAR CON CONTADOR]",IF(Registro_Compras!$F$127="RHE","Por el registro del recibo por honorarios "&amp;Registro_Compras!$C$127&amp;" de "&amp;Registro_Compras!$E$127&amp;" [PATRON POR CONFIRMAR CON CONTADOR]","Por el registro de la factura "&amp;Registro_Compras!$C$127&amp;" de "&amp;Registro_Compras!$E$127)))</f>
        <v/>
      </c>
      <c r="H1112" t="str">
        <f>IF($C1112="","",Registro_Compras!$C$127)</f>
        <v/>
      </c>
    </row>
    <row r="1113" spans="1:8" x14ac:dyDescent="0.25">
      <c r="A1113" s="25" t="str">
        <f>IF($C1113="","",Registro_Compras!$B$127)</f>
        <v/>
      </c>
      <c r="B1113" t="str">
        <f>IF($C1113="","","C"&amp;TEXT(INT((ROW()-5)/9)+1,"000")&amp;"-1")</f>
        <v/>
      </c>
      <c r="C1113" t="str">
        <f>IF(OR(Registro_Compras!$C$127="",Registro_Compras!$O$127=""),"",IF(Registro_Compras!$F$127="RHE",IF(Registro_Compras!$V$127=0,"","4017"),IF(Registro_Compras!$F$127="NOTA DE CREDITO",IF(Registro_Compras!$M$127="","63",Registro_Compras!$M$127),IF(Registro_Compras!$K$127=0,"","40111"))))</f>
        <v/>
      </c>
      <c r="D1113" t="str">
        <f>IF(OR(Registro_Compras!$C$127="",Registro_Compras!$O$127=""),"",IF(Registro_Compras!$F$127="RHE","Retencion Renta 4ta Categoria por Pagar",IF(Registro_Compras!$F$127="NOTA DE CREDITO","Gastos de Servicios Prestados por Terceros","IGV - Cuenta Propia (Credito Fiscal)")))</f>
        <v/>
      </c>
      <c r="E1113" s="20" t="str">
        <f>IF($C1113="","",IF(Registro_Compras!$F$127="FACTURA",ROUND(Registro_Compras!$K$127*Registro_Compras!$N$127,2),""))</f>
        <v/>
      </c>
      <c r="F1113" s="20" t="str">
        <f>IF($C1113="","",IF(Registro_Compras!$F$127="RHE",ROUND(Registro_Compras!$V$127*Registro_Compras!$N$127,2),IF(Registro_Compras!$F$127="NOTA DE CREDITO",ROUND(ABS(Registro_Compras!$J$127*Registro_Compras!$N$127),2),"")))</f>
        <v/>
      </c>
      <c r="G1113" t="str">
        <f>IF($C1113="","",IF(Registro_Compras!$F$127="NOTA DE CREDITO","Por la nota de credito "&amp;Registro_Compras!$C$127&amp;" de "&amp;Registro_Compras!$E$127&amp;" [PATRON POR CONFIRMAR CON CONTADOR]",IF(Registro_Compras!$F$127="RHE","Por el registro del recibo por honorarios "&amp;Registro_Compras!$C$127&amp;" de "&amp;Registro_Compras!$E$127&amp;" [PATRON POR CONFIRMAR CON CONTADOR]","Por el registro de la factura "&amp;Registro_Compras!$C$127&amp;" de "&amp;Registro_Compras!$E$127)))</f>
        <v/>
      </c>
      <c r="H1113" t="str">
        <f>IF($C1113="","",Registro_Compras!$C$127)</f>
        <v/>
      </c>
    </row>
    <row r="1114" spans="1:8" x14ac:dyDescent="0.25">
      <c r="A1114" s="25" t="str">
        <f>IF($C1114="","",Registro_Compras!$B$127)</f>
        <v/>
      </c>
      <c r="B1114" t="str">
        <f>IF($C1114="","","C"&amp;TEXT(INT((ROW()-5)/9)+1,"000")&amp;"-1")</f>
        <v/>
      </c>
      <c r="C1114" t="str">
        <f>IF(OR(Registro_Compras!$C$127="",Registro_Compras!$O$127=""),"",IF(Registro_Compras!$F$127="NOTA DE CREDITO",IF(Registro_Compras!$K$127=0,"","40111"),"4212"))</f>
        <v/>
      </c>
      <c r="D1114" t="str">
        <f>IF(OR(Registro_Compras!$C$127="",Registro_Compras!$O$127=""),"",IF(Registro_Compras!$F$127="NOTA DE CREDITO","IGV - Cuenta Propia (Credito Fiscal)","Cuentas por Pagar Comerciales - Terceros (Emitidas)"))</f>
        <v/>
      </c>
      <c r="E1114" s="20" t="str">
        <f>""</f>
        <v/>
      </c>
      <c r="F1114" s="20" t="str">
        <f>IF($C1114="","",IF(Registro_Compras!$F$127="NOTA DE CREDITO",ROUND(ABS(Registro_Compras!$K$127*Registro_Compras!$N$127),2),IF(Registro_Compras!$F$127="RHE",(ROUND(Registro_Compras!$L$127*Registro_Compras!$N$127,2)-ROUND(Registro_Compras!$V$127*Registro_Compras!$N$127,2)),Registro_Compras!$O$127)))</f>
        <v/>
      </c>
      <c r="G1114" t="str">
        <f>IF($C1114="","",IF(Registro_Compras!$F$127="NOTA DE CREDITO","Por la nota de credito "&amp;Registro_Compras!$C$127&amp;" de "&amp;Registro_Compras!$E$127&amp;" [PATRON POR CONFIRMAR CON CONTADOR]",IF(Registro_Compras!$F$127="RHE","Por el registro del recibo por honorarios "&amp;Registro_Compras!$C$127&amp;" de "&amp;Registro_Compras!$E$127&amp;" [PATRON POR CONFIRMAR CON CONTADOR]","Por el registro de la factura "&amp;Registro_Compras!$C$127&amp;" de "&amp;Registro_Compras!$E$127)))</f>
        <v/>
      </c>
      <c r="H1114" t="str">
        <f>IF($C1114="","",Registro_Compras!$C$127)</f>
        <v/>
      </c>
    </row>
    <row r="1115" spans="1:8" x14ac:dyDescent="0.25">
      <c r="A1115" s="25" t="str">
        <f>IF($C1115="","",Registro_Compras!$B$127)</f>
        <v/>
      </c>
      <c r="B1115" t="str">
        <f>IF($C1115="","","C"&amp;TEXT(INT((ROW()-5)/9)+1,"000")&amp;"-2")</f>
        <v/>
      </c>
      <c r="C1115" t="str">
        <f>IF(OR(Registro_Compras!$C$127="",Registro_Compras!$O$127=""),"",IF(Registro_Compras!$AB$127="ADMINISTRATIVO","94","95"))</f>
        <v/>
      </c>
      <c r="D1115" t="str">
        <f>IF(OR(Registro_Compras!$C$127="",Registro_Compras!$O$127=""),"",IF(Registro_Compras!$AB$127="ADMINISTRATIVO","Gastos Administrativos","Gastos de Venta y Operacion"))</f>
        <v/>
      </c>
      <c r="E1115" s="20" t="str">
        <f>IF($C1115="","",IF(Registro_Compras!$F$127="NOTA DE CREDITO","",IF(Registro_Compras!$F$127="RHE",ROUND(Registro_Compras!$L$127*Registro_Compras!$N$127,2),ROUND(Registro_Compras!$J$127*Registro_Compras!$N$127,2))))</f>
        <v/>
      </c>
      <c r="F1115" s="20" t="str">
        <f>IF($C1115="","",IF(Registro_Compras!$F$127="NOTA DE CREDITO",ROUND(ABS(Registro_Compras!$J$127*Registro_Compras!$N$127),2),""))</f>
        <v/>
      </c>
      <c r="G1115" t="str">
        <f>IF($C1115="","","Por el destino del gasto")</f>
        <v/>
      </c>
      <c r="H1115" t="str">
        <f>IF($C1115="","",Registro_Compras!$C$127)</f>
        <v/>
      </c>
    </row>
    <row r="1116" spans="1:8" x14ac:dyDescent="0.25">
      <c r="A1116" s="25" t="str">
        <f>IF($C1116="","",Registro_Compras!$B$127)</f>
        <v/>
      </c>
      <c r="B1116" t="str">
        <f>IF($C1116="","","C"&amp;TEXT(INT((ROW()-5)/9)+1,"000")&amp;"-2")</f>
        <v/>
      </c>
      <c r="C1116" t="str">
        <f>IF(OR(Registro_Compras!$C$127="",Registro_Compras!$O$127=""),"","79/791")</f>
        <v/>
      </c>
      <c r="D1116" t="str">
        <f>IF(OR(Registro_Compras!$C$127="",Registro_Compras!$O$127=""),"","Cargas Imputables a Cuentas de Costos y Gastos")</f>
        <v/>
      </c>
      <c r="E1116" s="20" t="str">
        <f>IF($C1116="","",IF(Registro_Compras!$F$127="NOTA DE CREDITO",ROUND(ABS(Registro_Compras!$J$127*Registro_Compras!$N$127),2),""))</f>
        <v/>
      </c>
      <c r="F1116" s="20" t="str">
        <f>IF($C1116="","",IF(Registro_Compras!$F$127="NOTA DE CREDITO","",IF(Registro_Compras!$F$127="RHE",ROUND(Registro_Compras!$L$127*Registro_Compras!$N$127,2),ROUND(Registro_Compras!$J$127*Registro_Compras!$N$127,2))))</f>
        <v/>
      </c>
      <c r="G1116" t="str">
        <f>IF($C1116="","","Por el destino del gasto")</f>
        <v/>
      </c>
      <c r="H1116" t="str">
        <f>IF($C1116="","",Registro_Compras!$C$127)</f>
        <v/>
      </c>
    </row>
    <row r="1117" spans="1:8" x14ac:dyDescent="0.25">
      <c r="A1117" s="25" t="str">
        <f>IF($C1117="","",Registro_Compras!$X$127)</f>
        <v/>
      </c>
      <c r="B1117" t="str">
        <f>IF($C1117="","","C"&amp;TEXT(INT((ROW()-5)/9)+1,"000")&amp;"-3")</f>
        <v/>
      </c>
      <c r="C1117" t="str">
        <f>IF(OR(Registro_Compras!$C$127="",Registro_Compras!$O$127="",Registro_Compras!$R$127&lt;&gt;"SI",Registro_Compras!$X$127=""),"","4212")</f>
        <v/>
      </c>
      <c r="D1117" t="str">
        <f>IF(OR(Registro_Compras!$C$127="",Registro_Compras!$O$127=""),"","Cuentas por Pagar Comerciales - Terceros")</f>
        <v/>
      </c>
      <c r="E1117" s="20" t="str">
        <f>IF($C1117="","",Registro_Compras!$S$127)</f>
        <v/>
      </c>
      <c r="F1117" s="20" t="str">
        <f>""</f>
        <v/>
      </c>
      <c r="G1117" t="str">
        <f>IF($C1117="","","Por el deposito de la detraccion en el Banco de la Nacion")</f>
        <v/>
      </c>
      <c r="H1117" t="str">
        <f>IF($C1117="","",Registro_Compras!$C$127)</f>
        <v/>
      </c>
    </row>
    <row r="1118" spans="1:8" x14ac:dyDescent="0.25">
      <c r="A1118" s="25" t="str">
        <f>IF($C1118="","",Registro_Compras!$X$127)</f>
        <v/>
      </c>
      <c r="B1118" t="str">
        <f>IF($C1118="","","C"&amp;TEXT(INT((ROW()-5)/9)+1,"000")&amp;"-3")</f>
        <v/>
      </c>
      <c r="C1118" t="str">
        <f>IF(OR(Registro_Compras!$C$127="",Registro_Compras!$O$127="",Registro_Compras!$R$127&lt;&gt;"SI",Registro_Compras!$X$127=""),"","1041")</f>
        <v/>
      </c>
      <c r="D1118" t="str">
        <f>IF(OR(Registro_Compras!$C$127="",Registro_Compras!$O$127=""),"","Efectivo y Equivalentes - Cta. Cte. Operativa")</f>
        <v/>
      </c>
      <c r="E1118" s="20" t="str">
        <f>""</f>
        <v/>
      </c>
      <c r="F1118" s="20" t="str">
        <f>IF($C1118="","",Registro_Compras!$S$127)</f>
        <v/>
      </c>
      <c r="G1118" t="str">
        <f>IF($C1118="","","Por el deposito de la detraccion en el Banco de la Nacion")</f>
        <v/>
      </c>
      <c r="H1118" t="str">
        <f>IF($C1118="","",Registro_Compras!$C$127)</f>
        <v/>
      </c>
    </row>
    <row r="1119" spans="1:8" x14ac:dyDescent="0.25">
      <c r="A1119" s="25" t="str">
        <f>IF($C1119="","",Registro_Compras!$Y$127)</f>
        <v/>
      </c>
      <c r="B1119" t="str">
        <f>IF($C1119="","","C"&amp;TEXT(INT((ROW()-5)/9)+1,"000")&amp;"-4")</f>
        <v/>
      </c>
      <c r="C1119" t="str">
        <f>IF(OR(Registro_Compras!$C$127="",Registro_Compras!$O$127="",Registro_Compras!$Y$127="",Registro_Compras!$F$127="NOTA DE CREDITO"),"","4212")</f>
        <v/>
      </c>
      <c r="D1119" t="str">
        <f>IF(OR(Registro_Compras!$C$127="",Registro_Compras!$O$127=""),"","Cuentas por Pagar Comerciales - Terceros")</f>
        <v/>
      </c>
      <c r="E1119" s="20" t="str">
        <f>IF($C1119="","",IF(Registro_Compras!$F$127="RHE",(ROUND(Registro_Compras!$L$127*Registro_Compras!$N$127,2)-ROUND(Registro_Compras!$V$127*Registro_Compras!$N$127,2)),ROUND(Registro_Compras!$O$127-Registro_Compras!$S$127,2)))</f>
        <v/>
      </c>
      <c r="F1119" s="20" t="str">
        <f>""</f>
        <v/>
      </c>
      <c r="G1119" t="str">
        <f>IF($C1119="","","Por la cancelacion del saldo al proveedor")</f>
        <v/>
      </c>
      <c r="H1119" t="str">
        <f>IF($C1119="","",Registro_Compras!$C$127)</f>
        <v/>
      </c>
    </row>
    <row r="1120" spans="1:8" x14ac:dyDescent="0.25">
      <c r="A1120" s="25" t="str">
        <f>IF($C1120="","",Registro_Compras!$Y$127)</f>
        <v/>
      </c>
      <c r="B1120" t="str">
        <f>IF($C1120="","","C"&amp;TEXT(INT((ROW()-5)/9)+1,"000")&amp;"-4")</f>
        <v/>
      </c>
      <c r="C1120" t="str">
        <f>IF(OR(Registro_Compras!$C$127="",Registro_Compras!$O$127="",Registro_Compras!$Y$127="",Registro_Compras!$F$127="NOTA DE CREDITO"),"","1041")</f>
        <v/>
      </c>
      <c r="D1120" t="str">
        <f>IF(OR(Registro_Compras!$C$127="",Registro_Compras!$O$127=""),"","Efectivo y Equivalentes - Cta. Cte. Operativa")</f>
        <v/>
      </c>
      <c r="E1120" s="20" t="str">
        <f>""</f>
        <v/>
      </c>
      <c r="F1120" s="20" t="str">
        <f>IF($C1120="","",IF(Registro_Compras!$F$127="RHE",(ROUND(Registro_Compras!$L$127*Registro_Compras!$N$127,2)-ROUND(Registro_Compras!$V$127*Registro_Compras!$N$127,2)),ROUND(Registro_Compras!$O$127-Registro_Compras!$S$127,2)))</f>
        <v/>
      </c>
      <c r="G1120" t="str">
        <f>IF($C1120="","","Por la cancelacion del saldo al proveedor")</f>
        <v/>
      </c>
      <c r="H1120" t="str">
        <f>IF($C1120="","",Registro_Compras!$C$127)</f>
        <v/>
      </c>
    </row>
    <row r="1121" spans="1:8" x14ac:dyDescent="0.25">
      <c r="A1121" s="25" t="str">
        <f>IF($C1121="","",Registro_Compras!$B$128)</f>
        <v/>
      </c>
      <c r="B1121" t="str">
        <f>IF($C1121="","","C"&amp;TEXT(INT((ROW()-5)/9)+1,"000")&amp;"-1")</f>
        <v/>
      </c>
      <c r="C1121" t="str">
        <f>IF(OR(Registro_Compras!$C$128="",Registro_Compras!$O$128=""),"",IF(Registro_Compras!$F$128="NOTA DE CREDITO","4212",IF(Registro_Compras!$M$128="","63",Registro_Compras!$M$128)))</f>
        <v/>
      </c>
      <c r="D1121" t="str">
        <f>IF(OR(Registro_Compras!$C$128="",Registro_Compras!$O$128=""),"",IF(Registro_Compras!$F$128="NOTA DE CREDITO","Cuentas por Pagar Comerciales - Terceros (Emitidas)",IF(Registro_Compras!$F$128="RHE","Honorarios Profesionales - Servicios de Terceros","Gastos de Servicios Prestados por Terceros")))</f>
        <v/>
      </c>
      <c r="E1121" s="20" t="str">
        <f>IF($C1121="","",IF(Registro_Compras!$F$128="NOTA DE CREDITO",ABS(Registro_Compras!$O$128),IF(Registro_Compras!$F$128="RHE",ROUND(Registro_Compras!$L$128*Registro_Compras!$N$128,2),ROUND(Registro_Compras!$J$128*Registro_Compras!$N$128,2))))</f>
        <v/>
      </c>
      <c r="F1121" s="20" t="str">
        <f>""</f>
        <v/>
      </c>
      <c r="G1121" t="str">
        <f>IF($C1121="","",IF(Registro_Compras!$F$128="NOTA DE CREDITO","Por la nota de credito "&amp;Registro_Compras!$C$128&amp;" de "&amp;Registro_Compras!$E$128&amp;" [PATRON POR CONFIRMAR CON CONTADOR]",IF(Registro_Compras!$F$128="RHE","Por el registro del recibo por honorarios "&amp;Registro_Compras!$C$128&amp;" de "&amp;Registro_Compras!$E$128&amp;" [PATRON POR CONFIRMAR CON CONTADOR]","Por el registro de la factura "&amp;Registro_Compras!$C$128&amp;" de "&amp;Registro_Compras!$E$128)))</f>
        <v/>
      </c>
      <c r="H1121" t="str">
        <f>IF($C1121="","",Registro_Compras!$C$128)</f>
        <v/>
      </c>
    </row>
    <row r="1122" spans="1:8" x14ac:dyDescent="0.25">
      <c r="A1122" s="25" t="str">
        <f>IF($C1122="","",Registro_Compras!$B$128)</f>
        <v/>
      </c>
      <c r="B1122" t="str">
        <f>IF($C1122="","","C"&amp;TEXT(INT((ROW()-5)/9)+1,"000")&amp;"-1")</f>
        <v/>
      </c>
      <c r="C1122" t="str">
        <f>IF(OR(Registro_Compras!$C$128="",Registro_Compras!$O$128=""),"",IF(Registro_Compras!$F$128="RHE",IF(Registro_Compras!$V$128=0,"","4017"),IF(Registro_Compras!$F$128="NOTA DE CREDITO",IF(Registro_Compras!$M$128="","63",Registro_Compras!$M$128),IF(Registro_Compras!$K$128=0,"","40111"))))</f>
        <v/>
      </c>
      <c r="D1122" t="str">
        <f>IF(OR(Registro_Compras!$C$128="",Registro_Compras!$O$128=""),"",IF(Registro_Compras!$F$128="RHE","Retencion Renta 4ta Categoria por Pagar",IF(Registro_Compras!$F$128="NOTA DE CREDITO","Gastos de Servicios Prestados por Terceros","IGV - Cuenta Propia (Credito Fiscal)")))</f>
        <v/>
      </c>
      <c r="E1122" s="20" t="str">
        <f>IF($C1122="","",IF(Registro_Compras!$F$128="FACTURA",ROUND(Registro_Compras!$K$128*Registro_Compras!$N$128,2),""))</f>
        <v/>
      </c>
      <c r="F1122" s="20" t="str">
        <f>IF($C1122="","",IF(Registro_Compras!$F$128="RHE",ROUND(Registro_Compras!$V$128*Registro_Compras!$N$128,2),IF(Registro_Compras!$F$128="NOTA DE CREDITO",ROUND(ABS(Registro_Compras!$J$128*Registro_Compras!$N$128),2),"")))</f>
        <v/>
      </c>
      <c r="G1122" t="str">
        <f>IF($C1122="","",IF(Registro_Compras!$F$128="NOTA DE CREDITO","Por la nota de credito "&amp;Registro_Compras!$C$128&amp;" de "&amp;Registro_Compras!$E$128&amp;" [PATRON POR CONFIRMAR CON CONTADOR]",IF(Registro_Compras!$F$128="RHE","Por el registro del recibo por honorarios "&amp;Registro_Compras!$C$128&amp;" de "&amp;Registro_Compras!$E$128&amp;" [PATRON POR CONFIRMAR CON CONTADOR]","Por el registro de la factura "&amp;Registro_Compras!$C$128&amp;" de "&amp;Registro_Compras!$E$128)))</f>
        <v/>
      </c>
      <c r="H1122" t="str">
        <f>IF($C1122="","",Registro_Compras!$C$128)</f>
        <v/>
      </c>
    </row>
    <row r="1123" spans="1:8" x14ac:dyDescent="0.25">
      <c r="A1123" s="25" t="str">
        <f>IF($C1123="","",Registro_Compras!$B$128)</f>
        <v/>
      </c>
      <c r="B1123" t="str">
        <f>IF($C1123="","","C"&amp;TEXT(INT((ROW()-5)/9)+1,"000")&amp;"-1")</f>
        <v/>
      </c>
      <c r="C1123" t="str">
        <f>IF(OR(Registro_Compras!$C$128="",Registro_Compras!$O$128=""),"",IF(Registro_Compras!$F$128="NOTA DE CREDITO",IF(Registro_Compras!$K$128=0,"","40111"),"4212"))</f>
        <v/>
      </c>
      <c r="D1123" t="str">
        <f>IF(OR(Registro_Compras!$C$128="",Registro_Compras!$O$128=""),"",IF(Registro_Compras!$F$128="NOTA DE CREDITO","IGV - Cuenta Propia (Credito Fiscal)","Cuentas por Pagar Comerciales - Terceros (Emitidas)"))</f>
        <v/>
      </c>
      <c r="E1123" s="20" t="str">
        <f>""</f>
        <v/>
      </c>
      <c r="F1123" s="20" t="str">
        <f>IF($C1123="","",IF(Registro_Compras!$F$128="NOTA DE CREDITO",ROUND(ABS(Registro_Compras!$K$128*Registro_Compras!$N$128),2),IF(Registro_Compras!$F$128="RHE",(ROUND(Registro_Compras!$L$128*Registro_Compras!$N$128,2)-ROUND(Registro_Compras!$V$128*Registro_Compras!$N$128,2)),Registro_Compras!$O$128)))</f>
        <v/>
      </c>
      <c r="G1123" t="str">
        <f>IF($C1123="","",IF(Registro_Compras!$F$128="NOTA DE CREDITO","Por la nota de credito "&amp;Registro_Compras!$C$128&amp;" de "&amp;Registro_Compras!$E$128&amp;" [PATRON POR CONFIRMAR CON CONTADOR]",IF(Registro_Compras!$F$128="RHE","Por el registro del recibo por honorarios "&amp;Registro_Compras!$C$128&amp;" de "&amp;Registro_Compras!$E$128&amp;" [PATRON POR CONFIRMAR CON CONTADOR]","Por el registro de la factura "&amp;Registro_Compras!$C$128&amp;" de "&amp;Registro_Compras!$E$128)))</f>
        <v/>
      </c>
      <c r="H1123" t="str">
        <f>IF($C1123="","",Registro_Compras!$C$128)</f>
        <v/>
      </c>
    </row>
    <row r="1124" spans="1:8" x14ac:dyDescent="0.25">
      <c r="A1124" s="25" t="str">
        <f>IF($C1124="","",Registro_Compras!$B$128)</f>
        <v/>
      </c>
      <c r="B1124" t="str">
        <f>IF($C1124="","","C"&amp;TEXT(INT((ROW()-5)/9)+1,"000")&amp;"-2")</f>
        <v/>
      </c>
      <c r="C1124" t="str">
        <f>IF(OR(Registro_Compras!$C$128="",Registro_Compras!$O$128=""),"",IF(Registro_Compras!$AB$128="ADMINISTRATIVO","94","95"))</f>
        <v/>
      </c>
      <c r="D1124" t="str">
        <f>IF(OR(Registro_Compras!$C$128="",Registro_Compras!$O$128=""),"",IF(Registro_Compras!$AB$128="ADMINISTRATIVO","Gastos Administrativos","Gastos de Venta y Operacion"))</f>
        <v/>
      </c>
      <c r="E1124" s="20" t="str">
        <f>IF($C1124="","",IF(Registro_Compras!$F$128="NOTA DE CREDITO","",IF(Registro_Compras!$F$128="RHE",ROUND(Registro_Compras!$L$128*Registro_Compras!$N$128,2),ROUND(Registro_Compras!$J$128*Registro_Compras!$N$128,2))))</f>
        <v/>
      </c>
      <c r="F1124" s="20" t="str">
        <f>IF($C1124="","",IF(Registro_Compras!$F$128="NOTA DE CREDITO",ROUND(ABS(Registro_Compras!$J$128*Registro_Compras!$N$128),2),""))</f>
        <v/>
      </c>
      <c r="G1124" t="str">
        <f>IF($C1124="","","Por el destino del gasto")</f>
        <v/>
      </c>
      <c r="H1124" t="str">
        <f>IF($C1124="","",Registro_Compras!$C$128)</f>
        <v/>
      </c>
    </row>
    <row r="1125" spans="1:8" x14ac:dyDescent="0.25">
      <c r="A1125" s="25" t="str">
        <f>IF($C1125="","",Registro_Compras!$B$128)</f>
        <v/>
      </c>
      <c r="B1125" t="str">
        <f>IF($C1125="","","C"&amp;TEXT(INT((ROW()-5)/9)+1,"000")&amp;"-2")</f>
        <v/>
      </c>
      <c r="C1125" t="str">
        <f>IF(OR(Registro_Compras!$C$128="",Registro_Compras!$O$128=""),"","79/791")</f>
        <v/>
      </c>
      <c r="D1125" t="str">
        <f>IF(OR(Registro_Compras!$C$128="",Registro_Compras!$O$128=""),"","Cargas Imputables a Cuentas de Costos y Gastos")</f>
        <v/>
      </c>
      <c r="E1125" s="20" t="str">
        <f>IF($C1125="","",IF(Registro_Compras!$F$128="NOTA DE CREDITO",ROUND(ABS(Registro_Compras!$J$128*Registro_Compras!$N$128),2),""))</f>
        <v/>
      </c>
      <c r="F1125" s="20" t="str">
        <f>IF($C1125="","",IF(Registro_Compras!$F$128="NOTA DE CREDITO","",IF(Registro_Compras!$F$128="RHE",ROUND(Registro_Compras!$L$128*Registro_Compras!$N$128,2),ROUND(Registro_Compras!$J$128*Registro_Compras!$N$128,2))))</f>
        <v/>
      </c>
      <c r="G1125" t="str">
        <f>IF($C1125="","","Por el destino del gasto")</f>
        <v/>
      </c>
      <c r="H1125" t="str">
        <f>IF($C1125="","",Registro_Compras!$C$128)</f>
        <v/>
      </c>
    </row>
    <row r="1126" spans="1:8" x14ac:dyDescent="0.25">
      <c r="A1126" s="25" t="str">
        <f>IF($C1126="","",Registro_Compras!$X$128)</f>
        <v/>
      </c>
      <c r="B1126" t="str">
        <f>IF($C1126="","","C"&amp;TEXT(INT((ROW()-5)/9)+1,"000")&amp;"-3")</f>
        <v/>
      </c>
      <c r="C1126" t="str">
        <f>IF(OR(Registro_Compras!$C$128="",Registro_Compras!$O$128="",Registro_Compras!$R$128&lt;&gt;"SI",Registro_Compras!$X$128=""),"","4212")</f>
        <v/>
      </c>
      <c r="D1126" t="str">
        <f>IF(OR(Registro_Compras!$C$128="",Registro_Compras!$O$128=""),"","Cuentas por Pagar Comerciales - Terceros")</f>
        <v/>
      </c>
      <c r="E1126" s="20" t="str">
        <f>IF($C1126="","",Registro_Compras!$S$128)</f>
        <v/>
      </c>
      <c r="F1126" s="20" t="str">
        <f>""</f>
        <v/>
      </c>
      <c r="G1126" t="str">
        <f>IF($C1126="","","Por el deposito de la detraccion en el Banco de la Nacion")</f>
        <v/>
      </c>
      <c r="H1126" t="str">
        <f>IF($C1126="","",Registro_Compras!$C$128)</f>
        <v/>
      </c>
    </row>
    <row r="1127" spans="1:8" x14ac:dyDescent="0.25">
      <c r="A1127" s="25" t="str">
        <f>IF($C1127="","",Registro_Compras!$X$128)</f>
        <v/>
      </c>
      <c r="B1127" t="str">
        <f>IF($C1127="","","C"&amp;TEXT(INT((ROW()-5)/9)+1,"000")&amp;"-3")</f>
        <v/>
      </c>
      <c r="C1127" t="str">
        <f>IF(OR(Registro_Compras!$C$128="",Registro_Compras!$O$128="",Registro_Compras!$R$128&lt;&gt;"SI",Registro_Compras!$X$128=""),"","1041")</f>
        <v/>
      </c>
      <c r="D1127" t="str">
        <f>IF(OR(Registro_Compras!$C$128="",Registro_Compras!$O$128=""),"","Efectivo y Equivalentes - Cta. Cte. Operativa")</f>
        <v/>
      </c>
      <c r="E1127" s="20" t="str">
        <f>""</f>
        <v/>
      </c>
      <c r="F1127" s="20" t="str">
        <f>IF($C1127="","",Registro_Compras!$S$128)</f>
        <v/>
      </c>
      <c r="G1127" t="str">
        <f>IF($C1127="","","Por el deposito de la detraccion en el Banco de la Nacion")</f>
        <v/>
      </c>
      <c r="H1127" t="str">
        <f>IF($C1127="","",Registro_Compras!$C$128)</f>
        <v/>
      </c>
    </row>
    <row r="1128" spans="1:8" x14ac:dyDescent="0.25">
      <c r="A1128" s="25" t="str">
        <f>IF($C1128="","",Registro_Compras!$Y$128)</f>
        <v/>
      </c>
      <c r="B1128" t="str">
        <f>IF($C1128="","","C"&amp;TEXT(INT((ROW()-5)/9)+1,"000")&amp;"-4")</f>
        <v/>
      </c>
      <c r="C1128" t="str">
        <f>IF(OR(Registro_Compras!$C$128="",Registro_Compras!$O$128="",Registro_Compras!$Y$128="",Registro_Compras!$F$128="NOTA DE CREDITO"),"","4212")</f>
        <v/>
      </c>
      <c r="D1128" t="str">
        <f>IF(OR(Registro_Compras!$C$128="",Registro_Compras!$O$128=""),"","Cuentas por Pagar Comerciales - Terceros")</f>
        <v/>
      </c>
      <c r="E1128" s="20" t="str">
        <f>IF($C1128="","",IF(Registro_Compras!$F$128="RHE",(ROUND(Registro_Compras!$L$128*Registro_Compras!$N$128,2)-ROUND(Registro_Compras!$V$128*Registro_Compras!$N$128,2)),ROUND(Registro_Compras!$O$128-Registro_Compras!$S$128,2)))</f>
        <v/>
      </c>
      <c r="F1128" s="20" t="str">
        <f>""</f>
        <v/>
      </c>
      <c r="G1128" t="str">
        <f>IF($C1128="","","Por la cancelacion del saldo al proveedor")</f>
        <v/>
      </c>
      <c r="H1128" t="str">
        <f>IF($C1128="","",Registro_Compras!$C$128)</f>
        <v/>
      </c>
    </row>
    <row r="1129" spans="1:8" x14ac:dyDescent="0.25">
      <c r="A1129" s="25" t="str">
        <f>IF($C1129="","",Registro_Compras!$Y$128)</f>
        <v/>
      </c>
      <c r="B1129" t="str">
        <f>IF($C1129="","","C"&amp;TEXT(INT((ROW()-5)/9)+1,"000")&amp;"-4")</f>
        <v/>
      </c>
      <c r="C1129" t="str">
        <f>IF(OR(Registro_Compras!$C$128="",Registro_Compras!$O$128="",Registro_Compras!$Y$128="",Registro_Compras!$F$128="NOTA DE CREDITO"),"","1041")</f>
        <v/>
      </c>
      <c r="D1129" t="str">
        <f>IF(OR(Registro_Compras!$C$128="",Registro_Compras!$O$128=""),"","Efectivo y Equivalentes - Cta. Cte. Operativa")</f>
        <v/>
      </c>
      <c r="E1129" s="20" t="str">
        <f>""</f>
        <v/>
      </c>
      <c r="F1129" s="20" t="str">
        <f>IF($C1129="","",IF(Registro_Compras!$F$128="RHE",(ROUND(Registro_Compras!$L$128*Registro_Compras!$N$128,2)-ROUND(Registro_Compras!$V$128*Registro_Compras!$N$128,2)),ROUND(Registro_Compras!$O$128-Registro_Compras!$S$128,2)))</f>
        <v/>
      </c>
      <c r="G1129" t="str">
        <f>IF($C1129="","","Por la cancelacion del saldo al proveedor")</f>
        <v/>
      </c>
      <c r="H1129" t="str">
        <f>IF($C1129="","",Registro_Compras!$C$128)</f>
        <v/>
      </c>
    </row>
    <row r="1130" spans="1:8" x14ac:dyDescent="0.25">
      <c r="A1130" s="25" t="str">
        <f>IF($C1130="","",Registro_Compras!$B$129)</f>
        <v/>
      </c>
      <c r="B1130" t="str">
        <f>IF($C1130="","","C"&amp;TEXT(INT((ROW()-5)/9)+1,"000")&amp;"-1")</f>
        <v/>
      </c>
      <c r="C1130" t="str">
        <f>IF(OR(Registro_Compras!$C$129="",Registro_Compras!$O$129=""),"",IF(Registro_Compras!$F$129="NOTA DE CREDITO","4212",IF(Registro_Compras!$M$129="","63",Registro_Compras!$M$129)))</f>
        <v/>
      </c>
      <c r="D1130" t="str">
        <f>IF(OR(Registro_Compras!$C$129="",Registro_Compras!$O$129=""),"",IF(Registro_Compras!$F$129="NOTA DE CREDITO","Cuentas por Pagar Comerciales - Terceros (Emitidas)",IF(Registro_Compras!$F$129="RHE","Honorarios Profesionales - Servicios de Terceros","Gastos de Servicios Prestados por Terceros")))</f>
        <v/>
      </c>
      <c r="E1130" s="20" t="str">
        <f>IF($C1130="","",IF(Registro_Compras!$F$129="NOTA DE CREDITO",ABS(Registro_Compras!$O$129),IF(Registro_Compras!$F$129="RHE",ROUND(Registro_Compras!$L$129*Registro_Compras!$N$129,2),ROUND(Registro_Compras!$J$129*Registro_Compras!$N$129,2))))</f>
        <v/>
      </c>
      <c r="F1130" s="20" t="str">
        <f>""</f>
        <v/>
      </c>
      <c r="G1130" t="str">
        <f>IF($C1130="","",IF(Registro_Compras!$F$129="NOTA DE CREDITO","Por la nota de credito "&amp;Registro_Compras!$C$129&amp;" de "&amp;Registro_Compras!$E$129&amp;" [PATRON POR CONFIRMAR CON CONTADOR]",IF(Registro_Compras!$F$129="RHE","Por el registro del recibo por honorarios "&amp;Registro_Compras!$C$129&amp;" de "&amp;Registro_Compras!$E$129&amp;" [PATRON POR CONFIRMAR CON CONTADOR]","Por el registro de la factura "&amp;Registro_Compras!$C$129&amp;" de "&amp;Registro_Compras!$E$129)))</f>
        <v/>
      </c>
      <c r="H1130" t="str">
        <f>IF($C1130="","",Registro_Compras!$C$129)</f>
        <v/>
      </c>
    </row>
    <row r="1131" spans="1:8" x14ac:dyDescent="0.25">
      <c r="A1131" s="25" t="str">
        <f>IF($C1131="","",Registro_Compras!$B$129)</f>
        <v/>
      </c>
      <c r="B1131" t="str">
        <f>IF($C1131="","","C"&amp;TEXT(INT((ROW()-5)/9)+1,"000")&amp;"-1")</f>
        <v/>
      </c>
      <c r="C1131" t="str">
        <f>IF(OR(Registro_Compras!$C$129="",Registro_Compras!$O$129=""),"",IF(Registro_Compras!$F$129="RHE",IF(Registro_Compras!$V$129=0,"","4017"),IF(Registro_Compras!$F$129="NOTA DE CREDITO",IF(Registro_Compras!$M$129="","63",Registro_Compras!$M$129),IF(Registro_Compras!$K$129=0,"","40111"))))</f>
        <v/>
      </c>
      <c r="D1131" t="str">
        <f>IF(OR(Registro_Compras!$C$129="",Registro_Compras!$O$129=""),"",IF(Registro_Compras!$F$129="RHE","Retencion Renta 4ta Categoria por Pagar",IF(Registro_Compras!$F$129="NOTA DE CREDITO","Gastos de Servicios Prestados por Terceros","IGV - Cuenta Propia (Credito Fiscal)")))</f>
        <v/>
      </c>
      <c r="E1131" s="20" t="str">
        <f>IF($C1131="","",IF(Registro_Compras!$F$129="FACTURA",ROUND(Registro_Compras!$K$129*Registro_Compras!$N$129,2),""))</f>
        <v/>
      </c>
      <c r="F1131" s="20" t="str">
        <f>IF($C1131="","",IF(Registro_Compras!$F$129="RHE",ROUND(Registro_Compras!$V$129*Registro_Compras!$N$129,2),IF(Registro_Compras!$F$129="NOTA DE CREDITO",ROUND(ABS(Registro_Compras!$J$129*Registro_Compras!$N$129),2),"")))</f>
        <v/>
      </c>
      <c r="G1131" t="str">
        <f>IF($C1131="","",IF(Registro_Compras!$F$129="NOTA DE CREDITO","Por la nota de credito "&amp;Registro_Compras!$C$129&amp;" de "&amp;Registro_Compras!$E$129&amp;" [PATRON POR CONFIRMAR CON CONTADOR]",IF(Registro_Compras!$F$129="RHE","Por el registro del recibo por honorarios "&amp;Registro_Compras!$C$129&amp;" de "&amp;Registro_Compras!$E$129&amp;" [PATRON POR CONFIRMAR CON CONTADOR]","Por el registro de la factura "&amp;Registro_Compras!$C$129&amp;" de "&amp;Registro_Compras!$E$129)))</f>
        <v/>
      </c>
      <c r="H1131" t="str">
        <f>IF($C1131="","",Registro_Compras!$C$129)</f>
        <v/>
      </c>
    </row>
    <row r="1132" spans="1:8" x14ac:dyDescent="0.25">
      <c r="A1132" s="25" t="str">
        <f>IF($C1132="","",Registro_Compras!$B$129)</f>
        <v/>
      </c>
      <c r="B1132" t="str">
        <f>IF($C1132="","","C"&amp;TEXT(INT((ROW()-5)/9)+1,"000")&amp;"-1")</f>
        <v/>
      </c>
      <c r="C1132" t="str">
        <f>IF(OR(Registro_Compras!$C$129="",Registro_Compras!$O$129=""),"",IF(Registro_Compras!$F$129="NOTA DE CREDITO",IF(Registro_Compras!$K$129=0,"","40111"),"4212"))</f>
        <v/>
      </c>
      <c r="D1132" t="str">
        <f>IF(OR(Registro_Compras!$C$129="",Registro_Compras!$O$129=""),"",IF(Registro_Compras!$F$129="NOTA DE CREDITO","IGV - Cuenta Propia (Credito Fiscal)","Cuentas por Pagar Comerciales - Terceros (Emitidas)"))</f>
        <v/>
      </c>
      <c r="E1132" s="20" t="str">
        <f>""</f>
        <v/>
      </c>
      <c r="F1132" s="20" t="str">
        <f>IF($C1132="","",IF(Registro_Compras!$F$129="NOTA DE CREDITO",ROUND(ABS(Registro_Compras!$K$129*Registro_Compras!$N$129),2),IF(Registro_Compras!$F$129="RHE",(ROUND(Registro_Compras!$L$129*Registro_Compras!$N$129,2)-ROUND(Registro_Compras!$V$129*Registro_Compras!$N$129,2)),Registro_Compras!$O$129)))</f>
        <v/>
      </c>
      <c r="G1132" t="str">
        <f>IF($C1132="","",IF(Registro_Compras!$F$129="NOTA DE CREDITO","Por la nota de credito "&amp;Registro_Compras!$C$129&amp;" de "&amp;Registro_Compras!$E$129&amp;" [PATRON POR CONFIRMAR CON CONTADOR]",IF(Registro_Compras!$F$129="RHE","Por el registro del recibo por honorarios "&amp;Registro_Compras!$C$129&amp;" de "&amp;Registro_Compras!$E$129&amp;" [PATRON POR CONFIRMAR CON CONTADOR]","Por el registro de la factura "&amp;Registro_Compras!$C$129&amp;" de "&amp;Registro_Compras!$E$129)))</f>
        <v/>
      </c>
      <c r="H1132" t="str">
        <f>IF($C1132="","",Registro_Compras!$C$129)</f>
        <v/>
      </c>
    </row>
    <row r="1133" spans="1:8" x14ac:dyDescent="0.25">
      <c r="A1133" s="25" t="str">
        <f>IF($C1133="","",Registro_Compras!$B$129)</f>
        <v/>
      </c>
      <c r="B1133" t="str">
        <f>IF($C1133="","","C"&amp;TEXT(INT((ROW()-5)/9)+1,"000")&amp;"-2")</f>
        <v/>
      </c>
      <c r="C1133" t="str">
        <f>IF(OR(Registro_Compras!$C$129="",Registro_Compras!$O$129=""),"",IF(Registro_Compras!$AB$129="ADMINISTRATIVO","94","95"))</f>
        <v/>
      </c>
      <c r="D1133" t="str">
        <f>IF(OR(Registro_Compras!$C$129="",Registro_Compras!$O$129=""),"",IF(Registro_Compras!$AB$129="ADMINISTRATIVO","Gastos Administrativos","Gastos de Venta y Operacion"))</f>
        <v/>
      </c>
      <c r="E1133" s="20" t="str">
        <f>IF($C1133="","",IF(Registro_Compras!$F$129="NOTA DE CREDITO","",IF(Registro_Compras!$F$129="RHE",ROUND(Registro_Compras!$L$129*Registro_Compras!$N$129,2),ROUND(Registro_Compras!$J$129*Registro_Compras!$N$129,2))))</f>
        <v/>
      </c>
      <c r="F1133" s="20" t="str">
        <f>IF($C1133="","",IF(Registro_Compras!$F$129="NOTA DE CREDITO",ROUND(ABS(Registro_Compras!$J$129*Registro_Compras!$N$129),2),""))</f>
        <v/>
      </c>
      <c r="G1133" t="str">
        <f>IF($C1133="","","Por el destino del gasto")</f>
        <v/>
      </c>
      <c r="H1133" t="str">
        <f>IF($C1133="","",Registro_Compras!$C$129)</f>
        <v/>
      </c>
    </row>
    <row r="1134" spans="1:8" x14ac:dyDescent="0.25">
      <c r="A1134" s="25" t="str">
        <f>IF($C1134="","",Registro_Compras!$B$129)</f>
        <v/>
      </c>
      <c r="B1134" t="str">
        <f>IF($C1134="","","C"&amp;TEXT(INT((ROW()-5)/9)+1,"000")&amp;"-2")</f>
        <v/>
      </c>
      <c r="C1134" t="str">
        <f>IF(OR(Registro_Compras!$C$129="",Registro_Compras!$O$129=""),"","79/791")</f>
        <v/>
      </c>
      <c r="D1134" t="str">
        <f>IF(OR(Registro_Compras!$C$129="",Registro_Compras!$O$129=""),"","Cargas Imputables a Cuentas de Costos y Gastos")</f>
        <v/>
      </c>
      <c r="E1134" s="20" t="str">
        <f>IF($C1134="","",IF(Registro_Compras!$F$129="NOTA DE CREDITO",ROUND(ABS(Registro_Compras!$J$129*Registro_Compras!$N$129),2),""))</f>
        <v/>
      </c>
      <c r="F1134" s="20" t="str">
        <f>IF($C1134="","",IF(Registro_Compras!$F$129="NOTA DE CREDITO","",IF(Registro_Compras!$F$129="RHE",ROUND(Registro_Compras!$L$129*Registro_Compras!$N$129,2),ROUND(Registro_Compras!$J$129*Registro_Compras!$N$129,2))))</f>
        <v/>
      </c>
      <c r="G1134" t="str">
        <f>IF($C1134="","","Por el destino del gasto")</f>
        <v/>
      </c>
      <c r="H1134" t="str">
        <f>IF($C1134="","",Registro_Compras!$C$129)</f>
        <v/>
      </c>
    </row>
    <row r="1135" spans="1:8" x14ac:dyDescent="0.25">
      <c r="A1135" s="25" t="str">
        <f>IF($C1135="","",Registro_Compras!$X$129)</f>
        <v/>
      </c>
      <c r="B1135" t="str">
        <f>IF($C1135="","","C"&amp;TEXT(INT((ROW()-5)/9)+1,"000")&amp;"-3")</f>
        <v/>
      </c>
      <c r="C1135" t="str">
        <f>IF(OR(Registro_Compras!$C$129="",Registro_Compras!$O$129="",Registro_Compras!$R$129&lt;&gt;"SI",Registro_Compras!$X$129=""),"","4212")</f>
        <v/>
      </c>
      <c r="D1135" t="str">
        <f>IF(OR(Registro_Compras!$C$129="",Registro_Compras!$O$129=""),"","Cuentas por Pagar Comerciales - Terceros")</f>
        <v/>
      </c>
      <c r="E1135" s="20" t="str">
        <f>IF($C1135="","",Registro_Compras!$S$129)</f>
        <v/>
      </c>
      <c r="F1135" s="20" t="str">
        <f>""</f>
        <v/>
      </c>
      <c r="G1135" t="str">
        <f>IF($C1135="","","Por el deposito de la detraccion en el Banco de la Nacion")</f>
        <v/>
      </c>
      <c r="H1135" t="str">
        <f>IF($C1135="","",Registro_Compras!$C$129)</f>
        <v/>
      </c>
    </row>
    <row r="1136" spans="1:8" x14ac:dyDescent="0.25">
      <c r="A1136" s="25" t="str">
        <f>IF($C1136="","",Registro_Compras!$X$129)</f>
        <v/>
      </c>
      <c r="B1136" t="str">
        <f>IF($C1136="","","C"&amp;TEXT(INT((ROW()-5)/9)+1,"000")&amp;"-3")</f>
        <v/>
      </c>
      <c r="C1136" t="str">
        <f>IF(OR(Registro_Compras!$C$129="",Registro_Compras!$O$129="",Registro_Compras!$R$129&lt;&gt;"SI",Registro_Compras!$X$129=""),"","1041")</f>
        <v/>
      </c>
      <c r="D1136" t="str">
        <f>IF(OR(Registro_Compras!$C$129="",Registro_Compras!$O$129=""),"","Efectivo y Equivalentes - Cta. Cte. Operativa")</f>
        <v/>
      </c>
      <c r="E1136" s="20" t="str">
        <f>""</f>
        <v/>
      </c>
      <c r="F1136" s="20" t="str">
        <f>IF($C1136="","",Registro_Compras!$S$129)</f>
        <v/>
      </c>
      <c r="G1136" t="str">
        <f>IF($C1136="","","Por el deposito de la detraccion en el Banco de la Nacion")</f>
        <v/>
      </c>
      <c r="H1136" t="str">
        <f>IF($C1136="","",Registro_Compras!$C$129)</f>
        <v/>
      </c>
    </row>
    <row r="1137" spans="1:8" x14ac:dyDescent="0.25">
      <c r="A1137" s="25" t="str">
        <f>IF($C1137="","",Registro_Compras!$Y$129)</f>
        <v/>
      </c>
      <c r="B1137" t="str">
        <f>IF($C1137="","","C"&amp;TEXT(INT((ROW()-5)/9)+1,"000")&amp;"-4")</f>
        <v/>
      </c>
      <c r="C1137" t="str">
        <f>IF(OR(Registro_Compras!$C$129="",Registro_Compras!$O$129="",Registro_Compras!$Y$129="",Registro_Compras!$F$129="NOTA DE CREDITO"),"","4212")</f>
        <v/>
      </c>
      <c r="D1137" t="str">
        <f>IF(OR(Registro_Compras!$C$129="",Registro_Compras!$O$129=""),"","Cuentas por Pagar Comerciales - Terceros")</f>
        <v/>
      </c>
      <c r="E1137" s="20" t="str">
        <f>IF($C1137="","",IF(Registro_Compras!$F$129="RHE",(ROUND(Registro_Compras!$L$129*Registro_Compras!$N$129,2)-ROUND(Registro_Compras!$V$129*Registro_Compras!$N$129,2)),ROUND(Registro_Compras!$O$129-Registro_Compras!$S$129,2)))</f>
        <v/>
      </c>
      <c r="F1137" s="20" t="str">
        <f>""</f>
        <v/>
      </c>
      <c r="G1137" t="str">
        <f>IF($C1137="","","Por la cancelacion del saldo al proveedor")</f>
        <v/>
      </c>
      <c r="H1137" t="str">
        <f>IF($C1137="","",Registro_Compras!$C$129)</f>
        <v/>
      </c>
    </row>
    <row r="1138" spans="1:8" x14ac:dyDescent="0.25">
      <c r="A1138" s="25" t="str">
        <f>IF($C1138="","",Registro_Compras!$Y$129)</f>
        <v/>
      </c>
      <c r="B1138" t="str">
        <f>IF($C1138="","","C"&amp;TEXT(INT((ROW()-5)/9)+1,"000")&amp;"-4")</f>
        <v/>
      </c>
      <c r="C1138" t="str">
        <f>IF(OR(Registro_Compras!$C$129="",Registro_Compras!$O$129="",Registro_Compras!$Y$129="",Registro_Compras!$F$129="NOTA DE CREDITO"),"","1041")</f>
        <v/>
      </c>
      <c r="D1138" t="str">
        <f>IF(OR(Registro_Compras!$C$129="",Registro_Compras!$O$129=""),"","Efectivo y Equivalentes - Cta. Cte. Operativa")</f>
        <v/>
      </c>
      <c r="E1138" s="20" t="str">
        <f>""</f>
        <v/>
      </c>
      <c r="F1138" s="20" t="str">
        <f>IF($C1138="","",IF(Registro_Compras!$F$129="RHE",(ROUND(Registro_Compras!$L$129*Registro_Compras!$N$129,2)-ROUND(Registro_Compras!$V$129*Registro_Compras!$N$129,2)),ROUND(Registro_Compras!$O$129-Registro_Compras!$S$129,2)))</f>
        <v/>
      </c>
      <c r="G1138" t="str">
        <f>IF($C1138="","","Por la cancelacion del saldo al proveedor")</f>
        <v/>
      </c>
      <c r="H1138" t="str">
        <f>IF($C1138="","",Registro_Compras!$C$129)</f>
        <v/>
      </c>
    </row>
    <row r="1139" spans="1:8" x14ac:dyDescent="0.25">
      <c r="A1139" s="25" t="str">
        <f>IF($C1139="","",Registro_Compras!$B$130)</f>
        <v/>
      </c>
      <c r="B1139" t="str">
        <f>IF($C1139="","","C"&amp;TEXT(INT((ROW()-5)/9)+1,"000")&amp;"-1")</f>
        <v/>
      </c>
      <c r="C1139" t="str">
        <f>IF(OR(Registro_Compras!$C$130="",Registro_Compras!$O$130=""),"",IF(Registro_Compras!$F$130="NOTA DE CREDITO","4212",IF(Registro_Compras!$M$130="","63",Registro_Compras!$M$130)))</f>
        <v/>
      </c>
      <c r="D1139" t="str">
        <f>IF(OR(Registro_Compras!$C$130="",Registro_Compras!$O$130=""),"",IF(Registro_Compras!$F$130="NOTA DE CREDITO","Cuentas por Pagar Comerciales - Terceros (Emitidas)",IF(Registro_Compras!$F$130="RHE","Honorarios Profesionales - Servicios de Terceros","Gastos de Servicios Prestados por Terceros")))</f>
        <v/>
      </c>
      <c r="E1139" s="20" t="str">
        <f>IF($C1139="","",IF(Registro_Compras!$F$130="NOTA DE CREDITO",ABS(Registro_Compras!$O$130),IF(Registro_Compras!$F$130="RHE",ROUND(Registro_Compras!$L$130*Registro_Compras!$N$130,2),ROUND(Registro_Compras!$J$130*Registro_Compras!$N$130,2))))</f>
        <v/>
      </c>
      <c r="F1139" s="20" t="str">
        <f>""</f>
        <v/>
      </c>
      <c r="G1139" t="str">
        <f>IF($C1139="","",IF(Registro_Compras!$F$130="NOTA DE CREDITO","Por la nota de credito "&amp;Registro_Compras!$C$130&amp;" de "&amp;Registro_Compras!$E$130&amp;" [PATRON POR CONFIRMAR CON CONTADOR]",IF(Registro_Compras!$F$130="RHE","Por el registro del recibo por honorarios "&amp;Registro_Compras!$C$130&amp;" de "&amp;Registro_Compras!$E$130&amp;" [PATRON POR CONFIRMAR CON CONTADOR]","Por el registro de la factura "&amp;Registro_Compras!$C$130&amp;" de "&amp;Registro_Compras!$E$130)))</f>
        <v/>
      </c>
      <c r="H1139" t="str">
        <f>IF($C1139="","",Registro_Compras!$C$130)</f>
        <v/>
      </c>
    </row>
    <row r="1140" spans="1:8" x14ac:dyDescent="0.25">
      <c r="A1140" s="25" t="str">
        <f>IF($C1140="","",Registro_Compras!$B$130)</f>
        <v/>
      </c>
      <c r="B1140" t="str">
        <f>IF($C1140="","","C"&amp;TEXT(INT((ROW()-5)/9)+1,"000")&amp;"-1")</f>
        <v/>
      </c>
      <c r="C1140" t="str">
        <f>IF(OR(Registro_Compras!$C$130="",Registro_Compras!$O$130=""),"",IF(Registro_Compras!$F$130="RHE",IF(Registro_Compras!$V$130=0,"","4017"),IF(Registro_Compras!$F$130="NOTA DE CREDITO",IF(Registro_Compras!$M$130="","63",Registro_Compras!$M$130),IF(Registro_Compras!$K$130=0,"","40111"))))</f>
        <v/>
      </c>
      <c r="D1140" t="str">
        <f>IF(OR(Registro_Compras!$C$130="",Registro_Compras!$O$130=""),"",IF(Registro_Compras!$F$130="RHE","Retencion Renta 4ta Categoria por Pagar",IF(Registro_Compras!$F$130="NOTA DE CREDITO","Gastos de Servicios Prestados por Terceros","IGV - Cuenta Propia (Credito Fiscal)")))</f>
        <v/>
      </c>
      <c r="E1140" s="20" t="str">
        <f>IF($C1140="","",IF(Registro_Compras!$F$130="FACTURA",ROUND(Registro_Compras!$K$130*Registro_Compras!$N$130,2),""))</f>
        <v/>
      </c>
      <c r="F1140" s="20" t="str">
        <f>IF($C1140="","",IF(Registro_Compras!$F$130="RHE",ROUND(Registro_Compras!$V$130*Registro_Compras!$N$130,2),IF(Registro_Compras!$F$130="NOTA DE CREDITO",ROUND(ABS(Registro_Compras!$J$130*Registro_Compras!$N$130),2),"")))</f>
        <v/>
      </c>
      <c r="G1140" t="str">
        <f>IF($C1140="","",IF(Registro_Compras!$F$130="NOTA DE CREDITO","Por la nota de credito "&amp;Registro_Compras!$C$130&amp;" de "&amp;Registro_Compras!$E$130&amp;" [PATRON POR CONFIRMAR CON CONTADOR]",IF(Registro_Compras!$F$130="RHE","Por el registro del recibo por honorarios "&amp;Registro_Compras!$C$130&amp;" de "&amp;Registro_Compras!$E$130&amp;" [PATRON POR CONFIRMAR CON CONTADOR]","Por el registro de la factura "&amp;Registro_Compras!$C$130&amp;" de "&amp;Registro_Compras!$E$130)))</f>
        <v/>
      </c>
      <c r="H1140" t="str">
        <f>IF($C1140="","",Registro_Compras!$C$130)</f>
        <v/>
      </c>
    </row>
    <row r="1141" spans="1:8" x14ac:dyDescent="0.25">
      <c r="A1141" s="25" t="str">
        <f>IF($C1141="","",Registro_Compras!$B$130)</f>
        <v/>
      </c>
      <c r="B1141" t="str">
        <f>IF($C1141="","","C"&amp;TEXT(INT((ROW()-5)/9)+1,"000")&amp;"-1")</f>
        <v/>
      </c>
      <c r="C1141" t="str">
        <f>IF(OR(Registro_Compras!$C$130="",Registro_Compras!$O$130=""),"",IF(Registro_Compras!$F$130="NOTA DE CREDITO",IF(Registro_Compras!$K$130=0,"","40111"),"4212"))</f>
        <v/>
      </c>
      <c r="D1141" t="str">
        <f>IF(OR(Registro_Compras!$C$130="",Registro_Compras!$O$130=""),"",IF(Registro_Compras!$F$130="NOTA DE CREDITO","IGV - Cuenta Propia (Credito Fiscal)","Cuentas por Pagar Comerciales - Terceros (Emitidas)"))</f>
        <v/>
      </c>
      <c r="E1141" s="20" t="str">
        <f>""</f>
        <v/>
      </c>
      <c r="F1141" s="20" t="str">
        <f>IF($C1141="","",IF(Registro_Compras!$F$130="NOTA DE CREDITO",ROUND(ABS(Registro_Compras!$K$130*Registro_Compras!$N$130),2),IF(Registro_Compras!$F$130="RHE",(ROUND(Registro_Compras!$L$130*Registro_Compras!$N$130,2)-ROUND(Registro_Compras!$V$130*Registro_Compras!$N$130,2)),Registro_Compras!$O$130)))</f>
        <v/>
      </c>
      <c r="G1141" t="str">
        <f>IF($C1141="","",IF(Registro_Compras!$F$130="NOTA DE CREDITO","Por la nota de credito "&amp;Registro_Compras!$C$130&amp;" de "&amp;Registro_Compras!$E$130&amp;" [PATRON POR CONFIRMAR CON CONTADOR]",IF(Registro_Compras!$F$130="RHE","Por el registro del recibo por honorarios "&amp;Registro_Compras!$C$130&amp;" de "&amp;Registro_Compras!$E$130&amp;" [PATRON POR CONFIRMAR CON CONTADOR]","Por el registro de la factura "&amp;Registro_Compras!$C$130&amp;" de "&amp;Registro_Compras!$E$130)))</f>
        <v/>
      </c>
      <c r="H1141" t="str">
        <f>IF($C1141="","",Registro_Compras!$C$130)</f>
        <v/>
      </c>
    </row>
    <row r="1142" spans="1:8" x14ac:dyDescent="0.25">
      <c r="A1142" s="25" t="str">
        <f>IF($C1142="","",Registro_Compras!$B$130)</f>
        <v/>
      </c>
      <c r="B1142" t="str">
        <f>IF($C1142="","","C"&amp;TEXT(INT((ROW()-5)/9)+1,"000")&amp;"-2")</f>
        <v/>
      </c>
      <c r="C1142" t="str">
        <f>IF(OR(Registro_Compras!$C$130="",Registro_Compras!$O$130=""),"",IF(Registro_Compras!$AB$130="ADMINISTRATIVO","94","95"))</f>
        <v/>
      </c>
      <c r="D1142" t="str">
        <f>IF(OR(Registro_Compras!$C$130="",Registro_Compras!$O$130=""),"",IF(Registro_Compras!$AB$130="ADMINISTRATIVO","Gastos Administrativos","Gastos de Venta y Operacion"))</f>
        <v/>
      </c>
      <c r="E1142" s="20" t="str">
        <f>IF($C1142="","",IF(Registro_Compras!$F$130="NOTA DE CREDITO","",IF(Registro_Compras!$F$130="RHE",ROUND(Registro_Compras!$L$130*Registro_Compras!$N$130,2),ROUND(Registro_Compras!$J$130*Registro_Compras!$N$130,2))))</f>
        <v/>
      </c>
      <c r="F1142" s="20" t="str">
        <f>IF($C1142="","",IF(Registro_Compras!$F$130="NOTA DE CREDITO",ROUND(ABS(Registro_Compras!$J$130*Registro_Compras!$N$130),2),""))</f>
        <v/>
      </c>
      <c r="G1142" t="str">
        <f>IF($C1142="","","Por el destino del gasto")</f>
        <v/>
      </c>
      <c r="H1142" t="str">
        <f>IF($C1142="","",Registro_Compras!$C$130)</f>
        <v/>
      </c>
    </row>
    <row r="1143" spans="1:8" x14ac:dyDescent="0.25">
      <c r="A1143" s="25" t="str">
        <f>IF($C1143="","",Registro_Compras!$B$130)</f>
        <v/>
      </c>
      <c r="B1143" t="str">
        <f>IF($C1143="","","C"&amp;TEXT(INT((ROW()-5)/9)+1,"000")&amp;"-2")</f>
        <v/>
      </c>
      <c r="C1143" t="str">
        <f>IF(OR(Registro_Compras!$C$130="",Registro_Compras!$O$130=""),"","79/791")</f>
        <v/>
      </c>
      <c r="D1143" t="str">
        <f>IF(OR(Registro_Compras!$C$130="",Registro_Compras!$O$130=""),"","Cargas Imputables a Cuentas de Costos y Gastos")</f>
        <v/>
      </c>
      <c r="E1143" s="20" t="str">
        <f>IF($C1143="","",IF(Registro_Compras!$F$130="NOTA DE CREDITO",ROUND(ABS(Registro_Compras!$J$130*Registro_Compras!$N$130),2),""))</f>
        <v/>
      </c>
      <c r="F1143" s="20" t="str">
        <f>IF($C1143="","",IF(Registro_Compras!$F$130="NOTA DE CREDITO","",IF(Registro_Compras!$F$130="RHE",ROUND(Registro_Compras!$L$130*Registro_Compras!$N$130,2),ROUND(Registro_Compras!$J$130*Registro_Compras!$N$130,2))))</f>
        <v/>
      </c>
      <c r="G1143" t="str">
        <f>IF($C1143="","","Por el destino del gasto")</f>
        <v/>
      </c>
      <c r="H1143" t="str">
        <f>IF($C1143="","",Registro_Compras!$C$130)</f>
        <v/>
      </c>
    </row>
    <row r="1144" spans="1:8" x14ac:dyDescent="0.25">
      <c r="A1144" s="25" t="str">
        <f>IF($C1144="","",Registro_Compras!$X$130)</f>
        <v/>
      </c>
      <c r="B1144" t="str">
        <f>IF($C1144="","","C"&amp;TEXT(INT((ROW()-5)/9)+1,"000")&amp;"-3")</f>
        <v/>
      </c>
      <c r="C1144" t="str">
        <f>IF(OR(Registro_Compras!$C$130="",Registro_Compras!$O$130="",Registro_Compras!$R$130&lt;&gt;"SI",Registro_Compras!$X$130=""),"","4212")</f>
        <v/>
      </c>
      <c r="D1144" t="str">
        <f>IF(OR(Registro_Compras!$C$130="",Registro_Compras!$O$130=""),"","Cuentas por Pagar Comerciales - Terceros")</f>
        <v/>
      </c>
      <c r="E1144" s="20" t="str">
        <f>IF($C1144="","",Registro_Compras!$S$130)</f>
        <v/>
      </c>
      <c r="F1144" s="20" t="str">
        <f>""</f>
        <v/>
      </c>
      <c r="G1144" t="str">
        <f>IF($C1144="","","Por el deposito de la detraccion en el Banco de la Nacion")</f>
        <v/>
      </c>
      <c r="H1144" t="str">
        <f>IF($C1144="","",Registro_Compras!$C$130)</f>
        <v/>
      </c>
    </row>
    <row r="1145" spans="1:8" x14ac:dyDescent="0.25">
      <c r="A1145" s="25" t="str">
        <f>IF($C1145="","",Registro_Compras!$X$130)</f>
        <v/>
      </c>
      <c r="B1145" t="str">
        <f>IF($C1145="","","C"&amp;TEXT(INT((ROW()-5)/9)+1,"000")&amp;"-3")</f>
        <v/>
      </c>
      <c r="C1145" t="str">
        <f>IF(OR(Registro_Compras!$C$130="",Registro_Compras!$O$130="",Registro_Compras!$R$130&lt;&gt;"SI",Registro_Compras!$X$130=""),"","1041")</f>
        <v/>
      </c>
      <c r="D1145" t="str">
        <f>IF(OR(Registro_Compras!$C$130="",Registro_Compras!$O$130=""),"","Efectivo y Equivalentes - Cta. Cte. Operativa")</f>
        <v/>
      </c>
      <c r="E1145" s="20" t="str">
        <f>""</f>
        <v/>
      </c>
      <c r="F1145" s="20" t="str">
        <f>IF($C1145="","",Registro_Compras!$S$130)</f>
        <v/>
      </c>
      <c r="G1145" t="str">
        <f>IF($C1145="","","Por el deposito de la detraccion en el Banco de la Nacion")</f>
        <v/>
      </c>
      <c r="H1145" t="str">
        <f>IF($C1145="","",Registro_Compras!$C$130)</f>
        <v/>
      </c>
    </row>
    <row r="1146" spans="1:8" x14ac:dyDescent="0.25">
      <c r="A1146" s="25" t="str">
        <f>IF($C1146="","",Registro_Compras!$Y$130)</f>
        <v/>
      </c>
      <c r="B1146" t="str">
        <f>IF($C1146="","","C"&amp;TEXT(INT((ROW()-5)/9)+1,"000")&amp;"-4")</f>
        <v/>
      </c>
      <c r="C1146" t="str">
        <f>IF(OR(Registro_Compras!$C$130="",Registro_Compras!$O$130="",Registro_Compras!$Y$130="",Registro_Compras!$F$130="NOTA DE CREDITO"),"","4212")</f>
        <v/>
      </c>
      <c r="D1146" t="str">
        <f>IF(OR(Registro_Compras!$C$130="",Registro_Compras!$O$130=""),"","Cuentas por Pagar Comerciales - Terceros")</f>
        <v/>
      </c>
      <c r="E1146" s="20" t="str">
        <f>IF($C1146="","",IF(Registro_Compras!$F$130="RHE",(ROUND(Registro_Compras!$L$130*Registro_Compras!$N$130,2)-ROUND(Registro_Compras!$V$130*Registro_Compras!$N$130,2)),ROUND(Registro_Compras!$O$130-Registro_Compras!$S$130,2)))</f>
        <v/>
      </c>
      <c r="F1146" s="20" t="str">
        <f>""</f>
        <v/>
      </c>
      <c r="G1146" t="str">
        <f>IF($C1146="","","Por la cancelacion del saldo al proveedor")</f>
        <v/>
      </c>
      <c r="H1146" t="str">
        <f>IF($C1146="","",Registro_Compras!$C$130)</f>
        <v/>
      </c>
    </row>
    <row r="1147" spans="1:8" x14ac:dyDescent="0.25">
      <c r="A1147" s="25" t="str">
        <f>IF($C1147="","",Registro_Compras!$Y$130)</f>
        <v/>
      </c>
      <c r="B1147" t="str">
        <f>IF($C1147="","","C"&amp;TEXT(INT((ROW()-5)/9)+1,"000")&amp;"-4")</f>
        <v/>
      </c>
      <c r="C1147" t="str">
        <f>IF(OR(Registro_Compras!$C$130="",Registro_Compras!$O$130="",Registro_Compras!$Y$130="",Registro_Compras!$F$130="NOTA DE CREDITO"),"","1041")</f>
        <v/>
      </c>
      <c r="D1147" t="str">
        <f>IF(OR(Registro_Compras!$C$130="",Registro_Compras!$O$130=""),"","Efectivo y Equivalentes - Cta. Cte. Operativa")</f>
        <v/>
      </c>
      <c r="E1147" s="20" t="str">
        <f>""</f>
        <v/>
      </c>
      <c r="F1147" s="20" t="str">
        <f>IF($C1147="","",IF(Registro_Compras!$F$130="RHE",(ROUND(Registro_Compras!$L$130*Registro_Compras!$N$130,2)-ROUND(Registro_Compras!$V$130*Registro_Compras!$N$130,2)),ROUND(Registro_Compras!$O$130-Registro_Compras!$S$130,2)))</f>
        <v/>
      </c>
      <c r="G1147" t="str">
        <f>IF($C1147="","","Por la cancelacion del saldo al proveedor")</f>
        <v/>
      </c>
      <c r="H1147" t="str">
        <f>IF($C1147="","",Registro_Compras!$C$130)</f>
        <v/>
      </c>
    </row>
    <row r="1148" spans="1:8" x14ac:dyDescent="0.25">
      <c r="A1148" s="25" t="str">
        <f>IF($C1148="","",Registro_Compras!$B$131)</f>
        <v/>
      </c>
      <c r="B1148" t="str">
        <f>IF($C1148="","","C"&amp;TEXT(INT((ROW()-5)/9)+1,"000")&amp;"-1")</f>
        <v/>
      </c>
      <c r="C1148" t="str">
        <f>IF(OR(Registro_Compras!$C$131="",Registro_Compras!$O$131=""),"",IF(Registro_Compras!$F$131="NOTA DE CREDITO","4212",IF(Registro_Compras!$M$131="","63",Registro_Compras!$M$131)))</f>
        <v/>
      </c>
      <c r="D1148" t="str">
        <f>IF(OR(Registro_Compras!$C$131="",Registro_Compras!$O$131=""),"",IF(Registro_Compras!$F$131="NOTA DE CREDITO","Cuentas por Pagar Comerciales - Terceros (Emitidas)",IF(Registro_Compras!$F$131="RHE","Honorarios Profesionales - Servicios de Terceros","Gastos de Servicios Prestados por Terceros")))</f>
        <v/>
      </c>
      <c r="E1148" s="20" t="str">
        <f>IF($C1148="","",IF(Registro_Compras!$F$131="NOTA DE CREDITO",ABS(Registro_Compras!$O$131),IF(Registro_Compras!$F$131="RHE",ROUND(Registro_Compras!$L$131*Registro_Compras!$N$131,2),ROUND(Registro_Compras!$J$131*Registro_Compras!$N$131,2))))</f>
        <v/>
      </c>
      <c r="F1148" s="20" t="str">
        <f>""</f>
        <v/>
      </c>
      <c r="G1148" t="str">
        <f>IF($C1148="","",IF(Registro_Compras!$F$131="NOTA DE CREDITO","Por la nota de credito "&amp;Registro_Compras!$C$131&amp;" de "&amp;Registro_Compras!$E$131&amp;" [PATRON POR CONFIRMAR CON CONTADOR]",IF(Registro_Compras!$F$131="RHE","Por el registro del recibo por honorarios "&amp;Registro_Compras!$C$131&amp;" de "&amp;Registro_Compras!$E$131&amp;" [PATRON POR CONFIRMAR CON CONTADOR]","Por el registro de la factura "&amp;Registro_Compras!$C$131&amp;" de "&amp;Registro_Compras!$E$131)))</f>
        <v/>
      </c>
      <c r="H1148" t="str">
        <f>IF($C1148="","",Registro_Compras!$C$131)</f>
        <v/>
      </c>
    </row>
    <row r="1149" spans="1:8" x14ac:dyDescent="0.25">
      <c r="A1149" s="25" t="str">
        <f>IF($C1149="","",Registro_Compras!$B$131)</f>
        <v/>
      </c>
      <c r="B1149" t="str">
        <f>IF($C1149="","","C"&amp;TEXT(INT((ROW()-5)/9)+1,"000")&amp;"-1")</f>
        <v/>
      </c>
      <c r="C1149" t="str">
        <f>IF(OR(Registro_Compras!$C$131="",Registro_Compras!$O$131=""),"",IF(Registro_Compras!$F$131="RHE",IF(Registro_Compras!$V$131=0,"","4017"),IF(Registro_Compras!$F$131="NOTA DE CREDITO",IF(Registro_Compras!$M$131="","63",Registro_Compras!$M$131),IF(Registro_Compras!$K$131=0,"","40111"))))</f>
        <v/>
      </c>
      <c r="D1149" t="str">
        <f>IF(OR(Registro_Compras!$C$131="",Registro_Compras!$O$131=""),"",IF(Registro_Compras!$F$131="RHE","Retencion Renta 4ta Categoria por Pagar",IF(Registro_Compras!$F$131="NOTA DE CREDITO","Gastos de Servicios Prestados por Terceros","IGV - Cuenta Propia (Credito Fiscal)")))</f>
        <v/>
      </c>
      <c r="E1149" s="20" t="str">
        <f>IF($C1149="","",IF(Registro_Compras!$F$131="FACTURA",ROUND(Registro_Compras!$K$131*Registro_Compras!$N$131,2),""))</f>
        <v/>
      </c>
      <c r="F1149" s="20" t="str">
        <f>IF($C1149="","",IF(Registro_Compras!$F$131="RHE",ROUND(Registro_Compras!$V$131*Registro_Compras!$N$131,2),IF(Registro_Compras!$F$131="NOTA DE CREDITO",ROUND(ABS(Registro_Compras!$J$131*Registro_Compras!$N$131),2),"")))</f>
        <v/>
      </c>
      <c r="G1149" t="str">
        <f>IF($C1149="","",IF(Registro_Compras!$F$131="NOTA DE CREDITO","Por la nota de credito "&amp;Registro_Compras!$C$131&amp;" de "&amp;Registro_Compras!$E$131&amp;" [PATRON POR CONFIRMAR CON CONTADOR]",IF(Registro_Compras!$F$131="RHE","Por el registro del recibo por honorarios "&amp;Registro_Compras!$C$131&amp;" de "&amp;Registro_Compras!$E$131&amp;" [PATRON POR CONFIRMAR CON CONTADOR]","Por el registro de la factura "&amp;Registro_Compras!$C$131&amp;" de "&amp;Registro_Compras!$E$131)))</f>
        <v/>
      </c>
      <c r="H1149" t="str">
        <f>IF($C1149="","",Registro_Compras!$C$131)</f>
        <v/>
      </c>
    </row>
    <row r="1150" spans="1:8" x14ac:dyDescent="0.25">
      <c r="A1150" s="25" t="str">
        <f>IF($C1150="","",Registro_Compras!$B$131)</f>
        <v/>
      </c>
      <c r="B1150" t="str">
        <f>IF($C1150="","","C"&amp;TEXT(INT((ROW()-5)/9)+1,"000")&amp;"-1")</f>
        <v/>
      </c>
      <c r="C1150" t="str">
        <f>IF(OR(Registro_Compras!$C$131="",Registro_Compras!$O$131=""),"",IF(Registro_Compras!$F$131="NOTA DE CREDITO",IF(Registro_Compras!$K$131=0,"","40111"),"4212"))</f>
        <v/>
      </c>
      <c r="D1150" t="str">
        <f>IF(OR(Registro_Compras!$C$131="",Registro_Compras!$O$131=""),"",IF(Registro_Compras!$F$131="NOTA DE CREDITO","IGV - Cuenta Propia (Credito Fiscal)","Cuentas por Pagar Comerciales - Terceros (Emitidas)"))</f>
        <v/>
      </c>
      <c r="E1150" s="20" t="str">
        <f>""</f>
        <v/>
      </c>
      <c r="F1150" s="20" t="str">
        <f>IF($C1150="","",IF(Registro_Compras!$F$131="NOTA DE CREDITO",ROUND(ABS(Registro_Compras!$K$131*Registro_Compras!$N$131),2),IF(Registro_Compras!$F$131="RHE",(ROUND(Registro_Compras!$L$131*Registro_Compras!$N$131,2)-ROUND(Registro_Compras!$V$131*Registro_Compras!$N$131,2)),Registro_Compras!$O$131)))</f>
        <v/>
      </c>
      <c r="G1150" t="str">
        <f>IF($C1150="","",IF(Registro_Compras!$F$131="NOTA DE CREDITO","Por la nota de credito "&amp;Registro_Compras!$C$131&amp;" de "&amp;Registro_Compras!$E$131&amp;" [PATRON POR CONFIRMAR CON CONTADOR]",IF(Registro_Compras!$F$131="RHE","Por el registro del recibo por honorarios "&amp;Registro_Compras!$C$131&amp;" de "&amp;Registro_Compras!$E$131&amp;" [PATRON POR CONFIRMAR CON CONTADOR]","Por el registro de la factura "&amp;Registro_Compras!$C$131&amp;" de "&amp;Registro_Compras!$E$131)))</f>
        <v/>
      </c>
      <c r="H1150" t="str">
        <f>IF($C1150="","",Registro_Compras!$C$131)</f>
        <v/>
      </c>
    </row>
    <row r="1151" spans="1:8" x14ac:dyDescent="0.25">
      <c r="A1151" s="25" t="str">
        <f>IF($C1151="","",Registro_Compras!$B$131)</f>
        <v/>
      </c>
      <c r="B1151" t="str">
        <f>IF($C1151="","","C"&amp;TEXT(INT((ROW()-5)/9)+1,"000")&amp;"-2")</f>
        <v/>
      </c>
      <c r="C1151" t="str">
        <f>IF(OR(Registro_Compras!$C$131="",Registro_Compras!$O$131=""),"",IF(Registro_Compras!$AB$131="ADMINISTRATIVO","94","95"))</f>
        <v/>
      </c>
      <c r="D1151" t="str">
        <f>IF(OR(Registro_Compras!$C$131="",Registro_Compras!$O$131=""),"",IF(Registro_Compras!$AB$131="ADMINISTRATIVO","Gastos Administrativos","Gastos de Venta y Operacion"))</f>
        <v/>
      </c>
      <c r="E1151" s="20" t="str">
        <f>IF($C1151="","",IF(Registro_Compras!$F$131="NOTA DE CREDITO","",IF(Registro_Compras!$F$131="RHE",ROUND(Registro_Compras!$L$131*Registro_Compras!$N$131,2),ROUND(Registro_Compras!$J$131*Registro_Compras!$N$131,2))))</f>
        <v/>
      </c>
      <c r="F1151" s="20" t="str">
        <f>IF($C1151="","",IF(Registro_Compras!$F$131="NOTA DE CREDITO",ROUND(ABS(Registro_Compras!$J$131*Registro_Compras!$N$131),2),""))</f>
        <v/>
      </c>
      <c r="G1151" t="str">
        <f>IF($C1151="","","Por el destino del gasto")</f>
        <v/>
      </c>
      <c r="H1151" t="str">
        <f>IF($C1151="","",Registro_Compras!$C$131)</f>
        <v/>
      </c>
    </row>
    <row r="1152" spans="1:8" x14ac:dyDescent="0.25">
      <c r="A1152" s="25" t="str">
        <f>IF($C1152="","",Registro_Compras!$B$131)</f>
        <v/>
      </c>
      <c r="B1152" t="str">
        <f>IF($C1152="","","C"&amp;TEXT(INT((ROW()-5)/9)+1,"000")&amp;"-2")</f>
        <v/>
      </c>
      <c r="C1152" t="str">
        <f>IF(OR(Registro_Compras!$C$131="",Registro_Compras!$O$131=""),"","79/791")</f>
        <v/>
      </c>
      <c r="D1152" t="str">
        <f>IF(OR(Registro_Compras!$C$131="",Registro_Compras!$O$131=""),"","Cargas Imputables a Cuentas de Costos y Gastos")</f>
        <v/>
      </c>
      <c r="E1152" s="20" t="str">
        <f>IF($C1152="","",IF(Registro_Compras!$F$131="NOTA DE CREDITO",ROUND(ABS(Registro_Compras!$J$131*Registro_Compras!$N$131),2),""))</f>
        <v/>
      </c>
      <c r="F1152" s="20" t="str">
        <f>IF($C1152="","",IF(Registro_Compras!$F$131="NOTA DE CREDITO","",IF(Registro_Compras!$F$131="RHE",ROUND(Registro_Compras!$L$131*Registro_Compras!$N$131,2),ROUND(Registro_Compras!$J$131*Registro_Compras!$N$131,2))))</f>
        <v/>
      </c>
      <c r="G1152" t="str">
        <f>IF($C1152="","","Por el destino del gasto")</f>
        <v/>
      </c>
      <c r="H1152" t="str">
        <f>IF($C1152="","",Registro_Compras!$C$131)</f>
        <v/>
      </c>
    </row>
    <row r="1153" spans="1:8" x14ac:dyDescent="0.25">
      <c r="A1153" s="25" t="str">
        <f>IF($C1153="","",Registro_Compras!$X$131)</f>
        <v/>
      </c>
      <c r="B1153" t="str">
        <f>IF($C1153="","","C"&amp;TEXT(INT((ROW()-5)/9)+1,"000")&amp;"-3")</f>
        <v/>
      </c>
      <c r="C1153" t="str">
        <f>IF(OR(Registro_Compras!$C$131="",Registro_Compras!$O$131="",Registro_Compras!$R$131&lt;&gt;"SI",Registro_Compras!$X$131=""),"","4212")</f>
        <v/>
      </c>
      <c r="D1153" t="str">
        <f>IF(OR(Registro_Compras!$C$131="",Registro_Compras!$O$131=""),"","Cuentas por Pagar Comerciales - Terceros")</f>
        <v/>
      </c>
      <c r="E1153" s="20" t="str">
        <f>IF($C1153="","",Registro_Compras!$S$131)</f>
        <v/>
      </c>
      <c r="F1153" s="20" t="str">
        <f>""</f>
        <v/>
      </c>
      <c r="G1153" t="str">
        <f>IF($C1153="","","Por el deposito de la detraccion en el Banco de la Nacion")</f>
        <v/>
      </c>
      <c r="H1153" t="str">
        <f>IF($C1153="","",Registro_Compras!$C$131)</f>
        <v/>
      </c>
    </row>
    <row r="1154" spans="1:8" x14ac:dyDescent="0.25">
      <c r="A1154" s="25" t="str">
        <f>IF($C1154="","",Registro_Compras!$X$131)</f>
        <v/>
      </c>
      <c r="B1154" t="str">
        <f>IF($C1154="","","C"&amp;TEXT(INT((ROW()-5)/9)+1,"000")&amp;"-3")</f>
        <v/>
      </c>
      <c r="C1154" t="str">
        <f>IF(OR(Registro_Compras!$C$131="",Registro_Compras!$O$131="",Registro_Compras!$R$131&lt;&gt;"SI",Registro_Compras!$X$131=""),"","1041")</f>
        <v/>
      </c>
      <c r="D1154" t="str">
        <f>IF(OR(Registro_Compras!$C$131="",Registro_Compras!$O$131=""),"","Efectivo y Equivalentes - Cta. Cte. Operativa")</f>
        <v/>
      </c>
      <c r="E1154" s="20" t="str">
        <f>""</f>
        <v/>
      </c>
      <c r="F1154" s="20" t="str">
        <f>IF($C1154="","",Registro_Compras!$S$131)</f>
        <v/>
      </c>
      <c r="G1154" t="str">
        <f>IF($C1154="","","Por el deposito de la detraccion en el Banco de la Nacion")</f>
        <v/>
      </c>
      <c r="H1154" t="str">
        <f>IF($C1154="","",Registro_Compras!$C$131)</f>
        <v/>
      </c>
    </row>
    <row r="1155" spans="1:8" x14ac:dyDescent="0.25">
      <c r="A1155" s="25" t="str">
        <f>IF($C1155="","",Registro_Compras!$Y$131)</f>
        <v/>
      </c>
      <c r="B1155" t="str">
        <f>IF($C1155="","","C"&amp;TEXT(INT((ROW()-5)/9)+1,"000")&amp;"-4")</f>
        <v/>
      </c>
      <c r="C1155" t="str">
        <f>IF(OR(Registro_Compras!$C$131="",Registro_Compras!$O$131="",Registro_Compras!$Y$131="",Registro_Compras!$F$131="NOTA DE CREDITO"),"","4212")</f>
        <v/>
      </c>
      <c r="D1155" t="str">
        <f>IF(OR(Registro_Compras!$C$131="",Registro_Compras!$O$131=""),"","Cuentas por Pagar Comerciales - Terceros")</f>
        <v/>
      </c>
      <c r="E1155" s="20" t="str">
        <f>IF($C1155="","",IF(Registro_Compras!$F$131="RHE",(ROUND(Registro_Compras!$L$131*Registro_Compras!$N$131,2)-ROUND(Registro_Compras!$V$131*Registro_Compras!$N$131,2)),ROUND(Registro_Compras!$O$131-Registro_Compras!$S$131,2)))</f>
        <v/>
      </c>
      <c r="F1155" s="20" t="str">
        <f>""</f>
        <v/>
      </c>
      <c r="G1155" t="str">
        <f>IF($C1155="","","Por la cancelacion del saldo al proveedor")</f>
        <v/>
      </c>
      <c r="H1155" t="str">
        <f>IF($C1155="","",Registro_Compras!$C$131)</f>
        <v/>
      </c>
    </row>
    <row r="1156" spans="1:8" x14ac:dyDescent="0.25">
      <c r="A1156" s="25" t="str">
        <f>IF($C1156="","",Registro_Compras!$Y$131)</f>
        <v/>
      </c>
      <c r="B1156" t="str">
        <f>IF($C1156="","","C"&amp;TEXT(INT((ROW()-5)/9)+1,"000")&amp;"-4")</f>
        <v/>
      </c>
      <c r="C1156" t="str">
        <f>IF(OR(Registro_Compras!$C$131="",Registro_Compras!$O$131="",Registro_Compras!$Y$131="",Registro_Compras!$F$131="NOTA DE CREDITO"),"","1041")</f>
        <v/>
      </c>
      <c r="D1156" t="str">
        <f>IF(OR(Registro_Compras!$C$131="",Registro_Compras!$O$131=""),"","Efectivo y Equivalentes - Cta. Cte. Operativa")</f>
        <v/>
      </c>
      <c r="E1156" s="20" t="str">
        <f>""</f>
        <v/>
      </c>
      <c r="F1156" s="20" t="str">
        <f>IF($C1156="","",IF(Registro_Compras!$F$131="RHE",(ROUND(Registro_Compras!$L$131*Registro_Compras!$N$131,2)-ROUND(Registro_Compras!$V$131*Registro_Compras!$N$131,2)),ROUND(Registro_Compras!$O$131-Registro_Compras!$S$131,2)))</f>
        <v/>
      </c>
      <c r="G1156" t="str">
        <f>IF($C1156="","","Por la cancelacion del saldo al proveedor")</f>
        <v/>
      </c>
      <c r="H1156" t="str">
        <f>IF($C1156="","",Registro_Compras!$C$131)</f>
        <v/>
      </c>
    </row>
    <row r="1157" spans="1:8" x14ac:dyDescent="0.25">
      <c r="A1157" s="25" t="str">
        <f>IF($C1157="","",Registro_Compras!$B$132)</f>
        <v/>
      </c>
      <c r="B1157" t="str">
        <f>IF($C1157="","","C"&amp;TEXT(INT((ROW()-5)/9)+1,"000")&amp;"-1")</f>
        <v/>
      </c>
      <c r="C1157" t="str">
        <f>IF(OR(Registro_Compras!$C$132="",Registro_Compras!$O$132=""),"",IF(Registro_Compras!$F$132="NOTA DE CREDITO","4212",IF(Registro_Compras!$M$132="","63",Registro_Compras!$M$132)))</f>
        <v/>
      </c>
      <c r="D1157" t="str">
        <f>IF(OR(Registro_Compras!$C$132="",Registro_Compras!$O$132=""),"",IF(Registro_Compras!$F$132="NOTA DE CREDITO","Cuentas por Pagar Comerciales - Terceros (Emitidas)",IF(Registro_Compras!$F$132="RHE","Honorarios Profesionales - Servicios de Terceros","Gastos de Servicios Prestados por Terceros")))</f>
        <v/>
      </c>
      <c r="E1157" s="20" t="str">
        <f>IF($C1157="","",IF(Registro_Compras!$F$132="NOTA DE CREDITO",ABS(Registro_Compras!$O$132),IF(Registro_Compras!$F$132="RHE",ROUND(Registro_Compras!$L$132*Registro_Compras!$N$132,2),ROUND(Registro_Compras!$J$132*Registro_Compras!$N$132,2))))</f>
        <v/>
      </c>
      <c r="F1157" s="20" t="str">
        <f>""</f>
        <v/>
      </c>
      <c r="G1157" t="str">
        <f>IF($C1157="","",IF(Registro_Compras!$F$132="NOTA DE CREDITO","Por la nota de credito "&amp;Registro_Compras!$C$132&amp;" de "&amp;Registro_Compras!$E$132&amp;" [PATRON POR CONFIRMAR CON CONTADOR]",IF(Registro_Compras!$F$132="RHE","Por el registro del recibo por honorarios "&amp;Registro_Compras!$C$132&amp;" de "&amp;Registro_Compras!$E$132&amp;" [PATRON POR CONFIRMAR CON CONTADOR]","Por el registro de la factura "&amp;Registro_Compras!$C$132&amp;" de "&amp;Registro_Compras!$E$132)))</f>
        <v/>
      </c>
      <c r="H1157" t="str">
        <f>IF($C1157="","",Registro_Compras!$C$132)</f>
        <v/>
      </c>
    </row>
    <row r="1158" spans="1:8" x14ac:dyDescent="0.25">
      <c r="A1158" s="25" t="str">
        <f>IF($C1158="","",Registro_Compras!$B$132)</f>
        <v/>
      </c>
      <c r="B1158" t="str">
        <f>IF($C1158="","","C"&amp;TEXT(INT((ROW()-5)/9)+1,"000")&amp;"-1")</f>
        <v/>
      </c>
      <c r="C1158" t="str">
        <f>IF(OR(Registro_Compras!$C$132="",Registro_Compras!$O$132=""),"",IF(Registro_Compras!$F$132="RHE",IF(Registro_Compras!$V$132=0,"","4017"),IF(Registro_Compras!$F$132="NOTA DE CREDITO",IF(Registro_Compras!$M$132="","63",Registro_Compras!$M$132),IF(Registro_Compras!$K$132=0,"","40111"))))</f>
        <v/>
      </c>
      <c r="D1158" t="str">
        <f>IF(OR(Registro_Compras!$C$132="",Registro_Compras!$O$132=""),"",IF(Registro_Compras!$F$132="RHE","Retencion Renta 4ta Categoria por Pagar",IF(Registro_Compras!$F$132="NOTA DE CREDITO","Gastos de Servicios Prestados por Terceros","IGV - Cuenta Propia (Credito Fiscal)")))</f>
        <v/>
      </c>
      <c r="E1158" s="20" t="str">
        <f>IF($C1158="","",IF(Registro_Compras!$F$132="FACTURA",ROUND(Registro_Compras!$K$132*Registro_Compras!$N$132,2),""))</f>
        <v/>
      </c>
      <c r="F1158" s="20" t="str">
        <f>IF($C1158="","",IF(Registro_Compras!$F$132="RHE",ROUND(Registro_Compras!$V$132*Registro_Compras!$N$132,2),IF(Registro_Compras!$F$132="NOTA DE CREDITO",ROUND(ABS(Registro_Compras!$J$132*Registro_Compras!$N$132),2),"")))</f>
        <v/>
      </c>
      <c r="G1158" t="str">
        <f>IF($C1158="","",IF(Registro_Compras!$F$132="NOTA DE CREDITO","Por la nota de credito "&amp;Registro_Compras!$C$132&amp;" de "&amp;Registro_Compras!$E$132&amp;" [PATRON POR CONFIRMAR CON CONTADOR]",IF(Registro_Compras!$F$132="RHE","Por el registro del recibo por honorarios "&amp;Registro_Compras!$C$132&amp;" de "&amp;Registro_Compras!$E$132&amp;" [PATRON POR CONFIRMAR CON CONTADOR]","Por el registro de la factura "&amp;Registro_Compras!$C$132&amp;" de "&amp;Registro_Compras!$E$132)))</f>
        <v/>
      </c>
      <c r="H1158" t="str">
        <f>IF($C1158="","",Registro_Compras!$C$132)</f>
        <v/>
      </c>
    </row>
    <row r="1159" spans="1:8" x14ac:dyDescent="0.25">
      <c r="A1159" s="25" t="str">
        <f>IF($C1159="","",Registro_Compras!$B$132)</f>
        <v/>
      </c>
      <c r="B1159" t="str">
        <f>IF($C1159="","","C"&amp;TEXT(INT((ROW()-5)/9)+1,"000")&amp;"-1")</f>
        <v/>
      </c>
      <c r="C1159" t="str">
        <f>IF(OR(Registro_Compras!$C$132="",Registro_Compras!$O$132=""),"",IF(Registro_Compras!$F$132="NOTA DE CREDITO",IF(Registro_Compras!$K$132=0,"","40111"),"4212"))</f>
        <v/>
      </c>
      <c r="D1159" t="str">
        <f>IF(OR(Registro_Compras!$C$132="",Registro_Compras!$O$132=""),"",IF(Registro_Compras!$F$132="NOTA DE CREDITO","IGV - Cuenta Propia (Credito Fiscal)","Cuentas por Pagar Comerciales - Terceros (Emitidas)"))</f>
        <v/>
      </c>
      <c r="E1159" s="20" t="str">
        <f>""</f>
        <v/>
      </c>
      <c r="F1159" s="20" t="str">
        <f>IF($C1159="","",IF(Registro_Compras!$F$132="NOTA DE CREDITO",ROUND(ABS(Registro_Compras!$K$132*Registro_Compras!$N$132),2),IF(Registro_Compras!$F$132="RHE",(ROUND(Registro_Compras!$L$132*Registro_Compras!$N$132,2)-ROUND(Registro_Compras!$V$132*Registro_Compras!$N$132,2)),Registro_Compras!$O$132)))</f>
        <v/>
      </c>
      <c r="G1159" t="str">
        <f>IF($C1159="","",IF(Registro_Compras!$F$132="NOTA DE CREDITO","Por la nota de credito "&amp;Registro_Compras!$C$132&amp;" de "&amp;Registro_Compras!$E$132&amp;" [PATRON POR CONFIRMAR CON CONTADOR]",IF(Registro_Compras!$F$132="RHE","Por el registro del recibo por honorarios "&amp;Registro_Compras!$C$132&amp;" de "&amp;Registro_Compras!$E$132&amp;" [PATRON POR CONFIRMAR CON CONTADOR]","Por el registro de la factura "&amp;Registro_Compras!$C$132&amp;" de "&amp;Registro_Compras!$E$132)))</f>
        <v/>
      </c>
      <c r="H1159" t="str">
        <f>IF($C1159="","",Registro_Compras!$C$132)</f>
        <v/>
      </c>
    </row>
    <row r="1160" spans="1:8" x14ac:dyDescent="0.25">
      <c r="A1160" s="25" t="str">
        <f>IF($C1160="","",Registro_Compras!$B$132)</f>
        <v/>
      </c>
      <c r="B1160" t="str">
        <f>IF($C1160="","","C"&amp;TEXT(INT((ROW()-5)/9)+1,"000")&amp;"-2")</f>
        <v/>
      </c>
      <c r="C1160" t="str">
        <f>IF(OR(Registro_Compras!$C$132="",Registro_Compras!$O$132=""),"",IF(Registro_Compras!$AB$132="ADMINISTRATIVO","94","95"))</f>
        <v/>
      </c>
      <c r="D1160" t="str">
        <f>IF(OR(Registro_Compras!$C$132="",Registro_Compras!$O$132=""),"",IF(Registro_Compras!$AB$132="ADMINISTRATIVO","Gastos Administrativos","Gastos de Venta y Operacion"))</f>
        <v/>
      </c>
      <c r="E1160" s="20" t="str">
        <f>IF($C1160="","",IF(Registro_Compras!$F$132="NOTA DE CREDITO","",IF(Registro_Compras!$F$132="RHE",ROUND(Registro_Compras!$L$132*Registro_Compras!$N$132,2),ROUND(Registro_Compras!$J$132*Registro_Compras!$N$132,2))))</f>
        <v/>
      </c>
      <c r="F1160" s="20" t="str">
        <f>IF($C1160="","",IF(Registro_Compras!$F$132="NOTA DE CREDITO",ROUND(ABS(Registro_Compras!$J$132*Registro_Compras!$N$132),2),""))</f>
        <v/>
      </c>
      <c r="G1160" t="str">
        <f>IF($C1160="","","Por el destino del gasto")</f>
        <v/>
      </c>
      <c r="H1160" t="str">
        <f>IF($C1160="","",Registro_Compras!$C$132)</f>
        <v/>
      </c>
    </row>
    <row r="1161" spans="1:8" x14ac:dyDescent="0.25">
      <c r="A1161" s="25" t="str">
        <f>IF($C1161="","",Registro_Compras!$B$132)</f>
        <v/>
      </c>
      <c r="B1161" t="str">
        <f>IF($C1161="","","C"&amp;TEXT(INT((ROW()-5)/9)+1,"000")&amp;"-2")</f>
        <v/>
      </c>
      <c r="C1161" t="str">
        <f>IF(OR(Registro_Compras!$C$132="",Registro_Compras!$O$132=""),"","79/791")</f>
        <v/>
      </c>
      <c r="D1161" t="str">
        <f>IF(OR(Registro_Compras!$C$132="",Registro_Compras!$O$132=""),"","Cargas Imputables a Cuentas de Costos y Gastos")</f>
        <v/>
      </c>
      <c r="E1161" s="20" t="str">
        <f>IF($C1161="","",IF(Registro_Compras!$F$132="NOTA DE CREDITO",ROUND(ABS(Registro_Compras!$J$132*Registro_Compras!$N$132),2),""))</f>
        <v/>
      </c>
      <c r="F1161" s="20" t="str">
        <f>IF($C1161="","",IF(Registro_Compras!$F$132="NOTA DE CREDITO","",IF(Registro_Compras!$F$132="RHE",ROUND(Registro_Compras!$L$132*Registro_Compras!$N$132,2),ROUND(Registro_Compras!$J$132*Registro_Compras!$N$132,2))))</f>
        <v/>
      </c>
      <c r="G1161" t="str">
        <f>IF($C1161="","","Por el destino del gasto")</f>
        <v/>
      </c>
      <c r="H1161" t="str">
        <f>IF($C1161="","",Registro_Compras!$C$132)</f>
        <v/>
      </c>
    </row>
    <row r="1162" spans="1:8" x14ac:dyDescent="0.25">
      <c r="A1162" s="25" t="str">
        <f>IF($C1162="","",Registro_Compras!$X$132)</f>
        <v/>
      </c>
      <c r="B1162" t="str">
        <f>IF($C1162="","","C"&amp;TEXT(INT((ROW()-5)/9)+1,"000")&amp;"-3")</f>
        <v/>
      </c>
      <c r="C1162" t="str">
        <f>IF(OR(Registro_Compras!$C$132="",Registro_Compras!$O$132="",Registro_Compras!$R$132&lt;&gt;"SI",Registro_Compras!$X$132=""),"","4212")</f>
        <v/>
      </c>
      <c r="D1162" t="str">
        <f>IF(OR(Registro_Compras!$C$132="",Registro_Compras!$O$132=""),"","Cuentas por Pagar Comerciales - Terceros")</f>
        <v/>
      </c>
      <c r="E1162" s="20" t="str">
        <f>IF($C1162="","",Registro_Compras!$S$132)</f>
        <v/>
      </c>
      <c r="F1162" s="20" t="str">
        <f>""</f>
        <v/>
      </c>
      <c r="G1162" t="str">
        <f>IF($C1162="","","Por el deposito de la detraccion en el Banco de la Nacion")</f>
        <v/>
      </c>
      <c r="H1162" t="str">
        <f>IF($C1162="","",Registro_Compras!$C$132)</f>
        <v/>
      </c>
    </row>
    <row r="1163" spans="1:8" x14ac:dyDescent="0.25">
      <c r="A1163" s="25" t="str">
        <f>IF($C1163="","",Registro_Compras!$X$132)</f>
        <v/>
      </c>
      <c r="B1163" t="str">
        <f>IF($C1163="","","C"&amp;TEXT(INT((ROW()-5)/9)+1,"000")&amp;"-3")</f>
        <v/>
      </c>
      <c r="C1163" t="str">
        <f>IF(OR(Registro_Compras!$C$132="",Registro_Compras!$O$132="",Registro_Compras!$R$132&lt;&gt;"SI",Registro_Compras!$X$132=""),"","1041")</f>
        <v/>
      </c>
      <c r="D1163" t="str">
        <f>IF(OR(Registro_Compras!$C$132="",Registro_Compras!$O$132=""),"","Efectivo y Equivalentes - Cta. Cte. Operativa")</f>
        <v/>
      </c>
      <c r="E1163" s="20" t="str">
        <f>""</f>
        <v/>
      </c>
      <c r="F1163" s="20" t="str">
        <f>IF($C1163="","",Registro_Compras!$S$132)</f>
        <v/>
      </c>
      <c r="G1163" t="str">
        <f>IF($C1163="","","Por el deposito de la detraccion en el Banco de la Nacion")</f>
        <v/>
      </c>
      <c r="H1163" t="str">
        <f>IF($C1163="","",Registro_Compras!$C$132)</f>
        <v/>
      </c>
    </row>
    <row r="1164" spans="1:8" x14ac:dyDescent="0.25">
      <c r="A1164" s="25" t="str">
        <f>IF($C1164="","",Registro_Compras!$Y$132)</f>
        <v/>
      </c>
      <c r="B1164" t="str">
        <f>IF($C1164="","","C"&amp;TEXT(INT((ROW()-5)/9)+1,"000")&amp;"-4")</f>
        <v/>
      </c>
      <c r="C1164" t="str">
        <f>IF(OR(Registro_Compras!$C$132="",Registro_Compras!$O$132="",Registro_Compras!$Y$132="",Registro_Compras!$F$132="NOTA DE CREDITO"),"","4212")</f>
        <v/>
      </c>
      <c r="D1164" t="str">
        <f>IF(OR(Registro_Compras!$C$132="",Registro_Compras!$O$132=""),"","Cuentas por Pagar Comerciales - Terceros")</f>
        <v/>
      </c>
      <c r="E1164" s="20" t="str">
        <f>IF($C1164="","",IF(Registro_Compras!$F$132="RHE",(ROUND(Registro_Compras!$L$132*Registro_Compras!$N$132,2)-ROUND(Registro_Compras!$V$132*Registro_Compras!$N$132,2)),ROUND(Registro_Compras!$O$132-Registro_Compras!$S$132,2)))</f>
        <v/>
      </c>
      <c r="F1164" s="20" t="str">
        <f>""</f>
        <v/>
      </c>
      <c r="G1164" t="str">
        <f>IF($C1164="","","Por la cancelacion del saldo al proveedor")</f>
        <v/>
      </c>
      <c r="H1164" t="str">
        <f>IF($C1164="","",Registro_Compras!$C$132)</f>
        <v/>
      </c>
    </row>
    <row r="1165" spans="1:8" x14ac:dyDescent="0.25">
      <c r="A1165" s="25" t="str">
        <f>IF($C1165="","",Registro_Compras!$Y$132)</f>
        <v/>
      </c>
      <c r="B1165" t="str">
        <f>IF($C1165="","","C"&amp;TEXT(INT((ROW()-5)/9)+1,"000")&amp;"-4")</f>
        <v/>
      </c>
      <c r="C1165" t="str">
        <f>IF(OR(Registro_Compras!$C$132="",Registro_Compras!$O$132="",Registro_Compras!$Y$132="",Registro_Compras!$F$132="NOTA DE CREDITO"),"","1041")</f>
        <v/>
      </c>
      <c r="D1165" t="str">
        <f>IF(OR(Registro_Compras!$C$132="",Registro_Compras!$O$132=""),"","Efectivo y Equivalentes - Cta. Cte. Operativa")</f>
        <v/>
      </c>
      <c r="E1165" s="20" t="str">
        <f>""</f>
        <v/>
      </c>
      <c r="F1165" s="20" t="str">
        <f>IF($C1165="","",IF(Registro_Compras!$F$132="RHE",(ROUND(Registro_Compras!$L$132*Registro_Compras!$N$132,2)-ROUND(Registro_Compras!$V$132*Registro_Compras!$N$132,2)),ROUND(Registro_Compras!$O$132-Registro_Compras!$S$132,2)))</f>
        <v/>
      </c>
      <c r="G1165" t="str">
        <f>IF($C1165="","","Por la cancelacion del saldo al proveedor")</f>
        <v/>
      </c>
      <c r="H1165" t="str">
        <f>IF($C1165="","",Registro_Compras!$C$132)</f>
        <v/>
      </c>
    </row>
    <row r="1166" spans="1:8" x14ac:dyDescent="0.25">
      <c r="A1166" s="25" t="str">
        <f>IF($C1166="","",Registro_Compras!$B$133)</f>
        <v/>
      </c>
      <c r="B1166" t="str">
        <f>IF($C1166="","","C"&amp;TEXT(INT((ROW()-5)/9)+1,"000")&amp;"-1")</f>
        <v/>
      </c>
      <c r="C1166" t="str">
        <f>IF(OR(Registro_Compras!$C$133="",Registro_Compras!$O$133=""),"",IF(Registro_Compras!$F$133="NOTA DE CREDITO","4212",IF(Registro_Compras!$M$133="","63",Registro_Compras!$M$133)))</f>
        <v/>
      </c>
      <c r="D1166" t="str">
        <f>IF(OR(Registro_Compras!$C$133="",Registro_Compras!$O$133=""),"",IF(Registro_Compras!$F$133="NOTA DE CREDITO","Cuentas por Pagar Comerciales - Terceros (Emitidas)",IF(Registro_Compras!$F$133="RHE","Honorarios Profesionales - Servicios de Terceros","Gastos de Servicios Prestados por Terceros")))</f>
        <v/>
      </c>
      <c r="E1166" s="20" t="str">
        <f>IF($C1166="","",IF(Registro_Compras!$F$133="NOTA DE CREDITO",ABS(Registro_Compras!$O$133),IF(Registro_Compras!$F$133="RHE",ROUND(Registro_Compras!$L$133*Registro_Compras!$N$133,2),ROUND(Registro_Compras!$J$133*Registro_Compras!$N$133,2))))</f>
        <v/>
      </c>
      <c r="F1166" s="20" t="str">
        <f>""</f>
        <v/>
      </c>
      <c r="G1166" t="str">
        <f>IF($C1166="","",IF(Registro_Compras!$F$133="NOTA DE CREDITO","Por la nota de credito "&amp;Registro_Compras!$C$133&amp;" de "&amp;Registro_Compras!$E$133&amp;" [PATRON POR CONFIRMAR CON CONTADOR]",IF(Registro_Compras!$F$133="RHE","Por el registro del recibo por honorarios "&amp;Registro_Compras!$C$133&amp;" de "&amp;Registro_Compras!$E$133&amp;" [PATRON POR CONFIRMAR CON CONTADOR]","Por el registro de la factura "&amp;Registro_Compras!$C$133&amp;" de "&amp;Registro_Compras!$E$133)))</f>
        <v/>
      </c>
      <c r="H1166" t="str">
        <f>IF($C1166="","",Registro_Compras!$C$133)</f>
        <v/>
      </c>
    </row>
    <row r="1167" spans="1:8" x14ac:dyDescent="0.25">
      <c r="A1167" s="25" t="str">
        <f>IF($C1167="","",Registro_Compras!$B$133)</f>
        <v/>
      </c>
      <c r="B1167" t="str">
        <f>IF($C1167="","","C"&amp;TEXT(INT((ROW()-5)/9)+1,"000")&amp;"-1")</f>
        <v/>
      </c>
      <c r="C1167" t="str">
        <f>IF(OR(Registro_Compras!$C$133="",Registro_Compras!$O$133=""),"",IF(Registro_Compras!$F$133="RHE",IF(Registro_Compras!$V$133=0,"","4017"),IF(Registro_Compras!$F$133="NOTA DE CREDITO",IF(Registro_Compras!$M$133="","63",Registro_Compras!$M$133),IF(Registro_Compras!$K$133=0,"","40111"))))</f>
        <v/>
      </c>
      <c r="D1167" t="str">
        <f>IF(OR(Registro_Compras!$C$133="",Registro_Compras!$O$133=""),"",IF(Registro_Compras!$F$133="RHE","Retencion Renta 4ta Categoria por Pagar",IF(Registro_Compras!$F$133="NOTA DE CREDITO","Gastos de Servicios Prestados por Terceros","IGV - Cuenta Propia (Credito Fiscal)")))</f>
        <v/>
      </c>
      <c r="E1167" s="20" t="str">
        <f>IF($C1167="","",IF(Registro_Compras!$F$133="FACTURA",ROUND(Registro_Compras!$K$133*Registro_Compras!$N$133,2),""))</f>
        <v/>
      </c>
      <c r="F1167" s="20" t="str">
        <f>IF($C1167="","",IF(Registro_Compras!$F$133="RHE",ROUND(Registro_Compras!$V$133*Registro_Compras!$N$133,2),IF(Registro_Compras!$F$133="NOTA DE CREDITO",ROUND(ABS(Registro_Compras!$J$133*Registro_Compras!$N$133),2),"")))</f>
        <v/>
      </c>
      <c r="G1167" t="str">
        <f>IF($C1167="","",IF(Registro_Compras!$F$133="NOTA DE CREDITO","Por la nota de credito "&amp;Registro_Compras!$C$133&amp;" de "&amp;Registro_Compras!$E$133&amp;" [PATRON POR CONFIRMAR CON CONTADOR]",IF(Registro_Compras!$F$133="RHE","Por el registro del recibo por honorarios "&amp;Registro_Compras!$C$133&amp;" de "&amp;Registro_Compras!$E$133&amp;" [PATRON POR CONFIRMAR CON CONTADOR]","Por el registro de la factura "&amp;Registro_Compras!$C$133&amp;" de "&amp;Registro_Compras!$E$133)))</f>
        <v/>
      </c>
      <c r="H1167" t="str">
        <f>IF($C1167="","",Registro_Compras!$C$133)</f>
        <v/>
      </c>
    </row>
    <row r="1168" spans="1:8" x14ac:dyDescent="0.25">
      <c r="A1168" s="25" t="str">
        <f>IF($C1168="","",Registro_Compras!$B$133)</f>
        <v/>
      </c>
      <c r="B1168" t="str">
        <f>IF($C1168="","","C"&amp;TEXT(INT((ROW()-5)/9)+1,"000")&amp;"-1")</f>
        <v/>
      </c>
      <c r="C1168" t="str">
        <f>IF(OR(Registro_Compras!$C$133="",Registro_Compras!$O$133=""),"",IF(Registro_Compras!$F$133="NOTA DE CREDITO",IF(Registro_Compras!$K$133=0,"","40111"),"4212"))</f>
        <v/>
      </c>
      <c r="D1168" t="str">
        <f>IF(OR(Registro_Compras!$C$133="",Registro_Compras!$O$133=""),"",IF(Registro_Compras!$F$133="NOTA DE CREDITO","IGV - Cuenta Propia (Credito Fiscal)","Cuentas por Pagar Comerciales - Terceros (Emitidas)"))</f>
        <v/>
      </c>
      <c r="E1168" s="20" t="str">
        <f>""</f>
        <v/>
      </c>
      <c r="F1168" s="20" t="str">
        <f>IF($C1168="","",IF(Registro_Compras!$F$133="NOTA DE CREDITO",ROUND(ABS(Registro_Compras!$K$133*Registro_Compras!$N$133),2),IF(Registro_Compras!$F$133="RHE",(ROUND(Registro_Compras!$L$133*Registro_Compras!$N$133,2)-ROUND(Registro_Compras!$V$133*Registro_Compras!$N$133,2)),Registro_Compras!$O$133)))</f>
        <v/>
      </c>
      <c r="G1168" t="str">
        <f>IF($C1168="","",IF(Registro_Compras!$F$133="NOTA DE CREDITO","Por la nota de credito "&amp;Registro_Compras!$C$133&amp;" de "&amp;Registro_Compras!$E$133&amp;" [PATRON POR CONFIRMAR CON CONTADOR]",IF(Registro_Compras!$F$133="RHE","Por el registro del recibo por honorarios "&amp;Registro_Compras!$C$133&amp;" de "&amp;Registro_Compras!$E$133&amp;" [PATRON POR CONFIRMAR CON CONTADOR]","Por el registro de la factura "&amp;Registro_Compras!$C$133&amp;" de "&amp;Registro_Compras!$E$133)))</f>
        <v/>
      </c>
      <c r="H1168" t="str">
        <f>IF($C1168="","",Registro_Compras!$C$133)</f>
        <v/>
      </c>
    </row>
    <row r="1169" spans="1:8" x14ac:dyDescent="0.25">
      <c r="A1169" s="25" t="str">
        <f>IF($C1169="","",Registro_Compras!$B$133)</f>
        <v/>
      </c>
      <c r="B1169" t="str">
        <f>IF($C1169="","","C"&amp;TEXT(INT((ROW()-5)/9)+1,"000")&amp;"-2")</f>
        <v/>
      </c>
      <c r="C1169" t="str">
        <f>IF(OR(Registro_Compras!$C$133="",Registro_Compras!$O$133=""),"",IF(Registro_Compras!$AB$133="ADMINISTRATIVO","94","95"))</f>
        <v/>
      </c>
      <c r="D1169" t="str">
        <f>IF(OR(Registro_Compras!$C$133="",Registro_Compras!$O$133=""),"",IF(Registro_Compras!$AB$133="ADMINISTRATIVO","Gastos Administrativos","Gastos de Venta y Operacion"))</f>
        <v/>
      </c>
      <c r="E1169" s="20" t="str">
        <f>IF($C1169="","",IF(Registro_Compras!$F$133="NOTA DE CREDITO","",IF(Registro_Compras!$F$133="RHE",ROUND(Registro_Compras!$L$133*Registro_Compras!$N$133,2),ROUND(Registro_Compras!$J$133*Registro_Compras!$N$133,2))))</f>
        <v/>
      </c>
      <c r="F1169" s="20" t="str">
        <f>IF($C1169="","",IF(Registro_Compras!$F$133="NOTA DE CREDITO",ROUND(ABS(Registro_Compras!$J$133*Registro_Compras!$N$133),2),""))</f>
        <v/>
      </c>
      <c r="G1169" t="str">
        <f>IF($C1169="","","Por el destino del gasto")</f>
        <v/>
      </c>
      <c r="H1169" t="str">
        <f>IF($C1169="","",Registro_Compras!$C$133)</f>
        <v/>
      </c>
    </row>
    <row r="1170" spans="1:8" x14ac:dyDescent="0.25">
      <c r="A1170" s="25" t="str">
        <f>IF($C1170="","",Registro_Compras!$B$133)</f>
        <v/>
      </c>
      <c r="B1170" t="str">
        <f>IF($C1170="","","C"&amp;TEXT(INT((ROW()-5)/9)+1,"000")&amp;"-2")</f>
        <v/>
      </c>
      <c r="C1170" t="str">
        <f>IF(OR(Registro_Compras!$C$133="",Registro_Compras!$O$133=""),"","79/791")</f>
        <v/>
      </c>
      <c r="D1170" t="str">
        <f>IF(OR(Registro_Compras!$C$133="",Registro_Compras!$O$133=""),"","Cargas Imputables a Cuentas de Costos y Gastos")</f>
        <v/>
      </c>
      <c r="E1170" s="20" t="str">
        <f>IF($C1170="","",IF(Registro_Compras!$F$133="NOTA DE CREDITO",ROUND(ABS(Registro_Compras!$J$133*Registro_Compras!$N$133),2),""))</f>
        <v/>
      </c>
      <c r="F1170" s="20" t="str">
        <f>IF($C1170="","",IF(Registro_Compras!$F$133="NOTA DE CREDITO","",IF(Registro_Compras!$F$133="RHE",ROUND(Registro_Compras!$L$133*Registro_Compras!$N$133,2),ROUND(Registro_Compras!$J$133*Registro_Compras!$N$133,2))))</f>
        <v/>
      </c>
      <c r="G1170" t="str">
        <f>IF($C1170="","","Por el destino del gasto")</f>
        <v/>
      </c>
      <c r="H1170" t="str">
        <f>IF($C1170="","",Registro_Compras!$C$133)</f>
        <v/>
      </c>
    </row>
    <row r="1171" spans="1:8" x14ac:dyDescent="0.25">
      <c r="A1171" s="25" t="str">
        <f>IF($C1171="","",Registro_Compras!$X$133)</f>
        <v/>
      </c>
      <c r="B1171" t="str">
        <f>IF($C1171="","","C"&amp;TEXT(INT((ROW()-5)/9)+1,"000")&amp;"-3")</f>
        <v/>
      </c>
      <c r="C1171" t="str">
        <f>IF(OR(Registro_Compras!$C$133="",Registro_Compras!$O$133="",Registro_Compras!$R$133&lt;&gt;"SI",Registro_Compras!$X$133=""),"","4212")</f>
        <v/>
      </c>
      <c r="D1171" t="str">
        <f>IF(OR(Registro_Compras!$C$133="",Registro_Compras!$O$133=""),"","Cuentas por Pagar Comerciales - Terceros")</f>
        <v/>
      </c>
      <c r="E1171" s="20" t="str">
        <f>IF($C1171="","",Registro_Compras!$S$133)</f>
        <v/>
      </c>
      <c r="F1171" s="20" t="str">
        <f>""</f>
        <v/>
      </c>
      <c r="G1171" t="str">
        <f>IF($C1171="","","Por el deposito de la detraccion en el Banco de la Nacion")</f>
        <v/>
      </c>
      <c r="H1171" t="str">
        <f>IF($C1171="","",Registro_Compras!$C$133)</f>
        <v/>
      </c>
    </row>
    <row r="1172" spans="1:8" x14ac:dyDescent="0.25">
      <c r="A1172" s="25" t="str">
        <f>IF($C1172="","",Registro_Compras!$X$133)</f>
        <v/>
      </c>
      <c r="B1172" t="str">
        <f>IF($C1172="","","C"&amp;TEXT(INT((ROW()-5)/9)+1,"000")&amp;"-3")</f>
        <v/>
      </c>
      <c r="C1172" t="str">
        <f>IF(OR(Registro_Compras!$C$133="",Registro_Compras!$O$133="",Registro_Compras!$R$133&lt;&gt;"SI",Registro_Compras!$X$133=""),"","1041")</f>
        <v/>
      </c>
      <c r="D1172" t="str">
        <f>IF(OR(Registro_Compras!$C$133="",Registro_Compras!$O$133=""),"","Efectivo y Equivalentes - Cta. Cte. Operativa")</f>
        <v/>
      </c>
      <c r="E1172" s="20" t="str">
        <f>""</f>
        <v/>
      </c>
      <c r="F1172" s="20" t="str">
        <f>IF($C1172="","",Registro_Compras!$S$133)</f>
        <v/>
      </c>
      <c r="G1172" t="str">
        <f>IF($C1172="","","Por el deposito de la detraccion en el Banco de la Nacion")</f>
        <v/>
      </c>
      <c r="H1172" t="str">
        <f>IF($C1172="","",Registro_Compras!$C$133)</f>
        <v/>
      </c>
    </row>
    <row r="1173" spans="1:8" x14ac:dyDescent="0.25">
      <c r="A1173" s="25" t="str">
        <f>IF($C1173="","",Registro_Compras!$Y$133)</f>
        <v/>
      </c>
      <c r="B1173" t="str">
        <f>IF($C1173="","","C"&amp;TEXT(INT((ROW()-5)/9)+1,"000")&amp;"-4")</f>
        <v/>
      </c>
      <c r="C1173" t="str">
        <f>IF(OR(Registro_Compras!$C$133="",Registro_Compras!$O$133="",Registro_Compras!$Y$133="",Registro_Compras!$F$133="NOTA DE CREDITO"),"","4212")</f>
        <v/>
      </c>
      <c r="D1173" t="str">
        <f>IF(OR(Registro_Compras!$C$133="",Registro_Compras!$O$133=""),"","Cuentas por Pagar Comerciales - Terceros")</f>
        <v/>
      </c>
      <c r="E1173" s="20" t="str">
        <f>IF($C1173="","",IF(Registro_Compras!$F$133="RHE",(ROUND(Registro_Compras!$L$133*Registro_Compras!$N$133,2)-ROUND(Registro_Compras!$V$133*Registro_Compras!$N$133,2)),ROUND(Registro_Compras!$O$133-Registro_Compras!$S$133,2)))</f>
        <v/>
      </c>
      <c r="F1173" s="20" t="str">
        <f>""</f>
        <v/>
      </c>
      <c r="G1173" t="str">
        <f>IF($C1173="","","Por la cancelacion del saldo al proveedor")</f>
        <v/>
      </c>
      <c r="H1173" t="str">
        <f>IF($C1173="","",Registro_Compras!$C$133)</f>
        <v/>
      </c>
    </row>
    <row r="1174" spans="1:8" x14ac:dyDescent="0.25">
      <c r="A1174" s="25" t="str">
        <f>IF($C1174="","",Registro_Compras!$Y$133)</f>
        <v/>
      </c>
      <c r="B1174" t="str">
        <f>IF($C1174="","","C"&amp;TEXT(INT((ROW()-5)/9)+1,"000")&amp;"-4")</f>
        <v/>
      </c>
      <c r="C1174" t="str">
        <f>IF(OR(Registro_Compras!$C$133="",Registro_Compras!$O$133="",Registro_Compras!$Y$133="",Registro_Compras!$F$133="NOTA DE CREDITO"),"","1041")</f>
        <v/>
      </c>
      <c r="D1174" t="str">
        <f>IF(OR(Registro_Compras!$C$133="",Registro_Compras!$O$133=""),"","Efectivo y Equivalentes - Cta. Cte. Operativa")</f>
        <v/>
      </c>
      <c r="E1174" s="20" t="str">
        <f>""</f>
        <v/>
      </c>
      <c r="F1174" s="20" t="str">
        <f>IF($C1174="","",IF(Registro_Compras!$F$133="RHE",(ROUND(Registro_Compras!$L$133*Registro_Compras!$N$133,2)-ROUND(Registro_Compras!$V$133*Registro_Compras!$N$133,2)),ROUND(Registro_Compras!$O$133-Registro_Compras!$S$133,2)))</f>
        <v/>
      </c>
      <c r="G1174" t="str">
        <f>IF($C1174="","","Por la cancelacion del saldo al proveedor")</f>
        <v/>
      </c>
      <c r="H1174" t="str">
        <f>IF($C1174="","",Registro_Compras!$C$133)</f>
        <v/>
      </c>
    </row>
    <row r="1175" spans="1:8" x14ac:dyDescent="0.25">
      <c r="A1175" s="25" t="str">
        <f>IF($C1175="","",Registro_Compras!$B$134)</f>
        <v/>
      </c>
      <c r="B1175" t="str">
        <f>IF($C1175="","","C"&amp;TEXT(INT((ROW()-5)/9)+1,"000")&amp;"-1")</f>
        <v/>
      </c>
      <c r="C1175" t="str">
        <f>IF(OR(Registro_Compras!$C$134="",Registro_Compras!$O$134=""),"",IF(Registro_Compras!$F$134="NOTA DE CREDITO","4212",IF(Registro_Compras!$M$134="","63",Registro_Compras!$M$134)))</f>
        <v/>
      </c>
      <c r="D1175" t="str">
        <f>IF(OR(Registro_Compras!$C$134="",Registro_Compras!$O$134=""),"",IF(Registro_Compras!$F$134="NOTA DE CREDITO","Cuentas por Pagar Comerciales - Terceros (Emitidas)",IF(Registro_Compras!$F$134="RHE","Honorarios Profesionales - Servicios de Terceros","Gastos de Servicios Prestados por Terceros")))</f>
        <v/>
      </c>
      <c r="E1175" s="20" t="str">
        <f>IF($C1175="","",IF(Registro_Compras!$F$134="NOTA DE CREDITO",ABS(Registro_Compras!$O$134),IF(Registro_Compras!$F$134="RHE",ROUND(Registro_Compras!$L$134*Registro_Compras!$N$134,2),ROUND(Registro_Compras!$J$134*Registro_Compras!$N$134,2))))</f>
        <v/>
      </c>
      <c r="F1175" s="20" t="str">
        <f>""</f>
        <v/>
      </c>
      <c r="G1175" t="str">
        <f>IF($C1175="","",IF(Registro_Compras!$F$134="NOTA DE CREDITO","Por la nota de credito "&amp;Registro_Compras!$C$134&amp;" de "&amp;Registro_Compras!$E$134&amp;" [PATRON POR CONFIRMAR CON CONTADOR]",IF(Registro_Compras!$F$134="RHE","Por el registro del recibo por honorarios "&amp;Registro_Compras!$C$134&amp;" de "&amp;Registro_Compras!$E$134&amp;" [PATRON POR CONFIRMAR CON CONTADOR]","Por el registro de la factura "&amp;Registro_Compras!$C$134&amp;" de "&amp;Registro_Compras!$E$134)))</f>
        <v/>
      </c>
      <c r="H1175" t="str">
        <f>IF($C1175="","",Registro_Compras!$C$134)</f>
        <v/>
      </c>
    </row>
    <row r="1176" spans="1:8" x14ac:dyDescent="0.25">
      <c r="A1176" s="25" t="str">
        <f>IF($C1176="","",Registro_Compras!$B$134)</f>
        <v/>
      </c>
      <c r="B1176" t="str">
        <f>IF($C1176="","","C"&amp;TEXT(INT((ROW()-5)/9)+1,"000")&amp;"-1")</f>
        <v/>
      </c>
      <c r="C1176" t="str">
        <f>IF(OR(Registro_Compras!$C$134="",Registro_Compras!$O$134=""),"",IF(Registro_Compras!$F$134="RHE",IF(Registro_Compras!$V$134=0,"","4017"),IF(Registro_Compras!$F$134="NOTA DE CREDITO",IF(Registro_Compras!$M$134="","63",Registro_Compras!$M$134),IF(Registro_Compras!$K$134=0,"","40111"))))</f>
        <v/>
      </c>
      <c r="D1176" t="str">
        <f>IF(OR(Registro_Compras!$C$134="",Registro_Compras!$O$134=""),"",IF(Registro_Compras!$F$134="RHE","Retencion Renta 4ta Categoria por Pagar",IF(Registro_Compras!$F$134="NOTA DE CREDITO","Gastos de Servicios Prestados por Terceros","IGV - Cuenta Propia (Credito Fiscal)")))</f>
        <v/>
      </c>
      <c r="E1176" s="20" t="str">
        <f>IF($C1176="","",IF(Registro_Compras!$F$134="FACTURA",ROUND(Registro_Compras!$K$134*Registro_Compras!$N$134,2),""))</f>
        <v/>
      </c>
      <c r="F1176" s="20" t="str">
        <f>IF($C1176="","",IF(Registro_Compras!$F$134="RHE",ROUND(Registro_Compras!$V$134*Registro_Compras!$N$134,2),IF(Registro_Compras!$F$134="NOTA DE CREDITO",ROUND(ABS(Registro_Compras!$J$134*Registro_Compras!$N$134),2),"")))</f>
        <v/>
      </c>
      <c r="G1176" t="str">
        <f>IF($C1176="","",IF(Registro_Compras!$F$134="NOTA DE CREDITO","Por la nota de credito "&amp;Registro_Compras!$C$134&amp;" de "&amp;Registro_Compras!$E$134&amp;" [PATRON POR CONFIRMAR CON CONTADOR]",IF(Registro_Compras!$F$134="RHE","Por el registro del recibo por honorarios "&amp;Registro_Compras!$C$134&amp;" de "&amp;Registro_Compras!$E$134&amp;" [PATRON POR CONFIRMAR CON CONTADOR]","Por el registro de la factura "&amp;Registro_Compras!$C$134&amp;" de "&amp;Registro_Compras!$E$134)))</f>
        <v/>
      </c>
      <c r="H1176" t="str">
        <f>IF($C1176="","",Registro_Compras!$C$134)</f>
        <v/>
      </c>
    </row>
    <row r="1177" spans="1:8" x14ac:dyDescent="0.25">
      <c r="A1177" s="25" t="str">
        <f>IF($C1177="","",Registro_Compras!$B$134)</f>
        <v/>
      </c>
      <c r="B1177" t="str">
        <f>IF($C1177="","","C"&amp;TEXT(INT((ROW()-5)/9)+1,"000")&amp;"-1")</f>
        <v/>
      </c>
      <c r="C1177" t="str">
        <f>IF(OR(Registro_Compras!$C$134="",Registro_Compras!$O$134=""),"",IF(Registro_Compras!$F$134="NOTA DE CREDITO",IF(Registro_Compras!$K$134=0,"","40111"),"4212"))</f>
        <v/>
      </c>
      <c r="D1177" t="str">
        <f>IF(OR(Registro_Compras!$C$134="",Registro_Compras!$O$134=""),"",IF(Registro_Compras!$F$134="NOTA DE CREDITO","IGV - Cuenta Propia (Credito Fiscal)","Cuentas por Pagar Comerciales - Terceros (Emitidas)"))</f>
        <v/>
      </c>
      <c r="E1177" s="20" t="str">
        <f>""</f>
        <v/>
      </c>
      <c r="F1177" s="20" t="str">
        <f>IF($C1177="","",IF(Registro_Compras!$F$134="NOTA DE CREDITO",ROUND(ABS(Registro_Compras!$K$134*Registro_Compras!$N$134),2),IF(Registro_Compras!$F$134="RHE",(ROUND(Registro_Compras!$L$134*Registro_Compras!$N$134,2)-ROUND(Registro_Compras!$V$134*Registro_Compras!$N$134,2)),Registro_Compras!$O$134)))</f>
        <v/>
      </c>
      <c r="G1177" t="str">
        <f>IF($C1177="","",IF(Registro_Compras!$F$134="NOTA DE CREDITO","Por la nota de credito "&amp;Registro_Compras!$C$134&amp;" de "&amp;Registro_Compras!$E$134&amp;" [PATRON POR CONFIRMAR CON CONTADOR]",IF(Registro_Compras!$F$134="RHE","Por el registro del recibo por honorarios "&amp;Registro_Compras!$C$134&amp;" de "&amp;Registro_Compras!$E$134&amp;" [PATRON POR CONFIRMAR CON CONTADOR]","Por el registro de la factura "&amp;Registro_Compras!$C$134&amp;" de "&amp;Registro_Compras!$E$134)))</f>
        <v/>
      </c>
      <c r="H1177" t="str">
        <f>IF($C1177="","",Registro_Compras!$C$134)</f>
        <v/>
      </c>
    </row>
    <row r="1178" spans="1:8" x14ac:dyDescent="0.25">
      <c r="A1178" s="25" t="str">
        <f>IF($C1178="","",Registro_Compras!$B$134)</f>
        <v/>
      </c>
      <c r="B1178" t="str">
        <f>IF($C1178="","","C"&amp;TEXT(INT((ROW()-5)/9)+1,"000")&amp;"-2")</f>
        <v/>
      </c>
      <c r="C1178" t="str">
        <f>IF(OR(Registro_Compras!$C$134="",Registro_Compras!$O$134=""),"",IF(Registro_Compras!$AB$134="ADMINISTRATIVO","94","95"))</f>
        <v/>
      </c>
      <c r="D1178" t="str">
        <f>IF(OR(Registro_Compras!$C$134="",Registro_Compras!$O$134=""),"",IF(Registro_Compras!$AB$134="ADMINISTRATIVO","Gastos Administrativos","Gastos de Venta y Operacion"))</f>
        <v/>
      </c>
      <c r="E1178" s="20" t="str">
        <f>IF($C1178="","",IF(Registro_Compras!$F$134="NOTA DE CREDITO","",IF(Registro_Compras!$F$134="RHE",ROUND(Registro_Compras!$L$134*Registro_Compras!$N$134,2),ROUND(Registro_Compras!$J$134*Registro_Compras!$N$134,2))))</f>
        <v/>
      </c>
      <c r="F1178" s="20" t="str">
        <f>IF($C1178="","",IF(Registro_Compras!$F$134="NOTA DE CREDITO",ROUND(ABS(Registro_Compras!$J$134*Registro_Compras!$N$134),2),""))</f>
        <v/>
      </c>
      <c r="G1178" t="str">
        <f>IF($C1178="","","Por el destino del gasto")</f>
        <v/>
      </c>
      <c r="H1178" t="str">
        <f>IF($C1178="","",Registro_Compras!$C$134)</f>
        <v/>
      </c>
    </row>
    <row r="1179" spans="1:8" x14ac:dyDescent="0.25">
      <c r="A1179" s="25" t="str">
        <f>IF($C1179="","",Registro_Compras!$B$134)</f>
        <v/>
      </c>
      <c r="B1179" t="str">
        <f>IF($C1179="","","C"&amp;TEXT(INT((ROW()-5)/9)+1,"000")&amp;"-2")</f>
        <v/>
      </c>
      <c r="C1179" t="str">
        <f>IF(OR(Registro_Compras!$C$134="",Registro_Compras!$O$134=""),"","79/791")</f>
        <v/>
      </c>
      <c r="D1179" t="str">
        <f>IF(OR(Registro_Compras!$C$134="",Registro_Compras!$O$134=""),"","Cargas Imputables a Cuentas de Costos y Gastos")</f>
        <v/>
      </c>
      <c r="E1179" s="20" t="str">
        <f>IF($C1179="","",IF(Registro_Compras!$F$134="NOTA DE CREDITO",ROUND(ABS(Registro_Compras!$J$134*Registro_Compras!$N$134),2),""))</f>
        <v/>
      </c>
      <c r="F1179" s="20" t="str">
        <f>IF($C1179="","",IF(Registro_Compras!$F$134="NOTA DE CREDITO","",IF(Registro_Compras!$F$134="RHE",ROUND(Registro_Compras!$L$134*Registro_Compras!$N$134,2),ROUND(Registro_Compras!$J$134*Registro_Compras!$N$134,2))))</f>
        <v/>
      </c>
      <c r="G1179" t="str">
        <f>IF($C1179="","","Por el destino del gasto")</f>
        <v/>
      </c>
      <c r="H1179" t="str">
        <f>IF($C1179="","",Registro_Compras!$C$134)</f>
        <v/>
      </c>
    </row>
    <row r="1180" spans="1:8" x14ac:dyDescent="0.25">
      <c r="A1180" s="25" t="str">
        <f>IF($C1180="","",Registro_Compras!$X$134)</f>
        <v/>
      </c>
      <c r="B1180" t="str">
        <f>IF($C1180="","","C"&amp;TEXT(INT((ROW()-5)/9)+1,"000")&amp;"-3")</f>
        <v/>
      </c>
      <c r="C1180" t="str">
        <f>IF(OR(Registro_Compras!$C$134="",Registro_Compras!$O$134="",Registro_Compras!$R$134&lt;&gt;"SI",Registro_Compras!$X$134=""),"","4212")</f>
        <v/>
      </c>
      <c r="D1180" t="str">
        <f>IF(OR(Registro_Compras!$C$134="",Registro_Compras!$O$134=""),"","Cuentas por Pagar Comerciales - Terceros")</f>
        <v/>
      </c>
      <c r="E1180" s="20" t="str">
        <f>IF($C1180="","",Registro_Compras!$S$134)</f>
        <v/>
      </c>
      <c r="F1180" s="20" t="str">
        <f>""</f>
        <v/>
      </c>
      <c r="G1180" t="str">
        <f>IF($C1180="","","Por el deposito de la detraccion en el Banco de la Nacion")</f>
        <v/>
      </c>
      <c r="H1180" t="str">
        <f>IF($C1180="","",Registro_Compras!$C$134)</f>
        <v/>
      </c>
    </row>
    <row r="1181" spans="1:8" x14ac:dyDescent="0.25">
      <c r="A1181" s="25" t="str">
        <f>IF($C1181="","",Registro_Compras!$X$134)</f>
        <v/>
      </c>
      <c r="B1181" t="str">
        <f>IF($C1181="","","C"&amp;TEXT(INT((ROW()-5)/9)+1,"000")&amp;"-3")</f>
        <v/>
      </c>
      <c r="C1181" t="str">
        <f>IF(OR(Registro_Compras!$C$134="",Registro_Compras!$O$134="",Registro_Compras!$R$134&lt;&gt;"SI",Registro_Compras!$X$134=""),"","1041")</f>
        <v/>
      </c>
      <c r="D1181" t="str">
        <f>IF(OR(Registro_Compras!$C$134="",Registro_Compras!$O$134=""),"","Efectivo y Equivalentes - Cta. Cte. Operativa")</f>
        <v/>
      </c>
      <c r="E1181" s="20" t="str">
        <f>""</f>
        <v/>
      </c>
      <c r="F1181" s="20" t="str">
        <f>IF($C1181="","",Registro_Compras!$S$134)</f>
        <v/>
      </c>
      <c r="G1181" t="str">
        <f>IF($C1181="","","Por el deposito de la detraccion en el Banco de la Nacion")</f>
        <v/>
      </c>
      <c r="H1181" t="str">
        <f>IF($C1181="","",Registro_Compras!$C$134)</f>
        <v/>
      </c>
    </row>
    <row r="1182" spans="1:8" x14ac:dyDescent="0.25">
      <c r="A1182" s="25" t="str">
        <f>IF($C1182="","",Registro_Compras!$Y$134)</f>
        <v/>
      </c>
      <c r="B1182" t="str">
        <f>IF($C1182="","","C"&amp;TEXT(INT((ROW()-5)/9)+1,"000")&amp;"-4")</f>
        <v/>
      </c>
      <c r="C1182" t="str">
        <f>IF(OR(Registro_Compras!$C$134="",Registro_Compras!$O$134="",Registro_Compras!$Y$134="",Registro_Compras!$F$134="NOTA DE CREDITO"),"","4212")</f>
        <v/>
      </c>
      <c r="D1182" t="str">
        <f>IF(OR(Registro_Compras!$C$134="",Registro_Compras!$O$134=""),"","Cuentas por Pagar Comerciales - Terceros")</f>
        <v/>
      </c>
      <c r="E1182" s="20" t="str">
        <f>IF($C1182="","",IF(Registro_Compras!$F$134="RHE",(ROUND(Registro_Compras!$L$134*Registro_Compras!$N$134,2)-ROUND(Registro_Compras!$V$134*Registro_Compras!$N$134,2)),ROUND(Registro_Compras!$O$134-Registro_Compras!$S$134,2)))</f>
        <v/>
      </c>
      <c r="F1182" s="20" t="str">
        <f>""</f>
        <v/>
      </c>
      <c r="G1182" t="str">
        <f>IF($C1182="","","Por la cancelacion del saldo al proveedor")</f>
        <v/>
      </c>
      <c r="H1182" t="str">
        <f>IF($C1182="","",Registro_Compras!$C$134)</f>
        <v/>
      </c>
    </row>
    <row r="1183" spans="1:8" x14ac:dyDescent="0.25">
      <c r="A1183" s="25" t="str">
        <f>IF($C1183="","",Registro_Compras!$Y$134)</f>
        <v/>
      </c>
      <c r="B1183" t="str">
        <f>IF($C1183="","","C"&amp;TEXT(INT((ROW()-5)/9)+1,"000")&amp;"-4")</f>
        <v/>
      </c>
      <c r="C1183" t="str">
        <f>IF(OR(Registro_Compras!$C$134="",Registro_Compras!$O$134="",Registro_Compras!$Y$134="",Registro_Compras!$F$134="NOTA DE CREDITO"),"","1041")</f>
        <v/>
      </c>
      <c r="D1183" t="str">
        <f>IF(OR(Registro_Compras!$C$134="",Registro_Compras!$O$134=""),"","Efectivo y Equivalentes - Cta. Cte. Operativa")</f>
        <v/>
      </c>
      <c r="E1183" s="20" t="str">
        <f>""</f>
        <v/>
      </c>
      <c r="F1183" s="20" t="str">
        <f>IF($C1183="","",IF(Registro_Compras!$F$134="RHE",(ROUND(Registro_Compras!$L$134*Registro_Compras!$N$134,2)-ROUND(Registro_Compras!$V$134*Registro_Compras!$N$134,2)),ROUND(Registro_Compras!$O$134-Registro_Compras!$S$134,2)))</f>
        <v/>
      </c>
      <c r="G1183" t="str">
        <f>IF($C1183="","","Por la cancelacion del saldo al proveedor")</f>
        <v/>
      </c>
      <c r="H1183" t="str">
        <f>IF($C1183="","",Registro_Compras!$C$134)</f>
        <v/>
      </c>
    </row>
    <row r="1184" spans="1:8" x14ac:dyDescent="0.25">
      <c r="A1184" s="25" t="str">
        <f>IF($C1184="","",Registro_Compras!$B$135)</f>
        <v/>
      </c>
      <c r="B1184" t="str">
        <f>IF($C1184="","","C"&amp;TEXT(INT((ROW()-5)/9)+1,"000")&amp;"-1")</f>
        <v/>
      </c>
      <c r="C1184" t="str">
        <f>IF(OR(Registro_Compras!$C$135="",Registro_Compras!$O$135=""),"",IF(Registro_Compras!$F$135="NOTA DE CREDITO","4212",IF(Registro_Compras!$M$135="","63",Registro_Compras!$M$135)))</f>
        <v/>
      </c>
      <c r="D1184" t="str">
        <f>IF(OR(Registro_Compras!$C$135="",Registro_Compras!$O$135=""),"",IF(Registro_Compras!$F$135="NOTA DE CREDITO","Cuentas por Pagar Comerciales - Terceros (Emitidas)",IF(Registro_Compras!$F$135="RHE","Honorarios Profesionales - Servicios de Terceros","Gastos de Servicios Prestados por Terceros")))</f>
        <v/>
      </c>
      <c r="E1184" s="20" t="str">
        <f>IF($C1184="","",IF(Registro_Compras!$F$135="NOTA DE CREDITO",ABS(Registro_Compras!$O$135),IF(Registro_Compras!$F$135="RHE",ROUND(Registro_Compras!$L$135*Registro_Compras!$N$135,2),ROUND(Registro_Compras!$J$135*Registro_Compras!$N$135,2))))</f>
        <v/>
      </c>
      <c r="F1184" s="20" t="str">
        <f>""</f>
        <v/>
      </c>
      <c r="G1184" t="str">
        <f>IF($C1184="","",IF(Registro_Compras!$F$135="NOTA DE CREDITO","Por la nota de credito "&amp;Registro_Compras!$C$135&amp;" de "&amp;Registro_Compras!$E$135&amp;" [PATRON POR CONFIRMAR CON CONTADOR]",IF(Registro_Compras!$F$135="RHE","Por el registro del recibo por honorarios "&amp;Registro_Compras!$C$135&amp;" de "&amp;Registro_Compras!$E$135&amp;" [PATRON POR CONFIRMAR CON CONTADOR]","Por el registro de la factura "&amp;Registro_Compras!$C$135&amp;" de "&amp;Registro_Compras!$E$135)))</f>
        <v/>
      </c>
      <c r="H1184" t="str">
        <f>IF($C1184="","",Registro_Compras!$C$135)</f>
        <v/>
      </c>
    </row>
    <row r="1185" spans="1:8" x14ac:dyDescent="0.25">
      <c r="A1185" s="25" t="str">
        <f>IF($C1185="","",Registro_Compras!$B$135)</f>
        <v/>
      </c>
      <c r="B1185" t="str">
        <f>IF($C1185="","","C"&amp;TEXT(INT((ROW()-5)/9)+1,"000")&amp;"-1")</f>
        <v/>
      </c>
      <c r="C1185" t="str">
        <f>IF(OR(Registro_Compras!$C$135="",Registro_Compras!$O$135=""),"",IF(Registro_Compras!$F$135="RHE",IF(Registro_Compras!$V$135=0,"","4017"),IF(Registro_Compras!$F$135="NOTA DE CREDITO",IF(Registro_Compras!$M$135="","63",Registro_Compras!$M$135),IF(Registro_Compras!$K$135=0,"","40111"))))</f>
        <v/>
      </c>
      <c r="D1185" t="str">
        <f>IF(OR(Registro_Compras!$C$135="",Registro_Compras!$O$135=""),"",IF(Registro_Compras!$F$135="RHE","Retencion Renta 4ta Categoria por Pagar",IF(Registro_Compras!$F$135="NOTA DE CREDITO","Gastos de Servicios Prestados por Terceros","IGV - Cuenta Propia (Credito Fiscal)")))</f>
        <v/>
      </c>
      <c r="E1185" s="20" t="str">
        <f>IF($C1185="","",IF(Registro_Compras!$F$135="FACTURA",ROUND(Registro_Compras!$K$135*Registro_Compras!$N$135,2),""))</f>
        <v/>
      </c>
      <c r="F1185" s="20" t="str">
        <f>IF($C1185="","",IF(Registro_Compras!$F$135="RHE",ROUND(Registro_Compras!$V$135*Registro_Compras!$N$135,2),IF(Registro_Compras!$F$135="NOTA DE CREDITO",ROUND(ABS(Registro_Compras!$J$135*Registro_Compras!$N$135),2),"")))</f>
        <v/>
      </c>
      <c r="G1185" t="str">
        <f>IF($C1185="","",IF(Registro_Compras!$F$135="NOTA DE CREDITO","Por la nota de credito "&amp;Registro_Compras!$C$135&amp;" de "&amp;Registro_Compras!$E$135&amp;" [PATRON POR CONFIRMAR CON CONTADOR]",IF(Registro_Compras!$F$135="RHE","Por el registro del recibo por honorarios "&amp;Registro_Compras!$C$135&amp;" de "&amp;Registro_Compras!$E$135&amp;" [PATRON POR CONFIRMAR CON CONTADOR]","Por el registro de la factura "&amp;Registro_Compras!$C$135&amp;" de "&amp;Registro_Compras!$E$135)))</f>
        <v/>
      </c>
      <c r="H1185" t="str">
        <f>IF($C1185="","",Registro_Compras!$C$135)</f>
        <v/>
      </c>
    </row>
    <row r="1186" spans="1:8" x14ac:dyDescent="0.25">
      <c r="A1186" s="25" t="str">
        <f>IF($C1186="","",Registro_Compras!$B$135)</f>
        <v/>
      </c>
      <c r="B1186" t="str">
        <f>IF($C1186="","","C"&amp;TEXT(INT((ROW()-5)/9)+1,"000")&amp;"-1")</f>
        <v/>
      </c>
      <c r="C1186" t="str">
        <f>IF(OR(Registro_Compras!$C$135="",Registro_Compras!$O$135=""),"",IF(Registro_Compras!$F$135="NOTA DE CREDITO",IF(Registro_Compras!$K$135=0,"","40111"),"4212"))</f>
        <v/>
      </c>
      <c r="D1186" t="str">
        <f>IF(OR(Registro_Compras!$C$135="",Registro_Compras!$O$135=""),"",IF(Registro_Compras!$F$135="NOTA DE CREDITO","IGV - Cuenta Propia (Credito Fiscal)","Cuentas por Pagar Comerciales - Terceros (Emitidas)"))</f>
        <v/>
      </c>
      <c r="E1186" s="20" t="str">
        <f>""</f>
        <v/>
      </c>
      <c r="F1186" s="20" t="str">
        <f>IF($C1186="","",IF(Registro_Compras!$F$135="NOTA DE CREDITO",ROUND(ABS(Registro_Compras!$K$135*Registro_Compras!$N$135),2),IF(Registro_Compras!$F$135="RHE",(ROUND(Registro_Compras!$L$135*Registro_Compras!$N$135,2)-ROUND(Registro_Compras!$V$135*Registro_Compras!$N$135,2)),Registro_Compras!$O$135)))</f>
        <v/>
      </c>
      <c r="G1186" t="str">
        <f>IF($C1186="","",IF(Registro_Compras!$F$135="NOTA DE CREDITO","Por la nota de credito "&amp;Registro_Compras!$C$135&amp;" de "&amp;Registro_Compras!$E$135&amp;" [PATRON POR CONFIRMAR CON CONTADOR]",IF(Registro_Compras!$F$135="RHE","Por el registro del recibo por honorarios "&amp;Registro_Compras!$C$135&amp;" de "&amp;Registro_Compras!$E$135&amp;" [PATRON POR CONFIRMAR CON CONTADOR]","Por el registro de la factura "&amp;Registro_Compras!$C$135&amp;" de "&amp;Registro_Compras!$E$135)))</f>
        <v/>
      </c>
      <c r="H1186" t="str">
        <f>IF($C1186="","",Registro_Compras!$C$135)</f>
        <v/>
      </c>
    </row>
    <row r="1187" spans="1:8" x14ac:dyDescent="0.25">
      <c r="A1187" s="25" t="str">
        <f>IF($C1187="","",Registro_Compras!$B$135)</f>
        <v/>
      </c>
      <c r="B1187" t="str">
        <f>IF($C1187="","","C"&amp;TEXT(INT((ROW()-5)/9)+1,"000")&amp;"-2")</f>
        <v/>
      </c>
      <c r="C1187" t="str">
        <f>IF(OR(Registro_Compras!$C$135="",Registro_Compras!$O$135=""),"",IF(Registro_Compras!$AB$135="ADMINISTRATIVO","94","95"))</f>
        <v/>
      </c>
      <c r="D1187" t="str">
        <f>IF(OR(Registro_Compras!$C$135="",Registro_Compras!$O$135=""),"",IF(Registro_Compras!$AB$135="ADMINISTRATIVO","Gastos Administrativos","Gastos de Venta y Operacion"))</f>
        <v/>
      </c>
      <c r="E1187" s="20" t="str">
        <f>IF($C1187="","",IF(Registro_Compras!$F$135="NOTA DE CREDITO","",IF(Registro_Compras!$F$135="RHE",ROUND(Registro_Compras!$L$135*Registro_Compras!$N$135,2),ROUND(Registro_Compras!$J$135*Registro_Compras!$N$135,2))))</f>
        <v/>
      </c>
      <c r="F1187" s="20" t="str">
        <f>IF($C1187="","",IF(Registro_Compras!$F$135="NOTA DE CREDITO",ROUND(ABS(Registro_Compras!$J$135*Registro_Compras!$N$135),2),""))</f>
        <v/>
      </c>
      <c r="G1187" t="str">
        <f>IF($C1187="","","Por el destino del gasto")</f>
        <v/>
      </c>
      <c r="H1187" t="str">
        <f>IF($C1187="","",Registro_Compras!$C$135)</f>
        <v/>
      </c>
    </row>
    <row r="1188" spans="1:8" x14ac:dyDescent="0.25">
      <c r="A1188" s="25" t="str">
        <f>IF($C1188="","",Registro_Compras!$B$135)</f>
        <v/>
      </c>
      <c r="B1188" t="str">
        <f>IF($C1188="","","C"&amp;TEXT(INT((ROW()-5)/9)+1,"000")&amp;"-2")</f>
        <v/>
      </c>
      <c r="C1188" t="str">
        <f>IF(OR(Registro_Compras!$C$135="",Registro_Compras!$O$135=""),"","79/791")</f>
        <v/>
      </c>
      <c r="D1188" t="str">
        <f>IF(OR(Registro_Compras!$C$135="",Registro_Compras!$O$135=""),"","Cargas Imputables a Cuentas de Costos y Gastos")</f>
        <v/>
      </c>
      <c r="E1188" s="20" t="str">
        <f>IF($C1188="","",IF(Registro_Compras!$F$135="NOTA DE CREDITO",ROUND(ABS(Registro_Compras!$J$135*Registro_Compras!$N$135),2),""))</f>
        <v/>
      </c>
      <c r="F1188" s="20" t="str">
        <f>IF($C1188="","",IF(Registro_Compras!$F$135="NOTA DE CREDITO","",IF(Registro_Compras!$F$135="RHE",ROUND(Registro_Compras!$L$135*Registro_Compras!$N$135,2),ROUND(Registro_Compras!$J$135*Registro_Compras!$N$135,2))))</f>
        <v/>
      </c>
      <c r="G1188" t="str">
        <f>IF($C1188="","","Por el destino del gasto")</f>
        <v/>
      </c>
      <c r="H1188" t="str">
        <f>IF($C1188="","",Registro_Compras!$C$135)</f>
        <v/>
      </c>
    </row>
    <row r="1189" spans="1:8" x14ac:dyDescent="0.25">
      <c r="A1189" s="25" t="str">
        <f>IF($C1189="","",Registro_Compras!$X$135)</f>
        <v/>
      </c>
      <c r="B1189" t="str">
        <f>IF($C1189="","","C"&amp;TEXT(INT((ROW()-5)/9)+1,"000")&amp;"-3")</f>
        <v/>
      </c>
      <c r="C1189" t="str">
        <f>IF(OR(Registro_Compras!$C$135="",Registro_Compras!$O$135="",Registro_Compras!$R$135&lt;&gt;"SI",Registro_Compras!$X$135=""),"","4212")</f>
        <v/>
      </c>
      <c r="D1189" t="str">
        <f>IF(OR(Registro_Compras!$C$135="",Registro_Compras!$O$135=""),"","Cuentas por Pagar Comerciales - Terceros")</f>
        <v/>
      </c>
      <c r="E1189" s="20" t="str">
        <f>IF($C1189="","",Registro_Compras!$S$135)</f>
        <v/>
      </c>
      <c r="F1189" s="20" t="str">
        <f>""</f>
        <v/>
      </c>
      <c r="G1189" t="str">
        <f>IF($C1189="","","Por el deposito de la detraccion en el Banco de la Nacion")</f>
        <v/>
      </c>
      <c r="H1189" t="str">
        <f>IF($C1189="","",Registro_Compras!$C$135)</f>
        <v/>
      </c>
    </row>
    <row r="1190" spans="1:8" x14ac:dyDescent="0.25">
      <c r="A1190" s="25" t="str">
        <f>IF($C1190="","",Registro_Compras!$X$135)</f>
        <v/>
      </c>
      <c r="B1190" t="str">
        <f>IF($C1190="","","C"&amp;TEXT(INT((ROW()-5)/9)+1,"000")&amp;"-3")</f>
        <v/>
      </c>
      <c r="C1190" t="str">
        <f>IF(OR(Registro_Compras!$C$135="",Registro_Compras!$O$135="",Registro_Compras!$R$135&lt;&gt;"SI",Registro_Compras!$X$135=""),"","1041")</f>
        <v/>
      </c>
      <c r="D1190" t="str">
        <f>IF(OR(Registro_Compras!$C$135="",Registro_Compras!$O$135=""),"","Efectivo y Equivalentes - Cta. Cte. Operativa")</f>
        <v/>
      </c>
      <c r="E1190" s="20" t="str">
        <f>""</f>
        <v/>
      </c>
      <c r="F1190" s="20" t="str">
        <f>IF($C1190="","",Registro_Compras!$S$135)</f>
        <v/>
      </c>
      <c r="G1190" t="str">
        <f>IF($C1190="","","Por el deposito de la detraccion en el Banco de la Nacion")</f>
        <v/>
      </c>
      <c r="H1190" t="str">
        <f>IF($C1190="","",Registro_Compras!$C$135)</f>
        <v/>
      </c>
    </row>
    <row r="1191" spans="1:8" x14ac:dyDescent="0.25">
      <c r="A1191" s="25" t="str">
        <f>IF($C1191="","",Registro_Compras!$Y$135)</f>
        <v/>
      </c>
      <c r="B1191" t="str">
        <f>IF($C1191="","","C"&amp;TEXT(INT((ROW()-5)/9)+1,"000")&amp;"-4")</f>
        <v/>
      </c>
      <c r="C1191" t="str">
        <f>IF(OR(Registro_Compras!$C$135="",Registro_Compras!$O$135="",Registro_Compras!$Y$135="",Registro_Compras!$F$135="NOTA DE CREDITO"),"","4212")</f>
        <v/>
      </c>
      <c r="D1191" t="str">
        <f>IF(OR(Registro_Compras!$C$135="",Registro_Compras!$O$135=""),"","Cuentas por Pagar Comerciales - Terceros")</f>
        <v/>
      </c>
      <c r="E1191" s="20" t="str">
        <f>IF($C1191="","",IF(Registro_Compras!$F$135="RHE",(ROUND(Registro_Compras!$L$135*Registro_Compras!$N$135,2)-ROUND(Registro_Compras!$V$135*Registro_Compras!$N$135,2)),ROUND(Registro_Compras!$O$135-Registro_Compras!$S$135,2)))</f>
        <v/>
      </c>
      <c r="F1191" s="20" t="str">
        <f>""</f>
        <v/>
      </c>
      <c r="G1191" t="str">
        <f>IF($C1191="","","Por la cancelacion del saldo al proveedor")</f>
        <v/>
      </c>
      <c r="H1191" t="str">
        <f>IF($C1191="","",Registro_Compras!$C$135)</f>
        <v/>
      </c>
    </row>
    <row r="1192" spans="1:8" x14ac:dyDescent="0.25">
      <c r="A1192" s="25" t="str">
        <f>IF($C1192="","",Registro_Compras!$Y$135)</f>
        <v/>
      </c>
      <c r="B1192" t="str">
        <f>IF($C1192="","","C"&amp;TEXT(INT((ROW()-5)/9)+1,"000")&amp;"-4")</f>
        <v/>
      </c>
      <c r="C1192" t="str">
        <f>IF(OR(Registro_Compras!$C$135="",Registro_Compras!$O$135="",Registro_Compras!$Y$135="",Registro_Compras!$F$135="NOTA DE CREDITO"),"","1041")</f>
        <v/>
      </c>
      <c r="D1192" t="str">
        <f>IF(OR(Registro_Compras!$C$135="",Registro_Compras!$O$135=""),"","Efectivo y Equivalentes - Cta. Cte. Operativa")</f>
        <v/>
      </c>
      <c r="E1192" s="20" t="str">
        <f>""</f>
        <v/>
      </c>
      <c r="F1192" s="20" t="str">
        <f>IF($C1192="","",IF(Registro_Compras!$F$135="RHE",(ROUND(Registro_Compras!$L$135*Registro_Compras!$N$135,2)-ROUND(Registro_Compras!$V$135*Registro_Compras!$N$135,2)),ROUND(Registro_Compras!$O$135-Registro_Compras!$S$135,2)))</f>
        <v/>
      </c>
      <c r="G1192" t="str">
        <f>IF($C1192="","","Por la cancelacion del saldo al proveedor")</f>
        <v/>
      </c>
      <c r="H1192" t="str">
        <f>IF($C1192="","",Registro_Compras!$C$135)</f>
        <v/>
      </c>
    </row>
    <row r="1193" spans="1:8" x14ac:dyDescent="0.25">
      <c r="A1193" s="25" t="str">
        <f>IF($C1193="","",Registro_Compras!$B$136)</f>
        <v/>
      </c>
      <c r="B1193" t="str">
        <f>IF($C1193="","","C"&amp;TEXT(INT((ROW()-5)/9)+1,"000")&amp;"-1")</f>
        <v/>
      </c>
      <c r="C1193" t="str">
        <f>IF(OR(Registro_Compras!$C$136="",Registro_Compras!$O$136=""),"",IF(Registro_Compras!$F$136="NOTA DE CREDITO","4212",IF(Registro_Compras!$M$136="","63",Registro_Compras!$M$136)))</f>
        <v/>
      </c>
      <c r="D1193" t="str">
        <f>IF(OR(Registro_Compras!$C$136="",Registro_Compras!$O$136=""),"",IF(Registro_Compras!$F$136="NOTA DE CREDITO","Cuentas por Pagar Comerciales - Terceros (Emitidas)",IF(Registro_Compras!$F$136="RHE","Honorarios Profesionales - Servicios de Terceros","Gastos de Servicios Prestados por Terceros")))</f>
        <v/>
      </c>
      <c r="E1193" s="20" t="str">
        <f>IF($C1193="","",IF(Registro_Compras!$F$136="NOTA DE CREDITO",ABS(Registro_Compras!$O$136),IF(Registro_Compras!$F$136="RHE",ROUND(Registro_Compras!$L$136*Registro_Compras!$N$136,2),ROUND(Registro_Compras!$J$136*Registro_Compras!$N$136,2))))</f>
        <v/>
      </c>
      <c r="F1193" s="20" t="str">
        <f>""</f>
        <v/>
      </c>
      <c r="G1193" t="str">
        <f>IF($C1193="","",IF(Registro_Compras!$F$136="NOTA DE CREDITO","Por la nota de credito "&amp;Registro_Compras!$C$136&amp;" de "&amp;Registro_Compras!$E$136&amp;" [PATRON POR CONFIRMAR CON CONTADOR]",IF(Registro_Compras!$F$136="RHE","Por el registro del recibo por honorarios "&amp;Registro_Compras!$C$136&amp;" de "&amp;Registro_Compras!$E$136&amp;" [PATRON POR CONFIRMAR CON CONTADOR]","Por el registro de la factura "&amp;Registro_Compras!$C$136&amp;" de "&amp;Registro_Compras!$E$136)))</f>
        <v/>
      </c>
      <c r="H1193" t="str">
        <f>IF($C1193="","",Registro_Compras!$C$136)</f>
        <v/>
      </c>
    </row>
    <row r="1194" spans="1:8" x14ac:dyDescent="0.25">
      <c r="A1194" s="25" t="str">
        <f>IF($C1194="","",Registro_Compras!$B$136)</f>
        <v/>
      </c>
      <c r="B1194" t="str">
        <f>IF($C1194="","","C"&amp;TEXT(INT((ROW()-5)/9)+1,"000")&amp;"-1")</f>
        <v/>
      </c>
      <c r="C1194" t="str">
        <f>IF(OR(Registro_Compras!$C$136="",Registro_Compras!$O$136=""),"",IF(Registro_Compras!$F$136="RHE",IF(Registro_Compras!$V$136=0,"","4017"),IF(Registro_Compras!$F$136="NOTA DE CREDITO",IF(Registro_Compras!$M$136="","63",Registro_Compras!$M$136),IF(Registro_Compras!$K$136=0,"","40111"))))</f>
        <v/>
      </c>
      <c r="D1194" t="str">
        <f>IF(OR(Registro_Compras!$C$136="",Registro_Compras!$O$136=""),"",IF(Registro_Compras!$F$136="RHE","Retencion Renta 4ta Categoria por Pagar",IF(Registro_Compras!$F$136="NOTA DE CREDITO","Gastos de Servicios Prestados por Terceros","IGV - Cuenta Propia (Credito Fiscal)")))</f>
        <v/>
      </c>
      <c r="E1194" s="20" t="str">
        <f>IF($C1194="","",IF(Registro_Compras!$F$136="FACTURA",ROUND(Registro_Compras!$K$136*Registro_Compras!$N$136,2),""))</f>
        <v/>
      </c>
      <c r="F1194" s="20" t="str">
        <f>IF($C1194="","",IF(Registro_Compras!$F$136="RHE",ROUND(Registro_Compras!$V$136*Registro_Compras!$N$136,2),IF(Registro_Compras!$F$136="NOTA DE CREDITO",ROUND(ABS(Registro_Compras!$J$136*Registro_Compras!$N$136),2),"")))</f>
        <v/>
      </c>
      <c r="G1194" t="str">
        <f>IF($C1194="","",IF(Registro_Compras!$F$136="NOTA DE CREDITO","Por la nota de credito "&amp;Registro_Compras!$C$136&amp;" de "&amp;Registro_Compras!$E$136&amp;" [PATRON POR CONFIRMAR CON CONTADOR]",IF(Registro_Compras!$F$136="RHE","Por el registro del recibo por honorarios "&amp;Registro_Compras!$C$136&amp;" de "&amp;Registro_Compras!$E$136&amp;" [PATRON POR CONFIRMAR CON CONTADOR]","Por el registro de la factura "&amp;Registro_Compras!$C$136&amp;" de "&amp;Registro_Compras!$E$136)))</f>
        <v/>
      </c>
      <c r="H1194" t="str">
        <f>IF($C1194="","",Registro_Compras!$C$136)</f>
        <v/>
      </c>
    </row>
    <row r="1195" spans="1:8" x14ac:dyDescent="0.25">
      <c r="A1195" s="25" t="str">
        <f>IF($C1195="","",Registro_Compras!$B$136)</f>
        <v/>
      </c>
      <c r="B1195" t="str">
        <f>IF($C1195="","","C"&amp;TEXT(INT((ROW()-5)/9)+1,"000")&amp;"-1")</f>
        <v/>
      </c>
      <c r="C1195" t="str">
        <f>IF(OR(Registro_Compras!$C$136="",Registro_Compras!$O$136=""),"",IF(Registro_Compras!$F$136="NOTA DE CREDITO",IF(Registro_Compras!$K$136=0,"","40111"),"4212"))</f>
        <v/>
      </c>
      <c r="D1195" t="str">
        <f>IF(OR(Registro_Compras!$C$136="",Registro_Compras!$O$136=""),"",IF(Registro_Compras!$F$136="NOTA DE CREDITO","IGV - Cuenta Propia (Credito Fiscal)","Cuentas por Pagar Comerciales - Terceros (Emitidas)"))</f>
        <v/>
      </c>
      <c r="E1195" s="20" t="str">
        <f>""</f>
        <v/>
      </c>
      <c r="F1195" s="20" t="str">
        <f>IF($C1195="","",IF(Registro_Compras!$F$136="NOTA DE CREDITO",ROUND(ABS(Registro_Compras!$K$136*Registro_Compras!$N$136),2),IF(Registro_Compras!$F$136="RHE",(ROUND(Registro_Compras!$L$136*Registro_Compras!$N$136,2)-ROUND(Registro_Compras!$V$136*Registro_Compras!$N$136,2)),Registro_Compras!$O$136)))</f>
        <v/>
      </c>
      <c r="G1195" t="str">
        <f>IF($C1195="","",IF(Registro_Compras!$F$136="NOTA DE CREDITO","Por la nota de credito "&amp;Registro_Compras!$C$136&amp;" de "&amp;Registro_Compras!$E$136&amp;" [PATRON POR CONFIRMAR CON CONTADOR]",IF(Registro_Compras!$F$136="RHE","Por el registro del recibo por honorarios "&amp;Registro_Compras!$C$136&amp;" de "&amp;Registro_Compras!$E$136&amp;" [PATRON POR CONFIRMAR CON CONTADOR]","Por el registro de la factura "&amp;Registro_Compras!$C$136&amp;" de "&amp;Registro_Compras!$E$136)))</f>
        <v/>
      </c>
      <c r="H1195" t="str">
        <f>IF($C1195="","",Registro_Compras!$C$136)</f>
        <v/>
      </c>
    </row>
    <row r="1196" spans="1:8" x14ac:dyDescent="0.25">
      <c r="A1196" s="25" t="str">
        <f>IF($C1196="","",Registro_Compras!$B$136)</f>
        <v/>
      </c>
      <c r="B1196" t="str">
        <f>IF($C1196="","","C"&amp;TEXT(INT((ROW()-5)/9)+1,"000")&amp;"-2")</f>
        <v/>
      </c>
      <c r="C1196" t="str">
        <f>IF(OR(Registro_Compras!$C$136="",Registro_Compras!$O$136=""),"",IF(Registro_Compras!$AB$136="ADMINISTRATIVO","94","95"))</f>
        <v/>
      </c>
      <c r="D1196" t="str">
        <f>IF(OR(Registro_Compras!$C$136="",Registro_Compras!$O$136=""),"",IF(Registro_Compras!$AB$136="ADMINISTRATIVO","Gastos Administrativos","Gastos de Venta y Operacion"))</f>
        <v/>
      </c>
      <c r="E1196" s="20" t="str">
        <f>IF($C1196="","",IF(Registro_Compras!$F$136="NOTA DE CREDITO","",IF(Registro_Compras!$F$136="RHE",ROUND(Registro_Compras!$L$136*Registro_Compras!$N$136,2),ROUND(Registro_Compras!$J$136*Registro_Compras!$N$136,2))))</f>
        <v/>
      </c>
      <c r="F1196" s="20" t="str">
        <f>IF($C1196="","",IF(Registro_Compras!$F$136="NOTA DE CREDITO",ROUND(ABS(Registro_Compras!$J$136*Registro_Compras!$N$136),2),""))</f>
        <v/>
      </c>
      <c r="G1196" t="str">
        <f>IF($C1196="","","Por el destino del gasto")</f>
        <v/>
      </c>
      <c r="H1196" t="str">
        <f>IF($C1196="","",Registro_Compras!$C$136)</f>
        <v/>
      </c>
    </row>
    <row r="1197" spans="1:8" x14ac:dyDescent="0.25">
      <c r="A1197" s="25" t="str">
        <f>IF($C1197="","",Registro_Compras!$B$136)</f>
        <v/>
      </c>
      <c r="B1197" t="str">
        <f>IF($C1197="","","C"&amp;TEXT(INT((ROW()-5)/9)+1,"000")&amp;"-2")</f>
        <v/>
      </c>
      <c r="C1197" t="str">
        <f>IF(OR(Registro_Compras!$C$136="",Registro_Compras!$O$136=""),"","79/791")</f>
        <v/>
      </c>
      <c r="D1197" t="str">
        <f>IF(OR(Registro_Compras!$C$136="",Registro_Compras!$O$136=""),"","Cargas Imputables a Cuentas de Costos y Gastos")</f>
        <v/>
      </c>
      <c r="E1197" s="20" t="str">
        <f>IF($C1197="","",IF(Registro_Compras!$F$136="NOTA DE CREDITO",ROUND(ABS(Registro_Compras!$J$136*Registro_Compras!$N$136),2),""))</f>
        <v/>
      </c>
      <c r="F1197" s="20" t="str">
        <f>IF($C1197="","",IF(Registro_Compras!$F$136="NOTA DE CREDITO","",IF(Registro_Compras!$F$136="RHE",ROUND(Registro_Compras!$L$136*Registro_Compras!$N$136,2),ROUND(Registro_Compras!$J$136*Registro_Compras!$N$136,2))))</f>
        <v/>
      </c>
      <c r="G1197" t="str">
        <f>IF($C1197="","","Por el destino del gasto")</f>
        <v/>
      </c>
      <c r="H1197" t="str">
        <f>IF($C1197="","",Registro_Compras!$C$136)</f>
        <v/>
      </c>
    </row>
    <row r="1198" spans="1:8" x14ac:dyDescent="0.25">
      <c r="A1198" s="25" t="str">
        <f>IF($C1198="","",Registro_Compras!$X$136)</f>
        <v/>
      </c>
      <c r="B1198" t="str">
        <f>IF($C1198="","","C"&amp;TEXT(INT((ROW()-5)/9)+1,"000")&amp;"-3")</f>
        <v/>
      </c>
      <c r="C1198" t="str">
        <f>IF(OR(Registro_Compras!$C$136="",Registro_Compras!$O$136="",Registro_Compras!$R$136&lt;&gt;"SI",Registro_Compras!$X$136=""),"","4212")</f>
        <v/>
      </c>
      <c r="D1198" t="str">
        <f>IF(OR(Registro_Compras!$C$136="",Registro_Compras!$O$136=""),"","Cuentas por Pagar Comerciales - Terceros")</f>
        <v/>
      </c>
      <c r="E1198" s="20" t="str">
        <f>IF($C1198="","",Registro_Compras!$S$136)</f>
        <v/>
      </c>
      <c r="F1198" s="20" t="str">
        <f>""</f>
        <v/>
      </c>
      <c r="G1198" t="str">
        <f>IF($C1198="","","Por el deposito de la detraccion en el Banco de la Nacion")</f>
        <v/>
      </c>
      <c r="H1198" t="str">
        <f>IF($C1198="","",Registro_Compras!$C$136)</f>
        <v/>
      </c>
    </row>
    <row r="1199" spans="1:8" x14ac:dyDescent="0.25">
      <c r="A1199" s="25" t="str">
        <f>IF($C1199="","",Registro_Compras!$X$136)</f>
        <v/>
      </c>
      <c r="B1199" t="str">
        <f>IF($C1199="","","C"&amp;TEXT(INT((ROW()-5)/9)+1,"000")&amp;"-3")</f>
        <v/>
      </c>
      <c r="C1199" t="str">
        <f>IF(OR(Registro_Compras!$C$136="",Registro_Compras!$O$136="",Registro_Compras!$R$136&lt;&gt;"SI",Registro_Compras!$X$136=""),"","1041")</f>
        <v/>
      </c>
      <c r="D1199" t="str">
        <f>IF(OR(Registro_Compras!$C$136="",Registro_Compras!$O$136=""),"","Efectivo y Equivalentes - Cta. Cte. Operativa")</f>
        <v/>
      </c>
      <c r="E1199" s="20" t="str">
        <f>""</f>
        <v/>
      </c>
      <c r="F1199" s="20" t="str">
        <f>IF($C1199="","",Registro_Compras!$S$136)</f>
        <v/>
      </c>
      <c r="G1199" t="str">
        <f>IF($C1199="","","Por el deposito de la detraccion en el Banco de la Nacion")</f>
        <v/>
      </c>
      <c r="H1199" t="str">
        <f>IF($C1199="","",Registro_Compras!$C$136)</f>
        <v/>
      </c>
    </row>
    <row r="1200" spans="1:8" x14ac:dyDescent="0.25">
      <c r="A1200" s="25" t="str">
        <f>IF($C1200="","",Registro_Compras!$Y$136)</f>
        <v/>
      </c>
      <c r="B1200" t="str">
        <f>IF($C1200="","","C"&amp;TEXT(INT((ROW()-5)/9)+1,"000")&amp;"-4")</f>
        <v/>
      </c>
      <c r="C1200" t="str">
        <f>IF(OR(Registro_Compras!$C$136="",Registro_Compras!$O$136="",Registro_Compras!$Y$136="",Registro_Compras!$F$136="NOTA DE CREDITO"),"","4212")</f>
        <v/>
      </c>
      <c r="D1200" t="str">
        <f>IF(OR(Registro_Compras!$C$136="",Registro_Compras!$O$136=""),"","Cuentas por Pagar Comerciales - Terceros")</f>
        <v/>
      </c>
      <c r="E1200" s="20" t="str">
        <f>IF($C1200="","",IF(Registro_Compras!$F$136="RHE",(ROUND(Registro_Compras!$L$136*Registro_Compras!$N$136,2)-ROUND(Registro_Compras!$V$136*Registro_Compras!$N$136,2)),ROUND(Registro_Compras!$O$136-Registro_Compras!$S$136,2)))</f>
        <v/>
      </c>
      <c r="F1200" s="20" t="str">
        <f>""</f>
        <v/>
      </c>
      <c r="G1200" t="str">
        <f>IF($C1200="","","Por la cancelacion del saldo al proveedor")</f>
        <v/>
      </c>
      <c r="H1200" t="str">
        <f>IF($C1200="","",Registro_Compras!$C$136)</f>
        <v/>
      </c>
    </row>
    <row r="1201" spans="1:8" x14ac:dyDescent="0.25">
      <c r="A1201" s="25" t="str">
        <f>IF($C1201="","",Registro_Compras!$Y$136)</f>
        <v/>
      </c>
      <c r="B1201" t="str">
        <f>IF($C1201="","","C"&amp;TEXT(INT((ROW()-5)/9)+1,"000")&amp;"-4")</f>
        <v/>
      </c>
      <c r="C1201" t="str">
        <f>IF(OR(Registro_Compras!$C$136="",Registro_Compras!$O$136="",Registro_Compras!$Y$136="",Registro_Compras!$F$136="NOTA DE CREDITO"),"","1041")</f>
        <v/>
      </c>
      <c r="D1201" t="str">
        <f>IF(OR(Registro_Compras!$C$136="",Registro_Compras!$O$136=""),"","Efectivo y Equivalentes - Cta. Cte. Operativa")</f>
        <v/>
      </c>
      <c r="E1201" s="20" t="str">
        <f>""</f>
        <v/>
      </c>
      <c r="F1201" s="20" t="str">
        <f>IF($C1201="","",IF(Registro_Compras!$F$136="RHE",(ROUND(Registro_Compras!$L$136*Registro_Compras!$N$136,2)-ROUND(Registro_Compras!$V$136*Registro_Compras!$N$136,2)),ROUND(Registro_Compras!$O$136-Registro_Compras!$S$136,2)))</f>
        <v/>
      </c>
      <c r="G1201" t="str">
        <f>IF($C1201="","","Por la cancelacion del saldo al proveedor")</f>
        <v/>
      </c>
      <c r="H1201" t="str">
        <f>IF($C1201="","",Registro_Compras!$C$136)</f>
        <v/>
      </c>
    </row>
    <row r="1202" spans="1:8" x14ac:dyDescent="0.25">
      <c r="A1202" s="25" t="str">
        <f>IF($C1202="","",Registro_Compras!$B$137)</f>
        <v/>
      </c>
      <c r="B1202" t="str">
        <f>IF($C1202="","","C"&amp;TEXT(INT((ROW()-5)/9)+1,"000")&amp;"-1")</f>
        <v/>
      </c>
      <c r="C1202" t="str">
        <f>IF(OR(Registro_Compras!$C$137="",Registro_Compras!$O$137=""),"",IF(Registro_Compras!$F$137="NOTA DE CREDITO","4212",IF(Registro_Compras!$M$137="","63",Registro_Compras!$M$137)))</f>
        <v/>
      </c>
      <c r="D1202" t="str">
        <f>IF(OR(Registro_Compras!$C$137="",Registro_Compras!$O$137=""),"",IF(Registro_Compras!$F$137="NOTA DE CREDITO","Cuentas por Pagar Comerciales - Terceros (Emitidas)",IF(Registro_Compras!$F$137="RHE","Honorarios Profesionales - Servicios de Terceros","Gastos de Servicios Prestados por Terceros")))</f>
        <v/>
      </c>
      <c r="E1202" s="20" t="str">
        <f>IF($C1202="","",IF(Registro_Compras!$F$137="NOTA DE CREDITO",ABS(Registro_Compras!$O$137),IF(Registro_Compras!$F$137="RHE",ROUND(Registro_Compras!$L$137*Registro_Compras!$N$137,2),ROUND(Registro_Compras!$J$137*Registro_Compras!$N$137,2))))</f>
        <v/>
      </c>
      <c r="F1202" s="20" t="str">
        <f>""</f>
        <v/>
      </c>
      <c r="G1202" t="str">
        <f>IF($C1202="","",IF(Registro_Compras!$F$137="NOTA DE CREDITO","Por la nota de credito "&amp;Registro_Compras!$C$137&amp;" de "&amp;Registro_Compras!$E$137&amp;" [PATRON POR CONFIRMAR CON CONTADOR]",IF(Registro_Compras!$F$137="RHE","Por el registro del recibo por honorarios "&amp;Registro_Compras!$C$137&amp;" de "&amp;Registro_Compras!$E$137&amp;" [PATRON POR CONFIRMAR CON CONTADOR]","Por el registro de la factura "&amp;Registro_Compras!$C$137&amp;" de "&amp;Registro_Compras!$E$137)))</f>
        <v/>
      </c>
      <c r="H1202" t="str">
        <f>IF($C1202="","",Registro_Compras!$C$137)</f>
        <v/>
      </c>
    </row>
    <row r="1203" spans="1:8" x14ac:dyDescent="0.25">
      <c r="A1203" s="25" t="str">
        <f>IF($C1203="","",Registro_Compras!$B$137)</f>
        <v/>
      </c>
      <c r="B1203" t="str">
        <f>IF($C1203="","","C"&amp;TEXT(INT((ROW()-5)/9)+1,"000")&amp;"-1")</f>
        <v/>
      </c>
      <c r="C1203" t="str">
        <f>IF(OR(Registro_Compras!$C$137="",Registro_Compras!$O$137=""),"",IF(Registro_Compras!$F$137="RHE",IF(Registro_Compras!$V$137=0,"","4017"),IF(Registro_Compras!$F$137="NOTA DE CREDITO",IF(Registro_Compras!$M$137="","63",Registro_Compras!$M$137),IF(Registro_Compras!$K$137=0,"","40111"))))</f>
        <v/>
      </c>
      <c r="D1203" t="str">
        <f>IF(OR(Registro_Compras!$C$137="",Registro_Compras!$O$137=""),"",IF(Registro_Compras!$F$137="RHE","Retencion Renta 4ta Categoria por Pagar",IF(Registro_Compras!$F$137="NOTA DE CREDITO","Gastos de Servicios Prestados por Terceros","IGV - Cuenta Propia (Credito Fiscal)")))</f>
        <v/>
      </c>
      <c r="E1203" s="20" t="str">
        <f>IF($C1203="","",IF(Registro_Compras!$F$137="FACTURA",ROUND(Registro_Compras!$K$137*Registro_Compras!$N$137,2),""))</f>
        <v/>
      </c>
      <c r="F1203" s="20" t="str">
        <f>IF($C1203="","",IF(Registro_Compras!$F$137="RHE",ROUND(Registro_Compras!$V$137*Registro_Compras!$N$137,2),IF(Registro_Compras!$F$137="NOTA DE CREDITO",ROUND(ABS(Registro_Compras!$J$137*Registro_Compras!$N$137),2),"")))</f>
        <v/>
      </c>
      <c r="G1203" t="str">
        <f>IF($C1203="","",IF(Registro_Compras!$F$137="NOTA DE CREDITO","Por la nota de credito "&amp;Registro_Compras!$C$137&amp;" de "&amp;Registro_Compras!$E$137&amp;" [PATRON POR CONFIRMAR CON CONTADOR]",IF(Registro_Compras!$F$137="RHE","Por el registro del recibo por honorarios "&amp;Registro_Compras!$C$137&amp;" de "&amp;Registro_Compras!$E$137&amp;" [PATRON POR CONFIRMAR CON CONTADOR]","Por el registro de la factura "&amp;Registro_Compras!$C$137&amp;" de "&amp;Registro_Compras!$E$137)))</f>
        <v/>
      </c>
      <c r="H1203" t="str">
        <f>IF($C1203="","",Registro_Compras!$C$137)</f>
        <v/>
      </c>
    </row>
    <row r="1204" spans="1:8" x14ac:dyDescent="0.25">
      <c r="A1204" s="25" t="str">
        <f>IF($C1204="","",Registro_Compras!$B$137)</f>
        <v/>
      </c>
      <c r="B1204" t="str">
        <f>IF($C1204="","","C"&amp;TEXT(INT((ROW()-5)/9)+1,"000")&amp;"-1")</f>
        <v/>
      </c>
      <c r="C1204" t="str">
        <f>IF(OR(Registro_Compras!$C$137="",Registro_Compras!$O$137=""),"",IF(Registro_Compras!$F$137="NOTA DE CREDITO",IF(Registro_Compras!$K$137=0,"","40111"),"4212"))</f>
        <v/>
      </c>
      <c r="D1204" t="str">
        <f>IF(OR(Registro_Compras!$C$137="",Registro_Compras!$O$137=""),"",IF(Registro_Compras!$F$137="NOTA DE CREDITO","IGV - Cuenta Propia (Credito Fiscal)","Cuentas por Pagar Comerciales - Terceros (Emitidas)"))</f>
        <v/>
      </c>
      <c r="E1204" s="20" t="str">
        <f>""</f>
        <v/>
      </c>
      <c r="F1204" s="20" t="str">
        <f>IF($C1204="","",IF(Registro_Compras!$F$137="NOTA DE CREDITO",ROUND(ABS(Registro_Compras!$K$137*Registro_Compras!$N$137),2),IF(Registro_Compras!$F$137="RHE",(ROUND(Registro_Compras!$L$137*Registro_Compras!$N$137,2)-ROUND(Registro_Compras!$V$137*Registro_Compras!$N$137,2)),Registro_Compras!$O$137)))</f>
        <v/>
      </c>
      <c r="G1204" t="str">
        <f>IF($C1204="","",IF(Registro_Compras!$F$137="NOTA DE CREDITO","Por la nota de credito "&amp;Registro_Compras!$C$137&amp;" de "&amp;Registro_Compras!$E$137&amp;" [PATRON POR CONFIRMAR CON CONTADOR]",IF(Registro_Compras!$F$137="RHE","Por el registro del recibo por honorarios "&amp;Registro_Compras!$C$137&amp;" de "&amp;Registro_Compras!$E$137&amp;" [PATRON POR CONFIRMAR CON CONTADOR]","Por el registro de la factura "&amp;Registro_Compras!$C$137&amp;" de "&amp;Registro_Compras!$E$137)))</f>
        <v/>
      </c>
      <c r="H1204" t="str">
        <f>IF($C1204="","",Registro_Compras!$C$137)</f>
        <v/>
      </c>
    </row>
    <row r="1205" spans="1:8" x14ac:dyDescent="0.25">
      <c r="A1205" s="25" t="str">
        <f>IF($C1205="","",Registro_Compras!$B$137)</f>
        <v/>
      </c>
      <c r="B1205" t="str">
        <f>IF($C1205="","","C"&amp;TEXT(INT((ROW()-5)/9)+1,"000")&amp;"-2")</f>
        <v/>
      </c>
      <c r="C1205" t="str">
        <f>IF(OR(Registro_Compras!$C$137="",Registro_Compras!$O$137=""),"",IF(Registro_Compras!$AB$137="ADMINISTRATIVO","94","95"))</f>
        <v/>
      </c>
      <c r="D1205" t="str">
        <f>IF(OR(Registro_Compras!$C$137="",Registro_Compras!$O$137=""),"",IF(Registro_Compras!$AB$137="ADMINISTRATIVO","Gastos Administrativos","Gastos de Venta y Operacion"))</f>
        <v/>
      </c>
      <c r="E1205" s="20" t="str">
        <f>IF($C1205="","",IF(Registro_Compras!$F$137="NOTA DE CREDITO","",IF(Registro_Compras!$F$137="RHE",ROUND(Registro_Compras!$L$137*Registro_Compras!$N$137,2),ROUND(Registro_Compras!$J$137*Registro_Compras!$N$137,2))))</f>
        <v/>
      </c>
      <c r="F1205" s="20" t="str">
        <f>IF($C1205="","",IF(Registro_Compras!$F$137="NOTA DE CREDITO",ROUND(ABS(Registro_Compras!$J$137*Registro_Compras!$N$137),2),""))</f>
        <v/>
      </c>
      <c r="G1205" t="str">
        <f>IF($C1205="","","Por el destino del gasto")</f>
        <v/>
      </c>
      <c r="H1205" t="str">
        <f>IF($C1205="","",Registro_Compras!$C$137)</f>
        <v/>
      </c>
    </row>
    <row r="1206" spans="1:8" x14ac:dyDescent="0.25">
      <c r="A1206" s="25" t="str">
        <f>IF($C1206="","",Registro_Compras!$B$137)</f>
        <v/>
      </c>
      <c r="B1206" t="str">
        <f>IF($C1206="","","C"&amp;TEXT(INT((ROW()-5)/9)+1,"000")&amp;"-2")</f>
        <v/>
      </c>
      <c r="C1206" t="str">
        <f>IF(OR(Registro_Compras!$C$137="",Registro_Compras!$O$137=""),"","79/791")</f>
        <v/>
      </c>
      <c r="D1206" t="str">
        <f>IF(OR(Registro_Compras!$C$137="",Registro_Compras!$O$137=""),"","Cargas Imputables a Cuentas de Costos y Gastos")</f>
        <v/>
      </c>
      <c r="E1206" s="20" t="str">
        <f>IF($C1206="","",IF(Registro_Compras!$F$137="NOTA DE CREDITO",ROUND(ABS(Registro_Compras!$J$137*Registro_Compras!$N$137),2),""))</f>
        <v/>
      </c>
      <c r="F1206" s="20" t="str">
        <f>IF($C1206="","",IF(Registro_Compras!$F$137="NOTA DE CREDITO","",IF(Registro_Compras!$F$137="RHE",ROUND(Registro_Compras!$L$137*Registro_Compras!$N$137,2),ROUND(Registro_Compras!$J$137*Registro_Compras!$N$137,2))))</f>
        <v/>
      </c>
      <c r="G1206" t="str">
        <f>IF($C1206="","","Por el destino del gasto")</f>
        <v/>
      </c>
      <c r="H1206" t="str">
        <f>IF($C1206="","",Registro_Compras!$C$137)</f>
        <v/>
      </c>
    </row>
    <row r="1207" spans="1:8" x14ac:dyDescent="0.25">
      <c r="A1207" s="25" t="str">
        <f>IF($C1207="","",Registro_Compras!$X$137)</f>
        <v/>
      </c>
      <c r="B1207" t="str">
        <f>IF($C1207="","","C"&amp;TEXT(INT((ROW()-5)/9)+1,"000")&amp;"-3")</f>
        <v/>
      </c>
      <c r="C1207" t="str">
        <f>IF(OR(Registro_Compras!$C$137="",Registro_Compras!$O$137="",Registro_Compras!$R$137&lt;&gt;"SI",Registro_Compras!$X$137=""),"","4212")</f>
        <v/>
      </c>
      <c r="D1207" t="str">
        <f>IF(OR(Registro_Compras!$C$137="",Registro_Compras!$O$137=""),"","Cuentas por Pagar Comerciales - Terceros")</f>
        <v/>
      </c>
      <c r="E1207" s="20" t="str">
        <f>IF($C1207="","",Registro_Compras!$S$137)</f>
        <v/>
      </c>
      <c r="F1207" s="20" t="str">
        <f>""</f>
        <v/>
      </c>
      <c r="G1207" t="str">
        <f>IF($C1207="","","Por el deposito de la detraccion en el Banco de la Nacion")</f>
        <v/>
      </c>
      <c r="H1207" t="str">
        <f>IF($C1207="","",Registro_Compras!$C$137)</f>
        <v/>
      </c>
    </row>
    <row r="1208" spans="1:8" x14ac:dyDescent="0.25">
      <c r="A1208" s="25" t="str">
        <f>IF($C1208="","",Registro_Compras!$X$137)</f>
        <v/>
      </c>
      <c r="B1208" t="str">
        <f>IF($C1208="","","C"&amp;TEXT(INT((ROW()-5)/9)+1,"000")&amp;"-3")</f>
        <v/>
      </c>
      <c r="C1208" t="str">
        <f>IF(OR(Registro_Compras!$C$137="",Registro_Compras!$O$137="",Registro_Compras!$R$137&lt;&gt;"SI",Registro_Compras!$X$137=""),"","1041")</f>
        <v/>
      </c>
      <c r="D1208" t="str">
        <f>IF(OR(Registro_Compras!$C$137="",Registro_Compras!$O$137=""),"","Efectivo y Equivalentes - Cta. Cte. Operativa")</f>
        <v/>
      </c>
      <c r="E1208" s="20" t="str">
        <f>""</f>
        <v/>
      </c>
      <c r="F1208" s="20" t="str">
        <f>IF($C1208="","",Registro_Compras!$S$137)</f>
        <v/>
      </c>
      <c r="G1208" t="str">
        <f>IF($C1208="","","Por el deposito de la detraccion en el Banco de la Nacion")</f>
        <v/>
      </c>
      <c r="H1208" t="str">
        <f>IF($C1208="","",Registro_Compras!$C$137)</f>
        <v/>
      </c>
    </row>
    <row r="1209" spans="1:8" x14ac:dyDescent="0.25">
      <c r="A1209" s="25" t="str">
        <f>IF($C1209="","",Registro_Compras!$Y$137)</f>
        <v/>
      </c>
      <c r="B1209" t="str">
        <f>IF($C1209="","","C"&amp;TEXT(INT((ROW()-5)/9)+1,"000")&amp;"-4")</f>
        <v/>
      </c>
      <c r="C1209" t="str">
        <f>IF(OR(Registro_Compras!$C$137="",Registro_Compras!$O$137="",Registro_Compras!$Y$137="",Registro_Compras!$F$137="NOTA DE CREDITO"),"","4212")</f>
        <v/>
      </c>
      <c r="D1209" t="str">
        <f>IF(OR(Registro_Compras!$C$137="",Registro_Compras!$O$137=""),"","Cuentas por Pagar Comerciales - Terceros")</f>
        <v/>
      </c>
      <c r="E1209" s="20" t="str">
        <f>IF($C1209="","",IF(Registro_Compras!$F$137="RHE",(ROUND(Registro_Compras!$L$137*Registro_Compras!$N$137,2)-ROUND(Registro_Compras!$V$137*Registro_Compras!$N$137,2)),ROUND(Registro_Compras!$O$137-Registro_Compras!$S$137,2)))</f>
        <v/>
      </c>
      <c r="F1209" s="20" t="str">
        <f>""</f>
        <v/>
      </c>
      <c r="G1209" t="str">
        <f>IF($C1209="","","Por la cancelacion del saldo al proveedor")</f>
        <v/>
      </c>
      <c r="H1209" t="str">
        <f>IF($C1209="","",Registro_Compras!$C$137)</f>
        <v/>
      </c>
    </row>
    <row r="1210" spans="1:8" x14ac:dyDescent="0.25">
      <c r="A1210" s="25" t="str">
        <f>IF($C1210="","",Registro_Compras!$Y$137)</f>
        <v/>
      </c>
      <c r="B1210" t="str">
        <f>IF($C1210="","","C"&amp;TEXT(INT((ROW()-5)/9)+1,"000")&amp;"-4")</f>
        <v/>
      </c>
      <c r="C1210" t="str">
        <f>IF(OR(Registro_Compras!$C$137="",Registro_Compras!$O$137="",Registro_Compras!$Y$137="",Registro_Compras!$F$137="NOTA DE CREDITO"),"","1041")</f>
        <v/>
      </c>
      <c r="D1210" t="str">
        <f>IF(OR(Registro_Compras!$C$137="",Registro_Compras!$O$137=""),"","Efectivo y Equivalentes - Cta. Cte. Operativa")</f>
        <v/>
      </c>
      <c r="E1210" s="20" t="str">
        <f>""</f>
        <v/>
      </c>
      <c r="F1210" s="20" t="str">
        <f>IF($C1210="","",IF(Registro_Compras!$F$137="RHE",(ROUND(Registro_Compras!$L$137*Registro_Compras!$N$137,2)-ROUND(Registro_Compras!$V$137*Registro_Compras!$N$137,2)),ROUND(Registro_Compras!$O$137-Registro_Compras!$S$137,2)))</f>
        <v/>
      </c>
      <c r="G1210" t="str">
        <f>IF($C1210="","","Por la cancelacion del saldo al proveedor")</f>
        <v/>
      </c>
      <c r="H1210" t="str">
        <f>IF($C1210="","",Registro_Compras!$C$137)</f>
        <v/>
      </c>
    </row>
    <row r="1211" spans="1:8" x14ac:dyDescent="0.25">
      <c r="A1211" s="25" t="str">
        <f>IF($C1211="","",Registro_Compras!$B$138)</f>
        <v/>
      </c>
      <c r="B1211" t="str">
        <f>IF($C1211="","","C"&amp;TEXT(INT((ROW()-5)/9)+1,"000")&amp;"-1")</f>
        <v/>
      </c>
      <c r="C1211" t="str">
        <f>IF(OR(Registro_Compras!$C$138="",Registro_Compras!$O$138=""),"",IF(Registro_Compras!$F$138="NOTA DE CREDITO","4212",IF(Registro_Compras!$M$138="","63",Registro_Compras!$M$138)))</f>
        <v/>
      </c>
      <c r="D1211" t="str">
        <f>IF(OR(Registro_Compras!$C$138="",Registro_Compras!$O$138=""),"",IF(Registro_Compras!$F$138="NOTA DE CREDITO","Cuentas por Pagar Comerciales - Terceros (Emitidas)",IF(Registro_Compras!$F$138="RHE","Honorarios Profesionales - Servicios de Terceros","Gastos de Servicios Prestados por Terceros")))</f>
        <v/>
      </c>
      <c r="E1211" s="20" t="str">
        <f>IF($C1211="","",IF(Registro_Compras!$F$138="NOTA DE CREDITO",ABS(Registro_Compras!$O$138),IF(Registro_Compras!$F$138="RHE",ROUND(Registro_Compras!$L$138*Registro_Compras!$N$138,2),ROUND(Registro_Compras!$J$138*Registro_Compras!$N$138,2))))</f>
        <v/>
      </c>
      <c r="F1211" s="20" t="str">
        <f>""</f>
        <v/>
      </c>
      <c r="G1211" t="str">
        <f>IF($C1211="","",IF(Registro_Compras!$F$138="NOTA DE CREDITO","Por la nota de credito "&amp;Registro_Compras!$C$138&amp;" de "&amp;Registro_Compras!$E$138&amp;" [PATRON POR CONFIRMAR CON CONTADOR]",IF(Registro_Compras!$F$138="RHE","Por el registro del recibo por honorarios "&amp;Registro_Compras!$C$138&amp;" de "&amp;Registro_Compras!$E$138&amp;" [PATRON POR CONFIRMAR CON CONTADOR]","Por el registro de la factura "&amp;Registro_Compras!$C$138&amp;" de "&amp;Registro_Compras!$E$138)))</f>
        <v/>
      </c>
      <c r="H1211" t="str">
        <f>IF($C1211="","",Registro_Compras!$C$138)</f>
        <v/>
      </c>
    </row>
    <row r="1212" spans="1:8" x14ac:dyDescent="0.25">
      <c r="A1212" s="25" t="str">
        <f>IF($C1212="","",Registro_Compras!$B$138)</f>
        <v/>
      </c>
      <c r="B1212" t="str">
        <f>IF($C1212="","","C"&amp;TEXT(INT((ROW()-5)/9)+1,"000")&amp;"-1")</f>
        <v/>
      </c>
      <c r="C1212" t="str">
        <f>IF(OR(Registro_Compras!$C$138="",Registro_Compras!$O$138=""),"",IF(Registro_Compras!$F$138="RHE",IF(Registro_Compras!$V$138=0,"","4017"),IF(Registro_Compras!$F$138="NOTA DE CREDITO",IF(Registro_Compras!$M$138="","63",Registro_Compras!$M$138),IF(Registro_Compras!$K$138=0,"","40111"))))</f>
        <v/>
      </c>
      <c r="D1212" t="str">
        <f>IF(OR(Registro_Compras!$C$138="",Registro_Compras!$O$138=""),"",IF(Registro_Compras!$F$138="RHE","Retencion Renta 4ta Categoria por Pagar",IF(Registro_Compras!$F$138="NOTA DE CREDITO","Gastos de Servicios Prestados por Terceros","IGV - Cuenta Propia (Credito Fiscal)")))</f>
        <v/>
      </c>
      <c r="E1212" s="20" t="str">
        <f>IF($C1212="","",IF(Registro_Compras!$F$138="FACTURA",ROUND(Registro_Compras!$K$138*Registro_Compras!$N$138,2),""))</f>
        <v/>
      </c>
      <c r="F1212" s="20" t="str">
        <f>IF($C1212="","",IF(Registro_Compras!$F$138="RHE",ROUND(Registro_Compras!$V$138*Registro_Compras!$N$138,2),IF(Registro_Compras!$F$138="NOTA DE CREDITO",ROUND(ABS(Registro_Compras!$J$138*Registro_Compras!$N$138),2),"")))</f>
        <v/>
      </c>
      <c r="G1212" t="str">
        <f>IF($C1212="","",IF(Registro_Compras!$F$138="NOTA DE CREDITO","Por la nota de credito "&amp;Registro_Compras!$C$138&amp;" de "&amp;Registro_Compras!$E$138&amp;" [PATRON POR CONFIRMAR CON CONTADOR]",IF(Registro_Compras!$F$138="RHE","Por el registro del recibo por honorarios "&amp;Registro_Compras!$C$138&amp;" de "&amp;Registro_Compras!$E$138&amp;" [PATRON POR CONFIRMAR CON CONTADOR]","Por el registro de la factura "&amp;Registro_Compras!$C$138&amp;" de "&amp;Registro_Compras!$E$138)))</f>
        <v/>
      </c>
      <c r="H1212" t="str">
        <f>IF($C1212="","",Registro_Compras!$C$138)</f>
        <v/>
      </c>
    </row>
    <row r="1213" spans="1:8" x14ac:dyDescent="0.25">
      <c r="A1213" s="25" t="str">
        <f>IF($C1213="","",Registro_Compras!$B$138)</f>
        <v/>
      </c>
      <c r="B1213" t="str">
        <f>IF($C1213="","","C"&amp;TEXT(INT((ROW()-5)/9)+1,"000")&amp;"-1")</f>
        <v/>
      </c>
      <c r="C1213" t="str">
        <f>IF(OR(Registro_Compras!$C$138="",Registro_Compras!$O$138=""),"",IF(Registro_Compras!$F$138="NOTA DE CREDITO",IF(Registro_Compras!$K$138=0,"","40111"),"4212"))</f>
        <v/>
      </c>
      <c r="D1213" t="str">
        <f>IF(OR(Registro_Compras!$C$138="",Registro_Compras!$O$138=""),"",IF(Registro_Compras!$F$138="NOTA DE CREDITO","IGV - Cuenta Propia (Credito Fiscal)","Cuentas por Pagar Comerciales - Terceros (Emitidas)"))</f>
        <v/>
      </c>
      <c r="E1213" s="20" t="str">
        <f>""</f>
        <v/>
      </c>
      <c r="F1213" s="20" t="str">
        <f>IF($C1213="","",IF(Registro_Compras!$F$138="NOTA DE CREDITO",ROUND(ABS(Registro_Compras!$K$138*Registro_Compras!$N$138),2),IF(Registro_Compras!$F$138="RHE",(ROUND(Registro_Compras!$L$138*Registro_Compras!$N$138,2)-ROUND(Registro_Compras!$V$138*Registro_Compras!$N$138,2)),Registro_Compras!$O$138)))</f>
        <v/>
      </c>
      <c r="G1213" t="str">
        <f>IF($C1213="","",IF(Registro_Compras!$F$138="NOTA DE CREDITO","Por la nota de credito "&amp;Registro_Compras!$C$138&amp;" de "&amp;Registro_Compras!$E$138&amp;" [PATRON POR CONFIRMAR CON CONTADOR]",IF(Registro_Compras!$F$138="RHE","Por el registro del recibo por honorarios "&amp;Registro_Compras!$C$138&amp;" de "&amp;Registro_Compras!$E$138&amp;" [PATRON POR CONFIRMAR CON CONTADOR]","Por el registro de la factura "&amp;Registro_Compras!$C$138&amp;" de "&amp;Registro_Compras!$E$138)))</f>
        <v/>
      </c>
      <c r="H1213" t="str">
        <f>IF($C1213="","",Registro_Compras!$C$138)</f>
        <v/>
      </c>
    </row>
    <row r="1214" spans="1:8" x14ac:dyDescent="0.25">
      <c r="A1214" s="25" t="str">
        <f>IF($C1214="","",Registro_Compras!$B$138)</f>
        <v/>
      </c>
      <c r="B1214" t="str">
        <f>IF($C1214="","","C"&amp;TEXT(INT((ROW()-5)/9)+1,"000")&amp;"-2")</f>
        <v/>
      </c>
      <c r="C1214" t="str">
        <f>IF(OR(Registro_Compras!$C$138="",Registro_Compras!$O$138=""),"",IF(Registro_Compras!$AB$138="ADMINISTRATIVO","94","95"))</f>
        <v/>
      </c>
      <c r="D1214" t="str">
        <f>IF(OR(Registro_Compras!$C$138="",Registro_Compras!$O$138=""),"",IF(Registro_Compras!$AB$138="ADMINISTRATIVO","Gastos Administrativos","Gastos de Venta y Operacion"))</f>
        <v/>
      </c>
      <c r="E1214" s="20" t="str">
        <f>IF($C1214="","",IF(Registro_Compras!$F$138="NOTA DE CREDITO","",IF(Registro_Compras!$F$138="RHE",ROUND(Registro_Compras!$L$138*Registro_Compras!$N$138,2),ROUND(Registro_Compras!$J$138*Registro_Compras!$N$138,2))))</f>
        <v/>
      </c>
      <c r="F1214" s="20" t="str">
        <f>IF($C1214="","",IF(Registro_Compras!$F$138="NOTA DE CREDITO",ROUND(ABS(Registro_Compras!$J$138*Registro_Compras!$N$138),2),""))</f>
        <v/>
      </c>
      <c r="G1214" t="str">
        <f>IF($C1214="","","Por el destino del gasto")</f>
        <v/>
      </c>
      <c r="H1214" t="str">
        <f>IF($C1214="","",Registro_Compras!$C$138)</f>
        <v/>
      </c>
    </row>
    <row r="1215" spans="1:8" x14ac:dyDescent="0.25">
      <c r="A1215" s="25" t="str">
        <f>IF($C1215="","",Registro_Compras!$B$138)</f>
        <v/>
      </c>
      <c r="B1215" t="str">
        <f>IF($C1215="","","C"&amp;TEXT(INT((ROW()-5)/9)+1,"000")&amp;"-2")</f>
        <v/>
      </c>
      <c r="C1215" t="str">
        <f>IF(OR(Registro_Compras!$C$138="",Registro_Compras!$O$138=""),"","79/791")</f>
        <v/>
      </c>
      <c r="D1215" t="str">
        <f>IF(OR(Registro_Compras!$C$138="",Registro_Compras!$O$138=""),"","Cargas Imputables a Cuentas de Costos y Gastos")</f>
        <v/>
      </c>
      <c r="E1215" s="20" t="str">
        <f>IF($C1215="","",IF(Registro_Compras!$F$138="NOTA DE CREDITO",ROUND(ABS(Registro_Compras!$J$138*Registro_Compras!$N$138),2),""))</f>
        <v/>
      </c>
      <c r="F1215" s="20" t="str">
        <f>IF($C1215="","",IF(Registro_Compras!$F$138="NOTA DE CREDITO","",IF(Registro_Compras!$F$138="RHE",ROUND(Registro_Compras!$L$138*Registro_Compras!$N$138,2),ROUND(Registro_Compras!$J$138*Registro_Compras!$N$138,2))))</f>
        <v/>
      </c>
      <c r="G1215" t="str">
        <f>IF($C1215="","","Por el destino del gasto")</f>
        <v/>
      </c>
      <c r="H1215" t="str">
        <f>IF($C1215="","",Registro_Compras!$C$138)</f>
        <v/>
      </c>
    </row>
    <row r="1216" spans="1:8" x14ac:dyDescent="0.25">
      <c r="A1216" s="25" t="str">
        <f>IF($C1216="","",Registro_Compras!$X$138)</f>
        <v/>
      </c>
      <c r="B1216" t="str">
        <f>IF($C1216="","","C"&amp;TEXT(INT((ROW()-5)/9)+1,"000")&amp;"-3")</f>
        <v/>
      </c>
      <c r="C1216" t="str">
        <f>IF(OR(Registro_Compras!$C$138="",Registro_Compras!$O$138="",Registro_Compras!$R$138&lt;&gt;"SI",Registro_Compras!$X$138=""),"","4212")</f>
        <v/>
      </c>
      <c r="D1216" t="str">
        <f>IF(OR(Registro_Compras!$C$138="",Registro_Compras!$O$138=""),"","Cuentas por Pagar Comerciales - Terceros")</f>
        <v/>
      </c>
      <c r="E1216" s="20" t="str">
        <f>IF($C1216="","",Registro_Compras!$S$138)</f>
        <v/>
      </c>
      <c r="F1216" s="20" t="str">
        <f>""</f>
        <v/>
      </c>
      <c r="G1216" t="str">
        <f>IF($C1216="","","Por el deposito de la detraccion en el Banco de la Nacion")</f>
        <v/>
      </c>
      <c r="H1216" t="str">
        <f>IF($C1216="","",Registro_Compras!$C$138)</f>
        <v/>
      </c>
    </row>
    <row r="1217" spans="1:8" x14ac:dyDescent="0.25">
      <c r="A1217" s="25" t="str">
        <f>IF($C1217="","",Registro_Compras!$X$138)</f>
        <v/>
      </c>
      <c r="B1217" t="str">
        <f>IF($C1217="","","C"&amp;TEXT(INT((ROW()-5)/9)+1,"000")&amp;"-3")</f>
        <v/>
      </c>
      <c r="C1217" t="str">
        <f>IF(OR(Registro_Compras!$C$138="",Registro_Compras!$O$138="",Registro_Compras!$R$138&lt;&gt;"SI",Registro_Compras!$X$138=""),"","1041")</f>
        <v/>
      </c>
      <c r="D1217" t="str">
        <f>IF(OR(Registro_Compras!$C$138="",Registro_Compras!$O$138=""),"","Efectivo y Equivalentes - Cta. Cte. Operativa")</f>
        <v/>
      </c>
      <c r="E1217" s="20" t="str">
        <f>""</f>
        <v/>
      </c>
      <c r="F1217" s="20" t="str">
        <f>IF($C1217="","",Registro_Compras!$S$138)</f>
        <v/>
      </c>
      <c r="G1217" t="str">
        <f>IF($C1217="","","Por el deposito de la detraccion en el Banco de la Nacion")</f>
        <v/>
      </c>
      <c r="H1217" t="str">
        <f>IF($C1217="","",Registro_Compras!$C$138)</f>
        <v/>
      </c>
    </row>
    <row r="1218" spans="1:8" x14ac:dyDescent="0.25">
      <c r="A1218" s="25" t="str">
        <f>IF($C1218="","",Registro_Compras!$Y$138)</f>
        <v/>
      </c>
      <c r="B1218" t="str">
        <f>IF($C1218="","","C"&amp;TEXT(INT((ROW()-5)/9)+1,"000")&amp;"-4")</f>
        <v/>
      </c>
      <c r="C1218" t="str">
        <f>IF(OR(Registro_Compras!$C$138="",Registro_Compras!$O$138="",Registro_Compras!$Y$138="",Registro_Compras!$F$138="NOTA DE CREDITO"),"","4212")</f>
        <v/>
      </c>
      <c r="D1218" t="str">
        <f>IF(OR(Registro_Compras!$C$138="",Registro_Compras!$O$138=""),"","Cuentas por Pagar Comerciales - Terceros")</f>
        <v/>
      </c>
      <c r="E1218" s="20" t="str">
        <f>IF($C1218="","",IF(Registro_Compras!$F$138="RHE",(ROUND(Registro_Compras!$L$138*Registro_Compras!$N$138,2)-ROUND(Registro_Compras!$V$138*Registro_Compras!$N$138,2)),ROUND(Registro_Compras!$O$138-Registro_Compras!$S$138,2)))</f>
        <v/>
      </c>
      <c r="F1218" s="20" t="str">
        <f>""</f>
        <v/>
      </c>
      <c r="G1218" t="str">
        <f>IF($C1218="","","Por la cancelacion del saldo al proveedor")</f>
        <v/>
      </c>
      <c r="H1218" t="str">
        <f>IF($C1218="","",Registro_Compras!$C$138)</f>
        <v/>
      </c>
    </row>
    <row r="1219" spans="1:8" x14ac:dyDescent="0.25">
      <c r="A1219" s="25" t="str">
        <f>IF($C1219="","",Registro_Compras!$Y$138)</f>
        <v/>
      </c>
      <c r="B1219" t="str">
        <f>IF($C1219="","","C"&amp;TEXT(INT((ROW()-5)/9)+1,"000")&amp;"-4")</f>
        <v/>
      </c>
      <c r="C1219" t="str">
        <f>IF(OR(Registro_Compras!$C$138="",Registro_Compras!$O$138="",Registro_Compras!$Y$138="",Registro_Compras!$F$138="NOTA DE CREDITO"),"","1041")</f>
        <v/>
      </c>
      <c r="D1219" t="str">
        <f>IF(OR(Registro_Compras!$C$138="",Registro_Compras!$O$138=""),"","Efectivo y Equivalentes - Cta. Cte. Operativa")</f>
        <v/>
      </c>
      <c r="E1219" s="20" t="str">
        <f>""</f>
        <v/>
      </c>
      <c r="F1219" s="20" t="str">
        <f>IF($C1219="","",IF(Registro_Compras!$F$138="RHE",(ROUND(Registro_Compras!$L$138*Registro_Compras!$N$138,2)-ROUND(Registro_Compras!$V$138*Registro_Compras!$N$138,2)),ROUND(Registro_Compras!$O$138-Registro_Compras!$S$138,2)))</f>
        <v/>
      </c>
      <c r="G1219" t="str">
        <f>IF($C1219="","","Por la cancelacion del saldo al proveedor")</f>
        <v/>
      </c>
      <c r="H1219" t="str">
        <f>IF($C1219="","",Registro_Compras!$C$138)</f>
        <v/>
      </c>
    </row>
    <row r="1220" spans="1:8" x14ac:dyDescent="0.25">
      <c r="A1220" s="25" t="str">
        <f>IF($C1220="","",Registro_Compras!$B$139)</f>
        <v/>
      </c>
      <c r="B1220" t="str">
        <f>IF($C1220="","","C"&amp;TEXT(INT((ROW()-5)/9)+1,"000")&amp;"-1")</f>
        <v/>
      </c>
      <c r="C1220" t="str">
        <f>IF(OR(Registro_Compras!$C$139="",Registro_Compras!$O$139=""),"",IF(Registro_Compras!$F$139="NOTA DE CREDITO","4212",IF(Registro_Compras!$M$139="","63",Registro_Compras!$M$139)))</f>
        <v/>
      </c>
      <c r="D1220" t="str">
        <f>IF(OR(Registro_Compras!$C$139="",Registro_Compras!$O$139=""),"",IF(Registro_Compras!$F$139="NOTA DE CREDITO","Cuentas por Pagar Comerciales - Terceros (Emitidas)",IF(Registro_Compras!$F$139="RHE","Honorarios Profesionales - Servicios de Terceros","Gastos de Servicios Prestados por Terceros")))</f>
        <v/>
      </c>
      <c r="E1220" s="20" t="str">
        <f>IF($C1220="","",IF(Registro_Compras!$F$139="NOTA DE CREDITO",ABS(Registro_Compras!$O$139),IF(Registro_Compras!$F$139="RHE",ROUND(Registro_Compras!$L$139*Registro_Compras!$N$139,2),ROUND(Registro_Compras!$J$139*Registro_Compras!$N$139,2))))</f>
        <v/>
      </c>
      <c r="F1220" s="20" t="str">
        <f>""</f>
        <v/>
      </c>
      <c r="G1220" t="str">
        <f>IF($C1220="","",IF(Registro_Compras!$F$139="NOTA DE CREDITO","Por la nota de credito "&amp;Registro_Compras!$C$139&amp;" de "&amp;Registro_Compras!$E$139&amp;" [PATRON POR CONFIRMAR CON CONTADOR]",IF(Registro_Compras!$F$139="RHE","Por el registro del recibo por honorarios "&amp;Registro_Compras!$C$139&amp;" de "&amp;Registro_Compras!$E$139&amp;" [PATRON POR CONFIRMAR CON CONTADOR]","Por el registro de la factura "&amp;Registro_Compras!$C$139&amp;" de "&amp;Registro_Compras!$E$139)))</f>
        <v/>
      </c>
      <c r="H1220" t="str">
        <f>IF($C1220="","",Registro_Compras!$C$139)</f>
        <v/>
      </c>
    </row>
    <row r="1221" spans="1:8" x14ac:dyDescent="0.25">
      <c r="A1221" s="25" t="str">
        <f>IF($C1221="","",Registro_Compras!$B$139)</f>
        <v/>
      </c>
      <c r="B1221" t="str">
        <f>IF($C1221="","","C"&amp;TEXT(INT((ROW()-5)/9)+1,"000")&amp;"-1")</f>
        <v/>
      </c>
      <c r="C1221" t="str">
        <f>IF(OR(Registro_Compras!$C$139="",Registro_Compras!$O$139=""),"",IF(Registro_Compras!$F$139="RHE",IF(Registro_Compras!$V$139=0,"","4017"),IF(Registro_Compras!$F$139="NOTA DE CREDITO",IF(Registro_Compras!$M$139="","63",Registro_Compras!$M$139),IF(Registro_Compras!$K$139=0,"","40111"))))</f>
        <v/>
      </c>
      <c r="D1221" t="str">
        <f>IF(OR(Registro_Compras!$C$139="",Registro_Compras!$O$139=""),"",IF(Registro_Compras!$F$139="RHE","Retencion Renta 4ta Categoria por Pagar",IF(Registro_Compras!$F$139="NOTA DE CREDITO","Gastos de Servicios Prestados por Terceros","IGV - Cuenta Propia (Credito Fiscal)")))</f>
        <v/>
      </c>
      <c r="E1221" s="20" t="str">
        <f>IF($C1221="","",IF(Registro_Compras!$F$139="FACTURA",ROUND(Registro_Compras!$K$139*Registro_Compras!$N$139,2),""))</f>
        <v/>
      </c>
      <c r="F1221" s="20" t="str">
        <f>IF($C1221="","",IF(Registro_Compras!$F$139="RHE",ROUND(Registro_Compras!$V$139*Registro_Compras!$N$139,2),IF(Registro_Compras!$F$139="NOTA DE CREDITO",ROUND(ABS(Registro_Compras!$J$139*Registro_Compras!$N$139),2),"")))</f>
        <v/>
      </c>
      <c r="G1221" t="str">
        <f>IF($C1221="","",IF(Registro_Compras!$F$139="NOTA DE CREDITO","Por la nota de credito "&amp;Registro_Compras!$C$139&amp;" de "&amp;Registro_Compras!$E$139&amp;" [PATRON POR CONFIRMAR CON CONTADOR]",IF(Registro_Compras!$F$139="RHE","Por el registro del recibo por honorarios "&amp;Registro_Compras!$C$139&amp;" de "&amp;Registro_Compras!$E$139&amp;" [PATRON POR CONFIRMAR CON CONTADOR]","Por el registro de la factura "&amp;Registro_Compras!$C$139&amp;" de "&amp;Registro_Compras!$E$139)))</f>
        <v/>
      </c>
      <c r="H1221" t="str">
        <f>IF($C1221="","",Registro_Compras!$C$139)</f>
        <v/>
      </c>
    </row>
    <row r="1222" spans="1:8" x14ac:dyDescent="0.25">
      <c r="A1222" s="25" t="str">
        <f>IF($C1222="","",Registro_Compras!$B$139)</f>
        <v/>
      </c>
      <c r="B1222" t="str">
        <f>IF($C1222="","","C"&amp;TEXT(INT((ROW()-5)/9)+1,"000")&amp;"-1")</f>
        <v/>
      </c>
      <c r="C1222" t="str">
        <f>IF(OR(Registro_Compras!$C$139="",Registro_Compras!$O$139=""),"",IF(Registro_Compras!$F$139="NOTA DE CREDITO",IF(Registro_Compras!$K$139=0,"","40111"),"4212"))</f>
        <v/>
      </c>
      <c r="D1222" t="str">
        <f>IF(OR(Registro_Compras!$C$139="",Registro_Compras!$O$139=""),"",IF(Registro_Compras!$F$139="NOTA DE CREDITO","IGV - Cuenta Propia (Credito Fiscal)","Cuentas por Pagar Comerciales - Terceros (Emitidas)"))</f>
        <v/>
      </c>
      <c r="E1222" s="20" t="str">
        <f>""</f>
        <v/>
      </c>
      <c r="F1222" s="20" t="str">
        <f>IF($C1222="","",IF(Registro_Compras!$F$139="NOTA DE CREDITO",ROUND(ABS(Registro_Compras!$K$139*Registro_Compras!$N$139),2),IF(Registro_Compras!$F$139="RHE",(ROUND(Registro_Compras!$L$139*Registro_Compras!$N$139,2)-ROUND(Registro_Compras!$V$139*Registro_Compras!$N$139,2)),Registro_Compras!$O$139)))</f>
        <v/>
      </c>
      <c r="G1222" t="str">
        <f>IF($C1222="","",IF(Registro_Compras!$F$139="NOTA DE CREDITO","Por la nota de credito "&amp;Registro_Compras!$C$139&amp;" de "&amp;Registro_Compras!$E$139&amp;" [PATRON POR CONFIRMAR CON CONTADOR]",IF(Registro_Compras!$F$139="RHE","Por el registro del recibo por honorarios "&amp;Registro_Compras!$C$139&amp;" de "&amp;Registro_Compras!$E$139&amp;" [PATRON POR CONFIRMAR CON CONTADOR]","Por el registro de la factura "&amp;Registro_Compras!$C$139&amp;" de "&amp;Registro_Compras!$E$139)))</f>
        <v/>
      </c>
      <c r="H1222" t="str">
        <f>IF($C1222="","",Registro_Compras!$C$139)</f>
        <v/>
      </c>
    </row>
    <row r="1223" spans="1:8" x14ac:dyDescent="0.25">
      <c r="A1223" s="25" t="str">
        <f>IF($C1223="","",Registro_Compras!$B$139)</f>
        <v/>
      </c>
      <c r="B1223" t="str">
        <f>IF($C1223="","","C"&amp;TEXT(INT((ROW()-5)/9)+1,"000")&amp;"-2")</f>
        <v/>
      </c>
      <c r="C1223" t="str">
        <f>IF(OR(Registro_Compras!$C$139="",Registro_Compras!$O$139=""),"",IF(Registro_Compras!$AB$139="ADMINISTRATIVO","94","95"))</f>
        <v/>
      </c>
      <c r="D1223" t="str">
        <f>IF(OR(Registro_Compras!$C$139="",Registro_Compras!$O$139=""),"",IF(Registro_Compras!$AB$139="ADMINISTRATIVO","Gastos Administrativos","Gastos de Venta y Operacion"))</f>
        <v/>
      </c>
      <c r="E1223" s="20" t="str">
        <f>IF($C1223="","",IF(Registro_Compras!$F$139="NOTA DE CREDITO","",IF(Registro_Compras!$F$139="RHE",ROUND(Registro_Compras!$L$139*Registro_Compras!$N$139,2),ROUND(Registro_Compras!$J$139*Registro_Compras!$N$139,2))))</f>
        <v/>
      </c>
      <c r="F1223" s="20" t="str">
        <f>IF($C1223="","",IF(Registro_Compras!$F$139="NOTA DE CREDITO",ROUND(ABS(Registro_Compras!$J$139*Registro_Compras!$N$139),2),""))</f>
        <v/>
      </c>
      <c r="G1223" t="str">
        <f>IF($C1223="","","Por el destino del gasto")</f>
        <v/>
      </c>
      <c r="H1223" t="str">
        <f>IF($C1223="","",Registro_Compras!$C$139)</f>
        <v/>
      </c>
    </row>
    <row r="1224" spans="1:8" x14ac:dyDescent="0.25">
      <c r="A1224" s="25" t="str">
        <f>IF($C1224="","",Registro_Compras!$B$139)</f>
        <v/>
      </c>
      <c r="B1224" t="str">
        <f>IF($C1224="","","C"&amp;TEXT(INT((ROW()-5)/9)+1,"000")&amp;"-2")</f>
        <v/>
      </c>
      <c r="C1224" t="str">
        <f>IF(OR(Registro_Compras!$C$139="",Registro_Compras!$O$139=""),"","79/791")</f>
        <v/>
      </c>
      <c r="D1224" t="str">
        <f>IF(OR(Registro_Compras!$C$139="",Registro_Compras!$O$139=""),"","Cargas Imputables a Cuentas de Costos y Gastos")</f>
        <v/>
      </c>
      <c r="E1224" s="20" t="str">
        <f>IF($C1224="","",IF(Registro_Compras!$F$139="NOTA DE CREDITO",ROUND(ABS(Registro_Compras!$J$139*Registro_Compras!$N$139),2),""))</f>
        <v/>
      </c>
      <c r="F1224" s="20" t="str">
        <f>IF($C1224="","",IF(Registro_Compras!$F$139="NOTA DE CREDITO","",IF(Registro_Compras!$F$139="RHE",ROUND(Registro_Compras!$L$139*Registro_Compras!$N$139,2),ROUND(Registro_Compras!$J$139*Registro_Compras!$N$139,2))))</f>
        <v/>
      </c>
      <c r="G1224" t="str">
        <f>IF($C1224="","","Por el destino del gasto")</f>
        <v/>
      </c>
      <c r="H1224" t="str">
        <f>IF($C1224="","",Registro_Compras!$C$139)</f>
        <v/>
      </c>
    </row>
    <row r="1225" spans="1:8" x14ac:dyDescent="0.25">
      <c r="A1225" s="25" t="str">
        <f>IF($C1225="","",Registro_Compras!$X$139)</f>
        <v/>
      </c>
      <c r="B1225" t="str">
        <f>IF($C1225="","","C"&amp;TEXT(INT((ROW()-5)/9)+1,"000")&amp;"-3")</f>
        <v/>
      </c>
      <c r="C1225" t="str">
        <f>IF(OR(Registro_Compras!$C$139="",Registro_Compras!$O$139="",Registro_Compras!$R$139&lt;&gt;"SI",Registro_Compras!$X$139=""),"","4212")</f>
        <v/>
      </c>
      <c r="D1225" t="str">
        <f>IF(OR(Registro_Compras!$C$139="",Registro_Compras!$O$139=""),"","Cuentas por Pagar Comerciales - Terceros")</f>
        <v/>
      </c>
      <c r="E1225" s="20" t="str">
        <f>IF($C1225="","",Registro_Compras!$S$139)</f>
        <v/>
      </c>
      <c r="F1225" s="20" t="str">
        <f>""</f>
        <v/>
      </c>
      <c r="G1225" t="str">
        <f>IF($C1225="","","Por el deposito de la detraccion en el Banco de la Nacion")</f>
        <v/>
      </c>
      <c r="H1225" t="str">
        <f>IF($C1225="","",Registro_Compras!$C$139)</f>
        <v/>
      </c>
    </row>
    <row r="1226" spans="1:8" x14ac:dyDescent="0.25">
      <c r="A1226" s="25" t="str">
        <f>IF($C1226="","",Registro_Compras!$X$139)</f>
        <v/>
      </c>
      <c r="B1226" t="str">
        <f>IF($C1226="","","C"&amp;TEXT(INT((ROW()-5)/9)+1,"000")&amp;"-3")</f>
        <v/>
      </c>
      <c r="C1226" t="str">
        <f>IF(OR(Registro_Compras!$C$139="",Registro_Compras!$O$139="",Registro_Compras!$R$139&lt;&gt;"SI",Registro_Compras!$X$139=""),"","1041")</f>
        <v/>
      </c>
      <c r="D1226" t="str">
        <f>IF(OR(Registro_Compras!$C$139="",Registro_Compras!$O$139=""),"","Efectivo y Equivalentes - Cta. Cte. Operativa")</f>
        <v/>
      </c>
      <c r="E1226" s="20" t="str">
        <f>""</f>
        <v/>
      </c>
      <c r="F1226" s="20" t="str">
        <f>IF($C1226="","",Registro_Compras!$S$139)</f>
        <v/>
      </c>
      <c r="G1226" t="str">
        <f>IF($C1226="","","Por el deposito de la detraccion en el Banco de la Nacion")</f>
        <v/>
      </c>
      <c r="H1226" t="str">
        <f>IF($C1226="","",Registro_Compras!$C$139)</f>
        <v/>
      </c>
    </row>
    <row r="1227" spans="1:8" x14ac:dyDescent="0.25">
      <c r="A1227" s="25" t="str">
        <f>IF($C1227="","",Registro_Compras!$Y$139)</f>
        <v/>
      </c>
      <c r="B1227" t="str">
        <f>IF($C1227="","","C"&amp;TEXT(INT((ROW()-5)/9)+1,"000")&amp;"-4")</f>
        <v/>
      </c>
      <c r="C1227" t="str">
        <f>IF(OR(Registro_Compras!$C$139="",Registro_Compras!$O$139="",Registro_Compras!$Y$139="",Registro_Compras!$F$139="NOTA DE CREDITO"),"","4212")</f>
        <v/>
      </c>
      <c r="D1227" t="str">
        <f>IF(OR(Registro_Compras!$C$139="",Registro_Compras!$O$139=""),"","Cuentas por Pagar Comerciales - Terceros")</f>
        <v/>
      </c>
      <c r="E1227" s="20" t="str">
        <f>IF($C1227="","",IF(Registro_Compras!$F$139="RHE",(ROUND(Registro_Compras!$L$139*Registro_Compras!$N$139,2)-ROUND(Registro_Compras!$V$139*Registro_Compras!$N$139,2)),ROUND(Registro_Compras!$O$139-Registro_Compras!$S$139,2)))</f>
        <v/>
      </c>
      <c r="F1227" s="20" t="str">
        <f>""</f>
        <v/>
      </c>
      <c r="G1227" t="str">
        <f>IF($C1227="","","Por la cancelacion del saldo al proveedor")</f>
        <v/>
      </c>
      <c r="H1227" t="str">
        <f>IF($C1227="","",Registro_Compras!$C$139)</f>
        <v/>
      </c>
    </row>
    <row r="1228" spans="1:8" x14ac:dyDescent="0.25">
      <c r="A1228" s="25" t="str">
        <f>IF($C1228="","",Registro_Compras!$Y$139)</f>
        <v/>
      </c>
      <c r="B1228" t="str">
        <f>IF($C1228="","","C"&amp;TEXT(INT((ROW()-5)/9)+1,"000")&amp;"-4")</f>
        <v/>
      </c>
      <c r="C1228" t="str">
        <f>IF(OR(Registro_Compras!$C$139="",Registro_Compras!$O$139="",Registro_Compras!$Y$139="",Registro_Compras!$F$139="NOTA DE CREDITO"),"","1041")</f>
        <v/>
      </c>
      <c r="D1228" t="str">
        <f>IF(OR(Registro_Compras!$C$139="",Registro_Compras!$O$139=""),"","Efectivo y Equivalentes - Cta. Cte. Operativa")</f>
        <v/>
      </c>
      <c r="E1228" s="20" t="str">
        <f>""</f>
        <v/>
      </c>
      <c r="F1228" s="20" t="str">
        <f>IF($C1228="","",IF(Registro_Compras!$F$139="RHE",(ROUND(Registro_Compras!$L$139*Registro_Compras!$N$139,2)-ROUND(Registro_Compras!$V$139*Registro_Compras!$N$139,2)),ROUND(Registro_Compras!$O$139-Registro_Compras!$S$139,2)))</f>
        <v/>
      </c>
      <c r="G1228" t="str">
        <f>IF($C1228="","","Por la cancelacion del saldo al proveedor")</f>
        <v/>
      </c>
      <c r="H1228" t="str">
        <f>IF($C1228="","",Registro_Compras!$C$139)</f>
        <v/>
      </c>
    </row>
    <row r="1229" spans="1:8" x14ac:dyDescent="0.25">
      <c r="A1229" s="25" t="str">
        <f>IF($C1229="","",Registro_Compras!$B$140)</f>
        <v/>
      </c>
      <c r="B1229" t="str">
        <f>IF($C1229="","","C"&amp;TEXT(INT((ROW()-5)/9)+1,"000")&amp;"-1")</f>
        <v/>
      </c>
      <c r="C1229" t="str">
        <f>IF(OR(Registro_Compras!$C$140="",Registro_Compras!$O$140=""),"",IF(Registro_Compras!$F$140="NOTA DE CREDITO","4212",IF(Registro_Compras!$M$140="","63",Registro_Compras!$M$140)))</f>
        <v/>
      </c>
      <c r="D1229" t="str">
        <f>IF(OR(Registro_Compras!$C$140="",Registro_Compras!$O$140=""),"",IF(Registro_Compras!$F$140="NOTA DE CREDITO","Cuentas por Pagar Comerciales - Terceros (Emitidas)",IF(Registro_Compras!$F$140="RHE","Honorarios Profesionales - Servicios de Terceros","Gastos de Servicios Prestados por Terceros")))</f>
        <v/>
      </c>
      <c r="E1229" s="20" t="str">
        <f>IF($C1229="","",IF(Registro_Compras!$F$140="NOTA DE CREDITO",ABS(Registro_Compras!$O$140),IF(Registro_Compras!$F$140="RHE",ROUND(Registro_Compras!$L$140*Registro_Compras!$N$140,2),ROUND(Registro_Compras!$J$140*Registro_Compras!$N$140,2))))</f>
        <v/>
      </c>
      <c r="F1229" s="20" t="str">
        <f>""</f>
        <v/>
      </c>
      <c r="G1229" t="str">
        <f>IF($C1229="","",IF(Registro_Compras!$F$140="NOTA DE CREDITO","Por la nota de credito "&amp;Registro_Compras!$C$140&amp;" de "&amp;Registro_Compras!$E$140&amp;" [PATRON POR CONFIRMAR CON CONTADOR]",IF(Registro_Compras!$F$140="RHE","Por el registro del recibo por honorarios "&amp;Registro_Compras!$C$140&amp;" de "&amp;Registro_Compras!$E$140&amp;" [PATRON POR CONFIRMAR CON CONTADOR]","Por el registro de la factura "&amp;Registro_Compras!$C$140&amp;" de "&amp;Registro_Compras!$E$140)))</f>
        <v/>
      </c>
      <c r="H1229" t="str">
        <f>IF($C1229="","",Registro_Compras!$C$140)</f>
        <v/>
      </c>
    </row>
    <row r="1230" spans="1:8" x14ac:dyDescent="0.25">
      <c r="A1230" s="25" t="str">
        <f>IF($C1230="","",Registro_Compras!$B$140)</f>
        <v/>
      </c>
      <c r="B1230" t="str">
        <f>IF($C1230="","","C"&amp;TEXT(INT((ROW()-5)/9)+1,"000")&amp;"-1")</f>
        <v/>
      </c>
      <c r="C1230" t="str">
        <f>IF(OR(Registro_Compras!$C$140="",Registro_Compras!$O$140=""),"",IF(Registro_Compras!$F$140="RHE",IF(Registro_Compras!$V$140=0,"","4017"),IF(Registro_Compras!$F$140="NOTA DE CREDITO",IF(Registro_Compras!$M$140="","63",Registro_Compras!$M$140),IF(Registro_Compras!$K$140=0,"","40111"))))</f>
        <v/>
      </c>
      <c r="D1230" t="str">
        <f>IF(OR(Registro_Compras!$C$140="",Registro_Compras!$O$140=""),"",IF(Registro_Compras!$F$140="RHE","Retencion Renta 4ta Categoria por Pagar",IF(Registro_Compras!$F$140="NOTA DE CREDITO","Gastos de Servicios Prestados por Terceros","IGV - Cuenta Propia (Credito Fiscal)")))</f>
        <v/>
      </c>
      <c r="E1230" s="20" t="str">
        <f>IF($C1230="","",IF(Registro_Compras!$F$140="FACTURA",ROUND(Registro_Compras!$K$140*Registro_Compras!$N$140,2),""))</f>
        <v/>
      </c>
      <c r="F1230" s="20" t="str">
        <f>IF($C1230="","",IF(Registro_Compras!$F$140="RHE",ROUND(Registro_Compras!$V$140*Registro_Compras!$N$140,2),IF(Registro_Compras!$F$140="NOTA DE CREDITO",ROUND(ABS(Registro_Compras!$J$140*Registro_Compras!$N$140),2),"")))</f>
        <v/>
      </c>
      <c r="G1230" t="str">
        <f>IF($C1230="","",IF(Registro_Compras!$F$140="NOTA DE CREDITO","Por la nota de credito "&amp;Registro_Compras!$C$140&amp;" de "&amp;Registro_Compras!$E$140&amp;" [PATRON POR CONFIRMAR CON CONTADOR]",IF(Registro_Compras!$F$140="RHE","Por el registro del recibo por honorarios "&amp;Registro_Compras!$C$140&amp;" de "&amp;Registro_Compras!$E$140&amp;" [PATRON POR CONFIRMAR CON CONTADOR]","Por el registro de la factura "&amp;Registro_Compras!$C$140&amp;" de "&amp;Registro_Compras!$E$140)))</f>
        <v/>
      </c>
      <c r="H1230" t="str">
        <f>IF($C1230="","",Registro_Compras!$C$140)</f>
        <v/>
      </c>
    </row>
    <row r="1231" spans="1:8" x14ac:dyDescent="0.25">
      <c r="A1231" s="25" t="str">
        <f>IF($C1231="","",Registro_Compras!$B$140)</f>
        <v/>
      </c>
      <c r="B1231" t="str">
        <f>IF($C1231="","","C"&amp;TEXT(INT((ROW()-5)/9)+1,"000")&amp;"-1")</f>
        <v/>
      </c>
      <c r="C1231" t="str">
        <f>IF(OR(Registro_Compras!$C$140="",Registro_Compras!$O$140=""),"",IF(Registro_Compras!$F$140="NOTA DE CREDITO",IF(Registro_Compras!$K$140=0,"","40111"),"4212"))</f>
        <v/>
      </c>
      <c r="D1231" t="str">
        <f>IF(OR(Registro_Compras!$C$140="",Registro_Compras!$O$140=""),"",IF(Registro_Compras!$F$140="NOTA DE CREDITO","IGV - Cuenta Propia (Credito Fiscal)","Cuentas por Pagar Comerciales - Terceros (Emitidas)"))</f>
        <v/>
      </c>
      <c r="E1231" s="20" t="str">
        <f>""</f>
        <v/>
      </c>
      <c r="F1231" s="20" t="str">
        <f>IF($C1231="","",IF(Registro_Compras!$F$140="NOTA DE CREDITO",ROUND(ABS(Registro_Compras!$K$140*Registro_Compras!$N$140),2),IF(Registro_Compras!$F$140="RHE",(ROUND(Registro_Compras!$L$140*Registro_Compras!$N$140,2)-ROUND(Registro_Compras!$V$140*Registro_Compras!$N$140,2)),Registro_Compras!$O$140)))</f>
        <v/>
      </c>
      <c r="G1231" t="str">
        <f>IF($C1231="","",IF(Registro_Compras!$F$140="NOTA DE CREDITO","Por la nota de credito "&amp;Registro_Compras!$C$140&amp;" de "&amp;Registro_Compras!$E$140&amp;" [PATRON POR CONFIRMAR CON CONTADOR]",IF(Registro_Compras!$F$140="RHE","Por el registro del recibo por honorarios "&amp;Registro_Compras!$C$140&amp;" de "&amp;Registro_Compras!$E$140&amp;" [PATRON POR CONFIRMAR CON CONTADOR]","Por el registro de la factura "&amp;Registro_Compras!$C$140&amp;" de "&amp;Registro_Compras!$E$140)))</f>
        <v/>
      </c>
      <c r="H1231" t="str">
        <f>IF($C1231="","",Registro_Compras!$C$140)</f>
        <v/>
      </c>
    </row>
    <row r="1232" spans="1:8" x14ac:dyDescent="0.25">
      <c r="A1232" s="25" t="str">
        <f>IF($C1232="","",Registro_Compras!$B$140)</f>
        <v/>
      </c>
      <c r="B1232" t="str">
        <f>IF($C1232="","","C"&amp;TEXT(INT((ROW()-5)/9)+1,"000")&amp;"-2")</f>
        <v/>
      </c>
      <c r="C1232" t="str">
        <f>IF(OR(Registro_Compras!$C$140="",Registro_Compras!$O$140=""),"",IF(Registro_Compras!$AB$140="ADMINISTRATIVO","94","95"))</f>
        <v/>
      </c>
      <c r="D1232" t="str">
        <f>IF(OR(Registro_Compras!$C$140="",Registro_Compras!$O$140=""),"",IF(Registro_Compras!$AB$140="ADMINISTRATIVO","Gastos Administrativos","Gastos de Venta y Operacion"))</f>
        <v/>
      </c>
      <c r="E1232" s="20" t="str">
        <f>IF($C1232="","",IF(Registro_Compras!$F$140="NOTA DE CREDITO","",IF(Registro_Compras!$F$140="RHE",ROUND(Registro_Compras!$L$140*Registro_Compras!$N$140,2),ROUND(Registro_Compras!$J$140*Registro_Compras!$N$140,2))))</f>
        <v/>
      </c>
      <c r="F1232" s="20" t="str">
        <f>IF($C1232="","",IF(Registro_Compras!$F$140="NOTA DE CREDITO",ROUND(ABS(Registro_Compras!$J$140*Registro_Compras!$N$140),2),""))</f>
        <v/>
      </c>
      <c r="G1232" t="str">
        <f>IF($C1232="","","Por el destino del gasto")</f>
        <v/>
      </c>
      <c r="H1232" t="str">
        <f>IF($C1232="","",Registro_Compras!$C$140)</f>
        <v/>
      </c>
    </row>
    <row r="1233" spans="1:8" x14ac:dyDescent="0.25">
      <c r="A1233" s="25" t="str">
        <f>IF($C1233="","",Registro_Compras!$B$140)</f>
        <v/>
      </c>
      <c r="B1233" t="str">
        <f>IF($C1233="","","C"&amp;TEXT(INT((ROW()-5)/9)+1,"000")&amp;"-2")</f>
        <v/>
      </c>
      <c r="C1233" t="str">
        <f>IF(OR(Registro_Compras!$C$140="",Registro_Compras!$O$140=""),"","79/791")</f>
        <v/>
      </c>
      <c r="D1233" t="str">
        <f>IF(OR(Registro_Compras!$C$140="",Registro_Compras!$O$140=""),"","Cargas Imputables a Cuentas de Costos y Gastos")</f>
        <v/>
      </c>
      <c r="E1233" s="20" t="str">
        <f>IF($C1233="","",IF(Registro_Compras!$F$140="NOTA DE CREDITO",ROUND(ABS(Registro_Compras!$J$140*Registro_Compras!$N$140),2),""))</f>
        <v/>
      </c>
      <c r="F1233" s="20" t="str">
        <f>IF($C1233="","",IF(Registro_Compras!$F$140="NOTA DE CREDITO","",IF(Registro_Compras!$F$140="RHE",ROUND(Registro_Compras!$L$140*Registro_Compras!$N$140,2),ROUND(Registro_Compras!$J$140*Registro_Compras!$N$140,2))))</f>
        <v/>
      </c>
      <c r="G1233" t="str">
        <f>IF($C1233="","","Por el destino del gasto")</f>
        <v/>
      </c>
      <c r="H1233" t="str">
        <f>IF($C1233="","",Registro_Compras!$C$140)</f>
        <v/>
      </c>
    </row>
    <row r="1234" spans="1:8" x14ac:dyDescent="0.25">
      <c r="A1234" s="25" t="str">
        <f>IF($C1234="","",Registro_Compras!$X$140)</f>
        <v/>
      </c>
      <c r="B1234" t="str">
        <f>IF($C1234="","","C"&amp;TEXT(INT((ROW()-5)/9)+1,"000")&amp;"-3")</f>
        <v/>
      </c>
      <c r="C1234" t="str">
        <f>IF(OR(Registro_Compras!$C$140="",Registro_Compras!$O$140="",Registro_Compras!$R$140&lt;&gt;"SI",Registro_Compras!$X$140=""),"","4212")</f>
        <v/>
      </c>
      <c r="D1234" t="str">
        <f>IF(OR(Registro_Compras!$C$140="",Registro_Compras!$O$140=""),"","Cuentas por Pagar Comerciales - Terceros")</f>
        <v/>
      </c>
      <c r="E1234" s="20" t="str">
        <f>IF($C1234="","",Registro_Compras!$S$140)</f>
        <v/>
      </c>
      <c r="F1234" s="20" t="str">
        <f>""</f>
        <v/>
      </c>
      <c r="G1234" t="str">
        <f>IF($C1234="","","Por el deposito de la detraccion en el Banco de la Nacion")</f>
        <v/>
      </c>
      <c r="H1234" t="str">
        <f>IF($C1234="","",Registro_Compras!$C$140)</f>
        <v/>
      </c>
    </row>
    <row r="1235" spans="1:8" x14ac:dyDescent="0.25">
      <c r="A1235" s="25" t="str">
        <f>IF($C1235="","",Registro_Compras!$X$140)</f>
        <v/>
      </c>
      <c r="B1235" t="str">
        <f>IF($C1235="","","C"&amp;TEXT(INT((ROW()-5)/9)+1,"000")&amp;"-3")</f>
        <v/>
      </c>
      <c r="C1235" t="str">
        <f>IF(OR(Registro_Compras!$C$140="",Registro_Compras!$O$140="",Registro_Compras!$R$140&lt;&gt;"SI",Registro_Compras!$X$140=""),"","1041")</f>
        <v/>
      </c>
      <c r="D1235" t="str">
        <f>IF(OR(Registro_Compras!$C$140="",Registro_Compras!$O$140=""),"","Efectivo y Equivalentes - Cta. Cte. Operativa")</f>
        <v/>
      </c>
      <c r="E1235" s="20" t="str">
        <f>""</f>
        <v/>
      </c>
      <c r="F1235" s="20" t="str">
        <f>IF($C1235="","",Registro_Compras!$S$140)</f>
        <v/>
      </c>
      <c r="G1235" t="str">
        <f>IF($C1235="","","Por el deposito de la detraccion en el Banco de la Nacion")</f>
        <v/>
      </c>
      <c r="H1235" t="str">
        <f>IF($C1235="","",Registro_Compras!$C$140)</f>
        <v/>
      </c>
    </row>
    <row r="1236" spans="1:8" x14ac:dyDescent="0.25">
      <c r="A1236" s="25" t="str">
        <f>IF($C1236="","",Registro_Compras!$Y$140)</f>
        <v/>
      </c>
      <c r="B1236" t="str">
        <f>IF($C1236="","","C"&amp;TEXT(INT((ROW()-5)/9)+1,"000")&amp;"-4")</f>
        <v/>
      </c>
      <c r="C1236" t="str">
        <f>IF(OR(Registro_Compras!$C$140="",Registro_Compras!$O$140="",Registro_Compras!$Y$140="",Registro_Compras!$F$140="NOTA DE CREDITO"),"","4212")</f>
        <v/>
      </c>
      <c r="D1236" t="str">
        <f>IF(OR(Registro_Compras!$C$140="",Registro_Compras!$O$140=""),"","Cuentas por Pagar Comerciales - Terceros")</f>
        <v/>
      </c>
      <c r="E1236" s="20" t="str">
        <f>IF($C1236="","",IF(Registro_Compras!$F$140="RHE",(ROUND(Registro_Compras!$L$140*Registro_Compras!$N$140,2)-ROUND(Registro_Compras!$V$140*Registro_Compras!$N$140,2)),ROUND(Registro_Compras!$O$140-Registro_Compras!$S$140,2)))</f>
        <v/>
      </c>
      <c r="F1236" s="20" t="str">
        <f>""</f>
        <v/>
      </c>
      <c r="G1236" t="str">
        <f>IF($C1236="","","Por la cancelacion del saldo al proveedor")</f>
        <v/>
      </c>
      <c r="H1236" t="str">
        <f>IF($C1236="","",Registro_Compras!$C$140)</f>
        <v/>
      </c>
    </row>
    <row r="1237" spans="1:8" x14ac:dyDescent="0.25">
      <c r="A1237" s="25" t="str">
        <f>IF($C1237="","",Registro_Compras!$Y$140)</f>
        <v/>
      </c>
      <c r="B1237" t="str">
        <f>IF($C1237="","","C"&amp;TEXT(INT((ROW()-5)/9)+1,"000")&amp;"-4")</f>
        <v/>
      </c>
      <c r="C1237" t="str">
        <f>IF(OR(Registro_Compras!$C$140="",Registro_Compras!$O$140="",Registro_Compras!$Y$140="",Registro_Compras!$F$140="NOTA DE CREDITO"),"","1041")</f>
        <v/>
      </c>
      <c r="D1237" t="str">
        <f>IF(OR(Registro_Compras!$C$140="",Registro_Compras!$O$140=""),"","Efectivo y Equivalentes - Cta. Cte. Operativa")</f>
        <v/>
      </c>
      <c r="E1237" s="20" t="str">
        <f>""</f>
        <v/>
      </c>
      <c r="F1237" s="20" t="str">
        <f>IF($C1237="","",IF(Registro_Compras!$F$140="RHE",(ROUND(Registro_Compras!$L$140*Registro_Compras!$N$140,2)-ROUND(Registro_Compras!$V$140*Registro_Compras!$N$140,2)),ROUND(Registro_Compras!$O$140-Registro_Compras!$S$140,2)))</f>
        <v/>
      </c>
      <c r="G1237" t="str">
        <f>IF($C1237="","","Por la cancelacion del saldo al proveedor")</f>
        <v/>
      </c>
      <c r="H1237" t="str">
        <f>IF($C1237="","",Registro_Compras!$C$140)</f>
        <v/>
      </c>
    </row>
    <row r="1238" spans="1:8" x14ac:dyDescent="0.25">
      <c r="A1238" s="25" t="str">
        <f>IF($C1238="","",Registro_Compras!$B$141)</f>
        <v/>
      </c>
      <c r="B1238" t="str">
        <f>IF($C1238="","","C"&amp;TEXT(INT((ROW()-5)/9)+1,"000")&amp;"-1")</f>
        <v/>
      </c>
      <c r="C1238" t="str">
        <f>IF(OR(Registro_Compras!$C$141="",Registro_Compras!$O$141=""),"",IF(Registro_Compras!$F$141="NOTA DE CREDITO","4212",IF(Registro_Compras!$M$141="","63",Registro_Compras!$M$141)))</f>
        <v/>
      </c>
      <c r="D1238" t="str">
        <f>IF(OR(Registro_Compras!$C$141="",Registro_Compras!$O$141=""),"",IF(Registro_Compras!$F$141="NOTA DE CREDITO","Cuentas por Pagar Comerciales - Terceros (Emitidas)",IF(Registro_Compras!$F$141="RHE","Honorarios Profesionales - Servicios de Terceros","Gastos de Servicios Prestados por Terceros")))</f>
        <v/>
      </c>
      <c r="E1238" s="20" t="str">
        <f>IF($C1238="","",IF(Registro_Compras!$F$141="NOTA DE CREDITO",ABS(Registro_Compras!$O$141),IF(Registro_Compras!$F$141="RHE",ROUND(Registro_Compras!$L$141*Registro_Compras!$N$141,2),ROUND(Registro_Compras!$J$141*Registro_Compras!$N$141,2))))</f>
        <v/>
      </c>
      <c r="F1238" s="20" t="str">
        <f>""</f>
        <v/>
      </c>
      <c r="G1238" t="str">
        <f>IF($C1238="","",IF(Registro_Compras!$F$141="NOTA DE CREDITO","Por la nota de credito "&amp;Registro_Compras!$C$141&amp;" de "&amp;Registro_Compras!$E$141&amp;" [PATRON POR CONFIRMAR CON CONTADOR]",IF(Registro_Compras!$F$141="RHE","Por el registro del recibo por honorarios "&amp;Registro_Compras!$C$141&amp;" de "&amp;Registro_Compras!$E$141&amp;" [PATRON POR CONFIRMAR CON CONTADOR]","Por el registro de la factura "&amp;Registro_Compras!$C$141&amp;" de "&amp;Registro_Compras!$E$141)))</f>
        <v/>
      </c>
      <c r="H1238" t="str">
        <f>IF($C1238="","",Registro_Compras!$C$141)</f>
        <v/>
      </c>
    </row>
    <row r="1239" spans="1:8" x14ac:dyDescent="0.25">
      <c r="A1239" s="25" t="str">
        <f>IF($C1239="","",Registro_Compras!$B$141)</f>
        <v/>
      </c>
      <c r="B1239" t="str">
        <f>IF($C1239="","","C"&amp;TEXT(INT((ROW()-5)/9)+1,"000")&amp;"-1")</f>
        <v/>
      </c>
      <c r="C1239" t="str">
        <f>IF(OR(Registro_Compras!$C$141="",Registro_Compras!$O$141=""),"",IF(Registro_Compras!$F$141="RHE",IF(Registro_Compras!$V$141=0,"","4017"),IF(Registro_Compras!$F$141="NOTA DE CREDITO",IF(Registro_Compras!$M$141="","63",Registro_Compras!$M$141),IF(Registro_Compras!$K$141=0,"","40111"))))</f>
        <v/>
      </c>
      <c r="D1239" t="str">
        <f>IF(OR(Registro_Compras!$C$141="",Registro_Compras!$O$141=""),"",IF(Registro_Compras!$F$141="RHE","Retencion Renta 4ta Categoria por Pagar",IF(Registro_Compras!$F$141="NOTA DE CREDITO","Gastos de Servicios Prestados por Terceros","IGV - Cuenta Propia (Credito Fiscal)")))</f>
        <v/>
      </c>
      <c r="E1239" s="20" t="str">
        <f>IF($C1239="","",IF(Registro_Compras!$F$141="FACTURA",ROUND(Registro_Compras!$K$141*Registro_Compras!$N$141,2),""))</f>
        <v/>
      </c>
      <c r="F1239" s="20" t="str">
        <f>IF($C1239="","",IF(Registro_Compras!$F$141="RHE",ROUND(Registro_Compras!$V$141*Registro_Compras!$N$141,2),IF(Registro_Compras!$F$141="NOTA DE CREDITO",ROUND(ABS(Registro_Compras!$J$141*Registro_Compras!$N$141),2),"")))</f>
        <v/>
      </c>
      <c r="G1239" t="str">
        <f>IF($C1239="","",IF(Registro_Compras!$F$141="NOTA DE CREDITO","Por la nota de credito "&amp;Registro_Compras!$C$141&amp;" de "&amp;Registro_Compras!$E$141&amp;" [PATRON POR CONFIRMAR CON CONTADOR]",IF(Registro_Compras!$F$141="RHE","Por el registro del recibo por honorarios "&amp;Registro_Compras!$C$141&amp;" de "&amp;Registro_Compras!$E$141&amp;" [PATRON POR CONFIRMAR CON CONTADOR]","Por el registro de la factura "&amp;Registro_Compras!$C$141&amp;" de "&amp;Registro_Compras!$E$141)))</f>
        <v/>
      </c>
      <c r="H1239" t="str">
        <f>IF($C1239="","",Registro_Compras!$C$141)</f>
        <v/>
      </c>
    </row>
    <row r="1240" spans="1:8" x14ac:dyDescent="0.25">
      <c r="A1240" s="25" t="str">
        <f>IF($C1240="","",Registro_Compras!$B$141)</f>
        <v/>
      </c>
      <c r="B1240" t="str">
        <f>IF($C1240="","","C"&amp;TEXT(INT((ROW()-5)/9)+1,"000")&amp;"-1")</f>
        <v/>
      </c>
      <c r="C1240" t="str">
        <f>IF(OR(Registro_Compras!$C$141="",Registro_Compras!$O$141=""),"",IF(Registro_Compras!$F$141="NOTA DE CREDITO",IF(Registro_Compras!$K$141=0,"","40111"),"4212"))</f>
        <v/>
      </c>
      <c r="D1240" t="str">
        <f>IF(OR(Registro_Compras!$C$141="",Registro_Compras!$O$141=""),"",IF(Registro_Compras!$F$141="NOTA DE CREDITO","IGV - Cuenta Propia (Credito Fiscal)","Cuentas por Pagar Comerciales - Terceros (Emitidas)"))</f>
        <v/>
      </c>
      <c r="E1240" s="20" t="str">
        <f>""</f>
        <v/>
      </c>
      <c r="F1240" s="20" t="str">
        <f>IF($C1240="","",IF(Registro_Compras!$F$141="NOTA DE CREDITO",ROUND(ABS(Registro_Compras!$K$141*Registro_Compras!$N$141),2),IF(Registro_Compras!$F$141="RHE",(ROUND(Registro_Compras!$L$141*Registro_Compras!$N$141,2)-ROUND(Registro_Compras!$V$141*Registro_Compras!$N$141,2)),Registro_Compras!$O$141)))</f>
        <v/>
      </c>
      <c r="G1240" t="str">
        <f>IF($C1240="","",IF(Registro_Compras!$F$141="NOTA DE CREDITO","Por la nota de credito "&amp;Registro_Compras!$C$141&amp;" de "&amp;Registro_Compras!$E$141&amp;" [PATRON POR CONFIRMAR CON CONTADOR]",IF(Registro_Compras!$F$141="RHE","Por el registro del recibo por honorarios "&amp;Registro_Compras!$C$141&amp;" de "&amp;Registro_Compras!$E$141&amp;" [PATRON POR CONFIRMAR CON CONTADOR]","Por el registro de la factura "&amp;Registro_Compras!$C$141&amp;" de "&amp;Registro_Compras!$E$141)))</f>
        <v/>
      </c>
      <c r="H1240" t="str">
        <f>IF($C1240="","",Registro_Compras!$C$141)</f>
        <v/>
      </c>
    </row>
    <row r="1241" spans="1:8" x14ac:dyDescent="0.25">
      <c r="A1241" s="25" t="str">
        <f>IF($C1241="","",Registro_Compras!$B$141)</f>
        <v/>
      </c>
      <c r="B1241" t="str">
        <f>IF($C1241="","","C"&amp;TEXT(INT((ROW()-5)/9)+1,"000")&amp;"-2")</f>
        <v/>
      </c>
      <c r="C1241" t="str">
        <f>IF(OR(Registro_Compras!$C$141="",Registro_Compras!$O$141=""),"",IF(Registro_Compras!$AB$141="ADMINISTRATIVO","94","95"))</f>
        <v/>
      </c>
      <c r="D1241" t="str">
        <f>IF(OR(Registro_Compras!$C$141="",Registro_Compras!$O$141=""),"",IF(Registro_Compras!$AB$141="ADMINISTRATIVO","Gastos Administrativos","Gastos de Venta y Operacion"))</f>
        <v/>
      </c>
      <c r="E1241" s="20" t="str">
        <f>IF($C1241="","",IF(Registro_Compras!$F$141="NOTA DE CREDITO","",IF(Registro_Compras!$F$141="RHE",ROUND(Registro_Compras!$L$141*Registro_Compras!$N$141,2),ROUND(Registro_Compras!$J$141*Registro_Compras!$N$141,2))))</f>
        <v/>
      </c>
      <c r="F1241" s="20" t="str">
        <f>IF($C1241="","",IF(Registro_Compras!$F$141="NOTA DE CREDITO",ROUND(ABS(Registro_Compras!$J$141*Registro_Compras!$N$141),2),""))</f>
        <v/>
      </c>
      <c r="G1241" t="str">
        <f>IF($C1241="","","Por el destino del gasto")</f>
        <v/>
      </c>
      <c r="H1241" t="str">
        <f>IF($C1241="","",Registro_Compras!$C$141)</f>
        <v/>
      </c>
    </row>
    <row r="1242" spans="1:8" x14ac:dyDescent="0.25">
      <c r="A1242" s="25" t="str">
        <f>IF($C1242="","",Registro_Compras!$B$141)</f>
        <v/>
      </c>
      <c r="B1242" t="str">
        <f>IF($C1242="","","C"&amp;TEXT(INT((ROW()-5)/9)+1,"000")&amp;"-2")</f>
        <v/>
      </c>
      <c r="C1242" t="str">
        <f>IF(OR(Registro_Compras!$C$141="",Registro_Compras!$O$141=""),"","79/791")</f>
        <v/>
      </c>
      <c r="D1242" t="str">
        <f>IF(OR(Registro_Compras!$C$141="",Registro_Compras!$O$141=""),"","Cargas Imputables a Cuentas de Costos y Gastos")</f>
        <v/>
      </c>
      <c r="E1242" s="20" t="str">
        <f>IF($C1242="","",IF(Registro_Compras!$F$141="NOTA DE CREDITO",ROUND(ABS(Registro_Compras!$J$141*Registro_Compras!$N$141),2),""))</f>
        <v/>
      </c>
      <c r="F1242" s="20" t="str">
        <f>IF($C1242="","",IF(Registro_Compras!$F$141="NOTA DE CREDITO","",IF(Registro_Compras!$F$141="RHE",ROUND(Registro_Compras!$L$141*Registro_Compras!$N$141,2),ROUND(Registro_Compras!$J$141*Registro_Compras!$N$141,2))))</f>
        <v/>
      </c>
      <c r="G1242" t="str">
        <f>IF($C1242="","","Por el destino del gasto")</f>
        <v/>
      </c>
      <c r="H1242" t="str">
        <f>IF($C1242="","",Registro_Compras!$C$141)</f>
        <v/>
      </c>
    </row>
    <row r="1243" spans="1:8" x14ac:dyDescent="0.25">
      <c r="A1243" s="25" t="str">
        <f>IF($C1243="","",Registro_Compras!$X$141)</f>
        <v/>
      </c>
      <c r="B1243" t="str">
        <f>IF($C1243="","","C"&amp;TEXT(INT((ROW()-5)/9)+1,"000")&amp;"-3")</f>
        <v/>
      </c>
      <c r="C1243" t="str">
        <f>IF(OR(Registro_Compras!$C$141="",Registro_Compras!$O$141="",Registro_Compras!$R$141&lt;&gt;"SI",Registro_Compras!$X$141=""),"","4212")</f>
        <v/>
      </c>
      <c r="D1243" t="str">
        <f>IF(OR(Registro_Compras!$C$141="",Registro_Compras!$O$141=""),"","Cuentas por Pagar Comerciales - Terceros")</f>
        <v/>
      </c>
      <c r="E1243" s="20" t="str">
        <f>IF($C1243="","",Registro_Compras!$S$141)</f>
        <v/>
      </c>
      <c r="F1243" s="20" t="str">
        <f>""</f>
        <v/>
      </c>
      <c r="G1243" t="str">
        <f>IF($C1243="","","Por el deposito de la detraccion en el Banco de la Nacion")</f>
        <v/>
      </c>
      <c r="H1243" t="str">
        <f>IF($C1243="","",Registro_Compras!$C$141)</f>
        <v/>
      </c>
    </row>
    <row r="1244" spans="1:8" x14ac:dyDescent="0.25">
      <c r="A1244" s="25" t="str">
        <f>IF($C1244="","",Registro_Compras!$X$141)</f>
        <v/>
      </c>
      <c r="B1244" t="str">
        <f>IF($C1244="","","C"&amp;TEXT(INT((ROW()-5)/9)+1,"000")&amp;"-3")</f>
        <v/>
      </c>
      <c r="C1244" t="str">
        <f>IF(OR(Registro_Compras!$C$141="",Registro_Compras!$O$141="",Registro_Compras!$R$141&lt;&gt;"SI",Registro_Compras!$X$141=""),"","1041")</f>
        <v/>
      </c>
      <c r="D1244" t="str">
        <f>IF(OR(Registro_Compras!$C$141="",Registro_Compras!$O$141=""),"","Efectivo y Equivalentes - Cta. Cte. Operativa")</f>
        <v/>
      </c>
      <c r="E1244" s="20" t="str">
        <f>""</f>
        <v/>
      </c>
      <c r="F1244" s="20" t="str">
        <f>IF($C1244="","",Registro_Compras!$S$141)</f>
        <v/>
      </c>
      <c r="G1244" t="str">
        <f>IF($C1244="","","Por el deposito de la detraccion en el Banco de la Nacion")</f>
        <v/>
      </c>
      <c r="H1244" t="str">
        <f>IF($C1244="","",Registro_Compras!$C$141)</f>
        <v/>
      </c>
    </row>
    <row r="1245" spans="1:8" x14ac:dyDescent="0.25">
      <c r="A1245" s="25" t="str">
        <f>IF($C1245="","",Registro_Compras!$Y$141)</f>
        <v/>
      </c>
      <c r="B1245" t="str">
        <f>IF($C1245="","","C"&amp;TEXT(INT((ROW()-5)/9)+1,"000")&amp;"-4")</f>
        <v/>
      </c>
      <c r="C1245" t="str">
        <f>IF(OR(Registro_Compras!$C$141="",Registro_Compras!$O$141="",Registro_Compras!$Y$141="",Registro_Compras!$F$141="NOTA DE CREDITO"),"","4212")</f>
        <v/>
      </c>
      <c r="D1245" t="str">
        <f>IF(OR(Registro_Compras!$C$141="",Registro_Compras!$O$141=""),"","Cuentas por Pagar Comerciales - Terceros")</f>
        <v/>
      </c>
      <c r="E1245" s="20" t="str">
        <f>IF($C1245="","",IF(Registro_Compras!$F$141="RHE",(ROUND(Registro_Compras!$L$141*Registro_Compras!$N$141,2)-ROUND(Registro_Compras!$V$141*Registro_Compras!$N$141,2)),ROUND(Registro_Compras!$O$141-Registro_Compras!$S$141,2)))</f>
        <v/>
      </c>
      <c r="F1245" s="20" t="str">
        <f>""</f>
        <v/>
      </c>
      <c r="G1245" t="str">
        <f>IF($C1245="","","Por la cancelacion del saldo al proveedor")</f>
        <v/>
      </c>
      <c r="H1245" t="str">
        <f>IF($C1245="","",Registro_Compras!$C$141)</f>
        <v/>
      </c>
    </row>
    <row r="1246" spans="1:8" x14ac:dyDescent="0.25">
      <c r="A1246" s="25" t="str">
        <f>IF($C1246="","",Registro_Compras!$Y$141)</f>
        <v/>
      </c>
      <c r="B1246" t="str">
        <f>IF($C1246="","","C"&amp;TEXT(INT((ROW()-5)/9)+1,"000")&amp;"-4")</f>
        <v/>
      </c>
      <c r="C1246" t="str">
        <f>IF(OR(Registro_Compras!$C$141="",Registro_Compras!$O$141="",Registro_Compras!$Y$141="",Registro_Compras!$F$141="NOTA DE CREDITO"),"","1041")</f>
        <v/>
      </c>
      <c r="D1246" t="str">
        <f>IF(OR(Registro_Compras!$C$141="",Registro_Compras!$O$141=""),"","Efectivo y Equivalentes - Cta. Cte. Operativa")</f>
        <v/>
      </c>
      <c r="E1246" s="20" t="str">
        <f>""</f>
        <v/>
      </c>
      <c r="F1246" s="20" t="str">
        <f>IF($C1246="","",IF(Registro_Compras!$F$141="RHE",(ROUND(Registro_Compras!$L$141*Registro_Compras!$N$141,2)-ROUND(Registro_Compras!$V$141*Registro_Compras!$N$141,2)),ROUND(Registro_Compras!$O$141-Registro_Compras!$S$141,2)))</f>
        <v/>
      </c>
      <c r="G1246" t="str">
        <f>IF($C1246="","","Por la cancelacion del saldo al proveedor")</f>
        <v/>
      </c>
      <c r="H1246" t="str">
        <f>IF($C1246="","",Registro_Compras!$C$141)</f>
        <v/>
      </c>
    </row>
    <row r="1247" spans="1:8" x14ac:dyDescent="0.25">
      <c r="A1247" s="25" t="str">
        <f>IF($C1247="","",Registro_Compras!$B$142)</f>
        <v/>
      </c>
      <c r="B1247" t="str">
        <f>IF($C1247="","","C"&amp;TEXT(INT((ROW()-5)/9)+1,"000")&amp;"-1")</f>
        <v/>
      </c>
      <c r="C1247" t="str">
        <f>IF(OR(Registro_Compras!$C$142="",Registro_Compras!$O$142=""),"",IF(Registro_Compras!$F$142="NOTA DE CREDITO","4212",IF(Registro_Compras!$M$142="","63",Registro_Compras!$M$142)))</f>
        <v/>
      </c>
      <c r="D1247" t="str">
        <f>IF(OR(Registro_Compras!$C$142="",Registro_Compras!$O$142=""),"",IF(Registro_Compras!$F$142="NOTA DE CREDITO","Cuentas por Pagar Comerciales - Terceros (Emitidas)",IF(Registro_Compras!$F$142="RHE","Honorarios Profesionales - Servicios de Terceros","Gastos de Servicios Prestados por Terceros")))</f>
        <v/>
      </c>
      <c r="E1247" s="20" t="str">
        <f>IF($C1247="","",IF(Registro_Compras!$F$142="NOTA DE CREDITO",ABS(Registro_Compras!$O$142),IF(Registro_Compras!$F$142="RHE",ROUND(Registro_Compras!$L$142*Registro_Compras!$N$142,2),ROUND(Registro_Compras!$J$142*Registro_Compras!$N$142,2))))</f>
        <v/>
      </c>
      <c r="F1247" s="20" t="str">
        <f>""</f>
        <v/>
      </c>
      <c r="G1247" t="str">
        <f>IF($C1247="","",IF(Registro_Compras!$F$142="NOTA DE CREDITO","Por la nota de credito "&amp;Registro_Compras!$C$142&amp;" de "&amp;Registro_Compras!$E$142&amp;" [PATRON POR CONFIRMAR CON CONTADOR]",IF(Registro_Compras!$F$142="RHE","Por el registro del recibo por honorarios "&amp;Registro_Compras!$C$142&amp;" de "&amp;Registro_Compras!$E$142&amp;" [PATRON POR CONFIRMAR CON CONTADOR]","Por el registro de la factura "&amp;Registro_Compras!$C$142&amp;" de "&amp;Registro_Compras!$E$142)))</f>
        <v/>
      </c>
      <c r="H1247" t="str">
        <f>IF($C1247="","",Registro_Compras!$C$142)</f>
        <v/>
      </c>
    </row>
    <row r="1248" spans="1:8" x14ac:dyDescent="0.25">
      <c r="A1248" s="25" t="str">
        <f>IF($C1248="","",Registro_Compras!$B$142)</f>
        <v/>
      </c>
      <c r="B1248" t="str">
        <f>IF($C1248="","","C"&amp;TEXT(INT((ROW()-5)/9)+1,"000")&amp;"-1")</f>
        <v/>
      </c>
      <c r="C1248" t="str">
        <f>IF(OR(Registro_Compras!$C$142="",Registro_Compras!$O$142=""),"",IF(Registro_Compras!$F$142="RHE",IF(Registro_Compras!$V$142=0,"","4017"),IF(Registro_Compras!$F$142="NOTA DE CREDITO",IF(Registro_Compras!$M$142="","63",Registro_Compras!$M$142),IF(Registro_Compras!$K$142=0,"","40111"))))</f>
        <v/>
      </c>
      <c r="D1248" t="str">
        <f>IF(OR(Registro_Compras!$C$142="",Registro_Compras!$O$142=""),"",IF(Registro_Compras!$F$142="RHE","Retencion Renta 4ta Categoria por Pagar",IF(Registro_Compras!$F$142="NOTA DE CREDITO","Gastos de Servicios Prestados por Terceros","IGV - Cuenta Propia (Credito Fiscal)")))</f>
        <v/>
      </c>
      <c r="E1248" s="20" t="str">
        <f>IF($C1248="","",IF(Registro_Compras!$F$142="FACTURA",ROUND(Registro_Compras!$K$142*Registro_Compras!$N$142,2),""))</f>
        <v/>
      </c>
      <c r="F1248" s="20" t="str">
        <f>IF($C1248="","",IF(Registro_Compras!$F$142="RHE",ROUND(Registro_Compras!$V$142*Registro_Compras!$N$142,2),IF(Registro_Compras!$F$142="NOTA DE CREDITO",ROUND(ABS(Registro_Compras!$J$142*Registro_Compras!$N$142),2),"")))</f>
        <v/>
      </c>
      <c r="G1248" t="str">
        <f>IF($C1248="","",IF(Registro_Compras!$F$142="NOTA DE CREDITO","Por la nota de credito "&amp;Registro_Compras!$C$142&amp;" de "&amp;Registro_Compras!$E$142&amp;" [PATRON POR CONFIRMAR CON CONTADOR]",IF(Registro_Compras!$F$142="RHE","Por el registro del recibo por honorarios "&amp;Registro_Compras!$C$142&amp;" de "&amp;Registro_Compras!$E$142&amp;" [PATRON POR CONFIRMAR CON CONTADOR]","Por el registro de la factura "&amp;Registro_Compras!$C$142&amp;" de "&amp;Registro_Compras!$E$142)))</f>
        <v/>
      </c>
      <c r="H1248" t="str">
        <f>IF($C1248="","",Registro_Compras!$C$142)</f>
        <v/>
      </c>
    </row>
    <row r="1249" spans="1:8" x14ac:dyDescent="0.25">
      <c r="A1249" s="25" t="str">
        <f>IF($C1249="","",Registro_Compras!$B$142)</f>
        <v/>
      </c>
      <c r="B1249" t="str">
        <f>IF($C1249="","","C"&amp;TEXT(INT((ROW()-5)/9)+1,"000")&amp;"-1")</f>
        <v/>
      </c>
      <c r="C1249" t="str">
        <f>IF(OR(Registro_Compras!$C$142="",Registro_Compras!$O$142=""),"",IF(Registro_Compras!$F$142="NOTA DE CREDITO",IF(Registro_Compras!$K$142=0,"","40111"),"4212"))</f>
        <v/>
      </c>
      <c r="D1249" t="str">
        <f>IF(OR(Registro_Compras!$C$142="",Registro_Compras!$O$142=""),"",IF(Registro_Compras!$F$142="NOTA DE CREDITO","IGV - Cuenta Propia (Credito Fiscal)","Cuentas por Pagar Comerciales - Terceros (Emitidas)"))</f>
        <v/>
      </c>
      <c r="E1249" s="20" t="str">
        <f>""</f>
        <v/>
      </c>
      <c r="F1249" s="20" t="str">
        <f>IF($C1249="","",IF(Registro_Compras!$F$142="NOTA DE CREDITO",ROUND(ABS(Registro_Compras!$K$142*Registro_Compras!$N$142),2),IF(Registro_Compras!$F$142="RHE",(ROUND(Registro_Compras!$L$142*Registro_Compras!$N$142,2)-ROUND(Registro_Compras!$V$142*Registro_Compras!$N$142,2)),Registro_Compras!$O$142)))</f>
        <v/>
      </c>
      <c r="G1249" t="str">
        <f>IF($C1249="","",IF(Registro_Compras!$F$142="NOTA DE CREDITO","Por la nota de credito "&amp;Registro_Compras!$C$142&amp;" de "&amp;Registro_Compras!$E$142&amp;" [PATRON POR CONFIRMAR CON CONTADOR]",IF(Registro_Compras!$F$142="RHE","Por el registro del recibo por honorarios "&amp;Registro_Compras!$C$142&amp;" de "&amp;Registro_Compras!$E$142&amp;" [PATRON POR CONFIRMAR CON CONTADOR]","Por el registro de la factura "&amp;Registro_Compras!$C$142&amp;" de "&amp;Registro_Compras!$E$142)))</f>
        <v/>
      </c>
      <c r="H1249" t="str">
        <f>IF($C1249="","",Registro_Compras!$C$142)</f>
        <v/>
      </c>
    </row>
    <row r="1250" spans="1:8" x14ac:dyDescent="0.25">
      <c r="A1250" s="25" t="str">
        <f>IF($C1250="","",Registro_Compras!$B$142)</f>
        <v/>
      </c>
      <c r="B1250" t="str">
        <f>IF($C1250="","","C"&amp;TEXT(INT((ROW()-5)/9)+1,"000")&amp;"-2")</f>
        <v/>
      </c>
      <c r="C1250" t="str">
        <f>IF(OR(Registro_Compras!$C$142="",Registro_Compras!$O$142=""),"",IF(Registro_Compras!$AB$142="ADMINISTRATIVO","94","95"))</f>
        <v/>
      </c>
      <c r="D1250" t="str">
        <f>IF(OR(Registro_Compras!$C$142="",Registro_Compras!$O$142=""),"",IF(Registro_Compras!$AB$142="ADMINISTRATIVO","Gastos Administrativos","Gastos de Venta y Operacion"))</f>
        <v/>
      </c>
      <c r="E1250" s="20" t="str">
        <f>IF($C1250="","",IF(Registro_Compras!$F$142="NOTA DE CREDITO","",IF(Registro_Compras!$F$142="RHE",ROUND(Registro_Compras!$L$142*Registro_Compras!$N$142,2),ROUND(Registro_Compras!$J$142*Registro_Compras!$N$142,2))))</f>
        <v/>
      </c>
      <c r="F1250" s="20" t="str">
        <f>IF($C1250="","",IF(Registro_Compras!$F$142="NOTA DE CREDITO",ROUND(ABS(Registro_Compras!$J$142*Registro_Compras!$N$142),2),""))</f>
        <v/>
      </c>
      <c r="G1250" t="str">
        <f>IF($C1250="","","Por el destino del gasto")</f>
        <v/>
      </c>
      <c r="H1250" t="str">
        <f>IF($C1250="","",Registro_Compras!$C$142)</f>
        <v/>
      </c>
    </row>
    <row r="1251" spans="1:8" x14ac:dyDescent="0.25">
      <c r="A1251" s="25" t="str">
        <f>IF($C1251="","",Registro_Compras!$B$142)</f>
        <v/>
      </c>
      <c r="B1251" t="str">
        <f>IF($C1251="","","C"&amp;TEXT(INT((ROW()-5)/9)+1,"000")&amp;"-2")</f>
        <v/>
      </c>
      <c r="C1251" t="str">
        <f>IF(OR(Registro_Compras!$C$142="",Registro_Compras!$O$142=""),"","79/791")</f>
        <v/>
      </c>
      <c r="D1251" t="str">
        <f>IF(OR(Registro_Compras!$C$142="",Registro_Compras!$O$142=""),"","Cargas Imputables a Cuentas de Costos y Gastos")</f>
        <v/>
      </c>
      <c r="E1251" s="20" t="str">
        <f>IF($C1251="","",IF(Registro_Compras!$F$142="NOTA DE CREDITO",ROUND(ABS(Registro_Compras!$J$142*Registro_Compras!$N$142),2),""))</f>
        <v/>
      </c>
      <c r="F1251" s="20" t="str">
        <f>IF($C1251="","",IF(Registro_Compras!$F$142="NOTA DE CREDITO","",IF(Registro_Compras!$F$142="RHE",ROUND(Registro_Compras!$L$142*Registro_Compras!$N$142,2),ROUND(Registro_Compras!$J$142*Registro_Compras!$N$142,2))))</f>
        <v/>
      </c>
      <c r="G1251" t="str">
        <f>IF($C1251="","","Por el destino del gasto")</f>
        <v/>
      </c>
      <c r="H1251" t="str">
        <f>IF($C1251="","",Registro_Compras!$C$142)</f>
        <v/>
      </c>
    </row>
    <row r="1252" spans="1:8" x14ac:dyDescent="0.25">
      <c r="A1252" s="25" t="str">
        <f>IF($C1252="","",Registro_Compras!$X$142)</f>
        <v/>
      </c>
      <c r="B1252" t="str">
        <f>IF($C1252="","","C"&amp;TEXT(INT((ROW()-5)/9)+1,"000")&amp;"-3")</f>
        <v/>
      </c>
      <c r="C1252" t="str">
        <f>IF(OR(Registro_Compras!$C$142="",Registro_Compras!$O$142="",Registro_Compras!$R$142&lt;&gt;"SI",Registro_Compras!$X$142=""),"","4212")</f>
        <v/>
      </c>
      <c r="D1252" t="str">
        <f>IF(OR(Registro_Compras!$C$142="",Registro_Compras!$O$142=""),"","Cuentas por Pagar Comerciales - Terceros")</f>
        <v/>
      </c>
      <c r="E1252" s="20" t="str">
        <f>IF($C1252="","",Registro_Compras!$S$142)</f>
        <v/>
      </c>
      <c r="F1252" s="20" t="str">
        <f>""</f>
        <v/>
      </c>
      <c r="G1252" t="str">
        <f>IF($C1252="","","Por el deposito de la detraccion en el Banco de la Nacion")</f>
        <v/>
      </c>
      <c r="H1252" t="str">
        <f>IF($C1252="","",Registro_Compras!$C$142)</f>
        <v/>
      </c>
    </row>
    <row r="1253" spans="1:8" x14ac:dyDescent="0.25">
      <c r="A1253" s="25" t="str">
        <f>IF($C1253="","",Registro_Compras!$X$142)</f>
        <v/>
      </c>
      <c r="B1253" t="str">
        <f>IF($C1253="","","C"&amp;TEXT(INT((ROW()-5)/9)+1,"000")&amp;"-3")</f>
        <v/>
      </c>
      <c r="C1253" t="str">
        <f>IF(OR(Registro_Compras!$C$142="",Registro_Compras!$O$142="",Registro_Compras!$R$142&lt;&gt;"SI",Registro_Compras!$X$142=""),"","1041")</f>
        <v/>
      </c>
      <c r="D1253" t="str">
        <f>IF(OR(Registro_Compras!$C$142="",Registro_Compras!$O$142=""),"","Efectivo y Equivalentes - Cta. Cte. Operativa")</f>
        <v/>
      </c>
      <c r="E1253" s="20" t="str">
        <f>""</f>
        <v/>
      </c>
      <c r="F1253" s="20" t="str">
        <f>IF($C1253="","",Registro_Compras!$S$142)</f>
        <v/>
      </c>
      <c r="G1253" t="str">
        <f>IF($C1253="","","Por el deposito de la detraccion en el Banco de la Nacion")</f>
        <v/>
      </c>
      <c r="H1253" t="str">
        <f>IF($C1253="","",Registro_Compras!$C$142)</f>
        <v/>
      </c>
    </row>
    <row r="1254" spans="1:8" x14ac:dyDescent="0.25">
      <c r="A1254" s="25" t="str">
        <f>IF($C1254="","",Registro_Compras!$Y$142)</f>
        <v/>
      </c>
      <c r="B1254" t="str">
        <f>IF($C1254="","","C"&amp;TEXT(INT((ROW()-5)/9)+1,"000")&amp;"-4")</f>
        <v/>
      </c>
      <c r="C1254" t="str">
        <f>IF(OR(Registro_Compras!$C$142="",Registro_Compras!$O$142="",Registro_Compras!$Y$142="",Registro_Compras!$F$142="NOTA DE CREDITO"),"","4212")</f>
        <v/>
      </c>
      <c r="D1254" t="str">
        <f>IF(OR(Registro_Compras!$C$142="",Registro_Compras!$O$142=""),"","Cuentas por Pagar Comerciales - Terceros")</f>
        <v/>
      </c>
      <c r="E1254" s="20" t="str">
        <f>IF($C1254="","",IF(Registro_Compras!$F$142="RHE",(ROUND(Registro_Compras!$L$142*Registro_Compras!$N$142,2)-ROUND(Registro_Compras!$V$142*Registro_Compras!$N$142,2)),ROUND(Registro_Compras!$O$142-Registro_Compras!$S$142,2)))</f>
        <v/>
      </c>
      <c r="F1254" s="20" t="str">
        <f>""</f>
        <v/>
      </c>
      <c r="G1254" t="str">
        <f>IF($C1254="","","Por la cancelacion del saldo al proveedor")</f>
        <v/>
      </c>
      <c r="H1254" t="str">
        <f>IF($C1254="","",Registro_Compras!$C$142)</f>
        <v/>
      </c>
    </row>
    <row r="1255" spans="1:8" x14ac:dyDescent="0.25">
      <c r="A1255" s="25" t="str">
        <f>IF($C1255="","",Registro_Compras!$Y$142)</f>
        <v/>
      </c>
      <c r="B1255" t="str">
        <f>IF($C1255="","","C"&amp;TEXT(INT((ROW()-5)/9)+1,"000")&amp;"-4")</f>
        <v/>
      </c>
      <c r="C1255" t="str">
        <f>IF(OR(Registro_Compras!$C$142="",Registro_Compras!$O$142="",Registro_Compras!$Y$142="",Registro_Compras!$F$142="NOTA DE CREDITO"),"","1041")</f>
        <v/>
      </c>
      <c r="D1255" t="str">
        <f>IF(OR(Registro_Compras!$C$142="",Registro_Compras!$O$142=""),"","Efectivo y Equivalentes - Cta. Cte. Operativa")</f>
        <v/>
      </c>
      <c r="E1255" s="20" t="str">
        <f>""</f>
        <v/>
      </c>
      <c r="F1255" s="20" t="str">
        <f>IF($C1255="","",IF(Registro_Compras!$F$142="RHE",(ROUND(Registro_Compras!$L$142*Registro_Compras!$N$142,2)-ROUND(Registro_Compras!$V$142*Registro_Compras!$N$142,2)),ROUND(Registro_Compras!$O$142-Registro_Compras!$S$142,2)))</f>
        <v/>
      </c>
      <c r="G1255" t="str">
        <f>IF($C1255="","","Por la cancelacion del saldo al proveedor")</f>
        <v/>
      </c>
      <c r="H1255" t="str">
        <f>IF($C1255="","",Registro_Compras!$C$142)</f>
        <v/>
      </c>
    </row>
    <row r="1256" spans="1:8" x14ac:dyDescent="0.25">
      <c r="A1256" s="25" t="str">
        <f>IF($C1256="","",Registro_Compras!$B$143)</f>
        <v/>
      </c>
      <c r="B1256" t="str">
        <f>IF($C1256="","","C"&amp;TEXT(INT((ROW()-5)/9)+1,"000")&amp;"-1")</f>
        <v/>
      </c>
      <c r="C1256" t="str">
        <f>IF(OR(Registro_Compras!$C$143="",Registro_Compras!$O$143=""),"",IF(Registro_Compras!$F$143="NOTA DE CREDITO","4212",IF(Registro_Compras!$M$143="","63",Registro_Compras!$M$143)))</f>
        <v/>
      </c>
      <c r="D1256" t="str">
        <f>IF(OR(Registro_Compras!$C$143="",Registro_Compras!$O$143=""),"",IF(Registro_Compras!$F$143="NOTA DE CREDITO","Cuentas por Pagar Comerciales - Terceros (Emitidas)",IF(Registro_Compras!$F$143="RHE","Honorarios Profesionales - Servicios de Terceros","Gastos de Servicios Prestados por Terceros")))</f>
        <v/>
      </c>
      <c r="E1256" s="20" t="str">
        <f>IF($C1256="","",IF(Registro_Compras!$F$143="NOTA DE CREDITO",ABS(Registro_Compras!$O$143),IF(Registro_Compras!$F$143="RHE",ROUND(Registro_Compras!$L$143*Registro_Compras!$N$143,2),ROUND(Registro_Compras!$J$143*Registro_Compras!$N$143,2))))</f>
        <v/>
      </c>
      <c r="F1256" s="20" t="str">
        <f>""</f>
        <v/>
      </c>
      <c r="G1256" t="str">
        <f>IF($C1256="","",IF(Registro_Compras!$F$143="NOTA DE CREDITO","Por la nota de credito "&amp;Registro_Compras!$C$143&amp;" de "&amp;Registro_Compras!$E$143&amp;" [PATRON POR CONFIRMAR CON CONTADOR]",IF(Registro_Compras!$F$143="RHE","Por el registro del recibo por honorarios "&amp;Registro_Compras!$C$143&amp;" de "&amp;Registro_Compras!$E$143&amp;" [PATRON POR CONFIRMAR CON CONTADOR]","Por el registro de la factura "&amp;Registro_Compras!$C$143&amp;" de "&amp;Registro_Compras!$E$143)))</f>
        <v/>
      </c>
      <c r="H1256" t="str">
        <f>IF($C1256="","",Registro_Compras!$C$143)</f>
        <v/>
      </c>
    </row>
    <row r="1257" spans="1:8" x14ac:dyDescent="0.25">
      <c r="A1257" s="25" t="str">
        <f>IF($C1257="","",Registro_Compras!$B$143)</f>
        <v/>
      </c>
      <c r="B1257" t="str">
        <f>IF($C1257="","","C"&amp;TEXT(INT((ROW()-5)/9)+1,"000")&amp;"-1")</f>
        <v/>
      </c>
      <c r="C1257" t="str">
        <f>IF(OR(Registro_Compras!$C$143="",Registro_Compras!$O$143=""),"",IF(Registro_Compras!$F$143="RHE",IF(Registro_Compras!$V$143=0,"","4017"),IF(Registro_Compras!$F$143="NOTA DE CREDITO",IF(Registro_Compras!$M$143="","63",Registro_Compras!$M$143),IF(Registro_Compras!$K$143=0,"","40111"))))</f>
        <v/>
      </c>
      <c r="D1257" t="str">
        <f>IF(OR(Registro_Compras!$C$143="",Registro_Compras!$O$143=""),"",IF(Registro_Compras!$F$143="RHE","Retencion Renta 4ta Categoria por Pagar",IF(Registro_Compras!$F$143="NOTA DE CREDITO","Gastos de Servicios Prestados por Terceros","IGV - Cuenta Propia (Credito Fiscal)")))</f>
        <v/>
      </c>
      <c r="E1257" s="20" t="str">
        <f>IF($C1257="","",IF(Registro_Compras!$F$143="FACTURA",ROUND(Registro_Compras!$K$143*Registro_Compras!$N$143,2),""))</f>
        <v/>
      </c>
      <c r="F1257" s="20" t="str">
        <f>IF($C1257="","",IF(Registro_Compras!$F$143="RHE",ROUND(Registro_Compras!$V$143*Registro_Compras!$N$143,2),IF(Registro_Compras!$F$143="NOTA DE CREDITO",ROUND(ABS(Registro_Compras!$J$143*Registro_Compras!$N$143),2),"")))</f>
        <v/>
      </c>
      <c r="G1257" t="str">
        <f>IF($C1257="","",IF(Registro_Compras!$F$143="NOTA DE CREDITO","Por la nota de credito "&amp;Registro_Compras!$C$143&amp;" de "&amp;Registro_Compras!$E$143&amp;" [PATRON POR CONFIRMAR CON CONTADOR]",IF(Registro_Compras!$F$143="RHE","Por el registro del recibo por honorarios "&amp;Registro_Compras!$C$143&amp;" de "&amp;Registro_Compras!$E$143&amp;" [PATRON POR CONFIRMAR CON CONTADOR]","Por el registro de la factura "&amp;Registro_Compras!$C$143&amp;" de "&amp;Registro_Compras!$E$143)))</f>
        <v/>
      </c>
      <c r="H1257" t="str">
        <f>IF($C1257="","",Registro_Compras!$C$143)</f>
        <v/>
      </c>
    </row>
    <row r="1258" spans="1:8" x14ac:dyDescent="0.25">
      <c r="A1258" s="25" t="str">
        <f>IF($C1258="","",Registro_Compras!$B$143)</f>
        <v/>
      </c>
      <c r="B1258" t="str">
        <f>IF($C1258="","","C"&amp;TEXT(INT((ROW()-5)/9)+1,"000")&amp;"-1")</f>
        <v/>
      </c>
      <c r="C1258" t="str">
        <f>IF(OR(Registro_Compras!$C$143="",Registro_Compras!$O$143=""),"",IF(Registro_Compras!$F$143="NOTA DE CREDITO",IF(Registro_Compras!$K$143=0,"","40111"),"4212"))</f>
        <v/>
      </c>
      <c r="D1258" t="str">
        <f>IF(OR(Registro_Compras!$C$143="",Registro_Compras!$O$143=""),"",IF(Registro_Compras!$F$143="NOTA DE CREDITO","IGV - Cuenta Propia (Credito Fiscal)","Cuentas por Pagar Comerciales - Terceros (Emitidas)"))</f>
        <v/>
      </c>
      <c r="E1258" s="20" t="str">
        <f>""</f>
        <v/>
      </c>
      <c r="F1258" s="20" t="str">
        <f>IF($C1258="","",IF(Registro_Compras!$F$143="NOTA DE CREDITO",ROUND(ABS(Registro_Compras!$K$143*Registro_Compras!$N$143),2),IF(Registro_Compras!$F$143="RHE",(ROUND(Registro_Compras!$L$143*Registro_Compras!$N$143,2)-ROUND(Registro_Compras!$V$143*Registro_Compras!$N$143,2)),Registro_Compras!$O$143)))</f>
        <v/>
      </c>
      <c r="G1258" t="str">
        <f>IF($C1258="","",IF(Registro_Compras!$F$143="NOTA DE CREDITO","Por la nota de credito "&amp;Registro_Compras!$C$143&amp;" de "&amp;Registro_Compras!$E$143&amp;" [PATRON POR CONFIRMAR CON CONTADOR]",IF(Registro_Compras!$F$143="RHE","Por el registro del recibo por honorarios "&amp;Registro_Compras!$C$143&amp;" de "&amp;Registro_Compras!$E$143&amp;" [PATRON POR CONFIRMAR CON CONTADOR]","Por el registro de la factura "&amp;Registro_Compras!$C$143&amp;" de "&amp;Registro_Compras!$E$143)))</f>
        <v/>
      </c>
      <c r="H1258" t="str">
        <f>IF($C1258="","",Registro_Compras!$C$143)</f>
        <v/>
      </c>
    </row>
    <row r="1259" spans="1:8" x14ac:dyDescent="0.25">
      <c r="A1259" s="25" t="str">
        <f>IF($C1259="","",Registro_Compras!$B$143)</f>
        <v/>
      </c>
      <c r="B1259" t="str">
        <f>IF($C1259="","","C"&amp;TEXT(INT((ROW()-5)/9)+1,"000")&amp;"-2")</f>
        <v/>
      </c>
      <c r="C1259" t="str">
        <f>IF(OR(Registro_Compras!$C$143="",Registro_Compras!$O$143=""),"",IF(Registro_Compras!$AB$143="ADMINISTRATIVO","94","95"))</f>
        <v/>
      </c>
      <c r="D1259" t="str">
        <f>IF(OR(Registro_Compras!$C$143="",Registro_Compras!$O$143=""),"",IF(Registro_Compras!$AB$143="ADMINISTRATIVO","Gastos Administrativos","Gastos de Venta y Operacion"))</f>
        <v/>
      </c>
      <c r="E1259" s="20" t="str">
        <f>IF($C1259="","",IF(Registro_Compras!$F$143="NOTA DE CREDITO","",IF(Registro_Compras!$F$143="RHE",ROUND(Registro_Compras!$L$143*Registro_Compras!$N$143,2),ROUND(Registro_Compras!$J$143*Registro_Compras!$N$143,2))))</f>
        <v/>
      </c>
      <c r="F1259" s="20" t="str">
        <f>IF($C1259="","",IF(Registro_Compras!$F$143="NOTA DE CREDITO",ROUND(ABS(Registro_Compras!$J$143*Registro_Compras!$N$143),2),""))</f>
        <v/>
      </c>
      <c r="G1259" t="str">
        <f>IF($C1259="","","Por el destino del gasto")</f>
        <v/>
      </c>
      <c r="H1259" t="str">
        <f>IF($C1259="","",Registro_Compras!$C$143)</f>
        <v/>
      </c>
    </row>
    <row r="1260" spans="1:8" x14ac:dyDescent="0.25">
      <c r="A1260" s="25" t="str">
        <f>IF($C1260="","",Registro_Compras!$B$143)</f>
        <v/>
      </c>
      <c r="B1260" t="str">
        <f>IF($C1260="","","C"&amp;TEXT(INT((ROW()-5)/9)+1,"000")&amp;"-2")</f>
        <v/>
      </c>
      <c r="C1260" t="str">
        <f>IF(OR(Registro_Compras!$C$143="",Registro_Compras!$O$143=""),"","79/791")</f>
        <v/>
      </c>
      <c r="D1260" t="str">
        <f>IF(OR(Registro_Compras!$C$143="",Registro_Compras!$O$143=""),"","Cargas Imputables a Cuentas de Costos y Gastos")</f>
        <v/>
      </c>
      <c r="E1260" s="20" t="str">
        <f>IF($C1260="","",IF(Registro_Compras!$F$143="NOTA DE CREDITO",ROUND(ABS(Registro_Compras!$J$143*Registro_Compras!$N$143),2),""))</f>
        <v/>
      </c>
      <c r="F1260" s="20" t="str">
        <f>IF($C1260="","",IF(Registro_Compras!$F$143="NOTA DE CREDITO","",IF(Registro_Compras!$F$143="RHE",ROUND(Registro_Compras!$L$143*Registro_Compras!$N$143,2),ROUND(Registro_Compras!$J$143*Registro_Compras!$N$143,2))))</f>
        <v/>
      </c>
      <c r="G1260" t="str">
        <f>IF($C1260="","","Por el destino del gasto")</f>
        <v/>
      </c>
      <c r="H1260" t="str">
        <f>IF($C1260="","",Registro_Compras!$C$143)</f>
        <v/>
      </c>
    </row>
    <row r="1261" spans="1:8" x14ac:dyDescent="0.25">
      <c r="A1261" s="25" t="str">
        <f>IF($C1261="","",Registro_Compras!$X$143)</f>
        <v/>
      </c>
      <c r="B1261" t="str">
        <f>IF($C1261="","","C"&amp;TEXT(INT((ROW()-5)/9)+1,"000")&amp;"-3")</f>
        <v/>
      </c>
      <c r="C1261" t="str">
        <f>IF(OR(Registro_Compras!$C$143="",Registro_Compras!$O$143="",Registro_Compras!$R$143&lt;&gt;"SI",Registro_Compras!$X$143=""),"","4212")</f>
        <v/>
      </c>
      <c r="D1261" t="str">
        <f>IF(OR(Registro_Compras!$C$143="",Registro_Compras!$O$143=""),"","Cuentas por Pagar Comerciales - Terceros")</f>
        <v/>
      </c>
      <c r="E1261" s="20" t="str">
        <f>IF($C1261="","",Registro_Compras!$S$143)</f>
        <v/>
      </c>
      <c r="F1261" s="20" t="str">
        <f>""</f>
        <v/>
      </c>
      <c r="G1261" t="str">
        <f>IF($C1261="","","Por el deposito de la detraccion en el Banco de la Nacion")</f>
        <v/>
      </c>
      <c r="H1261" t="str">
        <f>IF($C1261="","",Registro_Compras!$C$143)</f>
        <v/>
      </c>
    </row>
    <row r="1262" spans="1:8" x14ac:dyDescent="0.25">
      <c r="A1262" s="25" t="str">
        <f>IF($C1262="","",Registro_Compras!$X$143)</f>
        <v/>
      </c>
      <c r="B1262" t="str">
        <f>IF($C1262="","","C"&amp;TEXT(INT((ROW()-5)/9)+1,"000")&amp;"-3")</f>
        <v/>
      </c>
      <c r="C1262" t="str">
        <f>IF(OR(Registro_Compras!$C$143="",Registro_Compras!$O$143="",Registro_Compras!$R$143&lt;&gt;"SI",Registro_Compras!$X$143=""),"","1041")</f>
        <v/>
      </c>
      <c r="D1262" t="str">
        <f>IF(OR(Registro_Compras!$C$143="",Registro_Compras!$O$143=""),"","Efectivo y Equivalentes - Cta. Cte. Operativa")</f>
        <v/>
      </c>
      <c r="E1262" s="20" t="str">
        <f>""</f>
        <v/>
      </c>
      <c r="F1262" s="20" t="str">
        <f>IF($C1262="","",Registro_Compras!$S$143)</f>
        <v/>
      </c>
      <c r="G1262" t="str">
        <f>IF($C1262="","","Por el deposito de la detraccion en el Banco de la Nacion")</f>
        <v/>
      </c>
      <c r="H1262" t="str">
        <f>IF($C1262="","",Registro_Compras!$C$143)</f>
        <v/>
      </c>
    </row>
    <row r="1263" spans="1:8" x14ac:dyDescent="0.25">
      <c r="A1263" s="25" t="str">
        <f>IF($C1263="","",Registro_Compras!$Y$143)</f>
        <v/>
      </c>
      <c r="B1263" t="str">
        <f>IF($C1263="","","C"&amp;TEXT(INT((ROW()-5)/9)+1,"000")&amp;"-4")</f>
        <v/>
      </c>
      <c r="C1263" t="str">
        <f>IF(OR(Registro_Compras!$C$143="",Registro_Compras!$O$143="",Registro_Compras!$Y$143="",Registro_Compras!$F$143="NOTA DE CREDITO"),"","4212")</f>
        <v/>
      </c>
      <c r="D1263" t="str">
        <f>IF(OR(Registro_Compras!$C$143="",Registro_Compras!$O$143=""),"","Cuentas por Pagar Comerciales - Terceros")</f>
        <v/>
      </c>
      <c r="E1263" s="20" t="str">
        <f>IF($C1263="","",IF(Registro_Compras!$F$143="RHE",(ROUND(Registro_Compras!$L$143*Registro_Compras!$N$143,2)-ROUND(Registro_Compras!$V$143*Registro_Compras!$N$143,2)),ROUND(Registro_Compras!$O$143-Registro_Compras!$S$143,2)))</f>
        <v/>
      </c>
      <c r="F1263" s="20" t="str">
        <f>""</f>
        <v/>
      </c>
      <c r="G1263" t="str">
        <f>IF($C1263="","","Por la cancelacion del saldo al proveedor")</f>
        <v/>
      </c>
      <c r="H1263" t="str">
        <f>IF($C1263="","",Registro_Compras!$C$143)</f>
        <v/>
      </c>
    </row>
    <row r="1264" spans="1:8" x14ac:dyDescent="0.25">
      <c r="A1264" s="25" t="str">
        <f>IF($C1264="","",Registro_Compras!$Y$143)</f>
        <v/>
      </c>
      <c r="B1264" t="str">
        <f>IF($C1264="","","C"&amp;TEXT(INT((ROW()-5)/9)+1,"000")&amp;"-4")</f>
        <v/>
      </c>
      <c r="C1264" t="str">
        <f>IF(OR(Registro_Compras!$C$143="",Registro_Compras!$O$143="",Registro_Compras!$Y$143="",Registro_Compras!$F$143="NOTA DE CREDITO"),"","1041")</f>
        <v/>
      </c>
      <c r="D1264" t="str">
        <f>IF(OR(Registro_Compras!$C$143="",Registro_Compras!$O$143=""),"","Efectivo y Equivalentes - Cta. Cte. Operativa")</f>
        <v/>
      </c>
      <c r="E1264" s="20" t="str">
        <f>""</f>
        <v/>
      </c>
      <c r="F1264" s="20" t="str">
        <f>IF($C1264="","",IF(Registro_Compras!$F$143="RHE",(ROUND(Registro_Compras!$L$143*Registro_Compras!$N$143,2)-ROUND(Registro_Compras!$V$143*Registro_Compras!$N$143,2)),ROUND(Registro_Compras!$O$143-Registro_Compras!$S$143,2)))</f>
        <v/>
      </c>
      <c r="G1264" t="str">
        <f>IF($C1264="","","Por la cancelacion del saldo al proveedor")</f>
        <v/>
      </c>
      <c r="H1264" t="str">
        <f>IF($C1264="","",Registro_Compras!$C$143)</f>
        <v/>
      </c>
    </row>
    <row r="1265" spans="1:8" x14ac:dyDescent="0.25">
      <c r="A1265" s="25" t="str">
        <f>IF($C1265="","",Registro_Compras!$B$144)</f>
        <v/>
      </c>
      <c r="B1265" t="str">
        <f>IF($C1265="","","C"&amp;TEXT(INT((ROW()-5)/9)+1,"000")&amp;"-1")</f>
        <v/>
      </c>
      <c r="C1265" t="str">
        <f>IF(OR(Registro_Compras!$C$144="",Registro_Compras!$O$144=""),"",IF(Registro_Compras!$F$144="NOTA DE CREDITO","4212",IF(Registro_Compras!$M$144="","63",Registro_Compras!$M$144)))</f>
        <v/>
      </c>
      <c r="D1265" t="str">
        <f>IF(OR(Registro_Compras!$C$144="",Registro_Compras!$O$144=""),"",IF(Registro_Compras!$F$144="NOTA DE CREDITO","Cuentas por Pagar Comerciales - Terceros (Emitidas)",IF(Registro_Compras!$F$144="RHE","Honorarios Profesionales - Servicios de Terceros","Gastos de Servicios Prestados por Terceros")))</f>
        <v/>
      </c>
      <c r="E1265" s="20" t="str">
        <f>IF($C1265="","",IF(Registro_Compras!$F$144="NOTA DE CREDITO",ABS(Registro_Compras!$O$144),IF(Registro_Compras!$F$144="RHE",ROUND(Registro_Compras!$L$144*Registro_Compras!$N$144,2),ROUND(Registro_Compras!$J$144*Registro_Compras!$N$144,2))))</f>
        <v/>
      </c>
      <c r="F1265" s="20" t="str">
        <f>""</f>
        <v/>
      </c>
      <c r="G1265" t="str">
        <f>IF($C1265="","",IF(Registro_Compras!$F$144="NOTA DE CREDITO","Por la nota de credito "&amp;Registro_Compras!$C$144&amp;" de "&amp;Registro_Compras!$E$144&amp;" [PATRON POR CONFIRMAR CON CONTADOR]",IF(Registro_Compras!$F$144="RHE","Por el registro del recibo por honorarios "&amp;Registro_Compras!$C$144&amp;" de "&amp;Registro_Compras!$E$144&amp;" [PATRON POR CONFIRMAR CON CONTADOR]","Por el registro de la factura "&amp;Registro_Compras!$C$144&amp;" de "&amp;Registro_Compras!$E$144)))</f>
        <v/>
      </c>
      <c r="H1265" t="str">
        <f>IF($C1265="","",Registro_Compras!$C$144)</f>
        <v/>
      </c>
    </row>
    <row r="1266" spans="1:8" x14ac:dyDescent="0.25">
      <c r="A1266" s="25" t="str">
        <f>IF($C1266="","",Registro_Compras!$B$144)</f>
        <v/>
      </c>
      <c r="B1266" t="str">
        <f>IF($C1266="","","C"&amp;TEXT(INT((ROW()-5)/9)+1,"000")&amp;"-1")</f>
        <v/>
      </c>
      <c r="C1266" t="str">
        <f>IF(OR(Registro_Compras!$C$144="",Registro_Compras!$O$144=""),"",IF(Registro_Compras!$F$144="RHE",IF(Registro_Compras!$V$144=0,"","4017"),IF(Registro_Compras!$F$144="NOTA DE CREDITO",IF(Registro_Compras!$M$144="","63",Registro_Compras!$M$144),IF(Registro_Compras!$K$144=0,"","40111"))))</f>
        <v/>
      </c>
      <c r="D1266" t="str">
        <f>IF(OR(Registro_Compras!$C$144="",Registro_Compras!$O$144=""),"",IF(Registro_Compras!$F$144="RHE","Retencion Renta 4ta Categoria por Pagar",IF(Registro_Compras!$F$144="NOTA DE CREDITO","Gastos de Servicios Prestados por Terceros","IGV - Cuenta Propia (Credito Fiscal)")))</f>
        <v/>
      </c>
      <c r="E1266" s="20" t="str">
        <f>IF($C1266="","",IF(Registro_Compras!$F$144="FACTURA",ROUND(Registro_Compras!$K$144*Registro_Compras!$N$144,2),""))</f>
        <v/>
      </c>
      <c r="F1266" s="20" t="str">
        <f>IF($C1266="","",IF(Registro_Compras!$F$144="RHE",ROUND(Registro_Compras!$V$144*Registro_Compras!$N$144,2),IF(Registro_Compras!$F$144="NOTA DE CREDITO",ROUND(ABS(Registro_Compras!$J$144*Registro_Compras!$N$144),2),"")))</f>
        <v/>
      </c>
      <c r="G1266" t="str">
        <f>IF($C1266="","",IF(Registro_Compras!$F$144="NOTA DE CREDITO","Por la nota de credito "&amp;Registro_Compras!$C$144&amp;" de "&amp;Registro_Compras!$E$144&amp;" [PATRON POR CONFIRMAR CON CONTADOR]",IF(Registro_Compras!$F$144="RHE","Por el registro del recibo por honorarios "&amp;Registro_Compras!$C$144&amp;" de "&amp;Registro_Compras!$E$144&amp;" [PATRON POR CONFIRMAR CON CONTADOR]","Por el registro de la factura "&amp;Registro_Compras!$C$144&amp;" de "&amp;Registro_Compras!$E$144)))</f>
        <v/>
      </c>
      <c r="H1266" t="str">
        <f>IF($C1266="","",Registro_Compras!$C$144)</f>
        <v/>
      </c>
    </row>
    <row r="1267" spans="1:8" x14ac:dyDescent="0.25">
      <c r="A1267" s="25" t="str">
        <f>IF($C1267="","",Registro_Compras!$B$144)</f>
        <v/>
      </c>
      <c r="B1267" t="str">
        <f>IF($C1267="","","C"&amp;TEXT(INT((ROW()-5)/9)+1,"000")&amp;"-1")</f>
        <v/>
      </c>
      <c r="C1267" t="str">
        <f>IF(OR(Registro_Compras!$C$144="",Registro_Compras!$O$144=""),"",IF(Registro_Compras!$F$144="NOTA DE CREDITO",IF(Registro_Compras!$K$144=0,"","40111"),"4212"))</f>
        <v/>
      </c>
      <c r="D1267" t="str">
        <f>IF(OR(Registro_Compras!$C$144="",Registro_Compras!$O$144=""),"",IF(Registro_Compras!$F$144="NOTA DE CREDITO","IGV - Cuenta Propia (Credito Fiscal)","Cuentas por Pagar Comerciales - Terceros (Emitidas)"))</f>
        <v/>
      </c>
      <c r="E1267" s="20" t="str">
        <f>""</f>
        <v/>
      </c>
      <c r="F1267" s="20" t="str">
        <f>IF($C1267="","",IF(Registro_Compras!$F$144="NOTA DE CREDITO",ROUND(ABS(Registro_Compras!$K$144*Registro_Compras!$N$144),2),IF(Registro_Compras!$F$144="RHE",(ROUND(Registro_Compras!$L$144*Registro_Compras!$N$144,2)-ROUND(Registro_Compras!$V$144*Registro_Compras!$N$144,2)),Registro_Compras!$O$144)))</f>
        <v/>
      </c>
      <c r="G1267" t="str">
        <f>IF($C1267="","",IF(Registro_Compras!$F$144="NOTA DE CREDITO","Por la nota de credito "&amp;Registro_Compras!$C$144&amp;" de "&amp;Registro_Compras!$E$144&amp;" [PATRON POR CONFIRMAR CON CONTADOR]",IF(Registro_Compras!$F$144="RHE","Por el registro del recibo por honorarios "&amp;Registro_Compras!$C$144&amp;" de "&amp;Registro_Compras!$E$144&amp;" [PATRON POR CONFIRMAR CON CONTADOR]","Por el registro de la factura "&amp;Registro_Compras!$C$144&amp;" de "&amp;Registro_Compras!$E$144)))</f>
        <v/>
      </c>
      <c r="H1267" t="str">
        <f>IF($C1267="","",Registro_Compras!$C$144)</f>
        <v/>
      </c>
    </row>
    <row r="1268" spans="1:8" x14ac:dyDescent="0.25">
      <c r="A1268" s="25" t="str">
        <f>IF($C1268="","",Registro_Compras!$B$144)</f>
        <v/>
      </c>
      <c r="B1268" t="str">
        <f>IF($C1268="","","C"&amp;TEXT(INT((ROW()-5)/9)+1,"000")&amp;"-2")</f>
        <v/>
      </c>
      <c r="C1268" t="str">
        <f>IF(OR(Registro_Compras!$C$144="",Registro_Compras!$O$144=""),"",IF(Registro_Compras!$AB$144="ADMINISTRATIVO","94","95"))</f>
        <v/>
      </c>
      <c r="D1268" t="str">
        <f>IF(OR(Registro_Compras!$C$144="",Registro_Compras!$O$144=""),"",IF(Registro_Compras!$AB$144="ADMINISTRATIVO","Gastos Administrativos","Gastos de Venta y Operacion"))</f>
        <v/>
      </c>
      <c r="E1268" s="20" t="str">
        <f>IF($C1268="","",IF(Registro_Compras!$F$144="NOTA DE CREDITO","",IF(Registro_Compras!$F$144="RHE",ROUND(Registro_Compras!$L$144*Registro_Compras!$N$144,2),ROUND(Registro_Compras!$J$144*Registro_Compras!$N$144,2))))</f>
        <v/>
      </c>
      <c r="F1268" s="20" t="str">
        <f>IF($C1268="","",IF(Registro_Compras!$F$144="NOTA DE CREDITO",ROUND(ABS(Registro_Compras!$J$144*Registro_Compras!$N$144),2),""))</f>
        <v/>
      </c>
      <c r="G1268" t="str">
        <f>IF($C1268="","","Por el destino del gasto")</f>
        <v/>
      </c>
      <c r="H1268" t="str">
        <f>IF($C1268="","",Registro_Compras!$C$144)</f>
        <v/>
      </c>
    </row>
    <row r="1269" spans="1:8" x14ac:dyDescent="0.25">
      <c r="A1269" s="25" t="str">
        <f>IF($C1269="","",Registro_Compras!$B$144)</f>
        <v/>
      </c>
      <c r="B1269" t="str">
        <f>IF($C1269="","","C"&amp;TEXT(INT((ROW()-5)/9)+1,"000")&amp;"-2")</f>
        <v/>
      </c>
      <c r="C1269" t="str">
        <f>IF(OR(Registro_Compras!$C$144="",Registro_Compras!$O$144=""),"","79/791")</f>
        <v/>
      </c>
      <c r="D1269" t="str">
        <f>IF(OR(Registro_Compras!$C$144="",Registro_Compras!$O$144=""),"","Cargas Imputables a Cuentas de Costos y Gastos")</f>
        <v/>
      </c>
      <c r="E1269" s="20" t="str">
        <f>IF($C1269="","",IF(Registro_Compras!$F$144="NOTA DE CREDITO",ROUND(ABS(Registro_Compras!$J$144*Registro_Compras!$N$144),2),""))</f>
        <v/>
      </c>
      <c r="F1269" s="20" t="str">
        <f>IF($C1269="","",IF(Registro_Compras!$F$144="NOTA DE CREDITO","",IF(Registro_Compras!$F$144="RHE",ROUND(Registro_Compras!$L$144*Registro_Compras!$N$144,2),ROUND(Registro_Compras!$J$144*Registro_Compras!$N$144,2))))</f>
        <v/>
      </c>
      <c r="G1269" t="str">
        <f>IF($C1269="","","Por el destino del gasto")</f>
        <v/>
      </c>
      <c r="H1269" t="str">
        <f>IF($C1269="","",Registro_Compras!$C$144)</f>
        <v/>
      </c>
    </row>
    <row r="1270" spans="1:8" x14ac:dyDescent="0.25">
      <c r="A1270" s="25" t="str">
        <f>IF($C1270="","",Registro_Compras!$X$144)</f>
        <v/>
      </c>
      <c r="B1270" t="str">
        <f>IF($C1270="","","C"&amp;TEXT(INT((ROW()-5)/9)+1,"000")&amp;"-3")</f>
        <v/>
      </c>
      <c r="C1270" t="str">
        <f>IF(OR(Registro_Compras!$C$144="",Registro_Compras!$O$144="",Registro_Compras!$R$144&lt;&gt;"SI",Registro_Compras!$X$144=""),"","4212")</f>
        <v/>
      </c>
      <c r="D1270" t="str">
        <f>IF(OR(Registro_Compras!$C$144="",Registro_Compras!$O$144=""),"","Cuentas por Pagar Comerciales - Terceros")</f>
        <v/>
      </c>
      <c r="E1270" s="20" t="str">
        <f>IF($C1270="","",Registro_Compras!$S$144)</f>
        <v/>
      </c>
      <c r="F1270" s="20" t="str">
        <f>""</f>
        <v/>
      </c>
      <c r="G1270" t="str">
        <f>IF($C1270="","","Por el deposito de la detraccion en el Banco de la Nacion")</f>
        <v/>
      </c>
      <c r="H1270" t="str">
        <f>IF($C1270="","",Registro_Compras!$C$144)</f>
        <v/>
      </c>
    </row>
    <row r="1271" spans="1:8" x14ac:dyDescent="0.25">
      <c r="A1271" s="25" t="str">
        <f>IF($C1271="","",Registro_Compras!$X$144)</f>
        <v/>
      </c>
      <c r="B1271" t="str">
        <f>IF($C1271="","","C"&amp;TEXT(INT((ROW()-5)/9)+1,"000")&amp;"-3")</f>
        <v/>
      </c>
      <c r="C1271" t="str">
        <f>IF(OR(Registro_Compras!$C$144="",Registro_Compras!$O$144="",Registro_Compras!$R$144&lt;&gt;"SI",Registro_Compras!$X$144=""),"","1041")</f>
        <v/>
      </c>
      <c r="D1271" t="str">
        <f>IF(OR(Registro_Compras!$C$144="",Registro_Compras!$O$144=""),"","Efectivo y Equivalentes - Cta. Cte. Operativa")</f>
        <v/>
      </c>
      <c r="E1271" s="20" t="str">
        <f>""</f>
        <v/>
      </c>
      <c r="F1271" s="20" t="str">
        <f>IF($C1271="","",Registro_Compras!$S$144)</f>
        <v/>
      </c>
      <c r="G1271" t="str">
        <f>IF($C1271="","","Por el deposito de la detraccion en el Banco de la Nacion")</f>
        <v/>
      </c>
      <c r="H1271" t="str">
        <f>IF($C1271="","",Registro_Compras!$C$144)</f>
        <v/>
      </c>
    </row>
    <row r="1272" spans="1:8" x14ac:dyDescent="0.25">
      <c r="A1272" s="25" t="str">
        <f>IF($C1272="","",Registro_Compras!$Y$144)</f>
        <v/>
      </c>
      <c r="B1272" t="str">
        <f>IF($C1272="","","C"&amp;TEXT(INT((ROW()-5)/9)+1,"000")&amp;"-4")</f>
        <v/>
      </c>
      <c r="C1272" t="str">
        <f>IF(OR(Registro_Compras!$C$144="",Registro_Compras!$O$144="",Registro_Compras!$Y$144="",Registro_Compras!$F$144="NOTA DE CREDITO"),"","4212")</f>
        <v/>
      </c>
      <c r="D1272" t="str">
        <f>IF(OR(Registro_Compras!$C$144="",Registro_Compras!$O$144=""),"","Cuentas por Pagar Comerciales - Terceros")</f>
        <v/>
      </c>
      <c r="E1272" s="20" t="str">
        <f>IF($C1272="","",IF(Registro_Compras!$F$144="RHE",(ROUND(Registro_Compras!$L$144*Registro_Compras!$N$144,2)-ROUND(Registro_Compras!$V$144*Registro_Compras!$N$144,2)),ROUND(Registro_Compras!$O$144-Registro_Compras!$S$144,2)))</f>
        <v/>
      </c>
      <c r="F1272" s="20" t="str">
        <f>""</f>
        <v/>
      </c>
      <c r="G1272" t="str">
        <f>IF($C1272="","","Por la cancelacion del saldo al proveedor")</f>
        <v/>
      </c>
      <c r="H1272" t="str">
        <f>IF($C1272="","",Registro_Compras!$C$144)</f>
        <v/>
      </c>
    </row>
    <row r="1273" spans="1:8" x14ac:dyDescent="0.25">
      <c r="A1273" s="25" t="str">
        <f>IF($C1273="","",Registro_Compras!$Y$144)</f>
        <v/>
      </c>
      <c r="B1273" t="str">
        <f>IF($C1273="","","C"&amp;TEXT(INT((ROW()-5)/9)+1,"000")&amp;"-4")</f>
        <v/>
      </c>
      <c r="C1273" t="str">
        <f>IF(OR(Registro_Compras!$C$144="",Registro_Compras!$O$144="",Registro_Compras!$Y$144="",Registro_Compras!$F$144="NOTA DE CREDITO"),"","1041")</f>
        <v/>
      </c>
      <c r="D1273" t="str">
        <f>IF(OR(Registro_Compras!$C$144="",Registro_Compras!$O$144=""),"","Efectivo y Equivalentes - Cta. Cte. Operativa")</f>
        <v/>
      </c>
      <c r="E1273" s="20" t="str">
        <f>""</f>
        <v/>
      </c>
      <c r="F1273" s="20" t="str">
        <f>IF($C1273="","",IF(Registro_Compras!$F$144="RHE",(ROUND(Registro_Compras!$L$144*Registro_Compras!$N$144,2)-ROUND(Registro_Compras!$V$144*Registro_Compras!$N$144,2)),ROUND(Registro_Compras!$O$144-Registro_Compras!$S$144,2)))</f>
        <v/>
      </c>
      <c r="G1273" t="str">
        <f>IF($C1273="","","Por la cancelacion del saldo al proveedor")</f>
        <v/>
      </c>
      <c r="H1273" t="str">
        <f>IF($C1273="","",Registro_Compras!$C$144)</f>
        <v/>
      </c>
    </row>
    <row r="1274" spans="1:8" x14ac:dyDescent="0.25">
      <c r="A1274" s="25" t="str">
        <f>IF($C1274="","",Registro_Compras!$B$145)</f>
        <v/>
      </c>
      <c r="B1274" t="str">
        <f>IF($C1274="","","C"&amp;TEXT(INT((ROW()-5)/9)+1,"000")&amp;"-1")</f>
        <v/>
      </c>
      <c r="C1274" t="str">
        <f>IF(OR(Registro_Compras!$C$145="",Registro_Compras!$O$145=""),"",IF(Registro_Compras!$F$145="NOTA DE CREDITO","4212",IF(Registro_Compras!$M$145="","63",Registro_Compras!$M$145)))</f>
        <v/>
      </c>
      <c r="D1274" t="str">
        <f>IF(OR(Registro_Compras!$C$145="",Registro_Compras!$O$145=""),"",IF(Registro_Compras!$F$145="NOTA DE CREDITO","Cuentas por Pagar Comerciales - Terceros (Emitidas)",IF(Registro_Compras!$F$145="RHE","Honorarios Profesionales - Servicios de Terceros","Gastos de Servicios Prestados por Terceros")))</f>
        <v/>
      </c>
      <c r="E1274" s="20" t="str">
        <f>IF($C1274="","",IF(Registro_Compras!$F$145="NOTA DE CREDITO",ABS(Registro_Compras!$O$145),IF(Registro_Compras!$F$145="RHE",ROUND(Registro_Compras!$L$145*Registro_Compras!$N$145,2),ROUND(Registro_Compras!$J$145*Registro_Compras!$N$145,2))))</f>
        <v/>
      </c>
      <c r="F1274" s="20" t="str">
        <f>""</f>
        <v/>
      </c>
      <c r="G1274" t="str">
        <f>IF($C1274="","",IF(Registro_Compras!$F$145="NOTA DE CREDITO","Por la nota de credito "&amp;Registro_Compras!$C$145&amp;" de "&amp;Registro_Compras!$E$145&amp;" [PATRON POR CONFIRMAR CON CONTADOR]",IF(Registro_Compras!$F$145="RHE","Por el registro del recibo por honorarios "&amp;Registro_Compras!$C$145&amp;" de "&amp;Registro_Compras!$E$145&amp;" [PATRON POR CONFIRMAR CON CONTADOR]","Por el registro de la factura "&amp;Registro_Compras!$C$145&amp;" de "&amp;Registro_Compras!$E$145)))</f>
        <v/>
      </c>
      <c r="H1274" t="str">
        <f>IF($C1274="","",Registro_Compras!$C$145)</f>
        <v/>
      </c>
    </row>
    <row r="1275" spans="1:8" x14ac:dyDescent="0.25">
      <c r="A1275" s="25" t="str">
        <f>IF($C1275="","",Registro_Compras!$B$145)</f>
        <v/>
      </c>
      <c r="B1275" t="str">
        <f>IF($C1275="","","C"&amp;TEXT(INT((ROW()-5)/9)+1,"000")&amp;"-1")</f>
        <v/>
      </c>
      <c r="C1275" t="str">
        <f>IF(OR(Registro_Compras!$C$145="",Registro_Compras!$O$145=""),"",IF(Registro_Compras!$F$145="RHE",IF(Registro_Compras!$V$145=0,"","4017"),IF(Registro_Compras!$F$145="NOTA DE CREDITO",IF(Registro_Compras!$M$145="","63",Registro_Compras!$M$145),IF(Registro_Compras!$K$145=0,"","40111"))))</f>
        <v/>
      </c>
      <c r="D1275" t="str">
        <f>IF(OR(Registro_Compras!$C$145="",Registro_Compras!$O$145=""),"",IF(Registro_Compras!$F$145="RHE","Retencion Renta 4ta Categoria por Pagar",IF(Registro_Compras!$F$145="NOTA DE CREDITO","Gastos de Servicios Prestados por Terceros","IGV - Cuenta Propia (Credito Fiscal)")))</f>
        <v/>
      </c>
      <c r="E1275" s="20" t="str">
        <f>IF($C1275="","",IF(Registro_Compras!$F$145="FACTURA",ROUND(Registro_Compras!$K$145*Registro_Compras!$N$145,2),""))</f>
        <v/>
      </c>
      <c r="F1275" s="20" t="str">
        <f>IF($C1275="","",IF(Registro_Compras!$F$145="RHE",ROUND(Registro_Compras!$V$145*Registro_Compras!$N$145,2),IF(Registro_Compras!$F$145="NOTA DE CREDITO",ROUND(ABS(Registro_Compras!$J$145*Registro_Compras!$N$145),2),"")))</f>
        <v/>
      </c>
      <c r="G1275" t="str">
        <f>IF($C1275="","",IF(Registro_Compras!$F$145="NOTA DE CREDITO","Por la nota de credito "&amp;Registro_Compras!$C$145&amp;" de "&amp;Registro_Compras!$E$145&amp;" [PATRON POR CONFIRMAR CON CONTADOR]",IF(Registro_Compras!$F$145="RHE","Por el registro del recibo por honorarios "&amp;Registro_Compras!$C$145&amp;" de "&amp;Registro_Compras!$E$145&amp;" [PATRON POR CONFIRMAR CON CONTADOR]","Por el registro de la factura "&amp;Registro_Compras!$C$145&amp;" de "&amp;Registro_Compras!$E$145)))</f>
        <v/>
      </c>
      <c r="H1275" t="str">
        <f>IF($C1275="","",Registro_Compras!$C$145)</f>
        <v/>
      </c>
    </row>
    <row r="1276" spans="1:8" x14ac:dyDescent="0.25">
      <c r="A1276" s="25" t="str">
        <f>IF($C1276="","",Registro_Compras!$B$145)</f>
        <v/>
      </c>
      <c r="B1276" t="str">
        <f>IF($C1276="","","C"&amp;TEXT(INT((ROW()-5)/9)+1,"000")&amp;"-1")</f>
        <v/>
      </c>
      <c r="C1276" t="str">
        <f>IF(OR(Registro_Compras!$C$145="",Registro_Compras!$O$145=""),"",IF(Registro_Compras!$F$145="NOTA DE CREDITO",IF(Registro_Compras!$K$145=0,"","40111"),"4212"))</f>
        <v/>
      </c>
      <c r="D1276" t="str">
        <f>IF(OR(Registro_Compras!$C$145="",Registro_Compras!$O$145=""),"",IF(Registro_Compras!$F$145="NOTA DE CREDITO","IGV - Cuenta Propia (Credito Fiscal)","Cuentas por Pagar Comerciales - Terceros (Emitidas)"))</f>
        <v/>
      </c>
      <c r="E1276" s="20" t="str">
        <f>""</f>
        <v/>
      </c>
      <c r="F1276" s="20" t="str">
        <f>IF($C1276="","",IF(Registro_Compras!$F$145="NOTA DE CREDITO",ROUND(ABS(Registro_Compras!$K$145*Registro_Compras!$N$145),2),IF(Registro_Compras!$F$145="RHE",(ROUND(Registro_Compras!$L$145*Registro_Compras!$N$145,2)-ROUND(Registro_Compras!$V$145*Registro_Compras!$N$145,2)),Registro_Compras!$O$145)))</f>
        <v/>
      </c>
      <c r="G1276" t="str">
        <f>IF($C1276="","",IF(Registro_Compras!$F$145="NOTA DE CREDITO","Por la nota de credito "&amp;Registro_Compras!$C$145&amp;" de "&amp;Registro_Compras!$E$145&amp;" [PATRON POR CONFIRMAR CON CONTADOR]",IF(Registro_Compras!$F$145="RHE","Por el registro del recibo por honorarios "&amp;Registro_Compras!$C$145&amp;" de "&amp;Registro_Compras!$E$145&amp;" [PATRON POR CONFIRMAR CON CONTADOR]","Por el registro de la factura "&amp;Registro_Compras!$C$145&amp;" de "&amp;Registro_Compras!$E$145)))</f>
        <v/>
      </c>
      <c r="H1276" t="str">
        <f>IF($C1276="","",Registro_Compras!$C$145)</f>
        <v/>
      </c>
    </row>
    <row r="1277" spans="1:8" x14ac:dyDescent="0.25">
      <c r="A1277" s="25" t="str">
        <f>IF($C1277="","",Registro_Compras!$B$145)</f>
        <v/>
      </c>
      <c r="B1277" t="str">
        <f>IF($C1277="","","C"&amp;TEXT(INT((ROW()-5)/9)+1,"000")&amp;"-2")</f>
        <v/>
      </c>
      <c r="C1277" t="str">
        <f>IF(OR(Registro_Compras!$C$145="",Registro_Compras!$O$145=""),"",IF(Registro_Compras!$AB$145="ADMINISTRATIVO","94","95"))</f>
        <v/>
      </c>
      <c r="D1277" t="str">
        <f>IF(OR(Registro_Compras!$C$145="",Registro_Compras!$O$145=""),"",IF(Registro_Compras!$AB$145="ADMINISTRATIVO","Gastos Administrativos","Gastos de Venta y Operacion"))</f>
        <v/>
      </c>
      <c r="E1277" s="20" t="str">
        <f>IF($C1277="","",IF(Registro_Compras!$F$145="NOTA DE CREDITO","",IF(Registro_Compras!$F$145="RHE",ROUND(Registro_Compras!$L$145*Registro_Compras!$N$145,2),ROUND(Registro_Compras!$J$145*Registro_Compras!$N$145,2))))</f>
        <v/>
      </c>
      <c r="F1277" s="20" t="str">
        <f>IF($C1277="","",IF(Registro_Compras!$F$145="NOTA DE CREDITO",ROUND(ABS(Registro_Compras!$J$145*Registro_Compras!$N$145),2),""))</f>
        <v/>
      </c>
      <c r="G1277" t="str">
        <f>IF($C1277="","","Por el destino del gasto")</f>
        <v/>
      </c>
      <c r="H1277" t="str">
        <f>IF($C1277="","",Registro_Compras!$C$145)</f>
        <v/>
      </c>
    </row>
    <row r="1278" spans="1:8" x14ac:dyDescent="0.25">
      <c r="A1278" s="25" t="str">
        <f>IF($C1278="","",Registro_Compras!$B$145)</f>
        <v/>
      </c>
      <c r="B1278" t="str">
        <f>IF($C1278="","","C"&amp;TEXT(INT((ROW()-5)/9)+1,"000")&amp;"-2")</f>
        <v/>
      </c>
      <c r="C1278" t="str">
        <f>IF(OR(Registro_Compras!$C$145="",Registro_Compras!$O$145=""),"","79/791")</f>
        <v/>
      </c>
      <c r="D1278" t="str">
        <f>IF(OR(Registro_Compras!$C$145="",Registro_Compras!$O$145=""),"","Cargas Imputables a Cuentas de Costos y Gastos")</f>
        <v/>
      </c>
      <c r="E1278" s="20" t="str">
        <f>IF($C1278="","",IF(Registro_Compras!$F$145="NOTA DE CREDITO",ROUND(ABS(Registro_Compras!$J$145*Registro_Compras!$N$145),2),""))</f>
        <v/>
      </c>
      <c r="F1278" s="20" t="str">
        <f>IF($C1278="","",IF(Registro_Compras!$F$145="NOTA DE CREDITO","",IF(Registro_Compras!$F$145="RHE",ROUND(Registro_Compras!$L$145*Registro_Compras!$N$145,2),ROUND(Registro_Compras!$J$145*Registro_Compras!$N$145,2))))</f>
        <v/>
      </c>
      <c r="G1278" t="str">
        <f>IF($C1278="","","Por el destino del gasto")</f>
        <v/>
      </c>
      <c r="H1278" t="str">
        <f>IF($C1278="","",Registro_Compras!$C$145)</f>
        <v/>
      </c>
    </row>
    <row r="1279" spans="1:8" x14ac:dyDescent="0.25">
      <c r="A1279" s="25" t="str">
        <f>IF($C1279="","",Registro_Compras!$X$145)</f>
        <v/>
      </c>
      <c r="B1279" t="str">
        <f>IF($C1279="","","C"&amp;TEXT(INT((ROW()-5)/9)+1,"000")&amp;"-3")</f>
        <v/>
      </c>
      <c r="C1279" t="str">
        <f>IF(OR(Registro_Compras!$C$145="",Registro_Compras!$O$145="",Registro_Compras!$R$145&lt;&gt;"SI",Registro_Compras!$X$145=""),"","4212")</f>
        <v/>
      </c>
      <c r="D1279" t="str">
        <f>IF(OR(Registro_Compras!$C$145="",Registro_Compras!$O$145=""),"","Cuentas por Pagar Comerciales - Terceros")</f>
        <v/>
      </c>
      <c r="E1279" s="20" t="str">
        <f>IF($C1279="","",Registro_Compras!$S$145)</f>
        <v/>
      </c>
      <c r="F1279" s="20" t="str">
        <f>""</f>
        <v/>
      </c>
      <c r="G1279" t="str">
        <f>IF($C1279="","","Por el deposito de la detraccion en el Banco de la Nacion")</f>
        <v/>
      </c>
      <c r="H1279" t="str">
        <f>IF($C1279="","",Registro_Compras!$C$145)</f>
        <v/>
      </c>
    </row>
    <row r="1280" spans="1:8" x14ac:dyDescent="0.25">
      <c r="A1280" s="25" t="str">
        <f>IF($C1280="","",Registro_Compras!$X$145)</f>
        <v/>
      </c>
      <c r="B1280" t="str">
        <f>IF($C1280="","","C"&amp;TEXT(INT((ROW()-5)/9)+1,"000")&amp;"-3")</f>
        <v/>
      </c>
      <c r="C1280" t="str">
        <f>IF(OR(Registro_Compras!$C$145="",Registro_Compras!$O$145="",Registro_Compras!$R$145&lt;&gt;"SI",Registro_Compras!$X$145=""),"","1041")</f>
        <v/>
      </c>
      <c r="D1280" t="str">
        <f>IF(OR(Registro_Compras!$C$145="",Registro_Compras!$O$145=""),"","Efectivo y Equivalentes - Cta. Cte. Operativa")</f>
        <v/>
      </c>
      <c r="E1280" s="20" t="str">
        <f>""</f>
        <v/>
      </c>
      <c r="F1280" s="20" t="str">
        <f>IF($C1280="","",Registro_Compras!$S$145)</f>
        <v/>
      </c>
      <c r="G1280" t="str">
        <f>IF($C1280="","","Por el deposito de la detraccion en el Banco de la Nacion")</f>
        <v/>
      </c>
      <c r="H1280" t="str">
        <f>IF($C1280="","",Registro_Compras!$C$145)</f>
        <v/>
      </c>
    </row>
    <row r="1281" spans="1:8" x14ac:dyDescent="0.25">
      <c r="A1281" s="25" t="str">
        <f>IF($C1281="","",Registro_Compras!$Y$145)</f>
        <v/>
      </c>
      <c r="B1281" t="str">
        <f>IF($C1281="","","C"&amp;TEXT(INT((ROW()-5)/9)+1,"000")&amp;"-4")</f>
        <v/>
      </c>
      <c r="C1281" t="str">
        <f>IF(OR(Registro_Compras!$C$145="",Registro_Compras!$O$145="",Registro_Compras!$Y$145="",Registro_Compras!$F$145="NOTA DE CREDITO"),"","4212")</f>
        <v/>
      </c>
      <c r="D1281" t="str">
        <f>IF(OR(Registro_Compras!$C$145="",Registro_Compras!$O$145=""),"","Cuentas por Pagar Comerciales - Terceros")</f>
        <v/>
      </c>
      <c r="E1281" s="20" t="str">
        <f>IF($C1281="","",IF(Registro_Compras!$F$145="RHE",(ROUND(Registro_Compras!$L$145*Registro_Compras!$N$145,2)-ROUND(Registro_Compras!$V$145*Registro_Compras!$N$145,2)),ROUND(Registro_Compras!$O$145-Registro_Compras!$S$145,2)))</f>
        <v/>
      </c>
      <c r="F1281" s="20" t="str">
        <f>""</f>
        <v/>
      </c>
      <c r="G1281" t="str">
        <f>IF($C1281="","","Por la cancelacion del saldo al proveedor")</f>
        <v/>
      </c>
      <c r="H1281" t="str">
        <f>IF($C1281="","",Registro_Compras!$C$145)</f>
        <v/>
      </c>
    </row>
    <row r="1282" spans="1:8" x14ac:dyDescent="0.25">
      <c r="A1282" s="25" t="str">
        <f>IF($C1282="","",Registro_Compras!$Y$145)</f>
        <v/>
      </c>
      <c r="B1282" t="str">
        <f>IF($C1282="","","C"&amp;TEXT(INT((ROW()-5)/9)+1,"000")&amp;"-4")</f>
        <v/>
      </c>
      <c r="C1282" t="str">
        <f>IF(OR(Registro_Compras!$C$145="",Registro_Compras!$O$145="",Registro_Compras!$Y$145="",Registro_Compras!$F$145="NOTA DE CREDITO"),"","1041")</f>
        <v/>
      </c>
      <c r="D1282" t="str">
        <f>IF(OR(Registro_Compras!$C$145="",Registro_Compras!$O$145=""),"","Efectivo y Equivalentes - Cta. Cte. Operativa")</f>
        <v/>
      </c>
      <c r="E1282" s="20" t="str">
        <f>""</f>
        <v/>
      </c>
      <c r="F1282" s="20" t="str">
        <f>IF($C1282="","",IF(Registro_Compras!$F$145="RHE",(ROUND(Registro_Compras!$L$145*Registro_Compras!$N$145,2)-ROUND(Registro_Compras!$V$145*Registro_Compras!$N$145,2)),ROUND(Registro_Compras!$O$145-Registro_Compras!$S$145,2)))</f>
        <v/>
      </c>
      <c r="G1282" t="str">
        <f>IF($C1282="","","Por la cancelacion del saldo al proveedor")</f>
        <v/>
      </c>
      <c r="H1282" t="str">
        <f>IF($C1282="","",Registro_Compras!$C$145)</f>
        <v/>
      </c>
    </row>
    <row r="1283" spans="1:8" x14ac:dyDescent="0.25">
      <c r="A1283" s="25" t="str">
        <f>IF($C1283="","",Registro_Compras!$B$146)</f>
        <v/>
      </c>
      <c r="B1283" t="str">
        <f>IF($C1283="","","C"&amp;TEXT(INT((ROW()-5)/9)+1,"000")&amp;"-1")</f>
        <v/>
      </c>
      <c r="C1283" t="str">
        <f>IF(OR(Registro_Compras!$C$146="",Registro_Compras!$O$146=""),"",IF(Registro_Compras!$F$146="NOTA DE CREDITO","4212",IF(Registro_Compras!$M$146="","63",Registro_Compras!$M$146)))</f>
        <v/>
      </c>
      <c r="D1283" t="str">
        <f>IF(OR(Registro_Compras!$C$146="",Registro_Compras!$O$146=""),"",IF(Registro_Compras!$F$146="NOTA DE CREDITO","Cuentas por Pagar Comerciales - Terceros (Emitidas)",IF(Registro_Compras!$F$146="RHE","Honorarios Profesionales - Servicios de Terceros","Gastos de Servicios Prestados por Terceros")))</f>
        <v/>
      </c>
      <c r="E1283" s="20" t="str">
        <f>IF($C1283="","",IF(Registro_Compras!$F$146="NOTA DE CREDITO",ABS(Registro_Compras!$O$146),IF(Registro_Compras!$F$146="RHE",ROUND(Registro_Compras!$L$146*Registro_Compras!$N$146,2),ROUND(Registro_Compras!$J$146*Registro_Compras!$N$146,2))))</f>
        <v/>
      </c>
      <c r="F1283" s="20" t="str">
        <f>""</f>
        <v/>
      </c>
      <c r="G1283" t="str">
        <f>IF($C1283="","",IF(Registro_Compras!$F$146="NOTA DE CREDITO","Por la nota de credito "&amp;Registro_Compras!$C$146&amp;" de "&amp;Registro_Compras!$E$146&amp;" [PATRON POR CONFIRMAR CON CONTADOR]",IF(Registro_Compras!$F$146="RHE","Por el registro del recibo por honorarios "&amp;Registro_Compras!$C$146&amp;" de "&amp;Registro_Compras!$E$146&amp;" [PATRON POR CONFIRMAR CON CONTADOR]","Por el registro de la factura "&amp;Registro_Compras!$C$146&amp;" de "&amp;Registro_Compras!$E$146)))</f>
        <v/>
      </c>
      <c r="H1283" t="str">
        <f>IF($C1283="","",Registro_Compras!$C$146)</f>
        <v/>
      </c>
    </row>
    <row r="1284" spans="1:8" x14ac:dyDescent="0.25">
      <c r="A1284" s="25" t="str">
        <f>IF($C1284="","",Registro_Compras!$B$146)</f>
        <v/>
      </c>
      <c r="B1284" t="str">
        <f>IF($C1284="","","C"&amp;TEXT(INT((ROW()-5)/9)+1,"000")&amp;"-1")</f>
        <v/>
      </c>
      <c r="C1284" t="str">
        <f>IF(OR(Registro_Compras!$C$146="",Registro_Compras!$O$146=""),"",IF(Registro_Compras!$F$146="RHE",IF(Registro_Compras!$V$146=0,"","4017"),IF(Registro_Compras!$F$146="NOTA DE CREDITO",IF(Registro_Compras!$M$146="","63",Registro_Compras!$M$146),IF(Registro_Compras!$K$146=0,"","40111"))))</f>
        <v/>
      </c>
      <c r="D1284" t="str">
        <f>IF(OR(Registro_Compras!$C$146="",Registro_Compras!$O$146=""),"",IF(Registro_Compras!$F$146="RHE","Retencion Renta 4ta Categoria por Pagar",IF(Registro_Compras!$F$146="NOTA DE CREDITO","Gastos de Servicios Prestados por Terceros","IGV - Cuenta Propia (Credito Fiscal)")))</f>
        <v/>
      </c>
      <c r="E1284" s="20" t="str">
        <f>IF($C1284="","",IF(Registro_Compras!$F$146="FACTURA",ROUND(Registro_Compras!$K$146*Registro_Compras!$N$146,2),""))</f>
        <v/>
      </c>
      <c r="F1284" s="20" t="str">
        <f>IF($C1284="","",IF(Registro_Compras!$F$146="RHE",ROUND(Registro_Compras!$V$146*Registro_Compras!$N$146,2),IF(Registro_Compras!$F$146="NOTA DE CREDITO",ROUND(ABS(Registro_Compras!$J$146*Registro_Compras!$N$146),2),"")))</f>
        <v/>
      </c>
      <c r="G1284" t="str">
        <f>IF($C1284="","",IF(Registro_Compras!$F$146="NOTA DE CREDITO","Por la nota de credito "&amp;Registro_Compras!$C$146&amp;" de "&amp;Registro_Compras!$E$146&amp;" [PATRON POR CONFIRMAR CON CONTADOR]",IF(Registro_Compras!$F$146="RHE","Por el registro del recibo por honorarios "&amp;Registro_Compras!$C$146&amp;" de "&amp;Registro_Compras!$E$146&amp;" [PATRON POR CONFIRMAR CON CONTADOR]","Por el registro de la factura "&amp;Registro_Compras!$C$146&amp;" de "&amp;Registro_Compras!$E$146)))</f>
        <v/>
      </c>
      <c r="H1284" t="str">
        <f>IF($C1284="","",Registro_Compras!$C$146)</f>
        <v/>
      </c>
    </row>
    <row r="1285" spans="1:8" x14ac:dyDescent="0.25">
      <c r="A1285" s="25" t="str">
        <f>IF($C1285="","",Registro_Compras!$B$146)</f>
        <v/>
      </c>
      <c r="B1285" t="str">
        <f>IF($C1285="","","C"&amp;TEXT(INT((ROW()-5)/9)+1,"000")&amp;"-1")</f>
        <v/>
      </c>
      <c r="C1285" t="str">
        <f>IF(OR(Registro_Compras!$C$146="",Registro_Compras!$O$146=""),"",IF(Registro_Compras!$F$146="NOTA DE CREDITO",IF(Registro_Compras!$K$146=0,"","40111"),"4212"))</f>
        <v/>
      </c>
      <c r="D1285" t="str">
        <f>IF(OR(Registro_Compras!$C$146="",Registro_Compras!$O$146=""),"",IF(Registro_Compras!$F$146="NOTA DE CREDITO","IGV - Cuenta Propia (Credito Fiscal)","Cuentas por Pagar Comerciales - Terceros (Emitidas)"))</f>
        <v/>
      </c>
      <c r="E1285" s="20" t="str">
        <f>""</f>
        <v/>
      </c>
      <c r="F1285" s="20" t="str">
        <f>IF($C1285="","",IF(Registro_Compras!$F$146="NOTA DE CREDITO",ROUND(ABS(Registro_Compras!$K$146*Registro_Compras!$N$146),2),IF(Registro_Compras!$F$146="RHE",(ROUND(Registro_Compras!$L$146*Registro_Compras!$N$146,2)-ROUND(Registro_Compras!$V$146*Registro_Compras!$N$146,2)),Registro_Compras!$O$146)))</f>
        <v/>
      </c>
      <c r="G1285" t="str">
        <f>IF($C1285="","",IF(Registro_Compras!$F$146="NOTA DE CREDITO","Por la nota de credito "&amp;Registro_Compras!$C$146&amp;" de "&amp;Registro_Compras!$E$146&amp;" [PATRON POR CONFIRMAR CON CONTADOR]",IF(Registro_Compras!$F$146="RHE","Por el registro del recibo por honorarios "&amp;Registro_Compras!$C$146&amp;" de "&amp;Registro_Compras!$E$146&amp;" [PATRON POR CONFIRMAR CON CONTADOR]","Por el registro de la factura "&amp;Registro_Compras!$C$146&amp;" de "&amp;Registro_Compras!$E$146)))</f>
        <v/>
      </c>
      <c r="H1285" t="str">
        <f>IF($C1285="","",Registro_Compras!$C$146)</f>
        <v/>
      </c>
    </row>
    <row r="1286" spans="1:8" x14ac:dyDescent="0.25">
      <c r="A1286" s="25" t="str">
        <f>IF($C1286="","",Registro_Compras!$B$146)</f>
        <v/>
      </c>
      <c r="B1286" t="str">
        <f>IF($C1286="","","C"&amp;TEXT(INT((ROW()-5)/9)+1,"000")&amp;"-2")</f>
        <v/>
      </c>
      <c r="C1286" t="str">
        <f>IF(OR(Registro_Compras!$C$146="",Registro_Compras!$O$146=""),"",IF(Registro_Compras!$AB$146="ADMINISTRATIVO","94","95"))</f>
        <v/>
      </c>
      <c r="D1286" t="str">
        <f>IF(OR(Registro_Compras!$C$146="",Registro_Compras!$O$146=""),"",IF(Registro_Compras!$AB$146="ADMINISTRATIVO","Gastos Administrativos","Gastos de Venta y Operacion"))</f>
        <v/>
      </c>
      <c r="E1286" s="20" t="str">
        <f>IF($C1286="","",IF(Registro_Compras!$F$146="NOTA DE CREDITO","",IF(Registro_Compras!$F$146="RHE",ROUND(Registro_Compras!$L$146*Registro_Compras!$N$146,2),ROUND(Registro_Compras!$J$146*Registro_Compras!$N$146,2))))</f>
        <v/>
      </c>
      <c r="F1286" s="20" t="str">
        <f>IF($C1286="","",IF(Registro_Compras!$F$146="NOTA DE CREDITO",ROUND(ABS(Registro_Compras!$J$146*Registro_Compras!$N$146),2),""))</f>
        <v/>
      </c>
      <c r="G1286" t="str">
        <f>IF($C1286="","","Por el destino del gasto")</f>
        <v/>
      </c>
      <c r="H1286" t="str">
        <f>IF($C1286="","",Registro_Compras!$C$146)</f>
        <v/>
      </c>
    </row>
    <row r="1287" spans="1:8" x14ac:dyDescent="0.25">
      <c r="A1287" s="25" t="str">
        <f>IF($C1287="","",Registro_Compras!$B$146)</f>
        <v/>
      </c>
      <c r="B1287" t="str">
        <f>IF($C1287="","","C"&amp;TEXT(INT((ROW()-5)/9)+1,"000")&amp;"-2")</f>
        <v/>
      </c>
      <c r="C1287" t="str">
        <f>IF(OR(Registro_Compras!$C$146="",Registro_Compras!$O$146=""),"","79/791")</f>
        <v/>
      </c>
      <c r="D1287" t="str">
        <f>IF(OR(Registro_Compras!$C$146="",Registro_Compras!$O$146=""),"","Cargas Imputables a Cuentas de Costos y Gastos")</f>
        <v/>
      </c>
      <c r="E1287" s="20" t="str">
        <f>IF($C1287="","",IF(Registro_Compras!$F$146="NOTA DE CREDITO",ROUND(ABS(Registro_Compras!$J$146*Registro_Compras!$N$146),2),""))</f>
        <v/>
      </c>
      <c r="F1287" s="20" t="str">
        <f>IF($C1287="","",IF(Registro_Compras!$F$146="NOTA DE CREDITO","",IF(Registro_Compras!$F$146="RHE",ROUND(Registro_Compras!$L$146*Registro_Compras!$N$146,2),ROUND(Registro_Compras!$J$146*Registro_Compras!$N$146,2))))</f>
        <v/>
      </c>
      <c r="G1287" t="str">
        <f>IF($C1287="","","Por el destino del gasto")</f>
        <v/>
      </c>
      <c r="H1287" t="str">
        <f>IF($C1287="","",Registro_Compras!$C$146)</f>
        <v/>
      </c>
    </row>
    <row r="1288" spans="1:8" x14ac:dyDescent="0.25">
      <c r="A1288" s="25" t="str">
        <f>IF($C1288="","",Registro_Compras!$X$146)</f>
        <v/>
      </c>
      <c r="B1288" t="str">
        <f>IF($C1288="","","C"&amp;TEXT(INT((ROW()-5)/9)+1,"000")&amp;"-3")</f>
        <v/>
      </c>
      <c r="C1288" t="str">
        <f>IF(OR(Registro_Compras!$C$146="",Registro_Compras!$O$146="",Registro_Compras!$R$146&lt;&gt;"SI",Registro_Compras!$X$146=""),"","4212")</f>
        <v/>
      </c>
      <c r="D1288" t="str">
        <f>IF(OR(Registro_Compras!$C$146="",Registro_Compras!$O$146=""),"","Cuentas por Pagar Comerciales - Terceros")</f>
        <v/>
      </c>
      <c r="E1288" s="20" t="str">
        <f>IF($C1288="","",Registro_Compras!$S$146)</f>
        <v/>
      </c>
      <c r="F1288" s="20" t="str">
        <f>""</f>
        <v/>
      </c>
      <c r="G1288" t="str">
        <f>IF($C1288="","","Por el deposito de la detraccion en el Banco de la Nacion")</f>
        <v/>
      </c>
      <c r="H1288" t="str">
        <f>IF($C1288="","",Registro_Compras!$C$146)</f>
        <v/>
      </c>
    </row>
    <row r="1289" spans="1:8" x14ac:dyDescent="0.25">
      <c r="A1289" s="25" t="str">
        <f>IF($C1289="","",Registro_Compras!$X$146)</f>
        <v/>
      </c>
      <c r="B1289" t="str">
        <f>IF($C1289="","","C"&amp;TEXT(INT((ROW()-5)/9)+1,"000")&amp;"-3")</f>
        <v/>
      </c>
      <c r="C1289" t="str">
        <f>IF(OR(Registro_Compras!$C$146="",Registro_Compras!$O$146="",Registro_Compras!$R$146&lt;&gt;"SI",Registro_Compras!$X$146=""),"","1041")</f>
        <v/>
      </c>
      <c r="D1289" t="str">
        <f>IF(OR(Registro_Compras!$C$146="",Registro_Compras!$O$146=""),"","Efectivo y Equivalentes - Cta. Cte. Operativa")</f>
        <v/>
      </c>
      <c r="E1289" s="20" t="str">
        <f>""</f>
        <v/>
      </c>
      <c r="F1289" s="20" t="str">
        <f>IF($C1289="","",Registro_Compras!$S$146)</f>
        <v/>
      </c>
      <c r="G1289" t="str">
        <f>IF($C1289="","","Por el deposito de la detraccion en el Banco de la Nacion")</f>
        <v/>
      </c>
      <c r="H1289" t="str">
        <f>IF($C1289="","",Registro_Compras!$C$146)</f>
        <v/>
      </c>
    </row>
    <row r="1290" spans="1:8" x14ac:dyDescent="0.25">
      <c r="A1290" s="25" t="str">
        <f>IF($C1290="","",Registro_Compras!$Y$146)</f>
        <v/>
      </c>
      <c r="B1290" t="str">
        <f>IF($C1290="","","C"&amp;TEXT(INT((ROW()-5)/9)+1,"000")&amp;"-4")</f>
        <v/>
      </c>
      <c r="C1290" t="str">
        <f>IF(OR(Registro_Compras!$C$146="",Registro_Compras!$O$146="",Registro_Compras!$Y$146="",Registro_Compras!$F$146="NOTA DE CREDITO"),"","4212")</f>
        <v/>
      </c>
      <c r="D1290" t="str">
        <f>IF(OR(Registro_Compras!$C$146="",Registro_Compras!$O$146=""),"","Cuentas por Pagar Comerciales - Terceros")</f>
        <v/>
      </c>
      <c r="E1290" s="20" t="str">
        <f>IF($C1290="","",IF(Registro_Compras!$F$146="RHE",(ROUND(Registro_Compras!$L$146*Registro_Compras!$N$146,2)-ROUND(Registro_Compras!$V$146*Registro_Compras!$N$146,2)),ROUND(Registro_Compras!$O$146-Registro_Compras!$S$146,2)))</f>
        <v/>
      </c>
      <c r="F1290" s="20" t="str">
        <f>""</f>
        <v/>
      </c>
      <c r="G1290" t="str">
        <f>IF($C1290="","","Por la cancelacion del saldo al proveedor")</f>
        <v/>
      </c>
      <c r="H1290" t="str">
        <f>IF($C1290="","",Registro_Compras!$C$146)</f>
        <v/>
      </c>
    </row>
    <row r="1291" spans="1:8" x14ac:dyDescent="0.25">
      <c r="A1291" s="25" t="str">
        <f>IF($C1291="","",Registro_Compras!$Y$146)</f>
        <v/>
      </c>
      <c r="B1291" t="str">
        <f>IF($C1291="","","C"&amp;TEXT(INT((ROW()-5)/9)+1,"000")&amp;"-4")</f>
        <v/>
      </c>
      <c r="C1291" t="str">
        <f>IF(OR(Registro_Compras!$C$146="",Registro_Compras!$O$146="",Registro_Compras!$Y$146="",Registro_Compras!$F$146="NOTA DE CREDITO"),"","1041")</f>
        <v/>
      </c>
      <c r="D1291" t="str">
        <f>IF(OR(Registro_Compras!$C$146="",Registro_Compras!$O$146=""),"","Efectivo y Equivalentes - Cta. Cte. Operativa")</f>
        <v/>
      </c>
      <c r="E1291" s="20" t="str">
        <f>""</f>
        <v/>
      </c>
      <c r="F1291" s="20" t="str">
        <f>IF($C1291="","",IF(Registro_Compras!$F$146="RHE",(ROUND(Registro_Compras!$L$146*Registro_Compras!$N$146,2)-ROUND(Registro_Compras!$V$146*Registro_Compras!$N$146,2)),ROUND(Registro_Compras!$O$146-Registro_Compras!$S$146,2)))</f>
        <v/>
      </c>
      <c r="G1291" t="str">
        <f>IF($C1291="","","Por la cancelacion del saldo al proveedor")</f>
        <v/>
      </c>
      <c r="H1291" t="str">
        <f>IF($C1291="","",Registro_Compras!$C$146)</f>
        <v/>
      </c>
    </row>
    <row r="1292" spans="1:8" x14ac:dyDescent="0.25">
      <c r="A1292" s="25" t="str">
        <f>IF($C1292="","",Registro_Compras!$B$147)</f>
        <v/>
      </c>
      <c r="B1292" t="str">
        <f>IF($C1292="","","C"&amp;TEXT(INT((ROW()-5)/9)+1,"000")&amp;"-1")</f>
        <v/>
      </c>
      <c r="C1292" t="str">
        <f>IF(OR(Registro_Compras!$C$147="",Registro_Compras!$O$147=""),"",IF(Registro_Compras!$F$147="NOTA DE CREDITO","4212",IF(Registro_Compras!$M$147="","63",Registro_Compras!$M$147)))</f>
        <v/>
      </c>
      <c r="D1292" t="str">
        <f>IF(OR(Registro_Compras!$C$147="",Registro_Compras!$O$147=""),"",IF(Registro_Compras!$F$147="NOTA DE CREDITO","Cuentas por Pagar Comerciales - Terceros (Emitidas)",IF(Registro_Compras!$F$147="RHE","Honorarios Profesionales - Servicios de Terceros","Gastos de Servicios Prestados por Terceros")))</f>
        <v/>
      </c>
      <c r="E1292" s="20" t="str">
        <f>IF($C1292="","",IF(Registro_Compras!$F$147="NOTA DE CREDITO",ABS(Registro_Compras!$O$147),IF(Registro_Compras!$F$147="RHE",ROUND(Registro_Compras!$L$147*Registro_Compras!$N$147,2),ROUND(Registro_Compras!$J$147*Registro_Compras!$N$147,2))))</f>
        <v/>
      </c>
      <c r="F1292" s="20" t="str">
        <f>""</f>
        <v/>
      </c>
      <c r="G1292" t="str">
        <f>IF($C1292="","",IF(Registro_Compras!$F$147="NOTA DE CREDITO","Por la nota de credito "&amp;Registro_Compras!$C$147&amp;" de "&amp;Registro_Compras!$E$147&amp;" [PATRON POR CONFIRMAR CON CONTADOR]",IF(Registro_Compras!$F$147="RHE","Por el registro del recibo por honorarios "&amp;Registro_Compras!$C$147&amp;" de "&amp;Registro_Compras!$E$147&amp;" [PATRON POR CONFIRMAR CON CONTADOR]","Por el registro de la factura "&amp;Registro_Compras!$C$147&amp;" de "&amp;Registro_Compras!$E$147)))</f>
        <v/>
      </c>
      <c r="H1292" t="str">
        <f>IF($C1292="","",Registro_Compras!$C$147)</f>
        <v/>
      </c>
    </row>
    <row r="1293" spans="1:8" x14ac:dyDescent="0.25">
      <c r="A1293" s="25" t="str">
        <f>IF($C1293="","",Registro_Compras!$B$147)</f>
        <v/>
      </c>
      <c r="B1293" t="str">
        <f>IF($C1293="","","C"&amp;TEXT(INT((ROW()-5)/9)+1,"000")&amp;"-1")</f>
        <v/>
      </c>
      <c r="C1293" t="str">
        <f>IF(OR(Registro_Compras!$C$147="",Registro_Compras!$O$147=""),"",IF(Registro_Compras!$F$147="RHE",IF(Registro_Compras!$V$147=0,"","4017"),IF(Registro_Compras!$F$147="NOTA DE CREDITO",IF(Registro_Compras!$M$147="","63",Registro_Compras!$M$147),IF(Registro_Compras!$K$147=0,"","40111"))))</f>
        <v/>
      </c>
      <c r="D1293" t="str">
        <f>IF(OR(Registro_Compras!$C$147="",Registro_Compras!$O$147=""),"",IF(Registro_Compras!$F$147="RHE","Retencion Renta 4ta Categoria por Pagar",IF(Registro_Compras!$F$147="NOTA DE CREDITO","Gastos de Servicios Prestados por Terceros","IGV - Cuenta Propia (Credito Fiscal)")))</f>
        <v/>
      </c>
      <c r="E1293" s="20" t="str">
        <f>IF($C1293="","",IF(Registro_Compras!$F$147="FACTURA",ROUND(Registro_Compras!$K$147*Registro_Compras!$N$147,2),""))</f>
        <v/>
      </c>
      <c r="F1293" s="20" t="str">
        <f>IF($C1293="","",IF(Registro_Compras!$F$147="RHE",ROUND(Registro_Compras!$V$147*Registro_Compras!$N$147,2),IF(Registro_Compras!$F$147="NOTA DE CREDITO",ROUND(ABS(Registro_Compras!$J$147*Registro_Compras!$N$147),2),"")))</f>
        <v/>
      </c>
      <c r="G1293" t="str">
        <f>IF($C1293="","",IF(Registro_Compras!$F$147="NOTA DE CREDITO","Por la nota de credito "&amp;Registro_Compras!$C$147&amp;" de "&amp;Registro_Compras!$E$147&amp;" [PATRON POR CONFIRMAR CON CONTADOR]",IF(Registro_Compras!$F$147="RHE","Por el registro del recibo por honorarios "&amp;Registro_Compras!$C$147&amp;" de "&amp;Registro_Compras!$E$147&amp;" [PATRON POR CONFIRMAR CON CONTADOR]","Por el registro de la factura "&amp;Registro_Compras!$C$147&amp;" de "&amp;Registro_Compras!$E$147)))</f>
        <v/>
      </c>
      <c r="H1293" t="str">
        <f>IF($C1293="","",Registro_Compras!$C$147)</f>
        <v/>
      </c>
    </row>
    <row r="1294" spans="1:8" x14ac:dyDescent="0.25">
      <c r="A1294" s="25" t="str">
        <f>IF($C1294="","",Registro_Compras!$B$147)</f>
        <v/>
      </c>
      <c r="B1294" t="str">
        <f>IF($C1294="","","C"&amp;TEXT(INT((ROW()-5)/9)+1,"000")&amp;"-1")</f>
        <v/>
      </c>
      <c r="C1294" t="str">
        <f>IF(OR(Registro_Compras!$C$147="",Registro_Compras!$O$147=""),"",IF(Registro_Compras!$F$147="NOTA DE CREDITO",IF(Registro_Compras!$K$147=0,"","40111"),"4212"))</f>
        <v/>
      </c>
      <c r="D1294" t="str">
        <f>IF(OR(Registro_Compras!$C$147="",Registro_Compras!$O$147=""),"",IF(Registro_Compras!$F$147="NOTA DE CREDITO","IGV - Cuenta Propia (Credito Fiscal)","Cuentas por Pagar Comerciales - Terceros (Emitidas)"))</f>
        <v/>
      </c>
      <c r="E1294" s="20" t="str">
        <f>""</f>
        <v/>
      </c>
      <c r="F1294" s="20" t="str">
        <f>IF($C1294="","",IF(Registro_Compras!$F$147="NOTA DE CREDITO",ROUND(ABS(Registro_Compras!$K$147*Registro_Compras!$N$147),2),IF(Registro_Compras!$F$147="RHE",(ROUND(Registro_Compras!$L$147*Registro_Compras!$N$147,2)-ROUND(Registro_Compras!$V$147*Registro_Compras!$N$147,2)),Registro_Compras!$O$147)))</f>
        <v/>
      </c>
      <c r="G1294" t="str">
        <f>IF($C1294="","",IF(Registro_Compras!$F$147="NOTA DE CREDITO","Por la nota de credito "&amp;Registro_Compras!$C$147&amp;" de "&amp;Registro_Compras!$E$147&amp;" [PATRON POR CONFIRMAR CON CONTADOR]",IF(Registro_Compras!$F$147="RHE","Por el registro del recibo por honorarios "&amp;Registro_Compras!$C$147&amp;" de "&amp;Registro_Compras!$E$147&amp;" [PATRON POR CONFIRMAR CON CONTADOR]","Por el registro de la factura "&amp;Registro_Compras!$C$147&amp;" de "&amp;Registro_Compras!$E$147)))</f>
        <v/>
      </c>
      <c r="H1294" t="str">
        <f>IF($C1294="","",Registro_Compras!$C$147)</f>
        <v/>
      </c>
    </row>
    <row r="1295" spans="1:8" x14ac:dyDescent="0.25">
      <c r="A1295" s="25" t="str">
        <f>IF($C1295="","",Registro_Compras!$B$147)</f>
        <v/>
      </c>
      <c r="B1295" t="str">
        <f>IF($C1295="","","C"&amp;TEXT(INT((ROW()-5)/9)+1,"000")&amp;"-2")</f>
        <v/>
      </c>
      <c r="C1295" t="str">
        <f>IF(OR(Registro_Compras!$C$147="",Registro_Compras!$O$147=""),"",IF(Registro_Compras!$AB$147="ADMINISTRATIVO","94","95"))</f>
        <v/>
      </c>
      <c r="D1295" t="str">
        <f>IF(OR(Registro_Compras!$C$147="",Registro_Compras!$O$147=""),"",IF(Registro_Compras!$AB$147="ADMINISTRATIVO","Gastos Administrativos","Gastos de Venta y Operacion"))</f>
        <v/>
      </c>
      <c r="E1295" s="20" t="str">
        <f>IF($C1295="","",IF(Registro_Compras!$F$147="NOTA DE CREDITO","",IF(Registro_Compras!$F$147="RHE",ROUND(Registro_Compras!$L$147*Registro_Compras!$N$147,2),ROUND(Registro_Compras!$J$147*Registro_Compras!$N$147,2))))</f>
        <v/>
      </c>
      <c r="F1295" s="20" t="str">
        <f>IF($C1295="","",IF(Registro_Compras!$F$147="NOTA DE CREDITO",ROUND(ABS(Registro_Compras!$J$147*Registro_Compras!$N$147),2),""))</f>
        <v/>
      </c>
      <c r="G1295" t="str">
        <f>IF($C1295="","","Por el destino del gasto")</f>
        <v/>
      </c>
      <c r="H1295" t="str">
        <f>IF($C1295="","",Registro_Compras!$C$147)</f>
        <v/>
      </c>
    </row>
    <row r="1296" spans="1:8" x14ac:dyDescent="0.25">
      <c r="A1296" s="25" t="str">
        <f>IF($C1296="","",Registro_Compras!$B$147)</f>
        <v/>
      </c>
      <c r="B1296" t="str">
        <f>IF($C1296="","","C"&amp;TEXT(INT((ROW()-5)/9)+1,"000")&amp;"-2")</f>
        <v/>
      </c>
      <c r="C1296" t="str">
        <f>IF(OR(Registro_Compras!$C$147="",Registro_Compras!$O$147=""),"","79/791")</f>
        <v/>
      </c>
      <c r="D1296" t="str">
        <f>IF(OR(Registro_Compras!$C$147="",Registro_Compras!$O$147=""),"","Cargas Imputables a Cuentas de Costos y Gastos")</f>
        <v/>
      </c>
      <c r="E1296" s="20" t="str">
        <f>IF($C1296="","",IF(Registro_Compras!$F$147="NOTA DE CREDITO",ROUND(ABS(Registro_Compras!$J$147*Registro_Compras!$N$147),2),""))</f>
        <v/>
      </c>
      <c r="F1296" s="20" t="str">
        <f>IF($C1296="","",IF(Registro_Compras!$F$147="NOTA DE CREDITO","",IF(Registro_Compras!$F$147="RHE",ROUND(Registro_Compras!$L$147*Registro_Compras!$N$147,2),ROUND(Registro_Compras!$J$147*Registro_Compras!$N$147,2))))</f>
        <v/>
      </c>
      <c r="G1296" t="str">
        <f>IF($C1296="","","Por el destino del gasto")</f>
        <v/>
      </c>
      <c r="H1296" t="str">
        <f>IF($C1296="","",Registro_Compras!$C$147)</f>
        <v/>
      </c>
    </row>
    <row r="1297" spans="1:8" x14ac:dyDescent="0.25">
      <c r="A1297" s="25" t="str">
        <f>IF($C1297="","",Registro_Compras!$X$147)</f>
        <v/>
      </c>
      <c r="B1297" t="str">
        <f>IF($C1297="","","C"&amp;TEXT(INT((ROW()-5)/9)+1,"000")&amp;"-3")</f>
        <v/>
      </c>
      <c r="C1297" t="str">
        <f>IF(OR(Registro_Compras!$C$147="",Registro_Compras!$O$147="",Registro_Compras!$R$147&lt;&gt;"SI",Registro_Compras!$X$147=""),"","4212")</f>
        <v/>
      </c>
      <c r="D1297" t="str">
        <f>IF(OR(Registro_Compras!$C$147="",Registro_Compras!$O$147=""),"","Cuentas por Pagar Comerciales - Terceros")</f>
        <v/>
      </c>
      <c r="E1297" s="20" t="str">
        <f>IF($C1297="","",Registro_Compras!$S$147)</f>
        <v/>
      </c>
      <c r="F1297" s="20" t="str">
        <f>""</f>
        <v/>
      </c>
      <c r="G1297" t="str">
        <f>IF($C1297="","","Por el deposito de la detraccion en el Banco de la Nacion")</f>
        <v/>
      </c>
      <c r="H1297" t="str">
        <f>IF($C1297="","",Registro_Compras!$C$147)</f>
        <v/>
      </c>
    </row>
    <row r="1298" spans="1:8" x14ac:dyDescent="0.25">
      <c r="A1298" s="25" t="str">
        <f>IF($C1298="","",Registro_Compras!$X$147)</f>
        <v/>
      </c>
      <c r="B1298" t="str">
        <f>IF($C1298="","","C"&amp;TEXT(INT((ROW()-5)/9)+1,"000")&amp;"-3")</f>
        <v/>
      </c>
      <c r="C1298" t="str">
        <f>IF(OR(Registro_Compras!$C$147="",Registro_Compras!$O$147="",Registro_Compras!$R$147&lt;&gt;"SI",Registro_Compras!$X$147=""),"","1041")</f>
        <v/>
      </c>
      <c r="D1298" t="str">
        <f>IF(OR(Registro_Compras!$C$147="",Registro_Compras!$O$147=""),"","Efectivo y Equivalentes - Cta. Cte. Operativa")</f>
        <v/>
      </c>
      <c r="E1298" s="20" t="str">
        <f>""</f>
        <v/>
      </c>
      <c r="F1298" s="20" t="str">
        <f>IF($C1298="","",Registro_Compras!$S$147)</f>
        <v/>
      </c>
      <c r="G1298" t="str">
        <f>IF($C1298="","","Por el deposito de la detraccion en el Banco de la Nacion")</f>
        <v/>
      </c>
      <c r="H1298" t="str">
        <f>IF($C1298="","",Registro_Compras!$C$147)</f>
        <v/>
      </c>
    </row>
    <row r="1299" spans="1:8" x14ac:dyDescent="0.25">
      <c r="A1299" s="25" t="str">
        <f>IF($C1299="","",Registro_Compras!$Y$147)</f>
        <v/>
      </c>
      <c r="B1299" t="str">
        <f>IF($C1299="","","C"&amp;TEXT(INT((ROW()-5)/9)+1,"000")&amp;"-4")</f>
        <v/>
      </c>
      <c r="C1299" t="str">
        <f>IF(OR(Registro_Compras!$C$147="",Registro_Compras!$O$147="",Registro_Compras!$Y$147="",Registro_Compras!$F$147="NOTA DE CREDITO"),"","4212")</f>
        <v/>
      </c>
      <c r="D1299" t="str">
        <f>IF(OR(Registro_Compras!$C$147="",Registro_Compras!$O$147=""),"","Cuentas por Pagar Comerciales - Terceros")</f>
        <v/>
      </c>
      <c r="E1299" s="20" t="str">
        <f>IF($C1299="","",IF(Registro_Compras!$F$147="RHE",(ROUND(Registro_Compras!$L$147*Registro_Compras!$N$147,2)-ROUND(Registro_Compras!$V$147*Registro_Compras!$N$147,2)),ROUND(Registro_Compras!$O$147-Registro_Compras!$S$147,2)))</f>
        <v/>
      </c>
      <c r="F1299" s="20" t="str">
        <f>""</f>
        <v/>
      </c>
      <c r="G1299" t="str">
        <f>IF($C1299="","","Por la cancelacion del saldo al proveedor")</f>
        <v/>
      </c>
      <c r="H1299" t="str">
        <f>IF($C1299="","",Registro_Compras!$C$147)</f>
        <v/>
      </c>
    </row>
    <row r="1300" spans="1:8" x14ac:dyDescent="0.25">
      <c r="A1300" s="25" t="str">
        <f>IF($C1300="","",Registro_Compras!$Y$147)</f>
        <v/>
      </c>
      <c r="B1300" t="str">
        <f>IF($C1300="","","C"&amp;TEXT(INT((ROW()-5)/9)+1,"000")&amp;"-4")</f>
        <v/>
      </c>
      <c r="C1300" t="str">
        <f>IF(OR(Registro_Compras!$C$147="",Registro_Compras!$O$147="",Registro_Compras!$Y$147="",Registro_Compras!$F$147="NOTA DE CREDITO"),"","1041")</f>
        <v/>
      </c>
      <c r="D1300" t="str">
        <f>IF(OR(Registro_Compras!$C$147="",Registro_Compras!$O$147=""),"","Efectivo y Equivalentes - Cta. Cte. Operativa")</f>
        <v/>
      </c>
      <c r="E1300" s="20" t="str">
        <f>""</f>
        <v/>
      </c>
      <c r="F1300" s="20" t="str">
        <f>IF($C1300="","",IF(Registro_Compras!$F$147="RHE",(ROUND(Registro_Compras!$L$147*Registro_Compras!$N$147,2)-ROUND(Registro_Compras!$V$147*Registro_Compras!$N$147,2)),ROUND(Registro_Compras!$O$147-Registro_Compras!$S$147,2)))</f>
        <v/>
      </c>
      <c r="G1300" t="str">
        <f>IF($C1300="","","Por la cancelacion del saldo al proveedor")</f>
        <v/>
      </c>
      <c r="H1300" t="str">
        <f>IF($C1300="","",Registro_Compras!$C$147)</f>
        <v/>
      </c>
    </row>
    <row r="1301" spans="1:8" x14ac:dyDescent="0.25">
      <c r="A1301" s="25" t="str">
        <f>IF($C1301="","",Registro_Compras!$B$148)</f>
        <v/>
      </c>
      <c r="B1301" t="str">
        <f>IF($C1301="","","C"&amp;TEXT(INT((ROW()-5)/9)+1,"000")&amp;"-1")</f>
        <v/>
      </c>
      <c r="C1301" t="str">
        <f>IF(OR(Registro_Compras!$C$148="",Registro_Compras!$O$148=""),"",IF(Registro_Compras!$F$148="NOTA DE CREDITO","4212",IF(Registro_Compras!$M$148="","63",Registro_Compras!$M$148)))</f>
        <v/>
      </c>
      <c r="D1301" t="str">
        <f>IF(OR(Registro_Compras!$C$148="",Registro_Compras!$O$148=""),"",IF(Registro_Compras!$F$148="NOTA DE CREDITO","Cuentas por Pagar Comerciales - Terceros (Emitidas)",IF(Registro_Compras!$F$148="RHE","Honorarios Profesionales - Servicios de Terceros","Gastos de Servicios Prestados por Terceros")))</f>
        <v/>
      </c>
      <c r="E1301" s="20" t="str">
        <f>IF($C1301="","",IF(Registro_Compras!$F$148="NOTA DE CREDITO",ABS(Registro_Compras!$O$148),IF(Registro_Compras!$F$148="RHE",ROUND(Registro_Compras!$L$148*Registro_Compras!$N$148,2),ROUND(Registro_Compras!$J$148*Registro_Compras!$N$148,2))))</f>
        <v/>
      </c>
      <c r="F1301" s="20" t="str">
        <f>""</f>
        <v/>
      </c>
      <c r="G1301" t="str">
        <f>IF($C1301="","",IF(Registro_Compras!$F$148="NOTA DE CREDITO","Por la nota de credito "&amp;Registro_Compras!$C$148&amp;" de "&amp;Registro_Compras!$E$148&amp;" [PATRON POR CONFIRMAR CON CONTADOR]",IF(Registro_Compras!$F$148="RHE","Por el registro del recibo por honorarios "&amp;Registro_Compras!$C$148&amp;" de "&amp;Registro_Compras!$E$148&amp;" [PATRON POR CONFIRMAR CON CONTADOR]","Por el registro de la factura "&amp;Registro_Compras!$C$148&amp;" de "&amp;Registro_Compras!$E$148)))</f>
        <v/>
      </c>
      <c r="H1301" t="str">
        <f>IF($C1301="","",Registro_Compras!$C$148)</f>
        <v/>
      </c>
    </row>
    <row r="1302" spans="1:8" x14ac:dyDescent="0.25">
      <c r="A1302" s="25" t="str">
        <f>IF($C1302="","",Registro_Compras!$B$148)</f>
        <v/>
      </c>
      <c r="B1302" t="str">
        <f>IF($C1302="","","C"&amp;TEXT(INT((ROW()-5)/9)+1,"000")&amp;"-1")</f>
        <v/>
      </c>
      <c r="C1302" t="str">
        <f>IF(OR(Registro_Compras!$C$148="",Registro_Compras!$O$148=""),"",IF(Registro_Compras!$F$148="RHE",IF(Registro_Compras!$V$148=0,"","4017"),IF(Registro_Compras!$F$148="NOTA DE CREDITO",IF(Registro_Compras!$M$148="","63",Registro_Compras!$M$148),IF(Registro_Compras!$K$148=0,"","40111"))))</f>
        <v/>
      </c>
      <c r="D1302" t="str">
        <f>IF(OR(Registro_Compras!$C$148="",Registro_Compras!$O$148=""),"",IF(Registro_Compras!$F$148="RHE","Retencion Renta 4ta Categoria por Pagar",IF(Registro_Compras!$F$148="NOTA DE CREDITO","Gastos de Servicios Prestados por Terceros","IGV - Cuenta Propia (Credito Fiscal)")))</f>
        <v/>
      </c>
      <c r="E1302" s="20" t="str">
        <f>IF($C1302="","",IF(Registro_Compras!$F$148="FACTURA",ROUND(Registro_Compras!$K$148*Registro_Compras!$N$148,2),""))</f>
        <v/>
      </c>
      <c r="F1302" s="20" t="str">
        <f>IF($C1302="","",IF(Registro_Compras!$F$148="RHE",ROUND(Registro_Compras!$V$148*Registro_Compras!$N$148,2),IF(Registro_Compras!$F$148="NOTA DE CREDITO",ROUND(ABS(Registro_Compras!$J$148*Registro_Compras!$N$148),2),"")))</f>
        <v/>
      </c>
      <c r="G1302" t="str">
        <f>IF($C1302="","",IF(Registro_Compras!$F$148="NOTA DE CREDITO","Por la nota de credito "&amp;Registro_Compras!$C$148&amp;" de "&amp;Registro_Compras!$E$148&amp;" [PATRON POR CONFIRMAR CON CONTADOR]",IF(Registro_Compras!$F$148="RHE","Por el registro del recibo por honorarios "&amp;Registro_Compras!$C$148&amp;" de "&amp;Registro_Compras!$E$148&amp;" [PATRON POR CONFIRMAR CON CONTADOR]","Por el registro de la factura "&amp;Registro_Compras!$C$148&amp;" de "&amp;Registro_Compras!$E$148)))</f>
        <v/>
      </c>
      <c r="H1302" t="str">
        <f>IF($C1302="","",Registro_Compras!$C$148)</f>
        <v/>
      </c>
    </row>
    <row r="1303" spans="1:8" x14ac:dyDescent="0.25">
      <c r="A1303" s="25" t="str">
        <f>IF($C1303="","",Registro_Compras!$B$148)</f>
        <v/>
      </c>
      <c r="B1303" t="str">
        <f>IF($C1303="","","C"&amp;TEXT(INT((ROW()-5)/9)+1,"000")&amp;"-1")</f>
        <v/>
      </c>
      <c r="C1303" t="str">
        <f>IF(OR(Registro_Compras!$C$148="",Registro_Compras!$O$148=""),"",IF(Registro_Compras!$F$148="NOTA DE CREDITO",IF(Registro_Compras!$K$148=0,"","40111"),"4212"))</f>
        <v/>
      </c>
      <c r="D1303" t="str">
        <f>IF(OR(Registro_Compras!$C$148="",Registro_Compras!$O$148=""),"",IF(Registro_Compras!$F$148="NOTA DE CREDITO","IGV - Cuenta Propia (Credito Fiscal)","Cuentas por Pagar Comerciales - Terceros (Emitidas)"))</f>
        <v/>
      </c>
      <c r="E1303" s="20" t="str">
        <f>""</f>
        <v/>
      </c>
      <c r="F1303" s="20" t="str">
        <f>IF($C1303="","",IF(Registro_Compras!$F$148="NOTA DE CREDITO",ROUND(ABS(Registro_Compras!$K$148*Registro_Compras!$N$148),2),IF(Registro_Compras!$F$148="RHE",(ROUND(Registro_Compras!$L$148*Registro_Compras!$N$148,2)-ROUND(Registro_Compras!$V$148*Registro_Compras!$N$148,2)),Registro_Compras!$O$148)))</f>
        <v/>
      </c>
      <c r="G1303" t="str">
        <f>IF($C1303="","",IF(Registro_Compras!$F$148="NOTA DE CREDITO","Por la nota de credito "&amp;Registro_Compras!$C$148&amp;" de "&amp;Registro_Compras!$E$148&amp;" [PATRON POR CONFIRMAR CON CONTADOR]",IF(Registro_Compras!$F$148="RHE","Por el registro del recibo por honorarios "&amp;Registro_Compras!$C$148&amp;" de "&amp;Registro_Compras!$E$148&amp;" [PATRON POR CONFIRMAR CON CONTADOR]","Por el registro de la factura "&amp;Registro_Compras!$C$148&amp;" de "&amp;Registro_Compras!$E$148)))</f>
        <v/>
      </c>
      <c r="H1303" t="str">
        <f>IF($C1303="","",Registro_Compras!$C$148)</f>
        <v/>
      </c>
    </row>
    <row r="1304" spans="1:8" x14ac:dyDescent="0.25">
      <c r="A1304" s="25" t="str">
        <f>IF($C1304="","",Registro_Compras!$B$148)</f>
        <v/>
      </c>
      <c r="B1304" t="str">
        <f>IF($C1304="","","C"&amp;TEXT(INT((ROW()-5)/9)+1,"000")&amp;"-2")</f>
        <v/>
      </c>
      <c r="C1304" t="str">
        <f>IF(OR(Registro_Compras!$C$148="",Registro_Compras!$O$148=""),"",IF(Registro_Compras!$AB$148="ADMINISTRATIVO","94","95"))</f>
        <v/>
      </c>
      <c r="D1304" t="str">
        <f>IF(OR(Registro_Compras!$C$148="",Registro_Compras!$O$148=""),"",IF(Registro_Compras!$AB$148="ADMINISTRATIVO","Gastos Administrativos","Gastos de Venta y Operacion"))</f>
        <v/>
      </c>
      <c r="E1304" s="20" t="str">
        <f>IF($C1304="","",IF(Registro_Compras!$F$148="NOTA DE CREDITO","",IF(Registro_Compras!$F$148="RHE",ROUND(Registro_Compras!$L$148*Registro_Compras!$N$148,2),ROUND(Registro_Compras!$J$148*Registro_Compras!$N$148,2))))</f>
        <v/>
      </c>
      <c r="F1304" s="20" t="str">
        <f>IF($C1304="","",IF(Registro_Compras!$F$148="NOTA DE CREDITO",ROUND(ABS(Registro_Compras!$J$148*Registro_Compras!$N$148),2),""))</f>
        <v/>
      </c>
      <c r="G1304" t="str">
        <f>IF($C1304="","","Por el destino del gasto")</f>
        <v/>
      </c>
      <c r="H1304" t="str">
        <f>IF($C1304="","",Registro_Compras!$C$148)</f>
        <v/>
      </c>
    </row>
    <row r="1305" spans="1:8" x14ac:dyDescent="0.25">
      <c r="A1305" s="25" t="str">
        <f>IF($C1305="","",Registro_Compras!$B$148)</f>
        <v/>
      </c>
      <c r="B1305" t="str">
        <f>IF($C1305="","","C"&amp;TEXT(INT((ROW()-5)/9)+1,"000")&amp;"-2")</f>
        <v/>
      </c>
      <c r="C1305" t="str">
        <f>IF(OR(Registro_Compras!$C$148="",Registro_Compras!$O$148=""),"","79/791")</f>
        <v/>
      </c>
      <c r="D1305" t="str">
        <f>IF(OR(Registro_Compras!$C$148="",Registro_Compras!$O$148=""),"","Cargas Imputables a Cuentas de Costos y Gastos")</f>
        <v/>
      </c>
      <c r="E1305" s="20" t="str">
        <f>IF($C1305="","",IF(Registro_Compras!$F$148="NOTA DE CREDITO",ROUND(ABS(Registro_Compras!$J$148*Registro_Compras!$N$148),2),""))</f>
        <v/>
      </c>
      <c r="F1305" s="20" t="str">
        <f>IF($C1305="","",IF(Registro_Compras!$F$148="NOTA DE CREDITO","",IF(Registro_Compras!$F$148="RHE",ROUND(Registro_Compras!$L$148*Registro_Compras!$N$148,2),ROUND(Registro_Compras!$J$148*Registro_Compras!$N$148,2))))</f>
        <v/>
      </c>
      <c r="G1305" t="str">
        <f>IF($C1305="","","Por el destino del gasto")</f>
        <v/>
      </c>
      <c r="H1305" t="str">
        <f>IF($C1305="","",Registro_Compras!$C$148)</f>
        <v/>
      </c>
    </row>
    <row r="1306" spans="1:8" x14ac:dyDescent="0.25">
      <c r="A1306" s="25" t="str">
        <f>IF($C1306="","",Registro_Compras!$X$148)</f>
        <v/>
      </c>
      <c r="B1306" t="str">
        <f>IF($C1306="","","C"&amp;TEXT(INT((ROW()-5)/9)+1,"000")&amp;"-3")</f>
        <v/>
      </c>
      <c r="C1306" t="str">
        <f>IF(OR(Registro_Compras!$C$148="",Registro_Compras!$O$148="",Registro_Compras!$R$148&lt;&gt;"SI",Registro_Compras!$X$148=""),"","4212")</f>
        <v/>
      </c>
      <c r="D1306" t="str">
        <f>IF(OR(Registro_Compras!$C$148="",Registro_Compras!$O$148=""),"","Cuentas por Pagar Comerciales - Terceros")</f>
        <v/>
      </c>
      <c r="E1306" s="20" t="str">
        <f>IF($C1306="","",Registro_Compras!$S$148)</f>
        <v/>
      </c>
      <c r="F1306" s="20" t="str">
        <f>""</f>
        <v/>
      </c>
      <c r="G1306" t="str">
        <f>IF($C1306="","","Por el deposito de la detraccion en el Banco de la Nacion")</f>
        <v/>
      </c>
      <c r="H1306" t="str">
        <f>IF($C1306="","",Registro_Compras!$C$148)</f>
        <v/>
      </c>
    </row>
    <row r="1307" spans="1:8" x14ac:dyDescent="0.25">
      <c r="A1307" s="25" t="str">
        <f>IF($C1307="","",Registro_Compras!$X$148)</f>
        <v/>
      </c>
      <c r="B1307" t="str">
        <f>IF($C1307="","","C"&amp;TEXT(INT((ROW()-5)/9)+1,"000")&amp;"-3")</f>
        <v/>
      </c>
      <c r="C1307" t="str">
        <f>IF(OR(Registro_Compras!$C$148="",Registro_Compras!$O$148="",Registro_Compras!$R$148&lt;&gt;"SI",Registro_Compras!$X$148=""),"","1041")</f>
        <v/>
      </c>
      <c r="D1307" t="str">
        <f>IF(OR(Registro_Compras!$C$148="",Registro_Compras!$O$148=""),"","Efectivo y Equivalentes - Cta. Cte. Operativa")</f>
        <v/>
      </c>
      <c r="E1307" s="20" t="str">
        <f>""</f>
        <v/>
      </c>
      <c r="F1307" s="20" t="str">
        <f>IF($C1307="","",Registro_Compras!$S$148)</f>
        <v/>
      </c>
      <c r="G1307" t="str">
        <f>IF($C1307="","","Por el deposito de la detraccion en el Banco de la Nacion")</f>
        <v/>
      </c>
      <c r="H1307" t="str">
        <f>IF($C1307="","",Registro_Compras!$C$148)</f>
        <v/>
      </c>
    </row>
    <row r="1308" spans="1:8" x14ac:dyDescent="0.25">
      <c r="A1308" s="25" t="str">
        <f>IF($C1308="","",Registro_Compras!$Y$148)</f>
        <v/>
      </c>
      <c r="B1308" t="str">
        <f>IF($C1308="","","C"&amp;TEXT(INT((ROW()-5)/9)+1,"000")&amp;"-4")</f>
        <v/>
      </c>
      <c r="C1308" t="str">
        <f>IF(OR(Registro_Compras!$C$148="",Registro_Compras!$O$148="",Registro_Compras!$Y$148="",Registro_Compras!$F$148="NOTA DE CREDITO"),"","4212")</f>
        <v/>
      </c>
      <c r="D1308" t="str">
        <f>IF(OR(Registro_Compras!$C$148="",Registro_Compras!$O$148=""),"","Cuentas por Pagar Comerciales - Terceros")</f>
        <v/>
      </c>
      <c r="E1308" s="20" t="str">
        <f>IF($C1308="","",IF(Registro_Compras!$F$148="RHE",(ROUND(Registro_Compras!$L$148*Registro_Compras!$N$148,2)-ROUND(Registro_Compras!$V$148*Registro_Compras!$N$148,2)),ROUND(Registro_Compras!$O$148-Registro_Compras!$S$148,2)))</f>
        <v/>
      </c>
      <c r="F1308" s="20" t="str">
        <f>""</f>
        <v/>
      </c>
      <c r="G1308" t="str">
        <f>IF($C1308="","","Por la cancelacion del saldo al proveedor")</f>
        <v/>
      </c>
      <c r="H1308" t="str">
        <f>IF($C1308="","",Registro_Compras!$C$148)</f>
        <v/>
      </c>
    </row>
    <row r="1309" spans="1:8" x14ac:dyDescent="0.25">
      <c r="A1309" s="25" t="str">
        <f>IF($C1309="","",Registro_Compras!$Y$148)</f>
        <v/>
      </c>
      <c r="B1309" t="str">
        <f>IF($C1309="","","C"&amp;TEXT(INT((ROW()-5)/9)+1,"000")&amp;"-4")</f>
        <v/>
      </c>
      <c r="C1309" t="str">
        <f>IF(OR(Registro_Compras!$C$148="",Registro_Compras!$O$148="",Registro_Compras!$Y$148="",Registro_Compras!$F$148="NOTA DE CREDITO"),"","1041")</f>
        <v/>
      </c>
      <c r="D1309" t="str">
        <f>IF(OR(Registro_Compras!$C$148="",Registro_Compras!$O$148=""),"","Efectivo y Equivalentes - Cta. Cte. Operativa")</f>
        <v/>
      </c>
      <c r="E1309" s="20" t="str">
        <f>""</f>
        <v/>
      </c>
      <c r="F1309" s="20" t="str">
        <f>IF($C1309="","",IF(Registro_Compras!$F$148="RHE",(ROUND(Registro_Compras!$L$148*Registro_Compras!$N$148,2)-ROUND(Registro_Compras!$V$148*Registro_Compras!$N$148,2)),ROUND(Registro_Compras!$O$148-Registro_Compras!$S$148,2)))</f>
        <v/>
      </c>
      <c r="G1309" t="str">
        <f>IF($C1309="","","Por la cancelacion del saldo al proveedor")</f>
        <v/>
      </c>
      <c r="H1309" t="str">
        <f>IF($C1309="","",Registro_Compras!$C$148)</f>
        <v/>
      </c>
    </row>
    <row r="1310" spans="1:8" x14ac:dyDescent="0.25">
      <c r="A1310" s="25" t="str">
        <f>IF($C1310="","",Registro_Compras!$B$149)</f>
        <v/>
      </c>
      <c r="B1310" t="str">
        <f>IF($C1310="","","C"&amp;TEXT(INT((ROW()-5)/9)+1,"000")&amp;"-1")</f>
        <v/>
      </c>
      <c r="C1310" t="str">
        <f>IF(OR(Registro_Compras!$C$149="",Registro_Compras!$O$149=""),"",IF(Registro_Compras!$F$149="NOTA DE CREDITO","4212",IF(Registro_Compras!$M$149="","63",Registro_Compras!$M$149)))</f>
        <v/>
      </c>
      <c r="D1310" t="str">
        <f>IF(OR(Registro_Compras!$C$149="",Registro_Compras!$O$149=""),"",IF(Registro_Compras!$F$149="NOTA DE CREDITO","Cuentas por Pagar Comerciales - Terceros (Emitidas)",IF(Registro_Compras!$F$149="RHE","Honorarios Profesionales - Servicios de Terceros","Gastos de Servicios Prestados por Terceros")))</f>
        <v/>
      </c>
      <c r="E1310" s="20" t="str">
        <f>IF($C1310="","",IF(Registro_Compras!$F$149="NOTA DE CREDITO",ABS(Registro_Compras!$O$149),IF(Registro_Compras!$F$149="RHE",ROUND(Registro_Compras!$L$149*Registro_Compras!$N$149,2),ROUND(Registro_Compras!$J$149*Registro_Compras!$N$149,2))))</f>
        <v/>
      </c>
      <c r="F1310" s="20" t="str">
        <f>""</f>
        <v/>
      </c>
      <c r="G1310" t="str">
        <f>IF($C1310="","",IF(Registro_Compras!$F$149="NOTA DE CREDITO","Por la nota de credito "&amp;Registro_Compras!$C$149&amp;" de "&amp;Registro_Compras!$E$149&amp;" [PATRON POR CONFIRMAR CON CONTADOR]",IF(Registro_Compras!$F$149="RHE","Por el registro del recibo por honorarios "&amp;Registro_Compras!$C$149&amp;" de "&amp;Registro_Compras!$E$149&amp;" [PATRON POR CONFIRMAR CON CONTADOR]","Por el registro de la factura "&amp;Registro_Compras!$C$149&amp;" de "&amp;Registro_Compras!$E$149)))</f>
        <v/>
      </c>
      <c r="H1310" t="str">
        <f>IF($C1310="","",Registro_Compras!$C$149)</f>
        <v/>
      </c>
    </row>
    <row r="1311" spans="1:8" x14ac:dyDescent="0.25">
      <c r="A1311" s="25" t="str">
        <f>IF($C1311="","",Registro_Compras!$B$149)</f>
        <v/>
      </c>
      <c r="B1311" t="str">
        <f>IF($C1311="","","C"&amp;TEXT(INT((ROW()-5)/9)+1,"000")&amp;"-1")</f>
        <v/>
      </c>
      <c r="C1311" t="str">
        <f>IF(OR(Registro_Compras!$C$149="",Registro_Compras!$O$149=""),"",IF(Registro_Compras!$F$149="RHE",IF(Registro_Compras!$V$149=0,"","4017"),IF(Registro_Compras!$F$149="NOTA DE CREDITO",IF(Registro_Compras!$M$149="","63",Registro_Compras!$M$149),IF(Registro_Compras!$K$149=0,"","40111"))))</f>
        <v/>
      </c>
      <c r="D1311" t="str">
        <f>IF(OR(Registro_Compras!$C$149="",Registro_Compras!$O$149=""),"",IF(Registro_Compras!$F$149="RHE","Retencion Renta 4ta Categoria por Pagar",IF(Registro_Compras!$F$149="NOTA DE CREDITO","Gastos de Servicios Prestados por Terceros","IGV - Cuenta Propia (Credito Fiscal)")))</f>
        <v/>
      </c>
      <c r="E1311" s="20" t="str">
        <f>IF($C1311="","",IF(Registro_Compras!$F$149="FACTURA",ROUND(Registro_Compras!$K$149*Registro_Compras!$N$149,2),""))</f>
        <v/>
      </c>
      <c r="F1311" s="20" t="str">
        <f>IF($C1311="","",IF(Registro_Compras!$F$149="RHE",ROUND(Registro_Compras!$V$149*Registro_Compras!$N$149,2),IF(Registro_Compras!$F$149="NOTA DE CREDITO",ROUND(ABS(Registro_Compras!$J$149*Registro_Compras!$N$149),2),"")))</f>
        <v/>
      </c>
      <c r="G1311" t="str">
        <f>IF($C1311="","",IF(Registro_Compras!$F$149="NOTA DE CREDITO","Por la nota de credito "&amp;Registro_Compras!$C$149&amp;" de "&amp;Registro_Compras!$E$149&amp;" [PATRON POR CONFIRMAR CON CONTADOR]",IF(Registro_Compras!$F$149="RHE","Por el registro del recibo por honorarios "&amp;Registro_Compras!$C$149&amp;" de "&amp;Registro_Compras!$E$149&amp;" [PATRON POR CONFIRMAR CON CONTADOR]","Por el registro de la factura "&amp;Registro_Compras!$C$149&amp;" de "&amp;Registro_Compras!$E$149)))</f>
        <v/>
      </c>
      <c r="H1311" t="str">
        <f>IF($C1311="","",Registro_Compras!$C$149)</f>
        <v/>
      </c>
    </row>
    <row r="1312" spans="1:8" x14ac:dyDescent="0.25">
      <c r="A1312" s="25" t="str">
        <f>IF($C1312="","",Registro_Compras!$B$149)</f>
        <v/>
      </c>
      <c r="B1312" t="str">
        <f>IF($C1312="","","C"&amp;TEXT(INT((ROW()-5)/9)+1,"000")&amp;"-1")</f>
        <v/>
      </c>
      <c r="C1312" t="str">
        <f>IF(OR(Registro_Compras!$C$149="",Registro_Compras!$O$149=""),"",IF(Registro_Compras!$F$149="NOTA DE CREDITO",IF(Registro_Compras!$K$149=0,"","40111"),"4212"))</f>
        <v/>
      </c>
      <c r="D1312" t="str">
        <f>IF(OR(Registro_Compras!$C$149="",Registro_Compras!$O$149=""),"",IF(Registro_Compras!$F$149="NOTA DE CREDITO","IGV - Cuenta Propia (Credito Fiscal)","Cuentas por Pagar Comerciales - Terceros (Emitidas)"))</f>
        <v/>
      </c>
      <c r="E1312" s="20" t="str">
        <f>""</f>
        <v/>
      </c>
      <c r="F1312" s="20" t="str">
        <f>IF($C1312="","",IF(Registro_Compras!$F$149="NOTA DE CREDITO",ROUND(ABS(Registro_Compras!$K$149*Registro_Compras!$N$149),2),IF(Registro_Compras!$F$149="RHE",(ROUND(Registro_Compras!$L$149*Registro_Compras!$N$149,2)-ROUND(Registro_Compras!$V$149*Registro_Compras!$N$149,2)),Registro_Compras!$O$149)))</f>
        <v/>
      </c>
      <c r="G1312" t="str">
        <f>IF($C1312="","",IF(Registro_Compras!$F$149="NOTA DE CREDITO","Por la nota de credito "&amp;Registro_Compras!$C$149&amp;" de "&amp;Registro_Compras!$E$149&amp;" [PATRON POR CONFIRMAR CON CONTADOR]",IF(Registro_Compras!$F$149="RHE","Por el registro del recibo por honorarios "&amp;Registro_Compras!$C$149&amp;" de "&amp;Registro_Compras!$E$149&amp;" [PATRON POR CONFIRMAR CON CONTADOR]","Por el registro de la factura "&amp;Registro_Compras!$C$149&amp;" de "&amp;Registro_Compras!$E$149)))</f>
        <v/>
      </c>
      <c r="H1312" t="str">
        <f>IF($C1312="","",Registro_Compras!$C$149)</f>
        <v/>
      </c>
    </row>
    <row r="1313" spans="1:8" x14ac:dyDescent="0.25">
      <c r="A1313" s="25" t="str">
        <f>IF($C1313="","",Registro_Compras!$B$149)</f>
        <v/>
      </c>
      <c r="B1313" t="str">
        <f>IF($C1313="","","C"&amp;TEXT(INT((ROW()-5)/9)+1,"000")&amp;"-2")</f>
        <v/>
      </c>
      <c r="C1313" t="str">
        <f>IF(OR(Registro_Compras!$C$149="",Registro_Compras!$O$149=""),"",IF(Registro_Compras!$AB$149="ADMINISTRATIVO","94","95"))</f>
        <v/>
      </c>
      <c r="D1313" t="str">
        <f>IF(OR(Registro_Compras!$C$149="",Registro_Compras!$O$149=""),"",IF(Registro_Compras!$AB$149="ADMINISTRATIVO","Gastos Administrativos","Gastos de Venta y Operacion"))</f>
        <v/>
      </c>
      <c r="E1313" s="20" t="str">
        <f>IF($C1313="","",IF(Registro_Compras!$F$149="NOTA DE CREDITO","",IF(Registro_Compras!$F$149="RHE",ROUND(Registro_Compras!$L$149*Registro_Compras!$N$149,2),ROUND(Registro_Compras!$J$149*Registro_Compras!$N$149,2))))</f>
        <v/>
      </c>
      <c r="F1313" s="20" t="str">
        <f>IF($C1313="","",IF(Registro_Compras!$F$149="NOTA DE CREDITO",ROUND(ABS(Registro_Compras!$J$149*Registro_Compras!$N$149),2),""))</f>
        <v/>
      </c>
      <c r="G1313" t="str">
        <f>IF($C1313="","","Por el destino del gasto")</f>
        <v/>
      </c>
      <c r="H1313" t="str">
        <f>IF($C1313="","",Registro_Compras!$C$149)</f>
        <v/>
      </c>
    </row>
    <row r="1314" spans="1:8" x14ac:dyDescent="0.25">
      <c r="A1314" s="25" t="str">
        <f>IF($C1314="","",Registro_Compras!$B$149)</f>
        <v/>
      </c>
      <c r="B1314" t="str">
        <f>IF($C1314="","","C"&amp;TEXT(INT((ROW()-5)/9)+1,"000")&amp;"-2")</f>
        <v/>
      </c>
      <c r="C1314" t="str">
        <f>IF(OR(Registro_Compras!$C$149="",Registro_Compras!$O$149=""),"","79/791")</f>
        <v/>
      </c>
      <c r="D1314" t="str">
        <f>IF(OR(Registro_Compras!$C$149="",Registro_Compras!$O$149=""),"","Cargas Imputables a Cuentas de Costos y Gastos")</f>
        <v/>
      </c>
      <c r="E1314" s="20" t="str">
        <f>IF($C1314="","",IF(Registro_Compras!$F$149="NOTA DE CREDITO",ROUND(ABS(Registro_Compras!$J$149*Registro_Compras!$N$149),2),""))</f>
        <v/>
      </c>
      <c r="F1314" s="20" t="str">
        <f>IF($C1314="","",IF(Registro_Compras!$F$149="NOTA DE CREDITO","",IF(Registro_Compras!$F$149="RHE",ROUND(Registro_Compras!$L$149*Registro_Compras!$N$149,2),ROUND(Registro_Compras!$J$149*Registro_Compras!$N$149,2))))</f>
        <v/>
      </c>
      <c r="G1314" t="str">
        <f>IF($C1314="","","Por el destino del gasto")</f>
        <v/>
      </c>
      <c r="H1314" t="str">
        <f>IF($C1314="","",Registro_Compras!$C$149)</f>
        <v/>
      </c>
    </row>
    <row r="1315" spans="1:8" x14ac:dyDescent="0.25">
      <c r="A1315" s="25" t="str">
        <f>IF($C1315="","",Registro_Compras!$X$149)</f>
        <v/>
      </c>
      <c r="B1315" t="str">
        <f>IF($C1315="","","C"&amp;TEXT(INT((ROW()-5)/9)+1,"000")&amp;"-3")</f>
        <v/>
      </c>
      <c r="C1315" t="str">
        <f>IF(OR(Registro_Compras!$C$149="",Registro_Compras!$O$149="",Registro_Compras!$R$149&lt;&gt;"SI",Registro_Compras!$X$149=""),"","4212")</f>
        <v/>
      </c>
      <c r="D1315" t="str">
        <f>IF(OR(Registro_Compras!$C$149="",Registro_Compras!$O$149=""),"","Cuentas por Pagar Comerciales - Terceros")</f>
        <v/>
      </c>
      <c r="E1315" s="20" t="str">
        <f>IF($C1315="","",Registro_Compras!$S$149)</f>
        <v/>
      </c>
      <c r="F1315" s="20" t="str">
        <f>""</f>
        <v/>
      </c>
      <c r="G1315" t="str">
        <f>IF($C1315="","","Por el deposito de la detraccion en el Banco de la Nacion")</f>
        <v/>
      </c>
      <c r="H1315" t="str">
        <f>IF($C1315="","",Registro_Compras!$C$149)</f>
        <v/>
      </c>
    </row>
    <row r="1316" spans="1:8" x14ac:dyDescent="0.25">
      <c r="A1316" s="25" t="str">
        <f>IF($C1316="","",Registro_Compras!$X$149)</f>
        <v/>
      </c>
      <c r="B1316" t="str">
        <f>IF($C1316="","","C"&amp;TEXT(INT((ROW()-5)/9)+1,"000")&amp;"-3")</f>
        <v/>
      </c>
      <c r="C1316" t="str">
        <f>IF(OR(Registro_Compras!$C$149="",Registro_Compras!$O$149="",Registro_Compras!$R$149&lt;&gt;"SI",Registro_Compras!$X$149=""),"","1041")</f>
        <v/>
      </c>
      <c r="D1316" t="str">
        <f>IF(OR(Registro_Compras!$C$149="",Registro_Compras!$O$149=""),"","Efectivo y Equivalentes - Cta. Cte. Operativa")</f>
        <v/>
      </c>
      <c r="E1316" s="20" t="str">
        <f>""</f>
        <v/>
      </c>
      <c r="F1316" s="20" t="str">
        <f>IF($C1316="","",Registro_Compras!$S$149)</f>
        <v/>
      </c>
      <c r="G1316" t="str">
        <f>IF($C1316="","","Por el deposito de la detraccion en el Banco de la Nacion")</f>
        <v/>
      </c>
      <c r="H1316" t="str">
        <f>IF($C1316="","",Registro_Compras!$C$149)</f>
        <v/>
      </c>
    </row>
    <row r="1317" spans="1:8" x14ac:dyDescent="0.25">
      <c r="A1317" s="25" t="str">
        <f>IF($C1317="","",Registro_Compras!$Y$149)</f>
        <v/>
      </c>
      <c r="B1317" t="str">
        <f>IF($C1317="","","C"&amp;TEXT(INT((ROW()-5)/9)+1,"000")&amp;"-4")</f>
        <v/>
      </c>
      <c r="C1317" t="str">
        <f>IF(OR(Registro_Compras!$C$149="",Registro_Compras!$O$149="",Registro_Compras!$Y$149="",Registro_Compras!$F$149="NOTA DE CREDITO"),"","4212")</f>
        <v/>
      </c>
      <c r="D1317" t="str">
        <f>IF(OR(Registro_Compras!$C$149="",Registro_Compras!$O$149=""),"","Cuentas por Pagar Comerciales - Terceros")</f>
        <v/>
      </c>
      <c r="E1317" s="20" t="str">
        <f>IF($C1317="","",IF(Registro_Compras!$F$149="RHE",(ROUND(Registro_Compras!$L$149*Registro_Compras!$N$149,2)-ROUND(Registro_Compras!$V$149*Registro_Compras!$N$149,2)),ROUND(Registro_Compras!$O$149-Registro_Compras!$S$149,2)))</f>
        <v/>
      </c>
      <c r="F1317" s="20" t="str">
        <f>""</f>
        <v/>
      </c>
      <c r="G1317" t="str">
        <f>IF($C1317="","","Por la cancelacion del saldo al proveedor")</f>
        <v/>
      </c>
      <c r="H1317" t="str">
        <f>IF($C1317="","",Registro_Compras!$C$149)</f>
        <v/>
      </c>
    </row>
    <row r="1318" spans="1:8" x14ac:dyDescent="0.25">
      <c r="A1318" s="25" t="str">
        <f>IF($C1318="","",Registro_Compras!$Y$149)</f>
        <v/>
      </c>
      <c r="B1318" t="str">
        <f>IF($C1318="","","C"&amp;TEXT(INT((ROW()-5)/9)+1,"000")&amp;"-4")</f>
        <v/>
      </c>
      <c r="C1318" t="str">
        <f>IF(OR(Registro_Compras!$C$149="",Registro_Compras!$O$149="",Registro_Compras!$Y$149="",Registro_Compras!$F$149="NOTA DE CREDITO"),"","1041")</f>
        <v/>
      </c>
      <c r="D1318" t="str">
        <f>IF(OR(Registro_Compras!$C$149="",Registro_Compras!$O$149=""),"","Efectivo y Equivalentes - Cta. Cte. Operativa")</f>
        <v/>
      </c>
      <c r="E1318" s="20" t="str">
        <f>""</f>
        <v/>
      </c>
      <c r="F1318" s="20" t="str">
        <f>IF($C1318="","",IF(Registro_Compras!$F$149="RHE",(ROUND(Registro_Compras!$L$149*Registro_Compras!$N$149,2)-ROUND(Registro_Compras!$V$149*Registro_Compras!$N$149,2)),ROUND(Registro_Compras!$O$149-Registro_Compras!$S$149,2)))</f>
        <v/>
      </c>
      <c r="G1318" t="str">
        <f>IF($C1318="","","Por la cancelacion del saldo al proveedor")</f>
        <v/>
      </c>
      <c r="H1318" t="str">
        <f>IF($C1318="","",Registro_Compras!$C$149)</f>
        <v/>
      </c>
    </row>
    <row r="1319" spans="1:8" x14ac:dyDescent="0.25">
      <c r="A1319" s="25" t="str">
        <f>IF($C1319="","",Registro_Compras!$B$150)</f>
        <v/>
      </c>
      <c r="B1319" t="str">
        <f>IF($C1319="","","C"&amp;TEXT(INT((ROW()-5)/9)+1,"000")&amp;"-1")</f>
        <v/>
      </c>
      <c r="C1319" t="str">
        <f>IF(OR(Registro_Compras!$C$150="",Registro_Compras!$O$150=""),"",IF(Registro_Compras!$F$150="NOTA DE CREDITO","4212",IF(Registro_Compras!$M$150="","63",Registro_Compras!$M$150)))</f>
        <v/>
      </c>
      <c r="D1319" t="str">
        <f>IF(OR(Registro_Compras!$C$150="",Registro_Compras!$O$150=""),"",IF(Registro_Compras!$F$150="NOTA DE CREDITO","Cuentas por Pagar Comerciales - Terceros (Emitidas)",IF(Registro_Compras!$F$150="RHE","Honorarios Profesionales - Servicios de Terceros","Gastos de Servicios Prestados por Terceros")))</f>
        <v/>
      </c>
      <c r="E1319" s="20" t="str">
        <f>IF($C1319="","",IF(Registro_Compras!$F$150="NOTA DE CREDITO",ABS(Registro_Compras!$O$150),IF(Registro_Compras!$F$150="RHE",ROUND(Registro_Compras!$L$150*Registro_Compras!$N$150,2),ROUND(Registro_Compras!$J$150*Registro_Compras!$N$150,2))))</f>
        <v/>
      </c>
      <c r="F1319" s="20" t="str">
        <f>""</f>
        <v/>
      </c>
      <c r="G1319" t="str">
        <f>IF($C1319="","",IF(Registro_Compras!$F$150="NOTA DE CREDITO","Por la nota de credito "&amp;Registro_Compras!$C$150&amp;" de "&amp;Registro_Compras!$E$150&amp;" [PATRON POR CONFIRMAR CON CONTADOR]",IF(Registro_Compras!$F$150="RHE","Por el registro del recibo por honorarios "&amp;Registro_Compras!$C$150&amp;" de "&amp;Registro_Compras!$E$150&amp;" [PATRON POR CONFIRMAR CON CONTADOR]","Por el registro de la factura "&amp;Registro_Compras!$C$150&amp;" de "&amp;Registro_Compras!$E$150)))</f>
        <v/>
      </c>
      <c r="H1319" t="str">
        <f>IF($C1319="","",Registro_Compras!$C$150)</f>
        <v/>
      </c>
    </row>
    <row r="1320" spans="1:8" x14ac:dyDescent="0.25">
      <c r="A1320" s="25" t="str">
        <f>IF($C1320="","",Registro_Compras!$B$150)</f>
        <v/>
      </c>
      <c r="B1320" t="str">
        <f>IF($C1320="","","C"&amp;TEXT(INT((ROW()-5)/9)+1,"000")&amp;"-1")</f>
        <v/>
      </c>
      <c r="C1320" t="str">
        <f>IF(OR(Registro_Compras!$C$150="",Registro_Compras!$O$150=""),"",IF(Registro_Compras!$F$150="RHE",IF(Registro_Compras!$V$150=0,"","4017"),IF(Registro_Compras!$F$150="NOTA DE CREDITO",IF(Registro_Compras!$M$150="","63",Registro_Compras!$M$150),IF(Registro_Compras!$K$150=0,"","40111"))))</f>
        <v/>
      </c>
      <c r="D1320" t="str">
        <f>IF(OR(Registro_Compras!$C$150="",Registro_Compras!$O$150=""),"",IF(Registro_Compras!$F$150="RHE","Retencion Renta 4ta Categoria por Pagar",IF(Registro_Compras!$F$150="NOTA DE CREDITO","Gastos de Servicios Prestados por Terceros","IGV - Cuenta Propia (Credito Fiscal)")))</f>
        <v/>
      </c>
      <c r="E1320" s="20" t="str">
        <f>IF($C1320="","",IF(Registro_Compras!$F$150="FACTURA",ROUND(Registro_Compras!$K$150*Registro_Compras!$N$150,2),""))</f>
        <v/>
      </c>
      <c r="F1320" s="20" t="str">
        <f>IF($C1320="","",IF(Registro_Compras!$F$150="RHE",ROUND(Registro_Compras!$V$150*Registro_Compras!$N$150,2),IF(Registro_Compras!$F$150="NOTA DE CREDITO",ROUND(ABS(Registro_Compras!$J$150*Registro_Compras!$N$150),2),"")))</f>
        <v/>
      </c>
      <c r="G1320" t="str">
        <f>IF($C1320="","",IF(Registro_Compras!$F$150="NOTA DE CREDITO","Por la nota de credito "&amp;Registro_Compras!$C$150&amp;" de "&amp;Registro_Compras!$E$150&amp;" [PATRON POR CONFIRMAR CON CONTADOR]",IF(Registro_Compras!$F$150="RHE","Por el registro del recibo por honorarios "&amp;Registro_Compras!$C$150&amp;" de "&amp;Registro_Compras!$E$150&amp;" [PATRON POR CONFIRMAR CON CONTADOR]","Por el registro de la factura "&amp;Registro_Compras!$C$150&amp;" de "&amp;Registro_Compras!$E$150)))</f>
        <v/>
      </c>
      <c r="H1320" t="str">
        <f>IF($C1320="","",Registro_Compras!$C$150)</f>
        <v/>
      </c>
    </row>
    <row r="1321" spans="1:8" x14ac:dyDescent="0.25">
      <c r="A1321" s="25" t="str">
        <f>IF($C1321="","",Registro_Compras!$B$150)</f>
        <v/>
      </c>
      <c r="B1321" t="str">
        <f>IF($C1321="","","C"&amp;TEXT(INT((ROW()-5)/9)+1,"000")&amp;"-1")</f>
        <v/>
      </c>
      <c r="C1321" t="str">
        <f>IF(OR(Registro_Compras!$C$150="",Registro_Compras!$O$150=""),"",IF(Registro_Compras!$F$150="NOTA DE CREDITO",IF(Registro_Compras!$K$150=0,"","40111"),"4212"))</f>
        <v/>
      </c>
      <c r="D1321" t="str">
        <f>IF(OR(Registro_Compras!$C$150="",Registro_Compras!$O$150=""),"",IF(Registro_Compras!$F$150="NOTA DE CREDITO","IGV - Cuenta Propia (Credito Fiscal)","Cuentas por Pagar Comerciales - Terceros (Emitidas)"))</f>
        <v/>
      </c>
      <c r="E1321" s="20" t="str">
        <f>""</f>
        <v/>
      </c>
      <c r="F1321" s="20" t="str">
        <f>IF($C1321="","",IF(Registro_Compras!$F$150="NOTA DE CREDITO",ROUND(ABS(Registro_Compras!$K$150*Registro_Compras!$N$150),2),IF(Registro_Compras!$F$150="RHE",(ROUND(Registro_Compras!$L$150*Registro_Compras!$N$150,2)-ROUND(Registro_Compras!$V$150*Registro_Compras!$N$150,2)),Registro_Compras!$O$150)))</f>
        <v/>
      </c>
      <c r="G1321" t="str">
        <f>IF($C1321="","",IF(Registro_Compras!$F$150="NOTA DE CREDITO","Por la nota de credito "&amp;Registro_Compras!$C$150&amp;" de "&amp;Registro_Compras!$E$150&amp;" [PATRON POR CONFIRMAR CON CONTADOR]",IF(Registro_Compras!$F$150="RHE","Por el registro del recibo por honorarios "&amp;Registro_Compras!$C$150&amp;" de "&amp;Registro_Compras!$E$150&amp;" [PATRON POR CONFIRMAR CON CONTADOR]","Por el registro de la factura "&amp;Registro_Compras!$C$150&amp;" de "&amp;Registro_Compras!$E$150)))</f>
        <v/>
      </c>
      <c r="H1321" t="str">
        <f>IF($C1321="","",Registro_Compras!$C$150)</f>
        <v/>
      </c>
    </row>
    <row r="1322" spans="1:8" x14ac:dyDescent="0.25">
      <c r="A1322" s="25" t="str">
        <f>IF($C1322="","",Registro_Compras!$B$150)</f>
        <v/>
      </c>
      <c r="B1322" t="str">
        <f>IF($C1322="","","C"&amp;TEXT(INT((ROW()-5)/9)+1,"000")&amp;"-2")</f>
        <v/>
      </c>
      <c r="C1322" t="str">
        <f>IF(OR(Registro_Compras!$C$150="",Registro_Compras!$O$150=""),"",IF(Registro_Compras!$AB$150="ADMINISTRATIVO","94","95"))</f>
        <v/>
      </c>
      <c r="D1322" t="str">
        <f>IF(OR(Registro_Compras!$C$150="",Registro_Compras!$O$150=""),"",IF(Registro_Compras!$AB$150="ADMINISTRATIVO","Gastos Administrativos","Gastos de Venta y Operacion"))</f>
        <v/>
      </c>
      <c r="E1322" s="20" t="str">
        <f>IF($C1322="","",IF(Registro_Compras!$F$150="NOTA DE CREDITO","",IF(Registro_Compras!$F$150="RHE",ROUND(Registro_Compras!$L$150*Registro_Compras!$N$150,2),ROUND(Registro_Compras!$J$150*Registro_Compras!$N$150,2))))</f>
        <v/>
      </c>
      <c r="F1322" s="20" t="str">
        <f>IF($C1322="","",IF(Registro_Compras!$F$150="NOTA DE CREDITO",ROUND(ABS(Registro_Compras!$J$150*Registro_Compras!$N$150),2),""))</f>
        <v/>
      </c>
      <c r="G1322" t="str">
        <f>IF($C1322="","","Por el destino del gasto")</f>
        <v/>
      </c>
      <c r="H1322" t="str">
        <f>IF($C1322="","",Registro_Compras!$C$150)</f>
        <v/>
      </c>
    </row>
    <row r="1323" spans="1:8" x14ac:dyDescent="0.25">
      <c r="A1323" s="25" t="str">
        <f>IF($C1323="","",Registro_Compras!$B$150)</f>
        <v/>
      </c>
      <c r="B1323" t="str">
        <f>IF($C1323="","","C"&amp;TEXT(INT((ROW()-5)/9)+1,"000")&amp;"-2")</f>
        <v/>
      </c>
      <c r="C1323" t="str">
        <f>IF(OR(Registro_Compras!$C$150="",Registro_Compras!$O$150=""),"","79/791")</f>
        <v/>
      </c>
      <c r="D1323" t="str">
        <f>IF(OR(Registro_Compras!$C$150="",Registro_Compras!$O$150=""),"","Cargas Imputables a Cuentas de Costos y Gastos")</f>
        <v/>
      </c>
      <c r="E1323" s="20" t="str">
        <f>IF($C1323="","",IF(Registro_Compras!$F$150="NOTA DE CREDITO",ROUND(ABS(Registro_Compras!$J$150*Registro_Compras!$N$150),2),""))</f>
        <v/>
      </c>
      <c r="F1323" s="20" t="str">
        <f>IF($C1323="","",IF(Registro_Compras!$F$150="NOTA DE CREDITO","",IF(Registro_Compras!$F$150="RHE",ROUND(Registro_Compras!$L$150*Registro_Compras!$N$150,2),ROUND(Registro_Compras!$J$150*Registro_Compras!$N$150,2))))</f>
        <v/>
      </c>
      <c r="G1323" t="str">
        <f>IF($C1323="","","Por el destino del gasto")</f>
        <v/>
      </c>
      <c r="H1323" t="str">
        <f>IF($C1323="","",Registro_Compras!$C$150)</f>
        <v/>
      </c>
    </row>
    <row r="1324" spans="1:8" x14ac:dyDescent="0.25">
      <c r="A1324" s="25" t="str">
        <f>IF($C1324="","",Registro_Compras!$X$150)</f>
        <v/>
      </c>
      <c r="B1324" t="str">
        <f>IF($C1324="","","C"&amp;TEXT(INT((ROW()-5)/9)+1,"000")&amp;"-3")</f>
        <v/>
      </c>
      <c r="C1324" t="str">
        <f>IF(OR(Registro_Compras!$C$150="",Registro_Compras!$O$150="",Registro_Compras!$R$150&lt;&gt;"SI",Registro_Compras!$X$150=""),"","4212")</f>
        <v/>
      </c>
      <c r="D1324" t="str">
        <f>IF(OR(Registro_Compras!$C$150="",Registro_Compras!$O$150=""),"","Cuentas por Pagar Comerciales - Terceros")</f>
        <v/>
      </c>
      <c r="E1324" s="20" t="str">
        <f>IF($C1324="","",Registro_Compras!$S$150)</f>
        <v/>
      </c>
      <c r="F1324" s="20" t="str">
        <f>""</f>
        <v/>
      </c>
      <c r="G1324" t="str">
        <f>IF($C1324="","","Por el deposito de la detraccion en el Banco de la Nacion")</f>
        <v/>
      </c>
      <c r="H1324" t="str">
        <f>IF($C1324="","",Registro_Compras!$C$150)</f>
        <v/>
      </c>
    </row>
    <row r="1325" spans="1:8" x14ac:dyDescent="0.25">
      <c r="A1325" s="25" t="str">
        <f>IF($C1325="","",Registro_Compras!$X$150)</f>
        <v/>
      </c>
      <c r="B1325" t="str">
        <f>IF($C1325="","","C"&amp;TEXT(INT((ROW()-5)/9)+1,"000")&amp;"-3")</f>
        <v/>
      </c>
      <c r="C1325" t="str">
        <f>IF(OR(Registro_Compras!$C$150="",Registro_Compras!$O$150="",Registro_Compras!$R$150&lt;&gt;"SI",Registro_Compras!$X$150=""),"","1041")</f>
        <v/>
      </c>
      <c r="D1325" t="str">
        <f>IF(OR(Registro_Compras!$C$150="",Registro_Compras!$O$150=""),"","Efectivo y Equivalentes - Cta. Cte. Operativa")</f>
        <v/>
      </c>
      <c r="E1325" s="20" t="str">
        <f>""</f>
        <v/>
      </c>
      <c r="F1325" s="20" t="str">
        <f>IF($C1325="","",Registro_Compras!$S$150)</f>
        <v/>
      </c>
      <c r="G1325" t="str">
        <f>IF($C1325="","","Por el deposito de la detraccion en el Banco de la Nacion")</f>
        <v/>
      </c>
      <c r="H1325" t="str">
        <f>IF($C1325="","",Registro_Compras!$C$150)</f>
        <v/>
      </c>
    </row>
    <row r="1326" spans="1:8" x14ac:dyDescent="0.25">
      <c r="A1326" s="25" t="str">
        <f>IF($C1326="","",Registro_Compras!$Y$150)</f>
        <v/>
      </c>
      <c r="B1326" t="str">
        <f>IF($C1326="","","C"&amp;TEXT(INT((ROW()-5)/9)+1,"000")&amp;"-4")</f>
        <v/>
      </c>
      <c r="C1326" t="str">
        <f>IF(OR(Registro_Compras!$C$150="",Registro_Compras!$O$150="",Registro_Compras!$Y$150="",Registro_Compras!$F$150="NOTA DE CREDITO"),"","4212")</f>
        <v/>
      </c>
      <c r="D1326" t="str">
        <f>IF(OR(Registro_Compras!$C$150="",Registro_Compras!$O$150=""),"","Cuentas por Pagar Comerciales - Terceros")</f>
        <v/>
      </c>
      <c r="E1326" s="20" t="str">
        <f>IF($C1326="","",IF(Registro_Compras!$F$150="RHE",(ROUND(Registro_Compras!$L$150*Registro_Compras!$N$150,2)-ROUND(Registro_Compras!$V$150*Registro_Compras!$N$150,2)),ROUND(Registro_Compras!$O$150-Registro_Compras!$S$150,2)))</f>
        <v/>
      </c>
      <c r="F1326" s="20" t="str">
        <f>""</f>
        <v/>
      </c>
      <c r="G1326" t="str">
        <f>IF($C1326="","","Por la cancelacion del saldo al proveedor")</f>
        <v/>
      </c>
      <c r="H1326" t="str">
        <f>IF($C1326="","",Registro_Compras!$C$150)</f>
        <v/>
      </c>
    </row>
    <row r="1327" spans="1:8" x14ac:dyDescent="0.25">
      <c r="A1327" s="25" t="str">
        <f>IF($C1327="","",Registro_Compras!$Y$150)</f>
        <v/>
      </c>
      <c r="B1327" t="str">
        <f>IF($C1327="","","C"&amp;TEXT(INT((ROW()-5)/9)+1,"000")&amp;"-4")</f>
        <v/>
      </c>
      <c r="C1327" t="str">
        <f>IF(OR(Registro_Compras!$C$150="",Registro_Compras!$O$150="",Registro_Compras!$Y$150="",Registro_Compras!$F$150="NOTA DE CREDITO"),"","1041")</f>
        <v/>
      </c>
      <c r="D1327" t="str">
        <f>IF(OR(Registro_Compras!$C$150="",Registro_Compras!$O$150=""),"","Efectivo y Equivalentes - Cta. Cte. Operativa")</f>
        <v/>
      </c>
      <c r="E1327" s="20" t="str">
        <f>""</f>
        <v/>
      </c>
      <c r="F1327" s="20" t="str">
        <f>IF($C1327="","",IF(Registro_Compras!$F$150="RHE",(ROUND(Registro_Compras!$L$150*Registro_Compras!$N$150,2)-ROUND(Registro_Compras!$V$150*Registro_Compras!$N$150,2)),ROUND(Registro_Compras!$O$150-Registro_Compras!$S$150,2)))</f>
        <v/>
      </c>
      <c r="G1327" t="str">
        <f>IF($C1327="","","Por la cancelacion del saldo al proveedor")</f>
        <v/>
      </c>
      <c r="H1327" t="str">
        <f>IF($C1327="","",Registro_Compras!$C$150)</f>
        <v/>
      </c>
    </row>
    <row r="1328" spans="1:8" x14ac:dyDescent="0.25">
      <c r="A1328" s="25" t="str">
        <f>IF($C1328="","",Registro_Compras!$B$151)</f>
        <v/>
      </c>
      <c r="B1328" t="str">
        <f>IF($C1328="","","C"&amp;TEXT(INT((ROW()-5)/9)+1,"000")&amp;"-1")</f>
        <v/>
      </c>
      <c r="C1328" t="str">
        <f>IF(OR(Registro_Compras!$C$151="",Registro_Compras!$O$151=""),"",IF(Registro_Compras!$F$151="NOTA DE CREDITO","4212",IF(Registro_Compras!$M$151="","63",Registro_Compras!$M$151)))</f>
        <v/>
      </c>
      <c r="D1328" t="str">
        <f>IF(OR(Registro_Compras!$C$151="",Registro_Compras!$O$151=""),"",IF(Registro_Compras!$F$151="NOTA DE CREDITO","Cuentas por Pagar Comerciales - Terceros (Emitidas)",IF(Registro_Compras!$F$151="RHE","Honorarios Profesionales - Servicios de Terceros","Gastos de Servicios Prestados por Terceros")))</f>
        <v/>
      </c>
      <c r="E1328" s="20" t="str">
        <f>IF($C1328="","",IF(Registro_Compras!$F$151="NOTA DE CREDITO",ABS(Registro_Compras!$O$151),IF(Registro_Compras!$F$151="RHE",ROUND(Registro_Compras!$L$151*Registro_Compras!$N$151,2),ROUND(Registro_Compras!$J$151*Registro_Compras!$N$151,2))))</f>
        <v/>
      </c>
      <c r="F1328" s="20" t="str">
        <f>""</f>
        <v/>
      </c>
      <c r="G1328" t="str">
        <f>IF($C1328="","",IF(Registro_Compras!$F$151="NOTA DE CREDITO","Por la nota de credito "&amp;Registro_Compras!$C$151&amp;" de "&amp;Registro_Compras!$E$151&amp;" [PATRON POR CONFIRMAR CON CONTADOR]",IF(Registro_Compras!$F$151="RHE","Por el registro del recibo por honorarios "&amp;Registro_Compras!$C$151&amp;" de "&amp;Registro_Compras!$E$151&amp;" [PATRON POR CONFIRMAR CON CONTADOR]","Por el registro de la factura "&amp;Registro_Compras!$C$151&amp;" de "&amp;Registro_Compras!$E$151)))</f>
        <v/>
      </c>
      <c r="H1328" t="str">
        <f>IF($C1328="","",Registro_Compras!$C$151)</f>
        <v/>
      </c>
    </row>
    <row r="1329" spans="1:8" x14ac:dyDescent="0.25">
      <c r="A1329" s="25" t="str">
        <f>IF($C1329="","",Registro_Compras!$B$151)</f>
        <v/>
      </c>
      <c r="B1329" t="str">
        <f>IF($C1329="","","C"&amp;TEXT(INT((ROW()-5)/9)+1,"000")&amp;"-1")</f>
        <v/>
      </c>
      <c r="C1329" t="str">
        <f>IF(OR(Registro_Compras!$C$151="",Registro_Compras!$O$151=""),"",IF(Registro_Compras!$F$151="RHE",IF(Registro_Compras!$V$151=0,"","4017"),IF(Registro_Compras!$F$151="NOTA DE CREDITO",IF(Registro_Compras!$M$151="","63",Registro_Compras!$M$151),IF(Registro_Compras!$K$151=0,"","40111"))))</f>
        <v/>
      </c>
      <c r="D1329" t="str">
        <f>IF(OR(Registro_Compras!$C$151="",Registro_Compras!$O$151=""),"",IF(Registro_Compras!$F$151="RHE","Retencion Renta 4ta Categoria por Pagar",IF(Registro_Compras!$F$151="NOTA DE CREDITO","Gastos de Servicios Prestados por Terceros","IGV - Cuenta Propia (Credito Fiscal)")))</f>
        <v/>
      </c>
      <c r="E1329" s="20" t="str">
        <f>IF($C1329="","",IF(Registro_Compras!$F$151="FACTURA",ROUND(Registro_Compras!$K$151*Registro_Compras!$N$151,2),""))</f>
        <v/>
      </c>
      <c r="F1329" s="20" t="str">
        <f>IF($C1329="","",IF(Registro_Compras!$F$151="RHE",ROUND(Registro_Compras!$V$151*Registro_Compras!$N$151,2),IF(Registro_Compras!$F$151="NOTA DE CREDITO",ROUND(ABS(Registro_Compras!$J$151*Registro_Compras!$N$151),2),"")))</f>
        <v/>
      </c>
      <c r="G1329" t="str">
        <f>IF($C1329="","",IF(Registro_Compras!$F$151="NOTA DE CREDITO","Por la nota de credito "&amp;Registro_Compras!$C$151&amp;" de "&amp;Registro_Compras!$E$151&amp;" [PATRON POR CONFIRMAR CON CONTADOR]",IF(Registro_Compras!$F$151="RHE","Por el registro del recibo por honorarios "&amp;Registro_Compras!$C$151&amp;" de "&amp;Registro_Compras!$E$151&amp;" [PATRON POR CONFIRMAR CON CONTADOR]","Por el registro de la factura "&amp;Registro_Compras!$C$151&amp;" de "&amp;Registro_Compras!$E$151)))</f>
        <v/>
      </c>
      <c r="H1329" t="str">
        <f>IF($C1329="","",Registro_Compras!$C$151)</f>
        <v/>
      </c>
    </row>
    <row r="1330" spans="1:8" x14ac:dyDescent="0.25">
      <c r="A1330" s="25" t="str">
        <f>IF($C1330="","",Registro_Compras!$B$151)</f>
        <v/>
      </c>
      <c r="B1330" t="str">
        <f>IF($C1330="","","C"&amp;TEXT(INT((ROW()-5)/9)+1,"000")&amp;"-1")</f>
        <v/>
      </c>
      <c r="C1330" t="str">
        <f>IF(OR(Registro_Compras!$C$151="",Registro_Compras!$O$151=""),"",IF(Registro_Compras!$F$151="NOTA DE CREDITO",IF(Registro_Compras!$K$151=0,"","40111"),"4212"))</f>
        <v/>
      </c>
      <c r="D1330" t="str">
        <f>IF(OR(Registro_Compras!$C$151="",Registro_Compras!$O$151=""),"",IF(Registro_Compras!$F$151="NOTA DE CREDITO","IGV - Cuenta Propia (Credito Fiscal)","Cuentas por Pagar Comerciales - Terceros (Emitidas)"))</f>
        <v/>
      </c>
      <c r="E1330" s="20" t="str">
        <f>""</f>
        <v/>
      </c>
      <c r="F1330" s="20" t="str">
        <f>IF($C1330="","",IF(Registro_Compras!$F$151="NOTA DE CREDITO",ROUND(ABS(Registro_Compras!$K$151*Registro_Compras!$N$151),2),IF(Registro_Compras!$F$151="RHE",(ROUND(Registro_Compras!$L$151*Registro_Compras!$N$151,2)-ROUND(Registro_Compras!$V$151*Registro_Compras!$N$151,2)),Registro_Compras!$O$151)))</f>
        <v/>
      </c>
      <c r="G1330" t="str">
        <f>IF($C1330="","",IF(Registro_Compras!$F$151="NOTA DE CREDITO","Por la nota de credito "&amp;Registro_Compras!$C$151&amp;" de "&amp;Registro_Compras!$E$151&amp;" [PATRON POR CONFIRMAR CON CONTADOR]",IF(Registro_Compras!$F$151="RHE","Por el registro del recibo por honorarios "&amp;Registro_Compras!$C$151&amp;" de "&amp;Registro_Compras!$E$151&amp;" [PATRON POR CONFIRMAR CON CONTADOR]","Por el registro de la factura "&amp;Registro_Compras!$C$151&amp;" de "&amp;Registro_Compras!$E$151)))</f>
        <v/>
      </c>
      <c r="H1330" t="str">
        <f>IF($C1330="","",Registro_Compras!$C$151)</f>
        <v/>
      </c>
    </row>
    <row r="1331" spans="1:8" x14ac:dyDescent="0.25">
      <c r="A1331" s="25" t="str">
        <f>IF($C1331="","",Registro_Compras!$B$151)</f>
        <v/>
      </c>
      <c r="B1331" t="str">
        <f>IF($C1331="","","C"&amp;TEXT(INT((ROW()-5)/9)+1,"000")&amp;"-2")</f>
        <v/>
      </c>
      <c r="C1331" t="str">
        <f>IF(OR(Registro_Compras!$C$151="",Registro_Compras!$O$151=""),"",IF(Registro_Compras!$AB$151="ADMINISTRATIVO","94","95"))</f>
        <v/>
      </c>
      <c r="D1331" t="str">
        <f>IF(OR(Registro_Compras!$C$151="",Registro_Compras!$O$151=""),"",IF(Registro_Compras!$AB$151="ADMINISTRATIVO","Gastos Administrativos","Gastos de Venta y Operacion"))</f>
        <v/>
      </c>
      <c r="E1331" s="20" t="str">
        <f>IF($C1331="","",IF(Registro_Compras!$F$151="NOTA DE CREDITO","",IF(Registro_Compras!$F$151="RHE",ROUND(Registro_Compras!$L$151*Registro_Compras!$N$151,2),ROUND(Registro_Compras!$J$151*Registro_Compras!$N$151,2))))</f>
        <v/>
      </c>
      <c r="F1331" s="20" t="str">
        <f>IF($C1331="","",IF(Registro_Compras!$F$151="NOTA DE CREDITO",ROUND(ABS(Registro_Compras!$J$151*Registro_Compras!$N$151),2),""))</f>
        <v/>
      </c>
      <c r="G1331" t="str">
        <f>IF($C1331="","","Por el destino del gasto")</f>
        <v/>
      </c>
      <c r="H1331" t="str">
        <f>IF($C1331="","",Registro_Compras!$C$151)</f>
        <v/>
      </c>
    </row>
    <row r="1332" spans="1:8" x14ac:dyDescent="0.25">
      <c r="A1332" s="25" t="str">
        <f>IF($C1332="","",Registro_Compras!$B$151)</f>
        <v/>
      </c>
      <c r="B1332" t="str">
        <f>IF($C1332="","","C"&amp;TEXT(INT((ROW()-5)/9)+1,"000")&amp;"-2")</f>
        <v/>
      </c>
      <c r="C1332" t="str">
        <f>IF(OR(Registro_Compras!$C$151="",Registro_Compras!$O$151=""),"","79/791")</f>
        <v/>
      </c>
      <c r="D1332" t="str">
        <f>IF(OR(Registro_Compras!$C$151="",Registro_Compras!$O$151=""),"","Cargas Imputables a Cuentas de Costos y Gastos")</f>
        <v/>
      </c>
      <c r="E1332" s="20" t="str">
        <f>IF($C1332="","",IF(Registro_Compras!$F$151="NOTA DE CREDITO",ROUND(ABS(Registro_Compras!$J$151*Registro_Compras!$N$151),2),""))</f>
        <v/>
      </c>
      <c r="F1332" s="20" t="str">
        <f>IF($C1332="","",IF(Registro_Compras!$F$151="NOTA DE CREDITO","",IF(Registro_Compras!$F$151="RHE",ROUND(Registro_Compras!$L$151*Registro_Compras!$N$151,2),ROUND(Registro_Compras!$J$151*Registro_Compras!$N$151,2))))</f>
        <v/>
      </c>
      <c r="G1332" t="str">
        <f>IF($C1332="","","Por el destino del gasto")</f>
        <v/>
      </c>
      <c r="H1332" t="str">
        <f>IF($C1332="","",Registro_Compras!$C$151)</f>
        <v/>
      </c>
    </row>
    <row r="1333" spans="1:8" x14ac:dyDescent="0.25">
      <c r="A1333" s="25" t="str">
        <f>IF($C1333="","",Registro_Compras!$X$151)</f>
        <v/>
      </c>
      <c r="B1333" t="str">
        <f>IF($C1333="","","C"&amp;TEXT(INT((ROW()-5)/9)+1,"000")&amp;"-3")</f>
        <v/>
      </c>
      <c r="C1333" t="str">
        <f>IF(OR(Registro_Compras!$C$151="",Registro_Compras!$O$151="",Registro_Compras!$R$151&lt;&gt;"SI",Registro_Compras!$X$151=""),"","4212")</f>
        <v/>
      </c>
      <c r="D1333" t="str">
        <f>IF(OR(Registro_Compras!$C$151="",Registro_Compras!$O$151=""),"","Cuentas por Pagar Comerciales - Terceros")</f>
        <v/>
      </c>
      <c r="E1333" s="20" t="str">
        <f>IF($C1333="","",Registro_Compras!$S$151)</f>
        <v/>
      </c>
      <c r="F1333" s="20" t="str">
        <f>""</f>
        <v/>
      </c>
      <c r="G1333" t="str">
        <f>IF($C1333="","","Por el deposito de la detraccion en el Banco de la Nacion")</f>
        <v/>
      </c>
      <c r="H1333" t="str">
        <f>IF($C1333="","",Registro_Compras!$C$151)</f>
        <v/>
      </c>
    </row>
    <row r="1334" spans="1:8" x14ac:dyDescent="0.25">
      <c r="A1334" s="25" t="str">
        <f>IF($C1334="","",Registro_Compras!$X$151)</f>
        <v/>
      </c>
      <c r="B1334" t="str">
        <f>IF($C1334="","","C"&amp;TEXT(INT((ROW()-5)/9)+1,"000")&amp;"-3")</f>
        <v/>
      </c>
      <c r="C1334" t="str">
        <f>IF(OR(Registro_Compras!$C$151="",Registro_Compras!$O$151="",Registro_Compras!$R$151&lt;&gt;"SI",Registro_Compras!$X$151=""),"","1041")</f>
        <v/>
      </c>
      <c r="D1334" t="str">
        <f>IF(OR(Registro_Compras!$C$151="",Registro_Compras!$O$151=""),"","Efectivo y Equivalentes - Cta. Cte. Operativa")</f>
        <v/>
      </c>
      <c r="E1334" s="20" t="str">
        <f>""</f>
        <v/>
      </c>
      <c r="F1334" s="20" t="str">
        <f>IF($C1334="","",Registro_Compras!$S$151)</f>
        <v/>
      </c>
      <c r="G1334" t="str">
        <f>IF($C1334="","","Por el deposito de la detraccion en el Banco de la Nacion")</f>
        <v/>
      </c>
      <c r="H1334" t="str">
        <f>IF($C1334="","",Registro_Compras!$C$151)</f>
        <v/>
      </c>
    </row>
    <row r="1335" spans="1:8" x14ac:dyDescent="0.25">
      <c r="A1335" s="25" t="str">
        <f>IF($C1335="","",Registro_Compras!$Y$151)</f>
        <v/>
      </c>
      <c r="B1335" t="str">
        <f>IF($C1335="","","C"&amp;TEXT(INT((ROW()-5)/9)+1,"000")&amp;"-4")</f>
        <v/>
      </c>
      <c r="C1335" t="str">
        <f>IF(OR(Registro_Compras!$C$151="",Registro_Compras!$O$151="",Registro_Compras!$Y$151="",Registro_Compras!$F$151="NOTA DE CREDITO"),"","4212")</f>
        <v/>
      </c>
      <c r="D1335" t="str">
        <f>IF(OR(Registro_Compras!$C$151="",Registro_Compras!$O$151=""),"","Cuentas por Pagar Comerciales - Terceros")</f>
        <v/>
      </c>
      <c r="E1335" s="20" t="str">
        <f>IF($C1335="","",IF(Registro_Compras!$F$151="RHE",(ROUND(Registro_Compras!$L$151*Registro_Compras!$N$151,2)-ROUND(Registro_Compras!$V$151*Registro_Compras!$N$151,2)),ROUND(Registro_Compras!$O$151-Registro_Compras!$S$151,2)))</f>
        <v/>
      </c>
      <c r="F1335" s="20" t="str">
        <f>""</f>
        <v/>
      </c>
      <c r="G1335" t="str">
        <f>IF($C1335="","","Por la cancelacion del saldo al proveedor")</f>
        <v/>
      </c>
      <c r="H1335" t="str">
        <f>IF($C1335="","",Registro_Compras!$C$151)</f>
        <v/>
      </c>
    </row>
    <row r="1336" spans="1:8" x14ac:dyDescent="0.25">
      <c r="A1336" s="25" t="str">
        <f>IF($C1336="","",Registro_Compras!$Y$151)</f>
        <v/>
      </c>
      <c r="B1336" t="str">
        <f>IF($C1336="","","C"&amp;TEXT(INT((ROW()-5)/9)+1,"000")&amp;"-4")</f>
        <v/>
      </c>
      <c r="C1336" t="str">
        <f>IF(OR(Registro_Compras!$C$151="",Registro_Compras!$O$151="",Registro_Compras!$Y$151="",Registro_Compras!$F$151="NOTA DE CREDITO"),"","1041")</f>
        <v/>
      </c>
      <c r="D1336" t="str">
        <f>IF(OR(Registro_Compras!$C$151="",Registro_Compras!$O$151=""),"","Efectivo y Equivalentes - Cta. Cte. Operativa")</f>
        <v/>
      </c>
      <c r="E1336" s="20" t="str">
        <f>""</f>
        <v/>
      </c>
      <c r="F1336" s="20" t="str">
        <f>IF($C1336="","",IF(Registro_Compras!$F$151="RHE",(ROUND(Registro_Compras!$L$151*Registro_Compras!$N$151,2)-ROUND(Registro_Compras!$V$151*Registro_Compras!$N$151,2)),ROUND(Registro_Compras!$O$151-Registro_Compras!$S$151,2)))</f>
        <v/>
      </c>
      <c r="G1336" t="str">
        <f>IF($C1336="","","Por la cancelacion del saldo al proveedor")</f>
        <v/>
      </c>
      <c r="H1336" t="str">
        <f>IF($C1336="","",Registro_Compras!$C$151)</f>
        <v/>
      </c>
    </row>
    <row r="1337" spans="1:8" x14ac:dyDescent="0.25">
      <c r="A1337" s="25" t="str">
        <f>IF($C1337="","",Registro_Compras!$B$152)</f>
        <v/>
      </c>
      <c r="B1337" t="str">
        <f>IF($C1337="","","C"&amp;TEXT(INT((ROW()-5)/9)+1,"000")&amp;"-1")</f>
        <v/>
      </c>
      <c r="C1337" t="str">
        <f>IF(OR(Registro_Compras!$C$152="",Registro_Compras!$O$152=""),"",IF(Registro_Compras!$F$152="NOTA DE CREDITO","4212",IF(Registro_Compras!$M$152="","63",Registro_Compras!$M$152)))</f>
        <v/>
      </c>
      <c r="D1337" t="str">
        <f>IF(OR(Registro_Compras!$C$152="",Registro_Compras!$O$152=""),"",IF(Registro_Compras!$F$152="NOTA DE CREDITO","Cuentas por Pagar Comerciales - Terceros (Emitidas)",IF(Registro_Compras!$F$152="RHE","Honorarios Profesionales - Servicios de Terceros","Gastos de Servicios Prestados por Terceros")))</f>
        <v/>
      </c>
      <c r="E1337" s="20" t="str">
        <f>IF($C1337="","",IF(Registro_Compras!$F$152="NOTA DE CREDITO",ABS(Registro_Compras!$O$152),IF(Registro_Compras!$F$152="RHE",ROUND(Registro_Compras!$L$152*Registro_Compras!$N$152,2),ROUND(Registro_Compras!$J$152*Registro_Compras!$N$152,2))))</f>
        <v/>
      </c>
      <c r="F1337" s="20" t="str">
        <f>""</f>
        <v/>
      </c>
      <c r="G1337" t="str">
        <f>IF($C1337="","",IF(Registro_Compras!$F$152="NOTA DE CREDITO","Por la nota de credito "&amp;Registro_Compras!$C$152&amp;" de "&amp;Registro_Compras!$E$152&amp;" [PATRON POR CONFIRMAR CON CONTADOR]",IF(Registro_Compras!$F$152="RHE","Por el registro del recibo por honorarios "&amp;Registro_Compras!$C$152&amp;" de "&amp;Registro_Compras!$E$152&amp;" [PATRON POR CONFIRMAR CON CONTADOR]","Por el registro de la factura "&amp;Registro_Compras!$C$152&amp;" de "&amp;Registro_Compras!$E$152)))</f>
        <v/>
      </c>
      <c r="H1337" t="str">
        <f>IF($C1337="","",Registro_Compras!$C$152)</f>
        <v/>
      </c>
    </row>
    <row r="1338" spans="1:8" x14ac:dyDescent="0.25">
      <c r="A1338" s="25" t="str">
        <f>IF($C1338="","",Registro_Compras!$B$152)</f>
        <v/>
      </c>
      <c r="B1338" t="str">
        <f>IF($C1338="","","C"&amp;TEXT(INT((ROW()-5)/9)+1,"000")&amp;"-1")</f>
        <v/>
      </c>
      <c r="C1338" t="str">
        <f>IF(OR(Registro_Compras!$C$152="",Registro_Compras!$O$152=""),"",IF(Registro_Compras!$F$152="RHE",IF(Registro_Compras!$V$152=0,"","4017"),IF(Registro_Compras!$F$152="NOTA DE CREDITO",IF(Registro_Compras!$M$152="","63",Registro_Compras!$M$152),IF(Registro_Compras!$K$152=0,"","40111"))))</f>
        <v/>
      </c>
      <c r="D1338" t="str">
        <f>IF(OR(Registro_Compras!$C$152="",Registro_Compras!$O$152=""),"",IF(Registro_Compras!$F$152="RHE","Retencion Renta 4ta Categoria por Pagar",IF(Registro_Compras!$F$152="NOTA DE CREDITO","Gastos de Servicios Prestados por Terceros","IGV - Cuenta Propia (Credito Fiscal)")))</f>
        <v/>
      </c>
      <c r="E1338" s="20" t="str">
        <f>IF($C1338="","",IF(Registro_Compras!$F$152="FACTURA",ROUND(Registro_Compras!$K$152*Registro_Compras!$N$152,2),""))</f>
        <v/>
      </c>
      <c r="F1338" s="20" t="str">
        <f>IF($C1338="","",IF(Registro_Compras!$F$152="RHE",ROUND(Registro_Compras!$V$152*Registro_Compras!$N$152,2),IF(Registro_Compras!$F$152="NOTA DE CREDITO",ROUND(ABS(Registro_Compras!$J$152*Registro_Compras!$N$152),2),"")))</f>
        <v/>
      </c>
      <c r="G1338" t="str">
        <f>IF($C1338="","",IF(Registro_Compras!$F$152="NOTA DE CREDITO","Por la nota de credito "&amp;Registro_Compras!$C$152&amp;" de "&amp;Registro_Compras!$E$152&amp;" [PATRON POR CONFIRMAR CON CONTADOR]",IF(Registro_Compras!$F$152="RHE","Por el registro del recibo por honorarios "&amp;Registro_Compras!$C$152&amp;" de "&amp;Registro_Compras!$E$152&amp;" [PATRON POR CONFIRMAR CON CONTADOR]","Por el registro de la factura "&amp;Registro_Compras!$C$152&amp;" de "&amp;Registro_Compras!$E$152)))</f>
        <v/>
      </c>
      <c r="H1338" t="str">
        <f>IF($C1338="","",Registro_Compras!$C$152)</f>
        <v/>
      </c>
    </row>
    <row r="1339" spans="1:8" x14ac:dyDescent="0.25">
      <c r="A1339" s="25" t="str">
        <f>IF($C1339="","",Registro_Compras!$B$152)</f>
        <v/>
      </c>
      <c r="B1339" t="str">
        <f>IF($C1339="","","C"&amp;TEXT(INT((ROW()-5)/9)+1,"000")&amp;"-1")</f>
        <v/>
      </c>
      <c r="C1339" t="str">
        <f>IF(OR(Registro_Compras!$C$152="",Registro_Compras!$O$152=""),"",IF(Registro_Compras!$F$152="NOTA DE CREDITO",IF(Registro_Compras!$K$152=0,"","40111"),"4212"))</f>
        <v/>
      </c>
      <c r="D1339" t="str">
        <f>IF(OR(Registro_Compras!$C$152="",Registro_Compras!$O$152=""),"",IF(Registro_Compras!$F$152="NOTA DE CREDITO","IGV - Cuenta Propia (Credito Fiscal)","Cuentas por Pagar Comerciales - Terceros (Emitidas)"))</f>
        <v/>
      </c>
      <c r="E1339" s="20" t="str">
        <f>""</f>
        <v/>
      </c>
      <c r="F1339" s="20" t="str">
        <f>IF($C1339="","",IF(Registro_Compras!$F$152="NOTA DE CREDITO",ROUND(ABS(Registro_Compras!$K$152*Registro_Compras!$N$152),2),IF(Registro_Compras!$F$152="RHE",(ROUND(Registro_Compras!$L$152*Registro_Compras!$N$152,2)-ROUND(Registro_Compras!$V$152*Registro_Compras!$N$152,2)),Registro_Compras!$O$152)))</f>
        <v/>
      </c>
      <c r="G1339" t="str">
        <f>IF($C1339="","",IF(Registro_Compras!$F$152="NOTA DE CREDITO","Por la nota de credito "&amp;Registro_Compras!$C$152&amp;" de "&amp;Registro_Compras!$E$152&amp;" [PATRON POR CONFIRMAR CON CONTADOR]",IF(Registro_Compras!$F$152="RHE","Por el registro del recibo por honorarios "&amp;Registro_Compras!$C$152&amp;" de "&amp;Registro_Compras!$E$152&amp;" [PATRON POR CONFIRMAR CON CONTADOR]","Por el registro de la factura "&amp;Registro_Compras!$C$152&amp;" de "&amp;Registro_Compras!$E$152)))</f>
        <v/>
      </c>
      <c r="H1339" t="str">
        <f>IF($C1339="","",Registro_Compras!$C$152)</f>
        <v/>
      </c>
    </row>
    <row r="1340" spans="1:8" x14ac:dyDescent="0.25">
      <c r="A1340" s="25" t="str">
        <f>IF($C1340="","",Registro_Compras!$B$152)</f>
        <v/>
      </c>
      <c r="B1340" t="str">
        <f>IF($C1340="","","C"&amp;TEXT(INT((ROW()-5)/9)+1,"000")&amp;"-2")</f>
        <v/>
      </c>
      <c r="C1340" t="str">
        <f>IF(OR(Registro_Compras!$C$152="",Registro_Compras!$O$152=""),"",IF(Registro_Compras!$AB$152="ADMINISTRATIVO","94","95"))</f>
        <v/>
      </c>
      <c r="D1340" t="str">
        <f>IF(OR(Registro_Compras!$C$152="",Registro_Compras!$O$152=""),"",IF(Registro_Compras!$AB$152="ADMINISTRATIVO","Gastos Administrativos","Gastos de Venta y Operacion"))</f>
        <v/>
      </c>
      <c r="E1340" s="20" t="str">
        <f>IF($C1340="","",IF(Registro_Compras!$F$152="NOTA DE CREDITO","",IF(Registro_Compras!$F$152="RHE",ROUND(Registro_Compras!$L$152*Registro_Compras!$N$152,2),ROUND(Registro_Compras!$J$152*Registro_Compras!$N$152,2))))</f>
        <v/>
      </c>
      <c r="F1340" s="20" t="str">
        <f>IF($C1340="","",IF(Registro_Compras!$F$152="NOTA DE CREDITO",ROUND(ABS(Registro_Compras!$J$152*Registro_Compras!$N$152),2),""))</f>
        <v/>
      </c>
      <c r="G1340" t="str">
        <f>IF($C1340="","","Por el destino del gasto")</f>
        <v/>
      </c>
      <c r="H1340" t="str">
        <f>IF($C1340="","",Registro_Compras!$C$152)</f>
        <v/>
      </c>
    </row>
    <row r="1341" spans="1:8" x14ac:dyDescent="0.25">
      <c r="A1341" s="25" t="str">
        <f>IF($C1341="","",Registro_Compras!$B$152)</f>
        <v/>
      </c>
      <c r="B1341" t="str">
        <f>IF($C1341="","","C"&amp;TEXT(INT((ROW()-5)/9)+1,"000")&amp;"-2")</f>
        <v/>
      </c>
      <c r="C1341" t="str">
        <f>IF(OR(Registro_Compras!$C$152="",Registro_Compras!$O$152=""),"","79/791")</f>
        <v/>
      </c>
      <c r="D1341" t="str">
        <f>IF(OR(Registro_Compras!$C$152="",Registro_Compras!$O$152=""),"","Cargas Imputables a Cuentas de Costos y Gastos")</f>
        <v/>
      </c>
      <c r="E1341" s="20" t="str">
        <f>IF($C1341="","",IF(Registro_Compras!$F$152="NOTA DE CREDITO",ROUND(ABS(Registro_Compras!$J$152*Registro_Compras!$N$152),2),""))</f>
        <v/>
      </c>
      <c r="F1341" s="20" t="str">
        <f>IF($C1341="","",IF(Registro_Compras!$F$152="NOTA DE CREDITO","",IF(Registro_Compras!$F$152="RHE",ROUND(Registro_Compras!$L$152*Registro_Compras!$N$152,2),ROUND(Registro_Compras!$J$152*Registro_Compras!$N$152,2))))</f>
        <v/>
      </c>
      <c r="G1341" t="str">
        <f>IF($C1341="","","Por el destino del gasto")</f>
        <v/>
      </c>
      <c r="H1341" t="str">
        <f>IF($C1341="","",Registro_Compras!$C$152)</f>
        <v/>
      </c>
    </row>
    <row r="1342" spans="1:8" x14ac:dyDescent="0.25">
      <c r="A1342" s="25" t="str">
        <f>IF($C1342="","",Registro_Compras!$X$152)</f>
        <v/>
      </c>
      <c r="B1342" t="str">
        <f>IF($C1342="","","C"&amp;TEXT(INT((ROW()-5)/9)+1,"000")&amp;"-3")</f>
        <v/>
      </c>
      <c r="C1342" t="str">
        <f>IF(OR(Registro_Compras!$C$152="",Registro_Compras!$O$152="",Registro_Compras!$R$152&lt;&gt;"SI",Registro_Compras!$X$152=""),"","4212")</f>
        <v/>
      </c>
      <c r="D1342" t="str">
        <f>IF(OR(Registro_Compras!$C$152="",Registro_Compras!$O$152=""),"","Cuentas por Pagar Comerciales - Terceros")</f>
        <v/>
      </c>
      <c r="E1342" s="20" t="str">
        <f>IF($C1342="","",Registro_Compras!$S$152)</f>
        <v/>
      </c>
      <c r="F1342" s="20" t="str">
        <f>""</f>
        <v/>
      </c>
      <c r="G1342" t="str">
        <f>IF($C1342="","","Por el deposito de la detraccion en el Banco de la Nacion")</f>
        <v/>
      </c>
      <c r="H1342" t="str">
        <f>IF($C1342="","",Registro_Compras!$C$152)</f>
        <v/>
      </c>
    </row>
    <row r="1343" spans="1:8" x14ac:dyDescent="0.25">
      <c r="A1343" s="25" t="str">
        <f>IF($C1343="","",Registro_Compras!$X$152)</f>
        <v/>
      </c>
      <c r="B1343" t="str">
        <f>IF($C1343="","","C"&amp;TEXT(INT((ROW()-5)/9)+1,"000")&amp;"-3")</f>
        <v/>
      </c>
      <c r="C1343" t="str">
        <f>IF(OR(Registro_Compras!$C$152="",Registro_Compras!$O$152="",Registro_Compras!$R$152&lt;&gt;"SI",Registro_Compras!$X$152=""),"","1041")</f>
        <v/>
      </c>
      <c r="D1343" t="str">
        <f>IF(OR(Registro_Compras!$C$152="",Registro_Compras!$O$152=""),"","Efectivo y Equivalentes - Cta. Cte. Operativa")</f>
        <v/>
      </c>
      <c r="E1343" s="20" t="str">
        <f>""</f>
        <v/>
      </c>
      <c r="F1343" s="20" t="str">
        <f>IF($C1343="","",Registro_Compras!$S$152)</f>
        <v/>
      </c>
      <c r="G1343" t="str">
        <f>IF($C1343="","","Por el deposito de la detraccion en el Banco de la Nacion")</f>
        <v/>
      </c>
      <c r="H1343" t="str">
        <f>IF($C1343="","",Registro_Compras!$C$152)</f>
        <v/>
      </c>
    </row>
    <row r="1344" spans="1:8" x14ac:dyDescent="0.25">
      <c r="A1344" s="25" t="str">
        <f>IF($C1344="","",Registro_Compras!$Y$152)</f>
        <v/>
      </c>
      <c r="B1344" t="str">
        <f>IF($C1344="","","C"&amp;TEXT(INT((ROW()-5)/9)+1,"000")&amp;"-4")</f>
        <v/>
      </c>
      <c r="C1344" t="str">
        <f>IF(OR(Registro_Compras!$C$152="",Registro_Compras!$O$152="",Registro_Compras!$Y$152="",Registro_Compras!$F$152="NOTA DE CREDITO"),"","4212")</f>
        <v/>
      </c>
      <c r="D1344" t="str">
        <f>IF(OR(Registro_Compras!$C$152="",Registro_Compras!$O$152=""),"","Cuentas por Pagar Comerciales - Terceros")</f>
        <v/>
      </c>
      <c r="E1344" s="20" t="str">
        <f>IF($C1344="","",IF(Registro_Compras!$F$152="RHE",(ROUND(Registro_Compras!$L$152*Registro_Compras!$N$152,2)-ROUND(Registro_Compras!$V$152*Registro_Compras!$N$152,2)),ROUND(Registro_Compras!$O$152-Registro_Compras!$S$152,2)))</f>
        <v/>
      </c>
      <c r="F1344" s="20" t="str">
        <f>""</f>
        <v/>
      </c>
      <c r="G1344" t="str">
        <f>IF($C1344="","","Por la cancelacion del saldo al proveedor")</f>
        <v/>
      </c>
      <c r="H1344" t="str">
        <f>IF($C1344="","",Registro_Compras!$C$152)</f>
        <v/>
      </c>
    </row>
    <row r="1345" spans="1:8" x14ac:dyDescent="0.25">
      <c r="A1345" s="25" t="str">
        <f>IF($C1345="","",Registro_Compras!$Y$152)</f>
        <v/>
      </c>
      <c r="B1345" t="str">
        <f>IF($C1345="","","C"&amp;TEXT(INT((ROW()-5)/9)+1,"000")&amp;"-4")</f>
        <v/>
      </c>
      <c r="C1345" t="str">
        <f>IF(OR(Registro_Compras!$C$152="",Registro_Compras!$O$152="",Registro_Compras!$Y$152="",Registro_Compras!$F$152="NOTA DE CREDITO"),"","1041")</f>
        <v/>
      </c>
      <c r="D1345" t="str">
        <f>IF(OR(Registro_Compras!$C$152="",Registro_Compras!$O$152=""),"","Efectivo y Equivalentes - Cta. Cte. Operativa")</f>
        <v/>
      </c>
      <c r="E1345" s="20" t="str">
        <f>""</f>
        <v/>
      </c>
      <c r="F1345" s="20" t="str">
        <f>IF($C1345="","",IF(Registro_Compras!$F$152="RHE",(ROUND(Registro_Compras!$L$152*Registro_Compras!$N$152,2)-ROUND(Registro_Compras!$V$152*Registro_Compras!$N$152,2)),ROUND(Registro_Compras!$O$152-Registro_Compras!$S$152,2)))</f>
        <v/>
      </c>
      <c r="G1345" t="str">
        <f>IF($C1345="","","Por la cancelacion del saldo al proveedor")</f>
        <v/>
      </c>
      <c r="H1345" t="str">
        <f>IF($C1345="","",Registro_Compras!$C$152)</f>
        <v/>
      </c>
    </row>
    <row r="1346" spans="1:8" x14ac:dyDescent="0.25">
      <c r="A1346" s="25" t="str">
        <f>IF($C1346="","",Registro_Compras!$B$153)</f>
        <v/>
      </c>
      <c r="B1346" t="str">
        <f>IF($C1346="","","C"&amp;TEXT(INT((ROW()-5)/9)+1,"000")&amp;"-1")</f>
        <v/>
      </c>
      <c r="C1346" t="str">
        <f>IF(OR(Registro_Compras!$C$153="",Registro_Compras!$O$153=""),"",IF(Registro_Compras!$F$153="NOTA DE CREDITO","4212",IF(Registro_Compras!$M$153="","63",Registro_Compras!$M$153)))</f>
        <v/>
      </c>
      <c r="D1346" t="str">
        <f>IF(OR(Registro_Compras!$C$153="",Registro_Compras!$O$153=""),"",IF(Registro_Compras!$F$153="NOTA DE CREDITO","Cuentas por Pagar Comerciales - Terceros (Emitidas)",IF(Registro_Compras!$F$153="RHE","Honorarios Profesionales - Servicios de Terceros","Gastos de Servicios Prestados por Terceros")))</f>
        <v/>
      </c>
      <c r="E1346" s="20" t="str">
        <f>IF($C1346="","",IF(Registro_Compras!$F$153="NOTA DE CREDITO",ABS(Registro_Compras!$O$153),IF(Registro_Compras!$F$153="RHE",ROUND(Registro_Compras!$L$153*Registro_Compras!$N$153,2),ROUND(Registro_Compras!$J$153*Registro_Compras!$N$153,2))))</f>
        <v/>
      </c>
      <c r="F1346" s="20" t="str">
        <f>""</f>
        <v/>
      </c>
      <c r="G1346" t="str">
        <f>IF($C1346="","",IF(Registro_Compras!$F$153="NOTA DE CREDITO","Por la nota de credito "&amp;Registro_Compras!$C$153&amp;" de "&amp;Registro_Compras!$E$153&amp;" [PATRON POR CONFIRMAR CON CONTADOR]",IF(Registro_Compras!$F$153="RHE","Por el registro del recibo por honorarios "&amp;Registro_Compras!$C$153&amp;" de "&amp;Registro_Compras!$E$153&amp;" [PATRON POR CONFIRMAR CON CONTADOR]","Por el registro de la factura "&amp;Registro_Compras!$C$153&amp;" de "&amp;Registro_Compras!$E$153)))</f>
        <v/>
      </c>
      <c r="H1346" t="str">
        <f>IF($C1346="","",Registro_Compras!$C$153)</f>
        <v/>
      </c>
    </row>
    <row r="1347" spans="1:8" x14ac:dyDescent="0.25">
      <c r="A1347" s="25" t="str">
        <f>IF($C1347="","",Registro_Compras!$B$153)</f>
        <v/>
      </c>
      <c r="B1347" t="str">
        <f>IF($C1347="","","C"&amp;TEXT(INT((ROW()-5)/9)+1,"000")&amp;"-1")</f>
        <v/>
      </c>
      <c r="C1347" t="str">
        <f>IF(OR(Registro_Compras!$C$153="",Registro_Compras!$O$153=""),"",IF(Registro_Compras!$F$153="RHE",IF(Registro_Compras!$V$153=0,"","4017"),IF(Registro_Compras!$F$153="NOTA DE CREDITO",IF(Registro_Compras!$M$153="","63",Registro_Compras!$M$153),IF(Registro_Compras!$K$153=0,"","40111"))))</f>
        <v/>
      </c>
      <c r="D1347" t="str">
        <f>IF(OR(Registro_Compras!$C$153="",Registro_Compras!$O$153=""),"",IF(Registro_Compras!$F$153="RHE","Retencion Renta 4ta Categoria por Pagar",IF(Registro_Compras!$F$153="NOTA DE CREDITO","Gastos de Servicios Prestados por Terceros","IGV - Cuenta Propia (Credito Fiscal)")))</f>
        <v/>
      </c>
      <c r="E1347" s="20" t="str">
        <f>IF($C1347="","",IF(Registro_Compras!$F$153="FACTURA",ROUND(Registro_Compras!$K$153*Registro_Compras!$N$153,2),""))</f>
        <v/>
      </c>
      <c r="F1347" s="20" t="str">
        <f>IF($C1347="","",IF(Registro_Compras!$F$153="RHE",ROUND(Registro_Compras!$V$153*Registro_Compras!$N$153,2),IF(Registro_Compras!$F$153="NOTA DE CREDITO",ROUND(ABS(Registro_Compras!$J$153*Registro_Compras!$N$153),2),"")))</f>
        <v/>
      </c>
      <c r="G1347" t="str">
        <f>IF($C1347="","",IF(Registro_Compras!$F$153="NOTA DE CREDITO","Por la nota de credito "&amp;Registro_Compras!$C$153&amp;" de "&amp;Registro_Compras!$E$153&amp;" [PATRON POR CONFIRMAR CON CONTADOR]",IF(Registro_Compras!$F$153="RHE","Por el registro del recibo por honorarios "&amp;Registro_Compras!$C$153&amp;" de "&amp;Registro_Compras!$E$153&amp;" [PATRON POR CONFIRMAR CON CONTADOR]","Por el registro de la factura "&amp;Registro_Compras!$C$153&amp;" de "&amp;Registro_Compras!$E$153)))</f>
        <v/>
      </c>
      <c r="H1347" t="str">
        <f>IF($C1347="","",Registro_Compras!$C$153)</f>
        <v/>
      </c>
    </row>
    <row r="1348" spans="1:8" x14ac:dyDescent="0.25">
      <c r="A1348" s="25" t="str">
        <f>IF($C1348="","",Registro_Compras!$B$153)</f>
        <v/>
      </c>
      <c r="B1348" t="str">
        <f>IF($C1348="","","C"&amp;TEXT(INT((ROW()-5)/9)+1,"000")&amp;"-1")</f>
        <v/>
      </c>
      <c r="C1348" t="str">
        <f>IF(OR(Registro_Compras!$C$153="",Registro_Compras!$O$153=""),"",IF(Registro_Compras!$F$153="NOTA DE CREDITO",IF(Registro_Compras!$K$153=0,"","40111"),"4212"))</f>
        <v/>
      </c>
      <c r="D1348" t="str">
        <f>IF(OR(Registro_Compras!$C$153="",Registro_Compras!$O$153=""),"",IF(Registro_Compras!$F$153="NOTA DE CREDITO","IGV - Cuenta Propia (Credito Fiscal)","Cuentas por Pagar Comerciales - Terceros (Emitidas)"))</f>
        <v/>
      </c>
      <c r="E1348" s="20" t="str">
        <f>""</f>
        <v/>
      </c>
      <c r="F1348" s="20" t="str">
        <f>IF($C1348="","",IF(Registro_Compras!$F$153="NOTA DE CREDITO",ROUND(ABS(Registro_Compras!$K$153*Registro_Compras!$N$153),2),IF(Registro_Compras!$F$153="RHE",(ROUND(Registro_Compras!$L$153*Registro_Compras!$N$153,2)-ROUND(Registro_Compras!$V$153*Registro_Compras!$N$153,2)),Registro_Compras!$O$153)))</f>
        <v/>
      </c>
      <c r="G1348" t="str">
        <f>IF($C1348="","",IF(Registro_Compras!$F$153="NOTA DE CREDITO","Por la nota de credito "&amp;Registro_Compras!$C$153&amp;" de "&amp;Registro_Compras!$E$153&amp;" [PATRON POR CONFIRMAR CON CONTADOR]",IF(Registro_Compras!$F$153="RHE","Por el registro del recibo por honorarios "&amp;Registro_Compras!$C$153&amp;" de "&amp;Registro_Compras!$E$153&amp;" [PATRON POR CONFIRMAR CON CONTADOR]","Por el registro de la factura "&amp;Registro_Compras!$C$153&amp;" de "&amp;Registro_Compras!$E$153)))</f>
        <v/>
      </c>
      <c r="H1348" t="str">
        <f>IF($C1348="","",Registro_Compras!$C$153)</f>
        <v/>
      </c>
    </row>
    <row r="1349" spans="1:8" x14ac:dyDescent="0.25">
      <c r="A1349" s="25" t="str">
        <f>IF($C1349="","",Registro_Compras!$B$153)</f>
        <v/>
      </c>
      <c r="B1349" t="str">
        <f>IF($C1349="","","C"&amp;TEXT(INT((ROW()-5)/9)+1,"000")&amp;"-2")</f>
        <v/>
      </c>
      <c r="C1349" t="str">
        <f>IF(OR(Registro_Compras!$C$153="",Registro_Compras!$O$153=""),"",IF(Registro_Compras!$AB$153="ADMINISTRATIVO","94","95"))</f>
        <v/>
      </c>
      <c r="D1349" t="str">
        <f>IF(OR(Registro_Compras!$C$153="",Registro_Compras!$O$153=""),"",IF(Registro_Compras!$AB$153="ADMINISTRATIVO","Gastos Administrativos","Gastos de Venta y Operacion"))</f>
        <v/>
      </c>
      <c r="E1349" s="20" t="str">
        <f>IF($C1349="","",IF(Registro_Compras!$F$153="NOTA DE CREDITO","",IF(Registro_Compras!$F$153="RHE",ROUND(Registro_Compras!$L$153*Registro_Compras!$N$153,2),ROUND(Registro_Compras!$J$153*Registro_Compras!$N$153,2))))</f>
        <v/>
      </c>
      <c r="F1349" s="20" t="str">
        <f>IF($C1349="","",IF(Registro_Compras!$F$153="NOTA DE CREDITO",ROUND(ABS(Registro_Compras!$J$153*Registro_Compras!$N$153),2),""))</f>
        <v/>
      </c>
      <c r="G1349" t="str">
        <f>IF($C1349="","","Por el destino del gasto")</f>
        <v/>
      </c>
      <c r="H1349" t="str">
        <f>IF($C1349="","",Registro_Compras!$C$153)</f>
        <v/>
      </c>
    </row>
    <row r="1350" spans="1:8" x14ac:dyDescent="0.25">
      <c r="A1350" s="25" t="str">
        <f>IF($C1350="","",Registro_Compras!$B$153)</f>
        <v/>
      </c>
      <c r="B1350" t="str">
        <f>IF($C1350="","","C"&amp;TEXT(INT((ROW()-5)/9)+1,"000")&amp;"-2")</f>
        <v/>
      </c>
      <c r="C1350" t="str">
        <f>IF(OR(Registro_Compras!$C$153="",Registro_Compras!$O$153=""),"","79/791")</f>
        <v/>
      </c>
      <c r="D1350" t="str">
        <f>IF(OR(Registro_Compras!$C$153="",Registro_Compras!$O$153=""),"","Cargas Imputables a Cuentas de Costos y Gastos")</f>
        <v/>
      </c>
      <c r="E1350" s="20" t="str">
        <f>IF($C1350="","",IF(Registro_Compras!$F$153="NOTA DE CREDITO",ROUND(ABS(Registro_Compras!$J$153*Registro_Compras!$N$153),2),""))</f>
        <v/>
      </c>
      <c r="F1350" s="20" t="str">
        <f>IF($C1350="","",IF(Registro_Compras!$F$153="NOTA DE CREDITO","",IF(Registro_Compras!$F$153="RHE",ROUND(Registro_Compras!$L$153*Registro_Compras!$N$153,2),ROUND(Registro_Compras!$J$153*Registro_Compras!$N$153,2))))</f>
        <v/>
      </c>
      <c r="G1350" t="str">
        <f>IF($C1350="","","Por el destino del gasto")</f>
        <v/>
      </c>
      <c r="H1350" t="str">
        <f>IF($C1350="","",Registro_Compras!$C$153)</f>
        <v/>
      </c>
    </row>
    <row r="1351" spans="1:8" x14ac:dyDescent="0.25">
      <c r="A1351" s="25" t="str">
        <f>IF($C1351="","",Registro_Compras!$X$153)</f>
        <v/>
      </c>
      <c r="B1351" t="str">
        <f>IF($C1351="","","C"&amp;TEXT(INT((ROW()-5)/9)+1,"000")&amp;"-3")</f>
        <v/>
      </c>
      <c r="C1351" t="str">
        <f>IF(OR(Registro_Compras!$C$153="",Registro_Compras!$O$153="",Registro_Compras!$R$153&lt;&gt;"SI",Registro_Compras!$X$153=""),"","4212")</f>
        <v/>
      </c>
      <c r="D1351" t="str">
        <f>IF(OR(Registro_Compras!$C$153="",Registro_Compras!$O$153=""),"","Cuentas por Pagar Comerciales - Terceros")</f>
        <v/>
      </c>
      <c r="E1351" s="20" t="str">
        <f>IF($C1351="","",Registro_Compras!$S$153)</f>
        <v/>
      </c>
      <c r="F1351" s="20" t="str">
        <f>""</f>
        <v/>
      </c>
      <c r="G1351" t="str">
        <f>IF($C1351="","","Por el deposito de la detraccion en el Banco de la Nacion")</f>
        <v/>
      </c>
      <c r="H1351" t="str">
        <f>IF($C1351="","",Registro_Compras!$C$153)</f>
        <v/>
      </c>
    </row>
    <row r="1352" spans="1:8" x14ac:dyDescent="0.25">
      <c r="A1352" s="25" t="str">
        <f>IF($C1352="","",Registro_Compras!$X$153)</f>
        <v/>
      </c>
      <c r="B1352" t="str">
        <f>IF($C1352="","","C"&amp;TEXT(INT((ROW()-5)/9)+1,"000")&amp;"-3")</f>
        <v/>
      </c>
      <c r="C1352" t="str">
        <f>IF(OR(Registro_Compras!$C$153="",Registro_Compras!$O$153="",Registro_Compras!$R$153&lt;&gt;"SI",Registro_Compras!$X$153=""),"","1041")</f>
        <v/>
      </c>
      <c r="D1352" t="str">
        <f>IF(OR(Registro_Compras!$C$153="",Registro_Compras!$O$153=""),"","Efectivo y Equivalentes - Cta. Cte. Operativa")</f>
        <v/>
      </c>
      <c r="E1352" s="20" t="str">
        <f>""</f>
        <v/>
      </c>
      <c r="F1352" s="20" t="str">
        <f>IF($C1352="","",Registro_Compras!$S$153)</f>
        <v/>
      </c>
      <c r="G1352" t="str">
        <f>IF($C1352="","","Por el deposito de la detraccion en el Banco de la Nacion")</f>
        <v/>
      </c>
      <c r="H1352" t="str">
        <f>IF($C1352="","",Registro_Compras!$C$153)</f>
        <v/>
      </c>
    </row>
    <row r="1353" spans="1:8" x14ac:dyDescent="0.25">
      <c r="A1353" s="25" t="str">
        <f>IF($C1353="","",Registro_Compras!$Y$153)</f>
        <v/>
      </c>
      <c r="B1353" t="str">
        <f>IF($C1353="","","C"&amp;TEXT(INT((ROW()-5)/9)+1,"000")&amp;"-4")</f>
        <v/>
      </c>
      <c r="C1353" t="str">
        <f>IF(OR(Registro_Compras!$C$153="",Registro_Compras!$O$153="",Registro_Compras!$Y$153="",Registro_Compras!$F$153="NOTA DE CREDITO"),"","4212")</f>
        <v/>
      </c>
      <c r="D1353" t="str">
        <f>IF(OR(Registro_Compras!$C$153="",Registro_Compras!$O$153=""),"","Cuentas por Pagar Comerciales - Terceros")</f>
        <v/>
      </c>
      <c r="E1353" s="20" t="str">
        <f>IF($C1353="","",IF(Registro_Compras!$F$153="RHE",(ROUND(Registro_Compras!$L$153*Registro_Compras!$N$153,2)-ROUND(Registro_Compras!$V$153*Registro_Compras!$N$153,2)),ROUND(Registro_Compras!$O$153-Registro_Compras!$S$153,2)))</f>
        <v/>
      </c>
      <c r="F1353" s="20" t="str">
        <f>""</f>
        <v/>
      </c>
      <c r="G1353" t="str">
        <f>IF($C1353="","","Por la cancelacion del saldo al proveedor")</f>
        <v/>
      </c>
      <c r="H1353" t="str">
        <f>IF($C1353="","",Registro_Compras!$C$153)</f>
        <v/>
      </c>
    </row>
    <row r="1354" spans="1:8" x14ac:dyDescent="0.25">
      <c r="A1354" s="25" t="str">
        <f>IF($C1354="","",Registro_Compras!$Y$153)</f>
        <v/>
      </c>
      <c r="B1354" t="str">
        <f>IF($C1354="","","C"&amp;TEXT(INT((ROW()-5)/9)+1,"000")&amp;"-4")</f>
        <v/>
      </c>
      <c r="C1354" t="str">
        <f>IF(OR(Registro_Compras!$C$153="",Registro_Compras!$O$153="",Registro_Compras!$Y$153="",Registro_Compras!$F$153="NOTA DE CREDITO"),"","1041")</f>
        <v/>
      </c>
      <c r="D1354" t="str">
        <f>IF(OR(Registro_Compras!$C$153="",Registro_Compras!$O$153=""),"","Efectivo y Equivalentes - Cta. Cte. Operativa")</f>
        <v/>
      </c>
      <c r="E1354" s="20" t="str">
        <f>""</f>
        <v/>
      </c>
      <c r="F1354" s="20" t="str">
        <f>IF($C1354="","",IF(Registro_Compras!$F$153="RHE",(ROUND(Registro_Compras!$L$153*Registro_Compras!$N$153,2)-ROUND(Registro_Compras!$V$153*Registro_Compras!$N$153,2)),ROUND(Registro_Compras!$O$153-Registro_Compras!$S$153,2)))</f>
        <v/>
      </c>
      <c r="G1354" t="str">
        <f>IF($C1354="","","Por la cancelacion del saldo al proveedor")</f>
        <v/>
      </c>
      <c r="H1354" t="str">
        <f>IF($C1354="","",Registro_Compras!$C$153)</f>
        <v/>
      </c>
    </row>
    <row r="1355" spans="1:8" x14ac:dyDescent="0.25">
      <c r="A1355" s="25" t="str">
        <f>IF($C1355="","",Registro_Compras!$B$154)</f>
        <v/>
      </c>
      <c r="B1355" t="str">
        <f>IF($C1355="","","C"&amp;TEXT(INT((ROW()-5)/9)+1,"000")&amp;"-1")</f>
        <v/>
      </c>
      <c r="C1355" t="str">
        <f>IF(OR(Registro_Compras!$C$154="",Registro_Compras!$O$154=""),"",IF(Registro_Compras!$F$154="NOTA DE CREDITO","4212",IF(Registro_Compras!$M$154="","63",Registro_Compras!$M$154)))</f>
        <v/>
      </c>
      <c r="D1355" t="str">
        <f>IF(OR(Registro_Compras!$C$154="",Registro_Compras!$O$154=""),"",IF(Registro_Compras!$F$154="NOTA DE CREDITO","Cuentas por Pagar Comerciales - Terceros (Emitidas)",IF(Registro_Compras!$F$154="RHE","Honorarios Profesionales - Servicios de Terceros","Gastos de Servicios Prestados por Terceros")))</f>
        <v/>
      </c>
      <c r="E1355" s="20" t="str">
        <f>IF($C1355="","",IF(Registro_Compras!$F$154="NOTA DE CREDITO",ABS(Registro_Compras!$O$154),IF(Registro_Compras!$F$154="RHE",ROUND(Registro_Compras!$L$154*Registro_Compras!$N$154,2),ROUND(Registro_Compras!$J$154*Registro_Compras!$N$154,2))))</f>
        <v/>
      </c>
      <c r="F1355" s="20" t="str">
        <f>""</f>
        <v/>
      </c>
      <c r="G1355" t="str">
        <f>IF($C1355="","",IF(Registro_Compras!$F$154="NOTA DE CREDITO","Por la nota de credito "&amp;Registro_Compras!$C$154&amp;" de "&amp;Registro_Compras!$E$154&amp;" [PATRON POR CONFIRMAR CON CONTADOR]",IF(Registro_Compras!$F$154="RHE","Por el registro del recibo por honorarios "&amp;Registro_Compras!$C$154&amp;" de "&amp;Registro_Compras!$E$154&amp;" [PATRON POR CONFIRMAR CON CONTADOR]","Por el registro de la factura "&amp;Registro_Compras!$C$154&amp;" de "&amp;Registro_Compras!$E$154)))</f>
        <v/>
      </c>
      <c r="H1355" t="str">
        <f>IF($C1355="","",Registro_Compras!$C$154)</f>
        <v/>
      </c>
    </row>
    <row r="1356" spans="1:8" x14ac:dyDescent="0.25">
      <c r="A1356" s="25" t="str">
        <f>IF($C1356="","",Registro_Compras!$B$154)</f>
        <v/>
      </c>
      <c r="B1356" t="str">
        <f>IF($C1356="","","C"&amp;TEXT(INT((ROW()-5)/9)+1,"000")&amp;"-1")</f>
        <v/>
      </c>
      <c r="C1356" t="str">
        <f>IF(OR(Registro_Compras!$C$154="",Registro_Compras!$O$154=""),"",IF(Registro_Compras!$F$154="RHE",IF(Registro_Compras!$V$154=0,"","4017"),IF(Registro_Compras!$F$154="NOTA DE CREDITO",IF(Registro_Compras!$M$154="","63",Registro_Compras!$M$154),IF(Registro_Compras!$K$154=0,"","40111"))))</f>
        <v/>
      </c>
      <c r="D1356" t="str">
        <f>IF(OR(Registro_Compras!$C$154="",Registro_Compras!$O$154=""),"",IF(Registro_Compras!$F$154="RHE","Retencion Renta 4ta Categoria por Pagar",IF(Registro_Compras!$F$154="NOTA DE CREDITO","Gastos de Servicios Prestados por Terceros","IGV - Cuenta Propia (Credito Fiscal)")))</f>
        <v/>
      </c>
      <c r="E1356" s="20" t="str">
        <f>IF($C1356="","",IF(Registro_Compras!$F$154="FACTURA",ROUND(Registro_Compras!$K$154*Registro_Compras!$N$154,2),""))</f>
        <v/>
      </c>
      <c r="F1356" s="20" t="str">
        <f>IF($C1356="","",IF(Registro_Compras!$F$154="RHE",ROUND(Registro_Compras!$V$154*Registro_Compras!$N$154,2),IF(Registro_Compras!$F$154="NOTA DE CREDITO",ROUND(ABS(Registro_Compras!$J$154*Registro_Compras!$N$154),2),"")))</f>
        <v/>
      </c>
      <c r="G1356" t="str">
        <f>IF($C1356="","",IF(Registro_Compras!$F$154="NOTA DE CREDITO","Por la nota de credito "&amp;Registro_Compras!$C$154&amp;" de "&amp;Registro_Compras!$E$154&amp;" [PATRON POR CONFIRMAR CON CONTADOR]",IF(Registro_Compras!$F$154="RHE","Por el registro del recibo por honorarios "&amp;Registro_Compras!$C$154&amp;" de "&amp;Registro_Compras!$E$154&amp;" [PATRON POR CONFIRMAR CON CONTADOR]","Por el registro de la factura "&amp;Registro_Compras!$C$154&amp;" de "&amp;Registro_Compras!$E$154)))</f>
        <v/>
      </c>
      <c r="H1356" t="str">
        <f>IF($C1356="","",Registro_Compras!$C$154)</f>
        <v/>
      </c>
    </row>
    <row r="1357" spans="1:8" x14ac:dyDescent="0.25">
      <c r="A1357" s="25" t="str">
        <f>IF($C1357="","",Registro_Compras!$B$154)</f>
        <v/>
      </c>
      <c r="B1357" t="str">
        <f>IF($C1357="","","C"&amp;TEXT(INT((ROW()-5)/9)+1,"000")&amp;"-1")</f>
        <v/>
      </c>
      <c r="C1357" t="str">
        <f>IF(OR(Registro_Compras!$C$154="",Registro_Compras!$O$154=""),"",IF(Registro_Compras!$F$154="NOTA DE CREDITO",IF(Registro_Compras!$K$154=0,"","40111"),"4212"))</f>
        <v/>
      </c>
      <c r="D1357" t="str">
        <f>IF(OR(Registro_Compras!$C$154="",Registro_Compras!$O$154=""),"",IF(Registro_Compras!$F$154="NOTA DE CREDITO","IGV - Cuenta Propia (Credito Fiscal)","Cuentas por Pagar Comerciales - Terceros (Emitidas)"))</f>
        <v/>
      </c>
      <c r="E1357" s="20" t="str">
        <f>""</f>
        <v/>
      </c>
      <c r="F1357" s="20" t="str">
        <f>IF($C1357="","",IF(Registro_Compras!$F$154="NOTA DE CREDITO",ROUND(ABS(Registro_Compras!$K$154*Registro_Compras!$N$154),2),IF(Registro_Compras!$F$154="RHE",(ROUND(Registro_Compras!$L$154*Registro_Compras!$N$154,2)-ROUND(Registro_Compras!$V$154*Registro_Compras!$N$154,2)),Registro_Compras!$O$154)))</f>
        <v/>
      </c>
      <c r="G1357" t="str">
        <f>IF($C1357="","",IF(Registro_Compras!$F$154="NOTA DE CREDITO","Por la nota de credito "&amp;Registro_Compras!$C$154&amp;" de "&amp;Registro_Compras!$E$154&amp;" [PATRON POR CONFIRMAR CON CONTADOR]",IF(Registro_Compras!$F$154="RHE","Por el registro del recibo por honorarios "&amp;Registro_Compras!$C$154&amp;" de "&amp;Registro_Compras!$E$154&amp;" [PATRON POR CONFIRMAR CON CONTADOR]","Por el registro de la factura "&amp;Registro_Compras!$C$154&amp;" de "&amp;Registro_Compras!$E$154)))</f>
        <v/>
      </c>
      <c r="H1357" t="str">
        <f>IF($C1357="","",Registro_Compras!$C$154)</f>
        <v/>
      </c>
    </row>
    <row r="1358" spans="1:8" x14ac:dyDescent="0.25">
      <c r="A1358" s="25" t="str">
        <f>IF($C1358="","",Registro_Compras!$B$154)</f>
        <v/>
      </c>
      <c r="B1358" t="str">
        <f>IF($C1358="","","C"&amp;TEXT(INT((ROW()-5)/9)+1,"000")&amp;"-2")</f>
        <v/>
      </c>
      <c r="C1358" t="str">
        <f>IF(OR(Registro_Compras!$C$154="",Registro_Compras!$O$154=""),"",IF(Registro_Compras!$AB$154="ADMINISTRATIVO","94","95"))</f>
        <v/>
      </c>
      <c r="D1358" t="str">
        <f>IF(OR(Registro_Compras!$C$154="",Registro_Compras!$O$154=""),"",IF(Registro_Compras!$AB$154="ADMINISTRATIVO","Gastos Administrativos","Gastos de Venta y Operacion"))</f>
        <v/>
      </c>
      <c r="E1358" s="20" t="str">
        <f>IF($C1358="","",IF(Registro_Compras!$F$154="NOTA DE CREDITO","",IF(Registro_Compras!$F$154="RHE",ROUND(Registro_Compras!$L$154*Registro_Compras!$N$154,2),ROUND(Registro_Compras!$J$154*Registro_Compras!$N$154,2))))</f>
        <v/>
      </c>
      <c r="F1358" s="20" t="str">
        <f>IF($C1358="","",IF(Registro_Compras!$F$154="NOTA DE CREDITO",ROUND(ABS(Registro_Compras!$J$154*Registro_Compras!$N$154),2),""))</f>
        <v/>
      </c>
      <c r="G1358" t="str">
        <f>IF($C1358="","","Por el destino del gasto")</f>
        <v/>
      </c>
      <c r="H1358" t="str">
        <f>IF($C1358="","",Registro_Compras!$C$154)</f>
        <v/>
      </c>
    </row>
    <row r="1359" spans="1:8" x14ac:dyDescent="0.25">
      <c r="A1359" s="25" t="str">
        <f>IF($C1359="","",Registro_Compras!$B$154)</f>
        <v/>
      </c>
      <c r="B1359" t="str">
        <f>IF($C1359="","","C"&amp;TEXT(INT((ROW()-5)/9)+1,"000")&amp;"-2")</f>
        <v/>
      </c>
      <c r="C1359" t="str">
        <f>IF(OR(Registro_Compras!$C$154="",Registro_Compras!$O$154=""),"","79/791")</f>
        <v/>
      </c>
      <c r="D1359" t="str">
        <f>IF(OR(Registro_Compras!$C$154="",Registro_Compras!$O$154=""),"","Cargas Imputables a Cuentas de Costos y Gastos")</f>
        <v/>
      </c>
      <c r="E1359" s="20" t="str">
        <f>IF($C1359="","",IF(Registro_Compras!$F$154="NOTA DE CREDITO",ROUND(ABS(Registro_Compras!$J$154*Registro_Compras!$N$154),2),""))</f>
        <v/>
      </c>
      <c r="F1359" s="20" t="str">
        <f>IF($C1359="","",IF(Registro_Compras!$F$154="NOTA DE CREDITO","",IF(Registro_Compras!$F$154="RHE",ROUND(Registro_Compras!$L$154*Registro_Compras!$N$154,2),ROUND(Registro_Compras!$J$154*Registro_Compras!$N$154,2))))</f>
        <v/>
      </c>
      <c r="G1359" t="str">
        <f>IF($C1359="","","Por el destino del gasto")</f>
        <v/>
      </c>
      <c r="H1359" t="str">
        <f>IF($C1359="","",Registro_Compras!$C$154)</f>
        <v/>
      </c>
    </row>
    <row r="1360" spans="1:8" x14ac:dyDescent="0.25">
      <c r="A1360" s="25" t="str">
        <f>IF($C1360="","",Registro_Compras!$X$154)</f>
        <v/>
      </c>
      <c r="B1360" t="str">
        <f>IF($C1360="","","C"&amp;TEXT(INT((ROW()-5)/9)+1,"000")&amp;"-3")</f>
        <v/>
      </c>
      <c r="C1360" t="str">
        <f>IF(OR(Registro_Compras!$C$154="",Registro_Compras!$O$154="",Registro_Compras!$R$154&lt;&gt;"SI",Registro_Compras!$X$154=""),"","4212")</f>
        <v/>
      </c>
      <c r="D1360" t="str">
        <f>IF(OR(Registro_Compras!$C$154="",Registro_Compras!$O$154=""),"","Cuentas por Pagar Comerciales - Terceros")</f>
        <v/>
      </c>
      <c r="E1360" s="20" t="str">
        <f>IF($C1360="","",Registro_Compras!$S$154)</f>
        <v/>
      </c>
      <c r="F1360" s="20" t="str">
        <f>""</f>
        <v/>
      </c>
      <c r="G1360" t="str">
        <f>IF($C1360="","","Por el deposito de la detraccion en el Banco de la Nacion")</f>
        <v/>
      </c>
      <c r="H1360" t="str">
        <f>IF($C1360="","",Registro_Compras!$C$154)</f>
        <v/>
      </c>
    </row>
    <row r="1361" spans="1:8" x14ac:dyDescent="0.25">
      <c r="A1361" s="25" t="str">
        <f>IF($C1361="","",Registro_Compras!$X$154)</f>
        <v/>
      </c>
      <c r="B1361" t="str">
        <f>IF($C1361="","","C"&amp;TEXT(INT((ROW()-5)/9)+1,"000")&amp;"-3")</f>
        <v/>
      </c>
      <c r="C1361" t="str">
        <f>IF(OR(Registro_Compras!$C$154="",Registro_Compras!$O$154="",Registro_Compras!$R$154&lt;&gt;"SI",Registro_Compras!$X$154=""),"","1041")</f>
        <v/>
      </c>
      <c r="D1361" t="str">
        <f>IF(OR(Registro_Compras!$C$154="",Registro_Compras!$O$154=""),"","Efectivo y Equivalentes - Cta. Cte. Operativa")</f>
        <v/>
      </c>
      <c r="E1361" s="20" t="str">
        <f>""</f>
        <v/>
      </c>
      <c r="F1361" s="20" t="str">
        <f>IF($C1361="","",Registro_Compras!$S$154)</f>
        <v/>
      </c>
      <c r="G1361" t="str">
        <f>IF($C1361="","","Por el deposito de la detraccion en el Banco de la Nacion")</f>
        <v/>
      </c>
      <c r="H1361" t="str">
        <f>IF($C1361="","",Registro_Compras!$C$154)</f>
        <v/>
      </c>
    </row>
    <row r="1362" spans="1:8" x14ac:dyDescent="0.25">
      <c r="A1362" s="25" t="str">
        <f>IF($C1362="","",Registro_Compras!$Y$154)</f>
        <v/>
      </c>
      <c r="B1362" t="str">
        <f>IF($C1362="","","C"&amp;TEXT(INT((ROW()-5)/9)+1,"000")&amp;"-4")</f>
        <v/>
      </c>
      <c r="C1362" t="str">
        <f>IF(OR(Registro_Compras!$C$154="",Registro_Compras!$O$154="",Registro_Compras!$Y$154="",Registro_Compras!$F$154="NOTA DE CREDITO"),"","4212")</f>
        <v/>
      </c>
      <c r="D1362" t="str">
        <f>IF(OR(Registro_Compras!$C$154="",Registro_Compras!$O$154=""),"","Cuentas por Pagar Comerciales - Terceros")</f>
        <v/>
      </c>
      <c r="E1362" s="20" t="str">
        <f>IF($C1362="","",IF(Registro_Compras!$F$154="RHE",(ROUND(Registro_Compras!$L$154*Registro_Compras!$N$154,2)-ROUND(Registro_Compras!$V$154*Registro_Compras!$N$154,2)),ROUND(Registro_Compras!$O$154-Registro_Compras!$S$154,2)))</f>
        <v/>
      </c>
      <c r="F1362" s="20" t="str">
        <f>""</f>
        <v/>
      </c>
      <c r="G1362" t="str">
        <f>IF($C1362="","","Por la cancelacion del saldo al proveedor")</f>
        <v/>
      </c>
      <c r="H1362" t="str">
        <f>IF($C1362="","",Registro_Compras!$C$154)</f>
        <v/>
      </c>
    </row>
    <row r="1363" spans="1:8" x14ac:dyDescent="0.25">
      <c r="A1363" s="25" t="str">
        <f>IF($C1363="","",Registro_Compras!$Y$154)</f>
        <v/>
      </c>
      <c r="B1363" t="str">
        <f>IF($C1363="","","C"&amp;TEXT(INT((ROW()-5)/9)+1,"000")&amp;"-4")</f>
        <v/>
      </c>
      <c r="C1363" t="str">
        <f>IF(OR(Registro_Compras!$C$154="",Registro_Compras!$O$154="",Registro_Compras!$Y$154="",Registro_Compras!$F$154="NOTA DE CREDITO"),"","1041")</f>
        <v/>
      </c>
      <c r="D1363" t="str">
        <f>IF(OR(Registro_Compras!$C$154="",Registro_Compras!$O$154=""),"","Efectivo y Equivalentes - Cta. Cte. Operativa")</f>
        <v/>
      </c>
      <c r="E1363" s="20" t="str">
        <f>""</f>
        <v/>
      </c>
      <c r="F1363" s="20" t="str">
        <f>IF($C1363="","",IF(Registro_Compras!$F$154="RHE",(ROUND(Registro_Compras!$L$154*Registro_Compras!$N$154,2)-ROUND(Registro_Compras!$V$154*Registro_Compras!$N$154,2)),ROUND(Registro_Compras!$O$154-Registro_Compras!$S$154,2)))</f>
        <v/>
      </c>
      <c r="G1363" t="str">
        <f>IF($C1363="","","Por la cancelacion del saldo al proveedor")</f>
        <v/>
      </c>
      <c r="H1363" t="str">
        <f>IF($C1363="","",Registro_Compras!$C$154)</f>
        <v/>
      </c>
    </row>
    <row r="1364" spans="1:8" x14ac:dyDescent="0.25">
      <c r="A1364" s="25" t="str">
        <f>IF($C1364="","",Registro_Compras!$B$155)</f>
        <v/>
      </c>
      <c r="B1364" t="str">
        <f>IF($C1364="","","C"&amp;TEXT(INT((ROW()-5)/9)+1,"000")&amp;"-1")</f>
        <v/>
      </c>
      <c r="C1364" t="str">
        <f>IF(OR(Registro_Compras!$C$155="",Registro_Compras!$O$155=""),"",IF(Registro_Compras!$F$155="NOTA DE CREDITO","4212",IF(Registro_Compras!$M$155="","63",Registro_Compras!$M$155)))</f>
        <v/>
      </c>
      <c r="D1364" t="str">
        <f>IF(OR(Registro_Compras!$C$155="",Registro_Compras!$O$155=""),"",IF(Registro_Compras!$F$155="NOTA DE CREDITO","Cuentas por Pagar Comerciales - Terceros (Emitidas)",IF(Registro_Compras!$F$155="RHE","Honorarios Profesionales - Servicios de Terceros","Gastos de Servicios Prestados por Terceros")))</f>
        <v/>
      </c>
      <c r="E1364" s="20" t="str">
        <f>IF($C1364="","",IF(Registro_Compras!$F$155="NOTA DE CREDITO",ABS(Registro_Compras!$O$155),IF(Registro_Compras!$F$155="RHE",ROUND(Registro_Compras!$L$155*Registro_Compras!$N$155,2),ROUND(Registro_Compras!$J$155*Registro_Compras!$N$155,2))))</f>
        <v/>
      </c>
      <c r="F1364" s="20" t="str">
        <f>""</f>
        <v/>
      </c>
      <c r="G1364" t="str">
        <f>IF($C1364="","",IF(Registro_Compras!$F$155="NOTA DE CREDITO","Por la nota de credito "&amp;Registro_Compras!$C$155&amp;" de "&amp;Registro_Compras!$E$155&amp;" [PATRON POR CONFIRMAR CON CONTADOR]",IF(Registro_Compras!$F$155="RHE","Por el registro del recibo por honorarios "&amp;Registro_Compras!$C$155&amp;" de "&amp;Registro_Compras!$E$155&amp;" [PATRON POR CONFIRMAR CON CONTADOR]","Por el registro de la factura "&amp;Registro_Compras!$C$155&amp;" de "&amp;Registro_Compras!$E$155)))</f>
        <v/>
      </c>
      <c r="H1364" t="str">
        <f>IF($C1364="","",Registro_Compras!$C$155)</f>
        <v/>
      </c>
    </row>
    <row r="1365" spans="1:8" x14ac:dyDescent="0.25">
      <c r="A1365" s="25" t="str">
        <f>IF($C1365="","",Registro_Compras!$B$155)</f>
        <v/>
      </c>
      <c r="B1365" t="str">
        <f>IF($C1365="","","C"&amp;TEXT(INT((ROW()-5)/9)+1,"000")&amp;"-1")</f>
        <v/>
      </c>
      <c r="C1365" t="str">
        <f>IF(OR(Registro_Compras!$C$155="",Registro_Compras!$O$155=""),"",IF(Registro_Compras!$F$155="RHE",IF(Registro_Compras!$V$155=0,"","4017"),IF(Registro_Compras!$F$155="NOTA DE CREDITO",IF(Registro_Compras!$M$155="","63",Registro_Compras!$M$155),IF(Registro_Compras!$K$155=0,"","40111"))))</f>
        <v/>
      </c>
      <c r="D1365" t="str">
        <f>IF(OR(Registro_Compras!$C$155="",Registro_Compras!$O$155=""),"",IF(Registro_Compras!$F$155="RHE","Retencion Renta 4ta Categoria por Pagar",IF(Registro_Compras!$F$155="NOTA DE CREDITO","Gastos de Servicios Prestados por Terceros","IGV - Cuenta Propia (Credito Fiscal)")))</f>
        <v/>
      </c>
      <c r="E1365" s="20" t="str">
        <f>IF($C1365="","",IF(Registro_Compras!$F$155="FACTURA",ROUND(Registro_Compras!$K$155*Registro_Compras!$N$155,2),""))</f>
        <v/>
      </c>
      <c r="F1365" s="20" t="str">
        <f>IF($C1365="","",IF(Registro_Compras!$F$155="RHE",ROUND(Registro_Compras!$V$155*Registro_Compras!$N$155,2),IF(Registro_Compras!$F$155="NOTA DE CREDITO",ROUND(ABS(Registro_Compras!$J$155*Registro_Compras!$N$155),2),"")))</f>
        <v/>
      </c>
      <c r="G1365" t="str">
        <f>IF($C1365="","",IF(Registro_Compras!$F$155="NOTA DE CREDITO","Por la nota de credito "&amp;Registro_Compras!$C$155&amp;" de "&amp;Registro_Compras!$E$155&amp;" [PATRON POR CONFIRMAR CON CONTADOR]",IF(Registro_Compras!$F$155="RHE","Por el registro del recibo por honorarios "&amp;Registro_Compras!$C$155&amp;" de "&amp;Registro_Compras!$E$155&amp;" [PATRON POR CONFIRMAR CON CONTADOR]","Por el registro de la factura "&amp;Registro_Compras!$C$155&amp;" de "&amp;Registro_Compras!$E$155)))</f>
        <v/>
      </c>
      <c r="H1365" t="str">
        <f>IF($C1365="","",Registro_Compras!$C$155)</f>
        <v/>
      </c>
    </row>
    <row r="1366" spans="1:8" x14ac:dyDescent="0.25">
      <c r="A1366" s="25" t="str">
        <f>IF($C1366="","",Registro_Compras!$B$155)</f>
        <v/>
      </c>
      <c r="B1366" t="str">
        <f>IF($C1366="","","C"&amp;TEXT(INT((ROW()-5)/9)+1,"000")&amp;"-1")</f>
        <v/>
      </c>
      <c r="C1366" t="str">
        <f>IF(OR(Registro_Compras!$C$155="",Registro_Compras!$O$155=""),"",IF(Registro_Compras!$F$155="NOTA DE CREDITO",IF(Registro_Compras!$K$155=0,"","40111"),"4212"))</f>
        <v/>
      </c>
      <c r="D1366" t="str">
        <f>IF(OR(Registro_Compras!$C$155="",Registro_Compras!$O$155=""),"",IF(Registro_Compras!$F$155="NOTA DE CREDITO","IGV - Cuenta Propia (Credito Fiscal)","Cuentas por Pagar Comerciales - Terceros (Emitidas)"))</f>
        <v/>
      </c>
      <c r="E1366" s="20" t="str">
        <f>""</f>
        <v/>
      </c>
      <c r="F1366" s="20" t="str">
        <f>IF($C1366="","",IF(Registro_Compras!$F$155="NOTA DE CREDITO",ROUND(ABS(Registro_Compras!$K$155*Registro_Compras!$N$155),2),IF(Registro_Compras!$F$155="RHE",(ROUND(Registro_Compras!$L$155*Registro_Compras!$N$155,2)-ROUND(Registro_Compras!$V$155*Registro_Compras!$N$155,2)),Registro_Compras!$O$155)))</f>
        <v/>
      </c>
      <c r="G1366" t="str">
        <f>IF($C1366="","",IF(Registro_Compras!$F$155="NOTA DE CREDITO","Por la nota de credito "&amp;Registro_Compras!$C$155&amp;" de "&amp;Registro_Compras!$E$155&amp;" [PATRON POR CONFIRMAR CON CONTADOR]",IF(Registro_Compras!$F$155="RHE","Por el registro del recibo por honorarios "&amp;Registro_Compras!$C$155&amp;" de "&amp;Registro_Compras!$E$155&amp;" [PATRON POR CONFIRMAR CON CONTADOR]","Por el registro de la factura "&amp;Registro_Compras!$C$155&amp;" de "&amp;Registro_Compras!$E$155)))</f>
        <v/>
      </c>
      <c r="H1366" t="str">
        <f>IF($C1366="","",Registro_Compras!$C$155)</f>
        <v/>
      </c>
    </row>
    <row r="1367" spans="1:8" x14ac:dyDescent="0.25">
      <c r="A1367" s="25" t="str">
        <f>IF($C1367="","",Registro_Compras!$B$155)</f>
        <v/>
      </c>
      <c r="B1367" t="str">
        <f>IF($C1367="","","C"&amp;TEXT(INT((ROW()-5)/9)+1,"000")&amp;"-2")</f>
        <v/>
      </c>
      <c r="C1367" t="str">
        <f>IF(OR(Registro_Compras!$C$155="",Registro_Compras!$O$155=""),"",IF(Registro_Compras!$AB$155="ADMINISTRATIVO","94","95"))</f>
        <v/>
      </c>
      <c r="D1367" t="str">
        <f>IF(OR(Registro_Compras!$C$155="",Registro_Compras!$O$155=""),"",IF(Registro_Compras!$AB$155="ADMINISTRATIVO","Gastos Administrativos","Gastos de Venta y Operacion"))</f>
        <v/>
      </c>
      <c r="E1367" s="20" t="str">
        <f>IF($C1367="","",IF(Registro_Compras!$F$155="NOTA DE CREDITO","",IF(Registro_Compras!$F$155="RHE",ROUND(Registro_Compras!$L$155*Registro_Compras!$N$155,2),ROUND(Registro_Compras!$J$155*Registro_Compras!$N$155,2))))</f>
        <v/>
      </c>
      <c r="F1367" s="20" t="str">
        <f>IF($C1367="","",IF(Registro_Compras!$F$155="NOTA DE CREDITO",ROUND(ABS(Registro_Compras!$J$155*Registro_Compras!$N$155),2),""))</f>
        <v/>
      </c>
      <c r="G1367" t="str">
        <f>IF($C1367="","","Por el destino del gasto")</f>
        <v/>
      </c>
      <c r="H1367" t="str">
        <f>IF($C1367="","",Registro_Compras!$C$155)</f>
        <v/>
      </c>
    </row>
    <row r="1368" spans="1:8" x14ac:dyDescent="0.25">
      <c r="A1368" s="25" t="str">
        <f>IF($C1368="","",Registro_Compras!$B$155)</f>
        <v/>
      </c>
      <c r="B1368" t="str">
        <f>IF($C1368="","","C"&amp;TEXT(INT((ROW()-5)/9)+1,"000")&amp;"-2")</f>
        <v/>
      </c>
      <c r="C1368" t="str">
        <f>IF(OR(Registro_Compras!$C$155="",Registro_Compras!$O$155=""),"","79/791")</f>
        <v/>
      </c>
      <c r="D1368" t="str">
        <f>IF(OR(Registro_Compras!$C$155="",Registro_Compras!$O$155=""),"","Cargas Imputables a Cuentas de Costos y Gastos")</f>
        <v/>
      </c>
      <c r="E1368" s="20" t="str">
        <f>IF($C1368="","",IF(Registro_Compras!$F$155="NOTA DE CREDITO",ROUND(ABS(Registro_Compras!$J$155*Registro_Compras!$N$155),2),""))</f>
        <v/>
      </c>
      <c r="F1368" s="20" t="str">
        <f>IF($C1368="","",IF(Registro_Compras!$F$155="NOTA DE CREDITO","",IF(Registro_Compras!$F$155="RHE",ROUND(Registro_Compras!$L$155*Registro_Compras!$N$155,2),ROUND(Registro_Compras!$J$155*Registro_Compras!$N$155,2))))</f>
        <v/>
      </c>
      <c r="G1368" t="str">
        <f>IF($C1368="","","Por el destino del gasto")</f>
        <v/>
      </c>
      <c r="H1368" t="str">
        <f>IF($C1368="","",Registro_Compras!$C$155)</f>
        <v/>
      </c>
    </row>
    <row r="1369" spans="1:8" x14ac:dyDescent="0.25">
      <c r="A1369" s="25" t="str">
        <f>IF($C1369="","",Registro_Compras!$X$155)</f>
        <v/>
      </c>
      <c r="B1369" t="str">
        <f>IF($C1369="","","C"&amp;TEXT(INT((ROW()-5)/9)+1,"000")&amp;"-3")</f>
        <v/>
      </c>
      <c r="C1369" t="str">
        <f>IF(OR(Registro_Compras!$C$155="",Registro_Compras!$O$155="",Registro_Compras!$R$155&lt;&gt;"SI",Registro_Compras!$X$155=""),"","4212")</f>
        <v/>
      </c>
      <c r="D1369" t="str">
        <f>IF(OR(Registro_Compras!$C$155="",Registro_Compras!$O$155=""),"","Cuentas por Pagar Comerciales - Terceros")</f>
        <v/>
      </c>
      <c r="E1369" s="20" t="str">
        <f>IF($C1369="","",Registro_Compras!$S$155)</f>
        <v/>
      </c>
      <c r="F1369" s="20" t="str">
        <f>""</f>
        <v/>
      </c>
      <c r="G1369" t="str">
        <f>IF($C1369="","","Por el deposito de la detraccion en el Banco de la Nacion")</f>
        <v/>
      </c>
      <c r="H1369" t="str">
        <f>IF($C1369="","",Registro_Compras!$C$155)</f>
        <v/>
      </c>
    </row>
    <row r="1370" spans="1:8" x14ac:dyDescent="0.25">
      <c r="A1370" s="25" t="str">
        <f>IF($C1370="","",Registro_Compras!$X$155)</f>
        <v/>
      </c>
      <c r="B1370" t="str">
        <f>IF($C1370="","","C"&amp;TEXT(INT((ROW()-5)/9)+1,"000")&amp;"-3")</f>
        <v/>
      </c>
      <c r="C1370" t="str">
        <f>IF(OR(Registro_Compras!$C$155="",Registro_Compras!$O$155="",Registro_Compras!$R$155&lt;&gt;"SI",Registro_Compras!$X$155=""),"","1041")</f>
        <v/>
      </c>
      <c r="D1370" t="str">
        <f>IF(OR(Registro_Compras!$C$155="",Registro_Compras!$O$155=""),"","Efectivo y Equivalentes - Cta. Cte. Operativa")</f>
        <v/>
      </c>
      <c r="E1370" s="20" t="str">
        <f>""</f>
        <v/>
      </c>
      <c r="F1370" s="20" t="str">
        <f>IF($C1370="","",Registro_Compras!$S$155)</f>
        <v/>
      </c>
      <c r="G1370" t="str">
        <f>IF($C1370="","","Por el deposito de la detraccion en el Banco de la Nacion")</f>
        <v/>
      </c>
      <c r="H1370" t="str">
        <f>IF($C1370="","",Registro_Compras!$C$155)</f>
        <v/>
      </c>
    </row>
    <row r="1371" spans="1:8" x14ac:dyDescent="0.25">
      <c r="A1371" s="25" t="str">
        <f>IF($C1371="","",Registro_Compras!$Y$155)</f>
        <v/>
      </c>
      <c r="B1371" t="str">
        <f>IF($C1371="","","C"&amp;TEXT(INT((ROW()-5)/9)+1,"000")&amp;"-4")</f>
        <v/>
      </c>
      <c r="C1371" t="str">
        <f>IF(OR(Registro_Compras!$C$155="",Registro_Compras!$O$155="",Registro_Compras!$Y$155="",Registro_Compras!$F$155="NOTA DE CREDITO"),"","4212")</f>
        <v/>
      </c>
      <c r="D1371" t="str">
        <f>IF(OR(Registro_Compras!$C$155="",Registro_Compras!$O$155=""),"","Cuentas por Pagar Comerciales - Terceros")</f>
        <v/>
      </c>
      <c r="E1371" s="20" t="str">
        <f>IF($C1371="","",IF(Registro_Compras!$F$155="RHE",(ROUND(Registro_Compras!$L$155*Registro_Compras!$N$155,2)-ROUND(Registro_Compras!$V$155*Registro_Compras!$N$155,2)),ROUND(Registro_Compras!$O$155-Registro_Compras!$S$155,2)))</f>
        <v/>
      </c>
      <c r="F1371" s="20" t="str">
        <f>""</f>
        <v/>
      </c>
      <c r="G1371" t="str">
        <f>IF($C1371="","","Por la cancelacion del saldo al proveedor")</f>
        <v/>
      </c>
      <c r="H1371" t="str">
        <f>IF($C1371="","",Registro_Compras!$C$155)</f>
        <v/>
      </c>
    </row>
    <row r="1372" spans="1:8" x14ac:dyDescent="0.25">
      <c r="A1372" s="25" t="str">
        <f>IF($C1372="","",Registro_Compras!$Y$155)</f>
        <v/>
      </c>
      <c r="B1372" t="str">
        <f>IF($C1372="","","C"&amp;TEXT(INT((ROW()-5)/9)+1,"000")&amp;"-4")</f>
        <v/>
      </c>
      <c r="C1372" t="str">
        <f>IF(OR(Registro_Compras!$C$155="",Registro_Compras!$O$155="",Registro_Compras!$Y$155="",Registro_Compras!$F$155="NOTA DE CREDITO"),"","1041")</f>
        <v/>
      </c>
      <c r="D1372" t="str">
        <f>IF(OR(Registro_Compras!$C$155="",Registro_Compras!$O$155=""),"","Efectivo y Equivalentes - Cta. Cte. Operativa")</f>
        <v/>
      </c>
      <c r="E1372" s="20" t="str">
        <f>""</f>
        <v/>
      </c>
      <c r="F1372" s="20" t="str">
        <f>IF($C1372="","",IF(Registro_Compras!$F$155="RHE",(ROUND(Registro_Compras!$L$155*Registro_Compras!$N$155,2)-ROUND(Registro_Compras!$V$155*Registro_Compras!$N$155,2)),ROUND(Registro_Compras!$O$155-Registro_Compras!$S$155,2)))</f>
        <v/>
      </c>
      <c r="G1372" t="str">
        <f>IF($C1372="","","Por la cancelacion del saldo al proveedor")</f>
        <v/>
      </c>
      <c r="H1372" t="str">
        <f>IF($C1372="","",Registro_Compras!$C$155)</f>
        <v/>
      </c>
    </row>
    <row r="1373" spans="1:8" x14ac:dyDescent="0.25">
      <c r="A1373" s="25" t="str">
        <f>IF($C1373="","",Registro_Compras!$B$156)</f>
        <v/>
      </c>
      <c r="B1373" t="str">
        <f>IF($C1373="","","C"&amp;TEXT(INT((ROW()-5)/9)+1,"000")&amp;"-1")</f>
        <v/>
      </c>
      <c r="C1373" t="str">
        <f>IF(OR(Registro_Compras!$C$156="",Registro_Compras!$O$156=""),"",IF(Registro_Compras!$F$156="NOTA DE CREDITO","4212",IF(Registro_Compras!$M$156="","63",Registro_Compras!$M$156)))</f>
        <v/>
      </c>
      <c r="D1373" t="str">
        <f>IF(OR(Registro_Compras!$C$156="",Registro_Compras!$O$156=""),"",IF(Registro_Compras!$F$156="NOTA DE CREDITO","Cuentas por Pagar Comerciales - Terceros (Emitidas)",IF(Registro_Compras!$F$156="RHE","Honorarios Profesionales - Servicios de Terceros","Gastos de Servicios Prestados por Terceros")))</f>
        <v/>
      </c>
      <c r="E1373" s="20" t="str">
        <f>IF($C1373="","",IF(Registro_Compras!$F$156="NOTA DE CREDITO",ABS(Registro_Compras!$O$156),IF(Registro_Compras!$F$156="RHE",ROUND(Registro_Compras!$L$156*Registro_Compras!$N$156,2),ROUND(Registro_Compras!$J$156*Registro_Compras!$N$156,2))))</f>
        <v/>
      </c>
      <c r="F1373" s="20" t="str">
        <f>""</f>
        <v/>
      </c>
      <c r="G1373" t="str">
        <f>IF($C1373="","",IF(Registro_Compras!$F$156="NOTA DE CREDITO","Por la nota de credito "&amp;Registro_Compras!$C$156&amp;" de "&amp;Registro_Compras!$E$156&amp;" [PATRON POR CONFIRMAR CON CONTADOR]",IF(Registro_Compras!$F$156="RHE","Por el registro del recibo por honorarios "&amp;Registro_Compras!$C$156&amp;" de "&amp;Registro_Compras!$E$156&amp;" [PATRON POR CONFIRMAR CON CONTADOR]","Por el registro de la factura "&amp;Registro_Compras!$C$156&amp;" de "&amp;Registro_Compras!$E$156)))</f>
        <v/>
      </c>
      <c r="H1373" t="str">
        <f>IF($C1373="","",Registro_Compras!$C$156)</f>
        <v/>
      </c>
    </row>
    <row r="1374" spans="1:8" x14ac:dyDescent="0.25">
      <c r="A1374" s="25" t="str">
        <f>IF($C1374="","",Registro_Compras!$B$156)</f>
        <v/>
      </c>
      <c r="B1374" t="str">
        <f>IF($C1374="","","C"&amp;TEXT(INT((ROW()-5)/9)+1,"000")&amp;"-1")</f>
        <v/>
      </c>
      <c r="C1374" t="str">
        <f>IF(OR(Registro_Compras!$C$156="",Registro_Compras!$O$156=""),"",IF(Registro_Compras!$F$156="RHE",IF(Registro_Compras!$V$156=0,"","4017"),IF(Registro_Compras!$F$156="NOTA DE CREDITO",IF(Registro_Compras!$M$156="","63",Registro_Compras!$M$156),IF(Registro_Compras!$K$156=0,"","40111"))))</f>
        <v/>
      </c>
      <c r="D1374" t="str">
        <f>IF(OR(Registro_Compras!$C$156="",Registro_Compras!$O$156=""),"",IF(Registro_Compras!$F$156="RHE","Retencion Renta 4ta Categoria por Pagar",IF(Registro_Compras!$F$156="NOTA DE CREDITO","Gastos de Servicios Prestados por Terceros","IGV - Cuenta Propia (Credito Fiscal)")))</f>
        <v/>
      </c>
      <c r="E1374" s="20" t="str">
        <f>IF($C1374="","",IF(Registro_Compras!$F$156="FACTURA",ROUND(Registro_Compras!$K$156*Registro_Compras!$N$156,2),""))</f>
        <v/>
      </c>
      <c r="F1374" s="20" t="str">
        <f>IF($C1374="","",IF(Registro_Compras!$F$156="RHE",ROUND(Registro_Compras!$V$156*Registro_Compras!$N$156,2),IF(Registro_Compras!$F$156="NOTA DE CREDITO",ROUND(ABS(Registro_Compras!$J$156*Registro_Compras!$N$156),2),"")))</f>
        <v/>
      </c>
      <c r="G1374" t="str">
        <f>IF($C1374="","",IF(Registro_Compras!$F$156="NOTA DE CREDITO","Por la nota de credito "&amp;Registro_Compras!$C$156&amp;" de "&amp;Registro_Compras!$E$156&amp;" [PATRON POR CONFIRMAR CON CONTADOR]",IF(Registro_Compras!$F$156="RHE","Por el registro del recibo por honorarios "&amp;Registro_Compras!$C$156&amp;" de "&amp;Registro_Compras!$E$156&amp;" [PATRON POR CONFIRMAR CON CONTADOR]","Por el registro de la factura "&amp;Registro_Compras!$C$156&amp;" de "&amp;Registro_Compras!$E$156)))</f>
        <v/>
      </c>
      <c r="H1374" t="str">
        <f>IF($C1374="","",Registro_Compras!$C$156)</f>
        <v/>
      </c>
    </row>
    <row r="1375" spans="1:8" x14ac:dyDescent="0.25">
      <c r="A1375" s="25" t="str">
        <f>IF($C1375="","",Registro_Compras!$B$156)</f>
        <v/>
      </c>
      <c r="B1375" t="str">
        <f>IF($C1375="","","C"&amp;TEXT(INT((ROW()-5)/9)+1,"000")&amp;"-1")</f>
        <v/>
      </c>
      <c r="C1375" t="str">
        <f>IF(OR(Registro_Compras!$C$156="",Registro_Compras!$O$156=""),"",IF(Registro_Compras!$F$156="NOTA DE CREDITO",IF(Registro_Compras!$K$156=0,"","40111"),"4212"))</f>
        <v/>
      </c>
      <c r="D1375" t="str">
        <f>IF(OR(Registro_Compras!$C$156="",Registro_Compras!$O$156=""),"",IF(Registro_Compras!$F$156="NOTA DE CREDITO","IGV - Cuenta Propia (Credito Fiscal)","Cuentas por Pagar Comerciales - Terceros (Emitidas)"))</f>
        <v/>
      </c>
      <c r="E1375" s="20" t="str">
        <f>""</f>
        <v/>
      </c>
      <c r="F1375" s="20" t="str">
        <f>IF($C1375="","",IF(Registro_Compras!$F$156="NOTA DE CREDITO",ROUND(ABS(Registro_Compras!$K$156*Registro_Compras!$N$156),2),IF(Registro_Compras!$F$156="RHE",(ROUND(Registro_Compras!$L$156*Registro_Compras!$N$156,2)-ROUND(Registro_Compras!$V$156*Registro_Compras!$N$156,2)),Registro_Compras!$O$156)))</f>
        <v/>
      </c>
      <c r="G1375" t="str">
        <f>IF($C1375="","",IF(Registro_Compras!$F$156="NOTA DE CREDITO","Por la nota de credito "&amp;Registro_Compras!$C$156&amp;" de "&amp;Registro_Compras!$E$156&amp;" [PATRON POR CONFIRMAR CON CONTADOR]",IF(Registro_Compras!$F$156="RHE","Por el registro del recibo por honorarios "&amp;Registro_Compras!$C$156&amp;" de "&amp;Registro_Compras!$E$156&amp;" [PATRON POR CONFIRMAR CON CONTADOR]","Por el registro de la factura "&amp;Registro_Compras!$C$156&amp;" de "&amp;Registro_Compras!$E$156)))</f>
        <v/>
      </c>
      <c r="H1375" t="str">
        <f>IF($C1375="","",Registro_Compras!$C$156)</f>
        <v/>
      </c>
    </row>
    <row r="1376" spans="1:8" x14ac:dyDescent="0.25">
      <c r="A1376" s="25" t="str">
        <f>IF($C1376="","",Registro_Compras!$B$156)</f>
        <v/>
      </c>
      <c r="B1376" t="str">
        <f>IF($C1376="","","C"&amp;TEXT(INT((ROW()-5)/9)+1,"000")&amp;"-2")</f>
        <v/>
      </c>
      <c r="C1376" t="str">
        <f>IF(OR(Registro_Compras!$C$156="",Registro_Compras!$O$156=""),"",IF(Registro_Compras!$AB$156="ADMINISTRATIVO","94","95"))</f>
        <v/>
      </c>
      <c r="D1376" t="str">
        <f>IF(OR(Registro_Compras!$C$156="",Registro_Compras!$O$156=""),"",IF(Registro_Compras!$AB$156="ADMINISTRATIVO","Gastos Administrativos","Gastos de Venta y Operacion"))</f>
        <v/>
      </c>
      <c r="E1376" s="20" t="str">
        <f>IF($C1376="","",IF(Registro_Compras!$F$156="NOTA DE CREDITO","",IF(Registro_Compras!$F$156="RHE",ROUND(Registro_Compras!$L$156*Registro_Compras!$N$156,2),ROUND(Registro_Compras!$J$156*Registro_Compras!$N$156,2))))</f>
        <v/>
      </c>
      <c r="F1376" s="20" t="str">
        <f>IF($C1376="","",IF(Registro_Compras!$F$156="NOTA DE CREDITO",ROUND(ABS(Registro_Compras!$J$156*Registro_Compras!$N$156),2),""))</f>
        <v/>
      </c>
      <c r="G1376" t="str">
        <f>IF($C1376="","","Por el destino del gasto")</f>
        <v/>
      </c>
      <c r="H1376" t="str">
        <f>IF($C1376="","",Registro_Compras!$C$156)</f>
        <v/>
      </c>
    </row>
    <row r="1377" spans="1:8" x14ac:dyDescent="0.25">
      <c r="A1377" s="25" t="str">
        <f>IF($C1377="","",Registro_Compras!$B$156)</f>
        <v/>
      </c>
      <c r="B1377" t="str">
        <f>IF($C1377="","","C"&amp;TEXT(INT((ROW()-5)/9)+1,"000")&amp;"-2")</f>
        <v/>
      </c>
      <c r="C1377" t="str">
        <f>IF(OR(Registro_Compras!$C$156="",Registro_Compras!$O$156=""),"","79/791")</f>
        <v/>
      </c>
      <c r="D1377" t="str">
        <f>IF(OR(Registro_Compras!$C$156="",Registro_Compras!$O$156=""),"","Cargas Imputables a Cuentas de Costos y Gastos")</f>
        <v/>
      </c>
      <c r="E1377" s="20" t="str">
        <f>IF($C1377="","",IF(Registro_Compras!$F$156="NOTA DE CREDITO",ROUND(ABS(Registro_Compras!$J$156*Registro_Compras!$N$156),2),""))</f>
        <v/>
      </c>
      <c r="F1377" s="20" t="str">
        <f>IF($C1377="","",IF(Registro_Compras!$F$156="NOTA DE CREDITO","",IF(Registro_Compras!$F$156="RHE",ROUND(Registro_Compras!$L$156*Registro_Compras!$N$156,2),ROUND(Registro_Compras!$J$156*Registro_Compras!$N$156,2))))</f>
        <v/>
      </c>
      <c r="G1377" t="str">
        <f>IF($C1377="","","Por el destino del gasto")</f>
        <v/>
      </c>
      <c r="H1377" t="str">
        <f>IF($C1377="","",Registro_Compras!$C$156)</f>
        <v/>
      </c>
    </row>
    <row r="1378" spans="1:8" x14ac:dyDescent="0.25">
      <c r="A1378" s="25" t="str">
        <f>IF($C1378="","",Registro_Compras!$X$156)</f>
        <v/>
      </c>
      <c r="B1378" t="str">
        <f>IF($C1378="","","C"&amp;TEXT(INT((ROW()-5)/9)+1,"000")&amp;"-3")</f>
        <v/>
      </c>
      <c r="C1378" t="str">
        <f>IF(OR(Registro_Compras!$C$156="",Registro_Compras!$O$156="",Registro_Compras!$R$156&lt;&gt;"SI",Registro_Compras!$X$156=""),"","4212")</f>
        <v/>
      </c>
      <c r="D1378" t="str">
        <f>IF(OR(Registro_Compras!$C$156="",Registro_Compras!$O$156=""),"","Cuentas por Pagar Comerciales - Terceros")</f>
        <v/>
      </c>
      <c r="E1378" s="20" t="str">
        <f>IF($C1378="","",Registro_Compras!$S$156)</f>
        <v/>
      </c>
      <c r="F1378" s="20" t="str">
        <f>""</f>
        <v/>
      </c>
      <c r="G1378" t="str">
        <f>IF($C1378="","","Por el deposito de la detraccion en el Banco de la Nacion")</f>
        <v/>
      </c>
      <c r="H1378" t="str">
        <f>IF($C1378="","",Registro_Compras!$C$156)</f>
        <v/>
      </c>
    </row>
    <row r="1379" spans="1:8" x14ac:dyDescent="0.25">
      <c r="A1379" s="25" t="str">
        <f>IF($C1379="","",Registro_Compras!$X$156)</f>
        <v/>
      </c>
      <c r="B1379" t="str">
        <f>IF($C1379="","","C"&amp;TEXT(INT((ROW()-5)/9)+1,"000")&amp;"-3")</f>
        <v/>
      </c>
      <c r="C1379" t="str">
        <f>IF(OR(Registro_Compras!$C$156="",Registro_Compras!$O$156="",Registro_Compras!$R$156&lt;&gt;"SI",Registro_Compras!$X$156=""),"","1041")</f>
        <v/>
      </c>
      <c r="D1379" t="str">
        <f>IF(OR(Registro_Compras!$C$156="",Registro_Compras!$O$156=""),"","Efectivo y Equivalentes - Cta. Cte. Operativa")</f>
        <v/>
      </c>
      <c r="E1379" s="20" t="str">
        <f>""</f>
        <v/>
      </c>
      <c r="F1379" s="20" t="str">
        <f>IF($C1379="","",Registro_Compras!$S$156)</f>
        <v/>
      </c>
      <c r="G1379" t="str">
        <f>IF($C1379="","","Por el deposito de la detraccion en el Banco de la Nacion")</f>
        <v/>
      </c>
      <c r="H1379" t="str">
        <f>IF($C1379="","",Registro_Compras!$C$156)</f>
        <v/>
      </c>
    </row>
    <row r="1380" spans="1:8" x14ac:dyDescent="0.25">
      <c r="A1380" s="25" t="str">
        <f>IF($C1380="","",Registro_Compras!$Y$156)</f>
        <v/>
      </c>
      <c r="B1380" t="str">
        <f>IF($C1380="","","C"&amp;TEXT(INT((ROW()-5)/9)+1,"000")&amp;"-4")</f>
        <v/>
      </c>
      <c r="C1380" t="str">
        <f>IF(OR(Registro_Compras!$C$156="",Registro_Compras!$O$156="",Registro_Compras!$Y$156="",Registro_Compras!$F$156="NOTA DE CREDITO"),"","4212")</f>
        <v/>
      </c>
      <c r="D1380" t="str">
        <f>IF(OR(Registro_Compras!$C$156="",Registro_Compras!$O$156=""),"","Cuentas por Pagar Comerciales - Terceros")</f>
        <v/>
      </c>
      <c r="E1380" s="20" t="str">
        <f>IF($C1380="","",IF(Registro_Compras!$F$156="RHE",(ROUND(Registro_Compras!$L$156*Registro_Compras!$N$156,2)-ROUND(Registro_Compras!$V$156*Registro_Compras!$N$156,2)),ROUND(Registro_Compras!$O$156-Registro_Compras!$S$156,2)))</f>
        <v/>
      </c>
      <c r="F1380" s="20" t="str">
        <f>""</f>
        <v/>
      </c>
      <c r="G1380" t="str">
        <f>IF($C1380="","","Por la cancelacion del saldo al proveedor")</f>
        <v/>
      </c>
      <c r="H1380" t="str">
        <f>IF($C1380="","",Registro_Compras!$C$156)</f>
        <v/>
      </c>
    </row>
    <row r="1381" spans="1:8" x14ac:dyDescent="0.25">
      <c r="A1381" s="25" t="str">
        <f>IF($C1381="","",Registro_Compras!$Y$156)</f>
        <v/>
      </c>
      <c r="B1381" t="str">
        <f>IF($C1381="","","C"&amp;TEXT(INT((ROW()-5)/9)+1,"000")&amp;"-4")</f>
        <v/>
      </c>
      <c r="C1381" t="str">
        <f>IF(OR(Registro_Compras!$C$156="",Registro_Compras!$O$156="",Registro_Compras!$Y$156="",Registro_Compras!$F$156="NOTA DE CREDITO"),"","1041")</f>
        <v/>
      </c>
      <c r="D1381" t="str">
        <f>IF(OR(Registro_Compras!$C$156="",Registro_Compras!$O$156=""),"","Efectivo y Equivalentes - Cta. Cte. Operativa")</f>
        <v/>
      </c>
      <c r="E1381" s="20" t="str">
        <f>""</f>
        <v/>
      </c>
      <c r="F1381" s="20" t="str">
        <f>IF($C1381="","",IF(Registro_Compras!$F$156="RHE",(ROUND(Registro_Compras!$L$156*Registro_Compras!$N$156,2)-ROUND(Registro_Compras!$V$156*Registro_Compras!$N$156,2)),ROUND(Registro_Compras!$O$156-Registro_Compras!$S$156,2)))</f>
        <v/>
      </c>
      <c r="G1381" t="str">
        <f>IF($C1381="","","Por la cancelacion del saldo al proveedor")</f>
        <v/>
      </c>
      <c r="H1381" t="str">
        <f>IF($C1381="","",Registro_Compras!$C$156)</f>
        <v/>
      </c>
    </row>
    <row r="1382" spans="1:8" x14ac:dyDescent="0.25">
      <c r="A1382" s="25" t="str">
        <f>IF($C1382="","",Registro_Compras!$B$157)</f>
        <v/>
      </c>
      <c r="B1382" t="str">
        <f>IF($C1382="","","C"&amp;TEXT(INT((ROW()-5)/9)+1,"000")&amp;"-1")</f>
        <v/>
      </c>
      <c r="C1382" t="str">
        <f>IF(OR(Registro_Compras!$C$157="",Registro_Compras!$O$157=""),"",IF(Registro_Compras!$F$157="NOTA DE CREDITO","4212",IF(Registro_Compras!$M$157="","63",Registro_Compras!$M$157)))</f>
        <v/>
      </c>
      <c r="D1382" t="str">
        <f>IF(OR(Registro_Compras!$C$157="",Registro_Compras!$O$157=""),"",IF(Registro_Compras!$F$157="NOTA DE CREDITO","Cuentas por Pagar Comerciales - Terceros (Emitidas)",IF(Registro_Compras!$F$157="RHE","Honorarios Profesionales - Servicios de Terceros","Gastos de Servicios Prestados por Terceros")))</f>
        <v/>
      </c>
      <c r="E1382" s="20" t="str">
        <f>IF($C1382="","",IF(Registro_Compras!$F$157="NOTA DE CREDITO",ABS(Registro_Compras!$O$157),IF(Registro_Compras!$F$157="RHE",ROUND(Registro_Compras!$L$157*Registro_Compras!$N$157,2),ROUND(Registro_Compras!$J$157*Registro_Compras!$N$157,2))))</f>
        <v/>
      </c>
      <c r="F1382" s="20" t="str">
        <f>""</f>
        <v/>
      </c>
      <c r="G1382" t="str">
        <f>IF($C1382="","",IF(Registro_Compras!$F$157="NOTA DE CREDITO","Por la nota de credito "&amp;Registro_Compras!$C$157&amp;" de "&amp;Registro_Compras!$E$157&amp;" [PATRON POR CONFIRMAR CON CONTADOR]",IF(Registro_Compras!$F$157="RHE","Por el registro del recibo por honorarios "&amp;Registro_Compras!$C$157&amp;" de "&amp;Registro_Compras!$E$157&amp;" [PATRON POR CONFIRMAR CON CONTADOR]","Por el registro de la factura "&amp;Registro_Compras!$C$157&amp;" de "&amp;Registro_Compras!$E$157)))</f>
        <v/>
      </c>
      <c r="H1382" t="str">
        <f>IF($C1382="","",Registro_Compras!$C$157)</f>
        <v/>
      </c>
    </row>
    <row r="1383" spans="1:8" x14ac:dyDescent="0.25">
      <c r="A1383" s="25" t="str">
        <f>IF($C1383="","",Registro_Compras!$B$157)</f>
        <v/>
      </c>
      <c r="B1383" t="str">
        <f>IF($C1383="","","C"&amp;TEXT(INT((ROW()-5)/9)+1,"000")&amp;"-1")</f>
        <v/>
      </c>
      <c r="C1383" t="str">
        <f>IF(OR(Registro_Compras!$C$157="",Registro_Compras!$O$157=""),"",IF(Registro_Compras!$F$157="RHE",IF(Registro_Compras!$V$157=0,"","4017"),IF(Registro_Compras!$F$157="NOTA DE CREDITO",IF(Registro_Compras!$M$157="","63",Registro_Compras!$M$157),IF(Registro_Compras!$K$157=0,"","40111"))))</f>
        <v/>
      </c>
      <c r="D1383" t="str">
        <f>IF(OR(Registro_Compras!$C$157="",Registro_Compras!$O$157=""),"",IF(Registro_Compras!$F$157="RHE","Retencion Renta 4ta Categoria por Pagar",IF(Registro_Compras!$F$157="NOTA DE CREDITO","Gastos de Servicios Prestados por Terceros","IGV - Cuenta Propia (Credito Fiscal)")))</f>
        <v/>
      </c>
      <c r="E1383" s="20" t="str">
        <f>IF($C1383="","",IF(Registro_Compras!$F$157="FACTURA",ROUND(Registro_Compras!$K$157*Registro_Compras!$N$157,2),""))</f>
        <v/>
      </c>
      <c r="F1383" s="20" t="str">
        <f>IF($C1383="","",IF(Registro_Compras!$F$157="RHE",ROUND(Registro_Compras!$V$157*Registro_Compras!$N$157,2),IF(Registro_Compras!$F$157="NOTA DE CREDITO",ROUND(ABS(Registro_Compras!$J$157*Registro_Compras!$N$157),2),"")))</f>
        <v/>
      </c>
      <c r="G1383" t="str">
        <f>IF($C1383="","",IF(Registro_Compras!$F$157="NOTA DE CREDITO","Por la nota de credito "&amp;Registro_Compras!$C$157&amp;" de "&amp;Registro_Compras!$E$157&amp;" [PATRON POR CONFIRMAR CON CONTADOR]",IF(Registro_Compras!$F$157="RHE","Por el registro del recibo por honorarios "&amp;Registro_Compras!$C$157&amp;" de "&amp;Registro_Compras!$E$157&amp;" [PATRON POR CONFIRMAR CON CONTADOR]","Por el registro de la factura "&amp;Registro_Compras!$C$157&amp;" de "&amp;Registro_Compras!$E$157)))</f>
        <v/>
      </c>
      <c r="H1383" t="str">
        <f>IF($C1383="","",Registro_Compras!$C$157)</f>
        <v/>
      </c>
    </row>
    <row r="1384" spans="1:8" x14ac:dyDescent="0.25">
      <c r="A1384" s="25" t="str">
        <f>IF($C1384="","",Registro_Compras!$B$157)</f>
        <v/>
      </c>
      <c r="B1384" t="str">
        <f>IF($C1384="","","C"&amp;TEXT(INT((ROW()-5)/9)+1,"000")&amp;"-1")</f>
        <v/>
      </c>
      <c r="C1384" t="str">
        <f>IF(OR(Registro_Compras!$C$157="",Registro_Compras!$O$157=""),"",IF(Registro_Compras!$F$157="NOTA DE CREDITO",IF(Registro_Compras!$K$157=0,"","40111"),"4212"))</f>
        <v/>
      </c>
      <c r="D1384" t="str">
        <f>IF(OR(Registro_Compras!$C$157="",Registro_Compras!$O$157=""),"",IF(Registro_Compras!$F$157="NOTA DE CREDITO","IGV - Cuenta Propia (Credito Fiscal)","Cuentas por Pagar Comerciales - Terceros (Emitidas)"))</f>
        <v/>
      </c>
      <c r="E1384" s="20" t="str">
        <f>""</f>
        <v/>
      </c>
      <c r="F1384" s="20" t="str">
        <f>IF($C1384="","",IF(Registro_Compras!$F$157="NOTA DE CREDITO",ROUND(ABS(Registro_Compras!$K$157*Registro_Compras!$N$157),2),IF(Registro_Compras!$F$157="RHE",(ROUND(Registro_Compras!$L$157*Registro_Compras!$N$157,2)-ROUND(Registro_Compras!$V$157*Registro_Compras!$N$157,2)),Registro_Compras!$O$157)))</f>
        <v/>
      </c>
      <c r="G1384" t="str">
        <f>IF($C1384="","",IF(Registro_Compras!$F$157="NOTA DE CREDITO","Por la nota de credito "&amp;Registro_Compras!$C$157&amp;" de "&amp;Registro_Compras!$E$157&amp;" [PATRON POR CONFIRMAR CON CONTADOR]",IF(Registro_Compras!$F$157="RHE","Por el registro del recibo por honorarios "&amp;Registro_Compras!$C$157&amp;" de "&amp;Registro_Compras!$E$157&amp;" [PATRON POR CONFIRMAR CON CONTADOR]","Por el registro de la factura "&amp;Registro_Compras!$C$157&amp;" de "&amp;Registro_Compras!$E$157)))</f>
        <v/>
      </c>
      <c r="H1384" t="str">
        <f>IF($C1384="","",Registro_Compras!$C$157)</f>
        <v/>
      </c>
    </row>
    <row r="1385" spans="1:8" x14ac:dyDescent="0.25">
      <c r="A1385" s="25" t="str">
        <f>IF($C1385="","",Registro_Compras!$B$157)</f>
        <v/>
      </c>
      <c r="B1385" t="str">
        <f>IF($C1385="","","C"&amp;TEXT(INT((ROW()-5)/9)+1,"000")&amp;"-2")</f>
        <v/>
      </c>
      <c r="C1385" t="str">
        <f>IF(OR(Registro_Compras!$C$157="",Registro_Compras!$O$157=""),"",IF(Registro_Compras!$AB$157="ADMINISTRATIVO","94","95"))</f>
        <v/>
      </c>
      <c r="D1385" t="str">
        <f>IF(OR(Registro_Compras!$C$157="",Registro_Compras!$O$157=""),"",IF(Registro_Compras!$AB$157="ADMINISTRATIVO","Gastos Administrativos","Gastos de Venta y Operacion"))</f>
        <v/>
      </c>
      <c r="E1385" s="20" t="str">
        <f>IF($C1385="","",IF(Registro_Compras!$F$157="NOTA DE CREDITO","",IF(Registro_Compras!$F$157="RHE",ROUND(Registro_Compras!$L$157*Registro_Compras!$N$157,2),ROUND(Registro_Compras!$J$157*Registro_Compras!$N$157,2))))</f>
        <v/>
      </c>
      <c r="F1385" s="20" t="str">
        <f>IF($C1385="","",IF(Registro_Compras!$F$157="NOTA DE CREDITO",ROUND(ABS(Registro_Compras!$J$157*Registro_Compras!$N$157),2),""))</f>
        <v/>
      </c>
      <c r="G1385" t="str">
        <f>IF($C1385="","","Por el destino del gasto")</f>
        <v/>
      </c>
      <c r="H1385" t="str">
        <f>IF($C1385="","",Registro_Compras!$C$157)</f>
        <v/>
      </c>
    </row>
    <row r="1386" spans="1:8" x14ac:dyDescent="0.25">
      <c r="A1386" s="25" t="str">
        <f>IF($C1386="","",Registro_Compras!$B$157)</f>
        <v/>
      </c>
      <c r="B1386" t="str">
        <f>IF($C1386="","","C"&amp;TEXT(INT((ROW()-5)/9)+1,"000")&amp;"-2")</f>
        <v/>
      </c>
      <c r="C1386" t="str">
        <f>IF(OR(Registro_Compras!$C$157="",Registro_Compras!$O$157=""),"","79/791")</f>
        <v/>
      </c>
      <c r="D1386" t="str">
        <f>IF(OR(Registro_Compras!$C$157="",Registro_Compras!$O$157=""),"","Cargas Imputables a Cuentas de Costos y Gastos")</f>
        <v/>
      </c>
      <c r="E1386" s="20" t="str">
        <f>IF($C1386="","",IF(Registro_Compras!$F$157="NOTA DE CREDITO",ROUND(ABS(Registro_Compras!$J$157*Registro_Compras!$N$157),2),""))</f>
        <v/>
      </c>
      <c r="F1386" s="20" t="str">
        <f>IF($C1386="","",IF(Registro_Compras!$F$157="NOTA DE CREDITO","",IF(Registro_Compras!$F$157="RHE",ROUND(Registro_Compras!$L$157*Registro_Compras!$N$157,2),ROUND(Registro_Compras!$J$157*Registro_Compras!$N$157,2))))</f>
        <v/>
      </c>
      <c r="G1386" t="str">
        <f>IF($C1386="","","Por el destino del gasto")</f>
        <v/>
      </c>
      <c r="H1386" t="str">
        <f>IF($C1386="","",Registro_Compras!$C$157)</f>
        <v/>
      </c>
    </row>
    <row r="1387" spans="1:8" x14ac:dyDescent="0.25">
      <c r="A1387" s="25" t="str">
        <f>IF($C1387="","",Registro_Compras!$X$157)</f>
        <v/>
      </c>
      <c r="B1387" t="str">
        <f>IF($C1387="","","C"&amp;TEXT(INT((ROW()-5)/9)+1,"000")&amp;"-3")</f>
        <v/>
      </c>
      <c r="C1387" t="str">
        <f>IF(OR(Registro_Compras!$C$157="",Registro_Compras!$O$157="",Registro_Compras!$R$157&lt;&gt;"SI",Registro_Compras!$X$157=""),"","4212")</f>
        <v/>
      </c>
      <c r="D1387" t="str">
        <f>IF(OR(Registro_Compras!$C$157="",Registro_Compras!$O$157=""),"","Cuentas por Pagar Comerciales - Terceros")</f>
        <v/>
      </c>
      <c r="E1387" s="20" t="str">
        <f>IF($C1387="","",Registro_Compras!$S$157)</f>
        <v/>
      </c>
      <c r="F1387" s="20" t="str">
        <f>""</f>
        <v/>
      </c>
      <c r="G1387" t="str">
        <f>IF($C1387="","","Por el deposito de la detraccion en el Banco de la Nacion")</f>
        <v/>
      </c>
      <c r="H1387" t="str">
        <f>IF($C1387="","",Registro_Compras!$C$157)</f>
        <v/>
      </c>
    </row>
    <row r="1388" spans="1:8" x14ac:dyDescent="0.25">
      <c r="A1388" s="25" t="str">
        <f>IF($C1388="","",Registro_Compras!$X$157)</f>
        <v/>
      </c>
      <c r="B1388" t="str">
        <f>IF($C1388="","","C"&amp;TEXT(INT((ROW()-5)/9)+1,"000")&amp;"-3")</f>
        <v/>
      </c>
      <c r="C1388" t="str">
        <f>IF(OR(Registro_Compras!$C$157="",Registro_Compras!$O$157="",Registro_Compras!$R$157&lt;&gt;"SI",Registro_Compras!$X$157=""),"","1041")</f>
        <v/>
      </c>
      <c r="D1388" t="str">
        <f>IF(OR(Registro_Compras!$C$157="",Registro_Compras!$O$157=""),"","Efectivo y Equivalentes - Cta. Cte. Operativa")</f>
        <v/>
      </c>
      <c r="E1388" s="20" t="str">
        <f>""</f>
        <v/>
      </c>
      <c r="F1388" s="20" t="str">
        <f>IF($C1388="","",Registro_Compras!$S$157)</f>
        <v/>
      </c>
      <c r="G1388" t="str">
        <f>IF($C1388="","","Por el deposito de la detraccion en el Banco de la Nacion")</f>
        <v/>
      </c>
      <c r="H1388" t="str">
        <f>IF($C1388="","",Registro_Compras!$C$157)</f>
        <v/>
      </c>
    </row>
    <row r="1389" spans="1:8" x14ac:dyDescent="0.25">
      <c r="A1389" s="25" t="str">
        <f>IF($C1389="","",Registro_Compras!$Y$157)</f>
        <v/>
      </c>
      <c r="B1389" t="str">
        <f>IF($C1389="","","C"&amp;TEXT(INT((ROW()-5)/9)+1,"000")&amp;"-4")</f>
        <v/>
      </c>
      <c r="C1389" t="str">
        <f>IF(OR(Registro_Compras!$C$157="",Registro_Compras!$O$157="",Registro_Compras!$Y$157="",Registro_Compras!$F$157="NOTA DE CREDITO"),"","4212")</f>
        <v/>
      </c>
      <c r="D1389" t="str">
        <f>IF(OR(Registro_Compras!$C$157="",Registro_Compras!$O$157=""),"","Cuentas por Pagar Comerciales - Terceros")</f>
        <v/>
      </c>
      <c r="E1389" s="20" t="str">
        <f>IF($C1389="","",IF(Registro_Compras!$F$157="RHE",(ROUND(Registro_Compras!$L$157*Registro_Compras!$N$157,2)-ROUND(Registro_Compras!$V$157*Registro_Compras!$N$157,2)),ROUND(Registro_Compras!$O$157-Registro_Compras!$S$157,2)))</f>
        <v/>
      </c>
      <c r="F1389" s="20" t="str">
        <f>""</f>
        <v/>
      </c>
      <c r="G1389" t="str">
        <f>IF($C1389="","","Por la cancelacion del saldo al proveedor")</f>
        <v/>
      </c>
      <c r="H1389" t="str">
        <f>IF($C1389="","",Registro_Compras!$C$157)</f>
        <v/>
      </c>
    </row>
    <row r="1390" spans="1:8" x14ac:dyDescent="0.25">
      <c r="A1390" s="25" t="str">
        <f>IF($C1390="","",Registro_Compras!$Y$157)</f>
        <v/>
      </c>
      <c r="B1390" t="str">
        <f>IF($C1390="","","C"&amp;TEXT(INT((ROW()-5)/9)+1,"000")&amp;"-4")</f>
        <v/>
      </c>
      <c r="C1390" t="str">
        <f>IF(OR(Registro_Compras!$C$157="",Registro_Compras!$O$157="",Registro_Compras!$Y$157="",Registro_Compras!$F$157="NOTA DE CREDITO"),"","1041")</f>
        <v/>
      </c>
      <c r="D1390" t="str">
        <f>IF(OR(Registro_Compras!$C$157="",Registro_Compras!$O$157=""),"","Efectivo y Equivalentes - Cta. Cte. Operativa")</f>
        <v/>
      </c>
      <c r="E1390" s="20" t="str">
        <f>""</f>
        <v/>
      </c>
      <c r="F1390" s="20" t="str">
        <f>IF($C1390="","",IF(Registro_Compras!$F$157="RHE",(ROUND(Registro_Compras!$L$157*Registro_Compras!$N$157,2)-ROUND(Registro_Compras!$V$157*Registro_Compras!$N$157,2)),ROUND(Registro_Compras!$O$157-Registro_Compras!$S$157,2)))</f>
        <v/>
      </c>
      <c r="G1390" t="str">
        <f>IF($C1390="","","Por la cancelacion del saldo al proveedor")</f>
        <v/>
      </c>
      <c r="H1390" t="str">
        <f>IF($C1390="","",Registro_Compras!$C$157)</f>
        <v/>
      </c>
    </row>
    <row r="1391" spans="1:8" x14ac:dyDescent="0.25">
      <c r="A1391" s="25" t="str">
        <f>IF($C1391="","",Registro_Compras!$B$158)</f>
        <v/>
      </c>
      <c r="B1391" t="str">
        <f>IF($C1391="","","C"&amp;TEXT(INT((ROW()-5)/9)+1,"000")&amp;"-1")</f>
        <v/>
      </c>
      <c r="C1391" t="str">
        <f>IF(OR(Registro_Compras!$C$158="",Registro_Compras!$O$158=""),"",IF(Registro_Compras!$F$158="NOTA DE CREDITO","4212",IF(Registro_Compras!$M$158="","63",Registro_Compras!$M$158)))</f>
        <v/>
      </c>
      <c r="D1391" t="str">
        <f>IF(OR(Registro_Compras!$C$158="",Registro_Compras!$O$158=""),"",IF(Registro_Compras!$F$158="NOTA DE CREDITO","Cuentas por Pagar Comerciales - Terceros (Emitidas)",IF(Registro_Compras!$F$158="RHE","Honorarios Profesionales - Servicios de Terceros","Gastos de Servicios Prestados por Terceros")))</f>
        <v/>
      </c>
      <c r="E1391" s="20" t="str">
        <f>IF($C1391="","",IF(Registro_Compras!$F$158="NOTA DE CREDITO",ABS(Registro_Compras!$O$158),IF(Registro_Compras!$F$158="RHE",ROUND(Registro_Compras!$L$158*Registro_Compras!$N$158,2),ROUND(Registro_Compras!$J$158*Registro_Compras!$N$158,2))))</f>
        <v/>
      </c>
      <c r="F1391" s="20" t="str">
        <f>""</f>
        <v/>
      </c>
      <c r="G1391" t="str">
        <f>IF($C1391="","",IF(Registro_Compras!$F$158="NOTA DE CREDITO","Por la nota de credito "&amp;Registro_Compras!$C$158&amp;" de "&amp;Registro_Compras!$E$158&amp;" [PATRON POR CONFIRMAR CON CONTADOR]",IF(Registro_Compras!$F$158="RHE","Por el registro del recibo por honorarios "&amp;Registro_Compras!$C$158&amp;" de "&amp;Registro_Compras!$E$158&amp;" [PATRON POR CONFIRMAR CON CONTADOR]","Por el registro de la factura "&amp;Registro_Compras!$C$158&amp;" de "&amp;Registro_Compras!$E$158)))</f>
        <v/>
      </c>
      <c r="H1391" t="str">
        <f>IF($C1391="","",Registro_Compras!$C$158)</f>
        <v/>
      </c>
    </row>
    <row r="1392" spans="1:8" x14ac:dyDescent="0.25">
      <c r="A1392" s="25" t="str">
        <f>IF($C1392="","",Registro_Compras!$B$158)</f>
        <v/>
      </c>
      <c r="B1392" t="str">
        <f>IF($C1392="","","C"&amp;TEXT(INT((ROW()-5)/9)+1,"000")&amp;"-1")</f>
        <v/>
      </c>
      <c r="C1392" t="str">
        <f>IF(OR(Registro_Compras!$C$158="",Registro_Compras!$O$158=""),"",IF(Registro_Compras!$F$158="RHE",IF(Registro_Compras!$V$158=0,"","4017"),IF(Registro_Compras!$F$158="NOTA DE CREDITO",IF(Registro_Compras!$M$158="","63",Registro_Compras!$M$158),IF(Registro_Compras!$K$158=0,"","40111"))))</f>
        <v/>
      </c>
      <c r="D1392" t="str">
        <f>IF(OR(Registro_Compras!$C$158="",Registro_Compras!$O$158=""),"",IF(Registro_Compras!$F$158="RHE","Retencion Renta 4ta Categoria por Pagar",IF(Registro_Compras!$F$158="NOTA DE CREDITO","Gastos de Servicios Prestados por Terceros","IGV - Cuenta Propia (Credito Fiscal)")))</f>
        <v/>
      </c>
      <c r="E1392" s="20" t="str">
        <f>IF($C1392="","",IF(Registro_Compras!$F$158="FACTURA",ROUND(Registro_Compras!$K$158*Registro_Compras!$N$158,2),""))</f>
        <v/>
      </c>
      <c r="F1392" s="20" t="str">
        <f>IF($C1392="","",IF(Registro_Compras!$F$158="RHE",ROUND(Registro_Compras!$V$158*Registro_Compras!$N$158,2),IF(Registro_Compras!$F$158="NOTA DE CREDITO",ROUND(ABS(Registro_Compras!$J$158*Registro_Compras!$N$158),2),"")))</f>
        <v/>
      </c>
      <c r="G1392" t="str">
        <f>IF($C1392="","",IF(Registro_Compras!$F$158="NOTA DE CREDITO","Por la nota de credito "&amp;Registro_Compras!$C$158&amp;" de "&amp;Registro_Compras!$E$158&amp;" [PATRON POR CONFIRMAR CON CONTADOR]",IF(Registro_Compras!$F$158="RHE","Por el registro del recibo por honorarios "&amp;Registro_Compras!$C$158&amp;" de "&amp;Registro_Compras!$E$158&amp;" [PATRON POR CONFIRMAR CON CONTADOR]","Por el registro de la factura "&amp;Registro_Compras!$C$158&amp;" de "&amp;Registro_Compras!$E$158)))</f>
        <v/>
      </c>
      <c r="H1392" t="str">
        <f>IF($C1392="","",Registro_Compras!$C$158)</f>
        <v/>
      </c>
    </row>
    <row r="1393" spans="1:8" x14ac:dyDescent="0.25">
      <c r="A1393" s="25" t="str">
        <f>IF($C1393="","",Registro_Compras!$B$158)</f>
        <v/>
      </c>
      <c r="B1393" t="str">
        <f>IF($C1393="","","C"&amp;TEXT(INT((ROW()-5)/9)+1,"000")&amp;"-1")</f>
        <v/>
      </c>
      <c r="C1393" t="str">
        <f>IF(OR(Registro_Compras!$C$158="",Registro_Compras!$O$158=""),"",IF(Registro_Compras!$F$158="NOTA DE CREDITO",IF(Registro_Compras!$K$158=0,"","40111"),"4212"))</f>
        <v/>
      </c>
      <c r="D1393" t="str">
        <f>IF(OR(Registro_Compras!$C$158="",Registro_Compras!$O$158=""),"",IF(Registro_Compras!$F$158="NOTA DE CREDITO","IGV - Cuenta Propia (Credito Fiscal)","Cuentas por Pagar Comerciales - Terceros (Emitidas)"))</f>
        <v/>
      </c>
      <c r="E1393" s="20" t="str">
        <f>""</f>
        <v/>
      </c>
      <c r="F1393" s="20" t="str">
        <f>IF($C1393="","",IF(Registro_Compras!$F$158="NOTA DE CREDITO",ROUND(ABS(Registro_Compras!$K$158*Registro_Compras!$N$158),2),IF(Registro_Compras!$F$158="RHE",(ROUND(Registro_Compras!$L$158*Registro_Compras!$N$158,2)-ROUND(Registro_Compras!$V$158*Registro_Compras!$N$158,2)),Registro_Compras!$O$158)))</f>
        <v/>
      </c>
      <c r="G1393" t="str">
        <f>IF($C1393="","",IF(Registro_Compras!$F$158="NOTA DE CREDITO","Por la nota de credito "&amp;Registro_Compras!$C$158&amp;" de "&amp;Registro_Compras!$E$158&amp;" [PATRON POR CONFIRMAR CON CONTADOR]",IF(Registro_Compras!$F$158="RHE","Por el registro del recibo por honorarios "&amp;Registro_Compras!$C$158&amp;" de "&amp;Registro_Compras!$E$158&amp;" [PATRON POR CONFIRMAR CON CONTADOR]","Por el registro de la factura "&amp;Registro_Compras!$C$158&amp;" de "&amp;Registro_Compras!$E$158)))</f>
        <v/>
      </c>
      <c r="H1393" t="str">
        <f>IF($C1393="","",Registro_Compras!$C$158)</f>
        <v/>
      </c>
    </row>
    <row r="1394" spans="1:8" x14ac:dyDescent="0.25">
      <c r="A1394" s="25" t="str">
        <f>IF($C1394="","",Registro_Compras!$B$158)</f>
        <v/>
      </c>
      <c r="B1394" t="str">
        <f>IF($C1394="","","C"&amp;TEXT(INT((ROW()-5)/9)+1,"000")&amp;"-2")</f>
        <v/>
      </c>
      <c r="C1394" t="str">
        <f>IF(OR(Registro_Compras!$C$158="",Registro_Compras!$O$158=""),"",IF(Registro_Compras!$AB$158="ADMINISTRATIVO","94","95"))</f>
        <v/>
      </c>
      <c r="D1394" t="str">
        <f>IF(OR(Registro_Compras!$C$158="",Registro_Compras!$O$158=""),"",IF(Registro_Compras!$AB$158="ADMINISTRATIVO","Gastos Administrativos","Gastos de Venta y Operacion"))</f>
        <v/>
      </c>
      <c r="E1394" s="20" t="str">
        <f>IF($C1394="","",IF(Registro_Compras!$F$158="NOTA DE CREDITO","",IF(Registro_Compras!$F$158="RHE",ROUND(Registro_Compras!$L$158*Registro_Compras!$N$158,2),ROUND(Registro_Compras!$J$158*Registro_Compras!$N$158,2))))</f>
        <v/>
      </c>
      <c r="F1394" s="20" t="str">
        <f>IF($C1394="","",IF(Registro_Compras!$F$158="NOTA DE CREDITO",ROUND(ABS(Registro_Compras!$J$158*Registro_Compras!$N$158),2),""))</f>
        <v/>
      </c>
      <c r="G1394" t="str">
        <f>IF($C1394="","","Por el destino del gasto")</f>
        <v/>
      </c>
      <c r="H1394" t="str">
        <f>IF($C1394="","",Registro_Compras!$C$158)</f>
        <v/>
      </c>
    </row>
    <row r="1395" spans="1:8" x14ac:dyDescent="0.25">
      <c r="A1395" s="25" t="str">
        <f>IF($C1395="","",Registro_Compras!$B$158)</f>
        <v/>
      </c>
      <c r="B1395" t="str">
        <f>IF($C1395="","","C"&amp;TEXT(INT((ROW()-5)/9)+1,"000")&amp;"-2")</f>
        <v/>
      </c>
      <c r="C1395" t="str">
        <f>IF(OR(Registro_Compras!$C$158="",Registro_Compras!$O$158=""),"","79/791")</f>
        <v/>
      </c>
      <c r="D1395" t="str">
        <f>IF(OR(Registro_Compras!$C$158="",Registro_Compras!$O$158=""),"","Cargas Imputables a Cuentas de Costos y Gastos")</f>
        <v/>
      </c>
      <c r="E1395" s="20" t="str">
        <f>IF($C1395="","",IF(Registro_Compras!$F$158="NOTA DE CREDITO",ROUND(ABS(Registro_Compras!$J$158*Registro_Compras!$N$158),2),""))</f>
        <v/>
      </c>
      <c r="F1395" s="20" t="str">
        <f>IF($C1395="","",IF(Registro_Compras!$F$158="NOTA DE CREDITO","",IF(Registro_Compras!$F$158="RHE",ROUND(Registro_Compras!$L$158*Registro_Compras!$N$158,2),ROUND(Registro_Compras!$J$158*Registro_Compras!$N$158,2))))</f>
        <v/>
      </c>
      <c r="G1395" t="str">
        <f>IF($C1395="","","Por el destino del gasto")</f>
        <v/>
      </c>
      <c r="H1395" t="str">
        <f>IF($C1395="","",Registro_Compras!$C$158)</f>
        <v/>
      </c>
    </row>
    <row r="1396" spans="1:8" x14ac:dyDescent="0.25">
      <c r="A1396" s="25" t="str">
        <f>IF($C1396="","",Registro_Compras!$X$158)</f>
        <v/>
      </c>
      <c r="B1396" t="str">
        <f>IF($C1396="","","C"&amp;TEXT(INT((ROW()-5)/9)+1,"000")&amp;"-3")</f>
        <v/>
      </c>
      <c r="C1396" t="str">
        <f>IF(OR(Registro_Compras!$C$158="",Registro_Compras!$O$158="",Registro_Compras!$R$158&lt;&gt;"SI",Registro_Compras!$X$158=""),"","4212")</f>
        <v/>
      </c>
      <c r="D1396" t="str">
        <f>IF(OR(Registro_Compras!$C$158="",Registro_Compras!$O$158=""),"","Cuentas por Pagar Comerciales - Terceros")</f>
        <v/>
      </c>
      <c r="E1396" s="20" t="str">
        <f>IF($C1396="","",Registro_Compras!$S$158)</f>
        <v/>
      </c>
      <c r="F1396" s="20" t="str">
        <f>""</f>
        <v/>
      </c>
      <c r="G1396" t="str">
        <f>IF($C1396="","","Por el deposito de la detraccion en el Banco de la Nacion")</f>
        <v/>
      </c>
      <c r="H1396" t="str">
        <f>IF($C1396="","",Registro_Compras!$C$158)</f>
        <v/>
      </c>
    </row>
    <row r="1397" spans="1:8" x14ac:dyDescent="0.25">
      <c r="A1397" s="25" t="str">
        <f>IF($C1397="","",Registro_Compras!$X$158)</f>
        <v/>
      </c>
      <c r="B1397" t="str">
        <f>IF($C1397="","","C"&amp;TEXT(INT((ROW()-5)/9)+1,"000")&amp;"-3")</f>
        <v/>
      </c>
      <c r="C1397" t="str">
        <f>IF(OR(Registro_Compras!$C$158="",Registro_Compras!$O$158="",Registro_Compras!$R$158&lt;&gt;"SI",Registro_Compras!$X$158=""),"","1041")</f>
        <v/>
      </c>
      <c r="D1397" t="str">
        <f>IF(OR(Registro_Compras!$C$158="",Registro_Compras!$O$158=""),"","Efectivo y Equivalentes - Cta. Cte. Operativa")</f>
        <v/>
      </c>
      <c r="E1397" s="20" t="str">
        <f>""</f>
        <v/>
      </c>
      <c r="F1397" s="20" t="str">
        <f>IF($C1397="","",Registro_Compras!$S$158)</f>
        <v/>
      </c>
      <c r="G1397" t="str">
        <f>IF($C1397="","","Por el deposito de la detraccion en el Banco de la Nacion")</f>
        <v/>
      </c>
      <c r="H1397" t="str">
        <f>IF($C1397="","",Registro_Compras!$C$158)</f>
        <v/>
      </c>
    </row>
    <row r="1398" spans="1:8" x14ac:dyDescent="0.25">
      <c r="A1398" s="25" t="str">
        <f>IF($C1398="","",Registro_Compras!$Y$158)</f>
        <v/>
      </c>
      <c r="B1398" t="str">
        <f>IF($C1398="","","C"&amp;TEXT(INT((ROW()-5)/9)+1,"000")&amp;"-4")</f>
        <v/>
      </c>
      <c r="C1398" t="str">
        <f>IF(OR(Registro_Compras!$C$158="",Registro_Compras!$O$158="",Registro_Compras!$Y$158="",Registro_Compras!$F$158="NOTA DE CREDITO"),"","4212")</f>
        <v/>
      </c>
      <c r="D1398" t="str">
        <f>IF(OR(Registro_Compras!$C$158="",Registro_Compras!$O$158=""),"","Cuentas por Pagar Comerciales - Terceros")</f>
        <v/>
      </c>
      <c r="E1398" s="20" t="str">
        <f>IF($C1398="","",IF(Registro_Compras!$F$158="RHE",(ROUND(Registro_Compras!$L$158*Registro_Compras!$N$158,2)-ROUND(Registro_Compras!$V$158*Registro_Compras!$N$158,2)),ROUND(Registro_Compras!$O$158-Registro_Compras!$S$158,2)))</f>
        <v/>
      </c>
      <c r="F1398" s="20" t="str">
        <f>""</f>
        <v/>
      </c>
      <c r="G1398" t="str">
        <f>IF($C1398="","","Por la cancelacion del saldo al proveedor")</f>
        <v/>
      </c>
      <c r="H1398" t="str">
        <f>IF($C1398="","",Registro_Compras!$C$158)</f>
        <v/>
      </c>
    </row>
    <row r="1399" spans="1:8" x14ac:dyDescent="0.25">
      <c r="A1399" s="25" t="str">
        <f>IF($C1399="","",Registro_Compras!$Y$158)</f>
        <v/>
      </c>
      <c r="B1399" t="str">
        <f>IF($C1399="","","C"&amp;TEXT(INT((ROW()-5)/9)+1,"000")&amp;"-4")</f>
        <v/>
      </c>
      <c r="C1399" t="str">
        <f>IF(OR(Registro_Compras!$C$158="",Registro_Compras!$O$158="",Registro_Compras!$Y$158="",Registro_Compras!$F$158="NOTA DE CREDITO"),"","1041")</f>
        <v/>
      </c>
      <c r="D1399" t="str">
        <f>IF(OR(Registro_Compras!$C$158="",Registro_Compras!$O$158=""),"","Efectivo y Equivalentes - Cta. Cte. Operativa")</f>
        <v/>
      </c>
      <c r="E1399" s="20" t="str">
        <f>""</f>
        <v/>
      </c>
      <c r="F1399" s="20" t="str">
        <f>IF($C1399="","",IF(Registro_Compras!$F$158="RHE",(ROUND(Registro_Compras!$L$158*Registro_Compras!$N$158,2)-ROUND(Registro_Compras!$V$158*Registro_Compras!$N$158,2)),ROUND(Registro_Compras!$O$158-Registro_Compras!$S$158,2)))</f>
        <v/>
      </c>
      <c r="G1399" t="str">
        <f>IF($C1399="","","Por la cancelacion del saldo al proveedor")</f>
        <v/>
      </c>
      <c r="H1399" t="str">
        <f>IF($C1399="","",Registro_Compras!$C$158)</f>
        <v/>
      </c>
    </row>
    <row r="1400" spans="1:8" x14ac:dyDescent="0.25">
      <c r="A1400" s="25" t="str">
        <f>IF($C1400="","",Registro_Compras!$B$159)</f>
        <v/>
      </c>
      <c r="B1400" t="str">
        <f>IF($C1400="","","C"&amp;TEXT(INT((ROW()-5)/9)+1,"000")&amp;"-1")</f>
        <v/>
      </c>
      <c r="C1400" t="str">
        <f>IF(OR(Registro_Compras!$C$159="",Registro_Compras!$O$159=""),"",IF(Registro_Compras!$F$159="NOTA DE CREDITO","4212",IF(Registro_Compras!$M$159="","63",Registro_Compras!$M$159)))</f>
        <v/>
      </c>
      <c r="D1400" t="str">
        <f>IF(OR(Registro_Compras!$C$159="",Registro_Compras!$O$159=""),"",IF(Registro_Compras!$F$159="NOTA DE CREDITO","Cuentas por Pagar Comerciales - Terceros (Emitidas)",IF(Registro_Compras!$F$159="RHE","Honorarios Profesionales - Servicios de Terceros","Gastos de Servicios Prestados por Terceros")))</f>
        <v/>
      </c>
      <c r="E1400" s="20" t="str">
        <f>IF($C1400="","",IF(Registro_Compras!$F$159="NOTA DE CREDITO",ABS(Registro_Compras!$O$159),IF(Registro_Compras!$F$159="RHE",ROUND(Registro_Compras!$L$159*Registro_Compras!$N$159,2),ROUND(Registro_Compras!$J$159*Registro_Compras!$N$159,2))))</f>
        <v/>
      </c>
      <c r="F1400" s="20" t="str">
        <f>""</f>
        <v/>
      </c>
      <c r="G1400" t="str">
        <f>IF($C1400="","",IF(Registro_Compras!$F$159="NOTA DE CREDITO","Por la nota de credito "&amp;Registro_Compras!$C$159&amp;" de "&amp;Registro_Compras!$E$159&amp;" [PATRON POR CONFIRMAR CON CONTADOR]",IF(Registro_Compras!$F$159="RHE","Por el registro del recibo por honorarios "&amp;Registro_Compras!$C$159&amp;" de "&amp;Registro_Compras!$E$159&amp;" [PATRON POR CONFIRMAR CON CONTADOR]","Por el registro de la factura "&amp;Registro_Compras!$C$159&amp;" de "&amp;Registro_Compras!$E$159)))</f>
        <v/>
      </c>
      <c r="H1400" t="str">
        <f>IF($C1400="","",Registro_Compras!$C$159)</f>
        <v/>
      </c>
    </row>
    <row r="1401" spans="1:8" x14ac:dyDescent="0.25">
      <c r="A1401" s="25" t="str">
        <f>IF($C1401="","",Registro_Compras!$B$159)</f>
        <v/>
      </c>
      <c r="B1401" t="str">
        <f>IF($C1401="","","C"&amp;TEXT(INT((ROW()-5)/9)+1,"000")&amp;"-1")</f>
        <v/>
      </c>
      <c r="C1401" t="str">
        <f>IF(OR(Registro_Compras!$C$159="",Registro_Compras!$O$159=""),"",IF(Registro_Compras!$F$159="RHE",IF(Registro_Compras!$V$159=0,"","4017"),IF(Registro_Compras!$F$159="NOTA DE CREDITO",IF(Registro_Compras!$M$159="","63",Registro_Compras!$M$159),IF(Registro_Compras!$K$159=0,"","40111"))))</f>
        <v/>
      </c>
      <c r="D1401" t="str">
        <f>IF(OR(Registro_Compras!$C$159="",Registro_Compras!$O$159=""),"",IF(Registro_Compras!$F$159="RHE","Retencion Renta 4ta Categoria por Pagar",IF(Registro_Compras!$F$159="NOTA DE CREDITO","Gastos de Servicios Prestados por Terceros","IGV - Cuenta Propia (Credito Fiscal)")))</f>
        <v/>
      </c>
      <c r="E1401" s="20" t="str">
        <f>IF($C1401="","",IF(Registro_Compras!$F$159="FACTURA",ROUND(Registro_Compras!$K$159*Registro_Compras!$N$159,2),""))</f>
        <v/>
      </c>
      <c r="F1401" s="20" t="str">
        <f>IF($C1401="","",IF(Registro_Compras!$F$159="RHE",ROUND(Registro_Compras!$V$159*Registro_Compras!$N$159,2),IF(Registro_Compras!$F$159="NOTA DE CREDITO",ROUND(ABS(Registro_Compras!$J$159*Registro_Compras!$N$159),2),"")))</f>
        <v/>
      </c>
      <c r="G1401" t="str">
        <f>IF($C1401="","",IF(Registro_Compras!$F$159="NOTA DE CREDITO","Por la nota de credito "&amp;Registro_Compras!$C$159&amp;" de "&amp;Registro_Compras!$E$159&amp;" [PATRON POR CONFIRMAR CON CONTADOR]",IF(Registro_Compras!$F$159="RHE","Por el registro del recibo por honorarios "&amp;Registro_Compras!$C$159&amp;" de "&amp;Registro_Compras!$E$159&amp;" [PATRON POR CONFIRMAR CON CONTADOR]","Por el registro de la factura "&amp;Registro_Compras!$C$159&amp;" de "&amp;Registro_Compras!$E$159)))</f>
        <v/>
      </c>
      <c r="H1401" t="str">
        <f>IF($C1401="","",Registro_Compras!$C$159)</f>
        <v/>
      </c>
    </row>
    <row r="1402" spans="1:8" x14ac:dyDescent="0.25">
      <c r="A1402" s="25" t="str">
        <f>IF($C1402="","",Registro_Compras!$B$159)</f>
        <v/>
      </c>
      <c r="B1402" t="str">
        <f>IF($C1402="","","C"&amp;TEXT(INT((ROW()-5)/9)+1,"000")&amp;"-1")</f>
        <v/>
      </c>
      <c r="C1402" t="str">
        <f>IF(OR(Registro_Compras!$C$159="",Registro_Compras!$O$159=""),"",IF(Registro_Compras!$F$159="NOTA DE CREDITO",IF(Registro_Compras!$K$159=0,"","40111"),"4212"))</f>
        <v/>
      </c>
      <c r="D1402" t="str">
        <f>IF(OR(Registro_Compras!$C$159="",Registro_Compras!$O$159=""),"",IF(Registro_Compras!$F$159="NOTA DE CREDITO","IGV - Cuenta Propia (Credito Fiscal)","Cuentas por Pagar Comerciales - Terceros (Emitidas)"))</f>
        <v/>
      </c>
      <c r="E1402" s="20" t="str">
        <f>""</f>
        <v/>
      </c>
      <c r="F1402" s="20" t="str">
        <f>IF($C1402="","",IF(Registro_Compras!$F$159="NOTA DE CREDITO",ROUND(ABS(Registro_Compras!$K$159*Registro_Compras!$N$159),2),IF(Registro_Compras!$F$159="RHE",(ROUND(Registro_Compras!$L$159*Registro_Compras!$N$159,2)-ROUND(Registro_Compras!$V$159*Registro_Compras!$N$159,2)),Registro_Compras!$O$159)))</f>
        <v/>
      </c>
      <c r="G1402" t="str">
        <f>IF($C1402="","",IF(Registro_Compras!$F$159="NOTA DE CREDITO","Por la nota de credito "&amp;Registro_Compras!$C$159&amp;" de "&amp;Registro_Compras!$E$159&amp;" [PATRON POR CONFIRMAR CON CONTADOR]",IF(Registro_Compras!$F$159="RHE","Por el registro del recibo por honorarios "&amp;Registro_Compras!$C$159&amp;" de "&amp;Registro_Compras!$E$159&amp;" [PATRON POR CONFIRMAR CON CONTADOR]","Por el registro de la factura "&amp;Registro_Compras!$C$159&amp;" de "&amp;Registro_Compras!$E$159)))</f>
        <v/>
      </c>
      <c r="H1402" t="str">
        <f>IF($C1402="","",Registro_Compras!$C$159)</f>
        <v/>
      </c>
    </row>
    <row r="1403" spans="1:8" x14ac:dyDescent="0.25">
      <c r="A1403" s="25" t="str">
        <f>IF($C1403="","",Registro_Compras!$B$159)</f>
        <v/>
      </c>
      <c r="B1403" t="str">
        <f>IF($C1403="","","C"&amp;TEXT(INT((ROW()-5)/9)+1,"000")&amp;"-2")</f>
        <v/>
      </c>
      <c r="C1403" t="str">
        <f>IF(OR(Registro_Compras!$C$159="",Registro_Compras!$O$159=""),"",IF(Registro_Compras!$AB$159="ADMINISTRATIVO","94","95"))</f>
        <v/>
      </c>
      <c r="D1403" t="str">
        <f>IF(OR(Registro_Compras!$C$159="",Registro_Compras!$O$159=""),"",IF(Registro_Compras!$AB$159="ADMINISTRATIVO","Gastos Administrativos","Gastos de Venta y Operacion"))</f>
        <v/>
      </c>
      <c r="E1403" s="20" t="str">
        <f>IF($C1403="","",IF(Registro_Compras!$F$159="NOTA DE CREDITO","",IF(Registro_Compras!$F$159="RHE",ROUND(Registro_Compras!$L$159*Registro_Compras!$N$159,2),ROUND(Registro_Compras!$J$159*Registro_Compras!$N$159,2))))</f>
        <v/>
      </c>
      <c r="F1403" s="20" t="str">
        <f>IF($C1403="","",IF(Registro_Compras!$F$159="NOTA DE CREDITO",ROUND(ABS(Registro_Compras!$J$159*Registro_Compras!$N$159),2),""))</f>
        <v/>
      </c>
      <c r="G1403" t="str">
        <f>IF($C1403="","","Por el destino del gasto")</f>
        <v/>
      </c>
      <c r="H1403" t="str">
        <f>IF($C1403="","",Registro_Compras!$C$159)</f>
        <v/>
      </c>
    </row>
    <row r="1404" spans="1:8" x14ac:dyDescent="0.25">
      <c r="A1404" s="25" t="str">
        <f>IF($C1404="","",Registro_Compras!$B$159)</f>
        <v/>
      </c>
      <c r="B1404" t="str">
        <f>IF($C1404="","","C"&amp;TEXT(INT((ROW()-5)/9)+1,"000")&amp;"-2")</f>
        <v/>
      </c>
      <c r="C1404" t="str">
        <f>IF(OR(Registro_Compras!$C$159="",Registro_Compras!$O$159=""),"","79/791")</f>
        <v/>
      </c>
      <c r="D1404" t="str">
        <f>IF(OR(Registro_Compras!$C$159="",Registro_Compras!$O$159=""),"","Cargas Imputables a Cuentas de Costos y Gastos")</f>
        <v/>
      </c>
      <c r="E1404" s="20" t="str">
        <f>IF($C1404="","",IF(Registro_Compras!$F$159="NOTA DE CREDITO",ROUND(ABS(Registro_Compras!$J$159*Registro_Compras!$N$159),2),""))</f>
        <v/>
      </c>
      <c r="F1404" s="20" t="str">
        <f>IF($C1404="","",IF(Registro_Compras!$F$159="NOTA DE CREDITO","",IF(Registro_Compras!$F$159="RHE",ROUND(Registro_Compras!$L$159*Registro_Compras!$N$159,2),ROUND(Registro_Compras!$J$159*Registro_Compras!$N$159,2))))</f>
        <v/>
      </c>
      <c r="G1404" t="str">
        <f>IF($C1404="","","Por el destino del gasto")</f>
        <v/>
      </c>
      <c r="H1404" t="str">
        <f>IF($C1404="","",Registro_Compras!$C$159)</f>
        <v/>
      </c>
    </row>
    <row r="1405" spans="1:8" x14ac:dyDescent="0.25">
      <c r="A1405" s="25" t="str">
        <f>IF($C1405="","",Registro_Compras!$X$159)</f>
        <v/>
      </c>
      <c r="B1405" t="str">
        <f>IF($C1405="","","C"&amp;TEXT(INT((ROW()-5)/9)+1,"000")&amp;"-3")</f>
        <v/>
      </c>
      <c r="C1405" t="str">
        <f>IF(OR(Registro_Compras!$C$159="",Registro_Compras!$O$159="",Registro_Compras!$R$159&lt;&gt;"SI",Registro_Compras!$X$159=""),"","4212")</f>
        <v/>
      </c>
      <c r="D1405" t="str">
        <f>IF(OR(Registro_Compras!$C$159="",Registro_Compras!$O$159=""),"","Cuentas por Pagar Comerciales - Terceros")</f>
        <v/>
      </c>
      <c r="E1405" s="20" t="str">
        <f>IF($C1405="","",Registro_Compras!$S$159)</f>
        <v/>
      </c>
      <c r="F1405" s="20" t="str">
        <f>""</f>
        <v/>
      </c>
      <c r="G1405" t="str">
        <f>IF($C1405="","","Por el deposito de la detraccion en el Banco de la Nacion")</f>
        <v/>
      </c>
      <c r="H1405" t="str">
        <f>IF($C1405="","",Registro_Compras!$C$159)</f>
        <v/>
      </c>
    </row>
    <row r="1406" spans="1:8" x14ac:dyDescent="0.25">
      <c r="A1406" s="25" t="str">
        <f>IF($C1406="","",Registro_Compras!$X$159)</f>
        <v/>
      </c>
      <c r="B1406" t="str">
        <f>IF($C1406="","","C"&amp;TEXT(INT((ROW()-5)/9)+1,"000")&amp;"-3")</f>
        <v/>
      </c>
      <c r="C1406" t="str">
        <f>IF(OR(Registro_Compras!$C$159="",Registro_Compras!$O$159="",Registro_Compras!$R$159&lt;&gt;"SI",Registro_Compras!$X$159=""),"","1041")</f>
        <v/>
      </c>
      <c r="D1406" t="str">
        <f>IF(OR(Registro_Compras!$C$159="",Registro_Compras!$O$159=""),"","Efectivo y Equivalentes - Cta. Cte. Operativa")</f>
        <v/>
      </c>
      <c r="E1406" s="20" t="str">
        <f>""</f>
        <v/>
      </c>
      <c r="F1406" s="20" t="str">
        <f>IF($C1406="","",Registro_Compras!$S$159)</f>
        <v/>
      </c>
      <c r="G1406" t="str">
        <f>IF($C1406="","","Por el deposito de la detraccion en el Banco de la Nacion")</f>
        <v/>
      </c>
      <c r="H1406" t="str">
        <f>IF($C1406="","",Registro_Compras!$C$159)</f>
        <v/>
      </c>
    </row>
    <row r="1407" spans="1:8" x14ac:dyDescent="0.25">
      <c r="A1407" s="25" t="str">
        <f>IF($C1407="","",Registro_Compras!$Y$159)</f>
        <v/>
      </c>
      <c r="B1407" t="str">
        <f>IF($C1407="","","C"&amp;TEXT(INT((ROW()-5)/9)+1,"000")&amp;"-4")</f>
        <v/>
      </c>
      <c r="C1407" t="str">
        <f>IF(OR(Registro_Compras!$C$159="",Registro_Compras!$O$159="",Registro_Compras!$Y$159="",Registro_Compras!$F$159="NOTA DE CREDITO"),"","4212")</f>
        <v/>
      </c>
      <c r="D1407" t="str">
        <f>IF(OR(Registro_Compras!$C$159="",Registro_Compras!$O$159=""),"","Cuentas por Pagar Comerciales - Terceros")</f>
        <v/>
      </c>
      <c r="E1407" s="20" t="str">
        <f>IF($C1407="","",IF(Registro_Compras!$F$159="RHE",(ROUND(Registro_Compras!$L$159*Registro_Compras!$N$159,2)-ROUND(Registro_Compras!$V$159*Registro_Compras!$N$159,2)),ROUND(Registro_Compras!$O$159-Registro_Compras!$S$159,2)))</f>
        <v/>
      </c>
      <c r="F1407" s="20" t="str">
        <f>""</f>
        <v/>
      </c>
      <c r="G1407" t="str">
        <f>IF($C1407="","","Por la cancelacion del saldo al proveedor")</f>
        <v/>
      </c>
      <c r="H1407" t="str">
        <f>IF($C1407="","",Registro_Compras!$C$159)</f>
        <v/>
      </c>
    </row>
    <row r="1408" spans="1:8" x14ac:dyDescent="0.25">
      <c r="A1408" s="25" t="str">
        <f>IF($C1408="","",Registro_Compras!$Y$159)</f>
        <v/>
      </c>
      <c r="B1408" t="str">
        <f>IF($C1408="","","C"&amp;TEXT(INT((ROW()-5)/9)+1,"000")&amp;"-4")</f>
        <v/>
      </c>
      <c r="C1408" t="str">
        <f>IF(OR(Registro_Compras!$C$159="",Registro_Compras!$O$159="",Registro_Compras!$Y$159="",Registro_Compras!$F$159="NOTA DE CREDITO"),"","1041")</f>
        <v/>
      </c>
      <c r="D1408" t="str">
        <f>IF(OR(Registro_Compras!$C$159="",Registro_Compras!$O$159=""),"","Efectivo y Equivalentes - Cta. Cte. Operativa")</f>
        <v/>
      </c>
      <c r="E1408" s="20" t="str">
        <f>""</f>
        <v/>
      </c>
      <c r="F1408" s="20" t="str">
        <f>IF($C1408="","",IF(Registro_Compras!$F$159="RHE",(ROUND(Registro_Compras!$L$159*Registro_Compras!$N$159,2)-ROUND(Registro_Compras!$V$159*Registro_Compras!$N$159,2)),ROUND(Registro_Compras!$O$159-Registro_Compras!$S$159,2)))</f>
        <v/>
      </c>
      <c r="G1408" t="str">
        <f>IF($C1408="","","Por la cancelacion del saldo al proveedor")</f>
        <v/>
      </c>
      <c r="H1408" t="str">
        <f>IF($C1408="","",Registro_Compras!$C$159)</f>
        <v/>
      </c>
    </row>
    <row r="1409" spans="1:8" x14ac:dyDescent="0.25">
      <c r="A1409" s="25" t="str">
        <f>IF($C1409="","",Registro_Compras!$B$160)</f>
        <v/>
      </c>
      <c r="B1409" t="str">
        <f>IF($C1409="","","C"&amp;TEXT(INT((ROW()-5)/9)+1,"000")&amp;"-1")</f>
        <v/>
      </c>
      <c r="C1409" t="str">
        <f>IF(OR(Registro_Compras!$C$160="",Registro_Compras!$O$160=""),"",IF(Registro_Compras!$F$160="NOTA DE CREDITO","4212",IF(Registro_Compras!$M$160="","63",Registro_Compras!$M$160)))</f>
        <v/>
      </c>
      <c r="D1409" t="str">
        <f>IF(OR(Registro_Compras!$C$160="",Registro_Compras!$O$160=""),"",IF(Registro_Compras!$F$160="NOTA DE CREDITO","Cuentas por Pagar Comerciales - Terceros (Emitidas)",IF(Registro_Compras!$F$160="RHE","Honorarios Profesionales - Servicios de Terceros","Gastos de Servicios Prestados por Terceros")))</f>
        <v/>
      </c>
      <c r="E1409" s="20" t="str">
        <f>IF($C1409="","",IF(Registro_Compras!$F$160="NOTA DE CREDITO",ABS(Registro_Compras!$O$160),IF(Registro_Compras!$F$160="RHE",ROUND(Registro_Compras!$L$160*Registro_Compras!$N$160,2),ROUND(Registro_Compras!$J$160*Registro_Compras!$N$160,2))))</f>
        <v/>
      </c>
      <c r="F1409" s="20" t="str">
        <f>""</f>
        <v/>
      </c>
      <c r="G1409" t="str">
        <f>IF($C1409="","",IF(Registro_Compras!$F$160="NOTA DE CREDITO","Por la nota de credito "&amp;Registro_Compras!$C$160&amp;" de "&amp;Registro_Compras!$E$160&amp;" [PATRON POR CONFIRMAR CON CONTADOR]",IF(Registro_Compras!$F$160="RHE","Por el registro del recibo por honorarios "&amp;Registro_Compras!$C$160&amp;" de "&amp;Registro_Compras!$E$160&amp;" [PATRON POR CONFIRMAR CON CONTADOR]","Por el registro de la factura "&amp;Registro_Compras!$C$160&amp;" de "&amp;Registro_Compras!$E$160)))</f>
        <v/>
      </c>
      <c r="H1409" t="str">
        <f>IF($C1409="","",Registro_Compras!$C$160)</f>
        <v/>
      </c>
    </row>
    <row r="1410" spans="1:8" x14ac:dyDescent="0.25">
      <c r="A1410" s="25" t="str">
        <f>IF($C1410="","",Registro_Compras!$B$160)</f>
        <v/>
      </c>
      <c r="B1410" t="str">
        <f>IF($C1410="","","C"&amp;TEXT(INT((ROW()-5)/9)+1,"000")&amp;"-1")</f>
        <v/>
      </c>
      <c r="C1410" t="str">
        <f>IF(OR(Registro_Compras!$C$160="",Registro_Compras!$O$160=""),"",IF(Registro_Compras!$F$160="RHE",IF(Registro_Compras!$V$160=0,"","4017"),IF(Registro_Compras!$F$160="NOTA DE CREDITO",IF(Registro_Compras!$M$160="","63",Registro_Compras!$M$160),IF(Registro_Compras!$K$160=0,"","40111"))))</f>
        <v/>
      </c>
      <c r="D1410" t="str">
        <f>IF(OR(Registro_Compras!$C$160="",Registro_Compras!$O$160=""),"",IF(Registro_Compras!$F$160="RHE","Retencion Renta 4ta Categoria por Pagar",IF(Registro_Compras!$F$160="NOTA DE CREDITO","Gastos de Servicios Prestados por Terceros","IGV - Cuenta Propia (Credito Fiscal)")))</f>
        <v/>
      </c>
      <c r="E1410" s="20" t="str">
        <f>IF($C1410="","",IF(Registro_Compras!$F$160="FACTURA",ROUND(Registro_Compras!$K$160*Registro_Compras!$N$160,2),""))</f>
        <v/>
      </c>
      <c r="F1410" s="20" t="str">
        <f>IF($C1410="","",IF(Registro_Compras!$F$160="RHE",ROUND(Registro_Compras!$V$160*Registro_Compras!$N$160,2),IF(Registro_Compras!$F$160="NOTA DE CREDITO",ROUND(ABS(Registro_Compras!$J$160*Registro_Compras!$N$160),2),"")))</f>
        <v/>
      </c>
      <c r="G1410" t="str">
        <f>IF($C1410="","",IF(Registro_Compras!$F$160="NOTA DE CREDITO","Por la nota de credito "&amp;Registro_Compras!$C$160&amp;" de "&amp;Registro_Compras!$E$160&amp;" [PATRON POR CONFIRMAR CON CONTADOR]",IF(Registro_Compras!$F$160="RHE","Por el registro del recibo por honorarios "&amp;Registro_Compras!$C$160&amp;" de "&amp;Registro_Compras!$E$160&amp;" [PATRON POR CONFIRMAR CON CONTADOR]","Por el registro de la factura "&amp;Registro_Compras!$C$160&amp;" de "&amp;Registro_Compras!$E$160)))</f>
        <v/>
      </c>
      <c r="H1410" t="str">
        <f>IF($C1410="","",Registro_Compras!$C$160)</f>
        <v/>
      </c>
    </row>
    <row r="1411" spans="1:8" x14ac:dyDescent="0.25">
      <c r="A1411" s="25" t="str">
        <f>IF($C1411="","",Registro_Compras!$B$160)</f>
        <v/>
      </c>
      <c r="B1411" t="str">
        <f>IF($C1411="","","C"&amp;TEXT(INT((ROW()-5)/9)+1,"000")&amp;"-1")</f>
        <v/>
      </c>
      <c r="C1411" t="str">
        <f>IF(OR(Registro_Compras!$C$160="",Registro_Compras!$O$160=""),"",IF(Registro_Compras!$F$160="NOTA DE CREDITO",IF(Registro_Compras!$K$160=0,"","40111"),"4212"))</f>
        <v/>
      </c>
      <c r="D1411" t="str">
        <f>IF(OR(Registro_Compras!$C$160="",Registro_Compras!$O$160=""),"",IF(Registro_Compras!$F$160="NOTA DE CREDITO","IGV - Cuenta Propia (Credito Fiscal)","Cuentas por Pagar Comerciales - Terceros (Emitidas)"))</f>
        <v/>
      </c>
      <c r="E1411" s="20" t="str">
        <f>""</f>
        <v/>
      </c>
      <c r="F1411" s="20" t="str">
        <f>IF($C1411="","",IF(Registro_Compras!$F$160="NOTA DE CREDITO",ROUND(ABS(Registro_Compras!$K$160*Registro_Compras!$N$160),2),IF(Registro_Compras!$F$160="RHE",(ROUND(Registro_Compras!$L$160*Registro_Compras!$N$160,2)-ROUND(Registro_Compras!$V$160*Registro_Compras!$N$160,2)),Registro_Compras!$O$160)))</f>
        <v/>
      </c>
      <c r="G1411" t="str">
        <f>IF($C1411="","",IF(Registro_Compras!$F$160="NOTA DE CREDITO","Por la nota de credito "&amp;Registro_Compras!$C$160&amp;" de "&amp;Registro_Compras!$E$160&amp;" [PATRON POR CONFIRMAR CON CONTADOR]",IF(Registro_Compras!$F$160="RHE","Por el registro del recibo por honorarios "&amp;Registro_Compras!$C$160&amp;" de "&amp;Registro_Compras!$E$160&amp;" [PATRON POR CONFIRMAR CON CONTADOR]","Por el registro de la factura "&amp;Registro_Compras!$C$160&amp;" de "&amp;Registro_Compras!$E$160)))</f>
        <v/>
      </c>
      <c r="H1411" t="str">
        <f>IF($C1411="","",Registro_Compras!$C$160)</f>
        <v/>
      </c>
    </row>
    <row r="1412" spans="1:8" x14ac:dyDescent="0.25">
      <c r="A1412" s="25" t="str">
        <f>IF($C1412="","",Registro_Compras!$B$160)</f>
        <v/>
      </c>
      <c r="B1412" t="str">
        <f>IF($C1412="","","C"&amp;TEXT(INT((ROW()-5)/9)+1,"000")&amp;"-2")</f>
        <v/>
      </c>
      <c r="C1412" t="str">
        <f>IF(OR(Registro_Compras!$C$160="",Registro_Compras!$O$160=""),"",IF(Registro_Compras!$AB$160="ADMINISTRATIVO","94","95"))</f>
        <v/>
      </c>
      <c r="D1412" t="str">
        <f>IF(OR(Registro_Compras!$C$160="",Registro_Compras!$O$160=""),"",IF(Registro_Compras!$AB$160="ADMINISTRATIVO","Gastos Administrativos","Gastos de Venta y Operacion"))</f>
        <v/>
      </c>
      <c r="E1412" s="20" t="str">
        <f>IF($C1412="","",IF(Registro_Compras!$F$160="NOTA DE CREDITO","",IF(Registro_Compras!$F$160="RHE",ROUND(Registro_Compras!$L$160*Registro_Compras!$N$160,2),ROUND(Registro_Compras!$J$160*Registro_Compras!$N$160,2))))</f>
        <v/>
      </c>
      <c r="F1412" s="20" t="str">
        <f>IF($C1412="","",IF(Registro_Compras!$F$160="NOTA DE CREDITO",ROUND(ABS(Registro_Compras!$J$160*Registro_Compras!$N$160),2),""))</f>
        <v/>
      </c>
      <c r="G1412" t="str">
        <f>IF($C1412="","","Por el destino del gasto")</f>
        <v/>
      </c>
      <c r="H1412" t="str">
        <f>IF($C1412="","",Registro_Compras!$C$160)</f>
        <v/>
      </c>
    </row>
    <row r="1413" spans="1:8" x14ac:dyDescent="0.25">
      <c r="A1413" s="25" t="str">
        <f>IF($C1413="","",Registro_Compras!$B$160)</f>
        <v/>
      </c>
      <c r="B1413" t="str">
        <f>IF($C1413="","","C"&amp;TEXT(INT((ROW()-5)/9)+1,"000")&amp;"-2")</f>
        <v/>
      </c>
      <c r="C1413" t="str">
        <f>IF(OR(Registro_Compras!$C$160="",Registro_Compras!$O$160=""),"","79/791")</f>
        <v/>
      </c>
      <c r="D1413" t="str">
        <f>IF(OR(Registro_Compras!$C$160="",Registro_Compras!$O$160=""),"","Cargas Imputables a Cuentas de Costos y Gastos")</f>
        <v/>
      </c>
      <c r="E1413" s="20" t="str">
        <f>IF($C1413="","",IF(Registro_Compras!$F$160="NOTA DE CREDITO",ROUND(ABS(Registro_Compras!$J$160*Registro_Compras!$N$160),2),""))</f>
        <v/>
      </c>
      <c r="F1413" s="20" t="str">
        <f>IF($C1413="","",IF(Registro_Compras!$F$160="NOTA DE CREDITO","",IF(Registro_Compras!$F$160="RHE",ROUND(Registro_Compras!$L$160*Registro_Compras!$N$160,2),ROUND(Registro_Compras!$J$160*Registro_Compras!$N$160,2))))</f>
        <v/>
      </c>
      <c r="G1413" t="str">
        <f>IF($C1413="","","Por el destino del gasto")</f>
        <v/>
      </c>
      <c r="H1413" t="str">
        <f>IF($C1413="","",Registro_Compras!$C$160)</f>
        <v/>
      </c>
    </row>
    <row r="1414" spans="1:8" x14ac:dyDescent="0.25">
      <c r="A1414" s="25" t="str">
        <f>IF($C1414="","",Registro_Compras!$X$160)</f>
        <v/>
      </c>
      <c r="B1414" t="str">
        <f>IF($C1414="","","C"&amp;TEXT(INT((ROW()-5)/9)+1,"000")&amp;"-3")</f>
        <v/>
      </c>
      <c r="C1414" t="str">
        <f>IF(OR(Registro_Compras!$C$160="",Registro_Compras!$O$160="",Registro_Compras!$R$160&lt;&gt;"SI",Registro_Compras!$X$160=""),"","4212")</f>
        <v/>
      </c>
      <c r="D1414" t="str">
        <f>IF(OR(Registro_Compras!$C$160="",Registro_Compras!$O$160=""),"","Cuentas por Pagar Comerciales - Terceros")</f>
        <v/>
      </c>
      <c r="E1414" s="20" t="str">
        <f>IF($C1414="","",Registro_Compras!$S$160)</f>
        <v/>
      </c>
      <c r="F1414" s="20" t="str">
        <f>""</f>
        <v/>
      </c>
      <c r="G1414" t="str">
        <f>IF($C1414="","","Por el deposito de la detraccion en el Banco de la Nacion")</f>
        <v/>
      </c>
      <c r="H1414" t="str">
        <f>IF($C1414="","",Registro_Compras!$C$160)</f>
        <v/>
      </c>
    </row>
    <row r="1415" spans="1:8" x14ac:dyDescent="0.25">
      <c r="A1415" s="25" t="str">
        <f>IF($C1415="","",Registro_Compras!$X$160)</f>
        <v/>
      </c>
      <c r="B1415" t="str">
        <f>IF($C1415="","","C"&amp;TEXT(INT((ROW()-5)/9)+1,"000")&amp;"-3")</f>
        <v/>
      </c>
      <c r="C1415" t="str">
        <f>IF(OR(Registro_Compras!$C$160="",Registro_Compras!$O$160="",Registro_Compras!$R$160&lt;&gt;"SI",Registro_Compras!$X$160=""),"","1041")</f>
        <v/>
      </c>
      <c r="D1415" t="str">
        <f>IF(OR(Registro_Compras!$C$160="",Registro_Compras!$O$160=""),"","Efectivo y Equivalentes - Cta. Cte. Operativa")</f>
        <v/>
      </c>
      <c r="E1415" s="20" t="str">
        <f>""</f>
        <v/>
      </c>
      <c r="F1415" s="20" t="str">
        <f>IF($C1415="","",Registro_Compras!$S$160)</f>
        <v/>
      </c>
      <c r="G1415" t="str">
        <f>IF($C1415="","","Por el deposito de la detraccion en el Banco de la Nacion")</f>
        <v/>
      </c>
      <c r="H1415" t="str">
        <f>IF($C1415="","",Registro_Compras!$C$160)</f>
        <v/>
      </c>
    </row>
    <row r="1416" spans="1:8" x14ac:dyDescent="0.25">
      <c r="A1416" s="25" t="str">
        <f>IF($C1416="","",Registro_Compras!$Y$160)</f>
        <v/>
      </c>
      <c r="B1416" t="str">
        <f>IF($C1416="","","C"&amp;TEXT(INT((ROW()-5)/9)+1,"000")&amp;"-4")</f>
        <v/>
      </c>
      <c r="C1416" t="str">
        <f>IF(OR(Registro_Compras!$C$160="",Registro_Compras!$O$160="",Registro_Compras!$Y$160="",Registro_Compras!$F$160="NOTA DE CREDITO"),"","4212")</f>
        <v/>
      </c>
      <c r="D1416" t="str">
        <f>IF(OR(Registro_Compras!$C$160="",Registro_Compras!$O$160=""),"","Cuentas por Pagar Comerciales - Terceros")</f>
        <v/>
      </c>
      <c r="E1416" s="20" t="str">
        <f>IF($C1416="","",IF(Registro_Compras!$F$160="RHE",(ROUND(Registro_Compras!$L$160*Registro_Compras!$N$160,2)-ROUND(Registro_Compras!$V$160*Registro_Compras!$N$160,2)),ROUND(Registro_Compras!$O$160-Registro_Compras!$S$160,2)))</f>
        <v/>
      </c>
      <c r="F1416" s="20" t="str">
        <f>""</f>
        <v/>
      </c>
      <c r="G1416" t="str">
        <f>IF($C1416="","","Por la cancelacion del saldo al proveedor")</f>
        <v/>
      </c>
      <c r="H1416" t="str">
        <f>IF($C1416="","",Registro_Compras!$C$160)</f>
        <v/>
      </c>
    </row>
    <row r="1417" spans="1:8" x14ac:dyDescent="0.25">
      <c r="A1417" s="25" t="str">
        <f>IF($C1417="","",Registro_Compras!$Y$160)</f>
        <v/>
      </c>
      <c r="B1417" t="str">
        <f>IF($C1417="","","C"&amp;TEXT(INT((ROW()-5)/9)+1,"000")&amp;"-4")</f>
        <v/>
      </c>
      <c r="C1417" t="str">
        <f>IF(OR(Registro_Compras!$C$160="",Registro_Compras!$O$160="",Registro_Compras!$Y$160="",Registro_Compras!$F$160="NOTA DE CREDITO"),"","1041")</f>
        <v/>
      </c>
      <c r="D1417" t="str">
        <f>IF(OR(Registro_Compras!$C$160="",Registro_Compras!$O$160=""),"","Efectivo y Equivalentes - Cta. Cte. Operativa")</f>
        <v/>
      </c>
      <c r="E1417" s="20" t="str">
        <f>""</f>
        <v/>
      </c>
      <c r="F1417" s="20" t="str">
        <f>IF($C1417="","",IF(Registro_Compras!$F$160="RHE",(ROUND(Registro_Compras!$L$160*Registro_Compras!$N$160,2)-ROUND(Registro_Compras!$V$160*Registro_Compras!$N$160,2)),ROUND(Registro_Compras!$O$160-Registro_Compras!$S$160,2)))</f>
        <v/>
      </c>
      <c r="G1417" t="str">
        <f>IF($C1417="","","Por la cancelacion del saldo al proveedor")</f>
        <v/>
      </c>
      <c r="H1417" t="str">
        <f>IF($C1417="","",Registro_Compras!$C$160)</f>
        <v/>
      </c>
    </row>
    <row r="1418" spans="1:8" x14ac:dyDescent="0.25">
      <c r="A1418" s="25" t="str">
        <f>IF($C1418="","",Registro_Compras!$B$161)</f>
        <v/>
      </c>
      <c r="B1418" t="str">
        <f>IF($C1418="","","C"&amp;TEXT(INT((ROW()-5)/9)+1,"000")&amp;"-1")</f>
        <v/>
      </c>
      <c r="C1418" t="str">
        <f>IF(OR(Registro_Compras!$C$161="",Registro_Compras!$O$161=""),"",IF(Registro_Compras!$F$161="NOTA DE CREDITO","4212",IF(Registro_Compras!$M$161="","63",Registro_Compras!$M$161)))</f>
        <v/>
      </c>
      <c r="D1418" t="str">
        <f>IF(OR(Registro_Compras!$C$161="",Registro_Compras!$O$161=""),"",IF(Registro_Compras!$F$161="NOTA DE CREDITO","Cuentas por Pagar Comerciales - Terceros (Emitidas)",IF(Registro_Compras!$F$161="RHE","Honorarios Profesionales - Servicios de Terceros","Gastos de Servicios Prestados por Terceros")))</f>
        <v/>
      </c>
      <c r="E1418" s="20" t="str">
        <f>IF($C1418="","",IF(Registro_Compras!$F$161="NOTA DE CREDITO",ABS(Registro_Compras!$O$161),IF(Registro_Compras!$F$161="RHE",ROUND(Registro_Compras!$L$161*Registro_Compras!$N$161,2),ROUND(Registro_Compras!$J$161*Registro_Compras!$N$161,2))))</f>
        <v/>
      </c>
      <c r="F1418" s="20" t="str">
        <f>""</f>
        <v/>
      </c>
      <c r="G1418" t="str">
        <f>IF($C1418="","",IF(Registro_Compras!$F$161="NOTA DE CREDITO","Por la nota de credito "&amp;Registro_Compras!$C$161&amp;" de "&amp;Registro_Compras!$E$161&amp;" [PATRON POR CONFIRMAR CON CONTADOR]",IF(Registro_Compras!$F$161="RHE","Por el registro del recibo por honorarios "&amp;Registro_Compras!$C$161&amp;" de "&amp;Registro_Compras!$E$161&amp;" [PATRON POR CONFIRMAR CON CONTADOR]","Por el registro de la factura "&amp;Registro_Compras!$C$161&amp;" de "&amp;Registro_Compras!$E$161)))</f>
        <v/>
      </c>
      <c r="H1418" t="str">
        <f>IF($C1418="","",Registro_Compras!$C$161)</f>
        <v/>
      </c>
    </row>
    <row r="1419" spans="1:8" x14ac:dyDescent="0.25">
      <c r="A1419" s="25" t="str">
        <f>IF($C1419="","",Registro_Compras!$B$161)</f>
        <v/>
      </c>
      <c r="B1419" t="str">
        <f>IF($C1419="","","C"&amp;TEXT(INT((ROW()-5)/9)+1,"000")&amp;"-1")</f>
        <v/>
      </c>
      <c r="C1419" t="str">
        <f>IF(OR(Registro_Compras!$C$161="",Registro_Compras!$O$161=""),"",IF(Registro_Compras!$F$161="RHE",IF(Registro_Compras!$V$161=0,"","4017"),IF(Registro_Compras!$F$161="NOTA DE CREDITO",IF(Registro_Compras!$M$161="","63",Registro_Compras!$M$161),IF(Registro_Compras!$K$161=0,"","40111"))))</f>
        <v/>
      </c>
      <c r="D1419" t="str">
        <f>IF(OR(Registro_Compras!$C$161="",Registro_Compras!$O$161=""),"",IF(Registro_Compras!$F$161="RHE","Retencion Renta 4ta Categoria por Pagar",IF(Registro_Compras!$F$161="NOTA DE CREDITO","Gastos de Servicios Prestados por Terceros","IGV - Cuenta Propia (Credito Fiscal)")))</f>
        <v/>
      </c>
      <c r="E1419" s="20" t="str">
        <f>IF($C1419="","",IF(Registro_Compras!$F$161="FACTURA",ROUND(Registro_Compras!$K$161*Registro_Compras!$N$161,2),""))</f>
        <v/>
      </c>
      <c r="F1419" s="20" t="str">
        <f>IF($C1419="","",IF(Registro_Compras!$F$161="RHE",ROUND(Registro_Compras!$V$161*Registro_Compras!$N$161,2),IF(Registro_Compras!$F$161="NOTA DE CREDITO",ROUND(ABS(Registro_Compras!$J$161*Registro_Compras!$N$161),2),"")))</f>
        <v/>
      </c>
      <c r="G1419" t="str">
        <f>IF($C1419="","",IF(Registro_Compras!$F$161="NOTA DE CREDITO","Por la nota de credito "&amp;Registro_Compras!$C$161&amp;" de "&amp;Registro_Compras!$E$161&amp;" [PATRON POR CONFIRMAR CON CONTADOR]",IF(Registro_Compras!$F$161="RHE","Por el registro del recibo por honorarios "&amp;Registro_Compras!$C$161&amp;" de "&amp;Registro_Compras!$E$161&amp;" [PATRON POR CONFIRMAR CON CONTADOR]","Por el registro de la factura "&amp;Registro_Compras!$C$161&amp;" de "&amp;Registro_Compras!$E$161)))</f>
        <v/>
      </c>
      <c r="H1419" t="str">
        <f>IF($C1419="","",Registro_Compras!$C$161)</f>
        <v/>
      </c>
    </row>
    <row r="1420" spans="1:8" x14ac:dyDescent="0.25">
      <c r="A1420" s="25" t="str">
        <f>IF($C1420="","",Registro_Compras!$B$161)</f>
        <v/>
      </c>
      <c r="B1420" t="str">
        <f>IF($C1420="","","C"&amp;TEXT(INT((ROW()-5)/9)+1,"000")&amp;"-1")</f>
        <v/>
      </c>
      <c r="C1420" t="str">
        <f>IF(OR(Registro_Compras!$C$161="",Registro_Compras!$O$161=""),"",IF(Registro_Compras!$F$161="NOTA DE CREDITO",IF(Registro_Compras!$K$161=0,"","40111"),"4212"))</f>
        <v/>
      </c>
      <c r="D1420" t="str">
        <f>IF(OR(Registro_Compras!$C$161="",Registro_Compras!$O$161=""),"",IF(Registro_Compras!$F$161="NOTA DE CREDITO","IGV - Cuenta Propia (Credito Fiscal)","Cuentas por Pagar Comerciales - Terceros (Emitidas)"))</f>
        <v/>
      </c>
      <c r="E1420" s="20" t="str">
        <f>""</f>
        <v/>
      </c>
      <c r="F1420" s="20" t="str">
        <f>IF($C1420="","",IF(Registro_Compras!$F$161="NOTA DE CREDITO",ROUND(ABS(Registro_Compras!$K$161*Registro_Compras!$N$161),2),IF(Registro_Compras!$F$161="RHE",(ROUND(Registro_Compras!$L$161*Registro_Compras!$N$161,2)-ROUND(Registro_Compras!$V$161*Registro_Compras!$N$161,2)),Registro_Compras!$O$161)))</f>
        <v/>
      </c>
      <c r="G1420" t="str">
        <f>IF($C1420="","",IF(Registro_Compras!$F$161="NOTA DE CREDITO","Por la nota de credito "&amp;Registro_Compras!$C$161&amp;" de "&amp;Registro_Compras!$E$161&amp;" [PATRON POR CONFIRMAR CON CONTADOR]",IF(Registro_Compras!$F$161="RHE","Por el registro del recibo por honorarios "&amp;Registro_Compras!$C$161&amp;" de "&amp;Registro_Compras!$E$161&amp;" [PATRON POR CONFIRMAR CON CONTADOR]","Por el registro de la factura "&amp;Registro_Compras!$C$161&amp;" de "&amp;Registro_Compras!$E$161)))</f>
        <v/>
      </c>
      <c r="H1420" t="str">
        <f>IF($C1420="","",Registro_Compras!$C$161)</f>
        <v/>
      </c>
    </row>
    <row r="1421" spans="1:8" x14ac:dyDescent="0.25">
      <c r="A1421" s="25" t="str">
        <f>IF($C1421="","",Registro_Compras!$B$161)</f>
        <v/>
      </c>
      <c r="B1421" t="str">
        <f>IF($C1421="","","C"&amp;TEXT(INT((ROW()-5)/9)+1,"000")&amp;"-2")</f>
        <v/>
      </c>
      <c r="C1421" t="str">
        <f>IF(OR(Registro_Compras!$C$161="",Registro_Compras!$O$161=""),"",IF(Registro_Compras!$AB$161="ADMINISTRATIVO","94","95"))</f>
        <v/>
      </c>
      <c r="D1421" t="str">
        <f>IF(OR(Registro_Compras!$C$161="",Registro_Compras!$O$161=""),"",IF(Registro_Compras!$AB$161="ADMINISTRATIVO","Gastos Administrativos","Gastos de Venta y Operacion"))</f>
        <v/>
      </c>
      <c r="E1421" s="20" t="str">
        <f>IF($C1421="","",IF(Registro_Compras!$F$161="NOTA DE CREDITO","",IF(Registro_Compras!$F$161="RHE",ROUND(Registro_Compras!$L$161*Registro_Compras!$N$161,2),ROUND(Registro_Compras!$J$161*Registro_Compras!$N$161,2))))</f>
        <v/>
      </c>
      <c r="F1421" s="20" t="str">
        <f>IF($C1421="","",IF(Registro_Compras!$F$161="NOTA DE CREDITO",ROUND(ABS(Registro_Compras!$J$161*Registro_Compras!$N$161),2),""))</f>
        <v/>
      </c>
      <c r="G1421" t="str">
        <f>IF($C1421="","","Por el destino del gasto")</f>
        <v/>
      </c>
      <c r="H1421" t="str">
        <f>IF($C1421="","",Registro_Compras!$C$161)</f>
        <v/>
      </c>
    </row>
    <row r="1422" spans="1:8" x14ac:dyDescent="0.25">
      <c r="A1422" s="25" t="str">
        <f>IF($C1422="","",Registro_Compras!$B$161)</f>
        <v/>
      </c>
      <c r="B1422" t="str">
        <f>IF($C1422="","","C"&amp;TEXT(INT((ROW()-5)/9)+1,"000")&amp;"-2")</f>
        <v/>
      </c>
      <c r="C1422" t="str">
        <f>IF(OR(Registro_Compras!$C$161="",Registro_Compras!$O$161=""),"","79/791")</f>
        <v/>
      </c>
      <c r="D1422" t="str">
        <f>IF(OR(Registro_Compras!$C$161="",Registro_Compras!$O$161=""),"","Cargas Imputables a Cuentas de Costos y Gastos")</f>
        <v/>
      </c>
      <c r="E1422" s="20" t="str">
        <f>IF($C1422="","",IF(Registro_Compras!$F$161="NOTA DE CREDITO",ROUND(ABS(Registro_Compras!$J$161*Registro_Compras!$N$161),2),""))</f>
        <v/>
      </c>
      <c r="F1422" s="20" t="str">
        <f>IF($C1422="","",IF(Registro_Compras!$F$161="NOTA DE CREDITO","",IF(Registro_Compras!$F$161="RHE",ROUND(Registro_Compras!$L$161*Registro_Compras!$N$161,2),ROUND(Registro_Compras!$J$161*Registro_Compras!$N$161,2))))</f>
        <v/>
      </c>
      <c r="G1422" t="str">
        <f>IF($C1422="","","Por el destino del gasto")</f>
        <v/>
      </c>
      <c r="H1422" t="str">
        <f>IF($C1422="","",Registro_Compras!$C$161)</f>
        <v/>
      </c>
    </row>
    <row r="1423" spans="1:8" x14ac:dyDescent="0.25">
      <c r="A1423" s="25" t="str">
        <f>IF($C1423="","",Registro_Compras!$X$161)</f>
        <v/>
      </c>
      <c r="B1423" t="str">
        <f>IF($C1423="","","C"&amp;TEXT(INT((ROW()-5)/9)+1,"000")&amp;"-3")</f>
        <v/>
      </c>
      <c r="C1423" t="str">
        <f>IF(OR(Registro_Compras!$C$161="",Registro_Compras!$O$161="",Registro_Compras!$R$161&lt;&gt;"SI",Registro_Compras!$X$161=""),"","4212")</f>
        <v/>
      </c>
      <c r="D1423" t="str">
        <f>IF(OR(Registro_Compras!$C$161="",Registro_Compras!$O$161=""),"","Cuentas por Pagar Comerciales - Terceros")</f>
        <v/>
      </c>
      <c r="E1423" s="20" t="str">
        <f>IF($C1423="","",Registro_Compras!$S$161)</f>
        <v/>
      </c>
      <c r="F1423" s="20" t="str">
        <f>""</f>
        <v/>
      </c>
      <c r="G1423" t="str">
        <f>IF($C1423="","","Por el deposito de la detraccion en el Banco de la Nacion")</f>
        <v/>
      </c>
      <c r="H1423" t="str">
        <f>IF($C1423="","",Registro_Compras!$C$161)</f>
        <v/>
      </c>
    </row>
    <row r="1424" spans="1:8" x14ac:dyDescent="0.25">
      <c r="A1424" s="25" t="str">
        <f>IF($C1424="","",Registro_Compras!$X$161)</f>
        <v/>
      </c>
      <c r="B1424" t="str">
        <f>IF($C1424="","","C"&amp;TEXT(INT((ROW()-5)/9)+1,"000")&amp;"-3")</f>
        <v/>
      </c>
      <c r="C1424" t="str">
        <f>IF(OR(Registro_Compras!$C$161="",Registro_Compras!$O$161="",Registro_Compras!$R$161&lt;&gt;"SI",Registro_Compras!$X$161=""),"","1041")</f>
        <v/>
      </c>
      <c r="D1424" t="str">
        <f>IF(OR(Registro_Compras!$C$161="",Registro_Compras!$O$161=""),"","Efectivo y Equivalentes - Cta. Cte. Operativa")</f>
        <v/>
      </c>
      <c r="E1424" s="20" t="str">
        <f>""</f>
        <v/>
      </c>
      <c r="F1424" s="20" t="str">
        <f>IF($C1424="","",Registro_Compras!$S$161)</f>
        <v/>
      </c>
      <c r="G1424" t="str">
        <f>IF($C1424="","","Por el deposito de la detraccion en el Banco de la Nacion")</f>
        <v/>
      </c>
      <c r="H1424" t="str">
        <f>IF($C1424="","",Registro_Compras!$C$161)</f>
        <v/>
      </c>
    </row>
    <row r="1425" spans="1:8" x14ac:dyDescent="0.25">
      <c r="A1425" s="25" t="str">
        <f>IF($C1425="","",Registro_Compras!$Y$161)</f>
        <v/>
      </c>
      <c r="B1425" t="str">
        <f>IF($C1425="","","C"&amp;TEXT(INT((ROW()-5)/9)+1,"000")&amp;"-4")</f>
        <v/>
      </c>
      <c r="C1425" t="str">
        <f>IF(OR(Registro_Compras!$C$161="",Registro_Compras!$O$161="",Registro_Compras!$Y$161="",Registro_Compras!$F$161="NOTA DE CREDITO"),"","4212")</f>
        <v/>
      </c>
      <c r="D1425" t="str">
        <f>IF(OR(Registro_Compras!$C$161="",Registro_Compras!$O$161=""),"","Cuentas por Pagar Comerciales - Terceros")</f>
        <v/>
      </c>
      <c r="E1425" s="20" t="str">
        <f>IF($C1425="","",IF(Registro_Compras!$F$161="RHE",(ROUND(Registro_Compras!$L$161*Registro_Compras!$N$161,2)-ROUND(Registro_Compras!$V$161*Registro_Compras!$N$161,2)),ROUND(Registro_Compras!$O$161-Registro_Compras!$S$161,2)))</f>
        <v/>
      </c>
      <c r="F1425" s="20" t="str">
        <f>""</f>
        <v/>
      </c>
      <c r="G1425" t="str">
        <f>IF($C1425="","","Por la cancelacion del saldo al proveedor")</f>
        <v/>
      </c>
      <c r="H1425" t="str">
        <f>IF($C1425="","",Registro_Compras!$C$161)</f>
        <v/>
      </c>
    </row>
    <row r="1426" spans="1:8" x14ac:dyDescent="0.25">
      <c r="A1426" s="25" t="str">
        <f>IF($C1426="","",Registro_Compras!$Y$161)</f>
        <v/>
      </c>
      <c r="B1426" t="str">
        <f>IF($C1426="","","C"&amp;TEXT(INT((ROW()-5)/9)+1,"000")&amp;"-4")</f>
        <v/>
      </c>
      <c r="C1426" t="str">
        <f>IF(OR(Registro_Compras!$C$161="",Registro_Compras!$O$161="",Registro_Compras!$Y$161="",Registro_Compras!$F$161="NOTA DE CREDITO"),"","1041")</f>
        <v/>
      </c>
      <c r="D1426" t="str">
        <f>IF(OR(Registro_Compras!$C$161="",Registro_Compras!$O$161=""),"","Efectivo y Equivalentes - Cta. Cte. Operativa")</f>
        <v/>
      </c>
      <c r="E1426" s="20" t="str">
        <f>""</f>
        <v/>
      </c>
      <c r="F1426" s="20" t="str">
        <f>IF($C1426="","",IF(Registro_Compras!$F$161="RHE",(ROUND(Registro_Compras!$L$161*Registro_Compras!$N$161,2)-ROUND(Registro_Compras!$V$161*Registro_Compras!$N$161,2)),ROUND(Registro_Compras!$O$161-Registro_Compras!$S$161,2)))</f>
        <v/>
      </c>
      <c r="G1426" t="str">
        <f>IF($C1426="","","Por la cancelacion del saldo al proveedor")</f>
        <v/>
      </c>
      <c r="H1426" t="str">
        <f>IF($C1426="","",Registro_Compras!$C$161)</f>
        <v/>
      </c>
    </row>
    <row r="1427" spans="1:8" x14ac:dyDescent="0.25">
      <c r="A1427" s="25" t="str">
        <f>IF($C1427="","",Registro_Compras!$B$162)</f>
        <v/>
      </c>
      <c r="B1427" t="str">
        <f>IF($C1427="","","C"&amp;TEXT(INT((ROW()-5)/9)+1,"000")&amp;"-1")</f>
        <v/>
      </c>
      <c r="C1427" t="str">
        <f>IF(OR(Registro_Compras!$C$162="",Registro_Compras!$O$162=""),"",IF(Registro_Compras!$F$162="NOTA DE CREDITO","4212",IF(Registro_Compras!$M$162="","63",Registro_Compras!$M$162)))</f>
        <v/>
      </c>
      <c r="D1427" t="str">
        <f>IF(OR(Registro_Compras!$C$162="",Registro_Compras!$O$162=""),"",IF(Registro_Compras!$F$162="NOTA DE CREDITO","Cuentas por Pagar Comerciales - Terceros (Emitidas)",IF(Registro_Compras!$F$162="RHE","Honorarios Profesionales - Servicios de Terceros","Gastos de Servicios Prestados por Terceros")))</f>
        <v/>
      </c>
      <c r="E1427" s="20" t="str">
        <f>IF($C1427="","",IF(Registro_Compras!$F$162="NOTA DE CREDITO",ABS(Registro_Compras!$O$162),IF(Registro_Compras!$F$162="RHE",ROUND(Registro_Compras!$L$162*Registro_Compras!$N$162,2),ROUND(Registro_Compras!$J$162*Registro_Compras!$N$162,2))))</f>
        <v/>
      </c>
      <c r="F1427" s="20" t="str">
        <f>""</f>
        <v/>
      </c>
      <c r="G1427" t="str">
        <f>IF($C1427="","",IF(Registro_Compras!$F$162="NOTA DE CREDITO","Por la nota de credito "&amp;Registro_Compras!$C$162&amp;" de "&amp;Registro_Compras!$E$162&amp;" [PATRON POR CONFIRMAR CON CONTADOR]",IF(Registro_Compras!$F$162="RHE","Por el registro del recibo por honorarios "&amp;Registro_Compras!$C$162&amp;" de "&amp;Registro_Compras!$E$162&amp;" [PATRON POR CONFIRMAR CON CONTADOR]","Por el registro de la factura "&amp;Registro_Compras!$C$162&amp;" de "&amp;Registro_Compras!$E$162)))</f>
        <v/>
      </c>
      <c r="H1427" t="str">
        <f>IF($C1427="","",Registro_Compras!$C$162)</f>
        <v/>
      </c>
    </row>
    <row r="1428" spans="1:8" x14ac:dyDescent="0.25">
      <c r="A1428" s="25" t="str">
        <f>IF($C1428="","",Registro_Compras!$B$162)</f>
        <v/>
      </c>
      <c r="B1428" t="str">
        <f>IF($C1428="","","C"&amp;TEXT(INT((ROW()-5)/9)+1,"000")&amp;"-1")</f>
        <v/>
      </c>
      <c r="C1428" t="str">
        <f>IF(OR(Registro_Compras!$C$162="",Registro_Compras!$O$162=""),"",IF(Registro_Compras!$F$162="RHE",IF(Registro_Compras!$V$162=0,"","4017"),IF(Registro_Compras!$F$162="NOTA DE CREDITO",IF(Registro_Compras!$M$162="","63",Registro_Compras!$M$162),IF(Registro_Compras!$K$162=0,"","40111"))))</f>
        <v/>
      </c>
      <c r="D1428" t="str">
        <f>IF(OR(Registro_Compras!$C$162="",Registro_Compras!$O$162=""),"",IF(Registro_Compras!$F$162="RHE","Retencion Renta 4ta Categoria por Pagar",IF(Registro_Compras!$F$162="NOTA DE CREDITO","Gastos de Servicios Prestados por Terceros","IGV - Cuenta Propia (Credito Fiscal)")))</f>
        <v/>
      </c>
      <c r="E1428" s="20" t="str">
        <f>IF($C1428="","",IF(Registro_Compras!$F$162="FACTURA",ROUND(Registro_Compras!$K$162*Registro_Compras!$N$162,2),""))</f>
        <v/>
      </c>
      <c r="F1428" s="20" t="str">
        <f>IF($C1428="","",IF(Registro_Compras!$F$162="RHE",ROUND(Registro_Compras!$V$162*Registro_Compras!$N$162,2),IF(Registro_Compras!$F$162="NOTA DE CREDITO",ROUND(ABS(Registro_Compras!$J$162*Registro_Compras!$N$162),2),"")))</f>
        <v/>
      </c>
      <c r="G1428" t="str">
        <f>IF($C1428="","",IF(Registro_Compras!$F$162="NOTA DE CREDITO","Por la nota de credito "&amp;Registro_Compras!$C$162&amp;" de "&amp;Registro_Compras!$E$162&amp;" [PATRON POR CONFIRMAR CON CONTADOR]",IF(Registro_Compras!$F$162="RHE","Por el registro del recibo por honorarios "&amp;Registro_Compras!$C$162&amp;" de "&amp;Registro_Compras!$E$162&amp;" [PATRON POR CONFIRMAR CON CONTADOR]","Por el registro de la factura "&amp;Registro_Compras!$C$162&amp;" de "&amp;Registro_Compras!$E$162)))</f>
        <v/>
      </c>
      <c r="H1428" t="str">
        <f>IF($C1428="","",Registro_Compras!$C$162)</f>
        <v/>
      </c>
    </row>
    <row r="1429" spans="1:8" x14ac:dyDescent="0.25">
      <c r="A1429" s="25" t="str">
        <f>IF($C1429="","",Registro_Compras!$B$162)</f>
        <v/>
      </c>
      <c r="B1429" t="str">
        <f>IF($C1429="","","C"&amp;TEXT(INT((ROW()-5)/9)+1,"000")&amp;"-1")</f>
        <v/>
      </c>
      <c r="C1429" t="str">
        <f>IF(OR(Registro_Compras!$C$162="",Registro_Compras!$O$162=""),"",IF(Registro_Compras!$F$162="NOTA DE CREDITO",IF(Registro_Compras!$K$162=0,"","40111"),"4212"))</f>
        <v/>
      </c>
      <c r="D1429" t="str">
        <f>IF(OR(Registro_Compras!$C$162="",Registro_Compras!$O$162=""),"",IF(Registro_Compras!$F$162="NOTA DE CREDITO","IGV - Cuenta Propia (Credito Fiscal)","Cuentas por Pagar Comerciales - Terceros (Emitidas)"))</f>
        <v/>
      </c>
      <c r="E1429" s="20" t="str">
        <f>""</f>
        <v/>
      </c>
      <c r="F1429" s="20" t="str">
        <f>IF($C1429="","",IF(Registro_Compras!$F$162="NOTA DE CREDITO",ROUND(ABS(Registro_Compras!$K$162*Registro_Compras!$N$162),2),IF(Registro_Compras!$F$162="RHE",(ROUND(Registro_Compras!$L$162*Registro_Compras!$N$162,2)-ROUND(Registro_Compras!$V$162*Registro_Compras!$N$162,2)),Registro_Compras!$O$162)))</f>
        <v/>
      </c>
      <c r="G1429" t="str">
        <f>IF($C1429="","",IF(Registro_Compras!$F$162="NOTA DE CREDITO","Por la nota de credito "&amp;Registro_Compras!$C$162&amp;" de "&amp;Registro_Compras!$E$162&amp;" [PATRON POR CONFIRMAR CON CONTADOR]",IF(Registro_Compras!$F$162="RHE","Por el registro del recibo por honorarios "&amp;Registro_Compras!$C$162&amp;" de "&amp;Registro_Compras!$E$162&amp;" [PATRON POR CONFIRMAR CON CONTADOR]","Por el registro de la factura "&amp;Registro_Compras!$C$162&amp;" de "&amp;Registro_Compras!$E$162)))</f>
        <v/>
      </c>
      <c r="H1429" t="str">
        <f>IF($C1429="","",Registro_Compras!$C$162)</f>
        <v/>
      </c>
    </row>
    <row r="1430" spans="1:8" x14ac:dyDescent="0.25">
      <c r="A1430" s="25" t="str">
        <f>IF($C1430="","",Registro_Compras!$B$162)</f>
        <v/>
      </c>
      <c r="B1430" t="str">
        <f>IF($C1430="","","C"&amp;TEXT(INT((ROW()-5)/9)+1,"000")&amp;"-2")</f>
        <v/>
      </c>
      <c r="C1430" t="str">
        <f>IF(OR(Registro_Compras!$C$162="",Registro_Compras!$O$162=""),"",IF(Registro_Compras!$AB$162="ADMINISTRATIVO","94","95"))</f>
        <v/>
      </c>
      <c r="D1430" t="str">
        <f>IF(OR(Registro_Compras!$C$162="",Registro_Compras!$O$162=""),"",IF(Registro_Compras!$AB$162="ADMINISTRATIVO","Gastos Administrativos","Gastos de Venta y Operacion"))</f>
        <v/>
      </c>
      <c r="E1430" s="20" t="str">
        <f>IF($C1430="","",IF(Registro_Compras!$F$162="NOTA DE CREDITO","",IF(Registro_Compras!$F$162="RHE",ROUND(Registro_Compras!$L$162*Registro_Compras!$N$162,2),ROUND(Registro_Compras!$J$162*Registro_Compras!$N$162,2))))</f>
        <v/>
      </c>
      <c r="F1430" s="20" t="str">
        <f>IF($C1430="","",IF(Registro_Compras!$F$162="NOTA DE CREDITO",ROUND(ABS(Registro_Compras!$J$162*Registro_Compras!$N$162),2),""))</f>
        <v/>
      </c>
      <c r="G1430" t="str">
        <f>IF($C1430="","","Por el destino del gasto")</f>
        <v/>
      </c>
      <c r="H1430" t="str">
        <f>IF($C1430="","",Registro_Compras!$C$162)</f>
        <v/>
      </c>
    </row>
    <row r="1431" spans="1:8" x14ac:dyDescent="0.25">
      <c r="A1431" s="25" t="str">
        <f>IF($C1431="","",Registro_Compras!$B$162)</f>
        <v/>
      </c>
      <c r="B1431" t="str">
        <f>IF($C1431="","","C"&amp;TEXT(INT((ROW()-5)/9)+1,"000")&amp;"-2")</f>
        <v/>
      </c>
      <c r="C1431" t="str">
        <f>IF(OR(Registro_Compras!$C$162="",Registro_Compras!$O$162=""),"","79/791")</f>
        <v/>
      </c>
      <c r="D1431" t="str">
        <f>IF(OR(Registro_Compras!$C$162="",Registro_Compras!$O$162=""),"","Cargas Imputables a Cuentas de Costos y Gastos")</f>
        <v/>
      </c>
      <c r="E1431" s="20" t="str">
        <f>IF($C1431="","",IF(Registro_Compras!$F$162="NOTA DE CREDITO",ROUND(ABS(Registro_Compras!$J$162*Registro_Compras!$N$162),2),""))</f>
        <v/>
      </c>
      <c r="F1431" s="20" t="str">
        <f>IF($C1431="","",IF(Registro_Compras!$F$162="NOTA DE CREDITO","",IF(Registro_Compras!$F$162="RHE",ROUND(Registro_Compras!$L$162*Registro_Compras!$N$162,2),ROUND(Registro_Compras!$J$162*Registro_Compras!$N$162,2))))</f>
        <v/>
      </c>
      <c r="G1431" t="str">
        <f>IF($C1431="","","Por el destino del gasto")</f>
        <v/>
      </c>
      <c r="H1431" t="str">
        <f>IF($C1431="","",Registro_Compras!$C$162)</f>
        <v/>
      </c>
    </row>
    <row r="1432" spans="1:8" x14ac:dyDescent="0.25">
      <c r="A1432" s="25" t="str">
        <f>IF($C1432="","",Registro_Compras!$X$162)</f>
        <v/>
      </c>
      <c r="B1432" t="str">
        <f>IF($C1432="","","C"&amp;TEXT(INT((ROW()-5)/9)+1,"000")&amp;"-3")</f>
        <v/>
      </c>
      <c r="C1432" t="str">
        <f>IF(OR(Registro_Compras!$C$162="",Registro_Compras!$O$162="",Registro_Compras!$R$162&lt;&gt;"SI",Registro_Compras!$X$162=""),"","4212")</f>
        <v/>
      </c>
      <c r="D1432" t="str">
        <f>IF(OR(Registro_Compras!$C$162="",Registro_Compras!$O$162=""),"","Cuentas por Pagar Comerciales - Terceros")</f>
        <v/>
      </c>
      <c r="E1432" s="20" t="str">
        <f>IF($C1432="","",Registro_Compras!$S$162)</f>
        <v/>
      </c>
      <c r="F1432" s="20" t="str">
        <f>""</f>
        <v/>
      </c>
      <c r="G1432" t="str">
        <f>IF($C1432="","","Por el deposito de la detraccion en el Banco de la Nacion")</f>
        <v/>
      </c>
      <c r="H1432" t="str">
        <f>IF($C1432="","",Registro_Compras!$C$162)</f>
        <v/>
      </c>
    </row>
    <row r="1433" spans="1:8" x14ac:dyDescent="0.25">
      <c r="A1433" s="25" t="str">
        <f>IF($C1433="","",Registro_Compras!$X$162)</f>
        <v/>
      </c>
      <c r="B1433" t="str">
        <f>IF($C1433="","","C"&amp;TEXT(INT((ROW()-5)/9)+1,"000")&amp;"-3")</f>
        <v/>
      </c>
      <c r="C1433" t="str">
        <f>IF(OR(Registro_Compras!$C$162="",Registro_Compras!$O$162="",Registro_Compras!$R$162&lt;&gt;"SI",Registro_Compras!$X$162=""),"","1041")</f>
        <v/>
      </c>
      <c r="D1433" t="str">
        <f>IF(OR(Registro_Compras!$C$162="",Registro_Compras!$O$162=""),"","Efectivo y Equivalentes - Cta. Cte. Operativa")</f>
        <v/>
      </c>
      <c r="E1433" s="20" t="str">
        <f>""</f>
        <v/>
      </c>
      <c r="F1433" s="20" t="str">
        <f>IF($C1433="","",Registro_Compras!$S$162)</f>
        <v/>
      </c>
      <c r="G1433" t="str">
        <f>IF($C1433="","","Por el deposito de la detraccion en el Banco de la Nacion")</f>
        <v/>
      </c>
      <c r="H1433" t="str">
        <f>IF($C1433="","",Registro_Compras!$C$162)</f>
        <v/>
      </c>
    </row>
    <row r="1434" spans="1:8" x14ac:dyDescent="0.25">
      <c r="A1434" s="25" t="str">
        <f>IF($C1434="","",Registro_Compras!$Y$162)</f>
        <v/>
      </c>
      <c r="B1434" t="str">
        <f>IF($C1434="","","C"&amp;TEXT(INT((ROW()-5)/9)+1,"000")&amp;"-4")</f>
        <v/>
      </c>
      <c r="C1434" t="str">
        <f>IF(OR(Registro_Compras!$C$162="",Registro_Compras!$O$162="",Registro_Compras!$Y$162="",Registro_Compras!$F$162="NOTA DE CREDITO"),"","4212")</f>
        <v/>
      </c>
      <c r="D1434" t="str">
        <f>IF(OR(Registro_Compras!$C$162="",Registro_Compras!$O$162=""),"","Cuentas por Pagar Comerciales - Terceros")</f>
        <v/>
      </c>
      <c r="E1434" s="20" t="str">
        <f>IF($C1434="","",IF(Registro_Compras!$F$162="RHE",(ROUND(Registro_Compras!$L$162*Registro_Compras!$N$162,2)-ROUND(Registro_Compras!$V$162*Registro_Compras!$N$162,2)),ROUND(Registro_Compras!$O$162-Registro_Compras!$S$162,2)))</f>
        <v/>
      </c>
      <c r="F1434" s="20" t="str">
        <f>""</f>
        <v/>
      </c>
      <c r="G1434" t="str">
        <f>IF($C1434="","","Por la cancelacion del saldo al proveedor")</f>
        <v/>
      </c>
      <c r="H1434" t="str">
        <f>IF($C1434="","",Registro_Compras!$C$162)</f>
        <v/>
      </c>
    </row>
    <row r="1435" spans="1:8" x14ac:dyDescent="0.25">
      <c r="A1435" s="25" t="str">
        <f>IF($C1435="","",Registro_Compras!$Y$162)</f>
        <v/>
      </c>
      <c r="B1435" t="str">
        <f>IF($C1435="","","C"&amp;TEXT(INT((ROW()-5)/9)+1,"000")&amp;"-4")</f>
        <v/>
      </c>
      <c r="C1435" t="str">
        <f>IF(OR(Registro_Compras!$C$162="",Registro_Compras!$O$162="",Registro_Compras!$Y$162="",Registro_Compras!$F$162="NOTA DE CREDITO"),"","1041")</f>
        <v/>
      </c>
      <c r="D1435" t="str">
        <f>IF(OR(Registro_Compras!$C$162="",Registro_Compras!$O$162=""),"","Efectivo y Equivalentes - Cta. Cte. Operativa")</f>
        <v/>
      </c>
      <c r="E1435" s="20" t="str">
        <f>""</f>
        <v/>
      </c>
      <c r="F1435" s="20" t="str">
        <f>IF($C1435="","",IF(Registro_Compras!$F$162="RHE",(ROUND(Registro_Compras!$L$162*Registro_Compras!$N$162,2)-ROUND(Registro_Compras!$V$162*Registro_Compras!$N$162,2)),ROUND(Registro_Compras!$O$162-Registro_Compras!$S$162,2)))</f>
        <v/>
      </c>
      <c r="G1435" t="str">
        <f>IF($C1435="","","Por la cancelacion del saldo al proveedor")</f>
        <v/>
      </c>
      <c r="H1435" t="str">
        <f>IF($C1435="","",Registro_Compras!$C$162)</f>
        <v/>
      </c>
    </row>
    <row r="1436" spans="1:8" x14ac:dyDescent="0.25">
      <c r="A1436" s="25" t="str">
        <f>IF($C1436="","",Registro_Compras!$B$163)</f>
        <v/>
      </c>
      <c r="B1436" t="str">
        <f>IF($C1436="","","C"&amp;TEXT(INT((ROW()-5)/9)+1,"000")&amp;"-1")</f>
        <v/>
      </c>
      <c r="C1436" t="str">
        <f>IF(OR(Registro_Compras!$C$163="",Registro_Compras!$O$163=""),"",IF(Registro_Compras!$F$163="NOTA DE CREDITO","4212",IF(Registro_Compras!$M$163="","63",Registro_Compras!$M$163)))</f>
        <v/>
      </c>
      <c r="D1436" t="str">
        <f>IF(OR(Registro_Compras!$C$163="",Registro_Compras!$O$163=""),"",IF(Registro_Compras!$F$163="NOTA DE CREDITO","Cuentas por Pagar Comerciales - Terceros (Emitidas)",IF(Registro_Compras!$F$163="RHE","Honorarios Profesionales - Servicios de Terceros","Gastos de Servicios Prestados por Terceros")))</f>
        <v/>
      </c>
      <c r="E1436" s="20" t="str">
        <f>IF($C1436="","",IF(Registro_Compras!$F$163="NOTA DE CREDITO",ABS(Registro_Compras!$O$163),IF(Registro_Compras!$F$163="RHE",ROUND(Registro_Compras!$L$163*Registro_Compras!$N$163,2),ROUND(Registro_Compras!$J$163*Registro_Compras!$N$163,2))))</f>
        <v/>
      </c>
      <c r="F1436" s="20" t="str">
        <f>""</f>
        <v/>
      </c>
      <c r="G1436" t="str">
        <f>IF($C1436="","",IF(Registro_Compras!$F$163="NOTA DE CREDITO","Por la nota de credito "&amp;Registro_Compras!$C$163&amp;" de "&amp;Registro_Compras!$E$163&amp;" [PATRON POR CONFIRMAR CON CONTADOR]",IF(Registro_Compras!$F$163="RHE","Por el registro del recibo por honorarios "&amp;Registro_Compras!$C$163&amp;" de "&amp;Registro_Compras!$E$163&amp;" [PATRON POR CONFIRMAR CON CONTADOR]","Por el registro de la factura "&amp;Registro_Compras!$C$163&amp;" de "&amp;Registro_Compras!$E$163)))</f>
        <v/>
      </c>
      <c r="H1436" t="str">
        <f>IF($C1436="","",Registro_Compras!$C$163)</f>
        <v/>
      </c>
    </row>
    <row r="1437" spans="1:8" x14ac:dyDescent="0.25">
      <c r="A1437" s="25" t="str">
        <f>IF($C1437="","",Registro_Compras!$B$163)</f>
        <v/>
      </c>
      <c r="B1437" t="str">
        <f>IF($C1437="","","C"&amp;TEXT(INT((ROW()-5)/9)+1,"000")&amp;"-1")</f>
        <v/>
      </c>
      <c r="C1437" t="str">
        <f>IF(OR(Registro_Compras!$C$163="",Registro_Compras!$O$163=""),"",IF(Registro_Compras!$F$163="RHE",IF(Registro_Compras!$V$163=0,"","4017"),IF(Registro_Compras!$F$163="NOTA DE CREDITO",IF(Registro_Compras!$M$163="","63",Registro_Compras!$M$163),IF(Registro_Compras!$K$163=0,"","40111"))))</f>
        <v/>
      </c>
      <c r="D1437" t="str">
        <f>IF(OR(Registro_Compras!$C$163="",Registro_Compras!$O$163=""),"",IF(Registro_Compras!$F$163="RHE","Retencion Renta 4ta Categoria por Pagar",IF(Registro_Compras!$F$163="NOTA DE CREDITO","Gastos de Servicios Prestados por Terceros","IGV - Cuenta Propia (Credito Fiscal)")))</f>
        <v/>
      </c>
      <c r="E1437" s="20" t="str">
        <f>IF($C1437="","",IF(Registro_Compras!$F$163="FACTURA",ROUND(Registro_Compras!$K$163*Registro_Compras!$N$163,2),""))</f>
        <v/>
      </c>
      <c r="F1437" s="20" t="str">
        <f>IF($C1437="","",IF(Registro_Compras!$F$163="RHE",ROUND(Registro_Compras!$V$163*Registro_Compras!$N$163,2),IF(Registro_Compras!$F$163="NOTA DE CREDITO",ROUND(ABS(Registro_Compras!$J$163*Registro_Compras!$N$163),2),"")))</f>
        <v/>
      </c>
      <c r="G1437" t="str">
        <f>IF($C1437="","",IF(Registro_Compras!$F$163="NOTA DE CREDITO","Por la nota de credito "&amp;Registro_Compras!$C$163&amp;" de "&amp;Registro_Compras!$E$163&amp;" [PATRON POR CONFIRMAR CON CONTADOR]",IF(Registro_Compras!$F$163="RHE","Por el registro del recibo por honorarios "&amp;Registro_Compras!$C$163&amp;" de "&amp;Registro_Compras!$E$163&amp;" [PATRON POR CONFIRMAR CON CONTADOR]","Por el registro de la factura "&amp;Registro_Compras!$C$163&amp;" de "&amp;Registro_Compras!$E$163)))</f>
        <v/>
      </c>
      <c r="H1437" t="str">
        <f>IF($C1437="","",Registro_Compras!$C$163)</f>
        <v/>
      </c>
    </row>
    <row r="1438" spans="1:8" x14ac:dyDescent="0.25">
      <c r="A1438" s="25" t="str">
        <f>IF($C1438="","",Registro_Compras!$B$163)</f>
        <v/>
      </c>
      <c r="B1438" t="str">
        <f>IF($C1438="","","C"&amp;TEXT(INT((ROW()-5)/9)+1,"000")&amp;"-1")</f>
        <v/>
      </c>
      <c r="C1438" t="str">
        <f>IF(OR(Registro_Compras!$C$163="",Registro_Compras!$O$163=""),"",IF(Registro_Compras!$F$163="NOTA DE CREDITO",IF(Registro_Compras!$K$163=0,"","40111"),"4212"))</f>
        <v/>
      </c>
      <c r="D1438" t="str">
        <f>IF(OR(Registro_Compras!$C$163="",Registro_Compras!$O$163=""),"",IF(Registro_Compras!$F$163="NOTA DE CREDITO","IGV - Cuenta Propia (Credito Fiscal)","Cuentas por Pagar Comerciales - Terceros (Emitidas)"))</f>
        <v/>
      </c>
      <c r="E1438" s="20" t="str">
        <f>""</f>
        <v/>
      </c>
      <c r="F1438" s="20" t="str">
        <f>IF($C1438="","",IF(Registro_Compras!$F$163="NOTA DE CREDITO",ROUND(ABS(Registro_Compras!$K$163*Registro_Compras!$N$163),2),IF(Registro_Compras!$F$163="RHE",(ROUND(Registro_Compras!$L$163*Registro_Compras!$N$163,2)-ROUND(Registro_Compras!$V$163*Registro_Compras!$N$163,2)),Registro_Compras!$O$163)))</f>
        <v/>
      </c>
      <c r="G1438" t="str">
        <f>IF($C1438="","",IF(Registro_Compras!$F$163="NOTA DE CREDITO","Por la nota de credito "&amp;Registro_Compras!$C$163&amp;" de "&amp;Registro_Compras!$E$163&amp;" [PATRON POR CONFIRMAR CON CONTADOR]",IF(Registro_Compras!$F$163="RHE","Por el registro del recibo por honorarios "&amp;Registro_Compras!$C$163&amp;" de "&amp;Registro_Compras!$E$163&amp;" [PATRON POR CONFIRMAR CON CONTADOR]","Por el registro de la factura "&amp;Registro_Compras!$C$163&amp;" de "&amp;Registro_Compras!$E$163)))</f>
        <v/>
      </c>
      <c r="H1438" t="str">
        <f>IF($C1438="","",Registro_Compras!$C$163)</f>
        <v/>
      </c>
    </row>
    <row r="1439" spans="1:8" x14ac:dyDescent="0.25">
      <c r="A1439" s="25" t="str">
        <f>IF($C1439="","",Registro_Compras!$B$163)</f>
        <v/>
      </c>
      <c r="B1439" t="str">
        <f>IF($C1439="","","C"&amp;TEXT(INT((ROW()-5)/9)+1,"000")&amp;"-2")</f>
        <v/>
      </c>
      <c r="C1439" t="str">
        <f>IF(OR(Registro_Compras!$C$163="",Registro_Compras!$O$163=""),"",IF(Registro_Compras!$AB$163="ADMINISTRATIVO","94","95"))</f>
        <v/>
      </c>
      <c r="D1439" t="str">
        <f>IF(OR(Registro_Compras!$C$163="",Registro_Compras!$O$163=""),"",IF(Registro_Compras!$AB$163="ADMINISTRATIVO","Gastos Administrativos","Gastos de Venta y Operacion"))</f>
        <v/>
      </c>
      <c r="E1439" s="20" t="str">
        <f>IF($C1439="","",IF(Registro_Compras!$F$163="NOTA DE CREDITO","",IF(Registro_Compras!$F$163="RHE",ROUND(Registro_Compras!$L$163*Registro_Compras!$N$163,2),ROUND(Registro_Compras!$J$163*Registro_Compras!$N$163,2))))</f>
        <v/>
      </c>
      <c r="F1439" s="20" t="str">
        <f>IF($C1439="","",IF(Registro_Compras!$F$163="NOTA DE CREDITO",ROUND(ABS(Registro_Compras!$J$163*Registro_Compras!$N$163),2),""))</f>
        <v/>
      </c>
      <c r="G1439" t="str">
        <f>IF($C1439="","","Por el destino del gasto")</f>
        <v/>
      </c>
      <c r="H1439" t="str">
        <f>IF($C1439="","",Registro_Compras!$C$163)</f>
        <v/>
      </c>
    </row>
    <row r="1440" spans="1:8" x14ac:dyDescent="0.25">
      <c r="A1440" s="25" t="str">
        <f>IF($C1440="","",Registro_Compras!$B$163)</f>
        <v/>
      </c>
      <c r="B1440" t="str">
        <f>IF($C1440="","","C"&amp;TEXT(INT((ROW()-5)/9)+1,"000")&amp;"-2")</f>
        <v/>
      </c>
      <c r="C1440" t="str">
        <f>IF(OR(Registro_Compras!$C$163="",Registro_Compras!$O$163=""),"","79/791")</f>
        <v/>
      </c>
      <c r="D1440" t="str">
        <f>IF(OR(Registro_Compras!$C$163="",Registro_Compras!$O$163=""),"","Cargas Imputables a Cuentas de Costos y Gastos")</f>
        <v/>
      </c>
      <c r="E1440" s="20" t="str">
        <f>IF($C1440="","",IF(Registro_Compras!$F$163="NOTA DE CREDITO",ROUND(ABS(Registro_Compras!$J$163*Registro_Compras!$N$163),2),""))</f>
        <v/>
      </c>
      <c r="F1440" s="20" t="str">
        <f>IF($C1440="","",IF(Registro_Compras!$F$163="NOTA DE CREDITO","",IF(Registro_Compras!$F$163="RHE",ROUND(Registro_Compras!$L$163*Registro_Compras!$N$163,2),ROUND(Registro_Compras!$J$163*Registro_Compras!$N$163,2))))</f>
        <v/>
      </c>
      <c r="G1440" t="str">
        <f>IF($C1440="","","Por el destino del gasto")</f>
        <v/>
      </c>
      <c r="H1440" t="str">
        <f>IF($C1440="","",Registro_Compras!$C$163)</f>
        <v/>
      </c>
    </row>
    <row r="1441" spans="1:8" x14ac:dyDescent="0.25">
      <c r="A1441" s="25" t="str">
        <f>IF($C1441="","",Registro_Compras!$X$163)</f>
        <v/>
      </c>
      <c r="B1441" t="str">
        <f>IF($C1441="","","C"&amp;TEXT(INT((ROW()-5)/9)+1,"000")&amp;"-3")</f>
        <v/>
      </c>
      <c r="C1441" t="str">
        <f>IF(OR(Registro_Compras!$C$163="",Registro_Compras!$O$163="",Registro_Compras!$R$163&lt;&gt;"SI",Registro_Compras!$X$163=""),"","4212")</f>
        <v/>
      </c>
      <c r="D1441" t="str">
        <f>IF(OR(Registro_Compras!$C$163="",Registro_Compras!$O$163=""),"","Cuentas por Pagar Comerciales - Terceros")</f>
        <v/>
      </c>
      <c r="E1441" s="20" t="str">
        <f>IF($C1441="","",Registro_Compras!$S$163)</f>
        <v/>
      </c>
      <c r="F1441" s="20" t="str">
        <f>""</f>
        <v/>
      </c>
      <c r="G1441" t="str">
        <f>IF($C1441="","","Por el deposito de la detraccion en el Banco de la Nacion")</f>
        <v/>
      </c>
      <c r="H1441" t="str">
        <f>IF($C1441="","",Registro_Compras!$C$163)</f>
        <v/>
      </c>
    </row>
    <row r="1442" spans="1:8" x14ac:dyDescent="0.25">
      <c r="A1442" s="25" t="str">
        <f>IF($C1442="","",Registro_Compras!$X$163)</f>
        <v/>
      </c>
      <c r="B1442" t="str">
        <f>IF($C1442="","","C"&amp;TEXT(INT((ROW()-5)/9)+1,"000")&amp;"-3")</f>
        <v/>
      </c>
      <c r="C1442" t="str">
        <f>IF(OR(Registro_Compras!$C$163="",Registro_Compras!$O$163="",Registro_Compras!$R$163&lt;&gt;"SI",Registro_Compras!$X$163=""),"","1041")</f>
        <v/>
      </c>
      <c r="D1442" t="str">
        <f>IF(OR(Registro_Compras!$C$163="",Registro_Compras!$O$163=""),"","Efectivo y Equivalentes - Cta. Cte. Operativa")</f>
        <v/>
      </c>
      <c r="E1442" s="20" t="str">
        <f>""</f>
        <v/>
      </c>
      <c r="F1442" s="20" t="str">
        <f>IF($C1442="","",Registro_Compras!$S$163)</f>
        <v/>
      </c>
      <c r="G1442" t="str">
        <f>IF($C1442="","","Por el deposito de la detraccion en el Banco de la Nacion")</f>
        <v/>
      </c>
      <c r="H1442" t="str">
        <f>IF($C1442="","",Registro_Compras!$C$163)</f>
        <v/>
      </c>
    </row>
    <row r="1443" spans="1:8" x14ac:dyDescent="0.25">
      <c r="A1443" s="25" t="str">
        <f>IF($C1443="","",Registro_Compras!$Y$163)</f>
        <v/>
      </c>
      <c r="B1443" t="str">
        <f>IF($C1443="","","C"&amp;TEXT(INT((ROW()-5)/9)+1,"000")&amp;"-4")</f>
        <v/>
      </c>
      <c r="C1443" t="str">
        <f>IF(OR(Registro_Compras!$C$163="",Registro_Compras!$O$163="",Registro_Compras!$Y$163="",Registro_Compras!$F$163="NOTA DE CREDITO"),"","4212")</f>
        <v/>
      </c>
      <c r="D1443" t="str">
        <f>IF(OR(Registro_Compras!$C$163="",Registro_Compras!$O$163=""),"","Cuentas por Pagar Comerciales - Terceros")</f>
        <v/>
      </c>
      <c r="E1443" s="20" t="str">
        <f>IF($C1443="","",IF(Registro_Compras!$F$163="RHE",(ROUND(Registro_Compras!$L$163*Registro_Compras!$N$163,2)-ROUND(Registro_Compras!$V$163*Registro_Compras!$N$163,2)),ROUND(Registro_Compras!$O$163-Registro_Compras!$S$163,2)))</f>
        <v/>
      </c>
      <c r="F1443" s="20" t="str">
        <f>""</f>
        <v/>
      </c>
      <c r="G1443" t="str">
        <f>IF($C1443="","","Por la cancelacion del saldo al proveedor")</f>
        <v/>
      </c>
      <c r="H1443" t="str">
        <f>IF($C1443="","",Registro_Compras!$C$163)</f>
        <v/>
      </c>
    </row>
    <row r="1444" spans="1:8" x14ac:dyDescent="0.25">
      <c r="A1444" s="25" t="str">
        <f>IF($C1444="","",Registro_Compras!$Y$163)</f>
        <v/>
      </c>
      <c r="B1444" t="str">
        <f>IF($C1444="","","C"&amp;TEXT(INT((ROW()-5)/9)+1,"000")&amp;"-4")</f>
        <v/>
      </c>
      <c r="C1444" t="str">
        <f>IF(OR(Registro_Compras!$C$163="",Registro_Compras!$O$163="",Registro_Compras!$Y$163="",Registro_Compras!$F$163="NOTA DE CREDITO"),"","1041")</f>
        <v/>
      </c>
      <c r="D1444" t="str">
        <f>IF(OR(Registro_Compras!$C$163="",Registro_Compras!$O$163=""),"","Efectivo y Equivalentes - Cta. Cte. Operativa")</f>
        <v/>
      </c>
      <c r="E1444" s="20" t="str">
        <f>""</f>
        <v/>
      </c>
      <c r="F1444" s="20" t="str">
        <f>IF($C1444="","",IF(Registro_Compras!$F$163="RHE",(ROUND(Registro_Compras!$L$163*Registro_Compras!$N$163,2)-ROUND(Registro_Compras!$V$163*Registro_Compras!$N$163,2)),ROUND(Registro_Compras!$O$163-Registro_Compras!$S$163,2)))</f>
        <v/>
      </c>
      <c r="G1444" t="str">
        <f>IF($C1444="","","Por la cancelacion del saldo al proveedor")</f>
        <v/>
      </c>
      <c r="H1444" t="str">
        <f>IF($C1444="","",Registro_Compras!$C$163)</f>
        <v/>
      </c>
    </row>
    <row r="1445" spans="1:8" x14ac:dyDescent="0.25">
      <c r="A1445" s="25" t="str">
        <f>IF($C1445="","",Registro_Compras!$B$164)</f>
        <v/>
      </c>
      <c r="B1445" t="str">
        <f>IF($C1445="","","C"&amp;TEXT(INT((ROW()-5)/9)+1,"000")&amp;"-1")</f>
        <v/>
      </c>
      <c r="C1445" t="str">
        <f>IF(OR(Registro_Compras!$C$164="",Registro_Compras!$O$164=""),"",IF(Registro_Compras!$F$164="NOTA DE CREDITO","4212",IF(Registro_Compras!$M$164="","63",Registro_Compras!$M$164)))</f>
        <v/>
      </c>
      <c r="D1445" t="str">
        <f>IF(OR(Registro_Compras!$C$164="",Registro_Compras!$O$164=""),"",IF(Registro_Compras!$F$164="NOTA DE CREDITO","Cuentas por Pagar Comerciales - Terceros (Emitidas)",IF(Registro_Compras!$F$164="RHE","Honorarios Profesionales - Servicios de Terceros","Gastos de Servicios Prestados por Terceros")))</f>
        <v/>
      </c>
      <c r="E1445" s="20" t="str">
        <f>IF($C1445="","",IF(Registro_Compras!$F$164="NOTA DE CREDITO",ABS(Registro_Compras!$O$164),IF(Registro_Compras!$F$164="RHE",ROUND(Registro_Compras!$L$164*Registro_Compras!$N$164,2),ROUND(Registro_Compras!$J$164*Registro_Compras!$N$164,2))))</f>
        <v/>
      </c>
      <c r="F1445" s="20" t="str">
        <f>""</f>
        <v/>
      </c>
      <c r="G1445" t="str">
        <f>IF($C1445="","",IF(Registro_Compras!$F$164="NOTA DE CREDITO","Por la nota de credito "&amp;Registro_Compras!$C$164&amp;" de "&amp;Registro_Compras!$E$164&amp;" [PATRON POR CONFIRMAR CON CONTADOR]",IF(Registro_Compras!$F$164="RHE","Por el registro del recibo por honorarios "&amp;Registro_Compras!$C$164&amp;" de "&amp;Registro_Compras!$E$164&amp;" [PATRON POR CONFIRMAR CON CONTADOR]","Por el registro de la factura "&amp;Registro_Compras!$C$164&amp;" de "&amp;Registro_Compras!$E$164)))</f>
        <v/>
      </c>
      <c r="H1445" t="str">
        <f>IF($C1445="","",Registro_Compras!$C$164)</f>
        <v/>
      </c>
    </row>
    <row r="1446" spans="1:8" x14ac:dyDescent="0.25">
      <c r="A1446" s="25" t="str">
        <f>IF($C1446="","",Registro_Compras!$B$164)</f>
        <v/>
      </c>
      <c r="B1446" t="str">
        <f>IF($C1446="","","C"&amp;TEXT(INT((ROW()-5)/9)+1,"000")&amp;"-1")</f>
        <v/>
      </c>
      <c r="C1446" t="str">
        <f>IF(OR(Registro_Compras!$C$164="",Registro_Compras!$O$164=""),"",IF(Registro_Compras!$F$164="RHE",IF(Registro_Compras!$V$164=0,"","4017"),IF(Registro_Compras!$F$164="NOTA DE CREDITO",IF(Registro_Compras!$M$164="","63",Registro_Compras!$M$164),IF(Registro_Compras!$K$164=0,"","40111"))))</f>
        <v/>
      </c>
      <c r="D1446" t="str">
        <f>IF(OR(Registro_Compras!$C$164="",Registro_Compras!$O$164=""),"",IF(Registro_Compras!$F$164="RHE","Retencion Renta 4ta Categoria por Pagar",IF(Registro_Compras!$F$164="NOTA DE CREDITO","Gastos de Servicios Prestados por Terceros","IGV - Cuenta Propia (Credito Fiscal)")))</f>
        <v/>
      </c>
      <c r="E1446" s="20" t="str">
        <f>IF($C1446="","",IF(Registro_Compras!$F$164="FACTURA",ROUND(Registro_Compras!$K$164*Registro_Compras!$N$164,2),""))</f>
        <v/>
      </c>
      <c r="F1446" s="20" t="str">
        <f>IF($C1446="","",IF(Registro_Compras!$F$164="RHE",ROUND(Registro_Compras!$V$164*Registro_Compras!$N$164,2),IF(Registro_Compras!$F$164="NOTA DE CREDITO",ROUND(ABS(Registro_Compras!$J$164*Registro_Compras!$N$164),2),"")))</f>
        <v/>
      </c>
      <c r="G1446" t="str">
        <f>IF($C1446="","",IF(Registro_Compras!$F$164="NOTA DE CREDITO","Por la nota de credito "&amp;Registro_Compras!$C$164&amp;" de "&amp;Registro_Compras!$E$164&amp;" [PATRON POR CONFIRMAR CON CONTADOR]",IF(Registro_Compras!$F$164="RHE","Por el registro del recibo por honorarios "&amp;Registro_Compras!$C$164&amp;" de "&amp;Registro_Compras!$E$164&amp;" [PATRON POR CONFIRMAR CON CONTADOR]","Por el registro de la factura "&amp;Registro_Compras!$C$164&amp;" de "&amp;Registro_Compras!$E$164)))</f>
        <v/>
      </c>
      <c r="H1446" t="str">
        <f>IF($C1446="","",Registro_Compras!$C$164)</f>
        <v/>
      </c>
    </row>
    <row r="1447" spans="1:8" x14ac:dyDescent="0.25">
      <c r="A1447" s="25" t="str">
        <f>IF($C1447="","",Registro_Compras!$B$164)</f>
        <v/>
      </c>
      <c r="B1447" t="str">
        <f>IF($C1447="","","C"&amp;TEXT(INT((ROW()-5)/9)+1,"000")&amp;"-1")</f>
        <v/>
      </c>
      <c r="C1447" t="str">
        <f>IF(OR(Registro_Compras!$C$164="",Registro_Compras!$O$164=""),"",IF(Registro_Compras!$F$164="NOTA DE CREDITO",IF(Registro_Compras!$K$164=0,"","40111"),"4212"))</f>
        <v/>
      </c>
      <c r="D1447" t="str">
        <f>IF(OR(Registro_Compras!$C$164="",Registro_Compras!$O$164=""),"",IF(Registro_Compras!$F$164="NOTA DE CREDITO","IGV - Cuenta Propia (Credito Fiscal)","Cuentas por Pagar Comerciales - Terceros (Emitidas)"))</f>
        <v/>
      </c>
      <c r="E1447" s="20" t="str">
        <f>""</f>
        <v/>
      </c>
      <c r="F1447" s="20" t="str">
        <f>IF($C1447="","",IF(Registro_Compras!$F$164="NOTA DE CREDITO",ROUND(ABS(Registro_Compras!$K$164*Registro_Compras!$N$164),2),IF(Registro_Compras!$F$164="RHE",(ROUND(Registro_Compras!$L$164*Registro_Compras!$N$164,2)-ROUND(Registro_Compras!$V$164*Registro_Compras!$N$164,2)),Registro_Compras!$O$164)))</f>
        <v/>
      </c>
      <c r="G1447" t="str">
        <f>IF($C1447="","",IF(Registro_Compras!$F$164="NOTA DE CREDITO","Por la nota de credito "&amp;Registro_Compras!$C$164&amp;" de "&amp;Registro_Compras!$E$164&amp;" [PATRON POR CONFIRMAR CON CONTADOR]",IF(Registro_Compras!$F$164="RHE","Por el registro del recibo por honorarios "&amp;Registro_Compras!$C$164&amp;" de "&amp;Registro_Compras!$E$164&amp;" [PATRON POR CONFIRMAR CON CONTADOR]","Por el registro de la factura "&amp;Registro_Compras!$C$164&amp;" de "&amp;Registro_Compras!$E$164)))</f>
        <v/>
      </c>
      <c r="H1447" t="str">
        <f>IF($C1447="","",Registro_Compras!$C$164)</f>
        <v/>
      </c>
    </row>
    <row r="1448" spans="1:8" x14ac:dyDescent="0.25">
      <c r="A1448" s="25" t="str">
        <f>IF($C1448="","",Registro_Compras!$B$164)</f>
        <v/>
      </c>
      <c r="B1448" t="str">
        <f>IF($C1448="","","C"&amp;TEXT(INT((ROW()-5)/9)+1,"000")&amp;"-2")</f>
        <v/>
      </c>
      <c r="C1448" t="str">
        <f>IF(OR(Registro_Compras!$C$164="",Registro_Compras!$O$164=""),"",IF(Registro_Compras!$AB$164="ADMINISTRATIVO","94","95"))</f>
        <v/>
      </c>
      <c r="D1448" t="str">
        <f>IF(OR(Registro_Compras!$C$164="",Registro_Compras!$O$164=""),"",IF(Registro_Compras!$AB$164="ADMINISTRATIVO","Gastos Administrativos","Gastos de Venta y Operacion"))</f>
        <v/>
      </c>
      <c r="E1448" s="20" t="str">
        <f>IF($C1448="","",IF(Registro_Compras!$F$164="NOTA DE CREDITO","",IF(Registro_Compras!$F$164="RHE",ROUND(Registro_Compras!$L$164*Registro_Compras!$N$164,2),ROUND(Registro_Compras!$J$164*Registro_Compras!$N$164,2))))</f>
        <v/>
      </c>
      <c r="F1448" s="20" t="str">
        <f>IF($C1448="","",IF(Registro_Compras!$F$164="NOTA DE CREDITO",ROUND(ABS(Registro_Compras!$J$164*Registro_Compras!$N$164),2),""))</f>
        <v/>
      </c>
      <c r="G1448" t="str">
        <f>IF($C1448="","","Por el destino del gasto")</f>
        <v/>
      </c>
      <c r="H1448" t="str">
        <f>IF($C1448="","",Registro_Compras!$C$164)</f>
        <v/>
      </c>
    </row>
    <row r="1449" spans="1:8" x14ac:dyDescent="0.25">
      <c r="A1449" s="25" t="str">
        <f>IF($C1449="","",Registro_Compras!$B$164)</f>
        <v/>
      </c>
      <c r="B1449" t="str">
        <f>IF($C1449="","","C"&amp;TEXT(INT((ROW()-5)/9)+1,"000")&amp;"-2")</f>
        <v/>
      </c>
      <c r="C1449" t="str">
        <f>IF(OR(Registro_Compras!$C$164="",Registro_Compras!$O$164=""),"","79/791")</f>
        <v/>
      </c>
      <c r="D1449" t="str">
        <f>IF(OR(Registro_Compras!$C$164="",Registro_Compras!$O$164=""),"","Cargas Imputables a Cuentas de Costos y Gastos")</f>
        <v/>
      </c>
      <c r="E1449" s="20" t="str">
        <f>IF($C1449="","",IF(Registro_Compras!$F$164="NOTA DE CREDITO",ROUND(ABS(Registro_Compras!$J$164*Registro_Compras!$N$164),2),""))</f>
        <v/>
      </c>
      <c r="F1449" s="20" t="str">
        <f>IF($C1449="","",IF(Registro_Compras!$F$164="NOTA DE CREDITO","",IF(Registro_Compras!$F$164="RHE",ROUND(Registro_Compras!$L$164*Registro_Compras!$N$164,2),ROUND(Registro_Compras!$J$164*Registro_Compras!$N$164,2))))</f>
        <v/>
      </c>
      <c r="G1449" t="str">
        <f>IF($C1449="","","Por el destino del gasto")</f>
        <v/>
      </c>
      <c r="H1449" t="str">
        <f>IF($C1449="","",Registro_Compras!$C$164)</f>
        <v/>
      </c>
    </row>
    <row r="1450" spans="1:8" x14ac:dyDescent="0.25">
      <c r="A1450" s="25" t="str">
        <f>IF($C1450="","",Registro_Compras!$X$164)</f>
        <v/>
      </c>
      <c r="B1450" t="str">
        <f>IF($C1450="","","C"&amp;TEXT(INT((ROW()-5)/9)+1,"000")&amp;"-3")</f>
        <v/>
      </c>
      <c r="C1450" t="str">
        <f>IF(OR(Registro_Compras!$C$164="",Registro_Compras!$O$164="",Registro_Compras!$R$164&lt;&gt;"SI",Registro_Compras!$X$164=""),"","4212")</f>
        <v/>
      </c>
      <c r="D1450" t="str">
        <f>IF(OR(Registro_Compras!$C$164="",Registro_Compras!$O$164=""),"","Cuentas por Pagar Comerciales - Terceros")</f>
        <v/>
      </c>
      <c r="E1450" s="20" t="str">
        <f>IF($C1450="","",Registro_Compras!$S$164)</f>
        <v/>
      </c>
      <c r="F1450" s="20" t="str">
        <f>""</f>
        <v/>
      </c>
      <c r="G1450" t="str">
        <f>IF($C1450="","","Por el deposito de la detraccion en el Banco de la Nacion")</f>
        <v/>
      </c>
      <c r="H1450" t="str">
        <f>IF($C1450="","",Registro_Compras!$C$164)</f>
        <v/>
      </c>
    </row>
    <row r="1451" spans="1:8" x14ac:dyDescent="0.25">
      <c r="A1451" s="25" t="str">
        <f>IF($C1451="","",Registro_Compras!$X$164)</f>
        <v/>
      </c>
      <c r="B1451" t="str">
        <f>IF($C1451="","","C"&amp;TEXT(INT((ROW()-5)/9)+1,"000")&amp;"-3")</f>
        <v/>
      </c>
      <c r="C1451" t="str">
        <f>IF(OR(Registro_Compras!$C$164="",Registro_Compras!$O$164="",Registro_Compras!$R$164&lt;&gt;"SI",Registro_Compras!$X$164=""),"","1041")</f>
        <v/>
      </c>
      <c r="D1451" t="str">
        <f>IF(OR(Registro_Compras!$C$164="",Registro_Compras!$O$164=""),"","Efectivo y Equivalentes - Cta. Cte. Operativa")</f>
        <v/>
      </c>
      <c r="E1451" s="20" t="str">
        <f>""</f>
        <v/>
      </c>
      <c r="F1451" s="20" t="str">
        <f>IF($C1451="","",Registro_Compras!$S$164)</f>
        <v/>
      </c>
      <c r="G1451" t="str">
        <f>IF($C1451="","","Por el deposito de la detraccion en el Banco de la Nacion")</f>
        <v/>
      </c>
      <c r="H1451" t="str">
        <f>IF($C1451="","",Registro_Compras!$C$164)</f>
        <v/>
      </c>
    </row>
    <row r="1452" spans="1:8" x14ac:dyDescent="0.25">
      <c r="A1452" s="25" t="str">
        <f>IF($C1452="","",Registro_Compras!$Y$164)</f>
        <v/>
      </c>
      <c r="B1452" t="str">
        <f>IF($C1452="","","C"&amp;TEXT(INT((ROW()-5)/9)+1,"000")&amp;"-4")</f>
        <v/>
      </c>
      <c r="C1452" t="str">
        <f>IF(OR(Registro_Compras!$C$164="",Registro_Compras!$O$164="",Registro_Compras!$Y$164="",Registro_Compras!$F$164="NOTA DE CREDITO"),"","4212")</f>
        <v/>
      </c>
      <c r="D1452" t="str">
        <f>IF(OR(Registro_Compras!$C$164="",Registro_Compras!$O$164=""),"","Cuentas por Pagar Comerciales - Terceros")</f>
        <v/>
      </c>
      <c r="E1452" s="20" t="str">
        <f>IF($C1452="","",IF(Registro_Compras!$F$164="RHE",(ROUND(Registro_Compras!$L$164*Registro_Compras!$N$164,2)-ROUND(Registro_Compras!$V$164*Registro_Compras!$N$164,2)),ROUND(Registro_Compras!$O$164-Registro_Compras!$S$164,2)))</f>
        <v/>
      </c>
      <c r="F1452" s="20" t="str">
        <f>""</f>
        <v/>
      </c>
      <c r="G1452" t="str">
        <f>IF($C1452="","","Por la cancelacion del saldo al proveedor")</f>
        <v/>
      </c>
      <c r="H1452" t="str">
        <f>IF($C1452="","",Registro_Compras!$C$164)</f>
        <v/>
      </c>
    </row>
    <row r="1453" spans="1:8" x14ac:dyDescent="0.25">
      <c r="A1453" s="25" t="str">
        <f>IF($C1453="","",Registro_Compras!$Y$164)</f>
        <v/>
      </c>
      <c r="B1453" t="str">
        <f>IF($C1453="","","C"&amp;TEXT(INT((ROW()-5)/9)+1,"000")&amp;"-4")</f>
        <v/>
      </c>
      <c r="C1453" t="str">
        <f>IF(OR(Registro_Compras!$C$164="",Registro_Compras!$O$164="",Registro_Compras!$Y$164="",Registro_Compras!$F$164="NOTA DE CREDITO"),"","1041")</f>
        <v/>
      </c>
      <c r="D1453" t="str">
        <f>IF(OR(Registro_Compras!$C$164="",Registro_Compras!$O$164=""),"","Efectivo y Equivalentes - Cta. Cte. Operativa")</f>
        <v/>
      </c>
      <c r="E1453" s="20" t="str">
        <f>""</f>
        <v/>
      </c>
      <c r="F1453" s="20" t="str">
        <f>IF($C1453="","",IF(Registro_Compras!$F$164="RHE",(ROUND(Registro_Compras!$L$164*Registro_Compras!$N$164,2)-ROUND(Registro_Compras!$V$164*Registro_Compras!$N$164,2)),ROUND(Registro_Compras!$O$164-Registro_Compras!$S$164,2)))</f>
        <v/>
      </c>
      <c r="G1453" t="str">
        <f>IF($C1453="","","Por la cancelacion del saldo al proveedor")</f>
        <v/>
      </c>
      <c r="H1453" t="str">
        <f>IF($C1453="","",Registro_Compras!$C$164)</f>
        <v/>
      </c>
    </row>
    <row r="1454" spans="1:8" x14ac:dyDescent="0.25">
      <c r="A1454" s="25" t="str">
        <f>IF($C1454="","",Registro_Compras!$B$165)</f>
        <v/>
      </c>
      <c r="B1454" t="str">
        <f>IF($C1454="","","C"&amp;TEXT(INT((ROW()-5)/9)+1,"000")&amp;"-1")</f>
        <v/>
      </c>
      <c r="C1454" t="str">
        <f>IF(OR(Registro_Compras!$C$165="",Registro_Compras!$O$165=""),"",IF(Registro_Compras!$F$165="NOTA DE CREDITO","4212",IF(Registro_Compras!$M$165="","63",Registro_Compras!$M$165)))</f>
        <v/>
      </c>
      <c r="D1454" t="str">
        <f>IF(OR(Registro_Compras!$C$165="",Registro_Compras!$O$165=""),"",IF(Registro_Compras!$F$165="NOTA DE CREDITO","Cuentas por Pagar Comerciales - Terceros (Emitidas)",IF(Registro_Compras!$F$165="RHE","Honorarios Profesionales - Servicios de Terceros","Gastos de Servicios Prestados por Terceros")))</f>
        <v/>
      </c>
      <c r="E1454" s="20" t="str">
        <f>IF($C1454="","",IF(Registro_Compras!$F$165="NOTA DE CREDITO",ABS(Registro_Compras!$O$165),IF(Registro_Compras!$F$165="RHE",ROUND(Registro_Compras!$L$165*Registro_Compras!$N$165,2),ROUND(Registro_Compras!$J$165*Registro_Compras!$N$165,2))))</f>
        <v/>
      </c>
      <c r="F1454" s="20" t="str">
        <f>""</f>
        <v/>
      </c>
      <c r="G1454" t="str">
        <f>IF($C1454="","",IF(Registro_Compras!$F$165="NOTA DE CREDITO","Por la nota de credito "&amp;Registro_Compras!$C$165&amp;" de "&amp;Registro_Compras!$E$165&amp;" [PATRON POR CONFIRMAR CON CONTADOR]",IF(Registro_Compras!$F$165="RHE","Por el registro del recibo por honorarios "&amp;Registro_Compras!$C$165&amp;" de "&amp;Registro_Compras!$E$165&amp;" [PATRON POR CONFIRMAR CON CONTADOR]","Por el registro de la factura "&amp;Registro_Compras!$C$165&amp;" de "&amp;Registro_Compras!$E$165)))</f>
        <v/>
      </c>
      <c r="H1454" t="str">
        <f>IF($C1454="","",Registro_Compras!$C$165)</f>
        <v/>
      </c>
    </row>
    <row r="1455" spans="1:8" x14ac:dyDescent="0.25">
      <c r="A1455" s="25" t="str">
        <f>IF($C1455="","",Registro_Compras!$B$165)</f>
        <v/>
      </c>
      <c r="B1455" t="str">
        <f>IF($C1455="","","C"&amp;TEXT(INT((ROW()-5)/9)+1,"000")&amp;"-1")</f>
        <v/>
      </c>
      <c r="C1455" t="str">
        <f>IF(OR(Registro_Compras!$C$165="",Registro_Compras!$O$165=""),"",IF(Registro_Compras!$F$165="RHE",IF(Registro_Compras!$V$165=0,"","4017"),IF(Registro_Compras!$F$165="NOTA DE CREDITO",IF(Registro_Compras!$M$165="","63",Registro_Compras!$M$165),IF(Registro_Compras!$K$165=0,"","40111"))))</f>
        <v/>
      </c>
      <c r="D1455" t="str">
        <f>IF(OR(Registro_Compras!$C$165="",Registro_Compras!$O$165=""),"",IF(Registro_Compras!$F$165="RHE","Retencion Renta 4ta Categoria por Pagar",IF(Registro_Compras!$F$165="NOTA DE CREDITO","Gastos de Servicios Prestados por Terceros","IGV - Cuenta Propia (Credito Fiscal)")))</f>
        <v/>
      </c>
      <c r="E1455" s="20" t="str">
        <f>IF($C1455="","",IF(Registro_Compras!$F$165="FACTURA",ROUND(Registro_Compras!$K$165*Registro_Compras!$N$165,2),""))</f>
        <v/>
      </c>
      <c r="F1455" s="20" t="str">
        <f>IF($C1455="","",IF(Registro_Compras!$F$165="RHE",ROUND(Registro_Compras!$V$165*Registro_Compras!$N$165,2),IF(Registro_Compras!$F$165="NOTA DE CREDITO",ROUND(ABS(Registro_Compras!$J$165*Registro_Compras!$N$165),2),"")))</f>
        <v/>
      </c>
      <c r="G1455" t="str">
        <f>IF($C1455="","",IF(Registro_Compras!$F$165="NOTA DE CREDITO","Por la nota de credito "&amp;Registro_Compras!$C$165&amp;" de "&amp;Registro_Compras!$E$165&amp;" [PATRON POR CONFIRMAR CON CONTADOR]",IF(Registro_Compras!$F$165="RHE","Por el registro del recibo por honorarios "&amp;Registro_Compras!$C$165&amp;" de "&amp;Registro_Compras!$E$165&amp;" [PATRON POR CONFIRMAR CON CONTADOR]","Por el registro de la factura "&amp;Registro_Compras!$C$165&amp;" de "&amp;Registro_Compras!$E$165)))</f>
        <v/>
      </c>
      <c r="H1455" t="str">
        <f>IF($C1455="","",Registro_Compras!$C$165)</f>
        <v/>
      </c>
    </row>
    <row r="1456" spans="1:8" x14ac:dyDescent="0.25">
      <c r="A1456" s="25" t="str">
        <f>IF($C1456="","",Registro_Compras!$B$165)</f>
        <v/>
      </c>
      <c r="B1456" t="str">
        <f>IF($C1456="","","C"&amp;TEXT(INT((ROW()-5)/9)+1,"000")&amp;"-1")</f>
        <v/>
      </c>
      <c r="C1456" t="str">
        <f>IF(OR(Registro_Compras!$C$165="",Registro_Compras!$O$165=""),"",IF(Registro_Compras!$F$165="NOTA DE CREDITO",IF(Registro_Compras!$K$165=0,"","40111"),"4212"))</f>
        <v/>
      </c>
      <c r="D1456" t="str">
        <f>IF(OR(Registro_Compras!$C$165="",Registro_Compras!$O$165=""),"",IF(Registro_Compras!$F$165="NOTA DE CREDITO","IGV - Cuenta Propia (Credito Fiscal)","Cuentas por Pagar Comerciales - Terceros (Emitidas)"))</f>
        <v/>
      </c>
      <c r="E1456" s="20" t="str">
        <f>""</f>
        <v/>
      </c>
      <c r="F1456" s="20" t="str">
        <f>IF($C1456="","",IF(Registro_Compras!$F$165="NOTA DE CREDITO",ROUND(ABS(Registro_Compras!$K$165*Registro_Compras!$N$165),2),IF(Registro_Compras!$F$165="RHE",(ROUND(Registro_Compras!$L$165*Registro_Compras!$N$165,2)-ROUND(Registro_Compras!$V$165*Registro_Compras!$N$165,2)),Registro_Compras!$O$165)))</f>
        <v/>
      </c>
      <c r="G1456" t="str">
        <f>IF($C1456="","",IF(Registro_Compras!$F$165="NOTA DE CREDITO","Por la nota de credito "&amp;Registro_Compras!$C$165&amp;" de "&amp;Registro_Compras!$E$165&amp;" [PATRON POR CONFIRMAR CON CONTADOR]",IF(Registro_Compras!$F$165="RHE","Por el registro del recibo por honorarios "&amp;Registro_Compras!$C$165&amp;" de "&amp;Registro_Compras!$E$165&amp;" [PATRON POR CONFIRMAR CON CONTADOR]","Por el registro de la factura "&amp;Registro_Compras!$C$165&amp;" de "&amp;Registro_Compras!$E$165)))</f>
        <v/>
      </c>
      <c r="H1456" t="str">
        <f>IF($C1456="","",Registro_Compras!$C$165)</f>
        <v/>
      </c>
    </row>
    <row r="1457" spans="1:8" x14ac:dyDescent="0.25">
      <c r="A1457" s="25" t="str">
        <f>IF($C1457="","",Registro_Compras!$B$165)</f>
        <v/>
      </c>
      <c r="B1457" t="str">
        <f>IF($C1457="","","C"&amp;TEXT(INT((ROW()-5)/9)+1,"000")&amp;"-2")</f>
        <v/>
      </c>
      <c r="C1457" t="str">
        <f>IF(OR(Registro_Compras!$C$165="",Registro_Compras!$O$165=""),"",IF(Registro_Compras!$AB$165="ADMINISTRATIVO","94","95"))</f>
        <v/>
      </c>
      <c r="D1457" t="str">
        <f>IF(OR(Registro_Compras!$C$165="",Registro_Compras!$O$165=""),"",IF(Registro_Compras!$AB$165="ADMINISTRATIVO","Gastos Administrativos","Gastos de Venta y Operacion"))</f>
        <v/>
      </c>
      <c r="E1457" s="20" t="str">
        <f>IF($C1457="","",IF(Registro_Compras!$F$165="NOTA DE CREDITO","",IF(Registro_Compras!$F$165="RHE",ROUND(Registro_Compras!$L$165*Registro_Compras!$N$165,2),ROUND(Registro_Compras!$J$165*Registro_Compras!$N$165,2))))</f>
        <v/>
      </c>
      <c r="F1457" s="20" t="str">
        <f>IF($C1457="","",IF(Registro_Compras!$F$165="NOTA DE CREDITO",ROUND(ABS(Registro_Compras!$J$165*Registro_Compras!$N$165),2),""))</f>
        <v/>
      </c>
      <c r="G1457" t="str">
        <f>IF($C1457="","","Por el destino del gasto")</f>
        <v/>
      </c>
      <c r="H1457" t="str">
        <f>IF($C1457="","",Registro_Compras!$C$165)</f>
        <v/>
      </c>
    </row>
    <row r="1458" spans="1:8" x14ac:dyDescent="0.25">
      <c r="A1458" s="25" t="str">
        <f>IF($C1458="","",Registro_Compras!$B$165)</f>
        <v/>
      </c>
      <c r="B1458" t="str">
        <f>IF($C1458="","","C"&amp;TEXT(INT((ROW()-5)/9)+1,"000")&amp;"-2")</f>
        <v/>
      </c>
      <c r="C1458" t="str">
        <f>IF(OR(Registro_Compras!$C$165="",Registro_Compras!$O$165=""),"","79/791")</f>
        <v/>
      </c>
      <c r="D1458" t="str">
        <f>IF(OR(Registro_Compras!$C$165="",Registro_Compras!$O$165=""),"","Cargas Imputables a Cuentas de Costos y Gastos")</f>
        <v/>
      </c>
      <c r="E1458" s="20" t="str">
        <f>IF($C1458="","",IF(Registro_Compras!$F$165="NOTA DE CREDITO",ROUND(ABS(Registro_Compras!$J$165*Registro_Compras!$N$165),2),""))</f>
        <v/>
      </c>
      <c r="F1458" s="20" t="str">
        <f>IF($C1458="","",IF(Registro_Compras!$F$165="NOTA DE CREDITO","",IF(Registro_Compras!$F$165="RHE",ROUND(Registro_Compras!$L$165*Registro_Compras!$N$165,2),ROUND(Registro_Compras!$J$165*Registro_Compras!$N$165,2))))</f>
        <v/>
      </c>
      <c r="G1458" t="str">
        <f>IF($C1458="","","Por el destino del gasto")</f>
        <v/>
      </c>
      <c r="H1458" t="str">
        <f>IF($C1458="","",Registro_Compras!$C$165)</f>
        <v/>
      </c>
    </row>
    <row r="1459" spans="1:8" x14ac:dyDescent="0.25">
      <c r="A1459" s="25" t="str">
        <f>IF($C1459="","",Registro_Compras!$X$165)</f>
        <v/>
      </c>
      <c r="B1459" t="str">
        <f>IF($C1459="","","C"&amp;TEXT(INT((ROW()-5)/9)+1,"000")&amp;"-3")</f>
        <v/>
      </c>
      <c r="C1459" t="str">
        <f>IF(OR(Registro_Compras!$C$165="",Registro_Compras!$O$165="",Registro_Compras!$R$165&lt;&gt;"SI",Registro_Compras!$X$165=""),"","4212")</f>
        <v/>
      </c>
      <c r="D1459" t="str">
        <f>IF(OR(Registro_Compras!$C$165="",Registro_Compras!$O$165=""),"","Cuentas por Pagar Comerciales - Terceros")</f>
        <v/>
      </c>
      <c r="E1459" s="20" t="str">
        <f>IF($C1459="","",Registro_Compras!$S$165)</f>
        <v/>
      </c>
      <c r="F1459" s="20" t="str">
        <f>""</f>
        <v/>
      </c>
      <c r="G1459" t="str">
        <f>IF($C1459="","","Por el deposito de la detraccion en el Banco de la Nacion")</f>
        <v/>
      </c>
      <c r="H1459" t="str">
        <f>IF($C1459="","",Registro_Compras!$C$165)</f>
        <v/>
      </c>
    </row>
    <row r="1460" spans="1:8" x14ac:dyDescent="0.25">
      <c r="A1460" s="25" t="str">
        <f>IF($C1460="","",Registro_Compras!$X$165)</f>
        <v/>
      </c>
      <c r="B1460" t="str">
        <f>IF($C1460="","","C"&amp;TEXT(INT((ROW()-5)/9)+1,"000")&amp;"-3")</f>
        <v/>
      </c>
      <c r="C1460" t="str">
        <f>IF(OR(Registro_Compras!$C$165="",Registro_Compras!$O$165="",Registro_Compras!$R$165&lt;&gt;"SI",Registro_Compras!$X$165=""),"","1041")</f>
        <v/>
      </c>
      <c r="D1460" t="str">
        <f>IF(OR(Registro_Compras!$C$165="",Registro_Compras!$O$165=""),"","Efectivo y Equivalentes - Cta. Cte. Operativa")</f>
        <v/>
      </c>
      <c r="E1460" s="20" t="str">
        <f>""</f>
        <v/>
      </c>
      <c r="F1460" s="20" t="str">
        <f>IF($C1460="","",Registro_Compras!$S$165)</f>
        <v/>
      </c>
      <c r="G1460" t="str">
        <f>IF($C1460="","","Por el deposito de la detraccion en el Banco de la Nacion")</f>
        <v/>
      </c>
      <c r="H1460" t="str">
        <f>IF($C1460="","",Registro_Compras!$C$165)</f>
        <v/>
      </c>
    </row>
    <row r="1461" spans="1:8" x14ac:dyDescent="0.25">
      <c r="A1461" s="25" t="str">
        <f>IF($C1461="","",Registro_Compras!$Y$165)</f>
        <v/>
      </c>
      <c r="B1461" t="str">
        <f>IF($C1461="","","C"&amp;TEXT(INT((ROW()-5)/9)+1,"000")&amp;"-4")</f>
        <v/>
      </c>
      <c r="C1461" t="str">
        <f>IF(OR(Registro_Compras!$C$165="",Registro_Compras!$O$165="",Registro_Compras!$Y$165="",Registro_Compras!$F$165="NOTA DE CREDITO"),"","4212")</f>
        <v/>
      </c>
      <c r="D1461" t="str">
        <f>IF(OR(Registro_Compras!$C$165="",Registro_Compras!$O$165=""),"","Cuentas por Pagar Comerciales - Terceros")</f>
        <v/>
      </c>
      <c r="E1461" s="20" t="str">
        <f>IF($C1461="","",IF(Registro_Compras!$F$165="RHE",(ROUND(Registro_Compras!$L$165*Registro_Compras!$N$165,2)-ROUND(Registro_Compras!$V$165*Registro_Compras!$N$165,2)),ROUND(Registro_Compras!$O$165-Registro_Compras!$S$165,2)))</f>
        <v/>
      </c>
      <c r="F1461" s="20" t="str">
        <f>""</f>
        <v/>
      </c>
      <c r="G1461" t="str">
        <f>IF($C1461="","","Por la cancelacion del saldo al proveedor")</f>
        <v/>
      </c>
      <c r="H1461" t="str">
        <f>IF($C1461="","",Registro_Compras!$C$165)</f>
        <v/>
      </c>
    </row>
    <row r="1462" spans="1:8" x14ac:dyDescent="0.25">
      <c r="A1462" s="25" t="str">
        <f>IF($C1462="","",Registro_Compras!$Y$165)</f>
        <v/>
      </c>
      <c r="B1462" t="str">
        <f>IF($C1462="","","C"&amp;TEXT(INT((ROW()-5)/9)+1,"000")&amp;"-4")</f>
        <v/>
      </c>
      <c r="C1462" t="str">
        <f>IF(OR(Registro_Compras!$C$165="",Registro_Compras!$O$165="",Registro_Compras!$Y$165="",Registro_Compras!$F$165="NOTA DE CREDITO"),"","1041")</f>
        <v/>
      </c>
      <c r="D1462" t="str">
        <f>IF(OR(Registro_Compras!$C$165="",Registro_Compras!$O$165=""),"","Efectivo y Equivalentes - Cta. Cte. Operativa")</f>
        <v/>
      </c>
      <c r="E1462" s="20" t="str">
        <f>""</f>
        <v/>
      </c>
      <c r="F1462" s="20" t="str">
        <f>IF($C1462="","",IF(Registro_Compras!$F$165="RHE",(ROUND(Registro_Compras!$L$165*Registro_Compras!$N$165,2)-ROUND(Registro_Compras!$V$165*Registro_Compras!$N$165,2)),ROUND(Registro_Compras!$O$165-Registro_Compras!$S$165,2)))</f>
        <v/>
      </c>
      <c r="G1462" t="str">
        <f>IF($C1462="","","Por la cancelacion del saldo al proveedor")</f>
        <v/>
      </c>
      <c r="H1462" t="str">
        <f>IF($C1462="","",Registro_Compras!$C$165)</f>
        <v/>
      </c>
    </row>
    <row r="1463" spans="1:8" x14ac:dyDescent="0.25">
      <c r="A1463" s="25" t="str">
        <f>IF($C1463="","",Registro_Compras!$B$166)</f>
        <v/>
      </c>
      <c r="B1463" t="str">
        <f>IF($C1463="","","C"&amp;TEXT(INT((ROW()-5)/9)+1,"000")&amp;"-1")</f>
        <v/>
      </c>
      <c r="C1463" t="str">
        <f>IF(OR(Registro_Compras!$C$166="",Registro_Compras!$O$166=""),"",IF(Registro_Compras!$F$166="NOTA DE CREDITO","4212",IF(Registro_Compras!$M$166="","63",Registro_Compras!$M$166)))</f>
        <v/>
      </c>
      <c r="D1463" t="str">
        <f>IF(OR(Registro_Compras!$C$166="",Registro_Compras!$O$166=""),"",IF(Registro_Compras!$F$166="NOTA DE CREDITO","Cuentas por Pagar Comerciales - Terceros (Emitidas)",IF(Registro_Compras!$F$166="RHE","Honorarios Profesionales - Servicios de Terceros","Gastos de Servicios Prestados por Terceros")))</f>
        <v/>
      </c>
      <c r="E1463" s="20" t="str">
        <f>IF($C1463="","",IF(Registro_Compras!$F$166="NOTA DE CREDITO",ABS(Registro_Compras!$O$166),IF(Registro_Compras!$F$166="RHE",ROUND(Registro_Compras!$L$166*Registro_Compras!$N$166,2),ROUND(Registro_Compras!$J$166*Registro_Compras!$N$166,2))))</f>
        <v/>
      </c>
      <c r="F1463" s="20" t="str">
        <f>""</f>
        <v/>
      </c>
      <c r="G1463" t="str">
        <f>IF($C1463="","",IF(Registro_Compras!$F$166="NOTA DE CREDITO","Por la nota de credito "&amp;Registro_Compras!$C$166&amp;" de "&amp;Registro_Compras!$E$166&amp;" [PATRON POR CONFIRMAR CON CONTADOR]",IF(Registro_Compras!$F$166="RHE","Por el registro del recibo por honorarios "&amp;Registro_Compras!$C$166&amp;" de "&amp;Registro_Compras!$E$166&amp;" [PATRON POR CONFIRMAR CON CONTADOR]","Por el registro de la factura "&amp;Registro_Compras!$C$166&amp;" de "&amp;Registro_Compras!$E$166)))</f>
        <v/>
      </c>
      <c r="H1463" t="str">
        <f>IF($C1463="","",Registro_Compras!$C$166)</f>
        <v/>
      </c>
    </row>
    <row r="1464" spans="1:8" x14ac:dyDescent="0.25">
      <c r="A1464" s="25" t="str">
        <f>IF($C1464="","",Registro_Compras!$B$166)</f>
        <v/>
      </c>
      <c r="B1464" t="str">
        <f>IF($C1464="","","C"&amp;TEXT(INT((ROW()-5)/9)+1,"000")&amp;"-1")</f>
        <v/>
      </c>
      <c r="C1464" t="str">
        <f>IF(OR(Registro_Compras!$C$166="",Registro_Compras!$O$166=""),"",IF(Registro_Compras!$F$166="RHE",IF(Registro_Compras!$V$166=0,"","4017"),IF(Registro_Compras!$F$166="NOTA DE CREDITO",IF(Registro_Compras!$M$166="","63",Registro_Compras!$M$166),IF(Registro_Compras!$K$166=0,"","40111"))))</f>
        <v/>
      </c>
      <c r="D1464" t="str">
        <f>IF(OR(Registro_Compras!$C$166="",Registro_Compras!$O$166=""),"",IF(Registro_Compras!$F$166="RHE","Retencion Renta 4ta Categoria por Pagar",IF(Registro_Compras!$F$166="NOTA DE CREDITO","Gastos de Servicios Prestados por Terceros","IGV - Cuenta Propia (Credito Fiscal)")))</f>
        <v/>
      </c>
      <c r="E1464" s="20" t="str">
        <f>IF($C1464="","",IF(Registro_Compras!$F$166="FACTURA",ROUND(Registro_Compras!$K$166*Registro_Compras!$N$166,2),""))</f>
        <v/>
      </c>
      <c r="F1464" s="20" t="str">
        <f>IF($C1464="","",IF(Registro_Compras!$F$166="RHE",ROUND(Registro_Compras!$V$166*Registro_Compras!$N$166,2),IF(Registro_Compras!$F$166="NOTA DE CREDITO",ROUND(ABS(Registro_Compras!$J$166*Registro_Compras!$N$166),2),"")))</f>
        <v/>
      </c>
      <c r="G1464" t="str">
        <f>IF($C1464="","",IF(Registro_Compras!$F$166="NOTA DE CREDITO","Por la nota de credito "&amp;Registro_Compras!$C$166&amp;" de "&amp;Registro_Compras!$E$166&amp;" [PATRON POR CONFIRMAR CON CONTADOR]",IF(Registro_Compras!$F$166="RHE","Por el registro del recibo por honorarios "&amp;Registro_Compras!$C$166&amp;" de "&amp;Registro_Compras!$E$166&amp;" [PATRON POR CONFIRMAR CON CONTADOR]","Por el registro de la factura "&amp;Registro_Compras!$C$166&amp;" de "&amp;Registro_Compras!$E$166)))</f>
        <v/>
      </c>
      <c r="H1464" t="str">
        <f>IF($C1464="","",Registro_Compras!$C$166)</f>
        <v/>
      </c>
    </row>
    <row r="1465" spans="1:8" x14ac:dyDescent="0.25">
      <c r="A1465" s="25" t="str">
        <f>IF($C1465="","",Registro_Compras!$B$166)</f>
        <v/>
      </c>
      <c r="B1465" t="str">
        <f>IF($C1465="","","C"&amp;TEXT(INT((ROW()-5)/9)+1,"000")&amp;"-1")</f>
        <v/>
      </c>
      <c r="C1465" t="str">
        <f>IF(OR(Registro_Compras!$C$166="",Registro_Compras!$O$166=""),"",IF(Registro_Compras!$F$166="NOTA DE CREDITO",IF(Registro_Compras!$K$166=0,"","40111"),"4212"))</f>
        <v/>
      </c>
      <c r="D1465" t="str">
        <f>IF(OR(Registro_Compras!$C$166="",Registro_Compras!$O$166=""),"",IF(Registro_Compras!$F$166="NOTA DE CREDITO","IGV - Cuenta Propia (Credito Fiscal)","Cuentas por Pagar Comerciales - Terceros (Emitidas)"))</f>
        <v/>
      </c>
      <c r="E1465" s="20" t="str">
        <f>""</f>
        <v/>
      </c>
      <c r="F1465" s="20" t="str">
        <f>IF($C1465="","",IF(Registro_Compras!$F$166="NOTA DE CREDITO",ROUND(ABS(Registro_Compras!$K$166*Registro_Compras!$N$166),2),IF(Registro_Compras!$F$166="RHE",(ROUND(Registro_Compras!$L$166*Registro_Compras!$N$166,2)-ROUND(Registro_Compras!$V$166*Registro_Compras!$N$166,2)),Registro_Compras!$O$166)))</f>
        <v/>
      </c>
      <c r="G1465" t="str">
        <f>IF($C1465="","",IF(Registro_Compras!$F$166="NOTA DE CREDITO","Por la nota de credito "&amp;Registro_Compras!$C$166&amp;" de "&amp;Registro_Compras!$E$166&amp;" [PATRON POR CONFIRMAR CON CONTADOR]",IF(Registro_Compras!$F$166="RHE","Por el registro del recibo por honorarios "&amp;Registro_Compras!$C$166&amp;" de "&amp;Registro_Compras!$E$166&amp;" [PATRON POR CONFIRMAR CON CONTADOR]","Por el registro de la factura "&amp;Registro_Compras!$C$166&amp;" de "&amp;Registro_Compras!$E$166)))</f>
        <v/>
      </c>
      <c r="H1465" t="str">
        <f>IF($C1465="","",Registro_Compras!$C$166)</f>
        <v/>
      </c>
    </row>
    <row r="1466" spans="1:8" x14ac:dyDescent="0.25">
      <c r="A1466" s="25" t="str">
        <f>IF($C1466="","",Registro_Compras!$B$166)</f>
        <v/>
      </c>
      <c r="B1466" t="str">
        <f>IF($C1466="","","C"&amp;TEXT(INT((ROW()-5)/9)+1,"000")&amp;"-2")</f>
        <v/>
      </c>
      <c r="C1466" t="str">
        <f>IF(OR(Registro_Compras!$C$166="",Registro_Compras!$O$166=""),"",IF(Registro_Compras!$AB$166="ADMINISTRATIVO","94","95"))</f>
        <v/>
      </c>
      <c r="D1466" t="str">
        <f>IF(OR(Registro_Compras!$C$166="",Registro_Compras!$O$166=""),"",IF(Registro_Compras!$AB$166="ADMINISTRATIVO","Gastos Administrativos","Gastos de Venta y Operacion"))</f>
        <v/>
      </c>
      <c r="E1466" s="20" t="str">
        <f>IF($C1466="","",IF(Registro_Compras!$F$166="NOTA DE CREDITO","",IF(Registro_Compras!$F$166="RHE",ROUND(Registro_Compras!$L$166*Registro_Compras!$N$166,2),ROUND(Registro_Compras!$J$166*Registro_Compras!$N$166,2))))</f>
        <v/>
      </c>
      <c r="F1466" s="20" t="str">
        <f>IF($C1466="","",IF(Registro_Compras!$F$166="NOTA DE CREDITO",ROUND(ABS(Registro_Compras!$J$166*Registro_Compras!$N$166),2),""))</f>
        <v/>
      </c>
      <c r="G1466" t="str">
        <f>IF($C1466="","","Por el destino del gasto")</f>
        <v/>
      </c>
      <c r="H1466" t="str">
        <f>IF($C1466="","",Registro_Compras!$C$166)</f>
        <v/>
      </c>
    </row>
    <row r="1467" spans="1:8" x14ac:dyDescent="0.25">
      <c r="A1467" s="25" t="str">
        <f>IF($C1467="","",Registro_Compras!$B$166)</f>
        <v/>
      </c>
      <c r="B1467" t="str">
        <f>IF($C1467="","","C"&amp;TEXT(INT((ROW()-5)/9)+1,"000")&amp;"-2")</f>
        <v/>
      </c>
      <c r="C1467" t="str">
        <f>IF(OR(Registro_Compras!$C$166="",Registro_Compras!$O$166=""),"","79/791")</f>
        <v/>
      </c>
      <c r="D1467" t="str">
        <f>IF(OR(Registro_Compras!$C$166="",Registro_Compras!$O$166=""),"","Cargas Imputables a Cuentas de Costos y Gastos")</f>
        <v/>
      </c>
      <c r="E1467" s="20" t="str">
        <f>IF($C1467="","",IF(Registro_Compras!$F$166="NOTA DE CREDITO",ROUND(ABS(Registro_Compras!$J$166*Registro_Compras!$N$166),2),""))</f>
        <v/>
      </c>
      <c r="F1467" s="20" t="str">
        <f>IF($C1467="","",IF(Registro_Compras!$F$166="NOTA DE CREDITO","",IF(Registro_Compras!$F$166="RHE",ROUND(Registro_Compras!$L$166*Registro_Compras!$N$166,2),ROUND(Registro_Compras!$J$166*Registro_Compras!$N$166,2))))</f>
        <v/>
      </c>
      <c r="G1467" t="str">
        <f>IF($C1467="","","Por el destino del gasto")</f>
        <v/>
      </c>
      <c r="H1467" t="str">
        <f>IF($C1467="","",Registro_Compras!$C$166)</f>
        <v/>
      </c>
    </row>
    <row r="1468" spans="1:8" x14ac:dyDescent="0.25">
      <c r="A1468" s="25" t="str">
        <f>IF($C1468="","",Registro_Compras!$X$166)</f>
        <v/>
      </c>
      <c r="B1468" t="str">
        <f>IF($C1468="","","C"&amp;TEXT(INT((ROW()-5)/9)+1,"000")&amp;"-3")</f>
        <v/>
      </c>
      <c r="C1468" t="str">
        <f>IF(OR(Registro_Compras!$C$166="",Registro_Compras!$O$166="",Registro_Compras!$R$166&lt;&gt;"SI",Registro_Compras!$X$166=""),"","4212")</f>
        <v/>
      </c>
      <c r="D1468" t="str">
        <f>IF(OR(Registro_Compras!$C$166="",Registro_Compras!$O$166=""),"","Cuentas por Pagar Comerciales - Terceros")</f>
        <v/>
      </c>
      <c r="E1468" s="20" t="str">
        <f>IF($C1468="","",Registro_Compras!$S$166)</f>
        <v/>
      </c>
      <c r="F1468" s="20" t="str">
        <f>""</f>
        <v/>
      </c>
      <c r="G1468" t="str">
        <f>IF($C1468="","","Por el deposito de la detraccion en el Banco de la Nacion")</f>
        <v/>
      </c>
      <c r="H1468" t="str">
        <f>IF($C1468="","",Registro_Compras!$C$166)</f>
        <v/>
      </c>
    </row>
    <row r="1469" spans="1:8" x14ac:dyDescent="0.25">
      <c r="A1469" s="25" t="str">
        <f>IF($C1469="","",Registro_Compras!$X$166)</f>
        <v/>
      </c>
      <c r="B1469" t="str">
        <f>IF($C1469="","","C"&amp;TEXT(INT((ROW()-5)/9)+1,"000")&amp;"-3")</f>
        <v/>
      </c>
      <c r="C1469" t="str">
        <f>IF(OR(Registro_Compras!$C$166="",Registro_Compras!$O$166="",Registro_Compras!$R$166&lt;&gt;"SI",Registro_Compras!$X$166=""),"","1041")</f>
        <v/>
      </c>
      <c r="D1469" t="str">
        <f>IF(OR(Registro_Compras!$C$166="",Registro_Compras!$O$166=""),"","Efectivo y Equivalentes - Cta. Cte. Operativa")</f>
        <v/>
      </c>
      <c r="E1469" s="20" t="str">
        <f>""</f>
        <v/>
      </c>
      <c r="F1469" s="20" t="str">
        <f>IF($C1469="","",Registro_Compras!$S$166)</f>
        <v/>
      </c>
      <c r="G1469" t="str">
        <f>IF($C1469="","","Por el deposito de la detraccion en el Banco de la Nacion")</f>
        <v/>
      </c>
      <c r="H1469" t="str">
        <f>IF($C1469="","",Registro_Compras!$C$166)</f>
        <v/>
      </c>
    </row>
    <row r="1470" spans="1:8" x14ac:dyDescent="0.25">
      <c r="A1470" s="25" t="str">
        <f>IF($C1470="","",Registro_Compras!$Y$166)</f>
        <v/>
      </c>
      <c r="B1470" t="str">
        <f>IF($C1470="","","C"&amp;TEXT(INT((ROW()-5)/9)+1,"000")&amp;"-4")</f>
        <v/>
      </c>
      <c r="C1470" t="str">
        <f>IF(OR(Registro_Compras!$C$166="",Registro_Compras!$O$166="",Registro_Compras!$Y$166="",Registro_Compras!$F$166="NOTA DE CREDITO"),"","4212")</f>
        <v/>
      </c>
      <c r="D1470" t="str">
        <f>IF(OR(Registro_Compras!$C$166="",Registro_Compras!$O$166=""),"","Cuentas por Pagar Comerciales - Terceros")</f>
        <v/>
      </c>
      <c r="E1470" s="20" t="str">
        <f>IF($C1470="","",IF(Registro_Compras!$F$166="RHE",(ROUND(Registro_Compras!$L$166*Registro_Compras!$N$166,2)-ROUND(Registro_Compras!$V$166*Registro_Compras!$N$166,2)),ROUND(Registro_Compras!$O$166-Registro_Compras!$S$166,2)))</f>
        <v/>
      </c>
      <c r="F1470" s="20" t="str">
        <f>""</f>
        <v/>
      </c>
      <c r="G1470" t="str">
        <f>IF($C1470="","","Por la cancelacion del saldo al proveedor")</f>
        <v/>
      </c>
      <c r="H1470" t="str">
        <f>IF($C1470="","",Registro_Compras!$C$166)</f>
        <v/>
      </c>
    </row>
    <row r="1471" spans="1:8" x14ac:dyDescent="0.25">
      <c r="A1471" s="25" t="str">
        <f>IF($C1471="","",Registro_Compras!$Y$166)</f>
        <v/>
      </c>
      <c r="B1471" t="str">
        <f>IF($C1471="","","C"&amp;TEXT(INT((ROW()-5)/9)+1,"000")&amp;"-4")</f>
        <v/>
      </c>
      <c r="C1471" t="str">
        <f>IF(OR(Registro_Compras!$C$166="",Registro_Compras!$O$166="",Registro_Compras!$Y$166="",Registro_Compras!$F$166="NOTA DE CREDITO"),"","1041")</f>
        <v/>
      </c>
      <c r="D1471" t="str">
        <f>IF(OR(Registro_Compras!$C$166="",Registro_Compras!$O$166=""),"","Efectivo y Equivalentes - Cta. Cte. Operativa")</f>
        <v/>
      </c>
      <c r="E1471" s="20" t="str">
        <f>""</f>
        <v/>
      </c>
      <c r="F1471" s="20" t="str">
        <f>IF($C1471="","",IF(Registro_Compras!$F$166="RHE",(ROUND(Registro_Compras!$L$166*Registro_Compras!$N$166,2)-ROUND(Registro_Compras!$V$166*Registro_Compras!$N$166,2)),ROUND(Registro_Compras!$O$166-Registro_Compras!$S$166,2)))</f>
        <v/>
      </c>
      <c r="G1471" t="str">
        <f>IF($C1471="","","Por la cancelacion del saldo al proveedor")</f>
        <v/>
      </c>
      <c r="H1471" t="str">
        <f>IF($C1471="","",Registro_Compras!$C$166)</f>
        <v/>
      </c>
    </row>
    <row r="1472" spans="1:8" x14ac:dyDescent="0.25">
      <c r="A1472" s="25" t="str">
        <f>IF($C1472="","",Registro_Compras!$B$167)</f>
        <v/>
      </c>
      <c r="B1472" t="str">
        <f>IF($C1472="","","C"&amp;TEXT(INT((ROW()-5)/9)+1,"000")&amp;"-1")</f>
        <v/>
      </c>
      <c r="C1472" t="str">
        <f>IF(OR(Registro_Compras!$C$167="",Registro_Compras!$O$167=""),"",IF(Registro_Compras!$F$167="NOTA DE CREDITO","4212",IF(Registro_Compras!$M$167="","63",Registro_Compras!$M$167)))</f>
        <v/>
      </c>
      <c r="D1472" t="str">
        <f>IF(OR(Registro_Compras!$C$167="",Registro_Compras!$O$167=""),"",IF(Registro_Compras!$F$167="NOTA DE CREDITO","Cuentas por Pagar Comerciales - Terceros (Emitidas)",IF(Registro_Compras!$F$167="RHE","Honorarios Profesionales - Servicios de Terceros","Gastos de Servicios Prestados por Terceros")))</f>
        <v/>
      </c>
      <c r="E1472" s="20" t="str">
        <f>IF($C1472="","",IF(Registro_Compras!$F$167="NOTA DE CREDITO",ABS(Registro_Compras!$O$167),IF(Registro_Compras!$F$167="RHE",ROUND(Registro_Compras!$L$167*Registro_Compras!$N$167,2),ROUND(Registro_Compras!$J$167*Registro_Compras!$N$167,2))))</f>
        <v/>
      </c>
      <c r="F1472" s="20" t="str">
        <f>""</f>
        <v/>
      </c>
      <c r="G1472" t="str">
        <f>IF($C1472="","",IF(Registro_Compras!$F$167="NOTA DE CREDITO","Por la nota de credito "&amp;Registro_Compras!$C$167&amp;" de "&amp;Registro_Compras!$E$167&amp;" [PATRON POR CONFIRMAR CON CONTADOR]",IF(Registro_Compras!$F$167="RHE","Por el registro del recibo por honorarios "&amp;Registro_Compras!$C$167&amp;" de "&amp;Registro_Compras!$E$167&amp;" [PATRON POR CONFIRMAR CON CONTADOR]","Por el registro de la factura "&amp;Registro_Compras!$C$167&amp;" de "&amp;Registro_Compras!$E$167)))</f>
        <v/>
      </c>
      <c r="H1472" t="str">
        <f>IF($C1472="","",Registro_Compras!$C$167)</f>
        <v/>
      </c>
    </row>
    <row r="1473" spans="1:8" x14ac:dyDescent="0.25">
      <c r="A1473" s="25" t="str">
        <f>IF($C1473="","",Registro_Compras!$B$167)</f>
        <v/>
      </c>
      <c r="B1473" t="str">
        <f>IF($C1473="","","C"&amp;TEXT(INT((ROW()-5)/9)+1,"000")&amp;"-1")</f>
        <v/>
      </c>
      <c r="C1473" t="str">
        <f>IF(OR(Registro_Compras!$C$167="",Registro_Compras!$O$167=""),"",IF(Registro_Compras!$F$167="RHE",IF(Registro_Compras!$V$167=0,"","4017"),IF(Registro_Compras!$F$167="NOTA DE CREDITO",IF(Registro_Compras!$M$167="","63",Registro_Compras!$M$167),IF(Registro_Compras!$K$167=0,"","40111"))))</f>
        <v/>
      </c>
      <c r="D1473" t="str">
        <f>IF(OR(Registro_Compras!$C$167="",Registro_Compras!$O$167=""),"",IF(Registro_Compras!$F$167="RHE","Retencion Renta 4ta Categoria por Pagar",IF(Registro_Compras!$F$167="NOTA DE CREDITO","Gastos de Servicios Prestados por Terceros","IGV - Cuenta Propia (Credito Fiscal)")))</f>
        <v/>
      </c>
      <c r="E1473" s="20" t="str">
        <f>IF($C1473="","",IF(Registro_Compras!$F$167="FACTURA",ROUND(Registro_Compras!$K$167*Registro_Compras!$N$167,2),""))</f>
        <v/>
      </c>
      <c r="F1473" s="20" t="str">
        <f>IF($C1473="","",IF(Registro_Compras!$F$167="RHE",ROUND(Registro_Compras!$V$167*Registro_Compras!$N$167,2),IF(Registro_Compras!$F$167="NOTA DE CREDITO",ROUND(ABS(Registro_Compras!$J$167*Registro_Compras!$N$167),2),"")))</f>
        <v/>
      </c>
      <c r="G1473" t="str">
        <f>IF($C1473="","",IF(Registro_Compras!$F$167="NOTA DE CREDITO","Por la nota de credito "&amp;Registro_Compras!$C$167&amp;" de "&amp;Registro_Compras!$E$167&amp;" [PATRON POR CONFIRMAR CON CONTADOR]",IF(Registro_Compras!$F$167="RHE","Por el registro del recibo por honorarios "&amp;Registro_Compras!$C$167&amp;" de "&amp;Registro_Compras!$E$167&amp;" [PATRON POR CONFIRMAR CON CONTADOR]","Por el registro de la factura "&amp;Registro_Compras!$C$167&amp;" de "&amp;Registro_Compras!$E$167)))</f>
        <v/>
      </c>
      <c r="H1473" t="str">
        <f>IF($C1473="","",Registro_Compras!$C$167)</f>
        <v/>
      </c>
    </row>
    <row r="1474" spans="1:8" x14ac:dyDescent="0.25">
      <c r="A1474" s="25" t="str">
        <f>IF($C1474="","",Registro_Compras!$B$167)</f>
        <v/>
      </c>
      <c r="B1474" t="str">
        <f>IF($C1474="","","C"&amp;TEXT(INT((ROW()-5)/9)+1,"000")&amp;"-1")</f>
        <v/>
      </c>
      <c r="C1474" t="str">
        <f>IF(OR(Registro_Compras!$C$167="",Registro_Compras!$O$167=""),"",IF(Registro_Compras!$F$167="NOTA DE CREDITO",IF(Registro_Compras!$K$167=0,"","40111"),"4212"))</f>
        <v/>
      </c>
      <c r="D1474" t="str">
        <f>IF(OR(Registro_Compras!$C$167="",Registro_Compras!$O$167=""),"",IF(Registro_Compras!$F$167="NOTA DE CREDITO","IGV - Cuenta Propia (Credito Fiscal)","Cuentas por Pagar Comerciales - Terceros (Emitidas)"))</f>
        <v/>
      </c>
      <c r="E1474" s="20" t="str">
        <f>""</f>
        <v/>
      </c>
      <c r="F1474" s="20" t="str">
        <f>IF($C1474="","",IF(Registro_Compras!$F$167="NOTA DE CREDITO",ROUND(ABS(Registro_Compras!$K$167*Registro_Compras!$N$167),2),IF(Registro_Compras!$F$167="RHE",(ROUND(Registro_Compras!$L$167*Registro_Compras!$N$167,2)-ROUND(Registro_Compras!$V$167*Registro_Compras!$N$167,2)),Registro_Compras!$O$167)))</f>
        <v/>
      </c>
      <c r="G1474" t="str">
        <f>IF($C1474="","",IF(Registro_Compras!$F$167="NOTA DE CREDITO","Por la nota de credito "&amp;Registro_Compras!$C$167&amp;" de "&amp;Registro_Compras!$E$167&amp;" [PATRON POR CONFIRMAR CON CONTADOR]",IF(Registro_Compras!$F$167="RHE","Por el registro del recibo por honorarios "&amp;Registro_Compras!$C$167&amp;" de "&amp;Registro_Compras!$E$167&amp;" [PATRON POR CONFIRMAR CON CONTADOR]","Por el registro de la factura "&amp;Registro_Compras!$C$167&amp;" de "&amp;Registro_Compras!$E$167)))</f>
        <v/>
      </c>
      <c r="H1474" t="str">
        <f>IF($C1474="","",Registro_Compras!$C$167)</f>
        <v/>
      </c>
    </row>
    <row r="1475" spans="1:8" x14ac:dyDescent="0.25">
      <c r="A1475" s="25" t="str">
        <f>IF($C1475="","",Registro_Compras!$B$167)</f>
        <v/>
      </c>
      <c r="B1475" t="str">
        <f>IF($C1475="","","C"&amp;TEXT(INT((ROW()-5)/9)+1,"000")&amp;"-2")</f>
        <v/>
      </c>
      <c r="C1475" t="str">
        <f>IF(OR(Registro_Compras!$C$167="",Registro_Compras!$O$167=""),"",IF(Registro_Compras!$AB$167="ADMINISTRATIVO","94","95"))</f>
        <v/>
      </c>
      <c r="D1475" t="str">
        <f>IF(OR(Registro_Compras!$C$167="",Registro_Compras!$O$167=""),"",IF(Registro_Compras!$AB$167="ADMINISTRATIVO","Gastos Administrativos","Gastos de Venta y Operacion"))</f>
        <v/>
      </c>
      <c r="E1475" s="20" t="str">
        <f>IF($C1475="","",IF(Registro_Compras!$F$167="NOTA DE CREDITO","",IF(Registro_Compras!$F$167="RHE",ROUND(Registro_Compras!$L$167*Registro_Compras!$N$167,2),ROUND(Registro_Compras!$J$167*Registro_Compras!$N$167,2))))</f>
        <v/>
      </c>
      <c r="F1475" s="20" t="str">
        <f>IF($C1475="","",IF(Registro_Compras!$F$167="NOTA DE CREDITO",ROUND(ABS(Registro_Compras!$J$167*Registro_Compras!$N$167),2),""))</f>
        <v/>
      </c>
      <c r="G1475" t="str">
        <f>IF($C1475="","","Por el destino del gasto")</f>
        <v/>
      </c>
      <c r="H1475" t="str">
        <f>IF($C1475="","",Registro_Compras!$C$167)</f>
        <v/>
      </c>
    </row>
    <row r="1476" spans="1:8" x14ac:dyDescent="0.25">
      <c r="A1476" s="25" t="str">
        <f>IF($C1476="","",Registro_Compras!$B$167)</f>
        <v/>
      </c>
      <c r="B1476" t="str">
        <f>IF($C1476="","","C"&amp;TEXT(INT((ROW()-5)/9)+1,"000")&amp;"-2")</f>
        <v/>
      </c>
      <c r="C1476" t="str">
        <f>IF(OR(Registro_Compras!$C$167="",Registro_Compras!$O$167=""),"","79/791")</f>
        <v/>
      </c>
      <c r="D1476" t="str">
        <f>IF(OR(Registro_Compras!$C$167="",Registro_Compras!$O$167=""),"","Cargas Imputables a Cuentas de Costos y Gastos")</f>
        <v/>
      </c>
      <c r="E1476" s="20" t="str">
        <f>IF($C1476="","",IF(Registro_Compras!$F$167="NOTA DE CREDITO",ROUND(ABS(Registro_Compras!$J$167*Registro_Compras!$N$167),2),""))</f>
        <v/>
      </c>
      <c r="F1476" s="20" t="str">
        <f>IF($C1476="","",IF(Registro_Compras!$F$167="NOTA DE CREDITO","",IF(Registro_Compras!$F$167="RHE",ROUND(Registro_Compras!$L$167*Registro_Compras!$N$167,2),ROUND(Registro_Compras!$J$167*Registro_Compras!$N$167,2))))</f>
        <v/>
      </c>
      <c r="G1476" t="str">
        <f>IF($C1476="","","Por el destino del gasto")</f>
        <v/>
      </c>
      <c r="H1476" t="str">
        <f>IF($C1476="","",Registro_Compras!$C$167)</f>
        <v/>
      </c>
    </row>
    <row r="1477" spans="1:8" x14ac:dyDescent="0.25">
      <c r="A1477" s="25" t="str">
        <f>IF($C1477="","",Registro_Compras!$X$167)</f>
        <v/>
      </c>
      <c r="B1477" t="str">
        <f>IF($C1477="","","C"&amp;TEXT(INT((ROW()-5)/9)+1,"000")&amp;"-3")</f>
        <v/>
      </c>
      <c r="C1477" t="str">
        <f>IF(OR(Registro_Compras!$C$167="",Registro_Compras!$O$167="",Registro_Compras!$R$167&lt;&gt;"SI",Registro_Compras!$X$167=""),"","4212")</f>
        <v/>
      </c>
      <c r="D1477" t="str">
        <f>IF(OR(Registro_Compras!$C$167="",Registro_Compras!$O$167=""),"","Cuentas por Pagar Comerciales - Terceros")</f>
        <v/>
      </c>
      <c r="E1477" s="20" t="str">
        <f>IF($C1477="","",Registro_Compras!$S$167)</f>
        <v/>
      </c>
      <c r="F1477" s="20" t="str">
        <f>""</f>
        <v/>
      </c>
      <c r="G1477" t="str">
        <f>IF($C1477="","","Por el deposito de la detraccion en el Banco de la Nacion")</f>
        <v/>
      </c>
      <c r="H1477" t="str">
        <f>IF($C1477="","",Registro_Compras!$C$167)</f>
        <v/>
      </c>
    </row>
    <row r="1478" spans="1:8" x14ac:dyDescent="0.25">
      <c r="A1478" s="25" t="str">
        <f>IF($C1478="","",Registro_Compras!$X$167)</f>
        <v/>
      </c>
      <c r="B1478" t="str">
        <f>IF($C1478="","","C"&amp;TEXT(INT((ROW()-5)/9)+1,"000")&amp;"-3")</f>
        <v/>
      </c>
      <c r="C1478" t="str">
        <f>IF(OR(Registro_Compras!$C$167="",Registro_Compras!$O$167="",Registro_Compras!$R$167&lt;&gt;"SI",Registro_Compras!$X$167=""),"","1041")</f>
        <v/>
      </c>
      <c r="D1478" t="str">
        <f>IF(OR(Registro_Compras!$C$167="",Registro_Compras!$O$167=""),"","Efectivo y Equivalentes - Cta. Cte. Operativa")</f>
        <v/>
      </c>
      <c r="E1478" s="20" t="str">
        <f>""</f>
        <v/>
      </c>
      <c r="F1478" s="20" t="str">
        <f>IF($C1478="","",Registro_Compras!$S$167)</f>
        <v/>
      </c>
      <c r="G1478" t="str">
        <f>IF($C1478="","","Por el deposito de la detraccion en el Banco de la Nacion")</f>
        <v/>
      </c>
      <c r="H1478" t="str">
        <f>IF($C1478="","",Registro_Compras!$C$167)</f>
        <v/>
      </c>
    </row>
    <row r="1479" spans="1:8" x14ac:dyDescent="0.25">
      <c r="A1479" s="25" t="str">
        <f>IF($C1479="","",Registro_Compras!$Y$167)</f>
        <v/>
      </c>
      <c r="B1479" t="str">
        <f>IF($C1479="","","C"&amp;TEXT(INT((ROW()-5)/9)+1,"000")&amp;"-4")</f>
        <v/>
      </c>
      <c r="C1479" t="str">
        <f>IF(OR(Registro_Compras!$C$167="",Registro_Compras!$O$167="",Registro_Compras!$Y$167="",Registro_Compras!$F$167="NOTA DE CREDITO"),"","4212")</f>
        <v/>
      </c>
      <c r="D1479" t="str">
        <f>IF(OR(Registro_Compras!$C$167="",Registro_Compras!$O$167=""),"","Cuentas por Pagar Comerciales - Terceros")</f>
        <v/>
      </c>
      <c r="E1479" s="20" t="str">
        <f>IF($C1479="","",IF(Registro_Compras!$F$167="RHE",(ROUND(Registro_Compras!$L$167*Registro_Compras!$N$167,2)-ROUND(Registro_Compras!$V$167*Registro_Compras!$N$167,2)),ROUND(Registro_Compras!$O$167-Registro_Compras!$S$167,2)))</f>
        <v/>
      </c>
      <c r="F1479" s="20" t="str">
        <f>""</f>
        <v/>
      </c>
      <c r="G1479" t="str">
        <f>IF($C1479="","","Por la cancelacion del saldo al proveedor")</f>
        <v/>
      </c>
      <c r="H1479" t="str">
        <f>IF($C1479="","",Registro_Compras!$C$167)</f>
        <v/>
      </c>
    </row>
    <row r="1480" spans="1:8" x14ac:dyDescent="0.25">
      <c r="A1480" s="25" t="str">
        <f>IF($C1480="","",Registro_Compras!$Y$167)</f>
        <v/>
      </c>
      <c r="B1480" t="str">
        <f>IF($C1480="","","C"&amp;TEXT(INT((ROW()-5)/9)+1,"000")&amp;"-4")</f>
        <v/>
      </c>
      <c r="C1480" t="str">
        <f>IF(OR(Registro_Compras!$C$167="",Registro_Compras!$O$167="",Registro_Compras!$Y$167="",Registro_Compras!$F$167="NOTA DE CREDITO"),"","1041")</f>
        <v/>
      </c>
      <c r="D1480" t="str">
        <f>IF(OR(Registro_Compras!$C$167="",Registro_Compras!$O$167=""),"","Efectivo y Equivalentes - Cta. Cte. Operativa")</f>
        <v/>
      </c>
      <c r="E1480" s="20" t="str">
        <f>""</f>
        <v/>
      </c>
      <c r="F1480" s="20" t="str">
        <f>IF($C1480="","",IF(Registro_Compras!$F$167="RHE",(ROUND(Registro_Compras!$L$167*Registro_Compras!$N$167,2)-ROUND(Registro_Compras!$V$167*Registro_Compras!$N$167,2)),ROUND(Registro_Compras!$O$167-Registro_Compras!$S$167,2)))</f>
        <v/>
      </c>
      <c r="G1480" t="str">
        <f>IF($C1480="","","Por la cancelacion del saldo al proveedor")</f>
        <v/>
      </c>
      <c r="H1480" t="str">
        <f>IF($C1480="","",Registro_Compras!$C$167)</f>
        <v/>
      </c>
    </row>
    <row r="1481" spans="1:8" x14ac:dyDescent="0.25">
      <c r="A1481" s="25" t="str">
        <f>IF($C1481="","",Registro_Compras!$B$168)</f>
        <v/>
      </c>
      <c r="B1481" t="str">
        <f>IF($C1481="","","C"&amp;TEXT(INT((ROW()-5)/9)+1,"000")&amp;"-1")</f>
        <v/>
      </c>
      <c r="C1481" t="str">
        <f>IF(OR(Registro_Compras!$C$168="",Registro_Compras!$O$168=""),"",IF(Registro_Compras!$F$168="NOTA DE CREDITO","4212",IF(Registro_Compras!$M$168="","63",Registro_Compras!$M$168)))</f>
        <v/>
      </c>
      <c r="D1481" t="str">
        <f>IF(OR(Registro_Compras!$C$168="",Registro_Compras!$O$168=""),"",IF(Registro_Compras!$F$168="NOTA DE CREDITO","Cuentas por Pagar Comerciales - Terceros (Emitidas)",IF(Registro_Compras!$F$168="RHE","Honorarios Profesionales - Servicios de Terceros","Gastos de Servicios Prestados por Terceros")))</f>
        <v/>
      </c>
      <c r="E1481" s="20" t="str">
        <f>IF($C1481="","",IF(Registro_Compras!$F$168="NOTA DE CREDITO",ABS(Registro_Compras!$O$168),IF(Registro_Compras!$F$168="RHE",ROUND(Registro_Compras!$L$168*Registro_Compras!$N$168,2),ROUND(Registro_Compras!$J$168*Registro_Compras!$N$168,2))))</f>
        <v/>
      </c>
      <c r="F1481" s="20" t="str">
        <f>""</f>
        <v/>
      </c>
      <c r="G1481" t="str">
        <f>IF($C1481="","",IF(Registro_Compras!$F$168="NOTA DE CREDITO","Por la nota de credito "&amp;Registro_Compras!$C$168&amp;" de "&amp;Registro_Compras!$E$168&amp;" [PATRON POR CONFIRMAR CON CONTADOR]",IF(Registro_Compras!$F$168="RHE","Por el registro del recibo por honorarios "&amp;Registro_Compras!$C$168&amp;" de "&amp;Registro_Compras!$E$168&amp;" [PATRON POR CONFIRMAR CON CONTADOR]","Por el registro de la factura "&amp;Registro_Compras!$C$168&amp;" de "&amp;Registro_Compras!$E$168)))</f>
        <v/>
      </c>
      <c r="H1481" t="str">
        <f>IF($C1481="","",Registro_Compras!$C$168)</f>
        <v/>
      </c>
    </row>
    <row r="1482" spans="1:8" x14ac:dyDescent="0.25">
      <c r="A1482" s="25" t="str">
        <f>IF($C1482="","",Registro_Compras!$B$168)</f>
        <v/>
      </c>
      <c r="B1482" t="str">
        <f>IF($C1482="","","C"&amp;TEXT(INT((ROW()-5)/9)+1,"000")&amp;"-1")</f>
        <v/>
      </c>
      <c r="C1482" t="str">
        <f>IF(OR(Registro_Compras!$C$168="",Registro_Compras!$O$168=""),"",IF(Registro_Compras!$F$168="RHE",IF(Registro_Compras!$V$168=0,"","4017"),IF(Registro_Compras!$F$168="NOTA DE CREDITO",IF(Registro_Compras!$M$168="","63",Registro_Compras!$M$168),IF(Registro_Compras!$K$168=0,"","40111"))))</f>
        <v/>
      </c>
      <c r="D1482" t="str">
        <f>IF(OR(Registro_Compras!$C$168="",Registro_Compras!$O$168=""),"",IF(Registro_Compras!$F$168="RHE","Retencion Renta 4ta Categoria por Pagar",IF(Registro_Compras!$F$168="NOTA DE CREDITO","Gastos de Servicios Prestados por Terceros","IGV - Cuenta Propia (Credito Fiscal)")))</f>
        <v/>
      </c>
      <c r="E1482" s="20" t="str">
        <f>IF($C1482="","",IF(Registro_Compras!$F$168="FACTURA",ROUND(Registro_Compras!$K$168*Registro_Compras!$N$168,2),""))</f>
        <v/>
      </c>
      <c r="F1482" s="20" t="str">
        <f>IF($C1482="","",IF(Registro_Compras!$F$168="RHE",ROUND(Registro_Compras!$V$168*Registro_Compras!$N$168,2),IF(Registro_Compras!$F$168="NOTA DE CREDITO",ROUND(ABS(Registro_Compras!$J$168*Registro_Compras!$N$168),2),"")))</f>
        <v/>
      </c>
      <c r="G1482" t="str">
        <f>IF($C1482="","",IF(Registro_Compras!$F$168="NOTA DE CREDITO","Por la nota de credito "&amp;Registro_Compras!$C$168&amp;" de "&amp;Registro_Compras!$E$168&amp;" [PATRON POR CONFIRMAR CON CONTADOR]",IF(Registro_Compras!$F$168="RHE","Por el registro del recibo por honorarios "&amp;Registro_Compras!$C$168&amp;" de "&amp;Registro_Compras!$E$168&amp;" [PATRON POR CONFIRMAR CON CONTADOR]","Por el registro de la factura "&amp;Registro_Compras!$C$168&amp;" de "&amp;Registro_Compras!$E$168)))</f>
        <v/>
      </c>
      <c r="H1482" t="str">
        <f>IF($C1482="","",Registro_Compras!$C$168)</f>
        <v/>
      </c>
    </row>
    <row r="1483" spans="1:8" x14ac:dyDescent="0.25">
      <c r="A1483" s="25" t="str">
        <f>IF($C1483="","",Registro_Compras!$B$168)</f>
        <v/>
      </c>
      <c r="B1483" t="str">
        <f>IF($C1483="","","C"&amp;TEXT(INT((ROW()-5)/9)+1,"000")&amp;"-1")</f>
        <v/>
      </c>
      <c r="C1483" t="str">
        <f>IF(OR(Registro_Compras!$C$168="",Registro_Compras!$O$168=""),"",IF(Registro_Compras!$F$168="NOTA DE CREDITO",IF(Registro_Compras!$K$168=0,"","40111"),"4212"))</f>
        <v/>
      </c>
      <c r="D1483" t="str">
        <f>IF(OR(Registro_Compras!$C$168="",Registro_Compras!$O$168=""),"",IF(Registro_Compras!$F$168="NOTA DE CREDITO","IGV - Cuenta Propia (Credito Fiscal)","Cuentas por Pagar Comerciales - Terceros (Emitidas)"))</f>
        <v/>
      </c>
      <c r="E1483" s="20" t="str">
        <f>""</f>
        <v/>
      </c>
      <c r="F1483" s="20" t="str">
        <f>IF($C1483="","",IF(Registro_Compras!$F$168="NOTA DE CREDITO",ROUND(ABS(Registro_Compras!$K$168*Registro_Compras!$N$168),2),IF(Registro_Compras!$F$168="RHE",(ROUND(Registro_Compras!$L$168*Registro_Compras!$N$168,2)-ROUND(Registro_Compras!$V$168*Registro_Compras!$N$168,2)),Registro_Compras!$O$168)))</f>
        <v/>
      </c>
      <c r="G1483" t="str">
        <f>IF($C1483="","",IF(Registro_Compras!$F$168="NOTA DE CREDITO","Por la nota de credito "&amp;Registro_Compras!$C$168&amp;" de "&amp;Registro_Compras!$E$168&amp;" [PATRON POR CONFIRMAR CON CONTADOR]",IF(Registro_Compras!$F$168="RHE","Por el registro del recibo por honorarios "&amp;Registro_Compras!$C$168&amp;" de "&amp;Registro_Compras!$E$168&amp;" [PATRON POR CONFIRMAR CON CONTADOR]","Por el registro de la factura "&amp;Registro_Compras!$C$168&amp;" de "&amp;Registro_Compras!$E$168)))</f>
        <v/>
      </c>
      <c r="H1483" t="str">
        <f>IF($C1483="","",Registro_Compras!$C$168)</f>
        <v/>
      </c>
    </row>
    <row r="1484" spans="1:8" x14ac:dyDescent="0.25">
      <c r="A1484" s="25" t="str">
        <f>IF($C1484="","",Registro_Compras!$B$168)</f>
        <v/>
      </c>
      <c r="B1484" t="str">
        <f>IF($C1484="","","C"&amp;TEXT(INT((ROW()-5)/9)+1,"000")&amp;"-2")</f>
        <v/>
      </c>
      <c r="C1484" t="str">
        <f>IF(OR(Registro_Compras!$C$168="",Registro_Compras!$O$168=""),"",IF(Registro_Compras!$AB$168="ADMINISTRATIVO","94","95"))</f>
        <v/>
      </c>
      <c r="D1484" t="str">
        <f>IF(OR(Registro_Compras!$C$168="",Registro_Compras!$O$168=""),"",IF(Registro_Compras!$AB$168="ADMINISTRATIVO","Gastos Administrativos","Gastos de Venta y Operacion"))</f>
        <v/>
      </c>
      <c r="E1484" s="20" t="str">
        <f>IF($C1484="","",IF(Registro_Compras!$F$168="NOTA DE CREDITO","",IF(Registro_Compras!$F$168="RHE",ROUND(Registro_Compras!$L$168*Registro_Compras!$N$168,2),ROUND(Registro_Compras!$J$168*Registro_Compras!$N$168,2))))</f>
        <v/>
      </c>
      <c r="F1484" s="20" t="str">
        <f>IF($C1484="","",IF(Registro_Compras!$F$168="NOTA DE CREDITO",ROUND(ABS(Registro_Compras!$J$168*Registro_Compras!$N$168),2),""))</f>
        <v/>
      </c>
      <c r="G1484" t="str">
        <f>IF($C1484="","","Por el destino del gasto")</f>
        <v/>
      </c>
      <c r="H1484" t="str">
        <f>IF($C1484="","",Registro_Compras!$C$168)</f>
        <v/>
      </c>
    </row>
    <row r="1485" spans="1:8" x14ac:dyDescent="0.25">
      <c r="A1485" s="25" t="str">
        <f>IF($C1485="","",Registro_Compras!$B$168)</f>
        <v/>
      </c>
      <c r="B1485" t="str">
        <f>IF($C1485="","","C"&amp;TEXT(INT((ROW()-5)/9)+1,"000")&amp;"-2")</f>
        <v/>
      </c>
      <c r="C1485" t="str">
        <f>IF(OR(Registro_Compras!$C$168="",Registro_Compras!$O$168=""),"","79/791")</f>
        <v/>
      </c>
      <c r="D1485" t="str">
        <f>IF(OR(Registro_Compras!$C$168="",Registro_Compras!$O$168=""),"","Cargas Imputables a Cuentas de Costos y Gastos")</f>
        <v/>
      </c>
      <c r="E1485" s="20" t="str">
        <f>IF($C1485="","",IF(Registro_Compras!$F$168="NOTA DE CREDITO",ROUND(ABS(Registro_Compras!$J$168*Registro_Compras!$N$168),2),""))</f>
        <v/>
      </c>
      <c r="F1485" s="20" t="str">
        <f>IF($C1485="","",IF(Registro_Compras!$F$168="NOTA DE CREDITO","",IF(Registro_Compras!$F$168="RHE",ROUND(Registro_Compras!$L$168*Registro_Compras!$N$168,2),ROUND(Registro_Compras!$J$168*Registro_Compras!$N$168,2))))</f>
        <v/>
      </c>
      <c r="G1485" t="str">
        <f>IF($C1485="","","Por el destino del gasto")</f>
        <v/>
      </c>
      <c r="H1485" t="str">
        <f>IF($C1485="","",Registro_Compras!$C$168)</f>
        <v/>
      </c>
    </row>
    <row r="1486" spans="1:8" x14ac:dyDescent="0.25">
      <c r="A1486" s="25" t="str">
        <f>IF($C1486="","",Registro_Compras!$X$168)</f>
        <v/>
      </c>
      <c r="B1486" t="str">
        <f>IF($C1486="","","C"&amp;TEXT(INT((ROW()-5)/9)+1,"000")&amp;"-3")</f>
        <v/>
      </c>
      <c r="C1486" t="str">
        <f>IF(OR(Registro_Compras!$C$168="",Registro_Compras!$O$168="",Registro_Compras!$R$168&lt;&gt;"SI",Registro_Compras!$X$168=""),"","4212")</f>
        <v/>
      </c>
      <c r="D1486" t="str">
        <f>IF(OR(Registro_Compras!$C$168="",Registro_Compras!$O$168=""),"","Cuentas por Pagar Comerciales - Terceros")</f>
        <v/>
      </c>
      <c r="E1486" s="20" t="str">
        <f>IF($C1486="","",Registro_Compras!$S$168)</f>
        <v/>
      </c>
      <c r="F1486" s="20" t="str">
        <f>""</f>
        <v/>
      </c>
      <c r="G1486" t="str">
        <f>IF($C1486="","","Por el deposito de la detraccion en el Banco de la Nacion")</f>
        <v/>
      </c>
      <c r="H1486" t="str">
        <f>IF($C1486="","",Registro_Compras!$C$168)</f>
        <v/>
      </c>
    </row>
    <row r="1487" spans="1:8" x14ac:dyDescent="0.25">
      <c r="A1487" s="25" t="str">
        <f>IF($C1487="","",Registro_Compras!$X$168)</f>
        <v/>
      </c>
      <c r="B1487" t="str">
        <f>IF($C1487="","","C"&amp;TEXT(INT((ROW()-5)/9)+1,"000")&amp;"-3")</f>
        <v/>
      </c>
      <c r="C1487" t="str">
        <f>IF(OR(Registro_Compras!$C$168="",Registro_Compras!$O$168="",Registro_Compras!$R$168&lt;&gt;"SI",Registro_Compras!$X$168=""),"","1041")</f>
        <v/>
      </c>
      <c r="D1487" t="str">
        <f>IF(OR(Registro_Compras!$C$168="",Registro_Compras!$O$168=""),"","Efectivo y Equivalentes - Cta. Cte. Operativa")</f>
        <v/>
      </c>
      <c r="E1487" s="20" t="str">
        <f>""</f>
        <v/>
      </c>
      <c r="F1487" s="20" t="str">
        <f>IF($C1487="","",Registro_Compras!$S$168)</f>
        <v/>
      </c>
      <c r="G1487" t="str">
        <f>IF($C1487="","","Por el deposito de la detraccion en el Banco de la Nacion")</f>
        <v/>
      </c>
      <c r="H1487" t="str">
        <f>IF($C1487="","",Registro_Compras!$C$168)</f>
        <v/>
      </c>
    </row>
    <row r="1488" spans="1:8" x14ac:dyDescent="0.25">
      <c r="A1488" s="25" t="str">
        <f>IF($C1488="","",Registro_Compras!$Y$168)</f>
        <v/>
      </c>
      <c r="B1488" t="str">
        <f>IF($C1488="","","C"&amp;TEXT(INT((ROW()-5)/9)+1,"000")&amp;"-4")</f>
        <v/>
      </c>
      <c r="C1488" t="str">
        <f>IF(OR(Registro_Compras!$C$168="",Registro_Compras!$O$168="",Registro_Compras!$Y$168="",Registro_Compras!$F$168="NOTA DE CREDITO"),"","4212")</f>
        <v/>
      </c>
      <c r="D1488" t="str">
        <f>IF(OR(Registro_Compras!$C$168="",Registro_Compras!$O$168=""),"","Cuentas por Pagar Comerciales - Terceros")</f>
        <v/>
      </c>
      <c r="E1488" s="20" t="str">
        <f>IF($C1488="","",IF(Registro_Compras!$F$168="RHE",(ROUND(Registro_Compras!$L$168*Registro_Compras!$N$168,2)-ROUND(Registro_Compras!$V$168*Registro_Compras!$N$168,2)),ROUND(Registro_Compras!$O$168-Registro_Compras!$S$168,2)))</f>
        <v/>
      </c>
      <c r="F1488" s="20" t="str">
        <f>""</f>
        <v/>
      </c>
      <c r="G1488" t="str">
        <f>IF($C1488="","","Por la cancelacion del saldo al proveedor")</f>
        <v/>
      </c>
      <c r="H1488" t="str">
        <f>IF($C1488="","",Registro_Compras!$C$168)</f>
        <v/>
      </c>
    </row>
    <row r="1489" spans="1:8" x14ac:dyDescent="0.25">
      <c r="A1489" s="25" t="str">
        <f>IF($C1489="","",Registro_Compras!$Y$168)</f>
        <v/>
      </c>
      <c r="B1489" t="str">
        <f>IF($C1489="","","C"&amp;TEXT(INT((ROW()-5)/9)+1,"000")&amp;"-4")</f>
        <v/>
      </c>
      <c r="C1489" t="str">
        <f>IF(OR(Registro_Compras!$C$168="",Registro_Compras!$O$168="",Registro_Compras!$Y$168="",Registro_Compras!$F$168="NOTA DE CREDITO"),"","1041")</f>
        <v/>
      </c>
      <c r="D1489" t="str">
        <f>IF(OR(Registro_Compras!$C$168="",Registro_Compras!$O$168=""),"","Efectivo y Equivalentes - Cta. Cte. Operativa")</f>
        <v/>
      </c>
      <c r="E1489" s="20" t="str">
        <f>""</f>
        <v/>
      </c>
      <c r="F1489" s="20" t="str">
        <f>IF($C1489="","",IF(Registro_Compras!$F$168="RHE",(ROUND(Registro_Compras!$L$168*Registro_Compras!$N$168,2)-ROUND(Registro_Compras!$V$168*Registro_Compras!$N$168,2)),ROUND(Registro_Compras!$O$168-Registro_Compras!$S$168,2)))</f>
        <v/>
      </c>
      <c r="G1489" t="str">
        <f>IF($C1489="","","Por la cancelacion del saldo al proveedor")</f>
        <v/>
      </c>
      <c r="H1489" t="str">
        <f>IF($C1489="","",Registro_Compras!$C$168)</f>
        <v/>
      </c>
    </row>
    <row r="1490" spans="1:8" x14ac:dyDescent="0.25">
      <c r="A1490" s="25" t="str">
        <f>IF($C1490="","",Registro_Compras!$B$169)</f>
        <v/>
      </c>
      <c r="B1490" t="str">
        <f>IF($C1490="","","C"&amp;TEXT(INT((ROW()-5)/9)+1,"000")&amp;"-1")</f>
        <v/>
      </c>
      <c r="C1490" t="str">
        <f>IF(OR(Registro_Compras!$C$169="",Registro_Compras!$O$169=""),"",IF(Registro_Compras!$F$169="NOTA DE CREDITO","4212",IF(Registro_Compras!$M$169="","63",Registro_Compras!$M$169)))</f>
        <v/>
      </c>
      <c r="D1490" t="str">
        <f>IF(OR(Registro_Compras!$C$169="",Registro_Compras!$O$169=""),"",IF(Registro_Compras!$F$169="NOTA DE CREDITO","Cuentas por Pagar Comerciales - Terceros (Emitidas)",IF(Registro_Compras!$F$169="RHE","Honorarios Profesionales - Servicios de Terceros","Gastos de Servicios Prestados por Terceros")))</f>
        <v/>
      </c>
      <c r="E1490" s="20" t="str">
        <f>IF($C1490="","",IF(Registro_Compras!$F$169="NOTA DE CREDITO",ABS(Registro_Compras!$O$169),IF(Registro_Compras!$F$169="RHE",ROUND(Registro_Compras!$L$169*Registro_Compras!$N$169,2),ROUND(Registro_Compras!$J$169*Registro_Compras!$N$169,2))))</f>
        <v/>
      </c>
      <c r="F1490" s="20" t="str">
        <f>""</f>
        <v/>
      </c>
      <c r="G1490" t="str">
        <f>IF($C1490="","",IF(Registro_Compras!$F$169="NOTA DE CREDITO","Por la nota de credito "&amp;Registro_Compras!$C$169&amp;" de "&amp;Registro_Compras!$E$169&amp;" [PATRON POR CONFIRMAR CON CONTADOR]",IF(Registro_Compras!$F$169="RHE","Por el registro del recibo por honorarios "&amp;Registro_Compras!$C$169&amp;" de "&amp;Registro_Compras!$E$169&amp;" [PATRON POR CONFIRMAR CON CONTADOR]","Por el registro de la factura "&amp;Registro_Compras!$C$169&amp;" de "&amp;Registro_Compras!$E$169)))</f>
        <v/>
      </c>
      <c r="H1490" t="str">
        <f>IF($C1490="","",Registro_Compras!$C$169)</f>
        <v/>
      </c>
    </row>
    <row r="1491" spans="1:8" x14ac:dyDescent="0.25">
      <c r="A1491" s="25" t="str">
        <f>IF($C1491="","",Registro_Compras!$B$169)</f>
        <v/>
      </c>
      <c r="B1491" t="str">
        <f>IF($C1491="","","C"&amp;TEXT(INT((ROW()-5)/9)+1,"000")&amp;"-1")</f>
        <v/>
      </c>
      <c r="C1491" t="str">
        <f>IF(OR(Registro_Compras!$C$169="",Registro_Compras!$O$169=""),"",IF(Registro_Compras!$F$169="RHE",IF(Registro_Compras!$V$169=0,"","4017"),IF(Registro_Compras!$F$169="NOTA DE CREDITO",IF(Registro_Compras!$M$169="","63",Registro_Compras!$M$169),IF(Registro_Compras!$K$169=0,"","40111"))))</f>
        <v/>
      </c>
      <c r="D1491" t="str">
        <f>IF(OR(Registro_Compras!$C$169="",Registro_Compras!$O$169=""),"",IF(Registro_Compras!$F$169="RHE","Retencion Renta 4ta Categoria por Pagar",IF(Registro_Compras!$F$169="NOTA DE CREDITO","Gastos de Servicios Prestados por Terceros","IGV - Cuenta Propia (Credito Fiscal)")))</f>
        <v/>
      </c>
      <c r="E1491" s="20" t="str">
        <f>IF($C1491="","",IF(Registro_Compras!$F$169="FACTURA",ROUND(Registro_Compras!$K$169*Registro_Compras!$N$169,2),""))</f>
        <v/>
      </c>
      <c r="F1491" s="20" t="str">
        <f>IF($C1491="","",IF(Registro_Compras!$F$169="RHE",ROUND(Registro_Compras!$V$169*Registro_Compras!$N$169,2),IF(Registro_Compras!$F$169="NOTA DE CREDITO",ROUND(ABS(Registro_Compras!$J$169*Registro_Compras!$N$169),2),"")))</f>
        <v/>
      </c>
      <c r="G1491" t="str">
        <f>IF($C1491="","",IF(Registro_Compras!$F$169="NOTA DE CREDITO","Por la nota de credito "&amp;Registro_Compras!$C$169&amp;" de "&amp;Registro_Compras!$E$169&amp;" [PATRON POR CONFIRMAR CON CONTADOR]",IF(Registro_Compras!$F$169="RHE","Por el registro del recibo por honorarios "&amp;Registro_Compras!$C$169&amp;" de "&amp;Registro_Compras!$E$169&amp;" [PATRON POR CONFIRMAR CON CONTADOR]","Por el registro de la factura "&amp;Registro_Compras!$C$169&amp;" de "&amp;Registro_Compras!$E$169)))</f>
        <v/>
      </c>
      <c r="H1491" t="str">
        <f>IF($C1491="","",Registro_Compras!$C$169)</f>
        <v/>
      </c>
    </row>
    <row r="1492" spans="1:8" x14ac:dyDescent="0.25">
      <c r="A1492" s="25" t="str">
        <f>IF($C1492="","",Registro_Compras!$B$169)</f>
        <v/>
      </c>
      <c r="B1492" t="str">
        <f>IF($C1492="","","C"&amp;TEXT(INT((ROW()-5)/9)+1,"000")&amp;"-1")</f>
        <v/>
      </c>
      <c r="C1492" t="str">
        <f>IF(OR(Registro_Compras!$C$169="",Registro_Compras!$O$169=""),"",IF(Registro_Compras!$F$169="NOTA DE CREDITO",IF(Registro_Compras!$K$169=0,"","40111"),"4212"))</f>
        <v/>
      </c>
      <c r="D1492" t="str">
        <f>IF(OR(Registro_Compras!$C$169="",Registro_Compras!$O$169=""),"",IF(Registro_Compras!$F$169="NOTA DE CREDITO","IGV - Cuenta Propia (Credito Fiscal)","Cuentas por Pagar Comerciales - Terceros (Emitidas)"))</f>
        <v/>
      </c>
      <c r="E1492" s="20" t="str">
        <f>""</f>
        <v/>
      </c>
      <c r="F1492" s="20" t="str">
        <f>IF($C1492="","",IF(Registro_Compras!$F$169="NOTA DE CREDITO",ROUND(ABS(Registro_Compras!$K$169*Registro_Compras!$N$169),2),IF(Registro_Compras!$F$169="RHE",(ROUND(Registro_Compras!$L$169*Registro_Compras!$N$169,2)-ROUND(Registro_Compras!$V$169*Registro_Compras!$N$169,2)),Registro_Compras!$O$169)))</f>
        <v/>
      </c>
      <c r="G1492" t="str">
        <f>IF($C1492="","",IF(Registro_Compras!$F$169="NOTA DE CREDITO","Por la nota de credito "&amp;Registro_Compras!$C$169&amp;" de "&amp;Registro_Compras!$E$169&amp;" [PATRON POR CONFIRMAR CON CONTADOR]",IF(Registro_Compras!$F$169="RHE","Por el registro del recibo por honorarios "&amp;Registro_Compras!$C$169&amp;" de "&amp;Registro_Compras!$E$169&amp;" [PATRON POR CONFIRMAR CON CONTADOR]","Por el registro de la factura "&amp;Registro_Compras!$C$169&amp;" de "&amp;Registro_Compras!$E$169)))</f>
        <v/>
      </c>
      <c r="H1492" t="str">
        <f>IF($C1492="","",Registro_Compras!$C$169)</f>
        <v/>
      </c>
    </row>
    <row r="1493" spans="1:8" x14ac:dyDescent="0.25">
      <c r="A1493" s="25" t="str">
        <f>IF($C1493="","",Registro_Compras!$B$169)</f>
        <v/>
      </c>
      <c r="B1493" t="str">
        <f>IF($C1493="","","C"&amp;TEXT(INT((ROW()-5)/9)+1,"000")&amp;"-2")</f>
        <v/>
      </c>
      <c r="C1493" t="str">
        <f>IF(OR(Registro_Compras!$C$169="",Registro_Compras!$O$169=""),"",IF(Registro_Compras!$AB$169="ADMINISTRATIVO","94","95"))</f>
        <v/>
      </c>
      <c r="D1493" t="str">
        <f>IF(OR(Registro_Compras!$C$169="",Registro_Compras!$O$169=""),"",IF(Registro_Compras!$AB$169="ADMINISTRATIVO","Gastos Administrativos","Gastos de Venta y Operacion"))</f>
        <v/>
      </c>
      <c r="E1493" s="20" t="str">
        <f>IF($C1493="","",IF(Registro_Compras!$F$169="NOTA DE CREDITO","",IF(Registro_Compras!$F$169="RHE",ROUND(Registro_Compras!$L$169*Registro_Compras!$N$169,2),ROUND(Registro_Compras!$J$169*Registro_Compras!$N$169,2))))</f>
        <v/>
      </c>
      <c r="F1493" s="20" t="str">
        <f>IF($C1493="","",IF(Registro_Compras!$F$169="NOTA DE CREDITO",ROUND(ABS(Registro_Compras!$J$169*Registro_Compras!$N$169),2),""))</f>
        <v/>
      </c>
      <c r="G1493" t="str">
        <f>IF($C1493="","","Por el destino del gasto")</f>
        <v/>
      </c>
      <c r="H1493" t="str">
        <f>IF($C1493="","",Registro_Compras!$C$169)</f>
        <v/>
      </c>
    </row>
    <row r="1494" spans="1:8" x14ac:dyDescent="0.25">
      <c r="A1494" s="25" t="str">
        <f>IF($C1494="","",Registro_Compras!$B$169)</f>
        <v/>
      </c>
      <c r="B1494" t="str">
        <f>IF($C1494="","","C"&amp;TEXT(INT((ROW()-5)/9)+1,"000")&amp;"-2")</f>
        <v/>
      </c>
      <c r="C1494" t="str">
        <f>IF(OR(Registro_Compras!$C$169="",Registro_Compras!$O$169=""),"","79/791")</f>
        <v/>
      </c>
      <c r="D1494" t="str">
        <f>IF(OR(Registro_Compras!$C$169="",Registro_Compras!$O$169=""),"","Cargas Imputables a Cuentas de Costos y Gastos")</f>
        <v/>
      </c>
      <c r="E1494" s="20" t="str">
        <f>IF($C1494="","",IF(Registro_Compras!$F$169="NOTA DE CREDITO",ROUND(ABS(Registro_Compras!$J$169*Registro_Compras!$N$169),2),""))</f>
        <v/>
      </c>
      <c r="F1494" s="20" t="str">
        <f>IF($C1494="","",IF(Registro_Compras!$F$169="NOTA DE CREDITO","",IF(Registro_Compras!$F$169="RHE",ROUND(Registro_Compras!$L$169*Registro_Compras!$N$169,2),ROUND(Registro_Compras!$J$169*Registro_Compras!$N$169,2))))</f>
        <v/>
      </c>
      <c r="G1494" t="str">
        <f>IF($C1494="","","Por el destino del gasto")</f>
        <v/>
      </c>
      <c r="H1494" t="str">
        <f>IF($C1494="","",Registro_Compras!$C$169)</f>
        <v/>
      </c>
    </row>
    <row r="1495" spans="1:8" x14ac:dyDescent="0.25">
      <c r="A1495" s="25" t="str">
        <f>IF($C1495="","",Registro_Compras!$X$169)</f>
        <v/>
      </c>
      <c r="B1495" t="str">
        <f>IF($C1495="","","C"&amp;TEXT(INT((ROW()-5)/9)+1,"000")&amp;"-3")</f>
        <v/>
      </c>
      <c r="C1495" t="str">
        <f>IF(OR(Registro_Compras!$C$169="",Registro_Compras!$O$169="",Registro_Compras!$R$169&lt;&gt;"SI",Registro_Compras!$X$169=""),"","4212")</f>
        <v/>
      </c>
      <c r="D1495" t="str">
        <f>IF(OR(Registro_Compras!$C$169="",Registro_Compras!$O$169=""),"","Cuentas por Pagar Comerciales - Terceros")</f>
        <v/>
      </c>
      <c r="E1495" s="20" t="str">
        <f>IF($C1495="","",Registro_Compras!$S$169)</f>
        <v/>
      </c>
      <c r="F1495" s="20" t="str">
        <f>""</f>
        <v/>
      </c>
      <c r="G1495" t="str">
        <f>IF($C1495="","","Por el deposito de la detraccion en el Banco de la Nacion")</f>
        <v/>
      </c>
      <c r="H1495" t="str">
        <f>IF($C1495="","",Registro_Compras!$C$169)</f>
        <v/>
      </c>
    </row>
    <row r="1496" spans="1:8" x14ac:dyDescent="0.25">
      <c r="A1496" s="25" t="str">
        <f>IF($C1496="","",Registro_Compras!$X$169)</f>
        <v/>
      </c>
      <c r="B1496" t="str">
        <f>IF($C1496="","","C"&amp;TEXT(INT((ROW()-5)/9)+1,"000")&amp;"-3")</f>
        <v/>
      </c>
      <c r="C1496" t="str">
        <f>IF(OR(Registro_Compras!$C$169="",Registro_Compras!$O$169="",Registro_Compras!$R$169&lt;&gt;"SI",Registro_Compras!$X$169=""),"","1041")</f>
        <v/>
      </c>
      <c r="D1496" t="str">
        <f>IF(OR(Registro_Compras!$C$169="",Registro_Compras!$O$169=""),"","Efectivo y Equivalentes - Cta. Cte. Operativa")</f>
        <v/>
      </c>
      <c r="E1496" s="20" t="str">
        <f>""</f>
        <v/>
      </c>
      <c r="F1496" s="20" t="str">
        <f>IF($C1496="","",Registro_Compras!$S$169)</f>
        <v/>
      </c>
      <c r="G1496" t="str">
        <f>IF($C1496="","","Por el deposito de la detraccion en el Banco de la Nacion")</f>
        <v/>
      </c>
      <c r="H1496" t="str">
        <f>IF($C1496="","",Registro_Compras!$C$169)</f>
        <v/>
      </c>
    </row>
    <row r="1497" spans="1:8" x14ac:dyDescent="0.25">
      <c r="A1497" s="25" t="str">
        <f>IF($C1497="","",Registro_Compras!$Y$169)</f>
        <v/>
      </c>
      <c r="B1497" t="str">
        <f>IF($C1497="","","C"&amp;TEXT(INT((ROW()-5)/9)+1,"000")&amp;"-4")</f>
        <v/>
      </c>
      <c r="C1497" t="str">
        <f>IF(OR(Registro_Compras!$C$169="",Registro_Compras!$O$169="",Registro_Compras!$Y$169="",Registro_Compras!$F$169="NOTA DE CREDITO"),"","4212")</f>
        <v/>
      </c>
      <c r="D1497" t="str">
        <f>IF(OR(Registro_Compras!$C$169="",Registro_Compras!$O$169=""),"","Cuentas por Pagar Comerciales - Terceros")</f>
        <v/>
      </c>
      <c r="E1497" s="20" t="str">
        <f>IF($C1497="","",IF(Registro_Compras!$F$169="RHE",(ROUND(Registro_Compras!$L$169*Registro_Compras!$N$169,2)-ROUND(Registro_Compras!$V$169*Registro_Compras!$N$169,2)),ROUND(Registro_Compras!$O$169-Registro_Compras!$S$169,2)))</f>
        <v/>
      </c>
      <c r="F1497" s="20" t="str">
        <f>""</f>
        <v/>
      </c>
      <c r="G1497" t="str">
        <f>IF($C1497="","","Por la cancelacion del saldo al proveedor")</f>
        <v/>
      </c>
      <c r="H1497" t="str">
        <f>IF($C1497="","",Registro_Compras!$C$169)</f>
        <v/>
      </c>
    </row>
    <row r="1498" spans="1:8" x14ac:dyDescent="0.25">
      <c r="A1498" s="25" t="str">
        <f>IF($C1498="","",Registro_Compras!$Y$169)</f>
        <v/>
      </c>
      <c r="B1498" t="str">
        <f>IF($C1498="","","C"&amp;TEXT(INT((ROW()-5)/9)+1,"000")&amp;"-4")</f>
        <v/>
      </c>
      <c r="C1498" t="str">
        <f>IF(OR(Registro_Compras!$C$169="",Registro_Compras!$O$169="",Registro_Compras!$Y$169="",Registro_Compras!$F$169="NOTA DE CREDITO"),"","1041")</f>
        <v/>
      </c>
      <c r="D1498" t="str">
        <f>IF(OR(Registro_Compras!$C$169="",Registro_Compras!$O$169=""),"","Efectivo y Equivalentes - Cta. Cte. Operativa")</f>
        <v/>
      </c>
      <c r="E1498" s="20" t="str">
        <f>""</f>
        <v/>
      </c>
      <c r="F1498" s="20" t="str">
        <f>IF($C1498="","",IF(Registro_Compras!$F$169="RHE",(ROUND(Registro_Compras!$L$169*Registro_Compras!$N$169,2)-ROUND(Registro_Compras!$V$169*Registro_Compras!$N$169,2)),ROUND(Registro_Compras!$O$169-Registro_Compras!$S$169,2)))</f>
        <v/>
      </c>
      <c r="G1498" t="str">
        <f>IF($C1498="","","Por la cancelacion del saldo al proveedor")</f>
        <v/>
      </c>
      <c r="H1498" t="str">
        <f>IF($C1498="","",Registro_Compras!$C$169)</f>
        <v/>
      </c>
    </row>
    <row r="1499" spans="1:8" x14ac:dyDescent="0.25">
      <c r="A1499" s="25" t="str">
        <f>IF($C1499="","",Registro_Compras!$B$170)</f>
        <v/>
      </c>
      <c r="B1499" t="str">
        <f>IF($C1499="","","C"&amp;TEXT(INT((ROW()-5)/9)+1,"000")&amp;"-1")</f>
        <v/>
      </c>
      <c r="C1499" t="str">
        <f>IF(OR(Registro_Compras!$C$170="",Registro_Compras!$O$170=""),"",IF(Registro_Compras!$F$170="NOTA DE CREDITO","4212",IF(Registro_Compras!$M$170="","63",Registro_Compras!$M$170)))</f>
        <v/>
      </c>
      <c r="D1499" t="str">
        <f>IF(OR(Registro_Compras!$C$170="",Registro_Compras!$O$170=""),"",IF(Registro_Compras!$F$170="NOTA DE CREDITO","Cuentas por Pagar Comerciales - Terceros (Emitidas)",IF(Registro_Compras!$F$170="RHE","Honorarios Profesionales - Servicios de Terceros","Gastos de Servicios Prestados por Terceros")))</f>
        <v/>
      </c>
      <c r="E1499" s="20" t="str">
        <f>IF($C1499="","",IF(Registro_Compras!$F$170="NOTA DE CREDITO",ABS(Registro_Compras!$O$170),IF(Registro_Compras!$F$170="RHE",ROUND(Registro_Compras!$L$170*Registro_Compras!$N$170,2),ROUND(Registro_Compras!$J$170*Registro_Compras!$N$170,2))))</f>
        <v/>
      </c>
      <c r="F1499" s="20" t="str">
        <f>""</f>
        <v/>
      </c>
      <c r="G1499" t="str">
        <f>IF($C1499="","",IF(Registro_Compras!$F$170="NOTA DE CREDITO","Por la nota de credito "&amp;Registro_Compras!$C$170&amp;" de "&amp;Registro_Compras!$E$170&amp;" [PATRON POR CONFIRMAR CON CONTADOR]",IF(Registro_Compras!$F$170="RHE","Por el registro del recibo por honorarios "&amp;Registro_Compras!$C$170&amp;" de "&amp;Registro_Compras!$E$170&amp;" [PATRON POR CONFIRMAR CON CONTADOR]","Por el registro de la factura "&amp;Registro_Compras!$C$170&amp;" de "&amp;Registro_Compras!$E$170)))</f>
        <v/>
      </c>
      <c r="H1499" t="str">
        <f>IF($C1499="","",Registro_Compras!$C$170)</f>
        <v/>
      </c>
    </row>
    <row r="1500" spans="1:8" x14ac:dyDescent="0.25">
      <c r="A1500" s="25" t="str">
        <f>IF($C1500="","",Registro_Compras!$B$170)</f>
        <v/>
      </c>
      <c r="B1500" t="str">
        <f>IF($C1500="","","C"&amp;TEXT(INT((ROW()-5)/9)+1,"000")&amp;"-1")</f>
        <v/>
      </c>
      <c r="C1500" t="str">
        <f>IF(OR(Registro_Compras!$C$170="",Registro_Compras!$O$170=""),"",IF(Registro_Compras!$F$170="RHE",IF(Registro_Compras!$V$170=0,"","4017"),IF(Registro_Compras!$F$170="NOTA DE CREDITO",IF(Registro_Compras!$M$170="","63",Registro_Compras!$M$170),IF(Registro_Compras!$K$170=0,"","40111"))))</f>
        <v/>
      </c>
      <c r="D1500" t="str">
        <f>IF(OR(Registro_Compras!$C$170="",Registro_Compras!$O$170=""),"",IF(Registro_Compras!$F$170="RHE","Retencion Renta 4ta Categoria por Pagar",IF(Registro_Compras!$F$170="NOTA DE CREDITO","Gastos de Servicios Prestados por Terceros","IGV - Cuenta Propia (Credito Fiscal)")))</f>
        <v/>
      </c>
      <c r="E1500" s="20" t="str">
        <f>IF($C1500="","",IF(Registro_Compras!$F$170="FACTURA",ROUND(Registro_Compras!$K$170*Registro_Compras!$N$170,2),""))</f>
        <v/>
      </c>
      <c r="F1500" s="20" t="str">
        <f>IF($C1500="","",IF(Registro_Compras!$F$170="RHE",ROUND(Registro_Compras!$V$170*Registro_Compras!$N$170,2),IF(Registro_Compras!$F$170="NOTA DE CREDITO",ROUND(ABS(Registro_Compras!$J$170*Registro_Compras!$N$170),2),"")))</f>
        <v/>
      </c>
      <c r="G1500" t="str">
        <f>IF($C1500="","",IF(Registro_Compras!$F$170="NOTA DE CREDITO","Por la nota de credito "&amp;Registro_Compras!$C$170&amp;" de "&amp;Registro_Compras!$E$170&amp;" [PATRON POR CONFIRMAR CON CONTADOR]",IF(Registro_Compras!$F$170="RHE","Por el registro del recibo por honorarios "&amp;Registro_Compras!$C$170&amp;" de "&amp;Registro_Compras!$E$170&amp;" [PATRON POR CONFIRMAR CON CONTADOR]","Por el registro de la factura "&amp;Registro_Compras!$C$170&amp;" de "&amp;Registro_Compras!$E$170)))</f>
        <v/>
      </c>
      <c r="H1500" t="str">
        <f>IF($C1500="","",Registro_Compras!$C$170)</f>
        <v/>
      </c>
    </row>
    <row r="1501" spans="1:8" x14ac:dyDescent="0.25">
      <c r="A1501" s="25" t="str">
        <f>IF($C1501="","",Registro_Compras!$B$170)</f>
        <v/>
      </c>
      <c r="B1501" t="str">
        <f>IF($C1501="","","C"&amp;TEXT(INT((ROW()-5)/9)+1,"000")&amp;"-1")</f>
        <v/>
      </c>
      <c r="C1501" t="str">
        <f>IF(OR(Registro_Compras!$C$170="",Registro_Compras!$O$170=""),"",IF(Registro_Compras!$F$170="NOTA DE CREDITO",IF(Registro_Compras!$K$170=0,"","40111"),"4212"))</f>
        <v/>
      </c>
      <c r="D1501" t="str">
        <f>IF(OR(Registro_Compras!$C$170="",Registro_Compras!$O$170=""),"",IF(Registro_Compras!$F$170="NOTA DE CREDITO","IGV - Cuenta Propia (Credito Fiscal)","Cuentas por Pagar Comerciales - Terceros (Emitidas)"))</f>
        <v/>
      </c>
      <c r="E1501" s="20" t="str">
        <f>""</f>
        <v/>
      </c>
      <c r="F1501" s="20" t="str">
        <f>IF($C1501="","",IF(Registro_Compras!$F$170="NOTA DE CREDITO",ROUND(ABS(Registro_Compras!$K$170*Registro_Compras!$N$170),2),IF(Registro_Compras!$F$170="RHE",(ROUND(Registro_Compras!$L$170*Registro_Compras!$N$170,2)-ROUND(Registro_Compras!$V$170*Registro_Compras!$N$170,2)),Registro_Compras!$O$170)))</f>
        <v/>
      </c>
      <c r="G1501" t="str">
        <f>IF($C1501="","",IF(Registro_Compras!$F$170="NOTA DE CREDITO","Por la nota de credito "&amp;Registro_Compras!$C$170&amp;" de "&amp;Registro_Compras!$E$170&amp;" [PATRON POR CONFIRMAR CON CONTADOR]",IF(Registro_Compras!$F$170="RHE","Por el registro del recibo por honorarios "&amp;Registro_Compras!$C$170&amp;" de "&amp;Registro_Compras!$E$170&amp;" [PATRON POR CONFIRMAR CON CONTADOR]","Por el registro de la factura "&amp;Registro_Compras!$C$170&amp;" de "&amp;Registro_Compras!$E$170)))</f>
        <v/>
      </c>
      <c r="H1501" t="str">
        <f>IF($C1501="","",Registro_Compras!$C$170)</f>
        <v/>
      </c>
    </row>
    <row r="1502" spans="1:8" x14ac:dyDescent="0.25">
      <c r="A1502" s="25" t="str">
        <f>IF($C1502="","",Registro_Compras!$B$170)</f>
        <v/>
      </c>
      <c r="B1502" t="str">
        <f>IF($C1502="","","C"&amp;TEXT(INT((ROW()-5)/9)+1,"000")&amp;"-2")</f>
        <v/>
      </c>
      <c r="C1502" t="str">
        <f>IF(OR(Registro_Compras!$C$170="",Registro_Compras!$O$170=""),"",IF(Registro_Compras!$AB$170="ADMINISTRATIVO","94","95"))</f>
        <v/>
      </c>
      <c r="D1502" t="str">
        <f>IF(OR(Registro_Compras!$C$170="",Registro_Compras!$O$170=""),"",IF(Registro_Compras!$AB$170="ADMINISTRATIVO","Gastos Administrativos","Gastos de Venta y Operacion"))</f>
        <v/>
      </c>
      <c r="E1502" s="20" t="str">
        <f>IF($C1502="","",IF(Registro_Compras!$F$170="NOTA DE CREDITO","",IF(Registro_Compras!$F$170="RHE",ROUND(Registro_Compras!$L$170*Registro_Compras!$N$170,2),ROUND(Registro_Compras!$J$170*Registro_Compras!$N$170,2))))</f>
        <v/>
      </c>
      <c r="F1502" s="20" t="str">
        <f>IF($C1502="","",IF(Registro_Compras!$F$170="NOTA DE CREDITO",ROUND(ABS(Registro_Compras!$J$170*Registro_Compras!$N$170),2),""))</f>
        <v/>
      </c>
      <c r="G1502" t="str">
        <f>IF($C1502="","","Por el destino del gasto")</f>
        <v/>
      </c>
      <c r="H1502" t="str">
        <f>IF($C1502="","",Registro_Compras!$C$170)</f>
        <v/>
      </c>
    </row>
    <row r="1503" spans="1:8" x14ac:dyDescent="0.25">
      <c r="A1503" s="25" t="str">
        <f>IF($C1503="","",Registro_Compras!$B$170)</f>
        <v/>
      </c>
      <c r="B1503" t="str">
        <f>IF($C1503="","","C"&amp;TEXT(INT((ROW()-5)/9)+1,"000")&amp;"-2")</f>
        <v/>
      </c>
      <c r="C1503" t="str">
        <f>IF(OR(Registro_Compras!$C$170="",Registro_Compras!$O$170=""),"","79/791")</f>
        <v/>
      </c>
      <c r="D1503" t="str">
        <f>IF(OR(Registro_Compras!$C$170="",Registro_Compras!$O$170=""),"","Cargas Imputables a Cuentas de Costos y Gastos")</f>
        <v/>
      </c>
      <c r="E1503" s="20" t="str">
        <f>IF($C1503="","",IF(Registro_Compras!$F$170="NOTA DE CREDITO",ROUND(ABS(Registro_Compras!$J$170*Registro_Compras!$N$170),2),""))</f>
        <v/>
      </c>
      <c r="F1503" s="20" t="str">
        <f>IF($C1503="","",IF(Registro_Compras!$F$170="NOTA DE CREDITO","",IF(Registro_Compras!$F$170="RHE",ROUND(Registro_Compras!$L$170*Registro_Compras!$N$170,2),ROUND(Registro_Compras!$J$170*Registro_Compras!$N$170,2))))</f>
        <v/>
      </c>
      <c r="G1503" t="str">
        <f>IF($C1503="","","Por el destino del gasto")</f>
        <v/>
      </c>
      <c r="H1503" t="str">
        <f>IF($C1503="","",Registro_Compras!$C$170)</f>
        <v/>
      </c>
    </row>
    <row r="1504" spans="1:8" x14ac:dyDescent="0.25">
      <c r="A1504" s="25" t="str">
        <f>IF($C1504="","",Registro_Compras!$X$170)</f>
        <v/>
      </c>
      <c r="B1504" t="str">
        <f>IF($C1504="","","C"&amp;TEXT(INT((ROW()-5)/9)+1,"000")&amp;"-3")</f>
        <v/>
      </c>
      <c r="C1504" t="str">
        <f>IF(OR(Registro_Compras!$C$170="",Registro_Compras!$O$170="",Registro_Compras!$R$170&lt;&gt;"SI",Registro_Compras!$X$170=""),"","4212")</f>
        <v/>
      </c>
      <c r="D1504" t="str">
        <f>IF(OR(Registro_Compras!$C$170="",Registro_Compras!$O$170=""),"","Cuentas por Pagar Comerciales - Terceros")</f>
        <v/>
      </c>
      <c r="E1504" s="20" t="str">
        <f>IF($C1504="","",Registro_Compras!$S$170)</f>
        <v/>
      </c>
      <c r="F1504" s="20" t="str">
        <f>""</f>
        <v/>
      </c>
      <c r="G1504" t="str">
        <f>IF($C1504="","","Por el deposito de la detraccion en el Banco de la Nacion")</f>
        <v/>
      </c>
      <c r="H1504" t="str">
        <f>IF($C1504="","",Registro_Compras!$C$170)</f>
        <v/>
      </c>
    </row>
    <row r="1505" spans="1:8" x14ac:dyDescent="0.25">
      <c r="A1505" s="25" t="str">
        <f>IF($C1505="","",Registro_Compras!$X$170)</f>
        <v/>
      </c>
      <c r="B1505" t="str">
        <f>IF($C1505="","","C"&amp;TEXT(INT((ROW()-5)/9)+1,"000")&amp;"-3")</f>
        <v/>
      </c>
      <c r="C1505" t="str">
        <f>IF(OR(Registro_Compras!$C$170="",Registro_Compras!$O$170="",Registro_Compras!$R$170&lt;&gt;"SI",Registro_Compras!$X$170=""),"","1041")</f>
        <v/>
      </c>
      <c r="D1505" t="str">
        <f>IF(OR(Registro_Compras!$C$170="",Registro_Compras!$O$170=""),"","Efectivo y Equivalentes - Cta. Cte. Operativa")</f>
        <v/>
      </c>
      <c r="E1505" s="20" t="str">
        <f>""</f>
        <v/>
      </c>
      <c r="F1505" s="20" t="str">
        <f>IF($C1505="","",Registro_Compras!$S$170)</f>
        <v/>
      </c>
      <c r="G1505" t="str">
        <f>IF($C1505="","","Por el deposito de la detraccion en el Banco de la Nacion")</f>
        <v/>
      </c>
      <c r="H1505" t="str">
        <f>IF($C1505="","",Registro_Compras!$C$170)</f>
        <v/>
      </c>
    </row>
    <row r="1506" spans="1:8" x14ac:dyDescent="0.25">
      <c r="A1506" s="25" t="str">
        <f>IF($C1506="","",Registro_Compras!$Y$170)</f>
        <v/>
      </c>
      <c r="B1506" t="str">
        <f>IF($C1506="","","C"&amp;TEXT(INT((ROW()-5)/9)+1,"000")&amp;"-4")</f>
        <v/>
      </c>
      <c r="C1506" t="str">
        <f>IF(OR(Registro_Compras!$C$170="",Registro_Compras!$O$170="",Registro_Compras!$Y$170="",Registro_Compras!$F$170="NOTA DE CREDITO"),"","4212")</f>
        <v/>
      </c>
      <c r="D1506" t="str">
        <f>IF(OR(Registro_Compras!$C$170="",Registro_Compras!$O$170=""),"","Cuentas por Pagar Comerciales - Terceros")</f>
        <v/>
      </c>
      <c r="E1506" s="20" t="str">
        <f>IF($C1506="","",IF(Registro_Compras!$F$170="RHE",(ROUND(Registro_Compras!$L$170*Registro_Compras!$N$170,2)-ROUND(Registro_Compras!$V$170*Registro_Compras!$N$170,2)),ROUND(Registro_Compras!$O$170-Registro_Compras!$S$170,2)))</f>
        <v/>
      </c>
      <c r="F1506" s="20" t="str">
        <f>""</f>
        <v/>
      </c>
      <c r="G1506" t="str">
        <f>IF($C1506="","","Por la cancelacion del saldo al proveedor")</f>
        <v/>
      </c>
      <c r="H1506" t="str">
        <f>IF($C1506="","",Registro_Compras!$C$170)</f>
        <v/>
      </c>
    </row>
    <row r="1507" spans="1:8" x14ac:dyDescent="0.25">
      <c r="A1507" s="25" t="str">
        <f>IF($C1507="","",Registro_Compras!$Y$170)</f>
        <v/>
      </c>
      <c r="B1507" t="str">
        <f>IF($C1507="","","C"&amp;TEXT(INT((ROW()-5)/9)+1,"000")&amp;"-4")</f>
        <v/>
      </c>
      <c r="C1507" t="str">
        <f>IF(OR(Registro_Compras!$C$170="",Registro_Compras!$O$170="",Registro_Compras!$Y$170="",Registro_Compras!$F$170="NOTA DE CREDITO"),"","1041")</f>
        <v/>
      </c>
      <c r="D1507" t="str">
        <f>IF(OR(Registro_Compras!$C$170="",Registro_Compras!$O$170=""),"","Efectivo y Equivalentes - Cta. Cte. Operativa")</f>
        <v/>
      </c>
      <c r="E1507" s="20" t="str">
        <f>""</f>
        <v/>
      </c>
      <c r="F1507" s="20" t="str">
        <f>IF($C1507="","",IF(Registro_Compras!$F$170="RHE",(ROUND(Registro_Compras!$L$170*Registro_Compras!$N$170,2)-ROUND(Registro_Compras!$V$170*Registro_Compras!$N$170,2)),ROUND(Registro_Compras!$O$170-Registro_Compras!$S$170,2)))</f>
        <v/>
      </c>
      <c r="G1507" t="str">
        <f>IF($C1507="","","Por la cancelacion del saldo al proveedor")</f>
        <v/>
      </c>
      <c r="H1507" t="str">
        <f>IF($C1507="","",Registro_Compras!$C$170)</f>
        <v/>
      </c>
    </row>
    <row r="1508" spans="1:8" x14ac:dyDescent="0.25">
      <c r="A1508" s="25" t="str">
        <f>IF($C1508="","",Registro_Compras!$B$171)</f>
        <v/>
      </c>
      <c r="B1508" t="str">
        <f>IF($C1508="","","C"&amp;TEXT(INT((ROW()-5)/9)+1,"000")&amp;"-1")</f>
        <v/>
      </c>
      <c r="C1508" t="str">
        <f>IF(OR(Registro_Compras!$C$171="",Registro_Compras!$O$171=""),"",IF(Registro_Compras!$F$171="NOTA DE CREDITO","4212",IF(Registro_Compras!$M$171="","63",Registro_Compras!$M$171)))</f>
        <v/>
      </c>
      <c r="D1508" t="str">
        <f>IF(OR(Registro_Compras!$C$171="",Registro_Compras!$O$171=""),"",IF(Registro_Compras!$F$171="NOTA DE CREDITO","Cuentas por Pagar Comerciales - Terceros (Emitidas)",IF(Registro_Compras!$F$171="RHE","Honorarios Profesionales - Servicios de Terceros","Gastos de Servicios Prestados por Terceros")))</f>
        <v/>
      </c>
      <c r="E1508" s="20" t="str">
        <f>IF($C1508="","",IF(Registro_Compras!$F$171="NOTA DE CREDITO",ABS(Registro_Compras!$O$171),IF(Registro_Compras!$F$171="RHE",ROUND(Registro_Compras!$L$171*Registro_Compras!$N$171,2),ROUND(Registro_Compras!$J$171*Registro_Compras!$N$171,2))))</f>
        <v/>
      </c>
      <c r="F1508" s="20" t="str">
        <f>""</f>
        <v/>
      </c>
      <c r="G1508" t="str">
        <f>IF($C1508="","",IF(Registro_Compras!$F$171="NOTA DE CREDITO","Por la nota de credito "&amp;Registro_Compras!$C$171&amp;" de "&amp;Registro_Compras!$E$171&amp;" [PATRON POR CONFIRMAR CON CONTADOR]",IF(Registro_Compras!$F$171="RHE","Por el registro del recibo por honorarios "&amp;Registro_Compras!$C$171&amp;" de "&amp;Registro_Compras!$E$171&amp;" [PATRON POR CONFIRMAR CON CONTADOR]","Por el registro de la factura "&amp;Registro_Compras!$C$171&amp;" de "&amp;Registro_Compras!$E$171)))</f>
        <v/>
      </c>
      <c r="H1508" t="str">
        <f>IF($C1508="","",Registro_Compras!$C$171)</f>
        <v/>
      </c>
    </row>
    <row r="1509" spans="1:8" x14ac:dyDescent="0.25">
      <c r="A1509" s="25" t="str">
        <f>IF($C1509="","",Registro_Compras!$B$171)</f>
        <v/>
      </c>
      <c r="B1509" t="str">
        <f>IF($C1509="","","C"&amp;TEXT(INT((ROW()-5)/9)+1,"000")&amp;"-1")</f>
        <v/>
      </c>
      <c r="C1509" t="str">
        <f>IF(OR(Registro_Compras!$C$171="",Registro_Compras!$O$171=""),"",IF(Registro_Compras!$F$171="RHE",IF(Registro_Compras!$V$171=0,"","4017"),IF(Registro_Compras!$F$171="NOTA DE CREDITO",IF(Registro_Compras!$M$171="","63",Registro_Compras!$M$171),IF(Registro_Compras!$K$171=0,"","40111"))))</f>
        <v/>
      </c>
      <c r="D1509" t="str">
        <f>IF(OR(Registro_Compras!$C$171="",Registro_Compras!$O$171=""),"",IF(Registro_Compras!$F$171="RHE","Retencion Renta 4ta Categoria por Pagar",IF(Registro_Compras!$F$171="NOTA DE CREDITO","Gastos de Servicios Prestados por Terceros","IGV - Cuenta Propia (Credito Fiscal)")))</f>
        <v/>
      </c>
      <c r="E1509" s="20" t="str">
        <f>IF($C1509="","",IF(Registro_Compras!$F$171="FACTURA",ROUND(Registro_Compras!$K$171*Registro_Compras!$N$171,2),""))</f>
        <v/>
      </c>
      <c r="F1509" s="20" t="str">
        <f>IF($C1509="","",IF(Registro_Compras!$F$171="RHE",ROUND(Registro_Compras!$V$171*Registro_Compras!$N$171,2),IF(Registro_Compras!$F$171="NOTA DE CREDITO",ROUND(ABS(Registro_Compras!$J$171*Registro_Compras!$N$171),2),"")))</f>
        <v/>
      </c>
      <c r="G1509" t="str">
        <f>IF($C1509="","",IF(Registro_Compras!$F$171="NOTA DE CREDITO","Por la nota de credito "&amp;Registro_Compras!$C$171&amp;" de "&amp;Registro_Compras!$E$171&amp;" [PATRON POR CONFIRMAR CON CONTADOR]",IF(Registro_Compras!$F$171="RHE","Por el registro del recibo por honorarios "&amp;Registro_Compras!$C$171&amp;" de "&amp;Registro_Compras!$E$171&amp;" [PATRON POR CONFIRMAR CON CONTADOR]","Por el registro de la factura "&amp;Registro_Compras!$C$171&amp;" de "&amp;Registro_Compras!$E$171)))</f>
        <v/>
      </c>
      <c r="H1509" t="str">
        <f>IF($C1509="","",Registro_Compras!$C$171)</f>
        <v/>
      </c>
    </row>
    <row r="1510" spans="1:8" x14ac:dyDescent="0.25">
      <c r="A1510" s="25" t="str">
        <f>IF($C1510="","",Registro_Compras!$B$171)</f>
        <v/>
      </c>
      <c r="B1510" t="str">
        <f>IF($C1510="","","C"&amp;TEXT(INT((ROW()-5)/9)+1,"000")&amp;"-1")</f>
        <v/>
      </c>
      <c r="C1510" t="str">
        <f>IF(OR(Registro_Compras!$C$171="",Registro_Compras!$O$171=""),"",IF(Registro_Compras!$F$171="NOTA DE CREDITO",IF(Registro_Compras!$K$171=0,"","40111"),"4212"))</f>
        <v/>
      </c>
      <c r="D1510" t="str">
        <f>IF(OR(Registro_Compras!$C$171="",Registro_Compras!$O$171=""),"",IF(Registro_Compras!$F$171="NOTA DE CREDITO","IGV - Cuenta Propia (Credito Fiscal)","Cuentas por Pagar Comerciales - Terceros (Emitidas)"))</f>
        <v/>
      </c>
      <c r="E1510" s="20" t="str">
        <f>""</f>
        <v/>
      </c>
      <c r="F1510" s="20" t="str">
        <f>IF($C1510="","",IF(Registro_Compras!$F$171="NOTA DE CREDITO",ROUND(ABS(Registro_Compras!$K$171*Registro_Compras!$N$171),2),IF(Registro_Compras!$F$171="RHE",(ROUND(Registro_Compras!$L$171*Registro_Compras!$N$171,2)-ROUND(Registro_Compras!$V$171*Registro_Compras!$N$171,2)),Registro_Compras!$O$171)))</f>
        <v/>
      </c>
      <c r="G1510" t="str">
        <f>IF($C1510="","",IF(Registro_Compras!$F$171="NOTA DE CREDITO","Por la nota de credito "&amp;Registro_Compras!$C$171&amp;" de "&amp;Registro_Compras!$E$171&amp;" [PATRON POR CONFIRMAR CON CONTADOR]",IF(Registro_Compras!$F$171="RHE","Por el registro del recibo por honorarios "&amp;Registro_Compras!$C$171&amp;" de "&amp;Registro_Compras!$E$171&amp;" [PATRON POR CONFIRMAR CON CONTADOR]","Por el registro de la factura "&amp;Registro_Compras!$C$171&amp;" de "&amp;Registro_Compras!$E$171)))</f>
        <v/>
      </c>
      <c r="H1510" t="str">
        <f>IF($C1510="","",Registro_Compras!$C$171)</f>
        <v/>
      </c>
    </row>
    <row r="1511" spans="1:8" x14ac:dyDescent="0.25">
      <c r="A1511" s="25" t="str">
        <f>IF($C1511="","",Registro_Compras!$B$171)</f>
        <v/>
      </c>
      <c r="B1511" t="str">
        <f>IF($C1511="","","C"&amp;TEXT(INT((ROW()-5)/9)+1,"000")&amp;"-2")</f>
        <v/>
      </c>
      <c r="C1511" t="str">
        <f>IF(OR(Registro_Compras!$C$171="",Registro_Compras!$O$171=""),"",IF(Registro_Compras!$AB$171="ADMINISTRATIVO","94","95"))</f>
        <v/>
      </c>
      <c r="D1511" t="str">
        <f>IF(OR(Registro_Compras!$C$171="",Registro_Compras!$O$171=""),"",IF(Registro_Compras!$AB$171="ADMINISTRATIVO","Gastos Administrativos","Gastos de Venta y Operacion"))</f>
        <v/>
      </c>
      <c r="E1511" s="20" t="str">
        <f>IF($C1511="","",IF(Registro_Compras!$F$171="NOTA DE CREDITO","",IF(Registro_Compras!$F$171="RHE",ROUND(Registro_Compras!$L$171*Registro_Compras!$N$171,2),ROUND(Registro_Compras!$J$171*Registro_Compras!$N$171,2))))</f>
        <v/>
      </c>
      <c r="F1511" s="20" t="str">
        <f>IF($C1511="","",IF(Registro_Compras!$F$171="NOTA DE CREDITO",ROUND(ABS(Registro_Compras!$J$171*Registro_Compras!$N$171),2),""))</f>
        <v/>
      </c>
      <c r="G1511" t="str">
        <f>IF($C1511="","","Por el destino del gasto")</f>
        <v/>
      </c>
      <c r="H1511" t="str">
        <f>IF($C1511="","",Registro_Compras!$C$171)</f>
        <v/>
      </c>
    </row>
    <row r="1512" spans="1:8" x14ac:dyDescent="0.25">
      <c r="A1512" s="25" t="str">
        <f>IF($C1512="","",Registro_Compras!$B$171)</f>
        <v/>
      </c>
      <c r="B1512" t="str">
        <f>IF($C1512="","","C"&amp;TEXT(INT((ROW()-5)/9)+1,"000")&amp;"-2")</f>
        <v/>
      </c>
      <c r="C1512" t="str">
        <f>IF(OR(Registro_Compras!$C$171="",Registro_Compras!$O$171=""),"","79/791")</f>
        <v/>
      </c>
      <c r="D1512" t="str">
        <f>IF(OR(Registro_Compras!$C$171="",Registro_Compras!$O$171=""),"","Cargas Imputables a Cuentas de Costos y Gastos")</f>
        <v/>
      </c>
      <c r="E1512" s="20" t="str">
        <f>IF($C1512="","",IF(Registro_Compras!$F$171="NOTA DE CREDITO",ROUND(ABS(Registro_Compras!$J$171*Registro_Compras!$N$171),2),""))</f>
        <v/>
      </c>
      <c r="F1512" s="20" t="str">
        <f>IF($C1512="","",IF(Registro_Compras!$F$171="NOTA DE CREDITO","",IF(Registro_Compras!$F$171="RHE",ROUND(Registro_Compras!$L$171*Registro_Compras!$N$171,2),ROUND(Registro_Compras!$J$171*Registro_Compras!$N$171,2))))</f>
        <v/>
      </c>
      <c r="G1512" t="str">
        <f>IF($C1512="","","Por el destino del gasto")</f>
        <v/>
      </c>
      <c r="H1512" t="str">
        <f>IF($C1512="","",Registro_Compras!$C$171)</f>
        <v/>
      </c>
    </row>
    <row r="1513" spans="1:8" x14ac:dyDescent="0.25">
      <c r="A1513" s="25" t="str">
        <f>IF($C1513="","",Registro_Compras!$X$171)</f>
        <v/>
      </c>
      <c r="B1513" t="str">
        <f>IF($C1513="","","C"&amp;TEXT(INT((ROW()-5)/9)+1,"000")&amp;"-3")</f>
        <v/>
      </c>
      <c r="C1513" t="str">
        <f>IF(OR(Registro_Compras!$C$171="",Registro_Compras!$O$171="",Registro_Compras!$R$171&lt;&gt;"SI",Registro_Compras!$X$171=""),"","4212")</f>
        <v/>
      </c>
      <c r="D1513" t="str">
        <f>IF(OR(Registro_Compras!$C$171="",Registro_Compras!$O$171=""),"","Cuentas por Pagar Comerciales - Terceros")</f>
        <v/>
      </c>
      <c r="E1513" s="20" t="str">
        <f>IF($C1513="","",Registro_Compras!$S$171)</f>
        <v/>
      </c>
      <c r="F1513" s="20" t="str">
        <f>""</f>
        <v/>
      </c>
      <c r="G1513" t="str">
        <f>IF($C1513="","","Por el deposito de la detraccion en el Banco de la Nacion")</f>
        <v/>
      </c>
      <c r="H1513" t="str">
        <f>IF($C1513="","",Registro_Compras!$C$171)</f>
        <v/>
      </c>
    </row>
    <row r="1514" spans="1:8" x14ac:dyDescent="0.25">
      <c r="A1514" s="25" t="str">
        <f>IF($C1514="","",Registro_Compras!$X$171)</f>
        <v/>
      </c>
      <c r="B1514" t="str">
        <f>IF($C1514="","","C"&amp;TEXT(INT((ROW()-5)/9)+1,"000")&amp;"-3")</f>
        <v/>
      </c>
      <c r="C1514" t="str">
        <f>IF(OR(Registro_Compras!$C$171="",Registro_Compras!$O$171="",Registro_Compras!$R$171&lt;&gt;"SI",Registro_Compras!$X$171=""),"","1041")</f>
        <v/>
      </c>
      <c r="D1514" t="str">
        <f>IF(OR(Registro_Compras!$C$171="",Registro_Compras!$O$171=""),"","Efectivo y Equivalentes - Cta. Cte. Operativa")</f>
        <v/>
      </c>
      <c r="E1514" s="20" t="str">
        <f>""</f>
        <v/>
      </c>
      <c r="F1514" s="20" t="str">
        <f>IF($C1514="","",Registro_Compras!$S$171)</f>
        <v/>
      </c>
      <c r="G1514" t="str">
        <f>IF($C1514="","","Por el deposito de la detraccion en el Banco de la Nacion")</f>
        <v/>
      </c>
      <c r="H1514" t="str">
        <f>IF($C1514="","",Registro_Compras!$C$171)</f>
        <v/>
      </c>
    </row>
    <row r="1515" spans="1:8" x14ac:dyDescent="0.25">
      <c r="A1515" s="25" t="str">
        <f>IF($C1515="","",Registro_Compras!$Y$171)</f>
        <v/>
      </c>
      <c r="B1515" t="str">
        <f>IF($C1515="","","C"&amp;TEXT(INT((ROW()-5)/9)+1,"000")&amp;"-4")</f>
        <v/>
      </c>
      <c r="C1515" t="str">
        <f>IF(OR(Registro_Compras!$C$171="",Registro_Compras!$O$171="",Registro_Compras!$Y$171="",Registro_Compras!$F$171="NOTA DE CREDITO"),"","4212")</f>
        <v/>
      </c>
      <c r="D1515" t="str">
        <f>IF(OR(Registro_Compras!$C$171="",Registro_Compras!$O$171=""),"","Cuentas por Pagar Comerciales - Terceros")</f>
        <v/>
      </c>
      <c r="E1515" s="20" t="str">
        <f>IF($C1515="","",IF(Registro_Compras!$F$171="RHE",(ROUND(Registro_Compras!$L$171*Registro_Compras!$N$171,2)-ROUND(Registro_Compras!$V$171*Registro_Compras!$N$171,2)),ROUND(Registro_Compras!$O$171-Registro_Compras!$S$171,2)))</f>
        <v/>
      </c>
      <c r="F1515" s="20" t="str">
        <f>""</f>
        <v/>
      </c>
      <c r="G1515" t="str">
        <f>IF($C1515="","","Por la cancelacion del saldo al proveedor")</f>
        <v/>
      </c>
      <c r="H1515" t="str">
        <f>IF($C1515="","",Registro_Compras!$C$171)</f>
        <v/>
      </c>
    </row>
    <row r="1516" spans="1:8" x14ac:dyDescent="0.25">
      <c r="A1516" s="25" t="str">
        <f>IF($C1516="","",Registro_Compras!$Y$171)</f>
        <v/>
      </c>
      <c r="B1516" t="str">
        <f>IF($C1516="","","C"&amp;TEXT(INT((ROW()-5)/9)+1,"000")&amp;"-4")</f>
        <v/>
      </c>
      <c r="C1516" t="str">
        <f>IF(OR(Registro_Compras!$C$171="",Registro_Compras!$O$171="",Registro_Compras!$Y$171="",Registro_Compras!$F$171="NOTA DE CREDITO"),"","1041")</f>
        <v/>
      </c>
      <c r="D1516" t="str">
        <f>IF(OR(Registro_Compras!$C$171="",Registro_Compras!$O$171=""),"","Efectivo y Equivalentes - Cta. Cte. Operativa")</f>
        <v/>
      </c>
      <c r="E1516" s="20" t="str">
        <f>""</f>
        <v/>
      </c>
      <c r="F1516" s="20" t="str">
        <f>IF($C1516="","",IF(Registro_Compras!$F$171="RHE",(ROUND(Registro_Compras!$L$171*Registro_Compras!$N$171,2)-ROUND(Registro_Compras!$V$171*Registro_Compras!$N$171,2)),ROUND(Registro_Compras!$O$171-Registro_Compras!$S$171,2)))</f>
        <v/>
      </c>
      <c r="G1516" t="str">
        <f>IF($C1516="","","Por la cancelacion del saldo al proveedor")</f>
        <v/>
      </c>
      <c r="H1516" t="str">
        <f>IF($C1516="","",Registro_Compras!$C$171)</f>
        <v/>
      </c>
    </row>
    <row r="1517" spans="1:8" x14ac:dyDescent="0.25">
      <c r="A1517" s="25" t="str">
        <f>IF($C1517="","",Registro_Compras!$B$172)</f>
        <v/>
      </c>
      <c r="B1517" t="str">
        <f>IF($C1517="","","C"&amp;TEXT(INT((ROW()-5)/9)+1,"000")&amp;"-1")</f>
        <v/>
      </c>
      <c r="C1517" t="str">
        <f>IF(OR(Registro_Compras!$C$172="",Registro_Compras!$O$172=""),"",IF(Registro_Compras!$F$172="NOTA DE CREDITO","4212",IF(Registro_Compras!$M$172="","63",Registro_Compras!$M$172)))</f>
        <v/>
      </c>
      <c r="D1517" t="str">
        <f>IF(OR(Registro_Compras!$C$172="",Registro_Compras!$O$172=""),"",IF(Registro_Compras!$F$172="NOTA DE CREDITO","Cuentas por Pagar Comerciales - Terceros (Emitidas)",IF(Registro_Compras!$F$172="RHE","Honorarios Profesionales - Servicios de Terceros","Gastos de Servicios Prestados por Terceros")))</f>
        <v/>
      </c>
      <c r="E1517" s="20" t="str">
        <f>IF($C1517="","",IF(Registro_Compras!$F$172="NOTA DE CREDITO",ABS(Registro_Compras!$O$172),IF(Registro_Compras!$F$172="RHE",ROUND(Registro_Compras!$L$172*Registro_Compras!$N$172,2),ROUND(Registro_Compras!$J$172*Registro_Compras!$N$172,2))))</f>
        <v/>
      </c>
      <c r="F1517" s="20" t="str">
        <f>""</f>
        <v/>
      </c>
      <c r="G1517" t="str">
        <f>IF($C1517="","",IF(Registro_Compras!$F$172="NOTA DE CREDITO","Por la nota de credito "&amp;Registro_Compras!$C$172&amp;" de "&amp;Registro_Compras!$E$172&amp;" [PATRON POR CONFIRMAR CON CONTADOR]",IF(Registro_Compras!$F$172="RHE","Por el registro del recibo por honorarios "&amp;Registro_Compras!$C$172&amp;" de "&amp;Registro_Compras!$E$172&amp;" [PATRON POR CONFIRMAR CON CONTADOR]","Por el registro de la factura "&amp;Registro_Compras!$C$172&amp;" de "&amp;Registro_Compras!$E$172)))</f>
        <v/>
      </c>
      <c r="H1517" t="str">
        <f>IF($C1517="","",Registro_Compras!$C$172)</f>
        <v/>
      </c>
    </row>
    <row r="1518" spans="1:8" x14ac:dyDescent="0.25">
      <c r="A1518" s="25" t="str">
        <f>IF($C1518="","",Registro_Compras!$B$172)</f>
        <v/>
      </c>
      <c r="B1518" t="str">
        <f>IF($C1518="","","C"&amp;TEXT(INT((ROW()-5)/9)+1,"000")&amp;"-1")</f>
        <v/>
      </c>
      <c r="C1518" t="str">
        <f>IF(OR(Registro_Compras!$C$172="",Registro_Compras!$O$172=""),"",IF(Registro_Compras!$F$172="RHE",IF(Registro_Compras!$V$172=0,"","4017"),IF(Registro_Compras!$F$172="NOTA DE CREDITO",IF(Registro_Compras!$M$172="","63",Registro_Compras!$M$172),IF(Registro_Compras!$K$172=0,"","40111"))))</f>
        <v/>
      </c>
      <c r="D1518" t="str">
        <f>IF(OR(Registro_Compras!$C$172="",Registro_Compras!$O$172=""),"",IF(Registro_Compras!$F$172="RHE","Retencion Renta 4ta Categoria por Pagar",IF(Registro_Compras!$F$172="NOTA DE CREDITO","Gastos de Servicios Prestados por Terceros","IGV - Cuenta Propia (Credito Fiscal)")))</f>
        <v/>
      </c>
      <c r="E1518" s="20" t="str">
        <f>IF($C1518="","",IF(Registro_Compras!$F$172="FACTURA",ROUND(Registro_Compras!$K$172*Registro_Compras!$N$172,2),""))</f>
        <v/>
      </c>
      <c r="F1518" s="20" t="str">
        <f>IF($C1518="","",IF(Registro_Compras!$F$172="RHE",ROUND(Registro_Compras!$V$172*Registro_Compras!$N$172,2),IF(Registro_Compras!$F$172="NOTA DE CREDITO",ROUND(ABS(Registro_Compras!$J$172*Registro_Compras!$N$172),2),"")))</f>
        <v/>
      </c>
      <c r="G1518" t="str">
        <f>IF($C1518="","",IF(Registro_Compras!$F$172="NOTA DE CREDITO","Por la nota de credito "&amp;Registro_Compras!$C$172&amp;" de "&amp;Registro_Compras!$E$172&amp;" [PATRON POR CONFIRMAR CON CONTADOR]",IF(Registro_Compras!$F$172="RHE","Por el registro del recibo por honorarios "&amp;Registro_Compras!$C$172&amp;" de "&amp;Registro_Compras!$E$172&amp;" [PATRON POR CONFIRMAR CON CONTADOR]","Por el registro de la factura "&amp;Registro_Compras!$C$172&amp;" de "&amp;Registro_Compras!$E$172)))</f>
        <v/>
      </c>
      <c r="H1518" t="str">
        <f>IF($C1518="","",Registro_Compras!$C$172)</f>
        <v/>
      </c>
    </row>
    <row r="1519" spans="1:8" x14ac:dyDescent="0.25">
      <c r="A1519" s="25" t="str">
        <f>IF($C1519="","",Registro_Compras!$B$172)</f>
        <v/>
      </c>
      <c r="B1519" t="str">
        <f>IF($C1519="","","C"&amp;TEXT(INT((ROW()-5)/9)+1,"000")&amp;"-1")</f>
        <v/>
      </c>
      <c r="C1519" t="str">
        <f>IF(OR(Registro_Compras!$C$172="",Registro_Compras!$O$172=""),"",IF(Registro_Compras!$F$172="NOTA DE CREDITO",IF(Registro_Compras!$K$172=0,"","40111"),"4212"))</f>
        <v/>
      </c>
      <c r="D1519" t="str">
        <f>IF(OR(Registro_Compras!$C$172="",Registro_Compras!$O$172=""),"",IF(Registro_Compras!$F$172="NOTA DE CREDITO","IGV - Cuenta Propia (Credito Fiscal)","Cuentas por Pagar Comerciales - Terceros (Emitidas)"))</f>
        <v/>
      </c>
      <c r="E1519" s="20" t="str">
        <f>""</f>
        <v/>
      </c>
      <c r="F1519" s="20" t="str">
        <f>IF($C1519="","",IF(Registro_Compras!$F$172="NOTA DE CREDITO",ROUND(ABS(Registro_Compras!$K$172*Registro_Compras!$N$172),2),IF(Registro_Compras!$F$172="RHE",(ROUND(Registro_Compras!$L$172*Registro_Compras!$N$172,2)-ROUND(Registro_Compras!$V$172*Registro_Compras!$N$172,2)),Registro_Compras!$O$172)))</f>
        <v/>
      </c>
      <c r="G1519" t="str">
        <f>IF($C1519="","",IF(Registro_Compras!$F$172="NOTA DE CREDITO","Por la nota de credito "&amp;Registro_Compras!$C$172&amp;" de "&amp;Registro_Compras!$E$172&amp;" [PATRON POR CONFIRMAR CON CONTADOR]",IF(Registro_Compras!$F$172="RHE","Por el registro del recibo por honorarios "&amp;Registro_Compras!$C$172&amp;" de "&amp;Registro_Compras!$E$172&amp;" [PATRON POR CONFIRMAR CON CONTADOR]","Por el registro de la factura "&amp;Registro_Compras!$C$172&amp;" de "&amp;Registro_Compras!$E$172)))</f>
        <v/>
      </c>
      <c r="H1519" t="str">
        <f>IF($C1519="","",Registro_Compras!$C$172)</f>
        <v/>
      </c>
    </row>
    <row r="1520" spans="1:8" x14ac:dyDescent="0.25">
      <c r="A1520" s="25" t="str">
        <f>IF($C1520="","",Registro_Compras!$B$172)</f>
        <v/>
      </c>
      <c r="B1520" t="str">
        <f>IF($C1520="","","C"&amp;TEXT(INT((ROW()-5)/9)+1,"000")&amp;"-2")</f>
        <v/>
      </c>
      <c r="C1520" t="str">
        <f>IF(OR(Registro_Compras!$C$172="",Registro_Compras!$O$172=""),"",IF(Registro_Compras!$AB$172="ADMINISTRATIVO","94","95"))</f>
        <v/>
      </c>
      <c r="D1520" t="str">
        <f>IF(OR(Registro_Compras!$C$172="",Registro_Compras!$O$172=""),"",IF(Registro_Compras!$AB$172="ADMINISTRATIVO","Gastos Administrativos","Gastos de Venta y Operacion"))</f>
        <v/>
      </c>
      <c r="E1520" s="20" t="str">
        <f>IF($C1520="","",IF(Registro_Compras!$F$172="NOTA DE CREDITO","",IF(Registro_Compras!$F$172="RHE",ROUND(Registro_Compras!$L$172*Registro_Compras!$N$172,2),ROUND(Registro_Compras!$J$172*Registro_Compras!$N$172,2))))</f>
        <v/>
      </c>
      <c r="F1520" s="20" t="str">
        <f>IF($C1520="","",IF(Registro_Compras!$F$172="NOTA DE CREDITO",ROUND(ABS(Registro_Compras!$J$172*Registro_Compras!$N$172),2),""))</f>
        <v/>
      </c>
      <c r="G1520" t="str">
        <f>IF($C1520="","","Por el destino del gasto")</f>
        <v/>
      </c>
      <c r="H1520" t="str">
        <f>IF($C1520="","",Registro_Compras!$C$172)</f>
        <v/>
      </c>
    </row>
    <row r="1521" spans="1:8" x14ac:dyDescent="0.25">
      <c r="A1521" s="25" t="str">
        <f>IF($C1521="","",Registro_Compras!$B$172)</f>
        <v/>
      </c>
      <c r="B1521" t="str">
        <f>IF($C1521="","","C"&amp;TEXT(INT((ROW()-5)/9)+1,"000")&amp;"-2")</f>
        <v/>
      </c>
      <c r="C1521" t="str">
        <f>IF(OR(Registro_Compras!$C$172="",Registro_Compras!$O$172=""),"","79/791")</f>
        <v/>
      </c>
      <c r="D1521" t="str">
        <f>IF(OR(Registro_Compras!$C$172="",Registro_Compras!$O$172=""),"","Cargas Imputables a Cuentas de Costos y Gastos")</f>
        <v/>
      </c>
      <c r="E1521" s="20" t="str">
        <f>IF($C1521="","",IF(Registro_Compras!$F$172="NOTA DE CREDITO",ROUND(ABS(Registro_Compras!$J$172*Registro_Compras!$N$172),2),""))</f>
        <v/>
      </c>
      <c r="F1521" s="20" t="str">
        <f>IF($C1521="","",IF(Registro_Compras!$F$172="NOTA DE CREDITO","",IF(Registro_Compras!$F$172="RHE",ROUND(Registro_Compras!$L$172*Registro_Compras!$N$172,2),ROUND(Registro_Compras!$J$172*Registro_Compras!$N$172,2))))</f>
        <v/>
      </c>
      <c r="G1521" t="str">
        <f>IF($C1521="","","Por el destino del gasto")</f>
        <v/>
      </c>
      <c r="H1521" t="str">
        <f>IF($C1521="","",Registro_Compras!$C$172)</f>
        <v/>
      </c>
    </row>
    <row r="1522" spans="1:8" x14ac:dyDescent="0.25">
      <c r="A1522" s="25" t="str">
        <f>IF($C1522="","",Registro_Compras!$X$172)</f>
        <v/>
      </c>
      <c r="B1522" t="str">
        <f>IF($C1522="","","C"&amp;TEXT(INT((ROW()-5)/9)+1,"000")&amp;"-3")</f>
        <v/>
      </c>
      <c r="C1522" t="str">
        <f>IF(OR(Registro_Compras!$C$172="",Registro_Compras!$O$172="",Registro_Compras!$R$172&lt;&gt;"SI",Registro_Compras!$X$172=""),"","4212")</f>
        <v/>
      </c>
      <c r="D1522" t="str">
        <f>IF(OR(Registro_Compras!$C$172="",Registro_Compras!$O$172=""),"","Cuentas por Pagar Comerciales - Terceros")</f>
        <v/>
      </c>
      <c r="E1522" s="20" t="str">
        <f>IF($C1522="","",Registro_Compras!$S$172)</f>
        <v/>
      </c>
      <c r="F1522" s="20" t="str">
        <f>""</f>
        <v/>
      </c>
      <c r="G1522" t="str">
        <f>IF($C1522="","","Por el deposito de la detraccion en el Banco de la Nacion")</f>
        <v/>
      </c>
      <c r="H1522" t="str">
        <f>IF($C1522="","",Registro_Compras!$C$172)</f>
        <v/>
      </c>
    </row>
    <row r="1523" spans="1:8" x14ac:dyDescent="0.25">
      <c r="A1523" s="25" t="str">
        <f>IF($C1523="","",Registro_Compras!$X$172)</f>
        <v/>
      </c>
      <c r="B1523" t="str">
        <f>IF($C1523="","","C"&amp;TEXT(INT((ROW()-5)/9)+1,"000")&amp;"-3")</f>
        <v/>
      </c>
      <c r="C1523" t="str">
        <f>IF(OR(Registro_Compras!$C$172="",Registro_Compras!$O$172="",Registro_Compras!$R$172&lt;&gt;"SI",Registro_Compras!$X$172=""),"","1041")</f>
        <v/>
      </c>
      <c r="D1523" t="str">
        <f>IF(OR(Registro_Compras!$C$172="",Registro_Compras!$O$172=""),"","Efectivo y Equivalentes - Cta. Cte. Operativa")</f>
        <v/>
      </c>
      <c r="E1523" s="20" t="str">
        <f>""</f>
        <v/>
      </c>
      <c r="F1523" s="20" t="str">
        <f>IF($C1523="","",Registro_Compras!$S$172)</f>
        <v/>
      </c>
      <c r="G1523" t="str">
        <f>IF($C1523="","","Por el deposito de la detraccion en el Banco de la Nacion")</f>
        <v/>
      </c>
      <c r="H1523" t="str">
        <f>IF($C1523="","",Registro_Compras!$C$172)</f>
        <v/>
      </c>
    </row>
    <row r="1524" spans="1:8" x14ac:dyDescent="0.25">
      <c r="A1524" s="25" t="str">
        <f>IF($C1524="","",Registro_Compras!$Y$172)</f>
        <v/>
      </c>
      <c r="B1524" t="str">
        <f>IF($C1524="","","C"&amp;TEXT(INT((ROW()-5)/9)+1,"000")&amp;"-4")</f>
        <v/>
      </c>
      <c r="C1524" t="str">
        <f>IF(OR(Registro_Compras!$C$172="",Registro_Compras!$O$172="",Registro_Compras!$Y$172="",Registro_Compras!$F$172="NOTA DE CREDITO"),"","4212")</f>
        <v/>
      </c>
      <c r="D1524" t="str">
        <f>IF(OR(Registro_Compras!$C$172="",Registro_Compras!$O$172=""),"","Cuentas por Pagar Comerciales - Terceros")</f>
        <v/>
      </c>
      <c r="E1524" s="20" t="str">
        <f>IF($C1524="","",IF(Registro_Compras!$F$172="RHE",(ROUND(Registro_Compras!$L$172*Registro_Compras!$N$172,2)-ROUND(Registro_Compras!$V$172*Registro_Compras!$N$172,2)),ROUND(Registro_Compras!$O$172-Registro_Compras!$S$172,2)))</f>
        <v/>
      </c>
      <c r="F1524" s="20" t="str">
        <f>""</f>
        <v/>
      </c>
      <c r="G1524" t="str">
        <f>IF($C1524="","","Por la cancelacion del saldo al proveedor")</f>
        <v/>
      </c>
      <c r="H1524" t="str">
        <f>IF($C1524="","",Registro_Compras!$C$172)</f>
        <v/>
      </c>
    </row>
    <row r="1525" spans="1:8" x14ac:dyDescent="0.25">
      <c r="A1525" s="25" t="str">
        <f>IF($C1525="","",Registro_Compras!$Y$172)</f>
        <v/>
      </c>
      <c r="B1525" t="str">
        <f>IF($C1525="","","C"&amp;TEXT(INT((ROW()-5)/9)+1,"000")&amp;"-4")</f>
        <v/>
      </c>
      <c r="C1525" t="str">
        <f>IF(OR(Registro_Compras!$C$172="",Registro_Compras!$O$172="",Registro_Compras!$Y$172="",Registro_Compras!$F$172="NOTA DE CREDITO"),"","1041")</f>
        <v/>
      </c>
      <c r="D1525" t="str">
        <f>IF(OR(Registro_Compras!$C$172="",Registro_Compras!$O$172=""),"","Efectivo y Equivalentes - Cta. Cte. Operativa")</f>
        <v/>
      </c>
      <c r="E1525" s="20" t="str">
        <f>""</f>
        <v/>
      </c>
      <c r="F1525" s="20" t="str">
        <f>IF($C1525="","",IF(Registro_Compras!$F$172="RHE",(ROUND(Registro_Compras!$L$172*Registro_Compras!$N$172,2)-ROUND(Registro_Compras!$V$172*Registro_Compras!$N$172,2)),ROUND(Registro_Compras!$O$172-Registro_Compras!$S$172,2)))</f>
        <v/>
      </c>
      <c r="G1525" t="str">
        <f>IF($C1525="","","Por la cancelacion del saldo al proveedor")</f>
        <v/>
      </c>
      <c r="H1525" t="str">
        <f>IF($C1525="","",Registro_Compras!$C$172)</f>
        <v/>
      </c>
    </row>
    <row r="1526" spans="1:8" x14ac:dyDescent="0.25">
      <c r="A1526" s="25" t="str">
        <f>IF($C1526="","",Registro_Compras!$B$173)</f>
        <v/>
      </c>
      <c r="B1526" t="str">
        <f>IF($C1526="","","C"&amp;TEXT(INT((ROW()-5)/9)+1,"000")&amp;"-1")</f>
        <v/>
      </c>
      <c r="C1526" t="str">
        <f>IF(OR(Registro_Compras!$C$173="",Registro_Compras!$O$173=""),"",IF(Registro_Compras!$F$173="NOTA DE CREDITO","4212",IF(Registro_Compras!$M$173="","63",Registro_Compras!$M$173)))</f>
        <v/>
      </c>
      <c r="D1526" t="str">
        <f>IF(OR(Registro_Compras!$C$173="",Registro_Compras!$O$173=""),"",IF(Registro_Compras!$F$173="NOTA DE CREDITO","Cuentas por Pagar Comerciales - Terceros (Emitidas)",IF(Registro_Compras!$F$173="RHE","Honorarios Profesionales - Servicios de Terceros","Gastos de Servicios Prestados por Terceros")))</f>
        <v/>
      </c>
      <c r="E1526" s="20" t="str">
        <f>IF($C1526="","",IF(Registro_Compras!$F$173="NOTA DE CREDITO",ABS(Registro_Compras!$O$173),IF(Registro_Compras!$F$173="RHE",ROUND(Registro_Compras!$L$173*Registro_Compras!$N$173,2),ROUND(Registro_Compras!$J$173*Registro_Compras!$N$173,2))))</f>
        <v/>
      </c>
      <c r="F1526" s="20" t="str">
        <f>""</f>
        <v/>
      </c>
      <c r="G1526" t="str">
        <f>IF($C1526="","",IF(Registro_Compras!$F$173="NOTA DE CREDITO","Por la nota de credito "&amp;Registro_Compras!$C$173&amp;" de "&amp;Registro_Compras!$E$173&amp;" [PATRON POR CONFIRMAR CON CONTADOR]",IF(Registro_Compras!$F$173="RHE","Por el registro del recibo por honorarios "&amp;Registro_Compras!$C$173&amp;" de "&amp;Registro_Compras!$E$173&amp;" [PATRON POR CONFIRMAR CON CONTADOR]","Por el registro de la factura "&amp;Registro_Compras!$C$173&amp;" de "&amp;Registro_Compras!$E$173)))</f>
        <v/>
      </c>
      <c r="H1526" t="str">
        <f>IF($C1526="","",Registro_Compras!$C$173)</f>
        <v/>
      </c>
    </row>
    <row r="1527" spans="1:8" x14ac:dyDescent="0.25">
      <c r="A1527" s="25" t="str">
        <f>IF($C1527="","",Registro_Compras!$B$173)</f>
        <v/>
      </c>
      <c r="B1527" t="str">
        <f>IF($C1527="","","C"&amp;TEXT(INT((ROW()-5)/9)+1,"000")&amp;"-1")</f>
        <v/>
      </c>
      <c r="C1527" t="str">
        <f>IF(OR(Registro_Compras!$C$173="",Registro_Compras!$O$173=""),"",IF(Registro_Compras!$F$173="RHE",IF(Registro_Compras!$V$173=0,"","4017"),IF(Registro_Compras!$F$173="NOTA DE CREDITO",IF(Registro_Compras!$M$173="","63",Registro_Compras!$M$173),IF(Registro_Compras!$K$173=0,"","40111"))))</f>
        <v/>
      </c>
      <c r="D1527" t="str">
        <f>IF(OR(Registro_Compras!$C$173="",Registro_Compras!$O$173=""),"",IF(Registro_Compras!$F$173="RHE","Retencion Renta 4ta Categoria por Pagar",IF(Registro_Compras!$F$173="NOTA DE CREDITO","Gastos de Servicios Prestados por Terceros","IGV - Cuenta Propia (Credito Fiscal)")))</f>
        <v/>
      </c>
      <c r="E1527" s="20" t="str">
        <f>IF($C1527="","",IF(Registro_Compras!$F$173="FACTURA",ROUND(Registro_Compras!$K$173*Registro_Compras!$N$173,2),""))</f>
        <v/>
      </c>
      <c r="F1527" s="20" t="str">
        <f>IF($C1527="","",IF(Registro_Compras!$F$173="RHE",ROUND(Registro_Compras!$V$173*Registro_Compras!$N$173,2),IF(Registro_Compras!$F$173="NOTA DE CREDITO",ROUND(ABS(Registro_Compras!$J$173*Registro_Compras!$N$173),2),"")))</f>
        <v/>
      </c>
      <c r="G1527" t="str">
        <f>IF($C1527="","",IF(Registro_Compras!$F$173="NOTA DE CREDITO","Por la nota de credito "&amp;Registro_Compras!$C$173&amp;" de "&amp;Registro_Compras!$E$173&amp;" [PATRON POR CONFIRMAR CON CONTADOR]",IF(Registro_Compras!$F$173="RHE","Por el registro del recibo por honorarios "&amp;Registro_Compras!$C$173&amp;" de "&amp;Registro_Compras!$E$173&amp;" [PATRON POR CONFIRMAR CON CONTADOR]","Por el registro de la factura "&amp;Registro_Compras!$C$173&amp;" de "&amp;Registro_Compras!$E$173)))</f>
        <v/>
      </c>
      <c r="H1527" t="str">
        <f>IF($C1527="","",Registro_Compras!$C$173)</f>
        <v/>
      </c>
    </row>
    <row r="1528" spans="1:8" x14ac:dyDescent="0.25">
      <c r="A1528" s="25" t="str">
        <f>IF($C1528="","",Registro_Compras!$B$173)</f>
        <v/>
      </c>
      <c r="B1528" t="str">
        <f>IF($C1528="","","C"&amp;TEXT(INT((ROW()-5)/9)+1,"000")&amp;"-1")</f>
        <v/>
      </c>
      <c r="C1528" t="str">
        <f>IF(OR(Registro_Compras!$C$173="",Registro_Compras!$O$173=""),"",IF(Registro_Compras!$F$173="NOTA DE CREDITO",IF(Registro_Compras!$K$173=0,"","40111"),"4212"))</f>
        <v/>
      </c>
      <c r="D1528" t="str">
        <f>IF(OR(Registro_Compras!$C$173="",Registro_Compras!$O$173=""),"",IF(Registro_Compras!$F$173="NOTA DE CREDITO","IGV - Cuenta Propia (Credito Fiscal)","Cuentas por Pagar Comerciales - Terceros (Emitidas)"))</f>
        <v/>
      </c>
      <c r="E1528" s="20" t="str">
        <f>""</f>
        <v/>
      </c>
      <c r="F1528" s="20" t="str">
        <f>IF($C1528="","",IF(Registro_Compras!$F$173="NOTA DE CREDITO",ROUND(ABS(Registro_Compras!$K$173*Registro_Compras!$N$173),2),IF(Registro_Compras!$F$173="RHE",(ROUND(Registro_Compras!$L$173*Registro_Compras!$N$173,2)-ROUND(Registro_Compras!$V$173*Registro_Compras!$N$173,2)),Registro_Compras!$O$173)))</f>
        <v/>
      </c>
      <c r="G1528" t="str">
        <f>IF($C1528="","",IF(Registro_Compras!$F$173="NOTA DE CREDITO","Por la nota de credito "&amp;Registro_Compras!$C$173&amp;" de "&amp;Registro_Compras!$E$173&amp;" [PATRON POR CONFIRMAR CON CONTADOR]",IF(Registro_Compras!$F$173="RHE","Por el registro del recibo por honorarios "&amp;Registro_Compras!$C$173&amp;" de "&amp;Registro_Compras!$E$173&amp;" [PATRON POR CONFIRMAR CON CONTADOR]","Por el registro de la factura "&amp;Registro_Compras!$C$173&amp;" de "&amp;Registro_Compras!$E$173)))</f>
        <v/>
      </c>
      <c r="H1528" t="str">
        <f>IF($C1528="","",Registro_Compras!$C$173)</f>
        <v/>
      </c>
    </row>
    <row r="1529" spans="1:8" x14ac:dyDescent="0.25">
      <c r="A1529" s="25" t="str">
        <f>IF($C1529="","",Registro_Compras!$B$173)</f>
        <v/>
      </c>
      <c r="B1529" t="str">
        <f>IF($C1529="","","C"&amp;TEXT(INT((ROW()-5)/9)+1,"000")&amp;"-2")</f>
        <v/>
      </c>
      <c r="C1529" t="str">
        <f>IF(OR(Registro_Compras!$C$173="",Registro_Compras!$O$173=""),"",IF(Registro_Compras!$AB$173="ADMINISTRATIVO","94","95"))</f>
        <v/>
      </c>
      <c r="D1529" t="str">
        <f>IF(OR(Registro_Compras!$C$173="",Registro_Compras!$O$173=""),"",IF(Registro_Compras!$AB$173="ADMINISTRATIVO","Gastos Administrativos","Gastos de Venta y Operacion"))</f>
        <v/>
      </c>
      <c r="E1529" s="20" t="str">
        <f>IF($C1529="","",IF(Registro_Compras!$F$173="NOTA DE CREDITO","",IF(Registro_Compras!$F$173="RHE",ROUND(Registro_Compras!$L$173*Registro_Compras!$N$173,2),ROUND(Registro_Compras!$J$173*Registro_Compras!$N$173,2))))</f>
        <v/>
      </c>
      <c r="F1529" s="20" t="str">
        <f>IF($C1529="","",IF(Registro_Compras!$F$173="NOTA DE CREDITO",ROUND(ABS(Registro_Compras!$J$173*Registro_Compras!$N$173),2),""))</f>
        <v/>
      </c>
      <c r="G1529" t="str">
        <f>IF($C1529="","","Por el destino del gasto")</f>
        <v/>
      </c>
      <c r="H1529" t="str">
        <f>IF($C1529="","",Registro_Compras!$C$173)</f>
        <v/>
      </c>
    </row>
    <row r="1530" spans="1:8" x14ac:dyDescent="0.25">
      <c r="A1530" s="25" t="str">
        <f>IF($C1530="","",Registro_Compras!$B$173)</f>
        <v/>
      </c>
      <c r="B1530" t="str">
        <f>IF($C1530="","","C"&amp;TEXT(INT((ROW()-5)/9)+1,"000")&amp;"-2")</f>
        <v/>
      </c>
      <c r="C1530" t="str">
        <f>IF(OR(Registro_Compras!$C$173="",Registro_Compras!$O$173=""),"","79/791")</f>
        <v/>
      </c>
      <c r="D1530" t="str">
        <f>IF(OR(Registro_Compras!$C$173="",Registro_Compras!$O$173=""),"","Cargas Imputables a Cuentas de Costos y Gastos")</f>
        <v/>
      </c>
      <c r="E1530" s="20" t="str">
        <f>IF($C1530="","",IF(Registro_Compras!$F$173="NOTA DE CREDITO",ROUND(ABS(Registro_Compras!$J$173*Registro_Compras!$N$173),2),""))</f>
        <v/>
      </c>
      <c r="F1530" s="20" t="str">
        <f>IF($C1530="","",IF(Registro_Compras!$F$173="NOTA DE CREDITO","",IF(Registro_Compras!$F$173="RHE",ROUND(Registro_Compras!$L$173*Registro_Compras!$N$173,2),ROUND(Registro_Compras!$J$173*Registro_Compras!$N$173,2))))</f>
        <v/>
      </c>
      <c r="G1530" t="str">
        <f>IF($C1530="","","Por el destino del gasto")</f>
        <v/>
      </c>
      <c r="H1530" t="str">
        <f>IF($C1530="","",Registro_Compras!$C$173)</f>
        <v/>
      </c>
    </row>
    <row r="1531" spans="1:8" x14ac:dyDescent="0.25">
      <c r="A1531" s="25" t="str">
        <f>IF($C1531="","",Registro_Compras!$X$173)</f>
        <v/>
      </c>
      <c r="B1531" t="str">
        <f>IF($C1531="","","C"&amp;TEXT(INT((ROW()-5)/9)+1,"000")&amp;"-3")</f>
        <v/>
      </c>
      <c r="C1531" t="str">
        <f>IF(OR(Registro_Compras!$C$173="",Registro_Compras!$O$173="",Registro_Compras!$R$173&lt;&gt;"SI",Registro_Compras!$X$173=""),"","4212")</f>
        <v/>
      </c>
      <c r="D1531" t="str">
        <f>IF(OR(Registro_Compras!$C$173="",Registro_Compras!$O$173=""),"","Cuentas por Pagar Comerciales - Terceros")</f>
        <v/>
      </c>
      <c r="E1531" s="20" t="str">
        <f>IF($C1531="","",Registro_Compras!$S$173)</f>
        <v/>
      </c>
      <c r="F1531" s="20" t="str">
        <f>""</f>
        <v/>
      </c>
      <c r="G1531" t="str">
        <f>IF($C1531="","","Por el deposito de la detraccion en el Banco de la Nacion")</f>
        <v/>
      </c>
      <c r="H1531" t="str">
        <f>IF($C1531="","",Registro_Compras!$C$173)</f>
        <v/>
      </c>
    </row>
    <row r="1532" spans="1:8" x14ac:dyDescent="0.25">
      <c r="A1532" s="25" t="str">
        <f>IF($C1532="","",Registro_Compras!$X$173)</f>
        <v/>
      </c>
      <c r="B1532" t="str">
        <f>IF($C1532="","","C"&amp;TEXT(INT((ROW()-5)/9)+1,"000")&amp;"-3")</f>
        <v/>
      </c>
      <c r="C1532" t="str">
        <f>IF(OR(Registro_Compras!$C$173="",Registro_Compras!$O$173="",Registro_Compras!$R$173&lt;&gt;"SI",Registro_Compras!$X$173=""),"","1041")</f>
        <v/>
      </c>
      <c r="D1532" t="str">
        <f>IF(OR(Registro_Compras!$C$173="",Registro_Compras!$O$173=""),"","Efectivo y Equivalentes - Cta. Cte. Operativa")</f>
        <v/>
      </c>
      <c r="E1532" s="20" t="str">
        <f>""</f>
        <v/>
      </c>
      <c r="F1532" s="20" t="str">
        <f>IF($C1532="","",Registro_Compras!$S$173)</f>
        <v/>
      </c>
      <c r="G1532" t="str">
        <f>IF($C1532="","","Por el deposito de la detraccion en el Banco de la Nacion")</f>
        <v/>
      </c>
      <c r="H1532" t="str">
        <f>IF($C1532="","",Registro_Compras!$C$173)</f>
        <v/>
      </c>
    </row>
    <row r="1533" spans="1:8" x14ac:dyDescent="0.25">
      <c r="A1533" s="25" t="str">
        <f>IF($C1533="","",Registro_Compras!$Y$173)</f>
        <v/>
      </c>
      <c r="B1533" t="str">
        <f>IF($C1533="","","C"&amp;TEXT(INT((ROW()-5)/9)+1,"000")&amp;"-4")</f>
        <v/>
      </c>
      <c r="C1533" t="str">
        <f>IF(OR(Registro_Compras!$C$173="",Registro_Compras!$O$173="",Registro_Compras!$Y$173="",Registro_Compras!$F$173="NOTA DE CREDITO"),"","4212")</f>
        <v/>
      </c>
      <c r="D1533" t="str">
        <f>IF(OR(Registro_Compras!$C$173="",Registro_Compras!$O$173=""),"","Cuentas por Pagar Comerciales - Terceros")</f>
        <v/>
      </c>
      <c r="E1533" s="20" t="str">
        <f>IF($C1533="","",IF(Registro_Compras!$F$173="RHE",(ROUND(Registro_Compras!$L$173*Registro_Compras!$N$173,2)-ROUND(Registro_Compras!$V$173*Registro_Compras!$N$173,2)),ROUND(Registro_Compras!$O$173-Registro_Compras!$S$173,2)))</f>
        <v/>
      </c>
      <c r="F1533" s="20" t="str">
        <f>""</f>
        <v/>
      </c>
      <c r="G1533" t="str">
        <f>IF($C1533="","","Por la cancelacion del saldo al proveedor")</f>
        <v/>
      </c>
      <c r="H1533" t="str">
        <f>IF($C1533="","",Registro_Compras!$C$173)</f>
        <v/>
      </c>
    </row>
    <row r="1534" spans="1:8" x14ac:dyDescent="0.25">
      <c r="A1534" s="25" t="str">
        <f>IF($C1534="","",Registro_Compras!$Y$173)</f>
        <v/>
      </c>
      <c r="B1534" t="str">
        <f>IF($C1534="","","C"&amp;TEXT(INT((ROW()-5)/9)+1,"000")&amp;"-4")</f>
        <v/>
      </c>
      <c r="C1534" t="str">
        <f>IF(OR(Registro_Compras!$C$173="",Registro_Compras!$O$173="",Registro_Compras!$Y$173="",Registro_Compras!$F$173="NOTA DE CREDITO"),"","1041")</f>
        <v/>
      </c>
      <c r="D1534" t="str">
        <f>IF(OR(Registro_Compras!$C$173="",Registro_Compras!$O$173=""),"","Efectivo y Equivalentes - Cta. Cte. Operativa")</f>
        <v/>
      </c>
      <c r="E1534" s="20" t="str">
        <f>""</f>
        <v/>
      </c>
      <c r="F1534" s="20" t="str">
        <f>IF($C1534="","",IF(Registro_Compras!$F$173="RHE",(ROUND(Registro_Compras!$L$173*Registro_Compras!$N$173,2)-ROUND(Registro_Compras!$V$173*Registro_Compras!$N$173,2)),ROUND(Registro_Compras!$O$173-Registro_Compras!$S$173,2)))</f>
        <v/>
      </c>
      <c r="G1534" t="str">
        <f>IF($C1534="","","Por la cancelacion del saldo al proveedor")</f>
        <v/>
      </c>
      <c r="H1534" t="str">
        <f>IF($C1534="","",Registro_Compras!$C$173)</f>
        <v/>
      </c>
    </row>
    <row r="1535" spans="1:8" x14ac:dyDescent="0.25">
      <c r="A1535" s="25" t="str">
        <f>IF($C1535="","",Registro_Compras!$B$174)</f>
        <v/>
      </c>
      <c r="B1535" t="str">
        <f>IF($C1535="","","C"&amp;TEXT(INT((ROW()-5)/9)+1,"000")&amp;"-1")</f>
        <v/>
      </c>
      <c r="C1535" t="str">
        <f>IF(OR(Registro_Compras!$C$174="",Registro_Compras!$O$174=""),"",IF(Registro_Compras!$F$174="NOTA DE CREDITO","4212",IF(Registro_Compras!$M$174="","63",Registro_Compras!$M$174)))</f>
        <v/>
      </c>
      <c r="D1535" t="str">
        <f>IF(OR(Registro_Compras!$C$174="",Registro_Compras!$O$174=""),"",IF(Registro_Compras!$F$174="NOTA DE CREDITO","Cuentas por Pagar Comerciales - Terceros (Emitidas)",IF(Registro_Compras!$F$174="RHE","Honorarios Profesionales - Servicios de Terceros","Gastos de Servicios Prestados por Terceros")))</f>
        <v/>
      </c>
      <c r="E1535" s="20" t="str">
        <f>IF($C1535="","",IF(Registro_Compras!$F$174="NOTA DE CREDITO",ABS(Registro_Compras!$O$174),IF(Registro_Compras!$F$174="RHE",ROUND(Registro_Compras!$L$174*Registro_Compras!$N$174,2),ROUND(Registro_Compras!$J$174*Registro_Compras!$N$174,2))))</f>
        <v/>
      </c>
      <c r="F1535" s="20" t="str">
        <f>""</f>
        <v/>
      </c>
      <c r="G1535" t="str">
        <f>IF($C1535="","",IF(Registro_Compras!$F$174="NOTA DE CREDITO","Por la nota de credito "&amp;Registro_Compras!$C$174&amp;" de "&amp;Registro_Compras!$E$174&amp;" [PATRON POR CONFIRMAR CON CONTADOR]",IF(Registro_Compras!$F$174="RHE","Por el registro del recibo por honorarios "&amp;Registro_Compras!$C$174&amp;" de "&amp;Registro_Compras!$E$174&amp;" [PATRON POR CONFIRMAR CON CONTADOR]","Por el registro de la factura "&amp;Registro_Compras!$C$174&amp;" de "&amp;Registro_Compras!$E$174)))</f>
        <v/>
      </c>
      <c r="H1535" t="str">
        <f>IF($C1535="","",Registro_Compras!$C$174)</f>
        <v/>
      </c>
    </row>
    <row r="1536" spans="1:8" x14ac:dyDescent="0.25">
      <c r="A1536" s="25" t="str">
        <f>IF($C1536="","",Registro_Compras!$B$174)</f>
        <v/>
      </c>
      <c r="B1536" t="str">
        <f>IF($C1536="","","C"&amp;TEXT(INT((ROW()-5)/9)+1,"000")&amp;"-1")</f>
        <v/>
      </c>
      <c r="C1536" t="str">
        <f>IF(OR(Registro_Compras!$C$174="",Registro_Compras!$O$174=""),"",IF(Registro_Compras!$F$174="RHE",IF(Registro_Compras!$V$174=0,"","4017"),IF(Registro_Compras!$F$174="NOTA DE CREDITO",IF(Registro_Compras!$M$174="","63",Registro_Compras!$M$174),IF(Registro_Compras!$K$174=0,"","40111"))))</f>
        <v/>
      </c>
      <c r="D1536" t="str">
        <f>IF(OR(Registro_Compras!$C$174="",Registro_Compras!$O$174=""),"",IF(Registro_Compras!$F$174="RHE","Retencion Renta 4ta Categoria por Pagar",IF(Registro_Compras!$F$174="NOTA DE CREDITO","Gastos de Servicios Prestados por Terceros","IGV - Cuenta Propia (Credito Fiscal)")))</f>
        <v/>
      </c>
      <c r="E1536" s="20" t="str">
        <f>IF($C1536="","",IF(Registro_Compras!$F$174="FACTURA",ROUND(Registro_Compras!$K$174*Registro_Compras!$N$174,2),""))</f>
        <v/>
      </c>
      <c r="F1536" s="20" t="str">
        <f>IF($C1536="","",IF(Registro_Compras!$F$174="RHE",ROUND(Registro_Compras!$V$174*Registro_Compras!$N$174,2),IF(Registro_Compras!$F$174="NOTA DE CREDITO",ROUND(ABS(Registro_Compras!$J$174*Registro_Compras!$N$174),2),"")))</f>
        <v/>
      </c>
      <c r="G1536" t="str">
        <f>IF($C1536="","",IF(Registro_Compras!$F$174="NOTA DE CREDITO","Por la nota de credito "&amp;Registro_Compras!$C$174&amp;" de "&amp;Registro_Compras!$E$174&amp;" [PATRON POR CONFIRMAR CON CONTADOR]",IF(Registro_Compras!$F$174="RHE","Por el registro del recibo por honorarios "&amp;Registro_Compras!$C$174&amp;" de "&amp;Registro_Compras!$E$174&amp;" [PATRON POR CONFIRMAR CON CONTADOR]","Por el registro de la factura "&amp;Registro_Compras!$C$174&amp;" de "&amp;Registro_Compras!$E$174)))</f>
        <v/>
      </c>
      <c r="H1536" t="str">
        <f>IF($C1536="","",Registro_Compras!$C$174)</f>
        <v/>
      </c>
    </row>
    <row r="1537" spans="1:8" x14ac:dyDescent="0.25">
      <c r="A1537" s="25" t="str">
        <f>IF($C1537="","",Registro_Compras!$B$174)</f>
        <v/>
      </c>
      <c r="B1537" t="str">
        <f>IF($C1537="","","C"&amp;TEXT(INT((ROW()-5)/9)+1,"000")&amp;"-1")</f>
        <v/>
      </c>
      <c r="C1537" t="str">
        <f>IF(OR(Registro_Compras!$C$174="",Registro_Compras!$O$174=""),"",IF(Registro_Compras!$F$174="NOTA DE CREDITO",IF(Registro_Compras!$K$174=0,"","40111"),"4212"))</f>
        <v/>
      </c>
      <c r="D1537" t="str">
        <f>IF(OR(Registro_Compras!$C$174="",Registro_Compras!$O$174=""),"",IF(Registro_Compras!$F$174="NOTA DE CREDITO","IGV - Cuenta Propia (Credito Fiscal)","Cuentas por Pagar Comerciales - Terceros (Emitidas)"))</f>
        <v/>
      </c>
      <c r="E1537" s="20" t="str">
        <f>""</f>
        <v/>
      </c>
      <c r="F1537" s="20" t="str">
        <f>IF($C1537="","",IF(Registro_Compras!$F$174="NOTA DE CREDITO",ROUND(ABS(Registro_Compras!$K$174*Registro_Compras!$N$174),2),IF(Registro_Compras!$F$174="RHE",(ROUND(Registro_Compras!$L$174*Registro_Compras!$N$174,2)-ROUND(Registro_Compras!$V$174*Registro_Compras!$N$174,2)),Registro_Compras!$O$174)))</f>
        <v/>
      </c>
      <c r="G1537" t="str">
        <f>IF($C1537="","",IF(Registro_Compras!$F$174="NOTA DE CREDITO","Por la nota de credito "&amp;Registro_Compras!$C$174&amp;" de "&amp;Registro_Compras!$E$174&amp;" [PATRON POR CONFIRMAR CON CONTADOR]",IF(Registro_Compras!$F$174="RHE","Por el registro del recibo por honorarios "&amp;Registro_Compras!$C$174&amp;" de "&amp;Registro_Compras!$E$174&amp;" [PATRON POR CONFIRMAR CON CONTADOR]","Por el registro de la factura "&amp;Registro_Compras!$C$174&amp;" de "&amp;Registro_Compras!$E$174)))</f>
        <v/>
      </c>
      <c r="H1537" t="str">
        <f>IF($C1537="","",Registro_Compras!$C$174)</f>
        <v/>
      </c>
    </row>
    <row r="1538" spans="1:8" x14ac:dyDescent="0.25">
      <c r="A1538" s="25" t="str">
        <f>IF($C1538="","",Registro_Compras!$B$174)</f>
        <v/>
      </c>
      <c r="B1538" t="str">
        <f>IF($C1538="","","C"&amp;TEXT(INT((ROW()-5)/9)+1,"000")&amp;"-2")</f>
        <v/>
      </c>
      <c r="C1538" t="str">
        <f>IF(OR(Registro_Compras!$C$174="",Registro_Compras!$O$174=""),"",IF(Registro_Compras!$AB$174="ADMINISTRATIVO","94","95"))</f>
        <v/>
      </c>
      <c r="D1538" t="str">
        <f>IF(OR(Registro_Compras!$C$174="",Registro_Compras!$O$174=""),"",IF(Registro_Compras!$AB$174="ADMINISTRATIVO","Gastos Administrativos","Gastos de Venta y Operacion"))</f>
        <v/>
      </c>
      <c r="E1538" s="20" t="str">
        <f>IF($C1538="","",IF(Registro_Compras!$F$174="NOTA DE CREDITO","",IF(Registro_Compras!$F$174="RHE",ROUND(Registro_Compras!$L$174*Registro_Compras!$N$174,2),ROUND(Registro_Compras!$J$174*Registro_Compras!$N$174,2))))</f>
        <v/>
      </c>
      <c r="F1538" s="20" t="str">
        <f>IF($C1538="","",IF(Registro_Compras!$F$174="NOTA DE CREDITO",ROUND(ABS(Registro_Compras!$J$174*Registro_Compras!$N$174),2),""))</f>
        <v/>
      </c>
      <c r="G1538" t="str">
        <f>IF($C1538="","","Por el destino del gasto")</f>
        <v/>
      </c>
      <c r="H1538" t="str">
        <f>IF($C1538="","",Registro_Compras!$C$174)</f>
        <v/>
      </c>
    </row>
    <row r="1539" spans="1:8" x14ac:dyDescent="0.25">
      <c r="A1539" s="25" t="str">
        <f>IF($C1539="","",Registro_Compras!$B$174)</f>
        <v/>
      </c>
      <c r="B1539" t="str">
        <f>IF($C1539="","","C"&amp;TEXT(INT((ROW()-5)/9)+1,"000")&amp;"-2")</f>
        <v/>
      </c>
      <c r="C1539" t="str">
        <f>IF(OR(Registro_Compras!$C$174="",Registro_Compras!$O$174=""),"","79/791")</f>
        <v/>
      </c>
      <c r="D1539" t="str">
        <f>IF(OR(Registro_Compras!$C$174="",Registro_Compras!$O$174=""),"","Cargas Imputables a Cuentas de Costos y Gastos")</f>
        <v/>
      </c>
      <c r="E1539" s="20" t="str">
        <f>IF($C1539="","",IF(Registro_Compras!$F$174="NOTA DE CREDITO",ROUND(ABS(Registro_Compras!$J$174*Registro_Compras!$N$174),2),""))</f>
        <v/>
      </c>
      <c r="F1539" s="20" t="str">
        <f>IF($C1539="","",IF(Registro_Compras!$F$174="NOTA DE CREDITO","",IF(Registro_Compras!$F$174="RHE",ROUND(Registro_Compras!$L$174*Registro_Compras!$N$174,2),ROUND(Registro_Compras!$J$174*Registro_Compras!$N$174,2))))</f>
        <v/>
      </c>
      <c r="G1539" t="str">
        <f>IF($C1539="","","Por el destino del gasto")</f>
        <v/>
      </c>
      <c r="H1539" t="str">
        <f>IF($C1539="","",Registro_Compras!$C$174)</f>
        <v/>
      </c>
    </row>
    <row r="1540" spans="1:8" x14ac:dyDescent="0.25">
      <c r="A1540" s="25" t="str">
        <f>IF($C1540="","",Registro_Compras!$X$174)</f>
        <v/>
      </c>
      <c r="B1540" t="str">
        <f>IF($C1540="","","C"&amp;TEXT(INT((ROW()-5)/9)+1,"000")&amp;"-3")</f>
        <v/>
      </c>
      <c r="C1540" t="str">
        <f>IF(OR(Registro_Compras!$C$174="",Registro_Compras!$O$174="",Registro_Compras!$R$174&lt;&gt;"SI",Registro_Compras!$X$174=""),"","4212")</f>
        <v/>
      </c>
      <c r="D1540" t="str">
        <f>IF(OR(Registro_Compras!$C$174="",Registro_Compras!$O$174=""),"","Cuentas por Pagar Comerciales - Terceros")</f>
        <v/>
      </c>
      <c r="E1540" s="20" t="str">
        <f>IF($C1540="","",Registro_Compras!$S$174)</f>
        <v/>
      </c>
      <c r="F1540" s="20" t="str">
        <f>""</f>
        <v/>
      </c>
      <c r="G1540" t="str">
        <f>IF($C1540="","","Por el deposito de la detraccion en el Banco de la Nacion")</f>
        <v/>
      </c>
      <c r="H1540" t="str">
        <f>IF($C1540="","",Registro_Compras!$C$174)</f>
        <v/>
      </c>
    </row>
    <row r="1541" spans="1:8" x14ac:dyDescent="0.25">
      <c r="A1541" s="25" t="str">
        <f>IF($C1541="","",Registro_Compras!$X$174)</f>
        <v/>
      </c>
      <c r="B1541" t="str">
        <f>IF($C1541="","","C"&amp;TEXT(INT((ROW()-5)/9)+1,"000")&amp;"-3")</f>
        <v/>
      </c>
      <c r="C1541" t="str">
        <f>IF(OR(Registro_Compras!$C$174="",Registro_Compras!$O$174="",Registro_Compras!$R$174&lt;&gt;"SI",Registro_Compras!$X$174=""),"","1041")</f>
        <v/>
      </c>
      <c r="D1541" t="str">
        <f>IF(OR(Registro_Compras!$C$174="",Registro_Compras!$O$174=""),"","Efectivo y Equivalentes - Cta. Cte. Operativa")</f>
        <v/>
      </c>
      <c r="E1541" s="20" t="str">
        <f>""</f>
        <v/>
      </c>
      <c r="F1541" s="20" t="str">
        <f>IF($C1541="","",Registro_Compras!$S$174)</f>
        <v/>
      </c>
      <c r="G1541" t="str">
        <f>IF($C1541="","","Por el deposito de la detraccion en el Banco de la Nacion")</f>
        <v/>
      </c>
      <c r="H1541" t="str">
        <f>IF($C1541="","",Registro_Compras!$C$174)</f>
        <v/>
      </c>
    </row>
    <row r="1542" spans="1:8" x14ac:dyDescent="0.25">
      <c r="A1542" s="25" t="str">
        <f>IF($C1542="","",Registro_Compras!$Y$174)</f>
        <v/>
      </c>
      <c r="B1542" t="str">
        <f>IF($C1542="","","C"&amp;TEXT(INT((ROW()-5)/9)+1,"000")&amp;"-4")</f>
        <v/>
      </c>
      <c r="C1542" t="str">
        <f>IF(OR(Registro_Compras!$C$174="",Registro_Compras!$O$174="",Registro_Compras!$Y$174="",Registro_Compras!$F$174="NOTA DE CREDITO"),"","4212")</f>
        <v/>
      </c>
      <c r="D1542" t="str">
        <f>IF(OR(Registro_Compras!$C$174="",Registro_Compras!$O$174=""),"","Cuentas por Pagar Comerciales - Terceros")</f>
        <v/>
      </c>
      <c r="E1542" s="20" t="str">
        <f>IF($C1542="","",IF(Registro_Compras!$F$174="RHE",(ROUND(Registro_Compras!$L$174*Registro_Compras!$N$174,2)-ROUND(Registro_Compras!$V$174*Registro_Compras!$N$174,2)),ROUND(Registro_Compras!$O$174-Registro_Compras!$S$174,2)))</f>
        <v/>
      </c>
      <c r="F1542" s="20" t="str">
        <f>""</f>
        <v/>
      </c>
      <c r="G1542" t="str">
        <f>IF($C1542="","","Por la cancelacion del saldo al proveedor")</f>
        <v/>
      </c>
      <c r="H1542" t="str">
        <f>IF($C1542="","",Registro_Compras!$C$174)</f>
        <v/>
      </c>
    </row>
    <row r="1543" spans="1:8" x14ac:dyDescent="0.25">
      <c r="A1543" s="25" t="str">
        <f>IF($C1543="","",Registro_Compras!$Y$174)</f>
        <v/>
      </c>
      <c r="B1543" t="str">
        <f>IF($C1543="","","C"&amp;TEXT(INT((ROW()-5)/9)+1,"000")&amp;"-4")</f>
        <v/>
      </c>
      <c r="C1543" t="str">
        <f>IF(OR(Registro_Compras!$C$174="",Registro_Compras!$O$174="",Registro_Compras!$Y$174="",Registro_Compras!$F$174="NOTA DE CREDITO"),"","1041")</f>
        <v/>
      </c>
      <c r="D1543" t="str">
        <f>IF(OR(Registro_Compras!$C$174="",Registro_Compras!$O$174=""),"","Efectivo y Equivalentes - Cta. Cte. Operativa")</f>
        <v/>
      </c>
      <c r="E1543" s="20" t="str">
        <f>""</f>
        <v/>
      </c>
      <c r="F1543" s="20" t="str">
        <f>IF($C1543="","",IF(Registro_Compras!$F$174="RHE",(ROUND(Registro_Compras!$L$174*Registro_Compras!$N$174,2)-ROUND(Registro_Compras!$V$174*Registro_Compras!$N$174,2)),ROUND(Registro_Compras!$O$174-Registro_Compras!$S$174,2)))</f>
        <v/>
      </c>
      <c r="G1543" t="str">
        <f>IF($C1543="","","Por la cancelacion del saldo al proveedor")</f>
        <v/>
      </c>
      <c r="H1543" t="str">
        <f>IF($C1543="","",Registro_Compras!$C$174)</f>
        <v/>
      </c>
    </row>
    <row r="1544" spans="1:8" x14ac:dyDescent="0.25">
      <c r="A1544" s="25" t="str">
        <f>IF($C1544="","",Registro_Compras!$B$175)</f>
        <v/>
      </c>
      <c r="B1544" t="str">
        <f>IF($C1544="","","C"&amp;TEXT(INT((ROW()-5)/9)+1,"000")&amp;"-1")</f>
        <v/>
      </c>
      <c r="C1544" t="str">
        <f>IF(OR(Registro_Compras!$C$175="",Registro_Compras!$O$175=""),"",IF(Registro_Compras!$F$175="NOTA DE CREDITO","4212",IF(Registro_Compras!$M$175="","63",Registro_Compras!$M$175)))</f>
        <v/>
      </c>
      <c r="D1544" t="str">
        <f>IF(OR(Registro_Compras!$C$175="",Registro_Compras!$O$175=""),"",IF(Registro_Compras!$F$175="NOTA DE CREDITO","Cuentas por Pagar Comerciales - Terceros (Emitidas)",IF(Registro_Compras!$F$175="RHE","Honorarios Profesionales - Servicios de Terceros","Gastos de Servicios Prestados por Terceros")))</f>
        <v/>
      </c>
      <c r="E1544" s="20" t="str">
        <f>IF($C1544="","",IF(Registro_Compras!$F$175="NOTA DE CREDITO",ABS(Registro_Compras!$O$175),IF(Registro_Compras!$F$175="RHE",ROUND(Registro_Compras!$L$175*Registro_Compras!$N$175,2),ROUND(Registro_Compras!$J$175*Registro_Compras!$N$175,2))))</f>
        <v/>
      </c>
      <c r="F1544" s="20" t="str">
        <f>""</f>
        <v/>
      </c>
      <c r="G1544" t="str">
        <f>IF($C1544="","",IF(Registro_Compras!$F$175="NOTA DE CREDITO","Por la nota de credito "&amp;Registro_Compras!$C$175&amp;" de "&amp;Registro_Compras!$E$175&amp;" [PATRON POR CONFIRMAR CON CONTADOR]",IF(Registro_Compras!$F$175="RHE","Por el registro del recibo por honorarios "&amp;Registro_Compras!$C$175&amp;" de "&amp;Registro_Compras!$E$175&amp;" [PATRON POR CONFIRMAR CON CONTADOR]","Por el registro de la factura "&amp;Registro_Compras!$C$175&amp;" de "&amp;Registro_Compras!$E$175)))</f>
        <v/>
      </c>
      <c r="H1544" t="str">
        <f>IF($C1544="","",Registro_Compras!$C$175)</f>
        <v/>
      </c>
    </row>
    <row r="1545" spans="1:8" x14ac:dyDescent="0.25">
      <c r="A1545" s="25" t="str">
        <f>IF($C1545="","",Registro_Compras!$B$175)</f>
        <v/>
      </c>
      <c r="B1545" t="str">
        <f>IF($C1545="","","C"&amp;TEXT(INT((ROW()-5)/9)+1,"000")&amp;"-1")</f>
        <v/>
      </c>
      <c r="C1545" t="str">
        <f>IF(OR(Registro_Compras!$C$175="",Registro_Compras!$O$175=""),"",IF(Registro_Compras!$F$175="RHE",IF(Registro_Compras!$V$175=0,"","4017"),IF(Registro_Compras!$F$175="NOTA DE CREDITO",IF(Registro_Compras!$M$175="","63",Registro_Compras!$M$175),IF(Registro_Compras!$K$175=0,"","40111"))))</f>
        <v/>
      </c>
      <c r="D1545" t="str">
        <f>IF(OR(Registro_Compras!$C$175="",Registro_Compras!$O$175=""),"",IF(Registro_Compras!$F$175="RHE","Retencion Renta 4ta Categoria por Pagar",IF(Registro_Compras!$F$175="NOTA DE CREDITO","Gastos de Servicios Prestados por Terceros","IGV - Cuenta Propia (Credito Fiscal)")))</f>
        <v/>
      </c>
      <c r="E1545" s="20" t="str">
        <f>IF($C1545="","",IF(Registro_Compras!$F$175="FACTURA",ROUND(Registro_Compras!$K$175*Registro_Compras!$N$175,2),""))</f>
        <v/>
      </c>
      <c r="F1545" s="20" t="str">
        <f>IF($C1545="","",IF(Registro_Compras!$F$175="RHE",ROUND(Registro_Compras!$V$175*Registro_Compras!$N$175,2),IF(Registro_Compras!$F$175="NOTA DE CREDITO",ROUND(ABS(Registro_Compras!$J$175*Registro_Compras!$N$175),2),"")))</f>
        <v/>
      </c>
      <c r="G1545" t="str">
        <f>IF($C1545="","",IF(Registro_Compras!$F$175="NOTA DE CREDITO","Por la nota de credito "&amp;Registro_Compras!$C$175&amp;" de "&amp;Registro_Compras!$E$175&amp;" [PATRON POR CONFIRMAR CON CONTADOR]",IF(Registro_Compras!$F$175="RHE","Por el registro del recibo por honorarios "&amp;Registro_Compras!$C$175&amp;" de "&amp;Registro_Compras!$E$175&amp;" [PATRON POR CONFIRMAR CON CONTADOR]","Por el registro de la factura "&amp;Registro_Compras!$C$175&amp;" de "&amp;Registro_Compras!$E$175)))</f>
        <v/>
      </c>
      <c r="H1545" t="str">
        <f>IF($C1545="","",Registro_Compras!$C$175)</f>
        <v/>
      </c>
    </row>
    <row r="1546" spans="1:8" x14ac:dyDescent="0.25">
      <c r="A1546" s="25" t="str">
        <f>IF($C1546="","",Registro_Compras!$B$175)</f>
        <v/>
      </c>
      <c r="B1546" t="str">
        <f>IF($C1546="","","C"&amp;TEXT(INT((ROW()-5)/9)+1,"000")&amp;"-1")</f>
        <v/>
      </c>
      <c r="C1546" t="str">
        <f>IF(OR(Registro_Compras!$C$175="",Registro_Compras!$O$175=""),"",IF(Registro_Compras!$F$175="NOTA DE CREDITO",IF(Registro_Compras!$K$175=0,"","40111"),"4212"))</f>
        <v/>
      </c>
      <c r="D1546" t="str">
        <f>IF(OR(Registro_Compras!$C$175="",Registro_Compras!$O$175=""),"",IF(Registro_Compras!$F$175="NOTA DE CREDITO","IGV - Cuenta Propia (Credito Fiscal)","Cuentas por Pagar Comerciales - Terceros (Emitidas)"))</f>
        <v/>
      </c>
      <c r="E1546" s="20" t="str">
        <f>""</f>
        <v/>
      </c>
      <c r="F1546" s="20" t="str">
        <f>IF($C1546="","",IF(Registro_Compras!$F$175="NOTA DE CREDITO",ROUND(ABS(Registro_Compras!$K$175*Registro_Compras!$N$175),2),IF(Registro_Compras!$F$175="RHE",(ROUND(Registro_Compras!$L$175*Registro_Compras!$N$175,2)-ROUND(Registro_Compras!$V$175*Registro_Compras!$N$175,2)),Registro_Compras!$O$175)))</f>
        <v/>
      </c>
      <c r="G1546" t="str">
        <f>IF($C1546="","",IF(Registro_Compras!$F$175="NOTA DE CREDITO","Por la nota de credito "&amp;Registro_Compras!$C$175&amp;" de "&amp;Registro_Compras!$E$175&amp;" [PATRON POR CONFIRMAR CON CONTADOR]",IF(Registro_Compras!$F$175="RHE","Por el registro del recibo por honorarios "&amp;Registro_Compras!$C$175&amp;" de "&amp;Registro_Compras!$E$175&amp;" [PATRON POR CONFIRMAR CON CONTADOR]","Por el registro de la factura "&amp;Registro_Compras!$C$175&amp;" de "&amp;Registro_Compras!$E$175)))</f>
        <v/>
      </c>
      <c r="H1546" t="str">
        <f>IF($C1546="","",Registro_Compras!$C$175)</f>
        <v/>
      </c>
    </row>
    <row r="1547" spans="1:8" x14ac:dyDescent="0.25">
      <c r="A1547" s="25" t="str">
        <f>IF($C1547="","",Registro_Compras!$B$175)</f>
        <v/>
      </c>
      <c r="B1547" t="str">
        <f>IF($C1547="","","C"&amp;TEXT(INT((ROW()-5)/9)+1,"000")&amp;"-2")</f>
        <v/>
      </c>
      <c r="C1547" t="str">
        <f>IF(OR(Registro_Compras!$C$175="",Registro_Compras!$O$175=""),"",IF(Registro_Compras!$AB$175="ADMINISTRATIVO","94","95"))</f>
        <v/>
      </c>
      <c r="D1547" t="str">
        <f>IF(OR(Registro_Compras!$C$175="",Registro_Compras!$O$175=""),"",IF(Registro_Compras!$AB$175="ADMINISTRATIVO","Gastos Administrativos","Gastos de Venta y Operacion"))</f>
        <v/>
      </c>
      <c r="E1547" s="20" t="str">
        <f>IF($C1547="","",IF(Registro_Compras!$F$175="NOTA DE CREDITO","",IF(Registro_Compras!$F$175="RHE",ROUND(Registro_Compras!$L$175*Registro_Compras!$N$175,2),ROUND(Registro_Compras!$J$175*Registro_Compras!$N$175,2))))</f>
        <v/>
      </c>
      <c r="F1547" s="20" t="str">
        <f>IF($C1547="","",IF(Registro_Compras!$F$175="NOTA DE CREDITO",ROUND(ABS(Registro_Compras!$J$175*Registro_Compras!$N$175),2),""))</f>
        <v/>
      </c>
      <c r="G1547" t="str">
        <f>IF($C1547="","","Por el destino del gasto")</f>
        <v/>
      </c>
      <c r="H1547" t="str">
        <f>IF($C1547="","",Registro_Compras!$C$175)</f>
        <v/>
      </c>
    </row>
    <row r="1548" spans="1:8" x14ac:dyDescent="0.25">
      <c r="A1548" s="25" t="str">
        <f>IF($C1548="","",Registro_Compras!$B$175)</f>
        <v/>
      </c>
      <c r="B1548" t="str">
        <f>IF($C1548="","","C"&amp;TEXT(INT((ROW()-5)/9)+1,"000")&amp;"-2")</f>
        <v/>
      </c>
      <c r="C1548" t="str">
        <f>IF(OR(Registro_Compras!$C$175="",Registro_Compras!$O$175=""),"","79/791")</f>
        <v/>
      </c>
      <c r="D1548" t="str">
        <f>IF(OR(Registro_Compras!$C$175="",Registro_Compras!$O$175=""),"","Cargas Imputables a Cuentas de Costos y Gastos")</f>
        <v/>
      </c>
      <c r="E1548" s="20" t="str">
        <f>IF($C1548="","",IF(Registro_Compras!$F$175="NOTA DE CREDITO",ROUND(ABS(Registro_Compras!$J$175*Registro_Compras!$N$175),2),""))</f>
        <v/>
      </c>
      <c r="F1548" s="20" t="str">
        <f>IF($C1548="","",IF(Registro_Compras!$F$175="NOTA DE CREDITO","",IF(Registro_Compras!$F$175="RHE",ROUND(Registro_Compras!$L$175*Registro_Compras!$N$175,2),ROUND(Registro_Compras!$J$175*Registro_Compras!$N$175,2))))</f>
        <v/>
      </c>
      <c r="G1548" t="str">
        <f>IF($C1548="","","Por el destino del gasto")</f>
        <v/>
      </c>
      <c r="H1548" t="str">
        <f>IF($C1548="","",Registro_Compras!$C$175)</f>
        <v/>
      </c>
    </row>
    <row r="1549" spans="1:8" x14ac:dyDescent="0.25">
      <c r="A1549" s="25" t="str">
        <f>IF($C1549="","",Registro_Compras!$X$175)</f>
        <v/>
      </c>
      <c r="B1549" t="str">
        <f>IF($C1549="","","C"&amp;TEXT(INT((ROW()-5)/9)+1,"000")&amp;"-3")</f>
        <v/>
      </c>
      <c r="C1549" t="str">
        <f>IF(OR(Registro_Compras!$C$175="",Registro_Compras!$O$175="",Registro_Compras!$R$175&lt;&gt;"SI",Registro_Compras!$X$175=""),"","4212")</f>
        <v/>
      </c>
      <c r="D1549" t="str">
        <f>IF(OR(Registro_Compras!$C$175="",Registro_Compras!$O$175=""),"","Cuentas por Pagar Comerciales - Terceros")</f>
        <v/>
      </c>
      <c r="E1549" s="20" t="str">
        <f>IF($C1549="","",Registro_Compras!$S$175)</f>
        <v/>
      </c>
      <c r="F1549" s="20" t="str">
        <f>""</f>
        <v/>
      </c>
      <c r="G1549" t="str">
        <f>IF($C1549="","","Por el deposito de la detraccion en el Banco de la Nacion")</f>
        <v/>
      </c>
      <c r="H1549" t="str">
        <f>IF($C1549="","",Registro_Compras!$C$175)</f>
        <v/>
      </c>
    </row>
    <row r="1550" spans="1:8" x14ac:dyDescent="0.25">
      <c r="A1550" s="25" t="str">
        <f>IF($C1550="","",Registro_Compras!$X$175)</f>
        <v/>
      </c>
      <c r="B1550" t="str">
        <f>IF($C1550="","","C"&amp;TEXT(INT((ROW()-5)/9)+1,"000")&amp;"-3")</f>
        <v/>
      </c>
      <c r="C1550" t="str">
        <f>IF(OR(Registro_Compras!$C$175="",Registro_Compras!$O$175="",Registro_Compras!$R$175&lt;&gt;"SI",Registro_Compras!$X$175=""),"","1041")</f>
        <v/>
      </c>
      <c r="D1550" t="str">
        <f>IF(OR(Registro_Compras!$C$175="",Registro_Compras!$O$175=""),"","Efectivo y Equivalentes - Cta. Cte. Operativa")</f>
        <v/>
      </c>
      <c r="E1550" s="20" t="str">
        <f>""</f>
        <v/>
      </c>
      <c r="F1550" s="20" t="str">
        <f>IF($C1550="","",Registro_Compras!$S$175)</f>
        <v/>
      </c>
      <c r="G1550" t="str">
        <f>IF($C1550="","","Por el deposito de la detraccion en el Banco de la Nacion")</f>
        <v/>
      </c>
      <c r="H1550" t="str">
        <f>IF($C1550="","",Registro_Compras!$C$175)</f>
        <v/>
      </c>
    </row>
    <row r="1551" spans="1:8" x14ac:dyDescent="0.25">
      <c r="A1551" s="25" t="str">
        <f>IF($C1551="","",Registro_Compras!$Y$175)</f>
        <v/>
      </c>
      <c r="B1551" t="str">
        <f>IF($C1551="","","C"&amp;TEXT(INT((ROW()-5)/9)+1,"000")&amp;"-4")</f>
        <v/>
      </c>
      <c r="C1551" t="str">
        <f>IF(OR(Registro_Compras!$C$175="",Registro_Compras!$O$175="",Registro_Compras!$Y$175="",Registro_Compras!$F$175="NOTA DE CREDITO"),"","4212")</f>
        <v/>
      </c>
      <c r="D1551" t="str">
        <f>IF(OR(Registro_Compras!$C$175="",Registro_Compras!$O$175=""),"","Cuentas por Pagar Comerciales - Terceros")</f>
        <v/>
      </c>
      <c r="E1551" s="20" t="str">
        <f>IF($C1551="","",IF(Registro_Compras!$F$175="RHE",(ROUND(Registro_Compras!$L$175*Registro_Compras!$N$175,2)-ROUND(Registro_Compras!$V$175*Registro_Compras!$N$175,2)),ROUND(Registro_Compras!$O$175-Registro_Compras!$S$175,2)))</f>
        <v/>
      </c>
      <c r="F1551" s="20" t="str">
        <f>""</f>
        <v/>
      </c>
      <c r="G1551" t="str">
        <f>IF($C1551="","","Por la cancelacion del saldo al proveedor")</f>
        <v/>
      </c>
      <c r="H1551" t="str">
        <f>IF($C1551="","",Registro_Compras!$C$175)</f>
        <v/>
      </c>
    </row>
    <row r="1552" spans="1:8" x14ac:dyDescent="0.25">
      <c r="A1552" s="25" t="str">
        <f>IF($C1552="","",Registro_Compras!$Y$175)</f>
        <v/>
      </c>
      <c r="B1552" t="str">
        <f>IF($C1552="","","C"&amp;TEXT(INT((ROW()-5)/9)+1,"000")&amp;"-4")</f>
        <v/>
      </c>
      <c r="C1552" t="str">
        <f>IF(OR(Registro_Compras!$C$175="",Registro_Compras!$O$175="",Registro_Compras!$Y$175="",Registro_Compras!$F$175="NOTA DE CREDITO"),"","1041")</f>
        <v/>
      </c>
      <c r="D1552" t="str">
        <f>IF(OR(Registro_Compras!$C$175="",Registro_Compras!$O$175=""),"","Efectivo y Equivalentes - Cta. Cte. Operativa")</f>
        <v/>
      </c>
      <c r="E1552" s="20" t="str">
        <f>""</f>
        <v/>
      </c>
      <c r="F1552" s="20" t="str">
        <f>IF($C1552="","",IF(Registro_Compras!$F$175="RHE",(ROUND(Registro_Compras!$L$175*Registro_Compras!$N$175,2)-ROUND(Registro_Compras!$V$175*Registro_Compras!$N$175,2)),ROUND(Registro_Compras!$O$175-Registro_Compras!$S$175,2)))</f>
        <v/>
      </c>
      <c r="G1552" t="str">
        <f>IF($C1552="","","Por la cancelacion del saldo al proveedor")</f>
        <v/>
      </c>
      <c r="H1552" t="str">
        <f>IF($C1552="","",Registro_Compras!$C$175)</f>
        <v/>
      </c>
    </row>
    <row r="1553" spans="1:8" x14ac:dyDescent="0.25">
      <c r="A1553" s="25" t="str">
        <f>IF($C1553="","",Registro_Compras!$B$176)</f>
        <v/>
      </c>
      <c r="B1553" t="str">
        <f>IF($C1553="","","C"&amp;TEXT(INT((ROW()-5)/9)+1,"000")&amp;"-1")</f>
        <v/>
      </c>
      <c r="C1553" t="str">
        <f>IF(OR(Registro_Compras!$C$176="",Registro_Compras!$O$176=""),"",IF(Registro_Compras!$F$176="NOTA DE CREDITO","4212",IF(Registro_Compras!$M$176="","63",Registro_Compras!$M$176)))</f>
        <v/>
      </c>
      <c r="D1553" t="str">
        <f>IF(OR(Registro_Compras!$C$176="",Registro_Compras!$O$176=""),"",IF(Registro_Compras!$F$176="NOTA DE CREDITO","Cuentas por Pagar Comerciales - Terceros (Emitidas)",IF(Registro_Compras!$F$176="RHE","Honorarios Profesionales - Servicios de Terceros","Gastos de Servicios Prestados por Terceros")))</f>
        <v/>
      </c>
      <c r="E1553" s="20" t="str">
        <f>IF($C1553="","",IF(Registro_Compras!$F$176="NOTA DE CREDITO",ABS(Registro_Compras!$O$176),IF(Registro_Compras!$F$176="RHE",ROUND(Registro_Compras!$L$176*Registro_Compras!$N$176,2),ROUND(Registro_Compras!$J$176*Registro_Compras!$N$176,2))))</f>
        <v/>
      </c>
      <c r="F1553" s="20" t="str">
        <f>""</f>
        <v/>
      </c>
      <c r="G1553" t="str">
        <f>IF($C1553="","",IF(Registro_Compras!$F$176="NOTA DE CREDITO","Por la nota de credito "&amp;Registro_Compras!$C$176&amp;" de "&amp;Registro_Compras!$E$176&amp;" [PATRON POR CONFIRMAR CON CONTADOR]",IF(Registro_Compras!$F$176="RHE","Por el registro del recibo por honorarios "&amp;Registro_Compras!$C$176&amp;" de "&amp;Registro_Compras!$E$176&amp;" [PATRON POR CONFIRMAR CON CONTADOR]","Por el registro de la factura "&amp;Registro_Compras!$C$176&amp;" de "&amp;Registro_Compras!$E$176)))</f>
        <v/>
      </c>
      <c r="H1553" t="str">
        <f>IF($C1553="","",Registro_Compras!$C$176)</f>
        <v/>
      </c>
    </row>
    <row r="1554" spans="1:8" x14ac:dyDescent="0.25">
      <c r="A1554" s="25" t="str">
        <f>IF($C1554="","",Registro_Compras!$B$176)</f>
        <v/>
      </c>
      <c r="B1554" t="str">
        <f>IF($C1554="","","C"&amp;TEXT(INT((ROW()-5)/9)+1,"000")&amp;"-1")</f>
        <v/>
      </c>
      <c r="C1554" t="str">
        <f>IF(OR(Registro_Compras!$C$176="",Registro_Compras!$O$176=""),"",IF(Registro_Compras!$F$176="RHE",IF(Registro_Compras!$V$176=0,"","4017"),IF(Registro_Compras!$F$176="NOTA DE CREDITO",IF(Registro_Compras!$M$176="","63",Registro_Compras!$M$176),IF(Registro_Compras!$K$176=0,"","40111"))))</f>
        <v/>
      </c>
      <c r="D1554" t="str">
        <f>IF(OR(Registro_Compras!$C$176="",Registro_Compras!$O$176=""),"",IF(Registro_Compras!$F$176="RHE","Retencion Renta 4ta Categoria por Pagar",IF(Registro_Compras!$F$176="NOTA DE CREDITO","Gastos de Servicios Prestados por Terceros","IGV - Cuenta Propia (Credito Fiscal)")))</f>
        <v/>
      </c>
      <c r="E1554" s="20" t="str">
        <f>IF($C1554="","",IF(Registro_Compras!$F$176="FACTURA",ROUND(Registro_Compras!$K$176*Registro_Compras!$N$176,2),""))</f>
        <v/>
      </c>
      <c r="F1554" s="20" t="str">
        <f>IF($C1554="","",IF(Registro_Compras!$F$176="RHE",ROUND(Registro_Compras!$V$176*Registro_Compras!$N$176,2),IF(Registro_Compras!$F$176="NOTA DE CREDITO",ROUND(ABS(Registro_Compras!$J$176*Registro_Compras!$N$176),2),"")))</f>
        <v/>
      </c>
      <c r="G1554" t="str">
        <f>IF($C1554="","",IF(Registro_Compras!$F$176="NOTA DE CREDITO","Por la nota de credito "&amp;Registro_Compras!$C$176&amp;" de "&amp;Registro_Compras!$E$176&amp;" [PATRON POR CONFIRMAR CON CONTADOR]",IF(Registro_Compras!$F$176="RHE","Por el registro del recibo por honorarios "&amp;Registro_Compras!$C$176&amp;" de "&amp;Registro_Compras!$E$176&amp;" [PATRON POR CONFIRMAR CON CONTADOR]","Por el registro de la factura "&amp;Registro_Compras!$C$176&amp;" de "&amp;Registro_Compras!$E$176)))</f>
        <v/>
      </c>
      <c r="H1554" t="str">
        <f>IF($C1554="","",Registro_Compras!$C$176)</f>
        <v/>
      </c>
    </row>
    <row r="1555" spans="1:8" x14ac:dyDescent="0.25">
      <c r="A1555" s="25" t="str">
        <f>IF($C1555="","",Registro_Compras!$B$176)</f>
        <v/>
      </c>
      <c r="B1555" t="str">
        <f>IF($C1555="","","C"&amp;TEXT(INT((ROW()-5)/9)+1,"000")&amp;"-1")</f>
        <v/>
      </c>
      <c r="C1555" t="str">
        <f>IF(OR(Registro_Compras!$C$176="",Registro_Compras!$O$176=""),"",IF(Registro_Compras!$F$176="NOTA DE CREDITO",IF(Registro_Compras!$K$176=0,"","40111"),"4212"))</f>
        <v/>
      </c>
      <c r="D1555" t="str">
        <f>IF(OR(Registro_Compras!$C$176="",Registro_Compras!$O$176=""),"",IF(Registro_Compras!$F$176="NOTA DE CREDITO","IGV - Cuenta Propia (Credito Fiscal)","Cuentas por Pagar Comerciales - Terceros (Emitidas)"))</f>
        <v/>
      </c>
      <c r="E1555" s="20" t="str">
        <f>""</f>
        <v/>
      </c>
      <c r="F1555" s="20" t="str">
        <f>IF($C1555="","",IF(Registro_Compras!$F$176="NOTA DE CREDITO",ROUND(ABS(Registro_Compras!$K$176*Registro_Compras!$N$176),2),IF(Registro_Compras!$F$176="RHE",(ROUND(Registro_Compras!$L$176*Registro_Compras!$N$176,2)-ROUND(Registro_Compras!$V$176*Registro_Compras!$N$176,2)),Registro_Compras!$O$176)))</f>
        <v/>
      </c>
      <c r="G1555" t="str">
        <f>IF($C1555="","",IF(Registro_Compras!$F$176="NOTA DE CREDITO","Por la nota de credito "&amp;Registro_Compras!$C$176&amp;" de "&amp;Registro_Compras!$E$176&amp;" [PATRON POR CONFIRMAR CON CONTADOR]",IF(Registro_Compras!$F$176="RHE","Por el registro del recibo por honorarios "&amp;Registro_Compras!$C$176&amp;" de "&amp;Registro_Compras!$E$176&amp;" [PATRON POR CONFIRMAR CON CONTADOR]","Por el registro de la factura "&amp;Registro_Compras!$C$176&amp;" de "&amp;Registro_Compras!$E$176)))</f>
        <v/>
      </c>
      <c r="H1555" t="str">
        <f>IF($C1555="","",Registro_Compras!$C$176)</f>
        <v/>
      </c>
    </row>
    <row r="1556" spans="1:8" x14ac:dyDescent="0.25">
      <c r="A1556" s="25" t="str">
        <f>IF($C1556="","",Registro_Compras!$B$176)</f>
        <v/>
      </c>
      <c r="B1556" t="str">
        <f>IF($C1556="","","C"&amp;TEXT(INT((ROW()-5)/9)+1,"000")&amp;"-2")</f>
        <v/>
      </c>
      <c r="C1556" t="str">
        <f>IF(OR(Registro_Compras!$C$176="",Registro_Compras!$O$176=""),"",IF(Registro_Compras!$AB$176="ADMINISTRATIVO","94","95"))</f>
        <v/>
      </c>
      <c r="D1556" t="str">
        <f>IF(OR(Registro_Compras!$C$176="",Registro_Compras!$O$176=""),"",IF(Registro_Compras!$AB$176="ADMINISTRATIVO","Gastos Administrativos","Gastos de Venta y Operacion"))</f>
        <v/>
      </c>
      <c r="E1556" s="20" t="str">
        <f>IF($C1556="","",IF(Registro_Compras!$F$176="NOTA DE CREDITO","",IF(Registro_Compras!$F$176="RHE",ROUND(Registro_Compras!$L$176*Registro_Compras!$N$176,2),ROUND(Registro_Compras!$J$176*Registro_Compras!$N$176,2))))</f>
        <v/>
      </c>
      <c r="F1556" s="20" t="str">
        <f>IF($C1556="","",IF(Registro_Compras!$F$176="NOTA DE CREDITO",ROUND(ABS(Registro_Compras!$J$176*Registro_Compras!$N$176),2),""))</f>
        <v/>
      </c>
      <c r="G1556" t="str">
        <f>IF($C1556="","","Por el destino del gasto")</f>
        <v/>
      </c>
      <c r="H1556" t="str">
        <f>IF($C1556="","",Registro_Compras!$C$176)</f>
        <v/>
      </c>
    </row>
    <row r="1557" spans="1:8" x14ac:dyDescent="0.25">
      <c r="A1557" s="25" t="str">
        <f>IF($C1557="","",Registro_Compras!$B$176)</f>
        <v/>
      </c>
      <c r="B1557" t="str">
        <f>IF($C1557="","","C"&amp;TEXT(INT((ROW()-5)/9)+1,"000")&amp;"-2")</f>
        <v/>
      </c>
      <c r="C1557" t="str">
        <f>IF(OR(Registro_Compras!$C$176="",Registro_Compras!$O$176=""),"","79/791")</f>
        <v/>
      </c>
      <c r="D1557" t="str">
        <f>IF(OR(Registro_Compras!$C$176="",Registro_Compras!$O$176=""),"","Cargas Imputables a Cuentas de Costos y Gastos")</f>
        <v/>
      </c>
      <c r="E1557" s="20" t="str">
        <f>IF($C1557="","",IF(Registro_Compras!$F$176="NOTA DE CREDITO",ROUND(ABS(Registro_Compras!$J$176*Registro_Compras!$N$176),2),""))</f>
        <v/>
      </c>
      <c r="F1557" s="20" t="str">
        <f>IF($C1557="","",IF(Registro_Compras!$F$176="NOTA DE CREDITO","",IF(Registro_Compras!$F$176="RHE",ROUND(Registro_Compras!$L$176*Registro_Compras!$N$176,2),ROUND(Registro_Compras!$J$176*Registro_Compras!$N$176,2))))</f>
        <v/>
      </c>
      <c r="G1557" t="str">
        <f>IF($C1557="","","Por el destino del gasto")</f>
        <v/>
      </c>
      <c r="H1557" t="str">
        <f>IF($C1557="","",Registro_Compras!$C$176)</f>
        <v/>
      </c>
    </row>
    <row r="1558" spans="1:8" x14ac:dyDescent="0.25">
      <c r="A1558" s="25" t="str">
        <f>IF($C1558="","",Registro_Compras!$X$176)</f>
        <v/>
      </c>
      <c r="B1558" t="str">
        <f>IF($C1558="","","C"&amp;TEXT(INT((ROW()-5)/9)+1,"000")&amp;"-3")</f>
        <v/>
      </c>
      <c r="C1558" t="str">
        <f>IF(OR(Registro_Compras!$C$176="",Registro_Compras!$O$176="",Registro_Compras!$R$176&lt;&gt;"SI",Registro_Compras!$X$176=""),"","4212")</f>
        <v/>
      </c>
      <c r="D1558" t="str">
        <f>IF(OR(Registro_Compras!$C$176="",Registro_Compras!$O$176=""),"","Cuentas por Pagar Comerciales - Terceros")</f>
        <v/>
      </c>
      <c r="E1558" s="20" t="str">
        <f>IF($C1558="","",Registro_Compras!$S$176)</f>
        <v/>
      </c>
      <c r="F1558" s="20" t="str">
        <f>""</f>
        <v/>
      </c>
      <c r="G1558" t="str">
        <f>IF($C1558="","","Por el deposito de la detraccion en el Banco de la Nacion")</f>
        <v/>
      </c>
      <c r="H1558" t="str">
        <f>IF($C1558="","",Registro_Compras!$C$176)</f>
        <v/>
      </c>
    </row>
    <row r="1559" spans="1:8" x14ac:dyDescent="0.25">
      <c r="A1559" s="25" t="str">
        <f>IF($C1559="","",Registro_Compras!$X$176)</f>
        <v/>
      </c>
      <c r="B1559" t="str">
        <f>IF($C1559="","","C"&amp;TEXT(INT((ROW()-5)/9)+1,"000")&amp;"-3")</f>
        <v/>
      </c>
      <c r="C1559" t="str">
        <f>IF(OR(Registro_Compras!$C$176="",Registro_Compras!$O$176="",Registro_Compras!$R$176&lt;&gt;"SI",Registro_Compras!$X$176=""),"","1041")</f>
        <v/>
      </c>
      <c r="D1559" t="str">
        <f>IF(OR(Registro_Compras!$C$176="",Registro_Compras!$O$176=""),"","Efectivo y Equivalentes - Cta. Cte. Operativa")</f>
        <v/>
      </c>
      <c r="E1559" s="20" t="str">
        <f>""</f>
        <v/>
      </c>
      <c r="F1559" s="20" t="str">
        <f>IF($C1559="","",Registro_Compras!$S$176)</f>
        <v/>
      </c>
      <c r="G1559" t="str">
        <f>IF($C1559="","","Por el deposito de la detraccion en el Banco de la Nacion")</f>
        <v/>
      </c>
      <c r="H1559" t="str">
        <f>IF($C1559="","",Registro_Compras!$C$176)</f>
        <v/>
      </c>
    </row>
    <row r="1560" spans="1:8" x14ac:dyDescent="0.25">
      <c r="A1560" s="25" t="str">
        <f>IF($C1560="","",Registro_Compras!$Y$176)</f>
        <v/>
      </c>
      <c r="B1560" t="str">
        <f>IF($C1560="","","C"&amp;TEXT(INT((ROW()-5)/9)+1,"000")&amp;"-4")</f>
        <v/>
      </c>
      <c r="C1560" t="str">
        <f>IF(OR(Registro_Compras!$C$176="",Registro_Compras!$O$176="",Registro_Compras!$Y$176="",Registro_Compras!$F$176="NOTA DE CREDITO"),"","4212")</f>
        <v/>
      </c>
      <c r="D1560" t="str">
        <f>IF(OR(Registro_Compras!$C$176="",Registro_Compras!$O$176=""),"","Cuentas por Pagar Comerciales - Terceros")</f>
        <v/>
      </c>
      <c r="E1560" s="20" t="str">
        <f>IF($C1560="","",IF(Registro_Compras!$F$176="RHE",(ROUND(Registro_Compras!$L$176*Registro_Compras!$N$176,2)-ROUND(Registro_Compras!$V$176*Registro_Compras!$N$176,2)),ROUND(Registro_Compras!$O$176-Registro_Compras!$S$176,2)))</f>
        <v/>
      </c>
      <c r="F1560" s="20" t="str">
        <f>""</f>
        <v/>
      </c>
      <c r="G1560" t="str">
        <f>IF($C1560="","","Por la cancelacion del saldo al proveedor")</f>
        <v/>
      </c>
      <c r="H1560" t="str">
        <f>IF($C1560="","",Registro_Compras!$C$176)</f>
        <v/>
      </c>
    </row>
    <row r="1561" spans="1:8" x14ac:dyDescent="0.25">
      <c r="A1561" s="25" t="str">
        <f>IF($C1561="","",Registro_Compras!$Y$176)</f>
        <v/>
      </c>
      <c r="B1561" t="str">
        <f>IF($C1561="","","C"&amp;TEXT(INT((ROW()-5)/9)+1,"000")&amp;"-4")</f>
        <v/>
      </c>
      <c r="C1561" t="str">
        <f>IF(OR(Registro_Compras!$C$176="",Registro_Compras!$O$176="",Registro_Compras!$Y$176="",Registro_Compras!$F$176="NOTA DE CREDITO"),"","1041")</f>
        <v/>
      </c>
      <c r="D1561" t="str">
        <f>IF(OR(Registro_Compras!$C$176="",Registro_Compras!$O$176=""),"","Efectivo y Equivalentes - Cta. Cte. Operativa")</f>
        <v/>
      </c>
      <c r="E1561" s="20" t="str">
        <f>""</f>
        <v/>
      </c>
      <c r="F1561" s="20" t="str">
        <f>IF($C1561="","",IF(Registro_Compras!$F$176="RHE",(ROUND(Registro_Compras!$L$176*Registro_Compras!$N$176,2)-ROUND(Registro_Compras!$V$176*Registro_Compras!$N$176,2)),ROUND(Registro_Compras!$O$176-Registro_Compras!$S$176,2)))</f>
        <v/>
      </c>
      <c r="G1561" t="str">
        <f>IF($C1561="","","Por la cancelacion del saldo al proveedor")</f>
        <v/>
      </c>
      <c r="H1561" t="str">
        <f>IF($C1561="","",Registro_Compras!$C$176)</f>
        <v/>
      </c>
    </row>
    <row r="1562" spans="1:8" x14ac:dyDescent="0.25">
      <c r="A1562" s="25" t="str">
        <f>IF($C1562="","",Registro_Compras!$B$177)</f>
        <v/>
      </c>
      <c r="B1562" t="str">
        <f>IF($C1562="","","C"&amp;TEXT(INT((ROW()-5)/9)+1,"000")&amp;"-1")</f>
        <v/>
      </c>
      <c r="C1562" t="str">
        <f>IF(OR(Registro_Compras!$C$177="",Registro_Compras!$O$177=""),"",IF(Registro_Compras!$F$177="NOTA DE CREDITO","4212",IF(Registro_Compras!$M$177="","63",Registro_Compras!$M$177)))</f>
        <v/>
      </c>
      <c r="D1562" t="str">
        <f>IF(OR(Registro_Compras!$C$177="",Registro_Compras!$O$177=""),"",IF(Registro_Compras!$F$177="NOTA DE CREDITO","Cuentas por Pagar Comerciales - Terceros (Emitidas)",IF(Registro_Compras!$F$177="RHE","Honorarios Profesionales - Servicios de Terceros","Gastos de Servicios Prestados por Terceros")))</f>
        <v/>
      </c>
      <c r="E1562" s="20" t="str">
        <f>IF($C1562="","",IF(Registro_Compras!$F$177="NOTA DE CREDITO",ABS(Registro_Compras!$O$177),IF(Registro_Compras!$F$177="RHE",ROUND(Registro_Compras!$L$177*Registro_Compras!$N$177,2),ROUND(Registro_Compras!$J$177*Registro_Compras!$N$177,2))))</f>
        <v/>
      </c>
      <c r="F1562" s="20" t="str">
        <f>""</f>
        <v/>
      </c>
      <c r="G1562" t="str">
        <f>IF($C1562="","",IF(Registro_Compras!$F$177="NOTA DE CREDITO","Por la nota de credito "&amp;Registro_Compras!$C$177&amp;" de "&amp;Registro_Compras!$E$177&amp;" [PATRON POR CONFIRMAR CON CONTADOR]",IF(Registro_Compras!$F$177="RHE","Por el registro del recibo por honorarios "&amp;Registro_Compras!$C$177&amp;" de "&amp;Registro_Compras!$E$177&amp;" [PATRON POR CONFIRMAR CON CONTADOR]","Por el registro de la factura "&amp;Registro_Compras!$C$177&amp;" de "&amp;Registro_Compras!$E$177)))</f>
        <v/>
      </c>
      <c r="H1562" t="str">
        <f>IF($C1562="","",Registro_Compras!$C$177)</f>
        <v/>
      </c>
    </row>
    <row r="1563" spans="1:8" x14ac:dyDescent="0.25">
      <c r="A1563" s="25" t="str">
        <f>IF($C1563="","",Registro_Compras!$B$177)</f>
        <v/>
      </c>
      <c r="B1563" t="str">
        <f>IF($C1563="","","C"&amp;TEXT(INT((ROW()-5)/9)+1,"000")&amp;"-1")</f>
        <v/>
      </c>
      <c r="C1563" t="str">
        <f>IF(OR(Registro_Compras!$C$177="",Registro_Compras!$O$177=""),"",IF(Registro_Compras!$F$177="RHE",IF(Registro_Compras!$V$177=0,"","4017"),IF(Registro_Compras!$F$177="NOTA DE CREDITO",IF(Registro_Compras!$M$177="","63",Registro_Compras!$M$177),IF(Registro_Compras!$K$177=0,"","40111"))))</f>
        <v/>
      </c>
      <c r="D1563" t="str">
        <f>IF(OR(Registro_Compras!$C$177="",Registro_Compras!$O$177=""),"",IF(Registro_Compras!$F$177="RHE","Retencion Renta 4ta Categoria por Pagar",IF(Registro_Compras!$F$177="NOTA DE CREDITO","Gastos de Servicios Prestados por Terceros","IGV - Cuenta Propia (Credito Fiscal)")))</f>
        <v/>
      </c>
      <c r="E1563" s="20" t="str">
        <f>IF($C1563="","",IF(Registro_Compras!$F$177="FACTURA",ROUND(Registro_Compras!$K$177*Registro_Compras!$N$177,2),""))</f>
        <v/>
      </c>
      <c r="F1563" s="20" t="str">
        <f>IF($C1563="","",IF(Registro_Compras!$F$177="RHE",ROUND(Registro_Compras!$V$177*Registro_Compras!$N$177,2),IF(Registro_Compras!$F$177="NOTA DE CREDITO",ROUND(ABS(Registro_Compras!$J$177*Registro_Compras!$N$177),2),"")))</f>
        <v/>
      </c>
      <c r="G1563" t="str">
        <f>IF($C1563="","",IF(Registro_Compras!$F$177="NOTA DE CREDITO","Por la nota de credito "&amp;Registro_Compras!$C$177&amp;" de "&amp;Registro_Compras!$E$177&amp;" [PATRON POR CONFIRMAR CON CONTADOR]",IF(Registro_Compras!$F$177="RHE","Por el registro del recibo por honorarios "&amp;Registro_Compras!$C$177&amp;" de "&amp;Registro_Compras!$E$177&amp;" [PATRON POR CONFIRMAR CON CONTADOR]","Por el registro de la factura "&amp;Registro_Compras!$C$177&amp;" de "&amp;Registro_Compras!$E$177)))</f>
        <v/>
      </c>
      <c r="H1563" t="str">
        <f>IF($C1563="","",Registro_Compras!$C$177)</f>
        <v/>
      </c>
    </row>
    <row r="1564" spans="1:8" x14ac:dyDescent="0.25">
      <c r="A1564" s="25" t="str">
        <f>IF($C1564="","",Registro_Compras!$B$177)</f>
        <v/>
      </c>
      <c r="B1564" t="str">
        <f>IF($C1564="","","C"&amp;TEXT(INT((ROW()-5)/9)+1,"000")&amp;"-1")</f>
        <v/>
      </c>
      <c r="C1564" t="str">
        <f>IF(OR(Registro_Compras!$C$177="",Registro_Compras!$O$177=""),"",IF(Registro_Compras!$F$177="NOTA DE CREDITO",IF(Registro_Compras!$K$177=0,"","40111"),"4212"))</f>
        <v/>
      </c>
      <c r="D1564" t="str">
        <f>IF(OR(Registro_Compras!$C$177="",Registro_Compras!$O$177=""),"",IF(Registro_Compras!$F$177="NOTA DE CREDITO","IGV - Cuenta Propia (Credito Fiscal)","Cuentas por Pagar Comerciales - Terceros (Emitidas)"))</f>
        <v/>
      </c>
      <c r="E1564" s="20" t="str">
        <f>""</f>
        <v/>
      </c>
      <c r="F1564" s="20" t="str">
        <f>IF($C1564="","",IF(Registro_Compras!$F$177="NOTA DE CREDITO",ROUND(ABS(Registro_Compras!$K$177*Registro_Compras!$N$177),2),IF(Registro_Compras!$F$177="RHE",(ROUND(Registro_Compras!$L$177*Registro_Compras!$N$177,2)-ROUND(Registro_Compras!$V$177*Registro_Compras!$N$177,2)),Registro_Compras!$O$177)))</f>
        <v/>
      </c>
      <c r="G1564" t="str">
        <f>IF($C1564="","",IF(Registro_Compras!$F$177="NOTA DE CREDITO","Por la nota de credito "&amp;Registro_Compras!$C$177&amp;" de "&amp;Registro_Compras!$E$177&amp;" [PATRON POR CONFIRMAR CON CONTADOR]",IF(Registro_Compras!$F$177="RHE","Por el registro del recibo por honorarios "&amp;Registro_Compras!$C$177&amp;" de "&amp;Registro_Compras!$E$177&amp;" [PATRON POR CONFIRMAR CON CONTADOR]","Por el registro de la factura "&amp;Registro_Compras!$C$177&amp;" de "&amp;Registro_Compras!$E$177)))</f>
        <v/>
      </c>
      <c r="H1564" t="str">
        <f>IF($C1564="","",Registro_Compras!$C$177)</f>
        <v/>
      </c>
    </row>
    <row r="1565" spans="1:8" x14ac:dyDescent="0.25">
      <c r="A1565" s="25" t="str">
        <f>IF($C1565="","",Registro_Compras!$B$177)</f>
        <v/>
      </c>
      <c r="B1565" t="str">
        <f>IF($C1565="","","C"&amp;TEXT(INT((ROW()-5)/9)+1,"000")&amp;"-2")</f>
        <v/>
      </c>
      <c r="C1565" t="str">
        <f>IF(OR(Registro_Compras!$C$177="",Registro_Compras!$O$177=""),"",IF(Registro_Compras!$AB$177="ADMINISTRATIVO","94","95"))</f>
        <v/>
      </c>
      <c r="D1565" t="str">
        <f>IF(OR(Registro_Compras!$C$177="",Registro_Compras!$O$177=""),"",IF(Registro_Compras!$AB$177="ADMINISTRATIVO","Gastos Administrativos","Gastos de Venta y Operacion"))</f>
        <v/>
      </c>
      <c r="E1565" s="20" t="str">
        <f>IF($C1565="","",IF(Registro_Compras!$F$177="NOTA DE CREDITO","",IF(Registro_Compras!$F$177="RHE",ROUND(Registro_Compras!$L$177*Registro_Compras!$N$177,2),ROUND(Registro_Compras!$J$177*Registro_Compras!$N$177,2))))</f>
        <v/>
      </c>
      <c r="F1565" s="20" t="str">
        <f>IF($C1565="","",IF(Registro_Compras!$F$177="NOTA DE CREDITO",ROUND(ABS(Registro_Compras!$J$177*Registro_Compras!$N$177),2),""))</f>
        <v/>
      </c>
      <c r="G1565" t="str">
        <f>IF($C1565="","","Por el destino del gasto")</f>
        <v/>
      </c>
      <c r="H1565" t="str">
        <f>IF($C1565="","",Registro_Compras!$C$177)</f>
        <v/>
      </c>
    </row>
    <row r="1566" spans="1:8" x14ac:dyDescent="0.25">
      <c r="A1566" s="25" t="str">
        <f>IF($C1566="","",Registro_Compras!$B$177)</f>
        <v/>
      </c>
      <c r="B1566" t="str">
        <f>IF($C1566="","","C"&amp;TEXT(INT((ROW()-5)/9)+1,"000")&amp;"-2")</f>
        <v/>
      </c>
      <c r="C1566" t="str">
        <f>IF(OR(Registro_Compras!$C$177="",Registro_Compras!$O$177=""),"","79/791")</f>
        <v/>
      </c>
      <c r="D1566" t="str">
        <f>IF(OR(Registro_Compras!$C$177="",Registro_Compras!$O$177=""),"","Cargas Imputables a Cuentas de Costos y Gastos")</f>
        <v/>
      </c>
      <c r="E1566" s="20" t="str">
        <f>IF($C1566="","",IF(Registro_Compras!$F$177="NOTA DE CREDITO",ROUND(ABS(Registro_Compras!$J$177*Registro_Compras!$N$177),2),""))</f>
        <v/>
      </c>
      <c r="F1566" s="20" t="str">
        <f>IF($C1566="","",IF(Registro_Compras!$F$177="NOTA DE CREDITO","",IF(Registro_Compras!$F$177="RHE",ROUND(Registro_Compras!$L$177*Registro_Compras!$N$177,2),ROUND(Registro_Compras!$J$177*Registro_Compras!$N$177,2))))</f>
        <v/>
      </c>
      <c r="G1566" t="str">
        <f>IF($C1566="","","Por el destino del gasto")</f>
        <v/>
      </c>
      <c r="H1566" t="str">
        <f>IF($C1566="","",Registro_Compras!$C$177)</f>
        <v/>
      </c>
    </row>
    <row r="1567" spans="1:8" x14ac:dyDescent="0.25">
      <c r="A1567" s="25" t="str">
        <f>IF($C1567="","",Registro_Compras!$X$177)</f>
        <v/>
      </c>
      <c r="B1567" t="str">
        <f>IF($C1567="","","C"&amp;TEXT(INT((ROW()-5)/9)+1,"000")&amp;"-3")</f>
        <v/>
      </c>
      <c r="C1567" t="str">
        <f>IF(OR(Registro_Compras!$C$177="",Registro_Compras!$O$177="",Registro_Compras!$R$177&lt;&gt;"SI",Registro_Compras!$X$177=""),"","4212")</f>
        <v/>
      </c>
      <c r="D1567" t="str">
        <f>IF(OR(Registro_Compras!$C$177="",Registro_Compras!$O$177=""),"","Cuentas por Pagar Comerciales - Terceros")</f>
        <v/>
      </c>
      <c r="E1567" s="20" t="str">
        <f>IF($C1567="","",Registro_Compras!$S$177)</f>
        <v/>
      </c>
      <c r="F1567" s="20" t="str">
        <f>""</f>
        <v/>
      </c>
      <c r="G1567" t="str">
        <f>IF($C1567="","","Por el deposito de la detraccion en el Banco de la Nacion")</f>
        <v/>
      </c>
      <c r="H1567" t="str">
        <f>IF($C1567="","",Registro_Compras!$C$177)</f>
        <v/>
      </c>
    </row>
    <row r="1568" spans="1:8" x14ac:dyDescent="0.25">
      <c r="A1568" s="25" t="str">
        <f>IF($C1568="","",Registro_Compras!$X$177)</f>
        <v/>
      </c>
      <c r="B1568" t="str">
        <f>IF($C1568="","","C"&amp;TEXT(INT((ROW()-5)/9)+1,"000")&amp;"-3")</f>
        <v/>
      </c>
      <c r="C1568" t="str">
        <f>IF(OR(Registro_Compras!$C$177="",Registro_Compras!$O$177="",Registro_Compras!$R$177&lt;&gt;"SI",Registro_Compras!$X$177=""),"","1041")</f>
        <v/>
      </c>
      <c r="D1568" t="str">
        <f>IF(OR(Registro_Compras!$C$177="",Registro_Compras!$O$177=""),"","Efectivo y Equivalentes - Cta. Cte. Operativa")</f>
        <v/>
      </c>
      <c r="E1568" s="20" t="str">
        <f>""</f>
        <v/>
      </c>
      <c r="F1568" s="20" t="str">
        <f>IF($C1568="","",Registro_Compras!$S$177)</f>
        <v/>
      </c>
      <c r="G1568" t="str">
        <f>IF($C1568="","","Por el deposito de la detraccion en el Banco de la Nacion")</f>
        <v/>
      </c>
      <c r="H1568" t="str">
        <f>IF($C1568="","",Registro_Compras!$C$177)</f>
        <v/>
      </c>
    </row>
    <row r="1569" spans="1:8" x14ac:dyDescent="0.25">
      <c r="A1569" s="25" t="str">
        <f>IF($C1569="","",Registro_Compras!$Y$177)</f>
        <v/>
      </c>
      <c r="B1569" t="str">
        <f>IF($C1569="","","C"&amp;TEXT(INT((ROW()-5)/9)+1,"000")&amp;"-4")</f>
        <v/>
      </c>
      <c r="C1569" t="str">
        <f>IF(OR(Registro_Compras!$C$177="",Registro_Compras!$O$177="",Registro_Compras!$Y$177="",Registro_Compras!$F$177="NOTA DE CREDITO"),"","4212")</f>
        <v/>
      </c>
      <c r="D1569" t="str">
        <f>IF(OR(Registro_Compras!$C$177="",Registro_Compras!$O$177=""),"","Cuentas por Pagar Comerciales - Terceros")</f>
        <v/>
      </c>
      <c r="E1569" s="20" t="str">
        <f>IF($C1569="","",IF(Registro_Compras!$F$177="RHE",(ROUND(Registro_Compras!$L$177*Registro_Compras!$N$177,2)-ROUND(Registro_Compras!$V$177*Registro_Compras!$N$177,2)),ROUND(Registro_Compras!$O$177-Registro_Compras!$S$177,2)))</f>
        <v/>
      </c>
      <c r="F1569" s="20" t="str">
        <f>""</f>
        <v/>
      </c>
      <c r="G1569" t="str">
        <f>IF($C1569="","","Por la cancelacion del saldo al proveedor")</f>
        <v/>
      </c>
      <c r="H1569" t="str">
        <f>IF($C1569="","",Registro_Compras!$C$177)</f>
        <v/>
      </c>
    </row>
    <row r="1570" spans="1:8" x14ac:dyDescent="0.25">
      <c r="A1570" s="25" t="str">
        <f>IF($C1570="","",Registro_Compras!$Y$177)</f>
        <v/>
      </c>
      <c r="B1570" t="str">
        <f>IF($C1570="","","C"&amp;TEXT(INT((ROW()-5)/9)+1,"000")&amp;"-4")</f>
        <v/>
      </c>
      <c r="C1570" t="str">
        <f>IF(OR(Registro_Compras!$C$177="",Registro_Compras!$O$177="",Registro_Compras!$Y$177="",Registro_Compras!$F$177="NOTA DE CREDITO"),"","1041")</f>
        <v/>
      </c>
      <c r="D1570" t="str">
        <f>IF(OR(Registro_Compras!$C$177="",Registro_Compras!$O$177=""),"","Efectivo y Equivalentes - Cta. Cte. Operativa")</f>
        <v/>
      </c>
      <c r="E1570" s="20" t="str">
        <f>""</f>
        <v/>
      </c>
      <c r="F1570" s="20" t="str">
        <f>IF($C1570="","",IF(Registro_Compras!$F$177="RHE",(ROUND(Registro_Compras!$L$177*Registro_Compras!$N$177,2)-ROUND(Registro_Compras!$V$177*Registro_Compras!$N$177,2)),ROUND(Registro_Compras!$O$177-Registro_Compras!$S$177,2)))</f>
        <v/>
      </c>
      <c r="G1570" t="str">
        <f>IF($C1570="","","Por la cancelacion del saldo al proveedor")</f>
        <v/>
      </c>
      <c r="H1570" t="str">
        <f>IF($C1570="","",Registro_Compras!$C$177)</f>
        <v/>
      </c>
    </row>
    <row r="1571" spans="1:8" x14ac:dyDescent="0.25">
      <c r="A1571" s="25" t="str">
        <f>IF($C1571="","",Registro_Compras!$B$178)</f>
        <v/>
      </c>
      <c r="B1571" t="str">
        <f>IF($C1571="","","C"&amp;TEXT(INT((ROW()-5)/9)+1,"000")&amp;"-1")</f>
        <v/>
      </c>
      <c r="C1571" t="str">
        <f>IF(OR(Registro_Compras!$C$178="",Registro_Compras!$O$178=""),"",IF(Registro_Compras!$F$178="NOTA DE CREDITO","4212",IF(Registro_Compras!$M$178="","63",Registro_Compras!$M$178)))</f>
        <v/>
      </c>
      <c r="D1571" t="str">
        <f>IF(OR(Registro_Compras!$C$178="",Registro_Compras!$O$178=""),"",IF(Registro_Compras!$F$178="NOTA DE CREDITO","Cuentas por Pagar Comerciales - Terceros (Emitidas)",IF(Registro_Compras!$F$178="RHE","Honorarios Profesionales - Servicios de Terceros","Gastos de Servicios Prestados por Terceros")))</f>
        <v/>
      </c>
      <c r="E1571" s="20" t="str">
        <f>IF($C1571="","",IF(Registro_Compras!$F$178="NOTA DE CREDITO",ABS(Registro_Compras!$O$178),IF(Registro_Compras!$F$178="RHE",ROUND(Registro_Compras!$L$178*Registro_Compras!$N$178,2),ROUND(Registro_Compras!$J$178*Registro_Compras!$N$178,2))))</f>
        <v/>
      </c>
      <c r="F1571" s="20" t="str">
        <f>""</f>
        <v/>
      </c>
      <c r="G1571" t="str">
        <f>IF($C1571="","",IF(Registro_Compras!$F$178="NOTA DE CREDITO","Por la nota de credito "&amp;Registro_Compras!$C$178&amp;" de "&amp;Registro_Compras!$E$178&amp;" [PATRON POR CONFIRMAR CON CONTADOR]",IF(Registro_Compras!$F$178="RHE","Por el registro del recibo por honorarios "&amp;Registro_Compras!$C$178&amp;" de "&amp;Registro_Compras!$E$178&amp;" [PATRON POR CONFIRMAR CON CONTADOR]","Por el registro de la factura "&amp;Registro_Compras!$C$178&amp;" de "&amp;Registro_Compras!$E$178)))</f>
        <v/>
      </c>
      <c r="H1571" t="str">
        <f>IF($C1571="","",Registro_Compras!$C$178)</f>
        <v/>
      </c>
    </row>
    <row r="1572" spans="1:8" x14ac:dyDescent="0.25">
      <c r="A1572" s="25" t="str">
        <f>IF($C1572="","",Registro_Compras!$B$178)</f>
        <v/>
      </c>
      <c r="B1572" t="str">
        <f>IF($C1572="","","C"&amp;TEXT(INT((ROW()-5)/9)+1,"000")&amp;"-1")</f>
        <v/>
      </c>
      <c r="C1572" t="str">
        <f>IF(OR(Registro_Compras!$C$178="",Registro_Compras!$O$178=""),"",IF(Registro_Compras!$F$178="RHE",IF(Registro_Compras!$V$178=0,"","4017"),IF(Registro_Compras!$F$178="NOTA DE CREDITO",IF(Registro_Compras!$M$178="","63",Registro_Compras!$M$178),IF(Registro_Compras!$K$178=0,"","40111"))))</f>
        <v/>
      </c>
      <c r="D1572" t="str">
        <f>IF(OR(Registro_Compras!$C$178="",Registro_Compras!$O$178=""),"",IF(Registro_Compras!$F$178="RHE","Retencion Renta 4ta Categoria por Pagar",IF(Registro_Compras!$F$178="NOTA DE CREDITO","Gastos de Servicios Prestados por Terceros","IGV - Cuenta Propia (Credito Fiscal)")))</f>
        <v/>
      </c>
      <c r="E1572" s="20" t="str">
        <f>IF($C1572="","",IF(Registro_Compras!$F$178="FACTURA",ROUND(Registro_Compras!$K$178*Registro_Compras!$N$178,2),""))</f>
        <v/>
      </c>
      <c r="F1572" s="20" t="str">
        <f>IF($C1572="","",IF(Registro_Compras!$F$178="RHE",ROUND(Registro_Compras!$V$178*Registro_Compras!$N$178,2),IF(Registro_Compras!$F$178="NOTA DE CREDITO",ROUND(ABS(Registro_Compras!$J$178*Registro_Compras!$N$178),2),"")))</f>
        <v/>
      </c>
      <c r="G1572" t="str">
        <f>IF($C1572="","",IF(Registro_Compras!$F$178="NOTA DE CREDITO","Por la nota de credito "&amp;Registro_Compras!$C$178&amp;" de "&amp;Registro_Compras!$E$178&amp;" [PATRON POR CONFIRMAR CON CONTADOR]",IF(Registro_Compras!$F$178="RHE","Por el registro del recibo por honorarios "&amp;Registro_Compras!$C$178&amp;" de "&amp;Registro_Compras!$E$178&amp;" [PATRON POR CONFIRMAR CON CONTADOR]","Por el registro de la factura "&amp;Registro_Compras!$C$178&amp;" de "&amp;Registro_Compras!$E$178)))</f>
        <v/>
      </c>
      <c r="H1572" t="str">
        <f>IF($C1572="","",Registro_Compras!$C$178)</f>
        <v/>
      </c>
    </row>
    <row r="1573" spans="1:8" x14ac:dyDescent="0.25">
      <c r="A1573" s="25" t="str">
        <f>IF($C1573="","",Registro_Compras!$B$178)</f>
        <v/>
      </c>
      <c r="B1573" t="str">
        <f>IF($C1573="","","C"&amp;TEXT(INT((ROW()-5)/9)+1,"000")&amp;"-1")</f>
        <v/>
      </c>
      <c r="C1573" t="str">
        <f>IF(OR(Registro_Compras!$C$178="",Registro_Compras!$O$178=""),"",IF(Registro_Compras!$F$178="NOTA DE CREDITO",IF(Registro_Compras!$K$178=0,"","40111"),"4212"))</f>
        <v/>
      </c>
      <c r="D1573" t="str">
        <f>IF(OR(Registro_Compras!$C$178="",Registro_Compras!$O$178=""),"",IF(Registro_Compras!$F$178="NOTA DE CREDITO","IGV - Cuenta Propia (Credito Fiscal)","Cuentas por Pagar Comerciales - Terceros (Emitidas)"))</f>
        <v/>
      </c>
      <c r="E1573" s="20" t="str">
        <f>""</f>
        <v/>
      </c>
      <c r="F1573" s="20" t="str">
        <f>IF($C1573="","",IF(Registro_Compras!$F$178="NOTA DE CREDITO",ROUND(ABS(Registro_Compras!$K$178*Registro_Compras!$N$178),2),IF(Registro_Compras!$F$178="RHE",(ROUND(Registro_Compras!$L$178*Registro_Compras!$N$178,2)-ROUND(Registro_Compras!$V$178*Registro_Compras!$N$178,2)),Registro_Compras!$O$178)))</f>
        <v/>
      </c>
      <c r="G1573" t="str">
        <f>IF($C1573="","",IF(Registro_Compras!$F$178="NOTA DE CREDITO","Por la nota de credito "&amp;Registro_Compras!$C$178&amp;" de "&amp;Registro_Compras!$E$178&amp;" [PATRON POR CONFIRMAR CON CONTADOR]",IF(Registro_Compras!$F$178="RHE","Por el registro del recibo por honorarios "&amp;Registro_Compras!$C$178&amp;" de "&amp;Registro_Compras!$E$178&amp;" [PATRON POR CONFIRMAR CON CONTADOR]","Por el registro de la factura "&amp;Registro_Compras!$C$178&amp;" de "&amp;Registro_Compras!$E$178)))</f>
        <v/>
      </c>
      <c r="H1573" t="str">
        <f>IF($C1573="","",Registro_Compras!$C$178)</f>
        <v/>
      </c>
    </row>
    <row r="1574" spans="1:8" x14ac:dyDescent="0.25">
      <c r="A1574" s="25" t="str">
        <f>IF($C1574="","",Registro_Compras!$B$178)</f>
        <v/>
      </c>
      <c r="B1574" t="str">
        <f>IF($C1574="","","C"&amp;TEXT(INT((ROW()-5)/9)+1,"000")&amp;"-2")</f>
        <v/>
      </c>
      <c r="C1574" t="str">
        <f>IF(OR(Registro_Compras!$C$178="",Registro_Compras!$O$178=""),"",IF(Registro_Compras!$AB$178="ADMINISTRATIVO","94","95"))</f>
        <v/>
      </c>
      <c r="D1574" t="str">
        <f>IF(OR(Registro_Compras!$C$178="",Registro_Compras!$O$178=""),"",IF(Registro_Compras!$AB$178="ADMINISTRATIVO","Gastos Administrativos","Gastos de Venta y Operacion"))</f>
        <v/>
      </c>
      <c r="E1574" s="20" t="str">
        <f>IF($C1574="","",IF(Registro_Compras!$F$178="NOTA DE CREDITO","",IF(Registro_Compras!$F$178="RHE",ROUND(Registro_Compras!$L$178*Registro_Compras!$N$178,2),ROUND(Registro_Compras!$J$178*Registro_Compras!$N$178,2))))</f>
        <v/>
      </c>
      <c r="F1574" s="20" t="str">
        <f>IF($C1574="","",IF(Registro_Compras!$F$178="NOTA DE CREDITO",ROUND(ABS(Registro_Compras!$J$178*Registro_Compras!$N$178),2),""))</f>
        <v/>
      </c>
      <c r="G1574" t="str">
        <f>IF($C1574="","","Por el destino del gasto")</f>
        <v/>
      </c>
      <c r="H1574" t="str">
        <f>IF($C1574="","",Registro_Compras!$C$178)</f>
        <v/>
      </c>
    </row>
    <row r="1575" spans="1:8" x14ac:dyDescent="0.25">
      <c r="A1575" s="25" t="str">
        <f>IF($C1575="","",Registro_Compras!$B$178)</f>
        <v/>
      </c>
      <c r="B1575" t="str">
        <f>IF($C1575="","","C"&amp;TEXT(INT((ROW()-5)/9)+1,"000")&amp;"-2")</f>
        <v/>
      </c>
      <c r="C1575" t="str">
        <f>IF(OR(Registro_Compras!$C$178="",Registro_Compras!$O$178=""),"","79/791")</f>
        <v/>
      </c>
      <c r="D1575" t="str">
        <f>IF(OR(Registro_Compras!$C$178="",Registro_Compras!$O$178=""),"","Cargas Imputables a Cuentas de Costos y Gastos")</f>
        <v/>
      </c>
      <c r="E1575" s="20" t="str">
        <f>IF($C1575="","",IF(Registro_Compras!$F$178="NOTA DE CREDITO",ROUND(ABS(Registro_Compras!$J$178*Registro_Compras!$N$178),2),""))</f>
        <v/>
      </c>
      <c r="F1575" s="20" t="str">
        <f>IF($C1575="","",IF(Registro_Compras!$F$178="NOTA DE CREDITO","",IF(Registro_Compras!$F$178="RHE",ROUND(Registro_Compras!$L$178*Registro_Compras!$N$178,2),ROUND(Registro_Compras!$J$178*Registro_Compras!$N$178,2))))</f>
        <v/>
      </c>
      <c r="G1575" t="str">
        <f>IF($C1575="","","Por el destino del gasto")</f>
        <v/>
      </c>
      <c r="H1575" t="str">
        <f>IF($C1575="","",Registro_Compras!$C$178)</f>
        <v/>
      </c>
    </row>
    <row r="1576" spans="1:8" x14ac:dyDescent="0.25">
      <c r="A1576" s="25" t="str">
        <f>IF($C1576="","",Registro_Compras!$X$178)</f>
        <v/>
      </c>
      <c r="B1576" t="str">
        <f>IF($C1576="","","C"&amp;TEXT(INT((ROW()-5)/9)+1,"000")&amp;"-3")</f>
        <v/>
      </c>
      <c r="C1576" t="str">
        <f>IF(OR(Registro_Compras!$C$178="",Registro_Compras!$O$178="",Registro_Compras!$R$178&lt;&gt;"SI",Registro_Compras!$X$178=""),"","4212")</f>
        <v/>
      </c>
      <c r="D1576" t="str">
        <f>IF(OR(Registro_Compras!$C$178="",Registro_Compras!$O$178=""),"","Cuentas por Pagar Comerciales - Terceros")</f>
        <v/>
      </c>
      <c r="E1576" s="20" t="str">
        <f>IF($C1576="","",Registro_Compras!$S$178)</f>
        <v/>
      </c>
      <c r="F1576" s="20" t="str">
        <f>""</f>
        <v/>
      </c>
      <c r="G1576" t="str">
        <f>IF($C1576="","","Por el deposito de la detraccion en el Banco de la Nacion")</f>
        <v/>
      </c>
      <c r="H1576" t="str">
        <f>IF($C1576="","",Registro_Compras!$C$178)</f>
        <v/>
      </c>
    </row>
    <row r="1577" spans="1:8" x14ac:dyDescent="0.25">
      <c r="A1577" s="25" t="str">
        <f>IF($C1577="","",Registro_Compras!$X$178)</f>
        <v/>
      </c>
      <c r="B1577" t="str">
        <f>IF($C1577="","","C"&amp;TEXT(INT((ROW()-5)/9)+1,"000")&amp;"-3")</f>
        <v/>
      </c>
      <c r="C1577" t="str">
        <f>IF(OR(Registro_Compras!$C$178="",Registro_Compras!$O$178="",Registro_Compras!$R$178&lt;&gt;"SI",Registro_Compras!$X$178=""),"","1041")</f>
        <v/>
      </c>
      <c r="D1577" t="str">
        <f>IF(OR(Registro_Compras!$C$178="",Registro_Compras!$O$178=""),"","Efectivo y Equivalentes - Cta. Cte. Operativa")</f>
        <v/>
      </c>
      <c r="E1577" s="20" t="str">
        <f>""</f>
        <v/>
      </c>
      <c r="F1577" s="20" t="str">
        <f>IF($C1577="","",Registro_Compras!$S$178)</f>
        <v/>
      </c>
      <c r="G1577" t="str">
        <f>IF($C1577="","","Por el deposito de la detraccion en el Banco de la Nacion")</f>
        <v/>
      </c>
      <c r="H1577" t="str">
        <f>IF($C1577="","",Registro_Compras!$C$178)</f>
        <v/>
      </c>
    </row>
    <row r="1578" spans="1:8" x14ac:dyDescent="0.25">
      <c r="A1578" s="25" t="str">
        <f>IF($C1578="","",Registro_Compras!$Y$178)</f>
        <v/>
      </c>
      <c r="B1578" t="str">
        <f>IF($C1578="","","C"&amp;TEXT(INT((ROW()-5)/9)+1,"000")&amp;"-4")</f>
        <v/>
      </c>
      <c r="C1578" t="str">
        <f>IF(OR(Registro_Compras!$C$178="",Registro_Compras!$O$178="",Registro_Compras!$Y$178="",Registro_Compras!$F$178="NOTA DE CREDITO"),"","4212")</f>
        <v/>
      </c>
      <c r="D1578" t="str">
        <f>IF(OR(Registro_Compras!$C$178="",Registro_Compras!$O$178=""),"","Cuentas por Pagar Comerciales - Terceros")</f>
        <v/>
      </c>
      <c r="E1578" s="20" t="str">
        <f>IF($C1578="","",IF(Registro_Compras!$F$178="RHE",(ROUND(Registro_Compras!$L$178*Registro_Compras!$N$178,2)-ROUND(Registro_Compras!$V$178*Registro_Compras!$N$178,2)),ROUND(Registro_Compras!$O$178-Registro_Compras!$S$178,2)))</f>
        <v/>
      </c>
      <c r="F1578" s="20" t="str">
        <f>""</f>
        <v/>
      </c>
      <c r="G1578" t="str">
        <f>IF($C1578="","","Por la cancelacion del saldo al proveedor")</f>
        <v/>
      </c>
      <c r="H1578" t="str">
        <f>IF($C1578="","",Registro_Compras!$C$178)</f>
        <v/>
      </c>
    </row>
    <row r="1579" spans="1:8" x14ac:dyDescent="0.25">
      <c r="A1579" s="25" t="str">
        <f>IF($C1579="","",Registro_Compras!$Y$178)</f>
        <v/>
      </c>
      <c r="B1579" t="str">
        <f>IF($C1579="","","C"&amp;TEXT(INT((ROW()-5)/9)+1,"000")&amp;"-4")</f>
        <v/>
      </c>
      <c r="C1579" t="str">
        <f>IF(OR(Registro_Compras!$C$178="",Registro_Compras!$O$178="",Registro_Compras!$Y$178="",Registro_Compras!$F$178="NOTA DE CREDITO"),"","1041")</f>
        <v/>
      </c>
      <c r="D1579" t="str">
        <f>IF(OR(Registro_Compras!$C$178="",Registro_Compras!$O$178=""),"","Efectivo y Equivalentes - Cta. Cte. Operativa")</f>
        <v/>
      </c>
      <c r="E1579" s="20" t="str">
        <f>""</f>
        <v/>
      </c>
      <c r="F1579" s="20" t="str">
        <f>IF($C1579="","",IF(Registro_Compras!$F$178="RHE",(ROUND(Registro_Compras!$L$178*Registro_Compras!$N$178,2)-ROUND(Registro_Compras!$V$178*Registro_Compras!$N$178,2)),ROUND(Registro_Compras!$O$178-Registro_Compras!$S$178,2)))</f>
        <v/>
      </c>
      <c r="G1579" t="str">
        <f>IF($C1579="","","Por la cancelacion del saldo al proveedor")</f>
        <v/>
      </c>
      <c r="H1579" t="str">
        <f>IF($C1579="","",Registro_Compras!$C$178)</f>
        <v/>
      </c>
    </row>
    <row r="1580" spans="1:8" x14ac:dyDescent="0.25">
      <c r="A1580" s="25" t="str">
        <f>IF($C1580="","",Registro_Compras!$B$179)</f>
        <v/>
      </c>
      <c r="B1580" t="str">
        <f>IF($C1580="","","C"&amp;TEXT(INT((ROW()-5)/9)+1,"000")&amp;"-1")</f>
        <v/>
      </c>
      <c r="C1580" t="str">
        <f>IF(OR(Registro_Compras!$C$179="",Registro_Compras!$O$179=""),"",IF(Registro_Compras!$F$179="NOTA DE CREDITO","4212",IF(Registro_Compras!$M$179="","63",Registro_Compras!$M$179)))</f>
        <v/>
      </c>
      <c r="D1580" t="str">
        <f>IF(OR(Registro_Compras!$C$179="",Registro_Compras!$O$179=""),"",IF(Registro_Compras!$F$179="NOTA DE CREDITO","Cuentas por Pagar Comerciales - Terceros (Emitidas)",IF(Registro_Compras!$F$179="RHE","Honorarios Profesionales - Servicios de Terceros","Gastos de Servicios Prestados por Terceros")))</f>
        <v/>
      </c>
      <c r="E1580" s="20" t="str">
        <f>IF($C1580="","",IF(Registro_Compras!$F$179="NOTA DE CREDITO",ABS(Registro_Compras!$O$179),IF(Registro_Compras!$F$179="RHE",ROUND(Registro_Compras!$L$179*Registro_Compras!$N$179,2),ROUND(Registro_Compras!$J$179*Registro_Compras!$N$179,2))))</f>
        <v/>
      </c>
      <c r="F1580" s="20" t="str">
        <f>""</f>
        <v/>
      </c>
      <c r="G1580" t="str">
        <f>IF($C1580="","",IF(Registro_Compras!$F$179="NOTA DE CREDITO","Por la nota de credito "&amp;Registro_Compras!$C$179&amp;" de "&amp;Registro_Compras!$E$179&amp;" [PATRON POR CONFIRMAR CON CONTADOR]",IF(Registro_Compras!$F$179="RHE","Por el registro del recibo por honorarios "&amp;Registro_Compras!$C$179&amp;" de "&amp;Registro_Compras!$E$179&amp;" [PATRON POR CONFIRMAR CON CONTADOR]","Por el registro de la factura "&amp;Registro_Compras!$C$179&amp;" de "&amp;Registro_Compras!$E$179)))</f>
        <v/>
      </c>
      <c r="H1580" t="str">
        <f>IF($C1580="","",Registro_Compras!$C$179)</f>
        <v/>
      </c>
    </row>
    <row r="1581" spans="1:8" x14ac:dyDescent="0.25">
      <c r="A1581" s="25" t="str">
        <f>IF($C1581="","",Registro_Compras!$B$179)</f>
        <v/>
      </c>
      <c r="B1581" t="str">
        <f>IF($C1581="","","C"&amp;TEXT(INT((ROW()-5)/9)+1,"000")&amp;"-1")</f>
        <v/>
      </c>
      <c r="C1581" t="str">
        <f>IF(OR(Registro_Compras!$C$179="",Registro_Compras!$O$179=""),"",IF(Registro_Compras!$F$179="RHE",IF(Registro_Compras!$V$179=0,"","4017"),IF(Registro_Compras!$F$179="NOTA DE CREDITO",IF(Registro_Compras!$M$179="","63",Registro_Compras!$M$179),IF(Registro_Compras!$K$179=0,"","40111"))))</f>
        <v/>
      </c>
      <c r="D1581" t="str">
        <f>IF(OR(Registro_Compras!$C$179="",Registro_Compras!$O$179=""),"",IF(Registro_Compras!$F$179="RHE","Retencion Renta 4ta Categoria por Pagar",IF(Registro_Compras!$F$179="NOTA DE CREDITO","Gastos de Servicios Prestados por Terceros","IGV - Cuenta Propia (Credito Fiscal)")))</f>
        <v/>
      </c>
      <c r="E1581" s="20" t="str">
        <f>IF($C1581="","",IF(Registro_Compras!$F$179="FACTURA",ROUND(Registro_Compras!$K$179*Registro_Compras!$N$179,2),""))</f>
        <v/>
      </c>
      <c r="F1581" s="20" t="str">
        <f>IF($C1581="","",IF(Registro_Compras!$F$179="RHE",ROUND(Registro_Compras!$V$179*Registro_Compras!$N$179,2),IF(Registro_Compras!$F$179="NOTA DE CREDITO",ROUND(ABS(Registro_Compras!$J$179*Registro_Compras!$N$179),2),"")))</f>
        <v/>
      </c>
      <c r="G1581" t="str">
        <f>IF($C1581="","",IF(Registro_Compras!$F$179="NOTA DE CREDITO","Por la nota de credito "&amp;Registro_Compras!$C$179&amp;" de "&amp;Registro_Compras!$E$179&amp;" [PATRON POR CONFIRMAR CON CONTADOR]",IF(Registro_Compras!$F$179="RHE","Por el registro del recibo por honorarios "&amp;Registro_Compras!$C$179&amp;" de "&amp;Registro_Compras!$E$179&amp;" [PATRON POR CONFIRMAR CON CONTADOR]","Por el registro de la factura "&amp;Registro_Compras!$C$179&amp;" de "&amp;Registro_Compras!$E$179)))</f>
        <v/>
      </c>
      <c r="H1581" t="str">
        <f>IF($C1581="","",Registro_Compras!$C$179)</f>
        <v/>
      </c>
    </row>
    <row r="1582" spans="1:8" x14ac:dyDescent="0.25">
      <c r="A1582" s="25" t="str">
        <f>IF($C1582="","",Registro_Compras!$B$179)</f>
        <v/>
      </c>
      <c r="B1582" t="str">
        <f>IF($C1582="","","C"&amp;TEXT(INT((ROW()-5)/9)+1,"000")&amp;"-1")</f>
        <v/>
      </c>
      <c r="C1582" t="str">
        <f>IF(OR(Registro_Compras!$C$179="",Registro_Compras!$O$179=""),"",IF(Registro_Compras!$F$179="NOTA DE CREDITO",IF(Registro_Compras!$K$179=0,"","40111"),"4212"))</f>
        <v/>
      </c>
      <c r="D1582" t="str">
        <f>IF(OR(Registro_Compras!$C$179="",Registro_Compras!$O$179=""),"",IF(Registro_Compras!$F$179="NOTA DE CREDITO","IGV - Cuenta Propia (Credito Fiscal)","Cuentas por Pagar Comerciales - Terceros (Emitidas)"))</f>
        <v/>
      </c>
      <c r="E1582" s="20" t="str">
        <f>""</f>
        <v/>
      </c>
      <c r="F1582" s="20" t="str">
        <f>IF($C1582="","",IF(Registro_Compras!$F$179="NOTA DE CREDITO",ROUND(ABS(Registro_Compras!$K$179*Registro_Compras!$N$179),2),IF(Registro_Compras!$F$179="RHE",(ROUND(Registro_Compras!$L$179*Registro_Compras!$N$179,2)-ROUND(Registro_Compras!$V$179*Registro_Compras!$N$179,2)),Registro_Compras!$O$179)))</f>
        <v/>
      </c>
      <c r="G1582" t="str">
        <f>IF($C1582="","",IF(Registro_Compras!$F$179="NOTA DE CREDITO","Por la nota de credito "&amp;Registro_Compras!$C$179&amp;" de "&amp;Registro_Compras!$E$179&amp;" [PATRON POR CONFIRMAR CON CONTADOR]",IF(Registro_Compras!$F$179="RHE","Por el registro del recibo por honorarios "&amp;Registro_Compras!$C$179&amp;" de "&amp;Registro_Compras!$E$179&amp;" [PATRON POR CONFIRMAR CON CONTADOR]","Por el registro de la factura "&amp;Registro_Compras!$C$179&amp;" de "&amp;Registro_Compras!$E$179)))</f>
        <v/>
      </c>
      <c r="H1582" t="str">
        <f>IF($C1582="","",Registro_Compras!$C$179)</f>
        <v/>
      </c>
    </row>
    <row r="1583" spans="1:8" x14ac:dyDescent="0.25">
      <c r="A1583" s="25" t="str">
        <f>IF($C1583="","",Registro_Compras!$B$179)</f>
        <v/>
      </c>
      <c r="B1583" t="str">
        <f>IF($C1583="","","C"&amp;TEXT(INT((ROW()-5)/9)+1,"000")&amp;"-2")</f>
        <v/>
      </c>
      <c r="C1583" t="str">
        <f>IF(OR(Registro_Compras!$C$179="",Registro_Compras!$O$179=""),"",IF(Registro_Compras!$AB$179="ADMINISTRATIVO","94","95"))</f>
        <v/>
      </c>
      <c r="D1583" t="str">
        <f>IF(OR(Registro_Compras!$C$179="",Registro_Compras!$O$179=""),"",IF(Registro_Compras!$AB$179="ADMINISTRATIVO","Gastos Administrativos","Gastos de Venta y Operacion"))</f>
        <v/>
      </c>
      <c r="E1583" s="20" t="str">
        <f>IF($C1583="","",IF(Registro_Compras!$F$179="NOTA DE CREDITO","",IF(Registro_Compras!$F$179="RHE",ROUND(Registro_Compras!$L$179*Registro_Compras!$N$179,2),ROUND(Registro_Compras!$J$179*Registro_Compras!$N$179,2))))</f>
        <v/>
      </c>
      <c r="F1583" s="20" t="str">
        <f>IF($C1583="","",IF(Registro_Compras!$F$179="NOTA DE CREDITO",ROUND(ABS(Registro_Compras!$J$179*Registro_Compras!$N$179),2),""))</f>
        <v/>
      </c>
      <c r="G1583" t="str">
        <f>IF($C1583="","","Por el destino del gasto")</f>
        <v/>
      </c>
      <c r="H1583" t="str">
        <f>IF($C1583="","",Registro_Compras!$C$179)</f>
        <v/>
      </c>
    </row>
    <row r="1584" spans="1:8" x14ac:dyDescent="0.25">
      <c r="A1584" s="25" t="str">
        <f>IF($C1584="","",Registro_Compras!$B$179)</f>
        <v/>
      </c>
      <c r="B1584" t="str">
        <f>IF($C1584="","","C"&amp;TEXT(INT((ROW()-5)/9)+1,"000")&amp;"-2")</f>
        <v/>
      </c>
      <c r="C1584" t="str">
        <f>IF(OR(Registro_Compras!$C$179="",Registro_Compras!$O$179=""),"","79/791")</f>
        <v/>
      </c>
      <c r="D1584" t="str">
        <f>IF(OR(Registro_Compras!$C$179="",Registro_Compras!$O$179=""),"","Cargas Imputables a Cuentas de Costos y Gastos")</f>
        <v/>
      </c>
      <c r="E1584" s="20" t="str">
        <f>IF($C1584="","",IF(Registro_Compras!$F$179="NOTA DE CREDITO",ROUND(ABS(Registro_Compras!$J$179*Registro_Compras!$N$179),2),""))</f>
        <v/>
      </c>
      <c r="F1584" s="20" t="str">
        <f>IF($C1584="","",IF(Registro_Compras!$F$179="NOTA DE CREDITO","",IF(Registro_Compras!$F$179="RHE",ROUND(Registro_Compras!$L$179*Registro_Compras!$N$179,2),ROUND(Registro_Compras!$J$179*Registro_Compras!$N$179,2))))</f>
        <v/>
      </c>
      <c r="G1584" t="str">
        <f>IF($C1584="","","Por el destino del gasto")</f>
        <v/>
      </c>
      <c r="H1584" t="str">
        <f>IF($C1584="","",Registro_Compras!$C$179)</f>
        <v/>
      </c>
    </row>
    <row r="1585" spans="1:8" x14ac:dyDescent="0.25">
      <c r="A1585" s="25" t="str">
        <f>IF($C1585="","",Registro_Compras!$X$179)</f>
        <v/>
      </c>
      <c r="B1585" t="str">
        <f>IF($C1585="","","C"&amp;TEXT(INT((ROW()-5)/9)+1,"000")&amp;"-3")</f>
        <v/>
      </c>
      <c r="C1585" t="str">
        <f>IF(OR(Registro_Compras!$C$179="",Registro_Compras!$O$179="",Registro_Compras!$R$179&lt;&gt;"SI",Registro_Compras!$X$179=""),"","4212")</f>
        <v/>
      </c>
      <c r="D1585" t="str">
        <f>IF(OR(Registro_Compras!$C$179="",Registro_Compras!$O$179=""),"","Cuentas por Pagar Comerciales - Terceros")</f>
        <v/>
      </c>
      <c r="E1585" s="20" t="str">
        <f>IF($C1585="","",Registro_Compras!$S$179)</f>
        <v/>
      </c>
      <c r="F1585" s="20" t="str">
        <f>""</f>
        <v/>
      </c>
      <c r="G1585" t="str">
        <f>IF($C1585="","","Por el deposito de la detraccion en el Banco de la Nacion")</f>
        <v/>
      </c>
      <c r="H1585" t="str">
        <f>IF($C1585="","",Registro_Compras!$C$179)</f>
        <v/>
      </c>
    </row>
    <row r="1586" spans="1:8" x14ac:dyDescent="0.25">
      <c r="A1586" s="25" t="str">
        <f>IF($C1586="","",Registro_Compras!$X$179)</f>
        <v/>
      </c>
      <c r="B1586" t="str">
        <f>IF($C1586="","","C"&amp;TEXT(INT((ROW()-5)/9)+1,"000")&amp;"-3")</f>
        <v/>
      </c>
      <c r="C1586" t="str">
        <f>IF(OR(Registro_Compras!$C$179="",Registro_Compras!$O$179="",Registro_Compras!$R$179&lt;&gt;"SI",Registro_Compras!$X$179=""),"","1041")</f>
        <v/>
      </c>
      <c r="D1586" t="str">
        <f>IF(OR(Registro_Compras!$C$179="",Registro_Compras!$O$179=""),"","Efectivo y Equivalentes - Cta. Cte. Operativa")</f>
        <v/>
      </c>
      <c r="E1586" s="20" t="str">
        <f>""</f>
        <v/>
      </c>
      <c r="F1586" s="20" t="str">
        <f>IF($C1586="","",Registro_Compras!$S$179)</f>
        <v/>
      </c>
      <c r="G1586" t="str">
        <f>IF($C1586="","","Por el deposito de la detraccion en el Banco de la Nacion")</f>
        <v/>
      </c>
      <c r="H1586" t="str">
        <f>IF($C1586="","",Registro_Compras!$C$179)</f>
        <v/>
      </c>
    </row>
    <row r="1587" spans="1:8" x14ac:dyDescent="0.25">
      <c r="A1587" s="25" t="str">
        <f>IF($C1587="","",Registro_Compras!$Y$179)</f>
        <v/>
      </c>
      <c r="B1587" t="str">
        <f>IF($C1587="","","C"&amp;TEXT(INT((ROW()-5)/9)+1,"000")&amp;"-4")</f>
        <v/>
      </c>
      <c r="C1587" t="str">
        <f>IF(OR(Registro_Compras!$C$179="",Registro_Compras!$O$179="",Registro_Compras!$Y$179="",Registro_Compras!$F$179="NOTA DE CREDITO"),"","4212")</f>
        <v/>
      </c>
      <c r="D1587" t="str">
        <f>IF(OR(Registro_Compras!$C$179="",Registro_Compras!$O$179=""),"","Cuentas por Pagar Comerciales - Terceros")</f>
        <v/>
      </c>
      <c r="E1587" s="20" t="str">
        <f>IF($C1587="","",IF(Registro_Compras!$F$179="RHE",(ROUND(Registro_Compras!$L$179*Registro_Compras!$N$179,2)-ROUND(Registro_Compras!$V$179*Registro_Compras!$N$179,2)),ROUND(Registro_Compras!$O$179-Registro_Compras!$S$179,2)))</f>
        <v/>
      </c>
      <c r="F1587" s="20" t="str">
        <f>""</f>
        <v/>
      </c>
      <c r="G1587" t="str">
        <f>IF($C1587="","","Por la cancelacion del saldo al proveedor")</f>
        <v/>
      </c>
      <c r="H1587" t="str">
        <f>IF($C1587="","",Registro_Compras!$C$179)</f>
        <v/>
      </c>
    </row>
    <row r="1588" spans="1:8" x14ac:dyDescent="0.25">
      <c r="A1588" s="25" t="str">
        <f>IF($C1588="","",Registro_Compras!$Y$179)</f>
        <v/>
      </c>
      <c r="B1588" t="str">
        <f>IF($C1588="","","C"&amp;TEXT(INT((ROW()-5)/9)+1,"000")&amp;"-4")</f>
        <v/>
      </c>
      <c r="C1588" t="str">
        <f>IF(OR(Registro_Compras!$C$179="",Registro_Compras!$O$179="",Registro_Compras!$Y$179="",Registro_Compras!$F$179="NOTA DE CREDITO"),"","1041")</f>
        <v/>
      </c>
      <c r="D1588" t="str">
        <f>IF(OR(Registro_Compras!$C$179="",Registro_Compras!$O$179=""),"","Efectivo y Equivalentes - Cta. Cte. Operativa")</f>
        <v/>
      </c>
      <c r="E1588" s="20" t="str">
        <f>""</f>
        <v/>
      </c>
      <c r="F1588" s="20" t="str">
        <f>IF($C1588="","",IF(Registro_Compras!$F$179="RHE",(ROUND(Registro_Compras!$L$179*Registro_Compras!$N$179,2)-ROUND(Registro_Compras!$V$179*Registro_Compras!$N$179,2)),ROUND(Registro_Compras!$O$179-Registro_Compras!$S$179,2)))</f>
        <v/>
      </c>
      <c r="G1588" t="str">
        <f>IF($C1588="","","Por la cancelacion del saldo al proveedor")</f>
        <v/>
      </c>
      <c r="H1588" t="str">
        <f>IF($C1588="","",Registro_Compras!$C$179)</f>
        <v/>
      </c>
    </row>
    <row r="1589" spans="1:8" x14ac:dyDescent="0.25">
      <c r="A1589" s="25" t="str">
        <f>IF($C1589="","",Registro_Compras!$B$180)</f>
        <v/>
      </c>
      <c r="B1589" t="str">
        <f>IF($C1589="","","C"&amp;TEXT(INT((ROW()-5)/9)+1,"000")&amp;"-1")</f>
        <v/>
      </c>
      <c r="C1589" t="str">
        <f>IF(OR(Registro_Compras!$C$180="",Registro_Compras!$O$180=""),"",IF(Registro_Compras!$F$180="NOTA DE CREDITO","4212",IF(Registro_Compras!$M$180="","63",Registro_Compras!$M$180)))</f>
        <v/>
      </c>
      <c r="D1589" t="str">
        <f>IF(OR(Registro_Compras!$C$180="",Registro_Compras!$O$180=""),"",IF(Registro_Compras!$F$180="NOTA DE CREDITO","Cuentas por Pagar Comerciales - Terceros (Emitidas)",IF(Registro_Compras!$F$180="RHE","Honorarios Profesionales - Servicios de Terceros","Gastos de Servicios Prestados por Terceros")))</f>
        <v/>
      </c>
      <c r="E1589" s="20" t="str">
        <f>IF($C1589="","",IF(Registro_Compras!$F$180="NOTA DE CREDITO",ABS(Registro_Compras!$O$180),IF(Registro_Compras!$F$180="RHE",ROUND(Registro_Compras!$L$180*Registro_Compras!$N$180,2),ROUND(Registro_Compras!$J$180*Registro_Compras!$N$180,2))))</f>
        <v/>
      </c>
      <c r="F1589" s="20" t="str">
        <f>""</f>
        <v/>
      </c>
      <c r="G1589" t="str">
        <f>IF($C1589="","",IF(Registro_Compras!$F$180="NOTA DE CREDITO","Por la nota de credito "&amp;Registro_Compras!$C$180&amp;" de "&amp;Registro_Compras!$E$180&amp;" [PATRON POR CONFIRMAR CON CONTADOR]",IF(Registro_Compras!$F$180="RHE","Por el registro del recibo por honorarios "&amp;Registro_Compras!$C$180&amp;" de "&amp;Registro_Compras!$E$180&amp;" [PATRON POR CONFIRMAR CON CONTADOR]","Por el registro de la factura "&amp;Registro_Compras!$C$180&amp;" de "&amp;Registro_Compras!$E$180)))</f>
        <v/>
      </c>
      <c r="H1589" t="str">
        <f>IF($C1589="","",Registro_Compras!$C$180)</f>
        <v/>
      </c>
    </row>
    <row r="1590" spans="1:8" x14ac:dyDescent="0.25">
      <c r="A1590" s="25" t="str">
        <f>IF($C1590="","",Registro_Compras!$B$180)</f>
        <v/>
      </c>
      <c r="B1590" t="str">
        <f>IF($C1590="","","C"&amp;TEXT(INT((ROW()-5)/9)+1,"000")&amp;"-1")</f>
        <v/>
      </c>
      <c r="C1590" t="str">
        <f>IF(OR(Registro_Compras!$C$180="",Registro_Compras!$O$180=""),"",IF(Registro_Compras!$F$180="RHE",IF(Registro_Compras!$V$180=0,"","4017"),IF(Registro_Compras!$F$180="NOTA DE CREDITO",IF(Registro_Compras!$M$180="","63",Registro_Compras!$M$180),IF(Registro_Compras!$K$180=0,"","40111"))))</f>
        <v/>
      </c>
      <c r="D1590" t="str">
        <f>IF(OR(Registro_Compras!$C$180="",Registro_Compras!$O$180=""),"",IF(Registro_Compras!$F$180="RHE","Retencion Renta 4ta Categoria por Pagar",IF(Registro_Compras!$F$180="NOTA DE CREDITO","Gastos de Servicios Prestados por Terceros","IGV - Cuenta Propia (Credito Fiscal)")))</f>
        <v/>
      </c>
      <c r="E1590" s="20" t="str">
        <f>IF($C1590="","",IF(Registro_Compras!$F$180="FACTURA",ROUND(Registro_Compras!$K$180*Registro_Compras!$N$180,2),""))</f>
        <v/>
      </c>
      <c r="F1590" s="20" t="str">
        <f>IF($C1590="","",IF(Registro_Compras!$F$180="RHE",ROUND(Registro_Compras!$V$180*Registro_Compras!$N$180,2),IF(Registro_Compras!$F$180="NOTA DE CREDITO",ROUND(ABS(Registro_Compras!$J$180*Registro_Compras!$N$180),2),"")))</f>
        <v/>
      </c>
      <c r="G1590" t="str">
        <f>IF($C1590="","",IF(Registro_Compras!$F$180="NOTA DE CREDITO","Por la nota de credito "&amp;Registro_Compras!$C$180&amp;" de "&amp;Registro_Compras!$E$180&amp;" [PATRON POR CONFIRMAR CON CONTADOR]",IF(Registro_Compras!$F$180="RHE","Por el registro del recibo por honorarios "&amp;Registro_Compras!$C$180&amp;" de "&amp;Registro_Compras!$E$180&amp;" [PATRON POR CONFIRMAR CON CONTADOR]","Por el registro de la factura "&amp;Registro_Compras!$C$180&amp;" de "&amp;Registro_Compras!$E$180)))</f>
        <v/>
      </c>
      <c r="H1590" t="str">
        <f>IF($C1590="","",Registro_Compras!$C$180)</f>
        <v/>
      </c>
    </row>
    <row r="1591" spans="1:8" x14ac:dyDescent="0.25">
      <c r="A1591" s="25" t="str">
        <f>IF($C1591="","",Registro_Compras!$B$180)</f>
        <v/>
      </c>
      <c r="B1591" t="str">
        <f>IF($C1591="","","C"&amp;TEXT(INT((ROW()-5)/9)+1,"000")&amp;"-1")</f>
        <v/>
      </c>
      <c r="C1591" t="str">
        <f>IF(OR(Registro_Compras!$C$180="",Registro_Compras!$O$180=""),"",IF(Registro_Compras!$F$180="NOTA DE CREDITO",IF(Registro_Compras!$K$180=0,"","40111"),"4212"))</f>
        <v/>
      </c>
      <c r="D1591" t="str">
        <f>IF(OR(Registro_Compras!$C$180="",Registro_Compras!$O$180=""),"",IF(Registro_Compras!$F$180="NOTA DE CREDITO","IGV - Cuenta Propia (Credito Fiscal)","Cuentas por Pagar Comerciales - Terceros (Emitidas)"))</f>
        <v/>
      </c>
      <c r="E1591" s="20" t="str">
        <f>""</f>
        <v/>
      </c>
      <c r="F1591" s="20" t="str">
        <f>IF($C1591="","",IF(Registro_Compras!$F$180="NOTA DE CREDITO",ROUND(ABS(Registro_Compras!$K$180*Registro_Compras!$N$180),2),IF(Registro_Compras!$F$180="RHE",(ROUND(Registro_Compras!$L$180*Registro_Compras!$N$180,2)-ROUND(Registro_Compras!$V$180*Registro_Compras!$N$180,2)),Registro_Compras!$O$180)))</f>
        <v/>
      </c>
      <c r="G1591" t="str">
        <f>IF($C1591="","",IF(Registro_Compras!$F$180="NOTA DE CREDITO","Por la nota de credito "&amp;Registro_Compras!$C$180&amp;" de "&amp;Registro_Compras!$E$180&amp;" [PATRON POR CONFIRMAR CON CONTADOR]",IF(Registro_Compras!$F$180="RHE","Por el registro del recibo por honorarios "&amp;Registro_Compras!$C$180&amp;" de "&amp;Registro_Compras!$E$180&amp;" [PATRON POR CONFIRMAR CON CONTADOR]","Por el registro de la factura "&amp;Registro_Compras!$C$180&amp;" de "&amp;Registro_Compras!$E$180)))</f>
        <v/>
      </c>
      <c r="H1591" t="str">
        <f>IF($C1591="","",Registro_Compras!$C$180)</f>
        <v/>
      </c>
    </row>
    <row r="1592" spans="1:8" x14ac:dyDescent="0.25">
      <c r="A1592" s="25" t="str">
        <f>IF($C1592="","",Registro_Compras!$B$180)</f>
        <v/>
      </c>
      <c r="B1592" t="str">
        <f>IF($C1592="","","C"&amp;TEXT(INT((ROW()-5)/9)+1,"000")&amp;"-2")</f>
        <v/>
      </c>
      <c r="C1592" t="str">
        <f>IF(OR(Registro_Compras!$C$180="",Registro_Compras!$O$180=""),"",IF(Registro_Compras!$AB$180="ADMINISTRATIVO","94","95"))</f>
        <v/>
      </c>
      <c r="D1592" t="str">
        <f>IF(OR(Registro_Compras!$C$180="",Registro_Compras!$O$180=""),"",IF(Registro_Compras!$AB$180="ADMINISTRATIVO","Gastos Administrativos","Gastos de Venta y Operacion"))</f>
        <v/>
      </c>
      <c r="E1592" s="20" t="str">
        <f>IF($C1592="","",IF(Registro_Compras!$F$180="NOTA DE CREDITO","",IF(Registro_Compras!$F$180="RHE",ROUND(Registro_Compras!$L$180*Registro_Compras!$N$180,2),ROUND(Registro_Compras!$J$180*Registro_Compras!$N$180,2))))</f>
        <v/>
      </c>
      <c r="F1592" s="20" t="str">
        <f>IF($C1592="","",IF(Registro_Compras!$F$180="NOTA DE CREDITO",ROUND(ABS(Registro_Compras!$J$180*Registro_Compras!$N$180),2),""))</f>
        <v/>
      </c>
      <c r="G1592" t="str">
        <f>IF($C1592="","","Por el destino del gasto")</f>
        <v/>
      </c>
      <c r="H1592" t="str">
        <f>IF($C1592="","",Registro_Compras!$C$180)</f>
        <v/>
      </c>
    </row>
    <row r="1593" spans="1:8" x14ac:dyDescent="0.25">
      <c r="A1593" s="25" t="str">
        <f>IF($C1593="","",Registro_Compras!$B$180)</f>
        <v/>
      </c>
      <c r="B1593" t="str">
        <f>IF($C1593="","","C"&amp;TEXT(INT((ROW()-5)/9)+1,"000")&amp;"-2")</f>
        <v/>
      </c>
      <c r="C1593" t="str">
        <f>IF(OR(Registro_Compras!$C$180="",Registro_Compras!$O$180=""),"","79/791")</f>
        <v/>
      </c>
      <c r="D1593" t="str">
        <f>IF(OR(Registro_Compras!$C$180="",Registro_Compras!$O$180=""),"","Cargas Imputables a Cuentas de Costos y Gastos")</f>
        <v/>
      </c>
      <c r="E1593" s="20" t="str">
        <f>IF($C1593="","",IF(Registro_Compras!$F$180="NOTA DE CREDITO",ROUND(ABS(Registro_Compras!$J$180*Registro_Compras!$N$180),2),""))</f>
        <v/>
      </c>
      <c r="F1593" s="20" t="str">
        <f>IF($C1593="","",IF(Registro_Compras!$F$180="NOTA DE CREDITO","",IF(Registro_Compras!$F$180="RHE",ROUND(Registro_Compras!$L$180*Registro_Compras!$N$180,2),ROUND(Registro_Compras!$J$180*Registro_Compras!$N$180,2))))</f>
        <v/>
      </c>
      <c r="G1593" t="str">
        <f>IF($C1593="","","Por el destino del gasto")</f>
        <v/>
      </c>
      <c r="H1593" t="str">
        <f>IF($C1593="","",Registro_Compras!$C$180)</f>
        <v/>
      </c>
    </row>
    <row r="1594" spans="1:8" x14ac:dyDescent="0.25">
      <c r="A1594" s="25" t="str">
        <f>IF($C1594="","",Registro_Compras!$X$180)</f>
        <v/>
      </c>
      <c r="B1594" t="str">
        <f>IF($C1594="","","C"&amp;TEXT(INT((ROW()-5)/9)+1,"000")&amp;"-3")</f>
        <v/>
      </c>
      <c r="C1594" t="str">
        <f>IF(OR(Registro_Compras!$C$180="",Registro_Compras!$O$180="",Registro_Compras!$R$180&lt;&gt;"SI",Registro_Compras!$X$180=""),"","4212")</f>
        <v/>
      </c>
      <c r="D1594" t="str">
        <f>IF(OR(Registro_Compras!$C$180="",Registro_Compras!$O$180=""),"","Cuentas por Pagar Comerciales - Terceros")</f>
        <v/>
      </c>
      <c r="E1594" s="20" t="str">
        <f>IF($C1594="","",Registro_Compras!$S$180)</f>
        <v/>
      </c>
      <c r="F1594" s="20" t="str">
        <f>""</f>
        <v/>
      </c>
      <c r="G1594" t="str">
        <f>IF($C1594="","","Por el deposito de la detraccion en el Banco de la Nacion")</f>
        <v/>
      </c>
      <c r="H1594" t="str">
        <f>IF($C1594="","",Registro_Compras!$C$180)</f>
        <v/>
      </c>
    </row>
    <row r="1595" spans="1:8" x14ac:dyDescent="0.25">
      <c r="A1595" s="25" t="str">
        <f>IF($C1595="","",Registro_Compras!$X$180)</f>
        <v/>
      </c>
      <c r="B1595" t="str">
        <f>IF($C1595="","","C"&amp;TEXT(INT((ROW()-5)/9)+1,"000")&amp;"-3")</f>
        <v/>
      </c>
      <c r="C1595" t="str">
        <f>IF(OR(Registro_Compras!$C$180="",Registro_Compras!$O$180="",Registro_Compras!$R$180&lt;&gt;"SI",Registro_Compras!$X$180=""),"","1041")</f>
        <v/>
      </c>
      <c r="D1595" t="str">
        <f>IF(OR(Registro_Compras!$C$180="",Registro_Compras!$O$180=""),"","Efectivo y Equivalentes - Cta. Cte. Operativa")</f>
        <v/>
      </c>
      <c r="E1595" s="20" t="str">
        <f>""</f>
        <v/>
      </c>
      <c r="F1595" s="20" t="str">
        <f>IF($C1595="","",Registro_Compras!$S$180)</f>
        <v/>
      </c>
      <c r="G1595" t="str">
        <f>IF($C1595="","","Por el deposito de la detraccion en el Banco de la Nacion")</f>
        <v/>
      </c>
      <c r="H1595" t="str">
        <f>IF($C1595="","",Registro_Compras!$C$180)</f>
        <v/>
      </c>
    </row>
    <row r="1596" spans="1:8" x14ac:dyDescent="0.25">
      <c r="A1596" s="25" t="str">
        <f>IF($C1596="","",Registro_Compras!$Y$180)</f>
        <v/>
      </c>
      <c r="B1596" t="str">
        <f>IF($C1596="","","C"&amp;TEXT(INT((ROW()-5)/9)+1,"000")&amp;"-4")</f>
        <v/>
      </c>
      <c r="C1596" t="str">
        <f>IF(OR(Registro_Compras!$C$180="",Registro_Compras!$O$180="",Registro_Compras!$Y$180="",Registro_Compras!$F$180="NOTA DE CREDITO"),"","4212")</f>
        <v/>
      </c>
      <c r="D1596" t="str">
        <f>IF(OR(Registro_Compras!$C$180="",Registro_Compras!$O$180=""),"","Cuentas por Pagar Comerciales - Terceros")</f>
        <v/>
      </c>
      <c r="E1596" s="20" t="str">
        <f>IF($C1596="","",IF(Registro_Compras!$F$180="RHE",(ROUND(Registro_Compras!$L$180*Registro_Compras!$N$180,2)-ROUND(Registro_Compras!$V$180*Registro_Compras!$N$180,2)),ROUND(Registro_Compras!$O$180-Registro_Compras!$S$180,2)))</f>
        <v/>
      </c>
      <c r="F1596" s="20" t="str">
        <f>""</f>
        <v/>
      </c>
      <c r="G1596" t="str">
        <f>IF($C1596="","","Por la cancelacion del saldo al proveedor")</f>
        <v/>
      </c>
      <c r="H1596" t="str">
        <f>IF($C1596="","",Registro_Compras!$C$180)</f>
        <v/>
      </c>
    </row>
    <row r="1597" spans="1:8" x14ac:dyDescent="0.25">
      <c r="A1597" s="25" t="str">
        <f>IF($C1597="","",Registro_Compras!$Y$180)</f>
        <v/>
      </c>
      <c r="B1597" t="str">
        <f>IF($C1597="","","C"&amp;TEXT(INT((ROW()-5)/9)+1,"000")&amp;"-4")</f>
        <v/>
      </c>
      <c r="C1597" t="str">
        <f>IF(OR(Registro_Compras!$C$180="",Registro_Compras!$O$180="",Registro_Compras!$Y$180="",Registro_Compras!$F$180="NOTA DE CREDITO"),"","1041")</f>
        <v/>
      </c>
      <c r="D1597" t="str">
        <f>IF(OR(Registro_Compras!$C$180="",Registro_Compras!$O$180=""),"","Efectivo y Equivalentes - Cta. Cte. Operativa")</f>
        <v/>
      </c>
      <c r="E1597" s="20" t="str">
        <f>""</f>
        <v/>
      </c>
      <c r="F1597" s="20" t="str">
        <f>IF($C1597="","",IF(Registro_Compras!$F$180="RHE",(ROUND(Registro_Compras!$L$180*Registro_Compras!$N$180,2)-ROUND(Registro_Compras!$V$180*Registro_Compras!$N$180,2)),ROUND(Registro_Compras!$O$180-Registro_Compras!$S$180,2)))</f>
        <v/>
      </c>
      <c r="G1597" t="str">
        <f>IF($C1597="","","Por la cancelacion del saldo al proveedor")</f>
        <v/>
      </c>
      <c r="H1597" t="str">
        <f>IF($C1597="","",Registro_Compras!$C$180)</f>
        <v/>
      </c>
    </row>
    <row r="1598" spans="1:8" x14ac:dyDescent="0.25">
      <c r="A1598" s="25" t="str">
        <f>IF($C1598="","",Registro_Compras!$B$181)</f>
        <v/>
      </c>
      <c r="B1598" t="str">
        <f>IF($C1598="","","C"&amp;TEXT(INT((ROW()-5)/9)+1,"000")&amp;"-1")</f>
        <v/>
      </c>
      <c r="C1598" t="str">
        <f>IF(OR(Registro_Compras!$C$181="",Registro_Compras!$O$181=""),"",IF(Registro_Compras!$F$181="NOTA DE CREDITO","4212",IF(Registro_Compras!$M$181="","63",Registro_Compras!$M$181)))</f>
        <v/>
      </c>
      <c r="D1598" t="str">
        <f>IF(OR(Registro_Compras!$C$181="",Registro_Compras!$O$181=""),"",IF(Registro_Compras!$F$181="NOTA DE CREDITO","Cuentas por Pagar Comerciales - Terceros (Emitidas)",IF(Registro_Compras!$F$181="RHE","Honorarios Profesionales - Servicios de Terceros","Gastos de Servicios Prestados por Terceros")))</f>
        <v/>
      </c>
      <c r="E1598" s="20" t="str">
        <f>IF($C1598="","",IF(Registro_Compras!$F$181="NOTA DE CREDITO",ABS(Registro_Compras!$O$181),IF(Registro_Compras!$F$181="RHE",ROUND(Registro_Compras!$L$181*Registro_Compras!$N$181,2),ROUND(Registro_Compras!$J$181*Registro_Compras!$N$181,2))))</f>
        <v/>
      </c>
      <c r="F1598" s="20" t="str">
        <f>""</f>
        <v/>
      </c>
      <c r="G1598" t="str">
        <f>IF($C1598="","",IF(Registro_Compras!$F$181="NOTA DE CREDITO","Por la nota de credito "&amp;Registro_Compras!$C$181&amp;" de "&amp;Registro_Compras!$E$181&amp;" [PATRON POR CONFIRMAR CON CONTADOR]",IF(Registro_Compras!$F$181="RHE","Por el registro del recibo por honorarios "&amp;Registro_Compras!$C$181&amp;" de "&amp;Registro_Compras!$E$181&amp;" [PATRON POR CONFIRMAR CON CONTADOR]","Por el registro de la factura "&amp;Registro_Compras!$C$181&amp;" de "&amp;Registro_Compras!$E$181)))</f>
        <v/>
      </c>
      <c r="H1598" t="str">
        <f>IF($C1598="","",Registro_Compras!$C$181)</f>
        <v/>
      </c>
    </row>
    <row r="1599" spans="1:8" x14ac:dyDescent="0.25">
      <c r="A1599" s="25" t="str">
        <f>IF($C1599="","",Registro_Compras!$B$181)</f>
        <v/>
      </c>
      <c r="B1599" t="str">
        <f>IF($C1599="","","C"&amp;TEXT(INT((ROW()-5)/9)+1,"000")&amp;"-1")</f>
        <v/>
      </c>
      <c r="C1599" t="str">
        <f>IF(OR(Registro_Compras!$C$181="",Registro_Compras!$O$181=""),"",IF(Registro_Compras!$F$181="RHE",IF(Registro_Compras!$V$181=0,"","4017"),IF(Registro_Compras!$F$181="NOTA DE CREDITO",IF(Registro_Compras!$M$181="","63",Registro_Compras!$M$181),IF(Registro_Compras!$K$181=0,"","40111"))))</f>
        <v/>
      </c>
      <c r="D1599" t="str">
        <f>IF(OR(Registro_Compras!$C$181="",Registro_Compras!$O$181=""),"",IF(Registro_Compras!$F$181="RHE","Retencion Renta 4ta Categoria por Pagar",IF(Registro_Compras!$F$181="NOTA DE CREDITO","Gastos de Servicios Prestados por Terceros","IGV - Cuenta Propia (Credito Fiscal)")))</f>
        <v/>
      </c>
      <c r="E1599" s="20" t="str">
        <f>IF($C1599="","",IF(Registro_Compras!$F$181="FACTURA",ROUND(Registro_Compras!$K$181*Registro_Compras!$N$181,2),""))</f>
        <v/>
      </c>
      <c r="F1599" s="20" t="str">
        <f>IF($C1599="","",IF(Registro_Compras!$F$181="RHE",ROUND(Registro_Compras!$V$181*Registro_Compras!$N$181,2),IF(Registro_Compras!$F$181="NOTA DE CREDITO",ROUND(ABS(Registro_Compras!$J$181*Registro_Compras!$N$181),2),"")))</f>
        <v/>
      </c>
      <c r="G1599" t="str">
        <f>IF($C1599="","",IF(Registro_Compras!$F$181="NOTA DE CREDITO","Por la nota de credito "&amp;Registro_Compras!$C$181&amp;" de "&amp;Registro_Compras!$E$181&amp;" [PATRON POR CONFIRMAR CON CONTADOR]",IF(Registro_Compras!$F$181="RHE","Por el registro del recibo por honorarios "&amp;Registro_Compras!$C$181&amp;" de "&amp;Registro_Compras!$E$181&amp;" [PATRON POR CONFIRMAR CON CONTADOR]","Por el registro de la factura "&amp;Registro_Compras!$C$181&amp;" de "&amp;Registro_Compras!$E$181)))</f>
        <v/>
      </c>
      <c r="H1599" t="str">
        <f>IF($C1599="","",Registro_Compras!$C$181)</f>
        <v/>
      </c>
    </row>
    <row r="1600" spans="1:8" x14ac:dyDescent="0.25">
      <c r="A1600" s="25" t="str">
        <f>IF($C1600="","",Registro_Compras!$B$181)</f>
        <v/>
      </c>
      <c r="B1600" t="str">
        <f>IF($C1600="","","C"&amp;TEXT(INT((ROW()-5)/9)+1,"000")&amp;"-1")</f>
        <v/>
      </c>
      <c r="C1600" t="str">
        <f>IF(OR(Registro_Compras!$C$181="",Registro_Compras!$O$181=""),"",IF(Registro_Compras!$F$181="NOTA DE CREDITO",IF(Registro_Compras!$K$181=0,"","40111"),"4212"))</f>
        <v/>
      </c>
      <c r="D1600" t="str">
        <f>IF(OR(Registro_Compras!$C$181="",Registro_Compras!$O$181=""),"",IF(Registro_Compras!$F$181="NOTA DE CREDITO","IGV - Cuenta Propia (Credito Fiscal)","Cuentas por Pagar Comerciales - Terceros (Emitidas)"))</f>
        <v/>
      </c>
      <c r="E1600" s="20" t="str">
        <f>""</f>
        <v/>
      </c>
      <c r="F1600" s="20" t="str">
        <f>IF($C1600="","",IF(Registro_Compras!$F$181="NOTA DE CREDITO",ROUND(ABS(Registro_Compras!$K$181*Registro_Compras!$N$181),2),IF(Registro_Compras!$F$181="RHE",(ROUND(Registro_Compras!$L$181*Registro_Compras!$N$181,2)-ROUND(Registro_Compras!$V$181*Registro_Compras!$N$181,2)),Registro_Compras!$O$181)))</f>
        <v/>
      </c>
      <c r="G1600" t="str">
        <f>IF($C1600="","",IF(Registro_Compras!$F$181="NOTA DE CREDITO","Por la nota de credito "&amp;Registro_Compras!$C$181&amp;" de "&amp;Registro_Compras!$E$181&amp;" [PATRON POR CONFIRMAR CON CONTADOR]",IF(Registro_Compras!$F$181="RHE","Por el registro del recibo por honorarios "&amp;Registro_Compras!$C$181&amp;" de "&amp;Registro_Compras!$E$181&amp;" [PATRON POR CONFIRMAR CON CONTADOR]","Por el registro de la factura "&amp;Registro_Compras!$C$181&amp;" de "&amp;Registro_Compras!$E$181)))</f>
        <v/>
      </c>
      <c r="H1600" t="str">
        <f>IF($C1600="","",Registro_Compras!$C$181)</f>
        <v/>
      </c>
    </row>
    <row r="1601" spans="1:8" x14ac:dyDescent="0.25">
      <c r="A1601" s="25" t="str">
        <f>IF($C1601="","",Registro_Compras!$B$181)</f>
        <v/>
      </c>
      <c r="B1601" t="str">
        <f>IF($C1601="","","C"&amp;TEXT(INT((ROW()-5)/9)+1,"000")&amp;"-2")</f>
        <v/>
      </c>
      <c r="C1601" t="str">
        <f>IF(OR(Registro_Compras!$C$181="",Registro_Compras!$O$181=""),"",IF(Registro_Compras!$AB$181="ADMINISTRATIVO","94","95"))</f>
        <v/>
      </c>
      <c r="D1601" t="str">
        <f>IF(OR(Registro_Compras!$C$181="",Registro_Compras!$O$181=""),"",IF(Registro_Compras!$AB$181="ADMINISTRATIVO","Gastos Administrativos","Gastos de Venta y Operacion"))</f>
        <v/>
      </c>
      <c r="E1601" s="20" t="str">
        <f>IF($C1601="","",IF(Registro_Compras!$F$181="NOTA DE CREDITO","",IF(Registro_Compras!$F$181="RHE",ROUND(Registro_Compras!$L$181*Registro_Compras!$N$181,2),ROUND(Registro_Compras!$J$181*Registro_Compras!$N$181,2))))</f>
        <v/>
      </c>
      <c r="F1601" s="20" t="str">
        <f>IF($C1601="","",IF(Registro_Compras!$F$181="NOTA DE CREDITO",ROUND(ABS(Registro_Compras!$J$181*Registro_Compras!$N$181),2),""))</f>
        <v/>
      </c>
      <c r="G1601" t="str">
        <f>IF($C1601="","","Por el destino del gasto")</f>
        <v/>
      </c>
      <c r="H1601" t="str">
        <f>IF($C1601="","",Registro_Compras!$C$181)</f>
        <v/>
      </c>
    </row>
    <row r="1602" spans="1:8" x14ac:dyDescent="0.25">
      <c r="A1602" s="25" t="str">
        <f>IF($C1602="","",Registro_Compras!$B$181)</f>
        <v/>
      </c>
      <c r="B1602" t="str">
        <f>IF($C1602="","","C"&amp;TEXT(INT((ROW()-5)/9)+1,"000")&amp;"-2")</f>
        <v/>
      </c>
      <c r="C1602" t="str">
        <f>IF(OR(Registro_Compras!$C$181="",Registro_Compras!$O$181=""),"","79/791")</f>
        <v/>
      </c>
      <c r="D1602" t="str">
        <f>IF(OR(Registro_Compras!$C$181="",Registro_Compras!$O$181=""),"","Cargas Imputables a Cuentas de Costos y Gastos")</f>
        <v/>
      </c>
      <c r="E1602" s="20" t="str">
        <f>IF($C1602="","",IF(Registro_Compras!$F$181="NOTA DE CREDITO",ROUND(ABS(Registro_Compras!$J$181*Registro_Compras!$N$181),2),""))</f>
        <v/>
      </c>
      <c r="F1602" s="20" t="str">
        <f>IF($C1602="","",IF(Registro_Compras!$F$181="NOTA DE CREDITO","",IF(Registro_Compras!$F$181="RHE",ROUND(Registro_Compras!$L$181*Registro_Compras!$N$181,2),ROUND(Registro_Compras!$J$181*Registro_Compras!$N$181,2))))</f>
        <v/>
      </c>
      <c r="G1602" t="str">
        <f>IF($C1602="","","Por el destino del gasto")</f>
        <v/>
      </c>
      <c r="H1602" t="str">
        <f>IF($C1602="","",Registro_Compras!$C$181)</f>
        <v/>
      </c>
    </row>
    <row r="1603" spans="1:8" x14ac:dyDescent="0.25">
      <c r="A1603" s="25" t="str">
        <f>IF($C1603="","",Registro_Compras!$X$181)</f>
        <v/>
      </c>
      <c r="B1603" t="str">
        <f>IF($C1603="","","C"&amp;TEXT(INT((ROW()-5)/9)+1,"000")&amp;"-3")</f>
        <v/>
      </c>
      <c r="C1603" t="str">
        <f>IF(OR(Registro_Compras!$C$181="",Registro_Compras!$O$181="",Registro_Compras!$R$181&lt;&gt;"SI",Registro_Compras!$X$181=""),"","4212")</f>
        <v/>
      </c>
      <c r="D1603" t="str">
        <f>IF(OR(Registro_Compras!$C$181="",Registro_Compras!$O$181=""),"","Cuentas por Pagar Comerciales - Terceros")</f>
        <v/>
      </c>
      <c r="E1603" s="20" t="str">
        <f>IF($C1603="","",Registro_Compras!$S$181)</f>
        <v/>
      </c>
      <c r="F1603" s="20" t="str">
        <f>""</f>
        <v/>
      </c>
      <c r="G1603" t="str">
        <f>IF($C1603="","","Por el deposito de la detraccion en el Banco de la Nacion")</f>
        <v/>
      </c>
      <c r="H1603" t="str">
        <f>IF($C1603="","",Registro_Compras!$C$181)</f>
        <v/>
      </c>
    </row>
    <row r="1604" spans="1:8" x14ac:dyDescent="0.25">
      <c r="A1604" s="25" t="str">
        <f>IF($C1604="","",Registro_Compras!$X$181)</f>
        <v/>
      </c>
      <c r="B1604" t="str">
        <f>IF($C1604="","","C"&amp;TEXT(INT((ROW()-5)/9)+1,"000")&amp;"-3")</f>
        <v/>
      </c>
      <c r="C1604" t="str">
        <f>IF(OR(Registro_Compras!$C$181="",Registro_Compras!$O$181="",Registro_Compras!$R$181&lt;&gt;"SI",Registro_Compras!$X$181=""),"","1041")</f>
        <v/>
      </c>
      <c r="D1604" t="str">
        <f>IF(OR(Registro_Compras!$C$181="",Registro_Compras!$O$181=""),"","Efectivo y Equivalentes - Cta. Cte. Operativa")</f>
        <v/>
      </c>
      <c r="E1604" s="20" t="str">
        <f>""</f>
        <v/>
      </c>
      <c r="F1604" s="20" t="str">
        <f>IF($C1604="","",Registro_Compras!$S$181)</f>
        <v/>
      </c>
      <c r="G1604" t="str">
        <f>IF($C1604="","","Por el deposito de la detraccion en el Banco de la Nacion")</f>
        <v/>
      </c>
      <c r="H1604" t="str">
        <f>IF($C1604="","",Registro_Compras!$C$181)</f>
        <v/>
      </c>
    </row>
    <row r="1605" spans="1:8" x14ac:dyDescent="0.25">
      <c r="A1605" s="25" t="str">
        <f>IF($C1605="","",Registro_Compras!$Y$181)</f>
        <v/>
      </c>
      <c r="B1605" t="str">
        <f>IF($C1605="","","C"&amp;TEXT(INT((ROW()-5)/9)+1,"000")&amp;"-4")</f>
        <v/>
      </c>
      <c r="C1605" t="str">
        <f>IF(OR(Registro_Compras!$C$181="",Registro_Compras!$O$181="",Registro_Compras!$Y$181="",Registro_Compras!$F$181="NOTA DE CREDITO"),"","4212")</f>
        <v/>
      </c>
      <c r="D1605" t="str">
        <f>IF(OR(Registro_Compras!$C$181="",Registro_Compras!$O$181=""),"","Cuentas por Pagar Comerciales - Terceros")</f>
        <v/>
      </c>
      <c r="E1605" s="20" t="str">
        <f>IF($C1605="","",IF(Registro_Compras!$F$181="RHE",(ROUND(Registro_Compras!$L$181*Registro_Compras!$N$181,2)-ROUND(Registro_Compras!$V$181*Registro_Compras!$N$181,2)),ROUND(Registro_Compras!$O$181-Registro_Compras!$S$181,2)))</f>
        <v/>
      </c>
      <c r="F1605" s="20" t="str">
        <f>""</f>
        <v/>
      </c>
      <c r="G1605" t="str">
        <f>IF($C1605="","","Por la cancelacion del saldo al proveedor")</f>
        <v/>
      </c>
      <c r="H1605" t="str">
        <f>IF($C1605="","",Registro_Compras!$C$181)</f>
        <v/>
      </c>
    </row>
    <row r="1606" spans="1:8" x14ac:dyDescent="0.25">
      <c r="A1606" s="25" t="str">
        <f>IF($C1606="","",Registro_Compras!$Y$181)</f>
        <v/>
      </c>
      <c r="B1606" t="str">
        <f>IF($C1606="","","C"&amp;TEXT(INT((ROW()-5)/9)+1,"000")&amp;"-4")</f>
        <v/>
      </c>
      <c r="C1606" t="str">
        <f>IF(OR(Registro_Compras!$C$181="",Registro_Compras!$O$181="",Registro_Compras!$Y$181="",Registro_Compras!$F$181="NOTA DE CREDITO"),"","1041")</f>
        <v/>
      </c>
      <c r="D1606" t="str">
        <f>IF(OR(Registro_Compras!$C$181="",Registro_Compras!$O$181=""),"","Efectivo y Equivalentes - Cta. Cte. Operativa")</f>
        <v/>
      </c>
      <c r="E1606" s="20" t="str">
        <f>""</f>
        <v/>
      </c>
      <c r="F1606" s="20" t="str">
        <f>IF($C1606="","",IF(Registro_Compras!$F$181="RHE",(ROUND(Registro_Compras!$L$181*Registro_Compras!$N$181,2)-ROUND(Registro_Compras!$V$181*Registro_Compras!$N$181,2)),ROUND(Registro_Compras!$O$181-Registro_Compras!$S$181,2)))</f>
        <v/>
      </c>
      <c r="G1606" t="str">
        <f>IF($C1606="","","Por la cancelacion del saldo al proveedor")</f>
        <v/>
      </c>
      <c r="H1606" t="str">
        <f>IF($C1606="","",Registro_Compras!$C$181)</f>
        <v/>
      </c>
    </row>
    <row r="1607" spans="1:8" x14ac:dyDescent="0.25">
      <c r="A1607" s="25" t="str">
        <f>IF($C1607="","",Registro_Compras!$B$182)</f>
        <v/>
      </c>
      <c r="B1607" t="str">
        <f>IF($C1607="","","C"&amp;TEXT(INT((ROW()-5)/9)+1,"000")&amp;"-1")</f>
        <v/>
      </c>
      <c r="C1607" t="str">
        <f>IF(OR(Registro_Compras!$C$182="",Registro_Compras!$O$182=""),"",IF(Registro_Compras!$F$182="NOTA DE CREDITO","4212",IF(Registro_Compras!$M$182="","63",Registro_Compras!$M$182)))</f>
        <v/>
      </c>
      <c r="D1607" t="str">
        <f>IF(OR(Registro_Compras!$C$182="",Registro_Compras!$O$182=""),"",IF(Registro_Compras!$F$182="NOTA DE CREDITO","Cuentas por Pagar Comerciales - Terceros (Emitidas)",IF(Registro_Compras!$F$182="RHE","Honorarios Profesionales - Servicios de Terceros","Gastos de Servicios Prestados por Terceros")))</f>
        <v/>
      </c>
      <c r="E1607" s="20" t="str">
        <f>IF($C1607="","",IF(Registro_Compras!$F$182="NOTA DE CREDITO",ABS(Registro_Compras!$O$182),IF(Registro_Compras!$F$182="RHE",ROUND(Registro_Compras!$L$182*Registro_Compras!$N$182,2),ROUND(Registro_Compras!$J$182*Registro_Compras!$N$182,2))))</f>
        <v/>
      </c>
      <c r="F1607" s="20" t="str">
        <f>""</f>
        <v/>
      </c>
      <c r="G1607" t="str">
        <f>IF($C1607="","",IF(Registro_Compras!$F$182="NOTA DE CREDITO","Por la nota de credito "&amp;Registro_Compras!$C$182&amp;" de "&amp;Registro_Compras!$E$182&amp;" [PATRON POR CONFIRMAR CON CONTADOR]",IF(Registro_Compras!$F$182="RHE","Por el registro del recibo por honorarios "&amp;Registro_Compras!$C$182&amp;" de "&amp;Registro_Compras!$E$182&amp;" [PATRON POR CONFIRMAR CON CONTADOR]","Por el registro de la factura "&amp;Registro_Compras!$C$182&amp;" de "&amp;Registro_Compras!$E$182)))</f>
        <v/>
      </c>
      <c r="H1607" t="str">
        <f>IF($C1607="","",Registro_Compras!$C$182)</f>
        <v/>
      </c>
    </row>
    <row r="1608" spans="1:8" x14ac:dyDescent="0.25">
      <c r="A1608" s="25" t="str">
        <f>IF($C1608="","",Registro_Compras!$B$182)</f>
        <v/>
      </c>
      <c r="B1608" t="str">
        <f>IF($C1608="","","C"&amp;TEXT(INT((ROW()-5)/9)+1,"000")&amp;"-1")</f>
        <v/>
      </c>
      <c r="C1608" t="str">
        <f>IF(OR(Registro_Compras!$C$182="",Registro_Compras!$O$182=""),"",IF(Registro_Compras!$F$182="RHE",IF(Registro_Compras!$V$182=0,"","4017"),IF(Registro_Compras!$F$182="NOTA DE CREDITO",IF(Registro_Compras!$M$182="","63",Registro_Compras!$M$182),IF(Registro_Compras!$K$182=0,"","40111"))))</f>
        <v/>
      </c>
      <c r="D1608" t="str">
        <f>IF(OR(Registro_Compras!$C$182="",Registro_Compras!$O$182=""),"",IF(Registro_Compras!$F$182="RHE","Retencion Renta 4ta Categoria por Pagar",IF(Registro_Compras!$F$182="NOTA DE CREDITO","Gastos de Servicios Prestados por Terceros","IGV - Cuenta Propia (Credito Fiscal)")))</f>
        <v/>
      </c>
      <c r="E1608" s="20" t="str">
        <f>IF($C1608="","",IF(Registro_Compras!$F$182="FACTURA",ROUND(Registro_Compras!$K$182*Registro_Compras!$N$182,2),""))</f>
        <v/>
      </c>
      <c r="F1608" s="20" t="str">
        <f>IF($C1608="","",IF(Registro_Compras!$F$182="RHE",ROUND(Registro_Compras!$V$182*Registro_Compras!$N$182,2),IF(Registro_Compras!$F$182="NOTA DE CREDITO",ROUND(ABS(Registro_Compras!$J$182*Registro_Compras!$N$182),2),"")))</f>
        <v/>
      </c>
      <c r="G1608" t="str">
        <f>IF($C1608="","",IF(Registro_Compras!$F$182="NOTA DE CREDITO","Por la nota de credito "&amp;Registro_Compras!$C$182&amp;" de "&amp;Registro_Compras!$E$182&amp;" [PATRON POR CONFIRMAR CON CONTADOR]",IF(Registro_Compras!$F$182="RHE","Por el registro del recibo por honorarios "&amp;Registro_Compras!$C$182&amp;" de "&amp;Registro_Compras!$E$182&amp;" [PATRON POR CONFIRMAR CON CONTADOR]","Por el registro de la factura "&amp;Registro_Compras!$C$182&amp;" de "&amp;Registro_Compras!$E$182)))</f>
        <v/>
      </c>
      <c r="H1608" t="str">
        <f>IF($C1608="","",Registro_Compras!$C$182)</f>
        <v/>
      </c>
    </row>
    <row r="1609" spans="1:8" x14ac:dyDescent="0.25">
      <c r="A1609" s="25" t="str">
        <f>IF($C1609="","",Registro_Compras!$B$182)</f>
        <v/>
      </c>
      <c r="B1609" t="str">
        <f>IF($C1609="","","C"&amp;TEXT(INT((ROW()-5)/9)+1,"000")&amp;"-1")</f>
        <v/>
      </c>
      <c r="C1609" t="str">
        <f>IF(OR(Registro_Compras!$C$182="",Registro_Compras!$O$182=""),"",IF(Registro_Compras!$F$182="NOTA DE CREDITO",IF(Registro_Compras!$K$182=0,"","40111"),"4212"))</f>
        <v/>
      </c>
      <c r="D1609" t="str">
        <f>IF(OR(Registro_Compras!$C$182="",Registro_Compras!$O$182=""),"",IF(Registro_Compras!$F$182="NOTA DE CREDITO","IGV - Cuenta Propia (Credito Fiscal)","Cuentas por Pagar Comerciales - Terceros (Emitidas)"))</f>
        <v/>
      </c>
      <c r="E1609" s="20" t="str">
        <f>""</f>
        <v/>
      </c>
      <c r="F1609" s="20" t="str">
        <f>IF($C1609="","",IF(Registro_Compras!$F$182="NOTA DE CREDITO",ROUND(ABS(Registro_Compras!$K$182*Registro_Compras!$N$182),2),IF(Registro_Compras!$F$182="RHE",(ROUND(Registro_Compras!$L$182*Registro_Compras!$N$182,2)-ROUND(Registro_Compras!$V$182*Registro_Compras!$N$182,2)),Registro_Compras!$O$182)))</f>
        <v/>
      </c>
      <c r="G1609" t="str">
        <f>IF($C1609="","",IF(Registro_Compras!$F$182="NOTA DE CREDITO","Por la nota de credito "&amp;Registro_Compras!$C$182&amp;" de "&amp;Registro_Compras!$E$182&amp;" [PATRON POR CONFIRMAR CON CONTADOR]",IF(Registro_Compras!$F$182="RHE","Por el registro del recibo por honorarios "&amp;Registro_Compras!$C$182&amp;" de "&amp;Registro_Compras!$E$182&amp;" [PATRON POR CONFIRMAR CON CONTADOR]","Por el registro de la factura "&amp;Registro_Compras!$C$182&amp;" de "&amp;Registro_Compras!$E$182)))</f>
        <v/>
      </c>
      <c r="H1609" t="str">
        <f>IF($C1609="","",Registro_Compras!$C$182)</f>
        <v/>
      </c>
    </row>
    <row r="1610" spans="1:8" x14ac:dyDescent="0.25">
      <c r="A1610" s="25" t="str">
        <f>IF($C1610="","",Registro_Compras!$B$182)</f>
        <v/>
      </c>
      <c r="B1610" t="str">
        <f>IF($C1610="","","C"&amp;TEXT(INT((ROW()-5)/9)+1,"000")&amp;"-2")</f>
        <v/>
      </c>
      <c r="C1610" t="str">
        <f>IF(OR(Registro_Compras!$C$182="",Registro_Compras!$O$182=""),"",IF(Registro_Compras!$AB$182="ADMINISTRATIVO","94","95"))</f>
        <v/>
      </c>
      <c r="D1610" t="str">
        <f>IF(OR(Registro_Compras!$C$182="",Registro_Compras!$O$182=""),"",IF(Registro_Compras!$AB$182="ADMINISTRATIVO","Gastos Administrativos","Gastos de Venta y Operacion"))</f>
        <v/>
      </c>
      <c r="E1610" s="20" t="str">
        <f>IF($C1610="","",IF(Registro_Compras!$F$182="NOTA DE CREDITO","",IF(Registro_Compras!$F$182="RHE",ROUND(Registro_Compras!$L$182*Registro_Compras!$N$182,2),ROUND(Registro_Compras!$J$182*Registro_Compras!$N$182,2))))</f>
        <v/>
      </c>
      <c r="F1610" s="20" t="str">
        <f>IF($C1610="","",IF(Registro_Compras!$F$182="NOTA DE CREDITO",ROUND(ABS(Registro_Compras!$J$182*Registro_Compras!$N$182),2),""))</f>
        <v/>
      </c>
      <c r="G1610" t="str">
        <f>IF($C1610="","","Por el destino del gasto")</f>
        <v/>
      </c>
      <c r="H1610" t="str">
        <f>IF($C1610="","",Registro_Compras!$C$182)</f>
        <v/>
      </c>
    </row>
    <row r="1611" spans="1:8" x14ac:dyDescent="0.25">
      <c r="A1611" s="25" t="str">
        <f>IF($C1611="","",Registro_Compras!$B$182)</f>
        <v/>
      </c>
      <c r="B1611" t="str">
        <f>IF($C1611="","","C"&amp;TEXT(INT((ROW()-5)/9)+1,"000")&amp;"-2")</f>
        <v/>
      </c>
      <c r="C1611" t="str">
        <f>IF(OR(Registro_Compras!$C$182="",Registro_Compras!$O$182=""),"","79/791")</f>
        <v/>
      </c>
      <c r="D1611" t="str">
        <f>IF(OR(Registro_Compras!$C$182="",Registro_Compras!$O$182=""),"","Cargas Imputables a Cuentas de Costos y Gastos")</f>
        <v/>
      </c>
      <c r="E1611" s="20" t="str">
        <f>IF($C1611="","",IF(Registro_Compras!$F$182="NOTA DE CREDITO",ROUND(ABS(Registro_Compras!$J$182*Registro_Compras!$N$182),2),""))</f>
        <v/>
      </c>
      <c r="F1611" s="20" t="str">
        <f>IF($C1611="","",IF(Registro_Compras!$F$182="NOTA DE CREDITO","",IF(Registro_Compras!$F$182="RHE",ROUND(Registro_Compras!$L$182*Registro_Compras!$N$182,2),ROUND(Registro_Compras!$J$182*Registro_Compras!$N$182,2))))</f>
        <v/>
      </c>
      <c r="G1611" t="str">
        <f>IF($C1611="","","Por el destino del gasto")</f>
        <v/>
      </c>
      <c r="H1611" t="str">
        <f>IF($C1611="","",Registro_Compras!$C$182)</f>
        <v/>
      </c>
    </row>
    <row r="1612" spans="1:8" x14ac:dyDescent="0.25">
      <c r="A1612" s="25" t="str">
        <f>IF($C1612="","",Registro_Compras!$X$182)</f>
        <v/>
      </c>
      <c r="B1612" t="str">
        <f>IF($C1612="","","C"&amp;TEXT(INT((ROW()-5)/9)+1,"000")&amp;"-3")</f>
        <v/>
      </c>
      <c r="C1612" t="str">
        <f>IF(OR(Registro_Compras!$C$182="",Registro_Compras!$O$182="",Registro_Compras!$R$182&lt;&gt;"SI",Registro_Compras!$X$182=""),"","4212")</f>
        <v/>
      </c>
      <c r="D1612" t="str">
        <f>IF(OR(Registro_Compras!$C$182="",Registro_Compras!$O$182=""),"","Cuentas por Pagar Comerciales - Terceros")</f>
        <v/>
      </c>
      <c r="E1612" s="20" t="str">
        <f>IF($C1612="","",Registro_Compras!$S$182)</f>
        <v/>
      </c>
      <c r="F1612" s="20" t="str">
        <f>""</f>
        <v/>
      </c>
      <c r="G1612" t="str">
        <f>IF($C1612="","","Por el deposito de la detraccion en el Banco de la Nacion")</f>
        <v/>
      </c>
      <c r="H1612" t="str">
        <f>IF($C1612="","",Registro_Compras!$C$182)</f>
        <v/>
      </c>
    </row>
    <row r="1613" spans="1:8" x14ac:dyDescent="0.25">
      <c r="A1613" s="25" t="str">
        <f>IF($C1613="","",Registro_Compras!$X$182)</f>
        <v/>
      </c>
      <c r="B1613" t="str">
        <f>IF($C1613="","","C"&amp;TEXT(INT((ROW()-5)/9)+1,"000")&amp;"-3")</f>
        <v/>
      </c>
      <c r="C1613" t="str">
        <f>IF(OR(Registro_Compras!$C$182="",Registro_Compras!$O$182="",Registro_Compras!$R$182&lt;&gt;"SI",Registro_Compras!$X$182=""),"","1041")</f>
        <v/>
      </c>
      <c r="D1613" t="str">
        <f>IF(OR(Registro_Compras!$C$182="",Registro_Compras!$O$182=""),"","Efectivo y Equivalentes - Cta. Cte. Operativa")</f>
        <v/>
      </c>
      <c r="E1613" s="20" t="str">
        <f>""</f>
        <v/>
      </c>
      <c r="F1613" s="20" t="str">
        <f>IF($C1613="","",Registro_Compras!$S$182)</f>
        <v/>
      </c>
      <c r="G1613" t="str">
        <f>IF($C1613="","","Por el deposito de la detraccion en el Banco de la Nacion")</f>
        <v/>
      </c>
      <c r="H1613" t="str">
        <f>IF($C1613="","",Registro_Compras!$C$182)</f>
        <v/>
      </c>
    </row>
    <row r="1614" spans="1:8" x14ac:dyDescent="0.25">
      <c r="A1614" s="25" t="str">
        <f>IF($C1614="","",Registro_Compras!$Y$182)</f>
        <v/>
      </c>
      <c r="B1614" t="str">
        <f>IF($C1614="","","C"&amp;TEXT(INT((ROW()-5)/9)+1,"000")&amp;"-4")</f>
        <v/>
      </c>
      <c r="C1614" t="str">
        <f>IF(OR(Registro_Compras!$C$182="",Registro_Compras!$O$182="",Registro_Compras!$Y$182="",Registro_Compras!$F$182="NOTA DE CREDITO"),"","4212")</f>
        <v/>
      </c>
      <c r="D1614" t="str">
        <f>IF(OR(Registro_Compras!$C$182="",Registro_Compras!$O$182=""),"","Cuentas por Pagar Comerciales - Terceros")</f>
        <v/>
      </c>
      <c r="E1614" s="20" t="str">
        <f>IF($C1614="","",IF(Registro_Compras!$F$182="RHE",(ROUND(Registro_Compras!$L$182*Registro_Compras!$N$182,2)-ROUND(Registro_Compras!$V$182*Registro_Compras!$N$182,2)),ROUND(Registro_Compras!$O$182-Registro_Compras!$S$182,2)))</f>
        <v/>
      </c>
      <c r="F1614" s="20" t="str">
        <f>""</f>
        <v/>
      </c>
      <c r="G1614" t="str">
        <f>IF($C1614="","","Por la cancelacion del saldo al proveedor")</f>
        <v/>
      </c>
      <c r="H1614" t="str">
        <f>IF($C1614="","",Registro_Compras!$C$182)</f>
        <v/>
      </c>
    </row>
    <row r="1615" spans="1:8" x14ac:dyDescent="0.25">
      <c r="A1615" s="25" t="str">
        <f>IF($C1615="","",Registro_Compras!$Y$182)</f>
        <v/>
      </c>
      <c r="B1615" t="str">
        <f>IF($C1615="","","C"&amp;TEXT(INT((ROW()-5)/9)+1,"000")&amp;"-4")</f>
        <v/>
      </c>
      <c r="C1615" t="str">
        <f>IF(OR(Registro_Compras!$C$182="",Registro_Compras!$O$182="",Registro_Compras!$Y$182="",Registro_Compras!$F$182="NOTA DE CREDITO"),"","1041")</f>
        <v/>
      </c>
      <c r="D1615" t="str">
        <f>IF(OR(Registro_Compras!$C$182="",Registro_Compras!$O$182=""),"","Efectivo y Equivalentes - Cta. Cte. Operativa")</f>
        <v/>
      </c>
      <c r="E1615" s="20" t="str">
        <f>""</f>
        <v/>
      </c>
      <c r="F1615" s="20" t="str">
        <f>IF($C1615="","",IF(Registro_Compras!$F$182="RHE",(ROUND(Registro_Compras!$L$182*Registro_Compras!$N$182,2)-ROUND(Registro_Compras!$V$182*Registro_Compras!$N$182,2)),ROUND(Registro_Compras!$O$182-Registro_Compras!$S$182,2)))</f>
        <v/>
      </c>
      <c r="G1615" t="str">
        <f>IF($C1615="","","Por la cancelacion del saldo al proveedor")</f>
        <v/>
      </c>
      <c r="H1615" t="str">
        <f>IF($C1615="","",Registro_Compras!$C$182)</f>
        <v/>
      </c>
    </row>
    <row r="1616" spans="1:8" x14ac:dyDescent="0.25">
      <c r="A1616" s="25" t="str">
        <f>IF($C1616="","",Registro_Compras!$B$183)</f>
        <v/>
      </c>
      <c r="B1616" t="str">
        <f>IF($C1616="","","C"&amp;TEXT(INT((ROW()-5)/9)+1,"000")&amp;"-1")</f>
        <v/>
      </c>
      <c r="C1616" t="str">
        <f>IF(OR(Registro_Compras!$C$183="",Registro_Compras!$O$183=""),"",IF(Registro_Compras!$F$183="NOTA DE CREDITO","4212",IF(Registro_Compras!$M$183="","63",Registro_Compras!$M$183)))</f>
        <v/>
      </c>
      <c r="D1616" t="str">
        <f>IF(OR(Registro_Compras!$C$183="",Registro_Compras!$O$183=""),"",IF(Registro_Compras!$F$183="NOTA DE CREDITO","Cuentas por Pagar Comerciales - Terceros (Emitidas)",IF(Registro_Compras!$F$183="RHE","Honorarios Profesionales - Servicios de Terceros","Gastos de Servicios Prestados por Terceros")))</f>
        <v/>
      </c>
      <c r="E1616" s="20" t="str">
        <f>IF($C1616="","",IF(Registro_Compras!$F$183="NOTA DE CREDITO",ABS(Registro_Compras!$O$183),IF(Registro_Compras!$F$183="RHE",ROUND(Registro_Compras!$L$183*Registro_Compras!$N$183,2),ROUND(Registro_Compras!$J$183*Registro_Compras!$N$183,2))))</f>
        <v/>
      </c>
      <c r="F1616" s="20" t="str">
        <f>""</f>
        <v/>
      </c>
      <c r="G1616" t="str">
        <f>IF($C1616="","",IF(Registro_Compras!$F$183="NOTA DE CREDITO","Por la nota de credito "&amp;Registro_Compras!$C$183&amp;" de "&amp;Registro_Compras!$E$183&amp;" [PATRON POR CONFIRMAR CON CONTADOR]",IF(Registro_Compras!$F$183="RHE","Por el registro del recibo por honorarios "&amp;Registro_Compras!$C$183&amp;" de "&amp;Registro_Compras!$E$183&amp;" [PATRON POR CONFIRMAR CON CONTADOR]","Por el registro de la factura "&amp;Registro_Compras!$C$183&amp;" de "&amp;Registro_Compras!$E$183)))</f>
        <v/>
      </c>
      <c r="H1616" t="str">
        <f>IF($C1616="","",Registro_Compras!$C$183)</f>
        <v/>
      </c>
    </row>
    <row r="1617" spans="1:8" x14ac:dyDescent="0.25">
      <c r="A1617" s="25" t="str">
        <f>IF($C1617="","",Registro_Compras!$B$183)</f>
        <v/>
      </c>
      <c r="B1617" t="str">
        <f>IF($C1617="","","C"&amp;TEXT(INT((ROW()-5)/9)+1,"000")&amp;"-1")</f>
        <v/>
      </c>
      <c r="C1617" t="str">
        <f>IF(OR(Registro_Compras!$C$183="",Registro_Compras!$O$183=""),"",IF(Registro_Compras!$F$183="RHE",IF(Registro_Compras!$V$183=0,"","4017"),IF(Registro_Compras!$F$183="NOTA DE CREDITO",IF(Registro_Compras!$M$183="","63",Registro_Compras!$M$183),IF(Registro_Compras!$K$183=0,"","40111"))))</f>
        <v/>
      </c>
      <c r="D1617" t="str">
        <f>IF(OR(Registro_Compras!$C$183="",Registro_Compras!$O$183=""),"",IF(Registro_Compras!$F$183="RHE","Retencion Renta 4ta Categoria por Pagar",IF(Registro_Compras!$F$183="NOTA DE CREDITO","Gastos de Servicios Prestados por Terceros","IGV - Cuenta Propia (Credito Fiscal)")))</f>
        <v/>
      </c>
      <c r="E1617" s="20" t="str">
        <f>IF($C1617="","",IF(Registro_Compras!$F$183="FACTURA",ROUND(Registro_Compras!$K$183*Registro_Compras!$N$183,2),""))</f>
        <v/>
      </c>
      <c r="F1617" s="20" t="str">
        <f>IF($C1617="","",IF(Registro_Compras!$F$183="RHE",ROUND(Registro_Compras!$V$183*Registro_Compras!$N$183,2),IF(Registro_Compras!$F$183="NOTA DE CREDITO",ROUND(ABS(Registro_Compras!$J$183*Registro_Compras!$N$183),2),"")))</f>
        <v/>
      </c>
      <c r="G1617" t="str">
        <f>IF($C1617="","",IF(Registro_Compras!$F$183="NOTA DE CREDITO","Por la nota de credito "&amp;Registro_Compras!$C$183&amp;" de "&amp;Registro_Compras!$E$183&amp;" [PATRON POR CONFIRMAR CON CONTADOR]",IF(Registro_Compras!$F$183="RHE","Por el registro del recibo por honorarios "&amp;Registro_Compras!$C$183&amp;" de "&amp;Registro_Compras!$E$183&amp;" [PATRON POR CONFIRMAR CON CONTADOR]","Por el registro de la factura "&amp;Registro_Compras!$C$183&amp;" de "&amp;Registro_Compras!$E$183)))</f>
        <v/>
      </c>
      <c r="H1617" t="str">
        <f>IF($C1617="","",Registro_Compras!$C$183)</f>
        <v/>
      </c>
    </row>
    <row r="1618" spans="1:8" x14ac:dyDescent="0.25">
      <c r="A1618" s="25" t="str">
        <f>IF($C1618="","",Registro_Compras!$B$183)</f>
        <v/>
      </c>
      <c r="B1618" t="str">
        <f>IF($C1618="","","C"&amp;TEXT(INT((ROW()-5)/9)+1,"000")&amp;"-1")</f>
        <v/>
      </c>
      <c r="C1618" t="str">
        <f>IF(OR(Registro_Compras!$C$183="",Registro_Compras!$O$183=""),"",IF(Registro_Compras!$F$183="NOTA DE CREDITO",IF(Registro_Compras!$K$183=0,"","40111"),"4212"))</f>
        <v/>
      </c>
      <c r="D1618" t="str">
        <f>IF(OR(Registro_Compras!$C$183="",Registro_Compras!$O$183=""),"",IF(Registro_Compras!$F$183="NOTA DE CREDITO","IGV - Cuenta Propia (Credito Fiscal)","Cuentas por Pagar Comerciales - Terceros (Emitidas)"))</f>
        <v/>
      </c>
      <c r="E1618" s="20" t="str">
        <f>""</f>
        <v/>
      </c>
      <c r="F1618" s="20" t="str">
        <f>IF($C1618="","",IF(Registro_Compras!$F$183="NOTA DE CREDITO",ROUND(ABS(Registro_Compras!$K$183*Registro_Compras!$N$183),2),IF(Registro_Compras!$F$183="RHE",(ROUND(Registro_Compras!$L$183*Registro_Compras!$N$183,2)-ROUND(Registro_Compras!$V$183*Registro_Compras!$N$183,2)),Registro_Compras!$O$183)))</f>
        <v/>
      </c>
      <c r="G1618" t="str">
        <f>IF($C1618="","",IF(Registro_Compras!$F$183="NOTA DE CREDITO","Por la nota de credito "&amp;Registro_Compras!$C$183&amp;" de "&amp;Registro_Compras!$E$183&amp;" [PATRON POR CONFIRMAR CON CONTADOR]",IF(Registro_Compras!$F$183="RHE","Por el registro del recibo por honorarios "&amp;Registro_Compras!$C$183&amp;" de "&amp;Registro_Compras!$E$183&amp;" [PATRON POR CONFIRMAR CON CONTADOR]","Por el registro de la factura "&amp;Registro_Compras!$C$183&amp;" de "&amp;Registro_Compras!$E$183)))</f>
        <v/>
      </c>
      <c r="H1618" t="str">
        <f>IF($C1618="","",Registro_Compras!$C$183)</f>
        <v/>
      </c>
    </row>
    <row r="1619" spans="1:8" x14ac:dyDescent="0.25">
      <c r="A1619" s="25" t="str">
        <f>IF($C1619="","",Registro_Compras!$B$183)</f>
        <v/>
      </c>
      <c r="B1619" t="str">
        <f>IF($C1619="","","C"&amp;TEXT(INT((ROW()-5)/9)+1,"000")&amp;"-2")</f>
        <v/>
      </c>
      <c r="C1619" t="str">
        <f>IF(OR(Registro_Compras!$C$183="",Registro_Compras!$O$183=""),"",IF(Registro_Compras!$AB$183="ADMINISTRATIVO","94","95"))</f>
        <v/>
      </c>
      <c r="D1619" t="str">
        <f>IF(OR(Registro_Compras!$C$183="",Registro_Compras!$O$183=""),"",IF(Registro_Compras!$AB$183="ADMINISTRATIVO","Gastos Administrativos","Gastos de Venta y Operacion"))</f>
        <v/>
      </c>
      <c r="E1619" s="20" t="str">
        <f>IF($C1619="","",IF(Registro_Compras!$F$183="NOTA DE CREDITO","",IF(Registro_Compras!$F$183="RHE",ROUND(Registro_Compras!$L$183*Registro_Compras!$N$183,2),ROUND(Registro_Compras!$J$183*Registro_Compras!$N$183,2))))</f>
        <v/>
      </c>
      <c r="F1619" s="20" t="str">
        <f>IF($C1619="","",IF(Registro_Compras!$F$183="NOTA DE CREDITO",ROUND(ABS(Registro_Compras!$J$183*Registro_Compras!$N$183),2),""))</f>
        <v/>
      </c>
      <c r="G1619" t="str">
        <f>IF($C1619="","","Por el destino del gasto")</f>
        <v/>
      </c>
      <c r="H1619" t="str">
        <f>IF($C1619="","",Registro_Compras!$C$183)</f>
        <v/>
      </c>
    </row>
    <row r="1620" spans="1:8" x14ac:dyDescent="0.25">
      <c r="A1620" s="25" t="str">
        <f>IF($C1620="","",Registro_Compras!$B$183)</f>
        <v/>
      </c>
      <c r="B1620" t="str">
        <f>IF($C1620="","","C"&amp;TEXT(INT((ROW()-5)/9)+1,"000")&amp;"-2")</f>
        <v/>
      </c>
      <c r="C1620" t="str">
        <f>IF(OR(Registro_Compras!$C$183="",Registro_Compras!$O$183=""),"","79/791")</f>
        <v/>
      </c>
      <c r="D1620" t="str">
        <f>IF(OR(Registro_Compras!$C$183="",Registro_Compras!$O$183=""),"","Cargas Imputables a Cuentas de Costos y Gastos")</f>
        <v/>
      </c>
      <c r="E1620" s="20" t="str">
        <f>IF($C1620="","",IF(Registro_Compras!$F$183="NOTA DE CREDITO",ROUND(ABS(Registro_Compras!$J$183*Registro_Compras!$N$183),2),""))</f>
        <v/>
      </c>
      <c r="F1620" s="20" t="str">
        <f>IF($C1620="","",IF(Registro_Compras!$F$183="NOTA DE CREDITO","",IF(Registro_Compras!$F$183="RHE",ROUND(Registro_Compras!$L$183*Registro_Compras!$N$183,2),ROUND(Registro_Compras!$J$183*Registro_Compras!$N$183,2))))</f>
        <v/>
      </c>
      <c r="G1620" t="str">
        <f>IF($C1620="","","Por el destino del gasto")</f>
        <v/>
      </c>
      <c r="H1620" t="str">
        <f>IF($C1620="","",Registro_Compras!$C$183)</f>
        <v/>
      </c>
    </row>
    <row r="1621" spans="1:8" x14ac:dyDescent="0.25">
      <c r="A1621" s="25" t="str">
        <f>IF($C1621="","",Registro_Compras!$X$183)</f>
        <v/>
      </c>
      <c r="B1621" t="str">
        <f>IF($C1621="","","C"&amp;TEXT(INT((ROW()-5)/9)+1,"000")&amp;"-3")</f>
        <v/>
      </c>
      <c r="C1621" t="str">
        <f>IF(OR(Registro_Compras!$C$183="",Registro_Compras!$O$183="",Registro_Compras!$R$183&lt;&gt;"SI",Registro_Compras!$X$183=""),"","4212")</f>
        <v/>
      </c>
      <c r="D1621" t="str">
        <f>IF(OR(Registro_Compras!$C$183="",Registro_Compras!$O$183=""),"","Cuentas por Pagar Comerciales - Terceros")</f>
        <v/>
      </c>
      <c r="E1621" s="20" t="str">
        <f>IF($C1621="","",Registro_Compras!$S$183)</f>
        <v/>
      </c>
      <c r="F1621" s="20" t="str">
        <f>""</f>
        <v/>
      </c>
      <c r="G1621" t="str">
        <f>IF($C1621="","","Por el deposito de la detraccion en el Banco de la Nacion")</f>
        <v/>
      </c>
      <c r="H1621" t="str">
        <f>IF($C1621="","",Registro_Compras!$C$183)</f>
        <v/>
      </c>
    </row>
    <row r="1622" spans="1:8" x14ac:dyDescent="0.25">
      <c r="A1622" s="25" t="str">
        <f>IF($C1622="","",Registro_Compras!$X$183)</f>
        <v/>
      </c>
      <c r="B1622" t="str">
        <f>IF($C1622="","","C"&amp;TEXT(INT((ROW()-5)/9)+1,"000")&amp;"-3")</f>
        <v/>
      </c>
      <c r="C1622" t="str">
        <f>IF(OR(Registro_Compras!$C$183="",Registro_Compras!$O$183="",Registro_Compras!$R$183&lt;&gt;"SI",Registro_Compras!$X$183=""),"","1041")</f>
        <v/>
      </c>
      <c r="D1622" t="str">
        <f>IF(OR(Registro_Compras!$C$183="",Registro_Compras!$O$183=""),"","Efectivo y Equivalentes - Cta. Cte. Operativa")</f>
        <v/>
      </c>
      <c r="E1622" s="20" t="str">
        <f>""</f>
        <v/>
      </c>
      <c r="F1622" s="20" t="str">
        <f>IF($C1622="","",Registro_Compras!$S$183)</f>
        <v/>
      </c>
      <c r="G1622" t="str">
        <f>IF($C1622="","","Por el deposito de la detraccion en el Banco de la Nacion")</f>
        <v/>
      </c>
      <c r="H1622" t="str">
        <f>IF($C1622="","",Registro_Compras!$C$183)</f>
        <v/>
      </c>
    </row>
    <row r="1623" spans="1:8" x14ac:dyDescent="0.25">
      <c r="A1623" s="25" t="str">
        <f>IF($C1623="","",Registro_Compras!$Y$183)</f>
        <v/>
      </c>
      <c r="B1623" t="str">
        <f>IF($C1623="","","C"&amp;TEXT(INT((ROW()-5)/9)+1,"000")&amp;"-4")</f>
        <v/>
      </c>
      <c r="C1623" t="str">
        <f>IF(OR(Registro_Compras!$C$183="",Registro_Compras!$O$183="",Registro_Compras!$Y$183="",Registro_Compras!$F$183="NOTA DE CREDITO"),"","4212")</f>
        <v/>
      </c>
      <c r="D1623" t="str">
        <f>IF(OR(Registro_Compras!$C$183="",Registro_Compras!$O$183=""),"","Cuentas por Pagar Comerciales - Terceros")</f>
        <v/>
      </c>
      <c r="E1623" s="20" t="str">
        <f>IF($C1623="","",IF(Registro_Compras!$F$183="RHE",(ROUND(Registro_Compras!$L$183*Registro_Compras!$N$183,2)-ROUND(Registro_Compras!$V$183*Registro_Compras!$N$183,2)),ROUND(Registro_Compras!$O$183-Registro_Compras!$S$183,2)))</f>
        <v/>
      </c>
      <c r="F1623" s="20" t="str">
        <f>""</f>
        <v/>
      </c>
      <c r="G1623" t="str">
        <f>IF($C1623="","","Por la cancelacion del saldo al proveedor")</f>
        <v/>
      </c>
      <c r="H1623" t="str">
        <f>IF($C1623="","",Registro_Compras!$C$183)</f>
        <v/>
      </c>
    </row>
    <row r="1624" spans="1:8" x14ac:dyDescent="0.25">
      <c r="A1624" s="25" t="str">
        <f>IF($C1624="","",Registro_Compras!$Y$183)</f>
        <v/>
      </c>
      <c r="B1624" t="str">
        <f>IF($C1624="","","C"&amp;TEXT(INT((ROW()-5)/9)+1,"000")&amp;"-4")</f>
        <v/>
      </c>
      <c r="C1624" t="str">
        <f>IF(OR(Registro_Compras!$C$183="",Registro_Compras!$O$183="",Registro_Compras!$Y$183="",Registro_Compras!$F$183="NOTA DE CREDITO"),"","1041")</f>
        <v/>
      </c>
      <c r="D1624" t="str">
        <f>IF(OR(Registro_Compras!$C$183="",Registro_Compras!$O$183=""),"","Efectivo y Equivalentes - Cta. Cte. Operativa")</f>
        <v/>
      </c>
      <c r="E1624" s="20" t="str">
        <f>""</f>
        <v/>
      </c>
      <c r="F1624" s="20" t="str">
        <f>IF($C1624="","",IF(Registro_Compras!$F$183="RHE",(ROUND(Registro_Compras!$L$183*Registro_Compras!$N$183,2)-ROUND(Registro_Compras!$V$183*Registro_Compras!$N$183,2)),ROUND(Registro_Compras!$O$183-Registro_Compras!$S$183,2)))</f>
        <v/>
      </c>
      <c r="G1624" t="str">
        <f>IF($C1624="","","Por la cancelacion del saldo al proveedor")</f>
        <v/>
      </c>
      <c r="H1624" t="str">
        <f>IF($C1624="","",Registro_Compras!$C$183)</f>
        <v/>
      </c>
    </row>
    <row r="1625" spans="1:8" x14ac:dyDescent="0.25">
      <c r="A1625" s="25" t="str">
        <f>IF($C1625="","",Registro_Compras!$B$184)</f>
        <v/>
      </c>
      <c r="B1625" t="str">
        <f>IF($C1625="","","C"&amp;TEXT(INT((ROW()-5)/9)+1,"000")&amp;"-1")</f>
        <v/>
      </c>
      <c r="C1625" t="str">
        <f>IF(OR(Registro_Compras!$C$184="",Registro_Compras!$O$184=""),"",IF(Registro_Compras!$F$184="NOTA DE CREDITO","4212",IF(Registro_Compras!$M$184="","63",Registro_Compras!$M$184)))</f>
        <v/>
      </c>
      <c r="D1625" t="str">
        <f>IF(OR(Registro_Compras!$C$184="",Registro_Compras!$O$184=""),"",IF(Registro_Compras!$F$184="NOTA DE CREDITO","Cuentas por Pagar Comerciales - Terceros (Emitidas)",IF(Registro_Compras!$F$184="RHE","Honorarios Profesionales - Servicios de Terceros","Gastos de Servicios Prestados por Terceros")))</f>
        <v/>
      </c>
      <c r="E1625" s="20" t="str">
        <f>IF($C1625="","",IF(Registro_Compras!$F$184="NOTA DE CREDITO",ABS(Registro_Compras!$O$184),IF(Registro_Compras!$F$184="RHE",ROUND(Registro_Compras!$L$184*Registro_Compras!$N$184,2),ROUND(Registro_Compras!$J$184*Registro_Compras!$N$184,2))))</f>
        <v/>
      </c>
      <c r="F1625" s="20" t="str">
        <f>""</f>
        <v/>
      </c>
      <c r="G1625" t="str">
        <f>IF($C1625="","",IF(Registro_Compras!$F$184="NOTA DE CREDITO","Por la nota de credito "&amp;Registro_Compras!$C$184&amp;" de "&amp;Registro_Compras!$E$184&amp;" [PATRON POR CONFIRMAR CON CONTADOR]",IF(Registro_Compras!$F$184="RHE","Por el registro del recibo por honorarios "&amp;Registro_Compras!$C$184&amp;" de "&amp;Registro_Compras!$E$184&amp;" [PATRON POR CONFIRMAR CON CONTADOR]","Por el registro de la factura "&amp;Registro_Compras!$C$184&amp;" de "&amp;Registro_Compras!$E$184)))</f>
        <v/>
      </c>
      <c r="H1625" t="str">
        <f>IF($C1625="","",Registro_Compras!$C$184)</f>
        <v/>
      </c>
    </row>
    <row r="1626" spans="1:8" x14ac:dyDescent="0.25">
      <c r="A1626" s="25" t="str">
        <f>IF($C1626="","",Registro_Compras!$B$184)</f>
        <v/>
      </c>
      <c r="B1626" t="str">
        <f>IF($C1626="","","C"&amp;TEXT(INT((ROW()-5)/9)+1,"000")&amp;"-1")</f>
        <v/>
      </c>
      <c r="C1626" t="str">
        <f>IF(OR(Registro_Compras!$C$184="",Registro_Compras!$O$184=""),"",IF(Registro_Compras!$F$184="RHE",IF(Registro_Compras!$V$184=0,"","4017"),IF(Registro_Compras!$F$184="NOTA DE CREDITO",IF(Registro_Compras!$M$184="","63",Registro_Compras!$M$184),IF(Registro_Compras!$K$184=0,"","40111"))))</f>
        <v/>
      </c>
      <c r="D1626" t="str">
        <f>IF(OR(Registro_Compras!$C$184="",Registro_Compras!$O$184=""),"",IF(Registro_Compras!$F$184="RHE","Retencion Renta 4ta Categoria por Pagar",IF(Registro_Compras!$F$184="NOTA DE CREDITO","Gastos de Servicios Prestados por Terceros","IGV - Cuenta Propia (Credito Fiscal)")))</f>
        <v/>
      </c>
      <c r="E1626" s="20" t="str">
        <f>IF($C1626="","",IF(Registro_Compras!$F$184="FACTURA",ROUND(Registro_Compras!$K$184*Registro_Compras!$N$184,2),""))</f>
        <v/>
      </c>
      <c r="F1626" s="20" t="str">
        <f>IF($C1626="","",IF(Registro_Compras!$F$184="RHE",ROUND(Registro_Compras!$V$184*Registro_Compras!$N$184,2),IF(Registro_Compras!$F$184="NOTA DE CREDITO",ROUND(ABS(Registro_Compras!$J$184*Registro_Compras!$N$184),2),"")))</f>
        <v/>
      </c>
      <c r="G1626" t="str">
        <f>IF($C1626="","",IF(Registro_Compras!$F$184="NOTA DE CREDITO","Por la nota de credito "&amp;Registro_Compras!$C$184&amp;" de "&amp;Registro_Compras!$E$184&amp;" [PATRON POR CONFIRMAR CON CONTADOR]",IF(Registro_Compras!$F$184="RHE","Por el registro del recibo por honorarios "&amp;Registro_Compras!$C$184&amp;" de "&amp;Registro_Compras!$E$184&amp;" [PATRON POR CONFIRMAR CON CONTADOR]","Por el registro de la factura "&amp;Registro_Compras!$C$184&amp;" de "&amp;Registro_Compras!$E$184)))</f>
        <v/>
      </c>
      <c r="H1626" t="str">
        <f>IF($C1626="","",Registro_Compras!$C$184)</f>
        <v/>
      </c>
    </row>
    <row r="1627" spans="1:8" x14ac:dyDescent="0.25">
      <c r="A1627" s="25" t="str">
        <f>IF($C1627="","",Registro_Compras!$B$184)</f>
        <v/>
      </c>
      <c r="B1627" t="str">
        <f>IF($C1627="","","C"&amp;TEXT(INT((ROW()-5)/9)+1,"000")&amp;"-1")</f>
        <v/>
      </c>
      <c r="C1627" t="str">
        <f>IF(OR(Registro_Compras!$C$184="",Registro_Compras!$O$184=""),"",IF(Registro_Compras!$F$184="NOTA DE CREDITO",IF(Registro_Compras!$K$184=0,"","40111"),"4212"))</f>
        <v/>
      </c>
      <c r="D1627" t="str">
        <f>IF(OR(Registro_Compras!$C$184="",Registro_Compras!$O$184=""),"",IF(Registro_Compras!$F$184="NOTA DE CREDITO","IGV - Cuenta Propia (Credito Fiscal)","Cuentas por Pagar Comerciales - Terceros (Emitidas)"))</f>
        <v/>
      </c>
      <c r="E1627" s="20" t="str">
        <f>""</f>
        <v/>
      </c>
      <c r="F1627" s="20" t="str">
        <f>IF($C1627="","",IF(Registro_Compras!$F$184="NOTA DE CREDITO",ROUND(ABS(Registro_Compras!$K$184*Registro_Compras!$N$184),2),IF(Registro_Compras!$F$184="RHE",(ROUND(Registro_Compras!$L$184*Registro_Compras!$N$184,2)-ROUND(Registro_Compras!$V$184*Registro_Compras!$N$184,2)),Registro_Compras!$O$184)))</f>
        <v/>
      </c>
      <c r="G1627" t="str">
        <f>IF($C1627="","",IF(Registro_Compras!$F$184="NOTA DE CREDITO","Por la nota de credito "&amp;Registro_Compras!$C$184&amp;" de "&amp;Registro_Compras!$E$184&amp;" [PATRON POR CONFIRMAR CON CONTADOR]",IF(Registro_Compras!$F$184="RHE","Por el registro del recibo por honorarios "&amp;Registro_Compras!$C$184&amp;" de "&amp;Registro_Compras!$E$184&amp;" [PATRON POR CONFIRMAR CON CONTADOR]","Por el registro de la factura "&amp;Registro_Compras!$C$184&amp;" de "&amp;Registro_Compras!$E$184)))</f>
        <v/>
      </c>
      <c r="H1627" t="str">
        <f>IF($C1627="","",Registro_Compras!$C$184)</f>
        <v/>
      </c>
    </row>
    <row r="1628" spans="1:8" x14ac:dyDescent="0.25">
      <c r="A1628" s="25" t="str">
        <f>IF($C1628="","",Registro_Compras!$B$184)</f>
        <v/>
      </c>
      <c r="B1628" t="str">
        <f>IF($C1628="","","C"&amp;TEXT(INT((ROW()-5)/9)+1,"000")&amp;"-2")</f>
        <v/>
      </c>
      <c r="C1628" t="str">
        <f>IF(OR(Registro_Compras!$C$184="",Registro_Compras!$O$184=""),"",IF(Registro_Compras!$AB$184="ADMINISTRATIVO","94","95"))</f>
        <v/>
      </c>
      <c r="D1628" t="str">
        <f>IF(OR(Registro_Compras!$C$184="",Registro_Compras!$O$184=""),"",IF(Registro_Compras!$AB$184="ADMINISTRATIVO","Gastos Administrativos","Gastos de Venta y Operacion"))</f>
        <v/>
      </c>
      <c r="E1628" s="20" t="str">
        <f>IF($C1628="","",IF(Registro_Compras!$F$184="NOTA DE CREDITO","",IF(Registro_Compras!$F$184="RHE",ROUND(Registro_Compras!$L$184*Registro_Compras!$N$184,2),ROUND(Registro_Compras!$J$184*Registro_Compras!$N$184,2))))</f>
        <v/>
      </c>
      <c r="F1628" s="20" t="str">
        <f>IF($C1628="","",IF(Registro_Compras!$F$184="NOTA DE CREDITO",ROUND(ABS(Registro_Compras!$J$184*Registro_Compras!$N$184),2),""))</f>
        <v/>
      </c>
      <c r="G1628" t="str">
        <f>IF($C1628="","","Por el destino del gasto")</f>
        <v/>
      </c>
      <c r="H1628" t="str">
        <f>IF($C1628="","",Registro_Compras!$C$184)</f>
        <v/>
      </c>
    </row>
    <row r="1629" spans="1:8" x14ac:dyDescent="0.25">
      <c r="A1629" s="25" t="str">
        <f>IF($C1629="","",Registro_Compras!$B$184)</f>
        <v/>
      </c>
      <c r="B1629" t="str">
        <f>IF($C1629="","","C"&amp;TEXT(INT((ROW()-5)/9)+1,"000")&amp;"-2")</f>
        <v/>
      </c>
      <c r="C1629" t="str">
        <f>IF(OR(Registro_Compras!$C$184="",Registro_Compras!$O$184=""),"","79/791")</f>
        <v/>
      </c>
      <c r="D1629" t="str">
        <f>IF(OR(Registro_Compras!$C$184="",Registro_Compras!$O$184=""),"","Cargas Imputables a Cuentas de Costos y Gastos")</f>
        <v/>
      </c>
      <c r="E1629" s="20" t="str">
        <f>IF($C1629="","",IF(Registro_Compras!$F$184="NOTA DE CREDITO",ROUND(ABS(Registro_Compras!$J$184*Registro_Compras!$N$184),2),""))</f>
        <v/>
      </c>
      <c r="F1629" s="20" t="str">
        <f>IF($C1629="","",IF(Registro_Compras!$F$184="NOTA DE CREDITO","",IF(Registro_Compras!$F$184="RHE",ROUND(Registro_Compras!$L$184*Registro_Compras!$N$184,2),ROUND(Registro_Compras!$J$184*Registro_Compras!$N$184,2))))</f>
        <v/>
      </c>
      <c r="G1629" t="str">
        <f>IF($C1629="","","Por el destino del gasto")</f>
        <v/>
      </c>
      <c r="H1629" t="str">
        <f>IF($C1629="","",Registro_Compras!$C$184)</f>
        <v/>
      </c>
    </row>
    <row r="1630" spans="1:8" x14ac:dyDescent="0.25">
      <c r="A1630" s="25" t="str">
        <f>IF($C1630="","",Registro_Compras!$X$184)</f>
        <v/>
      </c>
      <c r="B1630" t="str">
        <f>IF($C1630="","","C"&amp;TEXT(INT((ROW()-5)/9)+1,"000")&amp;"-3")</f>
        <v/>
      </c>
      <c r="C1630" t="str">
        <f>IF(OR(Registro_Compras!$C$184="",Registro_Compras!$O$184="",Registro_Compras!$R$184&lt;&gt;"SI",Registro_Compras!$X$184=""),"","4212")</f>
        <v/>
      </c>
      <c r="D1630" t="str">
        <f>IF(OR(Registro_Compras!$C$184="",Registro_Compras!$O$184=""),"","Cuentas por Pagar Comerciales - Terceros")</f>
        <v/>
      </c>
      <c r="E1630" s="20" t="str">
        <f>IF($C1630="","",Registro_Compras!$S$184)</f>
        <v/>
      </c>
      <c r="F1630" s="20" t="str">
        <f>""</f>
        <v/>
      </c>
      <c r="G1630" t="str">
        <f>IF($C1630="","","Por el deposito de la detraccion en el Banco de la Nacion")</f>
        <v/>
      </c>
      <c r="H1630" t="str">
        <f>IF($C1630="","",Registro_Compras!$C$184)</f>
        <v/>
      </c>
    </row>
    <row r="1631" spans="1:8" x14ac:dyDescent="0.25">
      <c r="A1631" s="25" t="str">
        <f>IF($C1631="","",Registro_Compras!$X$184)</f>
        <v/>
      </c>
      <c r="B1631" t="str">
        <f>IF($C1631="","","C"&amp;TEXT(INT((ROW()-5)/9)+1,"000")&amp;"-3")</f>
        <v/>
      </c>
      <c r="C1631" t="str">
        <f>IF(OR(Registro_Compras!$C$184="",Registro_Compras!$O$184="",Registro_Compras!$R$184&lt;&gt;"SI",Registro_Compras!$X$184=""),"","1041")</f>
        <v/>
      </c>
      <c r="D1631" t="str">
        <f>IF(OR(Registro_Compras!$C$184="",Registro_Compras!$O$184=""),"","Efectivo y Equivalentes - Cta. Cte. Operativa")</f>
        <v/>
      </c>
      <c r="E1631" s="20" t="str">
        <f>""</f>
        <v/>
      </c>
      <c r="F1631" s="20" t="str">
        <f>IF($C1631="","",Registro_Compras!$S$184)</f>
        <v/>
      </c>
      <c r="G1631" t="str">
        <f>IF($C1631="","","Por el deposito de la detraccion en el Banco de la Nacion")</f>
        <v/>
      </c>
      <c r="H1631" t="str">
        <f>IF($C1631="","",Registro_Compras!$C$184)</f>
        <v/>
      </c>
    </row>
    <row r="1632" spans="1:8" x14ac:dyDescent="0.25">
      <c r="A1632" s="25" t="str">
        <f>IF($C1632="","",Registro_Compras!$Y$184)</f>
        <v/>
      </c>
      <c r="B1632" t="str">
        <f>IF($C1632="","","C"&amp;TEXT(INT((ROW()-5)/9)+1,"000")&amp;"-4")</f>
        <v/>
      </c>
      <c r="C1632" t="str">
        <f>IF(OR(Registro_Compras!$C$184="",Registro_Compras!$O$184="",Registro_Compras!$Y$184="",Registro_Compras!$F$184="NOTA DE CREDITO"),"","4212")</f>
        <v/>
      </c>
      <c r="D1632" t="str">
        <f>IF(OR(Registro_Compras!$C$184="",Registro_Compras!$O$184=""),"","Cuentas por Pagar Comerciales - Terceros")</f>
        <v/>
      </c>
      <c r="E1632" s="20" t="str">
        <f>IF($C1632="","",IF(Registro_Compras!$F$184="RHE",(ROUND(Registro_Compras!$L$184*Registro_Compras!$N$184,2)-ROUND(Registro_Compras!$V$184*Registro_Compras!$N$184,2)),ROUND(Registro_Compras!$O$184-Registro_Compras!$S$184,2)))</f>
        <v/>
      </c>
      <c r="F1632" s="20" t="str">
        <f>""</f>
        <v/>
      </c>
      <c r="G1632" t="str">
        <f>IF($C1632="","","Por la cancelacion del saldo al proveedor")</f>
        <v/>
      </c>
      <c r="H1632" t="str">
        <f>IF($C1632="","",Registro_Compras!$C$184)</f>
        <v/>
      </c>
    </row>
    <row r="1633" spans="1:8" x14ac:dyDescent="0.25">
      <c r="A1633" s="25" t="str">
        <f>IF($C1633="","",Registro_Compras!$Y$184)</f>
        <v/>
      </c>
      <c r="B1633" t="str">
        <f>IF($C1633="","","C"&amp;TEXT(INT((ROW()-5)/9)+1,"000")&amp;"-4")</f>
        <v/>
      </c>
      <c r="C1633" t="str">
        <f>IF(OR(Registro_Compras!$C$184="",Registro_Compras!$O$184="",Registro_Compras!$Y$184="",Registro_Compras!$F$184="NOTA DE CREDITO"),"","1041")</f>
        <v/>
      </c>
      <c r="D1633" t="str">
        <f>IF(OR(Registro_Compras!$C$184="",Registro_Compras!$O$184=""),"","Efectivo y Equivalentes - Cta. Cte. Operativa")</f>
        <v/>
      </c>
      <c r="E1633" s="20" t="str">
        <f>""</f>
        <v/>
      </c>
      <c r="F1633" s="20" t="str">
        <f>IF($C1633="","",IF(Registro_Compras!$F$184="RHE",(ROUND(Registro_Compras!$L$184*Registro_Compras!$N$184,2)-ROUND(Registro_Compras!$V$184*Registro_Compras!$N$184,2)),ROUND(Registro_Compras!$O$184-Registro_Compras!$S$184,2)))</f>
        <v/>
      </c>
      <c r="G1633" t="str">
        <f>IF($C1633="","","Por la cancelacion del saldo al proveedor")</f>
        <v/>
      </c>
      <c r="H1633" t="str">
        <f>IF($C1633="","",Registro_Compras!$C$184)</f>
        <v/>
      </c>
    </row>
    <row r="1634" spans="1:8" x14ac:dyDescent="0.25">
      <c r="A1634" s="25" t="str">
        <f>IF($C1634="","",Registro_Compras!$B$185)</f>
        <v/>
      </c>
      <c r="B1634" t="str">
        <f>IF($C1634="","","C"&amp;TEXT(INT((ROW()-5)/9)+1,"000")&amp;"-1")</f>
        <v/>
      </c>
      <c r="C1634" t="str">
        <f>IF(OR(Registro_Compras!$C$185="",Registro_Compras!$O$185=""),"",IF(Registro_Compras!$F$185="NOTA DE CREDITO","4212",IF(Registro_Compras!$M$185="","63",Registro_Compras!$M$185)))</f>
        <v/>
      </c>
      <c r="D1634" t="str">
        <f>IF(OR(Registro_Compras!$C$185="",Registro_Compras!$O$185=""),"",IF(Registro_Compras!$F$185="NOTA DE CREDITO","Cuentas por Pagar Comerciales - Terceros (Emitidas)",IF(Registro_Compras!$F$185="RHE","Honorarios Profesionales - Servicios de Terceros","Gastos de Servicios Prestados por Terceros")))</f>
        <v/>
      </c>
      <c r="E1634" s="20" t="str">
        <f>IF($C1634="","",IF(Registro_Compras!$F$185="NOTA DE CREDITO",ABS(Registro_Compras!$O$185),IF(Registro_Compras!$F$185="RHE",ROUND(Registro_Compras!$L$185*Registro_Compras!$N$185,2),ROUND(Registro_Compras!$J$185*Registro_Compras!$N$185,2))))</f>
        <v/>
      </c>
      <c r="F1634" s="20" t="str">
        <f>""</f>
        <v/>
      </c>
      <c r="G1634" t="str">
        <f>IF($C1634="","",IF(Registro_Compras!$F$185="NOTA DE CREDITO","Por la nota de credito "&amp;Registro_Compras!$C$185&amp;" de "&amp;Registro_Compras!$E$185&amp;" [PATRON POR CONFIRMAR CON CONTADOR]",IF(Registro_Compras!$F$185="RHE","Por el registro del recibo por honorarios "&amp;Registro_Compras!$C$185&amp;" de "&amp;Registro_Compras!$E$185&amp;" [PATRON POR CONFIRMAR CON CONTADOR]","Por el registro de la factura "&amp;Registro_Compras!$C$185&amp;" de "&amp;Registro_Compras!$E$185)))</f>
        <v/>
      </c>
      <c r="H1634" t="str">
        <f>IF($C1634="","",Registro_Compras!$C$185)</f>
        <v/>
      </c>
    </row>
    <row r="1635" spans="1:8" x14ac:dyDescent="0.25">
      <c r="A1635" s="25" t="str">
        <f>IF($C1635="","",Registro_Compras!$B$185)</f>
        <v/>
      </c>
      <c r="B1635" t="str">
        <f>IF($C1635="","","C"&amp;TEXT(INT((ROW()-5)/9)+1,"000")&amp;"-1")</f>
        <v/>
      </c>
      <c r="C1635" t="str">
        <f>IF(OR(Registro_Compras!$C$185="",Registro_Compras!$O$185=""),"",IF(Registro_Compras!$F$185="RHE",IF(Registro_Compras!$V$185=0,"","4017"),IF(Registro_Compras!$F$185="NOTA DE CREDITO",IF(Registro_Compras!$M$185="","63",Registro_Compras!$M$185),IF(Registro_Compras!$K$185=0,"","40111"))))</f>
        <v/>
      </c>
      <c r="D1635" t="str">
        <f>IF(OR(Registro_Compras!$C$185="",Registro_Compras!$O$185=""),"",IF(Registro_Compras!$F$185="RHE","Retencion Renta 4ta Categoria por Pagar",IF(Registro_Compras!$F$185="NOTA DE CREDITO","Gastos de Servicios Prestados por Terceros","IGV - Cuenta Propia (Credito Fiscal)")))</f>
        <v/>
      </c>
      <c r="E1635" s="20" t="str">
        <f>IF($C1635="","",IF(Registro_Compras!$F$185="FACTURA",ROUND(Registro_Compras!$K$185*Registro_Compras!$N$185,2),""))</f>
        <v/>
      </c>
      <c r="F1635" s="20" t="str">
        <f>IF($C1635="","",IF(Registro_Compras!$F$185="RHE",ROUND(Registro_Compras!$V$185*Registro_Compras!$N$185,2),IF(Registro_Compras!$F$185="NOTA DE CREDITO",ROUND(ABS(Registro_Compras!$J$185*Registro_Compras!$N$185),2),"")))</f>
        <v/>
      </c>
      <c r="G1635" t="str">
        <f>IF($C1635="","",IF(Registro_Compras!$F$185="NOTA DE CREDITO","Por la nota de credito "&amp;Registro_Compras!$C$185&amp;" de "&amp;Registro_Compras!$E$185&amp;" [PATRON POR CONFIRMAR CON CONTADOR]",IF(Registro_Compras!$F$185="RHE","Por el registro del recibo por honorarios "&amp;Registro_Compras!$C$185&amp;" de "&amp;Registro_Compras!$E$185&amp;" [PATRON POR CONFIRMAR CON CONTADOR]","Por el registro de la factura "&amp;Registro_Compras!$C$185&amp;" de "&amp;Registro_Compras!$E$185)))</f>
        <v/>
      </c>
      <c r="H1635" t="str">
        <f>IF($C1635="","",Registro_Compras!$C$185)</f>
        <v/>
      </c>
    </row>
    <row r="1636" spans="1:8" x14ac:dyDescent="0.25">
      <c r="A1636" s="25" t="str">
        <f>IF($C1636="","",Registro_Compras!$B$185)</f>
        <v/>
      </c>
      <c r="B1636" t="str">
        <f>IF($C1636="","","C"&amp;TEXT(INT((ROW()-5)/9)+1,"000")&amp;"-1")</f>
        <v/>
      </c>
      <c r="C1636" t="str">
        <f>IF(OR(Registro_Compras!$C$185="",Registro_Compras!$O$185=""),"",IF(Registro_Compras!$F$185="NOTA DE CREDITO",IF(Registro_Compras!$K$185=0,"","40111"),"4212"))</f>
        <v/>
      </c>
      <c r="D1636" t="str">
        <f>IF(OR(Registro_Compras!$C$185="",Registro_Compras!$O$185=""),"",IF(Registro_Compras!$F$185="NOTA DE CREDITO","IGV - Cuenta Propia (Credito Fiscal)","Cuentas por Pagar Comerciales - Terceros (Emitidas)"))</f>
        <v/>
      </c>
      <c r="E1636" s="20" t="str">
        <f>""</f>
        <v/>
      </c>
      <c r="F1636" s="20" t="str">
        <f>IF($C1636="","",IF(Registro_Compras!$F$185="NOTA DE CREDITO",ROUND(ABS(Registro_Compras!$K$185*Registro_Compras!$N$185),2),IF(Registro_Compras!$F$185="RHE",(ROUND(Registro_Compras!$L$185*Registro_Compras!$N$185,2)-ROUND(Registro_Compras!$V$185*Registro_Compras!$N$185,2)),Registro_Compras!$O$185)))</f>
        <v/>
      </c>
      <c r="G1636" t="str">
        <f>IF($C1636="","",IF(Registro_Compras!$F$185="NOTA DE CREDITO","Por la nota de credito "&amp;Registro_Compras!$C$185&amp;" de "&amp;Registro_Compras!$E$185&amp;" [PATRON POR CONFIRMAR CON CONTADOR]",IF(Registro_Compras!$F$185="RHE","Por el registro del recibo por honorarios "&amp;Registro_Compras!$C$185&amp;" de "&amp;Registro_Compras!$E$185&amp;" [PATRON POR CONFIRMAR CON CONTADOR]","Por el registro de la factura "&amp;Registro_Compras!$C$185&amp;" de "&amp;Registro_Compras!$E$185)))</f>
        <v/>
      </c>
      <c r="H1636" t="str">
        <f>IF($C1636="","",Registro_Compras!$C$185)</f>
        <v/>
      </c>
    </row>
    <row r="1637" spans="1:8" x14ac:dyDescent="0.25">
      <c r="A1637" s="25" t="str">
        <f>IF($C1637="","",Registro_Compras!$B$185)</f>
        <v/>
      </c>
      <c r="B1637" t="str">
        <f>IF($C1637="","","C"&amp;TEXT(INT((ROW()-5)/9)+1,"000")&amp;"-2")</f>
        <v/>
      </c>
      <c r="C1637" t="str">
        <f>IF(OR(Registro_Compras!$C$185="",Registro_Compras!$O$185=""),"",IF(Registro_Compras!$AB$185="ADMINISTRATIVO","94","95"))</f>
        <v/>
      </c>
      <c r="D1637" t="str">
        <f>IF(OR(Registro_Compras!$C$185="",Registro_Compras!$O$185=""),"",IF(Registro_Compras!$AB$185="ADMINISTRATIVO","Gastos Administrativos","Gastos de Venta y Operacion"))</f>
        <v/>
      </c>
      <c r="E1637" s="20" t="str">
        <f>IF($C1637="","",IF(Registro_Compras!$F$185="NOTA DE CREDITO","",IF(Registro_Compras!$F$185="RHE",ROUND(Registro_Compras!$L$185*Registro_Compras!$N$185,2),ROUND(Registro_Compras!$J$185*Registro_Compras!$N$185,2))))</f>
        <v/>
      </c>
      <c r="F1637" s="20" t="str">
        <f>IF($C1637="","",IF(Registro_Compras!$F$185="NOTA DE CREDITO",ROUND(ABS(Registro_Compras!$J$185*Registro_Compras!$N$185),2),""))</f>
        <v/>
      </c>
      <c r="G1637" t="str">
        <f>IF($C1637="","","Por el destino del gasto")</f>
        <v/>
      </c>
      <c r="H1637" t="str">
        <f>IF($C1637="","",Registro_Compras!$C$185)</f>
        <v/>
      </c>
    </row>
    <row r="1638" spans="1:8" x14ac:dyDescent="0.25">
      <c r="A1638" s="25" t="str">
        <f>IF($C1638="","",Registro_Compras!$B$185)</f>
        <v/>
      </c>
      <c r="B1638" t="str">
        <f>IF($C1638="","","C"&amp;TEXT(INT((ROW()-5)/9)+1,"000")&amp;"-2")</f>
        <v/>
      </c>
      <c r="C1638" t="str">
        <f>IF(OR(Registro_Compras!$C$185="",Registro_Compras!$O$185=""),"","79/791")</f>
        <v/>
      </c>
      <c r="D1638" t="str">
        <f>IF(OR(Registro_Compras!$C$185="",Registro_Compras!$O$185=""),"","Cargas Imputables a Cuentas de Costos y Gastos")</f>
        <v/>
      </c>
      <c r="E1638" s="20" t="str">
        <f>IF($C1638="","",IF(Registro_Compras!$F$185="NOTA DE CREDITO",ROUND(ABS(Registro_Compras!$J$185*Registro_Compras!$N$185),2),""))</f>
        <v/>
      </c>
      <c r="F1638" s="20" t="str">
        <f>IF($C1638="","",IF(Registro_Compras!$F$185="NOTA DE CREDITO","",IF(Registro_Compras!$F$185="RHE",ROUND(Registro_Compras!$L$185*Registro_Compras!$N$185,2),ROUND(Registro_Compras!$J$185*Registro_Compras!$N$185,2))))</f>
        <v/>
      </c>
      <c r="G1638" t="str">
        <f>IF($C1638="","","Por el destino del gasto")</f>
        <v/>
      </c>
      <c r="H1638" t="str">
        <f>IF($C1638="","",Registro_Compras!$C$185)</f>
        <v/>
      </c>
    </row>
    <row r="1639" spans="1:8" x14ac:dyDescent="0.25">
      <c r="A1639" s="25" t="str">
        <f>IF($C1639="","",Registro_Compras!$X$185)</f>
        <v/>
      </c>
      <c r="B1639" t="str">
        <f>IF($C1639="","","C"&amp;TEXT(INT((ROW()-5)/9)+1,"000")&amp;"-3")</f>
        <v/>
      </c>
      <c r="C1639" t="str">
        <f>IF(OR(Registro_Compras!$C$185="",Registro_Compras!$O$185="",Registro_Compras!$R$185&lt;&gt;"SI",Registro_Compras!$X$185=""),"","4212")</f>
        <v/>
      </c>
      <c r="D1639" t="str">
        <f>IF(OR(Registro_Compras!$C$185="",Registro_Compras!$O$185=""),"","Cuentas por Pagar Comerciales - Terceros")</f>
        <v/>
      </c>
      <c r="E1639" s="20" t="str">
        <f>IF($C1639="","",Registro_Compras!$S$185)</f>
        <v/>
      </c>
      <c r="F1639" s="20" t="str">
        <f>""</f>
        <v/>
      </c>
      <c r="G1639" t="str">
        <f>IF($C1639="","","Por el deposito de la detraccion en el Banco de la Nacion")</f>
        <v/>
      </c>
      <c r="H1639" t="str">
        <f>IF($C1639="","",Registro_Compras!$C$185)</f>
        <v/>
      </c>
    </row>
    <row r="1640" spans="1:8" x14ac:dyDescent="0.25">
      <c r="A1640" s="25" t="str">
        <f>IF($C1640="","",Registro_Compras!$X$185)</f>
        <v/>
      </c>
      <c r="B1640" t="str">
        <f>IF($C1640="","","C"&amp;TEXT(INT((ROW()-5)/9)+1,"000")&amp;"-3")</f>
        <v/>
      </c>
      <c r="C1640" t="str">
        <f>IF(OR(Registro_Compras!$C$185="",Registro_Compras!$O$185="",Registro_Compras!$R$185&lt;&gt;"SI",Registro_Compras!$X$185=""),"","1041")</f>
        <v/>
      </c>
      <c r="D1640" t="str">
        <f>IF(OR(Registro_Compras!$C$185="",Registro_Compras!$O$185=""),"","Efectivo y Equivalentes - Cta. Cte. Operativa")</f>
        <v/>
      </c>
      <c r="E1640" s="20" t="str">
        <f>""</f>
        <v/>
      </c>
      <c r="F1640" s="20" t="str">
        <f>IF($C1640="","",Registro_Compras!$S$185)</f>
        <v/>
      </c>
      <c r="G1640" t="str">
        <f>IF($C1640="","","Por el deposito de la detraccion en el Banco de la Nacion")</f>
        <v/>
      </c>
      <c r="H1640" t="str">
        <f>IF($C1640="","",Registro_Compras!$C$185)</f>
        <v/>
      </c>
    </row>
    <row r="1641" spans="1:8" x14ac:dyDescent="0.25">
      <c r="A1641" s="25" t="str">
        <f>IF($C1641="","",Registro_Compras!$Y$185)</f>
        <v/>
      </c>
      <c r="B1641" t="str">
        <f>IF($C1641="","","C"&amp;TEXT(INT((ROW()-5)/9)+1,"000")&amp;"-4")</f>
        <v/>
      </c>
      <c r="C1641" t="str">
        <f>IF(OR(Registro_Compras!$C$185="",Registro_Compras!$O$185="",Registro_Compras!$Y$185="",Registro_Compras!$F$185="NOTA DE CREDITO"),"","4212")</f>
        <v/>
      </c>
      <c r="D1641" t="str">
        <f>IF(OR(Registro_Compras!$C$185="",Registro_Compras!$O$185=""),"","Cuentas por Pagar Comerciales - Terceros")</f>
        <v/>
      </c>
      <c r="E1641" s="20" t="str">
        <f>IF($C1641="","",IF(Registro_Compras!$F$185="RHE",(ROUND(Registro_Compras!$L$185*Registro_Compras!$N$185,2)-ROUND(Registro_Compras!$V$185*Registro_Compras!$N$185,2)),ROUND(Registro_Compras!$O$185-Registro_Compras!$S$185,2)))</f>
        <v/>
      </c>
      <c r="F1641" s="20" t="str">
        <f>""</f>
        <v/>
      </c>
      <c r="G1641" t="str">
        <f>IF($C1641="","","Por la cancelacion del saldo al proveedor")</f>
        <v/>
      </c>
      <c r="H1641" t="str">
        <f>IF($C1641="","",Registro_Compras!$C$185)</f>
        <v/>
      </c>
    </row>
    <row r="1642" spans="1:8" x14ac:dyDescent="0.25">
      <c r="A1642" s="25" t="str">
        <f>IF($C1642="","",Registro_Compras!$Y$185)</f>
        <v/>
      </c>
      <c r="B1642" t="str">
        <f>IF($C1642="","","C"&amp;TEXT(INT((ROW()-5)/9)+1,"000")&amp;"-4")</f>
        <v/>
      </c>
      <c r="C1642" t="str">
        <f>IF(OR(Registro_Compras!$C$185="",Registro_Compras!$O$185="",Registro_Compras!$Y$185="",Registro_Compras!$F$185="NOTA DE CREDITO"),"","1041")</f>
        <v/>
      </c>
      <c r="D1642" t="str">
        <f>IF(OR(Registro_Compras!$C$185="",Registro_Compras!$O$185=""),"","Efectivo y Equivalentes - Cta. Cte. Operativa")</f>
        <v/>
      </c>
      <c r="E1642" s="20" t="str">
        <f>""</f>
        <v/>
      </c>
      <c r="F1642" s="20" t="str">
        <f>IF($C1642="","",IF(Registro_Compras!$F$185="RHE",(ROUND(Registro_Compras!$L$185*Registro_Compras!$N$185,2)-ROUND(Registro_Compras!$V$185*Registro_Compras!$N$185,2)),ROUND(Registro_Compras!$O$185-Registro_Compras!$S$185,2)))</f>
        <v/>
      </c>
      <c r="G1642" t="str">
        <f>IF($C1642="","","Por la cancelacion del saldo al proveedor")</f>
        <v/>
      </c>
      <c r="H1642" t="str">
        <f>IF($C1642="","",Registro_Compras!$C$185)</f>
        <v/>
      </c>
    </row>
    <row r="1643" spans="1:8" x14ac:dyDescent="0.25">
      <c r="A1643" s="25" t="str">
        <f>IF($C1643="","",Registro_Compras!$B$186)</f>
        <v/>
      </c>
      <c r="B1643" t="str">
        <f>IF($C1643="","","C"&amp;TEXT(INT((ROW()-5)/9)+1,"000")&amp;"-1")</f>
        <v/>
      </c>
      <c r="C1643" t="str">
        <f>IF(OR(Registro_Compras!$C$186="",Registro_Compras!$O$186=""),"",IF(Registro_Compras!$F$186="NOTA DE CREDITO","4212",IF(Registro_Compras!$M$186="","63",Registro_Compras!$M$186)))</f>
        <v/>
      </c>
      <c r="D1643" t="str">
        <f>IF(OR(Registro_Compras!$C$186="",Registro_Compras!$O$186=""),"",IF(Registro_Compras!$F$186="NOTA DE CREDITO","Cuentas por Pagar Comerciales - Terceros (Emitidas)",IF(Registro_Compras!$F$186="RHE","Honorarios Profesionales - Servicios de Terceros","Gastos de Servicios Prestados por Terceros")))</f>
        <v/>
      </c>
      <c r="E1643" s="20" t="str">
        <f>IF($C1643="","",IF(Registro_Compras!$F$186="NOTA DE CREDITO",ABS(Registro_Compras!$O$186),IF(Registro_Compras!$F$186="RHE",ROUND(Registro_Compras!$L$186*Registro_Compras!$N$186,2),ROUND(Registro_Compras!$J$186*Registro_Compras!$N$186,2))))</f>
        <v/>
      </c>
      <c r="F1643" s="20" t="str">
        <f>""</f>
        <v/>
      </c>
      <c r="G1643" t="str">
        <f>IF($C1643="","",IF(Registro_Compras!$F$186="NOTA DE CREDITO","Por la nota de credito "&amp;Registro_Compras!$C$186&amp;" de "&amp;Registro_Compras!$E$186&amp;" [PATRON POR CONFIRMAR CON CONTADOR]",IF(Registro_Compras!$F$186="RHE","Por el registro del recibo por honorarios "&amp;Registro_Compras!$C$186&amp;" de "&amp;Registro_Compras!$E$186&amp;" [PATRON POR CONFIRMAR CON CONTADOR]","Por el registro de la factura "&amp;Registro_Compras!$C$186&amp;" de "&amp;Registro_Compras!$E$186)))</f>
        <v/>
      </c>
      <c r="H1643" t="str">
        <f>IF($C1643="","",Registro_Compras!$C$186)</f>
        <v/>
      </c>
    </row>
    <row r="1644" spans="1:8" x14ac:dyDescent="0.25">
      <c r="A1644" s="25" t="str">
        <f>IF($C1644="","",Registro_Compras!$B$186)</f>
        <v/>
      </c>
      <c r="B1644" t="str">
        <f>IF($C1644="","","C"&amp;TEXT(INT((ROW()-5)/9)+1,"000")&amp;"-1")</f>
        <v/>
      </c>
      <c r="C1644" t="str">
        <f>IF(OR(Registro_Compras!$C$186="",Registro_Compras!$O$186=""),"",IF(Registro_Compras!$F$186="RHE",IF(Registro_Compras!$V$186=0,"","4017"),IF(Registro_Compras!$F$186="NOTA DE CREDITO",IF(Registro_Compras!$M$186="","63",Registro_Compras!$M$186),IF(Registro_Compras!$K$186=0,"","40111"))))</f>
        <v/>
      </c>
      <c r="D1644" t="str">
        <f>IF(OR(Registro_Compras!$C$186="",Registro_Compras!$O$186=""),"",IF(Registro_Compras!$F$186="RHE","Retencion Renta 4ta Categoria por Pagar",IF(Registro_Compras!$F$186="NOTA DE CREDITO","Gastos de Servicios Prestados por Terceros","IGV - Cuenta Propia (Credito Fiscal)")))</f>
        <v/>
      </c>
      <c r="E1644" s="20" t="str">
        <f>IF($C1644="","",IF(Registro_Compras!$F$186="FACTURA",ROUND(Registro_Compras!$K$186*Registro_Compras!$N$186,2),""))</f>
        <v/>
      </c>
      <c r="F1644" s="20" t="str">
        <f>IF($C1644="","",IF(Registro_Compras!$F$186="RHE",ROUND(Registro_Compras!$V$186*Registro_Compras!$N$186,2),IF(Registro_Compras!$F$186="NOTA DE CREDITO",ROUND(ABS(Registro_Compras!$J$186*Registro_Compras!$N$186),2),"")))</f>
        <v/>
      </c>
      <c r="G1644" t="str">
        <f>IF($C1644="","",IF(Registro_Compras!$F$186="NOTA DE CREDITO","Por la nota de credito "&amp;Registro_Compras!$C$186&amp;" de "&amp;Registro_Compras!$E$186&amp;" [PATRON POR CONFIRMAR CON CONTADOR]",IF(Registro_Compras!$F$186="RHE","Por el registro del recibo por honorarios "&amp;Registro_Compras!$C$186&amp;" de "&amp;Registro_Compras!$E$186&amp;" [PATRON POR CONFIRMAR CON CONTADOR]","Por el registro de la factura "&amp;Registro_Compras!$C$186&amp;" de "&amp;Registro_Compras!$E$186)))</f>
        <v/>
      </c>
      <c r="H1644" t="str">
        <f>IF($C1644="","",Registro_Compras!$C$186)</f>
        <v/>
      </c>
    </row>
    <row r="1645" spans="1:8" x14ac:dyDescent="0.25">
      <c r="A1645" s="25" t="str">
        <f>IF($C1645="","",Registro_Compras!$B$186)</f>
        <v/>
      </c>
      <c r="B1645" t="str">
        <f>IF($C1645="","","C"&amp;TEXT(INT((ROW()-5)/9)+1,"000")&amp;"-1")</f>
        <v/>
      </c>
      <c r="C1645" t="str">
        <f>IF(OR(Registro_Compras!$C$186="",Registro_Compras!$O$186=""),"",IF(Registro_Compras!$F$186="NOTA DE CREDITO",IF(Registro_Compras!$K$186=0,"","40111"),"4212"))</f>
        <v/>
      </c>
      <c r="D1645" t="str">
        <f>IF(OR(Registro_Compras!$C$186="",Registro_Compras!$O$186=""),"",IF(Registro_Compras!$F$186="NOTA DE CREDITO","IGV - Cuenta Propia (Credito Fiscal)","Cuentas por Pagar Comerciales - Terceros (Emitidas)"))</f>
        <v/>
      </c>
      <c r="E1645" s="20" t="str">
        <f>""</f>
        <v/>
      </c>
      <c r="F1645" s="20" t="str">
        <f>IF($C1645="","",IF(Registro_Compras!$F$186="NOTA DE CREDITO",ROUND(ABS(Registro_Compras!$K$186*Registro_Compras!$N$186),2),IF(Registro_Compras!$F$186="RHE",(ROUND(Registro_Compras!$L$186*Registro_Compras!$N$186,2)-ROUND(Registro_Compras!$V$186*Registro_Compras!$N$186,2)),Registro_Compras!$O$186)))</f>
        <v/>
      </c>
      <c r="G1645" t="str">
        <f>IF($C1645="","",IF(Registro_Compras!$F$186="NOTA DE CREDITO","Por la nota de credito "&amp;Registro_Compras!$C$186&amp;" de "&amp;Registro_Compras!$E$186&amp;" [PATRON POR CONFIRMAR CON CONTADOR]",IF(Registro_Compras!$F$186="RHE","Por el registro del recibo por honorarios "&amp;Registro_Compras!$C$186&amp;" de "&amp;Registro_Compras!$E$186&amp;" [PATRON POR CONFIRMAR CON CONTADOR]","Por el registro de la factura "&amp;Registro_Compras!$C$186&amp;" de "&amp;Registro_Compras!$E$186)))</f>
        <v/>
      </c>
      <c r="H1645" t="str">
        <f>IF($C1645="","",Registro_Compras!$C$186)</f>
        <v/>
      </c>
    </row>
    <row r="1646" spans="1:8" x14ac:dyDescent="0.25">
      <c r="A1646" s="25" t="str">
        <f>IF($C1646="","",Registro_Compras!$B$186)</f>
        <v/>
      </c>
      <c r="B1646" t="str">
        <f>IF($C1646="","","C"&amp;TEXT(INT((ROW()-5)/9)+1,"000")&amp;"-2")</f>
        <v/>
      </c>
      <c r="C1646" t="str">
        <f>IF(OR(Registro_Compras!$C$186="",Registro_Compras!$O$186=""),"",IF(Registro_Compras!$AB$186="ADMINISTRATIVO","94","95"))</f>
        <v/>
      </c>
      <c r="D1646" t="str">
        <f>IF(OR(Registro_Compras!$C$186="",Registro_Compras!$O$186=""),"",IF(Registro_Compras!$AB$186="ADMINISTRATIVO","Gastos Administrativos","Gastos de Venta y Operacion"))</f>
        <v/>
      </c>
      <c r="E1646" s="20" t="str">
        <f>IF($C1646="","",IF(Registro_Compras!$F$186="NOTA DE CREDITO","",IF(Registro_Compras!$F$186="RHE",ROUND(Registro_Compras!$L$186*Registro_Compras!$N$186,2),ROUND(Registro_Compras!$J$186*Registro_Compras!$N$186,2))))</f>
        <v/>
      </c>
      <c r="F1646" s="20" t="str">
        <f>IF($C1646="","",IF(Registro_Compras!$F$186="NOTA DE CREDITO",ROUND(ABS(Registro_Compras!$J$186*Registro_Compras!$N$186),2),""))</f>
        <v/>
      </c>
      <c r="G1646" t="str">
        <f>IF($C1646="","","Por el destino del gasto")</f>
        <v/>
      </c>
      <c r="H1646" t="str">
        <f>IF($C1646="","",Registro_Compras!$C$186)</f>
        <v/>
      </c>
    </row>
    <row r="1647" spans="1:8" x14ac:dyDescent="0.25">
      <c r="A1647" s="25" t="str">
        <f>IF($C1647="","",Registro_Compras!$B$186)</f>
        <v/>
      </c>
      <c r="B1647" t="str">
        <f>IF($C1647="","","C"&amp;TEXT(INT((ROW()-5)/9)+1,"000")&amp;"-2")</f>
        <v/>
      </c>
      <c r="C1647" t="str">
        <f>IF(OR(Registro_Compras!$C$186="",Registro_Compras!$O$186=""),"","79/791")</f>
        <v/>
      </c>
      <c r="D1647" t="str">
        <f>IF(OR(Registro_Compras!$C$186="",Registro_Compras!$O$186=""),"","Cargas Imputables a Cuentas de Costos y Gastos")</f>
        <v/>
      </c>
      <c r="E1647" s="20" t="str">
        <f>IF($C1647="","",IF(Registro_Compras!$F$186="NOTA DE CREDITO",ROUND(ABS(Registro_Compras!$J$186*Registro_Compras!$N$186),2),""))</f>
        <v/>
      </c>
      <c r="F1647" s="20" t="str">
        <f>IF($C1647="","",IF(Registro_Compras!$F$186="NOTA DE CREDITO","",IF(Registro_Compras!$F$186="RHE",ROUND(Registro_Compras!$L$186*Registro_Compras!$N$186,2),ROUND(Registro_Compras!$J$186*Registro_Compras!$N$186,2))))</f>
        <v/>
      </c>
      <c r="G1647" t="str">
        <f>IF($C1647="","","Por el destino del gasto")</f>
        <v/>
      </c>
      <c r="H1647" t="str">
        <f>IF($C1647="","",Registro_Compras!$C$186)</f>
        <v/>
      </c>
    </row>
    <row r="1648" spans="1:8" x14ac:dyDescent="0.25">
      <c r="A1648" s="25" t="str">
        <f>IF($C1648="","",Registro_Compras!$X$186)</f>
        <v/>
      </c>
      <c r="B1648" t="str">
        <f>IF($C1648="","","C"&amp;TEXT(INT((ROW()-5)/9)+1,"000")&amp;"-3")</f>
        <v/>
      </c>
      <c r="C1648" t="str">
        <f>IF(OR(Registro_Compras!$C$186="",Registro_Compras!$O$186="",Registro_Compras!$R$186&lt;&gt;"SI",Registro_Compras!$X$186=""),"","4212")</f>
        <v/>
      </c>
      <c r="D1648" t="str">
        <f>IF(OR(Registro_Compras!$C$186="",Registro_Compras!$O$186=""),"","Cuentas por Pagar Comerciales - Terceros")</f>
        <v/>
      </c>
      <c r="E1648" s="20" t="str">
        <f>IF($C1648="","",Registro_Compras!$S$186)</f>
        <v/>
      </c>
      <c r="F1648" s="20" t="str">
        <f>""</f>
        <v/>
      </c>
      <c r="G1648" t="str">
        <f>IF($C1648="","","Por el deposito de la detraccion en el Banco de la Nacion")</f>
        <v/>
      </c>
      <c r="H1648" t="str">
        <f>IF($C1648="","",Registro_Compras!$C$186)</f>
        <v/>
      </c>
    </row>
    <row r="1649" spans="1:8" x14ac:dyDescent="0.25">
      <c r="A1649" s="25" t="str">
        <f>IF($C1649="","",Registro_Compras!$X$186)</f>
        <v/>
      </c>
      <c r="B1649" t="str">
        <f>IF($C1649="","","C"&amp;TEXT(INT((ROW()-5)/9)+1,"000")&amp;"-3")</f>
        <v/>
      </c>
      <c r="C1649" t="str">
        <f>IF(OR(Registro_Compras!$C$186="",Registro_Compras!$O$186="",Registro_Compras!$R$186&lt;&gt;"SI",Registro_Compras!$X$186=""),"","1041")</f>
        <v/>
      </c>
      <c r="D1649" t="str">
        <f>IF(OR(Registro_Compras!$C$186="",Registro_Compras!$O$186=""),"","Efectivo y Equivalentes - Cta. Cte. Operativa")</f>
        <v/>
      </c>
      <c r="E1649" s="20" t="str">
        <f>""</f>
        <v/>
      </c>
      <c r="F1649" s="20" t="str">
        <f>IF($C1649="","",Registro_Compras!$S$186)</f>
        <v/>
      </c>
      <c r="G1649" t="str">
        <f>IF($C1649="","","Por el deposito de la detraccion en el Banco de la Nacion")</f>
        <v/>
      </c>
      <c r="H1649" t="str">
        <f>IF($C1649="","",Registro_Compras!$C$186)</f>
        <v/>
      </c>
    </row>
    <row r="1650" spans="1:8" x14ac:dyDescent="0.25">
      <c r="A1650" s="25" t="str">
        <f>IF($C1650="","",Registro_Compras!$Y$186)</f>
        <v/>
      </c>
      <c r="B1650" t="str">
        <f>IF($C1650="","","C"&amp;TEXT(INT((ROW()-5)/9)+1,"000")&amp;"-4")</f>
        <v/>
      </c>
      <c r="C1650" t="str">
        <f>IF(OR(Registro_Compras!$C$186="",Registro_Compras!$O$186="",Registro_Compras!$Y$186="",Registro_Compras!$F$186="NOTA DE CREDITO"),"","4212")</f>
        <v/>
      </c>
      <c r="D1650" t="str">
        <f>IF(OR(Registro_Compras!$C$186="",Registro_Compras!$O$186=""),"","Cuentas por Pagar Comerciales - Terceros")</f>
        <v/>
      </c>
      <c r="E1650" s="20" t="str">
        <f>IF($C1650="","",IF(Registro_Compras!$F$186="RHE",(ROUND(Registro_Compras!$L$186*Registro_Compras!$N$186,2)-ROUND(Registro_Compras!$V$186*Registro_Compras!$N$186,2)),ROUND(Registro_Compras!$O$186-Registro_Compras!$S$186,2)))</f>
        <v/>
      </c>
      <c r="F1650" s="20" t="str">
        <f>""</f>
        <v/>
      </c>
      <c r="G1650" t="str">
        <f>IF($C1650="","","Por la cancelacion del saldo al proveedor")</f>
        <v/>
      </c>
      <c r="H1650" t="str">
        <f>IF($C1650="","",Registro_Compras!$C$186)</f>
        <v/>
      </c>
    </row>
    <row r="1651" spans="1:8" x14ac:dyDescent="0.25">
      <c r="A1651" s="25" t="str">
        <f>IF($C1651="","",Registro_Compras!$Y$186)</f>
        <v/>
      </c>
      <c r="B1651" t="str">
        <f>IF($C1651="","","C"&amp;TEXT(INT((ROW()-5)/9)+1,"000")&amp;"-4")</f>
        <v/>
      </c>
      <c r="C1651" t="str">
        <f>IF(OR(Registro_Compras!$C$186="",Registro_Compras!$O$186="",Registro_Compras!$Y$186="",Registro_Compras!$F$186="NOTA DE CREDITO"),"","1041")</f>
        <v/>
      </c>
      <c r="D1651" t="str">
        <f>IF(OR(Registro_Compras!$C$186="",Registro_Compras!$O$186=""),"","Efectivo y Equivalentes - Cta. Cte. Operativa")</f>
        <v/>
      </c>
      <c r="E1651" s="20" t="str">
        <f>""</f>
        <v/>
      </c>
      <c r="F1651" s="20" t="str">
        <f>IF($C1651="","",IF(Registro_Compras!$F$186="RHE",(ROUND(Registro_Compras!$L$186*Registro_Compras!$N$186,2)-ROUND(Registro_Compras!$V$186*Registro_Compras!$N$186,2)),ROUND(Registro_Compras!$O$186-Registro_Compras!$S$186,2)))</f>
        <v/>
      </c>
      <c r="G1651" t="str">
        <f>IF($C1651="","","Por la cancelacion del saldo al proveedor")</f>
        <v/>
      </c>
      <c r="H1651" t="str">
        <f>IF($C1651="","",Registro_Compras!$C$186)</f>
        <v/>
      </c>
    </row>
    <row r="1652" spans="1:8" x14ac:dyDescent="0.25">
      <c r="A1652" s="25" t="str">
        <f>IF($C1652="","",Registro_Compras!$B$187)</f>
        <v/>
      </c>
      <c r="B1652" t="str">
        <f>IF($C1652="","","C"&amp;TEXT(INT((ROW()-5)/9)+1,"000")&amp;"-1")</f>
        <v/>
      </c>
      <c r="C1652" t="str">
        <f>IF(OR(Registro_Compras!$C$187="",Registro_Compras!$O$187=""),"",IF(Registro_Compras!$F$187="NOTA DE CREDITO","4212",IF(Registro_Compras!$M$187="","63",Registro_Compras!$M$187)))</f>
        <v/>
      </c>
      <c r="D1652" t="str">
        <f>IF(OR(Registro_Compras!$C$187="",Registro_Compras!$O$187=""),"",IF(Registro_Compras!$F$187="NOTA DE CREDITO","Cuentas por Pagar Comerciales - Terceros (Emitidas)",IF(Registro_Compras!$F$187="RHE","Honorarios Profesionales - Servicios de Terceros","Gastos de Servicios Prestados por Terceros")))</f>
        <v/>
      </c>
      <c r="E1652" s="20" t="str">
        <f>IF($C1652="","",IF(Registro_Compras!$F$187="NOTA DE CREDITO",ABS(Registro_Compras!$O$187),IF(Registro_Compras!$F$187="RHE",ROUND(Registro_Compras!$L$187*Registro_Compras!$N$187,2),ROUND(Registro_Compras!$J$187*Registro_Compras!$N$187,2))))</f>
        <v/>
      </c>
      <c r="F1652" s="20" t="str">
        <f>""</f>
        <v/>
      </c>
      <c r="G1652" t="str">
        <f>IF($C1652="","",IF(Registro_Compras!$F$187="NOTA DE CREDITO","Por la nota de credito "&amp;Registro_Compras!$C$187&amp;" de "&amp;Registro_Compras!$E$187&amp;" [PATRON POR CONFIRMAR CON CONTADOR]",IF(Registro_Compras!$F$187="RHE","Por el registro del recibo por honorarios "&amp;Registro_Compras!$C$187&amp;" de "&amp;Registro_Compras!$E$187&amp;" [PATRON POR CONFIRMAR CON CONTADOR]","Por el registro de la factura "&amp;Registro_Compras!$C$187&amp;" de "&amp;Registro_Compras!$E$187)))</f>
        <v/>
      </c>
      <c r="H1652" t="str">
        <f>IF($C1652="","",Registro_Compras!$C$187)</f>
        <v/>
      </c>
    </row>
    <row r="1653" spans="1:8" x14ac:dyDescent="0.25">
      <c r="A1653" s="25" t="str">
        <f>IF($C1653="","",Registro_Compras!$B$187)</f>
        <v/>
      </c>
      <c r="B1653" t="str">
        <f>IF($C1653="","","C"&amp;TEXT(INT((ROW()-5)/9)+1,"000")&amp;"-1")</f>
        <v/>
      </c>
      <c r="C1653" t="str">
        <f>IF(OR(Registro_Compras!$C$187="",Registro_Compras!$O$187=""),"",IF(Registro_Compras!$F$187="RHE",IF(Registro_Compras!$V$187=0,"","4017"),IF(Registro_Compras!$F$187="NOTA DE CREDITO",IF(Registro_Compras!$M$187="","63",Registro_Compras!$M$187),IF(Registro_Compras!$K$187=0,"","40111"))))</f>
        <v/>
      </c>
      <c r="D1653" t="str">
        <f>IF(OR(Registro_Compras!$C$187="",Registro_Compras!$O$187=""),"",IF(Registro_Compras!$F$187="RHE","Retencion Renta 4ta Categoria por Pagar",IF(Registro_Compras!$F$187="NOTA DE CREDITO","Gastos de Servicios Prestados por Terceros","IGV - Cuenta Propia (Credito Fiscal)")))</f>
        <v/>
      </c>
      <c r="E1653" s="20" t="str">
        <f>IF($C1653="","",IF(Registro_Compras!$F$187="FACTURA",ROUND(Registro_Compras!$K$187*Registro_Compras!$N$187,2),""))</f>
        <v/>
      </c>
      <c r="F1653" s="20" t="str">
        <f>IF($C1653="","",IF(Registro_Compras!$F$187="RHE",ROUND(Registro_Compras!$V$187*Registro_Compras!$N$187,2),IF(Registro_Compras!$F$187="NOTA DE CREDITO",ROUND(ABS(Registro_Compras!$J$187*Registro_Compras!$N$187),2),"")))</f>
        <v/>
      </c>
      <c r="G1653" t="str">
        <f>IF($C1653="","",IF(Registro_Compras!$F$187="NOTA DE CREDITO","Por la nota de credito "&amp;Registro_Compras!$C$187&amp;" de "&amp;Registro_Compras!$E$187&amp;" [PATRON POR CONFIRMAR CON CONTADOR]",IF(Registro_Compras!$F$187="RHE","Por el registro del recibo por honorarios "&amp;Registro_Compras!$C$187&amp;" de "&amp;Registro_Compras!$E$187&amp;" [PATRON POR CONFIRMAR CON CONTADOR]","Por el registro de la factura "&amp;Registro_Compras!$C$187&amp;" de "&amp;Registro_Compras!$E$187)))</f>
        <v/>
      </c>
      <c r="H1653" t="str">
        <f>IF($C1653="","",Registro_Compras!$C$187)</f>
        <v/>
      </c>
    </row>
    <row r="1654" spans="1:8" x14ac:dyDescent="0.25">
      <c r="A1654" s="25" t="str">
        <f>IF($C1654="","",Registro_Compras!$B$187)</f>
        <v/>
      </c>
      <c r="B1654" t="str">
        <f>IF($C1654="","","C"&amp;TEXT(INT((ROW()-5)/9)+1,"000")&amp;"-1")</f>
        <v/>
      </c>
      <c r="C1654" t="str">
        <f>IF(OR(Registro_Compras!$C$187="",Registro_Compras!$O$187=""),"",IF(Registro_Compras!$F$187="NOTA DE CREDITO",IF(Registro_Compras!$K$187=0,"","40111"),"4212"))</f>
        <v/>
      </c>
      <c r="D1654" t="str">
        <f>IF(OR(Registro_Compras!$C$187="",Registro_Compras!$O$187=""),"",IF(Registro_Compras!$F$187="NOTA DE CREDITO","IGV - Cuenta Propia (Credito Fiscal)","Cuentas por Pagar Comerciales - Terceros (Emitidas)"))</f>
        <v/>
      </c>
      <c r="E1654" s="20" t="str">
        <f>""</f>
        <v/>
      </c>
      <c r="F1654" s="20" t="str">
        <f>IF($C1654="","",IF(Registro_Compras!$F$187="NOTA DE CREDITO",ROUND(ABS(Registro_Compras!$K$187*Registro_Compras!$N$187),2),IF(Registro_Compras!$F$187="RHE",(ROUND(Registro_Compras!$L$187*Registro_Compras!$N$187,2)-ROUND(Registro_Compras!$V$187*Registro_Compras!$N$187,2)),Registro_Compras!$O$187)))</f>
        <v/>
      </c>
      <c r="G1654" t="str">
        <f>IF($C1654="","",IF(Registro_Compras!$F$187="NOTA DE CREDITO","Por la nota de credito "&amp;Registro_Compras!$C$187&amp;" de "&amp;Registro_Compras!$E$187&amp;" [PATRON POR CONFIRMAR CON CONTADOR]",IF(Registro_Compras!$F$187="RHE","Por el registro del recibo por honorarios "&amp;Registro_Compras!$C$187&amp;" de "&amp;Registro_Compras!$E$187&amp;" [PATRON POR CONFIRMAR CON CONTADOR]","Por el registro de la factura "&amp;Registro_Compras!$C$187&amp;" de "&amp;Registro_Compras!$E$187)))</f>
        <v/>
      </c>
      <c r="H1654" t="str">
        <f>IF($C1654="","",Registro_Compras!$C$187)</f>
        <v/>
      </c>
    </row>
    <row r="1655" spans="1:8" x14ac:dyDescent="0.25">
      <c r="A1655" s="25" t="str">
        <f>IF($C1655="","",Registro_Compras!$B$187)</f>
        <v/>
      </c>
      <c r="B1655" t="str">
        <f>IF($C1655="","","C"&amp;TEXT(INT((ROW()-5)/9)+1,"000")&amp;"-2")</f>
        <v/>
      </c>
      <c r="C1655" t="str">
        <f>IF(OR(Registro_Compras!$C$187="",Registro_Compras!$O$187=""),"",IF(Registro_Compras!$AB$187="ADMINISTRATIVO","94","95"))</f>
        <v/>
      </c>
      <c r="D1655" t="str">
        <f>IF(OR(Registro_Compras!$C$187="",Registro_Compras!$O$187=""),"",IF(Registro_Compras!$AB$187="ADMINISTRATIVO","Gastos Administrativos","Gastos de Venta y Operacion"))</f>
        <v/>
      </c>
      <c r="E1655" s="20" t="str">
        <f>IF($C1655="","",IF(Registro_Compras!$F$187="NOTA DE CREDITO","",IF(Registro_Compras!$F$187="RHE",ROUND(Registro_Compras!$L$187*Registro_Compras!$N$187,2),ROUND(Registro_Compras!$J$187*Registro_Compras!$N$187,2))))</f>
        <v/>
      </c>
      <c r="F1655" s="20" t="str">
        <f>IF($C1655="","",IF(Registro_Compras!$F$187="NOTA DE CREDITO",ROUND(ABS(Registro_Compras!$J$187*Registro_Compras!$N$187),2),""))</f>
        <v/>
      </c>
      <c r="G1655" t="str">
        <f>IF($C1655="","","Por el destino del gasto")</f>
        <v/>
      </c>
      <c r="H1655" t="str">
        <f>IF($C1655="","",Registro_Compras!$C$187)</f>
        <v/>
      </c>
    </row>
    <row r="1656" spans="1:8" x14ac:dyDescent="0.25">
      <c r="A1656" s="25" t="str">
        <f>IF($C1656="","",Registro_Compras!$B$187)</f>
        <v/>
      </c>
      <c r="B1656" t="str">
        <f>IF($C1656="","","C"&amp;TEXT(INT((ROW()-5)/9)+1,"000")&amp;"-2")</f>
        <v/>
      </c>
      <c r="C1656" t="str">
        <f>IF(OR(Registro_Compras!$C$187="",Registro_Compras!$O$187=""),"","79/791")</f>
        <v/>
      </c>
      <c r="D1656" t="str">
        <f>IF(OR(Registro_Compras!$C$187="",Registro_Compras!$O$187=""),"","Cargas Imputables a Cuentas de Costos y Gastos")</f>
        <v/>
      </c>
      <c r="E1656" s="20" t="str">
        <f>IF($C1656="","",IF(Registro_Compras!$F$187="NOTA DE CREDITO",ROUND(ABS(Registro_Compras!$J$187*Registro_Compras!$N$187),2),""))</f>
        <v/>
      </c>
      <c r="F1656" s="20" t="str">
        <f>IF($C1656="","",IF(Registro_Compras!$F$187="NOTA DE CREDITO","",IF(Registro_Compras!$F$187="RHE",ROUND(Registro_Compras!$L$187*Registro_Compras!$N$187,2),ROUND(Registro_Compras!$J$187*Registro_Compras!$N$187,2))))</f>
        <v/>
      </c>
      <c r="G1656" t="str">
        <f>IF($C1656="","","Por el destino del gasto")</f>
        <v/>
      </c>
      <c r="H1656" t="str">
        <f>IF($C1656="","",Registro_Compras!$C$187)</f>
        <v/>
      </c>
    </row>
    <row r="1657" spans="1:8" x14ac:dyDescent="0.25">
      <c r="A1657" s="25" t="str">
        <f>IF($C1657="","",Registro_Compras!$X$187)</f>
        <v/>
      </c>
      <c r="B1657" t="str">
        <f>IF($C1657="","","C"&amp;TEXT(INT((ROW()-5)/9)+1,"000")&amp;"-3")</f>
        <v/>
      </c>
      <c r="C1657" t="str">
        <f>IF(OR(Registro_Compras!$C$187="",Registro_Compras!$O$187="",Registro_Compras!$R$187&lt;&gt;"SI",Registro_Compras!$X$187=""),"","4212")</f>
        <v/>
      </c>
      <c r="D1657" t="str">
        <f>IF(OR(Registro_Compras!$C$187="",Registro_Compras!$O$187=""),"","Cuentas por Pagar Comerciales - Terceros")</f>
        <v/>
      </c>
      <c r="E1657" s="20" t="str">
        <f>IF($C1657="","",Registro_Compras!$S$187)</f>
        <v/>
      </c>
      <c r="F1657" s="20" t="str">
        <f>""</f>
        <v/>
      </c>
      <c r="G1657" t="str">
        <f>IF($C1657="","","Por el deposito de la detraccion en el Banco de la Nacion")</f>
        <v/>
      </c>
      <c r="H1657" t="str">
        <f>IF($C1657="","",Registro_Compras!$C$187)</f>
        <v/>
      </c>
    </row>
    <row r="1658" spans="1:8" x14ac:dyDescent="0.25">
      <c r="A1658" s="25" t="str">
        <f>IF($C1658="","",Registro_Compras!$X$187)</f>
        <v/>
      </c>
      <c r="B1658" t="str">
        <f>IF($C1658="","","C"&amp;TEXT(INT((ROW()-5)/9)+1,"000")&amp;"-3")</f>
        <v/>
      </c>
      <c r="C1658" t="str">
        <f>IF(OR(Registro_Compras!$C$187="",Registro_Compras!$O$187="",Registro_Compras!$R$187&lt;&gt;"SI",Registro_Compras!$X$187=""),"","1041")</f>
        <v/>
      </c>
      <c r="D1658" t="str">
        <f>IF(OR(Registro_Compras!$C$187="",Registro_Compras!$O$187=""),"","Efectivo y Equivalentes - Cta. Cte. Operativa")</f>
        <v/>
      </c>
      <c r="E1658" s="20" t="str">
        <f>""</f>
        <v/>
      </c>
      <c r="F1658" s="20" t="str">
        <f>IF($C1658="","",Registro_Compras!$S$187)</f>
        <v/>
      </c>
      <c r="G1658" t="str">
        <f>IF($C1658="","","Por el deposito de la detraccion en el Banco de la Nacion")</f>
        <v/>
      </c>
      <c r="H1658" t="str">
        <f>IF($C1658="","",Registro_Compras!$C$187)</f>
        <v/>
      </c>
    </row>
    <row r="1659" spans="1:8" x14ac:dyDescent="0.25">
      <c r="A1659" s="25" t="str">
        <f>IF($C1659="","",Registro_Compras!$Y$187)</f>
        <v/>
      </c>
      <c r="B1659" t="str">
        <f>IF($C1659="","","C"&amp;TEXT(INT((ROW()-5)/9)+1,"000")&amp;"-4")</f>
        <v/>
      </c>
      <c r="C1659" t="str">
        <f>IF(OR(Registro_Compras!$C$187="",Registro_Compras!$O$187="",Registro_Compras!$Y$187="",Registro_Compras!$F$187="NOTA DE CREDITO"),"","4212")</f>
        <v/>
      </c>
      <c r="D1659" t="str">
        <f>IF(OR(Registro_Compras!$C$187="",Registro_Compras!$O$187=""),"","Cuentas por Pagar Comerciales - Terceros")</f>
        <v/>
      </c>
      <c r="E1659" s="20" t="str">
        <f>IF($C1659="","",IF(Registro_Compras!$F$187="RHE",(ROUND(Registro_Compras!$L$187*Registro_Compras!$N$187,2)-ROUND(Registro_Compras!$V$187*Registro_Compras!$N$187,2)),ROUND(Registro_Compras!$O$187-Registro_Compras!$S$187,2)))</f>
        <v/>
      </c>
      <c r="F1659" s="20" t="str">
        <f>""</f>
        <v/>
      </c>
      <c r="G1659" t="str">
        <f>IF($C1659="","","Por la cancelacion del saldo al proveedor")</f>
        <v/>
      </c>
      <c r="H1659" t="str">
        <f>IF($C1659="","",Registro_Compras!$C$187)</f>
        <v/>
      </c>
    </row>
    <row r="1660" spans="1:8" x14ac:dyDescent="0.25">
      <c r="A1660" s="25" t="str">
        <f>IF($C1660="","",Registro_Compras!$Y$187)</f>
        <v/>
      </c>
      <c r="B1660" t="str">
        <f>IF($C1660="","","C"&amp;TEXT(INT((ROW()-5)/9)+1,"000")&amp;"-4")</f>
        <v/>
      </c>
      <c r="C1660" t="str">
        <f>IF(OR(Registro_Compras!$C$187="",Registro_Compras!$O$187="",Registro_Compras!$Y$187="",Registro_Compras!$F$187="NOTA DE CREDITO"),"","1041")</f>
        <v/>
      </c>
      <c r="D1660" t="str">
        <f>IF(OR(Registro_Compras!$C$187="",Registro_Compras!$O$187=""),"","Efectivo y Equivalentes - Cta. Cte. Operativa")</f>
        <v/>
      </c>
      <c r="E1660" s="20" t="str">
        <f>""</f>
        <v/>
      </c>
      <c r="F1660" s="20" t="str">
        <f>IF($C1660="","",IF(Registro_Compras!$F$187="RHE",(ROUND(Registro_Compras!$L$187*Registro_Compras!$N$187,2)-ROUND(Registro_Compras!$V$187*Registro_Compras!$N$187,2)),ROUND(Registro_Compras!$O$187-Registro_Compras!$S$187,2)))</f>
        <v/>
      </c>
      <c r="G1660" t="str">
        <f>IF($C1660="","","Por la cancelacion del saldo al proveedor")</f>
        <v/>
      </c>
      <c r="H1660" t="str">
        <f>IF($C1660="","",Registro_Compras!$C$187)</f>
        <v/>
      </c>
    </row>
    <row r="1661" spans="1:8" x14ac:dyDescent="0.25">
      <c r="A1661" s="25" t="str">
        <f>IF($C1661="","",Registro_Compras!$B$188)</f>
        <v/>
      </c>
      <c r="B1661" t="str">
        <f>IF($C1661="","","C"&amp;TEXT(INT((ROW()-5)/9)+1,"000")&amp;"-1")</f>
        <v/>
      </c>
      <c r="C1661" t="str">
        <f>IF(OR(Registro_Compras!$C$188="",Registro_Compras!$O$188=""),"",IF(Registro_Compras!$F$188="NOTA DE CREDITO","4212",IF(Registro_Compras!$M$188="","63",Registro_Compras!$M$188)))</f>
        <v/>
      </c>
      <c r="D1661" t="str">
        <f>IF(OR(Registro_Compras!$C$188="",Registro_Compras!$O$188=""),"",IF(Registro_Compras!$F$188="NOTA DE CREDITO","Cuentas por Pagar Comerciales - Terceros (Emitidas)",IF(Registro_Compras!$F$188="RHE","Honorarios Profesionales - Servicios de Terceros","Gastos de Servicios Prestados por Terceros")))</f>
        <v/>
      </c>
      <c r="E1661" s="20" t="str">
        <f>IF($C1661="","",IF(Registro_Compras!$F$188="NOTA DE CREDITO",ABS(Registro_Compras!$O$188),IF(Registro_Compras!$F$188="RHE",ROUND(Registro_Compras!$L$188*Registro_Compras!$N$188,2),ROUND(Registro_Compras!$J$188*Registro_Compras!$N$188,2))))</f>
        <v/>
      </c>
      <c r="F1661" s="20" t="str">
        <f>""</f>
        <v/>
      </c>
      <c r="G1661" t="str">
        <f>IF($C1661="","",IF(Registro_Compras!$F$188="NOTA DE CREDITO","Por la nota de credito "&amp;Registro_Compras!$C$188&amp;" de "&amp;Registro_Compras!$E$188&amp;" [PATRON POR CONFIRMAR CON CONTADOR]",IF(Registro_Compras!$F$188="RHE","Por el registro del recibo por honorarios "&amp;Registro_Compras!$C$188&amp;" de "&amp;Registro_Compras!$E$188&amp;" [PATRON POR CONFIRMAR CON CONTADOR]","Por el registro de la factura "&amp;Registro_Compras!$C$188&amp;" de "&amp;Registro_Compras!$E$188)))</f>
        <v/>
      </c>
      <c r="H1661" t="str">
        <f>IF($C1661="","",Registro_Compras!$C$188)</f>
        <v/>
      </c>
    </row>
    <row r="1662" spans="1:8" x14ac:dyDescent="0.25">
      <c r="A1662" s="25" t="str">
        <f>IF($C1662="","",Registro_Compras!$B$188)</f>
        <v/>
      </c>
      <c r="B1662" t="str">
        <f>IF($C1662="","","C"&amp;TEXT(INT((ROW()-5)/9)+1,"000")&amp;"-1")</f>
        <v/>
      </c>
      <c r="C1662" t="str">
        <f>IF(OR(Registro_Compras!$C$188="",Registro_Compras!$O$188=""),"",IF(Registro_Compras!$F$188="RHE",IF(Registro_Compras!$V$188=0,"","4017"),IF(Registro_Compras!$F$188="NOTA DE CREDITO",IF(Registro_Compras!$M$188="","63",Registro_Compras!$M$188),IF(Registro_Compras!$K$188=0,"","40111"))))</f>
        <v/>
      </c>
      <c r="D1662" t="str">
        <f>IF(OR(Registro_Compras!$C$188="",Registro_Compras!$O$188=""),"",IF(Registro_Compras!$F$188="RHE","Retencion Renta 4ta Categoria por Pagar",IF(Registro_Compras!$F$188="NOTA DE CREDITO","Gastos de Servicios Prestados por Terceros","IGV - Cuenta Propia (Credito Fiscal)")))</f>
        <v/>
      </c>
      <c r="E1662" s="20" t="str">
        <f>IF($C1662="","",IF(Registro_Compras!$F$188="FACTURA",ROUND(Registro_Compras!$K$188*Registro_Compras!$N$188,2),""))</f>
        <v/>
      </c>
      <c r="F1662" s="20" t="str">
        <f>IF($C1662="","",IF(Registro_Compras!$F$188="RHE",ROUND(Registro_Compras!$V$188*Registro_Compras!$N$188,2),IF(Registro_Compras!$F$188="NOTA DE CREDITO",ROUND(ABS(Registro_Compras!$J$188*Registro_Compras!$N$188),2),"")))</f>
        <v/>
      </c>
      <c r="G1662" t="str">
        <f>IF($C1662="","",IF(Registro_Compras!$F$188="NOTA DE CREDITO","Por la nota de credito "&amp;Registro_Compras!$C$188&amp;" de "&amp;Registro_Compras!$E$188&amp;" [PATRON POR CONFIRMAR CON CONTADOR]",IF(Registro_Compras!$F$188="RHE","Por el registro del recibo por honorarios "&amp;Registro_Compras!$C$188&amp;" de "&amp;Registro_Compras!$E$188&amp;" [PATRON POR CONFIRMAR CON CONTADOR]","Por el registro de la factura "&amp;Registro_Compras!$C$188&amp;" de "&amp;Registro_Compras!$E$188)))</f>
        <v/>
      </c>
      <c r="H1662" t="str">
        <f>IF($C1662="","",Registro_Compras!$C$188)</f>
        <v/>
      </c>
    </row>
    <row r="1663" spans="1:8" x14ac:dyDescent="0.25">
      <c r="A1663" s="25" t="str">
        <f>IF($C1663="","",Registro_Compras!$B$188)</f>
        <v/>
      </c>
      <c r="B1663" t="str">
        <f>IF($C1663="","","C"&amp;TEXT(INT((ROW()-5)/9)+1,"000")&amp;"-1")</f>
        <v/>
      </c>
      <c r="C1663" t="str">
        <f>IF(OR(Registro_Compras!$C$188="",Registro_Compras!$O$188=""),"",IF(Registro_Compras!$F$188="NOTA DE CREDITO",IF(Registro_Compras!$K$188=0,"","40111"),"4212"))</f>
        <v/>
      </c>
      <c r="D1663" t="str">
        <f>IF(OR(Registro_Compras!$C$188="",Registro_Compras!$O$188=""),"",IF(Registro_Compras!$F$188="NOTA DE CREDITO","IGV - Cuenta Propia (Credito Fiscal)","Cuentas por Pagar Comerciales - Terceros (Emitidas)"))</f>
        <v/>
      </c>
      <c r="E1663" s="20" t="str">
        <f>""</f>
        <v/>
      </c>
      <c r="F1663" s="20" t="str">
        <f>IF($C1663="","",IF(Registro_Compras!$F$188="NOTA DE CREDITO",ROUND(ABS(Registro_Compras!$K$188*Registro_Compras!$N$188),2),IF(Registro_Compras!$F$188="RHE",(ROUND(Registro_Compras!$L$188*Registro_Compras!$N$188,2)-ROUND(Registro_Compras!$V$188*Registro_Compras!$N$188,2)),Registro_Compras!$O$188)))</f>
        <v/>
      </c>
      <c r="G1663" t="str">
        <f>IF($C1663="","",IF(Registro_Compras!$F$188="NOTA DE CREDITO","Por la nota de credito "&amp;Registro_Compras!$C$188&amp;" de "&amp;Registro_Compras!$E$188&amp;" [PATRON POR CONFIRMAR CON CONTADOR]",IF(Registro_Compras!$F$188="RHE","Por el registro del recibo por honorarios "&amp;Registro_Compras!$C$188&amp;" de "&amp;Registro_Compras!$E$188&amp;" [PATRON POR CONFIRMAR CON CONTADOR]","Por el registro de la factura "&amp;Registro_Compras!$C$188&amp;" de "&amp;Registro_Compras!$E$188)))</f>
        <v/>
      </c>
      <c r="H1663" t="str">
        <f>IF($C1663="","",Registro_Compras!$C$188)</f>
        <v/>
      </c>
    </row>
    <row r="1664" spans="1:8" x14ac:dyDescent="0.25">
      <c r="A1664" s="25" t="str">
        <f>IF($C1664="","",Registro_Compras!$B$188)</f>
        <v/>
      </c>
      <c r="B1664" t="str">
        <f>IF($C1664="","","C"&amp;TEXT(INT((ROW()-5)/9)+1,"000")&amp;"-2")</f>
        <v/>
      </c>
      <c r="C1664" t="str">
        <f>IF(OR(Registro_Compras!$C$188="",Registro_Compras!$O$188=""),"",IF(Registro_Compras!$AB$188="ADMINISTRATIVO","94","95"))</f>
        <v/>
      </c>
      <c r="D1664" t="str">
        <f>IF(OR(Registro_Compras!$C$188="",Registro_Compras!$O$188=""),"",IF(Registro_Compras!$AB$188="ADMINISTRATIVO","Gastos Administrativos","Gastos de Venta y Operacion"))</f>
        <v/>
      </c>
      <c r="E1664" s="20" t="str">
        <f>IF($C1664="","",IF(Registro_Compras!$F$188="NOTA DE CREDITO","",IF(Registro_Compras!$F$188="RHE",ROUND(Registro_Compras!$L$188*Registro_Compras!$N$188,2),ROUND(Registro_Compras!$J$188*Registro_Compras!$N$188,2))))</f>
        <v/>
      </c>
      <c r="F1664" s="20" t="str">
        <f>IF($C1664="","",IF(Registro_Compras!$F$188="NOTA DE CREDITO",ROUND(ABS(Registro_Compras!$J$188*Registro_Compras!$N$188),2),""))</f>
        <v/>
      </c>
      <c r="G1664" t="str">
        <f>IF($C1664="","","Por el destino del gasto")</f>
        <v/>
      </c>
      <c r="H1664" t="str">
        <f>IF($C1664="","",Registro_Compras!$C$188)</f>
        <v/>
      </c>
    </row>
    <row r="1665" spans="1:8" x14ac:dyDescent="0.25">
      <c r="A1665" s="25" t="str">
        <f>IF($C1665="","",Registro_Compras!$B$188)</f>
        <v/>
      </c>
      <c r="B1665" t="str">
        <f>IF($C1665="","","C"&amp;TEXT(INT((ROW()-5)/9)+1,"000")&amp;"-2")</f>
        <v/>
      </c>
      <c r="C1665" t="str">
        <f>IF(OR(Registro_Compras!$C$188="",Registro_Compras!$O$188=""),"","79/791")</f>
        <v/>
      </c>
      <c r="D1665" t="str">
        <f>IF(OR(Registro_Compras!$C$188="",Registro_Compras!$O$188=""),"","Cargas Imputables a Cuentas de Costos y Gastos")</f>
        <v/>
      </c>
      <c r="E1665" s="20" t="str">
        <f>IF($C1665="","",IF(Registro_Compras!$F$188="NOTA DE CREDITO",ROUND(ABS(Registro_Compras!$J$188*Registro_Compras!$N$188),2),""))</f>
        <v/>
      </c>
      <c r="F1665" s="20" t="str">
        <f>IF($C1665="","",IF(Registro_Compras!$F$188="NOTA DE CREDITO","",IF(Registro_Compras!$F$188="RHE",ROUND(Registro_Compras!$L$188*Registro_Compras!$N$188,2),ROUND(Registro_Compras!$J$188*Registro_Compras!$N$188,2))))</f>
        <v/>
      </c>
      <c r="G1665" t="str">
        <f>IF($C1665="","","Por el destino del gasto")</f>
        <v/>
      </c>
      <c r="H1665" t="str">
        <f>IF($C1665="","",Registro_Compras!$C$188)</f>
        <v/>
      </c>
    </row>
    <row r="1666" spans="1:8" x14ac:dyDescent="0.25">
      <c r="A1666" s="25" t="str">
        <f>IF($C1666="","",Registro_Compras!$X$188)</f>
        <v/>
      </c>
      <c r="B1666" t="str">
        <f>IF($C1666="","","C"&amp;TEXT(INT((ROW()-5)/9)+1,"000")&amp;"-3")</f>
        <v/>
      </c>
      <c r="C1666" t="str">
        <f>IF(OR(Registro_Compras!$C$188="",Registro_Compras!$O$188="",Registro_Compras!$R$188&lt;&gt;"SI",Registro_Compras!$X$188=""),"","4212")</f>
        <v/>
      </c>
      <c r="D1666" t="str">
        <f>IF(OR(Registro_Compras!$C$188="",Registro_Compras!$O$188=""),"","Cuentas por Pagar Comerciales - Terceros")</f>
        <v/>
      </c>
      <c r="E1666" s="20" t="str">
        <f>IF($C1666="","",Registro_Compras!$S$188)</f>
        <v/>
      </c>
      <c r="F1666" s="20" t="str">
        <f>""</f>
        <v/>
      </c>
      <c r="G1666" t="str">
        <f>IF($C1666="","","Por el deposito de la detraccion en el Banco de la Nacion")</f>
        <v/>
      </c>
      <c r="H1666" t="str">
        <f>IF($C1666="","",Registro_Compras!$C$188)</f>
        <v/>
      </c>
    </row>
    <row r="1667" spans="1:8" x14ac:dyDescent="0.25">
      <c r="A1667" s="25" t="str">
        <f>IF($C1667="","",Registro_Compras!$X$188)</f>
        <v/>
      </c>
      <c r="B1667" t="str">
        <f>IF($C1667="","","C"&amp;TEXT(INT((ROW()-5)/9)+1,"000")&amp;"-3")</f>
        <v/>
      </c>
      <c r="C1667" t="str">
        <f>IF(OR(Registro_Compras!$C$188="",Registro_Compras!$O$188="",Registro_Compras!$R$188&lt;&gt;"SI",Registro_Compras!$X$188=""),"","1041")</f>
        <v/>
      </c>
      <c r="D1667" t="str">
        <f>IF(OR(Registro_Compras!$C$188="",Registro_Compras!$O$188=""),"","Efectivo y Equivalentes - Cta. Cte. Operativa")</f>
        <v/>
      </c>
      <c r="E1667" s="20" t="str">
        <f>""</f>
        <v/>
      </c>
      <c r="F1667" s="20" t="str">
        <f>IF($C1667="","",Registro_Compras!$S$188)</f>
        <v/>
      </c>
      <c r="G1667" t="str">
        <f>IF($C1667="","","Por el deposito de la detraccion en el Banco de la Nacion")</f>
        <v/>
      </c>
      <c r="H1667" t="str">
        <f>IF($C1667="","",Registro_Compras!$C$188)</f>
        <v/>
      </c>
    </row>
    <row r="1668" spans="1:8" x14ac:dyDescent="0.25">
      <c r="A1668" s="25" t="str">
        <f>IF($C1668="","",Registro_Compras!$Y$188)</f>
        <v/>
      </c>
      <c r="B1668" t="str">
        <f>IF($C1668="","","C"&amp;TEXT(INT((ROW()-5)/9)+1,"000")&amp;"-4")</f>
        <v/>
      </c>
      <c r="C1668" t="str">
        <f>IF(OR(Registro_Compras!$C$188="",Registro_Compras!$O$188="",Registro_Compras!$Y$188="",Registro_Compras!$F$188="NOTA DE CREDITO"),"","4212")</f>
        <v/>
      </c>
      <c r="D1668" t="str">
        <f>IF(OR(Registro_Compras!$C$188="",Registro_Compras!$O$188=""),"","Cuentas por Pagar Comerciales - Terceros")</f>
        <v/>
      </c>
      <c r="E1668" s="20" t="str">
        <f>IF($C1668="","",IF(Registro_Compras!$F$188="RHE",(ROUND(Registro_Compras!$L$188*Registro_Compras!$N$188,2)-ROUND(Registro_Compras!$V$188*Registro_Compras!$N$188,2)),ROUND(Registro_Compras!$O$188-Registro_Compras!$S$188,2)))</f>
        <v/>
      </c>
      <c r="F1668" s="20" t="str">
        <f>""</f>
        <v/>
      </c>
      <c r="G1668" t="str">
        <f>IF($C1668="","","Por la cancelacion del saldo al proveedor")</f>
        <v/>
      </c>
      <c r="H1668" t="str">
        <f>IF($C1668="","",Registro_Compras!$C$188)</f>
        <v/>
      </c>
    </row>
    <row r="1669" spans="1:8" x14ac:dyDescent="0.25">
      <c r="A1669" s="25" t="str">
        <f>IF($C1669="","",Registro_Compras!$Y$188)</f>
        <v/>
      </c>
      <c r="B1669" t="str">
        <f>IF($C1669="","","C"&amp;TEXT(INT((ROW()-5)/9)+1,"000")&amp;"-4")</f>
        <v/>
      </c>
      <c r="C1669" t="str">
        <f>IF(OR(Registro_Compras!$C$188="",Registro_Compras!$O$188="",Registro_Compras!$Y$188="",Registro_Compras!$F$188="NOTA DE CREDITO"),"","1041")</f>
        <v/>
      </c>
      <c r="D1669" t="str">
        <f>IF(OR(Registro_Compras!$C$188="",Registro_Compras!$O$188=""),"","Efectivo y Equivalentes - Cta. Cte. Operativa")</f>
        <v/>
      </c>
      <c r="E1669" s="20" t="str">
        <f>""</f>
        <v/>
      </c>
      <c r="F1669" s="20" t="str">
        <f>IF($C1669="","",IF(Registro_Compras!$F$188="RHE",(ROUND(Registro_Compras!$L$188*Registro_Compras!$N$188,2)-ROUND(Registro_Compras!$V$188*Registro_Compras!$N$188,2)),ROUND(Registro_Compras!$O$188-Registro_Compras!$S$188,2)))</f>
        <v/>
      </c>
      <c r="G1669" t="str">
        <f>IF($C1669="","","Por la cancelacion del saldo al proveedor")</f>
        <v/>
      </c>
      <c r="H1669" t="str">
        <f>IF($C1669="","",Registro_Compras!$C$188)</f>
        <v/>
      </c>
    </row>
    <row r="1670" spans="1:8" x14ac:dyDescent="0.25">
      <c r="A1670" s="25" t="str">
        <f>IF($C1670="","",Registro_Compras!$B$189)</f>
        <v/>
      </c>
      <c r="B1670" t="str">
        <f>IF($C1670="","","C"&amp;TEXT(INT((ROW()-5)/9)+1,"000")&amp;"-1")</f>
        <v/>
      </c>
      <c r="C1670" t="str">
        <f>IF(OR(Registro_Compras!$C$189="",Registro_Compras!$O$189=""),"",IF(Registro_Compras!$F$189="NOTA DE CREDITO","4212",IF(Registro_Compras!$M$189="","63",Registro_Compras!$M$189)))</f>
        <v/>
      </c>
      <c r="D1670" t="str">
        <f>IF(OR(Registro_Compras!$C$189="",Registro_Compras!$O$189=""),"",IF(Registro_Compras!$F$189="NOTA DE CREDITO","Cuentas por Pagar Comerciales - Terceros (Emitidas)",IF(Registro_Compras!$F$189="RHE","Honorarios Profesionales - Servicios de Terceros","Gastos de Servicios Prestados por Terceros")))</f>
        <v/>
      </c>
      <c r="E1670" s="20" t="str">
        <f>IF($C1670="","",IF(Registro_Compras!$F$189="NOTA DE CREDITO",ABS(Registro_Compras!$O$189),IF(Registro_Compras!$F$189="RHE",ROUND(Registro_Compras!$L$189*Registro_Compras!$N$189,2),ROUND(Registro_Compras!$J$189*Registro_Compras!$N$189,2))))</f>
        <v/>
      </c>
      <c r="F1670" s="20" t="str">
        <f>""</f>
        <v/>
      </c>
      <c r="G1670" t="str">
        <f>IF($C1670="","",IF(Registro_Compras!$F$189="NOTA DE CREDITO","Por la nota de credito "&amp;Registro_Compras!$C$189&amp;" de "&amp;Registro_Compras!$E$189&amp;" [PATRON POR CONFIRMAR CON CONTADOR]",IF(Registro_Compras!$F$189="RHE","Por el registro del recibo por honorarios "&amp;Registro_Compras!$C$189&amp;" de "&amp;Registro_Compras!$E$189&amp;" [PATRON POR CONFIRMAR CON CONTADOR]","Por el registro de la factura "&amp;Registro_Compras!$C$189&amp;" de "&amp;Registro_Compras!$E$189)))</f>
        <v/>
      </c>
      <c r="H1670" t="str">
        <f>IF($C1670="","",Registro_Compras!$C$189)</f>
        <v/>
      </c>
    </row>
    <row r="1671" spans="1:8" x14ac:dyDescent="0.25">
      <c r="A1671" s="25" t="str">
        <f>IF($C1671="","",Registro_Compras!$B$189)</f>
        <v/>
      </c>
      <c r="B1671" t="str">
        <f>IF($C1671="","","C"&amp;TEXT(INT((ROW()-5)/9)+1,"000")&amp;"-1")</f>
        <v/>
      </c>
      <c r="C1671" t="str">
        <f>IF(OR(Registro_Compras!$C$189="",Registro_Compras!$O$189=""),"",IF(Registro_Compras!$F$189="RHE",IF(Registro_Compras!$V$189=0,"","4017"),IF(Registro_Compras!$F$189="NOTA DE CREDITO",IF(Registro_Compras!$M$189="","63",Registro_Compras!$M$189),IF(Registro_Compras!$K$189=0,"","40111"))))</f>
        <v/>
      </c>
      <c r="D1671" t="str">
        <f>IF(OR(Registro_Compras!$C$189="",Registro_Compras!$O$189=""),"",IF(Registro_Compras!$F$189="RHE","Retencion Renta 4ta Categoria por Pagar",IF(Registro_Compras!$F$189="NOTA DE CREDITO","Gastos de Servicios Prestados por Terceros","IGV - Cuenta Propia (Credito Fiscal)")))</f>
        <v/>
      </c>
      <c r="E1671" s="20" t="str">
        <f>IF($C1671="","",IF(Registro_Compras!$F$189="FACTURA",ROUND(Registro_Compras!$K$189*Registro_Compras!$N$189,2),""))</f>
        <v/>
      </c>
      <c r="F1671" s="20" t="str">
        <f>IF($C1671="","",IF(Registro_Compras!$F$189="RHE",ROUND(Registro_Compras!$V$189*Registro_Compras!$N$189,2),IF(Registro_Compras!$F$189="NOTA DE CREDITO",ROUND(ABS(Registro_Compras!$J$189*Registro_Compras!$N$189),2),"")))</f>
        <v/>
      </c>
      <c r="G1671" t="str">
        <f>IF($C1671="","",IF(Registro_Compras!$F$189="NOTA DE CREDITO","Por la nota de credito "&amp;Registro_Compras!$C$189&amp;" de "&amp;Registro_Compras!$E$189&amp;" [PATRON POR CONFIRMAR CON CONTADOR]",IF(Registro_Compras!$F$189="RHE","Por el registro del recibo por honorarios "&amp;Registro_Compras!$C$189&amp;" de "&amp;Registro_Compras!$E$189&amp;" [PATRON POR CONFIRMAR CON CONTADOR]","Por el registro de la factura "&amp;Registro_Compras!$C$189&amp;" de "&amp;Registro_Compras!$E$189)))</f>
        <v/>
      </c>
      <c r="H1671" t="str">
        <f>IF($C1671="","",Registro_Compras!$C$189)</f>
        <v/>
      </c>
    </row>
    <row r="1672" spans="1:8" x14ac:dyDescent="0.25">
      <c r="A1672" s="25" t="str">
        <f>IF($C1672="","",Registro_Compras!$B$189)</f>
        <v/>
      </c>
      <c r="B1672" t="str">
        <f>IF($C1672="","","C"&amp;TEXT(INT((ROW()-5)/9)+1,"000")&amp;"-1")</f>
        <v/>
      </c>
      <c r="C1672" t="str">
        <f>IF(OR(Registro_Compras!$C$189="",Registro_Compras!$O$189=""),"",IF(Registro_Compras!$F$189="NOTA DE CREDITO",IF(Registro_Compras!$K$189=0,"","40111"),"4212"))</f>
        <v/>
      </c>
      <c r="D1672" t="str">
        <f>IF(OR(Registro_Compras!$C$189="",Registro_Compras!$O$189=""),"",IF(Registro_Compras!$F$189="NOTA DE CREDITO","IGV - Cuenta Propia (Credito Fiscal)","Cuentas por Pagar Comerciales - Terceros (Emitidas)"))</f>
        <v/>
      </c>
      <c r="E1672" s="20" t="str">
        <f>""</f>
        <v/>
      </c>
      <c r="F1672" s="20" t="str">
        <f>IF($C1672="","",IF(Registro_Compras!$F$189="NOTA DE CREDITO",ROUND(ABS(Registro_Compras!$K$189*Registro_Compras!$N$189),2),IF(Registro_Compras!$F$189="RHE",(ROUND(Registro_Compras!$L$189*Registro_Compras!$N$189,2)-ROUND(Registro_Compras!$V$189*Registro_Compras!$N$189,2)),Registro_Compras!$O$189)))</f>
        <v/>
      </c>
      <c r="G1672" t="str">
        <f>IF($C1672="","",IF(Registro_Compras!$F$189="NOTA DE CREDITO","Por la nota de credito "&amp;Registro_Compras!$C$189&amp;" de "&amp;Registro_Compras!$E$189&amp;" [PATRON POR CONFIRMAR CON CONTADOR]",IF(Registro_Compras!$F$189="RHE","Por el registro del recibo por honorarios "&amp;Registro_Compras!$C$189&amp;" de "&amp;Registro_Compras!$E$189&amp;" [PATRON POR CONFIRMAR CON CONTADOR]","Por el registro de la factura "&amp;Registro_Compras!$C$189&amp;" de "&amp;Registro_Compras!$E$189)))</f>
        <v/>
      </c>
      <c r="H1672" t="str">
        <f>IF($C1672="","",Registro_Compras!$C$189)</f>
        <v/>
      </c>
    </row>
    <row r="1673" spans="1:8" x14ac:dyDescent="0.25">
      <c r="A1673" s="25" t="str">
        <f>IF($C1673="","",Registro_Compras!$B$189)</f>
        <v/>
      </c>
      <c r="B1673" t="str">
        <f>IF($C1673="","","C"&amp;TEXT(INT((ROW()-5)/9)+1,"000")&amp;"-2")</f>
        <v/>
      </c>
      <c r="C1673" t="str">
        <f>IF(OR(Registro_Compras!$C$189="",Registro_Compras!$O$189=""),"",IF(Registro_Compras!$AB$189="ADMINISTRATIVO","94","95"))</f>
        <v/>
      </c>
      <c r="D1673" t="str">
        <f>IF(OR(Registro_Compras!$C$189="",Registro_Compras!$O$189=""),"",IF(Registro_Compras!$AB$189="ADMINISTRATIVO","Gastos Administrativos","Gastos de Venta y Operacion"))</f>
        <v/>
      </c>
      <c r="E1673" s="20" t="str">
        <f>IF($C1673="","",IF(Registro_Compras!$F$189="NOTA DE CREDITO","",IF(Registro_Compras!$F$189="RHE",ROUND(Registro_Compras!$L$189*Registro_Compras!$N$189,2),ROUND(Registro_Compras!$J$189*Registro_Compras!$N$189,2))))</f>
        <v/>
      </c>
      <c r="F1673" s="20" t="str">
        <f>IF($C1673="","",IF(Registro_Compras!$F$189="NOTA DE CREDITO",ROUND(ABS(Registro_Compras!$J$189*Registro_Compras!$N$189),2),""))</f>
        <v/>
      </c>
      <c r="G1673" t="str">
        <f>IF($C1673="","","Por el destino del gasto")</f>
        <v/>
      </c>
      <c r="H1673" t="str">
        <f>IF($C1673="","",Registro_Compras!$C$189)</f>
        <v/>
      </c>
    </row>
    <row r="1674" spans="1:8" x14ac:dyDescent="0.25">
      <c r="A1674" s="25" t="str">
        <f>IF($C1674="","",Registro_Compras!$B$189)</f>
        <v/>
      </c>
      <c r="B1674" t="str">
        <f>IF($C1674="","","C"&amp;TEXT(INT((ROW()-5)/9)+1,"000")&amp;"-2")</f>
        <v/>
      </c>
      <c r="C1674" t="str">
        <f>IF(OR(Registro_Compras!$C$189="",Registro_Compras!$O$189=""),"","79/791")</f>
        <v/>
      </c>
      <c r="D1674" t="str">
        <f>IF(OR(Registro_Compras!$C$189="",Registro_Compras!$O$189=""),"","Cargas Imputables a Cuentas de Costos y Gastos")</f>
        <v/>
      </c>
      <c r="E1674" s="20" t="str">
        <f>IF($C1674="","",IF(Registro_Compras!$F$189="NOTA DE CREDITO",ROUND(ABS(Registro_Compras!$J$189*Registro_Compras!$N$189),2),""))</f>
        <v/>
      </c>
      <c r="F1674" s="20" t="str">
        <f>IF($C1674="","",IF(Registro_Compras!$F$189="NOTA DE CREDITO","",IF(Registro_Compras!$F$189="RHE",ROUND(Registro_Compras!$L$189*Registro_Compras!$N$189,2),ROUND(Registro_Compras!$J$189*Registro_Compras!$N$189,2))))</f>
        <v/>
      </c>
      <c r="G1674" t="str">
        <f>IF($C1674="","","Por el destino del gasto")</f>
        <v/>
      </c>
      <c r="H1674" t="str">
        <f>IF($C1674="","",Registro_Compras!$C$189)</f>
        <v/>
      </c>
    </row>
    <row r="1675" spans="1:8" x14ac:dyDescent="0.25">
      <c r="A1675" s="25" t="str">
        <f>IF($C1675="","",Registro_Compras!$X$189)</f>
        <v/>
      </c>
      <c r="B1675" t="str">
        <f>IF($C1675="","","C"&amp;TEXT(INT((ROW()-5)/9)+1,"000")&amp;"-3")</f>
        <v/>
      </c>
      <c r="C1675" t="str">
        <f>IF(OR(Registro_Compras!$C$189="",Registro_Compras!$O$189="",Registro_Compras!$R$189&lt;&gt;"SI",Registro_Compras!$X$189=""),"","4212")</f>
        <v/>
      </c>
      <c r="D1675" t="str">
        <f>IF(OR(Registro_Compras!$C$189="",Registro_Compras!$O$189=""),"","Cuentas por Pagar Comerciales - Terceros")</f>
        <v/>
      </c>
      <c r="E1675" s="20" t="str">
        <f>IF($C1675="","",Registro_Compras!$S$189)</f>
        <v/>
      </c>
      <c r="F1675" s="20" t="str">
        <f>""</f>
        <v/>
      </c>
      <c r="G1675" t="str">
        <f>IF($C1675="","","Por el deposito de la detraccion en el Banco de la Nacion")</f>
        <v/>
      </c>
      <c r="H1675" t="str">
        <f>IF($C1675="","",Registro_Compras!$C$189)</f>
        <v/>
      </c>
    </row>
    <row r="1676" spans="1:8" x14ac:dyDescent="0.25">
      <c r="A1676" s="25" t="str">
        <f>IF($C1676="","",Registro_Compras!$X$189)</f>
        <v/>
      </c>
      <c r="B1676" t="str">
        <f>IF($C1676="","","C"&amp;TEXT(INT((ROW()-5)/9)+1,"000")&amp;"-3")</f>
        <v/>
      </c>
      <c r="C1676" t="str">
        <f>IF(OR(Registro_Compras!$C$189="",Registro_Compras!$O$189="",Registro_Compras!$R$189&lt;&gt;"SI",Registro_Compras!$X$189=""),"","1041")</f>
        <v/>
      </c>
      <c r="D1676" t="str">
        <f>IF(OR(Registro_Compras!$C$189="",Registro_Compras!$O$189=""),"","Efectivo y Equivalentes - Cta. Cte. Operativa")</f>
        <v/>
      </c>
      <c r="E1676" s="20" t="str">
        <f>""</f>
        <v/>
      </c>
      <c r="F1676" s="20" t="str">
        <f>IF($C1676="","",Registro_Compras!$S$189)</f>
        <v/>
      </c>
      <c r="G1676" t="str">
        <f>IF($C1676="","","Por el deposito de la detraccion en el Banco de la Nacion")</f>
        <v/>
      </c>
      <c r="H1676" t="str">
        <f>IF($C1676="","",Registro_Compras!$C$189)</f>
        <v/>
      </c>
    </row>
    <row r="1677" spans="1:8" x14ac:dyDescent="0.25">
      <c r="A1677" s="25" t="str">
        <f>IF($C1677="","",Registro_Compras!$Y$189)</f>
        <v/>
      </c>
      <c r="B1677" t="str">
        <f>IF($C1677="","","C"&amp;TEXT(INT((ROW()-5)/9)+1,"000")&amp;"-4")</f>
        <v/>
      </c>
      <c r="C1677" t="str">
        <f>IF(OR(Registro_Compras!$C$189="",Registro_Compras!$O$189="",Registro_Compras!$Y$189="",Registro_Compras!$F$189="NOTA DE CREDITO"),"","4212")</f>
        <v/>
      </c>
      <c r="D1677" t="str">
        <f>IF(OR(Registro_Compras!$C$189="",Registro_Compras!$O$189=""),"","Cuentas por Pagar Comerciales - Terceros")</f>
        <v/>
      </c>
      <c r="E1677" s="20" t="str">
        <f>IF($C1677="","",IF(Registro_Compras!$F$189="RHE",(ROUND(Registro_Compras!$L$189*Registro_Compras!$N$189,2)-ROUND(Registro_Compras!$V$189*Registro_Compras!$N$189,2)),ROUND(Registro_Compras!$O$189-Registro_Compras!$S$189,2)))</f>
        <v/>
      </c>
      <c r="F1677" s="20" t="str">
        <f>""</f>
        <v/>
      </c>
      <c r="G1677" t="str">
        <f>IF($C1677="","","Por la cancelacion del saldo al proveedor")</f>
        <v/>
      </c>
      <c r="H1677" t="str">
        <f>IF($C1677="","",Registro_Compras!$C$189)</f>
        <v/>
      </c>
    </row>
    <row r="1678" spans="1:8" x14ac:dyDescent="0.25">
      <c r="A1678" s="25" t="str">
        <f>IF($C1678="","",Registro_Compras!$Y$189)</f>
        <v/>
      </c>
      <c r="B1678" t="str">
        <f>IF($C1678="","","C"&amp;TEXT(INT((ROW()-5)/9)+1,"000")&amp;"-4")</f>
        <v/>
      </c>
      <c r="C1678" t="str">
        <f>IF(OR(Registro_Compras!$C$189="",Registro_Compras!$O$189="",Registro_Compras!$Y$189="",Registro_Compras!$F$189="NOTA DE CREDITO"),"","1041")</f>
        <v/>
      </c>
      <c r="D1678" t="str">
        <f>IF(OR(Registro_Compras!$C$189="",Registro_Compras!$O$189=""),"","Efectivo y Equivalentes - Cta. Cte. Operativa")</f>
        <v/>
      </c>
      <c r="E1678" s="20" t="str">
        <f>""</f>
        <v/>
      </c>
      <c r="F1678" s="20" t="str">
        <f>IF($C1678="","",IF(Registro_Compras!$F$189="RHE",(ROUND(Registro_Compras!$L$189*Registro_Compras!$N$189,2)-ROUND(Registro_Compras!$V$189*Registro_Compras!$N$189,2)),ROUND(Registro_Compras!$O$189-Registro_Compras!$S$189,2)))</f>
        <v/>
      </c>
      <c r="G1678" t="str">
        <f>IF($C1678="","","Por la cancelacion del saldo al proveedor")</f>
        <v/>
      </c>
      <c r="H1678" t="str">
        <f>IF($C1678="","",Registro_Compras!$C$189)</f>
        <v/>
      </c>
    </row>
    <row r="1679" spans="1:8" x14ac:dyDescent="0.25">
      <c r="A1679" s="25" t="str">
        <f>IF($C1679="","",Registro_Compras!$B$190)</f>
        <v/>
      </c>
      <c r="B1679" t="str">
        <f>IF($C1679="","","C"&amp;TEXT(INT((ROW()-5)/9)+1,"000")&amp;"-1")</f>
        <v/>
      </c>
      <c r="C1679" t="str">
        <f>IF(OR(Registro_Compras!$C$190="",Registro_Compras!$O$190=""),"",IF(Registro_Compras!$F$190="NOTA DE CREDITO","4212",IF(Registro_Compras!$M$190="","63",Registro_Compras!$M$190)))</f>
        <v/>
      </c>
      <c r="D1679" t="str">
        <f>IF(OR(Registro_Compras!$C$190="",Registro_Compras!$O$190=""),"",IF(Registro_Compras!$F$190="NOTA DE CREDITO","Cuentas por Pagar Comerciales - Terceros (Emitidas)",IF(Registro_Compras!$F$190="RHE","Honorarios Profesionales - Servicios de Terceros","Gastos de Servicios Prestados por Terceros")))</f>
        <v/>
      </c>
      <c r="E1679" s="20" t="str">
        <f>IF($C1679="","",IF(Registro_Compras!$F$190="NOTA DE CREDITO",ABS(Registro_Compras!$O$190),IF(Registro_Compras!$F$190="RHE",ROUND(Registro_Compras!$L$190*Registro_Compras!$N$190,2),ROUND(Registro_Compras!$J$190*Registro_Compras!$N$190,2))))</f>
        <v/>
      </c>
      <c r="F1679" s="20" t="str">
        <f>""</f>
        <v/>
      </c>
      <c r="G1679" t="str">
        <f>IF($C1679="","",IF(Registro_Compras!$F$190="NOTA DE CREDITO","Por la nota de credito "&amp;Registro_Compras!$C$190&amp;" de "&amp;Registro_Compras!$E$190&amp;" [PATRON POR CONFIRMAR CON CONTADOR]",IF(Registro_Compras!$F$190="RHE","Por el registro del recibo por honorarios "&amp;Registro_Compras!$C$190&amp;" de "&amp;Registro_Compras!$E$190&amp;" [PATRON POR CONFIRMAR CON CONTADOR]","Por el registro de la factura "&amp;Registro_Compras!$C$190&amp;" de "&amp;Registro_Compras!$E$190)))</f>
        <v/>
      </c>
      <c r="H1679" t="str">
        <f>IF($C1679="","",Registro_Compras!$C$190)</f>
        <v/>
      </c>
    </row>
    <row r="1680" spans="1:8" x14ac:dyDescent="0.25">
      <c r="A1680" s="25" t="str">
        <f>IF($C1680="","",Registro_Compras!$B$190)</f>
        <v/>
      </c>
      <c r="B1680" t="str">
        <f>IF($C1680="","","C"&amp;TEXT(INT((ROW()-5)/9)+1,"000")&amp;"-1")</f>
        <v/>
      </c>
      <c r="C1680" t="str">
        <f>IF(OR(Registro_Compras!$C$190="",Registro_Compras!$O$190=""),"",IF(Registro_Compras!$F$190="RHE",IF(Registro_Compras!$V$190=0,"","4017"),IF(Registro_Compras!$F$190="NOTA DE CREDITO",IF(Registro_Compras!$M$190="","63",Registro_Compras!$M$190),IF(Registro_Compras!$K$190=0,"","40111"))))</f>
        <v/>
      </c>
      <c r="D1680" t="str">
        <f>IF(OR(Registro_Compras!$C$190="",Registro_Compras!$O$190=""),"",IF(Registro_Compras!$F$190="RHE","Retencion Renta 4ta Categoria por Pagar",IF(Registro_Compras!$F$190="NOTA DE CREDITO","Gastos de Servicios Prestados por Terceros","IGV - Cuenta Propia (Credito Fiscal)")))</f>
        <v/>
      </c>
      <c r="E1680" s="20" t="str">
        <f>IF($C1680="","",IF(Registro_Compras!$F$190="FACTURA",ROUND(Registro_Compras!$K$190*Registro_Compras!$N$190,2),""))</f>
        <v/>
      </c>
      <c r="F1680" s="20" t="str">
        <f>IF($C1680="","",IF(Registro_Compras!$F$190="RHE",ROUND(Registro_Compras!$V$190*Registro_Compras!$N$190,2),IF(Registro_Compras!$F$190="NOTA DE CREDITO",ROUND(ABS(Registro_Compras!$J$190*Registro_Compras!$N$190),2),"")))</f>
        <v/>
      </c>
      <c r="G1680" t="str">
        <f>IF($C1680="","",IF(Registro_Compras!$F$190="NOTA DE CREDITO","Por la nota de credito "&amp;Registro_Compras!$C$190&amp;" de "&amp;Registro_Compras!$E$190&amp;" [PATRON POR CONFIRMAR CON CONTADOR]",IF(Registro_Compras!$F$190="RHE","Por el registro del recibo por honorarios "&amp;Registro_Compras!$C$190&amp;" de "&amp;Registro_Compras!$E$190&amp;" [PATRON POR CONFIRMAR CON CONTADOR]","Por el registro de la factura "&amp;Registro_Compras!$C$190&amp;" de "&amp;Registro_Compras!$E$190)))</f>
        <v/>
      </c>
      <c r="H1680" t="str">
        <f>IF($C1680="","",Registro_Compras!$C$190)</f>
        <v/>
      </c>
    </row>
    <row r="1681" spans="1:8" x14ac:dyDescent="0.25">
      <c r="A1681" s="25" t="str">
        <f>IF($C1681="","",Registro_Compras!$B$190)</f>
        <v/>
      </c>
      <c r="B1681" t="str">
        <f>IF($C1681="","","C"&amp;TEXT(INT((ROW()-5)/9)+1,"000")&amp;"-1")</f>
        <v/>
      </c>
      <c r="C1681" t="str">
        <f>IF(OR(Registro_Compras!$C$190="",Registro_Compras!$O$190=""),"",IF(Registro_Compras!$F$190="NOTA DE CREDITO",IF(Registro_Compras!$K$190=0,"","40111"),"4212"))</f>
        <v/>
      </c>
      <c r="D1681" t="str">
        <f>IF(OR(Registro_Compras!$C$190="",Registro_Compras!$O$190=""),"",IF(Registro_Compras!$F$190="NOTA DE CREDITO","IGV - Cuenta Propia (Credito Fiscal)","Cuentas por Pagar Comerciales - Terceros (Emitidas)"))</f>
        <v/>
      </c>
      <c r="E1681" s="20" t="str">
        <f>""</f>
        <v/>
      </c>
      <c r="F1681" s="20" t="str">
        <f>IF($C1681="","",IF(Registro_Compras!$F$190="NOTA DE CREDITO",ROUND(ABS(Registro_Compras!$K$190*Registro_Compras!$N$190),2),IF(Registro_Compras!$F$190="RHE",(ROUND(Registro_Compras!$L$190*Registro_Compras!$N$190,2)-ROUND(Registro_Compras!$V$190*Registro_Compras!$N$190,2)),Registro_Compras!$O$190)))</f>
        <v/>
      </c>
      <c r="G1681" t="str">
        <f>IF($C1681="","",IF(Registro_Compras!$F$190="NOTA DE CREDITO","Por la nota de credito "&amp;Registro_Compras!$C$190&amp;" de "&amp;Registro_Compras!$E$190&amp;" [PATRON POR CONFIRMAR CON CONTADOR]",IF(Registro_Compras!$F$190="RHE","Por el registro del recibo por honorarios "&amp;Registro_Compras!$C$190&amp;" de "&amp;Registro_Compras!$E$190&amp;" [PATRON POR CONFIRMAR CON CONTADOR]","Por el registro de la factura "&amp;Registro_Compras!$C$190&amp;" de "&amp;Registro_Compras!$E$190)))</f>
        <v/>
      </c>
      <c r="H1681" t="str">
        <f>IF($C1681="","",Registro_Compras!$C$190)</f>
        <v/>
      </c>
    </row>
    <row r="1682" spans="1:8" x14ac:dyDescent="0.25">
      <c r="A1682" s="25" t="str">
        <f>IF($C1682="","",Registro_Compras!$B$190)</f>
        <v/>
      </c>
      <c r="B1682" t="str">
        <f>IF($C1682="","","C"&amp;TEXT(INT((ROW()-5)/9)+1,"000")&amp;"-2")</f>
        <v/>
      </c>
      <c r="C1682" t="str">
        <f>IF(OR(Registro_Compras!$C$190="",Registro_Compras!$O$190=""),"",IF(Registro_Compras!$AB$190="ADMINISTRATIVO","94","95"))</f>
        <v/>
      </c>
      <c r="D1682" t="str">
        <f>IF(OR(Registro_Compras!$C$190="",Registro_Compras!$O$190=""),"",IF(Registro_Compras!$AB$190="ADMINISTRATIVO","Gastos Administrativos","Gastos de Venta y Operacion"))</f>
        <v/>
      </c>
      <c r="E1682" s="20" t="str">
        <f>IF($C1682="","",IF(Registro_Compras!$F$190="NOTA DE CREDITO","",IF(Registro_Compras!$F$190="RHE",ROUND(Registro_Compras!$L$190*Registro_Compras!$N$190,2),ROUND(Registro_Compras!$J$190*Registro_Compras!$N$190,2))))</f>
        <v/>
      </c>
      <c r="F1682" s="20" t="str">
        <f>IF($C1682="","",IF(Registro_Compras!$F$190="NOTA DE CREDITO",ROUND(ABS(Registro_Compras!$J$190*Registro_Compras!$N$190),2),""))</f>
        <v/>
      </c>
      <c r="G1682" t="str">
        <f>IF($C1682="","","Por el destino del gasto")</f>
        <v/>
      </c>
      <c r="H1682" t="str">
        <f>IF($C1682="","",Registro_Compras!$C$190)</f>
        <v/>
      </c>
    </row>
    <row r="1683" spans="1:8" x14ac:dyDescent="0.25">
      <c r="A1683" s="25" t="str">
        <f>IF($C1683="","",Registro_Compras!$B$190)</f>
        <v/>
      </c>
      <c r="B1683" t="str">
        <f>IF($C1683="","","C"&amp;TEXT(INT((ROW()-5)/9)+1,"000")&amp;"-2")</f>
        <v/>
      </c>
      <c r="C1683" t="str">
        <f>IF(OR(Registro_Compras!$C$190="",Registro_Compras!$O$190=""),"","79/791")</f>
        <v/>
      </c>
      <c r="D1683" t="str">
        <f>IF(OR(Registro_Compras!$C$190="",Registro_Compras!$O$190=""),"","Cargas Imputables a Cuentas de Costos y Gastos")</f>
        <v/>
      </c>
      <c r="E1683" s="20" t="str">
        <f>IF($C1683="","",IF(Registro_Compras!$F$190="NOTA DE CREDITO",ROUND(ABS(Registro_Compras!$J$190*Registro_Compras!$N$190),2),""))</f>
        <v/>
      </c>
      <c r="F1683" s="20" t="str">
        <f>IF($C1683="","",IF(Registro_Compras!$F$190="NOTA DE CREDITO","",IF(Registro_Compras!$F$190="RHE",ROUND(Registro_Compras!$L$190*Registro_Compras!$N$190,2),ROUND(Registro_Compras!$J$190*Registro_Compras!$N$190,2))))</f>
        <v/>
      </c>
      <c r="G1683" t="str">
        <f>IF($C1683="","","Por el destino del gasto")</f>
        <v/>
      </c>
      <c r="H1683" t="str">
        <f>IF($C1683="","",Registro_Compras!$C$190)</f>
        <v/>
      </c>
    </row>
    <row r="1684" spans="1:8" x14ac:dyDescent="0.25">
      <c r="A1684" s="25" t="str">
        <f>IF($C1684="","",Registro_Compras!$X$190)</f>
        <v/>
      </c>
      <c r="B1684" t="str">
        <f>IF($C1684="","","C"&amp;TEXT(INT((ROW()-5)/9)+1,"000")&amp;"-3")</f>
        <v/>
      </c>
      <c r="C1684" t="str">
        <f>IF(OR(Registro_Compras!$C$190="",Registro_Compras!$O$190="",Registro_Compras!$R$190&lt;&gt;"SI",Registro_Compras!$X$190=""),"","4212")</f>
        <v/>
      </c>
      <c r="D1684" t="str">
        <f>IF(OR(Registro_Compras!$C$190="",Registro_Compras!$O$190=""),"","Cuentas por Pagar Comerciales - Terceros")</f>
        <v/>
      </c>
      <c r="E1684" s="20" t="str">
        <f>IF($C1684="","",Registro_Compras!$S$190)</f>
        <v/>
      </c>
      <c r="F1684" s="20" t="str">
        <f>""</f>
        <v/>
      </c>
      <c r="G1684" t="str">
        <f>IF($C1684="","","Por el deposito de la detraccion en el Banco de la Nacion")</f>
        <v/>
      </c>
      <c r="H1684" t="str">
        <f>IF($C1684="","",Registro_Compras!$C$190)</f>
        <v/>
      </c>
    </row>
    <row r="1685" spans="1:8" x14ac:dyDescent="0.25">
      <c r="A1685" s="25" t="str">
        <f>IF($C1685="","",Registro_Compras!$X$190)</f>
        <v/>
      </c>
      <c r="B1685" t="str">
        <f>IF($C1685="","","C"&amp;TEXT(INT((ROW()-5)/9)+1,"000")&amp;"-3")</f>
        <v/>
      </c>
      <c r="C1685" t="str">
        <f>IF(OR(Registro_Compras!$C$190="",Registro_Compras!$O$190="",Registro_Compras!$R$190&lt;&gt;"SI",Registro_Compras!$X$190=""),"","1041")</f>
        <v/>
      </c>
      <c r="D1685" t="str">
        <f>IF(OR(Registro_Compras!$C$190="",Registro_Compras!$O$190=""),"","Efectivo y Equivalentes - Cta. Cte. Operativa")</f>
        <v/>
      </c>
      <c r="E1685" s="20" t="str">
        <f>""</f>
        <v/>
      </c>
      <c r="F1685" s="20" t="str">
        <f>IF($C1685="","",Registro_Compras!$S$190)</f>
        <v/>
      </c>
      <c r="G1685" t="str">
        <f>IF($C1685="","","Por el deposito de la detraccion en el Banco de la Nacion")</f>
        <v/>
      </c>
      <c r="H1685" t="str">
        <f>IF($C1685="","",Registro_Compras!$C$190)</f>
        <v/>
      </c>
    </row>
    <row r="1686" spans="1:8" x14ac:dyDescent="0.25">
      <c r="A1686" s="25" t="str">
        <f>IF($C1686="","",Registro_Compras!$Y$190)</f>
        <v/>
      </c>
      <c r="B1686" t="str">
        <f>IF($C1686="","","C"&amp;TEXT(INT((ROW()-5)/9)+1,"000")&amp;"-4")</f>
        <v/>
      </c>
      <c r="C1686" t="str">
        <f>IF(OR(Registro_Compras!$C$190="",Registro_Compras!$O$190="",Registro_Compras!$Y$190="",Registro_Compras!$F$190="NOTA DE CREDITO"),"","4212")</f>
        <v/>
      </c>
      <c r="D1686" t="str">
        <f>IF(OR(Registro_Compras!$C$190="",Registro_Compras!$O$190=""),"","Cuentas por Pagar Comerciales - Terceros")</f>
        <v/>
      </c>
      <c r="E1686" s="20" t="str">
        <f>IF($C1686="","",IF(Registro_Compras!$F$190="RHE",(ROUND(Registro_Compras!$L$190*Registro_Compras!$N$190,2)-ROUND(Registro_Compras!$V$190*Registro_Compras!$N$190,2)),ROUND(Registro_Compras!$O$190-Registro_Compras!$S$190,2)))</f>
        <v/>
      </c>
      <c r="F1686" s="20" t="str">
        <f>""</f>
        <v/>
      </c>
      <c r="G1686" t="str">
        <f>IF($C1686="","","Por la cancelacion del saldo al proveedor")</f>
        <v/>
      </c>
      <c r="H1686" t="str">
        <f>IF($C1686="","",Registro_Compras!$C$190)</f>
        <v/>
      </c>
    </row>
    <row r="1687" spans="1:8" x14ac:dyDescent="0.25">
      <c r="A1687" s="25" t="str">
        <f>IF($C1687="","",Registro_Compras!$Y$190)</f>
        <v/>
      </c>
      <c r="B1687" t="str">
        <f>IF($C1687="","","C"&amp;TEXT(INT((ROW()-5)/9)+1,"000")&amp;"-4")</f>
        <v/>
      </c>
      <c r="C1687" t="str">
        <f>IF(OR(Registro_Compras!$C$190="",Registro_Compras!$O$190="",Registro_Compras!$Y$190="",Registro_Compras!$F$190="NOTA DE CREDITO"),"","1041")</f>
        <v/>
      </c>
      <c r="D1687" t="str">
        <f>IF(OR(Registro_Compras!$C$190="",Registro_Compras!$O$190=""),"","Efectivo y Equivalentes - Cta. Cte. Operativa")</f>
        <v/>
      </c>
      <c r="E1687" s="20" t="str">
        <f>""</f>
        <v/>
      </c>
      <c r="F1687" s="20" t="str">
        <f>IF($C1687="","",IF(Registro_Compras!$F$190="RHE",(ROUND(Registro_Compras!$L$190*Registro_Compras!$N$190,2)-ROUND(Registro_Compras!$V$190*Registro_Compras!$N$190,2)),ROUND(Registro_Compras!$O$190-Registro_Compras!$S$190,2)))</f>
        <v/>
      </c>
      <c r="G1687" t="str">
        <f>IF($C1687="","","Por la cancelacion del saldo al proveedor")</f>
        <v/>
      </c>
      <c r="H1687" t="str">
        <f>IF($C1687="","",Registro_Compras!$C$190)</f>
        <v/>
      </c>
    </row>
    <row r="1688" spans="1:8" x14ac:dyDescent="0.25">
      <c r="A1688" s="25" t="str">
        <f>IF($C1688="","",Registro_Compras!$B$191)</f>
        <v/>
      </c>
      <c r="B1688" t="str">
        <f>IF($C1688="","","C"&amp;TEXT(INT((ROW()-5)/9)+1,"000")&amp;"-1")</f>
        <v/>
      </c>
      <c r="C1688" t="str">
        <f>IF(OR(Registro_Compras!$C$191="",Registro_Compras!$O$191=""),"",IF(Registro_Compras!$F$191="NOTA DE CREDITO","4212",IF(Registro_Compras!$M$191="","63",Registro_Compras!$M$191)))</f>
        <v/>
      </c>
      <c r="D1688" t="str">
        <f>IF(OR(Registro_Compras!$C$191="",Registro_Compras!$O$191=""),"",IF(Registro_Compras!$F$191="NOTA DE CREDITO","Cuentas por Pagar Comerciales - Terceros (Emitidas)",IF(Registro_Compras!$F$191="RHE","Honorarios Profesionales - Servicios de Terceros","Gastos de Servicios Prestados por Terceros")))</f>
        <v/>
      </c>
      <c r="E1688" s="20" t="str">
        <f>IF($C1688="","",IF(Registro_Compras!$F$191="NOTA DE CREDITO",ABS(Registro_Compras!$O$191),IF(Registro_Compras!$F$191="RHE",ROUND(Registro_Compras!$L$191*Registro_Compras!$N$191,2),ROUND(Registro_Compras!$J$191*Registro_Compras!$N$191,2))))</f>
        <v/>
      </c>
      <c r="F1688" s="20" t="str">
        <f>""</f>
        <v/>
      </c>
      <c r="G1688" t="str">
        <f>IF($C1688="","",IF(Registro_Compras!$F$191="NOTA DE CREDITO","Por la nota de credito "&amp;Registro_Compras!$C$191&amp;" de "&amp;Registro_Compras!$E$191&amp;" [PATRON POR CONFIRMAR CON CONTADOR]",IF(Registro_Compras!$F$191="RHE","Por el registro del recibo por honorarios "&amp;Registro_Compras!$C$191&amp;" de "&amp;Registro_Compras!$E$191&amp;" [PATRON POR CONFIRMAR CON CONTADOR]","Por el registro de la factura "&amp;Registro_Compras!$C$191&amp;" de "&amp;Registro_Compras!$E$191)))</f>
        <v/>
      </c>
      <c r="H1688" t="str">
        <f>IF($C1688="","",Registro_Compras!$C$191)</f>
        <v/>
      </c>
    </row>
    <row r="1689" spans="1:8" x14ac:dyDescent="0.25">
      <c r="A1689" s="25" t="str">
        <f>IF($C1689="","",Registro_Compras!$B$191)</f>
        <v/>
      </c>
      <c r="B1689" t="str">
        <f>IF($C1689="","","C"&amp;TEXT(INT((ROW()-5)/9)+1,"000")&amp;"-1")</f>
        <v/>
      </c>
      <c r="C1689" t="str">
        <f>IF(OR(Registro_Compras!$C$191="",Registro_Compras!$O$191=""),"",IF(Registro_Compras!$F$191="RHE",IF(Registro_Compras!$V$191=0,"","4017"),IF(Registro_Compras!$F$191="NOTA DE CREDITO",IF(Registro_Compras!$M$191="","63",Registro_Compras!$M$191),IF(Registro_Compras!$K$191=0,"","40111"))))</f>
        <v/>
      </c>
      <c r="D1689" t="str">
        <f>IF(OR(Registro_Compras!$C$191="",Registro_Compras!$O$191=""),"",IF(Registro_Compras!$F$191="RHE","Retencion Renta 4ta Categoria por Pagar",IF(Registro_Compras!$F$191="NOTA DE CREDITO","Gastos de Servicios Prestados por Terceros","IGV - Cuenta Propia (Credito Fiscal)")))</f>
        <v/>
      </c>
      <c r="E1689" s="20" t="str">
        <f>IF($C1689="","",IF(Registro_Compras!$F$191="FACTURA",ROUND(Registro_Compras!$K$191*Registro_Compras!$N$191,2),""))</f>
        <v/>
      </c>
      <c r="F1689" s="20" t="str">
        <f>IF($C1689="","",IF(Registro_Compras!$F$191="RHE",ROUND(Registro_Compras!$V$191*Registro_Compras!$N$191,2),IF(Registro_Compras!$F$191="NOTA DE CREDITO",ROUND(ABS(Registro_Compras!$J$191*Registro_Compras!$N$191),2),"")))</f>
        <v/>
      </c>
      <c r="G1689" t="str">
        <f>IF($C1689="","",IF(Registro_Compras!$F$191="NOTA DE CREDITO","Por la nota de credito "&amp;Registro_Compras!$C$191&amp;" de "&amp;Registro_Compras!$E$191&amp;" [PATRON POR CONFIRMAR CON CONTADOR]",IF(Registro_Compras!$F$191="RHE","Por el registro del recibo por honorarios "&amp;Registro_Compras!$C$191&amp;" de "&amp;Registro_Compras!$E$191&amp;" [PATRON POR CONFIRMAR CON CONTADOR]","Por el registro de la factura "&amp;Registro_Compras!$C$191&amp;" de "&amp;Registro_Compras!$E$191)))</f>
        <v/>
      </c>
      <c r="H1689" t="str">
        <f>IF($C1689="","",Registro_Compras!$C$191)</f>
        <v/>
      </c>
    </row>
    <row r="1690" spans="1:8" x14ac:dyDescent="0.25">
      <c r="A1690" s="25" t="str">
        <f>IF($C1690="","",Registro_Compras!$B$191)</f>
        <v/>
      </c>
      <c r="B1690" t="str">
        <f>IF($C1690="","","C"&amp;TEXT(INT((ROW()-5)/9)+1,"000")&amp;"-1")</f>
        <v/>
      </c>
      <c r="C1690" t="str">
        <f>IF(OR(Registro_Compras!$C$191="",Registro_Compras!$O$191=""),"",IF(Registro_Compras!$F$191="NOTA DE CREDITO",IF(Registro_Compras!$K$191=0,"","40111"),"4212"))</f>
        <v/>
      </c>
      <c r="D1690" t="str">
        <f>IF(OR(Registro_Compras!$C$191="",Registro_Compras!$O$191=""),"",IF(Registro_Compras!$F$191="NOTA DE CREDITO","IGV - Cuenta Propia (Credito Fiscal)","Cuentas por Pagar Comerciales - Terceros (Emitidas)"))</f>
        <v/>
      </c>
      <c r="E1690" s="20" t="str">
        <f>""</f>
        <v/>
      </c>
      <c r="F1690" s="20" t="str">
        <f>IF($C1690="","",IF(Registro_Compras!$F$191="NOTA DE CREDITO",ROUND(ABS(Registro_Compras!$K$191*Registro_Compras!$N$191),2),IF(Registro_Compras!$F$191="RHE",(ROUND(Registro_Compras!$L$191*Registro_Compras!$N$191,2)-ROUND(Registro_Compras!$V$191*Registro_Compras!$N$191,2)),Registro_Compras!$O$191)))</f>
        <v/>
      </c>
      <c r="G1690" t="str">
        <f>IF($C1690="","",IF(Registro_Compras!$F$191="NOTA DE CREDITO","Por la nota de credito "&amp;Registro_Compras!$C$191&amp;" de "&amp;Registro_Compras!$E$191&amp;" [PATRON POR CONFIRMAR CON CONTADOR]",IF(Registro_Compras!$F$191="RHE","Por el registro del recibo por honorarios "&amp;Registro_Compras!$C$191&amp;" de "&amp;Registro_Compras!$E$191&amp;" [PATRON POR CONFIRMAR CON CONTADOR]","Por el registro de la factura "&amp;Registro_Compras!$C$191&amp;" de "&amp;Registro_Compras!$E$191)))</f>
        <v/>
      </c>
      <c r="H1690" t="str">
        <f>IF($C1690="","",Registro_Compras!$C$191)</f>
        <v/>
      </c>
    </row>
    <row r="1691" spans="1:8" x14ac:dyDescent="0.25">
      <c r="A1691" s="25" t="str">
        <f>IF($C1691="","",Registro_Compras!$B$191)</f>
        <v/>
      </c>
      <c r="B1691" t="str">
        <f>IF($C1691="","","C"&amp;TEXT(INT((ROW()-5)/9)+1,"000")&amp;"-2")</f>
        <v/>
      </c>
      <c r="C1691" t="str">
        <f>IF(OR(Registro_Compras!$C$191="",Registro_Compras!$O$191=""),"",IF(Registro_Compras!$AB$191="ADMINISTRATIVO","94","95"))</f>
        <v/>
      </c>
      <c r="D1691" t="str">
        <f>IF(OR(Registro_Compras!$C$191="",Registro_Compras!$O$191=""),"",IF(Registro_Compras!$AB$191="ADMINISTRATIVO","Gastos Administrativos","Gastos de Venta y Operacion"))</f>
        <v/>
      </c>
      <c r="E1691" s="20" t="str">
        <f>IF($C1691="","",IF(Registro_Compras!$F$191="NOTA DE CREDITO","",IF(Registro_Compras!$F$191="RHE",ROUND(Registro_Compras!$L$191*Registro_Compras!$N$191,2),ROUND(Registro_Compras!$J$191*Registro_Compras!$N$191,2))))</f>
        <v/>
      </c>
      <c r="F1691" s="20" t="str">
        <f>IF($C1691="","",IF(Registro_Compras!$F$191="NOTA DE CREDITO",ROUND(ABS(Registro_Compras!$J$191*Registro_Compras!$N$191),2),""))</f>
        <v/>
      </c>
      <c r="G1691" t="str">
        <f>IF($C1691="","","Por el destino del gasto")</f>
        <v/>
      </c>
      <c r="H1691" t="str">
        <f>IF($C1691="","",Registro_Compras!$C$191)</f>
        <v/>
      </c>
    </row>
    <row r="1692" spans="1:8" x14ac:dyDescent="0.25">
      <c r="A1692" s="25" t="str">
        <f>IF($C1692="","",Registro_Compras!$B$191)</f>
        <v/>
      </c>
      <c r="B1692" t="str">
        <f>IF($C1692="","","C"&amp;TEXT(INT((ROW()-5)/9)+1,"000")&amp;"-2")</f>
        <v/>
      </c>
      <c r="C1692" t="str">
        <f>IF(OR(Registro_Compras!$C$191="",Registro_Compras!$O$191=""),"","79/791")</f>
        <v/>
      </c>
      <c r="D1692" t="str">
        <f>IF(OR(Registro_Compras!$C$191="",Registro_Compras!$O$191=""),"","Cargas Imputables a Cuentas de Costos y Gastos")</f>
        <v/>
      </c>
      <c r="E1692" s="20" t="str">
        <f>IF($C1692="","",IF(Registro_Compras!$F$191="NOTA DE CREDITO",ROUND(ABS(Registro_Compras!$J$191*Registro_Compras!$N$191),2),""))</f>
        <v/>
      </c>
      <c r="F1692" s="20" t="str">
        <f>IF($C1692="","",IF(Registro_Compras!$F$191="NOTA DE CREDITO","",IF(Registro_Compras!$F$191="RHE",ROUND(Registro_Compras!$L$191*Registro_Compras!$N$191,2),ROUND(Registro_Compras!$J$191*Registro_Compras!$N$191,2))))</f>
        <v/>
      </c>
      <c r="G1692" t="str">
        <f>IF($C1692="","","Por el destino del gasto")</f>
        <v/>
      </c>
      <c r="H1692" t="str">
        <f>IF($C1692="","",Registro_Compras!$C$191)</f>
        <v/>
      </c>
    </row>
    <row r="1693" spans="1:8" x14ac:dyDescent="0.25">
      <c r="A1693" s="25" t="str">
        <f>IF($C1693="","",Registro_Compras!$X$191)</f>
        <v/>
      </c>
      <c r="B1693" t="str">
        <f>IF($C1693="","","C"&amp;TEXT(INT((ROW()-5)/9)+1,"000")&amp;"-3")</f>
        <v/>
      </c>
      <c r="C1693" t="str">
        <f>IF(OR(Registro_Compras!$C$191="",Registro_Compras!$O$191="",Registro_Compras!$R$191&lt;&gt;"SI",Registro_Compras!$X$191=""),"","4212")</f>
        <v/>
      </c>
      <c r="D1693" t="str">
        <f>IF(OR(Registro_Compras!$C$191="",Registro_Compras!$O$191=""),"","Cuentas por Pagar Comerciales - Terceros")</f>
        <v/>
      </c>
      <c r="E1693" s="20" t="str">
        <f>IF($C1693="","",Registro_Compras!$S$191)</f>
        <v/>
      </c>
      <c r="F1693" s="20" t="str">
        <f>""</f>
        <v/>
      </c>
      <c r="G1693" t="str">
        <f>IF($C1693="","","Por el deposito de la detraccion en el Banco de la Nacion")</f>
        <v/>
      </c>
      <c r="H1693" t="str">
        <f>IF($C1693="","",Registro_Compras!$C$191)</f>
        <v/>
      </c>
    </row>
    <row r="1694" spans="1:8" x14ac:dyDescent="0.25">
      <c r="A1694" s="25" t="str">
        <f>IF($C1694="","",Registro_Compras!$X$191)</f>
        <v/>
      </c>
      <c r="B1694" t="str">
        <f>IF($C1694="","","C"&amp;TEXT(INT((ROW()-5)/9)+1,"000")&amp;"-3")</f>
        <v/>
      </c>
      <c r="C1694" t="str">
        <f>IF(OR(Registro_Compras!$C$191="",Registro_Compras!$O$191="",Registro_Compras!$R$191&lt;&gt;"SI",Registro_Compras!$X$191=""),"","1041")</f>
        <v/>
      </c>
      <c r="D1694" t="str">
        <f>IF(OR(Registro_Compras!$C$191="",Registro_Compras!$O$191=""),"","Efectivo y Equivalentes - Cta. Cte. Operativa")</f>
        <v/>
      </c>
      <c r="E1694" s="20" t="str">
        <f>""</f>
        <v/>
      </c>
      <c r="F1694" s="20" t="str">
        <f>IF($C1694="","",Registro_Compras!$S$191)</f>
        <v/>
      </c>
      <c r="G1694" t="str">
        <f>IF($C1694="","","Por el deposito de la detraccion en el Banco de la Nacion")</f>
        <v/>
      </c>
      <c r="H1694" t="str">
        <f>IF($C1694="","",Registro_Compras!$C$191)</f>
        <v/>
      </c>
    </row>
    <row r="1695" spans="1:8" x14ac:dyDescent="0.25">
      <c r="A1695" s="25" t="str">
        <f>IF($C1695="","",Registro_Compras!$Y$191)</f>
        <v/>
      </c>
      <c r="B1695" t="str">
        <f>IF($C1695="","","C"&amp;TEXT(INT((ROW()-5)/9)+1,"000")&amp;"-4")</f>
        <v/>
      </c>
      <c r="C1695" t="str">
        <f>IF(OR(Registro_Compras!$C$191="",Registro_Compras!$O$191="",Registro_Compras!$Y$191="",Registro_Compras!$F$191="NOTA DE CREDITO"),"","4212")</f>
        <v/>
      </c>
      <c r="D1695" t="str">
        <f>IF(OR(Registro_Compras!$C$191="",Registro_Compras!$O$191=""),"","Cuentas por Pagar Comerciales - Terceros")</f>
        <v/>
      </c>
      <c r="E1695" s="20" t="str">
        <f>IF($C1695="","",IF(Registro_Compras!$F$191="RHE",(ROUND(Registro_Compras!$L$191*Registro_Compras!$N$191,2)-ROUND(Registro_Compras!$V$191*Registro_Compras!$N$191,2)),ROUND(Registro_Compras!$O$191-Registro_Compras!$S$191,2)))</f>
        <v/>
      </c>
      <c r="F1695" s="20" t="str">
        <f>""</f>
        <v/>
      </c>
      <c r="G1695" t="str">
        <f>IF($C1695="","","Por la cancelacion del saldo al proveedor")</f>
        <v/>
      </c>
      <c r="H1695" t="str">
        <f>IF($C1695="","",Registro_Compras!$C$191)</f>
        <v/>
      </c>
    </row>
    <row r="1696" spans="1:8" x14ac:dyDescent="0.25">
      <c r="A1696" s="25" t="str">
        <f>IF($C1696="","",Registro_Compras!$Y$191)</f>
        <v/>
      </c>
      <c r="B1696" t="str">
        <f>IF($C1696="","","C"&amp;TEXT(INT((ROW()-5)/9)+1,"000")&amp;"-4")</f>
        <v/>
      </c>
      <c r="C1696" t="str">
        <f>IF(OR(Registro_Compras!$C$191="",Registro_Compras!$O$191="",Registro_Compras!$Y$191="",Registro_Compras!$F$191="NOTA DE CREDITO"),"","1041")</f>
        <v/>
      </c>
      <c r="D1696" t="str">
        <f>IF(OR(Registro_Compras!$C$191="",Registro_Compras!$O$191=""),"","Efectivo y Equivalentes - Cta. Cte. Operativa")</f>
        <v/>
      </c>
      <c r="E1696" s="20" t="str">
        <f>""</f>
        <v/>
      </c>
      <c r="F1696" s="20" t="str">
        <f>IF($C1696="","",IF(Registro_Compras!$F$191="RHE",(ROUND(Registro_Compras!$L$191*Registro_Compras!$N$191,2)-ROUND(Registro_Compras!$V$191*Registro_Compras!$N$191,2)),ROUND(Registro_Compras!$O$191-Registro_Compras!$S$191,2)))</f>
        <v/>
      </c>
      <c r="G1696" t="str">
        <f>IF($C1696="","","Por la cancelacion del saldo al proveedor")</f>
        <v/>
      </c>
      <c r="H1696" t="str">
        <f>IF($C1696="","",Registro_Compras!$C$191)</f>
        <v/>
      </c>
    </row>
    <row r="1697" spans="1:8" x14ac:dyDescent="0.25">
      <c r="A1697" s="25" t="str">
        <f>IF($C1697="","",Registro_Compras!$B$192)</f>
        <v/>
      </c>
      <c r="B1697" t="str">
        <f>IF($C1697="","","C"&amp;TEXT(INT((ROW()-5)/9)+1,"000")&amp;"-1")</f>
        <v/>
      </c>
      <c r="C1697" t="str">
        <f>IF(OR(Registro_Compras!$C$192="",Registro_Compras!$O$192=""),"",IF(Registro_Compras!$F$192="NOTA DE CREDITO","4212",IF(Registro_Compras!$M$192="","63",Registro_Compras!$M$192)))</f>
        <v/>
      </c>
      <c r="D1697" t="str">
        <f>IF(OR(Registro_Compras!$C$192="",Registro_Compras!$O$192=""),"",IF(Registro_Compras!$F$192="NOTA DE CREDITO","Cuentas por Pagar Comerciales - Terceros (Emitidas)",IF(Registro_Compras!$F$192="RHE","Honorarios Profesionales - Servicios de Terceros","Gastos de Servicios Prestados por Terceros")))</f>
        <v/>
      </c>
      <c r="E1697" s="20" t="str">
        <f>IF($C1697="","",IF(Registro_Compras!$F$192="NOTA DE CREDITO",ABS(Registro_Compras!$O$192),IF(Registro_Compras!$F$192="RHE",ROUND(Registro_Compras!$L$192*Registro_Compras!$N$192,2),ROUND(Registro_Compras!$J$192*Registro_Compras!$N$192,2))))</f>
        <v/>
      </c>
      <c r="F1697" s="20" t="str">
        <f>""</f>
        <v/>
      </c>
      <c r="G1697" t="str">
        <f>IF($C1697="","",IF(Registro_Compras!$F$192="NOTA DE CREDITO","Por la nota de credito "&amp;Registro_Compras!$C$192&amp;" de "&amp;Registro_Compras!$E$192&amp;" [PATRON POR CONFIRMAR CON CONTADOR]",IF(Registro_Compras!$F$192="RHE","Por el registro del recibo por honorarios "&amp;Registro_Compras!$C$192&amp;" de "&amp;Registro_Compras!$E$192&amp;" [PATRON POR CONFIRMAR CON CONTADOR]","Por el registro de la factura "&amp;Registro_Compras!$C$192&amp;" de "&amp;Registro_Compras!$E$192)))</f>
        <v/>
      </c>
      <c r="H1697" t="str">
        <f>IF($C1697="","",Registro_Compras!$C$192)</f>
        <v/>
      </c>
    </row>
    <row r="1698" spans="1:8" x14ac:dyDescent="0.25">
      <c r="A1698" s="25" t="str">
        <f>IF($C1698="","",Registro_Compras!$B$192)</f>
        <v/>
      </c>
      <c r="B1698" t="str">
        <f>IF($C1698="","","C"&amp;TEXT(INT((ROW()-5)/9)+1,"000")&amp;"-1")</f>
        <v/>
      </c>
      <c r="C1698" t="str">
        <f>IF(OR(Registro_Compras!$C$192="",Registro_Compras!$O$192=""),"",IF(Registro_Compras!$F$192="RHE",IF(Registro_Compras!$V$192=0,"","4017"),IF(Registro_Compras!$F$192="NOTA DE CREDITO",IF(Registro_Compras!$M$192="","63",Registro_Compras!$M$192),IF(Registro_Compras!$K$192=0,"","40111"))))</f>
        <v/>
      </c>
      <c r="D1698" t="str">
        <f>IF(OR(Registro_Compras!$C$192="",Registro_Compras!$O$192=""),"",IF(Registro_Compras!$F$192="RHE","Retencion Renta 4ta Categoria por Pagar",IF(Registro_Compras!$F$192="NOTA DE CREDITO","Gastos de Servicios Prestados por Terceros","IGV - Cuenta Propia (Credito Fiscal)")))</f>
        <v/>
      </c>
      <c r="E1698" s="20" t="str">
        <f>IF($C1698="","",IF(Registro_Compras!$F$192="FACTURA",ROUND(Registro_Compras!$K$192*Registro_Compras!$N$192,2),""))</f>
        <v/>
      </c>
      <c r="F1698" s="20" t="str">
        <f>IF($C1698="","",IF(Registro_Compras!$F$192="RHE",ROUND(Registro_Compras!$V$192*Registro_Compras!$N$192,2),IF(Registro_Compras!$F$192="NOTA DE CREDITO",ROUND(ABS(Registro_Compras!$J$192*Registro_Compras!$N$192),2),"")))</f>
        <v/>
      </c>
      <c r="G1698" t="str">
        <f>IF($C1698="","",IF(Registro_Compras!$F$192="NOTA DE CREDITO","Por la nota de credito "&amp;Registro_Compras!$C$192&amp;" de "&amp;Registro_Compras!$E$192&amp;" [PATRON POR CONFIRMAR CON CONTADOR]",IF(Registro_Compras!$F$192="RHE","Por el registro del recibo por honorarios "&amp;Registro_Compras!$C$192&amp;" de "&amp;Registro_Compras!$E$192&amp;" [PATRON POR CONFIRMAR CON CONTADOR]","Por el registro de la factura "&amp;Registro_Compras!$C$192&amp;" de "&amp;Registro_Compras!$E$192)))</f>
        <v/>
      </c>
      <c r="H1698" t="str">
        <f>IF($C1698="","",Registro_Compras!$C$192)</f>
        <v/>
      </c>
    </row>
    <row r="1699" spans="1:8" x14ac:dyDescent="0.25">
      <c r="A1699" s="25" t="str">
        <f>IF($C1699="","",Registro_Compras!$B$192)</f>
        <v/>
      </c>
      <c r="B1699" t="str">
        <f>IF($C1699="","","C"&amp;TEXT(INT((ROW()-5)/9)+1,"000")&amp;"-1")</f>
        <v/>
      </c>
      <c r="C1699" t="str">
        <f>IF(OR(Registro_Compras!$C$192="",Registro_Compras!$O$192=""),"",IF(Registro_Compras!$F$192="NOTA DE CREDITO",IF(Registro_Compras!$K$192=0,"","40111"),"4212"))</f>
        <v/>
      </c>
      <c r="D1699" t="str">
        <f>IF(OR(Registro_Compras!$C$192="",Registro_Compras!$O$192=""),"",IF(Registro_Compras!$F$192="NOTA DE CREDITO","IGV - Cuenta Propia (Credito Fiscal)","Cuentas por Pagar Comerciales - Terceros (Emitidas)"))</f>
        <v/>
      </c>
      <c r="E1699" s="20" t="str">
        <f>""</f>
        <v/>
      </c>
      <c r="F1699" s="20" t="str">
        <f>IF($C1699="","",IF(Registro_Compras!$F$192="NOTA DE CREDITO",ROUND(ABS(Registro_Compras!$K$192*Registro_Compras!$N$192),2),IF(Registro_Compras!$F$192="RHE",(ROUND(Registro_Compras!$L$192*Registro_Compras!$N$192,2)-ROUND(Registro_Compras!$V$192*Registro_Compras!$N$192,2)),Registro_Compras!$O$192)))</f>
        <v/>
      </c>
      <c r="G1699" t="str">
        <f>IF($C1699="","",IF(Registro_Compras!$F$192="NOTA DE CREDITO","Por la nota de credito "&amp;Registro_Compras!$C$192&amp;" de "&amp;Registro_Compras!$E$192&amp;" [PATRON POR CONFIRMAR CON CONTADOR]",IF(Registro_Compras!$F$192="RHE","Por el registro del recibo por honorarios "&amp;Registro_Compras!$C$192&amp;" de "&amp;Registro_Compras!$E$192&amp;" [PATRON POR CONFIRMAR CON CONTADOR]","Por el registro de la factura "&amp;Registro_Compras!$C$192&amp;" de "&amp;Registro_Compras!$E$192)))</f>
        <v/>
      </c>
      <c r="H1699" t="str">
        <f>IF($C1699="","",Registro_Compras!$C$192)</f>
        <v/>
      </c>
    </row>
    <row r="1700" spans="1:8" x14ac:dyDescent="0.25">
      <c r="A1700" s="25" t="str">
        <f>IF($C1700="","",Registro_Compras!$B$192)</f>
        <v/>
      </c>
      <c r="B1700" t="str">
        <f>IF($C1700="","","C"&amp;TEXT(INT((ROW()-5)/9)+1,"000")&amp;"-2")</f>
        <v/>
      </c>
      <c r="C1700" t="str">
        <f>IF(OR(Registro_Compras!$C$192="",Registro_Compras!$O$192=""),"",IF(Registro_Compras!$AB$192="ADMINISTRATIVO","94","95"))</f>
        <v/>
      </c>
      <c r="D1700" t="str">
        <f>IF(OR(Registro_Compras!$C$192="",Registro_Compras!$O$192=""),"",IF(Registro_Compras!$AB$192="ADMINISTRATIVO","Gastos Administrativos","Gastos de Venta y Operacion"))</f>
        <v/>
      </c>
      <c r="E1700" s="20" t="str">
        <f>IF($C1700="","",IF(Registro_Compras!$F$192="NOTA DE CREDITO","",IF(Registro_Compras!$F$192="RHE",ROUND(Registro_Compras!$L$192*Registro_Compras!$N$192,2),ROUND(Registro_Compras!$J$192*Registro_Compras!$N$192,2))))</f>
        <v/>
      </c>
      <c r="F1700" s="20" t="str">
        <f>IF($C1700="","",IF(Registro_Compras!$F$192="NOTA DE CREDITO",ROUND(ABS(Registro_Compras!$J$192*Registro_Compras!$N$192),2),""))</f>
        <v/>
      </c>
      <c r="G1700" t="str">
        <f>IF($C1700="","","Por el destino del gasto")</f>
        <v/>
      </c>
      <c r="H1700" t="str">
        <f>IF($C1700="","",Registro_Compras!$C$192)</f>
        <v/>
      </c>
    </row>
    <row r="1701" spans="1:8" x14ac:dyDescent="0.25">
      <c r="A1701" s="25" t="str">
        <f>IF($C1701="","",Registro_Compras!$B$192)</f>
        <v/>
      </c>
      <c r="B1701" t="str">
        <f>IF($C1701="","","C"&amp;TEXT(INT((ROW()-5)/9)+1,"000")&amp;"-2")</f>
        <v/>
      </c>
      <c r="C1701" t="str">
        <f>IF(OR(Registro_Compras!$C$192="",Registro_Compras!$O$192=""),"","79/791")</f>
        <v/>
      </c>
      <c r="D1701" t="str">
        <f>IF(OR(Registro_Compras!$C$192="",Registro_Compras!$O$192=""),"","Cargas Imputables a Cuentas de Costos y Gastos")</f>
        <v/>
      </c>
      <c r="E1701" s="20" t="str">
        <f>IF($C1701="","",IF(Registro_Compras!$F$192="NOTA DE CREDITO",ROUND(ABS(Registro_Compras!$J$192*Registro_Compras!$N$192),2),""))</f>
        <v/>
      </c>
      <c r="F1701" s="20" t="str">
        <f>IF($C1701="","",IF(Registro_Compras!$F$192="NOTA DE CREDITO","",IF(Registro_Compras!$F$192="RHE",ROUND(Registro_Compras!$L$192*Registro_Compras!$N$192,2),ROUND(Registro_Compras!$J$192*Registro_Compras!$N$192,2))))</f>
        <v/>
      </c>
      <c r="G1701" t="str">
        <f>IF($C1701="","","Por el destino del gasto")</f>
        <v/>
      </c>
      <c r="H1701" t="str">
        <f>IF($C1701="","",Registro_Compras!$C$192)</f>
        <v/>
      </c>
    </row>
    <row r="1702" spans="1:8" x14ac:dyDescent="0.25">
      <c r="A1702" s="25" t="str">
        <f>IF($C1702="","",Registro_Compras!$X$192)</f>
        <v/>
      </c>
      <c r="B1702" t="str">
        <f>IF($C1702="","","C"&amp;TEXT(INT((ROW()-5)/9)+1,"000")&amp;"-3")</f>
        <v/>
      </c>
      <c r="C1702" t="str">
        <f>IF(OR(Registro_Compras!$C$192="",Registro_Compras!$O$192="",Registro_Compras!$R$192&lt;&gt;"SI",Registro_Compras!$X$192=""),"","4212")</f>
        <v/>
      </c>
      <c r="D1702" t="str">
        <f>IF(OR(Registro_Compras!$C$192="",Registro_Compras!$O$192=""),"","Cuentas por Pagar Comerciales - Terceros")</f>
        <v/>
      </c>
      <c r="E1702" s="20" t="str">
        <f>IF($C1702="","",Registro_Compras!$S$192)</f>
        <v/>
      </c>
      <c r="F1702" s="20" t="str">
        <f>""</f>
        <v/>
      </c>
      <c r="G1702" t="str">
        <f>IF($C1702="","","Por el deposito de la detraccion en el Banco de la Nacion")</f>
        <v/>
      </c>
      <c r="H1702" t="str">
        <f>IF($C1702="","",Registro_Compras!$C$192)</f>
        <v/>
      </c>
    </row>
    <row r="1703" spans="1:8" x14ac:dyDescent="0.25">
      <c r="A1703" s="25" t="str">
        <f>IF($C1703="","",Registro_Compras!$X$192)</f>
        <v/>
      </c>
      <c r="B1703" t="str">
        <f>IF($C1703="","","C"&amp;TEXT(INT((ROW()-5)/9)+1,"000")&amp;"-3")</f>
        <v/>
      </c>
      <c r="C1703" t="str">
        <f>IF(OR(Registro_Compras!$C$192="",Registro_Compras!$O$192="",Registro_Compras!$R$192&lt;&gt;"SI",Registro_Compras!$X$192=""),"","1041")</f>
        <v/>
      </c>
      <c r="D1703" t="str">
        <f>IF(OR(Registro_Compras!$C$192="",Registro_Compras!$O$192=""),"","Efectivo y Equivalentes - Cta. Cte. Operativa")</f>
        <v/>
      </c>
      <c r="E1703" s="20" t="str">
        <f>""</f>
        <v/>
      </c>
      <c r="F1703" s="20" t="str">
        <f>IF($C1703="","",Registro_Compras!$S$192)</f>
        <v/>
      </c>
      <c r="G1703" t="str">
        <f>IF($C1703="","","Por el deposito de la detraccion en el Banco de la Nacion")</f>
        <v/>
      </c>
      <c r="H1703" t="str">
        <f>IF($C1703="","",Registro_Compras!$C$192)</f>
        <v/>
      </c>
    </row>
    <row r="1704" spans="1:8" x14ac:dyDescent="0.25">
      <c r="A1704" s="25" t="str">
        <f>IF($C1704="","",Registro_Compras!$Y$192)</f>
        <v/>
      </c>
      <c r="B1704" t="str">
        <f>IF($C1704="","","C"&amp;TEXT(INT((ROW()-5)/9)+1,"000")&amp;"-4")</f>
        <v/>
      </c>
      <c r="C1704" t="str">
        <f>IF(OR(Registro_Compras!$C$192="",Registro_Compras!$O$192="",Registro_Compras!$Y$192="",Registro_Compras!$F$192="NOTA DE CREDITO"),"","4212")</f>
        <v/>
      </c>
      <c r="D1704" t="str">
        <f>IF(OR(Registro_Compras!$C$192="",Registro_Compras!$O$192=""),"","Cuentas por Pagar Comerciales - Terceros")</f>
        <v/>
      </c>
      <c r="E1704" s="20" t="str">
        <f>IF($C1704="","",IF(Registro_Compras!$F$192="RHE",(ROUND(Registro_Compras!$L$192*Registro_Compras!$N$192,2)-ROUND(Registro_Compras!$V$192*Registro_Compras!$N$192,2)),ROUND(Registro_Compras!$O$192-Registro_Compras!$S$192,2)))</f>
        <v/>
      </c>
      <c r="F1704" s="20" t="str">
        <f>""</f>
        <v/>
      </c>
      <c r="G1704" t="str">
        <f>IF($C1704="","","Por la cancelacion del saldo al proveedor")</f>
        <v/>
      </c>
      <c r="H1704" t="str">
        <f>IF($C1704="","",Registro_Compras!$C$192)</f>
        <v/>
      </c>
    </row>
    <row r="1705" spans="1:8" x14ac:dyDescent="0.25">
      <c r="A1705" s="25" t="str">
        <f>IF($C1705="","",Registro_Compras!$Y$192)</f>
        <v/>
      </c>
      <c r="B1705" t="str">
        <f>IF($C1705="","","C"&amp;TEXT(INT((ROW()-5)/9)+1,"000")&amp;"-4")</f>
        <v/>
      </c>
      <c r="C1705" t="str">
        <f>IF(OR(Registro_Compras!$C$192="",Registro_Compras!$O$192="",Registro_Compras!$Y$192="",Registro_Compras!$F$192="NOTA DE CREDITO"),"","1041")</f>
        <v/>
      </c>
      <c r="D1705" t="str">
        <f>IF(OR(Registro_Compras!$C$192="",Registro_Compras!$O$192=""),"","Efectivo y Equivalentes - Cta. Cte. Operativa")</f>
        <v/>
      </c>
      <c r="E1705" s="20" t="str">
        <f>""</f>
        <v/>
      </c>
      <c r="F1705" s="20" t="str">
        <f>IF($C1705="","",IF(Registro_Compras!$F$192="RHE",(ROUND(Registro_Compras!$L$192*Registro_Compras!$N$192,2)-ROUND(Registro_Compras!$V$192*Registro_Compras!$N$192,2)),ROUND(Registro_Compras!$O$192-Registro_Compras!$S$192,2)))</f>
        <v/>
      </c>
      <c r="G1705" t="str">
        <f>IF($C1705="","","Por la cancelacion del saldo al proveedor")</f>
        <v/>
      </c>
      <c r="H1705" t="str">
        <f>IF($C1705="","",Registro_Compras!$C$192)</f>
        <v/>
      </c>
    </row>
    <row r="1706" spans="1:8" x14ac:dyDescent="0.25">
      <c r="A1706" s="25" t="str">
        <f>IF($C1706="","",Registro_Compras!$B$193)</f>
        <v/>
      </c>
      <c r="B1706" t="str">
        <f>IF($C1706="","","C"&amp;TEXT(INT((ROW()-5)/9)+1,"000")&amp;"-1")</f>
        <v/>
      </c>
      <c r="C1706" t="str">
        <f>IF(OR(Registro_Compras!$C$193="",Registro_Compras!$O$193=""),"",IF(Registro_Compras!$F$193="NOTA DE CREDITO","4212",IF(Registro_Compras!$M$193="","63",Registro_Compras!$M$193)))</f>
        <v/>
      </c>
      <c r="D1706" t="str">
        <f>IF(OR(Registro_Compras!$C$193="",Registro_Compras!$O$193=""),"",IF(Registro_Compras!$F$193="NOTA DE CREDITO","Cuentas por Pagar Comerciales - Terceros (Emitidas)",IF(Registro_Compras!$F$193="RHE","Honorarios Profesionales - Servicios de Terceros","Gastos de Servicios Prestados por Terceros")))</f>
        <v/>
      </c>
      <c r="E1706" s="20" t="str">
        <f>IF($C1706="","",IF(Registro_Compras!$F$193="NOTA DE CREDITO",ABS(Registro_Compras!$O$193),IF(Registro_Compras!$F$193="RHE",ROUND(Registro_Compras!$L$193*Registro_Compras!$N$193,2),ROUND(Registro_Compras!$J$193*Registro_Compras!$N$193,2))))</f>
        <v/>
      </c>
      <c r="F1706" s="20" t="str">
        <f>""</f>
        <v/>
      </c>
      <c r="G1706" t="str">
        <f>IF($C1706="","",IF(Registro_Compras!$F$193="NOTA DE CREDITO","Por la nota de credito "&amp;Registro_Compras!$C$193&amp;" de "&amp;Registro_Compras!$E$193&amp;" [PATRON POR CONFIRMAR CON CONTADOR]",IF(Registro_Compras!$F$193="RHE","Por el registro del recibo por honorarios "&amp;Registro_Compras!$C$193&amp;" de "&amp;Registro_Compras!$E$193&amp;" [PATRON POR CONFIRMAR CON CONTADOR]","Por el registro de la factura "&amp;Registro_Compras!$C$193&amp;" de "&amp;Registro_Compras!$E$193)))</f>
        <v/>
      </c>
      <c r="H1706" t="str">
        <f>IF($C1706="","",Registro_Compras!$C$193)</f>
        <v/>
      </c>
    </row>
    <row r="1707" spans="1:8" x14ac:dyDescent="0.25">
      <c r="A1707" s="25" t="str">
        <f>IF($C1707="","",Registro_Compras!$B$193)</f>
        <v/>
      </c>
      <c r="B1707" t="str">
        <f>IF($C1707="","","C"&amp;TEXT(INT((ROW()-5)/9)+1,"000")&amp;"-1")</f>
        <v/>
      </c>
      <c r="C1707" t="str">
        <f>IF(OR(Registro_Compras!$C$193="",Registro_Compras!$O$193=""),"",IF(Registro_Compras!$F$193="RHE",IF(Registro_Compras!$V$193=0,"","4017"),IF(Registro_Compras!$F$193="NOTA DE CREDITO",IF(Registro_Compras!$M$193="","63",Registro_Compras!$M$193),IF(Registro_Compras!$K$193=0,"","40111"))))</f>
        <v/>
      </c>
      <c r="D1707" t="str">
        <f>IF(OR(Registro_Compras!$C$193="",Registro_Compras!$O$193=""),"",IF(Registro_Compras!$F$193="RHE","Retencion Renta 4ta Categoria por Pagar",IF(Registro_Compras!$F$193="NOTA DE CREDITO","Gastos de Servicios Prestados por Terceros","IGV - Cuenta Propia (Credito Fiscal)")))</f>
        <v/>
      </c>
      <c r="E1707" s="20" t="str">
        <f>IF($C1707="","",IF(Registro_Compras!$F$193="FACTURA",ROUND(Registro_Compras!$K$193*Registro_Compras!$N$193,2),""))</f>
        <v/>
      </c>
      <c r="F1707" s="20" t="str">
        <f>IF($C1707="","",IF(Registro_Compras!$F$193="RHE",ROUND(Registro_Compras!$V$193*Registro_Compras!$N$193,2),IF(Registro_Compras!$F$193="NOTA DE CREDITO",ROUND(ABS(Registro_Compras!$J$193*Registro_Compras!$N$193),2),"")))</f>
        <v/>
      </c>
      <c r="G1707" t="str">
        <f>IF($C1707="","",IF(Registro_Compras!$F$193="NOTA DE CREDITO","Por la nota de credito "&amp;Registro_Compras!$C$193&amp;" de "&amp;Registro_Compras!$E$193&amp;" [PATRON POR CONFIRMAR CON CONTADOR]",IF(Registro_Compras!$F$193="RHE","Por el registro del recibo por honorarios "&amp;Registro_Compras!$C$193&amp;" de "&amp;Registro_Compras!$E$193&amp;" [PATRON POR CONFIRMAR CON CONTADOR]","Por el registro de la factura "&amp;Registro_Compras!$C$193&amp;" de "&amp;Registro_Compras!$E$193)))</f>
        <v/>
      </c>
      <c r="H1707" t="str">
        <f>IF($C1707="","",Registro_Compras!$C$193)</f>
        <v/>
      </c>
    </row>
    <row r="1708" spans="1:8" x14ac:dyDescent="0.25">
      <c r="A1708" s="25" t="str">
        <f>IF($C1708="","",Registro_Compras!$B$193)</f>
        <v/>
      </c>
      <c r="B1708" t="str">
        <f>IF($C1708="","","C"&amp;TEXT(INT((ROW()-5)/9)+1,"000")&amp;"-1")</f>
        <v/>
      </c>
      <c r="C1708" t="str">
        <f>IF(OR(Registro_Compras!$C$193="",Registro_Compras!$O$193=""),"",IF(Registro_Compras!$F$193="NOTA DE CREDITO",IF(Registro_Compras!$K$193=0,"","40111"),"4212"))</f>
        <v/>
      </c>
      <c r="D1708" t="str">
        <f>IF(OR(Registro_Compras!$C$193="",Registro_Compras!$O$193=""),"",IF(Registro_Compras!$F$193="NOTA DE CREDITO","IGV - Cuenta Propia (Credito Fiscal)","Cuentas por Pagar Comerciales - Terceros (Emitidas)"))</f>
        <v/>
      </c>
      <c r="E1708" s="20" t="str">
        <f>""</f>
        <v/>
      </c>
      <c r="F1708" s="20" t="str">
        <f>IF($C1708="","",IF(Registro_Compras!$F$193="NOTA DE CREDITO",ROUND(ABS(Registro_Compras!$K$193*Registro_Compras!$N$193),2),IF(Registro_Compras!$F$193="RHE",(ROUND(Registro_Compras!$L$193*Registro_Compras!$N$193,2)-ROUND(Registro_Compras!$V$193*Registro_Compras!$N$193,2)),Registro_Compras!$O$193)))</f>
        <v/>
      </c>
      <c r="G1708" t="str">
        <f>IF($C1708="","",IF(Registro_Compras!$F$193="NOTA DE CREDITO","Por la nota de credito "&amp;Registro_Compras!$C$193&amp;" de "&amp;Registro_Compras!$E$193&amp;" [PATRON POR CONFIRMAR CON CONTADOR]",IF(Registro_Compras!$F$193="RHE","Por el registro del recibo por honorarios "&amp;Registro_Compras!$C$193&amp;" de "&amp;Registro_Compras!$E$193&amp;" [PATRON POR CONFIRMAR CON CONTADOR]","Por el registro de la factura "&amp;Registro_Compras!$C$193&amp;" de "&amp;Registro_Compras!$E$193)))</f>
        <v/>
      </c>
      <c r="H1708" t="str">
        <f>IF($C1708="","",Registro_Compras!$C$193)</f>
        <v/>
      </c>
    </row>
    <row r="1709" spans="1:8" x14ac:dyDescent="0.25">
      <c r="A1709" s="25" t="str">
        <f>IF($C1709="","",Registro_Compras!$B$193)</f>
        <v/>
      </c>
      <c r="B1709" t="str">
        <f>IF($C1709="","","C"&amp;TEXT(INT((ROW()-5)/9)+1,"000")&amp;"-2")</f>
        <v/>
      </c>
      <c r="C1709" t="str">
        <f>IF(OR(Registro_Compras!$C$193="",Registro_Compras!$O$193=""),"",IF(Registro_Compras!$AB$193="ADMINISTRATIVO","94","95"))</f>
        <v/>
      </c>
      <c r="D1709" t="str">
        <f>IF(OR(Registro_Compras!$C$193="",Registro_Compras!$O$193=""),"",IF(Registro_Compras!$AB$193="ADMINISTRATIVO","Gastos Administrativos","Gastos de Venta y Operacion"))</f>
        <v/>
      </c>
      <c r="E1709" s="20" t="str">
        <f>IF($C1709="","",IF(Registro_Compras!$F$193="NOTA DE CREDITO","",IF(Registro_Compras!$F$193="RHE",ROUND(Registro_Compras!$L$193*Registro_Compras!$N$193,2),ROUND(Registro_Compras!$J$193*Registro_Compras!$N$193,2))))</f>
        <v/>
      </c>
      <c r="F1709" s="20" t="str">
        <f>IF($C1709="","",IF(Registro_Compras!$F$193="NOTA DE CREDITO",ROUND(ABS(Registro_Compras!$J$193*Registro_Compras!$N$193),2),""))</f>
        <v/>
      </c>
      <c r="G1709" t="str">
        <f>IF($C1709="","","Por el destino del gasto")</f>
        <v/>
      </c>
      <c r="H1709" t="str">
        <f>IF($C1709="","",Registro_Compras!$C$193)</f>
        <v/>
      </c>
    </row>
    <row r="1710" spans="1:8" x14ac:dyDescent="0.25">
      <c r="A1710" s="25" t="str">
        <f>IF($C1710="","",Registro_Compras!$B$193)</f>
        <v/>
      </c>
      <c r="B1710" t="str">
        <f>IF($C1710="","","C"&amp;TEXT(INT((ROW()-5)/9)+1,"000")&amp;"-2")</f>
        <v/>
      </c>
      <c r="C1710" t="str">
        <f>IF(OR(Registro_Compras!$C$193="",Registro_Compras!$O$193=""),"","79/791")</f>
        <v/>
      </c>
      <c r="D1710" t="str">
        <f>IF(OR(Registro_Compras!$C$193="",Registro_Compras!$O$193=""),"","Cargas Imputables a Cuentas de Costos y Gastos")</f>
        <v/>
      </c>
      <c r="E1710" s="20" t="str">
        <f>IF($C1710="","",IF(Registro_Compras!$F$193="NOTA DE CREDITO",ROUND(ABS(Registro_Compras!$J$193*Registro_Compras!$N$193),2),""))</f>
        <v/>
      </c>
      <c r="F1710" s="20" t="str">
        <f>IF($C1710="","",IF(Registro_Compras!$F$193="NOTA DE CREDITO","",IF(Registro_Compras!$F$193="RHE",ROUND(Registro_Compras!$L$193*Registro_Compras!$N$193,2),ROUND(Registro_Compras!$J$193*Registro_Compras!$N$193,2))))</f>
        <v/>
      </c>
      <c r="G1710" t="str">
        <f>IF($C1710="","","Por el destino del gasto")</f>
        <v/>
      </c>
      <c r="H1710" t="str">
        <f>IF($C1710="","",Registro_Compras!$C$193)</f>
        <v/>
      </c>
    </row>
    <row r="1711" spans="1:8" x14ac:dyDescent="0.25">
      <c r="A1711" s="25" t="str">
        <f>IF($C1711="","",Registro_Compras!$X$193)</f>
        <v/>
      </c>
      <c r="B1711" t="str">
        <f>IF($C1711="","","C"&amp;TEXT(INT((ROW()-5)/9)+1,"000")&amp;"-3")</f>
        <v/>
      </c>
      <c r="C1711" t="str">
        <f>IF(OR(Registro_Compras!$C$193="",Registro_Compras!$O$193="",Registro_Compras!$R$193&lt;&gt;"SI",Registro_Compras!$X$193=""),"","4212")</f>
        <v/>
      </c>
      <c r="D1711" t="str">
        <f>IF(OR(Registro_Compras!$C$193="",Registro_Compras!$O$193=""),"","Cuentas por Pagar Comerciales - Terceros")</f>
        <v/>
      </c>
      <c r="E1711" s="20" t="str">
        <f>IF($C1711="","",Registro_Compras!$S$193)</f>
        <v/>
      </c>
      <c r="F1711" s="20" t="str">
        <f>""</f>
        <v/>
      </c>
      <c r="G1711" t="str">
        <f>IF($C1711="","","Por el deposito de la detraccion en el Banco de la Nacion")</f>
        <v/>
      </c>
      <c r="H1711" t="str">
        <f>IF($C1711="","",Registro_Compras!$C$193)</f>
        <v/>
      </c>
    </row>
    <row r="1712" spans="1:8" x14ac:dyDescent="0.25">
      <c r="A1712" s="25" t="str">
        <f>IF($C1712="","",Registro_Compras!$X$193)</f>
        <v/>
      </c>
      <c r="B1712" t="str">
        <f>IF($C1712="","","C"&amp;TEXT(INT((ROW()-5)/9)+1,"000")&amp;"-3")</f>
        <v/>
      </c>
      <c r="C1712" t="str">
        <f>IF(OR(Registro_Compras!$C$193="",Registro_Compras!$O$193="",Registro_Compras!$R$193&lt;&gt;"SI",Registro_Compras!$X$193=""),"","1041")</f>
        <v/>
      </c>
      <c r="D1712" t="str">
        <f>IF(OR(Registro_Compras!$C$193="",Registro_Compras!$O$193=""),"","Efectivo y Equivalentes - Cta. Cte. Operativa")</f>
        <v/>
      </c>
      <c r="E1712" s="20" t="str">
        <f>""</f>
        <v/>
      </c>
      <c r="F1712" s="20" t="str">
        <f>IF($C1712="","",Registro_Compras!$S$193)</f>
        <v/>
      </c>
      <c r="G1712" t="str">
        <f>IF($C1712="","","Por el deposito de la detraccion en el Banco de la Nacion")</f>
        <v/>
      </c>
      <c r="H1712" t="str">
        <f>IF($C1712="","",Registro_Compras!$C$193)</f>
        <v/>
      </c>
    </row>
    <row r="1713" spans="1:8" x14ac:dyDescent="0.25">
      <c r="A1713" s="25" t="str">
        <f>IF($C1713="","",Registro_Compras!$Y$193)</f>
        <v/>
      </c>
      <c r="B1713" t="str">
        <f>IF($C1713="","","C"&amp;TEXT(INT((ROW()-5)/9)+1,"000")&amp;"-4")</f>
        <v/>
      </c>
      <c r="C1713" t="str">
        <f>IF(OR(Registro_Compras!$C$193="",Registro_Compras!$O$193="",Registro_Compras!$Y$193="",Registro_Compras!$F$193="NOTA DE CREDITO"),"","4212")</f>
        <v/>
      </c>
      <c r="D1713" t="str">
        <f>IF(OR(Registro_Compras!$C$193="",Registro_Compras!$O$193=""),"","Cuentas por Pagar Comerciales - Terceros")</f>
        <v/>
      </c>
      <c r="E1713" s="20" t="str">
        <f>IF($C1713="","",IF(Registro_Compras!$F$193="RHE",(ROUND(Registro_Compras!$L$193*Registro_Compras!$N$193,2)-ROUND(Registro_Compras!$V$193*Registro_Compras!$N$193,2)),ROUND(Registro_Compras!$O$193-Registro_Compras!$S$193,2)))</f>
        <v/>
      </c>
      <c r="F1713" s="20" t="str">
        <f>""</f>
        <v/>
      </c>
      <c r="G1713" t="str">
        <f>IF($C1713="","","Por la cancelacion del saldo al proveedor")</f>
        <v/>
      </c>
      <c r="H1713" t="str">
        <f>IF($C1713="","",Registro_Compras!$C$193)</f>
        <v/>
      </c>
    </row>
    <row r="1714" spans="1:8" x14ac:dyDescent="0.25">
      <c r="A1714" s="25" t="str">
        <f>IF($C1714="","",Registro_Compras!$Y$193)</f>
        <v/>
      </c>
      <c r="B1714" t="str">
        <f>IF($C1714="","","C"&amp;TEXT(INT((ROW()-5)/9)+1,"000")&amp;"-4")</f>
        <v/>
      </c>
      <c r="C1714" t="str">
        <f>IF(OR(Registro_Compras!$C$193="",Registro_Compras!$O$193="",Registro_Compras!$Y$193="",Registro_Compras!$F$193="NOTA DE CREDITO"),"","1041")</f>
        <v/>
      </c>
      <c r="D1714" t="str">
        <f>IF(OR(Registro_Compras!$C$193="",Registro_Compras!$O$193=""),"","Efectivo y Equivalentes - Cta. Cte. Operativa")</f>
        <v/>
      </c>
      <c r="E1714" s="20" t="str">
        <f>""</f>
        <v/>
      </c>
      <c r="F1714" s="20" t="str">
        <f>IF($C1714="","",IF(Registro_Compras!$F$193="RHE",(ROUND(Registro_Compras!$L$193*Registro_Compras!$N$193,2)-ROUND(Registro_Compras!$V$193*Registro_Compras!$N$193,2)),ROUND(Registro_Compras!$O$193-Registro_Compras!$S$193,2)))</f>
        <v/>
      </c>
      <c r="G1714" t="str">
        <f>IF($C1714="","","Por la cancelacion del saldo al proveedor")</f>
        <v/>
      </c>
      <c r="H1714" t="str">
        <f>IF($C1714="","",Registro_Compras!$C$193)</f>
        <v/>
      </c>
    </row>
    <row r="1715" spans="1:8" x14ac:dyDescent="0.25">
      <c r="A1715" s="25" t="str">
        <f>IF($C1715="","",Registro_Compras!$B$194)</f>
        <v/>
      </c>
      <c r="B1715" t="str">
        <f>IF($C1715="","","C"&amp;TEXT(INT((ROW()-5)/9)+1,"000")&amp;"-1")</f>
        <v/>
      </c>
      <c r="C1715" t="str">
        <f>IF(OR(Registro_Compras!$C$194="",Registro_Compras!$O$194=""),"",IF(Registro_Compras!$F$194="NOTA DE CREDITO","4212",IF(Registro_Compras!$M$194="","63",Registro_Compras!$M$194)))</f>
        <v/>
      </c>
      <c r="D1715" t="str">
        <f>IF(OR(Registro_Compras!$C$194="",Registro_Compras!$O$194=""),"",IF(Registro_Compras!$F$194="NOTA DE CREDITO","Cuentas por Pagar Comerciales - Terceros (Emitidas)",IF(Registro_Compras!$F$194="RHE","Honorarios Profesionales - Servicios de Terceros","Gastos de Servicios Prestados por Terceros")))</f>
        <v/>
      </c>
      <c r="E1715" s="20" t="str">
        <f>IF($C1715="","",IF(Registro_Compras!$F$194="NOTA DE CREDITO",ABS(Registro_Compras!$O$194),IF(Registro_Compras!$F$194="RHE",ROUND(Registro_Compras!$L$194*Registro_Compras!$N$194,2),ROUND(Registro_Compras!$J$194*Registro_Compras!$N$194,2))))</f>
        <v/>
      </c>
      <c r="F1715" s="20" t="str">
        <f>""</f>
        <v/>
      </c>
      <c r="G1715" t="str">
        <f>IF($C1715="","",IF(Registro_Compras!$F$194="NOTA DE CREDITO","Por la nota de credito "&amp;Registro_Compras!$C$194&amp;" de "&amp;Registro_Compras!$E$194&amp;" [PATRON POR CONFIRMAR CON CONTADOR]",IF(Registro_Compras!$F$194="RHE","Por el registro del recibo por honorarios "&amp;Registro_Compras!$C$194&amp;" de "&amp;Registro_Compras!$E$194&amp;" [PATRON POR CONFIRMAR CON CONTADOR]","Por el registro de la factura "&amp;Registro_Compras!$C$194&amp;" de "&amp;Registro_Compras!$E$194)))</f>
        <v/>
      </c>
      <c r="H1715" t="str">
        <f>IF($C1715="","",Registro_Compras!$C$194)</f>
        <v/>
      </c>
    </row>
    <row r="1716" spans="1:8" x14ac:dyDescent="0.25">
      <c r="A1716" s="25" t="str">
        <f>IF($C1716="","",Registro_Compras!$B$194)</f>
        <v/>
      </c>
      <c r="B1716" t="str">
        <f>IF($C1716="","","C"&amp;TEXT(INT((ROW()-5)/9)+1,"000")&amp;"-1")</f>
        <v/>
      </c>
      <c r="C1716" t="str">
        <f>IF(OR(Registro_Compras!$C$194="",Registro_Compras!$O$194=""),"",IF(Registro_Compras!$F$194="RHE",IF(Registro_Compras!$V$194=0,"","4017"),IF(Registro_Compras!$F$194="NOTA DE CREDITO",IF(Registro_Compras!$M$194="","63",Registro_Compras!$M$194),IF(Registro_Compras!$K$194=0,"","40111"))))</f>
        <v/>
      </c>
      <c r="D1716" t="str">
        <f>IF(OR(Registro_Compras!$C$194="",Registro_Compras!$O$194=""),"",IF(Registro_Compras!$F$194="RHE","Retencion Renta 4ta Categoria por Pagar",IF(Registro_Compras!$F$194="NOTA DE CREDITO","Gastos de Servicios Prestados por Terceros","IGV - Cuenta Propia (Credito Fiscal)")))</f>
        <v/>
      </c>
      <c r="E1716" s="20" t="str">
        <f>IF($C1716="","",IF(Registro_Compras!$F$194="FACTURA",ROUND(Registro_Compras!$K$194*Registro_Compras!$N$194,2),""))</f>
        <v/>
      </c>
      <c r="F1716" s="20" t="str">
        <f>IF($C1716="","",IF(Registro_Compras!$F$194="RHE",ROUND(Registro_Compras!$V$194*Registro_Compras!$N$194,2),IF(Registro_Compras!$F$194="NOTA DE CREDITO",ROUND(ABS(Registro_Compras!$J$194*Registro_Compras!$N$194),2),"")))</f>
        <v/>
      </c>
      <c r="G1716" t="str">
        <f>IF($C1716="","",IF(Registro_Compras!$F$194="NOTA DE CREDITO","Por la nota de credito "&amp;Registro_Compras!$C$194&amp;" de "&amp;Registro_Compras!$E$194&amp;" [PATRON POR CONFIRMAR CON CONTADOR]",IF(Registro_Compras!$F$194="RHE","Por el registro del recibo por honorarios "&amp;Registro_Compras!$C$194&amp;" de "&amp;Registro_Compras!$E$194&amp;" [PATRON POR CONFIRMAR CON CONTADOR]","Por el registro de la factura "&amp;Registro_Compras!$C$194&amp;" de "&amp;Registro_Compras!$E$194)))</f>
        <v/>
      </c>
      <c r="H1716" t="str">
        <f>IF($C1716="","",Registro_Compras!$C$194)</f>
        <v/>
      </c>
    </row>
    <row r="1717" spans="1:8" x14ac:dyDescent="0.25">
      <c r="A1717" s="25" t="str">
        <f>IF($C1717="","",Registro_Compras!$B$194)</f>
        <v/>
      </c>
      <c r="B1717" t="str">
        <f>IF($C1717="","","C"&amp;TEXT(INT((ROW()-5)/9)+1,"000")&amp;"-1")</f>
        <v/>
      </c>
      <c r="C1717" t="str">
        <f>IF(OR(Registro_Compras!$C$194="",Registro_Compras!$O$194=""),"",IF(Registro_Compras!$F$194="NOTA DE CREDITO",IF(Registro_Compras!$K$194=0,"","40111"),"4212"))</f>
        <v/>
      </c>
      <c r="D1717" t="str">
        <f>IF(OR(Registro_Compras!$C$194="",Registro_Compras!$O$194=""),"",IF(Registro_Compras!$F$194="NOTA DE CREDITO","IGV - Cuenta Propia (Credito Fiscal)","Cuentas por Pagar Comerciales - Terceros (Emitidas)"))</f>
        <v/>
      </c>
      <c r="E1717" s="20" t="str">
        <f>""</f>
        <v/>
      </c>
      <c r="F1717" s="20" t="str">
        <f>IF($C1717="","",IF(Registro_Compras!$F$194="NOTA DE CREDITO",ROUND(ABS(Registro_Compras!$K$194*Registro_Compras!$N$194),2),IF(Registro_Compras!$F$194="RHE",(ROUND(Registro_Compras!$L$194*Registro_Compras!$N$194,2)-ROUND(Registro_Compras!$V$194*Registro_Compras!$N$194,2)),Registro_Compras!$O$194)))</f>
        <v/>
      </c>
      <c r="G1717" t="str">
        <f>IF($C1717="","",IF(Registro_Compras!$F$194="NOTA DE CREDITO","Por la nota de credito "&amp;Registro_Compras!$C$194&amp;" de "&amp;Registro_Compras!$E$194&amp;" [PATRON POR CONFIRMAR CON CONTADOR]",IF(Registro_Compras!$F$194="RHE","Por el registro del recibo por honorarios "&amp;Registro_Compras!$C$194&amp;" de "&amp;Registro_Compras!$E$194&amp;" [PATRON POR CONFIRMAR CON CONTADOR]","Por el registro de la factura "&amp;Registro_Compras!$C$194&amp;" de "&amp;Registro_Compras!$E$194)))</f>
        <v/>
      </c>
      <c r="H1717" t="str">
        <f>IF($C1717="","",Registro_Compras!$C$194)</f>
        <v/>
      </c>
    </row>
    <row r="1718" spans="1:8" x14ac:dyDescent="0.25">
      <c r="A1718" s="25" t="str">
        <f>IF($C1718="","",Registro_Compras!$B$194)</f>
        <v/>
      </c>
      <c r="B1718" t="str">
        <f>IF($C1718="","","C"&amp;TEXT(INT((ROW()-5)/9)+1,"000")&amp;"-2")</f>
        <v/>
      </c>
      <c r="C1718" t="str">
        <f>IF(OR(Registro_Compras!$C$194="",Registro_Compras!$O$194=""),"",IF(Registro_Compras!$AB$194="ADMINISTRATIVO","94","95"))</f>
        <v/>
      </c>
      <c r="D1718" t="str">
        <f>IF(OR(Registro_Compras!$C$194="",Registro_Compras!$O$194=""),"",IF(Registro_Compras!$AB$194="ADMINISTRATIVO","Gastos Administrativos","Gastos de Venta y Operacion"))</f>
        <v/>
      </c>
      <c r="E1718" s="20" t="str">
        <f>IF($C1718="","",IF(Registro_Compras!$F$194="NOTA DE CREDITO","",IF(Registro_Compras!$F$194="RHE",ROUND(Registro_Compras!$L$194*Registro_Compras!$N$194,2),ROUND(Registro_Compras!$J$194*Registro_Compras!$N$194,2))))</f>
        <v/>
      </c>
      <c r="F1718" s="20" t="str">
        <f>IF($C1718="","",IF(Registro_Compras!$F$194="NOTA DE CREDITO",ROUND(ABS(Registro_Compras!$J$194*Registro_Compras!$N$194),2),""))</f>
        <v/>
      </c>
      <c r="G1718" t="str">
        <f>IF($C1718="","","Por el destino del gasto")</f>
        <v/>
      </c>
      <c r="H1718" t="str">
        <f>IF($C1718="","",Registro_Compras!$C$194)</f>
        <v/>
      </c>
    </row>
    <row r="1719" spans="1:8" x14ac:dyDescent="0.25">
      <c r="A1719" s="25" t="str">
        <f>IF($C1719="","",Registro_Compras!$B$194)</f>
        <v/>
      </c>
      <c r="B1719" t="str">
        <f>IF($C1719="","","C"&amp;TEXT(INT((ROW()-5)/9)+1,"000")&amp;"-2")</f>
        <v/>
      </c>
      <c r="C1719" t="str">
        <f>IF(OR(Registro_Compras!$C$194="",Registro_Compras!$O$194=""),"","79/791")</f>
        <v/>
      </c>
      <c r="D1719" t="str">
        <f>IF(OR(Registro_Compras!$C$194="",Registro_Compras!$O$194=""),"","Cargas Imputables a Cuentas de Costos y Gastos")</f>
        <v/>
      </c>
      <c r="E1719" s="20" t="str">
        <f>IF($C1719="","",IF(Registro_Compras!$F$194="NOTA DE CREDITO",ROUND(ABS(Registro_Compras!$J$194*Registro_Compras!$N$194),2),""))</f>
        <v/>
      </c>
      <c r="F1719" s="20" t="str">
        <f>IF($C1719="","",IF(Registro_Compras!$F$194="NOTA DE CREDITO","",IF(Registro_Compras!$F$194="RHE",ROUND(Registro_Compras!$L$194*Registro_Compras!$N$194,2),ROUND(Registro_Compras!$J$194*Registro_Compras!$N$194,2))))</f>
        <v/>
      </c>
      <c r="G1719" t="str">
        <f>IF($C1719="","","Por el destino del gasto")</f>
        <v/>
      </c>
      <c r="H1719" t="str">
        <f>IF($C1719="","",Registro_Compras!$C$194)</f>
        <v/>
      </c>
    </row>
    <row r="1720" spans="1:8" x14ac:dyDescent="0.25">
      <c r="A1720" s="25" t="str">
        <f>IF($C1720="","",Registro_Compras!$X$194)</f>
        <v/>
      </c>
      <c r="B1720" t="str">
        <f>IF($C1720="","","C"&amp;TEXT(INT((ROW()-5)/9)+1,"000")&amp;"-3")</f>
        <v/>
      </c>
      <c r="C1720" t="str">
        <f>IF(OR(Registro_Compras!$C$194="",Registro_Compras!$O$194="",Registro_Compras!$R$194&lt;&gt;"SI",Registro_Compras!$X$194=""),"","4212")</f>
        <v/>
      </c>
      <c r="D1720" t="str">
        <f>IF(OR(Registro_Compras!$C$194="",Registro_Compras!$O$194=""),"","Cuentas por Pagar Comerciales - Terceros")</f>
        <v/>
      </c>
      <c r="E1720" s="20" t="str">
        <f>IF($C1720="","",Registro_Compras!$S$194)</f>
        <v/>
      </c>
      <c r="F1720" s="20" t="str">
        <f>""</f>
        <v/>
      </c>
      <c r="G1720" t="str">
        <f>IF($C1720="","","Por el deposito de la detraccion en el Banco de la Nacion")</f>
        <v/>
      </c>
      <c r="H1720" t="str">
        <f>IF($C1720="","",Registro_Compras!$C$194)</f>
        <v/>
      </c>
    </row>
    <row r="1721" spans="1:8" x14ac:dyDescent="0.25">
      <c r="A1721" s="25" t="str">
        <f>IF($C1721="","",Registro_Compras!$X$194)</f>
        <v/>
      </c>
      <c r="B1721" t="str">
        <f>IF($C1721="","","C"&amp;TEXT(INT((ROW()-5)/9)+1,"000")&amp;"-3")</f>
        <v/>
      </c>
      <c r="C1721" t="str">
        <f>IF(OR(Registro_Compras!$C$194="",Registro_Compras!$O$194="",Registro_Compras!$R$194&lt;&gt;"SI",Registro_Compras!$X$194=""),"","1041")</f>
        <v/>
      </c>
      <c r="D1721" t="str">
        <f>IF(OR(Registro_Compras!$C$194="",Registro_Compras!$O$194=""),"","Efectivo y Equivalentes - Cta. Cte. Operativa")</f>
        <v/>
      </c>
      <c r="E1721" s="20" t="str">
        <f>""</f>
        <v/>
      </c>
      <c r="F1721" s="20" t="str">
        <f>IF($C1721="","",Registro_Compras!$S$194)</f>
        <v/>
      </c>
      <c r="G1721" t="str">
        <f>IF($C1721="","","Por el deposito de la detraccion en el Banco de la Nacion")</f>
        <v/>
      </c>
      <c r="H1721" t="str">
        <f>IF($C1721="","",Registro_Compras!$C$194)</f>
        <v/>
      </c>
    </row>
    <row r="1722" spans="1:8" x14ac:dyDescent="0.25">
      <c r="A1722" s="25" t="str">
        <f>IF($C1722="","",Registro_Compras!$Y$194)</f>
        <v/>
      </c>
      <c r="B1722" t="str">
        <f>IF($C1722="","","C"&amp;TEXT(INT((ROW()-5)/9)+1,"000")&amp;"-4")</f>
        <v/>
      </c>
      <c r="C1722" t="str">
        <f>IF(OR(Registro_Compras!$C$194="",Registro_Compras!$O$194="",Registro_Compras!$Y$194="",Registro_Compras!$F$194="NOTA DE CREDITO"),"","4212")</f>
        <v/>
      </c>
      <c r="D1722" t="str">
        <f>IF(OR(Registro_Compras!$C$194="",Registro_Compras!$O$194=""),"","Cuentas por Pagar Comerciales - Terceros")</f>
        <v/>
      </c>
      <c r="E1722" s="20" t="str">
        <f>IF($C1722="","",IF(Registro_Compras!$F$194="RHE",(ROUND(Registro_Compras!$L$194*Registro_Compras!$N$194,2)-ROUND(Registro_Compras!$V$194*Registro_Compras!$N$194,2)),ROUND(Registro_Compras!$O$194-Registro_Compras!$S$194,2)))</f>
        <v/>
      </c>
      <c r="F1722" s="20" t="str">
        <f>""</f>
        <v/>
      </c>
      <c r="G1722" t="str">
        <f>IF($C1722="","","Por la cancelacion del saldo al proveedor")</f>
        <v/>
      </c>
      <c r="H1722" t="str">
        <f>IF($C1722="","",Registro_Compras!$C$194)</f>
        <v/>
      </c>
    </row>
    <row r="1723" spans="1:8" x14ac:dyDescent="0.25">
      <c r="A1723" s="25" t="str">
        <f>IF($C1723="","",Registro_Compras!$Y$194)</f>
        <v/>
      </c>
      <c r="B1723" t="str">
        <f>IF($C1723="","","C"&amp;TEXT(INT((ROW()-5)/9)+1,"000")&amp;"-4")</f>
        <v/>
      </c>
      <c r="C1723" t="str">
        <f>IF(OR(Registro_Compras!$C$194="",Registro_Compras!$O$194="",Registro_Compras!$Y$194="",Registro_Compras!$F$194="NOTA DE CREDITO"),"","1041")</f>
        <v/>
      </c>
      <c r="D1723" t="str">
        <f>IF(OR(Registro_Compras!$C$194="",Registro_Compras!$O$194=""),"","Efectivo y Equivalentes - Cta. Cte. Operativa")</f>
        <v/>
      </c>
      <c r="E1723" s="20" t="str">
        <f>""</f>
        <v/>
      </c>
      <c r="F1723" s="20" t="str">
        <f>IF($C1723="","",IF(Registro_Compras!$F$194="RHE",(ROUND(Registro_Compras!$L$194*Registro_Compras!$N$194,2)-ROUND(Registro_Compras!$V$194*Registro_Compras!$N$194,2)),ROUND(Registro_Compras!$O$194-Registro_Compras!$S$194,2)))</f>
        <v/>
      </c>
      <c r="G1723" t="str">
        <f>IF($C1723="","","Por la cancelacion del saldo al proveedor")</f>
        <v/>
      </c>
      <c r="H1723" t="str">
        <f>IF($C1723="","",Registro_Compras!$C$194)</f>
        <v/>
      </c>
    </row>
    <row r="1724" spans="1:8" x14ac:dyDescent="0.25">
      <c r="A1724" s="25" t="str">
        <f>IF($C1724="","",Registro_Compras!$B$195)</f>
        <v/>
      </c>
      <c r="B1724" t="str">
        <f>IF($C1724="","","C"&amp;TEXT(INT((ROW()-5)/9)+1,"000")&amp;"-1")</f>
        <v/>
      </c>
      <c r="C1724" t="str">
        <f>IF(OR(Registro_Compras!$C$195="",Registro_Compras!$O$195=""),"",IF(Registro_Compras!$F$195="NOTA DE CREDITO","4212",IF(Registro_Compras!$M$195="","63",Registro_Compras!$M$195)))</f>
        <v/>
      </c>
      <c r="D1724" t="str">
        <f>IF(OR(Registro_Compras!$C$195="",Registro_Compras!$O$195=""),"",IF(Registro_Compras!$F$195="NOTA DE CREDITO","Cuentas por Pagar Comerciales - Terceros (Emitidas)",IF(Registro_Compras!$F$195="RHE","Honorarios Profesionales - Servicios de Terceros","Gastos de Servicios Prestados por Terceros")))</f>
        <v/>
      </c>
      <c r="E1724" s="20" t="str">
        <f>IF($C1724="","",IF(Registro_Compras!$F$195="NOTA DE CREDITO",ABS(Registro_Compras!$O$195),IF(Registro_Compras!$F$195="RHE",ROUND(Registro_Compras!$L$195*Registro_Compras!$N$195,2),ROUND(Registro_Compras!$J$195*Registro_Compras!$N$195,2))))</f>
        <v/>
      </c>
      <c r="F1724" s="20" t="str">
        <f>""</f>
        <v/>
      </c>
      <c r="G1724" t="str">
        <f>IF($C1724="","",IF(Registro_Compras!$F$195="NOTA DE CREDITO","Por la nota de credito "&amp;Registro_Compras!$C$195&amp;" de "&amp;Registro_Compras!$E$195&amp;" [PATRON POR CONFIRMAR CON CONTADOR]",IF(Registro_Compras!$F$195="RHE","Por el registro del recibo por honorarios "&amp;Registro_Compras!$C$195&amp;" de "&amp;Registro_Compras!$E$195&amp;" [PATRON POR CONFIRMAR CON CONTADOR]","Por el registro de la factura "&amp;Registro_Compras!$C$195&amp;" de "&amp;Registro_Compras!$E$195)))</f>
        <v/>
      </c>
      <c r="H1724" t="str">
        <f>IF($C1724="","",Registro_Compras!$C$195)</f>
        <v/>
      </c>
    </row>
    <row r="1725" spans="1:8" x14ac:dyDescent="0.25">
      <c r="A1725" s="25" t="str">
        <f>IF($C1725="","",Registro_Compras!$B$195)</f>
        <v/>
      </c>
      <c r="B1725" t="str">
        <f>IF($C1725="","","C"&amp;TEXT(INT((ROW()-5)/9)+1,"000")&amp;"-1")</f>
        <v/>
      </c>
      <c r="C1725" t="str">
        <f>IF(OR(Registro_Compras!$C$195="",Registro_Compras!$O$195=""),"",IF(Registro_Compras!$F$195="RHE",IF(Registro_Compras!$V$195=0,"","4017"),IF(Registro_Compras!$F$195="NOTA DE CREDITO",IF(Registro_Compras!$M$195="","63",Registro_Compras!$M$195),IF(Registro_Compras!$K$195=0,"","40111"))))</f>
        <v/>
      </c>
      <c r="D1725" t="str">
        <f>IF(OR(Registro_Compras!$C$195="",Registro_Compras!$O$195=""),"",IF(Registro_Compras!$F$195="RHE","Retencion Renta 4ta Categoria por Pagar",IF(Registro_Compras!$F$195="NOTA DE CREDITO","Gastos de Servicios Prestados por Terceros","IGV - Cuenta Propia (Credito Fiscal)")))</f>
        <v/>
      </c>
      <c r="E1725" s="20" t="str">
        <f>IF($C1725="","",IF(Registro_Compras!$F$195="FACTURA",ROUND(Registro_Compras!$K$195*Registro_Compras!$N$195,2),""))</f>
        <v/>
      </c>
      <c r="F1725" s="20" t="str">
        <f>IF($C1725="","",IF(Registro_Compras!$F$195="RHE",ROUND(Registro_Compras!$V$195*Registro_Compras!$N$195,2),IF(Registro_Compras!$F$195="NOTA DE CREDITO",ROUND(ABS(Registro_Compras!$J$195*Registro_Compras!$N$195),2),"")))</f>
        <v/>
      </c>
      <c r="G1725" t="str">
        <f>IF($C1725="","",IF(Registro_Compras!$F$195="NOTA DE CREDITO","Por la nota de credito "&amp;Registro_Compras!$C$195&amp;" de "&amp;Registro_Compras!$E$195&amp;" [PATRON POR CONFIRMAR CON CONTADOR]",IF(Registro_Compras!$F$195="RHE","Por el registro del recibo por honorarios "&amp;Registro_Compras!$C$195&amp;" de "&amp;Registro_Compras!$E$195&amp;" [PATRON POR CONFIRMAR CON CONTADOR]","Por el registro de la factura "&amp;Registro_Compras!$C$195&amp;" de "&amp;Registro_Compras!$E$195)))</f>
        <v/>
      </c>
      <c r="H1725" t="str">
        <f>IF($C1725="","",Registro_Compras!$C$195)</f>
        <v/>
      </c>
    </row>
    <row r="1726" spans="1:8" x14ac:dyDescent="0.25">
      <c r="A1726" s="25" t="str">
        <f>IF($C1726="","",Registro_Compras!$B$195)</f>
        <v/>
      </c>
      <c r="B1726" t="str">
        <f>IF($C1726="","","C"&amp;TEXT(INT((ROW()-5)/9)+1,"000")&amp;"-1")</f>
        <v/>
      </c>
      <c r="C1726" t="str">
        <f>IF(OR(Registro_Compras!$C$195="",Registro_Compras!$O$195=""),"",IF(Registro_Compras!$F$195="NOTA DE CREDITO",IF(Registro_Compras!$K$195=0,"","40111"),"4212"))</f>
        <v/>
      </c>
      <c r="D1726" t="str">
        <f>IF(OR(Registro_Compras!$C$195="",Registro_Compras!$O$195=""),"",IF(Registro_Compras!$F$195="NOTA DE CREDITO","IGV - Cuenta Propia (Credito Fiscal)","Cuentas por Pagar Comerciales - Terceros (Emitidas)"))</f>
        <v/>
      </c>
      <c r="E1726" s="20" t="str">
        <f>""</f>
        <v/>
      </c>
      <c r="F1726" s="20" t="str">
        <f>IF($C1726="","",IF(Registro_Compras!$F$195="NOTA DE CREDITO",ROUND(ABS(Registro_Compras!$K$195*Registro_Compras!$N$195),2),IF(Registro_Compras!$F$195="RHE",(ROUND(Registro_Compras!$L$195*Registro_Compras!$N$195,2)-ROUND(Registro_Compras!$V$195*Registro_Compras!$N$195,2)),Registro_Compras!$O$195)))</f>
        <v/>
      </c>
      <c r="G1726" t="str">
        <f>IF($C1726="","",IF(Registro_Compras!$F$195="NOTA DE CREDITO","Por la nota de credito "&amp;Registro_Compras!$C$195&amp;" de "&amp;Registro_Compras!$E$195&amp;" [PATRON POR CONFIRMAR CON CONTADOR]",IF(Registro_Compras!$F$195="RHE","Por el registro del recibo por honorarios "&amp;Registro_Compras!$C$195&amp;" de "&amp;Registro_Compras!$E$195&amp;" [PATRON POR CONFIRMAR CON CONTADOR]","Por el registro de la factura "&amp;Registro_Compras!$C$195&amp;" de "&amp;Registro_Compras!$E$195)))</f>
        <v/>
      </c>
      <c r="H1726" t="str">
        <f>IF($C1726="","",Registro_Compras!$C$195)</f>
        <v/>
      </c>
    </row>
    <row r="1727" spans="1:8" x14ac:dyDescent="0.25">
      <c r="A1727" s="25" t="str">
        <f>IF($C1727="","",Registro_Compras!$B$195)</f>
        <v/>
      </c>
      <c r="B1727" t="str">
        <f>IF($C1727="","","C"&amp;TEXT(INT((ROW()-5)/9)+1,"000")&amp;"-2")</f>
        <v/>
      </c>
      <c r="C1727" t="str">
        <f>IF(OR(Registro_Compras!$C$195="",Registro_Compras!$O$195=""),"",IF(Registro_Compras!$AB$195="ADMINISTRATIVO","94","95"))</f>
        <v/>
      </c>
      <c r="D1727" t="str">
        <f>IF(OR(Registro_Compras!$C$195="",Registro_Compras!$O$195=""),"",IF(Registro_Compras!$AB$195="ADMINISTRATIVO","Gastos Administrativos","Gastos de Venta y Operacion"))</f>
        <v/>
      </c>
      <c r="E1727" s="20" t="str">
        <f>IF($C1727="","",IF(Registro_Compras!$F$195="NOTA DE CREDITO","",IF(Registro_Compras!$F$195="RHE",ROUND(Registro_Compras!$L$195*Registro_Compras!$N$195,2),ROUND(Registro_Compras!$J$195*Registro_Compras!$N$195,2))))</f>
        <v/>
      </c>
      <c r="F1727" s="20" t="str">
        <f>IF($C1727="","",IF(Registro_Compras!$F$195="NOTA DE CREDITO",ROUND(ABS(Registro_Compras!$J$195*Registro_Compras!$N$195),2),""))</f>
        <v/>
      </c>
      <c r="G1727" t="str">
        <f>IF($C1727="","","Por el destino del gasto")</f>
        <v/>
      </c>
      <c r="H1727" t="str">
        <f>IF($C1727="","",Registro_Compras!$C$195)</f>
        <v/>
      </c>
    </row>
    <row r="1728" spans="1:8" x14ac:dyDescent="0.25">
      <c r="A1728" s="25" t="str">
        <f>IF($C1728="","",Registro_Compras!$B$195)</f>
        <v/>
      </c>
      <c r="B1728" t="str">
        <f>IF($C1728="","","C"&amp;TEXT(INT((ROW()-5)/9)+1,"000")&amp;"-2")</f>
        <v/>
      </c>
      <c r="C1728" t="str">
        <f>IF(OR(Registro_Compras!$C$195="",Registro_Compras!$O$195=""),"","79/791")</f>
        <v/>
      </c>
      <c r="D1728" t="str">
        <f>IF(OR(Registro_Compras!$C$195="",Registro_Compras!$O$195=""),"","Cargas Imputables a Cuentas de Costos y Gastos")</f>
        <v/>
      </c>
      <c r="E1728" s="20" t="str">
        <f>IF($C1728="","",IF(Registro_Compras!$F$195="NOTA DE CREDITO",ROUND(ABS(Registro_Compras!$J$195*Registro_Compras!$N$195),2),""))</f>
        <v/>
      </c>
      <c r="F1728" s="20" t="str">
        <f>IF($C1728="","",IF(Registro_Compras!$F$195="NOTA DE CREDITO","",IF(Registro_Compras!$F$195="RHE",ROUND(Registro_Compras!$L$195*Registro_Compras!$N$195,2),ROUND(Registro_Compras!$J$195*Registro_Compras!$N$195,2))))</f>
        <v/>
      </c>
      <c r="G1728" t="str">
        <f>IF($C1728="","","Por el destino del gasto")</f>
        <v/>
      </c>
      <c r="H1728" t="str">
        <f>IF($C1728="","",Registro_Compras!$C$195)</f>
        <v/>
      </c>
    </row>
    <row r="1729" spans="1:8" x14ac:dyDescent="0.25">
      <c r="A1729" s="25" t="str">
        <f>IF($C1729="","",Registro_Compras!$X$195)</f>
        <v/>
      </c>
      <c r="B1729" t="str">
        <f>IF($C1729="","","C"&amp;TEXT(INT((ROW()-5)/9)+1,"000")&amp;"-3")</f>
        <v/>
      </c>
      <c r="C1729" t="str">
        <f>IF(OR(Registro_Compras!$C$195="",Registro_Compras!$O$195="",Registro_Compras!$R$195&lt;&gt;"SI",Registro_Compras!$X$195=""),"","4212")</f>
        <v/>
      </c>
      <c r="D1729" t="str">
        <f>IF(OR(Registro_Compras!$C$195="",Registro_Compras!$O$195=""),"","Cuentas por Pagar Comerciales - Terceros")</f>
        <v/>
      </c>
      <c r="E1729" s="20" t="str">
        <f>IF($C1729="","",Registro_Compras!$S$195)</f>
        <v/>
      </c>
      <c r="F1729" s="20" t="str">
        <f>""</f>
        <v/>
      </c>
      <c r="G1729" t="str">
        <f>IF($C1729="","","Por el deposito de la detraccion en el Banco de la Nacion")</f>
        <v/>
      </c>
      <c r="H1729" t="str">
        <f>IF($C1729="","",Registro_Compras!$C$195)</f>
        <v/>
      </c>
    </row>
    <row r="1730" spans="1:8" x14ac:dyDescent="0.25">
      <c r="A1730" s="25" t="str">
        <f>IF($C1730="","",Registro_Compras!$X$195)</f>
        <v/>
      </c>
      <c r="B1730" t="str">
        <f>IF($C1730="","","C"&amp;TEXT(INT((ROW()-5)/9)+1,"000")&amp;"-3")</f>
        <v/>
      </c>
      <c r="C1730" t="str">
        <f>IF(OR(Registro_Compras!$C$195="",Registro_Compras!$O$195="",Registro_Compras!$R$195&lt;&gt;"SI",Registro_Compras!$X$195=""),"","1041")</f>
        <v/>
      </c>
      <c r="D1730" t="str">
        <f>IF(OR(Registro_Compras!$C$195="",Registro_Compras!$O$195=""),"","Efectivo y Equivalentes - Cta. Cte. Operativa")</f>
        <v/>
      </c>
      <c r="E1730" s="20" t="str">
        <f>""</f>
        <v/>
      </c>
      <c r="F1730" s="20" t="str">
        <f>IF($C1730="","",Registro_Compras!$S$195)</f>
        <v/>
      </c>
      <c r="G1730" t="str">
        <f>IF($C1730="","","Por el deposito de la detraccion en el Banco de la Nacion")</f>
        <v/>
      </c>
      <c r="H1730" t="str">
        <f>IF($C1730="","",Registro_Compras!$C$195)</f>
        <v/>
      </c>
    </row>
    <row r="1731" spans="1:8" x14ac:dyDescent="0.25">
      <c r="A1731" s="25" t="str">
        <f>IF($C1731="","",Registro_Compras!$Y$195)</f>
        <v/>
      </c>
      <c r="B1731" t="str">
        <f>IF($C1731="","","C"&amp;TEXT(INT((ROW()-5)/9)+1,"000")&amp;"-4")</f>
        <v/>
      </c>
      <c r="C1731" t="str">
        <f>IF(OR(Registro_Compras!$C$195="",Registro_Compras!$O$195="",Registro_Compras!$Y$195="",Registro_Compras!$F$195="NOTA DE CREDITO"),"","4212")</f>
        <v/>
      </c>
      <c r="D1731" t="str">
        <f>IF(OR(Registro_Compras!$C$195="",Registro_Compras!$O$195=""),"","Cuentas por Pagar Comerciales - Terceros")</f>
        <v/>
      </c>
      <c r="E1731" s="20" t="str">
        <f>IF($C1731="","",IF(Registro_Compras!$F$195="RHE",(ROUND(Registro_Compras!$L$195*Registro_Compras!$N$195,2)-ROUND(Registro_Compras!$V$195*Registro_Compras!$N$195,2)),ROUND(Registro_Compras!$O$195-Registro_Compras!$S$195,2)))</f>
        <v/>
      </c>
      <c r="F1731" s="20" t="str">
        <f>""</f>
        <v/>
      </c>
      <c r="G1731" t="str">
        <f>IF($C1731="","","Por la cancelacion del saldo al proveedor")</f>
        <v/>
      </c>
      <c r="H1731" t="str">
        <f>IF($C1731="","",Registro_Compras!$C$195)</f>
        <v/>
      </c>
    </row>
    <row r="1732" spans="1:8" x14ac:dyDescent="0.25">
      <c r="A1732" s="25" t="str">
        <f>IF($C1732="","",Registro_Compras!$Y$195)</f>
        <v/>
      </c>
      <c r="B1732" t="str">
        <f>IF($C1732="","","C"&amp;TEXT(INT((ROW()-5)/9)+1,"000")&amp;"-4")</f>
        <v/>
      </c>
      <c r="C1732" t="str">
        <f>IF(OR(Registro_Compras!$C$195="",Registro_Compras!$O$195="",Registro_Compras!$Y$195="",Registro_Compras!$F$195="NOTA DE CREDITO"),"","1041")</f>
        <v/>
      </c>
      <c r="D1732" t="str">
        <f>IF(OR(Registro_Compras!$C$195="",Registro_Compras!$O$195=""),"","Efectivo y Equivalentes - Cta. Cte. Operativa")</f>
        <v/>
      </c>
      <c r="E1732" s="20" t="str">
        <f>""</f>
        <v/>
      </c>
      <c r="F1732" s="20" t="str">
        <f>IF($C1732="","",IF(Registro_Compras!$F$195="RHE",(ROUND(Registro_Compras!$L$195*Registro_Compras!$N$195,2)-ROUND(Registro_Compras!$V$195*Registro_Compras!$N$195,2)),ROUND(Registro_Compras!$O$195-Registro_Compras!$S$195,2)))</f>
        <v/>
      </c>
      <c r="G1732" t="str">
        <f>IF($C1732="","","Por la cancelacion del saldo al proveedor")</f>
        <v/>
      </c>
      <c r="H1732" t="str">
        <f>IF($C1732="","",Registro_Compras!$C$195)</f>
        <v/>
      </c>
    </row>
    <row r="1733" spans="1:8" x14ac:dyDescent="0.25">
      <c r="A1733" s="25" t="str">
        <f>IF($C1733="","",Registro_Compras!$B$196)</f>
        <v/>
      </c>
      <c r="B1733" t="str">
        <f>IF($C1733="","","C"&amp;TEXT(INT((ROW()-5)/9)+1,"000")&amp;"-1")</f>
        <v/>
      </c>
      <c r="C1733" t="str">
        <f>IF(OR(Registro_Compras!$C$196="",Registro_Compras!$O$196=""),"",IF(Registro_Compras!$F$196="NOTA DE CREDITO","4212",IF(Registro_Compras!$M$196="","63",Registro_Compras!$M$196)))</f>
        <v/>
      </c>
      <c r="D1733" t="str">
        <f>IF(OR(Registro_Compras!$C$196="",Registro_Compras!$O$196=""),"",IF(Registro_Compras!$F$196="NOTA DE CREDITO","Cuentas por Pagar Comerciales - Terceros (Emitidas)",IF(Registro_Compras!$F$196="RHE","Honorarios Profesionales - Servicios de Terceros","Gastos de Servicios Prestados por Terceros")))</f>
        <v/>
      </c>
      <c r="E1733" s="20" t="str">
        <f>IF($C1733="","",IF(Registro_Compras!$F$196="NOTA DE CREDITO",ABS(Registro_Compras!$O$196),IF(Registro_Compras!$F$196="RHE",ROUND(Registro_Compras!$L$196*Registro_Compras!$N$196,2),ROUND(Registro_Compras!$J$196*Registro_Compras!$N$196,2))))</f>
        <v/>
      </c>
      <c r="F1733" s="20" t="str">
        <f>""</f>
        <v/>
      </c>
      <c r="G1733" t="str">
        <f>IF($C1733="","",IF(Registro_Compras!$F$196="NOTA DE CREDITO","Por la nota de credito "&amp;Registro_Compras!$C$196&amp;" de "&amp;Registro_Compras!$E$196&amp;" [PATRON POR CONFIRMAR CON CONTADOR]",IF(Registro_Compras!$F$196="RHE","Por el registro del recibo por honorarios "&amp;Registro_Compras!$C$196&amp;" de "&amp;Registro_Compras!$E$196&amp;" [PATRON POR CONFIRMAR CON CONTADOR]","Por el registro de la factura "&amp;Registro_Compras!$C$196&amp;" de "&amp;Registro_Compras!$E$196)))</f>
        <v/>
      </c>
      <c r="H1733" t="str">
        <f>IF($C1733="","",Registro_Compras!$C$196)</f>
        <v/>
      </c>
    </row>
    <row r="1734" spans="1:8" x14ac:dyDescent="0.25">
      <c r="A1734" s="25" t="str">
        <f>IF($C1734="","",Registro_Compras!$B$196)</f>
        <v/>
      </c>
      <c r="B1734" t="str">
        <f>IF($C1734="","","C"&amp;TEXT(INT((ROW()-5)/9)+1,"000")&amp;"-1")</f>
        <v/>
      </c>
      <c r="C1734" t="str">
        <f>IF(OR(Registro_Compras!$C$196="",Registro_Compras!$O$196=""),"",IF(Registro_Compras!$F$196="RHE",IF(Registro_Compras!$V$196=0,"","4017"),IF(Registro_Compras!$F$196="NOTA DE CREDITO",IF(Registro_Compras!$M$196="","63",Registro_Compras!$M$196),IF(Registro_Compras!$K$196=0,"","40111"))))</f>
        <v/>
      </c>
      <c r="D1734" t="str">
        <f>IF(OR(Registro_Compras!$C$196="",Registro_Compras!$O$196=""),"",IF(Registro_Compras!$F$196="RHE","Retencion Renta 4ta Categoria por Pagar",IF(Registro_Compras!$F$196="NOTA DE CREDITO","Gastos de Servicios Prestados por Terceros","IGV - Cuenta Propia (Credito Fiscal)")))</f>
        <v/>
      </c>
      <c r="E1734" s="20" t="str">
        <f>IF($C1734="","",IF(Registro_Compras!$F$196="FACTURA",ROUND(Registro_Compras!$K$196*Registro_Compras!$N$196,2),""))</f>
        <v/>
      </c>
      <c r="F1734" s="20" t="str">
        <f>IF($C1734="","",IF(Registro_Compras!$F$196="RHE",ROUND(Registro_Compras!$V$196*Registro_Compras!$N$196,2),IF(Registro_Compras!$F$196="NOTA DE CREDITO",ROUND(ABS(Registro_Compras!$J$196*Registro_Compras!$N$196),2),"")))</f>
        <v/>
      </c>
      <c r="G1734" t="str">
        <f>IF($C1734="","",IF(Registro_Compras!$F$196="NOTA DE CREDITO","Por la nota de credito "&amp;Registro_Compras!$C$196&amp;" de "&amp;Registro_Compras!$E$196&amp;" [PATRON POR CONFIRMAR CON CONTADOR]",IF(Registro_Compras!$F$196="RHE","Por el registro del recibo por honorarios "&amp;Registro_Compras!$C$196&amp;" de "&amp;Registro_Compras!$E$196&amp;" [PATRON POR CONFIRMAR CON CONTADOR]","Por el registro de la factura "&amp;Registro_Compras!$C$196&amp;" de "&amp;Registro_Compras!$E$196)))</f>
        <v/>
      </c>
      <c r="H1734" t="str">
        <f>IF($C1734="","",Registro_Compras!$C$196)</f>
        <v/>
      </c>
    </row>
    <row r="1735" spans="1:8" x14ac:dyDescent="0.25">
      <c r="A1735" s="25" t="str">
        <f>IF($C1735="","",Registro_Compras!$B$196)</f>
        <v/>
      </c>
      <c r="B1735" t="str">
        <f>IF($C1735="","","C"&amp;TEXT(INT((ROW()-5)/9)+1,"000")&amp;"-1")</f>
        <v/>
      </c>
      <c r="C1735" t="str">
        <f>IF(OR(Registro_Compras!$C$196="",Registro_Compras!$O$196=""),"",IF(Registro_Compras!$F$196="NOTA DE CREDITO",IF(Registro_Compras!$K$196=0,"","40111"),"4212"))</f>
        <v/>
      </c>
      <c r="D1735" t="str">
        <f>IF(OR(Registro_Compras!$C$196="",Registro_Compras!$O$196=""),"",IF(Registro_Compras!$F$196="NOTA DE CREDITO","IGV - Cuenta Propia (Credito Fiscal)","Cuentas por Pagar Comerciales - Terceros (Emitidas)"))</f>
        <v/>
      </c>
      <c r="E1735" s="20" t="str">
        <f>""</f>
        <v/>
      </c>
      <c r="F1735" s="20" t="str">
        <f>IF($C1735="","",IF(Registro_Compras!$F$196="NOTA DE CREDITO",ROUND(ABS(Registro_Compras!$K$196*Registro_Compras!$N$196),2),IF(Registro_Compras!$F$196="RHE",(ROUND(Registro_Compras!$L$196*Registro_Compras!$N$196,2)-ROUND(Registro_Compras!$V$196*Registro_Compras!$N$196,2)),Registro_Compras!$O$196)))</f>
        <v/>
      </c>
      <c r="G1735" t="str">
        <f>IF($C1735="","",IF(Registro_Compras!$F$196="NOTA DE CREDITO","Por la nota de credito "&amp;Registro_Compras!$C$196&amp;" de "&amp;Registro_Compras!$E$196&amp;" [PATRON POR CONFIRMAR CON CONTADOR]",IF(Registro_Compras!$F$196="RHE","Por el registro del recibo por honorarios "&amp;Registro_Compras!$C$196&amp;" de "&amp;Registro_Compras!$E$196&amp;" [PATRON POR CONFIRMAR CON CONTADOR]","Por el registro de la factura "&amp;Registro_Compras!$C$196&amp;" de "&amp;Registro_Compras!$E$196)))</f>
        <v/>
      </c>
      <c r="H1735" t="str">
        <f>IF($C1735="","",Registro_Compras!$C$196)</f>
        <v/>
      </c>
    </row>
    <row r="1736" spans="1:8" x14ac:dyDescent="0.25">
      <c r="A1736" s="25" t="str">
        <f>IF($C1736="","",Registro_Compras!$B$196)</f>
        <v/>
      </c>
      <c r="B1736" t="str">
        <f>IF($C1736="","","C"&amp;TEXT(INT((ROW()-5)/9)+1,"000")&amp;"-2")</f>
        <v/>
      </c>
      <c r="C1736" t="str">
        <f>IF(OR(Registro_Compras!$C$196="",Registro_Compras!$O$196=""),"",IF(Registro_Compras!$AB$196="ADMINISTRATIVO","94","95"))</f>
        <v/>
      </c>
      <c r="D1736" t="str">
        <f>IF(OR(Registro_Compras!$C$196="",Registro_Compras!$O$196=""),"",IF(Registro_Compras!$AB$196="ADMINISTRATIVO","Gastos Administrativos","Gastos de Venta y Operacion"))</f>
        <v/>
      </c>
      <c r="E1736" s="20" t="str">
        <f>IF($C1736="","",IF(Registro_Compras!$F$196="NOTA DE CREDITO","",IF(Registro_Compras!$F$196="RHE",ROUND(Registro_Compras!$L$196*Registro_Compras!$N$196,2),ROUND(Registro_Compras!$J$196*Registro_Compras!$N$196,2))))</f>
        <v/>
      </c>
      <c r="F1736" s="20" t="str">
        <f>IF($C1736="","",IF(Registro_Compras!$F$196="NOTA DE CREDITO",ROUND(ABS(Registro_Compras!$J$196*Registro_Compras!$N$196),2),""))</f>
        <v/>
      </c>
      <c r="G1736" t="str">
        <f>IF($C1736="","","Por el destino del gasto")</f>
        <v/>
      </c>
      <c r="H1736" t="str">
        <f>IF($C1736="","",Registro_Compras!$C$196)</f>
        <v/>
      </c>
    </row>
    <row r="1737" spans="1:8" x14ac:dyDescent="0.25">
      <c r="A1737" s="25" t="str">
        <f>IF($C1737="","",Registro_Compras!$B$196)</f>
        <v/>
      </c>
      <c r="B1737" t="str">
        <f>IF($C1737="","","C"&amp;TEXT(INT((ROW()-5)/9)+1,"000")&amp;"-2")</f>
        <v/>
      </c>
      <c r="C1737" t="str">
        <f>IF(OR(Registro_Compras!$C$196="",Registro_Compras!$O$196=""),"","79/791")</f>
        <v/>
      </c>
      <c r="D1737" t="str">
        <f>IF(OR(Registro_Compras!$C$196="",Registro_Compras!$O$196=""),"","Cargas Imputables a Cuentas de Costos y Gastos")</f>
        <v/>
      </c>
      <c r="E1737" s="20" t="str">
        <f>IF($C1737="","",IF(Registro_Compras!$F$196="NOTA DE CREDITO",ROUND(ABS(Registro_Compras!$J$196*Registro_Compras!$N$196),2),""))</f>
        <v/>
      </c>
      <c r="F1737" s="20" t="str">
        <f>IF($C1737="","",IF(Registro_Compras!$F$196="NOTA DE CREDITO","",IF(Registro_Compras!$F$196="RHE",ROUND(Registro_Compras!$L$196*Registro_Compras!$N$196,2),ROUND(Registro_Compras!$J$196*Registro_Compras!$N$196,2))))</f>
        <v/>
      </c>
      <c r="G1737" t="str">
        <f>IF($C1737="","","Por el destino del gasto")</f>
        <v/>
      </c>
      <c r="H1737" t="str">
        <f>IF($C1737="","",Registro_Compras!$C$196)</f>
        <v/>
      </c>
    </row>
    <row r="1738" spans="1:8" x14ac:dyDescent="0.25">
      <c r="A1738" s="25" t="str">
        <f>IF($C1738="","",Registro_Compras!$X$196)</f>
        <v/>
      </c>
      <c r="B1738" t="str">
        <f>IF($C1738="","","C"&amp;TEXT(INT((ROW()-5)/9)+1,"000")&amp;"-3")</f>
        <v/>
      </c>
      <c r="C1738" t="str">
        <f>IF(OR(Registro_Compras!$C$196="",Registro_Compras!$O$196="",Registro_Compras!$R$196&lt;&gt;"SI",Registro_Compras!$X$196=""),"","4212")</f>
        <v/>
      </c>
      <c r="D1738" t="str">
        <f>IF(OR(Registro_Compras!$C$196="",Registro_Compras!$O$196=""),"","Cuentas por Pagar Comerciales - Terceros")</f>
        <v/>
      </c>
      <c r="E1738" s="20" t="str">
        <f>IF($C1738="","",Registro_Compras!$S$196)</f>
        <v/>
      </c>
      <c r="F1738" s="20" t="str">
        <f>""</f>
        <v/>
      </c>
      <c r="G1738" t="str">
        <f>IF($C1738="","","Por el deposito de la detraccion en el Banco de la Nacion")</f>
        <v/>
      </c>
      <c r="H1738" t="str">
        <f>IF($C1738="","",Registro_Compras!$C$196)</f>
        <v/>
      </c>
    </row>
    <row r="1739" spans="1:8" x14ac:dyDescent="0.25">
      <c r="A1739" s="25" t="str">
        <f>IF($C1739="","",Registro_Compras!$X$196)</f>
        <v/>
      </c>
      <c r="B1739" t="str">
        <f>IF($C1739="","","C"&amp;TEXT(INT((ROW()-5)/9)+1,"000")&amp;"-3")</f>
        <v/>
      </c>
      <c r="C1739" t="str">
        <f>IF(OR(Registro_Compras!$C$196="",Registro_Compras!$O$196="",Registro_Compras!$R$196&lt;&gt;"SI",Registro_Compras!$X$196=""),"","1041")</f>
        <v/>
      </c>
      <c r="D1739" t="str">
        <f>IF(OR(Registro_Compras!$C$196="",Registro_Compras!$O$196=""),"","Efectivo y Equivalentes - Cta. Cte. Operativa")</f>
        <v/>
      </c>
      <c r="E1739" s="20" t="str">
        <f>""</f>
        <v/>
      </c>
      <c r="F1739" s="20" t="str">
        <f>IF($C1739="","",Registro_Compras!$S$196)</f>
        <v/>
      </c>
      <c r="G1739" t="str">
        <f>IF($C1739="","","Por el deposito de la detraccion en el Banco de la Nacion")</f>
        <v/>
      </c>
      <c r="H1739" t="str">
        <f>IF($C1739="","",Registro_Compras!$C$196)</f>
        <v/>
      </c>
    </row>
    <row r="1740" spans="1:8" x14ac:dyDescent="0.25">
      <c r="A1740" s="25" t="str">
        <f>IF($C1740="","",Registro_Compras!$Y$196)</f>
        <v/>
      </c>
      <c r="B1740" t="str">
        <f>IF($C1740="","","C"&amp;TEXT(INT((ROW()-5)/9)+1,"000")&amp;"-4")</f>
        <v/>
      </c>
      <c r="C1740" t="str">
        <f>IF(OR(Registro_Compras!$C$196="",Registro_Compras!$O$196="",Registro_Compras!$Y$196="",Registro_Compras!$F$196="NOTA DE CREDITO"),"","4212")</f>
        <v/>
      </c>
      <c r="D1740" t="str">
        <f>IF(OR(Registro_Compras!$C$196="",Registro_Compras!$O$196=""),"","Cuentas por Pagar Comerciales - Terceros")</f>
        <v/>
      </c>
      <c r="E1740" s="20" t="str">
        <f>IF($C1740="","",IF(Registro_Compras!$F$196="RHE",(ROUND(Registro_Compras!$L$196*Registro_Compras!$N$196,2)-ROUND(Registro_Compras!$V$196*Registro_Compras!$N$196,2)),ROUND(Registro_Compras!$O$196-Registro_Compras!$S$196,2)))</f>
        <v/>
      </c>
      <c r="F1740" s="20" t="str">
        <f>""</f>
        <v/>
      </c>
      <c r="G1740" t="str">
        <f>IF($C1740="","","Por la cancelacion del saldo al proveedor")</f>
        <v/>
      </c>
      <c r="H1740" t="str">
        <f>IF($C1740="","",Registro_Compras!$C$196)</f>
        <v/>
      </c>
    </row>
    <row r="1741" spans="1:8" x14ac:dyDescent="0.25">
      <c r="A1741" s="25" t="str">
        <f>IF($C1741="","",Registro_Compras!$Y$196)</f>
        <v/>
      </c>
      <c r="B1741" t="str">
        <f>IF($C1741="","","C"&amp;TEXT(INT((ROW()-5)/9)+1,"000")&amp;"-4")</f>
        <v/>
      </c>
      <c r="C1741" t="str">
        <f>IF(OR(Registro_Compras!$C$196="",Registro_Compras!$O$196="",Registro_Compras!$Y$196="",Registro_Compras!$F$196="NOTA DE CREDITO"),"","1041")</f>
        <v/>
      </c>
      <c r="D1741" t="str">
        <f>IF(OR(Registro_Compras!$C$196="",Registro_Compras!$O$196=""),"","Efectivo y Equivalentes - Cta. Cte. Operativa")</f>
        <v/>
      </c>
      <c r="E1741" s="20" t="str">
        <f>""</f>
        <v/>
      </c>
      <c r="F1741" s="20" t="str">
        <f>IF($C1741="","",IF(Registro_Compras!$F$196="RHE",(ROUND(Registro_Compras!$L$196*Registro_Compras!$N$196,2)-ROUND(Registro_Compras!$V$196*Registro_Compras!$N$196,2)),ROUND(Registro_Compras!$O$196-Registro_Compras!$S$196,2)))</f>
        <v/>
      </c>
      <c r="G1741" t="str">
        <f>IF($C1741="","","Por la cancelacion del saldo al proveedor")</f>
        <v/>
      </c>
      <c r="H1741" t="str">
        <f>IF($C1741="","",Registro_Compras!$C$196)</f>
        <v/>
      </c>
    </row>
    <row r="1742" spans="1:8" x14ac:dyDescent="0.25">
      <c r="A1742" s="25" t="str">
        <f>IF($C1742="","",Registro_Compras!$B$197)</f>
        <v/>
      </c>
      <c r="B1742" t="str">
        <f>IF($C1742="","","C"&amp;TEXT(INT((ROW()-5)/9)+1,"000")&amp;"-1")</f>
        <v/>
      </c>
      <c r="C1742" t="str">
        <f>IF(OR(Registro_Compras!$C$197="",Registro_Compras!$O$197=""),"",IF(Registro_Compras!$F$197="NOTA DE CREDITO","4212",IF(Registro_Compras!$M$197="","63",Registro_Compras!$M$197)))</f>
        <v/>
      </c>
      <c r="D1742" t="str">
        <f>IF(OR(Registro_Compras!$C$197="",Registro_Compras!$O$197=""),"",IF(Registro_Compras!$F$197="NOTA DE CREDITO","Cuentas por Pagar Comerciales - Terceros (Emitidas)",IF(Registro_Compras!$F$197="RHE","Honorarios Profesionales - Servicios de Terceros","Gastos de Servicios Prestados por Terceros")))</f>
        <v/>
      </c>
      <c r="E1742" s="20" t="str">
        <f>IF($C1742="","",IF(Registro_Compras!$F$197="NOTA DE CREDITO",ABS(Registro_Compras!$O$197),IF(Registro_Compras!$F$197="RHE",ROUND(Registro_Compras!$L$197*Registro_Compras!$N$197,2),ROUND(Registro_Compras!$J$197*Registro_Compras!$N$197,2))))</f>
        <v/>
      </c>
      <c r="F1742" s="20" t="str">
        <f>""</f>
        <v/>
      </c>
      <c r="G1742" t="str">
        <f>IF($C1742="","",IF(Registro_Compras!$F$197="NOTA DE CREDITO","Por la nota de credito "&amp;Registro_Compras!$C$197&amp;" de "&amp;Registro_Compras!$E$197&amp;" [PATRON POR CONFIRMAR CON CONTADOR]",IF(Registro_Compras!$F$197="RHE","Por el registro del recibo por honorarios "&amp;Registro_Compras!$C$197&amp;" de "&amp;Registro_Compras!$E$197&amp;" [PATRON POR CONFIRMAR CON CONTADOR]","Por el registro de la factura "&amp;Registro_Compras!$C$197&amp;" de "&amp;Registro_Compras!$E$197)))</f>
        <v/>
      </c>
      <c r="H1742" t="str">
        <f>IF($C1742="","",Registro_Compras!$C$197)</f>
        <v/>
      </c>
    </row>
    <row r="1743" spans="1:8" x14ac:dyDescent="0.25">
      <c r="A1743" s="25" t="str">
        <f>IF($C1743="","",Registro_Compras!$B$197)</f>
        <v/>
      </c>
      <c r="B1743" t="str">
        <f>IF($C1743="","","C"&amp;TEXT(INT((ROW()-5)/9)+1,"000")&amp;"-1")</f>
        <v/>
      </c>
      <c r="C1743" t="str">
        <f>IF(OR(Registro_Compras!$C$197="",Registro_Compras!$O$197=""),"",IF(Registro_Compras!$F$197="RHE",IF(Registro_Compras!$V$197=0,"","4017"),IF(Registro_Compras!$F$197="NOTA DE CREDITO",IF(Registro_Compras!$M$197="","63",Registro_Compras!$M$197),IF(Registro_Compras!$K$197=0,"","40111"))))</f>
        <v/>
      </c>
      <c r="D1743" t="str">
        <f>IF(OR(Registro_Compras!$C$197="",Registro_Compras!$O$197=""),"",IF(Registro_Compras!$F$197="RHE","Retencion Renta 4ta Categoria por Pagar",IF(Registro_Compras!$F$197="NOTA DE CREDITO","Gastos de Servicios Prestados por Terceros","IGV - Cuenta Propia (Credito Fiscal)")))</f>
        <v/>
      </c>
      <c r="E1743" s="20" t="str">
        <f>IF($C1743="","",IF(Registro_Compras!$F$197="FACTURA",ROUND(Registro_Compras!$K$197*Registro_Compras!$N$197,2),""))</f>
        <v/>
      </c>
      <c r="F1743" s="20" t="str">
        <f>IF($C1743="","",IF(Registro_Compras!$F$197="RHE",ROUND(Registro_Compras!$V$197*Registro_Compras!$N$197,2),IF(Registro_Compras!$F$197="NOTA DE CREDITO",ROUND(ABS(Registro_Compras!$J$197*Registro_Compras!$N$197),2),"")))</f>
        <v/>
      </c>
      <c r="G1743" t="str">
        <f>IF($C1743="","",IF(Registro_Compras!$F$197="NOTA DE CREDITO","Por la nota de credito "&amp;Registro_Compras!$C$197&amp;" de "&amp;Registro_Compras!$E$197&amp;" [PATRON POR CONFIRMAR CON CONTADOR]",IF(Registro_Compras!$F$197="RHE","Por el registro del recibo por honorarios "&amp;Registro_Compras!$C$197&amp;" de "&amp;Registro_Compras!$E$197&amp;" [PATRON POR CONFIRMAR CON CONTADOR]","Por el registro de la factura "&amp;Registro_Compras!$C$197&amp;" de "&amp;Registro_Compras!$E$197)))</f>
        <v/>
      </c>
      <c r="H1743" t="str">
        <f>IF($C1743="","",Registro_Compras!$C$197)</f>
        <v/>
      </c>
    </row>
    <row r="1744" spans="1:8" x14ac:dyDescent="0.25">
      <c r="A1744" s="25" t="str">
        <f>IF($C1744="","",Registro_Compras!$B$197)</f>
        <v/>
      </c>
      <c r="B1744" t="str">
        <f>IF($C1744="","","C"&amp;TEXT(INT((ROW()-5)/9)+1,"000")&amp;"-1")</f>
        <v/>
      </c>
      <c r="C1744" t="str">
        <f>IF(OR(Registro_Compras!$C$197="",Registro_Compras!$O$197=""),"",IF(Registro_Compras!$F$197="NOTA DE CREDITO",IF(Registro_Compras!$K$197=0,"","40111"),"4212"))</f>
        <v/>
      </c>
      <c r="D1744" t="str">
        <f>IF(OR(Registro_Compras!$C$197="",Registro_Compras!$O$197=""),"",IF(Registro_Compras!$F$197="NOTA DE CREDITO","IGV - Cuenta Propia (Credito Fiscal)","Cuentas por Pagar Comerciales - Terceros (Emitidas)"))</f>
        <v/>
      </c>
      <c r="E1744" s="20" t="str">
        <f>""</f>
        <v/>
      </c>
      <c r="F1744" s="20" t="str">
        <f>IF($C1744="","",IF(Registro_Compras!$F$197="NOTA DE CREDITO",ROUND(ABS(Registro_Compras!$K$197*Registro_Compras!$N$197),2),IF(Registro_Compras!$F$197="RHE",(ROUND(Registro_Compras!$L$197*Registro_Compras!$N$197,2)-ROUND(Registro_Compras!$V$197*Registro_Compras!$N$197,2)),Registro_Compras!$O$197)))</f>
        <v/>
      </c>
      <c r="G1744" t="str">
        <f>IF($C1744="","",IF(Registro_Compras!$F$197="NOTA DE CREDITO","Por la nota de credito "&amp;Registro_Compras!$C$197&amp;" de "&amp;Registro_Compras!$E$197&amp;" [PATRON POR CONFIRMAR CON CONTADOR]",IF(Registro_Compras!$F$197="RHE","Por el registro del recibo por honorarios "&amp;Registro_Compras!$C$197&amp;" de "&amp;Registro_Compras!$E$197&amp;" [PATRON POR CONFIRMAR CON CONTADOR]","Por el registro de la factura "&amp;Registro_Compras!$C$197&amp;" de "&amp;Registro_Compras!$E$197)))</f>
        <v/>
      </c>
      <c r="H1744" t="str">
        <f>IF($C1744="","",Registro_Compras!$C$197)</f>
        <v/>
      </c>
    </row>
    <row r="1745" spans="1:8" x14ac:dyDescent="0.25">
      <c r="A1745" s="25" t="str">
        <f>IF($C1745="","",Registro_Compras!$B$197)</f>
        <v/>
      </c>
      <c r="B1745" t="str">
        <f>IF($C1745="","","C"&amp;TEXT(INT((ROW()-5)/9)+1,"000")&amp;"-2")</f>
        <v/>
      </c>
      <c r="C1745" t="str">
        <f>IF(OR(Registro_Compras!$C$197="",Registro_Compras!$O$197=""),"",IF(Registro_Compras!$AB$197="ADMINISTRATIVO","94","95"))</f>
        <v/>
      </c>
      <c r="D1745" t="str">
        <f>IF(OR(Registro_Compras!$C$197="",Registro_Compras!$O$197=""),"",IF(Registro_Compras!$AB$197="ADMINISTRATIVO","Gastos Administrativos","Gastos de Venta y Operacion"))</f>
        <v/>
      </c>
      <c r="E1745" s="20" t="str">
        <f>IF($C1745="","",IF(Registro_Compras!$F$197="NOTA DE CREDITO","",IF(Registro_Compras!$F$197="RHE",ROUND(Registro_Compras!$L$197*Registro_Compras!$N$197,2),ROUND(Registro_Compras!$J$197*Registro_Compras!$N$197,2))))</f>
        <v/>
      </c>
      <c r="F1745" s="20" t="str">
        <f>IF($C1745="","",IF(Registro_Compras!$F$197="NOTA DE CREDITO",ROUND(ABS(Registro_Compras!$J$197*Registro_Compras!$N$197),2),""))</f>
        <v/>
      </c>
      <c r="G1745" t="str">
        <f>IF($C1745="","","Por el destino del gasto")</f>
        <v/>
      </c>
      <c r="H1745" t="str">
        <f>IF($C1745="","",Registro_Compras!$C$197)</f>
        <v/>
      </c>
    </row>
    <row r="1746" spans="1:8" x14ac:dyDescent="0.25">
      <c r="A1746" s="25" t="str">
        <f>IF($C1746="","",Registro_Compras!$B$197)</f>
        <v/>
      </c>
      <c r="B1746" t="str">
        <f>IF($C1746="","","C"&amp;TEXT(INT((ROW()-5)/9)+1,"000")&amp;"-2")</f>
        <v/>
      </c>
      <c r="C1746" t="str">
        <f>IF(OR(Registro_Compras!$C$197="",Registro_Compras!$O$197=""),"","79/791")</f>
        <v/>
      </c>
      <c r="D1746" t="str">
        <f>IF(OR(Registro_Compras!$C$197="",Registro_Compras!$O$197=""),"","Cargas Imputables a Cuentas de Costos y Gastos")</f>
        <v/>
      </c>
      <c r="E1746" s="20" t="str">
        <f>IF($C1746="","",IF(Registro_Compras!$F$197="NOTA DE CREDITO",ROUND(ABS(Registro_Compras!$J$197*Registro_Compras!$N$197),2),""))</f>
        <v/>
      </c>
      <c r="F1746" s="20" t="str">
        <f>IF($C1746="","",IF(Registro_Compras!$F$197="NOTA DE CREDITO","",IF(Registro_Compras!$F$197="RHE",ROUND(Registro_Compras!$L$197*Registro_Compras!$N$197,2),ROUND(Registro_Compras!$J$197*Registro_Compras!$N$197,2))))</f>
        <v/>
      </c>
      <c r="G1746" t="str">
        <f>IF($C1746="","","Por el destino del gasto")</f>
        <v/>
      </c>
      <c r="H1746" t="str">
        <f>IF($C1746="","",Registro_Compras!$C$197)</f>
        <v/>
      </c>
    </row>
    <row r="1747" spans="1:8" x14ac:dyDescent="0.25">
      <c r="A1747" s="25" t="str">
        <f>IF($C1747="","",Registro_Compras!$X$197)</f>
        <v/>
      </c>
      <c r="B1747" t="str">
        <f>IF($C1747="","","C"&amp;TEXT(INT((ROW()-5)/9)+1,"000")&amp;"-3")</f>
        <v/>
      </c>
      <c r="C1747" t="str">
        <f>IF(OR(Registro_Compras!$C$197="",Registro_Compras!$O$197="",Registro_Compras!$R$197&lt;&gt;"SI",Registro_Compras!$X$197=""),"","4212")</f>
        <v/>
      </c>
      <c r="D1747" t="str">
        <f>IF(OR(Registro_Compras!$C$197="",Registro_Compras!$O$197=""),"","Cuentas por Pagar Comerciales - Terceros")</f>
        <v/>
      </c>
      <c r="E1747" s="20" t="str">
        <f>IF($C1747="","",Registro_Compras!$S$197)</f>
        <v/>
      </c>
      <c r="F1747" s="20" t="str">
        <f>""</f>
        <v/>
      </c>
      <c r="G1747" t="str">
        <f>IF($C1747="","","Por el deposito de la detraccion en el Banco de la Nacion")</f>
        <v/>
      </c>
      <c r="H1747" t="str">
        <f>IF($C1747="","",Registro_Compras!$C$197)</f>
        <v/>
      </c>
    </row>
    <row r="1748" spans="1:8" x14ac:dyDescent="0.25">
      <c r="A1748" s="25" t="str">
        <f>IF($C1748="","",Registro_Compras!$X$197)</f>
        <v/>
      </c>
      <c r="B1748" t="str">
        <f>IF($C1748="","","C"&amp;TEXT(INT((ROW()-5)/9)+1,"000")&amp;"-3")</f>
        <v/>
      </c>
      <c r="C1748" t="str">
        <f>IF(OR(Registro_Compras!$C$197="",Registro_Compras!$O$197="",Registro_Compras!$R$197&lt;&gt;"SI",Registro_Compras!$X$197=""),"","1041")</f>
        <v/>
      </c>
      <c r="D1748" t="str">
        <f>IF(OR(Registro_Compras!$C$197="",Registro_Compras!$O$197=""),"","Efectivo y Equivalentes - Cta. Cte. Operativa")</f>
        <v/>
      </c>
      <c r="E1748" s="20" t="str">
        <f>""</f>
        <v/>
      </c>
      <c r="F1748" s="20" t="str">
        <f>IF($C1748="","",Registro_Compras!$S$197)</f>
        <v/>
      </c>
      <c r="G1748" t="str">
        <f>IF($C1748="","","Por el deposito de la detraccion en el Banco de la Nacion")</f>
        <v/>
      </c>
      <c r="H1748" t="str">
        <f>IF($C1748="","",Registro_Compras!$C$197)</f>
        <v/>
      </c>
    </row>
    <row r="1749" spans="1:8" x14ac:dyDescent="0.25">
      <c r="A1749" s="25" t="str">
        <f>IF($C1749="","",Registro_Compras!$Y$197)</f>
        <v/>
      </c>
      <c r="B1749" t="str">
        <f>IF($C1749="","","C"&amp;TEXT(INT((ROW()-5)/9)+1,"000")&amp;"-4")</f>
        <v/>
      </c>
      <c r="C1749" t="str">
        <f>IF(OR(Registro_Compras!$C$197="",Registro_Compras!$O$197="",Registro_Compras!$Y$197="",Registro_Compras!$F$197="NOTA DE CREDITO"),"","4212")</f>
        <v/>
      </c>
      <c r="D1749" t="str">
        <f>IF(OR(Registro_Compras!$C$197="",Registro_Compras!$O$197=""),"","Cuentas por Pagar Comerciales - Terceros")</f>
        <v/>
      </c>
      <c r="E1749" s="20" t="str">
        <f>IF($C1749="","",IF(Registro_Compras!$F$197="RHE",(ROUND(Registro_Compras!$L$197*Registro_Compras!$N$197,2)-ROUND(Registro_Compras!$V$197*Registro_Compras!$N$197,2)),ROUND(Registro_Compras!$O$197-Registro_Compras!$S$197,2)))</f>
        <v/>
      </c>
      <c r="F1749" s="20" t="str">
        <f>""</f>
        <v/>
      </c>
      <c r="G1749" t="str">
        <f>IF($C1749="","","Por la cancelacion del saldo al proveedor")</f>
        <v/>
      </c>
      <c r="H1749" t="str">
        <f>IF($C1749="","",Registro_Compras!$C$197)</f>
        <v/>
      </c>
    </row>
    <row r="1750" spans="1:8" x14ac:dyDescent="0.25">
      <c r="A1750" s="25" t="str">
        <f>IF($C1750="","",Registro_Compras!$Y$197)</f>
        <v/>
      </c>
      <c r="B1750" t="str">
        <f>IF($C1750="","","C"&amp;TEXT(INT((ROW()-5)/9)+1,"000")&amp;"-4")</f>
        <v/>
      </c>
      <c r="C1750" t="str">
        <f>IF(OR(Registro_Compras!$C$197="",Registro_Compras!$O$197="",Registro_Compras!$Y$197="",Registro_Compras!$F$197="NOTA DE CREDITO"),"","1041")</f>
        <v/>
      </c>
      <c r="D1750" t="str">
        <f>IF(OR(Registro_Compras!$C$197="",Registro_Compras!$O$197=""),"","Efectivo y Equivalentes - Cta. Cte. Operativa")</f>
        <v/>
      </c>
      <c r="E1750" s="20" t="str">
        <f>""</f>
        <v/>
      </c>
      <c r="F1750" s="20" t="str">
        <f>IF($C1750="","",IF(Registro_Compras!$F$197="RHE",(ROUND(Registro_Compras!$L$197*Registro_Compras!$N$197,2)-ROUND(Registro_Compras!$V$197*Registro_Compras!$N$197,2)),ROUND(Registro_Compras!$O$197-Registro_Compras!$S$197,2)))</f>
        <v/>
      </c>
      <c r="G1750" t="str">
        <f>IF($C1750="","","Por la cancelacion del saldo al proveedor")</f>
        <v/>
      </c>
      <c r="H1750" t="str">
        <f>IF($C1750="","",Registro_Compras!$C$197)</f>
        <v/>
      </c>
    </row>
    <row r="1751" spans="1:8" x14ac:dyDescent="0.25">
      <c r="A1751" s="25" t="str">
        <f>IF($C1751="","",Registro_Compras!$B$198)</f>
        <v/>
      </c>
      <c r="B1751" t="str">
        <f>IF($C1751="","","C"&amp;TEXT(INT((ROW()-5)/9)+1,"000")&amp;"-1")</f>
        <v/>
      </c>
      <c r="C1751" t="str">
        <f>IF(OR(Registro_Compras!$C$198="",Registro_Compras!$O$198=""),"",IF(Registro_Compras!$F$198="NOTA DE CREDITO","4212",IF(Registro_Compras!$M$198="","63",Registro_Compras!$M$198)))</f>
        <v/>
      </c>
      <c r="D1751" t="str">
        <f>IF(OR(Registro_Compras!$C$198="",Registro_Compras!$O$198=""),"",IF(Registro_Compras!$F$198="NOTA DE CREDITO","Cuentas por Pagar Comerciales - Terceros (Emitidas)",IF(Registro_Compras!$F$198="RHE","Honorarios Profesionales - Servicios de Terceros","Gastos de Servicios Prestados por Terceros")))</f>
        <v/>
      </c>
      <c r="E1751" s="20" t="str">
        <f>IF($C1751="","",IF(Registro_Compras!$F$198="NOTA DE CREDITO",ABS(Registro_Compras!$O$198),IF(Registro_Compras!$F$198="RHE",ROUND(Registro_Compras!$L$198*Registro_Compras!$N$198,2),ROUND(Registro_Compras!$J$198*Registro_Compras!$N$198,2))))</f>
        <v/>
      </c>
      <c r="F1751" s="20" t="str">
        <f>""</f>
        <v/>
      </c>
      <c r="G1751" t="str">
        <f>IF($C1751="","",IF(Registro_Compras!$F$198="NOTA DE CREDITO","Por la nota de credito "&amp;Registro_Compras!$C$198&amp;" de "&amp;Registro_Compras!$E$198&amp;" [PATRON POR CONFIRMAR CON CONTADOR]",IF(Registro_Compras!$F$198="RHE","Por el registro del recibo por honorarios "&amp;Registro_Compras!$C$198&amp;" de "&amp;Registro_Compras!$E$198&amp;" [PATRON POR CONFIRMAR CON CONTADOR]","Por el registro de la factura "&amp;Registro_Compras!$C$198&amp;" de "&amp;Registro_Compras!$E$198)))</f>
        <v/>
      </c>
      <c r="H1751" t="str">
        <f>IF($C1751="","",Registro_Compras!$C$198)</f>
        <v/>
      </c>
    </row>
    <row r="1752" spans="1:8" x14ac:dyDescent="0.25">
      <c r="A1752" s="25" t="str">
        <f>IF($C1752="","",Registro_Compras!$B$198)</f>
        <v/>
      </c>
      <c r="B1752" t="str">
        <f>IF($C1752="","","C"&amp;TEXT(INT((ROW()-5)/9)+1,"000")&amp;"-1")</f>
        <v/>
      </c>
      <c r="C1752" t="str">
        <f>IF(OR(Registro_Compras!$C$198="",Registro_Compras!$O$198=""),"",IF(Registro_Compras!$F$198="RHE",IF(Registro_Compras!$V$198=0,"","4017"),IF(Registro_Compras!$F$198="NOTA DE CREDITO",IF(Registro_Compras!$M$198="","63",Registro_Compras!$M$198),IF(Registro_Compras!$K$198=0,"","40111"))))</f>
        <v/>
      </c>
      <c r="D1752" t="str">
        <f>IF(OR(Registro_Compras!$C$198="",Registro_Compras!$O$198=""),"",IF(Registro_Compras!$F$198="RHE","Retencion Renta 4ta Categoria por Pagar",IF(Registro_Compras!$F$198="NOTA DE CREDITO","Gastos de Servicios Prestados por Terceros","IGV - Cuenta Propia (Credito Fiscal)")))</f>
        <v/>
      </c>
      <c r="E1752" s="20" t="str">
        <f>IF($C1752="","",IF(Registro_Compras!$F$198="FACTURA",ROUND(Registro_Compras!$K$198*Registro_Compras!$N$198,2),""))</f>
        <v/>
      </c>
      <c r="F1752" s="20" t="str">
        <f>IF($C1752="","",IF(Registro_Compras!$F$198="RHE",ROUND(Registro_Compras!$V$198*Registro_Compras!$N$198,2),IF(Registro_Compras!$F$198="NOTA DE CREDITO",ROUND(ABS(Registro_Compras!$J$198*Registro_Compras!$N$198),2),"")))</f>
        <v/>
      </c>
      <c r="G1752" t="str">
        <f>IF($C1752="","",IF(Registro_Compras!$F$198="NOTA DE CREDITO","Por la nota de credito "&amp;Registro_Compras!$C$198&amp;" de "&amp;Registro_Compras!$E$198&amp;" [PATRON POR CONFIRMAR CON CONTADOR]",IF(Registro_Compras!$F$198="RHE","Por el registro del recibo por honorarios "&amp;Registro_Compras!$C$198&amp;" de "&amp;Registro_Compras!$E$198&amp;" [PATRON POR CONFIRMAR CON CONTADOR]","Por el registro de la factura "&amp;Registro_Compras!$C$198&amp;" de "&amp;Registro_Compras!$E$198)))</f>
        <v/>
      </c>
      <c r="H1752" t="str">
        <f>IF($C1752="","",Registro_Compras!$C$198)</f>
        <v/>
      </c>
    </row>
    <row r="1753" spans="1:8" x14ac:dyDescent="0.25">
      <c r="A1753" s="25" t="str">
        <f>IF($C1753="","",Registro_Compras!$B$198)</f>
        <v/>
      </c>
      <c r="B1753" t="str">
        <f>IF($C1753="","","C"&amp;TEXT(INT((ROW()-5)/9)+1,"000")&amp;"-1")</f>
        <v/>
      </c>
      <c r="C1753" t="str">
        <f>IF(OR(Registro_Compras!$C$198="",Registro_Compras!$O$198=""),"",IF(Registro_Compras!$F$198="NOTA DE CREDITO",IF(Registro_Compras!$K$198=0,"","40111"),"4212"))</f>
        <v/>
      </c>
      <c r="D1753" t="str">
        <f>IF(OR(Registro_Compras!$C$198="",Registro_Compras!$O$198=""),"",IF(Registro_Compras!$F$198="NOTA DE CREDITO","IGV - Cuenta Propia (Credito Fiscal)","Cuentas por Pagar Comerciales - Terceros (Emitidas)"))</f>
        <v/>
      </c>
      <c r="E1753" s="20" t="str">
        <f>""</f>
        <v/>
      </c>
      <c r="F1753" s="20" t="str">
        <f>IF($C1753="","",IF(Registro_Compras!$F$198="NOTA DE CREDITO",ROUND(ABS(Registro_Compras!$K$198*Registro_Compras!$N$198),2),IF(Registro_Compras!$F$198="RHE",(ROUND(Registro_Compras!$L$198*Registro_Compras!$N$198,2)-ROUND(Registro_Compras!$V$198*Registro_Compras!$N$198,2)),Registro_Compras!$O$198)))</f>
        <v/>
      </c>
      <c r="G1753" t="str">
        <f>IF($C1753="","",IF(Registro_Compras!$F$198="NOTA DE CREDITO","Por la nota de credito "&amp;Registro_Compras!$C$198&amp;" de "&amp;Registro_Compras!$E$198&amp;" [PATRON POR CONFIRMAR CON CONTADOR]",IF(Registro_Compras!$F$198="RHE","Por el registro del recibo por honorarios "&amp;Registro_Compras!$C$198&amp;" de "&amp;Registro_Compras!$E$198&amp;" [PATRON POR CONFIRMAR CON CONTADOR]","Por el registro de la factura "&amp;Registro_Compras!$C$198&amp;" de "&amp;Registro_Compras!$E$198)))</f>
        <v/>
      </c>
      <c r="H1753" t="str">
        <f>IF($C1753="","",Registro_Compras!$C$198)</f>
        <v/>
      </c>
    </row>
    <row r="1754" spans="1:8" x14ac:dyDescent="0.25">
      <c r="A1754" s="25" t="str">
        <f>IF($C1754="","",Registro_Compras!$B$198)</f>
        <v/>
      </c>
      <c r="B1754" t="str">
        <f>IF($C1754="","","C"&amp;TEXT(INT((ROW()-5)/9)+1,"000")&amp;"-2")</f>
        <v/>
      </c>
      <c r="C1754" t="str">
        <f>IF(OR(Registro_Compras!$C$198="",Registro_Compras!$O$198=""),"",IF(Registro_Compras!$AB$198="ADMINISTRATIVO","94","95"))</f>
        <v/>
      </c>
      <c r="D1754" t="str">
        <f>IF(OR(Registro_Compras!$C$198="",Registro_Compras!$O$198=""),"",IF(Registro_Compras!$AB$198="ADMINISTRATIVO","Gastos Administrativos","Gastos de Venta y Operacion"))</f>
        <v/>
      </c>
      <c r="E1754" s="20" t="str">
        <f>IF($C1754="","",IF(Registro_Compras!$F$198="NOTA DE CREDITO","",IF(Registro_Compras!$F$198="RHE",ROUND(Registro_Compras!$L$198*Registro_Compras!$N$198,2),ROUND(Registro_Compras!$J$198*Registro_Compras!$N$198,2))))</f>
        <v/>
      </c>
      <c r="F1754" s="20" t="str">
        <f>IF($C1754="","",IF(Registro_Compras!$F$198="NOTA DE CREDITO",ROUND(ABS(Registro_Compras!$J$198*Registro_Compras!$N$198),2),""))</f>
        <v/>
      </c>
      <c r="G1754" t="str">
        <f>IF($C1754="","","Por el destino del gasto")</f>
        <v/>
      </c>
      <c r="H1754" t="str">
        <f>IF($C1754="","",Registro_Compras!$C$198)</f>
        <v/>
      </c>
    </row>
    <row r="1755" spans="1:8" x14ac:dyDescent="0.25">
      <c r="A1755" s="25" t="str">
        <f>IF($C1755="","",Registro_Compras!$B$198)</f>
        <v/>
      </c>
      <c r="B1755" t="str">
        <f>IF($C1755="","","C"&amp;TEXT(INT((ROW()-5)/9)+1,"000")&amp;"-2")</f>
        <v/>
      </c>
      <c r="C1755" t="str">
        <f>IF(OR(Registro_Compras!$C$198="",Registro_Compras!$O$198=""),"","79/791")</f>
        <v/>
      </c>
      <c r="D1755" t="str">
        <f>IF(OR(Registro_Compras!$C$198="",Registro_Compras!$O$198=""),"","Cargas Imputables a Cuentas de Costos y Gastos")</f>
        <v/>
      </c>
      <c r="E1755" s="20" t="str">
        <f>IF($C1755="","",IF(Registro_Compras!$F$198="NOTA DE CREDITO",ROUND(ABS(Registro_Compras!$J$198*Registro_Compras!$N$198),2),""))</f>
        <v/>
      </c>
      <c r="F1755" s="20" t="str">
        <f>IF($C1755="","",IF(Registro_Compras!$F$198="NOTA DE CREDITO","",IF(Registro_Compras!$F$198="RHE",ROUND(Registro_Compras!$L$198*Registro_Compras!$N$198,2),ROUND(Registro_Compras!$J$198*Registro_Compras!$N$198,2))))</f>
        <v/>
      </c>
      <c r="G1755" t="str">
        <f>IF($C1755="","","Por el destino del gasto")</f>
        <v/>
      </c>
      <c r="H1755" t="str">
        <f>IF($C1755="","",Registro_Compras!$C$198)</f>
        <v/>
      </c>
    </row>
    <row r="1756" spans="1:8" x14ac:dyDescent="0.25">
      <c r="A1756" s="25" t="str">
        <f>IF($C1756="","",Registro_Compras!$X$198)</f>
        <v/>
      </c>
      <c r="B1756" t="str">
        <f>IF($C1756="","","C"&amp;TEXT(INT((ROW()-5)/9)+1,"000")&amp;"-3")</f>
        <v/>
      </c>
      <c r="C1756" t="str">
        <f>IF(OR(Registro_Compras!$C$198="",Registro_Compras!$O$198="",Registro_Compras!$R$198&lt;&gt;"SI",Registro_Compras!$X$198=""),"","4212")</f>
        <v/>
      </c>
      <c r="D1756" t="str">
        <f>IF(OR(Registro_Compras!$C$198="",Registro_Compras!$O$198=""),"","Cuentas por Pagar Comerciales - Terceros")</f>
        <v/>
      </c>
      <c r="E1756" s="20" t="str">
        <f>IF($C1756="","",Registro_Compras!$S$198)</f>
        <v/>
      </c>
      <c r="F1756" s="20" t="str">
        <f>""</f>
        <v/>
      </c>
      <c r="G1756" t="str">
        <f>IF($C1756="","","Por el deposito de la detraccion en el Banco de la Nacion")</f>
        <v/>
      </c>
      <c r="H1756" t="str">
        <f>IF($C1756="","",Registro_Compras!$C$198)</f>
        <v/>
      </c>
    </row>
    <row r="1757" spans="1:8" x14ac:dyDescent="0.25">
      <c r="A1757" s="25" t="str">
        <f>IF($C1757="","",Registro_Compras!$X$198)</f>
        <v/>
      </c>
      <c r="B1757" t="str">
        <f>IF($C1757="","","C"&amp;TEXT(INT((ROW()-5)/9)+1,"000")&amp;"-3")</f>
        <v/>
      </c>
      <c r="C1757" t="str">
        <f>IF(OR(Registro_Compras!$C$198="",Registro_Compras!$O$198="",Registro_Compras!$R$198&lt;&gt;"SI",Registro_Compras!$X$198=""),"","1041")</f>
        <v/>
      </c>
      <c r="D1757" t="str">
        <f>IF(OR(Registro_Compras!$C$198="",Registro_Compras!$O$198=""),"","Efectivo y Equivalentes - Cta. Cte. Operativa")</f>
        <v/>
      </c>
      <c r="E1757" s="20" t="str">
        <f>""</f>
        <v/>
      </c>
      <c r="F1757" s="20" t="str">
        <f>IF($C1757="","",Registro_Compras!$S$198)</f>
        <v/>
      </c>
      <c r="G1757" t="str">
        <f>IF($C1757="","","Por el deposito de la detraccion en el Banco de la Nacion")</f>
        <v/>
      </c>
      <c r="H1757" t="str">
        <f>IF($C1757="","",Registro_Compras!$C$198)</f>
        <v/>
      </c>
    </row>
    <row r="1758" spans="1:8" x14ac:dyDescent="0.25">
      <c r="A1758" s="25" t="str">
        <f>IF($C1758="","",Registro_Compras!$Y$198)</f>
        <v/>
      </c>
      <c r="B1758" t="str">
        <f>IF($C1758="","","C"&amp;TEXT(INT((ROW()-5)/9)+1,"000")&amp;"-4")</f>
        <v/>
      </c>
      <c r="C1758" t="str">
        <f>IF(OR(Registro_Compras!$C$198="",Registro_Compras!$O$198="",Registro_Compras!$Y$198="",Registro_Compras!$F$198="NOTA DE CREDITO"),"","4212")</f>
        <v/>
      </c>
      <c r="D1758" t="str">
        <f>IF(OR(Registro_Compras!$C$198="",Registro_Compras!$O$198=""),"","Cuentas por Pagar Comerciales - Terceros")</f>
        <v/>
      </c>
      <c r="E1758" s="20" t="str">
        <f>IF($C1758="","",IF(Registro_Compras!$F$198="RHE",(ROUND(Registro_Compras!$L$198*Registro_Compras!$N$198,2)-ROUND(Registro_Compras!$V$198*Registro_Compras!$N$198,2)),ROUND(Registro_Compras!$O$198-Registro_Compras!$S$198,2)))</f>
        <v/>
      </c>
      <c r="F1758" s="20" t="str">
        <f>""</f>
        <v/>
      </c>
      <c r="G1758" t="str">
        <f>IF($C1758="","","Por la cancelacion del saldo al proveedor")</f>
        <v/>
      </c>
      <c r="H1758" t="str">
        <f>IF($C1758="","",Registro_Compras!$C$198)</f>
        <v/>
      </c>
    </row>
    <row r="1759" spans="1:8" x14ac:dyDescent="0.25">
      <c r="A1759" s="25" t="str">
        <f>IF($C1759="","",Registro_Compras!$Y$198)</f>
        <v/>
      </c>
      <c r="B1759" t="str">
        <f>IF($C1759="","","C"&amp;TEXT(INT((ROW()-5)/9)+1,"000")&amp;"-4")</f>
        <v/>
      </c>
      <c r="C1759" t="str">
        <f>IF(OR(Registro_Compras!$C$198="",Registro_Compras!$O$198="",Registro_Compras!$Y$198="",Registro_Compras!$F$198="NOTA DE CREDITO"),"","1041")</f>
        <v/>
      </c>
      <c r="D1759" t="str">
        <f>IF(OR(Registro_Compras!$C$198="",Registro_Compras!$O$198=""),"","Efectivo y Equivalentes - Cta. Cte. Operativa")</f>
        <v/>
      </c>
      <c r="E1759" s="20" t="str">
        <f>""</f>
        <v/>
      </c>
      <c r="F1759" s="20" t="str">
        <f>IF($C1759="","",IF(Registro_Compras!$F$198="RHE",(ROUND(Registro_Compras!$L$198*Registro_Compras!$N$198,2)-ROUND(Registro_Compras!$V$198*Registro_Compras!$N$198,2)),ROUND(Registro_Compras!$O$198-Registro_Compras!$S$198,2)))</f>
        <v/>
      </c>
      <c r="G1759" t="str">
        <f>IF($C1759="","","Por la cancelacion del saldo al proveedor")</f>
        <v/>
      </c>
      <c r="H1759" t="str">
        <f>IF($C1759="","",Registro_Compras!$C$198)</f>
        <v/>
      </c>
    </row>
    <row r="1760" spans="1:8" x14ac:dyDescent="0.25">
      <c r="A1760" s="25" t="str">
        <f>IF($C1760="","",Registro_Compras!$B$199)</f>
        <v/>
      </c>
      <c r="B1760" t="str">
        <f>IF($C1760="","","C"&amp;TEXT(INT((ROW()-5)/9)+1,"000")&amp;"-1")</f>
        <v/>
      </c>
      <c r="C1760" t="str">
        <f>IF(OR(Registro_Compras!$C$199="",Registro_Compras!$O$199=""),"",IF(Registro_Compras!$F$199="NOTA DE CREDITO","4212",IF(Registro_Compras!$M$199="","63",Registro_Compras!$M$199)))</f>
        <v/>
      </c>
      <c r="D1760" t="str">
        <f>IF(OR(Registro_Compras!$C$199="",Registro_Compras!$O$199=""),"",IF(Registro_Compras!$F$199="NOTA DE CREDITO","Cuentas por Pagar Comerciales - Terceros (Emitidas)",IF(Registro_Compras!$F$199="RHE","Honorarios Profesionales - Servicios de Terceros","Gastos de Servicios Prestados por Terceros")))</f>
        <v/>
      </c>
      <c r="E1760" s="20" t="str">
        <f>IF($C1760="","",IF(Registro_Compras!$F$199="NOTA DE CREDITO",ABS(Registro_Compras!$O$199),IF(Registro_Compras!$F$199="RHE",ROUND(Registro_Compras!$L$199*Registro_Compras!$N$199,2),ROUND(Registro_Compras!$J$199*Registro_Compras!$N$199,2))))</f>
        <v/>
      </c>
      <c r="F1760" s="20" t="str">
        <f>""</f>
        <v/>
      </c>
      <c r="G1760" t="str">
        <f>IF($C1760="","",IF(Registro_Compras!$F$199="NOTA DE CREDITO","Por la nota de credito "&amp;Registro_Compras!$C$199&amp;" de "&amp;Registro_Compras!$E$199&amp;" [PATRON POR CONFIRMAR CON CONTADOR]",IF(Registro_Compras!$F$199="RHE","Por el registro del recibo por honorarios "&amp;Registro_Compras!$C$199&amp;" de "&amp;Registro_Compras!$E$199&amp;" [PATRON POR CONFIRMAR CON CONTADOR]","Por el registro de la factura "&amp;Registro_Compras!$C$199&amp;" de "&amp;Registro_Compras!$E$199)))</f>
        <v/>
      </c>
      <c r="H1760" t="str">
        <f>IF($C1760="","",Registro_Compras!$C$199)</f>
        <v/>
      </c>
    </row>
    <row r="1761" spans="1:8" x14ac:dyDescent="0.25">
      <c r="A1761" s="25" t="str">
        <f>IF($C1761="","",Registro_Compras!$B$199)</f>
        <v/>
      </c>
      <c r="B1761" t="str">
        <f>IF($C1761="","","C"&amp;TEXT(INT((ROW()-5)/9)+1,"000")&amp;"-1")</f>
        <v/>
      </c>
      <c r="C1761" t="str">
        <f>IF(OR(Registro_Compras!$C$199="",Registro_Compras!$O$199=""),"",IF(Registro_Compras!$F$199="RHE",IF(Registro_Compras!$V$199=0,"","4017"),IF(Registro_Compras!$F$199="NOTA DE CREDITO",IF(Registro_Compras!$M$199="","63",Registro_Compras!$M$199),IF(Registro_Compras!$K$199=0,"","40111"))))</f>
        <v/>
      </c>
      <c r="D1761" t="str">
        <f>IF(OR(Registro_Compras!$C$199="",Registro_Compras!$O$199=""),"",IF(Registro_Compras!$F$199="RHE","Retencion Renta 4ta Categoria por Pagar",IF(Registro_Compras!$F$199="NOTA DE CREDITO","Gastos de Servicios Prestados por Terceros","IGV - Cuenta Propia (Credito Fiscal)")))</f>
        <v/>
      </c>
      <c r="E1761" s="20" t="str">
        <f>IF($C1761="","",IF(Registro_Compras!$F$199="FACTURA",ROUND(Registro_Compras!$K$199*Registro_Compras!$N$199,2),""))</f>
        <v/>
      </c>
      <c r="F1761" s="20" t="str">
        <f>IF($C1761="","",IF(Registro_Compras!$F$199="RHE",ROUND(Registro_Compras!$V$199*Registro_Compras!$N$199,2),IF(Registro_Compras!$F$199="NOTA DE CREDITO",ROUND(ABS(Registro_Compras!$J$199*Registro_Compras!$N$199),2),"")))</f>
        <v/>
      </c>
      <c r="G1761" t="str">
        <f>IF($C1761="","",IF(Registro_Compras!$F$199="NOTA DE CREDITO","Por la nota de credito "&amp;Registro_Compras!$C$199&amp;" de "&amp;Registro_Compras!$E$199&amp;" [PATRON POR CONFIRMAR CON CONTADOR]",IF(Registro_Compras!$F$199="RHE","Por el registro del recibo por honorarios "&amp;Registro_Compras!$C$199&amp;" de "&amp;Registro_Compras!$E$199&amp;" [PATRON POR CONFIRMAR CON CONTADOR]","Por el registro de la factura "&amp;Registro_Compras!$C$199&amp;" de "&amp;Registro_Compras!$E$199)))</f>
        <v/>
      </c>
      <c r="H1761" t="str">
        <f>IF($C1761="","",Registro_Compras!$C$199)</f>
        <v/>
      </c>
    </row>
    <row r="1762" spans="1:8" x14ac:dyDescent="0.25">
      <c r="A1762" s="25" t="str">
        <f>IF($C1762="","",Registro_Compras!$B$199)</f>
        <v/>
      </c>
      <c r="B1762" t="str">
        <f>IF($C1762="","","C"&amp;TEXT(INT((ROW()-5)/9)+1,"000")&amp;"-1")</f>
        <v/>
      </c>
      <c r="C1762" t="str">
        <f>IF(OR(Registro_Compras!$C$199="",Registro_Compras!$O$199=""),"",IF(Registro_Compras!$F$199="NOTA DE CREDITO",IF(Registro_Compras!$K$199=0,"","40111"),"4212"))</f>
        <v/>
      </c>
      <c r="D1762" t="str">
        <f>IF(OR(Registro_Compras!$C$199="",Registro_Compras!$O$199=""),"",IF(Registro_Compras!$F$199="NOTA DE CREDITO","IGV - Cuenta Propia (Credito Fiscal)","Cuentas por Pagar Comerciales - Terceros (Emitidas)"))</f>
        <v/>
      </c>
      <c r="E1762" s="20" t="str">
        <f>""</f>
        <v/>
      </c>
      <c r="F1762" s="20" t="str">
        <f>IF($C1762="","",IF(Registro_Compras!$F$199="NOTA DE CREDITO",ROUND(ABS(Registro_Compras!$K$199*Registro_Compras!$N$199),2),IF(Registro_Compras!$F$199="RHE",(ROUND(Registro_Compras!$L$199*Registro_Compras!$N$199,2)-ROUND(Registro_Compras!$V$199*Registro_Compras!$N$199,2)),Registro_Compras!$O$199)))</f>
        <v/>
      </c>
      <c r="G1762" t="str">
        <f>IF($C1762="","",IF(Registro_Compras!$F$199="NOTA DE CREDITO","Por la nota de credito "&amp;Registro_Compras!$C$199&amp;" de "&amp;Registro_Compras!$E$199&amp;" [PATRON POR CONFIRMAR CON CONTADOR]",IF(Registro_Compras!$F$199="RHE","Por el registro del recibo por honorarios "&amp;Registro_Compras!$C$199&amp;" de "&amp;Registro_Compras!$E$199&amp;" [PATRON POR CONFIRMAR CON CONTADOR]","Por el registro de la factura "&amp;Registro_Compras!$C$199&amp;" de "&amp;Registro_Compras!$E$199)))</f>
        <v/>
      </c>
      <c r="H1762" t="str">
        <f>IF($C1762="","",Registro_Compras!$C$199)</f>
        <v/>
      </c>
    </row>
    <row r="1763" spans="1:8" x14ac:dyDescent="0.25">
      <c r="A1763" s="25" t="str">
        <f>IF($C1763="","",Registro_Compras!$B$199)</f>
        <v/>
      </c>
      <c r="B1763" t="str">
        <f>IF($C1763="","","C"&amp;TEXT(INT((ROW()-5)/9)+1,"000")&amp;"-2")</f>
        <v/>
      </c>
      <c r="C1763" t="str">
        <f>IF(OR(Registro_Compras!$C$199="",Registro_Compras!$O$199=""),"",IF(Registro_Compras!$AB$199="ADMINISTRATIVO","94","95"))</f>
        <v/>
      </c>
      <c r="D1763" t="str">
        <f>IF(OR(Registro_Compras!$C$199="",Registro_Compras!$O$199=""),"",IF(Registro_Compras!$AB$199="ADMINISTRATIVO","Gastos Administrativos","Gastos de Venta y Operacion"))</f>
        <v/>
      </c>
      <c r="E1763" s="20" t="str">
        <f>IF($C1763="","",IF(Registro_Compras!$F$199="NOTA DE CREDITO","",IF(Registro_Compras!$F$199="RHE",ROUND(Registro_Compras!$L$199*Registro_Compras!$N$199,2),ROUND(Registro_Compras!$J$199*Registro_Compras!$N$199,2))))</f>
        <v/>
      </c>
      <c r="F1763" s="20" t="str">
        <f>IF($C1763="","",IF(Registro_Compras!$F$199="NOTA DE CREDITO",ROUND(ABS(Registro_Compras!$J$199*Registro_Compras!$N$199),2),""))</f>
        <v/>
      </c>
      <c r="G1763" t="str">
        <f>IF($C1763="","","Por el destino del gasto")</f>
        <v/>
      </c>
      <c r="H1763" t="str">
        <f>IF($C1763="","",Registro_Compras!$C$199)</f>
        <v/>
      </c>
    </row>
    <row r="1764" spans="1:8" x14ac:dyDescent="0.25">
      <c r="A1764" s="25" t="str">
        <f>IF($C1764="","",Registro_Compras!$B$199)</f>
        <v/>
      </c>
      <c r="B1764" t="str">
        <f>IF($C1764="","","C"&amp;TEXT(INT((ROW()-5)/9)+1,"000")&amp;"-2")</f>
        <v/>
      </c>
      <c r="C1764" t="str">
        <f>IF(OR(Registro_Compras!$C$199="",Registro_Compras!$O$199=""),"","79/791")</f>
        <v/>
      </c>
      <c r="D1764" t="str">
        <f>IF(OR(Registro_Compras!$C$199="",Registro_Compras!$O$199=""),"","Cargas Imputables a Cuentas de Costos y Gastos")</f>
        <v/>
      </c>
      <c r="E1764" s="20" t="str">
        <f>IF($C1764="","",IF(Registro_Compras!$F$199="NOTA DE CREDITO",ROUND(ABS(Registro_Compras!$J$199*Registro_Compras!$N$199),2),""))</f>
        <v/>
      </c>
      <c r="F1764" s="20" t="str">
        <f>IF($C1764="","",IF(Registro_Compras!$F$199="NOTA DE CREDITO","",IF(Registro_Compras!$F$199="RHE",ROUND(Registro_Compras!$L$199*Registro_Compras!$N$199,2),ROUND(Registro_Compras!$J$199*Registro_Compras!$N$199,2))))</f>
        <v/>
      </c>
      <c r="G1764" t="str">
        <f>IF($C1764="","","Por el destino del gasto")</f>
        <v/>
      </c>
      <c r="H1764" t="str">
        <f>IF($C1764="","",Registro_Compras!$C$199)</f>
        <v/>
      </c>
    </row>
    <row r="1765" spans="1:8" x14ac:dyDescent="0.25">
      <c r="A1765" s="25" t="str">
        <f>IF($C1765="","",Registro_Compras!$X$199)</f>
        <v/>
      </c>
      <c r="B1765" t="str">
        <f>IF($C1765="","","C"&amp;TEXT(INT((ROW()-5)/9)+1,"000")&amp;"-3")</f>
        <v/>
      </c>
      <c r="C1765" t="str">
        <f>IF(OR(Registro_Compras!$C$199="",Registro_Compras!$O$199="",Registro_Compras!$R$199&lt;&gt;"SI",Registro_Compras!$X$199=""),"","4212")</f>
        <v/>
      </c>
      <c r="D1765" t="str">
        <f>IF(OR(Registro_Compras!$C$199="",Registro_Compras!$O$199=""),"","Cuentas por Pagar Comerciales - Terceros")</f>
        <v/>
      </c>
      <c r="E1765" s="20" t="str">
        <f>IF($C1765="","",Registro_Compras!$S$199)</f>
        <v/>
      </c>
      <c r="F1765" s="20" t="str">
        <f>""</f>
        <v/>
      </c>
      <c r="G1765" t="str">
        <f>IF($C1765="","","Por el deposito de la detraccion en el Banco de la Nacion")</f>
        <v/>
      </c>
      <c r="H1765" t="str">
        <f>IF($C1765="","",Registro_Compras!$C$199)</f>
        <v/>
      </c>
    </row>
    <row r="1766" spans="1:8" x14ac:dyDescent="0.25">
      <c r="A1766" s="25" t="str">
        <f>IF($C1766="","",Registro_Compras!$X$199)</f>
        <v/>
      </c>
      <c r="B1766" t="str">
        <f>IF($C1766="","","C"&amp;TEXT(INT((ROW()-5)/9)+1,"000")&amp;"-3")</f>
        <v/>
      </c>
      <c r="C1766" t="str">
        <f>IF(OR(Registro_Compras!$C$199="",Registro_Compras!$O$199="",Registro_Compras!$R$199&lt;&gt;"SI",Registro_Compras!$X$199=""),"","1041")</f>
        <v/>
      </c>
      <c r="D1766" t="str">
        <f>IF(OR(Registro_Compras!$C$199="",Registro_Compras!$O$199=""),"","Efectivo y Equivalentes - Cta. Cte. Operativa")</f>
        <v/>
      </c>
      <c r="E1766" s="20" t="str">
        <f>""</f>
        <v/>
      </c>
      <c r="F1766" s="20" t="str">
        <f>IF($C1766="","",Registro_Compras!$S$199)</f>
        <v/>
      </c>
      <c r="G1766" t="str">
        <f>IF($C1766="","","Por el deposito de la detraccion en el Banco de la Nacion")</f>
        <v/>
      </c>
      <c r="H1766" t="str">
        <f>IF($C1766="","",Registro_Compras!$C$199)</f>
        <v/>
      </c>
    </row>
    <row r="1767" spans="1:8" x14ac:dyDescent="0.25">
      <c r="A1767" s="25" t="str">
        <f>IF($C1767="","",Registro_Compras!$Y$199)</f>
        <v/>
      </c>
      <c r="B1767" t="str">
        <f>IF($C1767="","","C"&amp;TEXT(INT((ROW()-5)/9)+1,"000")&amp;"-4")</f>
        <v/>
      </c>
      <c r="C1767" t="str">
        <f>IF(OR(Registro_Compras!$C$199="",Registro_Compras!$O$199="",Registro_Compras!$Y$199="",Registro_Compras!$F$199="NOTA DE CREDITO"),"","4212")</f>
        <v/>
      </c>
      <c r="D1767" t="str">
        <f>IF(OR(Registro_Compras!$C$199="",Registro_Compras!$O$199=""),"","Cuentas por Pagar Comerciales - Terceros")</f>
        <v/>
      </c>
      <c r="E1767" s="20" t="str">
        <f>IF($C1767="","",IF(Registro_Compras!$F$199="RHE",(ROUND(Registro_Compras!$L$199*Registro_Compras!$N$199,2)-ROUND(Registro_Compras!$V$199*Registro_Compras!$N$199,2)),ROUND(Registro_Compras!$O$199-Registro_Compras!$S$199,2)))</f>
        <v/>
      </c>
      <c r="F1767" s="20" t="str">
        <f>""</f>
        <v/>
      </c>
      <c r="G1767" t="str">
        <f>IF($C1767="","","Por la cancelacion del saldo al proveedor")</f>
        <v/>
      </c>
      <c r="H1767" t="str">
        <f>IF($C1767="","",Registro_Compras!$C$199)</f>
        <v/>
      </c>
    </row>
    <row r="1768" spans="1:8" x14ac:dyDescent="0.25">
      <c r="A1768" s="25" t="str">
        <f>IF($C1768="","",Registro_Compras!$Y$199)</f>
        <v/>
      </c>
      <c r="B1768" t="str">
        <f>IF($C1768="","","C"&amp;TEXT(INT((ROW()-5)/9)+1,"000")&amp;"-4")</f>
        <v/>
      </c>
      <c r="C1768" t="str">
        <f>IF(OR(Registro_Compras!$C$199="",Registro_Compras!$O$199="",Registro_Compras!$Y$199="",Registro_Compras!$F$199="NOTA DE CREDITO"),"","1041")</f>
        <v/>
      </c>
      <c r="D1768" t="str">
        <f>IF(OR(Registro_Compras!$C$199="",Registro_Compras!$O$199=""),"","Efectivo y Equivalentes - Cta. Cte. Operativa")</f>
        <v/>
      </c>
      <c r="E1768" s="20" t="str">
        <f>""</f>
        <v/>
      </c>
      <c r="F1768" s="20" t="str">
        <f>IF($C1768="","",IF(Registro_Compras!$F$199="RHE",(ROUND(Registro_Compras!$L$199*Registro_Compras!$N$199,2)-ROUND(Registro_Compras!$V$199*Registro_Compras!$N$199,2)),ROUND(Registro_Compras!$O$199-Registro_Compras!$S$199,2)))</f>
        <v/>
      </c>
      <c r="G1768" t="str">
        <f>IF($C1768="","","Por la cancelacion del saldo al proveedor")</f>
        <v/>
      </c>
      <c r="H1768" t="str">
        <f>IF($C1768="","",Registro_Compras!$C$199)</f>
        <v/>
      </c>
    </row>
    <row r="1769" spans="1:8" x14ac:dyDescent="0.25">
      <c r="A1769" s="25" t="str">
        <f>IF($C1769="","",Registro_Compras!$B$200)</f>
        <v/>
      </c>
      <c r="B1769" t="str">
        <f>IF($C1769="","","C"&amp;TEXT(INT((ROW()-5)/9)+1,"000")&amp;"-1")</f>
        <v/>
      </c>
      <c r="C1769" t="str">
        <f>IF(OR(Registro_Compras!$C$200="",Registro_Compras!$O$200=""),"",IF(Registro_Compras!$F$200="NOTA DE CREDITO","4212",IF(Registro_Compras!$M$200="","63",Registro_Compras!$M$200)))</f>
        <v/>
      </c>
      <c r="D1769" t="str">
        <f>IF(OR(Registro_Compras!$C$200="",Registro_Compras!$O$200=""),"",IF(Registro_Compras!$F$200="NOTA DE CREDITO","Cuentas por Pagar Comerciales - Terceros (Emitidas)",IF(Registro_Compras!$F$200="RHE","Honorarios Profesionales - Servicios de Terceros","Gastos de Servicios Prestados por Terceros")))</f>
        <v/>
      </c>
      <c r="E1769" s="20" t="str">
        <f>IF($C1769="","",IF(Registro_Compras!$F$200="NOTA DE CREDITO",ABS(Registro_Compras!$O$200),IF(Registro_Compras!$F$200="RHE",ROUND(Registro_Compras!$L$200*Registro_Compras!$N$200,2),ROUND(Registro_Compras!$J$200*Registro_Compras!$N$200,2))))</f>
        <v/>
      </c>
      <c r="F1769" s="20" t="str">
        <f>""</f>
        <v/>
      </c>
      <c r="G1769" t="str">
        <f>IF($C1769="","",IF(Registro_Compras!$F$200="NOTA DE CREDITO","Por la nota de credito "&amp;Registro_Compras!$C$200&amp;" de "&amp;Registro_Compras!$E$200&amp;" [PATRON POR CONFIRMAR CON CONTADOR]",IF(Registro_Compras!$F$200="RHE","Por el registro del recibo por honorarios "&amp;Registro_Compras!$C$200&amp;" de "&amp;Registro_Compras!$E$200&amp;" [PATRON POR CONFIRMAR CON CONTADOR]","Por el registro de la factura "&amp;Registro_Compras!$C$200&amp;" de "&amp;Registro_Compras!$E$200)))</f>
        <v/>
      </c>
      <c r="H1769" t="str">
        <f>IF($C1769="","",Registro_Compras!$C$200)</f>
        <v/>
      </c>
    </row>
    <row r="1770" spans="1:8" x14ac:dyDescent="0.25">
      <c r="A1770" s="25" t="str">
        <f>IF($C1770="","",Registro_Compras!$B$200)</f>
        <v/>
      </c>
      <c r="B1770" t="str">
        <f>IF($C1770="","","C"&amp;TEXT(INT((ROW()-5)/9)+1,"000")&amp;"-1")</f>
        <v/>
      </c>
      <c r="C1770" t="str">
        <f>IF(OR(Registro_Compras!$C$200="",Registro_Compras!$O$200=""),"",IF(Registro_Compras!$F$200="RHE",IF(Registro_Compras!$V$200=0,"","4017"),IF(Registro_Compras!$F$200="NOTA DE CREDITO",IF(Registro_Compras!$M$200="","63",Registro_Compras!$M$200),IF(Registro_Compras!$K$200=0,"","40111"))))</f>
        <v/>
      </c>
      <c r="D1770" t="str">
        <f>IF(OR(Registro_Compras!$C$200="",Registro_Compras!$O$200=""),"",IF(Registro_Compras!$F$200="RHE","Retencion Renta 4ta Categoria por Pagar",IF(Registro_Compras!$F$200="NOTA DE CREDITO","Gastos de Servicios Prestados por Terceros","IGV - Cuenta Propia (Credito Fiscal)")))</f>
        <v/>
      </c>
      <c r="E1770" s="20" t="str">
        <f>IF($C1770="","",IF(Registro_Compras!$F$200="FACTURA",ROUND(Registro_Compras!$K$200*Registro_Compras!$N$200,2),""))</f>
        <v/>
      </c>
      <c r="F1770" s="20" t="str">
        <f>IF($C1770="","",IF(Registro_Compras!$F$200="RHE",ROUND(Registro_Compras!$V$200*Registro_Compras!$N$200,2),IF(Registro_Compras!$F$200="NOTA DE CREDITO",ROUND(ABS(Registro_Compras!$J$200*Registro_Compras!$N$200),2),"")))</f>
        <v/>
      </c>
      <c r="G1770" t="str">
        <f>IF($C1770="","",IF(Registro_Compras!$F$200="NOTA DE CREDITO","Por la nota de credito "&amp;Registro_Compras!$C$200&amp;" de "&amp;Registro_Compras!$E$200&amp;" [PATRON POR CONFIRMAR CON CONTADOR]",IF(Registro_Compras!$F$200="RHE","Por el registro del recibo por honorarios "&amp;Registro_Compras!$C$200&amp;" de "&amp;Registro_Compras!$E$200&amp;" [PATRON POR CONFIRMAR CON CONTADOR]","Por el registro de la factura "&amp;Registro_Compras!$C$200&amp;" de "&amp;Registro_Compras!$E$200)))</f>
        <v/>
      </c>
      <c r="H1770" t="str">
        <f>IF($C1770="","",Registro_Compras!$C$200)</f>
        <v/>
      </c>
    </row>
    <row r="1771" spans="1:8" x14ac:dyDescent="0.25">
      <c r="A1771" s="25" t="str">
        <f>IF($C1771="","",Registro_Compras!$B$200)</f>
        <v/>
      </c>
      <c r="B1771" t="str">
        <f>IF($C1771="","","C"&amp;TEXT(INT((ROW()-5)/9)+1,"000")&amp;"-1")</f>
        <v/>
      </c>
      <c r="C1771" t="str">
        <f>IF(OR(Registro_Compras!$C$200="",Registro_Compras!$O$200=""),"",IF(Registro_Compras!$F$200="NOTA DE CREDITO",IF(Registro_Compras!$K$200=0,"","40111"),"4212"))</f>
        <v/>
      </c>
      <c r="D1771" t="str">
        <f>IF(OR(Registro_Compras!$C$200="",Registro_Compras!$O$200=""),"",IF(Registro_Compras!$F$200="NOTA DE CREDITO","IGV - Cuenta Propia (Credito Fiscal)","Cuentas por Pagar Comerciales - Terceros (Emitidas)"))</f>
        <v/>
      </c>
      <c r="E1771" s="20" t="str">
        <f>""</f>
        <v/>
      </c>
      <c r="F1771" s="20" t="str">
        <f>IF($C1771="","",IF(Registro_Compras!$F$200="NOTA DE CREDITO",ROUND(ABS(Registro_Compras!$K$200*Registro_Compras!$N$200),2),IF(Registro_Compras!$F$200="RHE",(ROUND(Registro_Compras!$L$200*Registro_Compras!$N$200,2)-ROUND(Registro_Compras!$V$200*Registro_Compras!$N$200,2)),Registro_Compras!$O$200)))</f>
        <v/>
      </c>
      <c r="G1771" t="str">
        <f>IF($C1771="","",IF(Registro_Compras!$F$200="NOTA DE CREDITO","Por la nota de credito "&amp;Registro_Compras!$C$200&amp;" de "&amp;Registro_Compras!$E$200&amp;" [PATRON POR CONFIRMAR CON CONTADOR]",IF(Registro_Compras!$F$200="RHE","Por el registro del recibo por honorarios "&amp;Registro_Compras!$C$200&amp;" de "&amp;Registro_Compras!$E$200&amp;" [PATRON POR CONFIRMAR CON CONTADOR]","Por el registro de la factura "&amp;Registro_Compras!$C$200&amp;" de "&amp;Registro_Compras!$E$200)))</f>
        <v/>
      </c>
      <c r="H1771" t="str">
        <f>IF($C1771="","",Registro_Compras!$C$200)</f>
        <v/>
      </c>
    </row>
    <row r="1772" spans="1:8" x14ac:dyDescent="0.25">
      <c r="A1772" s="25" t="str">
        <f>IF($C1772="","",Registro_Compras!$B$200)</f>
        <v/>
      </c>
      <c r="B1772" t="str">
        <f>IF($C1772="","","C"&amp;TEXT(INT((ROW()-5)/9)+1,"000")&amp;"-2")</f>
        <v/>
      </c>
      <c r="C1772" t="str">
        <f>IF(OR(Registro_Compras!$C$200="",Registro_Compras!$O$200=""),"",IF(Registro_Compras!$AB$200="ADMINISTRATIVO","94","95"))</f>
        <v/>
      </c>
      <c r="D1772" t="str">
        <f>IF(OR(Registro_Compras!$C$200="",Registro_Compras!$O$200=""),"",IF(Registro_Compras!$AB$200="ADMINISTRATIVO","Gastos Administrativos","Gastos de Venta y Operacion"))</f>
        <v/>
      </c>
      <c r="E1772" s="20" t="str">
        <f>IF($C1772="","",IF(Registro_Compras!$F$200="NOTA DE CREDITO","",IF(Registro_Compras!$F$200="RHE",ROUND(Registro_Compras!$L$200*Registro_Compras!$N$200,2),ROUND(Registro_Compras!$J$200*Registro_Compras!$N$200,2))))</f>
        <v/>
      </c>
      <c r="F1772" s="20" t="str">
        <f>IF($C1772="","",IF(Registro_Compras!$F$200="NOTA DE CREDITO",ROUND(ABS(Registro_Compras!$J$200*Registro_Compras!$N$200),2),""))</f>
        <v/>
      </c>
      <c r="G1772" t="str">
        <f>IF($C1772="","","Por el destino del gasto")</f>
        <v/>
      </c>
      <c r="H1772" t="str">
        <f>IF($C1772="","",Registro_Compras!$C$200)</f>
        <v/>
      </c>
    </row>
    <row r="1773" spans="1:8" x14ac:dyDescent="0.25">
      <c r="A1773" s="25" t="str">
        <f>IF($C1773="","",Registro_Compras!$B$200)</f>
        <v/>
      </c>
      <c r="B1773" t="str">
        <f>IF($C1773="","","C"&amp;TEXT(INT((ROW()-5)/9)+1,"000")&amp;"-2")</f>
        <v/>
      </c>
      <c r="C1773" t="str">
        <f>IF(OR(Registro_Compras!$C$200="",Registro_Compras!$O$200=""),"","79/791")</f>
        <v/>
      </c>
      <c r="D1773" t="str">
        <f>IF(OR(Registro_Compras!$C$200="",Registro_Compras!$O$200=""),"","Cargas Imputables a Cuentas de Costos y Gastos")</f>
        <v/>
      </c>
      <c r="E1773" s="20" t="str">
        <f>IF($C1773="","",IF(Registro_Compras!$F$200="NOTA DE CREDITO",ROUND(ABS(Registro_Compras!$J$200*Registro_Compras!$N$200),2),""))</f>
        <v/>
      </c>
      <c r="F1773" s="20" t="str">
        <f>IF($C1773="","",IF(Registro_Compras!$F$200="NOTA DE CREDITO","",IF(Registro_Compras!$F$200="RHE",ROUND(Registro_Compras!$L$200*Registro_Compras!$N$200,2),ROUND(Registro_Compras!$J$200*Registro_Compras!$N$200,2))))</f>
        <v/>
      </c>
      <c r="G1773" t="str">
        <f>IF($C1773="","","Por el destino del gasto")</f>
        <v/>
      </c>
      <c r="H1773" t="str">
        <f>IF($C1773="","",Registro_Compras!$C$200)</f>
        <v/>
      </c>
    </row>
    <row r="1774" spans="1:8" x14ac:dyDescent="0.25">
      <c r="A1774" s="25" t="str">
        <f>IF($C1774="","",Registro_Compras!$X$200)</f>
        <v/>
      </c>
      <c r="B1774" t="str">
        <f>IF($C1774="","","C"&amp;TEXT(INT((ROW()-5)/9)+1,"000")&amp;"-3")</f>
        <v/>
      </c>
      <c r="C1774" t="str">
        <f>IF(OR(Registro_Compras!$C$200="",Registro_Compras!$O$200="",Registro_Compras!$R$200&lt;&gt;"SI",Registro_Compras!$X$200=""),"","4212")</f>
        <v/>
      </c>
      <c r="D1774" t="str">
        <f>IF(OR(Registro_Compras!$C$200="",Registro_Compras!$O$200=""),"","Cuentas por Pagar Comerciales - Terceros")</f>
        <v/>
      </c>
      <c r="E1774" s="20" t="str">
        <f>IF($C1774="","",Registro_Compras!$S$200)</f>
        <v/>
      </c>
      <c r="F1774" s="20" t="str">
        <f>""</f>
        <v/>
      </c>
      <c r="G1774" t="str">
        <f>IF($C1774="","","Por el deposito de la detraccion en el Banco de la Nacion")</f>
        <v/>
      </c>
      <c r="H1774" t="str">
        <f>IF($C1774="","",Registro_Compras!$C$200)</f>
        <v/>
      </c>
    </row>
    <row r="1775" spans="1:8" x14ac:dyDescent="0.25">
      <c r="A1775" s="25" t="str">
        <f>IF($C1775="","",Registro_Compras!$X$200)</f>
        <v/>
      </c>
      <c r="B1775" t="str">
        <f>IF($C1775="","","C"&amp;TEXT(INT((ROW()-5)/9)+1,"000")&amp;"-3")</f>
        <v/>
      </c>
      <c r="C1775" t="str">
        <f>IF(OR(Registro_Compras!$C$200="",Registro_Compras!$O$200="",Registro_Compras!$R$200&lt;&gt;"SI",Registro_Compras!$X$200=""),"","1041")</f>
        <v/>
      </c>
      <c r="D1775" t="str">
        <f>IF(OR(Registro_Compras!$C$200="",Registro_Compras!$O$200=""),"","Efectivo y Equivalentes - Cta. Cte. Operativa")</f>
        <v/>
      </c>
      <c r="E1775" s="20" t="str">
        <f>""</f>
        <v/>
      </c>
      <c r="F1775" s="20" t="str">
        <f>IF($C1775="","",Registro_Compras!$S$200)</f>
        <v/>
      </c>
      <c r="G1775" t="str">
        <f>IF($C1775="","","Por el deposito de la detraccion en el Banco de la Nacion")</f>
        <v/>
      </c>
      <c r="H1775" t="str">
        <f>IF($C1775="","",Registro_Compras!$C$200)</f>
        <v/>
      </c>
    </row>
    <row r="1776" spans="1:8" x14ac:dyDescent="0.25">
      <c r="A1776" s="25" t="str">
        <f>IF($C1776="","",Registro_Compras!$Y$200)</f>
        <v/>
      </c>
      <c r="B1776" t="str">
        <f>IF($C1776="","","C"&amp;TEXT(INT((ROW()-5)/9)+1,"000")&amp;"-4")</f>
        <v/>
      </c>
      <c r="C1776" t="str">
        <f>IF(OR(Registro_Compras!$C$200="",Registro_Compras!$O$200="",Registro_Compras!$Y$200="",Registro_Compras!$F$200="NOTA DE CREDITO"),"","4212")</f>
        <v/>
      </c>
      <c r="D1776" t="str">
        <f>IF(OR(Registro_Compras!$C$200="",Registro_Compras!$O$200=""),"","Cuentas por Pagar Comerciales - Terceros")</f>
        <v/>
      </c>
      <c r="E1776" s="20" t="str">
        <f>IF($C1776="","",IF(Registro_Compras!$F$200="RHE",(ROUND(Registro_Compras!$L$200*Registro_Compras!$N$200,2)-ROUND(Registro_Compras!$V$200*Registro_Compras!$N$200,2)),ROUND(Registro_Compras!$O$200-Registro_Compras!$S$200,2)))</f>
        <v/>
      </c>
      <c r="F1776" s="20" t="str">
        <f>""</f>
        <v/>
      </c>
      <c r="G1776" t="str">
        <f>IF($C1776="","","Por la cancelacion del saldo al proveedor")</f>
        <v/>
      </c>
      <c r="H1776" t="str">
        <f>IF($C1776="","",Registro_Compras!$C$200)</f>
        <v/>
      </c>
    </row>
    <row r="1777" spans="1:8" x14ac:dyDescent="0.25">
      <c r="A1777" s="25" t="str">
        <f>IF($C1777="","",Registro_Compras!$Y$200)</f>
        <v/>
      </c>
      <c r="B1777" t="str">
        <f>IF($C1777="","","C"&amp;TEXT(INT((ROW()-5)/9)+1,"000")&amp;"-4")</f>
        <v/>
      </c>
      <c r="C1777" t="str">
        <f>IF(OR(Registro_Compras!$C$200="",Registro_Compras!$O$200="",Registro_Compras!$Y$200="",Registro_Compras!$F$200="NOTA DE CREDITO"),"","1041")</f>
        <v/>
      </c>
      <c r="D1777" t="str">
        <f>IF(OR(Registro_Compras!$C$200="",Registro_Compras!$O$200=""),"","Efectivo y Equivalentes - Cta. Cte. Operativa")</f>
        <v/>
      </c>
      <c r="E1777" s="20" t="str">
        <f>""</f>
        <v/>
      </c>
      <c r="F1777" s="20" t="str">
        <f>IF($C1777="","",IF(Registro_Compras!$F$200="RHE",(ROUND(Registro_Compras!$L$200*Registro_Compras!$N$200,2)-ROUND(Registro_Compras!$V$200*Registro_Compras!$N$200,2)),ROUND(Registro_Compras!$O$200-Registro_Compras!$S$200,2)))</f>
        <v/>
      </c>
      <c r="G1777" t="str">
        <f>IF($C1777="","","Por la cancelacion del saldo al proveedor")</f>
        <v/>
      </c>
      <c r="H1777" t="str">
        <f>IF($C1777="","",Registro_Compras!$C$200)</f>
        <v/>
      </c>
    </row>
    <row r="1778" spans="1:8" x14ac:dyDescent="0.25">
      <c r="A1778" s="25" t="str">
        <f>IF($C1778="","",Registro_Compras!$B$201)</f>
        <v/>
      </c>
      <c r="B1778" t="str">
        <f>IF($C1778="","","C"&amp;TEXT(INT((ROW()-5)/9)+1,"000")&amp;"-1")</f>
        <v/>
      </c>
      <c r="C1778" t="str">
        <f>IF(OR(Registro_Compras!$C$201="",Registro_Compras!$O$201=""),"",IF(Registro_Compras!$F$201="NOTA DE CREDITO","4212",IF(Registro_Compras!$M$201="","63",Registro_Compras!$M$201)))</f>
        <v/>
      </c>
      <c r="D1778" t="str">
        <f>IF(OR(Registro_Compras!$C$201="",Registro_Compras!$O$201=""),"",IF(Registro_Compras!$F$201="NOTA DE CREDITO","Cuentas por Pagar Comerciales - Terceros (Emitidas)",IF(Registro_Compras!$F$201="RHE","Honorarios Profesionales - Servicios de Terceros","Gastos de Servicios Prestados por Terceros")))</f>
        <v/>
      </c>
      <c r="E1778" s="20" t="str">
        <f>IF($C1778="","",IF(Registro_Compras!$F$201="NOTA DE CREDITO",ABS(Registro_Compras!$O$201),IF(Registro_Compras!$F$201="RHE",ROUND(Registro_Compras!$L$201*Registro_Compras!$N$201,2),ROUND(Registro_Compras!$J$201*Registro_Compras!$N$201,2))))</f>
        <v/>
      </c>
      <c r="F1778" s="20" t="str">
        <f>""</f>
        <v/>
      </c>
      <c r="G1778" t="str">
        <f>IF($C1778="","",IF(Registro_Compras!$F$201="NOTA DE CREDITO","Por la nota de credito "&amp;Registro_Compras!$C$201&amp;" de "&amp;Registro_Compras!$E$201&amp;" [PATRON POR CONFIRMAR CON CONTADOR]",IF(Registro_Compras!$F$201="RHE","Por el registro del recibo por honorarios "&amp;Registro_Compras!$C$201&amp;" de "&amp;Registro_Compras!$E$201&amp;" [PATRON POR CONFIRMAR CON CONTADOR]","Por el registro de la factura "&amp;Registro_Compras!$C$201&amp;" de "&amp;Registro_Compras!$E$201)))</f>
        <v/>
      </c>
      <c r="H1778" t="str">
        <f>IF($C1778="","",Registro_Compras!$C$201)</f>
        <v/>
      </c>
    </row>
    <row r="1779" spans="1:8" x14ac:dyDescent="0.25">
      <c r="A1779" s="25" t="str">
        <f>IF($C1779="","",Registro_Compras!$B$201)</f>
        <v/>
      </c>
      <c r="B1779" t="str">
        <f>IF($C1779="","","C"&amp;TEXT(INT((ROW()-5)/9)+1,"000")&amp;"-1")</f>
        <v/>
      </c>
      <c r="C1779" t="str">
        <f>IF(OR(Registro_Compras!$C$201="",Registro_Compras!$O$201=""),"",IF(Registro_Compras!$F$201="RHE",IF(Registro_Compras!$V$201=0,"","4017"),IF(Registro_Compras!$F$201="NOTA DE CREDITO",IF(Registro_Compras!$M$201="","63",Registro_Compras!$M$201),IF(Registro_Compras!$K$201=0,"","40111"))))</f>
        <v/>
      </c>
      <c r="D1779" t="str">
        <f>IF(OR(Registro_Compras!$C$201="",Registro_Compras!$O$201=""),"",IF(Registro_Compras!$F$201="RHE","Retencion Renta 4ta Categoria por Pagar",IF(Registro_Compras!$F$201="NOTA DE CREDITO","Gastos de Servicios Prestados por Terceros","IGV - Cuenta Propia (Credito Fiscal)")))</f>
        <v/>
      </c>
      <c r="E1779" s="20" t="str">
        <f>IF($C1779="","",IF(Registro_Compras!$F$201="FACTURA",ROUND(Registro_Compras!$K$201*Registro_Compras!$N$201,2),""))</f>
        <v/>
      </c>
      <c r="F1779" s="20" t="str">
        <f>IF($C1779="","",IF(Registro_Compras!$F$201="RHE",ROUND(Registro_Compras!$V$201*Registro_Compras!$N$201,2),IF(Registro_Compras!$F$201="NOTA DE CREDITO",ROUND(ABS(Registro_Compras!$J$201*Registro_Compras!$N$201),2),"")))</f>
        <v/>
      </c>
      <c r="G1779" t="str">
        <f>IF($C1779="","",IF(Registro_Compras!$F$201="NOTA DE CREDITO","Por la nota de credito "&amp;Registro_Compras!$C$201&amp;" de "&amp;Registro_Compras!$E$201&amp;" [PATRON POR CONFIRMAR CON CONTADOR]",IF(Registro_Compras!$F$201="RHE","Por el registro del recibo por honorarios "&amp;Registro_Compras!$C$201&amp;" de "&amp;Registro_Compras!$E$201&amp;" [PATRON POR CONFIRMAR CON CONTADOR]","Por el registro de la factura "&amp;Registro_Compras!$C$201&amp;" de "&amp;Registro_Compras!$E$201)))</f>
        <v/>
      </c>
      <c r="H1779" t="str">
        <f>IF($C1779="","",Registro_Compras!$C$201)</f>
        <v/>
      </c>
    </row>
    <row r="1780" spans="1:8" x14ac:dyDescent="0.25">
      <c r="A1780" s="25" t="str">
        <f>IF($C1780="","",Registro_Compras!$B$201)</f>
        <v/>
      </c>
      <c r="B1780" t="str">
        <f>IF($C1780="","","C"&amp;TEXT(INT((ROW()-5)/9)+1,"000")&amp;"-1")</f>
        <v/>
      </c>
      <c r="C1780" t="str">
        <f>IF(OR(Registro_Compras!$C$201="",Registro_Compras!$O$201=""),"",IF(Registro_Compras!$F$201="NOTA DE CREDITO",IF(Registro_Compras!$K$201=0,"","40111"),"4212"))</f>
        <v/>
      </c>
      <c r="D1780" t="str">
        <f>IF(OR(Registro_Compras!$C$201="",Registro_Compras!$O$201=""),"",IF(Registro_Compras!$F$201="NOTA DE CREDITO","IGV - Cuenta Propia (Credito Fiscal)","Cuentas por Pagar Comerciales - Terceros (Emitidas)"))</f>
        <v/>
      </c>
      <c r="E1780" s="20" t="str">
        <f>""</f>
        <v/>
      </c>
      <c r="F1780" s="20" t="str">
        <f>IF($C1780="","",IF(Registro_Compras!$F$201="NOTA DE CREDITO",ROUND(ABS(Registro_Compras!$K$201*Registro_Compras!$N$201),2),IF(Registro_Compras!$F$201="RHE",(ROUND(Registro_Compras!$L$201*Registro_Compras!$N$201,2)-ROUND(Registro_Compras!$V$201*Registro_Compras!$N$201,2)),Registro_Compras!$O$201)))</f>
        <v/>
      </c>
      <c r="G1780" t="str">
        <f>IF($C1780="","",IF(Registro_Compras!$F$201="NOTA DE CREDITO","Por la nota de credito "&amp;Registro_Compras!$C$201&amp;" de "&amp;Registro_Compras!$E$201&amp;" [PATRON POR CONFIRMAR CON CONTADOR]",IF(Registro_Compras!$F$201="RHE","Por el registro del recibo por honorarios "&amp;Registro_Compras!$C$201&amp;" de "&amp;Registro_Compras!$E$201&amp;" [PATRON POR CONFIRMAR CON CONTADOR]","Por el registro de la factura "&amp;Registro_Compras!$C$201&amp;" de "&amp;Registro_Compras!$E$201)))</f>
        <v/>
      </c>
      <c r="H1780" t="str">
        <f>IF($C1780="","",Registro_Compras!$C$201)</f>
        <v/>
      </c>
    </row>
    <row r="1781" spans="1:8" x14ac:dyDescent="0.25">
      <c r="A1781" s="25" t="str">
        <f>IF($C1781="","",Registro_Compras!$B$201)</f>
        <v/>
      </c>
      <c r="B1781" t="str">
        <f>IF($C1781="","","C"&amp;TEXT(INT((ROW()-5)/9)+1,"000")&amp;"-2")</f>
        <v/>
      </c>
      <c r="C1781" t="str">
        <f>IF(OR(Registro_Compras!$C$201="",Registro_Compras!$O$201=""),"",IF(Registro_Compras!$AB$201="ADMINISTRATIVO","94","95"))</f>
        <v/>
      </c>
      <c r="D1781" t="str">
        <f>IF(OR(Registro_Compras!$C$201="",Registro_Compras!$O$201=""),"",IF(Registro_Compras!$AB$201="ADMINISTRATIVO","Gastos Administrativos","Gastos de Venta y Operacion"))</f>
        <v/>
      </c>
      <c r="E1781" s="20" t="str">
        <f>IF($C1781="","",IF(Registro_Compras!$F$201="NOTA DE CREDITO","",IF(Registro_Compras!$F$201="RHE",ROUND(Registro_Compras!$L$201*Registro_Compras!$N$201,2),ROUND(Registro_Compras!$J$201*Registro_Compras!$N$201,2))))</f>
        <v/>
      </c>
      <c r="F1781" s="20" t="str">
        <f>IF($C1781="","",IF(Registro_Compras!$F$201="NOTA DE CREDITO",ROUND(ABS(Registro_Compras!$J$201*Registro_Compras!$N$201),2),""))</f>
        <v/>
      </c>
      <c r="G1781" t="str">
        <f>IF($C1781="","","Por el destino del gasto")</f>
        <v/>
      </c>
      <c r="H1781" t="str">
        <f>IF($C1781="","",Registro_Compras!$C$201)</f>
        <v/>
      </c>
    </row>
    <row r="1782" spans="1:8" x14ac:dyDescent="0.25">
      <c r="A1782" s="25" t="str">
        <f>IF($C1782="","",Registro_Compras!$B$201)</f>
        <v/>
      </c>
      <c r="B1782" t="str">
        <f>IF($C1782="","","C"&amp;TEXT(INT((ROW()-5)/9)+1,"000")&amp;"-2")</f>
        <v/>
      </c>
      <c r="C1782" t="str">
        <f>IF(OR(Registro_Compras!$C$201="",Registro_Compras!$O$201=""),"","79/791")</f>
        <v/>
      </c>
      <c r="D1782" t="str">
        <f>IF(OR(Registro_Compras!$C$201="",Registro_Compras!$O$201=""),"","Cargas Imputables a Cuentas de Costos y Gastos")</f>
        <v/>
      </c>
      <c r="E1782" s="20" t="str">
        <f>IF($C1782="","",IF(Registro_Compras!$F$201="NOTA DE CREDITO",ROUND(ABS(Registro_Compras!$J$201*Registro_Compras!$N$201),2),""))</f>
        <v/>
      </c>
      <c r="F1782" s="20" t="str">
        <f>IF($C1782="","",IF(Registro_Compras!$F$201="NOTA DE CREDITO","",IF(Registro_Compras!$F$201="RHE",ROUND(Registro_Compras!$L$201*Registro_Compras!$N$201,2),ROUND(Registro_Compras!$J$201*Registro_Compras!$N$201,2))))</f>
        <v/>
      </c>
      <c r="G1782" t="str">
        <f>IF($C1782="","","Por el destino del gasto")</f>
        <v/>
      </c>
      <c r="H1782" t="str">
        <f>IF($C1782="","",Registro_Compras!$C$201)</f>
        <v/>
      </c>
    </row>
    <row r="1783" spans="1:8" x14ac:dyDescent="0.25">
      <c r="A1783" s="25" t="str">
        <f>IF($C1783="","",Registro_Compras!$X$201)</f>
        <v/>
      </c>
      <c r="B1783" t="str">
        <f>IF($C1783="","","C"&amp;TEXT(INT((ROW()-5)/9)+1,"000")&amp;"-3")</f>
        <v/>
      </c>
      <c r="C1783" t="str">
        <f>IF(OR(Registro_Compras!$C$201="",Registro_Compras!$O$201="",Registro_Compras!$R$201&lt;&gt;"SI",Registro_Compras!$X$201=""),"","4212")</f>
        <v/>
      </c>
      <c r="D1783" t="str">
        <f>IF(OR(Registro_Compras!$C$201="",Registro_Compras!$O$201=""),"","Cuentas por Pagar Comerciales - Terceros")</f>
        <v/>
      </c>
      <c r="E1783" s="20" t="str">
        <f>IF($C1783="","",Registro_Compras!$S$201)</f>
        <v/>
      </c>
      <c r="F1783" s="20" t="str">
        <f>""</f>
        <v/>
      </c>
      <c r="G1783" t="str">
        <f>IF($C1783="","","Por el deposito de la detraccion en el Banco de la Nacion")</f>
        <v/>
      </c>
      <c r="H1783" t="str">
        <f>IF($C1783="","",Registro_Compras!$C$201)</f>
        <v/>
      </c>
    </row>
    <row r="1784" spans="1:8" x14ac:dyDescent="0.25">
      <c r="A1784" s="25" t="str">
        <f>IF($C1784="","",Registro_Compras!$X$201)</f>
        <v/>
      </c>
      <c r="B1784" t="str">
        <f>IF($C1784="","","C"&amp;TEXT(INT((ROW()-5)/9)+1,"000")&amp;"-3")</f>
        <v/>
      </c>
      <c r="C1784" t="str">
        <f>IF(OR(Registro_Compras!$C$201="",Registro_Compras!$O$201="",Registro_Compras!$R$201&lt;&gt;"SI",Registro_Compras!$X$201=""),"","1041")</f>
        <v/>
      </c>
      <c r="D1784" t="str">
        <f>IF(OR(Registro_Compras!$C$201="",Registro_Compras!$O$201=""),"","Efectivo y Equivalentes - Cta. Cte. Operativa")</f>
        <v/>
      </c>
      <c r="E1784" s="20" t="str">
        <f>""</f>
        <v/>
      </c>
      <c r="F1784" s="20" t="str">
        <f>IF($C1784="","",Registro_Compras!$S$201)</f>
        <v/>
      </c>
      <c r="G1784" t="str">
        <f>IF($C1784="","","Por el deposito de la detraccion en el Banco de la Nacion")</f>
        <v/>
      </c>
      <c r="H1784" t="str">
        <f>IF($C1784="","",Registro_Compras!$C$201)</f>
        <v/>
      </c>
    </row>
    <row r="1785" spans="1:8" x14ac:dyDescent="0.25">
      <c r="A1785" s="25" t="str">
        <f>IF($C1785="","",Registro_Compras!$Y$201)</f>
        <v/>
      </c>
      <c r="B1785" t="str">
        <f>IF($C1785="","","C"&amp;TEXT(INT((ROW()-5)/9)+1,"000")&amp;"-4")</f>
        <v/>
      </c>
      <c r="C1785" t="str">
        <f>IF(OR(Registro_Compras!$C$201="",Registro_Compras!$O$201="",Registro_Compras!$Y$201="",Registro_Compras!$F$201="NOTA DE CREDITO"),"","4212")</f>
        <v/>
      </c>
      <c r="D1785" t="str">
        <f>IF(OR(Registro_Compras!$C$201="",Registro_Compras!$O$201=""),"","Cuentas por Pagar Comerciales - Terceros")</f>
        <v/>
      </c>
      <c r="E1785" s="20" t="str">
        <f>IF($C1785="","",IF(Registro_Compras!$F$201="RHE",(ROUND(Registro_Compras!$L$201*Registro_Compras!$N$201,2)-ROUND(Registro_Compras!$V$201*Registro_Compras!$N$201,2)),ROUND(Registro_Compras!$O$201-Registro_Compras!$S$201,2)))</f>
        <v/>
      </c>
      <c r="F1785" s="20" t="str">
        <f>""</f>
        <v/>
      </c>
      <c r="G1785" t="str">
        <f>IF($C1785="","","Por la cancelacion del saldo al proveedor")</f>
        <v/>
      </c>
      <c r="H1785" t="str">
        <f>IF($C1785="","",Registro_Compras!$C$201)</f>
        <v/>
      </c>
    </row>
    <row r="1786" spans="1:8" x14ac:dyDescent="0.25">
      <c r="A1786" s="25" t="str">
        <f>IF($C1786="","",Registro_Compras!$Y$201)</f>
        <v/>
      </c>
      <c r="B1786" t="str">
        <f>IF($C1786="","","C"&amp;TEXT(INT((ROW()-5)/9)+1,"000")&amp;"-4")</f>
        <v/>
      </c>
      <c r="C1786" t="str">
        <f>IF(OR(Registro_Compras!$C$201="",Registro_Compras!$O$201="",Registro_Compras!$Y$201="",Registro_Compras!$F$201="NOTA DE CREDITO"),"","1041")</f>
        <v/>
      </c>
      <c r="D1786" t="str">
        <f>IF(OR(Registro_Compras!$C$201="",Registro_Compras!$O$201=""),"","Efectivo y Equivalentes - Cta. Cte. Operativa")</f>
        <v/>
      </c>
      <c r="E1786" s="20" t="str">
        <f>""</f>
        <v/>
      </c>
      <c r="F1786" s="20" t="str">
        <f>IF($C1786="","",IF(Registro_Compras!$F$201="RHE",(ROUND(Registro_Compras!$L$201*Registro_Compras!$N$201,2)-ROUND(Registro_Compras!$V$201*Registro_Compras!$N$201,2)),ROUND(Registro_Compras!$O$201-Registro_Compras!$S$201,2)))</f>
        <v/>
      </c>
      <c r="G1786" t="str">
        <f>IF($C1786="","","Por la cancelacion del saldo al proveedor")</f>
        <v/>
      </c>
      <c r="H1786" t="str">
        <f>IF($C1786="","",Registro_Compras!$C$201)</f>
        <v/>
      </c>
    </row>
    <row r="1787" spans="1:8" x14ac:dyDescent="0.25">
      <c r="A1787" s="25" t="str">
        <f>IF($C1787="","",Registro_Compras!$B$202)</f>
        <v/>
      </c>
      <c r="B1787" t="str">
        <f>IF($C1787="","","C"&amp;TEXT(INT((ROW()-5)/9)+1,"000")&amp;"-1")</f>
        <v/>
      </c>
      <c r="C1787" t="str">
        <f>IF(OR(Registro_Compras!$C$202="",Registro_Compras!$O$202=""),"",IF(Registro_Compras!$F$202="NOTA DE CREDITO","4212",IF(Registro_Compras!$M$202="","63",Registro_Compras!$M$202)))</f>
        <v/>
      </c>
      <c r="D1787" t="str">
        <f>IF(OR(Registro_Compras!$C$202="",Registro_Compras!$O$202=""),"",IF(Registro_Compras!$F$202="NOTA DE CREDITO","Cuentas por Pagar Comerciales - Terceros (Emitidas)",IF(Registro_Compras!$F$202="RHE","Honorarios Profesionales - Servicios de Terceros","Gastos de Servicios Prestados por Terceros")))</f>
        <v/>
      </c>
      <c r="E1787" s="20" t="str">
        <f>IF($C1787="","",IF(Registro_Compras!$F$202="NOTA DE CREDITO",ABS(Registro_Compras!$O$202),IF(Registro_Compras!$F$202="RHE",ROUND(Registro_Compras!$L$202*Registro_Compras!$N$202,2),ROUND(Registro_Compras!$J$202*Registro_Compras!$N$202,2))))</f>
        <v/>
      </c>
      <c r="F1787" s="20" t="str">
        <f>""</f>
        <v/>
      </c>
      <c r="G1787" t="str">
        <f>IF($C1787="","",IF(Registro_Compras!$F$202="NOTA DE CREDITO","Por la nota de credito "&amp;Registro_Compras!$C$202&amp;" de "&amp;Registro_Compras!$E$202&amp;" [PATRON POR CONFIRMAR CON CONTADOR]",IF(Registro_Compras!$F$202="RHE","Por el registro del recibo por honorarios "&amp;Registro_Compras!$C$202&amp;" de "&amp;Registro_Compras!$E$202&amp;" [PATRON POR CONFIRMAR CON CONTADOR]","Por el registro de la factura "&amp;Registro_Compras!$C$202&amp;" de "&amp;Registro_Compras!$E$202)))</f>
        <v/>
      </c>
      <c r="H1787" t="str">
        <f>IF($C1787="","",Registro_Compras!$C$202)</f>
        <v/>
      </c>
    </row>
    <row r="1788" spans="1:8" x14ac:dyDescent="0.25">
      <c r="A1788" s="25" t="str">
        <f>IF($C1788="","",Registro_Compras!$B$202)</f>
        <v/>
      </c>
      <c r="B1788" t="str">
        <f>IF($C1788="","","C"&amp;TEXT(INT((ROW()-5)/9)+1,"000")&amp;"-1")</f>
        <v/>
      </c>
      <c r="C1788" t="str">
        <f>IF(OR(Registro_Compras!$C$202="",Registro_Compras!$O$202=""),"",IF(Registro_Compras!$F$202="RHE",IF(Registro_Compras!$V$202=0,"","4017"),IF(Registro_Compras!$F$202="NOTA DE CREDITO",IF(Registro_Compras!$M$202="","63",Registro_Compras!$M$202),IF(Registro_Compras!$K$202=0,"","40111"))))</f>
        <v/>
      </c>
      <c r="D1788" t="str">
        <f>IF(OR(Registro_Compras!$C$202="",Registro_Compras!$O$202=""),"",IF(Registro_Compras!$F$202="RHE","Retencion Renta 4ta Categoria por Pagar",IF(Registro_Compras!$F$202="NOTA DE CREDITO","Gastos de Servicios Prestados por Terceros","IGV - Cuenta Propia (Credito Fiscal)")))</f>
        <v/>
      </c>
      <c r="E1788" s="20" t="str">
        <f>IF($C1788="","",IF(Registro_Compras!$F$202="FACTURA",ROUND(Registro_Compras!$K$202*Registro_Compras!$N$202,2),""))</f>
        <v/>
      </c>
      <c r="F1788" s="20" t="str">
        <f>IF($C1788="","",IF(Registro_Compras!$F$202="RHE",ROUND(Registro_Compras!$V$202*Registro_Compras!$N$202,2),IF(Registro_Compras!$F$202="NOTA DE CREDITO",ROUND(ABS(Registro_Compras!$J$202*Registro_Compras!$N$202),2),"")))</f>
        <v/>
      </c>
      <c r="G1788" t="str">
        <f>IF($C1788="","",IF(Registro_Compras!$F$202="NOTA DE CREDITO","Por la nota de credito "&amp;Registro_Compras!$C$202&amp;" de "&amp;Registro_Compras!$E$202&amp;" [PATRON POR CONFIRMAR CON CONTADOR]",IF(Registro_Compras!$F$202="RHE","Por el registro del recibo por honorarios "&amp;Registro_Compras!$C$202&amp;" de "&amp;Registro_Compras!$E$202&amp;" [PATRON POR CONFIRMAR CON CONTADOR]","Por el registro de la factura "&amp;Registro_Compras!$C$202&amp;" de "&amp;Registro_Compras!$E$202)))</f>
        <v/>
      </c>
      <c r="H1788" t="str">
        <f>IF($C1788="","",Registro_Compras!$C$202)</f>
        <v/>
      </c>
    </row>
    <row r="1789" spans="1:8" x14ac:dyDescent="0.25">
      <c r="A1789" s="25" t="str">
        <f>IF($C1789="","",Registro_Compras!$B$202)</f>
        <v/>
      </c>
      <c r="B1789" t="str">
        <f>IF($C1789="","","C"&amp;TEXT(INT((ROW()-5)/9)+1,"000")&amp;"-1")</f>
        <v/>
      </c>
      <c r="C1789" t="str">
        <f>IF(OR(Registro_Compras!$C$202="",Registro_Compras!$O$202=""),"",IF(Registro_Compras!$F$202="NOTA DE CREDITO",IF(Registro_Compras!$K$202=0,"","40111"),"4212"))</f>
        <v/>
      </c>
      <c r="D1789" t="str">
        <f>IF(OR(Registro_Compras!$C$202="",Registro_Compras!$O$202=""),"",IF(Registro_Compras!$F$202="NOTA DE CREDITO","IGV - Cuenta Propia (Credito Fiscal)","Cuentas por Pagar Comerciales - Terceros (Emitidas)"))</f>
        <v/>
      </c>
      <c r="E1789" s="20" t="str">
        <f>""</f>
        <v/>
      </c>
      <c r="F1789" s="20" t="str">
        <f>IF($C1789="","",IF(Registro_Compras!$F$202="NOTA DE CREDITO",ROUND(ABS(Registro_Compras!$K$202*Registro_Compras!$N$202),2),IF(Registro_Compras!$F$202="RHE",(ROUND(Registro_Compras!$L$202*Registro_Compras!$N$202,2)-ROUND(Registro_Compras!$V$202*Registro_Compras!$N$202,2)),Registro_Compras!$O$202)))</f>
        <v/>
      </c>
      <c r="G1789" t="str">
        <f>IF($C1789="","",IF(Registro_Compras!$F$202="NOTA DE CREDITO","Por la nota de credito "&amp;Registro_Compras!$C$202&amp;" de "&amp;Registro_Compras!$E$202&amp;" [PATRON POR CONFIRMAR CON CONTADOR]",IF(Registro_Compras!$F$202="RHE","Por el registro del recibo por honorarios "&amp;Registro_Compras!$C$202&amp;" de "&amp;Registro_Compras!$E$202&amp;" [PATRON POR CONFIRMAR CON CONTADOR]","Por el registro de la factura "&amp;Registro_Compras!$C$202&amp;" de "&amp;Registro_Compras!$E$202)))</f>
        <v/>
      </c>
      <c r="H1789" t="str">
        <f>IF($C1789="","",Registro_Compras!$C$202)</f>
        <v/>
      </c>
    </row>
    <row r="1790" spans="1:8" x14ac:dyDescent="0.25">
      <c r="A1790" s="25" t="str">
        <f>IF($C1790="","",Registro_Compras!$B$202)</f>
        <v/>
      </c>
      <c r="B1790" t="str">
        <f>IF($C1790="","","C"&amp;TEXT(INT((ROW()-5)/9)+1,"000")&amp;"-2")</f>
        <v/>
      </c>
      <c r="C1790" t="str">
        <f>IF(OR(Registro_Compras!$C$202="",Registro_Compras!$O$202=""),"",IF(Registro_Compras!$AB$202="ADMINISTRATIVO","94","95"))</f>
        <v/>
      </c>
      <c r="D1790" t="str">
        <f>IF(OR(Registro_Compras!$C$202="",Registro_Compras!$O$202=""),"",IF(Registro_Compras!$AB$202="ADMINISTRATIVO","Gastos Administrativos","Gastos de Venta y Operacion"))</f>
        <v/>
      </c>
      <c r="E1790" s="20" t="str">
        <f>IF($C1790="","",IF(Registro_Compras!$F$202="NOTA DE CREDITO","",IF(Registro_Compras!$F$202="RHE",ROUND(Registro_Compras!$L$202*Registro_Compras!$N$202,2),ROUND(Registro_Compras!$J$202*Registro_Compras!$N$202,2))))</f>
        <v/>
      </c>
      <c r="F1790" s="20" t="str">
        <f>IF($C1790="","",IF(Registro_Compras!$F$202="NOTA DE CREDITO",ROUND(ABS(Registro_Compras!$J$202*Registro_Compras!$N$202),2),""))</f>
        <v/>
      </c>
      <c r="G1790" t="str">
        <f>IF($C1790="","","Por el destino del gasto")</f>
        <v/>
      </c>
      <c r="H1790" t="str">
        <f>IF($C1790="","",Registro_Compras!$C$202)</f>
        <v/>
      </c>
    </row>
    <row r="1791" spans="1:8" x14ac:dyDescent="0.25">
      <c r="A1791" s="25" t="str">
        <f>IF($C1791="","",Registro_Compras!$B$202)</f>
        <v/>
      </c>
      <c r="B1791" t="str">
        <f>IF($C1791="","","C"&amp;TEXT(INT((ROW()-5)/9)+1,"000")&amp;"-2")</f>
        <v/>
      </c>
      <c r="C1791" t="str">
        <f>IF(OR(Registro_Compras!$C$202="",Registro_Compras!$O$202=""),"","79/791")</f>
        <v/>
      </c>
      <c r="D1791" t="str">
        <f>IF(OR(Registro_Compras!$C$202="",Registro_Compras!$O$202=""),"","Cargas Imputables a Cuentas de Costos y Gastos")</f>
        <v/>
      </c>
      <c r="E1791" s="20" t="str">
        <f>IF($C1791="","",IF(Registro_Compras!$F$202="NOTA DE CREDITO",ROUND(ABS(Registro_Compras!$J$202*Registro_Compras!$N$202),2),""))</f>
        <v/>
      </c>
      <c r="F1791" s="20" t="str">
        <f>IF($C1791="","",IF(Registro_Compras!$F$202="NOTA DE CREDITO","",IF(Registro_Compras!$F$202="RHE",ROUND(Registro_Compras!$L$202*Registro_Compras!$N$202,2),ROUND(Registro_Compras!$J$202*Registro_Compras!$N$202,2))))</f>
        <v/>
      </c>
      <c r="G1791" t="str">
        <f>IF($C1791="","","Por el destino del gasto")</f>
        <v/>
      </c>
      <c r="H1791" t="str">
        <f>IF($C1791="","",Registro_Compras!$C$202)</f>
        <v/>
      </c>
    </row>
    <row r="1792" spans="1:8" x14ac:dyDescent="0.25">
      <c r="A1792" s="25" t="str">
        <f>IF($C1792="","",Registro_Compras!$X$202)</f>
        <v/>
      </c>
      <c r="B1792" t="str">
        <f>IF($C1792="","","C"&amp;TEXT(INT((ROW()-5)/9)+1,"000")&amp;"-3")</f>
        <v/>
      </c>
      <c r="C1792" t="str">
        <f>IF(OR(Registro_Compras!$C$202="",Registro_Compras!$O$202="",Registro_Compras!$R$202&lt;&gt;"SI",Registro_Compras!$X$202=""),"","4212")</f>
        <v/>
      </c>
      <c r="D1792" t="str">
        <f>IF(OR(Registro_Compras!$C$202="",Registro_Compras!$O$202=""),"","Cuentas por Pagar Comerciales - Terceros")</f>
        <v/>
      </c>
      <c r="E1792" s="20" t="str">
        <f>IF($C1792="","",Registro_Compras!$S$202)</f>
        <v/>
      </c>
      <c r="F1792" s="20" t="str">
        <f>""</f>
        <v/>
      </c>
      <c r="G1792" t="str">
        <f>IF($C1792="","","Por el deposito de la detraccion en el Banco de la Nacion")</f>
        <v/>
      </c>
      <c r="H1792" t="str">
        <f>IF($C1792="","",Registro_Compras!$C$202)</f>
        <v/>
      </c>
    </row>
    <row r="1793" spans="1:8" x14ac:dyDescent="0.25">
      <c r="A1793" s="25" t="str">
        <f>IF($C1793="","",Registro_Compras!$X$202)</f>
        <v/>
      </c>
      <c r="B1793" t="str">
        <f>IF($C1793="","","C"&amp;TEXT(INT((ROW()-5)/9)+1,"000")&amp;"-3")</f>
        <v/>
      </c>
      <c r="C1793" t="str">
        <f>IF(OR(Registro_Compras!$C$202="",Registro_Compras!$O$202="",Registro_Compras!$R$202&lt;&gt;"SI",Registro_Compras!$X$202=""),"","1041")</f>
        <v/>
      </c>
      <c r="D1793" t="str">
        <f>IF(OR(Registro_Compras!$C$202="",Registro_Compras!$O$202=""),"","Efectivo y Equivalentes - Cta. Cte. Operativa")</f>
        <v/>
      </c>
      <c r="E1793" s="20" t="str">
        <f>""</f>
        <v/>
      </c>
      <c r="F1793" s="20" t="str">
        <f>IF($C1793="","",Registro_Compras!$S$202)</f>
        <v/>
      </c>
      <c r="G1793" t="str">
        <f>IF($C1793="","","Por el deposito de la detraccion en el Banco de la Nacion")</f>
        <v/>
      </c>
      <c r="H1793" t="str">
        <f>IF($C1793="","",Registro_Compras!$C$202)</f>
        <v/>
      </c>
    </row>
    <row r="1794" spans="1:8" x14ac:dyDescent="0.25">
      <c r="A1794" s="25" t="str">
        <f>IF($C1794="","",Registro_Compras!$Y$202)</f>
        <v/>
      </c>
      <c r="B1794" t="str">
        <f>IF($C1794="","","C"&amp;TEXT(INT((ROW()-5)/9)+1,"000")&amp;"-4")</f>
        <v/>
      </c>
      <c r="C1794" t="str">
        <f>IF(OR(Registro_Compras!$C$202="",Registro_Compras!$O$202="",Registro_Compras!$Y$202="",Registro_Compras!$F$202="NOTA DE CREDITO"),"","4212")</f>
        <v/>
      </c>
      <c r="D1794" t="str">
        <f>IF(OR(Registro_Compras!$C$202="",Registro_Compras!$O$202=""),"","Cuentas por Pagar Comerciales - Terceros")</f>
        <v/>
      </c>
      <c r="E1794" s="20" t="str">
        <f>IF($C1794="","",IF(Registro_Compras!$F$202="RHE",(ROUND(Registro_Compras!$L$202*Registro_Compras!$N$202,2)-ROUND(Registro_Compras!$V$202*Registro_Compras!$N$202,2)),ROUND(Registro_Compras!$O$202-Registro_Compras!$S$202,2)))</f>
        <v/>
      </c>
      <c r="F1794" s="20" t="str">
        <f>""</f>
        <v/>
      </c>
      <c r="G1794" t="str">
        <f>IF($C1794="","","Por la cancelacion del saldo al proveedor")</f>
        <v/>
      </c>
      <c r="H1794" t="str">
        <f>IF($C1794="","",Registro_Compras!$C$202)</f>
        <v/>
      </c>
    </row>
    <row r="1795" spans="1:8" x14ac:dyDescent="0.25">
      <c r="A1795" s="25" t="str">
        <f>IF($C1795="","",Registro_Compras!$Y$202)</f>
        <v/>
      </c>
      <c r="B1795" t="str">
        <f>IF($C1795="","","C"&amp;TEXT(INT((ROW()-5)/9)+1,"000")&amp;"-4")</f>
        <v/>
      </c>
      <c r="C1795" t="str">
        <f>IF(OR(Registro_Compras!$C$202="",Registro_Compras!$O$202="",Registro_Compras!$Y$202="",Registro_Compras!$F$202="NOTA DE CREDITO"),"","1041")</f>
        <v/>
      </c>
      <c r="D1795" t="str">
        <f>IF(OR(Registro_Compras!$C$202="",Registro_Compras!$O$202=""),"","Efectivo y Equivalentes - Cta. Cte. Operativa")</f>
        <v/>
      </c>
      <c r="E1795" s="20" t="str">
        <f>""</f>
        <v/>
      </c>
      <c r="F1795" s="20" t="str">
        <f>IF($C1795="","",IF(Registro_Compras!$F$202="RHE",(ROUND(Registro_Compras!$L$202*Registro_Compras!$N$202,2)-ROUND(Registro_Compras!$V$202*Registro_Compras!$N$202,2)),ROUND(Registro_Compras!$O$202-Registro_Compras!$S$202,2)))</f>
        <v/>
      </c>
      <c r="G1795" t="str">
        <f>IF($C1795="","","Por la cancelacion del saldo al proveedor")</f>
        <v/>
      </c>
      <c r="H1795" t="str">
        <f>IF($C1795="","",Registro_Compras!$C$202)</f>
        <v/>
      </c>
    </row>
    <row r="1796" spans="1:8" x14ac:dyDescent="0.25">
      <c r="A1796" s="25" t="str">
        <f>IF($C1796="","",Registro_Compras!$B$203)</f>
        <v/>
      </c>
      <c r="B1796" t="str">
        <f>IF($C1796="","","C"&amp;TEXT(INT((ROW()-5)/9)+1,"000")&amp;"-1")</f>
        <v/>
      </c>
      <c r="C1796" t="str">
        <f>IF(OR(Registro_Compras!$C$203="",Registro_Compras!$O$203=""),"",IF(Registro_Compras!$F$203="NOTA DE CREDITO","4212",IF(Registro_Compras!$M$203="","63",Registro_Compras!$M$203)))</f>
        <v/>
      </c>
      <c r="D1796" t="str">
        <f>IF(OR(Registro_Compras!$C$203="",Registro_Compras!$O$203=""),"",IF(Registro_Compras!$F$203="NOTA DE CREDITO","Cuentas por Pagar Comerciales - Terceros (Emitidas)",IF(Registro_Compras!$F$203="RHE","Honorarios Profesionales - Servicios de Terceros","Gastos de Servicios Prestados por Terceros")))</f>
        <v/>
      </c>
      <c r="E1796" s="20" t="str">
        <f>IF($C1796="","",IF(Registro_Compras!$F$203="NOTA DE CREDITO",ABS(Registro_Compras!$O$203),IF(Registro_Compras!$F$203="RHE",ROUND(Registro_Compras!$L$203*Registro_Compras!$N$203,2),ROUND(Registro_Compras!$J$203*Registro_Compras!$N$203,2))))</f>
        <v/>
      </c>
      <c r="F1796" s="20" t="str">
        <f>""</f>
        <v/>
      </c>
      <c r="G1796" t="str">
        <f>IF($C1796="","",IF(Registro_Compras!$F$203="NOTA DE CREDITO","Por la nota de credito "&amp;Registro_Compras!$C$203&amp;" de "&amp;Registro_Compras!$E$203&amp;" [PATRON POR CONFIRMAR CON CONTADOR]",IF(Registro_Compras!$F$203="RHE","Por el registro del recibo por honorarios "&amp;Registro_Compras!$C$203&amp;" de "&amp;Registro_Compras!$E$203&amp;" [PATRON POR CONFIRMAR CON CONTADOR]","Por el registro de la factura "&amp;Registro_Compras!$C$203&amp;" de "&amp;Registro_Compras!$E$203)))</f>
        <v/>
      </c>
      <c r="H1796" t="str">
        <f>IF($C1796="","",Registro_Compras!$C$203)</f>
        <v/>
      </c>
    </row>
    <row r="1797" spans="1:8" x14ac:dyDescent="0.25">
      <c r="A1797" s="25" t="str">
        <f>IF($C1797="","",Registro_Compras!$B$203)</f>
        <v/>
      </c>
      <c r="B1797" t="str">
        <f>IF($C1797="","","C"&amp;TEXT(INT((ROW()-5)/9)+1,"000")&amp;"-1")</f>
        <v/>
      </c>
      <c r="C1797" t="str">
        <f>IF(OR(Registro_Compras!$C$203="",Registro_Compras!$O$203=""),"",IF(Registro_Compras!$F$203="RHE",IF(Registro_Compras!$V$203=0,"","4017"),IF(Registro_Compras!$F$203="NOTA DE CREDITO",IF(Registro_Compras!$M$203="","63",Registro_Compras!$M$203),IF(Registro_Compras!$K$203=0,"","40111"))))</f>
        <v/>
      </c>
      <c r="D1797" t="str">
        <f>IF(OR(Registro_Compras!$C$203="",Registro_Compras!$O$203=""),"",IF(Registro_Compras!$F$203="RHE","Retencion Renta 4ta Categoria por Pagar",IF(Registro_Compras!$F$203="NOTA DE CREDITO","Gastos de Servicios Prestados por Terceros","IGV - Cuenta Propia (Credito Fiscal)")))</f>
        <v/>
      </c>
      <c r="E1797" s="20" t="str">
        <f>IF($C1797="","",IF(Registro_Compras!$F$203="FACTURA",ROUND(Registro_Compras!$K$203*Registro_Compras!$N$203,2),""))</f>
        <v/>
      </c>
      <c r="F1797" s="20" t="str">
        <f>IF($C1797="","",IF(Registro_Compras!$F$203="RHE",ROUND(Registro_Compras!$V$203*Registro_Compras!$N$203,2),IF(Registro_Compras!$F$203="NOTA DE CREDITO",ROUND(ABS(Registro_Compras!$J$203*Registro_Compras!$N$203),2),"")))</f>
        <v/>
      </c>
      <c r="G1797" t="str">
        <f>IF($C1797="","",IF(Registro_Compras!$F$203="NOTA DE CREDITO","Por la nota de credito "&amp;Registro_Compras!$C$203&amp;" de "&amp;Registro_Compras!$E$203&amp;" [PATRON POR CONFIRMAR CON CONTADOR]",IF(Registro_Compras!$F$203="RHE","Por el registro del recibo por honorarios "&amp;Registro_Compras!$C$203&amp;" de "&amp;Registro_Compras!$E$203&amp;" [PATRON POR CONFIRMAR CON CONTADOR]","Por el registro de la factura "&amp;Registro_Compras!$C$203&amp;" de "&amp;Registro_Compras!$E$203)))</f>
        <v/>
      </c>
      <c r="H1797" t="str">
        <f>IF($C1797="","",Registro_Compras!$C$203)</f>
        <v/>
      </c>
    </row>
    <row r="1798" spans="1:8" x14ac:dyDescent="0.25">
      <c r="A1798" s="25" t="str">
        <f>IF($C1798="","",Registro_Compras!$B$203)</f>
        <v/>
      </c>
      <c r="B1798" t="str">
        <f>IF($C1798="","","C"&amp;TEXT(INT((ROW()-5)/9)+1,"000")&amp;"-1")</f>
        <v/>
      </c>
      <c r="C1798" t="str">
        <f>IF(OR(Registro_Compras!$C$203="",Registro_Compras!$O$203=""),"",IF(Registro_Compras!$F$203="NOTA DE CREDITO",IF(Registro_Compras!$K$203=0,"","40111"),"4212"))</f>
        <v/>
      </c>
      <c r="D1798" t="str">
        <f>IF(OR(Registro_Compras!$C$203="",Registro_Compras!$O$203=""),"",IF(Registro_Compras!$F$203="NOTA DE CREDITO","IGV - Cuenta Propia (Credito Fiscal)","Cuentas por Pagar Comerciales - Terceros (Emitidas)"))</f>
        <v/>
      </c>
      <c r="E1798" s="20" t="str">
        <f>""</f>
        <v/>
      </c>
      <c r="F1798" s="20" t="str">
        <f>IF($C1798="","",IF(Registro_Compras!$F$203="NOTA DE CREDITO",ROUND(ABS(Registro_Compras!$K$203*Registro_Compras!$N$203),2),IF(Registro_Compras!$F$203="RHE",(ROUND(Registro_Compras!$L$203*Registro_Compras!$N$203,2)-ROUND(Registro_Compras!$V$203*Registro_Compras!$N$203,2)),Registro_Compras!$O$203)))</f>
        <v/>
      </c>
      <c r="G1798" t="str">
        <f>IF($C1798="","",IF(Registro_Compras!$F$203="NOTA DE CREDITO","Por la nota de credito "&amp;Registro_Compras!$C$203&amp;" de "&amp;Registro_Compras!$E$203&amp;" [PATRON POR CONFIRMAR CON CONTADOR]",IF(Registro_Compras!$F$203="RHE","Por el registro del recibo por honorarios "&amp;Registro_Compras!$C$203&amp;" de "&amp;Registro_Compras!$E$203&amp;" [PATRON POR CONFIRMAR CON CONTADOR]","Por el registro de la factura "&amp;Registro_Compras!$C$203&amp;" de "&amp;Registro_Compras!$E$203)))</f>
        <v/>
      </c>
      <c r="H1798" t="str">
        <f>IF($C1798="","",Registro_Compras!$C$203)</f>
        <v/>
      </c>
    </row>
    <row r="1799" spans="1:8" x14ac:dyDescent="0.25">
      <c r="A1799" s="25" t="str">
        <f>IF($C1799="","",Registro_Compras!$B$203)</f>
        <v/>
      </c>
      <c r="B1799" t="str">
        <f>IF($C1799="","","C"&amp;TEXT(INT((ROW()-5)/9)+1,"000")&amp;"-2")</f>
        <v/>
      </c>
      <c r="C1799" t="str">
        <f>IF(OR(Registro_Compras!$C$203="",Registro_Compras!$O$203=""),"",IF(Registro_Compras!$AB$203="ADMINISTRATIVO","94","95"))</f>
        <v/>
      </c>
      <c r="D1799" t="str">
        <f>IF(OR(Registro_Compras!$C$203="",Registro_Compras!$O$203=""),"",IF(Registro_Compras!$AB$203="ADMINISTRATIVO","Gastos Administrativos","Gastos de Venta y Operacion"))</f>
        <v/>
      </c>
      <c r="E1799" s="20" t="str">
        <f>IF($C1799="","",IF(Registro_Compras!$F$203="NOTA DE CREDITO","",IF(Registro_Compras!$F$203="RHE",ROUND(Registro_Compras!$L$203*Registro_Compras!$N$203,2),ROUND(Registro_Compras!$J$203*Registro_Compras!$N$203,2))))</f>
        <v/>
      </c>
      <c r="F1799" s="20" t="str">
        <f>IF($C1799="","",IF(Registro_Compras!$F$203="NOTA DE CREDITO",ROUND(ABS(Registro_Compras!$J$203*Registro_Compras!$N$203),2),""))</f>
        <v/>
      </c>
      <c r="G1799" t="str">
        <f>IF($C1799="","","Por el destino del gasto")</f>
        <v/>
      </c>
      <c r="H1799" t="str">
        <f>IF($C1799="","",Registro_Compras!$C$203)</f>
        <v/>
      </c>
    </row>
    <row r="1800" spans="1:8" x14ac:dyDescent="0.25">
      <c r="A1800" s="25" t="str">
        <f>IF($C1800="","",Registro_Compras!$B$203)</f>
        <v/>
      </c>
      <c r="B1800" t="str">
        <f>IF($C1800="","","C"&amp;TEXT(INT((ROW()-5)/9)+1,"000")&amp;"-2")</f>
        <v/>
      </c>
      <c r="C1800" t="str">
        <f>IF(OR(Registro_Compras!$C$203="",Registro_Compras!$O$203=""),"","79/791")</f>
        <v/>
      </c>
      <c r="D1800" t="str">
        <f>IF(OR(Registro_Compras!$C$203="",Registro_Compras!$O$203=""),"","Cargas Imputables a Cuentas de Costos y Gastos")</f>
        <v/>
      </c>
      <c r="E1800" s="20" t="str">
        <f>IF($C1800="","",IF(Registro_Compras!$F$203="NOTA DE CREDITO",ROUND(ABS(Registro_Compras!$J$203*Registro_Compras!$N$203),2),""))</f>
        <v/>
      </c>
      <c r="F1800" s="20" t="str">
        <f>IF($C1800="","",IF(Registro_Compras!$F$203="NOTA DE CREDITO","",IF(Registro_Compras!$F$203="RHE",ROUND(Registro_Compras!$L$203*Registro_Compras!$N$203,2),ROUND(Registro_Compras!$J$203*Registro_Compras!$N$203,2))))</f>
        <v/>
      </c>
      <c r="G1800" t="str">
        <f>IF($C1800="","","Por el destino del gasto")</f>
        <v/>
      </c>
      <c r="H1800" t="str">
        <f>IF($C1800="","",Registro_Compras!$C$203)</f>
        <v/>
      </c>
    </row>
    <row r="1801" spans="1:8" x14ac:dyDescent="0.25">
      <c r="A1801" s="25" t="str">
        <f>IF($C1801="","",Registro_Compras!$X$203)</f>
        <v/>
      </c>
      <c r="B1801" t="str">
        <f>IF($C1801="","","C"&amp;TEXT(INT((ROW()-5)/9)+1,"000")&amp;"-3")</f>
        <v/>
      </c>
      <c r="C1801" t="str">
        <f>IF(OR(Registro_Compras!$C$203="",Registro_Compras!$O$203="",Registro_Compras!$R$203&lt;&gt;"SI",Registro_Compras!$X$203=""),"","4212")</f>
        <v/>
      </c>
      <c r="D1801" t="str">
        <f>IF(OR(Registro_Compras!$C$203="",Registro_Compras!$O$203=""),"","Cuentas por Pagar Comerciales - Terceros")</f>
        <v/>
      </c>
      <c r="E1801" s="20" t="str">
        <f>IF($C1801="","",Registro_Compras!$S$203)</f>
        <v/>
      </c>
      <c r="F1801" s="20" t="str">
        <f>""</f>
        <v/>
      </c>
      <c r="G1801" t="str">
        <f>IF($C1801="","","Por el deposito de la detraccion en el Banco de la Nacion")</f>
        <v/>
      </c>
      <c r="H1801" t="str">
        <f>IF($C1801="","",Registro_Compras!$C$203)</f>
        <v/>
      </c>
    </row>
    <row r="1802" spans="1:8" x14ac:dyDescent="0.25">
      <c r="A1802" s="25" t="str">
        <f>IF($C1802="","",Registro_Compras!$X$203)</f>
        <v/>
      </c>
      <c r="B1802" t="str">
        <f>IF($C1802="","","C"&amp;TEXT(INT((ROW()-5)/9)+1,"000")&amp;"-3")</f>
        <v/>
      </c>
      <c r="C1802" t="str">
        <f>IF(OR(Registro_Compras!$C$203="",Registro_Compras!$O$203="",Registro_Compras!$R$203&lt;&gt;"SI",Registro_Compras!$X$203=""),"","1041")</f>
        <v/>
      </c>
      <c r="D1802" t="str">
        <f>IF(OR(Registro_Compras!$C$203="",Registro_Compras!$O$203=""),"","Efectivo y Equivalentes - Cta. Cte. Operativa")</f>
        <v/>
      </c>
      <c r="E1802" s="20" t="str">
        <f>""</f>
        <v/>
      </c>
      <c r="F1802" s="20" t="str">
        <f>IF($C1802="","",Registro_Compras!$S$203)</f>
        <v/>
      </c>
      <c r="G1802" t="str">
        <f>IF($C1802="","","Por el deposito de la detraccion en el Banco de la Nacion")</f>
        <v/>
      </c>
      <c r="H1802" t="str">
        <f>IF($C1802="","",Registro_Compras!$C$203)</f>
        <v/>
      </c>
    </row>
    <row r="1803" spans="1:8" x14ac:dyDescent="0.25">
      <c r="A1803" s="25" t="str">
        <f>IF($C1803="","",Registro_Compras!$Y$203)</f>
        <v/>
      </c>
      <c r="B1803" t="str">
        <f>IF($C1803="","","C"&amp;TEXT(INT((ROW()-5)/9)+1,"000")&amp;"-4")</f>
        <v/>
      </c>
      <c r="C1803" t="str">
        <f>IF(OR(Registro_Compras!$C$203="",Registro_Compras!$O$203="",Registro_Compras!$Y$203="",Registro_Compras!$F$203="NOTA DE CREDITO"),"","4212")</f>
        <v/>
      </c>
      <c r="D1803" t="str">
        <f>IF(OR(Registro_Compras!$C$203="",Registro_Compras!$O$203=""),"","Cuentas por Pagar Comerciales - Terceros")</f>
        <v/>
      </c>
      <c r="E1803" s="20" t="str">
        <f>IF($C1803="","",IF(Registro_Compras!$F$203="RHE",(ROUND(Registro_Compras!$L$203*Registro_Compras!$N$203,2)-ROUND(Registro_Compras!$V$203*Registro_Compras!$N$203,2)),ROUND(Registro_Compras!$O$203-Registro_Compras!$S$203,2)))</f>
        <v/>
      </c>
      <c r="F1803" s="20" t="str">
        <f>""</f>
        <v/>
      </c>
      <c r="G1803" t="str">
        <f>IF($C1803="","","Por la cancelacion del saldo al proveedor")</f>
        <v/>
      </c>
      <c r="H1803" t="str">
        <f>IF($C1803="","",Registro_Compras!$C$203)</f>
        <v/>
      </c>
    </row>
    <row r="1804" spans="1:8" x14ac:dyDescent="0.25">
      <c r="A1804" s="25" t="str">
        <f>IF($C1804="","",Registro_Compras!$Y$203)</f>
        <v/>
      </c>
      <c r="B1804" t="str">
        <f>IF($C1804="","","C"&amp;TEXT(INT((ROW()-5)/9)+1,"000")&amp;"-4")</f>
        <v/>
      </c>
      <c r="C1804" t="str">
        <f>IF(OR(Registro_Compras!$C$203="",Registro_Compras!$O$203="",Registro_Compras!$Y$203="",Registro_Compras!$F$203="NOTA DE CREDITO"),"","1041")</f>
        <v/>
      </c>
      <c r="D1804" t="str">
        <f>IF(OR(Registro_Compras!$C$203="",Registro_Compras!$O$203=""),"","Efectivo y Equivalentes - Cta. Cte. Operativa")</f>
        <v/>
      </c>
      <c r="E1804" s="20" t="str">
        <f>""</f>
        <v/>
      </c>
      <c r="F1804" s="20" t="str">
        <f>IF($C1804="","",IF(Registro_Compras!$F$203="RHE",(ROUND(Registro_Compras!$L$203*Registro_Compras!$N$203,2)-ROUND(Registro_Compras!$V$203*Registro_Compras!$N$203,2)),ROUND(Registro_Compras!$O$203-Registro_Compras!$S$203,2)))</f>
        <v/>
      </c>
      <c r="G1804" t="str">
        <f>IF($C1804="","","Por la cancelacion del saldo al proveedor")</f>
        <v/>
      </c>
      <c r="H1804" t="str">
        <f>IF($C1804="","",Registro_Compras!$C$203)</f>
        <v/>
      </c>
    </row>
    <row r="1805" spans="1:8" x14ac:dyDescent="0.25">
      <c r="A1805" s="25" t="str">
        <f>IF($C1805="","",Registro_Compras!$B$204)</f>
        <v/>
      </c>
      <c r="B1805" t="str">
        <f>IF($C1805="","","C"&amp;TEXT(INT((ROW()-5)/9)+1,"000")&amp;"-1")</f>
        <v/>
      </c>
      <c r="C1805" t="str">
        <f>IF(OR(Registro_Compras!$C$204="",Registro_Compras!$O$204=""),"",IF(Registro_Compras!$F$204="NOTA DE CREDITO","4212",IF(Registro_Compras!$M$204="","63",Registro_Compras!$M$204)))</f>
        <v/>
      </c>
      <c r="D1805" t="str">
        <f>IF(OR(Registro_Compras!$C$204="",Registro_Compras!$O$204=""),"",IF(Registro_Compras!$F$204="NOTA DE CREDITO","Cuentas por Pagar Comerciales - Terceros (Emitidas)",IF(Registro_Compras!$F$204="RHE","Honorarios Profesionales - Servicios de Terceros","Gastos de Servicios Prestados por Terceros")))</f>
        <v/>
      </c>
      <c r="E1805" s="20" t="str">
        <f>IF($C1805="","",IF(Registro_Compras!$F$204="NOTA DE CREDITO",ABS(Registro_Compras!$O$204),IF(Registro_Compras!$F$204="RHE",ROUND(Registro_Compras!$L$204*Registro_Compras!$N$204,2),ROUND(Registro_Compras!$J$204*Registro_Compras!$N$204,2))))</f>
        <v/>
      </c>
      <c r="F1805" s="20" t="str">
        <f>""</f>
        <v/>
      </c>
      <c r="G1805" t="str">
        <f>IF($C1805="","",IF(Registro_Compras!$F$204="NOTA DE CREDITO","Por la nota de credito "&amp;Registro_Compras!$C$204&amp;" de "&amp;Registro_Compras!$E$204&amp;" [PATRON POR CONFIRMAR CON CONTADOR]",IF(Registro_Compras!$F$204="RHE","Por el registro del recibo por honorarios "&amp;Registro_Compras!$C$204&amp;" de "&amp;Registro_Compras!$E$204&amp;" [PATRON POR CONFIRMAR CON CONTADOR]","Por el registro de la factura "&amp;Registro_Compras!$C$204&amp;" de "&amp;Registro_Compras!$E$204)))</f>
        <v/>
      </c>
      <c r="H1805" t="str">
        <f>IF($C1805="","",Registro_Compras!$C$204)</f>
        <v/>
      </c>
    </row>
    <row r="1806" spans="1:8" x14ac:dyDescent="0.25">
      <c r="A1806" s="25" t="str">
        <f>IF($C1806="","",Registro_Compras!$B$204)</f>
        <v/>
      </c>
      <c r="B1806" t="str">
        <f>IF($C1806="","","C"&amp;TEXT(INT((ROW()-5)/9)+1,"000")&amp;"-1")</f>
        <v/>
      </c>
      <c r="C1806" t="str">
        <f>IF(OR(Registro_Compras!$C$204="",Registro_Compras!$O$204=""),"",IF(Registro_Compras!$F$204="RHE",IF(Registro_Compras!$V$204=0,"","4017"),IF(Registro_Compras!$F$204="NOTA DE CREDITO",IF(Registro_Compras!$M$204="","63",Registro_Compras!$M$204),IF(Registro_Compras!$K$204=0,"","40111"))))</f>
        <v/>
      </c>
      <c r="D1806" t="str">
        <f>IF(OR(Registro_Compras!$C$204="",Registro_Compras!$O$204=""),"",IF(Registro_Compras!$F$204="RHE","Retencion Renta 4ta Categoria por Pagar",IF(Registro_Compras!$F$204="NOTA DE CREDITO","Gastos de Servicios Prestados por Terceros","IGV - Cuenta Propia (Credito Fiscal)")))</f>
        <v/>
      </c>
      <c r="E1806" s="20" t="str">
        <f>IF($C1806="","",IF(Registro_Compras!$F$204="FACTURA",ROUND(Registro_Compras!$K$204*Registro_Compras!$N$204,2),""))</f>
        <v/>
      </c>
      <c r="F1806" s="20" t="str">
        <f>IF($C1806="","",IF(Registro_Compras!$F$204="RHE",ROUND(Registro_Compras!$V$204*Registro_Compras!$N$204,2),IF(Registro_Compras!$F$204="NOTA DE CREDITO",ROUND(ABS(Registro_Compras!$J$204*Registro_Compras!$N$204),2),"")))</f>
        <v/>
      </c>
      <c r="G1806" t="str">
        <f>IF($C1806="","",IF(Registro_Compras!$F$204="NOTA DE CREDITO","Por la nota de credito "&amp;Registro_Compras!$C$204&amp;" de "&amp;Registro_Compras!$E$204&amp;" [PATRON POR CONFIRMAR CON CONTADOR]",IF(Registro_Compras!$F$204="RHE","Por el registro del recibo por honorarios "&amp;Registro_Compras!$C$204&amp;" de "&amp;Registro_Compras!$E$204&amp;" [PATRON POR CONFIRMAR CON CONTADOR]","Por el registro de la factura "&amp;Registro_Compras!$C$204&amp;" de "&amp;Registro_Compras!$E$204)))</f>
        <v/>
      </c>
      <c r="H1806" t="str">
        <f>IF($C1806="","",Registro_Compras!$C$204)</f>
        <v/>
      </c>
    </row>
    <row r="1807" spans="1:8" x14ac:dyDescent="0.25">
      <c r="A1807" s="25" t="str">
        <f>IF($C1807="","",Registro_Compras!$B$204)</f>
        <v/>
      </c>
      <c r="B1807" t="str">
        <f>IF($C1807="","","C"&amp;TEXT(INT((ROW()-5)/9)+1,"000")&amp;"-1")</f>
        <v/>
      </c>
      <c r="C1807" t="str">
        <f>IF(OR(Registro_Compras!$C$204="",Registro_Compras!$O$204=""),"",IF(Registro_Compras!$F$204="NOTA DE CREDITO",IF(Registro_Compras!$K$204=0,"","40111"),"4212"))</f>
        <v/>
      </c>
      <c r="D1807" t="str">
        <f>IF(OR(Registro_Compras!$C$204="",Registro_Compras!$O$204=""),"",IF(Registro_Compras!$F$204="NOTA DE CREDITO","IGV - Cuenta Propia (Credito Fiscal)","Cuentas por Pagar Comerciales - Terceros (Emitidas)"))</f>
        <v/>
      </c>
      <c r="E1807" s="20" t="str">
        <f>""</f>
        <v/>
      </c>
      <c r="F1807" s="20" t="str">
        <f>IF($C1807="","",IF(Registro_Compras!$F$204="NOTA DE CREDITO",ROUND(ABS(Registro_Compras!$K$204*Registro_Compras!$N$204),2),IF(Registro_Compras!$F$204="RHE",(ROUND(Registro_Compras!$L$204*Registro_Compras!$N$204,2)-ROUND(Registro_Compras!$V$204*Registro_Compras!$N$204,2)),Registro_Compras!$O$204)))</f>
        <v/>
      </c>
      <c r="G1807" t="str">
        <f>IF($C1807="","",IF(Registro_Compras!$F$204="NOTA DE CREDITO","Por la nota de credito "&amp;Registro_Compras!$C$204&amp;" de "&amp;Registro_Compras!$E$204&amp;" [PATRON POR CONFIRMAR CON CONTADOR]",IF(Registro_Compras!$F$204="RHE","Por el registro del recibo por honorarios "&amp;Registro_Compras!$C$204&amp;" de "&amp;Registro_Compras!$E$204&amp;" [PATRON POR CONFIRMAR CON CONTADOR]","Por el registro de la factura "&amp;Registro_Compras!$C$204&amp;" de "&amp;Registro_Compras!$E$204)))</f>
        <v/>
      </c>
      <c r="H1807" t="str">
        <f>IF($C1807="","",Registro_Compras!$C$204)</f>
        <v/>
      </c>
    </row>
    <row r="1808" spans="1:8" x14ac:dyDescent="0.25">
      <c r="A1808" s="25" t="str">
        <f>IF($C1808="","",Registro_Compras!$B$204)</f>
        <v/>
      </c>
      <c r="B1808" t="str">
        <f>IF($C1808="","","C"&amp;TEXT(INT((ROW()-5)/9)+1,"000")&amp;"-2")</f>
        <v/>
      </c>
      <c r="C1808" t="str">
        <f>IF(OR(Registro_Compras!$C$204="",Registro_Compras!$O$204=""),"",IF(Registro_Compras!$AB$204="ADMINISTRATIVO","94","95"))</f>
        <v/>
      </c>
      <c r="D1808" t="str">
        <f>IF(OR(Registro_Compras!$C$204="",Registro_Compras!$O$204=""),"",IF(Registro_Compras!$AB$204="ADMINISTRATIVO","Gastos Administrativos","Gastos de Venta y Operacion"))</f>
        <v/>
      </c>
      <c r="E1808" s="20" t="str">
        <f>IF($C1808="","",IF(Registro_Compras!$F$204="NOTA DE CREDITO","",IF(Registro_Compras!$F$204="RHE",ROUND(Registro_Compras!$L$204*Registro_Compras!$N$204,2),ROUND(Registro_Compras!$J$204*Registro_Compras!$N$204,2))))</f>
        <v/>
      </c>
      <c r="F1808" s="20" t="str">
        <f>IF($C1808="","",IF(Registro_Compras!$F$204="NOTA DE CREDITO",ROUND(ABS(Registro_Compras!$J$204*Registro_Compras!$N$204),2),""))</f>
        <v/>
      </c>
      <c r="G1808" t="str">
        <f>IF($C1808="","","Por el destino del gasto")</f>
        <v/>
      </c>
      <c r="H1808" t="str">
        <f>IF($C1808="","",Registro_Compras!$C$204)</f>
        <v/>
      </c>
    </row>
    <row r="1809" spans="1:8" x14ac:dyDescent="0.25">
      <c r="A1809" s="25" t="str">
        <f>IF($C1809="","",Registro_Compras!$B$204)</f>
        <v/>
      </c>
      <c r="B1809" t="str">
        <f>IF($C1809="","","C"&amp;TEXT(INT((ROW()-5)/9)+1,"000")&amp;"-2")</f>
        <v/>
      </c>
      <c r="C1809" t="str">
        <f>IF(OR(Registro_Compras!$C$204="",Registro_Compras!$O$204=""),"","79/791")</f>
        <v/>
      </c>
      <c r="D1809" t="str">
        <f>IF(OR(Registro_Compras!$C$204="",Registro_Compras!$O$204=""),"","Cargas Imputables a Cuentas de Costos y Gastos")</f>
        <v/>
      </c>
      <c r="E1809" s="20" t="str">
        <f>IF($C1809="","",IF(Registro_Compras!$F$204="NOTA DE CREDITO",ROUND(ABS(Registro_Compras!$J$204*Registro_Compras!$N$204),2),""))</f>
        <v/>
      </c>
      <c r="F1809" s="20" t="str">
        <f>IF($C1809="","",IF(Registro_Compras!$F$204="NOTA DE CREDITO","",IF(Registro_Compras!$F$204="RHE",ROUND(Registro_Compras!$L$204*Registro_Compras!$N$204,2),ROUND(Registro_Compras!$J$204*Registro_Compras!$N$204,2))))</f>
        <v/>
      </c>
      <c r="G1809" t="str">
        <f>IF($C1809="","","Por el destino del gasto")</f>
        <v/>
      </c>
      <c r="H1809" t="str">
        <f>IF($C1809="","",Registro_Compras!$C$204)</f>
        <v/>
      </c>
    </row>
    <row r="1810" spans="1:8" x14ac:dyDescent="0.25">
      <c r="A1810" s="25" t="str">
        <f>IF($C1810="","",Registro_Compras!$X$204)</f>
        <v/>
      </c>
      <c r="B1810" t="str">
        <f>IF($C1810="","","C"&amp;TEXT(INT((ROW()-5)/9)+1,"000")&amp;"-3")</f>
        <v/>
      </c>
      <c r="C1810" t="str">
        <f>IF(OR(Registro_Compras!$C$204="",Registro_Compras!$O$204="",Registro_Compras!$R$204&lt;&gt;"SI",Registro_Compras!$X$204=""),"","4212")</f>
        <v/>
      </c>
      <c r="D1810" t="str">
        <f>IF(OR(Registro_Compras!$C$204="",Registro_Compras!$O$204=""),"","Cuentas por Pagar Comerciales - Terceros")</f>
        <v/>
      </c>
      <c r="E1810" s="20" t="str">
        <f>IF($C1810="","",Registro_Compras!$S$204)</f>
        <v/>
      </c>
      <c r="F1810" s="20" t="str">
        <f>""</f>
        <v/>
      </c>
      <c r="G1810" t="str">
        <f>IF($C1810="","","Por el deposito de la detraccion en el Banco de la Nacion")</f>
        <v/>
      </c>
      <c r="H1810" t="str">
        <f>IF($C1810="","",Registro_Compras!$C$204)</f>
        <v/>
      </c>
    </row>
    <row r="1811" spans="1:8" x14ac:dyDescent="0.25">
      <c r="A1811" s="25" t="str">
        <f>IF($C1811="","",Registro_Compras!$X$204)</f>
        <v/>
      </c>
      <c r="B1811" t="str">
        <f>IF($C1811="","","C"&amp;TEXT(INT((ROW()-5)/9)+1,"000")&amp;"-3")</f>
        <v/>
      </c>
      <c r="C1811" t="str">
        <f>IF(OR(Registro_Compras!$C$204="",Registro_Compras!$O$204="",Registro_Compras!$R$204&lt;&gt;"SI",Registro_Compras!$X$204=""),"","1041")</f>
        <v/>
      </c>
      <c r="D1811" t="str">
        <f>IF(OR(Registro_Compras!$C$204="",Registro_Compras!$O$204=""),"","Efectivo y Equivalentes - Cta. Cte. Operativa")</f>
        <v/>
      </c>
      <c r="E1811" s="20" t="str">
        <f>""</f>
        <v/>
      </c>
      <c r="F1811" s="20" t="str">
        <f>IF($C1811="","",Registro_Compras!$S$204)</f>
        <v/>
      </c>
      <c r="G1811" t="str">
        <f>IF($C1811="","","Por el deposito de la detraccion en el Banco de la Nacion")</f>
        <v/>
      </c>
      <c r="H1811" t="str">
        <f>IF($C1811="","",Registro_Compras!$C$204)</f>
        <v/>
      </c>
    </row>
    <row r="1812" spans="1:8" x14ac:dyDescent="0.25">
      <c r="A1812" s="25" t="str">
        <f>IF($C1812="","",Registro_Compras!$Y$204)</f>
        <v/>
      </c>
      <c r="B1812" t="str">
        <f>IF($C1812="","","C"&amp;TEXT(INT((ROW()-5)/9)+1,"000")&amp;"-4")</f>
        <v/>
      </c>
      <c r="C1812" t="str">
        <f>IF(OR(Registro_Compras!$C$204="",Registro_Compras!$O$204="",Registro_Compras!$Y$204="",Registro_Compras!$F$204="NOTA DE CREDITO"),"","4212")</f>
        <v/>
      </c>
      <c r="D1812" t="str">
        <f>IF(OR(Registro_Compras!$C$204="",Registro_Compras!$O$204=""),"","Cuentas por Pagar Comerciales - Terceros")</f>
        <v/>
      </c>
      <c r="E1812" s="20" t="str">
        <f>IF($C1812="","",IF(Registro_Compras!$F$204="RHE",(ROUND(Registro_Compras!$L$204*Registro_Compras!$N$204,2)-ROUND(Registro_Compras!$V$204*Registro_Compras!$N$204,2)),ROUND(Registro_Compras!$O$204-Registro_Compras!$S$204,2)))</f>
        <v/>
      </c>
      <c r="F1812" s="20" t="str">
        <f>""</f>
        <v/>
      </c>
      <c r="G1812" t="str">
        <f>IF($C1812="","","Por la cancelacion del saldo al proveedor")</f>
        <v/>
      </c>
      <c r="H1812" t="str">
        <f>IF($C1812="","",Registro_Compras!$C$204)</f>
        <v/>
      </c>
    </row>
    <row r="1813" spans="1:8" x14ac:dyDescent="0.25">
      <c r="A1813" s="25" t="str">
        <f>IF($C1813="","",Registro_Compras!$Y$204)</f>
        <v/>
      </c>
      <c r="B1813" t="str">
        <f>IF($C1813="","","C"&amp;TEXT(INT((ROW()-5)/9)+1,"000")&amp;"-4")</f>
        <v/>
      </c>
      <c r="C1813" t="str">
        <f>IF(OR(Registro_Compras!$C$204="",Registro_Compras!$O$204="",Registro_Compras!$Y$204="",Registro_Compras!$F$204="NOTA DE CREDITO"),"","1041")</f>
        <v/>
      </c>
      <c r="D1813" t="str">
        <f>IF(OR(Registro_Compras!$C$204="",Registro_Compras!$O$204=""),"","Efectivo y Equivalentes - Cta. Cte. Operativa")</f>
        <v/>
      </c>
      <c r="E1813" s="20" t="str">
        <f>""</f>
        <v/>
      </c>
      <c r="F1813" s="20" t="str">
        <f>IF($C1813="","",IF(Registro_Compras!$F$204="RHE",(ROUND(Registro_Compras!$L$204*Registro_Compras!$N$204,2)-ROUND(Registro_Compras!$V$204*Registro_Compras!$N$204,2)),ROUND(Registro_Compras!$O$204-Registro_Compras!$S$204,2)))</f>
        <v/>
      </c>
      <c r="G1813" t="str">
        <f>IF($C1813="","","Por la cancelacion del saldo al proveedor")</f>
        <v/>
      </c>
      <c r="H1813" t="str">
        <f>IF($C1813="","",Registro_Compras!$C$204)</f>
        <v/>
      </c>
    </row>
    <row r="1814" spans="1:8" x14ac:dyDescent="0.25">
      <c r="A1814" s="25" t="str">
        <f>IF($C1814="","",Registro_Compras!$B$205)</f>
        <v/>
      </c>
      <c r="B1814" t="str">
        <f>IF($C1814="","","C"&amp;TEXT(INT((ROW()-5)/9)+1,"000")&amp;"-1")</f>
        <v/>
      </c>
      <c r="C1814" t="str">
        <f>IF(OR(Registro_Compras!$C$205="",Registro_Compras!$O$205=""),"",IF(Registro_Compras!$F$205="NOTA DE CREDITO","4212",IF(Registro_Compras!$M$205="","63",Registro_Compras!$M$205)))</f>
        <v/>
      </c>
      <c r="D1814" t="str">
        <f>IF(OR(Registro_Compras!$C$205="",Registro_Compras!$O$205=""),"",IF(Registro_Compras!$F$205="NOTA DE CREDITO","Cuentas por Pagar Comerciales - Terceros (Emitidas)",IF(Registro_Compras!$F$205="RHE","Honorarios Profesionales - Servicios de Terceros","Gastos de Servicios Prestados por Terceros")))</f>
        <v/>
      </c>
      <c r="E1814" s="20" t="str">
        <f>IF($C1814="","",IF(Registro_Compras!$F$205="NOTA DE CREDITO",ABS(Registro_Compras!$O$205),IF(Registro_Compras!$F$205="RHE",ROUND(Registro_Compras!$L$205*Registro_Compras!$N$205,2),ROUND(Registro_Compras!$J$205*Registro_Compras!$N$205,2))))</f>
        <v/>
      </c>
      <c r="F1814" s="20" t="str">
        <f>""</f>
        <v/>
      </c>
      <c r="G1814" t="str">
        <f>IF($C1814="","",IF(Registro_Compras!$F$205="NOTA DE CREDITO","Por la nota de credito "&amp;Registro_Compras!$C$205&amp;" de "&amp;Registro_Compras!$E$205&amp;" [PATRON POR CONFIRMAR CON CONTADOR]",IF(Registro_Compras!$F$205="RHE","Por el registro del recibo por honorarios "&amp;Registro_Compras!$C$205&amp;" de "&amp;Registro_Compras!$E$205&amp;" [PATRON POR CONFIRMAR CON CONTADOR]","Por el registro de la factura "&amp;Registro_Compras!$C$205&amp;" de "&amp;Registro_Compras!$E$205)))</f>
        <v/>
      </c>
      <c r="H1814" t="str">
        <f>IF($C1814="","",Registro_Compras!$C$205)</f>
        <v/>
      </c>
    </row>
    <row r="1815" spans="1:8" x14ac:dyDescent="0.25">
      <c r="A1815" s="25" t="str">
        <f>IF($C1815="","",Registro_Compras!$B$205)</f>
        <v/>
      </c>
      <c r="B1815" t="str">
        <f>IF($C1815="","","C"&amp;TEXT(INT((ROW()-5)/9)+1,"000")&amp;"-1")</f>
        <v/>
      </c>
      <c r="C1815" t="str">
        <f>IF(OR(Registro_Compras!$C$205="",Registro_Compras!$O$205=""),"",IF(Registro_Compras!$F$205="RHE",IF(Registro_Compras!$V$205=0,"","4017"),IF(Registro_Compras!$F$205="NOTA DE CREDITO",IF(Registro_Compras!$M$205="","63",Registro_Compras!$M$205),IF(Registro_Compras!$K$205=0,"","40111"))))</f>
        <v/>
      </c>
      <c r="D1815" t="str">
        <f>IF(OR(Registro_Compras!$C$205="",Registro_Compras!$O$205=""),"",IF(Registro_Compras!$F$205="RHE","Retencion Renta 4ta Categoria por Pagar",IF(Registro_Compras!$F$205="NOTA DE CREDITO","Gastos de Servicios Prestados por Terceros","IGV - Cuenta Propia (Credito Fiscal)")))</f>
        <v/>
      </c>
      <c r="E1815" s="20" t="str">
        <f>IF($C1815="","",IF(Registro_Compras!$F$205="FACTURA",ROUND(Registro_Compras!$K$205*Registro_Compras!$N$205,2),""))</f>
        <v/>
      </c>
      <c r="F1815" s="20" t="str">
        <f>IF($C1815="","",IF(Registro_Compras!$F$205="RHE",ROUND(Registro_Compras!$V$205*Registro_Compras!$N$205,2),IF(Registro_Compras!$F$205="NOTA DE CREDITO",ROUND(ABS(Registro_Compras!$J$205*Registro_Compras!$N$205),2),"")))</f>
        <v/>
      </c>
      <c r="G1815" t="str">
        <f>IF($C1815="","",IF(Registro_Compras!$F$205="NOTA DE CREDITO","Por la nota de credito "&amp;Registro_Compras!$C$205&amp;" de "&amp;Registro_Compras!$E$205&amp;" [PATRON POR CONFIRMAR CON CONTADOR]",IF(Registro_Compras!$F$205="RHE","Por el registro del recibo por honorarios "&amp;Registro_Compras!$C$205&amp;" de "&amp;Registro_Compras!$E$205&amp;" [PATRON POR CONFIRMAR CON CONTADOR]","Por el registro de la factura "&amp;Registro_Compras!$C$205&amp;" de "&amp;Registro_Compras!$E$205)))</f>
        <v/>
      </c>
      <c r="H1815" t="str">
        <f>IF($C1815="","",Registro_Compras!$C$205)</f>
        <v/>
      </c>
    </row>
    <row r="1816" spans="1:8" x14ac:dyDescent="0.25">
      <c r="A1816" s="25" t="str">
        <f>IF($C1816="","",Registro_Compras!$B$205)</f>
        <v/>
      </c>
      <c r="B1816" t="str">
        <f>IF($C1816="","","C"&amp;TEXT(INT((ROW()-5)/9)+1,"000")&amp;"-1")</f>
        <v/>
      </c>
      <c r="C1816" t="str">
        <f>IF(OR(Registro_Compras!$C$205="",Registro_Compras!$O$205=""),"",IF(Registro_Compras!$F$205="NOTA DE CREDITO",IF(Registro_Compras!$K$205=0,"","40111"),"4212"))</f>
        <v/>
      </c>
      <c r="D1816" t="str">
        <f>IF(OR(Registro_Compras!$C$205="",Registro_Compras!$O$205=""),"",IF(Registro_Compras!$F$205="NOTA DE CREDITO","IGV - Cuenta Propia (Credito Fiscal)","Cuentas por Pagar Comerciales - Terceros (Emitidas)"))</f>
        <v/>
      </c>
      <c r="E1816" s="20" t="str">
        <f>""</f>
        <v/>
      </c>
      <c r="F1816" s="20" t="str">
        <f>IF($C1816="","",IF(Registro_Compras!$F$205="NOTA DE CREDITO",ROUND(ABS(Registro_Compras!$K$205*Registro_Compras!$N$205),2),IF(Registro_Compras!$F$205="RHE",(ROUND(Registro_Compras!$L$205*Registro_Compras!$N$205,2)-ROUND(Registro_Compras!$V$205*Registro_Compras!$N$205,2)),Registro_Compras!$O$205)))</f>
        <v/>
      </c>
      <c r="G1816" t="str">
        <f>IF($C1816="","",IF(Registro_Compras!$F$205="NOTA DE CREDITO","Por la nota de credito "&amp;Registro_Compras!$C$205&amp;" de "&amp;Registro_Compras!$E$205&amp;" [PATRON POR CONFIRMAR CON CONTADOR]",IF(Registro_Compras!$F$205="RHE","Por el registro del recibo por honorarios "&amp;Registro_Compras!$C$205&amp;" de "&amp;Registro_Compras!$E$205&amp;" [PATRON POR CONFIRMAR CON CONTADOR]","Por el registro de la factura "&amp;Registro_Compras!$C$205&amp;" de "&amp;Registro_Compras!$E$205)))</f>
        <v/>
      </c>
      <c r="H1816" t="str">
        <f>IF($C1816="","",Registro_Compras!$C$205)</f>
        <v/>
      </c>
    </row>
    <row r="1817" spans="1:8" x14ac:dyDescent="0.25">
      <c r="A1817" s="25" t="str">
        <f>IF($C1817="","",Registro_Compras!$B$205)</f>
        <v/>
      </c>
      <c r="B1817" t="str">
        <f>IF($C1817="","","C"&amp;TEXT(INT((ROW()-5)/9)+1,"000")&amp;"-2")</f>
        <v/>
      </c>
      <c r="C1817" t="str">
        <f>IF(OR(Registro_Compras!$C$205="",Registro_Compras!$O$205=""),"",IF(Registro_Compras!$AB$205="ADMINISTRATIVO","94","95"))</f>
        <v/>
      </c>
      <c r="D1817" t="str">
        <f>IF(OR(Registro_Compras!$C$205="",Registro_Compras!$O$205=""),"",IF(Registro_Compras!$AB$205="ADMINISTRATIVO","Gastos Administrativos","Gastos de Venta y Operacion"))</f>
        <v/>
      </c>
      <c r="E1817" s="20" t="str">
        <f>IF($C1817="","",IF(Registro_Compras!$F$205="NOTA DE CREDITO","",IF(Registro_Compras!$F$205="RHE",ROUND(Registro_Compras!$L$205*Registro_Compras!$N$205,2),ROUND(Registro_Compras!$J$205*Registro_Compras!$N$205,2))))</f>
        <v/>
      </c>
      <c r="F1817" s="20" t="str">
        <f>IF($C1817="","",IF(Registro_Compras!$F$205="NOTA DE CREDITO",ROUND(ABS(Registro_Compras!$J$205*Registro_Compras!$N$205),2),""))</f>
        <v/>
      </c>
      <c r="G1817" t="str">
        <f>IF($C1817="","","Por el destino del gasto")</f>
        <v/>
      </c>
      <c r="H1817" t="str">
        <f>IF($C1817="","",Registro_Compras!$C$205)</f>
        <v/>
      </c>
    </row>
    <row r="1818" spans="1:8" x14ac:dyDescent="0.25">
      <c r="A1818" s="25" t="str">
        <f>IF($C1818="","",Registro_Compras!$B$205)</f>
        <v/>
      </c>
      <c r="B1818" t="str">
        <f>IF($C1818="","","C"&amp;TEXT(INT((ROW()-5)/9)+1,"000")&amp;"-2")</f>
        <v/>
      </c>
      <c r="C1818" t="str">
        <f>IF(OR(Registro_Compras!$C$205="",Registro_Compras!$O$205=""),"","79/791")</f>
        <v/>
      </c>
      <c r="D1818" t="str">
        <f>IF(OR(Registro_Compras!$C$205="",Registro_Compras!$O$205=""),"","Cargas Imputables a Cuentas de Costos y Gastos")</f>
        <v/>
      </c>
      <c r="E1818" s="20" t="str">
        <f>IF($C1818="","",IF(Registro_Compras!$F$205="NOTA DE CREDITO",ROUND(ABS(Registro_Compras!$J$205*Registro_Compras!$N$205),2),""))</f>
        <v/>
      </c>
      <c r="F1818" s="20" t="str">
        <f>IF($C1818="","",IF(Registro_Compras!$F$205="NOTA DE CREDITO","",IF(Registro_Compras!$F$205="RHE",ROUND(Registro_Compras!$L$205*Registro_Compras!$N$205,2),ROUND(Registro_Compras!$J$205*Registro_Compras!$N$205,2))))</f>
        <v/>
      </c>
      <c r="G1818" t="str">
        <f>IF($C1818="","","Por el destino del gasto")</f>
        <v/>
      </c>
      <c r="H1818" t="str">
        <f>IF($C1818="","",Registro_Compras!$C$205)</f>
        <v/>
      </c>
    </row>
    <row r="1819" spans="1:8" x14ac:dyDescent="0.25">
      <c r="A1819" s="25" t="str">
        <f>IF($C1819="","",Registro_Compras!$X$205)</f>
        <v/>
      </c>
      <c r="B1819" t="str">
        <f>IF($C1819="","","C"&amp;TEXT(INT((ROW()-5)/9)+1,"000")&amp;"-3")</f>
        <v/>
      </c>
      <c r="C1819" t="str">
        <f>IF(OR(Registro_Compras!$C$205="",Registro_Compras!$O$205="",Registro_Compras!$R$205&lt;&gt;"SI",Registro_Compras!$X$205=""),"","4212")</f>
        <v/>
      </c>
      <c r="D1819" t="str">
        <f>IF(OR(Registro_Compras!$C$205="",Registro_Compras!$O$205=""),"","Cuentas por Pagar Comerciales - Terceros")</f>
        <v/>
      </c>
      <c r="E1819" s="20" t="str">
        <f>IF($C1819="","",Registro_Compras!$S$205)</f>
        <v/>
      </c>
      <c r="F1819" s="20" t="str">
        <f>""</f>
        <v/>
      </c>
      <c r="G1819" t="str">
        <f>IF($C1819="","","Por el deposito de la detraccion en el Banco de la Nacion")</f>
        <v/>
      </c>
      <c r="H1819" t="str">
        <f>IF($C1819="","",Registro_Compras!$C$205)</f>
        <v/>
      </c>
    </row>
    <row r="1820" spans="1:8" x14ac:dyDescent="0.25">
      <c r="A1820" s="25" t="str">
        <f>IF($C1820="","",Registro_Compras!$X$205)</f>
        <v/>
      </c>
      <c r="B1820" t="str">
        <f>IF($C1820="","","C"&amp;TEXT(INT((ROW()-5)/9)+1,"000")&amp;"-3")</f>
        <v/>
      </c>
      <c r="C1820" t="str">
        <f>IF(OR(Registro_Compras!$C$205="",Registro_Compras!$O$205="",Registro_Compras!$R$205&lt;&gt;"SI",Registro_Compras!$X$205=""),"","1041")</f>
        <v/>
      </c>
      <c r="D1820" t="str">
        <f>IF(OR(Registro_Compras!$C$205="",Registro_Compras!$O$205=""),"","Efectivo y Equivalentes - Cta. Cte. Operativa")</f>
        <v/>
      </c>
      <c r="E1820" s="20" t="str">
        <f>""</f>
        <v/>
      </c>
      <c r="F1820" s="20" t="str">
        <f>IF($C1820="","",Registro_Compras!$S$205)</f>
        <v/>
      </c>
      <c r="G1820" t="str">
        <f>IF($C1820="","","Por el deposito de la detraccion en el Banco de la Nacion")</f>
        <v/>
      </c>
      <c r="H1820" t="str">
        <f>IF($C1820="","",Registro_Compras!$C$205)</f>
        <v/>
      </c>
    </row>
    <row r="1821" spans="1:8" x14ac:dyDescent="0.25">
      <c r="A1821" s="25" t="str">
        <f>IF($C1821="","",Registro_Compras!$Y$205)</f>
        <v/>
      </c>
      <c r="B1821" t="str">
        <f>IF($C1821="","","C"&amp;TEXT(INT((ROW()-5)/9)+1,"000")&amp;"-4")</f>
        <v/>
      </c>
      <c r="C1821" t="str">
        <f>IF(OR(Registro_Compras!$C$205="",Registro_Compras!$O$205="",Registro_Compras!$Y$205="",Registro_Compras!$F$205="NOTA DE CREDITO"),"","4212")</f>
        <v/>
      </c>
      <c r="D1821" t="str">
        <f>IF(OR(Registro_Compras!$C$205="",Registro_Compras!$O$205=""),"","Cuentas por Pagar Comerciales - Terceros")</f>
        <v/>
      </c>
      <c r="E1821" s="20" t="str">
        <f>IF($C1821="","",IF(Registro_Compras!$F$205="RHE",(ROUND(Registro_Compras!$L$205*Registro_Compras!$N$205,2)-ROUND(Registro_Compras!$V$205*Registro_Compras!$N$205,2)),ROUND(Registro_Compras!$O$205-Registro_Compras!$S$205,2)))</f>
        <v/>
      </c>
      <c r="F1821" s="20" t="str">
        <f>""</f>
        <v/>
      </c>
      <c r="G1821" t="str">
        <f>IF($C1821="","","Por la cancelacion del saldo al proveedor")</f>
        <v/>
      </c>
      <c r="H1821" t="str">
        <f>IF($C1821="","",Registro_Compras!$C$205)</f>
        <v/>
      </c>
    </row>
    <row r="1822" spans="1:8" x14ac:dyDescent="0.25">
      <c r="A1822" s="25" t="str">
        <f>IF($C1822="","",Registro_Compras!$Y$205)</f>
        <v/>
      </c>
      <c r="B1822" t="str">
        <f>IF($C1822="","","C"&amp;TEXT(INT((ROW()-5)/9)+1,"000")&amp;"-4")</f>
        <v/>
      </c>
      <c r="C1822" t="str">
        <f>IF(OR(Registro_Compras!$C$205="",Registro_Compras!$O$205="",Registro_Compras!$Y$205="",Registro_Compras!$F$205="NOTA DE CREDITO"),"","1041")</f>
        <v/>
      </c>
      <c r="D1822" t="str">
        <f>IF(OR(Registro_Compras!$C$205="",Registro_Compras!$O$205=""),"","Efectivo y Equivalentes - Cta. Cte. Operativa")</f>
        <v/>
      </c>
      <c r="E1822" s="20" t="str">
        <f>""</f>
        <v/>
      </c>
      <c r="F1822" s="20" t="str">
        <f>IF($C1822="","",IF(Registro_Compras!$F$205="RHE",(ROUND(Registro_Compras!$L$205*Registro_Compras!$N$205,2)-ROUND(Registro_Compras!$V$205*Registro_Compras!$N$205,2)),ROUND(Registro_Compras!$O$205-Registro_Compras!$S$205,2)))</f>
        <v/>
      </c>
      <c r="G1822" t="str">
        <f>IF($C1822="","","Por la cancelacion del saldo al proveedor")</f>
        <v/>
      </c>
      <c r="H1822" t="str">
        <f>IF($C1822="","",Registro_Compras!$C$205)</f>
        <v/>
      </c>
    </row>
    <row r="1823" spans="1:8" x14ac:dyDescent="0.25">
      <c r="A1823" s="25" t="str">
        <f>IF($C1823="","",Registro_Compras!$B$206)</f>
        <v/>
      </c>
      <c r="B1823" t="str">
        <f>IF($C1823="","","C"&amp;TEXT(INT((ROW()-5)/9)+1,"000")&amp;"-1")</f>
        <v/>
      </c>
      <c r="C1823" t="str">
        <f>IF(OR(Registro_Compras!$C$206="",Registro_Compras!$O$206=""),"",IF(Registro_Compras!$F$206="NOTA DE CREDITO","4212",IF(Registro_Compras!$M$206="","63",Registro_Compras!$M$206)))</f>
        <v/>
      </c>
      <c r="D1823" t="str">
        <f>IF(OR(Registro_Compras!$C$206="",Registro_Compras!$O$206=""),"",IF(Registro_Compras!$F$206="NOTA DE CREDITO","Cuentas por Pagar Comerciales - Terceros (Emitidas)",IF(Registro_Compras!$F$206="RHE","Honorarios Profesionales - Servicios de Terceros","Gastos de Servicios Prestados por Terceros")))</f>
        <v/>
      </c>
      <c r="E1823" s="20" t="str">
        <f>IF($C1823="","",IF(Registro_Compras!$F$206="NOTA DE CREDITO",ABS(Registro_Compras!$O$206),IF(Registro_Compras!$F$206="RHE",ROUND(Registro_Compras!$L$206*Registro_Compras!$N$206,2),ROUND(Registro_Compras!$J$206*Registro_Compras!$N$206,2))))</f>
        <v/>
      </c>
      <c r="F1823" s="20" t="str">
        <f>""</f>
        <v/>
      </c>
      <c r="G1823" t="str">
        <f>IF($C1823="","",IF(Registro_Compras!$F$206="NOTA DE CREDITO","Por la nota de credito "&amp;Registro_Compras!$C$206&amp;" de "&amp;Registro_Compras!$E$206&amp;" [PATRON POR CONFIRMAR CON CONTADOR]",IF(Registro_Compras!$F$206="RHE","Por el registro del recibo por honorarios "&amp;Registro_Compras!$C$206&amp;" de "&amp;Registro_Compras!$E$206&amp;" [PATRON POR CONFIRMAR CON CONTADOR]","Por el registro de la factura "&amp;Registro_Compras!$C$206&amp;" de "&amp;Registro_Compras!$E$206)))</f>
        <v/>
      </c>
      <c r="H1823" t="str">
        <f>IF($C1823="","",Registro_Compras!$C$206)</f>
        <v/>
      </c>
    </row>
    <row r="1824" spans="1:8" x14ac:dyDescent="0.25">
      <c r="A1824" s="25" t="str">
        <f>IF($C1824="","",Registro_Compras!$B$206)</f>
        <v/>
      </c>
      <c r="B1824" t="str">
        <f>IF($C1824="","","C"&amp;TEXT(INT((ROW()-5)/9)+1,"000")&amp;"-1")</f>
        <v/>
      </c>
      <c r="C1824" t="str">
        <f>IF(OR(Registro_Compras!$C$206="",Registro_Compras!$O$206=""),"",IF(Registro_Compras!$F$206="RHE",IF(Registro_Compras!$V$206=0,"","4017"),IF(Registro_Compras!$F$206="NOTA DE CREDITO",IF(Registro_Compras!$M$206="","63",Registro_Compras!$M$206),IF(Registro_Compras!$K$206=0,"","40111"))))</f>
        <v/>
      </c>
      <c r="D1824" t="str">
        <f>IF(OR(Registro_Compras!$C$206="",Registro_Compras!$O$206=""),"",IF(Registro_Compras!$F$206="RHE","Retencion Renta 4ta Categoria por Pagar",IF(Registro_Compras!$F$206="NOTA DE CREDITO","Gastos de Servicios Prestados por Terceros","IGV - Cuenta Propia (Credito Fiscal)")))</f>
        <v/>
      </c>
      <c r="E1824" s="20" t="str">
        <f>IF($C1824="","",IF(Registro_Compras!$F$206="FACTURA",ROUND(Registro_Compras!$K$206*Registro_Compras!$N$206,2),""))</f>
        <v/>
      </c>
      <c r="F1824" s="20" t="str">
        <f>IF($C1824="","",IF(Registro_Compras!$F$206="RHE",ROUND(Registro_Compras!$V$206*Registro_Compras!$N$206,2),IF(Registro_Compras!$F$206="NOTA DE CREDITO",ROUND(ABS(Registro_Compras!$J$206*Registro_Compras!$N$206),2),"")))</f>
        <v/>
      </c>
      <c r="G1824" t="str">
        <f>IF($C1824="","",IF(Registro_Compras!$F$206="NOTA DE CREDITO","Por la nota de credito "&amp;Registro_Compras!$C$206&amp;" de "&amp;Registro_Compras!$E$206&amp;" [PATRON POR CONFIRMAR CON CONTADOR]",IF(Registro_Compras!$F$206="RHE","Por el registro del recibo por honorarios "&amp;Registro_Compras!$C$206&amp;" de "&amp;Registro_Compras!$E$206&amp;" [PATRON POR CONFIRMAR CON CONTADOR]","Por el registro de la factura "&amp;Registro_Compras!$C$206&amp;" de "&amp;Registro_Compras!$E$206)))</f>
        <v/>
      </c>
      <c r="H1824" t="str">
        <f>IF($C1824="","",Registro_Compras!$C$206)</f>
        <v/>
      </c>
    </row>
    <row r="1825" spans="1:8" x14ac:dyDescent="0.25">
      <c r="A1825" s="25" t="str">
        <f>IF($C1825="","",Registro_Compras!$B$206)</f>
        <v/>
      </c>
      <c r="B1825" t="str">
        <f>IF($C1825="","","C"&amp;TEXT(INT((ROW()-5)/9)+1,"000")&amp;"-1")</f>
        <v/>
      </c>
      <c r="C1825" t="str">
        <f>IF(OR(Registro_Compras!$C$206="",Registro_Compras!$O$206=""),"",IF(Registro_Compras!$F$206="NOTA DE CREDITO",IF(Registro_Compras!$K$206=0,"","40111"),"4212"))</f>
        <v/>
      </c>
      <c r="D1825" t="str">
        <f>IF(OR(Registro_Compras!$C$206="",Registro_Compras!$O$206=""),"",IF(Registro_Compras!$F$206="NOTA DE CREDITO","IGV - Cuenta Propia (Credito Fiscal)","Cuentas por Pagar Comerciales - Terceros (Emitidas)"))</f>
        <v/>
      </c>
      <c r="E1825" s="20" t="str">
        <f>""</f>
        <v/>
      </c>
      <c r="F1825" s="20" t="str">
        <f>IF($C1825="","",IF(Registro_Compras!$F$206="NOTA DE CREDITO",ROUND(ABS(Registro_Compras!$K$206*Registro_Compras!$N$206),2),IF(Registro_Compras!$F$206="RHE",(ROUND(Registro_Compras!$L$206*Registro_Compras!$N$206,2)-ROUND(Registro_Compras!$V$206*Registro_Compras!$N$206,2)),Registro_Compras!$O$206)))</f>
        <v/>
      </c>
      <c r="G1825" t="str">
        <f>IF($C1825="","",IF(Registro_Compras!$F$206="NOTA DE CREDITO","Por la nota de credito "&amp;Registro_Compras!$C$206&amp;" de "&amp;Registro_Compras!$E$206&amp;" [PATRON POR CONFIRMAR CON CONTADOR]",IF(Registro_Compras!$F$206="RHE","Por el registro del recibo por honorarios "&amp;Registro_Compras!$C$206&amp;" de "&amp;Registro_Compras!$E$206&amp;" [PATRON POR CONFIRMAR CON CONTADOR]","Por el registro de la factura "&amp;Registro_Compras!$C$206&amp;" de "&amp;Registro_Compras!$E$206)))</f>
        <v/>
      </c>
      <c r="H1825" t="str">
        <f>IF($C1825="","",Registro_Compras!$C$206)</f>
        <v/>
      </c>
    </row>
    <row r="1826" spans="1:8" x14ac:dyDescent="0.25">
      <c r="A1826" s="25" t="str">
        <f>IF($C1826="","",Registro_Compras!$B$206)</f>
        <v/>
      </c>
      <c r="B1826" t="str">
        <f>IF($C1826="","","C"&amp;TEXT(INT((ROW()-5)/9)+1,"000")&amp;"-2")</f>
        <v/>
      </c>
      <c r="C1826" t="str">
        <f>IF(OR(Registro_Compras!$C$206="",Registro_Compras!$O$206=""),"",IF(Registro_Compras!$AB$206="ADMINISTRATIVO","94","95"))</f>
        <v/>
      </c>
      <c r="D1826" t="str">
        <f>IF(OR(Registro_Compras!$C$206="",Registro_Compras!$O$206=""),"",IF(Registro_Compras!$AB$206="ADMINISTRATIVO","Gastos Administrativos","Gastos de Venta y Operacion"))</f>
        <v/>
      </c>
      <c r="E1826" s="20" t="str">
        <f>IF($C1826="","",IF(Registro_Compras!$F$206="NOTA DE CREDITO","",IF(Registro_Compras!$F$206="RHE",ROUND(Registro_Compras!$L$206*Registro_Compras!$N$206,2),ROUND(Registro_Compras!$J$206*Registro_Compras!$N$206,2))))</f>
        <v/>
      </c>
      <c r="F1826" s="20" t="str">
        <f>IF($C1826="","",IF(Registro_Compras!$F$206="NOTA DE CREDITO",ROUND(ABS(Registro_Compras!$J$206*Registro_Compras!$N$206),2),""))</f>
        <v/>
      </c>
      <c r="G1826" t="str">
        <f>IF($C1826="","","Por el destino del gasto")</f>
        <v/>
      </c>
      <c r="H1826" t="str">
        <f>IF($C1826="","",Registro_Compras!$C$206)</f>
        <v/>
      </c>
    </row>
    <row r="1827" spans="1:8" x14ac:dyDescent="0.25">
      <c r="A1827" s="25" t="str">
        <f>IF($C1827="","",Registro_Compras!$B$206)</f>
        <v/>
      </c>
      <c r="B1827" t="str">
        <f>IF($C1827="","","C"&amp;TEXT(INT((ROW()-5)/9)+1,"000")&amp;"-2")</f>
        <v/>
      </c>
      <c r="C1827" t="str">
        <f>IF(OR(Registro_Compras!$C$206="",Registro_Compras!$O$206=""),"","79/791")</f>
        <v/>
      </c>
      <c r="D1827" t="str">
        <f>IF(OR(Registro_Compras!$C$206="",Registro_Compras!$O$206=""),"","Cargas Imputables a Cuentas de Costos y Gastos")</f>
        <v/>
      </c>
      <c r="E1827" s="20" t="str">
        <f>IF($C1827="","",IF(Registro_Compras!$F$206="NOTA DE CREDITO",ROUND(ABS(Registro_Compras!$J$206*Registro_Compras!$N$206),2),""))</f>
        <v/>
      </c>
      <c r="F1827" s="20" t="str">
        <f>IF($C1827="","",IF(Registro_Compras!$F$206="NOTA DE CREDITO","",IF(Registro_Compras!$F$206="RHE",ROUND(Registro_Compras!$L$206*Registro_Compras!$N$206,2),ROUND(Registro_Compras!$J$206*Registro_Compras!$N$206,2))))</f>
        <v/>
      </c>
      <c r="G1827" t="str">
        <f>IF($C1827="","","Por el destino del gasto")</f>
        <v/>
      </c>
      <c r="H1827" t="str">
        <f>IF($C1827="","",Registro_Compras!$C$206)</f>
        <v/>
      </c>
    </row>
    <row r="1828" spans="1:8" x14ac:dyDescent="0.25">
      <c r="A1828" s="25" t="str">
        <f>IF($C1828="","",Registro_Compras!$X$206)</f>
        <v/>
      </c>
      <c r="B1828" t="str">
        <f>IF($C1828="","","C"&amp;TEXT(INT((ROW()-5)/9)+1,"000")&amp;"-3")</f>
        <v/>
      </c>
      <c r="C1828" t="str">
        <f>IF(OR(Registro_Compras!$C$206="",Registro_Compras!$O$206="",Registro_Compras!$R$206&lt;&gt;"SI",Registro_Compras!$X$206=""),"","4212")</f>
        <v/>
      </c>
      <c r="D1828" t="str">
        <f>IF(OR(Registro_Compras!$C$206="",Registro_Compras!$O$206=""),"","Cuentas por Pagar Comerciales - Terceros")</f>
        <v/>
      </c>
      <c r="E1828" s="20" t="str">
        <f>IF($C1828="","",Registro_Compras!$S$206)</f>
        <v/>
      </c>
      <c r="F1828" s="20" t="str">
        <f>""</f>
        <v/>
      </c>
      <c r="G1828" t="str">
        <f>IF($C1828="","","Por el deposito de la detraccion en el Banco de la Nacion")</f>
        <v/>
      </c>
      <c r="H1828" t="str">
        <f>IF($C1828="","",Registro_Compras!$C$206)</f>
        <v/>
      </c>
    </row>
    <row r="1829" spans="1:8" x14ac:dyDescent="0.25">
      <c r="A1829" s="25" t="str">
        <f>IF($C1829="","",Registro_Compras!$X$206)</f>
        <v/>
      </c>
      <c r="B1829" t="str">
        <f>IF($C1829="","","C"&amp;TEXT(INT((ROW()-5)/9)+1,"000")&amp;"-3")</f>
        <v/>
      </c>
      <c r="C1829" t="str">
        <f>IF(OR(Registro_Compras!$C$206="",Registro_Compras!$O$206="",Registro_Compras!$R$206&lt;&gt;"SI",Registro_Compras!$X$206=""),"","1041")</f>
        <v/>
      </c>
      <c r="D1829" t="str">
        <f>IF(OR(Registro_Compras!$C$206="",Registro_Compras!$O$206=""),"","Efectivo y Equivalentes - Cta. Cte. Operativa")</f>
        <v/>
      </c>
      <c r="E1829" s="20" t="str">
        <f>""</f>
        <v/>
      </c>
      <c r="F1829" s="20" t="str">
        <f>IF($C1829="","",Registro_Compras!$S$206)</f>
        <v/>
      </c>
      <c r="G1829" t="str">
        <f>IF($C1829="","","Por el deposito de la detraccion en el Banco de la Nacion")</f>
        <v/>
      </c>
      <c r="H1829" t="str">
        <f>IF($C1829="","",Registro_Compras!$C$206)</f>
        <v/>
      </c>
    </row>
    <row r="1830" spans="1:8" x14ac:dyDescent="0.25">
      <c r="A1830" s="25" t="str">
        <f>IF($C1830="","",Registro_Compras!$Y$206)</f>
        <v/>
      </c>
      <c r="B1830" t="str">
        <f>IF($C1830="","","C"&amp;TEXT(INT((ROW()-5)/9)+1,"000")&amp;"-4")</f>
        <v/>
      </c>
      <c r="C1830" t="str">
        <f>IF(OR(Registro_Compras!$C$206="",Registro_Compras!$O$206="",Registro_Compras!$Y$206="",Registro_Compras!$F$206="NOTA DE CREDITO"),"","4212")</f>
        <v/>
      </c>
      <c r="D1830" t="str">
        <f>IF(OR(Registro_Compras!$C$206="",Registro_Compras!$O$206=""),"","Cuentas por Pagar Comerciales - Terceros")</f>
        <v/>
      </c>
      <c r="E1830" s="20" t="str">
        <f>IF($C1830="","",IF(Registro_Compras!$F$206="RHE",(ROUND(Registro_Compras!$L$206*Registro_Compras!$N$206,2)-ROUND(Registro_Compras!$V$206*Registro_Compras!$N$206,2)),ROUND(Registro_Compras!$O$206-Registro_Compras!$S$206,2)))</f>
        <v/>
      </c>
      <c r="F1830" s="20" t="str">
        <f>""</f>
        <v/>
      </c>
      <c r="G1830" t="str">
        <f>IF($C1830="","","Por la cancelacion del saldo al proveedor")</f>
        <v/>
      </c>
      <c r="H1830" t="str">
        <f>IF($C1830="","",Registro_Compras!$C$206)</f>
        <v/>
      </c>
    </row>
    <row r="1831" spans="1:8" x14ac:dyDescent="0.25">
      <c r="A1831" s="25" t="str">
        <f>IF($C1831="","",Registro_Compras!$Y$206)</f>
        <v/>
      </c>
      <c r="B1831" t="str">
        <f>IF($C1831="","","C"&amp;TEXT(INT((ROW()-5)/9)+1,"000")&amp;"-4")</f>
        <v/>
      </c>
      <c r="C1831" t="str">
        <f>IF(OR(Registro_Compras!$C$206="",Registro_Compras!$O$206="",Registro_Compras!$Y$206="",Registro_Compras!$F$206="NOTA DE CREDITO"),"","1041")</f>
        <v/>
      </c>
      <c r="D1831" t="str">
        <f>IF(OR(Registro_Compras!$C$206="",Registro_Compras!$O$206=""),"","Efectivo y Equivalentes - Cta. Cte. Operativa")</f>
        <v/>
      </c>
      <c r="E1831" s="20" t="str">
        <f>""</f>
        <v/>
      </c>
      <c r="F1831" s="20" t="str">
        <f>IF($C1831="","",IF(Registro_Compras!$F$206="RHE",(ROUND(Registro_Compras!$L$206*Registro_Compras!$N$206,2)-ROUND(Registro_Compras!$V$206*Registro_Compras!$N$206,2)),ROUND(Registro_Compras!$O$206-Registro_Compras!$S$206,2)))</f>
        <v/>
      </c>
      <c r="G1831" t="str">
        <f>IF($C1831="","","Por la cancelacion del saldo al proveedor")</f>
        <v/>
      </c>
      <c r="H1831" t="str">
        <f>IF($C1831="","",Registro_Compras!$C$206)</f>
        <v/>
      </c>
    </row>
    <row r="1832" spans="1:8" x14ac:dyDescent="0.25">
      <c r="A1832" s="25" t="str">
        <f>IF($C1832="","",Registro_Compras!$B$207)</f>
        <v/>
      </c>
      <c r="B1832" t="str">
        <f>IF($C1832="","","C"&amp;TEXT(INT((ROW()-5)/9)+1,"000")&amp;"-1")</f>
        <v/>
      </c>
      <c r="C1832" t="str">
        <f>IF(OR(Registro_Compras!$C$207="",Registro_Compras!$O$207=""),"",IF(Registro_Compras!$F$207="NOTA DE CREDITO","4212",IF(Registro_Compras!$M$207="","63",Registro_Compras!$M$207)))</f>
        <v/>
      </c>
      <c r="D1832" t="str">
        <f>IF(OR(Registro_Compras!$C$207="",Registro_Compras!$O$207=""),"",IF(Registro_Compras!$F$207="NOTA DE CREDITO","Cuentas por Pagar Comerciales - Terceros (Emitidas)",IF(Registro_Compras!$F$207="RHE","Honorarios Profesionales - Servicios de Terceros","Gastos de Servicios Prestados por Terceros")))</f>
        <v/>
      </c>
      <c r="E1832" s="20" t="str">
        <f>IF($C1832="","",IF(Registro_Compras!$F$207="NOTA DE CREDITO",ABS(Registro_Compras!$O$207),IF(Registro_Compras!$F$207="RHE",ROUND(Registro_Compras!$L$207*Registro_Compras!$N$207,2),ROUND(Registro_Compras!$J$207*Registro_Compras!$N$207,2))))</f>
        <v/>
      </c>
      <c r="F1832" s="20" t="str">
        <f>""</f>
        <v/>
      </c>
      <c r="G1832" t="str">
        <f>IF($C1832="","",IF(Registro_Compras!$F$207="NOTA DE CREDITO","Por la nota de credito "&amp;Registro_Compras!$C$207&amp;" de "&amp;Registro_Compras!$E$207&amp;" [PATRON POR CONFIRMAR CON CONTADOR]",IF(Registro_Compras!$F$207="RHE","Por el registro del recibo por honorarios "&amp;Registro_Compras!$C$207&amp;" de "&amp;Registro_Compras!$E$207&amp;" [PATRON POR CONFIRMAR CON CONTADOR]","Por el registro de la factura "&amp;Registro_Compras!$C$207&amp;" de "&amp;Registro_Compras!$E$207)))</f>
        <v/>
      </c>
      <c r="H1832" t="str">
        <f>IF($C1832="","",Registro_Compras!$C$207)</f>
        <v/>
      </c>
    </row>
    <row r="1833" spans="1:8" x14ac:dyDescent="0.25">
      <c r="A1833" s="25" t="str">
        <f>IF($C1833="","",Registro_Compras!$B$207)</f>
        <v/>
      </c>
      <c r="B1833" t="str">
        <f>IF($C1833="","","C"&amp;TEXT(INT((ROW()-5)/9)+1,"000")&amp;"-1")</f>
        <v/>
      </c>
      <c r="C1833" t="str">
        <f>IF(OR(Registro_Compras!$C$207="",Registro_Compras!$O$207=""),"",IF(Registro_Compras!$F$207="RHE",IF(Registro_Compras!$V$207=0,"","4017"),IF(Registro_Compras!$F$207="NOTA DE CREDITO",IF(Registro_Compras!$M$207="","63",Registro_Compras!$M$207),IF(Registro_Compras!$K$207=0,"","40111"))))</f>
        <v/>
      </c>
      <c r="D1833" t="str">
        <f>IF(OR(Registro_Compras!$C$207="",Registro_Compras!$O$207=""),"",IF(Registro_Compras!$F$207="RHE","Retencion Renta 4ta Categoria por Pagar",IF(Registro_Compras!$F$207="NOTA DE CREDITO","Gastos de Servicios Prestados por Terceros","IGV - Cuenta Propia (Credito Fiscal)")))</f>
        <v/>
      </c>
      <c r="E1833" s="20" t="str">
        <f>IF($C1833="","",IF(Registro_Compras!$F$207="FACTURA",ROUND(Registro_Compras!$K$207*Registro_Compras!$N$207,2),""))</f>
        <v/>
      </c>
      <c r="F1833" s="20" t="str">
        <f>IF($C1833="","",IF(Registro_Compras!$F$207="RHE",ROUND(Registro_Compras!$V$207*Registro_Compras!$N$207,2),IF(Registro_Compras!$F$207="NOTA DE CREDITO",ROUND(ABS(Registro_Compras!$J$207*Registro_Compras!$N$207),2),"")))</f>
        <v/>
      </c>
      <c r="G1833" t="str">
        <f>IF($C1833="","",IF(Registro_Compras!$F$207="NOTA DE CREDITO","Por la nota de credito "&amp;Registro_Compras!$C$207&amp;" de "&amp;Registro_Compras!$E$207&amp;" [PATRON POR CONFIRMAR CON CONTADOR]",IF(Registro_Compras!$F$207="RHE","Por el registro del recibo por honorarios "&amp;Registro_Compras!$C$207&amp;" de "&amp;Registro_Compras!$E$207&amp;" [PATRON POR CONFIRMAR CON CONTADOR]","Por el registro de la factura "&amp;Registro_Compras!$C$207&amp;" de "&amp;Registro_Compras!$E$207)))</f>
        <v/>
      </c>
      <c r="H1833" t="str">
        <f>IF($C1833="","",Registro_Compras!$C$207)</f>
        <v/>
      </c>
    </row>
    <row r="1834" spans="1:8" x14ac:dyDescent="0.25">
      <c r="A1834" s="25" t="str">
        <f>IF($C1834="","",Registro_Compras!$B$207)</f>
        <v/>
      </c>
      <c r="B1834" t="str">
        <f>IF($C1834="","","C"&amp;TEXT(INT((ROW()-5)/9)+1,"000")&amp;"-1")</f>
        <v/>
      </c>
      <c r="C1834" t="str">
        <f>IF(OR(Registro_Compras!$C$207="",Registro_Compras!$O$207=""),"",IF(Registro_Compras!$F$207="NOTA DE CREDITO",IF(Registro_Compras!$K$207=0,"","40111"),"4212"))</f>
        <v/>
      </c>
      <c r="D1834" t="str">
        <f>IF(OR(Registro_Compras!$C$207="",Registro_Compras!$O$207=""),"",IF(Registro_Compras!$F$207="NOTA DE CREDITO","IGV - Cuenta Propia (Credito Fiscal)","Cuentas por Pagar Comerciales - Terceros (Emitidas)"))</f>
        <v/>
      </c>
      <c r="E1834" s="20" t="str">
        <f>""</f>
        <v/>
      </c>
      <c r="F1834" s="20" t="str">
        <f>IF($C1834="","",IF(Registro_Compras!$F$207="NOTA DE CREDITO",ROUND(ABS(Registro_Compras!$K$207*Registro_Compras!$N$207),2),IF(Registro_Compras!$F$207="RHE",(ROUND(Registro_Compras!$L$207*Registro_Compras!$N$207,2)-ROUND(Registro_Compras!$V$207*Registro_Compras!$N$207,2)),Registro_Compras!$O$207)))</f>
        <v/>
      </c>
      <c r="G1834" t="str">
        <f>IF($C1834="","",IF(Registro_Compras!$F$207="NOTA DE CREDITO","Por la nota de credito "&amp;Registro_Compras!$C$207&amp;" de "&amp;Registro_Compras!$E$207&amp;" [PATRON POR CONFIRMAR CON CONTADOR]",IF(Registro_Compras!$F$207="RHE","Por el registro del recibo por honorarios "&amp;Registro_Compras!$C$207&amp;" de "&amp;Registro_Compras!$E$207&amp;" [PATRON POR CONFIRMAR CON CONTADOR]","Por el registro de la factura "&amp;Registro_Compras!$C$207&amp;" de "&amp;Registro_Compras!$E$207)))</f>
        <v/>
      </c>
      <c r="H1834" t="str">
        <f>IF($C1834="","",Registro_Compras!$C$207)</f>
        <v/>
      </c>
    </row>
    <row r="1835" spans="1:8" x14ac:dyDescent="0.25">
      <c r="A1835" s="25" t="str">
        <f>IF($C1835="","",Registro_Compras!$B$207)</f>
        <v/>
      </c>
      <c r="B1835" t="str">
        <f>IF($C1835="","","C"&amp;TEXT(INT((ROW()-5)/9)+1,"000")&amp;"-2")</f>
        <v/>
      </c>
      <c r="C1835" t="str">
        <f>IF(OR(Registro_Compras!$C$207="",Registro_Compras!$O$207=""),"",IF(Registro_Compras!$AB$207="ADMINISTRATIVO","94","95"))</f>
        <v/>
      </c>
      <c r="D1835" t="str">
        <f>IF(OR(Registro_Compras!$C$207="",Registro_Compras!$O$207=""),"",IF(Registro_Compras!$AB$207="ADMINISTRATIVO","Gastos Administrativos","Gastos de Venta y Operacion"))</f>
        <v/>
      </c>
      <c r="E1835" s="20" t="str">
        <f>IF($C1835="","",IF(Registro_Compras!$F$207="NOTA DE CREDITO","",IF(Registro_Compras!$F$207="RHE",ROUND(Registro_Compras!$L$207*Registro_Compras!$N$207,2),ROUND(Registro_Compras!$J$207*Registro_Compras!$N$207,2))))</f>
        <v/>
      </c>
      <c r="F1835" s="20" t="str">
        <f>IF($C1835="","",IF(Registro_Compras!$F$207="NOTA DE CREDITO",ROUND(ABS(Registro_Compras!$J$207*Registro_Compras!$N$207),2),""))</f>
        <v/>
      </c>
      <c r="G1835" t="str">
        <f>IF($C1835="","","Por el destino del gasto")</f>
        <v/>
      </c>
      <c r="H1835" t="str">
        <f>IF($C1835="","",Registro_Compras!$C$207)</f>
        <v/>
      </c>
    </row>
    <row r="1836" spans="1:8" x14ac:dyDescent="0.25">
      <c r="A1836" s="25" t="str">
        <f>IF($C1836="","",Registro_Compras!$B$207)</f>
        <v/>
      </c>
      <c r="B1836" t="str">
        <f>IF($C1836="","","C"&amp;TEXT(INT((ROW()-5)/9)+1,"000")&amp;"-2")</f>
        <v/>
      </c>
      <c r="C1836" t="str">
        <f>IF(OR(Registro_Compras!$C$207="",Registro_Compras!$O$207=""),"","79/791")</f>
        <v/>
      </c>
      <c r="D1836" t="str">
        <f>IF(OR(Registro_Compras!$C$207="",Registro_Compras!$O$207=""),"","Cargas Imputables a Cuentas de Costos y Gastos")</f>
        <v/>
      </c>
      <c r="E1836" s="20" t="str">
        <f>IF($C1836="","",IF(Registro_Compras!$F$207="NOTA DE CREDITO",ROUND(ABS(Registro_Compras!$J$207*Registro_Compras!$N$207),2),""))</f>
        <v/>
      </c>
      <c r="F1836" s="20" t="str">
        <f>IF($C1836="","",IF(Registro_Compras!$F$207="NOTA DE CREDITO","",IF(Registro_Compras!$F$207="RHE",ROUND(Registro_Compras!$L$207*Registro_Compras!$N$207,2),ROUND(Registro_Compras!$J$207*Registro_Compras!$N$207,2))))</f>
        <v/>
      </c>
      <c r="G1836" t="str">
        <f>IF($C1836="","","Por el destino del gasto")</f>
        <v/>
      </c>
      <c r="H1836" t="str">
        <f>IF($C1836="","",Registro_Compras!$C$207)</f>
        <v/>
      </c>
    </row>
    <row r="1837" spans="1:8" x14ac:dyDescent="0.25">
      <c r="A1837" s="25" t="str">
        <f>IF($C1837="","",Registro_Compras!$X$207)</f>
        <v/>
      </c>
      <c r="B1837" t="str">
        <f>IF($C1837="","","C"&amp;TEXT(INT((ROW()-5)/9)+1,"000")&amp;"-3")</f>
        <v/>
      </c>
      <c r="C1837" t="str">
        <f>IF(OR(Registro_Compras!$C$207="",Registro_Compras!$O$207="",Registro_Compras!$R$207&lt;&gt;"SI",Registro_Compras!$X$207=""),"","4212")</f>
        <v/>
      </c>
      <c r="D1837" t="str">
        <f>IF(OR(Registro_Compras!$C$207="",Registro_Compras!$O$207=""),"","Cuentas por Pagar Comerciales - Terceros")</f>
        <v/>
      </c>
      <c r="E1837" s="20" t="str">
        <f>IF($C1837="","",Registro_Compras!$S$207)</f>
        <v/>
      </c>
      <c r="F1837" s="20" t="str">
        <f>""</f>
        <v/>
      </c>
      <c r="G1837" t="str">
        <f>IF($C1837="","","Por el deposito de la detraccion en el Banco de la Nacion")</f>
        <v/>
      </c>
      <c r="H1837" t="str">
        <f>IF($C1837="","",Registro_Compras!$C$207)</f>
        <v/>
      </c>
    </row>
    <row r="1838" spans="1:8" x14ac:dyDescent="0.25">
      <c r="A1838" s="25" t="str">
        <f>IF($C1838="","",Registro_Compras!$X$207)</f>
        <v/>
      </c>
      <c r="B1838" t="str">
        <f>IF($C1838="","","C"&amp;TEXT(INT((ROW()-5)/9)+1,"000")&amp;"-3")</f>
        <v/>
      </c>
      <c r="C1838" t="str">
        <f>IF(OR(Registro_Compras!$C$207="",Registro_Compras!$O$207="",Registro_Compras!$R$207&lt;&gt;"SI",Registro_Compras!$X$207=""),"","1041")</f>
        <v/>
      </c>
      <c r="D1838" t="str">
        <f>IF(OR(Registro_Compras!$C$207="",Registro_Compras!$O$207=""),"","Efectivo y Equivalentes - Cta. Cte. Operativa")</f>
        <v/>
      </c>
      <c r="E1838" s="20" t="str">
        <f>""</f>
        <v/>
      </c>
      <c r="F1838" s="20" t="str">
        <f>IF($C1838="","",Registro_Compras!$S$207)</f>
        <v/>
      </c>
      <c r="G1838" t="str">
        <f>IF($C1838="","","Por el deposito de la detraccion en el Banco de la Nacion")</f>
        <v/>
      </c>
      <c r="H1838" t="str">
        <f>IF($C1838="","",Registro_Compras!$C$207)</f>
        <v/>
      </c>
    </row>
    <row r="1839" spans="1:8" x14ac:dyDescent="0.25">
      <c r="A1839" s="25" t="str">
        <f>IF($C1839="","",Registro_Compras!$Y$207)</f>
        <v/>
      </c>
      <c r="B1839" t="str">
        <f>IF($C1839="","","C"&amp;TEXT(INT((ROW()-5)/9)+1,"000")&amp;"-4")</f>
        <v/>
      </c>
      <c r="C1839" t="str">
        <f>IF(OR(Registro_Compras!$C$207="",Registro_Compras!$O$207="",Registro_Compras!$Y$207="",Registro_Compras!$F$207="NOTA DE CREDITO"),"","4212")</f>
        <v/>
      </c>
      <c r="D1839" t="str">
        <f>IF(OR(Registro_Compras!$C$207="",Registro_Compras!$O$207=""),"","Cuentas por Pagar Comerciales - Terceros")</f>
        <v/>
      </c>
      <c r="E1839" s="20" t="str">
        <f>IF($C1839="","",IF(Registro_Compras!$F$207="RHE",(ROUND(Registro_Compras!$L$207*Registro_Compras!$N$207,2)-ROUND(Registro_Compras!$V$207*Registro_Compras!$N$207,2)),ROUND(Registro_Compras!$O$207-Registro_Compras!$S$207,2)))</f>
        <v/>
      </c>
      <c r="F1839" s="20" t="str">
        <f>""</f>
        <v/>
      </c>
      <c r="G1839" t="str">
        <f>IF($C1839="","","Por la cancelacion del saldo al proveedor")</f>
        <v/>
      </c>
      <c r="H1839" t="str">
        <f>IF($C1839="","",Registro_Compras!$C$207)</f>
        <v/>
      </c>
    </row>
    <row r="1840" spans="1:8" x14ac:dyDescent="0.25">
      <c r="A1840" s="25" t="str">
        <f>IF($C1840="","",Registro_Compras!$Y$207)</f>
        <v/>
      </c>
      <c r="B1840" t="str">
        <f>IF($C1840="","","C"&amp;TEXT(INT((ROW()-5)/9)+1,"000")&amp;"-4")</f>
        <v/>
      </c>
      <c r="C1840" t="str">
        <f>IF(OR(Registro_Compras!$C$207="",Registro_Compras!$O$207="",Registro_Compras!$Y$207="",Registro_Compras!$F$207="NOTA DE CREDITO"),"","1041")</f>
        <v/>
      </c>
      <c r="D1840" t="str">
        <f>IF(OR(Registro_Compras!$C$207="",Registro_Compras!$O$207=""),"","Efectivo y Equivalentes - Cta. Cte. Operativa")</f>
        <v/>
      </c>
      <c r="E1840" s="20" t="str">
        <f>""</f>
        <v/>
      </c>
      <c r="F1840" s="20" t="str">
        <f>IF($C1840="","",IF(Registro_Compras!$F$207="RHE",(ROUND(Registro_Compras!$L$207*Registro_Compras!$N$207,2)-ROUND(Registro_Compras!$V$207*Registro_Compras!$N$207,2)),ROUND(Registro_Compras!$O$207-Registro_Compras!$S$207,2)))</f>
        <v/>
      </c>
      <c r="G1840" t="str">
        <f>IF($C1840="","","Por la cancelacion del saldo al proveedor")</f>
        <v/>
      </c>
      <c r="H1840" t="str">
        <f>IF($C1840="","",Registro_Compras!$C$207)</f>
        <v/>
      </c>
    </row>
    <row r="1841" spans="1:8" x14ac:dyDescent="0.25">
      <c r="A1841" s="25" t="str">
        <f>IF($C1841="","",Registro_Compras!$B$208)</f>
        <v/>
      </c>
      <c r="B1841" t="str">
        <f>IF($C1841="","","C"&amp;TEXT(INT((ROW()-5)/9)+1,"000")&amp;"-1")</f>
        <v/>
      </c>
      <c r="C1841" t="str">
        <f>IF(OR(Registro_Compras!$C$208="",Registro_Compras!$O$208=""),"",IF(Registro_Compras!$F$208="NOTA DE CREDITO","4212",IF(Registro_Compras!$M$208="","63",Registro_Compras!$M$208)))</f>
        <v/>
      </c>
      <c r="D1841" t="str">
        <f>IF(OR(Registro_Compras!$C$208="",Registro_Compras!$O$208=""),"",IF(Registro_Compras!$F$208="NOTA DE CREDITO","Cuentas por Pagar Comerciales - Terceros (Emitidas)",IF(Registro_Compras!$F$208="RHE","Honorarios Profesionales - Servicios de Terceros","Gastos de Servicios Prestados por Terceros")))</f>
        <v/>
      </c>
      <c r="E1841" s="20" t="str">
        <f>IF($C1841="","",IF(Registro_Compras!$F$208="NOTA DE CREDITO",ABS(Registro_Compras!$O$208),IF(Registro_Compras!$F$208="RHE",ROUND(Registro_Compras!$L$208*Registro_Compras!$N$208,2),ROUND(Registro_Compras!$J$208*Registro_Compras!$N$208,2))))</f>
        <v/>
      </c>
      <c r="F1841" s="20" t="str">
        <f>""</f>
        <v/>
      </c>
      <c r="G1841" t="str">
        <f>IF($C1841="","",IF(Registro_Compras!$F$208="NOTA DE CREDITO","Por la nota de credito "&amp;Registro_Compras!$C$208&amp;" de "&amp;Registro_Compras!$E$208&amp;" [PATRON POR CONFIRMAR CON CONTADOR]",IF(Registro_Compras!$F$208="RHE","Por el registro del recibo por honorarios "&amp;Registro_Compras!$C$208&amp;" de "&amp;Registro_Compras!$E$208&amp;" [PATRON POR CONFIRMAR CON CONTADOR]","Por el registro de la factura "&amp;Registro_Compras!$C$208&amp;" de "&amp;Registro_Compras!$E$208)))</f>
        <v/>
      </c>
      <c r="H1841" t="str">
        <f>IF($C1841="","",Registro_Compras!$C$208)</f>
        <v/>
      </c>
    </row>
    <row r="1842" spans="1:8" x14ac:dyDescent="0.25">
      <c r="A1842" s="25" t="str">
        <f>IF($C1842="","",Registro_Compras!$B$208)</f>
        <v/>
      </c>
      <c r="B1842" t="str">
        <f>IF($C1842="","","C"&amp;TEXT(INT((ROW()-5)/9)+1,"000")&amp;"-1")</f>
        <v/>
      </c>
      <c r="C1842" t="str">
        <f>IF(OR(Registro_Compras!$C$208="",Registro_Compras!$O$208=""),"",IF(Registro_Compras!$F$208="RHE",IF(Registro_Compras!$V$208=0,"","4017"),IF(Registro_Compras!$F$208="NOTA DE CREDITO",IF(Registro_Compras!$M$208="","63",Registro_Compras!$M$208),IF(Registro_Compras!$K$208=0,"","40111"))))</f>
        <v/>
      </c>
      <c r="D1842" t="str">
        <f>IF(OR(Registro_Compras!$C$208="",Registro_Compras!$O$208=""),"",IF(Registro_Compras!$F$208="RHE","Retencion Renta 4ta Categoria por Pagar",IF(Registro_Compras!$F$208="NOTA DE CREDITO","Gastos de Servicios Prestados por Terceros","IGV - Cuenta Propia (Credito Fiscal)")))</f>
        <v/>
      </c>
      <c r="E1842" s="20" t="str">
        <f>IF($C1842="","",IF(Registro_Compras!$F$208="FACTURA",ROUND(Registro_Compras!$K$208*Registro_Compras!$N$208,2),""))</f>
        <v/>
      </c>
      <c r="F1842" s="20" t="str">
        <f>IF($C1842="","",IF(Registro_Compras!$F$208="RHE",ROUND(Registro_Compras!$V$208*Registro_Compras!$N$208,2),IF(Registro_Compras!$F$208="NOTA DE CREDITO",ROUND(ABS(Registro_Compras!$J$208*Registro_Compras!$N$208),2),"")))</f>
        <v/>
      </c>
      <c r="G1842" t="str">
        <f>IF($C1842="","",IF(Registro_Compras!$F$208="NOTA DE CREDITO","Por la nota de credito "&amp;Registro_Compras!$C$208&amp;" de "&amp;Registro_Compras!$E$208&amp;" [PATRON POR CONFIRMAR CON CONTADOR]",IF(Registro_Compras!$F$208="RHE","Por el registro del recibo por honorarios "&amp;Registro_Compras!$C$208&amp;" de "&amp;Registro_Compras!$E$208&amp;" [PATRON POR CONFIRMAR CON CONTADOR]","Por el registro de la factura "&amp;Registro_Compras!$C$208&amp;" de "&amp;Registro_Compras!$E$208)))</f>
        <v/>
      </c>
      <c r="H1842" t="str">
        <f>IF($C1842="","",Registro_Compras!$C$208)</f>
        <v/>
      </c>
    </row>
    <row r="1843" spans="1:8" x14ac:dyDescent="0.25">
      <c r="A1843" s="25" t="str">
        <f>IF($C1843="","",Registro_Compras!$B$208)</f>
        <v/>
      </c>
      <c r="B1843" t="str">
        <f>IF($C1843="","","C"&amp;TEXT(INT((ROW()-5)/9)+1,"000")&amp;"-1")</f>
        <v/>
      </c>
      <c r="C1843" t="str">
        <f>IF(OR(Registro_Compras!$C$208="",Registro_Compras!$O$208=""),"",IF(Registro_Compras!$F$208="NOTA DE CREDITO",IF(Registro_Compras!$K$208=0,"","40111"),"4212"))</f>
        <v/>
      </c>
      <c r="D1843" t="str">
        <f>IF(OR(Registro_Compras!$C$208="",Registro_Compras!$O$208=""),"",IF(Registro_Compras!$F$208="NOTA DE CREDITO","IGV - Cuenta Propia (Credito Fiscal)","Cuentas por Pagar Comerciales - Terceros (Emitidas)"))</f>
        <v/>
      </c>
      <c r="E1843" s="20" t="str">
        <f>""</f>
        <v/>
      </c>
      <c r="F1843" s="20" t="str">
        <f>IF($C1843="","",IF(Registro_Compras!$F$208="NOTA DE CREDITO",ROUND(ABS(Registro_Compras!$K$208*Registro_Compras!$N$208),2),IF(Registro_Compras!$F$208="RHE",(ROUND(Registro_Compras!$L$208*Registro_Compras!$N$208,2)-ROUND(Registro_Compras!$V$208*Registro_Compras!$N$208,2)),Registro_Compras!$O$208)))</f>
        <v/>
      </c>
      <c r="G1843" t="str">
        <f>IF($C1843="","",IF(Registro_Compras!$F$208="NOTA DE CREDITO","Por la nota de credito "&amp;Registro_Compras!$C$208&amp;" de "&amp;Registro_Compras!$E$208&amp;" [PATRON POR CONFIRMAR CON CONTADOR]",IF(Registro_Compras!$F$208="RHE","Por el registro del recibo por honorarios "&amp;Registro_Compras!$C$208&amp;" de "&amp;Registro_Compras!$E$208&amp;" [PATRON POR CONFIRMAR CON CONTADOR]","Por el registro de la factura "&amp;Registro_Compras!$C$208&amp;" de "&amp;Registro_Compras!$E$208)))</f>
        <v/>
      </c>
      <c r="H1843" t="str">
        <f>IF($C1843="","",Registro_Compras!$C$208)</f>
        <v/>
      </c>
    </row>
    <row r="1844" spans="1:8" x14ac:dyDescent="0.25">
      <c r="A1844" s="25" t="str">
        <f>IF($C1844="","",Registro_Compras!$B$208)</f>
        <v/>
      </c>
      <c r="B1844" t="str">
        <f>IF($C1844="","","C"&amp;TEXT(INT((ROW()-5)/9)+1,"000")&amp;"-2")</f>
        <v/>
      </c>
      <c r="C1844" t="str">
        <f>IF(OR(Registro_Compras!$C$208="",Registro_Compras!$O$208=""),"",IF(Registro_Compras!$AB$208="ADMINISTRATIVO","94","95"))</f>
        <v/>
      </c>
      <c r="D1844" t="str">
        <f>IF(OR(Registro_Compras!$C$208="",Registro_Compras!$O$208=""),"",IF(Registro_Compras!$AB$208="ADMINISTRATIVO","Gastos Administrativos","Gastos de Venta y Operacion"))</f>
        <v/>
      </c>
      <c r="E1844" s="20" t="str">
        <f>IF($C1844="","",IF(Registro_Compras!$F$208="NOTA DE CREDITO","",IF(Registro_Compras!$F$208="RHE",ROUND(Registro_Compras!$L$208*Registro_Compras!$N$208,2),ROUND(Registro_Compras!$J$208*Registro_Compras!$N$208,2))))</f>
        <v/>
      </c>
      <c r="F1844" s="20" t="str">
        <f>IF($C1844="","",IF(Registro_Compras!$F$208="NOTA DE CREDITO",ROUND(ABS(Registro_Compras!$J$208*Registro_Compras!$N$208),2),""))</f>
        <v/>
      </c>
      <c r="G1844" t="str">
        <f>IF($C1844="","","Por el destino del gasto")</f>
        <v/>
      </c>
      <c r="H1844" t="str">
        <f>IF($C1844="","",Registro_Compras!$C$208)</f>
        <v/>
      </c>
    </row>
    <row r="1845" spans="1:8" x14ac:dyDescent="0.25">
      <c r="A1845" s="25" t="str">
        <f>IF($C1845="","",Registro_Compras!$B$208)</f>
        <v/>
      </c>
      <c r="B1845" t="str">
        <f>IF($C1845="","","C"&amp;TEXT(INT((ROW()-5)/9)+1,"000")&amp;"-2")</f>
        <v/>
      </c>
      <c r="C1845" t="str">
        <f>IF(OR(Registro_Compras!$C$208="",Registro_Compras!$O$208=""),"","79/791")</f>
        <v/>
      </c>
      <c r="D1845" t="str">
        <f>IF(OR(Registro_Compras!$C$208="",Registro_Compras!$O$208=""),"","Cargas Imputables a Cuentas de Costos y Gastos")</f>
        <v/>
      </c>
      <c r="E1845" s="20" t="str">
        <f>IF($C1845="","",IF(Registro_Compras!$F$208="NOTA DE CREDITO",ROUND(ABS(Registro_Compras!$J$208*Registro_Compras!$N$208),2),""))</f>
        <v/>
      </c>
      <c r="F1845" s="20" t="str">
        <f>IF($C1845="","",IF(Registro_Compras!$F$208="NOTA DE CREDITO","",IF(Registro_Compras!$F$208="RHE",ROUND(Registro_Compras!$L$208*Registro_Compras!$N$208,2),ROUND(Registro_Compras!$J$208*Registro_Compras!$N$208,2))))</f>
        <v/>
      </c>
      <c r="G1845" t="str">
        <f>IF($C1845="","","Por el destino del gasto")</f>
        <v/>
      </c>
      <c r="H1845" t="str">
        <f>IF($C1845="","",Registro_Compras!$C$208)</f>
        <v/>
      </c>
    </row>
    <row r="1846" spans="1:8" x14ac:dyDescent="0.25">
      <c r="A1846" s="25" t="str">
        <f>IF($C1846="","",Registro_Compras!$X$208)</f>
        <v/>
      </c>
      <c r="B1846" t="str">
        <f>IF($C1846="","","C"&amp;TEXT(INT((ROW()-5)/9)+1,"000")&amp;"-3")</f>
        <v/>
      </c>
      <c r="C1846" t="str">
        <f>IF(OR(Registro_Compras!$C$208="",Registro_Compras!$O$208="",Registro_Compras!$R$208&lt;&gt;"SI",Registro_Compras!$X$208=""),"","4212")</f>
        <v/>
      </c>
      <c r="D1846" t="str">
        <f>IF(OR(Registro_Compras!$C$208="",Registro_Compras!$O$208=""),"","Cuentas por Pagar Comerciales - Terceros")</f>
        <v/>
      </c>
      <c r="E1846" s="20" t="str">
        <f>IF($C1846="","",Registro_Compras!$S$208)</f>
        <v/>
      </c>
      <c r="F1846" s="20" t="str">
        <f>""</f>
        <v/>
      </c>
      <c r="G1846" t="str">
        <f>IF($C1846="","","Por el deposito de la detraccion en el Banco de la Nacion")</f>
        <v/>
      </c>
      <c r="H1846" t="str">
        <f>IF($C1846="","",Registro_Compras!$C$208)</f>
        <v/>
      </c>
    </row>
    <row r="1847" spans="1:8" x14ac:dyDescent="0.25">
      <c r="A1847" s="25" t="str">
        <f>IF($C1847="","",Registro_Compras!$X$208)</f>
        <v/>
      </c>
      <c r="B1847" t="str">
        <f>IF($C1847="","","C"&amp;TEXT(INT((ROW()-5)/9)+1,"000")&amp;"-3")</f>
        <v/>
      </c>
      <c r="C1847" t="str">
        <f>IF(OR(Registro_Compras!$C$208="",Registro_Compras!$O$208="",Registro_Compras!$R$208&lt;&gt;"SI",Registro_Compras!$X$208=""),"","1041")</f>
        <v/>
      </c>
      <c r="D1847" t="str">
        <f>IF(OR(Registro_Compras!$C$208="",Registro_Compras!$O$208=""),"","Efectivo y Equivalentes - Cta. Cte. Operativa")</f>
        <v/>
      </c>
      <c r="E1847" s="20" t="str">
        <f>""</f>
        <v/>
      </c>
      <c r="F1847" s="20" t="str">
        <f>IF($C1847="","",Registro_Compras!$S$208)</f>
        <v/>
      </c>
      <c r="G1847" t="str">
        <f>IF($C1847="","","Por el deposito de la detraccion en el Banco de la Nacion")</f>
        <v/>
      </c>
      <c r="H1847" t="str">
        <f>IF($C1847="","",Registro_Compras!$C$208)</f>
        <v/>
      </c>
    </row>
    <row r="1848" spans="1:8" x14ac:dyDescent="0.25">
      <c r="A1848" s="25" t="str">
        <f>IF($C1848="","",Registro_Compras!$Y$208)</f>
        <v/>
      </c>
      <c r="B1848" t="str">
        <f>IF($C1848="","","C"&amp;TEXT(INT((ROW()-5)/9)+1,"000")&amp;"-4")</f>
        <v/>
      </c>
      <c r="C1848" t="str">
        <f>IF(OR(Registro_Compras!$C$208="",Registro_Compras!$O$208="",Registro_Compras!$Y$208="",Registro_Compras!$F$208="NOTA DE CREDITO"),"","4212")</f>
        <v/>
      </c>
      <c r="D1848" t="str">
        <f>IF(OR(Registro_Compras!$C$208="",Registro_Compras!$O$208=""),"","Cuentas por Pagar Comerciales - Terceros")</f>
        <v/>
      </c>
      <c r="E1848" s="20" t="str">
        <f>IF($C1848="","",IF(Registro_Compras!$F$208="RHE",(ROUND(Registro_Compras!$L$208*Registro_Compras!$N$208,2)-ROUND(Registro_Compras!$V$208*Registro_Compras!$N$208,2)),ROUND(Registro_Compras!$O$208-Registro_Compras!$S$208,2)))</f>
        <v/>
      </c>
      <c r="F1848" s="20" t="str">
        <f>""</f>
        <v/>
      </c>
      <c r="G1848" t="str">
        <f>IF($C1848="","","Por la cancelacion del saldo al proveedor")</f>
        <v/>
      </c>
      <c r="H1848" t="str">
        <f>IF($C1848="","",Registro_Compras!$C$208)</f>
        <v/>
      </c>
    </row>
    <row r="1849" spans="1:8" x14ac:dyDescent="0.25">
      <c r="A1849" s="25" t="str">
        <f>IF($C1849="","",Registro_Compras!$Y$208)</f>
        <v/>
      </c>
      <c r="B1849" t="str">
        <f>IF($C1849="","","C"&amp;TEXT(INT((ROW()-5)/9)+1,"000")&amp;"-4")</f>
        <v/>
      </c>
      <c r="C1849" t="str">
        <f>IF(OR(Registro_Compras!$C$208="",Registro_Compras!$O$208="",Registro_Compras!$Y$208="",Registro_Compras!$F$208="NOTA DE CREDITO"),"","1041")</f>
        <v/>
      </c>
      <c r="D1849" t="str">
        <f>IF(OR(Registro_Compras!$C$208="",Registro_Compras!$O$208=""),"","Efectivo y Equivalentes - Cta. Cte. Operativa")</f>
        <v/>
      </c>
      <c r="E1849" s="20" t="str">
        <f>""</f>
        <v/>
      </c>
      <c r="F1849" s="20" t="str">
        <f>IF($C1849="","",IF(Registro_Compras!$F$208="RHE",(ROUND(Registro_Compras!$L$208*Registro_Compras!$N$208,2)-ROUND(Registro_Compras!$V$208*Registro_Compras!$N$208,2)),ROUND(Registro_Compras!$O$208-Registro_Compras!$S$208,2)))</f>
        <v/>
      </c>
      <c r="G1849" t="str">
        <f>IF($C1849="","","Por la cancelacion del saldo al proveedor")</f>
        <v/>
      </c>
      <c r="H1849" t="str">
        <f>IF($C1849="","",Registro_Compras!$C$208)</f>
        <v/>
      </c>
    </row>
    <row r="1850" spans="1:8" x14ac:dyDescent="0.25">
      <c r="A1850" s="25" t="str">
        <f>IF($C1850="","",Registro_Compras!$B$209)</f>
        <v/>
      </c>
      <c r="B1850" t="str">
        <f>IF($C1850="","","C"&amp;TEXT(INT((ROW()-5)/9)+1,"000")&amp;"-1")</f>
        <v/>
      </c>
      <c r="C1850" t="str">
        <f>IF(OR(Registro_Compras!$C$209="",Registro_Compras!$O$209=""),"",IF(Registro_Compras!$F$209="NOTA DE CREDITO","4212",IF(Registro_Compras!$M$209="","63",Registro_Compras!$M$209)))</f>
        <v/>
      </c>
      <c r="D1850" t="str">
        <f>IF(OR(Registro_Compras!$C$209="",Registro_Compras!$O$209=""),"",IF(Registro_Compras!$F$209="NOTA DE CREDITO","Cuentas por Pagar Comerciales - Terceros (Emitidas)",IF(Registro_Compras!$F$209="RHE","Honorarios Profesionales - Servicios de Terceros","Gastos de Servicios Prestados por Terceros")))</f>
        <v/>
      </c>
      <c r="E1850" s="20" t="str">
        <f>IF($C1850="","",IF(Registro_Compras!$F$209="NOTA DE CREDITO",ABS(Registro_Compras!$O$209),IF(Registro_Compras!$F$209="RHE",ROUND(Registro_Compras!$L$209*Registro_Compras!$N$209,2),ROUND(Registro_Compras!$J$209*Registro_Compras!$N$209,2))))</f>
        <v/>
      </c>
      <c r="F1850" s="20" t="str">
        <f>""</f>
        <v/>
      </c>
      <c r="G1850" t="str">
        <f>IF($C1850="","",IF(Registro_Compras!$F$209="NOTA DE CREDITO","Por la nota de credito "&amp;Registro_Compras!$C$209&amp;" de "&amp;Registro_Compras!$E$209&amp;" [PATRON POR CONFIRMAR CON CONTADOR]",IF(Registro_Compras!$F$209="RHE","Por el registro del recibo por honorarios "&amp;Registro_Compras!$C$209&amp;" de "&amp;Registro_Compras!$E$209&amp;" [PATRON POR CONFIRMAR CON CONTADOR]","Por el registro de la factura "&amp;Registro_Compras!$C$209&amp;" de "&amp;Registro_Compras!$E$209)))</f>
        <v/>
      </c>
      <c r="H1850" t="str">
        <f>IF($C1850="","",Registro_Compras!$C$209)</f>
        <v/>
      </c>
    </row>
    <row r="1851" spans="1:8" x14ac:dyDescent="0.25">
      <c r="A1851" s="25" t="str">
        <f>IF($C1851="","",Registro_Compras!$B$209)</f>
        <v/>
      </c>
      <c r="B1851" t="str">
        <f>IF($C1851="","","C"&amp;TEXT(INT((ROW()-5)/9)+1,"000")&amp;"-1")</f>
        <v/>
      </c>
      <c r="C1851" t="str">
        <f>IF(OR(Registro_Compras!$C$209="",Registro_Compras!$O$209=""),"",IF(Registro_Compras!$F$209="RHE",IF(Registro_Compras!$V$209=0,"","4017"),IF(Registro_Compras!$F$209="NOTA DE CREDITO",IF(Registro_Compras!$M$209="","63",Registro_Compras!$M$209),IF(Registro_Compras!$K$209=0,"","40111"))))</f>
        <v/>
      </c>
      <c r="D1851" t="str">
        <f>IF(OR(Registro_Compras!$C$209="",Registro_Compras!$O$209=""),"",IF(Registro_Compras!$F$209="RHE","Retencion Renta 4ta Categoria por Pagar",IF(Registro_Compras!$F$209="NOTA DE CREDITO","Gastos de Servicios Prestados por Terceros","IGV - Cuenta Propia (Credito Fiscal)")))</f>
        <v/>
      </c>
      <c r="E1851" s="20" t="str">
        <f>IF($C1851="","",IF(Registro_Compras!$F$209="FACTURA",ROUND(Registro_Compras!$K$209*Registro_Compras!$N$209,2),""))</f>
        <v/>
      </c>
      <c r="F1851" s="20" t="str">
        <f>IF($C1851="","",IF(Registro_Compras!$F$209="RHE",ROUND(Registro_Compras!$V$209*Registro_Compras!$N$209,2),IF(Registro_Compras!$F$209="NOTA DE CREDITO",ROUND(ABS(Registro_Compras!$J$209*Registro_Compras!$N$209),2),"")))</f>
        <v/>
      </c>
      <c r="G1851" t="str">
        <f>IF($C1851="","",IF(Registro_Compras!$F$209="NOTA DE CREDITO","Por la nota de credito "&amp;Registro_Compras!$C$209&amp;" de "&amp;Registro_Compras!$E$209&amp;" [PATRON POR CONFIRMAR CON CONTADOR]",IF(Registro_Compras!$F$209="RHE","Por el registro del recibo por honorarios "&amp;Registro_Compras!$C$209&amp;" de "&amp;Registro_Compras!$E$209&amp;" [PATRON POR CONFIRMAR CON CONTADOR]","Por el registro de la factura "&amp;Registro_Compras!$C$209&amp;" de "&amp;Registro_Compras!$E$209)))</f>
        <v/>
      </c>
      <c r="H1851" t="str">
        <f>IF($C1851="","",Registro_Compras!$C$209)</f>
        <v/>
      </c>
    </row>
    <row r="1852" spans="1:8" x14ac:dyDescent="0.25">
      <c r="A1852" s="25" t="str">
        <f>IF($C1852="","",Registro_Compras!$B$209)</f>
        <v/>
      </c>
      <c r="B1852" t="str">
        <f>IF($C1852="","","C"&amp;TEXT(INT((ROW()-5)/9)+1,"000")&amp;"-1")</f>
        <v/>
      </c>
      <c r="C1852" t="str">
        <f>IF(OR(Registro_Compras!$C$209="",Registro_Compras!$O$209=""),"",IF(Registro_Compras!$F$209="NOTA DE CREDITO",IF(Registro_Compras!$K$209=0,"","40111"),"4212"))</f>
        <v/>
      </c>
      <c r="D1852" t="str">
        <f>IF(OR(Registro_Compras!$C$209="",Registro_Compras!$O$209=""),"",IF(Registro_Compras!$F$209="NOTA DE CREDITO","IGV - Cuenta Propia (Credito Fiscal)","Cuentas por Pagar Comerciales - Terceros (Emitidas)"))</f>
        <v/>
      </c>
      <c r="E1852" s="20" t="str">
        <f>""</f>
        <v/>
      </c>
      <c r="F1852" s="20" t="str">
        <f>IF($C1852="","",IF(Registro_Compras!$F$209="NOTA DE CREDITO",ROUND(ABS(Registro_Compras!$K$209*Registro_Compras!$N$209),2),IF(Registro_Compras!$F$209="RHE",(ROUND(Registro_Compras!$L$209*Registro_Compras!$N$209,2)-ROUND(Registro_Compras!$V$209*Registro_Compras!$N$209,2)),Registro_Compras!$O$209)))</f>
        <v/>
      </c>
      <c r="G1852" t="str">
        <f>IF($C1852="","",IF(Registro_Compras!$F$209="NOTA DE CREDITO","Por la nota de credito "&amp;Registro_Compras!$C$209&amp;" de "&amp;Registro_Compras!$E$209&amp;" [PATRON POR CONFIRMAR CON CONTADOR]",IF(Registro_Compras!$F$209="RHE","Por el registro del recibo por honorarios "&amp;Registro_Compras!$C$209&amp;" de "&amp;Registro_Compras!$E$209&amp;" [PATRON POR CONFIRMAR CON CONTADOR]","Por el registro de la factura "&amp;Registro_Compras!$C$209&amp;" de "&amp;Registro_Compras!$E$209)))</f>
        <v/>
      </c>
      <c r="H1852" t="str">
        <f>IF($C1852="","",Registro_Compras!$C$209)</f>
        <v/>
      </c>
    </row>
    <row r="1853" spans="1:8" x14ac:dyDescent="0.25">
      <c r="A1853" s="25" t="str">
        <f>IF($C1853="","",Registro_Compras!$B$209)</f>
        <v/>
      </c>
      <c r="B1853" t="str">
        <f>IF($C1853="","","C"&amp;TEXT(INT((ROW()-5)/9)+1,"000")&amp;"-2")</f>
        <v/>
      </c>
      <c r="C1853" t="str">
        <f>IF(OR(Registro_Compras!$C$209="",Registro_Compras!$O$209=""),"",IF(Registro_Compras!$AB$209="ADMINISTRATIVO","94","95"))</f>
        <v/>
      </c>
      <c r="D1853" t="str">
        <f>IF(OR(Registro_Compras!$C$209="",Registro_Compras!$O$209=""),"",IF(Registro_Compras!$AB$209="ADMINISTRATIVO","Gastos Administrativos","Gastos de Venta y Operacion"))</f>
        <v/>
      </c>
      <c r="E1853" s="20" t="str">
        <f>IF($C1853="","",IF(Registro_Compras!$F$209="NOTA DE CREDITO","",IF(Registro_Compras!$F$209="RHE",ROUND(Registro_Compras!$L$209*Registro_Compras!$N$209,2),ROUND(Registro_Compras!$J$209*Registro_Compras!$N$209,2))))</f>
        <v/>
      </c>
      <c r="F1853" s="20" t="str">
        <f>IF($C1853="","",IF(Registro_Compras!$F$209="NOTA DE CREDITO",ROUND(ABS(Registro_Compras!$J$209*Registro_Compras!$N$209),2),""))</f>
        <v/>
      </c>
      <c r="G1853" t="str">
        <f>IF($C1853="","","Por el destino del gasto")</f>
        <v/>
      </c>
      <c r="H1853" t="str">
        <f>IF($C1853="","",Registro_Compras!$C$209)</f>
        <v/>
      </c>
    </row>
    <row r="1854" spans="1:8" x14ac:dyDescent="0.25">
      <c r="A1854" s="25" t="str">
        <f>IF($C1854="","",Registro_Compras!$B$209)</f>
        <v/>
      </c>
      <c r="B1854" t="str">
        <f>IF($C1854="","","C"&amp;TEXT(INT((ROW()-5)/9)+1,"000")&amp;"-2")</f>
        <v/>
      </c>
      <c r="C1854" t="str">
        <f>IF(OR(Registro_Compras!$C$209="",Registro_Compras!$O$209=""),"","79/791")</f>
        <v/>
      </c>
      <c r="D1854" t="str">
        <f>IF(OR(Registro_Compras!$C$209="",Registro_Compras!$O$209=""),"","Cargas Imputables a Cuentas de Costos y Gastos")</f>
        <v/>
      </c>
      <c r="E1854" s="20" t="str">
        <f>IF($C1854="","",IF(Registro_Compras!$F$209="NOTA DE CREDITO",ROUND(ABS(Registro_Compras!$J$209*Registro_Compras!$N$209),2),""))</f>
        <v/>
      </c>
      <c r="F1854" s="20" t="str">
        <f>IF($C1854="","",IF(Registro_Compras!$F$209="NOTA DE CREDITO","",IF(Registro_Compras!$F$209="RHE",ROUND(Registro_Compras!$L$209*Registro_Compras!$N$209,2),ROUND(Registro_Compras!$J$209*Registro_Compras!$N$209,2))))</f>
        <v/>
      </c>
      <c r="G1854" t="str">
        <f>IF($C1854="","","Por el destino del gasto")</f>
        <v/>
      </c>
      <c r="H1854" t="str">
        <f>IF($C1854="","",Registro_Compras!$C$209)</f>
        <v/>
      </c>
    </row>
    <row r="1855" spans="1:8" x14ac:dyDescent="0.25">
      <c r="A1855" s="25" t="str">
        <f>IF($C1855="","",Registro_Compras!$X$209)</f>
        <v/>
      </c>
      <c r="B1855" t="str">
        <f>IF($C1855="","","C"&amp;TEXT(INT((ROW()-5)/9)+1,"000")&amp;"-3")</f>
        <v/>
      </c>
      <c r="C1855" t="str">
        <f>IF(OR(Registro_Compras!$C$209="",Registro_Compras!$O$209="",Registro_Compras!$R$209&lt;&gt;"SI",Registro_Compras!$X$209=""),"","4212")</f>
        <v/>
      </c>
      <c r="D1855" t="str">
        <f>IF(OR(Registro_Compras!$C$209="",Registro_Compras!$O$209=""),"","Cuentas por Pagar Comerciales - Terceros")</f>
        <v/>
      </c>
      <c r="E1855" s="20" t="str">
        <f>IF($C1855="","",Registro_Compras!$S$209)</f>
        <v/>
      </c>
      <c r="F1855" s="20" t="str">
        <f>""</f>
        <v/>
      </c>
      <c r="G1855" t="str">
        <f>IF($C1855="","","Por el deposito de la detraccion en el Banco de la Nacion")</f>
        <v/>
      </c>
      <c r="H1855" t="str">
        <f>IF($C1855="","",Registro_Compras!$C$209)</f>
        <v/>
      </c>
    </row>
    <row r="1856" spans="1:8" x14ac:dyDescent="0.25">
      <c r="A1856" s="25" t="str">
        <f>IF($C1856="","",Registro_Compras!$X$209)</f>
        <v/>
      </c>
      <c r="B1856" t="str">
        <f>IF($C1856="","","C"&amp;TEXT(INT((ROW()-5)/9)+1,"000")&amp;"-3")</f>
        <v/>
      </c>
      <c r="C1856" t="str">
        <f>IF(OR(Registro_Compras!$C$209="",Registro_Compras!$O$209="",Registro_Compras!$R$209&lt;&gt;"SI",Registro_Compras!$X$209=""),"","1041")</f>
        <v/>
      </c>
      <c r="D1856" t="str">
        <f>IF(OR(Registro_Compras!$C$209="",Registro_Compras!$O$209=""),"","Efectivo y Equivalentes - Cta. Cte. Operativa")</f>
        <v/>
      </c>
      <c r="E1856" s="20" t="str">
        <f>""</f>
        <v/>
      </c>
      <c r="F1856" s="20" t="str">
        <f>IF($C1856="","",Registro_Compras!$S$209)</f>
        <v/>
      </c>
      <c r="G1856" t="str">
        <f>IF($C1856="","","Por el deposito de la detraccion en el Banco de la Nacion")</f>
        <v/>
      </c>
      <c r="H1856" t="str">
        <f>IF($C1856="","",Registro_Compras!$C$209)</f>
        <v/>
      </c>
    </row>
    <row r="1857" spans="1:8" x14ac:dyDescent="0.25">
      <c r="A1857" s="25" t="str">
        <f>IF($C1857="","",Registro_Compras!$Y$209)</f>
        <v/>
      </c>
      <c r="B1857" t="str">
        <f>IF($C1857="","","C"&amp;TEXT(INT((ROW()-5)/9)+1,"000")&amp;"-4")</f>
        <v/>
      </c>
      <c r="C1857" t="str">
        <f>IF(OR(Registro_Compras!$C$209="",Registro_Compras!$O$209="",Registro_Compras!$Y$209="",Registro_Compras!$F$209="NOTA DE CREDITO"),"","4212")</f>
        <v/>
      </c>
      <c r="D1857" t="str">
        <f>IF(OR(Registro_Compras!$C$209="",Registro_Compras!$O$209=""),"","Cuentas por Pagar Comerciales - Terceros")</f>
        <v/>
      </c>
      <c r="E1857" s="20" t="str">
        <f>IF($C1857="","",IF(Registro_Compras!$F$209="RHE",(ROUND(Registro_Compras!$L$209*Registro_Compras!$N$209,2)-ROUND(Registro_Compras!$V$209*Registro_Compras!$N$209,2)),ROUND(Registro_Compras!$O$209-Registro_Compras!$S$209,2)))</f>
        <v/>
      </c>
      <c r="F1857" s="20" t="str">
        <f>""</f>
        <v/>
      </c>
      <c r="G1857" t="str">
        <f>IF($C1857="","","Por la cancelacion del saldo al proveedor")</f>
        <v/>
      </c>
      <c r="H1857" t="str">
        <f>IF($C1857="","",Registro_Compras!$C$209)</f>
        <v/>
      </c>
    </row>
    <row r="1858" spans="1:8" x14ac:dyDescent="0.25">
      <c r="A1858" s="25" t="str">
        <f>IF($C1858="","",Registro_Compras!$Y$209)</f>
        <v/>
      </c>
      <c r="B1858" t="str">
        <f>IF($C1858="","","C"&amp;TEXT(INT((ROW()-5)/9)+1,"000")&amp;"-4")</f>
        <v/>
      </c>
      <c r="C1858" t="str">
        <f>IF(OR(Registro_Compras!$C$209="",Registro_Compras!$O$209="",Registro_Compras!$Y$209="",Registro_Compras!$F$209="NOTA DE CREDITO"),"","1041")</f>
        <v/>
      </c>
      <c r="D1858" t="str">
        <f>IF(OR(Registro_Compras!$C$209="",Registro_Compras!$O$209=""),"","Efectivo y Equivalentes - Cta. Cte. Operativa")</f>
        <v/>
      </c>
      <c r="E1858" s="20" t="str">
        <f>""</f>
        <v/>
      </c>
      <c r="F1858" s="20" t="str">
        <f>IF($C1858="","",IF(Registro_Compras!$F$209="RHE",(ROUND(Registro_Compras!$L$209*Registro_Compras!$N$209,2)-ROUND(Registro_Compras!$V$209*Registro_Compras!$N$209,2)),ROUND(Registro_Compras!$O$209-Registro_Compras!$S$209,2)))</f>
        <v/>
      </c>
      <c r="G1858" t="str">
        <f>IF($C1858="","","Por la cancelacion del saldo al proveedor")</f>
        <v/>
      </c>
      <c r="H1858" t="str">
        <f>IF($C1858="","",Registro_Compras!$C$209)</f>
        <v/>
      </c>
    </row>
    <row r="1859" spans="1:8" x14ac:dyDescent="0.25">
      <c r="A1859" s="25" t="str">
        <f>IF($C1859="","",Registro_Compras!$B$210)</f>
        <v/>
      </c>
      <c r="B1859" t="str">
        <f>IF($C1859="","","C"&amp;TEXT(INT((ROW()-5)/9)+1,"000")&amp;"-1")</f>
        <v/>
      </c>
      <c r="C1859" t="str">
        <f>IF(OR(Registro_Compras!$C$210="",Registro_Compras!$O$210=""),"",IF(Registro_Compras!$F$210="NOTA DE CREDITO","4212",IF(Registro_Compras!$M$210="","63",Registro_Compras!$M$210)))</f>
        <v/>
      </c>
      <c r="D1859" t="str">
        <f>IF(OR(Registro_Compras!$C$210="",Registro_Compras!$O$210=""),"",IF(Registro_Compras!$F$210="NOTA DE CREDITO","Cuentas por Pagar Comerciales - Terceros (Emitidas)",IF(Registro_Compras!$F$210="RHE","Honorarios Profesionales - Servicios de Terceros","Gastos de Servicios Prestados por Terceros")))</f>
        <v/>
      </c>
      <c r="E1859" s="20" t="str">
        <f>IF($C1859="","",IF(Registro_Compras!$F$210="NOTA DE CREDITO",ABS(Registro_Compras!$O$210),IF(Registro_Compras!$F$210="RHE",ROUND(Registro_Compras!$L$210*Registro_Compras!$N$210,2),ROUND(Registro_Compras!$J$210*Registro_Compras!$N$210,2))))</f>
        <v/>
      </c>
      <c r="F1859" s="20" t="str">
        <f>""</f>
        <v/>
      </c>
      <c r="G1859" t="str">
        <f>IF($C1859="","",IF(Registro_Compras!$F$210="NOTA DE CREDITO","Por la nota de credito "&amp;Registro_Compras!$C$210&amp;" de "&amp;Registro_Compras!$E$210&amp;" [PATRON POR CONFIRMAR CON CONTADOR]",IF(Registro_Compras!$F$210="RHE","Por el registro del recibo por honorarios "&amp;Registro_Compras!$C$210&amp;" de "&amp;Registro_Compras!$E$210&amp;" [PATRON POR CONFIRMAR CON CONTADOR]","Por el registro de la factura "&amp;Registro_Compras!$C$210&amp;" de "&amp;Registro_Compras!$E$210)))</f>
        <v/>
      </c>
      <c r="H1859" t="str">
        <f>IF($C1859="","",Registro_Compras!$C$210)</f>
        <v/>
      </c>
    </row>
    <row r="1860" spans="1:8" x14ac:dyDescent="0.25">
      <c r="A1860" s="25" t="str">
        <f>IF($C1860="","",Registro_Compras!$B$210)</f>
        <v/>
      </c>
      <c r="B1860" t="str">
        <f>IF($C1860="","","C"&amp;TEXT(INT((ROW()-5)/9)+1,"000")&amp;"-1")</f>
        <v/>
      </c>
      <c r="C1860" t="str">
        <f>IF(OR(Registro_Compras!$C$210="",Registro_Compras!$O$210=""),"",IF(Registro_Compras!$F$210="RHE",IF(Registro_Compras!$V$210=0,"","4017"),IF(Registro_Compras!$F$210="NOTA DE CREDITO",IF(Registro_Compras!$M$210="","63",Registro_Compras!$M$210),IF(Registro_Compras!$K$210=0,"","40111"))))</f>
        <v/>
      </c>
      <c r="D1860" t="str">
        <f>IF(OR(Registro_Compras!$C$210="",Registro_Compras!$O$210=""),"",IF(Registro_Compras!$F$210="RHE","Retencion Renta 4ta Categoria por Pagar",IF(Registro_Compras!$F$210="NOTA DE CREDITO","Gastos de Servicios Prestados por Terceros","IGV - Cuenta Propia (Credito Fiscal)")))</f>
        <v/>
      </c>
      <c r="E1860" s="20" t="str">
        <f>IF($C1860="","",IF(Registro_Compras!$F$210="FACTURA",ROUND(Registro_Compras!$K$210*Registro_Compras!$N$210,2),""))</f>
        <v/>
      </c>
      <c r="F1860" s="20" t="str">
        <f>IF($C1860="","",IF(Registro_Compras!$F$210="RHE",ROUND(Registro_Compras!$V$210*Registro_Compras!$N$210,2),IF(Registro_Compras!$F$210="NOTA DE CREDITO",ROUND(ABS(Registro_Compras!$J$210*Registro_Compras!$N$210),2),"")))</f>
        <v/>
      </c>
      <c r="G1860" t="str">
        <f>IF($C1860="","",IF(Registro_Compras!$F$210="NOTA DE CREDITO","Por la nota de credito "&amp;Registro_Compras!$C$210&amp;" de "&amp;Registro_Compras!$E$210&amp;" [PATRON POR CONFIRMAR CON CONTADOR]",IF(Registro_Compras!$F$210="RHE","Por el registro del recibo por honorarios "&amp;Registro_Compras!$C$210&amp;" de "&amp;Registro_Compras!$E$210&amp;" [PATRON POR CONFIRMAR CON CONTADOR]","Por el registro de la factura "&amp;Registro_Compras!$C$210&amp;" de "&amp;Registro_Compras!$E$210)))</f>
        <v/>
      </c>
      <c r="H1860" t="str">
        <f>IF($C1860="","",Registro_Compras!$C$210)</f>
        <v/>
      </c>
    </row>
    <row r="1861" spans="1:8" x14ac:dyDescent="0.25">
      <c r="A1861" s="25" t="str">
        <f>IF($C1861="","",Registro_Compras!$B$210)</f>
        <v/>
      </c>
      <c r="B1861" t="str">
        <f>IF($C1861="","","C"&amp;TEXT(INT((ROW()-5)/9)+1,"000")&amp;"-1")</f>
        <v/>
      </c>
      <c r="C1861" t="str">
        <f>IF(OR(Registro_Compras!$C$210="",Registro_Compras!$O$210=""),"",IF(Registro_Compras!$F$210="NOTA DE CREDITO",IF(Registro_Compras!$K$210=0,"","40111"),"4212"))</f>
        <v/>
      </c>
      <c r="D1861" t="str">
        <f>IF(OR(Registro_Compras!$C$210="",Registro_Compras!$O$210=""),"",IF(Registro_Compras!$F$210="NOTA DE CREDITO","IGV - Cuenta Propia (Credito Fiscal)","Cuentas por Pagar Comerciales - Terceros (Emitidas)"))</f>
        <v/>
      </c>
      <c r="E1861" s="20" t="str">
        <f>""</f>
        <v/>
      </c>
      <c r="F1861" s="20" t="str">
        <f>IF($C1861="","",IF(Registro_Compras!$F$210="NOTA DE CREDITO",ROUND(ABS(Registro_Compras!$K$210*Registro_Compras!$N$210),2),IF(Registro_Compras!$F$210="RHE",(ROUND(Registro_Compras!$L$210*Registro_Compras!$N$210,2)-ROUND(Registro_Compras!$V$210*Registro_Compras!$N$210,2)),Registro_Compras!$O$210)))</f>
        <v/>
      </c>
      <c r="G1861" t="str">
        <f>IF($C1861="","",IF(Registro_Compras!$F$210="NOTA DE CREDITO","Por la nota de credito "&amp;Registro_Compras!$C$210&amp;" de "&amp;Registro_Compras!$E$210&amp;" [PATRON POR CONFIRMAR CON CONTADOR]",IF(Registro_Compras!$F$210="RHE","Por el registro del recibo por honorarios "&amp;Registro_Compras!$C$210&amp;" de "&amp;Registro_Compras!$E$210&amp;" [PATRON POR CONFIRMAR CON CONTADOR]","Por el registro de la factura "&amp;Registro_Compras!$C$210&amp;" de "&amp;Registro_Compras!$E$210)))</f>
        <v/>
      </c>
      <c r="H1861" t="str">
        <f>IF($C1861="","",Registro_Compras!$C$210)</f>
        <v/>
      </c>
    </row>
    <row r="1862" spans="1:8" x14ac:dyDescent="0.25">
      <c r="A1862" s="25" t="str">
        <f>IF($C1862="","",Registro_Compras!$B$210)</f>
        <v/>
      </c>
      <c r="B1862" t="str">
        <f>IF($C1862="","","C"&amp;TEXT(INT((ROW()-5)/9)+1,"000")&amp;"-2")</f>
        <v/>
      </c>
      <c r="C1862" t="str">
        <f>IF(OR(Registro_Compras!$C$210="",Registro_Compras!$O$210=""),"",IF(Registro_Compras!$AB$210="ADMINISTRATIVO","94","95"))</f>
        <v/>
      </c>
      <c r="D1862" t="str">
        <f>IF(OR(Registro_Compras!$C$210="",Registro_Compras!$O$210=""),"",IF(Registro_Compras!$AB$210="ADMINISTRATIVO","Gastos Administrativos","Gastos de Venta y Operacion"))</f>
        <v/>
      </c>
      <c r="E1862" s="20" t="str">
        <f>IF($C1862="","",IF(Registro_Compras!$F$210="NOTA DE CREDITO","",IF(Registro_Compras!$F$210="RHE",ROUND(Registro_Compras!$L$210*Registro_Compras!$N$210,2),ROUND(Registro_Compras!$J$210*Registro_Compras!$N$210,2))))</f>
        <v/>
      </c>
      <c r="F1862" s="20" t="str">
        <f>IF($C1862="","",IF(Registro_Compras!$F$210="NOTA DE CREDITO",ROUND(ABS(Registro_Compras!$J$210*Registro_Compras!$N$210),2),""))</f>
        <v/>
      </c>
      <c r="G1862" t="str">
        <f>IF($C1862="","","Por el destino del gasto")</f>
        <v/>
      </c>
      <c r="H1862" t="str">
        <f>IF($C1862="","",Registro_Compras!$C$210)</f>
        <v/>
      </c>
    </row>
    <row r="1863" spans="1:8" x14ac:dyDescent="0.25">
      <c r="A1863" s="25" t="str">
        <f>IF($C1863="","",Registro_Compras!$B$210)</f>
        <v/>
      </c>
      <c r="B1863" t="str">
        <f>IF($C1863="","","C"&amp;TEXT(INT((ROW()-5)/9)+1,"000")&amp;"-2")</f>
        <v/>
      </c>
      <c r="C1863" t="str">
        <f>IF(OR(Registro_Compras!$C$210="",Registro_Compras!$O$210=""),"","79/791")</f>
        <v/>
      </c>
      <c r="D1863" t="str">
        <f>IF(OR(Registro_Compras!$C$210="",Registro_Compras!$O$210=""),"","Cargas Imputables a Cuentas de Costos y Gastos")</f>
        <v/>
      </c>
      <c r="E1863" s="20" t="str">
        <f>IF($C1863="","",IF(Registro_Compras!$F$210="NOTA DE CREDITO",ROUND(ABS(Registro_Compras!$J$210*Registro_Compras!$N$210),2),""))</f>
        <v/>
      </c>
      <c r="F1863" s="20" t="str">
        <f>IF($C1863="","",IF(Registro_Compras!$F$210="NOTA DE CREDITO","",IF(Registro_Compras!$F$210="RHE",ROUND(Registro_Compras!$L$210*Registro_Compras!$N$210,2),ROUND(Registro_Compras!$J$210*Registro_Compras!$N$210,2))))</f>
        <v/>
      </c>
      <c r="G1863" t="str">
        <f>IF($C1863="","","Por el destino del gasto")</f>
        <v/>
      </c>
      <c r="H1863" t="str">
        <f>IF($C1863="","",Registro_Compras!$C$210)</f>
        <v/>
      </c>
    </row>
    <row r="1864" spans="1:8" x14ac:dyDescent="0.25">
      <c r="A1864" s="25" t="str">
        <f>IF($C1864="","",Registro_Compras!$X$210)</f>
        <v/>
      </c>
      <c r="B1864" t="str">
        <f>IF($C1864="","","C"&amp;TEXT(INT((ROW()-5)/9)+1,"000")&amp;"-3")</f>
        <v/>
      </c>
      <c r="C1864" t="str">
        <f>IF(OR(Registro_Compras!$C$210="",Registro_Compras!$O$210="",Registro_Compras!$R$210&lt;&gt;"SI",Registro_Compras!$X$210=""),"","4212")</f>
        <v/>
      </c>
      <c r="D1864" t="str">
        <f>IF(OR(Registro_Compras!$C$210="",Registro_Compras!$O$210=""),"","Cuentas por Pagar Comerciales - Terceros")</f>
        <v/>
      </c>
      <c r="E1864" s="20" t="str">
        <f>IF($C1864="","",Registro_Compras!$S$210)</f>
        <v/>
      </c>
      <c r="F1864" s="20" t="str">
        <f>""</f>
        <v/>
      </c>
      <c r="G1864" t="str">
        <f>IF($C1864="","","Por el deposito de la detraccion en el Banco de la Nacion")</f>
        <v/>
      </c>
      <c r="H1864" t="str">
        <f>IF($C1864="","",Registro_Compras!$C$210)</f>
        <v/>
      </c>
    </row>
    <row r="1865" spans="1:8" x14ac:dyDescent="0.25">
      <c r="A1865" s="25" t="str">
        <f>IF($C1865="","",Registro_Compras!$X$210)</f>
        <v/>
      </c>
      <c r="B1865" t="str">
        <f>IF($C1865="","","C"&amp;TEXT(INT((ROW()-5)/9)+1,"000")&amp;"-3")</f>
        <v/>
      </c>
      <c r="C1865" t="str">
        <f>IF(OR(Registro_Compras!$C$210="",Registro_Compras!$O$210="",Registro_Compras!$R$210&lt;&gt;"SI",Registro_Compras!$X$210=""),"","1041")</f>
        <v/>
      </c>
      <c r="D1865" t="str">
        <f>IF(OR(Registro_Compras!$C$210="",Registro_Compras!$O$210=""),"","Efectivo y Equivalentes - Cta. Cte. Operativa")</f>
        <v/>
      </c>
      <c r="E1865" s="20" t="str">
        <f>""</f>
        <v/>
      </c>
      <c r="F1865" s="20" t="str">
        <f>IF($C1865="","",Registro_Compras!$S$210)</f>
        <v/>
      </c>
      <c r="G1865" t="str">
        <f>IF($C1865="","","Por el deposito de la detraccion en el Banco de la Nacion")</f>
        <v/>
      </c>
      <c r="H1865" t="str">
        <f>IF($C1865="","",Registro_Compras!$C$210)</f>
        <v/>
      </c>
    </row>
    <row r="1866" spans="1:8" x14ac:dyDescent="0.25">
      <c r="A1866" s="25" t="str">
        <f>IF($C1866="","",Registro_Compras!$Y$210)</f>
        <v/>
      </c>
      <c r="B1866" t="str">
        <f>IF($C1866="","","C"&amp;TEXT(INT((ROW()-5)/9)+1,"000")&amp;"-4")</f>
        <v/>
      </c>
      <c r="C1866" t="str">
        <f>IF(OR(Registro_Compras!$C$210="",Registro_Compras!$O$210="",Registro_Compras!$Y$210="",Registro_Compras!$F$210="NOTA DE CREDITO"),"","4212")</f>
        <v/>
      </c>
      <c r="D1866" t="str">
        <f>IF(OR(Registro_Compras!$C$210="",Registro_Compras!$O$210=""),"","Cuentas por Pagar Comerciales - Terceros")</f>
        <v/>
      </c>
      <c r="E1866" s="20" t="str">
        <f>IF($C1866="","",IF(Registro_Compras!$F$210="RHE",(ROUND(Registro_Compras!$L$210*Registro_Compras!$N$210,2)-ROUND(Registro_Compras!$V$210*Registro_Compras!$N$210,2)),ROUND(Registro_Compras!$O$210-Registro_Compras!$S$210,2)))</f>
        <v/>
      </c>
      <c r="F1866" s="20" t="str">
        <f>""</f>
        <v/>
      </c>
      <c r="G1866" t="str">
        <f>IF($C1866="","","Por la cancelacion del saldo al proveedor")</f>
        <v/>
      </c>
      <c r="H1866" t="str">
        <f>IF($C1866="","",Registro_Compras!$C$210)</f>
        <v/>
      </c>
    </row>
    <row r="1867" spans="1:8" x14ac:dyDescent="0.25">
      <c r="A1867" s="25" t="str">
        <f>IF($C1867="","",Registro_Compras!$Y$210)</f>
        <v/>
      </c>
      <c r="B1867" t="str">
        <f>IF($C1867="","","C"&amp;TEXT(INT((ROW()-5)/9)+1,"000")&amp;"-4")</f>
        <v/>
      </c>
      <c r="C1867" t="str">
        <f>IF(OR(Registro_Compras!$C$210="",Registro_Compras!$O$210="",Registro_Compras!$Y$210="",Registro_Compras!$F$210="NOTA DE CREDITO"),"","1041")</f>
        <v/>
      </c>
      <c r="D1867" t="str">
        <f>IF(OR(Registro_Compras!$C$210="",Registro_Compras!$O$210=""),"","Efectivo y Equivalentes - Cta. Cte. Operativa")</f>
        <v/>
      </c>
      <c r="E1867" s="20" t="str">
        <f>""</f>
        <v/>
      </c>
      <c r="F1867" s="20" t="str">
        <f>IF($C1867="","",IF(Registro_Compras!$F$210="RHE",(ROUND(Registro_Compras!$L$210*Registro_Compras!$N$210,2)-ROUND(Registro_Compras!$V$210*Registro_Compras!$N$210,2)),ROUND(Registro_Compras!$O$210-Registro_Compras!$S$210,2)))</f>
        <v/>
      </c>
      <c r="G1867" t="str">
        <f>IF($C1867="","","Por la cancelacion del saldo al proveedor")</f>
        <v/>
      </c>
      <c r="H1867" t="str">
        <f>IF($C1867="","",Registro_Compras!$C$210)</f>
        <v/>
      </c>
    </row>
    <row r="1868" spans="1:8" x14ac:dyDescent="0.25">
      <c r="A1868" s="25" t="str">
        <f>IF($C1868="","",Registro_Compras!$B$211)</f>
        <v/>
      </c>
      <c r="B1868" t="str">
        <f>IF($C1868="","","C"&amp;TEXT(INT((ROW()-5)/9)+1,"000")&amp;"-1")</f>
        <v/>
      </c>
      <c r="C1868" t="str">
        <f>IF(OR(Registro_Compras!$C$211="",Registro_Compras!$O$211=""),"",IF(Registro_Compras!$F$211="NOTA DE CREDITO","4212",IF(Registro_Compras!$M$211="","63",Registro_Compras!$M$211)))</f>
        <v/>
      </c>
      <c r="D1868" t="str">
        <f>IF(OR(Registro_Compras!$C$211="",Registro_Compras!$O$211=""),"",IF(Registro_Compras!$F$211="NOTA DE CREDITO","Cuentas por Pagar Comerciales - Terceros (Emitidas)",IF(Registro_Compras!$F$211="RHE","Honorarios Profesionales - Servicios de Terceros","Gastos de Servicios Prestados por Terceros")))</f>
        <v/>
      </c>
      <c r="E1868" s="20" t="str">
        <f>IF($C1868="","",IF(Registro_Compras!$F$211="NOTA DE CREDITO",ABS(Registro_Compras!$O$211),IF(Registro_Compras!$F$211="RHE",ROUND(Registro_Compras!$L$211*Registro_Compras!$N$211,2),ROUND(Registro_Compras!$J$211*Registro_Compras!$N$211,2))))</f>
        <v/>
      </c>
      <c r="F1868" s="20" t="str">
        <f>""</f>
        <v/>
      </c>
      <c r="G1868" t="str">
        <f>IF($C1868="","",IF(Registro_Compras!$F$211="NOTA DE CREDITO","Por la nota de credito "&amp;Registro_Compras!$C$211&amp;" de "&amp;Registro_Compras!$E$211&amp;" [PATRON POR CONFIRMAR CON CONTADOR]",IF(Registro_Compras!$F$211="RHE","Por el registro del recibo por honorarios "&amp;Registro_Compras!$C$211&amp;" de "&amp;Registro_Compras!$E$211&amp;" [PATRON POR CONFIRMAR CON CONTADOR]","Por el registro de la factura "&amp;Registro_Compras!$C$211&amp;" de "&amp;Registro_Compras!$E$211)))</f>
        <v/>
      </c>
      <c r="H1868" t="str">
        <f>IF($C1868="","",Registro_Compras!$C$211)</f>
        <v/>
      </c>
    </row>
    <row r="1869" spans="1:8" x14ac:dyDescent="0.25">
      <c r="A1869" s="25" t="str">
        <f>IF($C1869="","",Registro_Compras!$B$211)</f>
        <v/>
      </c>
      <c r="B1869" t="str">
        <f>IF($C1869="","","C"&amp;TEXT(INT((ROW()-5)/9)+1,"000")&amp;"-1")</f>
        <v/>
      </c>
      <c r="C1869" t="str">
        <f>IF(OR(Registro_Compras!$C$211="",Registro_Compras!$O$211=""),"",IF(Registro_Compras!$F$211="RHE",IF(Registro_Compras!$V$211=0,"","4017"),IF(Registro_Compras!$F$211="NOTA DE CREDITO",IF(Registro_Compras!$M$211="","63",Registro_Compras!$M$211),IF(Registro_Compras!$K$211=0,"","40111"))))</f>
        <v/>
      </c>
      <c r="D1869" t="str">
        <f>IF(OR(Registro_Compras!$C$211="",Registro_Compras!$O$211=""),"",IF(Registro_Compras!$F$211="RHE","Retencion Renta 4ta Categoria por Pagar",IF(Registro_Compras!$F$211="NOTA DE CREDITO","Gastos de Servicios Prestados por Terceros","IGV - Cuenta Propia (Credito Fiscal)")))</f>
        <v/>
      </c>
      <c r="E1869" s="20" t="str">
        <f>IF($C1869="","",IF(Registro_Compras!$F$211="FACTURA",ROUND(Registro_Compras!$K$211*Registro_Compras!$N$211,2),""))</f>
        <v/>
      </c>
      <c r="F1869" s="20" t="str">
        <f>IF($C1869="","",IF(Registro_Compras!$F$211="RHE",ROUND(Registro_Compras!$V$211*Registro_Compras!$N$211,2),IF(Registro_Compras!$F$211="NOTA DE CREDITO",ROUND(ABS(Registro_Compras!$J$211*Registro_Compras!$N$211),2),"")))</f>
        <v/>
      </c>
      <c r="G1869" t="str">
        <f>IF($C1869="","",IF(Registro_Compras!$F$211="NOTA DE CREDITO","Por la nota de credito "&amp;Registro_Compras!$C$211&amp;" de "&amp;Registro_Compras!$E$211&amp;" [PATRON POR CONFIRMAR CON CONTADOR]",IF(Registro_Compras!$F$211="RHE","Por el registro del recibo por honorarios "&amp;Registro_Compras!$C$211&amp;" de "&amp;Registro_Compras!$E$211&amp;" [PATRON POR CONFIRMAR CON CONTADOR]","Por el registro de la factura "&amp;Registro_Compras!$C$211&amp;" de "&amp;Registro_Compras!$E$211)))</f>
        <v/>
      </c>
      <c r="H1869" t="str">
        <f>IF($C1869="","",Registro_Compras!$C$211)</f>
        <v/>
      </c>
    </row>
    <row r="1870" spans="1:8" x14ac:dyDescent="0.25">
      <c r="A1870" s="25" t="str">
        <f>IF($C1870="","",Registro_Compras!$B$211)</f>
        <v/>
      </c>
      <c r="B1870" t="str">
        <f>IF($C1870="","","C"&amp;TEXT(INT((ROW()-5)/9)+1,"000")&amp;"-1")</f>
        <v/>
      </c>
      <c r="C1870" t="str">
        <f>IF(OR(Registro_Compras!$C$211="",Registro_Compras!$O$211=""),"",IF(Registro_Compras!$F$211="NOTA DE CREDITO",IF(Registro_Compras!$K$211=0,"","40111"),"4212"))</f>
        <v/>
      </c>
      <c r="D1870" t="str">
        <f>IF(OR(Registro_Compras!$C$211="",Registro_Compras!$O$211=""),"",IF(Registro_Compras!$F$211="NOTA DE CREDITO","IGV - Cuenta Propia (Credito Fiscal)","Cuentas por Pagar Comerciales - Terceros (Emitidas)"))</f>
        <v/>
      </c>
      <c r="E1870" s="20" t="str">
        <f>""</f>
        <v/>
      </c>
      <c r="F1870" s="20" t="str">
        <f>IF($C1870="","",IF(Registro_Compras!$F$211="NOTA DE CREDITO",ROUND(ABS(Registro_Compras!$K$211*Registro_Compras!$N$211),2),IF(Registro_Compras!$F$211="RHE",(ROUND(Registro_Compras!$L$211*Registro_Compras!$N$211,2)-ROUND(Registro_Compras!$V$211*Registro_Compras!$N$211,2)),Registro_Compras!$O$211)))</f>
        <v/>
      </c>
      <c r="G1870" t="str">
        <f>IF($C1870="","",IF(Registro_Compras!$F$211="NOTA DE CREDITO","Por la nota de credito "&amp;Registro_Compras!$C$211&amp;" de "&amp;Registro_Compras!$E$211&amp;" [PATRON POR CONFIRMAR CON CONTADOR]",IF(Registro_Compras!$F$211="RHE","Por el registro del recibo por honorarios "&amp;Registro_Compras!$C$211&amp;" de "&amp;Registro_Compras!$E$211&amp;" [PATRON POR CONFIRMAR CON CONTADOR]","Por el registro de la factura "&amp;Registro_Compras!$C$211&amp;" de "&amp;Registro_Compras!$E$211)))</f>
        <v/>
      </c>
      <c r="H1870" t="str">
        <f>IF($C1870="","",Registro_Compras!$C$211)</f>
        <v/>
      </c>
    </row>
    <row r="1871" spans="1:8" x14ac:dyDescent="0.25">
      <c r="A1871" s="25" t="str">
        <f>IF($C1871="","",Registro_Compras!$B$211)</f>
        <v/>
      </c>
      <c r="B1871" t="str">
        <f>IF($C1871="","","C"&amp;TEXT(INT((ROW()-5)/9)+1,"000")&amp;"-2")</f>
        <v/>
      </c>
      <c r="C1871" t="str">
        <f>IF(OR(Registro_Compras!$C$211="",Registro_Compras!$O$211=""),"",IF(Registro_Compras!$AB$211="ADMINISTRATIVO","94","95"))</f>
        <v/>
      </c>
      <c r="D1871" t="str">
        <f>IF(OR(Registro_Compras!$C$211="",Registro_Compras!$O$211=""),"",IF(Registro_Compras!$AB$211="ADMINISTRATIVO","Gastos Administrativos","Gastos de Venta y Operacion"))</f>
        <v/>
      </c>
      <c r="E1871" s="20" t="str">
        <f>IF($C1871="","",IF(Registro_Compras!$F$211="NOTA DE CREDITO","",IF(Registro_Compras!$F$211="RHE",ROUND(Registro_Compras!$L$211*Registro_Compras!$N$211,2),ROUND(Registro_Compras!$J$211*Registro_Compras!$N$211,2))))</f>
        <v/>
      </c>
      <c r="F1871" s="20" t="str">
        <f>IF($C1871="","",IF(Registro_Compras!$F$211="NOTA DE CREDITO",ROUND(ABS(Registro_Compras!$J$211*Registro_Compras!$N$211),2),""))</f>
        <v/>
      </c>
      <c r="G1871" t="str">
        <f>IF($C1871="","","Por el destino del gasto")</f>
        <v/>
      </c>
      <c r="H1871" t="str">
        <f>IF($C1871="","",Registro_Compras!$C$211)</f>
        <v/>
      </c>
    </row>
    <row r="1872" spans="1:8" x14ac:dyDescent="0.25">
      <c r="A1872" s="25" t="str">
        <f>IF($C1872="","",Registro_Compras!$B$211)</f>
        <v/>
      </c>
      <c r="B1872" t="str">
        <f>IF($C1872="","","C"&amp;TEXT(INT((ROW()-5)/9)+1,"000")&amp;"-2")</f>
        <v/>
      </c>
      <c r="C1872" t="str">
        <f>IF(OR(Registro_Compras!$C$211="",Registro_Compras!$O$211=""),"","79/791")</f>
        <v/>
      </c>
      <c r="D1872" t="str">
        <f>IF(OR(Registro_Compras!$C$211="",Registro_Compras!$O$211=""),"","Cargas Imputables a Cuentas de Costos y Gastos")</f>
        <v/>
      </c>
      <c r="E1872" s="20" t="str">
        <f>IF($C1872="","",IF(Registro_Compras!$F$211="NOTA DE CREDITO",ROUND(ABS(Registro_Compras!$J$211*Registro_Compras!$N$211),2),""))</f>
        <v/>
      </c>
      <c r="F1872" s="20" t="str">
        <f>IF($C1872="","",IF(Registro_Compras!$F$211="NOTA DE CREDITO","",IF(Registro_Compras!$F$211="RHE",ROUND(Registro_Compras!$L$211*Registro_Compras!$N$211,2),ROUND(Registro_Compras!$J$211*Registro_Compras!$N$211,2))))</f>
        <v/>
      </c>
      <c r="G1872" t="str">
        <f>IF($C1872="","","Por el destino del gasto")</f>
        <v/>
      </c>
      <c r="H1872" t="str">
        <f>IF($C1872="","",Registro_Compras!$C$211)</f>
        <v/>
      </c>
    </row>
    <row r="1873" spans="1:8" x14ac:dyDescent="0.25">
      <c r="A1873" s="25" t="str">
        <f>IF($C1873="","",Registro_Compras!$X$211)</f>
        <v/>
      </c>
      <c r="B1873" t="str">
        <f>IF($C1873="","","C"&amp;TEXT(INT((ROW()-5)/9)+1,"000")&amp;"-3")</f>
        <v/>
      </c>
      <c r="C1873" t="str">
        <f>IF(OR(Registro_Compras!$C$211="",Registro_Compras!$O$211="",Registro_Compras!$R$211&lt;&gt;"SI",Registro_Compras!$X$211=""),"","4212")</f>
        <v/>
      </c>
      <c r="D1873" t="str">
        <f>IF(OR(Registro_Compras!$C$211="",Registro_Compras!$O$211=""),"","Cuentas por Pagar Comerciales - Terceros")</f>
        <v/>
      </c>
      <c r="E1873" s="20" t="str">
        <f>IF($C1873="","",Registro_Compras!$S$211)</f>
        <v/>
      </c>
      <c r="F1873" s="20" t="str">
        <f>""</f>
        <v/>
      </c>
      <c r="G1873" t="str">
        <f>IF($C1873="","","Por el deposito de la detraccion en el Banco de la Nacion")</f>
        <v/>
      </c>
      <c r="H1873" t="str">
        <f>IF($C1873="","",Registro_Compras!$C$211)</f>
        <v/>
      </c>
    </row>
    <row r="1874" spans="1:8" x14ac:dyDescent="0.25">
      <c r="A1874" s="25" t="str">
        <f>IF($C1874="","",Registro_Compras!$X$211)</f>
        <v/>
      </c>
      <c r="B1874" t="str">
        <f>IF($C1874="","","C"&amp;TEXT(INT((ROW()-5)/9)+1,"000")&amp;"-3")</f>
        <v/>
      </c>
      <c r="C1874" t="str">
        <f>IF(OR(Registro_Compras!$C$211="",Registro_Compras!$O$211="",Registro_Compras!$R$211&lt;&gt;"SI",Registro_Compras!$X$211=""),"","1041")</f>
        <v/>
      </c>
      <c r="D1874" t="str">
        <f>IF(OR(Registro_Compras!$C$211="",Registro_Compras!$O$211=""),"","Efectivo y Equivalentes - Cta. Cte. Operativa")</f>
        <v/>
      </c>
      <c r="E1874" s="20" t="str">
        <f>""</f>
        <v/>
      </c>
      <c r="F1874" s="20" t="str">
        <f>IF($C1874="","",Registro_Compras!$S$211)</f>
        <v/>
      </c>
      <c r="G1874" t="str">
        <f>IF($C1874="","","Por el deposito de la detraccion en el Banco de la Nacion")</f>
        <v/>
      </c>
      <c r="H1874" t="str">
        <f>IF($C1874="","",Registro_Compras!$C$211)</f>
        <v/>
      </c>
    </row>
    <row r="1875" spans="1:8" x14ac:dyDescent="0.25">
      <c r="A1875" s="25" t="str">
        <f>IF($C1875="","",Registro_Compras!$Y$211)</f>
        <v/>
      </c>
      <c r="B1875" t="str">
        <f>IF($C1875="","","C"&amp;TEXT(INT((ROW()-5)/9)+1,"000")&amp;"-4")</f>
        <v/>
      </c>
      <c r="C1875" t="str">
        <f>IF(OR(Registro_Compras!$C$211="",Registro_Compras!$O$211="",Registro_Compras!$Y$211="",Registro_Compras!$F$211="NOTA DE CREDITO"),"","4212")</f>
        <v/>
      </c>
      <c r="D1875" t="str">
        <f>IF(OR(Registro_Compras!$C$211="",Registro_Compras!$O$211=""),"","Cuentas por Pagar Comerciales - Terceros")</f>
        <v/>
      </c>
      <c r="E1875" s="20" t="str">
        <f>IF($C1875="","",IF(Registro_Compras!$F$211="RHE",(ROUND(Registro_Compras!$L$211*Registro_Compras!$N$211,2)-ROUND(Registro_Compras!$V$211*Registro_Compras!$N$211,2)),ROUND(Registro_Compras!$O$211-Registro_Compras!$S$211,2)))</f>
        <v/>
      </c>
      <c r="F1875" s="20" t="str">
        <f>""</f>
        <v/>
      </c>
      <c r="G1875" t="str">
        <f>IF($C1875="","","Por la cancelacion del saldo al proveedor")</f>
        <v/>
      </c>
      <c r="H1875" t="str">
        <f>IF($C1875="","",Registro_Compras!$C$211)</f>
        <v/>
      </c>
    </row>
    <row r="1876" spans="1:8" x14ac:dyDescent="0.25">
      <c r="A1876" s="25" t="str">
        <f>IF($C1876="","",Registro_Compras!$Y$211)</f>
        <v/>
      </c>
      <c r="B1876" t="str">
        <f>IF($C1876="","","C"&amp;TEXT(INT((ROW()-5)/9)+1,"000")&amp;"-4")</f>
        <v/>
      </c>
      <c r="C1876" t="str">
        <f>IF(OR(Registro_Compras!$C$211="",Registro_Compras!$O$211="",Registro_Compras!$Y$211="",Registro_Compras!$F$211="NOTA DE CREDITO"),"","1041")</f>
        <v/>
      </c>
      <c r="D1876" t="str">
        <f>IF(OR(Registro_Compras!$C$211="",Registro_Compras!$O$211=""),"","Efectivo y Equivalentes - Cta. Cte. Operativa")</f>
        <v/>
      </c>
      <c r="E1876" s="20" t="str">
        <f>""</f>
        <v/>
      </c>
      <c r="F1876" s="20" t="str">
        <f>IF($C1876="","",IF(Registro_Compras!$F$211="RHE",(ROUND(Registro_Compras!$L$211*Registro_Compras!$N$211,2)-ROUND(Registro_Compras!$V$211*Registro_Compras!$N$211,2)),ROUND(Registro_Compras!$O$211-Registro_Compras!$S$211,2)))</f>
        <v/>
      </c>
      <c r="G1876" t="str">
        <f>IF($C1876="","","Por la cancelacion del saldo al proveedor")</f>
        <v/>
      </c>
      <c r="H1876" t="str">
        <f>IF($C1876="","",Registro_Compras!$C$211)</f>
        <v/>
      </c>
    </row>
    <row r="1877" spans="1:8" x14ac:dyDescent="0.25">
      <c r="A1877" s="25" t="str">
        <f>IF($C1877="","",Registro_Compras!$B$212)</f>
        <v/>
      </c>
      <c r="B1877" t="str">
        <f>IF($C1877="","","C"&amp;TEXT(INT((ROW()-5)/9)+1,"000")&amp;"-1")</f>
        <v/>
      </c>
      <c r="C1877" t="str">
        <f>IF(OR(Registro_Compras!$C$212="",Registro_Compras!$O$212=""),"",IF(Registro_Compras!$F$212="NOTA DE CREDITO","4212",IF(Registro_Compras!$M$212="","63",Registro_Compras!$M$212)))</f>
        <v/>
      </c>
      <c r="D1877" t="str">
        <f>IF(OR(Registro_Compras!$C$212="",Registro_Compras!$O$212=""),"",IF(Registro_Compras!$F$212="NOTA DE CREDITO","Cuentas por Pagar Comerciales - Terceros (Emitidas)",IF(Registro_Compras!$F$212="RHE","Honorarios Profesionales - Servicios de Terceros","Gastos de Servicios Prestados por Terceros")))</f>
        <v/>
      </c>
      <c r="E1877" s="20" t="str">
        <f>IF($C1877="","",IF(Registro_Compras!$F$212="NOTA DE CREDITO",ABS(Registro_Compras!$O$212),IF(Registro_Compras!$F$212="RHE",ROUND(Registro_Compras!$L$212*Registro_Compras!$N$212,2),ROUND(Registro_Compras!$J$212*Registro_Compras!$N$212,2))))</f>
        <v/>
      </c>
      <c r="F1877" s="20" t="str">
        <f>""</f>
        <v/>
      </c>
      <c r="G1877" t="str">
        <f>IF($C1877="","",IF(Registro_Compras!$F$212="NOTA DE CREDITO","Por la nota de credito "&amp;Registro_Compras!$C$212&amp;" de "&amp;Registro_Compras!$E$212&amp;" [PATRON POR CONFIRMAR CON CONTADOR]",IF(Registro_Compras!$F$212="RHE","Por el registro del recibo por honorarios "&amp;Registro_Compras!$C$212&amp;" de "&amp;Registro_Compras!$E$212&amp;" [PATRON POR CONFIRMAR CON CONTADOR]","Por el registro de la factura "&amp;Registro_Compras!$C$212&amp;" de "&amp;Registro_Compras!$E$212)))</f>
        <v/>
      </c>
      <c r="H1877" t="str">
        <f>IF($C1877="","",Registro_Compras!$C$212)</f>
        <v/>
      </c>
    </row>
    <row r="1878" spans="1:8" x14ac:dyDescent="0.25">
      <c r="A1878" s="25" t="str">
        <f>IF($C1878="","",Registro_Compras!$B$212)</f>
        <v/>
      </c>
      <c r="B1878" t="str">
        <f>IF($C1878="","","C"&amp;TEXT(INT((ROW()-5)/9)+1,"000")&amp;"-1")</f>
        <v/>
      </c>
      <c r="C1878" t="str">
        <f>IF(OR(Registro_Compras!$C$212="",Registro_Compras!$O$212=""),"",IF(Registro_Compras!$F$212="RHE",IF(Registro_Compras!$V$212=0,"","4017"),IF(Registro_Compras!$F$212="NOTA DE CREDITO",IF(Registro_Compras!$M$212="","63",Registro_Compras!$M$212),IF(Registro_Compras!$K$212=0,"","40111"))))</f>
        <v/>
      </c>
      <c r="D1878" t="str">
        <f>IF(OR(Registro_Compras!$C$212="",Registro_Compras!$O$212=""),"",IF(Registro_Compras!$F$212="RHE","Retencion Renta 4ta Categoria por Pagar",IF(Registro_Compras!$F$212="NOTA DE CREDITO","Gastos de Servicios Prestados por Terceros","IGV - Cuenta Propia (Credito Fiscal)")))</f>
        <v/>
      </c>
      <c r="E1878" s="20" t="str">
        <f>IF($C1878="","",IF(Registro_Compras!$F$212="FACTURA",ROUND(Registro_Compras!$K$212*Registro_Compras!$N$212,2),""))</f>
        <v/>
      </c>
      <c r="F1878" s="20" t="str">
        <f>IF($C1878="","",IF(Registro_Compras!$F$212="RHE",ROUND(Registro_Compras!$V$212*Registro_Compras!$N$212,2),IF(Registro_Compras!$F$212="NOTA DE CREDITO",ROUND(ABS(Registro_Compras!$J$212*Registro_Compras!$N$212),2),"")))</f>
        <v/>
      </c>
      <c r="G1878" t="str">
        <f>IF($C1878="","",IF(Registro_Compras!$F$212="NOTA DE CREDITO","Por la nota de credito "&amp;Registro_Compras!$C$212&amp;" de "&amp;Registro_Compras!$E$212&amp;" [PATRON POR CONFIRMAR CON CONTADOR]",IF(Registro_Compras!$F$212="RHE","Por el registro del recibo por honorarios "&amp;Registro_Compras!$C$212&amp;" de "&amp;Registro_Compras!$E$212&amp;" [PATRON POR CONFIRMAR CON CONTADOR]","Por el registro de la factura "&amp;Registro_Compras!$C$212&amp;" de "&amp;Registro_Compras!$E$212)))</f>
        <v/>
      </c>
      <c r="H1878" t="str">
        <f>IF($C1878="","",Registro_Compras!$C$212)</f>
        <v/>
      </c>
    </row>
    <row r="1879" spans="1:8" x14ac:dyDescent="0.25">
      <c r="A1879" s="25" t="str">
        <f>IF($C1879="","",Registro_Compras!$B$212)</f>
        <v/>
      </c>
      <c r="B1879" t="str">
        <f>IF($C1879="","","C"&amp;TEXT(INT((ROW()-5)/9)+1,"000")&amp;"-1")</f>
        <v/>
      </c>
      <c r="C1879" t="str">
        <f>IF(OR(Registro_Compras!$C$212="",Registro_Compras!$O$212=""),"",IF(Registro_Compras!$F$212="NOTA DE CREDITO",IF(Registro_Compras!$K$212=0,"","40111"),"4212"))</f>
        <v/>
      </c>
      <c r="D1879" t="str">
        <f>IF(OR(Registro_Compras!$C$212="",Registro_Compras!$O$212=""),"",IF(Registro_Compras!$F$212="NOTA DE CREDITO","IGV - Cuenta Propia (Credito Fiscal)","Cuentas por Pagar Comerciales - Terceros (Emitidas)"))</f>
        <v/>
      </c>
      <c r="E1879" s="20" t="str">
        <f>""</f>
        <v/>
      </c>
      <c r="F1879" s="20" t="str">
        <f>IF($C1879="","",IF(Registro_Compras!$F$212="NOTA DE CREDITO",ROUND(ABS(Registro_Compras!$K$212*Registro_Compras!$N$212),2),IF(Registro_Compras!$F$212="RHE",(ROUND(Registro_Compras!$L$212*Registro_Compras!$N$212,2)-ROUND(Registro_Compras!$V$212*Registro_Compras!$N$212,2)),Registro_Compras!$O$212)))</f>
        <v/>
      </c>
      <c r="G1879" t="str">
        <f>IF($C1879="","",IF(Registro_Compras!$F$212="NOTA DE CREDITO","Por la nota de credito "&amp;Registro_Compras!$C$212&amp;" de "&amp;Registro_Compras!$E$212&amp;" [PATRON POR CONFIRMAR CON CONTADOR]",IF(Registro_Compras!$F$212="RHE","Por el registro del recibo por honorarios "&amp;Registro_Compras!$C$212&amp;" de "&amp;Registro_Compras!$E$212&amp;" [PATRON POR CONFIRMAR CON CONTADOR]","Por el registro de la factura "&amp;Registro_Compras!$C$212&amp;" de "&amp;Registro_Compras!$E$212)))</f>
        <v/>
      </c>
      <c r="H1879" t="str">
        <f>IF($C1879="","",Registro_Compras!$C$212)</f>
        <v/>
      </c>
    </row>
    <row r="1880" spans="1:8" x14ac:dyDescent="0.25">
      <c r="A1880" s="25" t="str">
        <f>IF($C1880="","",Registro_Compras!$B$212)</f>
        <v/>
      </c>
      <c r="B1880" t="str">
        <f>IF($C1880="","","C"&amp;TEXT(INT((ROW()-5)/9)+1,"000")&amp;"-2")</f>
        <v/>
      </c>
      <c r="C1880" t="str">
        <f>IF(OR(Registro_Compras!$C$212="",Registro_Compras!$O$212=""),"",IF(Registro_Compras!$AB$212="ADMINISTRATIVO","94","95"))</f>
        <v/>
      </c>
      <c r="D1880" t="str">
        <f>IF(OR(Registro_Compras!$C$212="",Registro_Compras!$O$212=""),"",IF(Registro_Compras!$AB$212="ADMINISTRATIVO","Gastos Administrativos","Gastos de Venta y Operacion"))</f>
        <v/>
      </c>
      <c r="E1880" s="20" t="str">
        <f>IF($C1880="","",IF(Registro_Compras!$F$212="NOTA DE CREDITO","",IF(Registro_Compras!$F$212="RHE",ROUND(Registro_Compras!$L$212*Registro_Compras!$N$212,2),ROUND(Registro_Compras!$J$212*Registro_Compras!$N$212,2))))</f>
        <v/>
      </c>
      <c r="F1880" s="20" t="str">
        <f>IF($C1880="","",IF(Registro_Compras!$F$212="NOTA DE CREDITO",ROUND(ABS(Registro_Compras!$J$212*Registro_Compras!$N$212),2),""))</f>
        <v/>
      </c>
      <c r="G1880" t="str">
        <f>IF($C1880="","","Por el destino del gasto")</f>
        <v/>
      </c>
      <c r="H1880" t="str">
        <f>IF($C1880="","",Registro_Compras!$C$212)</f>
        <v/>
      </c>
    </row>
    <row r="1881" spans="1:8" x14ac:dyDescent="0.25">
      <c r="A1881" s="25" t="str">
        <f>IF($C1881="","",Registro_Compras!$B$212)</f>
        <v/>
      </c>
      <c r="B1881" t="str">
        <f>IF($C1881="","","C"&amp;TEXT(INT((ROW()-5)/9)+1,"000")&amp;"-2")</f>
        <v/>
      </c>
      <c r="C1881" t="str">
        <f>IF(OR(Registro_Compras!$C$212="",Registro_Compras!$O$212=""),"","79/791")</f>
        <v/>
      </c>
      <c r="D1881" t="str">
        <f>IF(OR(Registro_Compras!$C$212="",Registro_Compras!$O$212=""),"","Cargas Imputables a Cuentas de Costos y Gastos")</f>
        <v/>
      </c>
      <c r="E1881" s="20" t="str">
        <f>IF($C1881="","",IF(Registro_Compras!$F$212="NOTA DE CREDITO",ROUND(ABS(Registro_Compras!$J$212*Registro_Compras!$N$212),2),""))</f>
        <v/>
      </c>
      <c r="F1881" s="20" t="str">
        <f>IF($C1881="","",IF(Registro_Compras!$F$212="NOTA DE CREDITO","",IF(Registro_Compras!$F$212="RHE",ROUND(Registro_Compras!$L$212*Registro_Compras!$N$212,2),ROUND(Registro_Compras!$J$212*Registro_Compras!$N$212,2))))</f>
        <v/>
      </c>
      <c r="G1881" t="str">
        <f>IF($C1881="","","Por el destino del gasto")</f>
        <v/>
      </c>
      <c r="H1881" t="str">
        <f>IF($C1881="","",Registro_Compras!$C$212)</f>
        <v/>
      </c>
    </row>
    <row r="1882" spans="1:8" x14ac:dyDescent="0.25">
      <c r="A1882" s="25" t="str">
        <f>IF($C1882="","",Registro_Compras!$X$212)</f>
        <v/>
      </c>
      <c r="B1882" t="str">
        <f>IF($C1882="","","C"&amp;TEXT(INT((ROW()-5)/9)+1,"000")&amp;"-3")</f>
        <v/>
      </c>
      <c r="C1882" t="str">
        <f>IF(OR(Registro_Compras!$C$212="",Registro_Compras!$O$212="",Registro_Compras!$R$212&lt;&gt;"SI",Registro_Compras!$X$212=""),"","4212")</f>
        <v/>
      </c>
      <c r="D1882" t="str">
        <f>IF(OR(Registro_Compras!$C$212="",Registro_Compras!$O$212=""),"","Cuentas por Pagar Comerciales - Terceros")</f>
        <v/>
      </c>
      <c r="E1882" s="20" t="str">
        <f>IF($C1882="","",Registro_Compras!$S$212)</f>
        <v/>
      </c>
      <c r="F1882" s="20" t="str">
        <f>""</f>
        <v/>
      </c>
      <c r="G1882" t="str">
        <f>IF($C1882="","","Por el deposito de la detraccion en el Banco de la Nacion")</f>
        <v/>
      </c>
      <c r="H1882" t="str">
        <f>IF($C1882="","",Registro_Compras!$C$212)</f>
        <v/>
      </c>
    </row>
    <row r="1883" spans="1:8" x14ac:dyDescent="0.25">
      <c r="A1883" s="25" t="str">
        <f>IF($C1883="","",Registro_Compras!$X$212)</f>
        <v/>
      </c>
      <c r="B1883" t="str">
        <f>IF($C1883="","","C"&amp;TEXT(INT((ROW()-5)/9)+1,"000")&amp;"-3")</f>
        <v/>
      </c>
      <c r="C1883" t="str">
        <f>IF(OR(Registro_Compras!$C$212="",Registro_Compras!$O$212="",Registro_Compras!$R$212&lt;&gt;"SI",Registro_Compras!$X$212=""),"","1041")</f>
        <v/>
      </c>
      <c r="D1883" t="str">
        <f>IF(OR(Registro_Compras!$C$212="",Registro_Compras!$O$212=""),"","Efectivo y Equivalentes - Cta. Cte. Operativa")</f>
        <v/>
      </c>
      <c r="E1883" s="20" t="str">
        <f>""</f>
        <v/>
      </c>
      <c r="F1883" s="20" t="str">
        <f>IF($C1883="","",Registro_Compras!$S$212)</f>
        <v/>
      </c>
      <c r="G1883" t="str">
        <f>IF($C1883="","","Por el deposito de la detraccion en el Banco de la Nacion")</f>
        <v/>
      </c>
      <c r="H1883" t="str">
        <f>IF($C1883="","",Registro_Compras!$C$212)</f>
        <v/>
      </c>
    </row>
    <row r="1884" spans="1:8" x14ac:dyDescent="0.25">
      <c r="A1884" s="25" t="str">
        <f>IF($C1884="","",Registro_Compras!$Y$212)</f>
        <v/>
      </c>
      <c r="B1884" t="str">
        <f>IF($C1884="","","C"&amp;TEXT(INT((ROW()-5)/9)+1,"000")&amp;"-4")</f>
        <v/>
      </c>
      <c r="C1884" t="str">
        <f>IF(OR(Registro_Compras!$C$212="",Registro_Compras!$O$212="",Registro_Compras!$Y$212="",Registro_Compras!$F$212="NOTA DE CREDITO"),"","4212")</f>
        <v/>
      </c>
      <c r="D1884" t="str">
        <f>IF(OR(Registro_Compras!$C$212="",Registro_Compras!$O$212=""),"","Cuentas por Pagar Comerciales - Terceros")</f>
        <v/>
      </c>
      <c r="E1884" s="20" t="str">
        <f>IF($C1884="","",IF(Registro_Compras!$F$212="RHE",(ROUND(Registro_Compras!$L$212*Registro_Compras!$N$212,2)-ROUND(Registro_Compras!$V$212*Registro_Compras!$N$212,2)),ROUND(Registro_Compras!$O$212-Registro_Compras!$S$212,2)))</f>
        <v/>
      </c>
      <c r="F1884" s="20" t="str">
        <f>""</f>
        <v/>
      </c>
      <c r="G1884" t="str">
        <f>IF($C1884="","","Por la cancelacion del saldo al proveedor")</f>
        <v/>
      </c>
      <c r="H1884" t="str">
        <f>IF($C1884="","",Registro_Compras!$C$212)</f>
        <v/>
      </c>
    </row>
    <row r="1885" spans="1:8" x14ac:dyDescent="0.25">
      <c r="A1885" s="25" t="str">
        <f>IF($C1885="","",Registro_Compras!$Y$212)</f>
        <v/>
      </c>
      <c r="B1885" t="str">
        <f>IF($C1885="","","C"&amp;TEXT(INT((ROW()-5)/9)+1,"000")&amp;"-4")</f>
        <v/>
      </c>
      <c r="C1885" t="str">
        <f>IF(OR(Registro_Compras!$C$212="",Registro_Compras!$O$212="",Registro_Compras!$Y$212="",Registro_Compras!$F$212="NOTA DE CREDITO"),"","1041")</f>
        <v/>
      </c>
      <c r="D1885" t="str">
        <f>IF(OR(Registro_Compras!$C$212="",Registro_Compras!$O$212=""),"","Efectivo y Equivalentes - Cta. Cte. Operativa")</f>
        <v/>
      </c>
      <c r="E1885" s="20" t="str">
        <f>""</f>
        <v/>
      </c>
      <c r="F1885" s="20" t="str">
        <f>IF($C1885="","",IF(Registro_Compras!$F$212="RHE",(ROUND(Registro_Compras!$L$212*Registro_Compras!$N$212,2)-ROUND(Registro_Compras!$V$212*Registro_Compras!$N$212,2)),ROUND(Registro_Compras!$O$212-Registro_Compras!$S$212,2)))</f>
        <v/>
      </c>
      <c r="G1885" t="str">
        <f>IF($C1885="","","Por la cancelacion del saldo al proveedor")</f>
        <v/>
      </c>
      <c r="H1885" t="str">
        <f>IF($C1885="","",Registro_Compras!$C$212)</f>
        <v/>
      </c>
    </row>
    <row r="1886" spans="1:8" x14ac:dyDescent="0.25">
      <c r="A1886" s="25" t="str">
        <f>IF($C1886="","",Registro_Compras!$B$213)</f>
        <v/>
      </c>
      <c r="B1886" t="str">
        <f>IF($C1886="","","C"&amp;TEXT(INT((ROW()-5)/9)+1,"000")&amp;"-1")</f>
        <v/>
      </c>
      <c r="C1886" t="str">
        <f>IF(OR(Registro_Compras!$C$213="",Registro_Compras!$O$213=""),"",IF(Registro_Compras!$F$213="NOTA DE CREDITO","4212",IF(Registro_Compras!$M$213="","63",Registro_Compras!$M$213)))</f>
        <v/>
      </c>
      <c r="D1886" t="str">
        <f>IF(OR(Registro_Compras!$C$213="",Registro_Compras!$O$213=""),"",IF(Registro_Compras!$F$213="NOTA DE CREDITO","Cuentas por Pagar Comerciales - Terceros (Emitidas)",IF(Registro_Compras!$F$213="RHE","Honorarios Profesionales - Servicios de Terceros","Gastos de Servicios Prestados por Terceros")))</f>
        <v/>
      </c>
      <c r="E1886" s="20" t="str">
        <f>IF($C1886="","",IF(Registro_Compras!$F$213="NOTA DE CREDITO",ABS(Registro_Compras!$O$213),IF(Registro_Compras!$F$213="RHE",ROUND(Registro_Compras!$L$213*Registro_Compras!$N$213,2),ROUND(Registro_Compras!$J$213*Registro_Compras!$N$213,2))))</f>
        <v/>
      </c>
      <c r="F1886" s="20" t="str">
        <f>""</f>
        <v/>
      </c>
      <c r="G1886" t="str">
        <f>IF($C1886="","",IF(Registro_Compras!$F$213="NOTA DE CREDITO","Por la nota de credito "&amp;Registro_Compras!$C$213&amp;" de "&amp;Registro_Compras!$E$213&amp;" [PATRON POR CONFIRMAR CON CONTADOR]",IF(Registro_Compras!$F$213="RHE","Por el registro del recibo por honorarios "&amp;Registro_Compras!$C$213&amp;" de "&amp;Registro_Compras!$E$213&amp;" [PATRON POR CONFIRMAR CON CONTADOR]","Por el registro de la factura "&amp;Registro_Compras!$C$213&amp;" de "&amp;Registro_Compras!$E$213)))</f>
        <v/>
      </c>
      <c r="H1886" t="str">
        <f>IF($C1886="","",Registro_Compras!$C$213)</f>
        <v/>
      </c>
    </row>
    <row r="1887" spans="1:8" x14ac:dyDescent="0.25">
      <c r="A1887" s="25" t="str">
        <f>IF($C1887="","",Registro_Compras!$B$213)</f>
        <v/>
      </c>
      <c r="B1887" t="str">
        <f>IF($C1887="","","C"&amp;TEXT(INT((ROW()-5)/9)+1,"000")&amp;"-1")</f>
        <v/>
      </c>
      <c r="C1887" t="str">
        <f>IF(OR(Registro_Compras!$C$213="",Registro_Compras!$O$213=""),"",IF(Registro_Compras!$F$213="RHE",IF(Registro_Compras!$V$213=0,"","4017"),IF(Registro_Compras!$F$213="NOTA DE CREDITO",IF(Registro_Compras!$M$213="","63",Registro_Compras!$M$213),IF(Registro_Compras!$K$213=0,"","40111"))))</f>
        <v/>
      </c>
      <c r="D1887" t="str">
        <f>IF(OR(Registro_Compras!$C$213="",Registro_Compras!$O$213=""),"",IF(Registro_Compras!$F$213="RHE","Retencion Renta 4ta Categoria por Pagar",IF(Registro_Compras!$F$213="NOTA DE CREDITO","Gastos de Servicios Prestados por Terceros","IGV - Cuenta Propia (Credito Fiscal)")))</f>
        <v/>
      </c>
      <c r="E1887" s="20" t="str">
        <f>IF($C1887="","",IF(Registro_Compras!$F$213="FACTURA",ROUND(Registro_Compras!$K$213*Registro_Compras!$N$213,2),""))</f>
        <v/>
      </c>
      <c r="F1887" s="20" t="str">
        <f>IF($C1887="","",IF(Registro_Compras!$F$213="RHE",ROUND(Registro_Compras!$V$213*Registro_Compras!$N$213,2),IF(Registro_Compras!$F$213="NOTA DE CREDITO",ROUND(ABS(Registro_Compras!$J$213*Registro_Compras!$N$213),2),"")))</f>
        <v/>
      </c>
      <c r="G1887" t="str">
        <f>IF($C1887="","",IF(Registro_Compras!$F$213="NOTA DE CREDITO","Por la nota de credito "&amp;Registro_Compras!$C$213&amp;" de "&amp;Registro_Compras!$E$213&amp;" [PATRON POR CONFIRMAR CON CONTADOR]",IF(Registro_Compras!$F$213="RHE","Por el registro del recibo por honorarios "&amp;Registro_Compras!$C$213&amp;" de "&amp;Registro_Compras!$E$213&amp;" [PATRON POR CONFIRMAR CON CONTADOR]","Por el registro de la factura "&amp;Registro_Compras!$C$213&amp;" de "&amp;Registro_Compras!$E$213)))</f>
        <v/>
      </c>
      <c r="H1887" t="str">
        <f>IF($C1887="","",Registro_Compras!$C$213)</f>
        <v/>
      </c>
    </row>
    <row r="1888" spans="1:8" x14ac:dyDescent="0.25">
      <c r="A1888" s="25" t="str">
        <f>IF($C1888="","",Registro_Compras!$B$213)</f>
        <v/>
      </c>
      <c r="B1888" t="str">
        <f>IF($C1888="","","C"&amp;TEXT(INT((ROW()-5)/9)+1,"000")&amp;"-1")</f>
        <v/>
      </c>
      <c r="C1888" t="str">
        <f>IF(OR(Registro_Compras!$C$213="",Registro_Compras!$O$213=""),"",IF(Registro_Compras!$F$213="NOTA DE CREDITO",IF(Registro_Compras!$K$213=0,"","40111"),"4212"))</f>
        <v/>
      </c>
      <c r="D1888" t="str">
        <f>IF(OR(Registro_Compras!$C$213="",Registro_Compras!$O$213=""),"",IF(Registro_Compras!$F$213="NOTA DE CREDITO","IGV - Cuenta Propia (Credito Fiscal)","Cuentas por Pagar Comerciales - Terceros (Emitidas)"))</f>
        <v/>
      </c>
      <c r="E1888" s="20" t="str">
        <f>""</f>
        <v/>
      </c>
      <c r="F1888" s="20" t="str">
        <f>IF($C1888="","",IF(Registro_Compras!$F$213="NOTA DE CREDITO",ROUND(ABS(Registro_Compras!$K$213*Registro_Compras!$N$213),2),IF(Registro_Compras!$F$213="RHE",(ROUND(Registro_Compras!$L$213*Registro_Compras!$N$213,2)-ROUND(Registro_Compras!$V$213*Registro_Compras!$N$213,2)),Registro_Compras!$O$213)))</f>
        <v/>
      </c>
      <c r="G1888" t="str">
        <f>IF($C1888="","",IF(Registro_Compras!$F$213="NOTA DE CREDITO","Por la nota de credito "&amp;Registro_Compras!$C$213&amp;" de "&amp;Registro_Compras!$E$213&amp;" [PATRON POR CONFIRMAR CON CONTADOR]",IF(Registro_Compras!$F$213="RHE","Por el registro del recibo por honorarios "&amp;Registro_Compras!$C$213&amp;" de "&amp;Registro_Compras!$E$213&amp;" [PATRON POR CONFIRMAR CON CONTADOR]","Por el registro de la factura "&amp;Registro_Compras!$C$213&amp;" de "&amp;Registro_Compras!$E$213)))</f>
        <v/>
      </c>
      <c r="H1888" t="str">
        <f>IF($C1888="","",Registro_Compras!$C$213)</f>
        <v/>
      </c>
    </row>
    <row r="1889" spans="1:8" x14ac:dyDescent="0.25">
      <c r="A1889" s="25" t="str">
        <f>IF($C1889="","",Registro_Compras!$B$213)</f>
        <v/>
      </c>
      <c r="B1889" t="str">
        <f>IF($C1889="","","C"&amp;TEXT(INT((ROW()-5)/9)+1,"000")&amp;"-2")</f>
        <v/>
      </c>
      <c r="C1889" t="str">
        <f>IF(OR(Registro_Compras!$C$213="",Registro_Compras!$O$213=""),"",IF(Registro_Compras!$AB$213="ADMINISTRATIVO","94","95"))</f>
        <v/>
      </c>
      <c r="D1889" t="str">
        <f>IF(OR(Registro_Compras!$C$213="",Registro_Compras!$O$213=""),"",IF(Registro_Compras!$AB$213="ADMINISTRATIVO","Gastos Administrativos","Gastos de Venta y Operacion"))</f>
        <v/>
      </c>
      <c r="E1889" s="20" t="str">
        <f>IF($C1889="","",IF(Registro_Compras!$F$213="NOTA DE CREDITO","",IF(Registro_Compras!$F$213="RHE",ROUND(Registro_Compras!$L$213*Registro_Compras!$N$213,2),ROUND(Registro_Compras!$J$213*Registro_Compras!$N$213,2))))</f>
        <v/>
      </c>
      <c r="F1889" s="20" t="str">
        <f>IF($C1889="","",IF(Registro_Compras!$F$213="NOTA DE CREDITO",ROUND(ABS(Registro_Compras!$J$213*Registro_Compras!$N$213),2),""))</f>
        <v/>
      </c>
      <c r="G1889" t="str">
        <f>IF($C1889="","","Por el destino del gasto")</f>
        <v/>
      </c>
      <c r="H1889" t="str">
        <f>IF($C1889="","",Registro_Compras!$C$213)</f>
        <v/>
      </c>
    </row>
    <row r="1890" spans="1:8" x14ac:dyDescent="0.25">
      <c r="A1890" s="25" t="str">
        <f>IF($C1890="","",Registro_Compras!$B$213)</f>
        <v/>
      </c>
      <c r="B1890" t="str">
        <f>IF($C1890="","","C"&amp;TEXT(INT((ROW()-5)/9)+1,"000")&amp;"-2")</f>
        <v/>
      </c>
      <c r="C1890" t="str">
        <f>IF(OR(Registro_Compras!$C$213="",Registro_Compras!$O$213=""),"","79/791")</f>
        <v/>
      </c>
      <c r="D1890" t="str">
        <f>IF(OR(Registro_Compras!$C$213="",Registro_Compras!$O$213=""),"","Cargas Imputables a Cuentas de Costos y Gastos")</f>
        <v/>
      </c>
      <c r="E1890" s="20" t="str">
        <f>IF($C1890="","",IF(Registro_Compras!$F$213="NOTA DE CREDITO",ROUND(ABS(Registro_Compras!$J$213*Registro_Compras!$N$213),2),""))</f>
        <v/>
      </c>
      <c r="F1890" s="20" t="str">
        <f>IF($C1890="","",IF(Registro_Compras!$F$213="NOTA DE CREDITO","",IF(Registro_Compras!$F$213="RHE",ROUND(Registro_Compras!$L$213*Registro_Compras!$N$213,2),ROUND(Registro_Compras!$J$213*Registro_Compras!$N$213,2))))</f>
        <v/>
      </c>
      <c r="G1890" t="str">
        <f>IF($C1890="","","Por el destino del gasto")</f>
        <v/>
      </c>
      <c r="H1890" t="str">
        <f>IF($C1890="","",Registro_Compras!$C$213)</f>
        <v/>
      </c>
    </row>
    <row r="1891" spans="1:8" x14ac:dyDescent="0.25">
      <c r="A1891" s="25" t="str">
        <f>IF($C1891="","",Registro_Compras!$X$213)</f>
        <v/>
      </c>
      <c r="B1891" t="str">
        <f>IF($C1891="","","C"&amp;TEXT(INT((ROW()-5)/9)+1,"000")&amp;"-3")</f>
        <v/>
      </c>
      <c r="C1891" t="str">
        <f>IF(OR(Registro_Compras!$C$213="",Registro_Compras!$O$213="",Registro_Compras!$R$213&lt;&gt;"SI",Registro_Compras!$X$213=""),"","4212")</f>
        <v/>
      </c>
      <c r="D1891" t="str">
        <f>IF(OR(Registro_Compras!$C$213="",Registro_Compras!$O$213=""),"","Cuentas por Pagar Comerciales - Terceros")</f>
        <v/>
      </c>
      <c r="E1891" s="20" t="str">
        <f>IF($C1891="","",Registro_Compras!$S$213)</f>
        <v/>
      </c>
      <c r="F1891" s="20" t="str">
        <f>""</f>
        <v/>
      </c>
      <c r="G1891" t="str">
        <f>IF($C1891="","","Por el deposito de la detraccion en el Banco de la Nacion")</f>
        <v/>
      </c>
      <c r="H1891" t="str">
        <f>IF($C1891="","",Registro_Compras!$C$213)</f>
        <v/>
      </c>
    </row>
    <row r="1892" spans="1:8" x14ac:dyDescent="0.25">
      <c r="A1892" s="25" t="str">
        <f>IF($C1892="","",Registro_Compras!$X$213)</f>
        <v/>
      </c>
      <c r="B1892" t="str">
        <f>IF($C1892="","","C"&amp;TEXT(INT((ROW()-5)/9)+1,"000")&amp;"-3")</f>
        <v/>
      </c>
      <c r="C1892" t="str">
        <f>IF(OR(Registro_Compras!$C$213="",Registro_Compras!$O$213="",Registro_Compras!$R$213&lt;&gt;"SI",Registro_Compras!$X$213=""),"","1041")</f>
        <v/>
      </c>
      <c r="D1892" t="str">
        <f>IF(OR(Registro_Compras!$C$213="",Registro_Compras!$O$213=""),"","Efectivo y Equivalentes - Cta. Cte. Operativa")</f>
        <v/>
      </c>
      <c r="E1892" s="20" t="str">
        <f>""</f>
        <v/>
      </c>
      <c r="F1892" s="20" t="str">
        <f>IF($C1892="","",Registro_Compras!$S$213)</f>
        <v/>
      </c>
      <c r="G1892" t="str">
        <f>IF($C1892="","","Por el deposito de la detraccion en el Banco de la Nacion")</f>
        <v/>
      </c>
      <c r="H1892" t="str">
        <f>IF($C1892="","",Registro_Compras!$C$213)</f>
        <v/>
      </c>
    </row>
    <row r="1893" spans="1:8" x14ac:dyDescent="0.25">
      <c r="A1893" s="25" t="str">
        <f>IF($C1893="","",Registro_Compras!$Y$213)</f>
        <v/>
      </c>
      <c r="B1893" t="str">
        <f>IF($C1893="","","C"&amp;TEXT(INT((ROW()-5)/9)+1,"000")&amp;"-4")</f>
        <v/>
      </c>
      <c r="C1893" t="str">
        <f>IF(OR(Registro_Compras!$C$213="",Registro_Compras!$O$213="",Registro_Compras!$Y$213="",Registro_Compras!$F$213="NOTA DE CREDITO"),"","4212")</f>
        <v/>
      </c>
      <c r="D1893" t="str">
        <f>IF(OR(Registro_Compras!$C$213="",Registro_Compras!$O$213=""),"","Cuentas por Pagar Comerciales - Terceros")</f>
        <v/>
      </c>
      <c r="E1893" s="20" t="str">
        <f>IF($C1893="","",IF(Registro_Compras!$F$213="RHE",(ROUND(Registro_Compras!$L$213*Registro_Compras!$N$213,2)-ROUND(Registro_Compras!$V$213*Registro_Compras!$N$213,2)),ROUND(Registro_Compras!$O$213-Registro_Compras!$S$213,2)))</f>
        <v/>
      </c>
      <c r="F1893" s="20" t="str">
        <f>""</f>
        <v/>
      </c>
      <c r="G1893" t="str">
        <f>IF($C1893="","","Por la cancelacion del saldo al proveedor")</f>
        <v/>
      </c>
      <c r="H1893" t="str">
        <f>IF($C1893="","",Registro_Compras!$C$213)</f>
        <v/>
      </c>
    </row>
    <row r="1894" spans="1:8" x14ac:dyDescent="0.25">
      <c r="A1894" s="25" t="str">
        <f>IF($C1894="","",Registro_Compras!$Y$213)</f>
        <v/>
      </c>
      <c r="B1894" t="str">
        <f>IF($C1894="","","C"&amp;TEXT(INT((ROW()-5)/9)+1,"000")&amp;"-4")</f>
        <v/>
      </c>
      <c r="C1894" t="str">
        <f>IF(OR(Registro_Compras!$C$213="",Registro_Compras!$O$213="",Registro_Compras!$Y$213="",Registro_Compras!$F$213="NOTA DE CREDITO"),"","1041")</f>
        <v/>
      </c>
      <c r="D1894" t="str">
        <f>IF(OR(Registro_Compras!$C$213="",Registro_Compras!$O$213=""),"","Efectivo y Equivalentes - Cta. Cte. Operativa")</f>
        <v/>
      </c>
      <c r="E1894" s="20" t="str">
        <f>""</f>
        <v/>
      </c>
      <c r="F1894" s="20" t="str">
        <f>IF($C1894="","",IF(Registro_Compras!$F$213="RHE",(ROUND(Registro_Compras!$L$213*Registro_Compras!$N$213,2)-ROUND(Registro_Compras!$V$213*Registro_Compras!$N$213,2)),ROUND(Registro_Compras!$O$213-Registro_Compras!$S$213,2)))</f>
        <v/>
      </c>
      <c r="G1894" t="str">
        <f>IF($C1894="","","Por la cancelacion del saldo al proveedor")</f>
        <v/>
      </c>
      <c r="H1894" t="str">
        <f>IF($C1894="","",Registro_Compras!$C$213)</f>
        <v/>
      </c>
    </row>
    <row r="1895" spans="1:8" x14ac:dyDescent="0.25">
      <c r="A1895" s="25" t="str">
        <f>IF($C1895="","",Registro_Compras!$B$214)</f>
        <v/>
      </c>
      <c r="B1895" t="str">
        <f>IF($C1895="","","C"&amp;TEXT(INT((ROW()-5)/9)+1,"000")&amp;"-1")</f>
        <v/>
      </c>
      <c r="C1895" t="str">
        <f>IF(OR(Registro_Compras!$C$214="",Registro_Compras!$O$214=""),"",IF(Registro_Compras!$F$214="NOTA DE CREDITO","4212",IF(Registro_Compras!$M$214="","63",Registro_Compras!$M$214)))</f>
        <v/>
      </c>
      <c r="D1895" t="str">
        <f>IF(OR(Registro_Compras!$C$214="",Registro_Compras!$O$214=""),"",IF(Registro_Compras!$F$214="NOTA DE CREDITO","Cuentas por Pagar Comerciales - Terceros (Emitidas)",IF(Registro_Compras!$F$214="RHE","Honorarios Profesionales - Servicios de Terceros","Gastos de Servicios Prestados por Terceros")))</f>
        <v/>
      </c>
      <c r="E1895" s="20" t="str">
        <f>IF($C1895="","",IF(Registro_Compras!$F$214="NOTA DE CREDITO",ABS(Registro_Compras!$O$214),IF(Registro_Compras!$F$214="RHE",ROUND(Registro_Compras!$L$214*Registro_Compras!$N$214,2),ROUND(Registro_Compras!$J$214*Registro_Compras!$N$214,2))))</f>
        <v/>
      </c>
      <c r="F1895" s="20" t="str">
        <f>""</f>
        <v/>
      </c>
      <c r="G1895" t="str">
        <f>IF($C1895="","",IF(Registro_Compras!$F$214="NOTA DE CREDITO","Por la nota de credito "&amp;Registro_Compras!$C$214&amp;" de "&amp;Registro_Compras!$E$214&amp;" [PATRON POR CONFIRMAR CON CONTADOR]",IF(Registro_Compras!$F$214="RHE","Por el registro del recibo por honorarios "&amp;Registro_Compras!$C$214&amp;" de "&amp;Registro_Compras!$E$214&amp;" [PATRON POR CONFIRMAR CON CONTADOR]","Por el registro de la factura "&amp;Registro_Compras!$C$214&amp;" de "&amp;Registro_Compras!$E$214)))</f>
        <v/>
      </c>
      <c r="H1895" t="str">
        <f>IF($C1895="","",Registro_Compras!$C$214)</f>
        <v/>
      </c>
    </row>
    <row r="1896" spans="1:8" x14ac:dyDescent="0.25">
      <c r="A1896" s="25" t="str">
        <f>IF($C1896="","",Registro_Compras!$B$214)</f>
        <v/>
      </c>
      <c r="B1896" t="str">
        <f>IF($C1896="","","C"&amp;TEXT(INT((ROW()-5)/9)+1,"000")&amp;"-1")</f>
        <v/>
      </c>
      <c r="C1896" t="str">
        <f>IF(OR(Registro_Compras!$C$214="",Registro_Compras!$O$214=""),"",IF(Registro_Compras!$F$214="RHE",IF(Registro_Compras!$V$214=0,"","4017"),IF(Registro_Compras!$F$214="NOTA DE CREDITO",IF(Registro_Compras!$M$214="","63",Registro_Compras!$M$214),IF(Registro_Compras!$K$214=0,"","40111"))))</f>
        <v/>
      </c>
      <c r="D1896" t="str">
        <f>IF(OR(Registro_Compras!$C$214="",Registro_Compras!$O$214=""),"",IF(Registro_Compras!$F$214="RHE","Retencion Renta 4ta Categoria por Pagar",IF(Registro_Compras!$F$214="NOTA DE CREDITO","Gastos de Servicios Prestados por Terceros","IGV - Cuenta Propia (Credito Fiscal)")))</f>
        <v/>
      </c>
      <c r="E1896" s="20" t="str">
        <f>IF($C1896="","",IF(Registro_Compras!$F$214="FACTURA",ROUND(Registro_Compras!$K$214*Registro_Compras!$N$214,2),""))</f>
        <v/>
      </c>
      <c r="F1896" s="20" t="str">
        <f>IF($C1896="","",IF(Registro_Compras!$F$214="RHE",ROUND(Registro_Compras!$V$214*Registro_Compras!$N$214,2),IF(Registro_Compras!$F$214="NOTA DE CREDITO",ROUND(ABS(Registro_Compras!$J$214*Registro_Compras!$N$214),2),"")))</f>
        <v/>
      </c>
      <c r="G1896" t="str">
        <f>IF($C1896="","",IF(Registro_Compras!$F$214="NOTA DE CREDITO","Por la nota de credito "&amp;Registro_Compras!$C$214&amp;" de "&amp;Registro_Compras!$E$214&amp;" [PATRON POR CONFIRMAR CON CONTADOR]",IF(Registro_Compras!$F$214="RHE","Por el registro del recibo por honorarios "&amp;Registro_Compras!$C$214&amp;" de "&amp;Registro_Compras!$E$214&amp;" [PATRON POR CONFIRMAR CON CONTADOR]","Por el registro de la factura "&amp;Registro_Compras!$C$214&amp;" de "&amp;Registro_Compras!$E$214)))</f>
        <v/>
      </c>
      <c r="H1896" t="str">
        <f>IF($C1896="","",Registro_Compras!$C$214)</f>
        <v/>
      </c>
    </row>
    <row r="1897" spans="1:8" x14ac:dyDescent="0.25">
      <c r="A1897" s="25" t="str">
        <f>IF($C1897="","",Registro_Compras!$B$214)</f>
        <v/>
      </c>
      <c r="B1897" t="str">
        <f>IF($C1897="","","C"&amp;TEXT(INT((ROW()-5)/9)+1,"000")&amp;"-1")</f>
        <v/>
      </c>
      <c r="C1897" t="str">
        <f>IF(OR(Registro_Compras!$C$214="",Registro_Compras!$O$214=""),"",IF(Registro_Compras!$F$214="NOTA DE CREDITO",IF(Registro_Compras!$K$214=0,"","40111"),"4212"))</f>
        <v/>
      </c>
      <c r="D1897" t="str">
        <f>IF(OR(Registro_Compras!$C$214="",Registro_Compras!$O$214=""),"",IF(Registro_Compras!$F$214="NOTA DE CREDITO","IGV - Cuenta Propia (Credito Fiscal)","Cuentas por Pagar Comerciales - Terceros (Emitidas)"))</f>
        <v/>
      </c>
      <c r="E1897" s="20" t="str">
        <f>""</f>
        <v/>
      </c>
      <c r="F1897" s="20" t="str">
        <f>IF($C1897="","",IF(Registro_Compras!$F$214="NOTA DE CREDITO",ROUND(ABS(Registro_Compras!$K$214*Registro_Compras!$N$214),2),IF(Registro_Compras!$F$214="RHE",(ROUND(Registro_Compras!$L$214*Registro_Compras!$N$214,2)-ROUND(Registro_Compras!$V$214*Registro_Compras!$N$214,2)),Registro_Compras!$O$214)))</f>
        <v/>
      </c>
      <c r="G1897" t="str">
        <f>IF($C1897="","",IF(Registro_Compras!$F$214="NOTA DE CREDITO","Por la nota de credito "&amp;Registro_Compras!$C$214&amp;" de "&amp;Registro_Compras!$E$214&amp;" [PATRON POR CONFIRMAR CON CONTADOR]",IF(Registro_Compras!$F$214="RHE","Por el registro del recibo por honorarios "&amp;Registro_Compras!$C$214&amp;" de "&amp;Registro_Compras!$E$214&amp;" [PATRON POR CONFIRMAR CON CONTADOR]","Por el registro de la factura "&amp;Registro_Compras!$C$214&amp;" de "&amp;Registro_Compras!$E$214)))</f>
        <v/>
      </c>
      <c r="H1897" t="str">
        <f>IF($C1897="","",Registro_Compras!$C$214)</f>
        <v/>
      </c>
    </row>
    <row r="1898" spans="1:8" x14ac:dyDescent="0.25">
      <c r="A1898" s="25" t="str">
        <f>IF($C1898="","",Registro_Compras!$B$214)</f>
        <v/>
      </c>
      <c r="B1898" t="str">
        <f>IF($C1898="","","C"&amp;TEXT(INT((ROW()-5)/9)+1,"000")&amp;"-2")</f>
        <v/>
      </c>
      <c r="C1898" t="str">
        <f>IF(OR(Registro_Compras!$C$214="",Registro_Compras!$O$214=""),"",IF(Registro_Compras!$AB$214="ADMINISTRATIVO","94","95"))</f>
        <v/>
      </c>
      <c r="D1898" t="str">
        <f>IF(OR(Registro_Compras!$C$214="",Registro_Compras!$O$214=""),"",IF(Registro_Compras!$AB$214="ADMINISTRATIVO","Gastos Administrativos","Gastos de Venta y Operacion"))</f>
        <v/>
      </c>
      <c r="E1898" s="20" t="str">
        <f>IF($C1898="","",IF(Registro_Compras!$F$214="NOTA DE CREDITO","",IF(Registro_Compras!$F$214="RHE",ROUND(Registro_Compras!$L$214*Registro_Compras!$N$214,2),ROUND(Registro_Compras!$J$214*Registro_Compras!$N$214,2))))</f>
        <v/>
      </c>
      <c r="F1898" s="20" t="str">
        <f>IF($C1898="","",IF(Registro_Compras!$F$214="NOTA DE CREDITO",ROUND(ABS(Registro_Compras!$J$214*Registro_Compras!$N$214),2),""))</f>
        <v/>
      </c>
      <c r="G1898" t="str">
        <f>IF($C1898="","","Por el destino del gasto")</f>
        <v/>
      </c>
      <c r="H1898" t="str">
        <f>IF($C1898="","",Registro_Compras!$C$214)</f>
        <v/>
      </c>
    </row>
    <row r="1899" spans="1:8" x14ac:dyDescent="0.25">
      <c r="A1899" s="25" t="str">
        <f>IF($C1899="","",Registro_Compras!$B$214)</f>
        <v/>
      </c>
      <c r="B1899" t="str">
        <f>IF($C1899="","","C"&amp;TEXT(INT((ROW()-5)/9)+1,"000")&amp;"-2")</f>
        <v/>
      </c>
      <c r="C1899" t="str">
        <f>IF(OR(Registro_Compras!$C$214="",Registro_Compras!$O$214=""),"","79/791")</f>
        <v/>
      </c>
      <c r="D1899" t="str">
        <f>IF(OR(Registro_Compras!$C$214="",Registro_Compras!$O$214=""),"","Cargas Imputables a Cuentas de Costos y Gastos")</f>
        <v/>
      </c>
      <c r="E1899" s="20" t="str">
        <f>IF($C1899="","",IF(Registro_Compras!$F$214="NOTA DE CREDITO",ROUND(ABS(Registro_Compras!$J$214*Registro_Compras!$N$214),2),""))</f>
        <v/>
      </c>
      <c r="F1899" s="20" t="str">
        <f>IF($C1899="","",IF(Registro_Compras!$F$214="NOTA DE CREDITO","",IF(Registro_Compras!$F$214="RHE",ROUND(Registro_Compras!$L$214*Registro_Compras!$N$214,2),ROUND(Registro_Compras!$J$214*Registro_Compras!$N$214,2))))</f>
        <v/>
      </c>
      <c r="G1899" t="str">
        <f>IF($C1899="","","Por el destino del gasto")</f>
        <v/>
      </c>
      <c r="H1899" t="str">
        <f>IF($C1899="","",Registro_Compras!$C$214)</f>
        <v/>
      </c>
    </row>
    <row r="1900" spans="1:8" x14ac:dyDescent="0.25">
      <c r="A1900" s="25" t="str">
        <f>IF($C1900="","",Registro_Compras!$X$214)</f>
        <v/>
      </c>
      <c r="B1900" t="str">
        <f>IF($C1900="","","C"&amp;TEXT(INT((ROW()-5)/9)+1,"000")&amp;"-3")</f>
        <v/>
      </c>
      <c r="C1900" t="str">
        <f>IF(OR(Registro_Compras!$C$214="",Registro_Compras!$O$214="",Registro_Compras!$R$214&lt;&gt;"SI",Registro_Compras!$X$214=""),"","4212")</f>
        <v/>
      </c>
      <c r="D1900" t="str">
        <f>IF(OR(Registro_Compras!$C$214="",Registro_Compras!$O$214=""),"","Cuentas por Pagar Comerciales - Terceros")</f>
        <v/>
      </c>
      <c r="E1900" s="20" t="str">
        <f>IF($C1900="","",Registro_Compras!$S$214)</f>
        <v/>
      </c>
      <c r="F1900" s="20" t="str">
        <f>""</f>
        <v/>
      </c>
      <c r="G1900" t="str">
        <f>IF($C1900="","","Por el deposito de la detraccion en el Banco de la Nacion")</f>
        <v/>
      </c>
      <c r="H1900" t="str">
        <f>IF($C1900="","",Registro_Compras!$C$214)</f>
        <v/>
      </c>
    </row>
    <row r="1901" spans="1:8" x14ac:dyDescent="0.25">
      <c r="A1901" s="25" t="str">
        <f>IF($C1901="","",Registro_Compras!$X$214)</f>
        <v/>
      </c>
      <c r="B1901" t="str">
        <f>IF($C1901="","","C"&amp;TEXT(INT((ROW()-5)/9)+1,"000")&amp;"-3")</f>
        <v/>
      </c>
      <c r="C1901" t="str">
        <f>IF(OR(Registro_Compras!$C$214="",Registro_Compras!$O$214="",Registro_Compras!$R$214&lt;&gt;"SI",Registro_Compras!$X$214=""),"","1041")</f>
        <v/>
      </c>
      <c r="D1901" t="str">
        <f>IF(OR(Registro_Compras!$C$214="",Registro_Compras!$O$214=""),"","Efectivo y Equivalentes - Cta. Cte. Operativa")</f>
        <v/>
      </c>
      <c r="E1901" s="20" t="str">
        <f>""</f>
        <v/>
      </c>
      <c r="F1901" s="20" t="str">
        <f>IF($C1901="","",Registro_Compras!$S$214)</f>
        <v/>
      </c>
      <c r="G1901" t="str">
        <f>IF($C1901="","","Por el deposito de la detraccion en el Banco de la Nacion")</f>
        <v/>
      </c>
      <c r="H1901" t="str">
        <f>IF($C1901="","",Registro_Compras!$C$214)</f>
        <v/>
      </c>
    </row>
    <row r="1902" spans="1:8" x14ac:dyDescent="0.25">
      <c r="A1902" s="25" t="str">
        <f>IF($C1902="","",Registro_Compras!$Y$214)</f>
        <v/>
      </c>
      <c r="B1902" t="str">
        <f>IF($C1902="","","C"&amp;TEXT(INT((ROW()-5)/9)+1,"000")&amp;"-4")</f>
        <v/>
      </c>
      <c r="C1902" t="str">
        <f>IF(OR(Registro_Compras!$C$214="",Registro_Compras!$O$214="",Registro_Compras!$Y$214="",Registro_Compras!$F$214="NOTA DE CREDITO"),"","4212")</f>
        <v/>
      </c>
      <c r="D1902" t="str">
        <f>IF(OR(Registro_Compras!$C$214="",Registro_Compras!$O$214=""),"","Cuentas por Pagar Comerciales - Terceros")</f>
        <v/>
      </c>
      <c r="E1902" s="20" t="str">
        <f>IF($C1902="","",IF(Registro_Compras!$F$214="RHE",(ROUND(Registro_Compras!$L$214*Registro_Compras!$N$214,2)-ROUND(Registro_Compras!$V$214*Registro_Compras!$N$214,2)),ROUND(Registro_Compras!$O$214-Registro_Compras!$S$214,2)))</f>
        <v/>
      </c>
      <c r="F1902" s="20" t="str">
        <f>""</f>
        <v/>
      </c>
      <c r="G1902" t="str">
        <f>IF($C1902="","","Por la cancelacion del saldo al proveedor")</f>
        <v/>
      </c>
      <c r="H1902" t="str">
        <f>IF($C1902="","",Registro_Compras!$C$214)</f>
        <v/>
      </c>
    </row>
    <row r="1903" spans="1:8" x14ac:dyDescent="0.25">
      <c r="A1903" s="25" t="str">
        <f>IF($C1903="","",Registro_Compras!$Y$214)</f>
        <v/>
      </c>
      <c r="B1903" t="str">
        <f>IF($C1903="","","C"&amp;TEXT(INT((ROW()-5)/9)+1,"000")&amp;"-4")</f>
        <v/>
      </c>
      <c r="C1903" t="str">
        <f>IF(OR(Registro_Compras!$C$214="",Registro_Compras!$O$214="",Registro_Compras!$Y$214="",Registro_Compras!$F$214="NOTA DE CREDITO"),"","1041")</f>
        <v/>
      </c>
      <c r="D1903" t="str">
        <f>IF(OR(Registro_Compras!$C$214="",Registro_Compras!$O$214=""),"","Efectivo y Equivalentes - Cta. Cte. Operativa")</f>
        <v/>
      </c>
      <c r="E1903" s="20" t="str">
        <f>""</f>
        <v/>
      </c>
      <c r="F1903" s="20" t="str">
        <f>IF($C1903="","",IF(Registro_Compras!$F$214="RHE",(ROUND(Registro_Compras!$L$214*Registro_Compras!$N$214,2)-ROUND(Registro_Compras!$V$214*Registro_Compras!$N$214,2)),ROUND(Registro_Compras!$O$214-Registro_Compras!$S$214,2)))</f>
        <v/>
      </c>
      <c r="G1903" t="str">
        <f>IF($C1903="","","Por la cancelacion del saldo al proveedor")</f>
        <v/>
      </c>
      <c r="H1903" t="str">
        <f>IF($C1903="","",Registro_Compras!$C$214)</f>
        <v/>
      </c>
    </row>
    <row r="1904" spans="1:8" x14ac:dyDescent="0.25">
      <c r="A1904" s="25" t="str">
        <f>IF($C1904="","",Registro_Compras!$B$215)</f>
        <v/>
      </c>
      <c r="B1904" t="str">
        <f>IF($C1904="","","C"&amp;TEXT(INT((ROW()-5)/9)+1,"000")&amp;"-1")</f>
        <v/>
      </c>
      <c r="C1904" t="str">
        <f>IF(OR(Registro_Compras!$C$215="",Registro_Compras!$O$215=""),"",IF(Registro_Compras!$F$215="NOTA DE CREDITO","4212",IF(Registro_Compras!$M$215="","63",Registro_Compras!$M$215)))</f>
        <v/>
      </c>
      <c r="D1904" t="str">
        <f>IF(OR(Registro_Compras!$C$215="",Registro_Compras!$O$215=""),"",IF(Registro_Compras!$F$215="NOTA DE CREDITO","Cuentas por Pagar Comerciales - Terceros (Emitidas)",IF(Registro_Compras!$F$215="RHE","Honorarios Profesionales - Servicios de Terceros","Gastos de Servicios Prestados por Terceros")))</f>
        <v/>
      </c>
      <c r="E1904" s="20" t="str">
        <f>IF($C1904="","",IF(Registro_Compras!$F$215="NOTA DE CREDITO",ABS(Registro_Compras!$O$215),IF(Registro_Compras!$F$215="RHE",ROUND(Registro_Compras!$L$215*Registro_Compras!$N$215,2),ROUND(Registro_Compras!$J$215*Registro_Compras!$N$215,2))))</f>
        <v/>
      </c>
      <c r="F1904" s="20" t="str">
        <f>""</f>
        <v/>
      </c>
      <c r="G1904" t="str">
        <f>IF($C1904="","",IF(Registro_Compras!$F$215="NOTA DE CREDITO","Por la nota de credito "&amp;Registro_Compras!$C$215&amp;" de "&amp;Registro_Compras!$E$215&amp;" [PATRON POR CONFIRMAR CON CONTADOR]",IF(Registro_Compras!$F$215="RHE","Por el registro del recibo por honorarios "&amp;Registro_Compras!$C$215&amp;" de "&amp;Registro_Compras!$E$215&amp;" [PATRON POR CONFIRMAR CON CONTADOR]","Por el registro de la factura "&amp;Registro_Compras!$C$215&amp;" de "&amp;Registro_Compras!$E$215)))</f>
        <v/>
      </c>
      <c r="H1904" t="str">
        <f>IF($C1904="","",Registro_Compras!$C$215)</f>
        <v/>
      </c>
    </row>
    <row r="1905" spans="1:8" x14ac:dyDescent="0.25">
      <c r="A1905" s="25" t="str">
        <f>IF($C1905="","",Registro_Compras!$B$215)</f>
        <v/>
      </c>
      <c r="B1905" t="str">
        <f>IF($C1905="","","C"&amp;TEXT(INT((ROW()-5)/9)+1,"000")&amp;"-1")</f>
        <v/>
      </c>
      <c r="C1905" t="str">
        <f>IF(OR(Registro_Compras!$C$215="",Registro_Compras!$O$215=""),"",IF(Registro_Compras!$F$215="RHE",IF(Registro_Compras!$V$215=0,"","4017"),IF(Registro_Compras!$F$215="NOTA DE CREDITO",IF(Registro_Compras!$M$215="","63",Registro_Compras!$M$215),IF(Registro_Compras!$K$215=0,"","40111"))))</f>
        <v/>
      </c>
      <c r="D1905" t="str">
        <f>IF(OR(Registro_Compras!$C$215="",Registro_Compras!$O$215=""),"",IF(Registro_Compras!$F$215="RHE","Retencion Renta 4ta Categoria por Pagar",IF(Registro_Compras!$F$215="NOTA DE CREDITO","Gastos de Servicios Prestados por Terceros","IGV - Cuenta Propia (Credito Fiscal)")))</f>
        <v/>
      </c>
      <c r="E1905" s="20" t="str">
        <f>IF($C1905="","",IF(Registro_Compras!$F$215="FACTURA",ROUND(Registro_Compras!$K$215*Registro_Compras!$N$215,2),""))</f>
        <v/>
      </c>
      <c r="F1905" s="20" t="str">
        <f>IF($C1905="","",IF(Registro_Compras!$F$215="RHE",ROUND(Registro_Compras!$V$215*Registro_Compras!$N$215,2),IF(Registro_Compras!$F$215="NOTA DE CREDITO",ROUND(ABS(Registro_Compras!$J$215*Registro_Compras!$N$215),2),"")))</f>
        <v/>
      </c>
      <c r="G1905" t="str">
        <f>IF($C1905="","",IF(Registro_Compras!$F$215="NOTA DE CREDITO","Por la nota de credito "&amp;Registro_Compras!$C$215&amp;" de "&amp;Registro_Compras!$E$215&amp;" [PATRON POR CONFIRMAR CON CONTADOR]",IF(Registro_Compras!$F$215="RHE","Por el registro del recibo por honorarios "&amp;Registro_Compras!$C$215&amp;" de "&amp;Registro_Compras!$E$215&amp;" [PATRON POR CONFIRMAR CON CONTADOR]","Por el registro de la factura "&amp;Registro_Compras!$C$215&amp;" de "&amp;Registro_Compras!$E$215)))</f>
        <v/>
      </c>
      <c r="H1905" t="str">
        <f>IF($C1905="","",Registro_Compras!$C$215)</f>
        <v/>
      </c>
    </row>
    <row r="1906" spans="1:8" x14ac:dyDescent="0.25">
      <c r="A1906" s="25" t="str">
        <f>IF($C1906="","",Registro_Compras!$B$215)</f>
        <v/>
      </c>
      <c r="B1906" t="str">
        <f>IF($C1906="","","C"&amp;TEXT(INT((ROW()-5)/9)+1,"000")&amp;"-1")</f>
        <v/>
      </c>
      <c r="C1906" t="str">
        <f>IF(OR(Registro_Compras!$C$215="",Registro_Compras!$O$215=""),"",IF(Registro_Compras!$F$215="NOTA DE CREDITO",IF(Registro_Compras!$K$215=0,"","40111"),"4212"))</f>
        <v/>
      </c>
      <c r="D1906" t="str">
        <f>IF(OR(Registro_Compras!$C$215="",Registro_Compras!$O$215=""),"",IF(Registro_Compras!$F$215="NOTA DE CREDITO","IGV - Cuenta Propia (Credito Fiscal)","Cuentas por Pagar Comerciales - Terceros (Emitidas)"))</f>
        <v/>
      </c>
      <c r="E1906" s="20" t="str">
        <f>""</f>
        <v/>
      </c>
      <c r="F1906" s="20" t="str">
        <f>IF($C1906="","",IF(Registro_Compras!$F$215="NOTA DE CREDITO",ROUND(ABS(Registro_Compras!$K$215*Registro_Compras!$N$215),2),IF(Registro_Compras!$F$215="RHE",(ROUND(Registro_Compras!$L$215*Registro_Compras!$N$215,2)-ROUND(Registro_Compras!$V$215*Registro_Compras!$N$215,2)),Registro_Compras!$O$215)))</f>
        <v/>
      </c>
      <c r="G1906" t="str">
        <f>IF($C1906="","",IF(Registro_Compras!$F$215="NOTA DE CREDITO","Por la nota de credito "&amp;Registro_Compras!$C$215&amp;" de "&amp;Registro_Compras!$E$215&amp;" [PATRON POR CONFIRMAR CON CONTADOR]",IF(Registro_Compras!$F$215="RHE","Por el registro del recibo por honorarios "&amp;Registro_Compras!$C$215&amp;" de "&amp;Registro_Compras!$E$215&amp;" [PATRON POR CONFIRMAR CON CONTADOR]","Por el registro de la factura "&amp;Registro_Compras!$C$215&amp;" de "&amp;Registro_Compras!$E$215)))</f>
        <v/>
      </c>
      <c r="H1906" t="str">
        <f>IF($C1906="","",Registro_Compras!$C$215)</f>
        <v/>
      </c>
    </row>
    <row r="1907" spans="1:8" x14ac:dyDescent="0.25">
      <c r="A1907" s="25" t="str">
        <f>IF($C1907="","",Registro_Compras!$B$215)</f>
        <v/>
      </c>
      <c r="B1907" t="str">
        <f>IF($C1907="","","C"&amp;TEXT(INT((ROW()-5)/9)+1,"000")&amp;"-2")</f>
        <v/>
      </c>
      <c r="C1907" t="str">
        <f>IF(OR(Registro_Compras!$C$215="",Registro_Compras!$O$215=""),"",IF(Registro_Compras!$AB$215="ADMINISTRATIVO","94","95"))</f>
        <v/>
      </c>
      <c r="D1907" t="str">
        <f>IF(OR(Registro_Compras!$C$215="",Registro_Compras!$O$215=""),"",IF(Registro_Compras!$AB$215="ADMINISTRATIVO","Gastos Administrativos","Gastos de Venta y Operacion"))</f>
        <v/>
      </c>
      <c r="E1907" s="20" t="str">
        <f>IF($C1907="","",IF(Registro_Compras!$F$215="NOTA DE CREDITO","",IF(Registro_Compras!$F$215="RHE",ROUND(Registro_Compras!$L$215*Registro_Compras!$N$215,2),ROUND(Registro_Compras!$J$215*Registro_Compras!$N$215,2))))</f>
        <v/>
      </c>
      <c r="F1907" s="20" t="str">
        <f>IF($C1907="","",IF(Registro_Compras!$F$215="NOTA DE CREDITO",ROUND(ABS(Registro_Compras!$J$215*Registro_Compras!$N$215),2),""))</f>
        <v/>
      </c>
      <c r="G1907" t="str">
        <f>IF($C1907="","","Por el destino del gasto")</f>
        <v/>
      </c>
      <c r="H1907" t="str">
        <f>IF($C1907="","",Registro_Compras!$C$215)</f>
        <v/>
      </c>
    </row>
    <row r="1908" spans="1:8" x14ac:dyDescent="0.25">
      <c r="A1908" s="25" t="str">
        <f>IF($C1908="","",Registro_Compras!$B$215)</f>
        <v/>
      </c>
      <c r="B1908" t="str">
        <f>IF($C1908="","","C"&amp;TEXT(INT((ROW()-5)/9)+1,"000")&amp;"-2")</f>
        <v/>
      </c>
      <c r="C1908" t="str">
        <f>IF(OR(Registro_Compras!$C$215="",Registro_Compras!$O$215=""),"","79/791")</f>
        <v/>
      </c>
      <c r="D1908" t="str">
        <f>IF(OR(Registro_Compras!$C$215="",Registro_Compras!$O$215=""),"","Cargas Imputables a Cuentas de Costos y Gastos")</f>
        <v/>
      </c>
      <c r="E1908" s="20" t="str">
        <f>IF($C1908="","",IF(Registro_Compras!$F$215="NOTA DE CREDITO",ROUND(ABS(Registro_Compras!$J$215*Registro_Compras!$N$215),2),""))</f>
        <v/>
      </c>
      <c r="F1908" s="20" t="str">
        <f>IF($C1908="","",IF(Registro_Compras!$F$215="NOTA DE CREDITO","",IF(Registro_Compras!$F$215="RHE",ROUND(Registro_Compras!$L$215*Registro_Compras!$N$215,2),ROUND(Registro_Compras!$J$215*Registro_Compras!$N$215,2))))</f>
        <v/>
      </c>
      <c r="G1908" t="str">
        <f>IF($C1908="","","Por el destino del gasto")</f>
        <v/>
      </c>
      <c r="H1908" t="str">
        <f>IF($C1908="","",Registro_Compras!$C$215)</f>
        <v/>
      </c>
    </row>
    <row r="1909" spans="1:8" x14ac:dyDescent="0.25">
      <c r="A1909" s="25" t="str">
        <f>IF($C1909="","",Registro_Compras!$X$215)</f>
        <v/>
      </c>
      <c r="B1909" t="str">
        <f>IF($C1909="","","C"&amp;TEXT(INT((ROW()-5)/9)+1,"000")&amp;"-3")</f>
        <v/>
      </c>
      <c r="C1909" t="str">
        <f>IF(OR(Registro_Compras!$C$215="",Registro_Compras!$O$215="",Registro_Compras!$R$215&lt;&gt;"SI",Registro_Compras!$X$215=""),"","4212")</f>
        <v/>
      </c>
      <c r="D1909" t="str">
        <f>IF(OR(Registro_Compras!$C$215="",Registro_Compras!$O$215=""),"","Cuentas por Pagar Comerciales - Terceros")</f>
        <v/>
      </c>
      <c r="E1909" s="20" t="str">
        <f>IF($C1909="","",Registro_Compras!$S$215)</f>
        <v/>
      </c>
      <c r="F1909" s="20" t="str">
        <f>""</f>
        <v/>
      </c>
      <c r="G1909" t="str">
        <f>IF($C1909="","","Por el deposito de la detraccion en el Banco de la Nacion")</f>
        <v/>
      </c>
      <c r="H1909" t="str">
        <f>IF($C1909="","",Registro_Compras!$C$215)</f>
        <v/>
      </c>
    </row>
    <row r="1910" spans="1:8" x14ac:dyDescent="0.25">
      <c r="A1910" s="25" t="str">
        <f>IF($C1910="","",Registro_Compras!$X$215)</f>
        <v/>
      </c>
      <c r="B1910" t="str">
        <f>IF($C1910="","","C"&amp;TEXT(INT((ROW()-5)/9)+1,"000")&amp;"-3")</f>
        <v/>
      </c>
      <c r="C1910" t="str">
        <f>IF(OR(Registro_Compras!$C$215="",Registro_Compras!$O$215="",Registro_Compras!$R$215&lt;&gt;"SI",Registro_Compras!$X$215=""),"","1041")</f>
        <v/>
      </c>
      <c r="D1910" t="str">
        <f>IF(OR(Registro_Compras!$C$215="",Registro_Compras!$O$215=""),"","Efectivo y Equivalentes - Cta. Cte. Operativa")</f>
        <v/>
      </c>
      <c r="E1910" s="20" t="str">
        <f>""</f>
        <v/>
      </c>
      <c r="F1910" s="20" t="str">
        <f>IF($C1910="","",Registro_Compras!$S$215)</f>
        <v/>
      </c>
      <c r="G1910" t="str">
        <f>IF($C1910="","","Por el deposito de la detraccion en el Banco de la Nacion")</f>
        <v/>
      </c>
      <c r="H1910" t="str">
        <f>IF($C1910="","",Registro_Compras!$C$215)</f>
        <v/>
      </c>
    </row>
    <row r="1911" spans="1:8" x14ac:dyDescent="0.25">
      <c r="A1911" s="25" t="str">
        <f>IF($C1911="","",Registro_Compras!$Y$215)</f>
        <v/>
      </c>
      <c r="B1911" t="str">
        <f>IF($C1911="","","C"&amp;TEXT(INT((ROW()-5)/9)+1,"000")&amp;"-4")</f>
        <v/>
      </c>
      <c r="C1911" t="str">
        <f>IF(OR(Registro_Compras!$C$215="",Registro_Compras!$O$215="",Registro_Compras!$Y$215="",Registro_Compras!$F$215="NOTA DE CREDITO"),"","4212")</f>
        <v/>
      </c>
      <c r="D1911" t="str">
        <f>IF(OR(Registro_Compras!$C$215="",Registro_Compras!$O$215=""),"","Cuentas por Pagar Comerciales - Terceros")</f>
        <v/>
      </c>
      <c r="E1911" s="20" t="str">
        <f>IF($C1911="","",IF(Registro_Compras!$F$215="RHE",(ROUND(Registro_Compras!$L$215*Registro_Compras!$N$215,2)-ROUND(Registro_Compras!$V$215*Registro_Compras!$N$215,2)),ROUND(Registro_Compras!$O$215-Registro_Compras!$S$215,2)))</f>
        <v/>
      </c>
      <c r="F1911" s="20" t="str">
        <f>""</f>
        <v/>
      </c>
      <c r="G1911" t="str">
        <f>IF($C1911="","","Por la cancelacion del saldo al proveedor")</f>
        <v/>
      </c>
      <c r="H1911" t="str">
        <f>IF($C1911="","",Registro_Compras!$C$215)</f>
        <v/>
      </c>
    </row>
    <row r="1912" spans="1:8" x14ac:dyDescent="0.25">
      <c r="A1912" s="25" t="str">
        <f>IF($C1912="","",Registro_Compras!$Y$215)</f>
        <v/>
      </c>
      <c r="B1912" t="str">
        <f>IF($C1912="","","C"&amp;TEXT(INT((ROW()-5)/9)+1,"000")&amp;"-4")</f>
        <v/>
      </c>
      <c r="C1912" t="str">
        <f>IF(OR(Registro_Compras!$C$215="",Registro_Compras!$O$215="",Registro_Compras!$Y$215="",Registro_Compras!$F$215="NOTA DE CREDITO"),"","1041")</f>
        <v/>
      </c>
      <c r="D1912" t="str">
        <f>IF(OR(Registro_Compras!$C$215="",Registro_Compras!$O$215=""),"","Efectivo y Equivalentes - Cta. Cte. Operativa")</f>
        <v/>
      </c>
      <c r="E1912" s="20" t="str">
        <f>""</f>
        <v/>
      </c>
      <c r="F1912" s="20" t="str">
        <f>IF($C1912="","",IF(Registro_Compras!$F$215="RHE",(ROUND(Registro_Compras!$L$215*Registro_Compras!$N$215,2)-ROUND(Registro_Compras!$V$215*Registro_Compras!$N$215,2)),ROUND(Registro_Compras!$O$215-Registro_Compras!$S$215,2)))</f>
        <v/>
      </c>
      <c r="G1912" t="str">
        <f>IF($C1912="","","Por la cancelacion del saldo al proveedor")</f>
        <v/>
      </c>
      <c r="H1912" t="str">
        <f>IF($C1912="","",Registro_Compras!$C$215)</f>
        <v/>
      </c>
    </row>
    <row r="1913" spans="1:8" x14ac:dyDescent="0.25">
      <c r="A1913" s="25" t="str">
        <f>IF($C1913="","",Registro_Compras!$B$216)</f>
        <v/>
      </c>
      <c r="B1913" t="str">
        <f>IF($C1913="","","C"&amp;TEXT(INT((ROW()-5)/9)+1,"000")&amp;"-1")</f>
        <v/>
      </c>
      <c r="C1913" t="str">
        <f>IF(OR(Registro_Compras!$C$216="",Registro_Compras!$O$216=""),"",IF(Registro_Compras!$F$216="NOTA DE CREDITO","4212",IF(Registro_Compras!$M$216="","63",Registro_Compras!$M$216)))</f>
        <v/>
      </c>
      <c r="D1913" t="str">
        <f>IF(OR(Registro_Compras!$C$216="",Registro_Compras!$O$216=""),"",IF(Registro_Compras!$F$216="NOTA DE CREDITO","Cuentas por Pagar Comerciales - Terceros (Emitidas)",IF(Registro_Compras!$F$216="RHE","Honorarios Profesionales - Servicios de Terceros","Gastos de Servicios Prestados por Terceros")))</f>
        <v/>
      </c>
      <c r="E1913" s="20" t="str">
        <f>IF($C1913="","",IF(Registro_Compras!$F$216="NOTA DE CREDITO",ABS(Registro_Compras!$O$216),IF(Registro_Compras!$F$216="RHE",ROUND(Registro_Compras!$L$216*Registro_Compras!$N$216,2),ROUND(Registro_Compras!$J$216*Registro_Compras!$N$216,2))))</f>
        <v/>
      </c>
      <c r="F1913" s="20" t="str">
        <f>""</f>
        <v/>
      </c>
      <c r="G1913" t="str">
        <f>IF($C1913="","",IF(Registro_Compras!$F$216="NOTA DE CREDITO","Por la nota de credito "&amp;Registro_Compras!$C$216&amp;" de "&amp;Registro_Compras!$E$216&amp;" [PATRON POR CONFIRMAR CON CONTADOR]",IF(Registro_Compras!$F$216="RHE","Por el registro del recibo por honorarios "&amp;Registro_Compras!$C$216&amp;" de "&amp;Registro_Compras!$E$216&amp;" [PATRON POR CONFIRMAR CON CONTADOR]","Por el registro de la factura "&amp;Registro_Compras!$C$216&amp;" de "&amp;Registro_Compras!$E$216)))</f>
        <v/>
      </c>
      <c r="H1913" t="str">
        <f>IF($C1913="","",Registro_Compras!$C$216)</f>
        <v/>
      </c>
    </row>
    <row r="1914" spans="1:8" x14ac:dyDescent="0.25">
      <c r="A1914" s="25" t="str">
        <f>IF($C1914="","",Registro_Compras!$B$216)</f>
        <v/>
      </c>
      <c r="B1914" t="str">
        <f>IF($C1914="","","C"&amp;TEXT(INT((ROW()-5)/9)+1,"000")&amp;"-1")</f>
        <v/>
      </c>
      <c r="C1914" t="str">
        <f>IF(OR(Registro_Compras!$C$216="",Registro_Compras!$O$216=""),"",IF(Registro_Compras!$F$216="RHE",IF(Registro_Compras!$V$216=0,"","4017"),IF(Registro_Compras!$F$216="NOTA DE CREDITO",IF(Registro_Compras!$M$216="","63",Registro_Compras!$M$216),IF(Registro_Compras!$K$216=0,"","40111"))))</f>
        <v/>
      </c>
      <c r="D1914" t="str">
        <f>IF(OR(Registro_Compras!$C$216="",Registro_Compras!$O$216=""),"",IF(Registro_Compras!$F$216="RHE","Retencion Renta 4ta Categoria por Pagar",IF(Registro_Compras!$F$216="NOTA DE CREDITO","Gastos de Servicios Prestados por Terceros","IGV - Cuenta Propia (Credito Fiscal)")))</f>
        <v/>
      </c>
      <c r="E1914" s="20" t="str">
        <f>IF($C1914="","",IF(Registro_Compras!$F$216="FACTURA",ROUND(Registro_Compras!$K$216*Registro_Compras!$N$216,2),""))</f>
        <v/>
      </c>
      <c r="F1914" s="20" t="str">
        <f>IF($C1914="","",IF(Registro_Compras!$F$216="RHE",ROUND(Registro_Compras!$V$216*Registro_Compras!$N$216,2),IF(Registro_Compras!$F$216="NOTA DE CREDITO",ROUND(ABS(Registro_Compras!$J$216*Registro_Compras!$N$216),2),"")))</f>
        <v/>
      </c>
      <c r="G1914" t="str">
        <f>IF($C1914="","",IF(Registro_Compras!$F$216="NOTA DE CREDITO","Por la nota de credito "&amp;Registro_Compras!$C$216&amp;" de "&amp;Registro_Compras!$E$216&amp;" [PATRON POR CONFIRMAR CON CONTADOR]",IF(Registro_Compras!$F$216="RHE","Por el registro del recibo por honorarios "&amp;Registro_Compras!$C$216&amp;" de "&amp;Registro_Compras!$E$216&amp;" [PATRON POR CONFIRMAR CON CONTADOR]","Por el registro de la factura "&amp;Registro_Compras!$C$216&amp;" de "&amp;Registro_Compras!$E$216)))</f>
        <v/>
      </c>
      <c r="H1914" t="str">
        <f>IF($C1914="","",Registro_Compras!$C$216)</f>
        <v/>
      </c>
    </row>
    <row r="1915" spans="1:8" x14ac:dyDescent="0.25">
      <c r="A1915" s="25" t="str">
        <f>IF($C1915="","",Registro_Compras!$B$216)</f>
        <v/>
      </c>
      <c r="B1915" t="str">
        <f>IF($C1915="","","C"&amp;TEXT(INT((ROW()-5)/9)+1,"000")&amp;"-1")</f>
        <v/>
      </c>
      <c r="C1915" t="str">
        <f>IF(OR(Registro_Compras!$C$216="",Registro_Compras!$O$216=""),"",IF(Registro_Compras!$F$216="NOTA DE CREDITO",IF(Registro_Compras!$K$216=0,"","40111"),"4212"))</f>
        <v/>
      </c>
      <c r="D1915" t="str">
        <f>IF(OR(Registro_Compras!$C$216="",Registro_Compras!$O$216=""),"",IF(Registro_Compras!$F$216="NOTA DE CREDITO","IGV - Cuenta Propia (Credito Fiscal)","Cuentas por Pagar Comerciales - Terceros (Emitidas)"))</f>
        <v/>
      </c>
      <c r="E1915" s="20" t="str">
        <f>""</f>
        <v/>
      </c>
      <c r="F1915" s="20" t="str">
        <f>IF($C1915="","",IF(Registro_Compras!$F$216="NOTA DE CREDITO",ROUND(ABS(Registro_Compras!$K$216*Registro_Compras!$N$216),2),IF(Registro_Compras!$F$216="RHE",(ROUND(Registro_Compras!$L$216*Registro_Compras!$N$216,2)-ROUND(Registro_Compras!$V$216*Registro_Compras!$N$216,2)),Registro_Compras!$O$216)))</f>
        <v/>
      </c>
      <c r="G1915" t="str">
        <f>IF($C1915="","",IF(Registro_Compras!$F$216="NOTA DE CREDITO","Por la nota de credito "&amp;Registro_Compras!$C$216&amp;" de "&amp;Registro_Compras!$E$216&amp;" [PATRON POR CONFIRMAR CON CONTADOR]",IF(Registro_Compras!$F$216="RHE","Por el registro del recibo por honorarios "&amp;Registro_Compras!$C$216&amp;" de "&amp;Registro_Compras!$E$216&amp;" [PATRON POR CONFIRMAR CON CONTADOR]","Por el registro de la factura "&amp;Registro_Compras!$C$216&amp;" de "&amp;Registro_Compras!$E$216)))</f>
        <v/>
      </c>
      <c r="H1915" t="str">
        <f>IF($C1915="","",Registro_Compras!$C$216)</f>
        <v/>
      </c>
    </row>
    <row r="1916" spans="1:8" x14ac:dyDescent="0.25">
      <c r="A1916" s="25" t="str">
        <f>IF($C1916="","",Registro_Compras!$B$216)</f>
        <v/>
      </c>
      <c r="B1916" t="str">
        <f>IF($C1916="","","C"&amp;TEXT(INT((ROW()-5)/9)+1,"000")&amp;"-2")</f>
        <v/>
      </c>
      <c r="C1916" t="str">
        <f>IF(OR(Registro_Compras!$C$216="",Registro_Compras!$O$216=""),"",IF(Registro_Compras!$AB$216="ADMINISTRATIVO","94","95"))</f>
        <v/>
      </c>
      <c r="D1916" t="str">
        <f>IF(OR(Registro_Compras!$C$216="",Registro_Compras!$O$216=""),"",IF(Registro_Compras!$AB$216="ADMINISTRATIVO","Gastos Administrativos","Gastos de Venta y Operacion"))</f>
        <v/>
      </c>
      <c r="E1916" s="20" t="str">
        <f>IF($C1916="","",IF(Registro_Compras!$F$216="NOTA DE CREDITO","",IF(Registro_Compras!$F$216="RHE",ROUND(Registro_Compras!$L$216*Registro_Compras!$N$216,2),ROUND(Registro_Compras!$J$216*Registro_Compras!$N$216,2))))</f>
        <v/>
      </c>
      <c r="F1916" s="20" t="str">
        <f>IF($C1916="","",IF(Registro_Compras!$F$216="NOTA DE CREDITO",ROUND(ABS(Registro_Compras!$J$216*Registro_Compras!$N$216),2),""))</f>
        <v/>
      </c>
      <c r="G1916" t="str">
        <f>IF($C1916="","","Por el destino del gasto")</f>
        <v/>
      </c>
      <c r="H1916" t="str">
        <f>IF($C1916="","",Registro_Compras!$C$216)</f>
        <v/>
      </c>
    </row>
    <row r="1917" spans="1:8" x14ac:dyDescent="0.25">
      <c r="A1917" s="25" t="str">
        <f>IF($C1917="","",Registro_Compras!$B$216)</f>
        <v/>
      </c>
      <c r="B1917" t="str">
        <f>IF($C1917="","","C"&amp;TEXT(INT((ROW()-5)/9)+1,"000")&amp;"-2")</f>
        <v/>
      </c>
      <c r="C1917" t="str">
        <f>IF(OR(Registro_Compras!$C$216="",Registro_Compras!$O$216=""),"","79/791")</f>
        <v/>
      </c>
      <c r="D1917" t="str">
        <f>IF(OR(Registro_Compras!$C$216="",Registro_Compras!$O$216=""),"","Cargas Imputables a Cuentas de Costos y Gastos")</f>
        <v/>
      </c>
      <c r="E1917" s="20" t="str">
        <f>IF($C1917="","",IF(Registro_Compras!$F$216="NOTA DE CREDITO",ROUND(ABS(Registro_Compras!$J$216*Registro_Compras!$N$216),2),""))</f>
        <v/>
      </c>
      <c r="F1917" s="20" t="str">
        <f>IF($C1917="","",IF(Registro_Compras!$F$216="NOTA DE CREDITO","",IF(Registro_Compras!$F$216="RHE",ROUND(Registro_Compras!$L$216*Registro_Compras!$N$216,2),ROUND(Registro_Compras!$J$216*Registro_Compras!$N$216,2))))</f>
        <v/>
      </c>
      <c r="G1917" t="str">
        <f>IF($C1917="","","Por el destino del gasto")</f>
        <v/>
      </c>
      <c r="H1917" t="str">
        <f>IF($C1917="","",Registro_Compras!$C$216)</f>
        <v/>
      </c>
    </row>
    <row r="1918" spans="1:8" x14ac:dyDescent="0.25">
      <c r="A1918" s="25" t="str">
        <f>IF($C1918="","",Registro_Compras!$X$216)</f>
        <v/>
      </c>
      <c r="B1918" t="str">
        <f>IF($C1918="","","C"&amp;TEXT(INT((ROW()-5)/9)+1,"000")&amp;"-3")</f>
        <v/>
      </c>
      <c r="C1918" t="str">
        <f>IF(OR(Registro_Compras!$C$216="",Registro_Compras!$O$216="",Registro_Compras!$R$216&lt;&gt;"SI",Registro_Compras!$X$216=""),"","4212")</f>
        <v/>
      </c>
      <c r="D1918" t="str">
        <f>IF(OR(Registro_Compras!$C$216="",Registro_Compras!$O$216=""),"","Cuentas por Pagar Comerciales - Terceros")</f>
        <v/>
      </c>
      <c r="E1918" s="20" t="str">
        <f>IF($C1918="","",Registro_Compras!$S$216)</f>
        <v/>
      </c>
      <c r="F1918" s="20" t="str">
        <f>""</f>
        <v/>
      </c>
      <c r="G1918" t="str">
        <f>IF($C1918="","","Por el deposito de la detraccion en el Banco de la Nacion")</f>
        <v/>
      </c>
      <c r="H1918" t="str">
        <f>IF($C1918="","",Registro_Compras!$C$216)</f>
        <v/>
      </c>
    </row>
    <row r="1919" spans="1:8" x14ac:dyDescent="0.25">
      <c r="A1919" s="25" t="str">
        <f>IF($C1919="","",Registro_Compras!$X$216)</f>
        <v/>
      </c>
      <c r="B1919" t="str">
        <f>IF($C1919="","","C"&amp;TEXT(INT((ROW()-5)/9)+1,"000")&amp;"-3")</f>
        <v/>
      </c>
      <c r="C1919" t="str">
        <f>IF(OR(Registro_Compras!$C$216="",Registro_Compras!$O$216="",Registro_Compras!$R$216&lt;&gt;"SI",Registro_Compras!$X$216=""),"","1041")</f>
        <v/>
      </c>
      <c r="D1919" t="str">
        <f>IF(OR(Registro_Compras!$C$216="",Registro_Compras!$O$216=""),"","Efectivo y Equivalentes - Cta. Cte. Operativa")</f>
        <v/>
      </c>
      <c r="E1919" s="20" t="str">
        <f>""</f>
        <v/>
      </c>
      <c r="F1919" s="20" t="str">
        <f>IF($C1919="","",Registro_Compras!$S$216)</f>
        <v/>
      </c>
      <c r="G1919" t="str">
        <f>IF($C1919="","","Por el deposito de la detraccion en el Banco de la Nacion")</f>
        <v/>
      </c>
      <c r="H1919" t="str">
        <f>IF($C1919="","",Registro_Compras!$C$216)</f>
        <v/>
      </c>
    </row>
    <row r="1920" spans="1:8" x14ac:dyDescent="0.25">
      <c r="A1920" s="25" t="str">
        <f>IF($C1920="","",Registro_Compras!$Y$216)</f>
        <v/>
      </c>
      <c r="B1920" t="str">
        <f>IF($C1920="","","C"&amp;TEXT(INT((ROW()-5)/9)+1,"000")&amp;"-4")</f>
        <v/>
      </c>
      <c r="C1920" t="str">
        <f>IF(OR(Registro_Compras!$C$216="",Registro_Compras!$O$216="",Registro_Compras!$Y$216="",Registro_Compras!$F$216="NOTA DE CREDITO"),"","4212")</f>
        <v/>
      </c>
      <c r="D1920" t="str">
        <f>IF(OR(Registro_Compras!$C$216="",Registro_Compras!$O$216=""),"","Cuentas por Pagar Comerciales - Terceros")</f>
        <v/>
      </c>
      <c r="E1920" s="20" t="str">
        <f>IF($C1920="","",IF(Registro_Compras!$F$216="RHE",(ROUND(Registro_Compras!$L$216*Registro_Compras!$N$216,2)-ROUND(Registro_Compras!$V$216*Registro_Compras!$N$216,2)),ROUND(Registro_Compras!$O$216-Registro_Compras!$S$216,2)))</f>
        <v/>
      </c>
      <c r="F1920" s="20" t="str">
        <f>""</f>
        <v/>
      </c>
      <c r="G1920" t="str">
        <f>IF($C1920="","","Por la cancelacion del saldo al proveedor")</f>
        <v/>
      </c>
      <c r="H1920" t="str">
        <f>IF($C1920="","",Registro_Compras!$C$216)</f>
        <v/>
      </c>
    </row>
    <row r="1921" spans="1:8" x14ac:dyDescent="0.25">
      <c r="A1921" s="25" t="str">
        <f>IF($C1921="","",Registro_Compras!$Y$216)</f>
        <v/>
      </c>
      <c r="B1921" t="str">
        <f>IF($C1921="","","C"&amp;TEXT(INT((ROW()-5)/9)+1,"000")&amp;"-4")</f>
        <v/>
      </c>
      <c r="C1921" t="str">
        <f>IF(OR(Registro_Compras!$C$216="",Registro_Compras!$O$216="",Registro_Compras!$Y$216="",Registro_Compras!$F$216="NOTA DE CREDITO"),"","1041")</f>
        <v/>
      </c>
      <c r="D1921" t="str">
        <f>IF(OR(Registro_Compras!$C$216="",Registro_Compras!$O$216=""),"","Efectivo y Equivalentes - Cta. Cte. Operativa")</f>
        <v/>
      </c>
      <c r="E1921" s="20" t="str">
        <f>""</f>
        <v/>
      </c>
      <c r="F1921" s="20" t="str">
        <f>IF($C1921="","",IF(Registro_Compras!$F$216="RHE",(ROUND(Registro_Compras!$L$216*Registro_Compras!$N$216,2)-ROUND(Registro_Compras!$V$216*Registro_Compras!$N$216,2)),ROUND(Registro_Compras!$O$216-Registro_Compras!$S$216,2)))</f>
        <v/>
      </c>
      <c r="G1921" t="str">
        <f>IF($C1921="","","Por la cancelacion del saldo al proveedor")</f>
        <v/>
      </c>
      <c r="H1921" t="str">
        <f>IF($C1921="","",Registro_Compras!$C$216)</f>
        <v/>
      </c>
    </row>
    <row r="1922" spans="1:8" x14ac:dyDescent="0.25">
      <c r="A1922" s="25" t="str">
        <f>IF($C1922="","",Registro_Compras!$B$217)</f>
        <v/>
      </c>
      <c r="B1922" t="str">
        <f>IF($C1922="","","C"&amp;TEXT(INT((ROW()-5)/9)+1,"000")&amp;"-1")</f>
        <v/>
      </c>
      <c r="C1922" t="str">
        <f>IF(OR(Registro_Compras!$C$217="",Registro_Compras!$O$217=""),"",IF(Registro_Compras!$F$217="NOTA DE CREDITO","4212",IF(Registro_Compras!$M$217="","63",Registro_Compras!$M$217)))</f>
        <v/>
      </c>
      <c r="D1922" t="str">
        <f>IF(OR(Registro_Compras!$C$217="",Registro_Compras!$O$217=""),"",IF(Registro_Compras!$F$217="NOTA DE CREDITO","Cuentas por Pagar Comerciales - Terceros (Emitidas)",IF(Registro_Compras!$F$217="RHE","Honorarios Profesionales - Servicios de Terceros","Gastos de Servicios Prestados por Terceros")))</f>
        <v/>
      </c>
      <c r="E1922" s="20" t="str">
        <f>IF($C1922="","",IF(Registro_Compras!$F$217="NOTA DE CREDITO",ABS(Registro_Compras!$O$217),IF(Registro_Compras!$F$217="RHE",ROUND(Registro_Compras!$L$217*Registro_Compras!$N$217,2),ROUND(Registro_Compras!$J$217*Registro_Compras!$N$217,2))))</f>
        <v/>
      </c>
      <c r="F1922" s="20" t="str">
        <f>""</f>
        <v/>
      </c>
      <c r="G1922" t="str">
        <f>IF($C1922="","",IF(Registro_Compras!$F$217="NOTA DE CREDITO","Por la nota de credito "&amp;Registro_Compras!$C$217&amp;" de "&amp;Registro_Compras!$E$217&amp;" [PATRON POR CONFIRMAR CON CONTADOR]",IF(Registro_Compras!$F$217="RHE","Por el registro del recibo por honorarios "&amp;Registro_Compras!$C$217&amp;" de "&amp;Registro_Compras!$E$217&amp;" [PATRON POR CONFIRMAR CON CONTADOR]","Por el registro de la factura "&amp;Registro_Compras!$C$217&amp;" de "&amp;Registro_Compras!$E$217)))</f>
        <v/>
      </c>
      <c r="H1922" t="str">
        <f>IF($C1922="","",Registro_Compras!$C$217)</f>
        <v/>
      </c>
    </row>
    <row r="1923" spans="1:8" x14ac:dyDescent="0.25">
      <c r="A1923" s="25" t="str">
        <f>IF($C1923="","",Registro_Compras!$B$217)</f>
        <v/>
      </c>
      <c r="B1923" t="str">
        <f>IF($C1923="","","C"&amp;TEXT(INT((ROW()-5)/9)+1,"000")&amp;"-1")</f>
        <v/>
      </c>
      <c r="C1923" t="str">
        <f>IF(OR(Registro_Compras!$C$217="",Registro_Compras!$O$217=""),"",IF(Registro_Compras!$F$217="RHE",IF(Registro_Compras!$V$217=0,"","4017"),IF(Registro_Compras!$F$217="NOTA DE CREDITO",IF(Registro_Compras!$M$217="","63",Registro_Compras!$M$217),IF(Registro_Compras!$K$217=0,"","40111"))))</f>
        <v/>
      </c>
      <c r="D1923" t="str">
        <f>IF(OR(Registro_Compras!$C$217="",Registro_Compras!$O$217=""),"",IF(Registro_Compras!$F$217="RHE","Retencion Renta 4ta Categoria por Pagar",IF(Registro_Compras!$F$217="NOTA DE CREDITO","Gastos de Servicios Prestados por Terceros","IGV - Cuenta Propia (Credito Fiscal)")))</f>
        <v/>
      </c>
      <c r="E1923" s="20" t="str">
        <f>IF($C1923="","",IF(Registro_Compras!$F$217="FACTURA",ROUND(Registro_Compras!$K$217*Registro_Compras!$N$217,2),""))</f>
        <v/>
      </c>
      <c r="F1923" s="20" t="str">
        <f>IF($C1923="","",IF(Registro_Compras!$F$217="RHE",ROUND(Registro_Compras!$V$217*Registro_Compras!$N$217,2),IF(Registro_Compras!$F$217="NOTA DE CREDITO",ROUND(ABS(Registro_Compras!$J$217*Registro_Compras!$N$217),2),"")))</f>
        <v/>
      </c>
      <c r="G1923" t="str">
        <f>IF($C1923="","",IF(Registro_Compras!$F$217="NOTA DE CREDITO","Por la nota de credito "&amp;Registro_Compras!$C$217&amp;" de "&amp;Registro_Compras!$E$217&amp;" [PATRON POR CONFIRMAR CON CONTADOR]",IF(Registro_Compras!$F$217="RHE","Por el registro del recibo por honorarios "&amp;Registro_Compras!$C$217&amp;" de "&amp;Registro_Compras!$E$217&amp;" [PATRON POR CONFIRMAR CON CONTADOR]","Por el registro de la factura "&amp;Registro_Compras!$C$217&amp;" de "&amp;Registro_Compras!$E$217)))</f>
        <v/>
      </c>
      <c r="H1923" t="str">
        <f>IF($C1923="","",Registro_Compras!$C$217)</f>
        <v/>
      </c>
    </row>
    <row r="1924" spans="1:8" x14ac:dyDescent="0.25">
      <c r="A1924" s="25" t="str">
        <f>IF($C1924="","",Registro_Compras!$B$217)</f>
        <v/>
      </c>
      <c r="B1924" t="str">
        <f>IF($C1924="","","C"&amp;TEXT(INT((ROW()-5)/9)+1,"000")&amp;"-1")</f>
        <v/>
      </c>
      <c r="C1924" t="str">
        <f>IF(OR(Registro_Compras!$C$217="",Registro_Compras!$O$217=""),"",IF(Registro_Compras!$F$217="NOTA DE CREDITO",IF(Registro_Compras!$K$217=0,"","40111"),"4212"))</f>
        <v/>
      </c>
      <c r="D1924" t="str">
        <f>IF(OR(Registro_Compras!$C$217="",Registro_Compras!$O$217=""),"",IF(Registro_Compras!$F$217="NOTA DE CREDITO","IGV - Cuenta Propia (Credito Fiscal)","Cuentas por Pagar Comerciales - Terceros (Emitidas)"))</f>
        <v/>
      </c>
      <c r="E1924" s="20" t="str">
        <f>""</f>
        <v/>
      </c>
      <c r="F1924" s="20" t="str">
        <f>IF($C1924="","",IF(Registro_Compras!$F$217="NOTA DE CREDITO",ROUND(ABS(Registro_Compras!$K$217*Registro_Compras!$N$217),2),IF(Registro_Compras!$F$217="RHE",(ROUND(Registro_Compras!$L$217*Registro_Compras!$N$217,2)-ROUND(Registro_Compras!$V$217*Registro_Compras!$N$217,2)),Registro_Compras!$O$217)))</f>
        <v/>
      </c>
      <c r="G1924" t="str">
        <f>IF($C1924="","",IF(Registro_Compras!$F$217="NOTA DE CREDITO","Por la nota de credito "&amp;Registro_Compras!$C$217&amp;" de "&amp;Registro_Compras!$E$217&amp;" [PATRON POR CONFIRMAR CON CONTADOR]",IF(Registro_Compras!$F$217="RHE","Por el registro del recibo por honorarios "&amp;Registro_Compras!$C$217&amp;" de "&amp;Registro_Compras!$E$217&amp;" [PATRON POR CONFIRMAR CON CONTADOR]","Por el registro de la factura "&amp;Registro_Compras!$C$217&amp;" de "&amp;Registro_Compras!$E$217)))</f>
        <v/>
      </c>
      <c r="H1924" t="str">
        <f>IF($C1924="","",Registro_Compras!$C$217)</f>
        <v/>
      </c>
    </row>
    <row r="1925" spans="1:8" x14ac:dyDescent="0.25">
      <c r="A1925" s="25" t="str">
        <f>IF($C1925="","",Registro_Compras!$B$217)</f>
        <v/>
      </c>
      <c r="B1925" t="str">
        <f>IF($C1925="","","C"&amp;TEXT(INT((ROW()-5)/9)+1,"000")&amp;"-2")</f>
        <v/>
      </c>
      <c r="C1925" t="str">
        <f>IF(OR(Registro_Compras!$C$217="",Registro_Compras!$O$217=""),"",IF(Registro_Compras!$AB$217="ADMINISTRATIVO","94","95"))</f>
        <v/>
      </c>
      <c r="D1925" t="str">
        <f>IF(OR(Registro_Compras!$C$217="",Registro_Compras!$O$217=""),"",IF(Registro_Compras!$AB$217="ADMINISTRATIVO","Gastos Administrativos","Gastos de Venta y Operacion"))</f>
        <v/>
      </c>
      <c r="E1925" s="20" t="str">
        <f>IF($C1925="","",IF(Registro_Compras!$F$217="NOTA DE CREDITO","",IF(Registro_Compras!$F$217="RHE",ROUND(Registro_Compras!$L$217*Registro_Compras!$N$217,2),ROUND(Registro_Compras!$J$217*Registro_Compras!$N$217,2))))</f>
        <v/>
      </c>
      <c r="F1925" s="20" t="str">
        <f>IF($C1925="","",IF(Registro_Compras!$F$217="NOTA DE CREDITO",ROUND(ABS(Registro_Compras!$J$217*Registro_Compras!$N$217),2),""))</f>
        <v/>
      </c>
      <c r="G1925" t="str">
        <f>IF($C1925="","","Por el destino del gasto")</f>
        <v/>
      </c>
      <c r="H1925" t="str">
        <f>IF($C1925="","",Registro_Compras!$C$217)</f>
        <v/>
      </c>
    </row>
    <row r="1926" spans="1:8" x14ac:dyDescent="0.25">
      <c r="A1926" s="25" t="str">
        <f>IF($C1926="","",Registro_Compras!$B$217)</f>
        <v/>
      </c>
      <c r="B1926" t="str">
        <f>IF($C1926="","","C"&amp;TEXT(INT((ROW()-5)/9)+1,"000")&amp;"-2")</f>
        <v/>
      </c>
      <c r="C1926" t="str">
        <f>IF(OR(Registro_Compras!$C$217="",Registro_Compras!$O$217=""),"","79/791")</f>
        <v/>
      </c>
      <c r="D1926" t="str">
        <f>IF(OR(Registro_Compras!$C$217="",Registro_Compras!$O$217=""),"","Cargas Imputables a Cuentas de Costos y Gastos")</f>
        <v/>
      </c>
      <c r="E1926" s="20" t="str">
        <f>IF($C1926="","",IF(Registro_Compras!$F$217="NOTA DE CREDITO",ROUND(ABS(Registro_Compras!$J$217*Registro_Compras!$N$217),2),""))</f>
        <v/>
      </c>
      <c r="F1926" s="20" t="str">
        <f>IF($C1926="","",IF(Registro_Compras!$F$217="NOTA DE CREDITO","",IF(Registro_Compras!$F$217="RHE",ROUND(Registro_Compras!$L$217*Registro_Compras!$N$217,2),ROUND(Registro_Compras!$J$217*Registro_Compras!$N$217,2))))</f>
        <v/>
      </c>
      <c r="G1926" t="str">
        <f>IF($C1926="","","Por el destino del gasto")</f>
        <v/>
      </c>
      <c r="H1926" t="str">
        <f>IF($C1926="","",Registro_Compras!$C$217)</f>
        <v/>
      </c>
    </row>
    <row r="1927" spans="1:8" x14ac:dyDescent="0.25">
      <c r="A1927" s="25" t="str">
        <f>IF($C1927="","",Registro_Compras!$X$217)</f>
        <v/>
      </c>
      <c r="B1927" t="str">
        <f>IF($C1927="","","C"&amp;TEXT(INT((ROW()-5)/9)+1,"000")&amp;"-3")</f>
        <v/>
      </c>
      <c r="C1927" t="str">
        <f>IF(OR(Registro_Compras!$C$217="",Registro_Compras!$O$217="",Registro_Compras!$R$217&lt;&gt;"SI",Registro_Compras!$X$217=""),"","4212")</f>
        <v/>
      </c>
      <c r="D1927" t="str">
        <f>IF(OR(Registro_Compras!$C$217="",Registro_Compras!$O$217=""),"","Cuentas por Pagar Comerciales - Terceros")</f>
        <v/>
      </c>
      <c r="E1927" s="20" t="str">
        <f>IF($C1927="","",Registro_Compras!$S$217)</f>
        <v/>
      </c>
      <c r="F1927" s="20" t="str">
        <f>""</f>
        <v/>
      </c>
      <c r="G1927" t="str">
        <f>IF($C1927="","","Por el deposito de la detraccion en el Banco de la Nacion")</f>
        <v/>
      </c>
      <c r="H1927" t="str">
        <f>IF($C1927="","",Registro_Compras!$C$217)</f>
        <v/>
      </c>
    </row>
    <row r="1928" spans="1:8" x14ac:dyDescent="0.25">
      <c r="A1928" s="25" t="str">
        <f>IF($C1928="","",Registro_Compras!$X$217)</f>
        <v/>
      </c>
      <c r="B1928" t="str">
        <f>IF($C1928="","","C"&amp;TEXT(INT((ROW()-5)/9)+1,"000")&amp;"-3")</f>
        <v/>
      </c>
      <c r="C1928" t="str">
        <f>IF(OR(Registro_Compras!$C$217="",Registro_Compras!$O$217="",Registro_Compras!$R$217&lt;&gt;"SI",Registro_Compras!$X$217=""),"","1041")</f>
        <v/>
      </c>
      <c r="D1928" t="str">
        <f>IF(OR(Registro_Compras!$C$217="",Registro_Compras!$O$217=""),"","Efectivo y Equivalentes - Cta. Cte. Operativa")</f>
        <v/>
      </c>
      <c r="E1928" s="20" t="str">
        <f>""</f>
        <v/>
      </c>
      <c r="F1928" s="20" t="str">
        <f>IF($C1928="","",Registro_Compras!$S$217)</f>
        <v/>
      </c>
      <c r="G1928" t="str">
        <f>IF($C1928="","","Por el deposito de la detraccion en el Banco de la Nacion")</f>
        <v/>
      </c>
      <c r="H1928" t="str">
        <f>IF($C1928="","",Registro_Compras!$C$217)</f>
        <v/>
      </c>
    </row>
    <row r="1929" spans="1:8" x14ac:dyDescent="0.25">
      <c r="A1929" s="25" t="str">
        <f>IF($C1929="","",Registro_Compras!$Y$217)</f>
        <v/>
      </c>
      <c r="B1929" t="str">
        <f>IF($C1929="","","C"&amp;TEXT(INT((ROW()-5)/9)+1,"000")&amp;"-4")</f>
        <v/>
      </c>
      <c r="C1929" t="str">
        <f>IF(OR(Registro_Compras!$C$217="",Registro_Compras!$O$217="",Registro_Compras!$Y$217="",Registro_Compras!$F$217="NOTA DE CREDITO"),"","4212")</f>
        <v/>
      </c>
      <c r="D1929" t="str">
        <f>IF(OR(Registro_Compras!$C$217="",Registro_Compras!$O$217=""),"","Cuentas por Pagar Comerciales - Terceros")</f>
        <v/>
      </c>
      <c r="E1929" s="20" t="str">
        <f>IF($C1929="","",IF(Registro_Compras!$F$217="RHE",(ROUND(Registro_Compras!$L$217*Registro_Compras!$N$217,2)-ROUND(Registro_Compras!$V$217*Registro_Compras!$N$217,2)),ROUND(Registro_Compras!$O$217-Registro_Compras!$S$217,2)))</f>
        <v/>
      </c>
      <c r="F1929" s="20" t="str">
        <f>""</f>
        <v/>
      </c>
      <c r="G1929" t="str">
        <f>IF($C1929="","","Por la cancelacion del saldo al proveedor")</f>
        <v/>
      </c>
      <c r="H1929" t="str">
        <f>IF($C1929="","",Registro_Compras!$C$217)</f>
        <v/>
      </c>
    </row>
    <row r="1930" spans="1:8" x14ac:dyDescent="0.25">
      <c r="A1930" s="25" t="str">
        <f>IF($C1930="","",Registro_Compras!$Y$217)</f>
        <v/>
      </c>
      <c r="B1930" t="str">
        <f>IF($C1930="","","C"&amp;TEXT(INT((ROW()-5)/9)+1,"000")&amp;"-4")</f>
        <v/>
      </c>
      <c r="C1930" t="str">
        <f>IF(OR(Registro_Compras!$C$217="",Registro_Compras!$O$217="",Registro_Compras!$Y$217="",Registro_Compras!$F$217="NOTA DE CREDITO"),"","1041")</f>
        <v/>
      </c>
      <c r="D1930" t="str">
        <f>IF(OR(Registro_Compras!$C$217="",Registro_Compras!$O$217=""),"","Efectivo y Equivalentes - Cta. Cte. Operativa")</f>
        <v/>
      </c>
      <c r="E1930" s="20" t="str">
        <f>""</f>
        <v/>
      </c>
      <c r="F1930" s="20" t="str">
        <f>IF($C1930="","",IF(Registro_Compras!$F$217="RHE",(ROUND(Registro_Compras!$L$217*Registro_Compras!$N$217,2)-ROUND(Registro_Compras!$V$217*Registro_Compras!$N$217,2)),ROUND(Registro_Compras!$O$217-Registro_Compras!$S$217,2)))</f>
        <v/>
      </c>
      <c r="G1930" t="str">
        <f>IF($C1930="","","Por la cancelacion del saldo al proveedor")</f>
        <v/>
      </c>
      <c r="H1930" t="str">
        <f>IF($C1930="","",Registro_Compras!$C$217)</f>
        <v/>
      </c>
    </row>
    <row r="1931" spans="1:8" x14ac:dyDescent="0.25">
      <c r="A1931" s="25" t="str">
        <f>IF($C1931="","",Registro_Compras!$B$218)</f>
        <v/>
      </c>
      <c r="B1931" t="str">
        <f>IF($C1931="","","C"&amp;TEXT(INT((ROW()-5)/9)+1,"000")&amp;"-1")</f>
        <v/>
      </c>
      <c r="C1931" t="str">
        <f>IF(OR(Registro_Compras!$C$218="",Registro_Compras!$O$218=""),"",IF(Registro_Compras!$F$218="NOTA DE CREDITO","4212",IF(Registro_Compras!$M$218="","63",Registro_Compras!$M$218)))</f>
        <v/>
      </c>
      <c r="D1931" t="str">
        <f>IF(OR(Registro_Compras!$C$218="",Registro_Compras!$O$218=""),"",IF(Registro_Compras!$F$218="NOTA DE CREDITO","Cuentas por Pagar Comerciales - Terceros (Emitidas)",IF(Registro_Compras!$F$218="RHE","Honorarios Profesionales - Servicios de Terceros","Gastos de Servicios Prestados por Terceros")))</f>
        <v/>
      </c>
      <c r="E1931" s="20" t="str">
        <f>IF($C1931="","",IF(Registro_Compras!$F$218="NOTA DE CREDITO",ABS(Registro_Compras!$O$218),IF(Registro_Compras!$F$218="RHE",ROUND(Registro_Compras!$L$218*Registro_Compras!$N$218,2),ROUND(Registro_Compras!$J$218*Registro_Compras!$N$218,2))))</f>
        <v/>
      </c>
      <c r="F1931" s="20" t="str">
        <f>""</f>
        <v/>
      </c>
      <c r="G1931" t="str">
        <f>IF($C1931="","",IF(Registro_Compras!$F$218="NOTA DE CREDITO","Por la nota de credito "&amp;Registro_Compras!$C$218&amp;" de "&amp;Registro_Compras!$E$218&amp;" [PATRON POR CONFIRMAR CON CONTADOR]",IF(Registro_Compras!$F$218="RHE","Por el registro del recibo por honorarios "&amp;Registro_Compras!$C$218&amp;" de "&amp;Registro_Compras!$E$218&amp;" [PATRON POR CONFIRMAR CON CONTADOR]","Por el registro de la factura "&amp;Registro_Compras!$C$218&amp;" de "&amp;Registro_Compras!$E$218)))</f>
        <v/>
      </c>
      <c r="H1931" t="str">
        <f>IF($C1931="","",Registro_Compras!$C$218)</f>
        <v/>
      </c>
    </row>
    <row r="1932" spans="1:8" x14ac:dyDescent="0.25">
      <c r="A1932" s="25" t="str">
        <f>IF($C1932="","",Registro_Compras!$B$218)</f>
        <v/>
      </c>
      <c r="B1932" t="str">
        <f>IF($C1932="","","C"&amp;TEXT(INT((ROW()-5)/9)+1,"000")&amp;"-1")</f>
        <v/>
      </c>
      <c r="C1932" t="str">
        <f>IF(OR(Registro_Compras!$C$218="",Registro_Compras!$O$218=""),"",IF(Registro_Compras!$F$218="RHE",IF(Registro_Compras!$V$218=0,"","4017"),IF(Registro_Compras!$F$218="NOTA DE CREDITO",IF(Registro_Compras!$M$218="","63",Registro_Compras!$M$218),IF(Registro_Compras!$K$218=0,"","40111"))))</f>
        <v/>
      </c>
      <c r="D1932" t="str">
        <f>IF(OR(Registro_Compras!$C$218="",Registro_Compras!$O$218=""),"",IF(Registro_Compras!$F$218="RHE","Retencion Renta 4ta Categoria por Pagar",IF(Registro_Compras!$F$218="NOTA DE CREDITO","Gastos de Servicios Prestados por Terceros","IGV - Cuenta Propia (Credito Fiscal)")))</f>
        <v/>
      </c>
      <c r="E1932" s="20" t="str">
        <f>IF($C1932="","",IF(Registro_Compras!$F$218="FACTURA",ROUND(Registro_Compras!$K$218*Registro_Compras!$N$218,2),""))</f>
        <v/>
      </c>
      <c r="F1932" s="20" t="str">
        <f>IF($C1932="","",IF(Registro_Compras!$F$218="RHE",ROUND(Registro_Compras!$V$218*Registro_Compras!$N$218,2),IF(Registro_Compras!$F$218="NOTA DE CREDITO",ROUND(ABS(Registro_Compras!$J$218*Registro_Compras!$N$218),2),"")))</f>
        <v/>
      </c>
      <c r="G1932" t="str">
        <f>IF($C1932="","",IF(Registro_Compras!$F$218="NOTA DE CREDITO","Por la nota de credito "&amp;Registro_Compras!$C$218&amp;" de "&amp;Registro_Compras!$E$218&amp;" [PATRON POR CONFIRMAR CON CONTADOR]",IF(Registro_Compras!$F$218="RHE","Por el registro del recibo por honorarios "&amp;Registro_Compras!$C$218&amp;" de "&amp;Registro_Compras!$E$218&amp;" [PATRON POR CONFIRMAR CON CONTADOR]","Por el registro de la factura "&amp;Registro_Compras!$C$218&amp;" de "&amp;Registro_Compras!$E$218)))</f>
        <v/>
      </c>
      <c r="H1932" t="str">
        <f>IF($C1932="","",Registro_Compras!$C$218)</f>
        <v/>
      </c>
    </row>
    <row r="1933" spans="1:8" x14ac:dyDescent="0.25">
      <c r="A1933" s="25" t="str">
        <f>IF($C1933="","",Registro_Compras!$B$218)</f>
        <v/>
      </c>
      <c r="B1933" t="str">
        <f>IF($C1933="","","C"&amp;TEXT(INT((ROW()-5)/9)+1,"000")&amp;"-1")</f>
        <v/>
      </c>
      <c r="C1933" t="str">
        <f>IF(OR(Registro_Compras!$C$218="",Registro_Compras!$O$218=""),"",IF(Registro_Compras!$F$218="NOTA DE CREDITO",IF(Registro_Compras!$K$218=0,"","40111"),"4212"))</f>
        <v/>
      </c>
      <c r="D1933" t="str">
        <f>IF(OR(Registro_Compras!$C$218="",Registro_Compras!$O$218=""),"",IF(Registro_Compras!$F$218="NOTA DE CREDITO","IGV - Cuenta Propia (Credito Fiscal)","Cuentas por Pagar Comerciales - Terceros (Emitidas)"))</f>
        <v/>
      </c>
      <c r="E1933" s="20" t="str">
        <f>""</f>
        <v/>
      </c>
      <c r="F1933" s="20" t="str">
        <f>IF($C1933="","",IF(Registro_Compras!$F$218="NOTA DE CREDITO",ROUND(ABS(Registro_Compras!$K$218*Registro_Compras!$N$218),2),IF(Registro_Compras!$F$218="RHE",(ROUND(Registro_Compras!$L$218*Registro_Compras!$N$218,2)-ROUND(Registro_Compras!$V$218*Registro_Compras!$N$218,2)),Registro_Compras!$O$218)))</f>
        <v/>
      </c>
      <c r="G1933" t="str">
        <f>IF($C1933="","",IF(Registro_Compras!$F$218="NOTA DE CREDITO","Por la nota de credito "&amp;Registro_Compras!$C$218&amp;" de "&amp;Registro_Compras!$E$218&amp;" [PATRON POR CONFIRMAR CON CONTADOR]",IF(Registro_Compras!$F$218="RHE","Por el registro del recibo por honorarios "&amp;Registro_Compras!$C$218&amp;" de "&amp;Registro_Compras!$E$218&amp;" [PATRON POR CONFIRMAR CON CONTADOR]","Por el registro de la factura "&amp;Registro_Compras!$C$218&amp;" de "&amp;Registro_Compras!$E$218)))</f>
        <v/>
      </c>
      <c r="H1933" t="str">
        <f>IF($C1933="","",Registro_Compras!$C$218)</f>
        <v/>
      </c>
    </row>
    <row r="1934" spans="1:8" x14ac:dyDescent="0.25">
      <c r="A1934" s="25" t="str">
        <f>IF($C1934="","",Registro_Compras!$B$218)</f>
        <v/>
      </c>
      <c r="B1934" t="str">
        <f>IF($C1934="","","C"&amp;TEXT(INT((ROW()-5)/9)+1,"000")&amp;"-2")</f>
        <v/>
      </c>
      <c r="C1934" t="str">
        <f>IF(OR(Registro_Compras!$C$218="",Registro_Compras!$O$218=""),"",IF(Registro_Compras!$AB$218="ADMINISTRATIVO","94","95"))</f>
        <v/>
      </c>
      <c r="D1934" t="str">
        <f>IF(OR(Registro_Compras!$C$218="",Registro_Compras!$O$218=""),"",IF(Registro_Compras!$AB$218="ADMINISTRATIVO","Gastos Administrativos","Gastos de Venta y Operacion"))</f>
        <v/>
      </c>
      <c r="E1934" s="20" t="str">
        <f>IF($C1934="","",IF(Registro_Compras!$F$218="NOTA DE CREDITO","",IF(Registro_Compras!$F$218="RHE",ROUND(Registro_Compras!$L$218*Registro_Compras!$N$218,2),ROUND(Registro_Compras!$J$218*Registro_Compras!$N$218,2))))</f>
        <v/>
      </c>
      <c r="F1934" s="20" t="str">
        <f>IF($C1934="","",IF(Registro_Compras!$F$218="NOTA DE CREDITO",ROUND(ABS(Registro_Compras!$J$218*Registro_Compras!$N$218),2),""))</f>
        <v/>
      </c>
      <c r="G1934" t="str">
        <f>IF($C1934="","","Por el destino del gasto")</f>
        <v/>
      </c>
      <c r="H1934" t="str">
        <f>IF($C1934="","",Registro_Compras!$C$218)</f>
        <v/>
      </c>
    </row>
    <row r="1935" spans="1:8" x14ac:dyDescent="0.25">
      <c r="A1935" s="25" t="str">
        <f>IF($C1935="","",Registro_Compras!$B$218)</f>
        <v/>
      </c>
      <c r="B1935" t="str">
        <f>IF($C1935="","","C"&amp;TEXT(INT((ROW()-5)/9)+1,"000")&amp;"-2")</f>
        <v/>
      </c>
      <c r="C1935" t="str">
        <f>IF(OR(Registro_Compras!$C$218="",Registro_Compras!$O$218=""),"","79/791")</f>
        <v/>
      </c>
      <c r="D1935" t="str">
        <f>IF(OR(Registro_Compras!$C$218="",Registro_Compras!$O$218=""),"","Cargas Imputables a Cuentas de Costos y Gastos")</f>
        <v/>
      </c>
      <c r="E1935" s="20" t="str">
        <f>IF($C1935="","",IF(Registro_Compras!$F$218="NOTA DE CREDITO",ROUND(ABS(Registro_Compras!$J$218*Registro_Compras!$N$218),2),""))</f>
        <v/>
      </c>
      <c r="F1935" s="20" t="str">
        <f>IF($C1935="","",IF(Registro_Compras!$F$218="NOTA DE CREDITO","",IF(Registro_Compras!$F$218="RHE",ROUND(Registro_Compras!$L$218*Registro_Compras!$N$218,2),ROUND(Registro_Compras!$J$218*Registro_Compras!$N$218,2))))</f>
        <v/>
      </c>
      <c r="G1935" t="str">
        <f>IF($C1935="","","Por el destino del gasto")</f>
        <v/>
      </c>
      <c r="H1935" t="str">
        <f>IF($C1935="","",Registro_Compras!$C$218)</f>
        <v/>
      </c>
    </row>
    <row r="1936" spans="1:8" x14ac:dyDescent="0.25">
      <c r="A1936" s="25" t="str">
        <f>IF($C1936="","",Registro_Compras!$X$218)</f>
        <v/>
      </c>
      <c r="B1936" t="str">
        <f>IF($C1936="","","C"&amp;TEXT(INT((ROW()-5)/9)+1,"000")&amp;"-3")</f>
        <v/>
      </c>
      <c r="C1936" t="str">
        <f>IF(OR(Registro_Compras!$C$218="",Registro_Compras!$O$218="",Registro_Compras!$R$218&lt;&gt;"SI",Registro_Compras!$X$218=""),"","4212")</f>
        <v/>
      </c>
      <c r="D1936" t="str">
        <f>IF(OR(Registro_Compras!$C$218="",Registro_Compras!$O$218=""),"","Cuentas por Pagar Comerciales - Terceros")</f>
        <v/>
      </c>
      <c r="E1936" s="20" t="str">
        <f>IF($C1936="","",Registro_Compras!$S$218)</f>
        <v/>
      </c>
      <c r="F1936" s="20" t="str">
        <f>""</f>
        <v/>
      </c>
      <c r="G1936" t="str">
        <f>IF($C1936="","","Por el deposito de la detraccion en el Banco de la Nacion")</f>
        <v/>
      </c>
      <c r="H1936" t="str">
        <f>IF($C1936="","",Registro_Compras!$C$218)</f>
        <v/>
      </c>
    </row>
    <row r="1937" spans="1:8" x14ac:dyDescent="0.25">
      <c r="A1937" s="25" t="str">
        <f>IF($C1937="","",Registro_Compras!$X$218)</f>
        <v/>
      </c>
      <c r="B1937" t="str">
        <f>IF($C1937="","","C"&amp;TEXT(INT((ROW()-5)/9)+1,"000")&amp;"-3")</f>
        <v/>
      </c>
      <c r="C1937" t="str">
        <f>IF(OR(Registro_Compras!$C$218="",Registro_Compras!$O$218="",Registro_Compras!$R$218&lt;&gt;"SI",Registro_Compras!$X$218=""),"","1041")</f>
        <v/>
      </c>
      <c r="D1937" t="str">
        <f>IF(OR(Registro_Compras!$C$218="",Registro_Compras!$O$218=""),"","Efectivo y Equivalentes - Cta. Cte. Operativa")</f>
        <v/>
      </c>
      <c r="E1937" s="20" t="str">
        <f>""</f>
        <v/>
      </c>
      <c r="F1937" s="20" t="str">
        <f>IF($C1937="","",Registro_Compras!$S$218)</f>
        <v/>
      </c>
      <c r="G1937" t="str">
        <f>IF($C1937="","","Por el deposito de la detraccion en el Banco de la Nacion")</f>
        <v/>
      </c>
      <c r="H1937" t="str">
        <f>IF($C1937="","",Registro_Compras!$C$218)</f>
        <v/>
      </c>
    </row>
    <row r="1938" spans="1:8" x14ac:dyDescent="0.25">
      <c r="A1938" s="25" t="str">
        <f>IF($C1938="","",Registro_Compras!$Y$218)</f>
        <v/>
      </c>
      <c r="B1938" t="str">
        <f>IF($C1938="","","C"&amp;TEXT(INT((ROW()-5)/9)+1,"000")&amp;"-4")</f>
        <v/>
      </c>
      <c r="C1938" t="str">
        <f>IF(OR(Registro_Compras!$C$218="",Registro_Compras!$O$218="",Registro_Compras!$Y$218="",Registro_Compras!$F$218="NOTA DE CREDITO"),"","4212")</f>
        <v/>
      </c>
      <c r="D1938" t="str">
        <f>IF(OR(Registro_Compras!$C$218="",Registro_Compras!$O$218=""),"","Cuentas por Pagar Comerciales - Terceros")</f>
        <v/>
      </c>
      <c r="E1938" s="20" t="str">
        <f>IF($C1938="","",IF(Registro_Compras!$F$218="RHE",(ROUND(Registro_Compras!$L$218*Registro_Compras!$N$218,2)-ROUND(Registro_Compras!$V$218*Registro_Compras!$N$218,2)),ROUND(Registro_Compras!$O$218-Registro_Compras!$S$218,2)))</f>
        <v/>
      </c>
      <c r="F1938" s="20" t="str">
        <f>""</f>
        <v/>
      </c>
      <c r="G1938" t="str">
        <f>IF($C1938="","","Por la cancelacion del saldo al proveedor")</f>
        <v/>
      </c>
      <c r="H1938" t="str">
        <f>IF($C1938="","",Registro_Compras!$C$218)</f>
        <v/>
      </c>
    </row>
    <row r="1939" spans="1:8" x14ac:dyDescent="0.25">
      <c r="A1939" s="25" t="str">
        <f>IF($C1939="","",Registro_Compras!$Y$218)</f>
        <v/>
      </c>
      <c r="B1939" t="str">
        <f>IF($C1939="","","C"&amp;TEXT(INT((ROW()-5)/9)+1,"000")&amp;"-4")</f>
        <v/>
      </c>
      <c r="C1939" t="str">
        <f>IF(OR(Registro_Compras!$C$218="",Registro_Compras!$O$218="",Registro_Compras!$Y$218="",Registro_Compras!$F$218="NOTA DE CREDITO"),"","1041")</f>
        <v/>
      </c>
      <c r="D1939" t="str">
        <f>IF(OR(Registro_Compras!$C$218="",Registro_Compras!$O$218=""),"","Efectivo y Equivalentes - Cta. Cte. Operativa")</f>
        <v/>
      </c>
      <c r="E1939" s="20" t="str">
        <f>""</f>
        <v/>
      </c>
      <c r="F1939" s="20" t="str">
        <f>IF($C1939="","",IF(Registro_Compras!$F$218="RHE",(ROUND(Registro_Compras!$L$218*Registro_Compras!$N$218,2)-ROUND(Registro_Compras!$V$218*Registro_Compras!$N$218,2)),ROUND(Registro_Compras!$O$218-Registro_Compras!$S$218,2)))</f>
        <v/>
      </c>
      <c r="G1939" t="str">
        <f>IF($C1939="","","Por la cancelacion del saldo al proveedor")</f>
        <v/>
      </c>
      <c r="H1939" t="str">
        <f>IF($C1939="","",Registro_Compras!$C$218)</f>
        <v/>
      </c>
    </row>
    <row r="1940" spans="1:8" x14ac:dyDescent="0.25">
      <c r="A1940" s="25" t="str">
        <f>IF($C1940="","",Registro_Compras!$B$219)</f>
        <v/>
      </c>
      <c r="B1940" t="str">
        <f>IF($C1940="","","C"&amp;TEXT(INT((ROW()-5)/9)+1,"000")&amp;"-1")</f>
        <v/>
      </c>
      <c r="C1940" t="str">
        <f>IF(OR(Registro_Compras!$C$219="",Registro_Compras!$O$219=""),"",IF(Registro_Compras!$F$219="NOTA DE CREDITO","4212",IF(Registro_Compras!$M$219="","63",Registro_Compras!$M$219)))</f>
        <v/>
      </c>
      <c r="D1940" t="str">
        <f>IF(OR(Registro_Compras!$C$219="",Registro_Compras!$O$219=""),"",IF(Registro_Compras!$F$219="NOTA DE CREDITO","Cuentas por Pagar Comerciales - Terceros (Emitidas)",IF(Registro_Compras!$F$219="RHE","Honorarios Profesionales - Servicios de Terceros","Gastos de Servicios Prestados por Terceros")))</f>
        <v/>
      </c>
      <c r="E1940" s="20" t="str">
        <f>IF($C1940="","",IF(Registro_Compras!$F$219="NOTA DE CREDITO",ABS(Registro_Compras!$O$219),IF(Registro_Compras!$F$219="RHE",ROUND(Registro_Compras!$L$219*Registro_Compras!$N$219,2),ROUND(Registro_Compras!$J$219*Registro_Compras!$N$219,2))))</f>
        <v/>
      </c>
      <c r="F1940" s="20" t="str">
        <f>""</f>
        <v/>
      </c>
      <c r="G1940" t="str">
        <f>IF($C1940="","",IF(Registro_Compras!$F$219="NOTA DE CREDITO","Por la nota de credito "&amp;Registro_Compras!$C$219&amp;" de "&amp;Registro_Compras!$E$219&amp;" [PATRON POR CONFIRMAR CON CONTADOR]",IF(Registro_Compras!$F$219="RHE","Por el registro del recibo por honorarios "&amp;Registro_Compras!$C$219&amp;" de "&amp;Registro_Compras!$E$219&amp;" [PATRON POR CONFIRMAR CON CONTADOR]","Por el registro de la factura "&amp;Registro_Compras!$C$219&amp;" de "&amp;Registro_Compras!$E$219)))</f>
        <v/>
      </c>
      <c r="H1940" t="str">
        <f>IF($C1940="","",Registro_Compras!$C$219)</f>
        <v/>
      </c>
    </row>
    <row r="1941" spans="1:8" x14ac:dyDescent="0.25">
      <c r="A1941" s="25" t="str">
        <f>IF($C1941="","",Registro_Compras!$B$219)</f>
        <v/>
      </c>
      <c r="B1941" t="str">
        <f>IF($C1941="","","C"&amp;TEXT(INT((ROW()-5)/9)+1,"000")&amp;"-1")</f>
        <v/>
      </c>
      <c r="C1941" t="str">
        <f>IF(OR(Registro_Compras!$C$219="",Registro_Compras!$O$219=""),"",IF(Registro_Compras!$F$219="RHE",IF(Registro_Compras!$V$219=0,"","4017"),IF(Registro_Compras!$F$219="NOTA DE CREDITO",IF(Registro_Compras!$M$219="","63",Registro_Compras!$M$219),IF(Registro_Compras!$K$219=0,"","40111"))))</f>
        <v/>
      </c>
      <c r="D1941" t="str">
        <f>IF(OR(Registro_Compras!$C$219="",Registro_Compras!$O$219=""),"",IF(Registro_Compras!$F$219="RHE","Retencion Renta 4ta Categoria por Pagar",IF(Registro_Compras!$F$219="NOTA DE CREDITO","Gastos de Servicios Prestados por Terceros","IGV - Cuenta Propia (Credito Fiscal)")))</f>
        <v/>
      </c>
      <c r="E1941" s="20" t="str">
        <f>IF($C1941="","",IF(Registro_Compras!$F$219="FACTURA",ROUND(Registro_Compras!$K$219*Registro_Compras!$N$219,2),""))</f>
        <v/>
      </c>
      <c r="F1941" s="20" t="str">
        <f>IF($C1941="","",IF(Registro_Compras!$F$219="RHE",ROUND(Registro_Compras!$V$219*Registro_Compras!$N$219,2),IF(Registro_Compras!$F$219="NOTA DE CREDITO",ROUND(ABS(Registro_Compras!$J$219*Registro_Compras!$N$219),2),"")))</f>
        <v/>
      </c>
      <c r="G1941" t="str">
        <f>IF($C1941="","",IF(Registro_Compras!$F$219="NOTA DE CREDITO","Por la nota de credito "&amp;Registro_Compras!$C$219&amp;" de "&amp;Registro_Compras!$E$219&amp;" [PATRON POR CONFIRMAR CON CONTADOR]",IF(Registro_Compras!$F$219="RHE","Por el registro del recibo por honorarios "&amp;Registro_Compras!$C$219&amp;" de "&amp;Registro_Compras!$E$219&amp;" [PATRON POR CONFIRMAR CON CONTADOR]","Por el registro de la factura "&amp;Registro_Compras!$C$219&amp;" de "&amp;Registro_Compras!$E$219)))</f>
        <v/>
      </c>
      <c r="H1941" t="str">
        <f>IF($C1941="","",Registro_Compras!$C$219)</f>
        <v/>
      </c>
    </row>
    <row r="1942" spans="1:8" x14ac:dyDescent="0.25">
      <c r="A1942" s="25" t="str">
        <f>IF($C1942="","",Registro_Compras!$B$219)</f>
        <v/>
      </c>
      <c r="B1942" t="str">
        <f>IF($C1942="","","C"&amp;TEXT(INT((ROW()-5)/9)+1,"000")&amp;"-1")</f>
        <v/>
      </c>
      <c r="C1942" t="str">
        <f>IF(OR(Registro_Compras!$C$219="",Registro_Compras!$O$219=""),"",IF(Registro_Compras!$F$219="NOTA DE CREDITO",IF(Registro_Compras!$K$219=0,"","40111"),"4212"))</f>
        <v/>
      </c>
      <c r="D1942" t="str">
        <f>IF(OR(Registro_Compras!$C$219="",Registro_Compras!$O$219=""),"",IF(Registro_Compras!$F$219="NOTA DE CREDITO","IGV - Cuenta Propia (Credito Fiscal)","Cuentas por Pagar Comerciales - Terceros (Emitidas)"))</f>
        <v/>
      </c>
      <c r="E1942" s="20" t="str">
        <f>""</f>
        <v/>
      </c>
      <c r="F1942" s="20" t="str">
        <f>IF($C1942="","",IF(Registro_Compras!$F$219="NOTA DE CREDITO",ROUND(ABS(Registro_Compras!$K$219*Registro_Compras!$N$219),2),IF(Registro_Compras!$F$219="RHE",(ROUND(Registro_Compras!$L$219*Registro_Compras!$N$219,2)-ROUND(Registro_Compras!$V$219*Registro_Compras!$N$219,2)),Registro_Compras!$O$219)))</f>
        <v/>
      </c>
      <c r="G1942" t="str">
        <f>IF($C1942="","",IF(Registro_Compras!$F$219="NOTA DE CREDITO","Por la nota de credito "&amp;Registro_Compras!$C$219&amp;" de "&amp;Registro_Compras!$E$219&amp;" [PATRON POR CONFIRMAR CON CONTADOR]",IF(Registro_Compras!$F$219="RHE","Por el registro del recibo por honorarios "&amp;Registro_Compras!$C$219&amp;" de "&amp;Registro_Compras!$E$219&amp;" [PATRON POR CONFIRMAR CON CONTADOR]","Por el registro de la factura "&amp;Registro_Compras!$C$219&amp;" de "&amp;Registro_Compras!$E$219)))</f>
        <v/>
      </c>
      <c r="H1942" t="str">
        <f>IF($C1942="","",Registro_Compras!$C$219)</f>
        <v/>
      </c>
    </row>
    <row r="1943" spans="1:8" x14ac:dyDescent="0.25">
      <c r="A1943" s="25" t="str">
        <f>IF($C1943="","",Registro_Compras!$B$219)</f>
        <v/>
      </c>
      <c r="B1943" t="str">
        <f>IF($C1943="","","C"&amp;TEXT(INT((ROW()-5)/9)+1,"000")&amp;"-2")</f>
        <v/>
      </c>
      <c r="C1943" t="str">
        <f>IF(OR(Registro_Compras!$C$219="",Registro_Compras!$O$219=""),"",IF(Registro_Compras!$AB$219="ADMINISTRATIVO","94","95"))</f>
        <v/>
      </c>
      <c r="D1943" t="str">
        <f>IF(OR(Registro_Compras!$C$219="",Registro_Compras!$O$219=""),"",IF(Registro_Compras!$AB$219="ADMINISTRATIVO","Gastos Administrativos","Gastos de Venta y Operacion"))</f>
        <v/>
      </c>
      <c r="E1943" s="20" t="str">
        <f>IF($C1943="","",IF(Registro_Compras!$F$219="NOTA DE CREDITO","",IF(Registro_Compras!$F$219="RHE",ROUND(Registro_Compras!$L$219*Registro_Compras!$N$219,2),ROUND(Registro_Compras!$J$219*Registro_Compras!$N$219,2))))</f>
        <v/>
      </c>
      <c r="F1943" s="20" t="str">
        <f>IF($C1943="","",IF(Registro_Compras!$F$219="NOTA DE CREDITO",ROUND(ABS(Registro_Compras!$J$219*Registro_Compras!$N$219),2),""))</f>
        <v/>
      </c>
      <c r="G1943" t="str">
        <f>IF($C1943="","","Por el destino del gasto")</f>
        <v/>
      </c>
      <c r="H1943" t="str">
        <f>IF($C1943="","",Registro_Compras!$C$219)</f>
        <v/>
      </c>
    </row>
    <row r="1944" spans="1:8" x14ac:dyDescent="0.25">
      <c r="A1944" s="25" t="str">
        <f>IF($C1944="","",Registro_Compras!$B$219)</f>
        <v/>
      </c>
      <c r="B1944" t="str">
        <f>IF($C1944="","","C"&amp;TEXT(INT((ROW()-5)/9)+1,"000")&amp;"-2")</f>
        <v/>
      </c>
      <c r="C1944" t="str">
        <f>IF(OR(Registro_Compras!$C$219="",Registro_Compras!$O$219=""),"","79/791")</f>
        <v/>
      </c>
      <c r="D1944" t="str">
        <f>IF(OR(Registro_Compras!$C$219="",Registro_Compras!$O$219=""),"","Cargas Imputables a Cuentas de Costos y Gastos")</f>
        <v/>
      </c>
      <c r="E1944" s="20" t="str">
        <f>IF($C1944="","",IF(Registro_Compras!$F$219="NOTA DE CREDITO",ROUND(ABS(Registro_Compras!$J$219*Registro_Compras!$N$219),2),""))</f>
        <v/>
      </c>
      <c r="F1944" s="20" t="str">
        <f>IF($C1944="","",IF(Registro_Compras!$F$219="NOTA DE CREDITO","",IF(Registro_Compras!$F$219="RHE",ROUND(Registro_Compras!$L$219*Registro_Compras!$N$219,2),ROUND(Registro_Compras!$J$219*Registro_Compras!$N$219,2))))</f>
        <v/>
      </c>
      <c r="G1944" t="str">
        <f>IF($C1944="","","Por el destino del gasto")</f>
        <v/>
      </c>
      <c r="H1944" t="str">
        <f>IF($C1944="","",Registro_Compras!$C$219)</f>
        <v/>
      </c>
    </row>
    <row r="1945" spans="1:8" x14ac:dyDescent="0.25">
      <c r="A1945" s="25" t="str">
        <f>IF($C1945="","",Registro_Compras!$X$219)</f>
        <v/>
      </c>
      <c r="B1945" t="str">
        <f>IF($C1945="","","C"&amp;TEXT(INT((ROW()-5)/9)+1,"000")&amp;"-3")</f>
        <v/>
      </c>
      <c r="C1945" t="str">
        <f>IF(OR(Registro_Compras!$C$219="",Registro_Compras!$O$219="",Registro_Compras!$R$219&lt;&gt;"SI",Registro_Compras!$X$219=""),"","4212")</f>
        <v/>
      </c>
      <c r="D1945" t="str">
        <f>IF(OR(Registro_Compras!$C$219="",Registro_Compras!$O$219=""),"","Cuentas por Pagar Comerciales - Terceros")</f>
        <v/>
      </c>
      <c r="E1945" s="20" t="str">
        <f>IF($C1945="","",Registro_Compras!$S$219)</f>
        <v/>
      </c>
      <c r="F1945" s="20" t="str">
        <f>""</f>
        <v/>
      </c>
      <c r="G1945" t="str">
        <f>IF($C1945="","","Por el deposito de la detraccion en el Banco de la Nacion")</f>
        <v/>
      </c>
      <c r="H1945" t="str">
        <f>IF($C1945="","",Registro_Compras!$C$219)</f>
        <v/>
      </c>
    </row>
    <row r="1946" spans="1:8" x14ac:dyDescent="0.25">
      <c r="A1946" s="25" t="str">
        <f>IF($C1946="","",Registro_Compras!$X$219)</f>
        <v/>
      </c>
      <c r="B1946" t="str">
        <f>IF($C1946="","","C"&amp;TEXT(INT((ROW()-5)/9)+1,"000")&amp;"-3")</f>
        <v/>
      </c>
      <c r="C1946" t="str">
        <f>IF(OR(Registro_Compras!$C$219="",Registro_Compras!$O$219="",Registro_Compras!$R$219&lt;&gt;"SI",Registro_Compras!$X$219=""),"","1041")</f>
        <v/>
      </c>
      <c r="D1946" t="str">
        <f>IF(OR(Registro_Compras!$C$219="",Registro_Compras!$O$219=""),"","Efectivo y Equivalentes - Cta. Cte. Operativa")</f>
        <v/>
      </c>
      <c r="E1946" s="20" t="str">
        <f>""</f>
        <v/>
      </c>
      <c r="F1946" s="20" t="str">
        <f>IF($C1946="","",Registro_Compras!$S$219)</f>
        <v/>
      </c>
      <c r="G1946" t="str">
        <f>IF($C1946="","","Por el deposito de la detraccion en el Banco de la Nacion")</f>
        <v/>
      </c>
      <c r="H1946" t="str">
        <f>IF($C1946="","",Registro_Compras!$C$219)</f>
        <v/>
      </c>
    </row>
    <row r="1947" spans="1:8" x14ac:dyDescent="0.25">
      <c r="A1947" s="25" t="str">
        <f>IF($C1947="","",Registro_Compras!$Y$219)</f>
        <v/>
      </c>
      <c r="B1947" t="str">
        <f>IF($C1947="","","C"&amp;TEXT(INT((ROW()-5)/9)+1,"000")&amp;"-4")</f>
        <v/>
      </c>
      <c r="C1947" t="str">
        <f>IF(OR(Registro_Compras!$C$219="",Registro_Compras!$O$219="",Registro_Compras!$Y$219="",Registro_Compras!$F$219="NOTA DE CREDITO"),"","4212")</f>
        <v/>
      </c>
      <c r="D1947" t="str">
        <f>IF(OR(Registro_Compras!$C$219="",Registro_Compras!$O$219=""),"","Cuentas por Pagar Comerciales - Terceros")</f>
        <v/>
      </c>
      <c r="E1947" s="20" t="str">
        <f>IF($C1947="","",IF(Registro_Compras!$F$219="RHE",(ROUND(Registro_Compras!$L$219*Registro_Compras!$N$219,2)-ROUND(Registro_Compras!$V$219*Registro_Compras!$N$219,2)),ROUND(Registro_Compras!$O$219-Registro_Compras!$S$219,2)))</f>
        <v/>
      </c>
      <c r="F1947" s="20" t="str">
        <f>""</f>
        <v/>
      </c>
      <c r="G1947" t="str">
        <f>IF($C1947="","","Por la cancelacion del saldo al proveedor")</f>
        <v/>
      </c>
      <c r="H1947" t="str">
        <f>IF($C1947="","",Registro_Compras!$C$219)</f>
        <v/>
      </c>
    </row>
    <row r="1948" spans="1:8" x14ac:dyDescent="0.25">
      <c r="A1948" s="25" t="str">
        <f>IF($C1948="","",Registro_Compras!$Y$219)</f>
        <v/>
      </c>
      <c r="B1948" t="str">
        <f>IF($C1948="","","C"&amp;TEXT(INT((ROW()-5)/9)+1,"000")&amp;"-4")</f>
        <v/>
      </c>
      <c r="C1948" t="str">
        <f>IF(OR(Registro_Compras!$C$219="",Registro_Compras!$O$219="",Registro_Compras!$Y$219="",Registro_Compras!$F$219="NOTA DE CREDITO"),"","1041")</f>
        <v/>
      </c>
      <c r="D1948" t="str">
        <f>IF(OR(Registro_Compras!$C$219="",Registro_Compras!$O$219=""),"","Efectivo y Equivalentes - Cta. Cte. Operativa")</f>
        <v/>
      </c>
      <c r="E1948" s="20" t="str">
        <f>""</f>
        <v/>
      </c>
      <c r="F1948" s="20" t="str">
        <f>IF($C1948="","",IF(Registro_Compras!$F$219="RHE",(ROUND(Registro_Compras!$L$219*Registro_Compras!$N$219,2)-ROUND(Registro_Compras!$V$219*Registro_Compras!$N$219,2)),ROUND(Registro_Compras!$O$219-Registro_Compras!$S$219,2)))</f>
        <v/>
      </c>
      <c r="G1948" t="str">
        <f>IF($C1948="","","Por la cancelacion del saldo al proveedor")</f>
        <v/>
      </c>
      <c r="H1948" t="str">
        <f>IF($C1948="","",Registro_Compras!$C$219)</f>
        <v/>
      </c>
    </row>
    <row r="1949" spans="1:8" x14ac:dyDescent="0.25">
      <c r="A1949" s="25" t="str">
        <f>IF($C1949="","",Registro_Compras!$B$220)</f>
        <v/>
      </c>
      <c r="B1949" t="str">
        <f>IF($C1949="","","C"&amp;TEXT(INT((ROW()-5)/9)+1,"000")&amp;"-1")</f>
        <v/>
      </c>
      <c r="C1949" t="str">
        <f>IF(OR(Registro_Compras!$C$220="",Registro_Compras!$O$220=""),"",IF(Registro_Compras!$F$220="NOTA DE CREDITO","4212",IF(Registro_Compras!$M$220="","63",Registro_Compras!$M$220)))</f>
        <v/>
      </c>
      <c r="D1949" t="str">
        <f>IF(OR(Registro_Compras!$C$220="",Registro_Compras!$O$220=""),"",IF(Registro_Compras!$F$220="NOTA DE CREDITO","Cuentas por Pagar Comerciales - Terceros (Emitidas)",IF(Registro_Compras!$F$220="RHE","Honorarios Profesionales - Servicios de Terceros","Gastos de Servicios Prestados por Terceros")))</f>
        <v/>
      </c>
      <c r="E1949" s="20" t="str">
        <f>IF($C1949="","",IF(Registro_Compras!$F$220="NOTA DE CREDITO",ABS(Registro_Compras!$O$220),IF(Registro_Compras!$F$220="RHE",ROUND(Registro_Compras!$L$220*Registro_Compras!$N$220,2),ROUND(Registro_Compras!$J$220*Registro_Compras!$N$220,2))))</f>
        <v/>
      </c>
      <c r="F1949" s="20" t="str">
        <f>""</f>
        <v/>
      </c>
      <c r="G1949" t="str">
        <f>IF($C1949="","",IF(Registro_Compras!$F$220="NOTA DE CREDITO","Por la nota de credito "&amp;Registro_Compras!$C$220&amp;" de "&amp;Registro_Compras!$E$220&amp;" [PATRON POR CONFIRMAR CON CONTADOR]",IF(Registro_Compras!$F$220="RHE","Por el registro del recibo por honorarios "&amp;Registro_Compras!$C$220&amp;" de "&amp;Registro_Compras!$E$220&amp;" [PATRON POR CONFIRMAR CON CONTADOR]","Por el registro de la factura "&amp;Registro_Compras!$C$220&amp;" de "&amp;Registro_Compras!$E$220)))</f>
        <v/>
      </c>
      <c r="H1949" t="str">
        <f>IF($C1949="","",Registro_Compras!$C$220)</f>
        <v/>
      </c>
    </row>
    <row r="1950" spans="1:8" x14ac:dyDescent="0.25">
      <c r="A1950" s="25" t="str">
        <f>IF($C1950="","",Registro_Compras!$B$220)</f>
        <v/>
      </c>
      <c r="B1950" t="str">
        <f>IF($C1950="","","C"&amp;TEXT(INT((ROW()-5)/9)+1,"000")&amp;"-1")</f>
        <v/>
      </c>
      <c r="C1950" t="str">
        <f>IF(OR(Registro_Compras!$C$220="",Registro_Compras!$O$220=""),"",IF(Registro_Compras!$F$220="RHE",IF(Registro_Compras!$V$220=0,"","4017"),IF(Registro_Compras!$F$220="NOTA DE CREDITO",IF(Registro_Compras!$M$220="","63",Registro_Compras!$M$220),IF(Registro_Compras!$K$220=0,"","40111"))))</f>
        <v/>
      </c>
      <c r="D1950" t="str">
        <f>IF(OR(Registro_Compras!$C$220="",Registro_Compras!$O$220=""),"",IF(Registro_Compras!$F$220="RHE","Retencion Renta 4ta Categoria por Pagar",IF(Registro_Compras!$F$220="NOTA DE CREDITO","Gastos de Servicios Prestados por Terceros","IGV - Cuenta Propia (Credito Fiscal)")))</f>
        <v/>
      </c>
      <c r="E1950" s="20" t="str">
        <f>IF($C1950="","",IF(Registro_Compras!$F$220="FACTURA",ROUND(Registro_Compras!$K$220*Registro_Compras!$N$220,2),""))</f>
        <v/>
      </c>
      <c r="F1950" s="20" t="str">
        <f>IF($C1950="","",IF(Registro_Compras!$F$220="RHE",ROUND(Registro_Compras!$V$220*Registro_Compras!$N$220,2),IF(Registro_Compras!$F$220="NOTA DE CREDITO",ROUND(ABS(Registro_Compras!$J$220*Registro_Compras!$N$220),2),"")))</f>
        <v/>
      </c>
      <c r="G1950" t="str">
        <f>IF($C1950="","",IF(Registro_Compras!$F$220="NOTA DE CREDITO","Por la nota de credito "&amp;Registro_Compras!$C$220&amp;" de "&amp;Registro_Compras!$E$220&amp;" [PATRON POR CONFIRMAR CON CONTADOR]",IF(Registro_Compras!$F$220="RHE","Por el registro del recibo por honorarios "&amp;Registro_Compras!$C$220&amp;" de "&amp;Registro_Compras!$E$220&amp;" [PATRON POR CONFIRMAR CON CONTADOR]","Por el registro de la factura "&amp;Registro_Compras!$C$220&amp;" de "&amp;Registro_Compras!$E$220)))</f>
        <v/>
      </c>
      <c r="H1950" t="str">
        <f>IF($C1950="","",Registro_Compras!$C$220)</f>
        <v/>
      </c>
    </row>
    <row r="1951" spans="1:8" x14ac:dyDescent="0.25">
      <c r="A1951" s="25" t="str">
        <f>IF($C1951="","",Registro_Compras!$B$220)</f>
        <v/>
      </c>
      <c r="B1951" t="str">
        <f>IF($C1951="","","C"&amp;TEXT(INT((ROW()-5)/9)+1,"000")&amp;"-1")</f>
        <v/>
      </c>
      <c r="C1951" t="str">
        <f>IF(OR(Registro_Compras!$C$220="",Registro_Compras!$O$220=""),"",IF(Registro_Compras!$F$220="NOTA DE CREDITO",IF(Registro_Compras!$K$220=0,"","40111"),"4212"))</f>
        <v/>
      </c>
      <c r="D1951" t="str">
        <f>IF(OR(Registro_Compras!$C$220="",Registro_Compras!$O$220=""),"",IF(Registro_Compras!$F$220="NOTA DE CREDITO","IGV - Cuenta Propia (Credito Fiscal)","Cuentas por Pagar Comerciales - Terceros (Emitidas)"))</f>
        <v/>
      </c>
      <c r="E1951" s="20" t="str">
        <f>""</f>
        <v/>
      </c>
      <c r="F1951" s="20" t="str">
        <f>IF($C1951="","",IF(Registro_Compras!$F$220="NOTA DE CREDITO",ROUND(ABS(Registro_Compras!$K$220*Registro_Compras!$N$220),2),IF(Registro_Compras!$F$220="RHE",(ROUND(Registro_Compras!$L$220*Registro_Compras!$N$220,2)-ROUND(Registro_Compras!$V$220*Registro_Compras!$N$220,2)),Registro_Compras!$O$220)))</f>
        <v/>
      </c>
      <c r="G1951" t="str">
        <f>IF($C1951="","",IF(Registro_Compras!$F$220="NOTA DE CREDITO","Por la nota de credito "&amp;Registro_Compras!$C$220&amp;" de "&amp;Registro_Compras!$E$220&amp;" [PATRON POR CONFIRMAR CON CONTADOR]",IF(Registro_Compras!$F$220="RHE","Por el registro del recibo por honorarios "&amp;Registro_Compras!$C$220&amp;" de "&amp;Registro_Compras!$E$220&amp;" [PATRON POR CONFIRMAR CON CONTADOR]","Por el registro de la factura "&amp;Registro_Compras!$C$220&amp;" de "&amp;Registro_Compras!$E$220)))</f>
        <v/>
      </c>
      <c r="H1951" t="str">
        <f>IF($C1951="","",Registro_Compras!$C$220)</f>
        <v/>
      </c>
    </row>
    <row r="1952" spans="1:8" x14ac:dyDescent="0.25">
      <c r="A1952" s="25" t="str">
        <f>IF($C1952="","",Registro_Compras!$B$220)</f>
        <v/>
      </c>
      <c r="B1952" t="str">
        <f>IF($C1952="","","C"&amp;TEXT(INT((ROW()-5)/9)+1,"000")&amp;"-2")</f>
        <v/>
      </c>
      <c r="C1952" t="str">
        <f>IF(OR(Registro_Compras!$C$220="",Registro_Compras!$O$220=""),"",IF(Registro_Compras!$AB$220="ADMINISTRATIVO","94","95"))</f>
        <v/>
      </c>
      <c r="D1952" t="str">
        <f>IF(OR(Registro_Compras!$C$220="",Registro_Compras!$O$220=""),"",IF(Registro_Compras!$AB$220="ADMINISTRATIVO","Gastos Administrativos","Gastos de Venta y Operacion"))</f>
        <v/>
      </c>
      <c r="E1952" s="20" t="str">
        <f>IF($C1952="","",IF(Registro_Compras!$F$220="NOTA DE CREDITO","",IF(Registro_Compras!$F$220="RHE",ROUND(Registro_Compras!$L$220*Registro_Compras!$N$220,2),ROUND(Registro_Compras!$J$220*Registro_Compras!$N$220,2))))</f>
        <v/>
      </c>
      <c r="F1952" s="20" t="str">
        <f>IF($C1952="","",IF(Registro_Compras!$F$220="NOTA DE CREDITO",ROUND(ABS(Registro_Compras!$J$220*Registro_Compras!$N$220),2),""))</f>
        <v/>
      </c>
      <c r="G1952" t="str">
        <f>IF($C1952="","","Por el destino del gasto")</f>
        <v/>
      </c>
      <c r="H1952" t="str">
        <f>IF($C1952="","",Registro_Compras!$C$220)</f>
        <v/>
      </c>
    </row>
    <row r="1953" spans="1:8" x14ac:dyDescent="0.25">
      <c r="A1953" s="25" t="str">
        <f>IF($C1953="","",Registro_Compras!$B$220)</f>
        <v/>
      </c>
      <c r="B1953" t="str">
        <f>IF($C1953="","","C"&amp;TEXT(INT((ROW()-5)/9)+1,"000")&amp;"-2")</f>
        <v/>
      </c>
      <c r="C1953" t="str">
        <f>IF(OR(Registro_Compras!$C$220="",Registro_Compras!$O$220=""),"","79/791")</f>
        <v/>
      </c>
      <c r="D1953" t="str">
        <f>IF(OR(Registro_Compras!$C$220="",Registro_Compras!$O$220=""),"","Cargas Imputables a Cuentas de Costos y Gastos")</f>
        <v/>
      </c>
      <c r="E1953" s="20" t="str">
        <f>IF($C1953="","",IF(Registro_Compras!$F$220="NOTA DE CREDITO",ROUND(ABS(Registro_Compras!$J$220*Registro_Compras!$N$220),2),""))</f>
        <v/>
      </c>
      <c r="F1953" s="20" t="str">
        <f>IF($C1953="","",IF(Registro_Compras!$F$220="NOTA DE CREDITO","",IF(Registro_Compras!$F$220="RHE",ROUND(Registro_Compras!$L$220*Registro_Compras!$N$220,2),ROUND(Registro_Compras!$J$220*Registro_Compras!$N$220,2))))</f>
        <v/>
      </c>
      <c r="G1953" t="str">
        <f>IF($C1953="","","Por el destino del gasto")</f>
        <v/>
      </c>
      <c r="H1953" t="str">
        <f>IF($C1953="","",Registro_Compras!$C$220)</f>
        <v/>
      </c>
    </row>
    <row r="1954" spans="1:8" x14ac:dyDescent="0.25">
      <c r="A1954" s="25" t="str">
        <f>IF($C1954="","",Registro_Compras!$X$220)</f>
        <v/>
      </c>
      <c r="B1954" t="str">
        <f>IF($C1954="","","C"&amp;TEXT(INT((ROW()-5)/9)+1,"000")&amp;"-3")</f>
        <v/>
      </c>
      <c r="C1954" t="str">
        <f>IF(OR(Registro_Compras!$C$220="",Registro_Compras!$O$220="",Registro_Compras!$R$220&lt;&gt;"SI",Registro_Compras!$X$220=""),"","4212")</f>
        <v/>
      </c>
      <c r="D1954" t="str">
        <f>IF(OR(Registro_Compras!$C$220="",Registro_Compras!$O$220=""),"","Cuentas por Pagar Comerciales - Terceros")</f>
        <v/>
      </c>
      <c r="E1954" s="20" t="str">
        <f>IF($C1954="","",Registro_Compras!$S$220)</f>
        <v/>
      </c>
      <c r="F1954" s="20" t="str">
        <f>""</f>
        <v/>
      </c>
      <c r="G1954" t="str">
        <f>IF($C1954="","","Por el deposito de la detraccion en el Banco de la Nacion")</f>
        <v/>
      </c>
      <c r="H1954" t="str">
        <f>IF($C1954="","",Registro_Compras!$C$220)</f>
        <v/>
      </c>
    </row>
    <row r="1955" spans="1:8" x14ac:dyDescent="0.25">
      <c r="A1955" s="25" t="str">
        <f>IF($C1955="","",Registro_Compras!$X$220)</f>
        <v/>
      </c>
      <c r="B1955" t="str">
        <f>IF($C1955="","","C"&amp;TEXT(INT((ROW()-5)/9)+1,"000")&amp;"-3")</f>
        <v/>
      </c>
      <c r="C1955" t="str">
        <f>IF(OR(Registro_Compras!$C$220="",Registro_Compras!$O$220="",Registro_Compras!$R$220&lt;&gt;"SI",Registro_Compras!$X$220=""),"","1041")</f>
        <v/>
      </c>
      <c r="D1955" t="str">
        <f>IF(OR(Registro_Compras!$C$220="",Registro_Compras!$O$220=""),"","Efectivo y Equivalentes - Cta. Cte. Operativa")</f>
        <v/>
      </c>
      <c r="E1955" s="20" t="str">
        <f>""</f>
        <v/>
      </c>
      <c r="F1955" s="20" t="str">
        <f>IF($C1955="","",Registro_Compras!$S$220)</f>
        <v/>
      </c>
      <c r="G1955" t="str">
        <f>IF($C1955="","","Por el deposito de la detraccion en el Banco de la Nacion")</f>
        <v/>
      </c>
      <c r="H1955" t="str">
        <f>IF($C1955="","",Registro_Compras!$C$220)</f>
        <v/>
      </c>
    </row>
    <row r="1956" spans="1:8" x14ac:dyDescent="0.25">
      <c r="A1956" s="25" t="str">
        <f>IF($C1956="","",Registro_Compras!$Y$220)</f>
        <v/>
      </c>
      <c r="B1956" t="str">
        <f>IF($C1956="","","C"&amp;TEXT(INT((ROW()-5)/9)+1,"000")&amp;"-4")</f>
        <v/>
      </c>
      <c r="C1956" t="str">
        <f>IF(OR(Registro_Compras!$C$220="",Registro_Compras!$O$220="",Registro_Compras!$Y$220="",Registro_Compras!$F$220="NOTA DE CREDITO"),"","4212")</f>
        <v/>
      </c>
      <c r="D1956" t="str">
        <f>IF(OR(Registro_Compras!$C$220="",Registro_Compras!$O$220=""),"","Cuentas por Pagar Comerciales - Terceros")</f>
        <v/>
      </c>
      <c r="E1956" s="20" t="str">
        <f>IF($C1956="","",IF(Registro_Compras!$F$220="RHE",(ROUND(Registro_Compras!$L$220*Registro_Compras!$N$220,2)-ROUND(Registro_Compras!$V$220*Registro_Compras!$N$220,2)),ROUND(Registro_Compras!$O$220-Registro_Compras!$S$220,2)))</f>
        <v/>
      </c>
      <c r="F1956" s="20" t="str">
        <f>""</f>
        <v/>
      </c>
      <c r="G1956" t="str">
        <f>IF($C1956="","","Por la cancelacion del saldo al proveedor")</f>
        <v/>
      </c>
      <c r="H1956" t="str">
        <f>IF($C1956="","",Registro_Compras!$C$220)</f>
        <v/>
      </c>
    </row>
    <row r="1957" spans="1:8" x14ac:dyDescent="0.25">
      <c r="A1957" s="25" t="str">
        <f>IF($C1957="","",Registro_Compras!$Y$220)</f>
        <v/>
      </c>
      <c r="B1957" t="str">
        <f>IF($C1957="","","C"&amp;TEXT(INT((ROW()-5)/9)+1,"000")&amp;"-4")</f>
        <v/>
      </c>
      <c r="C1957" t="str">
        <f>IF(OR(Registro_Compras!$C$220="",Registro_Compras!$O$220="",Registro_Compras!$Y$220="",Registro_Compras!$F$220="NOTA DE CREDITO"),"","1041")</f>
        <v/>
      </c>
      <c r="D1957" t="str">
        <f>IF(OR(Registro_Compras!$C$220="",Registro_Compras!$O$220=""),"","Efectivo y Equivalentes - Cta. Cte. Operativa")</f>
        <v/>
      </c>
      <c r="E1957" s="20" t="str">
        <f>""</f>
        <v/>
      </c>
      <c r="F1957" s="20" t="str">
        <f>IF($C1957="","",IF(Registro_Compras!$F$220="RHE",(ROUND(Registro_Compras!$L$220*Registro_Compras!$N$220,2)-ROUND(Registro_Compras!$V$220*Registro_Compras!$N$220,2)),ROUND(Registro_Compras!$O$220-Registro_Compras!$S$220,2)))</f>
        <v/>
      </c>
      <c r="G1957" t="str">
        <f>IF($C1957="","","Por la cancelacion del saldo al proveedor")</f>
        <v/>
      </c>
      <c r="H1957" t="str">
        <f>IF($C1957="","",Registro_Compras!$C$220)</f>
        <v/>
      </c>
    </row>
    <row r="1958" spans="1:8" x14ac:dyDescent="0.25">
      <c r="A1958" s="25" t="str">
        <f>IF($C1958="","",Registro_Compras!$B$221)</f>
        <v/>
      </c>
      <c r="B1958" t="str">
        <f>IF($C1958="","","C"&amp;TEXT(INT((ROW()-5)/9)+1,"000")&amp;"-1")</f>
        <v/>
      </c>
      <c r="C1958" t="str">
        <f>IF(OR(Registro_Compras!$C$221="",Registro_Compras!$O$221=""),"",IF(Registro_Compras!$F$221="NOTA DE CREDITO","4212",IF(Registro_Compras!$M$221="","63",Registro_Compras!$M$221)))</f>
        <v/>
      </c>
      <c r="D1958" t="str">
        <f>IF(OR(Registro_Compras!$C$221="",Registro_Compras!$O$221=""),"",IF(Registro_Compras!$F$221="NOTA DE CREDITO","Cuentas por Pagar Comerciales - Terceros (Emitidas)",IF(Registro_Compras!$F$221="RHE","Honorarios Profesionales - Servicios de Terceros","Gastos de Servicios Prestados por Terceros")))</f>
        <v/>
      </c>
      <c r="E1958" s="20" t="str">
        <f>IF($C1958="","",IF(Registro_Compras!$F$221="NOTA DE CREDITO",ABS(Registro_Compras!$O$221),IF(Registro_Compras!$F$221="RHE",ROUND(Registro_Compras!$L$221*Registro_Compras!$N$221,2),ROUND(Registro_Compras!$J$221*Registro_Compras!$N$221,2))))</f>
        <v/>
      </c>
      <c r="F1958" s="20" t="str">
        <f>""</f>
        <v/>
      </c>
      <c r="G1958" t="str">
        <f>IF($C1958="","",IF(Registro_Compras!$F$221="NOTA DE CREDITO","Por la nota de credito "&amp;Registro_Compras!$C$221&amp;" de "&amp;Registro_Compras!$E$221&amp;" [PATRON POR CONFIRMAR CON CONTADOR]",IF(Registro_Compras!$F$221="RHE","Por el registro del recibo por honorarios "&amp;Registro_Compras!$C$221&amp;" de "&amp;Registro_Compras!$E$221&amp;" [PATRON POR CONFIRMAR CON CONTADOR]","Por el registro de la factura "&amp;Registro_Compras!$C$221&amp;" de "&amp;Registro_Compras!$E$221)))</f>
        <v/>
      </c>
      <c r="H1958" t="str">
        <f>IF($C1958="","",Registro_Compras!$C$221)</f>
        <v/>
      </c>
    </row>
    <row r="1959" spans="1:8" x14ac:dyDescent="0.25">
      <c r="A1959" s="25" t="str">
        <f>IF($C1959="","",Registro_Compras!$B$221)</f>
        <v/>
      </c>
      <c r="B1959" t="str">
        <f>IF($C1959="","","C"&amp;TEXT(INT((ROW()-5)/9)+1,"000")&amp;"-1")</f>
        <v/>
      </c>
      <c r="C1959" t="str">
        <f>IF(OR(Registro_Compras!$C$221="",Registro_Compras!$O$221=""),"",IF(Registro_Compras!$F$221="RHE",IF(Registro_Compras!$V$221=0,"","4017"),IF(Registro_Compras!$F$221="NOTA DE CREDITO",IF(Registro_Compras!$M$221="","63",Registro_Compras!$M$221),IF(Registro_Compras!$K$221=0,"","40111"))))</f>
        <v/>
      </c>
      <c r="D1959" t="str">
        <f>IF(OR(Registro_Compras!$C$221="",Registro_Compras!$O$221=""),"",IF(Registro_Compras!$F$221="RHE","Retencion Renta 4ta Categoria por Pagar",IF(Registro_Compras!$F$221="NOTA DE CREDITO","Gastos de Servicios Prestados por Terceros","IGV - Cuenta Propia (Credito Fiscal)")))</f>
        <v/>
      </c>
      <c r="E1959" s="20" t="str">
        <f>IF($C1959="","",IF(Registro_Compras!$F$221="FACTURA",ROUND(Registro_Compras!$K$221*Registro_Compras!$N$221,2),""))</f>
        <v/>
      </c>
      <c r="F1959" s="20" t="str">
        <f>IF($C1959="","",IF(Registro_Compras!$F$221="RHE",ROUND(Registro_Compras!$V$221*Registro_Compras!$N$221,2),IF(Registro_Compras!$F$221="NOTA DE CREDITO",ROUND(ABS(Registro_Compras!$J$221*Registro_Compras!$N$221),2),"")))</f>
        <v/>
      </c>
      <c r="G1959" t="str">
        <f>IF($C1959="","",IF(Registro_Compras!$F$221="NOTA DE CREDITO","Por la nota de credito "&amp;Registro_Compras!$C$221&amp;" de "&amp;Registro_Compras!$E$221&amp;" [PATRON POR CONFIRMAR CON CONTADOR]",IF(Registro_Compras!$F$221="RHE","Por el registro del recibo por honorarios "&amp;Registro_Compras!$C$221&amp;" de "&amp;Registro_Compras!$E$221&amp;" [PATRON POR CONFIRMAR CON CONTADOR]","Por el registro de la factura "&amp;Registro_Compras!$C$221&amp;" de "&amp;Registro_Compras!$E$221)))</f>
        <v/>
      </c>
      <c r="H1959" t="str">
        <f>IF($C1959="","",Registro_Compras!$C$221)</f>
        <v/>
      </c>
    </row>
    <row r="1960" spans="1:8" x14ac:dyDescent="0.25">
      <c r="A1960" s="25" t="str">
        <f>IF($C1960="","",Registro_Compras!$B$221)</f>
        <v/>
      </c>
      <c r="B1960" t="str">
        <f>IF($C1960="","","C"&amp;TEXT(INT((ROW()-5)/9)+1,"000")&amp;"-1")</f>
        <v/>
      </c>
      <c r="C1960" t="str">
        <f>IF(OR(Registro_Compras!$C$221="",Registro_Compras!$O$221=""),"",IF(Registro_Compras!$F$221="NOTA DE CREDITO",IF(Registro_Compras!$K$221=0,"","40111"),"4212"))</f>
        <v/>
      </c>
      <c r="D1960" t="str">
        <f>IF(OR(Registro_Compras!$C$221="",Registro_Compras!$O$221=""),"",IF(Registro_Compras!$F$221="NOTA DE CREDITO","IGV - Cuenta Propia (Credito Fiscal)","Cuentas por Pagar Comerciales - Terceros (Emitidas)"))</f>
        <v/>
      </c>
      <c r="E1960" s="20" t="str">
        <f>""</f>
        <v/>
      </c>
      <c r="F1960" s="20" t="str">
        <f>IF($C1960="","",IF(Registro_Compras!$F$221="NOTA DE CREDITO",ROUND(ABS(Registro_Compras!$K$221*Registro_Compras!$N$221),2),IF(Registro_Compras!$F$221="RHE",(ROUND(Registro_Compras!$L$221*Registro_Compras!$N$221,2)-ROUND(Registro_Compras!$V$221*Registro_Compras!$N$221,2)),Registro_Compras!$O$221)))</f>
        <v/>
      </c>
      <c r="G1960" t="str">
        <f>IF($C1960="","",IF(Registro_Compras!$F$221="NOTA DE CREDITO","Por la nota de credito "&amp;Registro_Compras!$C$221&amp;" de "&amp;Registro_Compras!$E$221&amp;" [PATRON POR CONFIRMAR CON CONTADOR]",IF(Registro_Compras!$F$221="RHE","Por el registro del recibo por honorarios "&amp;Registro_Compras!$C$221&amp;" de "&amp;Registro_Compras!$E$221&amp;" [PATRON POR CONFIRMAR CON CONTADOR]","Por el registro de la factura "&amp;Registro_Compras!$C$221&amp;" de "&amp;Registro_Compras!$E$221)))</f>
        <v/>
      </c>
      <c r="H1960" t="str">
        <f>IF($C1960="","",Registro_Compras!$C$221)</f>
        <v/>
      </c>
    </row>
    <row r="1961" spans="1:8" x14ac:dyDescent="0.25">
      <c r="A1961" s="25" t="str">
        <f>IF($C1961="","",Registro_Compras!$B$221)</f>
        <v/>
      </c>
      <c r="B1961" t="str">
        <f>IF($C1961="","","C"&amp;TEXT(INT((ROW()-5)/9)+1,"000")&amp;"-2")</f>
        <v/>
      </c>
      <c r="C1961" t="str">
        <f>IF(OR(Registro_Compras!$C$221="",Registro_Compras!$O$221=""),"",IF(Registro_Compras!$AB$221="ADMINISTRATIVO","94","95"))</f>
        <v/>
      </c>
      <c r="D1961" t="str">
        <f>IF(OR(Registro_Compras!$C$221="",Registro_Compras!$O$221=""),"",IF(Registro_Compras!$AB$221="ADMINISTRATIVO","Gastos Administrativos","Gastos de Venta y Operacion"))</f>
        <v/>
      </c>
      <c r="E1961" s="20" t="str">
        <f>IF($C1961="","",IF(Registro_Compras!$F$221="NOTA DE CREDITO","",IF(Registro_Compras!$F$221="RHE",ROUND(Registro_Compras!$L$221*Registro_Compras!$N$221,2),ROUND(Registro_Compras!$J$221*Registro_Compras!$N$221,2))))</f>
        <v/>
      </c>
      <c r="F1961" s="20" t="str">
        <f>IF($C1961="","",IF(Registro_Compras!$F$221="NOTA DE CREDITO",ROUND(ABS(Registro_Compras!$J$221*Registro_Compras!$N$221),2),""))</f>
        <v/>
      </c>
      <c r="G1961" t="str">
        <f>IF($C1961="","","Por el destino del gasto")</f>
        <v/>
      </c>
      <c r="H1961" t="str">
        <f>IF($C1961="","",Registro_Compras!$C$221)</f>
        <v/>
      </c>
    </row>
    <row r="1962" spans="1:8" x14ac:dyDescent="0.25">
      <c r="A1962" s="25" t="str">
        <f>IF($C1962="","",Registro_Compras!$B$221)</f>
        <v/>
      </c>
      <c r="B1962" t="str">
        <f>IF($C1962="","","C"&amp;TEXT(INT((ROW()-5)/9)+1,"000")&amp;"-2")</f>
        <v/>
      </c>
      <c r="C1962" t="str">
        <f>IF(OR(Registro_Compras!$C$221="",Registro_Compras!$O$221=""),"","79/791")</f>
        <v/>
      </c>
      <c r="D1962" t="str">
        <f>IF(OR(Registro_Compras!$C$221="",Registro_Compras!$O$221=""),"","Cargas Imputables a Cuentas de Costos y Gastos")</f>
        <v/>
      </c>
      <c r="E1962" s="20" t="str">
        <f>IF($C1962="","",IF(Registro_Compras!$F$221="NOTA DE CREDITO",ROUND(ABS(Registro_Compras!$J$221*Registro_Compras!$N$221),2),""))</f>
        <v/>
      </c>
      <c r="F1962" s="20" t="str">
        <f>IF($C1962="","",IF(Registro_Compras!$F$221="NOTA DE CREDITO","",IF(Registro_Compras!$F$221="RHE",ROUND(Registro_Compras!$L$221*Registro_Compras!$N$221,2),ROUND(Registro_Compras!$J$221*Registro_Compras!$N$221,2))))</f>
        <v/>
      </c>
      <c r="G1962" t="str">
        <f>IF($C1962="","","Por el destino del gasto")</f>
        <v/>
      </c>
      <c r="H1962" t="str">
        <f>IF($C1962="","",Registro_Compras!$C$221)</f>
        <v/>
      </c>
    </row>
    <row r="1963" spans="1:8" x14ac:dyDescent="0.25">
      <c r="A1963" s="25" t="str">
        <f>IF($C1963="","",Registro_Compras!$X$221)</f>
        <v/>
      </c>
      <c r="B1963" t="str">
        <f>IF($C1963="","","C"&amp;TEXT(INT((ROW()-5)/9)+1,"000")&amp;"-3")</f>
        <v/>
      </c>
      <c r="C1963" t="str">
        <f>IF(OR(Registro_Compras!$C$221="",Registro_Compras!$O$221="",Registro_Compras!$R$221&lt;&gt;"SI",Registro_Compras!$X$221=""),"","4212")</f>
        <v/>
      </c>
      <c r="D1963" t="str">
        <f>IF(OR(Registro_Compras!$C$221="",Registro_Compras!$O$221=""),"","Cuentas por Pagar Comerciales - Terceros")</f>
        <v/>
      </c>
      <c r="E1963" s="20" t="str">
        <f>IF($C1963="","",Registro_Compras!$S$221)</f>
        <v/>
      </c>
      <c r="F1963" s="20" t="str">
        <f>""</f>
        <v/>
      </c>
      <c r="G1963" t="str">
        <f>IF($C1963="","","Por el deposito de la detraccion en el Banco de la Nacion")</f>
        <v/>
      </c>
      <c r="H1963" t="str">
        <f>IF($C1963="","",Registro_Compras!$C$221)</f>
        <v/>
      </c>
    </row>
    <row r="1964" spans="1:8" x14ac:dyDescent="0.25">
      <c r="A1964" s="25" t="str">
        <f>IF($C1964="","",Registro_Compras!$X$221)</f>
        <v/>
      </c>
      <c r="B1964" t="str">
        <f>IF($C1964="","","C"&amp;TEXT(INT((ROW()-5)/9)+1,"000")&amp;"-3")</f>
        <v/>
      </c>
      <c r="C1964" t="str">
        <f>IF(OR(Registro_Compras!$C$221="",Registro_Compras!$O$221="",Registro_Compras!$R$221&lt;&gt;"SI",Registro_Compras!$X$221=""),"","1041")</f>
        <v/>
      </c>
      <c r="D1964" t="str">
        <f>IF(OR(Registro_Compras!$C$221="",Registro_Compras!$O$221=""),"","Efectivo y Equivalentes - Cta. Cte. Operativa")</f>
        <v/>
      </c>
      <c r="E1964" s="20" t="str">
        <f>""</f>
        <v/>
      </c>
      <c r="F1964" s="20" t="str">
        <f>IF($C1964="","",Registro_Compras!$S$221)</f>
        <v/>
      </c>
      <c r="G1964" t="str">
        <f>IF($C1964="","","Por el deposito de la detraccion en el Banco de la Nacion")</f>
        <v/>
      </c>
      <c r="H1964" t="str">
        <f>IF($C1964="","",Registro_Compras!$C$221)</f>
        <v/>
      </c>
    </row>
    <row r="1965" spans="1:8" x14ac:dyDescent="0.25">
      <c r="A1965" s="25" t="str">
        <f>IF($C1965="","",Registro_Compras!$Y$221)</f>
        <v/>
      </c>
      <c r="B1965" t="str">
        <f>IF($C1965="","","C"&amp;TEXT(INT((ROW()-5)/9)+1,"000")&amp;"-4")</f>
        <v/>
      </c>
      <c r="C1965" t="str">
        <f>IF(OR(Registro_Compras!$C$221="",Registro_Compras!$O$221="",Registro_Compras!$Y$221="",Registro_Compras!$F$221="NOTA DE CREDITO"),"","4212")</f>
        <v/>
      </c>
      <c r="D1965" t="str">
        <f>IF(OR(Registro_Compras!$C$221="",Registro_Compras!$O$221=""),"","Cuentas por Pagar Comerciales - Terceros")</f>
        <v/>
      </c>
      <c r="E1965" s="20" t="str">
        <f>IF($C1965="","",IF(Registro_Compras!$F$221="RHE",(ROUND(Registro_Compras!$L$221*Registro_Compras!$N$221,2)-ROUND(Registro_Compras!$V$221*Registro_Compras!$N$221,2)),ROUND(Registro_Compras!$O$221-Registro_Compras!$S$221,2)))</f>
        <v/>
      </c>
      <c r="F1965" s="20" t="str">
        <f>""</f>
        <v/>
      </c>
      <c r="G1965" t="str">
        <f>IF($C1965="","","Por la cancelacion del saldo al proveedor")</f>
        <v/>
      </c>
      <c r="H1965" t="str">
        <f>IF($C1965="","",Registro_Compras!$C$221)</f>
        <v/>
      </c>
    </row>
    <row r="1966" spans="1:8" x14ac:dyDescent="0.25">
      <c r="A1966" s="25" t="str">
        <f>IF($C1966="","",Registro_Compras!$Y$221)</f>
        <v/>
      </c>
      <c r="B1966" t="str">
        <f>IF($C1966="","","C"&amp;TEXT(INT((ROW()-5)/9)+1,"000")&amp;"-4")</f>
        <v/>
      </c>
      <c r="C1966" t="str">
        <f>IF(OR(Registro_Compras!$C$221="",Registro_Compras!$O$221="",Registro_Compras!$Y$221="",Registro_Compras!$F$221="NOTA DE CREDITO"),"","1041")</f>
        <v/>
      </c>
      <c r="D1966" t="str">
        <f>IF(OR(Registro_Compras!$C$221="",Registro_Compras!$O$221=""),"","Efectivo y Equivalentes - Cta. Cte. Operativa")</f>
        <v/>
      </c>
      <c r="E1966" s="20" t="str">
        <f>""</f>
        <v/>
      </c>
      <c r="F1966" s="20" t="str">
        <f>IF($C1966="","",IF(Registro_Compras!$F$221="RHE",(ROUND(Registro_Compras!$L$221*Registro_Compras!$N$221,2)-ROUND(Registro_Compras!$V$221*Registro_Compras!$N$221,2)),ROUND(Registro_Compras!$O$221-Registro_Compras!$S$221,2)))</f>
        <v/>
      </c>
      <c r="G1966" t="str">
        <f>IF($C1966="","","Por la cancelacion del saldo al proveedor")</f>
        <v/>
      </c>
      <c r="H1966" t="str">
        <f>IF($C1966="","",Registro_Compras!$C$221)</f>
        <v/>
      </c>
    </row>
    <row r="1967" spans="1:8" x14ac:dyDescent="0.25">
      <c r="A1967" s="25" t="str">
        <f>IF($C1967="","",Registro_Compras!$B$222)</f>
        <v/>
      </c>
      <c r="B1967" t="str">
        <f>IF($C1967="","","C"&amp;TEXT(INT((ROW()-5)/9)+1,"000")&amp;"-1")</f>
        <v/>
      </c>
      <c r="C1967" t="str">
        <f>IF(OR(Registro_Compras!$C$222="",Registro_Compras!$O$222=""),"",IF(Registro_Compras!$F$222="NOTA DE CREDITO","4212",IF(Registro_Compras!$M$222="","63",Registro_Compras!$M$222)))</f>
        <v/>
      </c>
      <c r="D1967" t="str">
        <f>IF(OR(Registro_Compras!$C$222="",Registro_Compras!$O$222=""),"",IF(Registro_Compras!$F$222="NOTA DE CREDITO","Cuentas por Pagar Comerciales - Terceros (Emitidas)",IF(Registro_Compras!$F$222="RHE","Honorarios Profesionales - Servicios de Terceros","Gastos de Servicios Prestados por Terceros")))</f>
        <v/>
      </c>
      <c r="E1967" s="20" t="str">
        <f>IF($C1967="","",IF(Registro_Compras!$F$222="NOTA DE CREDITO",ABS(Registro_Compras!$O$222),IF(Registro_Compras!$F$222="RHE",ROUND(Registro_Compras!$L$222*Registro_Compras!$N$222,2),ROUND(Registro_Compras!$J$222*Registro_Compras!$N$222,2))))</f>
        <v/>
      </c>
      <c r="F1967" s="20" t="str">
        <f>""</f>
        <v/>
      </c>
      <c r="G1967" t="str">
        <f>IF($C1967="","",IF(Registro_Compras!$F$222="NOTA DE CREDITO","Por la nota de credito "&amp;Registro_Compras!$C$222&amp;" de "&amp;Registro_Compras!$E$222&amp;" [PATRON POR CONFIRMAR CON CONTADOR]",IF(Registro_Compras!$F$222="RHE","Por el registro del recibo por honorarios "&amp;Registro_Compras!$C$222&amp;" de "&amp;Registro_Compras!$E$222&amp;" [PATRON POR CONFIRMAR CON CONTADOR]","Por el registro de la factura "&amp;Registro_Compras!$C$222&amp;" de "&amp;Registro_Compras!$E$222)))</f>
        <v/>
      </c>
      <c r="H1967" t="str">
        <f>IF($C1967="","",Registro_Compras!$C$222)</f>
        <v/>
      </c>
    </row>
    <row r="1968" spans="1:8" x14ac:dyDescent="0.25">
      <c r="A1968" s="25" t="str">
        <f>IF($C1968="","",Registro_Compras!$B$222)</f>
        <v/>
      </c>
      <c r="B1968" t="str">
        <f>IF($C1968="","","C"&amp;TEXT(INT((ROW()-5)/9)+1,"000")&amp;"-1")</f>
        <v/>
      </c>
      <c r="C1968" t="str">
        <f>IF(OR(Registro_Compras!$C$222="",Registro_Compras!$O$222=""),"",IF(Registro_Compras!$F$222="RHE",IF(Registro_Compras!$V$222=0,"","4017"),IF(Registro_Compras!$F$222="NOTA DE CREDITO",IF(Registro_Compras!$M$222="","63",Registro_Compras!$M$222),IF(Registro_Compras!$K$222=0,"","40111"))))</f>
        <v/>
      </c>
      <c r="D1968" t="str">
        <f>IF(OR(Registro_Compras!$C$222="",Registro_Compras!$O$222=""),"",IF(Registro_Compras!$F$222="RHE","Retencion Renta 4ta Categoria por Pagar",IF(Registro_Compras!$F$222="NOTA DE CREDITO","Gastos de Servicios Prestados por Terceros","IGV - Cuenta Propia (Credito Fiscal)")))</f>
        <v/>
      </c>
      <c r="E1968" s="20" t="str">
        <f>IF($C1968="","",IF(Registro_Compras!$F$222="FACTURA",ROUND(Registro_Compras!$K$222*Registro_Compras!$N$222,2),""))</f>
        <v/>
      </c>
      <c r="F1968" s="20" t="str">
        <f>IF($C1968="","",IF(Registro_Compras!$F$222="RHE",ROUND(Registro_Compras!$V$222*Registro_Compras!$N$222,2),IF(Registro_Compras!$F$222="NOTA DE CREDITO",ROUND(ABS(Registro_Compras!$J$222*Registro_Compras!$N$222),2),"")))</f>
        <v/>
      </c>
      <c r="G1968" t="str">
        <f>IF($C1968="","",IF(Registro_Compras!$F$222="NOTA DE CREDITO","Por la nota de credito "&amp;Registro_Compras!$C$222&amp;" de "&amp;Registro_Compras!$E$222&amp;" [PATRON POR CONFIRMAR CON CONTADOR]",IF(Registro_Compras!$F$222="RHE","Por el registro del recibo por honorarios "&amp;Registro_Compras!$C$222&amp;" de "&amp;Registro_Compras!$E$222&amp;" [PATRON POR CONFIRMAR CON CONTADOR]","Por el registro de la factura "&amp;Registro_Compras!$C$222&amp;" de "&amp;Registro_Compras!$E$222)))</f>
        <v/>
      </c>
      <c r="H1968" t="str">
        <f>IF($C1968="","",Registro_Compras!$C$222)</f>
        <v/>
      </c>
    </row>
    <row r="1969" spans="1:8" x14ac:dyDescent="0.25">
      <c r="A1969" s="25" t="str">
        <f>IF($C1969="","",Registro_Compras!$B$222)</f>
        <v/>
      </c>
      <c r="B1969" t="str">
        <f>IF($C1969="","","C"&amp;TEXT(INT((ROW()-5)/9)+1,"000")&amp;"-1")</f>
        <v/>
      </c>
      <c r="C1969" t="str">
        <f>IF(OR(Registro_Compras!$C$222="",Registro_Compras!$O$222=""),"",IF(Registro_Compras!$F$222="NOTA DE CREDITO",IF(Registro_Compras!$K$222=0,"","40111"),"4212"))</f>
        <v/>
      </c>
      <c r="D1969" t="str">
        <f>IF(OR(Registro_Compras!$C$222="",Registro_Compras!$O$222=""),"",IF(Registro_Compras!$F$222="NOTA DE CREDITO","IGV - Cuenta Propia (Credito Fiscal)","Cuentas por Pagar Comerciales - Terceros (Emitidas)"))</f>
        <v/>
      </c>
      <c r="E1969" s="20" t="str">
        <f>""</f>
        <v/>
      </c>
      <c r="F1969" s="20" t="str">
        <f>IF($C1969="","",IF(Registro_Compras!$F$222="NOTA DE CREDITO",ROUND(ABS(Registro_Compras!$K$222*Registro_Compras!$N$222),2),IF(Registro_Compras!$F$222="RHE",(ROUND(Registro_Compras!$L$222*Registro_Compras!$N$222,2)-ROUND(Registro_Compras!$V$222*Registro_Compras!$N$222,2)),Registro_Compras!$O$222)))</f>
        <v/>
      </c>
      <c r="G1969" t="str">
        <f>IF($C1969="","",IF(Registro_Compras!$F$222="NOTA DE CREDITO","Por la nota de credito "&amp;Registro_Compras!$C$222&amp;" de "&amp;Registro_Compras!$E$222&amp;" [PATRON POR CONFIRMAR CON CONTADOR]",IF(Registro_Compras!$F$222="RHE","Por el registro del recibo por honorarios "&amp;Registro_Compras!$C$222&amp;" de "&amp;Registro_Compras!$E$222&amp;" [PATRON POR CONFIRMAR CON CONTADOR]","Por el registro de la factura "&amp;Registro_Compras!$C$222&amp;" de "&amp;Registro_Compras!$E$222)))</f>
        <v/>
      </c>
      <c r="H1969" t="str">
        <f>IF($C1969="","",Registro_Compras!$C$222)</f>
        <v/>
      </c>
    </row>
    <row r="1970" spans="1:8" x14ac:dyDescent="0.25">
      <c r="A1970" s="25" t="str">
        <f>IF($C1970="","",Registro_Compras!$B$222)</f>
        <v/>
      </c>
      <c r="B1970" t="str">
        <f>IF($C1970="","","C"&amp;TEXT(INT((ROW()-5)/9)+1,"000")&amp;"-2")</f>
        <v/>
      </c>
      <c r="C1970" t="str">
        <f>IF(OR(Registro_Compras!$C$222="",Registro_Compras!$O$222=""),"",IF(Registro_Compras!$AB$222="ADMINISTRATIVO","94","95"))</f>
        <v/>
      </c>
      <c r="D1970" t="str">
        <f>IF(OR(Registro_Compras!$C$222="",Registro_Compras!$O$222=""),"",IF(Registro_Compras!$AB$222="ADMINISTRATIVO","Gastos Administrativos","Gastos de Venta y Operacion"))</f>
        <v/>
      </c>
      <c r="E1970" s="20" t="str">
        <f>IF($C1970="","",IF(Registro_Compras!$F$222="NOTA DE CREDITO","",IF(Registro_Compras!$F$222="RHE",ROUND(Registro_Compras!$L$222*Registro_Compras!$N$222,2),ROUND(Registro_Compras!$J$222*Registro_Compras!$N$222,2))))</f>
        <v/>
      </c>
      <c r="F1970" s="20" t="str">
        <f>IF($C1970="","",IF(Registro_Compras!$F$222="NOTA DE CREDITO",ROUND(ABS(Registro_Compras!$J$222*Registro_Compras!$N$222),2),""))</f>
        <v/>
      </c>
      <c r="G1970" t="str">
        <f>IF($C1970="","","Por el destino del gasto")</f>
        <v/>
      </c>
      <c r="H1970" t="str">
        <f>IF($C1970="","",Registro_Compras!$C$222)</f>
        <v/>
      </c>
    </row>
    <row r="1971" spans="1:8" x14ac:dyDescent="0.25">
      <c r="A1971" s="25" t="str">
        <f>IF($C1971="","",Registro_Compras!$B$222)</f>
        <v/>
      </c>
      <c r="B1971" t="str">
        <f>IF($C1971="","","C"&amp;TEXT(INT((ROW()-5)/9)+1,"000")&amp;"-2")</f>
        <v/>
      </c>
      <c r="C1971" t="str">
        <f>IF(OR(Registro_Compras!$C$222="",Registro_Compras!$O$222=""),"","79/791")</f>
        <v/>
      </c>
      <c r="D1971" t="str">
        <f>IF(OR(Registro_Compras!$C$222="",Registro_Compras!$O$222=""),"","Cargas Imputables a Cuentas de Costos y Gastos")</f>
        <v/>
      </c>
      <c r="E1971" s="20" t="str">
        <f>IF($C1971="","",IF(Registro_Compras!$F$222="NOTA DE CREDITO",ROUND(ABS(Registro_Compras!$J$222*Registro_Compras!$N$222),2),""))</f>
        <v/>
      </c>
      <c r="F1971" s="20" t="str">
        <f>IF($C1971="","",IF(Registro_Compras!$F$222="NOTA DE CREDITO","",IF(Registro_Compras!$F$222="RHE",ROUND(Registro_Compras!$L$222*Registro_Compras!$N$222,2),ROUND(Registro_Compras!$J$222*Registro_Compras!$N$222,2))))</f>
        <v/>
      </c>
      <c r="G1971" t="str">
        <f>IF($C1971="","","Por el destino del gasto")</f>
        <v/>
      </c>
      <c r="H1971" t="str">
        <f>IF($C1971="","",Registro_Compras!$C$222)</f>
        <v/>
      </c>
    </row>
    <row r="1972" spans="1:8" x14ac:dyDescent="0.25">
      <c r="A1972" s="25" t="str">
        <f>IF($C1972="","",Registro_Compras!$X$222)</f>
        <v/>
      </c>
      <c r="B1972" t="str">
        <f>IF($C1972="","","C"&amp;TEXT(INT((ROW()-5)/9)+1,"000")&amp;"-3")</f>
        <v/>
      </c>
      <c r="C1972" t="str">
        <f>IF(OR(Registro_Compras!$C$222="",Registro_Compras!$O$222="",Registro_Compras!$R$222&lt;&gt;"SI",Registro_Compras!$X$222=""),"","4212")</f>
        <v/>
      </c>
      <c r="D1972" t="str">
        <f>IF(OR(Registro_Compras!$C$222="",Registro_Compras!$O$222=""),"","Cuentas por Pagar Comerciales - Terceros")</f>
        <v/>
      </c>
      <c r="E1972" s="20" t="str">
        <f>IF($C1972="","",Registro_Compras!$S$222)</f>
        <v/>
      </c>
      <c r="F1972" s="20" t="str">
        <f>""</f>
        <v/>
      </c>
      <c r="G1972" t="str">
        <f>IF($C1972="","","Por el deposito de la detraccion en el Banco de la Nacion")</f>
        <v/>
      </c>
      <c r="H1972" t="str">
        <f>IF($C1972="","",Registro_Compras!$C$222)</f>
        <v/>
      </c>
    </row>
    <row r="1973" spans="1:8" x14ac:dyDescent="0.25">
      <c r="A1973" s="25" t="str">
        <f>IF($C1973="","",Registro_Compras!$X$222)</f>
        <v/>
      </c>
      <c r="B1973" t="str">
        <f>IF($C1973="","","C"&amp;TEXT(INT((ROW()-5)/9)+1,"000")&amp;"-3")</f>
        <v/>
      </c>
      <c r="C1973" t="str">
        <f>IF(OR(Registro_Compras!$C$222="",Registro_Compras!$O$222="",Registro_Compras!$R$222&lt;&gt;"SI",Registro_Compras!$X$222=""),"","1041")</f>
        <v/>
      </c>
      <c r="D1973" t="str">
        <f>IF(OR(Registro_Compras!$C$222="",Registro_Compras!$O$222=""),"","Efectivo y Equivalentes - Cta. Cte. Operativa")</f>
        <v/>
      </c>
      <c r="E1973" s="20" t="str">
        <f>""</f>
        <v/>
      </c>
      <c r="F1973" s="20" t="str">
        <f>IF($C1973="","",Registro_Compras!$S$222)</f>
        <v/>
      </c>
      <c r="G1973" t="str">
        <f>IF($C1973="","","Por el deposito de la detraccion en el Banco de la Nacion")</f>
        <v/>
      </c>
      <c r="H1973" t="str">
        <f>IF($C1973="","",Registro_Compras!$C$222)</f>
        <v/>
      </c>
    </row>
    <row r="1974" spans="1:8" x14ac:dyDescent="0.25">
      <c r="A1974" s="25" t="str">
        <f>IF($C1974="","",Registro_Compras!$Y$222)</f>
        <v/>
      </c>
      <c r="B1974" t="str">
        <f>IF($C1974="","","C"&amp;TEXT(INT((ROW()-5)/9)+1,"000")&amp;"-4")</f>
        <v/>
      </c>
      <c r="C1974" t="str">
        <f>IF(OR(Registro_Compras!$C$222="",Registro_Compras!$O$222="",Registro_Compras!$Y$222="",Registro_Compras!$F$222="NOTA DE CREDITO"),"","4212")</f>
        <v/>
      </c>
      <c r="D1974" t="str">
        <f>IF(OR(Registro_Compras!$C$222="",Registro_Compras!$O$222=""),"","Cuentas por Pagar Comerciales - Terceros")</f>
        <v/>
      </c>
      <c r="E1974" s="20" t="str">
        <f>IF($C1974="","",IF(Registro_Compras!$F$222="RHE",(ROUND(Registro_Compras!$L$222*Registro_Compras!$N$222,2)-ROUND(Registro_Compras!$V$222*Registro_Compras!$N$222,2)),ROUND(Registro_Compras!$O$222-Registro_Compras!$S$222,2)))</f>
        <v/>
      </c>
      <c r="F1974" s="20" t="str">
        <f>""</f>
        <v/>
      </c>
      <c r="G1974" t="str">
        <f>IF($C1974="","","Por la cancelacion del saldo al proveedor")</f>
        <v/>
      </c>
      <c r="H1974" t="str">
        <f>IF($C1974="","",Registro_Compras!$C$222)</f>
        <v/>
      </c>
    </row>
    <row r="1975" spans="1:8" x14ac:dyDescent="0.25">
      <c r="A1975" s="25" t="str">
        <f>IF($C1975="","",Registro_Compras!$Y$222)</f>
        <v/>
      </c>
      <c r="B1975" t="str">
        <f>IF($C1975="","","C"&amp;TEXT(INT((ROW()-5)/9)+1,"000")&amp;"-4")</f>
        <v/>
      </c>
      <c r="C1975" t="str">
        <f>IF(OR(Registro_Compras!$C$222="",Registro_Compras!$O$222="",Registro_Compras!$Y$222="",Registro_Compras!$F$222="NOTA DE CREDITO"),"","1041")</f>
        <v/>
      </c>
      <c r="D1975" t="str">
        <f>IF(OR(Registro_Compras!$C$222="",Registro_Compras!$O$222=""),"","Efectivo y Equivalentes - Cta. Cte. Operativa")</f>
        <v/>
      </c>
      <c r="E1975" s="20" t="str">
        <f>""</f>
        <v/>
      </c>
      <c r="F1975" s="20" t="str">
        <f>IF($C1975="","",IF(Registro_Compras!$F$222="RHE",(ROUND(Registro_Compras!$L$222*Registro_Compras!$N$222,2)-ROUND(Registro_Compras!$V$222*Registro_Compras!$N$222,2)),ROUND(Registro_Compras!$O$222-Registro_Compras!$S$222,2)))</f>
        <v/>
      </c>
      <c r="G1975" t="str">
        <f>IF($C1975="","","Por la cancelacion del saldo al proveedor")</f>
        <v/>
      </c>
      <c r="H1975" t="str">
        <f>IF($C1975="","",Registro_Compras!$C$222)</f>
        <v/>
      </c>
    </row>
    <row r="1976" spans="1:8" x14ac:dyDescent="0.25">
      <c r="A1976" s="25" t="str">
        <f>IF($C1976="","",Registro_Compras!$B$223)</f>
        <v/>
      </c>
      <c r="B1976" t="str">
        <f>IF($C1976="","","C"&amp;TEXT(INT((ROW()-5)/9)+1,"000")&amp;"-1")</f>
        <v/>
      </c>
      <c r="C1976" t="str">
        <f>IF(OR(Registro_Compras!$C$223="",Registro_Compras!$O$223=""),"",IF(Registro_Compras!$F$223="NOTA DE CREDITO","4212",IF(Registro_Compras!$M$223="","63",Registro_Compras!$M$223)))</f>
        <v/>
      </c>
      <c r="D1976" t="str">
        <f>IF(OR(Registro_Compras!$C$223="",Registro_Compras!$O$223=""),"",IF(Registro_Compras!$F$223="NOTA DE CREDITO","Cuentas por Pagar Comerciales - Terceros (Emitidas)",IF(Registro_Compras!$F$223="RHE","Honorarios Profesionales - Servicios de Terceros","Gastos de Servicios Prestados por Terceros")))</f>
        <v/>
      </c>
      <c r="E1976" s="20" t="str">
        <f>IF($C1976="","",IF(Registro_Compras!$F$223="NOTA DE CREDITO",ABS(Registro_Compras!$O$223),IF(Registro_Compras!$F$223="RHE",ROUND(Registro_Compras!$L$223*Registro_Compras!$N$223,2),ROUND(Registro_Compras!$J$223*Registro_Compras!$N$223,2))))</f>
        <v/>
      </c>
      <c r="F1976" s="20" t="str">
        <f>""</f>
        <v/>
      </c>
      <c r="G1976" t="str">
        <f>IF($C1976="","",IF(Registro_Compras!$F$223="NOTA DE CREDITO","Por la nota de credito "&amp;Registro_Compras!$C$223&amp;" de "&amp;Registro_Compras!$E$223&amp;" [PATRON POR CONFIRMAR CON CONTADOR]",IF(Registro_Compras!$F$223="RHE","Por el registro del recibo por honorarios "&amp;Registro_Compras!$C$223&amp;" de "&amp;Registro_Compras!$E$223&amp;" [PATRON POR CONFIRMAR CON CONTADOR]","Por el registro de la factura "&amp;Registro_Compras!$C$223&amp;" de "&amp;Registro_Compras!$E$223)))</f>
        <v/>
      </c>
      <c r="H1976" t="str">
        <f>IF($C1976="","",Registro_Compras!$C$223)</f>
        <v/>
      </c>
    </row>
    <row r="1977" spans="1:8" x14ac:dyDescent="0.25">
      <c r="A1977" s="25" t="str">
        <f>IF($C1977="","",Registro_Compras!$B$223)</f>
        <v/>
      </c>
      <c r="B1977" t="str">
        <f>IF($C1977="","","C"&amp;TEXT(INT((ROW()-5)/9)+1,"000")&amp;"-1")</f>
        <v/>
      </c>
      <c r="C1977" t="str">
        <f>IF(OR(Registro_Compras!$C$223="",Registro_Compras!$O$223=""),"",IF(Registro_Compras!$F$223="RHE",IF(Registro_Compras!$V$223=0,"","4017"),IF(Registro_Compras!$F$223="NOTA DE CREDITO",IF(Registro_Compras!$M$223="","63",Registro_Compras!$M$223),IF(Registro_Compras!$K$223=0,"","40111"))))</f>
        <v/>
      </c>
      <c r="D1977" t="str">
        <f>IF(OR(Registro_Compras!$C$223="",Registro_Compras!$O$223=""),"",IF(Registro_Compras!$F$223="RHE","Retencion Renta 4ta Categoria por Pagar",IF(Registro_Compras!$F$223="NOTA DE CREDITO","Gastos de Servicios Prestados por Terceros","IGV - Cuenta Propia (Credito Fiscal)")))</f>
        <v/>
      </c>
      <c r="E1977" s="20" t="str">
        <f>IF($C1977="","",IF(Registro_Compras!$F$223="FACTURA",ROUND(Registro_Compras!$K$223*Registro_Compras!$N$223,2),""))</f>
        <v/>
      </c>
      <c r="F1977" s="20" t="str">
        <f>IF($C1977="","",IF(Registro_Compras!$F$223="RHE",ROUND(Registro_Compras!$V$223*Registro_Compras!$N$223,2),IF(Registro_Compras!$F$223="NOTA DE CREDITO",ROUND(ABS(Registro_Compras!$J$223*Registro_Compras!$N$223),2),"")))</f>
        <v/>
      </c>
      <c r="G1977" t="str">
        <f>IF($C1977="","",IF(Registro_Compras!$F$223="NOTA DE CREDITO","Por la nota de credito "&amp;Registro_Compras!$C$223&amp;" de "&amp;Registro_Compras!$E$223&amp;" [PATRON POR CONFIRMAR CON CONTADOR]",IF(Registro_Compras!$F$223="RHE","Por el registro del recibo por honorarios "&amp;Registro_Compras!$C$223&amp;" de "&amp;Registro_Compras!$E$223&amp;" [PATRON POR CONFIRMAR CON CONTADOR]","Por el registro de la factura "&amp;Registro_Compras!$C$223&amp;" de "&amp;Registro_Compras!$E$223)))</f>
        <v/>
      </c>
      <c r="H1977" t="str">
        <f>IF($C1977="","",Registro_Compras!$C$223)</f>
        <v/>
      </c>
    </row>
    <row r="1978" spans="1:8" x14ac:dyDescent="0.25">
      <c r="A1978" s="25" t="str">
        <f>IF($C1978="","",Registro_Compras!$B$223)</f>
        <v/>
      </c>
      <c r="B1978" t="str">
        <f>IF($C1978="","","C"&amp;TEXT(INT((ROW()-5)/9)+1,"000")&amp;"-1")</f>
        <v/>
      </c>
      <c r="C1978" t="str">
        <f>IF(OR(Registro_Compras!$C$223="",Registro_Compras!$O$223=""),"",IF(Registro_Compras!$F$223="NOTA DE CREDITO",IF(Registro_Compras!$K$223=0,"","40111"),"4212"))</f>
        <v/>
      </c>
      <c r="D1978" t="str">
        <f>IF(OR(Registro_Compras!$C$223="",Registro_Compras!$O$223=""),"",IF(Registro_Compras!$F$223="NOTA DE CREDITO","IGV - Cuenta Propia (Credito Fiscal)","Cuentas por Pagar Comerciales - Terceros (Emitidas)"))</f>
        <v/>
      </c>
      <c r="E1978" s="20" t="str">
        <f>""</f>
        <v/>
      </c>
      <c r="F1978" s="20" t="str">
        <f>IF($C1978="","",IF(Registro_Compras!$F$223="NOTA DE CREDITO",ROUND(ABS(Registro_Compras!$K$223*Registro_Compras!$N$223),2),IF(Registro_Compras!$F$223="RHE",(ROUND(Registro_Compras!$L$223*Registro_Compras!$N$223,2)-ROUND(Registro_Compras!$V$223*Registro_Compras!$N$223,2)),Registro_Compras!$O$223)))</f>
        <v/>
      </c>
      <c r="G1978" t="str">
        <f>IF($C1978="","",IF(Registro_Compras!$F$223="NOTA DE CREDITO","Por la nota de credito "&amp;Registro_Compras!$C$223&amp;" de "&amp;Registro_Compras!$E$223&amp;" [PATRON POR CONFIRMAR CON CONTADOR]",IF(Registro_Compras!$F$223="RHE","Por el registro del recibo por honorarios "&amp;Registro_Compras!$C$223&amp;" de "&amp;Registro_Compras!$E$223&amp;" [PATRON POR CONFIRMAR CON CONTADOR]","Por el registro de la factura "&amp;Registro_Compras!$C$223&amp;" de "&amp;Registro_Compras!$E$223)))</f>
        <v/>
      </c>
      <c r="H1978" t="str">
        <f>IF($C1978="","",Registro_Compras!$C$223)</f>
        <v/>
      </c>
    </row>
    <row r="1979" spans="1:8" x14ac:dyDescent="0.25">
      <c r="A1979" s="25" t="str">
        <f>IF($C1979="","",Registro_Compras!$B$223)</f>
        <v/>
      </c>
      <c r="B1979" t="str">
        <f>IF($C1979="","","C"&amp;TEXT(INT((ROW()-5)/9)+1,"000")&amp;"-2")</f>
        <v/>
      </c>
      <c r="C1979" t="str">
        <f>IF(OR(Registro_Compras!$C$223="",Registro_Compras!$O$223=""),"",IF(Registro_Compras!$AB$223="ADMINISTRATIVO","94","95"))</f>
        <v/>
      </c>
      <c r="D1979" t="str">
        <f>IF(OR(Registro_Compras!$C$223="",Registro_Compras!$O$223=""),"",IF(Registro_Compras!$AB$223="ADMINISTRATIVO","Gastos Administrativos","Gastos de Venta y Operacion"))</f>
        <v/>
      </c>
      <c r="E1979" s="20" t="str">
        <f>IF($C1979="","",IF(Registro_Compras!$F$223="NOTA DE CREDITO","",IF(Registro_Compras!$F$223="RHE",ROUND(Registro_Compras!$L$223*Registro_Compras!$N$223,2),ROUND(Registro_Compras!$J$223*Registro_Compras!$N$223,2))))</f>
        <v/>
      </c>
      <c r="F1979" s="20" t="str">
        <f>IF($C1979="","",IF(Registro_Compras!$F$223="NOTA DE CREDITO",ROUND(ABS(Registro_Compras!$J$223*Registro_Compras!$N$223),2),""))</f>
        <v/>
      </c>
      <c r="G1979" t="str">
        <f>IF($C1979="","","Por el destino del gasto")</f>
        <v/>
      </c>
      <c r="H1979" t="str">
        <f>IF($C1979="","",Registro_Compras!$C$223)</f>
        <v/>
      </c>
    </row>
    <row r="1980" spans="1:8" x14ac:dyDescent="0.25">
      <c r="A1980" s="25" t="str">
        <f>IF($C1980="","",Registro_Compras!$B$223)</f>
        <v/>
      </c>
      <c r="B1980" t="str">
        <f>IF($C1980="","","C"&amp;TEXT(INT((ROW()-5)/9)+1,"000")&amp;"-2")</f>
        <v/>
      </c>
      <c r="C1980" t="str">
        <f>IF(OR(Registro_Compras!$C$223="",Registro_Compras!$O$223=""),"","79/791")</f>
        <v/>
      </c>
      <c r="D1980" t="str">
        <f>IF(OR(Registro_Compras!$C$223="",Registro_Compras!$O$223=""),"","Cargas Imputables a Cuentas de Costos y Gastos")</f>
        <v/>
      </c>
      <c r="E1980" s="20" t="str">
        <f>IF($C1980="","",IF(Registro_Compras!$F$223="NOTA DE CREDITO",ROUND(ABS(Registro_Compras!$J$223*Registro_Compras!$N$223),2),""))</f>
        <v/>
      </c>
      <c r="F1980" s="20" t="str">
        <f>IF($C1980="","",IF(Registro_Compras!$F$223="NOTA DE CREDITO","",IF(Registro_Compras!$F$223="RHE",ROUND(Registro_Compras!$L$223*Registro_Compras!$N$223,2),ROUND(Registro_Compras!$J$223*Registro_Compras!$N$223,2))))</f>
        <v/>
      </c>
      <c r="G1980" t="str">
        <f>IF($C1980="","","Por el destino del gasto")</f>
        <v/>
      </c>
      <c r="H1980" t="str">
        <f>IF($C1980="","",Registro_Compras!$C$223)</f>
        <v/>
      </c>
    </row>
    <row r="1981" spans="1:8" x14ac:dyDescent="0.25">
      <c r="A1981" s="25" t="str">
        <f>IF($C1981="","",Registro_Compras!$X$223)</f>
        <v/>
      </c>
      <c r="B1981" t="str">
        <f>IF($C1981="","","C"&amp;TEXT(INT((ROW()-5)/9)+1,"000")&amp;"-3")</f>
        <v/>
      </c>
      <c r="C1981" t="str">
        <f>IF(OR(Registro_Compras!$C$223="",Registro_Compras!$O$223="",Registro_Compras!$R$223&lt;&gt;"SI",Registro_Compras!$X$223=""),"","4212")</f>
        <v/>
      </c>
      <c r="D1981" t="str">
        <f>IF(OR(Registro_Compras!$C$223="",Registro_Compras!$O$223=""),"","Cuentas por Pagar Comerciales - Terceros")</f>
        <v/>
      </c>
      <c r="E1981" s="20" t="str">
        <f>IF($C1981="","",Registro_Compras!$S$223)</f>
        <v/>
      </c>
      <c r="F1981" s="20" t="str">
        <f>""</f>
        <v/>
      </c>
      <c r="G1981" t="str">
        <f>IF($C1981="","","Por el deposito de la detraccion en el Banco de la Nacion")</f>
        <v/>
      </c>
      <c r="H1981" t="str">
        <f>IF($C1981="","",Registro_Compras!$C$223)</f>
        <v/>
      </c>
    </row>
    <row r="1982" spans="1:8" x14ac:dyDescent="0.25">
      <c r="A1982" s="25" t="str">
        <f>IF($C1982="","",Registro_Compras!$X$223)</f>
        <v/>
      </c>
      <c r="B1982" t="str">
        <f>IF($C1982="","","C"&amp;TEXT(INT((ROW()-5)/9)+1,"000")&amp;"-3")</f>
        <v/>
      </c>
      <c r="C1982" t="str">
        <f>IF(OR(Registro_Compras!$C$223="",Registro_Compras!$O$223="",Registro_Compras!$R$223&lt;&gt;"SI",Registro_Compras!$X$223=""),"","1041")</f>
        <v/>
      </c>
      <c r="D1982" t="str">
        <f>IF(OR(Registro_Compras!$C$223="",Registro_Compras!$O$223=""),"","Efectivo y Equivalentes - Cta. Cte. Operativa")</f>
        <v/>
      </c>
      <c r="E1982" s="20" t="str">
        <f>""</f>
        <v/>
      </c>
      <c r="F1982" s="20" t="str">
        <f>IF($C1982="","",Registro_Compras!$S$223)</f>
        <v/>
      </c>
      <c r="G1982" t="str">
        <f>IF($C1982="","","Por el deposito de la detraccion en el Banco de la Nacion")</f>
        <v/>
      </c>
      <c r="H1982" t="str">
        <f>IF($C1982="","",Registro_Compras!$C$223)</f>
        <v/>
      </c>
    </row>
    <row r="1983" spans="1:8" x14ac:dyDescent="0.25">
      <c r="A1983" s="25" t="str">
        <f>IF($C1983="","",Registro_Compras!$Y$223)</f>
        <v/>
      </c>
      <c r="B1983" t="str">
        <f>IF($C1983="","","C"&amp;TEXT(INT((ROW()-5)/9)+1,"000")&amp;"-4")</f>
        <v/>
      </c>
      <c r="C1983" t="str">
        <f>IF(OR(Registro_Compras!$C$223="",Registro_Compras!$O$223="",Registro_Compras!$Y$223="",Registro_Compras!$F$223="NOTA DE CREDITO"),"","4212")</f>
        <v/>
      </c>
      <c r="D1983" t="str">
        <f>IF(OR(Registro_Compras!$C$223="",Registro_Compras!$O$223=""),"","Cuentas por Pagar Comerciales - Terceros")</f>
        <v/>
      </c>
      <c r="E1983" s="20" t="str">
        <f>IF($C1983="","",IF(Registro_Compras!$F$223="RHE",(ROUND(Registro_Compras!$L$223*Registro_Compras!$N$223,2)-ROUND(Registro_Compras!$V$223*Registro_Compras!$N$223,2)),ROUND(Registro_Compras!$O$223-Registro_Compras!$S$223,2)))</f>
        <v/>
      </c>
      <c r="F1983" s="20" t="str">
        <f>""</f>
        <v/>
      </c>
      <c r="G1983" t="str">
        <f>IF($C1983="","","Por la cancelacion del saldo al proveedor")</f>
        <v/>
      </c>
      <c r="H1983" t="str">
        <f>IF($C1983="","",Registro_Compras!$C$223)</f>
        <v/>
      </c>
    </row>
    <row r="1984" spans="1:8" x14ac:dyDescent="0.25">
      <c r="A1984" s="25" t="str">
        <f>IF($C1984="","",Registro_Compras!$Y$223)</f>
        <v/>
      </c>
      <c r="B1984" t="str">
        <f>IF($C1984="","","C"&amp;TEXT(INT((ROW()-5)/9)+1,"000")&amp;"-4")</f>
        <v/>
      </c>
      <c r="C1984" t="str">
        <f>IF(OR(Registro_Compras!$C$223="",Registro_Compras!$O$223="",Registro_Compras!$Y$223="",Registro_Compras!$F$223="NOTA DE CREDITO"),"","1041")</f>
        <v/>
      </c>
      <c r="D1984" t="str">
        <f>IF(OR(Registro_Compras!$C$223="",Registro_Compras!$O$223=""),"","Efectivo y Equivalentes - Cta. Cte. Operativa")</f>
        <v/>
      </c>
      <c r="E1984" s="20" t="str">
        <f>""</f>
        <v/>
      </c>
      <c r="F1984" s="20" t="str">
        <f>IF($C1984="","",IF(Registro_Compras!$F$223="RHE",(ROUND(Registro_Compras!$L$223*Registro_Compras!$N$223,2)-ROUND(Registro_Compras!$V$223*Registro_Compras!$N$223,2)),ROUND(Registro_Compras!$O$223-Registro_Compras!$S$223,2)))</f>
        <v/>
      </c>
      <c r="G1984" t="str">
        <f>IF($C1984="","","Por la cancelacion del saldo al proveedor")</f>
        <v/>
      </c>
      <c r="H1984" t="str">
        <f>IF($C1984="","",Registro_Compras!$C$223)</f>
        <v/>
      </c>
    </row>
    <row r="1985" spans="1:8" x14ac:dyDescent="0.25">
      <c r="A1985" s="25" t="str">
        <f>IF($C1985="","",Registro_Compras!$B$224)</f>
        <v/>
      </c>
      <c r="B1985" t="str">
        <f>IF($C1985="","","C"&amp;TEXT(INT((ROW()-5)/9)+1,"000")&amp;"-1")</f>
        <v/>
      </c>
      <c r="C1985" t="str">
        <f>IF(OR(Registro_Compras!$C$224="",Registro_Compras!$O$224=""),"",IF(Registro_Compras!$F$224="NOTA DE CREDITO","4212",IF(Registro_Compras!$M$224="","63",Registro_Compras!$M$224)))</f>
        <v/>
      </c>
      <c r="D1985" t="str">
        <f>IF(OR(Registro_Compras!$C$224="",Registro_Compras!$O$224=""),"",IF(Registro_Compras!$F$224="NOTA DE CREDITO","Cuentas por Pagar Comerciales - Terceros (Emitidas)",IF(Registro_Compras!$F$224="RHE","Honorarios Profesionales - Servicios de Terceros","Gastos de Servicios Prestados por Terceros")))</f>
        <v/>
      </c>
      <c r="E1985" s="20" t="str">
        <f>IF($C1985="","",IF(Registro_Compras!$F$224="NOTA DE CREDITO",ABS(Registro_Compras!$O$224),IF(Registro_Compras!$F$224="RHE",ROUND(Registro_Compras!$L$224*Registro_Compras!$N$224,2),ROUND(Registro_Compras!$J$224*Registro_Compras!$N$224,2))))</f>
        <v/>
      </c>
      <c r="F1985" s="20" t="str">
        <f>""</f>
        <v/>
      </c>
      <c r="G1985" t="str">
        <f>IF($C1985="","",IF(Registro_Compras!$F$224="NOTA DE CREDITO","Por la nota de credito "&amp;Registro_Compras!$C$224&amp;" de "&amp;Registro_Compras!$E$224&amp;" [PATRON POR CONFIRMAR CON CONTADOR]",IF(Registro_Compras!$F$224="RHE","Por el registro del recibo por honorarios "&amp;Registro_Compras!$C$224&amp;" de "&amp;Registro_Compras!$E$224&amp;" [PATRON POR CONFIRMAR CON CONTADOR]","Por el registro de la factura "&amp;Registro_Compras!$C$224&amp;" de "&amp;Registro_Compras!$E$224)))</f>
        <v/>
      </c>
      <c r="H1985" t="str">
        <f>IF($C1985="","",Registro_Compras!$C$224)</f>
        <v/>
      </c>
    </row>
    <row r="1986" spans="1:8" x14ac:dyDescent="0.25">
      <c r="A1986" s="25" t="str">
        <f>IF($C1986="","",Registro_Compras!$B$224)</f>
        <v/>
      </c>
      <c r="B1986" t="str">
        <f>IF($C1986="","","C"&amp;TEXT(INT((ROW()-5)/9)+1,"000")&amp;"-1")</f>
        <v/>
      </c>
      <c r="C1986" t="str">
        <f>IF(OR(Registro_Compras!$C$224="",Registro_Compras!$O$224=""),"",IF(Registro_Compras!$F$224="RHE",IF(Registro_Compras!$V$224=0,"","4017"),IF(Registro_Compras!$F$224="NOTA DE CREDITO",IF(Registro_Compras!$M$224="","63",Registro_Compras!$M$224),IF(Registro_Compras!$K$224=0,"","40111"))))</f>
        <v/>
      </c>
      <c r="D1986" t="str">
        <f>IF(OR(Registro_Compras!$C$224="",Registro_Compras!$O$224=""),"",IF(Registro_Compras!$F$224="RHE","Retencion Renta 4ta Categoria por Pagar",IF(Registro_Compras!$F$224="NOTA DE CREDITO","Gastos de Servicios Prestados por Terceros","IGV - Cuenta Propia (Credito Fiscal)")))</f>
        <v/>
      </c>
      <c r="E1986" s="20" t="str">
        <f>IF($C1986="","",IF(Registro_Compras!$F$224="FACTURA",ROUND(Registro_Compras!$K$224*Registro_Compras!$N$224,2),""))</f>
        <v/>
      </c>
      <c r="F1986" s="20" t="str">
        <f>IF($C1986="","",IF(Registro_Compras!$F$224="RHE",ROUND(Registro_Compras!$V$224*Registro_Compras!$N$224,2),IF(Registro_Compras!$F$224="NOTA DE CREDITO",ROUND(ABS(Registro_Compras!$J$224*Registro_Compras!$N$224),2),"")))</f>
        <v/>
      </c>
      <c r="G1986" t="str">
        <f>IF($C1986="","",IF(Registro_Compras!$F$224="NOTA DE CREDITO","Por la nota de credito "&amp;Registro_Compras!$C$224&amp;" de "&amp;Registro_Compras!$E$224&amp;" [PATRON POR CONFIRMAR CON CONTADOR]",IF(Registro_Compras!$F$224="RHE","Por el registro del recibo por honorarios "&amp;Registro_Compras!$C$224&amp;" de "&amp;Registro_Compras!$E$224&amp;" [PATRON POR CONFIRMAR CON CONTADOR]","Por el registro de la factura "&amp;Registro_Compras!$C$224&amp;" de "&amp;Registro_Compras!$E$224)))</f>
        <v/>
      </c>
      <c r="H1986" t="str">
        <f>IF($C1986="","",Registro_Compras!$C$224)</f>
        <v/>
      </c>
    </row>
    <row r="1987" spans="1:8" x14ac:dyDescent="0.25">
      <c r="A1987" s="25" t="str">
        <f>IF($C1987="","",Registro_Compras!$B$224)</f>
        <v/>
      </c>
      <c r="B1987" t="str">
        <f>IF($C1987="","","C"&amp;TEXT(INT((ROW()-5)/9)+1,"000")&amp;"-1")</f>
        <v/>
      </c>
      <c r="C1987" t="str">
        <f>IF(OR(Registro_Compras!$C$224="",Registro_Compras!$O$224=""),"",IF(Registro_Compras!$F$224="NOTA DE CREDITO",IF(Registro_Compras!$K$224=0,"","40111"),"4212"))</f>
        <v/>
      </c>
      <c r="D1987" t="str">
        <f>IF(OR(Registro_Compras!$C$224="",Registro_Compras!$O$224=""),"",IF(Registro_Compras!$F$224="NOTA DE CREDITO","IGV - Cuenta Propia (Credito Fiscal)","Cuentas por Pagar Comerciales - Terceros (Emitidas)"))</f>
        <v/>
      </c>
      <c r="E1987" s="20" t="str">
        <f>""</f>
        <v/>
      </c>
      <c r="F1987" s="20" t="str">
        <f>IF($C1987="","",IF(Registro_Compras!$F$224="NOTA DE CREDITO",ROUND(ABS(Registro_Compras!$K$224*Registro_Compras!$N$224),2),IF(Registro_Compras!$F$224="RHE",(ROUND(Registro_Compras!$L$224*Registro_Compras!$N$224,2)-ROUND(Registro_Compras!$V$224*Registro_Compras!$N$224,2)),Registro_Compras!$O$224)))</f>
        <v/>
      </c>
      <c r="G1987" t="str">
        <f>IF($C1987="","",IF(Registro_Compras!$F$224="NOTA DE CREDITO","Por la nota de credito "&amp;Registro_Compras!$C$224&amp;" de "&amp;Registro_Compras!$E$224&amp;" [PATRON POR CONFIRMAR CON CONTADOR]",IF(Registro_Compras!$F$224="RHE","Por el registro del recibo por honorarios "&amp;Registro_Compras!$C$224&amp;" de "&amp;Registro_Compras!$E$224&amp;" [PATRON POR CONFIRMAR CON CONTADOR]","Por el registro de la factura "&amp;Registro_Compras!$C$224&amp;" de "&amp;Registro_Compras!$E$224)))</f>
        <v/>
      </c>
      <c r="H1987" t="str">
        <f>IF($C1987="","",Registro_Compras!$C$224)</f>
        <v/>
      </c>
    </row>
    <row r="1988" spans="1:8" x14ac:dyDescent="0.25">
      <c r="A1988" s="25" t="str">
        <f>IF($C1988="","",Registro_Compras!$B$224)</f>
        <v/>
      </c>
      <c r="B1988" t="str">
        <f>IF($C1988="","","C"&amp;TEXT(INT((ROW()-5)/9)+1,"000")&amp;"-2")</f>
        <v/>
      </c>
      <c r="C1988" t="str">
        <f>IF(OR(Registro_Compras!$C$224="",Registro_Compras!$O$224=""),"",IF(Registro_Compras!$AB$224="ADMINISTRATIVO","94","95"))</f>
        <v/>
      </c>
      <c r="D1988" t="str">
        <f>IF(OR(Registro_Compras!$C$224="",Registro_Compras!$O$224=""),"",IF(Registro_Compras!$AB$224="ADMINISTRATIVO","Gastos Administrativos","Gastos de Venta y Operacion"))</f>
        <v/>
      </c>
      <c r="E1988" s="20" t="str">
        <f>IF($C1988="","",IF(Registro_Compras!$F$224="NOTA DE CREDITO","",IF(Registro_Compras!$F$224="RHE",ROUND(Registro_Compras!$L$224*Registro_Compras!$N$224,2),ROUND(Registro_Compras!$J$224*Registro_Compras!$N$224,2))))</f>
        <v/>
      </c>
      <c r="F1988" s="20" t="str">
        <f>IF($C1988="","",IF(Registro_Compras!$F$224="NOTA DE CREDITO",ROUND(ABS(Registro_Compras!$J$224*Registro_Compras!$N$224),2),""))</f>
        <v/>
      </c>
      <c r="G1988" t="str">
        <f>IF($C1988="","","Por el destino del gasto")</f>
        <v/>
      </c>
      <c r="H1988" t="str">
        <f>IF($C1988="","",Registro_Compras!$C$224)</f>
        <v/>
      </c>
    </row>
    <row r="1989" spans="1:8" x14ac:dyDescent="0.25">
      <c r="A1989" s="25" t="str">
        <f>IF($C1989="","",Registro_Compras!$B$224)</f>
        <v/>
      </c>
      <c r="B1989" t="str">
        <f>IF($C1989="","","C"&amp;TEXT(INT((ROW()-5)/9)+1,"000")&amp;"-2")</f>
        <v/>
      </c>
      <c r="C1989" t="str">
        <f>IF(OR(Registro_Compras!$C$224="",Registro_Compras!$O$224=""),"","79/791")</f>
        <v/>
      </c>
      <c r="D1989" t="str">
        <f>IF(OR(Registro_Compras!$C$224="",Registro_Compras!$O$224=""),"","Cargas Imputables a Cuentas de Costos y Gastos")</f>
        <v/>
      </c>
      <c r="E1989" s="20" t="str">
        <f>IF($C1989="","",IF(Registro_Compras!$F$224="NOTA DE CREDITO",ROUND(ABS(Registro_Compras!$J$224*Registro_Compras!$N$224),2),""))</f>
        <v/>
      </c>
      <c r="F1989" s="20" t="str">
        <f>IF($C1989="","",IF(Registro_Compras!$F$224="NOTA DE CREDITO","",IF(Registro_Compras!$F$224="RHE",ROUND(Registro_Compras!$L$224*Registro_Compras!$N$224,2),ROUND(Registro_Compras!$J$224*Registro_Compras!$N$224,2))))</f>
        <v/>
      </c>
      <c r="G1989" t="str">
        <f>IF($C1989="","","Por el destino del gasto")</f>
        <v/>
      </c>
      <c r="H1989" t="str">
        <f>IF($C1989="","",Registro_Compras!$C$224)</f>
        <v/>
      </c>
    </row>
    <row r="1990" spans="1:8" x14ac:dyDescent="0.25">
      <c r="A1990" s="25" t="str">
        <f>IF($C1990="","",Registro_Compras!$X$224)</f>
        <v/>
      </c>
      <c r="B1990" t="str">
        <f>IF($C1990="","","C"&amp;TEXT(INT((ROW()-5)/9)+1,"000")&amp;"-3")</f>
        <v/>
      </c>
      <c r="C1990" t="str">
        <f>IF(OR(Registro_Compras!$C$224="",Registro_Compras!$O$224="",Registro_Compras!$R$224&lt;&gt;"SI",Registro_Compras!$X$224=""),"","4212")</f>
        <v/>
      </c>
      <c r="D1990" t="str">
        <f>IF(OR(Registro_Compras!$C$224="",Registro_Compras!$O$224=""),"","Cuentas por Pagar Comerciales - Terceros")</f>
        <v/>
      </c>
      <c r="E1990" s="20" t="str">
        <f>IF($C1990="","",Registro_Compras!$S$224)</f>
        <v/>
      </c>
      <c r="F1990" s="20" t="str">
        <f>""</f>
        <v/>
      </c>
      <c r="G1990" t="str">
        <f>IF($C1990="","","Por el deposito de la detraccion en el Banco de la Nacion")</f>
        <v/>
      </c>
      <c r="H1990" t="str">
        <f>IF($C1990="","",Registro_Compras!$C$224)</f>
        <v/>
      </c>
    </row>
    <row r="1991" spans="1:8" x14ac:dyDescent="0.25">
      <c r="A1991" s="25" t="str">
        <f>IF($C1991="","",Registro_Compras!$X$224)</f>
        <v/>
      </c>
      <c r="B1991" t="str">
        <f>IF($C1991="","","C"&amp;TEXT(INT((ROW()-5)/9)+1,"000")&amp;"-3")</f>
        <v/>
      </c>
      <c r="C1991" t="str">
        <f>IF(OR(Registro_Compras!$C$224="",Registro_Compras!$O$224="",Registro_Compras!$R$224&lt;&gt;"SI",Registro_Compras!$X$224=""),"","1041")</f>
        <v/>
      </c>
      <c r="D1991" t="str">
        <f>IF(OR(Registro_Compras!$C$224="",Registro_Compras!$O$224=""),"","Efectivo y Equivalentes - Cta. Cte. Operativa")</f>
        <v/>
      </c>
      <c r="E1991" s="20" t="str">
        <f>""</f>
        <v/>
      </c>
      <c r="F1991" s="20" t="str">
        <f>IF($C1991="","",Registro_Compras!$S$224)</f>
        <v/>
      </c>
      <c r="G1991" t="str">
        <f>IF($C1991="","","Por el deposito de la detraccion en el Banco de la Nacion")</f>
        <v/>
      </c>
      <c r="H1991" t="str">
        <f>IF($C1991="","",Registro_Compras!$C$224)</f>
        <v/>
      </c>
    </row>
    <row r="1992" spans="1:8" x14ac:dyDescent="0.25">
      <c r="A1992" s="25" t="str">
        <f>IF($C1992="","",Registro_Compras!$Y$224)</f>
        <v/>
      </c>
      <c r="B1992" t="str">
        <f>IF($C1992="","","C"&amp;TEXT(INT((ROW()-5)/9)+1,"000")&amp;"-4")</f>
        <v/>
      </c>
      <c r="C1992" t="str">
        <f>IF(OR(Registro_Compras!$C$224="",Registro_Compras!$O$224="",Registro_Compras!$Y$224="",Registro_Compras!$F$224="NOTA DE CREDITO"),"","4212")</f>
        <v/>
      </c>
      <c r="D1992" t="str">
        <f>IF(OR(Registro_Compras!$C$224="",Registro_Compras!$O$224=""),"","Cuentas por Pagar Comerciales - Terceros")</f>
        <v/>
      </c>
      <c r="E1992" s="20" t="str">
        <f>IF($C1992="","",IF(Registro_Compras!$F$224="RHE",(ROUND(Registro_Compras!$L$224*Registro_Compras!$N$224,2)-ROUND(Registro_Compras!$V$224*Registro_Compras!$N$224,2)),ROUND(Registro_Compras!$O$224-Registro_Compras!$S$224,2)))</f>
        <v/>
      </c>
      <c r="F1992" s="20" t="str">
        <f>""</f>
        <v/>
      </c>
      <c r="G1992" t="str">
        <f>IF($C1992="","","Por la cancelacion del saldo al proveedor")</f>
        <v/>
      </c>
      <c r="H1992" t="str">
        <f>IF($C1992="","",Registro_Compras!$C$224)</f>
        <v/>
      </c>
    </row>
    <row r="1993" spans="1:8" x14ac:dyDescent="0.25">
      <c r="A1993" s="25" t="str">
        <f>IF($C1993="","",Registro_Compras!$Y$224)</f>
        <v/>
      </c>
      <c r="B1993" t="str">
        <f>IF($C1993="","","C"&amp;TEXT(INT((ROW()-5)/9)+1,"000")&amp;"-4")</f>
        <v/>
      </c>
      <c r="C1993" t="str">
        <f>IF(OR(Registro_Compras!$C$224="",Registro_Compras!$O$224="",Registro_Compras!$Y$224="",Registro_Compras!$F$224="NOTA DE CREDITO"),"","1041")</f>
        <v/>
      </c>
      <c r="D1993" t="str">
        <f>IF(OR(Registro_Compras!$C$224="",Registro_Compras!$O$224=""),"","Efectivo y Equivalentes - Cta. Cte. Operativa")</f>
        <v/>
      </c>
      <c r="E1993" s="20" t="str">
        <f>""</f>
        <v/>
      </c>
      <c r="F1993" s="20" t="str">
        <f>IF($C1993="","",IF(Registro_Compras!$F$224="RHE",(ROUND(Registro_Compras!$L$224*Registro_Compras!$N$224,2)-ROUND(Registro_Compras!$V$224*Registro_Compras!$N$224,2)),ROUND(Registro_Compras!$O$224-Registro_Compras!$S$224,2)))</f>
        <v/>
      </c>
      <c r="G1993" t="str">
        <f>IF($C1993="","","Por la cancelacion del saldo al proveedor")</f>
        <v/>
      </c>
      <c r="H1993" t="str">
        <f>IF($C1993="","",Registro_Compras!$C$224)</f>
        <v/>
      </c>
    </row>
    <row r="1994" spans="1:8" x14ac:dyDescent="0.25">
      <c r="A1994" s="25" t="str">
        <f>IF($C1994="","",Registro_Compras!$B$225)</f>
        <v/>
      </c>
      <c r="B1994" t="str">
        <f>IF($C1994="","","C"&amp;TEXT(INT((ROW()-5)/9)+1,"000")&amp;"-1")</f>
        <v/>
      </c>
      <c r="C1994" t="str">
        <f>IF(OR(Registro_Compras!$C$225="",Registro_Compras!$O$225=""),"",IF(Registro_Compras!$F$225="NOTA DE CREDITO","4212",IF(Registro_Compras!$M$225="","63",Registro_Compras!$M$225)))</f>
        <v/>
      </c>
      <c r="D1994" t="str">
        <f>IF(OR(Registro_Compras!$C$225="",Registro_Compras!$O$225=""),"",IF(Registro_Compras!$F$225="NOTA DE CREDITO","Cuentas por Pagar Comerciales - Terceros (Emitidas)",IF(Registro_Compras!$F$225="RHE","Honorarios Profesionales - Servicios de Terceros","Gastos de Servicios Prestados por Terceros")))</f>
        <v/>
      </c>
      <c r="E1994" s="20" t="str">
        <f>IF($C1994="","",IF(Registro_Compras!$F$225="NOTA DE CREDITO",ABS(Registro_Compras!$O$225),IF(Registro_Compras!$F$225="RHE",ROUND(Registro_Compras!$L$225*Registro_Compras!$N$225,2),ROUND(Registro_Compras!$J$225*Registro_Compras!$N$225,2))))</f>
        <v/>
      </c>
      <c r="F1994" s="20" t="str">
        <f>""</f>
        <v/>
      </c>
      <c r="G1994" t="str">
        <f>IF($C1994="","",IF(Registro_Compras!$F$225="NOTA DE CREDITO","Por la nota de credito "&amp;Registro_Compras!$C$225&amp;" de "&amp;Registro_Compras!$E$225&amp;" [PATRON POR CONFIRMAR CON CONTADOR]",IF(Registro_Compras!$F$225="RHE","Por el registro del recibo por honorarios "&amp;Registro_Compras!$C$225&amp;" de "&amp;Registro_Compras!$E$225&amp;" [PATRON POR CONFIRMAR CON CONTADOR]","Por el registro de la factura "&amp;Registro_Compras!$C$225&amp;" de "&amp;Registro_Compras!$E$225)))</f>
        <v/>
      </c>
      <c r="H1994" t="str">
        <f>IF($C1994="","",Registro_Compras!$C$225)</f>
        <v/>
      </c>
    </row>
    <row r="1995" spans="1:8" x14ac:dyDescent="0.25">
      <c r="A1995" s="25" t="str">
        <f>IF($C1995="","",Registro_Compras!$B$225)</f>
        <v/>
      </c>
      <c r="B1995" t="str">
        <f>IF($C1995="","","C"&amp;TEXT(INT((ROW()-5)/9)+1,"000")&amp;"-1")</f>
        <v/>
      </c>
      <c r="C1995" t="str">
        <f>IF(OR(Registro_Compras!$C$225="",Registro_Compras!$O$225=""),"",IF(Registro_Compras!$F$225="RHE",IF(Registro_Compras!$V$225=0,"","4017"),IF(Registro_Compras!$F$225="NOTA DE CREDITO",IF(Registro_Compras!$M$225="","63",Registro_Compras!$M$225),IF(Registro_Compras!$K$225=0,"","40111"))))</f>
        <v/>
      </c>
      <c r="D1995" t="str">
        <f>IF(OR(Registro_Compras!$C$225="",Registro_Compras!$O$225=""),"",IF(Registro_Compras!$F$225="RHE","Retencion Renta 4ta Categoria por Pagar",IF(Registro_Compras!$F$225="NOTA DE CREDITO","Gastos de Servicios Prestados por Terceros","IGV - Cuenta Propia (Credito Fiscal)")))</f>
        <v/>
      </c>
      <c r="E1995" s="20" t="str">
        <f>IF($C1995="","",IF(Registro_Compras!$F$225="FACTURA",ROUND(Registro_Compras!$K$225*Registro_Compras!$N$225,2),""))</f>
        <v/>
      </c>
      <c r="F1995" s="20" t="str">
        <f>IF($C1995="","",IF(Registro_Compras!$F$225="RHE",ROUND(Registro_Compras!$V$225*Registro_Compras!$N$225,2),IF(Registro_Compras!$F$225="NOTA DE CREDITO",ROUND(ABS(Registro_Compras!$J$225*Registro_Compras!$N$225),2),"")))</f>
        <v/>
      </c>
      <c r="G1995" t="str">
        <f>IF($C1995="","",IF(Registro_Compras!$F$225="NOTA DE CREDITO","Por la nota de credito "&amp;Registro_Compras!$C$225&amp;" de "&amp;Registro_Compras!$E$225&amp;" [PATRON POR CONFIRMAR CON CONTADOR]",IF(Registro_Compras!$F$225="RHE","Por el registro del recibo por honorarios "&amp;Registro_Compras!$C$225&amp;" de "&amp;Registro_Compras!$E$225&amp;" [PATRON POR CONFIRMAR CON CONTADOR]","Por el registro de la factura "&amp;Registro_Compras!$C$225&amp;" de "&amp;Registro_Compras!$E$225)))</f>
        <v/>
      </c>
      <c r="H1995" t="str">
        <f>IF($C1995="","",Registro_Compras!$C$225)</f>
        <v/>
      </c>
    </row>
    <row r="1996" spans="1:8" x14ac:dyDescent="0.25">
      <c r="A1996" s="25" t="str">
        <f>IF($C1996="","",Registro_Compras!$B$225)</f>
        <v/>
      </c>
      <c r="B1996" t="str">
        <f>IF($C1996="","","C"&amp;TEXT(INT((ROW()-5)/9)+1,"000")&amp;"-1")</f>
        <v/>
      </c>
      <c r="C1996" t="str">
        <f>IF(OR(Registro_Compras!$C$225="",Registro_Compras!$O$225=""),"",IF(Registro_Compras!$F$225="NOTA DE CREDITO",IF(Registro_Compras!$K$225=0,"","40111"),"4212"))</f>
        <v/>
      </c>
      <c r="D1996" t="str">
        <f>IF(OR(Registro_Compras!$C$225="",Registro_Compras!$O$225=""),"",IF(Registro_Compras!$F$225="NOTA DE CREDITO","IGV - Cuenta Propia (Credito Fiscal)","Cuentas por Pagar Comerciales - Terceros (Emitidas)"))</f>
        <v/>
      </c>
      <c r="E1996" s="20" t="str">
        <f>""</f>
        <v/>
      </c>
      <c r="F1996" s="20" t="str">
        <f>IF($C1996="","",IF(Registro_Compras!$F$225="NOTA DE CREDITO",ROUND(ABS(Registro_Compras!$K$225*Registro_Compras!$N$225),2),IF(Registro_Compras!$F$225="RHE",(ROUND(Registro_Compras!$L$225*Registro_Compras!$N$225,2)-ROUND(Registro_Compras!$V$225*Registro_Compras!$N$225,2)),Registro_Compras!$O$225)))</f>
        <v/>
      </c>
      <c r="G1996" t="str">
        <f>IF($C1996="","",IF(Registro_Compras!$F$225="NOTA DE CREDITO","Por la nota de credito "&amp;Registro_Compras!$C$225&amp;" de "&amp;Registro_Compras!$E$225&amp;" [PATRON POR CONFIRMAR CON CONTADOR]",IF(Registro_Compras!$F$225="RHE","Por el registro del recibo por honorarios "&amp;Registro_Compras!$C$225&amp;" de "&amp;Registro_Compras!$E$225&amp;" [PATRON POR CONFIRMAR CON CONTADOR]","Por el registro de la factura "&amp;Registro_Compras!$C$225&amp;" de "&amp;Registro_Compras!$E$225)))</f>
        <v/>
      </c>
      <c r="H1996" t="str">
        <f>IF($C1996="","",Registro_Compras!$C$225)</f>
        <v/>
      </c>
    </row>
    <row r="1997" spans="1:8" x14ac:dyDescent="0.25">
      <c r="A1997" s="25" t="str">
        <f>IF($C1997="","",Registro_Compras!$B$225)</f>
        <v/>
      </c>
      <c r="B1997" t="str">
        <f>IF($C1997="","","C"&amp;TEXT(INT((ROW()-5)/9)+1,"000")&amp;"-2")</f>
        <v/>
      </c>
      <c r="C1997" t="str">
        <f>IF(OR(Registro_Compras!$C$225="",Registro_Compras!$O$225=""),"",IF(Registro_Compras!$AB$225="ADMINISTRATIVO","94","95"))</f>
        <v/>
      </c>
      <c r="D1997" t="str">
        <f>IF(OR(Registro_Compras!$C$225="",Registro_Compras!$O$225=""),"",IF(Registro_Compras!$AB$225="ADMINISTRATIVO","Gastos Administrativos","Gastos de Venta y Operacion"))</f>
        <v/>
      </c>
      <c r="E1997" s="20" t="str">
        <f>IF($C1997="","",IF(Registro_Compras!$F$225="NOTA DE CREDITO","",IF(Registro_Compras!$F$225="RHE",ROUND(Registro_Compras!$L$225*Registro_Compras!$N$225,2),ROUND(Registro_Compras!$J$225*Registro_Compras!$N$225,2))))</f>
        <v/>
      </c>
      <c r="F1997" s="20" t="str">
        <f>IF($C1997="","",IF(Registro_Compras!$F$225="NOTA DE CREDITO",ROUND(ABS(Registro_Compras!$J$225*Registro_Compras!$N$225),2),""))</f>
        <v/>
      </c>
      <c r="G1997" t="str">
        <f>IF($C1997="","","Por el destino del gasto")</f>
        <v/>
      </c>
      <c r="H1997" t="str">
        <f>IF($C1997="","",Registro_Compras!$C$225)</f>
        <v/>
      </c>
    </row>
    <row r="1998" spans="1:8" x14ac:dyDescent="0.25">
      <c r="A1998" s="25" t="str">
        <f>IF($C1998="","",Registro_Compras!$B$225)</f>
        <v/>
      </c>
      <c r="B1998" t="str">
        <f>IF($C1998="","","C"&amp;TEXT(INT((ROW()-5)/9)+1,"000")&amp;"-2")</f>
        <v/>
      </c>
      <c r="C1998" t="str">
        <f>IF(OR(Registro_Compras!$C$225="",Registro_Compras!$O$225=""),"","79/791")</f>
        <v/>
      </c>
      <c r="D1998" t="str">
        <f>IF(OR(Registro_Compras!$C$225="",Registro_Compras!$O$225=""),"","Cargas Imputables a Cuentas de Costos y Gastos")</f>
        <v/>
      </c>
      <c r="E1998" s="20" t="str">
        <f>IF($C1998="","",IF(Registro_Compras!$F$225="NOTA DE CREDITO",ROUND(ABS(Registro_Compras!$J$225*Registro_Compras!$N$225),2),""))</f>
        <v/>
      </c>
      <c r="F1998" s="20" t="str">
        <f>IF($C1998="","",IF(Registro_Compras!$F$225="NOTA DE CREDITO","",IF(Registro_Compras!$F$225="RHE",ROUND(Registro_Compras!$L$225*Registro_Compras!$N$225,2),ROUND(Registro_Compras!$J$225*Registro_Compras!$N$225,2))))</f>
        <v/>
      </c>
      <c r="G1998" t="str">
        <f>IF($C1998="","","Por el destino del gasto")</f>
        <v/>
      </c>
      <c r="H1998" t="str">
        <f>IF($C1998="","",Registro_Compras!$C$225)</f>
        <v/>
      </c>
    </row>
    <row r="1999" spans="1:8" x14ac:dyDescent="0.25">
      <c r="A1999" s="25" t="str">
        <f>IF($C1999="","",Registro_Compras!$X$225)</f>
        <v/>
      </c>
      <c r="B1999" t="str">
        <f>IF($C1999="","","C"&amp;TEXT(INT((ROW()-5)/9)+1,"000")&amp;"-3")</f>
        <v/>
      </c>
      <c r="C1999" t="str">
        <f>IF(OR(Registro_Compras!$C$225="",Registro_Compras!$O$225="",Registro_Compras!$R$225&lt;&gt;"SI",Registro_Compras!$X$225=""),"","4212")</f>
        <v/>
      </c>
      <c r="D1999" t="str">
        <f>IF(OR(Registro_Compras!$C$225="",Registro_Compras!$O$225=""),"","Cuentas por Pagar Comerciales - Terceros")</f>
        <v/>
      </c>
      <c r="E1999" s="20" t="str">
        <f>IF($C1999="","",Registro_Compras!$S$225)</f>
        <v/>
      </c>
      <c r="F1999" s="20" t="str">
        <f>""</f>
        <v/>
      </c>
      <c r="G1999" t="str">
        <f>IF($C1999="","","Por el deposito de la detraccion en el Banco de la Nacion")</f>
        <v/>
      </c>
      <c r="H1999" t="str">
        <f>IF($C1999="","",Registro_Compras!$C$225)</f>
        <v/>
      </c>
    </row>
    <row r="2000" spans="1:8" x14ac:dyDescent="0.25">
      <c r="A2000" s="25" t="str">
        <f>IF($C2000="","",Registro_Compras!$X$225)</f>
        <v/>
      </c>
      <c r="B2000" t="str">
        <f>IF($C2000="","","C"&amp;TEXT(INT((ROW()-5)/9)+1,"000")&amp;"-3")</f>
        <v/>
      </c>
      <c r="C2000" t="str">
        <f>IF(OR(Registro_Compras!$C$225="",Registro_Compras!$O$225="",Registro_Compras!$R$225&lt;&gt;"SI",Registro_Compras!$X$225=""),"","1041")</f>
        <v/>
      </c>
      <c r="D2000" t="str">
        <f>IF(OR(Registro_Compras!$C$225="",Registro_Compras!$O$225=""),"","Efectivo y Equivalentes - Cta. Cte. Operativa")</f>
        <v/>
      </c>
      <c r="E2000" s="20" t="str">
        <f>""</f>
        <v/>
      </c>
      <c r="F2000" s="20" t="str">
        <f>IF($C2000="","",Registro_Compras!$S$225)</f>
        <v/>
      </c>
      <c r="G2000" t="str">
        <f>IF($C2000="","","Por el deposito de la detraccion en el Banco de la Nacion")</f>
        <v/>
      </c>
      <c r="H2000" t="str">
        <f>IF($C2000="","",Registro_Compras!$C$225)</f>
        <v/>
      </c>
    </row>
    <row r="2001" spans="1:8" x14ac:dyDescent="0.25">
      <c r="A2001" s="25" t="str">
        <f>IF($C2001="","",Registro_Compras!$Y$225)</f>
        <v/>
      </c>
      <c r="B2001" t="str">
        <f>IF($C2001="","","C"&amp;TEXT(INT((ROW()-5)/9)+1,"000")&amp;"-4")</f>
        <v/>
      </c>
      <c r="C2001" t="str">
        <f>IF(OR(Registro_Compras!$C$225="",Registro_Compras!$O$225="",Registro_Compras!$Y$225="",Registro_Compras!$F$225="NOTA DE CREDITO"),"","4212")</f>
        <v/>
      </c>
      <c r="D2001" t="str">
        <f>IF(OR(Registro_Compras!$C$225="",Registro_Compras!$O$225=""),"","Cuentas por Pagar Comerciales - Terceros")</f>
        <v/>
      </c>
      <c r="E2001" s="20" t="str">
        <f>IF($C2001="","",IF(Registro_Compras!$F$225="RHE",(ROUND(Registro_Compras!$L$225*Registro_Compras!$N$225,2)-ROUND(Registro_Compras!$V$225*Registro_Compras!$N$225,2)),ROUND(Registro_Compras!$O$225-Registro_Compras!$S$225,2)))</f>
        <v/>
      </c>
      <c r="F2001" s="20" t="str">
        <f>""</f>
        <v/>
      </c>
      <c r="G2001" t="str">
        <f>IF($C2001="","","Por la cancelacion del saldo al proveedor")</f>
        <v/>
      </c>
      <c r="H2001" t="str">
        <f>IF($C2001="","",Registro_Compras!$C$225)</f>
        <v/>
      </c>
    </row>
    <row r="2002" spans="1:8" x14ac:dyDescent="0.25">
      <c r="A2002" s="25" t="str">
        <f>IF($C2002="","",Registro_Compras!$Y$225)</f>
        <v/>
      </c>
      <c r="B2002" t="str">
        <f>IF($C2002="","","C"&amp;TEXT(INT((ROW()-5)/9)+1,"000")&amp;"-4")</f>
        <v/>
      </c>
      <c r="C2002" t="str">
        <f>IF(OR(Registro_Compras!$C$225="",Registro_Compras!$O$225="",Registro_Compras!$Y$225="",Registro_Compras!$F$225="NOTA DE CREDITO"),"","1041")</f>
        <v/>
      </c>
      <c r="D2002" t="str">
        <f>IF(OR(Registro_Compras!$C$225="",Registro_Compras!$O$225=""),"","Efectivo y Equivalentes - Cta. Cte. Operativa")</f>
        <v/>
      </c>
      <c r="E2002" s="20" t="str">
        <f>""</f>
        <v/>
      </c>
      <c r="F2002" s="20" t="str">
        <f>IF($C2002="","",IF(Registro_Compras!$F$225="RHE",(ROUND(Registro_Compras!$L$225*Registro_Compras!$N$225,2)-ROUND(Registro_Compras!$V$225*Registro_Compras!$N$225,2)),ROUND(Registro_Compras!$O$225-Registro_Compras!$S$225,2)))</f>
        <v/>
      </c>
      <c r="G2002" t="str">
        <f>IF($C2002="","","Por la cancelacion del saldo al proveedor")</f>
        <v/>
      </c>
      <c r="H2002" t="str">
        <f>IF($C2002="","",Registro_Compras!$C$225)</f>
        <v/>
      </c>
    </row>
    <row r="2003" spans="1:8" x14ac:dyDescent="0.25">
      <c r="A2003" s="25" t="str">
        <f>IF($C2003="","",Registro_Compras!$B$226)</f>
        <v/>
      </c>
      <c r="B2003" t="str">
        <f>IF($C2003="","","C"&amp;TEXT(INT((ROW()-5)/9)+1,"000")&amp;"-1")</f>
        <v/>
      </c>
      <c r="C2003" t="str">
        <f>IF(OR(Registro_Compras!$C$226="",Registro_Compras!$O$226=""),"",IF(Registro_Compras!$F$226="NOTA DE CREDITO","4212",IF(Registro_Compras!$M$226="","63",Registro_Compras!$M$226)))</f>
        <v/>
      </c>
      <c r="D2003" t="str">
        <f>IF(OR(Registro_Compras!$C$226="",Registro_Compras!$O$226=""),"",IF(Registro_Compras!$F$226="NOTA DE CREDITO","Cuentas por Pagar Comerciales - Terceros (Emitidas)",IF(Registro_Compras!$F$226="RHE","Honorarios Profesionales - Servicios de Terceros","Gastos de Servicios Prestados por Terceros")))</f>
        <v/>
      </c>
      <c r="E2003" s="20" t="str">
        <f>IF($C2003="","",IF(Registro_Compras!$F$226="NOTA DE CREDITO",ABS(Registro_Compras!$O$226),IF(Registro_Compras!$F$226="RHE",ROUND(Registro_Compras!$L$226*Registro_Compras!$N$226,2),ROUND(Registro_Compras!$J$226*Registro_Compras!$N$226,2))))</f>
        <v/>
      </c>
      <c r="F2003" s="20" t="str">
        <f>""</f>
        <v/>
      </c>
      <c r="G2003" t="str">
        <f>IF($C2003="","",IF(Registro_Compras!$F$226="NOTA DE CREDITO","Por la nota de credito "&amp;Registro_Compras!$C$226&amp;" de "&amp;Registro_Compras!$E$226&amp;" [PATRON POR CONFIRMAR CON CONTADOR]",IF(Registro_Compras!$F$226="RHE","Por el registro del recibo por honorarios "&amp;Registro_Compras!$C$226&amp;" de "&amp;Registro_Compras!$E$226&amp;" [PATRON POR CONFIRMAR CON CONTADOR]","Por el registro de la factura "&amp;Registro_Compras!$C$226&amp;" de "&amp;Registro_Compras!$E$226)))</f>
        <v/>
      </c>
      <c r="H2003" t="str">
        <f>IF($C2003="","",Registro_Compras!$C$226)</f>
        <v/>
      </c>
    </row>
    <row r="2004" spans="1:8" x14ac:dyDescent="0.25">
      <c r="A2004" s="25" t="str">
        <f>IF($C2004="","",Registro_Compras!$B$226)</f>
        <v/>
      </c>
      <c r="B2004" t="str">
        <f>IF($C2004="","","C"&amp;TEXT(INT((ROW()-5)/9)+1,"000")&amp;"-1")</f>
        <v/>
      </c>
      <c r="C2004" t="str">
        <f>IF(OR(Registro_Compras!$C$226="",Registro_Compras!$O$226=""),"",IF(Registro_Compras!$F$226="RHE",IF(Registro_Compras!$V$226=0,"","4017"),IF(Registro_Compras!$F$226="NOTA DE CREDITO",IF(Registro_Compras!$M$226="","63",Registro_Compras!$M$226),IF(Registro_Compras!$K$226=0,"","40111"))))</f>
        <v/>
      </c>
      <c r="D2004" t="str">
        <f>IF(OR(Registro_Compras!$C$226="",Registro_Compras!$O$226=""),"",IF(Registro_Compras!$F$226="RHE","Retencion Renta 4ta Categoria por Pagar",IF(Registro_Compras!$F$226="NOTA DE CREDITO","Gastos de Servicios Prestados por Terceros","IGV - Cuenta Propia (Credito Fiscal)")))</f>
        <v/>
      </c>
      <c r="E2004" s="20" t="str">
        <f>IF($C2004="","",IF(Registro_Compras!$F$226="FACTURA",ROUND(Registro_Compras!$K$226*Registro_Compras!$N$226,2),""))</f>
        <v/>
      </c>
      <c r="F2004" s="20" t="str">
        <f>IF($C2004="","",IF(Registro_Compras!$F$226="RHE",ROUND(Registro_Compras!$V$226*Registro_Compras!$N$226,2),IF(Registro_Compras!$F$226="NOTA DE CREDITO",ROUND(ABS(Registro_Compras!$J$226*Registro_Compras!$N$226),2),"")))</f>
        <v/>
      </c>
      <c r="G2004" t="str">
        <f>IF($C2004="","",IF(Registro_Compras!$F$226="NOTA DE CREDITO","Por la nota de credito "&amp;Registro_Compras!$C$226&amp;" de "&amp;Registro_Compras!$E$226&amp;" [PATRON POR CONFIRMAR CON CONTADOR]",IF(Registro_Compras!$F$226="RHE","Por el registro del recibo por honorarios "&amp;Registro_Compras!$C$226&amp;" de "&amp;Registro_Compras!$E$226&amp;" [PATRON POR CONFIRMAR CON CONTADOR]","Por el registro de la factura "&amp;Registro_Compras!$C$226&amp;" de "&amp;Registro_Compras!$E$226)))</f>
        <v/>
      </c>
      <c r="H2004" t="str">
        <f>IF($C2004="","",Registro_Compras!$C$226)</f>
        <v/>
      </c>
    </row>
    <row r="2005" spans="1:8" x14ac:dyDescent="0.25">
      <c r="A2005" s="25" t="str">
        <f>IF($C2005="","",Registro_Compras!$B$226)</f>
        <v/>
      </c>
      <c r="B2005" t="str">
        <f>IF($C2005="","","C"&amp;TEXT(INT((ROW()-5)/9)+1,"000")&amp;"-1")</f>
        <v/>
      </c>
      <c r="C2005" t="str">
        <f>IF(OR(Registro_Compras!$C$226="",Registro_Compras!$O$226=""),"",IF(Registro_Compras!$F$226="NOTA DE CREDITO",IF(Registro_Compras!$K$226=0,"","40111"),"4212"))</f>
        <v/>
      </c>
      <c r="D2005" t="str">
        <f>IF(OR(Registro_Compras!$C$226="",Registro_Compras!$O$226=""),"",IF(Registro_Compras!$F$226="NOTA DE CREDITO","IGV - Cuenta Propia (Credito Fiscal)","Cuentas por Pagar Comerciales - Terceros (Emitidas)"))</f>
        <v/>
      </c>
      <c r="E2005" s="20" t="str">
        <f>""</f>
        <v/>
      </c>
      <c r="F2005" s="20" t="str">
        <f>IF($C2005="","",IF(Registro_Compras!$F$226="NOTA DE CREDITO",ROUND(ABS(Registro_Compras!$K$226*Registro_Compras!$N$226),2),IF(Registro_Compras!$F$226="RHE",(ROUND(Registro_Compras!$L$226*Registro_Compras!$N$226,2)-ROUND(Registro_Compras!$V$226*Registro_Compras!$N$226,2)),Registro_Compras!$O$226)))</f>
        <v/>
      </c>
      <c r="G2005" t="str">
        <f>IF($C2005="","",IF(Registro_Compras!$F$226="NOTA DE CREDITO","Por la nota de credito "&amp;Registro_Compras!$C$226&amp;" de "&amp;Registro_Compras!$E$226&amp;" [PATRON POR CONFIRMAR CON CONTADOR]",IF(Registro_Compras!$F$226="RHE","Por el registro del recibo por honorarios "&amp;Registro_Compras!$C$226&amp;" de "&amp;Registro_Compras!$E$226&amp;" [PATRON POR CONFIRMAR CON CONTADOR]","Por el registro de la factura "&amp;Registro_Compras!$C$226&amp;" de "&amp;Registro_Compras!$E$226)))</f>
        <v/>
      </c>
      <c r="H2005" t="str">
        <f>IF($C2005="","",Registro_Compras!$C$226)</f>
        <v/>
      </c>
    </row>
    <row r="2006" spans="1:8" x14ac:dyDescent="0.25">
      <c r="A2006" s="25" t="str">
        <f>IF($C2006="","",Registro_Compras!$B$226)</f>
        <v/>
      </c>
      <c r="B2006" t="str">
        <f>IF($C2006="","","C"&amp;TEXT(INT((ROW()-5)/9)+1,"000")&amp;"-2")</f>
        <v/>
      </c>
      <c r="C2006" t="str">
        <f>IF(OR(Registro_Compras!$C$226="",Registro_Compras!$O$226=""),"",IF(Registro_Compras!$AB$226="ADMINISTRATIVO","94","95"))</f>
        <v/>
      </c>
      <c r="D2006" t="str">
        <f>IF(OR(Registro_Compras!$C$226="",Registro_Compras!$O$226=""),"",IF(Registro_Compras!$AB$226="ADMINISTRATIVO","Gastos Administrativos","Gastos de Venta y Operacion"))</f>
        <v/>
      </c>
      <c r="E2006" s="20" t="str">
        <f>IF($C2006="","",IF(Registro_Compras!$F$226="NOTA DE CREDITO","",IF(Registro_Compras!$F$226="RHE",ROUND(Registro_Compras!$L$226*Registro_Compras!$N$226,2),ROUND(Registro_Compras!$J$226*Registro_Compras!$N$226,2))))</f>
        <v/>
      </c>
      <c r="F2006" s="20" t="str">
        <f>IF($C2006="","",IF(Registro_Compras!$F$226="NOTA DE CREDITO",ROUND(ABS(Registro_Compras!$J$226*Registro_Compras!$N$226),2),""))</f>
        <v/>
      </c>
      <c r="G2006" t="str">
        <f>IF($C2006="","","Por el destino del gasto")</f>
        <v/>
      </c>
      <c r="H2006" t="str">
        <f>IF($C2006="","",Registro_Compras!$C$226)</f>
        <v/>
      </c>
    </row>
    <row r="2007" spans="1:8" x14ac:dyDescent="0.25">
      <c r="A2007" s="25" t="str">
        <f>IF($C2007="","",Registro_Compras!$B$226)</f>
        <v/>
      </c>
      <c r="B2007" t="str">
        <f>IF($C2007="","","C"&amp;TEXT(INT((ROW()-5)/9)+1,"000")&amp;"-2")</f>
        <v/>
      </c>
      <c r="C2007" t="str">
        <f>IF(OR(Registro_Compras!$C$226="",Registro_Compras!$O$226=""),"","79/791")</f>
        <v/>
      </c>
      <c r="D2007" t="str">
        <f>IF(OR(Registro_Compras!$C$226="",Registro_Compras!$O$226=""),"","Cargas Imputables a Cuentas de Costos y Gastos")</f>
        <v/>
      </c>
      <c r="E2007" s="20" t="str">
        <f>IF($C2007="","",IF(Registro_Compras!$F$226="NOTA DE CREDITO",ROUND(ABS(Registro_Compras!$J$226*Registro_Compras!$N$226),2),""))</f>
        <v/>
      </c>
      <c r="F2007" s="20" t="str">
        <f>IF($C2007="","",IF(Registro_Compras!$F$226="NOTA DE CREDITO","",IF(Registro_Compras!$F$226="RHE",ROUND(Registro_Compras!$L$226*Registro_Compras!$N$226,2),ROUND(Registro_Compras!$J$226*Registro_Compras!$N$226,2))))</f>
        <v/>
      </c>
      <c r="G2007" t="str">
        <f>IF($C2007="","","Por el destino del gasto")</f>
        <v/>
      </c>
      <c r="H2007" t="str">
        <f>IF($C2007="","",Registro_Compras!$C$226)</f>
        <v/>
      </c>
    </row>
    <row r="2008" spans="1:8" x14ac:dyDescent="0.25">
      <c r="A2008" s="25" t="str">
        <f>IF($C2008="","",Registro_Compras!$X$226)</f>
        <v/>
      </c>
      <c r="B2008" t="str">
        <f>IF($C2008="","","C"&amp;TEXT(INT((ROW()-5)/9)+1,"000")&amp;"-3")</f>
        <v/>
      </c>
      <c r="C2008" t="str">
        <f>IF(OR(Registro_Compras!$C$226="",Registro_Compras!$O$226="",Registro_Compras!$R$226&lt;&gt;"SI",Registro_Compras!$X$226=""),"","4212")</f>
        <v/>
      </c>
      <c r="D2008" t="str">
        <f>IF(OR(Registro_Compras!$C$226="",Registro_Compras!$O$226=""),"","Cuentas por Pagar Comerciales - Terceros")</f>
        <v/>
      </c>
      <c r="E2008" s="20" t="str">
        <f>IF($C2008="","",Registro_Compras!$S$226)</f>
        <v/>
      </c>
      <c r="F2008" s="20" t="str">
        <f>""</f>
        <v/>
      </c>
      <c r="G2008" t="str">
        <f>IF($C2008="","","Por el deposito de la detraccion en el Banco de la Nacion")</f>
        <v/>
      </c>
      <c r="H2008" t="str">
        <f>IF($C2008="","",Registro_Compras!$C$226)</f>
        <v/>
      </c>
    </row>
    <row r="2009" spans="1:8" x14ac:dyDescent="0.25">
      <c r="A2009" s="25" t="str">
        <f>IF($C2009="","",Registro_Compras!$X$226)</f>
        <v/>
      </c>
      <c r="B2009" t="str">
        <f>IF($C2009="","","C"&amp;TEXT(INT((ROW()-5)/9)+1,"000")&amp;"-3")</f>
        <v/>
      </c>
      <c r="C2009" t="str">
        <f>IF(OR(Registro_Compras!$C$226="",Registro_Compras!$O$226="",Registro_Compras!$R$226&lt;&gt;"SI",Registro_Compras!$X$226=""),"","1041")</f>
        <v/>
      </c>
      <c r="D2009" t="str">
        <f>IF(OR(Registro_Compras!$C$226="",Registro_Compras!$O$226=""),"","Efectivo y Equivalentes - Cta. Cte. Operativa")</f>
        <v/>
      </c>
      <c r="E2009" s="20" t="str">
        <f>""</f>
        <v/>
      </c>
      <c r="F2009" s="20" t="str">
        <f>IF($C2009="","",Registro_Compras!$S$226)</f>
        <v/>
      </c>
      <c r="G2009" t="str">
        <f>IF($C2009="","","Por el deposito de la detraccion en el Banco de la Nacion")</f>
        <v/>
      </c>
      <c r="H2009" t="str">
        <f>IF($C2009="","",Registro_Compras!$C$226)</f>
        <v/>
      </c>
    </row>
    <row r="2010" spans="1:8" x14ac:dyDescent="0.25">
      <c r="A2010" s="25" t="str">
        <f>IF($C2010="","",Registro_Compras!$Y$226)</f>
        <v/>
      </c>
      <c r="B2010" t="str">
        <f>IF($C2010="","","C"&amp;TEXT(INT((ROW()-5)/9)+1,"000")&amp;"-4")</f>
        <v/>
      </c>
      <c r="C2010" t="str">
        <f>IF(OR(Registro_Compras!$C$226="",Registro_Compras!$O$226="",Registro_Compras!$Y$226="",Registro_Compras!$F$226="NOTA DE CREDITO"),"","4212")</f>
        <v/>
      </c>
      <c r="D2010" t="str">
        <f>IF(OR(Registro_Compras!$C$226="",Registro_Compras!$O$226=""),"","Cuentas por Pagar Comerciales - Terceros")</f>
        <v/>
      </c>
      <c r="E2010" s="20" t="str">
        <f>IF($C2010="","",IF(Registro_Compras!$F$226="RHE",(ROUND(Registro_Compras!$L$226*Registro_Compras!$N$226,2)-ROUND(Registro_Compras!$V$226*Registro_Compras!$N$226,2)),ROUND(Registro_Compras!$O$226-Registro_Compras!$S$226,2)))</f>
        <v/>
      </c>
      <c r="F2010" s="20" t="str">
        <f>""</f>
        <v/>
      </c>
      <c r="G2010" t="str">
        <f>IF($C2010="","","Por la cancelacion del saldo al proveedor")</f>
        <v/>
      </c>
      <c r="H2010" t="str">
        <f>IF($C2010="","",Registro_Compras!$C$226)</f>
        <v/>
      </c>
    </row>
    <row r="2011" spans="1:8" x14ac:dyDescent="0.25">
      <c r="A2011" s="25" t="str">
        <f>IF($C2011="","",Registro_Compras!$Y$226)</f>
        <v/>
      </c>
      <c r="B2011" t="str">
        <f>IF($C2011="","","C"&amp;TEXT(INT((ROW()-5)/9)+1,"000")&amp;"-4")</f>
        <v/>
      </c>
      <c r="C2011" t="str">
        <f>IF(OR(Registro_Compras!$C$226="",Registro_Compras!$O$226="",Registro_Compras!$Y$226="",Registro_Compras!$F$226="NOTA DE CREDITO"),"","1041")</f>
        <v/>
      </c>
      <c r="D2011" t="str">
        <f>IF(OR(Registro_Compras!$C$226="",Registro_Compras!$O$226=""),"","Efectivo y Equivalentes - Cta. Cte. Operativa")</f>
        <v/>
      </c>
      <c r="E2011" s="20" t="str">
        <f>""</f>
        <v/>
      </c>
      <c r="F2011" s="20" t="str">
        <f>IF($C2011="","",IF(Registro_Compras!$F$226="RHE",(ROUND(Registro_Compras!$L$226*Registro_Compras!$N$226,2)-ROUND(Registro_Compras!$V$226*Registro_Compras!$N$226,2)),ROUND(Registro_Compras!$O$226-Registro_Compras!$S$226,2)))</f>
        <v/>
      </c>
      <c r="G2011" t="str">
        <f>IF($C2011="","","Por la cancelacion del saldo al proveedor")</f>
        <v/>
      </c>
      <c r="H2011" t="str">
        <f>IF($C2011="","",Registro_Compras!$C$226)</f>
        <v/>
      </c>
    </row>
    <row r="2012" spans="1:8" x14ac:dyDescent="0.25">
      <c r="A2012" s="25" t="str">
        <f>IF($C2012="","",Registro_Compras!$B$227)</f>
        <v/>
      </c>
      <c r="B2012" t="str">
        <f>IF($C2012="","","C"&amp;TEXT(INT((ROW()-5)/9)+1,"000")&amp;"-1")</f>
        <v/>
      </c>
      <c r="C2012" t="str">
        <f>IF(OR(Registro_Compras!$C$227="",Registro_Compras!$O$227=""),"",IF(Registro_Compras!$F$227="NOTA DE CREDITO","4212",IF(Registro_Compras!$M$227="","63",Registro_Compras!$M$227)))</f>
        <v/>
      </c>
      <c r="D2012" t="str">
        <f>IF(OR(Registro_Compras!$C$227="",Registro_Compras!$O$227=""),"",IF(Registro_Compras!$F$227="NOTA DE CREDITO","Cuentas por Pagar Comerciales - Terceros (Emitidas)",IF(Registro_Compras!$F$227="RHE","Honorarios Profesionales - Servicios de Terceros","Gastos de Servicios Prestados por Terceros")))</f>
        <v/>
      </c>
      <c r="E2012" s="20" t="str">
        <f>IF($C2012="","",IF(Registro_Compras!$F$227="NOTA DE CREDITO",ABS(Registro_Compras!$O$227),IF(Registro_Compras!$F$227="RHE",ROUND(Registro_Compras!$L$227*Registro_Compras!$N$227,2),ROUND(Registro_Compras!$J$227*Registro_Compras!$N$227,2))))</f>
        <v/>
      </c>
      <c r="F2012" s="20" t="str">
        <f>""</f>
        <v/>
      </c>
      <c r="G2012" t="str">
        <f>IF($C2012="","",IF(Registro_Compras!$F$227="NOTA DE CREDITO","Por la nota de credito "&amp;Registro_Compras!$C$227&amp;" de "&amp;Registro_Compras!$E$227&amp;" [PATRON POR CONFIRMAR CON CONTADOR]",IF(Registro_Compras!$F$227="RHE","Por el registro del recibo por honorarios "&amp;Registro_Compras!$C$227&amp;" de "&amp;Registro_Compras!$E$227&amp;" [PATRON POR CONFIRMAR CON CONTADOR]","Por el registro de la factura "&amp;Registro_Compras!$C$227&amp;" de "&amp;Registro_Compras!$E$227)))</f>
        <v/>
      </c>
      <c r="H2012" t="str">
        <f>IF($C2012="","",Registro_Compras!$C$227)</f>
        <v/>
      </c>
    </row>
    <row r="2013" spans="1:8" x14ac:dyDescent="0.25">
      <c r="A2013" s="25" t="str">
        <f>IF($C2013="","",Registro_Compras!$B$227)</f>
        <v/>
      </c>
      <c r="B2013" t="str">
        <f>IF($C2013="","","C"&amp;TEXT(INT((ROW()-5)/9)+1,"000")&amp;"-1")</f>
        <v/>
      </c>
      <c r="C2013" t="str">
        <f>IF(OR(Registro_Compras!$C$227="",Registro_Compras!$O$227=""),"",IF(Registro_Compras!$F$227="RHE",IF(Registro_Compras!$V$227=0,"","4017"),IF(Registro_Compras!$F$227="NOTA DE CREDITO",IF(Registro_Compras!$M$227="","63",Registro_Compras!$M$227),IF(Registro_Compras!$K$227=0,"","40111"))))</f>
        <v/>
      </c>
      <c r="D2013" t="str">
        <f>IF(OR(Registro_Compras!$C$227="",Registro_Compras!$O$227=""),"",IF(Registro_Compras!$F$227="RHE","Retencion Renta 4ta Categoria por Pagar",IF(Registro_Compras!$F$227="NOTA DE CREDITO","Gastos de Servicios Prestados por Terceros","IGV - Cuenta Propia (Credito Fiscal)")))</f>
        <v/>
      </c>
      <c r="E2013" s="20" t="str">
        <f>IF($C2013="","",IF(Registro_Compras!$F$227="FACTURA",ROUND(Registro_Compras!$K$227*Registro_Compras!$N$227,2),""))</f>
        <v/>
      </c>
      <c r="F2013" s="20" t="str">
        <f>IF($C2013="","",IF(Registro_Compras!$F$227="RHE",ROUND(Registro_Compras!$V$227*Registro_Compras!$N$227,2),IF(Registro_Compras!$F$227="NOTA DE CREDITO",ROUND(ABS(Registro_Compras!$J$227*Registro_Compras!$N$227),2),"")))</f>
        <v/>
      </c>
      <c r="G2013" t="str">
        <f>IF($C2013="","",IF(Registro_Compras!$F$227="NOTA DE CREDITO","Por la nota de credito "&amp;Registro_Compras!$C$227&amp;" de "&amp;Registro_Compras!$E$227&amp;" [PATRON POR CONFIRMAR CON CONTADOR]",IF(Registro_Compras!$F$227="RHE","Por el registro del recibo por honorarios "&amp;Registro_Compras!$C$227&amp;" de "&amp;Registro_Compras!$E$227&amp;" [PATRON POR CONFIRMAR CON CONTADOR]","Por el registro de la factura "&amp;Registro_Compras!$C$227&amp;" de "&amp;Registro_Compras!$E$227)))</f>
        <v/>
      </c>
      <c r="H2013" t="str">
        <f>IF($C2013="","",Registro_Compras!$C$227)</f>
        <v/>
      </c>
    </row>
    <row r="2014" spans="1:8" x14ac:dyDescent="0.25">
      <c r="A2014" s="25" t="str">
        <f>IF($C2014="","",Registro_Compras!$B$227)</f>
        <v/>
      </c>
      <c r="B2014" t="str">
        <f>IF($C2014="","","C"&amp;TEXT(INT((ROW()-5)/9)+1,"000")&amp;"-1")</f>
        <v/>
      </c>
      <c r="C2014" t="str">
        <f>IF(OR(Registro_Compras!$C$227="",Registro_Compras!$O$227=""),"",IF(Registro_Compras!$F$227="NOTA DE CREDITO",IF(Registro_Compras!$K$227=0,"","40111"),"4212"))</f>
        <v/>
      </c>
      <c r="D2014" t="str">
        <f>IF(OR(Registro_Compras!$C$227="",Registro_Compras!$O$227=""),"",IF(Registro_Compras!$F$227="NOTA DE CREDITO","IGV - Cuenta Propia (Credito Fiscal)","Cuentas por Pagar Comerciales - Terceros (Emitidas)"))</f>
        <v/>
      </c>
      <c r="E2014" s="20" t="str">
        <f>""</f>
        <v/>
      </c>
      <c r="F2014" s="20" t="str">
        <f>IF($C2014="","",IF(Registro_Compras!$F$227="NOTA DE CREDITO",ROUND(ABS(Registro_Compras!$K$227*Registro_Compras!$N$227),2),IF(Registro_Compras!$F$227="RHE",(ROUND(Registro_Compras!$L$227*Registro_Compras!$N$227,2)-ROUND(Registro_Compras!$V$227*Registro_Compras!$N$227,2)),Registro_Compras!$O$227)))</f>
        <v/>
      </c>
      <c r="G2014" t="str">
        <f>IF($C2014="","",IF(Registro_Compras!$F$227="NOTA DE CREDITO","Por la nota de credito "&amp;Registro_Compras!$C$227&amp;" de "&amp;Registro_Compras!$E$227&amp;" [PATRON POR CONFIRMAR CON CONTADOR]",IF(Registro_Compras!$F$227="RHE","Por el registro del recibo por honorarios "&amp;Registro_Compras!$C$227&amp;" de "&amp;Registro_Compras!$E$227&amp;" [PATRON POR CONFIRMAR CON CONTADOR]","Por el registro de la factura "&amp;Registro_Compras!$C$227&amp;" de "&amp;Registro_Compras!$E$227)))</f>
        <v/>
      </c>
      <c r="H2014" t="str">
        <f>IF($C2014="","",Registro_Compras!$C$227)</f>
        <v/>
      </c>
    </row>
    <row r="2015" spans="1:8" x14ac:dyDescent="0.25">
      <c r="A2015" s="25" t="str">
        <f>IF($C2015="","",Registro_Compras!$B$227)</f>
        <v/>
      </c>
      <c r="B2015" t="str">
        <f>IF($C2015="","","C"&amp;TEXT(INT((ROW()-5)/9)+1,"000")&amp;"-2")</f>
        <v/>
      </c>
      <c r="C2015" t="str">
        <f>IF(OR(Registro_Compras!$C$227="",Registro_Compras!$O$227=""),"",IF(Registro_Compras!$AB$227="ADMINISTRATIVO","94","95"))</f>
        <v/>
      </c>
      <c r="D2015" t="str">
        <f>IF(OR(Registro_Compras!$C$227="",Registro_Compras!$O$227=""),"",IF(Registro_Compras!$AB$227="ADMINISTRATIVO","Gastos Administrativos","Gastos de Venta y Operacion"))</f>
        <v/>
      </c>
      <c r="E2015" s="20" t="str">
        <f>IF($C2015="","",IF(Registro_Compras!$F$227="NOTA DE CREDITO","",IF(Registro_Compras!$F$227="RHE",ROUND(Registro_Compras!$L$227*Registro_Compras!$N$227,2),ROUND(Registro_Compras!$J$227*Registro_Compras!$N$227,2))))</f>
        <v/>
      </c>
      <c r="F2015" s="20" t="str">
        <f>IF($C2015="","",IF(Registro_Compras!$F$227="NOTA DE CREDITO",ROUND(ABS(Registro_Compras!$J$227*Registro_Compras!$N$227),2),""))</f>
        <v/>
      </c>
      <c r="G2015" t="str">
        <f>IF($C2015="","","Por el destino del gasto")</f>
        <v/>
      </c>
      <c r="H2015" t="str">
        <f>IF($C2015="","",Registro_Compras!$C$227)</f>
        <v/>
      </c>
    </row>
    <row r="2016" spans="1:8" x14ac:dyDescent="0.25">
      <c r="A2016" s="25" t="str">
        <f>IF($C2016="","",Registro_Compras!$B$227)</f>
        <v/>
      </c>
      <c r="B2016" t="str">
        <f>IF($C2016="","","C"&amp;TEXT(INT((ROW()-5)/9)+1,"000")&amp;"-2")</f>
        <v/>
      </c>
      <c r="C2016" t="str">
        <f>IF(OR(Registro_Compras!$C$227="",Registro_Compras!$O$227=""),"","79/791")</f>
        <v/>
      </c>
      <c r="D2016" t="str">
        <f>IF(OR(Registro_Compras!$C$227="",Registro_Compras!$O$227=""),"","Cargas Imputables a Cuentas de Costos y Gastos")</f>
        <v/>
      </c>
      <c r="E2016" s="20" t="str">
        <f>IF($C2016="","",IF(Registro_Compras!$F$227="NOTA DE CREDITO",ROUND(ABS(Registro_Compras!$J$227*Registro_Compras!$N$227),2),""))</f>
        <v/>
      </c>
      <c r="F2016" s="20" t="str">
        <f>IF($C2016="","",IF(Registro_Compras!$F$227="NOTA DE CREDITO","",IF(Registro_Compras!$F$227="RHE",ROUND(Registro_Compras!$L$227*Registro_Compras!$N$227,2),ROUND(Registro_Compras!$J$227*Registro_Compras!$N$227,2))))</f>
        <v/>
      </c>
      <c r="G2016" t="str">
        <f>IF($C2016="","","Por el destino del gasto")</f>
        <v/>
      </c>
      <c r="H2016" t="str">
        <f>IF($C2016="","",Registro_Compras!$C$227)</f>
        <v/>
      </c>
    </row>
    <row r="2017" spans="1:8" x14ac:dyDescent="0.25">
      <c r="A2017" s="25" t="str">
        <f>IF($C2017="","",Registro_Compras!$X$227)</f>
        <v/>
      </c>
      <c r="B2017" t="str">
        <f>IF($C2017="","","C"&amp;TEXT(INT((ROW()-5)/9)+1,"000")&amp;"-3")</f>
        <v/>
      </c>
      <c r="C2017" t="str">
        <f>IF(OR(Registro_Compras!$C$227="",Registro_Compras!$O$227="",Registro_Compras!$R$227&lt;&gt;"SI",Registro_Compras!$X$227=""),"","4212")</f>
        <v/>
      </c>
      <c r="D2017" t="str">
        <f>IF(OR(Registro_Compras!$C$227="",Registro_Compras!$O$227=""),"","Cuentas por Pagar Comerciales - Terceros")</f>
        <v/>
      </c>
      <c r="E2017" s="20" t="str">
        <f>IF($C2017="","",Registro_Compras!$S$227)</f>
        <v/>
      </c>
      <c r="F2017" s="20" t="str">
        <f>""</f>
        <v/>
      </c>
      <c r="G2017" t="str">
        <f>IF($C2017="","","Por el deposito de la detraccion en el Banco de la Nacion")</f>
        <v/>
      </c>
      <c r="H2017" t="str">
        <f>IF($C2017="","",Registro_Compras!$C$227)</f>
        <v/>
      </c>
    </row>
    <row r="2018" spans="1:8" x14ac:dyDescent="0.25">
      <c r="A2018" s="25" t="str">
        <f>IF($C2018="","",Registro_Compras!$X$227)</f>
        <v/>
      </c>
      <c r="B2018" t="str">
        <f>IF($C2018="","","C"&amp;TEXT(INT((ROW()-5)/9)+1,"000")&amp;"-3")</f>
        <v/>
      </c>
      <c r="C2018" t="str">
        <f>IF(OR(Registro_Compras!$C$227="",Registro_Compras!$O$227="",Registro_Compras!$R$227&lt;&gt;"SI",Registro_Compras!$X$227=""),"","1041")</f>
        <v/>
      </c>
      <c r="D2018" t="str">
        <f>IF(OR(Registro_Compras!$C$227="",Registro_Compras!$O$227=""),"","Efectivo y Equivalentes - Cta. Cte. Operativa")</f>
        <v/>
      </c>
      <c r="E2018" s="20" t="str">
        <f>""</f>
        <v/>
      </c>
      <c r="F2018" s="20" t="str">
        <f>IF($C2018="","",Registro_Compras!$S$227)</f>
        <v/>
      </c>
      <c r="G2018" t="str">
        <f>IF($C2018="","","Por el deposito de la detraccion en el Banco de la Nacion")</f>
        <v/>
      </c>
      <c r="H2018" t="str">
        <f>IF($C2018="","",Registro_Compras!$C$227)</f>
        <v/>
      </c>
    </row>
    <row r="2019" spans="1:8" x14ac:dyDescent="0.25">
      <c r="A2019" s="25" t="str">
        <f>IF($C2019="","",Registro_Compras!$Y$227)</f>
        <v/>
      </c>
      <c r="B2019" t="str">
        <f>IF($C2019="","","C"&amp;TEXT(INT((ROW()-5)/9)+1,"000")&amp;"-4")</f>
        <v/>
      </c>
      <c r="C2019" t="str">
        <f>IF(OR(Registro_Compras!$C$227="",Registro_Compras!$O$227="",Registro_Compras!$Y$227="",Registro_Compras!$F$227="NOTA DE CREDITO"),"","4212")</f>
        <v/>
      </c>
      <c r="D2019" t="str">
        <f>IF(OR(Registro_Compras!$C$227="",Registro_Compras!$O$227=""),"","Cuentas por Pagar Comerciales - Terceros")</f>
        <v/>
      </c>
      <c r="E2019" s="20" t="str">
        <f>IF($C2019="","",IF(Registro_Compras!$F$227="RHE",(ROUND(Registro_Compras!$L$227*Registro_Compras!$N$227,2)-ROUND(Registro_Compras!$V$227*Registro_Compras!$N$227,2)),ROUND(Registro_Compras!$O$227-Registro_Compras!$S$227,2)))</f>
        <v/>
      </c>
      <c r="F2019" s="20" t="str">
        <f>""</f>
        <v/>
      </c>
      <c r="G2019" t="str">
        <f>IF($C2019="","","Por la cancelacion del saldo al proveedor")</f>
        <v/>
      </c>
      <c r="H2019" t="str">
        <f>IF($C2019="","",Registro_Compras!$C$227)</f>
        <v/>
      </c>
    </row>
    <row r="2020" spans="1:8" x14ac:dyDescent="0.25">
      <c r="A2020" s="25" t="str">
        <f>IF($C2020="","",Registro_Compras!$Y$227)</f>
        <v/>
      </c>
      <c r="B2020" t="str">
        <f>IF($C2020="","","C"&amp;TEXT(INT((ROW()-5)/9)+1,"000")&amp;"-4")</f>
        <v/>
      </c>
      <c r="C2020" t="str">
        <f>IF(OR(Registro_Compras!$C$227="",Registro_Compras!$O$227="",Registro_Compras!$Y$227="",Registro_Compras!$F$227="NOTA DE CREDITO"),"","1041")</f>
        <v/>
      </c>
      <c r="D2020" t="str">
        <f>IF(OR(Registro_Compras!$C$227="",Registro_Compras!$O$227=""),"","Efectivo y Equivalentes - Cta. Cte. Operativa")</f>
        <v/>
      </c>
      <c r="E2020" s="20" t="str">
        <f>""</f>
        <v/>
      </c>
      <c r="F2020" s="20" t="str">
        <f>IF($C2020="","",IF(Registro_Compras!$F$227="RHE",(ROUND(Registro_Compras!$L$227*Registro_Compras!$N$227,2)-ROUND(Registro_Compras!$V$227*Registro_Compras!$N$227,2)),ROUND(Registro_Compras!$O$227-Registro_Compras!$S$227,2)))</f>
        <v/>
      </c>
      <c r="G2020" t="str">
        <f>IF($C2020="","","Por la cancelacion del saldo al proveedor")</f>
        <v/>
      </c>
      <c r="H2020" t="str">
        <f>IF($C2020="","",Registro_Compras!$C$227)</f>
        <v/>
      </c>
    </row>
    <row r="2021" spans="1:8" x14ac:dyDescent="0.25">
      <c r="A2021" s="25" t="str">
        <f>IF($C2021="","",Registro_Compras!$B$228)</f>
        <v/>
      </c>
      <c r="B2021" t="str">
        <f>IF($C2021="","","C"&amp;TEXT(INT((ROW()-5)/9)+1,"000")&amp;"-1")</f>
        <v/>
      </c>
      <c r="C2021" t="str">
        <f>IF(OR(Registro_Compras!$C$228="",Registro_Compras!$O$228=""),"",IF(Registro_Compras!$F$228="NOTA DE CREDITO","4212",IF(Registro_Compras!$M$228="","63",Registro_Compras!$M$228)))</f>
        <v/>
      </c>
      <c r="D2021" t="str">
        <f>IF(OR(Registro_Compras!$C$228="",Registro_Compras!$O$228=""),"",IF(Registro_Compras!$F$228="NOTA DE CREDITO","Cuentas por Pagar Comerciales - Terceros (Emitidas)",IF(Registro_Compras!$F$228="RHE","Honorarios Profesionales - Servicios de Terceros","Gastos de Servicios Prestados por Terceros")))</f>
        <v/>
      </c>
      <c r="E2021" s="20" t="str">
        <f>IF($C2021="","",IF(Registro_Compras!$F$228="NOTA DE CREDITO",ABS(Registro_Compras!$O$228),IF(Registro_Compras!$F$228="RHE",ROUND(Registro_Compras!$L$228*Registro_Compras!$N$228,2),ROUND(Registro_Compras!$J$228*Registro_Compras!$N$228,2))))</f>
        <v/>
      </c>
      <c r="F2021" s="20" t="str">
        <f>""</f>
        <v/>
      </c>
      <c r="G2021" t="str">
        <f>IF($C2021="","",IF(Registro_Compras!$F$228="NOTA DE CREDITO","Por la nota de credito "&amp;Registro_Compras!$C$228&amp;" de "&amp;Registro_Compras!$E$228&amp;" [PATRON POR CONFIRMAR CON CONTADOR]",IF(Registro_Compras!$F$228="RHE","Por el registro del recibo por honorarios "&amp;Registro_Compras!$C$228&amp;" de "&amp;Registro_Compras!$E$228&amp;" [PATRON POR CONFIRMAR CON CONTADOR]","Por el registro de la factura "&amp;Registro_Compras!$C$228&amp;" de "&amp;Registro_Compras!$E$228)))</f>
        <v/>
      </c>
      <c r="H2021" t="str">
        <f>IF($C2021="","",Registro_Compras!$C$228)</f>
        <v/>
      </c>
    </row>
    <row r="2022" spans="1:8" x14ac:dyDescent="0.25">
      <c r="A2022" s="25" t="str">
        <f>IF($C2022="","",Registro_Compras!$B$228)</f>
        <v/>
      </c>
      <c r="B2022" t="str">
        <f>IF($C2022="","","C"&amp;TEXT(INT((ROW()-5)/9)+1,"000")&amp;"-1")</f>
        <v/>
      </c>
      <c r="C2022" t="str">
        <f>IF(OR(Registro_Compras!$C$228="",Registro_Compras!$O$228=""),"",IF(Registro_Compras!$F$228="RHE",IF(Registro_Compras!$V$228=0,"","4017"),IF(Registro_Compras!$F$228="NOTA DE CREDITO",IF(Registro_Compras!$M$228="","63",Registro_Compras!$M$228),IF(Registro_Compras!$K$228=0,"","40111"))))</f>
        <v/>
      </c>
      <c r="D2022" t="str">
        <f>IF(OR(Registro_Compras!$C$228="",Registro_Compras!$O$228=""),"",IF(Registro_Compras!$F$228="RHE","Retencion Renta 4ta Categoria por Pagar",IF(Registro_Compras!$F$228="NOTA DE CREDITO","Gastos de Servicios Prestados por Terceros","IGV - Cuenta Propia (Credito Fiscal)")))</f>
        <v/>
      </c>
      <c r="E2022" s="20" t="str">
        <f>IF($C2022="","",IF(Registro_Compras!$F$228="FACTURA",ROUND(Registro_Compras!$K$228*Registro_Compras!$N$228,2),""))</f>
        <v/>
      </c>
      <c r="F2022" s="20" t="str">
        <f>IF($C2022="","",IF(Registro_Compras!$F$228="RHE",ROUND(Registro_Compras!$V$228*Registro_Compras!$N$228,2),IF(Registro_Compras!$F$228="NOTA DE CREDITO",ROUND(ABS(Registro_Compras!$J$228*Registro_Compras!$N$228),2),"")))</f>
        <v/>
      </c>
      <c r="G2022" t="str">
        <f>IF($C2022="","",IF(Registro_Compras!$F$228="NOTA DE CREDITO","Por la nota de credito "&amp;Registro_Compras!$C$228&amp;" de "&amp;Registro_Compras!$E$228&amp;" [PATRON POR CONFIRMAR CON CONTADOR]",IF(Registro_Compras!$F$228="RHE","Por el registro del recibo por honorarios "&amp;Registro_Compras!$C$228&amp;" de "&amp;Registro_Compras!$E$228&amp;" [PATRON POR CONFIRMAR CON CONTADOR]","Por el registro de la factura "&amp;Registro_Compras!$C$228&amp;" de "&amp;Registro_Compras!$E$228)))</f>
        <v/>
      </c>
      <c r="H2022" t="str">
        <f>IF($C2022="","",Registro_Compras!$C$228)</f>
        <v/>
      </c>
    </row>
    <row r="2023" spans="1:8" x14ac:dyDescent="0.25">
      <c r="A2023" s="25" t="str">
        <f>IF($C2023="","",Registro_Compras!$B$228)</f>
        <v/>
      </c>
      <c r="B2023" t="str">
        <f>IF($C2023="","","C"&amp;TEXT(INT((ROW()-5)/9)+1,"000")&amp;"-1")</f>
        <v/>
      </c>
      <c r="C2023" t="str">
        <f>IF(OR(Registro_Compras!$C$228="",Registro_Compras!$O$228=""),"",IF(Registro_Compras!$F$228="NOTA DE CREDITO",IF(Registro_Compras!$K$228=0,"","40111"),"4212"))</f>
        <v/>
      </c>
      <c r="D2023" t="str">
        <f>IF(OR(Registro_Compras!$C$228="",Registro_Compras!$O$228=""),"",IF(Registro_Compras!$F$228="NOTA DE CREDITO","IGV - Cuenta Propia (Credito Fiscal)","Cuentas por Pagar Comerciales - Terceros (Emitidas)"))</f>
        <v/>
      </c>
      <c r="E2023" s="20" t="str">
        <f>""</f>
        <v/>
      </c>
      <c r="F2023" s="20" t="str">
        <f>IF($C2023="","",IF(Registro_Compras!$F$228="NOTA DE CREDITO",ROUND(ABS(Registro_Compras!$K$228*Registro_Compras!$N$228),2),IF(Registro_Compras!$F$228="RHE",(ROUND(Registro_Compras!$L$228*Registro_Compras!$N$228,2)-ROUND(Registro_Compras!$V$228*Registro_Compras!$N$228,2)),Registro_Compras!$O$228)))</f>
        <v/>
      </c>
      <c r="G2023" t="str">
        <f>IF($C2023="","",IF(Registro_Compras!$F$228="NOTA DE CREDITO","Por la nota de credito "&amp;Registro_Compras!$C$228&amp;" de "&amp;Registro_Compras!$E$228&amp;" [PATRON POR CONFIRMAR CON CONTADOR]",IF(Registro_Compras!$F$228="RHE","Por el registro del recibo por honorarios "&amp;Registro_Compras!$C$228&amp;" de "&amp;Registro_Compras!$E$228&amp;" [PATRON POR CONFIRMAR CON CONTADOR]","Por el registro de la factura "&amp;Registro_Compras!$C$228&amp;" de "&amp;Registro_Compras!$E$228)))</f>
        <v/>
      </c>
      <c r="H2023" t="str">
        <f>IF($C2023="","",Registro_Compras!$C$228)</f>
        <v/>
      </c>
    </row>
    <row r="2024" spans="1:8" x14ac:dyDescent="0.25">
      <c r="A2024" s="25" t="str">
        <f>IF($C2024="","",Registro_Compras!$B$228)</f>
        <v/>
      </c>
      <c r="B2024" t="str">
        <f>IF($C2024="","","C"&amp;TEXT(INT((ROW()-5)/9)+1,"000")&amp;"-2")</f>
        <v/>
      </c>
      <c r="C2024" t="str">
        <f>IF(OR(Registro_Compras!$C$228="",Registro_Compras!$O$228=""),"",IF(Registro_Compras!$AB$228="ADMINISTRATIVO","94","95"))</f>
        <v/>
      </c>
      <c r="D2024" t="str">
        <f>IF(OR(Registro_Compras!$C$228="",Registro_Compras!$O$228=""),"",IF(Registro_Compras!$AB$228="ADMINISTRATIVO","Gastos Administrativos","Gastos de Venta y Operacion"))</f>
        <v/>
      </c>
      <c r="E2024" s="20" t="str">
        <f>IF($C2024="","",IF(Registro_Compras!$F$228="NOTA DE CREDITO","",IF(Registro_Compras!$F$228="RHE",ROUND(Registro_Compras!$L$228*Registro_Compras!$N$228,2),ROUND(Registro_Compras!$J$228*Registro_Compras!$N$228,2))))</f>
        <v/>
      </c>
      <c r="F2024" s="20" t="str">
        <f>IF($C2024="","",IF(Registro_Compras!$F$228="NOTA DE CREDITO",ROUND(ABS(Registro_Compras!$J$228*Registro_Compras!$N$228),2),""))</f>
        <v/>
      </c>
      <c r="G2024" t="str">
        <f>IF($C2024="","","Por el destino del gasto")</f>
        <v/>
      </c>
      <c r="H2024" t="str">
        <f>IF($C2024="","",Registro_Compras!$C$228)</f>
        <v/>
      </c>
    </row>
    <row r="2025" spans="1:8" x14ac:dyDescent="0.25">
      <c r="A2025" s="25" t="str">
        <f>IF($C2025="","",Registro_Compras!$B$228)</f>
        <v/>
      </c>
      <c r="B2025" t="str">
        <f>IF($C2025="","","C"&amp;TEXT(INT((ROW()-5)/9)+1,"000")&amp;"-2")</f>
        <v/>
      </c>
      <c r="C2025" t="str">
        <f>IF(OR(Registro_Compras!$C$228="",Registro_Compras!$O$228=""),"","79/791")</f>
        <v/>
      </c>
      <c r="D2025" t="str">
        <f>IF(OR(Registro_Compras!$C$228="",Registro_Compras!$O$228=""),"","Cargas Imputables a Cuentas de Costos y Gastos")</f>
        <v/>
      </c>
      <c r="E2025" s="20" t="str">
        <f>IF($C2025="","",IF(Registro_Compras!$F$228="NOTA DE CREDITO",ROUND(ABS(Registro_Compras!$J$228*Registro_Compras!$N$228),2),""))</f>
        <v/>
      </c>
      <c r="F2025" s="20" t="str">
        <f>IF($C2025="","",IF(Registro_Compras!$F$228="NOTA DE CREDITO","",IF(Registro_Compras!$F$228="RHE",ROUND(Registro_Compras!$L$228*Registro_Compras!$N$228,2),ROUND(Registro_Compras!$J$228*Registro_Compras!$N$228,2))))</f>
        <v/>
      </c>
      <c r="G2025" t="str">
        <f>IF($C2025="","","Por el destino del gasto")</f>
        <v/>
      </c>
      <c r="H2025" t="str">
        <f>IF($C2025="","",Registro_Compras!$C$228)</f>
        <v/>
      </c>
    </row>
    <row r="2026" spans="1:8" x14ac:dyDescent="0.25">
      <c r="A2026" s="25" t="str">
        <f>IF($C2026="","",Registro_Compras!$X$228)</f>
        <v/>
      </c>
      <c r="B2026" t="str">
        <f>IF($C2026="","","C"&amp;TEXT(INT((ROW()-5)/9)+1,"000")&amp;"-3")</f>
        <v/>
      </c>
      <c r="C2026" t="str">
        <f>IF(OR(Registro_Compras!$C$228="",Registro_Compras!$O$228="",Registro_Compras!$R$228&lt;&gt;"SI",Registro_Compras!$X$228=""),"","4212")</f>
        <v/>
      </c>
      <c r="D2026" t="str">
        <f>IF(OR(Registro_Compras!$C$228="",Registro_Compras!$O$228=""),"","Cuentas por Pagar Comerciales - Terceros")</f>
        <v/>
      </c>
      <c r="E2026" s="20" t="str">
        <f>IF($C2026="","",Registro_Compras!$S$228)</f>
        <v/>
      </c>
      <c r="F2026" s="20" t="str">
        <f>""</f>
        <v/>
      </c>
      <c r="G2026" t="str">
        <f>IF($C2026="","","Por el deposito de la detraccion en el Banco de la Nacion")</f>
        <v/>
      </c>
      <c r="H2026" t="str">
        <f>IF($C2026="","",Registro_Compras!$C$228)</f>
        <v/>
      </c>
    </row>
    <row r="2027" spans="1:8" x14ac:dyDescent="0.25">
      <c r="A2027" s="25" t="str">
        <f>IF($C2027="","",Registro_Compras!$X$228)</f>
        <v/>
      </c>
      <c r="B2027" t="str">
        <f>IF($C2027="","","C"&amp;TEXT(INT((ROW()-5)/9)+1,"000")&amp;"-3")</f>
        <v/>
      </c>
      <c r="C2027" t="str">
        <f>IF(OR(Registro_Compras!$C$228="",Registro_Compras!$O$228="",Registro_Compras!$R$228&lt;&gt;"SI",Registro_Compras!$X$228=""),"","1041")</f>
        <v/>
      </c>
      <c r="D2027" t="str">
        <f>IF(OR(Registro_Compras!$C$228="",Registro_Compras!$O$228=""),"","Efectivo y Equivalentes - Cta. Cte. Operativa")</f>
        <v/>
      </c>
      <c r="E2027" s="20" t="str">
        <f>""</f>
        <v/>
      </c>
      <c r="F2027" s="20" t="str">
        <f>IF($C2027="","",Registro_Compras!$S$228)</f>
        <v/>
      </c>
      <c r="G2027" t="str">
        <f>IF($C2027="","","Por el deposito de la detraccion en el Banco de la Nacion")</f>
        <v/>
      </c>
      <c r="H2027" t="str">
        <f>IF($C2027="","",Registro_Compras!$C$228)</f>
        <v/>
      </c>
    </row>
    <row r="2028" spans="1:8" x14ac:dyDescent="0.25">
      <c r="A2028" s="25" t="str">
        <f>IF($C2028="","",Registro_Compras!$Y$228)</f>
        <v/>
      </c>
      <c r="B2028" t="str">
        <f>IF($C2028="","","C"&amp;TEXT(INT((ROW()-5)/9)+1,"000")&amp;"-4")</f>
        <v/>
      </c>
      <c r="C2028" t="str">
        <f>IF(OR(Registro_Compras!$C$228="",Registro_Compras!$O$228="",Registro_Compras!$Y$228="",Registro_Compras!$F$228="NOTA DE CREDITO"),"","4212")</f>
        <v/>
      </c>
      <c r="D2028" t="str">
        <f>IF(OR(Registro_Compras!$C$228="",Registro_Compras!$O$228=""),"","Cuentas por Pagar Comerciales - Terceros")</f>
        <v/>
      </c>
      <c r="E2028" s="20" t="str">
        <f>IF($C2028="","",IF(Registro_Compras!$F$228="RHE",(ROUND(Registro_Compras!$L$228*Registro_Compras!$N$228,2)-ROUND(Registro_Compras!$V$228*Registro_Compras!$N$228,2)),ROUND(Registro_Compras!$O$228-Registro_Compras!$S$228,2)))</f>
        <v/>
      </c>
      <c r="F2028" s="20" t="str">
        <f>""</f>
        <v/>
      </c>
      <c r="G2028" t="str">
        <f>IF($C2028="","","Por la cancelacion del saldo al proveedor")</f>
        <v/>
      </c>
      <c r="H2028" t="str">
        <f>IF($C2028="","",Registro_Compras!$C$228)</f>
        <v/>
      </c>
    </row>
    <row r="2029" spans="1:8" x14ac:dyDescent="0.25">
      <c r="A2029" s="25" t="str">
        <f>IF($C2029="","",Registro_Compras!$Y$228)</f>
        <v/>
      </c>
      <c r="B2029" t="str">
        <f>IF($C2029="","","C"&amp;TEXT(INT((ROW()-5)/9)+1,"000")&amp;"-4")</f>
        <v/>
      </c>
      <c r="C2029" t="str">
        <f>IF(OR(Registro_Compras!$C$228="",Registro_Compras!$O$228="",Registro_Compras!$Y$228="",Registro_Compras!$F$228="NOTA DE CREDITO"),"","1041")</f>
        <v/>
      </c>
      <c r="D2029" t="str">
        <f>IF(OR(Registro_Compras!$C$228="",Registro_Compras!$O$228=""),"","Efectivo y Equivalentes - Cta. Cte. Operativa")</f>
        <v/>
      </c>
      <c r="E2029" s="20" t="str">
        <f>""</f>
        <v/>
      </c>
      <c r="F2029" s="20" t="str">
        <f>IF($C2029="","",IF(Registro_Compras!$F$228="RHE",(ROUND(Registro_Compras!$L$228*Registro_Compras!$N$228,2)-ROUND(Registro_Compras!$V$228*Registro_Compras!$N$228,2)),ROUND(Registro_Compras!$O$228-Registro_Compras!$S$228,2)))</f>
        <v/>
      </c>
      <c r="G2029" t="str">
        <f>IF($C2029="","","Por la cancelacion del saldo al proveedor")</f>
        <v/>
      </c>
      <c r="H2029" t="str">
        <f>IF($C2029="","",Registro_Compras!$C$228)</f>
        <v/>
      </c>
    </row>
    <row r="2030" spans="1:8" x14ac:dyDescent="0.25">
      <c r="A2030" s="25" t="str">
        <f>IF($C2030="","",Registro_Compras!$B$229)</f>
        <v/>
      </c>
      <c r="B2030" t="str">
        <f>IF($C2030="","","C"&amp;TEXT(INT((ROW()-5)/9)+1,"000")&amp;"-1")</f>
        <v/>
      </c>
      <c r="C2030" t="str">
        <f>IF(OR(Registro_Compras!$C$229="",Registro_Compras!$O$229=""),"",IF(Registro_Compras!$F$229="NOTA DE CREDITO","4212",IF(Registro_Compras!$M$229="","63",Registro_Compras!$M$229)))</f>
        <v/>
      </c>
      <c r="D2030" t="str">
        <f>IF(OR(Registro_Compras!$C$229="",Registro_Compras!$O$229=""),"",IF(Registro_Compras!$F$229="NOTA DE CREDITO","Cuentas por Pagar Comerciales - Terceros (Emitidas)",IF(Registro_Compras!$F$229="RHE","Honorarios Profesionales - Servicios de Terceros","Gastos de Servicios Prestados por Terceros")))</f>
        <v/>
      </c>
      <c r="E2030" s="20" t="str">
        <f>IF($C2030="","",IF(Registro_Compras!$F$229="NOTA DE CREDITO",ABS(Registro_Compras!$O$229),IF(Registro_Compras!$F$229="RHE",ROUND(Registro_Compras!$L$229*Registro_Compras!$N$229,2),ROUND(Registro_Compras!$J$229*Registro_Compras!$N$229,2))))</f>
        <v/>
      </c>
      <c r="F2030" s="20" t="str">
        <f>""</f>
        <v/>
      </c>
      <c r="G2030" t="str">
        <f>IF($C2030="","",IF(Registro_Compras!$F$229="NOTA DE CREDITO","Por la nota de credito "&amp;Registro_Compras!$C$229&amp;" de "&amp;Registro_Compras!$E$229&amp;" [PATRON POR CONFIRMAR CON CONTADOR]",IF(Registro_Compras!$F$229="RHE","Por el registro del recibo por honorarios "&amp;Registro_Compras!$C$229&amp;" de "&amp;Registro_Compras!$E$229&amp;" [PATRON POR CONFIRMAR CON CONTADOR]","Por el registro de la factura "&amp;Registro_Compras!$C$229&amp;" de "&amp;Registro_Compras!$E$229)))</f>
        <v/>
      </c>
      <c r="H2030" t="str">
        <f>IF($C2030="","",Registro_Compras!$C$229)</f>
        <v/>
      </c>
    </row>
    <row r="2031" spans="1:8" x14ac:dyDescent="0.25">
      <c r="A2031" s="25" t="str">
        <f>IF($C2031="","",Registro_Compras!$B$229)</f>
        <v/>
      </c>
      <c r="B2031" t="str">
        <f>IF($C2031="","","C"&amp;TEXT(INT((ROW()-5)/9)+1,"000")&amp;"-1")</f>
        <v/>
      </c>
      <c r="C2031" t="str">
        <f>IF(OR(Registro_Compras!$C$229="",Registro_Compras!$O$229=""),"",IF(Registro_Compras!$F$229="RHE",IF(Registro_Compras!$V$229=0,"","4017"),IF(Registro_Compras!$F$229="NOTA DE CREDITO",IF(Registro_Compras!$M$229="","63",Registro_Compras!$M$229),IF(Registro_Compras!$K$229=0,"","40111"))))</f>
        <v/>
      </c>
      <c r="D2031" t="str">
        <f>IF(OR(Registro_Compras!$C$229="",Registro_Compras!$O$229=""),"",IF(Registro_Compras!$F$229="RHE","Retencion Renta 4ta Categoria por Pagar",IF(Registro_Compras!$F$229="NOTA DE CREDITO","Gastos de Servicios Prestados por Terceros","IGV - Cuenta Propia (Credito Fiscal)")))</f>
        <v/>
      </c>
      <c r="E2031" s="20" t="str">
        <f>IF($C2031="","",IF(Registro_Compras!$F$229="FACTURA",ROUND(Registro_Compras!$K$229*Registro_Compras!$N$229,2),""))</f>
        <v/>
      </c>
      <c r="F2031" s="20" t="str">
        <f>IF($C2031="","",IF(Registro_Compras!$F$229="RHE",ROUND(Registro_Compras!$V$229*Registro_Compras!$N$229,2),IF(Registro_Compras!$F$229="NOTA DE CREDITO",ROUND(ABS(Registro_Compras!$J$229*Registro_Compras!$N$229),2),"")))</f>
        <v/>
      </c>
      <c r="G2031" t="str">
        <f>IF($C2031="","",IF(Registro_Compras!$F$229="NOTA DE CREDITO","Por la nota de credito "&amp;Registro_Compras!$C$229&amp;" de "&amp;Registro_Compras!$E$229&amp;" [PATRON POR CONFIRMAR CON CONTADOR]",IF(Registro_Compras!$F$229="RHE","Por el registro del recibo por honorarios "&amp;Registro_Compras!$C$229&amp;" de "&amp;Registro_Compras!$E$229&amp;" [PATRON POR CONFIRMAR CON CONTADOR]","Por el registro de la factura "&amp;Registro_Compras!$C$229&amp;" de "&amp;Registro_Compras!$E$229)))</f>
        <v/>
      </c>
      <c r="H2031" t="str">
        <f>IF($C2031="","",Registro_Compras!$C$229)</f>
        <v/>
      </c>
    </row>
    <row r="2032" spans="1:8" x14ac:dyDescent="0.25">
      <c r="A2032" s="25" t="str">
        <f>IF($C2032="","",Registro_Compras!$B$229)</f>
        <v/>
      </c>
      <c r="B2032" t="str">
        <f>IF($C2032="","","C"&amp;TEXT(INT((ROW()-5)/9)+1,"000")&amp;"-1")</f>
        <v/>
      </c>
      <c r="C2032" t="str">
        <f>IF(OR(Registro_Compras!$C$229="",Registro_Compras!$O$229=""),"",IF(Registro_Compras!$F$229="NOTA DE CREDITO",IF(Registro_Compras!$K$229=0,"","40111"),"4212"))</f>
        <v/>
      </c>
      <c r="D2032" t="str">
        <f>IF(OR(Registro_Compras!$C$229="",Registro_Compras!$O$229=""),"",IF(Registro_Compras!$F$229="NOTA DE CREDITO","IGV - Cuenta Propia (Credito Fiscal)","Cuentas por Pagar Comerciales - Terceros (Emitidas)"))</f>
        <v/>
      </c>
      <c r="E2032" s="20" t="str">
        <f>""</f>
        <v/>
      </c>
      <c r="F2032" s="20" t="str">
        <f>IF($C2032="","",IF(Registro_Compras!$F$229="NOTA DE CREDITO",ROUND(ABS(Registro_Compras!$K$229*Registro_Compras!$N$229),2),IF(Registro_Compras!$F$229="RHE",(ROUND(Registro_Compras!$L$229*Registro_Compras!$N$229,2)-ROUND(Registro_Compras!$V$229*Registro_Compras!$N$229,2)),Registro_Compras!$O$229)))</f>
        <v/>
      </c>
      <c r="G2032" t="str">
        <f>IF($C2032="","",IF(Registro_Compras!$F$229="NOTA DE CREDITO","Por la nota de credito "&amp;Registro_Compras!$C$229&amp;" de "&amp;Registro_Compras!$E$229&amp;" [PATRON POR CONFIRMAR CON CONTADOR]",IF(Registro_Compras!$F$229="RHE","Por el registro del recibo por honorarios "&amp;Registro_Compras!$C$229&amp;" de "&amp;Registro_Compras!$E$229&amp;" [PATRON POR CONFIRMAR CON CONTADOR]","Por el registro de la factura "&amp;Registro_Compras!$C$229&amp;" de "&amp;Registro_Compras!$E$229)))</f>
        <v/>
      </c>
      <c r="H2032" t="str">
        <f>IF($C2032="","",Registro_Compras!$C$229)</f>
        <v/>
      </c>
    </row>
    <row r="2033" spans="1:8" x14ac:dyDescent="0.25">
      <c r="A2033" s="25" t="str">
        <f>IF($C2033="","",Registro_Compras!$B$229)</f>
        <v/>
      </c>
      <c r="B2033" t="str">
        <f>IF($C2033="","","C"&amp;TEXT(INT((ROW()-5)/9)+1,"000")&amp;"-2")</f>
        <v/>
      </c>
      <c r="C2033" t="str">
        <f>IF(OR(Registro_Compras!$C$229="",Registro_Compras!$O$229=""),"",IF(Registro_Compras!$AB$229="ADMINISTRATIVO","94","95"))</f>
        <v/>
      </c>
      <c r="D2033" t="str">
        <f>IF(OR(Registro_Compras!$C$229="",Registro_Compras!$O$229=""),"",IF(Registro_Compras!$AB$229="ADMINISTRATIVO","Gastos Administrativos","Gastos de Venta y Operacion"))</f>
        <v/>
      </c>
      <c r="E2033" s="20" t="str">
        <f>IF($C2033="","",IF(Registro_Compras!$F$229="NOTA DE CREDITO","",IF(Registro_Compras!$F$229="RHE",ROUND(Registro_Compras!$L$229*Registro_Compras!$N$229,2),ROUND(Registro_Compras!$J$229*Registro_Compras!$N$229,2))))</f>
        <v/>
      </c>
      <c r="F2033" s="20" t="str">
        <f>IF($C2033="","",IF(Registro_Compras!$F$229="NOTA DE CREDITO",ROUND(ABS(Registro_Compras!$J$229*Registro_Compras!$N$229),2),""))</f>
        <v/>
      </c>
      <c r="G2033" t="str">
        <f>IF($C2033="","","Por el destino del gasto")</f>
        <v/>
      </c>
      <c r="H2033" t="str">
        <f>IF($C2033="","",Registro_Compras!$C$229)</f>
        <v/>
      </c>
    </row>
    <row r="2034" spans="1:8" x14ac:dyDescent="0.25">
      <c r="A2034" s="25" t="str">
        <f>IF($C2034="","",Registro_Compras!$B$229)</f>
        <v/>
      </c>
      <c r="B2034" t="str">
        <f>IF($C2034="","","C"&amp;TEXT(INT((ROW()-5)/9)+1,"000")&amp;"-2")</f>
        <v/>
      </c>
      <c r="C2034" t="str">
        <f>IF(OR(Registro_Compras!$C$229="",Registro_Compras!$O$229=""),"","79/791")</f>
        <v/>
      </c>
      <c r="D2034" t="str">
        <f>IF(OR(Registro_Compras!$C$229="",Registro_Compras!$O$229=""),"","Cargas Imputables a Cuentas de Costos y Gastos")</f>
        <v/>
      </c>
      <c r="E2034" s="20" t="str">
        <f>IF($C2034="","",IF(Registro_Compras!$F$229="NOTA DE CREDITO",ROUND(ABS(Registro_Compras!$J$229*Registro_Compras!$N$229),2),""))</f>
        <v/>
      </c>
      <c r="F2034" s="20" t="str">
        <f>IF($C2034="","",IF(Registro_Compras!$F$229="NOTA DE CREDITO","",IF(Registro_Compras!$F$229="RHE",ROUND(Registro_Compras!$L$229*Registro_Compras!$N$229,2),ROUND(Registro_Compras!$J$229*Registro_Compras!$N$229,2))))</f>
        <v/>
      </c>
      <c r="G2034" t="str">
        <f>IF($C2034="","","Por el destino del gasto")</f>
        <v/>
      </c>
      <c r="H2034" t="str">
        <f>IF($C2034="","",Registro_Compras!$C$229)</f>
        <v/>
      </c>
    </row>
    <row r="2035" spans="1:8" x14ac:dyDescent="0.25">
      <c r="A2035" s="25" t="str">
        <f>IF($C2035="","",Registro_Compras!$X$229)</f>
        <v/>
      </c>
      <c r="B2035" t="str">
        <f>IF($C2035="","","C"&amp;TEXT(INT((ROW()-5)/9)+1,"000")&amp;"-3")</f>
        <v/>
      </c>
      <c r="C2035" t="str">
        <f>IF(OR(Registro_Compras!$C$229="",Registro_Compras!$O$229="",Registro_Compras!$R$229&lt;&gt;"SI",Registro_Compras!$X$229=""),"","4212")</f>
        <v/>
      </c>
      <c r="D2035" t="str">
        <f>IF(OR(Registro_Compras!$C$229="",Registro_Compras!$O$229=""),"","Cuentas por Pagar Comerciales - Terceros")</f>
        <v/>
      </c>
      <c r="E2035" s="20" t="str">
        <f>IF($C2035="","",Registro_Compras!$S$229)</f>
        <v/>
      </c>
      <c r="F2035" s="20" t="str">
        <f>""</f>
        <v/>
      </c>
      <c r="G2035" t="str">
        <f>IF($C2035="","","Por el deposito de la detraccion en el Banco de la Nacion")</f>
        <v/>
      </c>
      <c r="H2035" t="str">
        <f>IF($C2035="","",Registro_Compras!$C$229)</f>
        <v/>
      </c>
    </row>
    <row r="2036" spans="1:8" x14ac:dyDescent="0.25">
      <c r="A2036" s="25" t="str">
        <f>IF($C2036="","",Registro_Compras!$X$229)</f>
        <v/>
      </c>
      <c r="B2036" t="str">
        <f>IF($C2036="","","C"&amp;TEXT(INT((ROW()-5)/9)+1,"000")&amp;"-3")</f>
        <v/>
      </c>
      <c r="C2036" t="str">
        <f>IF(OR(Registro_Compras!$C$229="",Registro_Compras!$O$229="",Registro_Compras!$R$229&lt;&gt;"SI",Registro_Compras!$X$229=""),"","1041")</f>
        <v/>
      </c>
      <c r="D2036" t="str">
        <f>IF(OR(Registro_Compras!$C$229="",Registro_Compras!$O$229=""),"","Efectivo y Equivalentes - Cta. Cte. Operativa")</f>
        <v/>
      </c>
      <c r="E2036" s="20" t="str">
        <f>""</f>
        <v/>
      </c>
      <c r="F2036" s="20" t="str">
        <f>IF($C2036="","",Registro_Compras!$S$229)</f>
        <v/>
      </c>
      <c r="G2036" t="str">
        <f>IF($C2036="","","Por el deposito de la detraccion en el Banco de la Nacion")</f>
        <v/>
      </c>
      <c r="H2036" t="str">
        <f>IF($C2036="","",Registro_Compras!$C$229)</f>
        <v/>
      </c>
    </row>
    <row r="2037" spans="1:8" x14ac:dyDescent="0.25">
      <c r="A2037" s="25" t="str">
        <f>IF($C2037="","",Registro_Compras!$Y$229)</f>
        <v/>
      </c>
      <c r="B2037" t="str">
        <f>IF($C2037="","","C"&amp;TEXT(INT((ROW()-5)/9)+1,"000")&amp;"-4")</f>
        <v/>
      </c>
      <c r="C2037" t="str">
        <f>IF(OR(Registro_Compras!$C$229="",Registro_Compras!$O$229="",Registro_Compras!$Y$229="",Registro_Compras!$F$229="NOTA DE CREDITO"),"","4212")</f>
        <v/>
      </c>
      <c r="D2037" t="str">
        <f>IF(OR(Registro_Compras!$C$229="",Registro_Compras!$O$229=""),"","Cuentas por Pagar Comerciales - Terceros")</f>
        <v/>
      </c>
      <c r="E2037" s="20" t="str">
        <f>IF($C2037="","",IF(Registro_Compras!$F$229="RHE",(ROUND(Registro_Compras!$L$229*Registro_Compras!$N$229,2)-ROUND(Registro_Compras!$V$229*Registro_Compras!$N$229,2)),ROUND(Registro_Compras!$O$229-Registro_Compras!$S$229,2)))</f>
        <v/>
      </c>
      <c r="F2037" s="20" t="str">
        <f>""</f>
        <v/>
      </c>
      <c r="G2037" t="str">
        <f>IF($C2037="","","Por la cancelacion del saldo al proveedor")</f>
        <v/>
      </c>
      <c r="H2037" t="str">
        <f>IF($C2037="","",Registro_Compras!$C$229)</f>
        <v/>
      </c>
    </row>
    <row r="2038" spans="1:8" x14ac:dyDescent="0.25">
      <c r="A2038" s="25" t="str">
        <f>IF($C2038="","",Registro_Compras!$Y$229)</f>
        <v/>
      </c>
      <c r="B2038" t="str">
        <f>IF($C2038="","","C"&amp;TEXT(INT((ROW()-5)/9)+1,"000")&amp;"-4")</f>
        <v/>
      </c>
      <c r="C2038" t="str">
        <f>IF(OR(Registro_Compras!$C$229="",Registro_Compras!$O$229="",Registro_Compras!$Y$229="",Registro_Compras!$F$229="NOTA DE CREDITO"),"","1041")</f>
        <v/>
      </c>
      <c r="D2038" t="str">
        <f>IF(OR(Registro_Compras!$C$229="",Registro_Compras!$O$229=""),"","Efectivo y Equivalentes - Cta. Cte. Operativa")</f>
        <v/>
      </c>
      <c r="E2038" s="20" t="str">
        <f>""</f>
        <v/>
      </c>
      <c r="F2038" s="20" t="str">
        <f>IF($C2038="","",IF(Registro_Compras!$F$229="RHE",(ROUND(Registro_Compras!$L$229*Registro_Compras!$N$229,2)-ROUND(Registro_Compras!$V$229*Registro_Compras!$N$229,2)),ROUND(Registro_Compras!$O$229-Registro_Compras!$S$229,2)))</f>
        <v/>
      </c>
      <c r="G2038" t="str">
        <f>IF($C2038="","","Por la cancelacion del saldo al proveedor")</f>
        <v/>
      </c>
      <c r="H2038" t="str">
        <f>IF($C2038="","",Registro_Compras!$C$229)</f>
        <v/>
      </c>
    </row>
    <row r="2039" spans="1:8" x14ac:dyDescent="0.25">
      <c r="A2039" s="25" t="str">
        <f>IF($C2039="","",Registro_Compras!$B$230)</f>
        <v/>
      </c>
      <c r="B2039" t="str">
        <f>IF($C2039="","","C"&amp;TEXT(INT((ROW()-5)/9)+1,"000")&amp;"-1")</f>
        <v/>
      </c>
      <c r="C2039" t="str">
        <f>IF(OR(Registro_Compras!$C$230="",Registro_Compras!$O$230=""),"",IF(Registro_Compras!$F$230="NOTA DE CREDITO","4212",IF(Registro_Compras!$M$230="","63",Registro_Compras!$M$230)))</f>
        <v/>
      </c>
      <c r="D2039" t="str">
        <f>IF(OR(Registro_Compras!$C$230="",Registro_Compras!$O$230=""),"",IF(Registro_Compras!$F$230="NOTA DE CREDITO","Cuentas por Pagar Comerciales - Terceros (Emitidas)",IF(Registro_Compras!$F$230="RHE","Honorarios Profesionales - Servicios de Terceros","Gastos de Servicios Prestados por Terceros")))</f>
        <v/>
      </c>
      <c r="E2039" s="20" t="str">
        <f>IF($C2039="","",IF(Registro_Compras!$F$230="NOTA DE CREDITO",ABS(Registro_Compras!$O$230),IF(Registro_Compras!$F$230="RHE",ROUND(Registro_Compras!$L$230*Registro_Compras!$N$230,2),ROUND(Registro_Compras!$J$230*Registro_Compras!$N$230,2))))</f>
        <v/>
      </c>
      <c r="F2039" s="20" t="str">
        <f>""</f>
        <v/>
      </c>
      <c r="G2039" t="str">
        <f>IF($C2039="","",IF(Registro_Compras!$F$230="NOTA DE CREDITO","Por la nota de credito "&amp;Registro_Compras!$C$230&amp;" de "&amp;Registro_Compras!$E$230&amp;" [PATRON POR CONFIRMAR CON CONTADOR]",IF(Registro_Compras!$F$230="RHE","Por el registro del recibo por honorarios "&amp;Registro_Compras!$C$230&amp;" de "&amp;Registro_Compras!$E$230&amp;" [PATRON POR CONFIRMAR CON CONTADOR]","Por el registro de la factura "&amp;Registro_Compras!$C$230&amp;" de "&amp;Registro_Compras!$E$230)))</f>
        <v/>
      </c>
      <c r="H2039" t="str">
        <f>IF($C2039="","",Registro_Compras!$C$230)</f>
        <v/>
      </c>
    </row>
    <row r="2040" spans="1:8" x14ac:dyDescent="0.25">
      <c r="A2040" s="25" t="str">
        <f>IF($C2040="","",Registro_Compras!$B$230)</f>
        <v/>
      </c>
      <c r="B2040" t="str">
        <f>IF($C2040="","","C"&amp;TEXT(INT((ROW()-5)/9)+1,"000")&amp;"-1")</f>
        <v/>
      </c>
      <c r="C2040" t="str">
        <f>IF(OR(Registro_Compras!$C$230="",Registro_Compras!$O$230=""),"",IF(Registro_Compras!$F$230="RHE",IF(Registro_Compras!$V$230=0,"","4017"),IF(Registro_Compras!$F$230="NOTA DE CREDITO",IF(Registro_Compras!$M$230="","63",Registro_Compras!$M$230),IF(Registro_Compras!$K$230=0,"","40111"))))</f>
        <v/>
      </c>
      <c r="D2040" t="str">
        <f>IF(OR(Registro_Compras!$C$230="",Registro_Compras!$O$230=""),"",IF(Registro_Compras!$F$230="RHE","Retencion Renta 4ta Categoria por Pagar",IF(Registro_Compras!$F$230="NOTA DE CREDITO","Gastos de Servicios Prestados por Terceros","IGV - Cuenta Propia (Credito Fiscal)")))</f>
        <v/>
      </c>
      <c r="E2040" s="20" t="str">
        <f>IF($C2040="","",IF(Registro_Compras!$F$230="FACTURA",ROUND(Registro_Compras!$K$230*Registro_Compras!$N$230,2),""))</f>
        <v/>
      </c>
      <c r="F2040" s="20" t="str">
        <f>IF($C2040="","",IF(Registro_Compras!$F$230="RHE",ROUND(Registro_Compras!$V$230*Registro_Compras!$N$230,2),IF(Registro_Compras!$F$230="NOTA DE CREDITO",ROUND(ABS(Registro_Compras!$J$230*Registro_Compras!$N$230),2),"")))</f>
        <v/>
      </c>
      <c r="G2040" t="str">
        <f>IF($C2040="","",IF(Registro_Compras!$F$230="NOTA DE CREDITO","Por la nota de credito "&amp;Registro_Compras!$C$230&amp;" de "&amp;Registro_Compras!$E$230&amp;" [PATRON POR CONFIRMAR CON CONTADOR]",IF(Registro_Compras!$F$230="RHE","Por el registro del recibo por honorarios "&amp;Registro_Compras!$C$230&amp;" de "&amp;Registro_Compras!$E$230&amp;" [PATRON POR CONFIRMAR CON CONTADOR]","Por el registro de la factura "&amp;Registro_Compras!$C$230&amp;" de "&amp;Registro_Compras!$E$230)))</f>
        <v/>
      </c>
      <c r="H2040" t="str">
        <f>IF($C2040="","",Registro_Compras!$C$230)</f>
        <v/>
      </c>
    </row>
    <row r="2041" spans="1:8" x14ac:dyDescent="0.25">
      <c r="A2041" s="25" t="str">
        <f>IF($C2041="","",Registro_Compras!$B$230)</f>
        <v/>
      </c>
      <c r="B2041" t="str">
        <f>IF($C2041="","","C"&amp;TEXT(INT((ROW()-5)/9)+1,"000")&amp;"-1")</f>
        <v/>
      </c>
      <c r="C2041" t="str">
        <f>IF(OR(Registro_Compras!$C$230="",Registro_Compras!$O$230=""),"",IF(Registro_Compras!$F$230="NOTA DE CREDITO",IF(Registro_Compras!$K$230=0,"","40111"),"4212"))</f>
        <v/>
      </c>
      <c r="D2041" t="str">
        <f>IF(OR(Registro_Compras!$C$230="",Registro_Compras!$O$230=""),"",IF(Registro_Compras!$F$230="NOTA DE CREDITO","IGV - Cuenta Propia (Credito Fiscal)","Cuentas por Pagar Comerciales - Terceros (Emitidas)"))</f>
        <v/>
      </c>
      <c r="E2041" s="20" t="str">
        <f>""</f>
        <v/>
      </c>
      <c r="F2041" s="20" t="str">
        <f>IF($C2041="","",IF(Registro_Compras!$F$230="NOTA DE CREDITO",ROUND(ABS(Registro_Compras!$K$230*Registro_Compras!$N$230),2),IF(Registro_Compras!$F$230="RHE",(ROUND(Registro_Compras!$L$230*Registro_Compras!$N$230,2)-ROUND(Registro_Compras!$V$230*Registro_Compras!$N$230,2)),Registro_Compras!$O$230)))</f>
        <v/>
      </c>
      <c r="G2041" t="str">
        <f>IF($C2041="","",IF(Registro_Compras!$F$230="NOTA DE CREDITO","Por la nota de credito "&amp;Registro_Compras!$C$230&amp;" de "&amp;Registro_Compras!$E$230&amp;" [PATRON POR CONFIRMAR CON CONTADOR]",IF(Registro_Compras!$F$230="RHE","Por el registro del recibo por honorarios "&amp;Registro_Compras!$C$230&amp;" de "&amp;Registro_Compras!$E$230&amp;" [PATRON POR CONFIRMAR CON CONTADOR]","Por el registro de la factura "&amp;Registro_Compras!$C$230&amp;" de "&amp;Registro_Compras!$E$230)))</f>
        <v/>
      </c>
      <c r="H2041" t="str">
        <f>IF($C2041="","",Registro_Compras!$C$230)</f>
        <v/>
      </c>
    </row>
    <row r="2042" spans="1:8" x14ac:dyDescent="0.25">
      <c r="A2042" s="25" t="str">
        <f>IF($C2042="","",Registro_Compras!$B$230)</f>
        <v/>
      </c>
      <c r="B2042" t="str">
        <f>IF($C2042="","","C"&amp;TEXT(INT((ROW()-5)/9)+1,"000")&amp;"-2")</f>
        <v/>
      </c>
      <c r="C2042" t="str">
        <f>IF(OR(Registro_Compras!$C$230="",Registro_Compras!$O$230=""),"",IF(Registro_Compras!$AB$230="ADMINISTRATIVO","94","95"))</f>
        <v/>
      </c>
      <c r="D2042" t="str">
        <f>IF(OR(Registro_Compras!$C$230="",Registro_Compras!$O$230=""),"",IF(Registro_Compras!$AB$230="ADMINISTRATIVO","Gastos Administrativos","Gastos de Venta y Operacion"))</f>
        <v/>
      </c>
      <c r="E2042" s="20" t="str">
        <f>IF($C2042="","",IF(Registro_Compras!$F$230="NOTA DE CREDITO","",IF(Registro_Compras!$F$230="RHE",ROUND(Registro_Compras!$L$230*Registro_Compras!$N$230,2),ROUND(Registro_Compras!$J$230*Registro_Compras!$N$230,2))))</f>
        <v/>
      </c>
      <c r="F2042" s="20" t="str">
        <f>IF($C2042="","",IF(Registro_Compras!$F$230="NOTA DE CREDITO",ROUND(ABS(Registro_Compras!$J$230*Registro_Compras!$N$230),2),""))</f>
        <v/>
      </c>
      <c r="G2042" t="str">
        <f>IF($C2042="","","Por el destino del gasto")</f>
        <v/>
      </c>
      <c r="H2042" t="str">
        <f>IF($C2042="","",Registro_Compras!$C$230)</f>
        <v/>
      </c>
    </row>
    <row r="2043" spans="1:8" x14ac:dyDescent="0.25">
      <c r="A2043" s="25" t="str">
        <f>IF($C2043="","",Registro_Compras!$B$230)</f>
        <v/>
      </c>
      <c r="B2043" t="str">
        <f>IF($C2043="","","C"&amp;TEXT(INT((ROW()-5)/9)+1,"000")&amp;"-2")</f>
        <v/>
      </c>
      <c r="C2043" t="str">
        <f>IF(OR(Registro_Compras!$C$230="",Registro_Compras!$O$230=""),"","79/791")</f>
        <v/>
      </c>
      <c r="D2043" t="str">
        <f>IF(OR(Registro_Compras!$C$230="",Registro_Compras!$O$230=""),"","Cargas Imputables a Cuentas de Costos y Gastos")</f>
        <v/>
      </c>
      <c r="E2043" s="20" t="str">
        <f>IF($C2043="","",IF(Registro_Compras!$F$230="NOTA DE CREDITO",ROUND(ABS(Registro_Compras!$J$230*Registro_Compras!$N$230),2),""))</f>
        <v/>
      </c>
      <c r="F2043" s="20" t="str">
        <f>IF($C2043="","",IF(Registro_Compras!$F$230="NOTA DE CREDITO","",IF(Registro_Compras!$F$230="RHE",ROUND(Registro_Compras!$L$230*Registro_Compras!$N$230,2),ROUND(Registro_Compras!$J$230*Registro_Compras!$N$230,2))))</f>
        <v/>
      </c>
      <c r="G2043" t="str">
        <f>IF($C2043="","","Por el destino del gasto")</f>
        <v/>
      </c>
      <c r="H2043" t="str">
        <f>IF($C2043="","",Registro_Compras!$C$230)</f>
        <v/>
      </c>
    </row>
    <row r="2044" spans="1:8" x14ac:dyDescent="0.25">
      <c r="A2044" s="25" t="str">
        <f>IF($C2044="","",Registro_Compras!$X$230)</f>
        <v/>
      </c>
      <c r="B2044" t="str">
        <f>IF($C2044="","","C"&amp;TEXT(INT((ROW()-5)/9)+1,"000")&amp;"-3")</f>
        <v/>
      </c>
      <c r="C2044" t="str">
        <f>IF(OR(Registro_Compras!$C$230="",Registro_Compras!$O$230="",Registro_Compras!$R$230&lt;&gt;"SI",Registro_Compras!$X$230=""),"","4212")</f>
        <v/>
      </c>
      <c r="D2044" t="str">
        <f>IF(OR(Registro_Compras!$C$230="",Registro_Compras!$O$230=""),"","Cuentas por Pagar Comerciales - Terceros")</f>
        <v/>
      </c>
      <c r="E2044" s="20" t="str">
        <f>IF($C2044="","",Registro_Compras!$S$230)</f>
        <v/>
      </c>
      <c r="F2044" s="20" t="str">
        <f>""</f>
        <v/>
      </c>
      <c r="G2044" t="str">
        <f>IF($C2044="","","Por el deposito de la detraccion en el Banco de la Nacion")</f>
        <v/>
      </c>
      <c r="H2044" t="str">
        <f>IF($C2044="","",Registro_Compras!$C$230)</f>
        <v/>
      </c>
    </row>
    <row r="2045" spans="1:8" x14ac:dyDescent="0.25">
      <c r="A2045" s="25" t="str">
        <f>IF($C2045="","",Registro_Compras!$X$230)</f>
        <v/>
      </c>
      <c r="B2045" t="str">
        <f>IF($C2045="","","C"&amp;TEXT(INT((ROW()-5)/9)+1,"000")&amp;"-3")</f>
        <v/>
      </c>
      <c r="C2045" t="str">
        <f>IF(OR(Registro_Compras!$C$230="",Registro_Compras!$O$230="",Registro_Compras!$R$230&lt;&gt;"SI",Registro_Compras!$X$230=""),"","1041")</f>
        <v/>
      </c>
      <c r="D2045" t="str">
        <f>IF(OR(Registro_Compras!$C$230="",Registro_Compras!$O$230=""),"","Efectivo y Equivalentes - Cta. Cte. Operativa")</f>
        <v/>
      </c>
      <c r="E2045" s="20" t="str">
        <f>""</f>
        <v/>
      </c>
      <c r="F2045" s="20" t="str">
        <f>IF($C2045="","",Registro_Compras!$S$230)</f>
        <v/>
      </c>
      <c r="G2045" t="str">
        <f>IF($C2045="","","Por el deposito de la detraccion en el Banco de la Nacion")</f>
        <v/>
      </c>
      <c r="H2045" t="str">
        <f>IF($C2045="","",Registro_Compras!$C$230)</f>
        <v/>
      </c>
    </row>
    <row r="2046" spans="1:8" x14ac:dyDescent="0.25">
      <c r="A2046" s="25" t="str">
        <f>IF($C2046="","",Registro_Compras!$Y$230)</f>
        <v/>
      </c>
      <c r="B2046" t="str">
        <f>IF($C2046="","","C"&amp;TEXT(INT((ROW()-5)/9)+1,"000")&amp;"-4")</f>
        <v/>
      </c>
      <c r="C2046" t="str">
        <f>IF(OR(Registro_Compras!$C$230="",Registro_Compras!$O$230="",Registro_Compras!$Y$230="",Registro_Compras!$F$230="NOTA DE CREDITO"),"","4212")</f>
        <v/>
      </c>
      <c r="D2046" t="str">
        <f>IF(OR(Registro_Compras!$C$230="",Registro_Compras!$O$230=""),"","Cuentas por Pagar Comerciales - Terceros")</f>
        <v/>
      </c>
      <c r="E2046" s="20" t="str">
        <f>IF($C2046="","",IF(Registro_Compras!$F$230="RHE",(ROUND(Registro_Compras!$L$230*Registro_Compras!$N$230,2)-ROUND(Registro_Compras!$V$230*Registro_Compras!$N$230,2)),ROUND(Registro_Compras!$O$230-Registro_Compras!$S$230,2)))</f>
        <v/>
      </c>
      <c r="F2046" s="20" t="str">
        <f>""</f>
        <v/>
      </c>
      <c r="G2046" t="str">
        <f>IF($C2046="","","Por la cancelacion del saldo al proveedor")</f>
        <v/>
      </c>
      <c r="H2046" t="str">
        <f>IF($C2046="","",Registro_Compras!$C$230)</f>
        <v/>
      </c>
    </row>
    <row r="2047" spans="1:8" x14ac:dyDescent="0.25">
      <c r="A2047" s="25" t="str">
        <f>IF($C2047="","",Registro_Compras!$Y$230)</f>
        <v/>
      </c>
      <c r="B2047" t="str">
        <f>IF($C2047="","","C"&amp;TEXT(INT((ROW()-5)/9)+1,"000")&amp;"-4")</f>
        <v/>
      </c>
      <c r="C2047" t="str">
        <f>IF(OR(Registro_Compras!$C$230="",Registro_Compras!$O$230="",Registro_Compras!$Y$230="",Registro_Compras!$F$230="NOTA DE CREDITO"),"","1041")</f>
        <v/>
      </c>
      <c r="D2047" t="str">
        <f>IF(OR(Registro_Compras!$C$230="",Registro_Compras!$O$230=""),"","Efectivo y Equivalentes - Cta. Cte. Operativa")</f>
        <v/>
      </c>
      <c r="E2047" s="20" t="str">
        <f>""</f>
        <v/>
      </c>
      <c r="F2047" s="20" t="str">
        <f>IF($C2047="","",IF(Registro_Compras!$F$230="RHE",(ROUND(Registro_Compras!$L$230*Registro_Compras!$N$230,2)-ROUND(Registro_Compras!$V$230*Registro_Compras!$N$230,2)),ROUND(Registro_Compras!$O$230-Registro_Compras!$S$230,2)))</f>
        <v/>
      </c>
      <c r="G2047" t="str">
        <f>IF($C2047="","","Por la cancelacion del saldo al proveedor")</f>
        <v/>
      </c>
      <c r="H2047" t="str">
        <f>IF($C2047="","",Registro_Compras!$C$230)</f>
        <v/>
      </c>
    </row>
    <row r="2048" spans="1:8" x14ac:dyDescent="0.25">
      <c r="A2048" s="25" t="str">
        <f>IF($C2048="","",Registro_Compras!$B$231)</f>
        <v/>
      </c>
      <c r="B2048" t="str">
        <f>IF($C2048="","","C"&amp;TEXT(INT((ROW()-5)/9)+1,"000")&amp;"-1")</f>
        <v/>
      </c>
      <c r="C2048" t="str">
        <f>IF(OR(Registro_Compras!$C$231="",Registro_Compras!$O$231=""),"",IF(Registro_Compras!$F$231="NOTA DE CREDITO","4212",IF(Registro_Compras!$M$231="","63",Registro_Compras!$M$231)))</f>
        <v/>
      </c>
      <c r="D2048" t="str">
        <f>IF(OR(Registro_Compras!$C$231="",Registro_Compras!$O$231=""),"",IF(Registro_Compras!$F$231="NOTA DE CREDITO","Cuentas por Pagar Comerciales - Terceros (Emitidas)",IF(Registro_Compras!$F$231="RHE","Honorarios Profesionales - Servicios de Terceros","Gastos de Servicios Prestados por Terceros")))</f>
        <v/>
      </c>
      <c r="E2048" s="20" t="str">
        <f>IF($C2048="","",IF(Registro_Compras!$F$231="NOTA DE CREDITO",ABS(Registro_Compras!$O$231),IF(Registro_Compras!$F$231="RHE",ROUND(Registro_Compras!$L$231*Registro_Compras!$N$231,2),ROUND(Registro_Compras!$J$231*Registro_Compras!$N$231,2))))</f>
        <v/>
      </c>
      <c r="F2048" s="20" t="str">
        <f>""</f>
        <v/>
      </c>
      <c r="G2048" t="str">
        <f>IF($C2048="","",IF(Registro_Compras!$F$231="NOTA DE CREDITO","Por la nota de credito "&amp;Registro_Compras!$C$231&amp;" de "&amp;Registro_Compras!$E$231&amp;" [PATRON POR CONFIRMAR CON CONTADOR]",IF(Registro_Compras!$F$231="RHE","Por el registro del recibo por honorarios "&amp;Registro_Compras!$C$231&amp;" de "&amp;Registro_Compras!$E$231&amp;" [PATRON POR CONFIRMAR CON CONTADOR]","Por el registro de la factura "&amp;Registro_Compras!$C$231&amp;" de "&amp;Registro_Compras!$E$231)))</f>
        <v/>
      </c>
      <c r="H2048" t="str">
        <f>IF($C2048="","",Registro_Compras!$C$231)</f>
        <v/>
      </c>
    </row>
    <row r="2049" spans="1:8" x14ac:dyDescent="0.25">
      <c r="A2049" s="25" t="str">
        <f>IF($C2049="","",Registro_Compras!$B$231)</f>
        <v/>
      </c>
      <c r="B2049" t="str">
        <f>IF($C2049="","","C"&amp;TEXT(INT((ROW()-5)/9)+1,"000")&amp;"-1")</f>
        <v/>
      </c>
      <c r="C2049" t="str">
        <f>IF(OR(Registro_Compras!$C$231="",Registro_Compras!$O$231=""),"",IF(Registro_Compras!$F$231="RHE",IF(Registro_Compras!$V$231=0,"","4017"),IF(Registro_Compras!$F$231="NOTA DE CREDITO",IF(Registro_Compras!$M$231="","63",Registro_Compras!$M$231),IF(Registro_Compras!$K$231=0,"","40111"))))</f>
        <v/>
      </c>
      <c r="D2049" t="str">
        <f>IF(OR(Registro_Compras!$C$231="",Registro_Compras!$O$231=""),"",IF(Registro_Compras!$F$231="RHE","Retencion Renta 4ta Categoria por Pagar",IF(Registro_Compras!$F$231="NOTA DE CREDITO","Gastos de Servicios Prestados por Terceros","IGV - Cuenta Propia (Credito Fiscal)")))</f>
        <v/>
      </c>
      <c r="E2049" s="20" t="str">
        <f>IF($C2049="","",IF(Registro_Compras!$F$231="FACTURA",ROUND(Registro_Compras!$K$231*Registro_Compras!$N$231,2),""))</f>
        <v/>
      </c>
      <c r="F2049" s="20" t="str">
        <f>IF($C2049="","",IF(Registro_Compras!$F$231="RHE",ROUND(Registro_Compras!$V$231*Registro_Compras!$N$231,2),IF(Registro_Compras!$F$231="NOTA DE CREDITO",ROUND(ABS(Registro_Compras!$J$231*Registro_Compras!$N$231),2),"")))</f>
        <v/>
      </c>
      <c r="G2049" t="str">
        <f>IF($C2049="","",IF(Registro_Compras!$F$231="NOTA DE CREDITO","Por la nota de credito "&amp;Registro_Compras!$C$231&amp;" de "&amp;Registro_Compras!$E$231&amp;" [PATRON POR CONFIRMAR CON CONTADOR]",IF(Registro_Compras!$F$231="RHE","Por el registro del recibo por honorarios "&amp;Registro_Compras!$C$231&amp;" de "&amp;Registro_Compras!$E$231&amp;" [PATRON POR CONFIRMAR CON CONTADOR]","Por el registro de la factura "&amp;Registro_Compras!$C$231&amp;" de "&amp;Registro_Compras!$E$231)))</f>
        <v/>
      </c>
      <c r="H2049" t="str">
        <f>IF($C2049="","",Registro_Compras!$C$231)</f>
        <v/>
      </c>
    </row>
    <row r="2050" spans="1:8" x14ac:dyDescent="0.25">
      <c r="A2050" s="25" t="str">
        <f>IF($C2050="","",Registro_Compras!$B$231)</f>
        <v/>
      </c>
      <c r="B2050" t="str">
        <f>IF($C2050="","","C"&amp;TEXT(INT((ROW()-5)/9)+1,"000")&amp;"-1")</f>
        <v/>
      </c>
      <c r="C2050" t="str">
        <f>IF(OR(Registro_Compras!$C$231="",Registro_Compras!$O$231=""),"",IF(Registro_Compras!$F$231="NOTA DE CREDITO",IF(Registro_Compras!$K$231=0,"","40111"),"4212"))</f>
        <v/>
      </c>
      <c r="D2050" t="str">
        <f>IF(OR(Registro_Compras!$C$231="",Registro_Compras!$O$231=""),"",IF(Registro_Compras!$F$231="NOTA DE CREDITO","IGV - Cuenta Propia (Credito Fiscal)","Cuentas por Pagar Comerciales - Terceros (Emitidas)"))</f>
        <v/>
      </c>
      <c r="E2050" s="20" t="str">
        <f>""</f>
        <v/>
      </c>
      <c r="F2050" s="20" t="str">
        <f>IF($C2050="","",IF(Registro_Compras!$F$231="NOTA DE CREDITO",ROUND(ABS(Registro_Compras!$K$231*Registro_Compras!$N$231),2),IF(Registro_Compras!$F$231="RHE",(ROUND(Registro_Compras!$L$231*Registro_Compras!$N$231,2)-ROUND(Registro_Compras!$V$231*Registro_Compras!$N$231,2)),Registro_Compras!$O$231)))</f>
        <v/>
      </c>
      <c r="G2050" t="str">
        <f>IF($C2050="","",IF(Registro_Compras!$F$231="NOTA DE CREDITO","Por la nota de credito "&amp;Registro_Compras!$C$231&amp;" de "&amp;Registro_Compras!$E$231&amp;" [PATRON POR CONFIRMAR CON CONTADOR]",IF(Registro_Compras!$F$231="RHE","Por el registro del recibo por honorarios "&amp;Registro_Compras!$C$231&amp;" de "&amp;Registro_Compras!$E$231&amp;" [PATRON POR CONFIRMAR CON CONTADOR]","Por el registro de la factura "&amp;Registro_Compras!$C$231&amp;" de "&amp;Registro_Compras!$E$231)))</f>
        <v/>
      </c>
      <c r="H2050" t="str">
        <f>IF($C2050="","",Registro_Compras!$C$231)</f>
        <v/>
      </c>
    </row>
    <row r="2051" spans="1:8" x14ac:dyDescent="0.25">
      <c r="A2051" s="25" t="str">
        <f>IF($C2051="","",Registro_Compras!$B$231)</f>
        <v/>
      </c>
      <c r="B2051" t="str">
        <f>IF($C2051="","","C"&amp;TEXT(INT((ROW()-5)/9)+1,"000")&amp;"-2")</f>
        <v/>
      </c>
      <c r="C2051" t="str">
        <f>IF(OR(Registro_Compras!$C$231="",Registro_Compras!$O$231=""),"",IF(Registro_Compras!$AB$231="ADMINISTRATIVO","94","95"))</f>
        <v/>
      </c>
      <c r="D2051" t="str">
        <f>IF(OR(Registro_Compras!$C$231="",Registro_Compras!$O$231=""),"",IF(Registro_Compras!$AB$231="ADMINISTRATIVO","Gastos Administrativos","Gastos de Venta y Operacion"))</f>
        <v/>
      </c>
      <c r="E2051" s="20" t="str">
        <f>IF($C2051="","",IF(Registro_Compras!$F$231="NOTA DE CREDITO","",IF(Registro_Compras!$F$231="RHE",ROUND(Registro_Compras!$L$231*Registro_Compras!$N$231,2),ROUND(Registro_Compras!$J$231*Registro_Compras!$N$231,2))))</f>
        <v/>
      </c>
      <c r="F2051" s="20" t="str">
        <f>IF($C2051="","",IF(Registro_Compras!$F$231="NOTA DE CREDITO",ROUND(ABS(Registro_Compras!$J$231*Registro_Compras!$N$231),2),""))</f>
        <v/>
      </c>
      <c r="G2051" t="str">
        <f>IF($C2051="","","Por el destino del gasto")</f>
        <v/>
      </c>
      <c r="H2051" t="str">
        <f>IF($C2051="","",Registro_Compras!$C$231)</f>
        <v/>
      </c>
    </row>
    <row r="2052" spans="1:8" x14ac:dyDescent="0.25">
      <c r="A2052" s="25" t="str">
        <f>IF($C2052="","",Registro_Compras!$B$231)</f>
        <v/>
      </c>
      <c r="B2052" t="str">
        <f>IF($C2052="","","C"&amp;TEXT(INT((ROW()-5)/9)+1,"000")&amp;"-2")</f>
        <v/>
      </c>
      <c r="C2052" t="str">
        <f>IF(OR(Registro_Compras!$C$231="",Registro_Compras!$O$231=""),"","79/791")</f>
        <v/>
      </c>
      <c r="D2052" t="str">
        <f>IF(OR(Registro_Compras!$C$231="",Registro_Compras!$O$231=""),"","Cargas Imputables a Cuentas de Costos y Gastos")</f>
        <v/>
      </c>
      <c r="E2052" s="20" t="str">
        <f>IF($C2052="","",IF(Registro_Compras!$F$231="NOTA DE CREDITO",ROUND(ABS(Registro_Compras!$J$231*Registro_Compras!$N$231),2),""))</f>
        <v/>
      </c>
      <c r="F2052" s="20" t="str">
        <f>IF($C2052="","",IF(Registro_Compras!$F$231="NOTA DE CREDITO","",IF(Registro_Compras!$F$231="RHE",ROUND(Registro_Compras!$L$231*Registro_Compras!$N$231,2),ROUND(Registro_Compras!$J$231*Registro_Compras!$N$231,2))))</f>
        <v/>
      </c>
      <c r="G2052" t="str">
        <f>IF($C2052="","","Por el destino del gasto")</f>
        <v/>
      </c>
      <c r="H2052" t="str">
        <f>IF($C2052="","",Registro_Compras!$C$231)</f>
        <v/>
      </c>
    </row>
    <row r="2053" spans="1:8" x14ac:dyDescent="0.25">
      <c r="A2053" s="25" t="str">
        <f>IF($C2053="","",Registro_Compras!$X$231)</f>
        <v/>
      </c>
      <c r="B2053" t="str">
        <f>IF($C2053="","","C"&amp;TEXT(INT((ROW()-5)/9)+1,"000")&amp;"-3")</f>
        <v/>
      </c>
      <c r="C2053" t="str">
        <f>IF(OR(Registro_Compras!$C$231="",Registro_Compras!$O$231="",Registro_Compras!$R$231&lt;&gt;"SI",Registro_Compras!$X$231=""),"","4212")</f>
        <v/>
      </c>
      <c r="D2053" t="str">
        <f>IF(OR(Registro_Compras!$C$231="",Registro_Compras!$O$231=""),"","Cuentas por Pagar Comerciales - Terceros")</f>
        <v/>
      </c>
      <c r="E2053" s="20" t="str">
        <f>IF($C2053="","",Registro_Compras!$S$231)</f>
        <v/>
      </c>
      <c r="F2053" s="20" t="str">
        <f>""</f>
        <v/>
      </c>
      <c r="G2053" t="str">
        <f>IF($C2053="","","Por el deposito de la detraccion en el Banco de la Nacion")</f>
        <v/>
      </c>
      <c r="H2053" t="str">
        <f>IF($C2053="","",Registro_Compras!$C$231)</f>
        <v/>
      </c>
    </row>
    <row r="2054" spans="1:8" x14ac:dyDescent="0.25">
      <c r="A2054" s="25" t="str">
        <f>IF($C2054="","",Registro_Compras!$X$231)</f>
        <v/>
      </c>
      <c r="B2054" t="str">
        <f>IF($C2054="","","C"&amp;TEXT(INT((ROW()-5)/9)+1,"000")&amp;"-3")</f>
        <v/>
      </c>
      <c r="C2054" t="str">
        <f>IF(OR(Registro_Compras!$C$231="",Registro_Compras!$O$231="",Registro_Compras!$R$231&lt;&gt;"SI",Registro_Compras!$X$231=""),"","1041")</f>
        <v/>
      </c>
      <c r="D2054" t="str">
        <f>IF(OR(Registro_Compras!$C$231="",Registro_Compras!$O$231=""),"","Efectivo y Equivalentes - Cta. Cte. Operativa")</f>
        <v/>
      </c>
      <c r="E2054" s="20" t="str">
        <f>""</f>
        <v/>
      </c>
      <c r="F2054" s="20" t="str">
        <f>IF($C2054="","",Registro_Compras!$S$231)</f>
        <v/>
      </c>
      <c r="G2054" t="str">
        <f>IF($C2054="","","Por el deposito de la detraccion en el Banco de la Nacion")</f>
        <v/>
      </c>
      <c r="H2054" t="str">
        <f>IF($C2054="","",Registro_Compras!$C$231)</f>
        <v/>
      </c>
    </row>
    <row r="2055" spans="1:8" x14ac:dyDescent="0.25">
      <c r="A2055" s="25" t="str">
        <f>IF($C2055="","",Registro_Compras!$Y$231)</f>
        <v/>
      </c>
      <c r="B2055" t="str">
        <f>IF($C2055="","","C"&amp;TEXT(INT((ROW()-5)/9)+1,"000")&amp;"-4")</f>
        <v/>
      </c>
      <c r="C2055" t="str">
        <f>IF(OR(Registro_Compras!$C$231="",Registro_Compras!$O$231="",Registro_Compras!$Y$231="",Registro_Compras!$F$231="NOTA DE CREDITO"),"","4212")</f>
        <v/>
      </c>
      <c r="D2055" t="str">
        <f>IF(OR(Registro_Compras!$C$231="",Registro_Compras!$O$231=""),"","Cuentas por Pagar Comerciales - Terceros")</f>
        <v/>
      </c>
      <c r="E2055" s="20" t="str">
        <f>IF($C2055="","",IF(Registro_Compras!$F$231="RHE",(ROUND(Registro_Compras!$L$231*Registro_Compras!$N$231,2)-ROUND(Registro_Compras!$V$231*Registro_Compras!$N$231,2)),ROUND(Registro_Compras!$O$231-Registro_Compras!$S$231,2)))</f>
        <v/>
      </c>
      <c r="F2055" s="20" t="str">
        <f>""</f>
        <v/>
      </c>
      <c r="G2055" t="str">
        <f>IF($C2055="","","Por la cancelacion del saldo al proveedor")</f>
        <v/>
      </c>
      <c r="H2055" t="str">
        <f>IF($C2055="","",Registro_Compras!$C$231)</f>
        <v/>
      </c>
    </row>
    <row r="2056" spans="1:8" x14ac:dyDescent="0.25">
      <c r="A2056" s="25" t="str">
        <f>IF($C2056="","",Registro_Compras!$Y$231)</f>
        <v/>
      </c>
      <c r="B2056" t="str">
        <f>IF($C2056="","","C"&amp;TEXT(INT((ROW()-5)/9)+1,"000")&amp;"-4")</f>
        <v/>
      </c>
      <c r="C2056" t="str">
        <f>IF(OR(Registro_Compras!$C$231="",Registro_Compras!$O$231="",Registro_Compras!$Y$231="",Registro_Compras!$F$231="NOTA DE CREDITO"),"","1041")</f>
        <v/>
      </c>
      <c r="D2056" t="str">
        <f>IF(OR(Registro_Compras!$C$231="",Registro_Compras!$O$231=""),"","Efectivo y Equivalentes - Cta. Cte. Operativa")</f>
        <v/>
      </c>
      <c r="E2056" s="20" t="str">
        <f>""</f>
        <v/>
      </c>
      <c r="F2056" s="20" t="str">
        <f>IF($C2056="","",IF(Registro_Compras!$F$231="RHE",(ROUND(Registro_Compras!$L$231*Registro_Compras!$N$231,2)-ROUND(Registro_Compras!$V$231*Registro_Compras!$N$231,2)),ROUND(Registro_Compras!$O$231-Registro_Compras!$S$231,2)))</f>
        <v/>
      </c>
      <c r="G2056" t="str">
        <f>IF($C2056="","","Por la cancelacion del saldo al proveedor")</f>
        <v/>
      </c>
      <c r="H2056" t="str">
        <f>IF($C2056="","",Registro_Compras!$C$231)</f>
        <v/>
      </c>
    </row>
    <row r="2057" spans="1:8" x14ac:dyDescent="0.25">
      <c r="A2057" s="25" t="str">
        <f>IF($C2057="","",Registro_Compras!$B$232)</f>
        <v/>
      </c>
      <c r="B2057" t="str">
        <f>IF($C2057="","","C"&amp;TEXT(INT((ROW()-5)/9)+1,"000")&amp;"-1")</f>
        <v/>
      </c>
      <c r="C2057" t="str">
        <f>IF(OR(Registro_Compras!$C$232="",Registro_Compras!$O$232=""),"",IF(Registro_Compras!$F$232="NOTA DE CREDITO","4212",IF(Registro_Compras!$M$232="","63",Registro_Compras!$M$232)))</f>
        <v/>
      </c>
      <c r="D2057" t="str">
        <f>IF(OR(Registro_Compras!$C$232="",Registro_Compras!$O$232=""),"",IF(Registro_Compras!$F$232="NOTA DE CREDITO","Cuentas por Pagar Comerciales - Terceros (Emitidas)",IF(Registro_Compras!$F$232="RHE","Honorarios Profesionales - Servicios de Terceros","Gastos de Servicios Prestados por Terceros")))</f>
        <v/>
      </c>
      <c r="E2057" s="20" t="str">
        <f>IF($C2057="","",IF(Registro_Compras!$F$232="NOTA DE CREDITO",ABS(Registro_Compras!$O$232),IF(Registro_Compras!$F$232="RHE",ROUND(Registro_Compras!$L$232*Registro_Compras!$N$232,2),ROUND(Registro_Compras!$J$232*Registro_Compras!$N$232,2))))</f>
        <v/>
      </c>
      <c r="F2057" s="20" t="str">
        <f>""</f>
        <v/>
      </c>
      <c r="G2057" t="str">
        <f>IF($C2057="","",IF(Registro_Compras!$F$232="NOTA DE CREDITO","Por la nota de credito "&amp;Registro_Compras!$C$232&amp;" de "&amp;Registro_Compras!$E$232&amp;" [PATRON POR CONFIRMAR CON CONTADOR]",IF(Registro_Compras!$F$232="RHE","Por el registro del recibo por honorarios "&amp;Registro_Compras!$C$232&amp;" de "&amp;Registro_Compras!$E$232&amp;" [PATRON POR CONFIRMAR CON CONTADOR]","Por el registro de la factura "&amp;Registro_Compras!$C$232&amp;" de "&amp;Registro_Compras!$E$232)))</f>
        <v/>
      </c>
      <c r="H2057" t="str">
        <f>IF($C2057="","",Registro_Compras!$C$232)</f>
        <v/>
      </c>
    </row>
    <row r="2058" spans="1:8" x14ac:dyDescent="0.25">
      <c r="A2058" s="25" t="str">
        <f>IF($C2058="","",Registro_Compras!$B$232)</f>
        <v/>
      </c>
      <c r="B2058" t="str">
        <f>IF($C2058="","","C"&amp;TEXT(INT((ROW()-5)/9)+1,"000")&amp;"-1")</f>
        <v/>
      </c>
      <c r="C2058" t="str">
        <f>IF(OR(Registro_Compras!$C$232="",Registro_Compras!$O$232=""),"",IF(Registro_Compras!$F$232="RHE",IF(Registro_Compras!$V$232=0,"","4017"),IF(Registro_Compras!$F$232="NOTA DE CREDITO",IF(Registro_Compras!$M$232="","63",Registro_Compras!$M$232),IF(Registro_Compras!$K$232=0,"","40111"))))</f>
        <v/>
      </c>
      <c r="D2058" t="str">
        <f>IF(OR(Registro_Compras!$C$232="",Registro_Compras!$O$232=""),"",IF(Registro_Compras!$F$232="RHE","Retencion Renta 4ta Categoria por Pagar",IF(Registro_Compras!$F$232="NOTA DE CREDITO","Gastos de Servicios Prestados por Terceros","IGV - Cuenta Propia (Credito Fiscal)")))</f>
        <v/>
      </c>
      <c r="E2058" s="20" t="str">
        <f>IF($C2058="","",IF(Registro_Compras!$F$232="FACTURA",ROUND(Registro_Compras!$K$232*Registro_Compras!$N$232,2),""))</f>
        <v/>
      </c>
      <c r="F2058" s="20" t="str">
        <f>IF($C2058="","",IF(Registro_Compras!$F$232="RHE",ROUND(Registro_Compras!$V$232*Registro_Compras!$N$232,2),IF(Registro_Compras!$F$232="NOTA DE CREDITO",ROUND(ABS(Registro_Compras!$J$232*Registro_Compras!$N$232),2),"")))</f>
        <v/>
      </c>
      <c r="G2058" t="str">
        <f>IF($C2058="","",IF(Registro_Compras!$F$232="NOTA DE CREDITO","Por la nota de credito "&amp;Registro_Compras!$C$232&amp;" de "&amp;Registro_Compras!$E$232&amp;" [PATRON POR CONFIRMAR CON CONTADOR]",IF(Registro_Compras!$F$232="RHE","Por el registro del recibo por honorarios "&amp;Registro_Compras!$C$232&amp;" de "&amp;Registro_Compras!$E$232&amp;" [PATRON POR CONFIRMAR CON CONTADOR]","Por el registro de la factura "&amp;Registro_Compras!$C$232&amp;" de "&amp;Registro_Compras!$E$232)))</f>
        <v/>
      </c>
      <c r="H2058" t="str">
        <f>IF($C2058="","",Registro_Compras!$C$232)</f>
        <v/>
      </c>
    </row>
    <row r="2059" spans="1:8" x14ac:dyDescent="0.25">
      <c r="A2059" s="25" t="str">
        <f>IF($C2059="","",Registro_Compras!$B$232)</f>
        <v/>
      </c>
      <c r="B2059" t="str">
        <f>IF($C2059="","","C"&amp;TEXT(INT((ROW()-5)/9)+1,"000")&amp;"-1")</f>
        <v/>
      </c>
      <c r="C2059" t="str">
        <f>IF(OR(Registro_Compras!$C$232="",Registro_Compras!$O$232=""),"",IF(Registro_Compras!$F$232="NOTA DE CREDITO",IF(Registro_Compras!$K$232=0,"","40111"),"4212"))</f>
        <v/>
      </c>
      <c r="D2059" t="str">
        <f>IF(OR(Registro_Compras!$C$232="",Registro_Compras!$O$232=""),"",IF(Registro_Compras!$F$232="NOTA DE CREDITO","IGV - Cuenta Propia (Credito Fiscal)","Cuentas por Pagar Comerciales - Terceros (Emitidas)"))</f>
        <v/>
      </c>
      <c r="E2059" s="20" t="str">
        <f>""</f>
        <v/>
      </c>
      <c r="F2059" s="20" t="str">
        <f>IF($C2059="","",IF(Registro_Compras!$F$232="NOTA DE CREDITO",ROUND(ABS(Registro_Compras!$K$232*Registro_Compras!$N$232),2),IF(Registro_Compras!$F$232="RHE",(ROUND(Registro_Compras!$L$232*Registro_Compras!$N$232,2)-ROUND(Registro_Compras!$V$232*Registro_Compras!$N$232,2)),Registro_Compras!$O$232)))</f>
        <v/>
      </c>
      <c r="G2059" t="str">
        <f>IF($C2059="","",IF(Registro_Compras!$F$232="NOTA DE CREDITO","Por la nota de credito "&amp;Registro_Compras!$C$232&amp;" de "&amp;Registro_Compras!$E$232&amp;" [PATRON POR CONFIRMAR CON CONTADOR]",IF(Registro_Compras!$F$232="RHE","Por el registro del recibo por honorarios "&amp;Registro_Compras!$C$232&amp;" de "&amp;Registro_Compras!$E$232&amp;" [PATRON POR CONFIRMAR CON CONTADOR]","Por el registro de la factura "&amp;Registro_Compras!$C$232&amp;" de "&amp;Registro_Compras!$E$232)))</f>
        <v/>
      </c>
      <c r="H2059" t="str">
        <f>IF($C2059="","",Registro_Compras!$C$232)</f>
        <v/>
      </c>
    </row>
    <row r="2060" spans="1:8" x14ac:dyDescent="0.25">
      <c r="A2060" s="25" t="str">
        <f>IF($C2060="","",Registro_Compras!$B$232)</f>
        <v/>
      </c>
      <c r="B2060" t="str">
        <f>IF($C2060="","","C"&amp;TEXT(INT((ROW()-5)/9)+1,"000")&amp;"-2")</f>
        <v/>
      </c>
      <c r="C2060" t="str">
        <f>IF(OR(Registro_Compras!$C$232="",Registro_Compras!$O$232=""),"",IF(Registro_Compras!$AB$232="ADMINISTRATIVO","94","95"))</f>
        <v/>
      </c>
      <c r="D2060" t="str">
        <f>IF(OR(Registro_Compras!$C$232="",Registro_Compras!$O$232=""),"",IF(Registro_Compras!$AB$232="ADMINISTRATIVO","Gastos Administrativos","Gastos de Venta y Operacion"))</f>
        <v/>
      </c>
      <c r="E2060" s="20" t="str">
        <f>IF($C2060="","",IF(Registro_Compras!$F$232="NOTA DE CREDITO","",IF(Registro_Compras!$F$232="RHE",ROUND(Registro_Compras!$L$232*Registro_Compras!$N$232,2),ROUND(Registro_Compras!$J$232*Registro_Compras!$N$232,2))))</f>
        <v/>
      </c>
      <c r="F2060" s="20" t="str">
        <f>IF($C2060="","",IF(Registro_Compras!$F$232="NOTA DE CREDITO",ROUND(ABS(Registro_Compras!$J$232*Registro_Compras!$N$232),2),""))</f>
        <v/>
      </c>
      <c r="G2060" t="str">
        <f>IF($C2060="","","Por el destino del gasto")</f>
        <v/>
      </c>
      <c r="H2060" t="str">
        <f>IF($C2060="","",Registro_Compras!$C$232)</f>
        <v/>
      </c>
    </row>
    <row r="2061" spans="1:8" x14ac:dyDescent="0.25">
      <c r="A2061" s="25" t="str">
        <f>IF($C2061="","",Registro_Compras!$B$232)</f>
        <v/>
      </c>
      <c r="B2061" t="str">
        <f>IF($C2061="","","C"&amp;TEXT(INT((ROW()-5)/9)+1,"000")&amp;"-2")</f>
        <v/>
      </c>
      <c r="C2061" t="str">
        <f>IF(OR(Registro_Compras!$C$232="",Registro_Compras!$O$232=""),"","79/791")</f>
        <v/>
      </c>
      <c r="D2061" t="str">
        <f>IF(OR(Registro_Compras!$C$232="",Registro_Compras!$O$232=""),"","Cargas Imputables a Cuentas de Costos y Gastos")</f>
        <v/>
      </c>
      <c r="E2061" s="20" t="str">
        <f>IF($C2061="","",IF(Registro_Compras!$F$232="NOTA DE CREDITO",ROUND(ABS(Registro_Compras!$J$232*Registro_Compras!$N$232),2),""))</f>
        <v/>
      </c>
      <c r="F2061" s="20" t="str">
        <f>IF($C2061="","",IF(Registro_Compras!$F$232="NOTA DE CREDITO","",IF(Registro_Compras!$F$232="RHE",ROUND(Registro_Compras!$L$232*Registro_Compras!$N$232,2),ROUND(Registro_Compras!$J$232*Registro_Compras!$N$232,2))))</f>
        <v/>
      </c>
      <c r="G2061" t="str">
        <f>IF($C2061="","","Por el destino del gasto")</f>
        <v/>
      </c>
      <c r="H2061" t="str">
        <f>IF($C2061="","",Registro_Compras!$C$232)</f>
        <v/>
      </c>
    </row>
    <row r="2062" spans="1:8" x14ac:dyDescent="0.25">
      <c r="A2062" s="25" t="str">
        <f>IF($C2062="","",Registro_Compras!$X$232)</f>
        <v/>
      </c>
      <c r="B2062" t="str">
        <f>IF($C2062="","","C"&amp;TEXT(INT((ROW()-5)/9)+1,"000")&amp;"-3")</f>
        <v/>
      </c>
      <c r="C2062" t="str">
        <f>IF(OR(Registro_Compras!$C$232="",Registro_Compras!$O$232="",Registro_Compras!$R$232&lt;&gt;"SI",Registro_Compras!$X$232=""),"","4212")</f>
        <v/>
      </c>
      <c r="D2062" t="str">
        <f>IF(OR(Registro_Compras!$C$232="",Registro_Compras!$O$232=""),"","Cuentas por Pagar Comerciales - Terceros")</f>
        <v/>
      </c>
      <c r="E2062" s="20" t="str">
        <f>IF($C2062="","",Registro_Compras!$S$232)</f>
        <v/>
      </c>
      <c r="F2062" s="20" t="str">
        <f>""</f>
        <v/>
      </c>
      <c r="G2062" t="str">
        <f>IF($C2062="","","Por el deposito de la detraccion en el Banco de la Nacion")</f>
        <v/>
      </c>
      <c r="H2062" t="str">
        <f>IF($C2062="","",Registro_Compras!$C$232)</f>
        <v/>
      </c>
    </row>
    <row r="2063" spans="1:8" x14ac:dyDescent="0.25">
      <c r="A2063" s="25" t="str">
        <f>IF($C2063="","",Registro_Compras!$X$232)</f>
        <v/>
      </c>
      <c r="B2063" t="str">
        <f>IF($C2063="","","C"&amp;TEXT(INT((ROW()-5)/9)+1,"000")&amp;"-3")</f>
        <v/>
      </c>
      <c r="C2063" t="str">
        <f>IF(OR(Registro_Compras!$C$232="",Registro_Compras!$O$232="",Registro_Compras!$R$232&lt;&gt;"SI",Registro_Compras!$X$232=""),"","1041")</f>
        <v/>
      </c>
      <c r="D2063" t="str">
        <f>IF(OR(Registro_Compras!$C$232="",Registro_Compras!$O$232=""),"","Efectivo y Equivalentes - Cta. Cte. Operativa")</f>
        <v/>
      </c>
      <c r="E2063" s="20" t="str">
        <f>""</f>
        <v/>
      </c>
      <c r="F2063" s="20" t="str">
        <f>IF($C2063="","",Registro_Compras!$S$232)</f>
        <v/>
      </c>
      <c r="G2063" t="str">
        <f>IF($C2063="","","Por el deposito de la detraccion en el Banco de la Nacion")</f>
        <v/>
      </c>
      <c r="H2063" t="str">
        <f>IF($C2063="","",Registro_Compras!$C$232)</f>
        <v/>
      </c>
    </row>
    <row r="2064" spans="1:8" x14ac:dyDescent="0.25">
      <c r="A2064" s="25" t="str">
        <f>IF($C2064="","",Registro_Compras!$Y$232)</f>
        <v/>
      </c>
      <c r="B2064" t="str">
        <f>IF($C2064="","","C"&amp;TEXT(INT((ROW()-5)/9)+1,"000")&amp;"-4")</f>
        <v/>
      </c>
      <c r="C2064" t="str">
        <f>IF(OR(Registro_Compras!$C$232="",Registro_Compras!$O$232="",Registro_Compras!$Y$232="",Registro_Compras!$F$232="NOTA DE CREDITO"),"","4212")</f>
        <v/>
      </c>
      <c r="D2064" t="str">
        <f>IF(OR(Registro_Compras!$C$232="",Registro_Compras!$O$232=""),"","Cuentas por Pagar Comerciales - Terceros")</f>
        <v/>
      </c>
      <c r="E2064" s="20" t="str">
        <f>IF($C2064="","",IF(Registro_Compras!$F$232="RHE",(ROUND(Registro_Compras!$L$232*Registro_Compras!$N$232,2)-ROUND(Registro_Compras!$V$232*Registro_Compras!$N$232,2)),ROUND(Registro_Compras!$O$232-Registro_Compras!$S$232,2)))</f>
        <v/>
      </c>
      <c r="F2064" s="20" t="str">
        <f>""</f>
        <v/>
      </c>
      <c r="G2064" t="str">
        <f>IF($C2064="","","Por la cancelacion del saldo al proveedor")</f>
        <v/>
      </c>
      <c r="H2064" t="str">
        <f>IF($C2064="","",Registro_Compras!$C$232)</f>
        <v/>
      </c>
    </row>
    <row r="2065" spans="1:8" x14ac:dyDescent="0.25">
      <c r="A2065" s="25" t="str">
        <f>IF($C2065="","",Registro_Compras!$Y$232)</f>
        <v/>
      </c>
      <c r="B2065" t="str">
        <f>IF($C2065="","","C"&amp;TEXT(INT((ROW()-5)/9)+1,"000")&amp;"-4")</f>
        <v/>
      </c>
      <c r="C2065" t="str">
        <f>IF(OR(Registro_Compras!$C$232="",Registro_Compras!$O$232="",Registro_Compras!$Y$232="",Registro_Compras!$F$232="NOTA DE CREDITO"),"","1041")</f>
        <v/>
      </c>
      <c r="D2065" t="str">
        <f>IF(OR(Registro_Compras!$C$232="",Registro_Compras!$O$232=""),"","Efectivo y Equivalentes - Cta. Cte. Operativa")</f>
        <v/>
      </c>
      <c r="E2065" s="20" t="str">
        <f>""</f>
        <v/>
      </c>
      <c r="F2065" s="20" t="str">
        <f>IF($C2065="","",IF(Registro_Compras!$F$232="RHE",(ROUND(Registro_Compras!$L$232*Registro_Compras!$N$232,2)-ROUND(Registro_Compras!$V$232*Registro_Compras!$N$232,2)),ROUND(Registro_Compras!$O$232-Registro_Compras!$S$232,2)))</f>
        <v/>
      </c>
      <c r="G2065" t="str">
        <f>IF($C2065="","","Por la cancelacion del saldo al proveedor")</f>
        <v/>
      </c>
      <c r="H2065" t="str">
        <f>IF($C2065="","",Registro_Compras!$C$232)</f>
        <v/>
      </c>
    </row>
    <row r="2066" spans="1:8" x14ac:dyDescent="0.25">
      <c r="A2066" s="25" t="str">
        <f>IF($C2066="","",Registro_Compras!$B$233)</f>
        <v/>
      </c>
      <c r="B2066" t="str">
        <f>IF($C2066="","","C"&amp;TEXT(INT((ROW()-5)/9)+1,"000")&amp;"-1")</f>
        <v/>
      </c>
      <c r="C2066" t="str">
        <f>IF(OR(Registro_Compras!$C$233="",Registro_Compras!$O$233=""),"",IF(Registro_Compras!$F$233="NOTA DE CREDITO","4212",IF(Registro_Compras!$M$233="","63",Registro_Compras!$M$233)))</f>
        <v/>
      </c>
      <c r="D2066" t="str">
        <f>IF(OR(Registro_Compras!$C$233="",Registro_Compras!$O$233=""),"",IF(Registro_Compras!$F$233="NOTA DE CREDITO","Cuentas por Pagar Comerciales - Terceros (Emitidas)",IF(Registro_Compras!$F$233="RHE","Honorarios Profesionales - Servicios de Terceros","Gastos de Servicios Prestados por Terceros")))</f>
        <v/>
      </c>
      <c r="E2066" s="20" t="str">
        <f>IF($C2066="","",IF(Registro_Compras!$F$233="NOTA DE CREDITO",ABS(Registro_Compras!$O$233),IF(Registro_Compras!$F$233="RHE",ROUND(Registro_Compras!$L$233*Registro_Compras!$N$233,2),ROUND(Registro_Compras!$J$233*Registro_Compras!$N$233,2))))</f>
        <v/>
      </c>
      <c r="F2066" s="20" t="str">
        <f>""</f>
        <v/>
      </c>
      <c r="G2066" t="str">
        <f>IF($C2066="","",IF(Registro_Compras!$F$233="NOTA DE CREDITO","Por la nota de credito "&amp;Registro_Compras!$C$233&amp;" de "&amp;Registro_Compras!$E$233&amp;" [PATRON POR CONFIRMAR CON CONTADOR]",IF(Registro_Compras!$F$233="RHE","Por el registro del recibo por honorarios "&amp;Registro_Compras!$C$233&amp;" de "&amp;Registro_Compras!$E$233&amp;" [PATRON POR CONFIRMAR CON CONTADOR]","Por el registro de la factura "&amp;Registro_Compras!$C$233&amp;" de "&amp;Registro_Compras!$E$233)))</f>
        <v/>
      </c>
      <c r="H2066" t="str">
        <f>IF($C2066="","",Registro_Compras!$C$233)</f>
        <v/>
      </c>
    </row>
    <row r="2067" spans="1:8" x14ac:dyDescent="0.25">
      <c r="A2067" s="25" t="str">
        <f>IF($C2067="","",Registro_Compras!$B$233)</f>
        <v/>
      </c>
      <c r="B2067" t="str">
        <f>IF($C2067="","","C"&amp;TEXT(INT((ROW()-5)/9)+1,"000")&amp;"-1")</f>
        <v/>
      </c>
      <c r="C2067" t="str">
        <f>IF(OR(Registro_Compras!$C$233="",Registro_Compras!$O$233=""),"",IF(Registro_Compras!$F$233="RHE",IF(Registro_Compras!$V$233=0,"","4017"),IF(Registro_Compras!$F$233="NOTA DE CREDITO",IF(Registro_Compras!$M$233="","63",Registro_Compras!$M$233),IF(Registro_Compras!$K$233=0,"","40111"))))</f>
        <v/>
      </c>
      <c r="D2067" t="str">
        <f>IF(OR(Registro_Compras!$C$233="",Registro_Compras!$O$233=""),"",IF(Registro_Compras!$F$233="RHE","Retencion Renta 4ta Categoria por Pagar",IF(Registro_Compras!$F$233="NOTA DE CREDITO","Gastos de Servicios Prestados por Terceros","IGV - Cuenta Propia (Credito Fiscal)")))</f>
        <v/>
      </c>
      <c r="E2067" s="20" t="str">
        <f>IF($C2067="","",IF(Registro_Compras!$F$233="FACTURA",ROUND(Registro_Compras!$K$233*Registro_Compras!$N$233,2),""))</f>
        <v/>
      </c>
      <c r="F2067" s="20" t="str">
        <f>IF($C2067="","",IF(Registro_Compras!$F$233="RHE",ROUND(Registro_Compras!$V$233*Registro_Compras!$N$233,2),IF(Registro_Compras!$F$233="NOTA DE CREDITO",ROUND(ABS(Registro_Compras!$J$233*Registro_Compras!$N$233),2),"")))</f>
        <v/>
      </c>
      <c r="G2067" t="str">
        <f>IF($C2067="","",IF(Registro_Compras!$F$233="NOTA DE CREDITO","Por la nota de credito "&amp;Registro_Compras!$C$233&amp;" de "&amp;Registro_Compras!$E$233&amp;" [PATRON POR CONFIRMAR CON CONTADOR]",IF(Registro_Compras!$F$233="RHE","Por el registro del recibo por honorarios "&amp;Registro_Compras!$C$233&amp;" de "&amp;Registro_Compras!$E$233&amp;" [PATRON POR CONFIRMAR CON CONTADOR]","Por el registro de la factura "&amp;Registro_Compras!$C$233&amp;" de "&amp;Registro_Compras!$E$233)))</f>
        <v/>
      </c>
      <c r="H2067" t="str">
        <f>IF($C2067="","",Registro_Compras!$C$233)</f>
        <v/>
      </c>
    </row>
    <row r="2068" spans="1:8" x14ac:dyDescent="0.25">
      <c r="A2068" s="25" t="str">
        <f>IF($C2068="","",Registro_Compras!$B$233)</f>
        <v/>
      </c>
      <c r="B2068" t="str">
        <f>IF($C2068="","","C"&amp;TEXT(INT((ROW()-5)/9)+1,"000")&amp;"-1")</f>
        <v/>
      </c>
      <c r="C2068" t="str">
        <f>IF(OR(Registro_Compras!$C$233="",Registro_Compras!$O$233=""),"",IF(Registro_Compras!$F$233="NOTA DE CREDITO",IF(Registro_Compras!$K$233=0,"","40111"),"4212"))</f>
        <v/>
      </c>
      <c r="D2068" t="str">
        <f>IF(OR(Registro_Compras!$C$233="",Registro_Compras!$O$233=""),"",IF(Registro_Compras!$F$233="NOTA DE CREDITO","IGV - Cuenta Propia (Credito Fiscal)","Cuentas por Pagar Comerciales - Terceros (Emitidas)"))</f>
        <v/>
      </c>
      <c r="E2068" s="20" t="str">
        <f>""</f>
        <v/>
      </c>
      <c r="F2068" s="20" t="str">
        <f>IF($C2068="","",IF(Registro_Compras!$F$233="NOTA DE CREDITO",ROUND(ABS(Registro_Compras!$K$233*Registro_Compras!$N$233),2),IF(Registro_Compras!$F$233="RHE",(ROUND(Registro_Compras!$L$233*Registro_Compras!$N$233,2)-ROUND(Registro_Compras!$V$233*Registro_Compras!$N$233,2)),Registro_Compras!$O$233)))</f>
        <v/>
      </c>
      <c r="G2068" t="str">
        <f>IF($C2068="","",IF(Registro_Compras!$F$233="NOTA DE CREDITO","Por la nota de credito "&amp;Registro_Compras!$C$233&amp;" de "&amp;Registro_Compras!$E$233&amp;" [PATRON POR CONFIRMAR CON CONTADOR]",IF(Registro_Compras!$F$233="RHE","Por el registro del recibo por honorarios "&amp;Registro_Compras!$C$233&amp;" de "&amp;Registro_Compras!$E$233&amp;" [PATRON POR CONFIRMAR CON CONTADOR]","Por el registro de la factura "&amp;Registro_Compras!$C$233&amp;" de "&amp;Registro_Compras!$E$233)))</f>
        <v/>
      </c>
      <c r="H2068" t="str">
        <f>IF($C2068="","",Registro_Compras!$C$233)</f>
        <v/>
      </c>
    </row>
    <row r="2069" spans="1:8" x14ac:dyDescent="0.25">
      <c r="A2069" s="25" t="str">
        <f>IF($C2069="","",Registro_Compras!$B$233)</f>
        <v/>
      </c>
      <c r="B2069" t="str">
        <f>IF($C2069="","","C"&amp;TEXT(INT((ROW()-5)/9)+1,"000")&amp;"-2")</f>
        <v/>
      </c>
      <c r="C2069" t="str">
        <f>IF(OR(Registro_Compras!$C$233="",Registro_Compras!$O$233=""),"",IF(Registro_Compras!$AB$233="ADMINISTRATIVO","94","95"))</f>
        <v/>
      </c>
      <c r="D2069" t="str">
        <f>IF(OR(Registro_Compras!$C$233="",Registro_Compras!$O$233=""),"",IF(Registro_Compras!$AB$233="ADMINISTRATIVO","Gastos Administrativos","Gastos de Venta y Operacion"))</f>
        <v/>
      </c>
      <c r="E2069" s="20" t="str">
        <f>IF($C2069="","",IF(Registro_Compras!$F$233="NOTA DE CREDITO","",IF(Registro_Compras!$F$233="RHE",ROUND(Registro_Compras!$L$233*Registro_Compras!$N$233,2),ROUND(Registro_Compras!$J$233*Registro_Compras!$N$233,2))))</f>
        <v/>
      </c>
      <c r="F2069" s="20" t="str">
        <f>IF($C2069="","",IF(Registro_Compras!$F$233="NOTA DE CREDITO",ROUND(ABS(Registro_Compras!$J$233*Registro_Compras!$N$233),2),""))</f>
        <v/>
      </c>
      <c r="G2069" t="str">
        <f>IF($C2069="","","Por el destino del gasto")</f>
        <v/>
      </c>
      <c r="H2069" t="str">
        <f>IF($C2069="","",Registro_Compras!$C$233)</f>
        <v/>
      </c>
    </row>
    <row r="2070" spans="1:8" x14ac:dyDescent="0.25">
      <c r="A2070" s="25" t="str">
        <f>IF($C2070="","",Registro_Compras!$B$233)</f>
        <v/>
      </c>
      <c r="B2070" t="str">
        <f>IF($C2070="","","C"&amp;TEXT(INT((ROW()-5)/9)+1,"000")&amp;"-2")</f>
        <v/>
      </c>
      <c r="C2070" t="str">
        <f>IF(OR(Registro_Compras!$C$233="",Registro_Compras!$O$233=""),"","79/791")</f>
        <v/>
      </c>
      <c r="D2070" t="str">
        <f>IF(OR(Registro_Compras!$C$233="",Registro_Compras!$O$233=""),"","Cargas Imputables a Cuentas de Costos y Gastos")</f>
        <v/>
      </c>
      <c r="E2070" s="20" t="str">
        <f>IF($C2070="","",IF(Registro_Compras!$F$233="NOTA DE CREDITO",ROUND(ABS(Registro_Compras!$J$233*Registro_Compras!$N$233),2),""))</f>
        <v/>
      </c>
      <c r="F2070" s="20" t="str">
        <f>IF($C2070="","",IF(Registro_Compras!$F$233="NOTA DE CREDITO","",IF(Registro_Compras!$F$233="RHE",ROUND(Registro_Compras!$L$233*Registro_Compras!$N$233,2),ROUND(Registro_Compras!$J$233*Registro_Compras!$N$233,2))))</f>
        <v/>
      </c>
      <c r="G2070" t="str">
        <f>IF($C2070="","","Por el destino del gasto")</f>
        <v/>
      </c>
      <c r="H2070" t="str">
        <f>IF($C2070="","",Registro_Compras!$C$233)</f>
        <v/>
      </c>
    </row>
    <row r="2071" spans="1:8" x14ac:dyDescent="0.25">
      <c r="A2071" s="25" t="str">
        <f>IF($C2071="","",Registro_Compras!$X$233)</f>
        <v/>
      </c>
      <c r="B2071" t="str">
        <f>IF($C2071="","","C"&amp;TEXT(INT((ROW()-5)/9)+1,"000")&amp;"-3")</f>
        <v/>
      </c>
      <c r="C2071" t="str">
        <f>IF(OR(Registro_Compras!$C$233="",Registro_Compras!$O$233="",Registro_Compras!$R$233&lt;&gt;"SI",Registro_Compras!$X$233=""),"","4212")</f>
        <v/>
      </c>
      <c r="D2071" t="str">
        <f>IF(OR(Registro_Compras!$C$233="",Registro_Compras!$O$233=""),"","Cuentas por Pagar Comerciales - Terceros")</f>
        <v/>
      </c>
      <c r="E2071" s="20" t="str">
        <f>IF($C2071="","",Registro_Compras!$S$233)</f>
        <v/>
      </c>
      <c r="F2071" s="20" t="str">
        <f>""</f>
        <v/>
      </c>
      <c r="G2071" t="str">
        <f>IF($C2071="","","Por el deposito de la detraccion en el Banco de la Nacion")</f>
        <v/>
      </c>
      <c r="H2071" t="str">
        <f>IF($C2071="","",Registro_Compras!$C$233)</f>
        <v/>
      </c>
    </row>
    <row r="2072" spans="1:8" x14ac:dyDescent="0.25">
      <c r="A2072" s="25" t="str">
        <f>IF($C2072="","",Registro_Compras!$X$233)</f>
        <v/>
      </c>
      <c r="B2072" t="str">
        <f>IF($C2072="","","C"&amp;TEXT(INT((ROW()-5)/9)+1,"000")&amp;"-3")</f>
        <v/>
      </c>
      <c r="C2072" t="str">
        <f>IF(OR(Registro_Compras!$C$233="",Registro_Compras!$O$233="",Registro_Compras!$R$233&lt;&gt;"SI",Registro_Compras!$X$233=""),"","1041")</f>
        <v/>
      </c>
      <c r="D2072" t="str">
        <f>IF(OR(Registro_Compras!$C$233="",Registro_Compras!$O$233=""),"","Efectivo y Equivalentes - Cta. Cte. Operativa")</f>
        <v/>
      </c>
      <c r="E2072" s="20" t="str">
        <f>""</f>
        <v/>
      </c>
      <c r="F2072" s="20" t="str">
        <f>IF($C2072="","",Registro_Compras!$S$233)</f>
        <v/>
      </c>
      <c r="G2072" t="str">
        <f>IF($C2072="","","Por el deposito de la detraccion en el Banco de la Nacion")</f>
        <v/>
      </c>
      <c r="H2072" t="str">
        <f>IF($C2072="","",Registro_Compras!$C$233)</f>
        <v/>
      </c>
    </row>
    <row r="2073" spans="1:8" x14ac:dyDescent="0.25">
      <c r="A2073" s="25" t="str">
        <f>IF($C2073="","",Registro_Compras!$Y$233)</f>
        <v/>
      </c>
      <c r="B2073" t="str">
        <f>IF($C2073="","","C"&amp;TEXT(INT((ROW()-5)/9)+1,"000")&amp;"-4")</f>
        <v/>
      </c>
      <c r="C2073" t="str">
        <f>IF(OR(Registro_Compras!$C$233="",Registro_Compras!$O$233="",Registro_Compras!$Y$233="",Registro_Compras!$F$233="NOTA DE CREDITO"),"","4212")</f>
        <v/>
      </c>
      <c r="D2073" t="str">
        <f>IF(OR(Registro_Compras!$C$233="",Registro_Compras!$O$233=""),"","Cuentas por Pagar Comerciales - Terceros")</f>
        <v/>
      </c>
      <c r="E2073" s="20" t="str">
        <f>IF($C2073="","",IF(Registro_Compras!$F$233="RHE",(ROUND(Registro_Compras!$L$233*Registro_Compras!$N$233,2)-ROUND(Registro_Compras!$V$233*Registro_Compras!$N$233,2)),ROUND(Registro_Compras!$O$233-Registro_Compras!$S$233,2)))</f>
        <v/>
      </c>
      <c r="F2073" s="20" t="str">
        <f>""</f>
        <v/>
      </c>
      <c r="G2073" t="str">
        <f>IF($C2073="","","Por la cancelacion del saldo al proveedor")</f>
        <v/>
      </c>
      <c r="H2073" t="str">
        <f>IF($C2073="","",Registro_Compras!$C$233)</f>
        <v/>
      </c>
    </row>
    <row r="2074" spans="1:8" x14ac:dyDescent="0.25">
      <c r="A2074" s="25" t="str">
        <f>IF($C2074="","",Registro_Compras!$Y$233)</f>
        <v/>
      </c>
      <c r="B2074" t="str">
        <f>IF($C2074="","","C"&amp;TEXT(INT((ROW()-5)/9)+1,"000")&amp;"-4")</f>
        <v/>
      </c>
      <c r="C2074" t="str">
        <f>IF(OR(Registro_Compras!$C$233="",Registro_Compras!$O$233="",Registro_Compras!$Y$233="",Registro_Compras!$F$233="NOTA DE CREDITO"),"","1041")</f>
        <v/>
      </c>
      <c r="D2074" t="str">
        <f>IF(OR(Registro_Compras!$C$233="",Registro_Compras!$O$233=""),"","Efectivo y Equivalentes - Cta. Cte. Operativa")</f>
        <v/>
      </c>
      <c r="E2074" s="20" t="str">
        <f>""</f>
        <v/>
      </c>
      <c r="F2074" s="20" t="str">
        <f>IF($C2074="","",IF(Registro_Compras!$F$233="RHE",(ROUND(Registro_Compras!$L$233*Registro_Compras!$N$233,2)-ROUND(Registro_Compras!$V$233*Registro_Compras!$N$233,2)),ROUND(Registro_Compras!$O$233-Registro_Compras!$S$233,2)))</f>
        <v/>
      </c>
      <c r="G2074" t="str">
        <f>IF($C2074="","","Por la cancelacion del saldo al proveedor")</f>
        <v/>
      </c>
      <c r="H2074" t="str">
        <f>IF($C2074="","",Registro_Compras!$C$233)</f>
        <v/>
      </c>
    </row>
    <row r="2075" spans="1:8" x14ac:dyDescent="0.25">
      <c r="A2075" s="25" t="str">
        <f>IF($C2075="","",Registro_Compras!$B$234)</f>
        <v/>
      </c>
      <c r="B2075" t="str">
        <f>IF($C2075="","","C"&amp;TEXT(INT((ROW()-5)/9)+1,"000")&amp;"-1")</f>
        <v/>
      </c>
      <c r="C2075" t="str">
        <f>IF(OR(Registro_Compras!$C$234="",Registro_Compras!$O$234=""),"",IF(Registro_Compras!$F$234="NOTA DE CREDITO","4212",IF(Registro_Compras!$M$234="","63",Registro_Compras!$M$234)))</f>
        <v/>
      </c>
      <c r="D2075" t="str">
        <f>IF(OR(Registro_Compras!$C$234="",Registro_Compras!$O$234=""),"",IF(Registro_Compras!$F$234="NOTA DE CREDITO","Cuentas por Pagar Comerciales - Terceros (Emitidas)",IF(Registro_Compras!$F$234="RHE","Honorarios Profesionales - Servicios de Terceros","Gastos de Servicios Prestados por Terceros")))</f>
        <v/>
      </c>
      <c r="E2075" s="20" t="str">
        <f>IF($C2075="","",IF(Registro_Compras!$F$234="NOTA DE CREDITO",ABS(Registro_Compras!$O$234),IF(Registro_Compras!$F$234="RHE",ROUND(Registro_Compras!$L$234*Registro_Compras!$N$234,2),ROUND(Registro_Compras!$J$234*Registro_Compras!$N$234,2))))</f>
        <v/>
      </c>
      <c r="F2075" s="20" t="str">
        <f>""</f>
        <v/>
      </c>
      <c r="G2075" t="str">
        <f>IF($C2075="","",IF(Registro_Compras!$F$234="NOTA DE CREDITO","Por la nota de credito "&amp;Registro_Compras!$C$234&amp;" de "&amp;Registro_Compras!$E$234&amp;" [PATRON POR CONFIRMAR CON CONTADOR]",IF(Registro_Compras!$F$234="RHE","Por el registro del recibo por honorarios "&amp;Registro_Compras!$C$234&amp;" de "&amp;Registro_Compras!$E$234&amp;" [PATRON POR CONFIRMAR CON CONTADOR]","Por el registro de la factura "&amp;Registro_Compras!$C$234&amp;" de "&amp;Registro_Compras!$E$234)))</f>
        <v/>
      </c>
      <c r="H2075" t="str">
        <f>IF($C2075="","",Registro_Compras!$C$234)</f>
        <v/>
      </c>
    </row>
    <row r="2076" spans="1:8" x14ac:dyDescent="0.25">
      <c r="A2076" s="25" t="str">
        <f>IF($C2076="","",Registro_Compras!$B$234)</f>
        <v/>
      </c>
      <c r="B2076" t="str">
        <f>IF($C2076="","","C"&amp;TEXT(INT((ROW()-5)/9)+1,"000")&amp;"-1")</f>
        <v/>
      </c>
      <c r="C2076" t="str">
        <f>IF(OR(Registro_Compras!$C$234="",Registro_Compras!$O$234=""),"",IF(Registro_Compras!$F$234="RHE",IF(Registro_Compras!$V$234=0,"","4017"),IF(Registro_Compras!$F$234="NOTA DE CREDITO",IF(Registro_Compras!$M$234="","63",Registro_Compras!$M$234),IF(Registro_Compras!$K$234=0,"","40111"))))</f>
        <v/>
      </c>
      <c r="D2076" t="str">
        <f>IF(OR(Registro_Compras!$C$234="",Registro_Compras!$O$234=""),"",IF(Registro_Compras!$F$234="RHE","Retencion Renta 4ta Categoria por Pagar",IF(Registro_Compras!$F$234="NOTA DE CREDITO","Gastos de Servicios Prestados por Terceros","IGV - Cuenta Propia (Credito Fiscal)")))</f>
        <v/>
      </c>
      <c r="E2076" s="20" t="str">
        <f>IF($C2076="","",IF(Registro_Compras!$F$234="FACTURA",ROUND(Registro_Compras!$K$234*Registro_Compras!$N$234,2),""))</f>
        <v/>
      </c>
      <c r="F2076" s="20" t="str">
        <f>IF($C2076="","",IF(Registro_Compras!$F$234="RHE",ROUND(Registro_Compras!$V$234*Registro_Compras!$N$234,2),IF(Registro_Compras!$F$234="NOTA DE CREDITO",ROUND(ABS(Registro_Compras!$J$234*Registro_Compras!$N$234),2),"")))</f>
        <v/>
      </c>
      <c r="G2076" t="str">
        <f>IF($C2076="","",IF(Registro_Compras!$F$234="NOTA DE CREDITO","Por la nota de credito "&amp;Registro_Compras!$C$234&amp;" de "&amp;Registro_Compras!$E$234&amp;" [PATRON POR CONFIRMAR CON CONTADOR]",IF(Registro_Compras!$F$234="RHE","Por el registro del recibo por honorarios "&amp;Registro_Compras!$C$234&amp;" de "&amp;Registro_Compras!$E$234&amp;" [PATRON POR CONFIRMAR CON CONTADOR]","Por el registro de la factura "&amp;Registro_Compras!$C$234&amp;" de "&amp;Registro_Compras!$E$234)))</f>
        <v/>
      </c>
      <c r="H2076" t="str">
        <f>IF($C2076="","",Registro_Compras!$C$234)</f>
        <v/>
      </c>
    </row>
    <row r="2077" spans="1:8" x14ac:dyDescent="0.25">
      <c r="A2077" s="25" t="str">
        <f>IF($C2077="","",Registro_Compras!$B$234)</f>
        <v/>
      </c>
      <c r="B2077" t="str">
        <f>IF($C2077="","","C"&amp;TEXT(INT((ROW()-5)/9)+1,"000")&amp;"-1")</f>
        <v/>
      </c>
      <c r="C2077" t="str">
        <f>IF(OR(Registro_Compras!$C$234="",Registro_Compras!$O$234=""),"",IF(Registro_Compras!$F$234="NOTA DE CREDITO",IF(Registro_Compras!$K$234=0,"","40111"),"4212"))</f>
        <v/>
      </c>
      <c r="D2077" t="str">
        <f>IF(OR(Registro_Compras!$C$234="",Registro_Compras!$O$234=""),"",IF(Registro_Compras!$F$234="NOTA DE CREDITO","IGV - Cuenta Propia (Credito Fiscal)","Cuentas por Pagar Comerciales - Terceros (Emitidas)"))</f>
        <v/>
      </c>
      <c r="E2077" s="20" t="str">
        <f>""</f>
        <v/>
      </c>
      <c r="F2077" s="20" t="str">
        <f>IF($C2077="","",IF(Registro_Compras!$F$234="NOTA DE CREDITO",ROUND(ABS(Registro_Compras!$K$234*Registro_Compras!$N$234),2),IF(Registro_Compras!$F$234="RHE",(ROUND(Registro_Compras!$L$234*Registro_Compras!$N$234,2)-ROUND(Registro_Compras!$V$234*Registro_Compras!$N$234,2)),Registro_Compras!$O$234)))</f>
        <v/>
      </c>
      <c r="G2077" t="str">
        <f>IF($C2077="","",IF(Registro_Compras!$F$234="NOTA DE CREDITO","Por la nota de credito "&amp;Registro_Compras!$C$234&amp;" de "&amp;Registro_Compras!$E$234&amp;" [PATRON POR CONFIRMAR CON CONTADOR]",IF(Registro_Compras!$F$234="RHE","Por el registro del recibo por honorarios "&amp;Registro_Compras!$C$234&amp;" de "&amp;Registro_Compras!$E$234&amp;" [PATRON POR CONFIRMAR CON CONTADOR]","Por el registro de la factura "&amp;Registro_Compras!$C$234&amp;" de "&amp;Registro_Compras!$E$234)))</f>
        <v/>
      </c>
      <c r="H2077" t="str">
        <f>IF($C2077="","",Registro_Compras!$C$234)</f>
        <v/>
      </c>
    </row>
    <row r="2078" spans="1:8" x14ac:dyDescent="0.25">
      <c r="A2078" s="25" t="str">
        <f>IF($C2078="","",Registro_Compras!$B$234)</f>
        <v/>
      </c>
      <c r="B2078" t="str">
        <f>IF($C2078="","","C"&amp;TEXT(INT((ROW()-5)/9)+1,"000")&amp;"-2")</f>
        <v/>
      </c>
      <c r="C2078" t="str">
        <f>IF(OR(Registro_Compras!$C$234="",Registro_Compras!$O$234=""),"",IF(Registro_Compras!$AB$234="ADMINISTRATIVO","94","95"))</f>
        <v/>
      </c>
      <c r="D2078" t="str">
        <f>IF(OR(Registro_Compras!$C$234="",Registro_Compras!$O$234=""),"",IF(Registro_Compras!$AB$234="ADMINISTRATIVO","Gastos Administrativos","Gastos de Venta y Operacion"))</f>
        <v/>
      </c>
      <c r="E2078" s="20" t="str">
        <f>IF($C2078="","",IF(Registro_Compras!$F$234="NOTA DE CREDITO","",IF(Registro_Compras!$F$234="RHE",ROUND(Registro_Compras!$L$234*Registro_Compras!$N$234,2),ROUND(Registro_Compras!$J$234*Registro_Compras!$N$234,2))))</f>
        <v/>
      </c>
      <c r="F2078" s="20" t="str">
        <f>IF($C2078="","",IF(Registro_Compras!$F$234="NOTA DE CREDITO",ROUND(ABS(Registro_Compras!$J$234*Registro_Compras!$N$234),2),""))</f>
        <v/>
      </c>
      <c r="G2078" t="str">
        <f>IF($C2078="","","Por el destino del gasto")</f>
        <v/>
      </c>
      <c r="H2078" t="str">
        <f>IF($C2078="","",Registro_Compras!$C$234)</f>
        <v/>
      </c>
    </row>
    <row r="2079" spans="1:8" x14ac:dyDescent="0.25">
      <c r="A2079" s="25" t="str">
        <f>IF($C2079="","",Registro_Compras!$B$234)</f>
        <v/>
      </c>
      <c r="B2079" t="str">
        <f>IF($C2079="","","C"&amp;TEXT(INT((ROW()-5)/9)+1,"000")&amp;"-2")</f>
        <v/>
      </c>
      <c r="C2079" t="str">
        <f>IF(OR(Registro_Compras!$C$234="",Registro_Compras!$O$234=""),"","79/791")</f>
        <v/>
      </c>
      <c r="D2079" t="str">
        <f>IF(OR(Registro_Compras!$C$234="",Registro_Compras!$O$234=""),"","Cargas Imputables a Cuentas de Costos y Gastos")</f>
        <v/>
      </c>
      <c r="E2079" s="20" t="str">
        <f>IF($C2079="","",IF(Registro_Compras!$F$234="NOTA DE CREDITO",ROUND(ABS(Registro_Compras!$J$234*Registro_Compras!$N$234),2),""))</f>
        <v/>
      </c>
      <c r="F2079" s="20" t="str">
        <f>IF($C2079="","",IF(Registro_Compras!$F$234="NOTA DE CREDITO","",IF(Registro_Compras!$F$234="RHE",ROUND(Registro_Compras!$L$234*Registro_Compras!$N$234,2),ROUND(Registro_Compras!$J$234*Registro_Compras!$N$234,2))))</f>
        <v/>
      </c>
      <c r="G2079" t="str">
        <f>IF($C2079="","","Por el destino del gasto")</f>
        <v/>
      </c>
      <c r="H2079" t="str">
        <f>IF($C2079="","",Registro_Compras!$C$234)</f>
        <v/>
      </c>
    </row>
    <row r="2080" spans="1:8" x14ac:dyDescent="0.25">
      <c r="A2080" s="25" t="str">
        <f>IF($C2080="","",Registro_Compras!$X$234)</f>
        <v/>
      </c>
      <c r="B2080" t="str">
        <f>IF($C2080="","","C"&amp;TEXT(INT((ROW()-5)/9)+1,"000")&amp;"-3")</f>
        <v/>
      </c>
      <c r="C2080" t="str">
        <f>IF(OR(Registro_Compras!$C$234="",Registro_Compras!$O$234="",Registro_Compras!$R$234&lt;&gt;"SI",Registro_Compras!$X$234=""),"","4212")</f>
        <v/>
      </c>
      <c r="D2080" t="str">
        <f>IF(OR(Registro_Compras!$C$234="",Registro_Compras!$O$234=""),"","Cuentas por Pagar Comerciales - Terceros")</f>
        <v/>
      </c>
      <c r="E2080" s="20" t="str">
        <f>IF($C2080="","",Registro_Compras!$S$234)</f>
        <v/>
      </c>
      <c r="F2080" s="20" t="str">
        <f>""</f>
        <v/>
      </c>
      <c r="G2080" t="str">
        <f>IF($C2080="","","Por el deposito de la detraccion en el Banco de la Nacion")</f>
        <v/>
      </c>
      <c r="H2080" t="str">
        <f>IF($C2080="","",Registro_Compras!$C$234)</f>
        <v/>
      </c>
    </row>
    <row r="2081" spans="1:8" x14ac:dyDescent="0.25">
      <c r="A2081" s="25" t="str">
        <f>IF($C2081="","",Registro_Compras!$X$234)</f>
        <v/>
      </c>
      <c r="B2081" t="str">
        <f>IF($C2081="","","C"&amp;TEXT(INT((ROW()-5)/9)+1,"000")&amp;"-3")</f>
        <v/>
      </c>
      <c r="C2081" t="str">
        <f>IF(OR(Registro_Compras!$C$234="",Registro_Compras!$O$234="",Registro_Compras!$R$234&lt;&gt;"SI",Registro_Compras!$X$234=""),"","1041")</f>
        <v/>
      </c>
      <c r="D2081" t="str">
        <f>IF(OR(Registro_Compras!$C$234="",Registro_Compras!$O$234=""),"","Efectivo y Equivalentes - Cta. Cte. Operativa")</f>
        <v/>
      </c>
      <c r="E2081" s="20" t="str">
        <f>""</f>
        <v/>
      </c>
      <c r="F2081" s="20" t="str">
        <f>IF($C2081="","",Registro_Compras!$S$234)</f>
        <v/>
      </c>
      <c r="G2081" t="str">
        <f>IF($C2081="","","Por el deposito de la detraccion en el Banco de la Nacion")</f>
        <v/>
      </c>
      <c r="H2081" t="str">
        <f>IF($C2081="","",Registro_Compras!$C$234)</f>
        <v/>
      </c>
    </row>
    <row r="2082" spans="1:8" x14ac:dyDescent="0.25">
      <c r="A2082" s="25" t="str">
        <f>IF($C2082="","",Registro_Compras!$Y$234)</f>
        <v/>
      </c>
      <c r="B2082" t="str">
        <f>IF($C2082="","","C"&amp;TEXT(INT((ROW()-5)/9)+1,"000")&amp;"-4")</f>
        <v/>
      </c>
      <c r="C2082" t="str">
        <f>IF(OR(Registro_Compras!$C$234="",Registro_Compras!$O$234="",Registro_Compras!$Y$234="",Registro_Compras!$F$234="NOTA DE CREDITO"),"","4212")</f>
        <v/>
      </c>
      <c r="D2082" t="str">
        <f>IF(OR(Registro_Compras!$C$234="",Registro_Compras!$O$234=""),"","Cuentas por Pagar Comerciales - Terceros")</f>
        <v/>
      </c>
      <c r="E2082" s="20" t="str">
        <f>IF($C2082="","",IF(Registro_Compras!$F$234="RHE",(ROUND(Registro_Compras!$L$234*Registro_Compras!$N$234,2)-ROUND(Registro_Compras!$V$234*Registro_Compras!$N$234,2)),ROUND(Registro_Compras!$O$234-Registro_Compras!$S$234,2)))</f>
        <v/>
      </c>
      <c r="F2082" s="20" t="str">
        <f>""</f>
        <v/>
      </c>
      <c r="G2082" t="str">
        <f>IF($C2082="","","Por la cancelacion del saldo al proveedor")</f>
        <v/>
      </c>
      <c r="H2082" t="str">
        <f>IF($C2082="","",Registro_Compras!$C$234)</f>
        <v/>
      </c>
    </row>
    <row r="2083" spans="1:8" x14ac:dyDescent="0.25">
      <c r="A2083" s="25" t="str">
        <f>IF($C2083="","",Registro_Compras!$Y$234)</f>
        <v/>
      </c>
      <c r="B2083" t="str">
        <f>IF($C2083="","","C"&amp;TEXT(INT((ROW()-5)/9)+1,"000")&amp;"-4")</f>
        <v/>
      </c>
      <c r="C2083" t="str">
        <f>IF(OR(Registro_Compras!$C$234="",Registro_Compras!$O$234="",Registro_Compras!$Y$234="",Registro_Compras!$F$234="NOTA DE CREDITO"),"","1041")</f>
        <v/>
      </c>
      <c r="D2083" t="str">
        <f>IF(OR(Registro_Compras!$C$234="",Registro_Compras!$O$234=""),"","Efectivo y Equivalentes - Cta. Cte. Operativa")</f>
        <v/>
      </c>
      <c r="E2083" s="20" t="str">
        <f>""</f>
        <v/>
      </c>
      <c r="F2083" s="20" t="str">
        <f>IF($C2083="","",IF(Registro_Compras!$F$234="RHE",(ROUND(Registro_Compras!$L$234*Registro_Compras!$N$234,2)-ROUND(Registro_Compras!$V$234*Registro_Compras!$N$234,2)),ROUND(Registro_Compras!$O$234-Registro_Compras!$S$234,2)))</f>
        <v/>
      </c>
      <c r="G2083" t="str">
        <f>IF($C2083="","","Por la cancelacion del saldo al proveedor")</f>
        <v/>
      </c>
      <c r="H2083" t="str">
        <f>IF($C2083="","",Registro_Compras!$C$234)</f>
        <v/>
      </c>
    </row>
    <row r="2084" spans="1:8" x14ac:dyDescent="0.25">
      <c r="A2084" s="25" t="str">
        <f>IF($C2084="","",Registro_Compras!$B$235)</f>
        <v/>
      </c>
      <c r="B2084" t="str">
        <f>IF($C2084="","","C"&amp;TEXT(INT((ROW()-5)/9)+1,"000")&amp;"-1")</f>
        <v/>
      </c>
      <c r="C2084" t="str">
        <f>IF(OR(Registro_Compras!$C$235="",Registro_Compras!$O$235=""),"",IF(Registro_Compras!$F$235="NOTA DE CREDITO","4212",IF(Registro_Compras!$M$235="","63",Registro_Compras!$M$235)))</f>
        <v/>
      </c>
      <c r="D2084" t="str">
        <f>IF(OR(Registro_Compras!$C$235="",Registro_Compras!$O$235=""),"",IF(Registro_Compras!$F$235="NOTA DE CREDITO","Cuentas por Pagar Comerciales - Terceros (Emitidas)",IF(Registro_Compras!$F$235="RHE","Honorarios Profesionales - Servicios de Terceros","Gastos de Servicios Prestados por Terceros")))</f>
        <v/>
      </c>
      <c r="E2084" s="20" t="str">
        <f>IF($C2084="","",IF(Registro_Compras!$F$235="NOTA DE CREDITO",ABS(Registro_Compras!$O$235),IF(Registro_Compras!$F$235="RHE",ROUND(Registro_Compras!$L$235*Registro_Compras!$N$235,2),ROUND(Registro_Compras!$J$235*Registro_Compras!$N$235,2))))</f>
        <v/>
      </c>
      <c r="F2084" s="20" t="str">
        <f>""</f>
        <v/>
      </c>
      <c r="G2084" t="str">
        <f>IF($C2084="","",IF(Registro_Compras!$F$235="NOTA DE CREDITO","Por la nota de credito "&amp;Registro_Compras!$C$235&amp;" de "&amp;Registro_Compras!$E$235&amp;" [PATRON POR CONFIRMAR CON CONTADOR]",IF(Registro_Compras!$F$235="RHE","Por el registro del recibo por honorarios "&amp;Registro_Compras!$C$235&amp;" de "&amp;Registro_Compras!$E$235&amp;" [PATRON POR CONFIRMAR CON CONTADOR]","Por el registro de la factura "&amp;Registro_Compras!$C$235&amp;" de "&amp;Registro_Compras!$E$235)))</f>
        <v/>
      </c>
      <c r="H2084" t="str">
        <f>IF($C2084="","",Registro_Compras!$C$235)</f>
        <v/>
      </c>
    </row>
    <row r="2085" spans="1:8" x14ac:dyDescent="0.25">
      <c r="A2085" s="25" t="str">
        <f>IF($C2085="","",Registro_Compras!$B$235)</f>
        <v/>
      </c>
      <c r="B2085" t="str">
        <f>IF($C2085="","","C"&amp;TEXT(INT((ROW()-5)/9)+1,"000")&amp;"-1")</f>
        <v/>
      </c>
      <c r="C2085" t="str">
        <f>IF(OR(Registro_Compras!$C$235="",Registro_Compras!$O$235=""),"",IF(Registro_Compras!$F$235="RHE",IF(Registro_Compras!$V$235=0,"","4017"),IF(Registro_Compras!$F$235="NOTA DE CREDITO",IF(Registro_Compras!$M$235="","63",Registro_Compras!$M$235),IF(Registro_Compras!$K$235=0,"","40111"))))</f>
        <v/>
      </c>
      <c r="D2085" t="str">
        <f>IF(OR(Registro_Compras!$C$235="",Registro_Compras!$O$235=""),"",IF(Registro_Compras!$F$235="RHE","Retencion Renta 4ta Categoria por Pagar",IF(Registro_Compras!$F$235="NOTA DE CREDITO","Gastos de Servicios Prestados por Terceros","IGV - Cuenta Propia (Credito Fiscal)")))</f>
        <v/>
      </c>
      <c r="E2085" s="20" t="str">
        <f>IF($C2085="","",IF(Registro_Compras!$F$235="FACTURA",ROUND(Registro_Compras!$K$235*Registro_Compras!$N$235,2),""))</f>
        <v/>
      </c>
      <c r="F2085" s="20" t="str">
        <f>IF($C2085="","",IF(Registro_Compras!$F$235="RHE",ROUND(Registro_Compras!$V$235*Registro_Compras!$N$235,2),IF(Registro_Compras!$F$235="NOTA DE CREDITO",ROUND(ABS(Registro_Compras!$J$235*Registro_Compras!$N$235),2),"")))</f>
        <v/>
      </c>
      <c r="G2085" t="str">
        <f>IF($C2085="","",IF(Registro_Compras!$F$235="NOTA DE CREDITO","Por la nota de credito "&amp;Registro_Compras!$C$235&amp;" de "&amp;Registro_Compras!$E$235&amp;" [PATRON POR CONFIRMAR CON CONTADOR]",IF(Registro_Compras!$F$235="RHE","Por el registro del recibo por honorarios "&amp;Registro_Compras!$C$235&amp;" de "&amp;Registro_Compras!$E$235&amp;" [PATRON POR CONFIRMAR CON CONTADOR]","Por el registro de la factura "&amp;Registro_Compras!$C$235&amp;" de "&amp;Registro_Compras!$E$235)))</f>
        <v/>
      </c>
      <c r="H2085" t="str">
        <f>IF($C2085="","",Registro_Compras!$C$235)</f>
        <v/>
      </c>
    </row>
    <row r="2086" spans="1:8" x14ac:dyDescent="0.25">
      <c r="A2086" s="25" t="str">
        <f>IF($C2086="","",Registro_Compras!$B$235)</f>
        <v/>
      </c>
      <c r="B2086" t="str">
        <f>IF($C2086="","","C"&amp;TEXT(INT((ROW()-5)/9)+1,"000")&amp;"-1")</f>
        <v/>
      </c>
      <c r="C2086" t="str">
        <f>IF(OR(Registro_Compras!$C$235="",Registro_Compras!$O$235=""),"",IF(Registro_Compras!$F$235="NOTA DE CREDITO",IF(Registro_Compras!$K$235=0,"","40111"),"4212"))</f>
        <v/>
      </c>
      <c r="D2086" t="str">
        <f>IF(OR(Registro_Compras!$C$235="",Registro_Compras!$O$235=""),"",IF(Registro_Compras!$F$235="NOTA DE CREDITO","IGV - Cuenta Propia (Credito Fiscal)","Cuentas por Pagar Comerciales - Terceros (Emitidas)"))</f>
        <v/>
      </c>
      <c r="E2086" s="20" t="str">
        <f>""</f>
        <v/>
      </c>
      <c r="F2086" s="20" t="str">
        <f>IF($C2086="","",IF(Registro_Compras!$F$235="NOTA DE CREDITO",ROUND(ABS(Registro_Compras!$K$235*Registro_Compras!$N$235),2),IF(Registro_Compras!$F$235="RHE",(ROUND(Registro_Compras!$L$235*Registro_Compras!$N$235,2)-ROUND(Registro_Compras!$V$235*Registro_Compras!$N$235,2)),Registro_Compras!$O$235)))</f>
        <v/>
      </c>
      <c r="G2086" t="str">
        <f>IF($C2086="","",IF(Registro_Compras!$F$235="NOTA DE CREDITO","Por la nota de credito "&amp;Registro_Compras!$C$235&amp;" de "&amp;Registro_Compras!$E$235&amp;" [PATRON POR CONFIRMAR CON CONTADOR]",IF(Registro_Compras!$F$235="RHE","Por el registro del recibo por honorarios "&amp;Registro_Compras!$C$235&amp;" de "&amp;Registro_Compras!$E$235&amp;" [PATRON POR CONFIRMAR CON CONTADOR]","Por el registro de la factura "&amp;Registro_Compras!$C$235&amp;" de "&amp;Registro_Compras!$E$235)))</f>
        <v/>
      </c>
      <c r="H2086" t="str">
        <f>IF($C2086="","",Registro_Compras!$C$235)</f>
        <v/>
      </c>
    </row>
    <row r="2087" spans="1:8" x14ac:dyDescent="0.25">
      <c r="A2087" s="25" t="str">
        <f>IF($C2087="","",Registro_Compras!$B$235)</f>
        <v/>
      </c>
      <c r="B2087" t="str">
        <f>IF($C2087="","","C"&amp;TEXT(INT((ROW()-5)/9)+1,"000")&amp;"-2")</f>
        <v/>
      </c>
      <c r="C2087" t="str">
        <f>IF(OR(Registro_Compras!$C$235="",Registro_Compras!$O$235=""),"",IF(Registro_Compras!$AB$235="ADMINISTRATIVO","94","95"))</f>
        <v/>
      </c>
      <c r="D2087" t="str">
        <f>IF(OR(Registro_Compras!$C$235="",Registro_Compras!$O$235=""),"",IF(Registro_Compras!$AB$235="ADMINISTRATIVO","Gastos Administrativos","Gastos de Venta y Operacion"))</f>
        <v/>
      </c>
      <c r="E2087" s="20" t="str">
        <f>IF($C2087="","",IF(Registro_Compras!$F$235="NOTA DE CREDITO","",IF(Registro_Compras!$F$235="RHE",ROUND(Registro_Compras!$L$235*Registro_Compras!$N$235,2),ROUND(Registro_Compras!$J$235*Registro_Compras!$N$235,2))))</f>
        <v/>
      </c>
      <c r="F2087" s="20" t="str">
        <f>IF($C2087="","",IF(Registro_Compras!$F$235="NOTA DE CREDITO",ROUND(ABS(Registro_Compras!$J$235*Registro_Compras!$N$235),2),""))</f>
        <v/>
      </c>
      <c r="G2087" t="str">
        <f>IF($C2087="","","Por el destino del gasto")</f>
        <v/>
      </c>
      <c r="H2087" t="str">
        <f>IF($C2087="","",Registro_Compras!$C$235)</f>
        <v/>
      </c>
    </row>
    <row r="2088" spans="1:8" x14ac:dyDescent="0.25">
      <c r="A2088" s="25" t="str">
        <f>IF($C2088="","",Registro_Compras!$B$235)</f>
        <v/>
      </c>
      <c r="B2088" t="str">
        <f>IF($C2088="","","C"&amp;TEXT(INT((ROW()-5)/9)+1,"000")&amp;"-2")</f>
        <v/>
      </c>
      <c r="C2088" t="str">
        <f>IF(OR(Registro_Compras!$C$235="",Registro_Compras!$O$235=""),"","79/791")</f>
        <v/>
      </c>
      <c r="D2088" t="str">
        <f>IF(OR(Registro_Compras!$C$235="",Registro_Compras!$O$235=""),"","Cargas Imputables a Cuentas de Costos y Gastos")</f>
        <v/>
      </c>
      <c r="E2088" s="20" t="str">
        <f>IF($C2088="","",IF(Registro_Compras!$F$235="NOTA DE CREDITO",ROUND(ABS(Registro_Compras!$J$235*Registro_Compras!$N$235),2),""))</f>
        <v/>
      </c>
      <c r="F2088" s="20" t="str">
        <f>IF($C2088="","",IF(Registro_Compras!$F$235="NOTA DE CREDITO","",IF(Registro_Compras!$F$235="RHE",ROUND(Registro_Compras!$L$235*Registro_Compras!$N$235,2),ROUND(Registro_Compras!$J$235*Registro_Compras!$N$235,2))))</f>
        <v/>
      </c>
      <c r="G2088" t="str">
        <f>IF($C2088="","","Por el destino del gasto")</f>
        <v/>
      </c>
      <c r="H2088" t="str">
        <f>IF($C2088="","",Registro_Compras!$C$235)</f>
        <v/>
      </c>
    </row>
    <row r="2089" spans="1:8" x14ac:dyDescent="0.25">
      <c r="A2089" s="25" t="str">
        <f>IF($C2089="","",Registro_Compras!$X$235)</f>
        <v/>
      </c>
      <c r="B2089" t="str">
        <f>IF($C2089="","","C"&amp;TEXT(INT((ROW()-5)/9)+1,"000")&amp;"-3")</f>
        <v/>
      </c>
      <c r="C2089" t="str">
        <f>IF(OR(Registro_Compras!$C$235="",Registro_Compras!$O$235="",Registro_Compras!$R$235&lt;&gt;"SI",Registro_Compras!$X$235=""),"","4212")</f>
        <v/>
      </c>
      <c r="D2089" t="str">
        <f>IF(OR(Registro_Compras!$C$235="",Registro_Compras!$O$235=""),"","Cuentas por Pagar Comerciales - Terceros")</f>
        <v/>
      </c>
      <c r="E2089" s="20" t="str">
        <f>IF($C2089="","",Registro_Compras!$S$235)</f>
        <v/>
      </c>
      <c r="F2089" s="20" t="str">
        <f>""</f>
        <v/>
      </c>
      <c r="G2089" t="str">
        <f>IF($C2089="","","Por el deposito de la detraccion en el Banco de la Nacion")</f>
        <v/>
      </c>
      <c r="H2089" t="str">
        <f>IF($C2089="","",Registro_Compras!$C$235)</f>
        <v/>
      </c>
    </row>
    <row r="2090" spans="1:8" x14ac:dyDescent="0.25">
      <c r="A2090" s="25" t="str">
        <f>IF($C2090="","",Registro_Compras!$X$235)</f>
        <v/>
      </c>
      <c r="B2090" t="str">
        <f>IF($C2090="","","C"&amp;TEXT(INT((ROW()-5)/9)+1,"000")&amp;"-3")</f>
        <v/>
      </c>
      <c r="C2090" t="str">
        <f>IF(OR(Registro_Compras!$C$235="",Registro_Compras!$O$235="",Registro_Compras!$R$235&lt;&gt;"SI",Registro_Compras!$X$235=""),"","1041")</f>
        <v/>
      </c>
      <c r="D2090" t="str">
        <f>IF(OR(Registro_Compras!$C$235="",Registro_Compras!$O$235=""),"","Efectivo y Equivalentes - Cta. Cte. Operativa")</f>
        <v/>
      </c>
      <c r="E2090" s="20" t="str">
        <f>""</f>
        <v/>
      </c>
      <c r="F2090" s="20" t="str">
        <f>IF($C2090="","",Registro_Compras!$S$235)</f>
        <v/>
      </c>
      <c r="G2090" t="str">
        <f>IF($C2090="","","Por el deposito de la detraccion en el Banco de la Nacion")</f>
        <v/>
      </c>
      <c r="H2090" t="str">
        <f>IF($C2090="","",Registro_Compras!$C$235)</f>
        <v/>
      </c>
    </row>
    <row r="2091" spans="1:8" x14ac:dyDescent="0.25">
      <c r="A2091" s="25" t="str">
        <f>IF($C2091="","",Registro_Compras!$Y$235)</f>
        <v/>
      </c>
      <c r="B2091" t="str">
        <f>IF($C2091="","","C"&amp;TEXT(INT((ROW()-5)/9)+1,"000")&amp;"-4")</f>
        <v/>
      </c>
      <c r="C2091" t="str">
        <f>IF(OR(Registro_Compras!$C$235="",Registro_Compras!$O$235="",Registro_Compras!$Y$235="",Registro_Compras!$F$235="NOTA DE CREDITO"),"","4212")</f>
        <v/>
      </c>
      <c r="D2091" t="str">
        <f>IF(OR(Registro_Compras!$C$235="",Registro_Compras!$O$235=""),"","Cuentas por Pagar Comerciales - Terceros")</f>
        <v/>
      </c>
      <c r="E2091" s="20" t="str">
        <f>IF($C2091="","",IF(Registro_Compras!$F$235="RHE",(ROUND(Registro_Compras!$L$235*Registro_Compras!$N$235,2)-ROUND(Registro_Compras!$V$235*Registro_Compras!$N$235,2)),ROUND(Registro_Compras!$O$235-Registro_Compras!$S$235,2)))</f>
        <v/>
      </c>
      <c r="F2091" s="20" t="str">
        <f>""</f>
        <v/>
      </c>
      <c r="G2091" t="str">
        <f>IF($C2091="","","Por la cancelacion del saldo al proveedor")</f>
        <v/>
      </c>
      <c r="H2091" t="str">
        <f>IF($C2091="","",Registro_Compras!$C$235)</f>
        <v/>
      </c>
    </row>
    <row r="2092" spans="1:8" x14ac:dyDescent="0.25">
      <c r="A2092" s="25" t="str">
        <f>IF($C2092="","",Registro_Compras!$Y$235)</f>
        <v/>
      </c>
      <c r="B2092" t="str">
        <f>IF($C2092="","","C"&amp;TEXT(INT((ROW()-5)/9)+1,"000")&amp;"-4")</f>
        <v/>
      </c>
      <c r="C2092" t="str">
        <f>IF(OR(Registro_Compras!$C$235="",Registro_Compras!$O$235="",Registro_Compras!$Y$235="",Registro_Compras!$F$235="NOTA DE CREDITO"),"","1041")</f>
        <v/>
      </c>
      <c r="D2092" t="str">
        <f>IF(OR(Registro_Compras!$C$235="",Registro_Compras!$O$235=""),"","Efectivo y Equivalentes - Cta. Cte. Operativa")</f>
        <v/>
      </c>
      <c r="E2092" s="20" t="str">
        <f>""</f>
        <v/>
      </c>
      <c r="F2092" s="20" t="str">
        <f>IF($C2092="","",IF(Registro_Compras!$F$235="RHE",(ROUND(Registro_Compras!$L$235*Registro_Compras!$N$235,2)-ROUND(Registro_Compras!$V$235*Registro_Compras!$N$235,2)),ROUND(Registro_Compras!$O$235-Registro_Compras!$S$235,2)))</f>
        <v/>
      </c>
      <c r="G2092" t="str">
        <f>IF($C2092="","","Por la cancelacion del saldo al proveedor")</f>
        <v/>
      </c>
      <c r="H2092" t="str">
        <f>IF($C2092="","",Registro_Compras!$C$235)</f>
        <v/>
      </c>
    </row>
    <row r="2093" spans="1:8" x14ac:dyDescent="0.25">
      <c r="A2093" s="25" t="str">
        <f>IF($C2093="","",Registro_Compras!$B$236)</f>
        <v/>
      </c>
      <c r="B2093" t="str">
        <f>IF($C2093="","","C"&amp;TEXT(INT((ROW()-5)/9)+1,"000")&amp;"-1")</f>
        <v/>
      </c>
      <c r="C2093" t="str">
        <f>IF(OR(Registro_Compras!$C$236="",Registro_Compras!$O$236=""),"",IF(Registro_Compras!$F$236="NOTA DE CREDITO","4212",IF(Registro_Compras!$M$236="","63",Registro_Compras!$M$236)))</f>
        <v/>
      </c>
      <c r="D2093" t="str">
        <f>IF(OR(Registro_Compras!$C$236="",Registro_Compras!$O$236=""),"",IF(Registro_Compras!$F$236="NOTA DE CREDITO","Cuentas por Pagar Comerciales - Terceros (Emitidas)",IF(Registro_Compras!$F$236="RHE","Honorarios Profesionales - Servicios de Terceros","Gastos de Servicios Prestados por Terceros")))</f>
        <v/>
      </c>
      <c r="E2093" s="20" t="str">
        <f>IF($C2093="","",IF(Registro_Compras!$F$236="NOTA DE CREDITO",ABS(Registro_Compras!$O$236),IF(Registro_Compras!$F$236="RHE",ROUND(Registro_Compras!$L$236*Registro_Compras!$N$236,2),ROUND(Registro_Compras!$J$236*Registro_Compras!$N$236,2))))</f>
        <v/>
      </c>
      <c r="F2093" s="20" t="str">
        <f>""</f>
        <v/>
      </c>
      <c r="G2093" t="str">
        <f>IF($C2093="","",IF(Registro_Compras!$F$236="NOTA DE CREDITO","Por la nota de credito "&amp;Registro_Compras!$C$236&amp;" de "&amp;Registro_Compras!$E$236&amp;" [PATRON POR CONFIRMAR CON CONTADOR]",IF(Registro_Compras!$F$236="RHE","Por el registro del recibo por honorarios "&amp;Registro_Compras!$C$236&amp;" de "&amp;Registro_Compras!$E$236&amp;" [PATRON POR CONFIRMAR CON CONTADOR]","Por el registro de la factura "&amp;Registro_Compras!$C$236&amp;" de "&amp;Registro_Compras!$E$236)))</f>
        <v/>
      </c>
      <c r="H2093" t="str">
        <f>IF($C2093="","",Registro_Compras!$C$236)</f>
        <v/>
      </c>
    </row>
    <row r="2094" spans="1:8" x14ac:dyDescent="0.25">
      <c r="A2094" s="25" t="str">
        <f>IF($C2094="","",Registro_Compras!$B$236)</f>
        <v/>
      </c>
      <c r="B2094" t="str">
        <f>IF($C2094="","","C"&amp;TEXT(INT((ROW()-5)/9)+1,"000")&amp;"-1")</f>
        <v/>
      </c>
      <c r="C2094" t="str">
        <f>IF(OR(Registro_Compras!$C$236="",Registro_Compras!$O$236=""),"",IF(Registro_Compras!$F$236="RHE",IF(Registro_Compras!$V$236=0,"","4017"),IF(Registro_Compras!$F$236="NOTA DE CREDITO",IF(Registro_Compras!$M$236="","63",Registro_Compras!$M$236),IF(Registro_Compras!$K$236=0,"","40111"))))</f>
        <v/>
      </c>
      <c r="D2094" t="str">
        <f>IF(OR(Registro_Compras!$C$236="",Registro_Compras!$O$236=""),"",IF(Registro_Compras!$F$236="RHE","Retencion Renta 4ta Categoria por Pagar",IF(Registro_Compras!$F$236="NOTA DE CREDITO","Gastos de Servicios Prestados por Terceros","IGV - Cuenta Propia (Credito Fiscal)")))</f>
        <v/>
      </c>
      <c r="E2094" s="20" t="str">
        <f>IF($C2094="","",IF(Registro_Compras!$F$236="FACTURA",ROUND(Registro_Compras!$K$236*Registro_Compras!$N$236,2),""))</f>
        <v/>
      </c>
      <c r="F2094" s="20" t="str">
        <f>IF($C2094="","",IF(Registro_Compras!$F$236="RHE",ROUND(Registro_Compras!$V$236*Registro_Compras!$N$236,2),IF(Registro_Compras!$F$236="NOTA DE CREDITO",ROUND(ABS(Registro_Compras!$J$236*Registro_Compras!$N$236),2),"")))</f>
        <v/>
      </c>
      <c r="G2094" t="str">
        <f>IF($C2094="","",IF(Registro_Compras!$F$236="NOTA DE CREDITO","Por la nota de credito "&amp;Registro_Compras!$C$236&amp;" de "&amp;Registro_Compras!$E$236&amp;" [PATRON POR CONFIRMAR CON CONTADOR]",IF(Registro_Compras!$F$236="RHE","Por el registro del recibo por honorarios "&amp;Registro_Compras!$C$236&amp;" de "&amp;Registro_Compras!$E$236&amp;" [PATRON POR CONFIRMAR CON CONTADOR]","Por el registro de la factura "&amp;Registro_Compras!$C$236&amp;" de "&amp;Registro_Compras!$E$236)))</f>
        <v/>
      </c>
      <c r="H2094" t="str">
        <f>IF($C2094="","",Registro_Compras!$C$236)</f>
        <v/>
      </c>
    </row>
    <row r="2095" spans="1:8" x14ac:dyDescent="0.25">
      <c r="A2095" s="25" t="str">
        <f>IF($C2095="","",Registro_Compras!$B$236)</f>
        <v/>
      </c>
      <c r="B2095" t="str">
        <f>IF($C2095="","","C"&amp;TEXT(INT((ROW()-5)/9)+1,"000")&amp;"-1")</f>
        <v/>
      </c>
      <c r="C2095" t="str">
        <f>IF(OR(Registro_Compras!$C$236="",Registro_Compras!$O$236=""),"",IF(Registro_Compras!$F$236="NOTA DE CREDITO",IF(Registro_Compras!$K$236=0,"","40111"),"4212"))</f>
        <v/>
      </c>
      <c r="D2095" t="str">
        <f>IF(OR(Registro_Compras!$C$236="",Registro_Compras!$O$236=""),"",IF(Registro_Compras!$F$236="NOTA DE CREDITO","IGV - Cuenta Propia (Credito Fiscal)","Cuentas por Pagar Comerciales - Terceros (Emitidas)"))</f>
        <v/>
      </c>
      <c r="E2095" s="20" t="str">
        <f>""</f>
        <v/>
      </c>
      <c r="F2095" s="20" t="str">
        <f>IF($C2095="","",IF(Registro_Compras!$F$236="NOTA DE CREDITO",ROUND(ABS(Registro_Compras!$K$236*Registro_Compras!$N$236),2),IF(Registro_Compras!$F$236="RHE",(ROUND(Registro_Compras!$L$236*Registro_Compras!$N$236,2)-ROUND(Registro_Compras!$V$236*Registro_Compras!$N$236,2)),Registro_Compras!$O$236)))</f>
        <v/>
      </c>
      <c r="G2095" t="str">
        <f>IF($C2095="","",IF(Registro_Compras!$F$236="NOTA DE CREDITO","Por la nota de credito "&amp;Registro_Compras!$C$236&amp;" de "&amp;Registro_Compras!$E$236&amp;" [PATRON POR CONFIRMAR CON CONTADOR]",IF(Registro_Compras!$F$236="RHE","Por el registro del recibo por honorarios "&amp;Registro_Compras!$C$236&amp;" de "&amp;Registro_Compras!$E$236&amp;" [PATRON POR CONFIRMAR CON CONTADOR]","Por el registro de la factura "&amp;Registro_Compras!$C$236&amp;" de "&amp;Registro_Compras!$E$236)))</f>
        <v/>
      </c>
      <c r="H2095" t="str">
        <f>IF($C2095="","",Registro_Compras!$C$236)</f>
        <v/>
      </c>
    </row>
    <row r="2096" spans="1:8" x14ac:dyDescent="0.25">
      <c r="A2096" s="25" t="str">
        <f>IF($C2096="","",Registro_Compras!$B$236)</f>
        <v/>
      </c>
      <c r="B2096" t="str">
        <f>IF($C2096="","","C"&amp;TEXT(INT((ROW()-5)/9)+1,"000")&amp;"-2")</f>
        <v/>
      </c>
      <c r="C2096" t="str">
        <f>IF(OR(Registro_Compras!$C$236="",Registro_Compras!$O$236=""),"",IF(Registro_Compras!$AB$236="ADMINISTRATIVO","94","95"))</f>
        <v/>
      </c>
      <c r="D2096" t="str">
        <f>IF(OR(Registro_Compras!$C$236="",Registro_Compras!$O$236=""),"",IF(Registro_Compras!$AB$236="ADMINISTRATIVO","Gastos Administrativos","Gastos de Venta y Operacion"))</f>
        <v/>
      </c>
      <c r="E2096" s="20" t="str">
        <f>IF($C2096="","",IF(Registro_Compras!$F$236="NOTA DE CREDITO","",IF(Registro_Compras!$F$236="RHE",ROUND(Registro_Compras!$L$236*Registro_Compras!$N$236,2),ROUND(Registro_Compras!$J$236*Registro_Compras!$N$236,2))))</f>
        <v/>
      </c>
      <c r="F2096" s="20" t="str">
        <f>IF($C2096="","",IF(Registro_Compras!$F$236="NOTA DE CREDITO",ROUND(ABS(Registro_Compras!$J$236*Registro_Compras!$N$236),2),""))</f>
        <v/>
      </c>
      <c r="G2096" t="str">
        <f>IF($C2096="","","Por el destino del gasto")</f>
        <v/>
      </c>
      <c r="H2096" t="str">
        <f>IF($C2096="","",Registro_Compras!$C$236)</f>
        <v/>
      </c>
    </row>
    <row r="2097" spans="1:8" x14ac:dyDescent="0.25">
      <c r="A2097" s="25" t="str">
        <f>IF($C2097="","",Registro_Compras!$B$236)</f>
        <v/>
      </c>
      <c r="B2097" t="str">
        <f>IF($C2097="","","C"&amp;TEXT(INT((ROW()-5)/9)+1,"000")&amp;"-2")</f>
        <v/>
      </c>
      <c r="C2097" t="str">
        <f>IF(OR(Registro_Compras!$C$236="",Registro_Compras!$O$236=""),"","79/791")</f>
        <v/>
      </c>
      <c r="D2097" t="str">
        <f>IF(OR(Registro_Compras!$C$236="",Registro_Compras!$O$236=""),"","Cargas Imputables a Cuentas de Costos y Gastos")</f>
        <v/>
      </c>
      <c r="E2097" s="20" t="str">
        <f>IF($C2097="","",IF(Registro_Compras!$F$236="NOTA DE CREDITO",ROUND(ABS(Registro_Compras!$J$236*Registro_Compras!$N$236),2),""))</f>
        <v/>
      </c>
      <c r="F2097" s="20" t="str">
        <f>IF($C2097="","",IF(Registro_Compras!$F$236="NOTA DE CREDITO","",IF(Registro_Compras!$F$236="RHE",ROUND(Registro_Compras!$L$236*Registro_Compras!$N$236,2),ROUND(Registro_Compras!$J$236*Registro_Compras!$N$236,2))))</f>
        <v/>
      </c>
      <c r="G2097" t="str">
        <f>IF($C2097="","","Por el destino del gasto")</f>
        <v/>
      </c>
      <c r="H2097" t="str">
        <f>IF($C2097="","",Registro_Compras!$C$236)</f>
        <v/>
      </c>
    </row>
    <row r="2098" spans="1:8" x14ac:dyDescent="0.25">
      <c r="A2098" s="25" t="str">
        <f>IF($C2098="","",Registro_Compras!$X$236)</f>
        <v/>
      </c>
      <c r="B2098" t="str">
        <f>IF($C2098="","","C"&amp;TEXT(INT((ROW()-5)/9)+1,"000")&amp;"-3")</f>
        <v/>
      </c>
      <c r="C2098" t="str">
        <f>IF(OR(Registro_Compras!$C$236="",Registro_Compras!$O$236="",Registro_Compras!$R$236&lt;&gt;"SI",Registro_Compras!$X$236=""),"","4212")</f>
        <v/>
      </c>
      <c r="D2098" t="str">
        <f>IF(OR(Registro_Compras!$C$236="",Registro_Compras!$O$236=""),"","Cuentas por Pagar Comerciales - Terceros")</f>
        <v/>
      </c>
      <c r="E2098" s="20" t="str">
        <f>IF($C2098="","",Registro_Compras!$S$236)</f>
        <v/>
      </c>
      <c r="F2098" s="20" t="str">
        <f>""</f>
        <v/>
      </c>
      <c r="G2098" t="str">
        <f>IF($C2098="","","Por el deposito de la detraccion en el Banco de la Nacion")</f>
        <v/>
      </c>
      <c r="H2098" t="str">
        <f>IF($C2098="","",Registro_Compras!$C$236)</f>
        <v/>
      </c>
    </row>
    <row r="2099" spans="1:8" x14ac:dyDescent="0.25">
      <c r="A2099" s="25" t="str">
        <f>IF($C2099="","",Registro_Compras!$X$236)</f>
        <v/>
      </c>
      <c r="B2099" t="str">
        <f>IF($C2099="","","C"&amp;TEXT(INT((ROW()-5)/9)+1,"000")&amp;"-3")</f>
        <v/>
      </c>
      <c r="C2099" t="str">
        <f>IF(OR(Registro_Compras!$C$236="",Registro_Compras!$O$236="",Registro_Compras!$R$236&lt;&gt;"SI",Registro_Compras!$X$236=""),"","1041")</f>
        <v/>
      </c>
      <c r="D2099" t="str">
        <f>IF(OR(Registro_Compras!$C$236="",Registro_Compras!$O$236=""),"","Efectivo y Equivalentes - Cta. Cte. Operativa")</f>
        <v/>
      </c>
      <c r="E2099" s="20" t="str">
        <f>""</f>
        <v/>
      </c>
      <c r="F2099" s="20" t="str">
        <f>IF($C2099="","",Registro_Compras!$S$236)</f>
        <v/>
      </c>
      <c r="G2099" t="str">
        <f>IF($C2099="","","Por el deposito de la detraccion en el Banco de la Nacion")</f>
        <v/>
      </c>
      <c r="H2099" t="str">
        <f>IF($C2099="","",Registro_Compras!$C$236)</f>
        <v/>
      </c>
    </row>
    <row r="2100" spans="1:8" x14ac:dyDescent="0.25">
      <c r="A2100" s="25" t="str">
        <f>IF($C2100="","",Registro_Compras!$Y$236)</f>
        <v/>
      </c>
      <c r="B2100" t="str">
        <f>IF($C2100="","","C"&amp;TEXT(INT((ROW()-5)/9)+1,"000")&amp;"-4")</f>
        <v/>
      </c>
      <c r="C2100" t="str">
        <f>IF(OR(Registro_Compras!$C$236="",Registro_Compras!$O$236="",Registro_Compras!$Y$236="",Registro_Compras!$F$236="NOTA DE CREDITO"),"","4212")</f>
        <v/>
      </c>
      <c r="D2100" t="str">
        <f>IF(OR(Registro_Compras!$C$236="",Registro_Compras!$O$236=""),"","Cuentas por Pagar Comerciales - Terceros")</f>
        <v/>
      </c>
      <c r="E2100" s="20" t="str">
        <f>IF($C2100="","",IF(Registro_Compras!$F$236="RHE",(ROUND(Registro_Compras!$L$236*Registro_Compras!$N$236,2)-ROUND(Registro_Compras!$V$236*Registro_Compras!$N$236,2)),ROUND(Registro_Compras!$O$236-Registro_Compras!$S$236,2)))</f>
        <v/>
      </c>
      <c r="F2100" s="20" t="str">
        <f>""</f>
        <v/>
      </c>
      <c r="G2100" t="str">
        <f>IF($C2100="","","Por la cancelacion del saldo al proveedor")</f>
        <v/>
      </c>
      <c r="H2100" t="str">
        <f>IF($C2100="","",Registro_Compras!$C$236)</f>
        <v/>
      </c>
    </row>
    <row r="2101" spans="1:8" x14ac:dyDescent="0.25">
      <c r="A2101" s="25" t="str">
        <f>IF($C2101="","",Registro_Compras!$Y$236)</f>
        <v/>
      </c>
      <c r="B2101" t="str">
        <f>IF($C2101="","","C"&amp;TEXT(INT((ROW()-5)/9)+1,"000")&amp;"-4")</f>
        <v/>
      </c>
      <c r="C2101" t="str">
        <f>IF(OR(Registro_Compras!$C$236="",Registro_Compras!$O$236="",Registro_Compras!$Y$236="",Registro_Compras!$F$236="NOTA DE CREDITO"),"","1041")</f>
        <v/>
      </c>
      <c r="D2101" t="str">
        <f>IF(OR(Registro_Compras!$C$236="",Registro_Compras!$O$236=""),"","Efectivo y Equivalentes - Cta. Cte. Operativa")</f>
        <v/>
      </c>
      <c r="E2101" s="20" t="str">
        <f>""</f>
        <v/>
      </c>
      <c r="F2101" s="20" t="str">
        <f>IF($C2101="","",IF(Registro_Compras!$F$236="RHE",(ROUND(Registro_Compras!$L$236*Registro_Compras!$N$236,2)-ROUND(Registro_Compras!$V$236*Registro_Compras!$N$236,2)),ROUND(Registro_Compras!$O$236-Registro_Compras!$S$236,2)))</f>
        <v/>
      </c>
      <c r="G2101" t="str">
        <f>IF($C2101="","","Por la cancelacion del saldo al proveedor")</f>
        <v/>
      </c>
      <c r="H2101" t="str">
        <f>IF($C2101="","",Registro_Compras!$C$236)</f>
        <v/>
      </c>
    </row>
    <row r="2102" spans="1:8" x14ac:dyDescent="0.25">
      <c r="A2102" s="25" t="str">
        <f>IF($C2102="","",Registro_Compras!$B$237)</f>
        <v/>
      </c>
      <c r="B2102" t="str">
        <f>IF($C2102="","","C"&amp;TEXT(INT((ROW()-5)/9)+1,"000")&amp;"-1")</f>
        <v/>
      </c>
      <c r="C2102" t="str">
        <f>IF(OR(Registro_Compras!$C$237="",Registro_Compras!$O$237=""),"",IF(Registro_Compras!$F$237="NOTA DE CREDITO","4212",IF(Registro_Compras!$M$237="","63",Registro_Compras!$M$237)))</f>
        <v/>
      </c>
      <c r="D2102" t="str">
        <f>IF(OR(Registro_Compras!$C$237="",Registro_Compras!$O$237=""),"",IF(Registro_Compras!$F$237="NOTA DE CREDITO","Cuentas por Pagar Comerciales - Terceros (Emitidas)",IF(Registro_Compras!$F$237="RHE","Honorarios Profesionales - Servicios de Terceros","Gastos de Servicios Prestados por Terceros")))</f>
        <v/>
      </c>
      <c r="E2102" s="20" t="str">
        <f>IF($C2102="","",IF(Registro_Compras!$F$237="NOTA DE CREDITO",ABS(Registro_Compras!$O$237),IF(Registro_Compras!$F$237="RHE",ROUND(Registro_Compras!$L$237*Registro_Compras!$N$237,2),ROUND(Registro_Compras!$J$237*Registro_Compras!$N$237,2))))</f>
        <v/>
      </c>
      <c r="F2102" s="20" t="str">
        <f>""</f>
        <v/>
      </c>
      <c r="G2102" t="str">
        <f>IF($C2102="","",IF(Registro_Compras!$F$237="NOTA DE CREDITO","Por la nota de credito "&amp;Registro_Compras!$C$237&amp;" de "&amp;Registro_Compras!$E$237&amp;" [PATRON POR CONFIRMAR CON CONTADOR]",IF(Registro_Compras!$F$237="RHE","Por el registro del recibo por honorarios "&amp;Registro_Compras!$C$237&amp;" de "&amp;Registro_Compras!$E$237&amp;" [PATRON POR CONFIRMAR CON CONTADOR]","Por el registro de la factura "&amp;Registro_Compras!$C$237&amp;" de "&amp;Registro_Compras!$E$237)))</f>
        <v/>
      </c>
      <c r="H2102" t="str">
        <f>IF($C2102="","",Registro_Compras!$C$237)</f>
        <v/>
      </c>
    </row>
    <row r="2103" spans="1:8" x14ac:dyDescent="0.25">
      <c r="A2103" s="25" t="str">
        <f>IF($C2103="","",Registro_Compras!$B$237)</f>
        <v/>
      </c>
      <c r="B2103" t="str">
        <f>IF($C2103="","","C"&amp;TEXT(INT((ROW()-5)/9)+1,"000")&amp;"-1")</f>
        <v/>
      </c>
      <c r="C2103" t="str">
        <f>IF(OR(Registro_Compras!$C$237="",Registro_Compras!$O$237=""),"",IF(Registro_Compras!$F$237="RHE",IF(Registro_Compras!$V$237=0,"","4017"),IF(Registro_Compras!$F$237="NOTA DE CREDITO",IF(Registro_Compras!$M$237="","63",Registro_Compras!$M$237),IF(Registro_Compras!$K$237=0,"","40111"))))</f>
        <v/>
      </c>
      <c r="D2103" t="str">
        <f>IF(OR(Registro_Compras!$C$237="",Registro_Compras!$O$237=""),"",IF(Registro_Compras!$F$237="RHE","Retencion Renta 4ta Categoria por Pagar",IF(Registro_Compras!$F$237="NOTA DE CREDITO","Gastos de Servicios Prestados por Terceros","IGV - Cuenta Propia (Credito Fiscal)")))</f>
        <v/>
      </c>
      <c r="E2103" s="20" t="str">
        <f>IF($C2103="","",IF(Registro_Compras!$F$237="FACTURA",ROUND(Registro_Compras!$K$237*Registro_Compras!$N$237,2),""))</f>
        <v/>
      </c>
      <c r="F2103" s="20" t="str">
        <f>IF($C2103="","",IF(Registro_Compras!$F$237="RHE",ROUND(Registro_Compras!$V$237*Registro_Compras!$N$237,2),IF(Registro_Compras!$F$237="NOTA DE CREDITO",ROUND(ABS(Registro_Compras!$J$237*Registro_Compras!$N$237),2),"")))</f>
        <v/>
      </c>
      <c r="G2103" t="str">
        <f>IF($C2103="","",IF(Registro_Compras!$F$237="NOTA DE CREDITO","Por la nota de credito "&amp;Registro_Compras!$C$237&amp;" de "&amp;Registro_Compras!$E$237&amp;" [PATRON POR CONFIRMAR CON CONTADOR]",IF(Registro_Compras!$F$237="RHE","Por el registro del recibo por honorarios "&amp;Registro_Compras!$C$237&amp;" de "&amp;Registro_Compras!$E$237&amp;" [PATRON POR CONFIRMAR CON CONTADOR]","Por el registro de la factura "&amp;Registro_Compras!$C$237&amp;" de "&amp;Registro_Compras!$E$237)))</f>
        <v/>
      </c>
      <c r="H2103" t="str">
        <f>IF($C2103="","",Registro_Compras!$C$237)</f>
        <v/>
      </c>
    </row>
    <row r="2104" spans="1:8" x14ac:dyDescent="0.25">
      <c r="A2104" s="25" t="str">
        <f>IF($C2104="","",Registro_Compras!$B$237)</f>
        <v/>
      </c>
      <c r="B2104" t="str">
        <f>IF($C2104="","","C"&amp;TEXT(INT((ROW()-5)/9)+1,"000")&amp;"-1")</f>
        <v/>
      </c>
      <c r="C2104" t="str">
        <f>IF(OR(Registro_Compras!$C$237="",Registro_Compras!$O$237=""),"",IF(Registro_Compras!$F$237="NOTA DE CREDITO",IF(Registro_Compras!$K$237=0,"","40111"),"4212"))</f>
        <v/>
      </c>
      <c r="D2104" t="str">
        <f>IF(OR(Registro_Compras!$C$237="",Registro_Compras!$O$237=""),"",IF(Registro_Compras!$F$237="NOTA DE CREDITO","IGV - Cuenta Propia (Credito Fiscal)","Cuentas por Pagar Comerciales - Terceros (Emitidas)"))</f>
        <v/>
      </c>
      <c r="E2104" s="20" t="str">
        <f>""</f>
        <v/>
      </c>
      <c r="F2104" s="20" t="str">
        <f>IF($C2104="","",IF(Registro_Compras!$F$237="NOTA DE CREDITO",ROUND(ABS(Registro_Compras!$K$237*Registro_Compras!$N$237),2),IF(Registro_Compras!$F$237="RHE",(ROUND(Registro_Compras!$L$237*Registro_Compras!$N$237,2)-ROUND(Registro_Compras!$V$237*Registro_Compras!$N$237,2)),Registro_Compras!$O$237)))</f>
        <v/>
      </c>
      <c r="G2104" t="str">
        <f>IF($C2104="","",IF(Registro_Compras!$F$237="NOTA DE CREDITO","Por la nota de credito "&amp;Registro_Compras!$C$237&amp;" de "&amp;Registro_Compras!$E$237&amp;" [PATRON POR CONFIRMAR CON CONTADOR]",IF(Registro_Compras!$F$237="RHE","Por el registro del recibo por honorarios "&amp;Registro_Compras!$C$237&amp;" de "&amp;Registro_Compras!$E$237&amp;" [PATRON POR CONFIRMAR CON CONTADOR]","Por el registro de la factura "&amp;Registro_Compras!$C$237&amp;" de "&amp;Registro_Compras!$E$237)))</f>
        <v/>
      </c>
      <c r="H2104" t="str">
        <f>IF($C2104="","",Registro_Compras!$C$237)</f>
        <v/>
      </c>
    </row>
    <row r="2105" spans="1:8" x14ac:dyDescent="0.25">
      <c r="A2105" s="25" t="str">
        <f>IF($C2105="","",Registro_Compras!$B$237)</f>
        <v/>
      </c>
      <c r="B2105" t="str">
        <f>IF($C2105="","","C"&amp;TEXT(INT((ROW()-5)/9)+1,"000")&amp;"-2")</f>
        <v/>
      </c>
      <c r="C2105" t="str">
        <f>IF(OR(Registro_Compras!$C$237="",Registro_Compras!$O$237=""),"",IF(Registro_Compras!$AB$237="ADMINISTRATIVO","94","95"))</f>
        <v/>
      </c>
      <c r="D2105" t="str">
        <f>IF(OR(Registro_Compras!$C$237="",Registro_Compras!$O$237=""),"",IF(Registro_Compras!$AB$237="ADMINISTRATIVO","Gastos Administrativos","Gastos de Venta y Operacion"))</f>
        <v/>
      </c>
      <c r="E2105" s="20" t="str">
        <f>IF($C2105="","",IF(Registro_Compras!$F$237="NOTA DE CREDITO","",IF(Registro_Compras!$F$237="RHE",ROUND(Registro_Compras!$L$237*Registro_Compras!$N$237,2),ROUND(Registro_Compras!$J$237*Registro_Compras!$N$237,2))))</f>
        <v/>
      </c>
      <c r="F2105" s="20" t="str">
        <f>IF($C2105="","",IF(Registro_Compras!$F$237="NOTA DE CREDITO",ROUND(ABS(Registro_Compras!$J$237*Registro_Compras!$N$237),2),""))</f>
        <v/>
      </c>
      <c r="G2105" t="str">
        <f>IF($C2105="","","Por el destino del gasto")</f>
        <v/>
      </c>
      <c r="H2105" t="str">
        <f>IF($C2105="","",Registro_Compras!$C$237)</f>
        <v/>
      </c>
    </row>
    <row r="2106" spans="1:8" x14ac:dyDescent="0.25">
      <c r="A2106" s="25" t="str">
        <f>IF($C2106="","",Registro_Compras!$B$237)</f>
        <v/>
      </c>
      <c r="B2106" t="str">
        <f>IF($C2106="","","C"&amp;TEXT(INT((ROW()-5)/9)+1,"000")&amp;"-2")</f>
        <v/>
      </c>
      <c r="C2106" t="str">
        <f>IF(OR(Registro_Compras!$C$237="",Registro_Compras!$O$237=""),"","79/791")</f>
        <v/>
      </c>
      <c r="D2106" t="str">
        <f>IF(OR(Registro_Compras!$C$237="",Registro_Compras!$O$237=""),"","Cargas Imputables a Cuentas de Costos y Gastos")</f>
        <v/>
      </c>
      <c r="E2106" s="20" t="str">
        <f>IF($C2106="","",IF(Registro_Compras!$F$237="NOTA DE CREDITO",ROUND(ABS(Registro_Compras!$J$237*Registro_Compras!$N$237),2),""))</f>
        <v/>
      </c>
      <c r="F2106" s="20" t="str">
        <f>IF($C2106="","",IF(Registro_Compras!$F$237="NOTA DE CREDITO","",IF(Registro_Compras!$F$237="RHE",ROUND(Registro_Compras!$L$237*Registro_Compras!$N$237,2),ROUND(Registro_Compras!$J$237*Registro_Compras!$N$237,2))))</f>
        <v/>
      </c>
      <c r="G2106" t="str">
        <f>IF($C2106="","","Por el destino del gasto")</f>
        <v/>
      </c>
      <c r="H2106" t="str">
        <f>IF($C2106="","",Registro_Compras!$C$237)</f>
        <v/>
      </c>
    </row>
    <row r="2107" spans="1:8" x14ac:dyDescent="0.25">
      <c r="A2107" s="25" t="str">
        <f>IF($C2107="","",Registro_Compras!$X$237)</f>
        <v/>
      </c>
      <c r="B2107" t="str">
        <f>IF($C2107="","","C"&amp;TEXT(INT((ROW()-5)/9)+1,"000")&amp;"-3")</f>
        <v/>
      </c>
      <c r="C2107" t="str">
        <f>IF(OR(Registro_Compras!$C$237="",Registro_Compras!$O$237="",Registro_Compras!$R$237&lt;&gt;"SI",Registro_Compras!$X$237=""),"","4212")</f>
        <v/>
      </c>
      <c r="D2107" t="str">
        <f>IF(OR(Registro_Compras!$C$237="",Registro_Compras!$O$237=""),"","Cuentas por Pagar Comerciales - Terceros")</f>
        <v/>
      </c>
      <c r="E2107" s="20" t="str">
        <f>IF($C2107="","",Registro_Compras!$S$237)</f>
        <v/>
      </c>
      <c r="F2107" s="20" t="str">
        <f>""</f>
        <v/>
      </c>
      <c r="G2107" t="str">
        <f>IF($C2107="","","Por el deposito de la detraccion en el Banco de la Nacion")</f>
        <v/>
      </c>
      <c r="H2107" t="str">
        <f>IF($C2107="","",Registro_Compras!$C$237)</f>
        <v/>
      </c>
    </row>
    <row r="2108" spans="1:8" x14ac:dyDescent="0.25">
      <c r="A2108" s="25" t="str">
        <f>IF($C2108="","",Registro_Compras!$X$237)</f>
        <v/>
      </c>
      <c r="B2108" t="str">
        <f>IF($C2108="","","C"&amp;TEXT(INT((ROW()-5)/9)+1,"000")&amp;"-3")</f>
        <v/>
      </c>
      <c r="C2108" t="str">
        <f>IF(OR(Registro_Compras!$C$237="",Registro_Compras!$O$237="",Registro_Compras!$R$237&lt;&gt;"SI",Registro_Compras!$X$237=""),"","1041")</f>
        <v/>
      </c>
      <c r="D2108" t="str">
        <f>IF(OR(Registro_Compras!$C$237="",Registro_Compras!$O$237=""),"","Efectivo y Equivalentes - Cta. Cte. Operativa")</f>
        <v/>
      </c>
      <c r="E2108" s="20" t="str">
        <f>""</f>
        <v/>
      </c>
      <c r="F2108" s="20" t="str">
        <f>IF($C2108="","",Registro_Compras!$S$237)</f>
        <v/>
      </c>
      <c r="G2108" t="str">
        <f>IF($C2108="","","Por el deposito de la detraccion en el Banco de la Nacion")</f>
        <v/>
      </c>
      <c r="H2108" t="str">
        <f>IF($C2108="","",Registro_Compras!$C$237)</f>
        <v/>
      </c>
    </row>
    <row r="2109" spans="1:8" x14ac:dyDescent="0.25">
      <c r="A2109" s="25" t="str">
        <f>IF($C2109="","",Registro_Compras!$Y$237)</f>
        <v/>
      </c>
      <c r="B2109" t="str">
        <f>IF($C2109="","","C"&amp;TEXT(INT((ROW()-5)/9)+1,"000")&amp;"-4")</f>
        <v/>
      </c>
      <c r="C2109" t="str">
        <f>IF(OR(Registro_Compras!$C$237="",Registro_Compras!$O$237="",Registro_Compras!$Y$237="",Registro_Compras!$F$237="NOTA DE CREDITO"),"","4212")</f>
        <v/>
      </c>
      <c r="D2109" t="str">
        <f>IF(OR(Registro_Compras!$C$237="",Registro_Compras!$O$237=""),"","Cuentas por Pagar Comerciales - Terceros")</f>
        <v/>
      </c>
      <c r="E2109" s="20" t="str">
        <f>IF($C2109="","",IF(Registro_Compras!$F$237="RHE",(ROUND(Registro_Compras!$L$237*Registro_Compras!$N$237,2)-ROUND(Registro_Compras!$V$237*Registro_Compras!$N$237,2)),ROUND(Registro_Compras!$O$237-Registro_Compras!$S$237,2)))</f>
        <v/>
      </c>
      <c r="F2109" s="20" t="str">
        <f>""</f>
        <v/>
      </c>
      <c r="G2109" t="str">
        <f>IF($C2109="","","Por la cancelacion del saldo al proveedor")</f>
        <v/>
      </c>
      <c r="H2109" t="str">
        <f>IF($C2109="","",Registro_Compras!$C$237)</f>
        <v/>
      </c>
    </row>
    <row r="2110" spans="1:8" x14ac:dyDescent="0.25">
      <c r="A2110" s="25" t="str">
        <f>IF($C2110="","",Registro_Compras!$Y$237)</f>
        <v/>
      </c>
      <c r="B2110" t="str">
        <f>IF($C2110="","","C"&amp;TEXT(INT((ROW()-5)/9)+1,"000")&amp;"-4")</f>
        <v/>
      </c>
      <c r="C2110" t="str">
        <f>IF(OR(Registro_Compras!$C$237="",Registro_Compras!$O$237="",Registro_Compras!$Y$237="",Registro_Compras!$F$237="NOTA DE CREDITO"),"","1041")</f>
        <v/>
      </c>
      <c r="D2110" t="str">
        <f>IF(OR(Registro_Compras!$C$237="",Registro_Compras!$O$237=""),"","Efectivo y Equivalentes - Cta. Cte. Operativa")</f>
        <v/>
      </c>
      <c r="E2110" s="20" t="str">
        <f>""</f>
        <v/>
      </c>
      <c r="F2110" s="20" t="str">
        <f>IF($C2110="","",IF(Registro_Compras!$F$237="RHE",(ROUND(Registro_Compras!$L$237*Registro_Compras!$N$237,2)-ROUND(Registro_Compras!$V$237*Registro_Compras!$N$237,2)),ROUND(Registro_Compras!$O$237-Registro_Compras!$S$237,2)))</f>
        <v/>
      </c>
      <c r="G2110" t="str">
        <f>IF($C2110="","","Por la cancelacion del saldo al proveedor")</f>
        <v/>
      </c>
      <c r="H2110" t="str">
        <f>IF($C2110="","",Registro_Compras!$C$237)</f>
        <v/>
      </c>
    </row>
    <row r="2111" spans="1:8" x14ac:dyDescent="0.25">
      <c r="A2111" s="25" t="str">
        <f>IF($C2111="","",Registro_Compras!$B$238)</f>
        <v/>
      </c>
      <c r="B2111" t="str">
        <f>IF($C2111="","","C"&amp;TEXT(INT((ROW()-5)/9)+1,"000")&amp;"-1")</f>
        <v/>
      </c>
      <c r="C2111" t="str">
        <f>IF(OR(Registro_Compras!$C$238="",Registro_Compras!$O$238=""),"",IF(Registro_Compras!$F$238="NOTA DE CREDITO","4212",IF(Registro_Compras!$M$238="","63",Registro_Compras!$M$238)))</f>
        <v/>
      </c>
      <c r="D2111" t="str">
        <f>IF(OR(Registro_Compras!$C$238="",Registro_Compras!$O$238=""),"",IF(Registro_Compras!$F$238="NOTA DE CREDITO","Cuentas por Pagar Comerciales - Terceros (Emitidas)",IF(Registro_Compras!$F$238="RHE","Honorarios Profesionales - Servicios de Terceros","Gastos de Servicios Prestados por Terceros")))</f>
        <v/>
      </c>
      <c r="E2111" s="20" t="str">
        <f>IF($C2111="","",IF(Registro_Compras!$F$238="NOTA DE CREDITO",ABS(Registro_Compras!$O$238),IF(Registro_Compras!$F$238="RHE",ROUND(Registro_Compras!$L$238*Registro_Compras!$N$238,2),ROUND(Registro_Compras!$J$238*Registro_Compras!$N$238,2))))</f>
        <v/>
      </c>
      <c r="F2111" s="20" t="str">
        <f>""</f>
        <v/>
      </c>
      <c r="G2111" t="str">
        <f>IF($C2111="","",IF(Registro_Compras!$F$238="NOTA DE CREDITO","Por la nota de credito "&amp;Registro_Compras!$C$238&amp;" de "&amp;Registro_Compras!$E$238&amp;" [PATRON POR CONFIRMAR CON CONTADOR]",IF(Registro_Compras!$F$238="RHE","Por el registro del recibo por honorarios "&amp;Registro_Compras!$C$238&amp;" de "&amp;Registro_Compras!$E$238&amp;" [PATRON POR CONFIRMAR CON CONTADOR]","Por el registro de la factura "&amp;Registro_Compras!$C$238&amp;" de "&amp;Registro_Compras!$E$238)))</f>
        <v/>
      </c>
      <c r="H2111" t="str">
        <f>IF($C2111="","",Registro_Compras!$C$238)</f>
        <v/>
      </c>
    </row>
    <row r="2112" spans="1:8" x14ac:dyDescent="0.25">
      <c r="A2112" s="25" t="str">
        <f>IF($C2112="","",Registro_Compras!$B$238)</f>
        <v/>
      </c>
      <c r="B2112" t="str">
        <f>IF($C2112="","","C"&amp;TEXT(INT((ROW()-5)/9)+1,"000")&amp;"-1")</f>
        <v/>
      </c>
      <c r="C2112" t="str">
        <f>IF(OR(Registro_Compras!$C$238="",Registro_Compras!$O$238=""),"",IF(Registro_Compras!$F$238="RHE",IF(Registro_Compras!$V$238=0,"","4017"),IF(Registro_Compras!$F$238="NOTA DE CREDITO",IF(Registro_Compras!$M$238="","63",Registro_Compras!$M$238),IF(Registro_Compras!$K$238=0,"","40111"))))</f>
        <v/>
      </c>
      <c r="D2112" t="str">
        <f>IF(OR(Registro_Compras!$C$238="",Registro_Compras!$O$238=""),"",IF(Registro_Compras!$F$238="RHE","Retencion Renta 4ta Categoria por Pagar",IF(Registro_Compras!$F$238="NOTA DE CREDITO","Gastos de Servicios Prestados por Terceros","IGV - Cuenta Propia (Credito Fiscal)")))</f>
        <v/>
      </c>
      <c r="E2112" s="20" t="str">
        <f>IF($C2112="","",IF(Registro_Compras!$F$238="FACTURA",ROUND(Registro_Compras!$K$238*Registro_Compras!$N$238,2),""))</f>
        <v/>
      </c>
      <c r="F2112" s="20" t="str">
        <f>IF($C2112="","",IF(Registro_Compras!$F$238="RHE",ROUND(Registro_Compras!$V$238*Registro_Compras!$N$238,2),IF(Registro_Compras!$F$238="NOTA DE CREDITO",ROUND(ABS(Registro_Compras!$J$238*Registro_Compras!$N$238),2),"")))</f>
        <v/>
      </c>
      <c r="G2112" t="str">
        <f>IF($C2112="","",IF(Registro_Compras!$F$238="NOTA DE CREDITO","Por la nota de credito "&amp;Registro_Compras!$C$238&amp;" de "&amp;Registro_Compras!$E$238&amp;" [PATRON POR CONFIRMAR CON CONTADOR]",IF(Registro_Compras!$F$238="RHE","Por el registro del recibo por honorarios "&amp;Registro_Compras!$C$238&amp;" de "&amp;Registro_Compras!$E$238&amp;" [PATRON POR CONFIRMAR CON CONTADOR]","Por el registro de la factura "&amp;Registro_Compras!$C$238&amp;" de "&amp;Registro_Compras!$E$238)))</f>
        <v/>
      </c>
      <c r="H2112" t="str">
        <f>IF($C2112="","",Registro_Compras!$C$238)</f>
        <v/>
      </c>
    </row>
    <row r="2113" spans="1:8" x14ac:dyDescent="0.25">
      <c r="A2113" s="25" t="str">
        <f>IF($C2113="","",Registro_Compras!$B$238)</f>
        <v/>
      </c>
      <c r="B2113" t="str">
        <f>IF($C2113="","","C"&amp;TEXT(INT((ROW()-5)/9)+1,"000")&amp;"-1")</f>
        <v/>
      </c>
      <c r="C2113" t="str">
        <f>IF(OR(Registro_Compras!$C$238="",Registro_Compras!$O$238=""),"",IF(Registro_Compras!$F$238="NOTA DE CREDITO",IF(Registro_Compras!$K$238=0,"","40111"),"4212"))</f>
        <v/>
      </c>
      <c r="D2113" t="str">
        <f>IF(OR(Registro_Compras!$C$238="",Registro_Compras!$O$238=""),"",IF(Registro_Compras!$F$238="NOTA DE CREDITO","IGV - Cuenta Propia (Credito Fiscal)","Cuentas por Pagar Comerciales - Terceros (Emitidas)"))</f>
        <v/>
      </c>
      <c r="E2113" s="20" t="str">
        <f>""</f>
        <v/>
      </c>
      <c r="F2113" s="20" t="str">
        <f>IF($C2113="","",IF(Registro_Compras!$F$238="NOTA DE CREDITO",ROUND(ABS(Registro_Compras!$K$238*Registro_Compras!$N$238),2),IF(Registro_Compras!$F$238="RHE",(ROUND(Registro_Compras!$L$238*Registro_Compras!$N$238,2)-ROUND(Registro_Compras!$V$238*Registro_Compras!$N$238,2)),Registro_Compras!$O$238)))</f>
        <v/>
      </c>
      <c r="G2113" t="str">
        <f>IF($C2113="","",IF(Registro_Compras!$F$238="NOTA DE CREDITO","Por la nota de credito "&amp;Registro_Compras!$C$238&amp;" de "&amp;Registro_Compras!$E$238&amp;" [PATRON POR CONFIRMAR CON CONTADOR]",IF(Registro_Compras!$F$238="RHE","Por el registro del recibo por honorarios "&amp;Registro_Compras!$C$238&amp;" de "&amp;Registro_Compras!$E$238&amp;" [PATRON POR CONFIRMAR CON CONTADOR]","Por el registro de la factura "&amp;Registro_Compras!$C$238&amp;" de "&amp;Registro_Compras!$E$238)))</f>
        <v/>
      </c>
      <c r="H2113" t="str">
        <f>IF($C2113="","",Registro_Compras!$C$238)</f>
        <v/>
      </c>
    </row>
    <row r="2114" spans="1:8" x14ac:dyDescent="0.25">
      <c r="A2114" s="25" t="str">
        <f>IF($C2114="","",Registro_Compras!$B$238)</f>
        <v/>
      </c>
      <c r="B2114" t="str">
        <f>IF($C2114="","","C"&amp;TEXT(INT((ROW()-5)/9)+1,"000")&amp;"-2")</f>
        <v/>
      </c>
      <c r="C2114" t="str">
        <f>IF(OR(Registro_Compras!$C$238="",Registro_Compras!$O$238=""),"",IF(Registro_Compras!$AB$238="ADMINISTRATIVO","94","95"))</f>
        <v/>
      </c>
      <c r="D2114" t="str">
        <f>IF(OR(Registro_Compras!$C$238="",Registro_Compras!$O$238=""),"",IF(Registro_Compras!$AB$238="ADMINISTRATIVO","Gastos Administrativos","Gastos de Venta y Operacion"))</f>
        <v/>
      </c>
      <c r="E2114" s="20" t="str">
        <f>IF($C2114="","",IF(Registro_Compras!$F$238="NOTA DE CREDITO","",IF(Registro_Compras!$F$238="RHE",ROUND(Registro_Compras!$L$238*Registro_Compras!$N$238,2),ROUND(Registro_Compras!$J$238*Registro_Compras!$N$238,2))))</f>
        <v/>
      </c>
      <c r="F2114" s="20" t="str">
        <f>IF($C2114="","",IF(Registro_Compras!$F$238="NOTA DE CREDITO",ROUND(ABS(Registro_Compras!$J$238*Registro_Compras!$N$238),2),""))</f>
        <v/>
      </c>
      <c r="G2114" t="str">
        <f>IF($C2114="","","Por el destino del gasto")</f>
        <v/>
      </c>
      <c r="H2114" t="str">
        <f>IF($C2114="","",Registro_Compras!$C$238)</f>
        <v/>
      </c>
    </row>
    <row r="2115" spans="1:8" x14ac:dyDescent="0.25">
      <c r="A2115" s="25" t="str">
        <f>IF($C2115="","",Registro_Compras!$B$238)</f>
        <v/>
      </c>
      <c r="B2115" t="str">
        <f>IF($C2115="","","C"&amp;TEXT(INT((ROW()-5)/9)+1,"000")&amp;"-2")</f>
        <v/>
      </c>
      <c r="C2115" t="str">
        <f>IF(OR(Registro_Compras!$C$238="",Registro_Compras!$O$238=""),"","79/791")</f>
        <v/>
      </c>
      <c r="D2115" t="str">
        <f>IF(OR(Registro_Compras!$C$238="",Registro_Compras!$O$238=""),"","Cargas Imputables a Cuentas de Costos y Gastos")</f>
        <v/>
      </c>
      <c r="E2115" s="20" t="str">
        <f>IF($C2115="","",IF(Registro_Compras!$F$238="NOTA DE CREDITO",ROUND(ABS(Registro_Compras!$J$238*Registro_Compras!$N$238),2),""))</f>
        <v/>
      </c>
      <c r="F2115" s="20" t="str">
        <f>IF($C2115="","",IF(Registro_Compras!$F$238="NOTA DE CREDITO","",IF(Registro_Compras!$F$238="RHE",ROUND(Registro_Compras!$L$238*Registro_Compras!$N$238,2),ROUND(Registro_Compras!$J$238*Registro_Compras!$N$238,2))))</f>
        <v/>
      </c>
      <c r="G2115" t="str">
        <f>IF($C2115="","","Por el destino del gasto")</f>
        <v/>
      </c>
      <c r="H2115" t="str">
        <f>IF($C2115="","",Registro_Compras!$C$238)</f>
        <v/>
      </c>
    </row>
    <row r="2116" spans="1:8" x14ac:dyDescent="0.25">
      <c r="A2116" s="25" t="str">
        <f>IF($C2116="","",Registro_Compras!$X$238)</f>
        <v/>
      </c>
      <c r="B2116" t="str">
        <f>IF($C2116="","","C"&amp;TEXT(INT((ROW()-5)/9)+1,"000")&amp;"-3")</f>
        <v/>
      </c>
      <c r="C2116" t="str">
        <f>IF(OR(Registro_Compras!$C$238="",Registro_Compras!$O$238="",Registro_Compras!$R$238&lt;&gt;"SI",Registro_Compras!$X$238=""),"","4212")</f>
        <v/>
      </c>
      <c r="D2116" t="str">
        <f>IF(OR(Registro_Compras!$C$238="",Registro_Compras!$O$238=""),"","Cuentas por Pagar Comerciales - Terceros")</f>
        <v/>
      </c>
      <c r="E2116" s="20" t="str">
        <f>IF($C2116="","",Registro_Compras!$S$238)</f>
        <v/>
      </c>
      <c r="F2116" s="20" t="str">
        <f>""</f>
        <v/>
      </c>
      <c r="G2116" t="str">
        <f>IF($C2116="","","Por el deposito de la detraccion en el Banco de la Nacion")</f>
        <v/>
      </c>
      <c r="H2116" t="str">
        <f>IF($C2116="","",Registro_Compras!$C$238)</f>
        <v/>
      </c>
    </row>
    <row r="2117" spans="1:8" x14ac:dyDescent="0.25">
      <c r="A2117" s="25" t="str">
        <f>IF($C2117="","",Registro_Compras!$X$238)</f>
        <v/>
      </c>
      <c r="B2117" t="str">
        <f>IF($C2117="","","C"&amp;TEXT(INT((ROW()-5)/9)+1,"000")&amp;"-3")</f>
        <v/>
      </c>
      <c r="C2117" t="str">
        <f>IF(OR(Registro_Compras!$C$238="",Registro_Compras!$O$238="",Registro_Compras!$R$238&lt;&gt;"SI",Registro_Compras!$X$238=""),"","1041")</f>
        <v/>
      </c>
      <c r="D2117" t="str">
        <f>IF(OR(Registro_Compras!$C$238="",Registro_Compras!$O$238=""),"","Efectivo y Equivalentes - Cta. Cte. Operativa")</f>
        <v/>
      </c>
      <c r="E2117" s="20" t="str">
        <f>""</f>
        <v/>
      </c>
      <c r="F2117" s="20" t="str">
        <f>IF($C2117="","",Registro_Compras!$S$238)</f>
        <v/>
      </c>
      <c r="G2117" t="str">
        <f>IF($C2117="","","Por el deposito de la detraccion en el Banco de la Nacion")</f>
        <v/>
      </c>
      <c r="H2117" t="str">
        <f>IF($C2117="","",Registro_Compras!$C$238)</f>
        <v/>
      </c>
    </row>
    <row r="2118" spans="1:8" x14ac:dyDescent="0.25">
      <c r="A2118" s="25" t="str">
        <f>IF($C2118="","",Registro_Compras!$Y$238)</f>
        <v/>
      </c>
      <c r="B2118" t="str">
        <f>IF($C2118="","","C"&amp;TEXT(INT((ROW()-5)/9)+1,"000")&amp;"-4")</f>
        <v/>
      </c>
      <c r="C2118" t="str">
        <f>IF(OR(Registro_Compras!$C$238="",Registro_Compras!$O$238="",Registro_Compras!$Y$238="",Registro_Compras!$F$238="NOTA DE CREDITO"),"","4212")</f>
        <v/>
      </c>
      <c r="D2118" t="str">
        <f>IF(OR(Registro_Compras!$C$238="",Registro_Compras!$O$238=""),"","Cuentas por Pagar Comerciales - Terceros")</f>
        <v/>
      </c>
      <c r="E2118" s="20" t="str">
        <f>IF($C2118="","",IF(Registro_Compras!$F$238="RHE",(ROUND(Registro_Compras!$L$238*Registro_Compras!$N$238,2)-ROUND(Registro_Compras!$V$238*Registro_Compras!$N$238,2)),ROUND(Registro_Compras!$O$238-Registro_Compras!$S$238,2)))</f>
        <v/>
      </c>
      <c r="F2118" s="20" t="str">
        <f>""</f>
        <v/>
      </c>
      <c r="G2118" t="str">
        <f>IF($C2118="","","Por la cancelacion del saldo al proveedor")</f>
        <v/>
      </c>
      <c r="H2118" t="str">
        <f>IF($C2118="","",Registro_Compras!$C$238)</f>
        <v/>
      </c>
    </row>
    <row r="2119" spans="1:8" x14ac:dyDescent="0.25">
      <c r="A2119" s="25" t="str">
        <f>IF($C2119="","",Registro_Compras!$Y$238)</f>
        <v/>
      </c>
      <c r="B2119" t="str">
        <f>IF($C2119="","","C"&amp;TEXT(INT((ROW()-5)/9)+1,"000")&amp;"-4")</f>
        <v/>
      </c>
      <c r="C2119" t="str">
        <f>IF(OR(Registro_Compras!$C$238="",Registro_Compras!$O$238="",Registro_Compras!$Y$238="",Registro_Compras!$F$238="NOTA DE CREDITO"),"","1041")</f>
        <v/>
      </c>
      <c r="D2119" t="str">
        <f>IF(OR(Registro_Compras!$C$238="",Registro_Compras!$O$238=""),"","Efectivo y Equivalentes - Cta. Cte. Operativa")</f>
        <v/>
      </c>
      <c r="E2119" s="20" t="str">
        <f>""</f>
        <v/>
      </c>
      <c r="F2119" s="20" t="str">
        <f>IF($C2119="","",IF(Registro_Compras!$F$238="RHE",(ROUND(Registro_Compras!$L$238*Registro_Compras!$N$238,2)-ROUND(Registro_Compras!$V$238*Registro_Compras!$N$238,2)),ROUND(Registro_Compras!$O$238-Registro_Compras!$S$238,2)))</f>
        <v/>
      </c>
      <c r="G2119" t="str">
        <f>IF($C2119="","","Por la cancelacion del saldo al proveedor")</f>
        <v/>
      </c>
      <c r="H2119" t="str">
        <f>IF($C2119="","",Registro_Compras!$C$238)</f>
        <v/>
      </c>
    </row>
    <row r="2120" spans="1:8" x14ac:dyDescent="0.25">
      <c r="A2120" s="25" t="str">
        <f>IF($C2120="","",Registro_Compras!$B$239)</f>
        <v/>
      </c>
      <c r="B2120" t="str">
        <f>IF($C2120="","","C"&amp;TEXT(INT((ROW()-5)/9)+1,"000")&amp;"-1")</f>
        <v/>
      </c>
      <c r="C2120" t="str">
        <f>IF(OR(Registro_Compras!$C$239="",Registro_Compras!$O$239=""),"",IF(Registro_Compras!$F$239="NOTA DE CREDITO","4212",IF(Registro_Compras!$M$239="","63",Registro_Compras!$M$239)))</f>
        <v/>
      </c>
      <c r="D2120" t="str">
        <f>IF(OR(Registro_Compras!$C$239="",Registro_Compras!$O$239=""),"",IF(Registro_Compras!$F$239="NOTA DE CREDITO","Cuentas por Pagar Comerciales - Terceros (Emitidas)",IF(Registro_Compras!$F$239="RHE","Honorarios Profesionales - Servicios de Terceros","Gastos de Servicios Prestados por Terceros")))</f>
        <v/>
      </c>
      <c r="E2120" s="20" t="str">
        <f>IF($C2120="","",IF(Registro_Compras!$F$239="NOTA DE CREDITO",ABS(Registro_Compras!$O$239),IF(Registro_Compras!$F$239="RHE",ROUND(Registro_Compras!$L$239*Registro_Compras!$N$239,2),ROUND(Registro_Compras!$J$239*Registro_Compras!$N$239,2))))</f>
        <v/>
      </c>
      <c r="F2120" s="20" t="str">
        <f>""</f>
        <v/>
      </c>
      <c r="G2120" t="str">
        <f>IF($C2120="","",IF(Registro_Compras!$F$239="NOTA DE CREDITO","Por la nota de credito "&amp;Registro_Compras!$C$239&amp;" de "&amp;Registro_Compras!$E$239&amp;" [PATRON POR CONFIRMAR CON CONTADOR]",IF(Registro_Compras!$F$239="RHE","Por el registro del recibo por honorarios "&amp;Registro_Compras!$C$239&amp;" de "&amp;Registro_Compras!$E$239&amp;" [PATRON POR CONFIRMAR CON CONTADOR]","Por el registro de la factura "&amp;Registro_Compras!$C$239&amp;" de "&amp;Registro_Compras!$E$239)))</f>
        <v/>
      </c>
      <c r="H2120" t="str">
        <f>IF($C2120="","",Registro_Compras!$C$239)</f>
        <v/>
      </c>
    </row>
    <row r="2121" spans="1:8" x14ac:dyDescent="0.25">
      <c r="A2121" s="25" t="str">
        <f>IF($C2121="","",Registro_Compras!$B$239)</f>
        <v/>
      </c>
      <c r="B2121" t="str">
        <f>IF($C2121="","","C"&amp;TEXT(INT((ROW()-5)/9)+1,"000")&amp;"-1")</f>
        <v/>
      </c>
      <c r="C2121" t="str">
        <f>IF(OR(Registro_Compras!$C$239="",Registro_Compras!$O$239=""),"",IF(Registro_Compras!$F$239="RHE",IF(Registro_Compras!$V$239=0,"","4017"),IF(Registro_Compras!$F$239="NOTA DE CREDITO",IF(Registro_Compras!$M$239="","63",Registro_Compras!$M$239),IF(Registro_Compras!$K$239=0,"","40111"))))</f>
        <v/>
      </c>
      <c r="D2121" t="str">
        <f>IF(OR(Registro_Compras!$C$239="",Registro_Compras!$O$239=""),"",IF(Registro_Compras!$F$239="RHE","Retencion Renta 4ta Categoria por Pagar",IF(Registro_Compras!$F$239="NOTA DE CREDITO","Gastos de Servicios Prestados por Terceros","IGV - Cuenta Propia (Credito Fiscal)")))</f>
        <v/>
      </c>
      <c r="E2121" s="20" t="str">
        <f>IF($C2121="","",IF(Registro_Compras!$F$239="FACTURA",ROUND(Registro_Compras!$K$239*Registro_Compras!$N$239,2),""))</f>
        <v/>
      </c>
      <c r="F2121" s="20" t="str">
        <f>IF($C2121="","",IF(Registro_Compras!$F$239="RHE",ROUND(Registro_Compras!$V$239*Registro_Compras!$N$239,2),IF(Registro_Compras!$F$239="NOTA DE CREDITO",ROUND(ABS(Registro_Compras!$J$239*Registro_Compras!$N$239),2),"")))</f>
        <v/>
      </c>
      <c r="G2121" t="str">
        <f>IF($C2121="","",IF(Registro_Compras!$F$239="NOTA DE CREDITO","Por la nota de credito "&amp;Registro_Compras!$C$239&amp;" de "&amp;Registro_Compras!$E$239&amp;" [PATRON POR CONFIRMAR CON CONTADOR]",IF(Registro_Compras!$F$239="RHE","Por el registro del recibo por honorarios "&amp;Registro_Compras!$C$239&amp;" de "&amp;Registro_Compras!$E$239&amp;" [PATRON POR CONFIRMAR CON CONTADOR]","Por el registro de la factura "&amp;Registro_Compras!$C$239&amp;" de "&amp;Registro_Compras!$E$239)))</f>
        <v/>
      </c>
      <c r="H2121" t="str">
        <f>IF($C2121="","",Registro_Compras!$C$239)</f>
        <v/>
      </c>
    </row>
    <row r="2122" spans="1:8" x14ac:dyDescent="0.25">
      <c r="A2122" s="25" t="str">
        <f>IF($C2122="","",Registro_Compras!$B$239)</f>
        <v/>
      </c>
      <c r="B2122" t="str">
        <f>IF($C2122="","","C"&amp;TEXT(INT((ROW()-5)/9)+1,"000")&amp;"-1")</f>
        <v/>
      </c>
      <c r="C2122" t="str">
        <f>IF(OR(Registro_Compras!$C$239="",Registro_Compras!$O$239=""),"",IF(Registro_Compras!$F$239="NOTA DE CREDITO",IF(Registro_Compras!$K$239=0,"","40111"),"4212"))</f>
        <v/>
      </c>
      <c r="D2122" t="str">
        <f>IF(OR(Registro_Compras!$C$239="",Registro_Compras!$O$239=""),"",IF(Registro_Compras!$F$239="NOTA DE CREDITO","IGV - Cuenta Propia (Credito Fiscal)","Cuentas por Pagar Comerciales - Terceros (Emitidas)"))</f>
        <v/>
      </c>
      <c r="E2122" s="20" t="str">
        <f>""</f>
        <v/>
      </c>
      <c r="F2122" s="20" t="str">
        <f>IF($C2122="","",IF(Registro_Compras!$F$239="NOTA DE CREDITO",ROUND(ABS(Registro_Compras!$K$239*Registro_Compras!$N$239),2),IF(Registro_Compras!$F$239="RHE",(ROUND(Registro_Compras!$L$239*Registro_Compras!$N$239,2)-ROUND(Registro_Compras!$V$239*Registro_Compras!$N$239,2)),Registro_Compras!$O$239)))</f>
        <v/>
      </c>
      <c r="G2122" t="str">
        <f>IF($C2122="","",IF(Registro_Compras!$F$239="NOTA DE CREDITO","Por la nota de credito "&amp;Registro_Compras!$C$239&amp;" de "&amp;Registro_Compras!$E$239&amp;" [PATRON POR CONFIRMAR CON CONTADOR]",IF(Registro_Compras!$F$239="RHE","Por el registro del recibo por honorarios "&amp;Registro_Compras!$C$239&amp;" de "&amp;Registro_Compras!$E$239&amp;" [PATRON POR CONFIRMAR CON CONTADOR]","Por el registro de la factura "&amp;Registro_Compras!$C$239&amp;" de "&amp;Registro_Compras!$E$239)))</f>
        <v/>
      </c>
      <c r="H2122" t="str">
        <f>IF($C2122="","",Registro_Compras!$C$239)</f>
        <v/>
      </c>
    </row>
    <row r="2123" spans="1:8" x14ac:dyDescent="0.25">
      <c r="A2123" s="25" t="str">
        <f>IF($C2123="","",Registro_Compras!$B$239)</f>
        <v/>
      </c>
      <c r="B2123" t="str">
        <f>IF($C2123="","","C"&amp;TEXT(INT((ROW()-5)/9)+1,"000")&amp;"-2")</f>
        <v/>
      </c>
      <c r="C2123" t="str">
        <f>IF(OR(Registro_Compras!$C$239="",Registro_Compras!$O$239=""),"",IF(Registro_Compras!$AB$239="ADMINISTRATIVO","94","95"))</f>
        <v/>
      </c>
      <c r="D2123" t="str">
        <f>IF(OR(Registro_Compras!$C$239="",Registro_Compras!$O$239=""),"",IF(Registro_Compras!$AB$239="ADMINISTRATIVO","Gastos Administrativos","Gastos de Venta y Operacion"))</f>
        <v/>
      </c>
      <c r="E2123" s="20" t="str">
        <f>IF($C2123="","",IF(Registro_Compras!$F$239="NOTA DE CREDITO","",IF(Registro_Compras!$F$239="RHE",ROUND(Registro_Compras!$L$239*Registro_Compras!$N$239,2),ROUND(Registro_Compras!$J$239*Registro_Compras!$N$239,2))))</f>
        <v/>
      </c>
      <c r="F2123" s="20" t="str">
        <f>IF($C2123="","",IF(Registro_Compras!$F$239="NOTA DE CREDITO",ROUND(ABS(Registro_Compras!$J$239*Registro_Compras!$N$239),2),""))</f>
        <v/>
      </c>
      <c r="G2123" t="str">
        <f>IF($C2123="","","Por el destino del gasto")</f>
        <v/>
      </c>
      <c r="H2123" t="str">
        <f>IF($C2123="","",Registro_Compras!$C$239)</f>
        <v/>
      </c>
    </row>
    <row r="2124" spans="1:8" x14ac:dyDescent="0.25">
      <c r="A2124" s="25" t="str">
        <f>IF($C2124="","",Registro_Compras!$B$239)</f>
        <v/>
      </c>
      <c r="B2124" t="str">
        <f>IF($C2124="","","C"&amp;TEXT(INT((ROW()-5)/9)+1,"000")&amp;"-2")</f>
        <v/>
      </c>
      <c r="C2124" t="str">
        <f>IF(OR(Registro_Compras!$C$239="",Registro_Compras!$O$239=""),"","79/791")</f>
        <v/>
      </c>
      <c r="D2124" t="str">
        <f>IF(OR(Registro_Compras!$C$239="",Registro_Compras!$O$239=""),"","Cargas Imputables a Cuentas de Costos y Gastos")</f>
        <v/>
      </c>
      <c r="E2124" s="20" t="str">
        <f>IF($C2124="","",IF(Registro_Compras!$F$239="NOTA DE CREDITO",ROUND(ABS(Registro_Compras!$J$239*Registro_Compras!$N$239),2),""))</f>
        <v/>
      </c>
      <c r="F2124" s="20" t="str">
        <f>IF($C2124="","",IF(Registro_Compras!$F$239="NOTA DE CREDITO","",IF(Registro_Compras!$F$239="RHE",ROUND(Registro_Compras!$L$239*Registro_Compras!$N$239,2),ROUND(Registro_Compras!$J$239*Registro_Compras!$N$239,2))))</f>
        <v/>
      </c>
      <c r="G2124" t="str">
        <f>IF($C2124="","","Por el destino del gasto")</f>
        <v/>
      </c>
      <c r="H2124" t="str">
        <f>IF($C2124="","",Registro_Compras!$C$239)</f>
        <v/>
      </c>
    </row>
    <row r="2125" spans="1:8" x14ac:dyDescent="0.25">
      <c r="A2125" s="25" t="str">
        <f>IF($C2125="","",Registro_Compras!$X$239)</f>
        <v/>
      </c>
      <c r="B2125" t="str">
        <f>IF($C2125="","","C"&amp;TEXT(INT((ROW()-5)/9)+1,"000")&amp;"-3")</f>
        <v/>
      </c>
      <c r="C2125" t="str">
        <f>IF(OR(Registro_Compras!$C$239="",Registro_Compras!$O$239="",Registro_Compras!$R$239&lt;&gt;"SI",Registro_Compras!$X$239=""),"","4212")</f>
        <v/>
      </c>
      <c r="D2125" t="str">
        <f>IF(OR(Registro_Compras!$C$239="",Registro_Compras!$O$239=""),"","Cuentas por Pagar Comerciales - Terceros")</f>
        <v/>
      </c>
      <c r="E2125" s="20" t="str">
        <f>IF($C2125="","",Registro_Compras!$S$239)</f>
        <v/>
      </c>
      <c r="F2125" s="20" t="str">
        <f>""</f>
        <v/>
      </c>
      <c r="G2125" t="str">
        <f>IF($C2125="","","Por el deposito de la detraccion en el Banco de la Nacion")</f>
        <v/>
      </c>
      <c r="H2125" t="str">
        <f>IF($C2125="","",Registro_Compras!$C$239)</f>
        <v/>
      </c>
    </row>
    <row r="2126" spans="1:8" x14ac:dyDescent="0.25">
      <c r="A2126" s="25" t="str">
        <f>IF($C2126="","",Registro_Compras!$X$239)</f>
        <v/>
      </c>
      <c r="B2126" t="str">
        <f>IF($C2126="","","C"&amp;TEXT(INT((ROW()-5)/9)+1,"000")&amp;"-3")</f>
        <v/>
      </c>
      <c r="C2126" t="str">
        <f>IF(OR(Registro_Compras!$C$239="",Registro_Compras!$O$239="",Registro_Compras!$R$239&lt;&gt;"SI",Registro_Compras!$X$239=""),"","1041")</f>
        <v/>
      </c>
      <c r="D2126" t="str">
        <f>IF(OR(Registro_Compras!$C$239="",Registro_Compras!$O$239=""),"","Efectivo y Equivalentes - Cta. Cte. Operativa")</f>
        <v/>
      </c>
      <c r="E2126" s="20" t="str">
        <f>""</f>
        <v/>
      </c>
      <c r="F2126" s="20" t="str">
        <f>IF($C2126="","",Registro_Compras!$S$239)</f>
        <v/>
      </c>
      <c r="G2126" t="str">
        <f>IF($C2126="","","Por el deposito de la detraccion en el Banco de la Nacion")</f>
        <v/>
      </c>
      <c r="H2126" t="str">
        <f>IF($C2126="","",Registro_Compras!$C$239)</f>
        <v/>
      </c>
    </row>
    <row r="2127" spans="1:8" x14ac:dyDescent="0.25">
      <c r="A2127" s="25" t="str">
        <f>IF($C2127="","",Registro_Compras!$Y$239)</f>
        <v/>
      </c>
      <c r="B2127" t="str">
        <f>IF($C2127="","","C"&amp;TEXT(INT((ROW()-5)/9)+1,"000")&amp;"-4")</f>
        <v/>
      </c>
      <c r="C2127" t="str">
        <f>IF(OR(Registro_Compras!$C$239="",Registro_Compras!$O$239="",Registro_Compras!$Y$239="",Registro_Compras!$F$239="NOTA DE CREDITO"),"","4212")</f>
        <v/>
      </c>
      <c r="D2127" t="str">
        <f>IF(OR(Registro_Compras!$C$239="",Registro_Compras!$O$239=""),"","Cuentas por Pagar Comerciales - Terceros")</f>
        <v/>
      </c>
      <c r="E2127" s="20" t="str">
        <f>IF($C2127="","",IF(Registro_Compras!$F$239="RHE",(ROUND(Registro_Compras!$L$239*Registro_Compras!$N$239,2)-ROUND(Registro_Compras!$V$239*Registro_Compras!$N$239,2)),ROUND(Registro_Compras!$O$239-Registro_Compras!$S$239,2)))</f>
        <v/>
      </c>
      <c r="F2127" s="20" t="str">
        <f>""</f>
        <v/>
      </c>
      <c r="G2127" t="str">
        <f>IF($C2127="","","Por la cancelacion del saldo al proveedor")</f>
        <v/>
      </c>
      <c r="H2127" t="str">
        <f>IF($C2127="","",Registro_Compras!$C$239)</f>
        <v/>
      </c>
    </row>
    <row r="2128" spans="1:8" x14ac:dyDescent="0.25">
      <c r="A2128" s="25" t="str">
        <f>IF($C2128="","",Registro_Compras!$Y$239)</f>
        <v/>
      </c>
      <c r="B2128" t="str">
        <f>IF($C2128="","","C"&amp;TEXT(INT((ROW()-5)/9)+1,"000")&amp;"-4")</f>
        <v/>
      </c>
      <c r="C2128" t="str">
        <f>IF(OR(Registro_Compras!$C$239="",Registro_Compras!$O$239="",Registro_Compras!$Y$239="",Registro_Compras!$F$239="NOTA DE CREDITO"),"","1041")</f>
        <v/>
      </c>
      <c r="D2128" t="str">
        <f>IF(OR(Registro_Compras!$C$239="",Registro_Compras!$O$239=""),"","Efectivo y Equivalentes - Cta. Cte. Operativa")</f>
        <v/>
      </c>
      <c r="E2128" s="20" t="str">
        <f>""</f>
        <v/>
      </c>
      <c r="F2128" s="20" t="str">
        <f>IF($C2128="","",IF(Registro_Compras!$F$239="RHE",(ROUND(Registro_Compras!$L$239*Registro_Compras!$N$239,2)-ROUND(Registro_Compras!$V$239*Registro_Compras!$N$239,2)),ROUND(Registro_Compras!$O$239-Registro_Compras!$S$239,2)))</f>
        <v/>
      </c>
      <c r="G2128" t="str">
        <f>IF($C2128="","","Por la cancelacion del saldo al proveedor")</f>
        <v/>
      </c>
      <c r="H2128" t="str">
        <f>IF($C2128="","",Registro_Compras!$C$239)</f>
        <v/>
      </c>
    </row>
    <row r="2129" spans="1:8" x14ac:dyDescent="0.25">
      <c r="A2129" s="25" t="str">
        <f>IF($C2129="","",Registro_Compras!$B$240)</f>
        <v/>
      </c>
      <c r="B2129" t="str">
        <f>IF($C2129="","","C"&amp;TEXT(INT((ROW()-5)/9)+1,"000")&amp;"-1")</f>
        <v/>
      </c>
      <c r="C2129" t="str">
        <f>IF(OR(Registro_Compras!$C$240="",Registro_Compras!$O$240=""),"",IF(Registro_Compras!$F$240="NOTA DE CREDITO","4212",IF(Registro_Compras!$M$240="","63",Registro_Compras!$M$240)))</f>
        <v/>
      </c>
      <c r="D2129" t="str">
        <f>IF(OR(Registro_Compras!$C$240="",Registro_Compras!$O$240=""),"",IF(Registro_Compras!$F$240="NOTA DE CREDITO","Cuentas por Pagar Comerciales - Terceros (Emitidas)",IF(Registro_Compras!$F$240="RHE","Honorarios Profesionales - Servicios de Terceros","Gastos de Servicios Prestados por Terceros")))</f>
        <v/>
      </c>
      <c r="E2129" s="20" t="str">
        <f>IF($C2129="","",IF(Registro_Compras!$F$240="NOTA DE CREDITO",ABS(Registro_Compras!$O$240),IF(Registro_Compras!$F$240="RHE",ROUND(Registro_Compras!$L$240*Registro_Compras!$N$240,2),ROUND(Registro_Compras!$J$240*Registro_Compras!$N$240,2))))</f>
        <v/>
      </c>
      <c r="F2129" s="20" t="str">
        <f>""</f>
        <v/>
      </c>
      <c r="G2129" t="str">
        <f>IF($C2129="","",IF(Registro_Compras!$F$240="NOTA DE CREDITO","Por la nota de credito "&amp;Registro_Compras!$C$240&amp;" de "&amp;Registro_Compras!$E$240&amp;" [PATRON POR CONFIRMAR CON CONTADOR]",IF(Registro_Compras!$F$240="RHE","Por el registro del recibo por honorarios "&amp;Registro_Compras!$C$240&amp;" de "&amp;Registro_Compras!$E$240&amp;" [PATRON POR CONFIRMAR CON CONTADOR]","Por el registro de la factura "&amp;Registro_Compras!$C$240&amp;" de "&amp;Registro_Compras!$E$240)))</f>
        <v/>
      </c>
      <c r="H2129" t="str">
        <f>IF($C2129="","",Registro_Compras!$C$240)</f>
        <v/>
      </c>
    </row>
    <row r="2130" spans="1:8" x14ac:dyDescent="0.25">
      <c r="A2130" s="25" t="str">
        <f>IF($C2130="","",Registro_Compras!$B$240)</f>
        <v/>
      </c>
      <c r="B2130" t="str">
        <f>IF($C2130="","","C"&amp;TEXT(INT((ROW()-5)/9)+1,"000")&amp;"-1")</f>
        <v/>
      </c>
      <c r="C2130" t="str">
        <f>IF(OR(Registro_Compras!$C$240="",Registro_Compras!$O$240=""),"",IF(Registro_Compras!$F$240="RHE",IF(Registro_Compras!$V$240=0,"","4017"),IF(Registro_Compras!$F$240="NOTA DE CREDITO",IF(Registro_Compras!$M$240="","63",Registro_Compras!$M$240),IF(Registro_Compras!$K$240=0,"","40111"))))</f>
        <v/>
      </c>
      <c r="D2130" t="str">
        <f>IF(OR(Registro_Compras!$C$240="",Registro_Compras!$O$240=""),"",IF(Registro_Compras!$F$240="RHE","Retencion Renta 4ta Categoria por Pagar",IF(Registro_Compras!$F$240="NOTA DE CREDITO","Gastos de Servicios Prestados por Terceros","IGV - Cuenta Propia (Credito Fiscal)")))</f>
        <v/>
      </c>
      <c r="E2130" s="20" t="str">
        <f>IF($C2130="","",IF(Registro_Compras!$F$240="FACTURA",ROUND(Registro_Compras!$K$240*Registro_Compras!$N$240,2),""))</f>
        <v/>
      </c>
      <c r="F2130" s="20" t="str">
        <f>IF($C2130="","",IF(Registro_Compras!$F$240="RHE",ROUND(Registro_Compras!$V$240*Registro_Compras!$N$240,2),IF(Registro_Compras!$F$240="NOTA DE CREDITO",ROUND(ABS(Registro_Compras!$J$240*Registro_Compras!$N$240),2),"")))</f>
        <v/>
      </c>
      <c r="G2130" t="str">
        <f>IF($C2130="","",IF(Registro_Compras!$F$240="NOTA DE CREDITO","Por la nota de credito "&amp;Registro_Compras!$C$240&amp;" de "&amp;Registro_Compras!$E$240&amp;" [PATRON POR CONFIRMAR CON CONTADOR]",IF(Registro_Compras!$F$240="RHE","Por el registro del recibo por honorarios "&amp;Registro_Compras!$C$240&amp;" de "&amp;Registro_Compras!$E$240&amp;" [PATRON POR CONFIRMAR CON CONTADOR]","Por el registro de la factura "&amp;Registro_Compras!$C$240&amp;" de "&amp;Registro_Compras!$E$240)))</f>
        <v/>
      </c>
      <c r="H2130" t="str">
        <f>IF($C2130="","",Registro_Compras!$C$240)</f>
        <v/>
      </c>
    </row>
    <row r="2131" spans="1:8" x14ac:dyDescent="0.25">
      <c r="A2131" s="25" t="str">
        <f>IF($C2131="","",Registro_Compras!$B$240)</f>
        <v/>
      </c>
      <c r="B2131" t="str">
        <f>IF($C2131="","","C"&amp;TEXT(INT((ROW()-5)/9)+1,"000")&amp;"-1")</f>
        <v/>
      </c>
      <c r="C2131" t="str">
        <f>IF(OR(Registro_Compras!$C$240="",Registro_Compras!$O$240=""),"",IF(Registro_Compras!$F$240="NOTA DE CREDITO",IF(Registro_Compras!$K$240=0,"","40111"),"4212"))</f>
        <v/>
      </c>
      <c r="D2131" t="str">
        <f>IF(OR(Registro_Compras!$C$240="",Registro_Compras!$O$240=""),"",IF(Registro_Compras!$F$240="NOTA DE CREDITO","IGV - Cuenta Propia (Credito Fiscal)","Cuentas por Pagar Comerciales - Terceros (Emitidas)"))</f>
        <v/>
      </c>
      <c r="E2131" s="20" t="str">
        <f>""</f>
        <v/>
      </c>
      <c r="F2131" s="20" t="str">
        <f>IF($C2131="","",IF(Registro_Compras!$F$240="NOTA DE CREDITO",ROUND(ABS(Registro_Compras!$K$240*Registro_Compras!$N$240),2),IF(Registro_Compras!$F$240="RHE",(ROUND(Registro_Compras!$L$240*Registro_Compras!$N$240,2)-ROUND(Registro_Compras!$V$240*Registro_Compras!$N$240,2)),Registro_Compras!$O$240)))</f>
        <v/>
      </c>
      <c r="G2131" t="str">
        <f>IF($C2131="","",IF(Registro_Compras!$F$240="NOTA DE CREDITO","Por la nota de credito "&amp;Registro_Compras!$C$240&amp;" de "&amp;Registro_Compras!$E$240&amp;" [PATRON POR CONFIRMAR CON CONTADOR]",IF(Registro_Compras!$F$240="RHE","Por el registro del recibo por honorarios "&amp;Registro_Compras!$C$240&amp;" de "&amp;Registro_Compras!$E$240&amp;" [PATRON POR CONFIRMAR CON CONTADOR]","Por el registro de la factura "&amp;Registro_Compras!$C$240&amp;" de "&amp;Registro_Compras!$E$240)))</f>
        <v/>
      </c>
      <c r="H2131" t="str">
        <f>IF($C2131="","",Registro_Compras!$C$240)</f>
        <v/>
      </c>
    </row>
    <row r="2132" spans="1:8" x14ac:dyDescent="0.25">
      <c r="A2132" s="25" t="str">
        <f>IF($C2132="","",Registro_Compras!$B$240)</f>
        <v/>
      </c>
      <c r="B2132" t="str">
        <f>IF($C2132="","","C"&amp;TEXT(INT((ROW()-5)/9)+1,"000")&amp;"-2")</f>
        <v/>
      </c>
      <c r="C2132" t="str">
        <f>IF(OR(Registro_Compras!$C$240="",Registro_Compras!$O$240=""),"",IF(Registro_Compras!$AB$240="ADMINISTRATIVO","94","95"))</f>
        <v/>
      </c>
      <c r="D2132" t="str">
        <f>IF(OR(Registro_Compras!$C$240="",Registro_Compras!$O$240=""),"",IF(Registro_Compras!$AB$240="ADMINISTRATIVO","Gastos Administrativos","Gastos de Venta y Operacion"))</f>
        <v/>
      </c>
      <c r="E2132" s="20" t="str">
        <f>IF($C2132="","",IF(Registro_Compras!$F$240="NOTA DE CREDITO","",IF(Registro_Compras!$F$240="RHE",ROUND(Registro_Compras!$L$240*Registro_Compras!$N$240,2),ROUND(Registro_Compras!$J$240*Registro_Compras!$N$240,2))))</f>
        <v/>
      </c>
      <c r="F2132" s="20" t="str">
        <f>IF($C2132="","",IF(Registro_Compras!$F$240="NOTA DE CREDITO",ROUND(ABS(Registro_Compras!$J$240*Registro_Compras!$N$240),2),""))</f>
        <v/>
      </c>
      <c r="G2132" t="str">
        <f>IF($C2132="","","Por el destino del gasto")</f>
        <v/>
      </c>
      <c r="H2132" t="str">
        <f>IF($C2132="","",Registro_Compras!$C$240)</f>
        <v/>
      </c>
    </row>
    <row r="2133" spans="1:8" x14ac:dyDescent="0.25">
      <c r="A2133" s="25" t="str">
        <f>IF($C2133="","",Registro_Compras!$B$240)</f>
        <v/>
      </c>
      <c r="B2133" t="str">
        <f>IF($C2133="","","C"&amp;TEXT(INT((ROW()-5)/9)+1,"000")&amp;"-2")</f>
        <v/>
      </c>
      <c r="C2133" t="str">
        <f>IF(OR(Registro_Compras!$C$240="",Registro_Compras!$O$240=""),"","79/791")</f>
        <v/>
      </c>
      <c r="D2133" t="str">
        <f>IF(OR(Registro_Compras!$C$240="",Registro_Compras!$O$240=""),"","Cargas Imputables a Cuentas de Costos y Gastos")</f>
        <v/>
      </c>
      <c r="E2133" s="20" t="str">
        <f>IF($C2133="","",IF(Registro_Compras!$F$240="NOTA DE CREDITO",ROUND(ABS(Registro_Compras!$J$240*Registro_Compras!$N$240),2),""))</f>
        <v/>
      </c>
      <c r="F2133" s="20" t="str">
        <f>IF($C2133="","",IF(Registro_Compras!$F$240="NOTA DE CREDITO","",IF(Registro_Compras!$F$240="RHE",ROUND(Registro_Compras!$L$240*Registro_Compras!$N$240,2),ROUND(Registro_Compras!$J$240*Registro_Compras!$N$240,2))))</f>
        <v/>
      </c>
      <c r="G2133" t="str">
        <f>IF($C2133="","","Por el destino del gasto")</f>
        <v/>
      </c>
      <c r="H2133" t="str">
        <f>IF($C2133="","",Registro_Compras!$C$240)</f>
        <v/>
      </c>
    </row>
    <row r="2134" spans="1:8" x14ac:dyDescent="0.25">
      <c r="A2134" s="25" t="str">
        <f>IF($C2134="","",Registro_Compras!$X$240)</f>
        <v/>
      </c>
      <c r="B2134" t="str">
        <f>IF($C2134="","","C"&amp;TEXT(INT((ROW()-5)/9)+1,"000")&amp;"-3")</f>
        <v/>
      </c>
      <c r="C2134" t="str">
        <f>IF(OR(Registro_Compras!$C$240="",Registro_Compras!$O$240="",Registro_Compras!$R$240&lt;&gt;"SI",Registro_Compras!$X$240=""),"","4212")</f>
        <v/>
      </c>
      <c r="D2134" t="str">
        <f>IF(OR(Registro_Compras!$C$240="",Registro_Compras!$O$240=""),"","Cuentas por Pagar Comerciales - Terceros")</f>
        <v/>
      </c>
      <c r="E2134" s="20" t="str">
        <f>IF($C2134="","",Registro_Compras!$S$240)</f>
        <v/>
      </c>
      <c r="F2134" s="20" t="str">
        <f>""</f>
        <v/>
      </c>
      <c r="G2134" t="str">
        <f>IF($C2134="","","Por el deposito de la detraccion en el Banco de la Nacion")</f>
        <v/>
      </c>
      <c r="H2134" t="str">
        <f>IF($C2134="","",Registro_Compras!$C$240)</f>
        <v/>
      </c>
    </row>
    <row r="2135" spans="1:8" x14ac:dyDescent="0.25">
      <c r="A2135" s="25" t="str">
        <f>IF($C2135="","",Registro_Compras!$X$240)</f>
        <v/>
      </c>
      <c r="B2135" t="str">
        <f>IF($C2135="","","C"&amp;TEXT(INT((ROW()-5)/9)+1,"000")&amp;"-3")</f>
        <v/>
      </c>
      <c r="C2135" t="str">
        <f>IF(OR(Registro_Compras!$C$240="",Registro_Compras!$O$240="",Registro_Compras!$R$240&lt;&gt;"SI",Registro_Compras!$X$240=""),"","1041")</f>
        <v/>
      </c>
      <c r="D2135" t="str">
        <f>IF(OR(Registro_Compras!$C$240="",Registro_Compras!$O$240=""),"","Efectivo y Equivalentes - Cta. Cte. Operativa")</f>
        <v/>
      </c>
      <c r="E2135" s="20" t="str">
        <f>""</f>
        <v/>
      </c>
      <c r="F2135" s="20" t="str">
        <f>IF($C2135="","",Registro_Compras!$S$240)</f>
        <v/>
      </c>
      <c r="G2135" t="str">
        <f>IF($C2135="","","Por el deposito de la detraccion en el Banco de la Nacion")</f>
        <v/>
      </c>
      <c r="H2135" t="str">
        <f>IF($C2135="","",Registro_Compras!$C$240)</f>
        <v/>
      </c>
    </row>
    <row r="2136" spans="1:8" x14ac:dyDescent="0.25">
      <c r="A2136" s="25" t="str">
        <f>IF($C2136="","",Registro_Compras!$Y$240)</f>
        <v/>
      </c>
      <c r="B2136" t="str">
        <f>IF($C2136="","","C"&amp;TEXT(INT((ROW()-5)/9)+1,"000")&amp;"-4")</f>
        <v/>
      </c>
      <c r="C2136" t="str">
        <f>IF(OR(Registro_Compras!$C$240="",Registro_Compras!$O$240="",Registro_Compras!$Y$240="",Registro_Compras!$F$240="NOTA DE CREDITO"),"","4212")</f>
        <v/>
      </c>
      <c r="D2136" t="str">
        <f>IF(OR(Registro_Compras!$C$240="",Registro_Compras!$O$240=""),"","Cuentas por Pagar Comerciales - Terceros")</f>
        <v/>
      </c>
      <c r="E2136" s="20" t="str">
        <f>IF($C2136="","",IF(Registro_Compras!$F$240="RHE",(ROUND(Registro_Compras!$L$240*Registro_Compras!$N$240,2)-ROUND(Registro_Compras!$V$240*Registro_Compras!$N$240,2)),ROUND(Registro_Compras!$O$240-Registro_Compras!$S$240,2)))</f>
        <v/>
      </c>
      <c r="F2136" s="20" t="str">
        <f>""</f>
        <v/>
      </c>
      <c r="G2136" t="str">
        <f>IF($C2136="","","Por la cancelacion del saldo al proveedor")</f>
        <v/>
      </c>
      <c r="H2136" t="str">
        <f>IF($C2136="","",Registro_Compras!$C$240)</f>
        <v/>
      </c>
    </row>
    <row r="2137" spans="1:8" x14ac:dyDescent="0.25">
      <c r="A2137" s="25" t="str">
        <f>IF($C2137="","",Registro_Compras!$Y$240)</f>
        <v/>
      </c>
      <c r="B2137" t="str">
        <f>IF($C2137="","","C"&amp;TEXT(INT((ROW()-5)/9)+1,"000")&amp;"-4")</f>
        <v/>
      </c>
      <c r="C2137" t="str">
        <f>IF(OR(Registro_Compras!$C$240="",Registro_Compras!$O$240="",Registro_Compras!$Y$240="",Registro_Compras!$F$240="NOTA DE CREDITO"),"","1041")</f>
        <v/>
      </c>
      <c r="D2137" t="str">
        <f>IF(OR(Registro_Compras!$C$240="",Registro_Compras!$O$240=""),"","Efectivo y Equivalentes - Cta. Cte. Operativa")</f>
        <v/>
      </c>
      <c r="E2137" s="20" t="str">
        <f>""</f>
        <v/>
      </c>
      <c r="F2137" s="20" t="str">
        <f>IF($C2137="","",IF(Registro_Compras!$F$240="RHE",(ROUND(Registro_Compras!$L$240*Registro_Compras!$N$240,2)-ROUND(Registro_Compras!$V$240*Registro_Compras!$N$240,2)),ROUND(Registro_Compras!$O$240-Registro_Compras!$S$240,2)))</f>
        <v/>
      </c>
      <c r="G2137" t="str">
        <f>IF($C2137="","","Por la cancelacion del saldo al proveedor")</f>
        <v/>
      </c>
      <c r="H2137" t="str">
        <f>IF($C2137="","",Registro_Compras!$C$240)</f>
        <v/>
      </c>
    </row>
    <row r="2138" spans="1:8" x14ac:dyDescent="0.25">
      <c r="A2138" s="25" t="str">
        <f>IF($C2138="","",Registro_Compras!$B$241)</f>
        <v/>
      </c>
      <c r="B2138" t="str">
        <f>IF($C2138="","","C"&amp;TEXT(INT((ROW()-5)/9)+1,"000")&amp;"-1")</f>
        <v/>
      </c>
      <c r="C2138" t="str">
        <f>IF(OR(Registro_Compras!$C$241="",Registro_Compras!$O$241=""),"",IF(Registro_Compras!$F$241="NOTA DE CREDITO","4212",IF(Registro_Compras!$M$241="","63",Registro_Compras!$M$241)))</f>
        <v/>
      </c>
      <c r="D2138" t="str">
        <f>IF(OR(Registro_Compras!$C$241="",Registro_Compras!$O$241=""),"",IF(Registro_Compras!$F$241="NOTA DE CREDITO","Cuentas por Pagar Comerciales - Terceros (Emitidas)",IF(Registro_Compras!$F$241="RHE","Honorarios Profesionales - Servicios de Terceros","Gastos de Servicios Prestados por Terceros")))</f>
        <v/>
      </c>
      <c r="E2138" s="20" t="str">
        <f>IF($C2138="","",IF(Registro_Compras!$F$241="NOTA DE CREDITO",ABS(Registro_Compras!$O$241),IF(Registro_Compras!$F$241="RHE",ROUND(Registro_Compras!$L$241*Registro_Compras!$N$241,2),ROUND(Registro_Compras!$J$241*Registro_Compras!$N$241,2))))</f>
        <v/>
      </c>
      <c r="F2138" s="20" t="str">
        <f>""</f>
        <v/>
      </c>
      <c r="G2138" t="str">
        <f>IF($C2138="","",IF(Registro_Compras!$F$241="NOTA DE CREDITO","Por la nota de credito "&amp;Registro_Compras!$C$241&amp;" de "&amp;Registro_Compras!$E$241&amp;" [PATRON POR CONFIRMAR CON CONTADOR]",IF(Registro_Compras!$F$241="RHE","Por el registro del recibo por honorarios "&amp;Registro_Compras!$C$241&amp;" de "&amp;Registro_Compras!$E$241&amp;" [PATRON POR CONFIRMAR CON CONTADOR]","Por el registro de la factura "&amp;Registro_Compras!$C$241&amp;" de "&amp;Registro_Compras!$E$241)))</f>
        <v/>
      </c>
      <c r="H2138" t="str">
        <f>IF($C2138="","",Registro_Compras!$C$241)</f>
        <v/>
      </c>
    </row>
    <row r="2139" spans="1:8" x14ac:dyDescent="0.25">
      <c r="A2139" s="25" t="str">
        <f>IF($C2139="","",Registro_Compras!$B$241)</f>
        <v/>
      </c>
      <c r="B2139" t="str">
        <f>IF($C2139="","","C"&amp;TEXT(INT((ROW()-5)/9)+1,"000")&amp;"-1")</f>
        <v/>
      </c>
      <c r="C2139" t="str">
        <f>IF(OR(Registro_Compras!$C$241="",Registro_Compras!$O$241=""),"",IF(Registro_Compras!$F$241="RHE",IF(Registro_Compras!$V$241=0,"","4017"),IF(Registro_Compras!$F$241="NOTA DE CREDITO",IF(Registro_Compras!$M$241="","63",Registro_Compras!$M$241),IF(Registro_Compras!$K$241=0,"","40111"))))</f>
        <v/>
      </c>
      <c r="D2139" t="str">
        <f>IF(OR(Registro_Compras!$C$241="",Registro_Compras!$O$241=""),"",IF(Registro_Compras!$F$241="RHE","Retencion Renta 4ta Categoria por Pagar",IF(Registro_Compras!$F$241="NOTA DE CREDITO","Gastos de Servicios Prestados por Terceros","IGV - Cuenta Propia (Credito Fiscal)")))</f>
        <v/>
      </c>
      <c r="E2139" s="20" t="str">
        <f>IF($C2139="","",IF(Registro_Compras!$F$241="FACTURA",ROUND(Registro_Compras!$K$241*Registro_Compras!$N$241,2),""))</f>
        <v/>
      </c>
      <c r="F2139" s="20" t="str">
        <f>IF($C2139="","",IF(Registro_Compras!$F$241="RHE",ROUND(Registro_Compras!$V$241*Registro_Compras!$N$241,2),IF(Registro_Compras!$F$241="NOTA DE CREDITO",ROUND(ABS(Registro_Compras!$J$241*Registro_Compras!$N$241),2),"")))</f>
        <v/>
      </c>
      <c r="G2139" t="str">
        <f>IF($C2139="","",IF(Registro_Compras!$F$241="NOTA DE CREDITO","Por la nota de credito "&amp;Registro_Compras!$C$241&amp;" de "&amp;Registro_Compras!$E$241&amp;" [PATRON POR CONFIRMAR CON CONTADOR]",IF(Registro_Compras!$F$241="RHE","Por el registro del recibo por honorarios "&amp;Registro_Compras!$C$241&amp;" de "&amp;Registro_Compras!$E$241&amp;" [PATRON POR CONFIRMAR CON CONTADOR]","Por el registro de la factura "&amp;Registro_Compras!$C$241&amp;" de "&amp;Registro_Compras!$E$241)))</f>
        <v/>
      </c>
      <c r="H2139" t="str">
        <f>IF($C2139="","",Registro_Compras!$C$241)</f>
        <v/>
      </c>
    </row>
    <row r="2140" spans="1:8" x14ac:dyDescent="0.25">
      <c r="A2140" s="25" t="str">
        <f>IF($C2140="","",Registro_Compras!$B$241)</f>
        <v/>
      </c>
      <c r="B2140" t="str">
        <f>IF($C2140="","","C"&amp;TEXT(INT((ROW()-5)/9)+1,"000")&amp;"-1")</f>
        <v/>
      </c>
      <c r="C2140" t="str">
        <f>IF(OR(Registro_Compras!$C$241="",Registro_Compras!$O$241=""),"",IF(Registro_Compras!$F$241="NOTA DE CREDITO",IF(Registro_Compras!$K$241=0,"","40111"),"4212"))</f>
        <v/>
      </c>
      <c r="D2140" t="str">
        <f>IF(OR(Registro_Compras!$C$241="",Registro_Compras!$O$241=""),"",IF(Registro_Compras!$F$241="NOTA DE CREDITO","IGV - Cuenta Propia (Credito Fiscal)","Cuentas por Pagar Comerciales - Terceros (Emitidas)"))</f>
        <v/>
      </c>
      <c r="E2140" s="20" t="str">
        <f>""</f>
        <v/>
      </c>
      <c r="F2140" s="20" t="str">
        <f>IF($C2140="","",IF(Registro_Compras!$F$241="NOTA DE CREDITO",ROUND(ABS(Registro_Compras!$K$241*Registro_Compras!$N$241),2),IF(Registro_Compras!$F$241="RHE",(ROUND(Registro_Compras!$L$241*Registro_Compras!$N$241,2)-ROUND(Registro_Compras!$V$241*Registro_Compras!$N$241,2)),Registro_Compras!$O$241)))</f>
        <v/>
      </c>
      <c r="G2140" t="str">
        <f>IF($C2140="","",IF(Registro_Compras!$F$241="NOTA DE CREDITO","Por la nota de credito "&amp;Registro_Compras!$C$241&amp;" de "&amp;Registro_Compras!$E$241&amp;" [PATRON POR CONFIRMAR CON CONTADOR]",IF(Registro_Compras!$F$241="RHE","Por el registro del recibo por honorarios "&amp;Registro_Compras!$C$241&amp;" de "&amp;Registro_Compras!$E$241&amp;" [PATRON POR CONFIRMAR CON CONTADOR]","Por el registro de la factura "&amp;Registro_Compras!$C$241&amp;" de "&amp;Registro_Compras!$E$241)))</f>
        <v/>
      </c>
      <c r="H2140" t="str">
        <f>IF($C2140="","",Registro_Compras!$C$241)</f>
        <v/>
      </c>
    </row>
    <row r="2141" spans="1:8" x14ac:dyDescent="0.25">
      <c r="A2141" s="25" t="str">
        <f>IF($C2141="","",Registro_Compras!$B$241)</f>
        <v/>
      </c>
      <c r="B2141" t="str">
        <f>IF($C2141="","","C"&amp;TEXT(INT((ROW()-5)/9)+1,"000")&amp;"-2")</f>
        <v/>
      </c>
      <c r="C2141" t="str">
        <f>IF(OR(Registro_Compras!$C$241="",Registro_Compras!$O$241=""),"",IF(Registro_Compras!$AB$241="ADMINISTRATIVO","94","95"))</f>
        <v/>
      </c>
      <c r="D2141" t="str">
        <f>IF(OR(Registro_Compras!$C$241="",Registro_Compras!$O$241=""),"",IF(Registro_Compras!$AB$241="ADMINISTRATIVO","Gastos Administrativos","Gastos de Venta y Operacion"))</f>
        <v/>
      </c>
      <c r="E2141" s="20" t="str">
        <f>IF($C2141="","",IF(Registro_Compras!$F$241="NOTA DE CREDITO","",IF(Registro_Compras!$F$241="RHE",ROUND(Registro_Compras!$L$241*Registro_Compras!$N$241,2),ROUND(Registro_Compras!$J$241*Registro_Compras!$N$241,2))))</f>
        <v/>
      </c>
      <c r="F2141" s="20" t="str">
        <f>IF($C2141="","",IF(Registro_Compras!$F$241="NOTA DE CREDITO",ROUND(ABS(Registro_Compras!$J$241*Registro_Compras!$N$241),2),""))</f>
        <v/>
      </c>
      <c r="G2141" t="str">
        <f>IF($C2141="","","Por el destino del gasto")</f>
        <v/>
      </c>
      <c r="H2141" t="str">
        <f>IF($C2141="","",Registro_Compras!$C$241)</f>
        <v/>
      </c>
    </row>
    <row r="2142" spans="1:8" x14ac:dyDescent="0.25">
      <c r="A2142" s="25" t="str">
        <f>IF($C2142="","",Registro_Compras!$B$241)</f>
        <v/>
      </c>
      <c r="B2142" t="str">
        <f>IF($C2142="","","C"&amp;TEXT(INT((ROW()-5)/9)+1,"000")&amp;"-2")</f>
        <v/>
      </c>
      <c r="C2142" t="str">
        <f>IF(OR(Registro_Compras!$C$241="",Registro_Compras!$O$241=""),"","79/791")</f>
        <v/>
      </c>
      <c r="D2142" t="str">
        <f>IF(OR(Registro_Compras!$C$241="",Registro_Compras!$O$241=""),"","Cargas Imputables a Cuentas de Costos y Gastos")</f>
        <v/>
      </c>
      <c r="E2142" s="20" t="str">
        <f>IF($C2142="","",IF(Registro_Compras!$F$241="NOTA DE CREDITO",ROUND(ABS(Registro_Compras!$J$241*Registro_Compras!$N$241),2),""))</f>
        <v/>
      </c>
      <c r="F2142" s="20" t="str">
        <f>IF($C2142="","",IF(Registro_Compras!$F$241="NOTA DE CREDITO","",IF(Registro_Compras!$F$241="RHE",ROUND(Registro_Compras!$L$241*Registro_Compras!$N$241,2),ROUND(Registro_Compras!$J$241*Registro_Compras!$N$241,2))))</f>
        <v/>
      </c>
      <c r="G2142" t="str">
        <f>IF($C2142="","","Por el destino del gasto")</f>
        <v/>
      </c>
      <c r="H2142" t="str">
        <f>IF($C2142="","",Registro_Compras!$C$241)</f>
        <v/>
      </c>
    </row>
    <row r="2143" spans="1:8" x14ac:dyDescent="0.25">
      <c r="A2143" s="25" t="str">
        <f>IF($C2143="","",Registro_Compras!$X$241)</f>
        <v/>
      </c>
      <c r="B2143" t="str">
        <f>IF($C2143="","","C"&amp;TEXT(INT((ROW()-5)/9)+1,"000")&amp;"-3")</f>
        <v/>
      </c>
      <c r="C2143" t="str">
        <f>IF(OR(Registro_Compras!$C$241="",Registro_Compras!$O$241="",Registro_Compras!$R$241&lt;&gt;"SI",Registro_Compras!$X$241=""),"","4212")</f>
        <v/>
      </c>
      <c r="D2143" t="str">
        <f>IF(OR(Registro_Compras!$C$241="",Registro_Compras!$O$241=""),"","Cuentas por Pagar Comerciales - Terceros")</f>
        <v/>
      </c>
      <c r="E2143" s="20" t="str">
        <f>IF($C2143="","",Registro_Compras!$S$241)</f>
        <v/>
      </c>
      <c r="F2143" s="20" t="str">
        <f>""</f>
        <v/>
      </c>
      <c r="G2143" t="str">
        <f>IF($C2143="","","Por el deposito de la detraccion en el Banco de la Nacion")</f>
        <v/>
      </c>
      <c r="H2143" t="str">
        <f>IF($C2143="","",Registro_Compras!$C$241)</f>
        <v/>
      </c>
    </row>
    <row r="2144" spans="1:8" x14ac:dyDescent="0.25">
      <c r="A2144" s="25" t="str">
        <f>IF($C2144="","",Registro_Compras!$X$241)</f>
        <v/>
      </c>
      <c r="B2144" t="str">
        <f>IF($C2144="","","C"&amp;TEXT(INT((ROW()-5)/9)+1,"000")&amp;"-3")</f>
        <v/>
      </c>
      <c r="C2144" t="str">
        <f>IF(OR(Registro_Compras!$C$241="",Registro_Compras!$O$241="",Registro_Compras!$R$241&lt;&gt;"SI",Registro_Compras!$X$241=""),"","1041")</f>
        <v/>
      </c>
      <c r="D2144" t="str">
        <f>IF(OR(Registro_Compras!$C$241="",Registro_Compras!$O$241=""),"","Efectivo y Equivalentes - Cta. Cte. Operativa")</f>
        <v/>
      </c>
      <c r="E2144" s="20" t="str">
        <f>""</f>
        <v/>
      </c>
      <c r="F2144" s="20" t="str">
        <f>IF($C2144="","",Registro_Compras!$S$241)</f>
        <v/>
      </c>
      <c r="G2144" t="str">
        <f>IF($C2144="","","Por el deposito de la detraccion en el Banco de la Nacion")</f>
        <v/>
      </c>
      <c r="H2144" t="str">
        <f>IF($C2144="","",Registro_Compras!$C$241)</f>
        <v/>
      </c>
    </row>
    <row r="2145" spans="1:8" x14ac:dyDescent="0.25">
      <c r="A2145" s="25" t="str">
        <f>IF($C2145="","",Registro_Compras!$Y$241)</f>
        <v/>
      </c>
      <c r="B2145" t="str">
        <f>IF($C2145="","","C"&amp;TEXT(INT((ROW()-5)/9)+1,"000")&amp;"-4")</f>
        <v/>
      </c>
      <c r="C2145" t="str">
        <f>IF(OR(Registro_Compras!$C$241="",Registro_Compras!$O$241="",Registro_Compras!$Y$241="",Registro_Compras!$F$241="NOTA DE CREDITO"),"","4212")</f>
        <v/>
      </c>
      <c r="D2145" t="str">
        <f>IF(OR(Registro_Compras!$C$241="",Registro_Compras!$O$241=""),"","Cuentas por Pagar Comerciales - Terceros")</f>
        <v/>
      </c>
      <c r="E2145" s="20" t="str">
        <f>IF($C2145="","",IF(Registro_Compras!$F$241="RHE",(ROUND(Registro_Compras!$L$241*Registro_Compras!$N$241,2)-ROUND(Registro_Compras!$V$241*Registro_Compras!$N$241,2)),ROUND(Registro_Compras!$O$241-Registro_Compras!$S$241,2)))</f>
        <v/>
      </c>
      <c r="F2145" s="20" t="str">
        <f>""</f>
        <v/>
      </c>
      <c r="G2145" t="str">
        <f>IF($C2145="","","Por la cancelacion del saldo al proveedor")</f>
        <v/>
      </c>
      <c r="H2145" t="str">
        <f>IF($C2145="","",Registro_Compras!$C$241)</f>
        <v/>
      </c>
    </row>
    <row r="2146" spans="1:8" x14ac:dyDescent="0.25">
      <c r="A2146" s="25" t="str">
        <f>IF($C2146="","",Registro_Compras!$Y$241)</f>
        <v/>
      </c>
      <c r="B2146" t="str">
        <f>IF($C2146="","","C"&amp;TEXT(INT((ROW()-5)/9)+1,"000")&amp;"-4")</f>
        <v/>
      </c>
      <c r="C2146" t="str">
        <f>IF(OR(Registro_Compras!$C$241="",Registro_Compras!$O$241="",Registro_Compras!$Y$241="",Registro_Compras!$F$241="NOTA DE CREDITO"),"","1041")</f>
        <v/>
      </c>
      <c r="D2146" t="str">
        <f>IF(OR(Registro_Compras!$C$241="",Registro_Compras!$O$241=""),"","Efectivo y Equivalentes - Cta. Cte. Operativa")</f>
        <v/>
      </c>
      <c r="E2146" s="20" t="str">
        <f>""</f>
        <v/>
      </c>
      <c r="F2146" s="20" t="str">
        <f>IF($C2146="","",IF(Registro_Compras!$F$241="RHE",(ROUND(Registro_Compras!$L$241*Registro_Compras!$N$241,2)-ROUND(Registro_Compras!$V$241*Registro_Compras!$N$241,2)),ROUND(Registro_Compras!$O$241-Registro_Compras!$S$241,2)))</f>
        <v/>
      </c>
      <c r="G2146" t="str">
        <f>IF($C2146="","","Por la cancelacion del saldo al proveedor")</f>
        <v/>
      </c>
      <c r="H2146" t="str">
        <f>IF($C2146="","",Registro_Compras!$C$241)</f>
        <v/>
      </c>
    </row>
    <row r="2147" spans="1:8" x14ac:dyDescent="0.25">
      <c r="A2147" s="25" t="str">
        <f>IF($C2147="","",Registro_Compras!$B$242)</f>
        <v/>
      </c>
      <c r="B2147" t="str">
        <f>IF($C2147="","","C"&amp;TEXT(INT((ROW()-5)/9)+1,"000")&amp;"-1")</f>
        <v/>
      </c>
      <c r="C2147" t="str">
        <f>IF(OR(Registro_Compras!$C$242="",Registro_Compras!$O$242=""),"",IF(Registro_Compras!$F$242="NOTA DE CREDITO","4212",IF(Registro_Compras!$M$242="","63",Registro_Compras!$M$242)))</f>
        <v/>
      </c>
      <c r="D2147" t="str">
        <f>IF(OR(Registro_Compras!$C$242="",Registro_Compras!$O$242=""),"",IF(Registro_Compras!$F$242="NOTA DE CREDITO","Cuentas por Pagar Comerciales - Terceros (Emitidas)",IF(Registro_Compras!$F$242="RHE","Honorarios Profesionales - Servicios de Terceros","Gastos de Servicios Prestados por Terceros")))</f>
        <v/>
      </c>
      <c r="E2147" s="20" t="str">
        <f>IF($C2147="","",IF(Registro_Compras!$F$242="NOTA DE CREDITO",ABS(Registro_Compras!$O$242),IF(Registro_Compras!$F$242="RHE",ROUND(Registro_Compras!$L$242*Registro_Compras!$N$242,2),ROUND(Registro_Compras!$J$242*Registro_Compras!$N$242,2))))</f>
        <v/>
      </c>
      <c r="F2147" s="20" t="str">
        <f>""</f>
        <v/>
      </c>
      <c r="G2147" t="str">
        <f>IF($C2147="","",IF(Registro_Compras!$F$242="NOTA DE CREDITO","Por la nota de credito "&amp;Registro_Compras!$C$242&amp;" de "&amp;Registro_Compras!$E$242&amp;" [PATRON POR CONFIRMAR CON CONTADOR]",IF(Registro_Compras!$F$242="RHE","Por el registro del recibo por honorarios "&amp;Registro_Compras!$C$242&amp;" de "&amp;Registro_Compras!$E$242&amp;" [PATRON POR CONFIRMAR CON CONTADOR]","Por el registro de la factura "&amp;Registro_Compras!$C$242&amp;" de "&amp;Registro_Compras!$E$242)))</f>
        <v/>
      </c>
      <c r="H2147" t="str">
        <f>IF($C2147="","",Registro_Compras!$C$242)</f>
        <v/>
      </c>
    </row>
    <row r="2148" spans="1:8" x14ac:dyDescent="0.25">
      <c r="A2148" s="25" t="str">
        <f>IF($C2148="","",Registro_Compras!$B$242)</f>
        <v/>
      </c>
      <c r="B2148" t="str">
        <f>IF($C2148="","","C"&amp;TEXT(INT((ROW()-5)/9)+1,"000")&amp;"-1")</f>
        <v/>
      </c>
      <c r="C2148" t="str">
        <f>IF(OR(Registro_Compras!$C$242="",Registro_Compras!$O$242=""),"",IF(Registro_Compras!$F$242="RHE",IF(Registro_Compras!$V$242=0,"","4017"),IF(Registro_Compras!$F$242="NOTA DE CREDITO",IF(Registro_Compras!$M$242="","63",Registro_Compras!$M$242),IF(Registro_Compras!$K$242=0,"","40111"))))</f>
        <v/>
      </c>
      <c r="D2148" t="str">
        <f>IF(OR(Registro_Compras!$C$242="",Registro_Compras!$O$242=""),"",IF(Registro_Compras!$F$242="RHE","Retencion Renta 4ta Categoria por Pagar",IF(Registro_Compras!$F$242="NOTA DE CREDITO","Gastos de Servicios Prestados por Terceros","IGV - Cuenta Propia (Credito Fiscal)")))</f>
        <v/>
      </c>
      <c r="E2148" s="20" t="str">
        <f>IF($C2148="","",IF(Registro_Compras!$F$242="FACTURA",ROUND(Registro_Compras!$K$242*Registro_Compras!$N$242,2),""))</f>
        <v/>
      </c>
      <c r="F2148" s="20" t="str">
        <f>IF($C2148="","",IF(Registro_Compras!$F$242="RHE",ROUND(Registro_Compras!$V$242*Registro_Compras!$N$242,2),IF(Registro_Compras!$F$242="NOTA DE CREDITO",ROUND(ABS(Registro_Compras!$J$242*Registro_Compras!$N$242),2),"")))</f>
        <v/>
      </c>
      <c r="G2148" t="str">
        <f>IF($C2148="","",IF(Registro_Compras!$F$242="NOTA DE CREDITO","Por la nota de credito "&amp;Registro_Compras!$C$242&amp;" de "&amp;Registro_Compras!$E$242&amp;" [PATRON POR CONFIRMAR CON CONTADOR]",IF(Registro_Compras!$F$242="RHE","Por el registro del recibo por honorarios "&amp;Registro_Compras!$C$242&amp;" de "&amp;Registro_Compras!$E$242&amp;" [PATRON POR CONFIRMAR CON CONTADOR]","Por el registro de la factura "&amp;Registro_Compras!$C$242&amp;" de "&amp;Registro_Compras!$E$242)))</f>
        <v/>
      </c>
      <c r="H2148" t="str">
        <f>IF($C2148="","",Registro_Compras!$C$242)</f>
        <v/>
      </c>
    </row>
    <row r="2149" spans="1:8" x14ac:dyDescent="0.25">
      <c r="A2149" s="25" t="str">
        <f>IF($C2149="","",Registro_Compras!$B$242)</f>
        <v/>
      </c>
      <c r="B2149" t="str">
        <f>IF($C2149="","","C"&amp;TEXT(INT((ROW()-5)/9)+1,"000")&amp;"-1")</f>
        <v/>
      </c>
      <c r="C2149" t="str">
        <f>IF(OR(Registro_Compras!$C$242="",Registro_Compras!$O$242=""),"",IF(Registro_Compras!$F$242="NOTA DE CREDITO",IF(Registro_Compras!$K$242=0,"","40111"),"4212"))</f>
        <v/>
      </c>
      <c r="D2149" t="str">
        <f>IF(OR(Registro_Compras!$C$242="",Registro_Compras!$O$242=""),"",IF(Registro_Compras!$F$242="NOTA DE CREDITO","IGV - Cuenta Propia (Credito Fiscal)","Cuentas por Pagar Comerciales - Terceros (Emitidas)"))</f>
        <v/>
      </c>
      <c r="E2149" s="20" t="str">
        <f>""</f>
        <v/>
      </c>
      <c r="F2149" s="20" t="str">
        <f>IF($C2149="","",IF(Registro_Compras!$F$242="NOTA DE CREDITO",ROUND(ABS(Registro_Compras!$K$242*Registro_Compras!$N$242),2),IF(Registro_Compras!$F$242="RHE",(ROUND(Registro_Compras!$L$242*Registro_Compras!$N$242,2)-ROUND(Registro_Compras!$V$242*Registro_Compras!$N$242,2)),Registro_Compras!$O$242)))</f>
        <v/>
      </c>
      <c r="G2149" t="str">
        <f>IF($C2149="","",IF(Registro_Compras!$F$242="NOTA DE CREDITO","Por la nota de credito "&amp;Registro_Compras!$C$242&amp;" de "&amp;Registro_Compras!$E$242&amp;" [PATRON POR CONFIRMAR CON CONTADOR]",IF(Registro_Compras!$F$242="RHE","Por el registro del recibo por honorarios "&amp;Registro_Compras!$C$242&amp;" de "&amp;Registro_Compras!$E$242&amp;" [PATRON POR CONFIRMAR CON CONTADOR]","Por el registro de la factura "&amp;Registro_Compras!$C$242&amp;" de "&amp;Registro_Compras!$E$242)))</f>
        <v/>
      </c>
      <c r="H2149" t="str">
        <f>IF($C2149="","",Registro_Compras!$C$242)</f>
        <v/>
      </c>
    </row>
    <row r="2150" spans="1:8" x14ac:dyDescent="0.25">
      <c r="A2150" s="25" t="str">
        <f>IF($C2150="","",Registro_Compras!$B$242)</f>
        <v/>
      </c>
      <c r="B2150" t="str">
        <f>IF($C2150="","","C"&amp;TEXT(INT((ROW()-5)/9)+1,"000")&amp;"-2")</f>
        <v/>
      </c>
      <c r="C2150" t="str">
        <f>IF(OR(Registro_Compras!$C$242="",Registro_Compras!$O$242=""),"",IF(Registro_Compras!$AB$242="ADMINISTRATIVO","94","95"))</f>
        <v/>
      </c>
      <c r="D2150" t="str">
        <f>IF(OR(Registro_Compras!$C$242="",Registro_Compras!$O$242=""),"",IF(Registro_Compras!$AB$242="ADMINISTRATIVO","Gastos Administrativos","Gastos de Venta y Operacion"))</f>
        <v/>
      </c>
      <c r="E2150" s="20" t="str">
        <f>IF($C2150="","",IF(Registro_Compras!$F$242="NOTA DE CREDITO","",IF(Registro_Compras!$F$242="RHE",ROUND(Registro_Compras!$L$242*Registro_Compras!$N$242,2),ROUND(Registro_Compras!$J$242*Registro_Compras!$N$242,2))))</f>
        <v/>
      </c>
      <c r="F2150" s="20" t="str">
        <f>IF($C2150="","",IF(Registro_Compras!$F$242="NOTA DE CREDITO",ROUND(ABS(Registro_Compras!$J$242*Registro_Compras!$N$242),2),""))</f>
        <v/>
      </c>
      <c r="G2150" t="str">
        <f>IF($C2150="","","Por el destino del gasto")</f>
        <v/>
      </c>
      <c r="H2150" t="str">
        <f>IF($C2150="","",Registro_Compras!$C$242)</f>
        <v/>
      </c>
    </row>
    <row r="2151" spans="1:8" x14ac:dyDescent="0.25">
      <c r="A2151" s="25" t="str">
        <f>IF($C2151="","",Registro_Compras!$B$242)</f>
        <v/>
      </c>
      <c r="B2151" t="str">
        <f>IF($C2151="","","C"&amp;TEXT(INT((ROW()-5)/9)+1,"000")&amp;"-2")</f>
        <v/>
      </c>
      <c r="C2151" t="str">
        <f>IF(OR(Registro_Compras!$C$242="",Registro_Compras!$O$242=""),"","79/791")</f>
        <v/>
      </c>
      <c r="D2151" t="str">
        <f>IF(OR(Registro_Compras!$C$242="",Registro_Compras!$O$242=""),"","Cargas Imputables a Cuentas de Costos y Gastos")</f>
        <v/>
      </c>
      <c r="E2151" s="20" t="str">
        <f>IF($C2151="","",IF(Registro_Compras!$F$242="NOTA DE CREDITO",ROUND(ABS(Registro_Compras!$J$242*Registro_Compras!$N$242),2),""))</f>
        <v/>
      </c>
      <c r="F2151" s="20" t="str">
        <f>IF($C2151="","",IF(Registro_Compras!$F$242="NOTA DE CREDITO","",IF(Registro_Compras!$F$242="RHE",ROUND(Registro_Compras!$L$242*Registro_Compras!$N$242,2),ROUND(Registro_Compras!$J$242*Registro_Compras!$N$242,2))))</f>
        <v/>
      </c>
      <c r="G2151" t="str">
        <f>IF($C2151="","","Por el destino del gasto")</f>
        <v/>
      </c>
      <c r="H2151" t="str">
        <f>IF($C2151="","",Registro_Compras!$C$242)</f>
        <v/>
      </c>
    </row>
    <row r="2152" spans="1:8" x14ac:dyDescent="0.25">
      <c r="A2152" s="25" t="str">
        <f>IF($C2152="","",Registro_Compras!$X$242)</f>
        <v/>
      </c>
      <c r="B2152" t="str">
        <f>IF($C2152="","","C"&amp;TEXT(INT((ROW()-5)/9)+1,"000")&amp;"-3")</f>
        <v/>
      </c>
      <c r="C2152" t="str">
        <f>IF(OR(Registro_Compras!$C$242="",Registro_Compras!$O$242="",Registro_Compras!$R$242&lt;&gt;"SI",Registro_Compras!$X$242=""),"","4212")</f>
        <v/>
      </c>
      <c r="D2152" t="str">
        <f>IF(OR(Registro_Compras!$C$242="",Registro_Compras!$O$242=""),"","Cuentas por Pagar Comerciales - Terceros")</f>
        <v/>
      </c>
      <c r="E2152" s="20" t="str">
        <f>IF($C2152="","",Registro_Compras!$S$242)</f>
        <v/>
      </c>
      <c r="F2152" s="20" t="str">
        <f>""</f>
        <v/>
      </c>
      <c r="G2152" t="str">
        <f>IF($C2152="","","Por el deposito de la detraccion en el Banco de la Nacion")</f>
        <v/>
      </c>
      <c r="H2152" t="str">
        <f>IF($C2152="","",Registro_Compras!$C$242)</f>
        <v/>
      </c>
    </row>
    <row r="2153" spans="1:8" x14ac:dyDescent="0.25">
      <c r="A2153" s="25" t="str">
        <f>IF($C2153="","",Registro_Compras!$X$242)</f>
        <v/>
      </c>
      <c r="B2153" t="str">
        <f>IF($C2153="","","C"&amp;TEXT(INT((ROW()-5)/9)+1,"000")&amp;"-3")</f>
        <v/>
      </c>
      <c r="C2153" t="str">
        <f>IF(OR(Registro_Compras!$C$242="",Registro_Compras!$O$242="",Registro_Compras!$R$242&lt;&gt;"SI",Registro_Compras!$X$242=""),"","1041")</f>
        <v/>
      </c>
      <c r="D2153" t="str">
        <f>IF(OR(Registro_Compras!$C$242="",Registro_Compras!$O$242=""),"","Efectivo y Equivalentes - Cta. Cte. Operativa")</f>
        <v/>
      </c>
      <c r="E2153" s="20" t="str">
        <f>""</f>
        <v/>
      </c>
      <c r="F2153" s="20" t="str">
        <f>IF($C2153="","",Registro_Compras!$S$242)</f>
        <v/>
      </c>
      <c r="G2153" t="str">
        <f>IF($C2153="","","Por el deposito de la detraccion en el Banco de la Nacion")</f>
        <v/>
      </c>
      <c r="H2153" t="str">
        <f>IF($C2153="","",Registro_Compras!$C$242)</f>
        <v/>
      </c>
    </row>
    <row r="2154" spans="1:8" x14ac:dyDescent="0.25">
      <c r="A2154" s="25" t="str">
        <f>IF($C2154="","",Registro_Compras!$Y$242)</f>
        <v/>
      </c>
      <c r="B2154" t="str">
        <f>IF($C2154="","","C"&amp;TEXT(INT((ROW()-5)/9)+1,"000")&amp;"-4")</f>
        <v/>
      </c>
      <c r="C2154" t="str">
        <f>IF(OR(Registro_Compras!$C$242="",Registro_Compras!$O$242="",Registro_Compras!$Y$242="",Registro_Compras!$F$242="NOTA DE CREDITO"),"","4212")</f>
        <v/>
      </c>
      <c r="D2154" t="str">
        <f>IF(OR(Registro_Compras!$C$242="",Registro_Compras!$O$242=""),"","Cuentas por Pagar Comerciales - Terceros")</f>
        <v/>
      </c>
      <c r="E2154" s="20" t="str">
        <f>IF($C2154="","",IF(Registro_Compras!$F$242="RHE",(ROUND(Registro_Compras!$L$242*Registro_Compras!$N$242,2)-ROUND(Registro_Compras!$V$242*Registro_Compras!$N$242,2)),ROUND(Registro_Compras!$O$242-Registro_Compras!$S$242,2)))</f>
        <v/>
      </c>
      <c r="F2154" s="20" t="str">
        <f>""</f>
        <v/>
      </c>
      <c r="G2154" t="str">
        <f>IF($C2154="","","Por la cancelacion del saldo al proveedor")</f>
        <v/>
      </c>
      <c r="H2154" t="str">
        <f>IF($C2154="","",Registro_Compras!$C$242)</f>
        <v/>
      </c>
    </row>
    <row r="2155" spans="1:8" x14ac:dyDescent="0.25">
      <c r="A2155" s="25" t="str">
        <f>IF($C2155="","",Registro_Compras!$Y$242)</f>
        <v/>
      </c>
      <c r="B2155" t="str">
        <f>IF($C2155="","","C"&amp;TEXT(INT((ROW()-5)/9)+1,"000")&amp;"-4")</f>
        <v/>
      </c>
      <c r="C2155" t="str">
        <f>IF(OR(Registro_Compras!$C$242="",Registro_Compras!$O$242="",Registro_Compras!$Y$242="",Registro_Compras!$F$242="NOTA DE CREDITO"),"","1041")</f>
        <v/>
      </c>
      <c r="D2155" t="str">
        <f>IF(OR(Registro_Compras!$C$242="",Registro_Compras!$O$242=""),"","Efectivo y Equivalentes - Cta. Cte. Operativa")</f>
        <v/>
      </c>
      <c r="E2155" s="20" t="str">
        <f>""</f>
        <v/>
      </c>
      <c r="F2155" s="20" t="str">
        <f>IF($C2155="","",IF(Registro_Compras!$F$242="RHE",(ROUND(Registro_Compras!$L$242*Registro_Compras!$N$242,2)-ROUND(Registro_Compras!$V$242*Registro_Compras!$N$242,2)),ROUND(Registro_Compras!$O$242-Registro_Compras!$S$242,2)))</f>
        <v/>
      </c>
      <c r="G2155" t="str">
        <f>IF($C2155="","","Por la cancelacion del saldo al proveedor")</f>
        <v/>
      </c>
      <c r="H2155" t="str">
        <f>IF($C2155="","",Registro_Compras!$C$242)</f>
        <v/>
      </c>
    </row>
    <row r="2156" spans="1:8" x14ac:dyDescent="0.25">
      <c r="A2156" s="25" t="str">
        <f>IF($C2156="","",Registro_Compras!$B$243)</f>
        <v/>
      </c>
      <c r="B2156" t="str">
        <f>IF($C2156="","","C"&amp;TEXT(INT((ROW()-5)/9)+1,"000")&amp;"-1")</f>
        <v/>
      </c>
      <c r="C2156" t="str">
        <f>IF(OR(Registro_Compras!$C$243="",Registro_Compras!$O$243=""),"",IF(Registro_Compras!$F$243="NOTA DE CREDITO","4212",IF(Registro_Compras!$M$243="","63",Registro_Compras!$M$243)))</f>
        <v/>
      </c>
      <c r="D2156" t="str">
        <f>IF(OR(Registro_Compras!$C$243="",Registro_Compras!$O$243=""),"",IF(Registro_Compras!$F$243="NOTA DE CREDITO","Cuentas por Pagar Comerciales - Terceros (Emitidas)",IF(Registro_Compras!$F$243="RHE","Honorarios Profesionales - Servicios de Terceros","Gastos de Servicios Prestados por Terceros")))</f>
        <v/>
      </c>
      <c r="E2156" s="20" t="str">
        <f>IF($C2156="","",IF(Registro_Compras!$F$243="NOTA DE CREDITO",ABS(Registro_Compras!$O$243),IF(Registro_Compras!$F$243="RHE",ROUND(Registro_Compras!$L$243*Registro_Compras!$N$243,2),ROUND(Registro_Compras!$J$243*Registro_Compras!$N$243,2))))</f>
        <v/>
      </c>
      <c r="F2156" s="20" t="str">
        <f>""</f>
        <v/>
      </c>
      <c r="G2156" t="str">
        <f>IF($C2156="","",IF(Registro_Compras!$F$243="NOTA DE CREDITO","Por la nota de credito "&amp;Registro_Compras!$C$243&amp;" de "&amp;Registro_Compras!$E$243&amp;" [PATRON POR CONFIRMAR CON CONTADOR]",IF(Registro_Compras!$F$243="RHE","Por el registro del recibo por honorarios "&amp;Registro_Compras!$C$243&amp;" de "&amp;Registro_Compras!$E$243&amp;" [PATRON POR CONFIRMAR CON CONTADOR]","Por el registro de la factura "&amp;Registro_Compras!$C$243&amp;" de "&amp;Registro_Compras!$E$243)))</f>
        <v/>
      </c>
      <c r="H2156" t="str">
        <f>IF($C2156="","",Registro_Compras!$C$243)</f>
        <v/>
      </c>
    </row>
    <row r="2157" spans="1:8" x14ac:dyDescent="0.25">
      <c r="A2157" s="25" t="str">
        <f>IF($C2157="","",Registro_Compras!$B$243)</f>
        <v/>
      </c>
      <c r="B2157" t="str">
        <f>IF($C2157="","","C"&amp;TEXT(INT((ROW()-5)/9)+1,"000")&amp;"-1")</f>
        <v/>
      </c>
      <c r="C2157" t="str">
        <f>IF(OR(Registro_Compras!$C$243="",Registro_Compras!$O$243=""),"",IF(Registro_Compras!$F$243="RHE",IF(Registro_Compras!$V$243=0,"","4017"),IF(Registro_Compras!$F$243="NOTA DE CREDITO",IF(Registro_Compras!$M$243="","63",Registro_Compras!$M$243),IF(Registro_Compras!$K$243=0,"","40111"))))</f>
        <v/>
      </c>
      <c r="D2157" t="str">
        <f>IF(OR(Registro_Compras!$C$243="",Registro_Compras!$O$243=""),"",IF(Registro_Compras!$F$243="RHE","Retencion Renta 4ta Categoria por Pagar",IF(Registro_Compras!$F$243="NOTA DE CREDITO","Gastos de Servicios Prestados por Terceros","IGV - Cuenta Propia (Credito Fiscal)")))</f>
        <v/>
      </c>
      <c r="E2157" s="20" t="str">
        <f>IF($C2157="","",IF(Registro_Compras!$F$243="FACTURA",ROUND(Registro_Compras!$K$243*Registro_Compras!$N$243,2),""))</f>
        <v/>
      </c>
      <c r="F2157" s="20" t="str">
        <f>IF($C2157="","",IF(Registro_Compras!$F$243="RHE",ROUND(Registro_Compras!$V$243*Registro_Compras!$N$243,2),IF(Registro_Compras!$F$243="NOTA DE CREDITO",ROUND(ABS(Registro_Compras!$J$243*Registro_Compras!$N$243),2),"")))</f>
        <v/>
      </c>
      <c r="G2157" t="str">
        <f>IF($C2157="","",IF(Registro_Compras!$F$243="NOTA DE CREDITO","Por la nota de credito "&amp;Registro_Compras!$C$243&amp;" de "&amp;Registro_Compras!$E$243&amp;" [PATRON POR CONFIRMAR CON CONTADOR]",IF(Registro_Compras!$F$243="RHE","Por el registro del recibo por honorarios "&amp;Registro_Compras!$C$243&amp;" de "&amp;Registro_Compras!$E$243&amp;" [PATRON POR CONFIRMAR CON CONTADOR]","Por el registro de la factura "&amp;Registro_Compras!$C$243&amp;" de "&amp;Registro_Compras!$E$243)))</f>
        <v/>
      </c>
      <c r="H2157" t="str">
        <f>IF($C2157="","",Registro_Compras!$C$243)</f>
        <v/>
      </c>
    </row>
    <row r="2158" spans="1:8" x14ac:dyDescent="0.25">
      <c r="A2158" s="25" t="str">
        <f>IF($C2158="","",Registro_Compras!$B$243)</f>
        <v/>
      </c>
      <c r="B2158" t="str">
        <f>IF($C2158="","","C"&amp;TEXT(INT((ROW()-5)/9)+1,"000")&amp;"-1")</f>
        <v/>
      </c>
      <c r="C2158" t="str">
        <f>IF(OR(Registro_Compras!$C$243="",Registro_Compras!$O$243=""),"",IF(Registro_Compras!$F$243="NOTA DE CREDITO",IF(Registro_Compras!$K$243=0,"","40111"),"4212"))</f>
        <v/>
      </c>
      <c r="D2158" t="str">
        <f>IF(OR(Registro_Compras!$C$243="",Registro_Compras!$O$243=""),"",IF(Registro_Compras!$F$243="NOTA DE CREDITO","IGV - Cuenta Propia (Credito Fiscal)","Cuentas por Pagar Comerciales - Terceros (Emitidas)"))</f>
        <v/>
      </c>
      <c r="E2158" s="20" t="str">
        <f>""</f>
        <v/>
      </c>
      <c r="F2158" s="20" t="str">
        <f>IF($C2158="","",IF(Registro_Compras!$F$243="NOTA DE CREDITO",ROUND(ABS(Registro_Compras!$K$243*Registro_Compras!$N$243),2),IF(Registro_Compras!$F$243="RHE",(ROUND(Registro_Compras!$L$243*Registro_Compras!$N$243,2)-ROUND(Registro_Compras!$V$243*Registro_Compras!$N$243,2)),Registro_Compras!$O$243)))</f>
        <v/>
      </c>
      <c r="G2158" t="str">
        <f>IF($C2158="","",IF(Registro_Compras!$F$243="NOTA DE CREDITO","Por la nota de credito "&amp;Registro_Compras!$C$243&amp;" de "&amp;Registro_Compras!$E$243&amp;" [PATRON POR CONFIRMAR CON CONTADOR]",IF(Registro_Compras!$F$243="RHE","Por el registro del recibo por honorarios "&amp;Registro_Compras!$C$243&amp;" de "&amp;Registro_Compras!$E$243&amp;" [PATRON POR CONFIRMAR CON CONTADOR]","Por el registro de la factura "&amp;Registro_Compras!$C$243&amp;" de "&amp;Registro_Compras!$E$243)))</f>
        <v/>
      </c>
      <c r="H2158" t="str">
        <f>IF($C2158="","",Registro_Compras!$C$243)</f>
        <v/>
      </c>
    </row>
    <row r="2159" spans="1:8" x14ac:dyDescent="0.25">
      <c r="A2159" s="25" t="str">
        <f>IF($C2159="","",Registro_Compras!$B$243)</f>
        <v/>
      </c>
      <c r="B2159" t="str">
        <f>IF($C2159="","","C"&amp;TEXT(INT((ROW()-5)/9)+1,"000")&amp;"-2")</f>
        <v/>
      </c>
      <c r="C2159" t="str">
        <f>IF(OR(Registro_Compras!$C$243="",Registro_Compras!$O$243=""),"",IF(Registro_Compras!$AB$243="ADMINISTRATIVO","94","95"))</f>
        <v/>
      </c>
      <c r="D2159" t="str">
        <f>IF(OR(Registro_Compras!$C$243="",Registro_Compras!$O$243=""),"",IF(Registro_Compras!$AB$243="ADMINISTRATIVO","Gastos Administrativos","Gastos de Venta y Operacion"))</f>
        <v/>
      </c>
      <c r="E2159" s="20" t="str">
        <f>IF($C2159="","",IF(Registro_Compras!$F$243="NOTA DE CREDITO","",IF(Registro_Compras!$F$243="RHE",ROUND(Registro_Compras!$L$243*Registro_Compras!$N$243,2),ROUND(Registro_Compras!$J$243*Registro_Compras!$N$243,2))))</f>
        <v/>
      </c>
      <c r="F2159" s="20" t="str">
        <f>IF($C2159="","",IF(Registro_Compras!$F$243="NOTA DE CREDITO",ROUND(ABS(Registro_Compras!$J$243*Registro_Compras!$N$243),2),""))</f>
        <v/>
      </c>
      <c r="G2159" t="str">
        <f>IF($C2159="","","Por el destino del gasto")</f>
        <v/>
      </c>
      <c r="H2159" t="str">
        <f>IF($C2159="","",Registro_Compras!$C$243)</f>
        <v/>
      </c>
    </row>
    <row r="2160" spans="1:8" x14ac:dyDescent="0.25">
      <c r="A2160" s="25" t="str">
        <f>IF($C2160="","",Registro_Compras!$B$243)</f>
        <v/>
      </c>
      <c r="B2160" t="str">
        <f>IF($C2160="","","C"&amp;TEXT(INT((ROW()-5)/9)+1,"000")&amp;"-2")</f>
        <v/>
      </c>
      <c r="C2160" t="str">
        <f>IF(OR(Registro_Compras!$C$243="",Registro_Compras!$O$243=""),"","79/791")</f>
        <v/>
      </c>
      <c r="D2160" t="str">
        <f>IF(OR(Registro_Compras!$C$243="",Registro_Compras!$O$243=""),"","Cargas Imputables a Cuentas de Costos y Gastos")</f>
        <v/>
      </c>
      <c r="E2160" s="20" t="str">
        <f>IF($C2160="","",IF(Registro_Compras!$F$243="NOTA DE CREDITO",ROUND(ABS(Registro_Compras!$J$243*Registro_Compras!$N$243),2),""))</f>
        <v/>
      </c>
      <c r="F2160" s="20" t="str">
        <f>IF($C2160="","",IF(Registro_Compras!$F$243="NOTA DE CREDITO","",IF(Registro_Compras!$F$243="RHE",ROUND(Registro_Compras!$L$243*Registro_Compras!$N$243,2),ROUND(Registro_Compras!$J$243*Registro_Compras!$N$243,2))))</f>
        <v/>
      </c>
      <c r="G2160" t="str">
        <f>IF($C2160="","","Por el destino del gasto")</f>
        <v/>
      </c>
      <c r="H2160" t="str">
        <f>IF($C2160="","",Registro_Compras!$C$243)</f>
        <v/>
      </c>
    </row>
    <row r="2161" spans="1:8" x14ac:dyDescent="0.25">
      <c r="A2161" s="25" t="str">
        <f>IF($C2161="","",Registro_Compras!$X$243)</f>
        <v/>
      </c>
      <c r="B2161" t="str">
        <f>IF($C2161="","","C"&amp;TEXT(INT((ROW()-5)/9)+1,"000")&amp;"-3")</f>
        <v/>
      </c>
      <c r="C2161" t="str">
        <f>IF(OR(Registro_Compras!$C$243="",Registro_Compras!$O$243="",Registro_Compras!$R$243&lt;&gt;"SI",Registro_Compras!$X$243=""),"","4212")</f>
        <v/>
      </c>
      <c r="D2161" t="str">
        <f>IF(OR(Registro_Compras!$C$243="",Registro_Compras!$O$243=""),"","Cuentas por Pagar Comerciales - Terceros")</f>
        <v/>
      </c>
      <c r="E2161" s="20" t="str">
        <f>IF($C2161="","",Registro_Compras!$S$243)</f>
        <v/>
      </c>
      <c r="F2161" s="20" t="str">
        <f>""</f>
        <v/>
      </c>
      <c r="G2161" t="str">
        <f>IF($C2161="","","Por el deposito de la detraccion en el Banco de la Nacion")</f>
        <v/>
      </c>
      <c r="H2161" t="str">
        <f>IF($C2161="","",Registro_Compras!$C$243)</f>
        <v/>
      </c>
    </row>
    <row r="2162" spans="1:8" x14ac:dyDescent="0.25">
      <c r="A2162" s="25" t="str">
        <f>IF($C2162="","",Registro_Compras!$X$243)</f>
        <v/>
      </c>
      <c r="B2162" t="str">
        <f>IF($C2162="","","C"&amp;TEXT(INT((ROW()-5)/9)+1,"000")&amp;"-3")</f>
        <v/>
      </c>
      <c r="C2162" t="str">
        <f>IF(OR(Registro_Compras!$C$243="",Registro_Compras!$O$243="",Registro_Compras!$R$243&lt;&gt;"SI",Registro_Compras!$X$243=""),"","1041")</f>
        <v/>
      </c>
      <c r="D2162" t="str">
        <f>IF(OR(Registro_Compras!$C$243="",Registro_Compras!$O$243=""),"","Efectivo y Equivalentes - Cta. Cte. Operativa")</f>
        <v/>
      </c>
      <c r="E2162" s="20" t="str">
        <f>""</f>
        <v/>
      </c>
      <c r="F2162" s="20" t="str">
        <f>IF($C2162="","",Registro_Compras!$S$243)</f>
        <v/>
      </c>
      <c r="G2162" t="str">
        <f>IF($C2162="","","Por el deposito de la detraccion en el Banco de la Nacion")</f>
        <v/>
      </c>
      <c r="H2162" t="str">
        <f>IF($C2162="","",Registro_Compras!$C$243)</f>
        <v/>
      </c>
    </row>
    <row r="2163" spans="1:8" x14ac:dyDescent="0.25">
      <c r="A2163" s="25" t="str">
        <f>IF($C2163="","",Registro_Compras!$Y$243)</f>
        <v/>
      </c>
      <c r="B2163" t="str">
        <f>IF($C2163="","","C"&amp;TEXT(INT((ROW()-5)/9)+1,"000")&amp;"-4")</f>
        <v/>
      </c>
      <c r="C2163" t="str">
        <f>IF(OR(Registro_Compras!$C$243="",Registro_Compras!$O$243="",Registro_Compras!$Y$243="",Registro_Compras!$F$243="NOTA DE CREDITO"),"","4212")</f>
        <v/>
      </c>
      <c r="D2163" t="str">
        <f>IF(OR(Registro_Compras!$C$243="",Registro_Compras!$O$243=""),"","Cuentas por Pagar Comerciales - Terceros")</f>
        <v/>
      </c>
      <c r="E2163" s="20" t="str">
        <f>IF($C2163="","",IF(Registro_Compras!$F$243="RHE",(ROUND(Registro_Compras!$L$243*Registro_Compras!$N$243,2)-ROUND(Registro_Compras!$V$243*Registro_Compras!$N$243,2)),ROUND(Registro_Compras!$O$243-Registro_Compras!$S$243,2)))</f>
        <v/>
      </c>
      <c r="F2163" s="20" t="str">
        <f>""</f>
        <v/>
      </c>
      <c r="G2163" t="str">
        <f>IF($C2163="","","Por la cancelacion del saldo al proveedor")</f>
        <v/>
      </c>
      <c r="H2163" t="str">
        <f>IF($C2163="","",Registro_Compras!$C$243)</f>
        <v/>
      </c>
    </row>
    <row r="2164" spans="1:8" x14ac:dyDescent="0.25">
      <c r="A2164" s="25" t="str">
        <f>IF($C2164="","",Registro_Compras!$Y$243)</f>
        <v/>
      </c>
      <c r="B2164" t="str">
        <f>IF($C2164="","","C"&amp;TEXT(INT((ROW()-5)/9)+1,"000")&amp;"-4")</f>
        <v/>
      </c>
      <c r="C2164" t="str">
        <f>IF(OR(Registro_Compras!$C$243="",Registro_Compras!$O$243="",Registro_Compras!$Y$243="",Registro_Compras!$F$243="NOTA DE CREDITO"),"","1041")</f>
        <v/>
      </c>
      <c r="D2164" t="str">
        <f>IF(OR(Registro_Compras!$C$243="",Registro_Compras!$O$243=""),"","Efectivo y Equivalentes - Cta. Cte. Operativa")</f>
        <v/>
      </c>
      <c r="E2164" s="20" t="str">
        <f>""</f>
        <v/>
      </c>
      <c r="F2164" s="20" t="str">
        <f>IF($C2164="","",IF(Registro_Compras!$F$243="RHE",(ROUND(Registro_Compras!$L$243*Registro_Compras!$N$243,2)-ROUND(Registro_Compras!$V$243*Registro_Compras!$N$243,2)),ROUND(Registro_Compras!$O$243-Registro_Compras!$S$243,2)))</f>
        <v/>
      </c>
      <c r="G2164" t="str">
        <f>IF($C2164="","","Por la cancelacion del saldo al proveedor")</f>
        <v/>
      </c>
      <c r="H2164" t="str">
        <f>IF($C2164="","",Registro_Compras!$C$243)</f>
        <v/>
      </c>
    </row>
    <row r="2165" spans="1:8" x14ac:dyDescent="0.25">
      <c r="A2165" s="25" t="str">
        <f>IF($C2165="","",Registro_Compras!$B$244)</f>
        <v/>
      </c>
      <c r="B2165" t="str">
        <f>IF($C2165="","","C"&amp;TEXT(INT((ROW()-5)/9)+1,"000")&amp;"-1")</f>
        <v/>
      </c>
      <c r="C2165" t="str">
        <f>IF(OR(Registro_Compras!$C$244="",Registro_Compras!$O$244=""),"",IF(Registro_Compras!$F$244="NOTA DE CREDITO","4212",IF(Registro_Compras!$M$244="","63",Registro_Compras!$M$244)))</f>
        <v/>
      </c>
      <c r="D2165" t="str">
        <f>IF(OR(Registro_Compras!$C$244="",Registro_Compras!$O$244=""),"",IF(Registro_Compras!$F$244="NOTA DE CREDITO","Cuentas por Pagar Comerciales - Terceros (Emitidas)",IF(Registro_Compras!$F$244="RHE","Honorarios Profesionales - Servicios de Terceros","Gastos de Servicios Prestados por Terceros")))</f>
        <v/>
      </c>
      <c r="E2165" s="20" t="str">
        <f>IF($C2165="","",IF(Registro_Compras!$F$244="NOTA DE CREDITO",ABS(Registro_Compras!$O$244),IF(Registro_Compras!$F$244="RHE",ROUND(Registro_Compras!$L$244*Registro_Compras!$N$244,2),ROUND(Registro_Compras!$J$244*Registro_Compras!$N$244,2))))</f>
        <v/>
      </c>
      <c r="F2165" s="20" t="str">
        <f>""</f>
        <v/>
      </c>
      <c r="G2165" t="str">
        <f>IF($C2165="","",IF(Registro_Compras!$F$244="NOTA DE CREDITO","Por la nota de credito "&amp;Registro_Compras!$C$244&amp;" de "&amp;Registro_Compras!$E$244&amp;" [PATRON POR CONFIRMAR CON CONTADOR]",IF(Registro_Compras!$F$244="RHE","Por el registro del recibo por honorarios "&amp;Registro_Compras!$C$244&amp;" de "&amp;Registro_Compras!$E$244&amp;" [PATRON POR CONFIRMAR CON CONTADOR]","Por el registro de la factura "&amp;Registro_Compras!$C$244&amp;" de "&amp;Registro_Compras!$E$244)))</f>
        <v/>
      </c>
      <c r="H2165" t="str">
        <f>IF($C2165="","",Registro_Compras!$C$244)</f>
        <v/>
      </c>
    </row>
    <row r="2166" spans="1:8" x14ac:dyDescent="0.25">
      <c r="A2166" s="25" t="str">
        <f>IF($C2166="","",Registro_Compras!$B$244)</f>
        <v/>
      </c>
      <c r="B2166" t="str">
        <f>IF($C2166="","","C"&amp;TEXT(INT((ROW()-5)/9)+1,"000")&amp;"-1")</f>
        <v/>
      </c>
      <c r="C2166" t="str">
        <f>IF(OR(Registro_Compras!$C$244="",Registro_Compras!$O$244=""),"",IF(Registro_Compras!$F$244="RHE",IF(Registro_Compras!$V$244=0,"","4017"),IF(Registro_Compras!$F$244="NOTA DE CREDITO",IF(Registro_Compras!$M$244="","63",Registro_Compras!$M$244),IF(Registro_Compras!$K$244=0,"","40111"))))</f>
        <v/>
      </c>
      <c r="D2166" t="str">
        <f>IF(OR(Registro_Compras!$C$244="",Registro_Compras!$O$244=""),"",IF(Registro_Compras!$F$244="RHE","Retencion Renta 4ta Categoria por Pagar",IF(Registro_Compras!$F$244="NOTA DE CREDITO","Gastos de Servicios Prestados por Terceros","IGV - Cuenta Propia (Credito Fiscal)")))</f>
        <v/>
      </c>
      <c r="E2166" s="20" t="str">
        <f>IF($C2166="","",IF(Registro_Compras!$F$244="FACTURA",ROUND(Registro_Compras!$K$244*Registro_Compras!$N$244,2),""))</f>
        <v/>
      </c>
      <c r="F2166" s="20" t="str">
        <f>IF($C2166="","",IF(Registro_Compras!$F$244="RHE",ROUND(Registro_Compras!$V$244*Registro_Compras!$N$244,2),IF(Registro_Compras!$F$244="NOTA DE CREDITO",ROUND(ABS(Registro_Compras!$J$244*Registro_Compras!$N$244),2),"")))</f>
        <v/>
      </c>
      <c r="G2166" t="str">
        <f>IF($C2166="","",IF(Registro_Compras!$F$244="NOTA DE CREDITO","Por la nota de credito "&amp;Registro_Compras!$C$244&amp;" de "&amp;Registro_Compras!$E$244&amp;" [PATRON POR CONFIRMAR CON CONTADOR]",IF(Registro_Compras!$F$244="RHE","Por el registro del recibo por honorarios "&amp;Registro_Compras!$C$244&amp;" de "&amp;Registro_Compras!$E$244&amp;" [PATRON POR CONFIRMAR CON CONTADOR]","Por el registro de la factura "&amp;Registro_Compras!$C$244&amp;" de "&amp;Registro_Compras!$E$244)))</f>
        <v/>
      </c>
      <c r="H2166" t="str">
        <f>IF($C2166="","",Registro_Compras!$C$244)</f>
        <v/>
      </c>
    </row>
    <row r="2167" spans="1:8" x14ac:dyDescent="0.25">
      <c r="A2167" s="25" t="str">
        <f>IF($C2167="","",Registro_Compras!$B$244)</f>
        <v/>
      </c>
      <c r="B2167" t="str">
        <f>IF($C2167="","","C"&amp;TEXT(INT((ROW()-5)/9)+1,"000")&amp;"-1")</f>
        <v/>
      </c>
      <c r="C2167" t="str">
        <f>IF(OR(Registro_Compras!$C$244="",Registro_Compras!$O$244=""),"",IF(Registro_Compras!$F$244="NOTA DE CREDITO",IF(Registro_Compras!$K$244=0,"","40111"),"4212"))</f>
        <v/>
      </c>
      <c r="D2167" t="str">
        <f>IF(OR(Registro_Compras!$C$244="",Registro_Compras!$O$244=""),"",IF(Registro_Compras!$F$244="NOTA DE CREDITO","IGV - Cuenta Propia (Credito Fiscal)","Cuentas por Pagar Comerciales - Terceros (Emitidas)"))</f>
        <v/>
      </c>
      <c r="E2167" s="20" t="str">
        <f>""</f>
        <v/>
      </c>
      <c r="F2167" s="20" t="str">
        <f>IF($C2167="","",IF(Registro_Compras!$F$244="NOTA DE CREDITO",ROUND(ABS(Registro_Compras!$K$244*Registro_Compras!$N$244),2),IF(Registro_Compras!$F$244="RHE",(ROUND(Registro_Compras!$L$244*Registro_Compras!$N$244,2)-ROUND(Registro_Compras!$V$244*Registro_Compras!$N$244,2)),Registro_Compras!$O$244)))</f>
        <v/>
      </c>
      <c r="G2167" t="str">
        <f>IF($C2167="","",IF(Registro_Compras!$F$244="NOTA DE CREDITO","Por la nota de credito "&amp;Registro_Compras!$C$244&amp;" de "&amp;Registro_Compras!$E$244&amp;" [PATRON POR CONFIRMAR CON CONTADOR]",IF(Registro_Compras!$F$244="RHE","Por el registro del recibo por honorarios "&amp;Registro_Compras!$C$244&amp;" de "&amp;Registro_Compras!$E$244&amp;" [PATRON POR CONFIRMAR CON CONTADOR]","Por el registro de la factura "&amp;Registro_Compras!$C$244&amp;" de "&amp;Registro_Compras!$E$244)))</f>
        <v/>
      </c>
      <c r="H2167" t="str">
        <f>IF($C2167="","",Registro_Compras!$C$244)</f>
        <v/>
      </c>
    </row>
    <row r="2168" spans="1:8" x14ac:dyDescent="0.25">
      <c r="A2168" s="25" t="str">
        <f>IF($C2168="","",Registro_Compras!$B$244)</f>
        <v/>
      </c>
      <c r="B2168" t="str">
        <f>IF($C2168="","","C"&amp;TEXT(INT((ROW()-5)/9)+1,"000")&amp;"-2")</f>
        <v/>
      </c>
      <c r="C2168" t="str">
        <f>IF(OR(Registro_Compras!$C$244="",Registro_Compras!$O$244=""),"",IF(Registro_Compras!$AB$244="ADMINISTRATIVO","94","95"))</f>
        <v/>
      </c>
      <c r="D2168" t="str">
        <f>IF(OR(Registro_Compras!$C$244="",Registro_Compras!$O$244=""),"",IF(Registro_Compras!$AB$244="ADMINISTRATIVO","Gastos Administrativos","Gastos de Venta y Operacion"))</f>
        <v/>
      </c>
      <c r="E2168" s="20" t="str">
        <f>IF($C2168="","",IF(Registro_Compras!$F$244="NOTA DE CREDITO","",IF(Registro_Compras!$F$244="RHE",ROUND(Registro_Compras!$L$244*Registro_Compras!$N$244,2),ROUND(Registro_Compras!$J$244*Registro_Compras!$N$244,2))))</f>
        <v/>
      </c>
      <c r="F2168" s="20" t="str">
        <f>IF($C2168="","",IF(Registro_Compras!$F$244="NOTA DE CREDITO",ROUND(ABS(Registro_Compras!$J$244*Registro_Compras!$N$244),2),""))</f>
        <v/>
      </c>
      <c r="G2168" t="str">
        <f>IF($C2168="","","Por el destino del gasto")</f>
        <v/>
      </c>
      <c r="H2168" t="str">
        <f>IF($C2168="","",Registro_Compras!$C$244)</f>
        <v/>
      </c>
    </row>
    <row r="2169" spans="1:8" x14ac:dyDescent="0.25">
      <c r="A2169" s="25" t="str">
        <f>IF($C2169="","",Registro_Compras!$B$244)</f>
        <v/>
      </c>
      <c r="B2169" t="str">
        <f>IF($C2169="","","C"&amp;TEXT(INT((ROW()-5)/9)+1,"000")&amp;"-2")</f>
        <v/>
      </c>
      <c r="C2169" t="str">
        <f>IF(OR(Registro_Compras!$C$244="",Registro_Compras!$O$244=""),"","79/791")</f>
        <v/>
      </c>
      <c r="D2169" t="str">
        <f>IF(OR(Registro_Compras!$C$244="",Registro_Compras!$O$244=""),"","Cargas Imputables a Cuentas de Costos y Gastos")</f>
        <v/>
      </c>
      <c r="E2169" s="20" t="str">
        <f>IF($C2169="","",IF(Registro_Compras!$F$244="NOTA DE CREDITO",ROUND(ABS(Registro_Compras!$J$244*Registro_Compras!$N$244),2),""))</f>
        <v/>
      </c>
      <c r="F2169" s="20" t="str">
        <f>IF($C2169="","",IF(Registro_Compras!$F$244="NOTA DE CREDITO","",IF(Registro_Compras!$F$244="RHE",ROUND(Registro_Compras!$L$244*Registro_Compras!$N$244,2),ROUND(Registro_Compras!$J$244*Registro_Compras!$N$244,2))))</f>
        <v/>
      </c>
      <c r="G2169" t="str">
        <f>IF($C2169="","","Por el destino del gasto")</f>
        <v/>
      </c>
      <c r="H2169" t="str">
        <f>IF($C2169="","",Registro_Compras!$C$244)</f>
        <v/>
      </c>
    </row>
    <row r="2170" spans="1:8" x14ac:dyDescent="0.25">
      <c r="A2170" s="25" t="str">
        <f>IF($C2170="","",Registro_Compras!$X$244)</f>
        <v/>
      </c>
      <c r="B2170" t="str">
        <f>IF($C2170="","","C"&amp;TEXT(INT((ROW()-5)/9)+1,"000")&amp;"-3")</f>
        <v/>
      </c>
      <c r="C2170" t="str">
        <f>IF(OR(Registro_Compras!$C$244="",Registro_Compras!$O$244="",Registro_Compras!$R$244&lt;&gt;"SI",Registro_Compras!$X$244=""),"","4212")</f>
        <v/>
      </c>
      <c r="D2170" t="str">
        <f>IF(OR(Registro_Compras!$C$244="",Registro_Compras!$O$244=""),"","Cuentas por Pagar Comerciales - Terceros")</f>
        <v/>
      </c>
      <c r="E2170" s="20" t="str">
        <f>IF($C2170="","",Registro_Compras!$S$244)</f>
        <v/>
      </c>
      <c r="F2170" s="20" t="str">
        <f>""</f>
        <v/>
      </c>
      <c r="G2170" t="str">
        <f>IF($C2170="","","Por el deposito de la detraccion en el Banco de la Nacion")</f>
        <v/>
      </c>
      <c r="H2170" t="str">
        <f>IF($C2170="","",Registro_Compras!$C$244)</f>
        <v/>
      </c>
    </row>
    <row r="2171" spans="1:8" x14ac:dyDescent="0.25">
      <c r="A2171" s="25" t="str">
        <f>IF($C2171="","",Registro_Compras!$X$244)</f>
        <v/>
      </c>
      <c r="B2171" t="str">
        <f>IF($C2171="","","C"&amp;TEXT(INT((ROW()-5)/9)+1,"000")&amp;"-3")</f>
        <v/>
      </c>
      <c r="C2171" t="str">
        <f>IF(OR(Registro_Compras!$C$244="",Registro_Compras!$O$244="",Registro_Compras!$R$244&lt;&gt;"SI",Registro_Compras!$X$244=""),"","1041")</f>
        <v/>
      </c>
      <c r="D2171" t="str">
        <f>IF(OR(Registro_Compras!$C$244="",Registro_Compras!$O$244=""),"","Efectivo y Equivalentes - Cta. Cte. Operativa")</f>
        <v/>
      </c>
      <c r="E2171" s="20" t="str">
        <f>""</f>
        <v/>
      </c>
      <c r="F2171" s="20" t="str">
        <f>IF($C2171="","",Registro_Compras!$S$244)</f>
        <v/>
      </c>
      <c r="G2171" t="str">
        <f>IF($C2171="","","Por el deposito de la detraccion en el Banco de la Nacion")</f>
        <v/>
      </c>
      <c r="H2171" t="str">
        <f>IF($C2171="","",Registro_Compras!$C$244)</f>
        <v/>
      </c>
    </row>
    <row r="2172" spans="1:8" x14ac:dyDescent="0.25">
      <c r="A2172" s="25" t="str">
        <f>IF($C2172="","",Registro_Compras!$Y$244)</f>
        <v/>
      </c>
      <c r="B2172" t="str">
        <f>IF($C2172="","","C"&amp;TEXT(INT((ROW()-5)/9)+1,"000")&amp;"-4")</f>
        <v/>
      </c>
      <c r="C2172" t="str">
        <f>IF(OR(Registro_Compras!$C$244="",Registro_Compras!$O$244="",Registro_Compras!$Y$244="",Registro_Compras!$F$244="NOTA DE CREDITO"),"","4212")</f>
        <v/>
      </c>
      <c r="D2172" t="str">
        <f>IF(OR(Registro_Compras!$C$244="",Registro_Compras!$O$244=""),"","Cuentas por Pagar Comerciales - Terceros")</f>
        <v/>
      </c>
      <c r="E2172" s="20" t="str">
        <f>IF($C2172="","",IF(Registro_Compras!$F$244="RHE",(ROUND(Registro_Compras!$L$244*Registro_Compras!$N$244,2)-ROUND(Registro_Compras!$V$244*Registro_Compras!$N$244,2)),ROUND(Registro_Compras!$O$244-Registro_Compras!$S$244,2)))</f>
        <v/>
      </c>
      <c r="F2172" s="20" t="str">
        <f>""</f>
        <v/>
      </c>
      <c r="G2172" t="str">
        <f>IF($C2172="","","Por la cancelacion del saldo al proveedor")</f>
        <v/>
      </c>
      <c r="H2172" t="str">
        <f>IF($C2172="","",Registro_Compras!$C$244)</f>
        <v/>
      </c>
    </row>
    <row r="2173" spans="1:8" x14ac:dyDescent="0.25">
      <c r="A2173" s="25" t="str">
        <f>IF($C2173="","",Registro_Compras!$Y$244)</f>
        <v/>
      </c>
      <c r="B2173" t="str">
        <f>IF($C2173="","","C"&amp;TEXT(INT((ROW()-5)/9)+1,"000")&amp;"-4")</f>
        <v/>
      </c>
      <c r="C2173" t="str">
        <f>IF(OR(Registro_Compras!$C$244="",Registro_Compras!$O$244="",Registro_Compras!$Y$244="",Registro_Compras!$F$244="NOTA DE CREDITO"),"","1041")</f>
        <v/>
      </c>
      <c r="D2173" t="str">
        <f>IF(OR(Registro_Compras!$C$244="",Registro_Compras!$O$244=""),"","Efectivo y Equivalentes - Cta. Cte. Operativa")</f>
        <v/>
      </c>
      <c r="E2173" s="20" t="str">
        <f>""</f>
        <v/>
      </c>
      <c r="F2173" s="20" t="str">
        <f>IF($C2173="","",IF(Registro_Compras!$F$244="RHE",(ROUND(Registro_Compras!$L$244*Registro_Compras!$N$244,2)-ROUND(Registro_Compras!$V$244*Registro_Compras!$N$244,2)),ROUND(Registro_Compras!$O$244-Registro_Compras!$S$244,2)))</f>
        <v/>
      </c>
      <c r="G2173" t="str">
        <f>IF($C2173="","","Por la cancelacion del saldo al proveedor")</f>
        <v/>
      </c>
      <c r="H2173" t="str">
        <f>IF($C2173="","",Registro_Compras!$C$244)</f>
        <v/>
      </c>
    </row>
    <row r="2174" spans="1:8" x14ac:dyDescent="0.25">
      <c r="A2174" s="25" t="str">
        <f>IF($C2174="","",Registro_Compras!$B$245)</f>
        <v/>
      </c>
      <c r="B2174" t="str">
        <f>IF($C2174="","","C"&amp;TEXT(INT((ROW()-5)/9)+1,"000")&amp;"-1")</f>
        <v/>
      </c>
      <c r="C2174" t="str">
        <f>IF(OR(Registro_Compras!$C$245="",Registro_Compras!$O$245=""),"",IF(Registro_Compras!$F$245="NOTA DE CREDITO","4212",IF(Registro_Compras!$M$245="","63",Registro_Compras!$M$245)))</f>
        <v/>
      </c>
      <c r="D2174" t="str">
        <f>IF(OR(Registro_Compras!$C$245="",Registro_Compras!$O$245=""),"",IF(Registro_Compras!$F$245="NOTA DE CREDITO","Cuentas por Pagar Comerciales - Terceros (Emitidas)",IF(Registro_Compras!$F$245="RHE","Honorarios Profesionales - Servicios de Terceros","Gastos de Servicios Prestados por Terceros")))</f>
        <v/>
      </c>
      <c r="E2174" s="20" t="str">
        <f>IF($C2174="","",IF(Registro_Compras!$F$245="NOTA DE CREDITO",ABS(Registro_Compras!$O$245),IF(Registro_Compras!$F$245="RHE",ROUND(Registro_Compras!$L$245*Registro_Compras!$N$245,2),ROUND(Registro_Compras!$J$245*Registro_Compras!$N$245,2))))</f>
        <v/>
      </c>
      <c r="F2174" s="20" t="str">
        <f>""</f>
        <v/>
      </c>
      <c r="G2174" t="str">
        <f>IF($C2174="","",IF(Registro_Compras!$F$245="NOTA DE CREDITO","Por la nota de credito "&amp;Registro_Compras!$C$245&amp;" de "&amp;Registro_Compras!$E$245&amp;" [PATRON POR CONFIRMAR CON CONTADOR]",IF(Registro_Compras!$F$245="RHE","Por el registro del recibo por honorarios "&amp;Registro_Compras!$C$245&amp;" de "&amp;Registro_Compras!$E$245&amp;" [PATRON POR CONFIRMAR CON CONTADOR]","Por el registro de la factura "&amp;Registro_Compras!$C$245&amp;" de "&amp;Registro_Compras!$E$245)))</f>
        <v/>
      </c>
      <c r="H2174" t="str">
        <f>IF($C2174="","",Registro_Compras!$C$245)</f>
        <v/>
      </c>
    </row>
    <row r="2175" spans="1:8" x14ac:dyDescent="0.25">
      <c r="A2175" s="25" t="str">
        <f>IF($C2175="","",Registro_Compras!$B$245)</f>
        <v/>
      </c>
      <c r="B2175" t="str">
        <f>IF($C2175="","","C"&amp;TEXT(INT((ROW()-5)/9)+1,"000")&amp;"-1")</f>
        <v/>
      </c>
      <c r="C2175" t="str">
        <f>IF(OR(Registro_Compras!$C$245="",Registro_Compras!$O$245=""),"",IF(Registro_Compras!$F$245="RHE",IF(Registro_Compras!$V$245=0,"","4017"),IF(Registro_Compras!$F$245="NOTA DE CREDITO",IF(Registro_Compras!$M$245="","63",Registro_Compras!$M$245),IF(Registro_Compras!$K$245=0,"","40111"))))</f>
        <v/>
      </c>
      <c r="D2175" t="str">
        <f>IF(OR(Registro_Compras!$C$245="",Registro_Compras!$O$245=""),"",IF(Registro_Compras!$F$245="RHE","Retencion Renta 4ta Categoria por Pagar",IF(Registro_Compras!$F$245="NOTA DE CREDITO","Gastos de Servicios Prestados por Terceros","IGV - Cuenta Propia (Credito Fiscal)")))</f>
        <v/>
      </c>
      <c r="E2175" s="20" t="str">
        <f>IF($C2175="","",IF(Registro_Compras!$F$245="FACTURA",ROUND(Registro_Compras!$K$245*Registro_Compras!$N$245,2),""))</f>
        <v/>
      </c>
      <c r="F2175" s="20" t="str">
        <f>IF($C2175="","",IF(Registro_Compras!$F$245="RHE",ROUND(Registro_Compras!$V$245*Registro_Compras!$N$245,2),IF(Registro_Compras!$F$245="NOTA DE CREDITO",ROUND(ABS(Registro_Compras!$J$245*Registro_Compras!$N$245),2),"")))</f>
        <v/>
      </c>
      <c r="G2175" t="str">
        <f>IF($C2175="","",IF(Registro_Compras!$F$245="NOTA DE CREDITO","Por la nota de credito "&amp;Registro_Compras!$C$245&amp;" de "&amp;Registro_Compras!$E$245&amp;" [PATRON POR CONFIRMAR CON CONTADOR]",IF(Registro_Compras!$F$245="RHE","Por el registro del recibo por honorarios "&amp;Registro_Compras!$C$245&amp;" de "&amp;Registro_Compras!$E$245&amp;" [PATRON POR CONFIRMAR CON CONTADOR]","Por el registro de la factura "&amp;Registro_Compras!$C$245&amp;" de "&amp;Registro_Compras!$E$245)))</f>
        <v/>
      </c>
      <c r="H2175" t="str">
        <f>IF($C2175="","",Registro_Compras!$C$245)</f>
        <v/>
      </c>
    </row>
    <row r="2176" spans="1:8" x14ac:dyDescent="0.25">
      <c r="A2176" s="25" t="str">
        <f>IF($C2176="","",Registro_Compras!$B$245)</f>
        <v/>
      </c>
      <c r="B2176" t="str">
        <f>IF($C2176="","","C"&amp;TEXT(INT((ROW()-5)/9)+1,"000")&amp;"-1")</f>
        <v/>
      </c>
      <c r="C2176" t="str">
        <f>IF(OR(Registro_Compras!$C$245="",Registro_Compras!$O$245=""),"",IF(Registro_Compras!$F$245="NOTA DE CREDITO",IF(Registro_Compras!$K$245=0,"","40111"),"4212"))</f>
        <v/>
      </c>
      <c r="D2176" t="str">
        <f>IF(OR(Registro_Compras!$C$245="",Registro_Compras!$O$245=""),"",IF(Registro_Compras!$F$245="NOTA DE CREDITO","IGV - Cuenta Propia (Credito Fiscal)","Cuentas por Pagar Comerciales - Terceros (Emitidas)"))</f>
        <v/>
      </c>
      <c r="E2176" s="20" t="str">
        <f>""</f>
        <v/>
      </c>
      <c r="F2176" s="20" t="str">
        <f>IF($C2176="","",IF(Registro_Compras!$F$245="NOTA DE CREDITO",ROUND(ABS(Registro_Compras!$K$245*Registro_Compras!$N$245),2),IF(Registro_Compras!$F$245="RHE",(ROUND(Registro_Compras!$L$245*Registro_Compras!$N$245,2)-ROUND(Registro_Compras!$V$245*Registro_Compras!$N$245,2)),Registro_Compras!$O$245)))</f>
        <v/>
      </c>
      <c r="G2176" t="str">
        <f>IF($C2176="","",IF(Registro_Compras!$F$245="NOTA DE CREDITO","Por la nota de credito "&amp;Registro_Compras!$C$245&amp;" de "&amp;Registro_Compras!$E$245&amp;" [PATRON POR CONFIRMAR CON CONTADOR]",IF(Registro_Compras!$F$245="RHE","Por el registro del recibo por honorarios "&amp;Registro_Compras!$C$245&amp;" de "&amp;Registro_Compras!$E$245&amp;" [PATRON POR CONFIRMAR CON CONTADOR]","Por el registro de la factura "&amp;Registro_Compras!$C$245&amp;" de "&amp;Registro_Compras!$E$245)))</f>
        <v/>
      </c>
      <c r="H2176" t="str">
        <f>IF($C2176="","",Registro_Compras!$C$245)</f>
        <v/>
      </c>
    </row>
    <row r="2177" spans="1:8" x14ac:dyDescent="0.25">
      <c r="A2177" s="25" t="str">
        <f>IF($C2177="","",Registro_Compras!$B$245)</f>
        <v/>
      </c>
      <c r="B2177" t="str">
        <f>IF($C2177="","","C"&amp;TEXT(INT((ROW()-5)/9)+1,"000")&amp;"-2")</f>
        <v/>
      </c>
      <c r="C2177" t="str">
        <f>IF(OR(Registro_Compras!$C$245="",Registro_Compras!$O$245=""),"",IF(Registro_Compras!$AB$245="ADMINISTRATIVO","94","95"))</f>
        <v/>
      </c>
      <c r="D2177" t="str">
        <f>IF(OR(Registro_Compras!$C$245="",Registro_Compras!$O$245=""),"",IF(Registro_Compras!$AB$245="ADMINISTRATIVO","Gastos Administrativos","Gastos de Venta y Operacion"))</f>
        <v/>
      </c>
      <c r="E2177" s="20" t="str">
        <f>IF($C2177="","",IF(Registro_Compras!$F$245="NOTA DE CREDITO","",IF(Registro_Compras!$F$245="RHE",ROUND(Registro_Compras!$L$245*Registro_Compras!$N$245,2),ROUND(Registro_Compras!$J$245*Registro_Compras!$N$245,2))))</f>
        <v/>
      </c>
      <c r="F2177" s="20" t="str">
        <f>IF($C2177="","",IF(Registro_Compras!$F$245="NOTA DE CREDITO",ROUND(ABS(Registro_Compras!$J$245*Registro_Compras!$N$245),2),""))</f>
        <v/>
      </c>
      <c r="G2177" t="str">
        <f>IF($C2177="","","Por el destino del gasto")</f>
        <v/>
      </c>
      <c r="H2177" t="str">
        <f>IF($C2177="","",Registro_Compras!$C$245)</f>
        <v/>
      </c>
    </row>
    <row r="2178" spans="1:8" x14ac:dyDescent="0.25">
      <c r="A2178" s="25" t="str">
        <f>IF($C2178="","",Registro_Compras!$B$245)</f>
        <v/>
      </c>
      <c r="B2178" t="str">
        <f>IF($C2178="","","C"&amp;TEXT(INT((ROW()-5)/9)+1,"000")&amp;"-2")</f>
        <v/>
      </c>
      <c r="C2178" t="str">
        <f>IF(OR(Registro_Compras!$C$245="",Registro_Compras!$O$245=""),"","79/791")</f>
        <v/>
      </c>
      <c r="D2178" t="str">
        <f>IF(OR(Registro_Compras!$C$245="",Registro_Compras!$O$245=""),"","Cargas Imputables a Cuentas de Costos y Gastos")</f>
        <v/>
      </c>
      <c r="E2178" s="20" t="str">
        <f>IF($C2178="","",IF(Registro_Compras!$F$245="NOTA DE CREDITO",ROUND(ABS(Registro_Compras!$J$245*Registro_Compras!$N$245),2),""))</f>
        <v/>
      </c>
      <c r="F2178" s="20" t="str">
        <f>IF($C2178="","",IF(Registro_Compras!$F$245="NOTA DE CREDITO","",IF(Registro_Compras!$F$245="RHE",ROUND(Registro_Compras!$L$245*Registro_Compras!$N$245,2),ROUND(Registro_Compras!$J$245*Registro_Compras!$N$245,2))))</f>
        <v/>
      </c>
      <c r="G2178" t="str">
        <f>IF($C2178="","","Por el destino del gasto")</f>
        <v/>
      </c>
      <c r="H2178" t="str">
        <f>IF($C2178="","",Registro_Compras!$C$245)</f>
        <v/>
      </c>
    </row>
    <row r="2179" spans="1:8" x14ac:dyDescent="0.25">
      <c r="A2179" s="25" t="str">
        <f>IF($C2179="","",Registro_Compras!$X$245)</f>
        <v/>
      </c>
      <c r="B2179" t="str">
        <f>IF($C2179="","","C"&amp;TEXT(INT((ROW()-5)/9)+1,"000")&amp;"-3")</f>
        <v/>
      </c>
      <c r="C2179" t="str">
        <f>IF(OR(Registro_Compras!$C$245="",Registro_Compras!$O$245="",Registro_Compras!$R$245&lt;&gt;"SI",Registro_Compras!$X$245=""),"","4212")</f>
        <v/>
      </c>
      <c r="D2179" t="str">
        <f>IF(OR(Registro_Compras!$C$245="",Registro_Compras!$O$245=""),"","Cuentas por Pagar Comerciales - Terceros")</f>
        <v/>
      </c>
      <c r="E2179" s="20" t="str">
        <f>IF($C2179="","",Registro_Compras!$S$245)</f>
        <v/>
      </c>
      <c r="F2179" s="20" t="str">
        <f>""</f>
        <v/>
      </c>
      <c r="G2179" t="str">
        <f>IF($C2179="","","Por el deposito de la detraccion en el Banco de la Nacion")</f>
        <v/>
      </c>
      <c r="H2179" t="str">
        <f>IF($C2179="","",Registro_Compras!$C$245)</f>
        <v/>
      </c>
    </row>
    <row r="2180" spans="1:8" x14ac:dyDescent="0.25">
      <c r="A2180" s="25" t="str">
        <f>IF($C2180="","",Registro_Compras!$X$245)</f>
        <v/>
      </c>
      <c r="B2180" t="str">
        <f>IF($C2180="","","C"&amp;TEXT(INT((ROW()-5)/9)+1,"000")&amp;"-3")</f>
        <v/>
      </c>
      <c r="C2180" t="str">
        <f>IF(OR(Registro_Compras!$C$245="",Registro_Compras!$O$245="",Registro_Compras!$R$245&lt;&gt;"SI",Registro_Compras!$X$245=""),"","1041")</f>
        <v/>
      </c>
      <c r="D2180" t="str">
        <f>IF(OR(Registro_Compras!$C$245="",Registro_Compras!$O$245=""),"","Efectivo y Equivalentes - Cta. Cte. Operativa")</f>
        <v/>
      </c>
      <c r="E2180" s="20" t="str">
        <f>""</f>
        <v/>
      </c>
      <c r="F2180" s="20" t="str">
        <f>IF($C2180="","",Registro_Compras!$S$245)</f>
        <v/>
      </c>
      <c r="G2180" t="str">
        <f>IF($C2180="","","Por el deposito de la detraccion en el Banco de la Nacion")</f>
        <v/>
      </c>
      <c r="H2180" t="str">
        <f>IF($C2180="","",Registro_Compras!$C$245)</f>
        <v/>
      </c>
    </row>
    <row r="2181" spans="1:8" x14ac:dyDescent="0.25">
      <c r="A2181" s="25" t="str">
        <f>IF($C2181="","",Registro_Compras!$Y$245)</f>
        <v/>
      </c>
      <c r="B2181" t="str">
        <f>IF($C2181="","","C"&amp;TEXT(INT((ROW()-5)/9)+1,"000")&amp;"-4")</f>
        <v/>
      </c>
      <c r="C2181" t="str">
        <f>IF(OR(Registro_Compras!$C$245="",Registro_Compras!$O$245="",Registro_Compras!$Y$245="",Registro_Compras!$F$245="NOTA DE CREDITO"),"","4212")</f>
        <v/>
      </c>
      <c r="D2181" t="str">
        <f>IF(OR(Registro_Compras!$C$245="",Registro_Compras!$O$245=""),"","Cuentas por Pagar Comerciales - Terceros")</f>
        <v/>
      </c>
      <c r="E2181" s="20" t="str">
        <f>IF($C2181="","",IF(Registro_Compras!$F$245="RHE",(ROUND(Registro_Compras!$L$245*Registro_Compras!$N$245,2)-ROUND(Registro_Compras!$V$245*Registro_Compras!$N$245,2)),ROUND(Registro_Compras!$O$245-Registro_Compras!$S$245,2)))</f>
        <v/>
      </c>
      <c r="F2181" s="20" t="str">
        <f>""</f>
        <v/>
      </c>
      <c r="G2181" t="str">
        <f>IF($C2181="","","Por la cancelacion del saldo al proveedor")</f>
        <v/>
      </c>
      <c r="H2181" t="str">
        <f>IF($C2181="","",Registro_Compras!$C$245)</f>
        <v/>
      </c>
    </row>
    <row r="2182" spans="1:8" x14ac:dyDescent="0.25">
      <c r="A2182" s="25" t="str">
        <f>IF($C2182="","",Registro_Compras!$Y$245)</f>
        <v/>
      </c>
      <c r="B2182" t="str">
        <f>IF($C2182="","","C"&amp;TEXT(INT((ROW()-5)/9)+1,"000")&amp;"-4")</f>
        <v/>
      </c>
      <c r="C2182" t="str">
        <f>IF(OR(Registro_Compras!$C$245="",Registro_Compras!$O$245="",Registro_Compras!$Y$245="",Registro_Compras!$F$245="NOTA DE CREDITO"),"","1041")</f>
        <v/>
      </c>
      <c r="D2182" t="str">
        <f>IF(OR(Registro_Compras!$C$245="",Registro_Compras!$O$245=""),"","Efectivo y Equivalentes - Cta. Cte. Operativa")</f>
        <v/>
      </c>
      <c r="E2182" s="20" t="str">
        <f>""</f>
        <v/>
      </c>
      <c r="F2182" s="20" t="str">
        <f>IF($C2182="","",IF(Registro_Compras!$F$245="RHE",(ROUND(Registro_Compras!$L$245*Registro_Compras!$N$245,2)-ROUND(Registro_Compras!$V$245*Registro_Compras!$N$245,2)),ROUND(Registro_Compras!$O$245-Registro_Compras!$S$245,2)))</f>
        <v/>
      </c>
      <c r="G2182" t="str">
        <f>IF($C2182="","","Por la cancelacion del saldo al proveedor")</f>
        <v/>
      </c>
      <c r="H2182" t="str">
        <f>IF($C2182="","",Registro_Compras!$C$245)</f>
        <v/>
      </c>
    </row>
    <row r="2183" spans="1:8" x14ac:dyDescent="0.25">
      <c r="A2183" s="25" t="str">
        <f>IF($C2183="","",Registro_Compras!$B$246)</f>
        <v/>
      </c>
      <c r="B2183" t="str">
        <f>IF($C2183="","","C"&amp;TEXT(INT((ROW()-5)/9)+1,"000")&amp;"-1")</f>
        <v/>
      </c>
      <c r="C2183" t="str">
        <f>IF(OR(Registro_Compras!$C$246="",Registro_Compras!$O$246=""),"",IF(Registro_Compras!$F$246="NOTA DE CREDITO","4212",IF(Registro_Compras!$M$246="","63",Registro_Compras!$M$246)))</f>
        <v/>
      </c>
      <c r="D2183" t="str">
        <f>IF(OR(Registro_Compras!$C$246="",Registro_Compras!$O$246=""),"",IF(Registro_Compras!$F$246="NOTA DE CREDITO","Cuentas por Pagar Comerciales - Terceros (Emitidas)",IF(Registro_Compras!$F$246="RHE","Honorarios Profesionales - Servicios de Terceros","Gastos de Servicios Prestados por Terceros")))</f>
        <v/>
      </c>
      <c r="E2183" s="20" t="str">
        <f>IF($C2183="","",IF(Registro_Compras!$F$246="NOTA DE CREDITO",ABS(Registro_Compras!$O$246),IF(Registro_Compras!$F$246="RHE",ROUND(Registro_Compras!$L$246*Registro_Compras!$N$246,2),ROUND(Registro_Compras!$J$246*Registro_Compras!$N$246,2))))</f>
        <v/>
      </c>
      <c r="F2183" s="20" t="str">
        <f>""</f>
        <v/>
      </c>
      <c r="G2183" t="str">
        <f>IF($C2183="","",IF(Registro_Compras!$F$246="NOTA DE CREDITO","Por la nota de credito "&amp;Registro_Compras!$C$246&amp;" de "&amp;Registro_Compras!$E$246&amp;" [PATRON POR CONFIRMAR CON CONTADOR]",IF(Registro_Compras!$F$246="RHE","Por el registro del recibo por honorarios "&amp;Registro_Compras!$C$246&amp;" de "&amp;Registro_Compras!$E$246&amp;" [PATRON POR CONFIRMAR CON CONTADOR]","Por el registro de la factura "&amp;Registro_Compras!$C$246&amp;" de "&amp;Registro_Compras!$E$246)))</f>
        <v/>
      </c>
      <c r="H2183" t="str">
        <f>IF($C2183="","",Registro_Compras!$C$246)</f>
        <v/>
      </c>
    </row>
    <row r="2184" spans="1:8" x14ac:dyDescent="0.25">
      <c r="A2184" s="25" t="str">
        <f>IF($C2184="","",Registro_Compras!$B$246)</f>
        <v/>
      </c>
      <c r="B2184" t="str">
        <f>IF($C2184="","","C"&amp;TEXT(INT((ROW()-5)/9)+1,"000")&amp;"-1")</f>
        <v/>
      </c>
      <c r="C2184" t="str">
        <f>IF(OR(Registro_Compras!$C$246="",Registro_Compras!$O$246=""),"",IF(Registro_Compras!$F$246="RHE",IF(Registro_Compras!$V$246=0,"","4017"),IF(Registro_Compras!$F$246="NOTA DE CREDITO",IF(Registro_Compras!$M$246="","63",Registro_Compras!$M$246),IF(Registro_Compras!$K$246=0,"","40111"))))</f>
        <v/>
      </c>
      <c r="D2184" t="str">
        <f>IF(OR(Registro_Compras!$C$246="",Registro_Compras!$O$246=""),"",IF(Registro_Compras!$F$246="RHE","Retencion Renta 4ta Categoria por Pagar",IF(Registro_Compras!$F$246="NOTA DE CREDITO","Gastos de Servicios Prestados por Terceros","IGV - Cuenta Propia (Credito Fiscal)")))</f>
        <v/>
      </c>
      <c r="E2184" s="20" t="str">
        <f>IF($C2184="","",IF(Registro_Compras!$F$246="FACTURA",ROUND(Registro_Compras!$K$246*Registro_Compras!$N$246,2),""))</f>
        <v/>
      </c>
      <c r="F2184" s="20" t="str">
        <f>IF($C2184="","",IF(Registro_Compras!$F$246="RHE",ROUND(Registro_Compras!$V$246*Registro_Compras!$N$246,2),IF(Registro_Compras!$F$246="NOTA DE CREDITO",ROUND(ABS(Registro_Compras!$J$246*Registro_Compras!$N$246),2),"")))</f>
        <v/>
      </c>
      <c r="G2184" t="str">
        <f>IF($C2184="","",IF(Registro_Compras!$F$246="NOTA DE CREDITO","Por la nota de credito "&amp;Registro_Compras!$C$246&amp;" de "&amp;Registro_Compras!$E$246&amp;" [PATRON POR CONFIRMAR CON CONTADOR]",IF(Registro_Compras!$F$246="RHE","Por el registro del recibo por honorarios "&amp;Registro_Compras!$C$246&amp;" de "&amp;Registro_Compras!$E$246&amp;" [PATRON POR CONFIRMAR CON CONTADOR]","Por el registro de la factura "&amp;Registro_Compras!$C$246&amp;" de "&amp;Registro_Compras!$E$246)))</f>
        <v/>
      </c>
      <c r="H2184" t="str">
        <f>IF($C2184="","",Registro_Compras!$C$246)</f>
        <v/>
      </c>
    </row>
    <row r="2185" spans="1:8" x14ac:dyDescent="0.25">
      <c r="A2185" s="25" t="str">
        <f>IF($C2185="","",Registro_Compras!$B$246)</f>
        <v/>
      </c>
      <c r="B2185" t="str">
        <f>IF($C2185="","","C"&amp;TEXT(INT((ROW()-5)/9)+1,"000")&amp;"-1")</f>
        <v/>
      </c>
      <c r="C2185" t="str">
        <f>IF(OR(Registro_Compras!$C$246="",Registro_Compras!$O$246=""),"",IF(Registro_Compras!$F$246="NOTA DE CREDITO",IF(Registro_Compras!$K$246=0,"","40111"),"4212"))</f>
        <v/>
      </c>
      <c r="D2185" t="str">
        <f>IF(OR(Registro_Compras!$C$246="",Registro_Compras!$O$246=""),"",IF(Registro_Compras!$F$246="NOTA DE CREDITO","IGV - Cuenta Propia (Credito Fiscal)","Cuentas por Pagar Comerciales - Terceros (Emitidas)"))</f>
        <v/>
      </c>
      <c r="E2185" s="20" t="str">
        <f>""</f>
        <v/>
      </c>
      <c r="F2185" s="20" t="str">
        <f>IF($C2185="","",IF(Registro_Compras!$F$246="NOTA DE CREDITO",ROUND(ABS(Registro_Compras!$K$246*Registro_Compras!$N$246),2),IF(Registro_Compras!$F$246="RHE",(ROUND(Registro_Compras!$L$246*Registro_Compras!$N$246,2)-ROUND(Registro_Compras!$V$246*Registro_Compras!$N$246,2)),Registro_Compras!$O$246)))</f>
        <v/>
      </c>
      <c r="G2185" t="str">
        <f>IF($C2185="","",IF(Registro_Compras!$F$246="NOTA DE CREDITO","Por la nota de credito "&amp;Registro_Compras!$C$246&amp;" de "&amp;Registro_Compras!$E$246&amp;" [PATRON POR CONFIRMAR CON CONTADOR]",IF(Registro_Compras!$F$246="RHE","Por el registro del recibo por honorarios "&amp;Registro_Compras!$C$246&amp;" de "&amp;Registro_Compras!$E$246&amp;" [PATRON POR CONFIRMAR CON CONTADOR]","Por el registro de la factura "&amp;Registro_Compras!$C$246&amp;" de "&amp;Registro_Compras!$E$246)))</f>
        <v/>
      </c>
      <c r="H2185" t="str">
        <f>IF($C2185="","",Registro_Compras!$C$246)</f>
        <v/>
      </c>
    </row>
    <row r="2186" spans="1:8" x14ac:dyDescent="0.25">
      <c r="A2186" s="25" t="str">
        <f>IF($C2186="","",Registro_Compras!$B$246)</f>
        <v/>
      </c>
      <c r="B2186" t="str">
        <f>IF($C2186="","","C"&amp;TEXT(INT((ROW()-5)/9)+1,"000")&amp;"-2")</f>
        <v/>
      </c>
      <c r="C2186" t="str">
        <f>IF(OR(Registro_Compras!$C$246="",Registro_Compras!$O$246=""),"",IF(Registro_Compras!$AB$246="ADMINISTRATIVO","94","95"))</f>
        <v/>
      </c>
      <c r="D2186" t="str">
        <f>IF(OR(Registro_Compras!$C$246="",Registro_Compras!$O$246=""),"",IF(Registro_Compras!$AB$246="ADMINISTRATIVO","Gastos Administrativos","Gastos de Venta y Operacion"))</f>
        <v/>
      </c>
      <c r="E2186" s="20" t="str">
        <f>IF($C2186="","",IF(Registro_Compras!$F$246="NOTA DE CREDITO","",IF(Registro_Compras!$F$246="RHE",ROUND(Registro_Compras!$L$246*Registro_Compras!$N$246,2),ROUND(Registro_Compras!$J$246*Registro_Compras!$N$246,2))))</f>
        <v/>
      </c>
      <c r="F2186" s="20" t="str">
        <f>IF($C2186="","",IF(Registro_Compras!$F$246="NOTA DE CREDITO",ROUND(ABS(Registro_Compras!$J$246*Registro_Compras!$N$246),2),""))</f>
        <v/>
      </c>
      <c r="G2186" t="str">
        <f>IF($C2186="","","Por el destino del gasto")</f>
        <v/>
      </c>
      <c r="H2186" t="str">
        <f>IF($C2186="","",Registro_Compras!$C$246)</f>
        <v/>
      </c>
    </row>
    <row r="2187" spans="1:8" x14ac:dyDescent="0.25">
      <c r="A2187" s="25" t="str">
        <f>IF($C2187="","",Registro_Compras!$B$246)</f>
        <v/>
      </c>
      <c r="B2187" t="str">
        <f>IF($C2187="","","C"&amp;TEXT(INT((ROW()-5)/9)+1,"000")&amp;"-2")</f>
        <v/>
      </c>
      <c r="C2187" t="str">
        <f>IF(OR(Registro_Compras!$C$246="",Registro_Compras!$O$246=""),"","79/791")</f>
        <v/>
      </c>
      <c r="D2187" t="str">
        <f>IF(OR(Registro_Compras!$C$246="",Registro_Compras!$O$246=""),"","Cargas Imputables a Cuentas de Costos y Gastos")</f>
        <v/>
      </c>
      <c r="E2187" s="20" t="str">
        <f>IF($C2187="","",IF(Registro_Compras!$F$246="NOTA DE CREDITO",ROUND(ABS(Registro_Compras!$J$246*Registro_Compras!$N$246),2),""))</f>
        <v/>
      </c>
      <c r="F2187" s="20" t="str">
        <f>IF($C2187="","",IF(Registro_Compras!$F$246="NOTA DE CREDITO","",IF(Registro_Compras!$F$246="RHE",ROUND(Registro_Compras!$L$246*Registro_Compras!$N$246,2),ROUND(Registro_Compras!$J$246*Registro_Compras!$N$246,2))))</f>
        <v/>
      </c>
      <c r="G2187" t="str">
        <f>IF($C2187="","","Por el destino del gasto")</f>
        <v/>
      </c>
      <c r="H2187" t="str">
        <f>IF($C2187="","",Registro_Compras!$C$246)</f>
        <v/>
      </c>
    </row>
    <row r="2188" spans="1:8" x14ac:dyDescent="0.25">
      <c r="A2188" s="25" t="str">
        <f>IF($C2188="","",Registro_Compras!$X$246)</f>
        <v/>
      </c>
      <c r="B2188" t="str">
        <f>IF($C2188="","","C"&amp;TEXT(INT((ROW()-5)/9)+1,"000")&amp;"-3")</f>
        <v/>
      </c>
      <c r="C2188" t="str">
        <f>IF(OR(Registro_Compras!$C$246="",Registro_Compras!$O$246="",Registro_Compras!$R$246&lt;&gt;"SI",Registro_Compras!$X$246=""),"","4212")</f>
        <v/>
      </c>
      <c r="D2188" t="str">
        <f>IF(OR(Registro_Compras!$C$246="",Registro_Compras!$O$246=""),"","Cuentas por Pagar Comerciales - Terceros")</f>
        <v/>
      </c>
      <c r="E2188" s="20" t="str">
        <f>IF($C2188="","",Registro_Compras!$S$246)</f>
        <v/>
      </c>
      <c r="F2188" s="20" t="str">
        <f>""</f>
        <v/>
      </c>
      <c r="G2188" t="str">
        <f>IF($C2188="","","Por el deposito de la detraccion en el Banco de la Nacion")</f>
        <v/>
      </c>
      <c r="H2188" t="str">
        <f>IF($C2188="","",Registro_Compras!$C$246)</f>
        <v/>
      </c>
    </row>
    <row r="2189" spans="1:8" x14ac:dyDescent="0.25">
      <c r="A2189" s="25" t="str">
        <f>IF($C2189="","",Registro_Compras!$X$246)</f>
        <v/>
      </c>
      <c r="B2189" t="str">
        <f>IF($C2189="","","C"&amp;TEXT(INT((ROW()-5)/9)+1,"000")&amp;"-3")</f>
        <v/>
      </c>
      <c r="C2189" t="str">
        <f>IF(OR(Registro_Compras!$C$246="",Registro_Compras!$O$246="",Registro_Compras!$R$246&lt;&gt;"SI",Registro_Compras!$X$246=""),"","1041")</f>
        <v/>
      </c>
      <c r="D2189" t="str">
        <f>IF(OR(Registro_Compras!$C$246="",Registro_Compras!$O$246=""),"","Efectivo y Equivalentes - Cta. Cte. Operativa")</f>
        <v/>
      </c>
      <c r="E2189" s="20" t="str">
        <f>""</f>
        <v/>
      </c>
      <c r="F2189" s="20" t="str">
        <f>IF($C2189="","",Registro_Compras!$S$246)</f>
        <v/>
      </c>
      <c r="G2189" t="str">
        <f>IF($C2189="","","Por el deposito de la detraccion en el Banco de la Nacion")</f>
        <v/>
      </c>
      <c r="H2189" t="str">
        <f>IF($C2189="","",Registro_Compras!$C$246)</f>
        <v/>
      </c>
    </row>
    <row r="2190" spans="1:8" x14ac:dyDescent="0.25">
      <c r="A2190" s="25" t="str">
        <f>IF($C2190="","",Registro_Compras!$Y$246)</f>
        <v/>
      </c>
      <c r="B2190" t="str">
        <f>IF($C2190="","","C"&amp;TEXT(INT((ROW()-5)/9)+1,"000")&amp;"-4")</f>
        <v/>
      </c>
      <c r="C2190" t="str">
        <f>IF(OR(Registro_Compras!$C$246="",Registro_Compras!$O$246="",Registro_Compras!$Y$246="",Registro_Compras!$F$246="NOTA DE CREDITO"),"","4212")</f>
        <v/>
      </c>
      <c r="D2190" t="str">
        <f>IF(OR(Registro_Compras!$C$246="",Registro_Compras!$O$246=""),"","Cuentas por Pagar Comerciales - Terceros")</f>
        <v/>
      </c>
      <c r="E2190" s="20" t="str">
        <f>IF($C2190="","",IF(Registro_Compras!$F$246="RHE",(ROUND(Registro_Compras!$L$246*Registro_Compras!$N$246,2)-ROUND(Registro_Compras!$V$246*Registro_Compras!$N$246,2)),ROUND(Registro_Compras!$O$246-Registro_Compras!$S$246,2)))</f>
        <v/>
      </c>
      <c r="F2190" s="20" t="str">
        <f>""</f>
        <v/>
      </c>
      <c r="G2190" t="str">
        <f>IF($C2190="","","Por la cancelacion del saldo al proveedor")</f>
        <v/>
      </c>
      <c r="H2190" t="str">
        <f>IF($C2190="","",Registro_Compras!$C$246)</f>
        <v/>
      </c>
    </row>
    <row r="2191" spans="1:8" x14ac:dyDescent="0.25">
      <c r="A2191" s="25" t="str">
        <f>IF($C2191="","",Registro_Compras!$Y$246)</f>
        <v/>
      </c>
      <c r="B2191" t="str">
        <f>IF($C2191="","","C"&amp;TEXT(INT((ROW()-5)/9)+1,"000")&amp;"-4")</f>
        <v/>
      </c>
      <c r="C2191" t="str">
        <f>IF(OR(Registro_Compras!$C$246="",Registro_Compras!$O$246="",Registro_Compras!$Y$246="",Registro_Compras!$F$246="NOTA DE CREDITO"),"","1041")</f>
        <v/>
      </c>
      <c r="D2191" t="str">
        <f>IF(OR(Registro_Compras!$C$246="",Registro_Compras!$O$246=""),"","Efectivo y Equivalentes - Cta. Cte. Operativa")</f>
        <v/>
      </c>
      <c r="E2191" s="20" t="str">
        <f>""</f>
        <v/>
      </c>
      <c r="F2191" s="20" t="str">
        <f>IF($C2191="","",IF(Registro_Compras!$F$246="RHE",(ROUND(Registro_Compras!$L$246*Registro_Compras!$N$246,2)-ROUND(Registro_Compras!$V$246*Registro_Compras!$N$246,2)),ROUND(Registro_Compras!$O$246-Registro_Compras!$S$246,2)))</f>
        <v/>
      </c>
      <c r="G2191" t="str">
        <f>IF($C2191="","","Por la cancelacion del saldo al proveedor")</f>
        <v/>
      </c>
      <c r="H2191" t="str">
        <f>IF($C2191="","",Registro_Compras!$C$246)</f>
        <v/>
      </c>
    </row>
    <row r="2192" spans="1:8" x14ac:dyDescent="0.25">
      <c r="A2192" s="25" t="str">
        <f>IF($C2192="","",Registro_Compras!$B$247)</f>
        <v/>
      </c>
      <c r="B2192" t="str">
        <f>IF($C2192="","","C"&amp;TEXT(INT((ROW()-5)/9)+1,"000")&amp;"-1")</f>
        <v/>
      </c>
      <c r="C2192" t="str">
        <f>IF(OR(Registro_Compras!$C$247="",Registro_Compras!$O$247=""),"",IF(Registro_Compras!$F$247="NOTA DE CREDITO","4212",IF(Registro_Compras!$M$247="","63",Registro_Compras!$M$247)))</f>
        <v/>
      </c>
      <c r="D2192" t="str">
        <f>IF(OR(Registro_Compras!$C$247="",Registro_Compras!$O$247=""),"",IF(Registro_Compras!$F$247="NOTA DE CREDITO","Cuentas por Pagar Comerciales - Terceros (Emitidas)",IF(Registro_Compras!$F$247="RHE","Honorarios Profesionales - Servicios de Terceros","Gastos de Servicios Prestados por Terceros")))</f>
        <v/>
      </c>
      <c r="E2192" s="20" t="str">
        <f>IF($C2192="","",IF(Registro_Compras!$F$247="NOTA DE CREDITO",ABS(Registro_Compras!$O$247),IF(Registro_Compras!$F$247="RHE",ROUND(Registro_Compras!$L$247*Registro_Compras!$N$247,2),ROUND(Registro_Compras!$J$247*Registro_Compras!$N$247,2))))</f>
        <v/>
      </c>
      <c r="F2192" s="20" t="str">
        <f>""</f>
        <v/>
      </c>
      <c r="G2192" t="str">
        <f>IF($C2192="","",IF(Registro_Compras!$F$247="NOTA DE CREDITO","Por la nota de credito "&amp;Registro_Compras!$C$247&amp;" de "&amp;Registro_Compras!$E$247&amp;" [PATRON POR CONFIRMAR CON CONTADOR]",IF(Registro_Compras!$F$247="RHE","Por el registro del recibo por honorarios "&amp;Registro_Compras!$C$247&amp;" de "&amp;Registro_Compras!$E$247&amp;" [PATRON POR CONFIRMAR CON CONTADOR]","Por el registro de la factura "&amp;Registro_Compras!$C$247&amp;" de "&amp;Registro_Compras!$E$247)))</f>
        <v/>
      </c>
      <c r="H2192" t="str">
        <f>IF($C2192="","",Registro_Compras!$C$247)</f>
        <v/>
      </c>
    </row>
    <row r="2193" spans="1:8" x14ac:dyDescent="0.25">
      <c r="A2193" s="25" t="str">
        <f>IF($C2193="","",Registro_Compras!$B$247)</f>
        <v/>
      </c>
      <c r="B2193" t="str">
        <f>IF($C2193="","","C"&amp;TEXT(INT((ROW()-5)/9)+1,"000")&amp;"-1")</f>
        <v/>
      </c>
      <c r="C2193" t="str">
        <f>IF(OR(Registro_Compras!$C$247="",Registro_Compras!$O$247=""),"",IF(Registro_Compras!$F$247="RHE",IF(Registro_Compras!$V$247=0,"","4017"),IF(Registro_Compras!$F$247="NOTA DE CREDITO",IF(Registro_Compras!$M$247="","63",Registro_Compras!$M$247),IF(Registro_Compras!$K$247=0,"","40111"))))</f>
        <v/>
      </c>
      <c r="D2193" t="str">
        <f>IF(OR(Registro_Compras!$C$247="",Registro_Compras!$O$247=""),"",IF(Registro_Compras!$F$247="RHE","Retencion Renta 4ta Categoria por Pagar",IF(Registro_Compras!$F$247="NOTA DE CREDITO","Gastos de Servicios Prestados por Terceros","IGV - Cuenta Propia (Credito Fiscal)")))</f>
        <v/>
      </c>
      <c r="E2193" s="20" t="str">
        <f>IF($C2193="","",IF(Registro_Compras!$F$247="FACTURA",ROUND(Registro_Compras!$K$247*Registro_Compras!$N$247,2),""))</f>
        <v/>
      </c>
      <c r="F2193" s="20" t="str">
        <f>IF($C2193="","",IF(Registro_Compras!$F$247="RHE",ROUND(Registro_Compras!$V$247*Registro_Compras!$N$247,2),IF(Registro_Compras!$F$247="NOTA DE CREDITO",ROUND(ABS(Registro_Compras!$J$247*Registro_Compras!$N$247),2),"")))</f>
        <v/>
      </c>
      <c r="G2193" t="str">
        <f>IF($C2193="","",IF(Registro_Compras!$F$247="NOTA DE CREDITO","Por la nota de credito "&amp;Registro_Compras!$C$247&amp;" de "&amp;Registro_Compras!$E$247&amp;" [PATRON POR CONFIRMAR CON CONTADOR]",IF(Registro_Compras!$F$247="RHE","Por el registro del recibo por honorarios "&amp;Registro_Compras!$C$247&amp;" de "&amp;Registro_Compras!$E$247&amp;" [PATRON POR CONFIRMAR CON CONTADOR]","Por el registro de la factura "&amp;Registro_Compras!$C$247&amp;" de "&amp;Registro_Compras!$E$247)))</f>
        <v/>
      </c>
      <c r="H2193" t="str">
        <f>IF($C2193="","",Registro_Compras!$C$247)</f>
        <v/>
      </c>
    </row>
    <row r="2194" spans="1:8" x14ac:dyDescent="0.25">
      <c r="A2194" s="25" t="str">
        <f>IF($C2194="","",Registro_Compras!$B$247)</f>
        <v/>
      </c>
      <c r="B2194" t="str">
        <f>IF($C2194="","","C"&amp;TEXT(INT((ROW()-5)/9)+1,"000")&amp;"-1")</f>
        <v/>
      </c>
      <c r="C2194" t="str">
        <f>IF(OR(Registro_Compras!$C$247="",Registro_Compras!$O$247=""),"",IF(Registro_Compras!$F$247="NOTA DE CREDITO",IF(Registro_Compras!$K$247=0,"","40111"),"4212"))</f>
        <v/>
      </c>
      <c r="D2194" t="str">
        <f>IF(OR(Registro_Compras!$C$247="",Registro_Compras!$O$247=""),"",IF(Registro_Compras!$F$247="NOTA DE CREDITO","IGV - Cuenta Propia (Credito Fiscal)","Cuentas por Pagar Comerciales - Terceros (Emitidas)"))</f>
        <v/>
      </c>
      <c r="E2194" s="20" t="str">
        <f>""</f>
        <v/>
      </c>
      <c r="F2194" s="20" t="str">
        <f>IF($C2194="","",IF(Registro_Compras!$F$247="NOTA DE CREDITO",ROUND(ABS(Registro_Compras!$K$247*Registro_Compras!$N$247),2),IF(Registro_Compras!$F$247="RHE",(ROUND(Registro_Compras!$L$247*Registro_Compras!$N$247,2)-ROUND(Registro_Compras!$V$247*Registro_Compras!$N$247,2)),Registro_Compras!$O$247)))</f>
        <v/>
      </c>
      <c r="G2194" t="str">
        <f>IF($C2194="","",IF(Registro_Compras!$F$247="NOTA DE CREDITO","Por la nota de credito "&amp;Registro_Compras!$C$247&amp;" de "&amp;Registro_Compras!$E$247&amp;" [PATRON POR CONFIRMAR CON CONTADOR]",IF(Registro_Compras!$F$247="RHE","Por el registro del recibo por honorarios "&amp;Registro_Compras!$C$247&amp;" de "&amp;Registro_Compras!$E$247&amp;" [PATRON POR CONFIRMAR CON CONTADOR]","Por el registro de la factura "&amp;Registro_Compras!$C$247&amp;" de "&amp;Registro_Compras!$E$247)))</f>
        <v/>
      </c>
      <c r="H2194" t="str">
        <f>IF($C2194="","",Registro_Compras!$C$247)</f>
        <v/>
      </c>
    </row>
    <row r="2195" spans="1:8" x14ac:dyDescent="0.25">
      <c r="A2195" s="25" t="str">
        <f>IF($C2195="","",Registro_Compras!$B$247)</f>
        <v/>
      </c>
      <c r="B2195" t="str">
        <f>IF($C2195="","","C"&amp;TEXT(INT((ROW()-5)/9)+1,"000")&amp;"-2")</f>
        <v/>
      </c>
      <c r="C2195" t="str">
        <f>IF(OR(Registro_Compras!$C$247="",Registro_Compras!$O$247=""),"",IF(Registro_Compras!$AB$247="ADMINISTRATIVO","94","95"))</f>
        <v/>
      </c>
      <c r="D2195" t="str">
        <f>IF(OR(Registro_Compras!$C$247="",Registro_Compras!$O$247=""),"",IF(Registro_Compras!$AB$247="ADMINISTRATIVO","Gastos Administrativos","Gastos de Venta y Operacion"))</f>
        <v/>
      </c>
      <c r="E2195" s="20" t="str">
        <f>IF($C2195="","",IF(Registro_Compras!$F$247="NOTA DE CREDITO","",IF(Registro_Compras!$F$247="RHE",ROUND(Registro_Compras!$L$247*Registro_Compras!$N$247,2),ROUND(Registro_Compras!$J$247*Registro_Compras!$N$247,2))))</f>
        <v/>
      </c>
      <c r="F2195" s="20" t="str">
        <f>IF($C2195="","",IF(Registro_Compras!$F$247="NOTA DE CREDITO",ROUND(ABS(Registro_Compras!$J$247*Registro_Compras!$N$247),2),""))</f>
        <v/>
      </c>
      <c r="G2195" t="str">
        <f>IF($C2195="","","Por el destino del gasto")</f>
        <v/>
      </c>
      <c r="H2195" t="str">
        <f>IF($C2195="","",Registro_Compras!$C$247)</f>
        <v/>
      </c>
    </row>
    <row r="2196" spans="1:8" x14ac:dyDescent="0.25">
      <c r="A2196" s="25" t="str">
        <f>IF($C2196="","",Registro_Compras!$B$247)</f>
        <v/>
      </c>
      <c r="B2196" t="str">
        <f>IF($C2196="","","C"&amp;TEXT(INT((ROW()-5)/9)+1,"000")&amp;"-2")</f>
        <v/>
      </c>
      <c r="C2196" t="str">
        <f>IF(OR(Registro_Compras!$C$247="",Registro_Compras!$O$247=""),"","79/791")</f>
        <v/>
      </c>
      <c r="D2196" t="str">
        <f>IF(OR(Registro_Compras!$C$247="",Registro_Compras!$O$247=""),"","Cargas Imputables a Cuentas de Costos y Gastos")</f>
        <v/>
      </c>
      <c r="E2196" s="20" t="str">
        <f>IF($C2196="","",IF(Registro_Compras!$F$247="NOTA DE CREDITO",ROUND(ABS(Registro_Compras!$J$247*Registro_Compras!$N$247),2),""))</f>
        <v/>
      </c>
      <c r="F2196" s="20" t="str">
        <f>IF($C2196="","",IF(Registro_Compras!$F$247="NOTA DE CREDITO","",IF(Registro_Compras!$F$247="RHE",ROUND(Registro_Compras!$L$247*Registro_Compras!$N$247,2),ROUND(Registro_Compras!$J$247*Registro_Compras!$N$247,2))))</f>
        <v/>
      </c>
      <c r="G2196" t="str">
        <f>IF($C2196="","","Por el destino del gasto")</f>
        <v/>
      </c>
      <c r="H2196" t="str">
        <f>IF($C2196="","",Registro_Compras!$C$247)</f>
        <v/>
      </c>
    </row>
    <row r="2197" spans="1:8" x14ac:dyDescent="0.25">
      <c r="A2197" s="25" t="str">
        <f>IF($C2197="","",Registro_Compras!$X$247)</f>
        <v/>
      </c>
      <c r="B2197" t="str">
        <f>IF($C2197="","","C"&amp;TEXT(INT((ROW()-5)/9)+1,"000")&amp;"-3")</f>
        <v/>
      </c>
      <c r="C2197" t="str">
        <f>IF(OR(Registro_Compras!$C$247="",Registro_Compras!$O$247="",Registro_Compras!$R$247&lt;&gt;"SI",Registro_Compras!$X$247=""),"","4212")</f>
        <v/>
      </c>
      <c r="D2197" t="str">
        <f>IF(OR(Registro_Compras!$C$247="",Registro_Compras!$O$247=""),"","Cuentas por Pagar Comerciales - Terceros")</f>
        <v/>
      </c>
      <c r="E2197" s="20" t="str">
        <f>IF($C2197="","",Registro_Compras!$S$247)</f>
        <v/>
      </c>
      <c r="F2197" s="20" t="str">
        <f>""</f>
        <v/>
      </c>
      <c r="G2197" t="str">
        <f>IF($C2197="","","Por el deposito de la detraccion en el Banco de la Nacion")</f>
        <v/>
      </c>
      <c r="H2197" t="str">
        <f>IF($C2197="","",Registro_Compras!$C$247)</f>
        <v/>
      </c>
    </row>
    <row r="2198" spans="1:8" x14ac:dyDescent="0.25">
      <c r="A2198" s="25" t="str">
        <f>IF($C2198="","",Registro_Compras!$X$247)</f>
        <v/>
      </c>
      <c r="B2198" t="str">
        <f>IF($C2198="","","C"&amp;TEXT(INT((ROW()-5)/9)+1,"000")&amp;"-3")</f>
        <v/>
      </c>
      <c r="C2198" t="str">
        <f>IF(OR(Registro_Compras!$C$247="",Registro_Compras!$O$247="",Registro_Compras!$R$247&lt;&gt;"SI",Registro_Compras!$X$247=""),"","1041")</f>
        <v/>
      </c>
      <c r="D2198" t="str">
        <f>IF(OR(Registro_Compras!$C$247="",Registro_Compras!$O$247=""),"","Efectivo y Equivalentes - Cta. Cte. Operativa")</f>
        <v/>
      </c>
      <c r="E2198" s="20" t="str">
        <f>""</f>
        <v/>
      </c>
      <c r="F2198" s="20" t="str">
        <f>IF($C2198="","",Registro_Compras!$S$247)</f>
        <v/>
      </c>
      <c r="G2198" t="str">
        <f>IF($C2198="","","Por el deposito de la detraccion en el Banco de la Nacion")</f>
        <v/>
      </c>
      <c r="H2198" t="str">
        <f>IF($C2198="","",Registro_Compras!$C$247)</f>
        <v/>
      </c>
    </row>
    <row r="2199" spans="1:8" x14ac:dyDescent="0.25">
      <c r="A2199" s="25" t="str">
        <f>IF($C2199="","",Registro_Compras!$Y$247)</f>
        <v/>
      </c>
      <c r="B2199" t="str">
        <f>IF($C2199="","","C"&amp;TEXT(INT((ROW()-5)/9)+1,"000")&amp;"-4")</f>
        <v/>
      </c>
      <c r="C2199" t="str">
        <f>IF(OR(Registro_Compras!$C$247="",Registro_Compras!$O$247="",Registro_Compras!$Y$247="",Registro_Compras!$F$247="NOTA DE CREDITO"),"","4212")</f>
        <v/>
      </c>
      <c r="D2199" t="str">
        <f>IF(OR(Registro_Compras!$C$247="",Registro_Compras!$O$247=""),"","Cuentas por Pagar Comerciales - Terceros")</f>
        <v/>
      </c>
      <c r="E2199" s="20" t="str">
        <f>IF($C2199="","",IF(Registro_Compras!$F$247="RHE",(ROUND(Registro_Compras!$L$247*Registro_Compras!$N$247,2)-ROUND(Registro_Compras!$V$247*Registro_Compras!$N$247,2)),ROUND(Registro_Compras!$O$247-Registro_Compras!$S$247,2)))</f>
        <v/>
      </c>
      <c r="F2199" s="20" t="str">
        <f>""</f>
        <v/>
      </c>
      <c r="G2199" t="str">
        <f>IF($C2199="","","Por la cancelacion del saldo al proveedor")</f>
        <v/>
      </c>
      <c r="H2199" t="str">
        <f>IF($C2199="","",Registro_Compras!$C$247)</f>
        <v/>
      </c>
    </row>
    <row r="2200" spans="1:8" x14ac:dyDescent="0.25">
      <c r="A2200" s="25" t="str">
        <f>IF($C2200="","",Registro_Compras!$Y$247)</f>
        <v/>
      </c>
      <c r="B2200" t="str">
        <f>IF($C2200="","","C"&amp;TEXT(INT((ROW()-5)/9)+1,"000")&amp;"-4")</f>
        <v/>
      </c>
      <c r="C2200" t="str">
        <f>IF(OR(Registro_Compras!$C$247="",Registro_Compras!$O$247="",Registro_Compras!$Y$247="",Registro_Compras!$F$247="NOTA DE CREDITO"),"","1041")</f>
        <v/>
      </c>
      <c r="D2200" t="str">
        <f>IF(OR(Registro_Compras!$C$247="",Registro_Compras!$O$247=""),"","Efectivo y Equivalentes - Cta. Cte. Operativa")</f>
        <v/>
      </c>
      <c r="E2200" s="20" t="str">
        <f>""</f>
        <v/>
      </c>
      <c r="F2200" s="20" t="str">
        <f>IF($C2200="","",IF(Registro_Compras!$F$247="RHE",(ROUND(Registro_Compras!$L$247*Registro_Compras!$N$247,2)-ROUND(Registro_Compras!$V$247*Registro_Compras!$N$247,2)),ROUND(Registro_Compras!$O$247-Registro_Compras!$S$247,2)))</f>
        <v/>
      </c>
      <c r="G2200" t="str">
        <f>IF($C2200="","","Por la cancelacion del saldo al proveedor")</f>
        <v/>
      </c>
      <c r="H2200" t="str">
        <f>IF($C2200="","",Registro_Compras!$C$247)</f>
        <v/>
      </c>
    </row>
    <row r="2201" spans="1:8" x14ac:dyDescent="0.25">
      <c r="A2201" s="25" t="str">
        <f>IF($C2201="","",Registro_Compras!$B$248)</f>
        <v/>
      </c>
      <c r="B2201" t="str">
        <f>IF($C2201="","","C"&amp;TEXT(INT((ROW()-5)/9)+1,"000")&amp;"-1")</f>
        <v/>
      </c>
      <c r="C2201" t="str">
        <f>IF(OR(Registro_Compras!$C$248="",Registro_Compras!$O$248=""),"",IF(Registro_Compras!$F$248="NOTA DE CREDITO","4212",IF(Registro_Compras!$M$248="","63",Registro_Compras!$M$248)))</f>
        <v/>
      </c>
      <c r="D2201" t="str">
        <f>IF(OR(Registro_Compras!$C$248="",Registro_Compras!$O$248=""),"",IF(Registro_Compras!$F$248="NOTA DE CREDITO","Cuentas por Pagar Comerciales - Terceros (Emitidas)",IF(Registro_Compras!$F$248="RHE","Honorarios Profesionales - Servicios de Terceros","Gastos de Servicios Prestados por Terceros")))</f>
        <v/>
      </c>
      <c r="E2201" s="20" t="str">
        <f>IF($C2201="","",IF(Registro_Compras!$F$248="NOTA DE CREDITO",ABS(Registro_Compras!$O$248),IF(Registro_Compras!$F$248="RHE",ROUND(Registro_Compras!$L$248*Registro_Compras!$N$248,2),ROUND(Registro_Compras!$J$248*Registro_Compras!$N$248,2))))</f>
        <v/>
      </c>
      <c r="F2201" s="20" t="str">
        <f>""</f>
        <v/>
      </c>
      <c r="G2201" t="str">
        <f>IF($C2201="","",IF(Registro_Compras!$F$248="NOTA DE CREDITO","Por la nota de credito "&amp;Registro_Compras!$C$248&amp;" de "&amp;Registro_Compras!$E$248&amp;" [PATRON POR CONFIRMAR CON CONTADOR]",IF(Registro_Compras!$F$248="RHE","Por el registro del recibo por honorarios "&amp;Registro_Compras!$C$248&amp;" de "&amp;Registro_Compras!$E$248&amp;" [PATRON POR CONFIRMAR CON CONTADOR]","Por el registro de la factura "&amp;Registro_Compras!$C$248&amp;" de "&amp;Registro_Compras!$E$248)))</f>
        <v/>
      </c>
      <c r="H2201" t="str">
        <f>IF($C2201="","",Registro_Compras!$C$248)</f>
        <v/>
      </c>
    </row>
    <row r="2202" spans="1:8" x14ac:dyDescent="0.25">
      <c r="A2202" s="25" t="str">
        <f>IF($C2202="","",Registro_Compras!$B$248)</f>
        <v/>
      </c>
      <c r="B2202" t="str">
        <f>IF($C2202="","","C"&amp;TEXT(INT((ROW()-5)/9)+1,"000")&amp;"-1")</f>
        <v/>
      </c>
      <c r="C2202" t="str">
        <f>IF(OR(Registro_Compras!$C$248="",Registro_Compras!$O$248=""),"",IF(Registro_Compras!$F$248="RHE",IF(Registro_Compras!$V$248=0,"","4017"),IF(Registro_Compras!$F$248="NOTA DE CREDITO",IF(Registro_Compras!$M$248="","63",Registro_Compras!$M$248),IF(Registro_Compras!$K$248=0,"","40111"))))</f>
        <v/>
      </c>
      <c r="D2202" t="str">
        <f>IF(OR(Registro_Compras!$C$248="",Registro_Compras!$O$248=""),"",IF(Registro_Compras!$F$248="RHE","Retencion Renta 4ta Categoria por Pagar",IF(Registro_Compras!$F$248="NOTA DE CREDITO","Gastos de Servicios Prestados por Terceros","IGV - Cuenta Propia (Credito Fiscal)")))</f>
        <v/>
      </c>
      <c r="E2202" s="20" t="str">
        <f>IF($C2202="","",IF(Registro_Compras!$F$248="FACTURA",ROUND(Registro_Compras!$K$248*Registro_Compras!$N$248,2),""))</f>
        <v/>
      </c>
      <c r="F2202" s="20" t="str">
        <f>IF($C2202="","",IF(Registro_Compras!$F$248="RHE",ROUND(Registro_Compras!$V$248*Registro_Compras!$N$248,2),IF(Registro_Compras!$F$248="NOTA DE CREDITO",ROUND(ABS(Registro_Compras!$J$248*Registro_Compras!$N$248),2),"")))</f>
        <v/>
      </c>
      <c r="G2202" t="str">
        <f>IF($C2202="","",IF(Registro_Compras!$F$248="NOTA DE CREDITO","Por la nota de credito "&amp;Registro_Compras!$C$248&amp;" de "&amp;Registro_Compras!$E$248&amp;" [PATRON POR CONFIRMAR CON CONTADOR]",IF(Registro_Compras!$F$248="RHE","Por el registro del recibo por honorarios "&amp;Registro_Compras!$C$248&amp;" de "&amp;Registro_Compras!$E$248&amp;" [PATRON POR CONFIRMAR CON CONTADOR]","Por el registro de la factura "&amp;Registro_Compras!$C$248&amp;" de "&amp;Registro_Compras!$E$248)))</f>
        <v/>
      </c>
      <c r="H2202" t="str">
        <f>IF($C2202="","",Registro_Compras!$C$248)</f>
        <v/>
      </c>
    </row>
    <row r="2203" spans="1:8" x14ac:dyDescent="0.25">
      <c r="A2203" s="25" t="str">
        <f>IF($C2203="","",Registro_Compras!$B$248)</f>
        <v/>
      </c>
      <c r="B2203" t="str">
        <f>IF($C2203="","","C"&amp;TEXT(INT((ROW()-5)/9)+1,"000")&amp;"-1")</f>
        <v/>
      </c>
      <c r="C2203" t="str">
        <f>IF(OR(Registro_Compras!$C$248="",Registro_Compras!$O$248=""),"",IF(Registro_Compras!$F$248="NOTA DE CREDITO",IF(Registro_Compras!$K$248=0,"","40111"),"4212"))</f>
        <v/>
      </c>
      <c r="D2203" t="str">
        <f>IF(OR(Registro_Compras!$C$248="",Registro_Compras!$O$248=""),"",IF(Registro_Compras!$F$248="NOTA DE CREDITO","IGV - Cuenta Propia (Credito Fiscal)","Cuentas por Pagar Comerciales - Terceros (Emitidas)"))</f>
        <v/>
      </c>
      <c r="E2203" s="20" t="str">
        <f>""</f>
        <v/>
      </c>
      <c r="F2203" s="20" t="str">
        <f>IF($C2203="","",IF(Registro_Compras!$F$248="NOTA DE CREDITO",ROUND(ABS(Registro_Compras!$K$248*Registro_Compras!$N$248),2),IF(Registro_Compras!$F$248="RHE",(ROUND(Registro_Compras!$L$248*Registro_Compras!$N$248,2)-ROUND(Registro_Compras!$V$248*Registro_Compras!$N$248,2)),Registro_Compras!$O$248)))</f>
        <v/>
      </c>
      <c r="G2203" t="str">
        <f>IF($C2203="","",IF(Registro_Compras!$F$248="NOTA DE CREDITO","Por la nota de credito "&amp;Registro_Compras!$C$248&amp;" de "&amp;Registro_Compras!$E$248&amp;" [PATRON POR CONFIRMAR CON CONTADOR]",IF(Registro_Compras!$F$248="RHE","Por el registro del recibo por honorarios "&amp;Registro_Compras!$C$248&amp;" de "&amp;Registro_Compras!$E$248&amp;" [PATRON POR CONFIRMAR CON CONTADOR]","Por el registro de la factura "&amp;Registro_Compras!$C$248&amp;" de "&amp;Registro_Compras!$E$248)))</f>
        <v/>
      </c>
      <c r="H2203" t="str">
        <f>IF($C2203="","",Registro_Compras!$C$248)</f>
        <v/>
      </c>
    </row>
    <row r="2204" spans="1:8" x14ac:dyDescent="0.25">
      <c r="A2204" s="25" t="str">
        <f>IF($C2204="","",Registro_Compras!$B$248)</f>
        <v/>
      </c>
      <c r="B2204" t="str">
        <f>IF($C2204="","","C"&amp;TEXT(INT((ROW()-5)/9)+1,"000")&amp;"-2")</f>
        <v/>
      </c>
      <c r="C2204" t="str">
        <f>IF(OR(Registro_Compras!$C$248="",Registro_Compras!$O$248=""),"",IF(Registro_Compras!$AB$248="ADMINISTRATIVO","94","95"))</f>
        <v/>
      </c>
      <c r="D2204" t="str">
        <f>IF(OR(Registro_Compras!$C$248="",Registro_Compras!$O$248=""),"",IF(Registro_Compras!$AB$248="ADMINISTRATIVO","Gastos Administrativos","Gastos de Venta y Operacion"))</f>
        <v/>
      </c>
      <c r="E2204" s="20" t="str">
        <f>IF($C2204="","",IF(Registro_Compras!$F$248="NOTA DE CREDITO","",IF(Registro_Compras!$F$248="RHE",ROUND(Registro_Compras!$L$248*Registro_Compras!$N$248,2),ROUND(Registro_Compras!$J$248*Registro_Compras!$N$248,2))))</f>
        <v/>
      </c>
      <c r="F2204" s="20" t="str">
        <f>IF($C2204="","",IF(Registro_Compras!$F$248="NOTA DE CREDITO",ROUND(ABS(Registro_Compras!$J$248*Registro_Compras!$N$248),2),""))</f>
        <v/>
      </c>
      <c r="G2204" t="str">
        <f>IF($C2204="","","Por el destino del gasto")</f>
        <v/>
      </c>
      <c r="H2204" t="str">
        <f>IF($C2204="","",Registro_Compras!$C$248)</f>
        <v/>
      </c>
    </row>
    <row r="2205" spans="1:8" x14ac:dyDescent="0.25">
      <c r="A2205" s="25" t="str">
        <f>IF($C2205="","",Registro_Compras!$B$248)</f>
        <v/>
      </c>
      <c r="B2205" t="str">
        <f>IF($C2205="","","C"&amp;TEXT(INT((ROW()-5)/9)+1,"000")&amp;"-2")</f>
        <v/>
      </c>
      <c r="C2205" t="str">
        <f>IF(OR(Registro_Compras!$C$248="",Registro_Compras!$O$248=""),"","79/791")</f>
        <v/>
      </c>
      <c r="D2205" t="str">
        <f>IF(OR(Registro_Compras!$C$248="",Registro_Compras!$O$248=""),"","Cargas Imputables a Cuentas de Costos y Gastos")</f>
        <v/>
      </c>
      <c r="E2205" s="20" t="str">
        <f>IF($C2205="","",IF(Registro_Compras!$F$248="NOTA DE CREDITO",ROUND(ABS(Registro_Compras!$J$248*Registro_Compras!$N$248),2),""))</f>
        <v/>
      </c>
      <c r="F2205" s="20" t="str">
        <f>IF($C2205="","",IF(Registro_Compras!$F$248="NOTA DE CREDITO","",IF(Registro_Compras!$F$248="RHE",ROUND(Registro_Compras!$L$248*Registro_Compras!$N$248,2),ROUND(Registro_Compras!$J$248*Registro_Compras!$N$248,2))))</f>
        <v/>
      </c>
      <c r="G2205" t="str">
        <f>IF($C2205="","","Por el destino del gasto")</f>
        <v/>
      </c>
      <c r="H2205" t="str">
        <f>IF($C2205="","",Registro_Compras!$C$248)</f>
        <v/>
      </c>
    </row>
    <row r="2206" spans="1:8" x14ac:dyDescent="0.25">
      <c r="A2206" s="25" t="str">
        <f>IF($C2206="","",Registro_Compras!$X$248)</f>
        <v/>
      </c>
      <c r="B2206" t="str">
        <f>IF($C2206="","","C"&amp;TEXT(INT((ROW()-5)/9)+1,"000")&amp;"-3")</f>
        <v/>
      </c>
      <c r="C2206" t="str">
        <f>IF(OR(Registro_Compras!$C$248="",Registro_Compras!$O$248="",Registro_Compras!$R$248&lt;&gt;"SI",Registro_Compras!$X$248=""),"","4212")</f>
        <v/>
      </c>
      <c r="D2206" t="str">
        <f>IF(OR(Registro_Compras!$C$248="",Registro_Compras!$O$248=""),"","Cuentas por Pagar Comerciales - Terceros")</f>
        <v/>
      </c>
      <c r="E2206" s="20" t="str">
        <f>IF($C2206="","",Registro_Compras!$S$248)</f>
        <v/>
      </c>
      <c r="F2206" s="20" t="str">
        <f>""</f>
        <v/>
      </c>
      <c r="G2206" t="str">
        <f>IF($C2206="","","Por el deposito de la detraccion en el Banco de la Nacion")</f>
        <v/>
      </c>
      <c r="H2206" t="str">
        <f>IF($C2206="","",Registro_Compras!$C$248)</f>
        <v/>
      </c>
    </row>
    <row r="2207" spans="1:8" x14ac:dyDescent="0.25">
      <c r="A2207" s="25" t="str">
        <f>IF($C2207="","",Registro_Compras!$X$248)</f>
        <v/>
      </c>
      <c r="B2207" t="str">
        <f>IF($C2207="","","C"&amp;TEXT(INT((ROW()-5)/9)+1,"000")&amp;"-3")</f>
        <v/>
      </c>
      <c r="C2207" t="str">
        <f>IF(OR(Registro_Compras!$C$248="",Registro_Compras!$O$248="",Registro_Compras!$R$248&lt;&gt;"SI",Registro_Compras!$X$248=""),"","1041")</f>
        <v/>
      </c>
      <c r="D2207" t="str">
        <f>IF(OR(Registro_Compras!$C$248="",Registro_Compras!$O$248=""),"","Efectivo y Equivalentes - Cta. Cte. Operativa")</f>
        <v/>
      </c>
      <c r="E2207" s="20" t="str">
        <f>""</f>
        <v/>
      </c>
      <c r="F2207" s="20" t="str">
        <f>IF($C2207="","",Registro_Compras!$S$248)</f>
        <v/>
      </c>
      <c r="G2207" t="str">
        <f>IF($C2207="","","Por el deposito de la detraccion en el Banco de la Nacion")</f>
        <v/>
      </c>
      <c r="H2207" t="str">
        <f>IF($C2207="","",Registro_Compras!$C$248)</f>
        <v/>
      </c>
    </row>
    <row r="2208" spans="1:8" x14ac:dyDescent="0.25">
      <c r="A2208" s="25" t="str">
        <f>IF($C2208="","",Registro_Compras!$Y$248)</f>
        <v/>
      </c>
      <c r="B2208" t="str">
        <f>IF($C2208="","","C"&amp;TEXT(INT((ROW()-5)/9)+1,"000")&amp;"-4")</f>
        <v/>
      </c>
      <c r="C2208" t="str">
        <f>IF(OR(Registro_Compras!$C$248="",Registro_Compras!$O$248="",Registro_Compras!$Y$248="",Registro_Compras!$F$248="NOTA DE CREDITO"),"","4212")</f>
        <v/>
      </c>
      <c r="D2208" t="str">
        <f>IF(OR(Registro_Compras!$C$248="",Registro_Compras!$O$248=""),"","Cuentas por Pagar Comerciales - Terceros")</f>
        <v/>
      </c>
      <c r="E2208" s="20" t="str">
        <f>IF($C2208="","",IF(Registro_Compras!$F$248="RHE",(ROUND(Registro_Compras!$L$248*Registro_Compras!$N$248,2)-ROUND(Registro_Compras!$V$248*Registro_Compras!$N$248,2)),ROUND(Registro_Compras!$O$248-Registro_Compras!$S$248,2)))</f>
        <v/>
      </c>
      <c r="F2208" s="20" t="str">
        <f>""</f>
        <v/>
      </c>
      <c r="G2208" t="str">
        <f>IF($C2208="","","Por la cancelacion del saldo al proveedor")</f>
        <v/>
      </c>
      <c r="H2208" t="str">
        <f>IF($C2208="","",Registro_Compras!$C$248)</f>
        <v/>
      </c>
    </row>
    <row r="2209" spans="1:8" x14ac:dyDescent="0.25">
      <c r="A2209" s="25" t="str">
        <f>IF($C2209="","",Registro_Compras!$Y$248)</f>
        <v/>
      </c>
      <c r="B2209" t="str">
        <f>IF($C2209="","","C"&amp;TEXT(INT((ROW()-5)/9)+1,"000")&amp;"-4")</f>
        <v/>
      </c>
      <c r="C2209" t="str">
        <f>IF(OR(Registro_Compras!$C$248="",Registro_Compras!$O$248="",Registro_Compras!$Y$248="",Registro_Compras!$F$248="NOTA DE CREDITO"),"","1041")</f>
        <v/>
      </c>
      <c r="D2209" t="str">
        <f>IF(OR(Registro_Compras!$C$248="",Registro_Compras!$O$248=""),"","Efectivo y Equivalentes - Cta. Cte. Operativa")</f>
        <v/>
      </c>
      <c r="E2209" s="20" t="str">
        <f>""</f>
        <v/>
      </c>
      <c r="F2209" s="20" t="str">
        <f>IF($C2209="","",IF(Registro_Compras!$F$248="RHE",(ROUND(Registro_Compras!$L$248*Registro_Compras!$N$248,2)-ROUND(Registro_Compras!$V$248*Registro_Compras!$N$248,2)),ROUND(Registro_Compras!$O$248-Registro_Compras!$S$248,2)))</f>
        <v/>
      </c>
      <c r="G2209" t="str">
        <f>IF($C2209="","","Por la cancelacion del saldo al proveedor")</f>
        <v/>
      </c>
      <c r="H2209" t="str">
        <f>IF($C2209="","",Registro_Compras!$C$248)</f>
        <v/>
      </c>
    </row>
    <row r="2210" spans="1:8" x14ac:dyDescent="0.25">
      <c r="A2210" s="25" t="str">
        <f>IF($C2210="","",Registro_Compras!$B$249)</f>
        <v/>
      </c>
      <c r="B2210" t="str">
        <f>IF($C2210="","","C"&amp;TEXT(INT((ROW()-5)/9)+1,"000")&amp;"-1")</f>
        <v/>
      </c>
      <c r="C2210" t="str">
        <f>IF(OR(Registro_Compras!$C$249="",Registro_Compras!$O$249=""),"",IF(Registro_Compras!$F$249="NOTA DE CREDITO","4212",IF(Registro_Compras!$M$249="","63",Registro_Compras!$M$249)))</f>
        <v/>
      </c>
      <c r="D2210" t="str">
        <f>IF(OR(Registro_Compras!$C$249="",Registro_Compras!$O$249=""),"",IF(Registro_Compras!$F$249="NOTA DE CREDITO","Cuentas por Pagar Comerciales - Terceros (Emitidas)",IF(Registro_Compras!$F$249="RHE","Honorarios Profesionales - Servicios de Terceros","Gastos de Servicios Prestados por Terceros")))</f>
        <v/>
      </c>
      <c r="E2210" s="20" t="str">
        <f>IF($C2210="","",IF(Registro_Compras!$F$249="NOTA DE CREDITO",ABS(Registro_Compras!$O$249),IF(Registro_Compras!$F$249="RHE",ROUND(Registro_Compras!$L$249*Registro_Compras!$N$249,2),ROUND(Registro_Compras!$J$249*Registro_Compras!$N$249,2))))</f>
        <v/>
      </c>
      <c r="F2210" s="20" t="str">
        <f>""</f>
        <v/>
      </c>
      <c r="G2210" t="str">
        <f>IF($C2210="","",IF(Registro_Compras!$F$249="NOTA DE CREDITO","Por la nota de credito "&amp;Registro_Compras!$C$249&amp;" de "&amp;Registro_Compras!$E$249&amp;" [PATRON POR CONFIRMAR CON CONTADOR]",IF(Registro_Compras!$F$249="RHE","Por el registro del recibo por honorarios "&amp;Registro_Compras!$C$249&amp;" de "&amp;Registro_Compras!$E$249&amp;" [PATRON POR CONFIRMAR CON CONTADOR]","Por el registro de la factura "&amp;Registro_Compras!$C$249&amp;" de "&amp;Registro_Compras!$E$249)))</f>
        <v/>
      </c>
      <c r="H2210" t="str">
        <f>IF($C2210="","",Registro_Compras!$C$249)</f>
        <v/>
      </c>
    </row>
    <row r="2211" spans="1:8" x14ac:dyDescent="0.25">
      <c r="A2211" s="25" t="str">
        <f>IF($C2211="","",Registro_Compras!$B$249)</f>
        <v/>
      </c>
      <c r="B2211" t="str">
        <f>IF($C2211="","","C"&amp;TEXT(INT((ROW()-5)/9)+1,"000")&amp;"-1")</f>
        <v/>
      </c>
      <c r="C2211" t="str">
        <f>IF(OR(Registro_Compras!$C$249="",Registro_Compras!$O$249=""),"",IF(Registro_Compras!$F$249="RHE",IF(Registro_Compras!$V$249=0,"","4017"),IF(Registro_Compras!$F$249="NOTA DE CREDITO",IF(Registro_Compras!$M$249="","63",Registro_Compras!$M$249),IF(Registro_Compras!$K$249=0,"","40111"))))</f>
        <v/>
      </c>
      <c r="D2211" t="str">
        <f>IF(OR(Registro_Compras!$C$249="",Registro_Compras!$O$249=""),"",IF(Registro_Compras!$F$249="RHE","Retencion Renta 4ta Categoria por Pagar",IF(Registro_Compras!$F$249="NOTA DE CREDITO","Gastos de Servicios Prestados por Terceros","IGV - Cuenta Propia (Credito Fiscal)")))</f>
        <v/>
      </c>
      <c r="E2211" s="20" t="str">
        <f>IF($C2211="","",IF(Registro_Compras!$F$249="FACTURA",ROUND(Registro_Compras!$K$249*Registro_Compras!$N$249,2),""))</f>
        <v/>
      </c>
      <c r="F2211" s="20" t="str">
        <f>IF($C2211="","",IF(Registro_Compras!$F$249="RHE",ROUND(Registro_Compras!$V$249*Registro_Compras!$N$249,2),IF(Registro_Compras!$F$249="NOTA DE CREDITO",ROUND(ABS(Registro_Compras!$J$249*Registro_Compras!$N$249),2),"")))</f>
        <v/>
      </c>
      <c r="G2211" t="str">
        <f>IF($C2211="","",IF(Registro_Compras!$F$249="NOTA DE CREDITO","Por la nota de credito "&amp;Registro_Compras!$C$249&amp;" de "&amp;Registro_Compras!$E$249&amp;" [PATRON POR CONFIRMAR CON CONTADOR]",IF(Registro_Compras!$F$249="RHE","Por el registro del recibo por honorarios "&amp;Registro_Compras!$C$249&amp;" de "&amp;Registro_Compras!$E$249&amp;" [PATRON POR CONFIRMAR CON CONTADOR]","Por el registro de la factura "&amp;Registro_Compras!$C$249&amp;" de "&amp;Registro_Compras!$E$249)))</f>
        <v/>
      </c>
      <c r="H2211" t="str">
        <f>IF($C2211="","",Registro_Compras!$C$249)</f>
        <v/>
      </c>
    </row>
    <row r="2212" spans="1:8" x14ac:dyDescent="0.25">
      <c r="A2212" s="25" t="str">
        <f>IF($C2212="","",Registro_Compras!$B$249)</f>
        <v/>
      </c>
      <c r="B2212" t="str">
        <f>IF($C2212="","","C"&amp;TEXT(INT((ROW()-5)/9)+1,"000")&amp;"-1")</f>
        <v/>
      </c>
      <c r="C2212" t="str">
        <f>IF(OR(Registro_Compras!$C$249="",Registro_Compras!$O$249=""),"",IF(Registro_Compras!$F$249="NOTA DE CREDITO",IF(Registro_Compras!$K$249=0,"","40111"),"4212"))</f>
        <v/>
      </c>
      <c r="D2212" t="str">
        <f>IF(OR(Registro_Compras!$C$249="",Registro_Compras!$O$249=""),"",IF(Registro_Compras!$F$249="NOTA DE CREDITO","IGV - Cuenta Propia (Credito Fiscal)","Cuentas por Pagar Comerciales - Terceros (Emitidas)"))</f>
        <v/>
      </c>
      <c r="E2212" s="20" t="str">
        <f>""</f>
        <v/>
      </c>
      <c r="F2212" s="20" t="str">
        <f>IF($C2212="","",IF(Registro_Compras!$F$249="NOTA DE CREDITO",ROUND(ABS(Registro_Compras!$K$249*Registro_Compras!$N$249),2),IF(Registro_Compras!$F$249="RHE",(ROUND(Registro_Compras!$L$249*Registro_Compras!$N$249,2)-ROUND(Registro_Compras!$V$249*Registro_Compras!$N$249,2)),Registro_Compras!$O$249)))</f>
        <v/>
      </c>
      <c r="G2212" t="str">
        <f>IF($C2212="","",IF(Registro_Compras!$F$249="NOTA DE CREDITO","Por la nota de credito "&amp;Registro_Compras!$C$249&amp;" de "&amp;Registro_Compras!$E$249&amp;" [PATRON POR CONFIRMAR CON CONTADOR]",IF(Registro_Compras!$F$249="RHE","Por el registro del recibo por honorarios "&amp;Registro_Compras!$C$249&amp;" de "&amp;Registro_Compras!$E$249&amp;" [PATRON POR CONFIRMAR CON CONTADOR]","Por el registro de la factura "&amp;Registro_Compras!$C$249&amp;" de "&amp;Registro_Compras!$E$249)))</f>
        <v/>
      </c>
      <c r="H2212" t="str">
        <f>IF($C2212="","",Registro_Compras!$C$249)</f>
        <v/>
      </c>
    </row>
    <row r="2213" spans="1:8" x14ac:dyDescent="0.25">
      <c r="A2213" s="25" t="str">
        <f>IF($C2213="","",Registro_Compras!$B$249)</f>
        <v/>
      </c>
      <c r="B2213" t="str">
        <f>IF($C2213="","","C"&amp;TEXT(INT((ROW()-5)/9)+1,"000")&amp;"-2")</f>
        <v/>
      </c>
      <c r="C2213" t="str">
        <f>IF(OR(Registro_Compras!$C$249="",Registro_Compras!$O$249=""),"",IF(Registro_Compras!$AB$249="ADMINISTRATIVO","94","95"))</f>
        <v/>
      </c>
      <c r="D2213" t="str">
        <f>IF(OR(Registro_Compras!$C$249="",Registro_Compras!$O$249=""),"",IF(Registro_Compras!$AB$249="ADMINISTRATIVO","Gastos Administrativos","Gastos de Venta y Operacion"))</f>
        <v/>
      </c>
      <c r="E2213" s="20" t="str">
        <f>IF($C2213="","",IF(Registro_Compras!$F$249="NOTA DE CREDITO","",IF(Registro_Compras!$F$249="RHE",ROUND(Registro_Compras!$L$249*Registro_Compras!$N$249,2),ROUND(Registro_Compras!$J$249*Registro_Compras!$N$249,2))))</f>
        <v/>
      </c>
      <c r="F2213" s="20" t="str">
        <f>IF($C2213="","",IF(Registro_Compras!$F$249="NOTA DE CREDITO",ROUND(ABS(Registro_Compras!$J$249*Registro_Compras!$N$249),2),""))</f>
        <v/>
      </c>
      <c r="G2213" t="str">
        <f>IF($C2213="","","Por el destino del gasto")</f>
        <v/>
      </c>
      <c r="H2213" t="str">
        <f>IF($C2213="","",Registro_Compras!$C$249)</f>
        <v/>
      </c>
    </row>
    <row r="2214" spans="1:8" x14ac:dyDescent="0.25">
      <c r="A2214" s="25" t="str">
        <f>IF($C2214="","",Registro_Compras!$B$249)</f>
        <v/>
      </c>
      <c r="B2214" t="str">
        <f>IF($C2214="","","C"&amp;TEXT(INT((ROW()-5)/9)+1,"000")&amp;"-2")</f>
        <v/>
      </c>
      <c r="C2214" t="str">
        <f>IF(OR(Registro_Compras!$C$249="",Registro_Compras!$O$249=""),"","79/791")</f>
        <v/>
      </c>
      <c r="D2214" t="str">
        <f>IF(OR(Registro_Compras!$C$249="",Registro_Compras!$O$249=""),"","Cargas Imputables a Cuentas de Costos y Gastos")</f>
        <v/>
      </c>
      <c r="E2214" s="20" t="str">
        <f>IF($C2214="","",IF(Registro_Compras!$F$249="NOTA DE CREDITO",ROUND(ABS(Registro_Compras!$J$249*Registro_Compras!$N$249),2),""))</f>
        <v/>
      </c>
      <c r="F2214" s="20" t="str">
        <f>IF($C2214="","",IF(Registro_Compras!$F$249="NOTA DE CREDITO","",IF(Registro_Compras!$F$249="RHE",ROUND(Registro_Compras!$L$249*Registro_Compras!$N$249,2),ROUND(Registro_Compras!$J$249*Registro_Compras!$N$249,2))))</f>
        <v/>
      </c>
      <c r="G2214" t="str">
        <f>IF($C2214="","","Por el destino del gasto")</f>
        <v/>
      </c>
      <c r="H2214" t="str">
        <f>IF($C2214="","",Registro_Compras!$C$249)</f>
        <v/>
      </c>
    </row>
    <row r="2215" spans="1:8" x14ac:dyDescent="0.25">
      <c r="A2215" s="25" t="str">
        <f>IF($C2215="","",Registro_Compras!$X$249)</f>
        <v/>
      </c>
      <c r="B2215" t="str">
        <f>IF($C2215="","","C"&amp;TEXT(INT((ROW()-5)/9)+1,"000")&amp;"-3")</f>
        <v/>
      </c>
      <c r="C2215" t="str">
        <f>IF(OR(Registro_Compras!$C$249="",Registro_Compras!$O$249="",Registro_Compras!$R$249&lt;&gt;"SI",Registro_Compras!$X$249=""),"","4212")</f>
        <v/>
      </c>
      <c r="D2215" t="str">
        <f>IF(OR(Registro_Compras!$C$249="",Registro_Compras!$O$249=""),"","Cuentas por Pagar Comerciales - Terceros")</f>
        <v/>
      </c>
      <c r="E2215" s="20" t="str">
        <f>IF($C2215="","",Registro_Compras!$S$249)</f>
        <v/>
      </c>
      <c r="F2215" s="20" t="str">
        <f>""</f>
        <v/>
      </c>
      <c r="G2215" t="str">
        <f>IF($C2215="","","Por el deposito de la detraccion en el Banco de la Nacion")</f>
        <v/>
      </c>
      <c r="H2215" t="str">
        <f>IF($C2215="","",Registro_Compras!$C$249)</f>
        <v/>
      </c>
    </row>
    <row r="2216" spans="1:8" x14ac:dyDescent="0.25">
      <c r="A2216" s="25" t="str">
        <f>IF($C2216="","",Registro_Compras!$X$249)</f>
        <v/>
      </c>
      <c r="B2216" t="str">
        <f>IF($C2216="","","C"&amp;TEXT(INT((ROW()-5)/9)+1,"000")&amp;"-3")</f>
        <v/>
      </c>
      <c r="C2216" t="str">
        <f>IF(OR(Registro_Compras!$C$249="",Registro_Compras!$O$249="",Registro_Compras!$R$249&lt;&gt;"SI",Registro_Compras!$X$249=""),"","1041")</f>
        <v/>
      </c>
      <c r="D2216" t="str">
        <f>IF(OR(Registro_Compras!$C$249="",Registro_Compras!$O$249=""),"","Efectivo y Equivalentes - Cta. Cte. Operativa")</f>
        <v/>
      </c>
      <c r="E2216" s="20" t="str">
        <f>""</f>
        <v/>
      </c>
      <c r="F2216" s="20" t="str">
        <f>IF($C2216="","",Registro_Compras!$S$249)</f>
        <v/>
      </c>
      <c r="G2216" t="str">
        <f>IF($C2216="","","Por el deposito de la detraccion en el Banco de la Nacion")</f>
        <v/>
      </c>
      <c r="H2216" t="str">
        <f>IF($C2216="","",Registro_Compras!$C$249)</f>
        <v/>
      </c>
    </row>
    <row r="2217" spans="1:8" x14ac:dyDescent="0.25">
      <c r="A2217" s="25" t="str">
        <f>IF($C2217="","",Registro_Compras!$Y$249)</f>
        <v/>
      </c>
      <c r="B2217" t="str">
        <f>IF($C2217="","","C"&amp;TEXT(INT((ROW()-5)/9)+1,"000")&amp;"-4")</f>
        <v/>
      </c>
      <c r="C2217" t="str">
        <f>IF(OR(Registro_Compras!$C$249="",Registro_Compras!$O$249="",Registro_Compras!$Y$249="",Registro_Compras!$F$249="NOTA DE CREDITO"),"","4212")</f>
        <v/>
      </c>
      <c r="D2217" t="str">
        <f>IF(OR(Registro_Compras!$C$249="",Registro_Compras!$O$249=""),"","Cuentas por Pagar Comerciales - Terceros")</f>
        <v/>
      </c>
      <c r="E2217" s="20" t="str">
        <f>IF($C2217="","",IF(Registro_Compras!$F$249="RHE",(ROUND(Registro_Compras!$L$249*Registro_Compras!$N$249,2)-ROUND(Registro_Compras!$V$249*Registro_Compras!$N$249,2)),ROUND(Registro_Compras!$O$249-Registro_Compras!$S$249,2)))</f>
        <v/>
      </c>
      <c r="F2217" s="20" t="str">
        <f>""</f>
        <v/>
      </c>
      <c r="G2217" t="str">
        <f>IF($C2217="","","Por la cancelacion del saldo al proveedor")</f>
        <v/>
      </c>
      <c r="H2217" t="str">
        <f>IF($C2217="","",Registro_Compras!$C$249)</f>
        <v/>
      </c>
    </row>
    <row r="2218" spans="1:8" x14ac:dyDescent="0.25">
      <c r="A2218" s="25" t="str">
        <f>IF($C2218="","",Registro_Compras!$Y$249)</f>
        <v/>
      </c>
      <c r="B2218" t="str">
        <f>IF($C2218="","","C"&amp;TEXT(INT((ROW()-5)/9)+1,"000")&amp;"-4")</f>
        <v/>
      </c>
      <c r="C2218" t="str">
        <f>IF(OR(Registro_Compras!$C$249="",Registro_Compras!$O$249="",Registro_Compras!$Y$249="",Registro_Compras!$F$249="NOTA DE CREDITO"),"","1041")</f>
        <v/>
      </c>
      <c r="D2218" t="str">
        <f>IF(OR(Registro_Compras!$C$249="",Registro_Compras!$O$249=""),"","Efectivo y Equivalentes - Cta. Cte. Operativa")</f>
        <v/>
      </c>
      <c r="E2218" s="20" t="str">
        <f>""</f>
        <v/>
      </c>
      <c r="F2218" s="20" t="str">
        <f>IF($C2218="","",IF(Registro_Compras!$F$249="RHE",(ROUND(Registro_Compras!$L$249*Registro_Compras!$N$249,2)-ROUND(Registro_Compras!$V$249*Registro_Compras!$N$249,2)),ROUND(Registro_Compras!$O$249-Registro_Compras!$S$249,2)))</f>
        <v/>
      </c>
      <c r="G2218" t="str">
        <f>IF($C2218="","","Por la cancelacion del saldo al proveedor")</f>
        <v/>
      </c>
      <c r="H2218" t="str">
        <f>IF($C2218="","",Registro_Compras!$C$249)</f>
        <v/>
      </c>
    </row>
    <row r="2219" spans="1:8" x14ac:dyDescent="0.25">
      <c r="A2219" s="25" t="str">
        <f>IF($C2219="","",Registro_Compras!$B$250)</f>
        <v/>
      </c>
      <c r="B2219" t="str">
        <f>IF($C2219="","","C"&amp;TEXT(INT((ROW()-5)/9)+1,"000")&amp;"-1")</f>
        <v/>
      </c>
      <c r="C2219" t="str">
        <f>IF(OR(Registro_Compras!$C$250="",Registro_Compras!$O$250=""),"",IF(Registro_Compras!$F$250="NOTA DE CREDITO","4212",IF(Registro_Compras!$M$250="","63",Registro_Compras!$M$250)))</f>
        <v/>
      </c>
      <c r="D2219" t="str">
        <f>IF(OR(Registro_Compras!$C$250="",Registro_Compras!$O$250=""),"",IF(Registro_Compras!$F$250="NOTA DE CREDITO","Cuentas por Pagar Comerciales - Terceros (Emitidas)",IF(Registro_Compras!$F$250="RHE","Honorarios Profesionales - Servicios de Terceros","Gastos de Servicios Prestados por Terceros")))</f>
        <v/>
      </c>
      <c r="E2219" s="20" t="str">
        <f>IF($C2219="","",IF(Registro_Compras!$F$250="NOTA DE CREDITO",ABS(Registro_Compras!$O$250),IF(Registro_Compras!$F$250="RHE",ROUND(Registro_Compras!$L$250*Registro_Compras!$N$250,2),ROUND(Registro_Compras!$J$250*Registro_Compras!$N$250,2))))</f>
        <v/>
      </c>
      <c r="F2219" s="20" t="str">
        <f>""</f>
        <v/>
      </c>
      <c r="G2219" t="str">
        <f>IF($C2219="","",IF(Registro_Compras!$F$250="NOTA DE CREDITO","Por la nota de credito "&amp;Registro_Compras!$C$250&amp;" de "&amp;Registro_Compras!$E$250&amp;" [PATRON POR CONFIRMAR CON CONTADOR]",IF(Registro_Compras!$F$250="RHE","Por el registro del recibo por honorarios "&amp;Registro_Compras!$C$250&amp;" de "&amp;Registro_Compras!$E$250&amp;" [PATRON POR CONFIRMAR CON CONTADOR]","Por el registro de la factura "&amp;Registro_Compras!$C$250&amp;" de "&amp;Registro_Compras!$E$250)))</f>
        <v/>
      </c>
      <c r="H2219" t="str">
        <f>IF($C2219="","",Registro_Compras!$C$250)</f>
        <v/>
      </c>
    </row>
    <row r="2220" spans="1:8" x14ac:dyDescent="0.25">
      <c r="A2220" s="25" t="str">
        <f>IF($C2220="","",Registro_Compras!$B$250)</f>
        <v/>
      </c>
      <c r="B2220" t="str">
        <f>IF($C2220="","","C"&amp;TEXT(INT((ROW()-5)/9)+1,"000")&amp;"-1")</f>
        <v/>
      </c>
      <c r="C2220" t="str">
        <f>IF(OR(Registro_Compras!$C$250="",Registro_Compras!$O$250=""),"",IF(Registro_Compras!$F$250="RHE",IF(Registro_Compras!$V$250=0,"","4017"),IF(Registro_Compras!$F$250="NOTA DE CREDITO",IF(Registro_Compras!$M$250="","63",Registro_Compras!$M$250),IF(Registro_Compras!$K$250=0,"","40111"))))</f>
        <v/>
      </c>
      <c r="D2220" t="str">
        <f>IF(OR(Registro_Compras!$C$250="",Registro_Compras!$O$250=""),"",IF(Registro_Compras!$F$250="RHE","Retencion Renta 4ta Categoria por Pagar",IF(Registro_Compras!$F$250="NOTA DE CREDITO","Gastos de Servicios Prestados por Terceros","IGV - Cuenta Propia (Credito Fiscal)")))</f>
        <v/>
      </c>
      <c r="E2220" s="20" t="str">
        <f>IF($C2220="","",IF(Registro_Compras!$F$250="FACTURA",ROUND(Registro_Compras!$K$250*Registro_Compras!$N$250,2),""))</f>
        <v/>
      </c>
      <c r="F2220" s="20" t="str">
        <f>IF($C2220="","",IF(Registro_Compras!$F$250="RHE",ROUND(Registro_Compras!$V$250*Registro_Compras!$N$250,2),IF(Registro_Compras!$F$250="NOTA DE CREDITO",ROUND(ABS(Registro_Compras!$J$250*Registro_Compras!$N$250),2),"")))</f>
        <v/>
      </c>
      <c r="G2220" t="str">
        <f>IF($C2220="","",IF(Registro_Compras!$F$250="NOTA DE CREDITO","Por la nota de credito "&amp;Registro_Compras!$C$250&amp;" de "&amp;Registro_Compras!$E$250&amp;" [PATRON POR CONFIRMAR CON CONTADOR]",IF(Registro_Compras!$F$250="RHE","Por el registro del recibo por honorarios "&amp;Registro_Compras!$C$250&amp;" de "&amp;Registro_Compras!$E$250&amp;" [PATRON POR CONFIRMAR CON CONTADOR]","Por el registro de la factura "&amp;Registro_Compras!$C$250&amp;" de "&amp;Registro_Compras!$E$250)))</f>
        <v/>
      </c>
      <c r="H2220" t="str">
        <f>IF($C2220="","",Registro_Compras!$C$250)</f>
        <v/>
      </c>
    </row>
    <row r="2221" spans="1:8" x14ac:dyDescent="0.25">
      <c r="A2221" s="25" t="str">
        <f>IF($C2221="","",Registro_Compras!$B$250)</f>
        <v/>
      </c>
      <c r="B2221" t="str">
        <f>IF($C2221="","","C"&amp;TEXT(INT((ROW()-5)/9)+1,"000")&amp;"-1")</f>
        <v/>
      </c>
      <c r="C2221" t="str">
        <f>IF(OR(Registro_Compras!$C$250="",Registro_Compras!$O$250=""),"",IF(Registro_Compras!$F$250="NOTA DE CREDITO",IF(Registro_Compras!$K$250=0,"","40111"),"4212"))</f>
        <v/>
      </c>
      <c r="D2221" t="str">
        <f>IF(OR(Registro_Compras!$C$250="",Registro_Compras!$O$250=""),"",IF(Registro_Compras!$F$250="NOTA DE CREDITO","IGV - Cuenta Propia (Credito Fiscal)","Cuentas por Pagar Comerciales - Terceros (Emitidas)"))</f>
        <v/>
      </c>
      <c r="E2221" s="20" t="str">
        <f>""</f>
        <v/>
      </c>
      <c r="F2221" s="20" t="str">
        <f>IF($C2221="","",IF(Registro_Compras!$F$250="NOTA DE CREDITO",ROUND(ABS(Registro_Compras!$K$250*Registro_Compras!$N$250),2),IF(Registro_Compras!$F$250="RHE",(ROUND(Registro_Compras!$L$250*Registro_Compras!$N$250,2)-ROUND(Registro_Compras!$V$250*Registro_Compras!$N$250,2)),Registro_Compras!$O$250)))</f>
        <v/>
      </c>
      <c r="G2221" t="str">
        <f>IF($C2221="","",IF(Registro_Compras!$F$250="NOTA DE CREDITO","Por la nota de credito "&amp;Registro_Compras!$C$250&amp;" de "&amp;Registro_Compras!$E$250&amp;" [PATRON POR CONFIRMAR CON CONTADOR]",IF(Registro_Compras!$F$250="RHE","Por el registro del recibo por honorarios "&amp;Registro_Compras!$C$250&amp;" de "&amp;Registro_Compras!$E$250&amp;" [PATRON POR CONFIRMAR CON CONTADOR]","Por el registro de la factura "&amp;Registro_Compras!$C$250&amp;" de "&amp;Registro_Compras!$E$250)))</f>
        <v/>
      </c>
      <c r="H2221" t="str">
        <f>IF($C2221="","",Registro_Compras!$C$250)</f>
        <v/>
      </c>
    </row>
    <row r="2222" spans="1:8" x14ac:dyDescent="0.25">
      <c r="A2222" s="25" t="str">
        <f>IF($C2222="","",Registro_Compras!$B$250)</f>
        <v/>
      </c>
      <c r="B2222" t="str">
        <f>IF($C2222="","","C"&amp;TEXT(INT((ROW()-5)/9)+1,"000")&amp;"-2")</f>
        <v/>
      </c>
      <c r="C2222" t="str">
        <f>IF(OR(Registro_Compras!$C$250="",Registro_Compras!$O$250=""),"",IF(Registro_Compras!$AB$250="ADMINISTRATIVO","94","95"))</f>
        <v/>
      </c>
      <c r="D2222" t="str">
        <f>IF(OR(Registro_Compras!$C$250="",Registro_Compras!$O$250=""),"",IF(Registro_Compras!$AB$250="ADMINISTRATIVO","Gastos Administrativos","Gastos de Venta y Operacion"))</f>
        <v/>
      </c>
      <c r="E2222" s="20" t="str">
        <f>IF($C2222="","",IF(Registro_Compras!$F$250="NOTA DE CREDITO","",IF(Registro_Compras!$F$250="RHE",ROUND(Registro_Compras!$L$250*Registro_Compras!$N$250,2),ROUND(Registro_Compras!$J$250*Registro_Compras!$N$250,2))))</f>
        <v/>
      </c>
      <c r="F2222" s="20" t="str">
        <f>IF($C2222="","",IF(Registro_Compras!$F$250="NOTA DE CREDITO",ROUND(ABS(Registro_Compras!$J$250*Registro_Compras!$N$250),2),""))</f>
        <v/>
      </c>
      <c r="G2222" t="str">
        <f>IF($C2222="","","Por el destino del gasto")</f>
        <v/>
      </c>
      <c r="H2222" t="str">
        <f>IF($C2222="","",Registro_Compras!$C$250)</f>
        <v/>
      </c>
    </row>
    <row r="2223" spans="1:8" x14ac:dyDescent="0.25">
      <c r="A2223" s="25" t="str">
        <f>IF($C2223="","",Registro_Compras!$B$250)</f>
        <v/>
      </c>
      <c r="B2223" t="str">
        <f>IF($C2223="","","C"&amp;TEXT(INT((ROW()-5)/9)+1,"000")&amp;"-2")</f>
        <v/>
      </c>
      <c r="C2223" t="str">
        <f>IF(OR(Registro_Compras!$C$250="",Registro_Compras!$O$250=""),"","79/791")</f>
        <v/>
      </c>
      <c r="D2223" t="str">
        <f>IF(OR(Registro_Compras!$C$250="",Registro_Compras!$O$250=""),"","Cargas Imputables a Cuentas de Costos y Gastos")</f>
        <v/>
      </c>
      <c r="E2223" s="20" t="str">
        <f>IF($C2223="","",IF(Registro_Compras!$F$250="NOTA DE CREDITO",ROUND(ABS(Registro_Compras!$J$250*Registro_Compras!$N$250),2),""))</f>
        <v/>
      </c>
      <c r="F2223" s="20" t="str">
        <f>IF($C2223="","",IF(Registro_Compras!$F$250="NOTA DE CREDITO","",IF(Registro_Compras!$F$250="RHE",ROUND(Registro_Compras!$L$250*Registro_Compras!$N$250,2),ROUND(Registro_Compras!$J$250*Registro_Compras!$N$250,2))))</f>
        <v/>
      </c>
      <c r="G2223" t="str">
        <f>IF($C2223="","","Por el destino del gasto")</f>
        <v/>
      </c>
      <c r="H2223" t="str">
        <f>IF($C2223="","",Registro_Compras!$C$250)</f>
        <v/>
      </c>
    </row>
    <row r="2224" spans="1:8" x14ac:dyDescent="0.25">
      <c r="A2224" s="25" t="str">
        <f>IF($C2224="","",Registro_Compras!$X$250)</f>
        <v/>
      </c>
      <c r="B2224" t="str">
        <f>IF($C2224="","","C"&amp;TEXT(INT((ROW()-5)/9)+1,"000")&amp;"-3")</f>
        <v/>
      </c>
      <c r="C2224" t="str">
        <f>IF(OR(Registro_Compras!$C$250="",Registro_Compras!$O$250="",Registro_Compras!$R$250&lt;&gt;"SI",Registro_Compras!$X$250=""),"","4212")</f>
        <v/>
      </c>
      <c r="D2224" t="str">
        <f>IF(OR(Registro_Compras!$C$250="",Registro_Compras!$O$250=""),"","Cuentas por Pagar Comerciales - Terceros")</f>
        <v/>
      </c>
      <c r="E2224" s="20" t="str">
        <f>IF($C2224="","",Registro_Compras!$S$250)</f>
        <v/>
      </c>
      <c r="F2224" s="20" t="str">
        <f>""</f>
        <v/>
      </c>
      <c r="G2224" t="str">
        <f>IF($C2224="","","Por el deposito de la detraccion en el Banco de la Nacion")</f>
        <v/>
      </c>
      <c r="H2224" t="str">
        <f>IF($C2224="","",Registro_Compras!$C$250)</f>
        <v/>
      </c>
    </row>
    <row r="2225" spans="1:8" x14ac:dyDescent="0.25">
      <c r="A2225" s="25" t="str">
        <f>IF($C2225="","",Registro_Compras!$X$250)</f>
        <v/>
      </c>
      <c r="B2225" t="str">
        <f>IF($C2225="","","C"&amp;TEXT(INT((ROW()-5)/9)+1,"000")&amp;"-3")</f>
        <v/>
      </c>
      <c r="C2225" t="str">
        <f>IF(OR(Registro_Compras!$C$250="",Registro_Compras!$O$250="",Registro_Compras!$R$250&lt;&gt;"SI",Registro_Compras!$X$250=""),"","1041")</f>
        <v/>
      </c>
      <c r="D2225" t="str">
        <f>IF(OR(Registro_Compras!$C$250="",Registro_Compras!$O$250=""),"","Efectivo y Equivalentes - Cta. Cte. Operativa")</f>
        <v/>
      </c>
      <c r="E2225" s="20" t="str">
        <f>""</f>
        <v/>
      </c>
      <c r="F2225" s="20" t="str">
        <f>IF($C2225="","",Registro_Compras!$S$250)</f>
        <v/>
      </c>
      <c r="G2225" t="str">
        <f>IF($C2225="","","Por el deposito de la detraccion en el Banco de la Nacion")</f>
        <v/>
      </c>
      <c r="H2225" t="str">
        <f>IF($C2225="","",Registro_Compras!$C$250)</f>
        <v/>
      </c>
    </row>
    <row r="2226" spans="1:8" x14ac:dyDescent="0.25">
      <c r="A2226" s="25" t="str">
        <f>IF($C2226="","",Registro_Compras!$Y$250)</f>
        <v/>
      </c>
      <c r="B2226" t="str">
        <f>IF($C2226="","","C"&amp;TEXT(INT((ROW()-5)/9)+1,"000")&amp;"-4")</f>
        <v/>
      </c>
      <c r="C2226" t="str">
        <f>IF(OR(Registro_Compras!$C$250="",Registro_Compras!$O$250="",Registro_Compras!$Y$250="",Registro_Compras!$F$250="NOTA DE CREDITO"),"","4212")</f>
        <v/>
      </c>
      <c r="D2226" t="str">
        <f>IF(OR(Registro_Compras!$C$250="",Registro_Compras!$O$250=""),"","Cuentas por Pagar Comerciales - Terceros")</f>
        <v/>
      </c>
      <c r="E2226" s="20" t="str">
        <f>IF($C2226="","",IF(Registro_Compras!$F$250="RHE",(ROUND(Registro_Compras!$L$250*Registro_Compras!$N$250,2)-ROUND(Registro_Compras!$V$250*Registro_Compras!$N$250,2)),ROUND(Registro_Compras!$O$250-Registro_Compras!$S$250,2)))</f>
        <v/>
      </c>
      <c r="F2226" s="20" t="str">
        <f>""</f>
        <v/>
      </c>
      <c r="G2226" t="str">
        <f>IF($C2226="","","Por la cancelacion del saldo al proveedor")</f>
        <v/>
      </c>
      <c r="H2226" t="str">
        <f>IF($C2226="","",Registro_Compras!$C$250)</f>
        <v/>
      </c>
    </row>
    <row r="2227" spans="1:8" x14ac:dyDescent="0.25">
      <c r="A2227" s="25" t="str">
        <f>IF($C2227="","",Registro_Compras!$Y$250)</f>
        <v/>
      </c>
      <c r="B2227" t="str">
        <f>IF($C2227="","","C"&amp;TEXT(INT((ROW()-5)/9)+1,"000")&amp;"-4")</f>
        <v/>
      </c>
      <c r="C2227" t="str">
        <f>IF(OR(Registro_Compras!$C$250="",Registro_Compras!$O$250="",Registro_Compras!$Y$250="",Registro_Compras!$F$250="NOTA DE CREDITO"),"","1041")</f>
        <v/>
      </c>
      <c r="D2227" t="str">
        <f>IF(OR(Registro_Compras!$C$250="",Registro_Compras!$O$250=""),"","Efectivo y Equivalentes - Cta. Cte. Operativa")</f>
        <v/>
      </c>
      <c r="E2227" s="20" t="str">
        <f>""</f>
        <v/>
      </c>
      <c r="F2227" s="20" t="str">
        <f>IF($C2227="","",IF(Registro_Compras!$F$250="RHE",(ROUND(Registro_Compras!$L$250*Registro_Compras!$N$250,2)-ROUND(Registro_Compras!$V$250*Registro_Compras!$N$250,2)),ROUND(Registro_Compras!$O$250-Registro_Compras!$S$250,2)))</f>
        <v/>
      </c>
      <c r="G2227" t="str">
        <f>IF($C2227="","","Por la cancelacion del saldo al proveedor")</f>
        <v/>
      </c>
      <c r="H2227" t="str">
        <f>IF($C2227="","",Registro_Compras!$C$250)</f>
        <v/>
      </c>
    </row>
    <row r="2228" spans="1:8" x14ac:dyDescent="0.25">
      <c r="A2228" s="25" t="str">
        <f>IF($C2228="","",Registro_Compras!$B$251)</f>
        <v/>
      </c>
      <c r="B2228" t="str">
        <f>IF($C2228="","","C"&amp;TEXT(INT((ROW()-5)/9)+1,"000")&amp;"-1")</f>
        <v/>
      </c>
      <c r="C2228" t="str">
        <f>IF(OR(Registro_Compras!$C$251="",Registro_Compras!$O$251=""),"",IF(Registro_Compras!$F$251="NOTA DE CREDITO","4212",IF(Registro_Compras!$M$251="","63",Registro_Compras!$M$251)))</f>
        <v/>
      </c>
      <c r="D2228" t="str">
        <f>IF(OR(Registro_Compras!$C$251="",Registro_Compras!$O$251=""),"",IF(Registro_Compras!$F$251="NOTA DE CREDITO","Cuentas por Pagar Comerciales - Terceros (Emitidas)",IF(Registro_Compras!$F$251="RHE","Honorarios Profesionales - Servicios de Terceros","Gastos de Servicios Prestados por Terceros")))</f>
        <v/>
      </c>
      <c r="E2228" s="20" t="str">
        <f>IF($C2228="","",IF(Registro_Compras!$F$251="NOTA DE CREDITO",ABS(Registro_Compras!$O$251),IF(Registro_Compras!$F$251="RHE",ROUND(Registro_Compras!$L$251*Registro_Compras!$N$251,2),ROUND(Registro_Compras!$J$251*Registro_Compras!$N$251,2))))</f>
        <v/>
      </c>
      <c r="F2228" s="20" t="str">
        <f>""</f>
        <v/>
      </c>
      <c r="G2228" t="str">
        <f>IF($C2228="","",IF(Registro_Compras!$F$251="NOTA DE CREDITO","Por la nota de credito "&amp;Registro_Compras!$C$251&amp;" de "&amp;Registro_Compras!$E$251&amp;" [PATRON POR CONFIRMAR CON CONTADOR]",IF(Registro_Compras!$F$251="RHE","Por el registro del recibo por honorarios "&amp;Registro_Compras!$C$251&amp;" de "&amp;Registro_Compras!$E$251&amp;" [PATRON POR CONFIRMAR CON CONTADOR]","Por el registro de la factura "&amp;Registro_Compras!$C$251&amp;" de "&amp;Registro_Compras!$E$251)))</f>
        <v/>
      </c>
      <c r="H2228" t="str">
        <f>IF($C2228="","",Registro_Compras!$C$251)</f>
        <v/>
      </c>
    </row>
    <row r="2229" spans="1:8" x14ac:dyDescent="0.25">
      <c r="A2229" s="25" t="str">
        <f>IF($C2229="","",Registro_Compras!$B$251)</f>
        <v/>
      </c>
      <c r="B2229" t="str">
        <f>IF($C2229="","","C"&amp;TEXT(INT((ROW()-5)/9)+1,"000")&amp;"-1")</f>
        <v/>
      </c>
      <c r="C2229" t="str">
        <f>IF(OR(Registro_Compras!$C$251="",Registro_Compras!$O$251=""),"",IF(Registro_Compras!$F$251="RHE",IF(Registro_Compras!$V$251=0,"","4017"),IF(Registro_Compras!$F$251="NOTA DE CREDITO",IF(Registro_Compras!$M$251="","63",Registro_Compras!$M$251),IF(Registro_Compras!$K$251=0,"","40111"))))</f>
        <v/>
      </c>
      <c r="D2229" t="str">
        <f>IF(OR(Registro_Compras!$C$251="",Registro_Compras!$O$251=""),"",IF(Registro_Compras!$F$251="RHE","Retencion Renta 4ta Categoria por Pagar",IF(Registro_Compras!$F$251="NOTA DE CREDITO","Gastos de Servicios Prestados por Terceros","IGV - Cuenta Propia (Credito Fiscal)")))</f>
        <v/>
      </c>
      <c r="E2229" s="20" t="str">
        <f>IF($C2229="","",IF(Registro_Compras!$F$251="FACTURA",ROUND(Registro_Compras!$K$251*Registro_Compras!$N$251,2),""))</f>
        <v/>
      </c>
      <c r="F2229" s="20" t="str">
        <f>IF($C2229="","",IF(Registro_Compras!$F$251="RHE",ROUND(Registro_Compras!$V$251*Registro_Compras!$N$251,2),IF(Registro_Compras!$F$251="NOTA DE CREDITO",ROUND(ABS(Registro_Compras!$J$251*Registro_Compras!$N$251),2),"")))</f>
        <v/>
      </c>
      <c r="G2229" t="str">
        <f>IF($C2229="","",IF(Registro_Compras!$F$251="NOTA DE CREDITO","Por la nota de credito "&amp;Registro_Compras!$C$251&amp;" de "&amp;Registro_Compras!$E$251&amp;" [PATRON POR CONFIRMAR CON CONTADOR]",IF(Registro_Compras!$F$251="RHE","Por el registro del recibo por honorarios "&amp;Registro_Compras!$C$251&amp;" de "&amp;Registro_Compras!$E$251&amp;" [PATRON POR CONFIRMAR CON CONTADOR]","Por el registro de la factura "&amp;Registro_Compras!$C$251&amp;" de "&amp;Registro_Compras!$E$251)))</f>
        <v/>
      </c>
      <c r="H2229" t="str">
        <f>IF($C2229="","",Registro_Compras!$C$251)</f>
        <v/>
      </c>
    </row>
    <row r="2230" spans="1:8" x14ac:dyDescent="0.25">
      <c r="A2230" s="25" t="str">
        <f>IF($C2230="","",Registro_Compras!$B$251)</f>
        <v/>
      </c>
      <c r="B2230" t="str">
        <f>IF($C2230="","","C"&amp;TEXT(INT((ROW()-5)/9)+1,"000")&amp;"-1")</f>
        <v/>
      </c>
      <c r="C2230" t="str">
        <f>IF(OR(Registro_Compras!$C$251="",Registro_Compras!$O$251=""),"",IF(Registro_Compras!$F$251="NOTA DE CREDITO",IF(Registro_Compras!$K$251=0,"","40111"),"4212"))</f>
        <v/>
      </c>
      <c r="D2230" t="str">
        <f>IF(OR(Registro_Compras!$C$251="",Registro_Compras!$O$251=""),"",IF(Registro_Compras!$F$251="NOTA DE CREDITO","IGV - Cuenta Propia (Credito Fiscal)","Cuentas por Pagar Comerciales - Terceros (Emitidas)"))</f>
        <v/>
      </c>
      <c r="E2230" s="20" t="str">
        <f>""</f>
        <v/>
      </c>
      <c r="F2230" s="20" t="str">
        <f>IF($C2230="","",IF(Registro_Compras!$F$251="NOTA DE CREDITO",ROUND(ABS(Registro_Compras!$K$251*Registro_Compras!$N$251),2),IF(Registro_Compras!$F$251="RHE",(ROUND(Registro_Compras!$L$251*Registro_Compras!$N$251,2)-ROUND(Registro_Compras!$V$251*Registro_Compras!$N$251,2)),Registro_Compras!$O$251)))</f>
        <v/>
      </c>
      <c r="G2230" t="str">
        <f>IF($C2230="","",IF(Registro_Compras!$F$251="NOTA DE CREDITO","Por la nota de credito "&amp;Registro_Compras!$C$251&amp;" de "&amp;Registro_Compras!$E$251&amp;" [PATRON POR CONFIRMAR CON CONTADOR]",IF(Registro_Compras!$F$251="RHE","Por el registro del recibo por honorarios "&amp;Registro_Compras!$C$251&amp;" de "&amp;Registro_Compras!$E$251&amp;" [PATRON POR CONFIRMAR CON CONTADOR]","Por el registro de la factura "&amp;Registro_Compras!$C$251&amp;" de "&amp;Registro_Compras!$E$251)))</f>
        <v/>
      </c>
      <c r="H2230" t="str">
        <f>IF($C2230="","",Registro_Compras!$C$251)</f>
        <v/>
      </c>
    </row>
    <row r="2231" spans="1:8" x14ac:dyDescent="0.25">
      <c r="A2231" s="25" t="str">
        <f>IF($C2231="","",Registro_Compras!$B$251)</f>
        <v/>
      </c>
      <c r="B2231" t="str">
        <f>IF($C2231="","","C"&amp;TEXT(INT((ROW()-5)/9)+1,"000")&amp;"-2")</f>
        <v/>
      </c>
      <c r="C2231" t="str">
        <f>IF(OR(Registro_Compras!$C$251="",Registro_Compras!$O$251=""),"",IF(Registro_Compras!$AB$251="ADMINISTRATIVO","94","95"))</f>
        <v/>
      </c>
      <c r="D2231" t="str">
        <f>IF(OR(Registro_Compras!$C$251="",Registro_Compras!$O$251=""),"",IF(Registro_Compras!$AB$251="ADMINISTRATIVO","Gastos Administrativos","Gastos de Venta y Operacion"))</f>
        <v/>
      </c>
      <c r="E2231" s="20" t="str">
        <f>IF($C2231="","",IF(Registro_Compras!$F$251="NOTA DE CREDITO","",IF(Registro_Compras!$F$251="RHE",ROUND(Registro_Compras!$L$251*Registro_Compras!$N$251,2),ROUND(Registro_Compras!$J$251*Registro_Compras!$N$251,2))))</f>
        <v/>
      </c>
      <c r="F2231" s="20" t="str">
        <f>IF($C2231="","",IF(Registro_Compras!$F$251="NOTA DE CREDITO",ROUND(ABS(Registro_Compras!$J$251*Registro_Compras!$N$251),2),""))</f>
        <v/>
      </c>
      <c r="G2231" t="str">
        <f>IF($C2231="","","Por el destino del gasto")</f>
        <v/>
      </c>
      <c r="H2231" t="str">
        <f>IF($C2231="","",Registro_Compras!$C$251)</f>
        <v/>
      </c>
    </row>
    <row r="2232" spans="1:8" x14ac:dyDescent="0.25">
      <c r="A2232" s="25" t="str">
        <f>IF($C2232="","",Registro_Compras!$B$251)</f>
        <v/>
      </c>
      <c r="B2232" t="str">
        <f>IF($C2232="","","C"&amp;TEXT(INT((ROW()-5)/9)+1,"000")&amp;"-2")</f>
        <v/>
      </c>
      <c r="C2232" t="str">
        <f>IF(OR(Registro_Compras!$C$251="",Registro_Compras!$O$251=""),"","79/791")</f>
        <v/>
      </c>
      <c r="D2232" t="str">
        <f>IF(OR(Registro_Compras!$C$251="",Registro_Compras!$O$251=""),"","Cargas Imputables a Cuentas de Costos y Gastos")</f>
        <v/>
      </c>
      <c r="E2232" s="20" t="str">
        <f>IF($C2232="","",IF(Registro_Compras!$F$251="NOTA DE CREDITO",ROUND(ABS(Registro_Compras!$J$251*Registro_Compras!$N$251),2),""))</f>
        <v/>
      </c>
      <c r="F2232" s="20" t="str">
        <f>IF($C2232="","",IF(Registro_Compras!$F$251="NOTA DE CREDITO","",IF(Registro_Compras!$F$251="RHE",ROUND(Registro_Compras!$L$251*Registro_Compras!$N$251,2),ROUND(Registro_Compras!$J$251*Registro_Compras!$N$251,2))))</f>
        <v/>
      </c>
      <c r="G2232" t="str">
        <f>IF($C2232="","","Por el destino del gasto")</f>
        <v/>
      </c>
      <c r="H2232" t="str">
        <f>IF($C2232="","",Registro_Compras!$C$251)</f>
        <v/>
      </c>
    </row>
    <row r="2233" spans="1:8" x14ac:dyDescent="0.25">
      <c r="A2233" s="25" t="str">
        <f>IF($C2233="","",Registro_Compras!$X$251)</f>
        <v/>
      </c>
      <c r="B2233" t="str">
        <f>IF($C2233="","","C"&amp;TEXT(INT((ROW()-5)/9)+1,"000")&amp;"-3")</f>
        <v/>
      </c>
      <c r="C2233" t="str">
        <f>IF(OR(Registro_Compras!$C$251="",Registro_Compras!$O$251="",Registro_Compras!$R$251&lt;&gt;"SI",Registro_Compras!$X$251=""),"","4212")</f>
        <v/>
      </c>
      <c r="D2233" t="str">
        <f>IF(OR(Registro_Compras!$C$251="",Registro_Compras!$O$251=""),"","Cuentas por Pagar Comerciales - Terceros")</f>
        <v/>
      </c>
      <c r="E2233" s="20" t="str">
        <f>IF($C2233="","",Registro_Compras!$S$251)</f>
        <v/>
      </c>
      <c r="F2233" s="20" t="str">
        <f>""</f>
        <v/>
      </c>
      <c r="G2233" t="str">
        <f>IF($C2233="","","Por el deposito de la detraccion en el Banco de la Nacion")</f>
        <v/>
      </c>
      <c r="H2233" t="str">
        <f>IF($C2233="","",Registro_Compras!$C$251)</f>
        <v/>
      </c>
    </row>
    <row r="2234" spans="1:8" x14ac:dyDescent="0.25">
      <c r="A2234" s="25" t="str">
        <f>IF($C2234="","",Registro_Compras!$X$251)</f>
        <v/>
      </c>
      <c r="B2234" t="str">
        <f>IF($C2234="","","C"&amp;TEXT(INT((ROW()-5)/9)+1,"000")&amp;"-3")</f>
        <v/>
      </c>
      <c r="C2234" t="str">
        <f>IF(OR(Registro_Compras!$C$251="",Registro_Compras!$O$251="",Registro_Compras!$R$251&lt;&gt;"SI",Registro_Compras!$X$251=""),"","1041")</f>
        <v/>
      </c>
      <c r="D2234" t="str">
        <f>IF(OR(Registro_Compras!$C$251="",Registro_Compras!$O$251=""),"","Efectivo y Equivalentes - Cta. Cte. Operativa")</f>
        <v/>
      </c>
      <c r="E2234" s="20" t="str">
        <f>""</f>
        <v/>
      </c>
      <c r="F2234" s="20" t="str">
        <f>IF($C2234="","",Registro_Compras!$S$251)</f>
        <v/>
      </c>
      <c r="G2234" t="str">
        <f>IF($C2234="","","Por el deposito de la detraccion en el Banco de la Nacion")</f>
        <v/>
      </c>
      <c r="H2234" t="str">
        <f>IF($C2234="","",Registro_Compras!$C$251)</f>
        <v/>
      </c>
    </row>
    <row r="2235" spans="1:8" x14ac:dyDescent="0.25">
      <c r="A2235" s="25" t="str">
        <f>IF($C2235="","",Registro_Compras!$Y$251)</f>
        <v/>
      </c>
      <c r="B2235" t="str">
        <f>IF($C2235="","","C"&amp;TEXT(INT((ROW()-5)/9)+1,"000")&amp;"-4")</f>
        <v/>
      </c>
      <c r="C2235" t="str">
        <f>IF(OR(Registro_Compras!$C$251="",Registro_Compras!$O$251="",Registro_Compras!$Y$251="",Registro_Compras!$F$251="NOTA DE CREDITO"),"","4212")</f>
        <v/>
      </c>
      <c r="D2235" t="str">
        <f>IF(OR(Registro_Compras!$C$251="",Registro_Compras!$O$251=""),"","Cuentas por Pagar Comerciales - Terceros")</f>
        <v/>
      </c>
      <c r="E2235" s="20" t="str">
        <f>IF($C2235="","",IF(Registro_Compras!$F$251="RHE",(ROUND(Registro_Compras!$L$251*Registro_Compras!$N$251,2)-ROUND(Registro_Compras!$V$251*Registro_Compras!$N$251,2)),ROUND(Registro_Compras!$O$251-Registro_Compras!$S$251,2)))</f>
        <v/>
      </c>
      <c r="F2235" s="20" t="str">
        <f>""</f>
        <v/>
      </c>
      <c r="G2235" t="str">
        <f>IF($C2235="","","Por la cancelacion del saldo al proveedor")</f>
        <v/>
      </c>
      <c r="H2235" t="str">
        <f>IF($C2235="","",Registro_Compras!$C$251)</f>
        <v/>
      </c>
    </row>
    <row r="2236" spans="1:8" x14ac:dyDescent="0.25">
      <c r="A2236" s="25" t="str">
        <f>IF($C2236="","",Registro_Compras!$Y$251)</f>
        <v/>
      </c>
      <c r="B2236" t="str">
        <f>IF($C2236="","","C"&amp;TEXT(INT((ROW()-5)/9)+1,"000")&amp;"-4")</f>
        <v/>
      </c>
      <c r="C2236" t="str">
        <f>IF(OR(Registro_Compras!$C$251="",Registro_Compras!$O$251="",Registro_Compras!$Y$251="",Registro_Compras!$F$251="NOTA DE CREDITO"),"","1041")</f>
        <v/>
      </c>
      <c r="D2236" t="str">
        <f>IF(OR(Registro_Compras!$C$251="",Registro_Compras!$O$251=""),"","Efectivo y Equivalentes - Cta. Cte. Operativa")</f>
        <v/>
      </c>
      <c r="E2236" s="20" t="str">
        <f>""</f>
        <v/>
      </c>
      <c r="F2236" s="20" t="str">
        <f>IF($C2236="","",IF(Registro_Compras!$F$251="RHE",(ROUND(Registro_Compras!$L$251*Registro_Compras!$N$251,2)-ROUND(Registro_Compras!$V$251*Registro_Compras!$N$251,2)),ROUND(Registro_Compras!$O$251-Registro_Compras!$S$251,2)))</f>
        <v/>
      </c>
      <c r="G2236" t="str">
        <f>IF($C2236="","","Por la cancelacion del saldo al proveedor")</f>
        <v/>
      </c>
      <c r="H2236" t="str">
        <f>IF($C2236="","",Registro_Compras!$C$251)</f>
        <v/>
      </c>
    </row>
    <row r="2237" spans="1:8" x14ac:dyDescent="0.25">
      <c r="A2237" s="25" t="str">
        <f>IF($C2237="","",Registro_Compras!$B$252)</f>
        <v/>
      </c>
      <c r="B2237" t="str">
        <f>IF($C2237="","","C"&amp;TEXT(INT((ROW()-5)/9)+1,"000")&amp;"-1")</f>
        <v/>
      </c>
      <c r="C2237" t="str">
        <f>IF(OR(Registro_Compras!$C$252="",Registro_Compras!$O$252=""),"",IF(Registro_Compras!$F$252="NOTA DE CREDITO","4212",IF(Registro_Compras!$M$252="","63",Registro_Compras!$M$252)))</f>
        <v/>
      </c>
      <c r="D2237" t="str">
        <f>IF(OR(Registro_Compras!$C$252="",Registro_Compras!$O$252=""),"",IF(Registro_Compras!$F$252="NOTA DE CREDITO","Cuentas por Pagar Comerciales - Terceros (Emitidas)",IF(Registro_Compras!$F$252="RHE","Honorarios Profesionales - Servicios de Terceros","Gastos de Servicios Prestados por Terceros")))</f>
        <v/>
      </c>
      <c r="E2237" s="20" t="str">
        <f>IF($C2237="","",IF(Registro_Compras!$F$252="NOTA DE CREDITO",ABS(Registro_Compras!$O$252),IF(Registro_Compras!$F$252="RHE",ROUND(Registro_Compras!$L$252*Registro_Compras!$N$252,2),ROUND(Registro_Compras!$J$252*Registro_Compras!$N$252,2))))</f>
        <v/>
      </c>
      <c r="F2237" s="20" t="str">
        <f>""</f>
        <v/>
      </c>
      <c r="G2237" t="str">
        <f>IF($C2237="","",IF(Registro_Compras!$F$252="NOTA DE CREDITO","Por la nota de credito "&amp;Registro_Compras!$C$252&amp;" de "&amp;Registro_Compras!$E$252&amp;" [PATRON POR CONFIRMAR CON CONTADOR]",IF(Registro_Compras!$F$252="RHE","Por el registro del recibo por honorarios "&amp;Registro_Compras!$C$252&amp;" de "&amp;Registro_Compras!$E$252&amp;" [PATRON POR CONFIRMAR CON CONTADOR]","Por el registro de la factura "&amp;Registro_Compras!$C$252&amp;" de "&amp;Registro_Compras!$E$252)))</f>
        <v/>
      </c>
      <c r="H2237" t="str">
        <f>IF($C2237="","",Registro_Compras!$C$252)</f>
        <v/>
      </c>
    </row>
    <row r="2238" spans="1:8" x14ac:dyDescent="0.25">
      <c r="A2238" s="25" t="str">
        <f>IF($C2238="","",Registro_Compras!$B$252)</f>
        <v/>
      </c>
      <c r="B2238" t="str">
        <f>IF($C2238="","","C"&amp;TEXT(INT((ROW()-5)/9)+1,"000")&amp;"-1")</f>
        <v/>
      </c>
      <c r="C2238" t="str">
        <f>IF(OR(Registro_Compras!$C$252="",Registro_Compras!$O$252=""),"",IF(Registro_Compras!$F$252="RHE",IF(Registro_Compras!$V$252=0,"","4017"),IF(Registro_Compras!$F$252="NOTA DE CREDITO",IF(Registro_Compras!$M$252="","63",Registro_Compras!$M$252),IF(Registro_Compras!$K$252=0,"","40111"))))</f>
        <v/>
      </c>
      <c r="D2238" t="str">
        <f>IF(OR(Registro_Compras!$C$252="",Registro_Compras!$O$252=""),"",IF(Registro_Compras!$F$252="RHE","Retencion Renta 4ta Categoria por Pagar",IF(Registro_Compras!$F$252="NOTA DE CREDITO","Gastos de Servicios Prestados por Terceros","IGV - Cuenta Propia (Credito Fiscal)")))</f>
        <v/>
      </c>
      <c r="E2238" s="20" t="str">
        <f>IF($C2238="","",IF(Registro_Compras!$F$252="FACTURA",ROUND(Registro_Compras!$K$252*Registro_Compras!$N$252,2),""))</f>
        <v/>
      </c>
      <c r="F2238" s="20" t="str">
        <f>IF($C2238="","",IF(Registro_Compras!$F$252="RHE",ROUND(Registro_Compras!$V$252*Registro_Compras!$N$252,2),IF(Registro_Compras!$F$252="NOTA DE CREDITO",ROUND(ABS(Registro_Compras!$J$252*Registro_Compras!$N$252),2),"")))</f>
        <v/>
      </c>
      <c r="G2238" t="str">
        <f>IF($C2238="","",IF(Registro_Compras!$F$252="NOTA DE CREDITO","Por la nota de credito "&amp;Registro_Compras!$C$252&amp;" de "&amp;Registro_Compras!$E$252&amp;" [PATRON POR CONFIRMAR CON CONTADOR]",IF(Registro_Compras!$F$252="RHE","Por el registro del recibo por honorarios "&amp;Registro_Compras!$C$252&amp;" de "&amp;Registro_Compras!$E$252&amp;" [PATRON POR CONFIRMAR CON CONTADOR]","Por el registro de la factura "&amp;Registro_Compras!$C$252&amp;" de "&amp;Registro_Compras!$E$252)))</f>
        <v/>
      </c>
      <c r="H2238" t="str">
        <f>IF($C2238="","",Registro_Compras!$C$252)</f>
        <v/>
      </c>
    </row>
    <row r="2239" spans="1:8" x14ac:dyDescent="0.25">
      <c r="A2239" s="25" t="str">
        <f>IF($C2239="","",Registro_Compras!$B$252)</f>
        <v/>
      </c>
      <c r="B2239" t="str">
        <f>IF($C2239="","","C"&amp;TEXT(INT((ROW()-5)/9)+1,"000")&amp;"-1")</f>
        <v/>
      </c>
      <c r="C2239" t="str">
        <f>IF(OR(Registro_Compras!$C$252="",Registro_Compras!$O$252=""),"",IF(Registro_Compras!$F$252="NOTA DE CREDITO",IF(Registro_Compras!$K$252=0,"","40111"),"4212"))</f>
        <v/>
      </c>
      <c r="D2239" t="str">
        <f>IF(OR(Registro_Compras!$C$252="",Registro_Compras!$O$252=""),"",IF(Registro_Compras!$F$252="NOTA DE CREDITO","IGV - Cuenta Propia (Credito Fiscal)","Cuentas por Pagar Comerciales - Terceros (Emitidas)"))</f>
        <v/>
      </c>
      <c r="E2239" s="20" t="str">
        <f>""</f>
        <v/>
      </c>
      <c r="F2239" s="20" t="str">
        <f>IF($C2239="","",IF(Registro_Compras!$F$252="NOTA DE CREDITO",ROUND(ABS(Registro_Compras!$K$252*Registro_Compras!$N$252),2),IF(Registro_Compras!$F$252="RHE",(ROUND(Registro_Compras!$L$252*Registro_Compras!$N$252,2)-ROUND(Registro_Compras!$V$252*Registro_Compras!$N$252,2)),Registro_Compras!$O$252)))</f>
        <v/>
      </c>
      <c r="G2239" t="str">
        <f>IF($C2239="","",IF(Registro_Compras!$F$252="NOTA DE CREDITO","Por la nota de credito "&amp;Registro_Compras!$C$252&amp;" de "&amp;Registro_Compras!$E$252&amp;" [PATRON POR CONFIRMAR CON CONTADOR]",IF(Registro_Compras!$F$252="RHE","Por el registro del recibo por honorarios "&amp;Registro_Compras!$C$252&amp;" de "&amp;Registro_Compras!$E$252&amp;" [PATRON POR CONFIRMAR CON CONTADOR]","Por el registro de la factura "&amp;Registro_Compras!$C$252&amp;" de "&amp;Registro_Compras!$E$252)))</f>
        <v/>
      </c>
      <c r="H2239" t="str">
        <f>IF($C2239="","",Registro_Compras!$C$252)</f>
        <v/>
      </c>
    </row>
    <row r="2240" spans="1:8" x14ac:dyDescent="0.25">
      <c r="A2240" s="25" t="str">
        <f>IF($C2240="","",Registro_Compras!$B$252)</f>
        <v/>
      </c>
      <c r="B2240" t="str">
        <f>IF($C2240="","","C"&amp;TEXT(INT((ROW()-5)/9)+1,"000")&amp;"-2")</f>
        <v/>
      </c>
      <c r="C2240" t="str">
        <f>IF(OR(Registro_Compras!$C$252="",Registro_Compras!$O$252=""),"",IF(Registro_Compras!$AB$252="ADMINISTRATIVO","94","95"))</f>
        <v/>
      </c>
      <c r="D2240" t="str">
        <f>IF(OR(Registro_Compras!$C$252="",Registro_Compras!$O$252=""),"",IF(Registro_Compras!$AB$252="ADMINISTRATIVO","Gastos Administrativos","Gastos de Venta y Operacion"))</f>
        <v/>
      </c>
      <c r="E2240" s="20" t="str">
        <f>IF($C2240="","",IF(Registro_Compras!$F$252="NOTA DE CREDITO","",IF(Registro_Compras!$F$252="RHE",ROUND(Registro_Compras!$L$252*Registro_Compras!$N$252,2),ROUND(Registro_Compras!$J$252*Registro_Compras!$N$252,2))))</f>
        <v/>
      </c>
      <c r="F2240" s="20" t="str">
        <f>IF($C2240="","",IF(Registro_Compras!$F$252="NOTA DE CREDITO",ROUND(ABS(Registro_Compras!$J$252*Registro_Compras!$N$252),2),""))</f>
        <v/>
      </c>
      <c r="G2240" t="str">
        <f>IF($C2240="","","Por el destino del gasto")</f>
        <v/>
      </c>
      <c r="H2240" t="str">
        <f>IF($C2240="","",Registro_Compras!$C$252)</f>
        <v/>
      </c>
    </row>
    <row r="2241" spans="1:8" x14ac:dyDescent="0.25">
      <c r="A2241" s="25" t="str">
        <f>IF($C2241="","",Registro_Compras!$B$252)</f>
        <v/>
      </c>
      <c r="B2241" t="str">
        <f>IF($C2241="","","C"&amp;TEXT(INT((ROW()-5)/9)+1,"000")&amp;"-2")</f>
        <v/>
      </c>
      <c r="C2241" t="str">
        <f>IF(OR(Registro_Compras!$C$252="",Registro_Compras!$O$252=""),"","79/791")</f>
        <v/>
      </c>
      <c r="D2241" t="str">
        <f>IF(OR(Registro_Compras!$C$252="",Registro_Compras!$O$252=""),"","Cargas Imputables a Cuentas de Costos y Gastos")</f>
        <v/>
      </c>
      <c r="E2241" s="20" t="str">
        <f>IF($C2241="","",IF(Registro_Compras!$F$252="NOTA DE CREDITO",ROUND(ABS(Registro_Compras!$J$252*Registro_Compras!$N$252),2),""))</f>
        <v/>
      </c>
      <c r="F2241" s="20" t="str">
        <f>IF($C2241="","",IF(Registro_Compras!$F$252="NOTA DE CREDITO","",IF(Registro_Compras!$F$252="RHE",ROUND(Registro_Compras!$L$252*Registro_Compras!$N$252,2),ROUND(Registro_Compras!$J$252*Registro_Compras!$N$252,2))))</f>
        <v/>
      </c>
      <c r="G2241" t="str">
        <f>IF($C2241="","","Por el destino del gasto")</f>
        <v/>
      </c>
      <c r="H2241" t="str">
        <f>IF($C2241="","",Registro_Compras!$C$252)</f>
        <v/>
      </c>
    </row>
    <row r="2242" spans="1:8" x14ac:dyDescent="0.25">
      <c r="A2242" s="25" t="str">
        <f>IF($C2242="","",Registro_Compras!$X$252)</f>
        <v/>
      </c>
      <c r="B2242" t="str">
        <f>IF($C2242="","","C"&amp;TEXT(INT((ROW()-5)/9)+1,"000")&amp;"-3")</f>
        <v/>
      </c>
      <c r="C2242" t="str">
        <f>IF(OR(Registro_Compras!$C$252="",Registro_Compras!$O$252="",Registro_Compras!$R$252&lt;&gt;"SI",Registro_Compras!$X$252=""),"","4212")</f>
        <v/>
      </c>
      <c r="D2242" t="str">
        <f>IF(OR(Registro_Compras!$C$252="",Registro_Compras!$O$252=""),"","Cuentas por Pagar Comerciales - Terceros")</f>
        <v/>
      </c>
      <c r="E2242" s="20" t="str">
        <f>IF($C2242="","",Registro_Compras!$S$252)</f>
        <v/>
      </c>
      <c r="F2242" s="20" t="str">
        <f>""</f>
        <v/>
      </c>
      <c r="G2242" t="str">
        <f>IF($C2242="","","Por el deposito de la detraccion en el Banco de la Nacion")</f>
        <v/>
      </c>
      <c r="H2242" t="str">
        <f>IF($C2242="","",Registro_Compras!$C$252)</f>
        <v/>
      </c>
    </row>
    <row r="2243" spans="1:8" x14ac:dyDescent="0.25">
      <c r="A2243" s="25" t="str">
        <f>IF($C2243="","",Registro_Compras!$X$252)</f>
        <v/>
      </c>
      <c r="B2243" t="str">
        <f>IF($C2243="","","C"&amp;TEXT(INT((ROW()-5)/9)+1,"000")&amp;"-3")</f>
        <v/>
      </c>
      <c r="C2243" t="str">
        <f>IF(OR(Registro_Compras!$C$252="",Registro_Compras!$O$252="",Registro_Compras!$R$252&lt;&gt;"SI",Registro_Compras!$X$252=""),"","1041")</f>
        <v/>
      </c>
      <c r="D2243" t="str">
        <f>IF(OR(Registro_Compras!$C$252="",Registro_Compras!$O$252=""),"","Efectivo y Equivalentes - Cta. Cte. Operativa")</f>
        <v/>
      </c>
      <c r="E2243" s="20" t="str">
        <f>""</f>
        <v/>
      </c>
      <c r="F2243" s="20" t="str">
        <f>IF($C2243="","",Registro_Compras!$S$252)</f>
        <v/>
      </c>
      <c r="G2243" t="str">
        <f>IF($C2243="","","Por el deposito de la detraccion en el Banco de la Nacion")</f>
        <v/>
      </c>
      <c r="H2243" t="str">
        <f>IF($C2243="","",Registro_Compras!$C$252)</f>
        <v/>
      </c>
    </row>
    <row r="2244" spans="1:8" x14ac:dyDescent="0.25">
      <c r="A2244" s="25" t="str">
        <f>IF($C2244="","",Registro_Compras!$Y$252)</f>
        <v/>
      </c>
      <c r="B2244" t="str">
        <f>IF($C2244="","","C"&amp;TEXT(INT((ROW()-5)/9)+1,"000")&amp;"-4")</f>
        <v/>
      </c>
      <c r="C2244" t="str">
        <f>IF(OR(Registro_Compras!$C$252="",Registro_Compras!$O$252="",Registro_Compras!$Y$252="",Registro_Compras!$F$252="NOTA DE CREDITO"),"","4212")</f>
        <v/>
      </c>
      <c r="D2244" t="str">
        <f>IF(OR(Registro_Compras!$C$252="",Registro_Compras!$O$252=""),"","Cuentas por Pagar Comerciales - Terceros")</f>
        <v/>
      </c>
      <c r="E2244" s="20" t="str">
        <f>IF($C2244="","",IF(Registro_Compras!$F$252="RHE",(ROUND(Registro_Compras!$L$252*Registro_Compras!$N$252,2)-ROUND(Registro_Compras!$V$252*Registro_Compras!$N$252,2)),ROUND(Registro_Compras!$O$252-Registro_Compras!$S$252,2)))</f>
        <v/>
      </c>
      <c r="F2244" s="20" t="str">
        <f>""</f>
        <v/>
      </c>
      <c r="G2244" t="str">
        <f>IF($C2244="","","Por la cancelacion del saldo al proveedor")</f>
        <v/>
      </c>
      <c r="H2244" t="str">
        <f>IF($C2244="","",Registro_Compras!$C$252)</f>
        <v/>
      </c>
    </row>
    <row r="2245" spans="1:8" x14ac:dyDescent="0.25">
      <c r="A2245" s="25" t="str">
        <f>IF($C2245="","",Registro_Compras!$Y$252)</f>
        <v/>
      </c>
      <c r="B2245" t="str">
        <f>IF($C2245="","","C"&amp;TEXT(INT((ROW()-5)/9)+1,"000")&amp;"-4")</f>
        <v/>
      </c>
      <c r="C2245" t="str">
        <f>IF(OR(Registro_Compras!$C$252="",Registro_Compras!$O$252="",Registro_Compras!$Y$252="",Registro_Compras!$F$252="NOTA DE CREDITO"),"","1041")</f>
        <v/>
      </c>
      <c r="D2245" t="str">
        <f>IF(OR(Registro_Compras!$C$252="",Registro_Compras!$O$252=""),"","Efectivo y Equivalentes - Cta. Cte. Operativa")</f>
        <v/>
      </c>
      <c r="E2245" s="20" t="str">
        <f>""</f>
        <v/>
      </c>
      <c r="F2245" s="20" t="str">
        <f>IF($C2245="","",IF(Registro_Compras!$F$252="RHE",(ROUND(Registro_Compras!$L$252*Registro_Compras!$N$252,2)-ROUND(Registro_Compras!$V$252*Registro_Compras!$N$252,2)),ROUND(Registro_Compras!$O$252-Registro_Compras!$S$252,2)))</f>
        <v/>
      </c>
      <c r="G2245" t="str">
        <f>IF($C2245="","","Por la cancelacion del saldo al proveedor")</f>
        <v/>
      </c>
      <c r="H2245" t="str">
        <f>IF($C2245="","",Registro_Compras!$C$252)</f>
        <v/>
      </c>
    </row>
    <row r="2246" spans="1:8" x14ac:dyDescent="0.25">
      <c r="A2246" s="25" t="str">
        <f>IF($C2246="","",Registro_Compras!$B$253)</f>
        <v/>
      </c>
      <c r="B2246" t="str">
        <f>IF($C2246="","","C"&amp;TEXT(INT((ROW()-5)/9)+1,"000")&amp;"-1")</f>
        <v/>
      </c>
      <c r="C2246" t="str">
        <f>IF(OR(Registro_Compras!$C$253="",Registro_Compras!$O$253=""),"",IF(Registro_Compras!$F$253="NOTA DE CREDITO","4212",IF(Registro_Compras!$M$253="","63",Registro_Compras!$M$253)))</f>
        <v/>
      </c>
      <c r="D2246" t="str">
        <f>IF(OR(Registro_Compras!$C$253="",Registro_Compras!$O$253=""),"",IF(Registro_Compras!$F$253="NOTA DE CREDITO","Cuentas por Pagar Comerciales - Terceros (Emitidas)",IF(Registro_Compras!$F$253="RHE","Honorarios Profesionales - Servicios de Terceros","Gastos de Servicios Prestados por Terceros")))</f>
        <v/>
      </c>
      <c r="E2246" s="20" t="str">
        <f>IF($C2246="","",IF(Registro_Compras!$F$253="NOTA DE CREDITO",ABS(Registro_Compras!$O$253),IF(Registro_Compras!$F$253="RHE",ROUND(Registro_Compras!$L$253*Registro_Compras!$N$253,2),ROUND(Registro_Compras!$J$253*Registro_Compras!$N$253,2))))</f>
        <v/>
      </c>
      <c r="F2246" s="20" t="str">
        <f>""</f>
        <v/>
      </c>
      <c r="G2246" t="str">
        <f>IF($C2246="","",IF(Registro_Compras!$F$253="NOTA DE CREDITO","Por la nota de credito "&amp;Registro_Compras!$C$253&amp;" de "&amp;Registro_Compras!$E$253&amp;" [PATRON POR CONFIRMAR CON CONTADOR]",IF(Registro_Compras!$F$253="RHE","Por el registro del recibo por honorarios "&amp;Registro_Compras!$C$253&amp;" de "&amp;Registro_Compras!$E$253&amp;" [PATRON POR CONFIRMAR CON CONTADOR]","Por el registro de la factura "&amp;Registro_Compras!$C$253&amp;" de "&amp;Registro_Compras!$E$253)))</f>
        <v/>
      </c>
      <c r="H2246" t="str">
        <f>IF($C2246="","",Registro_Compras!$C$253)</f>
        <v/>
      </c>
    </row>
    <row r="2247" spans="1:8" x14ac:dyDescent="0.25">
      <c r="A2247" s="25" t="str">
        <f>IF($C2247="","",Registro_Compras!$B$253)</f>
        <v/>
      </c>
      <c r="B2247" t="str">
        <f>IF($C2247="","","C"&amp;TEXT(INT((ROW()-5)/9)+1,"000")&amp;"-1")</f>
        <v/>
      </c>
      <c r="C2247" t="str">
        <f>IF(OR(Registro_Compras!$C$253="",Registro_Compras!$O$253=""),"",IF(Registro_Compras!$F$253="RHE",IF(Registro_Compras!$V$253=0,"","4017"),IF(Registro_Compras!$F$253="NOTA DE CREDITO",IF(Registro_Compras!$M$253="","63",Registro_Compras!$M$253),IF(Registro_Compras!$K$253=0,"","40111"))))</f>
        <v/>
      </c>
      <c r="D2247" t="str">
        <f>IF(OR(Registro_Compras!$C$253="",Registro_Compras!$O$253=""),"",IF(Registro_Compras!$F$253="RHE","Retencion Renta 4ta Categoria por Pagar",IF(Registro_Compras!$F$253="NOTA DE CREDITO","Gastos de Servicios Prestados por Terceros","IGV - Cuenta Propia (Credito Fiscal)")))</f>
        <v/>
      </c>
      <c r="E2247" s="20" t="str">
        <f>IF($C2247="","",IF(Registro_Compras!$F$253="FACTURA",ROUND(Registro_Compras!$K$253*Registro_Compras!$N$253,2),""))</f>
        <v/>
      </c>
      <c r="F2247" s="20" t="str">
        <f>IF($C2247="","",IF(Registro_Compras!$F$253="RHE",ROUND(Registro_Compras!$V$253*Registro_Compras!$N$253,2),IF(Registro_Compras!$F$253="NOTA DE CREDITO",ROUND(ABS(Registro_Compras!$J$253*Registro_Compras!$N$253),2),"")))</f>
        <v/>
      </c>
      <c r="G2247" t="str">
        <f>IF($C2247="","",IF(Registro_Compras!$F$253="NOTA DE CREDITO","Por la nota de credito "&amp;Registro_Compras!$C$253&amp;" de "&amp;Registro_Compras!$E$253&amp;" [PATRON POR CONFIRMAR CON CONTADOR]",IF(Registro_Compras!$F$253="RHE","Por el registro del recibo por honorarios "&amp;Registro_Compras!$C$253&amp;" de "&amp;Registro_Compras!$E$253&amp;" [PATRON POR CONFIRMAR CON CONTADOR]","Por el registro de la factura "&amp;Registro_Compras!$C$253&amp;" de "&amp;Registro_Compras!$E$253)))</f>
        <v/>
      </c>
      <c r="H2247" t="str">
        <f>IF($C2247="","",Registro_Compras!$C$253)</f>
        <v/>
      </c>
    </row>
    <row r="2248" spans="1:8" x14ac:dyDescent="0.25">
      <c r="A2248" s="25" t="str">
        <f>IF($C2248="","",Registro_Compras!$B$253)</f>
        <v/>
      </c>
      <c r="B2248" t="str">
        <f>IF($C2248="","","C"&amp;TEXT(INT((ROW()-5)/9)+1,"000")&amp;"-1")</f>
        <v/>
      </c>
      <c r="C2248" t="str">
        <f>IF(OR(Registro_Compras!$C$253="",Registro_Compras!$O$253=""),"",IF(Registro_Compras!$F$253="NOTA DE CREDITO",IF(Registro_Compras!$K$253=0,"","40111"),"4212"))</f>
        <v/>
      </c>
      <c r="D2248" t="str">
        <f>IF(OR(Registro_Compras!$C$253="",Registro_Compras!$O$253=""),"",IF(Registro_Compras!$F$253="NOTA DE CREDITO","IGV - Cuenta Propia (Credito Fiscal)","Cuentas por Pagar Comerciales - Terceros (Emitidas)"))</f>
        <v/>
      </c>
      <c r="E2248" s="20" t="str">
        <f>""</f>
        <v/>
      </c>
      <c r="F2248" s="20" t="str">
        <f>IF($C2248="","",IF(Registro_Compras!$F$253="NOTA DE CREDITO",ROUND(ABS(Registro_Compras!$K$253*Registro_Compras!$N$253),2),IF(Registro_Compras!$F$253="RHE",(ROUND(Registro_Compras!$L$253*Registro_Compras!$N$253,2)-ROUND(Registro_Compras!$V$253*Registro_Compras!$N$253,2)),Registro_Compras!$O$253)))</f>
        <v/>
      </c>
      <c r="G2248" t="str">
        <f>IF($C2248="","",IF(Registro_Compras!$F$253="NOTA DE CREDITO","Por la nota de credito "&amp;Registro_Compras!$C$253&amp;" de "&amp;Registro_Compras!$E$253&amp;" [PATRON POR CONFIRMAR CON CONTADOR]",IF(Registro_Compras!$F$253="RHE","Por el registro del recibo por honorarios "&amp;Registro_Compras!$C$253&amp;" de "&amp;Registro_Compras!$E$253&amp;" [PATRON POR CONFIRMAR CON CONTADOR]","Por el registro de la factura "&amp;Registro_Compras!$C$253&amp;" de "&amp;Registro_Compras!$E$253)))</f>
        <v/>
      </c>
      <c r="H2248" t="str">
        <f>IF($C2248="","",Registro_Compras!$C$253)</f>
        <v/>
      </c>
    </row>
    <row r="2249" spans="1:8" x14ac:dyDescent="0.25">
      <c r="A2249" s="25" t="str">
        <f>IF($C2249="","",Registro_Compras!$B$253)</f>
        <v/>
      </c>
      <c r="B2249" t="str">
        <f>IF($C2249="","","C"&amp;TEXT(INT((ROW()-5)/9)+1,"000")&amp;"-2")</f>
        <v/>
      </c>
      <c r="C2249" t="str">
        <f>IF(OR(Registro_Compras!$C$253="",Registro_Compras!$O$253=""),"",IF(Registro_Compras!$AB$253="ADMINISTRATIVO","94","95"))</f>
        <v/>
      </c>
      <c r="D2249" t="str">
        <f>IF(OR(Registro_Compras!$C$253="",Registro_Compras!$O$253=""),"",IF(Registro_Compras!$AB$253="ADMINISTRATIVO","Gastos Administrativos","Gastos de Venta y Operacion"))</f>
        <v/>
      </c>
      <c r="E2249" s="20" t="str">
        <f>IF($C2249="","",IF(Registro_Compras!$F$253="NOTA DE CREDITO","",IF(Registro_Compras!$F$253="RHE",ROUND(Registro_Compras!$L$253*Registro_Compras!$N$253,2),ROUND(Registro_Compras!$J$253*Registro_Compras!$N$253,2))))</f>
        <v/>
      </c>
      <c r="F2249" s="20" t="str">
        <f>IF($C2249="","",IF(Registro_Compras!$F$253="NOTA DE CREDITO",ROUND(ABS(Registro_Compras!$J$253*Registro_Compras!$N$253),2),""))</f>
        <v/>
      </c>
      <c r="G2249" t="str">
        <f>IF($C2249="","","Por el destino del gasto")</f>
        <v/>
      </c>
      <c r="H2249" t="str">
        <f>IF($C2249="","",Registro_Compras!$C$253)</f>
        <v/>
      </c>
    </row>
    <row r="2250" spans="1:8" x14ac:dyDescent="0.25">
      <c r="A2250" s="25" t="str">
        <f>IF($C2250="","",Registro_Compras!$B$253)</f>
        <v/>
      </c>
      <c r="B2250" t="str">
        <f>IF($C2250="","","C"&amp;TEXT(INT((ROW()-5)/9)+1,"000")&amp;"-2")</f>
        <v/>
      </c>
      <c r="C2250" t="str">
        <f>IF(OR(Registro_Compras!$C$253="",Registro_Compras!$O$253=""),"","79/791")</f>
        <v/>
      </c>
      <c r="D2250" t="str">
        <f>IF(OR(Registro_Compras!$C$253="",Registro_Compras!$O$253=""),"","Cargas Imputables a Cuentas de Costos y Gastos")</f>
        <v/>
      </c>
      <c r="E2250" s="20" t="str">
        <f>IF($C2250="","",IF(Registro_Compras!$F$253="NOTA DE CREDITO",ROUND(ABS(Registro_Compras!$J$253*Registro_Compras!$N$253),2),""))</f>
        <v/>
      </c>
      <c r="F2250" s="20" t="str">
        <f>IF($C2250="","",IF(Registro_Compras!$F$253="NOTA DE CREDITO","",IF(Registro_Compras!$F$253="RHE",ROUND(Registro_Compras!$L$253*Registro_Compras!$N$253,2),ROUND(Registro_Compras!$J$253*Registro_Compras!$N$253,2))))</f>
        <v/>
      </c>
      <c r="G2250" t="str">
        <f>IF($C2250="","","Por el destino del gasto")</f>
        <v/>
      </c>
      <c r="H2250" t="str">
        <f>IF($C2250="","",Registro_Compras!$C$253)</f>
        <v/>
      </c>
    </row>
    <row r="2251" spans="1:8" x14ac:dyDescent="0.25">
      <c r="A2251" s="25" t="str">
        <f>IF($C2251="","",Registro_Compras!$X$253)</f>
        <v/>
      </c>
      <c r="B2251" t="str">
        <f>IF($C2251="","","C"&amp;TEXT(INT((ROW()-5)/9)+1,"000")&amp;"-3")</f>
        <v/>
      </c>
      <c r="C2251" t="str">
        <f>IF(OR(Registro_Compras!$C$253="",Registro_Compras!$O$253="",Registro_Compras!$R$253&lt;&gt;"SI",Registro_Compras!$X$253=""),"","4212")</f>
        <v/>
      </c>
      <c r="D2251" t="str">
        <f>IF(OR(Registro_Compras!$C$253="",Registro_Compras!$O$253=""),"","Cuentas por Pagar Comerciales - Terceros")</f>
        <v/>
      </c>
      <c r="E2251" s="20" t="str">
        <f>IF($C2251="","",Registro_Compras!$S$253)</f>
        <v/>
      </c>
      <c r="F2251" s="20" t="str">
        <f>""</f>
        <v/>
      </c>
      <c r="G2251" t="str">
        <f>IF($C2251="","","Por el deposito de la detraccion en el Banco de la Nacion")</f>
        <v/>
      </c>
      <c r="H2251" t="str">
        <f>IF($C2251="","",Registro_Compras!$C$253)</f>
        <v/>
      </c>
    </row>
    <row r="2252" spans="1:8" x14ac:dyDescent="0.25">
      <c r="A2252" s="25" t="str">
        <f>IF($C2252="","",Registro_Compras!$X$253)</f>
        <v/>
      </c>
      <c r="B2252" t="str">
        <f>IF($C2252="","","C"&amp;TEXT(INT((ROW()-5)/9)+1,"000")&amp;"-3")</f>
        <v/>
      </c>
      <c r="C2252" t="str">
        <f>IF(OR(Registro_Compras!$C$253="",Registro_Compras!$O$253="",Registro_Compras!$R$253&lt;&gt;"SI",Registro_Compras!$X$253=""),"","1041")</f>
        <v/>
      </c>
      <c r="D2252" t="str">
        <f>IF(OR(Registro_Compras!$C$253="",Registro_Compras!$O$253=""),"","Efectivo y Equivalentes - Cta. Cte. Operativa")</f>
        <v/>
      </c>
      <c r="E2252" s="20" t="str">
        <f>""</f>
        <v/>
      </c>
      <c r="F2252" s="20" t="str">
        <f>IF($C2252="","",Registro_Compras!$S$253)</f>
        <v/>
      </c>
      <c r="G2252" t="str">
        <f>IF($C2252="","","Por el deposito de la detraccion en el Banco de la Nacion")</f>
        <v/>
      </c>
      <c r="H2252" t="str">
        <f>IF($C2252="","",Registro_Compras!$C$253)</f>
        <v/>
      </c>
    </row>
    <row r="2253" spans="1:8" x14ac:dyDescent="0.25">
      <c r="A2253" s="25" t="str">
        <f>IF($C2253="","",Registro_Compras!$Y$253)</f>
        <v/>
      </c>
      <c r="B2253" t="str">
        <f>IF($C2253="","","C"&amp;TEXT(INT((ROW()-5)/9)+1,"000")&amp;"-4")</f>
        <v/>
      </c>
      <c r="C2253" t="str">
        <f>IF(OR(Registro_Compras!$C$253="",Registro_Compras!$O$253="",Registro_Compras!$Y$253="",Registro_Compras!$F$253="NOTA DE CREDITO"),"","4212")</f>
        <v/>
      </c>
      <c r="D2253" t="str">
        <f>IF(OR(Registro_Compras!$C$253="",Registro_Compras!$O$253=""),"","Cuentas por Pagar Comerciales - Terceros")</f>
        <v/>
      </c>
      <c r="E2253" s="20" t="str">
        <f>IF($C2253="","",IF(Registro_Compras!$F$253="RHE",(ROUND(Registro_Compras!$L$253*Registro_Compras!$N$253,2)-ROUND(Registro_Compras!$V$253*Registro_Compras!$N$253,2)),ROUND(Registro_Compras!$O$253-Registro_Compras!$S$253,2)))</f>
        <v/>
      </c>
      <c r="F2253" s="20" t="str">
        <f>""</f>
        <v/>
      </c>
      <c r="G2253" t="str">
        <f>IF($C2253="","","Por la cancelacion del saldo al proveedor")</f>
        <v/>
      </c>
      <c r="H2253" t="str">
        <f>IF($C2253="","",Registro_Compras!$C$253)</f>
        <v/>
      </c>
    </row>
    <row r="2254" spans="1:8" x14ac:dyDescent="0.25">
      <c r="A2254" s="25" t="str">
        <f>IF($C2254="","",Registro_Compras!$Y$253)</f>
        <v/>
      </c>
      <c r="B2254" t="str">
        <f>IF($C2254="","","C"&amp;TEXT(INT((ROW()-5)/9)+1,"000")&amp;"-4")</f>
        <v/>
      </c>
      <c r="C2254" t="str">
        <f>IF(OR(Registro_Compras!$C$253="",Registro_Compras!$O$253="",Registro_Compras!$Y$253="",Registro_Compras!$F$253="NOTA DE CREDITO"),"","1041")</f>
        <v/>
      </c>
      <c r="D2254" t="str">
        <f>IF(OR(Registro_Compras!$C$253="",Registro_Compras!$O$253=""),"","Efectivo y Equivalentes - Cta. Cte. Operativa")</f>
        <v/>
      </c>
      <c r="E2254" s="20" t="str">
        <f>""</f>
        <v/>
      </c>
      <c r="F2254" s="20" t="str">
        <f>IF($C2254="","",IF(Registro_Compras!$F$253="RHE",(ROUND(Registro_Compras!$L$253*Registro_Compras!$N$253,2)-ROUND(Registro_Compras!$V$253*Registro_Compras!$N$253,2)),ROUND(Registro_Compras!$O$253-Registro_Compras!$S$253,2)))</f>
        <v/>
      </c>
      <c r="G2254" t="str">
        <f>IF($C2254="","","Por la cancelacion del saldo al proveedor")</f>
        <v/>
      </c>
      <c r="H2254" t="str">
        <f>IF($C2254="","",Registro_Compras!$C$253)</f>
        <v/>
      </c>
    </row>
    <row r="2255" spans="1:8" x14ac:dyDescent="0.25">
      <c r="A2255" s="25" t="str">
        <f>IF($C2255="","",Registro_Compras!$B$254)</f>
        <v/>
      </c>
      <c r="B2255" t="str">
        <f>IF($C2255="","","C"&amp;TEXT(INT((ROW()-5)/9)+1,"000")&amp;"-1")</f>
        <v/>
      </c>
      <c r="C2255" t="str">
        <f>IF(OR(Registro_Compras!$C$254="",Registro_Compras!$O$254=""),"",IF(Registro_Compras!$F$254="NOTA DE CREDITO","4212",IF(Registro_Compras!$M$254="","63",Registro_Compras!$M$254)))</f>
        <v/>
      </c>
      <c r="D2255" t="str">
        <f>IF(OR(Registro_Compras!$C$254="",Registro_Compras!$O$254=""),"",IF(Registro_Compras!$F$254="NOTA DE CREDITO","Cuentas por Pagar Comerciales - Terceros (Emitidas)",IF(Registro_Compras!$F$254="RHE","Honorarios Profesionales - Servicios de Terceros","Gastos de Servicios Prestados por Terceros")))</f>
        <v/>
      </c>
      <c r="E2255" s="20" t="str">
        <f>IF($C2255="","",IF(Registro_Compras!$F$254="NOTA DE CREDITO",ABS(Registro_Compras!$O$254),IF(Registro_Compras!$F$254="RHE",ROUND(Registro_Compras!$L$254*Registro_Compras!$N$254,2),ROUND(Registro_Compras!$J$254*Registro_Compras!$N$254,2))))</f>
        <v/>
      </c>
      <c r="F2255" s="20" t="str">
        <f>""</f>
        <v/>
      </c>
      <c r="G2255" t="str">
        <f>IF($C2255="","",IF(Registro_Compras!$F$254="NOTA DE CREDITO","Por la nota de credito "&amp;Registro_Compras!$C$254&amp;" de "&amp;Registro_Compras!$E$254&amp;" [PATRON POR CONFIRMAR CON CONTADOR]",IF(Registro_Compras!$F$254="RHE","Por el registro del recibo por honorarios "&amp;Registro_Compras!$C$254&amp;" de "&amp;Registro_Compras!$E$254&amp;" [PATRON POR CONFIRMAR CON CONTADOR]","Por el registro de la factura "&amp;Registro_Compras!$C$254&amp;" de "&amp;Registro_Compras!$E$254)))</f>
        <v/>
      </c>
      <c r="H2255" t="str">
        <f>IF($C2255="","",Registro_Compras!$C$254)</f>
        <v/>
      </c>
    </row>
    <row r="2256" spans="1:8" x14ac:dyDescent="0.25">
      <c r="A2256" s="25" t="str">
        <f>IF($C2256="","",Registro_Compras!$B$254)</f>
        <v/>
      </c>
      <c r="B2256" t="str">
        <f>IF($C2256="","","C"&amp;TEXT(INT((ROW()-5)/9)+1,"000")&amp;"-1")</f>
        <v/>
      </c>
      <c r="C2256" t="str">
        <f>IF(OR(Registro_Compras!$C$254="",Registro_Compras!$O$254=""),"",IF(Registro_Compras!$F$254="RHE",IF(Registro_Compras!$V$254=0,"","4017"),IF(Registro_Compras!$F$254="NOTA DE CREDITO",IF(Registro_Compras!$M$254="","63",Registro_Compras!$M$254),IF(Registro_Compras!$K$254=0,"","40111"))))</f>
        <v/>
      </c>
      <c r="D2256" t="str">
        <f>IF(OR(Registro_Compras!$C$254="",Registro_Compras!$O$254=""),"",IF(Registro_Compras!$F$254="RHE","Retencion Renta 4ta Categoria por Pagar",IF(Registro_Compras!$F$254="NOTA DE CREDITO","Gastos de Servicios Prestados por Terceros","IGV - Cuenta Propia (Credito Fiscal)")))</f>
        <v/>
      </c>
      <c r="E2256" s="20" t="str">
        <f>IF($C2256="","",IF(Registro_Compras!$F$254="FACTURA",ROUND(Registro_Compras!$K$254*Registro_Compras!$N$254,2),""))</f>
        <v/>
      </c>
      <c r="F2256" s="20" t="str">
        <f>IF($C2256="","",IF(Registro_Compras!$F$254="RHE",ROUND(Registro_Compras!$V$254*Registro_Compras!$N$254,2),IF(Registro_Compras!$F$254="NOTA DE CREDITO",ROUND(ABS(Registro_Compras!$J$254*Registro_Compras!$N$254),2),"")))</f>
        <v/>
      </c>
      <c r="G2256" t="str">
        <f>IF($C2256="","",IF(Registro_Compras!$F$254="NOTA DE CREDITO","Por la nota de credito "&amp;Registro_Compras!$C$254&amp;" de "&amp;Registro_Compras!$E$254&amp;" [PATRON POR CONFIRMAR CON CONTADOR]",IF(Registro_Compras!$F$254="RHE","Por el registro del recibo por honorarios "&amp;Registro_Compras!$C$254&amp;" de "&amp;Registro_Compras!$E$254&amp;" [PATRON POR CONFIRMAR CON CONTADOR]","Por el registro de la factura "&amp;Registro_Compras!$C$254&amp;" de "&amp;Registro_Compras!$E$254)))</f>
        <v/>
      </c>
      <c r="H2256" t="str">
        <f>IF($C2256="","",Registro_Compras!$C$254)</f>
        <v/>
      </c>
    </row>
    <row r="2257" spans="1:8" x14ac:dyDescent="0.25">
      <c r="A2257" s="25" t="str">
        <f>IF($C2257="","",Registro_Compras!$B$254)</f>
        <v/>
      </c>
      <c r="B2257" t="str">
        <f>IF($C2257="","","C"&amp;TEXT(INT((ROW()-5)/9)+1,"000")&amp;"-1")</f>
        <v/>
      </c>
      <c r="C2257" t="str">
        <f>IF(OR(Registro_Compras!$C$254="",Registro_Compras!$O$254=""),"",IF(Registro_Compras!$F$254="NOTA DE CREDITO",IF(Registro_Compras!$K$254=0,"","40111"),"4212"))</f>
        <v/>
      </c>
      <c r="D2257" t="str">
        <f>IF(OR(Registro_Compras!$C$254="",Registro_Compras!$O$254=""),"",IF(Registro_Compras!$F$254="NOTA DE CREDITO","IGV - Cuenta Propia (Credito Fiscal)","Cuentas por Pagar Comerciales - Terceros (Emitidas)"))</f>
        <v/>
      </c>
      <c r="E2257" s="20" t="str">
        <f>""</f>
        <v/>
      </c>
      <c r="F2257" s="20" t="str">
        <f>IF($C2257="","",IF(Registro_Compras!$F$254="NOTA DE CREDITO",ROUND(ABS(Registro_Compras!$K$254*Registro_Compras!$N$254),2),IF(Registro_Compras!$F$254="RHE",(ROUND(Registro_Compras!$L$254*Registro_Compras!$N$254,2)-ROUND(Registro_Compras!$V$254*Registro_Compras!$N$254,2)),Registro_Compras!$O$254)))</f>
        <v/>
      </c>
      <c r="G2257" t="str">
        <f>IF($C2257="","",IF(Registro_Compras!$F$254="NOTA DE CREDITO","Por la nota de credito "&amp;Registro_Compras!$C$254&amp;" de "&amp;Registro_Compras!$E$254&amp;" [PATRON POR CONFIRMAR CON CONTADOR]",IF(Registro_Compras!$F$254="RHE","Por el registro del recibo por honorarios "&amp;Registro_Compras!$C$254&amp;" de "&amp;Registro_Compras!$E$254&amp;" [PATRON POR CONFIRMAR CON CONTADOR]","Por el registro de la factura "&amp;Registro_Compras!$C$254&amp;" de "&amp;Registro_Compras!$E$254)))</f>
        <v/>
      </c>
      <c r="H2257" t="str">
        <f>IF($C2257="","",Registro_Compras!$C$254)</f>
        <v/>
      </c>
    </row>
    <row r="2258" spans="1:8" x14ac:dyDescent="0.25">
      <c r="A2258" s="25" t="str">
        <f>IF($C2258="","",Registro_Compras!$B$254)</f>
        <v/>
      </c>
      <c r="B2258" t="str">
        <f>IF($C2258="","","C"&amp;TEXT(INT((ROW()-5)/9)+1,"000")&amp;"-2")</f>
        <v/>
      </c>
      <c r="C2258" t="str">
        <f>IF(OR(Registro_Compras!$C$254="",Registro_Compras!$O$254=""),"",IF(Registro_Compras!$AB$254="ADMINISTRATIVO","94","95"))</f>
        <v/>
      </c>
      <c r="D2258" t="str">
        <f>IF(OR(Registro_Compras!$C$254="",Registro_Compras!$O$254=""),"",IF(Registro_Compras!$AB$254="ADMINISTRATIVO","Gastos Administrativos","Gastos de Venta y Operacion"))</f>
        <v/>
      </c>
      <c r="E2258" s="20" t="str">
        <f>IF($C2258="","",IF(Registro_Compras!$F$254="NOTA DE CREDITO","",IF(Registro_Compras!$F$254="RHE",ROUND(Registro_Compras!$L$254*Registro_Compras!$N$254,2),ROUND(Registro_Compras!$J$254*Registro_Compras!$N$254,2))))</f>
        <v/>
      </c>
      <c r="F2258" s="20" t="str">
        <f>IF($C2258="","",IF(Registro_Compras!$F$254="NOTA DE CREDITO",ROUND(ABS(Registro_Compras!$J$254*Registro_Compras!$N$254),2),""))</f>
        <v/>
      </c>
      <c r="G2258" t="str">
        <f>IF($C2258="","","Por el destino del gasto")</f>
        <v/>
      </c>
      <c r="H2258" t="str">
        <f>IF($C2258="","",Registro_Compras!$C$254)</f>
        <v/>
      </c>
    </row>
    <row r="2259" spans="1:8" x14ac:dyDescent="0.25">
      <c r="A2259" s="25" t="str">
        <f>IF($C2259="","",Registro_Compras!$B$254)</f>
        <v/>
      </c>
      <c r="B2259" t="str">
        <f>IF($C2259="","","C"&amp;TEXT(INT((ROW()-5)/9)+1,"000")&amp;"-2")</f>
        <v/>
      </c>
      <c r="C2259" t="str">
        <f>IF(OR(Registro_Compras!$C$254="",Registro_Compras!$O$254=""),"","79/791")</f>
        <v/>
      </c>
      <c r="D2259" t="str">
        <f>IF(OR(Registro_Compras!$C$254="",Registro_Compras!$O$254=""),"","Cargas Imputables a Cuentas de Costos y Gastos")</f>
        <v/>
      </c>
      <c r="E2259" s="20" t="str">
        <f>IF($C2259="","",IF(Registro_Compras!$F$254="NOTA DE CREDITO",ROUND(ABS(Registro_Compras!$J$254*Registro_Compras!$N$254),2),""))</f>
        <v/>
      </c>
      <c r="F2259" s="20" t="str">
        <f>IF($C2259="","",IF(Registro_Compras!$F$254="NOTA DE CREDITO","",IF(Registro_Compras!$F$254="RHE",ROUND(Registro_Compras!$L$254*Registro_Compras!$N$254,2),ROUND(Registro_Compras!$J$254*Registro_Compras!$N$254,2))))</f>
        <v/>
      </c>
      <c r="G2259" t="str">
        <f>IF($C2259="","","Por el destino del gasto")</f>
        <v/>
      </c>
      <c r="H2259" t="str">
        <f>IF($C2259="","",Registro_Compras!$C$254)</f>
        <v/>
      </c>
    </row>
    <row r="2260" spans="1:8" x14ac:dyDescent="0.25">
      <c r="A2260" s="25" t="str">
        <f>IF($C2260="","",Registro_Compras!$X$254)</f>
        <v/>
      </c>
      <c r="B2260" t="str">
        <f>IF($C2260="","","C"&amp;TEXT(INT((ROW()-5)/9)+1,"000")&amp;"-3")</f>
        <v/>
      </c>
      <c r="C2260" t="str">
        <f>IF(OR(Registro_Compras!$C$254="",Registro_Compras!$O$254="",Registro_Compras!$R$254&lt;&gt;"SI",Registro_Compras!$X$254=""),"","4212")</f>
        <v/>
      </c>
      <c r="D2260" t="str">
        <f>IF(OR(Registro_Compras!$C$254="",Registro_Compras!$O$254=""),"","Cuentas por Pagar Comerciales - Terceros")</f>
        <v/>
      </c>
      <c r="E2260" s="20" t="str">
        <f>IF($C2260="","",Registro_Compras!$S$254)</f>
        <v/>
      </c>
      <c r="F2260" s="20" t="str">
        <f>""</f>
        <v/>
      </c>
      <c r="G2260" t="str">
        <f>IF($C2260="","","Por el deposito de la detraccion en el Banco de la Nacion")</f>
        <v/>
      </c>
      <c r="H2260" t="str">
        <f>IF($C2260="","",Registro_Compras!$C$254)</f>
        <v/>
      </c>
    </row>
    <row r="2261" spans="1:8" x14ac:dyDescent="0.25">
      <c r="A2261" s="25" t="str">
        <f>IF($C2261="","",Registro_Compras!$X$254)</f>
        <v/>
      </c>
      <c r="B2261" t="str">
        <f>IF($C2261="","","C"&amp;TEXT(INT((ROW()-5)/9)+1,"000")&amp;"-3")</f>
        <v/>
      </c>
      <c r="C2261" t="str">
        <f>IF(OR(Registro_Compras!$C$254="",Registro_Compras!$O$254="",Registro_Compras!$R$254&lt;&gt;"SI",Registro_Compras!$X$254=""),"","1041")</f>
        <v/>
      </c>
      <c r="D2261" t="str">
        <f>IF(OR(Registro_Compras!$C$254="",Registro_Compras!$O$254=""),"","Efectivo y Equivalentes - Cta. Cte. Operativa")</f>
        <v/>
      </c>
      <c r="E2261" s="20" t="str">
        <f>""</f>
        <v/>
      </c>
      <c r="F2261" s="20" t="str">
        <f>IF($C2261="","",Registro_Compras!$S$254)</f>
        <v/>
      </c>
      <c r="G2261" t="str">
        <f>IF($C2261="","","Por el deposito de la detraccion en el Banco de la Nacion")</f>
        <v/>
      </c>
      <c r="H2261" t="str">
        <f>IF($C2261="","",Registro_Compras!$C$254)</f>
        <v/>
      </c>
    </row>
    <row r="2262" spans="1:8" x14ac:dyDescent="0.25">
      <c r="A2262" s="25" t="str">
        <f>IF($C2262="","",Registro_Compras!$Y$254)</f>
        <v/>
      </c>
      <c r="B2262" t="str">
        <f>IF($C2262="","","C"&amp;TEXT(INT((ROW()-5)/9)+1,"000")&amp;"-4")</f>
        <v/>
      </c>
      <c r="C2262" t="str">
        <f>IF(OR(Registro_Compras!$C$254="",Registro_Compras!$O$254="",Registro_Compras!$Y$254="",Registro_Compras!$F$254="NOTA DE CREDITO"),"","4212")</f>
        <v/>
      </c>
      <c r="D2262" t="str">
        <f>IF(OR(Registro_Compras!$C$254="",Registro_Compras!$O$254=""),"","Cuentas por Pagar Comerciales - Terceros")</f>
        <v/>
      </c>
      <c r="E2262" s="20" t="str">
        <f>IF($C2262="","",IF(Registro_Compras!$F$254="RHE",(ROUND(Registro_Compras!$L$254*Registro_Compras!$N$254,2)-ROUND(Registro_Compras!$V$254*Registro_Compras!$N$254,2)),ROUND(Registro_Compras!$O$254-Registro_Compras!$S$254,2)))</f>
        <v/>
      </c>
      <c r="F2262" s="20" t="str">
        <f>""</f>
        <v/>
      </c>
      <c r="G2262" t="str">
        <f>IF($C2262="","","Por la cancelacion del saldo al proveedor")</f>
        <v/>
      </c>
      <c r="H2262" t="str">
        <f>IF($C2262="","",Registro_Compras!$C$254)</f>
        <v/>
      </c>
    </row>
    <row r="2263" spans="1:8" x14ac:dyDescent="0.25">
      <c r="A2263" s="25" t="str">
        <f>IF($C2263="","",Registro_Compras!$Y$254)</f>
        <v/>
      </c>
      <c r="B2263" t="str">
        <f>IF($C2263="","","C"&amp;TEXT(INT((ROW()-5)/9)+1,"000")&amp;"-4")</f>
        <v/>
      </c>
      <c r="C2263" t="str">
        <f>IF(OR(Registro_Compras!$C$254="",Registro_Compras!$O$254="",Registro_Compras!$Y$254="",Registro_Compras!$F$254="NOTA DE CREDITO"),"","1041")</f>
        <v/>
      </c>
      <c r="D2263" t="str">
        <f>IF(OR(Registro_Compras!$C$254="",Registro_Compras!$O$254=""),"","Efectivo y Equivalentes - Cta. Cte. Operativa")</f>
        <v/>
      </c>
      <c r="E2263" s="20" t="str">
        <f>""</f>
        <v/>
      </c>
      <c r="F2263" s="20" t="str">
        <f>IF($C2263="","",IF(Registro_Compras!$F$254="RHE",(ROUND(Registro_Compras!$L$254*Registro_Compras!$N$254,2)-ROUND(Registro_Compras!$V$254*Registro_Compras!$N$254,2)),ROUND(Registro_Compras!$O$254-Registro_Compras!$S$254,2)))</f>
        <v/>
      </c>
      <c r="G2263" t="str">
        <f>IF($C2263="","","Por la cancelacion del saldo al proveedor")</f>
        <v/>
      </c>
      <c r="H2263" t="str">
        <f>IF($C2263="","",Registro_Compras!$C$254)</f>
        <v/>
      </c>
    </row>
    <row r="2264" spans="1:8" x14ac:dyDescent="0.25">
      <c r="A2264" s="25" t="str">
        <f>IF($C2264="","",Registro_Compras!$B$255)</f>
        <v/>
      </c>
      <c r="B2264" t="str">
        <f>IF($C2264="","","C"&amp;TEXT(INT((ROW()-5)/9)+1,"000")&amp;"-1")</f>
        <v/>
      </c>
      <c r="C2264" t="str">
        <f>IF(OR(Registro_Compras!$C$255="",Registro_Compras!$O$255=""),"",IF(Registro_Compras!$F$255="NOTA DE CREDITO","4212",IF(Registro_Compras!$M$255="","63",Registro_Compras!$M$255)))</f>
        <v/>
      </c>
      <c r="D2264" t="str">
        <f>IF(OR(Registro_Compras!$C$255="",Registro_Compras!$O$255=""),"",IF(Registro_Compras!$F$255="NOTA DE CREDITO","Cuentas por Pagar Comerciales - Terceros (Emitidas)",IF(Registro_Compras!$F$255="RHE","Honorarios Profesionales - Servicios de Terceros","Gastos de Servicios Prestados por Terceros")))</f>
        <v/>
      </c>
      <c r="E2264" s="20" t="str">
        <f>IF($C2264="","",IF(Registro_Compras!$F$255="NOTA DE CREDITO",ABS(Registro_Compras!$O$255),IF(Registro_Compras!$F$255="RHE",ROUND(Registro_Compras!$L$255*Registro_Compras!$N$255,2),ROUND(Registro_Compras!$J$255*Registro_Compras!$N$255,2))))</f>
        <v/>
      </c>
      <c r="F2264" s="20" t="str">
        <f>""</f>
        <v/>
      </c>
      <c r="G2264" t="str">
        <f>IF($C2264="","",IF(Registro_Compras!$F$255="NOTA DE CREDITO","Por la nota de credito "&amp;Registro_Compras!$C$255&amp;" de "&amp;Registro_Compras!$E$255&amp;" [PATRON POR CONFIRMAR CON CONTADOR]",IF(Registro_Compras!$F$255="RHE","Por el registro del recibo por honorarios "&amp;Registro_Compras!$C$255&amp;" de "&amp;Registro_Compras!$E$255&amp;" [PATRON POR CONFIRMAR CON CONTADOR]","Por el registro de la factura "&amp;Registro_Compras!$C$255&amp;" de "&amp;Registro_Compras!$E$255)))</f>
        <v/>
      </c>
      <c r="H2264" t="str">
        <f>IF($C2264="","",Registro_Compras!$C$255)</f>
        <v/>
      </c>
    </row>
    <row r="2265" spans="1:8" x14ac:dyDescent="0.25">
      <c r="A2265" s="25" t="str">
        <f>IF($C2265="","",Registro_Compras!$B$255)</f>
        <v/>
      </c>
      <c r="B2265" t="str">
        <f>IF($C2265="","","C"&amp;TEXT(INT((ROW()-5)/9)+1,"000")&amp;"-1")</f>
        <v/>
      </c>
      <c r="C2265" t="str">
        <f>IF(OR(Registro_Compras!$C$255="",Registro_Compras!$O$255=""),"",IF(Registro_Compras!$F$255="RHE",IF(Registro_Compras!$V$255=0,"","4017"),IF(Registro_Compras!$F$255="NOTA DE CREDITO",IF(Registro_Compras!$M$255="","63",Registro_Compras!$M$255),IF(Registro_Compras!$K$255=0,"","40111"))))</f>
        <v/>
      </c>
      <c r="D2265" t="str">
        <f>IF(OR(Registro_Compras!$C$255="",Registro_Compras!$O$255=""),"",IF(Registro_Compras!$F$255="RHE","Retencion Renta 4ta Categoria por Pagar",IF(Registro_Compras!$F$255="NOTA DE CREDITO","Gastos de Servicios Prestados por Terceros","IGV - Cuenta Propia (Credito Fiscal)")))</f>
        <v/>
      </c>
      <c r="E2265" s="20" t="str">
        <f>IF($C2265="","",IF(Registro_Compras!$F$255="FACTURA",ROUND(Registro_Compras!$K$255*Registro_Compras!$N$255,2),""))</f>
        <v/>
      </c>
      <c r="F2265" s="20" t="str">
        <f>IF($C2265="","",IF(Registro_Compras!$F$255="RHE",ROUND(Registro_Compras!$V$255*Registro_Compras!$N$255,2),IF(Registro_Compras!$F$255="NOTA DE CREDITO",ROUND(ABS(Registro_Compras!$J$255*Registro_Compras!$N$255),2),"")))</f>
        <v/>
      </c>
      <c r="G2265" t="str">
        <f>IF($C2265="","",IF(Registro_Compras!$F$255="NOTA DE CREDITO","Por la nota de credito "&amp;Registro_Compras!$C$255&amp;" de "&amp;Registro_Compras!$E$255&amp;" [PATRON POR CONFIRMAR CON CONTADOR]",IF(Registro_Compras!$F$255="RHE","Por el registro del recibo por honorarios "&amp;Registro_Compras!$C$255&amp;" de "&amp;Registro_Compras!$E$255&amp;" [PATRON POR CONFIRMAR CON CONTADOR]","Por el registro de la factura "&amp;Registro_Compras!$C$255&amp;" de "&amp;Registro_Compras!$E$255)))</f>
        <v/>
      </c>
      <c r="H2265" t="str">
        <f>IF($C2265="","",Registro_Compras!$C$255)</f>
        <v/>
      </c>
    </row>
    <row r="2266" spans="1:8" x14ac:dyDescent="0.25">
      <c r="A2266" s="25" t="str">
        <f>IF($C2266="","",Registro_Compras!$B$255)</f>
        <v/>
      </c>
      <c r="B2266" t="str">
        <f>IF($C2266="","","C"&amp;TEXT(INT((ROW()-5)/9)+1,"000")&amp;"-1")</f>
        <v/>
      </c>
      <c r="C2266" t="str">
        <f>IF(OR(Registro_Compras!$C$255="",Registro_Compras!$O$255=""),"",IF(Registro_Compras!$F$255="NOTA DE CREDITO",IF(Registro_Compras!$K$255=0,"","40111"),"4212"))</f>
        <v/>
      </c>
      <c r="D2266" t="str">
        <f>IF(OR(Registro_Compras!$C$255="",Registro_Compras!$O$255=""),"",IF(Registro_Compras!$F$255="NOTA DE CREDITO","IGV - Cuenta Propia (Credito Fiscal)","Cuentas por Pagar Comerciales - Terceros (Emitidas)"))</f>
        <v/>
      </c>
      <c r="E2266" s="20" t="str">
        <f>""</f>
        <v/>
      </c>
      <c r="F2266" s="20" t="str">
        <f>IF($C2266="","",IF(Registro_Compras!$F$255="NOTA DE CREDITO",ROUND(ABS(Registro_Compras!$K$255*Registro_Compras!$N$255),2),IF(Registro_Compras!$F$255="RHE",(ROUND(Registro_Compras!$L$255*Registro_Compras!$N$255,2)-ROUND(Registro_Compras!$V$255*Registro_Compras!$N$255,2)),Registro_Compras!$O$255)))</f>
        <v/>
      </c>
      <c r="G2266" t="str">
        <f>IF($C2266="","",IF(Registro_Compras!$F$255="NOTA DE CREDITO","Por la nota de credito "&amp;Registro_Compras!$C$255&amp;" de "&amp;Registro_Compras!$E$255&amp;" [PATRON POR CONFIRMAR CON CONTADOR]",IF(Registro_Compras!$F$255="RHE","Por el registro del recibo por honorarios "&amp;Registro_Compras!$C$255&amp;" de "&amp;Registro_Compras!$E$255&amp;" [PATRON POR CONFIRMAR CON CONTADOR]","Por el registro de la factura "&amp;Registro_Compras!$C$255&amp;" de "&amp;Registro_Compras!$E$255)))</f>
        <v/>
      </c>
      <c r="H2266" t="str">
        <f>IF($C2266="","",Registro_Compras!$C$255)</f>
        <v/>
      </c>
    </row>
    <row r="2267" spans="1:8" x14ac:dyDescent="0.25">
      <c r="A2267" s="25" t="str">
        <f>IF($C2267="","",Registro_Compras!$B$255)</f>
        <v/>
      </c>
      <c r="B2267" t="str">
        <f>IF($C2267="","","C"&amp;TEXT(INT((ROW()-5)/9)+1,"000")&amp;"-2")</f>
        <v/>
      </c>
      <c r="C2267" t="str">
        <f>IF(OR(Registro_Compras!$C$255="",Registro_Compras!$O$255=""),"",IF(Registro_Compras!$AB$255="ADMINISTRATIVO","94","95"))</f>
        <v/>
      </c>
      <c r="D2267" t="str">
        <f>IF(OR(Registro_Compras!$C$255="",Registro_Compras!$O$255=""),"",IF(Registro_Compras!$AB$255="ADMINISTRATIVO","Gastos Administrativos","Gastos de Venta y Operacion"))</f>
        <v/>
      </c>
      <c r="E2267" s="20" t="str">
        <f>IF($C2267="","",IF(Registro_Compras!$F$255="NOTA DE CREDITO","",IF(Registro_Compras!$F$255="RHE",ROUND(Registro_Compras!$L$255*Registro_Compras!$N$255,2),ROUND(Registro_Compras!$J$255*Registro_Compras!$N$255,2))))</f>
        <v/>
      </c>
      <c r="F2267" s="20" t="str">
        <f>IF($C2267="","",IF(Registro_Compras!$F$255="NOTA DE CREDITO",ROUND(ABS(Registro_Compras!$J$255*Registro_Compras!$N$255),2),""))</f>
        <v/>
      </c>
      <c r="G2267" t="str">
        <f>IF($C2267="","","Por el destino del gasto")</f>
        <v/>
      </c>
      <c r="H2267" t="str">
        <f>IF($C2267="","",Registro_Compras!$C$255)</f>
        <v/>
      </c>
    </row>
    <row r="2268" spans="1:8" x14ac:dyDescent="0.25">
      <c r="A2268" s="25" t="str">
        <f>IF($C2268="","",Registro_Compras!$B$255)</f>
        <v/>
      </c>
      <c r="B2268" t="str">
        <f>IF($C2268="","","C"&amp;TEXT(INT((ROW()-5)/9)+1,"000")&amp;"-2")</f>
        <v/>
      </c>
      <c r="C2268" t="str">
        <f>IF(OR(Registro_Compras!$C$255="",Registro_Compras!$O$255=""),"","79/791")</f>
        <v/>
      </c>
      <c r="D2268" t="str">
        <f>IF(OR(Registro_Compras!$C$255="",Registro_Compras!$O$255=""),"","Cargas Imputables a Cuentas de Costos y Gastos")</f>
        <v/>
      </c>
      <c r="E2268" s="20" t="str">
        <f>IF($C2268="","",IF(Registro_Compras!$F$255="NOTA DE CREDITO",ROUND(ABS(Registro_Compras!$J$255*Registro_Compras!$N$255),2),""))</f>
        <v/>
      </c>
      <c r="F2268" s="20" t="str">
        <f>IF($C2268="","",IF(Registro_Compras!$F$255="NOTA DE CREDITO","",IF(Registro_Compras!$F$255="RHE",ROUND(Registro_Compras!$L$255*Registro_Compras!$N$255,2),ROUND(Registro_Compras!$J$255*Registro_Compras!$N$255,2))))</f>
        <v/>
      </c>
      <c r="G2268" t="str">
        <f>IF($C2268="","","Por el destino del gasto")</f>
        <v/>
      </c>
      <c r="H2268" t="str">
        <f>IF($C2268="","",Registro_Compras!$C$255)</f>
        <v/>
      </c>
    </row>
    <row r="2269" spans="1:8" x14ac:dyDescent="0.25">
      <c r="A2269" s="25" t="str">
        <f>IF($C2269="","",Registro_Compras!$X$255)</f>
        <v/>
      </c>
      <c r="B2269" t="str">
        <f>IF($C2269="","","C"&amp;TEXT(INT((ROW()-5)/9)+1,"000")&amp;"-3")</f>
        <v/>
      </c>
      <c r="C2269" t="str">
        <f>IF(OR(Registro_Compras!$C$255="",Registro_Compras!$O$255="",Registro_Compras!$R$255&lt;&gt;"SI",Registro_Compras!$X$255=""),"","4212")</f>
        <v/>
      </c>
      <c r="D2269" t="str">
        <f>IF(OR(Registro_Compras!$C$255="",Registro_Compras!$O$255=""),"","Cuentas por Pagar Comerciales - Terceros")</f>
        <v/>
      </c>
      <c r="E2269" s="20" t="str">
        <f>IF($C2269="","",Registro_Compras!$S$255)</f>
        <v/>
      </c>
      <c r="F2269" s="20" t="str">
        <f>""</f>
        <v/>
      </c>
      <c r="G2269" t="str">
        <f>IF($C2269="","","Por el deposito de la detraccion en el Banco de la Nacion")</f>
        <v/>
      </c>
      <c r="H2269" t="str">
        <f>IF($C2269="","",Registro_Compras!$C$255)</f>
        <v/>
      </c>
    </row>
    <row r="2270" spans="1:8" x14ac:dyDescent="0.25">
      <c r="A2270" s="25" t="str">
        <f>IF($C2270="","",Registro_Compras!$X$255)</f>
        <v/>
      </c>
      <c r="B2270" t="str">
        <f>IF($C2270="","","C"&amp;TEXT(INT((ROW()-5)/9)+1,"000")&amp;"-3")</f>
        <v/>
      </c>
      <c r="C2270" t="str">
        <f>IF(OR(Registro_Compras!$C$255="",Registro_Compras!$O$255="",Registro_Compras!$R$255&lt;&gt;"SI",Registro_Compras!$X$255=""),"","1041")</f>
        <v/>
      </c>
      <c r="D2270" t="str">
        <f>IF(OR(Registro_Compras!$C$255="",Registro_Compras!$O$255=""),"","Efectivo y Equivalentes - Cta. Cte. Operativa")</f>
        <v/>
      </c>
      <c r="E2270" s="20" t="str">
        <f>""</f>
        <v/>
      </c>
      <c r="F2270" s="20" t="str">
        <f>IF($C2270="","",Registro_Compras!$S$255)</f>
        <v/>
      </c>
      <c r="G2270" t="str">
        <f>IF($C2270="","","Por el deposito de la detraccion en el Banco de la Nacion")</f>
        <v/>
      </c>
      <c r="H2270" t="str">
        <f>IF($C2270="","",Registro_Compras!$C$255)</f>
        <v/>
      </c>
    </row>
    <row r="2271" spans="1:8" x14ac:dyDescent="0.25">
      <c r="A2271" s="25" t="str">
        <f>IF($C2271="","",Registro_Compras!$Y$255)</f>
        <v/>
      </c>
      <c r="B2271" t="str">
        <f>IF($C2271="","","C"&amp;TEXT(INT((ROW()-5)/9)+1,"000")&amp;"-4")</f>
        <v/>
      </c>
      <c r="C2271" t="str">
        <f>IF(OR(Registro_Compras!$C$255="",Registro_Compras!$O$255="",Registro_Compras!$Y$255="",Registro_Compras!$F$255="NOTA DE CREDITO"),"","4212")</f>
        <v/>
      </c>
      <c r="D2271" t="str">
        <f>IF(OR(Registro_Compras!$C$255="",Registro_Compras!$O$255=""),"","Cuentas por Pagar Comerciales - Terceros")</f>
        <v/>
      </c>
      <c r="E2271" s="20" t="str">
        <f>IF($C2271="","",IF(Registro_Compras!$F$255="RHE",(ROUND(Registro_Compras!$L$255*Registro_Compras!$N$255,2)-ROUND(Registro_Compras!$V$255*Registro_Compras!$N$255,2)),ROUND(Registro_Compras!$O$255-Registro_Compras!$S$255,2)))</f>
        <v/>
      </c>
      <c r="F2271" s="20" t="str">
        <f>""</f>
        <v/>
      </c>
      <c r="G2271" t="str">
        <f>IF($C2271="","","Por la cancelacion del saldo al proveedor")</f>
        <v/>
      </c>
      <c r="H2271" t="str">
        <f>IF($C2271="","",Registro_Compras!$C$255)</f>
        <v/>
      </c>
    </row>
    <row r="2272" spans="1:8" x14ac:dyDescent="0.25">
      <c r="A2272" s="25" t="str">
        <f>IF($C2272="","",Registro_Compras!$Y$255)</f>
        <v/>
      </c>
      <c r="B2272" t="str">
        <f>IF($C2272="","","C"&amp;TEXT(INT((ROW()-5)/9)+1,"000")&amp;"-4")</f>
        <v/>
      </c>
      <c r="C2272" t="str">
        <f>IF(OR(Registro_Compras!$C$255="",Registro_Compras!$O$255="",Registro_Compras!$Y$255="",Registro_Compras!$F$255="NOTA DE CREDITO"),"","1041")</f>
        <v/>
      </c>
      <c r="D2272" t="str">
        <f>IF(OR(Registro_Compras!$C$255="",Registro_Compras!$O$255=""),"","Efectivo y Equivalentes - Cta. Cte. Operativa")</f>
        <v/>
      </c>
      <c r="E2272" s="20" t="str">
        <f>""</f>
        <v/>
      </c>
      <c r="F2272" s="20" t="str">
        <f>IF($C2272="","",IF(Registro_Compras!$F$255="RHE",(ROUND(Registro_Compras!$L$255*Registro_Compras!$N$255,2)-ROUND(Registro_Compras!$V$255*Registro_Compras!$N$255,2)),ROUND(Registro_Compras!$O$255-Registro_Compras!$S$255,2)))</f>
        <v/>
      </c>
      <c r="G2272" t="str">
        <f>IF($C2272="","","Por la cancelacion del saldo al proveedor")</f>
        <v/>
      </c>
      <c r="H2272" t="str">
        <f>IF($C2272="","",Registro_Compras!$C$255)</f>
        <v/>
      </c>
    </row>
    <row r="2273" spans="1:8" x14ac:dyDescent="0.25">
      <c r="A2273" s="25" t="str">
        <f>IF($C2273="","",Registro_Compras!$B$256)</f>
        <v/>
      </c>
      <c r="B2273" t="str">
        <f>IF($C2273="","","C"&amp;TEXT(INT((ROW()-5)/9)+1,"000")&amp;"-1")</f>
        <v/>
      </c>
      <c r="C2273" t="str">
        <f>IF(OR(Registro_Compras!$C$256="",Registro_Compras!$O$256=""),"",IF(Registro_Compras!$F$256="NOTA DE CREDITO","4212",IF(Registro_Compras!$M$256="","63",Registro_Compras!$M$256)))</f>
        <v/>
      </c>
      <c r="D2273" t="str">
        <f>IF(OR(Registro_Compras!$C$256="",Registro_Compras!$O$256=""),"",IF(Registro_Compras!$F$256="NOTA DE CREDITO","Cuentas por Pagar Comerciales - Terceros (Emitidas)",IF(Registro_Compras!$F$256="RHE","Honorarios Profesionales - Servicios de Terceros","Gastos de Servicios Prestados por Terceros")))</f>
        <v/>
      </c>
      <c r="E2273" s="20" t="str">
        <f>IF($C2273="","",IF(Registro_Compras!$F$256="NOTA DE CREDITO",ABS(Registro_Compras!$O$256),IF(Registro_Compras!$F$256="RHE",ROUND(Registro_Compras!$L$256*Registro_Compras!$N$256,2),ROUND(Registro_Compras!$J$256*Registro_Compras!$N$256,2))))</f>
        <v/>
      </c>
      <c r="F2273" s="20" t="str">
        <f>""</f>
        <v/>
      </c>
      <c r="G2273" t="str">
        <f>IF($C2273="","",IF(Registro_Compras!$F$256="NOTA DE CREDITO","Por la nota de credito "&amp;Registro_Compras!$C$256&amp;" de "&amp;Registro_Compras!$E$256&amp;" [PATRON POR CONFIRMAR CON CONTADOR]",IF(Registro_Compras!$F$256="RHE","Por el registro del recibo por honorarios "&amp;Registro_Compras!$C$256&amp;" de "&amp;Registro_Compras!$E$256&amp;" [PATRON POR CONFIRMAR CON CONTADOR]","Por el registro de la factura "&amp;Registro_Compras!$C$256&amp;" de "&amp;Registro_Compras!$E$256)))</f>
        <v/>
      </c>
      <c r="H2273" t="str">
        <f>IF($C2273="","",Registro_Compras!$C$256)</f>
        <v/>
      </c>
    </row>
    <row r="2274" spans="1:8" x14ac:dyDescent="0.25">
      <c r="A2274" s="25" t="str">
        <f>IF($C2274="","",Registro_Compras!$B$256)</f>
        <v/>
      </c>
      <c r="B2274" t="str">
        <f>IF($C2274="","","C"&amp;TEXT(INT((ROW()-5)/9)+1,"000")&amp;"-1")</f>
        <v/>
      </c>
      <c r="C2274" t="str">
        <f>IF(OR(Registro_Compras!$C$256="",Registro_Compras!$O$256=""),"",IF(Registro_Compras!$F$256="RHE",IF(Registro_Compras!$V$256=0,"","4017"),IF(Registro_Compras!$F$256="NOTA DE CREDITO",IF(Registro_Compras!$M$256="","63",Registro_Compras!$M$256),IF(Registro_Compras!$K$256=0,"","40111"))))</f>
        <v/>
      </c>
      <c r="D2274" t="str">
        <f>IF(OR(Registro_Compras!$C$256="",Registro_Compras!$O$256=""),"",IF(Registro_Compras!$F$256="RHE","Retencion Renta 4ta Categoria por Pagar",IF(Registro_Compras!$F$256="NOTA DE CREDITO","Gastos de Servicios Prestados por Terceros","IGV - Cuenta Propia (Credito Fiscal)")))</f>
        <v/>
      </c>
      <c r="E2274" s="20" t="str">
        <f>IF($C2274="","",IF(Registro_Compras!$F$256="FACTURA",ROUND(Registro_Compras!$K$256*Registro_Compras!$N$256,2),""))</f>
        <v/>
      </c>
      <c r="F2274" s="20" t="str">
        <f>IF($C2274="","",IF(Registro_Compras!$F$256="RHE",ROUND(Registro_Compras!$V$256*Registro_Compras!$N$256,2),IF(Registro_Compras!$F$256="NOTA DE CREDITO",ROUND(ABS(Registro_Compras!$J$256*Registro_Compras!$N$256),2),"")))</f>
        <v/>
      </c>
      <c r="G2274" t="str">
        <f>IF($C2274="","",IF(Registro_Compras!$F$256="NOTA DE CREDITO","Por la nota de credito "&amp;Registro_Compras!$C$256&amp;" de "&amp;Registro_Compras!$E$256&amp;" [PATRON POR CONFIRMAR CON CONTADOR]",IF(Registro_Compras!$F$256="RHE","Por el registro del recibo por honorarios "&amp;Registro_Compras!$C$256&amp;" de "&amp;Registro_Compras!$E$256&amp;" [PATRON POR CONFIRMAR CON CONTADOR]","Por el registro de la factura "&amp;Registro_Compras!$C$256&amp;" de "&amp;Registro_Compras!$E$256)))</f>
        <v/>
      </c>
      <c r="H2274" t="str">
        <f>IF($C2274="","",Registro_Compras!$C$256)</f>
        <v/>
      </c>
    </row>
    <row r="2275" spans="1:8" x14ac:dyDescent="0.25">
      <c r="A2275" s="25" t="str">
        <f>IF($C2275="","",Registro_Compras!$B$256)</f>
        <v/>
      </c>
      <c r="B2275" t="str">
        <f>IF($C2275="","","C"&amp;TEXT(INT((ROW()-5)/9)+1,"000")&amp;"-1")</f>
        <v/>
      </c>
      <c r="C2275" t="str">
        <f>IF(OR(Registro_Compras!$C$256="",Registro_Compras!$O$256=""),"",IF(Registro_Compras!$F$256="NOTA DE CREDITO",IF(Registro_Compras!$K$256=0,"","40111"),"4212"))</f>
        <v/>
      </c>
      <c r="D2275" t="str">
        <f>IF(OR(Registro_Compras!$C$256="",Registro_Compras!$O$256=""),"",IF(Registro_Compras!$F$256="NOTA DE CREDITO","IGV - Cuenta Propia (Credito Fiscal)","Cuentas por Pagar Comerciales - Terceros (Emitidas)"))</f>
        <v/>
      </c>
      <c r="E2275" s="20" t="str">
        <f>""</f>
        <v/>
      </c>
      <c r="F2275" s="20" t="str">
        <f>IF($C2275="","",IF(Registro_Compras!$F$256="NOTA DE CREDITO",ROUND(ABS(Registro_Compras!$K$256*Registro_Compras!$N$256),2),IF(Registro_Compras!$F$256="RHE",(ROUND(Registro_Compras!$L$256*Registro_Compras!$N$256,2)-ROUND(Registro_Compras!$V$256*Registro_Compras!$N$256,2)),Registro_Compras!$O$256)))</f>
        <v/>
      </c>
      <c r="G2275" t="str">
        <f>IF($C2275="","",IF(Registro_Compras!$F$256="NOTA DE CREDITO","Por la nota de credito "&amp;Registro_Compras!$C$256&amp;" de "&amp;Registro_Compras!$E$256&amp;" [PATRON POR CONFIRMAR CON CONTADOR]",IF(Registro_Compras!$F$256="RHE","Por el registro del recibo por honorarios "&amp;Registro_Compras!$C$256&amp;" de "&amp;Registro_Compras!$E$256&amp;" [PATRON POR CONFIRMAR CON CONTADOR]","Por el registro de la factura "&amp;Registro_Compras!$C$256&amp;" de "&amp;Registro_Compras!$E$256)))</f>
        <v/>
      </c>
      <c r="H2275" t="str">
        <f>IF($C2275="","",Registro_Compras!$C$256)</f>
        <v/>
      </c>
    </row>
    <row r="2276" spans="1:8" x14ac:dyDescent="0.25">
      <c r="A2276" s="25" t="str">
        <f>IF($C2276="","",Registro_Compras!$B$256)</f>
        <v/>
      </c>
      <c r="B2276" t="str">
        <f>IF($C2276="","","C"&amp;TEXT(INT((ROW()-5)/9)+1,"000")&amp;"-2")</f>
        <v/>
      </c>
      <c r="C2276" t="str">
        <f>IF(OR(Registro_Compras!$C$256="",Registro_Compras!$O$256=""),"",IF(Registro_Compras!$AB$256="ADMINISTRATIVO","94","95"))</f>
        <v/>
      </c>
      <c r="D2276" t="str">
        <f>IF(OR(Registro_Compras!$C$256="",Registro_Compras!$O$256=""),"",IF(Registro_Compras!$AB$256="ADMINISTRATIVO","Gastos Administrativos","Gastos de Venta y Operacion"))</f>
        <v/>
      </c>
      <c r="E2276" s="20" t="str">
        <f>IF($C2276="","",IF(Registro_Compras!$F$256="NOTA DE CREDITO","",IF(Registro_Compras!$F$256="RHE",ROUND(Registro_Compras!$L$256*Registro_Compras!$N$256,2),ROUND(Registro_Compras!$J$256*Registro_Compras!$N$256,2))))</f>
        <v/>
      </c>
      <c r="F2276" s="20" t="str">
        <f>IF($C2276="","",IF(Registro_Compras!$F$256="NOTA DE CREDITO",ROUND(ABS(Registro_Compras!$J$256*Registro_Compras!$N$256),2),""))</f>
        <v/>
      </c>
      <c r="G2276" t="str">
        <f>IF($C2276="","","Por el destino del gasto")</f>
        <v/>
      </c>
      <c r="H2276" t="str">
        <f>IF($C2276="","",Registro_Compras!$C$256)</f>
        <v/>
      </c>
    </row>
    <row r="2277" spans="1:8" x14ac:dyDescent="0.25">
      <c r="A2277" s="25" t="str">
        <f>IF($C2277="","",Registro_Compras!$B$256)</f>
        <v/>
      </c>
      <c r="B2277" t="str">
        <f>IF($C2277="","","C"&amp;TEXT(INT((ROW()-5)/9)+1,"000")&amp;"-2")</f>
        <v/>
      </c>
      <c r="C2277" t="str">
        <f>IF(OR(Registro_Compras!$C$256="",Registro_Compras!$O$256=""),"","79/791")</f>
        <v/>
      </c>
      <c r="D2277" t="str">
        <f>IF(OR(Registro_Compras!$C$256="",Registro_Compras!$O$256=""),"","Cargas Imputables a Cuentas de Costos y Gastos")</f>
        <v/>
      </c>
      <c r="E2277" s="20" t="str">
        <f>IF($C2277="","",IF(Registro_Compras!$F$256="NOTA DE CREDITO",ROUND(ABS(Registro_Compras!$J$256*Registro_Compras!$N$256),2),""))</f>
        <v/>
      </c>
      <c r="F2277" s="20" t="str">
        <f>IF($C2277="","",IF(Registro_Compras!$F$256="NOTA DE CREDITO","",IF(Registro_Compras!$F$256="RHE",ROUND(Registro_Compras!$L$256*Registro_Compras!$N$256,2),ROUND(Registro_Compras!$J$256*Registro_Compras!$N$256,2))))</f>
        <v/>
      </c>
      <c r="G2277" t="str">
        <f>IF($C2277="","","Por el destino del gasto")</f>
        <v/>
      </c>
      <c r="H2277" t="str">
        <f>IF($C2277="","",Registro_Compras!$C$256)</f>
        <v/>
      </c>
    </row>
    <row r="2278" spans="1:8" x14ac:dyDescent="0.25">
      <c r="A2278" s="25" t="str">
        <f>IF($C2278="","",Registro_Compras!$X$256)</f>
        <v/>
      </c>
      <c r="B2278" t="str">
        <f>IF($C2278="","","C"&amp;TEXT(INT((ROW()-5)/9)+1,"000")&amp;"-3")</f>
        <v/>
      </c>
      <c r="C2278" t="str">
        <f>IF(OR(Registro_Compras!$C$256="",Registro_Compras!$O$256="",Registro_Compras!$R$256&lt;&gt;"SI",Registro_Compras!$X$256=""),"","4212")</f>
        <v/>
      </c>
      <c r="D2278" t="str">
        <f>IF(OR(Registro_Compras!$C$256="",Registro_Compras!$O$256=""),"","Cuentas por Pagar Comerciales - Terceros")</f>
        <v/>
      </c>
      <c r="E2278" s="20" t="str">
        <f>IF($C2278="","",Registro_Compras!$S$256)</f>
        <v/>
      </c>
      <c r="F2278" s="20" t="str">
        <f>""</f>
        <v/>
      </c>
      <c r="G2278" t="str">
        <f>IF($C2278="","","Por el deposito de la detraccion en el Banco de la Nacion")</f>
        <v/>
      </c>
      <c r="H2278" t="str">
        <f>IF($C2278="","",Registro_Compras!$C$256)</f>
        <v/>
      </c>
    </row>
    <row r="2279" spans="1:8" x14ac:dyDescent="0.25">
      <c r="A2279" s="25" t="str">
        <f>IF($C2279="","",Registro_Compras!$X$256)</f>
        <v/>
      </c>
      <c r="B2279" t="str">
        <f>IF($C2279="","","C"&amp;TEXT(INT((ROW()-5)/9)+1,"000")&amp;"-3")</f>
        <v/>
      </c>
      <c r="C2279" t="str">
        <f>IF(OR(Registro_Compras!$C$256="",Registro_Compras!$O$256="",Registro_Compras!$R$256&lt;&gt;"SI",Registro_Compras!$X$256=""),"","1041")</f>
        <v/>
      </c>
      <c r="D2279" t="str">
        <f>IF(OR(Registro_Compras!$C$256="",Registro_Compras!$O$256=""),"","Efectivo y Equivalentes - Cta. Cte. Operativa")</f>
        <v/>
      </c>
      <c r="E2279" s="20" t="str">
        <f>""</f>
        <v/>
      </c>
      <c r="F2279" s="20" t="str">
        <f>IF($C2279="","",Registro_Compras!$S$256)</f>
        <v/>
      </c>
      <c r="G2279" t="str">
        <f>IF($C2279="","","Por el deposito de la detraccion en el Banco de la Nacion")</f>
        <v/>
      </c>
      <c r="H2279" t="str">
        <f>IF($C2279="","",Registro_Compras!$C$256)</f>
        <v/>
      </c>
    </row>
    <row r="2280" spans="1:8" x14ac:dyDescent="0.25">
      <c r="A2280" s="25" t="str">
        <f>IF($C2280="","",Registro_Compras!$Y$256)</f>
        <v/>
      </c>
      <c r="B2280" t="str">
        <f>IF($C2280="","","C"&amp;TEXT(INT((ROW()-5)/9)+1,"000")&amp;"-4")</f>
        <v/>
      </c>
      <c r="C2280" t="str">
        <f>IF(OR(Registro_Compras!$C$256="",Registro_Compras!$O$256="",Registro_Compras!$Y$256="",Registro_Compras!$F$256="NOTA DE CREDITO"),"","4212")</f>
        <v/>
      </c>
      <c r="D2280" t="str">
        <f>IF(OR(Registro_Compras!$C$256="",Registro_Compras!$O$256=""),"","Cuentas por Pagar Comerciales - Terceros")</f>
        <v/>
      </c>
      <c r="E2280" s="20" t="str">
        <f>IF($C2280="","",IF(Registro_Compras!$F$256="RHE",(ROUND(Registro_Compras!$L$256*Registro_Compras!$N$256,2)-ROUND(Registro_Compras!$V$256*Registro_Compras!$N$256,2)),ROUND(Registro_Compras!$O$256-Registro_Compras!$S$256,2)))</f>
        <v/>
      </c>
      <c r="F2280" s="20" t="str">
        <f>""</f>
        <v/>
      </c>
      <c r="G2280" t="str">
        <f>IF($C2280="","","Por la cancelacion del saldo al proveedor")</f>
        <v/>
      </c>
      <c r="H2280" t="str">
        <f>IF($C2280="","",Registro_Compras!$C$256)</f>
        <v/>
      </c>
    </row>
    <row r="2281" spans="1:8" x14ac:dyDescent="0.25">
      <c r="A2281" s="25" t="str">
        <f>IF($C2281="","",Registro_Compras!$Y$256)</f>
        <v/>
      </c>
      <c r="B2281" t="str">
        <f>IF($C2281="","","C"&amp;TEXT(INT((ROW()-5)/9)+1,"000")&amp;"-4")</f>
        <v/>
      </c>
      <c r="C2281" t="str">
        <f>IF(OR(Registro_Compras!$C$256="",Registro_Compras!$O$256="",Registro_Compras!$Y$256="",Registro_Compras!$F$256="NOTA DE CREDITO"),"","1041")</f>
        <v/>
      </c>
      <c r="D2281" t="str">
        <f>IF(OR(Registro_Compras!$C$256="",Registro_Compras!$O$256=""),"","Efectivo y Equivalentes - Cta. Cte. Operativa")</f>
        <v/>
      </c>
      <c r="E2281" s="20" t="str">
        <f>""</f>
        <v/>
      </c>
      <c r="F2281" s="20" t="str">
        <f>IF($C2281="","",IF(Registro_Compras!$F$256="RHE",(ROUND(Registro_Compras!$L$256*Registro_Compras!$N$256,2)-ROUND(Registro_Compras!$V$256*Registro_Compras!$N$256,2)),ROUND(Registro_Compras!$O$256-Registro_Compras!$S$256,2)))</f>
        <v/>
      </c>
      <c r="G2281" t="str">
        <f>IF($C2281="","","Por la cancelacion del saldo al proveedor")</f>
        <v/>
      </c>
      <c r="H2281" t="str">
        <f>IF($C2281="","",Registro_Compras!$C$256)</f>
        <v/>
      </c>
    </row>
    <row r="2282" spans="1:8" x14ac:dyDescent="0.25">
      <c r="A2282" s="25" t="str">
        <f>IF($C2282="","",Registro_Compras!$B$257)</f>
        <v/>
      </c>
      <c r="B2282" t="str">
        <f>IF($C2282="","","C"&amp;TEXT(INT((ROW()-5)/9)+1,"000")&amp;"-1")</f>
        <v/>
      </c>
      <c r="C2282" t="str">
        <f>IF(OR(Registro_Compras!$C$257="",Registro_Compras!$O$257=""),"",IF(Registro_Compras!$F$257="NOTA DE CREDITO","4212",IF(Registro_Compras!$M$257="","63",Registro_Compras!$M$257)))</f>
        <v/>
      </c>
      <c r="D2282" t="str">
        <f>IF(OR(Registro_Compras!$C$257="",Registro_Compras!$O$257=""),"",IF(Registro_Compras!$F$257="NOTA DE CREDITO","Cuentas por Pagar Comerciales - Terceros (Emitidas)",IF(Registro_Compras!$F$257="RHE","Honorarios Profesionales - Servicios de Terceros","Gastos de Servicios Prestados por Terceros")))</f>
        <v/>
      </c>
      <c r="E2282" s="20" t="str">
        <f>IF($C2282="","",IF(Registro_Compras!$F$257="NOTA DE CREDITO",ABS(Registro_Compras!$O$257),IF(Registro_Compras!$F$257="RHE",ROUND(Registro_Compras!$L$257*Registro_Compras!$N$257,2),ROUND(Registro_Compras!$J$257*Registro_Compras!$N$257,2))))</f>
        <v/>
      </c>
      <c r="F2282" s="20" t="str">
        <f>""</f>
        <v/>
      </c>
      <c r="G2282" t="str">
        <f>IF($C2282="","",IF(Registro_Compras!$F$257="NOTA DE CREDITO","Por la nota de credito "&amp;Registro_Compras!$C$257&amp;" de "&amp;Registro_Compras!$E$257&amp;" [PATRON POR CONFIRMAR CON CONTADOR]",IF(Registro_Compras!$F$257="RHE","Por el registro del recibo por honorarios "&amp;Registro_Compras!$C$257&amp;" de "&amp;Registro_Compras!$E$257&amp;" [PATRON POR CONFIRMAR CON CONTADOR]","Por el registro de la factura "&amp;Registro_Compras!$C$257&amp;" de "&amp;Registro_Compras!$E$257)))</f>
        <v/>
      </c>
      <c r="H2282" t="str">
        <f>IF($C2282="","",Registro_Compras!$C$257)</f>
        <v/>
      </c>
    </row>
    <row r="2283" spans="1:8" x14ac:dyDescent="0.25">
      <c r="A2283" s="25" t="str">
        <f>IF($C2283="","",Registro_Compras!$B$257)</f>
        <v/>
      </c>
      <c r="B2283" t="str">
        <f>IF($C2283="","","C"&amp;TEXT(INT((ROW()-5)/9)+1,"000")&amp;"-1")</f>
        <v/>
      </c>
      <c r="C2283" t="str">
        <f>IF(OR(Registro_Compras!$C$257="",Registro_Compras!$O$257=""),"",IF(Registro_Compras!$F$257="RHE",IF(Registro_Compras!$V$257=0,"","4017"),IF(Registro_Compras!$F$257="NOTA DE CREDITO",IF(Registro_Compras!$M$257="","63",Registro_Compras!$M$257),IF(Registro_Compras!$K$257=0,"","40111"))))</f>
        <v/>
      </c>
      <c r="D2283" t="str">
        <f>IF(OR(Registro_Compras!$C$257="",Registro_Compras!$O$257=""),"",IF(Registro_Compras!$F$257="RHE","Retencion Renta 4ta Categoria por Pagar",IF(Registro_Compras!$F$257="NOTA DE CREDITO","Gastos de Servicios Prestados por Terceros","IGV - Cuenta Propia (Credito Fiscal)")))</f>
        <v/>
      </c>
      <c r="E2283" s="20" t="str">
        <f>IF($C2283="","",IF(Registro_Compras!$F$257="FACTURA",ROUND(Registro_Compras!$K$257*Registro_Compras!$N$257,2),""))</f>
        <v/>
      </c>
      <c r="F2283" s="20" t="str">
        <f>IF($C2283="","",IF(Registro_Compras!$F$257="RHE",ROUND(Registro_Compras!$V$257*Registro_Compras!$N$257,2),IF(Registro_Compras!$F$257="NOTA DE CREDITO",ROUND(ABS(Registro_Compras!$J$257*Registro_Compras!$N$257),2),"")))</f>
        <v/>
      </c>
      <c r="G2283" t="str">
        <f>IF($C2283="","",IF(Registro_Compras!$F$257="NOTA DE CREDITO","Por la nota de credito "&amp;Registro_Compras!$C$257&amp;" de "&amp;Registro_Compras!$E$257&amp;" [PATRON POR CONFIRMAR CON CONTADOR]",IF(Registro_Compras!$F$257="RHE","Por el registro del recibo por honorarios "&amp;Registro_Compras!$C$257&amp;" de "&amp;Registro_Compras!$E$257&amp;" [PATRON POR CONFIRMAR CON CONTADOR]","Por el registro de la factura "&amp;Registro_Compras!$C$257&amp;" de "&amp;Registro_Compras!$E$257)))</f>
        <v/>
      </c>
      <c r="H2283" t="str">
        <f>IF($C2283="","",Registro_Compras!$C$257)</f>
        <v/>
      </c>
    </row>
    <row r="2284" spans="1:8" x14ac:dyDescent="0.25">
      <c r="A2284" s="25" t="str">
        <f>IF($C2284="","",Registro_Compras!$B$257)</f>
        <v/>
      </c>
      <c r="B2284" t="str">
        <f>IF($C2284="","","C"&amp;TEXT(INT((ROW()-5)/9)+1,"000")&amp;"-1")</f>
        <v/>
      </c>
      <c r="C2284" t="str">
        <f>IF(OR(Registro_Compras!$C$257="",Registro_Compras!$O$257=""),"",IF(Registro_Compras!$F$257="NOTA DE CREDITO",IF(Registro_Compras!$K$257=0,"","40111"),"4212"))</f>
        <v/>
      </c>
      <c r="D2284" t="str">
        <f>IF(OR(Registro_Compras!$C$257="",Registro_Compras!$O$257=""),"",IF(Registro_Compras!$F$257="NOTA DE CREDITO","IGV - Cuenta Propia (Credito Fiscal)","Cuentas por Pagar Comerciales - Terceros (Emitidas)"))</f>
        <v/>
      </c>
      <c r="E2284" s="20" t="str">
        <f>""</f>
        <v/>
      </c>
      <c r="F2284" s="20" t="str">
        <f>IF($C2284="","",IF(Registro_Compras!$F$257="NOTA DE CREDITO",ROUND(ABS(Registro_Compras!$K$257*Registro_Compras!$N$257),2),IF(Registro_Compras!$F$257="RHE",(ROUND(Registro_Compras!$L$257*Registro_Compras!$N$257,2)-ROUND(Registro_Compras!$V$257*Registro_Compras!$N$257,2)),Registro_Compras!$O$257)))</f>
        <v/>
      </c>
      <c r="G2284" t="str">
        <f>IF($C2284="","",IF(Registro_Compras!$F$257="NOTA DE CREDITO","Por la nota de credito "&amp;Registro_Compras!$C$257&amp;" de "&amp;Registro_Compras!$E$257&amp;" [PATRON POR CONFIRMAR CON CONTADOR]",IF(Registro_Compras!$F$257="RHE","Por el registro del recibo por honorarios "&amp;Registro_Compras!$C$257&amp;" de "&amp;Registro_Compras!$E$257&amp;" [PATRON POR CONFIRMAR CON CONTADOR]","Por el registro de la factura "&amp;Registro_Compras!$C$257&amp;" de "&amp;Registro_Compras!$E$257)))</f>
        <v/>
      </c>
      <c r="H2284" t="str">
        <f>IF($C2284="","",Registro_Compras!$C$257)</f>
        <v/>
      </c>
    </row>
    <row r="2285" spans="1:8" x14ac:dyDescent="0.25">
      <c r="A2285" s="25" t="str">
        <f>IF($C2285="","",Registro_Compras!$B$257)</f>
        <v/>
      </c>
      <c r="B2285" t="str">
        <f>IF($C2285="","","C"&amp;TEXT(INT((ROW()-5)/9)+1,"000")&amp;"-2")</f>
        <v/>
      </c>
      <c r="C2285" t="str">
        <f>IF(OR(Registro_Compras!$C$257="",Registro_Compras!$O$257=""),"",IF(Registro_Compras!$AB$257="ADMINISTRATIVO","94","95"))</f>
        <v/>
      </c>
      <c r="D2285" t="str">
        <f>IF(OR(Registro_Compras!$C$257="",Registro_Compras!$O$257=""),"",IF(Registro_Compras!$AB$257="ADMINISTRATIVO","Gastos Administrativos","Gastos de Venta y Operacion"))</f>
        <v/>
      </c>
      <c r="E2285" s="20" t="str">
        <f>IF($C2285="","",IF(Registro_Compras!$F$257="NOTA DE CREDITO","",IF(Registro_Compras!$F$257="RHE",ROUND(Registro_Compras!$L$257*Registro_Compras!$N$257,2),ROUND(Registro_Compras!$J$257*Registro_Compras!$N$257,2))))</f>
        <v/>
      </c>
      <c r="F2285" s="20" t="str">
        <f>IF($C2285="","",IF(Registro_Compras!$F$257="NOTA DE CREDITO",ROUND(ABS(Registro_Compras!$J$257*Registro_Compras!$N$257),2),""))</f>
        <v/>
      </c>
      <c r="G2285" t="str">
        <f>IF($C2285="","","Por el destino del gasto")</f>
        <v/>
      </c>
      <c r="H2285" t="str">
        <f>IF($C2285="","",Registro_Compras!$C$257)</f>
        <v/>
      </c>
    </row>
    <row r="2286" spans="1:8" x14ac:dyDescent="0.25">
      <c r="A2286" s="25" t="str">
        <f>IF($C2286="","",Registro_Compras!$B$257)</f>
        <v/>
      </c>
      <c r="B2286" t="str">
        <f>IF($C2286="","","C"&amp;TEXT(INT((ROW()-5)/9)+1,"000")&amp;"-2")</f>
        <v/>
      </c>
      <c r="C2286" t="str">
        <f>IF(OR(Registro_Compras!$C$257="",Registro_Compras!$O$257=""),"","79/791")</f>
        <v/>
      </c>
      <c r="D2286" t="str">
        <f>IF(OR(Registro_Compras!$C$257="",Registro_Compras!$O$257=""),"","Cargas Imputables a Cuentas de Costos y Gastos")</f>
        <v/>
      </c>
      <c r="E2286" s="20" t="str">
        <f>IF($C2286="","",IF(Registro_Compras!$F$257="NOTA DE CREDITO",ROUND(ABS(Registro_Compras!$J$257*Registro_Compras!$N$257),2),""))</f>
        <v/>
      </c>
      <c r="F2286" s="20" t="str">
        <f>IF($C2286="","",IF(Registro_Compras!$F$257="NOTA DE CREDITO","",IF(Registro_Compras!$F$257="RHE",ROUND(Registro_Compras!$L$257*Registro_Compras!$N$257,2),ROUND(Registro_Compras!$J$257*Registro_Compras!$N$257,2))))</f>
        <v/>
      </c>
      <c r="G2286" t="str">
        <f>IF($C2286="","","Por el destino del gasto")</f>
        <v/>
      </c>
      <c r="H2286" t="str">
        <f>IF($C2286="","",Registro_Compras!$C$257)</f>
        <v/>
      </c>
    </row>
    <row r="2287" spans="1:8" x14ac:dyDescent="0.25">
      <c r="A2287" s="25" t="str">
        <f>IF($C2287="","",Registro_Compras!$X$257)</f>
        <v/>
      </c>
      <c r="B2287" t="str">
        <f>IF($C2287="","","C"&amp;TEXT(INT((ROW()-5)/9)+1,"000")&amp;"-3")</f>
        <v/>
      </c>
      <c r="C2287" t="str">
        <f>IF(OR(Registro_Compras!$C$257="",Registro_Compras!$O$257="",Registro_Compras!$R$257&lt;&gt;"SI",Registro_Compras!$X$257=""),"","4212")</f>
        <v/>
      </c>
      <c r="D2287" t="str">
        <f>IF(OR(Registro_Compras!$C$257="",Registro_Compras!$O$257=""),"","Cuentas por Pagar Comerciales - Terceros")</f>
        <v/>
      </c>
      <c r="E2287" s="20" t="str">
        <f>IF($C2287="","",Registro_Compras!$S$257)</f>
        <v/>
      </c>
      <c r="F2287" s="20" t="str">
        <f>""</f>
        <v/>
      </c>
      <c r="G2287" t="str">
        <f>IF($C2287="","","Por el deposito de la detraccion en el Banco de la Nacion")</f>
        <v/>
      </c>
      <c r="H2287" t="str">
        <f>IF($C2287="","",Registro_Compras!$C$257)</f>
        <v/>
      </c>
    </row>
    <row r="2288" spans="1:8" x14ac:dyDescent="0.25">
      <c r="A2288" s="25" t="str">
        <f>IF($C2288="","",Registro_Compras!$X$257)</f>
        <v/>
      </c>
      <c r="B2288" t="str">
        <f>IF($C2288="","","C"&amp;TEXT(INT((ROW()-5)/9)+1,"000")&amp;"-3")</f>
        <v/>
      </c>
      <c r="C2288" t="str">
        <f>IF(OR(Registro_Compras!$C$257="",Registro_Compras!$O$257="",Registro_Compras!$R$257&lt;&gt;"SI",Registro_Compras!$X$257=""),"","1041")</f>
        <v/>
      </c>
      <c r="D2288" t="str">
        <f>IF(OR(Registro_Compras!$C$257="",Registro_Compras!$O$257=""),"","Efectivo y Equivalentes - Cta. Cte. Operativa")</f>
        <v/>
      </c>
      <c r="E2288" s="20" t="str">
        <f>""</f>
        <v/>
      </c>
      <c r="F2288" s="20" t="str">
        <f>IF($C2288="","",Registro_Compras!$S$257)</f>
        <v/>
      </c>
      <c r="G2288" t="str">
        <f>IF($C2288="","","Por el deposito de la detraccion en el Banco de la Nacion")</f>
        <v/>
      </c>
      <c r="H2288" t="str">
        <f>IF($C2288="","",Registro_Compras!$C$257)</f>
        <v/>
      </c>
    </row>
    <row r="2289" spans="1:8" x14ac:dyDescent="0.25">
      <c r="A2289" s="25" t="str">
        <f>IF($C2289="","",Registro_Compras!$Y$257)</f>
        <v/>
      </c>
      <c r="B2289" t="str">
        <f>IF($C2289="","","C"&amp;TEXT(INT((ROW()-5)/9)+1,"000")&amp;"-4")</f>
        <v/>
      </c>
      <c r="C2289" t="str">
        <f>IF(OR(Registro_Compras!$C$257="",Registro_Compras!$O$257="",Registro_Compras!$Y$257="",Registro_Compras!$F$257="NOTA DE CREDITO"),"","4212")</f>
        <v/>
      </c>
      <c r="D2289" t="str">
        <f>IF(OR(Registro_Compras!$C$257="",Registro_Compras!$O$257=""),"","Cuentas por Pagar Comerciales - Terceros")</f>
        <v/>
      </c>
      <c r="E2289" s="20" t="str">
        <f>IF($C2289="","",IF(Registro_Compras!$F$257="RHE",(ROUND(Registro_Compras!$L$257*Registro_Compras!$N$257,2)-ROUND(Registro_Compras!$V$257*Registro_Compras!$N$257,2)),ROUND(Registro_Compras!$O$257-Registro_Compras!$S$257,2)))</f>
        <v/>
      </c>
      <c r="F2289" s="20" t="str">
        <f>""</f>
        <v/>
      </c>
      <c r="G2289" t="str">
        <f>IF($C2289="","","Por la cancelacion del saldo al proveedor")</f>
        <v/>
      </c>
      <c r="H2289" t="str">
        <f>IF($C2289="","",Registro_Compras!$C$257)</f>
        <v/>
      </c>
    </row>
    <row r="2290" spans="1:8" x14ac:dyDescent="0.25">
      <c r="A2290" s="25" t="str">
        <f>IF($C2290="","",Registro_Compras!$Y$257)</f>
        <v/>
      </c>
      <c r="B2290" t="str">
        <f>IF($C2290="","","C"&amp;TEXT(INT((ROW()-5)/9)+1,"000")&amp;"-4")</f>
        <v/>
      </c>
      <c r="C2290" t="str">
        <f>IF(OR(Registro_Compras!$C$257="",Registro_Compras!$O$257="",Registro_Compras!$Y$257="",Registro_Compras!$F$257="NOTA DE CREDITO"),"","1041")</f>
        <v/>
      </c>
      <c r="D2290" t="str">
        <f>IF(OR(Registro_Compras!$C$257="",Registro_Compras!$O$257=""),"","Efectivo y Equivalentes - Cta. Cte. Operativa")</f>
        <v/>
      </c>
      <c r="E2290" s="20" t="str">
        <f>""</f>
        <v/>
      </c>
      <c r="F2290" s="20" t="str">
        <f>IF($C2290="","",IF(Registro_Compras!$F$257="RHE",(ROUND(Registro_Compras!$L$257*Registro_Compras!$N$257,2)-ROUND(Registro_Compras!$V$257*Registro_Compras!$N$257,2)),ROUND(Registro_Compras!$O$257-Registro_Compras!$S$257,2)))</f>
        <v/>
      </c>
      <c r="G2290" t="str">
        <f>IF($C2290="","","Por la cancelacion del saldo al proveedor")</f>
        <v/>
      </c>
      <c r="H2290" t="str">
        <f>IF($C2290="","",Registro_Compras!$C$257)</f>
        <v/>
      </c>
    </row>
    <row r="2291" spans="1:8" x14ac:dyDescent="0.25">
      <c r="A2291" s="25" t="str">
        <f>IF($C2291="","",Registro_Compras!$B$258)</f>
        <v/>
      </c>
      <c r="B2291" t="str">
        <f>IF($C2291="","","C"&amp;TEXT(INT((ROW()-5)/9)+1,"000")&amp;"-1")</f>
        <v/>
      </c>
      <c r="C2291" t="str">
        <f>IF(OR(Registro_Compras!$C$258="",Registro_Compras!$O$258=""),"",IF(Registro_Compras!$F$258="NOTA DE CREDITO","4212",IF(Registro_Compras!$M$258="","63",Registro_Compras!$M$258)))</f>
        <v/>
      </c>
      <c r="D2291" t="str">
        <f>IF(OR(Registro_Compras!$C$258="",Registro_Compras!$O$258=""),"",IF(Registro_Compras!$F$258="NOTA DE CREDITO","Cuentas por Pagar Comerciales - Terceros (Emitidas)",IF(Registro_Compras!$F$258="RHE","Honorarios Profesionales - Servicios de Terceros","Gastos de Servicios Prestados por Terceros")))</f>
        <v/>
      </c>
      <c r="E2291" s="20" t="str">
        <f>IF($C2291="","",IF(Registro_Compras!$F$258="NOTA DE CREDITO",ABS(Registro_Compras!$O$258),IF(Registro_Compras!$F$258="RHE",ROUND(Registro_Compras!$L$258*Registro_Compras!$N$258,2),ROUND(Registro_Compras!$J$258*Registro_Compras!$N$258,2))))</f>
        <v/>
      </c>
      <c r="F2291" s="20" t="str">
        <f>""</f>
        <v/>
      </c>
      <c r="G2291" t="str">
        <f>IF($C2291="","",IF(Registro_Compras!$F$258="NOTA DE CREDITO","Por la nota de credito "&amp;Registro_Compras!$C$258&amp;" de "&amp;Registro_Compras!$E$258&amp;" [PATRON POR CONFIRMAR CON CONTADOR]",IF(Registro_Compras!$F$258="RHE","Por el registro del recibo por honorarios "&amp;Registro_Compras!$C$258&amp;" de "&amp;Registro_Compras!$E$258&amp;" [PATRON POR CONFIRMAR CON CONTADOR]","Por el registro de la factura "&amp;Registro_Compras!$C$258&amp;" de "&amp;Registro_Compras!$E$258)))</f>
        <v/>
      </c>
      <c r="H2291" t="str">
        <f>IF($C2291="","",Registro_Compras!$C$258)</f>
        <v/>
      </c>
    </row>
    <row r="2292" spans="1:8" x14ac:dyDescent="0.25">
      <c r="A2292" s="25" t="str">
        <f>IF($C2292="","",Registro_Compras!$B$258)</f>
        <v/>
      </c>
      <c r="B2292" t="str">
        <f>IF($C2292="","","C"&amp;TEXT(INT((ROW()-5)/9)+1,"000")&amp;"-1")</f>
        <v/>
      </c>
      <c r="C2292" t="str">
        <f>IF(OR(Registro_Compras!$C$258="",Registro_Compras!$O$258=""),"",IF(Registro_Compras!$F$258="RHE",IF(Registro_Compras!$V$258=0,"","4017"),IF(Registro_Compras!$F$258="NOTA DE CREDITO",IF(Registro_Compras!$M$258="","63",Registro_Compras!$M$258),IF(Registro_Compras!$K$258=0,"","40111"))))</f>
        <v/>
      </c>
      <c r="D2292" t="str">
        <f>IF(OR(Registro_Compras!$C$258="",Registro_Compras!$O$258=""),"",IF(Registro_Compras!$F$258="RHE","Retencion Renta 4ta Categoria por Pagar",IF(Registro_Compras!$F$258="NOTA DE CREDITO","Gastos de Servicios Prestados por Terceros","IGV - Cuenta Propia (Credito Fiscal)")))</f>
        <v/>
      </c>
      <c r="E2292" s="20" t="str">
        <f>IF($C2292="","",IF(Registro_Compras!$F$258="FACTURA",ROUND(Registro_Compras!$K$258*Registro_Compras!$N$258,2),""))</f>
        <v/>
      </c>
      <c r="F2292" s="20" t="str">
        <f>IF($C2292="","",IF(Registro_Compras!$F$258="RHE",ROUND(Registro_Compras!$V$258*Registro_Compras!$N$258,2),IF(Registro_Compras!$F$258="NOTA DE CREDITO",ROUND(ABS(Registro_Compras!$J$258*Registro_Compras!$N$258),2),"")))</f>
        <v/>
      </c>
      <c r="G2292" t="str">
        <f>IF($C2292="","",IF(Registro_Compras!$F$258="NOTA DE CREDITO","Por la nota de credito "&amp;Registro_Compras!$C$258&amp;" de "&amp;Registro_Compras!$E$258&amp;" [PATRON POR CONFIRMAR CON CONTADOR]",IF(Registro_Compras!$F$258="RHE","Por el registro del recibo por honorarios "&amp;Registro_Compras!$C$258&amp;" de "&amp;Registro_Compras!$E$258&amp;" [PATRON POR CONFIRMAR CON CONTADOR]","Por el registro de la factura "&amp;Registro_Compras!$C$258&amp;" de "&amp;Registro_Compras!$E$258)))</f>
        <v/>
      </c>
      <c r="H2292" t="str">
        <f>IF($C2292="","",Registro_Compras!$C$258)</f>
        <v/>
      </c>
    </row>
    <row r="2293" spans="1:8" x14ac:dyDescent="0.25">
      <c r="A2293" s="25" t="str">
        <f>IF($C2293="","",Registro_Compras!$B$258)</f>
        <v/>
      </c>
      <c r="B2293" t="str">
        <f>IF($C2293="","","C"&amp;TEXT(INT((ROW()-5)/9)+1,"000")&amp;"-1")</f>
        <v/>
      </c>
      <c r="C2293" t="str">
        <f>IF(OR(Registro_Compras!$C$258="",Registro_Compras!$O$258=""),"",IF(Registro_Compras!$F$258="NOTA DE CREDITO",IF(Registro_Compras!$K$258=0,"","40111"),"4212"))</f>
        <v/>
      </c>
      <c r="D2293" t="str">
        <f>IF(OR(Registro_Compras!$C$258="",Registro_Compras!$O$258=""),"",IF(Registro_Compras!$F$258="NOTA DE CREDITO","IGV - Cuenta Propia (Credito Fiscal)","Cuentas por Pagar Comerciales - Terceros (Emitidas)"))</f>
        <v/>
      </c>
      <c r="E2293" s="20" t="str">
        <f>""</f>
        <v/>
      </c>
      <c r="F2293" s="20" t="str">
        <f>IF($C2293="","",IF(Registro_Compras!$F$258="NOTA DE CREDITO",ROUND(ABS(Registro_Compras!$K$258*Registro_Compras!$N$258),2),IF(Registro_Compras!$F$258="RHE",(ROUND(Registro_Compras!$L$258*Registro_Compras!$N$258,2)-ROUND(Registro_Compras!$V$258*Registro_Compras!$N$258,2)),Registro_Compras!$O$258)))</f>
        <v/>
      </c>
      <c r="G2293" t="str">
        <f>IF($C2293="","",IF(Registro_Compras!$F$258="NOTA DE CREDITO","Por la nota de credito "&amp;Registro_Compras!$C$258&amp;" de "&amp;Registro_Compras!$E$258&amp;" [PATRON POR CONFIRMAR CON CONTADOR]",IF(Registro_Compras!$F$258="RHE","Por el registro del recibo por honorarios "&amp;Registro_Compras!$C$258&amp;" de "&amp;Registro_Compras!$E$258&amp;" [PATRON POR CONFIRMAR CON CONTADOR]","Por el registro de la factura "&amp;Registro_Compras!$C$258&amp;" de "&amp;Registro_Compras!$E$258)))</f>
        <v/>
      </c>
      <c r="H2293" t="str">
        <f>IF($C2293="","",Registro_Compras!$C$258)</f>
        <v/>
      </c>
    </row>
    <row r="2294" spans="1:8" x14ac:dyDescent="0.25">
      <c r="A2294" s="25" t="str">
        <f>IF($C2294="","",Registro_Compras!$B$258)</f>
        <v/>
      </c>
      <c r="B2294" t="str">
        <f>IF($C2294="","","C"&amp;TEXT(INT((ROW()-5)/9)+1,"000")&amp;"-2")</f>
        <v/>
      </c>
      <c r="C2294" t="str">
        <f>IF(OR(Registro_Compras!$C$258="",Registro_Compras!$O$258=""),"",IF(Registro_Compras!$AB$258="ADMINISTRATIVO","94","95"))</f>
        <v/>
      </c>
      <c r="D2294" t="str">
        <f>IF(OR(Registro_Compras!$C$258="",Registro_Compras!$O$258=""),"",IF(Registro_Compras!$AB$258="ADMINISTRATIVO","Gastos Administrativos","Gastos de Venta y Operacion"))</f>
        <v/>
      </c>
      <c r="E2294" s="20" t="str">
        <f>IF($C2294="","",IF(Registro_Compras!$F$258="NOTA DE CREDITO","",IF(Registro_Compras!$F$258="RHE",ROUND(Registro_Compras!$L$258*Registro_Compras!$N$258,2),ROUND(Registro_Compras!$J$258*Registro_Compras!$N$258,2))))</f>
        <v/>
      </c>
      <c r="F2294" s="20" t="str">
        <f>IF($C2294="","",IF(Registro_Compras!$F$258="NOTA DE CREDITO",ROUND(ABS(Registro_Compras!$J$258*Registro_Compras!$N$258),2),""))</f>
        <v/>
      </c>
      <c r="G2294" t="str">
        <f>IF($C2294="","","Por el destino del gasto")</f>
        <v/>
      </c>
      <c r="H2294" t="str">
        <f>IF($C2294="","",Registro_Compras!$C$258)</f>
        <v/>
      </c>
    </row>
    <row r="2295" spans="1:8" x14ac:dyDescent="0.25">
      <c r="A2295" s="25" t="str">
        <f>IF($C2295="","",Registro_Compras!$B$258)</f>
        <v/>
      </c>
      <c r="B2295" t="str">
        <f>IF($C2295="","","C"&amp;TEXT(INT((ROW()-5)/9)+1,"000")&amp;"-2")</f>
        <v/>
      </c>
      <c r="C2295" t="str">
        <f>IF(OR(Registro_Compras!$C$258="",Registro_Compras!$O$258=""),"","79/791")</f>
        <v/>
      </c>
      <c r="D2295" t="str">
        <f>IF(OR(Registro_Compras!$C$258="",Registro_Compras!$O$258=""),"","Cargas Imputables a Cuentas de Costos y Gastos")</f>
        <v/>
      </c>
      <c r="E2295" s="20" t="str">
        <f>IF($C2295="","",IF(Registro_Compras!$F$258="NOTA DE CREDITO",ROUND(ABS(Registro_Compras!$J$258*Registro_Compras!$N$258),2),""))</f>
        <v/>
      </c>
      <c r="F2295" s="20" t="str">
        <f>IF($C2295="","",IF(Registro_Compras!$F$258="NOTA DE CREDITO","",IF(Registro_Compras!$F$258="RHE",ROUND(Registro_Compras!$L$258*Registro_Compras!$N$258,2),ROUND(Registro_Compras!$J$258*Registro_Compras!$N$258,2))))</f>
        <v/>
      </c>
      <c r="G2295" t="str">
        <f>IF($C2295="","","Por el destino del gasto")</f>
        <v/>
      </c>
      <c r="H2295" t="str">
        <f>IF($C2295="","",Registro_Compras!$C$258)</f>
        <v/>
      </c>
    </row>
    <row r="2296" spans="1:8" x14ac:dyDescent="0.25">
      <c r="A2296" s="25" t="str">
        <f>IF($C2296="","",Registro_Compras!$X$258)</f>
        <v/>
      </c>
      <c r="B2296" t="str">
        <f>IF($C2296="","","C"&amp;TEXT(INT((ROW()-5)/9)+1,"000")&amp;"-3")</f>
        <v/>
      </c>
      <c r="C2296" t="str">
        <f>IF(OR(Registro_Compras!$C$258="",Registro_Compras!$O$258="",Registro_Compras!$R$258&lt;&gt;"SI",Registro_Compras!$X$258=""),"","4212")</f>
        <v/>
      </c>
      <c r="D2296" t="str">
        <f>IF(OR(Registro_Compras!$C$258="",Registro_Compras!$O$258=""),"","Cuentas por Pagar Comerciales - Terceros")</f>
        <v/>
      </c>
      <c r="E2296" s="20" t="str">
        <f>IF($C2296="","",Registro_Compras!$S$258)</f>
        <v/>
      </c>
      <c r="F2296" s="20" t="str">
        <f>""</f>
        <v/>
      </c>
      <c r="G2296" t="str">
        <f>IF($C2296="","","Por el deposito de la detraccion en el Banco de la Nacion")</f>
        <v/>
      </c>
      <c r="H2296" t="str">
        <f>IF($C2296="","",Registro_Compras!$C$258)</f>
        <v/>
      </c>
    </row>
    <row r="2297" spans="1:8" x14ac:dyDescent="0.25">
      <c r="A2297" s="25" t="str">
        <f>IF($C2297="","",Registro_Compras!$X$258)</f>
        <v/>
      </c>
      <c r="B2297" t="str">
        <f>IF($C2297="","","C"&amp;TEXT(INT((ROW()-5)/9)+1,"000")&amp;"-3")</f>
        <v/>
      </c>
      <c r="C2297" t="str">
        <f>IF(OR(Registro_Compras!$C$258="",Registro_Compras!$O$258="",Registro_Compras!$R$258&lt;&gt;"SI",Registro_Compras!$X$258=""),"","1041")</f>
        <v/>
      </c>
      <c r="D2297" t="str">
        <f>IF(OR(Registro_Compras!$C$258="",Registro_Compras!$O$258=""),"","Efectivo y Equivalentes - Cta. Cte. Operativa")</f>
        <v/>
      </c>
      <c r="E2297" s="20" t="str">
        <f>""</f>
        <v/>
      </c>
      <c r="F2297" s="20" t="str">
        <f>IF($C2297="","",Registro_Compras!$S$258)</f>
        <v/>
      </c>
      <c r="G2297" t="str">
        <f>IF($C2297="","","Por el deposito de la detraccion en el Banco de la Nacion")</f>
        <v/>
      </c>
      <c r="H2297" t="str">
        <f>IF($C2297="","",Registro_Compras!$C$258)</f>
        <v/>
      </c>
    </row>
    <row r="2298" spans="1:8" x14ac:dyDescent="0.25">
      <c r="A2298" s="25" t="str">
        <f>IF($C2298="","",Registro_Compras!$Y$258)</f>
        <v/>
      </c>
      <c r="B2298" t="str">
        <f>IF($C2298="","","C"&amp;TEXT(INT((ROW()-5)/9)+1,"000")&amp;"-4")</f>
        <v/>
      </c>
      <c r="C2298" t="str">
        <f>IF(OR(Registro_Compras!$C$258="",Registro_Compras!$O$258="",Registro_Compras!$Y$258="",Registro_Compras!$F$258="NOTA DE CREDITO"),"","4212")</f>
        <v/>
      </c>
      <c r="D2298" t="str">
        <f>IF(OR(Registro_Compras!$C$258="",Registro_Compras!$O$258=""),"","Cuentas por Pagar Comerciales - Terceros")</f>
        <v/>
      </c>
      <c r="E2298" s="20" t="str">
        <f>IF($C2298="","",IF(Registro_Compras!$F$258="RHE",(ROUND(Registro_Compras!$L$258*Registro_Compras!$N$258,2)-ROUND(Registro_Compras!$V$258*Registro_Compras!$N$258,2)),ROUND(Registro_Compras!$O$258-Registro_Compras!$S$258,2)))</f>
        <v/>
      </c>
      <c r="F2298" s="20" t="str">
        <f>""</f>
        <v/>
      </c>
      <c r="G2298" t="str">
        <f>IF($C2298="","","Por la cancelacion del saldo al proveedor")</f>
        <v/>
      </c>
      <c r="H2298" t="str">
        <f>IF($C2298="","",Registro_Compras!$C$258)</f>
        <v/>
      </c>
    </row>
    <row r="2299" spans="1:8" x14ac:dyDescent="0.25">
      <c r="A2299" s="25" t="str">
        <f>IF($C2299="","",Registro_Compras!$Y$258)</f>
        <v/>
      </c>
      <c r="B2299" t="str">
        <f>IF($C2299="","","C"&amp;TEXT(INT((ROW()-5)/9)+1,"000")&amp;"-4")</f>
        <v/>
      </c>
      <c r="C2299" t="str">
        <f>IF(OR(Registro_Compras!$C$258="",Registro_Compras!$O$258="",Registro_Compras!$Y$258="",Registro_Compras!$F$258="NOTA DE CREDITO"),"","1041")</f>
        <v/>
      </c>
      <c r="D2299" t="str">
        <f>IF(OR(Registro_Compras!$C$258="",Registro_Compras!$O$258=""),"","Efectivo y Equivalentes - Cta. Cte. Operativa")</f>
        <v/>
      </c>
      <c r="E2299" s="20" t="str">
        <f>""</f>
        <v/>
      </c>
      <c r="F2299" s="20" t="str">
        <f>IF($C2299="","",IF(Registro_Compras!$F$258="RHE",(ROUND(Registro_Compras!$L$258*Registro_Compras!$N$258,2)-ROUND(Registro_Compras!$V$258*Registro_Compras!$N$258,2)),ROUND(Registro_Compras!$O$258-Registro_Compras!$S$258,2)))</f>
        <v/>
      </c>
      <c r="G2299" t="str">
        <f>IF($C2299="","","Por la cancelacion del saldo al proveedor")</f>
        <v/>
      </c>
      <c r="H2299" t="str">
        <f>IF($C2299="","",Registro_Compras!$C$258)</f>
        <v/>
      </c>
    </row>
    <row r="2300" spans="1:8" x14ac:dyDescent="0.25">
      <c r="A2300" s="25" t="str">
        <f>IF($C2300="","",Registro_Compras!$B$259)</f>
        <v/>
      </c>
      <c r="B2300" t="str">
        <f>IF($C2300="","","C"&amp;TEXT(INT((ROW()-5)/9)+1,"000")&amp;"-1")</f>
        <v/>
      </c>
      <c r="C2300" t="str">
        <f>IF(OR(Registro_Compras!$C$259="",Registro_Compras!$O$259=""),"",IF(Registro_Compras!$F$259="NOTA DE CREDITO","4212",IF(Registro_Compras!$M$259="","63",Registro_Compras!$M$259)))</f>
        <v/>
      </c>
      <c r="D2300" t="str">
        <f>IF(OR(Registro_Compras!$C$259="",Registro_Compras!$O$259=""),"",IF(Registro_Compras!$F$259="NOTA DE CREDITO","Cuentas por Pagar Comerciales - Terceros (Emitidas)",IF(Registro_Compras!$F$259="RHE","Honorarios Profesionales - Servicios de Terceros","Gastos de Servicios Prestados por Terceros")))</f>
        <v/>
      </c>
      <c r="E2300" s="20" t="str">
        <f>IF($C2300="","",IF(Registro_Compras!$F$259="NOTA DE CREDITO",ABS(Registro_Compras!$O$259),IF(Registro_Compras!$F$259="RHE",ROUND(Registro_Compras!$L$259*Registro_Compras!$N$259,2),ROUND(Registro_Compras!$J$259*Registro_Compras!$N$259,2))))</f>
        <v/>
      </c>
      <c r="F2300" s="20" t="str">
        <f>""</f>
        <v/>
      </c>
      <c r="G2300" t="str">
        <f>IF($C2300="","",IF(Registro_Compras!$F$259="NOTA DE CREDITO","Por la nota de credito "&amp;Registro_Compras!$C$259&amp;" de "&amp;Registro_Compras!$E$259&amp;" [PATRON POR CONFIRMAR CON CONTADOR]",IF(Registro_Compras!$F$259="RHE","Por el registro del recibo por honorarios "&amp;Registro_Compras!$C$259&amp;" de "&amp;Registro_Compras!$E$259&amp;" [PATRON POR CONFIRMAR CON CONTADOR]","Por el registro de la factura "&amp;Registro_Compras!$C$259&amp;" de "&amp;Registro_Compras!$E$259)))</f>
        <v/>
      </c>
      <c r="H2300" t="str">
        <f>IF($C2300="","",Registro_Compras!$C$259)</f>
        <v/>
      </c>
    </row>
    <row r="2301" spans="1:8" x14ac:dyDescent="0.25">
      <c r="A2301" s="25" t="str">
        <f>IF($C2301="","",Registro_Compras!$B$259)</f>
        <v/>
      </c>
      <c r="B2301" t="str">
        <f>IF($C2301="","","C"&amp;TEXT(INT((ROW()-5)/9)+1,"000")&amp;"-1")</f>
        <v/>
      </c>
      <c r="C2301" t="str">
        <f>IF(OR(Registro_Compras!$C$259="",Registro_Compras!$O$259=""),"",IF(Registro_Compras!$F$259="RHE",IF(Registro_Compras!$V$259=0,"","4017"),IF(Registro_Compras!$F$259="NOTA DE CREDITO",IF(Registro_Compras!$M$259="","63",Registro_Compras!$M$259),IF(Registro_Compras!$K$259=0,"","40111"))))</f>
        <v/>
      </c>
      <c r="D2301" t="str">
        <f>IF(OR(Registro_Compras!$C$259="",Registro_Compras!$O$259=""),"",IF(Registro_Compras!$F$259="RHE","Retencion Renta 4ta Categoria por Pagar",IF(Registro_Compras!$F$259="NOTA DE CREDITO","Gastos de Servicios Prestados por Terceros","IGV - Cuenta Propia (Credito Fiscal)")))</f>
        <v/>
      </c>
      <c r="E2301" s="20" t="str">
        <f>IF($C2301="","",IF(Registro_Compras!$F$259="FACTURA",ROUND(Registro_Compras!$K$259*Registro_Compras!$N$259,2),""))</f>
        <v/>
      </c>
      <c r="F2301" s="20" t="str">
        <f>IF($C2301="","",IF(Registro_Compras!$F$259="RHE",ROUND(Registro_Compras!$V$259*Registro_Compras!$N$259,2),IF(Registro_Compras!$F$259="NOTA DE CREDITO",ROUND(ABS(Registro_Compras!$J$259*Registro_Compras!$N$259),2),"")))</f>
        <v/>
      </c>
      <c r="G2301" t="str">
        <f>IF($C2301="","",IF(Registro_Compras!$F$259="NOTA DE CREDITO","Por la nota de credito "&amp;Registro_Compras!$C$259&amp;" de "&amp;Registro_Compras!$E$259&amp;" [PATRON POR CONFIRMAR CON CONTADOR]",IF(Registro_Compras!$F$259="RHE","Por el registro del recibo por honorarios "&amp;Registro_Compras!$C$259&amp;" de "&amp;Registro_Compras!$E$259&amp;" [PATRON POR CONFIRMAR CON CONTADOR]","Por el registro de la factura "&amp;Registro_Compras!$C$259&amp;" de "&amp;Registro_Compras!$E$259)))</f>
        <v/>
      </c>
      <c r="H2301" t="str">
        <f>IF($C2301="","",Registro_Compras!$C$259)</f>
        <v/>
      </c>
    </row>
    <row r="2302" spans="1:8" x14ac:dyDescent="0.25">
      <c r="A2302" s="25" t="str">
        <f>IF($C2302="","",Registro_Compras!$B$259)</f>
        <v/>
      </c>
      <c r="B2302" t="str">
        <f>IF($C2302="","","C"&amp;TEXT(INT((ROW()-5)/9)+1,"000")&amp;"-1")</f>
        <v/>
      </c>
      <c r="C2302" t="str">
        <f>IF(OR(Registro_Compras!$C$259="",Registro_Compras!$O$259=""),"",IF(Registro_Compras!$F$259="NOTA DE CREDITO",IF(Registro_Compras!$K$259=0,"","40111"),"4212"))</f>
        <v/>
      </c>
      <c r="D2302" t="str">
        <f>IF(OR(Registro_Compras!$C$259="",Registro_Compras!$O$259=""),"",IF(Registro_Compras!$F$259="NOTA DE CREDITO","IGV - Cuenta Propia (Credito Fiscal)","Cuentas por Pagar Comerciales - Terceros (Emitidas)"))</f>
        <v/>
      </c>
      <c r="E2302" s="20" t="str">
        <f>""</f>
        <v/>
      </c>
      <c r="F2302" s="20" t="str">
        <f>IF($C2302="","",IF(Registro_Compras!$F$259="NOTA DE CREDITO",ROUND(ABS(Registro_Compras!$K$259*Registro_Compras!$N$259),2),IF(Registro_Compras!$F$259="RHE",(ROUND(Registro_Compras!$L$259*Registro_Compras!$N$259,2)-ROUND(Registro_Compras!$V$259*Registro_Compras!$N$259,2)),Registro_Compras!$O$259)))</f>
        <v/>
      </c>
      <c r="G2302" t="str">
        <f>IF($C2302="","",IF(Registro_Compras!$F$259="NOTA DE CREDITO","Por la nota de credito "&amp;Registro_Compras!$C$259&amp;" de "&amp;Registro_Compras!$E$259&amp;" [PATRON POR CONFIRMAR CON CONTADOR]",IF(Registro_Compras!$F$259="RHE","Por el registro del recibo por honorarios "&amp;Registro_Compras!$C$259&amp;" de "&amp;Registro_Compras!$E$259&amp;" [PATRON POR CONFIRMAR CON CONTADOR]","Por el registro de la factura "&amp;Registro_Compras!$C$259&amp;" de "&amp;Registro_Compras!$E$259)))</f>
        <v/>
      </c>
      <c r="H2302" t="str">
        <f>IF($C2302="","",Registro_Compras!$C$259)</f>
        <v/>
      </c>
    </row>
    <row r="2303" spans="1:8" x14ac:dyDescent="0.25">
      <c r="A2303" s="25" t="str">
        <f>IF($C2303="","",Registro_Compras!$B$259)</f>
        <v/>
      </c>
      <c r="B2303" t="str">
        <f>IF($C2303="","","C"&amp;TEXT(INT((ROW()-5)/9)+1,"000")&amp;"-2")</f>
        <v/>
      </c>
      <c r="C2303" t="str">
        <f>IF(OR(Registro_Compras!$C$259="",Registro_Compras!$O$259=""),"",IF(Registro_Compras!$AB$259="ADMINISTRATIVO","94","95"))</f>
        <v/>
      </c>
      <c r="D2303" t="str">
        <f>IF(OR(Registro_Compras!$C$259="",Registro_Compras!$O$259=""),"",IF(Registro_Compras!$AB$259="ADMINISTRATIVO","Gastos Administrativos","Gastos de Venta y Operacion"))</f>
        <v/>
      </c>
      <c r="E2303" s="20" t="str">
        <f>IF($C2303="","",IF(Registro_Compras!$F$259="NOTA DE CREDITO","",IF(Registro_Compras!$F$259="RHE",ROUND(Registro_Compras!$L$259*Registro_Compras!$N$259,2),ROUND(Registro_Compras!$J$259*Registro_Compras!$N$259,2))))</f>
        <v/>
      </c>
      <c r="F2303" s="20" t="str">
        <f>IF($C2303="","",IF(Registro_Compras!$F$259="NOTA DE CREDITO",ROUND(ABS(Registro_Compras!$J$259*Registro_Compras!$N$259),2),""))</f>
        <v/>
      </c>
      <c r="G2303" t="str">
        <f>IF($C2303="","","Por el destino del gasto")</f>
        <v/>
      </c>
      <c r="H2303" t="str">
        <f>IF($C2303="","",Registro_Compras!$C$259)</f>
        <v/>
      </c>
    </row>
    <row r="2304" spans="1:8" x14ac:dyDescent="0.25">
      <c r="A2304" s="25" t="str">
        <f>IF($C2304="","",Registro_Compras!$B$259)</f>
        <v/>
      </c>
      <c r="B2304" t="str">
        <f>IF($C2304="","","C"&amp;TEXT(INT((ROW()-5)/9)+1,"000")&amp;"-2")</f>
        <v/>
      </c>
      <c r="C2304" t="str">
        <f>IF(OR(Registro_Compras!$C$259="",Registro_Compras!$O$259=""),"","79/791")</f>
        <v/>
      </c>
      <c r="D2304" t="str">
        <f>IF(OR(Registro_Compras!$C$259="",Registro_Compras!$O$259=""),"","Cargas Imputables a Cuentas de Costos y Gastos")</f>
        <v/>
      </c>
      <c r="E2304" s="20" t="str">
        <f>IF($C2304="","",IF(Registro_Compras!$F$259="NOTA DE CREDITO",ROUND(ABS(Registro_Compras!$J$259*Registro_Compras!$N$259),2),""))</f>
        <v/>
      </c>
      <c r="F2304" s="20" t="str">
        <f>IF($C2304="","",IF(Registro_Compras!$F$259="NOTA DE CREDITO","",IF(Registro_Compras!$F$259="RHE",ROUND(Registro_Compras!$L$259*Registro_Compras!$N$259,2),ROUND(Registro_Compras!$J$259*Registro_Compras!$N$259,2))))</f>
        <v/>
      </c>
      <c r="G2304" t="str">
        <f>IF($C2304="","","Por el destino del gasto")</f>
        <v/>
      </c>
      <c r="H2304" t="str">
        <f>IF($C2304="","",Registro_Compras!$C$259)</f>
        <v/>
      </c>
    </row>
    <row r="2305" spans="1:8" x14ac:dyDescent="0.25">
      <c r="A2305" s="25" t="str">
        <f>IF($C2305="","",Registro_Compras!$X$259)</f>
        <v/>
      </c>
      <c r="B2305" t="str">
        <f>IF($C2305="","","C"&amp;TEXT(INT((ROW()-5)/9)+1,"000")&amp;"-3")</f>
        <v/>
      </c>
      <c r="C2305" t="str">
        <f>IF(OR(Registro_Compras!$C$259="",Registro_Compras!$O$259="",Registro_Compras!$R$259&lt;&gt;"SI",Registro_Compras!$X$259=""),"","4212")</f>
        <v/>
      </c>
      <c r="D2305" t="str">
        <f>IF(OR(Registro_Compras!$C$259="",Registro_Compras!$O$259=""),"","Cuentas por Pagar Comerciales - Terceros")</f>
        <v/>
      </c>
      <c r="E2305" s="20" t="str">
        <f>IF($C2305="","",Registro_Compras!$S$259)</f>
        <v/>
      </c>
      <c r="F2305" s="20" t="str">
        <f>""</f>
        <v/>
      </c>
      <c r="G2305" t="str">
        <f>IF($C2305="","","Por el deposito de la detraccion en el Banco de la Nacion")</f>
        <v/>
      </c>
      <c r="H2305" t="str">
        <f>IF($C2305="","",Registro_Compras!$C$259)</f>
        <v/>
      </c>
    </row>
    <row r="2306" spans="1:8" x14ac:dyDescent="0.25">
      <c r="A2306" s="25" t="str">
        <f>IF($C2306="","",Registro_Compras!$X$259)</f>
        <v/>
      </c>
      <c r="B2306" t="str">
        <f>IF($C2306="","","C"&amp;TEXT(INT((ROW()-5)/9)+1,"000")&amp;"-3")</f>
        <v/>
      </c>
      <c r="C2306" t="str">
        <f>IF(OR(Registro_Compras!$C$259="",Registro_Compras!$O$259="",Registro_Compras!$R$259&lt;&gt;"SI",Registro_Compras!$X$259=""),"","1041")</f>
        <v/>
      </c>
      <c r="D2306" t="str">
        <f>IF(OR(Registro_Compras!$C$259="",Registro_Compras!$O$259=""),"","Efectivo y Equivalentes - Cta. Cte. Operativa")</f>
        <v/>
      </c>
      <c r="E2306" s="20" t="str">
        <f>""</f>
        <v/>
      </c>
      <c r="F2306" s="20" t="str">
        <f>IF($C2306="","",Registro_Compras!$S$259)</f>
        <v/>
      </c>
      <c r="G2306" t="str">
        <f>IF($C2306="","","Por el deposito de la detraccion en el Banco de la Nacion")</f>
        <v/>
      </c>
      <c r="H2306" t="str">
        <f>IF($C2306="","",Registro_Compras!$C$259)</f>
        <v/>
      </c>
    </row>
    <row r="2307" spans="1:8" x14ac:dyDescent="0.25">
      <c r="A2307" s="25" t="str">
        <f>IF($C2307="","",Registro_Compras!$Y$259)</f>
        <v/>
      </c>
      <c r="B2307" t="str">
        <f>IF($C2307="","","C"&amp;TEXT(INT((ROW()-5)/9)+1,"000")&amp;"-4")</f>
        <v/>
      </c>
      <c r="C2307" t="str">
        <f>IF(OR(Registro_Compras!$C$259="",Registro_Compras!$O$259="",Registro_Compras!$Y$259="",Registro_Compras!$F$259="NOTA DE CREDITO"),"","4212")</f>
        <v/>
      </c>
      <c r="D2307" t="str">
        <f>IF(OR(Registro_Compras!$C$259="",Registro_Compras!$O$259=""),"","Cuentas por Pagar Comerciales - Terceros")</f>
        <v/>
      </c>
      <c r="E2307" s="20" t="str">
        <f>IF($C2307="","",IF(Registro_Compras!$F$259="RHE",(ROUND(Registro_Compras!$L$259*Registro_Compras!$N$259,2)-ROUND(Registro_Compras!$V$259*Registro_Compras!$N$259,2)),ROUND(Registro_Compras!$O$259-Registro_Compras!$S$259,2)))</f>
        <v/>
      </c>
      <c r="F2307" s="20" t="str">
        <f>""</f>
        <v/>
      </c>
      <c r="G2307" t="str">
        <f>IF($C2307="","","Por la cancelacion del saldo al proveedor")</f>
        <v/>
      </c>
      <c r="H2307" t="str">
        <f>IF($C2307="","",Registro_Compras!$C$259)</f>
        <v/>
      </c>
    </row>
    <row r="2308" spans="1:8" x14ac:dyDescent="0.25">
      <c r="A2308" s="25" t="str">
        <f>IF($C2308="","",Registro_Compras!$Y$259)</f>
        <v/>
      </c>
      <c r="B2308" t="str">
        <f>IF($C2308="","","C"&amp;TEXT(INT((ROW()-5)/9)+1,"000")&amp;"-4")</f>
        <v/>
      </c>
      <c r="C2308" t="str">
        <f>IF(OR(Registro_Compras!$C$259="",Registro_Compras!$O$259="",Registro_Compras!$Y$259="",Registro_Compras!$F$259="NOTA DE CREDITO"),"","1041")</f>
        <v/>
      </c>
      <c r="D2308" t="str">
        <f>IF(OR(Registro_Compras!$C$259="",Registro_Compras!$O$259=""),"","Efectivo y Equivalentes - Cta. Cte. Operativa")</f>
        <v/>
      </c>
      <c r="E2308" s="20" t="str">
        <f>""</f>
        <v/>
      </c>
      <c r="F2308" s="20" t="str">
        <f>IF($C2308="","",IF(Registro_Compras!$F$259="RHE",(ROUND(Registro_Compras!$L$259*Registro_Compras!$N$259,2)-ROUND(Registro_Compras!$V$259*Registro_Compras!$N$259,2)),ROUND(Registro_Compras!$O$259-Registro_Compras!$S$259,2)))</f>
        <v/>
      </c>
      <c r="G2308" t="str">
        <f>IF($C2308="","","Por la cancelacion del saldo al proveedor")</f>
        <v/>
      </c>
      <c r="H2308" t="str">
        <f>IF($C2308="","",Registro_Compras!$C$259)</f>
        <v/>
      </c>
    </row>
    <row r="2309" spans="1:8" x14ac:dyDescent="0.25">
      <c r="A2309" s="25" t="str">
        <f>IF($C2309="","",Registro_Compras!$B$260)</f>
        <v/>
      </c>
      <c r="B2309" t="str">
        <f>IF($C2309="","","C"&amp;TEXT(INT((ROW()-5)/9)+1,"000")&amp;"-1")</f>
        <v/>
      </c>
      <c r="C2309" t="str">
        <f>IF(OR(Registro_Compras!$C$260="",Registro_Compras!$O$260=""),"",IF(Registro_Compras!$F$260="NOTA DE CREDITO","4212",IF(Registro_Compras!$M$260="","63",Registro_Compras!$M$260)))</f>
        <v/>
      </c>
      <c r="D2309" t="str">
        <f>IF(OR(Registro_Compras!$C$260="",Registro_Compras!$O$260=""),"",IF(Registro_Compras!$F$260="NOTA DE CREDITO","Cuentas por Pagar Comerciales - Terceros (Emitidas)",IF(Registro_Compras!$F$260="RHE","Honorarios Profesionales - Servicios de Terceros","Gastos de Servicios Prestados por Terceros")))</f>
        <v/>
      </c>
      <c r="E2309" s="20" t="str">
        <f>IF($C2309="","",IF(Registro_Compras!$F$260="NOTA DE CREDITO",ABS(Registro_Compras!$O$260),IF(Registro_Compras!$F$260="RHE",ROUND(Registro_Compras!$L$260*Registro_Compras!$N$260,2),ROUND(Registro_Compras!$J$260*Registro_Compras!$N$260,2))))</f>
        <v/>
      </c>
      <c r="F2309" s="20" t="str">
        <f>""</f>
        <v/>
      </c>
      <c r="G2309" t="str">
        <f>IF($C2309="","",IF(Registro_Compras!$F$260="NOTA DE CREDITO","Por la nota de credito "&amp;Registro_Compras!$C$260&amp;" de "&amp;Registro_Compras!$E$260&amp;" [PATRON POR CONFIRMAR CON CONTADOR]",IF(Registro_Compras!$F$260="RHE","Por el registro del recibo por honorarios "&amp;Registro_Compras!$C$260&amp;" de "&amp;Registro_Compras!$E$260&amp;" [PATRON POR CONFIRMAR CON CONTADOR]","Por el registro de la factura "&amp;Registro_Compras!$C$260&amp;" de "&amp;Registro_Compras!$E$260)))</f>
        <v/>
      </c>
      <c r="H2309" t="str">
        <f>IF($C2309="","",Registro_Compras!$C$260)</f>
        <v/>
      </c>
    </row>
    <row r="2310" spans="1:8" x14ac:dyDescent="0.25">
      <c r="A2310" s="25" t="str">
        <f>IF($C2310="","",Registro_Compras!$B$260)</f>
        <v/>
      </c>
      <c r="B2310" t="str">
        <f>IF($C2310="","","C"&amp;TEXT(INT((ROW()-5)/9)+1,"000")&amp;"-1")</f>
        <v/>
      </c>
      <c r="C2310" t="str">
        <f>IF(OR(Registro_Compras!$C$260="",Registro_Compras!$O$260=""),"",IF(Registro_Compras!$F$260="RHE",IF(Registro_Compras!$V$260=0,"","4017"),IF(Registro_Compras!$F$260="NOTA DE CREDITO",IF(Registro_Compras!$M$260="","63",Registro_Compras!$M$260),IF(Registro_Compras!$K$260=0,"","40111"))))</f>
        <v/>
      </c>
      <c r="D2310" t="str">
        <f>IF(OR(Registro_Compras!$C$260="",Registro_Compras!$O$260=""),"",IF(Registro_Compras!$F$260="RHE","Retencion Renta 4ta Categoria por Pagar",IF(Registro_Compras!$F$260="NOTA DE CREDITO","Gastos de Servicios Prestados por Terceros","IGV - Cuenta Propia (Credito Fiscal)")))</f>
        <v/>
      </c>
      <c r="E2310" s="20" t="str">
        <f>IF($C2310="","",IF(Registro_Compras!$F$260="FACTURA",ROUND(Registro_Compras!$K$260*Registro_Compras!$N$260,2),""))</f>
        <v/>
      </c>
      <c r="F2310" s="20" t="str">
        <f>IF($C2310="","",IF(Registro_Compras!$F$260="RHE",ROUND(Registro_Compras!$V$260*Registro_Compras!$N$260,2),IF(Registro_Compras!$F$260="NOTA DE CREDITO",ROUND(ABS(Registro_Compras!$J$260*Registro_Compras!$N$260),2),"")))</f>
        <v/>
      </c>
      <c r="G2310" t="str">
        <f>IF($C2310="","",IF(Registro_Compras!$F$260="NOTA DE CREDITO","Por la nota de credito "&amp;Registro_Compras!$C$260&amp;" de "&amp;Registro_Compras!$E$260&amp;" [PATRON POR CONFIRMAR CON CONTADOR]",IF(Registro_Compras!$F$260="RHE","Por el registro del recibo por honorarios "&amp;Registro_Compras!$C$260&amp;" de "&amp;Registro_Compras!$E$260&amp;" [PATRON POR CONFIRMAR CON CONTADOR]","Por el registro de la factura "&amp;Registro_Compras!$C$260&amp;" de "&amp;Registro_Compras!$E$260)))</f>
        <v/>
      </c>
      <c r="H2310" t="str">
        <f>IF($C2310="","",Registro_Compras!$C$260)</f>
        <v/>
      </c>
    </row>
    <row r="2311" spans="1:8" x14ac:dyDescent="0.25">
      <c r="A2311" s="25" t="str">
        <f>IF($C2311="","",Registro_Compras!$B$260)</f>
        <v/>
      </c>
      <c r="B2311" t="str">
        <f>IF($C2311="","","C"&amp;TEXT(INT((ROW()-5)/9)+1,"000")&amp;"-1")</f>
        <v/>
      </c>
      <c r="C2311" t="str">
        <f>IF(OR(Registro_Compras!$C$260="",Registro_Compras!$O$260=""),"",IF(Registro_Compras!$F$260="NOTA DE CREDITO",IF(Registro_Compras!$K$260=0,"","40111"),"4212"))</f>
        <v/>
      </c>
      <c r="D2311" t="str">
        <f>IF(OR(Registro_Compras!$C$260="",Registro_Compras!$O$260=""),"",IF(Registro_Compras!$F$260="NOTA DE CREDITO","IGV - Cuenta Propia (Credito Fiscal)","Cuentas por Pagar Comerciales - Terceros (Emitidas)"))</f>
        <v/>
      </c>
      <c r="E2311" s="20" t="str">
        <f>""</f>
        <v/>
      </c>
      <c r="F2311" s="20" t="str">
        <f>IF($C2311="","",IF(Registro_Compras!$F$260="NOTA DE CREDITO",ROUND(ABS(Registro_Compras!$K$260*Registro_Compras!$N$260),2),IF(Registro_Compras!$F$260="RHE",(ROUND(Registro_Compras!$L$260*Registro_Compras!$N$260,2)-ROUND(Registro_Compras!$V$260*Registro_Compras!$N$260,2)),Registro_Compras!$O$260)))</f>
        <v/>
      </c>
      <c r="G2311" t="str">
        <f>IF($C2311="","",IF(Registro_Compras!$F$260="NOTA DE CREDITO","Por la nota de credito "&amp;Registro_Compras!$C$260&amp;" de "&amp;Registro_Compras!$E$260&amp;" [PATRON POR CONFIRMAR CON CONTADOR]",IF(Registro_Compras!$F$260="RHE","Por el registro del recibo por honorarios "&amp;Registro_Compras!$C$260&amp;" de "&amp;Registro_Compras!$E$260&amp;" [PATRON POR CONFIRMAR CON CONTADOR]","Por el registro de la factura "&amp;Registro_Compras!$C$260&amp;" de "&amp;Registro_Compras!$E$260)))</f>
        <v/>
      </c>
      <c r="H2311" t="str">
        <f>IF($C2311="","",Registro_Compras!$C$260)</f>
        <v/>
      </c>
    </row>
    <row r="2312" spans="1:8" x14ac:dyDescent="0.25">
      <c r="A2312" s="25" t="str">
        <f>IF($C2312="","",Registro_Compras!$B$260)</f>
        <v/>
      </c>
      <c r="B2312" t="str">
        <f>IF($C2312="","","C"&amp;TEXT(INT((ROW()-5)/9)+1,"000")&amp;"-2")</f>
        <v/>
      </c>
      <c r="C2312" t="str">
        <f>IF(OR(Registro_Compras!$C$260="",Registro_Compras!$O$260=""),"",IF(Registro_Compras!$AB$260="ADMINISTRATIVO","94","95"))</f>
        <v/>
      </c>
      <c r="D2312" t="str">
        <f>IF(OR(Registro_Compras!$C$260="",Registro_Compras!$O$260=""),"",IF(Registro_Compras!$AB$260="ADMINISTRATIVO","Gastos Administrativos","Gastos de Venta y Operacion"))</f>
        <v/>
      </c>
      <c r="E2312" s="20" t="str">
        <f>IF($C2312="","",IF(Registro_Compras!$F$260="NOTA DE CREDITO","",IF(Registro_Compras!$F$260="RHE",ROUND(Registro_Compras!$L$260*Registro_Compras!$N$260,2),ROUND(Registro_Compras!$J$260*Registro_Compras!$N$260,2))))</f>
        <v/>
      </c>
      <c r="F2312" s="20" t="str">
        <f>IF($C2312="","",IF(Registro_Compras!$F$260="NOTA DE CREDITO",ROUND(ABS(Registro_Compras!$J$260*Registro_Compras!$N$260),2),""))</f>
        <v/>
      </c>
      <c r="G2312" t="str">
        <f>IF($C2312="","","Por el destino del gasto")</f>
        <v/>
      </c>
      <c r="H2312" t="str">
        <f>IF($C2312="","",Registro_Compras!$C$260)</f>
        <v/>
      </c>
    </row>
    <row r="2313" spans="1:8" x14ac:dyDescent="0.25">
      <c r="A2313" s="25" t="str">
        <f>IF($C2313="","",Registro_Compras!$B$260)</f>
        <v/>
      </c>
      <c r="B2313" t="str">
        <f>IF($C2313="","","C"&amp;TEXT(INT((ROW()-5)/9)+1,"000")&amp;"-2")</f>
        <v/>
      </c>
      <c r="C2313" t="str">
        <f>IF(OR(Registro_Compras!$C$260="",Registro_Compras!$O$260=""),"","79/791")</f>
        <v/>
      </c>
      <c r="D2313" t="str">
        <f>IF(OR(Registro_Compras!$C$260="",Registro_Compras!$O$260=""),"","Cargas Imputables a Cuentas de Costos y Gastos")</f>
        <v/>
      </c>
      <c r="E2313" s="20" t="str">
        <f>IF($C2313="","",IF(Registro_Compras!$F$260="NOTA DE CREDITO",ROUND(ABS(Registro_Compras!$J$260*Registro_Compras!$N$260),2),""))</f>
        <v/>
      </c>
      <c r="F2313" s="20" t="str">
        <f>IF($C2313="","",IF(Registro_Compras!$F$260="NOTA DE CREDITO","",IF(Registro_Compras!$F$260="RHE",ROUND(Registro_Compras!$L$260*Registro_Compras!$N$260,2),ROUND(Registro_Compras!$J$260*Registro_Compras!$N$260,2))))</f>
        <v/>
      </c>
      <c r="G2313" t="str">
        <f>IF($C2313="","","Por el destino del gasto")</f>
        <v/>
      </c>
      <c r="H2313" t="str">
        <f>IF($C2313="","",Registro_Compras!$C$260)</f>
        <v/>
      </c>
    </row>
    <row r="2314" spans="1:8" x14ac:dyDescent="0.25">
      <c r="A2314" s="25" t="str">
        <f>IF($C2314="","",Registro_Compras!$X$260)</f>
        <v/>
      </c>
      <c r="B2314" t="str">
        <f>IF($C2314="","","C"&amp;TEXT(INT((ROW()-5)/9)+1,"000")&amp;"-3")</f>
        <v/>
      </c>
      <c r="C2314" t="str">
        <f>IF(OR(Registro_Compras!$C$260="",Registro_Compras!$O$260="",Registro_Compras!$R$260&lt;&gt;"SI",Registro_Compras!$X$260=""),"","4212")</f>
        <v/>
      </c>
      <c r="D2314" t="str">
        <f>IF(OR(Registro_Compras!$C$260="",Registro_Compras!$O$260=""),"","Cuentas por Pagar Comerciales - Terceros")</f>
        <v/>
      </c>
      <c r="E2314" s="20" t="str">
        <f>IF($C2314="","",Registro_Compras!$S$260)</f>
        <v/>
      </c>
      <c r="F2314" s="20" t="str">
        <f>""</f>
        <v/>
      </c>
      <c r="G2314" t="str">
        <f>IF($C2314="","","Por el deposito de la detraccion en el Banco de la Nacion")</f>
        <v/>
      </c>
      <c r="H2314" t="str">
        <f>IF($C2314="","",Registro_Compras!$C$260)</f>
        <v/>
      </c>
    </row>
    <row r="2315" spans="1:8" x14ac:dyDescent="0.25">
      <c r="A2315" s="25" t="str">
        <f>IF($C2315="","",Registro_Compras!$X$260)</f>
        <v/>
      </c>
      <c r="B2315" t="str">
        <f>IF($C2315="","","C"&amp;TEXT(INT((ROW()-5)/9)+1,"000")&amp;"-3")</f>
        <v/>
      </c>
      <c r="C2315" t="str">
        <f>IF(OR(Registro_Compras!$C$260="",Registro_Compras!$O$260="",Registro_Compras!$R$260&lt;&gt;"SI",Registro_Compras!$X$260=""),"","1041")</f>
        <v/>
      </c>
      <c r="D2315" t="str">
        <f>IF(OR(Registro_Compras!$C$260="",Registro_Compras!$O$260=""),"","Efectivo y Equivalentes - Cta. Cte. Operativa")</f>
        <v/>
      </c>
      <c r="E2315" s="20" t="str">
        <f>""</f>
        <v/>
      </c>
      <c r="F2315" s="20" t="str">
        <f>IF($C2315="","",Registro_Compras!$S$260)</f>
        <v/>
      </c>
      <c r="G2315" t="str">
        <f>IF($C2315="","","Por el deposito de la detraccion en el Banco de la Nacion")</f>
        <v/>
      </c>
      <c r="H2315" t="str">
        <f>IF($C2315="","",Registro_Compras!$C$260)</f>
        <v/>
      </c>
    </row>
    <row r="2316" spans="1:8" x14ac:dyDescent="0.25">
      <c r="A2316" s="25" t="str">
        <f>IF($C2316="","",Registro_Compras!$Y$260)</f>
        <v/>
      </c>
      <c r="B2316" t="str">
        <f>IF($C2316="","","C"&amp;TEXT(INT((ROW()-5)/9)+1,"000")&amp;"-4")</f>
        <v/>
      </c>
      <c r="C2316" t="str">
        <f>IF(OR(Registro_Compras!$C$260="",Registro_Compras!$O$260="",Registro_Compras!$Y$260="",Registro_Compras!$F$260="NOTA DE CREDITO"),"","4212")</f>
        <v/>
      </c>
      <c r="D2316" t="str">
        <f>IF(OR(Registro_Compras!$C$260="",Registro_Compras!$O$260=""),"","Cuentas por Pagar Comerciales - Terceros")</f>
        <v/>
      </c>
      <c r="E2316" s="20" t="str">
        <f>IF($C2316="","",IF(Registro_Compras!$F$260="RHE",(ROUND(Registro_Compras!$L$260*Registro_Compras!$N$260,2)-ROUND(Registro_Compras!$V$260*Registro_Compras!$N$260,2)),ROUND(Registro_Compras!$O$260-Registro_Compras!$S$260,2)))</f>
        <v/>
      </c>
      <c r="F2316" s="20" t="str">
        <f>""</f>
        <v/>
      </c>
      <c r="G2316" t="str">
        <f>IF($C2316="","","Por la cancelacion del saldo al proveedor")</f>
        <v/>
      </c>
      <c r="H2316" t="str">
        <f>IF($C2316="","",Registro_Compras!$C$260)</f>
        <v/>
      </c>
    </row>
    <row r="2317" spans="1:8" x14ac:dyDescent="0.25">
      <c r="A2317" s="25" t="str">
        <f>IF($C2317="","",Registro_Compras!$Y$260)</f>
        <v/>
      </c>
      <c r="B2317" t="str">
        <f>IF($C2317="","","C"&amp;TEXT(INT((ROW()-5)/9)+1,"000")&amp;"-4")</f>
        <v/>
      </c>
      <c r="C2317" t="str">
        <f>IF(OR(Registro_Compras!$C$260="",Registro_Compras!$O$260="",Registro_Compras!$Y$260="",Registro_Compras!$F$260="NOTA DE CREDITO"),"","1041")</f>
        <v/>
      </c>
      <c r="D2317" t="str">
        <f>IF(OR(Registro_Compras!$C$260="",Registro_Compras!$O$260=""),"","Efectivo y Equivalentes - Cta. Cte. Operativa")</f>
        <v/>
      </c>
      <c r="E2317" s="20" t="str">
        <f>""</f>
        <v/>
      </c>
      <c r="F2317" s="20" t="str">
        <f>IF($C2317="","",IF(Registro_Compras!$F$260="RHE",(ROUND(Registro_Compras!$L$260*Registro_Compras!$N$260,2)-ROUND(Registro_Compras!$V$260*Registro_Compras!$N$260,2)),ROUND(Registro_Compras!$O$260-Registro_Compras!$S$260,2)))</f>
        <v/>
      </c>
      <c r="G2317" t="str">
        <f>IF($C2317="","","Por la cancelacion del saldo al proveedor")</f>
        <v/>
      </c>
      <c r="H2317" t="str">
        <f>IF($C2317="","",Registro_Compras!$C$260)</f>
        <v/>
      </c>
    </row>
    <row r="2318" spans="1:8" x14ac:dyDescent="0.25">
      <c r="A2318" s="25" t="str">
        <f>IF($C2318="","",Registro_Compras!$B$261)</f>
        <v/>
      </c>
      <c r="B2318" t="str">
        <f>IF($C2318="","","C"&amp;TEXT(INT((ROW()-5)/9)+1,"000")&amp;"-1")</f>
        <v/>
      </c>
      <c r="C2318" t="str">
        <f>IF(OR(Registro_Compras!$C$261="",Registro_Compras!$O$261=""),"",IF(Registro_Compras!$F$261="NOTA DE CREDITO","4212",IF(Registro_Compras!$M$261="","63",Registro_Compras!$M$261)))</f>
        <v/>
      </c>
      <c r="D2318" t="str">
        <f>IF(OR(Registro_Compras!$C$261="",Registro_Compras!$O$261=""),"",IF(Registro_Compras!$F$261="NOTA DE CREDITO","Cuentas por Pagar Comerciales - Terceros (Emitidas)",IF(Registro_Compras!$F$261="RHE","Honorarios Profesionales - Servicios de Terceros","Gastos de Servicios Prestados por Terceros")))</f>
        <v/>
      </c>
      <c r="E2318" s="20" t="str">
        <f>IF($C2318="","",IF(Registro_Compras!$F$261="NOTA DE CREDITO",ABS(Registro_Compras!$O$261),IF(Registro_Compras!$F$261="RHE",ROUND(Registro_Compras!$L$261*Registro_Compras!$N$261,2),ROUND(Registro_Compras!$J$261*Registro_Compras!$N$261,2))))</f>
        <v/>
      </c>
      <c r="F2318" s="20" t="str">
        <f>""</f>
        <v/>
      </c>
      <c r="G2318" t="str">
        <f>IF($C2318="","",IF(Registro_Compras!$F$261="NOTA DE CREDITO","Por la nota de credito "&amp;Registro_Compras!$C$261&amp;" de "&amp;Registro_Compras!$E$261&amp;" [PATRON POR CONFIRMAR CON CONTADOR]",IF(Registro_Compras!$F$261="RHE","Por el registro del recibo por honorarios "&amp;Registro_Compras!$C$261&amp;" de "&amp;Registro_Compras!$E$261&amp;" [PATRON POR CONFIRMAR CON CONTADOR]","Por el registro de la factura "&amp;Registro_Compras!$C$261&amp;" de "&amp;Registro_Compras!$E$261)))</f>
        <v/>
      </c>
      <c r="H2318" t="str">
        <f>IF($C2318="","",Registro_Compras!$C$261)</f>
        <v/>
      </c>
    </row>
    <row r="2319" spans="1:8" x14ac:dyDescent="0.25">
      <c r="A2319" s="25" t="str">
        <f>IF($C2319="","",Registro_Compras!$B$261)</f>
        <v/>
      </c>
      <c r="B2319" t="str">
        <f>IF($C2319="","","C"&amp;TEXT(INT((ROW()-5)/9)+1,"000")&amp;"-1")</f>
        <v/>
      </c>
      <c r="C2319" t="str">
        <f>IF(OR(Registro_Compras!$C$261="",Registro_Compras!$O$261=""),"",IF(Registro_Compras!$F$261="RHE",IF(Registro_Compras!$V$261=0,"","4017"),IF(Registro_Compras!$F$261="NOTA DE CREDITO",IF(Registro_Compras!$M$261="","63",Registro_Compras!$M$261),IF(Registro_Compras!$K$261=0,"","40111"))))</f>
        <v/>
      </c>
      <c r="D2319" t="str">
        <f>IF(OR(Registro_Compras!$C$261="",Registro_Compras!$O$261=""),"",IF(Registro_Compras!$F$261="RHE","Retencion Renta 4ta Categoria por Pagar",IF(Registro_Compras!$F$261="NOTA DE CREDITO","Gastos de Servicios Prestados por Terceros","IGV - Cuenta Propia (Credito Fiscal)")))</f>
        <v/>
      </c>
      <c r="E2319" s="20" t="str">
        <f>IF($C2319="","",IF(Registro_Compras!$F$261="FACTURA",ROUND(Registro_Compras!$K$261*Registro_Compras!$N$261,2),""))</f>
        <v/>
      </c>
      <c r="F2319" s="20" t="str">
        <f>IF($C2319="","",IF(Registro_Compras!$F$261="RHE",ROUND(Registro_Compras!$V$261*Registro_Compras!$N$261,2),IF(Registro_Compras!$F$261="NOTA DE CREDITO",ROUND(ABS(Registro_Compras!$J$261*Registro_Compras!$N$261),2),"")))</f>
        <v/>
      </c>
      <c r="G2319" t="str">
        <f>IF($C2319="","",IF(Registro_Compras!$F$261="NOTA DE CREDITO","Por la nota de credito "&amp;Registro_Compras!$C$261&amp;" de "&amp;Registro_Compras!$E$261&amp;" [PATRON POR CONFIRMAR CON CONTADOR]",IF(Registro_Compras!$F$261="RHE","Por el registro del recibo por honorarios "&amp;Registro_Compras!$C$261&amp;" de "&amp;Registro_Compras!$E$261&amp;" [PATRON POR CONFIRMAR CON CONTADOR]","Por el registro de la factura "&amp;Registro_Compras!$C$261&amp;" de "&amp;Registro_Compras!$E$261)))</f>
        <v/>
      </c>
      <c r="H2319" t="str">
        <f>IF($C2319="","",Registro_Compras!$C$261)</f>
        <v/>
      </c>
    </row>
    <row r="2320" spans="1:8" x14ac:dyDescent="0.25">
      <c r="A2320" s="25" t="str">
        <f>IF($C2320="","",Registro_Compras!$B$261)</f>
        <v/>
      </c>
      <c r="B2320" t="str">
        <f>IF($C2320="","","C"&amp;TEXT(INT((ROW()-5)/9)+1,"000")&amp;"-1")</f>
        <v/>
      </c>
      <c r="C2320" t="str">
        <f>IF(OR(Registro_Compras!$C$261="",Registro_Compras!$O$261=""),"",IF(Registro_Compras!$F$261="NOTA DE CREDITO",IF(Registro_Compras!$K$261=0,"","40111"),"4212"))</f>
        <v/>
      </c>
      <c r="D2320" t="str">
        <f>IF(OR(Registro_Compras!$C$261="",Registro_Compras!$O$261=""),"",IF(Registro_Compras!$F$261="NOTA DE CREDITO","IGV - Cuenta Propia (Credito Fiscal)","Cuentas por Pagar Comerciales - Terceros (Emitidas)"))</f>
        <v/>
      </c>
      <c r="E2320" s="20" t="str">
        <f>""</f>
        <v/>
      </c>
      <c r="F2320" s="20" t="str">
        <f>IF($C2320="","",IF(Registro_Compras!$F$261="NOTA DE CREDITO",ROUND(ABS(Registro_Compras!$K$261*Registro_Compras!$N$261),2),IF(Registro_Compras!$F$261="RHE",(ROUND(Registro_Compras!$L$261*Registro_Compras!$N$261,2)-ROUND(Registro_Compras!$V$261*Registro_Compras!$N$261,2)),Registro_Compras!$O$261)))</f>
        <v/>
      </c>
      <c r="G2320" t="str">
        <f>IF($C2320="","",IF(Registro_Compras!$F$261="NOTA DE CREDITO","Por la nota de credito "&amp;Registro_Compras!$C$261&amp;" de "&amp;Registro_Compras!$E$261&amp;" [PATRON POR CONFIRMAR CON CONTADOR]",IF(Registro_Compras!$F$261="RHE","Por el registro del recibo por honorarios "&amp;Registro_Compras!$C$261&amp;" de "&amp;Registro_Compras!$E$261&amp;" [PATRON POR CONFIRMAR CON CONTADOR]","Por el registro de la factura "&amp;Registro_Compras!$C$261&amp;" de "&amp;Registro_Compras!$E$261)))</f>
        <v/>
      </c>
      <c r="H2320" t="str">
        <f>IF($C2320="","",Registro_Compras!$C$261)</f>
        <v/>
      </c>
    </row>
    <row r="2321" spans="1:8" x14ac:dyDescent="0.25">
      <c r="A2321" s="25" t="str">
        <f>IF($C2321="","",Registro_Compras!$B$261)</f>
        <v/>
      </c>
      <c r="B2321" t="str">
        <f>IF($C2321="","","C"&amp;TEXT(INT((ROW()-5)/9)+1,"000")&amp;"-2")</f>
        <v/>
      </c>
      <c r="C2321" t="str">
        <f>IF(OR(Registro_Compras!$C$261="",Registro_Compras!$O$261=""),"",IF(Registro_Compras!$AB$261="ADMINISTRATIVO","94","95"))</f>
        <v/>
      </c>
      <c r="D2321" t="str">
        <f>IF(OR(Registro_Compras!$C$261="",Registro_Compras!$O$261=""),"",IF(Registro_Compras!$AB$261="ADMINISTRATIVO","Gastos Administrativos","Gastos de Venta y Operacion"))</f>
        <v/>
      </c>
      <c r="E2321" s="20" t="str">
        <f>IF($C2321="","",IF(Registro_Compras!$F$261="NOTA DE CREDITO","",IF(Registro_Compras!$F$261="RHE",ROUND(Registro_Compras!$L$261*Registro_Compras!$N$261,2),ROUND(Registro_Compras!$J$261*Registro_Compras!$N$261,2))))</f>
        <v/>
      </c>
      <c r="F2321" s="20" t="str">
        <f>IF($C2321="","",IF(Registro_Compras!$F$261="NOTA DE CREDITO",ROUND(ABS(Registro_Compras!$J$261*Registro_Compras!$N$261),2),""))</f>
        <v/>
      </c>
      <c r="G2321" t="str">
        <f>IF($C2321="","","Por el destino del gasto")</f>
        <v/>
      </c>
      <c r="H2321" t="str">
        <f>IF($C2321="","",Registro_Compras!$C$261)</f>
        <v/>
      </c>
    </row>
    <row r="2322" spans="1:8" x14ac:dyDescent="0.25">
      <c r="A2322" s="25" t="str">
        <f>IF($C2322="","",Registro_Compras!$B$261)</f>
        <v/>
      </c>
      <c r="B2322" t="str">
        <f>IF($C2322="","","C"&amp;TEXT(INT((ROW()-5)/9)+1,"000")&amp;"-2")</f>
        <v/>
      </c>
      <c r="C2322" t="str">
        <f>IF(OR(Registro_Compras!$C$261="",Registro_Compras!$O$261=""),"","79/791")</f>
        <v/>
      </c>
      <c r="D2322" t="str">
        <f>IF(OR(Registro_Compras!$C$261="",Registro_Compras!$O$261=""),"","Cargas Imputables a Cuentas de Costos y Gastos")</f>
        <v/>
      </c>
      <c r="E2322" s="20" t="str">
        <f>IF($C2322="","",IF(Registro_Compras!$F$261="NOTA DE CREDITO",ROUND(ABS(Registro_Compras!$J$261*Registro_Compras!$N$261),2),""))</f>
        <v/>
      </c>
      <c r="F2322" s="20" t="str">
        <f>IF($C2322="","",IF(Registro_Compras!$F$261="NOTA DE CREDITO","",IF(Registro_Compras!$F$261="RHE",ROUND(Registro_Compras!$L$261*Registro_Compras!$N$261,2),ROUND(Registro_Compras!$J$261*Registro_Compras!$N$261,2))))</f>
        <v/>
      </c>
      <c r="G2322" t="str">
        <f>IF($C2322="","","Por el destino del gasto")</f>
        <v/>
      </c>
      <c r="H2322" t="str">
        <f>IF($C2322="","",Registro_Compras!$C$261)</f>
        <v/>
      </c>
    </row>
    <row r="2323" spans="1:8" x14ac:dyDescent="0.25">
      <c r="A2323" s="25" t="str">
        <f>IF($C2323="","",Registro_Compras!$X$261)</f>
        <v/>
      </c>
      <c r="B2323" t="str">
        <f>IF($C2323="","","C"&amp;TEXT(INT((ROW()-5)/9)+1,"000")&amp;"-3")</f>
        <v/>
      </c>
      <c r="C2323" t="str">
        <f>IF(OR(Registro_Compras!$C$261="",Registro_Compras!$O$261="",Registro_Compras!$R$261&lt;&gt;"SI",Registro_Compras!$X$261=""),"","4212")</f>
        <v/>
      </c>
      <c r="D2323" t="str">
        <f>IF(OR(Registro_Compras!$C$261="",Registro_Compras!$O$261=""),"","Cuentas por Pagar Comerciales - Terceros")</f>
        <v/>
      </c>
      <c r="E2323" s="20" t="str">
        <f>IF($C2323="","",Registro_Compras!$S$261)</f>
        <v/>
      </c>
      <c r="F2323" s="20" t="str">
        <f>""</f>
        <v/>
      </c>
      <c r="G2323" t="str">
        <f>IF($C2323="","","Por el deposito de la detraccion en el Banco de la Nacion")</f>
        <v/>
      </c>
      <c r="H2323" t="str">
        <f>IF($C2323="","",Registro_Compras!$C$261)</f>
        <v/>
      </c>
    </row>
    <row r="2324" spans="1:8" x14ac:dyDescent="0.25">
      <c r="A2324" s="25" t="str">
        <f>IF($C2324="","",Registro_Compras!$X$261)</f>
        <v/>
      </c>
      <c r="B2324" t="str">
        <f>IF($C2324="","","C"&amp;TEXT(INT((ROW()-5)/9)+1,"000")&amp;"-3")</f>
        <v/>
      </c>
      <c r="C2324" t="str">
        <f>IF(OR(Registro_Compras!$C$261="",Registro_Compras!$O$261="",Registro_Compras!$R$261&lt;&gt;"SI",Registro_Compras!$X$261=""),"","1041")</f>
        <v/>
      </c>
      <c r="D2324" t="str">
        <f>IF(OR(Registro_Compras!$C$261="",Registro_Compras!$O$261=""),"","Efectivo y Equivalentes - Cta. Cte. Operativa")</f>
        <v/>
      </c>
      <c r="E2324" s="20" t="str">
        <f>""</f>
        <v/>
      </c>
      <c r="F2324" s="20" t="str">
        <f>IF($C2324="","",Registro_Compras!$S$261)</f>
        <v/>
      </c>
      <c r="G2324" t="str">
        <f>IF($C2324="","","Por el deposito de la detraccion en el Banco de la Nacion")</f>
        <v/>
      </c>
      <c r="H2324" t="str">
        <f>IF($C2324="","",Registro_Compras!$C$261)</f>
        <v/>
      </c>
    </row>
    <row r="2325" spans="1:8" x14ac:dyDescent="0.25">
      <c r="A2325" s="25" t="str">
        <f>IF($C2325="","",Registro_Compras!$Y$261)</f>
        <v/>
      </c>
      <c r="B2325" t="str">
        <f>IF($C2325="","","C"&amp;TEXT(INT((ROW()-5)/9)+1,"000")&amp;"-4")</f>
        <v/>
      </c>
      <c r="C2325" t="str">
        <f>IF(OR(Registro_Compras!$C$261="",Registro_Compras!$O$261="",Registro_Compras!$Y$261="",Registro_Compras!$F$261="NOTA DE CREDITO"),"","4212")</f>
        <v/>
      </c>
      <c r="D2325" t="str">
        <f>IF(OR(Registro_Compras!$C$261="",Registro_Compras!$O$261=""),"","Cuentas por Pagar Comerciales - Terceros")</f>
        <v/>
      </c>
      <c r="E2325" s="20" t="str">
        <f>IF($C2325="","",IF(Registro_Compras!$F$261="RHE",(ROUND(Registro_Compras!$L$261*Registro_Compras!$N$261,2)-ROUND(Registro_Compras!$V$261*Registro_Compras!$N$261,2)),ROUND(Registro_Compras!$O$261-Registro_Compras!$S$261,2)))</f>
        <v/>
      </c>
      <c r="F2325" s="20" t="str">
        <f>""</f>
        <v/>
      </c>
      <c r="G2325" t="str">
        <f>IF($C2325="","","Por la cancelacion del saldo al proveedor")</f>
        <v/>
      </c>
      <c r="H2325" t="str">
        <f>IF($C2325="","",Registro_Compras!$C$261)</f>
        <v/>
      </c>
    </row>
    <row r="2326" spans="1:8" x14ac:dyDescent="0.25">
      <c r="A2326" s="25" t="str">
        <f>IF($C2326="","",Registro_Compras!$Y$261)</f>
        <v/>
      </c>
      <c r="B2326" t="str">
        <f>IF($C2326="","","C"&amp;TEXT(INT((ROW()-5)/9)+1,"000")&amp;"-4")</f>
        <v/>
      </c>
      <c r="C2326" t="str">
        <f>IF(OR(Registro_Compras!$C$261="",Registro_Compras!$O$261="",Registro_Compras!$Y$261="",Registro_Compras!$F$261="NOTA DE CREDITO"),"","1041")</f>
        <v/>
      </c>
      <c r="D2326" t="str">
        <f>IF(OR(Registro_Compras!$C$261="",Registro_Compras!$O$261=""),"","Efectivo y Equivalentes - Cta. Cte. Operativa")</f>
        <v/>
      </c>
      <c r="E2326" s="20" t="str">
        <f>""</f>
        <v/>
      </c>
      <c r="F2326" s="20" t="str">
        <f>IF($C2326="","",IF(Registro_Compras!$F$261="RHE",(ROUND(Registro_Compras!$L$261*Registro_Compras!$N$261,2)-ROUND(Registro_Compras!$V$261*Registro_Compras!$N$261,2)),ROUND(Registro_Compras!$O$261-Registro_Compras!$S$261,2)))</f>
        <v/>
      </c>
      <c r="G2326" t="str">
        <f>IF($C2326="","","Por la cancelacion del saldo al proveedor")</f>
        <v/>
      </c>
      <c r="H2326" t="str">
        <f>IF($C2326="","",Registro_Compras!$C$261)</f>
        <v/>
      </c>
    </row>
    <row r="2327" spans="1:8" x14ac:dyDescent="0.25">
      <c r="A2327" s="25" t="str">
        <f>IF($C2327="","",Registro_Compras!$B$262)</f>
        <v/>
      </c>
      <c r="B2327" t="str">
        <f>IF($C2327="","","C"&amp;TEXT(INT((ROW()-5)/9)+1,"000")&amp;"-1")</f>
        <v/>
      </c>
      <c r="C2327" t="str">
        <f>IF(OR(Registro_Compras!$C$262="",Registro_Compras!$O$262=""),"",IF(Registro_Compras!$F$262="NOTA DE CREDITO","4212",IF(Registro_Compras!$M$262="","63",Registro_Compras!$M$262)))</f>
        <v/>
      </c>
      <c r="D2327" t="str">
        <f>IF(OR(Registro_Compras!$C$262="",Registro_Compras!$O$262=""),"",IF(Registro_Compras!$F$262="NOTA DE CREDITO","Cuentas por Pagar Comerciales - Terceros (Emitidas)",IF(Registro_Compras!$F$262="RHE","Honorarios Profesionales - Servicios de Terceros","Gastos de Servicios Prestados por Terceros")))</f>
        <v/>
      </c>
      <c r="E2327" s="20" t="str">
        <f>IF($C2327="","",IF(Registro_Compras!$F$262="NOTA DE CREDITO",ABS(Registro_Compras!$O$262),IF(Registro_Compras!$F$262="RHE",ROUND(Registro_Compras!$L$262*Registro_Compras!$N$262,2),ROUND(Registro_Compras!$J$262*Registro_Compras!$N$262,2))))</f>
        <v/>
      </c>
      <c r="F2327" s="20" t="str">
        <f>""</f>
        <v/>
      </c>
      <c r="G2327" t="str">
        <f>IF($C2327="","",IF(Registro_Compras!$F$262="NOTA DE CREDITO","Por la nota de credito "&amp;Registro_Compras!$C$262&amp;" de "&amp;Registro_Compras!$E$262&amp;" [PATRON POR CONFIRMAR CON CONTADOR]",IF(Registro_Compras!$F$262="RHE","Por el registro del recibo por honorarios "&amp;Registro_Compras!$C$262&amp;" de "&amp;Registro_Compras!$E$262&amp;" [PATRON POR CONFIRMAR CON CONTADOR]","Por el registro de la factura "&amp;Registro_Compras!$C$262&amp;" de "&amp;Registro_Compras!$E$262)))</f>
        <v/>
      </c>
      <c r="H2327" t="str">
        <f>IF($C2327="","",Registro_Compras!$C$262)</f>
        <v/>
      </c>
    </row>
    <row r="2328" spans="1:8" x14ac:dyDescent="0.25">
      <c r="A2328" s="25" t="str">
        <f>IF($C2328="","",Registro_Compras!$B$262)</f>
        <v/>
      </c>
      <c r="B2328" t="str">
        <f>IF($C2328="","","C"&amp;TEXT(INT((ROW()-5)/9)+1,"000")&amp;"-1")</f>
        <v/>
      </c>
      <c r="C2328" t="str">
        <f>IF(OR(Registro_Compras!$C$262="",Registro_Compras!$O$262=""),"",IF(Registro_Compras!$F$262="RHE",IF(Registro_Compras!$V$262=0,"","4017"),IF(Registro_Compras!$F$262="NOTA DE CREDITO",IF(Registro_Compras!$M$262="","63",Registro_Compras!$M$262),IF(Registro_Compras!$K$262=0,"","40111"))))</f>
        <v/>
      </c>
      <c r="D2328" t="str">
        <f>IF(OR(Registro_Compras!$C$262="",Registro_Compras!$O$262=""),"",IF(Registro_Compras!$F$262="RHE","Retencion Renta 4ta Categoria por Pagar",IF(Registro_Compras!$F$262="NOTA DE CREDITO","Gastos de Servicios Prestados por Terceros","IGV - Cuenta Propia (Credito Fiscal)")))</f>
        <v/>
      </c>
      <c r="E2328" s="20" t="str">
        <f>IF($C2328="","",IF(Registro_Compras!$F$262="FACTURA",ROUND(Registro_Compras!$K$262*Registro_Compras!$N$262,2),""))</f>
        <v/>
      </c>
      <c r="F2328" s="20" t="str">
        <f>IF($C2328="","",IF(Registro_Compras!$F$262="RHE",ROUND(Registro_Compras!$V$262*Registro_Compras!$N$262,2),IF(Registro_Compras!$F$262="NOTA DE CREDITO",ROUND(ABS(Registro_Compras!$J$262*Registro_Compras!$N$262),2),"")))</f>
        <v/>
      </c>
      <c r="G2328" t="str">
        <f>IF($C2328="","",IF(Registro_Compras!$F$262="NOTA DE CREDITO","Por la nota de credito "&amp;Registro_Compras!$C$262&amp;" de "&amp;Registro_Compras!$E$262&amp;" [PATRON POR CONFIRMAR CON CONTADOR]",IF(Registro_Compras!$F$262="RHE","Por el registro del recibo por honorarios "&amp;Registro_Compras!$C$262&amp;" de "&amp;Registro_Compras!$E$262&amp;" [PATRON POR CONFIRMAR CON CONTADOR]","Por el registro de la factura "&amp;Registro_Compras!$C$262&amp;" de "&amp;Registro_Compras!$E$262)))</f>
        <v/>
      </c>
      <c r="H2328" t="str">
        <f>IF($C2328="","",Registro_Compras!$C$262)</f>
        <v/>
      </c>
    </row>
    <row r="2329" spans="1:8" x14ac:dyDescent="0.25">
      <c r="A2329" s="25" t="str">
        <f>IF($C2329="","",Registro_Compras!$B$262)</f>
        <v/>
      </c>
      <c r="B2329" t="str">
        <f>IF($C2329="","","C"&amp;TEXT(INT((ROW()-5)/9)+1,"000")&amp;"-1")</f>
        <v/>
      </c>
      <c r="C2329" t="str">
        <f>IF(OR(Registro_Compras!$C$262="",Registro_Compras!$O$262=""),"",IF(Registro_Compras!$F$262="NOTA DE CREDITO",IF(Registro_Compras!$K$262=0,"","40111"),"4212"))</f>
        <v/>
      </c>
      <c r="D2329" t="str">
        <f>IF(OR(Registro_Compras!$C$262="",Registro_Compras!$O$262=""),"",IF(Registro_Compras!$F$262="NOTA DE CREDITO","IGV - Cuenta Propia (Credito Fiscal)","Cuentas por Pagar Comerciales - Terceros (Emitidas)"))</f>
        <v/>
      </c>
      <c r="E2329" s="20" t="str">
        <f>""</f>
        <v/>
      </c>
      <c r="F2329" s="20" t="str">
        <f>IF($C2329="","",IF(Registro_Compras!$F$262="NOTA DE CREDITO",ROUND(ABS(Registro_Compras!$K$262*Registro_Compras!$N$262),2),IF(Registro_Compras!$F$262="RHE",(ROUND(Registro_Compras!$L$262*Registro_Compras!$N$262,2)-ROUND(Registro_Compras!$V$262*Registro_Compras!$N$262,2)),Registro_Compras!$O$262)))</f>
        <v/>
      </c>
      <c r="G2329" t="str">
        <f>IF($C2329="","",IF(Registro_Compras!$F$262="NOTA DE CREDITO","Por la nota de credito "&amp;Registro_Compras!$C$262&amp;" de "&amp;Registro_Compras!$E$262&amp;" [PATRON POR CONFIRMAR CON CONTADOR]",IF(Registro_Compras!$F$262="RHE","Por el registro del recibo por honorarios "&amp;Registro_Compras!$C$262&amp;" de "&amp;Registro_Compras!$E$262&amp;" [PATRON POR CONFIRMAR CON CONTADOR]","Por el registro de la factura "&amp;Registro_Compras!$C$262&amp;" de "&amp;Registro_Compras!$E$262)))</f>
        <v/>
      </c>
      <c r="H2329" t="str">
        <f>IF($C2329="","",Registro_Compras!$C$262)</f>
        <v/>
      </c>
    </row>
    <row r="2330" spans="1:8" x14ac:dyDescent="0.25">
      <c r="A2330" s="25" t="str">
        <f>IF($C2330="","",Registro_Compras!$B$262)</f>
        <v/>
      </c>
      <c r="B2330" t="str">
        <f>IF($C2330="","","C"&amp;TEXT(INT((ROW()-5)/9)+1,"000")&amp;"-2")</f>
        <v/>
      </c>
      <c r="C2330" t="str">
        <f>IF(OR(Registro_Compras!$C$262="",Registro_Compras!$O$262=""),"",IF(Registro_Compras!$AB$262="ADMINISTRATIVO","94","95"))</f>
        <v/>
      </c>
      <c r="D2330" t="str">
        <f>IF(OR(Registro_Compras!$C$262="",Registro_Compras!$O$262=""),"",IF(Registro_Compras!$AB$262="ADMINISTRATIVO","Gastos Administrativos","Gastos de Venta y Operacion"))</f>
        <v/>
      </c>
      <c r="E2330" s="20" t="str">
        <f>IF($C2330="","",IF(Registro_Compras!$F$262="NOTA DE CREDITO","",IF(Registro_Compras!$F$262="RHE",ROUND(Registro_Compras!$L$262*Registro_Compras!$N$262,2),ROUND(Registro_Compras!$J$262*Registro_Compras!$N$262,2))))</f>
        <v/>
      </c>
      <c r="F2330" s="20" t="str">
        <f>IF($C2330="","",IF(Registro_Compras!$F$262="NOTA DE CREDITO",ROUND(ABS(Registro_Compras!$J$262*Registro_Compras!$N$262),2),""))</f>
        <v/>
      </c>
      <c r="G2330" t="str">
        <f>IF($C2330="","","Por el destino del gasto")</f>
        <v/>
      </c>
      <c r="H2330" t="str">
        <f>IF($C2330="","",Registro_Compras!$C$262)</f>
        <v/>
      </c>
    </row>
    <row r="2331" spans="1:8" x14ac:dyDescent="0.25">
      <c r="A2331" s="25" t="str">
        <f>IF($C2331="","",Registro_Compras!$B$262)</f>
        <v/>
      </c>
      <c r="B2331" t="str">
        <f>IF($C2331="","","C"&amp;TEXT(INT((ROW()-5)/9)+1,"000")&amp;"-2")</f>
        <v/>
      </c>
      <c r="C2331" t="str">
        <f>IF(OR(Registro_Compras!$C$262="",Registro_Compras!$O$262=""),"","79/791")</f>
        <v/>
      </c>
      <c r="D2331" t="str">
        <f>IF(OR(Registro_Compras!$C$262="",Registro_Compras!$O$262=""),"","Cargas Imputables a Cuentas de Costos y Gastos")</f>
        <v/>
      </c>
      <c r="E2331" s="20" t="str">
        <f>IF($C2331="","",IF(Registro_Compras!$F$262="NOTA DE CREDITO",ROUND(ABS(Registro_Compras!$J$262*Registro_Compras!$N$262),2),""))</f>
        <v/>
      </c>
      <c r="F2331" s="20" t="str">
        <f>IF($C2331="","",IF(Registro_Compras!$F$262="NOTA DE CREDITO","",IF(Registro_Compras!$F$262="RHE",ROUND(Registro_Compras!$L$262*Registro_Compras!$N$262,2),ROUND(Registro_Compras!$J$262*Registro_Compras!$N$262,2))))</f>
        <v/>
      </c>
      <c r="G2331" t="str">
        <f>IF($C2331="","","Por el destino del gasto")</f>
        <v/>
      </c>
      <c r="H2331" t="str">
        <f>IF($C2331="","",Registro_Compras!$C$262)</f>
        <v/>
      </c>
    </row>
    <row r="2332" spans="1:8" x14ac:dyDescent="0.25">
      <c r="A2332" s="25" t="str">
        <f>IF($C2332="","",Registro_Compras!$X$262)</f>
        <v/>
      </c>
      <c r="B2332" t="str">
        <f>IF($C2332="","","C"&amp;TEXT(INT((ROW()-5)/9)+1,"000")&amp;"-3")</f>
        <v/>
      </c>
      <c r="C2332" t="str">
        <f>IF(OR(Registro_Compras!$C$262="",Registro_Compras!$O$262="",Registro_Compras!$R$262&lt;&gt;"SI",Registro_Compras!$X$262=""),"","4212")</f>
        <v/>
      </c>
      <c r="D2332" t="str">
        <f>IF(OR(Registro_Compras!$C$262="",Registro_Compras!$O$262=""),"","Cuentas por Pagar Comerciales - Terceros")</f>
        <v/>
      </c>
      <c r="E2332" s="20" t="str">
        <f>IF($C2332="","",Registro_Compras!$S$262)</f>
        <v/>
      </c>
      <c r="F2332" s="20" t="str">
        <f>""</f>
        <v/>
      </c>
      <c r="G2332" t="str">
        <f>IF($C2332="","","Por el deposito de la detraccion en el Banco de la Nacion")</f>
        <v/>
      </c>
      <c r="H2332" t="str">
        <f>IF($C2332="","",Registro_Compras!$C$262)</f>
        <v/>
      </c>
    </row>
    <row r="2333" spans="1:8" x14ac:dyDescent="0.25">
      <c r="A2333" s="25" t="str">
        <f>IF($C2333="","",Registro_Compras!$X$262)</f>
        <v/>
      </c>
      <c r="B2333" t="str">
        <f>IF($C2333="","","C"&amp;TEXT(INT((ROW()-5)/9)+1,"000")&amp;"-3")</f>
        <v/>
      </c>
      <c r="C2333" t="str">
        <f>IF(OR(Registro_Compras!$C$262="",Registro_Compras!$O$262="",Registro_Compras!$R$262&lt;&gt;"SI",Registro_Compras!$X$262=""),"","1041")</f>
        <v/>
      </c>
      <c r="D2333" t="str">
        <f>IF(OR(Registro_Compras!$C$262="",Registro_Compras!$O$262=""),"","Efectivo y Equivalentes - Cta. Cte. Operativa")</f>
        <v/>
      </c>
      <c r="E2333" s="20" t="str">
        <f>""</f>
        <v/>
      </c>
      <c r="F2333" s="20" t="str">
        <f>IF($C2333="","",Registro_Compras!$S$262)</f>
        <v/>
      </c>
      <c r="G2333" t="str">
        <f>IF($C2333="","","Por el deposito de la detraccion en el Banco de la Nacion")</f>
        <v/>
      </c>
      <c r="H2333" t="str">
        <f>IF($C2333="","",Registro_Compras!$C$262)</f>
        <v/>
      </c>
    </row>
    <row r="2334" spans="1:8" x14ac:dyDescent="0.25">
      <c r="A2334" s="25" t="str">
        <f>IF($C2334="","",Registro_Compras!$Y$262)</f>
        <v/>
      </c>
      <c r="B2334" t="str">
        <f>IF($C2334="","","C"&amp;TEXT(INT((ROW()-5)/9)+1,"000")&amp;"-4")</f>
        <v/>
      </c>
      <c r="C2334" t="str">
        <f>IF(OR(Registro_Compras!$C$262="",Registro_Compras!$O$262="",Registro_Compras!$Y$262="",Registro_Compras!$F$262="NOTA DE CREDITO"),"","4212")</f>
        <v/>
      </c>
      <c r="D2334" t="str">
        <f>IF(OR(Registro_Compras!$C$262="",Registro_Compras!$O$262=""),"","Cuentas por Pagar Comerciales - Terceros")</f>
        <v/>
      </c>
      <c r="E2334" s="20" t="str">
        <f>IF($C2334="","",IF(Registro_Compras!$F$262="RHE",(ROUND(Registro_Compras!$L$262*Registro_Compras!$N$262,2)-ROUND(Registro_Compras!$V$262*Registro_Compras!$N$262,2)),ROUND(Registro_Compras!$O$262-Registro_Compras!$S$262,2)))</f>
        <v/>
      </c>
      <c r="F2334" s="20" t="str">
        <f>""</f>
        <v/>
      </c>
      <c r="G2334" t="str">
        <f>IF($C2334="","","Por la cancelacion del saldo al proveedor")</f>
        <v/>
      </c>
      <c r="H2334" t="str">
        <f>IF($C2334="","",Registro_Compras!$C$262)</f>
        <v/>
      </c>
    </row>
    <row r="2335" spans="1:8" x14ac:dyDescent="0.25">
      <c r="A2335" s="25" t="str">
        <f>IF($C2335="","",Registro_Compras!$Y$262)</f>
        <v/>
      </c>
      <c r="B2335" t="str">
        <f>IF($C2335="","","C"&amp;TEXT(INT((ROW()-5)/9)+1,"000")&amp;"-4")</f>
        <v/>
      </c>
      <c r="C2335" t="str">
        <f>IF(OR(Registro_Compras!$C$262="",Registro_Compras!$O$262="",Registro_Compras!$Y$262="",Registro_Compras!$F$262="NOTA DE CREDITO"),"","1041")</f>
        <v/>
      </c>
      <c r="D2335" t="str">
        <f>IF(OR(Registro_Compras!$C$262="",Registro_Compras!$O$262=""),"","Efectivo y Equivalentes - Cta. Cte. Operativa")</f>
        <v/>
      </c>
      <c r="E2335" s="20" t="str">
        <f>""</f>
        <v/>
      </c>
      <c r="F2335" s="20" t="str">
        <f>IF($C2335="","",IF(Registro_Compras!$F$262="RHE",(ROUND(Registro_Compras!$L$262*Registro_Compras!$N$262,2)-ROUND(Registro_Compras!$V$262*Registro_Compras!$N$262,2)),ROUND(Registro_Compras!$O$262-Registro_Compras!$S$262,2)))</f>
        <v/>
      </c>
      <c r="G2335" t="str">
        <f>IF($C2335="","","Por la cancelacion del saldo al proveedor")</f>
        <v/>
      </c>
      <c r="H2335" t="str">
        <f>IF($C2335="","",Registro_Compras!$C$262)</f>
        <v/>
      </c>
    </row>
    <row r="2336" spans="1:8" x14ac:dyDescent="0.25">
      <c r="A2336" s="25" t="str">
        <f>IF($C2336="","",Registro_Compras!$B$263)</f>
        <v/>
      </c>
      <c r="B2336" t="str">
        <f>IF($C2336="","","C"&amp;TEXT(INT((ROW()-5)/9)+1,"000")&amp;"-1")</f>
        <v/>
      </c>
      <c r="C2336" t="str">
        <f>IF(OR(Registro_Compras!$C$263="",Registro_Compras!$O$263=""),"",IF(Registro_Compras!$F$263="NOTA DE CREDITO","4212",IF(Registro_Compras!$M$263="","63",Registro_Compras!$M$263)))</f>
        <v/>
      </c>
      <c r="D2336" t="str">
        <f>IF(OR(Registro_Compras!$C$263="",Registro_Compras!$O$263=""),"",IF(Registro_Compras!$F$263="NOTA DE CREDITO","Cuentas por Pagar Comerciales - Terceros (Emitidas)",IF(Registro_Compras!$F$263="RHE","Honorarios Profesionales - Servicios de Terceros","Gastos de Servicios Prestados por Terceros")))</f>
        <v/>
      </c>
      <c r="E2336" s="20" t="str">
        <f>IF($C2336="","",IF(Registro_Compras!$F$263="NOTA DE CREDITO",ABS(Registro_Compras!$O$263),IF(Registro_Compras!$F$263="RHE",ROUND(Registro_Compras!$L$263*Registro_Compras!$N$263,2),ROUND(Registro_Compras!$J$263*Registro_Compras!$N$263,2))))</f>
        <v/>
      </c>
      <c r="F2336" s="20" t="str">
        <f>""</f>
        <v/>
      </c>
      <c r="G2336" t="str">
        <f>IF($C2336="","",IF(Registro_Compras!$F$263="NOTA DE CREDITO","Por la nota de credito "&amp;Registro_Compras!$C$263&amp;" de "&amp;Registro_Compras!$E$263&amp;" [PATRON POR CONFIRMAR CON CONTADOR]",IF(Registro_Compras!$F$263="RHE","Por el registro del recibo por honorarios "&amp;Registro_Compras!$C$263&amp;" de "&amp;Registro_Compras!$E$263&amp;" [PATRON POR CONFIRMAR CON CONTADOR]","Por el registro de la factura "&amp;Registro_Compras!$C$263&amp;" de "&amp;Registro_Compras!$E$263)))</f>
        <v/>
      </c>
      <c r="H2336" t="str">
        <f>IF($C2336="","",Registro_Compras!$C$263)</f>
        <v/>
      </c>
    </row>
    <row r="2337" spans="1:8" x14ac:dyDescent="0.25">
      <c r="A2337" s="25" t="str">
        <f>IF($C2337="","",Registro_Compras!$B$263)</f>
        <v/>
      </c>
      <c r="B2337" t="str">
        <f>IF($C2337="","","C"&amp;TEXT(INT((ROW()-5)/9)+1,"000")&amp;"-1")</f>
        <v/>
      </c>
      <c r="C2337" t="str">
        <f>IF(OR(Registro_Compras!$C$263="",Registro_Compras!$O$263=""),"",IF(Registro_Compras!$F$263="RHE",IF(Registro_Compras!$V$263=0,"","4017"),IF(Registro_Compras!$F$263="NOTA DE CREDITO",IF(Registro_Compras!$M$263="","63",Registro_Compras!$M$263),IF(Registro_Compras!$K$263=0,"","40111"))))</f>
        <v/>
      </c>
      <c r="D2337" t="str">
        <f>IF(OR(Registro_Compras!$C$263="",Registro_Compras!$O$263=""),"",IF(Registro_Compras!$F$263="RHE","Retencion Renta 4ta Categoria por Pagar",IF(Registro_Compras!$F$263="NOTA DE CREDITO","Gastos de Servicios Prestados por Terceros","IGV - Cuenta Propia (Credito Fiscal)")))</f>
        <v/>
      </c>
      <c r="E2337" s="20" t="str">
        <f>IF($C2337="","",IF(Registro_Compras!$F$263="FACTURA",ROUND(Registro_Compras!$K$263*Registro_Compras!$N$263,2),""))</f>
        <v/>
      </c>
      <c r="F2337" s="20" t="str">
        <f>IF($C2337="","",IF(Registro_Compras!$F$263="RHE",ROUND(Registro_Compras!$V$263*Registro_Compras!$N$263,2),IF(Registro_Compras!$F$263="NOTA DE CREDITO",ROUND(ABS(Registro_Compras!$J$263*Registro_Compras!$N$263),2),"")))</f>
        <v/>
      </c>
      <c r="G2337" t="str">
        <f>IF($C2337="","",IF(Registro_Compras!$F$263="NOTA DE CREDITO","Por la nota de credito "&amp;Registro_Compras!$C$263&amp;" de "&amp;Registro_Compras!$E$263&amp;" [PATRON POR CONFIRMAR CON CONTADOR]",IF(Registro_Compras!$F$263="RHE","Por el registro del recibo por honorarios "&amp;Registro_Compras!$C$263&amp;" de "&amp;Registro_Compras!$E$263&amp;" [PATRON POR CONFIRMAR CON CONTADOR]","Por el registro de la factura "&amp;Registro_Compras!$C$263&amp;" de "&amp;Registro_Compras!$E$263)))</f>
        <v/>
      </c>
      <c r="H2337" t="str">
        <f>IF($C2337="","",Registro_Compras!$C$263)</f>
        <v/>
      </c>
    </row>
    <row r="2338" spans="1:8" x14ac:dyDescent="0.25">
      <c r="A2338" s="25" t="str">
        <f>IF($C2338="","",Registro_Compras!$B$263)</f>
        <v/>
      </c>
      <c r="B2338" t="str">
        <f>IF($C2338="","","C"&amp;TEXT(INT((ROW()-5)/9)+1,"000")&amp;"-1")</f>
        <v/>
      </c>
      <c r="C2338" t="str">
        <f>IF(OR(Registro_Compras!$C$263="",Registro_Compras!$O$263=""),"",IF(Registro_Compras!$F$263="NOTA DE CREDITO",IF(Registro_Compras!$K$263=0,"","40111"),"4212"))</f>
        <v/>
      </c>
      <c r="D2338" t="str">
        <f>IF(OR(Registro_Compras!$C$263="",Registro_Compras!$O$263=""),"",IF(Registro_Compras!$F$263="NOTA DE CREDITO","IGV - Cuenta Propia (Credito Fiscal)","Cuentas por Pagar Comerciales - Terceros (Emitidas)"))</f>
        <v/>
      </c>
      <c r="E2338" s="20" t="str">
        <f>""</f>
        <v/>
      </c>
      <c r="F2338" s="20" t="str">
        <f>IF($C2338="","",IF(Registro_Compras!$F$263="NOTA DE CREDITO",ROUND(ABS(Registro_Compras!$K$263*Registro_Compras!$N$263),2),IF(Registro_Compras!$F$263="RHE",(ROUND(Registro_Compras!$L$263*Registro_Compras!$N$263,2)-ROUND(Registro_Compras!$V$263*Registro_Compras!$N$263,2)),Registro_Compras!$O$263)))</f>
        <v/>
      </c>
      <c r="G2338" t="str">
        <f>IF($C2338="","",IF(Registro_Compras!$F$263="NOTA DE CREDITO","Por la nota de credito "&amp;Registro_Compras!$C$263&amp;" de "&amp;Registro_Compras!$E$263&amp;" [PATRON POR CONFIRMAR CON CONTADOR]",IF(Registro_Compras!$F$263="RHE","Por el registro del recibo por honorarios "&amp;Registro_Compras!$C$263&amp;" de "&amp;Registro_Compras!$E$263&amp;" [PATRON POR CONFIRMAR CON CONTADOR]","Por el registro de la factura "&amp;Registro_Compras!$C$263&amp;" de "&amp;Registro_Compras!$E$263)))</f>
        <v/>
      </c>
      <c r="H2338" t="str">
        <f>IF($C2338="","",Registro_Compras!$C$263)</f>
        <v/>
      </c>
    </row>
    <row r="2339" spans="1:8" x14ac:dyDescent="0.25">
      <c r="A2339" s="25" t="str">
        <f>IF($C2339="","",Registro_Compras!$B$263)</f>
        <v/>
      </c>
      <c r="B2339" t="str">
        <f>IF($C2339="","","C"&amp;TEXT(INT((ROW()-5)/9)+1,"000")&amp;"-2")</f>
        <v/>
      </c>
      <c r="C2339" t="str">
        <f>IF(OR(Registro_Compras!$C$263="",Registro_Compras!$O$263=""),"",IF(Registro_Compras!$AB$263="ADMINISTRATIVO","94","95"))</f>
        <v/>
      </c>
      <c r="D2339" t="str">
        <f>IF(OR(Registro_Compras!$C$263="",Registro_Compras!$O$263=""),"",IF(Registro_Compras!$AB$263="ADMINISTRATIVO","Gastos Administrativos","Gastos de Venta y Operacion"))</f>
        <v/>
      </c>
      <c r="E2339" s="20" t="str">
        <f>IF($C2339="","",IF(Registro_Compras!$F$263="NOTA DE CREDITO","",IF(Registro_Compras!$F$263="RHE",ROUND(Registro_Compras!$L$263*Registro_Compras!$N$263,2),ROUND(Registro_Compras!$J$263*Registro_Compras!$N$263,2))))</f>
        <v/>
      </c>
      <c r="F2339" s="20" t="str">
        <f>IF($C2339="","",IF(Registro_Compras!$F$263="NOTA DE CREDITO",ROUND(ABS(Registro_Compras!$J$263*Registro_Compras!$N$263),2),""))</f>
        <v/>
      </c>
      <c r="G2339" t="str">
        <f>IF($C2339="","","Por el destino del gasto")</f>
        <v/>
      </c>
      <c r="H2339" t="str">
        <f>IF($C2339="","",Registro_Compras!$C$263)</f>
        <v/>
      </c>
    </row>
    <row r="2340" spans="1:8" x14ac:dyDescent="0.25">
      <c r="A2340" s="25" t="str">
        <f>IF($C2340="","",Registro_Compras!$B$263)</f>
        <v/>
      </c>
      <c r="B2340" t="str">
        <f>IF($C2340="","","C"&amp;TEXT(INT((ROW()-5)/9)+1,"000")&amp;"-2")</f>
        <v/>
      </c>
      <c r="C2340" t="str">
        <f>IF(OR(Registro_Compras!$C$263="",Registro_Compras!$O$263=""),"","79/791")</f>
        <v/>
      </c>
      <c r="D2340" t="str">
        <f>IF(OR(Registro_Compras!$C$263="",Registro_Compras!$O$263=""),"","Cargas Imputables a Cuentas de Costos y Gastos")</f>
        <v/>
      </c>
      <c r="E2340" s="20" t="str">
        <f>IF($C2340="","",IF(Registro_Compras!$F$263="NOTA DE CREDITO",ROUND(ABS(Registro_Compras!$J$263*Registro_Compras!$N$263),2),""))</f>
        <v/>
      </c>
      <c r="F2340" s="20" t="str">
        <f>IF($C2340="","",IF(Registro_Compras!$F$263="NOTA DE CREDITO","",IF(Registro_Compras!$F$263="RHE",ROUND(Registro_Compras!$L$263*Registro_Compras!$N$263,2),ROUND(Registro_Compras!$J$263*Registro_Compras!$N$263,2))))</f>
        <v/>
      </c>
      <c r="G2340" t="str">
        <f>IF($C2340="","","Por el destino del gasto")</f>
        <v/>
      </c>
      <c r="H2340" t="str">
        <f>IF($C2340="","",Registro_Compras!$C$263)</f>
        <v/>
      </c>
    </row>
    <row r="2341" spans="1:8" x14ac:dyDescent="0.25">
      <c r="A2341" s="25" t="str">
        <f>IF($C2341="","",Registro_Compras!$X$263)</f>
        <v/>
      </c>
      <c r="B2341" t="str">
        <f>IF($C2341="","","C"&amp;TEXT(INT((ROW()-5)/9)+1,"000")&amp;"-3")</f>
        <v/>
      </c>
      <c r="C2341" t="str">
        <f>IF(OR(Registro_Compras!$C$263="",Registro_Compras!$O$263="",Registro_Compras!$R$263&lt;&gt;"SI",Registro_Compras!$X$263=""),"","4212")</f>
        <v/>
      </c>
      <c r="D2341" t="str">
        <f>IF(OR(Registro_Compras!$C$263="",Registro_Compras!$O$263=""),"","Cuentas por Pagar Comerciales - Terceros")</f>
        <v/>
      </c>
      <c r="E2341" s="20" t="str">
        <f>IF($C2341="","",Registro_Compras!$S$263)</f>
        <v/>
      </c>
      <c r="F2341" s="20" t="str">
        <f>""</f>
        <v/>
      </c>
      <c r="G2341" t="str">
        <f>IF($C2341="","","Por el deposito de la detraccion en el Banco de la Nacion")</f>
        <v/>
      </c>
      <c r="H2341" t="str">
        <f>IF($C2341="","",Registro_Compras!$C$263)</f>
        <v/>
      </c>
    </row>
    <row r="2342" spans="1:8" x14ac:dyDescent="0.25">
      <c r="A2342" s="25" t="str">
        <f>IF($C2342="","",Registro_Compras!$X$263)</f>
        <v/>
      </c>
      <c r="B2342" t="str">
        <f>IF($C2342="","","C"&amp;TEXT(INT((ROW()-5)/9)+1,"000")&amp;"-3")</f>
        <v/>
      </c>
      <c r="C2342" t="str">
        <f>IF(OR(Registro_Compras!$C$263="",Registro_Compras!$O$263="",Registro_Compras!$R$263&lt;&gt;"SI",Registro_Compras!$X$263=""),"","1041")</f>
        <v/>
      </c>
      <c r="D2342" t="str">
        <f>IF(OR(Registro_Compras!$C$263="",Registro_Compras!$O$263=""),"","Efectivo y Equivalentes - Cta. Cte. Operativa")</f>
        <v/>
      </c>
      <c r="E2342" s="20" t="str">
        <f>""</f>
        <v/>
      </c>
      <c r="F2342" s="20" t="str">
        <f>IF($C2342="","",Registro_Compras!$S$263)</f>
        <v/>
      </c>
      <c r="G2342" t="str">
        <f>IF($C2342="","","Por el deposito de la detraccion en el Banco de la Nacion")</f>
        <v/>
      </c>
      <c r="H2342" t="str">
        <f>IF($C2342="","",Registro_Compras!$C$263)</f>
        <v/>
      </c>
    </row>
    <row r="2343" spans="1:8" x14ac:dyDescent="0.25">
      <c r="A2343" s="25" t="str">
        <f>IF($C2343="","",Registro_Compras!$Y$263)</f>
        <v/>
      </c>
      <c r="B2343" t="str">
        <f>IF($C2343="","","C"&amp;TEXT(INT((ROW()-5)/9)+1,"000")&amp;"-4")</f>
        <v/>
      </c>
      <c r="C2343" t="str">
        <f>IF(OR(Registro_Compras!$C$263="",Registro_Compras!$O$263="",Registro_Compras!$Y$263="",Registro_Compras!$F$263="NOTA DE CREDITO"),"","4212")</f>
        <v/>
      </c>
      <c r="D2343" t="str">
        <f>IF(OR(Registro_Compras!$C$263="",Registro_Compras!$O$263=""),"","Cuentas por Pagar Comerciales - Terceros")</f>
        <v/>
      </c>
      <c r="E2343" s="20" t="str">
        <f>IF($C2343="","",IF(Registro_Compras!$F$263="RHE",(ROUND(Registro_Compras!$L$263*Registro_Compras!$N$263,2)-ROUND(Registro_Compras!$V$263*Registro_Compras!$N$263,2)),ROUND(Registro_Compras!$O$263-Registro_Compras!$S$263,2)))</f>
        <v/>
      </c>
      <c r="F2343" s="20" t="str">
        <f>""</f>
        <v/>
      </c>
      <c r="G2343" t="str">
        <f>IF($C2343="","","Por la cancelacion del saldo al proveedor")</f>
        <v/>
      </c>
      <c r="H2343" t="str">
        <f>IF($C2343="","",Registro_Compras!$C$263)</f>
        <v/>
      </c>
    </row>
    <row r="2344" spans="1:8" x14ac:dyDescent="0.25">
      <c r="A2344" s="25" t="str">
        <f>IF($C2344="","",Registro_Compras!$Y$263)</f>
        <v/>
      </c>
      <c r="B2344" t="str">
        <f>IF($C2344="","","C"&amp;TEXT(INT((ROW()-5)/9)+1,"000")&amp;"-4")</f>
        <v/>
      </c>
      <c r="C2344" t="str">
        <f>IF(OR(Registro_Compras!$C$263="",Registro_Compras!$O$263="",Registro_Compras!$Y$263="",Registro_Compras!$F$263="NOTA DE CREDITO"),"","1041")</f>
        <v/>
      </c>
      <c r="D2344" t="str">
        <f>IF(OR(Registro_Compras!$C$263="",Registro_Compras!$O$263=""),"","Efectivo y Equivalentes - Cta. Cte. Operativa")</f>
        <v/>
      </c>
      <c r="E2344" s="20" t="str">
        <f>""</f>
        <v/>
      </c>
      <c r="F2344" s="20" t="str">
        <f>IF($C2344="","",IF(Registro_Compras!$F$263="RHE",(ROUND(Registro_Compras!$L$263*Registro_Compras!$N$263,2)-ROUND(Registro_Compras!$V$263*Registro_Compras!$N$263,2)),ROUND(Registro_Compras!$O$263-Registro_Compras!$S$263,2)))</f>
        <v/>
      </c>
      <c r="G2344" t="str">
        <f>IF($C2344="","","Por la cancelacion del saldo al proveedor")</f>
        <v/>
      </c>
      <c r="H2344" t="str">
        <f>IF($C2344="","",Registro_Compras!$C$263)</f>
        <v/>
      </c>
    </row>
    <row r="2345" spans="1:8" x14ac:dyDescent="0.25">
      <c r="A2345" s="25" t="str">
        <f>IF($C2345="","",Registro_Compras!$B$264)</f>
        <v/>
      </c>
      <c r="B2345" t="str">
        <f>IF($C2345="","","C"&amp;TEXT(INT((ROW()-5)/9)+1,"000")&amp;"-1")</f>
        <v/>
      </c>
      <c r="C2345" t="str">
        <f>IF(OR(Registro_Compras!$C$264="",Registro_Compras!$O$264=""),"",IF(Registro_Compras!$F$264="NOTA DE CREDITO","4212",IF(Registro_Compras!$M$264="","63",Registro_Compras!$M$264)))</f>
        <v/>
      </c>
      <c r="D2345" t="str">
        <f>IF(OR(Registro_Compras!$C$264="",Registro_Compras!$O$264=""),"",IF(Registro_Compras!$F$264="NOTA DE CREDITO","Cuentas por Pagar Comerciales - Terceros (Emitidas)",IF(Registro_Compras!$F$264="RHE","Honorarios Profesionales - Servicios de Terceros","Gastos de Servicios Prestados por Terceros")))</f>
        <v/>
      </c>
      <c r="E2345" s="20" t="str">
        <f>IF($C2345="","",IF(Registro_Compras!$F$264="NOTA DE CREDITO",ABS(Registro_Compras!$O$264),IF(Registro_Compras!$F$264="RHE",ROUND(Registro_Compras!$L$264*Registro_Compras!$N$264,2),ROUND(Registro_Compras!$J$264*Registro_Compras!$N$264,2))))</f>
        <v/>
      </c>
      <c r="F2345" s="20" t="str">
        <f>""</f>
        <v/>
      </c>
      <c r="G2345" t="str">
        <f>IF($C2345="","",IF(Registro_Compras!$F$264="NOTA DE CREDITO","Por la nota de credito "&amp;Registro_Compras!$C$264&amp;" de "&amp;Registro_Compras!$E$264&amp;" [PATRON POR CONFIRMAR CON CONTADOR]",IF(Registro_Compras!$F$264="RHE","Por el registro del recibo por honorarios "&amp;Registro_Compras!$C$264&amp;" de "&amp;Registro_Compras!$E$264&amp;" [PATRON POR CONFIRMAR CON CONTADOR]","Por el registro de la factura "&amp;Registro_Compras!$C$264&amp;" de "&amp;Registro_Compras!$E$264)))</f>
        <v/>
      </c>
      <c r="H2345" t="str">
        <f>IF($C2345="","",Registro_Compras!$C$264)</f>
        <v/>
      </c>
    </row>
    <row r="2346" spans="1:8" x14ac:dyDescent="0.25">
      <c r="A2346" s="25" t="str">
        <f>IF($C2346="","",Registro_Compras!$B$264)</f>
        <v/>
      </c>
      <c r="B2346" t="str">
        <f>IF($C2346="","","C"&amp;TEXT(INT((ROW()-5)/9)+1,"000")&amp;"-1")</f>
        <v/>
      </c>
      <c r="C2346" t="str">
        <f>IF(OR(Registro_Compras!$C$264="",Registro_Compras!$O$264=""),"",IF(Registro_Compras!$F$264="RHE",IF(Registro_Compras!$V$264=0,"","4017"),IF(Registro_Compras!$F$264="NOTA DE CREDITO",IF(Registro_Compras!$M$264="","63",Registro_Compras!$M$264),IF(Registro_Compras!$K$264=0,"","40111"))))</f>
        <v/>
      </c>
      <c r="D2346" t="str">
        <f>IF(OR(Registro_Compras!$C$264="",Registro_Compras!$O$264=""),"",IF(Registro_Compras!$F$264="RHE","Retencion Renta 4ta Categoria por Pagar",IF(Registro_Compras!$F$264="NOTA DE CREDITO","Gastos de Servicios Prestados por Terceros","IGV - Cuenta Propia (Credito Fiscal)")))</f>
        <v/>
      </c>
      <c r="E2346" s="20" t="str">
        <f>IF($C2346="","",IF(Registro_Compras!$F$264="FACTURA",ROUND(Registro_Compras!$K$264*Registro_Compras!$N$264,2),""))</f>
        <v/>
      </c>
      <c r="F2346" s="20" t="str">
        <f>IF($C2346="","",IF(Registro_Compras!$F$264="RHE",ROUND(Registro_Compras!$V$264*Registro_Compras!$N$264,2),IF(Registro_Compras!$F$264="NOTA DE CREDITO",ROUND(ABS(Registro_Compras!$J$264*Registro_Compras!$N$264),2),"")))</f>
        <v/>
      </c>
      <c r="G2346" t="str">
        <f>IF($C2346="","",IF(Registro_Compras!$F$264="NOTA DE CREDITO","Por la nota de credito "&amp;Registro_Compras!$C$264&amp;" de "&amp;Registro_Compras!$E$264&amp;" [PATRON POR CONFIRMAR CON CONTADOR]",IF(Registro_Compras!$F$264="RHE","Por el registro del recibo por honorarios "&amp;Registro_Compras!$C$264&amp;" de "&amp;Registro_Compras!$E$264&amp;" [PATRON POR CONFIRMAR CON CONTADOR]","Por el registro de la factura "&amp;Registro_Compras!$C$264&amp;" de "&amp;Registro_Compras!$E$264)))</f>
        <v/>
      </c>
      <c r="H2346" t="str">
        <f>IF($C2346="","",Registro_Compras!$C$264)</f>
        <v/>
      </c>
    </row>
    <row r="2347" spans="1:8" x14ac:dyDescent="0.25">
      <c r="A2347" s="25" t="str">
        <f>IF($C2347="","",Registro_Compras!$B$264)</f>
        <v/>
      </c>
      <c r="B2347" t="str">
        <f>IF($C2347="","","C"&amp;TEXT(INT((ROW()-5)/9)+1,"000")&amp;"-1")</f>
        <v/>
      </c>
      <c r="C2347" t="str">
        <f>IF(OR(Registro_Compras!$C$264="",Registro_Compras!$O$264=""),"",IF(Registro_Compras!$F$264="NOTA DE CREDITO",IF(Registro_Compras!$K$264=0,"","40111"),"4212"))</f>
        <v/>
      </c>
      <c r="D2347" t="str">
        <f>IF(OR(Registro_Compras!$C$264="",Registro_Compras!$O$264=""),"",IF(Registro_Compras!$F$264="NOTA DE CREDITO","IGV - Cuenta Propia (Credito Fiscal)","Cuentas por Pagar Comerciales - Terceros (Emitidas)"))</f>
        <v/>
      </c>
      <c r="E2347" s="20" t="str">
        <f>""</f>
        <v/>
      </c>
      <c r="F2347" s="20" t="str">
        <f>IF($C2347="","",IF(Registro_Compras!$F$264="NOTA DE CREDITO",ROUND(ABS(Registro_Compras!$K$264*Registro_Compras!$N$264),2),IF(Registro_Compras!$F$264="RHE",(ROUND(Registro_Compras!$L$264*Registro_Compras!$N$264,2)-ROUND(Registro_Compras!$V$264*Registro_Compras!$N$264,2)),Registro_Compras!$O$264)))</f>
        <v/>
      </c>
      <c r="G2347" t="str">
        <f>IF($C2347="","",IF(Registro_Compras!$F$264="NOTA DE CREDITO","Por la nota de credito "&amp;Registro_Compras!$C$264&amp;" de "&amp;Registro_Compras!$E$264&amp;" [PATRON POR CONFIRMAR CON CONTADOR]",IF(Registro_Compras!$F$264="RHE","Por el registro del recibo por honorarios "&amp;Registro_Compras!$C$264&amp;" de "&amp;Registro_Compras!$E$264&amp;" [PATRON POR CONFIRMAR CON CONTADOR]","Por el registro de la factura "&amp;Registro_Compras!$C$264&amp;" de "&amp;Registro_Compras!$E$264)))</f>
        <v/>
      </c>
      <c r="H2347" t="str">
        <f>IF($C2347="","",Registro_Compras!$C$264)</f>
        <v/>
      </c>
    </row>
    <row r="2348" spans="1:8" x14ac:dyDescent="0.25">
      <c r="A2348" s="25" t="str">
        <f>IF($C2348="","",Registro_Compras!$B$264)</f>
        <v/>
      </c>
      <c r="B2348" t="str">
        <f>IF($C2348="","","C"&amp;TEXT(INT((ROW()-5)/9)+1,"000")&amp;"-2")</f>
        <v/>
      </c>
      <c r="C2348" t="str">
        <f>IF(OR(Registro_Compras!$C$264="",Registro_Compras!$O$264=""),"",IF(Registro_Compras!$AB$264="ADMINISTRATIVO","94","95"))</f>
        <v/>
      </c>
      <c r="D2348" t="str">
        <f>IF(OR(Registro_Compras!$C$264="",Registro_Compras!$O$264=""),"",IF(Registro_Compras!$AB$264="ADMINISTRATIVO","Gastos Administrativos","Gastos de Venta y Operacion"))</f>
        <v/>
      </c>
      <c r="E2348" s="20" t="str">
        <f>IF($C2348="","",IF(Registro_Compras!$F$264="NOTA DE CREDITO","",IF(Registro_Compras!$F$264="RHE",ROUND(Registro_Compras!$L$264*Registro_Compras!$N$264,2),ROUND(Registro_Compras!$J$264*Registro_Compras!$N$264,2))))</f>
        <v/>
      </c>
      <c r="F2348" s="20" t="str">
        <f>IF($C2348="","",IF(Registro_Compras!$F$264="NOTA DE CREDITO",ROUND(ABS(Registro_Compras!$J$264*Registro_Compras!$N$264),2),""))</f>
        <v/>
      </c>
      <c r="G2348" t="str">
        <f>IF($C2348="","","Por el destino del gasto")</f>
        <v/>
      </c>
      <c r="H2348" t="str">
        <f>IF($C2348="","",Registro_Compras!$C$264)</f>
        <v/>
      </c>
    </row>
    <row r="2349" spans="1:8" x14ac:dyDescent="0.25">
      <c r="A2349" s="25" t="str">
        <f>IF($C2349="","",Registro_Compras!$B$264)</f>
        <v/>
      </c>
      <c r="B2349" t="str">
        <f>IF($C2349="","","C"&amp;TEXT(INT((ROW()-5)/9)+1,"000")&amp;"-2")</f>
        <v/>
      </c>
      <c r="C2349" t="str">
        <f>IF(OR(Registro_Compras!$C$264="",Registro_Compras!$O$264=""),"","79/791")</f>
        <v/>
      </c>
      <c r="D2349" t="str">
        <f>IF(OR(Registro_Compras!$C$264="",Registro_Compras!$O$264=""),"","Cargas Imputables a Cuentas de Costos y Gastos")</f>
        <v/>
      </c>
      <c r="E2349" s="20" t="str">
        <f>IF($C2349="","",IF(Registro_Compras!$F$264="NOTA DE CREDITO",ROUND(ABS(Registro_Compras!$J$264*Registro_Compras!$N$264),2),""))</f>
        <v/>
      </c>
      <c r="F2349" s="20" t="str">
        <f>IF($C2349="","",IF(Registro_Compras!$F$264="NOTA DE CREDITO","",IF(Registro_Compras!$F$264="RHE",ROUND(Registro_Compras!$L$264*Registro_Compras!$N$264,2),ROUND(Registro_Compras!$J$264*Registro_Compras!$N$264,2))))</f>
        <v/>
      </c>
      <c r="G2349" t="str">
        <f>IF($C2349="","","Por el destino del gasto")</f>
        <v/>
      </c>
      <c r="H2349" t="str">
        <f>IF($C2349="","",Registro_Compras!$C$264)</f>
        <v/>
      </c>
    </row>
    <row r="2350" spans="1:8" x14ac:dyDescent="0.25">
      <c r="A2350" s="25" t="str">
        <f>IF($C2350="","",Registro_Compras!$X$264)</f>
        <v/>
      </c>
      <c r="B2350" t="str">
        <f>IF($C2350="","","C"&amp;TEXT(INT((ROW()-5)/9)+1,"000")&amp;"-3")</f>
        <v/>
      </c>
      <c r="C2350" t="str">
        <f>IF(OR(Registro_Compras!$C$264="",Registro_Compras!$O$264="",Registro_Compras!$R$264&lt;&gt;"SI",Registro_Compras!$X$264=""),"","4212")</f>
        <v/>
      </c>
      <c r="D2350" t="str">
        <f>IF(OR(Registro_Compras!$C$264="",Registro_Compras!$O$264=""),"","Cuentas por Pagar Comerciales - Terceros")</f>
        <v/>
      </c>
      <c r="E2350" s="20" t="str">
        <f>IF($C2350="","",Registro_Compras!$S$264)</f>
        <v/>
      </c>
      <c r="F2350" s="20" t="str">
        <f>""</f>
        <v/>
      </c>
      <c r="G2350" t="str">
        <f>IF($C2350="","","Por el deposito de la detraccion en el Banco de la Nacion")</f>
        <v/>
      </c>
      <c r="H2350" t="str">
        <f>IF($C2350="","",Registro_Compras!$C$264)</f>
        <v/>
      </c>
    </row>
    <row r="2351" spans="1:8" x14ac:dyDescent="0.25">
      <c r="A2351" s="25" t="str">
        <f>IF($C2351="","",Registro_Compras!$X$264)</f>
        <v/>
      </c>
      <c r="B2351" t="str">
        <f>IF($C2351="","","C"&amp;TEXT(INT((ROW()-5)/9)+1,"000")&amp;"-3")</f>
        <v/>
      </c>
      <c r="C2351" t="str">
        <f>IF(OR(Registro_Compras!$C$264="",Registro_Compras!$O$264="",Registro_Compras!$R$264&lt;&gt;"SI",Registro_Compras!$X$264=""),"","1041")</f>
        <v/>
      </c>
      <c r="D2351" t="str">
        <f>IF(OR(Registro_Compras!$C$264="",Registro_Compras!$O$264=""),"","Efectivo y Equivalentes - Cta. Cte. Operativa")</f>
        <v/>
      </c>
      <c r="E2351" s="20" t="str">
        <f>""</f>
        <v/>
      </c>
      <c r="F2351" s="20" t="str">
        <f>IF($C2351="","",Registro_Compras!$S$264)</f>
        <v/>
      </c>
      <c r="G2351" t="str">
        <f>IF($C2351="","","Por el deposito de la detraccion en el Banco de la Nacion")</f>
        <v/>
      </c>
      <c r="H2351" t="str">
        <f>IF($C2351="","",Registro_Compras!$C$264)</f>
        <v/>
      </c>
    </row>
    <row r="2352" spans="1:8" x14ac:dyDescent="0.25">
      <c r="A2352" s="25" t="str">
        <f>IF($C2352="","",Registro_Compras!$Y$264)</f>
        <v/>
      </c>
      <c r="B2352" t="str">
        <f>IF($C2352="","","C"&amp;TEXT(INT((ROW()-5)/9)+1,"000")&amp;"-4")</f>
        <v/>
      </c>
      <c r="C2352" t="str">
        <f>IF(OR(Registro_Compras!$C$264="",Registro_Compras!$O$264="",Registro_Compras!$Y$264="",Registro_Compras!$F$264="NOTA DE CREDITO"),"","4212")</f>
        <v/>
      </c>
      <c r="D2352" t="str">
        <f>IF(OR(Registro_Compras!$C$264="",Registro_Compras!$O$264=""),"","Cuentas por Pagar Comerciales - Terceros")</f>
        <v/>
      </c>
      <c r="E2352" s="20" t="str">
        <f>IF($C2352="","",IF(Registro_Compras!$F$264="RHE",(ROUND(Registro_Compras!$L$264*Registro_Compras!$N$264,2)-ROUND(Registro_Compras!$V$264*Registro_Compras!$N$264,2)),ROUND(Registro_Compras!$O$264-Registro_Compras!$S$264,2)))</f>
        <v/>
      </c>
      <c r="F2352" s="20" t="str">
        <f>""</f>
        <v/>
      </c>
      <c r="G2352" t="str">
        <f>IF($C2352="","","Por la cancelacion del saldo al proveedor")</f>
        <v/>
      </c>
      <c r="H2352" t="str">
        <f>IF($C2352="","",Registro_Compras!$C$264)</f>
        <v/>
      </c>
    </row>
    <row r="2353" spans="1:8" x14ac:dyDescent="0.25">
      <c r="A2353" s="25" t="str">
        <f>IF($C2353="","",Registro_Compras!$Y$264)</f>
        <v/>
      </c>
      <c r="B2353" t="str">
        <f>IF($C2353="","","C"&amp;TEXT(INT((ROW()-5)/9)+1,"000")&amp;"-4")</f>
        <v/>
      </c>
      <c r="C2353" t="str">
        <f>IF(OR(Registro_Compras!$C$264="",Registro_Compras!$O$264="",Registro_Compras!$Y$264="",Registro_Compras!$F$264="NOTA DE CREDITO"),"","1041")</f>
        <v/>
      </c>
      <c r="D2353" t="str">
        <f>IF(OR(Registro_Compras!$C$264="",Registro_Compras!$O$264=""),"","Efectivo y Equivalentes - Cta. Cte. Operativa")</f>
        <v/>
      </c>
      <c r="E2353" s="20" t="str">
        <f>""</f>
        <v/>
      </c>
      <c r="F2353" s="20" t="str">
        <f>IF($C2353="","",IF(Registro_Compras!$F$264="RHE",(ROUND(Registro_Compras!$L$264*Registro_Compras!$N$264,2)-ROUND(Registro_Compras!$V$264*Registro_Compras!$N$264,2)),ROUND(Registro_Compras!$O$264-Registro_Compras!$S$264,2)))</f>
        <v/>
      </c>
      <c r="G2353" t="str">
        <f>IF($C2353="","","Por la cancelacion del saldo al proveedor")</f>
        <v/>
      </c>
      <c r="H2353" t="str">
        <f>IF($C2353="","",Registro_Compras!$C$264)</f>
        <v/>
      </c>
    </row>
    <row r="2354" spans="1:8" x14ac:dyDescent="0.25">
      <c r="A2354" s="25" t="str">
        <f>IF($C2354="","",Registro_Compras!$B$265)</f>
        <v/>
      </c>
      <c r="B2354" t="str">
        <f>IF($C2354="","","C"&amp;TEXT(INT((ROW()-5)/9)+1,"000")&amp;"-1")</f>
        <v/>
      </c>
      <c r="C2354" t="str">
        <f>IF(OR(Registro_Compras!$C$265="",Registro_Compras!$O$265=""),"",IF(Registro_Compras!$F$265="NOTA DE CREDITO","4212",IF(Registro_Compras!$M$265="","63",Registro_Compras!$M$265)))</f>
        <v/>
      </c>
      <c r="D2354" t="str">
        <f>IF(OR(Registro_Compras!$C$265="",Registro_Compras!$O$265=""),"",IF(Registro_Compras!$F$265="NOTA DE CREDITO","Cuentas por Pagar Comerciales - Terceros (Emitidas)",IF(Registro_Compras!$F$265="RHE","Honorarios Profesionales - Servicios de Terceros","Gastos de Servicios Prestados por Terceros")))</f>
        <v/>
      </c>
      <c r="E2354" s="20" t="str">
        <f>IF($C2354="","",IF(Registro_Compras!$F$265="NOTA DE CREDITO",ABS(Registro_Compras!$O$265),IF(Registro_Compras!$F$265="RHE",ROUND(Registro_Compras!$L$265*Registro_Compras!$N$265,2),ROUND(Registro_Compras!$J$265*Registro_Compras!$N$265,2))))</f>
        <v/>
      </c>
      <c r="F2354" s="20" t="str">
        <f>""</f>
        <v/>
      </c>
      <c r="G2354" t="str">
        <f>IF($C2354="","",IF(Registro_Compras!$F$265="NOTA DE CREDITO","Por la nota de credito "&amp;Registro_Compras!$C$265&amp;" de "&amp;Registro_Compras!$E$265&amp;" [PATRON POR CONFIRMAR CON CONTADOR]",IF(Registro_Compras!$F$265="RHE","Por el registro del recibo por honorarios "&amp;Registro_Compras!$C$265&amp;" de "&amp;Registro_Compras!$E$265&amp;" [PATRON POR CONFIRMAR CON CONTADOR]","Por el registro de la factura "&amp;Registro_Compras!$C$265&amp;" de "&amp;Registro_Compras!$E$265)))</f>
        <v/>
      </c>
      <c r="H2354" t="str">
        <f>IF($C2354="","",Registro_Compras!$C$265)</f>
        <v/>
      </c>
    </row>
    <row r="2355" spans="1:8" x14ac:dyDescent="0.25">
      <c r="A2355" s="25" t="str">
        <f>IF($C2355="","",Registro_Compras!$B$265)</f>
        <v/>
      </c>
      <c r="B2355" t="str">
        <f>IF($C2355="","","C"&amp;TEXT(INT((ROW()-5)/9)+1,"000")&amp;"-1")</f>
        <v/>
      </c>
      <c r="C2355" t="str">
        <f>IF(OR(Registro_Compras!$C$265="",Registro_Compras!$O$265=""),"",IF(Registro_Compras!$F$265="RHE",IF(Registro_Compras!$V$265=0,"","4017"),IF(Registro_Compras!$F$265="NOTA DE CREDITO",IF(Registro_Compras!$M$265="","63",Registro_Compras!$M$265),IF(Registro_Compras!$K$265=0,"","40111"))))</f>
        <v/>
      </c>
      <c r="D2355" t="str">
        <f>IF(OR(Registro_Compras!$C$265="",Registro_Compras!$O$265=""),"",IF(Registro_Compras!$F$265="RHE","Retencion Renta 4ta Categoria por Pagar",IF(Registro_Compras!$F$265="NOTA DE CREDITO","Gastos de Servicios Prestados por Terceros","IGV - Cuenta Propia (Credito Fiscal)")))</f>
        <v/>
      </c>
      <c r="E2355" s="20" t="str">
        <f>IF($C2355="","",IF(Registro_Compras!$F$265="FACTURA",ROUND(Registro_Compras!$K$265*Registro_Compras!$N$265,2),""))</f>
        <v/>
      </c>
      <c r="F2355" s="20" t="str">
        <f>IF($C2355="","",IF(Registro_Compras!$F$265="RHE",ROUND(Registro_Compras!$V$265*Registro_Compras!$N$265,2),IF(Registro_Compras!$F$265="NOTA DE CREDITO",ROUND(ABS(Registro_Compras!$J$265*Registro_Compras!$N$265),2),"")))</f>
        <v/>
      </c>
      <c r="G2355" t="str">
        <f>IF($C2355="","",IF(Registro_Compras!$F$265="NOTA DE CREDITO","Por la nota de credito "&amp;Registro_Compras!$C$265&amp;" de "&amp;Registro_Compras!$E$265&amp;" [PATRON POR CONFIRMAR CON CONTADOR]",IF(Registro_Compras!$F$265="RHE","Por el registro del recibo por honorarios "&amp;Registro_Compras!$C$265&amp;" de "&amp;Registro_Compras!$E$265&amp;" [PATRON POR CONFIRMAR CON CONTADOR]","Por el registro de la factura "&amp;Registro_Compras!$C$265&amp;" de "&amp;Registro_Compras!$E$265)))</f>
        <v/>
      </c>
      <c r="H2355" t="str">
        <f>IF($C2355="","",Registro_Compras!$C$265)</f>
        <v/>
      </c>
    </row>
    <row r="2356" spans="1:8" x14ac:dyDescent="0.25">
      <c r="A2356" s="25" t="str">
        <f>IF($C2356="","",Registro_Compras!$B$265)</f>
        <v/>
      </c>
      <c r="B2356" t="str">
        <f>IF($C2356="","","C"&amp;TEXT(INT((ROW()-5)/9)+1,"000")&amp;"-1")</f>
        <v/>
      </c>
      <c r="C2356" t="str">
        <f>IF(OR(Registro_Compras!$C$265="",Registro_Compras!$O$265=""),"",IF(Registro_Compras!$F$265="NOTA DE CREDITO",IF(Registro_Compras!$K$265=0,"","40111"),"4212"))</f>
        <v/>
      </c>
      <c r="D2356" t="str">
        <f>IF(OR(Registro_Compras!$C$265="",Registro_Compras!$O$265=""),"",IF(Registro_Compras!$F$265="NOTA DE CREDITO","IGV - Cuenta Propia (Credito Fiscal)","Cuentas por Pagar Comerciales - Terceros (Emitidas)"))</f>
        <v/>
      </c>
      <c r="E2356" s="20" t="str">
        <f>""</f>
        <v/>
      </c>
      <c r="F2356" s="20" t="str">
        <f>IF($C2356="","",IF(Registro_Compras!$F$265="NOTA DE CREDITO",ROUND(ABS(Registro_Compras!$K$265*Registro_Compras!$N$265),2),IF(Registro_Compras!$F$265="RHE",(ROUND(Registro_Compras!$L$265*Registro_Compras!$N$265,2)-ROUND(Registro_Compras!$V$265*Registro_Compras!$N$265,2)),Registro_Compras!$O$265)))</f>
        <v/>
      </c>
      <c r="G2356" t="str">
        <f>IF($C2356="","",IF(Registro_Compras!$F$265="NOTA DE CREDITO","Por la nota de credito "&amp;Registro_Compras!$C$265&amp;" de "&amp;Registro_Compras!$E$265&amp;" [PATRON POR CONFIRMAR CON CONTADOR]",IF(Registro_Compras!$F$265="RHE","Por el registro del recibo por honorarios "&amp;Registro_Compras!$C$265&amp;" de "&amp;Registro_Compras!$E$265&amp;" [PATRON POR CONFIRMAR CON CONTADOR]","Por el registro de la factura "&amp;Registro_Compras!$C$265&amp;" de "&amp;Registro_Compras!$E$265)))</f>
        <v/>
      </c>
      <c r="H2356" t="str">
        <f>IF($C2356="","",Registro_Compras!$C$265)</f>
        <v/>
      </c>
    </row>
    <row r="2357" spans="1:8" x14ac:dyDescent="0.25">
      <c r="A2357" s="25" t="str">
        <f>IF($C2357="","",Registro_Compras!$B$265)</f>
        <v/>
      </c>
      <c r="B2357" t="str">
        <f>IF($C2357="","","C"&amp;TEXT(INT((ROW()-5)/9)+1,"000")&amp;"-2")</f>
        <v/>
      </c>
      <c r="C2357" t="str">
        <f>IF(OR(Registro_Compras!$C$265="",Registro_Compras!$O$265=""),"",IF(Registro_Compras!$AB$265="ADMINISTRATIVO","94","95"))</f>
        <v/>
      </c>
      <c r="D2357" t="str">
        <f>IF(OR(Registro_Compras!$C$265="",Registro_Compras!$O$265=""),"",IF(Registro_Compras!$AB$265="ADMINISTRATIVO","Gastos Administrativos","Gastos de Venta y Operacion"))</f>
        <v/>
      </c>
      <c r="E2357" s="20" t="str">
        <f>IF($C2357="","",IF(Registro_Compras!$F$265="NOTA DE CREDITO","",IF(Registro_Compras!$F$265="RHE",ROUND(Registro_Compras!$L$265*Registro_Compras!$N$265,2),ROUND(Registro_Compras!$J$265*Registro_Compras!$N$265,2))))</f>
        <v/>
      </c>
      <c r="F2357" s="20" t="str">
        <f>IF($C2357="","",IF(Registro_Compras!$F$265="NOTA DE CREDITO",ROUND(ABS(Registro_Compras!$J$265*Registro_Compras!$N$265),2),""))</f>
        <v/>
      </c>
      <c r="G2357" t="str">
        <f>IF($C2357="","","Por el destino del gasto")</f>
        <v/>
      </c>
      <c r="H2357" t="str">
        <f>IF($C2357="","",Registro_Compras!$C$265)</f>
        <v/>
      </c>
    </row>
    <row r="2358" spans="1:8" x14ac:dyDescent="0.25">
      <c r="A2358" s="25" t="str">
        <f>IF($C2358="","",Registro_Compras!$B$265)</f>
        <v/>
      </c>
      <c r="B2358" t="str">
        <f>IF($C2358="","","C"&amp;TEXT(INT((ROW()-5)/9)+1,"000")&amp;"-2")</f>
        <v/>
      </c>
      <c r="C2358" t="str">
        <f>IF(OR(Registro_Compras!$C$265="",Registro_Compras!$O$265=""),"","79/791")</f>
        <v/>
      </c>
      <c r="D2358" t="str">
        <f>IF(OR(Registro_Compras!$C$265="",Registro_Compras!$O$265=""),"","Cargas Imputables a Cuentas de Costos y Gastos")</f>
        <v/>
      </c>
      <c r="E2358" s="20" t="str">
        <f>IF($C2358="","",IF(Registro_Compras!$F$265="NOTA DE CREDITO",ROUND(ABS(Registro_Compras!$J$265*Registro_Compras!$N$265),2),""))</f>
        <v/>
      </c>
      <c r="F2358" s="20" t="str">
        <f>IF($C2358="","",IF(Registro_Compras!$F$265="NOTA DE CREDITO","",IF(Registro_Compras!$F$265="RHE",ROUND(Registro_Compras!$L$265*Registro_Compras!$N$265,2),ROUND(Registro_Compras!$J$265*Registro_Compras!$N$265,2))))</f>
        <v/>
      </c>
      <c r="G2358" t="str">
        <f>IF($C2358="","","Por el destino del gasto")</f>
        <v/>
      </c>
      <c r="H2358" t="str">
        <f>IF($C2358="","",Registro_Compras!$C$265)</f>
        <v/>
      </c>
    </row>
    <row r="2359" spans="1:8" x14ac:dyDescent="0.25">
      <c r="A2359" s="25" t="str">
        <f>IF($C2359="","",Registro_Compras!$X$265)</f>
        <v/>
      </c>
      <c r="B2359" t="str">
        <f>IF($C2359="","","C"&amp;TEXT(INT((ROW()-5)/9)+1,"000")&amp;"-3")</f>
        <v/>
      </c>
      <c r="C2359" t="str">
        <f>IF(OR(Registro_Compras!$C$265="",Registro_Compras!$O$265="",Registro_Compras!$R$265&lt;&gt;"SI",Registro_Compras!$X$265=""),"","4212")</f>
        <v/>
      </c>
      <c r="D2359" t="str">
        <f>IF(OR(Registro_Compras!$C$265="",Registro_Compras!$O$265=""),"","Cuentas por Pagar Comerciales - Terceros")</f>
        <v/>
      </c>
      <c r="E2359" s="20" t="str">
        <f>IF($C2359="","",Registro_Compras!$S$265)</f>
        <v/>
      </c>
      <c r="F2359" s="20" t="str">
        <f>""</f>
        <v/>
      </c>
      <c r="G2359" t="str">
        <f>IF($C2359="","","Por el deposito de la detraccion en el Banco de la Nacion")</f>
        <v/>
      </c>
      <c r="H2359" t="str">
        <f>IF($C2359="","",Registro_Compras!$C$265)</f>
        <v/>
      </c>
    </row>
    <row r="2360" spans="1:8" x14ac:dyDescent="0.25">
      <c r="A2360" s="25" t="str">
        <f>IF($C2360="","",Registro_Compras!$X$265)</f>
        <v/>
      </c>
      <c r="B2360" t="str">
        <f>IF($C2360="","","C"&amp;TEXT(INT((ROW()-5)/9)+1,"000")&amp;"-3")</f>
        <v/>
      </c>
      <c r="C2360" t="str">
        <f>IF(OR(Registro_Compras!$C$265="",Registro_Compras!$O$265="",Registro_Compras!$R$265&lt;&gt;"SI",Registro_Compras!$X$265=""),"","1041")</f>
        <v/>
      </c>
      <c r="D2360" t="str">
        <f>IF(OR(Registro_Compras!$C$265="",Registro_Compras!$O$265=""),"","Efectivo y Equivalentes - Cta. Cte. Operativa")</f>
        <v/>
      </c>
      <c r="E2360" s="20" t="str">
        <f>""</f>
        <v/>
      </c>
      <c r="F2360" s="20" t="str">
        <f>IF($C2360="","",Registro_Compras!$S$265)</f>
        <v/>
      </c>
      <c r="G2360" t="str">
        <f>IF($C2360="","","Por el deposito de la detraccion en el Banco de la Nacion")</f>
        <v/>
      </c>
      <c r="H2360" t="str">
        <f>IF($C2360="","",Registro_Compras!$C$265)</f>
        <v/>
      </c>
    </row>
    <row r="2361" spans="1:8" x14ac:dyDescent="0.25">
      <c r="A2361" s="25" t="str">
        <f>IF($C2361="","",Registro_Compras!$Y$265)</f>
        <v/>
      </c>
      <c r="B2361" t="str">
        <f>IF($C2361="","","C"&amp;TEXT(INT((ROW()-5)/9)+1,"000")&amp;"-4")</f>
        <v/>
      </c>
      <c r="C2361" t="str">
        <f>IF(OR(Registro_Compras!$C$265="",Registro_Compras!$O$265="",Registro_Compras!$Y$265="",Registro_Compras!$F$265="NOTA DE CREDITO"),"","4212")</f>
        <v/>
      </c>
      <c r="D2361" t="str">
        <f>IF(OR(Registro_Compras!$C$265="",Registro_Compras!$O$265=""),"","Cuentas por Pagar Comerciales - Terceros")</f>
        <v/>
      </c>
      <c r="E2361" s="20" t="str">
        <f>IF($C2361="","",IF(Registro_Compras!$F$265="RHE",(ROUND(Registro_Compras!$L$265*Registro_Compras!$N$265,2)-ROUND(Registro_Compras!$V$265*Registro_Compras!$N$265,2)),ROUND(Registro_Compras!$O$265-Registro_Compras!$S$265,2)))</f>
        <v/>
      </c>
      <c r="F2361" s="20" t="str">
        <f>""</f>
        <v/>
      </c>
      <c r="G2361" t="str">
        <f>IF($C2361="","","Por la cancelacion del saldo al proveedor")</f>
        <v/>
      </c>
      <c r="H2361" t="str">
        <f>IF($C2361="","",Registro_Compras!$C$265)</f>
        <v/>
      </c>
    </row>
    <row r="2362" spans="1:8" x14ac:dyDescent="0.25">
      <c r="A2362" s="25" t="str">
        <f>IF($C2362="","",Registro_Compras!$Y$265)</f>
        <v/>
      </c>
      <c r="B2362" t="str">
        <f>IF($C2362="","","C"&amp;TEXT(INT((ROW()-5)/9)+1,"000")&amp;"-4")</f>
        <v/>
      </c>
      <c r="C2362" t="str">
        <f>IF(OR(Registro_Compras!$C$265="",Registro_Compras!$O$265="",Registro_Compras!$Y$265="",Registro_Compras!$F$265="NOTA DE CREDITO"),"","1041")</f>
        <v/>
      </c>
      <c r="D2362" t="str">
        <f>IF(OR(Registro_Compras!$C$265="",Registro_Compras!$O$265=""),"","Efectivo y Equivalentes - Cta. Cte. Operativa")</f>
        <v/>
      </c>
      <c r="E2362" s="20" t="str">
        <f>""</f>
        <v/>
      </c>
      <c r="F2362" s="20" t="str">
        <f>IF($C2362="","",IF(Registro_Compras!$F$265="RHE",(ROUND(Registro_Compras!$L$265*Registro_Compras!$N$265,2)-ROUND(Registro_Compras!$V$265*Registro_Compras!$N$265,2)),ROUND(Registro_Compras!$O$265-Registro_Compras!$S$265,2)))</f>
        <v/>
      </c>
      <c r="G2362" t="str">
        <f>IF($C2362="","","Por la cancelacion del saldo al proveedor")</f>
        <v/>
      </c>
      <c r="H2362" t="str">
        <f>IF($C2362="","",Registro_Compras!$C$265)</f>
        <v/>
      </c>
    </row>
    <row r="2363" spans="1:8" x14ac:dyDescent="0.25">
      <c r="A2363" s="25" t="str">
        <f>IF($C2363="","",Registro_Compras!$B$266)</f>
        <v/>
      </c>
      <c r="B2363" t="str">
        <f>IF($C2363="","","C"&amp;TEXT(INT((ROW()-5)/9)+1,"000")&amp;"-1")</f>
        <v/>
      </c>
      <c r="C2363" t="str">
        <f>IF(OR(Registro_Compras!$C$266="",Registro_Compras!$O$266=""),"",IF(Registro_Compras!$F$266="NOTA DE CREDITO","4212",IF(Registro_Compras!$M$266="","63",Registro_Compras!$M$266)))</f>
        <v/>
      </c>
      <c r="D2363" t="str">
        <f>IF(OR(Registro_Compras!$C$266="",Registro_Compras!$O$266=""),"",IF(Registro_Compras!$F$266="NOTA DE CREDITO","Cuentas por Pagar Comerciales - Terceros (Emitidas)",IF(Registro_Compras!$F$266="RHE","Honorarios Profesionales - Servicios de Terceros","Gastos de Servicios Prestados por Terceros")))</f>
        <v/>
      </c>
      <c r="E2363" s="20" t="str">
        <f>IF($C2363="","",IF(Registro_Compras!$F$266="NOTA DE CREDITO",ABS(Registro_Compras!$O$266),IF(Registro_Compras!$F$266="RHE",ROUND(Registro_Compras!$L$266*Registro_Compras!$N$266,2),ROUND(Registro_Compras!$J$266*Registro_Compras!$N$266,2))))</f>
        <v/>
      </c>
      <c r="F2363" s="20" t="str">
        <f>""</f>
        <v/>
      </c>
      <c r="G2363" t="str">
        <f>IF($C2363="","",IF(Registro_Compras!$F$266="NOTA DE CREDITO","Por la nota de credito "&amp;Registro_Compras!$C$266&amp;" de "&amp;Registro_Compras!$E$266&amp;" [PATRON POR CONFIRMAR CON CONTADOR]",IF(Registro_Compras!$F$266="RHE","Por el registro del recibo por honorarios "&amp;Registro_Compras!$C$266&amp;" de "&amp;Registro_Compras!$E$266&amp;" [PATRON POR CONFIRMAR CON CONTADOR]","Por el registro de la factura "&amp;Registro_Compras!$C$266&amp;" de "&amp;Registro_Compras!$E$266)))</f>
        <v/>
      </c>
      <c r="H2363" t="str">
        <f>IF($C2363="","",Registro_Compras!$C$266)</f>
        <v/>
      </c>
    </row>
    <row r="2364" spans="1:8" x14ac:dyDescent="0.25">
      <c r="A2364" s="25" t="str">
        <f>IF($C2364="","",Registro_Compras!$B$266)</f>
        <v/>
      </c>
      <c r="B2364" t="str">
        <f>IF($C2364="","","C"&amp;TEXT(INT((ROW()-5)/9)+1,"000")&amp;"-1")</f>
        <v/>
      </c>
      <c r="C2364" t="str">
        <f>IF(OR(Registro_Compras!$C$266="",Registro_Compras!$O$266=""),"",IF(Registro_Compras!$F$266="RHE",IF(Registro_Compras!$V$266=0,"","4017"),IF(Registro_Compras!$F$266="NOTA DE CREDITO",IF(Registro_Compras!$M$266="","63",Registro_Compras!$M$266),IF(Registro_Compras!$K$266=0,"","40111"))))</f>
        <v/>
      </c>
      <c r="D2364" t="str">
        <f>IF(OR(Registro_Compras!$C$266="",Registro_Compras!$O$266=""),"",IF(Registro_Compras!$F$266="RHE","Retencion Renta 4ta Categoria por Pagar",IF(Registro_Compras!$F$266="NOTA DE CREDITO","Gastos de Servicios Prestados por Terceros","IGV - Cuenta Propia (Credito Fiscal)")))</f>
        <v/>
      </c>
      <c r="E2364" s="20" t="str">
        <f>IF($C2364="","",IF(Registro_Compras!$F$266="FACTURA",ROUND(Registro_Compras!$K$266*Registro_Compras!$N$266,2),""))</f>
        <v/>
      </c>
      <c r="F2364" s="20" t="str">
        <f>IF($C2364="","",IF(Registro_Compras!$F$266="RHE",ROUND(Registro_Compras!$V$266*Registro_Compras!$N$266,2),IF(Registro_Compras!$F$266="NOTA DE CREDITO",ROUND(ABS(Registro_Compras!$J$266*Registro_Compras!$N$266),2),"")))</f>
        <v/>
      </c>
      <c r="G2364" t="str">
        <f>IF($C2364="","",IF(Registro_Compras!$F$266="NOTA DE CREDITO","Por la nota de credito "&amp;Registro_Compras!$C$266&amp;" de "&amp;Registro_Compras!$E$266&amp;" [PATRON POR CONFIRMAR CON CONTADOR]",IF(Registro_Compras!$F$266="RHE","Por el registro del recibo por honorarios "&amp;Registro_Compras!$C$266&amp;" de "&amp;Registro_Compras!$E$266&amp;" [PATRON POR CONFIRMAR CON CONTADOR]","Por el registro de la factura "&amp;Registro_Compras!$C$266&amp;" de "&amp;Registro_Compras!$E$266)))</f>
        <v/>
      </c>
      <c r="H2364" t="str">
        <f>IF($C2364="","",Registro_Compras!$C$266)</f>
        <v/>
      </c>
    </row>
    <row r="2365" spans="1:8" x14ac:dyDescent="0.25">
      <c r="A2365" s="25" t="str">
        <f>IF($C2365="","",Registro_Compras!$B$266)</f>
        <v/>
      </c>
      <c r="B2365" t="str">
        <f>IF($C2365="","","C"&amp;TEXT(INT((ROW()-5)/9)+1,"000")&amp;"-1")</f>
        <v/>
      </c>
      <c r="C2365" t="str">
        <f>IF(OR(Registro_Compras!$C$266="",Registro_Compras!$O$266=""),"",IF(Registro_Compras!$F$266="NOTA DE CREDITO",IF(Registro_Compras!$K$266=0,"","40111"),"4212"))</f>
        <v/>
      </c>
      <c r="D2365" t="str">
        <f>IF(OR(Registro_Compras!$C$266="",Registro_Compras!$O$266=""),"",IF(Registro_Compras!$F$266="NOTA DE CREDITO","IGV - Cuenta Propia (Credito Fiscal)","Cuentas por Pagar Comerciales - Terceros (Emitidas)"))</f>
        <v/>
      </c>
      <c r="E2365" s="20" t="str">
        <f>""</f>
        <v/>
      </c>
      <c r="F2365" s="20" t="str">
        <f>IF($C2365="","",IF(Registro_Compras!$F$266="NOTA DE CREDITO",ROUND(ABS(Registro_Compras!$K$266*Registro_Compras!$N$266),2),IF(Registro_Compras!$F$266="RHE",(ROUND(Registro_Compras!$L$266*Registro_Compras!$N$266,2)-ROUND(Registro_Compras!$V$266*Registro_Compras!$N$266,2)),Registro_Compras!$O$266)))</f>
        <v/>
      </c>
      <c r="G2365" t="str">
        <f>IF($C2365="","",IF(Registro_Compras!$F$266="NOTA DE CREDITO","Por la nota de credito "&amp;Registro_Compras!$C$266&amp;" de "&amp;Registro_Compras!$E$266&amp;" [PATRON POR CONFIRMAR CON CONTADOR]",IF(Registro_Compras!$F$266="RHE","Por el registro del recibo por honorarios "&amp;Registro_Compras!$C$266&amp;" de "&amp;Registro_Compras!$E$266&amp;" [PATRON POR CONFIRMAR CON CONTADOR]","Por el registro de la factura "&amp;Registro_Compras!$C$266&amp;" de "&amp;Registro_Compras!$E$266)))</f>
        <v/>
      </c>
      <c r="H2365" t="str">
        <f>IF($C2365="","",Registro_Compras!$C$266)</f>
        <v/>
      </c>
    </row>
    <row r="2366" spans="1:8" x14ac:dyDescent="0.25">
      <c r="A2366" s="25" t="str">
        <f>IF($C2366="","",Registro_Compras!$B$266)</f>
        <v/>
      </c>
      <c r="B2366" t="str">
        <f>IF($C2366="","","C"&amp;TEXT(INT((ROW()-5)/9)+1,"000")&amp;"-2")</f>
        <v/>
      </c>
      <c r="C2366" t="str">
        <f>IF(OR(Registro_Compras!$C$266="",Registro_Compras!$O$266=""),"",IF(Registro_Compras!$AB$266="ADMINISTRATIVO","94","95"))</f>
        <v/>
      </c>
      <c r="D2366" t="str">
        <f>IF(OR(Registro_Compras!$C$266="",Registro_Compras!$O$266=""),"",IF(Registro_Compras!$AB$266="ADMINISTRATIVO","Gastos Administrativos","Gastos de Venta y Operacion"))</f>
        <v/>
      </c>
      <c r="E2366" s="20" t="str">
        <f>IF($C2366="","",IF(Registro_Compras!$F$266="NOTA DE CREDITO","",IF(Registro_Compras!$F$266="RHE",ROUND(Registro_Compras!$L$266*Registro_Compras!$N$266,2),ROUND(Registro_Compras!$J$266*Registro_Compras!$N$266,2))))</f>
        <v/>
      </c>
      <c r="F2366" s="20" t="str">
        <f>IF($C2366="","",IF(Registro_Compras!$F$266="NOTA DE CREDITO",ROUND(ABS(Registro_Compras!$J$266*Registro_Compras!$N$266),2),""))</f>
        <v/>
      </c>
      <c r="G2366" t="str">
        <f>IF($C2366="","","Por el destino del gasto")</f>
        <v/>
      </c>
      <c r="H2366" t="str">
        <f>IF($C2366="","",Registro_Compras!$C$266)</f>
        <v/>
      </c>
    </row>
    <row r="2367" spans="1:8" x14ac:dyDescent="0.25">
      <c r="A2367" s="25" t="str">
        <f>IF($C2367="","",Registro_Compras!$B$266)</f>
        <v/>
      </c>
      <c r="B2367" t="str">
        <f>IF($C2367="","","C"&amp;TEXT(INT((ROW()-5)/9)+1,"000")&amp;"-2")</f>
        <v/>
      </c>
      <c r="C2367" t="str">
        <f>IF(OR(Registro_Compras!$C$266="",Registro_Compras!$O$266=""),"","79/791")</f>
        <v/>
      </c>
      <c r="D2367" t="str">
        <f>IF(OR(Registro_Compras!$C$266="",Registro_Compras!$O$266=""),"","Cargas Imputables a Cuentas de Costos y Gastos")</f>
        <v/>
      </c>
      <c r="E2367" s="20" t="str">
        <f>IF($C2367="","",IF(Registro_Compras!$F$266="NOTA DE CREDITO",ROUND(ABS(Registro_Compras!$J$266*Registro_Compras!$N$266),2),""))</f>
        <v/>
      </c>
      <c r="F2367" s="20" t="str">
        <f>IF($C2367="","",IF(Registro_Compras!$F$266="NOTA DE CREDITO","",IF(Registro_Compras!$F$266="RHE",ROUND(Registro_Compras!$L$266*Registro_Compras!$N$266,2),ROUND(Registro_Compras!$J$266*Registro_Compras!$N$266,2))))</f>
        <v/>
      </c>
      <c r="G2367" t="str">
        <f>IF($C2367="","","Por el destino del gasto")</f>
        <v/>
      </c>
      <c r="H2367" t="str">
        <f>IF($C2367="","",Registro_Compras!$C$266)</f>
        <v/>
      </c>
    </row>
    <row r="2368" spans="1:8" x14ac:dyDescent="0.25">
      <c r="A2368" s="25" t="str">
        <f>IF($C2368="","",Registro_Compras!$X$266)</f>
        <v/>
      </c>
      <c r="B2368" t="str">
        <f>IF($C2368="","","C"&amp;TEXT(INT((ROW()-5)/9)+1,"000")&amp;"-3")</f>
        <v/>
      </c>
      <c r="C2368" t="str">
        <f>IF(OR(Registro_Compras!$C$266="",Registro_Compras!$O$266="",Registro_Compras!$R$266&lt;&gt;"SI",Registro_Compras!$X$266=""),"","4212")</f>
        <v/>
      </c>
      <c r="D2368" t="str">
        <f>IF(OR(Registro_Compras!$C$266="",Registro_Compras!$O$266=""),"","Cuentas por Pagar Comerciales - Terceros")</f>
        <v/>
      </c>
      <c r="E2368" s="20" t="str">
        <f>IF($C2368="","",Registro_Compras!$S$266)</f>
        <v/>
      </c>
      <c r="F2368" s="20" t="str">
        <f>""</f>
        <v/>
      </c>
      <c r="G2368" t="str">
        <f>IF($C2368="","","Por el deposito de la detraccion en el Banco de la Nacion")</f>
        <v/>
      </c>
      <c r="H2368" t="str">
        <f>IF($C2368="","",Registro_Compras!$C$266)</f>
        <v/>
      </c>
    </row>
    <row r="2369" spans="1:8" x14ac:dyDescent="0.25">
      <c r="A2369" s="25" t="str">
        <f>IF($C2369="","",Registro_Compras!$X$266)</f>
        <v/>
      </c>
      <c r="B2369" t="str">
        <f>IF($C2369="","","C"&amp;TEXT(INT((ROW()-5)/9)+1,"000")&amp;"-3")</f>
        <v/>
      </c>
      <c r="C2369" t="str">
        <f>IF(OR(Registro_Compras!$C$266="",Registro_Compras!$O$266="",Registro_Compras!$R$266&lt;&gt;"SI",Registro_Compras!$X$266=""),"","1041")</f>
        <v/>
      </c>
      <c r="D2369" t="str">
        <f>IF(OR(Registro_Compras!$C$266="",Registro_Compras!$O$266=""),"","Efectivo y Equivalentes - Cta. Cte. Operativa")</f>
        <v/>
      </c>
      <c r="E2369" s="20" t="str">
        <f>""</f>
        <v/>
      </c>
      <c r="F2369" s="20" t="str">
        <f>IF($C2369="","",Registro_Compras!$S$266)</f>
        <v/>
      </c>
      <c r="G2369" t="str">
        <f>IF($C2369="","","Por el deposito de la detraccion en el Banco de la Nacion")</f>
        <v/>
      </c>
      <c r="H2369" t="str">
        <f>IF($C2369="","",Registro_Compras!$C$266)</f>
        <v/>
      </c>
    </row>
    <row r="2370" spans="1:8" x14ac:dyDescent="0.25">
      <c r="A2370" s="25" t="str">
        <f>IF($C2370="","",Registro_Compras!$Y$266)</f>
        <v/>
      </c>
      <c r="B2370" t="str">
        <f>IF($C2370="","","C"&amp;TEXT(INT((ROW()-5)/9)+1,"000")&amp;"-4")</f>
        <v/>
      </c>
      <c r="C2370" t="str">
        <f>IF(OR(Registro_Compras!$C$266="",Registro_Compras!$O$266="",Registro_Compras!$Y$266="",Registro_Compras!$F$266="NOTA DE CREDITO"),"","4212")</f>
        <v/>
      </c>
      <c r="D2370" t="str">
        <f>IF(OR(Registro_Compras!$C$266="",Registro_Compras!$O$266=""),"","Cuentas por Pagar Comerciales - Terceros")</f>
        <v/>
      </c>
      <c r="E2370" s="20" t="str">
        <f>IF($C2370="","",IF(Registro_Compras!$F$266="RHE",(ROUND(Registro_Compras!$L$266*Registro_Compras!$N$266,2)-ROUND(Registro_Compras!$V$266*Registro_Compras!$N$266,2)),ROUND(Registro_Compras!$O$266-Registro_Compras!$S$266,2)))</f>
        <v/>
      </c>
      <c r="F2370" s="20" t="str">
        <f>""</f>
        <v/>
      </c>
      <c r="G2370" t="str">
        <f>IF($C2370="","","Por la cancelacion del saldo al proveedor")</f>
        <v/>
      </c>
      <c r="H2370" t="str">
        <f>IF($C2370="","",Registro_Compras!$C$266)</f>
        <v/>
      </c>
    </row>
    <row r="2371" spans="1:8" x14ac:dyDescent="0.25">
      <c r="A2371" s="25" t="str">
        <f>IF($C2371="","",Registro_Compras!$Y$266)</f>
        <v/>
      </c>
      <c r="B2371" t="str">
        <f>IF($C2371="","","C"&amp;TEXT(INT((ROW()-5)/9)+1,"000")&amp;"-4")</f>
        <v/>
      </c>
      <c r="C2371" t="str">
        <f>IF(OR(Registro_Compras!$C$266="",Registro_Compras!$O$266="",Registro_Compras!$Y$266="",Registro_Compras!$F$266="NOTA DE CREDITO"),"","1041")</f>
        <v/>
      </c>
      <c r="D2371" t="str">
        <f>IF(OR(Registro_Compras!$C$266="",Registro_Compras!$O$266=""),"","Efectivo y Equivalentes - Cta. Cte. Operativa")</f>
        <v/>
      </c>
      <c r="E2371" s="20" t="str">
        <f>""</f>
        <v/>
      </c>
      <c r="F2371" s="20" t="str">
        <f>IF($C2371="","",IF(Registro_Compras!$F$266="RHE",(ROUND(Registro_Compras!$L$266*Registro_Compras!$N$266,2)-ROUND(Registro_Compras!$V$266*Registro_Compras!$N$266,2)),ROUND(Registro_Compras!$O$266-Registro_Compras!$S$266,2)))</f>
        <v/>
      </c>
      <c r="G2371" t="str">
        <f>IF($C2371="","","Por la cancelacion del saldo al proveedor")</f>
        <v/>
      </c>
      <c r="H2371" t="str">
        <f>IF($C2371="","",Registro_Compras!$C$266)</f>
        <v/>
      </c>
    </row>
    <row r="2372" spans="1:8" x14ac:dyDescent="0.25">
      <c r="A2372" s="25" t="str">
        <f>IF($C2372="","",Registro_Compras!$B$267)</f>
        <v/>
      </c>
      <c r="B2372" t="str">
        <f>IF($C2372="","","C"&amp;TEXT(INT((ROW()-5)/9)+1,"000")&amp;"-1")</f>
        <v/>
      </c>
      <c r="C2372" t="str">
        <f>IF(OR(Registro_Compras!$C$267="",Registro_Compras!$O$267=""),"",IF(Registro_Compras!$F$267="NOTA DE CREDITO","4212",IF(Registro_Compras!$M$267="","63",Registro_Compras!$M$267)))</f>
        <v/>
      </c>
      <c r="D2372" t="str">
        <f>IF(OR(Registro_Compras!$C$267="",Registro_Compras!$O$267=""),"",IF(Registro_Compras!$F$267="NOTA DE CREDITO","Cuentas por Pagar Comerciales - Terceros (Emitidas)",IF(Registro_Compras!$F$267="RHE","Honorarios Profesionales - Servicios de Terceros","Gastos de Servicios Prestados por Terceros")))</f>
        <v/>
      </c>
      <c r="E2372" s="20" t="str">
        <f>IF($C2372="","",IF(Registro_Compras!$F$267="NOTA DE CREDITO",ABS(Registro_Compras!$O$267),IF(Registro_Compras!$F$267="RHE",ROUND(Registro_Compras!$L$267*Registro_Compras!$N$267,2),ROUND(Registro_Compras!$J$267*Registro_Compras!$N$267,2))))</f>
        <v/>
      </c>
      <c r="F2372" s="20" t="str">
        <f>""</f>
        <v/>
      </c>
      <c r="G2372" t="str">
        <f>IF($C2372="","",IF(Registro_Compras!$F$267="NOTA DE CREDITO","Por la nota de credito "&amp;Registro_Compras!$C$267&amp;" de "&amp;Registro_Compras!$E$267&amp;" [PATRON POR CONFIRMAR CON CONTADOR]",IF(Registro_Compras!$F$267="RHE","Por el registro del recibo por honorarios "&amp;Registro_Compras!$C$267&amp;" de "&amp;Registro_Compras!$E$267&amp;" [PATRON POR CONFIRMAR CON CONTADOR]","Por el registro de la factura "&amp;Registro_Compras!$C$267&amp;" de "&amp;Registro_Compras!$E$267)))</f>
        <v/>
      </c>
      <c r="H2372" t="str">
        <f>IF($C2372="","",Registro_Compras!$C$267)</f>
        <v/>
      </c>
    </row>
    <row r="2373" spans="1:8" x14ac:dyDescent="0.25">
      <c r="A2373" s="25" t="str">
        <f>IF($C2373="","",Registro_Compras!$B$267)</f>
        <v/>
      </c>
      <c r="B2373" t="str">
        <f>IF($C2373="","","C"&amp;TEXT(INT((ROW()-5)/9)+1,"000")&amp;"-1")</f>
        <v/>
      </c>
      <c r="C2373" t="str">
        <f>IF(OR(Registro_Compras!$C$267="",Registro_Compras!$O$267=""),"",IF(Registro_Compras!$F$267="RHE",IF(Registro_Compras!$V$267=0,"","4017"),IF(Registro_Compras!$F$267="NOTA DE CREDITO",IF(Registro_Compras!$M$267="","63",Registro_Compras!$M$267),IF(Registro_Compras!$K$267=0,"","40111"))))</f>
        <v/>
      </c>
      <c r="D2373" t="str">
        <f>IF(OR(Registro_Compras!$C$267="",Registro_Compras!$O$267=""),"",IF(Registro_Compras!$F$267="RHE","Retencion Renta 4ta Categoria por Pagar",IF(Registro_Compras!$F$267="NOTA DE CREDITO","Gastos de Servicios Prestados por Terceros","IGV - Cuenta Propia (Credito Fiscal)")))</f>
        <v/>
      </c>
      <c r="E2373" s="20" t="str">
        <f>IF($C2373="","",IF(Registro_Compras!$F$267="FACTURA",ROUND(Registro_Compras!$K$267*Registro_Compras!$N$267,2),""))</f>
        <v/>
      </c>
      <c r="F2373" s="20" t="str">
        <f>IF($C2373="","",IF(Registro_Compras!$F$267="RHE",ROUND(Registro_Compras!$V$267*Registro_Compras!$N$267,2),IF(Registro_Compras!$F$267="NOTA DE CREDITO",ROUND(ABS(Registro_Compras!$J$267*Registro_Compras!$N$267),2),"")))</f>
        <v/>
      </c>
      <c r="G2373" t="str">
        <f>IF($C2373="","",IF(Registro_Compras!$F$267="NOTA DE CREDITO","Por la nota de credito "&amp;Registro_Compras!$C$267&amp;" de "&amp;Registro_Compras!$E$267&amp;" [PATRON POR CONFIRMAR CON CONTADOR]",IF(Registro_Compras!$F$267="RHE","Por el registro del recibo por honorarios "&amp;Registro_Compras!$C$267&amp;" de "&amp;Registro_Compras!$E$267&amp;" [PATRON POR CONFIRMAR CON CONTADOR]","Por el registro de la factura "&amp;Registro_Compras!$C$267&amp;" de "&amp;Registro_Compras!$E$267)))</f>
        <v/>
      </c>
      <c r="H2373" t="str">
        <f>IF($C2373="","",Registro_Compras!$C$267)</f>
        <v/>
      </c>
    </row>
    <row r="2374" spans="1:8" x14ac:dyDescent="0.25">
      <c r="A2374" s="25" t="str">
        <f>IF($C2374="","",Registro_Compras!$B$267)</f>
        <v/>
      </c>
      <c r="B2374" t="str">
        <f>IF($C2374="","","C"&amp;TEXT(INT((ROW()-5)/9)+1,"000")&amp;"-1")</f>
        <v/>
      </c>
      <c r="C2374" t="str">
        <f>IF(OR(Registro_Compras!$C$267="",Registro_Compras!$O$267=""),"",IF(Registro_Compras!$F$267="NOTA DE CREDITO",IF(Registro_Compras!$K$267=0,"","40111"),"4212"))</f>
        <v/>
      </c>
      <c r="D2374" t="str">
        <f>IF(OR(Registro_Compras!$C$267="",Registro_Compras!$O$267=""),"",IF(Registro_Compras!$F$267="NOTA DE CREDITO","IGV - Cuenta Propia (Credito Fiscal)","Cuentas por Pagar Comerciales - Terceros (Emitidas)"))</f>
        <v/>
      </c>
      <c r="E2374" s="20" t="str">
        <f>""</f>
        <v/>
      </c>
      <c r="F2374" s="20" t="str">
        <f>IF($C2374="","",IF(Registro_Compras!$F$267="NOTA DE CREDITO",ROUND(ABS(Registro_Compras!$K$267*Registro_Compras!$N$267),2),IF(Registro_Compras!$F$267="RHE",(ROUND(Registro_Compras!$L$267*Registro_Compras!$N$267,2)-ROUND(Registro_Compras!$V$267*Registro_Compras!$N$267,2)),Registro_Compras!$O$267)))</f>
        <v/>
      </c>
      <c r="G2374" t="str">
        <f>IF($C2374="","",IF(Registro_Compras!$F$267="NOTA DE CREDITO","Por la nota de credito "&amp;Registro_Compras!$C$267&amp;" de "&amp;Registro_Compras!$E$267&amp;" [PATRON POR CONFIRMAR CON CONTADOR]",IF(Registro_Compras!$F$267="RHE","Por el registro del recibo por honorarios "&amp;Registro_Compras!$C$267&amp;" de "&amp;Registro_Compras!$E$267&amp;" [PATRON POR CONFIRMAR CON CONTADOR]","Por el registro de la factura "&amp;Registro_Compras!$C$267&amp;" de "&amp;Registro_Compras!$E$267)))</f>
        <v/>
      </c>
      <c r="H2374" t="str">
        <f>IF($C2374="","",Registro_Compras!$C$267)</f>
        <v/>
      </c>
    </row>
    <row r="2375" spans="1:8" x14ac:dyDescent="0.25">
      <c r="A2375" s="25" t="str">
        <f>IF($C2375="","",Registro_Compras!$B$267)</f>
        <v/>
      </c>
      <c r="B2375" t="str">
        <f>IF($C2375="","","C"&amp;TEXT(INT((ROW()-5)/9)+1,"000")&amp;"-2")</f>
        <v/>
      </c>
      <c r="C2375" t="str">
        <f>IF(OR(Registro_Compras!$C$267="",Registro_Compras!$O$267=""),"",IF(Registro_Compras!$AB$267="ADMINISTRATIVO","94","95"))</f>
        <v/>
      </c>
      <c r="D2375" t="str">
        <f>IF(OR(Registro_Compras!$C$267="",Registro_Compras!$O$267=""),"",IF(Registro_Compras!$AB$267="ADMINISTRATIVO","Gastos Administrativos","Gastos de Venta y Operacion"))</f>
        <v/>
      </c>
      <c r="E2375" s="20" t="str">
        <f>IF($C2375="","",IF(Registro_Compras!$F$267="NOTA DE CREDITO","",IF(Registro_Compras!$F$267="RHE",ROUND(Registro_Compras!$L$267*Registro_Compras!$N$267,2),ROUND(Registro_Compras!$J$267*Registro_Compras!$N$267,2))))</f>
        <v/>
      </c>
      <c r="F2375" s="20" t="str">
        <f>IF($C2375="","",IF(Registro_Compras!$F$267="NOTA DE CREDITO",ROUND(ABS(Registro_Compras!$J$267*Registro_Compras!$N$267),2),""))</f>
        <v/>
      </c>
      <c r="G2375" t="str">
        <f>IF($C2375="","","Por el destino del gasto")</f>
        <v/>
      </c>
      <c r="H2375" t="str">
        <f>IF($C2375="","",Registro_Compras!$C$267)</f>
        <v/>
      </c>
    </row>
    <row r="2376" spans="1:8" x14ac:dyDescent="0.25">
      <c r="A2376" s="25" t="str">
        <f>IF($C2376="","",Registro_Compras!$B$267)</f>
        <v/>
      </c>
      <c r="B2376" t="str">
        <f>IF($C2376="","","C"&amp;TEXT(INT((ROW()-5)/9)+1,"000")&amp;"-2")</f>
        <v/>
      </c>
      <c r="C2376" t="str">
        <f>IF(OR(Registro_Compras!$C$267="",Registro_Compras!$O$267=""),"","79/791")</f>
        <v/>
      </c>
      <c r="D2376" t="str">
        <f>IF(OR(Registro_Compras!$C$267="",Registro_Compras!$O$267=""),"","Cargas Imputables a Cuentas de Costos y Gastos")</f>
        <v/>
      </c>
      <c r="E2376" s="20" t="str">
        <f>IF($C2376="","",IF(Registro_Compras!$F$267="NOTA DE CREDITO",ROUND(ABS(Registro_Compras!$J$267*Registro_Compras!$N$267),2),""))</f>
        <v/>
      </c>
      <c r="F2376" s="20" t="str">
        <f>IF($C2376="","",IF(Registro_Compras!$F$267="NOTA DE CREDITO","",IF(Registro_Compras!$F$267="RHE",ROUND(Registro_Compras!$L$267*Registro_Compras!$N$267,2),ROUND(Registro_Compras!$J$267*Registro_Compras!$N$267,2))))</f>
        <v/>
      </c>
      <c r="G2376" t="str">
        <f>IF($C2376="","","Por el destino del gasto")</f>
        <v/>
      </c>
      <c r="H2376" t="str">
        <f>IF($C2376="","",Registro_Compras!$C$267)</f>
        <v/>
      </c>
    </row>
    <row r="2377" spans="1:8" x14ac:dyDescent="0.25">
      <c r="A2377" s="25" t="str">
        <f>IF($C2377="","",Registro_Compras!$X$267)</f>
        <v/>
      </c>
      <c r="B2377" t="str">
        <f>IF($C2377="","","C"&amp;TEXT(INT((ROW()-5)/9)+1,"000")&amp;"-3")</f>
        <v/>
      </c>
      <c r="C2377" t="str">
        <f>IF(OR(Registro_Compras!$C$267="",Registro_Compras!$O$267="",Registro_Compras!$R$267&lt;&gt;"SI",Registro_Compras!$X$267=""),"","4212")</f>
        <v/>
      </c>
      <c r="D2377" t="str">
        <f>IF(OR(Registro_Compras!$C$267="",Registro_Compras!$O$267=""),"","Cuentas por Pagar Comerciales - Terceros")</f>
        <v/>
      </c>
      <c r="E2377" s="20" t="str">
        <f>IF($C2377="","",Registro_Compras!$S$267)</f>
        <v/>
      </c>
      <c r="F2377" s="20" t="str">
        <f>""</f>
        <v/>
      </c>
      <c r="G2377" t="str">
        <f>IF($C2377="","","Por el deposito de la detraccion en el Banco de la Nacion")</f>
        <v/>
      </c>
      <c r="H2377" t="str">
        <f>IF($C2377="","",Registro_Compras!$C$267)</f>
        <v/>
      </c>
    </row>
    <row r="2378" spans="1:8" x14ac:dyDescent="0.25">
      <c r="A2378" s="25" t="str">
        <f>IF($C2378="","",Registro_Compras!$X$267)</f>
        <v/>
      </c>
      <c r="B2378" t="str">
        <f>IF($C2378="","","C"&amp;TEXT(INT((ROW()-5)/9)+1,"000")&amp;"-3")</f>
        <v/>
      </c>
      <c r="C2378" t="str">
        <f>IF(OR(Registro_Compras!$C$267="",Registro_Compras!$O$267="",Registro_Compras!$R$267&lt;&gt;"SI",Registro_Compras!$X$267=""),"","1041")</f>
        <v/>
      </c>
      <c r="D2378" t="str">
        <f>IF(OR(Registro_Compras!$C$267="",Registro_Compras!$O$267=""),"","Efectivo y Equivalentes - Cta. Cte. Operativa")</f>
        <v/>
      </c>
      <c r="E2378" s="20" t="str">
        <f>""</f>
        <v/>
      </c>
      <c r="F2378" s="20" t="str">
        <f>IF($C2378="","",Registro_Compras!$S$267)</f>
        <v/>
      </c>
      <c r="G2378" t="str">
        <f>IF($C2378="","","Por el deposito de la detraccion en el Banco de la Nacion")</f>
        <v/>
      </c>
      <c r="H2378" t="str">
        <f>IF($C2378="","",Registro_Compras!$C$267)</f>
        <v/>
      </c>
    </row>
    <row r="2379" spans="1:8" x14ac:dyDescent="0.25">
      <c r="A2379" s="25" t="str">
        <f>IF($C2379="","",Registro_Compras!$Y$267)</f>
        <v/>
      </c>
      <c r="B2379" t="str">
        <f>IF($C2379="","","C"&amp;TEXT(INT((ROW()-5)/9)+1,"000")&amp;"-4")</f>
        <v/>
      </c>
      <c r="C2379" t="str">
        <f>IF(OR(Registro_Compras!$C$267="",Registro_Compras!$O$267="",Registro_Compras!$Y$267="",Registro_Compras!$F$267="NOTA DE CREDITO"),"","4212")</f>
        <v/>
      </c>
      <c r="D2379" t="str">
        <f>IF(OR(Registro_Compras!$C$267="",Registro_Compras!$O$267=""),"","Cuentas por Pagar Comerciales - Terceros")</f>
        <v/>
      </c>
      <c r="E2379" s="20" t="str">
        <f>IF($C2379="","",IF(Registro_Compras!$F$267="RHE",(ROUND(Registro_Compras!$L$267*Registro_Compras!$N$267,2)-ROUND(Registro_Compras!$V$267*Registro_Compras!$N$267,2)),ROUND(Registro_Compras!$O$267-Registro_Compras!$S$267,2)))</f>
        <v/>
      </c>
      <c r="F2379" s="20" t="str">
        <f>""</f>
        <v/>
      </c>
      <c r="G2379" t="str">
        <f>IF($C2379="","","Por la cancelacion del saldo al proveedor")</f>
        <v/>
      </c>
      <c r="H2379" t="str">
        <f>IF($C2379="","",Registro_Compras!$C$267)</f>
        <v/>
      </c>
    </row>
    <row r="2380" spans="1:8" x14ac:dyDescent="0.25">
      <c r="A2380" s="25" t="str">
        <f>IF($C2380="","",Registro_Compras!$Y$267)</f>
        <v/>
      </c>
      <c r="B2380" t="str">
        <f>IF($C2380="","","C"&amp;TEXT(INT((ROW()-5)/9)+1,"000")&amp;"-4")</f>
        <v/>
      </c>
      <c r="C2380" t="str">
        <f>IF(OR(Registro_Compras!$C$267="",Registro_Compras!$O$267="",Registro_Compras!$Y$267="",Registro_Compras!$F$267="NOTA DE CREDITO"),"","1041")</f>
        <v/>
      </c>
      <c r="D2380" t="str">
        <f>IF(OR(Registro_Compras!$C$267="",Registro_Compras!$O$267=""),"","Efectivo y Equivalentes - Cta. Cte. Operativa")</f>
        <v/>
      </c>
      <c r="E2380" s="20" t="str">
        <f>""</f>
        <v/>
      </c>
      <c r="F2380" s="20" t="str">
        <f>IF($C2380="","",IF(Registro_Compras!$F$267="RHE",(ROUND(Registro_Compras!$L$267*Registro_Compras!$N$267,2)-ROUND(Registro_Compras!$V$267*Registro_Compras!$N$267,2)),ROUND(Registro_Compras!$O$267-Registro_Compras!$S$267,2)))</f>
        <v/>
      </c>
      <c r="G2380" t="str">
        <f>IF($C2380="","","Por la cancelacion del saldo al proveedor")</f>
        <v/>
      </c>
      <c r="H2380" t="str">
        <f>IF($C2380="","",Registro_Compras!$C$267)</f>
        <v/>
      </c>
    </row>
    <row r="2381" spans="1:8" x14ac:dyDescent="0.25">
      <c r="A2381" s="25" t="str">
        <f>IF($C2381="","",Registro_Compras!$B$268)</f>
        <v/>
      </c>
      <c r="B2381" t="str">
        <f>IF($C2381="","","C"&amp;TEXT(INT((ROW()-5)/9)+1,"000")&amp;"-1")</f>
        <v/>
      </c>
      <c r="C2381" t="str">
        <f>IF(OR(Registro_Compras!$C$268="",Registro_Compras!$O$268=""),"",IF(Registro_Compras!$F$268="NOTA DE CREDITO","4212",IF(Registro_Compras!$M$268="","63",Registro_Compras!$M$268)))</f>
        <v/>
      </c>
      <c r="D2381" t="str">
        <f>IF(OR(Registro_Compras!$C$268="",Registro_Compras!$O$268=""),"",IF(Registro_Compras!$F$268="NOTA DE CREDITO","Cuentas por Pagar Comerciales - Terceros (Emitidas)",IF(Registro_Compras!$F$268="RHE","Honorarios Profesionales - Servicios de Terceros","Gastos de Servicios Prestados por Terceros")))</f>
        <v/>
      </c>
      <c r="E2381" s="20" t="str">
        <f>IF($C2381="","",IF(Registro_Compras!$F$268="NOTA DE CREDITO",ABS(Registro_Compras!$O$268),IF(Registro_Compras!$F$268="RHE",ROUND(Registro_Compras!$L$268*Registro_Compras!$N$268,2),ROUND(Registro_Compras!$J$268*Registro_Compras!$N$268,2))))</f>
        <v/>
      </c>
      <c r="F2381" s="20" t="str">
        <f>""</f>
        <v/>
      </c>
      <c r="G2381" t="str">
        <f>IF($C2381="","",IF(Registro_Compras!$F$268="NOTA DE CREDITO","Por la nota de credito "&amp;Registro_Compras!$C$268&amp;" de "&amp;Registro_Compras!$E$268&amp;" [PATRON POR CONFIRMAR CON CONTADOR]",IF(Registro_Compras!$F$268="RHE","Por el registro del recibo por honorarios "&amp;Registro_Compras!$C$268&amp;" de "&amp;Registro_Compras!$E$268&amp;" [PATRON POR CONFIRMAR CON CONTADOR]","Por el registro de la factura "&amp;Registro_Compras!$C$268&amp;" de "&amp;Registro_Compras!$E$268)))</f>
        <v/>
      </c>
      <c r="H2381" t="str">
        <f>IF($C2381="","",Registro_Compras!$C$268)</f>
        <v/>
      </c>
    </row>
    <row r="2382" spans="1:8" x14ac:dyDescent="0.25">
      <c r="A2382" s="25" t="str">
        <f>IF($C2382="","",Registro_Compras!$B$268)</f>
        <v/>
      </c>
      <c r="B2382" t="str">
        <f>IF($C2382="","","C"&amp;TEXT(INT((ROW()-5)/9)+1,"000")&amp;"-1")</f>
        <v/>
      </c>
      <c r="C2382" t="str">
        <f>IF(OR(Registro_Compras!$C$268="",Registro_Compras!$O$268=""),"",IF(Registro_Compras!$F$268="RHE",IF(Registro_Compras!$V$268=0,"","4017"),IF(Registro_Compras!$F$268="NOTA DE CREDITO",IF(Registro_Compras!$M$268="","63",Registro_Compras!$M$268),IF(Registro_Compras!$K$268=0,"","40111"))))</f>
        <v/>
      </c>
      <c r="D2382" t="str">
        <f>IF(OR(Registro_Compras!$C$268="",Registro_Compras!$O$268=""),"",IF(Registro_Compras!$F$268="RHE","Retencion Renta 4ta Categoria por Pagar",IF(Registro_Compras!$F$268="NOTA DE CREDITO","Gastos de Servicios Prestados por Terceros","IGV - Cuenta Propia (Credito Fiscal)")))</f>
        <v/>
      </c>
      <c r="E2382" s="20" t="str">
        <f>IF($C2382="","",IF(Registro_Compras!$F$268="FACTURA",ROUND(Registro_Compras!$K$268*Registro_Compras!$N$268,2),""))</f>
        <v/>
      </c>
      <c r="F2382" s="20" t="str">
        <f>IF($C2382="","",IF(Registro_Compras!$F$268="RHE",ROUND(Registro_Compras!$V$268*Registro_Compras!$N$268,2),IF(Registro_Compras!$F$268="NOTA DE CREDITO",ROUND(ABS(Registro_Compras!$J$268*Registro_Compras!$N$268),2),"")))</f>
        <v/>
      </c>
      <c r="G2382" t="str">
        <f>IF($C2382="","",IF(Registro_Compras!$F$268="NOTA DE CREDITO","Por la nota de credito "&amp;Registro_Compras!$C$268&amp;" de "&amp;Registro_Compras!$E$268&amp;" [PATRON POR CONFIRMAR CON CONTADOR]",IF(Registro_Compras!$F$268="RHE","Por el registro del recibo por honorarios "&amp;Registro_Compras!$C$268&amp;" de "&amp;Registro_Compras!$E$268&amp;" [PATRON POR CONFIRMAR CON CONTADOR]","Por el registro de la factura "&amp;Registro_Compras!$C$268&amp;" de "&amp;Registro_Compras!$E$268)))</f>
        <v/>
      </c>
      <c r="H2382" t="str">
        <f>IF($C2382="","",Registro_Compras!$C$268)</f>
        <v/>
      </c>
    </row>
    <row r="2383" spans="1:8" x14ac:dyDescent="0.25">
      <c r="A2383" s="25" t="str">
        <f>IF($C2383="","",Registro_Compras!$B$268)</f>
        <v/>
      </c>
      <c r="B2383" t="str">
        <f>IF($C2383="","","C"&amp;TEXT(INT((ROW()-5)/9)+1,"000")&amp;"-1")</f>
        <v/>
      </c>
      <c r="C2383" t="str">
        <f>IF(OR(Registro_Compras!$C$268="",Registro_Compras!$O$268=""),"",IF(Registro_Compras!$F$268="NOTA DE CREDITO",IF(Registro_Compras!$K$268=0,"","40111"),"4212"))</f>
        <v/>
      </c>
      <c r="D2383" t="str">
        <f>IF(OR(Registro_Compras!$C$268="",Registro_Compras!$O$268=""),"",IF(Registro_Compras!$F$268="NOTA DE CREDITO","IGV - Cuenta Propia (Credito Fiscal)","Cuentas por Pagar Comerciales - Terceros (Emitidas)"))</f>
        <v/>
      </c>
      <c r="E2383" s="20" t="str">
        <f>""</f>
        <v/>
      </c>
      <c r="F2383" s="20" t="str">
        <f>IF($C2383="","",IF(Registro_Compras!$F$268="NOTA DE CREDITO",ROUND(ABS(Registro_Compras!$K$268*Registro_Compras!$N$268),2),IF(Registro_Compras!$F$268="RHE",(ROUND(Registro_Compras!$L$268*Registro_Compras!$N$268,2)-ROUND(Registro_Compras!$V$268*Registro_Compras!$N$268,2)),Registro_Compras!$O$268)))</f>
        <v/>
      </c>
      <c r="G2383" t="str">
        <f>IF($C2383="","",IF(Registro_Compras!$F$268="NOTA DE CREDITO","Por la nota de credito "&amp;Registro_Compras!$C$268&amp;" de "&amp;Registro_Compras!$E$268&amp;" [PATRON POR CONFIRMAR CON CONTADOR]",IF(Registro_Compras!$F$268="RHE","Por el registro del recibo por honorarios "&amp;Registro_Compras!$C$268&amp;" de "&amp;Registro_Compras!$E$268&amp;" [PATRON POR CONFIRMAR CON CONTADOR]","Por el registro de la factura "&amp;Registro_Compras!$C$268&amp;" de "&amp;Registro_Compras!$E$268)))</f>
        <v/>
      </c>
      <c r="H2383" t="str">
        <f>IF($C2383="","",Registro_Compras!$C$268)</f>
        <v/>
      </c>
    </row>
    <row r="2384" spans="1:8" x14ac:dyDescent="0.25">
      <c r="A2384" s="25" t="str">
        <f>IF($C2384="","",Registro_Compras!$B$268)</f>
        <v/>
      </c>
      <c r="B2384" t="str">
        <f>IF($C2384="","","C"&amp;TEXT(INT((ROW()-5)/9)+1,"000")&amp;"-2")</f>
        <v/>
      </c>
      <c r="C2384" t="str">
        <f>IF(OR(Registro_Compras!$C$268="",Registro_Compras!$O$268=""),"",IF(Registro_Compras!$AB$268="ADMINISTRATIVO","94","95"))</f>
        <v/>
      </c>
      <c r="D2384" t="str">
        <f>IF(OR(Registro_Compras!$C$268="",Registro_Compras!$O$268=""),"",IF(Registro_Compras!$AB$268="ADMINISTRATIVO","Gastos Administrativos","Gastos de Venta y Operacion"))</f>
        <v/>
      </c>
      <c r="E2384" s="20" t="str">
        <f>IF($C2384="","",IF(Registro_Compras!$F$268="NOTA DE CREDITO","",IF(Registro_Compras!$F$268="RHE",ROUND(Registro_Compras!$L$268*Registro_Compras!$N$268,2),ROUND(Registro_Compras!$J$268*Registro_Compras!$N$268,2))))</f>
        <v/>
      </c>
      <c r="F2384" s="20" t="str">
        <f>IF($C2384="","",IF(Registro_Compras!$F$268="NOTA DE CREDITO",ROUND(ABS(Registro_Compras!$J$268*Registro_Compras!$N$268),2),""))</f>
        <v/>
      </c>
      <c r="G2384" t="str">
        <f>IF($C2384="","","Por el destino del gasto")</f>
        <v/>
      </c>
      <c r="H2384" t="str">
        <f>IF($C2384="","",Registro_Compras!$C$268)</f>
        <v/>
      </c>
    </row>
    <row r="2385" spans="1:8" x14ac:dyDescent="0.25">
      <c r="A2385" s="25" t="str">
        <f>IF($C2385="","",Registro_Compras!$B$268)</f>
        <v/>
      </c>
      <c r="B2385" t="str">
        <f>IF($C2385="","","C"&amp;TEXT(INT((ROW()-5)/9)+1,"000")&amp;"-2")</f>
        <v/>
      </c>
      <c r="C2385" t="str">
        <f>IF(OR(Registro_Compras!$C$268="",Registro_Compras!$O$268=""),"","79/791")</f>
        <v/>
      </c>
      <c r="D2385" t="str">
        <f>IF(OR(Registro_Compras!$C$268="",Registro_Compras!$O$268=""),"","Cargas Imputables a Cuentas de Costos y Gastos")</f>
        <v/>
      </c>
      <c r="E2385" s="20" t="str">
        <f>IF($C2385="","",IF(Registro_Compras!$F$268="NOTA DE CREDITO",ROUND(ABS(Registro_Compras!$J$268*Registro_Compras!$N$268),2),""))</f>
        <v/>
      </c>
      <c r="F2385" s="20" t="str">
        <f>IF($C2385="","",IF(Registro_Compras!$F$268="NOTA DE CREDITO","",IF(Registro_Compras!$F$268="RHE",ROUND(Registro_Compras!$L$268*Registro_Compras!$N$268,2),ROUND(Registro_Compras!$J$268*Registro_Compras!$N$268,2))))</f>
        <v/>
      </c>
      <c r="G2385" t="str">
        <f>IF($C2385="","","Por el destino del gasto")</f>
        <v/>
      </c>
      <c r="H2385" t="str">
        <f>IF($C2385="","",Registro_Compras!$C$268)</f>
        <v/>
      </c>
    </row>
    <row r="2386" spans="1:8" x14ac:dyDescent="0.25">
      <c r="A2386" s="25" t="str">
        <f>IF($C2386="","",Registro_Compras!$X$268)</f>
        <v/>
      </c>
      <c r="B2386" t="str">
        <f>IF($C2386="","","C"&amp;TEXT(INT((ROW()-5)/9)+1,"000")&amp;"-3")</f>
        <v/>
      </c>
      <c r="C2386" t="str">
        <f>IF(OR(Registro_Compras!$C$268="",Registro_Compras!$O$268="",Registro_Compras!$R$268&lt;&gt;"SI",Registro_Compras!$X$268=""),"","4212")</f>
        <v/>
      </c>
      <c r="D2386" t="str">
        <f>IF(OR(Registro_Compras!$C$268="",Registro_Compras!$O$268=""),"","Cuentas por Pagar Comerciales - Terceros")</f>
        <v/>
      </c>
      <c r="E2386" s="20" t="str">
        <f>IF($C2386="","",Registro_Compras!$S$268)</f>
        <v/>
      </c>
      <c r="F2386" s="20" t="str">
        <f>""</f>
        <v/>
      </c>
      <c r="G2386" t="str">
        <f>IF($C2386="","","Por el deposito de la detraccion en el Banco de la Nacion")</f>
        <v/>
      </c>
      <c r="H2386" t="str">
        <f>IF($C2386="","",Registro_Compras!$C$268)</f>
        <v/>
      </c>
    </row>
    <row r="2387" spans="1:8" x14ac:dyDescent="0.25">
      <c r="A2387" s="25" t="str">
        <f>IF($C2387="","",Registro_Compras!$X$268)</f>
        <v/>
      </c>
      <c r="B2387" t="str">
        <f>IF($C2387="","","C"&amp;TEXT(INT((ROW()-5)/9)+1,"000")&amp;"-3")</f>
        <v/>
      </c>
      <c r="C2387" t="str">
        <f>IF(OR(Registro_Compras!$C$268="",Registro_Compras!$O$268="",Registro_Compras!$R$268&lt;&gt;"SI",Registro_Compras!$X$268=""),"","1041")</f>
        <v/>
      </c>
      <c r="D2387" t="str">
        <f>IF(OR(Registro_Compras!$C$268="",Registro_Compras!$O$268=""),"","Efectivo y Equivalentes - Cta. Cte. Operativa")</f>
        <v/>
      </c>
      <c r="E2387" s="20" t="str">
        <f>""</f>
        <v/>
      </c>
      <c r="F2387" s="20" t="str">
        <f>IF($C2387="","",Registro_Compras!$S$268)</f>
        <v/>
      </c>
      <c r="G2387" t="str">
        <f>IF($C2387="","","Por el deposito de la detraccion en el Banco de la Nacion")</f>
        <v/>
      </c>
      <c r="H2387" t="str">
        <f>IF($C2387="","",Registro_Compras!$C$268)</f>
        <v/>
      </c>
    </row>
    <row r="2388" spans="1:8" x14ac:dyDescent="0.25">
      <c r="A2388" s="25" t="str">
        <f>IF($C2388="","",Registro_Compras!$Y$268)</f>
        <v/>
      </c>
      <c r="B2388" t="str">
        <f>IF($C2388="","","C"&amp;TEXT(INT((ROW()-5)/9)+1,"000")&amp;"-4")</f>
        <v/>
      </c>
      <c r="C2388" t="str">
        <f>IF(OR(Registro_Compras!$C$268="",Registro_Compras!$O$268="",Registro_Compras!$Y$268="",Registro_Compras!$F$268="NOTA DE CREDITO"),"","4212")</f>
        <v/>
      </c>
      <c r="D2388" t="str">
        <f>IF(OR(Registro_Compras!$C$268="",Registro_Compras!$O$268=""),"","Cuentas por Pagar Comerciales - Terceros")</f>
        <v/>
      </c>
      <c r="E2388" s="20" t="str">
        <f>IF($C2388="","",IF(Registro_Compras!$F$268="RHE",(ROUND(Registro_Compras!$L$268*Registro_Compras!$N$268,2)-ROUND(Registro_Compras!$V$268*Registro_Compras!$N$268,2)),ROUND(Registro_Compras!$O$268-Registro_Compras!$S$268,2)))</f>
        <v/>
      </c>
      <c r="F2388" s="20" t="str">
        <f>""</f>
        <v/>
      </c>
      <c r="G2388" t="str">
        <f>IF($C2388="","","Por la cancelacion del saldo al proveedor")</f>
        <v/>
      </c>
      <c r="H2388" t="str">
        <f>IF($C2388="","",Registro_Compras!$C$268)</f>
        <v/>
      </c>
    </row>
    <row r="2389" spans="1:8" x14ac:dyDescent="0.25">
      <c r="A2389" s="25" t="str">
        <f>IF($C2389="","",Registro_Compras!$Y$268)</f>
        <v/>
      </c>
      <c r="B2389" t="str">
        <f>IF($C2389="","","C"&amp;TEXT(INT((ROW()-5)/9)+1,"000")&amp;"-4")</f>
        <v/>
      </c>
      <c r="C2389" t="str">
        <f>IF(OR(Registro_Compras!$C$268="",Registro_Compras!$O$268="",Registro_Compras!$Y$268="",Registro_Compras!$F$268="NOTA DE CREDITO"),"","1041")</f>
        <v/>
      </c>
      <c r="D2389" t="str">
        <f>IF(OR(Registro_Compras!$C$268="",Registro_Compras!$O$268=""),"","Efectivo y Equivalentes - Cta. Cte. Operativa")</f>
        <v/>
      </c>
      <c r="E2389" s="20" t="str">
        <f>""</f>
        <v/>
      </c>
      <c r="F2389" s="20" t="str">
        <f>IF($C2389="","",IF(Registro_Compras!$F$268="RHE",(ROUND(Registro_Compras!$L$268*Registro_Compras!$N$268,2)-ROUND(Registro_Compras!$V$268*Registro_Compras!$N$268,2)),ROUND(Registro_Compras!$O$268-Registro_Compras!$S$268,2)))</f>
        <v/>
      </c>
      <c r="G2389" t="str">
        <f>IF($C2389="","","Por la cancelacion del saldo al proveedor")</f>
        <v/>
      </c>
      <c r="H2389" t="str">
        <f>IF($C2389="","",Registro_Compras!$C$268)</f>
        <v/>
      </c>
    </row>
    <row r="2390" spans="1:8" x14ac:dyDescent="0.25">
      <c r="A2390" s="25" t="str">
        <f>IF($C2390="","",Registro_Compras!$B$269)</f>
        <v/>
      </c>
      <c r="B2390" t="str">
        <f>IF($C2390="","","C"&amp;TEXT(INT((ROW()-5)/9)+1,"000")&amp;"-1")</f>
        <v/>
      </c>
      <c r="C2390" t="str">
        <f>IF(OR(Registro_Compras!$C$269="",Registro_Compras!$O$269=""),"",IF(Registro_Compras!$F$269="NOTA DE CREDITO","4212",IF(Registro_Compras!$M$269="","63",Registro_Compras!$M$269)))</f>
        <v/>
      </c>
      <c r="D2390" t="str">
        <f>IF(OR(Registro_Compras!$C$269="",Registro_Compras!$O$269=""),"",IF(Registro_Compras!$F$269="NOTA DE CREDITO","Cuentas por Pagar Comerciales - Terceros (Emitidas)",IF(Registro_Compras!$F$269="RHE","Honorarios Profesionales - Servicios de Terceros","Gastos de Servicios Prestados por Terceros")))</f>
        <v/>
      </c>
      <c r="E2390" s="20" t="str">
        <f>IF($C2390="","",IF(Registro_Compras!$F$269="NOTA DE CREDITO",ABS(Registro_Compras!$O$269),IF(Registro_Compras!$F$269="RHE",ROUND(Registro_Compras!$L$269*Registro_Compras!$N$269,2),ROUND(Registro_Compras!$J$269*Registro_Compras!$N$269,2))))</f>
        <v/>
      </c>
      <c r="F2390" s="20" t="str">
        <f>""</f>
        <v/>
      </c>
      <c r="G2390" t="str">
        <f>IF($C2390="","",IF(Registro_Compras!$F$269="NOTA DE CREDITO","Por la nota de credito "&amp;Registro_Compras!$C$269&amp;" de "&amp;Registro_Compras!$E$269&amp;" [PATRON POR CONFIRMAR CON CONTADOR]",IF(Registro_Compras!$F$269="RHE","Por el registro del recibo por honorarios "&amp;Registro_Compras!$C$269&amp;" de "&amp;Registro_Compras!$E$269&amp;" [PATRON POR CONFIRMAR CON CONTADOR]","Por el registro de la factura "&amp;Registro_Compras!$C$269&amp;" de "&amp;Registro_Compras!$E$269)))</f>
        <v/>
      </c>
      <c r="H2390" t="str">
        <f>IF($C2390="","",Registro_Compras!$C$269)</f>
        <v/>
      </c>
    </row>
    <row r="2391" spans="1:8" x14ac:dyDescent="0.25">
      <c r="A2391" s="25" t="str">
        <f>IF($C2391="","",Registro_Compras!$B$269)</f>
        <v/>
      </c>
      <c r="B2391" t="str">
        <f>IF($C2391="","","C"&amp;TEXT(INT((ROW()-5)/9)+1,"000")&amp;"-1")</f>
        <v/>
      </c>
      <c r="C2391" t="str">
        <f>IF(OR(Registro_Compras!$C$269="",Registro_Compras!$O$269=""),"",IF(Registro_Compras!$F$269="RHE",IF(Registro_Compras!$V$269=0,"","4017"),IF(Registro_Compras!$F$269="NOTA DE CREDITO",IF(Registro_Compras!$M$269="","63",Registro_Compras!$M$269),IF(Registro_Compras!$K$269=0,"","40111"))))</f>
        <v/>
      </c>
      <c r="D2391" t="str">
        <f>IF(OR(Registro_Compras!$C$269="",Registro_Compras!$O$269=""),"",IF(Registro_Compras!$F$269="RHE","Retencion Renta 4ta Categoria por Pagar",IF(Registro_Compras!$F$269="NOTA DE CREDITO","Gastos de Servicios Prestados por Terceros","IGV - Cuenta Propia (Credito Fiscal)")))</f>
        <v/>
      </c>
      <c r="E2391" s="20" t="str">
        <f>IF($C2391="","",IF(Registro_Compras!$F$269="FACTURA",ROUND(Registro_Compras!$K$269*Registro_Compras!$N$269,2),""))</f>
        <v/>
      </c>
      <c r="F2391" s="20" t="str">
        <f>IF($C2391="","",IF(Registro_Compras!$F$269="RHE",ROUND(Registro_Compras!$V$269*Registro_Compras!$N$269,2),IF(Registro_Compras!$F$269="NOTA DE CREDITO",ROUND(ABS(Registro_Compras!$J$269*Registro_Compras!$N$269),2),"")))</f>
        <v/>
      </c>
      <c r="G2391" t="str">
        <f>IF($C2391="","",IF(Registro_Compras!$F$269="NOTA DE CREDITO","Por la nota de credito "&amp;Registro_Compras!$C$269&amp;" de "&amp;Registro_Compras!$E$269&amp;" [PATRON POR CONFIRMAR CON CONTADOR]",IF(Registro_Compras!$F$269="RHE","Por el registro del recibo por honorarios "&amp;Registro_Compras!$C$269&amp;" de "&amp;Registro_Compras!$E$269&amp;" [PATRON POR CONFIRMAR CON CONTADOR]","Por el registro de la factura "&amp;Registro_Compras!$C$269&amp;" de "&amp;Registro_Compras!$E$269)))</f>
        <v/>
      </c>
      <c r="H2391" t="str">
        <f>IF($C2391="","",Registro_Compras!$C$269)</f>
        <v/>
      </c>
    </row>
    <row r="2392" spans="1:8" x14ac:dyDescent="0.25">
      <c r="A2392" s="25" t="str">
        <f>IF($C2392="","",Registro_Compras!$B$269)</f>
        <v/>
      </c>
      <c r="B2392" t="str">
        <f>IF($C2392="","","C"&amp;TEXT(INT((ROW()-5)/9)+1,"000")&amp;"-1")</f>
        <v/>
      </c>
      <c r="C2392" t="str">
        <f>IF(OR(Registro_Compras!$C$269="",Registro_Compras!$O$269=""),"",IF(Registro_Compras!$F$269="NOTA DE CREDITO",IF(Registro_Compras!$K$269=0,"","40111"),"4212"))</f>
        <v/>
      </c>
      <c r="D2392" t="str">
        <f>IF(OR(Registro_Compras!$C$269="",Registro_Compras!$O$269=""),"",IF(Registro_Compras!$F$269="NOTA DE CREDITO","IGV - Cuenta Propia (Credito Fiscal)","Cuentas por Pagar Comerciales - Terceros (Emitidas)"))</f>
        <v/>
      </c>
      <c r="E2392" s="20" t="str">
        <f>""</f>
        <v/>
      </c>
      <c r="F2392" s="20" t="str">
        <f>IF($C2392="","",IF(Registro_Compras!$F$269="NOTA DE CREDITO",ROUND(ABS(Registro_Compras!$K$269*Registro_Compras!$N$269),2),IF(Registro_Compras!$F$269="RHE",(ROUND(Registro_Compras!$L$269*Registro_Compras!$N$269,2)-ROUND(Registro_Compras!$V$269*Registro_Compras!$N$269,2)),Registro_Compras!$O$269)))</f>
        <v/>
      </c>
      <c r="G2392" t="str">
        <f>IF($C2392="","",IF(Registro_Compras!$F$269="NOTA DE CREDITO","Por la nota de credito "&amp;Registro_Compras!$C$269&amp;" de "&amp;Registro_Compras!$E$269&amp;" [PATRON POR CONFIRMAR CON CONTADOR]",IF(Registro_Compras!$F$269="RHE","Por el registro del recibo por honorarios "&amp;Registro_Compras!$C$269&amp;" de "&amp;Registro_Compras!$E$269&amp;" [PATRON POR CONFIRMAR CON CONTADOR]","Por el registro de la factura "&amp;Registro_Compras!$C$269&amp;" de "&amp;Registro_Compras!$E$269)))</f>
        <v/>
      </c>
      <c r="H2392" t="str">
        <f>IF($C2392="","",Registro_Compras!$C$269)</f>
        <v/>
      </c>
    </row>
    <row r="2393" spans="1:8" x14ac:dyDescent="0.25">
      <c r="A2393" s="25" t="str">
        <f>IF($C2393="","",Registro_Compras!$B$269)</f>
        <v/>
      </c>
      <c r="B2393" t="str">
        <f>IF($C2393="","","C"&amp;TEXT(INT((ROW()-5)/9)+1,"000")&amp;"-2")</f>
        <v/>
      </c>
      <c r="C2393" t="str">
        <f>IF(OR(Registro_Compras!$C$269="",Registro_Compras!$O$269=""),"",IF(Registro_Compras!$AB$269="ADMINISTRATIVO","94","95"))</f>
        <v/>
      </c>
      <c r="D2393" t="str">
        <f>IF(OR(Registro_Compras!$C$269="",Registro_Compras!$O$269=""),"",IF(Registro_Compras!$AB$269="ADMINISTRATIVO","Gastos Administrativos","Gastos de Venta y Operacion"))</f>
        <v/>
      </c>
      <c r="E2393" s="20" t="str">
        <f>IF($C2393="","",IF(Registro_Compras!$F$269="NOTA DE CREDITO","",IF(Registro_Compras!$F$269="RHE",ROUND(Registro_Compras!$L$269*Registro_Compras!$N$269,2),ROUND(Registro_Compras!$J$269*Registro_Compras!$N$269,2))))</f>
        <v/>
      </c>
      <c r="F2393" s="20" t="str">
        <f>IF($C2393="","",IF(Registro_Compras!$F$269="NOTA DE CREDITO",ROUND(ABS(Registro_Compras!$J$269*Registro_Compras!$N$269),2),""))</f>
        <v/>
      </c>
      <c r="G2393" t="str">
        <f>IF($C2393="","","Por el destino del gasto")</f>
        <v/>
      </c>
      <c r="H2393" t="str">
        <f>IF($C2393="","",Registro_Compras!$C$269)</f>
        <v/>
      </c>
    </row>
    <row r="2394" spans="1:8" x14ac:dyDescent="0.25">
      <c r="A2394" s="25" t="str">
        <f>IF($C2394="","",Registro_Compras!$B$269)</f>
        <v/>
      </c>
      <c r="B2394" t="str">
        <f>IF($C2394="","","C"&amp;TEXT(INT((ROW()-5)/9)+1,"000")&amp;"-2")</f>
        <v/>
      </c>
      <c r="C2394" t="str">
        <f>IF(OR(Registro_Compras!$C$269="",Registro_Compras!$O$269=""),"","79/791")</f>
        <v/>
      </c>
      <c r="D2394" t="str">
        <f>IF(OR(Registro_Compras!$C$269="",Registro_Compras!$O$269=""),"","Cargas Imputables a Cuentas de Costos y Gastos")</f>
        <v/>
      </c>
      <c r="E2394" s="20" t="str">
        <f>IF($C2394="","",IF(Registro_Compras!$F$269="NOTA DE CREDITO",ROUND(ABS(Registro_Compras!$J$269*Registro_Compras!$N$269),2),""))</f>
        <v/>
      </c>
      <c r="F2394" s="20" t="str">
        <f>IF($C2394="","",IF(Registro_Compras!$F$269="NOTA DE CREDITO","",IF(Registro_Compras!$F$269="RHE",ROUND(Registro_Compras!$L$269*Registro_Compras!$N$269,2),ROUND(Registro_Compras!$J$269*Registro_Compras!$N$269,2))))</f>
        <v/>
      </c>
      <c r="G2394" t="str">
        <f>IF($C2394="","","Por el destino del gasto")</f>
        <v/>
      </c>
      <c r="H2394" t="str">
        <f>IF($C2394="","",Registro_Compras!$C$269)</f>
        <v/>
      </c>
    </row>
    <row r="2395" spans="1:8" x14ac:dyDescent="0.25">
      <c r="A2395" s="25" t="str">
        <f>IF($C2395="","",Registro_Compras!$X$269)</f>
        <v/>
      </c>
      <c r="B2395" t="str">
        <f>IF($C2395="","","C"&amp;TEXT(INT((ROW()-5)/9)+1,"000")&amp;"-3")</f>
        <v/>
      </c>
      <c r="C2395" t="str">
        <f>IF(OR(Registro_Compras!$C$269="",Registro_Compras!$O$269="",Registro_Compras!$R$269&lt;&gt;"SI",Registro_Compras!$X$269=""),"","4212")</f>
        <v/>
      </c>
      <c r="D2395" t="str">
        <f>IF(OR(Registro_Compras!$C$269="",Registro_Compras!$O$269=""),"","Cuentas por Pagar Comerciales - Terceros")</f>
        <v/>
      </c>
      <c r="E2395" s="20" t="str">
        <f>IF($C2395="","",Registro_Compras!$S$269)</f>
        <v/>
      </c>
      <c r="F2395" s="20" t="str">
        <f>""</f>
        <v/>
      </c>
      <c r="G2395" t="str">
        <f>IF($C2395="","","Por el deposito de la detraccion en el Banco de la Nacion")</f>
        <v/>
      </c>
      <c r="H2395" t="str">
        <f>IF($C2395="","",Registro_Compras!$C$269)</f>
        <v/>
      </c>
    </row>
    <row r="2396" spans="1:8" x14ac:dyDescent="0.25">
      <c r="A2396" s="25" t="str">
        <f>IF($C2396="","",Registro_Compras!$X$269)</f>
        <v/>
      </c>
      <c r="B2396" t="str">
        <f>IF($C2396="","","C"&amp;TEXT(INT((ROW()-5)/9)+1,"000")&amp;"-3")</f>
        <v/>
      </c>
      <c r="C2396" t="str">
        <f>IF(OR(Registro_Compras!$C$269="",Registro_Compras!$O$269="",Registro_Compras!$R$269&lt;&gt;"SI",Registro_Compras!$X$269=""),"","1041")</f>
        <v/>
      </c>
      <c r="D2396" t="str">
        <f>IF(OR(Registro_Compras!$C$269="",Registro_Compras!$O$269=""),"","Efectivo y Equivalentes - Cta. Cte. Operativa")</f>
        <v/>
      </c>
      <c r="E2396" s="20" t="str">
        <f>""</f>
        <v/>
      </c>
      <c r="F2396" s="20" t="str">
        <f>IF($C2396="","",Registro_Compras!$S$269)</f>
        <v/>
      </c>
      <c r="G2396" t="str">
        <f>IF($C2396="","","Por el deposito de la detraccion en el Banco de la Nacion")</f>
        <v/>
      </c>
      <c r="H2396" t="str">
        <f>IF($C2396="","",Registro_Compras!$C$269)</f>
        <v/>
      </c>
    </row>
    <row r="2397" spans="1:8" x14ac:dyDescent="0.25">
      <c r="A2397" s="25" t="str">
        <f>IF($C2397="","",Registro_Compras!$Y$269)</f>
        <v/>
      </c>
      <c r="B2397" t="str">
        <f>IF($C2397="","","C"&amp;TEXT(INT((ROW()-5)/9)+1,"000")&amp;"-4")</f>
        <v/>
      </c>
      <c r="C2397" t="str">
        <f>IF(OR(Registro_Compras!$C$269="",Registro_Compras!$O$269="",Registro_Compras!$Y$269="",Registro_Compras!$F$269="NOTA DE CREDITO"),"","4212")</f>
        <v/>
      </c>
      <c r="D2397" t="str">
        <f>IF(OR(Registro_Compras!$C$269="",Registro_Compras!$O$269=""),"","Cuentas por Pagar Comerciales - Terceros")</f>
        <v/>
      </c>
      <c r="E2397" s="20" t="str">
        <f>IF($C2397="","",IF(Registro_Compras!$F$269="RHE",(ROUND(Registro_Compras!$L$269*Registro_Compras!$N$269,2)-ROUND(Registro_Compras!$V$269*Registro_Compras!$N$269,2)),ROUND(Registro_Compras!$O$269-Registro_Compras!$S$269,2)))</f>
        <v/>
      </c>
      <c r="F2397" s="20" t="str">
        <f>""</f>
        <v/>
      </c>
      <c r="G2397" t="str">
        <f>IF($C2397="","","Por la cancelacion del saldo al proveedor")</f>
        <v/>
      </c>
      <c r="H2397" t="str">
        <f>IF($C2397="","",Registro_Compras!$C$269)</f>
        <v/>
      </c>
    </row>
    <row r="2398" spans="1:8" x14ac:dyDescent="0.25">
      <c r="A2398" s="25" t="str">
        <f>IF($C2398="","",Registro_Compras!$Y$269)</f>
        <v/>
      </c>
      <c r="B2398" t="str">
        <f>IF($C2398="","","C"&amp;TEXT(INT((ROW()-5)/9)+1,"000")&amp;"-4")</f>
        <v/>
      </c>
      <c r="C2398" t="str">
        <f>IF(OR(Registro_Compras!$C$269="",Registro_Compras!$O$269="",Registro_Compras!$Y$269="",Registro_Compras!$F$269="NOTA DE CREDITO"),"","1041")</f>
        <v/>
      </c>
      <c r="D2398" t="str">
        <f>IF(OR(Registro_Compras!$C$269="",Registro_Compras!$O$269=""),"","Efectivo y Equivalentes - Cta. Cte. Operativa")</f>
        <v/>
      </c>
      <c r="E2398" s="20" t="str">
        <f>""</f>
        <v/>
      </c>
      <c r="F2398" s="20" t="str">
        <f>IF($C2398="","",IF(Registro_Compras!$F$269="RHE",(ROUND(Registro_Compras!$L$269*Registro_Compras!$N$269,2)-ROUND(Registro_Compras!$V$269*Registro_Compras!$N$269,2)),ROUND(Registro_Compras!$O$269-Registro_Compras!$S$269,2)))</f>
        <v/>
      </c>
      <c r="G2398" t="str">
        <f>IF($C2398="","","Por la cancelacion del saldo al proveedor")</f>
        <v/>
      </c>
      <c r="H2398" t="str">
        <f>IF($C2398="","",Registro_Compras!$C$269)</f>
        <v/>
      </c>
    </row>
    <row r="2399" spans="1:8" x14ac:dyDescent="0.25">
      <c r="A2399" s="25" t="str">
        <f>IF($C2399="","",Registro_Compras!$B$270)</f>
        <v/>
      </c>
      <c r="B2399" t="str">
        <f>IF($C2399="","","C"&amp;TEXT(INT((ROW()-5)/9)+1,"000")&amp;"-1")</f>
        <v/>
      </c>
      <c r="C2399" t="str">
        <f>IF(OR(Registro_Compras!$C$270="",Registro_Compras!$O$270=""),"",IF(Registro_Compras!$F$270="NOTA DE CREDITO","4212",IF(Registro_Compras!$M$270="","63",Registro_Compras!$M$270)))</f>
        <v/>
      </c>
      <c r="D2399" t="str">
        <f>IF(OR(Registro_Compras!$C$270="",Registro_Compras!$O$270=""),"",IF(Registro_Compras!$F$270="NOTA DE CREDITO","Cuentas por Pagar Comerciales - Terceros (Emitidas)",IF(Registro_Compras!$F$270="RHE","Honorarios Profesionales - Servicios de Terceros","Gastos de Servicios Prestados por Terceros")))</f>
        <v/>
      </c>
      <c r="E2399" s="20" t="str">
        <f>IF($C2399="","",IF(Registro_Compras!$F$270="NOTA DE CREDITO",ABS(Registro_Compras!$O$270),IF(Registro_Compras!$F$270="RHE",ROUND(Registro_Compras!$L$270*Registro_Compras!$N$270,2),ROUND(Registro_Compras!$J$270*Registro_Compras!$N$270,2))))</f>
        <v/>
      </c>
      <c r="F2399" s="20" t="str">
        <f>""</f>
        <v/>
      </c>
      <c r="G2399" t="str">
        <f>IF($C2399="","",IF(Registro_Compras!$F$270="NOTA DE CREDITO","Por la nota de credito "&amp;Registro_Compras!$C$270&amp;" de "&amp;Registro_Compras!$E$270&amp;" [PATRON POR CONFIRMAR CON CONTADOR]",IF(Registro_Compras!$F$270="RHE","Por el registro del recibo por honorarios "&amp;Registro_Compras!$C$270&amp;" de "&amp;Registro_Compras!$E$270&amp;" [PATRON POR CONFIRMAR CON CONTADOR]","Por el registro de la factura "&amp;Registro_Compras!$C$270&amp;" de "&amp;Registro_Compras!$E$270)))</f>
        <v/>
      </c>
      <c r="H2399" t="str">
        <f>IF($C2399="","",Registro_Compras!$C$270)</f>
        <v/>
      </c>
    </row>
    <row r="2400" spans="1:8" x14ac:dyDescent="0.25">
      <c r="A2400" s="25" t="str">
        <f>IF($C2400="","",Registro_Compras!$B$270)</f>
        <v/>
      </c>
      <c r="B2400" t="str">
        <f>IF($C2400="","","C"&amp;TEXT(INT((ROW()-5)/9)+1,"000")&amp;"-1")</f>
        <v/>
      </c>
      <c r="C2400" t="str">
        <f>IF(OR(Registro_Compras!$C$270="",Registro_Compras!$O$270=""),"",IF(Registro_Compras!$F$270="RHE",IF(Registro_Compras!$V$270=0,"","4017"),IF(Registro_Compras!$F$270="NOTA DE CREDITO",IF(Registro_Compras!$M$270="","63",Registro_Compras!$M$270),IF(Registro_Compras!$K$270=0,"","40111"))))</f>
        <v/>
      </c>
      <c r="D2400" t="str">
        <f>IF(OR(Registro_Compras!$C$270="",Registro_Compras!$O$270=""),"",IF(Registro_Compras!$F$270="RHE","Retencion Renta 4ta Categoria por Pagar",IF(Registro_Compras!$F$270="NOTA DE CREDITO","Gastos de Servicios Prestados por Terceros","IGV - Cuenta Propia (Credito Fiscal)")))</f>
        <v/>
      </c>
      <c r="E2400" s="20" t="str">
        <f>IF($C2400="","",IF(Registro_Compras!$F$270="FACTURA",ROUND(Registro_Compras!$K$270*Registro_Compras!$N$270,2),""))</f>
        <v/>
      </c>
      <c r="F2400" s="20" t="str">
        <f>IF($C2400="","",IF(Registro_Compras!$F$270="RHE",ROUND(Registro_Compras!$V$270*Registro_Compras!$N$270,2),IF(Registro_Compras!$F$270="NOTA DE CREDITO",ROUND(ABS(Registro_Compras!$J$270*Registro_Compras!$N$270),2),"")))</f>
        <v/>
      </c>
      <c r="G2400" t="str">
        <f>IF($C2400="","",IF(Registro_Compras!$F$270="NOTA DE CREDITO","Por la nota de credito "&amp;Registro_Compras!$C$270&amp;" de "&amp;Registro_Compras!$E$270&amp;" [PATRON POR CONFIRMAR CON CONTADOR]",IF(Registro_Compras!$F$270="RHE","Por el registro del recibo por honorarios "&amp;Registro_Compras!$C$270&amp;" de "&amp;Registro_Compras!$E$270&amp;" [PATRON POR CONFIRMAR CON CONTADOR]","Por el registro de la factura "&amp;Registro_Compras!$C$270&amp;" de "&amp;Registro_Compras!$E$270)))</f>
        <v/>
      </c>
      <c r="H2400" t="str">
        <f>IF($C2400="","",Registro_Compras!$C$270)</f>
        <v/>
      </c>
    </row>
    <row r="2401" spans="1:8" x14ac:dyDescent="0.25">
      <c r="A2401" s="25" t="str">
        <f>IF($C2401="","",Registro_Compras!$B$270)</f>
        <v/>
      </c>
      <c r="B2401" t="str">
        <f>IF($C2401="","","C"&amp;TEXT(INT((ROW()-5)/9)+1,"000")&amp;"-1")</f>
        <v/>
      </c>
      <c r="C2401" t="str">
        <f>IF(OR(Registro_Compras!$C$270="",Registro_Compras!$O$270=""),"",IF(Registro_Compras!$F$270="NOTA DE CREDITO",IF(Registro_Compras!$K$270=0,"","40111"),"4212"))</f>
        <v/>
      </c>
      <c r="D2401" t="str">
        <f>IF(OR(Registro_Compras!$C$270="",Registro_Compras!$O$270=""),"",IF(Registro_Compras!$F$270="NOTA DE CREDITO","IGV - Cuenta Propia (Credito Fiscal)","Cuentas por Pagar Comerciales - Terceros (Emitidas)"))</f>
        <v/>
      </c>
      <c r="E2401" s="20" t="str">
        <f>""</f>
        <v/>
      </c>
      <c r="F2401" s="20" t="str">
        <f>IF($C2401="","",IF(Registro_Compras!$F$270="NOTA DE CREDITO",ROUND(ABS(Registro_Compras!$K$270*Registro_Compras!$N$270),2),IF(Registro_Compras!$F$270="RHE",(ROUND(Registro_Compras!$L$270*Registro_Compras!$N$270,2)-ROUND(Registro_Compras!$V$270*Registro_Compras!$N$270,2)),Registro_Compras!$O$270)))</f>
        <v/>
      </c>
      <c r="G2401" t="str">
        <f>IF($C2401="","",IF(Registro_Compras!$F$270="NOTA DE CREDITO","Por la nota de credito "&amp;Registro_Compras!$C$270&amp;" de "&amp;Registro_Compras!$E$270&amp;" [PATRON POR CONFIRMAR CON CONTADOR]",IF(Registro_Compras!$F$270="RHE","Por el registro del recibo por honorarios "&amp;Registro_Compras!$C$270&amp;" de "&amp;Registro_Compras!$E$270&amp;" [PATRON POR CONFIRMAR CON CONTADOR]","Por el registro de la factura "&amp;Registro_Compras!$C$270&amp;" de "&amp;Registro_Compras!$E$270)))</f>
        <v/>
      </c>
      <c r="H2401" t="str">
        <f>IF($C2401="","",Registro_Compras!$C$270)</f>
        <v/>
      </c>
    </row>
    <row r="2402" spans="1:8" x14ac:dyDescent="0.25">
      <c r="A2402" s="25" t="str">
        <f>IF($C2402="","",Registro_Compras!$B$270)</f>
        <v/>
      </c>
      <c r="B2402" t="str">
        <f>IF($C2402="","","C"&amp;TEXT(INT((ROW()-5)/9)+1,"000")&amp;"-2")</f>
        <v/>
      </c>
      <c r="C2402" t="str">
        <f>IF(OR(Registro_Compras!$C$270="",Registro_Compras!$O$270=""),"",IF(Registro_Compras!$AB$270="ADMINISTRATIVO","94","95"))</f>
        <v/>
      </c>
      <c r="D2402" t="str">
        <f>IF(OR(Registro_Compras!$C$270="",Registro_Compras!$O$270=""),"",IF(Registro_Compras!$AB$270="ADMINISTRATIVO","Gastos Administrativos","Gastos de Venta y Operacion"))</f>
        <v/>
      </c>
      <c r="E2402" s="20" t="str">
        <f>IF($C2402="","",IF(Registro_Compras!$F$270="NOTA DE CREDITO","",IF(Registro_Compras!$F$270="RHE",ROUND(Registro_Compras!$L$270*Registro_Compras!$N$270,2),ROUND(Registro_Compras!$J$270*Registro_Compras!$N$270,2))))</f>
        <v/>
      </c>
      <c r="F2402" s="20" t="str">
        <f>IF($C2402="","",IF(Registro_Compras!$F$270="NOTA DE CREDITO",ROUND(ABS(Registro_Compras!$J$270*Registro_Compras!$N$270),2),""))</f>
        <v/>
      </c>
      <c r="G2402" t="str">
        <f>IF($C2402="","","Por el destino del gasto")</f>
        <v/>
      </c>
      <c r="H2402" t="str">
        <f>IF($C2402="","",Registro_Compras!$C$270)</f>
        <v/>
      </c>
    </row>
    <row r="2403" spans="1:8" x14ac:dyDescent="0.25">
      <c r="A2403" s="25" t="str">
        <f>IF($C2403="","",Registro_Compras!$B$270)</f>
        <v/>
      </c>
      <c r="B2403" t="str">
        <f>IF($C2403="","","C"&amp;TEXT(INT((ROW()-5)/9)+1,"000")&amp;"-2")</f>
        <v/>
      </c>
      <c r="C2403" t="str">
        <f>IF(OR(Registro_Compras!$C$270="",Registro_Compras!$O$270=""),"","79/791")</f>
        <v/>
      </c>
      <c r="D2403" t="str">
        <f>IF(OR(Registro_Compras!$C$270="",Registro_Compras!$O$270=""),"","Cargas Imputables a Cuentas de Costos y Gastos")</f>
        <v/>
      </c>
      <c r="E2403" s="20" t="str">
        <f>IF($C2403="","",IF(Registro_Compras!$F$270="NOTA DE CREDITO",ROUND(ABS(Registro_Compras!$J$270*Registro_Compras!$N$270),2),""))</f>
        <v/>
      </c>
      <c r="F2403" s="20" t="str">
        <f>IF($C2403="","",IF(Registro_Compras!$F$270="NOTA DE CREDITO","",IF(Registro_Compras!$F$270="RHE",ROUND(Registro_Compras!$L$270*Registro_Compras!$N$270,2),ROUND(Registro_Compras!$J$270*Registro_Compras!$N$270,2))))</f>
        <v/>
      </c>
      <c r="G2403" t="str">
        <f>IF($C2403="","","Por el destino del gasto")</f>
        <v/>
      </c>
      <c r="H2403" t="str">
        <f>IF($C2403="","",Registro_Compras!$C$270)</f>
        <v/>
      </c>
    </row>
    <row r="2404" spans="1:8" x14ac:dyDescent="0.25">
      <c r="A2404" s="25" t="str">
        <f>IF($C2404="","",Registro_Compras!$X$270)</f>
        <v/>
      </c>
      <c r="B2404" t="str">
        <f>IF($C2404="","","C"&amp;TEXT(INT((ROW()-5)/9)+1,"000")&amp;"-3")</f>
        <v/>
      </c>
      <c r="C2404" t="str">
        <f>IF(OR(Registro_Compras!$C$270="",Registro_Compras!$O$270="",Registro_Compras!$R$270&lt;&gt;"SI",Registro_Compras!$X$270=""),"","4212")</f>
        <v/>
      </c>
      <c r="D2404" t="str">
        <f>IF(OR(Registro_Compras!$C$270="",Registro_Compras!$O$270=""),"","Cuentas por Pagar Comerciales - Terceros")</f>
        <v/>
      </c>
      <c r="E2404" s="20" t="str">
        <f>IF($C2404="","",Registro_Compras!$S$270)</f>
        <v/>
      </c>
      <c r="F2404" s="20" t="str">
        <f>""</f>
        <v/>
      </c>
      <c r="G2404" t="str">
        <f>IF($C2404="","","Por el deposito de la detraccion en el Banco de la Nacion")</f>
        <v/>
      </c>
      <c r="H2404" t="str">
        <f>IF($C2404="","",Registro_Compras!$C$270)</f>
        <v/>
      </c>
    </row>
    <row r="2405" spans="1:8" x14ac:dyDescent="0.25">
      <c r="A2405" s="25" t="str">
        <f>IF($C2405="","",Registro_Compras!$X$270)</f>
        <v/>
      </c>
      <c r="B2405" t="str">
        <f>IF($C2405="","","C"&amp;TEXT(INT((ROW()-5)/9)+1,"000")&amp;"-3")</f>
        <v/>
      </c>
      <c r="C2405" t="str">
        <f>IF(OR(Registro_Compras!$C$270="",Registro_Compras!$O$270="",Registro_Compras!$R$270&lt;&gt;"SI",Registro_Compras!$X$270=""),"","1041")</f>
        <v/>
      </c>
      <c r="D2405" t="str">
        <f>IF(OR(Registro_Compras!$C$270="",Registro_Compras!$O$270=""),"","Efectivo y Equivalentes - Cta. Cte. Operativa")</f>
        <v/>
      </c>
      <c r="E2405" s="20" t="str">
        <f>""</f>
        <v/>
      </c>
      <c r="F2405" s="20" t="str">
        <f>IF($C2405="","",Registro_Compras!$S$270)</f>
        <v/>
      </c>
      <c r="G2405" t="str">
        <f>IF($C2405="","","Por el deposito de la detraccion en el Banco de la Nacion")</f>
        <v/>
      </c>
      <c r="H2405" t="str">
        <f>IF($C2405="","",Registro_Compras!$C$270)</f>
        <v/>
      </c>
    </row>
    <row r="2406" spans="1:8" x14ac:dyDescent="0.25">
      <c r="A2406" s="25" t="str">
        <f>IF($C2406="","",Registro_Compras!$Y$270)</f>
        <v/>
      </c>
      <c r="B2406" t="str">
        <f>IF($C2406="","","C"&amp;TEXT(INT((ROW()-5)/9)+1,"000")&amp;"-4")</f>
        <v/>
      </c>
      <c r="C2406" t="str">
        <f>IF(OR(Registro_Compras!$C$270="",Registro_Compras!$O$270="",Registro_Compras!$Y$270="",Registro_Compras!$F$270="NOTA DE CREDITO"),"","4212")</f>
        <v/>
      </c>
      <c r="D2406" t="str">
        <f>IF(OR(Registro_Compras!$C$270="",Registro_Compras!$O$270=""),"","Cuentas por Pagar Comerciales - Terceros")</f>
        <v/>
      </c>
      <c r="E2406" s="20" t="str">
        <f>IF($C2406="","",IF(Registro_Compras!$F$270="RHE",(ROUND(Registro_Compras!$L$270*Registro_Compras!$N$270,2)-ROUND(Registro_Compras!$V$270*Registro_Compras!$N$270,2)),ROUND(Registro_Compras!$O$270-Registro_Compras!$S$270,2)))</f>
        <v/>
      </c>
      <c r="F2406" s="20" t="str">
        <f>""</f>
        <v/>
      </c>
      <c r="G2406" t="str">
        <f>IF($C2406="","","Por la cancelacion del saldo al proveedor")</f>
        <v/>
      </c>
      <c r="H2406" t="str">
        <f>IF($C2406="","",Registro_Compras!$C$270)</f>
        <v/>
      </c>
    </row>
    <row r="2407" spans="1:8" x14ac:dyDescent="0.25">
      <c r="A2407" s="25" t="str">
        <f>IF($C2407="","",Registro_Compras!$Y$270)</f>
        <v/>
      </c>
      <c r="B2407" t="str">
        <f>IF($C2407="","","C"&amp;TEXT(INT((ROW()-5)/9)+1,"000")&amp;"-4")</f>
        <v/>
      </c>
      <c r="C2407" t="str">
        <f>IF(OR(Registro_Compras!$C$270="",Registro_Compras!$O$270="",Registro_Compras!$Y$270="",Registro_Compras!$F$270="NOTA DE CREDITO"),"","1041")</f>
        <v/>
      </c>
      <c r="D2407" t="str">
        <f>IF(OR(Registro_Compras!$C$270="",Registro_Compras!$O$270=""),"","Efectivo y Equivalentes - Cta. Cte. Operativa")</f>
        <v/>
      </c>
      <c r="E2407" s="20" t="str">
        <f>""</f>
        <v/>
      </c>
      <c r="F2407" s="20" t="str">
        <f>IF($C2407="","",IF(Registro_Compras!$F$270="RHE",(ROUND(Registro_Compras!$L$270*Registro_Compras!$N$270,2)-ROUND(Registro_Compras!$V$270*Registro_Compras!$N$270,2)),ROUND(Registro_Compras!$O$270-Registro_Compras!$S$270,2)))</f>
        <v/>
      </c>
      <c r="G2407" t="str">
        <f>IF($C2407="","","Por la cancelacion del saldo al proveedor")</f>
        <v/>
      </c>
      <c r="H2407" t="str">
        <f>IF($C2407="","",Registro_Compras!$C$270)</f>
        <v/>
      </c>
    </row>
    <row r="2408" spans="1:8" x14ac:dyDescent="0.25">
      <c r="A2408" s="25" t="str">
        <f>IF($C2408="","",Registro_Compras!$B$271)</f>
        <v/>
      </c>
      <c r="B2408" t="str">
        <f>IF($C2408="","","C"&amp;TEXT(INT((ROW()-5)/9)+1,"000")&amp;"-1")</f>
        <v/>
      </c>
      <c r="C2408" t="str">
        <f>IF(OR(Registro_Compras!$C$271="",Registro_Compras!$O$271=""),"",IF(Registro_Compras!$F$271="NOTA DE CREDITO","4212",IF(Registro_Compras!$M$271="","63",Registro_Compras!$M$271)))</f>
        <v/>
      </c>
      <c r="D2408" t="str">
        <f>IF(OR(Registro_Compras!$C$271="",Registro_Compras!$O$271=""),"",IF(Registro_Compras!$F$271="NOTA DE CREDITO","Cuentas por Pagar Comerciales - Terceros (Emitidas)",IF(Registro_Compras!$F$271="RHE","Honorarios Profesionales - Servicios de Terceros","Gastos de Servicios Prestados por Terceros")))</f>
        <v/>
      </c>
      <c r="E2408" s="20" t="str">
        <f>IF($C2408="","",IF(Registro_Compras!$F$271="NOTA DE CREDITO",ABS(Registro_Compras!$O$271),IF(Registro_Compras!$F$271="RHE",ROUND(Registro_Compras!$L$271*Registro_Compras!$N$271,2),ROUND(Registro_Compras!$J$271*Registro_Compras!$N$271,2))))</f>
        <v/>
      </c>
      <c r="F2408" s="20" t="str">
        <f>""</f>
        <v/>
      </c>
      <c r="G2408" t="str">
        <f>IF($C2408="","",IF(Registro_Compras!$F$271="NOTA DE CREDITO","Por la nota de credito "&amp;Registro_Compras!$C$271&amp;" de "&amp;Registro_Compras!$E$271&amp;" [PATRON POR CONFIRMAR CON CONTADOR]",IF(Registro_Compras!$F$271="RHE","Por el registro del recibo por honorarios "&amp;Registro_Compras!$C$271&amp;" de "&amp;Registro_Compras!$E$271&amp;" [PATRON POR CONFIRMAR CON CONTADOR]","Por el registro de la factura "&amp;Registro_Compras!$C$271&amp;" de "&amp;Registro_Compras!$E$271)))</f>
        <v/>
      </c>
      <c r="H2408" t="str">
        <f>IF($C2408="","",Registro_Compras!$C$271)</f>
        <v/>
      </c>
    </row>
    <row r="2409" spans="1:8" x14ac:dyDescent="0.25">
      <c r="A2409" s="25" t="str">
        <f>IF($C2409="","",Registro_Compras!$B$271)</f>
        <v/>
      </c>
      <c r="B2409" t="str">
        <f>IF($C2409="","","C"&amp;TEXT(INT((ROW()-5)/9)+1,"000")&amp;"-1")</f>
        <v/>
      </c>
      <c r="C2409" t="str">
        <f>IF(OR(Registro_Compras!$C$271="",Registro_Compras!$O$271=""),"",IF(Registro_Compras!$F$271="RHE",IF(Registro_Compras!$V$271=0,"","4017"),IF(Registro_Compras!$F$271="NOTA DE CREDITO",IF(Registro_Compras!$M$271="","63",Registro_Compras!$M$271),IF(Registro_Compras!$K$271=0,"","40111"))))</f>
        <v/>
      </c>
      <c r="D2409" t="str">
        <f>IF(OR(Registro_Compras!$C$271="",Registro_Compras!$O$271=""),"",IF(Registro_Compras!$F$271="RHE","Retencion Renta 4ta Categoria por Pagar",IF(Registro_Compras!$F$271="NOTA DE CREDITO","Gastos de Servicios Prestados por Terceros","IGV - Cuenta Propia (Credito Fiscal)")))</f>
        <v/>
      </c>
      <c r="E2409" s="20" t="str">
        <f>IF($C2409="","",IF(Registro_Compras!$F$271="FACTURA",ROUND(Registro_Compras!$K$271*Registro_Compras!$N$271,2),""))</f>
        <v/>
      </c>
      <c r="F2409" s="20" t="str">
        <f>IF($C2409="","",IF(Registro_Compras!$F$271="RHE",ROUND(Registro_Compras!$V$271*Registro_Compras!$N$271,2),IF(Registro_Compras!$F$271="NOTA DE CREDITO",ROUND(ABS(Registro_Compras!$J$271*Registro_Compras!$N$271),2),"")))</f>
        <v/>
      </c>
      <c r="G2409" t="str">
        <f>IF($C2409="","",IF(Registro_Compras!$F$271="NOTA DE CREDITO","Por la nota de credito "&amp;Registro_Compras!$C$271&amp;" de "&amp;Registro_Compras!$E$271&amp;" [PATRON POR CONFIRMAR CON CONTADOR]",IF(Registro_Compras!$F$271="RHE","Por el registro del recibo por honorarios "&amp;Registro_Compras!$C$271&amp;" de "&amp;Registro_Compras!$E$271&amp;" [PATRON POR CONFIRMAR CON CONTADOR]","Por el registro de la factura "&amp;Registro_Compras!$C$271&amp;" de "&amp;Registro_Compras!$E$271)))</f>
        <v/>
      </c>
      <c r="H2409" t="str">
        <f>IF($C2409="","",Registro_Compras!$C$271)</f>
        <v/>
      </c>
    </row>
    <row r="2410" spans="1:8" x14ac:dyDescent="0.25">
      <c r="A2410" s="25" t="str">
        <f>IF($C2410="","",Registro_Compras!$B$271)</f>
        <v/>
      </c>
      <c r="B2410" t="str">
        <f>IF($C2410="","","C"&amp;TEXT(INT((ROW()-5)/9)+1,"000")&amp;"-1")</f>
        <v/>
      </c>
      <c r="C2410" t="str">
        <f>IF(OR(Registro_Compras!$C$271="",Registro_Compras!$O$271=""),"",IF(Registro_Compras!$F$271="NOTA DE CREDITO",IF(Registro_Compras!$K$271=0,"","40111"),"4212"))</f>
        <v/>
      </c>
      <c r="D2410" t="str">
        <f>IF(OR(Registro_Compras!$C$271="",Registro_Compras!$O$271=""),"",IF(Registro_Compras!$F$271="NOTA DE CREDITO","IGV - Cuenta Propia (Credito Fiscal)","Cuentas por Pagar Comerciales - Terceros (Emitidas)"))</f>
        <v/>
      </c>
      <c r="E2410" s="20" t="str">
        <f>""</f>
        <v/>
      </c>
      <c r="F2410" s="20" t="str">
        <f>IF($C2410="","",IF(Registro_Compras!$F$271="NOTA DE CREDITO",ROUND(ABS(Registro_Compras!$K$271*Registro_Compras!$N$271),2),IF(Registro_Compras!$F$271="RHE",(ROUND(Registro_Compras!$L$271*Registro_Compras!$N$271,2)-ROUND(Registro_Compras!$V$271*Registro_Compras!$N$271,2)),Registro_Compras!$O$271)))</f>
        <v/>
      </c>
      <c r="G2410" t="str">
        <f>IF($C2410="","",IF(Registro_Compras!$F$271="NOTA DE CREDITO","Por la nota de credito "&amp;Registro_Compras!$C$271&amp;" de "&amp;Registro_Compras!$E$271&amp;" [PATRON POR CONFIRMAR CON CONTADOR]",IF(Registro_Compras!$F$271="RHE","Por el registro del recibo por honorarios "&amp;Registro_Compras!$C$271&amp;" de "&amp;Registro_Compras!$E$271&amp;" [PATRON POR CONFIRMAR CON CONTADOR]","Por el registro de la factura "&amp;Registro_Compras!$C$271&amp;" de "&amp;Registro_Compras!$E$271)))</f>
        <v/>
      </c>
      <c r="H2410" t="str">
        <f>IF($C2410="","",Registro_Compras!$C$271)</f>
        <v/>
      </c>
    </row>
    <row r="2411" spans="1:8" x14ac:dyDescent="0.25">
      <c r="A2411" s="25" t="str">
        <f>IF($C2411="","",Registro_Compras!$B$271)</f>
        <v/>
      </c>
      <c r="B2411" t="str">
        <f>IF($C2411="","","C"&amp;TEXT(INT((ROW()-5)/9)+1,"000")&amp;"-2")</f>
        <v/>
      </c>
      <c r="C2411" t="str">
        <f>IF(OR(Registro_Compras!$C$271="",Registro_Compras!$O$271=""),"",IF(Registro_Compras!$AB$271="ADMINISTRATIVO","94","95"))</f>
        <v/>
      </c>
      <c r="D2411" t="str">
        <f>IF(OR(Registro_Compras!$C$271="",Registro_Compras!$O$271=""),"",IF(Registro_Compras!$AB$271="ADMINISTRATIVO","Gastos Administrativos","Gastos de Venta y Operacion"))</f>
        <v/>
      </c>
      <c r="E2411" s="20" t="str">
        <f>IF($C2411="","",IF(Registro_Compras!$F$271="NOTA DE CREDITO","",IF(Registro_Compras!$F$271="RHE",ROUND(Registro_Compras!$L$271*Registro_Compras!$N$271,2),ROUND(Registro_Compras!$J$271*Registro_Compras!$N$271,2))))</f>
        <v/>
      </c>
      <c r="F2411" s="20" t="str">
        <f>IF($C2411="","",IF(Registro_Compras!$F$271="NOTA DE CREDITO",ROUND(ABS(Registro_Compras!$J$271*Registro_Compras!$N$271),2),""))</f>
        <v/>
      </c>
      <c r="G2411" t="str">
        <f>IF($C2411="","","Por el destino del gasto")</f>
        <v/>
      </c>
      <c r="H2411" t="str">
        <f>IF($C2411="","",Registro_Compras!$C$271)</f>
        <v/>
      </c>
    </row>
    <row r="2412" spans="1:8" x14ac:dyDescent="0.25">
      <c r="A2412" s="25" t="str">
        <f>IF($C2412="","",Registro_Compras!$B$271)</f>
        <v/>
      </c>
      <c r="B2412" t="str">
        <f>IF($C2412="","","C"&amp;TEXT(INT((ROW()-5)/9)+1,"000")&amp;"-2")</f>
        <v/>
      </c>
      <c r="C2412" t="str">
        <f>IF(OR(Registro_Compras!$C$271="",Registro_Compras!$O$271=""),"","79/791")</f>
        <v/>
      </c>
      <c r="D2412" t="str">
        <f>IF(OR(Registro_Compras!$C$271="",Registro_Compras!$O$271=""),"","Cargas Imputables a Cuentas de Costos y Gastos")</f>
        <v/>
      </c>
      <c r="E2412" s="20" t="str">
        <f>IF($C2412="","",IF(Registro_Compras!$F$271="NOTA DE CREDITO",ROUND(ABS(Registro_Compras!$J$271*Registro_Compras!$N$271),2),""))</f>
        <v/>
      </c>
      <c r="F2412" s="20" t="str">
        <f>IF($C2412="","",IF(Registro_Compras!$F$271="NOTA DE CREDITO","",IF(Registro_Compras!$F$271="RHE",ROUND(Registro_Compras!$L$271*Registro_Compras!$N$271,2),ROUND(Registro_Compras!$J$271*Registro_Compras!$N$271,2))))</f>
        <v/>
      </c>
      <c r="G2412" t="str">
        <f>IF($C2412="","","Por el destino del gasto")</f>
        <v/>
      </c>
      <c r="H2412" t="str">
        <f>IF($C2412="","",Registro_Compras!$C$271)</f>
        <v/>
      </c>
    </row>
    <row r="2413" spans="1:8" x14ac:dyDescent="0.25">
      <c r="A2413" s="25" t="str">
        <f>IF($C2413="","",Registro_Compras!$X$271)</f>
        <v/>
      </c>
      <c r="B2413" t="str">
        <f>IF($C2413="","","C"&amp;TEXT(INT((ROW()-5)/9)+1,"000")&amp;"-3")</f>
        <v/>
      </c>
      <c r="C2413" t="str">
        <f>IF(OR(Registro_Compras!$C$271="",Registro_Compras!$O$271="",Registro_Compras!$R$271&lt;&gt;"SI",Registro_Compras!$X$271=""),"","4212")</f>
        <v/>
      </c>
      <c r="D2413" t="str">
        <f>IF(OR(Registro_Compras!$C$271="",Registro_Compras!$O$271=""),"","Cuentas por Pagar Comerciales - Terceros")</f>
        <v/>
      </c>
      <c r="E2413" s="20" t="str">
        <f>IF($C2413="","",Registro_Compras!$S$271)</f>
        <v/>
      </c>
      <c r="F2413" s="20" t="str">
        <f>""</f>
        <v/>
      </c>
      <c r="G2413" t="str">
        <f>IF($C2413="","","Por el deposito de la detraccion en el Banco de la Nacion")</f>
        <v/>
      </c>
      <c r="H2413" t="str">
        <f>IF($C2413="","",Registro_Compras!$C$271)</f>
        <v/>
      </c>
    </row>
    <row r="2414" spans="1:8" x14ac:dyDescent="0.25">
      <c r="A2414" s="25" t="str">
        <f>IF($C2414="","",Registro_Compras!$X$271)</f>
        <v/>
      </c>
      <c r="B2414" t="str">
        <f>IF($C2414="","","C"&amp;TEXT(INT((ROW()-5)/9)+1,"000")&amp;"-3")</f>
        <v/>
      </c>
      <c r="C2414" t="str">
        <f>IF(OR(Registro_Compras!$C$271="",Registro_Compras!$O$271="",Registro_Compras!$R$271&lt;&gt;"SI",Registro_Compras!$X$271=""),"","1041")</f>
        <v/>
      </c>
      <c r="D2414" t="str">
        <f>IF(OR(Registro_Compras!$C$271="",Registro_Compras!$O$271=""),"","Efectivo y Equivalentes - Cta. Cte. Operativa")</f>
        <v/>
      </c>
      <c r="E2414" s="20" t="str">
        <f>""</f>
        <v/>
      </c>
      <c r="F2414" s="20" t="str">
        <f>IF($C2414="","",Registro_Compras!$S$271)</f>
        <v/>
      </c>
      <c r="G2414" t="str">
        <f>IF($C2414="","","Por el deposito de la detraccion en el Banco de la Nacion")</f>
        <v/>
      </c>
      <c r="H2414" t="str">
        <f>IF($C2414="","",Registro_Compras!$C$271)</f>
        <v/>
      </c>
    </row>
    <row r="2415" spans="1:8" x14ac:dyDescent="0.25">
      <c r="A2415" s="25" t="str">
        <f>IF($C2415="","",Registro_Compras!$Y$271)</f>
        <v/>
      </c>
      <c r="B2415" t="str">
        <f>IF($C2415="","","C"&amp;TEXT(INT((ROW()-5)/9)+1,"000")&amp;"-4")</f>
        <v/>
      </c>
      <c r="C2415" t="str">
        <f>IF(OR(Registro_Compras!$C$271="",Registro_Compras!$O$271="",Registro_Compras!$Y$271="",Registro_Compras!$F$271="NOTA DE CREDITO"),"","4212")</f>
        <v/>
      </c>
      <c r="D2415" t="str">
        <f>IF(OR(Registro_Compras!$C$271="",Registro_Compras!$O$271=""),"","Cuentas por Pagar Comerciales - Terceros")</f>
        <v/>
      </c>
      <c r="E2415" s="20" t="str">
        <f>IF($C2415="","",IF(Registro_Compras!$F$271="RHE",(ROUND(Registro_Compras!$L$271*Registro_Compras!$N$271,2)-ROUND(Registro_Compras!$V$271*Registro_Compras!$N$271,2)),ROUND(Registro_Compras!$O$271-Registro_Compras!$S$271,2)))</f>
        <v/>
      </c>
      <c r="F2415" s="20" t="str">
        <f>""</f>
        <v/>
      </c>
      <c r="G2415" t="str">
        <f>IF($C2415="","","Por la cancelacion del saldo al proveedor")</f>
        <v/>
      </c>
      <c r="H2415" t="str">
        <f>IF($C2415="","",Registro_Compras!$C$271)</f>
        <v/>
      </c>
    </row>
    <row r="2416" spans="1:8" x14ac:dyDescent="0.25">
      <c r="A2416" s="25" t="str">
        <f>IF($C2416="","",Registro_Compras!$Y$271)</f>
        <v/>
      </c>
      <c r="B2416" t="str">
        <f>IF($C2416="","","C"&amp;TEXT(INT((ROW()-5)/9)+1,"000")&amp;"-4")</f>
        <v/>
      </c>
      <c r="C2416" t="str">
        <f>IF(OR(Registro_Compras!$C$271="",Registro_Compras!$O$271="",Registro_Compras!$Y$271="",Registro_Compras!$F$271="NOTA DE CREDITO"),"","1041")</f>
        <v/>
      </c>
      <c r="D2416" t="str">
        <f>IF(OR(Registro_Compras!$C$271="",Registro_Compras!$O$271=""),"","Efectivo y Equivalentes - Cta. Cte. Operativa")</f>
        <v/>
      </c>
      <c r="E2416" s="20" t="str">
        <f>""</f>
        <v/>
      </c>
      <c r="F2416" s="20" t="str">
        <f>IF($C2416="","",IF(Registro_Compras!$F$271="RHE",(ROUND(Registro_Compras!$L$271*Registro_Compras!$N$271,2)-ROUND(Registro_Compras!$V$271*Registro_Compras!$N$271,2)),ROUND(Registro_Compras!$O$271-Registro_Compras!$S$271,2)))</f>
        <v/>
      </c>
      <c r="G2416" t="str">
        <f>IF($C2416="","","Por la cancelacion del saldo al proveedor")</f>
        <v/>
      </c>
      <c r="H2416" t="str">
        <f>IF($C2416="","",Registro_Compras!$C$271)</f>
        <v/>
      </c>
    </row>
    <row r="2417" spans="1:8" x14ac:dyDescent="0.25">
      <c r="A2417" s="25" t="str">
        <f>IF($C2417="","",Registro_Compras!$B$272)</f>
        <v/>
      </c>
      <c r="B2417" t="str">
        <f>IF($C2417="","","C"&amp;TEXT(INT((ROW()-5)/9)+1,"000")&amp;"-1")</f>
        <v/>
      </c>
      <c r="C2417" t="str">
        <f>IF(OR(Registro_Compras!$C$272="",Registro_Compras!$O$272=""),"",IF(Registro_Compras!$F$272="NOTA DE CREDITO","4212",IF(Registro_Compras!$M$272="","63",Registro_Compras!$M$272)))</f>
        <v/>
      </c>
      <c r="D2417" t="str">
        <f>IF(OR(Registro_Compras!$C$272="",Registro_Compras!$O$272=""),"",IF(Registro_Compras!$F$272="NOTA DE CREDITO","Cuentas por Pagar Comerciales - Terceros (Emitidas)",IF(Registro_Compras!$F$272="RHE","Honorarios Profesionales - Servicios de Terceros","Gastos de Servicios Prestados por Terceros")))</f>
        <v/>
      </c>
      <c r="E2417" s="20" t="str">
        <f>IF($C2417="","",IF(Registro_Compras!$F$272="NOTA DE CREDITO",ABS(Registro_Compras!$O$272),IF(Registro_Compras!$F$272="RHE",ROUND(Registro_Compras!$L$272*Registro_Compras!$N$272,2),ROUND(Registro_Compras!$J$272*Registro_Compras!$N$272,2))))</f>
        <v/>
      </c>
      <c r="F2417" s="20" t="str">
        <f>""</f>
        <v/>
      </c>
      <c r="G2417" t="str">
        <f>IF($C2417="","",IF(Registro_Compras!$F$272="NOTA DE CREDITO","Por la nota de credito "&amp;Registro_Compras!$C$272&amp;" de "&amp;Registro_Compras!$E$272&amp;" [PATRON POR CONFIRMAR CON CONTADOR]",IF(Registro_Compras!$F$272="RHE","Por el registro del recibo por honorarios "&amp;Registro_Compras!$C$272&amp;" de "&amp;Registro_Compras!$E$272&amp;" [PATRON POR CONFIRMAR CON CONTADOR]","Por el registro de la factura "&amp;Registro_Compras!$C$272&amp;" de "&amp;Registro_Compras!$E$272)))</f>
        <v/>
      </c>
      <c r="H2417" t="str">
        <f>IF($C2417="","",Registro_Compras!$C$272)</f>
        <v/>
      </c>
    </row>
    <row r="2418" spans="1:8" x14ac:dyDescent="0.25">
      <c r="A2418" s="25" t="str">
        <f>IF($C2418="","",Registro_Compras!$B$272)</f>
        <v/>
      </c>
      <c r="B2418" t="str">
        <f>IF($C2418="","","C"&amp;TEXT(INT((ROW()-5)/9)+1,"000")&amp;"-1")</f>
        <v/>
      </c>
      <c r="C2418" t="str">
        <f>IF(OR(Registro_Compras!$C$272="",Registro_Compras!$O$272=""),"",IF(Registro_Compras!$F$272="RHE",IF(Registro_Compras!$V$272=0,"","4017"),IF(Registro_Compras!$F$272="NOTA DE CREDITO",IF(Registro_Compras!$M$272="","63",Registro_Compras!$M$272),IF(Registro_Compras!$K$272=0,"","40111"))))</f>
        <v/>
      </c>
      <c r="D2418" t="str">
        <f>IF(OR(Registro_Compras!$C$272="",Registro_Compras!$O$272=""),"",IF(Registro_Compras!$F$272="RHE","Retencion Renta 4ta Categoria por Pagar",IF(Registro_Compras!$F$272="NOTA DE CREDITO","Gastos de Servicios Prestados por Terceros","IGV - Cuenta Propia (Credito Fiscal)")))</f>
        <v/>
      </c>
      <c r="E2418" s="20" t="str">
        <f>IF($C2418="","",IF(Registro_Compras!$F$272="FACTURA",ROUND(Registro_Compras!$K$272*Registro_Compras!$N$272,2),""))</f>
        <v/>
      </c>
      <c r="F2418" s="20" t="str">
        <f>IF($C2418="","",IF(Registro_Compras!$F$272="RHE",ROUND(Registro_Compras!$V$272*Registro_Compras!$N$272,2),IF(Registro_Compras!$F$272="NOTA DE CREDITO",ROUND(ABS(Registro_Compras!$J$272*Registro_Compras!$N$272),2),"")))</f>
        <v/>
      </c>
      <c r="G2418" t="str">
        <f>IF($C2418="","",IF(Registro_Compras!$F$272="NOTA DE CREDITO","Por la nota de credito "&amp;Registro_Compras!$C$272&amp;" de "&amp;Registro_Compras!$E$272&amp;" [PATRON POR CONFIRMAR CON CONTADOR]",IF(Registro_Compras!$F$272="RHE","Por el registro del recibo por honorarios "&amp;Registro_Compras!$C$272&amp;" de "&amp;Registro_Compras!$E$272&amp;" [PATRON POR CONFIRMAR CON CONTADOR]","Por el registro de la factura "&amp;Registro_Compras!$C$272&amp;" de "&amp;Registro_Compras!$E$272)))</f>
        <v/>
      </c>
      <c r="H2418" t="str">
        <f>IF($C2418="","",Registro_Compras!$C$272)</f>
        <v/>
      </c>
    </row>
    <row r="2419" spans="1:8" x14ac:dyDescent="0.25">
      <c r="A2419" s="25" t="str">
        <f>IF($C2419="","",Registro_Compras!$B$272)</f>
        <v/>
      </c>
      <c r="B2419" t="str">
        <f>IF($C2419="","","C"&amp;TEXT(INT((ROW()-5)/9)+1,"000")&amp;"-1")</f>
        <v/>
      </c>
      <c r="C2419" t="str">
        <f>IF(OR(Registro_Compras!$C$272="",Registro_Compras!$O$272=""),"",IF(Registro_Compras!$F$272="NOTA DE CREDITO",IF(Registro_Compras!$K$272=0,"","40111"),"4212"))</f>
        <v/>
      </c>
      <c r="D2419" t="str">
        <f>IF(OR(Registro_Compras!$C$272="",Registro_Compras!$O$272=""),"",IF(Registro_Compras!$F$272="NOTA DE CREDITO","IGV - Cuenta Propia (Credito Fiscal)","Cuentas por Pagar Comerciales - Terceros (Emitidas)"))</f>
        <v/>
      </c>
      <c r="E2419" s="20" t="str">
        <f>""</f>
        <v/>
      </c>
      <c r="F2419" s="20" t="str">
        <f>IF($C2419="","",IF(Registro_Compras!$F$272="NOTA DE CREDITO",ROUND(ABS(Registro_Compras!$K$272*Registro_Compras!$N$272),2),IF(Registro_Compras!$F$272="RHE",(ROUND(Registro_Compras!$L$272*Registro_Compras!$N$272,2)-ROUND(Registro_Compras!$V$272*Registro_Compras!$N$272,2)),Registro_Compras!$O$272)))</f>
        <v/>
      </c>
      <c r="G2419" t="str">
        <f>IF($C2419="","",IF(Registro_Compras!$F$272="NOTA DE CREDITO","Por la nota de credito "&amp;Registro_Compras!$C$272&amp;" de "&amp;Registro_Compras!$E$272&amp;" [PATRON POR CONFIRMAR CON CONTADOR]",IF(Registro_Compras!$F$272="RHE","Por el registro del recibo por honorarios "&amp;Registro_Compras!$C$272&amp;" de "&amp;Registro_Compras!$E$272&amp;" [PATRON POR CONFIRMAR CON CONTADOR]","Por el registro de la factura "&amp;Registro_Compras!$C$272&amp;" de "&amp;Registro_Compras!$E$272)))</f>
        <v/>
      </c>
      <c r="H2419" t="str">
        <f>IF($C2419="","",Registro_Compras!$C$272)</f>
        <v/>
      </c>
    </row>
    <row r="2420" spans="1:8" x14ac:dyDescent="0.25">
      <c r="A2420" s="25" t="str">
        <f>IF($C2420="","",Registro_Compras!$B$272)</f>
        <v/>
      </c>
      <c r="B2420" t="str">
        <f>IF($C2420="","","C"&amp;TEXT(INT((ROW()-5)/9)+1,"000")&amp;"-2")</f>
        <v/>
      </c>
      <c r="C2420" t="str">
        <f>IF(OR(Registro_Compras!$C$272="",Registro_Compras!$O$272=""),"",IF(Registro_Compras!$AB$272="ADMINISTRATIVO","94","95"))</f>
        <v/>
      </c>
      <c r="D2420" t="str">
        <f>IF(OR(Registro_Compras!$C$272="",Registro_Compras!$O$272=""),"",IF(Registro_Compras!$AB$272="ADMINISTRATIVO","Gastos Administrativos","Gastos de Venta y Operacion"))</f>
        <v/>
      </c>
      <c r="E2420" s="20" t="str">
        <f>IF($C2420="","",IF(Registro_Compras!$F$272="NOTA DE CREDITO","",IF(Registro_Compras!$F$272="RHE",ROUND(Registro_Compras!$L$272*Registro_Compras!$N$272,2),ROUND(Registro_Compras!$J$272*Registro_Compras!$N$272,2))))</f>
        <v/>
      </c>
      <c r="F2420" s="20" t="str">
        <f>IF($C2420="","",IF(Registro_Compras!$F$272="NOTA DE CREDITO",ROUND(ABS(Registro_Compras!$J$272*Registro_Compras!$N$272),2),""))</f>
        <v/>
      </c>
      <c r="G2420" t="str">
        <f>IF($C2420="","","Por el destino del gasto")</f>
        <v/>
      </c>
      <c r="H2420" t="str">
        <f>IF($C2420="","",Registro_Compras!$C$272)</f>
        <v/>
      </c>
    </row>
    <row r="2421" spans="1:8" x14ac:dyDescent="0.25">
      <c r="A2421" s="25" t="str">
        <f>IF($C2421="","",Registro_Compras!$B$272)</f>
        <v/>
      </c>
      <c r="B2421" t="str">
        <f>IF($C2421="","","C"&amp;TEXT(INT((ROW()-5)/9)+1,"000")&amp;"-2")</f>
        <v/>
      </c>
      <c r="C2421" t="str">
        <f>IF(OR(Registro_Compras!$C$272="",Registro_Compras!$O$272=""),"","79/791")</f>
        <v/>
      </c>
      <c r="D2421" t="str">
        <f>IF(OR(Registro_Compras!$C$272="",Registro_Compras!$O$272=""),"","Cargas Imputables a Cuentas de Costos y Gastos")</f>
        <v/>
      </c>
      <c r="E2421" s="20" t="str">
        <f>IF($C2421="","",IF(Registro_Compras!$F$272="NOTA DE CREDITO",ROUND(ABS(Registro_Compras!$J$272*Registro_Compras!$N$272),2),""))</f>
        <v/>
      </c>
      <c r="F2421" s="20" t="str">
        <f>IF($C2421="","",IF(Registro_Compras!$F$272="NOTA DE CREDITO","",IF(Registro_Compras!$F$272="RHE",ROUND(Registro_Compras!$L$272*Registro_Compras!$N$272,2),ROUND(Registro_Compras!$J$272*Registro_Compras!$N$272,2))))</f>
        <v/>
      </c>
      <c r="G2421" t="str">
        <f>IF($C2421="","","Por el destino del gasto")</f>
        <v/>
      </c>
      <c r="H2421" t="str">
        <f>IF($C2421="","",Registro_Compras!$C$272)</f>
        <v/>
      </c>
    </row>
    <row r="2422" spans="1:8" x14ac:dyDescent="0.25">
      <c r="A2422" s="25" t="str">
        <f>IF($C2422="","",Registro_Compras!$X$272)</f>
        <v/>
      </c>
      <c r="B2422" t="str">
        <f>IF($C2422="","","C"&amp;TEXT(INT((ROW()-5)/9)+1,"000")&amp;"-3")</f>
        <v/>
      </c>
      <c r="C2422" t="str">
        <f>IF(OR(Registro_Compras!$C$272="",Registro_Compras!$O$272="",Registro_Compras!$R$272&lt;&gt;"SI",Registro_Compras!$X$272=""),"","4212")</f>
        <v/>
      </c>
      <c r="D2422" t="str">
        <f>IF(OR(Registro_Compras!$C$272="",Registro_Compras!$O$272=""),"","Cuentas por Pagar Comerciales - Terceros")</f>
        <v/>
      </c>
      <c r="E2422" s="20" t="str">
        <f>IF($C2422="","",Registro_Compras!$S$272)</f>
        <v/>
      </c>
      <c r="F2422" s="20" t="str">
        <f>""</f>
        <v/>
      </c>
      <c r="G2422" t="str">
        <f>IF($C2422="","","Por el deposito de la detraccion en el Banco de la Nacion")</f>
        <v/>
      </c>
      <c r="H2422" t="str">
        <f>IF($C2422="","",Registro_Compras!$C$272)</f>
        <v/>
      </c>
    </row>
    <row r="2423" spans="1:8" x14ac:dyDescent="0.25">
      <c r="A2423" s="25" t="str">
        <f>IF($C2423="","",Registro_Compras!$X$272)</f>
        <v/>
      </c>
      <c r="B2423" t="str">
        <f>IF($C2423="","","C"&amp;TEXT(INT((ROW()-5)/9)+1,"000")&amp;"-3")</f>
        <v/>
      </c>
      <c r="C2423" t="str">
        <f>IF(OR(Registro_Compras!$C$272="",Registro_Compras!$O$272="",Registro_Compras!$R$272&lt;&gt;"SI",Registro_Compras!$X$272=""),"","1041")</f>
        <v/>
      </c>
      <c r="D2423" t="str">
        <f>IF(OR(Registro_Compras!$C$272="",Registro_Compras!$O$272=""),"","Efectivo y Equivalentes - Cta. Cte. Operativa")</f>
        <v/>
      </c>
      <c r="E2423" s="20" t="str">
        <f>""</f>
        <v/>
      </c>
      <c r="F2423" s="20" t="str">
        <f>IF($C2423="","",Registro_Compras!$S$272)</f>
        <v/>
      </c>
      <c r="G2423" t="str">
        <f>IF($C2423="","","Por el deposito de la detraccion en el Banco de la Nacion")</f>
        <v/>
      </c>
      <c r="H2423" t="str">
        <f>IF($C2423="","",Registro_Compras!$C$272)</f>
        <v/>
      </c>
    </row>
    <row r="2424" spans="1:8" x14ac:dyDescent="0.25">
      <c r="A2424" s="25" t="str">
        <f>IF($C2424="","",Registro_Compras!$Y$272)</f>
        <v/>
      </c>
      <c r="B2424" t="str">
        <f>IF($C2424="","","C"&amp;TEXT(INT((ROW()-5)/9)+1,"000")&amp;"-4")</f>
        <v/>
      </c>
      <c r="C2424" t="str">
        <f>IF(OR(Registro_Compras!$C$272="",Registro_Compras!$O$272="",Registro_Compras!$Y$272="",Registro_Compras!$F$272="NOTA DE CREDITO"),"","4212")</f>
        <v/>
      </c>
      <c r="D2424" t="str">
        <f>IF(OR(Registro_Compras!$C$272="",Registro_Compras!$O$272=""),"","Cuentas por Pagar Comerciales - Terceros")</f>
        <v/>
      </c>
      <c r="E2424" s="20" t="str">
        <f>IF($C2424="","",IF(Registro_Compras!$F$272="RHE",(ROUND(Registro_Compras!$L$272*Registro_Compras!$N$272,2)-ROUND(Registro_Compras!$V$272*Registro_Compras!$N$272,2)),ROUND(Registro_Compras!$O$272-Registro_Compras!$S$272,2)))</f>
        <v/>
      </c>
      <c r="F2424" s="20" t="str">
        <f>""</f>
        <v/>
      </c>
      <c r="G2424" t="str">
        <f>IF($C2424="","","Por la cancelacion del saldo al proveedor")</f>
        <v/>
      </c>
      <c r="H2424" t="str">
        <f>IF($C2424="","",Registro_Compras!$C$272)</f>
        <v/>
      </c>
    </row>
    <row r="2425" spans="1:8" x14ac:dyDescent="0.25">
      <c r="A2425" s="25" t="str">
        <f>IF($C2425="","",Registro_Compras!$Y$272)</f>
        <v/>
      </c>
      <c r="B2425" t="str">
        <f>IF($C2425="","","C"&amp;TEXT(INT((ROW()-5)/9)+1,"000")&amp;"-4")</f>
        <v/>
      </c>
      <c r="C2425" t="str">
        <f>IF(OR(Registro_Compras!$C$272="",Registro_Compras!$O$272="",Registro_Compras!$Y$272="",Registro_Compras!$F$272="NOTA DE CREDITO"),"","1041")</f>
        <v/>
      </c>
      <c r="D2425" t="str">
        <f>IF(OR(Registro_Compras!$C$272="",Registro_Compras!$O$272=""),"","Efectivo y Equivalentes - Cta. Cte. Operativa")</f>
        <v/>
      </c>
      <c r="E2425" s="20" t="str">
        <f>""</f>
        <v/>
      </c>
      <c r="F2425" s="20" t="str">
        <f>IF($C2425="","",IF(Registro_Compras!$F$272="RHE",(ROUND(Registro_Compras!$L$272*Registro_Compras!$N$272,2)-ROUND(Registro_Compras!$V$272*Registro_Compras!$N$272,2)),ROUND(Registro_Compras!$O$272-Registro_Compras!$S$272,2)))</f>
        <v/>
      </c>
      <c r="G2425" t="str">
        <f>IF($C2425="","","Por la cancelacion del saldo al proveedor")</f>
        <v/>
      </c>
      <c r="H2425" t="str">
        <f>IF($C2425="","",Registro_Compras!$C$272)</f>
        <v/>
      </c>
    </row>
    <row r="2426" spans="1:8" x14ac:dyDescent="0.25">
      <c r="A2426" s="25" t="str">
        <f>IF($C2426="","",Registro_Compras!$B$273)</f>
        <v/>
      </c>
      <c r="B2426" t="str">
        <f>IF($C2426="","","C"&amp;TEXT(INT((ROW()-5)/9)+1,"000")&amp;"-1")</f>
        <v/>
      </c>
      <c r="C2426" t="str">
        <f>IF(OR(Registro_Compras!$C$273="",Registro_Compras!$O$273=""),"",IF(Registro_Compras!$F$273="NOTA DE CREDITO","4212",IF(Registro_Compras!$M$273="","63",Registro_Compras!$M$273)))</f>
        <v/>
      </c>
      <c r="D2426" t="str">
        <f>IF(OR(Registro_Compras!$C$273="",Registro_Compras!$O$273=""),"",IF(Registro_Compras!$F$273="NOTA DE CREDITO","Cuentas por Pagar Comerciales - Terceros (Emitidas)",IF(Registro_Compras!$F$273="RHE","Honorarios Profesionales - Servicios de Terceros","Gastos de Servicios Prestados por Terceros")))</f>
        <v/>
      </c>
      <c r="E2426" s="20" t="str">
        <f>IF($C2426="","",IF(Registro_Compras!$F$273="NOTA DE CREDITO",ABS(Registro_Compras!$O$273),IF(Registro_Compras!$F$273="RHE",ROUND(Registro_Compras!$L$273*Registro_Compras!$N$273,2),ROUND(Registro_Compras!$J$273*Registro_Compras!$N$273,2))))</f>
        <v/>
      </c>
      <c r="F2426" s="20" t="str">
        <f>""</f>
        <v/>
      </c>
      <c r="G2426" t="str">
        <f>IF($C2426="","",IF(Registro_Compras!$F$273="NOTA DE CREDITO","Por la nota de credito "&amp;Registro_Compras!$C$273&amp;" de "&amp;Registro_Compras!$E$273&amp;" [PATRON POR CONFIRMAR CON CONTADOR]",IF(Registro_Compras!$F$273="RHE","Por el registro del recibo por honorarios "&amp;Registro_Compras!$C$273&amp;" de "&amp;Registro_Compras!$E$273&amp;" [PATRON POR CONFIRMAR CON CONTADOR]","Por el registro de la factura "&amp;Registro_Compras!$C$273&amp;" de "&amp;Registro_Compras!$E$273)))</f>
        <v/>
      </c>
      <c r="H2426" t="str">
        <f>IF($C2426="","",Registro_Compras!$C$273)</f>
        <v/>
      </c>
    </row>
    <row r="2427" spans="1:8" x14ac:dyDescent="0.25">
      <c r="A2427" s="25" t="str">
        <f>IF($C2427="","",Registro_Compras!$B$273)</f>
        <v/>
      </c>
      <c r="B2427" t="str">
        <f>IF($C2427="","","C"&amp;TEXT(INT((ROW()-5)/9)+1,"000")&amp;"-1")</f>
        <v/>
      </c>
      <c r="C2427" t="str">
        <f>IF(OR(Registro_Compras!$C$273="",Registro_Compras!$O$273=""),"",IF(Registro_Compras!$F$273="RHE",IF(Registro_Compras!$V$273=0,"","4017"),IF(Registro_Compras!$F$273="NOTA DE CREDITO",IF(Registro_Compras!$M$273="","63",Registro_Compras!$M$273),IF(Registro_Compras!$K$273=0,"","40111"))))</f>
        <v/>
      </c>
      <c r="D2427" t="str">
        <f>IF(OR(Registro_Compras!$C$273="",Registro_Compras!$O$273=""),"",IF(Registro_Compras!$F$273="RHE","Retencion Renta 4ta Categoria por Pagar",IF(Registro_Compras!$F$273="NOTA DE CREDITO","Gastos de Servicios Prestados por Terceros","IGV - Cuenta Propia (Credito Fiscal)")))</f>
        <v/>
      </c>
      <c r="E2427" s="20" t="str">
        <f>IF($C2427="","",IF(Registro_Compras!$F$273="FACTURA",ROUND(Registro_Compras!$K$273*Registro_Compras!$N$273,2),""))</f>
        <v/>
      </c>
      <c r="F2427" s="20" t="str">
        <f>IF($C2427="","",IF(Registro_Compras!$F$273="RHE",ROUND(Registro_Compras!$V$273*Registro_Compras!$N$273,2),IF(Registro_Compras!$F$273="NOTA DE CREDITO",ROUND(ABS(Registro_Compras!$J$273*Registro_Compras!$N$273),2),"")))</f>
        <v/>
      </c>
      <c r="G2427" t="str">
        <f>IF($C2427="","",IF(Registro_Compras!$F$273="NOTA DE CREDITO","Por la nota de credito "&amp;Registro_Compras!$C$273&amp;" de "&amp;Registro_Compras!$E$273&amp;" [PATRON POR CONFIRMAR CON CONTADOR]",IF(Registro_Compras!$F$273="RHE","Por el registro del recibo por honorarios "&amp;Registro_Compras!$C$273&amp;" de "&amp;Registro_Compras!$E$273&amp;" [PATRON POR CONFIRMAR CON CONTADOR]","Por el registro de la factura "&amp;Registro_Compras!$C$273&amp;" de "&amp;Registro_Compras!$E$273)))</f>
        <v/>
      </c>
      <c r="H2427" t="str">
        <f>IF($C2427="","",Registro_Compras!$C$273)</f>
        <v/>
      </c>
    </row>
    <row r="2428" spans="1:8" x14ac:dyDescent="0.25">
      <c r="A2428" s="25" t="str">
        <f>IF($C2428="","",Registro_Compras!$B$273)</f>
        <v/>
      </c>
      <c r="B2428" t="str">
        <f>IF($C2428="","","C"&amp;TEXT(INT((ROW()-5)/9)+1,"000")&amp;"-1")</f>
        <v/>
      </c>
      <c r="C2428" t="str">
        <f>IF(OR(Registro_Compras!$C$273="",Registro_Compras!$O$273=""),"",IF(Registro_Compras!$F$273="NOTA DE CREDITO",IF(Registro_Compras!$K$273=0,"","40111"),"4212"))</f>
        <v/>
      </c>
      <c r="D2428" t="str">
        <f>IF(OR(Registro_Compras!$C$273="",Registro_Compras!$O$273=""),"",IF(Registro_Compras!$F$273="NOTA DE CREDITO","IGV - Cuenta Propia (Credito Fiscal)","Cuentas por Pagar Comerciales - Terceros (Emitidas)"))</f>
        <v/>
      </c>
      <c r="E2428" s="20" t="str">
        <f>""</f>
        <v/>
      </c>
      <c r="F2428" s="20" t="str">
        <f>IF($C2428="","",IF(Registro_Compras!$F$273="NOTA DE CREDITO",ROUND(ABS(Registro_Compras!$K$273*Registro_Compras!$N$273),2),IF(Registro_Compras!$F$273="RHE",(ROUND(Registro_Compras!$L$273*Registro_Compras!$N$273,2)-ROUND(Registro_Compras!$V$273*Registro_Compras!$N$273,2)),Registro_Compras!$O$273)))</f>
        <v/>
      </c>
      <c r="G2428" t="str">
        <f>IF($C2428="","",IF(Registro_Compras!$F$273="NOTA DE CREDITO","Por la nota de credito "&amp;Registro_Compras!$C$273&amp;" de "&amp;Registro_Compras!$E$273&amp;" [PATRON POR CONFIRMAR CON CONTADOR]",IF(Registro_Compras!$F$273="RHE","Por el registro del recibo por honorarios "&amp;Registro_Compras!$C$273&amp;" de "&amp;Registro_Compras!$E$273&amp;" [PATRON POR CONFIRMAR CON CONTADOR]","Por el registro de la factura "&amp;Registro_Compras!$C$273&amp;" de "&amp;Registro_Compras!$E$273)))</f>
        <v/>
      </c>
      <c r="H2428" t="str">
        <f>IF($C2428="","",Registro_Compras!$C$273)</f>
        <v/>
      </c>
    </row>
    <row r="2429" spans="1:8" x14ac:dyDescent="0.25">
      <c r="A2429" s="25" t="str">
        <f>IF($C2429="","",Registro_Compras!$B$273)</f>
        <v/>
      </c>
      <c r="B2429" t="str">
        <f>IF($C2429="","","C"&amp;TEXT(INT((ROW()-5)/9)+1,"000")&amp;"-2")</f>
        <v/>
      </c>
      <c r="C2429" t="str">
        <f>IF(OR(Registro_Compras!$C$273="",Registro_Compras!$O$273=""),"",IF(Registro_Compras!$AB$273="ADMINISTRATIVO","94","95"))</f>
        <v/>
      </c>
      <c r="D2429" t="str">
        <f>IF(OR(Registro_Compras!$C$273="",Registro_Compras!$O$273=""),"",IF(Registro_Compras!$AB$273="ADMINISTRATIVO","Gastos Administrativos","Gastos de Venta y Operacion"))</f>
        <v/>
      </c>
      <c r="E2429" s="20" t="str">
        <f>IF($C2429="","",IF(Registro_Compras!$F$273="NOTA DE CREDITO","",IF(Registro_Compras!$F$273="RHE",ROUND(Registro_Compras!$L$273*Registro_Compras!$N$273,2),ROUND(Registro_Compras!$J$273*Registro_Compras!$N$273,2))))</f>
        <v/>
      </c>
      <c r="F2429" s="20" t="str">
        <f>IF($C2429="","",IF(Registro_Compras!$F$273="NOTA DE CREDITO",ROUND(ABS(Registro_Compras!$J$273*Registro_Compras!$N$273),2),""))</f>
        <v/>
      </c>
      <c r="G2429" t="str">
        <f>IF($C2429="","","Por el destino del gasto")</f>
        <v/>
      </c>
      <c r="H2429" t="str">
        <f>IF($C2429="","",Registro_Compras!$C$273)</f>
        <v/>
      </c>
    </row>
    <row r="2430" spans="1:8" x14ac:dyDescent="0.25">
      <c r="A2430" s="25" t="str">
        <f>IF($C2430="","",Registro_Compras!$B$273)</f>
        <v/>
      </c>
      <c r="B2430" t="str">
        <f>IF($C2430="","","C"&amp;TEXT(INT((ROW()-5)/9)+1,"000")&amp;"-2")</f>
        <v/>
      </c>
      <c r="C2430" t="str">
        <f>IF(OR(Registro_Compras!$C$273="",Registro_Compras!$O$273=""),"","79/791")</f>
        <v/>
      </c>
      <c r="D2430" t="str">
        <f>IF(OR(Registro_Compras!$C$273="",Registro_Compras!$O$273=""),"","Cargas Imputables a Cuentas de Costos y Gastos")</f>
        <v/>
      </c>
      <c r="E2430" s="20" t="str">
        <f>IF($C2430="","",IF(Registro_Compras!$F$273="NOTA DE CREDITO",ROUND(ABS(Registro_Compras!$J$273*Registro_Compras!$N$273),2),""))</f>
        <v/>
      </c>
      <c r="F2430" s="20" t="str">
        <f>IF($C2430="","",IF(Registro_Compras!$F$273="NOTA DE CREDITO","",IF(Registro_Compras!$F$273="RHE",ROUND(Registro_Compras!$L$273*Registro_Compras!$N$273,2),ROUND(Registro_Compras!$J$273*Registro_Compras!$N$273,2))))</f>
        <v/>
      </c>
      <c r="G2430" t="str">
        <f>IF($C2430="","","Por el destino del gasto")</f>
        <v/>
      </c>
      <c r="H2430" t="str">
        <f>IF($C2430="","",Registro_Compras!$C$273)</f>
        <v/>
      </c>
    </row>
    <row r="2431" spans="1:8" x14ac:dyDescent="0.25">
      <c r="A2431" s="25" t="str">
        <f>IF($C2431="","",Registro_Compras!$X$273)</f>
        <v/>
      </c>
      <c r="B2431" t="str">
        <f>IF($C2431="","","C"&amp;TEXT(INT((ROW()-5)/9)+1,"000")&amp;"-3")</f>
        <v/>
      </c>
      <c r="C2431" t="str">
        <f>IF(OR(Registro_Compras!$C$273="",Registro_Compras!$O$273="",Registro_Compras!$R$273&lt;&gt;"SI",Registro_Compras!$X$273=""),"","4212")</f>
        <v/>
      </c>
      <c r="D2431" t="str">
        <f>IF(OR(Registro_Compras!$C$273="",Registro_Compras!$O$273=""),"","Cuentas por Pagar Comerciales - Terceros")</f>
        <v/>
      </c>
      <c r="E2431" s="20" t="str">
        <f>IF($C2431="","",Registro_Compras!$S$273)</f>
        <v/>
      </c>
      <c r="F2431" s="20" t="str">
        <f>""</f>
        <v/>
      </c>
      <c r="G2431" t="str">
        <f>IF($C2431="","","Por el deposito de la detraccion en el Banco de la Nacion")</f>
        <v/>
      </c>
      <c r="H2431" t="str">
        <f>IF($C2431="","",Registro_Compras!$C$273)</f>
        <v/>
      </c>
    </row>
    <row r="2432" spans="1:8" x14ac:dyDescent="0.25">
      <c r="A2432" s="25" t="str">
        <f>IF($C2432="","",Registro_Compras!$X$273)</f>
        <v/>
      </c>
      <c r="B2432" t="str">
        <f>IF($C2432="","","C"&amp;TEXT(INT((ROW()-5)/9)+1,"000")&amp;"-3")</f>
        <v/>
      </c>
      <c r="C2432" t="str">
        <f>IF(OR(Registro_Compras!$C$273="",Registro_Compras!$O$273="",Registro_Compras!$R$273&lt;&gt;"SI",Registro_Compras!$X$273=""),"","1041")</f>
        <v/>
      </c>
      <c r="D2432" t="str">
        <f>IF(OR(Registro_Compras!$C$273="",Registro_Compras!$O$273=""),"","Efectivo y Equivalentes - Cta. Cte. Operativa")</f>
        <v/>
      </c>
      <c r="E2432" s="20" t="str">
        <f>""</f>
        <v/>
      </c>
      <c r="F2432" s="20" t="str">
        <f>IF($C2432="","",Registro_Compras!$S$273)</f>
        <v/>
      </c>
      <c r="G2432" t="str">
        <f>IF($C2432="","","Por el deposito de la detraccion en el Banco de la Nacion")</f>
        <v/>
      </c>
      <c r="H2432" t="str">
        <f>IF($C2432="","",Registro_Compras!$C$273)</f>
        <v/>
      </c>
    </row>
    <row r="2433" spans="1:8" x14ac:dyDescent="0.25">
      <c r="A2433" s="25" t="str">
        <f>IF($C2433="","",Registro_Compras!$Y$273)</f>
        <v/>
      </c>
      <c r="B2433" t="str">
        <f>IF($C2433="","","C"&amp;TEXT(INT((ROW()-5)/9)+1,"000")&amp;"-4")</f>
        <v/>
      </c>
      <c r="C2433" t="str">
        <f>IF(OR(Registro_Compras!$C$273="",Registro_Compras!$O$273="",Registro_Compras!$Y$273="",Registro_Compras!$F$273="NOTA DE CREDITO"),"","4212")</f>
        <v/>
      </c>
      <c r="D2433" t="str">
        <f>IF(OR(Registro_Compras!$C$273="",Registro_Compras!$O$273=""),"","Cuentas por Pagar Comerciales - Terceros")</f>
        <v/>
      </c>
      <c r="E2433" s="20" t="str">
        <f>IF($C2433="","",IF(Registro_Compras!$F$273="RHE",(ROUND(Registro_Compras!$L$273*Registro_Compras!$N$273,2)-ROUND(Registro_Compras!$V$273*Registro_Compras!$N$273,2)),ROUND(Registro_Compras!$O$273-Registro_Compras!$S$273,2)))</f>
        <v/>
      </c>
      <c r="F2433" s="20" t="str">
        <f>""</f>
        <v/>
      </c>
      <c r="G2433" t="str">
        <f>IF($C2433="","","Por la cancelacion del saldo al proveedor")</f>
        <v/>
      </c>
      <c r="H2433" t="str">
        <f>IF($C2433="","",Registro_Compras!$C$273)</f>
        <v/>
      </c>
    </row>
    <row r="2434" spans="1:8" x14ac:dyDescent="0.25">
      <c r="A2434" s="25" t="str">
        <f>IF($C2434="","",Registro_Compras!$Y$273)</f>
        <v/>
      </c>
      <c r="B2434" t="str">
        <f>IF($C2434="","","C"&amp;TEXT(INT((ROW()-5)/9)+1,"000")&amp;"-4")</f>
        <v/>
      </c>
      <c r="C2434" t="str">
        <f>IF(OR(Registro_Compras!$C$273="",Registro_Compras!$O$273="",Registro_Compras!$Y$273="",Registro_Compras!$F$273="NOTA DE CREDITO"),"","1041")</f>
        <v/>
      </c>
      <c r="D2434" t="str">
        <f>IF(OR(Registro_Compras!$C$273="",Registro_Compras!$O$273=""),"","Efectivo y Equivalentes - Cta. Cte. Operativa")</f>
        <v/>
      </c>
      <c r="E2434" s="20" t="str">
        <f>""</f>
        <v/>
      </c>
      <c r="F2434" s="20" t="str">
        <f>IF($C2434="","",IF(Registro_Compras!$F$273="RHE",(ROUND(Registro_Compras!$L$273*Registro_Compras!$N$273,2)-ROUND(Registro_Compras!$V$273*Registro_Compras!$N$273,2)),ROUND(Registro_Compras!$O$273-Registro_Compras!$S$273,2)))</f>
        <v/>
      </c>
      <c r="G2434" t="str">
        <f>IF($C2434="","","Por la cancelacion del saldo al proveedor")</f>
        <v/>
      </c>
      <c r="H2434" t="str">
        <f>IF($C2434="","",Registro_Compras!$C$273)</f>
        <v/>
      </c>
    </row>
    <row r="2435" spans="1:8" x14ac:dyDescent="0.25">
      <c r="A2435" s="25" t="str">
        <f>IF($C2435="","",Registro_Compras!$B$274)</f>
        <v/>
      </c>
      <c r="B2435" t="str">
        <f>IF($C2435="","","C"&amp;TEXT(INT((ROW()-5)/9)+1,"000")&amp;"-1")</f>
        <v/>
      </c>
      <c r="C2435" t="str">
        <f>IF(OR(Registro_Compras!$C$274="",Registro_Compras!$O$274=""),"",IF(Registro_Compras!$F$274="NOTA DE CREDITO","4212",IF(Registro_Compras!$M$274="","63",Registro_Compras!$M$274)))</f>
        <v/>
      </c>
      <c r="D2435" t="str">
        <f>IF(OR(Registro_Compras!$C$274="",Registro_Compras!$O$274=""),"",IF(Registro_Compras!$F$274="NOTA DE CREDITO","Cuentas por Pagar Comerciales - Terceros (Emitidas)",IF(Registro_Compras!$F$274="RHE","Honorarios Profesionales - Servicios de Terceros","Gastos de Servicios Prestados por Terceros")))</f>
        <v/>
      </c>
      <c r="E2435" s="20" t="str">
        <f>IF($C2435="","",IF(Registro_Compras!$F$274="NOTA DE CREDITO",ABS(Registro_Compras!$O$274),IF(Registro_Compras!$F$274="RHE",ROUND(Registro_Compras!$L$274*Registro_Compras!$N$274,2),ROUND(Registro_Compras!$J$274*Registro_Compras!$N$274,2))))</f>
        <v/>
      </c>
      <c r="F2435" s="20" t="str">
        <f>""</f>
        <v/>
      </c>
      <c r="G2435" t="str">
        <f>IF($C2435="","",IF(Registro_Compras!$F$274="NOTA DE CREDITO","Por la nota de credito "&amp;Registro_Compras!$C$274&amp;" de "&amp;Registro_Compras!$E$274&amp;" [PATRON POR CONFIRMAR CON CONTADOR]",IF(Registro_Compras!$F$274="RHE","Por el registro del recibo por honorarios "&amp;Registro_Compras!$C$274&amp;" de "&amp;Registro_Compras!$E$274&amp;" [PATRON POR CONFIRMAR CON CONTADOR]","Por el registro de la factura "&amp;Registro_Compras!$C$274&amp;" de "&amp;Registro_Compras!$E$274)))</f>
        <v/>
      </c>
      <c r="H2435" t="str">
        <f>IF($C2435="","",Registro_Compras!$C$274)</f>
        <v/>
      </c>
    </row>
    <row r="2436" spans="1:8" x14ac:dyDescent="0.25">
      <c r="A2436" s="25" t="str">
        <f>IF($C2436="","",Registro_Compras!$B$274)</f>
        <v/>
      </c>
      <c r="B2436" t="str">
        <f>IF($C2436="","","C"&amp;TEXT(INT((ROW()-5)/9)+1,"000")&amp;"-1")</f>
        <v/>
      </c>
      <c r="C2436" t="str">
        <f>IF(OR(Registro_Compras!$C$274="",Registro_Compras!$O$274=""),"",IF(Registro_Compras!$F$274="RHE",IF(Registro_Compras!$V$274=0,"","4017"),IF(Registro_Compras!$F$274="NOTA DE CREDITO",IF(Registro_Compras!$M$274="","63",Registro_Compras!$M$274),IF(Registro_Compras!$K$274=0,"","40111"))))</f>
        <v/>
      </c>
      <c r="D2436" t="str">
        <f>IF(OR(Registro_Compras!$C$274="",Registro_Compras!$O$274=""),"",IF(Registro_Compras!$F$274="RHE","Retencion Renta 4ta Categoria por Pagar",IF(Registro_Compras!$F$274="NOTA DE CREDITO","Gastos de Servicios Prestados por Terceros","IGV - Cuenta Propia (Credito Fiscal)")))</f>
        <v/>
      </c>
      <c r="E2436" s="20" t="str">
        <f>IF($C2436="","",IF(Registro_Compras!$F$274="FACTURA",ROUND(Registro_Compras!$K$274*Registro_Compras!$N$274,2),""))</f>
        <v/>
      </c>
      <c r="F2436" s="20" t="str">
        <f>IF($C2436="","",IF(Registro_Compras!$F$274="RHE",ROUND(Registro_Compras!$V$274*Registro_Compras!$N$274,2),IF(Registro_Compras!$F$274="NOTA DE CREDITO",ROUND(ABS(Registro_Compras!$J$274*Registro_Compras!$N$274),2),"")))</f>
        <v/>
      </c>
      <c r="G2436" t="str">
        <f>IF($C2436="","",IF(Registro_Compras!$F$274="NOTA DE CREDITO","Por la nota de credito "&amp;Registro_Compras!$C$274&amp;" de "&amp;Registro_Compras!$E$274&amp;" [PATRON POR CONFIRMAR CON CONTADOR]",IF(Registro_Compras!$F$274="RHE","Por el registro del recibo por honorarios "&amp;Registro_Compras!$C$274&amp;" de "&amp;Registro_Compras!$E$274&amp;" [PATRON POR CONFIRMAR CON CONTADOR]","Por el registro de la factura "&amp;Registro_Compras!$C$274&amp;" de "&amp;Registro_Compras!$E$274)))</f>
        <v/>
      </c>
      <c r="H2436" t="str">
        <f>IF($C2436="","",Registro_Compras!$C$274)</f>
        <v/>
      </c>
    </row>
    <row r="2437" spans="1:8" x14ac:dyDescent="0.25">
      <c r="A2437" s="25" t="str">
        <f>IF($C2437="","",Registro_Compras!$B$274)</f>
        <v/>
      </c>
      <c r="B2437" t="str">
        <f>IF($C2437="","","C"&amp;TEXT(INT((ROW()-5)/9)+1,"000")&amp;"-1")</f>
        <v/>
      </c>
      <c r="C2437" t="str">
        <f>IF(OR(Registro_Compras!$C$274="",Registro_Compras!$O$274=""),"",IF(Registro_Compras!$F$274="NOTA DE CREDITO",IF(Registro_Compras!$K$274=0,"","40111"),"4212"))</f>
        <v/>
      </c>
      <c r="D2437" t="str">
        <f>IF(OR(Registro_Compras!$C$274="",Registro_Compras!$O$274=""),"",IF(Registro_Compras!$F$274="NOTA DE CREDITO","IGV - Cuenta Propia (Credito Fiscal)","Cuentas por Pagar Comerciales - Terceros (Emitidas)"))</f>
        <v/>
      </c>
      <c r="E2437" s="20" t="str">
        <f>""</f>
        <v/>
      </c>
      <c r="F2437" s="20" t="str">
        <f>IF($C2437="","",IF(Registro_Compras!$F$274="NOTA DE CREDITO",ROUND(ABS(Registro_Compras!$K$274*Registro_Compras!$N$274),2),IF(Registro_Compras!$F$274="RHE",(ROUND(Registro_Compras!$L$274*Registro_Compras!$N$274,2)-ROUND(Registro_Compras!$V$274*Registro_Compras!$N$274,2)),Registro_Compras!$O$274)))</f>
        <v/>
      </c>
      <c r="G2437" t="str">
        <f>IF($C2437="","",IF(Registro_Compras!$F$274="NOTA DE CREDITO","Por la nota de credito "&amp;Registro_Compras!$C$274&amp;" de "&amp;Registro_Compras!$E$274&amp;" [PATRON POR CONFIRMAR CON CONTADOR]",IF(Registro_Compras!$F$274="RHE","Por el registro del recibo por honorarios "&amp;Registro_Compras!$C$274&amp;" de "&amp;Registro_Compras!$E$274&amp;" [PATRON POR CONFIRMAR CON CONTADOR]","Por el registro de la factura "&amp;Registro_Compras!$C$274&amp;" de "&amp;Registro_Compras!$E$274)))</f>
        <v/>
      </c>
      <c r="H2437" t="str">
        <f>IF($C2437="","",Registro_Compras!$C$274)</f>
        <v/>
      </c>
    </row>
    <row r="2438" spans="1:8" x14ac:dyDescent="0.25">
      <c r="A2438" s="25" t="str">
        <f>IF($C2438="","",Registro_Compras!$B$274)</f>
        <v/>
      </c>
      <c r="B2438" t="str">
        <f>IF($C2438="","","C"&amp;TEXT(INT((ROW()-5)/9)+1,"000")&amp;"-2")</f>
        <v/>
      </c>
      <c r="C2438" t="str">
        <f>IF(OR(Registro_Compras!$C$274="",Registro_Compras!$O$274=""),"",IF(Registro_Compras!$AB$274="ADMINISTRATIVO","94","95"))</f>
        <v/>
      </c>
      <c r="D2438" t="str">
        <f>IF(OR(Registro_Compras!$C$274="",Registro_Compras!$O$274=""),"",IF(Registro_Compras!$AB$274="ADMINISTRATIVO","Gastos Administrativos","Gastos de Venta y Operacion"))</f>
        <v/>
      </c>
      <c r="E2438" s="20" t="str">
        <f>IF($C2438="","",IF(Registro_Compras!$F$274="NOTA DE CREDITO","",IF(Registro_Compras!$F$274="RHE",ROUND(Registro_Compras!$L$274*Registro_Compras!$N$274,2),ROUND(Registro_Compras!$J$274*Registro_Compras!$N$274,2))))</f>
        <v/>
      </c>
      <c r="F2438" s="20" t="str">
        <f>IF($C2438="","",IF(Registro_Compras!$F$274="NOTA DE CREDITO",ROUND(ABS(Registro_Compras!$J$274*Registro_Compras!$N$274),2),""))</f>
        <v/>
      </c>
      <c r="G2438" t="str">
        <f>IF($C2438="","","Por el destino del gasto")</f>
        <v/>
      </c>
      <c r="H2438" t="str">
        <f>IF($C2438="","",Registro_Compras!$C$274)</f>
        <v/>
      </c>
    </row>
    <row r="2439" spans="1:8" x14ac:dyDescent="0.25">
      <c r="A2439" s="25" t="str">
        <f>IF($C2439="","",Registro_Compras!$B$274)</f>
        <v/>
      </c>
      <c r="B2439" t="str">
        <f>IF($C2439="","","C"&amp;TEXT(INT((ROW()-5)/9)+1,"000")&amp;"-2")</f>
        <v/>
      </c>
      <c r="C2439" t="str">
        <f>IF(OR(Registro_Compras!$C$274="",Registro_Compras!$O$274=""),"","79/791")</f>
        <v/>
      </c>
      <c r="D2439" t="str">
        <f>IF(OR(Registro_Compras!$C$274="",Registro_Compras!$O$274=""),"","Cargas Imputables a Cuentas de Costos y Gastos")</f>
        <v/>
      </c>
      <c r="E2439" s="20" t="str">
        <f>IF($C2439="","",IF(Registro_Compras!$F$274="NOTA DE CREDITO",ROUND(ABS(Registro_Compras!$J$274*Registro_Compras!$N$274),2),""))</f>
        <v/>
      </c>
      <c r="F2439" s="20" t="str">
        <f>IF($C2439="","",IF(Registro_Compras!$F$274="NOTA DE CREDITO","",IF(Registro_Compras!$F$274="RHE",ROUND(Registro_Compras!$L$274*Registro_Compras!$N$274,2),ROUND(Registro_Compras!$J$274*Registro_Compras!$N$274,2))))</f>
        <v/>
      </c>
      <c r="G2439" t="str">
        <f>IF($C2439="","","Por el destino del gasto")</f>
        <v/>
      </c>
      <c r="H2439" t="str">
        <f>IF($C2439="","",Registro_Compras!$C$274)</f>
        <v/>
      </c>
    </row>
    <row r="2440" spans="1:8" x14ac:dyDescent="0.25">
      <c r="A2440" s="25" t="str">
        <f>IF($C2440="","",Registro_Compras!$X$274)</f>
        <v/>
      </c>
      <c r="B2440" t="str">
        <f>IF($C2440="","","C"&amp;TEXT(INT((ROW()-5)/9)+1,"000")&amp;"-3")</f>
        <v/>
      </c>
      <c r="C2440" t="str">
        <f>IF(OR(Registro_Compras!$C$274="",Registro_Compras!$O$274="",Registro_Compras!$R$274&lt;&gt;"SI",Registro_Compras!$X$274=""),"","4212")</f>
        <v/>
      </c>
      <c r="D2440" t="str">
        <f>IF(OR(Registro_Compras!$C$274="",Registro_Compras!$O$274=""),"","Cuentas por Pagar Comerciales - Terceros")</f>
        <v/>
      </c>
      <c r="E2440" s="20" t="str">
        <f>IF($C2440="","",Registro_Compras!$S$274)</f>
        <v/>
      </c>
      <c r="F2440" s="20" t="str">
        <f>""</f>
        <v/>
      </c>
      <c r="G2440" t="str">
        <f>IF($C2440="","","Por el deposito de la detraccion en el Banco de la Nacion")</f>
        <v/>
      </c>
      <c r="H2440" t="str">
        <f>IF($C2440="","",Registro_Compras!$C$274)</f>
        <v/>
      </c>
    </row>
    <row r="2441" spans="1:8" x14ac:dyDescent="0.25">
      <c r="A2441" s="25" t="str">
        <f>IF($C2441="","",Registro_Compras!$X$274)</f>
        <v/>
      </c>
      <c r="B2441" t="str">
        <f>IF($C2441="","","C"&amp;TEXT(INT((ROW()-5)/9)+1,"000")&amp;"-3")</f>
        <v/>
      </c>
      <c r="C2441" t="str">
        <f>IF(OR(Registro_Compras!$C$274="",Registro_Compras!$O$274="",Registro_Compras!$R$274&lt;&gt;"SI",Registro_Compras!$X$274=""),"","1041")</f>
        <v/>
      </c>
      <c r="D2441" t="str">
        <f>IF(OR(Registro_Compras!$C$274="",Registro_Compras!$O$274=""),"","Efectivo y Equivalentes - Cta. Cte. Operativa")</f>
        <v/>
      </c>
      <c r="E2441" s="20" t="str">
        <f>""</f>
        <v/>
      </c>
      <c r="F2441" s="20" t="str">
        <f>IF($C2441="","",Registro_Compras!$S$274)</f>
        <v/>
      </c>
      <c r="G2441" t="str">
        <f>IF($C2441="","","Por el deposito de la detraccion en el Banco de la Nacion")</f>
        <v/>
      </c>
      <c r="H2441" t="str">
        <f>IF($C2441="","",Registro_Compras!$C$274)</f>
        <v/>
      </c>
    </row>
    <row r="2442" spans="1:8" x14ac:dyDescent="0.25">
      <c r="A2442" s="25" t="str">
        <f>IF($C2442="","",Registro_Compras!$Y$274)</f>
        <v/>
      </c>
      <c r="B2442" t="str">
        <f>IF($C2442="","","C"&amp;TEXT(INT((ROW()-5)/9)+1,"000")&amp;"-4")</f>
        <v/>
      </c>
      <c r="C2442" t="str">
        <f>IF(OR(Registro_Compras!$C$274="",Registro_Compras!$O$274="",Registro_Compras!$Y$274="",Registro_Compras!$F$274="NOTA DE CREDITO"),"","4212")</f>
        <v/>
      </c>
      <c r="D2442" t="str">
        <f>IF(OR(Registro_Compras!$C$274="",Registro_Compras!$O$274=""),"","Cuentas por Pagar Comerciales - Terceros")</f>
        <v/>
      </c>
      <c r="E2442" s="20" t="str">
        <f>IF($C2442="","",IF(Registro_Compras!$F$274="RHE",(ROUND(Registro_Compras!$L$274*Registro_Compras!$N$274,2)-ROUND(Registro_Compras!$V$274*Registro_Compras!$N$274,2)),ROUND(Registro_Compras!$O$274-Registro_Compras!$S$274,2)))</f>
        <v/>
      </c>
      <c r="F2442" s="20" t="str">
        <f>""</f>
        <v/>
      </c>
      <c r="G2442" t="str">
        <f>IF($C2442="","","Por la cancelacion del saldo al proveedor")</f>
        <v/>
      </c>
      <c r="H2442" t="str">
        <f>IF($C2442="","",Registro_Compras!$C$274)</f>
        <v/>
      </c>
    </row>
    <row r="2443" spans="1:8" x14ac:dyDescent="0.25">
      <c r="A2443" s="25" t="str">
        <f>IF($C2443="","",Registro_Compras!$Y$274)</f>
        <v/>
      </c>
      <c r="B2443" t="str">
        <f>IF($C2443="","","C"&amp;TEXT(INT((ROW()-5)/9)+1,"000")&amp;"-4")</f>
        <v/>
      </c>
      <c r="C2443" t="str">
        <f>IF(OR(Registro_Compras!$C$274="",Registro_Compras!$O$274="",Registro_Compras!$Y$274="",Registro_Compras!$F$274="NOTA DE CREDITO"),"","1041")</f>
        <v/>
      </c>
      <c r="D2443" t="str">
        <f>IF(OR(Registro_Compras!$C$274="",Registro_Compras!$O$274=""),"","Efectivo y Equivalentes - Cta. Cte. Operativa")</f>
        <v/>
      </c>
      <c r="E2443" s="20" t="str">
        <f>""</f>
        <v/>
      </c>
      <c r="F2443" s="20" t="str">
        <f>IF($C2443="","",IF(Registro_Compras!$F$274="RHE",(ROUND(Registro_Compras!$L$274*Registro_Compras!$N$274,2)-ROUND(Registro_Compras!$V$274*Registro_Compras!$N$274,2)),ROUND(Registro_Compras!$O$274-Registro_Compras!$S$274,2)))</f>
        <v/>
      </c>
      <c r="G2443" t="str">
        <f>IF($C2443="","","Por la cancelacion del saldo al proveedor")</f>
        <v/>
      </c>
      <c r="H2443" t="str">
        <f>IF($C2443="","",Registro_Compras!$C$274)</f>
        <v/>
      </c>
    </row>
    <row r="2444" spans="1:8" x14ac:dyDescent="0.25">
      <c r="A2444" s="25" t="str">
        <f>IF($C2444="","",Registro_Compras!$B$275)</f>
        <v/>
      </c>
      <c r="B2444" t="str">
        <f>IF($C2444="","","C"&amp;TEXT(INT((ROW()-5)/9)+1,"000")&amp;"-1")</f>
        <v/>
      </c>
      <c r="C2444" t="str">
        <f>IF(OR(Registro_Compras!$C$275="",Registro_Compras!$O$275=""),"",IF(Registro_Compras!$F$275="NOTA DE CREDITO","4212",IF(Registro_Compras!$M$275="","63",Registro_Compras!$M$275)))</f>
        <v/>
      </c>
      <c r="D2444" t="str">
        <f>IF(OR(Registro_Compras!$C$275="",Registro_Compras!$O$275=""),"",IF(Registro_Compras!$F$275="NOTA DE CREDITO","Cuentas por Pagar Comerciales - Terceros (Emitidas)",IF(Registro_Compras!$F$275="RHE","Honorarios Profesionales - Servicios de Terceros","Gastos de Servicios Prestados por Terceros")))</f>
        <v/>
      </c>
      <c r="E2444" s="20" t="str">
        <f>IF($C2444="","",IF(Registro_Compras!$F$275="NOTA DE CREDITO",ABS(Registro_Compras!$O$275),IF(Registro_Compras!$F$275="RHE",ROUND(Registro_Compras!$L$275*Registro_Compras!$N$275,2),ROUND(Registro_Compras!$J$275*Registro_Compras!$N$275,2))))</f>
        <v/>
      </c>
      <c r="F2444" s="20" t="str">
        <f>""</f>
        <v/>
      </c>
      <c r="G2444" t="str">
        <f>IF($C2444="","",IF(Registro_Compras!$F$275="NOTA DE CREDITO","Por la nota de credito "&amp;Registro_Compras!$C$275&amp;" de "&amp;Registro_Compras!$E$275&amp;" [PATRON POR CONFIRMAR CON CONTADOR]",IF(Registro_Compras!$F$275="RHE","Por el registro del recibo por honorarios "&amp;Registro_Compras!$C$275&amp;" de "&amp;Registro_Compras!$E$275&amp;" [PATRON POR CONFIRMAR CON CONTADOR]","Por el registro de la factura "&amp;Registro_Compras!$C$275&amp;" de "&amp;Registro_Compras!$E$275)))</f>
        <v/>
      </c>
      <c r="H2444" t="str">
        <f>IF($C2444="","",Registro_Compras!$C$275)</f>
        <v/>
      </c>
    </row>
    <row r="2445" spans="1:8" x14ac:dyDescent="0.25">
      <c r="A2445" s="25" t="str">
        <f>IF($C2445="","",Registro_Compras!$B$275)</f>
        <v/>
      </c>
      <c r="B2445" t="str">
        <f>IF($C2445="","","C"&amp;TEXT(INT((ROW()-5)/9)+1,"000")&amp;"-1")</f>
        <v/>
      </c>
      <c r="C2445" t="str">
        <f>IF(OR(Registro_Compras!$C$275="",Registro_Compras!$O$275=""),"",IF(Registro_Compras!$F$275="RHE",IF(Registro_Compras!$V$275=0,"","4017"),IF(Registro_Compras!$F$275="NOTA DE CREDITO",IF(Registro_Compras!$M$275="","63",Registro_Compras!$M$275),IF(Registro_Compras!$K$275=0,"","40111"))))</f>
        <v/>
      </c>
      <c r="D2445" t="str">
        <f>IF(OR(Registro_Compras!$C$275="",Registro_Compras!$O$275=""),"",IF(Registro_Compras!$F$275="RHE","Retencion Renta 4ta Categoria por Pagar",IF(Registro_Compras!$F$275="NOTA DE CREDITO","Gastos de Servicios Prestados por Terceros","IGV - Cuenta Propia (Credito Fiscal)")))</f>
        <v/>
      </c>
      <c r="E2445" s="20" t="str">
        <f>IF($C2445="","",IF(Registro_Compras!$F$275="FACTURA",ROUND(Registro_Compras!$K$275*Registro_Compras!$N$275,2),""))</f>
        <v/>
      </c>
      <c r="F2445" s="20" t="str">
        <f>IF($C2445="","",IF(Registro_Compras!$F$275="RHE",ROUND(Registro_Compras!$V$275*Registro_Compras!$N$275,2),IF(Registro_Compras!$F$275="NOTA DE CREDITO",ROUND(ABS(Registro_Compras!$J$275*Registro_Compras!$N$275),2),"")))</f>
        <v/>
      </c>
      <c r="G2445" t="str">
        <f>IF($C2445="","",IF(Registro_Compras!$F$275="NOTA DE CREDITO","Por la nota de credito "&amp;Registro_Compras!$C$275&amp;" de "&amp;Registro_Compras!$E$275&amp;" [PATRON POR CONFIRMAR CON CONTADOR]",IF(Registro_Compras!$F$275="RHE","Por el registro del recibo por honorarios "&amp;Registro_Compras!$C$275&amp;" de "&amp;Registro_Compras!$E$275&amp;" [PATRON POR CONFIRMAR CON CONTADOR]","Por el registro de la factura "&amp;Registro_Compras!$C$275&amp;" de "&amp;Registro_Compras!$E$275)))</f>
        <v/>
      </c>
      <c r="H2445" t="str">
        <f>IF($C2445="","",Registro_Compras!$C$275)</f>
        <v/>
      </c>
    </row>
    <row r="2446" spans="1:8" x14ac:dyDescent="0.25">
      <c r="A2446" s="25" t="str">
        <f>IF($C2446="","",Registro_Compras!$B$275)</f>
        <v/>
      </c>
      <c r="B2446" t="str">
        <f>IF($C2446="","","C"&amp;TEXT(INT((ROW()-5)/9)+1,"000")&amp;"-1")</f>
        <v/>
      </c>
      <c r="C2446" t="str">
        <f>IF(OR(Registro_Compras!$C$275="",Registro_Compras!$O$275=""),"",IF(Registro_Compras!$F$275="NOTA DE CREDITO",IF(Registro_Compras!$K$275=0,"","40111"),"4212"))</f>
        <v/>
      </c>
      <c r="D2446" t="str">
        <f>IF(OR(Registro_Compras!$C$275="",Registro_Compras!$O$275=""),"",IF(Registro_Compras!$F$275="NOTA DE CREDITO","IGV - Cuenta Propia (Credito Fiscal)","Cuentas por Pagar Comerciales - Terceros (Emitidas)"))</f>
        <v/>
      </c>
      <c r="E2446" s="20" t="str">
        <f>""</f>
        <v/>
      </c>
      <c r="F2446" s="20" t="str">
        <f>IF($C2446="","",IF(Registro_Compras!$F$275="NOTA DE CREDITO",ROUND(ABS(Registro_Compras!$K$275*Registro_Compras!$N$275),2),IF(Registro_Compras!$F$275="RHE",(ROUND(Registro_Compras!$L$275*Registro_Compras!$N$275,2)-ROUND(Registro_Compras!$V$275*Registro_Compras!$N$275,2)),Registro_Compras!$O$275)))</f>
        <v/>
      </c>
      <c r="G2446" t="str">
        <f>IF($C2446="","",IF(Registro_Compras!$F$275="NOTA DE CREDITO","Por la nota de credito "&amp;Registro_Compras!$C$275&amp;" de "&amp;Registro_Compras!$E$275&amp;" [PATRON POR CONFIRMAR CON CONTADOR]",IF(Registro_Compras!$F$275="RHE","Por el registro del recibo por honorarios "&amp;Registro_Compras!$C$275&amp;" de "&amp;Registro_Compras!$E$275&amp;" [PATRON POR CONFIRMAR CON CONTADOR]","Por el registro de la factura "&amp;Registro_Compras!$C$275&amp;" de "&amp;Registro_Compras!$E$275)))</f>
        <v/>
      </c>
      <c r="H2446" t="str">
        <f>IF($C2446="","",Registro_Compras!$C$275)</f>
        <v/>
      </c>
    </row>
    <row r="2447" spans="1:8" x14ac:dyDescent="0.25">
      <c r="A2447" s="25" t="str">
        <f>IF($C2447="","",Registro_Compras!$B$275)</f>
        <v/>
      </c>
      <c r="B2447" t="str">
        <f>IF($C2447="","","C"&amp;TEXT(INT((ROW()-5)/9)+1,"000")&amp;"-2")</f>
        <v/>
      </c>
      <c r="C2447" t="str">
        <f>IF(OR(Registro_Compras!$C$275="",Registro_Compras!$O$275=""),"",IF(Registro_Compras!$AB$275="ADMINISTRATIVO","94","95"))</f>
        <v/>
      </c>
      <c r="D2447" t="str">
        <f>IF(OR(Registro_Compras!$C$275="",Registro_Compras!$O$275=""),"",IF(Registro_Compras!$AB$275="ADMINISTRATIVO","Gastos Administrativos","Gastos de Venta y Operacion"))</f>
        <v/>
      </c>
      <c r="E2447" s="20" t="str">
        <f>IF($C2447="","",IF(Registro_Compras!$F$275="NOTA DE CREDITO","",IF(Registro_Compras!$F$275="RHE",ROUND(Registro_Compras!$L$275*Registro_Compras!$N$275,2),ROUND(Registro_Compras!$J$275*Registro_Compras!$N$275,2))))</f>
        <v/>
      </c>
      <c r="F2447" s="20" t="str">
        <f>IF($C2447="","",IF(Registro_Compras!$F$275="NOTA DE CREDITO",ROUND(ABS(Registro_Compras!$J$275*Registro_Compras!$N$275),2),""))</f>
        <v/>
      </c>
      <c r="G2447" t="str">
        <f>IF($C2447="","","Por el destino del gasto")</f>
        <v/>
      </c>
      <c r="H2447" t="str">
        <f>IF($C2447="","",Registro_Compras!$C$275)</f>
        <v/>
      </c>
    </row>
    <row r="2448" spans="1:8" x14ac:dyDescent="0.25">
      <c r="A2448" s="25" t="str">
        <f>IF($C2448="","",Registro_Compras!$B$275)</f>
        <v/>
      </c>
      <c r="B2448" t="str">
        <f>IF($C2448="","","C"&amp;TEXT(INT((ROW()-5)/9)+1,"000")&amp;"-2")</f>
        <v/>
      </c>
      <c r="C2448" t="str">
        <f>IF(OR(Registro_Compras!$C$275="",Registro_Compras!$O$275=""),"","79/791")</f>
        <v/>
      </c>
      <c r="D2448" t="str">
        <f>IF(OR(Registro_Compras!$C$275="",Registro_Compras!$O$275=""),"","Cargas Imputables a Cuentas de Costos y Gastos")</f>
        <v/>
      </c>
      <c r="E2448" s="20" t="str">
        <f>IF($C2448="","",IF(Registro_Compras!$F$275="NOTA DE CREDITO",ROUND(ABS(Registro_Compras!$J$275*Registro_Compras!$N$275),2),""))</f>
        <v/>
      </c>
      <c r="F2448" s="20" t="str">
        <f>IF($C2448="","",IF(Registro_Compras!$F$275="NOTA DE CREDITO","",IF(Registro_Compras!$F$275="RHE",ROUND(Registro_Compras!$L$275*Registro_Compras!$N$275,2),ROUND(Registro_Compras!$J$275*Registro_Compras!$N$275,2))))</f>
        <v/>
      </c>
      <c r="G2448" t="str">
        <f>IF($C2448="","","Por el destino del gasto")</f>
        <v/>
      </c>
      <c r="H2448" t="str">
        <f>IF($C2448="","",Registro_Compras!$C$275)</f>
        <v/>
      </c>
    </row>
    <row r="2449" spans="1:8" x14ac:dyDescent="0.25">
      <c r="A2449" s="25" t="str">
        <f>IF($C2449="","",Registro_Compras!$X$275)</f>
        <v/>
      </c>
      <c r="B2449" t="str">
        <f>IF($C2449="","","C"&amp;TEXT(INT((ROW()-5)/9)+1,"000")&amp;"-3")</f>
        <v/>
      </c>
      <c r="C2449" t="str">
        <f>IF(OR(Registro_Compras!$C$275="",Registro_Compras!$O$275="",Registro_Compras!$R$275&lt;&gt;"SI",Registro_Compras!$X$275=""),"","4212")</f>
        <v/>
      </c>
      <c r="D2449" t="str">
        <f>IF(OR(Registro_Compras!$C$275="",Registro_Compras!$O$275=""),"","Cuentas por Pagar Comerciales - Terceros")</f>
        <v/>
      </c>
      <c r="E2449" s="20" t="str">
        <f>IF($C2449="","",Registro_Compras!$S$275)</f>
        <v/>
      </c>
      <c r="F2449" s="20" t="str">
        <f>""</f>
        <v/>
      </c>
      <c r="G2449" t="str">
        <f>IF($C2449="","","Por el deposito de la detraccion en el Banco de la Nacion")</f>
        <v/>
      </c>
      <c r="H2449" t="str">
        <f>IF($C2449="","",Registro_Compras!$C$275)</f>
        <v/>
      </c>
    </row>
    <row r="2450" spans="1:8" x14ac:dyDescent="0.25">
      <c r="A2450" s="25" t="str">
        <f>IF($C2450="","",Registro_Compras!$X$275)</f>
        <v/>
      </c>
      <c r="B2450" t="str">
        <f>IF($C2450="","","C"&amp;TEXT(INT((ROW()-5)/9)+1,"000")&amp;"-3")</f>
        <v/>
      </c>
      <c r="C2450" t="str">
        <f>IF(OR(Registro_Compras!$C$275="",Registro_Compras!$O$275="",Registro_Compras!$R$275&lt;&gt;"SI",Registro_Compras!$X$275=""),"","1041")</f>
        <v/>
      </c>
      <c r="D2450" t="str">
        <f>IF(OR(Registro_Compras!$C$275="",Registro_Compras!$O$275=""),"","Efectivo y Equivalentes - Cta. Cte. Operativa")</f>
        <v/>
      </c>
      <c r="E2450" s="20" t="str">
        <f>""</f>
        <v/>
      </c>
      <c r="F2450" s="20" t="str">
        <f>IF($C2450="","",Registro_Compras!$S$275)</f>
        <v/>
      </c>
      <c r="G2450" t="str">
        <f>IF($C2450="","","Por el deposito de la detraccion en el Banco de la Nacion")</f>
        <v/>
      </c>
      <c r="H2450" t="str">
        <f>IF($C2450="","",Registro_Compras!$C$275)</f>
        <v/>
      </c>
    </row>
    <row r="2451" spans="1:8" x14ac:dyDescent="0.25">
      <c r="A2451" s="25" t="str">
        <f>IF($C2451="","",Registro_Compras!$Y$275)</f>
        <v/>
      </c>
      <c r="B2451" t="str">
        <f>IF($C2451="","","C"&amp;TEXT(INT((ROW()-5)/9)+1,"000")&amp;"-4")</f>
        <v/>
      </c>
      <c r="C2451" t="str">
        <f>IF(OR(Registro_Compras!$C$275="",Registro_Compras!$O$275="",Registro_Compras!$Y$275="",Registro_Compras!$F$275="NOTA DE CREDITO"),"","4212")</f>
        <v/>
      </c>
      <c r="D2451" t="str">
        <f>IF(OR(Registro_Compras!$C$275="",Registro_Compras!$O$275=""),"","Cuentas por Pagar Comerciales - Terceros")</f>
        <v/>
      </c>
      <c r="E2451" s="20" t="str">
        <f>IF($C2451="","",IF(Registro_Compras!$F$275="RHE",(ROUND(Registro_Compras!$L$275*Registro_Compras!$N$275,2)-ROUND(Registro_Compras!$V$275*Registro_Compras!$N$275,2)),ROUND(Registro_Compras!$O$275-Registro_Compras!$S$275,2)))</f>
        <v/>
      </c>
      <c r="F2451" s="20" t="str">
        <f>""</f>
        <v/>
      </c>
      <c r="G2451" t="str">
        <f>IF($C2451="","","Por la cancelacion del saldo al proveedor")</f>
        <v/>
      </c>
      <c r="H2451" t="str">
        <f>IF($C2451="","",Registro_Compras!$C$275)</f>
        <v/>
      </c>
    </row>
    <row r="2452" spans="1:8" x14ac:dyDescent="0.25">
      <c r="A2452" s="25" t="str">
        <f>IF($C2452="","",Registro_Compras!$Y$275)</f>
        <v/>
      </c>
      <c r="B2452" t="str">
        <f>IF($C2452="","","C"&amp;TEXT(INT((ROW()-5)/9)+1,"000")&amp;"-4")</f>
        <v/>
      </c>
      <c r="C2452" t="str">
        <f>IF(OR(Registro_Compras!$C$275="",Registro_Compras!$O$275="",Registro_Compras!$Y$275="",Registro_Compras!$F$275="NOTA DE CREDITO"),"","1041")</f>
        <v/>
      </c>
      <c r="D2452" t="str">
        <f>IF(OR(Registro_Compras!$C$275="",Registro_Compras!$O$275=""),"","Efectivo y Equivalentes - Cta. Cte. Operativa")</f>
        <v/>
      </c>
      <c r="E2452" s="20" t="str">
        <f>""</f>
        <v/>
      </c>
      <c r="F2452" s="20" t="str">
        <f>IF($C2452="","",IF(Registro_Compras!$F$275="RHE",(ROUND(Registro_Compras!$L$275*Registro_Compras!$N$275,2)-ROUND(Registro_Compras!$V$275*Registro_Compras!$N$275,2)),ROUND(Registro_Compras!$O$275-Registro_Compras!$S$275,2)))</f>
        <v/>
      </c>
      <c r="G2452" t="str">
        <f>IF($C2452="","","Por la cancelacion del saldo al proveedor")</f>
        <v/>
      </c>
      <c r="H2452" t="str">
        <f>IF($C2452="","",Registro_Compras!$C$275)</f>
        <v/>
      </c>
    </row>
    <row r="2453" spans="1:8" x14ac:dyDescent="0.25">
      <c r="A2453" s="25" t="str">
        <f>IF($C2453="","",Registro_Compras!$B$276)</f>
        <v/>
      </c>
      <c r="B2453" t="str">
        <f>IF($C2453="","","C"&amp;TEXT(INT((ROW()-5)/9)+1,"000")&amp;"-1")</f>
        <v/>
      </c>
      <c r="C2453" t="str">
        <f>IF(OR(Registro_Compras!$C$276="",Registro_Compras!$O$276=""),"",IF(Registro_Compras!$F$276="NOTA DE CREDITO","4212",IF(Registro_Compras!$M$276="","63",Registro_Compras!$M$276)))</f>
        <v/>
      </c>
      <c r="D2453" t="str">
        <f>IF(OR(Registro_Compras!$C$276="",Registro_Compras!$O$276=""),"",IF(Registro_Compras!$F$276="NOTA DE CREDITO","Cuentas por Pagar Comerciales - Terceros (Emitidas)",IF(Registro_Compras!$F$276="RHE","Honorarios Profesionales - Servicios de Terceros","Gastos de Servicios Prestados por Terceros")))</f>
        <v/>
      </c>
      <c r="E2453" s="20" t="str">
        <f>IF($C2453="","",IF(Registro_Compras!$F$276="NOTA DE CREDITO",ABS(Registro_Compras!$O$276),IF(Registro_Compras!$F$276="RHE",ROUND(Registro_Compras!$L$276*Registro_Compras!$N$276,2),ROUND(Registro_Compras!$J$276*Registro_Compras!$N$276,2))))</f>
        <v/>
      </c>
      <c r="F2453" s="20" t="str">
        <f>""</f>
        <v/>
      </c>
      <c r="G2453" t="str">
        <f>IF($C2453="","",IF(Registro_Compras!$F$276="NOTA DE CREDITO","Por la nota de credito "&amp;Registro_Compras!$C$276&amp;" de "&amp;Registro_Compras!$E$276&amp;" [PATRON POR CONFIRMAR CON CONTADOR]",IF(Registro_Compras!$F$276="RHE","Por el registro del recibo por honorarios "&amp;Registro_Compras!$C$276&amp;" de "&amp;Registro_Compras!$E$276&amp;" [PATRON POR CONFIRMAR CON CONTADOR]","Por el registro de la factura "&amp;Registro_Compras!$C$276&amp;" de "&amp;Registro_Compras!$E$276)))</f>
        <v/>
      </c>
      <c r="H2453" t="str">
        <f>IF($C2453="","",Registro_Compras!$C$276)</f>
        <v/>
      </c>
    </row>
    <row r="2454" spans="1:8" x14ac:dyDescent="0.25">
      <c r="A2454" s="25" t="str">
        <f>IF($C2454="","",Registro_Compras!$B$276)</f>
        <v/>
      </c>
      <c r="B2454" t="str">
        <f>IF($C2454="","","C"&amp;TEXT(INT((ROW()-5)/9)+1,"000")&amp;"-1")</f>
        <v/>
      </c>
      <c r="C2454" t="str">
        <f>IF(OR(Registro_Compras!$C$276="",Registro_Compras!$O$276=""),"",IF(Registro_Compras!$F$276="RHE",IF(Registro_Compras!$V$276=0,"","4017"),IF(Registro_Compras!$F$276="NOTA DE CREDITO",IF(Registro_Compras!$M$276="","63",Registro_Compras!$M$276),IF(Registro_Compras!$K$276=0,"","40111"))))</f>
        <v/>
      </c>
      <c r="D2454" t="str">
        <f>IF(OR(Registro_Compras!$C$276="",Registro_Compras!$O$276=""),"",IF(Registro_Compras!$F$276="RHE","Retencion Renta 4ta Categoria por Pagar",IF(Registro_Compras!$F$276="NOTA DE CREDITO","Gastos de Servicios Prestados por Terceros","IGV - Cuenta Propia (Credito Fiscal)")))</f>
        <v/>
      </c>
      <c r="E2454" s="20" t="str">
        <f>IF($C2454="","",IF(Registro_Compras!$F$276="FACTURA",ROUND(Registro_Compras!$K$276*Registro_Compras!$N$276,2),""))</f>
        <v/>
      </c>
      <c r="F2454" s="20" t="str">
        <f>IF($C2454="","",IF(Registro_Compras!$F$276="RHE",ROUND(Registro_Compras!$V$276*Registro_Compras!$N$276,2),IF(Registro_Compras!$F$276="NOTA DE CREDITO",ROUND(ABS(Registro_Compras!$J$276*Registro_Compras!$N$276),2),"")))</f>
        <v/>
      </c>
      <c r="G2454" t="str">
        <f>IF($C2454="","",IF(Registro_Compras!$F$276="NOTA DE CREDITO","Por la nota de credito "&amp;Registro_Compras!$C$276&amp;" de "&amp;Registro_Compras!$E$276&amp;" [PATRON POR CONFIRMAR CON CONTADOR]",IF(Registro_Compras!$F$276="RHE","Por el registro del recibo por honorarios "&amp;Registro_Compras!$C$276&amp;" de "&amp;Registro_Compras!$E$276&amp;" [PATRON POR CONFIRMAR CON CONTADOR]","Por el registro de la factura "&amp;Registro_Compras!$C$276&amp;" de "&amp;Registro_Compras!$E$276)))</f>
        <v/>
      </c>
      <c r="H2454" t="str">
        <f>IF($C2454="","",Registro_Compras!$C$276)</f>
        <v/>
      </c>
    </row>
    <row r="2455" spans="1:8" x14ac:dyDescent="0.25">
      <c r="A2455" s="25" t="str">
        <f>IF($C2455="","",Registro_Compras!$B$276)</f>
        <v/>
      </c>
      <c r="B2455" t="str">
        <f>IF($C2455="","","C"&amp;TEXT(INT((ROW()-5)/9)+1,"000")&amp;"-1")</f>
        <v/>
      </c>
      <c r="C2455" t="str">
        <f>IF(OR(Registro_Compras!$C$276="",Registro_Compras!$O$276=""),"",IF(Registro_Compras!$F$276="NOTA DE CREDITO",IF(Registro_Compras!$K$276=0,"","40111"),"4212"))</f>
        <v/>
      </c>
      <c r="D2455" t="str">
        <f>IF(OR(Registro_Compras!$C$276="",Registro_Compras!$O$276=""),"",IF(Registro_Compras!$F$276="NOTA DE CREDITO","IGV - Cuenta Propia (Credito Fiscal)","Cuentas por Pagar Comerciales - Terceros (Emitidas)"))</f>
        <v/>
      </c>
      <c r="E2455" s="20" t="str">
        <f>""</f>
        <v/>
      </c>
      <c r="F2455" s="20" t="str">
        <f>IF($C2455="","",IF(Registro_Compras!$F$276="NOTA DE CREDITO",ROUND(ABS(Registro_Compras!$K$276*Registro_Compras!$N$276),2),IF(Registro_Compras!$F$276="RHE",(ROUND(Registro_Compras!$L$276*Registro_Compras!$N$276,2)-ROUND(Registro_Compras!$V$276*Registro_Compras!$N$276,2)),Registro_Compras!$O$276)))</f>
        <v/>
      </c>
      <c r="G2455" t="str">
        <f>IF($C2455="","",IF(Registro_Compras!$F$276="NOTA DE CREDITO","Por la nota de credito "&amp;Registro_Compras!$C$276&amp;" de "&amp;Registro_Compras!$E$276&amp;" [PATRON POR CONFIRMAR CON CONTADOR]",IF(Registro_Compras!$F$276="RHE","Por el registro del recibo por honorarios "&amp;Registro_Compras!$C$276&amp;" de "&amp;Registro_Compras!$E$276&amp;" [PATRON POR CONFIRMAR CON CONTADOR]","Por el registro de la factura "&amp;Registro_Compras!$C$276&amp;" de "&amp;Registro_Compras!$E$276)))</f>
        <v/>
      </c>
      <c r="H2455" t="str">
        <f>IF($C2455="","",Registro_Compras!$C$276)</f>
        <v/>
      </c>
    </row>
    <row r="2456" spans="1:8" x14ac:dyDescent="0.25">
      <c r="A2456" s="25" t="str">
        <f>IF($C2456="","",Registro_Compras!$B$276)</f>
        <v/>
      </c>
      <c r="B2456" t="str">
        <f>IF($C2456="","","C"&amp;TEXT(INT((ROW()-5)/9)+1,"000")&amp;"-2")</f>
        <v/>
      </c>
      <c r="C2456" t="str">
        <f>IF(OR(Registro_Compras!$C$276="",Registro_Compras!$O$276=""),"",IF(Registro_Compras!$AB$276="ADMINISTRATIVO","94","95"))</f>
        <v/>
      </c>
      <c r="D2456" t="str">
        <f>IF(OR(Registro_Compras!$C$276="",Registro_Compras!$O$276=""),"",IF(Registro_Compras!$AB$276="ADMINISTRATIVO","Gastos Administrativos","Gastos de Venta y Operacion"))</f>
        <v/>
      </c>
      <c r="E2456" s="20" t="str">
        <f>IF($C2456="","",IF(Registro_Compras!$F$276="NOTA DE CREDITO","",IF(Registro_Compras!$F$276="RHE",ROUND(Registro_Compras!$L$276*Registro_Compras!$N$276,2),ROUND(Registro_Compras!$J$276*Registro_Compras!$N$276,2))))</f>
        <v/>
      </c>
      <c r="F2456" s="20" t="str">
        <f>IF($C2456="","",IF(Registro_Compras!$F$276="NOTA DE CREDITO",ROUND(ABS(Registro_Compras!$J$276*Registro_Compras!$N$276),2),""))</f>
        <v/>
      </c>
      <c r="G2456" t="str">
        <f>IF($C2456="","","Por el destino del gasto")</f>
        <v/>
      </c>
      <c r="H2456" t="str">
        <f>IF($C2456="","",Registro_Compras!$C$276)</f>
        <v/>
      </c>
    </row>
    <row r="2457" spans="1:8" x14ac:dyDescent="0.25">
      <c r="A2457" s="25" t="str">
        <f>IF($C2457="","",Registro_Compras!$B$276)</f>
        <v/>
      </c>
      <c r="B2457" t="str">
        <f>IF($C2457="","","C"&amp;TEXT(INT((ROW()-5)/9)+1,"000")&amp;"-2")</f>
        <v/>
      </c>
      <c r="C2457" t="str">
        <f>IF(OR(Registro_Compras!$C$276="",Registro_Compras!$O$276=""),"","79/791")</f>
        <v/>
      </c>
      <c r="D2457" t="str">
        <f>IF(OR(Registro_Compras!$C$276="",Registro_Compras!$O$276=""),"","Cargas Imputables a Cuentas de Costos y Gastos")</f>
        <v/>
      </c>
      <c r="E2457" s="20" t="str">
        <f>IF($C2457="","",IF(Registro_Compras!$F$276="NOTA DE CREDITO",ROUND(ABS(Registro_Compras!$J$276*Registro_Compras!$N$276),2),""))</f>
        <v/>
      </c>
      <c r="F2457" s="20" t="str">
        <f>IF($C2457="","",IF(Registro_Compras!$F$276="NOTA DE CREDITO","",IF(Registro_Compras!$F$276="RHE",ROUND(Registro_Compras!$L$276*Registro_Compras!$N$276,2),ROUND(Registro_Compras!$J$276*Registro_Compras!$N$276,2))))</f>
        <v/>
      </c>
      <c r="G2457" t="str">
        <f>IF($C2457="","","Por el destino del gasto")</f>
        <v/>
      </c>
      <c r="H2457" t="str">
        <f>IF($C2457="","",Registro_Compras!$C$276)</f>
        <v/>
      </c>
    </row>
    <row r="2458" spans="1:8" x14ac:dyDescent="0.25">
      <c r="A2458" s="25" t="str">
        <f>IF($C2458="","",Registro_Compras!$X$276)</f>
        <v/>
      </c>
      <c r="B2458" t="str">
        <f>IF($C2458="","","C"&amp;TEXT(INT((ROW()-5)/9)+1,"000")&amp;"-3")</f>
        <v/>
      </c>
      <c r="C2458" t="str">
        <f>IF(OR(Registro_Compras!$C$276="",Registro_Compras!$O$276="",Registro_Compras!$R$276&lt;&gt;"SI",Registro_Compras!$X$276=""),"","4212")</f>
        <v/>
      </c>
      <c r="D2458" t="str">
        <f>IF(OR(Registro_Compras!$C$276="",Registro_Compras!$O$276=""),"","Cuentas por Pagar Comerciales - Terceros")</f>
        <v/>
      </c>
      <c r="E2458" s="20" t="str">
        <f>IF($C2458="","",Registro_Compras!$S$276)</f>
        <v/>
      </c>
      <c r="F2458" s="20" t="str">
        <f>""</f>
        <v/>
      </c>
      <c r="G2458" t="str">
        <f>IF($C2458="","","Por el deposito de la detraccion en el Banco de la Nacion")</f>
        <v/>
      </c>
      <c r="H2458" t="str">
        <f>IF($C2458="","",Registro_Compras!$C$276)</f>
        <v/>
      </c>
    </row>
    <row r="2459" spans="1:8" x14ac:dyDescent="0.25">
      <c r="A2459" s="25" t="str">
        <f>IF($C2459="","",Registro_Compras!$X$276)</f>
        <v/>
      </c>
      <c r="B2459" t="str">
        <f>IF($C2459="","","C"&amp;TEXT(INT((ROW()-5)/9)+1,"000")&amp;"-3")</f>
        <v/>
      </c>
      <c r="C2459" t="str">
        <f>IF(OR(Registro_Compras!$C$276="",Registro_Compras!$O$276="",Registro_Compras!$R$276&lt;&gt;"SI",Registro_Compras!$X$276=""),"","1041")</f>
        <v/>
      </c>
      <c r="D2459" t="str">
        <f>IF(OR(Registro_Compras!$C$276="",Registro_Compras!$O$276=""),"","Efectivo y Equivalentes - Cta. Cte. Operativa")</f>
        <v/>
      </c>
      <c r="E2459" s="20" t="str">
        <f>""</f>
        <v/>
      </c>
      <c r="F2459" s="20" t="str">
        <f>IF($C2459="","",Registro_Compras!$S$276)</f>
        <v/>
      </c>
      <c r="G2459" t="str">
        <f>IF($C2459="","","Por el deposito de la detraccion en el Banco de la Nacion")</f>
        <v/>
      </c>
      <c r="H2459" t="str">
        <f>IF($C2459="","",Registro_Compras!$C$276)</f>
        <v/>
      </c>
    </row>
    <row r="2460" spans="1:8" x14ac:dyDescent="0.25">
      <c r="A2460" s="25" t="str">
        <f>IF($C2460="","",Registro_Compras!$Y$276)</f>
        <v/>
      </c>
      <c r="B2460" t="str">
        <f>IF($C2460="","","C"&amp;TEXT(INT((ROW()-5)/9)+1,"000")&amp;"-4")</f>
        <v/>
      </c>
      <c r="C2460" t="str">
        <f>IF(OR(Registro_Compras!$C$276="",Registro_Compras!$O$276="",Registro_Compras!$Y$276="",Registro_Compras!$F$276="NOTA DE CREDITO"),"","4212")</f>
        <v/>
      </c>
      <c r="D2460" t="str">
        <f>IF(OR(Registro_Compras!$C$276="",Registro_Compras!$O$276=""),"","Cuentas por Pagar Comerciales - Terceros")</f>
        <v/>
      </c>
      <c r="E2460" s="20" t="str">
        <f>IF($C2460="","",IF(Registro_Compras!$F$276="RHE",(ROUND(Registro_Compras!$L$276*Registro_Compras!$N$276,2)-ROUND(Registro_Compras!$V$276*Registro_Compras!$N$276,2)),ROUND(Registro_Compras!$O$276-Registro_Compras!$S$276,2)))</f>
        <v/>
      </c>
      <c r="F2460" s="20" t="str">
        <f>""</f>
        <v/>
      </c>
      <c r="G2460" t="str">
        <f>IF($C2460="","","Por la cancelacion del saldo al proveedor")</f>
        <v/>
      </c>
      <c r="H2460" t="str">
        <f>IF($C2460="","",Registro_Compras!$C$276)</f>
        <v/>
      </c>
    </row>
    <row r="2461" spans="1:8" x14ac:dyDescent="0.25">
      <c r="A2461" s="25" t="str">
        <f>IF($C2461="","",Registro_Compras!$Y$276)</f>
        <v/>
      </c>
      <c r="B2461" t="str">
        <f>IF($C2461="","","C"&amp;TEXT(INT((ROW()-5)/9)+1,"000")&amp;"-4")</f>
        <v/>
      </c>
      <c r="C2461" t="str">
        <f>IF(OR(Registro_Compras!$C$276="",Registro_Compras!$O$276="",Registro_Compras!$Y$276="",Registro_Compras!$F$276="NOTA DE CREDITO"),"","1041")</f>
        <v/>
      </c>
      <c r="D2461" t="str">
        <f>IF(OR(Registro_Compras!$C$276="",Registro_Compras!$O$276=""),"","Efectivo y Equivalentes - Cta. Cte. Operativa")</f>
        <v/>
      </c>
      <c r="E2461" s="20" t="str">
        <f>""</f>
        <v/>
      </c>
      <c r="F2461" s="20" t="str">
        <f>IF($C2461="","",IF(Registro_Compras!$F$276="RHE",(ROUND(Registro_Compras!$L$276*Registro_Compras!$N$276,2)-ROUND(Registro_Compras!$V$276*Registro_Compras!$N$276,2)),ROUND(Registro_Compras!$O$276-Registro_Compras!$S$276,2)))</f>
        <v/>
      </c>
      <c r="G2461" t="str">
        <f>IF($C2461="","","Por la cancelacion del saldo al proveedor")</f>
        <v/>
      </c>
      <c r="H2461" t="str">
        <f>IF($C2461="","",Registro_Compras!$C$276)</f>
        <v/>
      </c>
    </row>
    <row r="2462" spans="1:8" x14ac:dyDescent="0.25">
      <c r="A2462" s="25" t="str">
        <f>IF($C2462="","",Registro_Compras!$B$277)</f>
        <v/>
      </c>
      <c r="B2462" t="str">
        <f>IF($C2462="","","C"&amp;TEXT(INT((ROW()-5)/9)+1,"000")&amp;"-1")</f>
        <v/>
      </c>
      <c r="C2462" t="str">
        <f>IF(OR(Registro_Compras!$C$277="",Registro_Compras!$O$277=""),"",IF(Registro_Compras!$F$277="NOTA DE CREDITO","4212",IF(Registro_Compras!$M$277="","63",Registro_Compras!$M$277)))</f>
        <v/>
      </c>
      <c r="D2462" t="str">
        <f>IF(OR(Registro_Compras!$C$277="",Registro_Compras!$O$277=""),"",IF(Registro_Compras!$F$277="NOTA DE CREDITO","Cuentas por Pagar Comerciales - Terceros (Emitidas)",IF(Registro_Compras!$F$277="RHE","Honorarios Profesionales - Servicios de Terceros","Gastos de Servicios Prestados por Terceros")))</f>
        <v/>
      </c>
      <c r="E2462" s="20" t="str">
        <f>IF($C2462="","",IF(Registro_Compras!$F$277="NOTA DE CREDITO",ABS(Registro_Compras!$O$277),IF(Registro_Compras!$F$277="RHE",ROUND(Registro_Compras!$L$277*Registro_Compras!$N$277,2),ROUND(Registro_Compras!$J$277*Registro_Compras!$N$277,2))))</f>
        <v/>
      </c>
      <c r="F2462" s="20" t="str">
        <f>""</f>
        <v/>
      </c>
      <c r="G2462" t="str">
        <f>IF($C2462="","",IF(Registro_Compras!$F$277="NOTA DE CREDITO","Por la nota de credito "&amp;Registro_Compras!$C$277&amp;" de "&amp;Registro_Compras!$E$277&amp;" [PATRON POR CONFIRMAR CON CONTADOR]",IF(Registro_Compras!$F$277="RHE","Por el registro del recibo por honorarios "&amp;Registro_Compras!$C$277&amp;" de "&amp;Registro_Compras!$E$277&amp;" [PATRON POR CONFIRMAR CON CONTADOR]","Por el registro de la factura "&amp;Registro_Compras!$C$277&amp;" de "&amp;Registro_Compras!$E$277)))</f>
        <v/>
      </c>
      <c r="H2462" t="str">
        <f>IF($C2462="","",Registro_Compras!$C$277)</f>
        <v/>
      </c>
    </row>
    <row r="2463" spans="1:8" x14ac:dyDescent="0.25">
      <c r="A2463" s="25" t="str">
        <f>IF($C2463="","",Registro_Compras!$B$277)</f>
        <v/>
      </c>
      <c r="B2463" t="str">
        <f>IF($C2463="","","C"&amp;TEXT(INT((ROW()-5)/9)+1,"000")&amp;"-1")</f>
        <v/>
      </c>
      <c r="C2463" t="str">
        <f>IF(OR(Registro_Compras!$C$277="",Registro_Compras!$O$277=""),"",IF(Registro_Compras!$F$277="RHE",IF(Registro_Compras!$V$277=0,"","4017"),IF(Registro_Compras!$F$277="NOTA DE CREDITO",IF(Registro_Compras!$M$277="","63",Registro_Compras!$M$277),IF(Registro_Compras!$K$277=0,"","40111"))))</f>
        <v/>
      </c>
      <c r="D2463" t="str">
        <f>IF(OR(Registro_Compras!$C$277="",Registro_Compras!$O$277=""),"",IF(Registro_Compras!$F$277="RHE","Retencion Renta 4ta Categoria por Pagar",IF(Registro_Compras!$F$277="NOTA DE CREDITO","Gastos de Servicios Prestados por Terceros","IGV - Cuenta Propia (Credito Fiscal)")))</f>
        <v/>
      </c>
      <c r="E2463" s="20" t="str">
        <f>IF($C2463="","",IF(Registro_Compras!$F$277="FACTURA",ROUND(Registro_Compras!$K$277*Registro_Compras!$N$277,2),""))</f>
        <v/>
      </c>
      <c r="F2463" s="20" t="str">
        <f>IF($C2463="","",IF(Registro_Compras!$F$277="RHE",ROUND(Registro_Compras!$V$277*Registro_Compras!$N$277,2),IF(Registro_Compras!$F$277="NOTA DE CREDITO",ROUND(ABS(Registro_Compras!$J$277*Registro_Compras!$N$277),2),"")))</f>
        <v/>
      </c>
      <c r="G2463" t="str">
        <f>IF($C2463="","",IF(Registro_Compras!$F$277="NOTA DE CREDITO","Por la nota de credito "&amp;Registro_Compras!$C$277&amp;" de "&amp;Registro_Compras!$E$277&amp;" [PATRON POR CONFIRMAR CON CONTADOR]",IF(Registro_Compras!$F$277="RHE","Por el registro del recibo por honorarios "&amp;Registro_Compras!$C$277&amp;" de "&amp;Registro_Compras!$E$277&amp;" [PATRON POR CONFIRMAR CON CONTADOR]","Por el registro de la factura "&amp;Registro_Compras!$C$277&amp;" de "&amp;Registro_Compras!$E$277)))</f>
        <v/>
      </c>
      <c r="H2463" t="str">
        <f>IF($C2463="","",Registro_Compras!$C$277)</f>
        <v/>
      </c>
    </row>
    <row r="2464" spans="1:8" x14ac:dyDescent="0.25">
      <c r="A2464" s="25" t="str">
        <f>IF($C2464="","",Registro_Compras!$B$277)</f>
        <v/>
      </c>
      <c r="B2464" t="str">
        <f>IF($C2464="","","C"&amp;TEXT(INT((ROW()-5)/9)+1,"000")&amp;"-1")</f>
        <v/>
      </c>
      <c r="C2464" t="str">
        <f>IF(OR(Registro_Compras!$C$277="",Registro_Compras!$O$277=""),"",IF(Registro_Compras!$F$277="NOTA DE CREDITO",IF(Registro_Compras!$K$277=0,"","40111"),"4212"))</f>
        <v/>
      </c>
      <c r="D2464" t="str">
        <f>IF(OR(Registro_Compras!$C$277="",Registro_Compras!$O$277=""),"",IF(Registro_Compras!$F$277="NOTA DE CREDITO","IGV - Cuenta Propia (Credito Fiscal)","Cuentas por Pagar Comerciales - Terceros (Emitidas)"))</f>
        <v/>
      </c>
      <c r="E2464" s="20" t="str">
        <f>""</f>
        <v/>
      </c>
      <c r="F2464" s="20" t="str">
        <f>IF($C2464="","",IF(Registro_Compras!$F$277="NOTA DE CREDITO",ROUND(ABS(Registro_Compras!$K$277*Registro_Compras!$N$277),2),IF(Registro_Compras!$F$277="RHE",(ROUND(Registro_Compras!$L$277*Registro_Compras!$N$277,2)-ROUND(Registro_Compras!$V$277*Registro_Compras!$N$277,2)),Registro_Compras!$O$277)))</f>
        <v/>
      </c>
      <c r="G2464" t="str">
        <f>IF($C2464="","",IF(Registro_Compras!$F$277="NOTA DE CREDITO","Por la nota de credito "&amp;Registro_Compras!$C$277&amp;" de "&amp;Registro_Compras!$E$277&amp;" [PATRON POR CONFIRMAR CON CONTADOR]",IF(Registro_Compras!$F$277="RHE","Por el registro del recibo por honorarios "&amp;Registro_Compras!$C$277&amp;" de "&amp;Registro_Compras!$E$277&amp;" [PATRON POR CONFIRMAR CON CONTADOR]","Por el registro de la factura "&amp;Registro_Compras!$C$277&amp;" de "&amp;Registro_Compras!$E$277)))</f>
        <v/>
      </c>
      <c r="H2464" t="str">
        <f>IF($C2464="","",Registro_Compras!$C$277)</f>
        <v/>
      </c>
    </row>
    <row r="2465" spans="1:8" x14ac:dyDescent="0.25">
      <c r="A2465" s="25" t="str">
        <f>IF($C2465="","",Registro_Compras!$B$277)</f>
        <v/>
      </c>
      <c r="B2465" t="str">
        <f>IF($C2465="","","C"&amp;TEXT(INT((ROW()-5)/9)+1,"000")&amp;"-2")</f>
        <v/>
      </c>
      <c r="C2465" t="str">
        <f>IF(OR(Registro_Compras!$C$277="",Registro_Compras!$O$277=""),"",IF(Registro_Compras!$AB$277="ADMINISTRATIVO","94","95"))</f>
        <v/>
      </c>
      <c r="D2465" t="str">
        <f>IF(OR(Registro_Compras!$C$277="",Registro_Compras!$O$277=""),"",IF(Registro_Compras!$AB$277="ADMINISTRATIVO","Gastos Administrativos","Gastos de Venta y Operacion"))</f>
        <v/>
      </c>
      <c r="E2465" s="20" t="str">
        <f>IF($C2465="","",IF(Registro_Compras!$F$277="NOTA DE CREDITO","",IF(Registro_Compras!$F$277="RHE",ROUND(Registro_Compras!$L$277*Registro_Compras!$N$277,2),ROUND(Registro_Compras!$J$277*Registro_Compras!$N$277,2))))</f>
        <v/>
      </c>
      <c r="F2465" s="20" t="str">
        <f>IF($C2465="","",IF(Registro_Compras!$F$277="NOTA DE CREDITO",ROUND(ABS(Registro_Compras!$J$277*Registro_Compras!$N$277),2),""))</f>
        <v/>
      </c>
      <c r="G2465" t="str">
        <f>IF($C2465="","","Por el destino del gasto")</f>
        <v/>
      </c>
      <c r="H2465" t="str">
        <f>IF($C2465="","",Registro_Compras!$C$277)</f>
        <v/>
      </c>
    </row>
    <row r="2466" spans="1:8" x14ac:dyDescent="0.25">
      <c r="A2466" s="25" t="str">
        <f>IF($C2466="","",Registro_Compras!$B$277)</f>
        <v/>
      </c>
      <c r="B2466" t="str">
        <f>IF($C2466="","","C"&amp;TEXT(INT((ROW()-5)/9)+1,"000")&amp;"-2")</f>
        <v/>
      </c>
      <c r="C2466" t="str">
        <f>IF(OR(Registro_Compras!$C$277="",Registro_Compras!$O$277=""),"","79/791")</f>
        <v/>
      </c>
      <c r="D2466" t="str">
        <f>IF(OR(Registro_Compras!$C$277="",Registro_Compras!$O$277=""),"","Cargas Imputables a Cuentas de Costos y Gastos")</f>
        <v/>
      </c>
      <c r="E2466" s="20" t="str">
        <f>IF($C2466="","",IF(Registro_Compras!$F$277="NOTA DE CREDITO",ROUND(ABS(Registro_Compras!$J$277*Registro_Compras!$N$277),2),""))</f>
        <v/>
      </c>
      <c r="F2466" s="20" t="str">
        <f>IF($C2466="","",IF(Registro_Compras!$F$277="NOTA DE CREDITO","",IF(Registro_Compras!$F$277="RHE",ROUND(Registro_Compras!$L$277*Registro_Compras!$N$277,2),ROUND(Registro_Compras!$J$277*Registro_Compras!$N$277,2))))</f>
        <v/>
      </c>
      <c r="G2466" t="str">
        <f>IF($C2466="","","Por el destino del gasto")</f>
        <v/>
      </c>
      <c r="H2466" t="str">
        <f>IF($C2466="","",Registro_Compras!$C$277)</f>
        <v/>
      </c>
    </row>
    <row r="2467" spans="1:8" x14ac:dyDescent="0.25">
      <c r="A2467" s="25" t="str">
        <f>IF($C2467="","",Registro_Compras!$X$277)</f>
        <v/>
      </c>
      <c r="B2467" t="str">
        <f>IF($C2467="","","C"&amp;TEXT(INT((ROW()-5)/9)+1,"000")&amp;"-3")</f>
        <v/>
      </c>
      <c r="C2467" t="str">
        <f>IF(OR(Registro_Compras!$C$277="",Registro_Compras!$O$277="",Registro_Compras!$R$277&lt;&gt;"SI",Registro_Compras!$X$277=""),"","4212")</f>
        <v/>
      </c>
      <c r="D2467" t="str">
        <f>IF(OR(Registro_Compras!$C$277="",Registro_Compras!$O$277=""),"","Cuentas por Pagar Comerciales - Terceros")</f>
        <v/>
      </c>
      <c r="E2467" s="20" t="str">
        <f>IF($C2467="","",Registro_Compras!$S$277)</f>
        <v/>
      </c>
      <c r="F2467" s="20" t="str">
        <f>""</f>
        <v/>
      </c>
      <c r="G2467" t="str">
        <f>IF($C2467="","","Por el deposito de la detraccion en el Banco de la Nacion")</f>
        <v/>
      </c>
      <c r="H2467" t="str">
        <f>IF($C2467="","",Registro_Compras!$C$277)</f>
        <v/>
      </c>
    </row>
    <row r="2468" spans="1:8" x14ac:dyDescent="0.25">
      <c r="A2468" s="25" t="str">
        <f>IF($C2468="","",Registro_Compras!$X$277)</f>
        <v/>
      </c>
      <c r="B2468" t="str">
        <f>IF($C2468="","","C"&amp;TEXT(INT((ROW()-5)/9)+1,"000")&amp;"-3")</f>
        <v/>
      </c>
      <c r="C2468" t="str">
        <f>IF(OR(Registro_Compras!$C$277="",Registro_Compras!$O$277="",Registro_Compras!$R$277&lt;&gt;"SI",Registro_Compras!$X$277=""),"","1041")</f>
        <v/>
      </c>
      <c r="D2468" t="str">
        <f>IF(OR(Registro_Compras!$C$277="",Registro_Compras!$O$277=""),"","Efectivo y Equivalentes - Cta. Cte. Operativa")</f>
        <v/>
      </c>
      <c r="E2468" s="20" t="str">
        <f>""</f>
        <v/>
      </c>
      <c r="F2468" s="20" t="str">
        <f>IF($C2468="","",Registro_Compras!$S$277)</f>
        <v/>
      </c>
      <c r="G2468" t="str">
        <f>IF($C2468="","","Por el deposito de la detraccion en el Banco de la Nacion")</f>
        <v/>
      </c>
      <c r="H2468" t="str">
        <f>IF($C2468="","",Registro_Compras!$C$277)</f>
        <v/>
      </c>
    </row>
    <row r="2469" spans="1:8" x14ac:dyDescent="0.25">
      <c r="A2469" s="25" t="str">
        <f>IF($C2469="","",Registro_Compras!$Y$277)</f>
        <v/>
      </c>
      <c r="B2469" t="str">
        <f>IF($C2469="","","C"&amp;TEXT(INT((ROW()-5)/9)+1,"000")&amp;"-4")</f>
        <v/>
      </c>
      <c r="C2469" t="str">
        <f>IF(OR(Registro_Compras!$C$277="",Registro_Compras!$O$277="",Registro_Compras!$Y$277="",Registro_Compras!$F$277="NOTA DE CREDITO"),"","4212")</f>
        <v/>
      </c>
      <c r="D2469" t="str">
        <f>IF(OR(Registro_Compras!$C$277="",Registro_Compras!$O$277=""),"","Cuentas por Pagar Comerciales - Terceros")</f>
        <v/>
      </c>
      <c r="E2469" s="20" t="str">
        <f>IF($C2469="","",IF(Registro_Compras!$F$277="RHE",(ROUND(Registro_Compras!$L$277*Registro_Compras!$N$277,2)-ROUND(Registro_Compras!$V$277*Registro_Compras!$N$277,2)),ROUND(Registro_Compras!$O$277-Registro_Compras!$S$277,2)))</f>
        <v/>
      </c>
      <c r="F2469" s="20" t="str">
        <f>""</f>
        <v/>
      </c>
      <c r="G2469" t="str">
        <f>IF($C2469="","","Por la cancelacion del saldo al proveedor")</f>
        <v/>
      </c>
      <c r="H2469" t="str">
        <f>IF($C2469="","",Registro_Compras!$C$277)</f>
        <v/>
      </c>
    </row>
    <row r="2470" spans="1:8" x14ac:dyDescent="0.25">
      <c r="A2470" s="25" t="str">
        <f>IF($C2470="","",Registro_Compras!$Y$277)</f>
        <v/>
      </c>
      <c r="B2470" t="str">
        <f>IF($C2470="","","C"&amp;TEXT(INT((ROW()-5)/9)+1,"000")&amp;"-4")</f>
        <v/>
      </c>
      <c r="C2470" t="str">
        <f>IF(OR(Registro_Compras!$C$277="",Registro_Compras!$O$277="",Registro_Compras!$Y$277="",Registro_Compras!$F$277="NOTA DE CREDITO"),"","1041")</f>
        <v/>
      </c>
      <c r="D2470" t="str">
        <f>IF(OR(Registro_Compras!$C$277="",Registro_Compras!$O$277=""),"","Efectivo y Equivalentes - Cta. Cte. Operativa")</f>
        <v/>
      </c>
      <c r="E2470" s="20" t="str">
        <f>""</f>
        <v/>
      </c>
      <c r="F2470" s="20" t="str">
        <f>IF($C2470="","",IF(Registro_Compras!$F$277="RHE",(ROUND(Registro_Compras!$L$277*Registro_Compras!$N$277,2)-ROUND(Registro_Compras!$V$277*Registro_Compras!$N$277,2)),ROUND(Registro_Compras!$O$277-Registro_Compras!$S$277,2)))</f>
        <v/>
      </c>
      <c r="G2470" t="str">
        <f>IF($C2470="","","Por la cancelacion del saldo al proveedor")</f>
        <v/>
      </c>
      <c r="H2470" t="str">
        <f>IF($C2470="","",Registro_Compras!$C$277)</f>
        <v/>
      </c>
    </row>
    <row r="2471" spans="1:8" x14ac:dyDescent="0.25">
      <c r="A2471" s="25" t="str">
        <f>IF($C2471="","",Registro_Compras!$B$278)</f>
        <v/>
      </c>
      <c r="B2471" t="str">
        <f>IF($C2471="","","C"&amp;TEXT(INT((ROW()-5)/9)+1,"000")&amp;"-1")</f>
        <v/>
      </c>
      <c r="C2471" t="str">
        <f>IF(OR(Registro_Compras!$C$278="",Registro_Compras!$O$278=""),"",IF(Registro_Compras!$F$278="NOTA DE CREDITO","4212",IF(Registro_Compras!$M$278="","63",Registro_Compras!$M$278)))</f>
        <v/>
      </c>
      <c r="D2471" t="str">
        <f>IF(OR(Registro_Compras!$C$278="",Registro_Compras!$O$278=""),"",IF(Registro_Compras!$F$278="NOTA DE CREDITO","Cuentas por Pagar Comerciales - Terceros (Emitidas)",IF(Registro_Compras!$F$278="RHE","Honorarios Profesionales - Servicios de Terceros","Gastos de Servicios Prestados por Terceros")))</f>
        <v/>
      </c>
      <c r="E2471" s="20" t="str">
        <f>IF($C2471="","",IF(Registro_Compras!$F$278="NOTA DE CREDITO",ABS(Registro_Compras!$O$278),IF(Registro_Compras!$F$278="RHE",ROUND(Registro_Compras!$L$278*Registro_Compras!$N$278,2),ROUND(Registro_Compras!$J$278*Registro_Compras!$N$278,2))))</f>
        <v/>
      </c>
      <c r="F2471" s="20" t="str">
        <f>""</f>
        <v/>
      </c>
      <c r="G2471" t="str">
        <f>IF($C2471="","",IF(Registro_Compras!$F$278="NOTA DE CREDITO","Por la nota de credito "&amp;Registro_Compras!$C$278&amp;" de "&amp;Registro_Compras!$E$278&amp;" [PATRON POR CONFIRMAR CON CONTADOR]",IF(Registro_Compras!$F$278="RHE","Por el registro del recibo por honorarios "&amp;Registro_Compras!$C$278&amp;" de "&amp;Registro_Compras!$E$278&amp;" [PATRON POR CONFIRMAR CON CONTADOR]","Por el registro de la factura "&amp;Registro_Compras!$C$278&amp;" de "&amp;Registro_Compras!$E$278)))</f>
        <v/>
      </c>
      <c r="H2471" t="str">
        <f>IF($C2471="","",Registro_Compras!$C$278)</f>
        <v/>
      </c>
    </row>
    <row r="2472" spans="1:8" x14ac:dyDescent="0.25">
      <c r="A2472" s="25" t="str">
        <f>IF($C2472="","",Registro_Compras!$B$278)</f>
        <v/>
      </c>
      <c r="B2472" t="str">
        <f>IF($C2472="","","C"&amp;TEXT(INT((ROW()-5)/9)+1,"000")&amp;"-1")</f>
        <v/>
      </c>
      <c r="C2472" t="str">
        <f>IF(OR(Registro_Compras!$C$278="",Registro_Compras!$O$278=""),"",IF(Registro_Compras!$F$278="RHE",IF(Registro_Compras!$V$278=0,"","4017"),IF(Registro_Compras!$F$278="NOTA DE CREDITO",IF(Registro_Compras!$M$278="","63",Registro_Compras!$M$278),IF(Registro_Compras!$K$278=0,"","40111"))))</f>
        <v/>
      </c>
      <c r="D2472" t="str">
        <f>IF(OR(Registro_Compras!$C$278="",Registro_Compras!$O$278=""),"",IF(Registro_Compras!$F$278="RHE","Retencion Renta 4ta Categoria por Pagar",IF(Registro_Compras!$F$278="NOTA DE CREDITO","Gastos de Servicios Prestados por Terceros","IGV - Cuenta Propia (Credito Fiscal)")))</f>
        <v/>
      </c>
      <c r="E2472" s="20" t="str">
        <f>IF($C2472="","",IF(Registro_Compras!$F$278="FACTURA",ROUND(Registro_Compras!$K$278*Registro_Compras!$N$278,2),""))</f>
        <v/>
      </c>
      <c r="F2472" s="20" t="str">
        <f>IF($C2472="","",IF(Registro_Compras!$F$278="RHE",ROUND(Registro_Compras!$V$278*Registro_Compras!$N$278,2),IF(Registro_Compras!$F$278="NOTA DE CREDITO",ROUND(ABS(Registro_Compras!$J$278*Registro_Compras!$N$278),2),"")))</f>
        <v/>
      </c>
      <c r="G2472" t="str">
        <f>IF($C2472="","",IF(Registro_Compras!$F$278="NOTA DE CREDITO","Por la nota de credito "&amp;Registro_Compras!$C$278&amp;" de "&amp;Registro_Compras!$E$278&amp;" [PATRON POR CONFIRMAR CON CONTADOR]",IF(Registro_Compras!$F$278="RHE","Por el registro del recibo por honorarios "&amp;Registro_Compras!$C$278&amp;" de "&amp;Registro_Compras!$E$278&amp;" [PATRON POR CONFIRMAR CON CONTADOR]","Por el registro de la factura "&amp;Registro_Compras!$C$278&amp;" de "&amp;Registro_Compras!$E$278)))</f>
        <v/>
      </c>
      <c r="H2472" t="str">
        <f>IF($C2472="","",Registro_Compras!$C$278)</f>
        <v/>
      </c>
    </row>
    <row r="2473" spans="1:8" x14ac:dyDescent="0.25">
      <c r="A2473" s="25" t="str">
        <f>IF($C2473="","",Registro_Compras!$B$278)</f>
        <v/>
      </c>
      <c r="B2473" t="str">
        <f>IF($C2473="","","C"&amp;TEXT(INT((ROW()-5)/9)+1,"000")&amp;"-1")</f>
        <v/>
      </c>
      <c r="C2473" t="str">
        <f>IF(OR(Registro_Compras!$C$278="",Registro_Compras!$O$278=""),"",IF(Registro_Compras!$F$278="NOTA DE CREDITO",IF(Registro_Compras!$K$278=0,"","40111"),"4212"))</f>
        <v/>
      </c>
      <c r="D2473" t="str">
        <f>IF(OR(Registro_Compras!$C$278="",Registro_Compras!$O$278=""),"",IF(Registro_Compras!$F$278="NOTA DE CREDITO","IGV - Cuenta Propia (Credito Fiscal)","Cuentas por Pagar Comerciales - Terceros (Emitidas)"))</f>
        <v/>
      </c>
      <c r="E2473" s="20" t="str">
        <f>""</f>
        <v/>
      </c>
      <c r="F2473" s="20" t="str">
        <f>IF($C2473="","",IF(Registro_Compras!$F$278="NOTA DE CREDITO",ROUND(ABS(Registro_Compras!$K$278*Registro_Compras!$N$278),2),IF(Registro_Compras!$F$278="RHE",(ROUND(Registro_Compras!$L$278*Registro_Compras!$N$278,2)-ROUND(Registro_Compras!$V$278*Registro_Compras!$N$278,2)),Registro_Compras!$O$278)))</f>
        <v/>
      </c>
      <c r="G2473" t="str">
        <f>IF($C2473="","",IF(Registro_Compras!$F$278="NOTA DE CREDITO","Por la nota de credito "&amp;Registro_Compras!$C$278&amp;" de "&amp;Registro_Compras!$E$278&amp;" [PATRON POR CONFIRMAR CON CONTADOR]",IF(Registro_Compras!$F$278="RHE","Por el registro del recibo por honorarios "&amp;Registro_Compras!$C$278&amp;" de "&amp;Registro_Compras!$E$278&amp;" [PATRON POR CONFIRMAR CON CONTADOR]","Por el registro de la factura "&amp;Registro_Compras!$C$278&amp;" de "&amp;Registro_Compras!$E$278)))</f>
        <v/>
      </c>
      <c r="H2473" t="str">
        <f>IF($C2473="","",Registro_Compras!$C$278)</f>
        <v/>
      </c>
    </row>
    <row r="2474" spans="1:8" x14ac:dyDescent="0.25">
      <c r="A2474" s="25" t="str">
        <f>IF($C2474="","",Registro_Compras!$B$278)</f>
        <v/>
      </c>
      <c r="B2474" t="str">
        <f>IF($C2474="","","C"&amp;TEXT(INT((ROW()-5)/9)+1,"000")&amp;"-2")</f>
        <v/>
      </c>
      <c r="C2474" t="str">
        <f>IF(OR(Registro_Compras!$C$278="",Registro_Compras!$O$278=""),"",IF(Registro_Compras!$AB$278="ADMINISTRATIVO","94","95"))</f>
        <v/>
      </c>
      <c r="D2474" t="str">
        <f>IF(OR(Registro_Compras!$C$278="",Registro_Compras!$O$278=""),"",IF(Registro_Compras!$AB$278="ADMINISTRATIVO","Gastos Administrativos","Gastos de Venta y Operacion"))</f>
        <v/>
      </c>
      <c r="E2474" s="20" t="str">
        <f>IF($C2474="","",IF(Registro_Compras!$F$278="NOTA DE CREDITO","",IF(Registro_Compras!$F$278="RHE",ROUND(Registro_Compras!$L$278*Registro_Compras!$N$278,2),ROUND(Registro_Compras!$J$278*Registro_Compras!$N$278,2))))</f>
        <v/>
      </c>
      <c r="F2474" s="20" t="str">
        <f>IF($C2474="","",IF(Registro_Compras!$F$278="NOTA DE CREDITO",ROUND(ABS(Registro_Compras!$J$278*Registro_Compras!$N$278),2),""))</f>
        <v/>
      </c>
      <c r="G2474" t="str">
        <f>IF($C2474="","","Por el destino del gasto")</f>
        <v/>
      </c>
      <c r="H2474" t="str">
        <f>IF($C2474="","",Registro_Compras!$C$278)</f>
        <v/>
      </c>
    </row>
    <row r="2475" spans="1:8" x14ac:dyDescent="0.25">
      <c r="A2475" s="25" t="str">
        <f>IF($C2475="","",Registro_Compras!$B$278)</f>
        <v/>
      </c>
      <c r="B2475" t="str">
        <f>IF($C2475="","","C"&amp;TEXT(INT((ROW()-5)/9)+1,"000")&amp;"-2")</f>
        <v/>
      </c>
      <c r="C2475" t="str">
        <f>IF(OR(Registro_Compras!$C$278="",Registro_Compras!$O$278=""),"","79/791")</f>
        <v/>
      </c>
      <c r="D2475" t="str">
        <f>IF(OR(Registro_Compras!$C$278="",Registro_Compras!$O$278=""),"","Cargas Imputables a Cuentas de Costos y Gastos")</f>
        <v/>
      </c>
      <c r="E2475" s="20" t="str">
        <f>IF($C2475="","",IF(Registro_Compras!$F$278="NOTA DE CREDITO",ROUND(ABS(Registro_Compras!$J$278*Registro_Compras!$N$278),2),""))</f>
        <v/>
      </c>
      <c r="F2475" s="20" t="str">
        <f>IF($C2475="","",IF(Registro_Compras!$F$278="NOTA DE CREDITO","",IF(Registro_Compras!$F$278="RHE",ROUND(Registro_Compras!$L$278*Registro_Compras!$N$278,2),ROUND(Registro_Compras!$J$278*Registro_Compras!$N$278,2))))</f>
        <v/>
      </c>
      <c r="G2475" t="str">
        <f>IF($C2475="","","Por el destino del gasto")</f>
        <v/>
      </c>
      <c r="H2475" t="str">
        <f>IF($C2475="","",Registro_Compras!$C$278)</f>
        <v/>
      </c>
    </row>
    <row r="2476" spans="1:8" x14ac:dyDescent="0.25">
      <c r="A2476" s="25" t="str">
        <f>IF($C2476="","",Registro_Compras!$X$278)</f>
        <v/>
      </c>
      <c r="B2476" t="str">
        <f>IF($C2476="","","C"&amp;TEXT(INT((ROW()-5)/9)+1,"000")&amp;"-3")</f>
        <v/>
      </c>
      <c r="C2476" t="str">
        <f>IF(OR(Registro_Compras!$C$278="",Registro_Compras!$O$278="",Registro_Compras!$R$278&lt;&gt;"SI",Registro_Compras!$X$278=""),"","4212")</f>
        <v/>
      </c>
      <c r="D2476" t="str">
        <f>IF(OR(Registro_Compras!$C$278="",Registro_Compras!$O$278=""),"","Cuentas por Pagar Comerciales - Terceros")</f>
        <v/>
      </c>
      <c r="E2476" s="20" t="str">
        <f>IF($C2476="","",Registro_Compras!$S$278)</f>
        <v/>
      </c>
      <c r="F2476" s="20" t="str">
        <f>""</f>
        <v/>
      </c>
      <c r="G2476" t="str">
        <f>IF($C2476="","","Por el deposito de la detraccion en el Banco de la Nacion")</f>
        <v/>
      </c>
      <c r="H2476" t="str">
        <f>IF($C2476="","",Registro_Compras!$C$278)</f>
        <v/>
      </c>
    </row>
    <row r="2477" spans="1:8" x14ac:dyDescent="0.25">
      <c r="A2477" s="25" t="str">
        <f>IF($C2477="","",Registro_Compras!$X$278)</f>
        <v/>
      </c>
      <c r="B2477" t="str">
        <f>IF($C2477="","","C"&amp;TEXT(INT((ROW()-5)/9)+1,"000")&amp;"-3")</f>
        <v/>
      </c>
      <c r="C2477" t="str">
        <f>IF(OR(Registro_Compras!$C$278="",Registro_Compras!$O$278="",Registro_Compras!$R$278&lt;&gt;"SI",Registro_Compras!$X$278=""),"","1041")</f>
        <v/>
      </c>
      <c r="D2477" t="str">
        <f>IF(OR(Registro_Compras!$C$278="",Registro_Compras!$O$278=""),"","Efectivo y Equivalentes - Cta. Cte. Operativa")</f>
        <v/>
      </c>
      <c r="E2477" s="20" t="str">
        <f>""</f>
        <v/>
      </c>
      <c r="F2477" s="20" t="str">
        <f>IF($C2477="","",Registro_Compras!$S$278)</f>
        <v/>
      </c>
      <c r="G2477" t="str">
        <f>IF($C2477="","","Por el deposito de la detraccion en el Banco de la Nacion")</f>
        <v/>
      </c>
      <c r="H2477" t="str">
        <f>IF($C2477="","",Registro_Compras!$C$278)</f>
        <v/>
      </c>
    </row>
    <row r="2478" spans="1:8" x14ac:dyDescent="0.25">
      <c r="A2478" s="25" t="str">
        <f>IF($C2478="","",Registro_Compras!$Y$278)</f>
        <v/>
      </c>
      <c r="B2478" t="str">
        <f>IF($C2478="","","C"&amp;TEXT(INT((ROW()-5)/9)+1,"000")&amp;"-4")</f>
        <v/>
      </c>
      <c r="C2478" t="str">
        <f>IF(OR(Registro_Compras!$C$278="",Registro_Compras!$O$278="",Registro_Compras!$Y$278="",Registro_Compras!$F$278="NOTA DE CREDITO"),"","4212")</f>
        <v/>
      </c>
      <c r="D2478" t="str">
        <f>IF(OR(Registro_Compras!$C$278="",Registro_Compras!$O$278=""),"","Cuentas por Pagar Comerciales - Terceros")</f>
        <v/>
      </c>
      <c r="E2478" s="20" t="str">
        <f>IF($C2478="","",IF(Registro_Compras!$F$278="RHE",(ROUND(Registro_Compras!$L$278*Registro_Compras!$N$278,2)-ROUND(Registro_Compras!$V$278*Registro_Compras!$N$278,2)),ROUND(Registro_Compras!$O$278-Registro_Compras!$S$278,2)))</f>
        <v/>
      </c>
      <c r="F2478" s="20" t="str">
        <f>""</f>
        <v/>
      </c>
      <c r="G2478" t="str">
        <f>IF($C2478="","","Por la cancelacion del saldo al proveedor")</f>
        <v/>
      </c>
      <c r="H2478" t="str">
        <f>IF($C2478="","",Registro_Compras!$C$278)</f>
        <v/>
      </c>
    </row>
    <row r="2479" spans="1:8" x14ac:dyDescent="0.25">
      <c r="A2479" s="25" t="str">
        <f>IF($C2479="","",Registro_Compras!$Y$278)</f>
        <v/>
      </c>
      <c r="B2479" t="str">
        <f>IF($C2479="","","C"&amp;TEXT(INT((ROW()-5)/9)+1,"000")&amp;"-4")</f>
        <v/>
      </c>
      <c r="C2479" t="str">
        <f>IF(OR(Registro_Compras!$C$278="",Registro_Compras!$O$278="",Registro_Compras!$Y$278="",Registro_Compras!$F$278="NOTA DE CREDITO"),"","1041")</f>
        <v/>
      </c>
      <c r="D2479" t="str">
        <f>IF(OR(Registro_Compras!$C$278="",Registro_Compras!$O$278=""),"","Efectivo y Equivalentes - Cta. Cte. Operativa")</f>
        <v/>
      </c>
      <c r="E2479" s="20" t="str">
        <f>""</f>
        <v/>
      </c>
      <c r="F2479" s="20" t="str">
        <f>IF($C2479="","",IF(Registro_Compras!$F$278="RHE",(ROUND(Registro_Compras!$L$278*Registro_Compras!$N$278,2)-ROUND(Registro_Compras!$V$278*Registro_Compras!$N$278,2)),ROUND(Registro_Compras!$O$278-Registro_Compras!$S$278,2)))</f>
        <v/>
      </c>
      <c r="G2479" t="str">
        <f>IF($C2479="","","Por la cancelacion del saldo al proveedor")</f>
        <v/>
      </c>
      <c r="H2479" t="str">
        <f>IF($C2479="","",Registro_Compras!$C$278)</f>
        <v/>
      </c>
    </row>
    <row r="2480" spans="1:8" x14ac:dyDescent="0.25">
      <c r="A2480" s="25" t="str">
        <f>IF($C2480="","",Registro_Compras!$B$279)</f>
        <v/>
      </c>
      <c r="B2480" t="str">
        <f>IF($C2480="","","C"&amp;TEXT(INT((ROW()-5)/9)+1,"000")&amp;"-1")</f>
        <v/>
      </c>
      <c r="C2480" t="str">
        <f>IF(OR(Registro_Compras!$C$279="",Registro_Compras!$O$279=""),"",IF(Registro_Compras!$F$279="NOTA DE CREDITO","4212",IF(Registro_Compras!$M$279="","63",Registro_Compras!$M$279)))</f>
        <v/>
      </c>
      <c r="D2480" t="str">
        <f>IF(OR(Registro_Compras!$C$279="",Registro_Compras!$O$279=""),"",IF(Registro_Compras!$F$279="NOTA DE CREDITO","Cuentas por Pagar Comerciales - Terceros (Emitidas)",IF(Registro_Compras!$F$279="RHE","Honorarios Profesionales - Servicios de Terceros","Gastos de Servicios Prestados por Terceros")))</f>
        <v/>
      </c>
      <c r="E2480" s="20" t="str">
        <f>IF($C2480="","",IF(Registro_Compras!$F$279="NOTA DE CREDITO",ABS(Registro_Compras!$O$279),IF(Registro_Compras!$F$279="RHE",ROUND(Registro_Compras!$L$279*Registro_Compras!$N$279,2),ROUND(Registro_Compras!$J$279*Registro_Compras!$N$279,2))))</f>
        <v/>
      </c>
      <c r="F2480" s="20" t="str">
        <f>""</f>
        <v/>
      </c>
      <c r="G2480" t="str">
        <f>IF($C2480="","",IF(Registro_Compras!$F$279="NOTA DE CREDITO","Por la nota de credito "&amp;Registro_Compras!$C$279&amp;" de "&amp;Registro_Compras!$E$279&amp;" [PATRON POR CONFIRMAR CON CONTADOR]",IF(Registro_Compras!$F$279="RHE","Por el registro del recibo por honorarios "&amp;Registro_Compras!$C$279&amp;" de "&amp;Registro_Compras!$E$279&amp;" [PATRON POR CONFIRMAR CON CONTADOR]","Por el registro de la factura "&amp;Registro_Compras!$C$279&amp;" de "&amp;Registro_Compras!$E$279)))</f>
        <v/>
      </c>
      <c r="H2480" t="str">
        <f>IF($C2480="","",Registro_Compras!$C$279)</f>
        <v/>
      </c>
    </row>
    <row r="2481" spans="1:8" x14ac:dyDescent="0.25">
      <c r="A2481" s="25" t="str">
        <f>IF($C2481="","",Registro_Compras!$B$279)</f>
        <v/>
      </c>
      <c r="B2481" t="str">
        <f>IF($C2481="","","C"&amp;TEXT(INT((ROW()-5)/9)+1,"000")&amp;"-1")</f>
        <v/>
      </c>
      <c r="C2481" t="str">
        <f>IF(OR(Registro_Compras!$C$279="",Registro_Compras!$O$279=""),"",IF(Registro_Compras!$F$279="RHE",IF(Registro_Compras!$V$279=0,"","4017"),IF(Registro_Compras!$F$279="NOTA DE CREDITO",IF(Registro_Compras!$M$279="","63",Registro_Compras!$M$279),IF(Registro_Compras!$K$279=0,"","40111"))))</f>
        <v/>
      </c>
      <c r="D2481" t="str">
        <f>IF(OR(Registro_Compras!$C$279="",Registro_Compras!$O$279=""),"",IF(Registro_Compras!$F$279="RHE","Retencion Renta 4ta Categoria por Pagar",IF(Registro_Compras!$F$279="NOTA DE CREDITO","Gastos de Servicios Prestados por Terceros","IGV - Cuenta Propia (Credito Fiscal)")))</f>
        <v/>
      </c>
      <c r="E2481" s="20" t="str">
        <f>IF($C2481="","",IF(Registro_Compras!$F$279="FACTURA",ROUND(Registro_Compras!$K$279*Registro_Compras!$N$279,2),""))</f>
        <v/>
      </c>
      <c r="F2481" s="20" t="str">
        <f>IF($C2481="","",IF(Registro_Compras!$F$279="RHE",ROUND(Registro_Compras!$V$279*Registro_Compras!$N$279,2),IF(Registro_Compras!$F$279="NOTA DE CREDITO",ROUND(ABS(Registro_Compras!$J$279*Registro_Compras!$N$279),2),"")))</f>
        <v/>
      </c>
      <c r="G2481" t="str">
        <f>IF($C2481="","",IF(Registro_Compras!$F$279="NOTA DE CREDITO","Por la nota de credito "&amp;Registro_Compras!$C$279&amp;" de "&amp;Registro_Compras!$E$279&amp;" [PATRON POR CONFIRMAR CON CONTADOR]",IF(Registro_Compras!$F$279="RHE","Por el registro del recibo por honorarios "&amp;Registro_Compras!$C$279&amp;" de "&amp;Registro_Compras!$E$279&amp;" [PATRON POR CONFIRMAR CON CONTADOR]","Por el registro de la factura "&amp;Registro_Compras!$C$279&amp;" de "&amp;Registro_Compras!$E$279)))</f>
        <v/>
      </c>
      <c r="H2481" t="str">
        <f>IF($C2481="","",Registro_Compras!$C$279)</f>
        <v/>
      </c>
    </row>
    <row r="2482" spans="1:8" x14ac:dyDescent="0.25">
      <c r="A2482" s="25" t="str">
        <f>IF($C2482="","",Registro_Compras!$B$279)</f>
        <v/>
      </c>
      <c r="B2482" t="str">
        <f>IF($C2482="","","C"&amp;TEXT(INT((ROW()-5)/9)+1,"000")&amp;"-1")</f>
        <v/>
      </c>
      <c r="C2482" t="str">
        <f>IF(OR(Registro_Compras!$C$279="",Registro_Compras!$O$279=""),"",IF(Registro_Compras!$F$279="NOTA DE CREDITO",IF(Registro_Compras!$K$279=0,"","40111"),"4212"))</f>
        <v/>
      </c>
      <c r="D2482" t="str">
        <f>IF(OR(Registro_Compras!$C$279="",Registro_Compras!$O$279=""),"",IF(Registro_Compras!$F$279="NOTA DE CREDITO","IGV - Cuenta Propia (Credito Fiscal)","Cuentas por Pagar Comerciales - Terceros (Emitidas)"))</f>
        <v/>
      </c>
      <c r="E2482" s="20" t="str">
        <f>""</f>
        <v/>
      </c>
      <c r="F2482" s="20" t="str">
        <f>IF($C2482="","",IF(Registro_Compras!$F$279="NOTA DE CREDITO",ROUND(ABS(Registro_Compras!$K$279*Registro_Compras!$N$279),2),IF(Registro_Compras!$F$279="RHE",(ROUND(Registro_Compras!$L$279*Registro_Compras!$N$279,2)-ROUND(Registro_Compras!$V$279*Registro_Compras!$N$279,2)),Registro_Compras!$O$279)))</f>
        <v/>
      </c>
      <c r="G2482" t="str">
        <f>IF($C2482="","",IF(Registro_Compras!$F$279="NOTA DE CREDITO","Por la nota de credito "&amp;Registro_Compras!$C$279&amp;" de "&amp;Registro_Compras!$E$279&amp;" [PATRON POR CONFIRMAR CON CONTADOR]",IF(Registro_Compras!$F$279="RHE","Por el registro del recibo por honorarios "&amp;Registro_Compras!$C$279&amp;" de "&amp;Registro_Compras!$E$279&amp;" [PATRON POR CONFIRMAR CON CONTADOR]","Por el registro de la factura "&amp;Registro_Compras!$C$279&amp;" de "&amp;Registro_Compras!$E$279)))</f>
        <v/>
      </c>
      <c r="H2482" t="str">
        <f>IF($C2482="","",Registro_Compras!$C$279)</f>
        <v/>
      </c>
    </row>
    <row r="2483" spans="1:8" x14ac:dyDescent="0.25">
      <c r="A2483" s="25" t="str">
        <f>IF($C2483="","",Registro_Compras!$B$279)</f>
        <v/>
      </c>
      <c r="B2483" t="str">
        <f>IF($C2483="","","C"&amp;TEXT(INT((ROW()-5)/9)+1,"000")&amp;"-2")</f>
        <v/>
      </c>
      <c r="C2483" t="str">
        <f>IF(OR(Registro_Compras!$C$279="",Registro_Compras!$O$279=""),"",IF(Registro_Compras!$AB$279="ADMINISTRATIVO","94","95"))</f>
        <v/>
      </c>
      <c r="D2483" t="str">
        <f>IF(OR(Registro_Compras!$C$279="",Registro_Compras!$O$279=""),"",IF(Registro_Compras!$AB$279="ADMINISTRATIVO","Gastos Administrativos","Gastos de Venta y Operacion"))</f>
        <v/>
      </c>
      <c r="E2483" s="20" t="str">
        <f>IF($C2483="","",IF(Registro_Compras!$F$279="NOTA DE CREDITO","",IF(Registro_Compras!$F$279="RHE",ROUND(Registro_Compras!$L$279*Registro_Compras!$N$279,2),ROUND(Registro_Compras!$J$279*Registro_Compras!$N$279,2))))</f>
        <v/>
      </c>
      <c r="F2483" s="20" t="str">
        <f>IF($C2483="","",IF(Registro_Compras!$F$279="NOTA DE CREDITO",ROUND(ABS(Registro_Compras!$J$279*Registro_Compras!$N$279),2),""))</f>
        <v/>
      </c>
      <c r="G2483" t="str">
        <f>IF($C2483="","","Por el destino del gasto")</f>
        <v/>
      </c>
      <c r="H2483" t="str">
        <f>IF($C2483="","",Registro_Compras!$C$279)</f>
        <v/>
      </c>
    </row>
    <row r="2484" spans="1:8" x14ac:dyDescent="0.25">
      <c r="A2484" s="25" t="str">
        <f>IF($C2484="","",Registro_Compras!$B$279)</f>
        <v/>
      </c>
      <c r="B2484" t="str">
        <f>IF($C2484="","","C"&amp;TEXT(INT((ROW()-5)/9)+1,"000")&amp;"-2")</f>
        <v/>
      </c>
      <c r="C2484" t="str">
        <f>IF(OR(Registro_Compras!$C$279="",Registro_Compras!$O$279=""),"","79/791")</f>
        <v/>
      </c>
      <c r="D2484" t="str">
        <f>IF(OR(Registro_Compras!$C$279="",Registro_Compras!$O$279=""),"","Cargas Imputables a Cuentas de Costos y Gastos")</f>
        <v/>
      </c>
      <c r="E2484" s="20" t="str">
        <f>IF($C2484="","",IF(Registro_Compras!$F$279="NOTA DE CREDITO",ROUND(ABS(Registro_Compras!$J$279*Registro_Compras!$N$279),2),""))</f>
        <v/>
      </c>
      <c r="F2484" s="20" t="str">
        <f>IF($C2484="","",IF(Registro_Compras!$F$279="NOTA DE CREDITO","",IF(Registro_Compras!$F$279="RHE",ROUND(Registro_Compras!$L$279*Registro_Compras!$N$279,2),ROUND(Registro_Compras!$J$279*Registro_Compras!$N$279,2))))</f>
        <v/>
      </c>
      <c r="G2484" t="str">
        <f>IF($C2484="","","Por el destino del gasto")</f>
        <v/>
      </c>
      <c r="H2484" t="str">
        <f>IF($C2484="","",Registro_Compras!$C$279)</f>
        <v/>
      </c>
    </row>
    <row r="2485" spans="1:8" x14ac:dyDescent="0.25">
      <c r="A2485" s="25" t="str">
        <f>IF($C2485="","",Registro_Compras!$X$279)</f>
        <v/>
      </c>
      <c r="B2485" t="str">
        <f>IF($C2485="","","C"&amp;TEXT(INT((ROW()-5)/9)+1,"000")&amp;"-3")</f>
        <v/>
      </c>
      <c r="C2485" t="str">
        <f>IF(OR(Registro_Compras!$C$279="",Registro_Compras!$O$279="",Registro_Compras!$R$279&lt;&gt;"SI",Registro_Compras!$X$279=""),"","4212")</f>
        <v/>
      </c>
      <c r="D2485" t="str">
        <f>IF(OR(Registro_Compras!$C$279="",Registro_Compras!$O$279=""),"","Cuentas por Pagar Comerciales - Terceros")</f>
        <v/>
      </c>
      <c r="E2485" s="20" t="str">
        <f>IF($C2485="","",Registro_Compras!$S$279)</f>
        <v/>
      </c>
      <c r="F2485" s="20" t="str">
        <f>""</f>
        <v/>
      </c>
      <c r="G2485" t="str">
        <f>IF($C2485="","","Por el deposito de la detraccion en el Banco de la Nacion")</f>
        <v/>
      </c>
      <c r="H2485" t="str">
        <f>IF($C2485="","",Registro_Compras!$C$279)</f>
        <v/>
      </c>
    </row>
    <row r="2486" spans="1:8" x14ac:dyDescent="0.25">
      <c r="A2486" s="25" t="str">
        <f>IF($C2486="","",Registro_Compras!$X$279)</f>
        <v/>
      </c>
      <c r="B2486" t="str">
        <f>IF($C2486="","","C"&amp;TEXT(INT((ROW()-5)/9)+1,"000")&amp;"-3")</f>
        <v/>
      </c>
      <c r="C2486" t="str">
        <f>IF(OR(Registro_Compras!$C$279="",Registro_Compras!$O$279="",Registro_Compras!$R$279&lt;&gt;"SI",Registro_Compras!$X$279=""),"","1041")</f>
        <v/>
      </c>
      <c r="D2486" t="str">
        <f>IF(OR(Registro_Compras!$C$279="",Registro_Compras!$O$279=""),"","Efectivo y Equivalentes - Cta. Cte. Operativa")</f>
        <v/>
      </c>
      <c r="E2486" s="20" t="str">
        <f>""</f>
        <v/>
      </c>
      <c r="F2486" s="20" t="str">
        <f>IF($C2486="","",Registro_Compras!$S$279)</f>
        <v/>
      </c>
      <c r="G2486" t="str">
        <f>IF($C2486="","","Por el deposito de la detraccion en el Banco de la Nacion")</f>
        <v/>
      </c>
      <c r="H2486" t="str">
        <f>IF($C2486="","",Registro_Compras!$C$279)</f>
        <v/>
      </c>
    </row>
    <row r="2487" spans="1:8" x14ac:dyDescent="0.25">
      <c r="A2487" s="25" t="str">
        <f>IF($C2487="","",Registro_Compras!$Y$279)</f>
        <v/>
      </c>
      <c r="B2487" t="str">
        <f>IF($C2487="","","C"&amp;TEXT(INT((ROW()-5)/9)+1,"000")&amp;"-4")</f>
        <v/>
      </c>
      <c r="C2487" t="str">
        <f>IF(OR(Registro_Compras!$C$279="",Registro_Compras!$O$279="",Registro_Compras!$Y$279="",Registro_Compras!$F$279="NOTA DE CREDITO"),"","4212")</f>
        <v/>
      </c>
      <c r="D2487" t="str">
        <f>IF(OR(Registro_Compras!$C$279="",Registro_Compras!$O$279=""),"","Cuentas por Pagar Comerciales - Terceros")</f>
        <v/>
      </c>
      <c r="E2487" s="20" t="str">
        <f>IF($C2487="","",IF(Registro_Compras!$F$279="RHE",(ROUND(Registro_Compras!$L$279*Registro_Compras!$N$279,2)-ROUND(Registro_Compras!$V$279*Registro_Compras!$N$279,2)),ROUND(Registro_Compras!$O$279-Registro_Compras!$S$279,2)))</f>
        <v/>
      </c>
      <c r="F2487" s="20" t="str">
        <f>""</f>
        <v/>
      </c>
      <c r="G2487" t="str">
        <f>IF($C2487="","","Por la cancelacion del saldo al proveedor")</f>
        <v/>
      </c>
      <c r="H2487" t="str">
        <f>IF($C2487="","",Registro_Compras!$C$279)</f>
        <v/>
      </c>
    </row>
    <row r="2488" spans="1:8" x14ac:dyDescent="0.25">
      <c r="A2488" s="25" t="str">
        <f>IF($C2488="","",Registro_Compras!$Y$279)</f>
        <v/>
      </c>
      <c r="B2488" t="str">
        <f>IF($C2488="","","C"&amp;TEXT(INT((ROW()-5)/9)+1,"000")&amp;"-4")</f>
        <v/>
      </c>
      <c r="C2488" t="str">
        <f>IF(OR(Registro_Compras!$C$279="",Registro_Compras!$O$279="",Registro_Compras!$Y$279="",Registro_Compras!$F$279="NOTA DE CREDITO"),"","1041")</f>
        <v/>
      </c>
      <c r="D2488" t="str">
        <f>IF(OR(Registro_Compras!$C$279="",Registro_Compras!$O$279=""),"","Efectivo y Equivalentes - Cta. Cte. Operativa")</f>
        <v/>
      </c>
      <c r="E2488" s="20" t="str">
        <f>""</f>
        <v/>
      </c>
      <c r="F2488" s="20" t="str">
        <f>IF($C2488="","",IF(Registro_Compras!$F$279="RHE",(ROUND(Registro_Compras!$L$279*Registro_Compras!$N$279,2)-ROUND(Registro_Compras!$V$279*Registro_Compras!$N$279,2)),ROUND(Registro_Compras!$O$279-Registro_Compras!$S$279,2)))</f>
        <v/>
      </c>
      <c r="G2488" t="str">
        <f>IF($C2488="","","Por la cancelacion del saldo al proveedor")</f>
        <v/>
      </c>
      <c r="H2488" t="str">
        <f>IF($C2488="","",Registro_Compras!$C$279)</f>
        <v/>
      </c>
    </row>
    <row r="2489" spans="1:8" x14ac:dyDescent="0.25">
      <c r="A2489" s="25" t="str">
        <f>IF($C2489="","",Registro_Compras!$B$280)</f>
        <v/>
      </c>
      <c r="B2489" t="str">
        <f>IF($C2489="","","C"&amp;TEXT(INT((ROW()-5)/9)+1,"000")&amp;"-1")</f>
        <v/>
      </c>
      <c r="C2489" t="str">
        <f>IF(OR(Registro_Compras!$C$280="",Registro_Compras!$O$280=""),"",IF(Registro_Compras!$F$280="NOTA DE CREDITO","4212",IF(Registro_Compras!$M$280="","63",Registro_Compras!$M$280)))</f>
        <v/>
      </c>
      <c r="D2489" t="str">
        <f>IF(OR(Registro_Compras!$C$280="",Registro_Compras!$O$280=""),"",IF(Registro_Compras!$F$280="NOTA DE CREDITO","Cuentas por Pagar Comerciales - Terceros (Emitidas)",IF(Registro_Compras!$F$280="RHE","Honorarios Profesionales - Servicios de Terceros","Gastos de Servicios Prestados por Terceros")))</f>
        <v/>
      </c>
      <c r="E2489" s="20" t="str">
        <f>IF($C2489="","",IF(Registro_Compras!$F$280="NOTA DE CREDITO",ABS(Registro_Compras!$O$280),IF(Registro_Compras!$F$280="RHE",ROUND(Registro_Compras!$L$280*Registro_Compras!$N$280,2),ROUND(Registro_Compras!$J$280*Registro_Compras!$N$280,2))))</f>
        <v/>
      </c>
      <c r="F2489" s="20" t="str">
        <f>""</f>
        <v/>
      </c>
      <c r="G2489" t="str">
        <f>IF($C2489="","",IF(Registro_Compras!$F$280="NOTA DE CREDITO","Por la nota de credito "&amp;Registro_Compras!$C$280&amp;" de "&amp;Registro_Compras!$E$280&amp;" [PATRON POR CONFIRMAR CON CONTADOR]",IF(Registro_Compras!$F$280="RHE","Por el registro del recibo por honorarios "&amp;Registro_Compras!$C$280&amp;" de "&amp;Registro_Compras!$E$280&amp;" [PATRON POR CONFIRMAR CON CONTADOR]","Por el registro de la factura "&amp;Registro_Compras!$C$280&amp;" de "&amp;Registro_Compras!$E$280)))</f>
        <v/>
      </c>
      <c r="H2489" t="str">
        <f>IF($C2489="","",Registro_Compras!$C$280)</f>
        <v/>
      </c>
    </row>
    <row r="2490" spans="1:8" x14ac:dyDescent="0.25">
      <c r="A2490" s="25" t="str">
        <f>IF($C2490="","",Registro_Compras!$B$280)</f>
        <v/>
      </c>
      <c r="B2490" t="str">
        <f>IF($C2490="","","C"&amp;TEXT(INT((ROW()-5)/9)+1,"000")&amp;"-1")</f>
        <v/>
      </c>
      <c r="C2490" t="str">
        <f>IF(OR(Registro_Compras!$C$280="",Registro_Compras!$O$280=""),"",IF(Registro_Compras!$F$280="RHE",IF(Registro_Compras!$V$280=0,"","4017"),IF(Registro_Compras!$F$280="NOTA DE CREDITO",IF(Registro_Compras!$M$280="","63",Registro_Compras!$M$280),IF(Registro_Compras!$K$280=0,"","40111"))))</f>
        <v/>
      </c>
      <c r="D2490" t="str">
        <f>IF(OR(Registro_Compras!$C$280="",Registro_Compras!$O$280=""),"",IF(Registro_Compras!$F$280="RHE","Retencion Renta 4ta Categoria por Pagar",IF(Registro_Compras!$F$280="NOTA DE CREDITO","Gastos de Servicios Prestados por Terceros","IGV - Cuenta Propia (Credito Fiscal)")))</f>
        <v/>
      </c>
      <c r="E2490" s="20" t="str">
        <f>IF($C2490="","",IF(Registro_Compras!$F$280="FACTURA",ROUND(Registro_Compras!$K$280*Registro_Compras!$N$280,2),""))</f>
        <v/>
      </c>
      <c r="F2490" s="20" t="str">
        <f>IF($C2490="","",IF(Registro_Compras!$F$280="RHE",ROUND(Registro_Compras!$V$280*Registro_Compras!$N$280,2),IF(Registro_Compras!$F$280="NOTA DE CREDITO",ROUND(ABS(Registro_Compras!$J$280*Registro_Compras!$N$280),2),"")))</f>
        <v/>
      </c>
      <c r="G2490" t="str">
        <f>IF($C2490="","",IF(Registro_Compras!$F$280="NOTA DE CREDITO","Por la nota de credito "&amp;Registro_Compras!$C$280&amp;" de "&amp;Registro_Compras!$E$280&amp;" [PATRON POR CONFIRMAR CON CONTADOR]",IF(Registro_Compras!$F$280="RHE","Por el registro del recibo por honorarios "&amp;Registro_Compras!$C$280&amp;" de "&amp;Registro_Compras!$E$280&amp;" [PATRON POR CONFIRMAR CON CONTADOR]","Por el registro de la factura "&amp;Registro_Compras!$C$280&amp;" de "&amp;Registro_Compras!$E$280)))</f>
        <v/>
      </c>
      <c r="H2490" t="str">
        <f>IF($C2490="","",Registro_Compras!$C$280)</f>
        <v/>
      </c>
    </row>
    <row r="2491" spans="1:8" x14ac:dyDescent="0.25">
      <c r="A2491" s="25" t="str">
        <f>IF($C2491="","",Registro_Compras!$B$280)</f>
        <v/>
      </c>
      <c r="B2491" t="str">
        <f>IF($C2491="","","C"&amp;TEXT(INT((ROW()-5)/9)+1,"000")&amp;"-1")</f>
        <v/>
      </c>
      <c r="C2491" t="str">
        <f>IF(OR(Registro_Compras!$C$280="",Registro_Compras!$O$280=""),"",IF(Registro_Compras!$F$280="NOTA DE CREDITO",IF(Registro_Compras!$K$280=0,"","40111"),"4212"))</f>
        <v/>
      </c>
      <c r="D2491" t="str">
        <f>IF(OR(Registro_Compras!$C$280="",Registro_Compras!$O$280=""),"",IF(Registro_Compras!$F$280="NOTA DE CREDITO","IGV - Cuenta Propia (Credito Fiscal)","Cuentas por Pagar Comerciales - Terceros (Emitidas)"))</f>
        <v/>
      </c>
      <c r="E2491" s="20" t="str">
        <f>""</f>
        <v/>
      </c>
      <c r="F2491" s="20" t="str">
        <f>IF($C2491="","",IF(Registro_Compras!$F$280="NOTA DE CREDITO",ROUND(ABS(Registro_Compras!$K$280*Registro_Compras!$N$280),2),IF(Registro_Compras!$F$280="RHE",(ROUND(Registro_Compras!$L$280*Registro_Compras!$N$280,2)-ROUND(Registro_Compras!$V$280*Registro_Compras!$N$280,2)),Registro_Compras!$O$280)))</f>
        <v/>
      </c>
      <c r="G2491" t="str">
        <f>IF($C2491="","",IF(Registro_Compras!$F$280="NOTA DE CREDITO","Por la nota de credito "&amp;Registro_Compras!$C$280&amp;" de "&amp;Registro_Compras!$E$280&amp;" [PATRON POR CONFIRMAR CON CONTADOR]",IF(Registro_Compras!$F$280="RHE","Por el registro del recibo por honorarios "&amp;Registro_Compras!$C$280&amp;" de "&amp;Registro_Compras!$E$280&amp;" [PATRON POR CONFIRMAR CON CONTADOR]","Por el registro de la factura "&amp;Registro_Compras!$C$280&amp;" de "&amp;Registro_Compras!$E$280)))</f>
        <v/>
      </c>
      <c r="H2491" t="str">
        <f>IF($C2491="","",Registro_Compras!$C$280)</f>
        <v/>
      </c>
    </row>
    <row r="2492" spans="1:8" x14ac:dyDescent="0.25">
      <c r="A2492" s="25" t="str">
        <f>IF($C2492="","",Registro_Compras!$B$280)</f>
        <v/>
      </c>
      <c r="B2492" t="str">
        <f>IF($C2492="","","C"&amp;TEXT(INT((ROW()-5)/9)+1,"000")&amp;"-2")</f>
        <v/>
      </c>
      <c r="C2492" t="str">
        <f>IF(OR(Registro_Compras!$C$280="",Registro_Compras!$O$280=""),"",IF(Registro_Compras!$AB$280="ADMINISTRATIVO","94","95"))</f>
        <v/>
      </c>
      <c r="D2492" t="str">
        <f>IF(OR(Registro_Compras!$C$280="",Registro_Compras!$O$280=""),"",IF(Registro_Compras!$AB$280="ADMINISTRATIVO","Gastos Administrativos","Gastos de Venta y Operacion"))</f>
        <v/>
      </c>
      <c r="E2492" s="20" t="str">
        <f>IF($C2492="","",IF(Registro_Compras!$F$280="NOTA DE CREDITO","",IF(Registro_Compras!$F$280="RHE",ROUND(Registro_Compras!$L$280*Registro_Compras!$N$280,2),ROUND(Registro_Compras!$J$280*Registro_Compras!$N$280,2))))</f>
        <v/>
      </c>
      <c r="F2492" s="20" t="str">
        <f>IF($C2492="","",IF(Registro_Compras!$F$280="NOTA DE CREDITO",ROUND(ABS(Registro_Compras!$J$280*Registro_Compras!$N$280),2),""))</f>
        <v/>
      </c>
      <c r="G2492" t="str">
        <f>IF($C2492="","","Por el destino del gasto")</f>
        <v/>
      </c>
      <c r="H2492" t="str">
        <f>IF($C2492="","",Registro_Compras!$C$280)</f>
        <v/>
      </c>
    </row>
    <row r="2493" spans="1:8" x14ac:dyDescent="0.25">
      <c r="A2493" s="25" t="str">
        <f>IF($C2493="","",Registro_Compras!$B$280)</f>
        <v/>
      </c>
      <c r="B2493" t="str">
        <f>IF($C2493="","","C"&amp;TEXT(INT((ROW()-5)/9)+1,"000")&amp;"-2")</f>
        <v/>
      </c>
      <c r="C2493" t="str">
        <f>IF(OR(Registro_Compras!$C$280="",Registro_Compras!$O$280=""),"","79/791")</f>
        <v/>
      </c>
      <c r="D2493" t="str">
        <f>IF(OR(Registro_Compras!$C$280="",Registro_Compras!$O$280=""),"","Cargas Imputables a Cuentas de Costos y Gastos")</f>
        <v/>
      </c>
      <c r="E2493" s="20" t="str">
        <f>IF($C2493="","",IF(Registro_Compras!$F$280="NOTA DE CREDITO",ROUND(ABS(Registro_Compras!$J$280*Registro_Compras!$N$280),2),""))</f>
        <v/>
      </c>
      <c r="F2493" s="20" t="str">
        <f>IF($C2493="","",IF(Registro_Compras!$F$280="NOTA DE CREDITO","",IF(Registro_Compras!$F$280="RHE",ROUND(Registro_Compras!$L$280*Registro_Compras!$N$280,2),ROUND(Registro_Compras!$J$280*Registro_Compras!$N$280,2))))</f>
        <v/>
      </c>
      <c r="G2493" t="str">
        <f>IF($C2493="","","Por el destino del gasto")</f>
        <v/>
      </c>
      <c r="H2493" t="str">
        <f>IF($C2493="","",Registro_Compras!$C$280)</f>
        <v/>
      </c>
    </row>
    <row r="2494" spans="1:8" x14ac:dyDescent="0.25">
      <c r="A2494" s="25" t="str">
        <f>IF($C2494="","",Registro_Compras!$X$280)</f>
        <v/>
      </c>
      <c r="B2494" t="str">
        <f>IF($C2494="","","C"&amp;TEXT(INT((ROW()-5)/9)+1,"000")&amp;"-3")</f>
        <v/>
      </c>
      <c r="C2494" t="str">
        <f>IF(OR(Registro_Compras!$C$280="",Registro_Compras!$O$280="",Registro_Compras!$R$280&lt;&gt;"SI",Registro_Compras!$X$280=""),"","4212")</f>
        <v/>
      </c>
      <c r="D2494" t="str">
        <f>IF(OR(Registro_Compras!$C$280="",Registro_Compras!$O$280=""),"","Cuentas por Pagar Comerciales - Terceros")</f>
        <v/>
      </c>
      <c r="E2494" s="20" t="str">
        <f>IF($C2494="","",Registro_Compras!$S$280)</f>
        <v/>
      </c>
      <c r="F2494" s="20" t="str">
        <f>""</f>
        <v/>
      </c>
      <c r="G2494" t="str">
        <f>IF($C2494="","","Por el deposito de la detraccion en el Banco de la Nacion")</f>
        <v/>
      </c>
      <c r="H2494" t="str">
        <f>IF($C2494="","",Registro_Compras!$C$280)</f>
        <v/>
      </c>
    </row>
    <row r="2495" spans="1:8" x14ac:dyDescent="0.25">
      <c r="A2495" s="25" t="str">
        <f>IF($C2495="","",Registro_Compras!$X$280)</f>
        <v/>
      </c>
      <c r="B2495" t="str">
        <f>IF($C2495="","","C"&amp;TEXT(INT((ROW()-5)/9)+1,"000")&amp;"-3")</f>
        <v/>
      </c>
      <c r="C2495" t="str">
        <f>IF(OR(Registro_Compras!$C$280="",Registro_Compras!$O$280="",Registro_Compras!$R$280&lt;&gt;"SI",Registro_Compras!$X$280=""),"","1041")</f>
        <v/>
      </c>
      <c r="D2495" t="str">
        <f>IF(OR(Registro_Compras!$C$280="",Registro_Compras!$O$280=""),"","Efectivo y Equivalentes - Cta. Cte. Operativa")</f>
        <v/>
      </c>
      <c r="E2495" s="20" t="str">
        <f>""</f>
        <v/>
      </c>
      <c r="F2495" s="20" t="str">
        <f>IF($C2495="","",Registro_Compras!$S$280)</f>
        <v/>
      </c>
      <c r="G2495" t="str">
        <f>IF($C2495="","","Por el deposito de la detraccion en el Banco de la Nacion")</f>
        <v/>
      </c>
      <c r="H2495" t="str">
        <f>IF($C2495="","",Registro_Compras!$C$280)</f>
        <v/>
      </c>
    </row>
    <row r="2496" spans="1:8" x14ac:dyDescent="0.25">
      <c r="A2496" s="25" t="str">
        <f>IF($C2496="","",Registro_Compras!$Y$280)</f>
        <v/>
      </c>
      <c r="B2496" t="str">
        <f>IF($C2496="","","C"&amp;TEXT(INT((ROW()-5)/9)+1,"000")&amp;"-4")</f>
        <v/>
      </c>
      <c r="C2496" t="str">
        <f>IF(OR(Registro_Compras!$C$280="",Registro_Compras!$O$280="",Registro_Compras!$Y$280="",Registro_Compras!$F$280="NOTA DE CREDITO"),"","4212")</f>
        <v/>
      </c>
      <c r="D2496" t="str">
        <f>IF(OR(Registro_Compras!$C$280="",Registro_Compras!$O$280=""),"","Cuentas por Pagar Comerciales - Terceros")</f>
        <v/>
      </c>
      <c r="E2496" s="20" t="str">
        <f>IF($C2496="","",IF(Registro_Compras!$F$280="RHE",(ROUND(Registro_Compras!$L$280*Registro_Compras!$N$280,2)-ROUND(Registro_Compras!$V$280*Registro_Compras!$N$280,2)),ROUND(Registro_Compras!$O$280-Registro_Compras!$S$280,2)))</f>
        <v/>
      </c>
      <c r="F2496" s="20" t="str">
        <f>""</f>
        <v/>
      </c>
      <c r="G2496" t="str">
        <f>IF($C2496="","","Por la cancelacion del saldo al proveedor")</f>
        <v/>
      </c>
      <c r="H2496" t="str">
        <f>IF($C2496="","",Registro_Compras!$C$280)</f>
        <v/>
      </c>
    </row>
    <row r="2497" spans="1:8" x14ac:dyDescent="0.25">
      <c r="A2497" s="25" t="str">
        <f>IF($C2497="","",Registro_Compras!$Y$280)</f>
        <v/>
      </c>
      <c r="B2497" t="str">
        <f>IF($C2497="","","C"&amp;TEXT(INT((ROW()-5)/9)+1,"000")&amp;"-4")</f>
        <v/>
      </c>
      <c r="C2497" t="str">
        <f>IF(OR(Registro_Compras!$C$280="",Registro_Compras!$O$280="",Registro_Compras!$Y$280="",Registro_Compras!$F$280="NOTA DE CREDITO"),"","1041")</f>
        <v/>
      </c>
      <c r="D2497" t="str">
        <f>IF(OR(Registro_Compras!$C$280="",Registro_Compras!$O$280=""),"","Efectivo y Equivalentes - Cta. Cte. Operativa")</f>
        <v/>
      </c>
      <c r="E2497" s="20" t="str">
        <f>""</f>
        <v/>
      </c>
      <c r="F2497" s="20" t="str">
        <f>IF($C2497="","",IF(Registro_Compras!$F$280="RHE",(ROUND(Registro_Compras!$L$280*Registro_Compras!$N$280,2)-ROUND(Registro_Compras!$V$280*Registro_Compras!$N$280,2)),ROUND(Registro_Compras!$O$280-Registro_Compras!$S$280,2)))</f>
        <v/>
      </c>
      <c r="G2497" t="str">
        <f>IF($C2497="","","Por la cancelacion del saldo al proveedor")</f>
        <v/>
      </c>
      <c r="H2497" t="str">
        <f>IF($C2497="","",Registro_Compras!$C$280)</f>
        <v/>
      </c>
    </row>
    <row r="2498" spans="1:8" x14ac:dyDescent="0.25">
      <c r="A2498" s="25" t="str">
        <f>IF($C2498="","",Registro_Compras!$B$281)</f>
        <v/>
      </c>
      <c r="B2498" t="str">
        <f>IF($C2498="","","C"&amp;TEXT(INT((ROW()-5)/9)+1,"000")&amp;"-1")</f>
        <v/>
      </c>
      <c r="C2498" t="str">
        <f>IF(OR(Registro_Compras!$C$281="",Registro_Compras!$O$281=""),"",IF(Registro_Compras!$F$281="NOTA DE CREDITO","4212",IF(Registro_Compras!$M$281="","63",Registro_Compras!$M$281)))</f>
        <v/>
      </c>
      <c r="D2498" t="str">
        <f>IF(OR(Registro_Compras!$C$281="",Registro_Compras!$O$281=""),"",IF(Registro_Compras!$F$281="NOTA DE CREDITO","Cuentas por Pagar Comerciales - Terceros (Emitidas)",IF(Registro_Compras!$F$281="RHE","Honorarios Profesionales - Servicios de Terceros","Gastos de Servicios Prestados por Terceros")))</f>
        <v/>
      </c>
      <c r="E2498" s="20" t="str">
        <f>IF($C2498="","",IF(Registro_Compras!$F$281="NOTA DE CREDITO",ABS(Registro_Compras!$O$281),IF(Registro_Compras!$F$281="RHE",ROUND(Registro_Compras!$L$281*Registro_Compras!$N$281,2),ROUND(Registro_Compras!$J$281*Registro_Compras!$N$281,2))))</f>
        <v/>
      </c>
      <c r="F2498" s="20" t="str">
        <f>""</f>
        <v/>
      </c>
      <c r="G2498" t="str">
        <f>IF($C2498="","",IF(Registro_Compras!$F$281="NOTA DE CREDITO","Por la nota de credito "&amp;Registro_Compras!$C$281&amp;" de "&amp;Registro_Compras!$E$281&amp;" [PATRON POR CONFIRMAR CON CONTADOR]",IF(Registro_Compras!$F$281="RHE","Por el registro del recibo por honorarios "&amp;Registro_Compras!$C$281&amp;" de "&amp;Registro_Compras!$E$281&amp;" [PATRON POR CONFIRMAR CON CONTADOR]","Por el registro de la factura "&amp;Registro_Compras!$C$281&amp;" de "&amp;Registro_Compras!$E$281)))</f>
        <v/>
      </c>
      <c r="H2498" t="str">
        <f>IF($C2498="","",Registro_Compras!$C$281)</f>
        <v/>
      </c>
    </row>
    <row r="2499" spans="1:8" x14ac:dyDescent="0.25">
      <c r="A2499" s="25" t="str">
        <f>IF($C2499="","",Registro_Compras!$B$281)</f>
        <v/>
      </c>
      <c r="B2499" t="str">
        <f>IF($C2499="","","C"&amp;TEXT(INT((ROW()-5)/9)+1,"000")&amp;"-1")</f>
        <v/>
      </c>
      <c r="C2499" t="str">
        <f>IF(OR(Registro_Compras!$C$281="",Registro_Compras!$O$281=""),"",IF(Registro_Compras!$F$281="RHE",IF(Registro_Compras!$V$281=0,"","4017"),IF(Registro_Compras!$F$281="NOTA DE CREDITO",IF(Registro_Compras!$M$281="","63",Registro_Compras!$M$281),IF(Registro_Compras!$K$281=0,"","40111"))))</f>
        <v/>
      </c>
      <c r="D2499" t="str">
        <f>IF(OR(Registro_Compras!$C$281="",Registro_Compras!$O$281=""),"",IF(Registro_Compras!$F$281="RHE","Retencion Renta 4ta Categoria por Pagar",IF(Registro_Compras!$F$281="NOTA DE CREDITO","Gastos de Servicios Prestados por Terceros","IGV - Cuenta Propia (Credito Fiscal)")))</f>
        <v/>
      </c>
      <c r="E2499" s="20" t="str">
        <f>IF($C2499="","",IF(Registro_Compras!$F$281="FACTURA",ROUND(Registro_Compras!$K$281*Registro_Compras!$N$281,2),""))</f>
        <v/>
      </c>
      <c r="F2499" s="20" t="str">
        <f>IF($C2499="","",IF(Registro_Compras!$F$281="RHE",ROUND(Registro_Compras!$V$281*Registro_Compras!$N$281,2),IF(Registro_Compras!$F$281="NOTA DE CREDITO",ROUND(ABS(Registro_Compras!$J$281*Registro_Compras!$N$281),2),"")))</f>
        <v/>
      </c>
      <c r="G2499" t="str">
        <f>IF($C2499="","",IF(Registro_Compras!$F$281="NOTA DE CREDITO","Por la nota de credito "&amp;Registro_Compras!$C$281&amp;" de "&amp;Registro_Compras!$E$281&amp;" [PATRON POR CONFIRMAR CON CONTADOR]",IF(Registro_Compras!$F$281="RHE","Por el registro del recibo por honorarios "&amp;Registro_Compras!$C$281&amp;" de "&amp;Registro_Compras!$E$281&amp;" [PATRON POR CONFIRMAR CON CONTADOR]","Por el registro de la factura "&amp;Registro_Compras!$C$281&amp;" de "&amp;Registro_Compras!$E$281)))</f>
        <v/>
      </c>
      <c r="H2499" t="str">
        <f>IF($C2499="","",Registro_Compras!$C$281)</f>
        <v/>
      </c>
    </row>
    <row r="2500" spans="1:8" x14ac:dyDescent="0.25">
      <c r="A2500" s="25" t="str">
        <f>IF($C2500="","",Registro_Compras!$B$281)</f>
        <v/>
      </c>
      <c r="B2500" t="str">
        <f>IF($C2500="","","C"&amp;TEXT(INT((ROW()-5)/9)+1,"000")&amp;"-1")</f>
        <v/>
      </c>
      <c r="C2500" t="str">
        <f>IF(OR(Registro_Compras!$C$281="",Registro_Compras!$O$281=""),"",IF(Registro_Compras!$F$281="NOTA DE CREDITO",IF(Registro_Compras!$K$281=0,"","40111"),"4212"))</f>
        <v/>
      </c>
      <c r="D2500" t="str">
        <f>IF(OR(Registro_Compras!$C$281="",Registro_Compras!$O$281=""),"",IF(Registro_Compras!$F$281="NOTA DE CREDITO","IGV - Cuenta Propia (Credito Fiscal)","Cuentas por Pagar Comerciales - Terceros (Emitidas)"))</f>
        <v/>
      </c>
      <c r="E2500" s="20" t="str">
        <f>""</f>
        <v/>
      </c>
      <c r="F2500" s="20" t="str">
        <f>IF($C2500="","",IF(Registro_Compras!$F$281="NOTA DE CREDITO",ROUND(ABS(Registro_Compras!$K$281*Registro_Compras!$N$281),2),IF(Registro_Compras!$F$281="RHE",(ROUND(Registro_Compras!$L$281*Registro_Compras!$N$281,2)-ROUND(Registro_Compras!$V$281*Registro_Compras!$N$281,2)),Registro_Compras!$O$281)))</f>
        <v/>
      </c>
      <c r="G2500" t="str">
        <f>IF($C2500="","",IF(Registro_Compras!$F$281="NOTA DE CREDITO","Por la nota de credito "&amp;Registro_Compras!$C$281&amp;" de "&amp;Registro_Compras!$E$281&amp;" [PATRON POR CONFIRMAR CON CONTADOR]",IF(Registro_Compras!$F$281="RHE","Por el registro del recibo por honorarios "&amp;Registro_Compras!$C$281&amp;" de "&amp;Registro_Compras!$E$281&amp;" [PATRON POR CONFIRMAR CON CONTADOR]","Por el registro de la factura "&amp;Registro_Compras!$C$281&amp;" de "&amp;Registro_Compras!$E$281)))</f>
        <v/>
      </c>
      <c r="H2500" t="str">
        <f>IF($C2500="","",Registro_Compras!$C$281)</f>
        <v/>
      </c>
    </row>
    <row r="2501" spans="1:8" x14ac:dyDescent="0.25">
      <c r="A2501" s="25" t="str">
        <f>IF($C2501="","",Registro_Compras!$B$281)</f>
        <v/>
      </c>
      <c r="B2501" t="str">
        <f>IF($C2501="","","C"&amp;TEXT(INT((ROW()-5)/9)+1,"000")&amp;"-2")</f>
        <v/>
      </c>
      <c r="C2501" t="str">
        <f>IF(OR(Registro_Compras!$C$281="",Registro_Compras!$O$281=""),"",IF(Registro_Compras!$AB$281="ADMINISTRATIVO","94","95"))</f>
        <v/>
      </c>
      <c r="D2501" t="str">
        <f>IF(OR(Registro_Compras!$C$281="",Registro_Compras!$O$281=""),"",IF(Registro_Compras!$AB$281="ADMINISTRATIVO","Gastos Administrativos","Gastos de Venta y Operacion"))</f>
        <v/>
      </c>
      <c r="E2501" s="20" t="str">
        <f>IF($C2501="","",IF(Registro_Compras!$F$281="NOTA DE CREDITO","",IF(Registro_Compras!$F$281="RHE",ROUND(Registro_Compras!$L$281*Registro_Compras!$N$281,2),ROUND(Registro_Compras!$J$281*Registro_Compras!$N$281,2))))</f>
        <v/>
      </c>
      <c r="F2501" s="20" t="str">
        <f>IF($C2501="","",IF(Registro_Compras!$F$281="NOTA DE CREDITO",ROUND(ABS(Registro_Compras!$J$281*Registro_Compras!$N$281),2),""))</f>
        <v/>
      </c>
      <c r="G2501" t="str">
        <f>IF($C2501="","","Por el destino del gasto")</f>
        <v/>
      </c>
      <c r="H2501" t="str">
        <f>IF($C2501="","",Registro_Compras!$C$281)</f>
        <v/>
      </c>
    </row>
    <row r="2502" spans="1:8" x14ac:dyDescent="0.25">
      <c r="A2502" s="25" t="str">
        <f>IF($C2502="","",Registro_Compras!$B$281)</f>
        <v/>
      </c>
      <c r="B2502" t="str">
        <f>IF($C2502="","","C"&amp;TEXT(INT((ROW()-5)/9)+1,"000")&amp;"-2")</f>
        <v/>
      </c>
      <c r="C2502" t="str">
        <f>IF(OR(Registro_Compras!$C$281="",Registro_Compras!$O$281=""),"","79/791")</f>
        <v/>
      </c>
      <c r="D2502" t="str">
        <f>IF(OR(Registro_Compras!$C$281="",Registro_Compras!$O$281=""),"","Cargas Imputables a Cuentas de Costos y Gastos")</f>
        <v/>
      </c>
      <c r="E2502" s="20" t="str">
        <f>IF($C2502="","",IF(Registro_Compras!$F$281="NOTA DE CREDITO",ROUND(ABS(Registro_Compras!$J$281*Registro_Compras!$N$281),2),""))</f>
        <v/>
      </c>
      <c r="F2502" s="20" t="str">
        <f>IF($C2502="","",IF(Registro_Compras!$F$281="NOTA DE CREDITO","",IF(Registro_Compras!$F$281="RHE",ROUND(Registro_Compras!$L$281*Registro_Compras!$N$281,2),ROUND(Registro_Compras!$J$281*Registro_Compras!$N$281,2))))</f>
        <v/>
      </c>
      <c r="G2502" t="str">
        <f>IF($C2502="","","Por el destino del gasto")</f>
        <v/>
      </c>
      <c r="H2502" t="str">
        <f>IF($C2502="","",Registro_Compras!$C$281)</f>
        <v/>
      </c>
    </row>
    <row r="2503" spans="1:8" x14ac:dyDescent="0.25">
      <c r="A2503" s="25" t="str">
        <f>IF($C2503="","",Registro_Compras!$X$281)</f>
        <v/>
      </c>
      <c r="B2503" t="str">
        <f>IF($C2503="","","C"&amp;TEXT(INT((ROW()-5)/9)+1,"000")&amp;"-3")</f>
        <v/>
      </c>
      <c r="C2503" t="str">
        <f>IF(OR(Registro_Compras!$C$281="",Registro_Compras!$O$281="",Registro_Compras!$R$281&lt;&gt;"SI",Registro_Compras!$X$281=""),"","4212")</f>
        <v/>
      </c>
      <c r="D2503" t="str">
        <f>IF(OR(Registro_Compras!$C$281="",Registro_Compras!$O$281=""),"","Cuentas por Pagar Comerciales - Terceros")</f>
        <v/>
      </c>
      <c r="E2503" s="20" t="str">
        <f>IF($C2503="","",Registro_Compras!$S$281)</f>
        <v/>
      </c>
      <c r="F2503" s="20" t="str">
        <f>""</f>
        <v/>
      </c>
      <c r="G2503" t="str">
        <f>IF($C2503="","","Por el deposito de la detraccion en el Banco de la Nacion")</f>
        <v/>
      </c>
      <c r="H2503" t="str">
        <f>IF($C2503="","",Registro_Compras!$C$281)</f>
        <v/>
      </c>
    </row>
    <row r="2504" spans="1:8" x14ac:dyDescent="0.25">
      <c r="A2504" s="25" t="str">
        <f>IF($C2504="","",Registro_Compras!$X$281)</f>
        <v/>
      </c>
      <c r="B2504" t="str">
        <f>IF($C2504="","","C"&amp;TEXT(INT((ROW()-5)/9)+1,"000")&amp;"-3")</f>
        <v/>
      </c>
      <c r="C2504" t="str">
        <f>IF(OR(Registro_Compras!$C$281="",Registro_Compras!$O$281="",Registro_Compras!$R$281&lt;&gt;"SI",Registro_Compras!$X$281=""),"","1041")</f>
        <v/>
      </c>
      <c r="D2504" t="str">
        <f>IF(OR(Registro_Compras!$C$281="",Registro_Compras!$O$281=""),"","Efectivo y Equivalentes - Cta. Cte. Operativa")</f>
        <v/>
      </c>
      <c r="E2504" s="20" t="str">
        <f>""</f>
        <v/>
      </c>
      <c r="F2504" s="20" t="str">
        <f>IF($C2504="","",Registro_Compras!$S$281)</f>
        <v/>
      </c>
      <c r="G2504" t="str">
        <f>IF($C2504="","","Por el deposito de la detraccion en el Banco de la Nacion")</f>
        <v/>
      </c>
      <c r="H2504" t="str">
        <f>IF($C2504="","",Registro_Compras!$C$281)</f>
        <v/>
      </c>
    </row>
    <row r="2505" spans="1:8" x14ac:dyDescent="0.25">
      <c r="A2505" s="25" t="str">
        <f>IF($C2505="","",Registro_Compras!$Y$281)</f>
        <v/>
      </c>
      <c r="B2505" t="str">
        <f>IF($C2505="","","C"&amp;TEXT(INT((ROW()-5)/9)+1,"000")&amp;"-4")</f>
        <v/>
      </c>
      <c r="C2505" t="str">
        <f>IF(OR(Registro_Compras!$C$281="",Registro_Compras!$O$281="",Registro_Compras!$Y$281="",Registro_Compras!$F$281="NOTA DE CREDITO"),"","4212")</f>
        <v/>
      </c>
      <c r="D2505" t="str">
        <f>IF(OR(Registro_Compras!$C$281="",Registro_Compras!$O$281=""),"","Cuentas por Pagar Comerciales - Terceros")</f>
        <v/>
      </c>
      <c r="E2505" s="20" t="str">
        <f>IF($C2505="","",IF(Registro_Compras!$F$281="RHE",(ROUND(Registro_Compras!$L$281*Registro_Compras!$N$281,2)-ROUND(Registro_Compras!$V$281*Registro_Compras!$N$281,2)),ROUND(Registro_Compras!$O$281-Registro_Compras!$S$281,2)))</f>
        <v/>
      </c>
      <c r="F2505" s="20" t="str">
        <f>""</f>
        <v/>
      </c>
      <c r="G2505" t="str">
        <f>IF($C2505="","","Por la cancelacion del saldo al proveedor")</f>
        <v/>
      </c>
      <c r="H2505" t="str">
        <f>IF($C2505="","",Registro_Compras!$C$281)</f>
        <v/>
      </c>
    </row>
    <row r="2506" spans="1:8" x14ac:dyDescent="0.25">
      <c r="A2506" s="25" t="str">
        <f>IF($C2506="","",Registro_Compras!$Y$281)</f>
        <v/>
      </c>
      <c r="B2506" t="str">
        <f>IF($C2506="","","C"&amp;TEXT(INT((ROW()-5)/9)+1,"000")&amp;"-4")</f>
        <v/>
      </c>
      <c r="C2506" t="str">
        <f>IF(OR(Registro_Compras!$C$281="",Registro_Compras!$O$281="",Registro_Compras!$Y$281="",Registro_Compras!$F$281="NOTA DE CREDITO"),"","1041")</f>
        <v/>
      </c>
      <c r="D2506" t="str">
        <f>IF(OR(Registro_Compras!$C$281="",Registro_Compras!$O$281=""),"","Efectivo y Equivalentes - Cta. Cte. Operativa")</f>
        <v/>
      </c>
      <c r="E2506" s="20" t="str">
        <f>""</f>
        <v/>
      </c>
      <c r="F2506" s="20" t="str">
        <f>IF($C2506="","",IF(Registro_Compras!$F$281="RHE",(ROUND(Registro_Compras!$L$281*Registro_Compras!$N$281,2)-ROUND(Registro_Compras!$V$281*Registro_Compras!$N$281,2)),ROUND(Registro_Compras!$O$281-Registro_Compras!$S$281,2)))</f>
        <v/>
      </c>
      <c r="G2506" t="str">
        <f>IF($C2506="","","Por la cancelacion del saldo al proveedor")</f>
        <v/>
      </c>
      <c r="H2506" t="str">
        <f>IF($C2506="","",Registro_Compras!$C$281)</f>
        <v/>
      </c>
    </row>
    <row r="2507" spans="1:8" x14ac:dyDescent="0.25">
      <c r="A2507" s="25" t="str">
        <f>IF($C2507="","",Registro_Compras!$B$282)</f>
        <v/>
      </c>
      <c r="B2507" t="str">
        <f>IF($C2507="","","C"&amp;TEXT(INT((ROW()-5)/9)+1,"000")&amp;"-1")</f>
        <v/>
      </c>
      <c r="C2507" t="str">
        <f>IF(OR(Registro_Compras!$C$282="",Registro_Compras!$O$282=""),"",IF(Registro_Compras!$F$282="NOTA DE CREDITO","4212",IF(Registro_Compras!$M$282="","63",Registro_Compras!$M$282)))</f>
        <v/>
      </c>
      <c r="D2507" t="str">
        <f>IF(OR(Registro_Compras!$C$282="",Registro_Compras!$O$282=""),"",IF(Registro_Compras!$F$282="NOTA DE CREDITO","Cuentas por Pagar Comerciales - Terceros (Emitidas)",IF(Registro_Compras!$F$282="RHE","Honorarios Profesionales - Servicios de Terceros","Gastos de Servicios Prestados por Terceros")))</f>
        <v/>
      </c>
      <c r="E2507" s="20" t="str">
        <f>IF($C2507="","",IF(Registro_Compras!$F$282="NOTA DE CREDITO",ABS(Registro_Compras!$O$282),IF(Registro_Compras!$F$282="RHE",ROUND(Registro_Compras!$L$282*Registro_Compras!$N$282,2),ROUND(Registro_Compras!$J$282*Registro_Compras!$N$282,2))))</f>
        <v/>
      </c>
      <c r="F2507" s="20" t="str">
        <f>""</f>
        <v/>
      </c>
      <c r="G2507" t="str">
        <f>IF($C2507="","",IF(Registro_Compras!$F$282="NOTA DE CREDITO","Por la nota de credito "&amp;Registro_Compras!$C$282&amp;" de "&amp;Registro_Compras!$E$282&amp;" [PATRON POR CONFIRMAR CON CONTADOR]",IF(Registro_Compras!$F$282="RHE","Por el registro del recibo por honorarios "&amp;Registro_Compras!$C$282&amp;" de "&amp;Registro_Compras!$E$282&amp;" [PATRON POR CONFIRMAR CON CONTADOR]","Por el registro de la factura "&amp;Registro_Compras!$C$282&amp;" de "&amp;Registro_Compras!$E$282)))</f>
        <v/>
      </c>
      <c r="H2507" t="str">
        <f>IF($C2507="","",Registro_Compras!$C$282)</f>
        <v/>
      </c>
    </row>
    <row r="2508" spans="1:8" x14ac:dyDescent="0.25">
      <c r="A2508" s="25" t="str">
        <f>IF($C2508="","",Registro_Compras!$B$282)</f>
        <v/>
      </c>
      <c r="B2508" t="str">
        <f>IF($C2508="","","C"&amp;TEXT(INT((ROW()-5)/9)+1,"000")&amp;"-1")</f>
        <v/>
      </c>
      <c r="C2508" t="str">
        <f>IF(OR(Registro_Compras!$C$282="",Registro_Compras!$O$282=""),"",IF(Registro_Compras!$F$282="RHE",IF(Registro_Compras!$V$282=0,"","4017"),IF(Registro_Compras!$F$282="NOTA DE CREDITO",IF(Registro_Compras!$M$282="","63",Registro_Compras!$M$282),IF(Registro_Compras!$K$282=0,"","40111"))))</f>
        <v/>
      </c>
      <c r="D2508" t="str">
        <f>IF(OR(Registro_Compras!$C$282="",Registro_Compras!$O$282=""),"",IF(Registro_Compras!$F$282="RHE","Retencion Renta 4ta Categoria por Pagar",IF(Registro_Compras!$F$282="NOTA DE CREDITO","Gastos de Servicios Prestados por Terceros","IGV - Cuenta Propia (Credito Fiscal)")))</f>
        <v/>
      </c>
      <c r="E2508" s="20" t="str">
        <f>IF($C2508="","",IF(Registro_Compras!$F$282="FACTURA",ROUND(Registro_Compras!$K$282*Registro_Compras!$N$282,2),""))</f>
        <v/>
      </c>
      <c r="F2508" s="20" t="str">
        <f>IF($C2508="","",IF(Registro_Compras!$F$282="RHE",ROUND(Registro_Compras!$V$282*Registro_Compras!$N$282,2),IF(Registro_Compras!$F$282="NOTA DE CREDITO",ROUND(ABS(Registro_Compras!$J$282*Registro_Compras!$N$282),2),"")))</f>
        <v/>
      </c>
      <c r="G2508" t="str">
        <f>IF($C2508="","",IF(Registro_Compras!$F$282="NOTA DE CREDITO","Por la nota de credito "&amp;Registro_Compras!$C$282&amp;" de "&amp;Registro_Compras!$E$282&amp;" [PATRON POR CONFIRMAR CON CONTADOR]",IF(Registro_Compras!$F$282="RHE","Por el registro del recibo por honorarios "&amp;Registro_Compras!$C$282&amp;" de "&amp;Registro_Compras!$E$282&amp;" [PATRON POR CONFIRMAR CON CONTADOR]","Por el registro de la factura "&amp;Registro_Compras!$C$282&amp;" de "&amp;Registro_Compras!$E$282)))</f>
        <v/>
      </c>
      <c r="H2508" t="str">
        <f>IF($C2508="","",Registro_Compras!$C$282)</f>
        <v/>
      </c>
    </row>
    <row r="2509" spans="1:8" x14ac:dyDescent="0.25">
      <c r="A2509" s="25" t="str">
        <f>IF($C2509="","",Registro_Compras!$B$282)</f>
        <v/>
      </c>
      <c r="B2509" t="str">
        <f>IF($C2509="","","C"&amp;TEXT(INT((ROW()-5)/9)+1,"000")&amp;"-1")</f>
        <v/>
      </c>
      <c r="C2509" t="str">
        <f>IF(OR(Registro_Compras!$C$282="",Registro_Compras!$O$282=""),"",IF(Registro_Compras!$F$282="NOTA DE CREDITO",IF(Registro_Compras!$K$282=0,"","40111"),"4212"))</f>
        <v/>
      </c>
      <c r="D2509" t="str">
        <f>IF(OR(Registro_Compras!$C$282="",Registro_Compras!$O$282=""),"",IF(Registro_Compras!$F$282="NOTA DE CREDITO","IGV - Cuenta Propia (Credito Fiscal)","Cuentas por Pagar Comerciales - Terceros (Emitidas)"))</f>
        <v/>
      </c>
      <c r="E2509" s="20" t="str">
        <f>""</f>
        <v/>
      </c>
      <c r="F2509" s="20" t="str">
        <f>IF($C2509="","",IF(Registro_Compras!$F$282="NOTA DE CREDITO",ROUND(ABS(Registro_Compras!$K$282*Registro_Compras!$N$282),2),IF(Registro_Compras!$F$282="RHE",(ROUND(Registro_Compras!$L$282*Registro_Compras!$N$282,2)-ROUND(Registro_Compras!$V$282*Registro_Compras!$N$282,2)),Registro_Compras!$O$282)))</f>
        <v/>
      </c>
      <c r="G2509" t="str">
        <f>IF($C2509="","",IF(Registro_Compras!$F$282="NOTA DE CREDITO","Por la nota de credito "&amp;Registro_Compras!$C$282&amp;" de "&amp;Registro_Compras!$E$282&amp;" [PATRON POR CONFIRMAR CON CONTADOR]",IF(Registro_Compras!$F$282="RHE","Por el registro del recibo por honorarios "&amp;Registro_Compras!$C$282&amp;" de "&amp;Registro_Compras!$E$282&amp;" [PATRON POR CONFIRMAR CON CONTADOR]","Por el registro de la factura "&amp;Registro_Compras!$C$282&amp;" de "&amp;Registro_Compras!$E$282)))</f>
        <v/>
      </c>
      <c r="H2509" t="str">
        <f>IF($C2509="","",Registro_Compras!$C$282)</f>
        <v/>
      </c>
    </row>
    <row r="2510" spans="1:8" x14ac:dyDescent="0.25">
      <c r="A2510" s="25" t="str">
        <f>IF($C2510="","",Registro_Compras!$B$282)</f>
        <v/>
      </c>
      <c r="B2510" t="str">
        <f>IF($C2510="","","C"&amp;TEXT(INT((ROW()-5)/9)+1,"000")&amp;"-2")</f>
        <v/>
      </c>
      <c r="C2510" t="str">
        <f>IF(OR(Registro_Compras!$C$282="",Registro_Compras!$O$282=""),"",IF(Registro_Compras!$AB$282="ADMINISTRATIVO","94","95"))</f>
        <v/>
      </c>
      <c r="D2510" t="str">
        <f>IF(OR(Registro_Compras!$C$282="",Registro_Compras!$O$282=""),"",IF(Registro_Compras!$AB$282="ADMINISTRATIVO","Gastos Administrativos","Gastos de Venta y Operacion"))</f>
        <v/>
      </c>
      <c r="E2510" s="20" t="str">
        <f>IF($C2510="","",IF(Registro_Compras!$F$282="NOTA DE CREDITO","",IF(Registro_Compras!$F$282="RHE",ROUND(Registro_Compras!$L$282*Registro_Compras!$N$282,2),ROUND(Registro_Compras!$J$282*Registro_Compras!$N$282,2))))</f>
        <v/>
      </c>
      <c r="F2510" s="20" t="str">
        <f>IF($C2510="","",IF(Registro_Compras!$F$282="NOTA DE CREDITO",ROUND(ABS(Registro_Compras!$J$282*Registro_Compras!$N$282),2),""))</f>
        <v/>
      </c>
      <c r="G2510" t="str">
        <f>IF($C2510="","","Por el destino del gasto")</f>
        <v/>
      </c>
      <c r="H2510" t="str">
        <f>IF($C2510="","",Registro_Compras!$C$282)</f>
        <v/>
      </c>
    </row>
    <row r="2511" spans="1:8" x14ac:dyDescent="0.25">
      <c r="A2511" s="25" t="str">
        <f>IF($C2511="","",Registro_Compras!$B$282)</f>
        <v/>
      </c>
      <c r="B2511" t="str">
        <f>IF($C2511="","","C"&amp;TEXT(INT((ROW()-5)/9)+1,"000")&amp;"-2")</f>
        <v/>
      </c>
      <c r="C2511" t="str">
        <f>IF(OR(Registro_Compras!$C$282="",Registro_Compras!$O$282=""),"","79/791")</f>
        <v/>
      </c>
      <c r="D2511" t="str">
        <f>IF(OR(Registro_Compras!$C$282="",Registro_Compras!$O$282=""),"","Cargas Imputables a Cuentas de Costos y Gastos")</f>
        <v/>
      </c>
      <c r="E2511" s="20" t="str">
        <f>IF($C2511="","",IF(Registro_Compras!$F$282="NOTA DE CREDITO",ROUND(ABS(Registro_Compras!$J$282*Registro_Compras!$N$282),2),""))</f>
        <v/>
      </c>
      <c r="F2511" s="20" t="str">
        <f>IF($C2511="","",IF(Registro_Compras!$F$282="NOTA DE CREDITO","",IF(Registro_Compras!$F$282="RHE",ROUND(Registro_Compras!$L$282*Registro_Compras!$N$282,2),ROUND(Registro_Compras!$J$282*Registro_Compras!$N$282,2))))</f>
        <v/>
      </c>
      <c r="G2511" t="str">
        <f>IF($C2511="","","Por el destino del gasto")</f>
        <v/>
      </c>
      <c r="H2511" t="str">
        <f>IF($C2511="","",Registro_Compras!$C$282)</f>
        <v/>
      </c>
    </row>
    <row r="2512" spans="1:8" x14ac:dyDescent="0.25">
      <c r="A2512" s="25" t="str">
        <f>IF($C2512="","",Registro_Compras!$X$282)</f>
        <v/>
      </c>
      <c r="B2512" t="str">
        <f>IF($C2512="","","C"&amp;TEXT(INT((ROW()-5)/9)+1,"000")&amp;"-3")</f>
        <v/>
      </c>
      <c r="C2512" t="str">
        <f>IF(OR(Registro_Compras!$C$282="",Registro_Compras!$O$282="",Registro_Compras!$R$282&lt;&gt;"SI",Registro_Compras!$X$282=""),"","4212")</f>
        <v/>
      </c>
      <c r="D2512" t="str">
        <f>IF(OR(Registro_Compras!$C$282="",Registro_Compras!$O$282=""),"","Cuentas por Pagar Comerciales - Terceros")</f>
        <v/>
      </c>
      <c r="E2512" s="20" t="str">
        <f>IF($C2512="","",Registro_Compras!$S$282)</f>
        <v/>
      </c>
      <c r="F2512" s="20" t="str">
        <f>""</f>
        <v/>
      </c>
      <c r="G2512" t="str">
        <f>IF($C2512="","","Por el deposito de la detraccion en el Banco de la Nacion")</f>
        <v/>
      </c>
      <c r="H2512" t="str">
        <f>IF($C2512="","",Registro_Compras!$C$282)</f>
        <v/>
      </c>
    </row>
    <row r="2513" spans="1:8" x14ac:dyDescent="0.25">
      <c r="A2513" s="25" t="str">
        <f>IF($C2513="","",Registro_Compras!$X$282)</f>
        <v/>
      </c>
      <c r="B2513" t="str">
        <f>IF($C2513="","","C"&amp;TEXT(INT((ROW()-5)/9)+1,"000")&amp;"-3")</f>
        <v/>
      </c>
      <c r="C2513" t="str">
        <f>IF(OR(Registro_Compras!$C$282="",Registro_Compras!$O$282="",Registro_Compras!$R$282&lt;&gt;"SI",Registro_Compras!$X$282=""),"","1041")</f>
        <v/>
      </c>
      <c r="D2513" t="str">
        <f>IF(OR(Registro_Compras!$C$282="",Registro_Compras!$O$282=""),"","Efectivo y Equivalentes - Cta. Cte. Operativa")</f>
        <v/>
      </c>
      <c r="E2513" s="20" t="str">
        <f>""</f>
        <v/>
      </c>
      <c r="F2513" s="20" t="str">
        <f>IF($C2513="","",Registro_Compras!$S$282)</f>
        <v/>
      </c>
      <c r="G2513" t="str">
        <f>IF($C2513="","","Por el deposito de la detraccion en el Banco de la Nacion")</f>
        <v/>
      </c>
      <c r="H2513" t="str">
        <f>IF($C2513="","",Registro_Compras!$C$282)</f>
        <v/>
      </c>
    </row>
    <row r="2514" spans="1:8" x14ac:dyDescent="0.25">
      <c r="A2514" s="25" t="str">
        <f>IF($C2514="","",Registro_Compras!$Y$282)</f>
        <v/>
      </c>
      <c r="B2514" t="str">
        <f>IF($C2514="","","C"&amp;TEXT(INT((ROW()-5)/9)+1,"000")&amp;"-4")</f>
        <v/>
      </c>
      <c r="C2514" t="str">
        <f>IF(OR(Registro_Compras!$C$282="",Registro_Compras!$O$282="",Registro_Compras!$Y$282="",Registro_Compras!$F$282="NOTA DE CREDITO"),"","4212")</f>
        <v/>
      </c>
      <c r="D2514" t="str">
        <f>IF(OR(Registro_Compras!$C$282="",Registro_Compras!$O$282=""),"","Cuentas por Pagar Comerciales - Terceros")</f>
        <v/>
      </c>
      <c r="E2514" s="20" t="str">
        <f>IF($C2514="","",IF(Registro_Compras!$F$282="RHE",(ROUND(Registro_Compras!$L$282*Registro_Compras!$N$282,2)-ROUND(Registro_Compras!$V$282*Registro_Compras!$N$282,2)),ROUND(Registro_Compras!$O$282-Registro_Compras!$S$282,2)))</f>
        <v/>
      </c>
      <c r="F2514" s="20" t="str">
        <f>""</f>
        <v/>
      </c>
      <c r="G2514" t="str">
        <f>IF($C2514="","","Por la cancelacion del saldo al proveedor")</f>
        <v/>
      </c>
      <c r="H2514" t="str">
        <f>IF($C2514="","",Registro_Compras!$C$282)</f>
        <v/>
      </c>
    </row>
    <row r="2515" spans="1:8" x14ac:dyDescent="0.25">
      <c r="A2515" s="25" t="str">
        <f>IF($C2515="","",Registro_Compras!$Y$282)</f>
        <v/>
      </c>
      <c r="B2515" t="str">
        <f>IF($C2515="","","C"&amp;TEXT(INT((ROW()-5)/9)+1,"000")&amp;"-4")</f>
        <v/>
      </c>
      <c r="C2515" t="str">
        <f>IF(OR(Registro_Compras!$C$282="",Registro_Compras!$O$282="",Registro_Compras!$Y$282="",Registro_Compras!$F$282="NOTA DE CREDITO"),"","1041")</f>
        <v/>
      </c>
      <c r="D2515" t="str">
        <f>IF(OR(Registro_Compras!$C$282="",Registro_Compras!$O$282=""),"","Efectivo y Equivalentes - Cta. Cte. Operativa")</f>
        <v/>
      </c>
      <c r="E2515" s="20" t="str">
        <f>""</f>
        <v/>
      </c>
      <c r="F2515" s="20" t="str">
        <f>IF($C2515="","",IF(Registro_Compras!$F$282="RHE",(ROUND(Registro_Compras!$L$282*Registro_Compras!$N$282,2)-ROUND(Registro_Compras!$V$282*Registro_Compras!$N$282,2)),ROUND(Registro_Compras!$O$282-Registro_Compras!$S$282,2)))</f>
        <v/>
      </c>
      <c r="G2515" t="str">
        <f>IF($C2515="","","Por la cancelacion del saldo al proveedor")</f>
        <v/>
      </c>
      <c r="H2515" t="str">
        <f>IF($C2515="","",Registro_Compras!$C$282)</f>
        <v/>
      </c>
    </row>
    <row r="2516" spans="1:8" x14ac:dyDescent="0.25">
      <c r="A2516" s="25" t="str">
        <f>IF($C2516="","",Registro_Compras!$B$283)</f>
        <v/>
      </c>
      <c r="B2516" t="str">
        <f>IF($C2516="","","C"&amp;TEXT(INT((ROW()-5)/9)+1,"000")&amp;"-1")</f>
        <v/>
      </c>
      <c r="C2516" t="str">
        <f>IF(OR(Registro_Compras!$C$283="",Registro_Compras!$O$283=""),"",IF(Registro_Compras!$F$283="NOTA DE CREDITO","4212",IF(Registro_Compras!$M$283="","63",Registro_Compras!$M$283)))</f>
        <v/>
      </c>
      <c r="D2516" t="str">
        <f>IF(OR(Registro_Compras!$C$283="",Registro_Compras!$O$283=""),"",IF(Registro_Compras!$F$283="NOTA DE CREDITO","Cuentas por Pagar Comerciales - Terceros (Emitidas)",IF(Registro_Compras!$F$283="RHE","Honorarios Profesionales - Servicios de Terceros","Gastos de Servicios Prestados por Terceros")))</f>
        <v/>
      </c>
      <c r="E2516" s="20" t="str">
        <f>IF($C2516="","",IF(Registro_Compras!$F$283="NOTA DE CREDITO",ABS(Registro_Compras!$O$283),IF(Registro_Compras!$F$283="RHE",ROUND(Registro_Compras!$L$283*Registro_Compras!$N$283,2),ROUND(Registro_Compras!$J$283*Registro_Compras!$N$283,2))))</f>
        <v/>
      </c>
      <c r="F2516" s="20" t="str">
        <f>""</f>
        <v/>
      </c>
      <c r="G2516" t="str">
        <f>IF($C2516="","",IF(Registro_Compras!$F$283="NOTA DE CREDITO","Por la nota de credito "&amp;Registro_Compras!$C$283&amp;" de "&amp;Registro_Compras!$E$283&amp;" [PATRON POR CONFIRMAR CON CONTADOR]",IF(Registro_Compras!$F$283="RHE","Por el registro del recibo por honorarios "&amp;Registro_Compras!$C$283&amp;" de "&amp;Registro_Compras!$E$283&amp;" [PATRON POR CONFIRMAR CON CONTADOR]","Por el registro de la factura "&amp;Registro_Compras!$C$283&amp;" de "&amp;Registro_Compras!$E$283)))</f>
        <v/>
      </c>
      <c r="H2516" t="str">
        <f>IF($C2516="","",Registro_Compras!$C$283)</f>
        <v/>
      </c>
    </row>
    <row r="2517" spans="1:8" x14ac:dyDescent="0.25">
      <c r="A2517" s="25" t="str">
        <f>IF($C2517="","",Registro_Compras!$B$283)</f>
        <v/>
      </c>
      <c r="B2517" t="str">
        <f>IF($C2517="","","C"&amp;TEXT(INT((ROW()-5)/9)+1,"000")&amp;"-1")</f>
        <v/>
      </c>
      <c r="C2517" t="str">
        <f>IF(OR(Registro_Compras!$C$283="",Registro_Compras!$O$283=""),"",IF(Registro_Compras!$F$283="RHE",IF(Registro_Compras!$V$283=0,"","4017"),IF(Registro_Compras!$F$283="NOTA DE CREDITO",IF(Registro_Compras!$M$283="","63",Registro_Compras!$M$283),IF(Registro_Compras!$K$283=0,"","40111"))))</f>
        <v/>
      </c>
      <c r="D2517" t="str">
        <f>IF(OR(Registro_Compras!$C$283="",Registro_Compras!$O$283=""),"",IF(Registro_Compras!$F$283="RHE","Retencion Renta 4ta Categoria por Pagar",IF(Registro_Compras!$F$283="NOTA DE CREDITO","Gastos de Servicios Prestados por Terceros","IGV - Cuenta Propia (Credito Fiscal)")))</f>
        <v/>
      </c>
      <c r="E2517" s="20" t="str">
        <f>IF($C2517="","",IF(Registro_Compras!$F$283="FACTURA",ROUND(Registro_Compras!$K$283*Registro_Compras!$N$283,2),""))</f>
        <v/>
      </c>
      <c r="F2517" s="20" t="str">
        <f>IF($C2517="","",IF(Registro_Compras!$F$283="RHE",ROUND(Registro_Compras!$V$283*Registro_Compras!$N$283,2),IF(Registro_Compras!$F$283="NOTA DE CREDITO",ROUND(ABS(Registro_Compras!$J$283*Registro_Compras!$N$283),2),"")))</f>
        <v/>
      </c>
      <c r="G2517" t="str">
        <f>IF($C2517="","",IF(Registro_Compras!$F$283="NOTA DE CREDITO","Por la nota de credito "&amp;Registro_Compras!$C$283&amp;" de "&amp;Registro_Compras!$E$283&amp;" [PATRON POR CONFIRMAR CON CONTADOR]",IF(Registro_Compras!$F$283="RHE","Por el registro del recibo por honorarios "&amp;Registro_Compras!$C$283&amp;" de "&amp;Registro_Compras!$E$283&amp;" [PATRON POR CONFIRMAR CON CONTADOR]","Por el registro de la factura "&amp;Registro_Compras!$C$283&amp;" de "&amp;Registro_Compras!$E$283)))</f>
        <v/>
      </c>
      <c r="H2517" t="str">
        <f>IF($C2517="","",Registro_Compras!$C$283)</f>
        <v/>
      </c>
    </row>
    <row r="2518" spans="1:8" x14ac:dyDescent="0.25">
      <c r="A2518" s="25" t="str">
        <f>IF($C2518="","",Registro_Compras!$B$283)</f>
        <v/>
      </c>
      <c r="B2518" t="str">
        <f>IF($C2518="","","C"&amp;TEXT(INT((ROW()-5)/9)+1,"000")&amp;"-1")</f>
        <v/>
      </c>
      <c r="C2518" t="str">
        <f>IF(OR(Registro_Compras!$C$283="",Registro_Compras!$O$283=""),"",IF(Registro_Compras!$F$283="NOTA DE CREDITO",IF(Registro_Compras!$K$283=0,"","40111"),"4212"))</f>
        <v/>
      </c>
      <c r="D2518" t="str">
        <f>IF(OR(Registro_Compras!$C$283="",Registro_Compras!$O$283=""),"",IF(Registro_Compras!$F$283="NOTA DE CREDITO","IGV - Cuenta Propia (Credito Fiscal)","Cuentas por Pagar Comerciales - Terceros (Emitidas)"))</f>
        <v/>
      </c>
      <c r="E2518" s="20" t="str">
        <f>""</f>
        <v/>
      </c>
      <c r="F2518" s="20" t="str">
        <f>IF($C2518="","",IF(Registro_Compras!$F$283="NOTA DE CREDITO",ROUND(ABS(Registro_Compras!$K$283*Registro_Compras!$N$283),2),IF(Registro_Compras!$F$283="RHE",(ROUND(Registro_Compras!$L$283*Registro_Compras!$N$283,2)-ROUND(Registro_Compras!$V$283*Registro_Compras!$N$283,2)),Registro_Compras!$O$283)))</f>
        <v/>
      </c>
      <c r="G2518" t="str">
        <f>IF($C2518="","",IF(Registro_Compras!$F$283="NOTA DE CREDITO","Por la nota de credito "&amp;Registro_Compras!$C$283&amp;" de "&amp;Registro_Compras!$E$283&amp;" [PATRON POR CONFIRMAR CON CONTADOR]",IF(Registro_Compras!$F$283="RHE","Por el registro del recibo por honorarios "&amp;Registro_Compras!$C$283&amp;" de "&amp;Registro_Compras!$E$283&amp;" [PATRON POR CONFIRMAR CON CONTADOR]","Por el registro de la factura "&amp;Registro_Compras!$C$283&amp;" de "&amp;Registro_Compras!$E$283)))</f>
        <v/>
      </c>
      <c r="H2518" t="str">
        <f>IF($C2518="","",Registro_Compras!$C$283)</f>
        <v/>
      </c>
    </row>
    <row r="2519" spans="1:8" x14ac:dyDescent="0.25">
      <c r="A2519" s="25" t="str">
        <f>IF($C2519="","",Registro_Compras!$B$283)</f>
        <v/>
      </c>
      <c r="B2519" t="str">
        <f>IF($C2519="","","C"&amp;TEXT(INT((ROW()-5)/9)+1,"000")&amp;"-2")</f>
        <v/>
      </c>
      <c r="C2519" t="str">
        <f>IF(OR(Registro_Compras!$C$283="",Registro_Compras!$O$283=""),"",IF(Registro_Compras!$AB$283="ADMINISTRATIVO","94","95"))</f>
        <v/>
      </c>
      <c r="D2519" t="str">
        <f>IF(OR(Registro_Compras!$C$283="",Registro_Compras!$O$283=""),"",IF(Registro_Compras!$AB$283="ADMINISTRATIVO","Gastos Administrativos","Gastos de Venta y Operacion"))</f>
        <v/>
      </c>
      <c r="E2519" s="20" t="str">
        <f>IF($C2519="","",IF(Registro_Compras!$F$283="NOTA DE CREDITO","",IF(Registro_Compras!$F$283="RHE",ROUND(Registro_Compras!$L$283*Registro_Compras!$N$283,2),ROUND(Registro_Compras!$J$283*Registro_Compras!$N$283,2))))</f>
        <v/>
      </c>
      <c r="F2519" s="20" t="str">
        <f>IF($C2519="","",IF(Registro_Compras!$F$283="NOTA DE CREDITO",ROUND(ABS(Registro_Compras!$J$283*Registro_Compras!$N$283),2),""))</f>
        <v/>
      </c>
      <c r="G2519" t="str">
        <f>IF($C2519="","","Por el destino del gasto")</f>
        <v/>
      </c>
      <c r="H2519" t="str">
        <f>IF($C2519="","",Registro_Compras!$C$283)</f>
        <v/>
      </c>
    </row>
    <row r="2520" spans="1:8" x14ac:dyDescent="0.25">
      <c r="A2520" s="25" t="str">
        <f>IF($C2520="","",Registro_Compras!$B$283)</f>
        <v/>
      </c>
      <c r="B2520" t="str">
        <f>IF($C2520="","","C"&amp;TEXT(INT((ROW()-5)/9)+1,"000")&amp;"-2")</f>
        <v/>
      </c>
      <c r="C2520" t="str">
        <f>IF(OR(Registro_Compras!$C$283="",Registro_Compras!$O$283=""),"","79/791")</f>
        <v/>
      </c>
      <c r="D2520" t="str">
        <f>IF(OR(Registro_Compras!$C$283="",Registro_Compras!$O$283=""),"","Cargas Imputables a Cuentas de Costos y Gastos")</f>
        <v/>
      </c>
      <c r="E2520" s="20" t="str">
        <f>IF($C2520="","",IF(Registro_Compras!$F$283="NOTA DE CREDITO",ROUND(ABS(Registro_Compras!$J$283*Registro_Compras!$N$283),2),""))</f>
        <v/>
      </c>
      <c r="F2520" s="20" t="str">
        <f>IF($C2520="","",IF(Registro_Compras!$F$283="NOTA DE CREDITO","",IF(Registro_Compras!$F$283="RHE",ROUND(Registro_Compras!$L$283*Registro_Compras!$N$283,2),ROUND(Registro_Compras!$J$283*Registro_Compras!$N$283,2))))</f>
        <v/>
      </c>
      <c r="G2520" t="str">
        <f>IF($C2520="","","Por el destino del gasto")</f>
        <v/>
      </c>
      <c r="H2520" t="str">
        <f>IF($C2520="","",Registro_Compras!$C$283)</f>
        <v/>
      </c>
    </row>
    <row r="2521" spans="1:8" x14ac:dyDescent="0.25">
      <c r="A2521" s="25" t="str">
        <f>IF($C2521="","",Registro_Compras!$X$283)</f>
        <v/>
      </c>
      <c r="B2521" t="str">
        <f>IF($C2521="","","C"&amp;TEXT(INT((ROW()-5)/9)+1,"000")&amp;"-3")</f>
        <v/>
      </c>
      <c r="C2521" t="str">
        <f>IF(OR(Registro_Compras!$C$283="",Registro_Compras!$O$283="",Registro_Compras!$R$283&lt;&gt;"SI",Registro_Compras!$X$283=""),"","4212")</f>
        <v/>
      </c>
      <c r="D2521" t="str">
        <f>IF(OR(Registro_Compras!$C$283="",Registro_Compras!$O$283=""),"","Cuentas por Pagar Comerciales - Terceros")</f>
        <v/>
      </c>
      <c r="E2521" s="20" t="str">
        <f>IF($C2521="","",Registro_Compras!$S$283)</f>
        <v/>
      </c>
      <c r="F2521" s="20" t="str">
        <f>""</f>
        <v/>
      </c>
      <c r="G2521" t="str">
        <f>IF($C2521="","","Por el deposito de la detraccion en el Banco de la Nacion")</f>
        <v/>
      </c>
      <c r="H2521" t="str">
        <f>IF($C2521="","",Registro_Compras!$C$283)</f>
        <v/>
      </c>
    </row>
    <row r="2522" spans="1:8" x14ac:dyDescent="0.25">
      <c r="A2522" s="25" t="str">
        <f>IF($C2522="","",Registro_Compras!$X$283)</f>
        <v/>
      </c>
      <c r="B2522" t="str">
        <f>IF($C2522="","","C"&amp;TEXT(INT((ROW()-5)/9)+1,"000")&amp;"-3")</f>
        <v/>
      </c>
      <c r="C2522" t="str">
        <f>IF(OR(Registro_Compras!$C$283="",Registro_Compras!$O$283="",Registro_Compras!$R$283&lt;&gt;"SI",Registro_Compras!$X$283=""),"","1041")</f>
        <v/>
      </c>
      <c r="D2522" t="str">
        <f>IF(OR(Registro_Compras!$C$283="",Registro_Compras!$O$283=""),"","Efectivo y Equivalentes - Cta. Cte. Operativa")</f>
        <v/>
      </c>
      <c r="E2522" s="20" t="str">
        <f>""</f>
        <v/>
      </c>
      <c r="F2522" s="20" t="str">
        <f>IF($C2522="","",Registro_Compras!$S$283)</f>
        <v/>
      </c>
      <c r="G2522" t="str">
        <f>IF($C2522="","","Por el deposito de la detraccion en el Banco de la Nacion")</f>
        <v/>
      </c>
      <c r="H2522" t="str">
        <f>IF($C2522="","",Registro_Compras!$C$283)</f>
        <v/>
      </c>
    </row>
    <row r="2523" spans="1:8" x14ac:dyDescent="0.25">
      <c r="A2523" s="25" t="str">
        <f>IF($C2523="","",Registro_Compras!$Y$283)</f>
        <v/>
      </c>
      <c r="B2523" t="str">
        <f>IF($C2523="","","C"&amp;TEXT(INT((ROW()-5)/9)+1,"000")&amp;"-4")</f>
        <v/>
      </c>
      <c r="C2523" t="str">
        <f>IF(OR(Registro_Compras!$C$283="",Registro_Compras!$O$283="",Registro_Compras!$Y$283="",Registro_Compras!$F$283="NOTA DE CREDITO"),"","4212")</f>
        <v/>
      </c>
      <c r="D2523" t="str">
        <f>IF(OR(Registro_Compras!$C$283="",Registro_Compras!$O$283=""),"","Cuentas por Pagar Comerciales - Terceros")</f>
        <v/>
      </c>
      <c r="E2523" s="20" t="str">
        <f>IF($C2523="","",IF(Registro_Compras!$F$283="RHE",(ROUND(Registro_Compras!$L$283*Registro_Compras!$N$283,2)-ROUND(Registro_Compras!$V$283*Registro_Compras!$N$283,2)),ROUND(Registro_Compras!$O$283-Registro_Compras!$S$283,2)))</f>
        <v/>
      </c>
      <c r="F2523" s="20" t="str">
        <f>""</f>
        <v/>
      </c>
      <c r="G2523" t="str">
        <f>IF($C2523="","","Por la cancelacion del saldo al proveedor")</f>
        <v/>
      </c>
      <c r="H2523" t="str">
        <f>IF($C2523="","",Registro_Compras!$C$283)</f>
        <v/>
      </c>
    </row>
    <row r="2524" spans="1:8" x14ac:dyDescent="0.25">
      <c r="A2524" s="25" t="str">
        <f>IF($C2524="","",Registro_Compras!$Y$283)</f>
        <v/>
      </c>
      <c r="B2524" t="str">
        <f>IF($C2524="","","C"&amp;TEXT(INT((ROW()-5)/9)+1,"000")&amp;"-4")</f>
        <v/>
      </c>
      <c r="C2524" t="str">
        <f>IF(OR(Registro_Compras!$C$283="",Registro_Compras!$O$283="",Registro_Compras!$Y$283="",Registro_Compras!$F$283="NOTA DE CREDITO"),"","1041")</f>
        <v/>
      </c>
      <c r="D2524" t="str">
        <f>IF(OR(Registro_Compras!$C$283="",Registro_Compras!$O$283=""),"","Efectivo y Equivalentes - Cta. Cte. Operativa")</f>
        <v/>
      </c>
      <c r="E2524" s="20" t="str">
        <f>""</f>
        <v/>
      </c>
      <c r="F2524" s="20" t="str">
        <f>IF($C2524="","",IF(Registro_Compras!$F$283="RHE",(ROUND(Registro_Compras!$L$283*Registro_Compras!$N$283,2)-ROUND(Registro_Compras!$V$283*Registro_Compras!$N$283,2)),ROUND(Registro_Compras!$O$283-Registro_Compras!$S$283,2)))</f>
        <v/>
      </c>
      <c r="G2524" t="str">
        <f>IF($C2524="","","Por la cancelacion del saldo al proveedor")</f>
        <v/>
      </c>
      <c r="H2524" t="str">
        <f>IF($C2524="","",Registro_Compras!$C$283)</f>
        <v/>
      </c>
    </row>
    <row r="2525" spans="1:8" x14ac:dyDescent="0.25">
      <c r="A2525" s="25" t="str">
        <f>IF($C2525="","",Registro_Compras!$B$284)</f>
        <v/>
      </c>
      <c r="B2525" t="str">
        <f>IF($C2525="","","C"&amp;TEXT(INT((ROW()-5)/9)+1,"000")&amp;"-1")</f>
        <v/>
      </c>
      <c r="C2525" t="str">
        <f>IF(OR(Registro_Compras!$C$284="",Registro_Compras!$O$284=""),"",IF(Registro_Compras!$F$284="NOTA DE CREDITO","4212",IF(Registro_Compras!$M$284="","63",Registro_Compras!$M$284)))</f>
        <v/>
      </c>
      <c r="D2525" t="str">
        <f>IF(OR(Registro_Compras!$C$284="",Registro_Compras!$O$284=""),"",IF(Registro_Compras!$F$284="NOTA DE CREDITO","Cuentas por Pagar Comerciales - Terceros (Emitidas)",IF(Registro_Compras!$F$284="RHE","Honorarios Profesionales - Servicios de Terceros","Gastos de Servicios Prestados por Terceros")))</f>
        <v/>
      </c>
      <c r="E2525" s="20" t="str">
        <f>IF($C2525="","",IF(Registro_Compras!$F$284="NOTA DE CREDITO",ABS(Registro_Compras!$O$284),IF(Registro_Compras!$F$284="RHE",ROUND(Registro_Compras!$L$284*Registro_Compras!$N$284,2),ROUND(Registro_Compras!$J$284*Registro_Compras!$N$284,2))))</f>
        <v/>
      </c>
      <c r="F2525" s="20" t="str">
        <f>""</f>
        <v/>
      </c>
      <c r="G2525" t="str">
        <f>IF($C2525="","",IF(Registro_Compras!$F$284="NOTA DE CREDITO","Por la nota de credito "&amp;Registro_Compras!$C$284&amp;" de "&amp;Registro_Compras!$E$284&amp;" [PATRON POR CONFIRMAR CON CONTADOR]",IF(Registro_Compras!$F$284="RHE","Por el registro del recibo por honorarios "&amp;Registro_Compras!$C$284&amp;" de "&amp;Registro_Compras!$E$284&amp;" [PATRON POR CONFIRMAR CON CONTADOR]","Por el registro de la factura "&amp;Registro_Compras!$C$284&amp;" de "&amp;Registro_Compras!$E$284)))</f>
        <v/>
      </c>
      <c r="H2525" t="str">
        <f>IF($C2525="","",Registro_Compras!$C$284)</f>
        <v/>
      </c>
    </row>
    <row r="2526" spans="1:8" x14ac:dyDescent="0.25">
      <c r="A2526" s="25" t="str">
        <f>IF($C2526="","",Registro_Compras!$B$284)</f>
        <v/>
      </c>
      <c r="B2526" t="str">
        <f>IF($C2526="","","C"&amp;TEXT(INT((ROW()-5)/9)+1,"000")&amp;"-1")</f>
        <v/>
      </c>
      <c r="C2526" t="str">
        <f>IF(OR(Registro_Compras!$C$284="",Registro_Compras!$O$284=""),"",IF(Registro_Compras!$F$284="RHE",IF(Registro_Compras!$V$284=0,"","4017"),IF(Registro_Compras!$F$284="NOTA DE CREDITO",IF(Registro_Compras!$M$284="","63",Registro_Compras!$M$284),IF(Registro_Compras!$K$284=0,"","40111"))))</f>
        <v/>
      </c>
      <c r="D2526" t="str">
        <f>IF(OR(Registro_Compras!$C$284="",Registro_Compras!$O$284=""),"",IF(Registro_Compras!$F$284="RHE","Retencion Renta 4ta Categoria por Pagar",IF(Registro_Compras!$F$284="NOTA DE CREDITO","Gastos de Servicios Prestados por Terceros","IGV - Cuenta Propia (Credito Fiscal)")))</f>
        <v/>
      </c>
      <c r="E2526" s="20" t="str">
        <f>IF($C2526="","",IF(Registro_Compras!$F$284="FACTURA",ROUND(Registro_Compras!$K$284*Registro_Compras!$N$284,2),""))</f>
        <v/>
      </c>
      <c r="F2526" s="20" t="str">
        <f>IF($C2526="","",IF(Registro_Compras!$F$284="RHE",ROUND(Registro_Compras!$V$284*Registro_Compras!$N$284,2),IF(Registro_Compras!$F$284="NOTA DE CREDITO",ROUND(ABS(Registro_Compras!$J$284*Registro_Compras!$N$284),2),"")))</f>
        <v/>
      </c>
      <c r="G2526" t="str">
        <f>IF($C2526="","",IF(Registro_Compras!$F$284="NOTA DE CREDITO","Por la nota de credito "&amp;Registro_Compras!$C$284&amp;" de "&amp;Registro_Compras!$E$284&amp;" [PATRON POR CONFIRMAR CON CONTADOR]",IF(Registro_Compras!$F$284="RHE","Por el registro del recibo por honorarios "&amp;Registro_Compras!$C$284&amp;" de "&amp;Registro_Compras!$E$284&amp;" [PATRON POR CONFIRMAR CON CONTADOR]","Por el registro de la factura "&amp;Registro_Compras!$C$284&amp;" de "&amp;Registro_Compras!$E$284)))</f>
        <v/>
      </c>
      <c r="H2526" t="str">
        <f>IF($C2526="","",Registro_Compras!$C$284)</f>
        <v/>
      </c>
    </row>
    <row r="2527" spans="1:8" x14ac:dyDescent="0.25">
      <c r="A2527" s="25" t="str">
        <f>IF($C2527="","",Registro_Compras!$B$284)</f>
        <v/>
      </c>
      <c r="B2527" t="str">
        <f>IF($C2527="","","C"&amp;TEXT(INT((ROW()-5)/9)+1,"000")&amp;"-1")</f>
        <v/>
      </c>
      <c r="C2527" t="str">
        <f>IF(OR(Registro_Compras!$C$284="",Registro_Compras!$O$284=""),"",IF(Registro_Compras!$F$284="NOTA DE CREDITO",IF(Registro_Compras!$K$284=0,"","40111"),"4212"))</f>
        <v/>
      </c>
      <c r="D2527" t="str">
        <f>IF(OR(Registro_Compras!$C$284="",Registro_Compras!$O$284=""),"",IF(Registro_Compras!$F$284="NOTA DE CREDITO","IGV - Cuenta Propia (Credito Fiscal)","Cuentas por Pagar Comerciales - Terceros (Emitidas)"))</f>
        <v/>
      </c>
      <c r="E2527" s="20" t="str">
        <f>""</f>
        <v/>
      </c>
      <c r="F2527" s="20" t="str">
        <f>IF($C2527="","",IF(Registro_Compras!$F$284="NOTA DE CREDITO",ROUND(ABS(Registro_Compras!$K$284*Registro_Compras!$N$284),2),IF(Registro_Compras!$F$284="RHE",(ROUND(Registro_Compras!$L$284*Registro_Compras!$N$284,2)-ROUND(Registro_Compras!$V$284*Registro_Compras!$N$284,2)),Registro_Compras!$O$284)))</f>
        <v/>
      </c>
      <c r="G2527" t="str">
        <f>IF($C2527="","",IF(Registro_Compras!$F$284="NOTA DE CREDITO","Por la nota de credito "&amp;Registro_Compras!$C$284&amp;" de "&amp;Registro_Compras!$E$284&amp;" [PATRON POR CONFIRMAR CON CONTADOR]",IF(Registro_Compras!$F$284="RHE","Por el registro del recibo por honorarios "&amp;Registro_Compras!$C$284&amp;" de "&amp;Registro_Compras!$E$284&amp;" [PATRON POR CONFIRMAR CON CONTADOR]","Por el registro de la factura "&amp;Registro_Compras!$C$284&amp;" de "&amp;Registro_Compras!$E$284)))</f>
        <v/>
      </c>
      <c r="H2527" t="str">
        <f>IF($C2527="","",Registro_Compras!$C$284)</f>
        <v/>
      </c>
    </row>
    <row r="2528" spans="1:8" x14ac:dyDescent="0.25">
      <c r="A2528" s="25" t="str">
        <f>IF($C2528="","",Registro_Compras!$B$284)</f>
        <v/>
      </c>
      <c r="B2528" t="str">
        <f>IF($C2528="","","C"&amp;TEXT(INT((ROW()-5)/9)+1,"000")&amp;"-2")</f>
        <v/>
      </c>
      <c r="C2528" t="str">
        <f>IF(OR(Registro_Compras!$C$284="",Registro_Compras!$O$284=""),"",IF(Registro_Compras!$AB$284="ADMINISTRATIVO","94","95"))</f>
        <v/>
      </c>
      <c r="D2528" t="str">
        <f>IF(OR(Registro_Compras!$C$284="",Registro_Compras!$O$284=""),"",IF(Registro_Compras!$AB$284="ADMINISTRATIVO","Gastos Administrativos","Gastos de Venta y Operacion"))</f>
        <v/>
      </c>
      <c r="E2528" s="20" t="str">
        <f>IF($C2528="","",IF(Registro_Compras!$F$284="NOTA DE CREDITO","",IF(Registro_Compras!$F$284="RHE",ROUND(Registro_Compras!$L$284*Registro_Compras!$N$284,2),ROUND(Registro_Compras!$J$284*Registro_Compras!$N$284,2))))</f>
        <v/>
      </c>
      <c r="F2528" s="20" t="str">
        <f>IF($C2528="","",IF(Registro_Compras!$F$284="NOTA DE CREDITO",ROUND(ABS(Registro_Compras!$J$284*Registro_Compras!$N$284),2),""))</f>
        <v/>
      </c>
      <c r="G2528" t="str">
        <f>IF($C2528="","","Por el destino del gasto")</f>
        <v/>
      </c>
      <c r="H2528" t="str">
        <f>IF($C2528="","",Registro_Compras!$C$284)</f>
        <v/>
      </c>
    </row>
    <row r="2529" spans="1:8" x14ac:dyDescent="0.25">
      <c r="A2529" s="25" t="str">
        <f>IF($C2529="","",Registro_Compras!$B$284)</f>
        <v/>
      </c>
      <c r="B2529" t="str">
        <f>IF($C2529="","","C"&amp;TEXT(INT((ROW()-5)/9)+1,"000")&amp;"-2")</f>
        <v/>
      </c>
      <c r="C2529" t="str">
        <f>IF(OR(Registro_Compras!$C$284="",Registro_Compras!$O$284=""),"","79/791")</f>
        <v/>
      </c>
      <c r="D2529" t="str">
        <f>IF(OR(Registro_Compras!$C$284="",Registro_Compras!$O$284=""),"","Cargas Imputables a Cuentas de Costos y Gastos")</f>
        <v/>
      </c>
      <c r="E2529" s="20" t="str">
        <f>IF($C2529="","",IF(Registro_Compras!$F$284="NOTA DE CREDITO",ROUND(ABS(Registro_Compras!$J$284*Registro_Compras!$N$284),2),""))</f>
        <v/>
      </c>
      <c r="F2529" s="20" t="str">
        <f>IF($C2529="","",IF(Registro_Compras!$F$284="NOTA DE CREDITO","",IF(Registro_Compras!$F$284="RHE",ROUND(Registro_Compras!$L$284*Registro_Compras!$N$284,2),ROUND(Registro_Compras!$J$284*Registro_Compras!$N$284,2))))</f>
        <v/>
      </c>
      <c r="G2529" t="str">
        <f>IF($C2529="","","Por el destino del gasto")</f>
        <v/>
      </c>
      <c r="H2529" t="str">
        <f>IF($C2529="","",Registro_Compras!$C$284)</f>
        <v/>
      </c>
    </row>
    <row r="2530" spans="1:8" x14ac:dyDescent="0.25">
      <c r="A2530" s="25" t="str">
        <f>IF($C2530="","",Registro_Compras!$X$284)</f>
        <v/>
      </c>
      <c r="B2530" t="str">
        <f>IF($C2530="","","C"&amp;TEXT(INT((ROW()-5)/9)+1,"000")&amp;"-3")</f>
        <v/>
      </c>
      <c r="C2530" t="str">
        <f>IF(OR(Registro_Compras!$C$284="",Registro_Compras!$O$284="",Registro_Compras!$R$284&lt;&gt;"SI",Registro_Compras!$X$284=""),"","4212")</f>
        <v/>
      </c>
      <c r="D2530" t="str">
        <f>IF(OR(Registro_Compras!$C$284="",Registro_Compras!$O$284=""),"","Cuentas por Pagar Comerciales - Terceros")</f>
        <v/>
      </c>
      <c r="E2530" s="20" t="str">
        <f>IF($C2530="","",Registro_Compras!$S$284)</f>
        <v/>
      </c>
      <c r="F2530" s="20" t="str">
        <f>""</f>
        <v/>
      </c>
      <c r="G2530" t="str">
        <f>IF($C2530="","","Por el deposito de la detraccion en el Banco de la Nacion")</f>
        <v/>
      </c>
      <c r="H2530" t="str">
        <f>IF($C2530="","",Registro_Compras!$C$284)</f>
        <v/>
      </c>
    </row>
    <row r="2531" spans="1:8" x14ac:dyDescent="0.25">
      <c r="A2531" s="25" t="str">
        <f>IF($C2531="","",Registro_Compras!$X$284)</f>
        <v/>
      </c>
      <c r="B2531" t="str">
        <f>IF($C2531="","","C"&amp;TEXT(INT((ROW()-5)/9)+1,"000")&amp;"-3")</f>
        <v/>
      </c>
      <c r="C2531" t="str">
        <f>IF(OR(Registro_Compras!$C$284="",Registro_Compras!$O$284="",Registro_Compras!$R$284&lt;&gt;"SI",Registro_Compras!$X$284=""),"","1041")</f>
        <v/>
      </c>
      <c r="D2531" t="str">
        <f>IF(OR(Registro_Compras!$C$284="",Registro_Compras!$O$284=""),"","Efectivo y Equivalentes - Cta. Cte. Operativa")</f>
        <v/>
      </c>
      <c r="E2531" s="20" t="str">
        <f>""</f>
        <v/>
      </c>
      <c r="F2531" s="20" t="str">
        <f>IF($C2531="","",Registro_Compras!$S$284)</f>
        <v/>
      </c>
      <c r="G2531" t="str">
        <f>IF($C2531="","","Por el deposito de la detraccion en el Banco de la Nacion")</f>
        <v/>
      </c>
      <c r="H2531" t="str">
        <f>IF($C2531="","",Registro_Compras!$C$284)</f>
        <v/>
      </c>
    </row>
    <row r="2532" spans="1:8" x14ac:dyDescent="0.25">
      <c r="A2532" s="25" t="str">
        <f>IF($C2532="","",Registro_Compras!$Y$284)</f>
        <v/>
      </c>
      <c r="B2532" t="str">
        <f>IF($C2532="","","C"&amp;TEXT(INT((ROW()-5)/9)+1,"000")&amp;"-4")</f>
        <v/>
      </c>
      <c r="C2532" t="str">
        <f>IF(OR(Registro_Compras!$C$284="",Registro_Compras!$O$284="",Registro_Compras!$Y$284="",Registro_Compras!$F$284="NOTA DE CREDITO"),"","4212")</f>
        <v/>
      </c>
      <c r="D2532" t="str">
        <f>IF(OR(Registro_Compras!$C$284="",Registro_Compras!$O$284=""),"","Cuentas por Pagar Comerciales - Terceros")</f>
        <v/>
      </c>
      <c r="E2532" s="20" t="str">
        <f>IF($C2532="","",IF(Registro_Compras!$F$284="RHE",(ROUND(Registro_Compras!$L$284*Registro_Compras!$N$284,2)-ROUND(Registro_Compras!$V$284*Registro_Compras!$N$284,2)),ROUND(Registro_Compras!$O$284-Registro_Compras!$S$284,2)))</f>
        <v/>
      </c>
      <c r="F2532" s="20" t="str">
        <f>""</f>
        <v/>
      </c>
      <c r="G2532" t="str">
        <f>IF($C2532="","","Por la cancelacion del saldo al proveedor")</f>
        <v/>
      </c>
      <c r="H2532" t="str">
        <f>IF($C2532="","",Registro_Compras!$C$284)</f>
        <v/>
      </c>
    </row>
    <row r="2533" spans="1:8" x14ac:dyDescent="0.25">
      <c r="A2533" s="25" t="str">
        <f>IF($C2533="","",Registro_Compras!$Y$284)</f>
        <v/>
      </c>
      <c r="B2533" t="str">
        <f>IF($C2533="","","C"&amp;TEXT(INT((ROW()-5)/9)+1,"000")&amp;"-4")</f>
        <v/>
      </c>
      <c r="C2533" t="str">
        <f>IF(OR(Registro_Compras!$C$284="",Registro_Compras!$O$284="",Registro_Compras!$Y$284="",Registro_Compras!$F$284="NOTA DE CREDITO"),"","1041")</f>
        <v/>
      </c>
      <c r="D2533" t="str">
        <f>IF(OR(Registro_Compras!$C$284="",Registro_Compras!$O$284=""),"","Efectivo y Equivalentes - Cta. Cte. Operativa")</f>
        <v/>
      </c>
      <c r="E2533" s="20" t="str">
        <f>""</f>
        <v/>
      </c>
      <c r="F2533" s="20" t="str">
        <f>IF($C2533="","",IF(Registro_Compras!$F$284="RHE",(ROUND(Registro_Compras!$L$284*Registro_Compras!$N$284,2)-ROUND(Registro_Compras!$V$284*Registro_Compras!$N$284,2)),ROUND(Registro_Compras!$O$284-Registro_Compras!$S$284,2)))</f>
        <v/>
      </c>
      <c r="G2533" t="str">
        <f>IF($C2533="","","Por la cancelacion del saldo al proveedor")</f>
        <v/>
      </c>
      <c r="H2533" t="str">
        <f>IF($C2533="","",Registro_Compras!$C$284)</f>
        <v/>
      </c>
    </row>
    <row r="2534" spans="1:8" x14ac:dyDescent="0.25">
      <c r="A2534" s="25" t="str">
        <f>IF($C2534="","",Registro_Compras!$B$285)</f>
        <v/>
      </c>
      <c r="B2534" t="str">
        <f>IF($C2534="","","C"&amp;TEXT(INT((ROW()-5)/9)+1,"000")&amp;"-1")</f>
        <v/>
      </c>
      <c r="C2534" t="str">
        <f>IF(OR(Registro_Compras!$C$285="",Registro_Compras!$O$285=""),"",IF(Registro_Compras!$F$285="NOTA DE CREDITO","4212",IF(Registro_Compras!$M$285="","63",Registro_Compras!$M$285)))</f>
        <v/>
      </c>
      <c r="D2534" t="str">
        <f>IF(OR(Registro_Compras!$C$285="",Registro_Compras!$O$285=""),"",IF(Registro_Compras!$F$285="NOTA DE CREDITO","Cuentas por Pagar Comerciales - Terceros (Emitidas)",IF(Registro_Compras!$F$285="RHE","Honorarios Profesionales - Servicios de Terceros","Gastos de Servicios Prestados por Terceros")))</f>
        <v/>
      </c>
      <c r="E2534" s="20" t="str">
        <f>IF($C2534="","",IF(Registro_Compras!$F$285="NOTA DE CREDITO",ABS(Registro_Compras!$O$285),IF(Registro_Compras!$F$285="RHE",ROUND(Registro_Compras!$L$285*Registro_Compras!$N$285,2),ROUND(Registro_Compras!$J$285*Registro_Compras!$N$285,2))))</f>
        <v/>
      </c>
      <c r="F2534" s="20" t="str">
        <f>""</f>
        <v/>
      </c>
      <c r="G2534" t="str">
        <f>IF($C2534="","",IF(Registro_Compras!$F$285="NOTA DE CREDITO","Por la nota de credito "&amp;Registro_Compras!$C$285&amp;" de "&amp;Registro_Compras!$E$285&amp;" [PATRON POR CONFIRMAR CON CONTADOR]",IF(Registro_Compras!$F$285="RHE","Por el registro del recibo por honorarios "&amp;Registro_Compras!$C$285&amp;" de "&amp;Registro_Compras!$E$285&amp;" [PATRON POR CONFIRMAR CON CONTADOR]","Por el registro de la factura "&amp;Registro_Compras!$C$285&amp;" de "&amp;Registro_Compras!$E$285)))</f>
        <v/>
      </c>
      <c r="H2534" t="str">
        <f>IF($C2534="","",Registro_Compras!$C$285)</f>
        <v/>
      </c>
    </row>
    <row r="2535" spans="1:8" x14ac:dyDescent="0.25">
      <c r="A2535" s="25" t="str">
        <f>IF($C2535="","",Registro_Compras!$B$285)</f>
        <v/>
      </c>
      <c r="B2535" t="str">
        <f>IF($C2535="","","C"&amp;TEXT(INT((ROW()-5)/9)+1,"000")&amp;"-1")</f>
        <v/>
      </c>
      <c r="C2535" t="str">
        <f>IF(OR(Registro_Compras!$C$285="",Registro_Compras!$O$285=""),"",IF(Registro_Compras!$F$285="RHE",IF(Registro_Compras!$V$285=0,"","4017"),IF(Registro_Compras!$F$285="NOTA DE CREDITO",IF(Registro_Compras!$M$285="","63",Registro_Compras!$M$285),IF(Registro_Compras!$K$285=0,"","40111"))))</f>
        <v/>
      </c>
      <c r="D2535" t="str">
        <f>IF(OR(Registro_Compras!$C$285="",Registro_Compras!$O$285=""),"",IF(Registro_Compras!$F$285="RHE","Retencion Renta 4ta Categoria por Pagar",IF(Registro_Compras!$F$285="NOTA DE CREDITO","Gastos de Servicios Prestados por Terceros","IGV - Cuenta Propia (Credito Fiscal)")))</f>
        <v/>
      </c>
      <c r="E2535" s="20" t="str">
        <f>IF($C2535="","",IF(Registro_Compras!$F$285="FACTURA",ROUND(Registro_Compras!$K$285*Registro_Compras!$N$285,2),""))</f>
        <v/>
      </c>
      <c r="F2535" s="20" t="str">
        <f>IF($C2535="","",IF(Registro_Compras!$F$285="RHE",ROUND(Registro_Compras!$V$285*Registro_Compras!$N$285,2),IF(Registro_Compras!$F$285="NOTA DE CREDITO",ROUND(ABS(Registro_Compras!$J$285*Registro_Compras!$N$285),2),"")))</f>
        <v/>
      </c>
      <c r="G2535" t="str">
        <f>IF($C2535="","",IF(Registro_Compras!$F$285="NOTA DE CREDITO","Por la nota de credito "&amp;Registro_Compras!$C$285&amp;" de "&amp;Registro_Compras!$E$285&amp;" [PATRON POR CONFIRMAR CON CONTADOR]",IF(Registro_Compras!$F$285="RHE","Por el registro del recibo por honorarios "&amp;Registro_Compras!$C$285&amp;" de "&amp;Registro_Compras!$E$285&amp;" [PATRON POR CONFIRMAR CON CONTADOR]","Por el registro de la factura "&amp;Registro_Compras!$C$285&amp;" de "&amp;Registro_Compras!$E$285)))</f>
        <v/>
      </c>
      <c r="H2535" t="str">
        <f>IF($C2535="","",Registro_Compras!$C$285)</f>
        <v/>
      </c>
    </row>
    <row r="2536" spans="1:8" x14ac:dyDescent="0.25">
      <c r="A2536" s="25" t="str">
        <f>IF($C2536="","",Registro_Compras!$B$285)</f>
        <v/>
      </c>
      <c r="B2536" t="str">
        <f>IF($C2536="","","C"&amp;TEXT(INT((ROW()-5)/9)+1,"000")&amp;"-1")</f>
        <v/>
      </c>
      <c r="C2536" t="str">
        <f>IF(OR(Registro_Compras!$C$285="",Registro_Compras!$O$285=""),"",IF(Registro_Compras!$F$285="NOTA DE CREDITO",IF(Registro_Compras!$K$285=0,"","40111"),"4212"))</f>
        <v/>
      </c>
      <c r="D2536" t="str">
        <f>IF(OR(Registro_Compras!$C$285="",Registro_Compras!$O$285=""),"",IF(Registro_Compras!$F$285="NOTA DE CREDITO","IGV - Cuenta Propia (Credito Fiscal)","Cuentas por Pagar Comerciales - Terceros (Emitidas)"))</f>
        <v/>
      </c>
      <c r="E2536" s="20" t="str">
        <f>""</f>
        <v/>
      </c>
      <c r="F2536" s="20" t="str">
        <f>IF($C2536="","",IF(Registro_Compras!$F$285="NOTA DE CREDITO",ROUND(ABS(Registro_Compras!$K$285*Registro_Compras!$N$285),2),IF(Registro_Compras!$F$285="RHE",(ROUND(Registro_Compras!$L$285*Registro_Compras!$N$285,2)-ROUND(Registro_Compras!$V$285*Registro_Compras!$N$285,2)),Registro_Compras!$O$285)))</f>
        <v/>
      </c>
      <c r="G2536" t="str">
        <f>IF($C2536="","",IF(Registro_Compras!$F$285="NOTA DE CREDITO","Por la nota de credito "&amp;Registro_Compras!$C$285&amp;" de "&amp;Registro_Compras!$E$285&amp;" [PATRON POR CONFIRMAR CON CONTADOR]",IF(Registro_Compras!$F$285="RHE","Por el registro del recibo por honorarios "&amp;Registro_Compras!$C$285&amp;" de "&amp;Registro_Compras!$E$285&amp;" [PATRON POR CONFIRMAR CON CONTADOR]","Por el registro de la factura "&amp;Registro_Compras!$C$285&amp;" de "&amp;Registro_Compras!$E$285)))</f>
        <v/>
      </c>
      <c r="H2536" t="str">
        <f>IF($C2536="","",Registro_Compras!$C$285)</f>
        <v/>
      </c>
    </row>
    <row r="2537" spans="1:8" x14ac:dyDescent="0.25">
      <c r="A2537" s="25" t="str">
        <f>IF($C2537="","",Registro_Compras!$B$285)</f>
        <v/>
      </c>
      <c r="B2537" t="str">
        <f>IF($C2537="","","C"&amp;TEXT(INT((ROW()-5)/9)+1,"000")&amp;"-2")</f>
        <v/>
      </c>
      <c r="C2537" t="str">
        <f>IF(OR(Registro_Compras!$C$285="",Registro_Compras!$O$285=""),"",IF(Registro_Compras!$AB$285="ADMINISTRATIVO","94","95"))</f>
        <v/>
      </c>
      <c r="D2537" t="str">
        <f>IF(OR(Registro_Compras!$C$285="",Registro_Compras!$O$285=""),"",IF(Registro_Compras!$AB$285="ADMINISTRATIVO","Gastos Administrativos","Gastos de Venta y Operacion"))</f>
        <v/>
      </c>
      <c r="E2537" s="20" t="str">
        <f>IF($C2537="","",IF(Registro_Compras!$F$285="NOTA DE CREDITO","",IF(Registro_Compras!$F$285="RHE",ROUND(Registro_Compras!$L$285*Registro_Compras!$N$285,2),ROUND(Registro_Compras!$J$285*Registro_Compras!$N$285,2))))</f>
        <v/>
      </c>
      <c r="F2537" s="20" t="str">
        <f>IF($C2537="","",IF(Registro_Compras!$F$285="NOTA DE CREDITO",ROUND(ABS(Registro_Compras!$J$285*Registro_Compras!$N$285),2),""))</f>
        <v/>
      </c>
      <c r="G2537" t="str">
        <f>IF($C2537="","","Por el destino del gasto")</f>
        <v/>
      </c>
      <c r="H2537" t="str">
        <f>IF($C2537="","",Registro_Compras!$C$285)</f>
        <v/>
      </c>
    </row>
    <row r="2538" spans="1:8" x14ac:dyDescent="0.25">
      <c r="A2538" s="25" t="str">
        <f>IF($C2538="","",Registro_Compras!$B$285)</f>
        <v/>
      </c>
      <c r="B2538" t="str">
        <f>IF($C2538="","","C"&amp;TEXT(INT((ROW()-5)/9)+1,"000")&amp;"-2")</f>
        <v/>
      </c>
      <c r="C2538" t="str">
        <f>IF(OR(Registro_Compras!$C$285="",Registro_Compras!$O$285=""),"","79/791")</f>
        <v/>
      </c>
      <c r="D2538" t="str">
        <f>IF(OR(Registro_Compras!$C$285="",Registro_Compras!$O$285=""),"","Cargas Imputables a Cuentas de Costos y Gastos")</f>
        <v/>
      </c>
      <c r="E2538" s="20" t="str">
        <f>IF($C2538="","",IF(Registro_Compras!$F$285="NOTA DE CREDITO",ROUND(ABS(Registro_Compras!$J$285*Registro_Compras!$N$285),2),""))</f>
        <v/>
      </c>
      <c r="F2538" s="20" t="str">
        <f>IF($C2538="","",IF(Registro_Compras!$F$285="NOTA DE CREDITO","",IF(Registro_Compras!$F$285="RHE",ROUND(Registro_Compras!$L$285*Registro_Compras!$N$285,2),ROUND(Registro_Compras!$J$285*Registro_Compras!$N$285,2))))</f>
        <v/>
      </c>
      <c r="G2538" t="str">
        <f>IF($C2538="","","Por el destino del gasto")</f>
        <v/>
      </c>
      <c r="H2538" t="str">
        <f>IF($C2538="","",Registro_Compras!$C$285)</f>
        <v/>
      </c>
    </row>
    <row r="2539" spans="1:8" x14ac:dyDescent="0.25">
      <c r="A2539" s="25" t="str">
        <f>IF($C2539="","",Registro_Compras!$X$285)</f>
        <v/>
      </c>
      <c r="B2539" t="str">
        <f>IF($C2539="","","C"&amp;TEXT(INT((ROW()-5)/9)+1,"000")&amp;"-3")</f>
        <v/>
      </c>
      <c r="C2539" t="str">
        <f>IF(OR(Registro_Compras!$C$285="",Registro_Compras!$O$285="",Registro_Compras!$R$285&lt;&gt;"SI",Registro_Compras!$X$285=""),"","4212")</f>
        <v/>
      </c>
      <c r="D2539" t="str">
        <f>IF(OR(Registro_Compras!$C$285="",Registro_Compras!$O$285=""),"","Cuentas por Pagar Comerciales - Terceros")</f>
        <v/>
      </c>
      <c r="E2539" s="20" t="str">
        <f>IF($C2539="","",Registro_Compras!$S$285)</f>
        <v/>
      </c>
      <c r="F2539" s="20" t="str">
        <f>""</f>
        <v/>
      </c>
      <c r="G2539" t="str">
        <f>IF($C2539="","","Por el deposito de la detraccion en el Banco de la Nacion")</f>
        <v/>
      </c>
      <c r="H2539" t="str">
        <f>IF($C2539="","",Registro_Compras!$C$285)</f>
        <v/>
      </c>
    </row>
    <row r="2540" spans="1:8" x14ac:dyDescent="0.25">
      <c r="A2540" s="25" t="str">
        <f>IF($C2540="","",Registro_Compras!$X$285)</f>
        <v/>
      </c>
      <c r="B2540" t="str">
        <f>IF($C2540="","","C"&amp;TEXT(INT((ROW()-5)/9)+1,"000")&amp;"-3")</f>
        <v/>
      </c>
      <c r="C2540" t="str">
        <f>IF(OR(Registro_Compras!$C$285="",Registro_Compras!$O$285="",Registro_Compras!$R$285&lt;&gt;"SI",Registro_Compras!$X$285=""),"","1041")</f>
        <v/>
      </c>
      <c r="D2540" t="str">
        <f>IF(OR(Registro_Compras!$C$285="",Registro_Compras!$O$285=""),"","Efectivo y Equivalentes - Cta. Cte. Operativa")</f>
        <v/>
      </c>
      <c r="E2540" s="20" t="str">
        <f>""</f>
        <v/>
      </c>
      <c r="F2540" s="20" t="str">
        <f>IF($C2540="","",Registro_Compras!$S$285)</f>
        <v/>
      </c>
      <c r="G2540" t="str">
        <f>IF($C2540="","","Por el deposito de la detraccion en el Banco de la Nacion")</f>
        <v/>
      </c>
      <c r="H2540" t="str">
        <f>IF($C2540="","",Registro_Compras!$C$285)</f>
        <v/>
      </c>
    </row>
    <row r="2541" spans="1:8" x14ac:dyDescent="0.25">
      <c r="A2541" s="25" t="str">
        <f>IF($C2541="","",Registro_Compras!$Y$285)</f>
        <v/>
      </c>
      <c r="B2541" t="str">
        <f>IF($C2541="","","C"&amp;TEXT(INT((ROW()-5)/9)+1,"000")&amp;"-4")</f>
        <v/>
      </c>
      <c r="C2541" t="str">
        <f>IF(OR(Registro_Compras!$C$285="",Registro_Compras!$O$285="",Registro_Compras!$Y$285="",Registro_Compras!$F$285="NOTA DE CREDITO"),"","4212")</f>
        <v/>
      </c>
      <c r="D2541" t="str">
        <f>IF(OR(Registro_Compras!$C$285="",Registro_Compras!$O$285=""),"","Cuentas por Pagar Comerciales - Terceros")</f>
        <v/>
      </c>
      <c r="E2541" s="20" t="str">
        <f>IF($C2541="","",IF(Registro_Compras!$F$285="RHE",(ROUND(Registro_Compras!$L$285*Registro_Compras!$N$285,2)-ROUND(Registro_Compras!$V$285*Registro_Compras!$N$285,2)),ROUND(Registro_Compras!$O$285-Registro_Compras!$S$285,2)))</f>
        <v/>
      </c>
      <c r="F2541" s="20" t="str">
        <f>""</f>
        <v/>
      </c>
      <c r="G2541" t="str">
        <f>IF($C2541="","","Por la cancelacion del saldo al proveedor")</f>
        <v/>
      </c>
      <c r="H2541" t="str">
        <f>IF($C2541="","",Registro_Compras!$C$285)</f>
        <v/>
      </c>
    </row>
    <row r="2542" spans="1:8" x14ac:dyDescent="0.25">
      <c r="A2542" s="25" t="str">
        <f>IF($C2542="","",Registro_Compras!$Y$285)</f>
        <v/>
      </c>
      <c r="B2542" t="str">
        <f>IF($C2542="","","C"&amp;TEXT(INT((ROW()-5)/9)+1,"000")&amp;"-4")</f>
        <v/>
      </c>
      <c r="C2542" t="str">
        <f>IF(OR(Registro_Compras!$C$285="",Registro_Compras!$O$285="",Registro_Compras!$Y$285="",Registro_Compras!$F$285="NOTA DE CREDITO"),"","1041")</f>
        <v/>
      </c>
      <c r="D2542" t="str">
        <f>IF(OR(Registro_Compras!$C$285="",Registro_Compras!$O$285=""),"","Efectivo y Equivalentes - Cta. Cte. Operativa")</f>
        <v/>
      </c>
      <c r="E2542" s="20" t="str">
        <f>""</f>
        <v/>
      </c>
      <c r="F2542" s="20" t="str">
        <f>IF($C2542="","",IF(Registro_Compras!$F$285="RHE",(ROUND(Registro_Compras!$L$285*Registro_Compras!$N$285,2)-ROUND(Registro_Compras!$V$285*Registro_Compras!$N$285,2)),ROUND(Registro_Compras!$O$285-Registro_Compras!$S$285,2)))</f>
        <v/>
      </c>
      <c r="G2542" t="str">
        <f>IF($C2542="","","Por la cancelacion del saldo al proveedor")</f>
        <v/>
      </c>
      <c r="H2542" t="str">
        <f>IF($C2542="","",Registro_Compras!$C$285)</f>
        <v/>
      </c>
    </row>
    <row r="2543" spans="1:8" x14ac:dyDescent="0.25">
      <c r="A2543" s="25" t="str">
        <f>IF($C2543="","",Registro_Compras!$B$286)</f>
        <v/>
      </c>
      <c r="B2543" t="str">
        <f>IF($C2543="","","C"&amp;TEXT(INT((ROW()-5)/9)+1,"000")&amp;"-1")</f>
        <v/>
      </c>
      <c r="C2543" t="str">
        <f>IF(OR(Registro_Compras!$C$286="",Registro_Compras!$O$286=""),"",IF(Registro_Compras!$F$286="NOTA DE CREDITO","4212",IF(Registro_Compras!$M$286="","63",Registro_Compras!$M$286)))</f>
        <v/>
      </c>
      <c r="D2543" t="str">
        <f>IF(OR(Registro_Compras!$C$286="",Registro_Compras!$O$286=""),"",IF(Registro_Compras!$F$286="NOTA DE CREDITO","Cuentas por Pagar Comerciales - Terceros (Emitidas)",IF(Registro_Compras!$F$286="RHE","Honorarios Profesionales - Servicios de Terceros","Gastos de Servicios Prestados por Terceros")))</f>
        <v/>
      </c>
      <c r="E2543" s="20" t="str">
        <f>IF($C2543="","",IF(Registro_Compras!$F$286="NOTA DE CREDITO",ABS(Registro_Compras!$O$286),IF(Registro_Compras!$F$286="RHE",ROUND(Registro_Compras!$L$286*Registro_Compras!$N$286,2),ROUND(Registro_Compras!$J$286*Registro_Compras!$N$286,2))))</f>
        <v/>
      </c>
      <c r="F2543" s="20" t="str">
        <f>""</f>
        <v/>
      </c>
      <c r="G2543" t="str">
        <f>IF($C2543="","",IF(Registro_Compras!$F$286="NOTA DE CREDITO","Por la nota de credito "&amp;Registro_Compras!$C$286&amp;" de "&amp;Registro_Compras!$E$286&amp;" [PATRON POR CONFIRMAR CON CONTADOR]",IF(Registro_Compras!$F$286="RHE","Por el registro del recibo por honorarios "&amp;Registro_Compras!$C$286&amp;" de "&amp;Registro_Compras!$E$286&amp;" [PATRON POR CONFIRMAR CON CONTADOR]","Por el registro de la factura "&amp;Registro_Compras!$C$286&amp;" de "&amp;Registro_Compras!$E$286)))</f>
        <v/>
      </c>
      <c r="H2543" t="str">
        <f>IF($C2543="","",Registro_Compras!$C$286)</f>
        <v/>
      </c>
    </row>
    <row r="2544" spans="1:8" x14ac:dyDescent="0.25">
      <c r="A2544" s="25" t="str">
        <f>IF($C2544="","",Registro_Compras!$B$286)</f>
        <v/>
      </c>
      <c r="B2544" t="str">
        <f>IF($C2544="","","C"&amp;TEXT(INT((ROW()-5)/9)+1,"000")&amp;"-1")</f>
        <v/>
      </c>
      <c r="C2544" t="str">
        <f>IF(OR(Registro_Compras!$C$286="",Registro_Compras!$O$286=""),"",IF(Registro_Compras!$F$286="RHE",IF(Registro_Compras!$V$286=0,"","4017"),IF(Registro_Compras!$F$286="NOTA DE CREDITO",IF(Registro_Compras!$M$286="","63",Registro_Compras!$M$286),IF(Registro_Compras!$K$286=0,"","40111"))))</f>
        <v/>
      </c>
      <c r="D2544" t="str">
        <f>IF(OR(Registro_Compras!$C$286="",Registro_Compras!$O$286=""),"",IF(Registro_Compras!$F$286="RHE","Retencion Renta 4ta Categoria por Pagar",IF(Registro_Compras!$F$286="NOTA DE CREDITO","Gastos de Servicios Prestados por Terceros","IGV - Cuenta Propia (Credito Fiscal)")))</f>
        <v/>
      </c>
      <c r="E2544" s="20" t="str">
        <f>IF($C2544="","",IF(Registro_Compras!$F$286="FACTURA",ROUND(Registro_Compras!$K$286*Registro_Compras!$N$286,2),""))</f>
        <v/>
      </c>
      <c r="F2544" s="20" t="str">
        <f>IF($C2544="","",IF(Registro_Compras!$F$286="RHE",ROUND(Registro_Compras!$V$286*Registro_Compras!$N$286,2),IF(Registro_Compras!$F$286="NOTA DE CREDITO",ROUND(ABS(Registro_Compras!$J$286*Registro_Compras!$N$286),2),"")))</f>
        <v/>
      </c>
      <c r="G2544" t="str">
        <f>IF($C2544="","",IF(Registro_Compras!$F$286="NOTA DE CREDITO","Por la nota de credito "&amp;Registro_Compras!$C$286&amp;" de "&amp;Registro_Compras!$E$286&amp;" [PATRON POR CONFIRMAR CON CONTADOR]",IF(Registro_Compras!$F$286="RHE","Por el registro del recibo por honorarios "&amp;Registro_Compras!$C$286&amp;" de "&amp;Registro_Compras!$E$286&amp;" [PATRON POR CONFIRMAR CON CONTADOR]","Por el registro de la factura "&amp;Registro_Compras!$C$286&amp;" de "&amp;Registro_Compras!$E$286)))</f>
        <v/>
      </c>
      <c r="H2544" t="str">
        <f>IF($C2544="","",Registro_Compras!$C$286)</f>
        <v/>
      </c>
    </row>
    <row r="2545" spans="1:8" x14ac:dyDescent="0.25">
      <c r="A2545" s="25" t="str">
        <f>IF($C2545="","",Registro_Compras!$B$286)</f>
        <v/>
      </c>
      <c r="B2545" t="str">
        <f>IF($C2545="","","C"&amp;TEXT(INT((ROW()-5)/9)+1,"000")&amp;"-1")</f>
        <v/>
      </c>
      <c r="C2545" t="str">
        <f>IF(OR(Registro_Compras!$C$286="",Registro_Compras!$O$286=""),"",IF(Registro_Compras!$F$286="NOTA DE CREDITO",IF(Registro_Compras!$K$286=0,"","40111"),"4212"))</f>
        <v/>
      </c>
      <c r="D2545" t="str">
        <f>IF(OR(Registro_Compras!$C$286="",Registro_Compras!$O$286=""),"",IF(Registro_Compras!$F$286="NOTA DE CREDITO","IGV - Cuenta Propia (Credito Fiscal)","Cuentas por Pagar Comerciales - Terceros (Emitidas)"))</f>
        <v/>
      </c>
      <c r="E2545" s="20" t="str">
        <f>""</f>
        <v/>
      </c>
      <c r="F2545" s="20" t="str">
        <f>IF($C2545="","",IF(Registro_Compras!$F$286="NOTA DE CREDITO",ROUND(ABS(Registro_Compras!$K$286*Registro_Compras!$N$286),2),IF(Registro_Compras!$F$286="RHE",(ROUND(Registro_Compras!$L$286*Registro_Compras!$N$286,2)-ROUND(Registro_Compras!$V$286*Registro_Compras!$N$286,2)),Registro_Compras!$O$286)))</f>
        <v/>
      </c>
      <c r="G2545" t="str">
        <f>IF($C2545="","",IF(Registro_Compras!$F$286="NOTA DE CREDITO","Por la nota de credito "&amp;Registro_Compras!$C$286&amp;" de "&amp;Registro_Compras!$E$286&amp;" [PATRON POR CONFIRMAR CON CONTADOR]",IF(Registro_Compras!$F$286="RHE","Por el registro del recibo por honorarios "&amp;Registro_Compras!$C$286&amp;" de "&amp;Registro_Compras!$E$286&amp;" [PATRON POR CONFIRMAR CON CONTADOR]","Por el registro de la factura "&amp;Registro_Compras!$C$286&amp;" de "&amp;Registro_Compras!$E$286)))</f>
        <v/>
      </c>
      <c r="H2545" t="str">
        <f>IF($C2545="","",Registro_Compras!$C$286)</f>
        <v/>
      </c>
    </row>
    <row r="2546" spans="1:8" x14ac:dyDescent="0.25">
      <c r="A2546" s="25" t="str">
        <f>IF($C2546="","",Registro_Compras!$B$286)</f>
        <v/>
      </c>
      <c r="B2546" t="str">
        <f>IF($C2546="","","C"&amp;TEXT(INT((ROW()-5)/9)+1,"000")&amp;"-2")</f>
        <v/>
      </c>
      <c r="C2546" t="str">
        <f>IF(OR(Registro_Compras!$C$286="",Registro_Compras!$O$286=""),"",IF(Registro_Compras!$AB$286="ADMINISTRATIVO","94","95"))</f>
        <v/>
      </c>
      <c r="D2546" t="str">
        <f>IF(OR(Registro_Compras!$C$286="",Registro_Compras!$O$286=""),"",IF(Registro_Compras!$AB$286="ADMINISTRATIVO","Gastos Administrativos","Gastos de Venta y Operacion"))</f>
        <v/>
      </c>
      <c r="E2546" s="20" t="str">
        <f>IF($C2546="","",IF(Registro_Compras!$F$286="NOTA DE CREDITO","",IF(Registro_Compras!$F$286="RHE",ROUND(Registro_Compras!$L$286*Registro_Compras!$N$286,2),ROUND(Registro_Compras!$J$286*Registro_Compras!$N$286,2))))</f>
        <v/>
      </c>
      <c r="F2546" s="20" t="str">
        <f>IF($C2546="","",IF(Registro_Compras!$F$286="NOTA DE CREDITO",ROUND(ABS(Registro_Compras!$J$286*Registro_Compras!$N$286),2),""))</f>
        <v/>
      </c>
      <c r="G2546" t="str">
        <f>IF($C2546="","","Por el destino del gasto")</f>
        <v/>
      </c>
      <c r="H2546" t="str">
        <f>IF($C2546="","",Registro_Compras!$C$286)</f>
        <v/>
      </c>
    </row>
    <row r="2547" spans="1:8" x14ac:dyDescent="0.25">
      <c r="A2547" s="25" t="str">
        <f>IF($C2547="","",Registro_Compras!$B$286)</f>
        <v/>
      </c>
      <c r="B2547" t="str">
        <f>IF($C2547="","","C"&amp;TEXT(INT((ROW()-5)/9)+1,"000")&amp;"-2")</f>
        <v/>
      </c>
      <c r="C2547" t="str">
        <f>IF(OR(Registro_Compras!$C$286="",Registro_Compras!$O$286=""),"","79/791")</f>
        <v/>
      </c>
      <c r="D2547" t="str">
        <f>IF(OR(Registro_Compras!$C$286="",Registro_Compras!$O$286=""),"","Cargas Imputables a Cuentas de Costos y Gastos")</f>
        <v/>
      </c>
      <c r="E2547" s="20" t="str">
        <f>IF($C2547="","",IF(Registro_Compras!$F$286="NOTA DE CREDITO",ROUND(ABS(Registro_Compras!$J$286*Registro_Compras!$N$286),2),""))</f>
        <v/>
      </c>
      <c r="F2547" s="20" t="str">
        <f>IF($C2547="","",IF(Registro_Compras!$F$286="NOTA DE CREDITO","",IF(Registro_Compras!$F$286="RHE",ROUND(Registro_Compras!$L$286*Registro_Compras!$N$286,2),ROUND(Registro_Compras!$J$286*Registro_Compras!$N$286,2))))</f>
        <v/>
      </c>
      <c r="G2547" t="str">
        <f>IF($C2547="","","Por el destino del gasto")</f>
        <v/>
      </c>
      <c r="H2547" t="str">
        <f>IF($C2547="","",Registro_Compras!$C$286)</f>
        <v/>
      </c>
    </row>
    <row r="2548" spans="1:8" x14ac:dyDescent="0.25">
      <c r="A2548" s="25" t="str">
        <f>IF($C2548="","",Registro_Compras!$X$286)</f>
        <v/>
      </c>
      <c r="B2548" t="str">
        <f>IF($C2548="","","C"&amp;TEXT(INT((ROW()-5)/9)+1,"000")&amp;"-3")</f>
        <v/>
      </c>
      <c r="C2548" t="str">
        <f>IF(OR(Registro_Compras!$C$286="",Registro_Compras!$O$286="",Registro_Compras!$R$286&lt;&gt;"SI",Registro_Compras!$X$286=""),"","4212")</f>
        <v/>
      </c>
      <c r="D2548" t="str">
        <f>IF(OR(Registro_Compras!$C$286="",Registro_Compras!$O$286=""),"","Cuentas por Pagar Comerciales - Terceros")</f>
        <v/>
      </c>
      <c r="E2548" s="20" t="str">
        <f>IF($C2548="","",Registro_Compras!$S$286)</f>
        <v/>
      </c>
      <c r="F2548" s="20" t="str">
        <f>""</f>
        <v/>
      </c>
      <c r="G2548" t="str">
        <f>IF($C2548="","","Por el deposito de la detraccion en el Banco de la Nacion")</f>
        <v/>
      </c>
      <c r="H2548" t="str">
        <f>IF($C2548="","",Registro_Compras!$C$286)</f>
        <v/>
      </c>
    </row>
    <row r="2549" spans="1:8" x14ac:dyDescent="0.25">
      <c r="A2549" s="25" t="str">
        <f>IF($C2549="","",Registro_Compras!$X$286)</f>
        <v/>
      </c>
      <c r="B2549" t="str">
        <f>IF($C2549="","","C"&amp;TEXT(INT((ROW()-5)/9)+1,"000")&amp;"-3")</f>
        <v/>
      </c>
      <c r="C2549" t="str">
        <f>IF(OR(Registro_Compras!$C$286="",Registro_Compras!$O$286="",Registro_Compras!$R$286&lt;&gt;"SI",Registro_Compras!$X$286=""),"","1041")</f>
        <v/>
      </c>
      <c r="D2549" t="str">
        <f>IF(OR(Registro_Compras!$C$286="",Registro_Compras!$O$286=""),"","Efectivo y Equivalentes - Cta. Cte. Operativa")</f>
        <v/>
      </c>
      <c r="E2549" s="20" t="str">
        <f>""</f>
        <v/>
      </c>
      <c r="F2549" s="20" t="str">
        <f>IF($C2549="","",Registro_Compras!$S$286)</f>
        <v/>
      </c>
      <c r="G2549" t="str">
        <f>IF($C2549="","","Por el deposito de la detraccion en el Banco de la Nacion")</f>
        <v/>
      </c>
      <c r="H2549" t="str">
        <f>IF($C2549="","",Registro_Compras!$C$286)</f>
        <v/>
      </c>
    </row>
    <row r="2550" spans="1:8" x14ac:dyDescent="0.25">
      <c r="A2550" s="25" t="str">
        <f>IF($C2550="","",Registro_Compras!$Y$286)</f>
        <v/>
      </c>
      <c r="B2550" t="str">
        <f>IF($C2550="","","C"&amp;TEXT(INT((ROW()-5)/9)+1,"000")&amp;"-4")</f>
        <v/>
      </c>
      <c r="C2550" t="str">
        <f>IF(OR(Registro_Compras!$C$286="",Registro_Compras!$O$286="",Registro_Compras!$Y$286="",Registro_Compras!$F$286="NOTA DE CREDITO"),"","4212")</f>
        <v/>
      </c>
      <c r="D2550" t="str">
        <f>IF(OR(Registro_Compras!$C$286="",Registro_Compras!$O$286=""),"","Cuentas por Pagar Comerciales - Terceros")</f>
        <v/>
      </c>
      <c r="E2550" s="20" t="str">
        <f>IF($C2550="","",IF(Registro_Compras!$F$286="RHE",(ROUND(Registro_Compras!$L$286*Registro_Compras!$N$286,2)-ROUND(Registro_Compras!$V$286*Registro_Compras!$N$286,2)),ROUND(Registro_Compras!$O$286-Registro_Compras!$S$286,2)))</f>
        <v/>
      </c>
      <c r="F2550" s="20" t="str">
        <f>""</f>
        <v/>
      </c>
      <c r="G2550" t="str">
        <f>IF($C2550="","","Por la cancelacion del saldo al proveedor")</f>
        <v/>
      </c>
      <c r="H2550" t="str">
        <f>IF($C2550="","",Registro_Compras!$C$286)</f>
        <v/>
      </c>
    </row>
    <row r="2551" spans="1:8" x14ac:dyDescent="0.25">
      <c r="A2551" s="25" t="str">
        <f>IF($C2551="","",Registro_Compras!$Y$286)</f>
        <v/>
      </c>
      <c r="B2551" t="str">
        <f>IF($C2551="","","C"&amp;TEXT(INT((ROW()-5)/9)+1,"000")&amp;"-4")</f>
        <v/>
      </c>
      <c r="C2551" t="str">
        <f>IF(OR(Registro_Compras!$C$286="",Registro_Compras!$O$286="",Registro_Compras!$Y$286="",Registro_Compras!$F$286="NOTA DE CREDITO"),"","1041")</f>
        <v/>
      </c>
      <c r="D2551" t="str">
        <f>IF(OR(Registro_Compras!$C$286="",Registro_Compras!$O$286=""),"","Efectivo y Equivalentes - Cta. Cte. Operativa")</f>
        <v/>
      </c>
      <c r="E2551" s="20" t="str">
        <f>""</f>
        <v/>
      </c>
      <c r="F2551" s="20" t="str">
        <f>IF($C2551="","",IF(Registro_Compras!$F$286="RHE",(ROUND(Registro_Compras!$L$286*Registro_Compras!$N$286,2)-ROUND(Registro_Compras!$V$286*Registro_Compras!$N$286,2)),ROUND(Registro_Compras!$O$286-Registro_Compras!$S$286,2)))</f>
        <v/>
      </c>
      <c r="G2551" t="str">
        <f>IF($C2551="","","Por la cancelacion del saldo al proveedor")</f>
        <v/>
      </c>
      <c r="H2551" t="str">
        <f>IF($C2551="","",Registro_Compras!$C$286)</f>
        <v/>
      </c>
    </row>
    <row r="2552" spans="1:8" x14ac:dyDescent="0.25">
      <c r="A2552" s="25" t="str">
        <f>IF($C2552="","",Registro_Compras!$B$287)</f>
        <v/>
      </c>
      <c r="B2552" t="str">
        <f>IF($C2552="","","C"&amp;TEXT(INT((ROW()-5)/9)+1,"000")&amp;"-1")</f>
        <v/>
      </c>
      <c r="C2552" t="str">
        <f>IF(OR(Registro_Compras!$C$287="",Registro_Compras!$O$287=""),"",IF(Registro_Compras!$F$287="NOTA DE CREDITO","4212",IF(Registro_Compras!$M$287="","63",Registro_Compras!$M$287)))</f>
        <v/>
      </c>
      <c r="D2552" t="str">
        <f>IF(OR(Registro_Compras!$C$287="",Registro_Compras!$O$287=""),"",IF(Registro_Compras!$F$287="NOTA DE CREDITO","Cuentas por Pagar Comerciales - Terceros (Emitidas)",IF(Registro_Compras!$F$287="RHE","Honorarios Profesionales - Servicios de Terceros","Gastos de Servicios Prestados por Terceros")))</f>
        <v/>
      </c>
      <c r="E2552" s="20" t="str">
        <f>IF($C2552="","",IF(Registro_Compras!$F$287="NOTA DE CREDITO",ABS(Registro_Compras!$O$287),IF(Registro_Compras!$F$287="RHE",ROUND(Registro_Compras!$L$287*Registro_Compras!$N$287,2),ROUND(Registro_Compras!$J$287*Registro_Compras!$N$287,2))))</f>
        <v/>
      </c>
      <c r="F2552" s="20" t="str">
        <f>""</f>
        <v/>
      </c>
      <c r="G2552" t="str">
        <f>IF($C2552="","",IF(Registro_Compras!$F$287="NOTA DE CREDITO","Por la nota de credito "&amp;Registro_Compras!$C$287&amp;" de "&amp;Registro_Compras!$E$287&amp;" [PATRON POR CONFIRMAR CON CONTADOR]",IF(Registro_Compras!$F$287="RHE","Por el registro del recibo por honorarios "&amp;Registro_Compras!$C$287&amp;" de "&amp;Registro_Compras!$E$287&amp;" [PATRON POR CONFIRMAR CON CONTADOR]","Por el registro de la factura "&amp;Registro_Compras!$C$287&amp;" de "&amp;Registro_Compras!$E$287)))</f>
        <v/>
      </c>
      <c r="H2552" t="str">
        <f>IF($C2552="","",Registro_Compras!$C$287)</f>
        <v/>
      </c>
    </row>
    <row r="2553" spans="1:8" x14ac:dyDescent="0.25">
      <c r="A2553" s="25" t="str">
        <f>IF($C2553="","",Registro_Compras!$B$287)</f>
        <v/>
      </c>
      <c r="B2553" t="str">
        <f>IF($C2553="","","C"&amp;TEXT(INT((ROW()-5)/9)+1,"000")&amp;"-1")</f>
        <v/>
      </c>
      <c r="C2553" t="str">
        <f>IF(OR(Registro_Compras!$C$287="",Registro_Compras!$O$287=""),"",IF(Registro_Compras!$F$287="RHE",IF(Registro_Compras!$V$287=0,"","4017"),IF(Registro_Compras!$F$287="NOTA DE CREDITO",IF(Registro_Compras!$M$287="","63",Registro_Compras!$M$287),IF(Registro_Compras!$K$287=0,"","40111"))))</f>
        <v/>
      </c>
      <c r="D2553" t="str">
        <f>IF(OR(Registro_Compras!$C$287="",Registro_Compras!$O$287=""),"",IF(Registro_Compras!$F$287="RHE","Retencion Renta 4ta Categoria por Pagar",IF(Registro_Compras!$F$287="NOTA DE CREDITO","Gastos de Servicios Prestados por Terceros","IGV - Cuenta Propia (Credito Fiscal)")))</f>
        <v/>
      </c>
      <c r="E2553" s="20" t="str">
        <f>IF($C2553="","",IF(Registro_Compras!$F$287="FACTURA",ROUND(Registro_Compras!$K$287*Registro_Compras!$N$287,2),""))</f>
        <v/>
      </c>
      <c r="F2553" s="20" t="str">
        <f>IF($C2553="","",IF(Registro_Compras!$F$287="RHE",ROUND(Registro_Compras!$V$287*Registro_Compras!$N$287,2),IF(Registro_Compras!$F$287="NOTA DE CREDITO",ROUND(ABS(Registro_Compras!$J$287*Registro_Compras!$N$287),2),"")))</f>
        <v/>
      </c>
      <c r="G2553" t="str">
        <f>IF($C2553="","",IF(Registro_Compras!$F$287="NOTA DE CREDITO","Por la nota de credito "&amp;Registro_Compras!$C$287&amp;" de "&amp;Registro_Compras!$E$287&amp;" [PATRON POR CONFIRMAR CON CONTADOR]",IF(Registro_Compras!$F$287="RHE","Por el registro del recibo por honorarios "&amp;Registro_Compras!$C$287&amp;" de "&amp;Registro_Compras!$E$287&amp;" [PATRON POR CONFIRMAR CON CONTADOR]","Por el registro de la factura "&amp;Registro_Compras!$C$287&amp;" de "&amp;Registro_Compras!$E$287)))</f>
        <v/>
      </c>
      <c r="H2553" t="str">
        <f>IF($C2553="","",Registro_Compras!$C$287)</f>
        <v/>
      </c>
    </row>
    <row r="2554" spans="1:8" x14ac:dyDescent="0.25">
      <c r="A2554" s="25" t="str">
        <f>IF($C2554="","",Registro_Compras!$B$287)</f>
        <v/>
      </c>
      <c r="B2554" t="str">
        <f>IF($C2554="","","C"&amp;TEXT(INT((ROW()-5)/9)+1,"000")&amp;"-1")</f>
        <v/>
      </c>
      <c r="C2554" t="str">
        <f>IF(OR(Registro_Compras!$C$287="",Registro_Compras!$O$287=""),"",IF(Registro_Compras!$F$287="NOTA DE CREDITO",IF(Registro_Compras!$K$287=0,"","40111"),"4212"))</f>
        <v/>
      </c>
      <c r="D2554" t="str">
        <f>IF(OR(Registro_Compras!$C$287="",Registro_Compras!$O$287=""),"",IF(Registro_Compras!$F$287="NOTA DE CREDITO","IGV - Cuenta Propia (Credito Fiscal)","Cuentas por Pagar Comerciales - Terceros (Emitidas)"))</f>
        <v/>
      </c>
      <c r="E2554" s="20" t="str">
        <f>""</f>
        <v/>
      </c>
      <c r="F2554" s="20" t="str">
        <f>IF($C2554="","",IF(Registro_Compras!$F$287="NOTA DE CREDITO",ROUND(ABS(Registro_Compras!$K$287*Registro_Compras!$N$287),2),IF(Registro_Compras!$F$287="RHE",(ROUND(Registro_Compras!$L$287*Registro_Compras!$N$287,2)-ROUND(Registro_Compras!$V$287*Registro_Compras!$N$287,2)),Registro_Compras!$O$287)))</f>
        <v/>
      </c>
      <c r="G2554" t="str">
        <f>IF($C2554="","",IF(Registro_Compras!$F$287="NOTA DE CREDITO","Por la nota de credito "&amp;Registro_Compras!$C$287&amp;" de "&amp;Registro_Compras!$E$287&amp;" [PATRON POR CONFIRMAR CON CONTADOR]",IF(Registro_Compras!$F$287="RHE","Por el registro del recibo por honorarios "&amp;Registro_Compras!$C$287&amp;" de "&amp;Registro_Compras!$E$287&amp;" [PATRON POR CONFIRMAR CON CONTADOR]","Por el registro de la factura "&amp;Registro_Compras!$C$287&amp;" de "&amp;Registro_Compras!$E$287)))</f>
        <v/>
      </c>
      <c r="H2554" t="str">
        <f>IF($C2554="","",Registro_Compras!$C$287)</f>
        <v/>
      </c>
    </row>
    <row r="2555" spans="1:8" x14ac:dyDescent="0.25">
      <c r="A2555" s="25" t="str">
        <f>IF($C2555="","",Registro_Compras!$B$287)</f>
        <v/>
      </c>
      <c r="B2555" t="str">
        <f>IF($C2555="","","C"&amp;TEXT(INT((ROW()-5)/9)+1,"000")&amp;"-2")</f>
        <v/>
      </c>
      <c r="C2555" t="str">
        <f>IF(OR(Registro_Compras!$C$287="",Registro_Compras!$O$287=""),"",IF(Registro_Compras!$AB$287="ADMINISTRATIVO","94","95"))</f>
        <v/>
      </c>
      <c r="D2555" t="str">
        <f>IF(OR(Registro_Compras!$C$287="",Registro_Compras!$O$287=""),"",IF(Registro_Compras!$AB$287="ADMINISTRATIVO","Gastos Administrativos","Gastos de Venta y Operacion"))</f>
        <v/>
      </c>
      <c r="E2555" s="20" t="str">
        <f>IF($C2555="","",IF(Registro_Compras!$F$287="NOTA DE CREDITO","",IF(Registro_Compras!$F$287="RHE",ROUND(Registro_Compras!$L$287*Registro_Compras!$N$287,2),ROUND(Registro_Compras!$J$287*Registro_Compras!$N$287,2))))</f>
        <v/>
      </c>
      <c r="F2555" s="20" t="str">
        <f>IF($C2555="","",IF(Registro_Compras!$F$287="NOTA DE CREDITO",ROUND(ABS(Registro_Compras!$J$287*Registro_Compras!$N$287),2),""))</f>
        <v/>
      </c>
      <c r="G2555" t="str">
        <f>IF($C2555="","","Por el destino del gasto")</f>
        <v/>
      </c>
      <c r="H2555" t="str">
        <f>IF($C2555="","",Registro_Compras!$C$287)</f>
        <v/>
      </c>
    </row>
    <row r="2556" spans="1:8" x14ac:dyDescent="0.25">
      <c r="A2556" s="25" t="str">
        <f>IF($C2556="","",Registro_Compras!$B$287)</f>
        <v/>
      </c>
      <c r="B2556" t="str">
        <f>IF($C2556="","","C"&amp;TEXT(INT((ROW()-5)/9)+1,"000")&amp;"-2")</f>
        <v/>
      </c>
      <c r="C2556" t="str">
        <f>IF(OR(Registro_Compras!$C$287="",Registro_Compras!$O$287=""),"","79/791")</f>
        <v/>
      </c>
      <c r="D2556" t="str">
        <f>IF(OR(Registro_Compras!$C$287="",Registro_Compras!$O$287=""),"","Cargas Imputables a Cuentas de Costos y Gastos")</f>
        <v/>
      </c>
      <c r="E2556" s="20" t="str">
        <f>IF($C2556="","",IF(Registro_Compras!$F$287="NOTA DE CREDITO",ROUND(ABS(Registro_Compras!$J$287*Registro_Compras!$N$287),2),""))</f>
        <v/>
      </c>
      <c r="F2556" s="20" t="str">
        <f>IF($C2556="","",IF(Registro_Compras!$F$287="NOTA DE CREDITO","",IF(Registro_Compras!$F$287="RHE",ROUND(Registro_Compras!$L$287*Registro_Compras!$N$287,2),ROUND(Registro_Compras!$J$287*Registro_Compras!$N$287,2))))</f>
        <v/>
      </c>
      <c r="G2556" t="str">
        <f>IF($C2556="","","Por el destino del gasto")</f>
        <v/>
      </c>
      <c r="H2556" t="str">
        <f>IF($C2556="","",Registro_Compras!$C$287)</f>
        <v/>
      </c>
    </row>
    <row r="2557" spans="1:8" x14ac:dyDescent="0.25">
      <c r="A2557" s="25" t="str">
        <f>IF($C2557="","",Registro_Compras!$X$287)</f>
        <v/>
      </c>
      <c r="B2557" t="str">
        <f>IF($C2557="","","C"&amp;TEXT(INT((ROW()-5)/9)+1,"000")&amp;"-3")</f>
        <v/>
      </c>
      <c r="C2557" t="str">
        <f>IF(OR(Registro_Compras!$C$287="",Registro_Compras!$O$287="",Registro_Compras!$R$287&lt;&gt;"SI",Registro_Compras!$X$287=""),"","4212")</f>
        <v/>
      </c>
      <c r="D2557" t="str">
        <f>IF(OR(Registro_Compras!$C$287="",Registro_Compras!$O$287=""),"","Cuentas por Pagar Comerciales - Terceros")</f>
        <v/>
      </c>
      <c r="E2557" s="20" t="str">
        <f>IF($C2557="","",Registro_Compras!$S$287)</f>
        <v/>
      </c>
      <c r="F2557" s="20" t="str">
        <f>""</f>
        <v/>
      </c>
      <c r="G2557" t="str">
        <f>IF($C2557="","","Por el deposito de la detraccion en el Banco de la Nacion")</f>
        <v/>
      </c>
      <c r="H2557" t="str">
        <f>IF($C2557="","",Registro_Compras!$C$287)</f>
        <v/>
      </c>
    </row>
    <row r="2558" spans="1:8" x14ac:dyDescent="0.25">
      <c r="A2558" s="25" t="str">
        <f>IF($C2558="","",Registro_Compras!$X$287)</f>
        <v/>
      </c>
      <c r="B2558" t="str">
        <f>IF($C2558="","","C"&amp;TEXT(INT((ROW()-5)/9)+1,"000")&amp;"-3")</f>
        <v/>
      </c>
      <c r="C2558" t="str">
        <f>IF(OR(Registro_Compras!$C$287="",Registro_Compras!$O$287="",Registro_Compras!$R$287&lt;&gt;"SI",Registro_Compras!$X$287=""),"","1041")</f>
        <v/>
      </c>
      <c r="D2558" t="str">
        <f>IF(OR(Registro_Compras!$C$287="",Registro_Compras!$O$287=""),"","Efectivo y Equivalentes - Cta. Cte. Operativa")</f>
        <v/>
      </c>
      <c r="E2558" s="20" t="str">
        <f>""</f>
        <v/>
      </c>
      <c r="F2558" s="20" t="str">
        <f>IF($C2558="","",Registro_Compras!$S$287)</f>
        <v/>
      </c>
      <c r="G2558" t="str">
        <f>IF($C2558="","","Por el deposito de la detraccion en el Banco de la Nacion")</f>
        <v/>
      </c>
      <c r="H2558" t="str">
        <f>IF($C2558="","",Registro_Compras!$C$287)</f>
        <v/>
      </c>
    </row>
    <row r="2559" spans="1:8" x14ac:dyDescent="0.25">
      <c r="A2559" s="25" t="str">
        <f>IF($C2559="","",Registro_Compras!$Y$287)</f>
        <v/>
      </c>
      <c r="B2559" t="str">
        <f>IF($C2559="","","C"&amp;TEXT(INT((ROW()-5)/9)+1,"000")&amp;"-4")</f>
        <v/>
      </c>
      <c r="C2559" t="str">
        <f>IF(OR(Registro_Compras!$C$287="",Registro_Compras!$O$287="",Registro_Compras!$Y$287="",Registro_Compras!$F$287="NOTA DE CREDITO"),"","4212")</f>
        <v/>
      </c>
      <c r="D2559" t="str">
        <f>IF(OR(Registro_Compras!$C$287="",Registro_Compras!$O$287=""),"","Cuentas por Pagar Comerciales - Terceros")</f>
        <v/>
      </c>
      <c r="E2559" s="20" t="str">
        <f>IF($C2559="","",IF(Registro_Compras!$F$287="RHE",(ROUND(Registro_Compras!$L$287*Registro_Compras!$N$287,2)-ROUND(Registro_Compras!$V$287*Registro_Compras!$N$287,2)),ROUND(Registro_Compras!$O$287-Registro_Compras!$S$287,2)))</f>
        <v/>
      </c>
      <c r="F2559" s="20" t="str">
        <f>""</f>
        <v/>
      </c>
      <c r="G2559" t="str">
        <f>IF($C2559="","","Por la cancelacion del saldo al proveedor")</f>
        <v/>
      </c>
      <c r="H2559" t="str">
        <f>IF($C2559="","",Registro_Compras!$C$287)</f>
        <v/>
      </c>
    </row>
    <row r="2560" spans="1:8" x14ac:dyDescent="0.25">
      <c r="A2560" s="25" t="str">
        <f>IF($C2560="","",Registro_Compras!$Y$287)</f>
        <v/>
      </c>
      <c r="B2560" t="str">
        <f>IF($C2560="","","C"&amp;TEXT(INT((ROW()-5)/9)+1,"000")&amp;"-4")</f>
        <v/>
      </c>
      <c r="C2560" t="str">
        <f>IF(OR(Registro_Compras!$C$287="",Registro_Compras!$O$287="",Registro_Compras!$Y$287="",Registro_Compras!$F$287="NOTA DE CREDITO"),"","1041")</f>
        <v/>
      </c>
      <c r="D2560" t="str">
        <f>IF(OR(Registro_Compras!$C$287="",Registro_Compras!$O$287=""),"","Efectivo y Equivalentes - Cta. Cte. Operativa")</f>
        <v/>
      </c>
      <c r="E2560" s="20" t="str">
        <f>""</f>
        <v/>
      </c>
      <c r="F2560" s="20" t="str">
        <f>IF($C2560="","",IF(Registro_Compras!$F$287="RHE",(ROUND(Registro_Compras!$L$287*Registro_Compras!$N$287,2)-ROUND(Registro_Compras!$V$287*Registro_Compras!$N$287,2)),ROUND(Registro_Compras!$O$287-Registro_Compras!$S$287,2)))</f>
        <v/>
      </c>
      <c r="G2560" t="str">
        <f>IF($C2560="","","Por la cancelacion del saldo al proveedor")</f>
        <v/>
      </c>
      <c r="H2560" t="str">
        <f>IF($C2560="","",Registro_Compras!$C$287)</f>
        <v/>
      </c>
    </row>
    <row r="2561" spans="1:8" x14ac:dyDescent="0.25">
      <c r="A2561" s="25" t="str">
        <f>IF($C2561="","",Registro_Compras!$B$288)</f>
        <v/>
      </c>
      <c r="B2561" t="str">
        <f>IF($C2561="","","C"&amp;TEXT(INT((ROW()-5)/9)+1,"000")&amp;"-1")</f>
        <v/>
      </c>
      <c r="C2561" t="str">
        <f>IF(OR(Registro_Compras!$C$288="",Registro_Compras!$O$288=""),"",IF(Registro_Compras!$F$288="NOTA DE CREDITO","4212",IF(Registro_Compras!$M$288="","63",Registro_Compras!$M$288)))</f>
        <v/>
      </c>
      <c r="D2561" t="str">
        <f>IF(OR(Registro_Compras!$C$288="",Registro_Compras!$O$288=""),"",IF(Registro_Compras!$F$288="NOTA DE CREDITO","Cuentas por Pagar Comerciales - Terceros (Emitidas)",IF(Registro_Compras!$F$288="RHE","Honorarios Profesionales - Servicios de Terceros","Gastos de Servicios Prestados por Terceros")))</f>
        <v/>
      </c>
      <c r="E2561" s="20" t="str">
        <f>IF($C2561="","",IF(Registro_Compras!$F$288="NOTA DE CREDITO",ABS(Registro_Compras!$O$288),IF(Registro_Compras!$F$288="RHE",ROUND(Registro_Compras!$L$288*Registro_Compras!$N$288,2),ROUND(Registro_Compras!$J$288*Registro_Compras!$N$288,2))))</f>
        <v/>
      </c>
      <c r="F2561" s="20" t="str">
        <f>""</f>
        <v/>
      </c>
      <c r="G2561" t="str">
        <f>IF($C2561="","",IF(Registro_Compras!$F$288="NOTA DE CREDITO","Por la nota de credito "&amp;Registro_Compras!$C$288&amp;" de "&amp;Registro_Compras!$E$288&amp;" [PATRON POR CONFIRMAR CON CONTADOR]",IF(Registro_Compras!$F$288="RHE","Por el registro del recibo por honorarios "&amp;Registro_Compras!$C$288&amp;" de "&amp;Registro_Compras!$E$288&amp;" [PATRON POR CONFIRMAR CON CONTADOR]","Por el registro de la factura "&amp;Registro_Compras!$C$288&amp;" de "&amp;Registro_Compras!$E$288)))</f>
        <v/>
      </c>
      <c r="H2561" t="str">
        <f>IF($C2561="","",Registro_Compras!$C$288)</f>
        <v/>
      </c>
    </row>
    <row r="2562" spans="1:8" x14ac:dyDescent="0.25">
      <c r="A2562" s="25" t="str">
        <f>IF($C2562="","",Registro_Compras!$B$288)</f>
        <v/>
      </c>
      <c r="B2562" t="str">
        <f>IF($C2562="","","C"&amp;TEXT(INT((ROW()-5)/9)+1,"000")&amp;"-1")</f>
        <v/>
      </c>
      <c r="C2562" t="str">
        <f>IF(OR(Registro_Compras!$C$288="",Registro_Compras!$O$288=""),"",IF(Registro_Compras!$F$288="RHE",IF(Registro_Compras!$V$288=0,"","4017"),IF(Registro_Compras!$F$288="NOTA DE CREDITO",IF(Registro_Compras!$M$288="","63",Registro_Compras!$M$288),IF(Registro_Compras!$K$288=0,"","40111"))))</f>
        <v/>
      </c>
      <c r="D2562" t="str">
        <f>IF(OR(Registro_Compras!$C$288="",Registro_Compras!$O$288=""),"",IF(Registro_Compras!$F$288="RHE","Retencion Renta 4ta Categoria por Pagar",IF(Registro_Compras!$F$288="NOTA DE CREDITO","Gastos de Servicios Prestados por Terceros","IGV - Cuenta Propia (Credito Fiscal)")))</f>
        <v/>
      </c>
      <c r="E2562" s="20" t="str">
        <f>IF($C2562="","",IF(Registro_Compras!$F$288="FACTURA",ROUND(Registro_Compras!$K$288*Registro_Compras!$N$288,2),""))</f>
        <v/>
      </c>
      <c r="F2562" s="20" t="str">
        <f>IF($C2562="","",IF(Registro_Compras!$F$288="RHE",ROUND(Registro_Compras!$V$288*Registro_Compras!$N$288,2),IF(Registro_Compras!$F$288="NOTA DE CREDITO",ROUND(ABS(Registro_Compras!$J$288*Registro_Compras!$N$288),2),"")))</f>
        <v/>
      </c>
      <c r="G2562" t="str">
        <f>IF($C2562="","",IF(Registro_Compras!$F$288="NOTA DE CREDITO","Por la nota de credito "&amp;Registro_Compras!$C$288&amp;" de "&amp;Registro_Compras!$E$288&amp;" [PATRON POR CONFIRMAR CON CONTADOR]",IF(Registro_Compras!$F$288="RHE","Por el registro del recibo por honorarios "&amp;Registro_Compras!$C$288&amp;" de "&amp;Registro_Compras!$E$288&amp;" [PATRON POR CONFIRMAR CON CONTADOR]","Por el registro de la factura "&amp;Registro_Compras!$C$288&amp;" de "&amp;Registro_Compras!$E$288)))</f>
        <v/>
      </c>
      <c r="H2562" t="str">
        <f>IF($C2562="","",Registro_Compras!$C$288)</f>
        <v/>
      </c>
    </row>
    <row r="2563" spans="1:8" x14ac:dyDescent="0.25">
      <c r="A2563" s="25" t="str">
        <f>IF($C2563="","",Registro_Compras!$B$288)</f>
        <v/>
      </c>
      <c r="B2563" t="str">
        <f>IF($C2563="","","C"&amp;TEXT(INT((ROW()-5)/9)+1,"000")&amp;"-1")</f>
        <v/>
      </c>
      <c r="C2563" t="str">
        <f>IF(OR(Registro_Compras!$C$288="",Registro_Compras!$O$288=""),"",IF(Registro_Compras!$F$288="NOTA DE CREDITO",IF(Registro_Compras!$K$288=0,"","40111"),"4212"))</f>
        <v/>
      </c>
      <c r="D2563" t="str">
        <f>IF(OR(Registro_Compras!$C$288="",Registro_Compras!$O$288=""),"",IF(Registro_Compras!$F$288="NOTA DE CREDITO","IGV - Cuenta Propia (Credito Fiscal)","Cuentas por Pagar Comerciales - Terceros (Emitidas)"))</f>
        <v/>
      </c>
      <c r="E2563" s="20" t="str">
        <f>""</f>
        <v/>
      </c>
      <c r="F2563" s="20" t="str">
        <f>IF($C2563="","",IF(Registro_Compras!$F$288="NOTA DE CREDITO",ROUND(ABS(Registro_Compras!$K$288*Registro_Compras!$N$288),2),IF(Registro_Compras!$F$288="RHE",(ROUND(Registro_Compras!$L$288*Registro_Compras!$N$288,2)-ROUND(Registro_Compras!$V$288*Registro_Compras!$N$288,2)),Registro_Compras!$O$288)))</f>
        <v/>
      </c>
      <c r="G2563" t="str">
        <f>IF($C2563="","",IF(Registro_Compras!$F$288="NOTA DE CREDITO","Por la nota de credito "&amp;Registro_Compras!$C$288&amp;" de "&amp;Registro_Compras!$E$288&amp;" [PATRON POR CONFIRMAR CON CONTADOR]",IF(Registro_Compras!$F$288="RHE","Por el registro del recibo por honorarios "&amp;Registro_Compras!$C$288&amp;" de "&amp;Registro_Compras!$E$288&amp;" [PATRON POR CONFIRMAR CON CONTADOR]","Por el registro de la factura "&amp;Registro_Compras!$C$288&amp;" de "&amp;Registro_Compras!$E$288)))</f>
        <v/>
      </c>
      <c r="H2563" t="str">
        <f>IF($C2563="","",Registro_Compras!$C$288)</f>
        <v/>
      </c>
    </row>
    <row r="2564" spans="1:8" x14ac:dyDescent="0.25">
      <c r="A2564" s="25" t="str">
        <f>IF($C2564="","",Registro_Compras!$B$288)</f>
        <v/>
      </c>
      <c r="B2564" t="str">
        <f>IF($C2564="","","C"&amp;TEXT(INT((ROW()-5)/9)+1,"000")&amp;"-2")</f>
        <v/>
      </c>
      <c r="C2564" t="str">
        <f>IF(OR(Registro_Compras!$C$288="",Registro_Compras!$O$288=""),"",IF(Registro_Compras!$AB$288="ADMINISTRATIVO","94","95"))</f>
        <v/>
      </c>
      <c r="D2564" t="str">
        <f>IF(OR(Registro_Compras!$C$288="",Registro_Compras!$O$288=""),"",IF(Registro_Compras!$AB$288="ADMINISTRATIVO","Gastos Administrativos","Gastos de Venta y Operacion"))</f>
        <v/>
      </c>
      <c r="E2564" s="20" t="str">
        <f>IF($C2564="","",IF(Registro_Compras!$F$288="NOTA DE CREDITO","",IF(Registro_Compras!$F$288="RHE",ROUND(Registro_Compras!$L$288*Registro_Compras!$N$288,2),ROUND(Registro_Compras!$J$288*Registro_Compras!$N$288,2))))</f>
        <v/>
      </c>
      <c r="F2564" s="20" t="str">
        <f>IF($C2564="","",IF(Registro_Compras!$F$288="NOTA DE CREDITO",ROUND(ABS(Registro_Compras!$J$288*Registro_Compras!$N$288),2),""))</f>
        <v/>
      </c>
      <c r="G2564" t="str">
        <f>IF($C2564="","","Por el destino del gasto")</f>
        <v/>
      </c>
      <c r="H2564" t="str">
        <f>IF($C2564="","",Registro_Compras!$C$288)</f>
        <v/>
      </c>
    </row>
    <row r="2565" spans="1:8" x14ac:dyDescent="0.25">
      <c r="A2565" s="25" t="str">
        <f>IF($C2565="","",Registro_Compras!$B$288)</f>
        <v/>
      </c>
      <c r="B2565" t="str">
        <f>IF($C2565="","","C"&amp;TEXT(INT((ROW()-5)/9)+1,"000")&amp;"-2")</f>
        <v/>
      </c>
      <c r="C2565" t="str">
        <f>IF(OR(Registro_Compras!$C$288="",Registro_Compras!$O$288=""),"","79/791")</f>
        <v/>
      </c>
      <c r="D2565" t="str">
        <f>IF(OR(Registro_Compras!$C$288="",Registro_Compras!$O$288=""),"","Cargas Imputables a Cuentas de Costos y Gastos")</f>
        <v/>
      </c>
      <c r="E2565" s="20" t="str">
        <f>IF($C2565="","",IF(Registro_Compras!$F$288="NOTA DE CREDITO",ROUND(ABS(Registro_Compras!$J$288*Registro_Compras!$N$288),2),""))</f>
        <v/>
      </c>
      <c r="F2565" s="20" t="str">
        <f>IF($C2565="","",IF(Registro_Compras!$F$288="NOTA DE CREDITO","",IF(Registro_Compras!$F$288="RHE",ROUND(Registro_Compras!$L$288*Registro_Compras!$N$288,2),ROUND(Registro_Compras!$J$288*Registro_Compras!$N$288,2))))</f>
        <v/>
      </c>
      <c r="G2565" t="str">
        <f>IF($C2565="","","Por el destino del gasto")</f>
        <v/>
      </c>
      <c r="H2565" t="str">
        <f>IF($C2565="","",Registro_Compras!$C$288)</f>
        <v/>
      </c>
    </row>
    <row r="2566" spans="1:8" x14ac:dyDescent="0.25">
      <c r="A2566" s="25" t="str">
        <f>IF($C2566="","",Registro_Compras!$X$288)</f>
        <v/>
      </c>
      <c r="B2566" t="str">
        <f>IF($C2566="","","C"&amp;TEXT(INT((ROW()-5)/9)+1,"000")&amp;"-3")</f>
        <v/>
      </c>
      <c r="C2566" t="str">
        <f>IF(OR(Registro_Compras!$C$288="",Registro_Compras!$O$288="",Registro_Compras!$R$288&lt;&gt;"SI",Registro_Compras!$X$288=""),"","4212")</f>
        <v/>
      </c>
      <c r="D2566" t="str">
        <f>IF(OR(Registro_Compras!$C$288="",Registro_Compras!$O$288=""),"","Cuentas por Pagar Comerciales - Terceros")</f>
        <v/>
      </c>
      <c r="E2566" s="20" t="str">
        <f>IF($C2566="","",Registro_Compras!$S$288)</f>
        <v/>
      </c>
      <c r="F2566" s="20" t="str">
        <f>""</f>
        <v/>
      </c>
      <c r="G2566" t="str">
        <f>IF($C2566="","","Por el deposito de la detraccion en el Banco de la Nacion")</f>
        <v/>
      </c>
      <c r="H2566" t="str">
        <f>IF($C2566="","",Registro_Compras!$C$288)</f>
        <v/>
      </c>
    </row>
    <row r="2567" spans="1:8" x14ac:dyDescent="0.25">
      <c r="A2567" s="25" t="str">
        <f>IF($C2567="","",Registro_Compras!$X$288)</f>
        <v/>
      </c>
      <c r="B2567" t="str">
        <f>IF($C2567="","","C"&amp;TEXT(INT((ROW()-5)/9)+1,"000")&amp;"-3")</f>
        <v/>
      </c>
      <c r="C2567" t="str">
        <f>IF(OR(Registro_Compras!$C$288="",Registro_Compras!$O$288="",Registro_Compras!$R$288&lt;&gt;"SI",Registro_Compras!$X$288=""),"","1041")</f>
        <v/>
      </c>
      <c r="D2567" t="str">
        <f>IF(OR(Registro_Compras!$C$288="",Registro_Compras!$O$288=""),"","Efectivo y Equivalentes - Cta. Cte. Operativa")</f>
        <v/>
      </c>
      <c r="E2567" s="20" t="str">
        <f>""</f>
        <v/>
      </c>
      <c r="F2567" s="20" t="str">
        <f>IF($C2567="","",Registro_Compras!$S$288)</f>
        <v/>
      </c>
      <c r="G2567" t="str">
        <f>IF($C2567="","","Por el deposito de la detraccion en el Banco de la Nacion")</f>
        <v/>
      </c>
      <c r="H2567" t="str">
        <f>IF($C2567="","",Registro_Compras!$C$288)</f>
        <v/>
      </c>
    </row>
    <row r="2568" spans="1:8" x14ac:dyDescent="0.25">
      <c r="A2568" s="25" t="str">
        <f>IF($C2568="","",Registro_Compras!$Y$288)</f>
        <v/>
      </c>
      <c r="B2568" t="str">
        <f>IF($C2568="","","C"&amp;TEXT(INT((ROW()-5)/9)+1,"000")&amp;"-4")</f>
        <v/>
      </c>
      <c r="C2568" t="str">
        <f>IF(OR(Registro_Compras!$C$288="",Registro_Compras!$O$288="",Registro_Compras!$Y$288="",Registro_Compras!$F$288="NOTA DE CREDITO"),"","4212")</f>
        <v/>
      </c>
      <c r="D2568" t="str">
        <f>IF(OR(Registro_Compras!$C$288="",Registro_Compras!$O$288=""),"","Cuentas por Pagar Comerciales - Terceros")</f>
        <v/>
      </c>
      <c r="E2568" s="20" t="str">
        <f>IF($C2568="","",IF(Registro_Compras!$F$288="RHE",(ROUND(Registro_Compras!$L$288*Registro_Compras!$N$288,2)-ROUND(Registro_Compras!$V$288*Registro_Compras!$N$288,2)),ROUND(Registro_Compras!$O$288-Registro_Compras!$S$288,2)))</f>
        <v/>
      </c>
      <c r="F2568" s="20" t="str">
        <f>""</f>
        <v/>
      </c>
      <c r="G2568" t="str">
        <f>IF($C2568="","","Por la cancelacion del saldo al proveedor")</f>
        <v/>
      </c>
      <c r="H2568" t="str">
        <f>IF($C2568="","",Registro_Compras!$C$288)</f>
        <v/>
      </c>
    </row>
    <row r="2569" spans="1:8" x14ac:dyDescent="0.25">
      <c r="A2569" s="25" t="str">
        <f>IF($C2569="","",Registro_Compras!$Y$288)</f>
        <v/>
      </c>
      <c r="B2569" t="str">
        <f>IF($C2569="","","C"&amp;TEXT(INT((ROW()-5)/9)+1,"000")&amp;"-4")</f>
        <v/>
      </c>
      <c r="C2569" t="str">
        <f>IF(OR(Registro_Compras!$C$288="",Registro_Compras!$O$288="",Registro_Compras!$Y$288="",Registro_Compras!$F$288="NOTA DE CREDITO"),"","1041")</f>
        <v/>
      </c>
      <c r="D2569" t="str">
        <f>IF(OR(Registro_Compras!$C$288="",Registro_Compras!$O$288=""),"","Efectivo y Equivalentes - Cta. Cte. Operativa")</f>
        <v/>
      </c>
      <c r="E2569" s="20" t="str">
        <f>""</f>
        <v/>
      </c>
      <c r="F2569" s="20" t="str">
        <f>IF($C2569="","",IF(Registro_Compras!$F$288="RHE",(ROUND(Registro_Compras!$L$288*Registro_Compras!$N$288,2)-ROUND(Registro_Compras!$V$288*Registro_Compras!$N$288,2)),ROUND(Registro_Compras!$O$288-Registro_Compras!$S$288,2)))</f>
        <v/>
      </c>
      <c r="G2569" t="str">
        <f>IF($C2569="","","Por la cancelacion del saldo al proveedor")</f>
        <v/>
      </c>
      <c r="H2569" t="str">
        <f>IF($C2569="","",Registro_Compras!$C$288)</f>
        <v/>
      </c>
    </row>
    <row r="2570" spans="1:8" x14ac:dyDescent="0.25">
      <c r="A2570" s="25" t="str">
        <f>IF($C2570="","",Registro_Compras!$B$289)</f>
        <v/>
      </c>
      <c r="B2570" t="str">
        <f>IF($C2570="","","C"&amp;TEXT(INT((ROW()-5)/9)+1,"000")&amp;"-1")</f>
        <v/>
      </c>
      <c r="C2570" t="str">
        <f>IF(OR(Registro_Compras!$C$289="",Registro_Compras!$O$289=""),"",IF(Registro_Compras!$F$289="NOTA DE CREDITO","4212",IF(Registro_Compras!$M$289="","63",Registro_Compras!$M$289)))</f>
        <v/>
      </c>
      <c r="D2570" t="str">
        <f>IF(OR(Registro_Compras!$C$289="",Registro_Compras!$O$289=""),"",IF(Registro_Compras!$F$289="NOTA DE CREDITO","Cuentas por Pagar Comerciales - Terceros (Emitidas)",IF(Registro_Compras!$F$289="RHE","Honorarios Profesionales - Servicios de Terceros","Gastos de Servicios Prestados por Terceros")))</f>
        <v/>
      </c>
      <c r="E2570" s="20" t="str">
        <f>IF($C2570="","",IF(Registro_Compras!$F$289="NOTA DE CREDITO",ABS(Registro_Compras!$O$289),IF(Registro_Compras!$F$289="RHE",ROUND(Registro_Compras!$L$289*Registro_Compras!$N$289,2),ROUND(Registro_Compras!$J$289*Registro_Compras!$N$289,2))))</f>
        <v/>
      </c>
      <c r="F2570" s="20" t="str">
        <f>""</f>
        <v/>
      </c>
      <c r="G2570" t="str">
        <f>IF($C2570="","",IF(Registro_Compras!$F$289="NOTA DE CREDITO","Por la nota de credito "&amp;Registro_Compras!$C$289&amp;" de "&amp;Registro_Compras!$E$289&amp;" [PATRON POR CONFIRMAR CON CONTADOR]",IF(Registro_Compras!$F$289="RHE","Por el registro del recibo por honorarios "&amp;Registro_Compras!$C$289&amp;" de "&amp;Registro_Compras!$E$289&amp;" [PATRON POR CONFIRMAR CON CONTADOR]","Por el registro de la factura "&amp;Registro_Compras!$C$289&amp;" de "&amp;Registro_Compras!$E$289)))</f>
        <v/>
      </c>
      <c r="H2570" t="str">
        <f>IF($C2570="","",Registro_Compras!$C$289)</f>
        <v/>
      </c>
    </row>
    <row r="2571" spans="1:8" x14ac:dyDescent="0.25">
      <c r="A2571" s="25" t="str">
        <f>IF($C2571="","",Registro_Compras!$B$289)</f>
        <v/>
      </c>
      <c r="B2571" t="str">
        <f>IF($C2571="","","C"&amp;TEXT(INT((ROW()-5)/9)+1,"000")&amp;"-1")</f>
        <v/>
      </c>
      <c r="C2571" t="str">
        <f>IF(OR(Registro_Compras!$C$289="",Registro_Compras!$O$289=""),"",IF(Registro_Compras!$F$289="RHE",IF(Registro_Compras!$V$289=0,"","4017"),IF(Registro_Compras!$F$289="NOTA DE CREDITO",IF(Registro_Compras!$M$289="","63",Registro_Compras!$M$289),IF(Registro_Compras!$K$289=0,"","40111"))))</f>
        <v/>
      </c>
      <c r="D2571" t="str">
        <f>IF(OR(Registro_Compras!$C$289="",Registro_Compras!$O$289=""),"",IF(Registro_Compras!$F$289="RHE","Retencion Renta 4ta Categoria por Pagar",IF(Registro_Compras!$F$289="NOTA DE CREDITO","Gastos de Servicios Prestados por Terceros","IGV - Cuenta Propia (Credito Fiscal)")))</f>
        <v/>
      </c>
      <c r="E2571" s="20" t="str">
        <f>IF($C2571="","",IF(Registro_Compras!$F$289="FACTURA",ROUND(Registro_Compras!$K$289*Registro_Compras!$N$289,2),""))</f>
        <v/>
      </c>
      <c r="F2571" s="20" t="str">
        <f>IF($C2571="","",IF(Registro_Compras!$F$289="RHE",ROUND(Registro_Compras!$V$289*Registro_Compras!$N$289,2),IF(Registro_Compras!$F$289="NOTA DE CREDITO",ROUND(ABS(Registro_Compras!$J$289*Registro_Compras!$N$289),2),"")))</f>
        <v/>
      </c>
      <c r="G2571" t="str">
        <f>IF($C2571="","",IF(Registro_Compras!$F$289="NOTA DE CREDITO","Por la nota de credito "&amp;Registro_Compras!$C$289&amp;" de "&amp;Registro_Compras!$E$289&amp;" [PATRON POR CONFIRMAR CON CONTADOR]",IF(Registro_Compras!$F$289="RHE","Por el registro del recibo por honorarios "&amp;Registro_Compras!$C$289&amp;" de "&amp;Registro_Compras!$E$289&amp;" [PATRON POR CONFIRMAR CON CONTADOR]","Por el registro de la factura "&amp;Registro_Compras!$C$289&amp;" de "&amp;Registro_Compras!$E$289)))</f>
        <v/>
      </c>
      <c r="H2571" t="str">
        <f>IF($C2571="","",Registro_Compras!$C$289)</f>
        <v/>
      </c>
    </row>
    <row r="2572" spans="1:8" x14ac:dyDescent="0.25">
      <c r="A2572" s="25" t="str">
        <f>IF($C2572="","",Registro_Compras!$B$289)</f>
        <v/>
      </c>
      <c r="B2572" t="str">
        <f>IF($C2572="","","C"&amp;TEXT(INT((ROW()-5)/9)+1,"000")&amp;"-1")</f>
        <v/>
      </c>
      <c r="C2572" t="str">
        <f>IF(OR(Registro_Compras!$C$289="",Registro_Compras!$O$289=""),"",IF(Registro_Compras!$F$289="NOTA DE CREDITO",IF(Registro_Compras!$K$289=0,"","40111"),"4212"))</f>
        <v/>
      </c>
      <c r="D2572" t="str">
        <f>IF(OR(Registro_Compras!$C$289="",Registro_Compras!$O$289=""),"",IF(Registro_Compras!$F$289="NOTA DE CREDITO","IGV - Cuenta Propia (Credito Fiscal)","Cuentas por Pagar Comerciales - Terceros (Emitidas)"))</f>
        <v/>
      </c>
      <c r="E2572" s="20" t="str">
        <f>""</f>
        <v/>
      </c>
      <c r="F2572" s="20" t="str">
        <f>IF($C2572="","",IF(Registro_Compras!$F$289="NOTA DE CREDITO",ROUND(ABS(Registro_Compras!$K$289*Registro_Compras!$N$289),2),IF(Registro_Compras!$F$289="RHE",(ROUND(Registro_Compras!$L$289*Registro_Compras!$N$289,2)-ROUND(Registro_Compras!$V$289*Registro_Compras!$N$289,2)),Registro_Compras!$O$289)))</f>
        <v/>
      </c>
      <c r="G2572" t="str">
        <f>IF($C2572="","",IF(Registro_Compras!$F$289="NOTA DE CREDITO","Por la nota de credito "&amp;Registro_Compras!$C$289&amp;" de "&amp;Registro_Compras!$E$289&amp;" [PATRON POR CONFIRMAR CON CONTADOR]",IF(Registro_Compras!$F$289="RHE","Por el registro del recibo por honorarios "&amp;Registro_Compras!$C$289&amp;" de "&amp;Registro_Compras!$E$289&amp;" [PATRON POR CONFIRMAR CON CONTADOR]","Por el registro de la factura "&amp;Registro_Compras!$C$289&amp;" de "&amp;Registro_Compras!$E$289)))</f>
        <v/>
      </c>
      <c r="H2572" t="str">
        <f>IF($C2572="","",Registro_Compras!$C$289)</f>
        <v/>
      </c>
    </row>
    <row r="2573" spans="1:8" x14ac:dyDescent="0.25">
      <c r="A2573" s="25" t="str">
        <f>IF($C2573="","",Registro_Compras!$B$289)</f>
        <v/>
      </c>
      <c r="B2573" t="str">
        <f>IF($C2573="","","C"&amp;TEXT(INT((ROW()-5)/9)+1,"000")&amp;"-2")</f>
        <v/>
      </c>
      <c r="C2573" t="str">
        <f>IF(OR(Registro_Compras!$C$289="",Registro_Compras!$O$289=""),"",IF(Registro_Compras!$AB$289="ADMINISTRATIVO","94","95"))</f>
        <v/>
      </c>
      <c r="D2573" t="str">
        <f>IF(OR(Registro_Compras!$C$289="",Registro_Compras!$O$289=""),"",IF(Registro_Compras!$AB$289="ADMINISTRATIVO","Gastos Administrativos","Gastos de Venta y Operacion"))</f>
        <v/>
      </c>
      <c r="E2573" s="20" t="str">
        <f>IF($C2573="","",IF(Registro_Compras!$F$289="NOTA DE CREDITO","",IF(Registro_Compras!$F$289="RHE",ROUND(Registro_Compras!$L$289*Registro_Compras!$N$289,2),ROUND(Registro_Compras!$J$289*Registro_Compras!$N$289,2))))</f>
        <v/>
      </c>
      <c r="F2573" s="20" t="str">
        <f>IF($C2573="","",IF(Registro_Compras!$F$289="NOTA DE CREDITO",ROUND(ABS(Registro_Compras!$J$289*Registro_Compras!$N$289),2),""))</f>
        <v/>
      </c>
      <c r="G2573" t="str">
        <f>IF($C2573="","","Por el destino del gasto")</f>
        <v/>
      </c>
      <c r="H2573" t="str">
        <f>IF($C2573="","",Registro_Compras!$C$289)</f>
        <v/>
      </c>
    </row>
    <row r="2574" spans="1:8" x14ac:dyDescent="0.25">
      <c r="A2574" s="25" t="str">
        <f>IF($C2574="","",Registro_Compras!$B$289)</f>
        <v/>
      </c>
      <c r="B2574" t="str">
        <f>IF($C2574="","","C"&amp;TEXT(INT((ROW()-5)/9)+1,"000")&amp;"-2")</f>
        <v/>
      </c>
      <c r="C2574" t="str">
        <f>IF(OR(Registro_Compras!$C$289="",Registro_Compras!$O$289=""),"","79/791")</f>
        <v/>
      </c>
      <c r="D2574" t="str">
        <f>IF(OR(Registro_Compras!$C$289="",Registro_Compras!$O$289=""),"","Cargas Imputables a Cuentas de Costos y Gastos")</f>
        <v/>
      </c>
      <c r="E2574" s="20" t="str">
        <f>IF($C2574="","",IF(Registro_Compras!$F$289="NOTA DE CREDITO",ROUND(ABS(Registro_Compras!$J$289*Registro_Compras!$N$289),2),""))</f>
        <v/>
      </c>
      <c r="F2574" s="20" t="str">
        <f>IF($C2574="","",IF(Registro_Compras!$F$289="NOTA DE CREDITO","",IF(Registro_Compras!$F$289="RHE",ROUND(Registro_Compras!$L$289*Registro_Compras!$N$289,2),ROUND(Registro_Compras!$J$289*Registro_Compras!$N$289,2))))</f>
        <v/>
      </c>
      <c r="G2574" t="str">
        <f>IF($C2574="","","Por el destino del gasto")</f>
        <v/>
      </c>
      <c r="H2574" t="str">
        <f>IF($C2574="","",Registro_Compras!$C$289)</f>
        <v/>
      </c>
    </row>
    <row r="2575" spans="1:8" x14ac:dyDescent="0.25">
      <c r="A2575" s="25" t="str">
        <f>IF($C2575="","",Registro_Compras!$X$289)</f>
        <v/>
      </c>
      <c r="B2575" t="str">
        <f>IF($C2575="","","C"&amp;TEXT(INT((ROW()-5)/9)+1,"000")&amp;"-3")</f>
        <v/>
      </c>
      <c r="C2575" t="str">
        <f>IF(OR(Registro_Compras!$C$289="",Registro_Compras!$O$289="",Registro_Compras!$R$289&lt;&gt;"SI",Registro_Compras!$X$289=""),"","4212")</f>
        <v/>
      </c>
      <c r="D2575" t="str">
        <f>IF(OR(Registro_Compras!$C$289="",Registro_Compras!$O$289=""),"","Cuentas por Pagar Comerciales - Terceros")</f>
        <v/>
      </c>
      <c r="E2575" s="20" t="str">
        <f>IF($C2575="","",Registro_Compras!$S$289)</f>
        <v/>
      </c>
      <c r="F2575" s="20" t="str">
        <f>""</f>
        <v/>
      </c>
      <c r="G2575" t="str">
        <f>IF($C2575="","","Por el deposito de la detraccion en el Banco de la Nacion")</f>
        <v/>
      </c>
      <c r="H2575" t="str">
        <f>IF($C2575="","",Registro_Compras!$C$289)</f>
        <v/>
      </c>
    </row>
    <row r="2576" spans="1:8" x14ac:dyDescent="0.25">
      <c r="A2576" s="25" t="str">
        <f>IF($C2576="","",Registro_Compras!$X$289)</f>
        <v/>
      </c>
      <c r="B2576" t="str">
        <f>IF($C2576="","","C"&amp;TEXT(INT((ROW()-5)/9)+1,"000")&amp;"-3")</f>
        <v/>
      </c>
      <c r="C2576" t="str">
        <f>IF(OR(Registro_Compras!$C$289="",Registro_Compras!$O$289="",Registro_Compras!$R$289&lt;&gt;"SI",Registro_Compras!$X$289=""),"","1041")</f>
        <v/>
      </c>
      <c r="D2576" t="str">
        <f>IF(OR(Registro_Compras!$C$289="",Registro_Compras!$O$289=""),"","Efectivo y Equivalentes - Cta. Cte. Operativa")</f>
        <v/>
      </c>
      <c r="E2576" s="20" t="str">
        <f>""</f>
        <v/>
      </c>
      <c r="F2576" s="20" t="str">
        <f>IF($C2576="","",Registro_Compras!$S$289)</f>
        <v/>
      </c>
      <c r="G2576" t="str">
        <f>IF($C2576="","","Por el deposito de la detraccion en el Banco de la Nacion")</f>
        <v/>
      </c>
      <c r="H2576" t="str">
        <f>IF($C2576="","",Registro_Compras!$C$289)</f>
        <v/>
      </c>
    </row>
    <row r="2577" spans="1:8" x14ac:dyDescent="0.25">
      <c r="A2577" s="25" t="str">
        <f>IF($C2577="","",Registro_Compras!$Y$289)</f>
        <v/>
      </c>
      <c r="B2577" t="str">
        <f>IF($C2577="","","C"&amp;TEXT(INT((ROW()-5)/9)+1,"000")&amp;"-4")</f>
        <v/>
      </c>
      <c r="C2577" t="str">
        <f>IF(OR(Registro_Compras!$C$289="",Registro_Compras!$O$289="",Registro_Compras!$Y$289="",Registro_Compras!$F$289="NOTA DE CREDITO"),"","4212")</f>
        <v/>
      </c>
      <c r="D2577" t="str">
        <f>IF(OR(Registro_Compras!$C$289="",Registro_Compras!$O$289=""),"","Cuentas por Pagar Comerciales - Terceros")</f>
        <v/>
      </c>
      <c r="E2577" s="20" t="str">
        <f>IF($C2577="","",IF(Registro_Compras!$F$289="RHE",(ROUND(Registro_Compras!$L$289*Registro_Compras!$N$289,2)-ROUND(Registro_Compras!$V$289*Registro_Compras!$N$289,2)),ROUND(Registro_Compras!$O$289-Registro_Compras!$S$289,2)))</f>
        <v/>
      </c>
      <c r="F2577" s="20" t="str">
        <f>""</f>
        <v/>
      </c>
      <c r="G2577" t="str">
        <f>IF($C2577="","","Por la cancelacion del saldo al proveedor")</f>
        <v/>
      </c>
      <c r="H2577" t="str">
        <f>IF($C2577="","",Registro_Compras!$C$289)</f>
        <v/>
      </c>
    </row>
    <row r="2578" spans="1:8" x14ac:dyDescent="0.25">
      <c r="A2578" s="25" t="str">
        <f>IF($C2578="","",Registro_Compras!$Y$289)</f>
        <v/>
      </c>
      <c r="B2578" t="str">
        <f>IF($C2578="","","C"&amp;TEXT(INT((ROW()-5)/9)+1,"000")&amp;"-4")</f>
        <v/>
      </c>
      <c r="C2578" t="str">
        <f>IF(OR(Registro_Compras!$C$289="",Registro_Compras!$O$289="",Registro_Compras!$Y$289="",Registro_Compras!$F$289="NOTA DE CREDITO"),"","1041")</f>
        <v/>
      </c>
      <c r="D2578" t="str">
        <f>IF(OR(Registro_Compras!$C$289="",Registro_Compras!$O$289=""),"","Efectivo y Equivalentes - Cta. Cte. Operativa")</f>
        <v/>
      </c>
      <c r="E2578" s="20" t="str">
        <f>""</f>
        <v/>
      </c>
      <c r="F2578" s="20" t="str">
        <f>IF($C2578="","",IF(Registro_Compras!$F$289="RHE",(ROUND(Registro_Compras!$L$289*Registro_Compras!$N$289,2)-ROUND(Registro_Compras!$V$289*Registro_Compras!$N$289,2)),ROUND(Registro_Compras!$O$289-Registro_Compras!$S$289,2)))</f>
        <v/>
      </c>
      <c r="G2578" t="str">
        <f>IF($C2578="","","Por la cancelacion del saldo al proveedor")</f>
        <v/>
      </c>
      <c r="H2578" t="str">
        <f>IF($C2578="","",Registro_Compras!$C$289)</f>
        <v/>
      </c>
    </row>
    <row r="2579" spans="1:8" x14ac:dyDescent="0.25">
      <c r="A2579" s="25" t="str">
        <f>IF($C2579="","",Registro_Compras!$B$290)</f>
        <v/>
      </c>
      <c r="B2579" t="str">
        <f>IF($C2579="","","C"&amp;TEXT(INT((ROW()-5)/9)+1,"000")&amp;"-1")</f>
        <v/>
      </c>
      <c r="C2579" t="str">
        <f>IF(OR(Registro_Compras!$C$290="",Registro_Compras!$O$290=""),"",IF(Registro_Compras!$F$290="NOTA DE CREDITO","4212",IF(Registro_Compras!$M$290="","63",Registro_Compras!$M$290)))</f>
        <v/>
      </c>
      <c r="D2579" t="str">
        <f>IF(OR(Registro_Compras!$C$290="",Registro_Compras!$O$290=""),"",IF(Registro_Compras!$F$290="NOTA DE CREDITO","Cuentas por Pagar Comerciales - Terceros (Emitidas)",IF(Registro_Compras!$F$290="RHE","Honorarios Profesionales - Servicios de Terceros","Gastos de Servicios Prestados por Terceros")))</f>
        <v/>
      </c>
      <c r="E2579" s="20" t="str">
        <f>IF($C2579="","",IF(Registro_Compras!$F$290="NOTA DE CREDITO",ABS(Registro_Compras!$O$290),IF(Registro_Compras!$F$290="RHE",ROUND(Registro_Compras!$L$290*Registro_Compras!$N$290,2),ROUND(Registro_Compras!$J$290*Registro_Compras!$N$290,2))))</f>
        <v/>
      </c>
      <c r="F2579" s="20" t="str">
        <f>""</f>
        <v/>
      </c>
      <c r="G2579" t="str">
        <f>IF($C2579="","",IF(Registro_Compras!$F$290="NOTA DE CREDITO","Por la nota de credito "&amp;Registro_Compras!$C$290&amp;" de "&amp;Registro_Compras!$E$290&amp;" [PATRON POR CONFIRMAR CON CONTADOR]",IF(Registro_Compras!$F$290="RHE","Por el registro del recibo por honorarios "&amp;Registro_Compras!$C$290&amp;" de "&amp;Registro_Compras!$E$290&amp;" [PATRON POR CONFIRMAR CON CONTADOR]","Por el registro de la factura "&amp;Registro_Compras!$C$290&amp;" de "&amp;Registro_Compras!$E$290)))</f>
        <v/>
      </c>
      <c r="H2579" t="str">
        <f>IF($C2579="","",Registro_Compras!$C$290)</f>
        <v/>
      </c>
    </row>
    <row r="2580" spans="1:8" x14ac:dyDescent="0.25">
      <c r="A2580" s="25" t="str">
        <f>IF($C2580="","",Registro_Compras!$B$290)</f>
        <v/>
      </c>
      <c r="B2580" t="str">
        <f>IF($C2580="","","C"&amp;TEXT(INT((ROW()-5)/9)+1,"000")&amp;"-1")</f>
        <v/>
      </c>
      <c r="C2580" t="str">
        <f>IF(OR(Registro_Compras!$C$290="",Registro_Compras!$O$290=""),"",IF(Registro_Compras!$F$290="RHE",IF(Registro_Compras!$V$290=0,"","4017"),IF(Registro_Compras!$F$290="NOTA DE CREDITO",IF(Registro_Compras!$M$290="","63",Registro_Compras!$M$290),IF(Registro_Compras!$K$290=0,"","40111"))))</f>
        <v/>
      </c>
      <c r="D2580" t="str">
        <f>IF(OR(Registro_Compras!$C$290="",Registro_Compras!$O$290=""),"",IF(Registro_Compras!$F$290="RHE","Retencion Renta 4ta Categoria por Pagar",IF(Registro_Compras!$F$290="NOTA DE CREDITO","Gastos de Servicios Prestados por Terceros","IGV - Cuenta Propia (Credito Fiscal)")))</f>
        <v/>
      </c>
      <c r="E2580" s="20" t="str">
        <f>IF($C2580="","",IF(Registro_Compras!$F$290="FACTURA",ROUND(Registro_Compras!$K$290*Registro_Compras!$N$290,2),""))</f>
        <v/>
      </c>
      <c r="F2580" s="20" t="str">
        <f>IF($C2580="","",IF(Registro_Compras!$F$290="RHE",ROUND(Registro_Compras!$V$290*Registro_Compras!$N$290,2),IF(Registro_Compras!$F$290="NOTA DE CREDITO",ROUND(ABS(Registro_Compras!$J$290*Registro_Compras!$N$290),2),"")))</f>
        <v/>
      </c>
      <c r="G2580" t="str">
        <f>IF($C2580="","",IF(Registro_Compras!$F$290="NOTA DE CREDITO","Por la nota de credito "&amp;Registro_Compras!$C$290&amp;" de "&amp;Registro_Compras!$E$290&amp;" [PATRON POR CONFIRMAR CON CONTADOR]",IF(Registro_Compras!$F$290="RHE","Por el registro del recibo por honorarios "&amp;Registro_Compras!$C$290&amp;" de "&amp;Registro_Compras!$E$290&amp;" [PATRON POR CONFIRMAR CON CONTADOR]","Por el registro de la factura "&amp;Registro_Compras!$C$290&amp;" de "&amp;Registro_Compras!$E$290)))</f>
        <v/>
      </c>
      <c r="H2580" t="str">
        <f>IF($C2580="","",Registro_Compras!$C$290)</f>
        <v/>
      </c>
    </row>
    <row r="2581" spans="1:8" x14ac:dyDescent="0.25">
      <c r="A2581" s="25" t="str">
        <f>IF($C2581="","",Registro_Compras!$B$290)</f>
        <v/>
      </c>
      <c r="B2581" t="str">
        <f>IF($C2581="","","C"&amp;TEXT(INT((ROW()-5)/9)+1,"000")&amp;"-1")</f>
        <v/>
      </c>
      <c r="C2581" t="str">
        <f>IF(OR(Registro_Compras!$C$290="",Registro_Compras!$O$290=""),"",IF(Registro_Compras!$F$290="NOTA DE CREDITO",IF(Registro_Compras!$K$290=0,"","40111"),"4212"))</f>
        <v/>
      </c>
      <c r="D2581" t="str">
        <f>IF(OR(Registro_Compras!$C$290="",Registro_Compras!$O$290=""),"",IF(Registro_Compras!$F$290="NOTA DE CREDITO","IGV - Cuenta Propia (Credito Fiscal)","Cuentas por Pagar Comerciales - Terceros (Emitidas)"))</f>
        <v/>
      </c>
      <c r="E2581" s="20" t="str">
        <f>""</f>
        <v/>
      </c>
      <c r="F2581" s="20" t="str">
        <f>IF($C2581="","",IF(Registro_Compras!$F$290="NOTA DE CREDITO",ROUND(ABS(Registro_Compras!$K$290*Registro_Compras!$N$290),2),IF(Registro_Compras!$F$290="RHE",(ROUND(Registro_Compras!$L$290*Registro_Compras!$N$290,2)-ROUND(Registro_Compras!$V$290*Registro_Compras!$N$290,2)),Registro_Compras!$O$290)))</f>
        <v/>
      </c>
      <c r="G2581" t="str">
        <f>IF($C2581="","",IF(Registro_Compras!$F$290="NOTA DE CREDITO","Por la nota de credito "&amp;Registro_Compras!$C$290&amp;" de "&amp;Registro_Compras!$E$290&amp;" [PATRON POR CONFIRMAR CON CONTADOR]",IF(Registro_Compras!$F$290="RHE","Por el registro del recibo por honorarios "&amp;Registro_Compras!$C$290&amp;" de "&amp;Registro_Compras!$E$290&amp;" [PATRON POR CONFIRMAR CON CONTADOR]","Por el registro de la factura "&amp;Registro_Compras!$C$290&amp;" de "&amp;Registro_Compras!$E$290)))</f>
        <v/>
      </c>
      <c r="H2581" t="str">
        <f>IF($C2581="","",Registro_Compras!$C$290)</f>
        <v/>
      </c>
    </row>
    <row r="2582" spans="1:8" x14ac:dyDescent="0.25">
      <c r="A2582" s="25" t="str">
        <f>IF($C2582="","",Registro_Compras!$B$290)</f>
        <v/>
      </c>
      <c r="B2582" t="str">
        <f>IF($C2582="","","C"&amp;TEXT(INT((ROW()-5)/9)+1,"000")&amp;"-2")</f>
        <v/>
      </c>
      <c r="C2582" t="str">
        <f>IF(OR(Registro_Compras!$C$290="",Registro_Compras!$O$290=""),"",IF(Registro_Compras!$AB$290="ADMINISTRATIVO","94","95"))</f>
        <v/>
      </c>
      <c r="D2582" t="str">
        <f>IF(OR(Registro_Compras!$C$290="",Registro_Compras!$O$290=""),"",IF(Registro_Compras!$AB$290="ADMINISTRATIVO","Gastos Administrativos","Gastos de Venta y Operacion"))</f>
        <v/>
      </c>
      <c r="E2582" s="20" t="str">
        <f>IF($C2582="","",IF(Registro_Compras!$F$290="NOTA DE CREDITO","",IF(Registro_Compras!$F$290="RHE",ROUND(Registro_Compras!$L$290*Registro_Compras!$N$290,2),ROUND(Registro_Compras!$J$290*Registro_Compras!$N$290,2))))</f>
        <v/>
      </c>
      <c r="F2582" s="20" t="str">
        <f>IF($C2582="","",IF(Registro_Compras!$F$290="NOTA DE CREDITO",ROUND(ABS(Registro_Compras!$J$290*Registro_Compras!$N$290),2),""))</f>
        <v/>
      </c>
      <c r="G2582" t="str">
        <f>IF($C2582="","","Por el destino del gasto")</f>
        <v/>
      </c>
      <c r="H2582" t="str">
        <f>IF($C2582="","",Registro_Compras!$C$290)</f>
        <v/>
      </c>
    </row>
    <row r="2583" spans="1:8" x14ac:dyDescent="0.25">
      <c r="A2583" s="25" t="str">
        <f>IF($C2583="","",Registro_Compras!$B$290)</f>
        <v/>
      </c>
      <c r="B2583" t="str">
        <f>IF($C2583="","","C"&amp;TEXT(INT((ROW()-5)/9)+1,"000")&amp;"-2")</f>
        <v/>
      </c>
      <c r="C2583" t="str">
        <f>IF(OR(Registro_Compras!$C$290="",Registro_Compras!$O$290=""),"","79/791")</f>
        <v/>
      </c>
      <c r="D2583" t="str">
        <f>IF(OR(Registro_Compras!$C$290="",Registro_Compras!$O$290=""),"","Cargas Imputables a Cuentas de Costos y Gastos")</f>
        <v/>
      </c>
      <c r="E2583" s="20" t="str">
        <f>IF($C2583="","",IF(Registro_Compras!$F$290="NOTA DE CREDITO",ROUND(ABS(Registro_Compras!$J$290*Registro_Compras!$N$290),2),""))</f>
        <v/>
      </c>
      <c r="F2583" s="20" t="str">
        <f>IF($C2583="","",IF(Registro_Compras!$F$290="NOTA DE CREDITO","",IF(Registro_Compras!$F$290="RHE",ROUND(Registro_Compras!$L$290*Registro_Compras!$N$290,2),ROUND(Registro_Compras!$J$290*Registro_Compras!$N$290,2))))</f>
        <v/>
      </c>
      <c r="G2583" t="str">
        <f>IF($C2583="","","Por el destino del gasto")</f>
        <v/>
      </c>
      <c r="H2583" t="str">
        <f>IF($C2583="","",Registro_Compras!$C$290)</f>
        <v/>
      </c>
    </row>
    <row r="2584" spans="1:8" x14ac:dyDescent="0.25">
      <c r="A2584" s="25" t="str">
        <f>IF($C2584="","",Registro_Compras!$X$290)</f>
        <v/>
      </c>
      <c r="B2584" t="str">
        <f>IF($C2584="","","C"&amp;TEXT(INT((ROW()-5)/9)+1,"000")&amp;"-3")</f>
        <v/>
      </c>
      <c r="C2584" t="str">
        <f>IF(OR(Registro_Compras!$C$290="",Registro_Compras!$O$290="",Registro_Compras!$R$290&lt;&gt;"SI",Registro_Compras!$X$290=""),"","4212")</f>
        <v/>
      </c>
      <c r="D2584" t="str">
        <f>IF(OR(Registro_Compras!$C$290="",Registro_Compras!$O$290=""),"","Cuentas por Pagar Comerciales - Terceros")</f>
        <v/>
      </c>
      <c r="E2584" s="20" t="str">
        <f>IF($C2584="","",Registro_Compras!$S$290)</f>
        <v/>
      </c>
      <c r="F2584" s="20" t="str">
        <f>""</f>
        <v/>
      </c>
      <c r="G2584" t="str">
        <f>IF($C2584="","","Por el deposito de la detraccion en el Banco de la Nacion")</f>
        <v/>
      </c>
      <c r="H2584" t="str">
        <f>IF($C2584="","",Registro_Compras!$C$290)</f>
        <v/>
      </c>
    </row>
    <row r="2585" spans="1:8" x14ac:dyDescent="0.25">
      <c r="A2585" s="25" t="str">
        <f>IF($C2585="","",Registro_Compras!$X$290)</f>
        <v/>
      </c>
      <c r="B2585" t="str">
        <f>IF($C2585="","","C"&amp;TEXT(INT((ROW()-5)/9)+1,"000")&amp;"-3")</f>
        <v/>
      </c>
      <c r="C2585" t="str">
        <f>IF(OR(Registro_Compras!$C$290="",Registro_Compras!$O$290="",Registro_Compras!$R$290&lt;&gt;"SI",Registro_Compras!$X$290=""),"","1041")</f>
        <v/>
      </c>
      <c r="D2585" t="str">
        <f>IF(OR(Registro_Compras!$C$290="",Registro_Compras!$O$290=""),"","Efectivo y Equivalentes - Cta. Cte. Operativa")</f>
        <v/>
      </c>
      <c r="E2585" s="20" t="str">
        <f>""</f>
        <v/>
      </c>
      <c r="F2585" s="20" t="str">
        <f>IF($C2585="","",Registro_Compras!$S$290)</f>
        <v/>
      </c>
      <c r="G2585" t="str">
        <f>IF($C2585="","","Por el deposito de la detraccion en el Banco de la Nacion")</f>
        <v/>
      </c>
      <c r="H2585" t="str">
        <f>IF($C2585="","",Registro_Compras!$C$290)</f>
        <v/>
      </c>
    </row>
    <row r="2586" spans="1:8" x14ac:dyDescent="0.25">
      <c r="A2586" s="25" t="str">
        <f>IF($C2586="","",Registro_Compras!$Y$290)</f>
        <v/>
      </c>
      <c r="B2586" t="str">
        <f>IF($C2586="","","C"&amp;TEXT(INT((ROW()-5)/9)+1,"000")&amp;"-4")</f>
        <v/>
      </c>
      <c r="C2586" t="str">
        <f>IF(OR(Registro_Compras!$C$290="",Registro_Compras!$O$290="",Registro_Compras!$Y$290="",Registro_Compras!$F$290="NOTA DE CREDITO"),"","4212")</f>
        <v/>
      </c>
      <c r="D2586" t="str">
        <f>IF(OR(Registro_Compras!$C$290="",Registro_Compras!$O$290=""),"","Cuentas por Pagar Comerciales - Terceros")</f>
        <v/>
      </c>
      <c r="E2586" s="20" t="str">
        <f>IF($C2586="","",IF(Registro_Compras!$F$290="RHE",(ROUND(Registro_Compras!$L$290*Registro_Compras!$N$290,2)-ROUND(Registro_Compras!$V$290*Registro_Compras!$N$290,2)),ROUND(Registro_Compras!$O$290-Registro_Compras!$S$290,2)))</f>
        <v/>
      </c>
      <c r="F2586" s="20" t="str">
        <f>""</f>
        <v/>
      </c>
      <c r="G2586" t="str">
        <f>IF($C2586="","","Por la cancelacion del saldo al proveedor")</f>
        <v/>
      </c>
      <c r="H2586" t="str">
        <f>IF($C2586="","",Registro_Compras!$C$290)</f>
        <v/>
      </c>
    </row>
    <row r="2587" spans="1:8" x14ac:dyDescent="0.25">
      <c r="A2587" s="25" t="str">
        <f>IF($C2587="","",Registro_Compras!$Y$290)</f>
        <v/>
      </c>
      <c r="B2587" t="str">
        <f>IF($C2587="","","C"&amp;TEXT(INT((ROW()-5)/9)+1,"000")&amp;"-4")</f>
        <v/>
      </c>
      <c r="C2587" t="str">
        <f>IF(OR(Registro_Compras!$C$290="",Registro_Compras!$O$290="",Registro_Compras!$Y$290="",Registro_Compras!$F$290="NOTA DE CREDITO"),"","1041")</f>
        <v/>
      </c>
      <c r="D2587" t="str">
        <f>IF(OR(Registro_Compras!$C$290="",Registro_Compras!$O$290=""),"","Efectivo y Equivalentes - Cta. Cte. Operativa")</f>
        <v/>
      </c>
      <c r="E2587" s="20" t="str">
        <f>""</f>
        <v/>
      </c>
      <c r="F2587" s="20" t="str">
        <f>IF($C2587="","",IF(Registro_Compras!$F$290="RHE",(ROUND(Registro_Compras!$L$290*Registro_Compras!$N$290,2)-ROUND(Registro_Compras!$V$290*Registro_Compras!$N$290,2)),ROUND(Registro_Compras!$O$290-Registro_Compras!$S$290,2)))</f>
        <v/>
      </c>
      <c r="G2587" t="str">
        <f>IF($C2587="","","Por la cancelacion del saldo al proveedor")</f>
        <v/>
      </c>
      <c r="H2587" t="str">
        <f>IF($C2587="","",Registro_Compras!$C$290)</f>
        <v/>
      </c>
    </row>
    <row r="2588" spans="1:8" x14ac:dyDescent="0.25">
      <c r="A2588" s="25" t="str">
        <f>IF($C2588="","",Registro_Compras!$B$291)</f>
        <v/>
      </c>
      <c r="B2588" t="str">
        <f>IF($C2588="","","C"&amp;TEXT(INT((ROW()-5)/9)+1,"000")&amp;"-1")</f>
        <v/>
      </c>
      <c r="C2588" t="str">
        <f>IF(OR(Registro_Compras!$C$291="",Registro_Compras!$O$291=""),"",IF(Registro_Compras!$F$291="NOTA DE CREDITO","4212",IF(Registro_Compras!$M$291="","63",Registro_Compras!$M$291)))</f>
        <v/>
      </c>
      <c r="D2588" t="str">
        <f>IF(OR(Registro_Compras!$C$291="",Registro_Compras!$O$291=""),"",IF(Registro_Compras!$F$291="NOTA DE CREDITO","Cuentas por Pagar Comerciales - Terceros (Emitidas)",IF(Registro_Compras!$F$291="RHE","Honorarios Profesionales - Servicios de Terceros","Gastos de Servicios Prestados por Terceros")))</f>
        <v/>
      </c>
      <c r="E2588" s="20" t="str">
        <f>IF($C2588="","",IF(Registro_Compras!$F$291="NOTA DE CREDITO",ABS(Registro_Compras!$O$291),IF(Registro_Compras!$F$291="RHE",ROUND(Registro_Compras!$L$291*Registro_Compras!$N$291,2),ROUND(Registro_Compras!$J$291*Registro_Compras!$N$291,2))))</f>
        <v/>
      </c>
      <c r="F2588" s="20" t="str">
        <f>""</f>
        <v/>
      </c>
      <c r="G2588" t="str">
        <f>IF($C2588="","",IF(Registro_Compras!$F$291="NOTA DE CREDITO","Por la nota de credito "&amp;Registro_Compras!$C$291&amp;" de "&amp;Registro_Compras!$E$291&amp;" [PATRON POR CONFIRMAR CON CONTADOR]",IF(Registro_Compras!$F$291="RHE","Por el registro del recibo por honorarios "&amp;Registro_Compras!$C$291&amp;" de "&amp;Registro_Compras!$E$291&amp;" [PATRON POR CONFIRMAR CON CONTADOR]","Por el registro de la factura "&amp;Registro_Compras!$C$291&amp;" de "&amp;Registro_Compras!$E$291)))</f>
        <v/>
      </c>
      <c r="H2588" t="str">
        <f>IF($C2588="","",Registro_Compras!$C$291)</f>
        <v/>
      </c>
    </row>
    <row r="2589" spans="1:8" x14ac:dyDescent="0.25">
      <c r="A2589" s="25" t="str">
        <f>IF($C2589="","",Registro_Compras!$B$291)</f>
        <v/>
      </c>
      <c r="B2589" t="str">
        <f>IF($C2589="","","C"&amp;TEXT(INT((ROW()-5)/9)+1,"000")&amp;"-1")</f>
        <v/>
      </c>
      <c r="C2589" t="str">
        <f>IF(OR(Registro_Compras!$C$291="",Registro_Compras!$O$291=""),"",IF(Registro_Compras!$F$291="RHE",IF(Registro_Compras!$V$291=0,"","4017"),IF(Registro_Compras!$F$291="NOTA DE CREDITO",IF(Registro_Compras!$M$291="","63",Registro_Compras!$M$291),IF(Registro_Compras!$K$291=0,"","40111"))))</f>
        <v/>
      </c>
      <c r="D2589" t="str">
        <f>IF(OR(Registro_Compras!$C$291="",Registro_Compras!$O$291=""),"",IF(Registro_Compras!$F$291="RHE","Retencion Renta 4ta Categoria por Pagar",IF(Registro_Compras!$F$291="NOTA DE CREDITO","Gastos de Servicios Prestados por Terceros","IGV - Cuenta Propia (Credito Fiscal)")))</f>
        <v/>
      </c>
      <c r="E2589" s="20" t="str">
        <f>IF($C2589="","",IF(Registro_Compras!$F$291="FACTURA",ROUND(Registro_Compras!$K$291*Registro_Compras!$N$291,2),""))</f>
        <v/>
      </c>
      <c r="F2589" s="20" t="str">
        <f>IF($C2589="","",IF(Registro_Compras!$F$291="RHE",ROUND(Registro_Compras!$V$291*Registro_Compras!$N$291,2),IF(Registro_Compras!$F$291="NOTA DE CREDITO",ROUND(ABS(Registro_Compras!$J$291*Registro_Compras!$N$291),2),"")))</f>
        <v/>
      </c>
      <c r="G2589" t="str">
        <f>IF($C2589="","",IF(Registro_Compras!$F$291="NOTA DE CREDITO","Por la nota de credito "&amp;Registro_Compras!$C$291&amp;" de "&amp;Registro_Compras!$E$291&amp;" [PATRON POR CONFIRMAR CON CONTADOR]",IF(Registro_Compras!$F$291="RHE","Por el registro del recibo por honorarios "&amp;Registro_Compras!$C$291&amp;" de "&amp;Registro_Compras!$E$291&amp;" [PATRON POR CONFIRMAR CON CONTADOR]","Por el registro de la factura "&amp;Registro_Compras!$C$291&amp;" de "&amp;Registro_Compras!$E$291)))</f>
        <v/>
      </c>
      <c r="H2589" t="str">
        <f>IF($C2589="","",Registro_Compras!$C$291)</f>
        <v/>
      </c>
    </row>
    <row r="2590" spans="1:8" x14ac:dyDescent="0.25">
      <c r="A2590" s="25" t="str">
        <f>IF($C2590="","",Registro_Compras!$B$291)</f>
        <v/>
      </c>
      <c r="B2590" t="str">
        <f>IF($C2590="","","C"&amp;TEXT(INT((ROW()-5)/9)+1,"000")&amp;"-1")</f>
        <v/>
      </c>
      <c r="C2590" t="str">
        <f>IF(OR(Registro_Compras!$C$291="",Registro_Compras!$O$291=""),"",IF(Registro_Compras!$F$291="NOTA DE CREDITO",IF(Registro_Compras!$K$291=0,"","40111"),"4212"))</f>
        <v/>
      </c>
      <c r="D2590" t="str">
        <f>IF(OR(Registro_Compras!$C$291="",Registro_Compras!$O$291=""),"",IF(Registro_Compras!$F$291="NOTA DE CREDITO","IGV - Cuenta Propia (Credito Fiscal)","Cuentas por Pagar Comerciales - Terceros (Emitidas)"))</f>
        <v/>
      </c>
      <c r="E2590" s="20" t="str">
        <f>""</f>
        <v/>
      </c>
      <c r="F2590" s="20" t="str">
        <f>IF($C2590="","",IF(Registro_Compras!$F$291="NOTA DE CREDITO",ROUND(ABS(Registro_Compras!$K$291*Registro_Compras!$N$291),2),IF(Registro_Compras!$F$291="RHE",(ROUND(Registro_Compras!$L$291*Registro_Compras!$N$291,2)-ROUND(Registro_Compras!$V$291*Registro_Compras!$N$291,2)),Registro_Compras!$O$291)))</f>
        <v/>
      </c>
      <c r="G2590" t="str">
        <f>IF($C2590="","",IF(Registro_Compras!$F$291="NOTA DE CREDITO","Por la nota de credito "&amp;Registro_Compras!$C$291&amp;" de "&amp;Registro_Compras!$E$291&amp;" [PATRON POR CONFIRMAR CON CONTADOR]",IF(Registro_Compras!$F$291="RHE","Por el registro del recibo por honorarios "&amp;Registro_Compras!$C$291&amp;" de "&amp;Registro_Compras!$E$291&amp;" [PATRON POR CONFIRMAR CON CONTADOR]","Por el registro de la factura "&amp;Registro_Compras!$C$291&amp;" de "&amp;Registro_Compras!$E$291)))</f>
        <v/>
      </c>
      <c r="H2590" t="str">
        <f>IF($C2590="","",Registro_Compras!$C$291)</f>
        <v/>
      </c>
    </row>
    <row r="2591" spans="1:8" x14ac:dyDescent="0.25">
      <c r="A2591" s="25" t="str">
        <f>IF($C2591="","",Registro_Compras!$B$291)</f>
        <v/>
      </c>
      <c r="B2591" t="str">
        <f>IF($C2591="","","C"&amp;TEXT(INT((ROW()-5)/9)+1,"000")&amp;"-2")</f>
        <v/>
      </c>
      <c r="C2591" t="str">
        <f>IF(OR(Registro_Compras!$C$291="",Registro_Compras!$O$291=""),"",IF(Registro_Compras!$AB$291="ADMINISTRATIVO","94","95"))</f>
        <v/>
      </c>
      <c r="D2591" t="str">
        <f>IF(OR(Registro_Compras!$C$291="",Registro_Compras!$O$291=""),"",IF(Registro_Compras!$AB$291="ADMINISTRATIVO","Gastos Administrativos","Gastos de Venta y Operacion"))</f>
        <v/>
      </c>
      <c r="E2591" s="20" t="str">
        <f>IF($C2591="","",IF(Registro_Compras!$F$291="NOTA DE CREDITO","",IF(Registro_Compras!$F$291="RHE",ROUND(Registro_Compras!$L$291*Registro_Compras!$N$291,2),ROUND(Registro_Compras!$J$291*Registro_Compras!$N$291,2))))</f>
        <v/>
      </c>
      <c r="F2591" s="20" t="str">
        <f>IF($C2591="","",IF(Registro_Compras!$F$291="NOTA DE CREDITO",ROUND(ABS(Registro_Compras!$J$291*Registro_Compras!$N$291),2),""))</f>
        <v/>
      </c>
      <c r="G2591" t="str">
        <f>IF($C2591="","","Por el destino del gasto")</f>
        <v/>
      </c>
      <c r="H2591" t="str">
        <f>IF($C2591="","",Registro_Compras!$C$291)</f>
        <v/>
      </c>
    </row>
    <row r="2592" spans="1:8" x14ac:dyDescent="0.25">
      <c r="A2592" s="25" t="str">
        <f>IF($C2592="","",Registro_Compras!$B$291)</f>
        <v/>
      </c>
      <c r="B2592" t="str">
        <f>IF($C2592="","","C"&amp;TEXT(INT((ROW()-5)/9)+1,"000")&amp;"-2")</f>
        <v/>
      </c>
      <c r="C2592" t="str">
        <f>IF(OR(Registro_Compras!$C$291="",Registro_Compras!$O$291=""),"","79/791")</f>
        <v/>
      </c>
      <c r="D2592" t="str">
        <f>IF(OR(Registro_Compras!$C$291="",Registro_Compras!$O$291=""),"","Cargas Imputables a Cuentas de Costos y Gastos")</f>
        <v/>
      </c>
      <c r="E2592" s="20" t="str">
        <f>IF($C2592="","",IF(Registro_Compras!$F$291="NOTA DE CREDITO",ROUND(ABS(Registro_Compras!$J$291*Registro_Compras!$N$291),2),""))</f>
        <v/>
      </c>
      <c r="F2592" s="20" t="str">
        <f>IF($C2592="","",IF(Registro_Compras!$F$291="NOTA DE CREDITO","",IF(Registro_Compras!$F$291="RHE",ROUND(Registro_Compras!$L$291*Registro_Compras!$N$291,2),ROUND(Registro_Compras!$J$291*Registro_Compras!$N$291,2))))</f>
        <v/>
      </c>
      <c r="G2592" t="str">
        <f>IF($C2592="","","Por el destino del gasto")</f>
        <v/>
      </c>
      <c r="H2592" t="str">
        <f>IF($C2592="","",Registro_Compras!$C$291)</f>
        <v/>
      </c>
    </row>
    <row r="2593" spans="1:8" x14ac:dyDescent="0.25">
      <c r="A2593" s="25" t="str">
        <f>IF($C2593="","",Registro_Compras!$X$291)</f>
        <v/>
      </c>
      <c r="B2593" t="str">
        <f>IF($C2593="","","C"&amp;TEXT(INT((ROW()-5)/9)+1,"000")&amp;"-3")</f>
        <v/>
      </c>
      <c r="C2593" t="str">
        <f>IF(OR(Registro_Compras!$C$291="",Registro_Compras!$O$291="",Registro_Compras!$R$291&lt;&gt;"SI",Registro_Compras!$X$291=""),"","4212")</f>
        <v/>
      </c>
      <c r="D2593" t="str">
        <f>IF(OR(Registro_Compras!$C$291="",Registro_Compras!$O$291=""),"","Cuentas por Pagar Comerciales - Terceros")</f>
        <v/>
      </c>
      <c r="E2593" s="20" t="str">
        <f>IF($C2593="","",Registro_Compras!$S$291)</f>
        <v/>
      </c>
      <c r="F2593" s="20" t="str">
        <f>""</f>
        <v/>
      </c>
      <c r="G2593" t="str">
        <f>IF($C2593="","","Por el deposito de la detraccion en el Banco de la Nacion")</f>
        <v/>
      </c>
      <c r="H2593" t="str">
        <f>IF($C2593="","",Registro_Compras!$C$291)</f>
        <v/>
      </c>
    </row>
    <row r="2594" spans="1:8" x14ac:dyDescent="0.25">
      <c r="A2594" s="25" t="str">
        <f>IF($C2594="","",Registro_Compras!$X$291)</f>
        <v/>
      </c>
      <c r="B2594" t="str">
        <f>IF($C2594="","","C"&amp;TEXT(INT((ROW()-5)/9)+1,"000")&amp;"-3")</f>
        <v/>
      </c>
      <c r="C2594" t="str">
        <f>IF(OR(Registro_Compras!$C$291="",Registro_Compras!$O$291="",Registro_Compras!$R$291&lt;&gt;"SI",Registro_Compras!$X$291=""),"","1041")</f>
        <v/>
      </c>
      <c r="D2594" t="str">
        <f>IF(OR(Registro_Compras!$C$291="",Registro_Compras!$O$291=""),"","Efectivo y Equivalentes - Cta. Cte. Operativa")</f>
        <v/>
      </c>
      <c r="E2594" s="20" t="str">
        <f>""</f>
        <v/>
      </c>
      <c r="F2594" s="20" t="str">
        <f>IF($C2594="","",Registro_Compras!$S$291)</f>
        <v/>
      </c>
      <c r="G2594" t="str">
        <f>IF($C2594="","","Por el deposito de la detraccion en el Banco de la Nacion")</f>
        <v/>
      </c>
      <c r="H2594" t="str">
        <f>IF($C2594="","",Registro_Compras!$C$291)</f>
        <v/>
      </c>
    </row>
    <row r="2595" spans="1:8" x14ac:dyDescent="0.25">
      <c r="A2595" s="25" t="str">
        <f>IF($C2595="","",Registro_Compras!$Y$291)</f>
        <v/>
      </c>
      <c r="B2595" t="str">
        <f>IF($C2595="","","C"&amp;TEXT(INT((ROW()-5)/9)+1,"000")&amp;"-4")</f>
        <v/>
      </c>
      <c r="C2595" t="str">
        <f>IF(OR(Registro_Compras!$C$291="",Registro_Compras!$O$291="",Registro_Compras!$Y$291="",Registro_Compras!$F$291="NOTA DE CREDITO"),"","4212")</f>
        <v/>
      </c>
      <c r="D2595" t="str">
        <f>IF(OR(Registro_Compras!$C$291="",Registro_Compras!$O$291=""),"","Cuentas por Pagar Comerciales - Terceros")</f>
        <v/>
      </c>
      <c r="E2595" s="20" t="str">
        <f>IF($C2595="","",IF(Registro_Compras!$F$291="RHE",(ROUND(Registro_Compras!$L$291*Registro_Compras!$N$291,2)-ROUND(Registro_Compras!$V$291*Registro_Compras!$N$291,2)),ROUND(Registro_Compras!$O$291-Registro_Compras!$S$291,2)))</f>
        <v/>
      </c>
      <c r="F2595" s="20" t="str">
        <f>""</f>
        <v/>
      </c>
      <c r="G2595" t="str">
        <f>IF($C2595="","","Por la cancelacion del saldo al proveedor")</f>
        <v/>
      </c>
      <c r="H2595" t="str">
        <f>IF($C2595="","",Registro_Compras!$C$291)</f>
        <v/>
      </c>
    </row>
    <row r="2596" spans="1:8" x14ac:dyDescent="0.25">
      <c r="A2596" s="25" t="str">
        <f>IF($C2596="","",Registro_Compras!$Y$291)</f>
        <v/>
      </c>
      <c r="B2596" t="str">
        <f>IF($C2596="","","C"&amp;TEXT(INT((ROW()-5)/9)+1,"000")&amp;"-4")</f>
        <v/>
      </c>
      <c r="C2596" t="str">
        <f>IF(OR(Registro_Compras!$C$291="",Registro_Compras!$O$291="",Registro_Compras!$Y$291="",Registro_Compras!$F$291="NOTA DE CREDITO"),"","1041")</f>
        <v/>
      </c>
      <c r="D2596" t="str">
        <f>IF(OR(Registro_Compras!$C$291="",Registro_Compras!$O$291=""),"","Efectivo y Equivalentes - Cta. Cte. Operativa")</f>
        <v/>
      </c>
      <c r="E2596" s="20" t="str">
        <f>""</f>
        <v/>
      </c>
      <c r="F2596" s="20" t="str">
        <f>IF($C2596="","",IF(Registro_Compras!$F$291="RHE",(ROUND(Registro_Compras!$L$291*Registro_Compras!$N$291,2)-ROUND(Registro_Compras!$V$291*Registro_Compras!$N$291,2)),ROUND(Registro_Compras!$O$291-Registro_Compras!$S$291,2)))</f>
        <v/>
      </c>
      <c r="G2596" t="str">
        <f>IF($C2596="","","Por la cancelacion del saldo al proveedor")</f>
        <v/>
      </c>
      <c r="H2596" t="str">
        <f>IF($C2596="","",Registro_Compras!$C$291)</f>
        <v/>
      </c>
    </row>
    <row r="2597" spans="1:8" x14ac:dyDescent="0.25">
      <c r="A2597" s="25" t="str">
        <f>IF($C2597="","",Registro_Compras!$B$292)</f>
        <v/>
      </c>
      <c r="B2597" t="str">
        <f>IF($C2597="","","C"&amp;TEXT(INT((ROW()-5)/9)+1,"000")&amp;"-1")</f>
        <v/>
      </c>
      <c r="C2597" t="str">
        <f>IF(OR(Registro_Compras!$C$292="",Registro_Compras!$O$292=""),"",IF(Registro_Compras!$F$292="NOTA DE CREDITO","4212",IF(Registro_Compras!$M$292="","63",Registro_Compras!$M$292)))</f>
        <v/>
      </c>
      <c r="D2597" t="str">
        <f>IF(OR(Registro_Compras!$C$292="",Registro_Compras!$O$292=""),"",IF(Registro_Compras!$F$292="NOTA DE CREDITO","Cuentas por Pagar Comerciales - Terceros (Emitidas)",IF(Registro_Compras!$F$292="RHE","Honorarios Profesionales - Servicios de Terceros","Gastos de Servicios Prestados por Terceros")))</f>
        <v/>
      </c>
      <c r="E2597" s="20" t="str">
        <f>IF($C2597="","",IF(Registro_Compras!$F$292="NOTA DE CREDITO",ABS(Registro_Compras!$O$292),IF(Registro_Compras!$F$292="RHE",ROUND(Registro_Compras!$L$292*Registro_Compras!$N$292,2),ROUND(Registro_Compras!$J$292*Registro_Compras!$N$292,2))))</f>
        <v/>
      </c>
      <c r="F2597" s="20" t="str">
        <f>""</f>
        <v/>
      </c>
      <c r="G2597" t="str">
        <f>IF($C2597="","",IF(Registro_Compras!$F$292="NOTA DE CREDITO","Por la nota de credito "&amp;Registro_Compras!$C$292&amp;" de "&amp;Registro_Compras!$E$292&amp;" [PATRON POR CONFIRMAR CON CONTADOR]",IF(Registro_Compras!$F$292="RHE","Por el registro del recibo por honorarios "&amp;Registro_Compras!$C$292&amp;" de "&amp;Registro_Compras!$E$292&amp;" [PATRON POR CONFIRMAR CON CONTADOR]","Por el registro de la factura "&amp;Registro_Compras!$C$292&amp;" de "&amp;Registro_Compras!$E$292)))</f>
        <v/>
      </c>
      <c r="H2597" t="str">
        <f>IF($C2597="","",Registro_Compras!$C$292)</f>
        <v/>
      </c>
    </row>
    <row r="2598" spans="1:8" x14ac:dyDescent="0.25">
      <c r="A2598" s="25" t="str">
        <f>IF($C2598="","",Registro_Compras!$B$292)</f>
        <v/>
      </c>
      <c r="B2598" t="str">
        <f>IF($C2598="","","C"&amp;TEXT(INT((ROW()-5)/9)+1,"000")&amp;"-1")</f>
        <v/>
      </c>
      <c r="C2598" t="str">
        <f>IF(OR(Registro_Compras!$C$292="",Registro_Compras!$O$292=""),"",IF(Registro_Compras!$F$292="RHE",IF(Registro_Compras!$V$292=0,"","4017"),IF(Registro_Compras!$F$292="NOTA DE CREDITO",IF(Registro_Compras!$M$292="","63",Registro_Compras!$M$292),IF(Registro_Compras!$K$292=0,"","40111"))))</f>
        <v/>
      </c>
      <c r="D2598" t="str">
        <f>IF(OR(Registro_Compras!$C$292="",Registro_Compras!$O$292=""),"",IF(Registro_Compras!$F$292="RHE","Retencion Renta 4ta Categoria por Pagar",IF(Registro_Compras!$F$292="NOTA DE CREDITO","Gastos de Servicios Prestados por Terceros","IGV - Cuenta Propia (Credito Fiscal)")))</f>
        <v/>
      </c>
      <c r="E2598" s="20" t="str">
        <f>IF($C2598="","",IF(Registro_Compras!$F$292="FACTURA",ROUND(Registro_Compras!$K$292*Registro_Compras!$N$292,2),""))</f>
        <v/>
      </c>
      <c r="F2598" s="20" t="str">
        <f>IF($C2598="","",IF(Registro_Compras!$F$292="RHE",ROUND(Registro_Compras!$V$292*Registro_Compras!$N$292,2),IF(Registro_Compras!$F$292="NOTA DE CREDITO",ROUND(ABS(Registro_Compras!$J$292*Registro_Compras!$N$292),2),"")))</f>
        <v/>
      </c>
      <c r="G2598" t="str">
        <f>IF($C2598="","",IF(Registro_Compras!$F$292="NOTA DE CREDITO","Por la nota de credito "&amp;Registro_Compras!$C$292&amp;" de "&amp;Registro_Compras!$E$292&amp;" [PATRON POR CONFIRMAR CON CONTADOR]",IF(Registro_Compras!$F$292="RHE","Por el registro del recibo por honorarios "&amp;Registro_Compras!$C$292&amp;" de "&amp;Registro_Compras!$E$292&amp;" [PATRON POR CONFIRMAR CON CONTADOR]","Por el registro de la factura "&amp;Registro_Compras!$C$292&amp;" de "&amp;Registro_Compras!$E$292)))</f>
        <v/>
      </c>
      <c r="H2598" t="str">
        <f>IF($C2598="","",Registro_Compras!$C$292)</f>
        <v/>
      </c>
    </row>
    <row r="2599" spans="1:8" x14ac:dyDescent="0.25">
      <c r="A2599" s="25" t="str">
        <f>IF($C2599="","",Registro_Compras!$B$292)</f>
        <v/>
      </c>
      <c r="B2599" t="str">
        <f>IF($C2599="","","C"&amp;TEXT(INT((ROW()-5)/9)+1,"000")&amp;"-1")</f>
        <v/>
      </c>
      <c r="C2599" t="str">
        <f>IF(OR(Registro_Compras!$C$292="",Registro_Compras!$O$292=""),"",IF(Registro_Compras!$F$292="NOTA DE CREDITO",IF(Registro_Compras!$K$292=0,"","40111"),"4212"))</f>
        <v/>
      </c>
      <c r="D2599" t="str">
        <f>IF(OR(Registro_Compras!$C$292="",Registro_Compras!$O$292=""),"",IF(Registro_Compras!$F$292="NOTA DE CREDITO","IGV - Cuenta Propia (Credito Fiscal)","Cuentas por Pagar Comerciales - Terceros (Emitidas)"))</f>
        <v/>
      </c>
      <c r="E2599" s="20" t="str">
        <f>""</f>
        <v/>
      </c>
      <c r="F2599" s="20" t="str">
        <f>IF($C2599="","",IF(Registro_Compras!$F$292="NOTA DE CREDITO",ROUND(ABS(Registro_Compras!$K$292*Registro_Compras!$N$292),2),IF(Registro_Compras!$F$292="RHE",(ROUND(Registro_Compras!$L$292*Registro_Compras!$N$292,2)-ROUND(Registro_Compras!$V$292*Registro_Compras!$N$292,2)),Registro_Compras!$O$292)))</f>
        <v/>
      </c>
      <c r="G2599" t="str">
        <f>IF($C2599="","",IF(Registro_Compras!$F$292="NOTA DE CREDITO","Por la nota de credito "&amp;Registro_Compras!$C$292&amp;" de "&amp;Registro_Compras!$E$292&amp;" [PATRON POR CONFIRMAR CON CONTADOR]",IF(Registro_Compras!$F$292="RHE","Por el registro del recibo por honorarios "&amp;Registro_Compras!$C$292&amp;" de "&amp;Registro_Compras!$E$292&amp;" [PATRON POR CONFIRMAR CON CONTADOR]","Por el registro de la factura "&amp;Registro_Compras!$C$292&amp;" de "&amp;Registro_Compras!$E$292)))</f>
        <v/>
      </c>
      <c r="H2599" t="str">
        <f>IF($C2599="","",Registro_Compras!$C$292)</f>
        <v/>
      </c>
    </row>
    <row r="2600" spans="1:8" x14ac:dyDescent="0.25">
      <c r="A2600" s="25" t="str">
        <f>IF($C2600="","",Registro_Compras!$B$292)</f>
        <v/>
      </c>
      <c r="B2600" t="str">
        <f>IF($C2600="","","C"&amp;TEXT(INT((ROW()-5)/9)+1,"000")&amp;"-2")</f>
        <v/>
      </c>
      <c r="C2600" t="str">
        <f>IF(OR(Registro_Compras!$C$292="",Registro_Compras!$O$292=""),"",IF(Registro_Compras!$AB$292="ADMINISTRATIVO","94","95"))</f>
        <v/>
      </c>
      <c r="D2600" t="str">
        <f>IF(OR(Registro_Compras!$C$292="",Registro_Compras!$O$292=""),"",IF(Registro_Compras!$AB$292="ADMINISTRATIVO","Gastos Administrativos","Gastos de Venta y Operacion"))</f>
        <v/>
      </c>
      <c r="E2600" s="20" t="str">
        <f>IF($C2600="","",IF(Registro_Compras!$F$292="NOTA DE CREDITO","",IF(Registro_Compras!$F$292="RHE",ROUND(Registro_Compras!$L$292*Registro_Compras!$N$292,2),ROUND(Registro_Compras!$J$292*Registro_Compras!$N$292,2))))</f>
        <v/>
      </c>
      <c r="F2600" s="20" t="str">
        <f>IF($C2600="","",IF(Registro_Compras!$F$292="NOTA DE CREDITO",ROUND(ABS(Registro_Compras!$J$292*Registro_Compras!$N$292),2),""))</f>
        <v/>
      </c>
      <c r="G2600" t="str">
        <f>IF($C2600="","","Por el destino del gasto")</f>
        <v/>
      </c>
      <c r="H2600" t="str">
        <f>IF($C2600="","",Registro_Compras!$C$292)</f>
        <v/>
      </c>
    </row>
    <row r="2601" spans="1:8" x14ac:dyDescent="0.25">
      <c r="A2601" s="25" t="str">
        <f>IF($C2601="","",Registro_Compras!$B$292)</f>
        <v/>
      </c>
      <c r="B2601" t="str">
        <f>IF($C2601="","","C"&amp;TEXT(INT((ROW()-5)/9)+1,"000")&amp;"-2")</f>
        <v/>
      </c>
      <c r="C2601" t="str">
        <f>IF(OR(Registro_Compras!$C$292="",Registro_Compras!$O$292=""),"","79/791")</f>
        <v/>
      </c>
      <c r="D2601" t="str">
        <f>IF(OR(Registro_Compras!$C$292="",Registro_Compras!$O$292=""),"","Cargas Imputables a Cuentas de Costos y Gastos")</f>
        <v/>
      </c>
      <c r="E2601" s="20" t="str">
        <f>IF($C2601="","",IF(Registro_Compras!$F$292="NOTA DE CREDITO",ROUND(ABS(Registro_Compras!$J$292*Registro_Compras!$N$292),2),""))</f>
        <v/>
      </c>
      <c r="F2601" s="20" t="str">
        <f>IF($C2601="","",IF(Registro_Compras!$F$292="NOTA DE CREDITO","",IF(Registro_Compras!$F$292="RHE",ROUND(Registro_Compras!$L$292*Registro_Compras!$N$292,2),ROUND(Registro_Compras!$J$292*Registro_Compras!$N$292,2))))</f>
        <v/>
      </c>
      <c r="G2601" t="str">
        <f>IF($C2601="","","Por el destino del gasto")</f>
        <v/>
      </c>
      <c r="H2601" t="str">
        <f>IF($C2601="","",Registro_Compras!$C$292)</f>
        <v/>
      </c>
    </row>
    <row r="2602" spans="1:8" x14ac:dyDescent="0.25">
      <c r="A2602" s="25" t="str">
        <f>IF($C2602="","",Registro_Compras!$X$292)</f>
        <v/>
      </c>
      <c r="B2602" t="str">
        <f>IF($C2602="","","C"&amp;TEXT(INT((ROW()-5)/9)+1,"000")&amp;"-3")</f>
        <v/>
      </c>
      <c r="C2602" t="str">
        <f>IF(OR(Registro_Compras!$C$292="",Registro_Compras!$O$292="",Registro_Compras!$R$292&lt;&gt;"SI",Registro_Compras!$X$292=""),"","4212")</f>
        <v/>
      </c>
      <c r="D2602" t="str">
        <f>IF(OR(Registro_Compras!$C$292="",Registro_Compras!$O$292=""),"","Cuentas por Pagar Comerciales - Terceros")</f>
        <v/>
      </c>
      <c r="E2602" s="20" t="str">
        <f>IF($C2602="","",Registro_Compras!$S$292)</f>
        <v/>
      </c>
      <c r="F2602" s="20" t="str">
        <f>""</f>
        <v/>
      </c>
      <c r="G2602" t="str">
        <f>IF($C2602="","","Por el deposito de la detraccion en el Banco de la Nacion")</f>
        <v/>
      </c>
      <c r="H2602" t="str">
        <f>IF($C2602="","",Registro_Compras!$C$292)</f>
        <v/>
      </c>
    </row>
    <row r="2603" spans="1:8" x14ac:dyDescent="0.25">
      <c r="A2603" s="25" t="str">
        <f>IF($C2603="","",Registro_Compras!$X$292)</f>
        <v/>
      </c>
      <c r="B2603" t="str">
        <f>IF($C2603="","","C"&amp;TEXT(INT((ROW()-5)/9)+1,"000")&amp;"-3")</f>
        <v/>
      </c>
      <c r="C2603" t="str">
        <f>IF(OR(Registro_Compras!$C$292="",Registro_Compras!$O$292="",Registro_Compras!$R$292&lt;&gt;"SI",Registro_Compras!$X$292=""),"","1041")</f>
        <v/>
      </c>
      <c r="D2603" t="str">
        <f>IF(OR(Registro_Compras!$C$292="",Registro_Compras!$O$292=""),"","Efectivo y Equivalentes - Cta. Cte. Operativa")</f>
        <v/>
      </c>
      <c r="E2603" s="20" t="str">
        <f>""</f>
        <v/>
      </c>
      <c r="F2603" s="20" t="str">
        <f>IF($C2603="","",Registro_Compras!$S$292)</f>
        <v/>
      </c>
      <c r="G2603" t="str">
        <f>IF($C2603="","","Por el deposito de la detraccion en el Banco de la Nacion")</f>
        <v/>
      </c>
      <c r="H2603" t="str">
        <f>IF($C2603="","",Registro_Compras!$C$292)</f>
        <v/>
      </c>
    </row>
    <row r="2604" spans="1:8" x14ac:dyDescent="0.25">
      <c r="A2604" s="25" t="str">
        <f>IF($C2604="","",Registro_Compras!$Y$292)</f>
        <v/>
      </c>
      <c r="B2604" t="str">
        <f>IF($C2604="","","C"&amp;TEXT(INT((ROW()-5)/9)+1,"000")&amp;"-4")</f>
        <v/>
      </c>
      <c r="C2604" t="str">
        <f>IF(OR(Registro_Compras!$C$292="",Registro_Compras!$O$292="",Registro_Compras!$Y$292="",Registro_Compras!$F$292="NOTA DE CREDITO"),"","4212")</f>
        <v/>
      </c>
      <c r="D2604" t="str">
        <f>IF(OR(Registro_Compras!$C$292="",Registro_Compras!$O$292=""),"","Cuentas por Pagar Comerciales - Terceros")</f>
        <v/>
      </c>
      <c r="E2604" s="20" t="str">
        <f>IF($C2604="","",IF(Registro_Compras!$F$292="RHE",(ROUND(Registro_Compras!$L$292*Registro_Compras!$N$292,2)-ROUND(Registro_Compras!$V$292*Registro_Compras!$N$292,2)),ROUND(Registro_Compras!$O$292-Registro_Compras!$S$292,2)))</f>
        <v/>
      </c>
      <c r="F2604" s="20" t="str">
        <f>""</f>
        <v/>
      </c>
      <c r="G2604" t="str">
        <f>IF($C2604="","","Por la cancelacion del saldo al proveedor")</f>
        <v/>
      </c>
      <c r="H2604" t="str">
        <f>IF($C2604="","",Registro_Compras!$C$292)</f>
        <v/>
      </c>
    </row>
    <row r="2605" spans="1:8" x14ac:dyDescent="0.25">
      <c r="A2605" s="25" t="str">
        <f>IF($C2605="","",Registro_Compras!$Y$292)</f>
        <v/>
      </c>
      <c r="B2605" t="str">
        <f>IF($C2605="","","C"&amp;TEXT(INT((ROW()-5)/9)+1,"000")&amp;"-4")</f>
        <v/>
      </c>
      <c r="C2605" t="str">
        <f>IF(OR(Registro_Compras!$C$292="",Registro_Compras!$O$292="",Registro_Compras!$Y$292="",Registro_Compras!$F$292="NOTA DE CREDITO"),"","1041")</f>
        <v/>
      </c>
      <c r="D2605" t="str">
        <f>IF(OR(Registro_Compras!$C$292="",Registro_Compras!$O$292=""),"","Efectivo y Equivalentes - Cta. Cte. Operativa")</f>
        <v/>
      </c>
      <c r="E2605" s="20" t="str">
        <f>""</f>
        <v/>
      </c>
      <c r="F2605" s="20" t="str">
        <f>IF($C2605="","",IF(Registro_Compras!$F$292="RHE",(ROUND(Registro_Compras!$L$292*Registro_Compras!$N$292,2)-ROUND(Registro_Compras!$V$292*Registro_Compras!$N$292,2)),ROUND(Registro_Compras!$O$292-Registro_Compras!$S$292,2)))</f>
        <v/>
      </c>
      <c r="G2605" t="str">
        <f>IF($C2605="","","Por la cancelacion del saldo al proveedor")</f>
        <v/>
      </c>
      <c r="H2605" t="str">
        <f>IF($C2605="","",Registro_Compras!$C$292)</f>
        <v/>
      </c>
    </row>
    <row r="2606" spans="1:8" x14ac:dyDescent="0.25">
      <c r="A2606" s="25" t="str">
        <f>IF($C2606="","",Registro_Compras!$B$293)</f>
        <v/>
      </c>
      <c r="B2606" t="str">
        <f>IF($C2606="","","C"&amp;TEXT(INT((ROW()-5)/9)+1,"000")&amp;"-1")</f>
        <v/>
      </c>
      <c r="C2606" t="str">
        <f>IF(OR(Registro_Compras!$C$293="",Registro_Compras!$O$293=""),"",IF(Registro_Compras!$F$293="NOTA DE CREDITO","4212",IF(Registro_Compras!$M$293="","63",Registro_Compras!$M$293)))</f>
        <v/>
      </c>
      <c r="D2606" t="str">
        <f>IF(OR(Registro_Compras!$C$293="",Registro_Compras!$O$293=""),"",IF(Registro_Compras!$F$293="NOTA DE CREDITO","Cuentas por Pagar Comerciales - Terceros (Emitidas)",IF(Registro_Compras!$F$293="RHE","Honorarios Profesionales - Servicios de Terceros","Gastos de Servicios Prestados por Terceros")))</f>
        <v/>
      </c>
      <c r="E2606" s="20" t="str">
        <f>IF($C2606="","",IF(Registro_Compras!$F$293="NOTA DE CREDITO",ABS(Registro_Compras!$O$293),IF(Registro_Compras!$F$293="RHE",ROUND(Registro_Compras!$L$293*Registro_Compras!$N$293,2),ROUND(Registro_Compras!$J$293*Registro_Compras!$N$293,2))))</f>
        <v/>
      </c>
      <c r="F2606" s="20" t="str">
        <f>""</f>
        <v/>
      </c>
      <c r="G2606" t="str">
        <f>IF($C2606="","",IF(Registro_Compras!$F$293="NOTA DE CREDITO","Por la nota de credito "&amp;Registro_Compras!$C$293&amp;" de "&amp;Registro_Compras!$E$293&amp;" [PATRON POR CONFIRMAR CON CONTADOR]",IF(Registro_Compras!$F$293="RHE","Por el registro del recibo por honorarios "&amp;Registro_Compras!$C$293&amp;" de "&amp;Registro_Compras!$E$293&amp;" [PATRON POR CONFIRMAR CON CONTADOR]","Por el registro de la factura "&amp;Registro_Compras!$C$293&amp;" de "&amp;Registro_Compras!$E$293)))</f>
        <v/>
      </c>
      <c r="H2606" t="str">
        <f>IF($C2606="","",Registro_Compras!$C$293)</f>
        <v/>
      </c>
    </row>
    <row r="2607" spans="1:8" x14ac:dyDescent="0.25">
      <c r="A2607" s="25" t="str">
        <f>IF($C2607="","",Registro_Compras!$B$293)</f>
        <v/>
      </c>
      <c r="B2607" t="str">
        <f>IF($C2607="","","C"&amp;TEXT(INT((ROW()-5)/9)+1,"000")&amp;"-1")</f>
        <v/>
      </c>
      <c r="C2607" t="str">
        <f>IF(OR(Registro_Compras!$C$293="",Registro_Compras!$O$293=""),"",IF(Registro_Compras!$F$293="RHE",IF(Registro_Compras!$V$293=0,"","4017"),IF(Registro_Compras!$F$293="NOTA DE CREDITO",IF(Registro_Compras!$M$293="","63",Registro_Compras!$M$293),IF(Registro_Compras!$K$293=0,"","40111"))))</f>
        <v/>
      </c>
      <c r="D2607" t="str">
        <f>IF(OR(Registro_Compras!$C$293="",Registro_Compras!$O$293=""),"",IF(Registro_Compras!$F$293="RHE","Retencion Renta 4ta Categoria por Pagar",IF(Registro_Compras!$F$293="NOTA DE CREDITO","Gastos de Servicios Prestados por Terceros","IGV - Cuenta Propia (Credito Fiscal)")))</f>
        <v/>
      </c>
      <c r="E2607" s="20" t="str">
        <f>IF($C2607="","",IF(Registro_Compras!$F$293="FACTURA",ROUND(Registro_Compras!$K$293*Registro_Compras!$N$293,2),""))</f>
        <v/>
      </c>
      <c r="F2607" s="20" t="str">
        <f>IF($C2607="","",IF(Registro_Compras!$F$293="RHE",ROUND(Registro_Compras!$V$293*Registro_Compras!$N$293,2),IF(Registro_Compras!$F$293="NOTA DE CREDITO",ROUND(ABS(Registro_Compras!$J$293*Registro_Compras!$N$293),2),"")))</f>
        <v/>
      </c>
      <c r="G2607" t="str">
        <f>IF($C2607="","",IF(Registro_Compras!$F$293="NOTA DE CREDITO","Por la nota de credito "&amp;Registro_Compras!$C$293&amp;" de "&amp;Registro_Compras!$E$293&amp;" [PATRON POR CONFIRMAR CON CONTADOR]",IF(Registro_Compras!$F$293="RHE","Por el registro del recibo por honorarios "&amp;Registro_Compras!$C$293&amp;" de "&amp;Registro_Compras!$E$293&amp;" [PATRON POR CONFIRMAR CON CONTADOR]","Por el registro de la factura "&amp;Registro_Compras!$C$293&amp;" de "&amp;Registro_Compras!$E$293)))</f>
        <v/>
      </c>
      <c r="H2607" t="str">
        <f>IF($C2607="","",Registro_Compras!$C$293)</f>
        <v/>
      </c>
    </row>
    <row r="2608" spans="1:8" x14ac:dyDescent="0.25">
      <c r="A2608" s="25" t="str">
        <f>IF($C2608="","",Registro_Compras!$B$293)</f>
        <v/>
      </c>
      <c r="B2608" t="str">
        <f>IF($C2608="","","C"&amp;TEXT(INT((ROW()-5)/9)+1,"000")&amp;"-1")</f>
        <v/>
      </c>
      <c r="C2608" t="str">
        <f>IF(OR(Registro_Compras!$C$293="",Registro_Compras!$O$293=""),"",IF(Registro_Compras!$F$293="NOTA DE CREDITO",IF(Registro_Compras!$K$293=0,"","40111"),"4212"))</f>
        <v/>
      </c>
      <c r="D2608" t="str">
        <f>IF(OR(Registro_Compras!$C$293="",Registro_Compras!$O$293=""),"",IF(Registro_Compras!$F$293="NOTA DE CREDITO","IGV - Cuenta Propia (Credito Fiscal)","Cuentas por Pagar Comerciales - Terceros (Emitidas)"))</f>
        <v/>
      </c>
      <c r="E2608" s="20" t="str">
        <f>""</f>
        <v/>
      </c>
      <c r="F2608" s="20" t="str">
        <f>IF($C2608="","",IF(Registro_Compras!$F$293="NOTA DE CREDITO",ROUND(ABS(Registro_Compras!$K$293*Registro_Compras!$N$293),2),IF(Registro_Compras!$F$293="RHE",(ROUND(Registro_Compras!$L$293*Registro_Compras!$N$293,2)-ROUND(Registro_Compras!$V$293*Registro_Compras!$N$293,2)),Registro_Compras!$O$293)))</f>
        <v/>
      </c>
      <c r="G2608" t="str">
        <f>IF($C2608="","",IF(Registro_Compras!$F$293="NOTA DE CREDITO","Por la nota de credito "&amp;Registro_Compras!$C$293&amp;" de "&amp;Registro_Compras!$E$293&amp;" [PATRON POR CONFIRMAR CON CONTADOR]",IF(Registro_Compras!$F$293="RHE","Por el registro del recibo por honorarios "&amp;Registro_Compras!$C$293&amp;" de "&amp;Registro_Compras!$E$293&amp;" [PATRON POR CONFIRMAR CON CONTADOR]","Por el registro de la factura "&amp;Registro_Compras!$C$293&amp;" de "&amp;Registro_Compras!$E$293)))</f>
        <v/>
      </c>
      <c r="H2608" t="str">
        <f>IF($C2608="","",Registro_Compras!$C$293)</f>
        <v/>
      </c>
    </row>
    <row r="2609" spans="1:8" x14ac:dyDescent="0.25">
      <c r="A2609" s="25" t="str">
        <f>IF($C2609="","",Registro_Compras!$B$293)</f>
        <v/>
      </c>
      <c r="B2609" t="str">
        <f>IF($C2609="","","C"&amp;TEXT(INT((ROW()-5)/9)+1,"000")&amp;"-2")</f>
        <v/>
      </c>
      <c r="C2609" t="str">
        <f>IF(OR(Registro_Compras!$C$293="",Registro_Compras!$O$293=""),"",IF(Registro_Compras!$AB$293="ADMINISTRATIVO","94","95"))</f>
        <v/>
      </c>
      <c r="D2609" t="str">
        <f>IF(OR(Registro_Compras!$C$293="",Registro_Compras!$O$293=""),"",IF(Registro_Compras!$AB$293="ADMINISTRATIVO","Gastos Administrativos","Gastos de Venta y Operacion"))</f>
        <v/>
      </c>
      <c r="E2609" s="20" t="str">
        <f>IF($C2609="","",IF(Registro_Compras!$F$293="NOTA DE CREDITO","",IF(Registro_Compras!$F$293="RHE",ROUND(Registro_Compras!$L$293*Registro_Compras!$N$293,2),ROUND(Registro_Compras!$J$293*Registro_Compras!$N$293,2))))</f>
        <v/>
      </c>
      <c r="F2609" s="20" t="str">
        <f>IF($C2609="","",IF(Registro_Compras!$F$293="NOTA DE CREDITO",ROUND(ABS(Registro_Compras!$J$293*Registro_Compras!$N$293),2),""))</f>
        <v/>
      </c>
      <c r="G2609" t="str">
        <f>IF($C2609="","","Por el destino del gasto")</f>
        <v/>
      </c>
      <c r="H2609" t="str">
        <f>IF($C2609="","",Registro_Compras!$C$293)</f>
        <v/>
      </c>
    </row>
    <row r="2610" spans="1:8" x14ac:dyDescent="0.25">
      <c r="A2610" s="25" t="str">
        <f>IF($C2610="","",Registro_Compras!$B$293)</f>
        <v/>
      </c>
      <c r="B2610" t="str">
        <f>IF($C2610="","","C"&amp;TEXT(INT((ROW()-5)/9)+1,"000")&amp;"-2")</f>
        <v/>
      </c>
      <c r="C2610" t="str">
        <f>IF(OR(Registro_Compras!$C$293="",Registro_Compras!$O$293=""),"","79/791")</f>
        <v/>
      </c>
      <c r="D2610" t="str">
        <f>IF(OR(Registro_Compras!$C$293="",Registro_Compras!$O$293=""),"","Cargas Imputables a Cuentas de Costos y Gastos")</f>
        <v/>
      </c>
      <c r="E2610" s="20" t="str">
        <f>IF($C2610="","",IF(Registro_Compras!$F$293="NOTA DE CREDITO",ROUND(ABS(Registro_Compras!$J$293*Registro_Compras!$N$293),2),""))</f>
        <v/>
      </c>
      <c r="F2610" s="20" t="str">
        <f>IF($C2610="","",IF(Registro_Compras!$F$293="NOTA DE CREDITO","",IF(Registro_Compras!$F$293="RHE",ROUND(Registro_Compras!$L$293*Registro_Compras!$N$293,2),ROUND(Registro_Compras!$J$293*Registro_Compras!$N$293,2))))</f>
        <v/>
      </c>
      <c r="G2610" t="str">
        <f>IF($C2610="","","Por el destino del gasto")</f>
        <v/>
      </c>
      <c r="H2610" t="str">
        <f>IF($C2610="","",Registro_Compras!$C$293)</f>
        <v/>
      </c>
    </row>
    <row r="2611" spans="1:8" x14ac:dyDescent="0.25">
      <c r="A2611" s="25" t="str">
        <f>IF($C2611="","",Registro_Compras!$X$293)</f>
        <v/>
      </c>
      <c r="B2611" t="str">
        <f>IF($C2611="","","C"&amp;TEXT(INT((ROW()-5)/9)+1,"000")&amp;"-3")</f>
        <v/>
      </c>
      <c r="C2611" t="str">
        <f>IF(OR(Registro_Compras!$C$293="",Registro_Compras!$O$293="",Registro_Compras!$R$293&lt;&gt;"SI",Registro_Compras!$X$293=""),"","4212")</f>
        <v/>
      </c>
      <c r="D2611" t="str">
        <f>IF(OR(Registro_Compras!$C$293="",Registro_Compras!$O$293=""),"","Cuentas por Pagar Comerciales - Terceros")</f>
        <v/>
      </c>
      <c r="E2611" s="20" t="str">
        <f>IF($C2611="","",Registro_Compras!$S$293)</f>
        <v/>
      </c>
      <c r="F2611" s="20" t="str">
        <f>""</f>
        <v/>
      </c>
      <c r="G2611" t="str">
        <f>IF($C2611="","","Por el deposito de la detraccion en el Banco de la Nacion")</f>
        <v/>
      </c>
      <c r="H2611" t="str">
        <f>IF($C2611="","",Registro_Compras!$C$293)</f>
        <v/>
      </c>
    </row>
    <row r="2612" spans="1:8" x14ac:dyDescent="0.25">
      <c r="A2612" s="25" t="str">
        <f>IF($C2612="","",Registro_Compras!$X$293)</f>
        <v/>
      </c>
      <c r="B2612" t="str">
        <f>IF($C2612="","","C"&amp;TEXT(INT((ROW()-5)/9)+1,"000")&amp;"-3")</f>
        <v/>
      </c>
      <c r="C2612" t="str">
        <f>IF(OR(Registro_Compras!$C$293="",Registro_Compras!$O$293="",Registro_Compras!$R$293&lt;&gt;"SI",Registro_Compras!$X$293=""),"","1041")</f>
        <v/>
      </c>
      <c r="D2612" t="str">
        <f>IF(OR(Registro_Compras!$C$293="",Registro_Compras!$O$293=""),"","Efectivo y Equivalentes - Cta. Cte. Operativa")</f>
        <v/>
      </c>
      <c r="E2612" s="20" t="str">
        <f>""</f>
        <v/>
      </c>
      <c r="F2612" s="20" t="str">
        <f>IF($C2612="","",Registro_Compras!$S$293)</f>
        <v/>
      </c>
      <c r="G2612" t="str">
        <f>IF($C2612="","","Por el deposito de la detraccion en el Banco de la Nacion")</f>
        <v/>
      </c>
      <c r="H2612" t="str">
        <f>IF($C2612="","",Registro_Compras!$C$293)</f>
        <v/>
      </c>
    </row>
    <row r="2613" spans="1:8" x14ac:dyDescent="0.25">
      <c r="A2613" s="25" t="str">
        <f>IF($C2613="","",Registro_Compras!$Y$293)</f>
        <v/>
      </c>
      <c r="B2613" t="str">
        <f>IF($C2613="","","C"&amp;TEXT(INT((ROW()-5)/9)+1,"000")&amp;"-4")</f>
        <v/>
      </c>
      <c r="C2613" t="str">
        <f>IF(OR(Registro_Compras!$C$293="",Registro_Compras!$O$293="",Registro_Compras!$Y$293="",Registro_Compras!$F$293="NOTA DE CREDITO"),"","4212")</f>
        <v/>
      </c>
      <c r="D2613" t="str">
        <f>IF(OR(Registro_Compras!$C$293="",Registro_Compras!$O$293=""),"","Cuentas por Pagar Comerciales - Terceros")</f>
        <v/>
      </c>
      <c r="E2613" s="20" t="str">
        <f>IF($C2613="","",IF(Registro_Compras!$F$293="RHE",(ROUND(Registro_Compras!$L$293*Registro_Compras!$N$293,2)-ROUND(Registro_Compras!$V$293*Registro_Compras!$N$293,2)),ROUND(Registro_Compras!$O$293-Registro_Compras!$S$293,2)))</f>
        <v/>
      </c>
      <c r="F2613" s="20" t="str">
        <f>""</f>
        <v/>
      </c>
      <c r="G2613" t="str">
        <f>IF($C2613="","","Por la cancelacion del saldo al proveedor")</f>
        <v/>
      </c>
      <c r="H2613" t="str">
        <f>IF($C2613="","",Registro_Compras!$C$293)</f>
        <v/>
      </c>
    </row>
    <row r="2614" spans="1:8" x14ac:dyDescent="0.25">
      <c r="A2614" s="25" t="str">
        <f>IF($C2614="","",Registro_Compras!$Y$293)</f>
        <v/>
      </c>
      <c r="B2614" t="str">
        <f>IF($C2614="","","C"&amp;TEXT(INT((ROW()-5)/9)+1,"000")&amp;"-4")</f>
        <v/>
      </c>
      <c r="C2614" t="str">
        <f>IF(OR(Registro_Compras!$C$293="",Registro_Compras!$O$293="",Registro_Compras!$Y$293="",Registro_Compras!$F$293="NOTA DE CREDITO"),"","1041")</f>
        <v/>
      </c>
      <c r="D2614" t="str">
        <f>IF(OR(Registro_Compras!$C$293="",Registro_Compras!$O$293=""),"","Efectivo y Equivalentes - Cta. Cte. Operativa")</f>
        <v/>
      </c>
      <c r="E2614" s="20" t="str">
        <f>""</f>
        <v/>
      </c>
      <c r="F2614" s="20" t="str">
        <f>IF($C2614="","",IF(Registro_Compras!$F$293="RHE",(ROUND(Registro_Compras!$L$293*Registro_Compras!$N$293,2)-ROUND(Registro_Compras!$V$293*Registro_Compras!$N$293,2)),ROUND(Registro_Compras!$O$293-Registro_Compras!$S$293,2)))</f>
        <v/>
      </c>
      <c r="G2614" t="str">
        <f>IF($C2614="","","Por la cancelacion del saldo al proveedor")</f>
        <v/>
      </c>
      <c r="H2614" t="str">
        <f>IF($C2614="","",Registro_Compras!$C$293)</f>
        <v/>
      </c>
    </row>
    <row r="2615" spans="1:8" x14ac:dyDescent="0.25">
      <c r="A2615" s="25" t="str">
        <f>IF($C2615="","",Registro_Compras!$B$294)</f>
        <v/>
      </c>
      <c r="B2615" t="str">
        <f>IF($C2615="","","C"&amp;TEXT(INT((ROW()-5)/9)+1,"000")&amp;"-1")</f>
        <v/>
      </c>
      <c r="C2615" t="str">
        <f>IF(OR(Registro_Compras!$C$294="",Registro_Compras!$O$294=""),"",IF(Registro_Compras!$F$294="NOTA DE CREDITO","4212",IF(Registro_Compras!$M$294="","63",Registro_Compras!$M$294)))</f>
        <v/>
      </c>
      <c r="D2615" t="str">
        <f>IF(OR(Registro_Compras!$C$294="",Registro_Compras!$O$294=""),"",IF(Registro_Compras!$F$294="NOTA DE CREDITO","Cuentas por Pagar Comerciales - Terceros (Emitidas)",IF(Registro_Compras!$F$294="RHE","Honorarios Profesionales - Servicios de Terceros","Gastos de Servicios Prestados por Terceros")))</f>
        <v/>
      </c>
      <c r="E2615" s="20" t="str">
        <f>IF($C2615="","",IF(Registro_Compras!$F$294="NOTA DE CREDITO",ABS(Registro_Compras!$O$294),IF(Registro_Compras!$F$294="RHE",ROUND(Registro_Compras!$L$294*Registro_Compras!$N$294,2),ROUND(Registro_Compras!$J$294*Registro_Compras!$N$294,2))))</f>
        <v/>
      </c>
      <c r="F2615" s="20" t="str">
        <f>""</f>
        <v/>
      </c>
      <c r="G2615" t="str">
        <f>IF($C2615="","",IF(Registro_Compras!$F$294="NOTA DE CREDITO","Por la nota de credito "&amp;Registro_Compras!$C$294&amp;" de "&amp;Registro_Compras!$E$294&amp;" [PATRON POR CONFIRMAR CON CONTADOR]",IF(Registro_Compras!$F$294="RHE","Por el registro del recibo por honorarios "&amp;Registro_Compras!$C$294&amp;" de "&amp;Registro_Compras!$E$294&amp;" [PATRON POR CONFIRMAR CON CONTADOR]","Por el registro de la factura "&amp;Registro_Compras!$C$294&amp;" de "&amp;Registro_Compras!$E$294)))</f>
        <v/>
      </c>
      <c r="H2615" t="str">
        <f>IF($C2615="","",Registro_Compras!$C$294)</f>
        <v/>
      </c>
    </row>
    <row r="2616" spans="1:8" x14ac:dyDescent="0.25">
      <c r="A2616" s="25" t="str">
        <f>IF($C2616="","",Registro_Compras!$B$294)</f>
        <v/>
      </c>
      <c r="B2616" t="str">
        <f>IF($C2616="","","C"&amp;TEXT(INT((ROW()-5)/9)+1,"000")&amp;"-1")</f>
        <v/>
      </c>
      <c r="C2616" t="str">
        <f>IF(OR(Registro_Compras!$C$294="",Registro_Compras!$O$294=""),"",IF(Registro_Compras!$F$294="RHE",IF(Registro_Compras!$V$294=0,"","4017"),IF(Registro_Compras!$F$294="NOTA DE CREDITO",IF(Registro_Compras!$M$294="","63",Registro_Compras!$M$294),IF(Registro_Compras!$K$294=0,"","40111"))))</f>
        <v/>
      </c>
      <c r="D2616" t="str">
        <f>IF(OR(Registro_Compras!$C$294="",Registro_Compras!$O$294=""),"",IF(Registro_Compras!$F$294="RHE","Retencion Renta 4ta Categoria por Pagar",IF(Registro_Compras!$F$294="NOTA DE CREDITO","Gastos de Servicios Prestados por Terceros","IGV - Cuenta Propia (Credito Fiscal)")))</f>
        <v/>
      </c>
      <c r="E2616" s="20" t="str">
        <f>IF($C2616="","",IF(Registro_Compras!$F$294="FACTURA",ROUND(Registro_Compras!$K$294*Registro_Compras!$N$294,2),""))</f>
        <v/>
      </c>
      <c r="F2616" s="20" t="str">
        <f>IF($C2616="","",IF(Registro_Compras!$F$294="RHE",ROUND(Registro_Compras!$V$294*Registro_Compras!$N$294,2),IF(Registro_Compras!$F$294="NOTA DE CREDITO",ROUND(ABS(Registro_Compras!$J$294*Registro_Compras!$N$294),2),"")))</f>
        <v/>
      </c>
      <c r="G2616" t="str">
        <f>IF($C2616="","",IF(Registro_Compras!$F$294="NOTA DE CREDITO","Por la nota de credito "&amp;Registro_Compras!$C$294&amp;" de "&amp;Registro_Compras!$E$294&amp;" [PATRON POR CONFIRMAR CON CONTADOR]",IF(Registro_Compras!$F$294="RHE","Por el registro del recibo por honorarios "&amp;Registro_Compras!$C$294&amp;" de "&amp;Registro_Compras!$E$294&amp;" [PATRON POR CONFIRMAR CON CONTADOR]","Por el registro de la factura "&amp;Registro_Compras!$C$294&amp;" de "&amp;Registro_Compras!$E$294)))</f>
        <v/>
      </c>
      <c r="H2616" t="str">
        <f>IF($C2616="","",Registro_Compras!$C$294)</f>
        <v/>
      </c>
    </row>
    <row r="2617" spans="1:8" x14ac:dyDescent="0.25">
      <c r="A2617" s="25" t="str">
        <f>IF($C2617="","",Registro_Compras!$B$294)</f>
        <v/>
      </c>
      <c r="B2617" t="str">
        <f>IF($C2617="","","C"&amp;TEXT(INT((ROW()-5)/9)+1,"000")&amp;"-1")</f>
        <v/>
      </c>
      <c r="C2617" t="str">
        <f>IF(OR(Registro_Compras!$C$294="",Registro_Compras!$O$294=""),"",IF(Registro_Compras!$F$294="NOTA DE CREDITO",IF(Registro_Compras!$K$294=0,"","40111"),"4212"))</f>
        <v/>
      </c>
      <c r="D2617" t="str">
        <f>IF(OR(Registro_Compras!$C$294="",Registro_Compras!$O$294=""),"",IF(Registro_Compras!$F$294="NOTA DE CREDITO","IGV - Cuenta Propia (Credito Fiscal)","Cuentas por Pagar Comerciales - Terceros (Emitidas)"))</f>
        <v/>
      </c>
      <c r="E2617" s="20" t="str">
        <f>""</f>
        <v/>
      </c>
      <c r="F2617" s="20" t="str">
        <f>IF($C2617="","",IF(Registro_Compras!$F$294="NOTA DE CREDITO",ROUND(ABS(Registro_Compras!$K$294*Registro_Compras!$N$294),2),IF(Registro_Compras!$F$294="RHE",(ROUND(Registro_Compras!$L$294*Registro_Compras!$N$294,2)-ROUND(Registro_Compras!$V$294*Registro_Compras!$N$294,2)),Registro_Compras!$O$294)))</f>
        <v/>
      </c>
      <c r="G2617" t="str">
        <f>IF($C2617="","",IF(Registro_Compras!$F$294="NOTA DE CREDITO","Por la nota de credito "&amp;Registro_Compras!$C$294&amp;" de "&amp;Registro_Compras!$E$294&amp;" [PATRON POR CONFIRMAR CON CONTADOR]",IF(Registro_Compras!$F$294="RHE","Por el registro del recibo por honorarios "&amp;Registro_Compras!$C$294&amp;" de "&amp;Registro_Compras!$E$294&amp;" [PATRON POR CONFIRMAR CON CONTADOR]","Por el registro de la factura "&amp;Registro_Compras!$C$294&amp;" de "&amp;Registro_Compras!$E$294)))</f>
        <v/>
      </c>
      <c r="H2617" t="str">
        <f>IF($C2617="","",Registro_Compras!$C$294)</f>
        <v/>
      </c>
    </row>
    <row r="2618" spans="1:8" x14ac:dyDescent="0.25">
      <c r="A2618" s="25" t="str">
        <f>IF($C2618="","",Registro_Compras!$B$294)</f>
        <v/>
      </c>
      <c r="B2618" t="str">
        <f>IF($C2618="","","C"&amp;TEXT(INT((ROW()-5)/9)+1,"000")&amp;"-2")</f>
        <v/>
      </c>
      <c r="C2618" t="str">
        <f>IF(OR(Registro_Compras!$C$294="",Registro_Compras!$O$294=""),"",IF(Registro_Compras!$AB$294="ADMINISTRATIVO","94","95"))</f>
        <v/>
      </c>
      <c r="D2618" t="str">
        <f>IF(OR(Registro_Compras!$C$294="",Registro_Compras!$O$294=""),"",IF(Registro_Compras!$AB$294="ADMINISTRATIVO","Gastos Administrativos","Gastos de Venta y Operacion"))</f>
        <v/>
      </c>
      <c r="E2618" s="20" t="str">
        <f>IF($C2618="","",IF(Registro_Compras!$F$294="NOTA DE CREDITO","",IF(Registro_Compras!$F$294="RHE",ROUND(Registro_Compras!$L$294*Registro_Compras!$N$294,2),ROUND(Registro_Compras!$J$294*Registro_Compras!$N$294,2))))</f>
        <v/>
      </c>
      <c r="F2618" s="20" t="str">
        <f>IF($C2618="","",IF(Registro_Compras!$F$294="NOTA DE CREDITO",ROUND(ABS(Registro_Compras!$J$294*Registro_Compras!$N$294),2),""))</f>
        <v/>
      </c>
      <c r="G2618" t="str">
        <f>IF($C2618="","","Por el destino del gasto")</f>
        <v/>
      </c>
      <c r="H2618" t="str">
        <f>IF($C2618="","",Registro_Compras!$C$294)</f>
        <v/>
      </c>
    </row>
    <row r="2619" spans="1:8" x14ac:dyDescent="0.25">
      <c r="A2619" s="25" t="str">
        <f>IF($C2619="","",Registro_Compras!$B$294)</f>
        <v/>
      </c>
      <c r="B2619" t="str">
        <f>IF($C2619="","","C"&amp;TEXT(INT((ROW()-5)/9)+1,"000")&amp;"-2")</f>
        <v/>
      </c>
      <c r="C2619" t="str">
        <f>IF(OR(Registro_Compras!$C$294="",Registro_Compras!$O$294=""),"","79/791")</f>
        <v/>
      </c>
      <c r="D2619" t="str">
        <f>IF(OR(Registro_Compras!$C$294="",Registro_Compras!$O$294=""),"","Cargas Imputables a Cuentas de Costos y Gastos")</f>
        <v/>
      </c>
      <c r="E2619" s="20" t="str">
        <f>IF($C2619="","",IF(Registro_Compras!$F$294="NOTA DE CREDITO",ROUND(ABS(Registro_Compras!$J$294*Registro_Compras!$N$294),2),""))</f>
        <v/>
      </c>
      <c r="F2619" s="20" t="str">
        <f>IF($C2619="","",IF(Registro_Compras!$F$294="NOTA DE CREDITO","",IF(Registro_Compras!$F$294="RHE",ROUND(Registro_Compras!$L$294*Registro_Compras!$N$294,2),ROUND(Registro_Compras!$J$294*Registro_Compras!$N$294,2))))</f>
        <v/>
      </c>
      <c r="G2619" t="str">
        <f>IF($C2619="","","Por el destino del gasto")</f>
        <v/>
      </c>
      <c r="H2619" t="str">
        <f>IF($C2619="","",Registro_Compras!$C$294)</f>
        <v/>
      </c>
    </row>
    <row r="2620" spans="1:8" x14ac:dyDescent="0.25">
      <c r="A2620" s="25" t="str">
        <f>IF($C2620="","",Registro_Compras!$X$294)</f>
        <v/>
      </c>
      <c r="B2620" t="str">
        <f>IF($C2620="","","C"&amp;TEXT(INT((ROW()-5)/9)+1,"000")&amp;"-3")</f>
        <v/>
      </c>
      <c r="C2620" t="str">
        <f>IF(OR(Registro_Compras!$C$294="",Registro_Compras!$O$294="",Registro_Compras!$R$294&lt;&gt;"SI",Registro_Compras!$X$294=""),"","4212")</f>
        <v/>
      </c>
      <c r="D2620" t="str">
        <f>IF(OR(Registro_Compras!$C$294="",Registro_Compras!$O$294=""),"","Cuentas por Pagar Comerciales - Terceros")</f>
        <v/>
      </c>
      <c r="E2620" s="20" t="str">
        <f>IF($C2620="","",Registro_Compras!$S$294)</f>
        <v/>
      </c>
      <c r="F2620" s="20" t="str">
        <f>""</f>
        <v/>
      </c>
      <c r="G2620" t="str">
        <f>IF($C2620="","","Por el deposito de la detraccion en el Banco de la Nacion")</f>
        <v/>
      </c>
      <c r="H2620" t="str">
        <f>IF($C2620="","",Registro_Compras!$C$294)</f>
        <v/>
      </c>
    </row>
    <row r="2621" spans="1:8" x14ac:dyDescent="0.25">
      <c r="A2621" s="25" t="str">
        <f>IF($C2621="","",Registro_Compras!$X$294)</f>
        <v/>
      </c>
      <c r="B2621" t="str">
        <f>IF($C2621="","","C"&amp;TEXT(INT((ROW()-5)/9)+1,"000")&amp;"-3")</f>
        <v/>
      </c>
      <c r="C2621" t="str">
        <f>IF(OR(Registro_Compras!$C$294="",Registro_Compras!$O$294="",Registro_Compras!$R$294&lt;&gt;"SI",Registro_Compras!$X$294=""),"","1041")</f>
        <v/>
      </c>
      <c r="D2621" t="str">
        <f>IF(OR(Registro_Compras!$C$294="",Registro_Compras!$O$294=""),"","Efectivo y Equivalentes - Cta. Cte. Operativa")</f>
        <v/>
      </c>
      <c r="E2621" s="20" t="str">
        <f>""</f>
        <v/>
      </c>
      <c r="F2621" s="20" t="str">
        <f>IF($C2621="","",Registro_Compras!$S$294)</f>
        <v/>
      </c>
      <c r="G2621" t="str">
        <f>IF($C2621="","","Por el deposito de la detraccion en el Banco de la Nacion")</f>
        <v/>
      </c>
      <c r="H2621" t="str">
        <f>IF($C2621="","",Registro_Compras!$C$294)</f>
        <v/>
      </c>
    </row>
    <row r="2622" spans="1:8" x14ac:dyDescent="0.25">
      <c r="A2622" s="25" t="str">
        <f>IF($C2622="","",Registro_Compras!$Y$294)</f>
        <v/>
      </c>
      <c r="B2622" t="str">
        <f>IF($C2622="","","C"&amp;TEXT(INT((ROW()-5)/9)+1,"000")&amp;"-4")</f>
        <v/>
      </c>
      <c r="C2622" t="str">
        <f>IF(OR(Registro_Compras!$C$294="",Registro_Compras!$O$294="",Registro_Compras!$Y$294="",Registro_Compras!$F$294="NOTA DE CREDITO"),"","4212")</f>
        <v/>
      </c>
      <c r="D2622" t="str">
        <f>IF(OR(Registro_Compras!$C$294="",Registro_Compras!$O$294=""),"","Cuentas por Pagar Comerciales - Terceros")</f>
        <v/>
      </c>
      <c r="E2622" s="20" t="str">
        <f>IF($C2622="","",IF(Registro_Compras!$F$294="RHE",(ROUND(Registro_Compras!$L$294*Registro_Compras!$N$294,2)-ROUND(Registro_Compras!$V$294*Registro_Compras!$N$294,2)),ROUND(Registro_Compras!$O$294-Registro_Compras!$S$294,2)))</f>
        <v/>
      </c>
      <c r="F2622" s="20" t="str">
        <f>""</f>
        <v/>
      </c>
      <c r="G2622" t="str">
        <f>IF($C2622="","","Por la cancelacion del saldo al proveedor")</f>
        <v/>
      </c>
      <c r="H2622" t="str">
        <f>IF($C2622="","",Registro_Compras!$C$294)</f>
        <v/>
      </c>
    </row>
    <row r="2623" spans="1:8" x14ac:dyDescent="0.25">
      <c r="A2623" s="25" t="str">
        <f>IF($C2623="","",Registro_Compras!$Y$294)</f>
        <v/>
      </c>
      <c r="B2623" t="str">
        <f>IF($C2623="","","C"&amp;TEXT(INT((ROW()-5)/9)+1,"000")&amp;"-4")</f>
        <v/>
      </c>
      <c r="C2623" t="str">
        <f>IF(OR(Registro_Compras!$C$294="",Registro_Compras!$O$294="",Registro_Compras!$Y$294="",Registro_Compras!$F$294="NOTA DE CREDITO"),"","1041")</f>
        <v/>
      </c>
      <c r="D2623" t="str">
        <f>IF(OR(Registro_Compras!$C$294="",Registro_Compras!$O$294=""),"","Efectivo y Equivalentes - Cta. Cte. Operativa")</f>
        <v/>
      </c>
      <c r="E2623" s="20" t="str">
        <f>""</f>
        <v/>
      </c>
      <c r="F2623" s="20" t="str">
        <f>IF($C2623="","",IF(Registro_Compras!$F$294="RHE",(ROUND(Registro_Compras!$L$294*Registro_Compras!$N$294,2)-ROUND(Registro_Compras!$V$294*Registro_Compras!$N$294,2)),ROUND(Registro_Compras!$O$294-Registro_Compras!$S$294,2)))</f>
        <v/>
      </c>
      <c r="G2623" t="str">
        <f>IF($C2623="","","Por la cancelacion del saldo al proveedor")</f>
        <v/>
      </c>
      <c r="H2623" t="str">
        <f>IF($C2623="","",Registro_Compras!$C$294)</f>
        <v/>
      </c>
    </row>
    <row r="2624" spans="1:8" x14ac:dyDescent="0.25">
      <c r="A2624" s="25" t="str">
        <f>IF($C2624="","",Registro_Compras!$B$295)</f>
        <v/>
      </c>
      <c r="B2624" t="str">
        <f>IF($C2624="","","C"&amp;TEXT(INT((ROW()-5)/9)+1,"000")&amp;"-1")</f>
        <v/>
      </c>
      <c r="C2624" t="str">
        <f>IF(OR(Registro_Compras!$C$295="",Registro_Compras!$O$295=""),"",IF(Registro_Compras!$F$295="NOTA DE CREDITO","4212",IF(Registro_Compras!$M$295="","63",Registro_Compras!$M$295)))</f>
        <v/>
      </c>
      <c r="D2624" t="str">
        <f>IF(OR(Registro_Compras!$C$295="",Registro_Compras!$O$295=""),"",IF(Registro_Compras!$F$295="NOTA DE CREDITO","Cuentas por Pagar Comerciales - Terceros (Emitidas)",IF(Registro_Compras!$F$295="RHE","Honorarios Profesionales - Servicios de Terceros","Gastos de Servicios Prestados por Terceros")))</f>
        <v/>
      </c>
      <c r="E2624" s="20" t="str">
        <f>IF($C2624="","",IF(Registro_Compras!$F$295="NOTA DE CREDITO",ABS(Registro_Compras!$O$295),IF(Registro_Compras!$F$295="RHE",ROUND(Registro_Compras!$L$295*Registro_Compras!$N$295,2),ROUND(Registro_Compras!$J$295*Registro_Compras!$N$295,2))))</f>
        <v/>
      </c>
      <c r="F2624" s="20" t="str">
        <f>""</f>
        <v/>
      </c>
      <c r="G2624" t="str">
        <f>IF($C2624="","",IF(Registro_Compras!$F$295="NOTA DE CREDITO","Por la nota de credito "&amp;Registro_Compras!$C$295&amp;" de "&amp;Registro_Compras!$E$295&amp;" [PATRON POR CONFIRMAR CON CONTADOR]",IF(Registro_Compras!$F$295="RHE","Por el registro del recibo por honorarios "&amp;Registro_Compras!$C$295&amp;" de "&amp;Registro_Compras!$E$295&amp;" [PATRON POR CONFIRMAR CON CONTADOR]","Por el registro de la factura "&amp;Registro_Compras!$C$295&amp;" de "&amp;Registro_Compras!$E$295)))</f>
        <v/>
      </c>
      <c r="H2624" t="str">
        <f>IF($C2624="","",Registro_Compras!$C$295)</f>
        <v/>
      </c>
    </row>
    <row r="2625" spans="1:8" x14ac:dyDescent="0.25">
      <c r="A2625" s="25" t="str">
        <f>IF($C2625="","",Registro_Compras!$B$295)</f>
        <v/>
      </c>
      <c r="B2625" t="str">
        <f>IF($C2625="","","C"&amp;TEXT(INT((ROW()-5)/9)+1,"000")&amp;"-1")</f>
        <v/>
      </c>
      <c r="C2625" t="str">
        <f>IF(OR(Registro_Compras!$C$295="",Registro_Compras!$O$295=""),"",IF(Registro_Compras!$F$295="RHE",IF(Registro_Compras!$V$295=0,"","4017"),IF(Registro_Compras!$F$295="NOTA DE CREDITO",IF(Registro_Compras!$M$295="","63",Registro_Compras!$M$295),IF(Registro_Compras!$K$295=0,"","40111"))))</f>
        <v/>
      </c>
      <c r="D2625" t="str">
        <f>IF(OR(Registro_Compras!$C$295="",Registro_Compras!$O$295=""),"",IF(Registro_Compras!$F$295="RHE","Retencion Renta 4ta Categoria por Pagar",IF(Registro_Compras!$F$295="NOTA DE CREDITO","Gastos de Servicios Prestados por Terceros","IGV - Cuenta Propia (Credito Fiscal)")))</f>
        <v/>
      </c>
      <c r="E2625" s="20" t="str">
        <f>IF($C2625="","",IF(Registro_Compras!$F$295="FACTURA",ROUND(Registro_Compras!$K$295*Registro_Compras!$N$295,2),""))</f>
        <v/>
      </c>
      <c r="F2625" s="20" t="str">
        <f>IF($C2625="","",IF(Registro_Compras!$F$295="RHE",ROUND(Registro_Compras!$V$295*Registro_Compras!$N$295,2),IF(Registro_Compras!$F$295="NOTA DE CREDITO",ROUND(ABS(Registro_Compras!$J$295*Registro_Compras!$N$295),2),"")))</f>
        <v/>
      </c>
      <c r="G2625" t="str">
        <f>IF($C2625="","",IF(Registro_Compras!$F$295="NOTA DE CREDITO","Por la nota de credito "&amp;Registro_Compras!$C$295&amp;" de "&amp;Registro_Compras!$E$295&amp;" [PATRON POR CONFIRMAR CON CONTADOR]",IF(Registro_Compras!$F$295="RHE","Por el registro del recibo por honorarios "&amp;Registro_Compras!$C$295&amp;" de "&amp;Registro_Compras!$E$295&amp;" [PATRON POR CONFIRMAR CON CONTADOR]","Por el registro de la factura "&amp;Registro_Compras!$C$295&amp;" de "&amp;Registro_Compras!$E$295)))</f>
        <v/>
      </c>
      <c r="H2625" t="str">
        <f>IF($C2625="","",Registro_Compras!$C$295)</f>
        <v/>
      </c>
    </row>
    <row r="2626" spans="1:8" x14ac:dyDescent="0.25">
      <c r="A2626" s="25" t="str">
        <f>IF($C2626="","",Registro_Compras!$B$295)</f>
        <v/>
      </c>
      <c r="B2626" t="str">
        <f>IF($C2626="","","C"&amp;TEXT(INT((ROW()-5)/9)+1,"000")&amp;"-1")</f>
        <v/>
      </c>
      <c r="C2626" t="str">
        <f>IF(OR(Registro_Compras!$C$295="",Registro_Compras!$O$295=""),"",IF(Registro_Compras!$F$295="NOTA DE CREDITO",IF(Registro_Compras!$K$295=0,"","40111"),"4212"))</f>
        <v/>
      </c>
      <c r="D2626" t="str">
        <f>IF(OR(Registro_Compras!$C$295="",Registro_Compras!$O$295=""),"",IF(Registro_Compras!$F$295="NOTA DE CREDITO","IGV - Cuenta Propia (Credito Fiscal)","Cuentas por Pagar Comerciales - Terceros (Emitidas)"))</f>
        <v/>
      </c>
      <c r="E2626" s="20" t="str">
        <f>""</f>
        <v/>
      </c>
      <c r="F2626" s="20" t="str">
        <f>IF($C2626="","",IF(Registro_Compras!$F$295="NOTA DE CREDITO",ROUND(ABS(Registro_Compras!$K$295*Registro_Compras!$N$295),2),IF(Registro_Compras!$F$295="RHE",(ROUND(Registro_Compras!$L$295*Registro_Compras!$N$295,2)-ROUND(Registro_Compras!$V$295*Registro_Compras!$N$295,2)),Registro_Compras!$O$295)))</f>
        <v/>
      </c>
      <c r="G2626" t="str">
        <f>IF($C2626="","",IF(Registro_Compras!$F$295="NOTA DE CREDITO","Por la nota de credito "&amp;Registro_Compras!$C$295&amp;" de "&amp;Registro_Compras!$E$295&amp;" [PATRON POR CONFIRMAR CON CONTADOR]",IF(Registro_Compras!$F$295="RHE","Por el registro del recibo por honorarios "&amp;Registro_Compras!$C$295&amp;" de "&amp;Registro_Compras!$E$295&amp;" [PATRON POR CONFIRMAR CON CONTADOR]","Por el registro de la factura "&amp;Registro_Compras!$C$295&amp;" de "&amp;Registro_Compras!$E$295)))</f>
        <v/>
      </c>
      <c r="H2626" t="str">
        <f>IF($C2626="","",Registro_Compras!$C$295)</f>
        <v/>
      </c>
    </row>
    <row r="2627" spans="1:8" x14ac:dyDescent="0.25">
      <c r="A2627" s="25" t="str">
        <f>IF($C2627="","",Registro_Compras!$B$295)</f>
        <v/>
      </c>
      <c r="B2627" t="str">
        <f>IF($C2627="","","C"&amp;TEXT(INT((ROW()-5)/9)+1,"000")&amp;"-2")</f>
        <v/>
      </c>
      <c r="C2627" t="str">
        <f>IF(OR(Registro_Compras!$C$295="",Registro_Compras!$O$295=""),"",IF(Registro_Compras!$AB$295="ADMINISTRATIVO","94","95"))</f>
        <v/>
      </c>
      <c r="D2627" t="str">
        <f>IF(OR(Registro_Compras!$C$295="",Registro_Compras!$O$295=""),"",IF(Registro_Compras!$AB$295="ADMINISTRATIVO","Gastos Administrativos","Gastos de Venta y Operacion"))</f>
        <v/>
      </c>
      <c r="E2627" s="20" t="str">
        <f>IF($C2627="","",IF(Registro_Compras!$F$295="NOTA DE CREDITO","",IF(Registro_Compras!$F$295="RHE",ROUND(Registro_Compras!$L$295*Registro_Compras!$N$295,2),ROUND(Registro_Compras!$J$295*Registro_Compras!$N$295,2))))</f>
        <v/>
      </c>
      <c r="F2627" s="20" t="str">
        <f>IF($C2627="","",IF(Registro_Compras!$F$295="NOTA DE CREDITO",ROUND(ABS(Registro_Compras!$J$295*Registro_Compras!$N$295),2),""))</f>
        <v/>
      </c>
      <c r="G2627" t="str">
        <f>IF($C2627="","","Por el destino del gasto")</f>
        <v/>
      </c>
      <c r="H2627" t="str">
        <f>IF($C2627="","",Registro_Compras!$C$295)</f>
        <v/>
      </c>
    </row>
    <row r="2628" spans="1:8" x14ac:dyDescent="0.25">
      <c r="A2628" s="25" t="str">
        <f>IF($C2628="","",Registro_Compras!$B$295)</f>
        <v/>
      </c>
      <c r="B2628" t="str">
        <f>IF($C2628="","","C"&amp;TEXT(INT((ROW()-5)/9)+1,"000")&amp;"-2")</f>
        <v/>
      </c>
      <c r="C2628" t="str">
        <f>IF(OR(Registro_Compras!$C$295="",Registro_Compras!$O$295=""),"","79/791")</f>
        <v/>
      </c>
      <c r="D2628" t="str">
        <f>IF(OR(Registro_Compras!$C$295="",Registro_Compras!$O$295=""),"","Cargas Imputables a Cuentas de Costos y Gastos")</f>
        <v/>
      </c>
      <c r="E2628" s="20" t="str">
        <f>IF($C2628="","",IF(Registro_Compras!$F$295="NOTA DE CREDITO",ROUND(ABS(Registro_Compras!$J$295*Registro_Compras!$N$295),2),""))</f>
        <v/>
      </c>
      <c r="F2628" s="20" t="str">
        <f>IF($C2628="","",IF(Registro_Compras!$F$295="NOTA DE CREDITO","",IF(Registro_Compras!$F$295="RHE",ROUND(Registro_Compras!$L$295*Registro_Compras!$N$295,2),ROUND(Registro_Compras!$J$295*Registro_Compras!$N$295,2))))</f>
        <v/>
      </c>
      <c r="G2628" t="str">
        <f>IF($C2628="","","Por el destino del gasto")</f>
        <v/>
      </c>
      <c r="H2628" t="str">
        <f>IF($C2628="","",Registro_Compras!$C$295)</f>
        <v/>
      </c>
    </row>
    <row r="2629" spans="1:8" x14ac:dyDescent="0.25">
      <c r="A2629" s="25" t="str">
        <f>IF($C2629="","",Registro_Compras!$X$295)</f>
        <v/>
      </c>
      <c r="B2629" t="str">
        <f>IF($C2629="","","C"&amp;TEXT(INT((ROW()-5)/9)+1,"000")&amp;"-3")</f>
        <v/>
      </c>
      <c r="C2629" t="str">
        <f>IF(OR(Registro_Compras!$C$295="",Registro_Compras!$O$295="",Registro_Compras!$R$295&lt;&gt;"SI",Registro_Compras!$X$295=""),"","4212")</f>
        <v/>
      </c>
      <c r="D2629" t="str">
        <f>IF(OR(Registro_Compras!$C$295="",Registro_Compras!$O$295=""),"","Cuentas por Pagar Comerciales - Terceros")</f>
        <v/>
      </c>
      <c r="E2629" s="20" t="str">
        <f>IF($C2629="","",Registro_Compras!$S$295)</f>
        <v/>
      </c>
      <c r="F2629" s="20" t="str">
        <f>""</f>
        <v/>
      </c>
      <c r="G2629" t="str">
        <f>IF($C2629="","","Por el deposito de la detraccion en el Banco de la Nacion")</f>
        <v/>
      </c>
      <c r="H2629" t="str">
        <f>IF($C2629="","",Registro_Compras!$C$295)</f>
        <v/>
      </c>
    </row>
    <row r="2630" spans="1:8" x14ac:dyDescent="0.25">
      <c r="A2630" s="25" t="str">
        <f>IF($C2630="","",Registro_Compras!$X$295)</f>
        <v/>
      </c>
      <c r="B2630" t="str">
        <f>IF($C2630="","","C"&amp;TEXT(INT((ROW()-5)/9)+1,"000")&amp;"-3")</f>
        <v/>
      </c>
      <c r="C2630" t="str">
        <f>IF(OR(Registro_Compras!$C$295="",Registro_Compras!$O$295="",Registro_Compras!$R$295&lt;&gt;"SI",Registro_Compras!$X$295=""),"","1041")</f>
        <v/>
      </c>
      <c r="D2630" t="str">
        <f>IF(OR(Registro_Compras!$C$295="",Registro_Compras!$O$295=""),"","Efectivo y Equivalentes - Cta. Cte. Operativa")</f>
        <v/>
      </c>
      <c r="E2630" s="20" t="str">
        <f>""</f>
        <v/>
      </c>
      <c r="F2630" s="20" t="str">
        <f>IF($C2630="","",Registro_Compras!$S$295)</f>
        <v/>
      </c>
      <c r="G2630" t="str">
        <f>IF($C2630="","","Por el deposito de la detraccion en el Banco de la Nacion")</f>
        <v/>
      </c>
      <c r="H2630" t="str">
        <f>IF($C2630="","",Registro_Compras!$C$295)</f>
        <v/>
      </c>
    </row>
    <row r="2631" spans="1:8" x14ac:dyDescent="0.25">
      <c r="A2631" s="25" t="str">
        <f>IF($C2631="","",Registro_Compras!$Y$295)</f>
        <v/>
      </c>
      <c r="B2631" t="str">
        <f>IF($C2631="","","C"&amp;TEXT(INT((ROW()-5)/9)+1,"000")&amp;"-4")</f>
        <v/>
      </c>
      <c r="C2631" t="str">
        <f>IF(OR(Registro_Compras!$C$295="",Registro_Compras!$O$295="",Registro_Compras!$Y$295="",Registro_Compras!$F$295="NOTA DE CREDITO"),"","4212")</f>
        <v/>
      </c>
      <c r="D2631" t="str">
        <f>IF(OR(Registro_Compras!$C$295="",Registro_Compras!$O$295=""),"","Cuentas por Pagar Comerciales - Terceros")</f>
        <v/>
      </c>
      <c r="E2631" s="20" t="str">
        <f>IF($C2631="","",IF(Registro_Compras!$F$295="RHE",(ROUND(Registro_Compras!$L$295*Registro_Compras!$N$295,2)-ROUND(Registro_Compras!$V$295*Registro_Compras!$N$295,2)),ROUND(Registro_Compras!$O$295-Registro_Compras!$S$295,2)))</f>
        <v/>
      </c>
      <c r="F2631" s="20" t="str">
        <f>""</f>
        <v/>
      </c>
      <c r="G2631" t="str">
        <f>IF($C2631="","","Por la cancelacion del saldo al proveedor")</f>
        <v/>
      </c>
      <c r="H2631" t="str">
        <f>IF($C2631="","",Registro_Compras!$C$295)</f>
        <v/>
      </c>
    </row>
    <row r="2632" spans="1:8" x14ac:dyDescent="0.25">
      <c r="A2632" s="25" t="str">
        <f>IF($C2632="","",Registro_Compras!$Y$295)</f>
        <v/>
      </c>
      <c r="B2632" t="str">
        <f>IF($C2632="","","C"&amp;TEXT(INT((ROW()-5)/9)+1,"000")&amp;"-4")</f>
        <v/>
      </c>
      <c r="C2632" t="str">
        <f>IF(OR(Registro_Compras!$C$295="",Registro_Compras!$O$295="",Registro_Compras!$Y$295="",Registro_Compras!$F$295="NOTA DE CREDITO"),"","1041")</f>
        <v/>
      </c>
      <c r="D2632" t="str">
        <f>IF(OR(Registro_Compras!$C$295="",Registro_Compras!$O$295=""),"","Efectivo y Equivalentes - Cta. Cte. Operativa")</f>
        <v/>
      </c>
      <c r="E2632" s="20" t="str">
        <f>""</f>
        <v/>
      </c>
      <c r="F2632" s="20" t="str">
        <f>IF($C2632="","",IF(Registro_Compras!$F$295="RHE",(ROUND(Registro_Compras!$L$295*Registro_Compras!$N$295,2)-ROUND(Registro_Compras!$V$295*Registro_Compras!$N$295,2)),ROUND(Registro_Compras!$O$295-Registro_Compras!$S$295,2)))</f>
        <v/>
      </c>
      <c r="G2632" t="str">
        <f>IF($C2632="","","Por la cancelacion del saldo al proveedor")</f>
        <v/>
      </c>
      <c r="H2632" t="str">
        <f>IF($C2632="","",Registro_Compras!$C$295)</f>
        <v/>
      </c>
    </row>
    <row r="2633" spans="1:8" x14ac:dyDescent="0.25">
      <c r="A2633" s="25" t="str">
        <f>IF($C2633="","",Registro_Compras!$B$296)</f>
        <v/>
      </c>
      <c r="B2633" t="str">
        <f>IF($C2633="","","C"&amp;TEXT(INT((ROW()-5)/9)+1,"000")&amp;"-1")</f>
        <v/>
      </c>
      <c r="C2633" t="str">
        <f>IF(OR(Registro_Compras!$C$296="",Registro_Compras!$O$296=""),"",IF(Registro_Compras!$F$296="NOTA DE CREDITO","4212",IF(Registro_Compras!$M$296="","63",Registro_Compras!$M$296)))</f>
        <v/>
      </c>
      <c r="D2633" t="str">
        <f>IF(OR(Registro_Compras!$C$296="",Registro_Compras!$O$296=""),"",IF(Registro_Compras!$F$296="NOTA DE CREDITO","Cuentas por Pagar Comerciales - Terceros (Emitidas)",IF(Registro_Compras!$F$296="RHE","Honorarios Profesionales - Servicios de Terceros","Gastos de Servicios Prestados por Terceros")))</f>
        <v/>
      </c>
      <c r="E2633" s="20" t="str">
        <f>IF($C2633="","",IF(Registro_Compras!$F$296="NOTA DE CREDITO",ABS(Registro_Compras!$O$296),IF(Registro_Compras!$F$296="RHE",ROUND(Registro_Compras!$L$296*Registro_Compras!$N$296,2),ROUND(Registro_Compras!$J$296*Registro_Compras!$N$296,2))))</f>
        <v/>
      </c>
      <c r="F2633" s="20" t="str">
        <f>""</f>
        <v/>
      </c>
      <c r="G2633" t="str">
        <f>IF($C2633="","",IF(Registro_Compras!$F$296="NOTA DE CREDITO","Por la nota de credito "&amp;Registro_Compras!$C$296&amp;" de "&amp;Registro_Compras!$E$296&amp;" [PATRON POR CONFIRMAR CON CONTADOR]",IF(Registro_Compras!$F$296="RHE","Por el registro del recibo por honorarios "&amp;Registro_Compras!$C$296&amp;" de "&amp;Registro_Compras!$E$296&amp;" [PATRON POR CONFIRMAR CON CONTADOR]","Por el registro de la factura "&amp;Registro_Compras!$C$296&amp;" de "&amp;Registro_Compras!$E$296)))</f>
        <v/>
      </c>
      <c r="H2633" t="str">
        <f>IF($C2633="","",Registro_Compras!$C$296)</f>
        <v/>
      </c>
    </row>
    <row r="2634" spans="1:8" x14ac:dyDescent="0.25">
      <c r="A2634" s="25" t="str">
        <f>IF($C2634="","",Registro_Compras!$B$296)</f>
        <v/>
      </c>
      <c r="B2634" t="str">
        <f>IF($C2634="","","C"&amp;TEXT(INT((ROW()-5)/9)+1,"000")&amp;"-1")</f>
        <v/>
      </c>
      <c r="C2634" t="str">
        <f>IF(OR(Registro_Compras!$C$296="",Registro_Compras!$O$296=""),"",IF(Registro_Compras!$F$296="RHE",IF(Registro_Compras!$V$296=0,"","4017"),IF(Registro_Compras!$F$296="NOTA DE CREDITO",IF(Registro_Compras!$M$296="","63",Registro_Compras!$M$296),IF(Registro_Compras!$K$296=0,"","40111"))))</f>
        <v/>
      </c>
      <c r="D2634" t="str">
        <f>IF(OR(Registro_Compras!$C$296="",Registro_Compras!$O$296=""),"",IF(Registro_Compras!$F$296="RHE","Retencion Renta 4ta Categoria por Pagar",IF(Registro_Compras!$F$296="NOTA DE CREDITO","Gastos de Servicios Prestados por Terceros","IGV - Cuenta Propia (Credito Fiscal)")))</f>
        <v/>
      </c>
      <c r="E2634" s="20" t="str">
        <f>IF($C2634="","",IF(Registro_Compras!$F$296="FACTURA",ROUND(Registro_Compras!$K$296*Registro_Compras!$N$296,2),""))</f>
        <v/>
      </c>
      <c r="F2634" s="20" t="str">
        <f>IF($C2634="","",IF(Registro_Compras!$F$296="RHE",ROUND(Registro_Compras!$V$296*Registro_Compras!$N$296,2),IF(Registro_Compras!$F$296="NOTA DE CREDITO",ROUND(ABS(Registro_Compras!$J$296*Registro_Compras!$N$296),2),"")))</f>
        <v/>
      </c>
      <c r="G2634" t="str">
        <f>IF($C2634="","",IF(Registro_Compras!$F$296="NOTA DE CREDITO","Por la nota de credito "&amp;Registro_Compras!$C$296&amp;" de "&amp;Registro_Compras!$E$296&amp;" [PATRON POR CONFIRMAR CON CONTADOR]",IF(Registro_Compras!$F$296="RHE","Por el registro del recibo por honorarios "&amp;Registro_Compras!$C$296&amp;" de "&amp;Registro_Compras!$E$296&amp;" [PATRON POR CONFIRMAR CON CONTADOR]","Por el registro de la factura "&amp;Registro_Compras!$C$296&amp;" de "&amp;Registro_Compras!$E$296)))</f>
        <v/>
      </c>
      <c r="H2634" t="str">
        <f>IF($C2634="","",Registro_Compras!$C$296)</f>
        <v/>
      </c>
    </row>
    <row r="2635" spans="1:8" x14ac:dyDescent="0.25">
      <c r="A2635" s="25" t="str">
        <f>IF($C2635="","",Registro_Compras!$B$296)</f>
        <v/>
      </c>
      <c r="B2635" t="str">
        <f>IF($C2635="","","C"&amp;TEXT(INT((ROW()-5)/9)+1,"000")&amp;"-1")</f>
        <v/>
      </c>
      <c r="C2635" t="str">
        <f>IF(OR(Registro_Compras!$C$296="",Registro_Compras!$O$296=""),"",IF(Registro_Compras!$F$296="NOTA DE CREDITO",IF(Registro_Compras!$K$296=0,"","40111"),"4212"))</f>
        <v/>
      </c>
      <c r="D2635" t="str">
        <f>IF(OR(Registro_Compras!$C$296="",Registro_Compras!$O$296=""),"",IF(Registro_Compras!$F$296="NOTA DE CREDITO","IGV - Cuenta Propia (Credito Fiscal)","Cuentas por Pagar Comerciales - Terceros (Emitidas)"))</f>
        <v/>
      </c>
      <c r="E2635" s="20" t="str">
        <f>""</f>
        <v/>
      </c>
      <c r="F2635" s="20" t="str">
        <f>IF($C2635="","",IF(Registro_Compras!$F$296="NOTA DE CREDITO",ROUND(ABS(Registro_Compras!$K$296*Registro_Compras!$N$296),2),IF(Registro_Compras!$F$296="RHE",(ROUND(Registro_Compras!$L$296*Registro_Compras!$N$296,2)-ROUND(Registro_Compras!$V$296*Registro_Compras!$N$296,2)),Registro_Compras!$O$296)))</f>
        <v/>
      </c>
      <c r="G2635" t="str">
        <f>IF($C2635="","",IF(Registro_Compras!$F$296="NOTA DE CREDITO","Por la nota de credito "&amp;Registro_Compras!$C$296&amp;" de "&amp;Registro_Compras!$E$296&amp;" [PATRON POR CONFIRMAR CON CONTADOR]",IF(Registro_Compras!$F$296="RHE","Por el registro del recibo por honorarios "&amp;Registro_Compras!$C$296&amp;" de "&amp;Registro_Compras!$E$296&amp;" [PATRON POR CONFIRMAR CON CONTADOR]","Por el registro de la factura "&amp;Registro_Compras!$C$296&amp;" de "&amp;Registro_Compras!$E$296)))</f>
        <v/>
      </c>
      <c r="H2635" t="str">
        <f>IF($C2635="","",Registro_Compras!$C$296)</f>
        <v/>
      </c>
    </row>
    <row r="2636" spans="1:8" x14ac:dyDescent="0.25">
      <c r="A2636" s="25" t="str">
        <f>IF($C2636="","",Registro_Compras!$B$296)</f>
        <v/>
      </c>
      <c r="B2636" t="str">
        <f>IF($C2636="","","C"&amp;TEXT(INT((ROW()-5)/9)+1,"000")&amp;"-2")</f>
        <v/>
      </c>
      <c r="C2636" t="str">
        <f>IF(OR(Registro_Compras!$C$296="",Registro_Compras!$O$296=""),"",IF(Registro_Compras!$AB$296="ADMINISTRATIVO","94","95"))</f>
        <v/>
      </c>
      <c r="D2636" t="str">
        <f>IF(OR(Registro_Compras!$C$296="",Registro_Compras!$O$296=""),"",IF(Registro_Compras!$AB$296="ADMINISTRATIVO","Gastos Administrativos","Gastos de Venta y Operacion"))</f>
        <v/>
      </c>
      <c r="E2636" s="20" t="str">
        <f>IF($C2636="","",IF(Registro_Compras!$F$296="NOTA DE CREDITO","",IF(Registro_Compras!$F$296="RHE",ROUND(Registro_Compras!$L$296*Registro_Compras!$N$296,2),ROUND(Registro_Compras!$J$296*Registro_Compras!$N$296,2))))</f>
        <v/>
      </c>
      <c r="F2636" s="20" t="str">
        <f>IF($C2636="","",IF(Registro_Compras!$F$296="NOTA DE CREDITO",ROUND(ABS(Registro_Compras!$J$296*Registro_Compras!$N$296),2),""))</f>
        <v/>
      </c>
      <c r="G2636" t="str">
        <f>IF($C2636="","","Por el destino del gasto")</f>
        <v/>
      </c>
      <c r="H2636" t="str">
        <f>IF($C2636="","",Registro_Compras!$C$296)</f>
        <v/>
      </c>
    </row>
    <row r="2637" spans="1:8" x14ac:dyDescent="0.25">
      <c r="A2637" s="25" t="str">
        <f>IF($C2637="","",Registro_Compras!$B$296)</f>
        <v/>
      </c>
      <c r="B2637" t="str">
        <f>IF($C2637="","","C"&amp;TEXT(INT((ROW()-5)/9)+1,"000")&amp;"-2")</f>
        <v/>
      </c>
      <c r="C2637" t="str">
        <f>IF(OR(Registro_Compras!$C$296="",Registro_Compras!$O$296=""),"","79/791")</f>
        <v/>
      </c>
      <c r="D2637" t="str">
        <f>IF(OR(Registro_Compras!$C$296="",Registro_Compras!$O$296=""),"","Cargas Imputables a Cuentas de Costos y Gastos")</f>
        <v/>
      </c>
      <c r="E2637" s="20" t="str">
        <f>IF($C2637="","",IF(Registro_Compras!$F$296="NOTA DE CREDITO",ROUND(ABS(Registro_Compras!$J$296*Registro_Compras!$N$296),2),""))</f>
        <v/>
      </c>
      <c r="F2637" s="20" t="str">
        <f>IF($C2637="","",IF(Registro_Compras!$F$296="NOTA DE CREDITO","",IF(Registro_Compras!$F$296="RHE",ROUND(Registro_Compras!$L$296*Registro_Compras!$N$296,2),ROUND(Registro_Compras!$J$296*Registro_Compras!$N$296,2))))</f>
        <v/>
      </c>
      <c r="G2637" t="str">
        <f>IF($C2637="","","Por el destino del gasto")</f>
        <v/>
      </c>
      <c r="H2637" t="str">
        <f>IF($C2637="","",Registro_Compras!$C$296)</f>
        <v/>
      </c>
    </row>
    <row r="2638" spans="1:8" x14ac:dyDescent="0.25">
      <c r="A2638" s="25" t="str">
        <f>IF($C2638="","",Registro_Compras!$X$296)</f>
        <v/>
      </c>
      <c r="B2638" t="str">
        <f>IF($C2638="","","C"&amp;TEXT(INT((ROW()-5)/9)+1,"000")&amp;"-3")</f>
        <v/>
      </c>
      <c r="C2638" t="str">
        <f>IF(OR(Registro_Compras!$C$296="",Registro_Compras!$O$296="",Registro_Compras!$R$296&lt;&gt;"SI",Registro_Compras!$X$296=""),"","4212")</f>
        <v/>
      </c>
      <c r="D2638" t="str">
        <f>IF(OR(Registro_Compras!$C$296="",Registro_Compras!$O$296=""),"","Cuentas por Pagar Comerciales - Terceros")</f>
        <v/>
      </c>
      <c r="E2638" s="20" t="str">
        <f>IF($C2638="","",Registro_Compras!$S$296)</f>
        <v/>
      </c>
      <c r="F2638" s="20" t="str">
        <f>""</f>
        <v/>
      </c>
      <c r="G2638" t="str">
        <f>IF($C2638="","","Por el deposito de la detraccion en el Banco de la Nacion")</f>
        <v/>
      </c>
      <c r="H2638" t="str">
        <f>IF($C2638="","",Registro_Compras!$C$296)</f>
        <v/>
      </c>
    </row>
    <row r="2639" spans="1:8" x14ac:dyDescent="0.25">
      <c r="A2639" s="25" t="str">
        <f>IF($C2639="","",Registro_Compras!$X$296)</f>
        <v/>
      </c>
      <c r="B2639" t="str">
        <f>IF($C2639="","","C"&amp;TEXT(INT((ROW()-5)/9)+1,"000")&amp;"-3")</f>
        <v/>
      </c>
      <c r="C2639" t="str">
        <f>IF(OR(Registro_Compras!$C$296="",Registro_Compras!$O$296="",Registro_Compras!$R$296&lt;&gt;"SI",Registro_Compras!$X$296=""),"","1041")</f>
        <v/>
      </c>
      <c r="D2639" t="str">
        <f>IF(OR(Registro_Compras!$C$296="",Registro_Compras!$O$296=""),"","Efectivo y Equivalentes - Cta. Cte. Operativa")</f>
        <v/>
      </c>
      <c r="E2639" s="20" t="str">
        <f>""</f>
        <v/>
      </c>
      <c r="F2639" s="20" t="str">
        <f>IF($C2639="","",Registro_Compras!$S$296)</f>
        <v/>
      </c>
      <c r="G2639" t="str">
        <f>IF($C2639="","","Por el deposito de la detraccion en el Banco de la Nacion")</f>
        <v/>
      </c>
      <c r="H2639" t="str">
        <f>IF($C2639="","",Registro_Compras!$C$296)</f>
        <v/>
      </c>
    </row>
    <row r="2640" spans="1:8" x14ac:dyDescent="0.25">
      <c r="A2640" s="25" t="str">
        <f>IF($C2640="","",Registro_Compras!$Y$296)</f>
        <v/>
      </c>
      <c r="B2640" t="str">
        <f>IF($C2640="","","C"&amp;TEXT(INT((ROW()-5)/9)+1,"000")&amp;"-4")</f>
        <v/>
      </c>
      <c r="C2640" t="str">
        <f>IF(OR(Registro_Compras!$C$296="",Registro_Compras!$O$296="",Registro_Compras!$Y$296="",Registro_Compras!$F$296="NOTA DE CREDITO"),"","4212")</f>
        <v/>
      </c>
      <c r="D2640" t="str">
        <f>IF(OR(Registro_Compras!$C$296="",Registro_Compras!$O$296=""),"","Cuentas por Pagar Comerciales - Terceros")</f>
        <v/>
      </c>
      <c r="E2640" s="20" t="str">
        <f>IF($C2640="","",IF(Registro_Compras!$F$296="RHE",(ROUND(Registro_Compras!$L$296*Registro_Compras!$N$296,2)-ROUND(Registro_Compras!$V$296*Registro_Compras!$N$296,2)),ROUND(Registro_Compras!$O$296-Registro_Compras!$S$296,2)))</f>
        <v/>
      </c>
      <c r="F2640" s="20" t="str">
        <f>""</f>
        <v/>
      </c>
      <c r="G2640" t="str">
        <f>IF($C2640="","","Por la cancelacion del saldo al proveedor")</f>
        <v/>
      </c>
      <c r="H2640" t="str">
        <f>IF($C2640="","",Registro_Compras!$C$296)</f>
        <v/>
      </c>
    </row>
    <row r="2641" spans="1:8" x14ac:dyDescent="0.25">
      <c r="A2641" s="25" t="str">
        <f>IF($C2641="","",Registro_Compras!$Y$296)</f>
        <v/>
      </c>
      <c r="B2641" t="str">
        <f>IF($C2641="","","C"&amp;TEXT(INT((ROW()-5)/9)+1,"000")&amp;"-4")</f>
        <v/>
      </c>
      <c r="C2641" t="str">
        <f>IF(OR(Registro_Compras!$C$296="",Registro_Compras!$O$296="",Registro_Compras!$Y$296="",Registro_Compras!$F$296="NOTA DE CREDITO"),"","1041")</f>
        <v/>
      </c>
      <c r="D2641" t="str">
        <f>IF(OR(Registro_Compras!$C$296="",Registro_Compras!$O$296=""),"","Efectivo y Equivalentes - Cta. Cte. Operativa")</f>
        <v/>
      </c>
      <c r="E2641" s="20" t="str">
        <f>""</f>
        <v/>
      </c>
      <c r="F2641" s="20" t="str">
        <f>IF($C2641="","",IF(Registro_Compras!$F$296="RHE",(ROUND(Registro_Compras!$L$296*Registro_Compras!$N$296,2)-ROUND(Registro_Compras!$V$296*Registro_Compras!$N$296,2)),ROUND(Registro_Compras!$O$296-Registro_Compras!$S$296,2)))</f>
        <v/>
      </c>
      <c r="G2641" t="str">
        <f>IF($C2641="","","Por la cancelacion del saldo al proveedor")</f>
        <v/>
      </c>
      <c r="H2641" t="str">
        <f>IF($C2641="","",Registro_Compras!$C$296)</f>
        <v/>
      </c>
    </row>
    <row r="2642" spans="1:8" x14ac:dyDescent="0.25">
      <c r="A2642" s="25" t="str">
        <f>IF($C2642="","",Registro_Compras!$B$297)</f>
        <v/>
      </c>
      <c r="B2642" t="str">
        <f>IF($C2642="","","C"&amp;TEXT(INT((ROW()-5)/9)+1,"000")&amp;"-1")</f>
        <v/>
      </c>
      <c r="C2642" t="str">
        <f>IF(OR(Registro_Compras!$C$297="",Registro_Compras!$O$297=""),"",IF(Registro_Compras!$F$297="NOTA DE CREDITO","4212",IF(Registro_Compras!$M$297="","63",Registro_Compras!$M$297)))</f>
        <v/>
      </c>
      <c r="D2642" t="str">
        <f>IF(OR(Registro_Compras!$C$297="",Registro_Compras!$O$297=""),"",IF(Registro_Compras!$F$297="NOTA DE CREDITO","Cuentas por Pagar Comerciales - Terceros (Emitidas)",IF(Registro_Compras!$F$297="RHE","Honorarios Profesionales - Servicios de Terceros","Gastos de Servicios Prestados por Terceros")))</f>
        <v/>
      </c>
      <c r="E2642" s="20" t="str">
        <f>IF($C2642="","",IF(Registro_Compras!$F$297="NOTA DE CREDITO",ABS(Registro_Compras!$O$297),IF(Registro_Compras!$F$297="RHE",ROUND(Registro_Compras!$L$297*Registro_Compras!$N$297,2),ROUND(Registro_Compras!$J$297*Registro_Compras!$N$297,2))))</f>
        <v/>
      </c>
      <c r="F2642" s="20" t="str">
        <f>""</f>
        <v/>
      </c>
      <c r="G2642" t="str">
        <f>IF($C2642="","",IF(Registro_Compras!$F$297="NOTA DE CREDITO","Por la nota de credito "&amp;Registro_Compras!$C$297&amp;" de "&amp;Registro_Compras!$E$297&amp;" [PATRON POR CONFIRMAR CON CONTADOR]",IF(Registro_Compras!$F$297="RHE","Por el registro del recibo por honorarios "&amp;Registro_Compras!$C$297&amp;" de "&amp;Registro_Compras!$E$297&amp;" [PATRON POR CONFIRMAR CON CONTADOR]","Por el registro de la factura "&amp;Registro_Compras!$C$297&amp;" de "&amp;Registro_Compras!$E$297)))</f>
        <v/>
      </c>
      <c r="H2642" t="str">
        <f>IF($C2642="","",Registro_Compras!$C$297)</f>
        <v/>
      </c>
    </row>
    <row r="2643" spans="1:8" x14ac:dyDescent="0.25">
      <c r="A2643" s="25" t="str">
        <f>IF($C2643="","",Registro_Compras!$B$297)</f>
        <v/>
      </c>
      <c r="B2643" t="str">
        <f>IF($C2643="","","C"&amp;TEXT(INT((ROW()-5)/9)+1,"000")&amp;"-1")</f>
        <v/>
      </c>
      <c r="C2643" t="str">
        <f>IF(OR(Registro_Compras!$C$297="",Registro_Compras!$O$297=""),"",IF(Registro_Compras!$F$297="RHE",IF(Registro_Compras!$V$297=0,"","4017"),IF(Registro_Compras!$F$297="NOTA DE CREDITO",IF(Registro_Compras!$M$297="","63",Registro_Compras!$M$297),IF(Registro_Compras!$K$297=0,"","40111"))))</f>
        <v/>
      </c>
      <c r="D2643" t="str">
        <f>IF(OR(Registro_Compras!$C$297="",Registro_Compras!$O$297=""),"",IF(Registro_Compras!$F$297="RHE","Retencion Renta 4ta Categoria por Pagar",IF(Registro_Compras!$F$297="NOTA DE CREDITO","Gastos de Servicios Prestados por Terceros","IGV - Cuenta Propia (Credito Fiscal)")))</f>
        <v/>
      </c>
      <c r="E2643" s="20" t="str">
        <f>IF($C2643="","",IF(Registro_Compras!$F$297="FACTURA",ROUND(Registro_Compras!$K$297*Registro_Compras!$N$297,2),""))</f>
        <v/>
      </c>
      <c r="F2643" s="20" t="str">
        <f>IF($C2643="","",IF(Registro_Compras!$F$297="RHE",ROUND(Registro_Compras!$V$297*Registro_Compras!$N$297,2),IF(Registro_Compras!$F$297="NOTA DE CREDITO",ROUND(ABS(Registro_Compras!$J$297*Registro_Compras!$N$297),2),"")))</f>
        <v/>
      </c>
      <c r="G2643" t="str">
        <f>IF($C2643="","",IF(Registro_Compras!$F$297="NOTA DE CREDITO","Por la nota de credito "&amp;Registro_Compras!$C$297&amp;" de "&amp;Registro_Compras!$E$297&amp;" [PATRON POR CONFIRMAR CON CONTADOR]",IF(Registro_Compras!$F$297="RHE","Por el registro del recibo por honorarios "&amp;Registro_Compras!$C$297&amp;" de "&amp;Registro_Compras!$E$297&amp;" [PATRON POR CONFIRMAR CON CONTADOR]","Por el registro de la factura "&amp;Registro_Compras!$C$297&amp;" de "&amp;Registro_Compras!$E$297)))</f>
        <v/>
      </c>
      <c r="H2643" t="str">
        <f>IF($C2643="","",Registro_Compras!$C$297)</f>
        <v/>
      </c>
    </row>
    <row r="2644" spans="1:8" x14ac:dyDescent="0.25">
      <c r="A2644" s="25" t="str">
        <f>IF($C2644="","",Registro_Compras!$B$297)</f>
        <v/>
      </c>
      <c r="B2644" t="str">
        <f>IF($C2644="","","C"&amp;TEXT(INT((ROW()-5)/9)+1,"000")&amp;"-1")</f>
        <v/>
      </c>
      <c r="C2644" t="str">
        <f>IF(OR(Registro_Compras!$C$297="",Registro_Compras!$O$297=""),"",IF(Registro_Compras!$F$297="NOTA DE CREDITO",IF(Registro_Compras!$K$297=0,"","40111"),"4212"))</f>
        <v/>
      </c>
      <c r="D2644" t="str">
        <f>IF(OR(Registro_Compras!$C$297="",Registro_Compras!$O$297=""),"",IF(Registro_Compras!$F$297="NOTA DE CREDITO","IGV - Cuenta Propia (Credito Fiscal)","Cuentas por Pagar Comerciales - Terceros (Emitidas)"))</f>
        <v/>
      </c>
      <c r="E2644" s="20" t="str">
        <f>""</f>
        <v/>
      </c>
      <c r="F2644" s="20" t="str">
        <f>IF($C2644="","",IF(Registro_Compras!$F$297="NOTA DE CREDITO",ROUND(ABS(Registro_Compras!$K$297*Registro_Compras!$N$297),2),IF(Registro_Compras!$F$297="RHE",(ROUND(Registro_Compras!$L$297*Registro_Compras!$N$297,2)-ROUND(Registro_Compras!$V$297*Registro_Compras!$N$297,2)),Registro_Compras!$O$297)))</f>
        <v/>
      </c>
      <c r="G2644" t="str">
        <f>IF($C2644="","",IF(Registro_Compras!$F$297="NOTA DE CREDITO","Por la nota de credito "&amp;Registro_Compras!$C$297&amp;" de "&amp;Registro_Compras!$E$297&amp;" [PATRON POR CONFIRMAR CON CONTADOR]",IF(Registro_Compras!$F$297="RHE","Por el registro del recibo por honorarios "&amp;Registro_Compras!$C$297&amp;" de "&amp;Registro_Compras!$E$297&amp;" [PATRON POR CONFIRMAR CON CONTADOR]","Por el registro de la factura "&amp;Registro_Compras!$C$297&amp;" de "&amp;Registro_Compras!$E$297)))</f>
        <v/>
      </c>
      <c r="H2644" t="str">
        <f>IF($C2644="","",Registro_Compras!$C$297)</f>
        <v/>
      </c>
    </row>
    <row r="2645" spans="1:8" x14ac:dyDescent="0.25">
      <c r="A2645" s="25" t="str">
        <f>IF($C2645="","",Registro_Compras!$B$297)</f>
        <v/>
      </c>
      <c r="B2645" t="str">
        <f>IF($C2645="","","C"&amp;TEXT(INT((ROW()-5)/9)+1,"000")&amp;"-2")</f>
        <v/>
      </c>
      <c r="C2645" t="str">
        <f>IF(OR(Registro_Compras!$C$297="",Registro_Compras!$O$297=""),"",IF(Registro_Compras!$AB$297="ADMINISTRATIVO","94","95"))</f>
        <v/>
      </c>
      <c r="D2645" t="str">
        <f>IF(OR(Registro_Compras!$C$297="",Registro_Compras!$O$297=""),"",IF(Registro_Compras!$AB$297="ADMINISTRATIVO","Gastos Administrativos","Gastos de Venta y Operacion"))</f>
        <v/>
      </c>
      <c r="E2645" s="20" t="str">
        <f>IF($C2645="","",IF(Registro_Compras!$F$297="NOTA DE CREDITO","",IF(Registro_Compras!$F$297="RHE",ROUND(Registro_Compras!$L$297*Registro_Compras!$N$297,2),ROUND(Registro_Compras!$J$297*Registro_Compras!$N$297,2))))</f>
        <v/>
      </c>
      <c r="F2645" s="20" t="str">
        <f>IF($C2645="","",IF(Registro_Compras!$F$297="NOTA DE CREDITO",ROUND(ABS(Registro_Compras!$J$297*Registro_Compras!$N$297),2),""))</f>
        <v/>
      </c>
      <c r="G2645" t="str">
        <f>IF($C2645="","","Por el destino del gasto")</f>
        <v/>
      </c>
      <c r="H2645" t="str">
        <f>IF($C2645="","",Registro_Compras!$C$297)</f>
        <v/>
      </c>
    </row>
    <row r="2646" spans="1:8" x14ac:dyDescent="0.25">
      <c r="A2646" s="25" t="str">
        <f>IF($C2646="","",Registro_Compras!$B$297)</f>
        <v/>
      </c>
      <c r="B2646" t="str">
        <f>IF($C2646="","","C"&amp;TEXT(INT((ROW()-5)/9)+1,"000")&amp;"-2")</f>
        <v/>
      </c>
      <c r="C2646" t="str">
        <f>IF(OR(Registro_Compras!$C$297="",Registro_Compras!$O$297=""),"","79/791")</f>
        <v/>
      </c>
      <c r="D2646" t="str">
        <f>IF(OR(Registro_Compras!$C$297="",Registro_Compras!$O$297=""),"","Cargas Imputables a Cuentas de Costos y Gastos")</f>
        <v/>
      </c>
      <c r="E2646" s="20" t="str">
        <f>IF($C2646="","",IF(Registro_Compras!$F$297="NOTA DE CREDITO",ROUND(ABS(Registro_Compras!$J$297*Registro_Compras!$N$297),2),""))</f>
        <v/>
      </c>
      <c r="F2646" s="20" t="str">
        <f>IF($C2646="","",IF(Registro_Compras!$F$297="NOTA DE CREDITO","",IF(Registro_Compras!$F$297="RHE",ROUND(Registro_Compras!$L$297*Registro_Compras!$N$297,2),ROUND(Registro_Compras!$J$297*Registro_Compras!$N$297,2))))</f>
        <v/>
      </c>
      <c r="G2646" t="str">
        <f>IF($C2646="","","Por el destino del gasto")</f>
        <v/>
      </c>
      <c r="H2646" t="str">
        <f>IF($C2646="","",Registro_Compras!$C$297)</f>
        <v/>
      </c>
    </row>
    <row r="2647" spans="1:8" x14ac:dyDescent="0.25">
      <c r="A2647" s="25" t="str">
        <f>IF($C2647="","",Registro_Compras!$X$297)</f>
        <v/>
      </c>
      <c r="B2647" t="str">
        <f>IF($C2647="","","C"&amp;TEXT(INT((ROW()-5)/9)+1,"000")&amp;"-3")</f>
        <v/>
      </c>
      <c r="C2647" t="str">
        <f>IF(OR(Registro_Compras!$C$297="",Registro_Compras!$O$297="",Registro_Compras!$R$297&lt;&gt;"SI",Registro_Compras!$X$297=""),"","4212")</f>
        <v/>
      </c>
      <c r="D2647" t="str">
        <f>IF(OR(Registro_Compras!$C$297="",Registro_Compras!$O$297=""),"","Cuentas por Pagar Comerciales - Terceros")</f>
        <v/>
      </c>
      <c r="E2647" s="20" t="str">
        <f>IF($C2647="","",Registro_Compras!$S$297)</f>
        <v/>
      </c>
      <c r="F2647" s="20" t="str">
        <f>""</f>
        <v/>
      </c>
      <c r="G2647" t="str">
        <f>IF($C2647="","","Por el deposito de la detraccion en el Banco de la Nacion")</f>
        <v/>
      </c>
      <c r="H2647" t="str">
        <f>IF($C2647="","",Registro_Compras!$C$297)</f>
        <v/>
      </c>
    </row>
    <row r="2648" spans="1:8" x14ac:dyDescent="0.25">
      <c r="A2648" s="25" t="str">
        <f>IF($C2648="","",Registro_Compras!$X$297)</f>
        <v/>
      </c>
      <c r="B2648" t="str">
        <f>IF($C2648="","","C"&amp;TEXT(INT((ROW()-5)/9)+1,"000")&amp;"-3")</f>
        <v/>
      </c>
      <c r="C2648" t="str">
        <f>IF(OR(Registro_Compras!$C$297="",Registro_Compras!$O$297="",Registro_Compras!$R$297&lt;&gt;"SI",Registro_Compras!$X$297=""),"","1041")</f>
        <v/>
      </c>
      <c r="D2648" t="str">
        <f>IF(OR(Registro_Compras!$C$297="",Registro_Compras!$O$297=""),"","Efectivo y Equivalentes - Cta. Cte. Operativa")</f>
        <v/>
      </c>
      <c r="E2648" s="20" t="str">
        <f>""</f>
        <v/>
      </c>
      <c r="F2648" s="20" t="str">
        <f>IF($C2648="","",Registro_Compras!$S$297)</f>
        <v/>
      </c>
      <c r="G2648" t="str">
        <f>IF($C2648="","","Por el deposito de la detraccion en el Banco de la Nacion")</f>
        <v/>
      </c>
      <c r="H2648" t="str">
        <f>IF($C2648="","",Registro_Compras!$C$297)</f>
        <v/>
      </c>
    </row>
    <row r="2649" spans="1:8" x14ac:dyDescent="0.25">
      <c r="A2649" s="25" t="str">
        <f>IF($C2649="","",Registro_Compras!$Y$297)</f>
        <v/>
      </c>
      <c r="B2649" t="str">
        <f>IF($C2649="","","C"&amp;TEXT(INT((ROW()-5)/9)+1,"000")&amp;"-4")</f>
        <v/>
      </c>
      <c r="C2649" t="str">
        <f>IF(OR(Registro_Compras!$C$297="",Registro_Compras!$O$297="",Registro_Compras!$Y$297="",Registro_Compras!$F$297="NOTA DE CREDITO"),"","4212")</f>
        <v/>
      </c>
      <c r="D2649" t="str">
        <f>IF(OR(Registro_Compras!$C$297="",Registro_Compras!$O$297=""),"","Cuentas por Pagar Comerciales - Terceros")</f>
        <v/>
      </c>
      <c r="E2649" s="20" t="str">
        <f>IF($C2649="","",IF(Registro_Compras!$F$297="RHE",(ROUND(Registro_Compras!$L$297*Registro_Compras!$N$297,2)-ROUND(Registro_Compras!$V$297*Registro_Compras!$N$297,2)),ROUND(Registro_Compras!$O$297-Registro_Compras!$S$297,2)))</f>
        <v/>
      </c>
      <c r="F2649" s="20" t="str">
        <f>""</f>
        <v/>
      </c>
      <c r="G2649" t="str">
        <f>IF($C2649="","","Por la cancelacion del saldo al proveedor")</f>
        <v/>
      </c>
      <c r="H2649" t="str">
        <f>IF($C2649="","",Registro_Compras!$C$297)</f>
        <v/>
      </c>
    </row>
    <row r="2650" spans="1:8" x14ac:dyDescent="0.25">
      <c r="A2650" s="25" t="str">
        <f>IF($C2650="","",Registro_Compras!$Y$297)</f>
        <v/>
      </c>
      <c r="B2650" t="str">
        <f>IF($C2650="","","C"&amp;TEXT(INT((ROW()-5)/9)+1,"000")&amp;"-4")</f>
        <v/>
      </c>
      <c r="C2650" t="str">
        <f>IF(OR(Registro_Compras!$C$297="",Registro_Compras!$O$297="",Registro_Compras!$Y$297="",Registro_Compras!$F$297="NOTA DE CREDITO"),"","1041")</f>
        <v/>
      </c>
      <c r="D2650" t="str">
        <f>IF(OR(Registro_Compras!$C$297="",Registro_Compras!$O$297=""),"","Efectivo y Equivalentes - Cta. Cte. Operativa")</f>
        <v/>
      </c>
      <c r="E2650" s="20" t="str">
        <f>""</f>
        <v/>
      </c>
      <c r="F2650" s="20" t="str">
        <f>IF($C2650="","",IF(Registro_Compras!$F$297="RHE",(ROUND(Registro_Compras!$L$297*Registro_Compras!$N$297,2)-ROUND(Registro_Compras!$V$297*Registro_Compras!$N$297,2)),ROUND(Registro_Compras!$O$297-Registro_Compras!$S$297,2)))</f>
        <v/>
      </c>
      <c r="G2650" t="str">
        <f>IF($C2650="","","Por la cancelacion del saldo al proveedor")</f>
        <v/>
      </c>
      <c r="H2650" t="str">
        <f>IF($C2650="","",Registro_Compras!$C$297)</f>
        <v/>
      </c>
    </row>
    <row r="2651" spans="1:8" x14ac:dyDescent="0.25">
      <c r="A2651" s="25" t="str">
        <f>IF($C2651="","",Registro_Compras!$B$298)</f>
        <v/>
      </c>
      <c r="B2651" t="str">
        <f>IF($C2651="","","C"&amp;TEXT(INT((ROW()-5)/9)+1,"000")&amp;"-1")</f>
        <v/>
      </c>
      <c r="C2651" t="str">
        <f>IF(OR(Registro_Compras!$C$298="",Registro_Compras!$O$298=""),"",IF(Registro_Compras!$F$298="NOTA DE CREDITO","4212",IF(Registro_Compras!$M$298="","63",Registro_Compras!$M$298)))</f>
        <v/>
      </c>
      <c r="D2651" t="str">
        <f>IF(OR(Registro_Compras!$C$298="",Registro_Compras!$O$298=""),"",IF(Registro_Compras!$F$298="NOTA DE CREDITO","Cuentas por Pagar Comerciales - Terceros (Emitidas)",IF(Registro_Compras!$F$298="RHE","Honorarios Profesionales - Servicios de Terceros","Gastos de Servicios Prestados por Terceros")))</f>
        <v/>
      </c>
      <c r="E2651" s="20" t="str">
        <f>IF($C2651="","",IF(Registro_Compras!$F$298="NOTA DE CREDITO",ABS(Registro_Compras!$O$298),IF(Registro_Compras!$F$298="RHE",ROUND(Registro_Compras!$L$298*Registro_Compras!$N$298,2),ROUND(Registro_Compras!$J$298*Registro_Compras!$N$298,2))))</f>
        <v/>
      </c>
      <c r="F2651" s="20" t="str">
        <f>""</f>
        <v/>
      </c>
      <c r="G2651" t="str">
        <f>IF($C2651="","",IF(Registro_Compras!$F$298="NOTA DE CREDITO","Por la nota de credito "&amp;Registro_Compras!$C$298&amp;" de "&amp;Registro_Compras!$E$298&amp;" [PATRON POR CONFIRMAR CON CONTADOR]",IF(Registro_Compras!$F$298="RHE","Por el registro del recibo por honorarios "&amp;Registro_Compras!$C$298&amp;" de "&amp;Registro_Compras!$E$298&amp;" [PATRON POR CONFIRMAR CON CONTADOR]","Por el registro de la factura "&amp;Registro_Compras!$C$298&amp;" de "&amp;Registro_Compras!$E$298)))</f>
        <v/>
      </c>
      <c r="H2651" t="str">
        <f>IF($C2651="","",Registro_Compras!$C$298)</f>
        <v/>
      </c>
    </row>
    <row r="2652" spans="1:8" x14ac:dyDescent="0.25">
      <c r="A2652" s="25" t="str">
        <f>IF($C2652="","",Registro_Compras!$B$298)</f>
        <v/>
      </c>
      <c r="B2652" t="str">
        <f>IF($C2652="","","C"&amp;TEXT(INT((ROW()-5)/9)+1,"000")&amp;"-1")</f>
        <v/>
      </c>
      <c r="C2652" t="str">
        <f>IF(OR(Registro_Compras!$C$298="",Registro_Compras!$O$298=""),"",IF(Registro_Compras!$F$298="RHE",IF(Registro_Compras!$V$298=0,"","4017"),IF(Registro_Compras!$F$298="NOTA DE CREDITO",IF(Registro_Compras!$M$298="","63",Registro_Compras!$M$298),IF(Registro_Compras!$K$298=0,"","40111"))))</f>
        <v/>
      </c>
      <c r="D2652" t="str">
        <f>IF(OR(Registro_Compras!$C$298="",Registro_Compras!$O$298=""),"",IF(Registro_Compras!$F$298="RHE","Retencion Renta 4ta Categoria por Pagar",IF(Registro_Compras!$F$298="NOTA DE CREDITO","Gastos de Servicios Prestados por Terceros","IGV - Cuenta Propia (Credito Fiscal)")))</f>
        <v/>
      </c>
      <c r="E2652" s="20" t="str">
        <f>IF($C2652="","",IF(Registro_Compras!$F$298="FACTURA",ROUND(Registro_Compras!$K$298*Registro_Compras!$N$298,2),""))</f>
        <v/>
      </c>
      <c r="F2652" s="20" t="str">
        <f>IF($C2652="","",IF(Registro_Compras!$F$298="RHE",ROUND(Registro_Compras!$V$298*Registro_Compras!$N$298,2),IF(Registro_Compras!$F$298="NOTA DE CREDITO",ROUND(ABS(Registro_Compras!$J$298*Registro_Compras!$N$298),2),"")))</f>
        <v/>
      </c>
      <c r="G2652" t="str">
        <f>IF($C2652="","",IF(Registro_Compras!$F$298="NOTA DE CREDITO","Por la nota de credito "&amp;Registro_Compras!$C$298&amp;" de "&amp;Registro_Compras!$E$298&amp;" [PATRON POR CONFIRMAR CON CONTADOR]",IF(Registro_Compras!$F$298="RHE","Por el registro del recibo por honorarios "&amp;Registro_Compras!$C$298&amp;" de "&amp;Registro_Compras!$E$298&amp;" [PATRON POR CONFIRMAR CON CONTADOR]","Por el registro de la factura "&amp;Registro_Compras!$C$298&amp;" de "&amp;Registro_Compras!$E$298)))</f>
        <v/>
      </c>
      <c r="H2652" t="str">
        <f>IF($C2652="","",Registro_Compras!$C$298)</f>
        <v/>
      </c>
    </row>
    <row r="2653" spans="1:8" x14ac:dyDescent="0.25">
      <c r="A2653" s="25" t="str">
        <f>IF($C2653="","",Registro_Compras!$B$298)</f>
        <v/>
      </c>
      <c r="B2653" t="str">
        <f>IF($C2653="","","C"&amp;TEXT(INT((ROW()-5)/9)+1,"000")&amp;"-1")</f>
        <v/>
      </c>
      <c r="C2653" t="str">
        <f>IF(OR(Registro_Compras!$C$298="",Registro_Compras!$O$298=""),"",IF(Registro_Compras!$F$298="NOTA DE CREDITO",IF(Registro_Compras!$K$298=0,"","40111"),"4212"))</f>
        <v/>
      </c>
      <c r="D2653" t="str">
        <f>IF(OR(Registro_Compras!$C$298="",Registro_Compras!$O$298=""),"",IF(Registro_Compras!$F$298="NOTA DE CREDITO","IGV - Cuenta Propia (Credito Fiscal)","Cuentas por Pagar Comerciales - Terceros (Emitidas)"))</f>
        <v/>
      </c>
      <c r="E2653" s="20" t="str">
        <f>""</f>
        <v/>
      </c>
      <c r="F2653" s="20" t="str">
        <f>IF($C2653="","",IF(Registro_Compras!$F$298="NOTA DE CREDITO",ROUND(ABS(Registro_Compras!$K$298*Registro_Compras!$N$298),2),IF(Registro_Compras!$F$298="RHE",(ROUND(Registro_Compras!$L$298*Registro_Compras!$N$298,2)-ROUND(Registro_Compras!$V$298*Registro_Compras!$N$298,2)),Registro_Compras!$O$298)))</f>
        <v/>
      </c>
      <c r="G2653" t="str">
        <f>IF($C2653="","",IF(Registro_Compras!$F$298="NOTA DE CREDITO","Por la nota de credito "&amp;Registro_Compras!$C$298&amp;" de "&amp;Registro_Compras!$E$298&amp;" [PATRON POR CONFIRMAR CON CONTADOR]",IF(Registro_Compras!$F$298="RHE","Por el registro del recibo por honorarios "&amp;Registro_Compras!$C$298&amp;" de "&amp;Registro_Compras!$E$298&amp;" [PATRON POR CONFIRMAR CON CONTADOR]","Por el registro de la factura "&amp;Registro_Compras!$C$298&amp;" de "&amp;Registro_Compras!$E$298)))</f>
        <v/>
      </c>
      <c r="H2653" t="str">
        <f>IF($C2653="","",Registro_Compras!$C$298)</f>
        <v/>
      </c>
    </row>
    <row r="2654" spans="1:8" x14ac:dyDescent="0.25">
      <c r="A2654" s="25" t="str">
        <f>IF($C2654="","",Registro_Compras!$B$298)</f>
        <v/>
      </c>
      <c r="B2654" t="str">
        <f>IF($C2654="","","C"&amp;TEXT(INT((ROW()-5)/9)+1,"000")&amp;"-2")</f>
        <v/>
      </c>
      <c r="C2654" t="str">
        <f>IF(OR(Registro_Compras!$C$298="",Registro_Compras!$O$298=""),"",IF(Registro_Compras!$AB$298="ADMINISTRATIVO","94","95"))</f>
        <v/>
      </c>
      <c r="D2654" t="str">
        <f>IF(OR(Registro_Compras!$C$298="",Registro_Compras!$O$298=""),"",IF(Registro_Compras!$AB$298="ADMINISTRATIVO","Gastos Administrativos","Gastos de Venta y Operacion"))</f>
        <v/>
      </c>
      <c r="E2654" s="20" t="str">
        <f>IF($C2654="","",IF(Registro_Compras!$F$298="NOTA DE CREDITO","",IF(Registro_Compras!$F$298="RHE",ROUND(Registro_Compras!$L$298*Registro_Compras!$N$298,2),ROUND(Registro_Compras!$J$298*Registro_Compras!$N$298,2))))</f>
        <v/>
      </c>
      <c r="F2654" s="20" t="str">
        <f>IF($C2654="","",IF(Registro_Compras!$F$298="NOTA DE CREDITO",ROUND(ABS(Registro_Compras!$J$298*Registro_Compras!$N$298),2),""))</f>
        <v/>
      </c>
      <c r="G2654" t="str">
        <f>IF($C2654="","","Por el destino del gasto")</f>
        <v/>
      </c>
      <c r="H2654" t="str">
        <f>IF($C2654="","",Registro_Compras!$C$298)</f>
        <v/>
      </c>
    </row>
    <row r="2655" spans="1:8" x14ac:dyDescent="0.25">
      <c r="A2655" s="25" t="str">
        <f>IF($C2655="","",Registro_Compras!$B$298)</f>
        <v/>
      </c>
      <c r="B2655" t="str">
        <f>IF($C2655="","","C"&amp;TEXT(INT((ROW()-5)/9)+1,"000")&amp;"-2")</f>
        <v/>
      </c>
      <c r="C2655" t="str">
        <f>IF(OR(Registro_Compras!$C$298="",Registro_Compras!$O$298=""),"","79/791")</f>
        <v/>
      </c>
      <c r="D2655" t="str">
        <f>IF(OR(Registro_Compras!$C$298="",Registro_Compras!$O$298=""),"","Cargas Imputables a Cuentas de Costos y Gastos")</f>
        <v/>
      </c>
      <c r="E2655" s="20" t="str">
        <f>IF($C2655="","",IF(Registro_Compras!$F$298="NOTA DE CREDITO",ROUND(ABS(Registro_Compras!$J$298*Registro_Compras!$N$298),2),""))</f>
        <v/>
      </c>
      <c r="F2655" s="20" t="str">
        <f>IF($C2655="","",IF(Registro_Compras!$F$298="NOTA DE CREDITO","",IF(Registro_Compras!$F$298="RHE",ROUND(Registro_Compras!$L$298*Registro_Compras!$N$298,2),ROUND(Registro_Compras!$J$298*Registro_Compras!$N$298,2))))</f>
        <v/>
      </c>
      <c r="G2655" t="str">
        <f>IF($C2655="","","Por el destino del gasto")</f>
        <v/>
      </c>
      <c r="H2655" t="str">
        <f>IF($C2655="","",Registro_Compras!$C$298)</f>
        <v/>
      </c>
    </row>
    <row r="2656" spans="1:8" x14ac:dyDescent="0.25">
      <c r="A2656" s="25" t="str">
        <f>IF($C2656="","",Registro_Compras!$X$298)</f>
        <v/>
      </c>
      <c r="B2656" t="str">
        <f>IF($C2656="","","C"&amp;TEXT(INT((ROW()-5)/9)+1,"000")&amp;"-3")</f>
        <v/>
      </c>
      <c r="C2656" t="str">
        <f>IF(OR(Registro_Compras!$C$298="",Registro_Compras!$O$298="",Registro_Compras!$R$298&lt;&gt;"SI",Registro_Compras!$X$298=""),"","4212")</f>
        <v/>
      </c>
      <c r="D2656" t="str">
        <f>IF(OR(Registro_Compras!$C$298="",Registro_Compras!$O$298=""),"","Cuentas por Pagar Comerciales - Terceros")</f>
        <v/>
      </c>
      <c r="E2656" s="20" t="str">
        <f>IF($C2656="","",Registro_Compras!$S$298)</f>
        <v/>
      </c>
      <c r="F2656" s="20" t="str">
        <f>""</f>
        <v/>
      </c>
      <c r="G2656" t="str">
        <f>IF($C2656="","","Por el deposito de la detraccion en el Banco de la Nacion")</f>
        <v/>
      </c>
      <c r="H2656" t="str">
        <f>IF($C2656="","",Registro_Compras!$C$298)</f>
        <v/>
      </c>
    </row>
    <row r="2657" spans="1:8" x14ac:dyDescent="0.25">
      <c r="A2657" s="25" t="str">
        <f>IF($C2657="","",Registro_Compras!$X$298)</f>
        <v/>
      </c>
      <c r="B2657" t="str">
        <f>IF($C2657="","","C"&amp;TEXT(INT((ROW()-5)/9)+1,"000")&amp;"-3")</f>
        <v/>
      </c>
      <c r="C2657" t="str">
        <f>IF(OR(Registro_Compras!$C$298="",Registro_Compras!$O$298="",Registro_Compras!$R$298&lt;&gt;"SI",Registro_Compras!$X$298=""),"","1041")</f>
        <v/>
      </c>
      <c r="D2657" t="str">
        <f>IF(OR(Registro_Compras!$C$298="",Registro_Compras!$O$298=""),"","Efectivo y Equivalentes - Cta. Cte. Operativa")</f>
        <v/>
      </c>
      <c r="E2657" s="20" t="str">
        <f>""</f>
        <v/>
      </c>
      <c r="F2657" s="20" t="str">
        <f>IF($C2657="","",Registro_Compras!$S$298)</f>
        <v/>
      </c>
      <c r="G2657" t="str">
        <f>IF($C2657="","","Por el deposito de la detraccion en el Banco de la Nacion")</f>
        <v/>
      </c>
      <c r="H2657" t="str">
        <f>IF($C2657="","",Registro_Compras!$C$298)</f>
        <v/>
      </c>
    </row>
    <row r="2658" spans="1:8" x14ac:dyDescent="0.25">
      <c r="A2658" s="25" t="str">
        <f>IF($C2658="","",Registro_Compras!$Y$298)</f>
        <v/>
      </c>
      <c r="B2658" t="str">
        <f>IF($C2658="","","C"&amp;TEXT(INT((ROW()-5)/9)+1,"000")&amp;"-4")</f>
        <v/>
      </c>
      <c r="C2658" t="str">
        <f>IF(OR(Registro_Compras!$C$298="",Registro_Compras!$O$298="",Registro_Compras!$Y$298="",Registro_Compras!$F$298="NOTA DE CREDITO"),"","4212")</f>
        <v/>
      </c>
      <c r="D2658" t="str">
        <f>IF(OR(Registro_Compras!$C$298="",Registro_Compras!$O$298=""),"","Cuentas por Pagar Comerciales - Terceros")</f>
        <v/>
      </c>
      <c r="E2658" s="20" t="str">
        <f>IF($C2658="","",IF(Registro_Compras!$F$298="RHE",(ROUND(Registro_Compras!$L$298*Registro_Compras!$N$298,2)-ROUND(Registro_Compras!$V$298*Registro_Compras!$N$298,2)),ROUND(Registro_Compras!$O$298-Registro_Compras!$S$298,2)))</f>
        <v/>
      </c>
      <c r="F2658" s="20" t="str">
        <f>""</f>
        <v/>
      </c>
      <c r="G2658" t="str">
        <f>IF($C2658="","","Por la cancelacion del saldo al proveedor")</f>
        <v/>
      </c>
      <c r="H2658" t="str">
        <f>IF($C2658="","",Registro_Compras!$C$298)</f>
        <v/>
      </c>
    </row>
    <row r="2659" spans="1:8" x14ac:dyDescent="0.25">
      <c r="A2659" s="25" t="str">
        <f>IF($C2659="","",Registro_Compras!$Y$298)</f>
        <v/>
      </c>
      <c r="B2659" t="str">
        <f>IF($C2659="","","C"&amp;TEXT(INT((ROW()-5)/9)+1,"000")&amp;"-4")</f>
        <v/>
      </c>
      <c r="C2659" t="str">
        <f>IF(OR(Registro_Compras!$C$298="",Registro_Compras!$O$298="",Registro_Compras!$Y$298="",Registro_Compras!$F$298="NOTA DE CREDITO"),"","1041")</f>
        <v/>
      </c>
      <c r="D2659" t="str">
        <f>IF(OR(Registro_Compras!$C$298="",Registro_Compras!$O$298=""),"","Efectivo y Equivalentes - Cta. Cte. Operativa")</f>
        <v/>
      </c>
      <c r="E2659" s="20" t="str">
        <f>""</f>
        <v/>
      </c>
      <c r="F2659" s="20" t="str">
        <f>IF($C2659="","",IF(Registro_Compras!$F$298="RHE",(ROUND(Registro_Compras!$L$298*Registro_Compras!$N$298,2)-ROUND(Registro_Compras!$V$298*Registro_Compras!$N$298,2)),ROUND(Registro_Compras!$O$298-Registro_Compras!$S$298,2)))</f>
        <v/>
      </c>
      <c r="G2659" t="str">
        <f>IF($C2659="","","Por la cancelacion del saldo al proveedor")</f>
        <v/>
      </c>
      <c r="H2659" t="str">
        <f>IF($C2659="","",Registro_Compras!$C$298)</f>
        <v/>
      </c>
    </row>
    <row r="2660" spans="1:8" x14ac:dyDescent="0.25">
      <c r="A2660" s="25" t="str">
        <f>IF($C2660="","",Registro_Compras!$B$299)</f>
        <v/>
      </c>
      <c r="B2660" t="str">
        <f>IF($C2660="","","C"&amp;TEXT(INT((ROW()-5)/9)+1,"000")&amp;"-1")</f>
        <v/>
      </c>
      <c r="C2660" t="str">
        <f>IF(OR(Registro_Compras!$C$299="",Registro_Compras!$O$299=""),"",IF(Registro_Compras!$F$299="NOTA DE CREDITO","4212",IF(Registro_Compras!$M$299="","63",Registro_Compras!$M$299)))</f>
        <v/>
      </c>
      <c r="D2660" t="str">
        <f>IF(OR(Registro_Compras!$C$299="",Registro_Compras!$O$299=""),"",IF(Registro_Compras!$F$299="NOTA DE CREDITO","Cuentas por Pagar Comerciales - Terceros (Emitidas)",IF(Registro_Compras!$F$299="RHE","Honorarios Profesionales - Servicios de Terceros","Gastos de Servicios Prestados por Terceros")))</f>
        <v/>
      </c>
      <c r="E2660" s="20" t="str">
        <f>IF($C2660="","",IF(Registro_Compras!$F$299="NOTA DE CREDITO",ABS(Registro_Compras!$O$299),IF(Registro_Compras!$F$299="RHE",ROUND(Registro_Compras!$L$299*Registro_Compras!$N$299,2),ROUND(Registro_Compras!$J$299*Registro_Compras!$N$299,2))))</f>
        <v/>
      </c>
      <c r="F2660" s="20" t="str">
        <f>""</f>
        <v/>
      </c>
      <c r="G2660" t="str">
        <f>IF($C2660="","",IF(Registro_Compras!$F$299="NOTA DE CREDITO","Por la nota de credito "&amp;Registro_Compras!$C$299&amp;" de "&amp;Registro_Compras!$E$299&amp;" [PATRON POR CONFIRMAR CON CONTADOR]",IF(Registro_Compras!$F$299="RHE","Por el registro del recibo por honorarios "&amp;Registro_Compras!$C$299&amp;" de "&amp;Registro_Compras!$E$299&amp;" [PATRON POR CONFIRMAR CON CONTADOR]","Por el registro de la factura "&amp;Registro_Compras!$C$299&amp;" de "&amp;Registro_Compras!$E$299)))</f>
        <v/>
      </c>
      <c r="H2660" t="str">
        <f>IF($C2660="","",Registro_Compras!$C$299)</f>
        <v/>
      </c>
    </row>
    <row r="2661" spans="1:8" x14ac:dyDescent="0.25">
      <c r="A2661" s="25" t="str">
        <f>IF($C2661="","",Registro_Compras!$B$299)</f>
        <v/>
      </c>
      <c r="B2661" t="str">
        <f>IF($C2661="","","C"&amp;TEXT(INT((ROW()-5)/9)+1,"000")&amp;"-1")</f>
        <v/>
      </c>
      <c r="C2661" t="str">
        <f>IF(OR(Registro_Compras!$C$299="",Registro_Compras!$O$299=""),"",IF(Registro_Compras!$F$299="RHE",IF(Registro_Compras!$V$299=0,"","4017"),IF(Registro_Compras!$F$299="NOTA DE CREDITO",IF(Registro_Compras!$M$299="","63",Registro_Compras!$M$299),IF(Registro_Compras!$K$299=0,"","40111"))))</f>
        <v/>
      </c>
      <c r="D2661" t="str">
        <f>IF(OR(Registro_Compras!$C$299="",Registro_Compras!$O$299=""),"",IF(Registro_Compras!$F$299="RHE","Retencion Renta 4ta Categoria por Pagar",IF(Registro_Compras!$F$299="NOTA DE CREDITO","Gastos de Servicios Prestados por Terceros","IGV - Cuenta Propia (Credito Fiscal)")))</f>
        <v/>
      </c>
      <c r="E2661" s="20" t="str">
        <f>IF($C2661="","",IF(Registro_Compras!$F$299="FACTURA",ROUND(Registro_Compras!$K$299*Registro_Compras!$N$299,2),""))</f>
        <v/>
      </c>
      <c r="F2661" s="20" t="str">
        <f>IF($C2661="","",IF(Registro_Compras!$F$299="RHE",ROUND(Registro_Compras!$V$299*Registro_Compras!$N$299,2),IF(Registro_Compras!$F$299="NOTA DE CREDITO",ROUND(ABS(Registro_Compras!$J$299*Registro_Compras!$N$299),2),"")))</f>
        <v/>
      </c>
      <c r="G2661" t="str">
        <f>IF($C2661="","",IF(Registro_Compras!$F$299="NOTA DE CREDITO","Por la nota de credito "&amp;Registro_Compras!$C$299&amp;" de "&amp;Registro_Compras!$E$299&amp;" [PATRON POR CONFIRMAR CON CONTADOR]",IF(Registro_Compras!$F$299="RHE","Por el registro del recibo por honorarios "&amp;Registro_Compras!$C$299&amp;" de "&amp;Registro_Compras!$E$299&amp;" [PATRON POR CONFIRMAR CON CONTADOR]","Por el registro de la factura "&amp;Registro_Compras!$C$299&amp;" de "&amp;Registro_Compras!$E$299)))</f>
        <v/>
      </c>
      <c r="H2661" t="str">
        <f>IF($C2661="","",Registro_Compras!$C$299)</f>
        <v/>
      </c>
    </row>
    <row r="2662" spans="1:8" x14ac:dyDescent="0.25">
      <c r="A2662" s="25" t="str">
        <f>IF($C2662="","",Registro_Compras!$B$299)</f>
        <v/>
      </c>
      <c r="B2662" t="str">
        <f>IF($C2662="","","C"&amp;TEXT(INT((ROW()-5)/9)+1,"000")&amp;"-1")</f>
        <v/>
      </c>
      <c r="C2662" t="str">
        <f>IF(OR(Registro_Compras!$C$299="",Registro_Compras!$O$299=""),"",IF(Registro_Compras!$F$299="NOTA DE CREDITO",IF(Registro_Compras!$K$299=0,"","40111"),"4212"))</f>
        <v/>
      </c>
      <c r="D2662" t="str">
        <f>IF(OR(Registro_Compras!$C$299="",Registro_Compras!$O$299=""),"",IF(Registro_Compras!$F$299="NOTA DE CREDITO","IGV - Cuenta Propia (Credito Fiscal)","Cuentas por Pagar Comerciales - Terceros (Emitidas)"))</f>
        <v/>
      </c>
      <c r="E2662" s="20" t="str">
        <f>""</f>
        <v/>
      </c>
      <c r="F2662" s="20" t="str">
        <f>IF($C2662="","",IF(Registro_Compras!$F$299="NOTA DE CREDITO",ROUND(ABS(Registro_Compras!$K$299*Registro_Compras!$N$299),2),IF(Registro_Compras!$F$299="RHE",(ROUND(Registro_Compras!$L$299*Registro_Compras!$N$299,2)-ROUND(Registro_Compras!$V$299*Registro_Compras!$N$299,2)),Registro_Compras!$O$299)))</f>
        <v/>
      </c>
      <c r="G2662" t="str">
        <f>IF($C2662="","",IF(Registro_Compras!$F$299="NOTA DE CREDITO","Por la nota de credito "&amp;Registro_Compras!$C$299&amp;" de "&amp;Registro_Compras!$E$299&amp;" [PATRON POR CONFIRMAR CON CONTADOR]",IF(Registro_Compras!$F$299="RHE","Por el registro del recibo por honorarios "&amp;Registro_Compras!$C$299&amp;" de "&amp;Registro_Compras!$E$299&amp;" [PATRON POR CONFIRMAR CON CONTADOR]","Por el registro de la factura "&amp;Registro_Compras!$C$299&amp;" de "&amp;Registro_Compras!$E$299)))</f>
        <v/>
      </c>
      <c r="H2662" t="str">
        <f>IF($C2662="","",Registro_Compras!$C$299)</f>
        <v/>
      </c>
    </row>
    <row r="2663" spans="1:8" x14ac:dyDescent="0.25">
      <c r="A2663" s="25" t="str">
        <f>IF($C2663="","",Registro_Compras!$B$299)</f>
        <v/>
      </c>
      <c r="B2663" t="str">
        <f>IF($C2663="","","C"&amp;TEXT(INT((ROW()-5)/9)+1,"000")&amp;"-2")</f>
        <v/>
      </c>
      <c r="C2663" t="str">
        <f>IF(OR(Registro_Compras!$C$299="",Registro_Compras!$O$299=""),"",IF(Registro_Compras!$AB$299="ADMINISTRATIVO","94","95"))</f>
        <v/>
      </c>
      <c r="D2663" t="str">
        <f>IF(OR(Registro_Compras!$C$299="",Registro_Compras!$O$299=""),"",IF(Registro_Compras!$AB$299="ADMINISTRATIVO","Gastos Administrativos","Gastos de Venta y Operacion"))</f>
        <v/>
      </c>
      <c r="E2663" s="20" t="str">
        <f>IF($C2663="","",IF(Registro_Compras!$F$299="NOTA DE CREDITO","",IF(Registro_Compras!$F$299="RHE",ROUND(Registro_Compras!$L$299*Registro_Compras!$N$299,2),ROUND(Registro_Compras!$J$299*Registro_Compras!$N$299,2))))</f>
        <v/>
      </c>
      <c r="F2663" s="20" t="str">
        <f>IF($C2663="","",IF(Registro_Compras!$F$299="NOTA DE CREDITO",ROUND(ABS(Registro_Compras!$J$299*Registro_Compras!$N$299),2),""))</f>
        <v/>
      </c>
      <c r="G2663" t="str">
        <f>IF($C2663="","","Por el destino del gasto")</f>
        <v/>
      </c>
      <c r="H2663" t="str">
        <f>IF($C2663="","",Registro_Compras!$C$299)</f>
        <v/>
      </c>
    </row>
    <row r="2664" spans="1:8" x14ac:dyDescent="0.25">
      <c r="A2664" s="25" t="str">
        <f>IF($C2664="","",Registro_Compras!$B$299)</f>
        <v/>
      </c>
      <c r="B2664" t="str">
        <f>IF($C2664="","","C"&amp;TEXT(INT((ROW()-5)/9)+1,"000")&amp;"-2")</f>
        <v/>
      </c>
      <c r="C2664" t="str">
        <f>IF(OR(Registro_Compras!$C$299="",Registro_Compras!$O$299=""),"","79/791")</f>
        <v/>
      </c>
      <c r="D2664" t="str">
        <f>IF(OR(Registro_Compras!$C$299="",Registro_Compras!$O$299=""),"","Cargas Imputables a Cuentas de Costos y Gastos")</f>
        <v/>
      </c>
      <c r="E2664" s="20" t="str">
        <f>IF($C2664="","",IF(Registro_Compras!$F$299="NOTA DE CREDITO",ROUND(ABS(Registro_Compras!$J$299*Registro_Compras!$N$299),2),""))</f>
        <v/>
      </c>
      <c r="F2664" s="20" t="str">
        <f>IF($C2664="","",IF(Registro_Compras!$F$299="NOTA DE CREDITO","",IF(Registro_Compras!$F$299="RHE",ROUND(Registro_Compras!$L$299*Registro_Compras!$N$299,2),ROUND(Registro_Compras!$J$299*Registro_Compras!$N$299,2))))</f>
        <v/>
      </c>
      <c r="G2664" t="str">
        <f>IF($C2664="","","Por el destino del gasto")</f>
        <v/>
      </c>
      <c r="H2664" t="str">
        <f>IF($C2664="","",Registro_Compras!$C$299)</f>
        <v/>
      </c>
    </row>
    <row r="2665" spans="1:8" x14ac:dyDescent="0.25">
      <c r="A2665" s="25" t="str">
        <f>IF($C2665="","",Registro_Compras!$X$299)</f>
        <v/>
      </c>
      <c r="B2665" t="str">
        <f>IF($C2665="","","C"&amp;TEXT(INT((ROW()-5)/9)+1,"000")&amp;"-3")</f>
        <v/>
      </c>
      <c r="C2665" t="str">
        <f>IF(OR(Registro_Compras!$C$299="",Registro_Compras!$O$299="",Registro_Compras!$R$299&lt;&gt;"SI",Registro_Compras!$X$299=""),"","4212")</f>
        <v/>
      </c>
      <c r="D2665" t="str">
        <f>IF(OR(Registro_Compras!$C$299="",Registro_Compras!$O$299=""),"","Cuentas por Pagar Comerciales - Terceros")</f>
        <v/>
      </c>
      <c r="E2665" s="20" t="str">
        <f>IF($C2665="","",Registro_Compras!$S$299)</f>
        <v/>
      </c>
      <c r="F2665" s="20" t="str">
        <f>""</f>
        <v/>
      </c>
      <c r="G2665" t="str">
        <f>IF($C2665="","","Por el deposito de la detraccion en el Banco de la Nacion")</f>
        <v/>
      </c>
      <c r="H2665" t="str">
        <f>IF($C2665="","",Registro_Compras!$C$299)</f>
        <v/>
      </c>
    </row>
    <row r="2666" spans="1:8" x14ac:dyDescent="0.25">
      <c r="A2666" s="25" t="str">
        <f>IF($C2666="","",Registro_Compras!$X$299)</f>
        <v/>
      </c>
      <c r="B2666" t="str">
        <f>IF($C2666="","","C"&amp;TEXT(INT((ROW()-5)/9)+1,"000")&amp;"-3")</f>
        <v/>
      </c>
      <c r="C2666" t="str">
        <f>IF(OR(Registro_Compras!$C$299="",Registro_Compras!$O$299="",Registro_Compras!$R$299&lt;&gt;"SI",Registro_Compras!$X$299=""),"","1041")</f>
        <v/>
      </c>
      <c r="D2666" t="str">
        <f>IF(OR(Registro_Compras!$C$299="",Registro_Compras!$O$299=""),"","Efectivo y Equivalentes - Cta. Cte. Operativa")</f>
        <v/>
      </c>
      <c r="E2666" s="20" t="str">
        <f>""</f>
        <v/>
      </c>
      <c r="F2666" s="20" t="str">
        <f>IF($C2666="","",Registro_Compras!$S$299)</f>
        <v/>
      </c>
      <c r="G2666" t="str">
        <f>IF($C2666="","","Por el deposito de la detraccion en el Banco de la Nacion")</f>
        <v/>
      </c>
      <c r="H2666" t="str">
        <f>IF($C2666="","",Registro_Compras!$C$299)</f>
        <v/>
      </c>
    </row>
    <row r="2667" spans="1:8" x14ac:dyDescent="0.25">
      <c r="A2667" s="25" t="str">
        <f>IF($C2667="","",Registro_Compras!$Y$299)</f>
        <v/>
      </c>
      <c r="B2667" t="str">
        <f>IF($C2667="","","C"&amp;TEXT(INT((ROW()-5)/9)+1,"000")&amp;"-4")</f>
        <v/>
      </c>
      <c r="C2667" t="str">
        <f>IF(OR(Registro_Compras!$C$299="",Registro_Compras!$O$299="",Registro_Compras!$Y$299="",Registro_Compras!$F$299="NOTA DE CREDITO"),"","4212")</f>
        <v/>
      </c>
      <c r="D2667" t="str">
        <f>IF(OR(Registro_Compras!$C$299="",Registro_Compras!$O$299=""),"","Cuentas por Pagar Comerciales - Terceros")</f>
        <v/>
      </c>
      <c r="E2667" s="20" t="str">
        <f>IF($C2667="","",IF(Registro_Compras!$F$299="RHE",(ROUND(Registro_Compras!$L$299*Registro_Compras!$N$299,2)-ROUND(Registro_Compras!$V$299*Registro_Compras!$N$299,2)),ROUND(Registro_Compras!$O$299-Registro_Compras!$S$299,2)))</f>
        <v/>
      </c>
      <c r="F2667" s="20" t="str">
        <f>""</f>
        <v/>
      </c>
      <c r="G2667" t="str">
        <f>IF($C2667="","","Por la cancelacion del saldo al proveedor")</f>
        <v/>
      </c>
      <c r="H2667" t="str">
        <f>IF($C2667="","",Registro_Compras!$C$299)</f>
        <v/>
      </c>
    </row>
    <row r="2668" spans="1:8" x14ac:dyDescent="0.25">
      <c r="A2668" s="25" t="str">
        <f>IF($C2668="","",Registro_Compras!$Y$299)</f>
        <v/>
      </c>
      <c r="B2668" t="str">
        <f>IF($C2668="","","C"&amp;TEXT(INT((ROW()-5)/9)+1,"000")&amp;"-4")</f>
        <v/>
      </c>
      <c r="C2668" t="str">
        <f>IF(OR(Registro_Compras!$C$299="",Registro_Compras!$O$299="",Registro_Compras!$Y$299="",Registro_Compras!$F$299="NOTA DE CREDITO"),"","1041")</f>
        <v/>
      </c>
      <c r="D2668" t="str">
        <f>IF(OR(Registro_Compras!$C$299="",Registro_Compras!$O$299=""),"","Efectivo y Equivalentes - Cta. Cte. Operativa")</f>
        <v/>
      </c>
      <c r="E2668" s="20" t="str">
        <f>""</f>
        <v/>
      </c>
      <c r="F2668" s="20" t="str">
        <f>IF($C2668="","",IF(Registro_Compras!$F$299="RHE",(ROUND(Registro_Compras!$L$299*Registro_Compras!$N$299,2)-ROUND(Registro_Compras!$V$299*Registro_Compras!$N$299,2)),ROUND(Registro_Compras!$O$299-Registro_Compras!$S$299,2)))</f>
        <v/>
      </c>
      <c r="G2668" t="str">
        <f>IF($C2668="","","Por la cancelacion del saldo al proveedor")</f>
        <v/>
      </c>
      <c r="H2668" t="str">
        <f>IF($C2668="","",Registro_Compras!$C$299)</f>
        <v/>
      </c>
    </row>
    <row r="2669" spans="1:8" x14ac:dyDescent="0.25">
      <c r="A2669" s="25" t="str">
        <f>IF($C2669="","",Registro_Compras!$B$300)</f>
        <v/>
      </c>
      <c r="B2669" t="str">
        <f>IF($C2669="","","C"&amp;TEXT(INT((ROW()-5)/9)+1,"000")&amp;"-1")</f>
        <v/>
      </c>
      <c r="C2669" t="str">
        <f>IF(OR(Registro_Compras!$C$300="",Registro_Compras!$O$300=""),"",IF(Registro_Compras!$F$300="NOTA DE CREDITO","4212",IF(Registro_Compras!$M$300="","63",Registro_Compras!$M$300)))</f>
        <v/>
      </c>
      <c r="D2669" t="str">
        <f>IF(OR(Registro_Compras!$C$300="",Registro_Compras!$O$300=""),"",IF(Registro_Compras!$F$300="NOTA DE CREDITO","Cuentas por Pagar Comerciales - Terceros (Emitidas)",IF(Registro_Compras!$F$300="RHE","Honorarios Profesionales - Servicios de Terceros","Gastos de Servicios Prestados por Terceros")))</f>
        <v/>
      </c>
      <c r="E2669" s="20" t="str">
        <f>IF($C2669="","",IF(Registro_Compras!$F$300="NOTA DE CREDITO",ABS(Registro_Compras!$O$300),IF(Registro_Compras!$F$300="RHE",ROUND(Registro_Compras!$L$300*Registro_Compras!$N$300,2),ROUND(Registro_Compras!$J$300*Registro_Compras!$N$300,2))))</f>
        <v/>
      </c>
      <c r="F2669" s="20" t="str">
        <f>""</f>
        <v/>
      </c>
      <c r="G2669" t="str">
        <f>IF($C2669="","",IF(Registro_Compras!$F$300="NOTA DE CREDITO","Por la nota de credito "&amp;Registro_Compras!$C$300&amp;" de "&amp;Registro_Compras!$E$300&amp;" [PATRON POR CONFIRMAR CON CONTADOR]",IF(Registro_Compras!$F$300="RHE","Por el registro del recibo por honorarios "&amp;Registro_Compras!$C$300&amp;" de "&amp;Registro_Compras!$E$300&amp;" [PATRON POR CONFIRMAR CON CONTADOR]","Por el registro de la factura "&amp;Registro_Compras!$C$300&amp;" de "&amp;Registro_Compras!$E$300)))</f>
        <v/>
      </c>
      <c r="H2669" t="str">
        <f>IF($C2669="","",Registro_Compras!$C$300)</f>
        <v/>
      </c>
    </row>
    <row r="2670" spans="1:8" x14ac:dyDescent="0.25">
      <c r="A2670" s="25" t="str">
        <f>IF($C2670="","",Registro_Compras!$B$300)</f>
        <v/>
      </c>
      <c r="B2670" t="str">
        <f>IF($C2670="","","C"&amp;TEXT(INT((ROW()-5)/9)+1,"000")&amp;"-1")</f>
        <v/>
      </c>
      <c r="C2670" t="str">
        <f>IF(OR(Registro_Compras!$C$300="",Registro_Compras!$O$300=""),"",IF(Registro_Compras!$F$300="RHE",IF(Registro_Compras!$V$300=0,"","4017"),IF(Registro_Compras!$F$300="NOTA DE CREDITO",IF(Registro_Compras!$M$300="","63",Registro_Compras!$M$300),IF(Registro_Compras!$K$300=0,"","40111"))))</f>
        <v/>
      </c>
      <c r="D2670" t="str">
        <f>IF(OR(Registro_Compras!$C$300="",Registro_Compras!$O$300=""),"",IF(Registro_Compras!$F$300="RHE","Retencion Renta 4ta Categoria por Pagar",IF(Registro_Compras!$F$300="NOTA DE CREDITO","Gastos de Servicios Prestados por Terceros","IGV - Cuenta Propia (Credito Fiscal)")))</f>
        <v/>
      </c>
      <c r="E2670" s="20" t="str">
        <f>IF($C2670="","",IF(Registro_Compras!$F$300="FACTURA",ROUND(Registro_Compras!$K$300*Registro_Compras!$N$300,2),""))</f>
        <v/>
      </c>
      <c r="F2670" s="20" t="str">
        <f>IF($C2670="","",IF(Registro_Compras!$F$300="RHE",ROUND(Registro_Compras!$V$300*Registro_Compras!$N$300,2),IF(Registro_Compras!$F$300="NOTA DE CREDITO",ROUND(ABS(Registro_Compras!$J$300*Registro_Compras!$N$300),2),"")))</f>
        <v/>
      </c>
      <c r="G2670" t="str">
        <f>IF($C2670="","",IF(Registro_Compras!$F$300="NOTA DE CREDITO","Por la nota de credito "&amp;Registro_Compras!$C$300&amp;" de "&amp;Registro_Compras!$E$300&amp;" [PATRON POR CONFIRMAR CON CONTADOR]",IF(Registro_Compras!$F$300="RHE","Por el registro del recibo por honorarios "&amp;Registro_Compras!$C$300&amp;" de "&amp;Registro_Compras!$E$300&amp;" [PATRON POR CONFIRMAR CON CONTADOR]","Por el registro de la factura "&amp;Registro_Compras!$C$300&amp;" de "&amp;Registro_Compras!$E$300)))</f>
        <v/>
      </c>
      <c r="H2670" t="str">
        <f>IF($C2670="","",Registro_Compras!$C$300)</f>
        <v/>
      </c>
    </row>
    <row r="2671" spans="1:8" x14ac:dyDescent="0.25">
      <c r="A2671" s="25" t="str">
        <f>IF($C2671="","",Registro_Compras!$B$300)</f>
        <v/>
      </c>
      <c r="B2671" t="str">
        <f>IF($C2671="","","C"&amp;TEXT(INT((ROW()-5)/9)+1,"000")&amp;"-1")</f>
        <v/>
      </c>
      <c r="C2671" t="str">
        <f>IF(OR(Registro_Compras!$C$300="",Registro_Compras!$O$300=""),"",IF(Registro_Compras!$F$300="NOTA DE CREDITO",IF(Registro_Compras!$K$300=0,"","40111"),"4212"))</f>
        <v/>
      </c>
      <c r="D2671" t="str">
        <f>IF(OR(Registro_Compras!$C$300="",Registro_Compras!$O$300=""),"",IF(Registro_Compras!$F$300="NOTA DE CREDITO","IGV - Cuenta Propia (Credito Fiscal)","Cuentas por Pagar Comerciales - Terceros (Emitidas)"))</f>
        <v/>
      </c>
      <c r="E2671" s="20" t="str">
        <f>""</f>
        <v/>
      </c>
      <c r="F2671" s="20" t="str">
        <f>IF($C2671="","",IF(Registro_Compras!$F$300="NOTA DE CREDITO",ROUND(ABS(Registro_Compras!$K$300*Registro_Compras!$N$300),2),IF(Registro_Compras!$F$300="RHE",(ROUND(Registro_Compras!$L$300*Registro_Compras!$N$300,2)-ROUND(Registro_Compras!$V$300*Registro_Compras!$N$300,2)),Registro_Compras!$O$300)))</f>
        <v/>
      </c>
      <c r="G2671" t="str">
        <f>IF($C2671="","",IF(Registro_Compras!$F$300="NOTA DE CREDITO","Por la nota de credito "&amp;Registro_Compras!$C$300&amp;" de "&amp;Registro_Compras!$E$300&amp;" [PATRON POR CONFIRMAR CON CONTADOR]",IF(Registro_Compras!$F$300="RHE","Por el registro del recibo por honorarios "&amp;Registro_Compras!$C$300&amp;" de "&amp;Registro_Compras!$E$300&amp;" [PATRON POR CONFIRMAR CON CONTADOR]","Por el registro de la factura "&amp;Registro_Compras!$C$300&amp;" de "&amp;Registro_Compras!$E$300)))</f>
        <v/>
      </c>
      <c r="H2671" t="str">
        <f>IF($C2671="","",Registro_Compras!$C$300)</f>
        <v/>
      </c>
    </row>
    <row r="2672" spans="1:8" x14ac:dyDescent="0.25">
      <c r="A2672" s="25" t="str">
        <f>IF($C2672="","",Registro_Compras!$B$300)</f>
        <v/>
      </c>
      <c r="B2672" t="str">
        <f>IF($C2672="","","C"&amp;TEXT(INT((ROW()-5)/9)+1,"000")&amp;"-2")</f>
        <v/>
      </c>
      <c r="C2672" t="str">
        <f>IF(OR(Registro_Compras!$C$300="",Registro_Compras!$O$300=""),"",IF(Registro_Compras!$AB$300="ADMINISTRATIVO","94","95"))</f>
        <v/>
      </c>
      <c r="D2672" t="str">
        <f>IF(OR(Registro_Compras!$C$300="",Registro_Compras!$O$300=""),"",IF(Registro_Compras!$AB$300="ADMINISTRATIVO","Gastos Administrativos","Gastos de Venta y Operacion"))</f>
        <v/>
      </c>
      <c r="E2672" s="20" t="str">
        <f>IF($C2672="","",IF(Registro_Compras!$F$300="NOTA DE CREDITO","",IF(Registro_Compras!$F$300="RHE",ROUND(Registro_Compras!$L$300*Registro_Compras!$N$300,2),ROUND(Registro_Compras!$J$300*Registro_Compras!$N$300,2))))</f>
        <v/>
      </c>
      <c r="F2672" s="20" t="str">
        <f>IF($C2672="","",IF(Registro_Compras!$F$300="NOTA DE CREDITO",ROUND(ABS(Registro_Compras!$J$300*Registro_Compras!$N$300),2),""))</f>
        <v/>
      </c>
      <c r="G2672" t="str">
        <f>IF($C2672="","","Por el destino del gasto")</f>
        <v/>
      </c>
      <c r="H2672" t="str">
        <f>IF($C2672="","",Registro_Compras!$C$300)</f>
        <v/>
      </c>
    </row>
    <row r="2673" spans="1:8" x14ac:dyDescent="0.25">
      <c r="A2673" s="25" t="str">
        <f>IF($C2673="","",Registro_Compras!$B$300)</f>
        <v/>
      </c>
      <c r="B2673" t="str">
        <f>IF($C2673="","","C"&amp;TEXT(INT((ROW()-5)/9)+1,"000")&amp;"-2")</f>
        <v/>
      </c>
      <c r="C2673" t="str">
        <f>IF(OR(Registro_Compras!$C$300="",Registro_Compras!$O$300=""),"","79/791")</f>
        <v/>
      </c>
      <c r="D2673" t="str">
        <f>IF(OR(Registro_Compras!$C$300="",Registro_Compras!$O$300=""),"","Cargas Imputables a Cuentas de Costos y Gastos")</f>
        <v/>
      </c>
      <c r="E2673" s="20" t="str">
        <f>IF($C2673="","",IF(Registro_Compras!$F$300="NOTA DE CREDITO",ROUND(ABS(Registro_Compras!$J$300*Registro_Compras!$N$300),2),""))</f>
        <v/>
      </c>
      <c r="F2673" s="20" t="str">
        <f>IF($C2673="","",IF(Registro_Compras!$F$300="NOTA DE CREDITO","",IF(Registro_Compras!$F$300="RHE",ROUND(Registro_Compras!$L$300*Registro_Compras!$N$300,2),ROUND(Registro_Compras!$J$300*Registro_Compras!$N$300,2))))</f>
        <v/>
      </c>
      <c r="G2673" t="str">
        <f>IF($C2673="","","Por el destino del gasto")</f>
        <v/>
      </c>
      <c r="H2673" t="str">
        <f>IF($C2673="","",Registro_Compras!$C$300)</f>
        <v/>
      </c>
    </row>
    <row r="2674" spans="1:8" x14ac:dyDescent="0.25">
      <c r="A2674" s="25" t="str">
        <f>IF($C2674="","",Registro_Compras!$X$300)</f>
        <v/>
      </c>
      <c r="B2674" t="str">
        <f>IF($C2674="","","C"&amp;TEXT(INT((ROW()-5)/9)+1,"000")&amp;"-3")</f>
        <v/>
      </c>
      <c r="C2674" t="str">
        <f>IF(OR(Registro_Compras!$C$300="",Registro_Compras!$O$300="",Registro_Compras!$R$300&lt;&gt;"SI",Registro_Compras!$X$300=""),"","4212")</f>
        <v/>
      </c>
      <c r="D2674" t="str">
        <f>IF(OR(Registro_Compras!$C$300="",Registro_Compras!$O$300=""),"","Cuentas por Pagar Comerciales - Terceros")</f>
        <v/>
      </c>
      <c r="E2674" s="20" t="str">
        <f>IF($C2674="","",Registro_Compras!$S$300)</f>
        <v/>
      </c>
      <c r="F2674" s="20" t="str">
        <f>""</f>
        <v/>
      </c>
      <c r="G2674" t="str">
        <f>IF($C2674="","","Por el deposito de la detraccion en el Banco de la Nacion")</f>
        <v/>
      </c>
      <c r="H2674" t="str">
        <f>IF($C2674="","",Registro_Compras!$C$300)</f>
        <v/>
      </c>
    </row>
    <row r="2675" spans="1:8" x14ac:dyDescent="0.25">
      <c r="A2675" s="25" t="str">
        <f>IF($C2675="","",Registro_Compras!$X$300)</f>
        <v/>
      </c>
      <c r="B2675" t="str">
        <f>IF($C2675="","","C"&amp;TEXT(INT((ROW()-5)/9)+1,"000")&amp;"-3")</f>
        <v/>
      </c>
      <c r="C2675" t="str">
        <f>IF(OR(Registro_Compras!$C$300="",Registro_Compras!$O$300="",Registro_Compras!$R$300&lt;&gt;"SI",Registro_Compras!$X$300=""),"","1041")</f>
        <v/>
      </c>
      <c r="D2675" t="str">
        <f>IF(OR(Registro_Compras!$C$300="",Registro_Compras!$O$300=""),"","Efectivo y Equivalentes - Cta. Cte. Operativa")</f>
        <v/>
      </c>
      <c r="E2675" s="20" t="str">
        <f>""</f>
        <v/>
      </c>
      <c r="F2675" s="20" t="str">
        <f>IF($C2675="","",Registro_Compras!$S$300)</f>
        <v/>
      </c>
      <c r="G2675" t="str">
        <f>IF($C2675="","","Por el deposito de la detraccion en el Banco de la Nacion")</f>
        <v/>
      </c>
      <c r="H2675" t="str">
        <f>IF($C2675="","",Registro_Compras!$C$300)</f>
        <v/>
      </c>
    </row>
    <row r="2676" spans="1:8" x14ac:dyDescent="0.25">
      <c r="A2676" s="25" t="str">
        <f>IF($C2676="","",Registro_Compras!$Y$300)</f>
        <v/>
      </c>
      <c r="B2676" t="str">
        <f>IF($C2676="","","C"&amp;TEXT(INT((ROW()-5)/9)+1,"000")&amp;"-4")</f>
        <v/>
      </c>
      <c r="C2676" t="str">
        <f>IF(OR(Registro_Compras!$C$300="",Registro_Compras!$O$300="",Registro_Compras!$Y$300="",Registro_Compras!$F$300="NOTA DE CREDITO"),"","4212")</f>
        <v/>
      </c>
      <c r="D2676" t="str">
        <f>IF(OR(Registro_Compras!$C$300="",Registro_Compras!$O$300=""),"","Cuentas por Pagar Comerciales - Terceros")</f>
        <v/>
      </c>
      <c r="E2676" s="20" t="str">
        <f>IF($C2676="","",IF(Registro_Compras!$F$300="RHE",(ROUND(Registro_Compras!$L$300*Registro_Compras!$N$300,2)-ROUND(Registro_Compras!$V$300*Registro_Compras!$N$300,2)),ROUND(Registro_Compras!$O$300-Registro_Compras!$S$300,2)))</f>
        <v/>
      </c>
      <c r="F2676" s="20" t="str">
        <f>""</f>
        <v/>
      </c>
      <c r="G2676" t="str">
        <f>IF($C2676="","","Por la cancelacion del saldo al proveedor")</f>
        <v/>
      </c>
      <c r="H2676" t="str">
        <f>IF($C2676="","",Registro_Compras!$C$300)</f>
        <v/>
      </c>
    </row>
    <row r="2677" spans="1:8" x14ac:dyDescent="0.25">
      <c r="A2677" s="25" t="str">
        <f>IF($C2677="","",Registro_Compras!$Y$300)</f>
        <v/>
      </c>
      <c r="B2677" t="str">
        <f>IF($C2677="","","C"&amp;TEXT(INT((ROW()-5)/9)+1,"000")&amp;"-4")</f>
        <v/>
      </c>
      <c r="C2677" t="str">
        <f>IF(OR(Registro_Compras!$C$300="",Registro_Compras!$O$300="",Registro_Compras!$Y$300="",Registro_Compras!$F$300="NOTA DE CREDITO"),"","1041")</f>
        <v/>
      </c>
      <c r="D2677" t="str">
        <f>IF(OR(Registro_Compras!$C$300="",Registro_Compras!$O$300=""),"","Efectivo y Equivalentes - Cta. Cte. Operativa")</f>
        <v/>
      </c>
      <c r="E2677" s="20" t="str">
        <f>""</f>
        <v/>
      </c>
      <c r="F2677" s="20" t="str">
        <f>IF($C2677="","",IF(Registro_Compras!$F$300="RHE",(ROUND(Registro_Compras!$L$300*Registro_Compras!$N$300,2)-ROUND(Registro_Compras!$V$300*Registro_Compras!$N$300,2)),ROUND(Registro_Compras!$O$300-Registro_Compras!$S$300,2)))</f>
        <v/>
      </c>
      <c r="G2677" t="str">
        <f>IF($C2677="","","Por la cancelacion del saldo al proveedor")</f>
        <v/>
      </c>
      <c r="H2677" t="str">
        <f>IF($C2677="","",Registro_Compras!$C$300)</f>
        <v/>
      </c>
    </row>
    <row r="2678" spans="1:8" x14ac:dyDescent="0.25">
      <c r="A2678" s="25" t="str">
        <f>IF($C2678="","",Registro_Compras!$B$301)</f>
        <v/>
      </c>
      <c r="B2678" t="str">
        <f>IF($C2678="","","C"&amp;TEXT(INT((ROW()-5)/9)+1,"000")&amp;"-1")</f>
        <v/>
      </c>
      <c r="C2678" t="str">
        <f>IF(OR(Registro_Compras!$C$301="",Registro_Compras!$O$301=""),"",IF(Registro_Compras!$F$301="NOTA DE CREDITO","4212",IF(Registro_Compras!$M$301="","63",Registro_Compras!$M$301)))</f>
        <v/>
      </c>
      <c r="D2678" t="str">
        <f>IF(OR(Registro_Compras!$C$301="",Registro_Compras!$O$301=""),"",IF(Registro_Compras!$F$301="NOTA DE CREDITO","Cuentas por Pagar Comerciales - Terceros (Emitidas)",IF(Registro_Compras!$F$301="RHE","Honorarios Profesionales - Servicios de Terceros","Gastos de Servicios Prestados por Terceros")))</f>
        <v/>
      </c>
      <c r="E2678" s="20" t="str">
        <f>IF($C2678="","",IF(Registro_Compras!$F$301="NOTA DE CREDITO",ABS(Registro_Compras!$O$301),IF(Registro_Compras!$F$301="RHE",ROUND(Registro_Compras!$L$301*Registro_Compras!$N$301,2),ROUND(Registro_Compras!$J$301*Registro_Compras!$N$301,2))))</f>
        <v/>
      </c>
      <c r="F2678" s="20" t="str">
        <f>""</f>
        <v/>
      </c>
      <c r="G2678" t="str">
        <f>IF($C2678="","",IF(Registro_Compras!$F$301="NOTA DE CREDITO","Por la nota de credito "&amp;Registro_Compras!$C$301&amp;" de "&amp;Registro_Compras!$E$301&amp;" [PATRON POR CONFIRMAR CON CONTADOR]",IF(Registro_Compras!$F$301="RHE","Por el registro del recibo por honorarios "&amp;Registro_Compras!$C$301&amp;" de "&amp;Registro_Compras!$E$301&amp;" [PATRON POR CONFIRMAR CON CONTADOR]","Por el registro de la factura "&amp;Registro_Compras!$C$301&amp;" de "&amp;Registro_Compras!$E$301)))</f>
        <v/>
      </c>
      <c r="H2678" t="str">
        <f>IF($C2678="","",Registro_Compras!$C$301)</f>
        <v/>
      </c>
    </row>
    <row r="2679" spans="1:8" x14ac:dyDescent="0.25">
      <c r="A2679" s="25" t="str">
        <f>IF($C2679="","",Registro_Compras!$B$301)</f>
        <v/>
      </c>
      <c r="B2679" t="str">
        <f>IF($C2679="","","C"&amp;TEXT(INT((ROW()-5)/9)+1,"000")&amp;"-1")</f>
        <v/>
      </c>
      <c r="C2679" t="str">
        <f>IF(OR(Registro_Compras!$C$301="",Registro_Compras!$O$301=""),"",IF(Registro_Compras!$F$301="RHE",IF(Registro_Compras!$V$301=0,"","4017"),IF(Registro_Compras!$F$301="NOTA DE CREDITO",IF(Registro_Compras!$M$301="","63",Registro_Compras!$M$301),IF(Registro_Compras!$K$301=0,"","40111"))))</f>
        <v/>
      </c>
      <c r="D2679" t="str">
        <f>IF(OR(Registro_Compras!$C$301="",Registro_Compras!$O$301=""),"",IF(Registro_Compras!$F$301="RHE","Retencion Renta 4ta Categoria por Pagar",IF(Registro_Compras!$F$301="NOTA DE CREDITO","Gastos de Servicios Prestados por Terceros","IGV - Cuenta Propia (Credito Fiscal)")))</f>
        <v/>
      </c>
      <c r="E2679" s="20" t="str">
        <f>IF($C2679="","",IF(Registro_Compras!$F$301="FACTURA",ROUND(Registro_Compras!$K$301*Registro_Compras!$N$301,2),""))</f>
        <v/>
      </c>
      <c r="F2679" s="20" t="str">
        <f>IF($C2679="","",IF(Registro_Compras!$F$301="RHE",ROUND(Registro_Compras!$V$301*Registro_Compras!$N$301,2),IF(Registro_Compras!$F$301="NOTA DE CREDITO",ROUND(ABS(Registro_Compras!$J$301*Registro_Compras!$N$301),2),"")))</f>
        <v/>
      </c>
      <c r="G2679" t="str">
        <f>IF($C2679="","",IF(Registro_Compras!$F$301="NOTA DE CREDITO","Por la nota de credito "&amp;Registro_Compras!$C$301&amp;" de "&amp;Registro_Compras!$E$301&amp;" [PATRON POR CONFIRMAR CON CONTADOR]",IF(Registro_Compras!$F$301="RHE","Por el registro del recibo por honorarios "&amp;Registro_Compras!$C$301&amp;" de "&amp;Registro_Compras!$E$301&amp;" [PATRON POR CONFIRMAR CON CONTADOR]","Por el registro de la factura "&amp;Registro_Compras!$C$301&amp;" de "&amp;Registro_Compras!$E$301)))</f>
        <v/>
      </c>
      <c r="H2679" t="str">
        <f>IF($C2679="","",Registro_Compras!$C$301)</f>
        <v/>
      </c>
    </row>
    <row r="2680" spans="1:8" x14ac:dyDescent="0.25">
      <c r="A2680" s="25" t="str">
        <f>IF($C2680="","",Registro_Compras!$B$301)</f>
        <v/>
      </c>
      <c r="B2680" t="str">
        <f>IF($C2680="","","C"&amp;TEXT(INT((ROW()-5)/9)+1,"000")&amp;"-1")</f>
        <v/>
      </c>
      <c r="C2680" t="str">
        <f>IF(OR(Registro_Compras!$C$301="",Registro_Compras!$O$301=""),"",IF(Registro_Compras!$F$301="NOTA DE CREDITO",IF(Registro_Compras!$K$301=0,"","40111"),"4212"))</f>
        <v/>
      </c>
      <c r="D2680" t="str">
        <f>IF(OR(Registro_Compras!$C$301="",Registro_Compras!$O$301=""),"",IF(Registro_Compras!$F$301="NOTA DE CREDITO","IGV - Cuenta Propia (Credito Fiscal)","Cuentas por Pagar Comerciales - Terceros (Emitidas)"))</f>
        <v/>
      </c>
      <c r="E2680" s="20" t="str">
        <f>""</f>
        <v/>
      </c>
      <c r="F2680" s="20" t="str">
        <f>IF($C2680="","",IF(Registro_Compras!$F$301="NOTA DE CREDITO",ROUND(ABS(Registro_Compras!$K$301*Registro_Compras!$N$301),2),IF(Registro_Compras!$F$301="RHE",(ROUND(Registro_Compras!$L$301*Registro_Compras!$N$301,2)-ROUND(Registro_Compras!$V$301*Registro_Compras!$N$301,2)),Registro_Compras!$O$301)))</f>
        <v/>
      </c>
      <c r="G2680" t="str">
        <f>IF($C2680="","",IF(Registro_Compras!$F$301="NOTA DE CREDITO","Por la nota de credito "&amp;Registro_Compras!$C$301&amp;" de "&amp;Registro_Compras!$E$301&amp;" [PATRON POR CONFIRMAR CON CONTADOR]",IF(Registro_Compras!$F$301="RHE","Por el registro del recibo por honorarios "&amp;Registro_Compras!$C$301&amp;" de "&amp;Registro_Compras!$E$301&amp;" [PATRON POR CONFIRMAR CON CONTADOR]","Por el registro de la factura "&amp;Registro_Compras!$C$301&amp;" de "&amp;Registro_Compras!$E$301)))</f>
        <v/>
      </c>
      <c r="H2680" t="str">
        <f>IF($C2680="","",Registro_Compras!$C$301)</f>
        <v/>
      </c>
    </row>
    <row r="2681" spans="1:8" x14ac:dyDescent="0.25">
      <c r="A2681" s="25" t="str">
        <f>IF($C2681="","",Registro_Compras!$B$301)</f>
        <v/>
      </c>
      <c r="B2681" t="str">
        <f>IF($C2681="","","C"&amp;TEXT(INT((ROW()-5)/9)+1,"000")&amp;"-2")</f>
        <v/>
      </c>
      <c r="C2681" t="str">
        <f>IF(OR(Registro_Compras!$C$301="",Registro_Compras!$O$301=""),"",IF(Registro_Compras!$AB$301="ADMINISTRATIVO","94","95"))</f>
        <v/>
      </c>
      <c r="D2681" t="str">
        <f>IF(OR(Registro_Compras!$C$301="",Registro_Compras!$O$301=""),"",IF(Registro_Compras!$AB$301="ADMINISTRATIVO","Gastos Administrativos","Gastos de Venta y Operacion"))</f>
        <v/>
      </c>
      <c r="E2681" s="20" t="str">
        <f>IF($C2681="","",IF(Registro_Compras!$F$301="NOTA DE CREDITO","",IF(Registro_Compras!$F$301="RHE",ROUND(Registro_Compras!$L$301*Registro_Compras!$N$301,2),ROUND(Registro_Compras!$J$301*Registro_Compras!$N$301,2))))</f>
        <v/>
      </c>
      <c r="F2681" s="20" t="str">
        <f>IF($C2681="","",IF(Registro_Compras!$F$301="NOTA DE CREDITO",ROUND(ABS(Registro_Compras!$J$301*Registro_Compras!$N$301),2),""))</f>
        <v/>
      </c>
      <c r="G2681" t="str">
        <f>IF($C2681="","","Por el destino del gasto")</f>
        <v/>
      </c>
      <c r="H2681" t="str">
        <f>IF($C2681="","",Registro_Compras!$C$301)</f>
        <v/>
      </c>
    </row>
    <row r="2682" spans="1:8" x14ac:dyDescent="0.25">
      <c r="A2682" s="25" t="str">
        <f>IF($C2682="","",Registro_Compras!$B$301)</f>
        <v/>
      </c>
      <c r="B2682" t="str">
        <f>IF($C2682="","","C"&amp;TEXT(INT((ROW()-5)/9)+1,"000")&amp;"-2")</f>
        <v/>
      </c>
      <c r="C2682" t="str">
        <f>IF(OR(Registro_Compras!$C$301="",Registro_Compras!$O$301=""),"","79/791")</f>
        <v/>
      </c>
      <c r="D2682" t="str">
        <f>IF(OR(Registro_Compras!$C$301="",Registro_Compras!$O$301=""),"","Cargas Imputables a Cuentas de Costos y Gastos")</f>
        <v/>
      </c>
      <c r="E2682" s="20" t="str">
        <f>IF($C2682="","",IF(Registro_Compras!$F$301="NOTA DE CREDITO",ROUND(ABS(Registro_Compras!$J$301*Registro_Compras!$N$301),2),""))</f>
        <v/>
      </c>
      <c r="F2682" s="20" t="str">
        <f>IF($C2682="","",IF(Registro_Compras!$F$301="NOTA DE CREDITO","",IF(Registro_Compras!$F$301="RHE",ROUND(Registro_Compras!$L$301*Registro_Compras!$N$301,2),ROUND(Registro_Compras!$J$301*Registro_Compras!$N$301,2))))</f>
        <v/>
      </c>
      <c r="G2682" t="str">
        <f>IF($C2682="","","Por el destino del gasto")</f>
        <v/>
      </c>
      <c r="H2682" t="str">
        <f>IF($C2682="","",Registro_Compras!$C$301)</f>
        <v/>
      </c>
    </row>
    <row r="2683" spans="1:8" x14ac:dyDescent="0.25">
      <c r="A2683" s="25" t="str">
        <f>IF($C2683="","",Registro_Compras!$X$301)</f>
        <v/>
      </c>
      <c r="B2683" t="str">
        <f>IF($C2683="","","C"&amp;TEXT(INT((ROW()-5)/9)+1,"000")&amp;"-3")</f>
        <v/>
      </c>
      <c r="C2683" t="str">
        <f>IF(OR(Registro_Compras!$C$301="",Registro_Compras!$O$301="",Registro_Compras!$R$301&lt;&gt;"SI",Registro_Compras!$X$301=""),"","4212")</f>
        <v/>
      </c>
      <c r="D2683" t="str">
        <f>IF(OR(Registro_Compras!$C$301="",Registro_Compras!$O$301=""),"","Cuentas por Pagar Comerciales - Terceros")</f>
        <v/>
      </c>
      <c r="E2683" s="20" t="str">
        <f>IF($C2683="","",Registro_Compras!$S$301)</f>
        <v/>
      </c>
      <c r="F2683" s="20" t="str">
        <f>""</f>
        <v/>
      </c>
      <c r="G2683" t="str">
        <f>IF($C2683="","","Por el deposito de la detraccion en el Banco de la Nacion")</f>
        <v/>
      </c>
      <c r="H2683" t="str">
        <f>IF($C2683="","",Registro_Compras!$C$301)</f>
        <v/>
      </c>
    </row>
    <row r="2684" spans="1:8" x14ac:dyDescent="0.25">
      <c r="A2684" s="25" t="str">
        <f>IF($C2684="","",Registro_Compras!$X$301)</f>
        <v/>
      </c>
      <c r="B2684" t="str">
        <f>IF($C2684="","","C"&amp;TEXT(INT((ROW()-5)/9)+1,"000")&amp;"-3")</f>
        <v/>
      </c>
      <c r="C2684" t="str">
        <f>IF(OR(Registro_Compras!$C$301="",Registro_Compras!$O$301="",Registro_Compras!$R$301&lt;&gt;"SI",Registro_Compras!$X$301=""),"","1041")</f>
        <v/>
      </c>
      <c r="D2684" t="str">
        <f>IF(OR(Registro_Compras!$C$301="",Registro_Compras!$O$301=""),"","Efectivo y Equivalentes - Cta. Cte. Operativa")</f>
        <v/>
      </c>
      <c r="E2684" s="20" t="str">
        <f>""</f>
        <v/>
      </c>
      <c r="F2684" s="20" t="str">
        <f>IF($C2684="","",Registro_Compras!$S$301)</f>
        <v/>
      </c>
      <c r="G2684" t="str">
        <f>IF($C2684="","","Por el deposito de la detraccion en el Banco de la Nacion")</f>
        <v/>
      </c>
      <c r="H2684" t="str">
        <f>IF($C2684="","",Registro_Compras!$C$301)</f>
        <v/>
      </c>
    </row>
    <row r="2685" spans="1:8" x14ac:dyDescent="0.25">
      <c r="A2685" s="25" t="str">
        <f>IF($C2685="","",Registro_Compras!$Y$301)</f>
        <v/>
      </c>
      <c r="B2685" t="str">
        <f>IF($C2685="","","C"&amp;TEXT(INT((ROW()-5)/9)+1,"000")&amp;"-4")</f>
        <v/>
      </c>
      <c r="C2685" t="str">
        <f>IF(OR(Registro_Compras!$C$301="",Registro_Compras!$O$301="",Registro_Compras!$Y$301="",Registro_Compras!$F$301="NOTA DE CREDITO"),"","4212")</f>
        <v/>
      </c>
      <c r="D2685" t="str">
        <f>IF(OR(Registro_Compras!$C$301="",Registro_Compras!$O$301=""),"","Cuentas por Pagar Comerciales - Terceros")</f>
        <v/>
      </c>
      <c r="E2685" s="20" t="str">
        <f>IF($C2685="","",IF(Registro_Compras!$F$301="RHE",(ROUND(Registro_Compras!$L$301*Registro_Compras!$N$301,2)-ROUND(Registro_Compras!$V$301*Registro_Compras!$N$301,2)),ROUND(Registro_Compras!$O$301-Registro_Compras!$S$301,2)))</f>
        <v/>
      </c>
      <c r="F2685" s="20" t="str">
        <f>""</f>
        <v/>
      </c>
      <c r="G2685" t="str">
        <f>IF($C2685="","","Por la cancelacion del saldo al proveedor")</f>
        <v/>
      </c>
      <c r="H2685" t="str">
        <f>IF($C2685="","",Registro_Compras!$C$301)</f>
        <v/>
      </c>
    </row>
    <row r="2686" spans="1:8" x14ac:dyDescent="0.25">
      <c r="A2686" s="25" t="str">
        <f>IF($C2686="","",Registro_Compras!$Y$301)</f>
        <v/>
      </c>
      <c r="B2686" t="str">
        <f>IF($C2686="","","C"&amp;TEXT(INT((ROW()-5)/9)+1,"000")&amp;"-4")</f>
        <v/>
      </c>
      <c r="C2686" t="str">
        <f>IF(OR(Registro_Compras!$C$301="",Registro_Compras!$O$301="",Registro_Compras!$Y$301="",Registro_Compras!$F$301="NOTA DE CREDITO"),"","1041")</f>
        <v/>
      </c>
      <c r="D2686" t="str">
        <f>IF(OR(Registro_Compras!$C$301="",Registro_Compras!$O$301=""),"","Efectivo y Equivalentes - Cta. Cte. Operativa")</f>
        <v/>
      </c>
      <c r="E2686" s="20" t="str">
        <f>""</f>
        <v/>
      </c>
      <c r="F2686" s="20" t="str">
        <f>IF($C2686="","",IF(Registro_Compras!$F$301="RHE",(ROUND(Registro_Compras!$L$301*Registro_Compras!$N$301,2)-ROUND(Registro_Compras!$V$301*Registro_Compras!$N$301,2)),ROUND(Registro_Compras!$O$301-Registro_Compras!$S$301,2)))</f>
        <v/>
      </c>
      <c r="G2686" t="str">
        <f>IF($C2686="","","Por la cancelacion del saldo al proveedor")</f>
        <v/>
      </c>
      <c r="H2686" t="str">
        <f>IF($C2686="","",Registro_Compras!$C$301)</f>
        <v/>
      </c>
    </row>
    <row r="2687" spans="1:8" x14ac:dyDescent="0.25">
      <c r="A2687" s="25" t="str">
        <f>IF($C2687="","",Registro_Compras!$B$302)</f>
        <v/>
      </c>
      <c r="B2687" t="str">
        <f>IF($C2687="","","C"&amp;TEXT(INT((ROW()-5)/9)+1,"000")&amp;"-1")</f>
        <v/>
      </c>
      <c r="C2687" t="str">
        <f>IF(OR(Registro_Compras!$C$302="",Registro_Compras!$O$302=""),"",IF(Registro_Compras!$F$302="NOTA DE CREDITO","4212",IF(Registro_Compras!$M$302="","63",Registro_Compras!$M$302)))</f>
        <v/>
      </c>
      <c r="D2687" t="str">
        <f>IF(OR(Registro_Compras!$C$302="",Registro_Compras!$O$302=""),"",IF(Registro_Compras!$F$302="NOTA DE CREDITO","Cuentas por Pagar Comerciales - Terceros (Emitidas)",IF(Registro_Compras!$F$302="RHE","Honorarios Profesionales - Servicios de Terceros","Gastos de Servicios Prestados por Terceros")))</f>
        <v/>
      </c>
      <c r="E2687" s="20" t="str">
        <f>IF($C2687="","",IF(Registro_Compras!$F$302="NOTA DE CREDITO",ABS(Registro_Compras!$O$302),IF(Registro_Compras!$F$302="RHE",ROUND(Registro_Compras!$L$302*Registro_Compras!$N$302,2),ROUND(Registro_Compras!$J$302*Registro_Compras!$N$302,2))))</f>
        <v/>
      </c>
      <c r="F2687" s="20" t="str">
        <f>""</f>
        <v/>
      </c>
      <c r="G2687" t="str">
        <f>IF($C2687="","",IF(Registro_Compras!$F$302="NOTA DE CREDITO","Por la nota de credito "&amp;Registro_Compras!$C$302&amp;" de "&amp;Registro_Compras!$E$302&amp;" [PATRON POR CONFIRMAR CON CONTADOR]",IF(Registro_Compras!$F$302="RHE","Por el registro del recibo por honorarios "&amp;Registro_Compras!$C$302&amp;" de "&amp;Registro_Compras!$E$302&amp;" [PATRON POR CONFIRMAR CON CONTADOR]","Por el registro de la factura "&amp;Registro_Compras!$C$302&amp;" de "&amp;Registro_Compras!$E$302)))</f>
        <v/>
      </c>
      <c r="H2687" t="str">
        <f>IF($C2687="","",Registro_Compras!$C$302)</f>
        <v/>
      </c>
    </row>
    <row r="2688" spans="1:8" x14ac:dyDescent="0.25">
      <c r="A2688" s="25" t="str">
        <f>IF($C2688="","",Registro_Compras!$B$302)</f>
        <v/>
      </c>
      <c r="B2688" t="str">
        <f>IF($C2688="","","C"&amp;TEXT(INT((ROW()-5)/9)+1,"000")&amp;"-1")</f>
        <v/>
      </c>
      <c r="C2688" t="str">
        <f>IF(OR(Registro_Compras!$C$302="",Registro_Compras!$O$302=""),"",IF(Registro_Compras!$F$302="RHE",IF(Registro_Compras!$V$302=0,"","4017"),IF(Registro_Compras!$F$302="NOTA DE CREDITO",IF(Registro_Compras!$M$302="","63",Registro_Compras!$M$302),IF(Registro_Compras!$K$302=0,"","40111"))))</f>
        <v/>
      </c>
      <c r="D2688" t="str">
        <f>IF(OR(Registro_Compras!$C$302="",Registro_Compras!$O$302=""),"",IF(Registro_Compras!$F$302="RHE","Retencion Renta 4ta Categoria por Pagar",IF(Registro_Compras!$F$302="NOTA DE CREDITO","Gastos de Servicios Prestados por Terceros","IGV - Cuenta Propia (Credito Fiscal)")))</f>
        <v/>
      </c>
      <c r="E2688" s="20" t="str">
        <f>IF($C2688="","",IF(Registro_Compras!$F$302="FACTURA",ROUND(Registro_Compras!$K$302*Registro_Compras!$N$302,2),""))</f>
        <v/>
      </c>
      <c r="F2688" s="20" t="str">
        <f>IF($C2688="","",IF(Registro_Compras!$F$302="RHE",ROUND(Registro_Compras!$V$302*Registro_Compras!$N$302,2),IF(Registro_Compras!$F$302="NOTA DE CREDITO",ROUND(ABS(Registro_Compras!$J$302*Registro_Compras!$N$302),2),"")))</f>
        <v/>
      </c>
      <c r="G2688" t="str">
        <f>IF($C2688="","",IF(Registro_Compras!$F$302="NOTA DE CREDITO","Por la nota de credito "&amp;Registro_Compras!$C$302&amp;" de "&amp;Registro_Compras!$E$302&amp;" [PATRON POR CONFIRMAR CON CONTADOR]",IF(Registro_Compras!$F$302="RHE","Por el registro del recibo por honorarios "&amp;Registro_Compras!$C$302&amp;" de "&amp;Registro_Compras!$E$302&amp;" [PATRON POR CONFIRMAR CON CONTADOR]","Por el registro de la factura "&amp;Registro_Compras!$C$302&amp;" de "&amp;Registro_Compras!$E$302)))</f>
        <v/>
      </c>
      <c r="H2688" t="str">
        <f>IF($C2688="","",Registro_Compras!$C$302)</f>
        <v/>
      </c>
    </row>
    <row r="2689" spans="1:8" x14ac:dyDescent="0.25">
      <c r="A2689" s="25" t="str">
        <f>IF($C2689="","",Registro_Compras!$B$302)</f>
        <v/>
      </c>
      <c r="B2689" t="str">
        <f>IF($C2689="","","C"&amp;TEXT(INT((ROW()-5)/9)+1,"000")&amp;"-1")</f>
        <v/>
      </c>
      <c r="C2689" t="str">
        <f>IF(OR(Registro_Compras!$C$302="",Registro_Compras!$O$302=""),"",IF(Registro_Compras!$F$302="NOTA DE CREDITO",IF(Registro_Compras!$K$302=0,"","40111"),"4212"))</f>
        <v/>
      </c>
      <c r="D2689" t="str">
        <f>IF(OR(Registro_Compras!$C$302="",Registro_Compras!$O$302=""),"",IF(Registro_Compras!$F$302="NOTA DE CREDITO","IGV - Cuenta Propia (Credito Fiscal)","Cuentas por Pagar Comerciales - Terceros (Emitidas)"))</f>
        <v/>
      </c>
      <c r="E2689" s="20" t="str">
        <f>""</f>
        <v/>
      </c>
      <c r="F2689" s="20" t="str">
        <f>IF($C2689="","",IF(Registro_Compras!$F$302="NOTA DE CREDITO",ROUND(ABS(Registro_Compras!$K$302*Registro_Compras!$N$302),2),IF(Registro_Compras!$F$302="RHE",(ROUND(Registro_Compras!$L$302*Registro_Compras!$N$302,2)-ROUND(Registro_Compras!$V$302*Registro_Compras!$N$302,2)),Registro_Compras!$O$302)))</f>
        <v/>
      </c>
      <c r="G2689" t="str">
        <f>IF($C2689="","",IF(Registro_Compras!$F$302="NOTA DE CREDITO","Por la nota de credito "&amp;Registro_Compras!$C$302&amp;" de "&amp;Registro_Compras!$E$302&amp;" [PATRON POR CONFIRMAR CON CONTADOR]",IF(Registro_Compras!$F$302="RHE","Por el registro del recibo por honorarios "&amp;Registro_Compras!$C$302&amp;" de "&amp;Registro_Compras!$E$302&amp;" [PATRON POR CONFIRMAR CON CONTADOR]","Por el registro de la factura "&amp;Registro_Compras!$C$302&amp;" de "&amp;Registro_Compras!$E$302)))</f>
        <v/>
      </c>
      <c r="H2689" t="str">
        <f>IF($C2689="","",Registro_Compras!$C$302)</f>
        <v/>
      </c>
    </row>
    <row r="2690" spans="1:8" x14ac:dyDescent="0.25">
      <c r="A2690" s="25" t="str">
        <f>IF($C2690="","",Registro_Compras!$B$302)</f>
        <v/>
      </c>
      <c r="B2690" t="str">
        <f>IF($C2690="","","C"&amp;TEXT(INT((ROW()-5)/9)+1,"000")&amp;"-2")</f>
        <v/>
      </c>
      <c r="C2690" t="str">
        <f>IF(OR(Registro_Compras!$C$302="",Registro_Compras!$O$302=""),"",IF(Registro_Compras!$AB$302="ADMINISTRATIVO","94","95"))</f>
        <v/>
      </c>
      <c r="D2690" t="str">
        <f>IF(OR(Registro_Compras!$C$302="",Registro_Compras!$O$302=""),"",IF(Registro_Compras!$AB$302="ADMINISTRATIVO","Gastos Administrativos","Gastos de Venta y Operacion"))</f>
        <v/>
      </c>
      <c r="E2690" s="20" t="str">
        <f>IF($C2690="","",IF(Registro_Compras!$F$302="NOTA DE CREDITO","",IF(Registro_Compras!$F$302="RHE",ROUND(Registro_Compras!$L$302*Registro_Compras!$N$302,2),ROUND(Registro_Compras!$J$302*Registro_Compras!$N$302,2))))</f>
        <v/>
      </c>
      <c r="F2690" s="20" t="str">
        <f>IF($C2690="","",IF(Registro_Compras!$F$302="NOTA DE CREDITO",ROUND(ABS(Registro_Compras!$J$302*Registro_Compras!$N$302),2),""))</f>
        <v/>
      </c>
      <c r="G2690" t="str">
        <f>IF($C2690="","","Por el destino del gasto")</f>
        <v/>
      </c>
      <c r="H2690" t="str">
        <f>IF($C2690="","",Registro_Compras!$C$302)</f>
        <v/>
      </c>
    </row>
    <row r="2691" spans="1:8" x14ac:dyDescent="0.25">
      <c r="A2691" s="25" t="str">
        <f>IF($C2691="","",Registro_Compras!$B$302)</f>
        <v/>
      </c>
      <c r="B2691" t="str">
        <f>IF($C2691="","","C"&amp;TEXT(INT((ROW()-5)/9)+1,"000")&amp;"-2")</f>
        <v/>
      </c>
      <c r="C2691" t="str">
        <f>IF(OR(Registro_Compras!$C$302="",Registro_Compras!$O$302=""),"","79/791")</f>
        <v/>
      </c>
      <c r="D2691" t="str">
        <f>IF(OR(Registro_Compras!$C$302="",Registro_Compras!$O$302=""),"","Cargas Imputables a Cuentas de Costos y Gastos")</f>
        <v/>
      </c>
      <c r="E2691" s="20" t="str">
        <f>IF($C2691="","",IF(Registro_Compras!$F$302="NOTA DE CREDITO",ROUND(ABS(Registro_Compras!$J$302*Registro_Compras!$N$302),2),""))</f>
        <v/>
      </c>
      <c r="F2691" s="20" t="str">
        <f>IF($C2691="","",IF(Registro_Compras!$F$302="NOTA DE CREDITO","",IF(Registro_Compras!$F$302="RHE",ROUND(Registro_Compras!$L$302*Registro_Compras!$N$302,2),ROUND(Registro_Compras!$J$302*Registro_Compras!$N$302,2))))</f>
        <v/>
      </c>
      <c r="G2691" t="str">
        <f>IF($C2691="","","Por el destino del gasto")</f>
        <v/>
      </c>
      <c r="H2691" t="str">
        <f>IF($C2691="","",Registro_Compras!$C$302)</f>
        <v/>
      </c>
    </row>
    <row r="2692" spans="1:8" x14ac:dyDescent="0.25">
      <c r="A2692" s="25" t="str">
        <f>IF($C2692="","",Registro_Compras!$X$302)</f>
        <v/>
      </c>
      <c r="B2692" t="str">
        <f>IF($C2692="","","C"&amp;TEXT(INT((ROW()-5)/9)+1,"000")&amp;"-3")</f>
        <v/>
      </c>
      <c r="C2692" t="str">
        <f>IF(OR(Registro_Compras!$C$302="",Registro_Compras!$O$302="",Registro_Compras!$R$302&lt;&gt;"SI",Registro_Compras!$X$302=""),"","4212")</f>
        <v/>
      </c>
      <c r="D2692" t="str">
        <f>IF(OR(Registro_Compras!$C$302="",Registro_Compras!$O$302=""),"","Cuentas por Pagar Comerciales - Terceros")</f>
        <v/>
      </c>
      <c r="E2692" s="20" t="str">
        <f>IF($C2692="","",Registro_Compras!$S$302)</f>
        <v/>
      </c>
      <c r="F2692" s="20" t="str">
        <f>""</f>
        <v/>
      </c>
      <c r="G2692" t="str">
        <f>IF($C2692="","","Por el deposito de la detraccion en el Banco de la Nacion")</f>
        <v/>
      </c>
      <c r="H2692" t="str">
        <f>IF($C2692="","",Registro_Compras!$C$302)</f>
        <v/>
      </c>
    </row>
    <row r="2693" spans="1:8" x14ac:dyDescent="0.25">
      <c r="A2693" s="25" t="str">
        <f>IF($C2693="","",Registro_Compras!$X$302)</f>
        <v/>
      </c>
      <c r="B2693" t="str">
        <f>IF($C2693="","","C"&amp;TEXT(INT((ROW()-5)/9)+1,"000")&amp;"-3")</f>
        <v/>
      </c>
      <c r="C2693" t="str">
        <f>IF(OR(Registro_Compras!$C$302="",Registro_Compras!$O$302="",Registro_Compras!$R$302&lt;&gt;"SI",Registro_Compras!$X$302=""),"","1041")</f>
        <v/>
      </c>
      <c r="D2693" t="str">
        <f>IF(OR(Registro_Compras!$C$302="",Registro_Compras!$O$302=""),"","Efectivo y Equivalentes - Cta. Cte. Operativa")</f>
        <v/>
      </c>
      <c r="E2693" s="20" t="str">
        <f>""</f>
        <v/>
      </c>
      <c r="F2693" s="20" t="str">
        <f>IF($C2693="","",Registro_Compras!$S$302)</f>
        <v/>
      </c>
      <c r="G2693" t="str">
        <f>IF($C2693="","","Por el deposito de la detraccion en el Banco de la Nacion")</f>
        <v/>
      </c>
      <c r="H2693" t="str">
        <f>IF($C2693="","",Registro_Compras!$C$302)</f>
        <v/>
      </c>
    </row>
    <row r="2694" spans="1:8" x14ac:dyDescent="0.25">
      <c r="A2694" s="25" t="str">
        <f>IF($C2694="","",Registro_Compras!$Y$302)</f>
        <v/>
      </c>
      <c r="B2694" t="str">
        <f>IF($C2694="","","C"&amp;TEXT(INT((ROW()-5)/9)+1,"000")&amp;"-4")</f>
        <v/>
      </c>
      <c r="C2694" t="str">
        <f>IF(OR(Registro_Compras!$C$302="",Registro_Compras!$O$302="",Registro_Compras!$Y$302="",Registro_Compras!$F$302="NOTA DE CREDITO"),"","4212")</f>
        <v/>
      </c>
      <c r="D2694" t="str">
        <f>IF(OR(Registro_Compras!$C$302="",Registro_Compras!$O$302=""),"","Cuentas por Pagar Comerciales - Terceros")</f>
        <v/>
      </c>
      <c r="E2694" s="20" t="str">
        <f>IF($C2694="","",IF(Registro_Compras!$F$302="RHE",(ROUND(Registro_Compras!$L$302*Registro_Compras!$N$302,2)-ROUND(Registro_Compras!$V$302*Registro_Compras!$N$302,2)),ROUND(Registro_Compras!$O$302-Registro_Compras!$S$302,2)))</f>
        <v/>
      </c>
      <c r="F2694" s="20" t="str">
        <f>""</f>
        <v/>
      </c>
      <c r="G2694" t="str">
        <f>IF($C2694="","","Por la cancelacion del saldo al proveedor")</f>
        <v/>
      </c>
      <c r="H2694" t="str">
        <f>IF($C2694="","",Registro_Compras!$C$302)</f>
        <v/>
      </c>
    </row>
    <row r="2695" spans="1:8" x14ac:dyDescent="0.25">
      <c r="A2695" s="25" t="str">
        <f>IF($C2695="","",Registro_Compras!$Y$302)</f>
        <v/>
      </c>
      <c r="B2695" t="str">
        <f>IF($C2695="","","C"&amp;TEXT(INT((ROW()-5)/9)+1,"000")&amp;"-4")</f>
        <v/>
      </c>
      <c r="C2695" t="str">
        <f>IF(OR(Registro_Compras!$C$302="",Registro_Compras!$O$302="",Registro_Compras!$Y$302="",Registro_Compras!$F$302="NOTA DE CREDITO"),"","1041")</f>
        <v/>
      </c>
      <c r="D2695" t="str">
        <f>IF(OR(Registro_Compras!$C$302="",Registro_Compras!$O$302=""),"","Efectivo y Equivalentes - Cta. Cte. Operativa")</f>
        <v/>
      </c>
      <c r="E2695" s="20" t="str">
        <f>""</f>
        <v/>
      </c>
      <c r="F2695" s="20" t="str">
        <f>IF($C2695="","",IF(Registro_Compras!$F$302="RHE",(ROUND(Registro_Compras!$L$302*Registro_Compras!$N$302,2)-ROUND(Registro_Compras!$V$302*Registro_Compras!$N$302,2)),ROUND(Registro_Compras!$O$302-Registro_Compras!$S$302,2)))</f>
        <v/>
      </c>
      <c r="G2695" t="str">
        <f>IF($C2695="","","Por la cancelacion del saldo al proveedor")</f>
        <v/>
      </c>
      <c r="H2695" t="str">
        <f>IF($C2695="","",Registro_Compras!$C$302)</f>
        <v/>
      </c>
    </row>
    <row r="2696" spans="1:8" x14ac:dyDescent="0.25">
      <c r="A2696" s="25" t="str">
        <f>IF($C2696="","",Registro_Compras!$B$303)</f>
        <v/>
      </c>
      <c r="B2696" t="str">
        <f>IF($C2696="","","C"&amp;TEXT(INT((ROW()-5)/9)+1,"000")&amp;"-1")</f>
        <v/>
      </c>
      <c r="C2696" t="str">
        <f>IF(OR(Registro_Compras!$C$303="",Registro_Compras!$O$303=""),"",IF(Registro_Compras!$F$303="NOTA DE CREDITO","4212",IF(Registro_Compras!$M$303="","63",Registro_Compras!$M$303)))</f>
        <v/>
      </c>
      <c r="D2696" t="str">
        <f>IF(OR(Registro_Compras!$C$303="",Registro_Compras!$O$303=""),"",IF(Registro_Compras!$F$303="NOTA DE CREDITO","Cuentas por Pagar Comerciales - Terceros (Emitidas)",IF(Registro_Compras!$F$303="RHE","Honorarios Profesionales - Servicios de Terceros","Gastos de Servicios Prestados por Terceros")))</f>
        <v/>
      </c>
      <c r="E2696" s="20" t="str">
        <f>IF($C2696="","",IF(Registro_Compras!$F$303="NOTA DE CREDITO",ABS(Registro_Compras!$O$303),IF(Registro_Compras!$F$303="RHE",ROUND(Registro_Compras!$L$303*Registro_Compras!$N$303,2),ROUND(Registro_Compras!$J$303*Registro_Compras!$N$303,2))))</f>
        <v/>
      </c>
      <c r="F2696" s="20" t="str">
        <f>""</f>
        <v/>
      </c>
      <c r="G2696" t="str">
        <f>IF($C2696="","",IF(Registro_Compras!$F$303="NOTA DE CREDITO","Por la nota de credito "&amp;Registro_Compras!$C$303&amp;" de "&amp;Registro_Compras!$E$303&amp;" [PATRON POR CONFIRMAR CON CONTADOR]",IF(Registro_Compras!$F$303="RHE","Por el registro del recibo por honorarios "&amp;Registro_Compras!$C$303&amp;" de "&amp;Registro_Compras!$E$303&amp;" [PATRON POR CONFIRMAR CON CONTADOR]","Por el registro de la factura "&amp;Registro_Compras!$C$303&amp;" de "&amp;Registro_Compras!$E$303)))</f>
        <v/>
      </c>
      <c r="H2696" t="str">
        <f>IF($C2696="","",Registro_Compras!$C$303)</f>
        <v/>
      </c>
    </row>
    <row r="2697" spans="1:8" x14ac:dyDescent="0.25">
      <c r="A2697" s="25" t="str">
        <f>IF($C2697="","",Registro_Compras!$B$303)</f>
        <v/>
      </c>
      <c r="B2697" t="str">
        <f>IF($C2697="","","C"&amp;TEXT(INT((ROW()-5)/9)+1,"000")&amp;"-1")</f>
        <v/>
      </c>
      <c r="C2697" t="str">
        <f>IF(OR(Registro_Compras!$C$303="",Registro_Compras!$O$303=""),"",IF(Registro_Compras!$F$303="RHE",IF(Registro_Compras!$V$303=0,"","4017"),IF(Registro_Compras!$F$303="NOTA DE CREDITO",IF(Registro_Compras!$M$303="","63",Registro_Compras!$M$303),IF(Registro_Compras!$K$303=0,"","40111"))))</f>
        <v/>
      </c>
      <c r="D2697" t="str">
        <f>IF(OR(Registro_Compras!$C$303="",Registro_Compras!$O$303=""),"",IF(Registro_Compras!$F$303="RHE","Retencion Renta 4ta Categoria por Pagar",IF(Registro_Compras!$F$303="NOTA DE CREDITO","Gastos de Servicios Prestados por Terceros","IGV - Cuenta Propia (Credito Fiscal)")))</f>
        <v/>
      </c>
      <c r="E2697" s="20" t="str">
        <f>IF($C2697="","",IF(Registro_Compras!$F$303="FACTURA",ROUND(Registro_Compras!$K$303*Registro_Compras!$N$303,2),""))</f>
        <v/>
      </c>
      <c r="F2697" s="20" t="str">
        <f>IF($C2697="","",IF(Registro_Compras!$F$303="RHE",ROUND(Registro_Compras!$V$303*Registro_Compras!$N$303,2),IF(Registro_Compras!$F$303="NOTA DE CREDITO",ROUND(ABS(Registro_Compras!$J$303*Registro_Compras!$N$303),2),"")))</f>
        <v/>
      </c>
      <c r="G2697" t="str">
        <f>IF($C2697="","",IF(Registro_Compras!$F$303="NOTA DE CREDITO","Por la nota de credito "&amp;Registro_Compras!$C$303&amp;" de "&amp;Registro_Compras!$E$303&amp;" [PATRON POR CONFIRMAR CON CONTADOR]",IF(Registro_Compras!$F$303="RHE","Por el registro del recibo por honorarios "&amp;Registro_Compras!$C$303&amp;" de "&amp;Registro_Compras!$E$303&amp;" [PATRON POR CONFIRMAR CON CONTADOR]","Por el registro de la factura "&amp;Registro_Compras!$C$303&amp;" de "&amp;Registro_Compras!$E$303)))</f>
        <v/>
      </c>
      <c r="H2697" t="str">
        <f>IF($C2697="","",Registro_Compras!$C$303)</f>
        <v/>
      </c>
    </row>
    <row r="2698" spans="1:8" x14ac:dyDescent="0.25">
      <c r="A2698" s="25" t="str">
        <f>IF($C2698="","",Registro_Compras!$B$303)</f>
        <v/>
      </c>
      <c r="B2698" t="str">
        <f>IF($C2698="","","C"&amp;TEXT(INT((ROW()-5)/9)+1,"000")&amp;"-1")</f>
        <v/>
      </c>
      <c r="C2698" t="str">
        <f>IF(OR(Registro_Compras!$C$303="",Registro_Compras!$O$303=""),"",IF(Registro_Compras!$F$303="NOTA DE CREDITO",IF(Registro_Compras!$K$303=0,"","40111"),"4212"))</f>
        <v/>
      </c>
      <c r="D2698" t="str">
        <f>IF(OR(Registro_Compras!$C$303="",Registro_Compras!$O$303=""),"",IF(Registro_Compras!$F$303="NOTA DE CREDITO","IGV - Cuenta Propia (Credito Fiscal)","Cuentas por Pagar Comerciales - Terceros (Emitidas)"))</f>
        <v/>
      </c>
      <c r="E2698" s="20" t="str">
        <f>""</f>
        <v/>
      </c>
      <c r="F2698" s="20" t="str">
        <f>IF($C2698="","",IF(Registro_Compras!$F$303="NOTA DE CREDITO",ROUND(ABS(Registro_Compras!$K$303*Registro_Compras!$N$303),2),IF(Registro_Compras!$F$303="RHE",(ROUND(Registro_Compras!$L$303*Registro_Compras!$N$303,2)-ROUND(Registro_Compras!$V$303*Registro_Compras!$N$303,2)),Registro_Compras!$O$303)))</f>
        <v/>
      </c>
      <c r="G2698" t="str">
        <f>IF($C2698="","",IF(Registro_Compras!$F$303="NOTA DE CREDITO","Por la nota de credito "&amp;Registro_Compras!$C$303&amp;" de "&amp;Registro_Compras!$E$303&amp;" [PATRON POR CONFIRMAR CON CONTADOR]",IF(Registro_Compras!$F$303="RHE","Por el registro del recibo por honorarios "&amp;Registro_Compras!$C$303&amp;" de "&amp;Registro_Compras!$E$303&amp;" [PATRON POR CONFIRMAR CON CONTADOR]","Por el registro de la factura "&amp;Registro_Compras!$C$303&amp;" de "&amp;Registro_Compras!$E$303)))</f>
        <v/>
      </c>
      <c r="H2698" t="str">
        <f>IF($C2698="","",Registro_Compras!$C$303)</f>
        <v/>
      </c>
    </row>
    <row r="2699" spans="1:8" x14ac:dyDescent="0.25">
      <c r="A2699" s="25" t="str">
        <f>IF($C2699="","",Registro_Compras!$B$303)</f>
        <v/>
      </c>
      <c r="B2699" t="str">
        <f>IF($C2699="","","C"&amp;TEXT(INT((ROW()-5)/9)+1,"000")&amp;"-2")</f>
        <v/>
      </c>
      <c r="C2699" t="str">
        <f>IF(OR(Registro_Compras!$C$303="",Registro_Compras!$O$303=""),"",IF(Registro_Compras!$AB$303="ADMINISTRATIVO","94","95"))</f>
        <v/>
      </c>
      <c r="D2699" t="str">
        <f>IF(OR(Registro_Compras!$C$303="",Registro_Compras!$O$303=""),"",IF(Registro_Compras!$AB$303="ADMINISTRATIVO","Gastos Administrativos","Gastos de Venta y Operacion"))</f>
        <v/>
      </c>
      <c r="E2699" s="20" t="str">
        <f>IF($C2699="","",IF(Registro_Compras!$F$303="NOTA DE CREDITO","",IF(Registro_Compras!$F$303="RHE",ROUND(Registro_Compras!$L$303*Registro_Compras!$N$303,2),ROUND(Registro_Compras!$J$303*Registro_Compras!$N$303,2))))</f>
        <v/>
      </c>
      <c r="F2699" s="20" t="str">
        <f>IF($C2699="","",IF(Registro_Compras!$F$303="NOTA DE CREDITO",ROUND(ABS(Registro_Compras!$J$303*Registro_Compras!$N$303),2),""))</f>
        <v/>
      </c>
      <c r="G2699" t="str">
        <f>IF($C2699="","","Por el destino del gasto")</f>
        <v/>
      </c>
      <c r="H2699" t="str">
        <f>IF($C2699="","",Registro_Compras!$C$303)</f>
        <v/>
      </c>
    </row>
    <row r="2700" spans="1:8" x14ac:dyDescent="0.25">
      <c r="A2700" s="25" t="str">
        <f>IF($C2700="","",Registro_Compras!$B$303)</f>
        <v/>
      </c>
      <c r="B2700" t="str">
        <f>IF($C2700="","","C"&amp;TEXT(INT((ROW()-5)/9)+1,"000")&amp;"-2")</f>
        <v/>
      </c>
      <c r="C2700" t="str">
        <f>IF(OR(Registro_Compras!$C$303="",Registro_Compras!$O$303=""),"","79/791")</f>
        <v/>
      </c>
      <c r="D2700" t="str">
        <f>IF(OR(Registro_Compras!$C$303="",Registro_Compras!$O$303=""),"","Cargas Imputables a Cuentas de Costos y Gastos")</f>
        <v/>
      </c>
      <c r="E2700" s="20" t="str">
        <f>IF($C2700="","",IF(Registro_Compras!$F$303="NOTA DE CREDITO",ROUND(ABS(Registro_Compras!$J$303*Registro_Compras!$N$303),2),""))</f>
        <v/>
      </c>
      <c r="F2700" s="20" t="str">
        <f>IF($C2700="","",IF(Registro_Compras!$F$303="NOTA DE CREDITO","",IF(Registro_Compras!$F$303="RHE",ROUND(Registro_Compras!$L$303*Registro_Compras!$N$303,2),ROUND(Registro_Compras!$J$303*Registro_Compras!$N$303,2))))</f>
        <v/>
      </c>
      <c r="G2700" t="str">
        <f>IF($C2700="","","Por el destino del gasto")</f>
        <v/>
      </c>
      <c r="H2700" t="str">
        <f>IF($C2700="","",Registro_Compras!$C$303)</f>
        <v/>
      </c>
    </row>
    <row r="2701" spans="1:8" x14ac:dyDescent="0.25">
      <c r="A2701" s="25" t="str">
        <f>IF($C2701="","",Registro_Compras!$X$303)</f>
        <v/>
      </c>
      <c r="B2701" t="str">
        <f>IF($C2701="","","C"&amp;TEXT(INT((ROW()-5)/9)+1,"000")&amp;"-3")</f>
        <v/>
      </c>
      <c r="C2701" t="str">
        <f>IF(OR(Registro_Compras!$C$303="",Registro_Compras!$O$303="",Registro_Compras!$R$303&lt;&gt;"SI",Registro_Compras!$X$303=""),"","4212")</f>
        <v/>
      </c>
      <c r="D2701" t="str">
        <f>IF(OR(Registro_Compras!$C$303="",Registro_Compras!$O$303=""),"","Cuentas por Pagar Comerciales - Terceros")</f>
        <v/>
      </c>
      <c r="E2701" s="20" t="str">
        <f>IF($C2701="","",Registro_Compras!$S$303)</f>
        <v/>
      </c>
      <c r="F2701" s="20" t="str">
        <f>""</f>
        <v/>
      </c>
      <c r="G2701" t="str">
        <f>IF($C2701="","","Por el deposito de la detraccion en el Banco de la Nacion")</f>
        <v/>
      </c>
      <c r="H2701" t="str">
        <f>IF($C2701="","",Registro_Compras!$C$303)</f>
        <v/>
      </c>
    </row>
    <row r="2702" spans="1:8" x14ac:dyDescent="0.25">
      <c r="A2702" s="25" t="str">
        <f>IF($C2702="","",Registro_Compras!$X$303)</f>
        <v/>
      </c>
      <c r="B2702" t="str">
        <f>IF($C2702="","","C"&amp;TEXT(INT((ROW()-5)/9)+1,"000")&amp;"-3")</f>
        <v/>
      </c>
      <c r="C2702" t="str">
        <f>IF(OR(Registro_Compras!$C$303="",Registro_Compras!$O$303="",Registro_Compras!$R$303&lt;&gt;"SI",Registro_Compras!$X$303=""),"","1041")</f>
        <v/>
      </c>
      <c r="D2702" t="str">
        <f>IF(OR(Registro_Compras!$C$303="",Registro_Compras!$O$303=""),"","Efectivo y Equivalentes - Cta. Cte. Operativa")</f>
        <v/>
      </c>
      <c r="E2702" s="20" t="str">
        <f>""</f>
        <v/>
      </c>
      <c r="F2702" s="20" t="str">
        <f>IF($C2702="","",Registro_Compras!$S$303)</f>
        <v/>
      </c>
      <c r="G2702" t="str">
        <f>IF($C2702="","","Por el deposito de la detraccion en el Banco de la Nacion")</f>
        <v/>
      </c>
      <c r="H2702" t="str">
        <f>IF($C2702="","",Registro_Compras!$C$303)</f>
        <v/>
      </c>
    </row>
    <row r="2703" spans="1:8" x14ac:dyDescent="0.25">
      <c r="A2703" s="25" t="str">
        <f>IF($C2703="","",Registro_Compras!$Y$303)</f>
        <v/>
      </c>
      <c r="B2703" t="str">
        <f>IF($C2703="","","C"&amp;TEXT(INT((ROW()-5)/9)+1,"000")&amp;"-4")</f>
        <v/>
      </c>
      <c r="C2703" t="str">
        <f>IF(OR(Registro_Compras!$C$303="",Registro_Compras!$O$303="",Registro_Compras!$Y$303="",Registro_Compras!$F$303="NOTA DE CREDITO"),"","4212")</f>
        <v/>
      </c>
      <c r="D2703" t="str">
        <f>IF(OR(Registro_Compras!$C$303="",Registro_Compras!$O$303=""),"","Cuentas por Pagar Comerciales - Terceros")</f>
        <v/>
      </c>
      <c r="E2703" s="20" t="str">
        <f>IF($C2703="","",IF(Registro_Compras!$F$303="RHE",(ROUND(Registro_Compras!$L$303*Registro_Compras!$N$303,2)-ROUND(Registro_Compras!$V$303*Registro_Compras!$N$303,2)),ROUND(Registro_Compras!$O$303-Registro_Compras!$S$303,2)))</f>
        <v/>
      </c>
      <c r="F2703" s="20" t="str">
        <f>""</f>
        <v/>
      </c>
      <c r="G2703" t="str">
        <f>IF($C2703="","","Por la cancelacion del saldo al proveedor")</f>
        <v/>
      </c>
      <c r="H2703" t="str">
        <f>IF($C2703="","",Registro_Compras!$C$303)</f>
        <v/>
      </c>
    </row>
    <row r="2704" spans="1:8" x14ac:dyDescent="0.25">
      <c r="A2704" s="25" t="str">
        <f>IF($C2704="","",Registro_Compras!$Y$303)</f>
        <v/>
      </c>
      <c r="B2704" t="str">
        <f>IF($C2704="","","C"&amp;TEXT(INT((ROW()-5)/9)+1,"000")&amp;"-4")</f>
        <v/>
      </c>
      <c r="C2704" t="str">
        <f>IF(OR(Registro_Compras!$C$303="",Registro_Compras!$O$303="",Registro_Compras!$Y$303="",Registro_Compras!$F$303="NOTA DE CREDITO"),"","1041")</f>
        <v/>
      </c>
      <c r="D2704" t="str">
        <f>IF(OR(Registro_Compras!$C$303="",Registro_Compras!$O$303=""),"","Efectivo y Equivalentes - Cta. Cte. Operativa")</f>
        <v/>
      </c>
      <c r="E2704" s="20" t="str">
        <f>""</f>
        <v/>
      </c>
      <c r="F2704" s="20" t="str">
        <f>IF($C2704="","",IF(Registro_Compras!$F$303="RHE",(ROUND(Registro_Compras!$L$303*Registro_Compras!$N$303,2)-ROUND(Registro_Compras!$V$303*Registro_Compras!$N$303,2)),ROUND(Registro_Compras!$O$303-Registro_Compras!$S$303,2)))</f>
        <v/>
      </c>
      <c r="G2704" t="str">
        <f>IF($C2704="","","Por la cancelacion del saldo al proveedor")</f>
        <v/>
      </c>
      <c r="H2704" t="str">
        <f>IF($C2704="","",Registro_Compras!$C$303)</f>
        <v/>
      </c>
    </row>
    <row r="2705" spans="1:8" x14ac:dyDescent="0.25">
      <c r="A2705" s="25" t="str">
        <f>IF($C2705="","",Registro_Compras!$B$304)</f>
        <v/>
      </c>
      <c r="B2705" t="str">
        <f>IF($C2705="","","C"&amp;TEXT(INT((ROW()-5)/9)+1,"000")&amp;"-1")</f>
        <v/>
      </c>
      <c r="C2705" t="str">
        <f>IF(OR(Registro_Compras!$C$304="",Registro_Compras!$O$304=""),"",IF(Registro_Compras!$F$304="NOTA DE CREDITO","4212",IF(Registro_Compras!$M$304="","63",Registro_Compras!$M$304)))</f>
        <v/>
      </c>
      <c r="D2705" t="str">
        <f>IF(OR(Registro_Compras!$C$304="",Registro_Compras!$O$304=""),"",IF(Registro_Compras!$F$304="NOTA DE CREDITO","Cuentas por Pagar Comerciales - Terceros (Emitidas)",IF(Registro_Compras!$F$304="RHE","Honorarios Profesionales - Servicios de Terceros","Gastos de Servicios Prestados por Terceros")))</f>
        <v/>
      </c>
      <c r="E2705" s="20" t="str">
        <f>IF($C2705="","",IF(Registro_Compras!$F$304="NOTA DE CREDITO",ABS(Registro_Compras!$O$304),IF(Registro_Compras!$F$304="RHE",ROUND(Registro_Compras!$L$304*Registro_Compras!$N$304,2),ROUND(Registro_Compras!$J$304*Registro_Compras!$N$304,2))))</f>
        <v/>
      </c>
      <c r="F2705" s="20" t="str">
        <f>""</f>
        <v/>
      </c>
      <c r="G2705" t="str">
        <f>IF($C2705="","",IF(Registro_Compras!$F$304="NOTA DE CREDITO","Por la nota de credito "&amp;Registro_Compras!$C$304&amp;" de "&amp;Registro_Compras!$E$304&amp;" [PATRON POR CONFIRMAR CON CONTADOR]",IF(Registro_Compras!$F$304="RHE","Por el registro del recibo por honorarios "&amp;Registro_Compras!$C$304&amp;" de "&amp;Registro_Compras!$E$304&amp;" [PATRON POR CONFIRMAR CON CONTADOR]","Por el registro de la factura "&amp;Registro_Compras!$C$304&amp;" de "&amp;Registro_Compras!$E$304)))</f>
        <v/>
      </c>
      <c r="H2705" t="str">
        <f>IF($C2705="","",Registro_Compras!$C$304)</f>
        <v/>
      </c>
    </row>
    <row r="2706" spans="1:8" x14ac:dyDescent="0.25">
      <c r="A2706" s="25" t="str">
        <f>IF($C2706="","",Registro_Compras!$B$304)</f>
        <v/>
      </c>
      <c r="B2706" t="str">
        <f>IF($C2706="","","C"&amp;TEXT(INT((ROW()-5)/9)+1,"000")&amp;"-1")</f>
        <v/>
      </c>
      <c r="C2706" t="str">
        <f>IF(OR(Registro_Compras!$C$304="",Registro_Compras!$O$304=""),"",IF(Registro_Compras!$F$304="RHE",IF(Registro_Compras!$V$304=0,"","4017"),IF(Registro_Compras!$F$304="NOTA DE CREDITO",IF(Registro_Compras!$M$304="","63",Registro_Compras!$M$304),IF(Registro_Compras!$K$304=0,"","40111"))))</f>
        <v/>
      </c>
      <c r="D2706" t="str">
        <f>IF(OR(Registro_Compras!$C$304="",Registro_Compras!$O$304=""),"",IF(Registro_Compras!$F$304="RHE","Retencion Renta 4ta Categoria por Pagar",IF(Registro_Compras!$F$304="NOTA DE CREDITO","Gastos de Servicios Prestados por Terceros","IGV - Cuenta Propia (Credito Fiscal)")))</f>
        <v/>
      </c>
      <c r="E2706" s="20" t="str">
        <f>IF($C2706="","",IF(Registro_Compras!$F$304="FACTURA",ROUND(Registro_Compras!$K$304*Registro_Compras!$N$304,2),""))</f>
        <v/>
      </c>
      <c r="F2706" s="20" t="str">
        <f>IF($C2706="","",IF(Registro_Compras!$F$304="RHE",ROUND(Registro_Compras!$V$304*Registro_Compras!$N$304,2),IF(Registro_Compras!$F$304="NOTA DE CREDITO",ROUND(ABS(Registro_Compras!$J$304*Registro_Compras!$N$304),2),"")))</f>
        <v/>
      </c>
      <c r="G2706" t="str">
        <f>IF($C2706="","",IF(Registro_Compras!$F$304="NOTA DE CREDITO","Por la nota de credito "&amp;Registro_Compras!$C$304&amp;" de "&amp;Registro_Compras!$E$304&amp;" [PATRON POR CONFIRMAR CON CONTADOR]",IF(Registro_Compras!$F$304="RHE","Por el registro del recibo por honorarios "&amp;Registro_Compras!$C$304&amp;" de "&amp;Registro_Compras!$E$304&amp;" [PATRON POR CONFIRMAR CON CONTADOR]","Por el registro de la factura "&amp;Registro_Compras!$C$304&amp;" de "&amp;Registro_Compras!$E$304)))</f>
        <v/>
      </c>
      <c r="H2706" t="str">
        <f>IF($C2706="","",Registro_Compras!$C$304)</f>
        <v/>
      </c>
    </row>
    <row r="2707" spans="1:8" x14ac:dyDescent="0.25">
      <c r="A2707" s="25" t="str">
        <f>IF($C2707="","",Registro_Compras!$B$304)</f>
        <v/>
      </c>
      <c r="B2707" t="str">
        <f>IF($C2707="","","C"&amp;TEXT(INT((ROW()-5)/9)+1,"000")&amp;"-1")</f>
        <v/>
      </c>
      <c r="C2707" t="str">
        <f>IF(OR(Registro_Compras!$C$304="",Registro_Compras!$O$304=""),"",IF(Registro_Compras!$F$304="NOTA DE CREDITO",IF(Registro_Compras!$K$304=0,"","40111"),"4212"))</f>
        <v/>
      </c>
      <c r="D2707" t="str">
        <f>IF(OR(Registro_Compras!$C$304="",Registro_Compras!$O$304=""),"",IF(Registro_Compras!$F$304="NOTA DE CREDITO","IGV - Cuenta Propia (Credito Fiscal)","Cuentas por Pagar Comerciales - Terceros (Emitidas)"))</f>
        <v/>
      </c>
      <c r="E2707" s="20" t="str">
        <f>""</f>
        <v/>
      </c>
      <c r="F2707" s="20" t="str">
        <f>IF($C2707="","",IF(Registro_Compras!$F$304="NOTA DE CREDITO",ROUND(ABS(Registro_Compras!$K$304*Registro_Compras!$N$304),2),IF(Registro_Compras!$F$304="RHE",(ROUND(Registro_Compras!$L$304*Registro_Compras!$N$304,2)-ROUND(Registro_Compras!$V$304*Registro_Compras!$N$304,2)),Registro_Compras!$O$304)))</f>
        <v/>
      </c>
      <c r="G2707" t="str">
        <f>IF($C2707="","",IF(Registro_Compras!$F$304="NOTA DE CREDITO","Por la nota de credito "&amp;Registro_Compras!$C$304&amp;" de "&amp;Registro_Compras!$E$304&amp;" [PATRON POR CONFIRMAR CON CONTADOR]",IF(Registro_Compras!$F$304="RHE","Por el registro del recibo por honorarios "&amp;Registro_Compras!$C$304&amp;" de "&amp;Registro_Compras!$E$304&amp;" [PATRON POR CONFIRMAR CON CONTADOR]","Por el registro de la factura "&amp;Registro_Compras!$C$304&amp;" de "&amp;Registro_Compras!$E$304)))</f>
        <v/>
      </c>
      <c r="H2707" t="str">
        <f>IF($C2707="","",Registro_Compras!$C$304)</f>
        <v/>
      </c>
    </row>
    <row r="2708" spans="1:8" x14ac:dyDescent="0.25">
      <c r="A2708" s="25" t="str">
        <f>IF($C2708="","",Registro_Compras!$B$304)</f>
        <v/>
      </c>
      <c r="B2708" t="str">
        <f>IF($C2708="","","C"&amp;TEXT(INT((ROW()-5)/9)+1,"000")&amp;"-2")</f>
        <v/>
      </c>
      <c r="C2708" t="str">
        <f>IF(OR(Registro_Compras!$C$304="",Registro_Compras!$O$304=""),"",IF(Registro_Compras!$AB$304="ADMINISTRATIVO","94","95"))</f>
        <v/>
      </c>
      <c r="D2708" t="str">
        <f>IF(OR(Registro_Compras!$C$304="",Registro_Compras!$O$304=""),"",IF(Registro_Compras!$AB$304="ADMINISTRATIVO","Gastos Administrativos","Gastos de Venta y Operacion"))</f>
        <v/>
      </c>
      <c r="E2708" s="20" t="str">
        <f>IF($C2708="","",IF(Registro_Compras!$F$304="NOTA DE CREDITO","",IF(Registro_Compras!$F$304="RHE",ROUND(Registro_Compras!$L$304*Registro_Compras!$N$304,2),ROUND(Registro_Compras!$J$304*Registro_Compras!$N$304,2))))</f>
        <v/>
      </c>
      <c r="F2708" s="20" t="str">
        <f>IF($C2708="","",IF(Registro_Compras!$F$304="NOTA DE CREDITO",ROUND(ABS(Registro_Compras!$J$304*Registro_Compras!$N$304),2),""))</f>
        <v/>
      </c>
      <c r="G2708" t="str">
        <f>IF($C2708="","","Por el destino del gasto")</f>
        <v/>
      </c>
      <c r="H2708" t="str">
        <f>IF($C2708="","",Registro_Compras!$C$304)</f>
        <v/>
      </c>
    </row>
    <row r="2709" spans="1:8" x14ac:dyDescent="0.25">
      <c r="A2709" s="25" t="str">
        <f>IF($C2709="","",Registro_Compras!$B$304)</f>
        <v/>
      </c>
      <c r="B2709" t="str">
        <f>IF($C2709="","","C"&amp;TEXT(INT((ROW()-5)/9)+1,"000")&amp;"-2")</f>
        <v/>
      </c>
      <c r="C2709" t="str">
        <f>IF(OR(Registro_Compras!$C$304="",Registro_Compras!$O$304=""),"","79/791")</f>
        <v/>
      </c>
      <c r="D2709" t="str">
        <f>IF(OR(Registro_Compras!$C$304="",Registro_Compras!$O$304=""),"","Cargas Imputables a Cuentas de Costos y Gastos")</f>
        <v/>
      </c>
      <c r="E2709" s="20" t="str">
        <f>IF($C2709="","",IF(Registro_Compras!$F$304="NOTA DE CREDITO",ROUND(ABS(Registro_Compras!$J$304*Registro_Compras!$N$304),2),""))</f>
        <v/>
      </c>
      <c r="F2709" s="20" t="str">
        <f>IF($C2709="","",IF(Registro_Compras!$F$304="NOTA DE CREDITO","",IF(Registro_Compras!$F$304="RHE",ROUND(Registro_Compras!$L$304*Registro_Compras!$N$304,2),ROUND(Registro_Compras!$J$304*Registro_Compras!$N$304,2))))</f>
        <v/>
      </c>
      <c r="G2709" t="str">
        <f>IF($C2709="","","Por el destino del gasto")</f>
        <v/>
      </c>
      <c r="H2709" t="str">
        <f>IF($C2709="","",Registro_Compras!$C$304)</f>
        <v/>
      </c>
    </row>
    <row r="2710" spans="1:8" x14ac:dyDescent="0.25">
      <c r="A2710" s="25" t="str">
        <f>IF($C2710="","",Registro_Compras!$X$304)</f>
        <v/>
      </c>
      <c r="B2710" t="str">
        <f>IF($C2710="","","C"&amp;TEXT(INT((ROW()-5)/9)+1,"000")&amp;"-3")</f>
        <v/>
      </c>
      <c r="C2710" t="str">
        <f>IF(OR(Registro_Compras!$C$304="",Registro_Compras!$O$304="",Registro_Compras!$R$304&lt;&gt;"SI",Registro_Compras!$X$304=""),"","4212")</f>
        <v/>
      </c>
      <c r="D2710" t="str">
        <f>IF(OR(Registro_Compras!$C$304="",Registro_Compras!$O$304=""),"","Cuentas por Pagar Comerciales - Terceros")</f>
        <v/>
      </c>
      <c r="E2710" s="20" t="str">
        <f>IF($C2710="","",Registro_Compras!$S$304)</f>
        <v/>
      </c>
      <c r="F2710" s="20" t="str">
        <f>""</f>
        <v/>
      </c>
      <c r="G2710" t="str">
        <f>IF($C2710="","","Por el deposito de la detraccion en el Banco de la Nacion")</f>
        <v/>
      </c>
      <c r="H2710" t="str">
        <f>IF($C2710="","",Registro_Compras!$C$304)</f>
        <v/>
      </c>
    </row>
    <row r="2711" spans="1:8" x14ac:dyDescent="0.25">
      <c r="A2711" s="25" t="str">
        <f>IF($C2711="","",Registro_Compras!$X$304)</f>
        <v/>
      </c>
      <c r="B2711" t="str">
        <f>IF($C2711="","","C"&amp;TEXT(INT((ROW()-5)/9)+1,"000")&amp;"-3")</f>
        <v/>
      </c>
      <c r="C2711" t="str">
        <f>IF(OR(Registro_Compras!$C$304="",Registro_Compras!$O$304="",Registro_Compras!$R$304&lt;&gt;"SI",Registro_Compras!$X$304=""),"","1041")</f>
        <v/>
      </c>
      <c r="D2711" t="str">
        <f>IF(OR(Registro_Compras!$C$304="",Registro_Compras!$O$304=""),"","Efectivo y Equivalentes - Cta. Cte. Operativa")</f>
        <v/>
      </c>
      <c r="E2711" s="20" t="str">
        <f>""</f>
        <v/>
      </c>
      <c r="F2711" s="20" t="str">
        <f>IF($C2711="","",Registro_Compras!$S$304)</f>
        <v/>
      </c>
      <c r="G2711" t="str">
        <f>IF($C2711="","","Por el deposito de la detraccion en el Banco de la Nacion")</f>
        <v/>
      </c>
      <c r="H2711" t="str">
        <f>IF($C2711="","",Registro_Compras!$C$304)</f>
        <v/>
      </c>
    </row>
    <row r="2712" spans="1:8" x14ac:dyDescent="0.25">
      <c r="A2712" s="25" t="str">
        <f>IF($C2712="","",Registro_Compras!$Y$304)</f>
        <v/>
      </c>
      <c r="B2712" t="str">
        <f>IF($C2712="","","C"&amp;TEXT(INT((ROW()-5)/9)+1,"000")&amp;"-4")</f>
        <v/>
      </c>
      <c r="C2712" t="str">
        <f>IF(OR(Registro_Compras!$C$304="",Registro_Compras!$O$304="",Registro_Compras!$Y$304="",Registro_Compras!$F$304="NOTA DE CREDITO"),"","4212")</f>
        <v/>
      </c>
      <c r="D2712" t="str">
        <f>IF(OR(Registro_Compras!$C$304="",Registro_Compras!$O$304=""),"","Cuentas por Pagar Comerciales - Terceros")</f>
        <v/>
      </c>
      <c r="E2712" s="20" t="str">
        <f>IF($C2712="","",IF(Registro_Compras!$F$304="RHE",(ROUND(Registro_Compras!$L$304*Registro_Compras!$N$304,2)-ROUND(Registro_Compras!$V$304*Registro_Compras!$N$304,2)),ROUND(Registro_Compras!$O$304-Registro_Compras!$S$304,2)))</f>
        <v/>
      </c>
      <c r="F2712" s="20" t="str">
        <f>""</f>
        <v/>
      </c>
      <c r="G2712" t="str">
        <f>IF($C2712="","","Por la cancelacion del saldo al proveedor")</f>
        <v/>
      </c>
      <c r="H2712" t="str">
        <f>IF($C2712="","",Registro_Compras!$C$304)</f>
        <v/>
      </c>
    </row>
    <row r="2713" spans="1:8" x14ac:dyDescent="0.25">
      <c r="A2713" s="25" t="str">
        <f>IF($C2713="","",Registro_Compras!$Y$304)</f>
        <v/>
      </c>
      <c r="B2713" t="str">
        <f>IF($C2713="","","C"&amp;TEXT(INT((ROW()-5)/9)+1,"000")&amp;"-4")</f>
        <v/>
      </c>
      <c r="C2713" t="str">
        <f>IF(OR(Registro_Compras!$C$304="",Registro_Compras!$O$304="",Registro_Compras!$Y$304="",Registro_Compras!$F$304="NOTA DE CREDITO"),"","1041")</f>
        <v/>
      </c>
      <c r="D2713" t="str">
        <f>IF(OR(Registro_Compras!$C$304="",Registro_Compras!$O$304=""),"","Efectivo y Equivalentes - Cta. Cte. Operativa")</f>
        <v/>
      </c>
      <c r="E2713" s="20" t="str">
        <f>""</f>
        <v/>
      </c>
      <c r="F2713" s="20" t="str">
        <f>IF($C2713="","",IF(Registro_Compras!$F$304="RHE",(ROUND(Registro_Compras!$L$304*Registro_Compras!$N$304,2)-ROUND(Registro_Compras!$V$304*Registro_Compras!$N$304,2)),ROUND(Registro_Compras!$O$304-Registro_Compras!$S$304,2)))</f>
        <v/>
      </c>
      <c r="G2713" t="str">
        <f>IF($C2713="","","Por la cancelacion del saldo al proveedor")</f>
        <v/>
      </c>
      <c r="H2713" t="str">
        <f>IF($C2713="","",Registro_Compras!$C$304)</f>
        <v/>
      </c>
    </row>
    <row r="2714" spans="1:8" x14ac:dyDescent="0.25">
      <c r="A2714" s="25" t="str">
        <f>IF($C2714="","",Registro_Compras!$B$305)</f>
        <v/>
      </c>
      <c r="B2714" t="str">
        <f>IF($C2714="","","C"&amp;TEXT(INT((ROW()-5)/9)+1,"000")&amp;"-1")</f>
        <v/>
      </c>
      <c r="C2714" t="str">
        <f>IF(OR(Registro_Compras!$C$305="",Registro_Compras!$O$305=""),"",IF(Registro_Compras!$F$305="NOTA DE CREDITO","4212",IF(Registro_Compras!$M$305="","63",Registro_Compras!$M$305)))</f>
        <v/>
      </c>
      <c r="D2714" t="str">
        <f>IF(OR(Registro_Compras!$C$305="",Registro_Compras!$O$305=""),"",IF(Registro_Compras!$F$305="NOTA DE CREDITO","Cuentas por Pagar Comerciales - Terceros (Emitidas)",IF(Registro_Compras!$F$305="RHE","Honorarios Profesionales - Servicios de Terceros","Gastos de Servicios Prestados por Terceros")))</f>
        <v/>
      </c>
      <c r="E2714" s="20" t="str">
        <f>IF($C2714="","",IF(Registro_Compras!$F$305="NOTA DE CREDITO",ABS(Registro_Compras!$O$305),IF(Registro_Compras!$F$305="RHE",ROUND(Registro_Compras!$L$305*Registro_Compras!$N$305,2),ROUND(Registro_Compras!$J$305*Registro_Compras!$N$305,2))))</f>
        <v/>
      </c>
      <c r="F2714" s="20" t="str">
        <f>""</f>
        <v/>
      </c>
      <c r="G2714" t="str">
        <f>IF($C2714="","",IF(Registro_Compras!$F$305="NOTA DE CREDITO","Por la nota de credito "&amp;Registro_Compras!$C$305&amp;" de "&amp;Registro_Compras!$E$305&amp;" [PATRON POR CONFIRMAR CON CONTADOR]",IF(Registro_Compras!$F$305="RHE","Por el registro del recibo por honorarios "&amp;Registro_Compras!$C$305&amp;" de "&amp;Registro_Compras!$E$305&amp;" [PATRON POR CONFIRMAR CON CONTADOR]","Por el registro de la factura "&amp;Registro_Compras!$C$305&amp;" de "&amp;Registro_Compras!$E$305)))</f>
        <v/>
      </c>
      <c r="H2714" t="str">
        <f>IF($C2714="","",Registro_Compras!$C$305)</f>
        <v/>
      </c>
    </row>
    <row r="2715" spans="1:8" x14ac:dyDescent="0.25">
      <c r="A2715" s="25" t="str">
        <f>IF($C2715="","",Registro_Compras!$B$305)</f>
        <v/>
      </c>
      <c r="B2715" t="str">
        <f>IF($C2715="","","C"&amp;TEXT(INT((ROW()-5)/9)+1,"000")&amp;"-1")</f>
        <v/>
      </c>
      <c r="C2715" t="str">
        <f>IF(OR(Registro_Compras!$C$305="",Registro_Compras!$O$305=""),"",IF(Registro_Compras!$F$305="RHE",IF(Registro_Compras!$V$305=0,"","4017"),IF(Registro_Compras!$F$305="NOTA DE CREDITO",IF(Registro_Compras!$M$305="","63",Registro_Compras!$M$305),IF(Registro_Compras!$K$305=0,"","40111"))))</f>
        <v/>
      </c>
      <c r="D2715" t="str">
        <f>IF(OR(Registro_Compras!$C$305="",Registro_Compras!$O$305=""),"",IF(Registro_Compras!$F$305="RHE","Retencion Renta 4ta Categoria por Pagar",IF(Registro_Compras!$F$305="NOTA DE CREDITO","Gastos de Servicios Prestados por Terceros","IGV - Cuenta Propia (Credito Fiscal)")))</f>
        <v/>
      </c>
      <c r="E2715" s="20" t="str">
        <f>IF($C2715="","",IF(Registro_Compras!$F$305="FACTURA",ROUND(Registro_Compras!$K$305*Registro_Compras!$N$305,2),""))</f>
        <v/>
      </c>
      <c r="F2715" s="20" t="str">
        <f>IF($C2715="","",IF(Registro_Compras!$F$305="RHE",ROUND(Registro_Compras!$V$305*Registro_Compras!$N$305,2),IF(Registro_Compras!$F$305="NOTA DE CREDITO",ROUND(ABS(Registro_Compras!$J$305*Registro_Compras!$N$305),2),"")))</f>
        <v/>
      </c>
      <c r="G2715" t="str">
        <f>IF($C2715="","",IF(Registro_Compras!$F$305="NOTA DE CREDITO","Por la nota de credito "&amp;Registro_Compras!$C$305&amp;" de "&amp;Registro_Compras!$E$305&amp;" [PATRON POR CONFIRMAR CON CONTADOR]",IF(Registro_Compras!$F$305="RHE","Por el registro del recibo por honorarios "&amp;Registro_Compras!$C$305&amp;" de "&amp;Registro_Compras!$E$305&amp;" [PATRON POR CONFIRMAR CON CONTADOR]","Por el registro de la factura "&amp;Registro_Compras!$C$305&amp;" de "&amp;Registro_Compras!$E$305)))</f>
        <v/>
      </c>
      <c r="H2715" t="str">
        <f>IF($C2715="","",Registro_Compras!$C$305)</f>
        <v/>
      </c>
    </row>
    <row r="2716" spans="1:8" x14ac:dyDescent="0.25">
      <c r="A2716" s="25" t="str">
        <f>IF($C2716="","",Registro_Compras!$B$305)</f>
        <v/>
      </c>
      <c r="B2716" t="str">
        <f>IF($C2716="","","C"&amp;TEXT(INT((ROW()-5)/9)+1,"000")&amp;"-1")</f>
        <v/>
      </c>
      <c r="C2716" t="str">
        <f>IF(OR(Registro_Compras!$C$305="",Registro_Compras!$O$305=""),"",IF(Registro_Compras!$F$305="NOTA DE CREDITO",IF(Registro_Compras!$K$305=0,"","40111"),"4212"))</f>
        <v/>
      </c>
      <c r="D2716" t="str">
        <f>IF(OR(Registro_Compras!$C$305="",Registro_Compras!$O$305=""),"",IF(Registro_Compras!$F$305="NOTA DE CREDITO","IGV - Cuenta Propia (Credito Fiscal)","Cuentas por Pagar Comerciales - Terceros (Emitidas)"))</f>
        <v/>
      </c>
      <c r="E2716" s="20" t="str">
        <f>""</f>
        <v/>
      </c>
      <c r="F2716" s="20" t="str">
        <f>IF($C2716="","",IF(Registro_Compras!$F$305="NOTA DE CREDITO",ROUND(ABS(Registro_Compras!$K$305*Registro_Compras!$N$305),2),IF(Registro_Compras!$F$305="RHE",(ROUND(Registro_Compras!$L$305*Registro_Compras!$N$305,2)-ROUND(Registro_Compras!$V$305*Registro_Compras!$N$305,2)),Registro_Compras!$O$305)))</f>
        <v/>
      </c>
      <c r="G2716" t="str">
        <f>IF($C2716="","",IF(Registro_Compras!$F$305="NOTA DE CREDITO","Por la nota de credito "&amp;Registro_Compras!$C$305&amp;" de "&amp;Registro_Compras!$E$305&amp;" [PATRON POR CONFIRMAR CON CONTADOR]",IF(Registro_Compras!$F$305="RHE","Por el registro del recibo por honorarios "&amp;Registro_Compras!$C$305&amp;" de "&amp;Registro_Compras!$E$305&amp;" [PATRON POR CONFIRMAR CON CONTADOR]","Por el registro de la factura "&amp;Registro_Compras!$C$305&amp;" de "&amp;Registro_Compras!$E$305)))</f>
        <v/>
      </c>
      <c r="H2716" t="str">
        <f>IF($C2716="","",Registro_Compras!$C$305)</f>
        <v/>
      </c>
    </row>
    <row r="2717" spans="1:8" x14ac:dyDescent="0.25">
      <c r="A2717" s="25" t="str">
        <f>IF($C2717="","",Registro_Compras!$B$305)</f>
        <v/>
      </c>
      <c r="B2717" t="str">
        <f>IF($C2717="","","C"&amp;TEXT(INT((ROW()-5)/9)+1,"000")&amp;"-2")</f>
        <v/>
      </c>
      <c r="C2717" t="str">
        <f>IF(OR(Registro_Compras!$C$305="",Registro_Compras!$O$305=""),"",IF(Registro_Compras!$AB$305="ADMINISTRATIVO","94","95"))</f>
        <v/>
      </c>
      <c r="D2717" t="str">
        <f>IF(OR(Registro_Compras!$C$305="",Registro_Compras!$O$305=""),"",IF(Registro_Compras!$AB$305="ADMINISTRATIVO","Gastos Administrativos","Gastos de Venta y Operacion"))</f>
        <v/>
      </c>
      <c r="E2717" s="20" t="str">
        <f>IF($C2717="","",IF(Registro_Compras!$F$305="NOTA DE CREDITO","",IF(Registro_Compras!$F$305="RHE",ROUND(Registro_Compras!$L$305*Registro_Compras!$N$305,2),ROUND(Registro_Compras!$J$305*Registro_Compras!$N$305,2))))</f>
        <v/>
      </c>
      <c r="F2717" s="20" t="str">
        <f>IF($C2717="","",IF(Registro_Compras!$F$305="NOTA DE CREDITO",ROUND(ABS(Registro_Compras!$J$305*Registro_Compras!$N$305),2),""))</f>
        <v/>
      </c>
      <c r="G2717" t="str">
        <f>IF($C2717="","","Por el destino del gasto")</f>
        <v/>
      </c>
      <c r="H2717" t="str">
        <f>IF($C2717="","",Registro_Compras!$C$305)</f>
        <v/>
      </c>
    </row>
    <row r="2718" spans="1:8" x14ac:dyDescent="0.25">
      <c r="A2718" s="25" t="str">
        <f>IF($C2718="","",Registro_Compras!$B$305)</f>
        <v/>
      </c>
      <c r="B2718" t="str">
        <f>IF($C2718="","","C"&amp;TEXT(INT((ROW()-5)/9)+1,"000")&amp;"-2")</f>
        <v/>
      </c>
      <c r="C2718" t="str">
        <f>IF(OR(Registro_Compras!$C$305="",Registro_Compras!$O$305=""),"","79/791")</f>
        <v/>
      </c>
      <c r="D2718" t="str">
        <f>IF(OR(Registro_Compras!$C$305="",Registro_Compras!$O$305=""),"","Cargas Imputables a Cuentas de Costos y Gastos")</f>
        <v/>
      </c>
      <c r="E2718" s="20" t="str">
        <f>IF($C2718="","",IF(Registro_Compras!$F$305="NOTA DE CREDITO",ROUND(ABS(Registro_Compras!$J$305*Registro_Compras!$N$305),2),""))</f>
        <v/>
      </c>
      <c r="F2718" s="20" t="str">
        <f>IF($C2718="","",IF(Registro_Compras!$F$305="NOTA DE CREDITO","",IF(Registro_Compras!$F$305="RHE",ROUND(Registro_Compras!$L$305*Registro_Compras!$N$305,2),ROUND(Registro_Compras!$J$305*Registro_Compras!$N$305,2))))</f>
        <v/>
      </c>
      <c r="G2718" t="str">
        <f>IF($C2718="","","Por el destino del gasto")</f>
        <v/>
      </c>
      <c r="H2718" t="str">
        <f>IF($C2718="","",Registro_Compras!$C$305)</f>
        <v/>
      </c>
    </row>
    <row r="2719" spans="1:8" x14ac:dyDescent="0.25">
      <c r="A2719" s="25" t="str">
        <f>IF($C2719="","",Registro_Compras!$X$305)</f>
        <v/>
      </c>
      <c r="B2719" t="str">
        <f>IF($C2719="","","C"&amp;TEXT(INT((ROW()-5)/9)+1,"000")&amp;"-3")</f>
        <v/>
      </c>
      <c r="C2719" t="str">
        <f>IF(OR(Registro_Compras!$C$305="",Registro_Compras!$O$305="",Registro_Compras!$R$305&lt;&gt;"SI",Registro_Compras!$X$305=""),"","4212")</f>
        <v/>
      </c>
      <c r="D2719" t="str">
        <f>IF(OR(Registro_Compras!$C$305="",Registro_Compras!$O$305=""),"","Cuentas por Pagar Comerciales - Terceros")</f>
        <v/>
      </c>
      <c r="E2719" s="20" t="str">
        <f>IF($C2719="","",Registro_Compras!$S$305)</f>
        <v/>
      </c>
      <c r="F2719" s="20" t="str">
        <f>""</f>
        <v/>
      </c>
      <c r="G2719" t="str">
        <f>IF($C2719="","","Por el deposito de la detraccion en el Banco de la Nacion")</f>
        <v/>
      </c>
      <c r="H2719" t="str">
        <f>IF($C2719="","",Registro_Compras!$C$305)</f>
        <v/>
      </c>
    </row>
    <row r="2720" spans="1:8" x14ac:dyDescent="0.25">
      <c r="A2720" s="25" t="str">
        <f>IF($C2720="","",Registro_Compras!$X$305)</f>
        <v/>
      </c>
      <c r="B2720" t="str">
        <f>IF($C2720="","","C"&amp;TEXT(INT((ROW()-5)/9)+1,"000")&amp;"-3")</f>
        <v/>
      </c>
      <c r="C2720" t="str">
        <f>IF(OR(Registro_Compras!$C$305="",Registro_Compras!$O$305="",Registro_Compras!$R$305&lt;&gt;"SI",Registro_Compras!$X$305=""),"","1041")</f>
        <v/>
      </c>
      <c r="D2720" t="str">
        <f>IF(OR(Registro_Compras!$C$305="",Registro_Compras!$O$305=""),"","Efectivo y Equivalentes - Cta. Cte. Operativa")</f>
        <v/>
      </c>
      <c r="E2720" s="20" t="str">
        <f>""</f>
        <v/>
      </c>
      <c r="F2720" s="20" t="str">
        <f>IF($C2720="","",Registro_Compras!$S$305)</f>
        <v/>
      </c>
      <c r="G2720" t="str">
        <f>IF($C2720="","","Por el deposito de la detraccion en el Banco de la Nacion")</f>
        <v/>
      </c>
      <c r="H2720" t="str">
        <f>IF($C2720="","",Registro_Compras!$C$305)</f>
        <v/>
      </c>
    </row>
    <row r="2721" spans="1:8" x14ac:dyDescent="0.25">
      <c r="A2721" s="25" t="str">
        <f>IF($C2721="","",Registro_Compras!$Y$305)</f>
        <v/>
      </c>
      <c r="B2721" t="str">
        <f>IF($C2721="","","C"&amp;TEXT(INT((ROW()-5)/9)+1,"000")&amp;"-4")</f>
        <v/>
      </c>
      <c r="C2721" t="str">
        <f>IF(OR(Registro_Compras!$C$305="",Registro_Compras!$O$305="",Registro_Compras!$Y$305="",Registro_Compras!$F$305="NOTA DE CREDITO"),"","4212")</f>
        <v/>
      </c>
      <c r="D2721" t="str">
        <f>IF(OR(Registro_Compras!$C$305="",Registro_Compras!$O$305=""),"","Cuentas por Pagar Comerciales - Terceros")</f>
        <v/>
      </c>
      <c r="E2721" s="20" t="str">
        <f>IF($C2721="","",IF(Registro_Compras!$F$305="RHE",(ROUND(Registro_Compras!$L$305*Registro_Compras!$N$305,2)-ROUND(Registro_Compras!$V$305*Registro_Compras!$N$305,2)),ROUND(Registro_Compras!$O$305-Registro_Compras!$S$305,2)))</f>
        <v/>
      </c>
      <c r="F2721" s="20" t="str">
        <f>""</f>
        <v/>
      </c>
      <c r="G2721" t="str">
        <f>IF($C2721="","","Por la cancelacion del saldo al proveedor")</f>
        <v/>
      </c>
      <c r="H2721" t="str">
        <f>IF($C2721="","",Registro_Compras!$C$305)</f>
        <v/>
      </c>
    </row>
    <row r="2722" spans="1:8" x14ac:dyDescent="0.25">
      <c r="A2722" s="25" t="str">
        <f>IF($C2722="","",Registro_Compras!$Y$305)</f>
        <v/>
      </c>
      <c r="B2722" t="str">
        <f>IF($C2722="","","C"&amp;TEXT(INT((ROW()-5)/9)+1,"000")&amp;"-4")</f>
        <v/>
      </c>
      <c r="C2722" t="str">
        <f>IF(OR(Registro_Compras!$C$305="",Registro_Compras!$O$305="",Registro_Compras!$Y$305="",Registro_Compras!$F$305="NOTA DE CREDITO"),"","1041")</f>
        <v/>
      </c>
      <c r="D2722" t="str">
        <f>IF(OR(Registro_Compras!$C$305="",Registro_Compras!$O$305=""),"","Efectivo y Equivalentes - Cta. Cte. Operativa")</f>
        <v/>
      </c>
      <c r="E2722" s="20" t="str">
        <f>""</f>
        <v/>
      </c>
      <c r="F2722" s="20" t="str">
        <f>IF($C2722="","",IF(Registro_Compras!$F$305="RHE",(ROUND(Registro_Compras!$L$305*Registro_Compras!$N$305,2)-ROUND(Registro_Compras!$V$305*Registro_Compras!$N$305,2)),ROUND(Registro_Compras!$O$305-Registro_Compras!$S$305,2)))</f>
        <v/>
      </c>
      <c r="G2722" t="str">
        <f>IF($C2722="","","Por la cancelacion del saldo al proveedor")</f>
        <v/>
      </c>
      <c r="H2722" t="str">
        <f>IF($C2722="","",Registro_Compras!$C$305)</f>
        <v/>
      </c>
    </row>
    <row r="2723" spans="1:8" x14ac:dyDescent="0.25">
      <c r="A2723" s="25" t="str">
        <f>IF($C2723="","",Registro_Compras!$B$306)</f>
        <v/>
      </c>
      <c r="B2723" t="str">
        <f>IF($C2723="","","C"&amp;TEXT(INT((ROW()-5)/9)+1,"000")&amp;"-1")</f>
        <v/>
      </c>
      <c r="C2723" t="str">
        <f>IF(OR(Registro_Compras!$C$306="",Registro_Compras!$O$306=""),"",IF(Registro_Compras!$F$306="NOTA DE CREDITO","4212",IF(Registro_Compras!$M$306="","63",Registro_Compras!$M$306)))</f>
        <v/>
      </c>
      <c r="D2723" t="str">
        <f>IF(OR(Registro_Compras!$C$306="",Registro_Compras!$O$306=""),"",IF(Registro_Compras!$F$306="NOTA DE CREDITO","Cuentas por Pagar Comerciales - Terceros (Emitidas)",IF(Registro_Compras!$F$306="RHE","Honorarios Profesionales - Servicios de Terceros","Gastos de Servicios Prestados por Terceros")))</f>
        <v/>
      </c>
      <c r="E2723" s="20" t="str">
        <f>IF($C2723="","",IF(Registro_Compras!$F$306="NOTA DE CREDITO",ABS(Registro_Compras!$O$306),IF(Registro_Compras!$F$306="RHE",ROUND(Registro_Compras!$L$306*Registro_Compras!$N$306,2),ROUND(Registro_Compras!$J$306*Registro_Compras!$N$306,2))))</f>
        <v/>
      </c>
      <c r="F2723" s="20" t="str">
        <f>""</f>
        <v/>
      </c>
      <c r="G2723" t="str">
        <f>IF($C2723="","",IF(Registro_Compras!$F$306="NOTA DE CREDITO","Por la nota de credito "&amp;Registro_Compras!$C$306&amp;" de "&amp;Registro_Compras!$E$306&amp;" [PATRON POR CONFIRMAR CON CONTADOR]",IF(Registro_Compras!$F$306="RHE","Por el registro del recibo por honorarios "&amp;Registro_Compras!$C$306&amp;" de "&amp;Registro_Compras!$E$306&amp;" [PATRON POR CONFIRMAR CON CONTADOR]","Por el registro de la factura "&amp;Registro_Compras!$C$306&amp;" de "&amp;Registro_Compras!$E$306)))</f>
        <v/>
      </c>
      <c r="H2723" t="str">
        <f>IF($C2723="","",Registro_Compras!$C$306)</f>
        <v/>
      </c>
    </row>
    <row r="2724" spans="1:8" x14ac:dyDescent="0.25">
      <c r="A2724" s="25" t="str">
        <f>IF($C2724="","",Registro_Compras!$B$306)</f>
        <v/>
      </c>
      <c r="B2724" t="str">
        <f>IF($C2724="","","C"&amp;TEXT(INT((ROW()-5)/9)+1,"000")&amp;"-1")</f>
        <v/>
      </c>
      <c r="C2724" t="str">
        <f>IF(OR(Registro_Compras!$C$306="",Registro_Compras!$O$306=""),"",IF(Registro_Compras!$F$306="RHE",IF(Registro_Compras!$V$306=0,"","4017"),IF(Registro_Compras!$F$306="NOTA DE CREDITO",IF(Registro_Compras!$M$306="","63",Registro_Compras!$M$306),IF(Registro_Compras!$K$306=0,"","40111"))))</f>
        <v/>
      </c>
      <c r="D2724" t="str">
        <f>IF(OR(Registro_Compras!$C$306="",Registro_Compras!$O$306=""),"",IF(Registro_Compras!$F$306="RHE","Retencion Renta 4ta Categoria por Pagar",IF(Registro_Compras!$F$306="NOTA DE CREDITO","Gastos de Servicios Prestados por Terceros","IGV - Cuenta Propia (Credito Fiscal)")))</f>
        <v/>
      </c>
      <c r="E2724" s="20" t="str">
        <f>IF($C2724="","",IF(Registro_Compras!$F$306="FACTURA",ROUND(Registro_Compras!$K$306*Registro_Compras!$N$306,2),""))</f>
        <v/>
      </c>
      <c r="F2724" s="20" t="str">
        <f>IF($C2724="","",IF(Registro_Compras!$F$306="RHE",ROUND(Registro_Compras!$V$306*Registro_Compras!$N$306,2),IF(Registro_Compras!$F$306="NOTA DE CREDITO",ROUND(ABS(Registro_Compras!$J$306*Registro_Compras!$N$306),2),"")))</f>
        <v/>
      </c>
      <c r="G2724" t="str">
        <f>IF($C2724="","",IF(Registro_Compras!$F$306="NOTA DE CREDITO","Por la nota de credito "&amp;Registro_Compras!$C$306&amp;" de "&amp;Registro_Compras!$E$306&amp;" [PATRON POR CONFIRMAR CON CONTADOR]",IF(Registro_Compras!$F$306="RHE","Por el registro del recibo por honorarios "&amp;Registro_Compras!$C$306&amp;" de "&amp;Registro_Compras!$E$306&amp;" [PATRON POR CONFIRMAR CON CONTADOR]","Por el registro de la factura "&amp;Registro_Compras!$C$306&amp;" de "&amp;Registro_Compras!$E$306)))</f>
        <v/>
      </c>
      <c r="H2724" t="str">
        <f>IF($C2724="","",Registro_Compras!$C$306)</f>
        <v/>
      </c>
    </row>
    <row r="2725" spans="1:8" x14ac:dyDescent="0.25">
      <c r="A2725" s="25" t="str">
        <f>IF($C2725="","",Registro_Compras!$B$306)</f>
        <v/>
      </c>
      <c r="B2725" t="str">
        <f>IF($C2725="","","C"&amp;TEXT(INT((ROW()-5)/9)+1,"000")&amp;"-1")</f>
        <v/>
      </c>
      <c r="C2725" t="str">
        <f>IF(OR(Registro_Compras!$C$306="",Registro_Compras!$O$306=""),"",IF(Registro_Compras!$F$306="NOTA DE CREDITO",IF(Registro_Compras!$K$306=0,"","40111"),"4212"))</f>
        <v/>
      </c>
      <c r="D2725" t="str">
        <f>IF(OR(Registro_Compras!$C$306="",Registro_Compras!$O$306=""),"",IF(Registro_Compras!$F$306="NOTA DE CREDITO","IGV - Cuenta Propia (Credito Fiscal)","Cuentas por Pagar Comerciales - Terceros (Emitidas)"))</f>
        <v/>
      </c>
      <c r="E2725" s="20" t="str">
        <f>""</f>
        <v/>
      </c>
      <c r="F2725" s="20" t="str">
        <f>IF($C2725="","",IF(Registro_Compras!$F$306="NOTA DE CREDITO",ROUND(ABS(Registro_Compras!$K$306*Registro_Compras!$N$306),2),IF(Registro_Compras!$F$306="RHE",(ROUND(Registro_Compras!$L$306*Registro_Compras!$N$306,2)-ROUND(Registro_Compras!$V$306*Registro_Compras!$N$306,2)),Registro_Compras!$O$306)))</f>
        <v/>
      </c>
      <c r="G2725" t="str">
        <f>IF($C2725="","",IF(Registro_Compras!$F$306="NOTA DE CREDITO","Por la nota de credito "&amp;Registro_Compras!$C$306&amp;" de "&amp;Registro_Compras!$E$306&amp;" [PATRON POR CONFIRMAR CON CONTADOR]",IF(Registro_Compras!$F$306="RHE","Por el registro del recibo por honorarios "&amp;Registro_Compras!$C$306&amp;" de "&amp;Registro_Compras!$E$306&amp;" [PATRON POR CONFIRMAR CON CONTADOR]","Por el registro de la factura "&amp;Registro_Compras!$C$306&amp;" de "&amp;Registro_Compras!$E$306)))</f>
        <v/>
      </c>
      <c r="H2725" t="str">
        <f>IF($C2725="","",Registro_Compras!$C$306)</f>
        <v/>
      </c>
    </row>
    <row r="2726" spans="1:8" x14ac:dyDescent="0.25">
      <c r="A2726" s="25" t="str">
        <f>IF($C2726="","",Registro_Compras!$B$306)</f>
        <v/>
      </c>
      <c r="B2726" t="str">
        <f>IF($C2726="","","C"&amp;TEXT(INT((ROW()-5)/9)+1,"000")&amp;"-2")</f>
        <v/>
      </c>
      <c r="C2726" t="str">
        <f>IF(OR(Registro_Compras!$C$306="",Registro_Compras!$O$306=""),"",IF(Registro_Compras!$AB$306="ADMINISTRATIVO","94","95"))</f>
        <v/>
      </c>
      <c r="D2726" t="str">
        <f>IF(OR(Registro_Compras!$C$306="",Registro_Compras!$O$306=""),"",IF(Registro_Compras!$AB$306="ADMINISTRATIVO","Gastos Administrativos","Gastos de Venta y Operacion"))</f>
        <v/>
      </c>
      <c r="E2726" s="20" t="str">
        <f>IF($C2726="","",IF(Registro_Compras!$F$306="NOTA DE CREDITO","",IF(Registro_Compras!$F$306="RHE",ROUND(Registro_Compras!$L$306*Registro_Compras!$N$306,2),ROUND(Registro_Compras!$J$306*Registro_Compras!$N$306,2))))</f>
        <v/>
      </c>
      <c r="F2726" s="20" t="str">
        <f>IF($C2726="","",IF(Registro_Compras!$F$306="NOTA DE CREDITO",ROUND(ABS(Registro_Compras!$J$306*Registro_Compras!$N$306),2),""))</f>
        <v/>
      </c>
      <c r="G2726" t="str">
        <f>IF($C2726="","","Por el destino del gasto")</f>
        <v/>
      </c>
      <c r="H2726" t="str">
        <f>IF($C2726="","",Registro_Compras!$C$306)</f>
        <v/>
      </c>
    </row>
    <row r="2727" spans="1:8" x14ac:dyDescent="0.25">
      <c r="A2727" s="25" t="str">
        <f>IF($C2727="","",Registro_Compras!$B$306)</f>
        <v/>
      </c>
      <c r="B2727" t="str">
        <f>IF($C2727="","","C"&amp;TEXT(INT((ROW()-5)/9)+1,"000")&amp;"-2")</f>
        <v/>
      </c>
      <c r="C2727" t="str">
        <f>IF(OR(Registro_Compras!$C$306="",Registro_Compras!$O$306=""),"","79/791")</f>
        <v/>
      </c>
      <c r="D2727" t="str">
        <f>IF(OR(Registro_Compras!$C$306="",Registro_Compras!$O$306=""),"","Cargas Imputables a Cuentas de Costos y Gastos")</f>
        <v/>
      </c>
      <c r="E2727" s="20" t="str">
        <f>IF($C2727="","",IF(Registro_Compras!$F$306="NOTA DE CREDITO",ROUND(ABS(Registro_Compras!$J$306*Registro_Compras!$N$306),2),""))</f>
        <v/>
      </c>
      <c r="F2727" s="20" t="str">
        <f>IF($C2727="","",IF(Registro_Compras!$F$306="NOTA DE CREDITO","",IF(Registro_Compras!$F$306="RHE",ROUND(Registro_Compras!$L$306*Registro_Compras!$N$306,2),ROUND(Registro_Compras!$J$306*Registro_Compras!$N$306,2))))</f>
        <v/>
      </c>
      <c r="G2727" t="str">
        <f>IF($C2727="","","Por el destino del gasto")</f>
        <v/>
      </c>
      <c r="H2727" t="str">
        <f>IF($C2727="","",Registro_Compras!$C$306)</f>
        <v/>
      </c>
    </row>
    <row r="2728" spans="1:8" x14ac:dyDescent="0.25">
      <c r="A2728" s="25" t="str">
        <f>IF($C2728="","",Registro_Compras!$X$306)</f>
        <v/>
      </c>
      <c r="B2728" t="str">
        <f>IF($C2728="","","C"&amp;TEXT(INT((ROW()-5)/9)+1,"000")&amp;"-3")</f>
        <v/>
      </c>
      <c r="C2728" t="str">
        <f>IF(OR(Registro_Compras!$C$306="",Registro_Compras!$O$306="",Registro_Compras!$R$306&lt;&gt;"SI",Registro_Compras!$X$306=""),"","4212")</f>
        <v/>
      </c>
      <c r="D2728" t="str">
        <f>IF(OR(Registro_Compras!$C$306="",Registro_Compras!$O$306=""),"","Cuentas por Pagar Comerciales - Terceros")</f>
        <v/>
      </c>
      <c r="E2728" s="20" t="str">
        <f>IF($C2728="","",Registro_Compras!$S$306)</f>
        <v/>
      </c>
      <c r="F2728" s="20" t="str">
        <f>""</f>
        <v/>
      </c>
      <c r="G2728" t="str">
        <f>IF($C2728="","","Por el deposito de la detraccion en el Banco de la Nacion")</f>
        <v/>
      </c>
      <c r="H2728" t="str">
        <f>IF($C2728="","",Registro_Compras!$C$306)</f>
        <v/>
      </c>
    </row>
    <row r="2729" spans="1:8" x14ac:dyDescent="0.25">
      <c r="A2729" s="25" t="str">
        <f>IF($C2729="","",Registro_Compras!$X$306)</f>
        <v/>
      </c>
      <c r="B2729" t="str">
        <f>IF($C2729="","","C"&amp;TEXT(INT((ROW()-5)/9)+1,"000")&amp;"-3")</f>
        <v/>
      </c>
      <c r="C2729" t="str">
        <f>IF(OR(Registro_Compras!$C$306="",Registro_Compras!$O$306="",Registro_Compras!$R$306&lt;&gt;"SI",Registro_Compras!$X$306=""),"","1041")</f>
        <v/>
      </c>
      <c r="D2729" t="str">
        <f>IF(OR(Registro_Compras!$C$306="",Registro_Compras!$O$306=""),"","Efectivo y Equivalentes - Cta. Cte. Operativa")</f>
        <v/>
      </c>
      <c r="E2729" s="20" t="str">
        <f>""</f>
        <v/>
      </c>
      <c r="F2729" s="20" t="str">
        <f>IF($C2729="","",Registro_Compras!$S$306)</f>
        <v/>
      </c>
      <c r="G2729" t="str">
        <f>IF($C2729="","","Por el deposito de la detraccion en el Banco de la Nacion")</f>
        <v/>
      </c>
      <c r="H2729" t="str">
        <f>IF($C2729="","",Registro_Compras!$C$306)</f>
        <v/>
      </c>
    </row>
    <row r="2730" spans="1:8" x14ac:dyDescent="0.25">
      <c r="A2730" s="25" t="str">
        <f>IF($C2730="","",Registro_Compras!$Y$306)</f>
        <v/>
      </c>
      <c r="B2730" t="str">
        <f>IF($C2730="","","C"&amp;TEXT(INT((ROW()-5)/9)+1,"000")&amp;"-4")</f>
        <v/>
      </c>
      <c r="C2730" t="str">
        <f>IF(OR(Registro_Compras!$C$306="",Registro_Compras!$O$306="",Registro_Compras!$Y$306="",Registro_Compras!$F$306="NOTA DE CREDITO"),"","4212")</f>
        <v/>
      </c>
      <c r="D2730" t="str">
        <f>IF(OR(Registro_Compras!$C$306="",Registro_Compras!$O$306=""),"","Cuentas por Pagar Comerciales - Terceros")</f>
        <v/>
      </c>
      <c r="E2730" s="20" t="str">
        <f>IF($C2730="","",IF(Registro_Compras!$F$306="RHE",(ROUND(Registro_Compras!$L$306*Registro_Compras!$N$306,2)-ROUND(Registro_Compras!$V$306*Registro_Compras!$N$306,2)),ROUND(Registro_Compras!$O$306-Registro_Compras!$S$306,2)))</f>
        <v/>
      </c>
      <c r="F2730" s="20" t="str">
        <f>""</f>
        <v/>
      </c>
      <c r="G2730" t="str">
        <f>IF($C2730="","","Por la cancelacion del saldo al proveedor")</f>
        <v/>
      </c>
      <c r="H2730" t="str">
        <f>IF($C2730="","",Registro_Compras!$C$306)</f>
        <v/>
      </c>
    </row>
    <row r="2731" spans="1:8" x14ac:dyDescent="0.25">
      <c r="A2731" s="25" t="str">
        <f>IF($C2731="","",Registro_Compras!$Y$306)</f>
        <v/>
      </c>
      <c r="B2731" t="str">
        <f>IF($C2731="","","C"&amp;TEXT(INT((ROW()-5)/9)+1,"000")&amp;"-4")</f>
        <v/>
      </c>
      <c r="C2731" t="str">
        <f>IF(OR(Registro_Compras!$C$306="",Registro_Compras!$O$306="",Registro_Compras!$Y$306="",Registro_Compras!$F$306="NOTA DE CREDITO"),"","1041")</f>
        <v/>
      </c>
      <c r="D2731" t="str">
        <f>IF(OR(Registro_Compras!$C$306="",Registro_Compras!$O$306=""),"","Efectivo y Equivalentes - Cta. Cte. Operativa")</f>
        <v/>
      </c>
      <c r="E2731" s="20" t="str">
        <f>""</f>
        <v/>
      </c>
      <c r="F2731" s="20" t="str">
        <f>IF($C2731="","",IF(Registro_Compras!$F$306="RHE",(ROUND(Registro_Compras!$L$306*Registro_Compras!$N$306,2)-ROUND(Registro_Compras!$V$306*Registro_Compras!$N$306,2)),ROUND(Registro_Compras!$O$306-Registro_Compras!$S$306,2)))</f>
        <v/>
      </c>
      <c r="G2731" t="str">
        <f>IF($C2731="","","Por la cancelacion del saldo al proveedor")</f>
        <v/>
      </c>
      <c r="H2731" t="str">
        <f>IF($C2731="","",Registro_Compras!$C$306)</f>
        <v/>
      </c>
    </row>
    <row r="2732" spans="1:8" x14ac:dyDescent="0.25">
      <c r="A2732" s="25" t="str">
        <f>IF($C2732="","",Registro_Compras!$B$307)</f>
        <v/>
      </c>
      <c r="B2732" t="str">
        <f>IF($C2732="","","C"&amp;TEXT(INT((ROW()-5)/9)+1,"000")&amp;"-1")</f>
        <v/>
      </c>
      <c r="C2732" t="str">
        <f>IF(OR(Registro_Compras!$C$307="",Registro_Compras!$O$307=""),"",IF(Registro_Compras!$F$307="NOTA DE CREDITO","4212",IF(Registro_Compras!$M$307="","63",Registro_Compras!$M$307)))</f>
        <v/>
      </c>
      <c r="D2732" t="str">
        <f>IF(OR(Registro_Compras!$C$307="",Registro_Compras!$O$307=""),"",IF(Registro_Compras!$F$307="NOTA DE CREDITO","Cuentas por Pagar Comerciales - Terceros (Emitidas)",IF(Registro_Compras!$F$307="RHE","Honorarios Profesionales - Servicios de Terceros","Gastos de Servicios Prestados por Terceros")))</f>
        <v/>
      </c>
      <c r="E2732" s="20" t="str">
        <f>IF($C2732="","",IF(Registro_Compras!$F$307="NOTA DE CREDITO",ABS(Registro_Compras!$O$307),IF(Registro_Compras!$F$307="RHE",ROUND(Registro_Compras!$L$307*Registro_Compras!$N$307,2),ROUND(Registro_Compras!$J$307*Registro_Compras!$N$307,2))))</f>
        <v/>
      </c>
      <c r="F2732" s="20" t="str">
        <f>""</f>
        <v/>
      </c>
      <c r="G2732" t="str">
        <f>IF($C2732="","",IF(Registro_Compras!$F$307="NOTA DE CREDITO","Por la nota de credito "&amp;Registro_Compras!$C$307&amp;" de "&amp;Registro_Compras!$E$307&amp;" [PATRON POR CONFIRMAR CON CONTADOR]",IF(Registro_Compras!$F$307="RHE","Por el registro del recibo por honorarios "&amp;Registro_Compras!$C$307&amp;" de "&amp;Registro_Compras!$E$307&amp;" [PATRON POR CONFIRMAR CON CONTADOR]","Por el registro de la factura "&amp;Registro_Compras!$C$307&amp;" de "&amp;Registro_Compras!$E$307)))</f>
        <v/>
      </c>
      <c r="H2732" t="str">
        <f>IF($C2732="","",Registro_Compras!$C$307)</f>
        <v/>
      </c>
    </row>
    <row r="2733" spans="1:8" x14ac:dyDescent="0.25">
      <c r="A2733" s="25" t="str">
        <f>IF($C2733="","",Registro_Compras!$B$307)</f>
        <v/>
      </c>
      <c r="B2733" t="str">
        <f>IF($C2733="","","C"&amp;TEXT(INT((ROW()-5)/9)+1,"000")&amp;"-1")</f>
        <v/>
      </c>
      <c r="C2733" t="str">
        <f>IF(OR(Registro_Compras!$C$307="",Registro_Compras!$O$307=""),"",IF(Registro_Compras!$F$307="RHE",IF(Registro_Compras!$V$307=0,"","4017"),IF(Registro_Compras!$F$307="NOTA DE CREDITO",IF(Registro_Compras!$M$307="","63",Registro_Compras!$M$307),IF(Registro_Compras!$K$307=0,"","40111"))))</f>
        <v/>
      </c>
      <c r="D2733" t="str">
        <f>IF(OR(Registro_Compras!$C$307="",Registro_Compras!$O$307=""),"",IF(Registro_Compras!$F$307="RHE","Retencion Renta 4ta Categoria por Pagar",IF(Registro_Compras!$F$307="NOTA DE CREDITO","Gastos de Servicios Prestados por Terceros","IGV - Cuenta Propia (Credito Fiscal)")))</f>
        <v/>
      </c>
      <c r="E2733" s="20" t="str">
        <f>IF($C2733="","",IF(Registro_Compras!$F$307="FACTURA",ROUND(Registro_Compras!$K$307*Registro_Compras!$N$307,2),""))</f>
        <v/>
      </c>
      <c r="F2733" s="20" t="str">
        <f>IF($C2733="","",IF(Registro_Compras!$F$307="RHE",ROUND(Registro_Compras!$V$307*Registro_Compras!$N$307,2),IF(Registro_Compras!$F$307="NOTA DE CREDITO",ROUND(ABS(Registro_Compras!$J$307*Registro_Compras!$N$307),2),"")))</f>
        <v/>
      </c>
      <c r="G2733" t="str">
        <f>IF($C2733="","",IF(Registro_Compras!$F$307="NOTA DE CREDITO","Por la nota de credito "&amp;Registro_Compras!$C$307&amp;" de "&amp;Registro_Compras!$E$307&amp;" [PATRON POR CONFIRMAR CON CONTADOR]",IF(Registro_Compras!$F$307="RHE","Por el registro del recibo por honorarios "&amp;Registro_Compras!$C$307&amp;" de "&amp;Registro_Compras!$E$307&amp;" [PATRON POR CONFIRMAR CON CONTADOR]","Por el registro de la factura "&amp;Registro_Compras!$C$307&amp;" de "&amp;Registro_Compras!$E$307)))</f>
        <v/>
      </c>
      <c r="H2733" t="str">
        <f>IF($C2733="","",Registro_Compras!$C$307)</f>
        <v/>
      </c>
    </row>
    <row r="2734" spans="1:8" x14ac:dyDescent="0.25">
      <c r="A2734" s="25" t="str">
        <f>IF($C2734="","",Registro_Compras!$B$307)</f>
        <v/>
      </c>
      <c r="B2734" t="str">
        <f>IF($C2734="","","C"&amp;TEXT(INT((ROW()-5)/9)+1,"000")&amp;"-1")</f>
        <v/>
      </c>
      <c r="C2734" t="str">
        <f>IF(OR(Registro_Compras!$C$307="",Registro_Compras!$O$307=""),"",IF(Registro_Compras!$F$307="NOTA DE CREDITO",IF(Registro_Compras!$K$307=0,"","40111"),"4212"))</f>
        <v/>
      </c>
      <c r="D2734" t="str">
        <f>IF(OR(Registro_Compras!$C$307="",Registro_Compras!$O$307=""),"",IF(Registro_Compras!$F$307="NOTA DE CREDITO","IGV - Cuenta Propia (Credito Fiscal)","Cuentas por Pagar Comerciales - Terceros (Emitidas)"))</f>
        <v/>
      </c>
      <c r="E2734" s="20" t="str">
        <f>""</f>
        <v/>
      </c>
      <c r="F2734" s="20" t="str">
        <f>IF($C2734="","",IF(Registro_Compras!$F$307="NOTA DE CREDITO",ROUND(ABS(Registro_Compras!$K$307*Registro_Compras!$N$307),2),IF(Registro_Compras!$F$307="RHE",(ROUND(Registro_Compras!$L$307*Registro_Compras!$N$307,2)-ROUND(Registro_Compras!$V$307*Registro_Compras!$N$307,2)),Registro_Compras!$O$307)))</f>
        <v/>
      </c>
      <c r="G2734" t="str">
        <f>IF($C2734="","",IF(Registro_Compras!$F$307="NOTA DE CREDITO","Por la nota de credito "&amp;Registro_Compras!$C$307&amp;" de "&amp;Registro_Compras!$E$307&amp;" [PATRON POR CONFIRMAR CON CONTADOR]",IF(Registro_Compras!$F$307="RHE","Por el registro del recibo por honorarios "&amp;Registro_Compras!$C$307&amp;" de "&amp;Registro_Compras!$E$307&amp;" [PATRON POR CONFIRMAR CON CONTADOR]","Por el registro de la factura "&amp;Registro_Compras!$C$307&amp;" de "&amp;Registro_Compras!$E$307)))</f>
        <v/>
      </c>
      <c r="H2734" t="str">
        <f>IF($C2734="","",Registro_Compras!$C$307)</f>
        <v/>
      </c>
    </row>
    <row r="2735" spans="1:8" x14ac:dyDescent="0.25">
      <c r="A2735" s="25" t="str">
        <f>IF($C2735="","",Registro_Compras!$B$307)</f>
        <v/>
      </c>
      <c r="B2735" t="str">
        <f>IF($C2735="","","C"&amp;TEXT(INT((ROW()-5)/9)+1,"000")&amp;"-2")</f>
        <v/>
      </c>
      <c r="C2735" t="str">
        <f>IF(OR(Registro_Compras!$C$307="",Registro_Compras!$O$307=""),"",IF(Registro_Compras!$AB$307="ADMINISTRATIVO","94","95"))</f>
        <v/>
      </c>
      <c r="D2735" t="str">
        <f>IF(OR(Registro_Compras!$C$307="",Registro_Compras!$O$307=""),"",IF(Registro_Compras!$AB$307="ADMINISTRATIVO","Gastos Administrativos","Gastos de Venta y Operacion"))</f>
        <v/>
      </c>
      <c r="E2735" s="20" t="str">
        <f>IF($C2735="","",IF(Registro_Compras!$F$307="NOTA DE CREDITO","",IF(Registro_Compras!$F$307="RHE",ROUND(Registro_Compras!$L$307*Registro_Compras!$N$307,2),ROUND(Registro_Compras!$J$307*Registro_Compras!$N$307,2))))</f>
        <v/>
      </c>
      <c r="F2735" s="20" t="str">
        <f>IF($C2735="","",IF(Registro_Compras!$F$307="NOTA DE CREDITO",ROUND(ABS(Registro_Compras!$J$307*Registro_Compras!$N$307),2),""))</f>
        <v/>
      </c>
      <c r="G2735" t="str">
        <f>IF($C2735="","","Por el destino del gasto")</f>
        <v/>
      </c>
      <c r="H2735" t="str">
        <f>IF($C2735="","",Registro_Compras!$C$307)</f>
        <v/>
      </c>
    </row>
    <row r="2736" spans="1:8" x14ac:dyDescent="0.25">
      <c r="A2736" s="25" t="str">
        <f>IF($C2736="","",Registro_Compras!$B$307)</f>
        <v/>
      </c>
      <c r="B2736" t="str">
        <f>IF($C2736="","","C"&amp;TEXT(INT((ROW()-5)/9)+1,"000")&amp;"-2")</f>
        <v/>
      </c>
      <c r="C2736" t="str">
        <f>IF(OR(Registro_Compras!$C$307="",Registro_Compras!$O$307=""),"","79/791")</f>
        <v/>
      </c>
      <c r="D2736" t="str">
        <f>IF(OR(Registro_Compras!$C$307="",Registro_Compras!$O$307=""),"","Cargas Imputables a Cuentas de Costos y Gastos")</f>
        <v/>
      </c>
      <c r="E2736" s="20" t="str">
        <f>IF($C2736="","",IF(Registro_Compras!$F$307="NOTA DE CREDITO",ROUND(ABS(Registro_Compras!$J$307*Registro_Compras!$N$307),2),""))</f>
        <v/>
      </c>
      <c r="F2736" s="20" t="str">
        <f>IF($C2736="","",IF(Registro_Compras!$F$307="NOTA DE CREDITO","",IF(Registro_Compras!$F$307="RHE",ROUND(Registro_Compras!$L$307*Registro_Compras!$N$307,2),ROUND(Registro_Compras!$J$307*Registro_Compras!$N$307,2))))</f>
        <v/>
      </c>
      <c r="G2736" t="str">
        <f>IF($C2736="","","Por el destino del gasto")</f>
        <v/>
      </c>
      <c r="H2736" t="str">
        <f>IF($C2736="","",Registro_Compras!$C$307)</f>
        <v/>
      </c>
    </row>
    <row r="2737" spans="1:8" x14ac:dyDescent="0.25">
      <c r="A2737" s="25" t="str">
        <f>IF($C2737="","",Registro_Compras!$X$307)</f>
        <v/>
      </c>
      <c r="B2737" t="str">
        <f>IF($C2737="","","C"&amp;TEXT(INT((ROW()-5)/9)+1,"000")&amp;"-3")</f>
        <v/>
      </c>
      <c r="C2737" t="str">
        <f>IF(OR(Registro_Compras!$C$307="",Registro_Compras!$O$307="",Registro_Compras!$R$307&lt;&gt;"SI",Registro_Compras!$X$307=""),"","4212")</f>
        <v/>
      </c>
      <c r="D2737" t="str">
        <f>IF(OR(Registro_Compras!$C$307="",Registro_Compras!$O$307=""),"","Cuentas por Pagar Comerciales - Terceros")</f>
        <v/>
      </c>
      <c r="E2737" s="20" t="str">
        <f>IF($C2737="","",Registro_Compras!$S$307)</f>
        <v/>
      </c>
      <c r="F2737" s="20" t="str">
        <f>""</f>
        <v/>
      </c>
      <c r="G2737" t="str">
        <f>IF($C2737="","","Por el deposito de la detraccion en el Banco de la Nacion")</f>
        <v/>
      </c>
      <c r="H2737" t="str">
        <f>IF($C2737="","",Registro_Compras!$C$307)</f>
        <v/>
      </c>
    </row>
    <row r="2738" spans="1:8" x14ac:dyDescent="0.25">
      <c r="A2738" s="25" t="str">
        <f>IF($C2738="","",Registro_Compras!$X$307)</f>
        <v/>
      </c>
      <c r="B2738" t="str">
        <f>IF($C2738="","","C"&amp;TEXT(INT((ROW()-5)/9)+1,"000")&amp;"-3")</f>
        <v/>
      </c>
      <c r="C2738" t="str">
        <f>IF(OR(Registro_Compras!$C$307="",Registro_Compras!$O$307="",Registro_Compras!$R$307&lt;&gt;"SI",Registro_Compras!$X$307=""),"","1041")</f>
        <v/>
      </c>
      <c r="D2738" t="str">
        <f>IF(OR(Registro_Compras!$C$307="",Registro_Compras!$O$307=""),"","Efectivo y Equivalentes - Cta. Cte. Operativa")</f>
        <v/>
      </c>
      <c r="E2738" s="20" t="str">
        <f>""</f>
        <v/>
      </c>
      <c r="F2738" s="20" t="str">
        <f>IF($C2738="","",Registro_Compras!$S$307)</f>
        <v/>
      </c>
      <c r="G2738" t="str">
        <f>IF($C2738="","","Por el deposito de la detraccion en el Banco de la Nacion")</f>
        <v/>
      </c>
      <c r="H2738" t="str">
        <f>IF($C2738="","",Registro_Compras!$C$307)</f>
        <v/>
      </c>
    </row>
    <row r="2739" spans="1:8" x14ac:dyDescent="0.25">
      <c r="A2739" s="25" t="str">
        <f>IF($C2739="","",Registro_Compras!$Y$307)</f>
        <v/>
      </c>
      <c r="B2739" t="str">
        <f>IF($C2739="","","C"&amp;TEXT(INT((ROW()-5)/9)+1,"000")&amp;"-4")</f>
        <v/>
      </c>
      <c r="C2739" t="str">
        <f>IF(OR(Registro_Compras!$C$307="",Registro_Compras!$O$307="",Registro_Compras!$Y$307="",Registro_Compras!$F$307="NOTA DE CREDITO"),"","4212")</f>
        <v/>
      </c>
      <c r="D2739" t="str">
        <f>IF(OR(Registro_Compras!$C$307="",Registro_Compras!$O$307=""),"","Cuentas por Pagar Comerciales - Terceros")</f>
        <v/>
      </c>
      <c r="E2739" s="20" t="str">
        <f>IF($C2739="","",IF(Registro_Compras!$F$307="RHE",(ROUND(Registro_Compras!$L$307*Registro_Compras!$N$307,2)-ROUND(Registro_Compras!$V$307*Registro_Compras!$N$307,2)),ROUND(Registro_Compras!$O$307-Registro_Compras!$S$307,2)))</f>
        <v/>
      </c>
      <c r="F2739" s="20" t="str">
        <f>""</f>
        <v/>
      </c>
      <c r="G2739" t="str">
        <f>IF($C2739="","","Por la cancelacion del saldo al proveedor")</f>
        <v/>
      </c>
      <c r="H2739" t="str">
        <f>IF($C2739="","",Registro_Compras!$C$307)</f>
        <v/>
      </c>
    </row>
    <row r="2740" spans="1:8" x14ac:dyDescent="0.25">
      <c r="A2740" s="25" t="str">
        <f>IF($C2740="","",Registro_Compras!$Y$307)</f>
        <v/>
      </c>
      <c r="B2740" t="str">
        <f>IF($C2740="","","C"&amp;TEXT(INT((ROW()-5)/9)+1,"000")&amp;"-4")</f>
        <v/>
      </c>
      <c r="C2740" t="str">
        <f>IF(OR(Registro_Compras!$C$307="",Registro_Compras!$O$307="",Registro_Compras!$Y$307="",Registro_Compras!$F$307="NOTA DE CREDITO"),"","1041")</f>
        <v/>
      </c>
      <c r="D2740" t="str">
        <f>IF(OR(Registro_Compras!$C$307="",Registro_Compras!$O$307=""),"","Efectivo y Equivalentes - Cta. Cte. Operativa")</f>
        <v/>
      </c>
      <c r="E2740" s="20" t="str">
        <f>""</f>
        <v/>
      </c>
      <c r="F2740" s="20" t="str">
        <f>IF($C2740="","",IF(Registro_Compras!$F$307="RHE",(ROUND(Registro_Compras!$L$307*Registro_Compras!$N$307,2)-ROUND(Registro_Compras!$V$307*Registro_Compras!$N$307,2)),ROUND(Registro_Compras!$O$307-Registro_Compras!$S$307,2)))</f>
        <v/>
      </c>
      <c r="G2740" t="str">
        <f>IF($C2740="","","Por la cancelacion del saldo al proveedor")</f>
        <v/>
      </c>
      <c r="H2740" t="str">
        <f>IF($C2740="","",Registro_Compras!$C$307)</f>
        <v/>
      </c>
    </row>
    <row r="2741" spans="1:8" x14ac:dyDescent="0.25">
      <c r="A2741" s="25" t="str">
        <f>IF($C2741="","",Registro_Compras!$B$308)</f>
        <v/>
      </c>
      <c r="B2741" t="str">
        <f>IF($C2741="","","C"&amp;TEXT(INT((ROW()-5)/9)+1,"000")&amp;"-1")</f>
        <v/>
      </c>
      <c r="C2741" t="str">
        <f>IF(OR(Registro_Compras!$C$308="",Registro_Compras!$O$308=""),"",IF(Registro_Compras!$F$308="NOTA DE CREDITO","4212",IF(Registro_Compras!$M$308="","63",Registro_Compras!$M$308)))</f>
        <v/>
      </c>
      <c r="D2741" t="str">
        <f>IF(OR(Registro_Compras!$C$308="",Registro_Compras!$O$308=""),"",IF(Registro_Compras!$F$308="NOTA DE CREDITO","Cuentas por Pagar Comerciales - Terceros (Emitidas)",IF(Registro_Compras!$F$308="RHE","Honorarios Profesionales - Servicios de Terceros","Gastos de Servicios Prestados por Terceros")))</f>
        <v/>
      </c>
      <c r="E2741" s="20" t="str">
        <f>IF($C2741="","",IF(Registro_Compras!$F$308="NOTA DE CREDITO",ABS(Registro_Compras!$O$308),IF(Registro_Compras!$F$308="RHE",ROUND(Registro_Compras!$L$308*Registro_Compras!$N$308,2),ROUND(Registro_Compras!$J$308*Registro_Compras!$N$308,2))))</f>
        <v/>
      </c>
      <c r="F2741" s="20" t="str">
        <f>""</f>
        <v/>
      </c>
      <c r="G2741" t="str">
        <f>IF($C2741="","",IF(Registro_Compras!$F$308="NOTA DE CREDITO","Por la nota de credito "&amp;Registro_Compras!$C$308&amp;" de "&amp;Registro_Compras!$E$308&amp;" [PATRON POR CONFIRMAR CON CONTADOR]",IF(Registro_Compras!$F$308="RHE","Por el registro del recibo por honorarios "&amp;Registro_Compras!$C$308&amp;" de "&amp;Registro_Compras!$E$308&amp;" [PATRON POR CONFIRMAR CON CONTADOR]","Por el registro de la factura "&amp;Registro_Compras!$C$308&amp;" de "&amp;Registro_Compras!$E$308)))</f>
        <v/>
      </c>
      <c r="H2741" t="str">
        <f>IF($C2741="","",Registro_Compras!$C$308)</f>
        <v/>
      </c>
    </row>
    <row r="2742" spans="1:8" x14ac:dyDescent="0.25">
      <c r="A2742" s="25" t="str">
        <f>IF($C2742="","",Registro_Compras!$B$308)</f>
        <v/>
      </c>
      <c r="B2742" t="str">
        <f>IF($C2742="","","C"&amp;TEXT(INT((ROW()-5)/9)+1,"000")&amp;"-1")</f>
        <v/>
      </c>
      <c r="C2742" t="str">
        <f>IF(OR(Registro_Compras!$C$308="",Registro_Compras!$O$308=""),"",IF(Registro_Compras!$F$308="RHE",IF(Registro_Compras!$V$308=0,"","4017"),IF(Registro_Compras!$F$308="NOTA DE CREDITO",IF(Registro_Compras!$M$308="","63",Registro_Compras!$M$308),IF(Registro_Compras!$K$308=0,"","40111"))))</f>
        <v/>
      </c>
      <c r="D2742" t="str">
        <f>IF(OR(Registro_Compras!$C$308="",Registro_Compras!$O$308=""),"",IF(Registro_Compras!$F$308="RHE","Retencion Renta 4ta Categoria por Pagar",IF(Registro_Compras!$F$308="NOTA DE CREDITO","Gastos de Servicios Prestados por Terceros","IGV - Cuenta Propia (Credito Fiscal)")))</f>
        <v/>
      </c>
      <c r="E2742" s="20" t="str">
        <f>IF($C2742="","",IF(Registro_Compras!$F$308="FACTURA",ROUND(Registro_Compras!$K$308*Registro_Compras!$N$308,2),""))</f>
        <v/>
      </c>
      <c r="F2742" s="20" t="str">
        <f>IF($C2742="","",IF(Registro_Compras!$F$308="RHE",ROUND(Registro_Compras!$V$308*Registro_Compras!$N$308,2),IF(Registro_Compras!$F$308="NOTA DE CREDITO",ROUND(ABS(Registro_Compras!$J$308*Registro_Compras!$N$308),2),"")))</f>
        <v/>
      </c>
      <c r="G2742" t="str">
        <f>IF($C2742="","",IF(Registro_Compras!$F$308="NOTA DE CREDITO","Por la nota de credito "&amp;Registro_Compras!$C$308&amp;" de "&amp;Registro_Compras!$E$308&amp;" [PATRON POR CONFIRMAR CON CONTADOR]",IF(Registro_Compras!$F$308="RHE","Por el registro del recibo por honorarios "&amp;Registro_Compras!$C$308&amp;" de "&amp;Registro_Compras!$E$308&amp;" [PATRON POR CONFIRMAR CON CONTADOR]","Por el registro de la factura "&amp;Registro_Compras!$C$308&amp;" de "&amp;Registro_Compras!$E$308)))</f>
        <v/>
      </c>
      <c r="H2742" t="str">
        <f>IF($C2742="","",Registro_Compras!$C$308)</f>
        <v/>
      </c>
    </row>
    <row r="2743" spans="1:8" x14ac:dyDescent="0.25">
      <c r="A2743" s="25" t="str">
        <f>IF($C2743="","",Registro_Compras!$B$308)</f>
        <v/>
      </c>
      <c r="B2743" t="str">
        <f>IF($C2743="","","C"&amp;TEXT(INT((ROW()-5)/9)+1,"000")&amp;"-1")</f>
        <v/>
      </c>
      <c r="C2743" t="str">
        <f>IF(OR(Registro_Compras!$C$308="",Registro_Compras!$O$308=""),"",IF(Registro_Compras!$F$308="NOTA DE CREDITO",IF(Registro_Compras!$K$308=0,"","40111"),"4212"))</f>
        <v/>
      </c>
      <c r="D2743" t="str">
        <f>IF(OR(Registro_Compras!$C$308="",Registro_Compras!$O$308=""),"",IF(Registro_Compras!$F$308="NOTA DE CREDITO","IGV - Cuenta Propia (Credito Fiscal)","Cuentas por Pagar Comerciales - Terceros (Emitidas)"))</f>
        <v/>
      </c>
      <c r="E2743" s="20" t="str">
        <f>""</f>
        <v/>
      </c>
      <c r="F2743" s="20" t="str">
        <f>IF($C2743="","",IF(Registro_Compras!$F$308="NOTA DE CREDITO",ROUND(ABS(Registro_Compras!$K$308*Registro_Compras!$N$308),2),IF(Registro_Compras!$F$308="RHE",(ROUND(Registro_Compras!$L$308*Registro_Compras!$N$308,2)-ROUND(Registro_Compras!$V$308*Registro_Compras!$N$308,2)),Registro_Compras!$O$308)))</f>
        <v/>
      </c>
      <c r="G2743" t="str">
        <f>IF($C2743="","",IF(Registro_Compras!$F$308="NOTA DE CREDITO","Por la nota de credito "&amp;Registro_Compras!$C$308&amp;" de "&amp;Registro_Compras!$E$308&amp;" [PATRON POR CONFIRMAR CON CONTADOR]",IF(Registro_Compras!$F$308="RHE","Por el registro del recibo por honorarios "&amp;Registro_Compras!$C$308&amp;" de "&amp;Registro_Compras!$E$308&amp;" [PATRON POR CONFIRMAR CON CONTADOR]","Por el registro de la factura "&amp;Registro_Compras!$C$308&amp;" de "&amp;Registro_Compras!$E$308)))</f>
        <v/>
      </c>
      <c r="H2743" t="str">
        <f>IF($C2743="","",Registro_Compras!$C$308)</f>
        <v/>
      </c>
    </row>
    <row r="2744" spans="1:8" x14ac:dyDescent="0.25">
      <c r="A2744" s="25" t="str">
        <f>IF($C2744="","",Registro_Compras!$B$308)</f>
        <v/>
      </c>
      <c r="B2744" t="str">
        <f>IF($C2744="","","C"&amp;TEXT(INT((ROW()-5)/9)+1,"000")&amp;"-2")</f>
        <v/>
      </c>
      <c r="C2744" t="str">
        <f>IF(OR(Registro_Compras!$C$308="",Registro_Compras!$O$308=""),"",IF(Registro_Compras!$AB$308="ADMINISTRATIVO","94","95"))</f>
        <v/>
      </c>
      <c r="D2744" t="str">
        <f>IF(OR(Registro_Compras!$C$308="",Registro_Compras!$O$308=""),"",IF(Registro_Compras!$AB$308="ADMINISTRATIVO","Gastos Administrativos","Gastos de Venta y Operacion"))</f>
        <v/>
      </c>
      <c r="E2744" s="20" t="str">
        <f>IF($C2744="","",IF(Registro_Compras!$F$308="NOTA DE CREDITO","",IF(Registro_Compras!$F$308="RHE",ROUND(Registro_Compras!$L$308*Registro_Compras!$N$308,2),ROUND(Registro_Compras!$J$308*Registro_Compras!$N$308,2))))</f>
        <v/>
      </c>
      <c r="F2744" s="20" t="str">
        <f>IF($C2744="","",IF(Registro_Compras!$F$308="NOTA DE CREDITO",ROUND(ABS(Registro_Compras!$J$308*Registro_Compras!$N$308),2),""))</f>
        <v/>
      </c>
      <c r="G2744" t="str">
        <f>IF($C2744="","","Por el destino del gasto")</f>
        <v/>
      </c>
      <c r="H2744" t="str">
        <f>IF($C2744="","",Registro_Compras!$C$308)</f>
        <v/>
      </c>
    </row>
    <row r="2745" spans="1:8" x14ac:dyDescent="0.25">
      <c r="A2745" s="25" t="str">
        <f>IF($C2745="","",Registro_Compras!$B$308)</f>
        <v/>
      </c>
      <c r="B2745" t="str">
        <f>IF($C2745="","","C"&amp;TEXT(INT((ROW()-5)/9)+1,"000")&amp;"-2")</f>
        <v/>
      </c>
      <c r="C2745" t="str">
        <f>IF(OR(Registro_Compras!$C$308="",Registro_Compras!$O$308=""),"","79/791")</f>
        <v/>
      </c>
      <c r="D2745" t="str">
        <f>IF(OR(Registro_Compras!$C$308="",Registro_Compras!$O$308=""),"","Cargas Imputables a Cuentas de Costos y Gastos")</f>
        <v/>
      </c>
      <c r="E2745" s="20" t="str">
        <f>IF($C2745="","",IF(Registro_Compras!$F$308="NOTA DE CREDITO",ROUND(ABS(Registro_Compras!$J$308*Registro_Compras!$N$308),2),""))</f>
        <v/>
      </c>
      <c r="F2745" s="20" t="str">
        <f>IF($C2745="","",IF(Registro_Compras!$F$308="NOTA DE CREDITO","",IF(Registro_Compras!$F$308="RHE",ROUND(Registro_Compras!$L$308*Registro_Compras!$N$308,2),ROUND(Registro_Compras!$J$308*Registro_Compras!$N$308,2))))</f>
        <v/>
      </c>
      <c r="G2745" t="str">
        <f>IF($C2745="","","Por el destino del gasto")</f>
        <v/>
      </c>
      <c r="H2745" t="str">
        <f>IF($C2745="","",Registro_Compras!$C$308)</f>
        <v/>
      </c>
    </row>
    <row r="2746" spans="1:8" x14ac:dyDescent="0.25">
      <c r="A2746" s="25" t="str">
        <f>IF($C2746="","",Registro_Compras!$X$308)</f>
        <v/>
      </c>
      <c r="B2746" t="str">
        <f>IF($C2746="","","C"&amp;TEXT(INT((ROW()-5)/9)+1,"000")&amp;"-3")</f>
        <v/>
      </c>
      <c r="C2746" t="str">
        <f>IF(OR(Registro_Compras!$C$308="",Registro_Compras!$O$308="",Registro_Compras!$R$308&lt;&gt;"SI",Registro_Compras!$X$308=""),"","4212")</f>
        <v/>
      </c>
      <c r="D2746" t="str">
        <f>IF(OR(Registro_Compras!$C$308="",Registro_Compras!$O$308=""),"","Cuentas por Pagar Comerciales - Terceros")</f>
        <v/>
      </c>
      <c r="E2746" s="20" t="str">
        <f>IF($C2746="","",Registro_Compras!$S$308)</f>
        <v/>
      </c>
      <c r="F2746" s="20" t="str">
        <f>""</f>
        <v/>
      </c>
      <c r="G2746" t="str">
        <f>IF($C2746="","","Por el deposito de la detraccion en el Banco de la Nacion")</f>
        <v/>
      </c>
      <c r="H2746" t="str">
        <f>IF($C2746="","",Registro_Compras!$C$308)</f>
        <v/>
      </c>
    </row>
    <row r="2747" spans="1:8" x14ac:dyDescent="0.25">
      <c r="A2747" s="25" t="str">
        <f>IF($C2747="","",Registro_Compras!$X$308)</f>
        <v/>
      </c>
      <c r="B2747" t="str">
        <f>IF($C2747="","","C"&amp;TEXT(INT((ROW()-5)/9)+1,"000")&amp;"-3")</f>
        <v/>
      </c>
      <c r="C2747" t="str">
        <f>IF(OR(Registro_Compras!$C$308="",Registro_Compras!$O$308="",Registro_Compras!$R$308&lt;&gt;"SI",Registro_Compras!$X$308=""),"","1041")</f>
        <v/>
      </c>
      <c r="D2747" t="str">
        <f>IF(OR(Registro_Compras!$C$308="",Registro_Compras!$O$308=""),"","Efectivo y Equivalentes - Cta. Cte. Operativa")</f>
        <v/>
      </c>
      <c r="E2747" s="20" t="str">
        <f>""</f>
        <v/>
      </c>
      <c r="F2747" s="20" t="str">
        <f>IF($C2747="","",Registro_Compras!$S$308)</f>
        <v/>
      </c>
      <c r="G2747" t="str">
        <f>IF($C2747="","","Por el deposito de la detraccion en el Banco de la Nacion")</f>
        <v/>
      </c>
      <c r="H2747" t="str">
        <f>IF($C2747="","",Registro_Compras!$C$308)</f>
        <v/>
      </c>
    </row>
    <row r="2748" spans="1:8" x14ac:dyDescent="0.25">
      <c r="A2748" s="25" t="str">
        <f>IF($C2748="","",Registro_Compras!$Y$308)</f>
        <v/>
      </c>
      <c r="B2748" t="str">
        <f>IF($C2748="","","C"&amp;TEXT(INT((ROW()-5)/9)+1,"000")&amp;"-4")</f>
        <v/>
      </c>
      <c r="C2748" t="str">
        <f>IF(OR(Registro_Compras!$C$308="",Registro_Compras!$O$308="",Registro_Compras!$Y$308="",Registro_Compras!$F$308="NOTA DE CREDITO"),"","4212")</f>
        <v/>
      </c>
      <c r="D2748" t="str">
        <f>IF(OR(Registro_Compras!$C$308="",Registro_Compras!$O$308=""),"","Cuentas por Pagar Comerciales - Terceros")</f>
        <v/>
      </c>
      <c r="E2748" s="20" t="str">
        <f>IF($C2748="","",IF(Registro_Compras!$F$308="RHE",(ROUND(Registro_Compras!$L$308*Registro_Compras!$N$308,2)-ROUND(Registro_Compras!$V$308*Registro_Compras!$N$308,2)),ROUND(Registro_Compras!$O$308-Registro_Compras!$S$308,2)))</f>
        <v/>
      </c>
      <c r="F2748" s="20" t="str">
        <f>""</f>
        <v/>
      </c>
      <c r="G2748" t="str">
        <f>IF($C2748="","","Por la cancelacion del saldo al proveedor")</f>
        <v/>
      </c>
      <c r="H2748" t="str">
        <f>IF($C2748="","",Registro_Compras!$C$308)</f>
        <v/>
      </c>
    </row>
    <row r="2749" spans="1:8" x14ac:dyDescent="0.25">
      <c r="A2749" s="25" t="str">
        <f>IF($C2749="","",Registro_Compras!$Y$308)</f>
        <v/>
      </c>
      <c r="B2749" t="str">
        <f>IF($C2749="","","C"&amp;TEXT(INT((ROW()-5)/9)+1,"000")&amp;"-4")</f>
        <v/>
      </c>
      <c r="C2749" t="str">
        <f>IF(OR(Registro_Compras!$C$308="",Registro_Compras!$O$308="",Registro_Compras!$Y$308="",Registro_Compras!$F$308="NOTA DE CREDITO"),"","1041")</f>
        <v/>
      </c>
      <c r="D2749" t="str">
        <f>IF(OR(Registro_Compras!$C$308="",Registro_Compras!$O$308=""),"","Efectivo y Equivalentes - Cta. Cte. Operativa")</f>
        <v/>
      </c>
      <c r="E2749" s="20" t="str">
        <f>""</f>
        <v/>
      </c>
      <c r="F2749" s="20" t="str">
        <f>IF($C2749="","",IF(Registro_Compras!$F$308="RHE",(ROUND(Registro_Compras!$L$308*Registro_Compras!$N$308,2)-ROUND(Registro_Compras!$V$308*Registro_Compras!$N$308,2)),ROUND(Registro_Compras!$O$308-Registro_Compras!$S$308,2)))</f>
        <v/>
      </c>
      <c r="G2749" t="str">
        <f>IF($C2749="","","Por la cancelacion del saldo al proveedor")</f>
        <v/>
      </c>
      <c r="H2749" t="str">
        <f>IF($C2749="","",Registro_Compras!$C$308)</f>
        <v/>
      </c>
    </row>
    <row r="2750" spans="1:8" x14ac:dyDescent="0.25">
      <c r="A2750" s="25" t="str">
        <f>IF($C2750="","",Registro_Compras!$B$309)</f>
        <v/>
      </c>
      <c r="B2750" t="str">
        <f>IF($C2750="","","C"&amp;TEXT(INT((ROW()-5)/9)+1,"000")&amp;"-1")</f>
        <v/>
      </c>
      <c r="C2750" t="str">
        <f>IF(OR(Registro_Compras!$C$309="",Registro_Compras!$O$309=""),"",IF(Registro_Compras!$F$309="NOTA DE CREDITO","4212",IF(Registro_Compras!$M$309="","63",Registro_Compras!$M$309)))</f>
        <v/>
      </c>
      <c r="D2750" t="str">
        <f>IF(OR(Registro_Compras!$C$309="",Registro_Compras!$O$309=""),"",IF(Registro_Compras!$F$309="NOTA DE CREDITO","Cuentas por Pagar Comerciales - Terceros (Emitidas)",IF(Registro_Compras!$F$309="RHE","Honorarios Profesionales - Servicios de Terceros","Gastos de Servicios Prestados por Terceros")))</f>
        <v/>
      </c>
      <c r="E2750" s="20" t="str">
        <f>IF($C2750="","",IF(Registro_Compras!$F$309="NOTA DE CREDITO",ABS(Registro_Compras!$O$309),IF(Registro_Compras!$F$309="RHE",ROUND(Registro_Compras!$L$309*Registro_Compras!$N$309,2),ROUND(Registro_Compras!$J$309*Registro_Compras!$N$309,2))))</f>
        <v/>
      </c>
      <c r="F2750" s="20" t="str">
        <f>""</f>
        <v/>
      </c>
      <c r="G2750" t="str">
        <f>IF($C2750="","",IF(Registro_Compras!$F$309="NOTA DE CREDITO","Por la nota de credito "&amp;Registro_Compras!$C$309&amp;" de "&amp;Registro_Compras!$E$309&amp;" [PATRON POR CONFIRMAR CON CONTADOR]",IF(Registro_Compras!$F$309="RHE","Por el registro del recibo por honorarios "&amp;Registro_Compras!$C$309&amp;" de "&amp;Registro_Compras!$E$309&amp;" [PATRON POR CONFIRMAR CON CONTADOR]","Por el registro de la factura "&amp;Registro_Compras!$C$309&amp;" de "&amp;Registro_Compras!$E$309)))</f>
        <v/>
      </c>
      <c r="H2750" t="str">
        <f>IF($C2750="","",Registro_Compras!$C$309)</f>
        <v/>
      </c>
    </row>
    <row r="2751" spans="1:8" x14ac:dyDescent="0.25">
      <c r="A2751" s="25" t="str">
        <f>IF($C2751="","",Registro_Compras!$B$309)</f>
        <v/>
      </c>
      <c r="B2751" t="str">
        <f>IF($C2751="","","C"&amp;TEXT(INT((ROW()-5)/9)+1,"000")&amp;"-1")</f>
        <v/>
      </c>
      <c r="C2751" t="str">
        <f>IF(OR(Registro_Compras!$C$309="",Registro_Compras!$O$309=""),"",IF(Registro_Compras!$F$309="RHE",IF(Registro_Compras!$V$309=0,"","4017"),IF(Registro_Compras!$F$309="NOTA DE CREDITO",IF(Registro_Compras!$M$309="","63",Registro_Compras!$M$309),IF(Registro_Compras!$K$309=0,"","40111"))))</f>
        <v/>
      </c>
      <c r="D2751" t="str">
        <f>IF(OR(Registro_Compras!$C$309="",Registro_Compras!$O$309=""),"",IF(Registro_Compras!$F$309="RHE","Retencion Renta 4ta Categoria por Pagar",IF(Registro_Compras!$F$309="NOTA DE CREDITO","Gastos de Servicios Prestados por Terceros","IGV - Cuenta Propia (Credito Fiscal)")))</f>
        <v/>
      </c>
      <c r="E2751" s="20" t="str">
        <f>IF($C2751="","",IF(Registro_Compras!$F$309="FACTURA",ROUND(Registro_Compras!$K$309*Registro_Compras!$N$309,2),""))</f>
        <v/>
      </c>
      <c r="F2751" s="20" t="str">
        <f>IF($C2751="","",IF(Registro_Compras!$F$309="RHE",ROUND(Registro_Compras!$V$309*Registro_Compras!$N$309,2),IF(Registro_Compras!$F$309="NOTA DE CREDITO",ROUND(ABS(Registro_Compras!$J$309*Registro_Compras!$N$309),2),"")))</f>
        <v/>
      </c>
      <c r="G2751" t="str">
        <f>IF($C2751="","",IF(Registro_Compras!$F$309="NOTA DE CREDITO","Por la nota de credito "&amp;Registro_Compras!$C$309&amp;" de "&amp;Registro_Compras!$E$309&amp;" [PATRON POR CONFIRMAR CON CONTADOR]",IF(Registro_Compras!$F$309="RHE","Por el registro del recibo por honorarios "&amp;Registro_Compras!$C$309&amp;" de "&amp;Registro_Compras!$E$309&amp;" [PATRON POR CONFIRMAR CON CONTADOR]","Por el registro de la factura "&amp;Registro_Compras!$C$309&amp;" de "&amp;Registro_Compras!$E$309)))</f>
        <v/>
      </c>
      <c r="H2751" t="str">
        <f>IF($C2751="","",Registro_Compras!$C$309)</f>
        <v/>
      </c>
    </row>
    <row r="2752" spans="1:8" x14ac:dyDescent="0.25">
      <c r="A2752" s="25" t="str">
        <f>IF($C2752="","",Registro_Compras!$B$309)</f>
        <v/>
      </c>
      <c r="B2752" t="str">
        <f>IF($C2752="","","C"&amp;TEXT(INT((ROW()-5)/9)+1,"000")&amp;"-1")</f>
        <v/>
      </c>
      <c r="C2752" t="str">
        <f>IF(OR(Registro_Compras!$C$309="",Registro_Compras!$O$309=""),"",IF(Registro_Compras!$F$309="NOTA DE CREDITO",IF(Registro_Compras!$K$309=0,"","40111"),"4212"))</f>
        <v/>
      </c>
      <c r="D2752" t="str">
        <f>IF(OR(Registro_Compras!$C$309="",Registro_Compras!$O$309=""),"",IF(Registro_Compras!$F$309="NOTA DE CREDITO","IGV - Cuenta Propia (Credito Fiscal)","Cuentas por Pagar Comerciales - Terceros (Emitidas)"))</f>
        <v/>
      </c>
      <c r="E2752" s="20" t="str">
        <f>""</f>
        <v/>
      </c>
      <c r="F2752" s="20" t="str">
        <f>IF($C2752="","",IF(Registro_Compras!$F$309="NOTA DE CREDITO",ROUND(ABS(Registro_Compras!$K$309*Registro_Compras!$N$309),2),IF(Registro_Compras!$F$309="RHE",(ROUND(Registro_Compras!$L$309*Registro_Compras!$N$309,2)-ROUND(Registro_Compras!$V$309*Registro_Compras!$N$309,2)),Registro_Compras!$O$309)))</f>
        <v/>
      </c>
      <c r="G2752" t="str">
        <f>IF($C2752="","",IF(Registro_Compras!$F$309="NOTA DE CREDITO","Por la nota de credito "&amp;Registro_Compras!$C$309&amp;" de "&amp;Registro_Compras!$E$309&amp;" [PATRON POR CONFIRMAR CON CONTADOR]",IF(Registro_Compras!$F$309="RHE","Por el registro del recibo por honorarios "&amp;Registro_Compras!$C$309&amp;" de "&amp;Registro_Compras!$E$309&amp;" [PATRON POR CONFIRMAR CON CONTADOR]","Por el registro de la factura "&amp;Registro_Compras!$C$309&amp;" de "&amp;Registro_Compras!$E$309)))</f>
        <v/>
      </c>
      <c r="H2752" t="str">
        <f>IF($C2752="","",Registro_Compras!$C$309)</f>
        <v/>
      </c>
    </row>
    <row r="2753" spans="1:8" x14ac:dyDescent="0.25">
      <c r="A2753" s="25" t="str">
        <f>IF($C2753="","",Registro_Compras!$B$309)</f>
        <v/>
      </c>
      <c r="B2753" t="str">
        <f>IF($C2753="","","C"&amp;TEXT(INT((ROW()-5)/9)+1,"000")&amp;"-2")</f>
        <v/>
      </c>
      <c r="C2753" t="str">
        <f>IF(OR(Registro_Compras!$C$309="",Registro_Compras!$O$309=""),"",IF(Registro_Compras!$AB$309="ADMINISTRATIVO","94","95"))</f>
        <v/>
      </c>
      <c r="D2753" t="str">
        <f>IF(OR(Registro_Compras!$C$309="",Registro_Compras!$O$309=""),"",IF(Registro_Compras!$AB$309="ADMINISTRATIVO","Gastos Administrativos","Gastos de Venta y Operacion"))</f>
        <v/>
      </c>
      <c r="E2753" s="20" t="str">
        <f>IF($C2753="","",IF(Registro_Compras!$F$309="NOTA DE CREDITO","",IF(Registro_Compras!$F$309="RHE",ROUND(Registro_Compras!$L$309*Registro_Compras!$N$309,2),ROUND(Registro_Compras!$J$309*Registro_Compras!$N$309,2))))</f>
        <v/>
      </c>
      <c r="F2753" s="20" t="str">
        <f>IF($C2753="","",IF(Registro_Compras!$F$309="NOTA DE CREDITO",ROUND(ABS(Registro_Compras!$J$309*Registro_Compras!$N$309),2),""))</f>
        <v/>
      </c>
      <c r="G2753" t="str">
        <f>IF($C2753="","","Por el destino del gasto")</f>
        <v/>
      </c>
      <c r="H2753" t="str">
        <f>IF($C2753="","",Registro_Compras!$C$309)</f>
        <v/>
      </c>
    </row>
    <row r="2754" spans="1:8" x14ac:dyDescent="0.25">
      <c r="A2754" s="25" t="str">
        <f>IF($C2754="","",Registro_Compras!$B$309)</f>
        <v/>
      </c>
      <c r="B2754" t="str">
        <f>IF($C2754="","","C"&amp;TEXT(INT((ROW()-5)/9)+1,"000")&amp;"-2")</f>
        <v/>
      </c>
      <c r="C2754" t="str">
        <f>IF(OR(Registro_Compras!$C$309="",Registro_Compras!$O$309=""),"","79/791")</f>
        <v/>
      </c>
      <c r="D2754" t="str">
        <f>IF(OR(Registro_Compras!$C$309="",Registro_Compras!$O$309=""),"","Cargas Imputables a Cuentas de Costos y Gastos")</f>
        <v/>
      </c>
      <c r="E2754" s="20" t="str">
        <f>IF($C2754="","",IF(Registro_Compras!$F$309="NOTA DE CREDITO",ROUND(ABS(Registro_Compras!$J$309*Registro_Compras!$N$309),2),""))</f>
        <v/>
      </c>
      <c r="F2754" s="20" t="str">
        <f>IF($C2754="","",IF(Registro_Compras!$F$309="NOTA DE CREDITO","",IF(Registro_Compras!$F$309="RHE",ROUND(Registro_Compras!$L$309*Registro_Compras!$N$309,2),ROUND(Registro_Compras!$J$309*Registro_Compras!$N$309,2))))</f>
        <v/>
      </c>
      <c r="G2754" t="str">
        <f>IF($C2754="","","Por el destino del gasto")</f>
        <v/>
      </c>
      <c r="H2754" t="str">
        <f>IF($C2754="","",Registro_Compras!$C$309)</f>
        <v/>
      </c>
    </row>
    <row r="2755" spans="1:8" x14ac:dyDescent="0.25">
      <c r="A2755" s="25" t="str">
        <f>IF($C2755="","",Registro_Compras!$X$309)</f>
        <v/>
      </c>
      <c r="B2755" t="str">
        <f>IF($C2755="","","C"&amp;TEXT(INT((ROW()-5)/9)+1,"000")&amp;"-3")</f>
        <v/>
      </c>
      <c r="C2755" t="str">
        <f>IF(OR(Registro_Compras!$C$309="",Registro_Compras!$O$309="",Registro_Compras!$R$309&lt;&gt;"SI",Registro_Compras!$X$309=""),"","4212")</f>
        <v/>
      </c>
      <c r="D2755" t="str">
        <f>IF(OR(Registro_Compras!$C$309="",Registro_Compras!$O$309=""),"","Cuentas por Pagar Comerciales - Terceros")</f>
        <v/>
      </c>
      <c r="E2755" s="20" t="str">
        <f>IF($C2755="","",Registro_Compras!$S$309)</f>
        <v/>
      </c>
      <c r="F2755" s="20" t="str">
        <f>""</f>
        <v/>
      </c>
      <c r="G2755" t="str">
        <f>IF($C2755="","","Por el deposito de la detraccion en el Banco de la Nacion")</f>
        <v/>
      </c>
      <c r="H2755" t="str">
        <f>IF($C2755="","",Registro_Compras!$C$309)</f>
        <v/>
      </c>
    </row>
    <row r="2756" spans="1:8" x14ac:dyDescent="0.25">
      <c r="A2756" s="25" t="str">
        <f>IF($C2756="","",Registro_Compras!$X$309)</f>
        <v/>
      </c>
      <c r="B2756" t="str">
        <f>IF($C2756="","","C"&amp;TEXT(INT((ROW()-5)/9)+1,"000")&amp;"-3")</f>
        <v/>
      </c>
      <c r="C2756" t="str">
        <f>IF(OR(Registro_Compras!$C$309="",Registro_Compras!$O$309="",Registro_Compras!$R$309&lt;&gt;"SI",Registro_Compras!$X$309=""),"","1041")</f>
        <v/>
      </c>
      <c r="D2756" t="str">
        <f>IF(OR(Registro_Compras!$C$309="",Registro_Compras!$O$309=""),"","Efectivo y Equivalentes - Cta. Cte. Operativa")</f>
        <v/>
      </c>
      <c r="E2756" s="20" t="str">
        <f>""</f>
        <v/>
      </c>
      <c r="F2756" s="20" t="str">
        <f>IF($C2756="","",Registro_Compras!$S$309)</f>
        <v/>
      </c>
      <c r="G2756" t="str">
        <f>IF($C2756="","","Por el deposito de la detraccion en el Banco de la Nacion")</f>
        <v/>
      </c>
      <c r="H2756" t="str">
        <f>IF($C2756="","",Registro_Compras!$C$309)</f>
        <v/>
      </c>
    </row>
    <row r="2757" spans="1:8" x14ac:dyDescent="0.25">
      <c r="A2757" s="25" t="str">
        <f>IF($C2757="","",Registro_Compras!$Y$309)</f>
        <v/>
      </c>
      <c r="B2757" t="str">
        <f>IF($C2757="","","C"&amp;TEXT(INT((ROW()-5)/9)+1,"000")&amp;"-4")</f>
        <v/>
      </c>
      <c r="C2757" t="str">
        <f>IF(OR(Registro_Compras!$C$309="",Registro_Compras!$O$309="",Registro_Compras!$Y$309="",Registro_Compras!$F$309="NOTA DE CREDITO"),"","4212")</f>
        <v/>
      </c>
      <c r="D2757" t="str">
        <f>IF(OR(Registro_Compras!$C$309="",Registro_Compras!$O$309=""),"","Cuentas por Pagar Comerciales - Terceros")</f>
        <v/>
      </c>
      <c r="E2757" s="20" t="str">
        <f>IF($C2757="","",IF(Registro_Compras!$F$309="RHE",(ROUND(Registro_Compras!$L$309*Registro_Compras!$N$309,2)-ROUND(Registro_Compras!$V$309*Registro_Compras!$N$309,2)),ROUND(Registro_Compras!$O$309-Registro_Compras!$S$309,2)))</f>
        <v/>
      </c>
      <c r="F2757" s="20" t="str">
        <f>""</f>
        <v/>
      </c>
      <c r="G2757" t="str">
        <f>IF($C2757="","","Por la cancelacion del saldo al proveedor")</f>
        <v/>
      </c>
      <c r="H2757" t="str">
        <f>IF($C2757="","",Registro_Compras!$C$309)</f>
        <v/>
      </c>
    </row>
    <row r="2758" spans="1:8" x14ac:dyDescent="0.25">
      <c r="A2758" s="25" t="str">
        <f>IF($C2758="","",Registro_Compras!$Y$309)</f>
        <v/>
      </c>
      <c r="B2758" t="str">
        <f>IF($C2758="","","C"&amp;TEXT(INT((ROW()-5)/9)+1,"000")&amp;"-4")</f>
        <v/>
      </c>
      <c r="C2758" t="str">
        <f>IF(OR(Registro_Compras!$C$309="",Registro_Compras!$O$309="",Registro_Compras!$Y$309="",Registro_Compras!$F$309="NOTA DE CREDITO"),"","1041")</f>
        <v/>
      </c>
      <c r="D2758" t="str">
        <f>IF(OR(Registro_Compras!$C$309="",Registro_Compras!$O$309=""),"","Efectivo y Equivalentes - Cta. Cte. Operativa")</f>
        <v/>
      </c>
      <c r="E2758" s="20" t="str">
        <f>""</f>
        <v/>
      </c>
      <c r="F2758" s="20" t="str">
        <f>IF($C2758="","",IF(Registro_Compras!$F$309="RHE",(ROUND(Registro_Compras!$L$309*Registro_Compras!$N$309,2)-ROUND(Registro_Compras!$V$309*Registro_Compras!$N$309,2)),ROUND(Registro_Compras!$O$309-Registro_Compras!$S$309,2)))</f>
        <v/>
      </c>
      <c r="G2758" t="str">
        <f>IF($C2758="","","Por la cancelacion del saldo al proveedor")</f>
        <v/>
      </c>
      <c r="H2758" t="str">
        <f>IF($C2758="","",Registro_Compras!$C$309)</f>
        <v/>
      </c>
    </row>
    <row r="2759" spans="1:8" x14ac:dyDescent="0.25">
      <c r="A2759" s="25" t="str">
        <f>IF($C2759="","",Registro_Compras!$B$310)</f>
        <v/>
      </c>
      <c r="B2759" t="str">
        <f>IF($C2759="","","C"&amp;TEXT(INT((ROW()-5)/9)+1,"000")&amp;"-1")</f>
        <v/>
      </c>
      <c r="C2759" t="str">
        <f>IF(OR(Registro_Compras!$C$310="",Registro_Compras!$O$310=""),"",IF(Registro_Compras!$F$310="NOTA DE CREDITO","4212",IF(Registro_Compras!$M$310="","63",Registro_Compras!$M$310)))</f>
        <v/>
      </c>
      <c r="D2759" t="str">
        <f>IF(OR(Registro_Compras!$C$310="",Registro_Compras!$O$310=""),"",IF(Registro_Compras!$F$310="NOTA DE CREDITO","Cuentas por Pagar Comerciales - Terceros (Emitidas)",IF(Registro_Compras!$F$310="RHE","Honorarios Profesionales - Servicios de Terceros","Gastos de Servicios Prestados por Terceros")))</f>
        <v/>
      </c>
      <c r="E2759" s="20" t="str">
        <f>IF($C2759="","",IF(Registro_Compras!$F$310="NOTA DE CREDITO",ABS(Registro_Compras!$O$310),IF(Registro_Compras!$F$310="RHE",ROUND(Registro_Compras!$L$310*Registro_Compras!$N$310,2),ROUND(Registro_Compras!$J$310*Registro_Compras!$N$310,2))))</f>
        <v/>
      </c>
      <c r="F2759" s="20" t="str">
        <f>""</f>
        <v/>
      </c>
      <c r="G2759" t="str">
        <f>IF($C2759="","",IF(Registro_Compras!$F$310="NOTA DE CREDITO","Por la nota de credito "&amp;Registro_Compras!$C$310&amp;" de "&amp;Registro_Compras!$E$310&amp;" [PATRON POR CONFIRMAR CON CONTADOR]",IF(Registro_Compras!$F$310="RHE","Por el registro del recibo por honorarios "&amp;Registro_Compras!$C$310&amp;" de "&amp;Registro_Compras!$E$310&amp;" [PATRON POR CONFIRMAR CON CONTADOR]","Por el registro de la factura "&amp;Registro_Compras!$C$310&amp;" de "&amp;Registro_Compras!$E$310)))</f>
        <v/>
      </c>
      <c r="H2759" t="str">
        <f>IF($C2759="","",Registro_Compras!$C$310)</f>
        <v/>
      </c>
    </row>
    <row r="2760" spans="1:8" x14ac:dyDescent="0.25">
      <c r="A2760" s="25" t="str">
        <f>IF($C2760="","",Registro_Compras!$B$310)</f>
        <v/>
      </c>
      <c r="B2760" t="str">
        <f>IF($C2760="","","C"&amp;TEXT(INT((ROW()-5)/9)+1,"000")&amp;"-1")</f>
        <v/>
      </c>
      <c r="C2760" t="str">
        <f>IF(OR(Registro_Compras!$C$310="",Registro_Compras!$O$310=""),"",IF(Registro_Compras!$F$310="RHE",IF(Registro_Compras!$V$310=0,"","4017"),IF(Registro_Compras!$F$310="NOTA DE CREDITO",IF(Registro_Compras!$M$310="","63",Registro_Compras!$M$310),IF(Registro_Compras!$K$310=0,"","40111"))))</f>
        <v/>
      </c>
      <c r="D2760" t="str">
        <f>IF(OR(Registro_Compras!$C$310="",Registro_Compras!$O$310=""),"",IF(Registro_Compras!$F$310="RHE","Retencion Renta 4ta Categoria por Pagar",IF(Registro_Compras!$F$310="NOTA DE CREDITO","Gastos de Servicios Prestados por Terceros","IGV - Cuenta Propia (Credito Fiscal)")))</f>
        <v/>
      </c>
      <c r="E2760" s="20" t="str">
        <f>IF($C2760="","",IF(Registro_Compras!$F$310="FACTURA",ROUND(Registro_Compras!$K$310*Registro_Compras!$N$310,2),""))</f>
        <v/>
      </c>
      <c r="F2760" s="20" t="str">
        <f>IF($C2760="","",IF(Registro_Compras!$F$310="RHE",ROUND(Registro_Compras!$V$310*Registro_Compras!$N$310,2),IF(Registro_Compras!$F$310="NOTA DE CREDITO",ROUND(ABS(Registro_Compras!$J$310*Registro_Compras!$N$310),2),"")))</f>
        <v/>
      </c>
      <c r="G2760" t="str">
        <f>IF($C2760="","",IF(Registro_Compras!$F$310="NOTA DE CREDITO","Por la nota de credito "&amp;Registro_Compras!$C$310&amp;" de "&amp;Registro_Compras!$E$310&amp;" [PATRON POR CONFIRMAR CON CONTADOR]",IF(Registro_Compras!$F$310="RHE","Por el registro del recibo por honorarios "&amp;Registro_Compras!$C$310&amp;" de "&amp;Registro_Compras!$E$310&amp;" [PATRON POR CONFIRMAR CON CONTADOR]","Por el registro de la factura "&amp;Registro_Compras!$C$310&amp;" de "&amp;Registro_Compras!$E$310)))</f>
        <v/>
      </c>
      <c r="H2760" t="str">
        <f>IF($C2760="","",Registro_Compras!$C$310)</f>
        <v/>
      </c>
    </row>
    <row r="2761" spans="1:8" x14ac:dyDescent="0.25">
      <c r="A2761" s="25" t="str">
        <f>IF($C2761="","",Registro_Compras!$B$310)</f>
        <v/>
      </c>
      <c r="B2761" t="str">
        <f>IF($C2761="","","C"&amp;TEXT(INT((ROW()-5)/9)+1,"000")&amp;"-1")</f>
        <v/>
      </c>
      <c r="C2761" t="str">
        <f>IF(OR(Registro_Compras!$C$310="",Registro_Compras!$O$310=""),"",IF(Registro_Compras!$F$310="NOTA DE CREDITO",IF(Registro_Compras!$K$310=0,"","40111"),"4212"))</f>
        <v/>
      </c>
      <c r="D2761" t="str">
        <f>IF(OR(Registro_Compras!$C$310="",Registro_Compras!$O$310=""),"",IF(Registro_Compras!$F$310="NOTA DE CREDITO","IGV - Cuenta Propia (Credito Fiscal)","Cuentas por Pagar Comerciales - Terceros (Emitidas)"))</f>
        <v/>
      </c>
      <c r="E2761" s="20" t="str">
        <f>""</f>
        <v/>
      </c>
      <c r="F2761" s="20" t="str">
        <f>IF($C2761="","",IF(Registro_Compras!$F$310="NOTA DE CREDITO",ROUND(ABS(Registro_Compras!$K$310*Registro_Compras!$N$310),2),IF(Registro_Compras!$F$310="RHE",(ROUND(Registro_Compras!$L$310*Registro_Compras!$N$310,2)-ROUND(Registro_Compras!$V$310*Registro_Compras!$N$310,2)),Registro_Compras!$O$310)))</f>
        <v/>
      </c>
      <c r="G2761" t="str">
        <f>IF($C2761="","",IF(Registro_Compras!$F$310="NOTA DE CREDITO","Por la nota de credito "&amp;Registro_Compras!$C$310&amp;" de "&amp;Registro_Compras!$E$310&amp;" [PATRON POR CONFIRMAR CON CONTADOR]",IF(Registro_Compras!$F$310="RHE","Por el registro del recibo por honorarios "&amp;Registro_Compras!$C$310&amp;" de "&amp;Registro_Compras!$E$310&amp;" [PATRON POR CONFIRMAR CON CONTADOR]","Por el registro de la factura "&amp;Registro_Compras!$C$310&amp;" de "&amp;Registro_Compras!$E$310)))</f>
        <v/>
      </c>
      <c r="H2761" t="str">
        <f>IF($C2761="","",Registro_Compras!$C$310)</f>
        <v/>
      </c>
    </row>
    <row r="2762" spans="1:8" x14ac:dyDescent="0.25">
      <c r="A2762" s="25" t="str">
        <f>IF($C2762="","",Registro_Compras!$B$310)</f>
        <v/>
      </c>
      <c r="B2762" t="str">
        <f>IF($C2762="","","C"&amp;TEXT(INT((ROW()-5)/9)+1,"000")&amp;"-2")</f>
        <v/>
      </c>
      <c r="C2762" t="str">
        <f>IF(OR(Registro_Compras!$C$310="",Registro_Compras!$O$310=""),"",IF(Registro_Compras!$AB$310="ADMINISTRATIVO","94","95"))</f>
        <v/>
      </c>
      <c r="D2762" t="str">
        <f>IF(OR(Registro_Compras!$C$310="",Registro_Compras!$O$310=""),"",IF(Registro_Compras!$AB$310="ADMINISTRATIVO","Gastos Administrativos","Gastos de Venta y Operacion"))</f>
        <v/>
      </c>
      <c r="E2762" s="20" t="str">
        <f>IF($C2762="","",IF(Registro_Compras!$F$310="NOTA DE CREDITO","",IF(Registro_Compras!$F$310="RHE",ROUND(Registro_Compras!$L$310*Registro_Compras!$N$310,2),ROUND(Registro_Compras!$J$310*Registro_Compras!$N$310,2))))</f>
        <v/>
      </c>
      <c r="F2762" s="20" t="str">
        <f>IF($C2762="","",IF(Registro_Compras!$F$310="NOTA DE CREDITO",ROUND(ABS(Registro_Compras!$J$310*Registro_Compras!$N$310),2),""))</f>
        <v/>
      </c>
      <c r="G2762" t="str">
        <f>IF($C2762="","","Por el destino del gasto")</f>
        <v/>
      </c>
      <c r="H2762" t="str">
        <f>IF($C2762="","",Registro_Compras!$C$310)</f>
        <v/>
      </c>
    </row>
    <row r="2763" spans="1:8" x14ac:dyDescent="0.25">
      <c r="A2763" s="25" t="str">
        <f>IF($C2763="","",Registro_Compras!$B$310)</f>
        <v/>
      </c>
      <c r="B2763" t="str">
        <f>IF($C2763="","","C"&amp;TEXT(INT((ROW()-5)/9)+1,"000")&amp;"-2")</f>
        <v/>
      </c>
      <c r="C2763" t="str">
        <f>IF(OR(Registro_Compras!$C$310="",Registro_Compras!$O$310=""),"","79/791")</f>
        <v/>
      </c>
      <c r="D2763" t="str">
        <f>IF(OR(Registro_Compras!$C$310="",Registro_Compras!$O$310=""),"","Cargas Imputables a Cuentas de Costos y Gastos")</f>
        <v/>
      </c>
      <c r="E2763" s="20" t="str">
        <f>IF($C2763="","",IF(Registro_Compras!$F$310="NOTA DE CREDITO",ROUND(ABS(Registro_Compras!$J$310*Registro_Compras!$N$310),2),""))</f>
        <v/>
      </c>
      <c r="F2763" s="20" t="str">
        <f>IF($C2763="","",IF(Registro_Compras!$F$310="NOTA DE CREDITO","",IF(Registro_Compras!$F$310="RHE",ROUND(Registro_Compras!$L$310*Registro_Compras!$N$310,2),ROUND(Registro_Compras!$J$310*Registro_Compras!$N$310,2))))</f>
        <v/>
      </c>
      <c r="G2763" t="str">
        <f>IF($C2763="","","Por el destino del gasto")</f>
        <v/>
      </c>
      <c r="H2763" t="str">
        <f>IF($C2763="","",Registro_Compras!$C$310)</f>
        <v/>
      </c>
    </row>
    <row r="2764" spans="1:8" x14ac:dyDescent="0.25">
      <c r="A2764" s="25" t="str">
        <f>IF($C2764="","",Registro_Compras!$X$310)</f>
        <v/>
      </c>
      <c r="B2764" t="str">
        <f>IF($C2764="","","C"&amp;TEXT(INT((ROW()-5)/9)+1,"000")&amp;"-3")</f>
        <v/>
      </c>
      <c r="C2764" t="str">
        <f>IF(OR(Registro_Compras!$C$310="",Registro_Compras!$O$310="",Registro_Compras!$R$310&lt;&gt;"SI",Registro_Compras!$X$310=""),"","4212")</f>
        <v/>
      </c>
      <c r="D2764" t="str">
        <f>IF(OR(Registro_Compras!$C$310="",Registro_Compras!$O$310=""),"","Cuentas por Pagar Comerciales - Terceros")</f>
        <v/>
      </c>
      <c r="E2764" s="20" t="str">
        <f>IF($C2764="","",Registro_Compras!$S$310)</f>
        <v/>
      </c>
      <c r="F2764" s="20" t="str">
        <f>""</f>
        <v/>
      </c>
      <c r="G2764" t="str">
        <f>IF($C2764="","","Por el deposito de la detraccion en el Banco de la Nacion")</f>
        <v/>
      </c>
      <c r="H2764" t="str">
        <f>IF($C2764="","",Registro_Compras!$C$310)</f>
        <v/>
      </c>
    </row>
    <row r="2765" spans="1:8" x14ac:dyDescent="0.25">
      <c r="A2765" s="25" t="str">
        <f>IF($C2765="","",Registro_Compras!$X$310)</f>
        <v/>
      </c>
      <c r="B2765" t="str">
        <f>IF($C2765="","","C"&amp;TEXT(INT((ROW()-5)/9)+1,"000")&amp;"-3")</f>
        <v/>
      </c>
      <c r="C2765" t="str">
        <f>IF(OR(Registro_Compras!$C$310="",Registro_Compras!$O$310="",Registro_Compras!$R$310&lt;&gt;"SI",Registro_Compras!$X$310=""),"","1041")</f>
        <v/>
      </c>
      <c r="D2765" t="str">
        <f>IF(OR(Registro_Compras!$C$310="",Registro_Compras!$O$310=""),"","Efectivo y Equivalentes - Cta. Cte. Operativa")</f>
        <v/>
      </c>
      <c r="E2765" s="20" t="str">
        <f>""</f>
        <v/>
      </c>
      <c r="F2765" s="20" t="str">
        <f>IF($C2765="","",Registro_Compras!$S$310)</f>
        <v/>
      </c>
      <c r="G2765" t="str">
        <f>IF($C2765="","","Por el deposito de la detraccion en el Banco de la Nacion")</f>
        <v/>
      </c>
      <c r="H2765" t="str">
        <f>IF($C2765="","",Registro_Compras!$C$310)</f>
        <v/>
      </c>
    </row>
    <row r="2766" spans="1:8" x14ac:dyDescent="0.25">
      <c r="A2766" s="25" t="str">
        <f>IF($C2766="","",Registro_Compras!$Y$310)</f>
        <v/>
      </c>
      <c r="B2766" t="str">
        <f>IF($C2766="","","C"&amp;TEXT(INT((ROW()-5)/9)+1,"000")&amp;"-4")</f>
        <v/>
      </c>
      <c r="C2766" t="str">
        <f>IF(OR(Registro_Compras!$C$310="",Registro_Compras!$O$310="",Registro_Compras!$Y$310="",Registro_Compras!$F$310="NOTA DE CREDITO"),"","4212")</f>
        <v/>
      </c>
      <c r="D2766" t="str">
        <f>IF(OR(Registro_Compras!$C$310="",Registro_Compras!$O$310=""),"","Cuentas por Pagar Comerciales - Terceros")</f>
        <v/>
      </c>
      <c r="E2766" s="20" t="str">
        <f>IF($C2766="","",IF(Registro_Compras!$F$310="RHE",(ROUND(Registro_Compras!$L$310*Registro_Compras!$N$310,2)-ROUND(Registro_Compras!$V$310*Registro_Compras!$N$310,2)),ROUND(Registro_Compras!$O$310-Registro_Compras!$S$310,2)))</f>
        <v/>
      </c>
      <c r="F2766" s="20" t="str">
        <f>""</f>
        <v/>
      </c>
      <c r="G2766" t="str">
        <f>IF($C2766="","","Por la cancelacion del saldo al proveedor")</f>
        <v/>
      </c>
      <c r="H2766" t="str">
        <f>IF($C2766="","",Registro_Compras!$C$310)</f>
        <v/>
      </c>
    </row>
    <row r="2767" spans="1:8" x14ac:dyDescent="0.25">
      <c r="A2767" s="25" t="str">
        <f>IF($C2767="","",Registro_Compras!$Y$310)</f>
        <v/>
      </c>
      <c r="B2767" t="str">
        <f>IF($C2767="","","C"&amp;TEXT(INT((ROW()-5)/9)+1,"000")&amp;"-4")</f>
        <v/>
      </c>
      <c r="C2767" t="str">
        <f>IF(OR(Registro_Compras!$C$310="",Registro_Compras!$O$310="",Registro_Compras!$Y$310="",Registro_Compras!$F$310="NOTA DE CREDITO"),"","1041")</f>
        <v/>
      </c>
      <c r="D2767" t="str">
        <f>IF(OR(Registro_Compras!$C$310="",Registro_Compras!$O$310=""),"","Efectivo y Equivalentes - Cta. Cte. Operativa")</f>
        <v/>
      </c>
      <c r="E2767" s="20" t="str">
        <f>""</f>
        <v/>
      </c>
      <c r="F2767" s="20" t="str">
        <f>IF($C2767="","",IF(Registro_Compras!$F$310="RHE",(ROUND(Registro_Compras!$L$310*Registro_Compras!$N$310,2)-ROUND(Registro_Compras!$V$310*Registro_Compras!$N$310,2)),ROUND(Registro_Compras!$O$310-Registro_Compras!$S$310,2)))</f>
        <v/>
      </c>
      <c r="G2767" t="str">
        <f>IF($C2767="","","Por la cancelacion del saldo al proveedor")</f>
        <v/>
      </c>
      <c r="H2767" t="str">
        <f>IF($C2767="","",Registro_Compras!$C$310)</f>
        <v/>
      </c>
    </row>
    <row r="2768" spans="1:8" x14ac:dyDescent="0.25">
      <c r="A2768" s="25" t="str">
        <f>IF($C2768="","",Registro_Compras!$B$311)</f>
        <v/>
      </c>
      <c r="B2768" t="str">
        <f>IF($C2768="","","C"&amp;TEXT(INT((ROW()-5)/9)+1,"000")&amp;"-1")</f>
        <v/>
      </c>
      <c r="C2768" t="str">
        <f>IF(OR(Registro_Compras!$C$311="",Registro_Compras!$O$311=""),"",IF(Registro_Compras!$F$311="NOTA DE CREDITO","4212",IF(Registro_Compras!$M$311="","63",Registro_Compras!$M$311)))</f>
        <v/>
      </c>
      <c r="D2768" t="str">
        <f>IF(OR(Registro_Compras!$C$311="",Registro_Compras!$O$311=""),"",IF(Registro_Compras!$F$311="NOTA DE CREDITO","Cuentas por Pagar Comerciales - Terceros (Emitidas)",IF(Registro_Compras!$F$311="RHE","Honorarios Profesionales - Servicios de Terceros","Gastos de Servicios Prestados por Terceros")))</f>
        <v/>
      </c>
      <c r="E2768" s="20" t="str">
        <f>IF($C2768="","",IF(Registro_Compras!$F$311="NOTA DE CREDITO",ABS(Registro_Compras!$O$311),IF(Registro_Compras!$F$311="RHE",ROUND(Registro_Compras!$L$311*Registro_Compras!$N$311,2),ROUND(Registro_Compras!$J$311*Registro_Compras!$N$311,2))))</f>
        <v/>
      </c>
      <c r="F2768" s="20" t="str">
        <f>""</f>
        <v/>
      </c>
      <c r="G2768" t="str">
        <f>IF($C2768="","",IF(Registro_Compras!$F$311="NOTA DE CREDITO","Por la nota de credito "&amp;Registro_Compras!$C$311&amp;" de "&amp;Registro_Compras!$E$311&amp;" [PATRON POR CONFIRMAR CON CONTADOR]",IF(Registro_Compras!$F$311="RHE","Por el registro del recibo por honorarios "&amp;Registro_Compras!$C$311&amp;" de "&amp;Registro_Compras!$E$311&amp;" [PATRON POR CONFIRMAR CON CONTADOR]","Por el registro de la factura "&amp;Registro_Compras!$C$311&amp;" de "&amp;Registro_Compras!$E$311)))</f>
        <v/>
      </c>
      <c r="H2768" t="str">
        <f>IF($C2768="","",Registro_Compras!$C$311)</f>
        <v/>
      </c>
    </row>
    <row r="2769" spans="1:8" x14ac:dyDescent="0.25">
      <c r="A2769" s="25" t="str">
        <f>IF($C2769="","",Registro_Compras!$B$311)</f>
        <v/>
      </c>
      <c r="B2769" t="str">
        <f>IF($C2769="","","C"&amp;TEXT(INT((ROW()-5)/9)+1,"000")&amp;"-1")</f>
        <v/>
      </c>
      <c r="C2769" t="str">
        <f>IF(OR(Registro_Compras!$C$311="",Registro_Compras!$O$311=""),"",IF(Registro_Compras!$F$311="RHE",IF(Registro_Compras!$V$311=0,"","4017"),IF(Registro_Compras!$F$311="NOTA DE CREDITO",IF(Registro_Compras!$M$311="","63",Registro_Compras!$M$311),IF(Registro_Compras!$K$311=0,"","40111"))))</f>
        <v/>
      </c>
      <c r="D2769" t="str">
        <f>IF(OR(Registro_Compras!$C$311="",Registro_Compras!$O$311=""),"",IF(Registro_Compras!$F$311="RHE","Retencion Renta 4ta Categoria por Pagar",IF(Registro_Compras!$F$311="NOTA DE CREDITO","Gastos de Servicios Prestados por Terceros","IGV - Cuenta Propia (Credito Fiscal)")))</f>
        <v/>
      </c>
      <c r="E2769" s="20" t="str">
        <f>IF($C2769="","",IF(Registro_Compras!$F$311="FACTURA",ROUND(Registro_Compras!$K$311*Registro_Compras!$N$311,2),""))</f>
        <v/>
      </c>
      <c r="F2769" s="20" t="str">
        <f>IF($C2769="","",IF(Registro_Compras!$F$311="RHE",ROUND(Registro_Compras!$V$311*Registro_Compras!$N$311,2),IF(Registro_Compras!$F$311="NOTA DE CREDITO",ROUND(ABS(Registro_Compras!$J$311*Registro_Compras!$N$311),2),"")))</f>
        <v/>
      </c>
      <c r="G2769" t="str">
        <f>IF($C2769="","",IF(Registro_Compras!$F$311="NOTA DE CREDITO","Por la nota de credito "&amp;Registro_Compras!$C$311&amp;" de "&amp;Registro_Compras!$E$311&amp;" [PATRON POR CONFIRMAR CON CONTADOR]",IF(Registro_Compras!$F$311="RHE","Por el registro del recibo por honorarios "&amp;Registro_Compras!$C$311&amp;" de "&amp;Registro_Compras!$E$311&amp;" [PATRON POR CONFIRMAR CON CONTADOR]","Por el registro de la factura "&amp;Registro_Compras!$C$311&amp;" de "&amp;Registro_Compras!$E$311)))</f>
        <v/>
      </c>
      <c r="H2769" t="str">
        <f>IF($C2769="","",Registro_Compras!$C$311)</f>
        <v/>
      </c>
    </row>
    <row r="2770" spans="1:8" x14ac:dyDescent="0.25">
      <c r="A2770" s="25" t="str">
        <f>IF($C2770="","",Registro_Compras!$B$311)</f>
        <v/>
      </c>
      <c r="B2770" t="str">
        <f>IF($C2770="","","C"&amp;TEXT(INT((ROW()-5)/9)+1,"000")&amp;"-1")</f>
        <v/>
      </c>
      <c r="C2770" t="str">
        <f>IF(OR(Registro_Compras!$C$311="",Registro_Compras!$O$311=""),"",IF(Registro_Compras!$F$311="NOTA DE CREDITO",IF(Registro_Compras!$K$311=0,"","40111"),"4212"))</f>
        <v/>
      </c>
      <c r="D2770" t="str">
        <f>IF(OR(Registro_Compras!$C$311="",Registro_Compras!$O$311=""),"",IF(Registro_Compras!$F$311="NOTA DE CREDITO","IGV - Cuenta Propia (Credito Fiscal)","Cuentas por Pagar Comerciales - Terceros (Emitidas)"))</f>
        <v/>
      </c>
      <c r="E2770" s="20" t="str">
        <f>""</f>
        <v/>
      </c>
      <c r="F2770" s="20" t="str">
        <f>IF($C2770="","",IF(Registro_Compras!$F$311="NOTA DE CREDITO",ROUND(ABS(Registro_Compras!$K$311*Registro_Compras!$N$311),2),IF(Registro_Compras!$F$311="RHE",(ROUND(Registro_Compras!$L$311*Registro_Compras!$N$311,2)-ROUND(Registro_Compras!$V$311*Registro_Compras!$N$311,2)),Registro_Compras!$O$311)))</f>
        <v/>
      </c>
      <c r="G2770" t="str">
        <f>IF($C2770="","",IF(Registro_Compras!$F$311="NOTA DE CREDITO","Por la nota de credito "&amp;Registro_Compras!$C$311&amp;" de "&amp;Registro_Compras!$E$311&amp;" [PATRON POR CONFIRMAR CON CONTADOR]",IF(Registro_Compras!$F$311="RHE","Por el registro del recibo por honorarios "&amp;Registro_Compras!$C$311&amp;" de "&amp;Registro_Compras!$E$311&amp;" [PATRON POR CONFIRMAR CON CONTADOR]","Por el registro de la factura "&amp;Registro_Compras!$C$311&amp;" de "&amp;Registro_Compras!$E$311)))</f>
        <v/>
      </c>
      <c r="H2770" t="str">
        <f>IF($C2770="","",Registro_Compras!$C$311)</f>
        <v/>
      </c>
    </row>
    <row r="2771" spans="1:8" x14ac:dyDescent="0.25">
      <c r="A2771" s="25" t="str">
        <f>IF($C2771="","",Registro_Compras!$B$311)</f>
        <v/>
      </c>
      <c r="B2771" t="str">
        <f>IF($C2771="","","C"&amp;TEXT(INT((ROW()-5)/9)+1,"000")&amp;"-2")</f>
        <v/>
      </c>
      <c r="C2771" t="str">
        <f>IF(OR(Registro_Compras!$C$311="",Registro_Compras!$O$311=""),"",IF(Registro_Compras!$AB$311="ADMINISTRATIVO","94","95"))</f>
        <v/>
      </c>
      <c r="D2771" t="str">
        <f>IF(OR(Registro_Compras!$C$311="",Registro_Compras!$O$311=""),"",IF(Registro_Compras!$AB$311="ADMINISTRATIVO","Gastos Administrativos","Gastos de Venta y Operacion"))</f>
        <v/>
      </c>
      <c r="E2771" s="20" t="str">
        <f>IF($C2771="","",IF(Registro_Compras!$F$311="NOTA DE CREDITO","",IF(Registro_Compras!$F$311="RHE",ROUND(Registro_Compras!$L$311*Registro_Compras!$N$311,2),ROUND(Registro_Compras!$J$311*Registro_Compras!$N$311,2))))</f>
        <v/>
      </c>
      <c r="F2771" s="20" t="str">
        <f>IF($C2771="","",IF(Registro_Compras!$F$311="NOTA DE CREDITO",ROUND(ABS(Registro_Compras!$J$311*Registro_Compras!$N$311),2),""))</f>
        <v/>
      </c>
      <c r="G2771" t="str">
        <f>IF($C2771="","","Por el destino del gasto")</f>
        <v/>
      </c>
      <c r="H2771" t="str">
        <f>IF($C2771="","",Registro_Compras!$C$311)</f>
        <v/>
      </c>
    </row>
    <row r="2772" spans="1:8" x14ac:dyDescent="0.25">
      <c r="A2772" s="25" t="str">
        <f>IF($C2772="","",Registro_Compras!$B$311)</f>
        <v/>
      </c>
      <c r="B2772" t="str">
        <f>IF($C2772="","","C"&amp;TEXT(INT((ROW()-5)/9)+1,"000")&amp;"-2")</f>
        <v/>
      </c>
      <c r="C2772" t="str">
        <f>IF(OR(Registro_Compras!$C$311="",Registro_Compras!$O$311=""),"","79/791")</f>
        <v/>
      </c>
      <c r="D2772" t="str">
        <f>IF(OR(Registro_Compras!$C$311="",Registro_Compras!$O$311=""),"","Cargas Imputables a Cuentas de Costos y Gastos")</f>
        <v/>
      </c>
      <c r="E2772" s="20" t="str">
        <f>IF($C2772="","",IF(Registro_Compras!$F$311="NOTA DE CREDITO",ROUND(ABS(Registro_Compras!$J$311*Registro_Compras!$N$311),2),""))</f>
        <v/>
      </c>
      <c r="F2772" s="20" t="str">
        <f>IF($C2772="","",IF(Registro_Compras!$F$311="NOTA DE CREDITO","",IF(Registro_Compras!$F$311="RHE",ROUND(Registro_Compras!$L$311*Registro_Compras!$N$311,2),ROUND(Registro_Compras!$J$311*Registro_Compras!$N$311,2))))</f>
        <v/>
      </c>
      <c r="G2772" t="str">
        <f>IF($C2772="","","Por el destino del gasto")</f>
        <v/>
      </c>
      <c r="H2772" t="str">
        <f>IF($C2772="","",Registro_Compras!$C$311)</f>
        <v/>
      </c>
    </row>
    <row r="2773" spans="1:8" x14ac:dyDescent="0.25">
      <c r="A2773" s="25" t="str">
        <f>IF($C2773="","",Registro_Compras!$X$311)</f>
        <v/>
      </c>
      <c r="B2773" t="str">
        <f>IF($C2773="","","C"&amp;TEXT(INT((ROW()-5)/9)+1,"000")&amp;"-3")</f>
        <v/>
      </c>
      <c r="C2773" t="str">
        <f>IF(OR(Registro_Compras!$C$311="",Registro_Compras!$O$311="",Registro_Compras!$R$311&lt;&gt;"SI",Registro_Compras!$X$311=""),"","4212")</f>
        <v/>
      </c>
      <c r="D2773" t="str">
        <f>IF(OR(Registro_Compras!$C$311="",Registro_Compras!$O$311=""),"","Cuentas por Pagar Comerciales - Terceros")</f>
        <v/>
      </c>
      <c r="E2773" s="20" t="str">
        <f>IF($C2773="","",Registro_Compras!$S$311)</f>
        <v/>
      </c>
      <c r="F2773" s="20" t="str">
        <f>""</f>
        <v/>
      </c>
      <c r="G2773" t="str">
        <f>IF($C2773="","","Por el deposito de la detraccion en el Banco de la Nacion")</f>
        <v/>
      </c>
      <c r="H2773" t="str">
        <f>IF($C2773="","",Registro_Compras!$C$311)</f>
        <v/>
      </c>
    </row>
    <row r="2774" spans="1:8" x14ac:dyDescent="0.25">
      <c r="A2774" s="25" t="str">
        <f>IF($C2774="","",Registro_Compras!$X$311)</f>
        <v/>
      </c>
      <c r="B2774" t="str">
        <f>IF($C2774="","","C"&amp;TEXT(INT((ROW()-5)/9)+1,"000")&amp;"-3")</f>
        <v/>
      </c>
      <c r="C2774" t="str">
        <f>IF(OR(Registro_Compras!$C$311="",Registro_Compras!$O$311="",Registro_Compras!$R$311&lt;&gt;"SI",Registro_Compras!$X$311=""),"","1041")</f>
        <v/>
      </c>
      <c r="D2774" t="str">
        <f>IF(OR(Registro_Compras!$C$311="",Registro_Compras!$O$311=""),"","Efectivo y Equivalentes - Cta. Cte. Operativa")</f>
        <v/>
      </c>
      <c r="E2774" s="20" t="str">
        <f>""</f>
        <v/>
      </c>
      <c r="F2774" s="20" t="str">
        <f>IF($C2774="","",Registro_Compras!$S$311)</f>
        <v/>
      </c>
      <c r="G2774" t="str">
        <f>IF($C2774="","","Por el deposito de la detraccion en el Banco de la Nacion")</f>
        <v/>
      </c>
      <c r="H2774" t="str">
        <f>IF($C2774="","",Registro_Compras!$C$311)</f>
        <v/>
      </c>
    </row>
    <row r="2775" spans="1:8" x14ac:dyDescent="0.25">
      <c r="A2775" s="25" t="str">
        <f>IF($C2775="","",Registro_Compras!$Y$311)</f>
        <v/>
      </c>
      <c r="B2775" t="str">
        <f>IF($C2775="","","C"&amp;TEXT(INT((ROW()-5)/9)+1,"000")&amp;"-4")</f>
        <v/>
      </c>
      <c r="C2775" t="str">
        <f>IF(OR(Registro_Compras!$C$311="",Registro_Compras!$O$311="",Registro_Compras!$Y$311="",Registro_Compras!$F$311="NOTA DE CREDITO"),"","4212")</f>
        <v/>
      </c>
      <c r="D2775" t="str">
        <f>IF(OR(Registro_Compras!$C$311="",Registro_Compras!$O$311=""),"","Cuentas por Pagar Comerciales - Terceros")</f>
        <v/>
      </c>
      <c r="E2775" s="20" t="str">
        <f>IF($C2775="","",IF(Registro_Compras!$F$311="RHE",(ROUND(Registro_Compras!$L$311*Registro_Compras!$N$311,2)-ROUND(Registro_Compras!$V$311*Registro_Compras!$N$311,2)),ROUND(Registro_Compras!$O$311-Registro_Compras!$S$311,2)))</f>
        <v/>
      </c>
      <c r="F2775" s="20" t="str">
        <f>""</f>
        <v/>
      </c>
      <c r="G2775" t="str">
        <f>IF($C2775="","","Por la cancelacion del saldo al proveedor")</f>
        <v/>
      </c>
      <c r="H2775" t="str">
        <f>IF($C2775="","",Registro_Compras!$C$311)</f>
        <v/>
      </c>
    </row>
    <row r="2776" spans="1:8" x14ac:dyDescent="0.25">
      <c r="A2776" s="25" t="str">
        <f>IF($C2776="","",Registro_Compras!$Y$311)</f>
        <v/>
      </c>
      <c r="B2776" t="str">
        <f>IF($C2776="","","C"&amp;TEXT(INT((ROW()-5)/9)+1,"000")&amp;"-4")</f>
        <v/>
      </c>
      <c r="C2776" t="str">
        <f>IF(OR(Registro_Compras!$C$311="",Registro_Compras!$O$311="",Registro_Compras!$Y$311="",Registro_Compras!$F$311="NOTA DE CREDITO"),"","1041")</f>
        <v/>
      </c>
      <c r="D2776" t="str">
        <f>IF(OR(Registro_Compras!$C$311="",Registro_Compras!$O$311=""),"","Efectivo y Equivalentes - Cta. Cte. Operativa")</f>
        <v/>
      </c>
      <c r="E2776" s="20" t="str">
        <f>""</f>
        <v/>
      </c>
      <c r="F2776" s="20" t="str">
        <f>IF($C2776="","",IF(Registro_Compras!$F$311="RHE",(ROUND(Registro_Compras!$L$311*Registro_Compras!$N$311,2)-ROUND(Registro_Compras!$V$311*Registro_Compras!$N$311,2)),ROUND(Registro_Compras!$O$311-Registro_Compras!$S$311,2)))</f>
        <v/>
      </c>
      <c r="G2776" t="str">
        <f>IF($C2776="","","Por la cancelacion del saldo al proveedor")</f>
        <v/>
      </c>
      <c r="H2776" t="str">
        <f>IF($C2776="","",Registro_Compras!$C$311)</f>
        <v/>
      </c>
    </row>
    <row r="2777" spans="1:8" x14ac:dyDescent="0.25">
      <c r="A2777" s="25" t="str">
        <f>IF($C2777="","",Registro_Compras!$B$312)</f>
        <v/>
      </c>
      <c r="B2777" t="str">
        <f>IF($C2777="","","C"&amp;TEXT(INT((ROW()-5)/9)+1,"000")&amp;"-1")</f>
        <v/>
      </c>
      <c r="C2777" t="str">
        <f>IF(OR(Registro_Compras!$C$312="",Registro_Compras!$O$312=""),"",IF(Registro_Compras!$F$312="NOTA DE CREDITO","4212",IF(Registro_Compras!$M$312="","63",Registro_Compras!$M$312)))</f>
        <v/>
      </c>
      <c r="D2777" t="str">
        <f>IF(OR(Registro_Compras!$C$312="",Registro_Compras!$O$312=""),"",IF(Registro_Compras!$F$312="NOTA DE CREDITO","Cuentas por Pagar Comerciales - Terceros (Emitidas)",IF(Registro_Compras!$F$312="RHE","Honorarios Profesionales - Servicios de Terceros","Gastos de Servicios Prestados por Terceros")))</f>
        <v/>
      </c>
      <c r="E2777" s="20" t="str">
        <f>IF($C2777="","",IF(Registro_Compras!$F$312="NOTA DE CREDITO",ABS(Registro_Compras!$O$312),IF(Registro_Compras!$F$312="RHE",ROUND(Registro_Compras!$L$312*Registro_Compras!$N$312,2),ROUND(Registro_Compras!$J$312*Registro_Compras!$N$312,2))))</f>
        <v/>
      </c>
      <c r="F2777" s="20" t="str">
        <f>""</f>
        <v/>
      </c>
      <c r="G2777" t="str">
        <f>IF($C2777="","",IF(Registro_Compras!$F$312="NOTA DE CREDITO","Por la nota de credito "&amp;Registro_Compras!$C$312&amp;" de "&amp;Registro_Compras!$E$312&amp;" [PATRON POR CONFIRMAR CON CONTADOR]",IF(Registro_Compras!$F$312="RHE","Por el registro del recibo por honorarios "&amp;Registro_Compras!$C$312&amp;" de "&amp;Registro_Compras!$E$312&amp;" [PATRON POR CONFIRMAR CON CONTADOR]","Por el registro de la factura "&amp;Registro_Compras!$C$312&amp;" de "&amp;Registro_Compras!$E$312)))</f>
        <v/>
      </c>
      <c r="H2777" t="str">
        <f>IF($C2777="","",Registro_Compras!$C$312)</f>
        <v/>
      </c>
    </row>
    <row r="2778" spans="1:8" x14ac:dyDescent="0.25">
      <c r="A2778" s="25" t="str">
        <f>IF($C2778="","",Registro_Compras!$B$312)</f>
        <v/>
      </c>
      <c r="B2778" t="str">
        <f>IF($C2778="","","C"&amp;TEXT(INT((ROW()-5)/9)+1,"000")&amp;"-1")</f>
        <v/>
      </c>
      <c r="C2778" t="str">
        <f>IF(OR(Registro_Compras!$C$312="",Registro_Compras!$O$312=""),"",IF(Registro_Compras!$F$312="RHE",IF(Registro_Compras!$V$312=0,"","4017"),IF(Registro_Compras!$F$312="NOTA DE CREDITO",IF(Registro_Compras!$M$312="","63",Registro_Compras!$M$312),IF(Registro_Compras!$K$312=0,"","40111"))))</f>
        <v/>
      </c>
      <c r="D2778" t="str">
        <f>IF(OR(Registro_Compras!$C$312="",Registro_Compras!$O$312=""),"",IF(Registro_Compras!$F$312="RHE","Retencion Renta 4ta Categoria por Pagar",IF(Registro_Compras!$F$312="NOTA DE CREDITO","Gastos de Servicios Prestados por Terceros","IGV - Cuenta Propia (Credito Fiscal)")))</f>
        <v/>
      </c>
      <c r="E2778" s="20" t="str">
        <f>IF($C2778="","",IF(Registro_Compras!$F$312="FACTURA",ROUND(Registro_Compras!$K$312*Registro_Compras!$N$312,2),""))</f>
        <v/>
      </c>
      <c r="F2778" s="20" t="str">
        <f>IF($C2778="","",IF(Registro_Compras!$F$312="RHE",ROUND(Registro_Compras!$V$312*Registro_Compras!$N$312,2),IF(Registro_Compras!$F$312="NOTA DE CREDITO",ROUND(ABS(Registro_Compras!$J$312*Registro_Compras!$N$312),2),"")))</f>
        <v/>
      </c>
      <c r="G2778" t="str">
        <f>IF($C2778="","",IF(Registro_Compras!$F$312="NOTA DE CREDITO","Por la nota de credito "&amp;Registro_Compras!$C$312&amp;" de "&amp;Registro_Compras!$E$312&amp;" [PATRON POR CONFIRMAR CON CONTADOR]",IF(Registro_Compras!$F$312="RHE","Por el registro del recibo por honorarios "&amp;Registro_Compras!$C$312&amp;" de "&amp;Registro_Compras!$E$312&amp;" [PATRON POR CONFIRMAR CON CONTADOR]","Por el registro de la factura "&amp;Registro_Compras!$C$312&amp;" de "&amp;Registro_Compras!$E$312)))</f>
        <v/>
      </c>
      <c r="H2778" t="str">
        <f>IF($C2778="","",Registro_Compras!$C$312)</f>
        <v/>
      </c>
    </row>
    <row r="2779" spans="1:8" x14ac:dyDescent="0.25">
      <c r="A2779" s="25" t="str">
        <f>IF($C2779="","",Registro_Compras!$B$312)</f>
        <v/>
      </c>
      <c r="B2779" t="str">
        <f>IF($C2779="","","C"&amp;TEXT(INT((ROW()-5)/9)+1,"000")&amp;"-1")</f>
        <v/>
      </c>
      <c r="C2779" t="str">
        <f>IF(OR(Registro_Compras!$C$312="",Registro_Compras!$O$312=""),"",IF(Registro_Compras!$F$312="NOTA DE CREDITO",IF(Registro_Compras!$K$312=0,"","40111"),"4212"))</f>
        <v/>
      </c>
      <c r="D2779" t="str">
        <f>IF(OR(Registro_Compras!$C$312="",Registro_Compras!$O$312=""),"",IF(Registro_Compras!$F$312="NOTA DE CREDITO","IGV - Cuenta Propia (Credito Fiscal)","Cuentas por Pagar Comerciales - Terceros (Emitidas)"))</f>
        <v/>
      </c>
      <c r="E2779" s="20" t="str">
        <f>""</f>
        <v/>
      </c>
      <c r="F2779" s="20" t="str">
        <f>IF($C2779="","",IF(Registro_Compras!$F$312="NOTA DE CREDITO",ROUND(ABS(Registro_Compras!$K$312*Registro_Compras!$N$312),2),IF(Registro_Compras!$F$312="RHE",(ROUND(Registro_Compras!$L$312*Registro_Compras!$N$312,2)-ROUND(Registro_Compras!$V$312*Registro_Compras!$N$312,2)),Registro_Compras!$O$312)))</f>
        <v/>
      </c>
      <c r="G2779" t="str">
        <f>IF($C2779="","",IF(Registro_Compras!$F$312="NOTA DE CREDITO","Por la nota de credito "&amp;Registro_Compras!$C$312&amp;" de "&amp;Registro_Compras!$E$312&amp;" [PATRON POR CONFIRMAR CON CONTADOR]",IF(Registro_Compras!$F$312="RHE","Por el registro del recibo por honorarios "&amp;Registro_Compras!$C$312&amp;" de "&amp;Registro_Compras!$E$312&amp;" [PATRON POR CONFIRMAR CON CONTADOR]","Por el registro de la factura "&amp;Registro_Compras!$C$312&amp;" de "&amp;Registro_Compras!$E$312)))</f>
        <v/>
      </c>
      <c r="H2779" t="str">
        <f>IF($C2779="","",Registro_Compras!$C$312)</f>
        <v/>
      </c>
    </row>
    <row r="2780" spans="1:8" x14ac:dyDescent="0.25">
      <c r="A2780" s="25" t="str">
        <f>IF($C2780="","",Registro_Compras!$B$312)</f>
        <v/>
      </c>
      <c r="B2780" t="str">
        <f>IF($C2780="","","C"&amp;TEXT(INT((ROW()-5)/9)+1,"000")&amp;"-2")</f>
        <v/>
      </c>
      <c r="C2780" t="str">
        <f>IF(OR(Registro_Compras!$C$312="",Registro_Compras!$O$312=""),"",IF(Registro_Compras!$AB$312="ADMINISTRATIVO","94","95"))</f>
        <v/>
      </c>
      <c r="D2780" t="str">
        <f>IF(OR(Registro_Compras!$C$312="",Registro_Compras!$O$312=""),"",IF(Registro_Compras!$AB$312="ADMINISTRATIVO","Gastos Administrativos","Gastos de Venta y Operacion"))</f>
        <v/>
      </c>
      <c r="E2780" s="20" t="str">
        <f>IF($C2780="","",IF(Registro_Compras!$F$312="NOTA DE CREDITO","",IF(Registro_Compras!$F$312="RHE",ROUND(Registro_Compras!$L$312*Registro_Compras!$N$312,2),ROUND(Registro_Compras!$J$312*Registro_Compras!$N$312,2))))</f>
        <v/>
      </c>
      <c r="F2780" s="20" t="str">
        <f>IF($C2780="","",IF(Registro_Compras!$F$312="NOTA DE CREDITO",ROUND(ABS(Registro_Compras!$J$312*Registro_Compras!$N$312),2),""))</f>
        <v/>
      </c>
      <c r="G2780" t="str">
        <f>IF($C2780="","","Por el destino del gasto")</f>
        <v/>
      </c>
      <c r="H2780" t="str">
        <f>IF($C2780="","",Registro_Compras!$C$312)</f>
        <v/>
      </c>
    </row>
    <row r="2781" spans="1:8" x14ac:dyDescent="0.25">
      <c r="A2781" s="25" t="str">
        <f>IF($C2781="","",Registro_Compras!$B$312)</f>
        <v/>
      </c>
      <c r="B2781" t="str">
        <f>IF($C2781="","","C"&amp;TEXT(INT((ROW()-5)/9)+1,"000")&amp;"-2")</f>
        <v/>
      </c>
      <c r="C2781" t="str">
        <f>IF(OR(Registro_Compras!$C$312="",Registro_Compras!$O$312=""),"","79/791")</f>
        <v/>
      </c>
      <c r="D2781" t="str">
        <f>IF(OR(Registro_Compras!$C$312="",Registro_Compras!$O$312=""),"","Cargas Imputables a Cuentas de Costos y Gastos")</f>
        <v/>
      </c>
      <c r="E2781" s="20" t="str">
        <f>IF($C2781="","",IF(Registro_Compras!$F$312="NOTA DE CREDITO",ROUND(ABS(Registro_Compras!$J$312*Registro_Compras!$N$312),2),""))</f>
        <v/>
      </c>
      <c r="F2781" s="20" t="str">
        <f>IF($C2781="","",IF(Registro_Compras!$F$312="NOTA DE CREDITO","",IF(Registro_Compras!$F$312="RHE",ROUND(Registro_Compras!$L$312*Registro_Compras!$N$312,2),ROUND(Registro_Compras!$J$312*Registro_Compras!$N$312,2))))</f>
        <v/>
      </c>
      <c r="G2781" t="str">
        <f>IF($C2781="","","Por el destino del gasto")</f>
        <v/>
      </c>
      <c r="H2781" t="str">
        <f>IF($C2781="","",Registro_Compras!$C$312)</f>
        <v/>
      </c>
    </row>
    <row r="2782" spans="1:8" x14ac:dyDescent="0.25">
      <c r="A2782" s="25" t="str">
        <f>IF($C2782="","",Registro_Compras!$X$312)</f>
        <v/>
      </c>
      <c r="B2782" t="str">
        <f>IF($C2782="","","C"&amp;TEXT(INT((ROW()-5)/9)+1,"000")&amp;"-3")</f>
        <v/>
      </c>
      <c r="C2782" t="str">
        <f>IF(OR(Registro_Compras!$C$312="",Registro_Compras!$O$312="",Registro_Compras!$R$312&lt;&gt;"SI",Registro_Compras!$X$312=""),"","4212")</f>
        <v/>
      </c>
      <c r="D2782" t="str">
        <f>IF(OR(Registro_Compras!$C$312="",Registro_Compras!$O$312=""),"","Cuentas por Pagar Comerciales - Terceros")</f>
        <v/>
      </c>
      <c r="E2782" s="20" t="str">
        <f>IF($C2782="","",Registro_Compras!$S$312)</f>
        <v/>
      </c>
      <c r="F2782" s="20" t="str">
        <f>""</f>
        <v/>
      </c>
      <c r="G2782" t="str">
        <f>IF($C2782="","","Por el deposito de la detraccion en el Banco de la Nacion")</f>
        <v/>
      </c>
      <c r="H2782" t="str">
        <f>IF($C2782="","",Registro_Compras!$C$312)</f>
        <v/>
      </c>
    </row>
    <row r="2783" spans="1:8" x14ac:dyDescent="0.25">
      <c r="A2783" s="25" t="str">
        <f>IF($C2783="","",Registro_Compras!$X$312)</f>
        <v/>
      </c>
      <c r="B2783" t="str">
        <f>IF($C2783="","","C"&amp;TEXT(INT((ROW()-5)/9)+1,"000")&amp;"-3")</f>
        <v/>
      </c>
      <c r="C2783" t="str">
        <f>IF(OR(Registro_Compras!$C$312="",Registro_Compras!$O$312="",Registro_Compras!$R$312&lt;&gt;"SI",Registro_Compras!$X$312=""),"","1041")</f>
        <v/>
      </c>
      <c r="D2783" t="str">
        <f>IF(OR(Registro_Compras!$C$312="",Registro_Compras!$O$312=""),"","Efectivo y Equivalentes - Cta. Cte. Operativa")</f>
        <v/>
      </c>
      <c r="E2783" s="20" t="str">
        <f>""</f>
        <v/>
      </c>
      <c r="F2783" s="20" t="str">
        <f>IF($C2783="","",Registro_Compras!$S$312)</f>
        <v/>
      </c>
      <c r="G2783" t="str">
        <f>IF($C2783="","","Por el deposito de la detraccion en el Banco de la Nacion")</f>
        <v/>
      </c>
      <c r="H2783" t="str">
        <f>IF($C2783="","",Registro_Compras!$C$312)</f>
        <v/>
      </c>
    </row>
    <row r="2784" spans="1:8" x14ac:dyDescent="0.25">
      <c r="A2784" s="25" t="str">
        <f>IF($C2784="","",Registro_Compras!$Y$312)</f>
        <v/>
      </c>
      <c r="B2784" t="str">
        <f>IF($C2784="","","C"&amp;TEXT(INT((ROW()-5)/9)+1,"000")&amp;"-4")</f>
        <v/>
      </c>
      <c r="C2784" t="str">
        <f>IF(OR(Registro_Compras!$C$312="",Registro_Compras!$O$312="",Registro_Compras!$Y$312="",Registro_Compras!$F$312="NOTA DE CREDITO"),"","4212")</f>
        <v/>
      </c>
      <c r="D2784" t="str">
        <f>IF(OR(Registro_Compras!$C$312="",Registro_Compras!$O$312=""),"","Cuentas por Pagar Comerciales - Terceros")</f>
        <v/>
      </c>
      <c r="E2784" s="20" t="str">
        <f>IF($C2784="","",IF(Registro_Compras!$F$312="RHE",(ROUND(Registro_Compras!$L$312*Registro_Compras!$N$312,2)-ROUND(Registro_Compras!$V$312*Registro_Compras!$N$312,2)),ROUND(Registro_Compras!$O$312-Registro_Compras!$S$312,2)))</f>
        <v/>
      </c>
      <c r="F2784" s="20" t="str">
        <f>""</f>
        <v/>
      </c>
      <c r="G2784" t="str">
        <f>IF($C2784="","","Por la cancelacion del saldo al proveedor")</f>
        <v/>
      </c>
      <c r="H2784" t="str">
        <f>IF($C2784="","",Registro_Compras!$C$312)</f>
        <v/>
      </c>
    </row>
    <row r="2785" spans="1:8" x14ac:dyDescent="0.25">
      <c r="A2785" s="25" t="str">
        <f>IF($C2785="","",Registro_Compras!$Y$312)</f>
        <v/>
      </c>
      <c r="B2785" t="str">
        <f>IF($C2785="","","C"&amp;TEXT(INT((ROW()-5)/9)+1,"000")&amp;"-4")</f>
        <v/>
      </c>
      <c r="C2785" t="str">
        <f>IF(OR(Registro_Compras!$C$312="",Registro_Compras!$O$312="",Registro_Compras!$Y$312="",Registro_Compras!$F$312="NOTA DE CREDITO"),"","1041")</f>
        <v/>
      </c>
      <c r="D2785" t="str">
        <f>IF(OR(Registro_Compras!$C$312="",Registro_Compras!$O$312=""),"","Efectivo y Equivalentes - Cta. Cte. Operativa")</f>
        <v/>
      </c>
      <c r="E2785" s="20" t="str">
        <f>""</f>
        <v/>
      </c>
      <c r="F2785" s="20" t="str">
        <f>IF($C2785="","",IF(Registro_Compras!$F$312="RHE",(ROUND(Registro_Compras!$L$312*Registro_Compras!$N$312,2)-ROUND(Registro_Compras!$V$312*Registro_Compras!$N$312,2)),ROUND(Registro_Compras!$O$312-Registro_Compras!$S$312,2)))</f>
        <v/>
      </c>
      <c r="G2785" t="str">
        <f>IF($C2785="","","Por la cancelacion del saldo al proveedor")</f>
        <v/>
      </c>
      <c r="H2785" t="str">
        <f>IF($C2785="","",Registro_Compras!$C$312)</f>
        <v/>
      </c>
    </row>
    <row r="2786" spans="1:8" x14ac:dyDescent="0.25">
      <c r="A2786" s="25" t="str">
        <f>IF($C2786="","",Registro_Compras!$B$313)</f>
        <v/>
      </c>
      <c r="B2786" t="str">
        <f>IF($C2786="","","C"&amp;TEXT(INT((ROW()-5)/9)+1,"000")&amp;"-1")</f>
        <v/>
      </c>
      <c r="C2786" t="str">
        <f>IF(OR(Registro_Compras!$C$313="",Registro_Compras!$O$313=""),"",IF(Registro_Compras!$F$313="NOTA DE CREDITO","4212",IF(Registro_Compras!$M$313="","63",Registro_Compras!$M$313)))</f>
        <v/>
      </c>
      <c r="D2786" t="str">
        <f>IF(OR(Registro_Compras!$C$313="",Registro_Compras!$O$313=""),"",IF(Registro_Compras!$F$313="NOTA DE CREDITO","Cuentas por Pagar Comerciales - Terceros (Emitidas)",IF(Registro_Compras!$F$313="RHE","Honorarios Profesionales - Servicios de Terceros","Gastos de Servicios Prestados por Terceros")))</f>
        <v/>
      </c>
      <c r="E2786" s="20" t="str">
        <f>IF($C2786="","",IF(Registro_Compras!$F$313="NOTA DE CREDITO",ABS(Registro_Compras!$O$313),IF(Registro_Compras!$F$313="RHE",ROUND(Registro_Compras!$L$313*Registro_Compras!$N$313,2),ROUND(Registro_Compras!$J$313*Registro_Compras!$N$313,2))))</f>
        <v/>
      </c>
      <c r="F2786" s="20" t="str">
        <f>""</f>
        <v/>
      </c>
      <c r="G2786" t="str">
        <f>IF($C2786="","",IF(Registro_Compras!$F$313="NOTA DE CREDITO","Por la nota de credito "&amp;Registro_Compras!$C$313&amp;" de "&amp;Registro_Compras!$E$313&amp;" [PATRON POR CONFIRMAR CON CONTADOR]",IF(Registro_Compras!$F$313="RHE","Por el registro del recibo por honorarios "&amp;Registro_Compras!$C$313&amp;" de "&amp;Registro_Compras!$E$313&amp;" [PATRON POR CONFIRMAR CON CONTADOR]","Por el registro de la factura "&amp;Registro_Compras!$C$313&amp;" de "&amp;Registro_Compras!$E$313)))</f>
        <v/>
      </c>
      <c r="H2786" t="str">
        <f>IF($C2786="","",Registro_Compras!$C$313)</f>
        <v/>
      </c>
    </row>
    <row r="2787" spans="1:8" x14ac:dyDescent="0.25">
      <c r="A2787" s="25" t="str">
        <f>IF($C2787="","",Registro_Compras!$B$313)</f>
        <v/>
      </c>
      <c r="B2787" t="str">
        <f>IF($C2787="","","C"&amp;TEXT(INT((ROW()-5)/9)+1,"000")&amp;"-1")</f>
        <v/>
      </c>
      <c r="C2787" t="str">
        <f>IF(OR(Registro_Compras!$C$313="",Registro_Compras!$O$313=""),"",IF(Registro_Compras!$F$313="RHE",IF(Registro_Compras!$V$313=0,"","4017"),IF(Registro_Compras!$F$313="NOTA DE CREDITO",IF(Registro_Compras!$M$313="","63",Registro_Compras!$M$313),IF(Registro_Compras!$K$313=0,"","40111"))))</f>
        <v/>
      </c>
      <c r="D2787" t="str">
        <f>IF(OR(Registro_Compras!$C$313="",Registro_Compras!$O$313=""),"",IF(Registro_Compras!$F$313="RHE","Retencion Renta 4ta Categoria por Pagar",IF(Registro_Compras!$F$313="NOTA DE CREDITO","Gastos de Servicios Prestados por Terceros","IGV - Cuenta Propia (Credito Fiscal)")))</f>
        <v/>
      </c>
      <c r="E2787" s="20" t="str">
        <f>IF($C2787="","",IF(Registro_Compras!$F$313="FACTURA",ROUND(Registro_Compras!$K$313*Registro_Compras!$N$313,2),""))</f>
        <v/>
      </c>
      <c r="F2787" s="20" t="str">
        <f>IF($C2787="","",IF(Registro_Compras!$F$313="RHE",ROUND(Registro_Compras!$V$313*Registro_Compras!$N$313,2),IF(Registro_Compras!$F$313="NOTA DE CREDITO",ROUND(ABS(Registro_Compras!$J$313*Registro_Compras!$N$313),2),"")))</f>
        <v/>
      </c>
      <c r="G2787" t="str">
        <f>IF($C2787="","",IF(Registro_Compras!$F$313="NOTA DE CREDITO","Por la nota de credito "&amp;Registro_Compras!$C$313&amp;" de "&amp;Registro_Compras!$E$313&amp;" [PATRON POR CONFIRMAR CON CONTADOR]",IF(Registro_Compras!$F$313="RHE","Por el registro del recibo por honorarios "&amp;Registro_Compras!$C$313&amp;" de "&amp;Registro_Compras!$E$313&amp;" [PATRON POR CONFIRMAR CON CONTADOR]","Por el registro de la factura "&amp;Registro_Compras!$C$313&amp;" de "&amp;Registro_Compras!$E$313)))</f>
        <v/>
      </c>
      <c r="H2787" t="str">
        <f>IF($C2787="","",Registro_Compras!$C$313)</f>
        <v/>
      </c>
    </row>
    <row r="2788" spans="1:8" x14ac:dyDescent="0.25">
      <c r="A2788" s="25" t="str">
        <f>IF($C2788="","",Registro_Compras!$B$313)</f>
        <v/>
      </c>
      <c r="B2788" t="str">
        <f>IF($C2788="","","C"&amp;TEXT(INT((ROW()-5)/9)+1,"000")&amp;"-1")</f>
        <v/>
      </c>
      <c r="C2788" t="str">
        <f>IF(OR(Registro_Compras!$C$313="",Registro_Compras!$O$313=""),"",IF(Registro_Compras!$F$313="NOTA DE CREDITO",IF(Registro_Compras!$K$313=0,"","40111"),"4212"))</f>
        <v/>
      </c>
      <c r="D2788" t="str">
        <f>IF(OR(Registro_Compras!$C$313="",Registro_Compras!$O$313=""),"",IF(Registro_Compras!$F$313="NOTA DE CREDITO","IGV - Cuenta Propia (Credito Fiscal)","Cuentas por Pagar Comerciales - Terceros (Emitidas)"))</f>
        <v/>
      </c>
      <c r="E2788" s="20" t="str">
        <f>""</f>
        <v/>
      </c>
      <c r="F2788" s="20" t="str">
        <f>IF($C2788="","",IF(Registro_Compras!$F$313="NOTA DE CREDITO",ROUND(ABS(Registro_Compras!$K$313*Registro_Compras!$N$313),2),IF(Registro_Compras!$F$313="RHE",(ROUND(Registro_Compras!$L$313*Registro_Compras!$N$313,2)-ROUND(Registro_Compras!$V$313*Registro_Compras!$N$313,2)),Registro_Compras!$O$313)))</f>
        <v/>
      </c>
      <c r="G2788" t="str">
        <f>IF($C2788="","",IF(Registro_Compras!$F$313="NOTA DE CREDITO","Por la nota de credito "&amp;Registro_Compras!$C$313&amp;" de "&amp;Registro_Compras!$E$313&amp;" [PATRON POR CONFIRMAR CON CONTADOR]",IF(Registro_Compras!$F$313="RHE","Por el registro del recibo por honorarios "&amp;Registro_Compras!$C$313&amp;" de "&amp;Registro_Compras!$E$313&amp;" [PATRON POR CONFIRMAR CON CONTADOR]","Por el registro de la factura "&amp;Registro_Compras!$C$313&amp;" de "&amp;Registro_Compras!$E$313)))</f>
        <v/>
      </c>
      <c r="H2788" t="str">
        <f>IF($C2788="","",Registro_Compras!$C$313)</f>
        <v/>
      </c>
    </row>
    <row r="2789" spans="1:8" x14ac:dyDescent="0.25">
      <c r="A2789" s="25" t="str">
        <f>IF($C2789="","",Registro_Compras!$B$313)</f>
        <v/>
      </c>
      <c r="B2789" t="str">
        <f>IF($C2789="","","C"&amp;TEXT(INT((ROW()-5)/9)+1,"000")&amp;"-2")</f>
        <v/>
      </c>
      <c r="C2789" t="str">
        <f>IF(OR(Registro_Compras!$C$313="",Registro_Compras!$O$313=""),"",IF(Registro_Compras!$AB$313="ADMINISTRATIVO","94","95"))</f>
        <v/>
      </c>
      <c r="D2789" t="str">
        <f>IF(OR(Registro_Compras!$C$313="",Registro_Compras!$O$313=""),"",IF(Registro_Compras!$AB$313="ADMINISTRATIVO","Gastos Administrativos","Gastos de Venta y Operacion"))</f>
        <v/>
      </c>
      <c r="E2789" s="20" t="str">
        <f>IF($C2789="","",IF(Registro_Compras!$F$313="NOTA DE CREDITO","",IF(Registro_Compras!$F$313="RHE",ROUND(Registro_Compras!$L$313*Registro_Compras!$N$313,2),ROUND(Registro_Compras!$J$313*Registro_Compras!$N$313,2))))</f>
        <v/>
      </c>
      <c r="F2789" s="20" t="str">
        <f>IF($C2789="","",IF(Registro_Compras!$F$313="NOTA DE CREDITO",ROUND(ABS(Registro_Compras!$J$313*Registro_Compras!$N$313),2),""))</f>
        <v/>
      </c>
      <c r="G2789" t="str">
        <f>IF($C2789="","","Por el destino del gasto")</f>
        <v/>
      </c>
      <c r="H2789" t="str">
        <f>IF($C2789="","",Registro_Compras!$C$313)</f>
        <v/>
      </c>
    </row>
    <row r="2790" spans="1:8" x14ac:dyDescent="0.25">
      <c r="A2790" s="25" t="str">
        <f>IF($C2790="","",Registro_Compras!$B$313)</f>
        <v/>
      </c>
      <c r="B2790" t="str">
        <f>IF($C2790="","","C"&amp;TEXT(INT((ROW()-5)/9)+1,"000")&amp;"-2")</f>
        <v/>
      </c>
      <c r="C2790" t="str">
        <f>IF(OR(Registro_Compras!$C$313="",Registro_Compras!$O$313=""),"","79/791")</f>
        <v/>
      </c>
      <c r="D2790" t="str">
        <f>IF(OR(Registro_Compras!$C$313="",Registro_Compras!$O$313=""),"","Cargas Imputables a Cuentas de Costos y Gastos")</f>
        <v/>
      </c>
      <c r="E2790" s="20" t="str">
        <f>IF($C2790="","",IF(Registro_Compras!$F$313="NOTA DE CREDITO",ROUND(ABS(Registro_Compras!$J$313*Registro_Compras!$N$313),2),""))</f>
        <v/>
      </c>
      <c r="F2790" s="20" t="str">
        <f>IF($C2790="","",IF(Registro_Compras!$F$313="NOTA DE CREDITO","",IF(Registro_Compras!$F$313="RHE",ROUND(Registro_Compras!$L$313*Registro_Compras!$N$313,2),ROUND(Registro_Compras!$J$313*Registro_Compras!$N$313,2))))</f>
        <v/>
      </c>
      <c r="G2790" t="str">
        <f>IF($C2790="","","Por el destino del gasto")</f>
        <v/>
      </c>
      <c r="H2790" t="str">
        <f>IF($C2790="","",Registro_Compras!$C$313)</f>
        <v/>
      </c>
    </row>
    <row r="2791" spans="1:8" x14ac:dyDescent="0.25">
      <c r="A2791" s="25" t="str">
        <f>IF($C2791="","",Registro_Compras!$X$313)</f>
        <v/>
      </c>
      <c r="B2791" t="str">
        <f>IF($C2791="","","C"&amp;TEXT(INT((ROW()-5)/9)+1,"000")&amp;"-3")</f>
        <v/>
      </c>
      <c r="C2791" t="str">
        <f>IF(OR(Registro_Compras!$C$313="",Registro_Compras!$O$313="",Registro_Compras!$R$313&lt;&gt;"SI",Registro_Compras!$X$313=""),"","4212")</f>
        <v/>
      </c>
      <c r="D2791" t="str">
        <f>IF(OR(Registro_Compras!$C$313="",Registro_Compras!$O$313=""),"","Cuentas por Pagar Comerciales - Terceros")</f>
        <v/>
      </c>
      <c r="E2791" s="20" t="str">
        <f>IF($C2791="","",Registro_Compras!$S$313)</f>
        <v/>
      </c>
      <c r="F2791" s="20" t="str">
        <f>""</f>
        <v/>
      </c>
      <c r="G2791" t="str">
        <f>IF($C2791="","","Por el deposito de la detraccion en el Banco de la Nacion")</f>
        <v/>
      </c>
      <c r="H2791" t="str">
        <f>IF($C2791="","",Registro_Compras!$C$313)</f>
        <v/>
      </c>
    </row>
    <row r="2792" spans="1:8" x14ac:dyDescent="0.25">
      <c r="A2792" s="25" t="str">
        <f>IF($C2792="","",Registro_Compras!$X$313)</f>
        <v/>
      </c>
      <c r="B2792" t="str">
        <f>IF($C2792="","","C"&amp;TEXT(INT((ROW()-5)/9)+1,"000")&amp;"-3")</f>
        <v/>
      </c>
      <c r="C2792" t="str">
        <f>IF(OR(Registro_Compras!$C$313="",Registro_Compras!$O$313="",Registro_Compras!$R$313&lt;&gt;"SI",Registro_Compras!$X$313=""),"","1041")</f>
        <v/>
      </c>
      <c r="D2792" t="str">
        <f>IF(OR(Registro_Compras!$C$313="",Registro_Compras!$O$313=""),"","Efectivo y Equivalentes - Cta. Cte. Operativa")</f>
        <v/>
      </c>
      <c r="E2792" s="20" t="str">
        <f>""</f>
        <v/>
      </c>
      <c r="F2792" s="20" t="str">
        <f>IF($C2792="","",Registro_Compras!$S$313)</f>
        <v/>
      </c>
      <c r="G2792" t="str">
        <f>IF($C2792="","","Por el deposito de la detraccion en el Banco de la Nacion")</f>
        <v/>
      </c>
      <c r="H2792" t="str">
        <f>IF($C2792="","",Registro_Compras!$C$313)</f>
        <v/>
      </c>
    </row>
    <row r="2793" spans="1:8" x14ac:dyDescent="0.25">
      <c r="A2793" s="25" t="str">
        <f>IF($C2793="","",Registro_Compras!$Y$313)</f>
        <v/>
      </c>
      <c r="B2793" t="str">
        <f>IF($C2793="","","C"&amp;TEXT(INT((ROW()-5)/9)+1,"000")&amp;"-4")</f>
        <v/>
      </c>
      <c r="C2793" t="str">
        <f>IF(OR(Registro_Compras!$C$313="",Registro_Compras!$O$313="",Registro_Compras!$Y$313="",Registro_Compras!$F$313="NOTA DE CREDITO"),"","4212")</f>
        <v/>
      </c>
      <c r="D2793" t="str">
        <f>IF(OR(Registro_Compras!$C$313="",Registro_Compras!$O$313=""),"","Cuentas por Pagar Comerciales - Terceros")</f>
        <v/>
      </c>
      <c r="E2793" s="20" t="str">
        <f>IF($C2793="","",IF(Registro_Compras!$F$313="RHE",(ROUND(Registro_Compras!$L$313*Registro_Compras!$N$313,2)-ROUND(Registro_Compras!$V$313*Registro_Compras!$N$313,2)),ROUND(Registro_Compras!$O$313-Registro_Compras!$S$313,2)))</f>
        <v/>
      </c>
      <c r="F2793" s="20" t="str">
        <f>""</f>
        <v/>
      </c>
      <c r="G2793" t="str">
        <f>IF($C2793="","","Por la cancelacion del saldo al proveedor")</f>
        <v/>
      </c>
      <c r="H2793" t="str">
        <f>IF($C2793="","",Registro_Compras!$C$313)</f>
        <v/>
      </c>
    </row>
    <row r="2794" spans="1:8" x14ac:dyDescent="0.25">
      <c r="A2794" s="25" t="str">
        <f>IF($C2794="","",Registro_Compras!$Y$313)</f>
        <v/>
      </c>
      <c r="B2794" t="str">
        <f>IF($C2794="","","C"&amp;TEXT(INT((ROW()-5)/9)+1,"000")&amp;"-4")</f>
        <v/>
      </c>
      <c r="C2794" t="str">
        <f>IF(OR(Registro_Compras!$C$313="",Registro_Compras!$O$313="",Registro_Compras!$Y$313="",Registro_Compras!$F$313="NOTA DE CREDITO"),"","1041")</f>
        <v/>
      </c>
      <c r="D2794" t="str">
        <f>IF(OR(Registro_Compras!$C$313="",Registro_Compras!$O$313=""),"","Efectivo y Equivalentes - Cta. Cte. Operativa")</f>
        <v/>
      </c>
      <c r="E2794" s="20" t="str">
        <f>""</f>
        <v/>
      </c>
      <c r="F2794" s="20" t="str">
        <f>IF($C2794="","",IF(Registro_Compras!$F$313="RHE",(ROUND(Registro_Compras!$L$313*Registro_Compras!$N$313,2)-ROUND(Registro_Compras!$V$313*Registro_Compras!$N$313,2)),ROUND(Registro_Compras!$O$313-Registro_Compras!$S$313,2)))</f>
        <v/>
      </c>
      <c r="G2794" t="str">
        <f>IF($C2794="","","Por la cancelacion del saldo al proveedor")</f>
        <v/>
      </c>
      <c r="H2794" t="str">
        <f>IF($C2794="","",Registro_Compras!$C$313)</f>
        <v/>
      </c>
    </row>
    <row r="2795" spans="1:8" x14ac:dyDescent="0.25">
      <c r="A2795" s="25" t="str">
        <f>IF($C2795="","",Registro_Compras!$B$314)</f>
        <v/>
      </c>
      <c r="B2795" t="str">
        <f>IF($C2795="","","C"&amp;TEXT(INT((ROW()-5)/9)+1,"000")&amp;"-1")</f>
        <v/>
      </c>
      <c r="C2795" t="str">
        <f>IF(OR(Registro_Compras!$C$314="",Registro_Compras!$O$314=""),"",IF(Registro_Compras!$F$314="NOTA DE CREDITO","4212",IF(Registro_Compras!$M$314="","63",Registro_Compras!$M$314)))</f>
        <v/>
      </c>
      <c r="D2795" t="str">
        <f>IF(OR(Registro_Compras!$C$314="",Registro_Compras!$O$314=""),"",IF(Registro_Compras!$F$314="NOTA DE CREDITO","Cuentas por Pagar Comerciales - Terceros (Emitidas)",IF(Registro_Compras!$F$314="RHE","Honorarios Profesionales - Servicios de Terceros","Gastos de Servicios Prestados por Terceros")))</f>
        <v/>
      </c>
      <c r="E2795" s="20" t="str">
        <f>IF($C2795="","",IF(Registro_Compras!$F$314="NOTA DE CREDITO",ABS(Registro_Compras!$O$314),IF(Registro_Compras!$F$314="RHE",ROUND(Registro_Compras!$L$314*Registro_Compras!$N$314,2),ROUND(Registro_Compras!$J$314*Registro_Compras!$N$314,2))))</f>
        <v/>
      </c>
      <c r="F2795" s="20" t="str">
        <f>""</f>
        <v/>
      </c>
      <c r="G2795" t="str">
        <f>IF($C2795="","",IF(Registro_Compras!$F$314="NOTA DE CREDITO","Por la nota de credito "&amp;Registro_Compras!$C$314&amp;" de "&amp;Registro_Compras!$E$314&amp;" [PATRON POR CONFIRMAR CON CONTADOR]",IF(Registro_Compras!$F$314="RHE","Por el registro del recibo por honorarios "&amp;Registro_Compras!$C$314&amp;" de "&amp;Registro_Compras!$E$314&amp;" [PATRON POR CONFIRMAR CON CONTADOR]","Por el registro de la factura "&amp;Registro_Compras!$C$314&amp;" de "&amp;Registro_Compras!$E$314)))</f>
        <v/>
      </c>
      <c r="H2795" t="str">
        <f>IF($C2795="","",Registro_Compras!$C$314)</f>
        <v/>
      </c>
    </row>
    <row r="2796" spans="1:8" x14ac:dyDescent="0.25">
      <c r="A2796" s="25" t="str">
        <f>IF($C2796="","",Registro_Compras!$B$314)</f>
        <v/>
      </c>
      <c r="B2796" t="str">
        <f>IF($C2796="","","C"&amp;TEXT(INT((ROW()-5)/9)+1,"000")&amp;"-1")</f>
        <v/>
      </c>
      <c r="C2796" t="str">
        <f>IF(OR(Registro_Compras!$C$314="",Registro_Compras!$O$314=""),"",IF(Registro_Compras!$F$314="RHE",IF(Registro_Compras!$V$314=0,"","4017"),IF(Registro_Compras!$F$314="NOTA DE CREDITO",IF(Registro_Compras!$M$314="","63",Registro_Compras!$M$314),IF(Registro_Compras!$K$314=0,"","40111"))))</f>
        <v/>
      </c>
      <c r="D2796" t="str">
        <f>IF(OR(Registro_Compras!$C$314="",Registro_Compras!$O$314=""),"",IF(Registro_Compras!$F$314="RHE","Retencion Renta 4ta Categoria por Pagar",IF(Registro_Compras!$F$314="NOTA DE CREDITO","Gastos de Servicios Prestados por Terceros","IGV - Cuenta Propia (Credito Fiscal)")))</f>
        <v/>
      </c>
      <c r="E2796" s="20" t="str">
        <f>IF($C2796="","",IF(Registro_Compras!$F$314="FACTURA",ROUND(Registro_Compras!$K$314*Registro_Compras!$N$314,2),""))</f>
        <v/>
      </c>
      <c r="F2796" s="20" t="str">
        <f>IF($C2796="","",IF(Registro_Compras!$F$314="RHE",ROUND(Registro_Compras!$V$314*Registro_Compras!$N$314,2),IF(Registro_Compras!$F$314="NOTA DE CREDITO",ROUND(ABS(Registro_Compras!$J$314*Registro_Compras!$N$314),2),"")))</f>
        <v/>
      </c>
      <c r="G2796" t="str">
        <f>IF($C2796="","",IF(Registro_Compras!$F$314="NOTA DE CREDITO","Por la nota de credito "&amp;Registro_Compras!$C$314&amp;" de "&amp;Registro_Compras!$E$314&amp;" [PATRON POR CONFIRMAR CON CONTADOR]",IF(Registro_Compras!$F$314="RHE","Por el registro del recibo por honorarios "&amp;Registro_Compras!$C$314&amp;" de "&amp;Registro_Compras!$E$314&amp;" [PATRON POR CONFIRMAR CON CONTADOR]","Por el registro de la factura "&amp;Registro_Compras!$C$314&amp;" de "&amp;Registro_Compras!$E$314)))</f>
        <v/>
      </c>
      <c r="H2796" t="str">
        <f>IF($C2796="","",Registro_Compras!$C$314)</f>
        <v/>
      </c>
    </row>
    <row r="2797" spans="1:8" x14ac:dyDescent="0.25">
      <c r="A2797" s="25" t="str">
        <f>IF($C2797="","",Registro_Compras!$B$314)</f>
        <v/>
      </c>
      <c r="B2797" t="str">
        <f>IF($C2797="","","C"&amp;TEXT(INT((ROW()-5)/9)+1,"000")&amp;"-1")</f>
        <v/>
      </c>
      <c r="C2797" t="str">
        <f>IF(OR(Registro_Compras!$C$314="",Registro_Compras!$O$314=""),"",IF(Registro_Compras!$F$314="NOTA DE CREDITO",IF(Registro_Compras!$K$314=0,"","40111"),"4212"))</f>
        <v/>
      </c>
      <c r="D2797" t="str">
        <f>IF(OR(Registro_Compras!$C$314="",Registro_Compras!$O$314=""),"",IF(Registro_Compras!$F$314="NOTA DE CREDITO","IGV - Cuenta Propia (Credito Fiscal)","Cuentas por Pagar Comerciales - Terceros (Emitidas)"))</f>
        <v/>
      </c>
      <c r="E2797" s="20" t="str">
        <f>""</f>
        <v/>
      </c>
      <c r="F2797" s="20" t="str">
        <f>IF($C2797="","",IF(Registro_Compras!$F$314="NOTA DE CREDITO",ROUND(ABS(Registro_Compras!$K$314*Registro_Compras!$N$314),2),IF(Registro_Compras!$F$314="RHE",(ROUND(Registro_Compras!$L$314*Registro_Compras!$N$314,2)-ROUND(Registro_Compras!$V$314*Registro_Compras!$N$314,2)),Registro_Compras!$O$314)))</f>
        <v/>
      </c>
      <c r="G2797" t="str">
        <f>IF($C2797="","",IF(Registro_Compras!$F$314="NOTA DE CREDITO","Por la nota de credito "&amp;Registro_Compras!$C$314&amp;" de "&amp;Registro_Compras!$E$314&amp;" [PATRON POR CONFIRMAR CON CONTADOR]",IF(Registro_Compras!$F$314="RHE","Por el registro del recibo por honorarios "&amp;Registro_Compras!$C$314&amp;" de "&amp;Registro_Compras!$E$314&amp;" [PATRON POR CONFIRMAR CON CONTADOR]","Por el registro de la factura "&amp;Registro_Compras!$C$314&amp;" de "&amp;Registro_Compras!$E$314)))</f>
        <v/>
      </c>
      <c r="H2797" t="str">
        <f>IF($C2797="","",Registro_Compras!$C$314)</f>
        <v/>
      </c>
    </row>
    <row r="2798" spans="1:8" x14ac:dyDescent="0.25">
      <c r="A2798" s="25" t="str">
        <f>IF($C2798="","",Registro_Compras!$B$314)</f>
        <v/>
      </c>
      <c r="B2798" t="str">
        <f>IF($C2798="","","C"&amp;TEXT(INT((ROW()-5)/9)+1,"000")&amp;"-2")</f>
        <v/>
      </c>
      <c r="C2798" t="str">
        <f>IF(OR(Registro_Compras!$C$314="",Registro_Compras!$O$314=""),"",IF(Registro_Compras!$AB$314="ADMINISTRATIVO","94","95"))</f>
        <v/>
      </c>
      <c r="D2798" t="str">
        <f>IF(OR(Registro_Compras!$C$314="",Registro_Compras!$O$314=""),"",IF(Registro_Compras!$AB$314="ADMINISTRATIVO","Gastos Administrativos","Gastos de Venta y Operacion"))</f>
        <v/>
      </c>
      <c r="E2798" s="20" t="str">
        <f>IF($C2798="","",IF(Registro_Compras!$F$314="NOTA DE CREDITO","",IF(Registro_Compras!$F$314="RHE",ROUND(Registro_Compras!$L$314*Registro_Compras!$N$314,2),ROUND(Registro_Compras!$J$314*Registro_Compras!$N$314,2))))</f>
        <v/>
      </c>
      <c r="F2798" s="20" t="str">
        <f>IF($C2798="","",IF(Registro_Compras!$F$314="NOTA DE CREDITO",ROUND(ABS(Registro_Compras!$J$314*Registro_Compras!$N$314),2),""))</f>
        <v/>
      </c>
      <c r="G2798" t="str">
        <f>IF($C2798="","","Por el destino del gasto")</f>
        <v/>
      </c>
      <c r="H2798" t="str">
        <f>IF($C2798="","",Registro_Compras!$C$314)</f>
        <v/>
      </c>
    </row>
    <row r="2799" spans="1:8" x14ac:dyDescent="0.25">
      <c r="A2799" s="25" t="str">
        <f>IF($C2799="","",Registro_Compras!$B$314)</f>
        <v/>
      </c>
      <c r="B2799" t="str">
        <f>IF($C2799="","","C"&amp;TEXT(INT((ROW()-5)/9)+1,"000")&amp;"-2")</f>
        <v/>
      </c>
      <c r="C2799" t="str">
        <f>IF(OR(Registro_Compras!$C$314="",Registro_Compras!$O$314=""),"","79/791")</f>
        <v/>
      </c>
      <c r="D2799" t="str">
        <f>IF(OR(Registro_Compras!$C$314="",Registro_Compras!$O$314=""),"","Cargas Imputables a Cuentas de Costos y Gastos")</f>
        <v/>
      </c>
      <c r="E2799" s="20" t="str">
        <f>IF($C2799="","",IF(Registro_Compras!$F$314="NOTA DE CREDITO",ROUND(ABS(Registro_Compras!$J$314*Registro_Compras!$N$314),2),""))</f>
        <v/>
      </c>
      <c r="F2799" s="20" t="str">
        <f>IF($C2799="","",IF(Registro_Compras!$F$314="NOTA DE CREDITO","",IF(Registro_Compras!$F$314="RHE",ROUND(Registro_Compras!$L$314*Registro_Compras!$N$314,2),ROUND(Registro_Compras!$J$314*Registro_Compras!$N$314,2))))</f>
        <v/>
      </c>
      <c r="G2799" t="str">
        <f>IF($C2799="","","Por el destino del gasto")</f>
        <v/>
      </c>
      <c r="H2799" t="str">
        <f>IF($C2799="","",Registro_Compras!$C$314)</f>
        <v/>
      </c>
    </row>
    <row r="2800" spans="1:8" x14ac:dyDescent="0.25">
      <c r="A2800" s="25" t="str">
        <f>IF($C2800="","",Registro_Compras!$X$314)</f>
        <v/>
      </c>
      <c r="B2800" t="str">
        <f>IF($C2800="","","C"&amp;TEXT(INT((ROW()-5)/9)+1,"000")&amp;"-3")</f>
        <v/>
      </c>
      <c r="C2800" t="str">
        <f>IF(OR(Registro_Compras!$C$314="",Registro_Compras!$O$314="",Registro_Compras!$R$314&lt;&gt;"SI",Registro_Compras!$X$314=""),"","4212")</f>
        <v/>
      </c>
      <c r="D2800" t="str">
        <f>IF(OR(Registro_Compras!$C$314="",Registro_Compras!$O$314=""),"","Cuentas por Pagar Comerciales - Terceros")</f>
        <v/>
      </c>
      <c r="E2800" s="20" t="str">
        <f>IF($C2800="","",Registro_Compras!$S$314)</f>
        <v/>
      </c>
      <c r="F2800" s="20" t="str">
        <f>""</f>
        <v/>
      </c>
      <c r="G2800" t="str">
        <f>IF($C2800="","","Por el deposito de la detraccion en el Banco de la Nacion")</f>
        <v/>
      </c>
      <c r="H2800" t="str">
        <f>IF($C2800="","",Registro_Compras!$C$314)</f>
        <v/>
      </c>
    </row>
    <row r="2801" spans="1:8" x14ac:dyDescent="0.25">
      <c r="A2801" s="25" t="str">
        <f>IF($C2801="","",Registro_Compras!$X$314)</f>
        <v/>
      </c>
      <c r="B2801" t="str">
        <f>IF($C2801="","","C"&amp;TEXT(INT((ROW()-5)/9)+1,"000")&amp;"-3")</f>
        <v/>
      </c>
      <c r="C2801" t="str">
        <f>IF(OR(Registro_Compras!$C$314="",Registro_Compras!$O$314="",Registro_Compras!$R$314&lt;&gt;"SI",Registro_Compras!$X$314=""),"","1041")</f>
        <v/>
      </c>
      <c r="D2801" t="str">
        <f>IF(OR(Registro_Compras!$C$314="",Registro_Compras!$O$314=""),"","Efectivo y Equivalentes - Cta. Cte. Operativa")</f>
        <v/>
      </c>
      <c r="E2801" s="20" t="str">
        <f>""</f>
        <v/>
      </c>
      <c r="F2801" s="20" t="str">
        <f>IF($C2801="","",Registro_Compras!$S$314)</f>
        <v/>
      </c>
      <c r="G2801" t="str">
        <f>IF($C2801="","","Por el deposito de la detraccion en el Banco de la Nacion")</f>
        <v/>
      </c>
      <c r="H2801" t="str">
        <f>IF($C2801="","",Registro_Compras!$C$314)</f>
        <v/>
      </c>
    </row>
    <row r="2802" spans="1:8" x14ac:dyDescent="0.25">
      <c r="A2802" s="25" t="str">
        <f>IF($C2802="","",Registro_Compras!$Y$314)</f>
        <v/>
      </c>
      <c r="B2802" t="str">
        <f>IF($C2802="","","C"&amp;TEXT(INT((ROW()-5)/9)+1,"000")&amp;"-4")</f>
        <v/>
      </c>
      <c r="C2802" t="str">
        <f>IF(OR(Registro_Compras!$C$314="",Registro_Compras!$O$314="",Registro_Compras!$Y$314="",Registro_Compras!$F$314="NOTA DE CREDITO"),"","4212")</f>
        <v/>
      </c>
      <c r="D2802" t="str">
        <f>IF(OR(Registro_Compras!$C$314="",Registro_Compras!$O$314=""),"","Cuentas por Pagar Comerciales - Terceros")</f>
        <v/>
      </c>
      <c r="E2802" s="20" t="str">
        <f>IF($C2802="","",IF(Registro_Compras!$F$314="RHE",(ROUND(Registro_Compras!$L$314*Registro_Compras!$N$314,2)-ROUND(Registro_Compras!$V$314*Registro_Compras!$N$314,2)),ROUND(Registro_Compras!$O$314-Registro_Compras!$S$314,2)))</f>
        <v/>
      </c>
      <c r="F2802" s="20" t="str">
        <f>""</f>
        <v/>
      </c>
      <c r="G2802" t="str">
        <f>IF($C2802="","","Por la cancelacion del saldo al proveedor")</f>
        <v/>
      </c>
      <c r="H2802" t="str">
        <f>IF($C2802="","",Registro_Compras!$C$314)</f>
        <v/>
      </c>
    </row>
    <row r="2803" spans="1:8" x14ac:dyDescent="0.25">
      <c r="A2803" s="25" t="str">
        <f>IF($C2803="","",Registro_Compras!$Y$314)</f>
        <v/>
      </c>
      <c r="B2803" t="str">
        <f>IF($C2803="","","C"&amp;TEXT(INT((ROW()-5)/9)+1,"000")&amp;"-4")</f>
        <v/>
      </c>
      <c r="C2803" t="str">
        <f>IF(OR(Registro_Compras!$C$314="",Registro_Compras!$O$314="",Registro_Compras!$Y$314="",Registro_Compras!$F$314="NOTA DE CREDITO"),"","1041")</f>
        <v/>
      </c>
      <c r="D2803" t="str">
        <f>IF(OR(Registro_Compras!$C$314="",Registro_Compras!$O$314=""),"","Efectivo y Equivalentes - Cta. Cte. Operativa")</f>
        <v/>
      </c>
      <c r="E2803" s="20" t="str">
        <f>""</f>
        <v/>
      </c>
      <c r="F2803" s="20" t="str">
        <f>IF($C2803="","",IF(Registro_Compras!$F$314="RHE",(ROUND(Registro_Compras!$L$314*Registro_Compras!$N$314,2)-ROUND(Registro_Compras!$V$314*Registro_Compras!$N$314,2)),ROUND(Registro_Compras!$O$314-Registro_Compras!$S$314,2)))</f>
        <v/>
      </c>
      <c r="G2803" t="str">
        <f>IF($C2803="","","Por la cancelacion del saldo al proveedor")</f>
        <v/>
      </c>
      <c r="H2803" t="str">
        <f>IF($C2803="","",Registro_Compras!$C$314)</f>
        <v/>
      </c>
    </row>
    <row r="2804" spans="1:8" x14ac:dyDescent="0.25">
      <c r="A2804" s="25" t="str">
        <f>IF($C2804="","",Registro_Compras!$B$315)</f>
        <v/>
      </c>
      <c r="B2804" t="str">
        <f>IF($C2804="","","C"&amp;TEXT(INT((ROW()-5)/9)+1,"000")&amp;"-1")</f>
        <v/>
      </c>
      <c r="C2804" t="str">
        <f>IF(OR(Registro_Compras!$C$315="",Registro_Compras!$O$315=""),"",IF(Registro_Compras!$F$315="NOTA DE CREDITO","4212",IF(Registro_Compras!$M$315="","63",Registro_Compras!$M$315)))</f>
        <v/>
      </c>
      <c r="D2804" t="str">
        <f>IF(OR(Registro_Compras!$C$315="",Registro_Compras!$O$315=""),"",IF(Registro_Compras!$F$315="NOTA DE CREDITO","Cuentas por Pagar Comerciales - Terceros (Emitidas)",IF(Registro_Compras!$F$315="RHE","Honorarios Profesionales - Servicios de Terceros","Gastos de Servicios Prestados por Terceros")))</f>
        <v/>
      </c>
      <c r="E2804" s="20" t="str">
        <f>IF($C2804="","",IF(Registro_Compras!$F$315="NOTA DE CREDITO",ABS(Registro_Compras!$O$315),IF(Registro_Compras!$F$315="RHE",ROUND(Registro_Compras!$L$315*Registro_Compras!$N$315,2),ROUND(Registro_Compras!$J$315*Registro_Compras!$N$315,2))))</f>
        <v/>
      </c>
      <c r="F2804" s="20" t="str">
        <f>""</f>
        <v/>
      </c>
      <c r="G2804" t="str">
        <f>IF($C2804="","",IF(Registro_Compras!$F$315="NOTA DE CREDITO","Por la nota de credito "&amp;Registro_Compras!$C$315&amp;" de "&amp;Registro_Compras!$E$315&amp;" [PATRON POR CONFIRMAR CON CONTADOR]",IF(Registro_Compras!$F$315="RHE","Por el registro del recibo por honorarios "&amp;Registro_Compras!$C$315&amp;" de "&amp;Registro_Compras!$E$315&amp;" [PATRON POR CONFIRMAR CON CONTADOR]","Por el registro de la factura "&amp;Registro_Compras!$C$315&amp;" de "&amp;Registro_Compras!$E$315)))</f>
        <v/>
      </c>
      <c r="H2804" t="str">
        <f>IF($C2804="","",Registro_Compras!$C$315)</f>
        <v/>
      </c>
    </row>
    <row r="2805" spans="1:8" x14ac:dyDescent="0.25">
      <c r="A2805" s="25" t="str">
        <f>IF($C2805="","",Registro_Compras!$B$315)</f>
        <v/>
      </c>
      <c r="B2805" t="str">
        <f>IF($C2805="","","C"&amp;TEXT(INT((ROW()-5)/9)+1,"000")&amp;"-1")</f>
        <v/>
      </c>
      <c r="C2805" t="str">
        <f>IF(OR(Registro_Compras!$C$315="",Registro_Compras!$O$315=""),"",IF(Registro_Compras!$F$315="RHE",IF(Registro_Compras!$V$315=0,"","4017"),IF(Registro_Compras!$F$315="NOTA DE CREDITO",IF(Registro_Compras!$M$315="","63",Registro_Compras!$M$315),IF(Registro_Compras!$K$315=0,"","40111"))))</f>
        <v/>
      </c>
      <c r="D2805" t="str">
        <f>IF(OR(Registro_Compras!$C$315="",Registro_Compras!$O$315=""),"",IF(Registro_Compras!$F$315="RHE","Retencion Renta 4ta Categoria por Pagar",IF(Registro_Compras!$F$315="NOTA DE CREDITO","Gastos de Servicios Prestados por Terceros","IGV - Cuenta Propia (Credito Fiscal)")))</f>
        <v/>
      </c>
      <c r="E2805" s="20" t="str">
        <f>IF($C2805="","",IF(Registro_Compras!$F$315="FACTURA",ROUND(Registro_Compras!$K$315*Registro_Compras!$N$315,2),""))</f>
        <v/>
      </c>
      <c r="F2805" s="20" t="str">
        <f>IF($C2805="","",IF(Registro_Compras!$F$315="RHE",ROUND(Registro_Compras!$V$315*Registro_Compras!$N$315,2),IF(Registro_Compras!$F$315="NOTA DE CREDITO",ROUND(ABS(Registro_Compras!$J$315*Registro_Compras!$N$315),2),"")))</f>
        <v/>
      </c>
      <c r="G2805" t="str">
        <f>IF($C2805="","",IF(Registro_Compras!$F$315="NOTA DE CREDITO","Por la nota de credito "&amp;Registro_Compras!$C$315&amp;" de "&amp;Registro_Compras!$E$315&amp;" [PATRON POR CONFIRMAR CON CONTADOR]",IF(Registro_Compras!$F$315="RHE","Por el registro del recibo por honorarios "&amp;Registro_Compras!$C$315&amp;" de "&amp;Registro_Compras!$E$315&amp;" [PATRON POR CONFIRMAR CON CONTADOR]","Por el registro de la factura "&amp;Registro_Compras!$C$315&amp;" de "&amp;Registro_Compras!$E$315)))</f>
        <v/>
      </c>
      <c r="H2805" t="str">
        <f>IF($C2805="","",Registro_Compras!$C$315)</f>
        <v/>
      </c>
    </row>
    <row r="2806" spans="1:8" x14ac:dyDescent="0.25">
      <c r="A2806" s="25" t="str">
        <f>IF($C2806="","",Registro_Compras!$B$315)</f>
        <v/>
      </c>
      <c r="B2806" t="str">
        <f>IF($C2806="","","C"&amp;TEXT(INT((ROW()-5)/9)+1,"000")&amp;"-1")</f>
        <v/>
      </c>
      <c r="C2806" t="str">
        <f>IF(OR(Registro_Compras!$C$315="",Registro_Compras!$O$315=""),"",IF(Registro_Compras!$F$315="NOTA DE CREDITO",IF(Registro_Compras!$K$315=0,"","40111"),"4212"))</f>
        <v/>
      </c>
      <c r="D2806" t="str">
        <f>IF(OR(Registro_Compras!$C$315="",Registro_Compras!$O$315=""),"",IF(Registro_Compras!$F$315="NOTA DE CREDITO","IGV - Cuenta Propia (Credito Fiscal)","Cuentas por Pagar Comerciales - Terceros (Emitidas)"))</f>
        <v/>
      </c>
      <c r="E2806" s="20" t="str">
        <f>""</f>
        <v/>
      </c>
      <c r="F2806" s="20" t="str">
        <f>IF($C2806="","",IF(Registro_Compras!$F$315="NOTA DE CREDITO",ROUND(ABS(Registro_Compras!$K$315*Registro_Compras!$N$315),2),IF(Registro_Compras!$F$315="RHE",(ROUND(Registro_Compras!$L$315*Registro_Compras!$N$315,2)-ROUND(Registro_Compras!$V$315*Registro_Compras!$N$315,2)),Registro_Compras!$O$315)))</f>
        <v/>
      </c>
      <c r="G2806" t="str">
        <f>IF($C2806="","",IF(Registro_Compras!$F$315="NOTA DE CREDITO","Por la nota de credito "&amp;Registro_Compras!$C$315&amp;" de "&amp;Registro_Compras!$E$315&amp;" [PATRON POR CONFIRMAR CON CONTADOR]",IF(Registro_Compras!$F$315="RHE","Por el registro del recibo por honorarios "&amp;Registro_Compras!$C$315&amp;" de "&amp;Registro_Compras!$E$315&amp;" [PATRON POR CONFIRMAR CON CONTADOR]","Por el registro de la factura "&amp;Registro_Compras!$C$315&amp;" de "&amp;Registro_Compras!$E$315)))</f>
        <v/>
      </c>
      <c r="H2806" t="str">
        <f>IF($C2806="","",Registro_Compras!$C$315)</f>
        <v/>
      </c>
    </row>
    <row r="2807" spans="1:8" x14ac:dyDescent="0.25">
      <c r="A2807" s="25" t="str">
        <f>IF($C2807="","",Registro_Compras!$B$315)</f>
        <v/>
      </c>
      <c r="B2807" t="str">
        <f>IF($C2807="","","C"&amp;TEXT(INT((ROW()-5)/9)+1,"000")&amp;"-2")</f>
        <v/>
      </c>
      <c r="C2807" t="str">
        <f>IF(OR(Registro_Compras!$C$315="",Registro_Compras!$O$315=""),"",IF(Registro_Compras!$AB$315="ADMINISTRATIVO","94","95"))</f>
        <v/>
      </c>
      <c r="D2807" t="str">
        <f>IF(OR(Registro_Compras!$C$315="",Registro_Compras!$O$315=""),"",IF(Registro_Compras!$AB$315="ADMINISTRATIVO","Gastos Administrativos","Gastos de Venta y Operacion"))</f>
        <v/>
      </c>
      <c r="E2807" s="20" t="str">
        <f>IF($C2807="","",IF(Registro_Compras!$F$315="NOTA DE CREDITO","",IF(Registro_Compras!$F$315="RHE",ROUND(Registro_Compras!$L$315*Registro_Compras!$N$315,2),ROUND(Registro_Compras!$J$315*Registro_Compras!$N$315,2))))</f>
        <v/>
      </c>
      <c r="F2807" s="20" t="str">
        <f>IF($C2807="","",IF(Registro_Compras!$F$315="NOTA DE CREDITO",ROUND(ABS(Registro_Compras!$J$315*Registro_Compras!$N$315),2),""))</f>
        <v/>
      </c>
      <c r="G2807" t="str">
        <f>IF($C2807="","","Por el destino del gasto")</f>
        <v/>
      </c>
      <c r="H2807" t="str">
        <f>IF($C2807="","",Registro_Compras!$C$315)</f>
        <v/>
      </c>
    </row>
    <row r="2808" spans="1:8" x14ac:dyDescent="0.25">
      <c r="A2808" s="25" t="str">
        <f>IF($C2808="","",Registro_Compras!$B$315)</f>
        <v/>
      </c>
      <c r="B2808" t="str">
        <f>IF($C2808="","","C"&amp;TEXT(INT((ROW()-5)/9)+1,"000")&amp;"-2")</f>
        <v/>
      </c>
      <c r="C2808" t="str">
        <f>IF(OR(Registro_Compras!$C$315="",Registro_Compras!$O$315=""),"","79/791")</f>
        <v/>
      </c>
      <c r="D2808" t="str">
        <f>IF(OR(Registro_Compras!$C$315="",Registro_Compras!$O$315=""),"","Cargas Imputables a Cuentas de Costos y Gastos")</f>
        <v/>
      </c>
      <c r="E2808" s="20" t="str">
        <f>IF($C2808="","",IF(Registro_Compras!$F$315="NOTA DE CREDITO",ROUND(ABS(Registro_Compras!$J$315*Registro_Compras!$N$315),2),""))</f>
        <v/>
      </c>
      <c r="F2808" s="20" t="str">
        <f>IF($C2808="","",IF(Registro_Compras!$F$315="NOTA DE CREDITO","",IF(Registro_Compras!$F$315="RHE",ROUND(Registro_Compras!$L$315*Registro_Compras!$N$315,2),ROUND(Registro_Compras!$J$315*Registro_Compras!$N$315,2))))</f>
        <v/>
      </c>
      <c r="G2808" t="str">
        <f>IF($C2808="","","Por el destino del gasto")</f>
        <v/>
      </c>
      <c r="H2808" t="str">
        <f>IF($C2808="","",Registro_Compras!$C$315)</f>
        <v/>
      </c>
    </row>
    <row r="2809" spans="1:8" x14ac:dyDescent="0.25">
      <c r="A2809" s="25" t="str">
        <f>IF($C2809="","",Registro_Compras!$X$315)</f>
        <v/>
      </c>
      <c r="B2809" t="str">
        <f>IF($C2809="","","C"&amp;TEXT(INT((ROW()-5)/9)+1,"000")&amp;"-3")</f>
        <v/>
      </c>
      <c r="C2809" t="str">
        <f>IF(OR(Registro_Compras!$C$315="",Registro_Compras!$O$315="",Registro_Compras!$R$315&lt;&gt;"SI",Registro_Compras!$X$315=""),"","4212")</f>
        <v/>
      </c>
      <c r="D2809" t="str">
        <f>IF(OR(Registro_Compras!$C$315="",Registro_Compras!$O$315=""),"","Cuentas por Pagar Comerciales - Terceros")</f>
        <v/>
      </c>
      <c r="E2809" s="20" t="str">
        <f>IF($C2809="","",Registro_Compras!$S$315)</f>
        <v/>
      </c>
      <c r="F2809" s="20" t="str">
        <f>""</f>
        <v/>
      </c>
      <c r="G2809" t="str">
        <f>IF($C2809="","","Por el deposito de la detraccion en el Banco de la Nacion")</f>
        <v/>
      </c>
      <c r="H2809" t="str">
        <f>IF($C2809="","",Registro_Compras!$C$315)</f>
        <v/>
      </c>
    </row>
    <row r="2810" spans="1:8" x14ac:dyDescent="0.25">
      <c r="A2810" s="25" t="str">
        <f>IF($C2810="","",Registro_Compras!$X$315)</f>
        <v/>
      </c>
      <c r="B2810" t="str">
        <f>IF($C2810="","","C"&amp;TEXT(INT((ROW()-5)/9)+1,"000")&amp;"-3")</f>
        <v/>
      </c>
      <c r="C2810" t="str">
        <f>IF(OR(Registro_Compras!$C$315="",Registro_Compras!$O$315="",Registro_Compras!$R$315&lt;&gt;"SI",Registro_Compras!$X$315=""),"","1041")</f>
        <v/>
      </c>
      <c r="D2810" t="str">
        <f>IF(OR(Registro_Compras!$C$315="",Registro_Compras!$O$315=""),"","Efectivo y Equivalentes - Cta. Cte. Operativa")</f>
        <v/>
      </c>
      <c r="E2810" s="20" t="str">
        <f>""</f>
        <v/>
      </c>
      <c r="F2810" s="20" t="str">
        <f>IF($C2810="","",Registro_Compras!$S$315)</f>
        <v/>
      </c>
      <c r="G2810" t="str">
        <f>IF($C2810="","","Por el deposito de la detraccion en el Banco de la Nacion")</f>
        <v/>
      </c>
      <c r="H2810" t="str">
        <f>IF($C2810="","",Registro_Compras!$C$315)</f>
        <v/>
      </c>
    </row>
    <row r="2811" spans="1:8" x14ac:dyDescent="0.25">
      <c r="A2811" s="25" t="str">
        <f>IF($C2811="","",Registro_Compras!$Y$315)</f>
        <v/>
      </c>
      <c r="B2811" t="str">
        <f>IF($C2811="","","C"&amp;TEXT(INT((ROW()-5)/9)+1,"000")&amp;"-4")</f>
        <v/>
      </c>
      <c r="C2811" t="str">
        <f>IF(OR(Registro_Compras!$C$315="",Registro_Compras!$O$315="",Registro_Compras!$Y$315="",Registro_Compras!$F$315="NOTA DE CREDITO"),"","4212")</f>
        <v/>
      </c>
      <c r="D2811" t="str">
        <f>IF(OR(Registro_Compras!$C$315="",Registro_Compras!$O$315=""),"","Cuentas por Pagar Comerciales - Terceros")</f>
        <v/>
      </c>
      <c r="E2811" s="20" t="str">
        <f>IF($C2811="","",IF(Registro_Compras!$F$315="RHE",(ROUND(Registro_Compras!$L$315*Registro_Compras!$N$315,2)-ROUND(Registro_Compras!$V$315*Registro_Compras!$N$315,2)),ROUND(Registro_Compras!$O$315-Registro_Compras!$S$315,2)))</f>
        <v/>
      </c>
      <c r="F2811" s="20" t="str">
        <f>""</f>
        <v/>
      </c>
      <c r="G2811" t="str">
        <f>IF($C2811="","","Por la cancelacion del saldo al proveedor")</f>
        <v/>
      </c>
      <c r="H2811" t="str">
        <f>IF($C2811="","",Registro_Compras!$C$315)</f>
        <v/>
      </c>
    </row>
    <row r="2812" spans="1:8" x14ac:dyDescent="0.25">
      <c r="A2812" s="25" t="str">
        <f>IF($C2812="","",Registro_Compras!$Y$315)</f>
        <v/>
      </c>
      <c r="B2812" t="str">
        <f>IF($C2812="","","C"&amp;TEXT(INT((ROW()-5)/9)+1,"000")&amp;"-4")</f>
        <v/>
      </c>
      <c r="C2812" t="str">
        <f>IF(OR(Registro_Compras!$C$315="",Registro_Compras!$O$315="",Registro_Compras!$Y$315="",Registro_Compras!$F$315="NOTA DE CREDITO"),"","1041")</f>
        <v/>
      </c>
      <c r="D2812" t="str">
        <f>IF(OR(Registro_Compras!$C$315="",Registro_Compras!$O$315=""),"","Efectivo y Equivalentes - Cta. Cte. Operativa")</f>
        <v/>
      </c>
      <c r="E2812" s="20" t="str">
        <f>""</f>
        <v/>
      </c>
      <c r="F2812" s="20" t="str">
        <f>IF($C2812="","",IF(Registro_Compras!$F$315="RHE",(ROUND(Registro_Compras!$L$315*Registro_Compras!$N$315,2)-ROUND(Registro_Compras!$V$315*Registro_Compras!$N$315,2)),ROUND(Registro_Compras!$O$315-Registro_Compras!$S$315,2)))</f>
        <v/>
      </c>
      <c r="G2812" t="str">
        <f>IF($C2812="","","Por la cancelacion del saldo al proveedor")</f>
        <v/>
      </c>
      <c r="H2812" t="str">
        <f>IF($C2812="","",Registro_Compras!$C$315)</f>
        <v/>
      </c>
    </row>
    <row r="2813" spans="1:8" x14ac:dyDescent="0.25">
      <c r="A2813" s="25" t="str">
        <f>IF($C2813="","",Registro_Compras!$B$316)</f>
        <v/>
      </c>
      <c r="B2813" t="str">
        <f>IF($C2813="","","C"&amp;TEXT(INT((ROW()-5)/9)+1,"000")&amp;"-1")</f>
        <v/>
      </c>
      <c r="C2813" t="str">
        <f>IF(OR(Registro_Compras!$C$316="",Registro_Compras!$O$316=""),"",IF(Registro_Compras!$F$316="NOTA DE CREDITO","4212",IF(Registro_Compras!$M$316="","63",Registro_Compras!$M$316)))</f>
        <v/>
      </c>
      <c r="D2813" t="str">
        <f>IF(OR(Registro_Compras!$C$316="",Registro_Compras!$O$316=""),"",IF(Registro_Compras!$F$316="NOTA DE CREDITO","Cuentas por Pagar Comerciales - Terceros (Emitidas)",IF(Registro_Compras!$F$316="RHE","Honorarios Profesionales - Servicios de Terceros","Gastos de Servicios Prestados por Terceros")))</f>
        <v/>
      </c>
      <c r="E2813" s="20" t="str">
        <f>IF($C2813="","",IF(Registro_Compras!$F$316="NOTA DE CREDITO",ABS(Registro_Compras!$O$316),IF(Registro_Compras!$F$316="RHE",ROUND(Registro_Compras!$L$316*Registro_Compras!$N$316,2),ROUND(Registro_Compras!$J$316*Registro_Compras!$N$316,2))))</f>
        <v/>
      </c>
      <c r="F2813" s="20" t="str">
        <f>""</f>
        <v/>
      </c>
      <c r="G2813" t="str">
        <f>IF($C2813="","",IF(Registro_Compras!$F$316="NOTA DE CREDITO","Por la nota de credito "&amp;Registro_Compras!$C$316&amp;" de "&amp;Registro_Compras!$E$316&amp;" [PATRON POR CONFIRMAR CON CONTADOR]",IF(Registro_Compras!$F$316="RHE","Por el registro del recibo por honorarios "&amp;Registro_Compras!$C$316&amp;" de "&amp;Registro_Compras!$E$316&amp;" [PATRON POR CONFIRMAR CON CONTADOR]","Por el registro de la factura "&amp;Registro_Compras!$C$316&amp;" de "&amp;Registro_Compras!$E$316)))</f>
        <v/>
      </c>
      <c r="H2813" t="str">
        <f>IF($C2813="","",Registro_Compras!$C$316)</f>
        <v/>
      </c>
    </row>
    <row r="2814" spans="1:8" x14ac:dyDescent="0.25">
      <c r="A2814" s="25" t="str">
        <f>IF($C2814="","",Registro_Compras!$B$316)</f>
        <v/>
      </c>
      <c r="B2814" t="str">
        <f>IF($C2814="","","C"&amp;TEXT(INT((ROW()-5)/9)+1,"000")&amp;"-1")</f>
        <v/>
      </c>
      <c r="C2814" t="str">
        <f>IF(OR(Registro_Compras!$C$316="",Registro_Compras!$O$316=""),"",IF(Registro_Compras!$F$316="RHE",IF(Registro_Compras!$V$316=0,"","4017"),IF(Registro_Compras!$F$316="NOTA DE CREDITO",IF(Registro_Compras!$M$316="","63",Registro_Compras!$M$316),IF(Registro_Compras!$K$316=0,"","40111"))))</f>
        <v/>
      </c>
      <c r="D2814" t="str">
        <f>IF(OR(Registro_Compras!$C$316="",Registro_Compras!$O$316=""),"",IF(Registro_Compras!$F$316="RHE","Retencion Renta 4ta Categoria por Pagar",IF(Registro_Compras!$F$316="NOTA DE CREDITO","Gastos de Servicios Prestados por Terceros","IGV - Cuenta Propia (Credito Fiscal)")))</f>
        <v/>
      </c>
      <c r="E2814" s="20" t="str">
        <f>IF($C2814="","",IF(Registro_Compras!$F$316="FACTURA",ROUND(Registro_Compras!$K$316*Registro_Compras!$N$316,2),""))</f>
        <v/>
      </c>
      <c r="F2814" s="20" t="str">
        <f>IF($C2814="","",IF(Registro_Compras!$F$316="RHE",ROUND(Registro_Compras!$V$316*Registro_Compras!$N$316,2),IF(Registro_Compras!$F$316="NOTA DE CREDITO",ROUND(ABS(Registro_Compras!$J$316*Registro_Compras!$N$316),2),"")))</f>
        <v/>
      </c>
      <c r="G2814" t="str">
        <f>IF($C2814="","",IF(Registro_Compras!$F$316="NOTA DE CREDITO","Por la nota de credito "&amp;Registro_Compras!$C$316&amp;" de "&amp;Registro_Compras!$E$316&amp;" [PATRON POR CONFIRMAR CON CONTADOR]",IF(Registro_Compras!$F$316="RHE","Por el registro del recibo por honorarios "&amp;Registro_Compras!$C$316&amp;" de "&amp;Registro_Compras!$E$316&amp;" [PATRON POR CONFIRMAR CON CONTADOR]","Por el registro de la factura "&amp;Registro_Compras!$C$316&amp;" de "&amp;Registro_Compras!$E$316)))</f>
        <v/>
      </c>
      <c r="H2814" t="str">
        <f>IF($C2814="","",Registro_Compras!$C$316)</f>
        <v/>
      </c>
    </row>
    <row r="2815" spans="1:8" x14ac:dyDescent="0.25">
      <c r="A2815" s="25" t="str">
        <f>IF($C2815="","",Registro_Compras!$B$316)</f>
        <v/>
      </c>
      <c r="B2815" t="str">
        <f>IF($C2815="","","C"&amp;TEXT(INT((ROW()-5)/9)+1,"000")&amp;"-1")</f>
        <v/>
      </c>
      <c r="C2815" t="str">
        <f>IF(OR(Registro_Compras!$C$316="",Registro_Compras!$O$316=""),"",IF(Registro_Compras!$F$316="NOTA DE CREDITO",IF(Registro_Compras!$K$316=0,"","40111"),"4212"))</f>
        <v/>
      </c>
      <c r="D2815" t="str">
        <f>IF(OR(Registro_Compras!$C$316="",Registro_Compras!$O$316=""),"",IF(Registro_Compras!$F$316="NOTA DE CREDITO","IGV - Cuenta Propia (Credito Fiscal)","Cuentas por Pagar Comerciales - Terceros (Emitidas)"))</f>
        <v/>
      </c>
      <c r="E2815" s="20" t="str">
        <f>""</f>
        <v/>
      </c>
      <c r="F2815" s="20" t="str">
        <f>IF($C2815="","",IF(Registro_Compras!$F$316="NOTA DE CREDITO",ROUND(ABS(Registro_Compras!$K$316*Registro_Compras!$N$316),2),IF(Registro_Compras!$F$316="RHE",(ROUND(Registro_Compras!$L$316*Registro_Compras!$N$316,2)-ROUND(Registro_Compras!$V$316*Registro_Compras!$N$316,2)),Registro_Compras!$O$316)))</f>
        <v/>
      </c>
      <c r="G2815" t="str">
        <f>IF($C2815="","",IF(Registro_Compras!$F$316="NOTA DE CREDITO","Por la nota de credito "&amp;Registro_Compras!$C$316&amp;" de "&amp;Registro_Compras!$E$316&amp;" [PATRON POR CONFIRMAR CON CONTADOR]",IF(Registro_Compras!$F$316="RHE","Por el registro del recibo por honorarios "&amp;Registro_Compras!$C$316&amp;" de "&amp;Registro_Compras!$E$316&amp;" [PATRON POR CONFIRMAR CON CONTADOR]","Por el registro de la factura "&amp;Registro_Compras!$C$316&amp;" de "&amp;Registro_Compras!$E$316)))</f>
        <v/>
      </c>
      <c r="H2815" t="str">
        <f>IF($C2815="","",Registro_Compras!$C$316)</f>
        <v/>
      </c>
    </row>
    <row r="2816" spans="1:8" x14ac:dyDescent="0.25">
      <c r="A2816" s="25" t="str">
        <f>IF($C2816="","",Registro_Compras!$B$316)</f>
        <v/>
      </c>
      <c r="B2816" t="str">
        <f>IF($C2816="","","C"&amp;TEXT(INT((ROW()-5)/9)+1,"000")&amp;"-2")</f>
        <v/>
      </c>
      <c r="C2816" t="str">
        <f>IF(OR(Registro_Compras!$C$316="",Registro_Compras!$O$316=""),"",IF(Registro_Compras!$AB$316="ADMINISTRATIVO","94","95"))</f>
        <v/>
      </c>
      <c r="D2816" t="str">
        <f>IF(OR(Registro_Compras!$C$316="",Registro_Compras!$O$316=""),"",IF(Registro_Compras!$AB$316="ADMINISTRATIVO","Gastos Administrativos","Gastos de Venta y Operacion"))</f>
        <v/>
      </c>
      <c r="E2816" s="20" t="str">
        <f>IF($C2816="","",IF(Registro_Compras!$F$316="NOTA DE CREDITO","",IF(Registro_Compras!$F$316="RHE",ROUND(Registro_Compras!$L$316*Registro_Compras!$N$316,2),ROUND(Registro_Compras!$J$316*Registro_Compras!$N$316,2))))</f>
        <v/>
      </c>
      <c r="F2816" s="20" t="str">
        <f>IF($C2816="","",IF(Registro_Compras!$F$316="NOTA DE CREDITO",ROUND(ABS(Registro_Compras!$J$316*Registro_Compras!$N$316),2),""))</f>
        <v/>
      </c>
      <c r="G2816" t="str">
        <f>IF($C2816="","","Por el destino del gasto")</f>
        <v/>
      </c>
      <c r="H2816" t="str">
        <f>IF($C2816="","",Registro_Compras!$C$316)</f>
        <v/>
      </c>
    </row>
    <row r="2817" spans="1:8" x14ac:dyDescent="0.25">
      <c r="A2817" s="25" t="str">
        <f>IF($C2817="","",Registro_Compras!$B$316)</f>
        <v/>
      </c>
      <c r="B2817" t="str">
        <f>IF($C2817="","","C"&amp;TEXT(INT((ROW()-5)/9)+1,"000")&amp;"-2")</f>
        <v/>
      </c>
      <c r="C2817" t="str">
        <f>IF(OR(Registro_Compras!$C$316="",Registro_Compras!$O$316=""),"","79/791")</f>
        <v/>
      </c>
      <c r="D2817" t="str">
        <f>IF(OR(Registro_Compras!$C$316="",Registro_Compras!$O$316=""),"","Cargas Imputables a Cuentas de Costos y Gastos")</f>
        <v/>
      </c>
      <c r="E2817" s="20" t="str">
        <f>IF($C2817="","",IF(Registro_Compras!$F$316="NOTA DE CREDITO",ROUND(ABS(Registro_Compras!$J$316*Registro_Compras!$N$316),2),""))</f>
        <v/>
      </c>
      <c r="F2817" s="20" t="str">
        <f>IF($C2817="","",IF(Registro_Compras!$F$316="NOTA DE CREDITO","",IF(Registro_Compras!$F$316="RHE",ROUND(Registro_Compras!$L$316*Registro_Compras!$N$316,2),ROUND(Registro_Compras!$J$316*Registro_Compras!$N$316,2))))</f>
        <v/>
      </c>
      <c r="G2817" t="str">
        <f>IF($C2817="","","Por el destino del gasto")</f>
        <v/>
      </c>
      <c r="H2817" t="str">
        <f>IF($C2817="","",Registro_Compras!$C$316)</f>
        <v/>
      </c>
    </row>
    <row r="2818" spans="1:8" x14ac:dyDescent="0.25">
      <c r="A2818" s="25" t="str">
        <f>IF($C2818="","",Registro_Compras!$X$316)</f>
        <v/>
      </c>
      <c r="B2818" t="str">
        <f>IF($C2818="","","C"&amp;TEXT(INT((ROW()-5)/9)+1,"000")&amp;"-3")</f>
        <v/>
      </c>
      <c r="C2818" t="str">
        <f>IF(OR(Registro_Compras!$C$316="",Registro_Compras!$O$316="",Registro_Compras!$R$316&lt;&gt;"SI",Registro_Compras!$X$316=""),"","4212")</f>
        <v/>
      </c>
      <c r="D2818" t="str">
        <f>IF(OR(Registro_Compras!$C$316="",Registro_Compras!$O$316=""),"","Cuentas por Pagar Comerciales - Terceros")</f>
        <v/>
      </c>
      <c r="E2818" s="20" t="str">
        <f>IF($C2818="","",Registro_Compras!$S$316)</f>
        <v/>
      </c>
      <c r="F2818" s="20" t="str">
        <f>""</f>
        <v/>
      </c>
      <c r="G2818" t="str">
        <f>IF($C2818="","","Por el deposito de la detraccion en el Banco de la Nacion")</f>
        <v/>
      </c>
      <c r="H2818" t="str">
        <f>IF($C2818="","",Registro_Compras!$C$316)</f>
        <v/>
      </c>
    </row>
    <row r="2819" spans="1:8" x14ac:dyDescent="0.25">
      <c r="A2819" s="25" t="str">
        <f>IF($C2819="","",Registro_Compras!$X$316)</f>
        <v/>
      </c>
      <c r="B2819" t="str">
        <f>IF($C2819="","","C"&amp;TEXT(INT((ROW()-5)/9)+1,"000")&amp;"-3")</f>
        <v/>
      </c>
      <c r="C2819" t="str">
        <f>IF(OR(Registro_Compras!$C$316="",Registro_Compras!$O$316="",Registro_Compras!$R$316&lt;&gt;"SI",Registro_Compras!$X$316=""),"","1041")</f>
        <v/>
      </c>
      <c r="D2819" t="str">
        <f>IF(OR(Registro_Compras!$C$316="",Registro_Compras!$O$316=""),"","Efectivo y Equivalentes - Cta. Cte. Operativa")</f>
        <v/>
      </c>
      <c r="E2819" s="20" t="str">
        <f>""</f>
        <v/>
      </c>
      <c r="F2819" s="20" t="str">
        <f>IF($C2819="","",Registro_Compras!$S$316)</f>
        <v/>
      </c>
      <c r="G2819" t="str">
        <f>IF($C2819="","","Por el deposito de la detraccion en el Banco de la Nacion")</f>
        <v/>
      </c>
      <c r="H2819" t="str">
        <f>IF($C2819="","",Registro_Compras!$C$316)</f>
        <v/>
      </c>
    </row>
    <row r="2820" spans="1:8" x14ac:dyDescent="0.25">
      <c r="A2820" s="25" t="str">
        <f>IF($C2820="","",Registro_Compras!$Y$316)</f>
        <v/>
      </c>
      <c r="B2820" t="str">
        <f>IF($C2820="","","C"&amp;TEXT(INT((ROW()-5)/9)+1,"000")&amp;"-4")</f>
        <v/>
      </c>
      <c r="C2820" t="str">
        <f>IF(OR(Registro_Compras!$C$316="",Registro_Compras!$O$316="",Registro_Compras!$Y$316="",Registro_Compras!$F$316="NOTA DE CREDITO"),"","4212")</f>
        <v/>
      </c>
      <c r="D2820" t="str">
        <f>IF(OR(Registro_Compras!$C$316="",Registro_Compras!$O$316=""),"","Cuentas por Pagar Comerciales - Terceros")</f>
        <v/>
      </c>
      <c r="E2820" s="20" t="str">
        <f>IF($C2820="","",IF(Registro_Compras!$F$316="RHE",(ROUND(Registro_Compras!$L$316*Registro_Compras!$N$316,2)-ROUND(Registro_Compras!$V$316*Registro_Compras!$N$316,2)),ROUND(Registro_Compras!$O$316-Registro_Compras!$S$316,2)))</f>
        <v/>
      </c>
      <c r="F2820" s="20" t="str">
        <f>""</f>
        <v/>
      </c>
      <c r="G2820" t="str">
        <f>IF($C2820="","","Por la cancelacion del saldo al proveedor")</f>
        <v/>
      </c>
      <c r="H2820" t="str">
        <f>IF($C2820="","",Registro_Compras!$C$316)</f>
        <v/>
      </c>
    </row>
    <row r="2821" spans="1:8" x14ac:dyDescent="0.25">
      <c r="A2821" s="25" t="str">
        <f>IF($C2821="","",Registro_Compras!$Y$316)</f>
        <v/>
      </c>
      <c r="B2821" t="str">
        <f>IF($C2821="","","C"&amp;TEXT(INT((ROW()-5)/9)+1,"000")&amp;"-4")</f>
        <v/>
      </c>
      <c r="C2821" t="str">
        <f>IF(OR(Registro_Compras!$C$316="",Registro_Compras!$O$316="",Registro_Compras!$Y$316="",Registro_Compras!$F$316="NOTA DE CREDITO"),"","1041")</f>
        <v/>
      </c>
      <c r="D2821" t="str">
        <f>IF(OR(Registro_Compras!$C$316="",Registro_Compras!$O$316=""),"","Efectivo y Equivalentes - Cta. Cte. Operativa")</f>
        <v/>
      </c>
      <c r="E2821" s="20" t="str">
        <f>""</f>
        <v/>
      </c>
      <c r="F2821" s="20" t="str">
        <f>IF($C2821="","",IF(Registro_Compras!$F$316="RHE",(ROUND(Registro_Compras!$L$316*Registro_Compras!$N$316,2)-ROUND(Registro_Compras!$V$316*Registro_Compras!$N$316,2)),ROUND(Registro_Compras!$O$316-Registro_Compras!$S$316,2)))</f>
        <v/>
      </c>
      <c r="G2821" t="str">
        <f>IF($C2821="","","Por la cancelacion del saldo al proveedor")</f>
        <v/>
      </c>
      <c r="H2821" t="str">
        <f>IF($C2821="","",Registro_Compras!$C$316)</f>
        <v/>
      </c>
    </row>
    <row r="2822" spans="1:8" x14ac:dyDescent="0.25">
      <c r="A2822" s="25" t="str">
        <f>IF($C2822="","",Registro_Compras!$B$317)</f>
        <v/>
      </c>
      <c r="B2822" t="str">
        <f>IF($C2822="","","C"&amp;TEXT(INT((ROW()-5)/9)+1,"000")&amp;"-1")</f>
        <v/>
      </c>
      <c r="C2822" t="str">
        <f>IF(OR(Registro_Compras!$C$317="",Registro_Compras!$O$317=""),"",IF(Registro_Compras!$F$317="NOTA DE CREDITO","4212",IF(Registro_Compras!$M$317="","63",Registro_Compras!$M$317)))</f>
        <v/>
      </c>
      <c r="D2822" t="str">
        <f>IF(OR(Registro_Compras!$C$317="",Registro_Compras!$O$317=""),"",IF(Registro_Compras!$F$317="NOTA DE CREDITO","Cuentas por Pagar Comerciales - Terceros (Emitidas)",IF(Registro_Compras!$F$317="RHE","Honorarios Profesionales - Servicios de Terceros","Gastos de Servicios Prestados por Terceros")))</f>
        <v/>
      </c>
      <c r="E2822" s="20" t="str">
        <f>IF($C2822="","",IF(Registro_Compras!$F$317="NOTA DE CREDITO",ABS(Registro_Compras!$O$317),IF(Registro_Compras!$F$317="RHE",ROUND(Registro_Compras!$L$317*Registro_Compras!$N$317,2),ROUND(Registro_Compras!$J$317*Registro_Compras!$N$317,2))))</f>
        <v/>
      </c>
      <c r="F2822" s="20" t="str">
        <f>""</f>
        <v/>
      </c>
      <c r="G2822" t="str">
        <f>IF($C2822="","",IF(Registro_Compras!$F$317="NOTA DE CREDITO","Por la nota de credito "&amp;Registro_Compras!$C$317&amp;" de "&amp;Registro_Compras!$E$317&amp;" [PATRON POR CONFIRMAR CON CONTADOR]",IF(Registro_Compras!$F$317="RHE","Por el registro del recibo por honorarios "&amp;Registro_Compras!$C$317&amp;" de "&amp;Registro_Compras!$E$317&amp;" [PATRON POR CONFIRMAR CON CONTADOR]","Por el registro de la factura "&amp;Registro_Compras!$C$317&amp;" de "&amp;Registro_Compras!$E$317)))</f>
        <v/>
      </c>
      <c r="H2822" t="str">
        <f>IF($C2822="","",Registro_Compras!$C$317)</f>
        <v/>
      </c>
    </row>
    <row r="2823" spans="1:8" x14ac:dyDescent="0.25">
      <c r="A2823" s="25" t="str">
        <f>IF($C2823="","",Registro_Compras!$B$317)</f>
        <v/>
      </c>
      <c r="B2823" t="str">
        <f>IF($C2823="","","C"&amp;TEXT(INT((ROW()-5)/9)+1,"000")&amp;"-1")</f>
        <v/>
      </c>
      <c r="C2823" t="str">
        <f>IF(OR(Registro_Compras!$C$317="",Registro_Compras!$O$317=""),"",IF(Registro_Compras!$F$317="RHE",IF(Registro_Compras!$V$317=0,"","4017"),IF(Registro_Compras!$F$317="NOTA DE CREDITO",IF(Registro_Compras!$M$317="","63",Registro_Compras!$M$317),IF(Registro_Compras!$K$317=0,"","40111"))))</f>
        <v/>
      </c>
      <c r="D2823" t="str">
        <f>IF(OR(Registro_Compras!$C$317="",Registro_Compras!$O$317=""),"",IF(Registro_Compras!$F$317="RHE","Retencion Renta 4ta Categoria por Pagar",IF(Registro_Compras!$F$317="NOTA DE CREDITO","Gastos de Servicios Prestados por Terceros","IGV - Cuenta Propia (Credito Fiscal)")))</f>
        <v/>
      </c>
      <c r="E2823" s="20" t="str">
        <f>IF($C2823="","",IF(Registro_Compras!$F$317="FACTURA",ROUND(Registro_Compras!$K$317*Registro_Compras!$N$317,2),""))</f>
        <v/>
      </c>
      <c r="F2823" s="20" t="str">
        <f>IF($C2823="","",IF(Registro_Compras!$F$317="RHE",ROUND(Registro_Compras!$V$317*Registro_Compras!$N$317,2),IF(Registro_Compras!$F$317="NOTA DE CREDITO",ROUND(ABS(Registro_Compras!$J$317*Registro_Compras!$N$317),2),"")))</f>
        <v/>
      </c>
      <c r="G2823" t="str">
        <f>IF($C2823="","",IF(Registro_Compras!$F$317="NOTA DE CREDITO","Por la nota de credito "&amp;Registro_Compras!$C$317&amp;" de "&amp;Registro_Compras!$E$317&amp;" [PATRON POR CONFIRMAR CON CONTADOR]",IF(Registro_Compras!$F$317="RHE","Por el registro del recibo por honorarios "&amp;Registro_Compras!$C$317&amp;" de "&amp;Registro_Compras!$E$317&amp;" [PATRON POR CONFIRMAR CON CONTADOR]","Por el registro de la factura "&amp;Registro_Compras!$C$317&amp;" de "&amp;Registro_Compras!$E$317)))</f>
        <v/>
      </c>
      <c r="H2823" t="str">
        <f>IF($C2823="","",Registro_Compras!$C$317)</f>
        <v/>
      </c>
    </row>
    <row r="2824" spans="1:8" x14ac:dyDescent="0.25">
      <c r="A2824" s="25" t="str">
        <f>IF($C2824="","",Registro_Compras!$B$317)</f>
        <v/>
      </c>
      <c r="B2824" t="str">
        <f>IF($C2824="","","C"&amp;TEXT(INT((ROW()-5)/9)+1,"000")&amp;"-1")</f>
        <v/>
      </c>
      <c r="C2824" t="str">
        <f>IF(OR(Registro_Compras!$C$317="",Registro_Compras!$O$317=""),"",IF(Registro_Compras!$F$317="NOTA DE CREDITO",IF(Registro_Compras!$K$317=0,"","40111"),"4212"))</f>
        <v/>
      </c>
      <c r="D2824" t="str">
        <f>IF(OR(Registro_Compras!$C$317="",Registro_Compras!$O$317=""),"",IF(Registro_Compras!$F$317="NOTA DE CREDITO","IGV - Cuenta Propia (Credito Fiscal)","Cuentas por Pagar Comerciales - Terceros (Emitidas)"))</f>
        <v/>
      </c>
      <c r="E2824" s="20" t="str">
        <f>""</f>
        <v/>
      </c>
      <c r="F2824" s="20" t="str">
        <f>IF($C2824="","",IF(Registro_Compras!$F$317="NOTA DE CREDITO",ROUND(ABS(Registro_Compras!$K$317*Registro_Compras!$N$317),2),IF(Registro_Compras!$F$317="RHE",(ROUND(Registro_Compras!$L$317*Registro_Compras!$N$317,2)-ROUND(Registro_Compras!$V$317*Registro_Compras!$N$317,2)),Registro_Compras!$O$317)))</f>
        <v/>
      </c>
      <c r="G2824" t="str">
        <f>IF($C2824="","",IF(Registro_Compras!$F$317="NOTA DE CREDITO","Por la nota de credito "&amp;Registro_Compras!$C$317&amp;" de "&amp;Registro_Compras!$E$317&amp;" [PATRON POR CONFIRMAR CON CONTADOR]",IF(Registro_Compras!$F$317="RHE","Por el registro del recibo por honorarios "&amp;Registro_Compras!$C$317&amp;" de "&amp;Registro_Compras!$E$317&amp;" [PATRON POR CONFIRMAR CON CONTADOR]","Por el registro de la factura "&amp;Registro_Compras!$C$317&amp;" de "&amp;Registro_Compras!$E$317)))</f>
        <v/>
      </c>
      <c r="H2824" t="str">
        <f>IF($C2824="","",Registro_Compras!$C$317)</f>
        <v/>
      </c>
    </row>
    <row r="2825" spans="1:8" x14ac:dyDescent="0.25">
      <c r="A2825" s="25" t="str">
        <f>IF($C2825="","",Registro_Compras!$B$317)</f>
        <v/>
      </c>
      <c r="B2825" t="str">
        <f>IF($C2825="","","C"&amp;TEXT(INT((ROW()-5)/9)+1,"000")&amp;"-2")</f>
        <v/>
      </c>
      <c r="C2825" t="str">
        <f>IF(OR(Registro_Compras!$C$317="",Registro_Compras!$O$317=""),"",IF(Registro_Compras!$AB$317="ADMINISTRATIVO","94","95"))</f>
        <v/>
      </c>
      <c r="D2825" t="str">
        <f>IF(OR(Registro_Compras!$C$317="",Registro_Compras!$O$317=""),"",IF(Registro_Compras!$AB$317="ADMINISTRATIVO","Gastos Administrativos","Gastos de Venta y Operacion"))</f>
        <v/>
      </c>
      <c r="E2825" s="20" t="str">
        <f>IF($C2825="","",IF(Registro_Compras!$F$317="NOTA DE CREDITO","",IF(Registro_Compras!$F$317="RHE",ROUND(Registro_Compras!$L$317*Registro_Compras!$N$317,2),ROUND(Registro_Compras!$J$317*Registro_Compras!$N$317,2))))</f>
        <v/>
      </c>
      <c r="F2825" s="20" t="str">
        <f>IF($C2825="","",IF(Registro_Compras!$F$317="NOTA DE CREDITO",ROUND(ABS(Registro_Compras!$J$317*Registro_Compras!$N$317),2),""))</f>
        <v/>
      </c>
      <c r="G2825" t="str">
        <f>IF($C2825="","","Por el destino del gasto")</f>
        <v/>
      </c>
      <c r="H2825" t="str">
        <f>IF($C2825="","",Registro_Compras!$C$317)</f>
        <v/>
      </c>
    </row>
    <row r="2826" spans="1:8" x14ac:dyDescent="0.25">
      <c r="A2826" s="25" t="str">
        <f>IF($C2826="","",Registro_Compras!$B$317)</f>
        <v/>
      </c>
      <c r="B2826" t="str">
        <f>IF($C2826="","","C"&amp;TEXT(INT((ROW()-5)/9)+1,"000")&amp;"-2")</f>
        <v/>
      </c>
      <c r="C2826" t="str">
        <f>IF(OR(Registro_Compras!$C$317="",Registro_Compras!$O$317=""),"","79/791")</f>
        <v/>
      </c>
      <c r="D2826" t="str">
        <f>IF(OR(Registro_Compras!$C$317="",Registro_Compras!$O$317=""),"","Cargas Imputables a Cuentas de Costos y Gastos")</f>
        <v/>
      </c>
      <c r="E2826" s="20" t="str">
        <f>IF($C2826="","",IF(Registro_Compras!$F$317="NOTA DE CREDITO",ROUND(ABS(Registro_Compras!$J$317*Registro_Compras!$N$317),2),""))</f>
        <v/>
      </c>
      <c r="F2826" s="20" t="str">
        <f>IF($C2826="","",IF(Registro_Compras!$F$317="NOTA DE CREDITO","",IF(Registro_Compras!$F$317="RHE",ROUND(Registro_Compras!$L$317*Registro_Compras!$N$317,2),ROUND(Registro_Compras!$J$317*Registro_Compras!$N$317,2))))</f>
        <v/>
      </c>
      <c r="G2826" t="str">
        <f>IF($C2826="","","Por el destino del gasto")</f>
        <v/>
      </c>
      <c r="H2826" t="str">
        <f>IF($C2826="","",Registro_Compras!$C$317)</f>
        <v/>
      </c>
    </row>
    <row r="2827" spans="1:8" x14ac:dyDescent="0.25">
      <c r="A2827" s="25" t="str">
        <f>IF($C2827="","",Registro_Compras!$X$317)</f>
        <v/>
      </c>
      <c r="B2827" t="str">
        <f>IF($C2827="","","C"&amp;TEXT(INT((ROW()-5)/9)+1,"000")&amp;"-3")</f>
        <v/>
      </c>
      <c r="C2827" t="str">
        <f>IF(OR(Registro_Compras!$C$317="",Registro_Compras!$O$317="",Registro_Compras!$R$317&lt;&gt;"SI",Registro_Compras!$X$317=""),"","4212")</f>
        <v/>
      </c>
      <c r="D2827" t="str">
        <f>IF(OR(Registro_Compras!$C$317="",Registro_Compras!$O$317=""),"","Cuentas por Pagar Comerciales - Terceros")</f>
        <v/>
      </c>
      <c r="E2827" s="20" t="str">
        <f>IF($C2827="","",Registro_Compras!$S$317)</f>
        <v/>
      </c>
      <c r="F2827" s="20" t="str">
        <f>""</f>
        <v/>
      </c>
      <c r="G2827" t="str">
        <f>IF($C2827="","","Por el deposito de la detraccion en el Banco de la Nacion")</f>
        <v/>
      </c>
      <c r="H2827" t="str">
        <f>IF($C2827="","",Registro_Compras!$C$317)</f>
        <v/>
      </c>
    </row>
    <row r="2828" spans="1:8" x14ac:dyDescent="0.25">
      <c r="A2828" s="25" t="str">
        <f>IF($C2828="","",Registro_Compras!$X$317)</f>
        <v/>
      </c>
      <c r="B2828" t="str">
        <f>IF($C2828="","","C"&amp;TEXT(INT((ROW()-5)/9)+1,"000")&amp;"-3")</f>
        <v/>
      </c>
      <c r="C2828" t="str">
        <f>IF(OR(Registro_Compras!$C$317="",Registro_Compras!$O$317="",Registro_Compras!$R$317&lt;&gt;"SI",Registro_Compras!$X$317=""),"","1041")</f>
        <v/>
      </c>
      <c r="D2828" t="str">
        <f>IF(OR(Registro_Compras!$C$317="",Registro_Compras!$O$317=""),"","Efectivo y Equivalentes - Cta. Cte. Operativa")</f>
        <v/>
      </c>
      <c r="E2828" s="20" t="str">
        <f>""</f>
        <v/>
      </c>
      <c r="F2828" s="20" t="str">
        <f>IF($C2828="","",Registro_Compras!$S$317)</f>
        <v/>
      </c>
      <c r="G2828" t="str">
        <f>IF($C2828="","","Por el deposito de la detraccion en el Banco de la Nacion")</f>
        <v/>
      </c>
      <c r="H2828" t="str">
        <f>IF($C2828="","",Registro_Compras!$C$317)</f>
        <v/>
      </c>
    </row>
    <row r="2829" spans="1:8" x14ac:dyDescent="0.25">
      <c r="A2829" s="25" t="str">
        <f>IF($C2829="","",Registro_Compras!$Y$317)</f>
        <v/>
      </c>
      <c r="B2829" t="str">
        <f>IF($C2829="","","C"&amp;TEXT(INT((ROW()-5)/9)+1,"000")&amp;"-4")</f>
        <v/>
      </c>
      <c r="C2829" t="str">
        <f>IF(OR(Registro_Compras!$C$317="",Registro_Compras!$O$317="",Registro_Compras!$Y$317="",Registro_Compras!$F$317="NOTA DE CREDITO"),"","4212")</f>
        <v/>
      </c>
      <c r="D2829" t="str">
        <f>IF(OR(Registro_Compras!$C$317="",Registro_Compras!$O$317=""),"","Cuentas por Pagar Comerciales - Terceros")</f>
        <v/>
      </c>
      <c r="E2829" s="20" t="str">
        <f>IF($C2829="","",IF(Registro_Compras!$F$317="RHE",(ROUND(Registro_Compras!$L$317*Registro_Compras!$N$317,2)-ROUND(Registro_Compras!$V$317*Registro_Compras!$N$317,2)),ROUND(Registro_Compras!$O$317-Registro_Compras!$S$317,2)))</f>
        <v/>
      </c>
      <c r="F2829" s="20" t="str">
        <f>""</f>
        <v/>
      </c>
      <c r="G2829" t="str">
        <f>IF($C2829="","","Por la cancelacion del saldo al proveedor")</f>
        <v/>
      </c>
      <c r="H2829" t="str">
        <f>IF($C2829="","",Registro_Compras!$C$317)</f>
        <v/>
      </c>
    </row>
    <row r="2830" spans="1:8" x14ac:dyDescent="0.25">
      <c r="A2830" s="25" t="str">
        <f>IF($C2830="","",Registro_Compras!$Y$317)</f>
        <v/>
      </c>
      <c r="B2830" t="str">
        <f>IF($C2830="","","C"&amp;TEXT(INT((ROW()-5)/9)+1,"000")&amp;"-4")</f>
        <v/>
      </c>
      <c r="C2830" t="str">
        <f>IF(OR(Registro_Compras!$C$317="",Registro_Compras!$O$317="",Registro_Compras!$Y$317="",Registro_Compras!$F$317="NOTA DE CREDITO"),"","1041")</f>
        <v/>
      </c>
      <c r="D2830" t="str">
        <f>IF(OR(Registro_Compras!$C$317="",Registro_Compras!$O$317=""),"","Efectivo y Equivalentes - Cta. Cte. Operativa")</f>
        <v/>
      </c>
      <c r="E2830" s="20" t="str">
        <f>""</f>
        <v/>
      </c>
      <c r="F2830" s="20" t="str">
        <f>IF($C2830="","",IF(Registro_Compras!$F$317="RHE",(ROUND(Registro_Compras!$L$317*Registro_Compras!$N$317,2)-ROUND(Registro_Compras!$V$317*Registro_Compras!$N$317,2)),ROUND(Registro_Compras!$O$317-Registro_Compras!$S$317,2)))</f>
        <v/>
      </c>
      <c r="G2830" t="str">
        <f>IF($C2830="","","Por la cancelacion del saldo al proveedor")</f>
        <v/>
      </c>
      <c r="H2830" t="str">
        <f>IF($C2830="","",Registro_Compras!$C$317)</f>
        <v/>
      </c>
    </row>
    <row r="2831" spans="1:8" x14ac:dyDescent="0.25">
      <c r="A2831" s="25" t="str">
        <f>IF($C2831="","",Registro_Compras!$B$318)</f>
        <v/>
      </c>
      <c r="B2831" t="str">
        <f>IF($C2831="","","C"&amp;TEXT(INT((ROW()-5)/9)+1,"000")&amp;"-1")</f>
        <v/>
      </c>
      <c r="C2831" t="str">
        <f>IF(OR(Registro_Compras!$C$318="",Registro_Compras!$O$318=""),"",IF(Registro_Compras!$F$318="NOTA DE CREDITO","4212",IF(Registro_Compras!$M$318="","63",Registro_Compras!$M$318)))</f>
        <v/>
      </c>
      <c r="D2831" t="str">
        <f>IF(OR(Registro_Compras!$C$318="",Registro_Compras!$O$318=""),"",IF(Registro_Compras!$F$318="NOTA DE CREDITO","Cuentas por Pagar Comerciales - Terceros (Emitidas)",IF(Registro_Compras!$F$318="RHE","Honorarios Profesionales - Servicios de Terceros","Gastos de Servicios Prestados por Terceros")))</f>
        <v/>
      </c>
      <c r="E2831" s="20" t="str">
        <f>IF($C2831="","",IF(Registro_Compras!$F$318="NOTA DE CREDITO",ABS(Registro_Compras!$O$318),IF(Registro_Compras!$F$318="RHE",ROUND(Registro_Compras!$L$318*Registro_Compras!$N$318,2),ROUND(Registro_Compras!$J$318*Registro_Compras!$N$318,2))))</f>
        <v/>
      </c>
      <c r="F2831" s="20" t="str">
        <f>""</f>
        <v/>
      </c>
      <c r="G2831" t="str">
        <f>IF($C2831="","",IF(Registro_Compras!$F$318="NOTA DE CREDITO","Por la nota de credito "&amp;Registro_Compras!$C$318&amp;" de "&amp;Registro_Compras!$E$318&amp;" [PATRON POR CONFIRMAR CON CONTADOR]",IF(Registro_Compras!$F$318="RHE","Por el registro del recibo por honorarios "&amp;Registro_Compras!$C$318&amp;" de "&amp;Registro_Compras!$E$318&amp;" [PATRON POR CONFIRMAR CON CONTADOR]","Por el registro de la factura "&amp;Registro_Compras!$C$318&amp;" de "&amp;Registro_Compras!$E$318)))</f>
        <v/>
      </c>
      <c r="H2831" t="str">
        <f>IF($C2831="","",Registro_Compras!$C$318)</f>
        <v/>
      </c>
    </row>
    <row r="2832" spans="1:8" x14ac:dyDescent="0.25">
      <c r="A2832" s="25" t="str">
        <f>IF($C2832="","",Registro_Compras!$B$318)</f>
        <v/>
      </c>
      <c r="B2832" t="str">
        <f>IF($C2832="","","C"&amp;TEXT(INT((ROW()-5)/9)+1,"000")&amp;"-1")</f>
        <v/>
      </c>
      <c r="C2832" t="str">
        <f>IF(OR(Registro_Compras!$C$318="",Registro_Compras!$O$318=""),"",IF(Registro_Compras!$F$318="RHE",IF(Registro_Compras!$V$318=0,"","4017"),IF(Registro_Compras!$F$318="NOTA DE CREDITO",IF(Registro_Compras!$M$318="","63",Registro_Compras!$M$318),IF(Registro_Compras!$K$318=0,"","40111"))))</f>
        <v/>
      </c>
      <c r="D2832" t="str">
        <f>IF(OR(Registro_Compras!$C$318="",Registro_Compras!$O$318=""),"",IF(Registro_Compras!$F$318="RHE","Retencion Renta 4ta Categoria por Pagar",IF(Registro_Compras!$F$318="NOTA DE CREDITO","Gastos de Servicios Prestados por Terceros","IGV - Cuenta Propia (Credito Fiscal)")))</f>
        <v/>
      </c>
      <c r="E2832" s="20" t="str">
        <f>IF($C2832="","",IF(Registro_Compras!$F$318="FACTURA",ROUND(Registro_Compras!$K$318*Registro_Compras!$N$318,2),""))</f>
        <v/>
      </c>
      <c r="F2832" s="20" t="str">
        <f>IF($C2832="","",IF(Registro_Compras!$F$318="RHE",ROUND(Registro_Compras!$V$318*Registro_Compras!$N$318,2),IF(Registro_Compras!$F$318="NOTA DE CREDITO",ROUND(ABS(Registro_Compras!$J$318*Registro_Compras!$N$318),2),"")))</f>
        <v/>
      </c>
      <c r="G2832" t="str">
        <f>IF($C2832="","",IF(Registro_Compras!$F$318="NOTA DE CREDITO","Por la nota de credito "&amp;Registro_Compras!$C$318&amp;" de "&amp;Registro_Compras!$E$318&amp;" [PATRON POR CONFIRMAR CON CONTADOR]",IF(Registro_Compras!$F$318="RHE","Por el registro del recibo por honorarios "&amp;Registro_Compras!$C$318&amp;" de "&amp;Registro_Compras!$E$318&amp;" [PATRON POR CONFIRMAR CON CONTADOR]","Por el registro de la factura "&amp;Registro_Compras!$C$318&amp;" de "&amp;Registro_Compras!$E$318)))</f>
        <v/>
      </c>
      <c r="H2832" t="str">
        <f>IF($C2832="","",Registro_Compras!$C$318)</f>
        <v/>
      </c>
    </row>
    <row r="2833" spans="1:8" x14ac:dyDescent="0.25">
      <c r="A2833" s="25" t="str">
        <f>IF($C2833="","",Registro_Compras!$B$318)</f>
        <v/>
      </c>
      <c r="B2833" t="str">
        <f>IF($C2833="","","C"&amp;TEXT(INT((ROW()-5)/9)+1,"000")&amp;"-1")</f>
        <v/>
      </c>
      <c r="C2833" t="str">
        <f>IF(OR(Registro_Compras!$C$318="",Registro_Compras!$O$318=""),"",IF(Registro_Compras!$F$318="NOTA DE CREDITO",IF(Registro_Compras!$K$318=0,"","40111"),"4212"))</f>
        <v/>
      </c>
      <c r="D2833" t="str">
        <f>IF(OR(Registro_Compras!$C$318="",Registro_Compras!$O$318=""),"",IF(Registro_Compras!$F$318="NOTA DE CREDITO","IGV - Cuenta Propia (Credito Fiscal)","Cuentas por Pagar Comerciales - Terceros (Emitidas)"))</f>
        <v/>
      </c>
      <c r="E2833" s="20" t="str">
        <f>""</f>
        <v/>
      </c>
      <c r="F2833" s="20" t="str">
        <f>IF($C2833="","",IF(Registro_Compras!$F$318="NOTA DE CREDITO",ROUND(ABS(Registro_Compras!$K$318*Registro_Compras!$N$318),2),IF(Registro_Compras!$F$318="RHE",(ROUND(Registro_Compras!$L$318*Registro_Compras!$N$318,2)-ROUND(Registro_Compras!$V$318*Registro_Compras!$N$318,2)),Registro_Compras!$O$318)))</f>
        <v/>
      </c>
      <c r="G2833" t="str">
        <f>IF($C2833="","",IF(Registro_Compras!$F$318="NOTA DE CREDITO","Por la nota de credito "&amp;Registro_Compras!$C$318&amp;" de "&amp;Registro_Compras!$E$318&amp;" [PATRON POR CONFIRMAR CON CONTADOR]",IF(Registro_Compras!$F$318="RHE","Por el registro del recibo por honorarios "&amp;Registro_Compras!$C$318&amp;" de "&amp;Registro_Compras!$E$318&amp;" [PATRON POR CONFIRMAR CON CONTADOR]","Por el registro de la factura "&amp;Registro_Compras!$C$318&amp;" de "&amp;Registro_Compras!$E$318)))</f>
        <v/>
      </c>
      <c r="H2833" t="str">
        <f>IF($C2833="","",Registro_Compras!$C$318)</f>
        <v/>
      </c>
    </row>
    <row r="2834" spans="1:8" x14ac:dyDescent="0.25">
      <c r="A2834" s="25" t="str">
        <f>IF($C2834="","",Registro_Compras!$B$318)</f>
        <v/>
      </c>
      <c r="B2834" t="str">
        <f>IF($C2834="","","C"&amp;TEXT(INT((ROW()-5)/9)+1,"000")&amp;"-2")</f>
        <v/>
      </c>
      <c r="C2834" t="str">
        <f>IF(OR(Registro_Compras!$C$318="",Registro_Compras!$O$318=""),"",IF(Registro_Compras!$AB$318="ADMINISTRATIVO","94","95"))</f>
        <v/>
      </c>
      <c r="D2834" t="str">
        <f>IF(OR(Registro_Compras!$C$318="",Registro_Compras!$O$318=""),"",IF(Registro_Compras!$AB$318="ADMINISTRATIVO","Gastos Administrativos","Gastos de Venta y Operacion"))</f>
        <v/>
      </c>
      <c r="E2834" s="20" t="str">
        <f>IF($C2834="","",IF(Registro_Compras!$F$318="NOTA DE CREDITO","",IF(Registro_Compras!$F$318="RHE",ROUND(Registro_Compras!$L$318*Registro_Compras!$N$318,2),ROUND(Registro_Compras!$J$318*Registro_Compras!$N$318,2))))</f>
        <v/>
      </c>
      <c r="F2834" s="20" t="str">
        <f>IF($C2834="","",IF(Registro_Compras!$F$318="NOTA DE CREDITO",ROUND(ABS(Registro_Compras!$J$318*Registro_Compras!$N$318),2),""))</f>
        <v/>
      </c>
      <c r="G2834" t="str">
        <f>IF($C2834="","","Por el destino del gasto")</f>
        <v/>
      </c>
      <c r="H2834" t="str">
        <f>IF($C2834="","",Registro_Compras!$C$318)</f>
        <v/>
      </c>
    </row>
    <row r="2835" spans="1:8" x14ac:dyDescent="0.25">
      <c r="A2835" s="25" t="str">
        <f>IF($C2835="","",Registro_Compras!$B$318)</f>
        <v/>
      </c>
      <c r="B2835" t="str">
        <f>IF($C2835="","","C"&amp;TEXT(INT((ROW()-5)/9)+1,"000")&amp;"-2")</f>
        <v/>
      </c>
      <c r="C2835" t="str">
        <f>IF(OR(Registro_Compras!$C$318="",Registro_Compras!$O$318=""),"","79/791")</f>
        <v/>
      </c>
      <c r="D2835" t="str">
        <f>IF(OR(Registro_Compras!$C$318="",Registro_Compras!$O$318=""),"","Cargas Imputables a Cuentas de Costos y Gastos")</f>
        <v/>
      </c>
      <c r="E2835" s="20" t="str">
        <f>IF($C2835="","",IF(Registro_Compras!$F$318="NOTA DE CREDITO",ROUND(ABS(Registro_Compras!$J$318*Registro_Compras!$N$318),2),""))</f>
        <v/>
      </c>
      <c r="F2835" s="20" t="str">
        <f>IF($C2835="","",IF(Registro_Compras!$F$318="NOTA DE CREDITO","",IF(Registro_Compras!$F$318="RHE",ROUND(Registro_Compras!$L$318*Registro_Compras!$N$318,2),ROUND(Registro_Compras!$J$318*Registro_Compras!$N$318,2))))</f>
        <v/>
      </c>
      <c r="G2835" t="str">
        <f>IF($C2835="","","Por el destino del gasto")</f>
        <v/>
      </c>
      <c r="H2835" t="str">
        <f>IF($C2835="","",Registro_Compras!$C$318)</f>
        <v/>
      </c>
    </row>
    <row r="2836" spans="1:8" x14ac:dyDescent="0.25">
      <c r="A2836" s="25" t="str">
        <f>IF($C2836="","",Registro_Compras!$X$318)</f>
        <v/>
      </c>
      <c r="B2836" t="str">
        <f>IF($C2836="","","C"&amp;TEXT(INT((ROW()-5)/9)+1,"000")&amp;"-3")</f>
        <v/>
      </c>
      <c r="C2836" t="str">
        <f>IF(OR(Registro_Compras!$C$318="",Registro_Compras!$O$318="",Registro_Compras!$R$318&lt;&gt;"SI",Registro_Compras!$X$318=""),"","4212")</f>
        <v/>
      </c>
      <c r="D2836" t="str">
        <f>IF(OR(Registro_Compras!$C$318="",Registro_Compras!$O$318=""),"","Cuentas por Pagar Comerciales - Terceros")</f>
        <v/>
      </c>
      <c r="E2836" s="20" t="str">
        <f>IF($C2836="","",Registro_Compras!$S$318)</f>
        <v/>
      </c>
      <c r="F2836" s="20" t="str">
        <f>""</f>
        <v/>
      </c>
      <c r="G2836" t="str">
        <f>IF($C2836="","","Por el deposito de la detraccion en el Banco de la Nacion")</f>
        <v/>
      </c>
      <c r="H2836" t="str">
        <f>IF($C2836="","",Registro_Compras!$C$318)</f>
        <v/>
      </c>
    </row>
    <row r="2837" spans="1:8" x14ac:dyDescent="0.25">
      <c r="A2837" s="25" t="str">
        <f>IF($C2837="","",Registro_Compras!$X$318)</f>
        <v/>
      </c>
      <c r="B2837" t="str">
        <f>IF($C2837="","","C"&amp;TEXT(INT((ROW()-5)/9)+1,"000")&amp;"-3")</f>
        <v/>
      </c>
      <c r="C2837" t="str">
        <f>IF(OR(Registro_Compras!$C$318="",Registro_Compras!$O$318="",Registro_Compras!$R$318&lt;&gt;"SI",Registro_Compras!$X$318=""),"","1041")</f>
        <v/>
      </c>
      <c r="D2837" t="str">
        <f>IF(OR(Registro_Compras!$C$318="",Registro_Compras!$O$318=""),"","Efectivo y Equivalentes - Cta. Cte. Operativa")</f>
        <v/>
      </c>
      <c r="E2837" s="20" t="str">
        <f>""</f>
        <v/>
      </c>
      <c r="F2837" s="20" t="str">
        <f>IF($C2837="","",Registro_Compras!$S$318)</f>
        <v/>
      </c>
      <c r="G2837" t="str">
        <f>IF($C2837="","","Por el deposito de la detraccion en el Banco de la Nacion")</f>
        <v/>
      </c>
      <c r="H2837" t="str">
        <f>IF($C2837="","",Registro_Compras!$C$318)</f>
        <v/>
      </c>
    </row>
    <row r="2838" spans="1:8" x14ac:dyDescent="0.25">
      <c r="A2838" s="25" t="str">
        <f>IF($C2838="","",Registro_Compras!$Y$318)</f>
        <v/>
      </c>
      <c r="B2838" t="str">
        <f>IF($C2838="","","C"&amp;TEXT(INT((ROW()-5)/9)+1,"000")&amp;"-4")</f>
        <v/>
      </c>
      <c r="C2838" t="str">
        <f>IF(OR(Registro_Compras!$C$318="",Registro_Compras!$O$318="",Registro_Compras!$Y$318="",Registro_Compras!$F$318="NOTA DE CREDITO"),"","4212")</f>
        <v/>
      </c>
      <c r="D2838" t="str">
        <f>IF(OR(Registro_Compras!$C$318="",Registro_Compras!$O$318=""),"","Cuentas por Pagar Comerciales - Terceros")</f>
        <v/>
      </c>
      <c r="E2838" s="20" t="str">
        <f>IF($C2838="","",IF(Registro_Compras!$F$318="RHE",(ROUND(Registro_Compras!$L$318*Registro_Compras!$N$318,2)-ROUND(Registro_Compras!$V$318*Registro_Compras!$N$318,2)),ROUND(Registro_Compras!$O$318-Registro_Compras!$S$318,2)))</f>
        <v/>
      </c>
      <c r="F2838" s="20" t="str">
        <f>""</f>
        <v/>
      </c>
      <c r="G2838" t="str">
        <f>IF($C2838="","","Por la cancelacion del saldo al proveedor")</f>
        <v/>
      </c>
      <c r="H2838" t="str">
        <f>IF($C2838="","",Registro_Compras!$C$318)</f>
        <v/>
      </c>
    </row>
    <row r="2839" spans="1:8" x14ac:dyDescent="0.25">
      <c r="A2839" s="25" t="str">
        <f>IF($C2839="","",Registro_Compras!$Y$318)</f>
        <v/>
      </c>
      <c r="B2839" t="str">
        <f>IF($C2839="","","C"&amp;TEXT(INT((ROW()-5)/9)+1,"000")&amp;"-4")</f>
        <v/>
      </c>
      <c r="C2839" t="str">
        <f>IF(OR(Registro_Compras!$C$318="",Registro_Compras!$O$318="",Registro_Compras!$Y$318="",Registro_Compras!$F$318="NOTA DE CREDITO"),"","1041")</f>
        <v/>
      </c>
      <c r="D2839" t="str">
        <f>IF(OR(Registro_Compras!$C$318="",Registro_Compras!$O$318=""),"","Efectivo y Equivalentes - Cta. Cte. Operativa")</f>
        <v/>
      </c>
      <c r="E2839" s="20" t="str">
        <f>""</f>
        <v/>
      </c>
      <c r="F2839" s="20" t="str">
        <f>IF($C2839="","",IF(Registro_Compras!$F$318="RHE",(ROUND(Registro_Compras!$L$318*Registro_Compras!$N$318,2)-ROUND(Registro_Compras!$V$318*Registro_Compras!$N$318,2)),ROUND(Registro_Compras!$O$318-Registro_Compras!$S$318,2)))</f>
        <v/>
      </c>
      <c r="G2839" t="str">
        <f>IF($C2839="","","Por la cancelacion del saldo al proveedor")</f>
        <v/>
      </c>
      <c r="H2839" t="str">
        <f>IF($C2839="","",Registro_Compras!$C$318)</f>
        <v/>
      </c>
    </row>
    <row r="2840" spans="1:8" x14ac:dyDescent="0.25">
      <c r="A2840" s="25" t="str">
        <f>IF($C2840="","",Registro_Compras!$B$319)</f>
        <v/>
      </c>
      <c r="B2840" t="str">
        <f>IF($C2840="","","C"&amp;TEXT(INT((ROW()-5)/9)+1,"000")&amp;"-1")</f>
        <v/>
      </c>
      <c r="C2840" t="str">
        <f>IF(OR(Registro_Compras!$C$319="",Registro_Compras!$O$319=""),"",IF(Registro_Compras!$F$319="NOTA DE CREDITO","4212",IF(Registro_Compras!$M$319="","63",Registro_Compras!$M$319)))</f>
        <v/>
      </c>
      <c r="D2840" t="str">
        <f>IF(OR(Registro_Compras!$C$319="",Registro_Compras!$O$319=""),"",IF(Registro_Compras!$F$319="NOTA DE CREDITO","Cuentas por Pagar Comerciales - Terceros (Emitidas)",IF(Registro_Compras!$F$319="RHE","Honorarios Profesionales - Servicios de Terceros","Gastos de Servicios Prestados por Terceros")))</f>
        <v/>
      </c>
      <c r="E2840" s="20" t="str">
        <f>IF($C2840="","",IF(Registro_Compras!$F$319="NOTA DE CREDITO",ABS(Registro_Compras!$O$319),IF(Registro_Compras!$F$319="RHE",ROUND(Registro_Compras!$L$319*Registro_Compras!$N$319,2),ROUND(Registro_Compras!$J$319*Registro_Compras!$N$319,2))))</f>
        <v/>
      </c>
      <c r="F2840" s="20" t="str">
        <f>""</f>
        <v/>
      </c>
      <c r="G2840" t="str">
        <f>IF($C2840="","",IF(Registro_Compras!$F$319="NOTA DE CREDITO","Por la nota de credito "&amp;Registro_Compras!$C$319&amp;" de "&amp;Registro_Compras!$E$319&amp;" [PATRON POR CONFIRMAR CON CONTADOR]",IF(Registro_Compras!$F$319="RHE","Por el registro del recibo por honorarios "&amp;Registro_Compras!$C$319&amp;" de "&amp;Registro_Compras!$E$319&amp;" [PATRON POR CONFIRMAR CON CONTADOR]","Por el registro de la factura "&amp;Registro_Compras!$C$319&amp;" de "&amp;Registro_Compras!$E$319)))</f>
        <v/>
      </c>
      <c r="H2840" t="str">
        <f>IF($C2840="","",Registro_Compras!$C$319)</f>
        <v/>
      </c>
    </row>
    <row r="2841" spans="1:8" x14ac:dyDescent="0.25">
      <c r="A2841" s="25" t="str">
        <f>IF($C2841="","",Registro_Compras!$B$319)</f>
        <v/>
      </c>
      <c r="B2841" t="str">
        <f>IF($C2841="","","C"&amp;TEXT(INT((ROW()-5)/9)+1,"000")&amp;"-1")</f>
        <v/>
      </c>
      <c r="C2841" t="str">
        <f>IF(OR(Registro_Compras!$C$319="",Registro_Compras!$O$319=""),"",IF(Registro_Compras!$F$319="RHE",IF(Registro_Compras!$V$319=0,"","4017"),IF(Registro_Compras!$F$319="NOTA DE CREDITO",IF(Registro_Compras!$M$319="","63",Registro_Compras!$M$319),IF(Registro_Compras!$K$319=0,"","40111"))))</f>
        <v/>
      </c>
      <c r="D2841" t="str">
        <f>IF(OR(Registro_Compras!$C$319="",Registro_Compras!$O$319=""),"",IF(Registro_Compras!$F$319="RHE","Retencion Renta 4ta Categoria por Pagar",IF(Registro_Compras!$F$319="NOTA DE CREDITO","Gastos de Servicios Prestados por Terceros","IGV - Cuenta Propia (Credito Fiscal)")))</f>
        <v/>
      </c>
      <c r="E2841" s="20" t="str">
        <f>IF($C2841="","",IF(Registro_Compras!$F$319="FACTURA",ROUND(Registro_Compras!$K$319*Registro_Compras!$N$319,2),""))</f>
        <v/>
      </c>
      <c r="F2841" s="20" t="str">
        <f>IF($C2841="","",IF(Registro_Compras!$F$319="RHE",ROUND(Registro_Compras!$V$319*Registro_Compras!$N$319,2),IF(Registro_Compras!$F$319="NOTA DE CREDITO",ROUND(ABS(Registro_Compras!$J$319*Registro_Compras!$N$319),2),"")))</f>
        <v/>
      </c>
      <c r="G2841" t="str">
        <f>IF($C2841="","",IF(Registro_Compras!$F$319="NOTA DE CREDITO","Por la nota de credito "&amp;Registro_Compras!$C$319&amp;" de "&amp;Registro_Compras!$E$319&amp;" [PATRON POR CONFIRMAR CON CONTADOR]",IF(Registro_Compras!$F$319="RHE","Por el registro del recibo por honorarios "&amp;Registro_Compras!$C$319&amp;" de "&amp;Registro_Compras!$E$319&amp;" [PATRON POR CONFIRMAR CON CONTADOR]","Por el registro de la factura "&amp;Registro_Compras!$C$319&amp;" de "&amp;Registro_Compras!$E$319)))</f>
        <v/>
      </c>
      <c r="H2841" t="str">
        <f>IF($C2841="","",Registro_Compras!$C$319)</f>
        <v/>
      </c>
    </row>
    <row r="2842" spans="1:8" x14ac:dyDescent="0.25">
      <c r="A2842" s="25" t="str">
        <f>IF($C2842="","",Registro_Compras!$B$319)</f>
        <v/>
      </c>
      <c r="B2842" t="str">
        <f>IF($C2842="","","C"&amp;TEXT(INT((ROW()-5)/9)+1,"000")&amp;"-1")</f>
        <v/>
      </c>
      <c r="C2842" t="str">
        <f>IF(OR(Registro_Compras!$C$319="",Registro_Compras!$O$319=""),"",IF(Registro_Compras!$F$319="NOTA DE CREDITO",IF(Registro_Compras!$K$319=0,"","40111"),"4212"))</f>
        <v/>
      </c>
      <c r="D2842" t="str">
        <f>IF(OR(Registro_Compras!$C$319="",Registro_Compras!$O$319=""),"",IF(Registro_Compras!$F$319="NOTA DE CREDITO","IGV - Cuenta Propia (Credito Fiscal)","Cuentas por Pagar Comerciales - Terceros (Emitidas)"))</f>
        <v/>
      </c>
      <c r="E2842" s="20" t="str">
        <f>""</f>
        <v/>
      </c>
      <c r="F2842" s="20" t="str">
        <f>IF($C2842="","",IF(Registro_Compras!$F$319="NOTA DE CREDITO",ROUND(ABS(Registro_Compras!$K$319*Registro_Compras!$N$319),2),IF(Registro_Compras!$F$319="RHE",(ROUND(Registro_Compras!$L$319*Registro_Compras!$N$319,2)-ROUND(Registro_Compras!$V$319*Registro_Compras!$N$319,2)),Registro_Compras!$O$319)))</f>
        <v/>
      </c>
      <c r="G2842" t="str">
        <f>IF($C2842="","",IF(Registro_Compras!$F$319="NOTA DE CREDITO","Por la nota de credito "&amp;Registro_Compras!$C$319&amp;" de "&amp;Registro_Compras!$E$319&amp;" [PATRON POR CONFIRMAR CON CONTADOR]",IF(Registro_Compras!$F$319="RHE","Por el registro del recibo por honorarios "&amp;Registro_Compras!$C$319&amp;" de "&amp;Registro_Compras!$E$319&amp;" [PATRON POR CONFIRMAR CON CONTADOR]","Por el registro de la factura "&amp;Registro_Compras!$C$319&amp;" de "&amp;Registro_Compras!$E$319)))</f>
        <v/>
      </c>
      <c r="H2842" t="str">
        <f>IF($C2842="","",Registro_Compras!$C$319)</f>
        <v/>
      </c>
    </row>
    <row r="2843" spans="1:8" x14ac:dyDescent="0.25">
      <c r="A2843" s="25" t="str">
        <f>IF($C2843="","",Registro_Compras!$B$319)</f>
        <v/>
      </c>
      <c r="B2843" t="str">
        <f>IF($C2843="","","C"&amp;TEXT(INT((ROW()-5)/9)+1,"000")&amp;"-2")</f>
        <v/>
      </c>
      <c r="C2843" t="str">
        <f>IF(OR(Registro_Compras!$C$319="",Registro_Compras!$O$319=""),"",IF(Registro_Compras!$AB$319="ADMINISTRATIVO","94","95"))</f>
        <v/>
      </c>
      <c r="D2843" t="str">
        <f>IF(OR(Registro_Compras!$C$319="",Registro_Compras!$O$319=""),"",IF(Registro_Compras!$AB$319="ADMINISTRATIVO","Gastos Administrativos","Gastos de Venta y Operacion"))</f>
        <v/>
      </c>
      <c r="E2843" s="20" t="str">
        <f>IF($C2843="","",IF(Registro_Compras!$F$319="NOTA DE CREDITO","",IF(Registro_Compras!$F$319="RHE",ROUND(Registro_Compras!$L$319*Registro_Compras!$N$319,2),ROUND(Registro_Compras!$J$319*Registro_Compras!$N$319,2))))</f>
        <v/>
      </c>
      <c r="F2843" s="20" t="str">
        <f>IF($C2843="","",IF(Registro_Compras!$F$319="NOTA DE CREDITO",ROUND(ABS(Registro_Compras!$J$319*Registro_Compras!$N$319),2),""))</f>
        <v/>
      </c>
      <c r="G2843" t="str">
        <f>IF($C2843="","","Por el destino del gasto")</f>
        <v/>
      </c>
      <c r="H2843" t="str">
        <f>IF($C2843="","",Registro_Compras!$C$319)</f>
        <v/>
      </c>
    </row>
    <row r="2844" spans="1:8" x14ac:dyDescent="0.25">
      <c r="A2844" s="25" t="str">
        <f>IF($C2844="","",Registro_Compras!$B$319)</f>
        <v/>
      </c>
      <c r="B2844" t="str">
        <f>IF($C2844="","","C"&amp;TEXT(INT((ROW()-5)/9)+1,"000")&amp;"-2")</f>
        <v/>
      </c>
      <c r="C2844" t="str">
        <f>IF(OR(Registro_Compras!$C$319="",Registro_Compras!$O$319=""),"","79/791")</f>
        <v/>
      </c>
      <c r="D2844" t="str">
        <f>IF(OR(Registro_Compras!$C$319="",Registro_Compras!$O$319=""),"","Cargas Imputables a Cuentas de Costos y Gastos")</f>
        <v/>
      </c>
      <c r="E2844" s="20" t="str">
        <f>IF($C2844="","",IF(Registro_Compras!$F$319="NOTA DE CREDITO",ROUND(ABS(Registro_Compras!$J$319*Registro_Compras!$N$319),2),""))</f>
        <v/>
      </c>
      <c r="F2844" s="20" t="str">
        <f>IF($C2844="","",IF(Registro_Compras!$F$319="NOTA DE CREDITO","",IF(Registro_Compras!$F$319="RHE",ROUND(Registro_Compras!$L$319*Registro_Compras!$N$319,2),ROUND(Registro_Compras!$J$319*Registro_Compras!$N$319,2))))</f>
        <v/>
      </c>
      <c r="G2844" t="str">
        <f>IF($C2844="","","Por el destino del gasto")</f>
        <v/>
      </c>
      <c r="H2844" t="str">
        <f>IF($C2844="","",Registro_Compras!$C$319)</f>
        <v/>
      </c>
    </row>
    <row r="2845" spans="1:8" x14ac:dyDescent="0.25">
      <c r="A2845" s="25" t="str">
        <f>IF($C2845="","",Registro_Compras!$X$319)</f>
        <v/>
      </c>
      <c r="B2845" t="str">
        <f>IF($C2845="","","C"&amp;TEXT(INT((ROW()-5)/9)+1,"000")&amp;"-3")</f>
        <v/>
      </c>
      <c r="C2845" t="str">
        <f>IF(OR(Registro_Compras!$C$319="",Registro_Compras!$O$319="",Registro_Compras!$R$319&lt;&gt;"SI",Registro_Compras!$X$319=""),"","4212")</f>
        <v/>
      </c>
      <c r="D2845" t="str">
        <f>IF(OR(Registro_Compras!$C$319="",Registro_Compras!$O$319=""),"","Cuentas por Pagar Comerciales - Terceros")</f>
        <v/>
      </c>
      <c r="E2845" s="20" t="str">
        <f>IF($C2845="","",Registro_Compras!$S$319)</f>
        <v/>
      </c>
      <c r="F2845" s="20" t="str">
        <f>""</f>
        <v/>
      </c>
      <c r="G2845" t="str">
        <f>IF($C2845="","","Por el deposito de la detraccion en el Banco de la Nacion")</f>
        <v/>
      </c>
      <c r="H2845" t="str">
        <f>IF($C2845="","",Registro_Compras!$C$319)</f>
        <v/>
      </c>
    </row>
    <row r="2846" spans="1:8" x14ac:dyDescent="0.25">
      <c r="A2846" s="25" t="str">
        <f>IF($C2846="","",Registro_Compras!$X$319)</f>
        <v/>
      </c>
      <c r="B2846" t="str">
        <f>IF($C2846="","","C"&amp;TEXT(INT((ROW()-5)/9)+1,"000")&amp;"-3")</f>
        <v/>
      </c>
      <c r="C2846" t="str">
        <f>IF(OR(Registro_Compras!$C$319="",Registro_Compras!$O$319="",Registro_Compras!$R$319&lt;&gt;"SI",Registro_Compras!$X$319=""),"","1041")</f>
        <v/>
      </c>
      <c r="D2846" t="str">
        <f>IF(OR(Registro_Compras!$C$319="",Registro_Compras!$O$319=""),"","Efectivo y Equivalentes - Cta. Cte. Operativa")</f>
        <v/>
      </c>
      <c r="E2846" s="20" t="str">
        <f>""</f>
        <v/>
      </c>
      <c r="F2846" s="20" t="str">
        <f>IF($C2846="","",Registro_Compras!$S$319)</f>
        <v/>
      </c>
      <c r="G2846" t="str">
        <f>IF($C2846="","","Por el deposito de la detraccion en el Banco de la Nacion")</f>
        <v/>
      </c>
      <c r="H2846" t="str">
        <f>IF($C2846="","",Registro_Compras!$C$319)</f>
        <v/>
      </c>
    </row>
    <row r="2847" spans="1:8" x14ac:dyDescent="0.25">
      <c r="A2847" s="25" t="str">
        <f>IF($C2847="","",Registro_Compras!$Y$319)</f>
        <v/>
      </c>
      <c r="B2847" t="str">
        <f>IF($C2847="","","C"&amp;TEXT(INT((ROW()-5)/9)+1,"000")&amp;"-4")</f>
        <v/>
      </c>
      <c r="C2847" t="str">
        <f>IF(OR(Registro_Compras!$C$319="",Registro_Compras!$O$319="",Registro_Compras!$Y$319="",Registro_Compras!$F$319="NOTA DE CREDITO"),"","4212")</f>
        <v/>
      </c>
      <c r="D2847" t="str">
        <f>IF(OR(Registro_Compras!$C$319="",Registro_Compras!$O$319=""),"","Cuentas por Pagar Comerciales - Terceros")</f>
        <v/>
      </c>
      <c r="E2847" s="20" t="str">
        <f>IF($C2847="","",IF(Registro_Compras!$F$319="RHE",(ROUND(Registro_Compras!$L$319*Registro_Compras!$N$319,2)-ROUND(Registro_Compras!$V$319*Registro_Compras!$N$319,2)),ROUND(Registro_Compras!$O$319-Registro_Compras!$S$319,2)))</f>
        <v/>
      </c>
      <c r="F2847" s="20" t="str">
        <f>""</f>
        <v/>
      </c>
      <c r="G2847" t="str">
        <f>IF($C2847="","","Por la cancelacion del saldo al proveedor")</f>
        <v/>
      </c>
      <c r="H2847" t="str">
        <f>IF($C2847="","",Registro_Compras!$C$319)</f>
        <v/>
      </c>
    </row>
    <row r="2848" spans="1:8" x14ac:dyDescent="0.25">
      <c r="A2848" s="25" t="str">
        <f>IF($C2848="","",Registro_Compras!$Y$319)</f>
        <v/>
      </c>
      <c r="B2848" t="str">
        <f>IF($C2848="","","C"&amp;TEXT(INT((ROW()-5)/9)+1,"000")&amp;"-4")</f>
        <v/>
      </c>
      <c r="C2848" t="str">
        <f>IF(OR(Registro_Compras!$C$319="",Registro_Compras!$O$319="",Registro_Compras!$Y$319="",Registro_Compras!$F$319="NOTA DE CREDITO"),"","1041")</f>
        <v/>
      </c>
      <c r="D2848" t="str">
        <f>IF(OR(Registro_Compras!$C$319="",Registro_Compras!$O$319=""),"","Efectivo y Equivalentes - Cta. Cte. Operativa")</f>
        <v/>
      </c>
      <c r="E2848" s="20" t="str">
        <f>""</f>
        <v/>
      </c>
      <c r="F2848" s="20" t="str">
        <f>IF($C2848="","",IF(Registro_Compras!$F$319="RHE",(ROUND(Registro_Compras!$L$319*Registro_Compras!$N$319,2)-ROUND(Registro_Compras!$V$319*Registro_Compras!$N$319,2)),ROUND(Registro_Compras!$O$319-Registro_Compras!$S$319,2)))</f>
        <v/>
      </c>
      <c r="G2848" t="str">
        <f>IF($C2848="","","Por la cancelacion del saldo al proveedor")</f>
        <v/>
      </c>
      <c r="H2848" t="str">
        <f>IF($C2848="","",Registro_Compras!$C$319)</f>
        <v/>
      </c>
    </row>
    <row r="2849" spans="1:8" x14ac:dyDescent="0.25">
      <c r="A2849" s="25" t="str">
        <f>IF($C2849="","",Registro_Compras!$B$320)</f>
        <v/>
      </c>
      <c r="B2849" t="str">
        <f>IF($C2849="","","C"&amp;TEXT(INT((ROW()-5)/9)+1,"000")&amp;"-1")</f>
        <v/>
      </c>
      <c r="C2849" t="str">
        <f>IF(OR(Registro_Compras!$C$320="",Registro_Compras!$O$320=""),"",IF(Registro_Compras!$F$320="NOTA DE CREDITO","4212",IF(Registro_Compras!$M$320="","63",Registro_Compras!$M$320)))</f>
        <v/>
      </c>
      <c r="D2849" t="str">
        <f>IF(OR(Registro_Compras!$C$320="",Registro_Compras!$O$320=""),"",IF(Registro_Compras!$F$320="NOTA DE CREDITO","Cuentas por Pagar Comerciales - Terceros (Emitidas)",IF(Registro_Compras!$F$320="RHE","Honorarios Profesionales - Servicios de Terceros","Gastos de Servicios Prestados por Terceros")))</f>
        <v/>
      </c>
      <c r="E2849" s="20" t="str">
        <f>IF($C2849="","",IF(Registro_Compras!$F$320="NOTA DE CREDITO",ABS(Registro_Compras!$O$320),IF(Registro_Compras!$F$320="RHE",ROUND(Registro_Compras!$L$320*Registro_Compras!$N$320,2),ROUND(Registro_Compras!$J$320*Registro_Compras!$N$320,2))))</f>
        <v/>
      </c>
      <c r="F2849" s="20" t="str">
        <f>""</f>
        <v/>
      </c>
      <c r="G2849" t="str">
        <f>IF($C2849="","",IF(Registro_Compras!$F$320="NOTA DE CREDITO","Por la nota de credito "&amp;Registro_Compras!$C$320&amp;" de "&amp;Registro_Compras!$E$320&amp;" [PATRON POR CONFIRMAR CON CONTADOR]",IF(Registro_Compras!$F$320="RHE","Por el registro del recibo por honorarios "&amp;Registro_Compras!$C$320&amp;" de "&amp;Registro_Compras!$E$320&amp;" [PATRON POR CONFIRMAR CON CONTADOR]","Por el registro de la factura "&amp;Registro_Compras!$C$320&amp;" de "&amp;Registro_Compras!$E$320)))</f>
        <v/>
      </c>
      <c r="H2849" t="str">
        <f>IF($C2849="","",Registro_Compras!$C$320)</f>
        <v/>
      </c>
    </row>
    <row r="2850" spans="1:8" x14ac:dyDescent="0.25">
      <c r="A2850" s="25" t="str">
        <f>IF($C2850="","",Registro_Compras!$B$320)</f>
        <v/>
      </c>
      <c r="B2850" t="str">
        <f>IF($C2850="","","C"&amp;TEXT(INT((ROW()-5)/9)+1,"000")&amp;"-1")</f>
        <v/>
      </c>
      <c r="C2850" t="str">
        <f>IF(OR(Registro_Compras!$C$320="",Registro_Compras!$O$320=""),"",IF(Registro_Compras!$F$320="RHE",IF(Registro_Compras!$V$320=0,"","4017"),IF(Registro_Compras!$F$320="NOTA DE CREDITO",IF(Registro_Compras!$M$320="","63",Registro_Compras!$M$320),IF(Registro_Compras!$K$320=0,"","40111"))))</f>
        <v/>
      </c>
      <c r="D2850" t="str">
        <f>IF(OR(Registro_Compras!$C$320="",Registro_Compras!$O$320=""),"",IF(Registro_Compras!$F$320="RHE","Retencion Renta 4ta Categoria por Pagar",IF(Registro_Compras!$F$320="NOTA DE CREDITO","Gastos de Servicios Prestados por Terceros","IGV - Cuenta Propia (Credito Fiscal)")))</f>
        <v/>
      </c>
      <c r="E2850" s="20" t="str">
        <f>IF($C2850="","",IF(Registro_Compras!$F$320="FACTURA",ROUND(Registro_Compras!$K$320*Registro_Compras!$N$320,2),""))</f>
        <v/>
      </c>
      <c r="F2850" s="20" t="str">
        <f>IF($C2850="","",IF(Registro_Compras!$F$320="RHE",ROUND(Registro_Compras!$V$320*Registro_Compras!$N$320,2),IF(Registro_Compras!$F$320="NOTA DE CREDITO",ROUND(ABS(Registro_Compras!$J$320*Registro_Compras!$N$320),2),"")))</f>
        <v/>
      </c>
      <c r="G2850" t="str">
        <f>IF($C2850="","",IF(Registro_Compras!$F$320="NOTA DE CREDITO","Por la nota de credito "&amp;Registro_Compras!$C$320&amp;" de "&amp;Registro_Compras!$E$320&amp;" [PATRON POR CONFIRMAR CON CONTADOR]",IF(Registro_Compras!$F$320="RHE","Por el registro del recibo por honorarios "&amp;Registro_Compras!$C$320&amp;" de "&amp;Registro_Compras!$E$320&amp;" [PATRON POR CONFIRMAR CON CONTADOR]","Por el registro de la factura "&amp;Registro_Compras!$C$320&amp;" de "&amp;Registro_Compras!$E$320)))</f>
        <v/>
      </c>
      <c r="H2850" t="str">
        <f>IF($C2850="","",Registro_Compras!$C$320)</f>
        <v/>
      </c>
    </row>
    <row r="2851" spans="1:8" x14ac:dyDescent="0.25">
      <c r="A2851" s="25" t="str">
        <f>IF($C2851="","",Registro_Compras!$B$320)</f>
        <v/>
      </c>
      <c r="B2851" t="str">
        <f>IF($C2851="","","C"&amp;TEXT(INT((ROW()-5)/9)+1,"000")&amp;"-1")</f>
        <v/>
      </c>
      <c r="C2851" t="str">
        <f>IF(OR(Registro_Compras!$C$320="",Registro_Compras!$O$320=""),"",IF(Registro_Compras!$F$320="NOTA DE CREDITO",IF(Registro_Compras!$K$320=0,"","40111"),"4212"))</f>
        <v/>
      </c>
      <c r="D2851" t="str">
        <f>IF(OR(Registro_Compras!$C$320="",Registro_Compras!$O$320=""),"",IF(Registro_Compras!$F$320="NOTA DE CREDITO","IGV - Cuenta Propia (Credito Fiscal)","Cuentas por Pagar Comerciales - Terceros (Emitidas)"))</f>
        <v/>
      </c>
      <c r="E2851" s="20" t="str">
        <f>""</f>
        <v/>
      </c>
      <c r="F2851" s="20" t="str">
        <f>IF($C2851="","",IF(Registro_Compras!$F$320="NOTA DE CREDITO",ROUND(ABS(Registro_Compras!$K$320*Registro_Compras!$N$320),2),IF(Registro_Compras!$F$320="RHE",(ROUND(Registro_Compras!$L$320*Registro_Compras!$N$320,2)-ROUND(Registro_Compras!$V$320*Registro_Compras!$N$320,2)),Registro_Compras!$O$320)))</f>
        <v/>
      </c>
      <c r="G2851" t="str">
        <f>IF($C2851="","",IF(Registro_Compras!$F$320="NOTA DE CREDITO","Por la nota de credito "&amp;Registro_Compras!$C$320&amp;" de "&amp;Registro_Compras!$E$320&amp;" [PATRON POR CONFIRMAR CON CONTADOR]",IF(Registro_Compras!$F$320="RHE","Por el registro del recibo por honorarios "&amp;Registro_Compras!$C$320&amp;" de "&amp;Registro_Compras!$E$320&amp;" [PATRON POR CONFIRMAR CON CONTADOR]","Por el registro de la factura "&amp;Registro_Compras!$C$320&amp;" de "&amp;Registro_Compras!$E$320)))</f>
        <v/>
      </c>
      <c r="H2851" t="str">
        <f>IF($C2851="","",Registro_Compras!$C$320)</f>
        <v/>
      </c>
    </row>
    <row r="2852" spans="1:8" x14ac:dyDescent="0.25">
      <c r="A2852" s="25" t="str">
        <f>IF($C2852="","",Registro_Compras!$B$320)</f>
        <v/>
      </c>
      <c r="B2852" t="str">
        <f>IF($C2852="","","C"&amp;TEXT(INT((ROW()-5)/9)+1,"000")&amp;"-2")</f>
        <v/>
      </c>
      <c r="C2852" t="str">
        <f>IF(OR(Registro_Compras!$C$320="",Registro_Compras!$O$320=""),"",IF(Registro_Compras!$AB$320="ADMINISTRATIVO","94","95"))</f>
        <v/>
      </c>
      <c r="D2852" t="str">
        <f>IF(OR(Registro_Compras!$C$320="",Registro_Compras!$O$320=""),"",IF(Registro_Compras!$AB$320="ADMINISTRATIVO","Gastos Administrativos","Gastos de Venta y Operacion"))</f>
        <v/>
      </c>
      <c r="E2852" s="20" t="str">
        <f>IF($C2852="","",IF(Registro_Compras!$F$320="NOTA DE CREDITO","",IF(Registro_Compras!$F$320="RHE",ROUND(Registro_Compras!$L$320*Registro_Compras!$N$320,2),ROUND(Registro_Compras!$J$320*Registro_Compras!$N$320,2))))</f>
        <v/>
      </c>
      <c r="F2852" s="20" t="str">
        <f>IF($C2852="","",IF(Registro_Compras!$F$320="NOTA DE CREDITO",ROUND(ABS(Registro_Compras!$J$320*Registro_Compras!$N$320),2),""))</f>
        <v/>
      </c>
      <c r="G2852" t="str">
        <f>IF($C2852="","","Por el destino del gasto")</f>
        <v/>
      </c>
      <c r="H2852" t="str">
        <f>IF($C2852="","",Registro_Compras!$C$320)</f>
        <v/>
      </c>
    </row>
    <row r="2853" spans="1:8" x14ac:dyDescent="0.25">
      <c r="A2853" s="25" t="str">
        <f>IF($C2853="","",Registro_Compras!$B$320)</f>
        <v/>
      </c>
      <c r="B2853" t="str">
        <f>IF($C2853="","","C"&amp;TEXT(INT((ROW()-5)/9)+1,"000")&amp;"-2")</f>
        <v/>
      </c>
      <c r="C2853" t="str">
        <f>IF(OR(Registro_Compras!$C$320="",Registro_Compras!$O$320=""),"","79/791")</f>
        <v/>
      </c>
      <c r="D2853" t="str">
        <f>IF(OR(Registro_Compras!$C$320="",Registro_Compras!$O$320=""),"","Cargas Imputables a Cuentas de Costos y Gastos")</f>
        <v/>
      </c>
      <c r="E2853" s="20" t="str">
        <f>IF($C2853="","",IF(Registro_Compras!$F$320="NOTA DE CREDITO",ROUND(ABS(Registro_Compras!$J$320*Registro_Compras!$N$320),2),""))</f>
        <v/>
      </c>
      <c r="F2853" s="20" t="str">
        <f>IF($C2853="","",IF(Registro_Compras!$F$320="NOTA DE CREDITO","",IF(Registro_Compras!$F$320="RHE",ROUND(Registro_Compras!$L$320*Registro_Compras!$N$320,2),ROUND(Registro_Compras!$J$320*Registro_Compras!$N$320,2))))</f>
        <v/>
      </c>
      <c r="G2853" t="str">
        <f>IF($C2853="","","Por el destino del gasto")</f>
        <v/>
      </c>
      <c r="H2853" t="str">
        <f>IF($C2853="","",Registro_Compras!$C$320)</f>
        <v/>
      </c>
    </row>
    <row r="2854" spans="1:8" x14ac:dyDescent="0.25">
      <c r="A2854" s="25" t="str">
        <f>IF($C2854="","",Registro_Compras!$X$320)</f>
        <v/>
      </c>
      <c r="B2854" t="str">
        <f>IF($C2854="","","C"&amp;TEXT(INT((ROW()-5)/9)+1,"000")&amp;"-3")</f>
        <v/>
      </c>
      <c r="C2854" t="str">
        <f>IF(OR(Registro_Compras!$C$320="",Registro_Compras!$O$320="",Registro_Compras!$R$320&lt;&gt;"SI",Registro_Compras!$X$320=""),"","4212")</f>
        <v/>
      </c>
      <c r="D2854" t="str">
        <f>IF(OR(Registro_Compras!$C$320="",Registro_Compras!$O$320=""),"","Cuentas por Pagar Comerciales - Terceros")</f>
        <v/>
      </c>
      <c r="E2854" s="20" t="str">
        <f>IF($C2854="","",Registro_Compras!$S$320)</f>
        <v/>
      </c>
      <c r="F2854" s="20" t="str">
        <f>""</f>
        <v/>
      </c>
      <c r="G2854" t="str">
        <f>IF($C2854="","","Por el deposito de la detraccion en el Banco de la Nacion")</f>
        <v/>
      </c>
      <c r="H2854" t="str">
        <f>IF($C2854="","",Registro_Compras!$C$320)</f>
        <v/>
      </c>
    </row>
    <row r="2855" spans="1:8" x14ac:dyDescent="0.25">
      <c r="A2855" s="25" t="str">
        <f>IF($C2855="","",Registro_Compras!$X$320)</f>
        <v/>
      </c>
      <c r="B2855" t="str">
        <f>IF($C2855="","","C"&amp;TEXT(INT((ROW()-5)/9)+1,"000")&amp;"-3")</f>
        <v/>
      </c>
      <c r="C2855" t="str">
        <f>IF(OR(Registro_Compras!$C$320="",Registro_Compras!$O$320="",Registro_Compras!$R$320&lt;&gt;"SI",Registro_Compras!$X$320=""),"","1041")</f>
        <v/>
      </c>
      <c r="D2855" t="str">
        <f>IF(OR(Registro_Compras!$C$320="",Registro_Compras!$O$320=""),"","Efectivo y Equivalentes - Cta. Cte. Operativa")</f>
        <v/>
      </c>
      <c r="E2855" s="20" t="str">
        <f>""</f>
        <v/>
      </c>
      <c r="F2855" s="20" t="str">
        <f>IF($C2855="","",Registro_Compras!$S$320)</f>
        <v/>
      </c>
      <c r="G2855" t="str">
        <f>IF($C2855="","","Por el deposito de la detraccion en el Banco de la Nacion")</f>
        <v/>
      </c>
      <c r="H2855" t="str">
        <f>IF($C2855="","",Registro_Compras!$C$320)</f>
        <v/>
      </c>
    </row>
    <row r="2856" spans="1:8" x14ac:dyDescent="0.25">
      <c r="A2856" s="25" t="str">
        <f>IF($C2856="","",Registro_Compras!$Y$320)</f>
        <v/>
      </c>
      <c r="B2856" t="str">
        <f>IF($C2856="","","C"&amp;TEXT(INT((ROW()-5)/9)+1,"000")&amp;"-4")</f>
        <v/>
      </c>
      <c r="C2856" t="str">
        <f>IF(OR(Registro_Compras!$C$320="",Registro_Compras!$O$320="",Registro_Compras!$Y$320="",Registro_Compras!$F$320="NOTA DE CREDITO"),"","4212")</f>
        <v/>
      </c>
      <c r="D2856" t="str">
        <f>IF(OR(Registro_Compras!$C$320="",Registro_Compras!$O$320=""),"","Cuentas por Pagar Comerciales - Terceros")</f>
        <v/>
      </c>
      <c r="E2856" s="20" t="str">
        <f>IF($C2856="","",IF(Registro_Compras!$F$320="RHE",(ROUND(Registro_Compras!$L$320*Registro_Compras!$N$320,2)-ROUND(Registro_Compras!$V$320*Registro_Compras!$N$320,2)),ROUND(Registro_Compras!$O$320-Registro_Compras!$S$320,2)))</f>
        <v/>
      </c>
      <c r="F2856" s="20" t="str">
        <f>""</f>
        <v/>
      </c>
      <c r="G2856" t="str">
        <f>IF($C2856="","","Por la cancelacion del saldo al proveedor")</f>
        <v/>
      </c>
      <c r="H2856" t="str">
        <f>IF($C2856="","",Registro_Compras!$C$320)</f>
        <v/>
      </c>
    </row>
    <row r="2857" spans="1:8" x14ac:dyDescent="0.25">
      <c r="A2857" s="25" t="str">
        <f>IF($C2857="","",Registro_Compras!$Y$320)</f>
        <v/>
      </c>
      <c r="B2857" t="str">
        <f>IF($C2857="","","C"&amp;TEXT(INT((ROW()-5)/9)+1,"000")&amp;"-4")</f>
        <v/>
      </c>
      <c r="C2857" t="str">
        <f>IF(OR(Registro_Compras!$C$320="",Registro_Compras!$O$320="",Registro_Compras!$Y$320="",Registro_Compras!$F$320="NOTA DE CREDITO"),"","1041")</f>
        <v/>
      </c>
      <c r="D2857" t="str">
        <f>IF(OR(Registro_Compras!$C$320="",Registro_Compras!$O$320=""),"","Efectivo y Equivalentes - Cta. Cte. Operativa")</f>
        <v/>
      </c>
      <c r="E2857" s="20" t="str">
        <f>""</f>
        <v/>
      </c>
      <c r="F2857" s="20" t="str">
        <f>IF($C2857="","",IF(Registro_Compras!$F$320="RHE",(ROUND(Registro_Compras!$L$320*Registro_Compras!$N$320,2)-ROUND(Registro_Compras!$V$320*Registro_Compras!$N$320,2)),ROUND(Registro_Compras!$O$320-Registro_Compras!$S$320,2)))</f>
        <v/>
      </c>
      <c r="G2857" t="str">
        <f>IF($C2857="","","Por la cancelacion del saldo al proveedor")</f>
        <v/>
      </c>
      <c r="H2857" t="str">
        <f>IF($C2857="","",Registro_Compras!$C$320)</f>
        <v/>
      </c>
    </row>
    <row r="2858" spans="1:8" x14ac:dyDescent="0.25">
      <c r="A2858" s="25" t="str">
        <f>IF($C2858="","",Registro_Compras!$B$321)</f>
        <v/>
      </c>
      <c r="B2858" t="str">
        <f>IF($C2858="","","C"&amp;TEXT(INT((ROW()-5)/9)+1,"000")&amp;"-1")</f>
        <v/>
      </c>
      <c r="C2858" t="str">
        <f>IF(OR(Registro_Compras!$C$321="",Registro_Compras!$O$321=""),"",IF(Registro_Compras!$F$321="NOTA DE CREDITO","4212",IF(Registro_Compras!$M$321="","63",Registro_Compras!$M$321)))</f>
        <v/>
      </c>
      <c r="D2858" t="str">
        <f>IF(OR(Registro_Compras!$C$321="",Registro_Compras!$O$321=""),"",IF(Registro_Compras!$F$321="NOTA DE CREDITO","Cuentas por Pagar Comerciales - Terceros (Emitidas)",IF(Registro_Compras!$F$321="RHE","Honorarios Profesionales - Servicios de Terceros","Gastos de Servicios Prestados por Terceros")))</f>
        <v/>
      </c>
      <c r="E2858" s="20" t="str">
        <f>IF($C2858="","",IF(Registro_Compras!$F$321="NOTA DE CREDITO",ABS(Registro_Compras!$O$321),IF(Registro_Compras!$F$321="RHE",ROUND(Registro_Compras!$L$321*Registro_Compras!$N$321,2),ROUND(Registro_Compras!$J$321*Registro_Compras!$N$321,2))))</f>
        <v/>
      </c>
      <c r="F2858" s="20" t="str">
        <f>""</f>
        <v/>
      </c>
      <c r="G2858" t="str">
        <f>IF($C2858="","",IF(Registro_Compras!$F$321="NOTA DE CREDITO","Por la nota de credito "&amp;Registro_Compras!$C$321&amp;" de "&amp;Registro_Compras!$E$321&amp;" [PATRON POR CONFIRMAR CON CONTADOR]",IF(Registro_Compras!$F$321="RHE","Por el registro del recibo por honorarios "&amp;Registro_Compras!$C$321&amp;" de "&amp;Registro_Compras!$E$321&amp;" [PATRON POR CONFIRMAR CON CONTADOR]","Por el registro de la factura "&amp;Registro_Compras!$C$321&amp;" de "&amp;Registro_Compras!$E$321)))</f>
        <v/>
      </c>
      <c r="H2858" t="str">
        <f>IF($C2858="","",Registro_Compras!$C$321)</f>
        <v/>
      </c>
    </row>
    <row r="2859" spans="1:8" x14ac:dyDescent="0.25">
      <c r="A2859" s="25" t="str">
        <f>IF($C2859="","",Registro_Compras!$B$321)</f>
        <v/>
      </c>
      <c r="B2859" t="str">
        <f>IF($C2859="","","C"&amp;TEXT(INT((ROW()-5)/9)+1,"000")&amp;"-1")</f>
        <v/>
      </c>
      <c r="C2859" t="str">
        <f>IF(OR(Registro_Compras!$C$321="",Registro_Compras!$O$321=""),"",IF(Registro_Compras!$F$321="RHE",IF(Registro_Compras!$V$321=0,"","4017"),IF(Registro_Compras!$F$321="NOTA DE CREDITO",IF(Registro_Compras!$M$321="","63",Registro_Compras!$M$321),IF(Registro_Compras!$K$321=0,"","40111"))))</f>
        <v/>
      </c>
      <c r="D2859" t="str">
        <f>IF(OR(Registro_Compras!$C$321="",Registro_Compras!$O$321=""),"",IF(Registro_Compras!$F$321="RHE","Retencion Renta 4ta Categoria por Pagar",IF(Registro_Compras!$F$321="NOTA DE CREDITO","Gastos de Servicios Prestados por Terceros","IGV - Cuenta Propia (Credito Fiscal)")))</f>
        <v/>
      </c>
      <c r="E2859" s="20" t="str">
        <f>IF($C2859="","",IF(Registro_Compras!$F$321="FACTURA",ROUND(Registro_Compras!$K$321*Registro_Compras!$N$321,2),""))</f>
        <v/>
      </c>
      <c r="F2859" s="20" t="str">
        <f>IF($C2859="","",IF(Registro_Compras!$F$321="RHE",ROUND(Registro_Compras!$V$321*Registro_Compras!$N$321,2),IF(Registro_Compras!$F$321="NOTA DE CREDITO",ROUND(ABS(Registro_Compras!$J$321*Registro_Compras!$N$321),2),"")))</f>
        <v/>
      </c>
      <c r="G2859" t="str">
        <f>IF($C2859="","",IF(Registro_Compras!$F$321="NOTA DE CREDITO","Por la nota de credito "&amp;Registro_Compras!$C$321&amp;" de "&amp;Registro_Compras!$E$321&amp;" [PATRON POR CONFIRMAR CON CONTADOR]",IF(Registro_Compras!$F$321="RHE","Por el registro del recibo por honorarios "&amp;Registro_Compras!$C$321&amp;" de "&amp;Registro_Compras!$E$321&amp;" [PATRON POR CONFIRMAR CON CONTADOR]","Por el registro de la factura "&amp;Registro_Compras!$C$321&amp;" de "&amp;Registro_Compras!$E$321)))</f>
        <v/>
      </c>
      <c r="H2859" t="str">
        <f>IF($C2859="","",Registro_Compras!$C$321)</f>
        <v/>
      </c>
    </row>
    <row r="2860" spans="1:8" x14ac:dyDescent="0.25">
      <c r="A2860" s="25" t="str">
        <f>IF($C2860="","",Registro_Compras!$B$321)</f>
        <v/>
      </c>
      <c r="B2860" t="str">
        <f>IF($C2860="","","C"&amp;TEXT(INT((ROW()-5)/9)+1,"000")&amp;"-1")</f>
        <v/>
      </c>
      <c r="C2860" t="str">
        <f>IF(OR(Registro_Compras!$C$321="",Registro_Compras!$O$321=""),"",IF(Registro_Compras!$F$321="NOTA DE CREDITO",IF(Registro_Compras!$K$321=0,"","40111"),"4212"))</f>
        <v/>
      </c>
      <c r="D2860" t="str">
        <f>IF(OR(Registro_Compras!$C$321="",Registro_Compras!$O$321=""),"",IF(Registro_Compras!$F$321="NOTA DE CREDITO","IGV - Cuenta Propia (Credito Fiscal)","Cuentas por Pagar Comerciales - Terceros (Emitidas)"))</f>
        <v/>
      </c>
      <c r="E2860" s="20" t="str">
        <f>""</f>
        <v/>
      </c>
      <c r="F2860" s="20" t="str">
        <f>IF($C2860="","",IF(Registro_Compras!$F$321="NOTA DE CREDITO",ROUND(ABS(Registro_Compras!$K$321*Registro_Compras!$N$321),2),IF(Registro_Compras!$F$321="RHE",(ROUND(Registro_Compras!$L$321*Registro_Compras!$N$321,2)-ROUND(Registro_Compras!$V$321*Registro_Compras!$N$321,2)),Registro_Compras!$O$321)))</f>
        <v/>
      </c>
      <c r="G2860" t="str">
        <f>IF($C2860="","",IF(Registro_Compras!$F$321="NOTA DE CREDITO","Por la nota de credito "&amp;Registro_Compras!$C$321&amp;" de "&amp;Registro_Compras!$E$321&amp;" [PATRON POR CONFIRMAR CON CONTADOR]",IF(Registro_Compras!$F$321="RHE","Por el registro del recibo por honorarios "&amp;Registro_Compras!$C$321&amp;" de "&amp;Registro_Compras!$E$321&amp;" [PATRON POR CONFIRMAR CON CONTADOR]","Por el registro de la factura "&amp;Registro_Compras!$C$321&amp;" de "&amp;Registro_Compras!$E$321)))</f>
        <v/>
      </c>
      <c r="H2860" t="str">
        <f>IF($C2860="","",Registro_Compras!$C$321)</f>
        <v/>
      </c>
    </row>
    <row r="2861" spans="1:8" x14ac:dyDescent="0.25">
      <c r="A2861" s="25" t="str">
        <f>IF($C2861="","",Registro_Compras!$B$321)</f>
        <v/>
      </c>
      <c r="B2861" t="str">
        <f>IF($C2861="","","C"&amp;TEXT(INT((ROW()-5)/9)+1,"000")&amp;"-2")</f>
        <v/>
      </c>
      <c r="C2861" t="str">
        <f>IF(OR(Registro_Compras!$C$321="",Registro_Compras!$O$321=""),"",IF(Registro_Compras!$AB$321="ADMINISTRATIVO","94","95"))</f>
        <v/>
      </c>
      <c r="D2861" t="str">
        <f>IF(OR(Registro_Compras!$C$321="",Registro_Compras!$O$321=""),"",IF(Registro_Compras!$AB$321="ADMINISTRATIVO","Gastos Administrativos","Gastos de Venta y Operacion"))</f>
        <v/>
      </c>
      <c r="E2861" s="20" t="str">
        <f>IF($C2861="","",IF(Registro_Compras!$F$321="NOTA DE CREDITO","",IF(Registro_Compras!$F$321="RHE",ROUND(Registro_Compras!$L$321*Registro_Compras!$N$321,2),ROUND(Registro_Compras!$J$321*Registro_Compras!$N$321,2))))</f>
        <v/>
      </c>
      <c r="F2861" s="20" t="str">
        <f>IF($C2861="","",IF(Registro_Compras!$F$321="NOTA DE CREDITO",ROUND(ABS(Registro_Compras!$J$321*Registro_Compras!$N$321),2),""))</f>
        <v/>
      </c>
      <c r="G2861" t="str">
        <f>IF($C2861="","","Por el destino del gasto")</f>
        <v/>
      </c>
      <c r="H2861" t="str">
        <f>IF($C2861="","",Registro_Compras!$C$321)</f>
        <v/>
      </c>
    </row>
    <row r="2862" spans="1:8" x14ac:dyDescent="0.25">
      <c r="A2862" s="25" t="str">
        <f>IF($C2862="","",Registro_Compras!$B$321)</f>
        <v/>
      </c>
      <c r="B2862" t="str">
        <f>IF($C2862="","","C"&amp;TEXT(INT((ROW()-5)/9)+1,"000")&amp;"-2")</f>
        <v/>
      </c>
      <c r="C2862" t="str">
        <f>IF(OR(Registro_Compras!$C$321="",Registro_Compras!$O$321=""),"","79/791")</f>
        <v/>
      </c>
      <c r="D2862" t="str">
        <f>IF(OR(Registro_Compras!$C$321="",Registro_Compras!$O$321=""),"","Cargas Imputables a Cuentas de Costos y Gastos")</f>
        <v/>
      </c>
      <c r="E2862" s="20" t="str">
        <f>IF($C2862="","",IF(Registro_Compras!$F$321="NOTA DE CREDITO",ROUND(ABS(Registro_Compras!$J$321*Registro_Compras!$N$321),2),""))</f>
        <v/>
      </c>
      <c r="F2862" s="20" t="str">
        <f>IF($C2862="","",IF(Registro_Compras!$F$321="NOTA DE CREDITO","",IF(Registro_Compras!$F$321="RHE",ROUND(Registro_Compras!$L$321*Registro_Compras!$N$321,2),ROUND(Registro_Compras!$J$321*Registro_Compras!$N$321,2))))</f>
        <v/>
      </c>
      <c r="G2862" t="str">
        <f>IF($C2862="","","Por el destino del gasto")</f>
        <v/>
      </c>
      <c r="H2862" t="str">
        <f>IF($C2862="","",Registro_Compras!$C$321)</f>
        <v/>
      </c>
    </row>
    <row r="2863" spans="1:8" x14ac:dyDescent="0.25">
      <c r="A2863" s="25" t="str">
        <f>IF($C2863="","",Registro_Compras!$X$321)</f>
        <v/>
      </c>
      <c r="B2863" t="str">
        <f>IF($C2863="","","C"&amp;TEXT(INT((ROW()-5)/9)+1,"000")&amp;"-3")</f>
        <v/>
      </c>
      <c r="C2863" t="str">
        <f>IF(OR(Registro_Compras!$C$321="",Registro_Compras!$O$321="",Registro_Compras!$R$321&lt;&gt;"SI",Registro_Compras!$X$321=""),"","4212")</f>
        <v/>
      </c>
      <c r="D2863" t="str">
        <f>IF(OR(Registro_Compras!$C$321="",Registro_Compras!$O$321=""),"","Cuentas por Pagar Comerciales - Terceros")</f>
        <v/>
      </c>
      <c r="E2863" s="20" t="str">
        <f>IF($C2863="","",Registro_Compras!$S$321)</f>
        <v/>
      </c>
      <c r="F2863" s="20" t="str">
        <f>""</f>
        <v/>
      </c>
      <c r="G2863" t="str">
        <f>IF($C2863="","","Por el deposito de la detraccion en el Banco de la Nacion")</f>
        <v/>
      </c>
      <c r="H2863" t="str">
        <f>IF($C2863="","",Registro_Compras!$C$321)</f>
        <v/>
      </c>
    </row>
    <row r="2864" spans="1:8" x14ac:dyDescent="0.25">
      <c r="A2864" s="25" t="str">
        <f>IF($C2864="","",Registro_Compras!$X$321)</f>
        <v/>
      </c>
      <c r="B2864" t="str">
        <f>IF($C2864="","","C"&amp;TEXT(INT((ROW()-5)/9)+1,"000")&amp;"-3")</f>
        <v/>
      </c>
      <c r="C2864" t="str">
        <f>IF(OR(Registro_Compras!$C$321="",Registro_Compras!$O$321="",Registro_Compras!$R$321&lt;&gt;"SI",Registro_Compras!$X$321=""),"","1041")</f>
        <v/>
      </c>
      <c r="D2864" t="str">
        <f>IF(OR(Registro_Compras!$C$321="",Registro_Compras!$O$321=""),"","Efectivo y Equivalentes - Cta. Cte. Operativa")</f>
        <v/>
      </c>
      <c r="E2864" s="20" t="str">
        <f>""</f>
        <v/>
      </c>
      <c r="F2864" s="20" t="str">
        <f>IF($C2864="","",Registro_Compras!$S$321)</f>
        <v/>
      </c>
      <c r="G2864" t="str">
        <f>IF($C2864="","","Por el deposito de la detraccion en el Banco de la Nacion")</f>
        <v/>
      </c>
      <c r="H2864" t="str">
        <f>IF($C2864="","",Registro_Compras!$C$321)</f>
        <v/>
      </c>
    </row>
    <row r="2865" spans="1:8" x14ac:dyDescent="0.25">
      <c r="A2865" s="25" t="str">
        <f>IF($C2865="","",Registro_Compras!$Y$321)</f>
        <v/>
      </c>
      <c r="B2865" t="str">
        <f>IF($C2865="","","C"&amp;TEXT(INT((ROW()-5)/9)+1,"000")&amp;"-4")</f>
        <v/>
      </c>
      <c r="C2865" t="str">
        <f>IF(OR(Registro_Compras!$C$321="",Registro_Compras!$O$321="",Registro_Compras!$Y$321="",Registro_Compras!$F$321="NOTA DE CREDITO"),"","4212")</f>
        <v/>
      </c>
      <c r="D2865" t="str">
        <f>IF(OR(Registro_Compras!$C$321="",Registro_Compras!$O$321=""),"","Cuentas por Pagar Comerciales - Terceros")</f>
        <v/>
      </c>
      <c r="E2865" s="20" t="str">
        <f>IF($C2865="","",IF(Registro_Compras!$F$321="RHE",(ROUND(Registro_Compras!$L$321*Registro_Compras!$N$321,2)-ROUND(Registro_Compras!$V$321*Registro_Compras!$N$321,2)),ROUND(Registro_Compras!$O$321-Registro_Compras!$S$321,2)))</f>
        <v/>
      </c>
      <c r="F2865" s="20" t="str">
        <f>""</f>
        <v/>
      </c>
      <c r="G2865" t="str">
        <f>IF($C2865="","","Por la cancelacion del saldo al proveedor")</f>
        <v/>
      </c>
      <c r="H2865" t="str">
        <f>IF($C2865="","",Registro_Compras!$C$321)</f>
        <v/>
      </c>
    </row>
    <row r="2866" spans="1:8" x14ac:dyDescent="0.25">
      <c r="A2866" s="25" t="str">
        <f>IF($C2866="","",Registro_Compras!$Y$321)</f>
        <v/>
      </c>
      <c r="B2866" t="str">
        <f>IF($C2866="","","C"&amp;TEXT(INT((ROW()-5)/9)+1,"000")&amp;"-4")</f>
        <v/>
      </c>
      <c r="C2866" t="str">
        <f>IF(OR(Registro_Compras!$C$321="",Registro_Compras!$O$321="",Registro_Compras!$Y$321="",Registro_Compras!$F$321="NOTA DE CREDITO"),"","1041")</f>
        <v/>
      </c>
      <c r="D2866" t="str">
        <f>IF(OR(Registro_Compras!$C$321="",Registro_Compras!$O$321=""),"","Efectivo y Equivalentes - Cta. Cte. Operativa")</f>
        <v/>
      </c>
      <c r="E2866" s="20" t="str">
        <f>""</f>
        <v/>
      </c>
      <c r="F2866" s="20" t="str">
        <f>IF($C2866="","",IF(Registro_Compras!$F$321="RHE",(ROUND(Registro_Compras!$L$321*Registro_Compras!$N$321,2)-ROUND(Registro_Compras!$V$321*Registro_Compras!$N$321,2)),ROUND(Registro_Compras!$O$321-Registro_Compras!$S$321,2)))</f>
        <v/>
      </c>
      <c r="G2866" t="str">
        <f>IF($C2866="","","Por la cancelacion del saldo al proveedor")</f>
        <v/>
      </c>
      <c r="H2866" t="str">
        <f>IF($C2866="","",Registro_Compras!$C$321)</f>
        <v/>
      </c>
    </row>
    <row r="2867" spans="1:8" x14ac:dyDescent="0.25">
      <c r="A2867" s="25" t="str">
        <f>IF($C2867="","",Registro_Compras!$B$322)</f>
        <v/>
      </c>
      <c r="B2867" t="str">
        <f>IF($C2867="","","C"&amp;TEXT(INT((ROW()-5)/9)+1,"000")&amp;"-1")</f>
        <v/>
      </c>
      <c r="C2867" t="str">
        <f>IF(OR(Registro_Compras!$C$322="",Registro_Compras!$O$322=""),"",IF(Registro_Compras!$F$322="NOTA DE CREDITO","4212",IF(Registro_Compras!$M$322="","63",Registro_Compras!$M$322)))</f>
        <v/>
      </c>
      <c r="D2867" t="str">
        <f>IF(OR(Registro_Compras!$C$322="",Registro_Compras!$O$322=""),"",IF(Registro_Compras!$F$322="NOTA DE CREDITO","Cuentas por Pagar Comerciales - Terceros (Emitidas)",IF(Registro_Compras!$F$322="RHE","Honorarios Profesionales - Servicios de Terceros","Gastos de Servicios Prestados por Terceros")))</f>
        <v/>
      </c>
      <c r="E2867" s="20" t="str">
        <f>IF($C2867="","",IF(Registro_Compras!$F$322="NOTA DE CREDITO",ABS(Registro_Compras!$O$322),IF(Registro_Compras!$F$322="RHE",ROUND(Registro_Compras!$L$322*Registro_Compras!$N$322,2),ROUND(Registro_Compras!$J$322*Registro_Compras!$N$322,2))))</f>
        <v/>
      </c>
      <c r="F2867" s="20" t="str">
        <f>""</f>
        <v/>
      </c>
      <c r="G2867" t="str">
        <f>IF($C2867="","",IF(Registro_Compras!$F$322="NOTA DE CREDITO","Por la nota de credito "&amp;Registro_Compras!$C$322&amp;" de "&amp;Registro_Compras!$E$322&amp;" [PATRON POR CONFIRMAR CON CONTADOR]",IF(Registro_Compras!$F$322="RHE","Por el registro del recibo por honorarios "&amp;Registro_Compras!$C$322&amp;" de "&amp;Registro_Compras!$E$322&amp;" [PATRON POR CONFIRMAR CON CONTADOR]","Por el registro de la factura "&amp;Registro_Compras!$C$322&amp;" de "&amp;Registro_Compras!$E$322)))</f>
        <v/>
      </c>
      <c r="H2867" t="str">
        <f>IF($C2867="","",Registro_Compras!$C$322)</f>
        <v/>
      </c>
    </row>
    <row r="2868" spans="1:8" x14ac:dyDescent="0.25">
      <c r="A2868" s="25" t="str">
        <f>IF($C2868="","",Registro_Compras!$B$322)</f>
        <v/>
      </c>
      <c r="B2868" t="str">
        <f>IF($C2868="","","C"&amp;TEXT(INT((ROW()-5)/9)+1,"000")&amp;"-1")</f>
        <v/>
      </c>
      <c r="C2868" t="str">
        <f>IF(OR(Registro_Compras!$C$322="",Registro_Compras!$O$322=""),"",IF(Registro_Compras!$F$322="RHE",IF(Registro_Compras!$V$322=0,"","4017"),IF(Registro_Compras!$F$322="NOTA DE CREDITO",IF(Registro_Compras!$M$322="","63",Registro_Compras!$M$322),IF(Registro_Compras!$K$322=0,"","40111"))))</f>
        <v/>
      </c>
      <c r="D2868" t="str">
        <f>IF(OR(Registro_Compras!$C$322="",Registro_Compras!$O$322=""),"",IF(Registro_Compras!$F$322="RHE","Retencion Renta 4ta Categoria por Pagar",IF(Registro_Compras!$F$322="NOTA DE CREDITO","Gastos de Servicios Prestados por Terceros","IGV - Cuenta Propia (Credito Fiscal)")))</f>
        <v/>
      </c>
      <c r="E2868" s="20" t="str">
        <f>IF($C2868="","",IF(Registro_Compras!$F$322="FACTURA",ROUND(Registro_Compras!$K$322*Registro_Compras!$N$322,2),""))</f>
        <v/>
      </c>
      <c r="F2868" s="20" t="str">
        <f>IF($C2868="","",IF(Registro_Compras!$F$322="RHE",ROUND(Registro_Compras!$V$322*Registro_Compras!$N$322,2),IF(Registro_Compras!$F$322="NOTA DE CREDITO",ROUND(ABS(Registro_Compras!$J$322*Registro_Compras!$N$322),2),"")))</f>
        <v/>
      </c>
      <c r="G2868" t="str">
        <f>IF($C2868="","",IF(Registro_Compras!$F$322="NOTA DE CREDITO","Por la nota de credito "&amp;Registro_Compras!$C$322&amp;" de "&amp;Registro_Compras!$E$322&amp;" [PATRON POR CONFIRMAR CON CONTADOR]",IF(Registro_Compras!$F$322="RHE","Por el registro del recibo por honorarios "&amp;Registro_Compras!$C$322&amp;" de "&amp;Registro_Compras!$E$322&amp;" [PATRON POR CONFIRMAR CON CONTADOR]","Por el registro de la factura "&amp;Registro_Compras!$C$322&amp;" de "&amp;Registro_Compras!$E$322)))</f>
        <v/>
      </c>
      <c r="H2868" t="str">
        <f>IF($C2868="","",Registro_Compras!$C$322)</f>
        <v/>
      </c>
    </row>
    <row r="2869" spans="1:8" x14ac:dyDescent="0.25">
      <c r="A2869" s="25" t="str">
        <f>IF($C2869="","",Registro_Compras!$B$322)</f>
        <v/>
      </c>
      <c r="B2869" t="str">
        <f>IF($C2869="","","C"&amp;TEXT(INT((ROW()-5)/9)+1,"000")&amp;"-1")</f>
        <v/>
      </c>
      <c r="C2869" t="str">
        <f>IF(OR(Registro_Compras!$C$322="",Registro_Compras!$O$322=""),"",IF(Registro_Compras!$F$322="NOTA DE CREDITO",IF(Registro_Compras!$K$322=0,"","40111"),"4212"))</f>
        <v/>
      </c>
      <c r="D2869" t="str">
        <f>IF(OR(Registro_Compras!$C$322="",Registro_Compras!$O$322=""),"",IF(Registro_Compras!$F$322="NOTA DE CREDITO","IGV - Cuenta Propia (Credito Fiscal)","Cuentas por Pagar Comerciales - Terceros (Emitidas)"))</f>
        <v/>
      </c>
      <c r="E2869" s="20" t="str">
        <f>""</f>
        <v/>
      </c>
      <c r="F2869" s="20" t="str">
        <f>IF($C2869="","",IF(Registro_Compras!$F$322="NOTA DE CREDITO",ROUND(ABS(Registro_Compras!$K$322*Registro_Compras!$N$322),2),IF(Registro_Compras!$F$322="RHE",(ROUND(Registro_Compras!$L$322*Registro_Compras!$N$322,2)-ROUND(Registro_Compras!$V$322*Registro_Compras!$N$322,2)),Registro_Compras!$O$322)))</f>
        <v/>
      </c>
      <c r="G2869" t="str">
        <f>IF($C2869="","",IF(Registro_Compras!$F$322="NOTA DE CREDITO","Por la nota de credito "&amp;Registro_Compras!$C$322&amp;" de "&amp;Registro_Compras!$E$322&amp;" [PATRON POR CONFIRMAR CON CONTADOR]",IF(Registro_Compras!$F$322="RHE","Por el registro del recibo por honorarios "&amp;Registro_Compras!$C$322&amp;" de "&amp;Registro_Compras!$E$322&amp;" [PATRON POR CONFIRMAR CON CONTADOR]","Por el registro de la factura "&amp;Registro_Compras!$C$322&amp;" de "&amp;Registro_Compras!$E$322)))</f>
        <v/>
      </c>
      <c r="H2869" t="str">
        <f>IF($C2869="","",Registro_Compras!$C$322)</f>
        <v/>
      </c>
    </row>
    <row r="2870" spans="1:8" x14ac:dyDescent="0.25">
      <c r="A2870" s="25" t="str">
        <f>IF($C2870="","",Registro_Compras!$B$322)</f>
        <v/>
      </c>
      <c r="B2870" t="str">
        <f>IF($C2870="","","C"&amp;TEXT(INT((ROW()-5)/9)+1,"000")&amp;"-2")</f>
        <v/>
      </c>
      <c r="C2870" t="str">
        <f>IF(OR(Registro_Compras!$C$322="",Registro_Compras!$O$322=""),"",IF(Registro_Compras!$AB$322="ADMINISTRATIVO","94","95"))</f>
        <v/>
      </c>
      <c r="D2870" t="str">
        <f>IF(OR(Registro_Compras!$C$322="",Registro_Compras!$O$322=""),"",IF(Registro_Compras!$AB$322="ADMINISTRATIVO","Gastos Administrativos","Gastos de Venta y Operacion"))</f>
        <v/>
      </c>
      <c r="E2870" s="20" t="str">
        <f>IF($C2870="","",IF(Registro_Compras!$F$322="NOTA DE CREDITO","",IF(Registro_Compras!$F$322="RHE",ROUND(Registro_Compras!$L$322*Registro_Compras!$N$322,2),ROUND(Registro_Compras!$J$322*Registro_Compras!$N$322,2))))</f>
        <v/>
      </c>
      <c r="F2870" s="20" t="str">
        <f>IF($C2870="","",IF(Registro_Compras!$F$322="NOTA DE CREDITO",ROUND(ABS(Registro_Compras!$J$322*Registro_Compras!$N$322),2),""))</f>
        <v/>
      </c>
      <c r="G2870" t="str">
        <f>IF($C2870="","","Por el destino del gasto")</f>
        <v/>
      </c>
      <c r="H2870" t="str">
        <f>IF($C2870="","",Registro_Compras!$C$322)</f>
        <v/>
      </c>
    </row>
    <row r="2871" spans="1:8" x14ac:dyDescent="0.25">
      <c r="A2871" s="25" t="str">
        <f>IF($C2871="","",Registro_Compras!$B$322)</f>
        <v/>
      </c>
      <c r="B2871" t="str">
        <f>IF($C2871="","","C"&amp;TEXT(INT((ROW()-5)/9)+1,"000")&amp;"-2")</f>
        <v/>
      </c>
      <c r="C2871" t="str">
        <f>IF(OR(Registro_Compras!$C$322="",Registro_Compras!$O$322=""),"","79/791")</f>
        <v/>
      </c>
      <c r="D2871" t="str">
        <f>IF(OR(Registro_Compras!$C$322="",Registro_Compras!$O$322=""),"","Cargas Imputables a Cuentas de Costos y Gastos")</f>
        <v/>
      </c>
      <c r="E2871" s="20" t="str">
        <f>IF($C2871="","",IF(Registro_Compras!$F$322="NOTA DE CREDITO",ROUND(ABS(Registro_Compras!$J$322*Registro_Compras!$N$322),2),""))</f>
        <v/>
      </c>
      <c r="F2871" s="20" t="str">
        <f>IF($C2871="","",IF(Registro_Compras!$F$322="NOTA DE CREDITO","",IF(Registro_Compras!$F$322="RHE",ROUND(Registro_Compras!$L$322*Registro_Compras!$N$322,2),ROUND(Registro_Compras!$J$322*Registro_Compras!$N$322,2))))</f>
        <v/>
      </c>
      <c r="G2871" t="str">
        <f>IF($C2871="","","Por el destino del gasto")</f>
        <v/>
      </c>
      <c r="H2871" t="str">
        <f>IF($C2871="","",Registro_Compras!$C$322)</f>
        <v/>
      </c>
    </row>
    <row r="2872" spans="1:8" x14ac:dyDescent="0.25">
      <c r="A2872" s="25" t="str">
        <f>IF($C2872="","",Registro_Compras!$X$322)</f>
        <v/>
      </c>
      <c r="B2872" t="str">
        <f>IF($C2872="","","C"&amp;TEXT(INT((ROW()-5)/9)+1,"000")&amp;"-3")</f>
        <v/>
      </c>
      <c r="C2872" t="str">
        <f>IF(OR(Registro_Compras!$C$322="",Registro_Compras!$O$322="",Registro_Compras!$R$322&lt;&gt;"SI",Registro_Compras!$X$322=""),"","4212")</f>
        <v/>
      </c>
      <c r="D2872" t="str">
        <f>IF(OR(Registro_Compras!$C$322="",Registro_Compras!$O$322=""),"","Cuentas por Pagar Comerciales - Terceros")</f>
        <v/>
      </c>
      <c r="E2872" s="20" t="str">
        <f>IF($C2872="","",Registro_Compras!$S$322)</f>
        <v/>
      </c>
      <c r="F2872" s="20" t="str">
        <f>""</f>
        <v/>
      </c>
      <c r="G2872" t="str">
        <f>IF($C2872="","","Por el deposito de la detraccion en el Banco de la Nacion")</f>
        <v/>
      </c>
      <c r="H2872" t="str">
        <f>IF($C2872="","",Registro_Compras!$C$322)</f>
        <v/>
      </c>
    </row>
    <row r="2873" spans="1:8" x14ac:dyDescent="0.25">
      <c r="A2873" s="25" t="str">
        <f>IF($C2873="","",Registro_Compras!$X$322)</f>
        <v/>
      </c>
      <c r="B2873" t="str">
        <f>IF($C2873="","","C"&amp;TEXT(INT((ROW()-5)/9)+1,"000")&amp;"-3")</f>
        <v/>
      </c>
      <c r="C2873" t="str">
        <f>IF(OR(Registro_Compras!$C$322="",Registro_Compras!$O$322="",Registro_Compras!$R$322&lt;&gt;"SI",Registro_Compras!$X$322=""),"","1041")</f>
        <v/>
      </c>
      <c r="D2873" t="str">
        <f>IF(OR(Registro_Compras!$C$322="",Registro_Compras!$O$322=""),"","Efectivo y Equivalentes - Cta. Cte. Operativa")</f>
        <v/>
      </c>
      <c r="E2873" s="20" t="str">
        <f>""</f>
        <v/>
      </c>
      <c r="F2873" s="20" t="str">
        <f>IF($C2873="","",Registro_Compras!$S$322)</f>
        <v/>
      </c>
      <c r="G2873" t="str">
        <f>IF($C2873="","","Por el deposito de la detraccion en el Banco de la Nacion")</f>
        <v/>
      </c>
      <c r="H2873" t="str">
        <f>IF($C2873="","",Registro_Compras!$C$322)</f>
        <v/>
      </c>
    </row>
    <row r="2874" spans="1:8" x14ac:dyDescent="0.25">
      <c r="A2874" s="25" t="str">
        <f>IF($C2874="","",Registro_Compras!$Y$322)</f>
        <v/>
      </c>
      <c r="B2874" t="str">
        <f>IF($C2874="","","C"&amp;TEXT(INT((ROW()-5)/9)+1,"000")&amp;"-4")</f>
        <v/>
      </c>
      <c r="C2874" t="str">
        <f>IF(OR(Registro_Compras!$C$322="",Registro_Compras!$O$322="",Registro_Compras!$Y$322="",Registro_Compras!$F$322="NOTA DE CREDITO"),"","4212")</f>
        <v/>
      </c>
      <c r="D2874" t="str">
        <f>IF(OR(Registro_Compras!$C$322="",Registro_Compras!$O$322=""),"","Cuentas por Pagar Comerciales - Terceros")</f>
        <v/>
      </c>
      <c r="E2874" s="20" t="str">
        <f>IF($C2874="","",IF(Registro_Compras!$F$322="RHE",(ROUND(Registro_Compras!$L$322*Registro_Compras!$N$322,2)-ROUND(Registro_Compras!$V$322*Registro_Compras!$N$322,2)),ROUND(Registro_Compras!$O$322-Registro_Compras!$S$322,2)))</f>
        <v/>
      </c>
      <c r="F2874" s="20" t="str">
        <f>""</f>
        <v/>
      </c>
      <c r="G2874" t="str">
        <f>IF($C2874="","","Por la cancelacion del saldo al proveedor")</f>
        <v/>
      </c>
      <c r="H2874" t="str">
        <f>IF($C2874="","",Registro_Compras!$C$322)</f>
        <v/>
      </c>
    </row>
    <row r="2875" spans="1:8" x14ac:dyDescent="0.25">
      <c r="A2875" s="25" t="str">
        <f>IF($C2875="","",Registro_Compras!$Y$322)</f>
        <v/>
      </c>
      <c r="B2875" t="str">
        <f>IF($C2875="","","C"&amp;TEXT(INT((ROW()-5)/9)+1,"000")&amp;"-4")</f>
        <v/>
      </c>
      <c r="C2875" t="str">
        <f>IF(OR(Registro_Compras!$C$322="",Registro_Compras!$O$322="",Registro_Compras!$Y$322="",Registro_Compras!$F$322="NOTA DE CREDITO"),"","1041")</f>
        <v/>
      </c>
      <c r="D2875" t="str">
        <f>IF(OR(Registro_Compras!$C$322="",Registro_Compras!$O$322=""),"","Efectivo y Equivalentes - Cta. Cte. Operativa")</f>
        <v/>
      </c>
      <c r="E2875" s="20" t="str">
        <f>""</f>
        <v/>
      </c>
      <c r="F2875" s="20" t="str">
        <f>IF($C2875="","",IF(Registro_Compras!$F$322="RHE",(ROUND(Registro_Compras!$L$322*Registro_Compras!$N$322,2)-ROUND(Registro_Compras!$V$322*Registro_Compras!$N$322,2)),ROUND(Registro_Compras!$O$322-Registro_Compras!$S$322,2)))</f>
        <v/>
      </c>
      <c r="G2875" t="str">
        <f>IF($C2875="","","Por la cancelacion del saldo al proveedor")</f>
        <v/>
      </c>
      <c r="H2875" t="str">
        <f>IF($C2875="","",Registro_Compras!$C$322)</f>
        <v/>
      </c>
    </row>
    <row r="2876" spans="1:8" x14ac:dyDescent="0.25">
      <c r="A2876" s="25" t="str">
        <f>IF($C2876="","",Registro_Compras!$B$323)</f>
        <v/>
      </c>
      <c r="B2876" t="str">
        <f>IF($C2876="","","C"&amp;TEXT(INT((ROW()-5)/9)+1,"000")&amp;"-1")</f>
        <v/>
      </c>
      <c r="C2876" t="str">
        <f>IF(OR(Registro_Compras!$C$323="",Registro_Compras!$O$323=""),"",IF(Registro_Compras!$F$323="NOTA DE CREDITO","4212",IF(Registro_Compras!$M$323="","63",Registro_Compras!$M$323)))</f>
        <v/>
      </c>
      <c r="D2876" t="str">
        <f>IF(OR(Registro_Compras!$C$323="",Registro_Compras!$O$323=""),"",IF(Registro_Compras!$F$323="NOTA DE CREDITO","Cuentas por Pagar Comerciales - Terceros (Emitidas)",IF(Registro_Compras!$F$323="RHE","Honorarios Profesionales - Servicios de Terceros","Gastos de Servicios Prestados por Terceros")))</f>
        <v/>
      </c>
      <c r="E2876" s="20" t="str">
        <f>IF($C2876="","",IF(Registro_Compras!$F$323="NOTA DE CREDITO",ABS(Registro_Compras!$O$323),IF(Registro_Compras!$F$323="RHE",ROUND(Registro_Compras!$L$323*Registro_Compras!$N$323,2),ROUND(Registro_Compras!$J$323*Registro_Compras!$N$323,2))))</f>
        <v/>
      </c>
      <c r="F2876" s="20" t="str">
        <f>""</f>
        <v/>
      </c>
      <c r="G2876" t="str">
        <f>IF($C2876="","",IF(Registro_Compras!$F$323="NOTA DE CREDITO","Por la nota de credito "&amp;Registro_Compras!$C$323&amp;" de "&amp;Registro_Compras!$E$323&amp;" [PATRON POR CONFIRMAR CON CONTADOR]",IF(Registro_Compras!$F$323="RHE","Por el registro del recibo por honorarios "&amp;Registro_Compras!$C$323&amp;" de "&amp;Registro_Compras!$E$323&amp;" [PATRON POR CONFIRMAR CON CONTADOR]","Por el registro de la factura "&amp;Registro_Compras!$C$323&amp;" de "&amp;Registro_Compras!$E$323)))</f>
        <v/>
      </c>
      <c r="H2876" t="str">
        <f>IF($C2876="","",Registro_Compras!$C$323)</f>
        <v/>
      </c>
    </row>
    <row r="2877" spans="1:8" x14ac:dyDescent="0.25">
      <c r="A2877" s="25" t="str">
        <f>IF($C2877="","",Registro_Compras!$B$323)</f>
        <v/>
      </c>
      <c r="B2877" t="str">
        <f>IF($C2877="","","C"&amp;TEXT(INT((ROW()-5)/9)+1,"000")&amp;"-1")</f>
        <v/>
      </c>
      <c r="C2877" t="str">
        <f>IF(OR(Registro_Compras!$C$323="",Registro_Compras!$O$323=""),"",IF(Registro_Compras!$F$323="RHE",IF(Registro_Compras!$V$323=0,"","4017"),IF(Registro_Compras!$F$323="NOTA DE CREDITO",IF(Registro_Compras!$M$323="","63",Registro_Compras!$M$323),IF(Registro_Compras!$K$323=0,"","40111"))))</f>
        <v/>
      </c>
      <c r="D2877" t="str">
        <f>IF(OR(Registro_Compras!$C$323="",Registro_Compras!$O$323=""),"",IF(Registro_Compras!$F$323="RHE","Retencion Renta 4ta Categoria por Pagar",IF(Registro_Compras!$F$323="NOTA DE CREDITO","Gastos de Servicios Prestados por Terceros","IGV - Cuenta Propia (Credito Fiscal)")))</f>
        <v/>
      </c>
      <c r="E2877" s="20" t="str">
        <f>IF($C2877="","",IF(Registro_Compras!$F$323="FACTURA",ROUND(Registro_Compras!$K$323*Registro_Compras!$N$323,2),""))</f>
        <v/>
      </c>
      <c r="F2877" s="20" t="str">
        <f>IF($C2877="","",IF(Registro_Compras!$F$323="RHE",ROUND(Registro_Compras!$V$323*Registro_Compras!$N$323,2),IF(Registro_Compras!$F$323="NOTA DE CREDITO",ROUND(ABS(Registro_Compras!$J$323*Registro_Compras!$N$323),2),"")))</f>
        <v/>
      </c>
      <c r="G2877" t="str">
        <f>IF($C2877="","",IF(Registro_Compras!$F$323="NOTA DE CREDITO","Por la nota de credito "&amp;Registro_Compras!$C$323&amp;" de "&amp;Registro_Compras!$E$323&amp;" [PATRON POR CONFIRMAR CON CONTADOR]",IF(Registro_Compras!$F$323="RHE","Por el registro del recibo por honorarios "&amp;Registro_Compras!$C$323&amp;" de "&amp;Registro_Compras!$E$323&amp;" [PATRON POR CONFIRMAR CON CONTADOR]","Por el registro de la factura "&amp;Registro_Compras!$C$323&amp;" de "&amp;Registro_Compras!$E$323)))</f>
        <v/>
      </c>
      <c r="H2877" t="str">
        <f>IF($C2877="","",Registro_Compras!$C$323)</f>
        <v/>
      </c>
    </row>
    <row r="2878" spans="1:8" x14ac:dyDescent="0.25">
      <c r="A2878" s="25" t="str">
        <f>IF($C2878="","",Registro_Compras!$B$323)</f>
        <v/>
      </c>
      <c r="B2878" t="str">
        <f>IF($C2878="","","C"&amp;TEXT(INT((ROW()-5)/9)+1,"000")&amp;"-1")</f>
        <v/>
      </c>
      <c r="C2878" t="str">
        <f>IF(OR(Registro_Compras!$C$323="",Registro_Compras!$O$323=""),"",IF(Registro_Compras!$F$323="NOTA DE CREDITO",IF(Registro_Compras!$K$323=0,"","40111"),"4212"))</f>
        <v/>
      </c>
      <c r="D2878" t="str">
        <f>IF(OR(Registro_Compras!$C$323="",Registro_Compras!$O$323=""),"",IF(Registro_Compras!$F$323="NOTA DE CREDITO","IGV - Cuenta Propia (Credito Fiscal)","Cuentas por Pagar Comerciales - Terceros (Emitidas)"))</f>
        <v/>
      </c>
      <c r="E2878" s="20" t="str">
        <f>""</f>
        <v/>
      </c>
      <c r="F2878" s="20" t="str">
        <f>IF($C2878="","",IF(Registro_Compras!$F$323="NOTA DE CREDITO",ROUND(ABS(Registro_Compras!$K$323*Registro_Compras!$N$323),2),IF(Registro_Compras!$F$323="RHE",(ROUND(Registro_Compras!$L$323*Registro_Compras!$N$323,2)-ROUND(Registro_Compras!$V$323*Registro_Compras!$N$323,2)),Registro_Compras!$O$323)))</f>
        <v/>
      </c>
      <c r="G2878" t="str">
        <f>IF($C2878="","",IF(Registro_Compras!$F$323="NOTA DE CREDITO","Por la nota de credito "&amp;Registro_Compras!$C$323&amp;" de "&amp;Registro_Compras!$E$323&amp;" [PATRON POR CONFIRMAR CON CONTADOR]",IF(Registro_Compras!$F$323="RHE","Por el registro del recibo por honorarios "&amp;Registro_Compras!$C$323&amp;" de "&amp;Registro_Compras!$E$323&amp;" [PATRON POR CONFIRMAR CON CONTADOR]","Por el registro de la factura "&amp;Registro_Compras!$C$323&amp;" de "&amp;Registro_Compras!$E$323)))</f>
        <v/>
      </c>
      <c r="H2878" t="str">
        <f>IF($C2878="","",Registro_Compras!$C$323)</f>
        <v/>
      </c>
    </row>
    <row r="2879" spans="1:8" x14ac:dyDescent="0.25">
      <c r="A2879" s="25" t="str">
        <f>IF($C2879="","",Registro_Compras!$B$323)</f>
        <v/>
      </c>
      <c r="B2879" t="str">
        <f>IF($C2879="","","C"&amp;TEXT(INT((ROW()-5)/9)+1,"000")&amp;"-2")</f>
        <v/>
      </c>
      <c r="C2879" t="str">
        <f>IF(OR(Registro_Compras!$C$323="",Registro_Compras!$O$323=""),"",IF(Registro_Compras!$AB$323="ADMINISTRATIVO","94","95"))</f>
        <v/>
      </c>
      <c r="D2879" t="str">
        <f>IF(OR(Registro_Compras!$C$323="",Registro_Compras!$O$323=""),"",IF(Registro_Compras!$AB$323="ADMINISTRATIVO","Gastos Administrativos","Gastos de Venta y Operacion"))</f>
        <v/>
      </c>
      <c r="E2879" s="20" t="str">
        <f>IF($C2879="","",IF(Registro_Compras!$F$323="NOTA DE CREDITO","",IF(Registro_Compras!$F$323="RHE",ROUND(Registro_Compras!$L$323*Registro_Compras!$N$323,2),ROUND(Registro_Compras!$J$323*Registro_Compras!$N$323,2))))</f>
        <v/>
      </c>
      <c r="F2879" s="20" t="str">
        <f>IF($C2879="","",IF(Registro_Compras!$F$323="NOTA DE CREDITO",ROUND(ABS(Registro_Compras!$J$323*Registro_Compras!$N$323),2),""))</f>
        <v/>
      </c>
      <c r="G2879" t="str">
        <f>IF($C2879="","","Por el destino del gasto")</f>
        <v/>
      </c>
      <c r="H2879" t="str">
        <f>IF($C2879="","",Registro_Compras!$C$323)</f>
        <v/>
      </c>
    </row>
    <row r="2880" spans="1:8" x14ac:dyDescent="0.25">
      <c r="A2880" s="25" t="str">
        <f>IF($C2880="","",Registro_Compras!$B$323)</f>
        <v/>
      </c>
      <c r="B2880" t="str">
        <f>IF($C2880="","","C"&amp;TEXT(INT((ROW()-5)/9)+1,"000")&amp;"-2")</f>
        <v/>
      </c>
      <c r="C2880" t="str">
        <f>IF(OR(Registro_Compras!$C$323="",Registro_Compras!$O$323=""),"","79/791")</f>
        <v/>
      </c>
      <c r="D2880" t="str">
        <f>IF(OR(Registro_Compras!$C$323="",Registro_Compras!$O$323=""),"","Cargas Imputables a Cuentas de Costos y Gastos")</f>
        <v/>
      </c>
      <c r="E2880" s="20" t="str">
        <f>IF($C2880="","",IF(Registro_Compras!$F$323="NOTA DE CREDITO",ROUND(ABS(Registro_Compras!$J$323*Registro_Compras!$N$323),2),""))</f>
        <v/>
      </c>
      <c r="F2880" s="20" t="str">
        <f>IF($C2880="","",IF(Registro_Compras!$F$323="NOTA DE CREDITO","",IF(Registro_Compras!$F$323="RHE",ROUND(Registro_Compras!$L$323*Registro_Compras!$N$323,2),ROUND(Registro_Compras!$J$323*Registro_Compras!$N$323,2))))</f>
        <v/>
      </c>
      <c r="G2880" t="str">
        <f>IF($C2880="","","Por el destino del gasto")</f>
        <v/>
      </c>
      <c r="H2880" t="str">
        <f>IF($C2880="","",Registro_Compras!$C$323)</f>
        <v/>
      </c>
    </row>
    <row r="2881" spans="1:8" x14ac:dyDescent="0.25">
      <c r="A2881" s="25" t="str">
        <f>IF($C2881="","",Registro_Compras!$X$323)</f>
        <v/>
      </c>
      <c r="B2881" t="str">
        <f>IF($C2881="","","C"&amp;TEXT(INT((ROW()-5)/9)+1,"000")&amp;"-3")</f>
        <v/>
      </c>
      <c r="C2881" t="str">
        <f>IF(OR(Registro_Compras!$C$323="",Registro_Compras!$O$323="",Registro_Compras!$R$323&lt;&gt;"SI",Registro_Compras!$X$323=""),"","4212")</f>
        <v/>
      </c>
      <c r="D2881" t="str">
        <f>IF(OR(Registro_Compras!$C$323="",Registro_Compras!$O$323=""),"","Cuentas por Pagar Comerciales - Terceros")</f>
        <v/>
      </c>
      <c r="E2881" s="20" t="str">
        <f>IF($C2881="","",Registro_Compras!$S$323)</f>
        <v/>
      </c>
      <c r="F2881" s="20" t="str">
        <f>""</f>
        <v/>
      </c>
      <c r="G2881" t="str">
        <f>IF($C2881="","","Por el deposito de la detraccion en el Banco de la Nacion")</f>
        <v/>
      </c>
      <c r="H2881" t="str">
        <f>IF($C2881="","",Registro_Compras!$C$323)</f>
        <v/>
      </c>
    </row>
    <row r="2882" spans="1:8" x14ac:dyDescent="0.25">
      <c r="A2882" s="25" t="str">
        <f>IF($C2882="","",Registro_Compras!$X$323)</f>
        <v/>
      </c>
      <c r="B2882" t="str">
        <f>IF($C2882="","","C"&amp;TEXT(INT((ROW()-5)/9)+1,"000")&amp;"-3")</f>
        <v/>
      </c>
      <c r="C2882" t="str">
        <f>IF(OR(Registro_Compras!$C$323="",Registro_Compras!$O$323="",Registro_Compras!$R$323&lt;&gt;"SI",Registro_Compras!$X$323=""),"","1041")</f>
        <v/>
      </c>
      <c r="D2882" t="str">
        <f>IF(OR(Registro_Compras!$C$323="",Registro_Compras!$O$323=""),"","Efectivo y Equivalentes - Cta. Cte. Operativa")</f>
        <v/>
      </c>
      <c r="E2882" s="20" t="str">
        <f>""</f>
        <v/>
      </c>
      <c r="F2882" s="20" t="str">
        <f>IF($C2882="","",Registro_Compras!$S$323)</f>
        <v/>
      </c>
      <c r="G2882" t="str">
        <f>IF($C2882="","","Por el deposito de la detraccion en el Banco de la Nacion")</f>
        <v/>
      </c>
      <c r="H2882" t="str">
        <f>IF($C2882="","",Registro_Compras!$C$323)</f>
        <v/>
      </c>
    </row>
    <row r="2883" spans="1:8" x14ac:dyDescent="0.25">
      <c r="A2883" s="25" t="str">
        <f>IF($C2883="","",Registro_Compras!$Y$323)</f>
        <v/>
      </c>
      <c r="B2883" t="str">
        <f>IF($C2883="","","C"&amp;TEXT(INT((ROW()-5)/9)+1,"000")&amp;"-4")</f>
        <v/>
      </c>
      <c r="C2883" t="str">
        <f>IF(OR(Registro_Compras!$C$323="",Registro_Compras!$O$323="",Registro_Compras!$Y$323="",Registro_Compras!$F$323="NOTA DE CREDITO"),"","4212")</f>
        <v/>
      </c>
      <c r="D2883" t="str">
        <f>IF(OR(Registro_Compras!$C$323="",Registro_Compras!$O$323=""),"","Cuentas por Pagar Comerciales - Terceros")</f>
        <v/>
      </c>
      <c r="E2883" s="20" t="str">
        <f>IF($C2883="","",IF(Registro_Compras!$F$323="RHE",(ROUND(Registro_Compras!$L$323*Registro_Compras!$N$323,2)-ROUND(Registro_Compras!$V$323*Registro_Compras!$N$323,2)),ROUND(Registro_Compras!$O$323-Registro_Compras!$S$323,2)))</f>
        <v/>
      </c>
      <c r="F2883" s="20" t="str">
        <f>""</f>
        <v/>
      </c>
      <c r="G2883" t="str">
        <f>IF($C2883="","","Por la cancelacion del saldo al proveedor")</f>
        <v/>
      </c>
      <c r="H2883" t="str">
        <f>IF($C2883="","",Registro_Compras!$C$323)</f>
        <v/>
      </c>
    </row>
    <row r="2884" spans="1:8" x14ac:dyDescent="0.25">
      <c r="A2884" s="25" t="str">
        <f>IF($C2884="","",Registro_Compras!$Y$323)</f>
        <v/>
      </c>
      <c r="B2884" t="str">
        <f>IF($C2884="","","C"&amp;TEXT(INT((ROW()-5)/9)+1,"000")&amp;"-4")</f>
        <v/>
      </c>
      <c r="C2884" t="str">
        <f>IF(OR(Registro_Compras!$C$323="",Registro_Compras!$O$323="",Registro_Compras!$Y$323="",Registro_Compras!$F$323="NOTA DE CREDITO"),"","1041")</f>
        <v/>
      </c>
      <c r="D2884" t="str">
        <f>IF(OR(Registro_Compras!$C$323="",Registro_Compras!$O$323=""),"","Efectivo y Equivalentes - Cta. Cte. Operativa")</f>
        <v/>
      </c>
      <c r="E2884" s="20" t="str">
        <f>""</f>
        <v/>
      </c>
      <c r="F2884" s="20" t="str">
        <f>IF($C2884="","",IF(Registro_Compras!$F$323="RHE",(ROUND(Registro_Compras!$L$323*Registro_Compras!$N$323,2)-ROUND(Registro_Compras!$V$323*Registro_Compras!$N$323,2)),ROUND(Registro_Compras!$O$323-Registro_Compras!$S$323,2)))</f>
        <v/>
      </c>
      <c r="G2884" t="str">
        <f>IF($C2884="","","Por la cancelacion del saldo al proveedor")</f>
        <v/>
      </c>
      <c r="H2884" t="str">
        <f>IF($C2884="","",Registro_Compras!$C$323)</f>
        <v/>
      </c>
    </row>
    <row r="2885" spans="1:8" x14ac:dyDescent="0.25">
      <c r="A2885" s="25" t="str">
        <f>IF($C2885="","",Registro_Compras!$B$324)</f>
        <v/>
      </c>
      <c r="B2885" t="str">
        <f>IF($C2885="","","C"&amp;TEXT(INT((ROW()-5)/9)+1,"000")&amp;"-1")</f>
        <v/>
      </c>
      <c r="C2885" t="str">
        <f>IF(OR(Registro_Compras!$C$324="",Registro_Compras!$O$324=""),"",IF(Registro_Compras!$F$324="NOTA DE CREDITO","4212",IF(Registro_Compras!$M$324="","63",Registro_Compras!$M$324)))</f>
        <v/>
      </c>
      <c r="D2885" t="str">
        <f>IF(OR(Registro_Compras!$C$324="",Registro_Compras!$O$324=""),"",IF(Registro_Compras!$F$324="NOTA DE CREDITO","Cuentas por Pagar Comerciales - Terceros (Emitidas)",IF(Registro_Compras!$F$324="RHE","Honorarios Profesionales - Servicios de Terceros","Gastos de Servicios Prestados por Terceros")))</f>
        <v/>
      </c>
      <c r="E2885" s="20" t="str">
        <f>IF($C2885="","",IF(Registro_Compras!$F$324="NOTA DE CREDITO",ABS(Registro_Compras!$O$324),IF(Registro_Compras!$F$324="RHE",ROUND(Registro_Compras!$L$324*Registro_Compras!$N$324,2),ROUND(Registro_Compras!$J$324*Registro_Compras!$N$324,2))))</f>
        <v/>
      </c>
      <c r="F2885" s="20" t="str">
        <f>""</f>
        <v/>
      </c>
      <c r="G2885" t="str">
        <f>IF($C2885="","",IF(Registro_Compras!$F$324="NOTA DE CREDITO","Por la nota de credito "&amp;Registro_Compras!$C$324&amp;" de "&amp;Registro_Compras!$E$324&amp;" [PATRON POR CONFIRMAR CON CONTADOR]",IF(Registro_Compras!$F$324="RHE","Por el registro del recibo por honorarios "&amp;Registro_Compras!$C$324&amp;" de "&amp;Registro_Compras!$E$324&amp;" [PATRON POR CONFIRMAR CON CONTADOR]","Por el registro de la factura "&amp;Registro_Compras!$C$324&amp;" de "&amp;Registro_Compras!$E$324)))</f>
        <v/>
      </c>
      <c r="H2885" t="str">
        <f>IF($C2885="","",Registro_Compras!$C$324)</f>
        <v/>
      </c>
    </row>
    <row r="2886" spans="1:8" x14ac:dyDescent="0.25">
      <c r="A2886" s="25" t="str">
        <f>IF($C2886="","",Registro_Compras!$B$324)</f>
        <v/>
      </c>
      <c r="B2886" t="str">
        <f>IF($C2886="","","C"&amp;TEXT(INT((ROW()-5)/9)+1,"000")&amp;"-1")</f>
        <v/>
      </c>
      <c r="C2886" t="str">
        <f>IF(OR(Registro_Compras!$C$324="",Registro_Compras!$O$324=""),"",IF(Registro_Compras!$F$324="RHE",IF(Registro_Compras!$V$324=0,"","4017"),IF(Registro_Compras!$F$324="NOTA DE CREDITO",IF(Registro_Compras!$M$324="","63",Registro_Compras!$M$324),IF(Registro_Compras!$K$324=0,"","40111"))))</f>
        <v/>
      </c>
      <c r="D2886" t="str">
        <f>IF(OR(Registro_Compras!$C$324="",Registro_Compras!$O$324=""),"",IF(Registro_Compras!$F$324="RHE","Retencion Renta 4ta Categoria por Pagar",IF(Registro_Compras!$F$324="NOTA DE CREDITO","Gastos de Servicios Prestados por Terceros","IGV - Cuenta Propia (Credito Fiscal)")))</f>
        <v/>
      </c>
      <c r="E2886" s="20" t="str">
        <f>IF($C2886="","",IF(Registro_Compras!$F$324="FACTURA",ROUND(Registro_Compras!$K$324*Registro_Compras!$N$324,2),""))</f>
        <v/>
      </c>
      <c r="F2886" s="20" t="str">
        <f>IF($C2886="","",IF(Registro_Compras!$F$324="RHE",ROUND(Registro_Compras!$V$324*Registro_Compras!$N$324,2),IF(Registro_Compras!$F$324="NOTA DE CREDITO",ROUND(ABS(Registro_Compras!$J$324*Registro_Compras!$N$324),2),"")))</f>
        <v/>
      </c>
      <c r="G2886" t="str">
        <f>IF($C2886="","",IF(Registro_Compras!$F$324="NOTA DE CREDITO","Por la nota de credito "&amp;Registro_Compras!$C$324&amp;" de "&amp;Registro_Compras!$E$324&amp;" [PATRON POR CONFIRMAR CON CONTADOR]",IF(Registro_Compras!$F$324="RHE","Por el registro del recibo por honorarios "&amp;Registro_Compras!$C$324&amp;" de "&amp;Registro_Compras!$E$324&amp;" [PATRON POR CONFIRMAR CON CONTADOR]","Por el registro de la factura "&amp;Registro_Compras!$C$324&amp;" de "&amp;Registro_Compras!$E$324)))</f>
        <v/>
      </c>
      <c r="H2886" t="str">
        <f>IF($C2886="","",Registro_Compras!$C$324)</f>
        <v/>
      </c>
    </row>
    <row r="2887" spans="1:8" x14ac:dyDescent="0.25">
      <c r="A2887" s="25" t="str">
        <f>IF($C2887="","",Registro_Compras!$B$324)</f>
        <v/>
      </c>
      <c r="B2887" t="str">
        <f>IF($C2887="","","C"&amp;TEXT(INT((ROW()-5)/9)+1,"000")&amp;"-1")</f>
        <v/>
      </c>
      <c r="C2887" t="str">
        <f>IF(OR(Registro_Compras!$C$324="",Registro_Compras!$O$324=""),"",IF(Registro_Compras!$F$324="NOTA DE CREDITO",IF(Registro_Compras!$K$324=0,"","40111"),"4212"))</f>
        <v/>
      </c>
      <c r="D2887" t="str">
        <f>IF(OR(Registro_Compras!$C$324="",Registro_Compras!$O$324=""),"",IF(Registro_Compras!$F$324="NOTA DE CREDITO","IGV - Cuenta Propia (Credito Fiscal)","Cuentas por Pagar Comerciales - Terceros (Emitidas)"))</f>
        <v/>
      </c>
      <c r="E2887" s="20" t="str">
        <f>""</f>
        <v/>
      </c>
      <c r="F2887" s="20" t="str">
        <f>IF($C2887="","",IF(Registro_Compras!$F$324="NOTA DE CREDITO",ROUND(ABS(Registro_Compras!$K$324*Registro_Compras!$N$324),2),IF(Registro_Compras!$F$324="RHE",(ROUND(Registro_Compras!$L$324*Registro_Compras!$N$324,2)-ROUND(Registro_Compras!$V$324*Registro_Compras!$N$324,2)),Registro_Compras!$O$324)))</f>
        <v/>
      </c>
      <c r="G2887" t="str">
        <f>IF($C2887="","",IF(Registro_Compras!$F$324="NOTA DE CREDITO","Por la nota de credito "&amp;Registro_Compras!$C$324&amp;" de "&amp;Registro_Compras!$E$324&amp;" [PATRON POR CONFIRMAR CON CONTADOR]",IF(Registro_Compras!$F$324="RHE","Por el registro del recibo por honorarios "&amp;Registro_Compras!$C$324&amp;" de "&amp;Registro_Compras!$E$324&amp;" [PATRON POR CONFIRMAR CON CONTADOR]","Por el registro de la factura "&amp;Registro_Compras!$C$324&amp;" de "&amp;Registro_Compras!$E$324)))</f>
        <v/>
      </c>
      <c r="H2887" t="str">
        <f>IF($C2887="","",Registro_Compras!$C$324)</f>
        <v/>
      </c>
    </row>
    <row r="2888" spans="1:8" x14ac:dyDescent="0.25">
      <c r="A2888" s="25" t="str">
        <f>IF($C2888="","",Registro_Compras!$B$324)</f>
        <v/>
      </c>
      <c r="B2888" t="str">
        <f>IF($C2888="","","C"&amp;TEXT(INT((ROW()-5)/9)+1,"000")&amp;"-2")</f>
        <v/>
      </c>
      <c r="C2888" t="str">
        <f>IF(OR(Registro_Compras!$C$324="",Registro_Compras!$O$324=""),"",IF(Registro_Compras!$AB$324="ADMINISTRATIVO","94","95"))</f>
        <v/>
      </c>
      <c r="D2888" t="str">
        <f>IF(OR(Registro_Compras!$C$324="",Registro_Compras!$O$324=""),"",IF(Registro_Compras!$AB$324="ADMINISTRATIVO","Gastos Administrativos","Gastos de Venta y Operacion"))</f>
        <v/>
      </c>
      <c r="E2888" s="20" t="str">
        <f>IF($C2888="","",IF(Registro_Compras!$F$324="NOTA DE CREDITO","",IF(Registro_Compras!$F$324="RHE",ROUND(Registro_Compras!$L$324*Registro_Compras!$N$324,2),ROUND(Registro_Compras!$J$324*Registro_Compras!$N$324,2))))</f>
        <v/>
      </c>
      <c r="F2888" s="20" t="str">
        <f>IF($C2888="","",IF(Registro_Compras!$F$324="NOTA DE CREDITO",ROUND(ABS(Registro_Compras!$J$324*Registro_Compras!$N$324),2),""))</f>
        <v/>
      </c>
      <c r="G2888" t="str">
        <f>IF($C2888="","","Por el destino del gasto")</f>
        <v/>
      </c>
      <c r="H2888" t="str">
        <f>IF($C2888="","",Registro_Compras!$C$324)</f>
        <v/>
      </c>
    </row>
    <row r="2889" spans="1:8" x14ac:dyDescent="0.25">
      <c r="A2889" s="25" t="str">
        <f>IF($C2889="","",Registro_Compras!$B$324)</f>
        <v/>
      </c>
      <c r="B2889" t="str">
        <f>IF($C2889="","","C"&amp;TEXT(INT((ROW()-5)/9)+1,"000")&amp;"-2")</f>
        <v/>
      </c>
      <c r="C2889" t="str">
        <f>IF(OR(Registro_Compras!$C$324="",Registro_Compras!$O$324=""),"","79/791")</f>
        <v/>
      </c>
      <c r="D2889" t="str">
        <f>IF(OR(Registro_Compras!$C$324="",Registro_Compras!$O$324=""),"","Cargas Imputables a Cuentas de Costos y Gastos")</f>
        <v/>
      </c>
      <c r="E2889" s="20" t="str">
        <f>IF($C2889="","",IF(Registro_Compras!$F$324="NOTA DE CREDITO",ROUND(ABS(Registro_Compras!$J$324*Registro_Compras!$N$324),2),""))</f>
        <v/>
      </c>
      <c r="F2889" s="20" t="str">
        <f>IF($C2889="","",IF(Registro_Compras!$F$324="NOTA DE CREDITO","",IF(Registro_Compras!$F$324="RHE",ROUND(Registro_Compras!$L$324*Registro_Compras!$N$324,2),ROUND(Registro_Compras!$J$324*Registro_Compras!$N$324,2))))</f>
        <v/>
      </c>
      <c r="G2889" t="str">
        <f>IF($C2889="","","Por el destino del gasto")</f>
        <v/>
      </c>
      <c r="H2889" t="str">
        <f>IF($C2889="","",Registro_Compras!$C$324)</f>
        <v/>
      </c>
    </row>
    <row r="2890" spans="1:8" x14ac:dyDescent="0.25">
      <c r="A2890" s="25" t="str">
        <f>IF($C2890="","",Registro_Compras!$X$324)</f>
        <v/>
      </c>
      <c r="B2890" t="str">
        <f>IF($C2890="","","C"&amp;TEXT(INT((ROW()-5)/9)+1,"000")&amp;"-3")</f>
        <v/>
      </c>
      <c r="C2890" t="str">
        <f>IF(OR(Registro_Compras!$C$324="",Registro_Compras!$O$324="",Registro_Compras!$R$324&lt;&gt;"SI",Registro_Compras!$X$324=""),"","4212")</f>
        <v/>
      </c>
      <c r="D2890" t="str">
        <f>IF(OR(Registro_Compras!$C$324="",Registro_Compras!$O$324=""),"","Cuentas por Pagar Comerciales - Terceros")</f>
        <v/>
      </c>
      <c r="E2890" s="20" t="str">
        <f>IF($C2890="","",Registro_Compras!$S$324)</f>
        <v/>
      </c>
      <c r="F2890" s="20" t="str">
        <f>""</f>
        <v/>
      </c>
      <c r="G2890" t="str">
        <f>IF($C2890="","","Por el deposito de la detraccion en el Banco de la Nacion")</f>
        <v/>
      </c>
      <c r="H2890" t="str">
        <f>IF($C2890="","",Registro_Compras!$C$324)</f>
        <v/>
      </c>
    </row>
    <row r="2891" spans="1:8" x14ac:dyDescent="0.25">
      <c r="A2891" s="25" t="str">
        <f>IF($C2891="","",Registro_Compras!$X$324)</f>
        <v/>
      </c>
      <c r="B2891" t="str">
        <f>IF($C2891="","","C"&amp;TEXT(INT((ROW()-5)/9)+1,"000")&amp;"-3")</f>
        <v/>
      </c>
      <c r="C2891" t="str">
        <f>IF(OR(Registro_Compras!$C$324="",Registro_Compras!$O$324="",Registro_Compras!$R$324&lt;&gt;"SI",Registro_Compras!$X$324=""),"","1041")</f>
        <v/>
      </c>
      <c r="D2891" t="str">
        <f>IF(OR(Registro_Compras!$C$324="",Registro_Compras!$O$324=""),"","Efectivo y Equivalentes - Cta. Cte. Operativa")</f>
        <v/>
      </c>
      <c r="E2891" s="20" t="str">
        <f>""</f>
        <v/>
      </c>
      <c r="F2891" s="20" t="str">
        <f>IF($C2891="","",Registro_Compras!$S$324)</f>
        <v/>
      </c>
      <c r="G2891" t="str">
        <f>IF($C2891="","","Por el deposito de la detraccion en el Banco de la Nacion")</f>
        <v/>
      </c>
      <c r="H2891" t="str">
        <f>IF($C2891="","",Registro_Compras!$C$324)</f>
        <v/>
      </c>
    </row>
    <row r="2892" spans="1:8" x14ac:dyDescent="0.25">
      <c r="A2892" s="25" t="str">
        <f>IF($C2892="","",Registro_Compras!$Y$324)</f>
        <v/>
      </c>
      <c r="B2892" t="str">
        <f>IF($C2892="","","C"&amp;TEXT(INT((ROW()-5)/9)+1,"000")&amp;"-4")</f>
        <v/>
      </c>
      <c r="C2892" t="str">
        <f>IF(OR(Registro_Compras!$C$324="",Registro_Compras!$O$324="",Registro_Compras!$Y$324="",Registro_Compras!$F$324="NOTA DE CREDITO"),"","4212")</f>
        <v/>
      </c>
      <c r="D2892" t="str">
        <f>IF(OR(Registro_Compras!$C$324="",Registro_Compras!$O$324=""),"","Cuentas por Pagar Comerciales - Terceros")</f>
        <v/>
      </c>
      <c r="E2892" s="20" t="str">
        <f>IF($C2892="","",IF(Registro_Compras!$F$324="RHE",(ROUND(Registro_Compras!$L$324*Registro_Compras!$N$324,2)-ROUND(Registro_Compras!$V$324*Registro_Compras!$N$324,2)),ROUND(Registro_Compras!$O$324-Registro_Compras!$S$324,2)))</f>
        <v/>
      </c>
      <c r="F2892" s="20" t="str">
        <f>""</f>
        <v/>
      </c>
      <c r="G2892" t="str">
        <f>IF($C2892="","","Por la cancelacion del saldo al proveedor")</f>
        <v/>
      </c>
      <c r="H2892" t="str">
        <f>IF($C2892="","",Registro_Compras!$C$324)</f>
        <v/>
      </c>
    </row>
    <row r="2893" spans="1:8" x14ac:dyDescent="0.25">
      <c r="A2893" s="25" t="str">
        <f>IF($C2893="","",Registro_Compras!$Y$324)</f>
        <v/>
      </c>
      <c r="B2893" t="str">
        <f>IF($C2893="","","C"&amp;TEXT(INT((ROW()-5)/9)+1,"000")&amp;"-4")</f>
        <v/>
      </c>
      <c r="C2893" t="str">
        <f>IF(OR(Registro_Compras!$C$324="",Registro_Compras!$O$324="",Registro_Compras!$Y$324="",Registro_Compras!$F$324="NOTA DE CREDITO"),"","1041")</f>
        <v/>
      </c>
      <c r="D2893" t="str">
        <f>IF(OR(Registro_Compras!$C$324="",Registro_Compras!$O$324=""),"","Efectivo y Equivalentes - Cta. Cte. Operativa")</f>
        <v/>
      </c>
      <c r="E2893" s="20" t="str">
        <f>""</f>
        <v/>
      </c>
      <c r="F2893" s="20" t="str">
        <f>IF($C2893="","",IF(Registro_Compras!$F$324="RHE",(ROUND(Registro_Compras!$L$324*Registro_Compras!$N$324,2)-ROUND(Registro_Compras!$V$324*Registro_Compras!$N$324,2)),ROUND(Registro_Compras!$O$324-Registro_Compras!$S$324,2)))</f>
        <v/>
      </c>
      <c r="G2893" t="str">
        <f>IF($C2893="","","Por la cancelacion del saldo al proveedor")</f>
        <v/>
      </c>
      <c r="H2893" t="str">
        <f>IF($C2893="","",Registro_Compras!$C$324)</f>
        <v/>
      </c>
    </row>
    <row r="2894" spans="1:8" x14ac:dyDescent="0.25">
      <c r="A2894" s="25" t="str">
        <f>IF($C2894="","",Registro_Compras!$B$325)</f>
        <v/>
      </c>
      <c r="B2894" t="str">
        <f>IF($C2894="","","C"&amp;TEXT(INT((ROW()-5)/9)+1,"000")&amp;"-1")</f>
        <v/>
      </c>
      <c r="C2894" t="str">
        <f>IF(OR(Registro_Compras!$C$325="",Registro_Compras!$O$325=""),"",IF(Registro_Compras!$F$325="NOTA DE CREDITO","4212",IF(Registro_Compras!$M$325="","63",Registro_Compras!$M$325)))</f>
        <v/>
      </c>
      <c r="D2894" t="str">
        <f>IF(OR(Registro_Compras!$C$325="",Registro_Compras!$O$325=""),"",IF(Registro_Compras!$F$325="NOTA DE CREDITO","Cuentas por Pagar Comerciales - Terceros (Emitidas)",IF(Registro_Compras!$F$325="RHE","Honorarios Profesionales - Servicios de Terceros","Gastos de Servicios Prestados por Terceros")))</f>
        <v/>
      </c>
      <c r="E2894" s="20" t="str">
        <f>IF($C2894="","",IF(Registro_Compras!$F$325="NOTA DE CREDITO",ABS(Registro_Compras!$O$325),IF(Registro_Compras!$F$325="RHE",ROUND(Registro_Compras!$L$325*Registro_Compras!$N$325,2),ROUND(Registro_Compras!$J$325*Registro_Compras!$N$325,2))))</f>
        <v/>
      </c>
      <c r="F2894" s="20" t="str">
        <f>""</f>
        <v/>
      </c>
      <c r="G2894" t="str">
        <f>IF($C2894="","",IF(Registro_Compras!$F$325="NOTA DE CREDITO","Por la nota de credito "&amp;Registro_Compras!$C$325&amp;" de "&amp;Registro_Compras!$E$325&amp;" [PATRON POR CONFIRMAR CON CONTADOR]",IF(Registro_Compras!$F$325="RHE","Por el registro del recibo por honorarios "&amp;Registro_Compras!$C$325&amp;" de "&amp;Registro_Compras!$E$325&amp;" [PATRON POR CONFIRMAR CON CONTADOR]","Por el registro de la factura "&amp;Registro_Compras!$C$325&amp;" de "&amp;Registro_Compras!$E$325)))</f>
        <v/>
      </c>
      <c r="H2894" t="str">
        <f>IF($C2894="","",Registro_Compras!$C$325)</f>
        <v/>
      </c>
    </row>
    <row r="2895" spans="1:8" x14ac:dyDescent="0.25">
      <c r="A2895" s="25" t="str">
        <f>IF($C2895="","",Registro_Compras!$B$325)</f>
        <v/>
      </c>
      <c r="B2895" t="str">
        <f>IF($C2895="","","C"&amp;TEXT(INT((ROW()-5)/9)+1,"000")&amp;"-1")</f>
        <v/>
      </c>
      <c r="C2895" t="str">
        <f>IF(OR(Registro_Compras!$C$325="",Registro_Compras!$O$325=""),"",IF(Registro_Compras!$F$325="RHE",IF(Registro_Compras!$V$325=0,"","4017"),IF(Registro_Compras!$F$325="NOTA DE CREDITO",IF(Registro_Compras!$M$325="","63",Registro_Compras!$M$325),IF(Registro_Compras!$K$325=0,"","40111"))))</f>
        <v/>
      </c>
      <c r="D2895" t="str">
        <f>IF(OR(Registro_Compras!$C$325="",Registro_Compras!$O$325=""),"",IF(Registro_Compras!$F$325="RHE","Retencion Renta 4ta Categoria por Pagar",IF(Registro_Compras!$F$325="NOTA DE CREDITO","Gastos de Servicios Prestados por Terceros","IGV - Cuenta Propia (Credito Fiscal)")))</f>
        <v/>
      </c>
      <c r="E2895" s="20" t="str">
        <f>IF($C2895="","",IF(Registro_Compras!$F$325="FACTURA",ROUND(Registro_Compras!$K$325*Registro_Compras!$N$325,2),""))</f>
        <v/>
      </c>
      <c r="F2895" s="20" t="str">
        <f>IF($C2895="","",IF(Registro_Compras!$F$325="RHE",ROUND(Registro_Compras!$V$325*Registro_Compras!$N$325,2),IF(Registro_Compras!$F$325="NOTA DE CREDITO",ROUND(ABS(Registro_Compras!$J$325*Registro_Compras!$N$325),2),"")))</f>
        <v/>
      </c>
      <c r="G2895" t="str">
        <f>IF($C2895="","",IF(Registro_Compras!$F$325="NOTA DE CREDITO","Por la nota de credito "&amp;Registro_Compras!$C$325&amp;" de "&amp;Registro_Compras!$E$325&amp;" [PATRON POR CONFIRMAR CON CONTADOR]",IF(Registro_Compras!$F$325="RHE","Por el registro del recibo por honorarios "&amp;Registro_Compras!$C$325&amp;" de "&amp;Registro_Compras!$E$325&amp;" [PATRON POR CONFIRMAR CON CONTADOR]","Por el registro de la factura "&amp;Registro_Compras!$C$325&amp;" de "&amp;Registro_Compras!$E$325)))</f>
        <v/>
      </c>
      <c r="H2895" t="str">
        <f>IF($C2895="","",Registro_Compras!$C$325)</f>
        <v/>
      </c>
    </row>
    <row r="2896" spans="1:8" x14ac:dyDescent="0.25">
      <c r="A2896" s="25" t="str">
        <f>IF($C2896="","",Registro_Compras!$B$325)</f>
        <v/>
      </c>
      <c r="B2896" t="str">
        <f>IF($C2896="","","C"&amp;TEXT(INT((ROW()-5)/9)+1,"000")&amp;"-1")</f>
        <v/>
      </c>
      <c r="C2896" t="str">
        <f>IF(OR(Registro_Compras!$C$325="",Registro_Compras!$O$325=""),"",IF(Registro_Compras!$F$325="NOTA DE CREDITO",IF(Registro_Compras!$K$325=0,"","40111"),"4212"))</f>
        <v/>
      </c>
      <c r="D2896" t="str">
        <f>IF(OR(Registro_Compras!$C$325="",Registro_Compras!$O$325=""),"",IF(Registro_Compras!$F$325="NOTA DE CREDITO","IGV - Cuenta Propia (Credito Fiscal)","Cuentas por Pagar Comerciales - Terceros (Emitidas)"))</f>
        <v/>
      </c>
      <c r="E2896" s="20" t="str">
        <f>""</f>
        <v/>
      </c>
      <c r="F2896" s="20" t="str">
        <f>IF($C2896="","",IF(Registro_Compras!$F$325="NOTA DE CREDITO",ROUND(ABS(Registro_Compras!$K$325*Registro_Compras!$N$325),2),IF(Registro_Compras!$F$325="RHE",(ROUND(Registro_Compras!$L$325*Registro_Compras!$N$325,2)-ROUND(Registro_Compras!$V$325*Registro_Compras!$N$325,2)),Registro_Compras!$O$325)))</f>
        <v/>
      </c>
      <c r="G2896" t="str">
        <f>IF($C2896="","",IF(Registro_Compras!$F$325="NOTA DE CREDITO","Por la nota de credito "&amp;Registro_Compras!$C$325&amp;" de "&amp;Registro_Compras!$E$325&amp;" [PATRON POR CONFIRMAR CON CONTADOR]",IF(Registro_Compras!$F$325="RHE","Por el registro del recibo por honorarios "&amp;Registro_Compras!$C$325&amp;" de "&amp;Registro_Compras!$E$325&amp;" [PATRON POR CONFIRMAR CON CONTADOR]","Por el registro de la factura "&amp;Registro_Compras!$C$325&amp;" de "&amp;Registro_Compras!$E$325)))</f>
        <v/>
      </c>
      <c r="H2896" t="str">
        <f>IF($C2896="","",Registro_Compras!$C$325)</f>
        <v/>
      </c>
    </row>
    <row r="2897" spans="1:8" x14ac:dyDescent="0.25">
      <c r="A2897" s="25" t="str">
        <f>IF($C2897="","",Registro_Compras!$B$325)</f>
        <v/>
      </c>
      <c r="B2897" t="str">
        <f>IF($C2897="","","C"&amp;TEXT(INT((ROW()-5)/9)+1,"000")&amp;"-2")</f>
        <v/>
      </c>
      <c r="C2897" t="str">
        <f>IF(OR(Registro_Compras!$C$325="",Registro_Compras!$O$325=""),"",IF(Registro_Compras!$AB$325="ADMINISTRATIVO","94","95"))</f>
        <v/>
      </c>
      <c r="D2897" t="str">
        <f>IF(OR(Registro_Compras!$C$325="",Registro_Compras!$O$325=""),"",IF(Registro_Compras!$AB$325="ADMINISTRATIVO","Gastos Administrativos","Gastos de Venta y Operacion"))</f>
        <v/>
      </c>
      <c r="E2897" s="20" t="str">
        <f>IF($C2897="","",IF(Registro_Compras!$F$325="NOTA DE CREDITO","",IF(Registro_Compras!$F$325="RHE",ROUND(Registro_Compras!$L$325*Registro_Compras!$N$325,2),ROUND(Registro_Compras!$J$325*Registro_Compras!$N$325,2))))</f>
        <v/>
      </c>
      <c r="F2897" s="20" t="str">
        <f>IF($C2897="","",IF(Registro_Compras!$F$325="NOTA DE CREDITO",ROUND(ABS(Registro_Compras!$J$325*Registro_Compras!$N$325),2),""))</f>
        <v/>
      </c>
      <c r="G2897" t="str">
        <f>IF($C2897="","","Por el destino del gasto")</f>
        <v/>
      </c>
      <c r="H2897" t="str">
        <f>IF($C2897="","",Registro_Compras!$C$325)</f>
        <v/>
      </c>
    </row>
    <row r="2898" spans="1:8" x14ac:dyDescent="0.25">
      <c r="A2898" s="25" t="str">
        <f>IF($C2898="","",Registro_Compras!$B$325)</f>
        <v/>
      </c>
      <c r="B2898" t="str">
        <f>IF($C2898="","","C"&amp;TEXT(INT((ROW()-5)/9)+1,"000")&amp;"-2")</f>
        <v/>
      </c>
      <c r="C2898" t="str">
        <f>IF(OR(Registro_Compras!$C$325="",Registro_Compras!$O$325=""),"","79/791")</f>
        <v/>
      </c>
      <c r="D2898" t="str">
        <f>IF(OR(Registro_Compras!$C$325="",Registro_Compras!$O$325=""),"","Cargas Imputables a Cuentas de Costos y Gastos")</f>
        <v/>
      </c>
      <c r="E2898" s="20" t="str">
        <f>IF($C2898="","",IF(Registro_Compras!$F$325="NOTA DE CREDITO",ROUND(ABS(Registro_Compras!$J$325*Registro_Compras!$N$325),2),""))</f>
        <v/>
      </c>
      <c r="F2898" s="20" t="str">
        <f>IF($C2898="","",IF(Registro_Compras!$F$325="NOTA DE CREDITO","",IF(Registro_Compras!$F$325="RHE",ROUND(Registro_Compras!$L$325*Registro_Compras!$N$325,2),ROUND(Registro_Compras!$J$325*Registro_Compras!$N$325,2))))</f>
        <v/>
      </c>
      <c r="G2898" t="str">
        <f>IF($C2898="","","Por el destino del gasto")</f>
        <v/>
      </c>
      <c r="H2898" t="str">
        <f>IF($C2898="","",Registro_Compras!$C$325)</f>
        <v/>
      </c>
    </row>
    <row r="2899" spans="1:8" x14ac:dyDescent="0.25">
      <c r="A2899" s="25" t="str">
        <f>IF($C2899="","",Registro_Compras!$X$325)</f>
        <v/>
      </c>
      <c r="B2899" t="str">
        <f>IF($C2899="","","C"&amp;TEXT(INT((ROW()-5)/9)+1,"000")&amp;"-3")</f>
        <v/>
      </c>
      <c r="C2899" t="str">
        <f>IF(OR(Registro_Compras!$C$325="",Registro_Compras!$O$325="",Registro_Compras!$R$325&lt;&gt;"SI",Registro_Compras!$X$325=""),"","4212")</f>
        <v/>
      </c>
      <c r="D2899" t="str">
        <f>IF(OR(Registro_Compras!$C$325="",Registro_Compras!$O$325=""),"","Cuentas por Pagar Comerciales - Terceros")</f>
        <v/>
      </c>
      <c r="E2899" s="20" t="str">
        <f>IF($C2899="","",Registro_Compras!$S$325)</f>
        <v/>
      </c>
      <c r="F2899" s="20" t="str">
        <f>""</f>
        <v/>
      </c>
      <c r="G2899" t="str">
        <f>IF($C2899="","","Por el deposito de la detraccion en el Banco de la Nacion")</f>
        <v/>
      </c>
      <c r="H2899" t="str">
        <f>IF($C2899="","",Registro_Compras!$C$325)</f>
        <v/>
      </c>
    </row>
    <row r="2900" spans="1:8" x14ac:dyDescent="0.25">
      <c r="A2900" s="25" t="str">
        <f>IF($C2900="","",Registro_Compras!$X$325)</f>
        <v/>
      </c>
      <c r="B2900" t="str">
        <f>IF($C2900="","","C"&amp;TEXT(INT((ROW()-5)/9)+1,"000")&amp;"-3")</f>
        <v/>
      </c>
      <c r="C2900" t="str">
        <f>IF(OR(Registro_Compras!$C$325="",Registro_Compras!$O$325="",Registro_Compras!$R$325&lt;&gt;"SI",Registro_Compras!$X$325=""),"","1041")</f>
        <v/>
      </c>
      <c r="D2900" t="str">
        <f>IF(OR(Registro_Compras!$C$325="",Registro_Compras!$O$325=""),"","Efectivo y Equivalentes - Cta. Cte. Operativa")</f>
        <v/>
      </c>
      <c r="E2900" s="20" t="str">
        <f>""</f>
        <v/>
      </c>
      <c r="F2900" s="20" t="str">
        <f>IF($C2900="","",Registro_Compras!$S$325)</f>
        <v/>
      </c>
      <c r="G2900" t="str">
        <f>IF($C2900="","","Por el deposito de la detraccion en el Banco de la Nacion")</f>
        <v/>
      </c>
      <c r="H2900" t="str">
        <f>IF($C2900="","",Registro_Compras!$C$325)</f>
        <v/>
      </c>
    </row>
    <row r="2901" spans="1:8" x14ac:dyDescent="0.25">
      <c r="A2901" s="25" t="str">
        <f>IF($C2901="","",Registro_Compras!$Y$325)</f>
        <v/>
      </c>
      <c r="B2901" t="str">
        <f>IF($C2901="","","C"&amp;TEXT(INT((ROW()-5)/9)+1,"000")&amp;"-4")</f>
        <v/>
      </c>
      <c r="C2901" t="str">
        <f>IF(OR(Registro_Compras!$C$325="",Registro_Compras!$O$325="",Registro_Compras!$Y$325="",Registro_Compras!$F$325="NOTA DE CREDITO"),"","4212")</f>
        <v/>
      </c>
      <c r="D2901" t="str">
        <f>IF(OR(Registro_Compras!$C$325="",Registro_Compras!$O$325=""),"","Cuentas por Pagar Comerciales - Terceros")</f>
        <v/>
      </c>
      <c r="E2901" s="20" t="str">
        <f>IF($C2901="","",IF(Registro_Compras!$F$325="RHE",(ROUND(Registro_Compras!$L$325*Registro_Compras!$N$325,2)-ROUND(Registro_Compras!$V$325*Registro_Compras!$N$325,2)),ROUND(Registro_Compras!$O$325-Registro_Compras!$S$325,2)))</f>
        <v/>
      </c>
      <c r="F2901" s="20" t="str">
        <f>""</f>
        <v/>
      </c>
      <c r="G2901" t="str">
        <f>IF($C2901="","","Por la cancelacion del saldo al proveedor")</f>
        <v/>
      </c>
      <c r="H2901" t="str">
        <f>IF($C2901="","",Registro_Compras!$C$325)</f>
        <v/>
      </c>
    </row>
    <row r="2902" spans="1:8" x14ac:dyDescent="0.25">
      <c r="A2902" s="25" t="str">
        <f>IF($C2902="","",Registro_Compras!$Y$325)</f>
        <v/>
      </c>
      <c r="B2902" t="str">
        <f>IF($C2902="","","C"&amp;TEXT(INT((ROW()-5)/9)+1,"000")&amp;"-4")</f>
        <v/>
      </c>
      <c r="C2902" t="str">
        <f>IF(OR(Registro_Compras!$C$325="",Registro_Compras!$O$325="",Registro_Compras!$Y$325="",Registro_Compras!$F$325="NOTA DE CREDITO"),"","1041")</f>
        <v/>
      </c>
      <c r="D2902" t="str">
        <f>IF(OR(Registro_Compras!$C$325="",Registro_Compras!$O$325=""),"","Efectivo y Equivalentes - Cta. Cte. Operativa")</f>
        <v/>
      </c>
      <c r="E2902" s="20" t="str">
        <f>""</f>
        <v/>
      </c>
      <c r="F2902" s="20" t="str">
        <f>IF($C2902="","",IF(Registro_Compras!$F$325="RHE",(ROUND(Registro_Compras!$L$325*Registro_Compras!$N$325,2)-ROUND(Registro_Compras!$V$325*Registro_Compras!$N$325,2)),ROUND(Registro_Compras!$O$325-Registro_Compras!$S$325,2)))</f>
        <v/>
      </c>
      <c r="G2902" t="str">
        <f>IF($C2902="","","Por la cancelacion del saldo al proveedor")</f>
        <v/>
      </c>
      <c r="H2902" t="str">
        <f>IF($C2902="","",Registro_Compras!$C$325)</f>
        <v/>
      </c>
    </row>
    <row r="2903" spans="1:8" x14ac:dyDescent="0.25">
      <c r="A2903" s="25" t="str">
        <f>IF($C2903="","",Registro_Compras!$B$326)</f>
        <v/>
      </c>
      <c r="B2903" t="str">
        <f>IF($C2903="","","C"&amp;TEXT(INT((ROW()-5)/9)+1,"000")&amp;"-1")</f>
        <v/>
      </c>
      <c r="C2903" t="str">
        <f>IF(OR(Registro_Compras!$C$326="",Registro_Compras!$O$326=""),"",IF(Registro_Compras!$F$326="NOTA DE CREDITO","4212",IF(Registro_Compras!$M$326="","63",Registro_Compras!$M$326)))</f>
        <v/>
      </c>
      <c r="D2903" t="str">
        <f>IF(OR(Registro_Compras!$C$326="",Registro_Compras!$O$326=""),"",IF(Registro_Compras!$F$326="NOTA DE CREDITO","Cuentas por Pagar Comerciales - Terceros (Emitidas)",IF(Registro_Compras!$F$326="RHE","Honorarios Profesionales - Servicios de Terceros","Gastos de Servicios Prestados por Terceros")))</f>
        <v/>
      </c>
      <c r="E2903" s="20" t="str">
        <f>IF($C2903="","",IF(Registro_Compras!$F$326="NOTA DE CREDITO",ABS(Registro_Compras!$O$326),IF(Registro_Compras!$F$326="RHE",ROUND(Registro_Compras!$L$326*Registro_Compras!$N$326,2),ROUND(Registro_Compras!$J$326*Registro_Compras!$N$326,2))))</f>
        <v/>
      </c>
      <c r="F2903" s="20" t="str">
        <f>""</f>
        <v/>
      </c>
      <c r="G2903" t="str">
        <f>IF($C2903="","",IF(Registro_Compras!$F$326="NOTA DE CREDITO","Por la nota de credito "&amp;Registro_Compras!$C$326&amp;" de "&amp;Registro_Compras!$E$326&amp;" [PATRON POR CONFIRMAR CON CONTADOR]",IF(Registro_Compras!$F$326="RHE","Por el registro del recibo por honorarios "&amp;Registro_Compras!$C$326&amp;" de "&amp;Registro_Compras!$E$326&amp;" [PATRON POR CONFIRMAR CON CONTADOR]","Por el registro de la factura "&amp;Registro_Compras!$C$326&amp;" de "&amp;Registro_Compras!$E$326)))</f>
        <v/>
      </c>
      <c r="H2903" t="str">
        <f>IF($C2903="","",Registro_Compras!$C$326)</f>
        <v/>
      </c>
    </row>
    <row r="2904" spans="1:8" x14ac:dyDescent="0.25">
      <c r="A2904" s="25" t="str">
        <f>IF($C2904="","",Registro_Compras!$B$326)</f>
        <v/>
      </c>
      <c r="B2904" t="str">
        <f>IF($C2904="","","C"&amp;TEXT(INT((ROW()-5)/9)+1,"000")&amp;"-1")</f>
        <v/>
      </c>
      <c r="C2904" t="str">
        <f>IF(OR(Registro_Compras!$C$326="",Registro_Compras!$O$326=""),"",IF(Registro_Compras!$F$326="RHE",IF(Registro_Compras!$V$326=0,"","4017"),IF(Registro_Compras!$F$326="NOTA DE CREDITO",IF(Registro_Compras!$M$326="","63",Registro_Compras!$M$326),IF(Registro_Compras!$K$326=0,"","40111"))))</f>
        <v/>
      </c>
      <c r="D2904" t="str">
        <f>IF(OR(Registro_Compras!$C$326="",Registro_Compras!$O$326=""),"",IF(Registro_Compras!$F$326="RHE","Retencion Renta 4ta Categoria por Pagar",IF(Registro_Compras!$F$326="NOTA DE CREDITO","Gastos de Servicios Prestados por Terceros","IGV - Cuenta Propia (Credito Fiscal)")))</f>
        <v/>
      </c>
      <c r="E2904" s="20" t="str">
        <f>IF($C2904="","",IF(Registro_Compras!$F$326="FACTURA",ROUND(Registro_Compras!$K$326*Registro_Compras!$N$326,2),""))</f>
        <v/>
      </c>
      <c r="F2904" s="20" t="str">
        <f>IF($C2904="","",IF(Registro_Compras!$F$326="RHE",ROUND(Registro_Compras!$V$326*Registro_Compras!$N$326,2),IF(Registro_Compras!$F$326="NOTA DE CREDITO",ROUND(ABS(Registro_Compras!$J$326*Registro_Compras!$N$326),2),"")))</f>
        <v/>
      </c>
      <c r="G2904" t="str">
        <f>IF($C2904="","",IF(Registro_Compras!$F$326="NOTA DE CREDITO","Por la nota de credito "&amp;Registro_Compras!$C$326&amp;" de "&amp;Registro_Compras!$E$326&amp;" [PATRON POR CONFIRMAR CON CONTADOR]",IF(Registro_Compras!$F$326="RHE","Por el registro del recibo por honorarios "&amp;Registro_Compras!$C$326&amp;" de "&amp;Registro_Compras!$E$326&amp;" [PATRON POR CONFIRMAR CON CONTADOR]","Por el registro de la factura "&amp;Registro_Compras!$C$326&amp;" de "&amp;Registro_Compras!$E$326)))</f>
        <v/>
      </c>
      <c r="H2904" t="str">
        <f>IF($C2904="","",Registro_Compras!$C$326)</f>
        <v/>
      </c>
    </row>
    <row r="2905" spans="1:8" x14ac:dyDescent="0.25">
      <c r="A2905" s="25" t="str">
        <f>IF($C2905="","",Registro_Compras!$B$326)</f>
        <v/>
      </c>
      <c r="B2905" t="str">
        <f>IF($C2905="","","C"&amp;TEXT(INT((ROW()-5)/9)+1,"000")&amp;"-1")</f>
        <v/>
      </c>
      <c r="C2905" t="str">
        <f>IF(OR(Registro_Compras!$C$326="",Registro_Compras!$O$326=""),"",IF(Registro_Compras!$F$326="NOTA DE CREDITO",IF(Registro_Compras!$K$326=0,"","40111"),"4212"))</f>
        <v/>
      </c>
      <c r="D2905" t="str">
        <f>IF(OR(Registro_Compras!$C$326="",Registro_Compras!$O$326=""),"",IF(Registro_Compras!$F$326="NOTA DE CREDITO","IGV - Cuenta Propia (Credito Fiscal)","Cuentas por Pagar Comerciales - Terceros (Emitidas)"))</f>
        <v/>
      </c>
      <c r="E2905" s="20" t="str">
        <f>""</f>
        <v/>
      </c>
      <c r="F2905" s="20" t="str">
        <f>IF($C2905="","",IF(Registro_Compras!$F$326="NOTA DE CREDITO",ROUND(ABS(Registro_Compras!$K$326*Registro_Compras!$N$326),2),IF(Registro_Compras!$F$326="RHE",(ROUND(Registro_Compras!$L$326*Registro_Compras!$N$326,2)-ROUND(Registro_Compras!$V$326*Registro_Compras!$N$326,2)),Registro_Compras!$O$326)))</f>
        <v/>
      </c>
      <c r="G2905" t="str">
        <f>IF($C2905="","",IF(Registro_Compras!$F$326="NOTA DE CREDITO","Por la nota de credito "&amp;Registro_Compras!$C$326&amp;" de "&amp;Registro_Compras!$E$326&amp;" [PATRON POR CONFIRMAR CON CONTADOR]",IF(Registro_Compras!$F$326="RHE","Por el registro del recibo por honorarios "&amp;Registro_Compras!$C$326&amp;" de "&amp;Registro_Compras!$E$326&amp;" [PATRON POR CONFIRMAR CON CONTADOR]","Por el registro de la factura "&amp;Registro_Compras!$C$326&amp;" de "&amp;Registro_Compras!$E$326)))</f>
        <v/>
      </c>
      <c r="H2905" t="str">
        <f>IF($C2905="","",Registro_Compras!$C$326)</f>
        <v/>
      </c>
    </row>
    <row r="2906" spans="1:8" x14ac:dyDescent="0.25">
      <c r="A2906" s="25" t="str">
        <f>IF($C2906="","",Registro_Compras!$B$326)</f>
        <v/>
      </c>
      <c r="B2906" t="str">
        <f>IF($C2906="","","C"&amp;TEXT(INT((ROW()-5)/9)+1,"000")&amp;"-2")</f>
        <v/>
      </c>
      <c r="C2906" t="str">
        <f>IF(OR(Registro_Compras!$C$326="",Registro_Compras!$O$326=""),"",IF(Registro_Compras!$AB$326="ADMINISTRATIVO","94","95"))</f>
        <v/>
      </c>
      <c r="D2906" t="str">
        <f>IF(OR(Registro_Compras!$C$326="",Registro_Compras!$O$326=""),"",IF(Registro_Compras!$AB$326="ADMINISTRATIVO","Gastos Administrativos","Gastos de Venta y Operacion"))</f>
        <v/>
      </c>
      <c r="E2906" s="20" t="str">
        <f>IF($C2906="","",IF(Registro_Compras!$F$326="NOTA DE CREDITO","",IF(Registro_Compras!$F$326="RHE",ROUND(Registro_Compras!$L$326*Registro_Compras!$N$326,2),ROUND(Registro_Compras!$J$326*Registro_Compras!$N$326,2))))</f>
        <v/>
      </c>
      <c r="F2906" s="20" t="str">
        <f>IF($C2906="","",IF(Registro_Compras!$F$326="NOTA DE CREDITO",ROUND(ABS(Registro_Compras!$J$326*Registro_Compras!$N$326),2),""))</f>
        <v/>
      </c>
      <c r="G2906" t="str">
        <f>IF($C2906="","","Por el destino del gasto")</f>
        <v/>
      </c>
      <c r="H2906" t="str">
        <f>IF($C2906="","",Registro_Compras!$C$326)</f>
        <v/>
      </c>
    </row>
    <row r="2907" spans="1:8" x14ac:dyDescent="0.25">
      <c r="A2907" s="25" t="str">
        <f>IF($C2907="","",Registro_Compras!$B$326)</f>
        <v/>
      </c>
      <c r="B2907" t="str">
        <f>IF($C2907="","","C"&amp;TEXT(INT((ROW()-5)/9)+1,"000")&amp;"-2")</f>
        <v/>
      </c>
      <c r="C2907" t="str">
        <f>IF(OR(Registro_Compras!$C$326="",Registro_Compras!$O$326=""),"","79/791")</f>
        <v/>
      </c>
      <c r="D2907" t="str">
        <f>IF(OR(Registro_Compras!$C$326="",Registro_Compras!$O$326=""),"","Cargas Imputables a Cuentas de Costos y Gastos")</f>
        <v/>
      </c>
      <c r="E2907" s="20" t="str">
        <f>IF($C2907="","",IF(Registro_Compras!$F$326="NOTA DE CREDITO",ROUND(ABS(Registro_Compras!$J$326*Registro_Compras!$N$326),2),""))</f>
        <v/>
      </c>
      <c r="F2907" s="20" t="str">
        <f>IF($C2907="","",IF(Registro_Compras!$F$326="NOTA DE CREDITO","",IF(Registro_Compras!$F$326="RHE",ROUND(Registro_Compras!$L$326*Registro_Compras!$N$326,2),ROUND(Registro_Compras!$J$326*Registro_Compras!$N$326,2))))</f>
        <v/>
      </c>
      <c r="G2907" t="str">
        <f>IF($C2907="","","Por el destino del gasto")</f>
        <v/>
      </c>
      <c r="H2907" t="str">
        <f>IF($C2907="","",Registro_Compras!$C$326)</f>
        <v/>
      </c>
    </row>
    <row r="2908" spans="1:8" x14ac:dyDescent="0.25">
      <c r="A2908" s="25" t="str">
        <f>IF($C2908="","",Registro_Compras!$X$326)</f>
        <v/>
      </c>
      <c r="B2908" t="str">
        <f>IF($C2908="","","C"&amp;TEXT(INT((ROW()-5)/9)+1,"000")&amp;"-3")</f>
        <v/>
      </c>
      <c r="C2908" t="str">
        <f>IF(OR(Registro_Compras!$C$326="",Registro_Compras!$O$326="",Registro_Compras!$R$326&lt;&gt;"SI",Registro_Compras!$X$326=""),"","4212")</f>
        <v/>
      </c>
      <c r="D2908" t="str">
        <f>IF(OR(Registro_Compras!$C$326="",Registro_Compras!$O$326=""),"","Cuentas por Pagar Comerciales - Terceros")</f>
        <v/>
      </c>
      <c r="E2908" s="20" t="str">
        <f>IF($C2908="","",Registro_Compras!$S$326)</f>
        <v/>
      </c>
      <c r="F2908" s="20" t="str">
        <f>""</f>
        <v/>
      </c>
      <c r="G2908" t="str">
        <f>IF($C2908="","","Por el deposito de la detraccion en el Banco de la Nacion")</f>
        <v/>
      </c>
      <c r="H2908" t="str">
        <f>IF($C2908="","",Registro_Compras!$C$326)</f>
        <v/>
      </c>
    </row>
    <row r="2909" spans="1:8" x14ac:dyDescent="0.25">
      <c r="A2909" s="25" t="str">
        <f>IF($C2909="","",Registro_Compras!$X$326)</f>
        <v/>
      </c>
      <c r="B2909" t="str">
        <f>IF($C2909="","","C"&amp;TEXT(INT((ROW()-5)/9)+1,"000")&amp;"-3")</f>
        <v/>
      </c>
      <c r="C2909" t="str">
        <f>IF(OR(Registro_Compras!$C$326="",Registro_Compras!$O$326="",Registro_Compras!$R$326&lt;&gt;"SI",Registro_Compras!$X$326=""),"","1041")</f>
        <v/>
      </c>
      <c r="D2909" t="str">
        <f>IF(OR(Registro_Compras!$C$326="",Registro_Compras!$O$326=""),"","Efectivo y Equivalentes - Cta. Cte. Operativa")</f>
        <v/>
      </c>
      <c r="E2909" s="20" t="str">
        <f>""</f>
        <v/>
      </c>
      <c r="F2909" s="20" t="str">
        <f>IF($C2909="","",Registro_Compras!$S$326)</f>
        <v/>
      </c>
      <c r="G2909" t="str">
        <f>IF($C2909="","","Por el deposito de la detraccion en el Banco de la Nacion")</f>
        <v/>
      </c>
      <c r="H2909" t="str">
        <f>IF($C2909="","",Registro_Compras!$C$326)</f>
        <v/>
      </c>
    </row>
    <row r="2910" spans="1:8" x14ac:dyDescent="0.25">
      <c r="A2910" s="25" t="str">
        <f>IF($C2910="","",Registro_Compras!$Y$326)</f>
        <v/>
      </c>
      <c r="B2910" t="str">
        <f>IF($C2910="","","C"&amp;TEXT(INT((ROW()-5)/9)+1,"000")&amp;"-4")</f>
        <v/>
      </c>
      <c r="C2910" t="str">
        <f>IF(OR(Registro_Compras!$C$326="",Registro_Compras!$O$326="",Registro_Compras!$Y$326="",Registro_Compras!$F$326="NOTA DE CREDITO"),"","4212")</f>
        <v/>
      </c>
      <c r="D2910" t="str">
        <f>IF(OR(Registro_Compras!$C$326="",Registro_Compras!$O$326=""),"","Cuentas por Pagar Comerciales - Terceros")</f>
        <v/>
      </c>
      <c r="E2910" s="20" t="str">
        <f>IF($C2910="","",IF(Registro_Compras!$F$326="RHE",(ROUND(Registro_Compras!$L$326*Registro_Compras!$N$326,2)-ROUND(Registro_Compras!$V$326*Registro_Compras!$N$326,2)),ROUND(Registro_Compras!$O$326-Registro_Compras!$S$326,2)))</f>
        <v/>
      </c>
      <c r="F2910" s="20" t="str">
        <f>""</f>
        <v/>
      </c>
      <c r="G2910" t="str">
        <f>IF($C2910="","","Por la cancelacion del saldo al proveedor")</f>
        <v/>
      </c>
      <c r="H2910" t="str">
        <f>IF($C2910="","",Registro_Compras!$C$326)</f>
        <v/>
      </c>
    </row>
    <row r="2911" spans="1:8" x14ac:dyDescent="0.25">
      <c r="A2911" s="25" t="str">
        <f>IF($C2911="","",Registro_Compras!$Y$326)</f>
        <v/>
      </c>
      <c r="B2911" t="str">
        <f>IF($C2911="","","C"&amp;TEXT(INT((ROW()-5)/9)+1,"000")&amp;"-4")</f>
        <v/>
      </c>
      <c r="C2911" t="str">
        <f>IF(OR(Registro_Compras!$C$326="",Registro_Compras!$O$326="",Registro_Compras!$Y$326="",Registro_Compras!$F$326="NOTA DE CREDITO"),"","1041")</f>
        <v/>
      </c>
      <c r="D2911" t="str">
        <f>IF(OR(Registro_Compras!$C$326="",Registro_Compras!$O$326=""),"","Efectivo y Equivalentes - Cta. Cte. Operativa")</f>
        <v/>
      </c>
      <c r="E2911" s="20" t="str">
        <f>""</f>
        <v/>
      </c>
      <c r="F2911" s="20" t="str">
        <f>IF($C2911="","",IF(Registro_Compras!$F$326="RHE",(ROUND(Registro_Compras!$L$326*Registro_Compras!$N$326,2)-ROUND(Registro_Compras!$V$326*Registro_Compras!$N$326,2)),ROUND(Registro_Compras!$O$326-Registro_Compras!$S$326,2)))</f>
        <v/>
      </c>
      <c r="G2911" t="str">
        <f>IF($C2911="","","Por la cancelacion del saldo al proveedor")</f>
        <v/>
      </c>
      <c r="H2911" t="str">
        <f>IF($C2911="","",Registro_Compras!$C$326)</f>
        <v/>
      </c>
    </row>
    <row r="2912" spans="1:8" x14ac:dyDescent="0.25">
      <c r="A2912" s="25" t="str">
        <f>IF($C2912="","",Registro_Compras!$B$327)</f>
        <v/>
      </c>
      <c r="B2912" t="str">
        <f>IF($C2912="","","C"&amp;TEXT(INT((ROW()-5)/9)+1,"000")&amp;"-1")</f>
        <v/>
      </c>
      <c r="C2912" t="str">
        <f>IF(OR(Registro_Compras!$C$327="",Registro_Compras!$O$327=""),"",IF(Registro_Compras!$F$327="NOTA DE CREDITO","4212",IF(Registro_Compras!$M$327="","63",Registro_Compras!$M$327)))</f>
        <v/>
      </c>
      <c r="D2912" t="str">
        <f>IF(OR(Registro_Compras!$C$327="",Registro_Compras!$O$327=""),"",IF(Registro_Compras!$F$327="NOTA DE CREDITO","Cuentas por Pagar Comerciales - Terceros (Emitidas)",IF(Registro_Compras!$F$327="RHE","Honorarios Profesionales - Servicios de Terceros","Gastos de Servicios Prestados por Terceros")))</f>
        <v/>
      </c>
      <c r="E2912" s="20" t="str">
        <f>IF($C2912="","",IF(Registro_Compras!$F$327="NOTA DE CREDITO",ABS(Registro_Compras!$O$327),IF(Registro_Compras!$F$327="RHE",ROUND(Registro_Compras!$L$327*Registro_Compras!$N$327,2),ROUND(Registro_Compras!$J$327*Registro_Compras!$N$327,2))))</f>
        <v/>
      </c>
      <c r="F2912" s="20" t="str">
        <f>""</f>
        <v/>
      </c>
      <c r="G2912" t="str">
        <f>IF($C2912="","",IF(Registro_Compras!$F$327="NOTA DE CREDITO","Por la nota de credito "&amp;Registro_Compras!$C$327&amp;" de "&amp;Registro_Compras!$E$327&amp;" [PATRON POR CONFIRMAR CON CONTADOR]",IF(Registro_Compras!$F$327="RHE","Por el registro del recibo por honorarios "&amp;Registro_Compras!$C$327&amp;" de "&amp;Registro_Compras!$E$327&amp;" [PATRON POR CONFIRMAR CON CONTADOR]","Por el registro de la factura "&amp;Registro_Compras!$C$327&amp;" de "&amp;Registro_Compras!$E$327)))</f>
        <v/>
      </c>
      <c r="H2912" t="str">
        <f>IF($C2912="","",Registro_Compras!$C$327)</f>
        <v/>
      </c>
    </row>
    <row r="2913" spans="1:8" x14ac:dyDescent="0.25">
      <c r="A2913" s="25" t="str">
        <f>IF($C2913="","",Registro_Compras!$B$327)</f>
        <v/>
      </c>
      <c r="B2913" t="str">
        <f>IF($C2913="","","C"&amp;TEXT(INT((ROW()-5)/9)+1,"000")&amp;"-1")</f>
        <v/>
      </c>
      <c r="C2913" t="str">
        <f>IF(OR(Registro_Compras!$C$327="",Registro_Compras!$O$327=""),"",IF(Registro_Compras!$F$327="RHE",IF(Registro_Compras!$V$327=0,"","4017"),IF(Registro_Compras!$F$327="NOTA DE CREDITO",IF(Registro_Compras!$M$327="","63",Registro_Compras!$M$327),IF(Registro_Compras!$K$327=0,"","40111"))))</f>
        <v/>
      </c>
      <c r="D2913" t="str">
        <f>IF(OR(Registro_Compras!$C$327="",Registro_Compras!$O$327=""),"",IF(Registro_Compras!$F$327="RHE","Retencion Renta 4ta Categoria por Pagar",IF(Registro_Compras!$F$327="NOTA DE CREDITO","Gastos de Servicios Prestados por Terceros","IGV - Cuenta Propia (Credito Fiscal)")))</f>
        <v/>
      </c>
      <c r="E2913" s="20" t="str">
        <f>IF($C2913="","",IF(Registro_Compras!$F$327="FACTURA",ROUND(Registro_Compras!$K$327*Registro_Compras!$N$327,2),""))</f>
        <v/>
      </c>
      <c r="F2913" s="20" t="str">
        <f>IF($C2913="","",IF(Registro_Compras!$F$327="RHE",ROUND(Registro_Compras!$V$327*Registro_Compras!$N$327,2),IF(Registro_Compras!$F$327="NOTA DE CREDITO",ROUND(ABS(Registro_Compras!$J$327*Registro_Compras!$N$327),2),"")))</f>
        <v/>
      </c>
      <c r="G2913" t="str">
        <f>IF($C2913="","",IF(Registro_Compras!$F$327="NOTA DE CREDITO","Por la nota de credito "&amp;Registro_Compras!$C$327&amp;" de "&amp;Registro_Compras!$E$327&amp;" [PATRON POR CONFIRMAR CON CONTADOR]",IF(Registro_Compras!$F$327="RHE","Por el registro del recibo por honorarios "&amp;Registro_Compras!$C$327&amp;" de "&amp;Registro_Compras!$E$327&amp;" [PATRON POR CONFIRMAR CON CONTADOR]","Por el registro de la factura "&amp;Registro_Compras!$C$327&amp;" de "&amp;Registro_Compras!$E$327)))</f>
        <v/>
      </c>
      <c r="H2913" t="str">
        <f>IF($C2913="","",Registro_Compras!$C$327)</f>
        <v/>
      </c>
    </row>
    <row r="2914" spans="1:8" x14ac:dyDescent="0.25">
      <c r="A2914" s="25" t="str">
        <f>IF($C2914="","",Registro_Compras!$B$327)</f>
        <v/>
      </c>
      <c r="B2914" t="str">
        <f>IF($C2914="","","C"&amp;TEXT(INT((ROW()-5)/9)+1,"000")&amp;"-1")</f>
        <v/>
      </c>
      <c r="C2914" t="str">
        <f>IF(OR(Registro_Compras!$C$327="",Registro_Compras!$O$327=""),"",IF(Registro_Compras!$F$327="NOTA DE CREDITO",IF(Registro_Compras!$K$327=0,"","40111"),"4212"))</f>
        <v/>
      </c>
      <c r="D2914" t="str">
        <f>IF(OR(Registro_Compras!$C$327="",Registro_Compras!$O$327=""),"",IF(Registro_Compras!$F$327="NOTA DE CREDITO","IGV - Cuenta Propia (Credito Fiscal)","Cuentas por Pagar Comerciales - Terceros (Emitidas)"))</f>
        <v/>
      </c>
      <c r="E2914" s="20" t="str">
        <f>""</f>
        <v/>
      </c>
      <c r="F2914" s="20" t="str">
        <f>IF($C2914="","",IF(Registro_Compras!$F$327="NOTA DE CREDITO",ROUND(ABS(Registro_Compras!$K$327*Registro_Compras!$N$327),2),IF(Registro_Compras!$F$327="RHE",(ROUND(Registro_Compras!$L$327*Registro_Compras!$N$327,2)-ROUND(Registro_Compras!$V$327*Registro_Compras!$N$327,2)),Registro_Compras!$O$327)))</f>
        <v/>
      </c>
      <c r="G2914" t="str">
        <f>IF($C2914="","",IF(Registro_Compras!$F$327="NOTA DE CREDITO","Por la nota de credito "&amp;Registro_Compras!$C$327&amp;" de "&amp;Registro_Compras!$E$327&amp;" [PATRON POR CONFIRMAR CON CONTADOR]",IF(Registro_Compras!$F$327="RHE","Por el registro del recibo por honorarios "&amp;Registro_Compras!$C$327&amp;" de "&amp;Registro_Compras!$E$327&amp;" [PATRON POR CONFIRMAR CON CONTADOR]","Por el registro de la factura "&amp;Registro_Compras!$C$327&amp;" de "&amp;Registro_Compras!$E$327)))</f>
        <v/>
      </c>
      <c r="H2914" t="str">
        <f>IF($C2914="","",Registro_Compras!$C$327)</f>
        <v/>
      </c>
    </row>
    <row r="2915" spans="1:8" x14ac:dyDescent="0.25">
      <c r="A2915" s="25" t="str">
        <f>IF($C2915="","",Registro_Compras!$B$327)</f>
        <v/>
      </c>
      <c r="B2915" t="str">
        <f>IF($C2915="","","C"&amp;TEXT(INT((ROW()-5)/9)+1,"000")&amp;"-2")</f>
        <v/>
      </c>
      <c r="C2915" t="str">
        <f>IF(OR(Registro_Compras!$C$327="",Registro_Compras!$O$327=""),"",IF(Registro_Compras!$AB$327="ADMINISTRATIVO","94","95"))</f>
        <v/>
      </c>
      <c r="D2915" t="str">
        <f>IF(OR(Registro_Compras!$C$327="",Registro_Compras!$O$327=""),"",IF(Registro_Compras!$AB$327="ADMINISTRATIVO","Gastos Administrativos","Gastos de Venta y Operacion"))</f>
        <v/>
      </c>
      <c r="E2915" s="20" t="str">
        <f>IF($C2915="","",IF(Registro_Compras!$F$327="NOTA DE CREDITO","",IF(Registro_Compras!$F$327="RHE",ROUND(Registro_Compras!$L$327*Registro_Compras!$N$327,2),ROUND(Registro_Compras!$J$327*Registro_Compras!$N$327,2))))</f>
        <v/>
      </c>
      <c r="F2915" s="20" t="str">
        <f>IF($C2915="","",IF(Registro_Compras!$F$327="NOTA DE CREDITO",ROUND(ABS(Registro_Compras!$J$327*Registro_Compras!$N$327),2),""))</f>
        <v/>
      </c>
      <c r="G2915" t="str">
        <f>IF($C2915="","","Por el destino del gasto")</f>
        <v/>
      </c>
      <c r="H2915" t="str">
        <f>IF($C2915="","",Registro_Compras!$C$327)</f>
        <v/>
      </c>
    </row>
    <row r="2916" spans="1:8" x14ac:dyDescent="0.25">
      <c r="A2916" s="25" t="str">
        <f>IF($C2916="","",Registro_Compras!$B$327)</f>
        <v/>
      </c>
      <c r="B2916" t="str">
        <f>IF($C2916="","","C"&amp;TEXT(INT((ROW()-5)/9)+1,"000")&amp;"-2")</f>
        <v/>
      </c>
      <c r="C2916" t="str">
        <f>IF(OR(Registro_Compras!$C$327="",Registro_Compras!$O$327=""),"","79/791")</f>
        <v/>
      </c>
      <c r="D2916" t="str">
        <f>IF(OR(Registro_Compras!$C$327="",Registro_Compras!$O$327=""),"","Cargas Imputables a Cuentas de Costos y Gastos")</f>
        <v/>
      </c>
      <c r="E2916" s="20" t="str">
        <f>IF($C2916="","",IF(Registro_Compras!$F$327="NOTA DE CREDITO",ROUND(ABS(Registro_Compras!$J$327*Registro_Compras!$N$327),2),""))</f>
        <v/>
      </c>
      <c r="F2916" s="20" t="str">
        <f>IF($C2916="","",IF(Registro_Compras!$F$327="NOTA DE CREDITO","",IF(Registro_Compras!$F$327="RHE",ROUND(Registro_Compras!$L$327*Registro_Compras!$N$327,2),ROUND(Registro_Compras!$J$327*Registro_Compras!$N$327,2))))</f>
        <v/>
      </c>
      <c r="G2916" t="str">
        <f>IF($C2916="","","Por el destino del gasto")</f>
        <v/>
      </c>
      <c r="H2916" t="str">
        <f>IF($C2916="","",Registro_Compras!$C$327)</f>
        <v/>
      </c>
    </row>
    <row r="2917" spans="1:8" x14ac:dyDescent="0.25">
      <c r="A2917" s="25" t="str">
        <f>IF($C2917="","",Registro_Compras!$X$327)</f>
        <v/>
      </c>
      <c r="B2917" t="str">
        <f>IF($C2917="","","C"&amp;TEXT(INT((ROW()-5)/9)+1,"000")&amp;"-3")</f>
        <v/>
      </c>
      <c r="C2917" t="str">
        <f>IF(OR(Registro_Compras!$C$327="",Registro_Compras!$O$327="",Registro_Compras!$R$327&lt;&gt;"SI",Registro_Compras!$X$327=""),"","4212")</f>
        <v/>
      </c>
      <c r="D2917" t="str">
        <f>IF(OR(Registro_Compras!$C$327="",Registro_Compras!$O$327=""),"","Cuentas por Pagar Comerciales - Terceros")</f>
        <v/>
      </c>
      <c r="E2917" s="20" t="str">
        <f>IF($C2917="","",Registro_Compras!$S$327)</f>
        <v/>
      </c>
      <c r="F2917" s="20" t="str">
        <f>""</f>
        <v/>
      </c>
      <c r="G2917" t="str">
        <f>IF($C2917="","","Por el deposito de la detraccion en el Banco de la Nacion")</f>
        <v/>
      </c>
      <c r="H2917" t="str">
        <f>IF($C2917="","",Registro_Compras!$C$327)</f>
        <v/>
      </c>
    </row>
    <row r="2918" spans="1:8" x14ac:dyDescent="0.25">
      <c r="A2918" s="25" t="str">
        <f>IF($C2918="","",Registro_Compras!$X$327)</f>
        <v/>
      </c>
      <c r="B2918" t="str">
        <f>IF($C2918="","","C"&amp;TEXT(INT((ROW()-5)/9)+1,"000")&amp;"-3")</f>
        <v/>
      </c>
      <c r="C2918" t="str">
        <f>IF(OR(Registro_Compras!$C$327="",Registro_Compras!$O$327="",Registro_Compras!$R$327&lt;&gt;"SI",Registro_Compras!$X$327=""),"","1041")</f>
        <v/>
      </c>
      <c r="D2918" t="str">
        <f>IF(OR(Registro_Compras!$C$327="",Registro_Compras!$O$327=""),"","Efectivo y Equivalentes - Cta. Cte. Operativa")</f>
        <v/>
      </c>
      <c r="E2918" s="20" t="str">
        <f>""</f>
        <v/>
      </c>
      <c r="F2918" s="20" t="str">
        <f>IF($C2918="","",Registro_Compras!$S$327)</f>
        <v/>
      </c>
      <c r="G2918" t="str">
        <f>IF($C2918="","","Por el deposito de la detraccion en el Banco de la Nacion")</f>
        <v/>
      </c>
      <c r="H2918" t="str">
        <f>IF($C2918="","",Registro_Compras!$C$327)</f>
        <v/>
      </c>
    </row>
    <row r="2919" spans="1:8" x14ac:dyDescent="0.25">
      <c r="A2919" s="25" t="str">
        <f>IF($C2919="","",Registro_Compras!$Y$327)</f>
        <v/>
      </c>
      <c r="B2919" t="str">
        <f>IF($C2919="","","C"&amp;TEXT(INT((ROW()-5)/9)+1,"000")&amp;"-4")</f>
        <v/>
      </c>
      <c r="C2919" t="str">
        <f>IF(OR(Registro_Compras!$C$327="",Registro_Compras!$O$327="",Registro_Compras!$Y$327="",Registro_Compras!$F$327="NOTA DE CREDITO"),"","4212")</f>
        <v/>
      </c>
      <c r="D2919" t="str">
        <f>IF(OR(Registro_Compras!$C$327="",Registro_Compras!$O$327=""),"","Cuentas por Pagar Comerciales - Terceros")</f>
        <v/>
      </c>
      <c r="E2919" s="20" t="str">
        <f>IF($C2919="","",IF(Registro_Compras!$F$327="RHE",(ROUND(Registro_Compras!$L$327*Registro_Compras!$N$327,2)-ROUND(Registro_Compras!$V$327*Registro_Compras!$N$327,2)),ROUND(Registro_Compras!$O$327-Registro_Compras!$S$327,2)))</f>
        <v/>
      </c>
      <c r="F2919" s="20" t="str">
        <f>""</f>
        <v/>
      </c>
      <c r="G2919" t="str">
        <f>IF($C2919="","","Por la cancelacion del saldo al proveedor")</f>
        <v/>
      </c>
      <c r="H2919" t="str">
        <f>IF($C2919="","",Registro_Compras!$C$327)</f>
        <v/>
      </c>
    </row>
    <row r="2920" spans="1:8" x14ac:dyDescent="0.25">
      <c r="A2920" s="25" t="str">
        <f>IF($C2920="","",Registro_Compras!$Y$327)</f>
        <v/>
      </c>
      <c r="B2920" t="str">
        <f>IF($C2920="","","C"&amp;TEXT(INT((ROW()-5)/9)+1,"000")&amp;"-4")</f>
        <v/>
      </c>
      <c r="C2920" t="str">
        <f>IF(OR(Registro_Compras!$C$327="",Registro_Compras!$O$327="",Registro_Compras!$Y$327="",Registro_Compras!$F$327="NOTA DE CREDITO"),"","1041")</f>
        <v/>
      </c>
      <c r="D2920" t="str">
        <f>IF(OR(Registro_Compras!$C$327="",Registro_Compras!$O$327=""),"","Efectivo y Equivalentes - Cta. Cte. Operativa")</f>
        <v/>
      </c>
      <c r="E2920" s="20" t="str">
        <f>""</f>
        <v/>
      </c>
      <c r="F2920" s="20" t="str">
        <f>IF($C2920="","",IF(Registro_Compras!$F$327="RHE",(ROUND(Registro_Compras!$L$327*Registro_Compras!$N$327,2)-ROUND(Registro_Compras!$V$327*Registro_Compras!$N$327,2)),ROUND(Registro_Compras!$O$327-Registro_Compras!$S$327,2)))</f>
        <v/>
      </c>
      <c r="G2920" t="str">
        <f>IF($C2920="","","Por la cancelacion del saldo al proveedor")</f>
        <v/>
      </c>
      <c r="H2920" t="str">
        <f>IF($C2920="","",Registro_Compras!$C$327)</f>
        <v/>
      </c>
    </row>
    <row r="2921" spans="1:8" x14ac:dyDescent="0.25">
      <c r="A2921" s="25" t="str">
        <f>IF($C2921="","",Registro_Compras!$B$328)</f>
        <v/>
      </c>
      <c r="B2921" t="str">
        <f>IF($C2921="","","C"&amp;TEXT(INT((ROW()-5)/9)+1,"000")&amp;"-1")</f>
        <v/>
      </c>
      <c r="C2921" t="str">
        <f>IF(OR(Registro_Compras!$C$328="",Registro_Compras!$O$328=""),"",IF(Registro_Compras!$F$328="NOTA DE CREDITO","4212",IF(Registro_Compras!$M$328="","63",Registro_Compras!$M$328)))</f>
        <v/>
      </c>
      <c r="D2921" t="str">
        <f>IF(OR(Registro_Compras!$C$328="",Registro_Compras!$O$328=""),"",IF(Registro_Compras!$F$328="NOTA DE CREDITO","Cuentas por Pagar Comerciales - Terceros (Emitidas)",IF(Registro_Compras!$F$328="RHE","Honorarios Profesionales - Servicios de Terceros","Gastos de Servicios Prestados por Terceros")))</f>
        <v/>
      </c>
      <c r="E2921" s="20" t="str">
        <f>IF($C2921="","",IF(Registro_Compras!$F$328="NOTA DE CREDITO",ABS(Registro_Compras!$O$328),IF(Registro_Compras!$F$328="RHE",ROUND(Registro_Compras!$L$328*Registro_Compras!$N$328,2),ROUND(Registro_Compras!$J$328*Registro_Compras!$N$328,2))))</f>
        <v/>
      </c>
      <c r="F2921" s="20" t="str">
        <f>""</f>
        <v/>
      </c>
      <c r="G2921" t="str">
        <f>IF($C2921="","",IF(Registro_Compras!$F$328="NOTA DE CREDITO","Por la nota de credito "&amp;Registro_Compras!$C$328&amp;" de "&amp;Registro_Compras!$E$328&amp;" [PATRON POR CONFIRMAR CON CONTADOR]",IF(Registro_Compras!$F$328="RHE","Por el registro del recibo por honorarios "&amp;Registro_Compras!$C$328&amp;" de "&amp;Registro_Compras!$E$328&amp;" [PATRON POR CONFIRMAR CON CONTADOR]","Por el registro de la factura "&amp;Registro_Compras!$C$328&amp;" de "&amp;Registro_Compras!$E$328)))</f>
        <v/>
      </c>
      <c r="H2921" t="str">
        <f>IF($C2921="","",Registro_Compras!$C$328)</f>
        <v/>
      </c>
    </row>
    <row r="2922" spans="1:8" x14ac:dyDescent="0.25">
      <c r="A2922" s="25" t="str">
        <f>IF($C2922="","",Registro_Compras!$B$328)</f>
        <v/>
      </c>
      <c r="B2922" t="str">
        <f>IF($C2922="","","C"&amp;TEXT(INT((ROW()-5)/9)+1,"000")&amp;"-1")</f>
        <v/>
      </c>
      <c r="C2922" t="str">
        <f>IF(OR(Registro_Compras!$C$328="",Registro_Compras!$O$328=""),"",IF(Registro_Compras!$F$328="RHE",IF(Registro_Compras!$V$328=0,"","4017"),IF(Registro_Compras!$F$328="NOTA DE CREDITO",IF(Registro_Compras!$M$328="","63",Registro_Compras!$M$328),IF(Registro_Compras!$K$328=0,"","40111"))))</f>
        <v/>
      </c>
      <c r="D2922" t="str">
        <f>IF(OR(Registro_Compras!$C$328="",Registro_Compras!$O$328=""),"",IF(Registro_Compras!$F$328="RHE","Retencion Renta 4ta Categoria por Pagar",IF(Registro_Compras!$F$328="NOTA DE CREDITO","Gastos de Servicios Prestados por Terceros","IGV - Cuenta Propia (Credito Fiscal)")))</f>
        <v/>
      </c>
      <c r="E2922" s="20" t="str">
        <f>IF($C2922="","",IF(Registro_Compras!$F$328="FACTURA",ROUND(Registro_Compras!$K$328*Registro_Compras!$N$328,2),""))</f>
        <v/>
      </c>
      <c r="F2922" s="20" t="str">
        <f>IF($C2922="","",IF(Registro_Compras!$F$328="RHE",ROUND(Registro_Compras!$V$328*Registro_Compras!$N$328,2),IF(Registro_Compras!$F$328="NOTA DE CREDITO",ROUND(ABS(Registro_Compras!$J$328*Registro_Compras!$N$328),2),"")))</f>
        <v/>
      </c>
      <c r="G2922" t="str">
        <f>IF($C2922="","",IF(Registro_Compras!$F$328="NOTA DE CREDITO","Por la nota de credito "&amp;Registro_Compras!$C$328&amp;" de "&amp;Registro_Compras!$E$328&amp;" [PATRON POR CONFIRMAR CON CONTADOR]",IF(Registro_Compras!$F$328="RHE","Por el registro del recibo por honorarios "&amp;Registro_Compras!$C$328&amp;" de "&amp;Registro_Compras!$E$328&amp;" [PATRON POR CONFIRMAR CON CONTADOR]","Por el registro de la factura "&amp;Registro_Compras!$C$328&amp;" de "&amp;Registro_Compras!$E$328)))</f>
        <v/>
      </c>
      <c r="H2922" t="str">
        <f>IF($C2922="","",Registro_Compras!$C$328)</f>
        <v/>
      </c>
    </row>
    <row r="2923" spans="1:8" x14ac:dyDescent="0.25">
      <c r="A2923" s="25" t="str">
        <f>IF($C2923="","",Registro_Compras!$B$328)</f>
        <v/>
      </c>
      <c r="B2923" t="str">
        <f>IF($C2923="","","C"&amp;TEXT(INT((ROW()-5)/9)+1,"000")&amp;"-1")</f>
        <v/>
      </c>
      <c r="C2923" t="str">
        <f>IF(OR(Registro_Compras!$C$328="",Registro_Compras!$O$328=""),"",IF(Registro_Compras!$F$328="NOTA DE CREDITO",IF(Registro_Compras!$K$328=0,"","40111"),"4212"))</f>
        <v/>
      </c>
      <c r="D2923" t="str">
        <f>IF(OR(Registro_Compras!$C$328="",Registro_Compras!$O$328=""),"",IF(Registro_Compras!$F$328="NOTA DE CREDITO","IGV - Cuenta Propia (Credito Fiscal)","Cuentas por Pagar Comerciales - Terceros (Emitidas)"))</f>
        <v/>
      </c>
      <c r="E2923" s="20" t="str">
        <f>""</f>
        <v/>
      </c>
      <c r="F2923" s="20" t="str">
        <f>IF($C2923="","",IF(Registro_Compras!$F$328="NOTA DE CREDITO",ROUND(ABS(Registro_Compras!$K$328*Registro_Compras!$N$328),2),IF(Registro_Compras!$F$328="RHE",(ROUND(Registro_Compras!$L$328*Registro_Compras!$N$328,2)-ROUND(Registro_Compras!$V$328*Registro_Compras!$N$328,2)),Registro_Compras!$O$328)))</f>
        <v/>
      </c>
      <c r="G2923" t="str">
        <f>IF($C2923="","",IF(Registro_Compras!$F$328="NOTA DE CREDITO","Por la nota de credito "&amp;Registro_Compras!$C$328&amp;" de "&amp;Registro_Compras!$E$328&amp;" [PATRON POR CONFIRMAR CON CONTADOR]",IF(Registro_Compras!$F$328="RHE","Por el registro del recibo por honorarios "&amp;Registro_Compras!$C$328&amp;" de "&amp;Registro_Compras!$E$328&amp;" [PATRON POR CONFIRMAR CON CONTADOR]","Por el registro de la factura "&amp;Registro_Compras!$C$328&amp;" de "&amp;Registro_Compras!$E$328)))</f>
        <v/>
      </c>
      <c r="H2923" t="str">
        <f>IF($C2923="","",Registro_Compras!$C$328)</f>
        <v/>
      </c>
    </row>
    <row r="2924" spans="1:8" x14ac:dyDescent="0.25">
      <c r="A2924" s="25" t="str">
        <f>IF($C2924="","",Registro_Compras!$B$328)</f>
        <v/>
      </c>
      <c r="B2924" t="str">
        <f>IF($C2924="","","C"&amp;TEXT(INT((ROW()-5)/9)+1,"000")&amp;"-2")</f>
        <v/>
      </c>
      <c r="C2924" t="str">
        <f>IF(OR(Registro_Compras!$C$328="",Registro_Compras!$O$328=""),"",IF(Registro_Compras!$AB$328="ADMINISTRATIVO","94","95"))</f>
        <v/>
      </c>
      <c r="D2924" t="str">
        <f>IF(OR(Registro_Compras!$C$328="",Registro_Compras!$O$328=""),"",IF(Registro_Compras!$AB$328="ADMINISTRATIVO","Gastos Administrativos","Gastos de Venta y Operacion"))</f>
        <v/>
      </c>
      <c r="E2924" s="20" t="str">
        <f>IF($C2924="","",IF(Registro_Compras!$F$328="NOTA DE CREDITO","",IF(Registro_Compras!$F$328="RHE",ROUND(Registro_Compras!$L$328*Registro_Compras!$N$328,2),ROUND(Registro_Compras!$J$328*Registro_Compras!$N$328,2))))</f>
        <v/>
      </c>
      <c r="F2924" s="20" t="str">
        <f>IF($C2924="","",IF(Registro_Compras!$F$328="NOTA DE CREDITO",ROUND(ABS(Registro_Compras!$J$328*Registro_Compras!$N$328),2),""))</f>
        <v/>
      </c>
      <c r="G2924" t="str">
        <f>IF($C2924="","","Por el destino del gasto")</f>
        <v/>
      </c>
      <c r="H2924" t="str">
        <f>IF($C2924="","",Registro_Compras!$C$328)</f>
        <v/>
      </c>
    </row>
    <row r="2925" spans="1:8" x14ac:dyDescent="0.25">
      <c r="A2925" s="25" t="str">
        <f>IF($C2925="","",Registro_Compras!$B$328)</f>
        <v/>
      </c>
      <c r="B2925" t="str">
        <f>IF($C2925="","","C"&amp;TEXT(INT((ROW()-5)/9)+1,"000")&amp;"-2")</f>
        <v/>
      </c>
      <c r="C2925" t="str">
        <f>IF(OR(Registro_Compras!$C$328="",Registro_Compras!$O$328=""),"","79/791")</f>
        <v/>
      </c>
      <c r="D2925" t="str">
        <f>IF(OR(Registro_Compras!$C$328="",Registro_Compras!$O$328=""),"","Cargas Imputables a Cuentas de Costos y Gastos")</f>
        <v/>
      </c>
      <c r="E2925" s="20" t="str">
        <f>IF($C2925="","",IF(Registro_Compras!$F$328="NOTA DE CREDITO",ROUND(ABS(Registro_Compras!$J$328*Registro_Compras!$N$328),2),""))</f>
        <v/>
      </c>
      <c r="F2925" s="20" t="str">
        <f>IF($C2925="","",IF(Registro_Compras!$F$328="NOTA DE CREDITO","",IF(Registro_Compras!$F$328="RHE",ROUND(Registro_Compras!$L$328*Registro_Compras!$N$328,2),ROUND(Registro_Compras!$J$328*Registro_Compras!$N$328,2))))</f>
        <v/>
      </c>
      <c r="G2925" t="str">
        <f>IF($C2925="","","Por el destino del gasto")</f>
        <v/>
      </c>
      <c r="H2925" t="str">
        <f>IF($C2925="","",Registro_Compras!$C$328)</f>
        <v/>
      </c>
    </row>
    <row r="2926" spans="1:8" x14ac:dyDescent="0.25">
      <c r="A2926" s="25" t="str">
        <f>IF($C2926="","",Registro_Compras!$X$328)</f>
        <v/>
      </c>
      <c r="B2926" t="str">
        <f>IF($C2926="","","C"&amp;TEXT(INT((ROW()-5)/9)+1,"000")&amp;"-3")</f>
        <v/>
      </c>
      <c r="C2926" t="str">
        <f>IF(OR(Registro_Compras!$C$328="",Registro_Compras!$O$328="",Registro_Compras!$R$328&lt;&gt;"SI",Registro_Compras!$X$328=""),"","4212")</f>
        <v/>
      </c>
      <c r="D2926" t="str">
        <f>IF(OR(Registro_Compras!$C$328="",Registro_Compras!$O$328=""),"","Cuentas por Pagar Comerciales - Terceros")</f>
        <v/>
      </c>
      <c r="E2926" s="20" t="str">
        <f>IF($C2926="","",Registro_Compras!$S$328)</f>
        <v/>
      </c>
      <c r="F2926" s="20" t="str">
        <f>""</f>
        <v/>
      </c>
      <c r="G2926" t="str">
        <f>IF($C2926="","","Por el deposito de la detraccion en el Banco de la Nacion")</f>
        <v/>
      </c>
      <c r="H2926" t="str">
        <f>IF($C2926="","",Registro_Compras!$C$328)</f>
        <v/>
      </c>
    </row>
    <row r="2927" spans="1:8" x14ac:dyDescent="0.25">
      <c r="A2927" s="25" t="str">
        <f>IF($C2927="","",Registro_Compras!$X$328)</f>
        <v/>
      </c>
      <c r="B2927" t="str">
        <f>IF($C2927="","","C"&amp;TEXT(INT((ROW()-5)/9)+1,"000")&amp;"-3")</f>
        <v/>
      </c>
      <c r="C2927" t="str">
        <f>IF(OR(Registro_Compras!$C$328="",Registro_Compras!$O$328="",Registro_Compras!$R$328&lt;&gt;"SI",Registro_Compras!$X$328=""),"","1041")</f>
        <v/>
      </c>
      <c r="D2927" t="str">
        <f>IF(OR(Registro_Compras!$C$328="",Registro_Compras!$O$328=""),"","Efectivo y Equivalentes - Cta. Cte. Operativa")</f>
        <v/>
      </c>
      <c r="E2927" s="20" t="str">
        <f>""</f>
        <v/>
      </c>
      <c r="F2927" s="20" t="str">
        <f>IF($C2927="","",Registro_Compras!$S$328)</f>
        <v/>
      </c>
      <c r="G2927" t="str">
        <f>IF($C2927="","","Por el deposito de la detraccion en el Banco de la Nacion")</f>
        <v/>
      </c>
      <c r="H2927" t="str">
        <f>IF($C2927="","",Registro_Compras!$C$328)</f>
        <v/>
      </c>
    </row>
    <row r="2928" spans="1:8" x14ac:dyDescent="0.25">
      <c r="A2928" s="25" t="str">
        <f>IF($C2928="","",Registro_Compras!$Y$328)</f>
        <v/>
      </c>
      <c r="B2928" t="str">
        <f>IF($C2928="","","C"&amp;TEXT(INT((ROW()-5)/9)+1,"000")&amp;"-4")</f>
        <v/>
      </c>
      <c r="C2928" t="str">
        <f>IF(OR(Registro_Compras!$C$328="",Registro_Compras!$O$328="",Registro_Compras!$Y$328="",Registro_Compras!$F$328="NOTA DE CREDITO"),"","4212")</f>
        <v/>
      </c>
      <c r="D2928" t="str">
        <f>IF(OR(Registro_Compras!$C$328="",Registro_Compras!$O$328=""),"","Cuentas por Pagar Comerciales - Terceros")</f>
        <v/>
      </c>
      <c r="E2928" s="20" t="str">
        <f>IF($C2928="","",IF(Registro_Compras!$F$328="RHE",(ROUND(Registro_Compras!$L$328*Registro_Compras!$N$328,2)-ROUND(Registro_Compras!$V$328*Registro_Compras!$N$328,2)),ROUND(Registro_Compras!$O$328-Registro_Compras!$S$328,2)))</f>
        <v/>
      </c>
      <c r="F2928" s="20" t="str">
        <f>""</f>
        <v/>
      </c>
      <c r="G2928" t="str">
        <f>IF($C2928="","","Por la cancelacion del saldo al proveedor")</f>
        <v/>
      </c>
      <c r="H2928" t="str">
        <f>IF($C2928="","",Registro_Compras!$C$328)</f>
        <v/>
      </c>
    </row>
    <row r="2929" spans="1:8" x14ac:dyDescent="0.25">
      <c r="A2929" s="25" t="str">
        <f>IF($C2929="","",Registro_Compras!$Y$328)</f>
        <v/>
      </c>
      <c r="B2929" t="str">
        <f>IF($C2929="","","C"&amp;TEXT(INT((ROW()-5)/9)+1,"000")&amp;"-4")</f>
        <v/>
      </c>
      <c r="C2929" t="str">
        <f>IF(OR(Registro_Compras!$C$328="",Registro_Compras!$O$328="",Registro_Compras!$Y$328="",Registro_Compras!$F$328="NOTA DE CREDITO"),"","1041")</f>
        <v/>
      </c>
      <c r="D2929" t="str">
        <f>IF(OR(Registro_Compras!$C$328="",Registro_Compras!$O$328=""),"","Efectivo y Equivalentes - Cta. Cte. Operativa")</f>
        <v/>
      </c>
      <c r="E2929" s="20" t="str">
        <f>""</f>
        <v/>
      </c>
      <c r="F2929" s="20" t="str">
        <f>IF($C2929="","",IF(Registro_Compras!$F$328="RHE",(ROUND(Registro_Compras!$L$328*Registro_Compras!$N$328,2)-ROUND(Registro_Compras!$V$328*Registro_Compras!$N$328,2)),ROUND(Registro_Compras!$O$328-Registro_Compras!$S$328,2)))</f>
        <v/>
      </c>
      <c r="G2929" t="str">
        <f>IF($C2929="","","Por la cancelacion del saldo al proveedor")</f>
        <v/>
      </c>
      <c r="H2929" t="str">
        <f>IF($C2929="","",Registro_Compras!$C$328)</f>
        <v/>
      </c>
    </row>
    <row r="2930" spans="1:8" x14ac:dyDescent="0.25">
      <c r="A2930" s="25" t="str">
        <f>IF($C2930="","",Registro_Compras!$B$329)</f>
        <v/>
      </c>
      <c r="B2930" t="str">
        <f>IF($C2930="","","C"&amp;TEXT(INT((ROW()-5)/9)+1,"000")&amp;"-1")</f>
        <v/>
      </c>
      <c r="C2930" t="str">
        <f>IF(OR(Registro_Compras!$C$329="",Registro_Compras!$O$329=""),"",IF(Registro_Compras!$F$329="NOTA DE CREDITO","4212",IF(Registro_Compras!$M$329="","63",Registro_Compras!$M$329)))</f>
        <v/>
      </c>
      <c r="D2930" t="str">
        <f>IF(OR(Registro_Compras!$C$329="",Registro_Compras!$O$329=""),"",IF(Registro_Compras!$F$329="NOTA DE CREDITO","Cuentas por Pagar Comerciales - Terceros (Emitidas)",IF(Registro_Compras!$F$329="RHE","Honorarios Profesionales - Servicios de Terceros","Gastos de Servicios Prestados por Terceros")))</f>
        <v/>
      </c>
      <c r="E2930" s="20" t="str">
        <f>IF($C2930="","",IF(Registro_Compras!$F$329="NOTA DE CREDITO",ABS(Registro_Compras!$O$329),IF(Registro_Compras!$F$329="RHE",ROUND(Registro_Compras!$L$329*Registro_Compras!$N$329,2),ROUND(Registro_Compras!$J$329*Registro_Compras!$N$329,2))))</f>
        <v/>
      </c>
      <c r="F2930" s="20" t="str">
        <f>""</f>
        <v/>
      </c>
      <c r="G2930" t="str">
        <f>IF($C2930="","",IF(Registro_Compras!$F$329="NOTA DE CREDITO","Por la nota de credito "&amp;Registro_Compras!$C$329&amp;" de "&amp;Registro_Compras!$E$329&amp;" [PATRON POR CONFIRMAR CON CONTADOR]",IF(Registro_Compras!$F$329="RHE","Por el registro del recibo por honorarios "&amp;Registro_Compras!$C$329&amp;" de "&amp;Registro_Compras!$E$329&amp;" [PATRON POR CONFIRMAR CON CONTADOR]","Por el registro de la factura "&amp;Registro_Compras!$C$329&amp;" de "&amp;Registro_Compras!$E$329)))</f>
        <v/>
      </c>
      <c r="H2930" t="str">
        <f>IF($C2930="","",Registro_Compras!$C$329)</f>
        <v/>
      </c>
    </row>
    <row r="2931" spans="1:8" x14ac:dyDescent="0.25">
      <c r="A2931" s="25" t="str">
        <f>IF($C2931="","",Registro_Compras!$B$329)</f>
        <v/>
      </c>
      <c r="B2931" t="str">
        <f>IF($C2931="","","C"&amp;TEXT(INT((ROW()-5)/9)+1,"000")&amp;"-1")</f>
        <v/>
      </c>
      <c r="C2931" t="str">
        <f>IF(OR(Registro_Compras!$C$329="",Registro_Compras!$O$329=""),"",IF(Registro_Compras!$F$329="RHE",IF(Registro_Compras!$V$329=0,"","4017"),IF(Registro_Compras!$F$329="NOTA DE CREDITO",IF(Registro_Compras!$M$329="","63",Registro_Compras!$M$329),IF(Registro_Compras!$K$329=0,"","40111"))))</f>
        <v/>
      </c>
      <c r="D2931" t="str">
        <f>IF(OR(Registro_Compras!$C$329="",Registro_Compras!$O$329=""),"",IF(Registro_Compras!$F$329="RHE","Retencion Renta 4ta Categoria por Pagar",IF(Registro_Compras!$F$329="NOTA DE CREDITO","Gastos de Servicios Prestados por Terceros","IGV - Cuenta Propia (Credito Fiscal)")))</f>
        <v/>
      </c>
      <c r="E2931" s="20" t="str">
        <f>IF($C2931="","",IF(Registro_Compras!$F$329="FACTURA",ROUND(Registro_Compras!$K$329*Registro_Compras!$N$329,2),""))</f>
        <v/>
      </c>
      <c r="F2931" s="20" t="str">
        <f>IF($C2931="","",IF(Registro_Compras!$F$329="RHE",ROUND(Registro_Compras!$V$329*Registro_Compras!$N$329,2),IF(Registro_Compras!$F$329="NOTA DE CREDITO",ROUND(ABS(Registro_Compras!$J$329*Registro_Compras!$N$329),2),"")))</f>
        <v/>
      </c>
      <c r="G2931" t="str">
        <f>IF($C2931="","",IF(Registro_Compras!$F$329="NOTA DE CREDITO","Por la nota de credito "&amp;Registro_Compras!$C$329&amp;" de "&amp;Registro_Compras!$E$329&amp;" [PATRON POR CONFIRMAR CON CONTADOR]",IF(Registro_Compras!$F$329="RHE","Por el registro del recibo por honorarios "&amp;Registro_Compras!$C$329&amp;" de "&amp;Registro_Compras!$E$329&amp;" [PATRON POR CONFIRMAR CON CONTADOR]","Por el registro de la factura "&amp;Registro_Compras!$C$329&amp;" de "&amp;Registro_Compras!$E$329)))</f>
        <v/>
      </c>
      <c r="H2931" t="str">
        <f>IF($C2931="","",Registro_Compras!$C$329)</f>
        <v/>
      </c>
    </row>
    <row r="2932" spans="1:8" x14ac:dyDescent="0.25">
      <c r="A2932" s="25" t="str">
        <f>IF($C2932="","",Registro_Compras!$B$329)</f>
        <v/>
      </c>
      <c r="B2932" t="str">
        <f>IF($C2932="","","C"&amp;TEXT(INT((ROW()-5)/9)+1,"000")&amp;"-1")</f>
        <v/>
      </c>
      <c r="C2932" t="str">
        <f>IF(OR(Registro_Compras!$C$329="",Registro_Compras!$O$329=""),"",IF(Registro_Compras!$F$329="NOTA DE CREDITO",IF(Registro_Compras!$K$329=0,"","40111"),"4212"))</f>
        <v/>
      </c>
      <c r="D2932" t="str">
        <f>IF(OR(Registro_Compras!$C$329="",Registro_Compras!$O$329=""),"",IF(Registro_Compras!$F$329="NOTA DE CREDITO","IGV - Cuenta Propia (Credito Fiscal)","Cuentas por Pagar Comerciales - Terceros (Emitidas)"))</f>
        <v/>
      </c>
      <c r="E2932" s="20" t="str">
        <f>""</f>
        <v/>
      </c>
      <c r="F2932" s="20" t="str">
        <f>IF($C2932="","",IF(Registro_Compras!$F$329="NOTA DE CREDITO",ROUND(ABS(Registro_Compras!$K$329*Registro_Compras!$N$329),2),IF(Registro_Compras!$F$329="RHE",(ROUND(Registro_Compras!$L$329*Registro_Compras!$N$329,2)-ROUND(Registro_Compras!$V$329*Registro_Compras!$N$329,2)),Registro_Compras!$O$329)))</f>
        <v/>
      </c>
      <c r="G2932" t="str">
        <f>IF($C2932="","",IF(Registro_Compras!$F$329="NOTA DE CREDITO","Por la nota de credito "&amp;Registro_Compras!$C$329&amp;" de "&amp;Registro_Compras!$E$329&amp;" [PATRON POR CONFIRMAR CON CONTADOR]",IF(Registro_Compras!$F$329="RHE","Por el registro del recibo por honorarios "&amp;Registro_Compras!$C$329&amp;" de "&amp;Registro_Compras!$E$329&amp;" [PATRON POR CONFIRMAR CON CONTADOR]","Por el registro de la factura "&amp;Registro_Compras!$C$329&amp;" de "&amp;Registro_Compras!$E$329)))</f>
        <v/>
      </c>
      <c r="H2932" t="str">
        <f>IF($C2932="","",Registro_Compras!$C$329)</f>
        <v/>
      </c>
    </row>
    <row r="2933" spans="1:8" x14ac:dyDescent="0.25">
      <c r="A2933" s="25" t="str">
        <f>IF($C2933="","",Registro_Compras!$B$329)</f>
        <v/>
      </c>
      <c r="B2933" t="str">
        <f>IF($C2933="","","C"&amp;TEXT(INT((ROW()-5)/9)+1,"000")&amp;"-2")</f>
        <v/>
      </c>
      <c r="C2933" t="str">
        <f>IF(OR(Registro_Compras!$C$329="",Registro_Compras!$O$329=""),"",IF(Registro_Compras!$AB$329="ADMINISTRATIVO","94","95"))</f>
        <v/>
      </c>
      <c r="D2933" t="str">
        <f>IF(OR(Registro_Compras!$C$329="",Registro_Compras!$O$329=""),"",IF(Registro_Compras!$AB$329="ADMINISTRATIVO","Gastos Administrativos","Gastos de Venta y Operacion"))</f>
        <v/>
      </c>
      <c r="E2933" s="20" t="str">
        <f>IF($C2933="","",IF(Registro_Compras!$F$329="NOTA DE CREDITO","",IF(Registro_Compras!$F$329="RHE",ROUND(Registro_Compras!$L$329*Registro_Compras!$N$329,2),ROUND(Registro_Compras!$J$329*Registro_Compras!$N$329,2))))</f>
        <v/>
      </c>
      <c r="F2933" s="20" t="str">
        <f>IF($C2933="","",IF(Registro_Compras!$F$329="NOTA DE CREDITO",ROUND(ABS(Registro_Compras!$J$329*Registro_Compras!$N$329),2),""))</f>
        <v/>
      </c>
      <c r="G2933" t="str">
        <f>IF($C2933="","","Por el destino del gasto")</f>
        <v/>
      </c>
      <c r="H2933" t="str">
        <f>IF($C2933="","",Registro_Compras!$C$329)</f>
        <v/>
      </c>
    </row>
    <row r="2934" spans="1:8" x14ac:dyDescent="0.25">
      <c r="A2934" s="25" t="str">
        <f>IF($C2934="","",Registro_Compras!$B$329)</f>
        <v/>
      </c>
      <c r="B2934" t="str">
        <f>IF($C2934="","","C"&amp;TEXT(INT((ROW()-5)/9)+1,"000")&amp;"-2")</f>
        <v/>
      </c>
      <c r="C2934" t="str">
        <f>IF(OR(Registro_Compras!$C$329="",Registro_Compras!$O$329=""),"","79/791")</f>
        <v/>
      </c>
      <c r="D2934" t="str">
        <f>IF(OR(Registro_Compras!$C$329="",Registro_Compras!$O$329=""),"","Cargas Imputables a Cuentas de Costos y Gastos")</f>
        <v/>
      </c>
      <c r="E2934" s="20" t="str">
        <f>IF($C2934="","",IF(Registro_Compras!$F$329="NOTA DE CREDITO",ROUND(ABS(Registro_Compras!$J$329*Registro_Compras!$N$329),2),""))</f>
        <v/>
      </c>
      <c r="F2934" s="20" t="str">
        <f>IF($C2934="","",IF(Registro_Compras!$F$329="NOTA DE CREDITO","",IF(Registro_Compras!$F$329="RHE",ROUND(Registro_Compras!$L$329*Registro_Compras!$N$329,2),ROUND(Registro_Compras!$J$329*Registro_Compras!$N$329,2))))</f>
        <v/>
      </c>
      <c r="G2934" t="str">
        <f>IF($C2934="","","Por el destino del gasto")</f>
        <v/>
      </c>
      <c r="H2934" t="str">
        <f>IF($C2934="","",Registro_Compras!$C$329)</f>
        <v/>
      </c>
    </row>
    <row r="2935" spans="1:8" x14ac:dyDescent="0.25">
      <c r="A2935" s="25" t="str">
        <f>IF($C2935="","",Registro_Compras!$X$329)</f>
        <v/>
      </c>
      <c r="B2935" t="str">
        <f>IF($C2935="","","C"&amp;TEXT(INT((ROW()-5)/9)+1,"000")&amp;"-3")</f>
        <v/>
      </c>
      <c r="C2935" t="str">
        <f>IF(OR(Registro_Compras!$C$329="",Registro_Compras!$O$329="",Registro_Compras!$R$329&lt;&gt;"SI",Registro_Compras!$X$329=""),"","4212")</f>
        <v/>
      </c>
      <c r="D2935" t="str">
        <f>IF(OR(Registro_Compras!$C$329="",Registro_Compras!$O$329=""),"","Cuentas por Pagar Comerciales - Terceros")</f>
        <v/>
      </c>
      <c r="E2935" s="20" t="str">
        <f>IF($C2935="","",Registro_Compras!$S$329)</f>
        <v/>
      </c>
      <c r="F2935" s="20" t="str">
        <f>""</f>
        <v/>
      </c>
      <c r="G2935" t="str">
        <f>IF($C2935="","","Por el deposito de la detraccion en el Banco de la Nacion")</f>
        <v/>
      </c>
      <c r="H2935" t="str">
        <f>IF($C2935="","",Registro_Compras!$C$329)</f>
        <v/>
      </c>
    </row>
    <row r="2936" spans="1:8" x14ac:dyDescent="0.25">
      <c r="A2936" s="25" t="str">
        <f>IF($C2936="","",Registro_Compras!$X$329)</f>
        <v/>
      </c>
      <c r="B2936" t="str">
        <f>IF($C2936="","","C"&amp;TEXT(INT((ROW()-5)/9)+1,"000")&amp;"-3")</f>
        <v/>
      </c>
      <c r="C2936" t="str">
        <f>IF(OR(Registro_Compras!$C$329="",Registro_Compras!$O$329="",Registro_Compras!$R$329&lt;&gt;"SI",Registro_Compras!$X$329=""),"","1041")</f>
        <v/>
      </c>
      <c r="D2936" t="str">
        <f>IF(OR(Registro_Compras!$C$329="",Registro_Compras!$O$329=""),"","Efectivo y Equivalentes - Cta. Cte. Operativa")</f>
        <v/>
      </c>
      <c r="E2936" s="20" t="str">
        <f>""</f>
        <v/>
      </c>
      <c r="F2936" s="20" t="str">
        <f>IF($C2936="","",Registro_Compras!$S$329)</f>
        <v/>
      </c>
      <c r="G2936" t="str">
        <f>IF($C2936="","","Por el deposito de la detraccion en el Banco de la Nacion")</f>
        <v/>
      </c>
      <c r="H2936" t="str">
        <f>IF($C2936="","",Registro_Compras!$C$329)</f>
        <v/>
      </c>
    </row>
    <row r="2937" spans="1:8" x14ac:dyDescent="0.25">
      <c r="A2937" s="25" t="str">
        <f>IF($C2937="","",Registro_Compras!$Y$329)</f>
        <v/>
      </c>
      <c r="B2937" t="str">
        <f>IF($C2937="","","C"&amp;TEXT(INT((ROW()-5)/9)+1,"000")&amp;"-4")</f>
        <v/>
      </c>
      <c r="C2937" t="str">
        <f>IF(OR(Registro_Compras!$C$329="",Registro_Compras!$O$329="",Registro_Compras!$Y$329="",Registro_Compras!$F$329="NOTA DE CREDITO"),"","4212")</f>
        <v/>
      </c>
      <c r="D2937" t="str">
        <f>IF(OR(Registro_Compras!$C$329="",Registro_Compras!$O$329=""),"","Cuentas por Pagar Comerciales - Terceros")</f>
        <v/>
      </c>
      <c r="E2937" s="20" t="str">
        <f>IF($C2937="","",IF(Registro_Compras!$F$329="RHE",(ROUND(Registro_Compras!$L$329*Registro_Compras!$N$329,2)-ROUND(Registro_Compras!$V$329*Registro_Compras!$N$329,2)),ROUND(Registro_Compras!$O$329-Registro_Compras!$S$329,2)))</f>
        <v/>
      </c>
      <c r="F2937" s="20" t="str">
        <f>""</f>
        <v/>
      </c>
      <c r="G2937" t="str">
        <f>IF($C2937="","","Por la cancelacion del saldo al proveedor")</f>
        <v/>
      </c>
      <c r="H2937" t="str">
        <f>IF($C2937="","",Registro_Compras!$C$329)</f>
        <v/>
      </c>
    </row>
    <row r="2938" spans="1:8" x14ac:dyDescent="0.25">
      <c r="A2938" s="25" t="str">
        <f>IF($C2938="","",Registro_Compras!$Y$329)</f>
        <v/>
      </c>
      <c r="B2938" t="str">
        <f>IF($C2938="","","C"&amp;TEXT(INT((ROW()-5)/9)+1,"000")&amp;"-4")</f>
        <v/>
      </c>
      <c r="C2938" t="str">
        <f>IF(OR(Registro_Compras!$C$329="",Registro_Compras!$O$329="",Registro_Compras!$Y$329="",Registro_Compras!$F$329="NOTA DE CREDITO"),"","1041")</f>
        <v/>
      </c>
      <c r="D2938" t="str">
        <f>IF(OR(Registro_Compras!$C$329="",Registro_Compras!$O$329=""),"","Efectivo y Equivalentes - Cta. Cte. Operativa")</f>
        <v/>
      </c>
      <c r="E2938" s="20" t="str">
        <f>""</f>
        <v/>
      </c>
      <c r="F2938" s="20" t="str">
        <f>IF($C2938="","",IF(Registro_Compras!$F$329="RHE",(ROUND(Registro_Compras!$L$329*Registro_Compras!$N$329,2)-ROUND(Registro_Compras!$V$329*Registro_Compras!$N$329,2)),ROUND(Registro_Compras!$O$329-Registro_Compras!$S$329,2)))</f>
        <v/>
      </c>
      <c r="G2938" t="str">
        <f>IF($C2938="","","Por la cancelacion del saldo al proveedor")</f>
        <v/>
      </c>
      <c r="H2938" t="str">
        <f>IF($C2938="","",Registro_Compras!$C$329)</f>
        <v/>
      </c>
    </row>
    <row r="2939" spans="1:8" x14ac:dyDescent="0.25">
      <c r="A2939" s="25" t="str">
        <f>IF($C2939="","",Registro_Compras!$B$330)</f>
        <v/>
      </c>
      <c r="B2939" t="str">
        <f>IF($C2939="","","C"&amp;TEXT(INT((ROW()-5)/9)+1,"000")&amp;"-1")</f>
        <v/>
      </c>
      <c r="C2939" t="str">
        <f>IF(OR(Registro_Compras!$C$330="",Registro_Compras!$O$330=""),"",IF(Registro_Compras!$F$330="NOTA DE CREDITO","4212",IF(Registro_Compras!$M$330="","63",Registro_Compras!$M$330)))</f>
        <v/>
      </c>
      <c r="D2939" t="str">
        <f>IF(OR(Registro_Compras!$C$330="",Registro_Compras!$O$330=""),"",IF(Registro_Compras!$F$330="NOTA DE CREDITO","Cuentas por Pagar Comerciales - Terceros (Emitidas)",IF(Registro_Compras!$F$330="RHE","Honorarios Profesionales - Servicios de Terceros","Gastos de Servicios Prestados por Terceros")))</f>
        <v/>
      </c>
      <c r="E2939" s="20" t="str">
        <f>IF($C2939="","",IF(Registro_Compras!$F$330="NOTA DE CREDITO",ABS(Registro_Compras!$O$330),IF(Registro_Compras!$F$330="RHE",ROUND(Registro_Compras!$L$330*Registro_Compras!$N$330,2),ROUND(Registro_Compras!$J$330*Registro_Compras!$N$330,2))))</f>
        <v/>
      </c>
      <c r="F2939" s="20" t="str">
        <f>""</f>
        <v/>
      </c>
      <c r="G2939" t="str">
        <f>IF($C2939="","",IF(Registro_Compras!$F$330="NOTA DE CREDITO","Por la nota de credito "&amp;Registro_Compras!$C$330&amp;" de "&amp;Registro_Compras!$E$330&amp;" [PATRON POR CONFIRMAR CON CONTADOR]",IF(Registro_Compras!$F$330="RHE","Por el registro del recibo por honorarios "&amp;Registro_Compras!$C$330&amp;" de "&amp;Registro_Compras!$E$330&amp;" [PATRON POR CONFIRMAR CON CONTADOR]","Por el registro de la factura "&amp;Registro_Compras!$C$330&amp;" de "&amp;Registro_Compras!$E$330)))</f>
        <v/>
      </c>
      <c r="H2939" t="str">
        <f>IF($C2939="","",Registro_Compras!$C$330)</f>
        <v/>
      </c>
    </row>
    <row r="2940" spans="1:8" x14ac:dyDescent="0.25">
      <c r="A2940" s="25" t="str">
        <f>IF($C2940="","",Registro_Compras!$B$330)</f>
        <v/>
      </c>
      <c r="B2940" t="str">
        <f>IF($C2940="","","C"&amp;TEXT(INT((ROW()-5)/9)+1,"000")&amp;"-1")</f>
        <v/>
      </c>
      <c r="C2940" t="str">
        <f>IF(OR(Registro_Compras!$C$330="",Registro_Compras!$O$330=""),"",IF(Registro_Compras!$F$330="RHE",IF(Registro_Compras!$V$330=0,"","4017"),IF(Registro_Compras!$F$330="NOTA DE CREDITO",IF(Registro_Compras!$M$330="","63",Registro_Compras!$M$330),IF(Registro_Compras!$K$330=0,"","40111"))))</f>
        <v/>
      </c>
      <c r="D2940" t="str">
        <f>IF(OR(Registro_Compras!$C$330="",Registro_Compras!$O$330=""),"",IF(Registro_Compras!$F$330="RHE","Retencion Renta 4ta Categoria por Pagar",IF(Registro_Compras!$F$330="NOTA DE CREDITO","Gastos de Servicios Prestados por Terceros","IGV - Cuenta Propia (Credito Fiscal)")))</f>
        <v/>
      </c>
      <c r="E2940" s="20" t="str">
        <f>IF($C2940="","",IF(Registro_Compras!$F$330="FACTURA",ROUND(Registro_Compras!$K$330*Registro_Compras!$N$330,2),""))</f>
        <v/>
      </c>
      <c r="F2940" s="20" t="str">
        <f>IF($C2940="","",IF(Registro_Compras!$F$330="RHE",ROUND(Registro_Compras!$V$330*Registro_Compras!$N$330,2),IF(Registro_Compras!$F$330="NOTA DE CREDITO",ROUND(ABS(Registro_Compras!$J$330*Registro_Compras!$N$330),2),"")))</f>
        <v/>
      </c>
      <c r="G2940" t="str">
        <f>IF($C2940="","",IF(Registro_Compras!$F$330="NOTA DE CREDITO","Por la nota de credito "&amp;Registro_Compras!$C$330&amp;" de "&amp;Registro_Compras!$E$330&amp;" [PATRON POR CONFIRMAR CON CONTADOR]",IF(Registro_Compras!$F$330="RHE","Por el registro del recibo por honorarios "&amp;Registro_Compras!$C$330&amp;" de "&amp;Registro_Compras!$E$330&amp;" [PATRON POR CONFIRMAR CON CONTADOR]","Por el registro de la factura "&amp;Registro_Compras!$C$330&amp;" de "&amp;Registro_Compras!$E$330)))</f>
        <v/>
      </c>
      <c r="H2940" t="str">
        <f>IF($C2940="","",Registro_Compras!$C$330)</f>
        <v/>
      </c>
    </row>
    <row r="2941" spans="1:8" x14ac:dyDescent="0.25">
      <c r="A2941" s="25" t="str">
        <f>IF($C2941="","",Registro_Compras!$B$330)</f>
        <v/>
      </c>
      <c r="B2941" t="str">
        <f>IF($C2941="","","C"&amp;TEXT(INT((ROW()-5)/9)+1,"000")&amp;"-1")</f>
        <v/>
      </c>
      <c r="C2941" t="str">
        <f>IF(OR(Registro_Compras!$C$330="",Registro_Compras!$O$330=""),"",IF(Registro_Compras!$F$330="NOTA DE CREDITO",IF(Registro_Compras!$K$330=0,"","40111"),"4212"))</f>
        <v/>
      </c>
      <c r="D2941" t="str">
        <f>IF(OR(Registro_Compras!$C$330="",Registro_Compras!$O$330=""),"",IF(Registro_Compras!$F$330="NOTA DE CREDITO","IGV - Cuenta Propia (Credito Fiscal)","Cuentas por Pagar Comerciales - Terceros (Emitidas)"))</f>
        <v/>
      </c>
      <c r="E2941" s="20" t="str">
        <f>""</f>
        <v/>
      </c>
      <c r="F2941" s="20" t="str">
        <f>IF($C2941="","",IF(Registro_Compras!$F$330="NOTA DE CREDITO",ROUND(ABS(Registro_Compras!$K$330*Registro_Compras!$N$330),2),IF(Registro_Compras!$F$330="RHE",(ROUND(Registro_Compras!$L$330*Registro_Compras!$N$330,2)-ROUND(Registro_Compras!$V$330*Registro_Compras!$N$330,2)),Registro_Compras!$O$330)))</f>
        <v/>
      </c>
      <c r="G2941" t="str">
        <f>IF($C2941="","",IF(Registro_Compras!$F$330="NOTA DE CREDITO","Por la nota de credito "&amp;Registro_Compras!$C$330&amp;" de "&amp;Registro_Compras!$E$330&amp;" [PATRON POR CONFIRMAR CON CONTADOR]",IF(Registro_Compras!$F$330="RHE","Por el registro del recibo por honorarios "&amp;Registro_Compras!$C$330&amp;" de "&amp;Registro_Compras!$E$330&amp;" [PATRON POR CONFIRMAR CON CONTADOR]","Por el registro de la factura "&amp;Registro_Compras!$C$330&amp;" de "&amp;Registro_Compras!$E$330)))</f>
        <v/>
      </c>
      <c r="H2941" t="str">
        <f>IF($C2941="","",Registro_Compras!$C$330)</f>
        <v/>
      </c>
    </row>
    <row r="2942" spans="1:8" x14ac:dyDescent="0.25">
      <c r="A2942" s="25" t="str">
        <f>IF($C2942="","",Registro_Compras!$B$330)</f>
        <v/>
      </c>
      <c r="B2942" t="str">
        <f>IF($C2942="","","C"&amp;TEXT(INT((ROW()-5)/9)+1,"000")&amp;"-2")</f>
        <v/>
      </c>
      <c r="C2942" t="str">
        <f>IF(OR(Registro_Compras!$C$330="",Registro_Compras!$O$330=""),"",IF(Registro_Compras!$AB$330="ADMINISTRATIVO","94","95"))</f>
        <v/>
      </c>
      <c r="D2942" t="str">
        <f>IF(OR(Registro_Compras!$C$330="",Registro_Compras!$O$330=""),"",IF(Registro_Compras!$AB$330="ADMINISTRATIVO","Gastos Administrativos","Gastos de Venta y Operacion"))</f>
        <v/>
      </c>
      <c r="E2942" s="20" t="str">
        <f>IF($C2942="","",IF(Registro_Compras!$F$330="NOTA DE CREDITO","",IF(Registro_Compras!$F$330="RHE",ROUND(Registro_Compras!$L$330*Registro_Compras!$N$330,2),ROUND(Registro_Compras!$J$330*Registro_Compras!$N$330,2))))</f>
        <v/>
      </c>
      <c r="F2942" s="20" t="str">
        <f>IF($C2942="","",IF(Registro_Compras!$F$330="NOTA DE CREDITO",ROUND(ABS(Registro_Compras!$J$330*Registro_Compras!$N$330),2),""))</f>
        <v/>
      </c>
      <c r="G2942" t="str">
        <f>IF($C2942="","","Por el destino del gasto")</f>
        <v/>
      </c>
      <c r="H2942" t="str">
        <f>IF($C2942="","",Registro_Compras!$C$330)</f>
        <v/>
      </c>
    </row>
    <row r="2943" spans="1:8" x14ac:dyDescent="0.25">
      <c r="A2943" s="25" t="str">
        <f>IF($C2943="","",Registro_Compras!$B$330)</f>
        <v/>
      </c>
      <c r="B2943" t="str">
        <f>IF($C2943="","","C"&amp;TEXT(INT((ROW()-5)/9)+1,"000")&amp;"-2")</f>
        <v/>
      </c>
      <c r="C2943" t="str">
        <f>IF(OR(Registro_Compras!$C$330="",Registro_Compras!$O$330=""),"","79/791")</f>
        <v/>
      </c>
      <c r="D2943" t="str">
        <f>IF(OR(Registro_Compras!$C$330="",Registro_Compras!$O$330=""),"","Cargas Imputables a Cuentas de Costos y Gastos")</f>
        <v/>
      </c>
      <c r="E2943" s="20" t="str">
        <f>IF($C2943="","",IF(Registro_Compras!$F$330="NOTA DE CREDITO",ROUND(ABS(Registro_Compras!$J$330*Registro_Compras!$N$330),2),""))</f>
        <v/>
      </c>
      <c r="F2943" s="20" t="str">
        <f>IF($C2943="","",IF(Registro_Compras!$F$330="NOTA DE CREDITO","",IF(Registro_Compras!$F$330="RHE",ROUND(Registro_Compras!$L$330*Registro_Compras!$N$330,2),ROUND(Registro_Compras!$J$330*Registro_Compras!$N$330,2))))</f>
        <v/>
      </c>
      <c r="G2943" t="str">
        <f>IF($C2943="","","Por el destino del gasto")</f>
        <v/>
      </c>
      <c r="H2943" t="str">
        <f>IF($C2943="","",Registro_Compras!$C$330)</f>
        <v/>
      </c>
    </row>
    <row r="2944" spans="1:8" x14ac:dyDescent="0.25">
      <c r="A2944" s="25" t="str">
        <f>IF($C2944="","",Registro_Compras!$X$330)</f>
        <v/>
      </c>
      <c r="B2944" t="str">
        <f>IF($C2944="","","C"&amp;TEXT(INT((ROW()-5)/9)+1,"000")&amp;"-3")</f>
        <v/>
      </c>
      <c r="C2944" t="str">
        <f>IF(OR(Registro_Compras!$C$330="",Registro_Compras!$O$330="",Registro_Compras!$R$330&lt;&gt;"SI",Registro_Compras!$X$330=""),"","4212")</f>
        <v/>
      </c>
      <c r="D2944" t="str">
        <f>IF(OR(Registro_Compras!$C$330="",Registro_Compras!$O$330=""),"","Cuentas por Pagar Comerciales - Terceros")</f>
        <v/>
      </c>
      <c r="E2944" s="20" t="str">
        <f>IF($C2944="","",Registro_Compras!$S$330)</f>
        <v/>
      </c>
      <c r="F2944" s="20" t="str">
        <f>""</f>
        <v/>
      </c>
      <c r="G2944" t="str">
        <f>IF($C2944="","","Por el deposito de la detraccion en el Banco de la Nacion")</f>
        <v/>
      </c>
      <c r="H2944" t="str">
        <f>IF($C2944="","",Registro_Compras!$C$330)</f>
        <v/>
      </c>
    </row>
    <row r="2945" spans="1:8" x14ac:dyDescent="0.25">
      <c r="A2945" s="25" t="str">
        <f>IF($C2945="","",Registro_Compras!$X$330)</f>
        <v/>
      </c>
      <c r="B2945" t="str">
        <f>IF($C2945="","","C"&amp;TEXT(INT((ROW()-5)/9)+1,"000")&amp;"-3")</f>
        <v/>
      </c>
      <c r="C2945" t="str">
        <f>IF(OR(Registro_Compras!$C$330="",Registro_Compras!$O$330="",Registro_Compras!$R$330&lt;&gt;"SI",Registro_Compras!$X$330=""),"","1041")</f>
        <v/>
      </c>
      <c r="D2945" t="str">
        <f>IF(OR(Registro_Compras!$C$330="",Registro_Compras!$O$330=""),"","Efectivo y Equivalentes - Cta. Cte. Operativa")</f>
        <v/>
      </c>
      <c r="E2945" s="20" t="str">
        <f>""</f>
        <v/>
      </c>
      <c r="F2945" s="20" t="str">
        <f>IF($C2945="","",Registro_Compras!$S$330)</f>
        <v/>
      </c>
      <c r="G2945" t="str">
        <f>IF($C2945="","","Por el deposito de la detraccion en el Banco de la Nacion")</f>
        <v/>
      </c>
      <c r="H2945" t="str">
        <f>IF($C2945="","",Registro_Compras!$C$330)</f>
        <v/>
      </c>
    </row>
    <row r="2946" spans="1:8" x14ac:dyDescent="0.25">
      <c r="A2946" s="25" t="str">
        <f>IF($C2946="","",Registro_Compras!$Y$330)</f>
        <v/>
      </c>
      <c r="B2946" t="str">
        <f>IF($C2946="","","C"&amp;TEXT(INT((ROW()-5)/9)+1,"000")&amp;"-4")</f>
        <v/>
      </c>
      <c r="C2946" t="str">
        <f>IF(OR(Registro_Compras!$C$330="",Registro_Compras!$O$330="",Registro_Compras!$Y$330="",Registro_Compras!$F$330="NOTA DE CREDITO"),"","4212")</f>
        <v/>
      </c>
      <c r="D2946" t="str">
        <f>IF(OR(Registro_Compras!$C$330="",Registro_Compras!$O$330=""),"","Cuentas por Pagar Comerciales - Terceros")</f>
        <v/>
      </c>
      <c r="E2946" s="20" t="str">
        <f>IF($C2946="","",IF(Registro_Compras!$F$330="RHE",(ROUND(Registro_Compras!$L$330*Registro_Compras!$N$330,2)-ROUND(Registro_Compras!$V$330*Registro_Compras!$N$330,2)),ROUND(Registro_Compras!$O$330-Registro_Compras!$S$330,2)))</f>
        <v/>
      </c>
      <c r="F2946" s="20" t="str">
        <f>""</f>
        <v/>
      </c>
      <c r="G2946" t="str">
        <f>IF($C2946="","","Por la cancelacion del saldo al proveedor")</f>
        <v/>
      </c>
      <c r="H2946" t="str">
        <f>IF($C2946="","",Registro_Compras!$C$330)</f>
        <v/>
      </c>
    </row>
    <row r="2947" spans="1:8" x14ac:dyDescent="0.25">
      <c r="A2947" s="25" t="str">
        <f>IF($C2947="","",Registro_Compras!$Y$330)</f>
        <v/>
      </c>
      <c r="B2947" t="str">
        <f>IF($C2947="","","C"&amp;TEXT(INT((ROW()-5)/9)+1,"000")&amp;"-4")</f>
        <v/>
      </c>
      <c r="C2947" t="str">
        <f>IF(OR(Registro_Compras!$C$330="",Registro_Compras!$O$330="",Registro_Compras!$Y$330="",Registro_Compras!$F$330="NOTA DE CREDITO"),"","1041")</f>
        <v/>
      </c>
      <c r="D2947" t="str">
        <f>IF(OR(Registro_Compras!$C$330="",Registro_Compras!$O$330=""),"","Efectivo y Equivalentes - Cta. Cte. Operativa")</f>
        <v/>
      </c>
      <c r="E2947" s="20" t="str">
        <f>""</f>
        <v/>
      </c>
      <c r="F2947" s="20" t="str">
        <f>IF($C2947="","",IF(Registro_Compras!$F$330="RHE",(ROUND(Registro_Compras!$L$330*Registro_Compras!$N$330,2)-ROUND(Registro_Compras!$V$330*Registro_Compras!$N$330,2)),ROUND(Registro_Compras!$O$330-Registro_Compras!$S$330,2)))</f>
        <v/>
      </c>
      <c r="G2947" t="str">
        <f>IF($C2947="","","Por la cancelacion del saldo al proveedor")</f>
        <v/>
      </c>
      <c r="H2947" t="str">
        <f>IF($C2947="","",Registro_Compras!$C$330)</f>
        <v/>
      </c>
    </row>
    <row r="2948" spans="1:8" x14ac:dyDescent="0.25">
      <c r="A2948" s="25" t="str">
        <f>IF($C2948="","",Registro_Compras!$B$331)</f>
        <v/>
      </c>
      <c r="B2948" t="str">
        <f>IF($C2948="","","C"&amp;TEXT(INT((ROW()-5)/9)+1,"000")&amp;"-1")</f>
        <v/>
      </c>
      <c r="C2948" t="str">
        <f>IF(OR(Registro_Compras!$C$331="",Registro_Compras!$O$331=""),"",IF(Registro_Compras!$F$331="NOTA DE CREDITO","4212",IF(Registro_Compras!$M$331="","63",Registro_Compras!$M$331)))</f>
        <v/>
      </c>
      <c r="D2948" t="str">
        <f>IF(OR(Registro_Compras!$C$331="",Registro_Compras!$O$331=""),"",IF(Registro_Compras!$F$331="NOTA DE CREDITO","Cuentas por Pagar Comerciales - Terceros (Emitidas)",IF(Registro_Compras!$F$331="RHE","Honorarios Profesionales - Servicios de Terceros","Gastos de Servicios Prestados por Terceros")))</f>
        <v/>
      </c>
      <c r="E2948" s="20" t="str">
        <f>IF($C2948="","",IF(Registro_Compras!$F$331="NOTA DE CREDITO",ABS(Registro_Compras!$O$331),IF(Registro_Compras!$F$331="RHE",ROUND(Registro_Compras!$L$331*Registro_Compras!$N$331,2),ROUND(Registro_Compras!$J$331*Registro_Compras!$N$331,2))))</f>
        <v/>
      </c>
      <c r="F2948" s="20" t="str">
        <f>""</f>
        <v/>
      </c>
      <c r="G2948" t="str">
        <f>IF($C2948="","",IF(Registro_Compras!$F$331="NOTA DE CREDITO","Por la nota de credito "&amp;Registro_Compras!$C$331&amp;" de "&amp;Registro_Compras!$E$331&amp;" [PATRON POR CONFIRMAR CON CONTADOR]",IF(Registro_Compras!$F$331="RHE","Por el registro del recibo por honorarios "&amp;Registro_Compras!$C$331&amp;" de "&amp;Registro_Compras!$E$331&amp;" [PATRON POR CONFIRMAR CON CONTADOR]","Por el registro de la factura "&amp;Registro_Compras!$C$331&amp;" de "&amp;Registro_Compras!$E$331)))</f>
        <v/>
      </c>
      <c r="H2948" t="str">
        <f>IF($C2948="","",Registro_Compras!$C$331)</f>
        <v/>
      </c>
    </row>
    <row r="2949" spans="1:8" x14ac:dyDescent="0.25">
      <c r="A2949" s="25" t="str">
        <f>IF($C2949="","",Registro_Compras!$B$331)</f>
        <v/>
      </c>
      <c r="B2949" t="str">
        <f>IF($C2949="","","C"&amp;TEXT(INT((ROW()-5)/9)+1,"000")&amp;"-1")</f>
        <v/>
      </c>
      <c r="C2949" t="str">
        <f>IF(OR(Registro_Compras!$C$331="",Registro_Compras!$O$331=""),"",IF(Registro_Compras!$F$331="RHE",IF(Registro_Compras!$V$331=0,"","4017"),IF(Registro_Compras!$F$331="NOTA DE CREDITO",IF(Registro_Compras!$M$331="","63",Registro_Compras!$M$331),IF(Registro_Compras!$K$331=0,"","40111"))))</f>
        <v/>
      </c>
      <c r="D2949" t="str">
        <f>IF(OR(Registro_Compras!$C$331="",Registro_Compras!$O$331=""),"",IF(Registro_Compras!$F$331="RHE","Retencion Renta 4ta Categoria por Pagar",IF(Registro_Compras!$F$331="NOTA DE CREDITO","Gastos de Servicios Prestados por Terceros","IGV - Cuenta Propia (Credito Fiscal)")))</f>
        <v/>
      </c>
      <c r="E2949" s="20" t="str">
        <f>IF($C2949="","",IF(Registro_Compras!$F$331="FACTURA",ROUND(Registro_Compras!$K$331*Registro_Compras!$N$331,2),""))</f>
        <v/>
      </c>
      <c r="F2949" s="20" t="str">
        <f>IF($C2949="","",IF(Registro_Compras!$F$331="RHE",ROUND(Registro_Compras!$V$331*Registro_Compras!$N$331,2),IF(Registro_Compras!$F$331="NOTA DE CREDITO",ROUND(ABS(Registro_Compras!$J$331*Registro_Compras!$N$331),2),"")))</f>
        <v/>
      </c>
      <c r="G2949" t="str">
        <f>IF($C2949="","",IF(Registro_Compras!$F$331="NOTA DE CREDITO","Por la nota de credito "&amp;Registro_Compras!$C$331&amp;" de "&amp;Registro_Compras!$E$331&amp;" [PATRON POR CONFIRMAR CON CONTADOR]",IF(Registro_Compras!$F$331="RHE","Por el registro del recibo por honorarios "&amp;Registro_Compras!$C$331&amp;" de "&amp;Registro_Compras!$E$331&amp;" [PATRON POR CONFIRMAR CON CONTADOR]","Por el registro de la factura "&amp;Registro_Compras!$C$331&amp;" de "&amp;Registro_Compras!$E$331)))</f>
        <v/>
      </c>
      <c r="H2949" t="str">
        <f>IF($C2949="","",Registro_Compras!$C$331)</f>
        <v/>
      </c>
    </row>
    <row r="2950" spans="1:8" x14ac:dyDescent="0.25">
      <c r="A2950" s="25" t="str">
        <f>IF($C2950="","",Registro_Compras!$B$331)</f>
        <v/>
      </c>
      <c r="B2950" t="str">
        <f>IF($C2950="","","C"&amp;TEXT(INT((ROW()-5)/9)+1,"000")&amp;"-1")</f>
        <v/>
      </c>
      <c r="C2950" t="str">
        <f>IF(OR(Registro_Compras!$C$331="",Registro_Compras!$O$331=""),"",IF(Registro_Compras!$F$331="NOTA DE CREDITO",IF(Registro_Compras!$K$331=0,"","40111"),"4212"))</f>
        <v/>
      </c>
      <c r="D2950" t="str">
        <f>IF(OR(Registro_Compras!$C$331="",Registro_Compras!$O$331=""),"",IF(Registro_Compras!$F$331="NOTA DE CREDITO","IGV - Cuenta Propia (Credito Fiscal)","Cuentas por Pagar Comerciales - Terceros (Emitidas)"))</f>
        <v/>
      </c>
      <c r="E2950" s="20" t="str">
        <f>""</f>
        <v/>
      </c>
      <c r="F2950" s="20" t="str">
        <f>IF($C2950="","",IF(Registro_Compras!$F$331="NOTA DE CREDITO",ROUND(ABS(Registro_Compras!$K$331*Registro_Compras!$N$331),2),IF(Registro_Compras!$F$331="RHE",(ROUND(Registro_Compras!$L$331*Registro_Compras!$N$331,2)-ROUND(Registro_Compras!$V$331*Registro_Compras!$N$331,2)),Registro_Compras!$O$331)))</f>
        <v/>
      </c>
      <c r="G2950" t="str">
        <f>IF($C2950="","",IF(Registro_Compras!$F$331="NOTA DE CREDITO","Por la nota de credito "&amp;Registro_Compras!$C$331&amp;" de "&amp;Registro_Compras!$E$331&amp;" [PATRON POR CONFIRMAR CON CONTADOR]",IF(Registro_Compras!$F$331="RHE","Por el registro del recibo por honorarios "&amp;Registro_Compras!$C$331&amp;" de "&amp;Registro_Compras!$E$331&amp;" [PATRON POR CONFIRMAR CON CONTADOR]","Por el registro de la factura "&amp;Registro_Compras!$C$331&amp;" de "&amp;Registro_Compras!$E$331)))</f>
        <v/>
      </c>
      <c r="H2950" t="str">
        <f>IF($C2950="","",Registro_Compras!$C$331)</f>
        <v/>
      </c>
    </row>
    <row r="2951" spans="1:8" x14ac:dyDescent="0.25">
      <c r="A2951" s="25" t="str">
        <f>IF($C2951="","",Registro_Compras!$B$331)</f>
        <v/>
      </c>
      <c r="B2951" t="str">
        <f>IF($C2951="","","C"&amp;TEXT(INT((ROW()-5)/9)+1,"000")&amp;"-2")</f>
        <v/>
      </c>
      <c r="C2951" t="str">
        <f>IF(OR(Registro_Compras!$C$331="",Registro_Compras!$O$331=""),"",IF(Registro_Compras!$AB$331="ADMINISTRATIVO","94","95"))</f>
        <v/>
      </c>
      <c r="D2951" t="str">
        <f>IF(OR(Registro_Compras!$C$331="",Registro_Compras!$O$331=""),"",IF(Registro_Compras!$AB$331="ADMINISTRATIVO","Gastos Administrativos","Gastos de Venta y Operacion"))</f>
        <v/>
      </c>
      <c r="E2951" s="20" t="str">
        <f>IF($C2951="","",IF(Registro_Compras!$F$331="NOTA DE CREDITO","",IF(Registro_Compras!$F$331="RHE",ROUND(Registro_Compras!$L$331*Registro_Compras!$N$331,2),ROUND(Registro_Compras!$J$331*Registro_Compras!$N$331,2))))</f>
        <v/>
      </c>
      <c r="F2951" s="20" t="str">
        <f>IF($C2951="","",IF(Registro_Compras!$F$331="NOTA DE CREDITO",ROUND(ABS(Registro_Compras!$J$331*Registro_Compras!$N$331),2),""))</f>
        <v/>
      </c>
      <c r="G2951" t="str">
        <f>IF($C2951="","","Por el destino del gasto")</f>
        <v/>
      </c>
      <c r="H2951" t="str">
        <f>IF($C2951="","",Registro_Compras!$C$331)</f>
        <v/>
      </c>
    </row>
    <row r="2952" spans="1:8" x14ac:dyDescent="0.25">
      <c r="A2952" s="25" t="str">
        <f>IF($C2952="","",Registro_Compras!$B$331)</f>
        <v/>
      </c>
      <c r="B2952" t="str">
        <f>IF($C2952="","","C"&amp;TEXT(INT((ROW()-5)/9)+1,"000")&amp;"-2")</f>
        <v/>
      </c>
      <c r="C2952" t="str">
        <f>IF(OR(Registro_Compras!$C$331="",Registro_Compras!$O$331=""),"","79/791")</f>
        <v/>
      </c>
      <c r="D2952" t="str">
        <f>IF(OR(Registro_Compras!$C$331="",Registro_Compras!$O$331=""),"","Cargas Imputables a Cuentas de Costos y Gastos")</f>
        <v/>
      </c>
      <c r="E2952" s="20" t="str">
        <f>IF($C2952="","",IF(Registro_Compras!$F$331="NOTA DE CREDITO",ROUND(ABS(Registro_Compras!$J$331*Registro_Compras!$N$331),2),""))</f>
        <v/>
      </c>
      <c r="F2952" s="20" t="str">
        <f>IF($C2952="","",IF(Registro_Compras!$F$331="NOTA DE CREDITO","",IF(Registro_Compras!$F$331="RHE",ROUND(Registro_Compras!$L$331*Registro_Compras!$N$331,2),ROUND(Registro_Compras!$J$331*Registro_Compras!$N$331,2))))</f>
        <v/>
      </c>
      <c r="G2952" t="str">
        <f>IF($C2952="","","Por el destino del gasto")</f>
        <v/>
      </c>
      <c r="H2952" t="str">
        <f>IF($C2952="","",Registro_Compras!$C$331)</f>
        <v/>
      </c>
    </row>
    <row r="2953" spans="1:8" x14ac:dyDescent="0.25">
      <c r="A2953" s="25" t="str">
        <f>IF($C2953="","",Registro_Compras!$X$331)</f>
        <v/>
      </c>
      <c r="B2953" t="str">
        <f>IF($C2953="","","C"&amp;TEXT(INT((ROW()-5)/9)+1,"000")&amp;"-3")</f>
        <v/>
      </c>
      <c r="C2953" t="str">
        <f>IF(OR(Registro_Compras!$C$331="",Registro_Compras!$O$331="",Registro_Compras!$R$331&lt;&gt;"SI",Registro_Compras!$X$331=""),"","4212")</f>
        <v/>
      </c>
      <c r="D2953" t="str">
        <f>IF(OR(Registro_Compras!$C$331="",Registro_Compras!$O$331=""),"","Cuentas por Pagar Comerciales - Terceros")</f>
        <v/>
      </c>
      <c r="E2953" s="20" t="str">
        <f>IF($C2953="","",Registro_Compras!$S$331)</f>
        <v/>
      </c>
      <c r="F2953" s="20" t="str">
        <f>""</f>
        <v/>
      </c>
      <c r="G2953" t="str">
        <f>IF($C2953="","","Por el deposito de la detraccion en el Banco de la Nacion")</f>
        <v/>
      </c>
      <c r="H2953" t="str">
        <f>IF($C2953="","",Registro_Compras!$C$331)</f>
        <v/>
      </c>
    </row>
    <row r="2954" spans="1:8" x14ac:dyDescent="0.25">
      <c r="A2954" s="25" t="str">
        <f>IF($C2954="","",Registro_Compras!$X$331)</f>
        <v/>
      </c>
      <c r="B2954" t="str">
        <f>IF($C2954="","","C"&amp;TEXT(INT((ROW()-5)/9)+1,"000")&amp;"-3")</f>
        <v/>
      </c>
      <c r="C2954" t="str">
        <f>IF(OR(Registro_Compras!$C$331="",Registro_Compras!$O$331="",Registro_Compras!$R$331&lt;&gt;"SI",Registro_Compras!$X$331=""),"","1041")</f>
        <v/>
      </c>
      <c r="D2954" t="str">
        <f>IF(OR(Registro_Compras!$C$331="",Registro_Compras!$O$331=""),"","Efectivo y Equivalentes - Cta. Cte. Operativa")</f>
        <v/>
      </c>
      <c r="E2954" s="20" t="str">
        <f>""</f>
        <v/>
      </c>
      <c r="F2954" s="20" t="str">
        <f>IF($C2954="","",Registro_Compras!$S$331)</f>
        <v/>
      </c>
      <c r="G2954" t="str">
        <f>IF($C2954="","","Por el deposito de la detraccion en el Banco de la Nacion")</f>
        <v/>
      </c>
      <c r="H2954" t="str">
        <f>IF($C2954="","",Registro_Compras!$C$331)</f>
        <v/>
      </c>
    </row>
    <row r="2955" spans="1:8" x14ac:dyDescent="0.25">
      <c r="A2955" s="25" t="str">
        <f>IF($C2955="","",Registro_Compras!$Y$331)</f>
        <v/>
      </c>
      <c r="B2955" t="str">
        <f>IF($C2955="","","C"&amp;TEXT(INT((ROW()-5)/9)+1,"000")&amp;"-4")</f>
        <v/>
      </c>
      <c r="C2955" t="str">
        <f>IF(OR(Registro_Compras!$C$331="",Registro_Compras!$O$331="",Registro_Compras!$Y$331="",Registro_Compras!$F$331="NOTA DE CREDITO"),"","4212")</f>
        <v/>
      </c>
      <c r="D2955" t="str">
        <f>IF(OR(Registro_Compras!$C$331="",Registro_Compras!$O$331=""),"","Cuentas por Pagar Comerciales - Terceros")</f>
        <v/>
      </c>
      <c r="E2955" s="20" t="str">
        <f>IF($C2955="","",IF(Registro_Compras!$F$331="RHE",(ROUND(Registro_Compras!$L$331*Registro_Compras!$N$331,2)-ROUND(Registro_Compras!$V$331*Registro_Compras!$N$331,2)),ROUND(Registro_Compras!$O$331-Registro_Compras!$S$331,2)))</f>
        <v/>
      </c>
      <c r="F2955" s="20" t="str">
        <f>""</f>
        <v/>
      </c>
      <c r="G2955" t="str">
        <f>IF($C2955="","","Por la cancelacion del saldo al proveedor")</f>
        <v/>
      </c>
      <c r="H2955" t="str">
        <f>IF($C2955="","",Registro_Compras!$C$331)</f>
        <v/>
      </c>
    </row>
    <row r="2956" spans="1:8" x14ac:dyDescent="0.25">
      <c r="A2956" s="25" t="str">
        <f>IF($C2956="","",Registro_Compras!$Y$331)</f>
        <v/>
      </c>
      <c r="B2956" t="str">
        <f>IF($C2956="","","C"&amp;TEXT(INT((ROW()-5)/9)+1,"000")&amp;"-4")</f>
        <v/>
      </c>
      <c r="C2956" t="str">
        <f>IF(OR(Registro_Compras!$C$331="",Registro_Compras!$O$331="",Registro_Compras!$Y$331="",Registro_Compras!$F$331="NOTA DE CREDITO"),"","1041")</f>
        <v/>
      </c>
      <c r="D2956" t="str">
        <f>IF(OR(Registro_Compras!$C$331="",Registro_Compras!$O$331=""),"","Efectivo y Equivalentes - Cta. Cte. Operativa")</f>
        <v/>
      </c>
      <c r="E2956" s="20" t="str">
        <f>""</f>
        <v/>
      </c>
      <c r="F2956" s="20" t="str">
        <f>IF($C2956="","",IF(Registro_Compras!$F$331="RHE",(ROUND(Registro_Compras!$L$331*Registro_Compras!$N$331,2)-ROUND(Registro_Compras!$V$331*Registro_Compras!$N$331,2)),ROUND(Registro_Compras!$O$331-Registro_Compras!$S$331,2)))</f>
        <v/>
      </c>
      <c r="G2956" t="str">
        <f>IF($C2956="","","Por la cancelacion del saldo al proveedor")</f>
        <v/>
      </c>
      <c r="H2956" t="str">
        <f>IF($C2956="","",Registro_Compras!$C$331)</f>
        <v/>
      </c>
    </row>
    <row r="2957" spans="1:8" x14ac:dyDescent="0.25">
      <c r="A2957" s="25" t="str">
        <f>IF($C2957="","",Registro_Compras!$B$332)</f>
        <v/>
      </c>
      <c r="B2957" t="str">
        <f>IF($C2957="","","C"&amp;TEXT(INT((ROW()-5)/9)+1,"000")&amp;"-1")</f>
        <v/>
      </c>
      <c r="C2957" t="str">
        <f>IF(OR(Registro_Compras!$C$332="",Registro_Compras!$O$332=""),"",IF(Registro_Compras!$F$332="NOTA DE CREDITO","4212",IF(Registro_Compras!$M$332="","63",Registro_Compras!$M$332)))</f>
        <v/>
      </c>
      <c r="D2957" t="str">
        <f>IF(OR(Registro_Compras!$C$332="",Registro_Compras!$O$332=""),"",IF(Registro_Compras!$F$332="NOTA DE CREDITO","Cuentas por Pagar Comerciales - Terceros (Emitidas)",IF(Registro_Compras!$F$332="RHE","Honorarios Profesionales - Servicios de Terceros","Gastos de Servicios Prestados por Terceros")))</f>
        <v/>
      </c>
      <c r="E2957" s="20" t="str">
        <f>IF($C2957="","",IF(Registro_Compras!$F$332="NOTA DE CREDITO",ABS(Registro_Compras!$O$332),IF(Registro_Compras!$F$332="RHE",ROUND(Registro_Compras!$L$332*Registro_Compras!$N$332,2),ROUND(Registro_Compras!$J$332*Registro_Compras!$N$332,2))))</f>
        <v/>
      </c>
      <c r="F2957" s="20" t="str">
        <f>""</f>
        <v/>
      </c>
      <c r="G2957" t="str">
        <f>IF($C2957="","",IF(Registro_Compras!$F$332="NOTA DE CREDITO","Por la nota de credito "&amp;Registro_Compras!$C$332&amp;" de "&amp;Registro_Compras!$E$332&amp;" [PATRON POR CONFIRMAR CON CONTADOR]",IF(Registro_Compras!$F$332="RHE","Por el registro del recibo por honorarios "&amp;Registro_Compras!$C$332&amp;" de "&amp;Registro_Compras!$E$332&amp;" [PATRON POR CONFIRMAR CON CONTADOR]","Por el registro de la factura "&amp;Registro_Compras!$C$332&amp;" de "&amp;Registro_Compras!$E$332)))</f>
        <v/>
      </c>
      <c r="H2957" t="str">
        <f>IF($C2957="","",Registro_Compras!$C$332)</f>
        <v/>
      </c>
    </row>
    <row r="2958" spans="1:8" x14ac:dyDescent="0.25">
      <c r="A2958" s="25" t="str">
        <f>IF($C2958="","",Registro_Compras!$B$332)</f>
        <v/>
      </c>
      <c r="B2958" t="str">
        <f>IF($C2958="","","C"&amp;TEXT(INT((ROW()-5)/9)+1,"000")&amp;"-1")</f>
        <v/>
      </c>
      <c r="C2958" t="str">
        <f>IF(OR(Registro_Compras!$C$332="",Registro_Compras!$O$332=""),"",IF(Registro_Compras!$F$332="RHE",IF(Registro_Compras!$V$332=0,"","4017"),IF(Registro_Compras!$F$332="NOTA DE CREDITO",IF(Registro_Compras!$M$332="","63",Registro_Compras!$M$332),IF(Registro_Compras!$K$332=0,"","40111"))))</f>
        <v/>
      </c>
      <c r="D2958" t="str">
        <f>IF(OR(Registro_Compras!$C$332="",Registro_Compras!$O$332=""),"",IF(Registro_Compras!$F$332="RHE","Retencion Renta 4ta Categoria por Pagar",IF(Registro_Compras!$F$332="NOTA DE CREDITO","Gastos de Servicios Prestados por Terceros","IGV - Cuenta Propia (Credito Fiscal)")))</f>
        <v/>
      </c>
      <c r="E2958" s="20" t="str">
        <f>IF($C2958="","",IF(Registro_Compras!$F$332="FACTURA",ROUND(Registro_Compras!$K$332*Registro_Compras!$N$332,2),""))</f>
        <v/>
      </c>
      <c r="F2958" s="20" t="str">
        <f>IF($C2958="","",IF(Registro_Compras!$F$332="RHE",ROUND(Registro_Compras!$V$332*Registro_Compras!$N$332,2),IF(Registro_Compras!$F$332="NOTA DE CREDITO",ROUND(ABS(Registro_Compras!$J$332*Registro_Compras!$N$332),2),"")))</f>
        <v/>
      </c>
      <c r="G2958" t="str">
        <f>IF($C2958="","",IF(Registro_Compras!$F$332="NOTA DE CREDITO","Por la nota de credito "&amp;Registro_Compras!$C$332&amp;" de "&amp;Registro_Compras!$E$332&amp;" [PATRON POR CONFIRMAR CON CONTADOR]",IF(Registro_Compras!$F$332="RHE","Por el registro del recibo por honorarios "&amp;Registro_Compras!$C$332&amp;" de "&amp;Registro_Compras!$E$332&amp;" [PATRON POR CONFIRMAR CON CONTADOR]","Por el registro de la factura "&amp;Registro_Compras!$C$332&amp;" de "&amp;Registro_Compras!$E$332)))</f>
        <v/>
      </c>
      <c r="H2958" t="str">
        <f>IF($C2958="","",Registro_Compras!$C$332)</f>
        <v/>
      </c>
    </row>
    <row r="2959" spans="1:8" x14ac:dyDescent="0.25">
      <c r="A2959" s="25" t="str">
        <f>IF($C2959="","",Registro_Compras!$B$332)</f>
        <v/>
      </c>
      <c r="B2959" t="str">
        <f>IF($C2959="","","C"&amp;TEXT(INT((ROW()-5)/9)+1,"000")&amp;"-1")</f>
        <v/>
      </c>
      <c r="C2959" t="str">
        <f>IF(OR(Registro_Compras!$C$332="",Registro_Compras!$O$332=""),"",IF(Registro_Compras!$F$332="NOTA DE CREDITO",IF(Registro_Compras!$K$332=0,"","40111"),"4212"))</f>
        <v/>
      </c>
      <c r="D2959" t="str">
        <f>IF(OR(Registro_Compras!$C$332="",Registro_Compras!$O$332=""),"",IF(Registro_Compras!$F$332="NOTA DE CREDITO","IGV - Cuenta Propia (Credito Fiscal)","Cuentas por Pagar Comerciales - Terceros (Emitidas)"))</f>
        <v/>
      </c>
      <c r="E2959" s="20" t="str">
        <f>""</f>
        <v/>
      </c>
      <c r="F2959" s="20" t="str">
        <f>IF($C2959="","",IF(Registro_Compras!$F$332="NOTA DE CREDITO",ROUND(ABS(Registro_Compras!$K$332*Registro_Compras!$N$332),2),IF(Registro_Compras!$F$332="RHE",(ROUND(Registro_Compras!$L$332*Registro_Compras!$N$332,2)-ROUND(Registro_Compras!$V$332*Registro_Compras!$N$332,2)),Registro_Compras!$O$332)))</f>
        <v/>
      </c>
      <c r="G2959" t="str">
        <f>IF($C2959="","",IF(Registro_Compras!$F$332="NOTA DE CREDITO","Por la nota de credito "&amp;Registro_Compras!$C$332&amp;" de "&amp;Registro_Compras!$E$332&amp;" [PATRON POR CONFIRMAR CON CONTADOR]",IF(Registro_Compras!$F$332="RHE","Por el registro del recibo por honorarios "&amp;Registro_Compras!$C$332&amp;" de "&amp;Registro_Compras!$E$332&amp;" [PATRON POR CONFIRMAR CON CONTADOR]","Por el registro de la factura "&amp;Registro_Compras!$C$332&amp;" de "&amp;Registro_Compras!$E$332)))</f>
        <v/>
      </c>
      <c r="H2959" t="str">
        <f>IF($C2959="","",Registro_Compras!$C$332)</f>
        <v/>
      </c>
    </row>
    <row r="2960" spans="1:8" x14ac:dyDescent="0.25">
      <c r="A2960" s="25" t="str">
        <f>IF($C2960="","",Registro_Compras!$B$332)</f>
        <v/>
      </c>
      <c r="B2960" t="str">
        <f>IF($C2960="","","C"&amp;TEXT(INT((ROW()-5)/9)+1,"000")&amp;"-2")</f>
        <v/>
      </c>
      <c r="C2960" t="str">
        <f>IF(OR(Registro_Compras!$C$332="",Registro_Compras!$O$332=""),"",IF(Registro_Compras!$AB$332="ADMINISTRATIVO","94","95"))</f>
        <v/>
      </c>
      <c r="D2960" t="str">
        <f>IF(OR(Registro_Compras!$C$332="",Registro_Compras!$O$332=""),"",IF(Registro_Compras!$AB$332="ADMINISTRATIVO","Gastos Administrativos","Gastos de Venta y Operacion"))</f>
        <v/>
      </c>
      <c r="E2960" s="20" t="str">
        <f>IF($C2960="","",IF(Registro_Compras!$F$332="NOTA DE CREDITO","",IF(Registro_Compras!$F$332="RHE",ROUND(Registro_Compras!$L$332*Registro_Compras!$N$332,2),ROUND(Registro_Compras!$J$332*Registro_Compras!$N$332,2))))</f>
        <v/>
      </c>
      <c r="F2960" s="20" t="str">
        <f>IF($C2960="","",IF(Registro_Compras!$F$332="NOTA DE CREDITO",ROUND(ABS(Registro_Compras!$J$332*Registro_Compras!$N$332),2),""))</f>
        <v/>
      </c>
      <c r="G2960" t="str">
        <f>IF($C2960="","","Por el destino del gasto")</f>
        <v/>
      </c>
      <c r="H2960" t="str">
        <f>IF($C2960="","",Registro_Compras!$C$332)</f>
        <v/>
      </c>
    </row>
    <row r="2961" spans="1:8" x14ac:dyDescent="0.25">
      <c r="A2961" s="25" t="str">
        <f>IF($C2961="","",Registro_Compras!$B$332)</f>
        <v/>
      </c>
      <c r="B2961" t="str">
        <f>IF($C2961="","","C"&amp;TEXT(INT((ROW()-5)/9)+1,"000")&amp;"-2")</f>
        <v/>
      </c>
      <c r="C2961" t="str">
        <f>IF(OR(Registro_Compras!$C$332="",Registro_Compras!$O$332=""),"","79/791")</f>
        <v/>
      </c>
      <c r="D2961" t="str">
        <f>IF(OR(Registro_Compras!$C$332="",Registro_Compras!$O$332=""),"","Cargas Imputables a Cuentas de Costos y Gastos")</f>
        <v/>
      </c>
      <c r="E2961" s="20" t="str">
        <f>IF($C2961="","",IF(Registro_Compras!$F$332="NOTA DE CREDITO",ROUND(ABS(Registro_Compras!$J$332*Registro_Compras!$N$332),2),""))</f>
        <v/>
      </c>
      <c r="F2961" s="20" t="str">
        <f>IF($C2961="","",IF(Registro_Compras!$F$332="NOTA DE CREDITO","",IF(Registro_Compras!$F$332="RHE",ROUND(Registro_Compras!$L$332*Registro_Compras!$N$332,2),ROUND(Registro_Compras!$J$332*Registro_Compras!$N$332,2))))</f>
        <v/>
      </c>
      <c r="G2961" t="str">
        <f>IF($C2961="","","Por el destino del gasto")</f>
        <v/>
      </c>
      <c r="H2961" t="str">
        <f>IF($C2961="","",Registro_Compras!$C$332)</f>
        <v/>
      </c>
    </row>
    <row r="2962" spans="1:8" x14ac:dyDescent="0.25">
      <c r="A2962" s="25" t="str">
        <f>IF($C2962="","",Registro_Compras!$X$332)</f>
        <v/>
      </c>
      <c r="B2962" t="str">
        <f>IF($C2962="","","C"&amp;TEXT(INT((ROW()-5)/9)+1,"000")&amp;"-3")</f>
        <v/>
      </c>
      <c r="C2962" t="str">
        <f>IF(OR(Registro_Compras!$C$332="",Registro_Compras!$O$332="",Registro_Compras!$R$332&lt;&gt;"SI",Registro_Compras!$X$332=""),"","4212")</f>
        <v/>
      </c>
      <c r="D2962" t="str">
        <f>IF(OR(Registro_Compras!$C$332="",Registro_Compras!$O$332=""),"","Cuentas por Pagar Comerciales - Terceros")</f>
        <v/>
      </c>
      <c r="E2962" s="20" t="str">
        <f>IF($C2962="","",Registro_Compras!$S$332)</f>
        <v/>
      </c>
      <c r="F2962" s="20" t="str">
        <f>""</f>
        <v/>
      </c>
      <c r="G2962" t="str">
        <f>IF($C2962="","","Por el deposito de la detraccion en el Banco de la Nacion")</f>
        <v/>
      </c>
      <c r="H2962" t="str">
        <f>IF($C2962="","",Registro_Compras!$C$332)</f>
        <v/>
      </c>
    </row>
    <row r="2963" spans="1:8" x14ac:dyDescent="0.25">
      <c r="A2963" s="25" t="str">
        <f>IF($C2963="","",Registro_Compras!$X$332)</f>
        <v/>
      </c>
      <c r="B2963" t="str">
        <f>IF($C2963="","","C"&amp;TEXT(INT((ROW()-5)/9)+1,"000")&amp;"-3")</f>
        <v/>
      </c>
      <c r="C2963" t="str">
        <f>IF(OR(Registro_Compras!$C$332="",Registro_Compras!$O$332="",Registro_Compras!$R$332&lt;&gt;"SI",Registro_Compras!$X$332=""),"","1041")</f>
        <v/>
      </c>
      <c r="D2963" t="str">
        <f>IF(OR(Registro_Compras!$C$332="",Registro_Compras!$O$332=""),"","Efectivo y Equivalentes - Cta. Cte. Operativa")</f>
        <v/>
      </c>
      <c r="E2963" s="20" t="str">
        <f>""</f>
        <v/>
      </c>
      <c r="F2963" s="20" t="str">
        <f>IF($C2963="","",Registro_Compras!$S$332)</f>
        <v/>
      </c>
      <c r="G2963" t="str">
        <f>IF($C2963="","","Por el deposito de la detraccion en el Banco de la Nacion")</f>
        <v/>
      </c>
      <c r="H2963" t="str">
        <f>IF($C2963="","",Registro_Compras!$C$332)</f>
        <v/>
      </c>
    </row>
    <row r="2964" spans="1:8" x14ac:dyDescent="0.25">
      <c r="A2964" s="25" t="str">
        <f>IF($C2964="","",Registro_Compras!$Y$332)</f>
        <v/>
      </c>
      <c r="B2964" t="str">
        <f>IF($C2964="","","C"&amp;TEXT(INT((ROW()-5)/9)+1,"000")&amp;"-4")</f>
        <v/>
      </c>
      <c r="C2964" t="str">
        <f>IF(OR(Registro_Compras!$C$332="",Registro_Compras!$O$332="",Registro_Compras!$Y$332="",Registro_Compras!$F$332="NOTA DE CREDITO"),"","4212")</f>
        <v/>
      </c>
      <c r="D2964" t="str">
        <f>IF(OR(Registro_Compras!$C$332="",Registro_Compras!$O$332=""),"","Cuentas por Pagar Comerciales - Terceros")</f>
        <v/>
      </c>
      <c r="E2964" s="20" t="str">
        <f>IF($C2964="","",IF(Registro_Compras!$F$332="RHE",(ROUND(Registro_Compras!$L$332*Registro_Compras!$N$332,2)-ROUND(Registro_Compras!$V$332*Registro_Compras!$N$332,2)),ROUND(Registro_Compras!$O$332-Registro_Compras!$S$332,2)))</f>
        <v/>
      </c>
      <c r="F2964" s="20" t="str">
        <f>""</f>
        <v/>
      </c>
      <c r="G2964" t="str">
        <f>IF($C2964="","","Por la cancelacion del saldo al proveedor")</f>
        <v/>
      </c>
      <c r="H2964" t="str">
        <f>IF($C2964="","",Registro_Compras!$C$332)</f>
        <v/>
      </c>
    </row>
    <row r="2965" spans="1:8" x14ac:dyDescent="0.25">
      <c r="A2965" s="25" t="str">
        <f>IF($C2965="","",Registro_Compras!$Y$332)</f>
        <v/>
      </c>
      <c r="B2965" t="str">
        <f>IF($C2965="","","C"&amp;TEXT(INT((ROW()-5)/9)+1,"000")&amp;"-4")</f>
        <v/>
      </c>
      <c r="C2965" t="str">
        <f>IF(OR(Registro_Compras!$C$332="",Registro_Compras!$O$332="",Registro_Compras!$Y$332="",Registro_Compras!$F$332="NOTA DE CREDITO"),"","1041")</f>
        <v/>
      </c>
      <c r="D2965" t="str">
        <f>IF(OR(Registro_Compras!$C$332="",Registro_Compras!$O$332=""),"","Efectivo y Equivalentes - Cta. Cte. Operativa")</f>
        <v/>
      </c>
      <c r="E2965" s="20" t="str">
        <f>""</f>
        <v/>
      </c>
      <c r="F2965" s="20" t="str">
        <f>IF($C2965="","",IF(Registro_Compras!$F$332="RHE",(ROUND(Registro_Compras!$L$332*Registro_Compras!$N$332,2)-ROUND(Registro_Compras!$V$332*Registro_Compras!$N$332,2)),ROUND(Registro_Compras!$O$332-Registro_Compras!$S$332,2)))</f>
        <v/>
      </c>
      <c r="G2965" t="str">
        <f>IF($C2965="","","Por la cancelacion del saldo al proveedor")</f>
        <v/>
      </c>
      <c r="H2965" t="str">
        <f>IF($C2965="","",Registro_Compras!$C$332)</f>
        <v/>
      </c>
    </row>
    <row r="2966" spans="1:8" x14ac:dyDescent="0.25">
      <c r="A2966" s="25" t="str">
        <f>IF($C2966="","",Registro_Compras!$B$333)</f>
        <v/>
      </c>
      <c r="B2966" t="str">
        <f>IF($C2966="","","C"&amp;TEXT(INT((ROW()-5)/9)+1,"000")&amp;"-1")</f>
        <v/>
      </c>
      <c r="C2966" t="str">
        <f>IF(OR(Registro_Compras!$C$333="",Registro_Compras!$O$333=""),"",IF(Registro_Compras!$F$333="NOTA DE CREDITO","4212",IF(Registro_Compras!$M$333="","63",Registro_Compras!$M$333)))</f>
        <v/>
      </c>
      <c r="D2966" t="str">
        <f>IF(OR(Registro_Compras!$C$333="",Registro_Compras!$O$333=""),"",IF(Registro_Compras!$F$333="NOTA DE CREDITO","Cuentas por Pagar Comerciales - Terceros (Emitidas)",IF(Registro_Compras!$F$333="RHE","Honorarios Profesionales - Servicios de Terceros","Gastos de Servicios Prestados por Terceros")))</f>
        <v/>
      </c>
      <c r="E2966" s="20" t="str">
        <f>IF($C2966="","",IF(Registro_Compras!$F$333="NOTA DE CREDITO",ABS(Registro_Compras!$O$333),IF(Registro_Compras!$F$333="RHE",ROUND(Registro_Compras!$L$333*Registro_Compras!$N$333,2),ROUND(Registro_Compras!$J$333*Registro_Compras!$N$333,2))))</f>
        <v/>
      </c>
      <c r="F2966" s="20" t="str">
        <f>""</f>
        <v/>
      </c>
      <c r="G2966" t="str">
        <f>IF($C2966="","",IF(Registro_Compras!$F$333="NOTA DE CREDITO","Por la nota de credito "&amp;Registro_Compras!$C$333&amp;" de "&amp;Registro_Compras!$E$333&amp;" [PATRON POR CONFIRMAR CON CONTADOR]",IF(Registro_Compras!$F$333="RHE","Por el registro del recibo por honorarios "&amp;Registro_Compras!$C$333&amp;" de "&amp;Registro_Compras!$E$333&amp;" [PATRON POR CONFIRMAR CON CONTADOR]","Por el registro de la factura "&amp;Registro_Compras!$C$333&amp;" de "&amp;Registro_Compras!$E$333)))</f>
        <v/>
      </c>
      <c r="H2966" t="str">
        <f>IF($C2966="","",Registro_Compras!$C$333)</f>
        <v/>
      </c>
    </row>
    <row r="2967" spans="1:8" x14ac:dyDescent="0.25">
      <c r="A2967" s="25" t="str">
        <f>IF($C2967="","",Registro_Compras!$B$333)</f>
        <v/>
      </c>
      <c r="B2967" t="str">
        <f>IF($C2967="","","C"&amp;TEXT(INT((ROW()-5)/9)+1,"000")&amp;"-1")</f>
        <v/>
      </c>
      <c r="C2967" t="str">
        <f>IF(OR(Registro_Compras!$C$333="",Registro_Compras!$O$333=""),"",IF(Registro_Compras!$F$333="RHE",IF(Registro_Compras!$V$333=0,"","4017"),IF(Registro_Compras!$F$333="NOTA DE CREDITO",IF(Registro_Compras!$M$333="","63",Registro_Compras!$M$333),IF(Registro_Compras!$K$333=0,"","40111"))))</f>
        <v/>
      </c>
      <c r="D2967" t="str">
        <f>IF(OR(Registro_Compras!$C$333="",Registro_Compras!$O$333=""),"",IF(Registro_Compras!$F$333="RHE","Retencion Renta 4ta Categoria por Pagar",IF(Registro_Compras!$F$333="NOTA DE CREDITO","Gastos de Servicios Prestados por Terceros","IGV - Cuenta Propia (Credito Fiscal)")))</f>
        <v/>
      </c>
      <c r="E2967" s="20" t="str">
        <f>IF($C2967="","",IF(Registro_Compras!$F$333="FACTURA",ROUND(Registro_Compras!$K$333*Registro_Compras!$N$333,2),""))</f>
        <v/>
      </c>
      <c r="F2967" s="20" t="str">
        <f>IF($C2967="","",IF(Registro_Compras!$F$333="RHE",ROUND(Registro_Compras!$V$333*Registro_Compras!$N$333,2),IF(Registro_Compras!$F$333="NOTA DE CREDITO",ROUND(ABS(Registro_Compras!$J$333*Registro_Compras!$N$333),2),"")))</f>
        <v/>
      </c>
      <c r="G2967" t="str">
        <f>IF($C2967="","",IF(Registro_Compras!$F$333="NOTA DE CREDITO","Por la nota de credito "&amp;Registro_Compras!$C$333&amp;" de "&amp;Registro_Compras!$E$333&amp;" [PATRON POR CONFIRMAR CON CONTADOR]",IF(Registro_Compras!$F$333="RHE","Por el registro del recibo por honorarios "&amp;Registro_Compras!$C$333&amp;" de "&amp;Registro_Compras!$E$333&amp;" [PATRON POR CONFIRMAR CON CONTADOR]","Por el registro de la factura "&amp;Registro_Compras!$C$333&amp;" de "&amp;Registro_Compras!$E$333)))</f>
        <v/>
      </c>
      <c r="H2967" t="str">
        <f>IF($C2967="","",Registro_Compras!$C$333)</f>
        <v/>
      </c>
    </row>
    <row r="2968" spans="1:8" x14ac:dyDescent="0.25">
      <c r="A2968" s="25" t="str">
        <f>IF($C2968="","",Registro_Compras!$B$333)</f>
        <v/>
      </c>
      <c r="B2968" t="str">
        <f>IF($C2968="","","C"&amp;TEXT(INT((ROW()-5)/9)+1,"000")&amp;"-1")</f>
        <v/>
      </c>
      <c r="C2968" t="str">
        <f>IF(OR(Registro_Compras!$C$333="",Registro_Compras!$O$333=""),"",IF(Registro_Compras!$F$333="NOTA DE CREDITO",IF(Registro_Compras!$K$333=0,"","40111"),"4212"))</f>
        <v/>
      </c>
      <c r="D2968" t="str">
        <f>IF(OR(Registro_Compras!$C$333="",Registro_Compras!$O$333=""),"",IF(Registro_Compras!$F$333="NOTA DE CREDITO","IGV - Cuenta Propia (Credito Fiscal)","Cuentas por Pagar Comerciales - Terceros (Emitidas)"))</f>
        <v/>
      </c>
      <c r="E2968" s="20" t="str">
        <f>""</f>
        <v/>
      </c>
      <c r="F2968" s="20" t="str">
        <f>IF($C2968="","",IF(Registro_Compras!$F$333="NOTA DE CREDITO",ROUND(ABS(Registro_Compras!$K$333*Registro_Compras!$N$333),2),IF(Registro_Compras!$F$333="RHE",(ROUND(Registro_Compras!$L$333*Registro_Compras!$N$333,2)-ROUND(Registro_Compras!$V$333*Registro_Compras!$N$333,2)),Registro_Compras!$O$333)))</f>
        <v/>
      </c>
      <c r="G2968" t="str">
        <f>IF($C2968="","",IF(Registro_Compras!$F$333="NOTA DE CREDITO","Por la nota de credito "&amp;Registro_Compras!$C$333&amp;" de "&amp;Registro_Compras!$E$333&amp;" [PATRON POR CONFIRMAR CON CONTADOR]",IF(Registro_Compras!$F$333="RHE","Por el registro del recibo por honorarios "&amp;Registro_Compras!$C$333&amp;" de "&amp;Registro_Compras!$E$333&amp;" [PATRON POR CONFIRMAR CON CONTADOR]","Por el registro de la factura "&amp;Registro_Compras!$C$333&amp;" de "&amp;Registro_Compras!$E$333)))</f>
        <v/>
      </c>
      <c r="H2968" t="str">
        <f>IF($C2968="","",Registro_Compras!$C$333)</f>
        <v/>
      </c>
    </row>
    <row r="2969" spans="1:8" x14ac:dyDescent="0.25">
      <c r="A2969" s="25" t="str">
        <f>IF($C2969="","",Registro_Compras!$B$333)</f>
        <v/>
      </c>
      <c r="B2969" t="str">
        <f>IF($C2969="","","C"&amp;TEXT(INT((ROW()-5)/9)+1,"000")&amp;"-2")</f>
        <v/>
      </c>
      <c r="C2969" t="str">
        <f>IF(OR(Registro_Compras!$C$333="",Registro_Compras!$O$333=""),"",IF(Registro_Compras!$AB$333="ADMINISTRATIVO","94","95"))</f>
        <v/>
      </c>
      <c r="D2969" t="str">
        <f>IF(OR(Registro_Compras!$C$333="",Registro_Compras!$O$333=""),"",IF(Registro_Compras!$AB$333="ADMINISTRATIVO","Gastos Administrativos","Gastos de Venta y Operacion"))</f>
        <v/>
      </c>
      <c r="E2969" s="20" t="str">
        <f>IF($C2969="","",IF(Registro_Compras!$F$333="NOTA DE CREDITO","",IF(Registro_Compras!$F$333="RHE",ROUND(Registro_Compras!$L$333*Registro_Compras!$N$333,2),ROUND(Registro_Compras!$J$333*Registro_Compras!$N$333,2))))</f>
        <v/>
      </c>
      <c r="F2969" s="20" t="str">
        <f>IF($C2969="","",IF(Registro_Compras!$F$333="NOTA DE CREDITO",ROUND(ABS(Registro_Compras!$J$333*Registro_Compras!$N$333),2),""))</f>
        <v/>
      </c>
      <c r="G2969" t="str">
        <f>IF($C2969="","","Por el destino del gasto")</f>
        <v/>
      </c>
      <c r="H2969" t="str">
        <f>IF($C2969="","",Registro_Compras!$C$333)</f>
        <v/>
      </c>
    </row>
    <row r="2970" spans="1:8" x14ac:dyDescent="0.25">
      <c r="A2970" s="25" t="str">
        <f>IF($C2970="","",Registro_Compras!$B$333)</f>
        <v/>
      </c>
      <c r="B2970" t="str">
        <f>IF($C2970="","","C"&amp;TEXT(INT((ROW()-5)/9)+1,"000")&amp;"-2")</f>
        <v/>
      </c>
      <c r="C2970" t="str">
        <f>IF(OR(Registro_Compras!$C$333="",Registro_Compras!$O$333=""),"","79/791")</f>
        <v/>
      </c>
      <c r="D2970" t="str">
        <f>IF(OR(Registro_Compras!$C$333="",Registro_Compras!$O$333=""),"","Cargas Imputables a Cuentas de Costos y Gastos")</f>
        <v/>
      </c>
      <c r="E2970" s="20" t="str">
        <f>IF($C2970="","",IF(Registro_Compras!$F$333="NOTA DE CREDITO",ROUND(ABS(Registro_Compras!$J$333*Registro_Compras!$N$333),2),""))</f>
        <v/>
      </c>
      <c r="F2970" s="20" t="str">
        <f>IF($C2970="","",IF(Registro_Compras!$F$333="NOTA DE CREDITO","",IF(Registro_Compras!$F$333="RHE",ROUND(Registro_Compras!$L$333*Registro_Compras!$N$333,2),ROUND(Registro_Compras!$J$333*Registro_Compras!$N$333,2))))</f>
        <v/>
      </c>
      <c r="G2970" t="str">
        <f>IF($C2970="","","Por el destino del gasto")</f>
        <v/>
      </c>
      <c r="H2970" t="str">
        <f>IF($C2970="","",Registro_Compras!$C$333)</f>
        <v/>
      </c>
    </row>
    <row r="2971" spans="1:8" x14ac:dyDescent="0.25">
      <c r="A2971" s="25" t="str">
        <f>IF($C2971="","",Registro_Compras!$X$333)</f>
        <v/>
      </c>
      <c r="B2971" t="str">
        <f>IF($C2971="","","C"&amp;TEXT(INT((ROW()-5)/9)+1,"000")&amp;"-3")</f>
        <v/>
      </c>
      <c r="C2971" t="str">
        <f>IF(OR(Registro_Compras!$C$333="",Registro_Compras!$O$333="",Registro_Compras!$R$333&lt;&gt;"SI",Registro_Compras!$X$333=""),"","4212")</f>
        <v/>
      </c>
      <c r="D2971" t="str">
        <f>IF(OR(Registro_Compras!$C$333="",Registro_Compras!$O$333=""),"","Cuentas por Pagar Comerciales - Terceros")</f>
        <v/>
      </c>
      <c r="E2971" s="20" t="str">
        <f>IF($C2971="","",Registro_Compras!$S$333)</f>
        <v/>
      </c>
      <c r="F2971" s="20" t="str">
        <f>""</f>
        <v/>
      </c>
      <c r="G2971" t="str">
        <f>IF($C2971="","","Por el deposito de la detraccion en el Banco de la Nacion")</f>
        <v/>
      </c>
      <c r="H2971" t="str">
        <f>IF($C2971="","",Registro_Compras!$C$333)</f>
        <v/>
      </c>
    </row>
    <row r="2972" spans="1:8" x14ac:dyDescent="0.25">
      <c r="A2972" s="25" t="str">
        <f>IF($C2972="","",Registro_Compras!$X$333)</f>
        <v/>
      </c>
      <c r="B2972" t="str">
        <f>IF($C2972="","","C"&amp;TEXT(INT((ROW()-5)/9)+1,"000")&amp;"-3")</f>
        <v/>
      </c>
      <c r="C2972" t="str">
        <f>IF(OR(Registro_Compras!$C$333="",Registro_Compras!$O$333="",Registro_Compras!$R$333&lt;&gt;"SI",Registro_Compras!$X$333=""),"","1041")</f>
        <v/>
      </c>
      <c r="D2972" t="str">
        <f>IF(OR(Registro_Compras!$C$333="",Registro_Compras!$O$333=""),"","Efectivo y Equivalentes - Cta. Cte. Operativa")</f>
        <v/>
      </c>
      <c r="E2972" s="20" t="str">
        <f>""</f>
        <v/>
      </c>
      <c r="F2972" s="20" t="str">
        <f>IF($C2972="","",Registro_Compras!$S$333)</f>
        <v/>
      </c>
      <c r="G2972" t="str">
        <f>IF($C2972="","","Por el deposito de la detraccion en el Banco de la Nacion")</f>
        <v/>
      </c>
      <c r="H2972" t="str">
        <f>IF($C2972="","",Registro_Compras!$C$333)</f>
        <v/>
      </c>
    </row>
    <row r="2973" spans="1:8" x14ac:dyDescent="0.25">
      <c r="A2973" s="25" t="str">
        <f>IF($C2973="","",Registro_Compras!$Y$333)</f>
        <v/>
      </c>
      <c r="B2973" t="str">
        <f>IF($C2973="","","C"&amp;TEXT(INT((ROW()-5)/9)+1,"000")&amp;"-4")</f>
        <v/>
      </c>
      <c r="C2973" t="str">
        <f>IF(OR(Registro_Compras!$C$333="",Registro_Compras!$O$333="",Registro_Compras!$Y$333="",Registro_Compras!$F$333="NOTA DE CREDITO"),"","4212")</f>
        <v/>
      </c>
      <c r="D2973" t="str">
        <f>IF(OR(Registro_Compras!$C$333="",Registro_Compras!$O$333=""),"","Cuentas por Pagar Comerciales - Terceros")</f>
        <v/>
      </c>
      <c r="E2973" s="20" t="str">
        <f>IF($C2973="","",IF(Registro_Compras!$F$333="RHE",(ROUND(Registro_Compras!$L$333*Registro_Compras!$N$333,2)-ROUND(Registro_Compras!$V$333*Registro_Compras!$N$333,2)),ROUND(Registro_Compras!$O$333-Registro_Compras!$S$333,2)))</f>
        <v/>
      </c>
      <c r="F2973" s="20" t="str">
        <f>""</f>
        <v/>
      </c>
      <c r="G2973" t="str">
        <f>IF($C2973="","","Por la cancelacion del saldo al proveedor")</f>
        <v/>
      </c>
      <c r="H2973" t="str">
        <f>IF($C2973="","",Registro_Compras!$C$333)</f>
        <v/>
      </c>
    </row>
    <row r="2974" spans="1:8" x14ac:dyDescent="0.25">
      <c r="A2974" s="25" t="str">
        <f>IF($C2974="","",Registro_Compras!$Y$333)</f>
        <v/>
      </c>
      <c r="B2974" t="str">
        <f>IF($C2974="","","C"&amp;TEXT(INT((ROW()-5)/9)+1,"000")&amp;"-4")</f>
        <v/>
      </c>
      <c r="C2974" t="str">
        <f>IF(OR(Registro_Compras!$C$333="",Registro_Compras!$O$333="",Registro_Compras!$Y$333="",Registro_Compras!$F$333="NOTA DE CREDITO"),"","1041")</f>
        <v/>
      </c>
      <c r="D2974" t="str">
        <f>IF(OR(Registro_Compras!$C$333="",Registro_Compras!$O$333=""),"","Efectivo y Equivalentes - Cta. Cte. Operativa")</f>
        <v/>
      </c>
      <c r="E2974" s="20" t="str">
        <f>""</f>
        <v/>
      </c>
      <c r="F2974" s="20" t="str">
        <f>IF($C2974="","",IF(Registro_Compras!$F$333="RHE",(ROUND(Registro_Compras!$L$333*Registro_Compras!$N$333,2)-ROUND(Registro_Compras!$V$333*Registro_Compras!$N$333,2)),ROUND(Registro_Compras!$O$333-Registro_Compras!$S$333,2)))</f>
        <v/>
      </c>
      <c r="G2974" t="str">
        <f>IF($C2974="","","Por la cancelacion del saldo al proveedor")</f>
        <v/>
      </c>
      <c r="H2974" t="str">
        <f>IF($C2974="","",Registro_Compras!$C$333)</f>
        <v/>
      </c>
    </row>
    <row r="2975" spans="1:8" x14ac:dyDescent="0.25">
      <c r="A2975" s="25" t="str">
        <f>IF($C2975="","",Registro_Compras!$B$334)</f>
        <v/>
      </c>
      <c r="B2975" t="str">
        <f>IF($C2975="","","C"&amp;TEXT(INT((ROW()-5)/9)+1,"000")&amp;"-1")</f>
        <v/>
      </c>
      <c r="C2975" t="str">
        <f>IF(OR(Registro_Compras!$C$334="",Registro_Compras!$O$334=""),"",IF(Registro_Compras!$F$334="NOTA DE CREDITO","4212",IF(Registro_Compras!$M$334="","63",Registro_Compras!$M$334)))</f>
        <v/>
      </c>
      <c r="D2975" t="str">
        <f>IF(OR(Registro_Compras!$C$334="",Registro_Compras!$O$334=""),"",IF(Registro_Compras!$F$334="NOTA DE CREDITO","Cuentas por Pagar Comerciales - Terceros (Emitidas)",IF(Registro_Compras!$F$334="RHE","Honorarios Profesionales - Servicios de Terceros","Gastos de Servicios Prestados por Terceros")))</f>
        <v/>
      </c>
      <c r="E2975" s="20" t="str">
        <f>IF($C2975="","",IF(Registro_Compras!$F$334="NOTA DE CREDITO",ABS(Registro_Compras!$O$334),IF(Registro_Compras!$F$334="RHE",ROUND(Registro_Compras!$L$334*Registro_Compras!$N$334,2),ROUND(Registro_Compras!$J$334*Registro_Compras!$N$334,2))))</f>
        <v/>
      </c>
      <c r="F2975" s="20" t="str">
        <f>""</f>
        <v/>
      </c>
      <c r="G2975" t="str">
        <f>IF($C2975="","",IF(Registro_Compras!$F$334="NOTA DE CREDITO","Por la nota de credito "&amp;Registro_Compras!$C$334&amp;" de "&amp;Registro_Compras!$E$334&amp;" [PATRON POR CONFIRMAR CON CONTADOR]",IF(Registro_Compras!$F$334="RHE","Por el registro del recibo por honorarios "&amp;Registro_Compras!$C$334&amp;" de "&amp;Registro_Compras!$E$334&amp;" [PATRON POR CONFIRMAR CON CONTADOR]","Por el registro de la factura "&amp;Registro_Compras!$C$334&amp;" de "&amp;Registro_Compras!$E$334)))</f>
        <v/>
      </c>
      <c r="H2975" t="str">
        <f>IF($C2975="","",Registro_Compras!$C$334)</f>
        <v/>
      </c>
    </row>
    <row r="2976" spans="1:8" x14ac:dyDescent="0.25">
      <c r="A2976" s="25" t="str">
        <f>IF($C2976="","",Registro_Compras!$B$334)</f>
        <v/>
      </c>
      <c r="B2976" t="str">
        <f>IF($C2976="","","C"&amp;TEXT(INT((ROW()-5)/9)+1,"000")&amp;"-1")</f>
        <v/>
      </c>
      <c r="C2976" t="str">
        <f>IF(OR(Registro_Compras!$C$334="",Registro_Compras!$O$334=""),"",IF(Registro_Compras!$F$334="RHE",IF(Registro_Compras!$V$334=0,"","4017"),IF(Registro_Compras!$F$334="NOTA DE CREDITO",IF(Registro_Compras!$M$334="","63",Registro_Compras!$M$334),IF(Registro_Compras!$K$334=0,"","40111"))))</f>
        <v/>
      </c>
      <c r="D2976" t="str">
        <f>IF(OR(Registro_Compras!$C$334="",Registro_Compras!$O$334=""),"",IF(Registro_Compras!$F$334="RHE","Retencion Renta 4ta Categoria por Pagar",IF(Registro_Compras!$F$334="NOTA DE CREDITO","Gastos de Servicios Prestados por Terceros","IGV - Cuenta Propia (Credito Fiscal)")))</f>
        <v/>
      </c>
      <c r="E2976" s="20" t="str">
        <f>IF($C2976="","",IF(Registro_Compras!$F$334="FACTURA",ROUND(Registro_Compras!$K$334*Registro_Compras!$N$334,2),""))</f>
        <v/>
      </c>
      <c r="F2976" s="20" t="str">
        <f>IF($C2976="","",IF(Registro_Compras!$F$334="RHE",ROUND(Registro_Compras!$V$334*Registro_Compras!$N$334,2),IF(Registro_Compras!$F$334="NOTA DE CREDITO",ROUND(ABS(Registro_Compras!$J$334*Registro_Compras!$N$334),2),"")))</f>
        <v/>
      </c>
      <c r="G2976" t="str">
        <f>IF($C2976="","",IF(Registro_Compras!$F$334="NOTA DE CREDITO","Por la nota de credito "&amp;Registro_Compras!$C$334&amp;" de "&amp;Registro_Compras!$E$334&amp;" [PATRON POR CONFIRMAR CON CONTADOR]",IF(Registro_Compras!$F$334="RHE","Por el registro del recibo por honorarios "&amp;Registro_Compras!$C$334&amp;" de "&amp;Registro_Compras!$E$334&amp;" [PATRON POR CONFIRMAR CON CONTADOR]","Por el registro de la factura "&amp;Registro_Compras!$C$334&amp;" de "&amp;Registro_Compras!$E$334)))</f>
        <v/>
      </c>
      <c r="H2976" t="str">
        <f>IF($C2976="","",Registro_Compras!$C$334)</f>
        <v/>
      </c>
    </row>
    <row r="2977" spans="1:8" x14ac:dyDescent="0.25">
      <c r="A2977" s="25" t="str">
        <f>IF($C2977="","",Registro_Compras!$B$334)</f>
        <v/>
      </c>
      <c r="B2977" t="str">
        <f>IF($C2977="","","C"&amp;TEXT(INT((ROW()-5)/9)+1,"000")&amp;"-1")</f>
        <v/>
      </c>
      <c r="C2977" t="str">
        <f>IF(OR(Registro_Compras!$C$334="",Registro_Compras!$O$334=""),"",IF(Registro_Compras!$F$334="NOTA DE CREDITO",IF(Registro_Compras!$K$334=0,"","40111"),"4212"))</f>
        <v/>
      </c>
      <c r="D2977" t="str">
        <f>IF(OR(Registro_Compras!$C$334="",Registro_Compras!$O$334=""),"",IF(Registro_Compras!$F$334="NOTA DE CREDITO","IGV - Cuenta Propia (Credito Fiscal)","Cuentas por Pagar Comerciales - Terceros (Emitidas)"))</f>
        <v/>
      </c>
      <c r="E2977" s="20" t="str">
        <f>""</f>
        <v/>
      </c>
      <c r="F2977" s="20" t="str">
        <f>IF($C2977="","",IF(Registro_Compras!$F$334="NOTA DE CREDITO",ROUND(ABS(Registro_Compras!$K$334*Registro_Compras!$N$334),2),IF(Registro_Compras!$F$334="RHE",(ROUND(Registro_Compras!$L$334*Registro_Compras!$N$334,2)-ROUND(Registro_Compras!$V$334*Registro_Compras!$N$334,2)),Registro_Compras!$O$334)))</f>
        <v/>
      </c>
      <c r="G2977" t="str">
        <f>IF($C2977="","",IF(Registro_Compras!$F$334="NOTA DE CREDITO","Por la nota de credito "&amp;Registro_Compras!$C$334&amp;" de "&amp;Registro_Compras!$E$334&amp;" [PATRON POR CONFIRMAR CON CONTADOR]",IF(Registro_Compras!$F$334="RHE","Por el registro del recibo por honorarios "&amp;Registro_Compras!$C$334&amp;" de "&amp;Registro_Compras!$E$334&amp;" [PATRON POR CONFIRMAR CON CONTADOR]","Por el registro de la factura "&amp;Registro_Compras!$C$334&amp;" de "&amp;Registro_Compras!$E$334)))</f>
        <v/>
      </c>
      <c r="H2977" t="str">
        <f>IF($C2977="","",Registro_Compras!$C$334)</f>
        <v/>
      </c>
    </row>
    <row r="2978" spans="1:8" x14ac:dyDescent="0.25">
      <c r="A2978" s="25" t="str">
        <f>IF($C2978="","",Registro_Compras!$B$334)</f>
        <v/>
      </c>
      <c r="B2978" t="str">
        <f>IF($C2978="","","C"&amp;TEXT(INT((ROW()-5)/9)+1,"000")&amp;"-2")</f>
        <v/>
      </c>
      <c r="C2978" t="str">
        <f>IF(OR(Registro_Compras!$C$334="",Registro_Compras!$O$334=""),"",IF(Registro_Compras!$AB$334="ADMINISTRATIVO","94","95"))</f>
        <v/>
      </c>
      <c r="D2978" t="str">
        <f>IF(OR(Registro_Compras!$C$334="",Registro_Compras!$O$334=""),"",IF(Registro_Compras!$AB$334="ADMINISTRATIVO","Gastos Administrativos","Gastos de Venta y Operacion"))</f>
        <v/>
      </c>
      <c r="E2978" s="20" t="str">
        <f>IF($C2978="","",IF(Registro_Compras!$F$334="NOTA DE CREDITO","",IF(Registro_Compras!$F$334="RHE",ROUND(Registro_Compras!$L$334*Registro_Compras!$N$334,2),ROUND(Registro_Compras!$J$334*Registro_Compras!$N$334,2))))</f>
        <v/>
      </c>
      <c r="F2978" s="20" t="str">
        <f>IF($C2978="","",IF(Registro_Compras!$F$334="NOTA DE CREDITO",ROUND(ABS(Registro_Compras!$J$334*Registro_Compras!$N$334),2),""))</f>
        <v/>
      </c>
      <c r="G2978" t="str">
        <f>IF($C2978="","","Por el destino del gasto")</f>
        <v/>
      </c>
      <c r="H2978" t="str">
        <f>IF($C2978="","",Registro_Compras!$C$334)</f>
        <v/>
      </c>
    </row>
    <row r="2979" spans="1:8" x14ac:dyDescent="0.25">
      <c r="A2979" s="25" t="str">
        <f>IF($C2979="","",Registro_Compras!$B$334)</f>
        <v/>
      </c>
      <c r="B2979" t="str">
        <f>IF($C2979="","","C"&amp;TEXT(INT((ROW()-5)/9)+1,"000")&amp;"-2")</f>
        <v/>
      </c>
      <c r="C2979" t="str">
        <f>IF(OR(Registro_Compras!$C$334="",Registro_Compras!$O$334=""),"","79/791")</f>
        <v/>
      </c>
      <c r="D2979" t="str">
        <f>IF(OR(Registro_Compras!$C$334="",Registro_Compras!$O$334=""),"","Cargas Imputables a Cuentas de Costos y Gastos")</f>
        <v/>
      </c>
      <c r="E2979" s="20" t="str">
        <f>IF($C2979="","",IF(Registro_Compras!$F$334="NOTA DE CREDITO",ROUND(ABS(Registro_Compras!$J$334*Registro_Compras!$N$334),2),""))</f>
        <v/>
      </c>
      <c r="F2979" s="20" t="str">
        <f>IF($C2979="","",IF(Registro_Compras!$F$334="NOTA DE CREDITO","",IF(Registro_Compras!$F$334="RHE",ROUND(Registro_Compras!$L$334*Registro_Compras!$N$334,2),ROUND(Registro_Compras!$J$334*Registro_Compras!$N$334,2))))</f>
        <v/>
      </c>
      <c r="G2979" t="str">
        <f>IF($C2979="","","Por el destino del gasto")</f>
        <v/>
      </c>
      <c r="H2979" t="str">
        <f>IF($C2979="","",Registro_Compras!$C$334)</f>
        <v/>
      </c>
    </row>
    <row r="2980" spans="1:8" x14ac:dyDescent="0.25">
      <c r="A2980" s="25" t="str">
        <f>IF($C2980="","",Registro_Compras!$X$334)</f>
        <v/>
      </c>
      <c r="B2980" t="str">
        <f>IF($C2980="","","C"&amp;TEXT(INT((ROW()-5)/9)+1,"000")&amp;"-3")</f>
        <v/>
      </c>
      <c r="C2980" t="str">
        <f>IF(OR(Registro_Compras!$C$334="",Registro_Compras!$O$334="",Registro_Compras!$R$334&lt;&gt;"SI",Registro_Compras!$X$334=""),"","4212")</f>
        <v/>
      </c>
      <c r="D2980" t="str">
        <f>IF(OR(Registro_Compras!$C$334="",Registro_Compras!$O$334=""),"","Cuentas por Pagar Comerciales - Terceros")</f>
        <v/>
      </c>
      <c r="E2980" s="20" t="str">
        <f>IF($C2980="","",Registro_Compras!$S$334)</f>
        <v/>
      </c>
      <c r="F2980" s="20" t="str">
        <f>""</f>
        <v/>
      </c>
      <c r="G2980" t="str">
        <f>IF($C2980="","","Por el deposito de la detraccion en el Banco de la Nacion")</f>
        <v/>
      </c>
      <c r="H2980" t="str">
        <f>IF($C2980="","",Registro_Compras!$C$334)</f>
        <v/>
      </c>
    </row>
    <row r="2981" spans="1:8" x14ac:dyDescent="0.25">
      <c r="A2981" s="25" t="str">
        <f>IF($C2981="","",Registro_Compras!$X$334)</f>
        <v/>
      </c>
      <c r="B2981" t="str">
        <f>IF($C2981="","","C"&amp;TEXT(INT((ROW()-5)/9)+1,"000")&amp;"-3")</f>
        <v/>
      </c>
      <c r="C2981" t="str">
        <f>IF(OR(Registro_Compras!$C$334="",Registro_Compras!$O$334="",Registro_Compras!$R$334&lt;&gt;"SI",Registro_Compras!$X$334=""),"","1041")</f>
        <v/>
      </c>
      <c r="D2981" t="str">
        <f>IF(OR(Registro_Compras!$C$334="",Registro_Compras!$O$334=""),"","Efectivo y Equivalentes - Cta. Cte. Operativa")</f>
        <v/>
      </c>
      <c r="E2981" s="20" t="str">
        <f>""</f>
        <v/>
      </c>
      <c r="F2981" s="20" t="str">
        <f>IF($C2981="","",Registro_Compras!$S$334)</f>
        <v/>
      </c>
      <c r="G2981" t="str">
        <f>IF($C2981="","","Por el deposito de la detraccion en el Banco de la Nacion")</f>
        <v/>
      </c>
      <c r="H2981" t="str">
        <f>IF($C2981="","",Registro_Compras!$C$334)</f>
        <v/>
      </c>
    </row>
    <row r="2982" spans="1:8" x14ac:dyDescent="0.25">
      <c r="A2982" s="25" t="str">
        <f>IF($C2982="","",Registro_Compras!$Y$334)</f>
        <v/>
      </c>
      <c r="B2982" t="str">
        <f>IF($C2982="","","C"&amp;TEXT(INT((ROW()-5)/9)+1,"000")&amp;"-4")</f>
        <v/>
      </c>
      <c r="C2982" t="str">
        <f>IF(OR(Registro_Compras!$C$334="",Registro_Compras!$O$334="",Registro_Compras!$Y$334="",Registro_Compras!$F$334="NOTA DE CREDITO"),"","4212")</f>
        <v/>
      </c>
      <c r="D2982" t="str">
        <f>IF(OR(Registro_Compras!$C$334="",Registro_Compras!$O$334=""),"","Cuentas por Pagar Comerciales - Terceros")</f>
        <v/>
      </c>
      <c r="E2982" s="20" t="str">
        <f>IF($C2982="","",IF(Registro_Compras!$F$334="RHE",(ROUND(Registro_Compras!$L$334*Registro_Compras!$N$334,2)-ROUND(Registro_Compras!$V$334*Registro_Compras!$N$334,2)),ROUND(Registro_Compras!$O$334-Registro_Compras!$S$334,2)))</f>
        <v/>
      </c>
      <c r="F2982" s="20" t="str">
        <f>""</f>
        <v/>
      </c>
      <c r="G2982" t="str">
        <f>IF($C2982="","","Por la cancelacion del saldo al proveedor")</f>
        <v/>
      </c>
      <c r="H2982" t="str">
        <f>IF($C2982="","",Registro_Compras!$C$334)</f>
        <v/>
      </c>
    </row>
    <row r="2983" spans="1:8" x14ac:dyDescent="0.25">
      <c r="A2983" s="25" t="str">
        <f>IF($C2983="","",Registro_Compras!$Y$334)</f>
        <v/>
      </c>
      <c r="B2983" t="str">
        <f>IF($C2983="","","C"&amp;TEXT(INT((ROW()-5)/9)+1,"000")&amp;"-4")</f>
        <v/>
      </c>
      <c r="C2983" t="str">
        <f>IF(OR(Registro_Compras!$C$334="",Registro_Compras!$O$334="",Registro_Compras!$Y$334="",Registro_Compras!$F$334="NOTA DE CREDITO"),"","1041")</f>
        <v/>
      </c>
      <c r="D2983" t="str">
        <f>IF(OR(Registro_Compras!$C$334="",Registro_Compras!$O$334=""),"","Efectivo y Equivalentes - Cta. Cte. Operativa")</f>
        <v/>
      </c>
      <c r="E2983" s="20" t="str">
        <f>""</f>
        <v/>
      </c>
      <c r="F2983" s="20" t="str">
        <f>IF($C2983="","",IF(Registro_Compras!$F$334="RHE",(ROUND(Registro_Compras!$L$334*Registro_Compras!$N$334,2)-ROUND(Registro_Compras!$V$334*Registro_Compras!$N$334,2)),ROUND(Registro_Compras!$O$334-Registro_Compras!$S$334,2)))</f>
        <v/>
      </c>
      <c r="G2983" t="str">
        <f>IF($C2983="","","Por la cancelacion del saldo al proveedor")</f>
        <v/>
      </c>
      <c r="H2983" t="str">
        <f>IF($C2983="","",Registro_Compras!$C$334)</f>
        <v/>
      </c>
    </row>
    <row r="2984" spans="1:8" x14ac:dyDescent="0.25">
      <c r="A2984" s="25" t="str">
        <f>IF($C2984="","",Registro_Compras!$B$335)</f>
        <v/>
      </c>
      <c r="B2984" t="str">
        <f>IF($C2984="","","C"&amp;TEXT(INT((ROW()-5)/9)+1,"000")&amp;"-1")</f>
        <v/>
      </c>
      <c r="C2984" t="str">
        <f>IF(OR(Registro_Compras!$C$335="",Registro_Compras!$O$335=""),"",IF(Registro_Compras!$F$335="NOTA DE CREDITO","4212",IF(Registro_Compras!$M$335="","63",Registro_Compras!$M$335)))</f>
        <v/>
      </c>
      <c r="D2984" t="str">
        <f>IF(OR(Registro_Compras!$C$335="",Registro_Compras!$O$335=""),"",IF(Registro_Compras!$F$335="NOTA DE CREDITO","Cuentas por Pagar Comerciales - Terceros (Emitidas)",IF(Registro_Compras!$F$335="RHE","Honorarios Profesionales - Servicios de Terceros","Gastos de Servicios Prestados por Terceros")))</f>
        <v/>
      </c>
      <c r="E2984" s="20" t="str">
        <f>IF($C2984="","",IF(Registro_Compras!$F$335="NOTA DE CREDITO",ABS(Registro_Compras!$O$335),IF(Registro_Compras!$F$335="RHE",ROUND(Registro_Compras!$L$335*Registro_Compras!$N$335,2),ROUND(Registro_Compras!$J$335*Registro_Compras!$N$335,2))))</f>
        <v/>
      </c>
      <c r="F2984" s="20" t="str">
        <f>""</f>
        <v/>
      </c>
      <c r="G2984" t="str">
        <f>IF($C2984="","",IF(Registro_Compras!$F$335="NOTA DE CREDITO","Por la nota de credito "&amp;Registro_Compras!$C$335&amp;" de "&amp;Registro_Compras!$E$335&amp;" [PATRON POR CONFIRMAR CON CONTADOR]",IF(Registro_Compras!$F$335="RHE","Por el registro del recibo por honorarios "&amp;Registro_Compras!$C$335&amp;" de "&amp;Registro_Compras!$E$335&amp;" [PATRON POR CONFIRMAR CON CONTADOR]","Por el registro de la factura "&amp;Registro_Compras!$C$335&amp;" de "&amp;Registro_Compras!$E$335)))</f>
        <v/>
      </c>
      <c r="H2984" t="str">
        <f>IF($C2984="","",Registro_Compras!$C$335)</f>
        <v/>
      </c>
    </row>
    <row r="2985" spans="1:8" x14ac:dyDescent="0.25">
      <c r="A2985" s="25" t="str">
        <f>IF($C2985="","",Registro_Compras!$B$335)</f>
        <v/>
      </c>
      <c r="B2985" t="str">
        <f>IF($C2985="","","C"&amp;TEXT(INT((ROW()-5)/9)+1,"000")&amp;"-1")</f>
        <v/>
      </c>
      <c r="C2985" t="str">
        <f>IF(OR(Registro_Compras!$C$335="",Registro_Compras!$O$335=""),"",IF(Registro_Compras!$F$335="RHE",IF(Registro_Compras!$V$335=0,"","4017"),IF(Registro_Compras!$F$335="NOTA DE CREDITO",IF(Registro_Compras!$M$335="","63",Registro_Compras!$M$335),IF(Registro_Compras!$K$335=0,"","40111"))))</f>
        <v/>
      </c>
      <c r="D2985" t="str">
        <f>IF(OR(Registro_Compras!$C$335="",Registro_Compras!$O$335=""),"",IF(Registro_Compras!$F$335="RHE","Retencion Renta 4ta Categoria por Pagar",IF(Registro_Compras!$F$335="NOTA DE CREDITO","Gastos de Servicios Prestados por Terceros","IGV - Cuenta Propia (Credito Fiscal)")))</f>
        <v/>
      </c>
      <c r="E2985" s="20" t="str">
        <f>IF($C2985="","",IF(Registro_Compras!$F$335="FACTURA",ROUND(Registro_Compras!$K$335*Registro_Compras!$N$335,2),""))</f>
        <v/>
      </c>
      <c r="F2985" s="20" t="str">
        <f>IF($C2985="","",IF(Registro_Compras!$F$335="RHE",ROUND(Registro_Compras!$V$335*Registro_Compras!$N$335,2),IF(Registro_Compras!$F$335="NOTA DE CREDITO",ROUND(ABS(Registro_Compras!$J$335*Registro_Compras!$N$335),2),"")))</f>
        <v/>
      </c>
      <c r="G2985" t="str">
        <f>IF($C2985="","",IF(Registro_Compras!$F$335="NOTA DE CREDITO","Por la nota de credito "&amp;Registro_Compras!$C$335&amp;" de "&amp;Registro_Compras!$E$335&amp;" [PATRON POR CONFIRMAR CON CONTADOR]",IF(Registro_Compras!$F$335="RHE","Por el registro del recibo por honorarios "&amp;Registro_Compras!$C$335&amp;" de "&amp;Registro_Compras!$E$335&amp;" [PATRON POR CONFIRMAR CON CONTADOR]","Por el registro de la factura "&amp;Registro_Compras!$C$335&amp;" de "&amp;Registro_Compras!$E$335)))</f>
        <v/>
      </c>
      <c r="H2985" t="str">
        <f>IF($C2985="","",Registro_Compras!$C$335)</f>
        <v/>
      </c>
    </row>
    <row r="2986" spans="1:8" x14ac:dyDescent="0.25">
      <c r="A2986" s="25" t="str">
        <f>IF($C2986="","",Registro_Compras!$B$335)</f>
        <v/>
      </c>
      <c r="B2986" t="str">
        <f>IF($C2986="","","C"&amp;TEXT(INT((ROW()-5)/9)+1,"000")&amp;"-1")</f>
        <v/>
      </c>
      <c r="C2986" t="str">
        <f>IF(OR(Registro_Compras!$C$335="",Registro_Compras!$O$335=""),"",IF(Registro_Compras!$F$335="NOTA DE CREDITO",IF(Registro_Compras!$K$335=0,"","40111"),"4212"))</f>
        <v/>
      </c>
      <c r="D2986" t="str">
        <f>IF(OR(Registro_Compras!$C$335="",Registro_Compras!$O$335=""),"",IF(Registro_Compras!$F$335="NOTA DE CREDITO","IGV - Cuenta Propia (Credito Fiscal)","Cuentas por Pagar Comerciales - Terceros (Emitidas)"))</f>
        <v/>
      </c>
      <c r="E2986" s="20" t="str">
        <f>""</f>
        <v/>
      </c>
      <c r="F2986" s="20" t="str">
        <f>IF($C2986="","",IF(Registro_Compras!$F$335="NOTA DE CREDITO",ROUND(ABS(Registro_Compras!$K$335*Registro_Compras!$N$335),2),IF(Registro_Compras!$F$335="RHE",(ROUND(Registro_Compras!$L$335*Registro_Compras!$N$335,2)-ROUND(Registro_Compras!$V$335*Registro_Compras!$N$335,2)),Registro_Compras!$O$335)))</f>
        <v/>
      </c>
      <c r="G2986" t="str">
        <f>IF($C2986="","",IF(Registro_Compras!$F$335="NOTA DE CREDITO","Por la nota de credito "&amp;Registro_Compras!$C$335&amp;" de "&amp;Registro_Compras!$E$335&amp;" [PATRON POR CONFIRMAR CON CONTADOR]",IF(Registro_Compras!$F$335="RHE","Por el registro del recibo por honorarios "&amp;Registro_Compras!$C$335&amp;" de "&amp;Registro_Compras!$E$335&amp;" [PATRON POR CONFIRMAR CON CONTADOR]","Por el registro de la factura "&amp;Registro_Compras!$C$335&amp;" de "&amp;Registro_Compras!$E$335)))</f>
        <v/>
      </c>
      <c r="H2986" t="str">
        <f>IF($C2986="","",Registro_Compras!$C$335)</f>
        <v/>
      </c>
    </row>
    <row r="2987" spans="1:8" x14ac:dyDescent="0.25">
      <c r="A2987" s="25" t="str">
        <f>IF($C2987="","",Registro_Compras!$B$335)</f>
        <v/>
      </c>
      <c r="B2987" t="str">
        <f>IF($C2987="","","C"&amp;TEXT(INT((ROW()-5)/9)+1,"000")&amp;"-2")</f>
        <v/>
      </c>
      <c r="C2987" t="str">
        <f>IF(OR(Registro_Compras!$C$335="",Registro_Compras!$O$335=""),"",IF(Registro_Compras!$AB$335="ADMINISTRATIVO","94","95"))</f>
        <v/>
      </c>
      <c r="D2987" t="str">
        <f>IF(OR(Registro_Compras!$C$335="",Registro_Compras!$O$335=""),"",IF(Registro_Compras!$AB$335="ADMINISTRATIVO","Gastos Administrativos","Gastos de Venta y Operacion"))</f>
        <v/>
      </c>
      <c r="E2987" s="20" t="str">
        <f>IF($C2987="","",IF(Registro_Compras!$F$335="NOTA DE CREDITO","",IF(Registro_Compras!$F$335="RHE",ROUND(Registro_Compras!$L$335*Registro_Compras!$N$335,2),ROUND(Registro_Compras!$J$335*Registro_Compras!$N$335,2))))</f>
        <v/>
      </c>
      <c r="F2987" s="20" t="str">
        <f>IF($C2987="","",IF(Registro_Compras!$F$335="NOTA DE CREDITO",ROUND(ABS(Registro_Compras!$J$335*Registro_Compras!$N$335),2),""))</f>
        <v/>
      </c>
      <c r="G2987" t="str">
        <f>IF($C2987="","","Por el destino del gasto")</f>
        <v/>
      </c>
      <c r="H2987" t="str">
        <f>IF($C2987="","",Registro_Compras!$C$335)</f>
        <v/>
      </c>
    </row>
    <row r="2988" spans="1:8" x14ac:dyDescent="0.25">
      <c r="A2988" s="25" t="str">
        <f>IF($C2988="","",Registro_Compras!$B$335)</f>
        <v/>
      </c>
      <c r="B2988" t="str">
        <f>IF($C2988="","","C"&amp;TEXT(INT((ROW()-5)/9)+1,"000")&amp;"-2")</f>
        <v/>
      </c>
      <c r="C2988" t="str">
        <f>IF(OR(Registro_Compras!$C$335="",Registro_Compras!$O$335=""),"","79/791")</f>
        <v/>
      </c>
      <c r="D2988" t="str">
        <f>IF(OR(Registro_Compras!$C$335="",Registro_Compras!$O$335=""),"","Cargas Imputables a Cuentas de Costos y Gastos")</f>
        <v/>
      </c>
      <c r="E2988" s="20" t="str">
        <f>IF($C2988="","",IF(Registro_Compras!$F$335="NOTA DE CREDITO",ROUND(ABS(Registro_Compras!$J$335*Registro_Compras!$N$335),2),""))</f>
        <v/>
      </c>
      <c r="F2988" s="20" t="str">
        <f>IF($C2988="","",IF(Registro_Compras!$F$335="NOTA DE CREDITO","",IF(Registro_Compras!$F$335="RHE",ROUND(Registro_Compras!$L$335*Registro_Compras!$N$335,2),ROUND(Registro_Compras!$J$335*Registro_Compras!$N$335,2))))</f>
        <v/>
      </c>
      <c r="G2988" t="str">
        <f>IF($C2988="","","Por el destino del gasto")</f>
        <v/>
      </c>
      <c r="H2988" t="str">
        <f>IF($C2988="","",Registro_Compras!$C$335)</f>
        <v/>
      </c>
    </row>
    <row r="2989" spans="1:8" x14ac:dyDescent="0.25">
      <c r="A2989" s="25" t="str">
        <f>IF($C2989="","",Registro_Compras!$X$335)</f>
        <v/>
      </c>
      <c r="B2989" t="str">
        <f>IF($C2989="","","C"&amp;TEXT(INT((ROW()-5)/9)+1,"000")&amp;"-3")</f>
        <v/>
      </c>
      <c r="C2989" t="str">
        <f>IF(OR(Registro_Compras!$C$335="",Registro_Compras!$O$335="",Registro_Compras!$R$335&lt;&gt;"SI",Registro_Compras!$X$335=""),"","4212")</f>
        <v/>
      </c>
      <c r="D2989" t="str">
        <f>IF(OR(Registro_Compras!$C$335="",Registro_Compras!$O$335=""),"","Cuentas por Pagar Comerciales - Terceros")</f>
        <v/>
      </c>
      <c r="E2989" s="20" t="str">
        <f>IF($C2989="","",Registro_Compras!$S$335)</f>
        <v/>
      </c>
      <c r="F2989" s="20" t="str">
        <f>""</f>
        <v/>
      </c>
      <c r="G2989" t="str">
        <f>IF($C2989="","","Por el deposito de la detraccion en el Banco de la Nacion")</f>
        <v/>
      </c>
      <c r="H2989" t="str">
        <f>IF($C2989="","",Registro_Compras!$C$335)</f>
        <v/>
      </c>
    </row>
    <row r="2990" spans="1:8" x14ac:dyDescent="0.25">
      <c r="A2990" s="25" t="str">
        <f>IF($C2990="","",Registro_Compras!$X$335)</f>
        <v/>
      </c>
      <c r="B2990" t="str">
        <f>IF($C2990="","","C"&amp;TEXT(INT((ROW()-5)/9)+1,"000")&amp;"-3")</f>
        <v/>
      </c>
      <c r="C2990" t="str">
        <f>IF(OR(Registro_Compras!$C$335="",Registro_Compras!$O$335="",Registro_Compras!$R$335&lt;&gt;"SI",Registro_Compras!$X$335=""),"","1041")</f>
        <v/>
      </c>
      <c r="D2990" t="str">
        <f>IF(OR(Registro_Compras!$C$335="",Registro_Compras!$O$335=""),"","Efectivo y Equivalentes - Cta. Cte. Operativa")</f>
        <v/>
      </c>
      <c r="E2990" s="20" t="str">
        <f>""</f>
        <v/>
      </c>
      <c r="F2990" s="20" t="str">
        <f>IF($C2990="","",Registro_Compras!$S$335)</f>
        <v/>
      </c>
      <c r="G2990" t="str">
        <f>IF($C2990="","","Por el deposito de la detraccion en el Banco de la Nacion")</f>
        <v/>
      </c>
      <c r="H2990" t="str">
        <f>IF($C2990="","",Registro_Compras!$C$335)</f>
        <v/>
      </c>
    </row>
    <row r="2991" spans="1:8" x14ac:dyDescent="0.25">
      <c r="A2991" s="25" t="str">
        <f>IF($C2991="","",Registro_Compras!$Y$335)</f>
        <v/>
      </c>
      <c r="B2991" t="str">
        <f>IF($C2991="","","C"&amp;TEXT(INT((ROW()-5)/9)+1,"000")&amp;"-4")</f>
        <v/>
      </c>
      <c r="C2991" t="str">
        <f>IF(OR(Registro_Compras!$C$335="",Registro_Compras!$O$335="",Registro_Compras!$Y$335="",Registro_Compras!$F$335="NOTA DE CREDITO"),"","4212")</f>
        <v/>
      </c>
      <c r="D2991" t="str">
        <f>IF(OR(Registro_Compras!$C$335="",Registro_Compras!$O$335=""),"","Cuentas por Pagar Comerciales - Terceros")</f>
        <v/>
      </c>
      <c r="E2991" s="20" t="str">
        <f>IF($C2991="","",IF(Registro_Compras!$F$335="RHE",(ROUND(Registro_Compras!$L$335*Registro_Compras!$N$335,2)-ROUND(Registro_Compras!$V$335*Registro_Compras!$N$335,2)),ROUND(Registro_Compras!$O$335-Registro_Compras!$S$335,2)))</f>
        <v/>
      </c>
      <c r="F2991" s="20" t="str">
        <f>""</f>
        <v/>
      </c>
      <c r="G2991" t="str">
        <f>IF($C2991="","","Por la cancelacion del saldo al proveedor")</f>
        <v/>
      </c>
      <c r="H2991" t="str">
        <f>IF($C2991="","",Registro_Compras!$C$335)</f>
        <v/>
      </c>
    </row>
    <row r="2992" spans="1:8" x14ac:dyDescent="0.25">
      <c r="A2992" s="25" t="str">
        <f>IF($C2992="","",Registro_Compras!$Y$335)</f>
        <v/>
      </c>
      <c r="B2992" t="str">
        <f>IF($C2992="","","C"&amp;TEXT(INT((ROW()-5)/9)+1,"000")&amp;"-4")</f>
        <v/>
      </c>
      <c r="C2992" t="str">
        <f>IF(OR(Registro_Compras!$C$335="",Registro_Compras!$O$335="",Registro_Compras!$Y$335="",Registro_Compras!$F$335="NOTA DE CREDITO"),"","1041")</f>
        <v/>
      </c>
      <c r="D2992" t="str">
        <f>IF(OR(Registro_Compras!$C$335="",Registro_Compras!$O$335=""),"","Efectivo y Equivalentes - Cta. Cte. Operativa")</f>
        <v/>
      </c>
      <c r="E2992" s="20" t="str">
        <f>""</f>
        <v/>
      </c>
      <c r="F2992" s="20" t="str">
        <f>IF($C2992="","",IF(Registro_Compras!$F$335="RHE",(ROUND(Registro_Compras!$L$335*Registro_Compras!$N$335,2)-ROUND(Registro_Compras!$V$335*Registro_Compras!$N$335,2)),ROUND(Registro_Compras!$O$335-Registro_Compras!$S$335,2)))</f>
        <v/>
      </c>
      <c r="G2992" t="str">
        <f>IF($C2992="","","Por la cancelacion del saldo al proveedor")</f>
        <v/>
      </c>
      <c r="H2992" t="str">
        <f>IF($C2992="","",Registro_Compras!$C$335)</f>
        <v/>
      </c>
    </row>
    <row r="2993" spans="1:8" x14ac:dyDescent="0.25">
      <c r="A2993" s="25" t="str">
        <f>IF($C2993="","",Registro_Compras!$B$336)</f>
        <v/>
      </c>
      <c r="B2993" t="str">
        <f>IF($C2993="","","C"&amp;TEXT(INT((ROW()-5)/9)+1,"000")&amp;"-1")</f>
        <v/>
      </c>
      <c r="C2993" t="str">
        <f>IF(OR(Registro_Compras!$C$336="",Registro_Compras!$O$336=""),"",IF(Registro_Compras!$F$336="NOTA DE CREDITO","4212",IF(Registro_Compras!$M$336="","63",Registro_Compras!$M$336)))</f>
        <v/>
      </c>
      <c r="D2993" t="str">
        <f>IF(OR(Registro_Compras!$C$336="",Registro_Compras!$O$336=""),"",IF(Registro_Compras!$F$336="NOTA DE CREDITO","Cuentas por Pagar Comerciales - Terceros (Emitidas)",IF(Registro_Compras!$F$336="RHE","Honorarios Profesionales - Servicios de Terceros","Gastos de Servicios Prestados por Terceros")))</f>
        <v/>
      </c>
      <c r="E2993" s="20" t="str">
        <f>IF($C2993="","",IF(Registro_Compras!$F$336="NOTA DE CREDITO",ABS(Registro_Compras!$O$336),IF(Registro_Compras!$F$336="RHE",ROUND(Registro_Compras!$L$336*Registro_Compras!$N$336,2),ROUND(Registro_Compras!$J$336*Registro_Compras!$N$336,2))))</f>
        <v/>
      </c>
      <c r="F2993" s="20" t="str">
        <f>""</f>
        <v/>
      </c>
      <c r="G2993" t="str">
        <f>IF($C2993="","",IF(Registro_Compras!$F$336="NOTA DE CREDITO","Por la nota de credito "&amp;Registro_Compras!$C$336&amp;" de "&amp;Registro_Compras!$E$336&amp;" [PATRON POR CONFIRMAR CON CONTADOR]",IF(Registro_Compras!$F$336="RHE","Por el registro del recibo por honorarios "&amp;Registro_Compras!$C$336&amp;" de "&amp;Registro_Compras!$E$336&amp;" [PATRON POR CONFIRMAR CON CONTADOR]","Por el registro de la factura "&amp;Registro_Compras!$C$336&amp;" de "&amp;Registro_Compras!$E$336)))</f>
        <v/>
      </c>
      <c r="H2993" t="str">
        <f>IF($C2993="","",Registro_Compras!$C$336)</f>
        <v/>
      </c>
    </row>
    <row r="2994" spans="1:8" x14ac:dyDescent="0.25">
      <c r="A2994" s="25" t="str">
        <f>IF($C2994="","",Registro_Compras!$B$336)</f>
        <v/>
      </c>
      <c r="B2994" t="str">
        <f>IF($C2994="","","C"&amp;TEXT(INT((ROW()-5)/9)+1,"000")&amp;"-1")</f>
        <v/>
      </c>
      <c r="C2994" t="str">
        <f>IF(OR(Registro_Compras!$C$336="",Registro_Compras!$O$336=""),"",IF(Registro_Compras!$F$336="RHE",IF(Registro_Compras!$V$336=0,"","4017"),IF(Registro_Compras!$F$336="NOTA DE CREDITO",IF(Registro_Compras!$M$336="","63",Registro_Compras!$M$336),IF(Registro_Compras!$K$336=0,"","40111"))))</f>
        <v/>
      </c>
      <c r="D2994" t="str">
        <f>IF(OR(Registro_Compras!$C$336="",Registro_Compras!$O$336=""),"",IF(Registro_Compras!$F$336="RHE","Retencion Renta 4ta Categoria por Pagar",IF(Registro_Compras!$F$336="NOTA DE CREDITO","Gastos de Servicios Prestados por Terceros","IGV - Cuenta Propia (Credito Fiscal)")))</f>
        <v/>
      </c>
      <c r="E2994" s="20" t="str">
        <f>IF($C2994="","",IF(Registro_Compras!$F$336="FACTURA",ROUND(Registro_Compras!$K$336*Registro_Compras!$N$336,2),""))</f>
        <v/>
      </c>
      <c r="F2994" s="20" t="str">
        <f>IF($C2994="","",IF(Registro_Compras!$F$336="RHE",ROUND(Registro_Compras!$V$336*Registro_Compras!$N$336,2),IF(Registro_Compras!$F$336="NOTA DE CREDITO",ROUND(ABS(Registro_Compras!$J$336*Registro_Compras!$N$336),2),"")))</f>
        <v/>
      </c>
      <c r="G2994" t="str">
        <f>IF($C2994="","",IF(Registro_Compras!$F$336="NOTA DE CREDITO","Por la nota de credito "&amp;Registro_Compras!$C$336&amp;" de "&amp;Registro_Compras!$E$336&amp;" [PATRON POR CONFIRMAR CON CONTADOR]",IF(Registro_Compras!$F$336="RHE","Por el registro del recibo por honorarios "&amp;Registro_Compras!$C$336&amp;" de "&amp;Registro_Compras!$E$336&amp;" [PATRON POR CONFIRMAR CON CONTADOR]","Por el registro de la factura "&amp;Registro_Compras!$C$336&amp;" de "&amp;Registro_Compras!$E$336)))</f>
        <v/>
      </c>
      <c r="H2994" t="str">
        <f>IF($C2994="","",Registro_Compras!$C$336)</f>
        <v/>
      </c>
    </row>
    <row r="2995" spans="1:8" x14ac:dyDescent="0.25">
      <c r="A2995" s="25" t="str">
        <f>IF($C2995="","",Registro_Compras!$B$336)</f>
        <v/>
      </c>
      <c r="B2995" t="str">
        <f>IF($C2995="","","C"&amp;TEXT(INT((ROW()-5)/9)+1,"000")&amp;"-1")</f>
        <v/>
      </c>
      <c r="C2995" t="str">
        <f>IF(OR(Registro_Compras!$C$336="",Registro_Compras!$O$336=""),"",IF(Registro_Compras!$F$336="NOTA DE CREDITO",IF(Registro_Compras!$K$336=0,"","40111"),"4212"))</f>
        <v/>
      </c>
      <c r="D2995" t="str">
        <f>IF(OR(Registro_Compras!$C$336="",Registro_Compras!$O$336=""),"",IF(Registro_Compras!$F$336="NOTA DE CREDITO","IGV - Cuenta Propia (Credito Fiscal)","Cuentas por Pagar Comerciales - Terceros (Emitidas)"))</f>
        <v/>
      </c>
      <c r="E2995" s="20" t="str">
        <f>""</f>
        <v/>
      </c>
      <c r="F2995" s="20" t="str">
        <f>IF($C2995="","",IF(Registro_Compras!$F$336="NOTA DE CREDITO",ROUND(ABS(Registro_Compras!$K$336*Registro_Compras!$N$336),2),IF(Registro_Compras!$F$336="RHE",(ROUND(Registro_Compras!$L$336*Registro_Compras!$N$336,2)-ROUND(Registro_Compras!$V$336*Registro_Compras!$N$336,2)),Registro_Compras!$O$336)))</f>
        <v/>
      </c>
      <c r="G2995" t="str">
        <f>IF($C2995="","",IF(Registro_Compras!$F$336="NOTA DE CREDITO","Por la nota de credito "&amp;Registro_Compras!$C$336&amp;" de "&amp;Registro_Compras!$E$336&amp;" [PATRON POR CONFIRMAR CON CONTADOR]",IF(Registro_Compras!$F$336="RHE","Por el registro del recibo por honorarios "&amp;Registro_Compras!$C$336&amp;" de "&amp;Registro_Compras!$E$336&amp;" [PATRON POR CONFIRMAR CON CONTADOR]","Por el registro de la factura "&amp;Registro_Compras!$C$336&amp;" de "&amp;Registro_Compras!$E$336)))</f>
        <v/>
      </c>
      <c r="H2995" t="str">
        <f>IF($C2995="","",Registro_Compras!$C$336)</f>
        <v/>
      </c>
    </row>
    <row r="2996" spans="1:8" x14ac:dyDescent="0.25">
      <c r="A2996" s="25" t="str">
        <f>IF($C2996="","",Registro_Compras!$B$336)</f>
        <v/>
      </c>
      <c r="B2996" t="str">
        <f>IF($C2996="","","C"&amp;TEXT(INT((ROW()-5)/9)+1,"000")&amp;"-2")</f>
        <v/>
      </c>
      <c r="C2996" t="str">
        <f>IF(OR(Registro_Compras!$C$336="",Registro_Compras!$O$336=""),"",IF(Registro_Compras!$AB$336="ADMINISTRATIVO","94","95"))</f>
        <v/>
      </c>
      <c r="D2996" t="str">
        <f>IF(OR(Registro_Compras!$C$336="",Registro_Compras!$O$336=""),"",IF(Registro_Compras!$AB$336="ADMINISTRATIVO","Gastos Administrativos","Gastos de Venta y Operacion"))</f>
        <v/>
      </c>
      <c r="E2996" s="20" t="str">
        <f>IF($C2996="","",IF(Registro_Compras!$F$336="NOTA DE CREDITO","",IF(Registro_Compras!$F$336="RHE",ROUND(Registro_Compras!$L$336*Registro_Compras!$N$336,2),ROUND(Registro_Compras!$J$336*Registro_Compras!$N$336,2))))</f>
        <v/>
      </c>
      <c r="F2996" s="20" t="str">
        <f>IF($C2996="","",IF(Registro_Compras!$F$336="NOTA DE CREDITO",ROUND(ABS(Registro_Compras!$J$336*Registro_Compras!$N$336),2),""))</f>
        <v/>
      </c>
      <c r="G2996" t="str">
        <f>IF($C2996="","","Por el destino del gasto")</f>
        <v/>
      </c>
      <c r="H2996" t="str">
        <f>IF($C2996="","",Registro_Compras!$C$336)</f>
        <v/>
      </c>
    </row>
    <row r="2997" spans="1:8" x14ac:dyDescent="0.25">
      <c r="A2997" s="25" t="str">
        <f>IF($C2997="","",Registro_Compras!$B$336)</f>
        <v/>
      </c>
      <c r="B2997" t="str">
        <f>IF($C2997="","","C"&amp;TEXT(INT((ROW()-5)/9)+1,"000")&amp;"-2")</f>
        <v/>
      </c>
      <c r="C2997" t="str">
        <f>IF(OR(Registro_Compras!$C$336="",Registro_Compras!$O$336=""),"","79/791")</f>
        <v/>
      </c>
      <c r="D2997" t="str">
        <f>IF(OR(Registro_Compras!$C$336="",Registro_Compras!$O$336=""),"","Cargas Imputables a Cuentas de Costos y Gastos")</f>
        <v/>
      </c>
      <c r="E2997" s="20" t="str">
        <f>IF($C2997="","",IF(Registro_Compras!$F$336="NOTA DE CREDITO",ROUND(ABS(Registro_Compras!$J$336*Registro_Compras!$N$336),2),""))</f>
        <v/>
      </c>
      <c r="F2997" s="20" t="str">
        <f>IF($C2997="","",IF(Registro_Compras!$F$336="NOTA DE CREDITO","",IF(Registro_Compras!$F$336="RHE",ROUND(Registro_Compras!$L$336*Registro_Compras!$N$336,2),ROUND(Registro_Compras!$J$336*Registro_Compras!$N$336,2))))</f>
        <v/>
      </c>
      <c r="G2997" t="str">
        <f>IF($C2997="","","Por el destino del gasto")</f>
        <v/>
      </c>
      <c r="H2997" t="str">
        <f>IF($C2997="","",Registro_Compras!$C$336)</f>
        <v/>
      </c>
    </row>
    <row r="2998" spans="1:8" x14ac:dyDescent="0.25">
      <c r="A2998" s="25" t="str">
        <f>IF($C2998="","",Registro_Compras!$X$336)</f>
        <v/>
      </c>
      <c r="B2998" t="str">
        <f>IF($C2998="","","C"&amp;TEXT(INT((ROW()-5)/9)+1,"000")&amp;"-3")</f>
        <v/>
      </c>
      <c r="C2998" t="str">
        <f>IF(OR(Registro_Compras!$C$336="",Registro_Compras!$O$336="",Registro_Compras!$R$336&lt;&gt;"SI",Registro_Compras!$X$336=""),"","4212")</f>
        <v/>
      </c>
      <c r="D2998" t="str">
        <f>IF(OR(Registro_Compras!$C$336="",Registro_Compras!$O$336=""),"","Cuentas por Pagar Comerciales - Terceros")</f>
        <v/>
      </c>
      <c r="E2998" s="20" t="str">
        <f>IF($C2998="","",Registro_Compras!$S$336)</f>
        <v/>
      </c>
      <c r="F2998" s="20" t="str">
        <f>""</f>
        <v/>
      </c>
      <c r="G2998" t="str">
        <f>IF($C2998="","","Por el deposito de la detraccion en el Banco de la Nacion")</f>
        <v/>
      </c>
      <c r="H2998" t="str">
        <f>IF($C2998="","",Registro_Compras!$C$336)</f>
        <v/>
      </c>
    </row>
    <row r="2999" spans="1:8" x14ac:dyDescent="0.25">
      <c r="A2999" s="25" t="str">
        <f>IF($C2999="","",Registro_Compras!$X$336)</f>
        <v/>
      </c>
      <c r="B2999" t="str">
        <f>IF($C2999="","","C"&amp;TEXT(INT((ROW()-5)/9)+1,"000")&amp;"-3")</f>
        <v/>
      </c>
      <c r="C2999" t="str">
        <f>IF(OR(Registro_Compras!$C$336="",Registro_Compras!$O$336="",Registro_Compras!$R$336&lt;&gt;"SI",Registro_Compras!$X$336=""),"","1041")</f>
        <v/>
      </c>
      <c r="D2999" t="str">
        <f>IF(OR(Registro_Compras!$C$336="",Registro_Compras!$O$336=""),"","Efectivo y Equivalentes - Cta. Cte. Operativa")</f>
        <v/>
      </c>
      <c r="E2999" s="20" t="str">
        <f>""</f>
        <v/>
      </c>
      <c r="F2999" s="20" t="str">
        <f>IF($C2999="","",Registro_Compras!$S$336)</f>
        <v/>
      </c>
      <c r="G2999" t="str">
        <f>IF($C2999="","","Por el deposito de la detraccion en el Banco de la Nacion")</f>
        <v/>
      </c>
      <c r="H2999" t="str">
        <f>IF($C2999="","",Registro_Compras!$C$336)</f>
        <v/>
      </c>
    </row>
    <row r="3000" spans="1:8" x14ac:dyDescent="0.25">
      <c r="A3000" s="25" t="str">
        <f>IF($C3000="","",Registro_Compras!$Y$336)</f>
        <v/>
      </c>
      <c r="B3000" t="str">
        <f>IF($C3000="","","C"&amp;TEXT(INT((ROW()-5)/9)+1,"000")&amp;"-4")</f>
        <v/>
      </c>
      <c r="C3000" t="str">
        <f>IF(OR(Registro_Compras!$C$336="",Registro_Compras!$O$336="",Registro_Compras!$Y$336="",Registro_Compras!$F$336="NOTA DE CREDITO"),"","4212")</f>
        <v/>
      </c>
      <c r="D3000" t="str">
        <f>IF(OR(Registro_Compras!$C$336="",Registro_Compras!$O$336=""),"","Cuentas por Pagar Comerciales - Terceros")</f>
        <v/>
      </c>
      <c r="E3000" s="20" t="str">
        <f>IF($C3000="","",IF(Registro_Compras!$F$336="RHE",(ROUND(Registro_Compras!$L$336*Registro_Compras!$N$336,2)-ROUND(Registro_Compras!$V$336*Registro_Compras!$N$336,2)),ROUND(Registro_Compras!$O$336-Registro_Compras!$S$336,2)))</f>
        <v/>
      </c>
      <c r="F3000" s="20" t="str">
        <f>""</f>
        <v/>
      </c>
      <c r="G3000" t="str">
        <f>IF($C3000="","","Por la cancelacion del saldo al proveedor")</f>
        <v/>
      </c>
      <c r="H3000" t="str">
        <f>IF($C3000="","",Registro_Compras!$C$336)</f>
        <v/>
      </c>
    </row>
    <row r="3001" spans="1:8" x14ac:dyDescent="0.25">
      <c r="A3001" s="25" t="str">
        <f>IF($C3001="","",Registro_Compras!$Y$336)</f>
        <v/>
      </c>
      <c r="B3001" t="str">
        <f>IF($C3001="","","C"&amp;TEXT(INT((ROW()-5)/9)+1,"000")&amp;"-4")</f>
        <v/>
      </c>
      <c r="C3001" t="str">
        <f>IF(OR(Registro_Compras!$C$336="",Registro_Compras!$O$336="",Registro_Compras!$Y$336="",Registro_Compras!$F$336="NOTA DE CREDITO"),"","1041")</f>
        <v/>
      </c>
      <c r="D3001" t="str">
        <f>IF(OR(Registro_Compras!$C$336="",Registro_Compras!$O$336=""),"","Efectivo y Equivalentes - Cta. Cte. Operativa")</f>
        <v/>
      </c>
      <c r="E3001" s="20" t="str">
        <f>""</f>
        <v/>
      </c>
      <c r="F3001" s="20" t="str">
        <f>IF($C3001="","",IF(Registro_Compras!$F$336="RHE",(ROUND(Registro_Compras!$L$336*Registro_Compras!$N$336,2)-ROUND(Registro_Compras!$V$336*Registro_Compras!$N$336,2)),ROUND(Registro_Compras!$O$336-Registro_Compras!$S$336,2)))</f>
        <v/>
      </c>
      <c r="G3001" t="str">
        <f>IF($C3001="","","Por la cancelacion del saldo al proveedor")</f>
        <v/>
      </c>
      <c r="H3001" t="str">
        <f>IF($C3001="","",Registro_Compras!$C$336)</f>
        <v/>
      </c>
    </row>
    <row r="3002" spans="1:8" x14ac:dyDescent="0.25">
      <c r="A3002" s="25" t="str">
        <f>IF($C3002="","",Registro_Compras!$B$337)</f>
        <v/>
      </c>
      <c r="B3002" t="str">
        <f>IF($C3002="","","C"&amp;TEXT(INT((ROW()-5)/9)+1,"000")&amp;"-1")</f>
        <v/>
      </c>
      <c r="C3002" t="str">
        <f>IF(OR(Registro_Compras!$C$337="",Registro_Compras!$O$337=""),"",IF(Registro_Compras!$F$337="NOTA DE CREDITO","4212",IF(Registro_Compras!$M$337="","63",Registro_Compras!$M$337)))</f>
        <v/>
      </c>
      <c r="D3002" t="str">
        <f>IF(OR(Registro_Compras!$C$337="",Registro_Compras!$O$337=""),"",IF(Registro_Compras!$F$337="NOTA DE CREDITO","Cuentas por Pagar Comerciales - Terceros (Emitidas)",IF(Registro_Compras!$F$337="RHE","Honorarios Profesionales - Servicios de Terceros","Gastos de Servicios Prestados por Terceros")))</f>
        <v/>
      </c>
      <c r="E3002" s="20" t="str">
        <f>IF($C3002="","",IF(Registro_Compras!$F$337="NOTA DE CREDITO",ABS(Registro_Compras!$O$337),IF(Registro_Compras!$F$337="RHE",ROUND(Registro_Compras!$L$337*Registro_Compras!$N$337,2),ROUND(Registro_Compras!$J$337*Registro_Compras!$N$337,2))))</f>
        <v/>
      </c>
      <c r="F3002" s="20" t="str">
        <f>""</f>
        <v/>
      </c>
      <c r="G3002" t="str">
        <f>IF($C3002="","",IF(Registro_Compras!$F$337="NOTA DE CREDITO","Por la nota de credito "&amp;Registro_Compras!$C$337&amp;" de "&amp;Registro_Compras!$E$337&amp;" [PATRON POR CONFIRMAR CON CONTADOR]",IF(Registro_Compras!$F$337="RHE","Por el registro del recibo por honorarios "&amp;Registro_Compras!$C$337&amp;" de "&amp;Registro_Compras!$E$337&amp;" [PATRON POR CONFIRMAR CON CONTADOR]","Por el registro de la factura "&amp;Registro_Compras!$C$337&amp;" de "&amp;Registro_Compras!$E$337)))</f>
        <v/>
      </c>
      <c r="H3002" t="str">
        <f>IF($C3002="","",Registro_Compras!$C$337)</f>
        <v/>
      </c>
    </row>
    <row r="3003" spans="1:8" x14ac:dyDescent="0.25">
      <c r="A3003" s="25" t="str">
        <f>IF($C3003="","",Registro_Compras!$B$337)</f>
        <v/>
      </c>
      <c r="B3003" t="str">
        <f>IF($C3003="","","C"&amp;TEXT(INT((ROW()-5)/9)+1,"000")&amp;"-1")</f>
        <v/>
      </c>
      <c r="C3003" t="str">
        <f>IF(OR(Registro_Compras!$C$337="",Registro_Compras!$O$337=""),"",IF(Registro_Compras!$F$337="RHE",IF(Registro_Compras!$V$337=0,"","4017"),IF(Registro_Compras!$F$337="NOTA DE CREDITO",IF(Registro_Compras!$M$337="","63",Registro_Compras!$M$337),IF(Registro_Compras!$K$337=0,"","40111"))))</f>
        <v/>
      </c>
      <c r="D3003" t="str">
        <f>IF(OR(Registro_Compras!$C$337="",Registro_Compras!$O$337=""),"",IF(Registro_Compras!$F$337="RHE","Retencion Renta 4ta Categoria por Pagar",IF(Registro_Compras!$F$337="NOTA DE CREDITO","Gastos de Servicios Prestados por Terceros","IGV - Cuenta Propia (Credito Fiscal)")))</f>
        <v/>
      </c>
      <c r="E3003" s="20" t="str">
        <f>IF($C3003="","",IF(Registro_Compras!$F$337="FACTURA",ROUND(Registro_Compras!$K$337*Registro_Compras!$N$337,2),""))</f>
        <v/>
      </c>
      <c r="F3003" s="20" t="str">
        <f>IF($C3003="","",IF(Registro_Compras!$F$337="RHE",ROUND(Registro_Compras!$V$337*Registro_Compras!$N$337,2),IF(Registro_Compras!$F$337="NOTA DE CREDITO",ROUND(ABS(Registro_Compras!$J$337*Registro_Compras!$N$337),2),"")))</f>
        <v/>
      </c>
      <c r="G3003" t="str">
        <f>IF($C3003="","",IF(Registro_Compras!$F$337="NOTA DE CREDITO","Por la nota de credito "&amp;Registro_Compras!$C$337&amp;" de "&amp;Registro_Compras!$E$337&amp;" [PATRON POR CONFIRMAR CON CONTADOR]",IF(Registro_Compras!$F$337="RHE","Por el registro del recibo por honorarios "&amp;Registro_Compras!$C$337&amp;" de "&amp;Registro_Compras!$E$337&amp;" [PATRON POR CONFIRMAR CON CONTADOR]","Por el registro de la factura "&amp;Registro_Compras!$C$337&amp;" de "&amp;Registro_Compras!$E$337)))</f>
        <v/>
      </c>
      <c r="H3003" t="str">
        <f>IF($C3003="","",Registro_Compras!$C$337)</f>
        <v/>
      </c>
    </row>
    <row r="3004" spans="1:8" x14ac:dyDescent="0.25">
      <c r="A3004" s="25" t="str">
        <f>IF($C3004="","",Registro_Compras!$B$337)</f>
        <v/>
      </c>
      <c r="B3004" t="str">
        <f>IF($C3004="","","C"&amp;TEXT(INT((ROW()-5)/9)+1,"000")&amp;"-1")</f>
        <v/>
      </c>
      <c r="C3004" t="str">
        <f>IF(OR(Registro_Compras!$C$337="",Registro_Compras!$O$337=""),"",IF(Registro_Compras!$F$337="NOTA DE CREDITO",IF(Registro_Compras!$K$337=0,"","40111"),"4212"))</f>
        <v/>
      </c>
      <c r="D3004" t="str">
        <f>IF(OR(Registro_Compras!$C$337="",Registro_Compras!$O$337=""),"",IF(Registro_Compras!$F$337="NOTA DE CREDITO","IGV - Cuenta Propia (Credito Fiscal)","Cuentas por Pagar Comerciales - Terceros (Emitidas)"))</f>
        <v/>
      </c>
      <c r="E3004" s="20" t="str">
        <f>""</f>
        <v/>
      </c>
      <c r="F3004" s="20" t="str">
        <f>IF($C3004="","",IF(Registro_Compras!$F$337="NOTA DE CREDITO",ROUND(ABS(Registro_Compras!$K$337*Registro_Compras!$N$337),2),IF(Registro_Compras!$F$337="RHE",(ROUND(Registro_Compras!$L$337*Registro_Compras!$N$337,2)-ROUND(Registro_Compras!$V$337*Registro_Compras!$N$337,2)),Registro_Compras!$O$337)))</f>
        <v/>
      </c>
      <c r="G3004" t="str">
        <f>IF($C3004="","",IF(Registro_Compras!$F$337="NOTA DE CREDITO","Por la nota de credito "&amp;Registro_Compras!$C$337&amp;" de "&amp;Registro_Compras!$E$337&amp;" [PATRON POR CONFIRMAR CON CONTADOR]",IF(Registro_Compras!$F$337="RHE","Por el registro del recibo por honorarios "&amp;Registro_Compras!$C$337&amp;" de "&amp;Registro_Compras!$E$337&amp;" [PATRON POR CONFIRMAR CON CONTADOR]","Por el registro de la factura "&amp;Registro_Compras!$C$337&amp;" de "&amp;Registro_Compras!$E$337)))</f>
        <v/>
      </c>
      <c r="H3004" t="str">
        <f>IF($C3004="","",Registro_Compras!$C$337)</f>
        <v/>
      </c>
    </row>
    <row r="3005" spans="1:8" x14ac:dyDescent="0.25">
      <c r="A3005" s="25" t="str">
        <f>IF($C3005="","",Registro_Compras!$B$337)</f>
        <v/>
      </c>
      <c r="B3005" t="str">
        <f>IF($C3005="","","C"&amp;TEXT(INT((ROW()-5)/9)+1,"000")&amp;"-2")</f>
        <v/>
      </c>
      <c r="C3005" t="str">
        <f>IF(OR(Registro_Compras!$C$337="",Registro_Compras!$O$337=""),"",IF(Registro_Compras!$AB$337="ADMINISTRATIVO","94","95"))</f>
        <v/>
      </c>
      <c r="D3005" t="str">
        <f>IF(OR(Registro_Compras!$C$337="",Registro_Compras!$O$337=""),"",IF(Registro_Compras!$AB$337="ADMINISTRATIVO","Gastos Administrativos","Gastos de Venta y Operacion"))</f>
        <v/>
      </c>
      <c r="E3005" s="20" t="str">
        <f>IF($C3005="","",IF(Registro_Compras!$F$337="NOTA DE CREDITO","",IF(Registro_Compras!$F$337="RHE",ROUND(Registro_Compras!$L$337*Registro_Compras!$N$337,2),ROUND(Registro_Compras!$J$337*Registro_Compras!$N$337,2))))</f>
        <v/>
      </c>
      <c r="F3005" s="20" t="str">
        <f>IF($C3005="","",IF(Registro_Compras!$F$337="NOTA DE CREDITO",ROUND(ABS(Registro_Compras!$J$337*Registro_Compras!$N$337),2),""))</f>
        <v/>
      </c>
      <c r="G3005" t="str">
        <f>IF($C3005="","","Por el destino del gasto")</f>
        <v/>
      </c>
      <c r="H3005" t="str">
        <f>IF($C3005="","",Registro_Compras!$C$337)</f>
        <v/>
      </c>
    </row>
    <row r="3006" spans="1:8" x14ac:dyDescent="0.25">
      <c r="A3006" s="25" t="str">
        <f>IF($C3006="","",Registro_Compras!$B$337)</f>
        <v/>
      </c>
      <c r="B3006" t="str">
        <f>IF($C3006="","","C"&amp;TEXT(INT((ROW()-5)/9)+1,"000")&amp;"-2")</f>
        <v/>
      </c>
      <c r="C3006" t="str">
        <f>IF(OR(Registro_Compras!$C$337="",Registro_Compras!$O$337=""),"","79/791")</f>
        <v/>
      </c>
      <c r="D3006" t="str">
        <f>IF(OR(Registro_Compras!$C$337="",Registro_Compras!$O$337=""),"","Cargas Imputables a Cuentas de Costos y Gastos")</f>
        <v/>
      </c>
      <c r="E3006" s="20" t="str">
        <f>IF($C3006="","",IF(Registro_Compras!$F$337="NOTA DE CREDITO",ROUND(ABS(Registro_Compras!$J$337*Registro_Compras!$N$337),2),""))</f>
        <v/>
      </c>
      <c r="F3006" s="20" t="str">
        <f>IF($C3006="","",IF(Registro_Compras!$F$337="NOTA DE CREDITO","",IF(Registro_Compras!$F$337="RHE",ROUND(Registro_Compras!$L$337*Registro_Compras!$N$337,2),ROUND(Registro_Compras!$J$337*Registro_Compras!$N$337,2))))</f>
        <v/>
      </c>
      <c r="G3006" t="str">
        <f>IF($C3006="","","Por el destino del gasto")</f>
        <v/>
      </c>
      <c r="H3006" t="str">
        <f>IF($C3006="","",Registro_Compras!$C$337)</f>
        <v/>
      </c>
    </row>
    <row r="3007" spans="1:8" x14ac:dyDescent="0.25">
      <c r="A3007" s="25" t="str">
        <f>IF($C3007="","",Registro_Compras!$X$337)</f>
        <v/>
      </c>
      <c r="B3007" t="str">
        <f>IF($C3007="","","C"&amp;TEXT(INT((ROW()-5)/9)+1,"000")&amp;"-3")</f>
        <v/>
      </c>
      <c r="C3007" t="str">
        <f>IF(OR(Registro_Compras!$C$337="",Registro_Compras!$O$337="",Registro_Compras!$R$337&lt;&gt;"SI",Registro_Compras!$X$337=""),"","4212")</f>
        <v/>
      </c>
      <c r="D3007" t="str">
        <f>IF(OR(Registro_Compras!$C$337="",Registro_Compras!$O$337=""),"","Cuentas por Pagar Comerciales - Terceros")</f>
        <v/>
      </c>
      <c r="E3007" s="20" t="str">
        <f>IF($C3007="","",Registro_Compras!$S$337)</f>
        <v/>
      </c>
      <c r="F3007" s="20" t="str">
        <f>""</f>
        <v/>
      </c>
      <c r="G3007" t="str">
        <f>IF($C3007="","","Por el deposito de la detraccion en el Banco de la Nacion")</f>
        <v/>
      </c>
      <c r="H3007" t="str">
        <f>IF($C3007="","",Registro_Compras!$C$337)</f>
        <v/>
      </c>
    </row>
    <row r="3008" spans="1:8" x14ac:dyDescent="0.25">
      <c r="A3008" s="25" t="str">
        <f>IF($C3008="","",Registro_Compras!$X$337)</f>
        <v/>
      </c>
      <c r="B3008" t="str">
        <f>IF($C3008="","","C"&amp;TEXT(INT((ROW()-5)/9)+1,"000")&amp;"-3")</f>
        <v/>
      </c>
      <c r="C3008" t="str">
        <f>IF(OR(Registro_Compras!$C$337="",Registro_Compras!$O$337="",Registro_Compras!$R$337&lt;&gt;"SI",Registro_Compras!$X$337=""),"","1041")</f>
        <v/>
      </c>
      <c r="D3008" t="str">
        <f>IF(OR(Registro_Compras!$C$337="",Registro_Compras!$O$337=""),"","Efectivo y Equivalentes - Cta. Cte. Operativa")</f>
        <v/>
      </c>
      <c r="E3008" s="20" t="str">
        <f>""</f>
        <v/>
      </c>
      <c r="F3008" s="20" t="str">
        <f>IF($C3008="","",Registro_Compras!$S$337)</f>
        <v/>
      </c>
      <c r="G3008" t="str">
        <f>IF($C3008="","","Por el deposito de la detraccion en el Banco de la Nacion")</f>
        <v/>
      </c>
      <c r="H3008" t="str">
        <f>IF($C3008="","",Registro_Compras!$C$337)</f>
        <v/>
      </c>
    </row>
    <row r="3009" spans="1:8" x14ac:dyDescent="0.25">
      <c r="A3009" s="25" t="str">
        <f>IF($C3009="","",Registro_Compras!$Y$337)</f>
        <v/>
      </c>
      <c r="B3009" t="str">
        <f>IF($C3009="","","C"&amp;TEXT(INT((ROW()-5)/9)+1,"000")&amp;"-4")</f>
        <v/>
      </c>
      <c r="C3009" t="str">
        <f>IF(OR(Registro_Compras!$C$337="",Registro_Compras!$O$337="",Registro_Compras!$Y$337="",Registro_Compras!$F$337="NOTA DE CREDITO"),"","4212")</f>
        <v/>
      </c>
      <c r="D3009" t="str">
        <f>IF(OR(Registro_Compras!$C$337="",Registro_Compras!$O$337=""),"","Cuentas por Pagar Comerciales - Terceros")</f>
        <v/>
      </c>
      <c r="E3009" s="20" t="str">
        <f>IF($C3009="","",IF(Registro_Compras!$F$337="RHE",(ROUND(Registro_Compras!$L$337*Registro_Compras!$N$337,2)-ROUND(Registro_Compras!$V$337*Registro_Compras!$N$337,2)),ROUND(Registro_Compras!$O$337-Registro_Compras!$S$337,2)))</f>
        <v/>
      </c>
      <c r="F3009" s="20" t="str">
        <f>""</f>
        <v/>
      </c>
      <c r="G3009" t="str">
        <f>IF($C3009="","","Por la cancelacion del saldo al proveedor")</f>
        <v/>
      </c>
      <c r="H3009" t="str">
        <f>IF($C3009="","",Registro_Compras!$C$337)</f>
        <v/>
      </c>
    </row>
    <row r="3010" spans="1:8" x14ac:dyDescent="0.25">
      <c r="A3010" s="25" t="str">
        <f>IF($C3010="","",Registro_Compras!$Y$337)</f>
        <v/>
      </c>
      <c r="B3010" t="str">
        <f>IF($C3010="","","C"&amp;TEXT(INT((ROW()-5)/9)+1,"000")&amp;"-4")</f>
        <v/>
      </c>
      <c r="C3010" t="str">
        <f>IF(OR(Registro_Compras!$C$337="",Registro_Compras!$O$337="",Registro_Compras!$Y$337="",Registro_Compras!$F$337="NOTA DE CREDITO"),"","1041")</f>
        <v/>
      </c>
      <c r="D3010" t="str">
        <f>IF(OR(Registro_Compras!$C$337="",Registro_Compras!$O$337=""),"","Efectivo y Equivalentes - Cta. Cte. Operativa")</f>
        <v/>
      </c>
      <c r="E3010" s="20" t="str">
        <f>""</f>
        <v/>
      </c>
      <c r="F3010" s="20" t="str">
        <f>IF($C3010="","",IF(Registro_Compras!$F$337="RHE",(ROUND(Registro_Compras!$L$337*Registro_Compras!$N$337,2)-ROUND(Registro_Compras!$V$337*Registro_Compras!$N$337,2)),ROUND(Registro_Compras!$O$337-Registro_Compras!$S$337,2)))</f>
        <v/>
      </c>
      <c r="G3010" t="str">
        <f>IF($C3010="","","Por la cancelacion del saldo al proveedor")</f>
        <v/>
      </c>
      <c r="H3010" t="str">
        <f>IF($C3010="","",Registro_Compras!$C$337)</f>
        <v/>
      </c>
    </row>
    <row r="3011" spans="1:8" x14ac:dyDescent="0.25">
      <c r="A3011" s="25" t="str">
        <f>IF($C3011="","",Registro_Compras!$B$338)</f>
        <v/>
      </c>
      <c r="B3011" t="str">
        <f>IF($C3011="","","C"&amp;TEXT(INT((ROW()-5)/9)+1,"000")&amp;"-1")</f>
        <v/>
      </c>
      <c r="C3011" t="str">
        <f>IF(OR(Registro_Compras!$C$338="",Registro_Compras!$O$338=""),"",IF(Registro_Compras!$F$338="NOTA DE CREDITO","4212",IF(Registro_Compras!$M$338="","63",Registro_Compras!$M$338)))</f>
        <v/>
      </c>
      <c r="D3011" t="str">
        <f>IF(OR(Registro_Compras!$C$338="",Registro_Compras!$O$338=""),"",IF(Registro_Compras!$F$338="NOTA DE CREDITO","Cuentas por Pagar Comerciales - Terceros (Emitidas)",IF(Registro_Compras!$F$338="RHE","Honorarios Profesionales - Servicios de Terceros","Gastos de Servicios Prestados por Terceros")))</f>
        <v/>
      </c>
      <c r="E3011" s="20" t="str">
        <f>IF($C3011="","",IF(Registro_Compras!$F$338="NOTA DE CREDITO",ABS(Registro_Compras!$O$338),IF(Registro_Compras!$F$338="RHE",ROUND(Registro_Compras!$L$338*Registro_Compras!$N$338,2),ROUND(Registro_Compras!$J$338*Registro_Compras!$N$338,2))))</f>
        <v/>
      </c>
      <c r="F3011" s="20" t="str">
        <f>""</f>
        <v/>
      </c>
      <c r="G3011" t="str">
        <f>IF($C3011="","",IF(Registro_Compras!$F$338="NOTA DE CREDITO","Por la nota de credito "&amp;Registro_Compras!$C$338&amp;" de "&amp;Registro_Compras!$E$338&amp;" [PATRON POR CONFIRMAR CON CONTADOR]",IF(Registro_Compras!$F$338="RHE","Por el registro del recibo por honorarios "&amp;Registro_Compras!$C$338&amp;" de "&amp;Registro_Compras!$E$338&amp;" [PATRON POR CONFIRMAR CON CONTADOR]","Por el registro de la factura "&amp;Registro_Compras!$C$338&amp;" de "&amp;Registro_Compras!$E$338)))</f>
        <v/>
      </c>
      <c r="H3011" t="str">
        <f>IF($C3011="","",Registro_Compras!$C$338)</f>
        <v/>
      </c>
    </row>
    <row r="3012" spans="1:8" x14ac:dyDescent="0.25">
      <c r="A3012" s="25" t="str">
        <f>IF($C3012="","",Registro_Compras!$B$338)</f>
        <v/>
      </c>
      <c r="B3012" t="str">
        <f>IF($C3012="","","C"&amp;TEXT(INT((ROW()-5)/9)+1,"000")&amp;"-1")</f>
        <v/>
      </c>
      <c r="C3012" t="str">
        <f>IF(OR(Registro_Compras!$C$338="",Registro_Compras!$O$338=""),"",IF(Registro_Compras!$F$338="RHE",IF(Registro_Compras!$V$338=0,"","4017"),IF(Registro_Compras!$F$338="NOTA DE CREDITO",IF(Registro_Compras!$M$338="","63",Registro_Compras!$M$338),IF(Registro_Compras!$K$338=0,"","40111"))))</f>
        <v/>
      </c>
      <c r="D3012" t="str">
        <f>IF(OR(Registro_Compras!$C$338="",Registro_Compras!$O$338=""),"",IF(Registro_Compras!$F$338="RHE","Retencion Renta 4ta Categoria por Pagar",IF(Registro_Compras!$F$338="NOTA DE CREDITO","Gastos de Servicios Prestados por Terceros","IGV - Cuenta Propia (Credito Fiscal)")))</f>
        <v/>
      </c>
      <c r="E3012" s="20" t="str">
        <f>IF($C3012="","",IF(Registro_Compras!$F$338="FACTURA",ROUND(Registro_Compras!$K$338*Registro_Compras!$N$338,2),""))</f>
        <v/>
      </c>
      <c r="F3012" s="20" t="str">
        <f>IF($C3012="","",IF(Registro_Compras!$F$338="RHE",ROUND(Registro_Compras!$V$338*Registro_Compras!$N$338,2),IF(Registro_Compras!$F$338="NOTA DE CREDITO",ROUND(ABS(Registro_Compras!$J$338*Registro_Compras!$N$338),2),"")))</f>
        <v/>
      </c>
      <c r="G3012" t="str">
        <f>IF($C3012="","",IF(Registro_Compras!$F$338="NOTA DE CREDITO","Por la nota de credito "&amp;Registro_Compras!$C$338&amp;" de "&amp;Registro_Compras!$E$338&amp;" [PATRON POR CONFIRMAR CON CONTADOR]",IF(Registro_Compras!$F$338="RHE","Por el registro del recibo por honorarios "&amp;Registro_Compras!$C$338&amp;" de "&amp;Registro_Compras!$E$338&amp;" [PATRON POR CONFIRMAR CON CONTADOR]","Por el registro de la factura "&amp;Registro_Compras!$C$338&amp;" de "&amp;Registro_Compras!$E$338)))</f>
        <v/>
      </c>
      <c r="H3012" t="str">
        <f>IF($C3012="","",Registro_Compras!$C$338)</f>
        <v/>
      </c>
    </row>
    <row r="3013" spans="1:8" x14ac:dyDescent="0.25">
      <c r="A3013" s="25" t="str">
        <f>IF($C3013="","",Registro_Compras!$B$338)</f>
        <v/>
      </c>
      <c r="B3013" t="str">
        <f>IF($C3013="","","C"&amp;TEXT(INT((ROW()-5)/9)+1,"000")&amp;"-1")</f>
        <v/>
      </c>
      <c r="C3013" t="str">
        <f>IF(OR(Registro_Compras!$C$338="",Registro_Compras!$O$338=""),"",IF(Registro_Compras!$F$338="NOTA DE CREDITO",IF(Registro_Compras!$K$338=0,"","40111"),"4212"))</f>
        <v/>
      </c>
      <c r="D3013" t="str">
        <f>IF(OR(Registro_Compras!$C$338="",Registro_Compras!$O$338=""),"",IF(Registro_Compras!$F$338="NOTA DE CREDITO","IGV - Cuenta Propia (Credito Fiscal)","Cuentas por Pagar Comerciales - Terceros (Emitidas)"))</f>
        <v/>
      </c>
      <c r="E3013" s="20" t="str">
        <f>""</f>
        <v/>
      </c>
      <c r="F3013" s="20" t="str">
        <f>IF($C3013="","",IF(Registro_Compras!$F$338="NOTA DE CREDITO",ROUND(ABS(Registro_Compras!$K$338*Registro_Compras!$N$338),2),IF(Registro_Compras!$F$338="RHE",(ROUND(Registro_Compras!$L$338*Registro_Compras!$N$338,2)-ROUND(Registro_Compras!$V$338*Registro_Compras!$N$338,2)),Registro_Compras!$O$338)))</f>
        <v/>
      </c>
      <c r="G3013" t="str">
        <f>IF($C3013="","",IF(Registro_Compras!$F$338="NOTA DE CREDITO","Por la nota de credito "&amp;Registro_Compras!$C$338&amp;" de "&amp;Registro_Compras!$E$338&amp;" [PATRON POR CONFIRMAR CON CONTADOR]",IF(Registro_Compras!$F$338="RHE","Por el registro del recibo por honorarios "&amp;Registro_Compras!$C$338&amp;" de "&amp;Registro_Compras!$E$338&amp;" [PATRON POR CONFIRMAR CON CONTADOR]","Por el registro de la factura "&amp;Registro_Compras!$C$338&amp;" de "&amp;Registro_Compras!$E$338)))</f>
        <v/>
      </c>
      <c r="H3013" t="str">
        <f>IF($C3013="","",Registro_Compras!$C$338)</f>
        <v/>
      </c>
    </row>
    <row r="3014" spans="1:8" x14ac:dyDescent="0.25">
      <c r="A3014" s="25" t="str">
        <f>IF($C3014="","",Registro_Compras!$B$338)</f>
        <v/>
      </c>
      <c r="B3014" t="str">
        <f>IF($C3014="","","C"&amp;TEXT(INT((ROW()-5)/9)+1,"000")&amp;"-2")</f>
        <v/>
      </c>
      <c r="C3014" t="str">
        <f>IF(OR(Registro_Compras!$C$338="",Registro_Compras!$O$338=""),"",IF(Registro_Compras!$AB$338="ADMINISTRATIVO","94","95"))</f>
        <v/>
      </c>
      <c r="D3014" t="str">
        <f>IF(OR(Registro_Compras!$C$338="",Registro_Compras!$O$338=""),"",IF(Registro_Compras!$AB$338="ADMINISTRATIVO","Gastos Administrativos","Gastos de Venta y Operacion"))</f>
        <v/>
      </c>
      <c r="E3014" s="20" t="str">
        <f>IF($C3014="","",IF(Registro_Compras!$F$338="NOTA DE CREDITO","",IF(Registro_Compras!$F$338="RHE",ROUND(Registro_Compras!$L$338*Registro_Compras!$N$338,2),ROUND(Registro_Compras!$J$338*Registro_Compras!$N$338,2))))</f>
        <v/>
      </c>
      <c r="F3014" s="20" t="str">
        <f>IF($C3014="","",IF(Registro_Compras!$F$338="NOTA DE CREDITO",ROUND(ABS(Registro_Compras!$J$338*Registro_Compras!$N$338),2),""))</f>
        <v/>
      </c>
      <c r="G3014" t="str">
        <f>IF($C3014="","","Por el destino del gasto")</f>
        <v/>
      </c>
      <c r="H3014" t="str">
        <f>IF($C3014="","",Registro_Compras!$C$338)</f>
        <v/>
      </c>
    </row>
    <row r="3015" spans="1:8" x14ac:dyDescent="0.25">
      <c r="A3015" s="25" t="str">
        <f>IF($C3015="","",Registro_Compras!$B$338)</f>
        <v/>
      </c>
      <c r="B3015" t="str">
        <f>IF($C3015="","","C"&amp;TEXT(INT((ROW()-5)/9)+1,"000")&amp;"-2")</f>
        <v/>
      </c>
      <c r="C3015" t="str">
        <f>IF(OR(Registro_Compras!$C$338="",Registro_Compras!$O$338=""),"","79/791")</f>
        <v/>
      </c>
      <c r="D3015" t="str">
        <f>IF(OR(Registro_Compras!$C$338="",Registro_Compras!$O$338=""),"","Cargas Imputables a Cuentas de Costos y Gastos")</f>
        <v/>
      </c>
      <c r="E3015" s="20" t="str">
        <f>IF($C3015="","",IF(Registro_Compras!$F$338="NOTA DE CREDITO",ROUND(ABS(Registro_Compras!$J$338*Registro_Compras!$N$338),2),""))</f>
        <v/>
      </c>
      <c r="F3015" s="20" t="str">
        <f>IF($C3015="","",IF(Registro_Compras!$F$338="NOTA DE CREDITO","",IF(Registro_Compras!$F$338="RHE",ROUND(Registro_Compras!$L$338*Registro_Compras!$N$338,2),ROUND(Registro_Compras!$J$338*Registro_Compras!$N$338,2))))</f>
        <v/>
      </c>
      <c r="G3015" t="str">
        <f>IF($C3015="","","Por el destino del gasto")</f>
        <v/>
      </c>
      <c r="H3015" t="str">
        <f>IF($C3015="","",Registro_Compras!$C$338)</f>
        <v/>
      </c>
    </row>
    <row r="3016" spans="1:8" x14ac:dyDescent="0.25">
      <c r="A3016" s="25" t="str">
        <f>IF($C3016="","",Registro_Compras!$X$338)</f>
        <v/>
      </c>
      <c r="B3016" t="str">
        <f>IF($C3016="","","C"&amp;TEXT(INT((ROW()-5)/9)+1,"000")&amp;"-3")</f>
        <v/>
      </c>
      <c r="C3016" t="str">
        <f>IF(OR(Registro_Compras!$C$338="",Registro_Compras!$O$338="",Registro_Compras!$R$338&lt;&gt;"SI",Registro_Compras!$X$338=""),"","4212")</f>
        <v/>
      </c>
      <c r="D3016" t="str">
        <f>IF(OR(Registro_Compras!$C$338="",Registro_Compras!$O$338=""),"","Cuentas por Pagar Comerciales - Terceros")</f>
        <v/>
      </c>
      <c r="E3016" s="20" t="str">
        <f>IF($C3016="","",Registro_Compras!$S$338)</f>
        <v/>
      </c>
      <c r="F3016" s="20" t="str">
        <f>""</f>
        <v/>
      </c>
      <c r="G3016" t="str">
        <f>IF($C3016="","","Por el deposito de la detraccion en el Banco de la Nacion")</f>
        <v/>
      </c>
      <c r="H3016" t="str">
        <f>IF($C3016="","",Registro_Compras!$C$338)</f>
        <v/>
      </c>
    </row>
    <row r="3017" spans="1:8" x14ac:dyDescent="0.25">
      <c r="A3017" s="25" t="str">
        <f>IF($C3017="","",Registro_Compras!$X$338)</f>
        <v/>
      </c>
      <c r="B3017" t="str">
        <f>IF($C3017="","","C"&amp;TEXT(INT((ROW()-5)/9)+1,"000")&amp;"-3")</f>
        <v/>
      </c>
      <c r="C3017" t="str">
        <f>IF(OR(Registro_Compras!$C$338="",Registro_Compras!$O$338="",Registro_Compras!$R$338&lt;&gt;"SI",Registro_Compras!$X$338=""),"","1041")</f>
        <v/>
      </c>
      <c r="D3017" t="str">
        <f>IF(OR(Registro_Compras!$C$338="",Registro_Compras!$O$338=""),"","Efectivo y Equivalentes - Cta. Cte. Operativa")</f>
        <v/>
      </c>
      <c r="E3017" s="20" t="str">
        <f>""</f>
        <v/>
      </c>
      <c r="F3017" s="20" t="str">
        <f>IF($C3017="","",Registro_Compras!$S$338)</f>
        <v/>
      </c>
      <c r="G3017" t="str">
        <f>IF($C3017="","","Por el deposito de la detraccion en el Banco de la Nacion")</f>
        <v/>
      </c>
      <c r="H3017" t="str">
        <f>IF($C3017="","",Registro_Compras!$C$338)</f>
        <v/>
      </c>
    </row>
    <row r="3018" spans="1:8" x14ac:dyDescent="0.25">
      <c r="A3018" s="25" t="str">
        <f>IF($C3018="","",Registro_Compras!$Y$338)</f>
        <v/>
      </c>
      <c r="B3018" t="str">
        <f>IF($C3018="","","C"&amp;TEXT(INT((ROW()-5)/9)+1,"000")&amp;"-4")</f>
        <v/>
      </c>
      <c r="C3018" t="str">
        <f>IF(OR(Registro_Compras!$C$338="",Registro_Compras!$O$338="",Registro_Compras!$Y$338="",Registro_Compras!$F$338="NOTA DE CREDITO"),"","4212")</f>
        <v/>
      </c>
      <c r="D3018" t="str">
        <f>IF(OR(Registro_Compras!$C$338="",Registro_Compras!$O$338=""),"","Cuentas por Pagar Comerciales - Terceros")</f>
        <v/>
      </c>
      <c r="E3018" s="20" t="str">
        <f>IF($C3018="","",IF(Registro_Compras!$F$338="RHE",(ROUND(Registro_Compras!$L$338*Registro_Compras!$N$338,2)-ROUND(Registro_Compras!$V$338*Registro_Compras!$N$338,2)),ROUND(Registro_Compras!$O$338-Registro_Compras!$S$338,2)))</f>
        <v/>
      </c>
      <c r="F3018" s="20" t="str">
        <f>""</f>
        <v/>
      </c>
      <c r="G3018" t="str">
        <f>IF($C3018="","","Por la cancelacion del saldo al proveedor")</f>
        <v/>
      </c>
      <c r="H3018" t="str">
        <f>IF($C3018="","",Registro_Compras!$C$338)</f>
        <v/>
      </c>
    </row>
    <row r="3019" spans="1:8" x14ac:dyDescent="0.25">
      <c r="A3019" s="25" t="str">
        <f>IF($C3019="","",Registro_Compras!$Y$338)</f>
        <v/>
      </c>
      <c r="B3019" t="str">
        <f>IF($C3019="","","C"&amp;TEXT(INT((ROW()-5)/9)+1,"000")&amp;"-4")</f>
        <v/>
      </c>
      <c r="C3019" t="str">
        <f>IF(OR(Registro_Compras!$C$338="",Registro_Compras!$O$338="",Registro_Compras!$Y$338="",Registro_Compras!$F$338="NOTA DE CREDITO"),"","1041")</f>
        <v/>
      </c>
      <c r="D3019" t="str">
        <f>IF(OR(Registro_Compras!$C$338="",Registro_Compras!$O$338=""),"","Efectivo y Equivalentes - Cta. Cte. Operativa")</f>
        <v/>
      </c>
      <c r="E3019" s="20" t="str">
        <f>""</f>
        <v/>
      </c>
      <c r="F3019" s="20" t="str">
        <f>IF($C3019="","",IF(Registro_Compras!$F$338="RHE",(ROUND(Registro_Compras!$L$338*Registro_Compras!$N$338,2)-ROUND(Registro_Compras!$V$338*Registro_Compras!$N$338,2)),ROUND(Registro_Compras!$O$338-Registro_Compras!$S$338,2)))</f>
        <v/>
      </c>
      <c r="G3019" t="str">
        <f>IF($C3019="","","Por la cancelacion del saldo al proveedor")</f>
        <v/>
      </c>
      <c r="H3019" t="str">
        <f>IF($C3019="","",Registro_Compras!$C$338)</f>
        <v/>
      </c>
    </row>
    <row r="3020" spans="1:8" x14ac:dyDescent="0.25">
      <c r="A3020" s="25" t="str">
        <f>IF($C3020="","",Registro_Compras!$B$339)</f>
        <v/>
      </c>
      <c r="B3020" t="str">
        <f>IF($C3020="","","C"&amp;TEXT(INT((ROW()-5)/9)+1,"000")&amp;"-1")</f>
        <v/>
      </c>
      <c r="C3020" t="str">
        <f>IF(OR(Registro_Compras!$C$339="",Registro_Compras!$O$339=""),"",IF(Registro_Compras!$F$339="NOTA DE CREDITO","4212",IF(Registro_Compras!$M$339="","63",Registro_Compras!$M$339)))</f>
        <v/>
      </c>
      <c r="D3020" t="str">
        <f>IF(OR(Registro_Compras!$C$339="",Registro_Compras!$O$339=""),"",IF(Registro_Compras!$F$339="NOTA DE CREDITO","Cuentas por Pagar Comerciales - Terceros (Emitidas)",IF(Registro_Compras!$F$339="RHE","Honorarios Profesionales - Servicios de Terceros","Gastos de Servicios Prestados por Terceros")))</f>
        <v/>
      </c>
      <c r="E3020" s="20" t="str">
        <f>IF($C3020="","",IF(Registro_Compras!$F$339="NOTA DE CREDITO",ABS(Registro_Compras!$O$339),IF(Registro_Compras!$F$339="RHE",ROUND(Registro_Compras!$L$339*Registro_Compras!$N$339,2),ROUND(Registro_Compras!$J$339*Registro_Compras!$N$339,2))))</f>
        <v/>
      </c>
      <c r="F3020" s="20" t="str">
        <f>""</f>
        <v/>
      </c>
      <c r="G3020" t="str">
        <f>IF($C3020="","",IF(Registro_Compras!$F$339="NOTA DE CREDITO","Por la nota de credito "&amp;Registro_Compras!$C$339&amp;" de "&amp;Registro_Compras!$E$339&amp;" [PATRON POR CONFIRMAR CON CONTADOR]",IF(Registro_Compras!$F$339="RHE","Por el registro del recibo por honorarios "&amp;Registro_Compras!$C$339&amp;" de "&amp;Registro_Compras!$E$339&amp;" [PATRON POR CONFIRMAR CON CONTADOR]","Por el registro de la factura "&amp;Registro_Compras!$C$339&amp;" de "&amp;Registro_Compras!$E$339)))</f>
        <v/>
      </c>
      <c r="H3020" t="str">
        <f>IF($C3020="","",Registro_Compras!$C$339)</f>
        <v/>
      </c>
    </row>
    <row r="3021" spans="1:8" x14ac:dyDescent="0.25">
      <c r="A3021" s="25" t="str">
        <f>IF($C3021="","",Registro_Compras!$B$339)</f>
        <v/>
      </c>
      <c r="B3021" t="str">
        <f>IF($C3021="","","C"&amp;TEXT(INT((ROW()-5)/9)+1,"000")&amp;"-1")</f>
        <v/>
      </c>
      <c r="C3021" t="str">
        <f>IF(OR(Registro_Compras!$C$339="",Registro_Compras!$O$339=""),"",IF(Registro_Compras!$F$339="RHE",IF(Registro_Compras!$V$339=0,"","4017"),IF(Registro_Compras!$F$339="NOTA DE CREDITO",IF(Registro_Compras!$M$339="","63",Registro_Compras!$M$339),IF(Registro_Compras!$K$339=0,"","40111"))))</f>
        <v/>
      </c>
      <c r="D3021" t="str">
        <f>IF(OR(Registro_Compras!$C$339="",Registro_Compras!$O$339=""),"",IF(Registro_Compras!$F$339="RHE","Retencion Renta 4ta Categoria por Pagar",IF(Registro_Compras!$F$339="NOTA DE CREDITO","Gastos de Servicios Prestados por Terceros","IGV - Cuenta Propia (Credito Fiscal)")))</f>
        <v/>
      </c>
      <c r="E3021" s="20" t="str">
        <f>IF($C3021="","",IF(Registro_Compras!$F$339="FACTURA",ROUND(Registro_Compras!$K$339*Registro_Compras!$N$339,2),""))</f>
        <v/>
      </c>
      <c r="F3021" s="20" t="str">
        <f>IF($C3021="","",IF(Registro_Compras!$F$339="RHE",ROUND(Registro_Compras!$V$339*Registro_Compras!$N$339,2),IF(Registro_Compras!$F$339="NOTA DE CREDITO",ROUND(ABS(Registro_Compras!$J$339*Registro_Compras!$N$339),2),"")))</f>
        <v/>
      </c>
      <c r="G3021" t="str">
        <f>IF($C3021="","",IF(Registro_Compras!$F$339="NOTA DE CREDITO","Por la nota de credito "&amp;Registro_Compras!$C$339&amp;" de "&amp;Registro_Compras!$E$339&amp;" [PATRON POR CONFIRMAR CON CONTADOR]",IF(Registro_Compras!$F$339="RHE","Por el registro del recibo por honorarios "&amp;Registro_Compras!$C$339&amp;" de "&amp;Registro_Compras!$E$339&amp;" [PATRON POR CONFIRMAR CON CONTADOR]","Por el registro de la factura "&amp;Registro_Compras!$C$339&amp;" de "&amp;Registro_Compras!$E$339)))</f>
        <v/>
      </c>
      <c r="H3021" t="str">
        <f>IF($C3021="","",Registro_Compras!$C$339)</f>
        <v/>
      </c>
    </row>
    <row r="3022" spans="1:8" x14ac:dyDescent="0.25">
      <c r="A3022" s="25" t="str">
        <f>IF($C3022="","",Registro_Compras!$B$339)</f>
        <v/>
      </c>
      <c r="B3022" t="str">
        <f>IF($C3022="","","C"&amp;TEXT(INT((ROW()-5)/9)+1,"000")&amp;"-1")</f>
        <v/>
      </c>
      <c r="C3022" t="str">
        <f>IF(OR(Registro_Compras!$C$339="",Registro_Compras!$O$339=""),"",IF(Registro_Compras!$F$339="NOTA DE CREDITO",IF(Registro_Compras!$K$339=0,"","40111"),"4212"))</f>
        <v/>
      </c>
      <c r="D3022" t="str">
        <f>IF(OR(Registro_Compras!$C$339="",Registro_Compras!$O$339=""),"",IF(Registro_Compras!$F$339="NOTA DE CREDITO","IGV - Cuenta Propia (Credito Fiscal)","Cuentas por Pagar Comerciales - Terceros (Emitidas)"))</f>
        <v/>
      </c>
      <c r="E3022" s="20" t="str">
        <f>""</f>
        <v/>
      </c>
      <c r="F3022" s="20" t="str">
        <f>IF($C3022="","",IF(Registro_Compras!$F$339="NOTA DE CREDITO",ROUND(ABS(Registro_Compras!$K$339*Registro_Compras!$N$339),2),IF(Registro_Compras!$F$339="RHE",(ROUND(Registro_Compras!$L$339*Registro_Compras!$N$339,2)-ROUND(Registro_Compras!$V$339*Registro_Compras!$N$339,2)),Registro_Compras!$O$339)))</f>
        <v/>
      </c>
      <c r="G3022" t="str">
        <f>IF($C3022="","",IF(Registro_Compras!$F$339="NOTA DE CREDITO","Por la nota de credito "&amp;Registro_Compras!$C$339&amp;" de "&amp;Registro_Compras!$E$339&amp;" [PATRON POR CONFIRMAR CON CONTADOR]",IF(Registro_Compras!$F$339="RHE","Por el registro del recibo por honorarios "&amp;Registro_Compras!$C$339&amp;" de "&amp;Registro_Compras!$E$339&amp;" [PATRON POR CONFIRMAR CON CONTADOR]","Por el registro de la factura "&amp;Registro_Compras!$C$339&amp;" de "&amp;Registro_Compras!$E$339)))</f>
        <v/>
      </c>
      <c r="H3022" t="str">
        <f>IF($C3022="","",Registro_Compras!$C$339)</f>
        <v/>
      </c>
    </row>
    <row r="3023" spans="1:8" x14ac:dyDescent="0.25">
      <c r="A3023" s="25" t="str">
        <f>IF($C3023="","",Registro_Compras!$B$339)</f>
        <v/>
      </c>
      <c r="B3023" t="str">
        <f>IF($C3023="","","C"&amp;TEXT(INT((ROW()-5)/9)+1,"000")&amp;"-2")</f>
        <v/>
      </c>
      <c r="C3023" t="str">
        <f>IF(OR(Registro_Compras!$C$339="",Registro_Compras!$O$339=""),"",IF(Registro_Compras!$AB$339="ADMINISTRATIVO","94","95"))</f>
        <v/>
      </c>
      <c r="D3023" t="str">
        <f>IF(OR(Registro_Compras!$C$339="",Registro_Compras!$O$339=""),"",IF(Registro_Compras!$AB$339="ADMINISTRATIVO","Gastos Administrativos","Gastos de Venta y Operacion"))</f>
        <v/>
      </c>
      <c r="E3023" s="20" t="str">
        <f>IF($C3023="","",IF(Registro_Compras!$F$339="NOTA DE CREDITO","",IF(Registro_Compras!$F$339="RHE",ROUND(Registro_Compras!$L$339*Registro_Compras!$N$339,2),ROUND(Registro_Compras!$J$339*Registro_Compras!$N$339,2))))</f>
        <v/>
      </c>
      <c r="F3023" s="20" t="str">
        <f>IF($C3023="","",IF(Registro_Compras!$F$339="NOTA DE CREDITO",ROUND(ABS(Registro_Compras!$J$339*Registro_Compras!$N$339),2),""))</f>
        <v/>
      </c>
      <c r="G3023" t="str">
        <f>IF($C3023="","","Por el destino del gasto")</f>
        <v/>
      </c>
      <c r="H3023" t="str">
        <f>IF($C3023="","",Registro_Compras!$C$339)</f>
        <v/>
      </c>
    </row>
    <row r="3024" spans="1:8" x14ac:dyDescent="0.25">
      <c r="A3024" s="25" t="str">
        <f>IF($C3024="","",Registro_Compras!$B$339)</f>
        <v/>
      </c>
      <c r="B3024" t="str">
        <f>IF($C3024="","","C"&amp;TEXT(INT((ROW()-5)/9)+1,"000")&amp;"-2")</f>
        <v/>
      </c>
      <c r="C3024" t="str">
        <f>IF(OR(Registro_Compras!$C$339="",Registro_Compras!$O$339=""),"","79/791")</f>
        <v/>
      </c>
      <c r="D3024" t="str">
        <f>IF(OR(Registro_Compras!$C$339="",Registro_Compras!$O$339=""),"","Cargas Imputables a Cuentas de Costos y Gastos")</f>
        <v/>
      </c>
      <c r="E3024" s="20" t="str">
        <f>IF($C3024="","",IF(Registro_Compras!$F$339="NOTA DE CREDITO",ROUND(ABS(Registro_Compras!$J$339*Registro_Compras!$N$339),2),""))</f>
        <v/>
      </c>
      <c r="F3024" s="20" t="str">
        <f>IF($C3024="","",IF(Registro_Compras!$F$339="NOTA DE CREDITO","",IF(Registro_Compras!$F$339="RHE",ROUND(Registro_Compras!$L$339*Registro_Compras!$N$339,2),ROUND(Registro_Compras!$J$339*Registro_Compras!$N$339,2))))</f>
        <v/>
      </c>
      <c r="G3024" t="str">
        <f>IF($C3024="","","Por el destino del gasto")</f>
        <v/>
      </c>
      <c r="H3024" t="str">
        <f>IF($C3024="","",Registro_Compras!$C$339)</f>
        <v/>
      </c>
    </row>
    <row r="3025" spans="1:8" x14ac:dyDescent="0.25">
      <c r="A3025" s="25" t="str">
        <f>IF($C3025="","",Registro_Compras!$X$339)</f>
        <v/>
      </c>
      <c r="B3025" t="str">
        <f>IF($C3025="","","C"&amp;TEXT(INT((ROW()-5)/9)+1,"000")&amp;"-3")</f>
        <v/>
      </c>
      <c r="C3025" t="str">
        <f>IF(OR(Registro_Compras!$C$339="",Registro_Compras!$O$339="",Registro_Compras!$R$339&lt;&gt;"SI",Registro_Compras!$X$339=""),"","4212")</f>
        <v/>
      </c>
      <c r="D3025" t="str">
        <f>IF(OR(Registro_Compras!$C$339="",Registro_Compras!$O$339=""),"","Cuentas por Pagar Comerciales - Terceros")</f>
        <v/>
      </c>
      <c r="E3025" s="20" t="str">
        <f>IF($C3025="","",Registro_Compras!$S$339)</f>
        <v/>
      </c>
      <c r="F3025" s="20" t="str">
        <f>""</f>
        <v/>
      </c>
      <c r="G3025" t="str">
        <f>IF($C3025="","","Por el deposito de la detraccion en el Banco de la Nacion")</f>
        <v/>
      </c>
      <c r="H3025" t="str">
        <f>IF($C3025="","",Registro_Compras!$C$339)</f>
        <v/>
      </c>
    </row>
    <row r="3026" spans="1:8" x14ac:dyDescent="0.25">
      <c r="A3026" s="25" t="str">
        <f>IF($C3026="","",Registro_Compras!$X$339)</f>
        <v/>
      </c>
      <c r="B3026" t="str">
        <f>IF($C3026="","","C"&amp;TEXT(INT((ROW()-5)/9)+1,"000")&amp;"-3")</f>
        <v/>
      </c>
      <c r="C3026" t="str">
        <f>IF(OR(Registro_Compras!$C$339="",Registro_Compras!$O$339="",Registro_Compras!$R$339&lt;&gt;"SI",Registro_Compras!$X$339=""),"","1041")</f>
        <v/>
      </c>
      <c r="D3026" t="str">
        <f>IF(OR(Registro_Compras!$C$339="",Registro_Compras!$O$339=""),"","Efectivo y Equivalentes - Cta. Cte. Operativa")</f>
        <v/>
      </c>
      <c r="E3026" s="20" t="str">
        <f>""</f>
        <v/>
      </c>
      <c r="F3026" s="20" t="str">
        <f>IF($C3026="","",Registro_Compras!$S$339)</f>
        <v/>
      </c>
      <c r="G3026" t="str">
        <f>IF($C3026="","","Por el deposito de la detraccion en el Banco de la Nacion")</f>
        <v/>
      </c>
      <c r="H3026" t="str">
        <f>IF($C3026="","",Registro_Compras!$C$339)</f>
        <v/>
      </c>
    </row>
    <row r="3027" spans="1:8" x14ac:dyDescent="0.25">
      <c r="A3027" s="25" t="str">
        <f>IF($C3027="","",Registro_Compras!$Y$339)</f>
        <v/>
      </c>
      <c r="B3027" t="str">
        <f>IF($C3027="","","C"&amp;TEXT(INT((ROW()-5)/9)+1,"000")&amp;"-4")</f>
        <v/>
      </c>
      <c r="C3027" t="str">
        <f>IF(OR(Registro_Compras!$C$339="",Registro_Compras!$O$339="",Registro_Compras!$Y$339="",Registro_Compras!$F$339="NOTA DE CREDITO"),"","4212")</f>
        <v/>
      </c>
      <c r="D3027" t="str">
        <f>IF(OR(Registro_Compras!$C$339="",Registro_Compras!$O$339=""),"","Cuentas por Pagar Comerciales - Terceros")</f>
        <v/>
      </c>
      <c r="E3027" s="20" t="str">
        <f>IF($C3027="","",IF(Registro_Compras!$F$339="RHE",(ROUND(Registro_Compras!$L$339*Registro_Compras!$N$339,2)-ROUND(Registro_Compras!$V$339*Registro_Compras!$N$339,2)),ROUND(Registro_Compras!$O$339-Registro_Compras!$S$339,2)))</f>
        <v/>
      </c>
      <c r="F3027" s="20" t="str">
        <f>""</f>
        <v/>
      </c>
      <c r="G3027" t="str">
        <f>IF($C3027="","","Por la cancelacion del saldo al proveedor")</f>
        <v/>
      </c>
      <c r="H3027" t="str">
        <f>IF($C3027="","",Registro_Compras!$C$339)</f>
        <v/>
      </c>
    </row>
    <row r="3028" spans="1:8" x14ac:dyDescent="0.25">
      <c r="A3028" s="25" t="str">
        <f>IF($C3028="","",Registro_Compras!$Y$339)</f>
        <v/>
      </c>
      <c r="B3028" t="str">
        <f>IF($C3028="","","C"&amp;TEXT(INT((ROW()-5)/9)+1,"000")&amp;"-4")</f>
        <v/>
      </c>
      <c r="C3028" t="str">
        <f>IF(OR(Registro_Compras!$C$339="",Registro_Compras!$O$339="",Registro_Compras!$Y$339="",Registro_Compras!$F$339="NOTA DE CREDITO"),"","1041")</f>
        <v/>
      </c>
      <c r="D3028" t="str">
        <f>IF(OR(Registro_Compras!$C$339="",Registro_Compras!$O$339=""),"","Efectivo y Equivalentes - Cta. Cte. Operativa")</f>
        <v/>
      </c>
      <c r="E3028" s="20" t="str">
        <f>""</f>
        <v/>
      </c>
      <c r="F3028" s="20" t="str">
        <f>IF($C3028="","",IF(Registro_Compras!$F$339="RHE",(ROUND(Registro_Compras!$L$339*Registro_Compras!$N$339,2)-ROUND(Registro_Compras!$V$339*Registro_Compras!$N$339,2)),ROUND(Registro_Compras!$O$339-Registro_Compras!$S$339,2)))</f>
        <v/>
      </c>
      <c r="G3028" t="str">
        <f>IF($C3028="","","Por la cancelacion del saldo al proveedor")</f>
        <v/>
      </c>
      <c r="H3028" t="str">
        <f>IF($C3028="","",Registro_Compras!$C$339)</f>
        <v/>
      </c>
    </row>
    <row r="3029" spans="1:8" x14ac:dyDescent="0.25">
      <c r="A3029" s="25" t="str">
        <f>IF($C3029="","",Registro_Compras!$B$340)</f>
        <v/>
      </c>
      <c r="B3029" t="str">
        <f>IF($C3029="","","C"&amp;TEXT(INT((ROW()-5)/9)+1,"000")&amp;"-1")</f>
        <v/>
      </c>
      <c r="C3029" t="str">
        <f>IF(OR(Registro_Compras!$C$340="",Registro_Compras!$O$340=""),"",IF(Registro_Compras!$F$340="NOTA DE CREDITO","4212",IF(Registro_Compras!$M$340="","63",Registro_Compras!$M$340)))</f>
        <v/>
      </c>
      <c r="D3029" t="str">
        <f>IF(OR(Registro_Compras!$C$340="",Registro_Compras!$O$340=""),"",IF(Registro_Compras!$F$340="NOTA DE CREDITO","Cuentas por Pagar Comerciales - Terceros (Emitidas)",IF(Registro_Compras!$F$340="RHE","Honorarios Profesionales - Servicios de Terceros","Gastos de Servicios Prestados por Terceros")))</f>
        <v/>
      </c>
      <c r="E3029" s="20" t="str">
        <f>IF($C3029="","",IF(Registro_Compras!$F$340="NOTA DE CREDITO",ABS(Registro_Compras!$O$340),IF(Registro_Compras!$F$340="RHE",ROUND(Registro_Compras!$L$340*Registro_Compras!$N$340,2),ROUND(Registro_Compras!$J$340*Registro_Compras!$N$340,2))))</f>
        <v/>
      </c>
      <c r="F3029" s="20" t="str">
        <f>""</f>
        <v/>
      </c>
      <c r="G3029" t="str">
        <f>IF($C3029="","",IF(Registro_Compras!$F$340="NOTA DE CREDITO","Por la nota de credito "&amp;Registro_Compras!$C$340&amp;" de "&amp;Registro_Compras!$E$340&amp;" [PATRON POR CONFIRMAR CON CONTADOR]",IF(Registro_Compras!$F$340="RHE","Por el registro del recibo por honorarios "&amp;Registro_Compras!$C$340&amp;" de "&amp;Registro_Compras!$E$340&amp;" [PATRON POR CONFIRMAR CON CONTADOR]","Por el registro de la factura "&amp;Registro_Compras!$C$340&amp;" de "&amp;Registro_Compras!$E$340)))</f>
        <v/>
      </c>
      <c r="H3029" t="str">
        <f>IF($C3029="","",Registro_Compras!$C$340)</f>
        <v/>
      </c>
    </row>
    <row r="3030" spans="1:8" x14ac:dyDescent="0.25">
      <c r="A3030" s="25" t="str">
        <f>IF($C3030="","",Registro_Compras!$B$340)</f>
        <v/>
      </c>
      <c r="B3030" t="str">
        <f>IF($C3030="","","C"&amp;TEXT(INT((ROW()-5)/9)+1,"000")&amp;"-1")</f>
        <v/>
      </c>
      <c r="C3030" t="str">
        <f>IF(OR(Registro_Compras!$C$340="",Registro_Compras!$O$340=""),"",IF(Registro_Compras!$F$340="RHE",IF(Registro_Compras!$V$340=0,"","4017"),IF(Registro_Compras!$F$340="NOTA DE CREDITO",IF(Registro_Compras!$M$340="","63",Registro_Compras!$M$340),IF(Registro_Compras!$K$340=0,"","40111"))))</f>
        <v/>
      </c>
      <c r="D3030" t="str">
        <f>IF(OR(Registro_Compras!$C$340="",Registro_Compras!$O$340=""),"",IF(Registro_Compras!$F$340="RHE","Retencion Renta 4ta Categoria por Pagar",IF(Registro_Compras!$F$340="NOTA DE CREDITO","Gastos de Servicios Prestados por Terceros","IGV - Cuenta Propia (Credito Fiscal)")))</f>
        <v/>
      </c>
      <c r="E3030" s="20" t="str">
        <f>IF($C3030="","",IF(Registro_Compras!$F$340="FACTURA",ROUND(Registro_Compras!$K$340*Registro_Compras!$N$340,2),""))</f>
        <v/>
      </c>
      <c r="F3030" s="20" t="str">
        <f>IF($C3030="","",IF(Registro_Compras!$F$340="RHE",ROUND(Registro_Compras!$V$340*Registro_Compras!$N$340,2),IF(Registro_Compras!$F$340="NOTA DE CREDITO",ROUND(ABS(Registro_Compras!$J$340*Registro_Compras!$N$340),2),"")))</f>
        <v/>
      </c>
      <c r="G3030" t="str">
        <f>IF($C3030="","",IF(Registro_Compras!$F$340="NOTA DE CREDITO","Por la nota de credito "&amp;Registro_Compras!$C$340&amp;" de "&amp;Registro_Compras!$E$340&amp;" [PATRON POR CONFIRMAR CON CONTADOR]",IF(Registro_Compras!$F$340="RHE","Por el registro del recibo por honorarios "&amp;Registro_Compras!$C$340&amp;" de "&amp;Registro_Compras!$E$340&amp;" [PATRON POR CONFIRMAR CON CONTADOR]","Por el registro de la factura "&amp;Registro_Compras!$C$340&amp;" de "&amp;Registro_Compras!$E$340)))</f>
        <v/>
      </c>
      <c r="H3030" t="str">
        <f>IF($C3030="","",Registro_Compras!$C$340)</f>
        <v/>
      </c>
    </row>
    <row r="3031" spans="1:8" x14ac:dyDescent="0.25">
      <c r="A3031" s="25" t="str">
        <f>IF($C3031="","",Registro_Compras!$B$340)</f>
        <v/>
      </c>
      <c r="B3031" t="str">
        <f>IF($C3031="","","C"&amp;TEXT(INT((ROW()-5)/9)+1,"000")&amp;"-1")</f>
        <v/>
      </c>
      <c r="C3031" t="str">
        <f>IF(OR(Registro_Compras!$C$340="",Registro_Compras!$O$340=""),"",IF(Registro_Compras!$F$340="NOTA DE CREDITO",IF(Registro_Compras!$K$340=0,"","40111"),"4212"))</f>
        <v/>
      </c>
      <c r="D3031" t="str">
        <f>IF(OR(Registro_Compras!$C$340="",Registro_Compras!$O$340=""),"",IF(Registro_Compras!$F$340="NOTA DE CREDITO","IGV - Cuenta Propia (Credito Fiscal)","Cuentas por Pagar Comerciales - Terceros (Emitidas)"))</f>
        <v/>
      </c>
      <c r="E3031" s="20" t="str">
        <f>""</f>
        <v/>
      </c>
      <c r="F3031" s="20" t="str">
        <f>IF($C3031="","",IF(Registro_Compras!$F$340="NOTA DE CREDITO",ROUND(ABS(Registro_Compras!$K$340*Registro_Compras!$N$340),2),IF(Registro_Compras!$F$340="RHE",(ROUND(Registro_Compras!$L$340*Registro_Compras!$N$340,2)-ROUND(Registro_Compras!$V$340*Registro_Compras!$N$340,2)),Registro_Compras!$O$340)))</f>
        <v/>
      </c>
      <c r="G3031" t="str">
        <f>IF($C3031="","",IF(Registro_Compras!$F$340="NOTA DE CREDITO","Por la nota de credito "&amp;Registro_Compras!$C$340&amp;" de "&amp;Registro_Compras!$E$340&amp;" [PATRON POR CONFIRMAR CON CONTADOR]",IF(Registro_Compras!$F$340="RHE","Por el registro del recibo por honorarios "&amp;Registro_Compras!$C$340&amp;" de "&amp;Registro_Compras!$E$340&amp;" [PATRON POR CONFIRMAR CON CONTADOR]","Por el registro de la factura "&amp;Registro_Compras!$C$340&amp;" de "&amp;Registro_Compras!$E$340)))</f>
        <v/>
      </c>
      <c r="H3031" t="str">
        <f>IF($C3031="","",Registro_Compras!$C$340)</f>
        <v/>
      </c>
    </row>
    <row r="3032" spans="1:8" x14ac:dyDescent="0.25">
      <c r="A3032" s="25" t="str">
        <f>IF($C3032="","",Registro_Compras!$B$340)</f>
        <v/>
      </c>
      <c r="B3032" t="str">
        <f>IF($C3032="","","C"&amp;TEXT(INT((ROW()-5)/9)+1,"000")&amp;"-2")</f>
        <v/>
      </c>
      <c r="C3032" t="str">
        <f>IF(OR(Registro_Compras!$C$340="",Registro_Compras!$O$340=""),"",IF(Registro_Compras!$AB$340="ADMINISTRATIVO","94","95"))</f>
        <v/>
      </c>
      <c r="D3032" t="str">
        <f>IF(OR(Registro_Compras!$C$340="",Registro_Compras!$O$340=""),"",IF(Registro_Compras!$AB$340="ADMINISTRATIVO","Gastos Administrativos","Gastos de Venta y Operacion"))</f>
        <v/>
      </c>
      <c r="E3032" s="20" t="str">
        <f>IF($C3032="","",IF(Registro_Compras!$F$340="NOTA DE CREDITO","",IF(Registro_Compras!$F$340="RHE",ROUND(Registro_Compras!$L$340*Registro_Compras!$N$340,2),ROUND(Registro_Compras!$J$340*Registro_Compras!$N$340,2))))</f>
        <v/>
      </c>
      <c r="F3032" s="20" t="str">
        <f>IF($C3032="","",IF(Registro_Compras!$F$340="NOTA DE CREDITO",ROUND(ABS(Registro_Compras!$J$340*Registro_Compras!$N$340),2),""))</f>
        <v/>
      </c>
      <c r="G3032" t="str">
        <f>IF($C3032="","","Por el destino del gasto")</f>
        <v/>
      </c>
      <c r="H3032" t="str">
        <f>IF($C3032="","",Registro_Compras!$C$340)</f>
        <v/>
      </c>
    </row>
    <row r="3033" spans="1:8" x14ac:dyDescent="0.25">
      <c r="A3033" s="25" t="str">
        <f>IF($C3033="","",Registro_Compras!$B$340)</f>
        <v/>
      </c>
      <c r="B3033" t="str">
        <f>IF($C3033="","","C"&amp;TEXT(INT((ROW()-5)/9)+1,"000")&amp;"-2")</f>
        <v/>
      </c>
      <c r="C3033" t="str">
        <f>IF(OR(Registro_Compras!$C$340="",Registro_Compras!$O$340=""),"","79/791")</f>
        <v/>
      </c>
      <c r="D3033" t="str">
        <f>IF(OR(Registro_Compras!$C$340="",Registro_Compras!$O$340=""),"","Cargas Imputables a Cuentas de Costos y Gastos")</f>
        <v/>
      </c>
      <c r="E3033" s="20" t="str">
        <f>IF($C3033="","",IF(Registro_Compras!$F$340="NOTA DE CREDITO",ROUND(ABS(Registro_Compras!$J$340*Registro_Compras!$N$340),2),""))</f>
        <v/>
      </c>
      <c r="F3033" s="20" t="str">
        <f>IF($C3033="","",IF(Registro_Compras!$F$340="NOTA DE CREDITO","",IF(Registro_Compras!$F$340="RHE",ROUND(Registro_Compras!$L$340*Registro_Compras!$N$340,2),ROUND(Registro_Compras!$J$340*Registro_Compras!$N$340,2))))</f>
        <v/>
      </c>
      <c r="G3033" t="str">
        <f>IF($C3033="","","Por el destino del gasto")</f>
        <v/>
      </c>
      <c r="H3033" t="str">
        <f>IF($C3033="","",Registro_Compras!$C$340)</f>
        <v/>
      </c>
    </row>
    <row r="3034" spans="1:8" x14ac:dyDescent="0.25">
      <c r="A3034" s="25" t="str">
        <f>IF($C3034="","",Registro_Compras!$X$340)</f>
        <v/>
      </c>
      <c r="B3034" t="str">
        <f>IF($C3034="","","C"&amp;TEXT(INT((ROW()-5)/9)+1,"000")&amp;"-3")</f>
        <v/>
      </c>
      <c r="C3034" t="str">
        <f>IF(OR(Registro_Compras!$C$340="",Registro_Compras!$O$340="",Registro_Compras!$R$340&lt;&gt;"SI",Registro_Compras!$X$340=""),"","4212")</f>
        <v/>
      </c>
      <c r="D3034" t="str">
        <f>IF(OR(Registro_Compras!$C$340="",Registro_Compras!$O$340=""),"","Cuentas por Pagar Comerciales - Terceros")</f>
        <v/>
      </c>
      <c r="E3034" s="20" t="str">
        <f>IF($C3034="","",Registro_Compras!$S$340)</f>
        <v/>
      </c>
      <c r="F3034" s="20" t="str">
        <f>""</f>
        <v/>
      </c>
      <c r="G3034" t="str">
        <f>IF($C3034="","","Por el deposito de la detraccion en el Banco de la Nacion")</f>
        <v/>
      </c>
      <c r="H3034" t="str">
        <f>IF($C3034="","",Registro_Compras!$C$340)</f>
        <v/>
      </c>
    </row>
    <row r="3035" spans="1:8" x14ac:dyDescent="0.25">
      <c r="A3035" s="25" t="str">
        <f>IF($C3035="","",Registro_Compras!$X$340)</f>
        <v/>
      </c>
      <c r="B3035" t="str">
        <f>IF($C3035="","","C"&amp;TEXT(INT((ROW()-5)/9)+1,"000")&amp;"-3")</f>
        <v/>
      </c>
      <c r="C3035" t="str">
        <f>IF(OR(Registro_Compras!$C$340="",Registro_Compras!$O$340="",Registro_Compras!$R$340&lt;&gt;"SI",Registro_Compras!$X$340=""),"","1041")</f>
        <v/>
      </c>
      <c r="D3035" t="str">
        <f>IF(OR(Registro_Compras!$C$340="",Registro_Compras!$O$340=""),"","Efectivo y Equivalentes - Cta. Cte. Operativa")</f>
        <v/>
      </c>
      <c r="E3035" s="20" t="str">
        <f>""</f>
        <v/>
      </c>
      <c r="F3035" s="20" t="str">
        <f>IF($C3035="","",Registro_Compras!$S$340)</f>
        <v/>
      </c>
      <c r="G3035" t="str">
        <f>IF($C3035="","","Por el deposito de la detraccion en el Banco de la Nacion")</f>
        <v/>
      </c>
      <c r="H3035" t="str">
        <f>IF($C3035="","",Registro_Compras!$C$340)</f>
        <v/>
      </c>
    </row>
    <row r="3036" spans="1:8" x14ac:dyDescent="0.25">
      <c r="A3036" s="25" t="str">
        <f>IF($C3036="","",Registro_Compras!$Y$340)</f>
        <v/>
      </c>
      <c r="B3036" t="str">
        <f>IF($C3036="","","C"&amp;TEXT(INT((ROW()-5)/9)+1,"000")&amp;"-4")</f>
        <v/>
      </c>
      <c r="C3036" t="str">
        <f>IF(OR(Registro_Compras!$C$340="",Registro_Compras!$O$340="",Registro_Compras!$Y$340="",Registro_Compras!$F$340="NOTA DE CREDITO"),"","4212")</f>
        <v/>
      </c>
      <c r="D3036" t="str">
        <f>IF(OR(Registro_Compras!$C$340="",Registro_Compras!$O$340=""),"","Cuentas por Pagar Comerciales - Terceros")</f>
        <v/>
      </c>
      <c r="E3036" s="20" t="str">
        <f>IF($C3036="","",IF(Registro_Compras!$F$340="RHE",(ROUND(Registro_Compras!$L$340*Registro_Compras!$N$340,2)-ROUND(Registro_Compras!$V$340*Registro_Compras!$N$340,2)),ROUND(Registro_Compras!$O$340-Registro_Compras!$S$340,2)))</f>
        <v/>
      </c>
      <c r="F3036" s="20" t="str">
        <f>""</f>
        <v/>
      </c>
      <c r="G3036" t="str">
        <f>IF($C3036="","","Por la cancelacion del saldo al proveedor")</f>
        <v/>
      </c>
      <c r="H3036" t="str">
        <f>IF($C3036="","",Registro_Compras!$C$340)</f>
        <v/>
      </c>
    </row>
    <row r="3037" spans="1:8" x14ac:dyDescent="0.25">
      <c r="A3037" s="25" t="str">
        <f>IF($C3037="","",Registro_Compras!$Y$340)</f>
        <v/>
      </c>
      <c r="B3037" t="str">
        <f>IF($C3037="","","C"&amp;TEXT(INT((ROW()-5)/9)+1,"000")&amp;"-4")</f>
        <v/>
      </c>
      <c r="C3037" t="str">
        <f>IF(OR(Registro_Compras!$C$340="",Registro_Compras!$O$340="",Registro_Compras!$Y$340="",Registro_Compras!$F$340="NOTA DE CREDITO"),"","1041")</f>
        <v/>
      </c>
      <c r="D3037" t="str">
        <f>IF(OR(Registro_Compras!$C$340="",Registro_Compras!$O$340=""),"","Efectivo y Equivalentes - Cta. Cte. Operativa")</f>
        <v/>
      </c>
      <c r="E3037" s="20" t="str">
        <f>""</f>
        <v/>
      </c>
      <c r="F3037" s="20" t="str">
        <f>IF($C3037="","",IF(Registro_Compras!$F$340="RHE",(ROUND(Registro_Compras!$L$340*Registro_Compras!$N$340,2)-ROUND(Registro_Compras!$V$340*Registro_Compras!$N$340,2)),ROUND(Registro_Compras!$O$340-Registro_Compras!$S$340,2)))</f>
        <v/>
      </c>
      <c r="G3037" t="str">
        <f>IF($C3037="","","Por la cancelacion del saldo al proveedor")</f>
        <v/>
      </c>
      <c r="H3037" t="str">
        <f>IF($C3037="","",Registro_Compras!$C$340)</f>
        <v/>
      </c>
    </row>
    <row r="3038" spans="1:8" x14ac:dyDescent="0.25">
      <c r="A3038" s="25" t="str">
        <f>IF($C3038="","",Registro_Compras!$B$341)</f>
        <v/>
      </c>
      <c r="B3038" t="str">
        <f>IF($C3038="","","C"&amp;TEXT(INT((ROW()-5)/9)+1,"000")&amp;"-1")</f>
        <v/>
      </c>
      <c r="C3038" t="str">
        <f>IF(OR(Registro_Compras!$C$341="",Registro_Compras!$O$341=""),"",IF(Registro_Compras!$F$341="NOTA DE CREDITO","4212",IF(Registro_Compras!$M$341="","63",Registro_Compras!$M$341)))</f>
        <v/>
      </c>
      <c r="D3038" t="str">
        <f>IF(OR(Registro_Compras!$C$341="",Registro_Compras!$O$341=""),"",IF(Registro_Compras!$F$341="NOTA DE CREDITO","Cuentas por Pagar Comerciales - Terceros (Emitidas)",IF(Registro_Compras!$F$341="RHE","Honorarios Profesionales - Servicios de Terceros","Gastos de Servicios Prestados por Terceros")))</f>
        <v/>
      </c>
      <c r="E3038" s="20" t="str">
        <f>IF($C3038="","",IF(Registro_Compras!$F$341="NOTA DE CREDITO",ABS(Registro_Compras!$O$341),IF(Registro_Compras!$F$341="RHE",ROUND(Registro_Compras!$L$341*Registro_Compras!$N$341,2),ROUND(Registro_Compras!$J$341*Registro_Compras!$N$341,2))))</f>
        <v/>
      </c>
      <c r="F3038" s="20" t="str">
        <f>""</f>
        <v/>
      </c>
      <c r="G3038" t="str">
        <f>IF($C3038="","",IF(Registro_Compras!$F$341="NOTA DE CREDITO","Por la nota de credito "&amp;Registro_Compras!$C$341&amp;" de "&amp;Registro_Compras!$E$341&amp;" [PATRON POR CONFIRMAR CON CONTADOR]",IF(Registro_Compras!$F$341="RHE","Por el registro del recibo por honorarios "&amp;Registro_Compras!$C$341&amp;" de "&amp;Registro_Compras!$E$341&amp;" [PATRON POR CONFIRMAR CON CONTADOR]","Por el registro de la factura "&amp;Registro_Compras!$C$341&amp;" de "&amp;Registro_Compras!$E$341)))</f>
        <v/>
      </c>
      <c r="H3038" t="str">
        <f>IF($C3038="","",Registro_Compras!$C$341)</f>
        <v/>
      </c>
    </row>
    <row r="3039" spans="1:8" x14ac:dyDescent="0.25">
      <c r="A3039" s="25" t="str">
        <f>IF($C3039="","",Registro_Compras!$B$341)</f>
        <v/>
      </c>
      <c r="B3039" t="str">
        <f>IF($C3039="","","C"&amp;TEXT(INT((ROW()-5)/9)+1,"000")&amp;"-1")</f>
        <v/>
      </c>
      <c r="C3039" t="str">
        <f>IF(OR(Registro_Compras!$C$341="",Registro_Compras!$O$341=""),"",IF(Registro_Compras!$F$341="RHE",IF(Registro_Compras!$V$341=0,"","4017"),IF(Registro_Compras!$F$341="NOTA DE CREDITO",IF(Registro_Compras!$M$341="","63",Registro_Compras!$M$341),IF(Registro_Compras!$K$341=0,"","40111"))))</f>
        <v/>
      </c>
      <c r="D3039" t="str">
        <f>IF(OR(Registro_Compras!$C$341="",Registro_Compras!$O$341=""),"",IF(Registro_Compras!$F$341="RHE","Retencion Renta 4ta Categoria por Pagar",IF(Registro_Compras!$F$341="NOTA DE CREDITO","Gastos de Servicios Prestados por Terceros","IGV - Cuenta Propia (Credito Fiscal)")))</f>
        <v/>
      </c>
      <c r="E3039" s="20" t="str">
        <f>IF($C3039="","",IF(Registro_Compras!$F$341="FACTURA",ROUND(Registro_Compras!$K$341*Registro_Compras!$N$341,2),""))</f>
        <v/>
      </c>
      <c r="F3039" s="20" t="str">
        <f>IF($C3039="","",IF(Registro_Compras!$F$341="RHE",ROUND(Registro_Compras!$V$341*Registro_Compras!$N$341,2),IF(Registro_Compras!$F$341="NOTA DE CREDITO",ROUND(ABS(Registro_Compras!$J$341*Registro_Compras!$N$341),2),"")))</f>
        <v/>
      </c>
      <c r="G3039" t="str">
        <f>IF($C3039="","",IF(Registro_Compras!$F$341="NOTA DE CREDITO","Por la nota de credito "&amp;Registro_Compras!$C$341&amp;" de "&amp;Registro_Compras!$E$341&amp;" [PATRON POR CONFIRMAR CON CONTADOR]",IF(Registro_Compras!$F$341="RHE","Por el registro del recibo por honorarios "&amp;Registro_Compras!$C$341&amp;" de "&amp;Registro_Compras!$E$341&amp;" [PATRON POR CONFIRMAR CON CONTADOR]","Por el registro de la factura "&amp;Registro_Compras!$C$341&amp;" de "&amp;Registro_Compras!$E$341)))</f>
        <v/>
      </c>
      <c r="H3039" t="str">
        <f>IF($C3039="","",Registro_Compras!$C$341)</f>
        <v/>
      </c>
    </row>
    <row r="3040" spans="1:8" x14ac:dyDescent="0.25">
      <c r="A3040" s="25" t="str">
        <f>IF($C3040="","",Registro_Compras!$B$341)</f>
        <v/>
      </c>
      <c r="B3040" t="str">
        <f>IF($C3040="","","C"&amp;TEXT(INT((ROW()-5)/9)+1,"000")&amp;"-1")</f>
        <v/>
      </c>
      <c r="C3040" t="str">
        <f>IF(OR(Registro_Compras!$C$341="",Registro_Compras!$O$341=""),"",IF(Registro_Compras!$F$341="NOTA DE CREDITO",IF(Registro_Compras!$K$341=0,"","40111"),"4212"))</f>
        <v/>
      </c>
      <c r="D3040" t="str">
        <f>IF(OR(Registro_Compras!$C$341="",Registro_Compras!$O$341=""),"",IF(Registro_Compras!$F$341="NOTA DE CREDITO","IGV - Cuenta Propia (Credito Fiscal)","Cuentas por Pagar Comerciales - Terceros (Emitidas)"))</f>
        <v/>
      </c>
      <c r="E3040" s="20" t="str">
        <f>""</f>
        <v/>
      </c>
      <c r="F3040" s="20" t="str">
        <f>IF($C3040="","",IF(Registro_Compras!$F$341="NOTA DE CREDITO",ROUND(ABS(Registro_Compras!$K$341*Registro_Compras!$N$341),2),IF(Registro_Compras!$F$341="RHE",(ROUND(Registro_Compras!$L$341*Registro_Compras!$N$341,2)-ROUND(Registro_Compras!$V$341*Registro_Compras!$N$341,2)),Registro_Compras!$O$341)))</f>
        <v/>
      </c>
      <c r="G3040" t="str">
        <f>IF($C3040="","",IF(Registro_Compras!$F$341="NOTA DE CREDITO","Por la nota de credito "&amp;Registro_Compras!$C$341&amp;" de "&amp;Registro_Compras!$E$341&amp;" [PATRON POR CONFIRMAR CON CONTADOR]",IF(Registro_Compras!$F$341="RHE","Por el registro del recibo por honorarios "&amp;Registro_Compras!$C$341&amp;" de "&amp;Registro_Compras!$E$341&amp;" [PATRON POR CONFIRMAR CON CONTADOR]","Por el registro de la factura "&amp;Registro_Compras!$C$341&amp;" de "&amp;Registro_Compras!$E$341)))</f>
        <v/>
      </c>
      <c r="H3040" t="str">
        <f>IF($C3040="","",Registro_Compras!$C$341)</f>
        <v/>
      </c>
    </row>
    <row r="3041" spans="1:8" x14ac:dyDescent="0.25">
      <c r="A3041" s="25" t="str">
        <f>IF($C3041="","",Registro_Compras!$B$341)</f>
        <v/>
      </c>
      <c r="B3041" t="str">
        <f>IF($C3041="","","C"&amp;TEXT(INT((ROW()-5)/9)+1,"000")&amp;"-2")</f>
        <v/>
      </c>
      <c r="C3041" t="str">
        <f>IF(OR(Registro_Compras!$C$341="",Registro_Compras!$O$341=""),"",IF(Registro_Compras!$AB$341="ADMINISTRATIVO","94","95"))</f>
        <v/>
      </c>
      <c r="D3041" t="str">
        <f>IF(OR(Registro_Compras!$C$341="",Registro_Compras!$O$341=""),"",IF(Registro_Compras!$AB$341="ADMINISTRATIVO","Gastos Administrativos","Gastos de Venta y Operacion"))</f>
        <v/>
      </c>
      <c r="E3041" s="20" t="str">
        <f>IF($C3041="","",IF(Registro_Compras!$F$341="NOTA DE CREDITO","",IF(Registro_Compras!$F$341="RHE",ROUND(Registro_Compras!$L$341*Registro_Compras!$N$341,2),ROUND(Registro_Compras!$J$341*Registro_Compras!$N$341,2))))</f>
        <v/>
      </c>
      <c r="F3041" s="20" t="str">
        <f>IF($C3041="","",IF(Registro_Compras!$F$341="NOTA DE CREDITO",ROUND(ABS(Registro_Compras!$J$341*Registro_Compras!$N$341),2),""))</f>
        <v/>
      </c>
      <c r="G3041" t="str">
        <f>IF($C3041="","","Por el destino del gasto")</f>
        <v/>
      </c>
      <c r="H3041" t="str">
        <f>IF($C3041="","",Registro_Compras!$C$341)</f>
        <v/>
      </c>
    </row>
    <row r="3042" spans="1:8" x14ac:dyDescent="0.25">
      <c r="A3042" s="25" t="str">
        <f>IF($C3042="","",Registro_Compras!$B$341)</f>
        <v/>
      </c>
      <c r="B3042" t="str">
        <f>IF($C3042="","","C"&amp;TEXT(INT((ROW()-5)/9)+1,"000")&amp;"-2")</f>
        <v/>
      </c>
      <c r="C3042" t="str">
        <f>IF(OR(Registro_Compras!$C$341="",Registro_Compras!$O$341=""),"","79/791")</f>
        <v/>
      </c>
      <c r="D3042" t="str">
        <f>IF(OR(Registro_Compras!$C$341="",Registro_Compras!$O$341=""),"","Cargas Imputables a Cuentas de Costos y Gastos")</f>
        <v/>
      </c>
      <c r="E3042" s="20" t="str">
        <f>IF($C3042="","",IF(Registro_Compras!$F$341="NOTA DE CREDITO",ROUND(ABS(Registro_Compras!$J$341*Registro_Compras!$N$341),2),""))</f>
        <v/>
      </c>
      <c r="F3042" s="20" t="str">
        <f>IF($C3042="","",IF(Registro_Compras!$F$341="NOTA DE CREDITO","",IF(Registro_Compras!$F$341="RHE",ROUND(Registro_Compras!$L$341*Registro_Compras!$N$341,2),ROUND(Registro_Compras!$J$341*Registro_Compras!$N$341,2))))</f>
        <v/>
      </c>
      <c r="G3042" t="str">
        <f>IF($C3042="","","Por el destino del gasto")</f>
        <v/>
      </c>
      <c r="H3042" t="str">
        <f>IF($C3042="","",Registro_Compras!$C$341)</f>
        <v/>
      </c>
    </row>
    <row r="3043" spans="1:8" x14ac:dyDescent="0.25">
      <c r="A3043" s="25" t="str">
        <f>IF($C3043="","",Registro_Compras!$X$341)</f>
        <v/>
      </c>
      <c r="B3043" t="str">
        <f>IF($C3043="","","C"&amp;TEXT(INT((ROW()-5)/9)+1,"000")&amp;"-3")</f>
        <v/>
      </c>
      <c r="C3043" t="str">
        <f>IF(OR(Registro_Compras!$C$341="",Registro_Compras!$O$341="",Registro_Compras!$R$341&lt;&gt;"SI",Registro_Compras!$X$341=""),"","4212")</f>
        <v/>
      </c>
      <c r="D3043" t="str">
        <f>IF(OR(Registro_Compras!$C$341="",Registro_Compras!$O$341=""),"","Cuentas por Pagar Comerciales - Terceros")</f>
        <v/>
      </c>
      <c r="E3043" s="20" t="str">
        <f>IF($C3043="","",Registro_Compras!$S$341)</f>
        <v/>
      </c>
      <c r="F3043" s="20" t="str">
        <f>""</f>
        <v/>
      </c>
      <c r="G3043" t="str">
        <f>IF($C3043="","","Por el deposito de la detraccion en el Banco de la Nacion")</f>
        <v/>
      </c>
      <c r="H3043" t="str">
        <f>IF($C3043="","",Registro_Compras!$C$341)</f>
        <v/>
      </c>
    </row>
    <row r="3044" spans="1:8" x14ac:dyDescent="0.25">
      <c r="A3044" s="25" t="str">
        <f>IF($C3044="","",Registro_Compras!$X$341)</f>
        <v/>
      </c>
      <c r="B3044" t="str">
        <f>IF($C3044="","","C"&amp;TEXT(INT((ROW()-5)/9)+1,"000")&amp;"-3")</f>
        <v/>
      </c>
      <c r="C3044" t="str">
        <f>IF(OR(Registro_Compras!$C$341="",Registro_Compras!$O$341="",Registro_Compras!$R$341&lt;&gt;"SI",Registro_Compras!$X$341=""),"","1041")</f>
        <v/>
      </c>
      <c r="D3044" t="str">
        <f>IF(OR(Registro_Compras!$C$341="",Registro_Compras!$O$341=""),"","Efectivo y Equivalentes - Cta. Cte. Operativa")</f>
        <v/>
      </c>
      <c r="E3044" s="20" t="str">
        <f>""</f>
        <v/>
      </c>
      <c r="F3044" s="20" t="str">
        <f>IF($C3044="","",Registro_Compras!$S$341)</f>
        <v/>
      </c>
      <c r="G3044" t="str">
        <f>IF($C3044="","","Por el deposito de la detraccion en el Banco de la Nacion")</f>
        <v/>
      </c>
      <c r="H3044" t="str">
        <f>IF($C3044="","",Registro_Compras!$C$341)</f>
        <v/>
      </c>
    </row>
    <row r="3045" spans="1:8" x14ac:dyDescent="0.25">
      <c r="A3045" s="25" t="str">
        <f>IF($C3045="","",Registro_Compras!$Y$341)</f>
        <v/>
      </c>
      <c r="B3045" t="str">
        <f>IF($C3045="","","C"&amp;TEXT(INT((ROW()-5)/9)+1,"000")&amp;"-4")</f>
        <v/>
      </c>
      <c r="C3045" t="str">
        <f>IF(OR(Registro_Compras!$C$341="",Registro_Compras!$O$341="",Registro_Compras!$Y$341="",Registro_Compras!$F$341="NOTA DE CREDITO"),"","4212")</f>
        <v/>
      </c>
      <c r="D3045" t="str">
        <f>IF(OR(Registro_Compras!$C$341="",Registro_Compras!$O$341=""),"","Cuentas por Pagar Comerciales - Terceros")</f>
        <v/>
      </c>
      <c r="E3045" s="20" t="str">
        <f>IF($C3045="","",IF(Registro_Compras!$F$341="RHE",(ROUND(Registro_Compras!$L$341*Registro_Compras!$N$341,2)-ROUND(Registro_Compras!$V$341*Registro_Compras!$N$341,2)),ROUND(Registro_Compras!$O$341-Registro_Compras!$S$341,2)))</f>
        <v/>
      </c>
      <c r="F3045" s="20" t="str">
        <f>""</f>
        <v/>
      </c>
      <c r="G3045" t="str">
        <f>IF($C3045="","","Por la cancelacion del saldo al proveedor")</f>
        <v/>
      </c>
      <c r="H3045" t="str">
        <f>IF($C3045="","",Registro_Compras!$C$341)</f>
        <v/>
      </c>
    </row>
    <row r="3046" spans="1:8" x14ac:dyDescent="0.25">
      <c r="A3046" s="25" t="str">
        <f>IF($C3046="","",Registro_Compras!$Y$341)</f>
        <v/>
      </c>
      <c r="B3046" t="str">
        <f>IF($C3046="","","C"&amp;TEXT(INT((ROW()-5)/9)+1,"000")&amp;"-4")</f>
        <v/>
      </c>
      <c r="C3046" t="str">
        <f>IF(OR(Registro_Compras!$C$341="",Registro_Compras!$O$341="",Registro_Compras!$Y$341="",Registro_Compras!$F$341="NOTA DE CREDITO"),"","1041")</f>
        <v/>
      </c>
      <c r="D3046" t="str">
        <f>IF(OR(Registro_Compras!$C$341="",Registro_Compras!$O$341=""),"","Efectivo y Equivalentes - Cta. Cte. Operativa")</f>
        <v/>
      </c>
      <c r="E3046" s="20" t="str">
        <f>""</f>
        <v/>
      </c>
      <c r="F3046" s="20" t="str">
        <f>IF($C3046="","",IF(Registro_Compras!$F$341="RHE",(ROUND(Registro_Compras!$L$341*Registro_Compras!$N$341,2)-ROUND(Registro_Compras!$V$341*Registro_Compras!$N$341,2)),ROUND(Registro_Compras!$O$341-Registro_Compras!$S$341,2)))</f>
        <v/>
      </c>
      <c r="G3046" t="str">
        <f>IF($C3046="","","Por la cancelacion del saldo al proveedor")</f>
        <v/>
      </c>
      <c r="H3046" t="str">
        <f>IF($C3046="","",Registro_Compras!$C$341)</f>
        <v/>
      </c>
    </row>
    <row r="3047" spans="1:8" x14ac:dyDescent="0.25">
      <c r="A3047" s="25" t="str">
        <f>IF($C3047="","",Registro_Compras!$B$342)</f>
        <v/>
      </c>
      <c r="B3047" t="str">
        <f>IF($C3047="","","C"&amp;TEXT(INT((ROW()-5)/9)+1,"000")&amp;"-1")</f>
        <v/>
      </c>
      <c r="C3047" t="str">
        <f>IF(OR(Registro_Compras!$C$342="",Registro_Compras!$O$342=""),"",IF(Registro_Compras!$F$342="NOTA DE CREDITO","4212",IF(Registro_Compras!$M$342="","63",Registro_Compras!$M$342)))</f>
        <v/>
      </c>
      <c r="D3047" t="str">
        <f>IF(OR(Registro_Compras!$C$342="",Registro_Compras!$O$342=""),"",IF(Registro_Compras!$F$342="NOTA DE CREDITO","Cuentas por Pagar Comerciales - Terceros (Emitidas)",IF(Registro_Compras!$F$342="RHE","Honorarios Profesionales - Servicios de Terceros","Gastos de Servicios Prestados por Terceros")))</f>
        <v/>
      </c>
      <c r="E3047" s="20" t="str">
        <f>IF($C3047="","",IF(Registro_Compras!$F$342="NOTA DE CREDITO",ABS(Registro_Compras!$O$342),IF(Registro_Compras!$F$342="RHE",ROUND(Registro_Compras!$L$342*Registro_Compras!$N$342,2),ROUND(Registro_Compras!$J$342*Registro_Compras!$N$342,2))))</f>
        <v/>
      </c>
      <c r="F3047" s="20" t="str">
        <f>""</f>
        <v/>
      </c>
      <c r="G3047" t="str">
        <f>IF($C3047="","",IF(Registro_Compras!$F$342="NOTA DE CREDITO","Por la nota de credito "&amp;Registro_Compras!$C$342&amp;" de "&amp;Registro_Compras!$E$342&amp;" [PATRON POR CONFIRMAR CON CONTADOR]",IF(Registro_Compras!$F$342="RHE","Por el registro del recibo por honorarios "&amp;Registro_Compras!$C$342&amp;" de "&amp;Registro_Compras!$E$342&amp;" [PATRON POR CONFIRMAR CON CONTADOR]","Por el registro de la factura "&amp;Registro_Compras!$C$342&amp;" de "&amp;Registro_Compras!$E$342)))</f>
        <v/>
      </c>
      <c r="H3047" t="str">
        <f>IF($C3047="","",Registro_Compras!$C$342)</f>
        <v/>
      </c>
    </row>
    <row r="3048" spans="1:8" x14ac:dyDescent="0.25">
      <c r="A3048" s="25" t="str">
        <f>IF($C3048="","",Registro_Compras!$B$342)</f>
        <v/>
      </c>
      <c r="B3048" t="str">
        <f>IF($C3048="","","C"&amp;TEXT(INT((ROW()-5)/9)+1,"000")&amp;"-1")</f>
        <v/>
      </c>
      <c r="C3048" t="str">
        <f>IF(OR(Registro_Compras!$C$342="",Registro_Compras!$O$342=""),"",IF(Registro_Compras!$F$342="RHE",IF(Registro_Compras!$V$342=0,"","4017"),IF(Registro_Compras!$F$342="NOTA DE CREDITO",IF(Registro_Compras!$M$342="","63",Registro_Compras!$M$342),IF(Registro_Compras!$K$342=0,"","40111"))))</f>
        <v/>
      </c>
      <c r="D3048" t="str">
        <f>IF(OR(Registro_Compras!$C$342="",Registro_Compras!$O$342=""),"",IF(Registro_Compras!$F$342="RHE","Retencion Renta 4ta Categoria por Pagar",IF(Registro_Compras!$F$342="NOTA DE CREDITO","Gastos de Servicios Prestados por Terceros","IGV - Cuenta Propia (Credito Fiscal)")))</f>
        <v/>
      </c>
      <c r="E3048" s="20" t="str">
        <f>IF($C3048="","",IF(Registro_Compras!$F$342="FACTURA",ROUND(Registro_Compras!$K$342*Registro_Compras!$N$342,2),""))</f>
        <v/>
      </c>
      <c r="F3048" s="20" t="str">
        <f>IF($C3048="","",IF(Registro_Compras!$F$342="RHE",ROUND(Registro_Compras!$V$342*Registro_Compras!$N$342,2),IF(Registro_Compras!$F$342="NOTA DE CREDITO",ROUND(ABS(Registro_Compras!$J$342*Registro_Compras!$N$342),2),"")))</f>
        <v/>
      </c>
      <c r="G3048" t="str">
        <f>IF($C3048="","",IF(Registro_Compras!$F$342="NOTA DE CREDITO","Por la nota de credito "&amp;Registro_Compras!$C$342&amp;" de "&amp;Registro_Compras!$E$342&amp;" [PATRON POR CONFIRMAR CON CONTADOR]",IF(Registro_Compras!$F$342="RHE","Por el registro del recibo por honorarios "&amp;Registro_Compras!$C$342&amp;" de "&amp;Registro_Compras!$E$342&amp;" [PATRON POR CONFIRMAR CON CONTADOR]","Por el registro de la factura "&amp;Registro_Compras!$C$342&amp;" de "&amp;Registro_Compras!$E$342)))</f>
        <v/>
      </c>
      <c r="H3048" t="str">
        <f>IF($C3048="","",Registro_Compras!$C$342)</f>
        <v/>
      </c>
    </row>
    <row r="3049" spans="1:8" x14ac:dyDescent="0.25">
      <c r="A3049" s="25" t="str">
        <f>IF($C3049="","",Registro_Compras!$B$342)</f>
        <v/>
      </c>
      <c r="B3049" t="str">
        <f>IF($C3049="","","C"&amp;TEXT(INT((ROW()-5)/9)+1,"000")&amp;"-1")</f>
        <v/>
      </c>
      <c r="C3049" t="str">
        <f>IF(OR(Registro_Compras!$C$342="",Registro_Compras!$O$342=""),"",IF(Registro_Compras!$F$342="NOTA DE CREDITO",IF(Registro_Compras!$K$342=0,"","40111"),"4212"))</f>
        <v/>
      </c>
      <c r="D3049" t="str">
        <f>IF(OR(Registro_Compras!$C$342="",Registro_Compras!$O$342=""),"",IF(Registro_Compras!$F$342="NOTA DE CREDITO","IGV - Cuenta Propia (Credito Fiscal)","Cuentas por Pagar Comerciales - Terceros (Emitidas)"))</f>
        <v/>
      </c>
      <c r="E3049" s="20" t="str">
        <f>""</f>
        <v/>
      </c>
      <c r="F3049" s="20" t="str">
        <f>IF($C3049="","",IF(Registro_Compras!$F$342="NOTA DE CREDITO",ROUND(ABS(Registro_Compras!$K$342*Registro_Compras!$N$342),2),IF(Registro_Compras!$F$342="RHE",(ROUND(Registro_Compras!$L$342*Registro_Compras!$N$342,2)-ROUND(Registro_Compras!$V$342*Registro_Compras!$N$342,2)),Registro_Compras!$O$342)))</f>
        <v/>
      </c>
      <c r="G3049" t="str">
        <f>IF($C3049="","",IF(Registro_Compras!$F$342="NOTA DE CREDITO","Por la nota de credito "&amp;Registro_Compras!$C$342&amp;" de "&amp;Registro_Compras!$E$342&amp;" [PATRON POR CONFIRMAR CON CONTADOR]",IF(Registro_Compras!$F$342="RHE","Por el registro del recibo por honorarios "&amp;Registro_Compras!$C$342&amp;" de "&amp;Registro_Compras!$E$342&amp;" [PATRON POR CONFIRMAR CON CONTADOR]","Por el registro de la factura "&amp;Registro_Compras!$C$342&amp;" de "&amp;Registro_Compras!$E$342)))</f>
        <v/>
      </c>
      <c r="H3049" t="str">
        <f>IF($C3049="","",Registro_Compras!$C$342)</f>
        <v/>
      </c>
    </row>
    <row r="3050" spans="1:8" x14ac:dyDescent="0.25">
      <c r="A3050" s="25" t="str">
        <f>IF($C3050="","",Registro_Compras!$B$342)</f>
        <v/>
      </c>
      <c r="B3050" t="str">
        <f>IF($C3050="","","C"&amp;TEXT(INT((ROW()-5)/9)+1,"000")&amp;"-2")</f>
        <v/>
      </c>
      <c r="C3050" t="str">
        <f>IF(OR(Registro_Compras!$C$342="",Registro_Compras!$O$342=""),"",IF(Registro_Compras!$AB$342="ADMINISTRATIVO","94","95"))</f>
        <v/>
      </c>
      <c r="D3050" t="str">
        <f>IF(OR(Registro_Compras!$C$342="",Registro_Compras!$O$342=""),"",IF(Registro_Compras!$AB$342="ADMINISTRATIVO","Gastos Administrativos","Gastos de Venta y Operacion"))</f>
        <v/>
      </c>
      <c r="E3050" s="20" t="str">
        <f>IF($C3050="","",IF(Registro_Compras!$F$342="NOTA DE CREDITO","",IF(Registro_Compras!$F$342="RHE",ROUND(Registro_Compras!$L$342*Registro_Compras!$N$342,2),ROUND(Registro_Compras!$J$342*Registro_Compras!$N$342,2))))</f>
        <v/>
      </c>
      <c r="F3050" s="20" t="str">
        <f>IF($C3050="","",IF(Registro_Compras!$F$342="NOTA DE CREDITO",ROUND(ABS(Registro_Compras!$J$342*Registro_Compras!$N$342),2),""))</f>
        <v/>
      </c>
      <c r="G3050" t="str">
        <f>IF($C3050="","","Por el destino del gasto")</f>
        <v/>
      </c>
      <c r="H3050" t="str">
        <f>IF($C3050="","",Registro_Compras!$C$342)</f>
        <v/>
      </c>
    </row>
    <row r="3051" spans="1:8" x14ac:dyDescent="0.25">
      <c r="A3051" s="25" t="str">
        <f>IF($C3051="","",Registro_Compras!$B$342)</f>
        <v/>
      </c>
      <c r="B3051" t="str">
        <f>IF($C3051="","","C"&amp;TEXT(INT((ROW()-5)/9)+1,"000")&amp;"-2")</f>
        <v/>
      </c>
      <c r="C3051" t="str">
        <f>IF(OR(Registro_Compras!$C$342="",Registro_Compras!$O$342=""),"","79/791")</f>
        <v/>
      </c>
      <c r="D3051" t="str">
        <f>IF(OR(Registro_Compras!$C$342="",Registro_Compras!$O$342=""),"","Cargas Imputables a Cuentas de Costos y Gastos")</f>
        <v/>
      </c>
      <c r="E3051" s="20" t="str">
        <f>IF($C3051="","",IF(Registro_Compras!$F$342="NOTA DE CREDITO",ROUND(ABS(Registro_Compras!$J$342*Registro_Compras!$N$342),2),""))</f>
        <v/>
      </c>
      <c r="F3051" s="20" t="str">
        <f>IF($C3051="","",IF(Registro_Compras!$F$342="NOTA DE CREDITO","",IF(Registro_Compras!$F$342="RHE",ROUND(Registro_Compras!$L$342*Registro_Compras!$N$342,2),ROUND(Registro_Compras!$J$342*Registro_Compras!$N$342,2))))</f>
        <v/>
      </c>
      <c r="G3051" t="str">
        <f>IF($C3051="","","Por el destino del gasto")</f>
        <v/>
      </c>
      <c r="H3051" t="str">
        <f>IF($C3051="","",Registro_Compras!$C$342)</f>
        <v/>
      </c>
    </row>
    <row r="3052" spans="1:8" x14ac:dyDescent="0.25">
      <c r="A3052" s="25" t="str">
        <f>IF($C3052="","",Registro_Compras!$X$342)</f>
        <v/>
      </c>
      <c r="B3052" t="str">
        <f>IF($C3052="","","C"&amp;TEXT(INT((ROW()-5)/9)+1,"000")&amp;"-3")</f>
        <v/>
      </c>
      <c r="C3052" t="str">
        <f>IF(OR(Registro_Compras!$C$342="",Registro_Compras!$O$342="",Registro_Compras!$R$342&lt;&gt;"SI",Registro_Compras!$X$342=""),"","4212")</f>
        <v/>
      </c>
      <c r="D3052" t="str">
        <f>IF(OR(Registro_Compras!$C$342="",Registro_Compras!$O$342=""),"","Cuentas por Pagar Comerciales - Terceros")</f>
        <v/>
      </c>
      <c r="E3052" s="20" t="str">
        <f>IF($C3052="","",Registro_Compras!$S$342)</f>
        <v/>
      </c>
      <c r="F3052" s="20" t="str">
        <f>""</f>
        <v/>
      </c>
      <c r="G3052" t="str">
        <f>IF($C3052="","","Por el deposito de la detraccion en el Banco de la Nacion")</f>
        <v/>
      </c>
      <c r="H3052" t="str">
        <f>IF($C3052="","",Registro_Compras!$C$342)</f>
        <v/>
      </c>
    </row>
    <row r="3053" spans="1:8" x14ac:dyDescent="0.25">
      <c r="A3053" s="25" t="str">
        <f>IF($C3053="","",Registro_Compras!$X$342)</f>
        <v/>
      </c>
      <c r="B3053" t="str">
        <f>IF($C3053="","","C"&amp;TEXT(INT((ROW()-5)/9)+1,"000")&amp;"-3")</f>
        <v/>
      </c>
      <c r="C3053" t="str">
        <f>IF(OR(Registro_Compras!$C$342="",Registro_Compras!$O$342="",Registro_Compras!$R$342&lt;&gt;"SI",Registro_Compras!$X$342=""),"","1041")</f>
        <v/>
      </c>
      <c r="D3053" t="str">
        <f>IF(OR(Registro_Compras!$C$342="",Registro_Compras!$O$342=""),"","Efectivo y Equivalentes - Cta. Cte. Operativa")</f>
        <v/>
      </c>
      <c r="E3053" s="20" t="str">
        <f>""</f>
        <v/>
      </c>
      <c r="F3053" s="20" t="str">
        <f>IF($C3053="","",Registro_Compras!$S$342)</f>
        <v/>
      </c>
      <c r="G3053" t="str">
        <f>IF($C3053="","","Por el deposito de la detraccion en el Banco de la Nacion")</f>
        <v/>
      </c>
      <c r="H3053" t="str">
        <f>IF($C3053="","",Registro_Compras!$C$342)</f>
        <v/>
      </c>
    </row>
    <row r="3054" spans="1:8" x14ac:dyDescent="0.25">
      <c r="A3054" s="25" t="str">
        <f>IF($C3054="","",Registro_Compras!$Y$342)</f>
        <v/>
      </c>
      <c r="B3054" t="str">
        <f>IF($C3054="","","C"&amp;TEXT(INT((ROW()-5)/9)+1,"000")&amp;"-4")</f>
        <v/>
      </c>
      <c r="C3054" t="str">
        <f>IF(OR(Registro_Compras!$C$342="",Registro_Compras!$O$342="",Registro_Compras!$Y$342="",Registro_Compras!$F$342="NOTA DE CREDITO"),"","4212")</f>
        <v/>
      </c>
      <c r="D3054" t="str">
        <f>IF(OR(Registro_Compras!$C$342="",Registro_Compras!$O$342=""),"","Cuentas por Pagar Comerciales - Terceros")</f>
        <v/>
      </c>
      <c r="E3054" s="20" t="str">
        <f>IF($C3054="","",IF(Registro_Compras!$F$342="RHE",(ROUND(Registro_Compras!$L$342*Registro_Compras!$N$342,2)-ROUND(Registro_Compras!$V$342*Registro_Compras!$N$342,2)),ROUND(Registro_Compras!$O$342-Registro_Compras!$S$342,2)))</f>
        <v/>
      </c>
      <c r="F3054" s="20" t="str">
        <f>""</f>
        <v/>
      </c>
      <c r="G3054" t="str">
        <f>IF($C3054="","","Por la cancelacion del saldo al proveedor")</f>
        <v/>
      </c>
      <c r="H3054" t="str">
        <f>IF($C3054="","",Registro_Compras!$C$342)</f>
        <v/>
      </c>
    </row>
    <row r="3055" spans="1:8" x14ac:dyDescent="0.25">
      <c r="A3055" s="25" t="str">
        <f>IF($C3055="","",Registro_Compras!$Y$342)</f>
        <v/>
      </c>
      <c r="B3055" t="str">
        <f>IF($C3055="","","C"&amp;TEXT(INT((ROW()-5)/9)+1,"000")&amp;"-4")</f>
        <v/>
      </c>
      <c r="C3055" t="str">
        <f>IF(OR(Registro_Compras!$C$342="",Registro_Compras!$O$342="",Registro_Compras!$Y$342="",Registro_Compras!$F$342="NOTA DE CREDITO"),"","1041")</f>
        <v/>
      </c>
      <c r="D3055" t="str">
        <f>IF(OR(Registro_Compras!$C$342="",Registro_Compras!$O$342=""),"","Efectivo y Equivalentes - Cta. Cte. Operativa")</f>
        <v/>
      </c>
      <c r="E3055" s="20" t="str">
        <f>""</f>
        <v/>
      </c>
      <c r="F3055" s="20" t="str">
        <f>IF($C3055="","",IF(Registro_Compras!$F$342="RHE",(ROUND(Registro_Compras!$L$342*Registro_Compras!$N$342,2)-ROUND(Registro_Compras!$V$342*Registro_Compras!$N$342,2)),ROUND(Registro_Compras!$O$342-Registro_Compras!$S$342,2)))</f>
        <v/>
      </c>
      <c r="G3055" t="str">
        <f>IF($C3055="","","Por la cancelacion del saldo al proveedor")</f>
        <v/>
      </c>
      <c r="H3055" t="str">
        <f>IF($C3055="","",Registro_Compras!$C$342)</f>
        <v/>
      </c>
    </row>
    <row r="3056" spans="1:8" x14ac:dyDescent="0.25">
      <c r="A3056" s="25" t="str">
        <f>IF($C3056="","",Registro_Compras!$B$343)</f>
        <v/>
      </c>
      <c r="B3056" t="str">
        <f>IF($C3056="","","C"&amp;TEXT(INT((ROW()-5)/9)+1,"000")&amp;"-1")</f>
        <v/>
      </c>
      <c r="C3056" t="str">
        <f>IF(OR(Registro_Compras!$C$343="",Registro_Compras!$O$343=""),"",IF(Registro_Compras!$F$343="NOTA DE CREDITO","4212",IF(Registro_Compras!$M$343="","63",Registro_Compras!$M$343)))</f>
        <v/>
      </c>
      <c r="D3056" t="str">
        <f>IF(OR(Registro_Compras!$C$343="",Registro_Compras!$O$343=""),"",IF(Registro_Compras!$F$343="NOTA DE CREDITO","Cuentas por Pagar Comerciales - Terceros (Emitidas)",IF(Registro_Compras!$F$343="RHE","Honorarios Profesionales - Servicios de Terceros","Gastos de Servicios Prestados por Terceros")))</f>
        <v/>
      </c>
      <c r="E3056" s="20" t="str">
        <f>IF($C3056="","",IF(Registro_Compras!$F$343="NOTA DE CREDITO",ABS(Registro_Compras!$O$343),IF(Registro_Compras!$F$343="RHE",ROUND(Registro_Compras!$L$343*Registro_Compras!$N$343,2),ROUND(Registro_Compras!$J$343*Registro_Compras!$N$343,2))))</f>
        <v/>
      </c>
      <c r="F3056" s="20" t="str">
        <f>""</f>
        <v/>
      </c>
      <c r="G3056" t="str">
        <f>IF($C3056="","",IF(Registro_Compras!$F$343="NOTA DE CREDITO","Por la nota de credito "&amp;Registro_Compras!$C$343&amp;" de "&amp;Registro_Compras!$E$343&amp;" [PATRON POR CONFIRMAR CON CONTADOR]",IF(Registro_Compras!$F$343="RHE","Por el registro del recibo por honorarios "&amp;Registro_Compras!$C$343&amp;" de "&amp;Registro_Compras!$E$343&amp;" [PATRON POR CONFIRMAR CON CONTADOR]","Por el registro de la factura "&amp;Registro_Compras!$C$343&amp;" de "&amp;Registro_Compras!$E$343)))</f>
        <v/>
      </c>
      <c r="H3056" t="str">
        <f>IF($C3056="","",Registro_Compras!$C$343)</f>
        <v/>
      </c>
    </row>
    <row r="3057" spans="1:8" x14ac:dyDescent="0.25">
      <c r="A3057" s="25" t="str">
        <f>IF($C3057="","",Registro_Compras!$B$343)</f>
        <v/>
      </c>
      <c r="B3057" t="str">
        <f>IF($C3057="","","C"&amp;TEXT(INT((ROW()-5)/9)+1,"000")&amp;"-1")</f>
        <v/>
      </c>
      <c r="C3057" t="str">
        <f>IF(OR(Registro_Compras!$C$343="",Registro_Compras!$O$343=""),"",IF(Registro_Compras!$F$343="RHE",IF(Registro_Compras!$V$343=0,"","4017"),IF(Registro_Compras!$F$343="NOTA DE CREDITO",IF(Registro_Compras!$M$343="","63",Registro_Compras!$M$343),IF(Registro_Compras!$K$343=0,"","40111"))))</f>
        <v/>
      </c>
      <c r="D3057" t="str">
        <f>IF(OR(Registro_Compras!$C$343="",Registro_Compras!$O$343=""),"",IF(Registro_Compras!$F$343="RHE","Retencion Renta 4ta Categoria por Pagar",IF(Registro_Compras!$F$343="NOTA DE CREDITO","Gastos de Servicios Prestados por Terceros","IGV - Cuenta Propia (Credito Fiscal)")))</f>
        <v/>
      </c>
      <c r="E3057" s="20" t="str">
        <f>IF($C3057="","",IF(Registro_Compras!$F$343="FACTURA",ROUND(Registro_Compras!$K$343*Registro_Compras!$N$343,2),""))</f>
        <v/>
      </c>
      <c r="F3057" s="20" t="str">
        <f>IF($C3057="","",IF(Registro_Compras!$F$343="RHE",ROUND(Registro_Compras!$V$343*Registro_Compras!$N$343,2),IF(Registro_Compras!$F$343="NOTA DE CREDITO",ROUND(ABS(Registro_Compras!$J$343*Registro_Compras!$N$343),2),"")))</f>
        <v/>
      </c>
      <c r="G3057" t="str">
        <f>IF($C3057="","",IF(Registro_Compras!$F$343="NOTA DE CREDITO","Por la nota de credito "&amp;Registro_Compras!$C$343&amp;" de "&amp;Registro_Compras!$E$343&amp;" [PATRON POR CONFIRMAR CON CONTADOR]",IF(Registro_Compras!$F$343="RHE","Por el registro del recibo por honorarios "&amp;Registro_Compras!$C$343&amp;" de "&amp;Registro_Compras!$E$343&amp;" [PATRON POR CONFIRMAR CON CONTADOR]","Por el registro de la factura "&amp;Registro_Compras!$C$343&amp;" de "&amp;Registro_Compras!$E$343)))</f>
        <v/>
      </c>
      <c r="H3057" t="str">
        <f>IF($C3057="","",Registro_Compras!$C$343)</f>
        <v/>
      </c>
    </row>
    <row r="3058" spans="1:8" x14ac:dyDescent="0.25">
      <c r="A3058" s="25" t="str">
        <f>IF($C3058="","",Registro_Compras!$B$343)</f>
        <v/>
      </c>
      <c r="B3058" t="str">
        <f>IF($C3058="","","C"&amp;TEXT(INT((ROW()-5)/9)+1,"000")&amp;"-1")</f>
        <v/>
      </c>
      <c r="C3058" t="str">
        <f>IF(OR(Registro_Compras!$C$343="",Registro_Compras!$O$343=""),"",IF(Registro_Compras!$F$343="NOTA DE CREDITO",IF(Registro_Compras!$K$343=0,"","40111"),"4212"))</f>
        <v/>
      </c>
      <c r="D3058" t="str">
        <f>IF(OR(Registro_Compras!$C$343="",Registro_Compras!$O$343=""),"",IF(Registro_Compras!$F$343="NOTA DE CREDITO","IGV - Cuenta Propia (Credito Fiscal)","Cuentas por Pagar Comerciales - Terceros (Emitidas)"))</f>
        <v/>
      </c>
      <c r="E3058" s="20" t="str">
        <f>""</f>
        <v/>
      </c>
      <c r="F3058" s="20" t="str">
        <f>IF($C3058="","",IF(Registro_Compras!$F$343="NOTA DE CREDITO",ROUND(ABS(Registro_Compras!$K$343*Registro_Compras!$N$343),2),IF(Registro_Compras!$F$343="RHE",(ROUND(Registro_Compras!$L$343*Registro_Compras!$N$343,2)-ROUND(Registro_Compras!$V$343*Registro_Compras!$N$343,2)),Registro_Compras!$O$343)))</f>
        <v/>
      </c>
      <c r="G3058" t="str">
        <f>IF($C3058="","",IF(Registro_Compras!$F$343="NOTA DE CREDITO","Por la nota de credito "&amp;Registro_Compras!$C$343&amp;" de "&amp;Registro_Compras!$E$343&amp;" [PATRON POR CONFIRMAR CON CONTADOR]",IF(Registro_Compras!$F$343="RHE","Por el registro del recibo por honorarios "&amp;Registro_Compras!$C$343&amp;" de "&amp;Registro_Compras!$E$343&amp;" [PATRON POR CONFIRMAR CON CONTADOR]","Por el registro de la factura "&amp;Registro_Compras!$C$343&amp;" de "&amp;Registro_Compras!$E$343)))</f>
        <v/>
      </c>
      <c r="H3058" t="str">
        <f>IF($C3058="","",Registro_Compras!$C$343)</f>
        <v/>
      </c>
    </row>
    <row r="3059" spans="1:8" x14ac:dyDescent="0.25">
      <c r="A3059" s="25" t="str">
        <f>IF($C3059="","",Registro_Compras!$B$343)</f>
        <v/>
      </c>
      <c r="B3059" t="str">
        <f>IF($C3059="","","C"&amp;TEXT(INT((ROW()-5)/9)+1,"000")&amp;"-2")</f>
        <v/>
      </c>
      <c r="C3059" t="str">
        <f>IF(OR(Registro_Compras!$C$343="",Registro_Compras!$O$343=""),"",IF(Registro_Compras!$AB$343="ADMINISTRATIVO","94","95"))</f>
        <v/>
      </c>
      <c r="D3059" t="str">
        <f>IF(OR(Registro_Compras!$C$343="",Registro_Compras!$O$343=""),"",IF(Registro_Compras!$AB$343="ADMINISTRATIVO","Gastos Administrativos","Gastos de Venta y Operacion"))</f>
        <v/>
      </c>
      <c r="E3059" s="20" t="str">
        <f>IF($C3059="","",IF(Registro_Compras!$F$343="NOTA DE CREDITO","",IF(Registro_Compras!$F$343="RHE",ROUND(Registro_Compras!$L$343*Registro_Compras!$N$343,2),ROUND(Registro_Compras!$J$343*Registro_Compras!$N$343,2))))</f>
        <v/>
      </c>
      <c r="F3059" s="20" t="str">
        <f>IF($C3059="","",IF(Registro_Compras!$F$343="NOTA DE CREDITO",ROUND(ABS(Registro_Compras!$J$343*Registro_Compras!$N$343),2),""))</f>
        <v/>
      </c>
      <c r="G3059" t="str">
        <f>IF($C3059="","","Por el destino del gasto")</f>
        <v/>
      </c>
      <c r="H3059" t="str">
        <f>IF($C3059="","",Registro_Compras!$C$343)</f>
        <v/>
      </c>
    </row>
    <row r="3060" spans="1:8" x14ac:dyDescent="0.25">
      <c r="A3060" s="25" t="str">
        <f>IF($C3060="","",Registro_Compras!$B$343)</f>
        <v/>
      </c>
      <c r="B3060" t="str">
        <f>IF($C3060="","","C"&amp;TEXT(INT((ROW()-5)/9)+1,"000")&amp;"-2")</f>
        <v/>
      </c>
      <c r="C3060" t="str">
        <f>IF(OR(Registro_Compras!$C$343="",Registro_Compras!$O$343=""),"","79/791")</f>
        <v/>
      </c>
      <c r="D3060" t="str">
        <f>IF(OR(Registro_Compras!$C$343="",Registro_Compras!$O$343=""),"","Cargas Imputables a Cuentas de Costos y Gastos")</f>
        <v/>
      </c>
      <c r="E3060" s="20" t="str">
        <f>IF($C3060="","",IF(Registro_Compras!$F$343="NOTA DE CREDITO",ROUND(ABS(Registro_Compras!$J$343*Registro_Compras!$N$343),2),""))</f>
        <v/>
      </c>
      <c r="F3060" s="20" t="str">
        <f>IF($C3060="","",IF(Registro_Compras!$F$343="NOTA DE CREDITO","",IF(Registro_Compras!$F$343="RHE",ROUND(Registro_Compras!$L$343*Registro_Compras!$N$343,2),ROUND(Registro_Compras!$J$343*Registro_Compras!$N$343,2))))</f>
        <v/>
      </c>
      <c r="G3060" t="str">
        <f>IF($C3060="","","Por el destino del gasto")</f>
        <v/>
      </c>
      <c r="H3060" t="str">
        <f>IF($C3060="","",Registro_Compras!$C$343)</f>
        <v/>
      </c>
    </row>
    <row r="3061" spans="1:8" x14ac:dyDescent="0.25">
      <c r="A3061" s="25" t="str">
        <f>IF($C3061="","",Registro_Compras!$X$343)</f>
        <v/>
      </c>
      <c r="B3061" t="str">
        <f>IF($C3061="","","C"&amp;TEXT(INT((ROW()-5)/9)+1,"000")&amp;"-3")</f>
        <v/>
      </c>
      <c r="C3061" t="str">
        <f>IF(OR(Registro_Compras!$C$343="",Registro_Compras!$O$343="",Registro_Compras!$R$343&lt;&gt;"SI",Registro_Compras!$X$343=""),"","4212")</f>
        <v/>
      </c>
      <c r="D3061" t="str">
        <f>IF(OR(Registro_Compras!$C$343="",Registro_Compras!$O$343=""),"","Cuentas por Pagar Comerciales - Terceros")</f>
        <v/>
      </c>
      <c r="E3061" s="20" t="str">
        <f>IF($C3061="","",Registro_Compras!$S$343)</f>
        <v/>
      </c>
      <c r="F3061" s="20" t="str">
        <f>""</f>
        <v/>
      </c>
      <c r="G3061" t="str">
        <f>IF($C3061="","","Por el deposito de la detraccion en el Banco de la Nacion")</f>
        <v/>
      </c>
      <c r="H3061" t="str">
        <f>IF($C3061="","",Registro_Compras!$C$343)</f>
        <v/>
      </c>
    </row>
    <row r="3062" spans="1:8" x14ac:dyDescent="0.25">
      <c r="A3062" s="25" t="str">
        <f>IF($C3062="","",Registro_Compras!$X$343)</f>
        <v/>
      </c>
      <c r="B3062" t="str">
        <f>IF($C3062="","","C"&amp;TEXT(INT((ROW()-5)/9)+1,"000")&amp;"-3")</f>
        <v/>
      </c>
      <c r="C3062" t="str">
        <f>IF(OR(Registro_Compras!$C$343="",Registro_Compras!$O$343="",Registro_Compras!$R$343&lt;&gt;"SI",Registro_Compras!$X$343=""),"","1041")</f>
        <v/>
      </c>
      <c r="D3062" t="str">
        <f>IF(OR(Registro_Compras!$C$343="",Registro_Compras!$O$343=""),"","Efectivo y Equivalentes - Cta. Cte. Operativa")</f>
        <v/>
      </c>
      <c r="E3062" s="20" t="str">
        <f>""</f>
        <v/>
      </c>
      <c r="F3062" s="20" t="str">
        <f>IF($C3062="","",Registro_Compras!$S$343)</f>
        <v/>
      </c>
      <c r="G3062" t="str">
        <f>IF($C3062="","","Por el deposito de la detraccion en el Banco de la Nacion")</f>
        <v/>
      </c>
      <c r="H3062" t="str">
        <f>IF($C3062="","",Registro_Compras!$C$343)</f>
        <v/>
      </c>
    </row>
    <row r="3063" spans="1:8" x14ac:dyDescent="0.25">
      <c r="A3063" s="25" t="str">
        <f>IF($C3063="","",Registro_Compras!$Y$343)</f>
        <v/>
      </c>
      <c r="B3063" t="str">
        <f>IF($C3063="","","C"&amp;TEXT(INT((ROW()-5)/9)+1,"000")&amp;"-4")</f>
        <v/>
      </c>
      <c r="C3063" t="str">
        <f>IF(OR(Registro_Compras!$C$343="",Registro_Compras!$O$343="",Registro_Compras!$Y$343="",Registro_Compras!$F$343="NOTA DE CREDITO"),"","4212")</f>
        <v/>
      </c>
      <c r="D3063" t="str">
        <f>IF(OR(Registro_Compras!$C$343="",Registro_Compras!$O$343=""),"","Cuentas por Pagar Comerciales - Terceros")</f>
        <v/>
      </c>
      <c r="E3063" s="20" t="str">
        <f>IF($C3063="","",IF(Registro_Compras!$F$343="RHE",(ROUND(Registro_Compras!$L$343*Registro_Compras!$N$343,2)-ROUND(Registro_Compras!$V$343*Registro_Compras!$N$343,2)),ROUND(Registro_Compras!$O$343-Registro_Compras!$S$343,2)))</f>
        <v/>
      </c>
      <c r="F3063" s="20" t="str">
        <f>""</f>
        <v/>
      </c>
      <c r="G3063" t="str">
        <f>IF($C3063="","","Por la cancelacion del saldo al proveedor")</f>
        <v/>
      </c>
      <c r="H3063" t="str">
        <f>IF($C3063="","",Registro_Compras!$C$343)</f>
        <v/>
      </c>
    </row>
    <row r="3064" spans="1:8" x14ac:dyDescent="0.25">
      <c r="A3064" s="25" t="str">
        <f>IF($C3064="","",Registro_Compras!$Y$343)</f>
        <v/>
      </c>
      <c r="B3064" t="str">
        <f>IF($C3064="","","C"&amp;TEXT(INT((ROW()-5)/9)+1,"000")&amp;"-4")</f>
        <v/>
      </c>
      <c r="C3064" t="str">
        <f>IF(OR(Registro_Compras!$C$343="",Registro_Compras!$O$343="",Registro_Compras!$Y$343="",Registro_Compras!$F$343="NOTA DE CREDITO"),"","1041")</f>
        <v/>
      </c>
      <c r="D3064" t="str">
        <f>IF(OR(Registro_Compras!$C$343="",Registro_Compras!$O$343=""),"","Efectivo y Equivalentes - Cta. Cte. Operativa")</f>
        <v/>
      </c>
      <c r="E3064" s="20" t="str">
        <f>""</f>
        <v/>
      </c>
      <c r="F3064" s="20" t="str">
        <f>IF($C3064="","",IF(Registro_Compras!$F$343="RHE",(ROUND(Registro_Compras!$L$343*Registro_Compras!$N$343,2)-ROUND(Registro_Compras!$V$343*Registro_Compras!$N$343,2)),ROUND(Registro_Compras!$O$343-Registro_Compras!$S$343,2)))</f>
        <v/>
      </c>
      <c r="G3064" t="str">
        <f>IF($C3064="","","Por la cancelacion del saldo al proveedor")</f>
        <v/>
      </c>
      <c r="H3064" t="str">
        <f>IF($C3064="","",Registro_Compras!$C$343)</f>
        <v/>
      </c>
    </row>
    <row r="3065" spans="1:8" x14ac:dyDescent="0.25">
      <c r="A3065" s="25" t="str">
        <f>IF($C3065="","",Registro_Compras!$B$344)</f>
        <v/>
      </c>
      <c r="B3065" t="str">
        <f>IF($C3065="","","C"&amp;TEXT(INT((ROW()-5)/9)+1,"000")&amp;"-1")</f>
        <v/>
      </c>
      <c r="C3065" t="str">
        <f>IF(OR(Registro_Compras!$C$344="",Registro_Compras!$O$344=""),"",IF(Registro_Compras!$F$344="NOTA DE CREDITO","4212",IF(Registro_Compras!$M$344="","63",Registro_Compras!$M$344)))</f>
        <v/>
      </c>
      <c r="D3065" t="str">
        <f>IF(OR(Registro_Compras!$C$344="",Registro_Compras!$O$344=""),"",IF(Registro_Compras!$F$344="NOTA DE CREDITO","Cuentas por Pagar Comerciales - Terceros (Emitidas)",IF(Registro_Compras!$F$344="RHE","Honorarios Profesionales - Servicios de Terceros","Gastos de Servicios Prestados por Terceros")))</f>
        <v/>
      </c>
      <c r="E3065" s="20" t="str">
        <f>IF($C3065="","",IF(Registro_Compras!$F$344="NOTA DE CREDITO",ABS(Registro_Compras!$O$344),IF(Registro_Compras!$F$344="RHE",ROUND(Registro_Compras!$L$344*Registro_Compras!$N$344,2),ROUND(Registro_Compras!$J$344*Registro_Compras!$N$344,2))))</f>
        <v/>
      </c>
      <c r="F3065" s="20" t="str">
        <f>""</f>
        <v/>
      </c>
      <c r="G3065" t="str">
        <f>IF($C3065="","",IF(Registro_Compras!$F$344="NOTA DE CREDITO","Por la nota de credito "&amp;Registro_Compras!$C$344&amp;" de "&amp;Registro_Compras!$E$344&amp;" [PATRON POR CONFIRMAR CON CONTADOR]",IF(Registro_Compras!$F$344="RHE","Por el registro del recibo por honorarios "&amp;Registro_Compras!$C$344&amp;" de "&amp;Registro_Compras!$E$344&amp;" [PATRON POR CONFIRMAR CON CONTADOR]","Por el registro de la factura "&amp;Registro_Compras!$C$344&amp;" de "&amp;Registro_Compras!$E$344)))</f>
        <v/>
      </c>
      <c r="H3065" t="str">
        <f>IF($C3065="","",Registro_Compras!$C$344)</f>
        <v/>
      </c>
    </row>
    <row r="3066" spans="1:8" x14ac:dyDescent="0.25">
      <c r="A3066" s="25" t="str">
        <f>IF($C3066="","",Registro_Compras!$B$344)</f>
        <v/>
      </c>
      <c r="B3066" t="str">
        <f>IF($C3066="","","C"&amp;TEXT(INT((ROW()-5)/9)+1,"000")&amp;"-1")</f>
        <v/>
      </c>
      <c r="C3066" t="str">
        <f>IF(OR(Registro_Compras!$C$344="",Registro_Compras!$O$344=""),"",IF(Registro_Compras!$F$344="RHE",IF(Registro_Compras!$V$344=0,"","4017"),IF(Registro_Compras!$F$344="NOTA DE CREDITO",IF(Registro_Compras!$M$344="","63",Registro_Compras!$M$344),IF(Registro_Compras!$K$344=0,"","40111"))))</f>
        <v/>
      </c>
      <c r="D3066" t="str">
        <f>IF(OR(Registro_Compras!$C$344="",Registro_Compras!$O$344=""),"",IF(Registro_Compras!$F$344="RHE","Retencion Renta 4ta Categoria por Pagar",IF(Registro_Compras!$F$344="NOTA DE CREDITO","Gastos de Servicios Prestados por Terceros","IGV - Cuenta Propia (Credito Fiscal)")))</f>
        <v/>
      </c>
      <c r="E3066" s="20" t="str">
        <f>IF($C3066="","",IF(Registro_Compras!$F$344="FACTURA",ROUND(Registro_Compras!$K$344*Registro_Compras!$N$344,2),""))</f>
        <v/>
      </c>
      <c r="F3066" s="20" t="str">
        <f>IF($C3066="","",IF(Registro_Compras!$F$344="RHE",ROUND(Registro_Compras!$V$344*Registro_Compras!$N$344,2),IF(Registro_Compras!$F$344="NOTA DE CREDITO",ROUND(ABS(Registro_Compras!$J$344*Registro_Compras!$N$344),2),"")))</f>
        <v/>
      </c>
      <c r="G3066" t="str">
        <f>IF($C3066="","",IF(Registro_Compras!$F$344="NOTA DE CREDITO","Por la nota de credito "&amp;Registro_Compras!$C$344&amp;" de "&amp;Registro_Compras!$E$344&amp;" [PATRON POR CONFIRMAR CON CONTADOR]",IF(Registro_Compras!$F$344="RHE","Por el registro del recibo por honorarios "&amp;Registro_Compras!$C$344&amp;" de "&amp;Registro_Compras!$E$344&amp;" [PATRON POR CONFIRMAR CON CONTADOR]","Por el registro de la factura "&amp;Registro_Compras!$C$344&amp;" de "&amp;Registro_Compras!$E$344)))</f>
        <v/>
      </c>
      <c r="H3066" t="str">
        <f>IF($C3066="","",Registro_Compras!$C$344)</f>
        <v/>
      </c>
    </row>
    <row r="3067" spans="1:8" x14ac:dyDescent="0.25">
      <c r="A3067" s="25" t="str">
        <f>IF($C3067="","",Registro_Compras!$B$344)</f>
        <v/>
      </c>
      <c r="B3067" t="str">
        <f>IF($C3067="","","C"&amp;TEXT(INT((ROW()-5)/9)+1,"000")&amp;"-1")</f>
        <v/>
      </c>
      <c r="C3067" t="str">
        <f>IF(OR(Registro_Compras!$C$344="",Registro_Compras!$O$344=""),"",IF(Registro_Compras!$F$344="NOTA DE CREDITO",IF(Registro_Compras!$K$344=0,"","40111"),"4212"))</f>
        <v/>
      </c>
      <c r="D3067" t="str">
        <f>IF(OR(Registro_Compras!$C$344="",Registro_Compras!$O$344=""),"",IF(Registro_Compras!$F$344="NOTA DE CREDITO","IGV - Cuenta Propia (Credito Fiscal)","Cuentas por Pagar Comerciales - Terceros (Emitidas)"))</f>
        <v/>
      </c>
      <c r="E3067" s="20" t="str">
        <f>""</f>
        <v/>
      </c>
      <c r="F3067" s="20" t="str">
        <f>IF($C3067="","",IF(Registro_Compras!$F$344="NOTA DE CREDITO",ROUND(ABS(Registro_Compras!$K$344*Registro_Compras!$N$344),2),IF(Registro_Compras!$F$344="RHE",(ROUND(Registro_Compras!$L$344*Registro_Compras!$N$344,2)-ROUND(Registro_Compras!$V$344*Registro_Compras!$N$344,2)),Registro_Compras!$O$344)))</f>
        <v/>
      </c>
      <c r="G3067" t="str">
        <f>IF($C3067="","",IF(Registro_Compras!$F$344="NOTA DE CREDITO","Por la nota de credito "&amp;Registro_Compras!$C$344&amp;" de "&amp;Registro_Compras!$E$344&amp;" [PATRON POR CONFIRMAR CON CONTADOR]",IF(Registro_Compras!$F$344="RHE","Por el registro del recibo por honorarios "&amp;Registro_Compras!$C$344&amp;" de "&amp;Registro_Compras!$E$344&amp;" [PATRON POR CONFIRMAR CON CONTADOR]","Por el registro de la factura "&amp;Registro_Compras!$C$344&amp;" de "&amp;Registro_Compras!$E$344)))</f>
        <v/>
      </c>
      <c r="H3067" t="str">
        <f>IF($C3067="","",Registro_Compras!$C$344)</f>
        <v/>
      </c>
    </row>
    <row r="3068" spans="1:8" x14ac:dyDescent="0.25">
      <c r="A3068" s="25" t="str">
        <f>IF($C3068="","",Registro_Compras!$B$344)</f>
        <v/>
      </c>
      <c r="B3068" t="str">
        <f>IF($C3068="","","C"&amp;TEXT(INT((ROW()-5)/9)+1,"000")&amp;"-2")</f>
        <v/>
      </c>
      <c r="C3068" t="str">
        <f>IF(OR(Registro_Compras!$C$344="",Registro_Compras!$O$344=""),"",IF(Registro_Compras!$AB$344="ADMINISTRATIVO","94","95"))</f>
        <v/>
      </c>
      <c r="D3068" t="str">
        <f>IF(OR(Registro_Compras!$C$344="",Registro_Compras!$O$344=""),"",IF(Registro_Compras!$AB$344="ADMINISTRATIVO","Gastos Administrativos","Gastos de Venta y Operacion"))</f>
        <v/>
      </c>
      <c r="E3068" s="20" t="str">
        <f>IF($C3068="","",IF(Registro_Compras!$F$344="NOTA DE CREDITO","",IF(Registro_Compras!$F$344="RHE",ROUND(Registro_Compras!$L$344*Registro_Compras!$N$344,2),ROUND(Registro_Compras!$J$344*Registro_Compras!$N$344,2))))</f>
        <v/>
      </c>
      <c r="F3068" s="20" t="str">
        <f>IF($C3068="","",IF(Registro_Compras!$F$344="NOTA DE CREDITO",ROUND(ABS(Registro_Compras!$J$344*Registro_Compras!$N$344),2),""))</f>
        <v/>
      </c>
      <c r="G3068" t="str">
        <f>IF($C3068="","","Por el destino del gasto")</f>
        <v/>
      </c>
      <c r="H3068" t="str">
        <f>IF($C3068="","",Registro_Compras!$C$344)</f>
        <v/>
      </c>
    </row>
    <row r="3069" spans="1:8" x14ac:dyDescent="0.25">
      <c r="A3069" s="25" t="str">
        <f>IF($C3069="","",Registro_Compras!$B$344)</f>
        <v/>
      </c>
      <c r="B3069" t="str">
        <f>IF($C3069="","","C"&amp;TEXT(INT((ROW()-5)/9)+1,"000")&amp;"-2")</f>
        <v/>
      </c>
      <c r="C3069" t="str">
        <f>IF(OR(Registro_Compras!$C$344="",Registro_Compras!$O$344=""),"","79/791")</f>
        <v/>
      </c>
      <c r="D3069" t="str">
        <f>IF(OR(Registro_Compras!$C$344="",Registro_Compras!$O$344=""),"","Cargas Imputables a Cuentas de Costos y Gastos")</f>
        <v/>
      </c>
      <c r="E3069" s="20" t="str">
        <f>IF($C3069="","",IF(Registro_Compras!$F$344="NOTA DE CREDITO",ROUND(ABS(Registro_Compras!$J$344*Registro_Compras!$N$344),2),""))</f>
        <v/>
      </c>
      <c r="F3069" s="20" t="str">
        <f>IF($C3069="","",IF(Registro_Compras!$F$344="NOTA DE CREDITO","",IF(Registro_Compras!$F$344="RHE",ROUND(Registro_Compras!$L$344*Registro_Compras!$N$344,2),ROUND(Registro_Compras!$J$344*Registro_Compras!$N$344,2))))</f>
        <v/>
      </c>
      <c r="G3069" t="str">
        <f>IF($C3069="","","Por el destino del gasto")</f>
        <v/>
      </c>
      <c r="H3069" t="str">
        <f>IF($C3069="","",Registro_Compras!$C$344)</f>
        <v/>
      </c>
    </row>
    <row r="3070" spans="1:8" x14ac:dyDescent="0.25">
      <c r="A3070" s="25" t="str">
        <f>IF($C3070="","",Registro_Compras!$X$344)</f>
        <v/>
      </c>
      <c r="B3070" t="str">
        <f>IF($C3070="","","C"&amp;TEXT(INT((ROW()-5)/9)+1,"000")&amp;"-3")</f>
        <v/>
      </c>
      <c r="C3070" t="str">
        <f>IF(OR(Registro_Compras!$C$344="",Registro_Compras!$O$344="",Registro_Compras!$R$344&lt;&gt;"SI",Registro_Compras!$X$344=""),"","4212")</f>
        <v/>
      </c>
      <c r="D3070" t="str">
        <f>IF(OR(Registro_Compras!$C$344="",Registro_Compras!$O$344=""),"","Cuentas por Pagar Comerciales - Terceros")</f>
        <v/>
      </c>
      <c r="E3070" s="20" t="str">
        <f>IF($C3070="","",Registro_Compras!$S$344)</f>
        <v/>
      </c>
      <c r="F3070" s="20" t="str">
        <f>""</f>
        <v/>
      </c>
      <c r="G3070" t="str">
        <f>IF($C3070="","","Por el deposito de la detraccion en el Banco de la Nacion")</f>
        <v/>
      </c>
      <c r="H3070" t="str">
        <f>IF($C3070="","",Registro_Compras!$C$344)</f>
        <v/>
      </c>
    </row>
    <row r="3071" spans="1:8" x14ac:dyDescent="0.25">
      <c r="A3071" s="25" t="str">
        <f>IF($C3071="","",Registro_Compras!$X$344)</f>
        <v/>
      </c>
      <c r="B3071" t="str">
        <f>IF($C3071="","","C"&amp;TEXT(INT((ROW()-5)/9)+1,"000")&amp;"-3")</f>
        <v/>
      </c>
      <c r="C3071" t="str">
        <f>IF(OR(Registro_Compras!$C$344="",Registro_Compras!$O$344="",Registro_Compras!$R$344&lt;&gt;"SI",Registro_Compras!$X$344=""),"","1041")</f>
        <v/>
      </c>
      <c r="D3071" t="str">
        <f>IF(OR(Registro_Compras!$C$344="",Registro_Compras!$O$344=""),"","Efectivo y Equivalentes - Cta. Cte. Operativa")</f>
        <v/>
      </c>
      <c r="E3071" s="20" t="str">
        <f>""</f>
        <v/>
      </c>
      <c r="F3071" s="20" t="str">
        <f>IF($C3071="","",Registro_Compras!$S$344)</f>
        <v/>
      </c>
      <c r="G3071" t="str">
        <f>IF($C3071="","","Por el deposito de la detraccion en el Banco de la Nacion")</f>
        <v/>
      </c>
      <c r="H3071" t="str">
        <f>IF($C3071="","",Registro_Compras!$C$344)</f>
        <v/>
      </c>
    </row>
    <row r="3072" spans="1:8" x14ac:dyDescent="0.25">
      <c r="A3072" s="25" t="str">
        <f>IF($C3072="","",Registro_Compras!$Y$344)</f>
        <v/>
      </c>
      <c r="B3072" t="str">
        <f>IF($C3072="","","C"&amp;TEXT(INT((ROW()-5)/9)+1,"000")&amp;"-4")</f>
        <v/>
      </c>
      <c r="C3072" t="str">
        <f>IF(OR(Registro_Compras!$C$344="",Registro_Compras!$O$344="",Registro_Compras!$Y$344="",Registro_Compras!$F$344="NOTA DE CREDITO"),"","4212")</f>
        <v/>
      </c>
      <c r="D3072" t="str">
        <f>IF(OR(Registro_Compras!$C$344="",Registro_Compras!$O$344=""),"","Cuentas por Pagar Comerciales - Terceros")</f>
        <v/>
      </c>
      <c r="E3072" s="20" t="str">
        <f>IF($C3072="","",IF(Registro_Compras!$F$344="RHE",(ROUND(Registro_Compras!$L$344*Registro_Compras!$N$344,2)-ROUND(Registro_Compras!$V$344*Registro_Compras!$N$344,2)),ROUND(Registro_Compras!$O$344-Registro_Compras!$S$344,2)))</f>
        <v/>
      </c>
      <c r="F3072" s="20" t="str">
        <f>""</f>
        <v/>
      </c>
      <c r="G3072" t="str">
        <f>IF($C3072="","","Por la cancelacion del saldo al proveedor")</f>
        <v/>
      </c>
      <c r="H3072" t="str">
        <f>IF($C3072="","",Registro_Compras!$C$344)</f>
        <v/>
      </c>
    </row>
    <row r="3073" spans="1:8" x14ac:dyDescent="0.25">
      <c r="A3073" s="25" t="str">
        <f>IF($C3073="","",Registro_Compras!$Y$344)</f>
        <v/>
      </c>
      <c r="B3073" t="str">
        <f>IF($C3073="","","C"&amp;TEXT(INT((ROW()-5)/9)+1,"000")&amp;"-4")</f>
        <v/>
      </c>
      <c r="C3073" t="str">
        <f>IF(OR(Registro_Compras!$C$344="",Registro_Compras!$O$344="",Registro_Compras!$Y$344="",Registro_Compras!$F$344="NOTA DE CREDITO"),"","1041")</f>
        <v/>
      </c>
      <c r="D3073" t="str">
        <f>IF(OR(Registro_Compras!$C$344="",Registro_Compras!$O$344=""),"","Efectivo y Equivalentes - Cta. Cte. Operativa")</f>
        <v/>
      </c>
      <c r="E3073" s="20" t="str">
        <f>""</f>
        <v/>
      </c>
      <c r="F3073" s="20" t="str">
        <f>IF($C3073="","",IF(Registro_Compras!$F$344="RHE",(ROUND(Registro_Compras!$L$344*Registro_Compras!$N$344,2)-ROUND(Registro_Compras!$V$344*Registro_Compras!$N$344,2)),ROUND(Registro_Compras!$O$344-Registro_Compras!$S$344,2)))</f>
        <v/>
      </c>
      <c r="G3073" t="str">
        <f>IF($C3073="","","Por la cancelacion del saldo al proveedor")</f>
        <v/>
      </c>
      <c r="H3073" t="str">
        <f>IF($C3073="","",Registro_Compras!$C$344)</f>
        <v/>
      </c>
    </row>
    <row r="3074" spans="1:8" x14ac:dyDescent="0.25">
      <c r="A3074" s="25" t="str">
        <f>IF($C3074="","",Registro_Compras!$B$345)</f>
        <v/>
      </c>
      <c r="B3074" t="str">
        <f>IF($C3074="","","C"&amp;TEXT(INT((ROW()-5)/9)+1,"000")&amp;"-1")</f>
        <v/>
      </c>
      <c r="C3074" t="str">
        <f>IF(OR(Registro_Compras!$C$345="",Registro_Compras!$O$345=""),"",IF(Registro_Compras!$F$345="NOTA DE CREDITO","4212",IF(Registro_Compras!$M$345="","63",Registro_Compras!$M$345)))</f>
        <v/>
      </c>
      <c r="D3074" t="str">
        <f>IF(OR(Registro_Compras!$C$345="",Registro_Compras!$O$345=""),"",IF(Registro_Compras!$F$345="NOTA DE CREDITO","Cuentas por Pagar Comerciales - Terceros (Emitidas)",IF(Registro_Compras!$F$345="RHE","Honorarios Profesionales - Servicios de Terceros","Gastos de Servicios Prestados por Terceros")))</f>
        <v/>
      </c>
      <c r="E3074" s="20" t="str">
        <f>IF($C3074="","",IF(Registro_Compras!$F$345="NOTA DE CREDITO",ABS(Registro_Compras!$O$345),IF(Registro_Compras!$F$345="RHE",ROUND(Registro_Compras!$L$345*Registro_Compras!$N$345,2),ROUND(Registro_Compras!$J$345*Registro_Compras!$N$345,2))))</f>
        <v/>
      </c>
      <c r="F3074" s="20" t="str">
        <f>""</f>
        <v/>
      </c>
      <c r="G3074" t="str">
        <f>IF($C3074="","",IF(Registro_Compras!$F$345="NOTA DE CREDITO","Por la nota de credito "&amp;Registro_Compras!$C$345&amp;" de "&amp;Registro_Compras!$E$345&amp;" [PATRON POR CONFIRMAR CON CONTADOR]",IF(Registro_Compras!$F$345="RHE","Por el registro del recibo por honorarios "&amp;Registro_Compras!$C$345&amp;" de "&amp;Registro_Compras!$E$345&amp;" [PATRON POR CONFIRMAR CON CONTADOR]","Por el registro de la factura "&amp;Registro_Compras!$C$345&amp;" de "&amp;Registro_Compras!$E$345)))</f>
        <v/>
      </c>
      <c r="H3074" t="str">
        <f>IF($C3074="","",Registro_Compras!$C$345)</f>
        <v/>
      </c>
    </row>
    <row r="3075" spans="1:8" x14ac:dyDescent="0.25">
      <c r="A3075" s="25" t="str">
        <f>IF($C3075="","",Registro_Compras!$B$345)</f>
        <v/>
      </c>
      <c r="B3075" t="str">
        <f>IF($C3075="","","C"&amp;TEXT(INT((ROW()-5)/9)+1,"000")&amp;"-1")</f>
        <v/>
      </c>
      <c r="C3075" t="str">
        <f>IF(OR(Registro_Compras!$C$345="",Registro_Compras!$O$345=""),"",IF(Registro_Compras!$F$345="RHE",IF(Registro_Compras!$V$345=0,"","4017"),IF(Registro_Compras!$F$345="NOTA DE CREDITO",IF(Registro_Compras!$M$345="","63",Registro_Compras!$M$345),IF(Registro_Compras!$K$345=0,"","40111"))))</f>
        <v/>
      </c>
      <c r="D3075" t="str">
        <f>IF(OR(Registro_Compras!$C$345="",Registro_Compras!$O$345=""),"",IF(Registro_Compras!$F$345="RHE","Retencion Renta 4ta Categoria por Pagar",IF(Registro_Compras!$F$345="NOTA DE CREDITO","Gastos de Servicios Prestados por Terceros","IGV - Cuenta Propia (Credito Fiscal)")))</f>
        <v/>
      </c>
      <c r="E3075" s="20" t="str">
        <f>IF($C3075="","",IF(Registro_Compras!$F$345="FACTURA",ROUND(Registro_Compras!$K$345*Registro_Compras!$N$345,2),""))</f>
        <v/>
      </c>
      <c r="F3075" s="20" t="str">
        <f>IF($C3075="","",IF(Registro_Compras!$F$345="RHE",ROUND(Registro_Compras!$V$345*Registro_Compras!$N$345,2),IF(Registro_Compras!$F$345="NOTA DE CREDITO",ROUND(ABS(Registro_Compras!$J$345*Registro_Compras!$N$345),2),"")))</f>
        <v/>
      </c>
      <c r="G3075" t="str">
        <f>IF($C3075="","",IF(Registro_Compras!$F$345="NOTA DE CREDITO","Por la nota de credito "&amp;Registro_Compras!$C$345&amp;" de "&amp;Registro_Compras!$E$345&amp;" [PATRON POR CONFIRMAR CON CONTADOR]",IF(Registro_Compras!$F$345="RHE","Por el registro del recibo por honorarios "&amp;Registro_Compras!$C$345&amp;" de "&amp;Registro_Compras!$E$345&amp;" [PATRON POR CONFIRMAR CON CONTADOR]","Por el registro de la factura "&amp;Registro_Compras!$C$345&amp;" de "&amp;Registro_Compras!$E$345)))</f>
        <v/>
      </c>
      <c r="H3075" t="str">
        <f>IF($C3075="","",Registro_Compras!$C$345)</f>
        <v/>
      </c>
    </row>
    <row r="3076" spans="1:8" x14ac:dyDescent="0.25">
      <c r="A3076" s="25" t="str">
        <f>IF($C3076="","",Registro_Compras!$B$345)</f>
        <v/>
      </c>
      <c r="B3076" t="str">
        <f>IF($C3076="","","C"&amp;TEXT(INT((ROW()-5)/9)+1,"000")&amp;"-1")</f>
        <v/>
      </c>
      <c r="C3076" t="str">
        <f>IF(OR(Registro_Compras!$C$345="",Registro_Compras!$O$345=""),"",IF(Registro_Compras!$F$345="NOTA DE CREDITO",IF(Registro_Compras!$K$345=0,"","40111"),"4212"))</f>
        <v/>
      </c>
      <c r="D3076" t="str">
        <f>IF(OR(Registro_Compras!$C$345="",Registro_Compras!$O$345=""),"",IF(Registro_Compras!$F$345="NOTA DE CREDITO","IGV - Cuenta Propia (Credito Fiscal)","Cuentas por Pagar Comerciales - Terceros (Emitidas)"))</f>
        <v/>
      </c>
      <c r="E3076" s="20" t="str">
        <f>""</f>
        <v/>
      </c>
      <c r="F3076" s="20" t="str">
        <f>IF($C3076="","",IF(Registro_Compras!$F$345="NOTA DE CREDITO",ROUND(ABS(Registro_Compras!$K$345*Registro_Compras!$N$345),2),IF(Registro_Compras!$F$345="RHE",(ROUND(Registro_Compras!$L$345*Registro_Compras!$N$345,2)-ROUND(Registro_Compras!$V$345*Registro_Compras!$N$345,2)),Registro_Compras!$O$345)))</f>
        <v/>
      </c>
      <c r="G3076" t="str">
        <f>IF($C3076="","",IF(Registro_Compras!$F$345="NOTA DE CREDITO","Por la nota de credito "&amp;Registro_Compras!$C$345&amp;" de "&amp;Registro_Compras!$E$345&amp;" [PATRON POR CONFIRMAR CON CONTADOR]",IF(Registro_Compras!$F$345="RHE","Por el registro del recibo por honorarios "&amp;Registro_Compras!$C$345&amp;" de "&amp;Registro_Compras!$E$345&amp;" [PATRON POR CONFIRMAR CON CONTADOR]","Por el registro de la factura "&amp;Registro_Compras!$C$345&amp;" de "&amp;Registro_Compras!$E$345)))</f>
        <v/>
      </c>
      <c r="H3076" t="str">
        <f>IF($C3076="","",Registro_Compras!$C$345)</f>
        <v/>
      </c>
    </row>
    <row r="3077" spans="1:8" x14ac:dyDescent="0.25">
      <c r="A3077" s="25" t="str">
        <f>IF($C3077="","",Registro_Compras!$B$345)</f>
        <v/>
      </c>
      <c r="B3077" t="str">
        <f>IF($C3077="","","C"&amp;TEXT(INT((ROW()-5)/9)+1,"000")&amp;"-2")</f>
        <v/>
      </c>
      <c r="C3077" t="str">
        <f>IF(OR(Registro_Compras!$C$345="",Registro_Compras!$O$345=""),"",IF(Registro_Compras!$AB$345="ADMINISTRATIVO","94","95"))</f>
        <v/>
      </c>
      <c r="D3077" t="str">
        <f>IF(OR(Registro_Compras!$C$345="",Registro_Compras!$O$345=""),"",IF(Registro_Compras!$AB$345="ADMINISTRATIVO","Gastos Administrativos","Gastos de Venta y Operacion"))</f>
        <v/>
      </c>
      <c r="E3077" s="20" t="str">
        <f>IF($C3077="","",IF(Registro_Compras!$F$345="NOTA DE CREDITO","",IF(Registro_Compras!$F$345="RHE",ROUND(Registro_Compras!$L$345*Registro_Compras!$N$345,2),ROUND(Registro_Compras!$J$345*Registro_Compras!$N$345,2))))</f>
        <v/>
      </c>
      <c r="F3077" s="20" t="str">
        <f>IF($C3077="","",IF(Registro_Compras!$F$345="NOTA DE CREDITO",ROUND(ABS(Registro_Compras!$J$345*Registro_Compras!$N$345),2),""))</f>
        <v/>
      </c>
      <c r="G3077" t="str">
        <f>IF($C3077="","","Por el destino del gasto")</f>
        <v/>
      </c>
      <c r="H3077" t="str">
        <f>IF($C3077="","",Registro_Compras!$C$345)</f>
        <v/>
      </c>
    </row>
    <row r="3078" spans="1:8" x14ac:dyDescent="0.25">
      <c r="A3078" s="25" t="str">
        <f>IF($C3078="","",Registro_Compras!$B$345)</f>
        <v/>
      </c>
      <c r="B3078" t="str">
        <f>IF($C3078="","","C"&amp;TEXT(INT((ROW()-5)/9)+1,"000")&amp;"-2")</f>
        <v/>
      </c>
      <c r="C3078" t="str">
        <f>IF(OR(Registro_Compras!$C$345="",Registro_Compras!$O$345=""),"","79/791")</f>
        <v/>
      </c>
      <c r="D3078" t="str">
        <f>IF(OR(Registro_Compras!$C$345="",Registro_Compras!$O$345=""),"","Cargas Imputables a Cuentas de Costos y Gastos")</f>
        <v/>
      </c>
      <c r="E3078" s="20" t="str">
        <f>IF($C3078="","",IF(Registro_Compras!$F$345="NOTA DE CREDITO",ROUND(ABS(Registro_Compras!$J$345*Registro_Compras!$N$345),2),""))</f>
        <v/>
      </c>
      <c r="F3078" s="20" t="str">
        <f>IF($C3078="","",IF(Registro_Compras!$F$345="NOTA DE CREDITO","",IF(Registro_Compras!$F$345="RHE",ROUND(Registro_Compras!$L$345*Registro_Compras!$N$345,2),ROUND(Registro_Compras!$J$345*Registro_Compras!$N$345,2))))</f>
        <v/>
      </c>
      <c r="G3078" t="str">
        <f>IF($C3078="","","Por el destino del gasto")</f>
        <v/>
      </c>
      <c r="H3078" t="str">
        <f>IF($C3078="","",Registro_Compras!$C$345)</f>
        <v/>
      </c>
    </row>
    <row r="3079" spans="1:8" x14ac:dyDescent="0.25">
      <c r="A3079" s="25" t="str">
        <f>IF($C3079="","",Registro_Compras!$X$345)</f>
        <v/>
      </c>
      <c r="B3079" t="str">
        <f>IF($C3079="","","C"&amp;TEXT(INT((ROW()-5)/9)+1,"000")&amp;"-3")</f>
        <v/>
      </c>
      <c r="C3079" t="str">
        <f>IF(OR(Registro_Compras!$C$345="",Registro_Compras!$O$345="",Registro_Compras!$R$345&lt;&gt;"SI",Registro_Compras!$X$345=""),"","4212")</f>
        <v/>
      </c>
      <c r="D3079" t="str">
        <f>IF(OR(Registro_Compras!$C$345="",Registro_Compras!$O$345=""),"","Cuentas por Pagar Comerciales - Terceros")</f>
        <v/>
      </c>
      <c r="E3079" s="20" t="str">
        <f>IF($C3079="","",Registro_Compras!$S$345)</f>
        <v/>
      </c>
      <c r="F3079" s="20" t="str">
        <f>""</f>
        <v/>
      </c>
      <c r="G3079" t="str">
        <f>IF($C3079="","","Por el deposito de la detraccion en el Banco de la Nacion")</f>
        <v/>
      </c>
      <c r="H3079" t="str">
        <f>IF($C3079="","",Registro_Compras!$C$345)</f>
        <v/>
      </c>
    </row>
    <row r="3080" spans="1:8" x14ac:dyDescent="0.25">
      <c r="A3080" s="25" t="str">
        <f>IF($C3080="","",Registro_Compras!$X$345)</f>
        <v/>
      </c>
      <c r="B3080" t="str">
        <f>IF($C3080="","","C"&amp;TEXT(INT((ROW()-5)/9)+1,"000")&amp;"-3")</f>
        <v/>
      </c>
      <c r="C3080" t="str">
        <f>IF(OR(Registro_Compras!$C$345="",Registro_Compras!$O$345="",Registro_Compras!$R$345&lt;&gt;"SI",Registro_Compras!$X$345=""),"","1041")</f>
        <v/>
      </c>
      <c r="D3080" t="str">
        <f>IF(OR(Registro_Compras!$C$345="",Registro_Compras!$O$345=""),"","Efectivo y Equivalentes - Cta. Cte. Operativa")</f>
        <v/>
      </c>
      <c r="E3080" s="20" t="str">
        <f>""</f>
        <v/>
      </c>
      <c r="F3080" s="20" t="str">
        <f>IF($C3080="","",Registro_Compras!$S$345)</f>
        <v/>
      </c>
      <c r="G3080" t="str">
        <f>IF($C3080="","","Por el deposito de la detraccion en el Banco de la Nacion")</f>
        <v/>
      </c>
      <c r="H3080" t="str">
        <f>IF($C3080="","",Registro_Compras!$C$345)</f>
        <v/>
      </c>
    </row>
    <row r="3081" spans="1:8" x14ac:dyDescent="0.25">
      <c r="A3081" s="25" t="str">
        <f>IF($C3081="","",Registro_Compras!$Y$345)</f>
        <v/>
      </c>
      <c r="B3081" t="str">
        <f>IF($C3081="","","C"&amp;TEXT(INT((ROW()-5)/9)+1,"000")&amp;"-4")</f>
        <v/>
      </c>
      <c r="C3081" t="str">
        <f>IF(OR(Registro_Compras!$C$345="",Registro_Compras!$O$345="",Registro_Compras!$Y$345="",Registro_Compras!$F$345="NOTA DE CREDITO"),"","4212")</f>
        <v/>
      </c>
      <c r="D3081" t="str">
        <f>IF(OR(Registro_Compras!$C$345="",Registro_Compras!$O$345=""),"","Cuentas por Pagar Comerciales - Terceros")</f>
        <v/>
      </c>
      <c r="E3081" s="20" t="str">
        <f>IF($C3081="","",IF(Registro_Compras!$F$345="RHE",(ROUND(Registro_Compras!$L$345*Registro_Compras!$N$345,2)-ROUND(Registro_Compras!$V$345*Registro_Compras!$N$345,2)),ROUND(Registro_Compras!$O$345-Registro_Compras!$S$345,2)))</f>
        <v/>
      </c>
      <c r="F3081" s="20" t="str">
        <f>""</f>
        <v/>
      </c>
      <c r="G3081" t="str">
        <f>IF($C3081="","","Por la cancelacion del saldo al proveedor")</f>
        <v/>
      </c>
      <c r="H3081" t="str">
        <f>IF($C3081="","",Registro_Compras!$C$345)</f>
        <v/>
      </c>
    </row>
    <row r="3082" spans="1:8" x14ac:dyDescent="0.25">
      <c r="A3082" s="25" t="str">
        <f>IF($C3082="","",Registro_Compras!$Y$345)</f>
        <v/>
      </c>
      <c r="B3082" t="str">
        <f>IF($C3082="","","C"&amp;TEXT(INT((ROW()-5)/9)+1,"000")&amp;"-4")</f>
        <v/>
      </c>
      <c r="C3082" t="str">
        <f>IF(OR(Registro_Compras!$C$345="",Registro_Compras!$O$345="",Registro_Compras!$Y$345="",Registro_Compras!$F$345="NOTA DE CREDITO"),"","1041")</f>
        <v/>
      </c>
      <c r="D3082" t="str">
        <f>IF(OR(Registro_Compras!$C$345="",Registro_Compras!$O$345=""),"","Efectivo y Equivalentes - Cta. Cte. Operativa")</f>
        <v/>
      </c>
      <c r="E3082" s="20" t="str">
        <f>""</f>
        <v/>
      </c>
      <c r="F3082" s="20" t="str">
        <f>IF($C3082="","",IF(Registro_Compras!$F$345="RHE",(ROUND(Registro_Compras!$L$345*Registro_Compras!$N$345,2)-ROUND(Registro_Compras!$V$345*Registro_Compras!$N$345,2)),ROUND(Registro_Compras!$O$345-Registro_Compras!$S$345,2)))</f>
        <v/>
      </c>
      <c r="G3082" t="str">
        <f>IF($C3082="","","Por la cancelacion del saldo al proveedor")</f>
        <v/>
      </c>
      <c r="H3082" t="str">
        <f>IF($C3082="","",Registro_Compras!$C$345)</f>
        <v/>
      </c>
    </row>
    <row r="3083" spans="1:8" x14ac:dyDescent="0.25">
      <c r="A3083" s="25" t="str">
        <f>IF($C3083="","",Registro_Compras!$B$346)</f>
        <v/>
      </c>
      <c r="B3083" t="str">
        <f>IF($C3083="","","C"&amp;TEXT(INT((ROW()-5)/9)+1,"000")&amp;"-1")</f>
        <v/>
      </c>
      <c r="C3083" t="str">
        <f>IF(OR(Registro_Compras!$C$346="",Registro_Compras!$O$346=""),"",IF(Registro_Compras!$F$346="NOTA DE CREDITO","4212",IF(Registro_Compras!$M$346="","63",Registro_Compras!$M$346)))</f>
        <v/>
      </c>
      <c r="D3083" t="str">
        <f>IF(OR(Registro_Compras!$C$346="",Registro_Compras!$O$346=""),"",IF(Registro_Compras!$F$346="NOTA DE CREDITO","Cuentas por Pagar Comerciales - Terceros (Emitidas)",IF(Registro_Compras!$F$346="RHE","Honorarios Profesionales - Servicios de Terceros","Gastos de Servicios Prestados por Terceros")))</f>
        <v/>
      </c>
      <c r="E3083" s="20" t="str">
        <f>IF($C3083="","",IF(Registro_Compras!$F$346="NOTA DE CREDITO",ABS(Registro_Compras!$O$346),IF(Registro_Compras!$F$346="RHE",ROUND(Registro_Compras!$L$346*Registro_Compras!$N$346,2),ROUND(Registro_Compras!$J$346*Registro_Compras!$N$346,2))))</f>
        <v/>
      </c>
      <c r="F3083" s="20" t="str">
        <f>""</f>
        <v/>
      </c>
      <c r="G3083" t="str">
        <f>IF($C3083="","",IF(Registro_Compras!$F$346="NOTA DE CREDITO","Por la nota de credito "&amp;Registro_Compras!$C$346&amp;" de "&amp;Registro_Compras!$E$346&amp;" [PATRON POR CONFIRMAR CON CONTADOR]",IF(Registro_Compras!$F$346="RHE","Por el registro del recibo por honorarios "&amp;Registro_Compras!$C$346&amp;" de "&amp;Registro_Compras!$E$346&amp;" [PATRON POR CONFIRMAR CON CONTADOR]","Por el registro de la factura "&amp;Registro_Compras!$C$346&amp;" de "&amp;Registro_Compras!$E$346)))</f>
        <v/>
      </c>
      <c r="H3083" t="str">
        <f>IF($C3083="","",Registro_Compras!$C$346)</f>
        <v/>
      </c>
    </row>
    <row r="3084" spans="1:8" x14ac:dyDescent="0.25">
      <c r="A3084" s="25" t="str">
        <f>IF($C3084="","",Registro_Compras!$B$346)</f>
        <v/>
      </c>
      <c r="B3084" t="str">
        <f>IF($C3084="","","C"&amp;TEXT(INT((ROW()-5)/9)+1,"000")&amp;"-1")</f>
        <v/>
      </c>
      <c r="C3084" t="str">
        <f>IF(OR(Registro_Compras!$C$346="",Registro_Compras!$O$346=""),"",IF(Registro_Compras!$F$346="RHE",IF(Registro_Compras!$V$346=0,"","4017"),IF(Registro_Compras!$F$346="NOTA DE CREDITO",IF(Registro_Compras!$M$346="","63",Registro_Compras!$M$346),IF(Registro_Compras!$K$346=0,"","40111"))))</f>
        <v/>
      </c>
      <c r="D3084" t="str">
        <f>IF(OR(Registro_Compras!$C$346="",Registro_Compras!$O$346=""),"",IF(Registro_Compras!$F$346="RHE","Retencion Renta 4ta Categoria por Pagar",IF(Registro_Compras!$F$346="NOTA DE CREDITO","Gastos de Servicios Prestados por Terceros","IGV - Cuenta Propia (Credito Fiscal)")))</f>
        <v/>
      </c>
      <c r="E3084" s="20" t="str">
        <f>IF($C3084="","",IF(Registro_Compras!$F$346="FACTURA",ROUND(Registro_Compras!$K$346*Registro_Compras!$N$346,2),""))</f>
        <v/>
      </c>
      <c r="F3084" s="20" t="str">
        <f>IF($C3084="","",IF(Registro_Compras!$F$346="RHE",ROUND(Registro_Compras!$V$346*Registro_Compras!$N$346,2),IF(Registro_Compras!$F$346="NOTA DE CREDITO",ROUND(ABS(Registro_Compras!$J$346*Registro_Compras!$N$346),2),"")))</f>
        <v/>
      </c>
      <c r="G3084" t="str">
        <f>IF($C3084="","",IF(Registro_Compras!$F$346="NOTA DE CREDITO","Por la nota de credito "&amp;Registro_Compras!$C$346&amp;" de "&amp;Registro_Compras!$E$346&amp;" [PATRON POR CONFIRMAR CON CONTADOR]",IF(Registro_Compras!$F$346="RHE","Por el registro del recibo por honorarios "&amp;Registro_Compras!$C$346&amp;" de "&amp;Registro_Compras!$E$346&amp;" [PATRON POR CONFIRMAR CON CONTADOR]","Por el registro de la factura "&amp;Registro_Compras!$C$346&amp;" de "&amp;Registro_Compras!$E$346)))</f>
        <v/>
      </c>
      <c r="H3084" t="str">
        <f>IF($C3084="","",Registro_Compras!$C$346)</f>
        <v/>
      </c>
    </row>
    <row r="3085" spans="1:8" x14ac:dyDescent="0.25">
      <c r="A3085" s="25" t="str">
        <f>IF($C3085="","",Registro_Compras!$B$346)</f>
        <v/>
      </c>
      <c r="B3085" t="str">
        <f>IF($C3085="","","C"&amp;TEXT(INT((ROW()-5)/9)+1,"000")&amp;"-1")</f>
        <v/>
      </c>
      <c r="C3085" t="str">
        <f>IF(OR(Registro_Compras!$C$346="",Registro_Compras!$O$346=""),"",IF(Registro_Compras!$F$346="NOTA DE CREDITO",IF(Registro_Compras!$K$346=0,"","40111"),"4212"))</f>
        <v/>
      </c>
      <c r="D3085" t="str">
        <f>IF(OR(Registro_Compras!$C$346="",Registro_Compras!$O$346=""),"",IF(Registro_Compras!$F$346="NOTA DE CREDITO","IGV - Cuenta Propia (Credito Fiscal)","Cuentas por Pagar Comerciales - Terceros (Emitidas)"))</f>
        <v/>
      </c>
      <c r="E3085" s="20" t="str">
        <f>""</f>
        <v/>
      </c>
      <c r="F3085" s="20" t="str">
        <f>IF($C3085="","",IF(Registro_Compras!$F$346="NOTA DE CREDITO",ROUND(ABS(Registro_Compras!$K$346*Registro_Compras!$N$346),2),IF(Registro_Compras!$F$346="RHE",(ROUND(Registro_Compras!$L$346*Registro_Compras!$N$346,2)-ROUND(Registro_Compras!$V$346*Registro_Compras!$N$346,2)),Registro_Compras!$O$346)))</f>
        <v/>
      </c>
      <c r="G3085" t="str">
        <f>IF($C3085="","",IF(Registro_Compras!$F$346="NOTA DE CREDITO","Por la nota de credito "&amp;Registro_Compras!$C$346&amp;" de "&amp;Registro_Compras!$E$346&amp;" [PATRON POR CONFIRMAR CON CONTADOR]",IF(Registro_Compras!$F$346="RHE","Por el registro del recibo por honorarios "&amp;Registro_Compras!$C$346&amp;" de "&amp;Registro_Compras!$E$346&amp;" [PATRON POR CONFIRMAR CON CONTADOR]","Por el registro de la factura "&amp;Registro_Compras!$C$346&amp;" de "&amp;Registro_Compras!$E$346)))</f>
        <v/>
      </c>
      <c r="H3085" t="str">
        <f>IF($C3085="","",Registro_Compras!$C$346)</f>
        <v/>
      </c>
    </row>
    <row r="3086" spans="1:8" x14ac:dyDescent="0.25">
      <c r="A3086" s="25" t="str">
        <f>IF($C3086="","",Registro_Compras!$B$346)</f>
        <v/>
      </c>
      <c r="B3086" t="str">
        <f>IF($C3086="","","C"&amp;TEXT(INT((ROW()-5)/9)+1,"000")&amp;"-2")</f>
        <v/>
      </c>
      <c r="C3086" t="str">
        <f>IF(OR(Registro_Compras!$C$346="",Registro_Compras!$O$346=""),"",IF(Registro_Compras!$AB$346="ADMINISTRATIVO","94","95"))</f>
        <v/>
      </c>
      <c r="D3086" t="str">
        <f>IF(OR(Registro_Compras!$C$346="",Registro_Compras!$O$346=""),"",IF(Registro_Compras!$AB$346="ADMINISTRATIVO","Gastos Administrativos","Gastos de Venta y Operacion"))</f>
        <v/>
      </c>
      <c r="E3086" s="20" t="str">
        <f>IF($C3086="","",IF(Registro_Compras!$F$346="NOTA DE CREDITO","",IF(Registro_Compras!$F$346="RHE",ROUND(Registro_Compras!$L$346*Registro_Compras!$N$346,2),ROUND(Registro_Compras!$J$346*Registro_Compras!$N$346,2))))</f>
        <v/>
      </c>
      <c r="F3086" s="20" t="str">
        <f>IF($C3086="","",IF(Registro_Compras!$F$346="NOTA DE CREDITO",ROUND(ABS(Registro_Compras!$J$346*Registro_Compras!$N$346),2),""))</f>
        <v/>
      </c>
      <c r="G3086" t="str">
        <f>IF($C3086="","","Por el destino del gasto")</f>
        <v/>
      </c>
      <c r="H3086" t="str">
        <f>IF($C3086="","",Registro_Compras!$C$346)</f>
        <v/>
      </c>
    </row>
    <row r="3087" spans="1:8" x14ac:dyDescent="0.25">
      <c r="A3087" s="25" t="str">
        <f>IF($C3087="","",Registro_Compras!$B$346)</f>
        <v/>
      </c>
      <c r="B3087" t="str">
        <f>IF($C3087="","","C"&amp;TEXT(INT((ROW()-5)/9)+1,"000")&amp;"-2")</f>
        <v/>
      </c>
      <c r="C3087" t="str">
        <f>IF(OR(Registro_Compras!$C$346="",Registro_Compras!$O$346=""),"","79/791")</f>
        <v/>
      </c>
      <c r="D3087" t="str">
        <f>IF(OR(Registro_Compras!$C$346="",Registro_Compras!$O$346=""),"","Cargas Imputables a Cuentas de Costos y Gastos")</f>
        <v/>
      </c>
      <c r="E3087" s="20" t="str">
        <f>IF($C3087="","",IF(Registro_Compras!$F$346="NOTA DE CREDITO",ROUND(ABS(Registro_Compras!$J$346*Registro_Compras!$N$346),2),""))</f>
        <v/>
      </c>
      <c r="F3087" s="20" t="str">
        <f>IF($C3087="","",IF(Registro_Compras!$F$346="NOTA DE CREDITO","",IF(Registro_Compras!$F$346="RHE",ROUND(Registro_Compras!$L$346*Registro_Compras!$N$346,2),ROUND(Registro_Compras!$J$346*Registro_Compras!$N$346,2))))</f>
        <v/>
      </c>
      <c r="G3087" t="str">
        <f>IF($C3087="","","Por el destino del gasto")</f>
        <v/>
      </c>
      <c r="H3087" t="str">
        <f>IF($C3087="","",Registro_Compras!$C$346)</f>
        <v/>
      </c>
    </row>
    <row r="3088" spans="1:8" x14ac:dyDescent="0.25">
      <c r="A3088" s="25" t="str">
        <f>IF($C3088="","",Registro_Compras!$X$346)</f>
        <v/>
      </c>
      <c r="B3088" t="str">
        <f>IF($C3088="","","C"&amp;TEXT(INT((ROW()-5)/9)+1,"000")&amp;"-3")</f>
        <v/>
      </c>
      <c r="C3088" t="str">
        <f>IF(OR(Registro_Compras!$C$346="",Registro_Compras!$O$346="",Registro_Compras!$R$346&lt;&gt;"SI",Registro_Compras!$X$346=""),"","4212")</f>
        <v/>
      </c>
      <c r="D3088" t="str">
        <f>IF(OR(Registro_Compras!$C$346="",Registro_Compras!$O$346=""),"","Cuentas por Pagar Comerciales - Terceros")</f>
        <v/>
      </c>
      <c r="E3088" s="20" t="str">
        <f>IF($C3088="","",Registro_Compras!$S$346)</f>
        <v/>
      </c>
      <c r="F3088" s="20" t="str">
        <f>""</f>
        <v/>
      </c>
      <c r="G3088" t="str">
        <f>IF($C3088="","","Por el deposito de la detraccion en el Banco de la Nacion")</f>
        <v/>
      </c>
      <c r="H3088" t="str">
        <f>IF($C3088="","",Registro_Compras!$C$346)</f>
        <v/>
      </c>
    </row>
    <row r="3089" spans="1:8" x14ac:dyDescent="0.25">
      <c r="A3089" s="25" t="str">
        <f>IF($C3089="","",Registro_Compras!$X$346)</f>
        <v/>
      </c>
      <c r="B3089" t="str">
        <f>IF($C3089="","","C"&amp;TEXT(INT((ROW()-5)/9)+1,"000")&amp;"-3")</f>
        <v/>
      </c>
      <c r="C3089" t="str">
        <f>IF(OR(Registro_Compras!$C$346="",Registro_Compras!$O$346="",Registro_Compras!$R$346&lt;&gt;"SI",Registro_Compras!$X$346=""),"","1041")</f>
        <v/>
      </c>
      <c r="D3089" t="str">
        <f>IF(OR(Registro_Compras!$C$346="",Registro_Compras!$O$346=""),"","Efectivo y Equivalentes - Cta. Cte. Operativa")</f>
        <v/>
      </c>
      <c r="E3089" s="20" t="str">
        <f>""</f>
        <v/>
      </c>
      <c r="F3089" s="20" t="str">
        <f>IF($C3089="","",Registro_Compras!$S$346)</f>
        <v/>
      </c>
      <c r="G3089" t="str">
        <f>IF($C3089="","","Por el deposito de la detraccion en el Banco de la Nacion")</f>
        <v/>
      </c>
      <c r="H3089" t="str">
        <f>IF($C3089="","",Registro_Compras!$C$346)</f>
        <v/>
      </c>
    </row>
    <row r="3090" spans="1:8" x14ac:dyDescent="0.25">
      <c r="A3090" s="25" t="str">
        <f>IF($C3090="","",Registro_Compras!$Y$346)</f>
        <v/>
      </c>
      <c r="B3090" t="str">
        <f>IF($C3090="","","C"&amp;TEXT(INT((ROW()-5)/9)+1,"000")&amp;"-4")</f>
        <v/>
      </c>
      <c r="C3090" t="str">
        <f>IF(OR(Registro_Compras!$C$346="",Registro_Compras!$O$346="",Registro_Compras!$Y$346="",Registro_Compras!$F$346="NOTA DE CREDITO"),"","4212")</f>
        <v/>
      </c>
      <c r="D3090" t="str">
        <f>IF(OR(Registro_Compras!$C$346="",Registro_Compras!$O$346=""),"","Cuentas por Pagar Comerciales - Terceros")</f>
        <v/>
      </c>
      <c r="E3090" s="20" t="str">
        <f>IF($C3090="","",IF(Registro_Compras!$F$346="RHE",(ROUND(Registro_Compras!$L$346*Registro_Compras!$N$346,2)-ROUND(Registro_Compras!$V$346*Registro_Compras!$N$346,2)),ROUND(Registro_Compras!$O$346-Registro_Compras!$S$346,2)))</f>
        <v/>
      </c>
      <c r="F3090" s="20" t="str">
        <f>""</f>
        <v/>
      </c>
      <c r="G3090" t="str">
        <f>IF($C3090="","","Por la cancelacion del saldo al proveedor")</f>
        <v/>
      </c>
      <c r="H3090" t="str">
        <f>IF($C3090="","",Registro_Compras!$C$346)</f>
        <v/>
      </c>
    </row>
    <row r="3091" spans="1:8" x14ac:dyDescent="0.25">
      <c r="A3091" s="25" t="str">
        <f>IF($C3091="","",Registro_Compras!$Y$346)</f>
        <v/>
      </c>
      <c r="B3091" t="str">
        <f>IF($C3091="","","C"&amp;TEXT(INT((ROW()-5)/9)+1,"000")&amp;"-4")</f>
        <v/>
      </c>
      <c r="C3091" t="str">
        <f>IF(OR(Registro_Compras!$C$346="",Registro_Compras!$O$346="",Registro_Compras!$Y$346="",Registro_Compras!$F$346="NOTA DE CREDITO"),"","1041")</f>
        <v/>
      </c>
      <c r="D3091" t="str">
        <f>IF(OR(Registro_Compras!$C$346="",Registro_Compras!$O$346=""),"","Efectivo y Equivalentes - Cta. Cte. Operativa")</f>
        <v/>
      </c>
      <c r="E3091" s="20" t="str">
        <f>""</f>
        <v/>
      </c>
      <c r="F3091" s="20" t="str">
        <f>IF($C3091="","",IF(Registro_Compras!$F$346="RHE",(ROUND(Registro_Compras!$L$346*Registro_Compras!$N$346,2)-ROUND(Registro_Compras!$V$346*Registro_Compras!$N$346,2)),ROUND(Registro_Compras!$O$346-Registro_Compras!$S$346,2)))</f>
        <v/>
      </c>
      <c r="G3091" t="str">
        <f>IF($C3091="","","Por la cancelacion del saldo al proveedor")</f>
        <v/>
      </c>
      <c r="H3091" t="str">
        <f>IF($C3091="","",Registro_Compras!$C$346)</f>
        <v/>
      </c>
    </row>
    <row r="3092" spans="1:8" x14ac:dyDescent="0.25">
      <c r="A3092" s="25" t="str">
        <f>IF($C3092="","",Registro_Compras!$B$347)</f>
        <v/>
      </c>
      <c r="B3092" t="str">
        <f>IF($C3092="","","C"&amp;TEXT(INT((ROW()-5)/9)+1,"000")&amp;"-1")</f>
        <v/>
      </c>
      <c r="C3092" t="str">
        <f>IF(OR(Registro_Compras!$C$347="",Registro_Compras!$O$347=""),"",IF(Registro_Compras!$F$347="NOTA DE CREDITO","4212",IF(Registro_Compras!$M$347="","63",Registro_Compras!$M$347)))</f>
        <v/>
      </c>
      <c r="D3092" t="str">
        <f>IF(OR(Registro_Compras!$C$347="",Registro_Compras!$O$347=""),"",IF(Registro_Compras!$F$347="NOTA DE CREDITO","Cuentas por Pagar Comerciales - Terceros (Emitidas)",IF(Registro_Compras!$F$347="RHE","Honorarios Profesionales - Servicios de Terceros","Gastos de Servicios Prestados por Terceros")))</f>
        <v/>
      </c>
      <c r="E3092" s="20" t="str">
        <f>IF($C3092="","",IF(Registro_Compras!$F$347="NOTA DE CREDITO",ABS(Registro_Compras!$O$347),IF(Registro_Compras!$F$347="RHE",ROUND(Registro_Compras!$L$347*Registro_Compras!$N$347,2),ROUND(Registro_Compras!$J$347*Registro_Compras!$N$347,2))))</f>
        <v/>
      </c>
      <c r="F3092" s="20" t="str">
        <f>""</f>
        <v/>
      </c>
      <c r="G3092" t="str">
        <f>IF($C3092="","",IF(Registro_Compras!$F$347="NOTA DE CREDITO","Por la nota de credito "&amp;Registro_Compras!$C$347&amp;" de "&amp;Registro_Compras!$E$347&amp;" [PATRON POR CONFIRMAR CON CONTADOR]",IF(Registro_Compras!$F$347="RHE","Por el registro del recibo por honorarios "&amp;Registro_Compras!$C$347&amp;" de "&amp;Registro_Compras!$E$347&amp;" [PATRON POR CONFIRMAR CON CONTADOR]","Por el registro de la factura "&amp;Registro_Compras!$C$347&amp;" de "&amp;Registro_Compras!$E$347)))</f>
        <v/>
      </c>
      <c r="H3092" t="str">
        <f>IF($C3092="","",Registro_Compras!$C$347)</f>
        <v/>
      </c>
    </row>
    <row r="3093" spans="1:8" x14ac:dyDescent="0.25">
      <c r="A3093" s="25" t="str">
        <f>IF($C3093="","",Registro_Compras!$B$347)</f>
        <v/>
      </c>
      <c r="B3093" t="str">
        <f>IF($C3093="","","C"&amp;TEXT(INT((ROW()-5)/9)+1,"000")&amp;"-1")</f>
        <v/>
      </c>
      <c r="C3093" t="str">
        <f>IF(OR(Registro_Compras!$C$347="",Registro_Compras!$O$347=""),"",IF(Registro_Compras!$F$347="RHE",IF(Registro_Compras!$V$347=0,"","4017"),IF(Registro_Compras!$F$347="NOTA DE CREDITO",IF(Registro_Compras!$M$347="","63",Registro_Compras!$M$347),IF(Registro_Compras!$K$347=0,"","40111"))))</f>
        <v/>
      </c>
      <c r="D3093" t="str">
        <f>IF(OR(Registro_Compras!$C$347="",Registro_Compras!$O$347=""),"",IF(Registro_Compras!$F$347="RHE","Retencion Renta 4ta Categoria por Pagar",IF(Registro_Compras!$F$347="NOTA DE CREDITO","Gastos de Servicios Prestados por Terceros","IGV - Cuenta Propia (Credito Fiscal)")))</f>
        <v/>
      </c>
      <c r="E3093" s="20" t="str">
        <f>IF($C3093="","",IF(Registro_Compras!$F$347="FACTURA",ROUND(Registro_Compras!$K$347*Registro_Compras!$N$347,2),""))</f>
        <v/>
      </c>
      <c r="F3093" s="20" t="str">
        <f>IF($C3093="","",IF(Registro_Compras!$F$347="RHE",ROUND(Registro_Compras!$V$347*Registro_Compras!$N$347,2),IF(Registro_Compras!$F$347="NOTA DE CREDITO",ROUND(ABS(Registro_Compras!$J$347*Registro_Compras!$N$347),2),"")))</f>
        <v/>
      </c>
      <c r="G3093" t="str">
        <f>IF($C3093="","",IF(Registro_Compras!$F$347="NOTA DE CREDITO","Por la nota de credito "&amp;Registro_Compras!$C$347&amp;" de "&amp;Registro_Compras!$E$347&amp;" [PATRON POR CONFIRMAR CON CONTADOR]",IF(Registro_Compras!$F$347="RHE","Por el registro del recibo por honorarios "&amp;Registro_Compras!$C$347&amp;" de "&amp;Registro_Compras!$E$347&amp;" [PATRON POR CONFIRMAR CON CONTADOR]","Por el registro de la factura "&amp;Registro_Compras!$C$347&amp;" de "&amp;Registro_Compras!$E$347)))</f>
        <v/>
      </c>
      <c r="H3093" t="str">
        <f>IF($C3093="","",Registro_Compras!$C$347)</f>
        <v/>
      </c>
    </row>
    <row r="3094" spans="1:8" x14ac:dyDescent="0.25">
      <c r="A3094" s="25" t="str">
        <f>IF($C3094="","",Registro_Compras!$B$347)</f>
        <v/>
      </c>
      <c r="B3094" t="str">
        <f>IF($C3094="","","C"&amp;TEXT(INT((ROW()-5)/9)+1,"000")&amp;"-1")</f>
        <v/>
      </c>
      <c r="C3094" t="str">
        <f>IF(OR(Registro_Compras!$C$347="",Registro_Compras!$O$347=""),"",IF(Registro_Compras!$F$347="NOTA DE CREDITO",IF(Registro_Compras!$K$347=0,"","40111"),"4212"))</f>
        <v/>
      </c>
      <c r="D3094" t="str">
        <f>IF(OR(Registro_Compras!$C$347="",Registro_Compras!$O$347=""),"",IF(Registro_Compras!$F$347="NOTA DE CREDITO","IGV - Cuenta Propia (Credito Fiscal)","Cuentas por Pagar Comerciales - Terceros (Emitidas)"))</f>
        <v/>
      </c>
      <c r="E3094" s="20" t="str">
        <f>""</f>
        <v/>
      </c>
      <c r="F3094" s="20" t="str">
        <f>IF($C3094="","",IF(Registro_Compras!$F$347="NOTA DE CREDITO",ROUND(ABS(Registro_Compras!$K$347*Registro_Compras!$N$347),2),IF(Registro_Compras!$F$347="RHE",(ROUND(Registro_Compras!$L$347*Registro_Compras!$N$347,2)-ROUND(Registro_Compras!$V$347*Registro_Compras!$N$347,2)),Registro_Compras!$O$347)))</f>
        <v/>
      </c>
      <c r="G3094" t="str">
        <f>IF($C3094="","",IF(Registro_Compras!$F$347="NOTA DE CREDITO","Por la nota de credito "&amp;Registro_Compras!$C$347&amp;" de "&amp;Registro_Compras!$E$347&amp;" [PATRON POR CONFIRMAR CON CONTADOR]",IF(Registro_Compras!$F$347="RHE","Por el registro del recibo por honorarios "&amp;Registro_Compras!$C$347&amp;" de "&amp;Registro_Compras!$E$347&amp;" [PATRON POR CONFIRMAR CON CONTADOR]","Por el registro de la factura "&amp;Registro_Compras!$C$347&amp;" de "&amp;Registro_Compras!$E$347)))</f>
        <v/>
      </c>
      <c r="H3094" t="str">
        <f>IF($C3094="","",Registro_Compras!$C$347)</f>
        <v/>
      </c>
    </row>
    <row r="3095" spans="1:8" x14ac:dyDescent="0.25">
      <c r="A3095" s="25" t="str">
        <f>IF($C3095="","",Registro_Compras!$B$347)</f>
        <v/>
      </c>
      <c r="B3095" t="str">
        <f>IF($C3095="","","C"&amp;TEXT(INT((ROW()-5)/9)+1,"000")&amp;"-2")</f>
        <v/>
      </c>
      <c r="C3095" t="str">
        <f>IF(OR(Registro_Compras!$C$347="",Registro_Compras!$O$347=""),"",IF(Registro_Compras!$AB$347="ADMINISTRATIVO","94","95"))</f>
        <v/>
      </c>
      <c r="D3095" t="str">
        <f>IF(OR(Registro_Compras!$C$347="",Registro_Compras!$O$347=""),"",IF(Registro_Compras!$AB$347="ADMINISTRATIVO","Gastos Administrativos","Gastos de Venta y Operacion"))</f>
        <v/>
      </c>
      <c r="E3095" s="20" t="str">
        <f>IF($C3095="","",IF(Registro_Compras!$F$347="NOTA DE CREDITO","",IF(Registro_Compras!$F$347="RHE",ROUND(Registro_Compras!$L$347*Registro_Compras!$N$347,2),ROUND(Registro_Compras!$J$347*Registro_Compras!$N$347,2))))</f>
        <v/>
      </c>
      <c r="F3095" s="20" t="str">
        <f>IF($C3095="","",IF(Registro_Compras!$F$347="NOTA DE CREDITO",ROUND(ABS(Registro_Compras!$J$347*Registro_Compras!$N$347),2),""))</f>
        <v/>
      </c>
      <c r="G3095" t="str">
        <f>IF($C3095="","","Por el destino del gasto")</f>
        <v/>
      </c>
      <c r="H3095" t="str">
        <f>IF($C3095="","",Registro_Compras!$C$347)</f>
        <v/>
      </c>
    </row>
    <row r="3096" spans="1:8" x14ac:dyDescent="0.25">
      <c r="A3096" s="25" t="str">
        <f>IF($C3096="","",Registro_Compras!$B$347)</f>
        <v/>
      </c>
      <c r="B3096" t="str">
        <f>IF($C3096="","","C"&amp;TEXT(INT((ROW()-5)/9)+1,"000")&amp;"-2")</f>
        <v/>
      </c>
      <c r="C3096" t="str">
        <f>IF(OR(Registro_Compras!$C$347="",Registro_Compras!$O$347=""),"","79/791")</f>
        <v/>
      </c>
      <c r="D3096" t="str">
        <f>IF(OR(Registro_Compras!$C$347="",Registro_Compras!$O$347=""),"","Cargas Imputables a Cuentas de Costos y Gastos")</f>
        <v/>
      </c>
      <c r="E3096" s="20" t="str">
        <f>IF($C3096="","",IF(Registro_Compras!$F$347="NOTA DE CREDITO",ROUND(ABS(Registro_Compras!$J$347*Registro_Compras!$N$347),2),""))</f>
        <v/>
      </c>
      <c r="F3096" s="20" t="str">
        <f>IF($C3096="","",IF(Registro_Compras!$F$347="NOTA DE CREDITO","",IF(Registro_Compras!$F$347="RHE",ROUND(Registro_Compras!$L$347*Registro_Compras!$N$347,2),ROUND(Registro_Compras!$J$347*Registro_Compras!$N$347,2))))</f>
        <v/>
      </c>
      <c r="G3096" t="str">
        <f>IF($C3096="","","Por el destino del gasto")</f>
        <v/>
      </c>
      <c r="H3096" t="str">
        <f>IF($C3096="","",Registro_Compras!$C$347)</f>
        <v/>
      </c>
    </row>
    <row r="3097" spans="1:8" x14ac:dyDescent="0.25">
      <c r="A3097" s="25" t="str">
        <f>IF($C3097="","",Registro_Compras!$X$347)</f>
        <v/>
      </c>
      <c r="B3097" t="str">
        <f>IF($C3097="","","C"&amp;TEXT(INT((ROW()-5)/9)+1,"000")&amp;"-3")</f>
        <v/>
      </c>
      <c r="C3097" t="str">
        <f>IF(OR(Registro_Compras!$C$347="",Registro_Compras!$O$347="",Registro_Compras!$R$347&lt;&gt;"SI",Registro_Compras!$X$347=""),"","4212")</f>
        <v/>
      </c>
      <c r="D3097" t="str">
        <f>IF(OR(Registro_Compras!$C$347="",Registro_Compras!$O$347=""),"","Cuentas por Pagar Comerciales - Terceros")</f>
        <v/>
      </c>
      <c r="E3097" s="20" t="str">
        <f>IF($C3097="","",Registro_Compras!$S$347)</f>
        <v/>
      </c>
      <c r="F3097" s="20" t="str">
        <f>""</f>
        <v/>
      </c>
      <c r="G3097" t="str">
        <f>IF($C3097="","","Por el deposito de la detraccion en el Banco de la Nacion")</f>
        <v/>
      </c>
      <c r="H3097" t="str">
        <f>IF($C3097="","",Registro_Compras!$C$347)</f>
        <v/>
      </c>
    </row>
    <row r="3098" spans="1:8" x14ac:dyDescent="0.25">
      <c r="A3098" s="25" t="str">
        <f>IF($C3098="","",Registro_Compras!$X$347)</f>
        <v/>
      </c>
      <c r="B3098" t="str">
        <f>IF($C3098="","","C"&amp;TEXT(INT((ROW()-5)/9)+1,"000")&amp;"-3")</f>
        <v/>
      </c>
      <c r="C3098" t="str">
        <f>IF(OR(Registro_Compras!$C$347="",Registro_Compras!$O$347="",Registro_Compras!$R$347&lt;&gt;"SI",Registro_Compras!$X$347=""),"","1041")</f>
        <v/>
      </c>
      <c r="D3098" t="str">
        <f>IF(OR(Registro_Compras!$C$347="",Registro_Compras!$O$347=""),"","Efectivo y Equivalentes - Cta. Cte. Operativa")</f>
        <v/>
      </c>
      <c r="E3098" s="20" t="str">
        <f>""</f>
        <v/>
      </c>
      <c r="F3098" s="20" t="str">
        <f>IF($C3098="","",Registro_Compras!$S$347)</f>
        <v/>
      </c>
      <c r="G3098" t="str">
        <f>IF($C3098="","","Por el deposito de la detraccion en el Banco de la Nacion")</f>
        <v/>
      </c>
      <c r="H3098" t="str">
        <f>IF($C3098="","",Registro_Compras!$C$347)</f>
        <v/>
      </c>
    </row>
    <row r="3099" spans="1:8" x14ac:dyDescent="0.25">
      <c r="A3099" s="25" t="str">
        <f>IF($C3099="","",Registro_Compras!$Y$347)</f>
        <v/>
      </c>
      <c r="B3099" t="str">
        <f>IF($C3099="","","C"&amp;TEXT(INT((ROW()-5)/9)+1,"000")&amp;"-4")</f>
        <v/>
      </c>
      <c r="C3099" t="str">
        <f>IF(OR(Registro_Compras!$C$347="",Registro_Compras!$O$347="",Registro_Compras!$Y$347="",Registro_Compras!$F$347="NOTA DE CREDITO"),"","4212")</f>
        <v/>
      </c>
      <c r="D3099" t="str">
        <f>IF(OR(Registro_Compras!$C$347="",Registro_Compras!$O$347=""),"","Cuentas por Pagar Comerciales - Terceros")</f>
        <v/>
      </c>
      <c r="E3099" s="20" t="str">
        <f>IF($C3099="","",IF(Registro_Compras!$F$347="RHE",(ROUND(Registro_Compras!$L$347*Registro_Compras!$N$347,2)-ROUND(Registro_Compras!$V$347*Registro_Compras!$N$347,2)),ROUND(Registro_Compras!$O$347-Registro_Compras!$S$347,2)))</f>
        <v/>
      </c>
      <c r="F3099" s="20" t="str">
        <f>""</f>
        <v/>
      </c>
      <c r="G3099" t="str">
        <f>IF($C3099="","","Por la cancelacion del saldo al proveedor")</f>
        <v/>
      </c>
      <c r="H3099" t="str">
        <f>IF($C3099="","",Registro_Compras!$C$347)</f>
        <v/>
      </c>
    </row>
    <row r="3100" spans="1:8" x14ac:dyDescent="0.25">
      <c r="A3100" s="25" t="str">
        <f>IF($C3100="","",Registro_Compras!$Y$347)</f>
        <v/>
      </c>
      <c r="B3100" t="str">
        <f>IF($C3100="","","C"&amp;TEXT(INT((ROW()-5)/9)+1,"000")&amp;"-4")</f>
        <v/>
      </c>
      <c r="C3100" t="str">
        <f>IF(OR(Registro_Compras!$C$347="",Registro_Compras!$O$347="",Registro_Compras!$Y$347="",Registro_Compras!$F$347="NOTA DE CREDITO"),"","1041")</f>
        <v/>
      </c>
      <c r="D3100" t="str">
        <f>IF(OR(Registro_Compras!$C$347="",Registro_Compras!$O$347=""),"","Efectivo y Equivalentes - Cta. Cte. Operativa")</f>
        <v/>
      </c>
      <c r="E3100" s="20" t="str">
        <f>""</f>
        <v/>
      </c>
      <c r="F3100" s="20" t="str">
        <f>IF($C3100="","",IF(Registro_Compras!$F$347="RHE",(ROUND(Registro_Compras!$L$347*Registro_Compras!$N$347,2)-ROUND(Registro_Compras!$V$347*Registro_Compras!$N$347,2)),ROUND(Registro_Compras!$O$347-Registro_Compras!$S$347,2)))</f>
        <v/>
      </c>
      <c r="G3100" t="str">
        <f>IF($C3100="","","Por la cancelacion del saldo al proveedor")</f>
        <v/>
      </c>
      <c r="H3100" t="str">
        <f>IF($C3100="","",Registro_Compras!$C$347)</f>
        <v/>
      </c>
    </row>
    <row r="3101" spans="1:8" x14ac:dyDescent="0.25">
      <c r="A3101" s="25" t="str">
        <f>IF($C3101="","",Registro_Compras!$B$348)</f>
        <v/>
      </c>
      <c r="B3101" t="str">
        <f>IF($C3101="","","C"&amp;TEXT(INT((ROW()-5)/9)+1,"000")&amp;"-1")</f>
        <v/>
      </c>
      <c r="C3101" t="str">
        <f>IF(OR(Registro_Compras!$C$348="",Registro_Compras!$O$348=""),"",IF(Registro_Compras!$F$348="NOTA DE CREDITO","4212",IF(Registro_Compras!$M$348="","63",Registro_Compras!$M$348)))</f>
        <v/>
      </c>
      <c r="D3101" t="str">
        <f>IF(OR(Registro_Compras!$C$348="",Registro_Compras!$O$348=""),"",IF(Registro_Compras!$F$348="NOTA DE CREDITO","Cuentas por Pagar Comerciales - Terceros (Emitidas)",IF(Registro_Compras!$F$348="RHE","Honorarios Profesionales - Servicios de Terceros","Gastos de Servicios Prestados por Terceros")))</f>
        <v/>
      </c>
      <c r="E3101" s="20" t="str">
        <f>IF($C3101="","",IF(Registro_Compras!$F$348="NOTA DE CREDITO",ABS(Registro_Compras!$O$348),IF(Registro_Compras!$F$348="RHE",ROUND(Registro_Compras!$L$348*Registro_Compras!$N$348,2),ROUND(Registro_Compras!$J$348*Registro_Compras!$N$348,2))))</f>
        <v/>
      </c>
      <c r="F3101" s="20" t="str">
        <f>""</f>
        <v/>
      </c>
      <c r="G3101" t="str">
        <f>IF($C3101="","",IF(Registro_Compras!$F$348="NOTA DE CREDITO","Por la nota de credito "&amp;Registro_Compras!$C$348&amp;" de "&amp;Registro_Compras!$E$348&amp;" [PATRON POR CONFIRMAR CON CONTADOR]",IF(Registro_Compras!$F$348="RHE","Por el registro del recibo por honorarios "&amp;Registro_Compras!$C$348&amp;" de "&amp;Registro_Compras!$E$348&amp;" [PATRON POR CONFIRMAR CON CONTADOR]","Por el registro de la factura "&amp;Registro_Compras!$C$348&amp;" de "&amp;Registro_Compras!$E$348)))</f>
        <v/>
      </c>
      <c r="H3101" t="str">
        <f>IF($C3101="","",Registro_Compras!$C$348)</f>
        <v/>
      </c>
    </row>
    <row r="3102" spans="1:8" x14ac:dyDescent="0.25">
      <c r="A3102" s="25" t="str">
        <f>IF($C3102="","",Registro_Compras!$B$348)</f>
        <v/>
      </c>
      <c r="B3102" t="str">
        <f>IF($C3102="","","C"&amp;TEXT(INT((ROW()-5)/9)+1,"000")&amp;"-1")</f>
        <v/>
      </c>
      <c r="C3102" t="str">
        <f>IF(OR(Registro_Compras!$C$348="",Registro_Compras!$O$348=""),"",IF(Registro_Compras!$F$348="RHE",IF(Registro_Compras!$V$348=0,"","4017"),IF(Registro_Compras!$F$348="NOTA DE CREDITO",IF(Registro_Compras!$M$348="","63",Registro_Compras!$M$348),IF(Registro_Compras!$K$348=0,"","40111"))))</f>
        <v/>
      </c>
      <c r="D3102" t="str">
        <f>IF(OR(Registro_Compras!$C$348="",Registro_Compras!$O$348=""),"",IF(Registro_Compras!$F$348="RHE","Retencion Renta 4ta Categoria por Pagar",IF(Registro_Compras!$F$348="NOTA DE CREDITO","Gastos de Servicios Prestados por Terceros","IGV - Cuenta Propia (Credito Fiscal)")))</f>
        <v/>
      </c>
      <c r="E3102" s="20" t="str">
        <f>IF($C3102="","",IF(Registro_Compras!$F$348="FACTURA",ROUND(Registro_Compras!$K$348*Registro_Compras!$N$348,2),""))</f>
        <v/>
      </c>
      <c r="F3102" s="20" t="str">
        <f>IF($C3102="","",IF(Registro_Compras!$F$348="RHE",ROUND(Registro_Compras!$V$348*Registro_Compras!$N$348,2),IF(Registro_Compras!$F$348="NOTA DE CREDITO",ROUND(ABS(Registro_Compras!$J$348*Registro_Compras!$N$348),2),"")))</f>
        <v/>
      </c>
      <c r="G3102" t="str">
        <f>IF($C3102="","",IF(Registro_Compras!$F$348="NOTA DE CREDITO","Por la nota de credito "&amp;Registro_Compras!$C$348&amp;" de "&amp;Registro_Compras!$E$348&amp;" [PATRON POR CONFIRMAR CON CONTADOR]",IF(Registro_Compras!$F$348="RHE","Por el registro del recibo por honorarios "&amp;Registro_Compras!$C$348&amp;" de "&amp;Registro_Compras!$E$348&amp;" [PATRON POR CONFIRMAR CON CONTADOR]","Por el registro de la factura "&amp;Registro_Compras!$C$348&amp;" de "&amp;Registro_Compras!$E$348)))</f>
        <v/>
      </c>
      <c r="H3102" t="str">
        <f>IF($C3102="","",Registro_Compras!$C$348)</f>
        <v/>
      </c>
    </row>
    <row r="3103" spans="1:8" x14ac:dyDescent="0.25">
      <c r="A3103" s="25" t="str">
        <f>IF($C3103="","",Registro_Compras!$B$348)</f>
        <v/>
      </c>
      <c r="B3103" t="str">
        <f>IF($C3103="","","C"&amp;TEXT(INT((ROW()-5)/9)+1,"000")&amp;"-1")</f>
        <v/>
      </c>
      <c r="C3103" t="str">
        <f>IF(OR(Registro_Compras!$C$348="",Registro_Compras!$O$348=""),"",IF(Registro_Compras!$F$348="NOTA DE CREDITO",IF(Registro_Compras!$K$348=0,"","40111"),"4212"))</f>
        <v/>
      </c>
      <c r="D3103" t="str">
        <f>IF(OR(Registro_Compras!$C$348="",Registro_Compras!$O$348=""),"",IF(Registro_Compras!$F$348="NOTA DE CREDITO","IGV - Cuenta Propia (Credito Fiscal)","Cuentas por Pagar Comerciales - Terceros (Emitidas)"))</f>
        <v/>
      </c>
      <c r="E3103" s="20" t="str">
        <f>""</f>
        <v/>
      </c>
      <c r="F3103" s="20" t="str">
        <f>IF($C3103="","",IF(Registro_Compras!$F$348="NOTA DE CREDITO",ROUND(ABS(Registro_Compras!$K$348*Registro_Compras!$N$348),2),IF(Registro_Compras!$F$348="RHE",(ROUND(Registro_Compras!$L$348*Registro_Compras!$N$348,2)-ROUND(Registro_Compras!$V$348*Registro_Compras!$N$348,2)),Registro_Compras!$O$348)))</f>
        <v/>
      </c>
      <c r="G3103" t="str">
        <f>IF($C3103="","",IF(Registro_Compras!$F$348="NOTA DE CREDITO","Por la nota de credito "&amp;Registro_Compras!$C$348&amp;" de "&amp;Registro_Compras!$E$348&amp;" [PATRON POR CONFIRMAR CON CONTADOR]",IF(Registro_Compras!$F$348="RHE","Por el registro del recibo por honorarios "&amp;Registro_Compras!$C$348&amp;" de "&amp;Registro_Compras!$E$348&amp;" [PATRON POR CONFIRMAR CON CONTADOR]","Por el registro de la factura "&amp;Registro_Compras!$C$348&amp;" de "&amp;Registro_Compras!$E$348)))</f>
        <v/>
      </c>
      <c r="H3103" t="str">
        <f>IF($C3103="","",Registro_Compras!$C$348)</f>
        <v/>
      </c>
    </row>
    <row r="3104" spans="1:8" x14ac:dyDescent="0.25">
      <c r="A3104" s="25" t="str">
        <f>IF($C3104="","",Registro_Compras!$B$348)</f>
        <v/>
      </c>
      <c r="B3104" t="str">
        <f>IF($C3104="","","C"&amp;TEXT(INT((ROW()-5)/9)+1,"000")&amp;"-2")</f>
        <v/>
      </c>
      <c r="C3104" t="str">
        <f>IF(OR(Registro_Compras!$C$348="",Registro_Compras!$O$348=""),"",IF(Registro_Compras!$AB$348="ADMINISTRATIVO","94","95"))</f>
        <v/>
      </c>
      <c r="D3104" t="str">
        <f>IF(OR(Registro_Compras!$C$348="",Registro_Compras!$O$348=""),"",IF(Registro_Compras!$AB$348="ADMINISTRATIVO","Gastos Administrativos","Gastos de Venta y Operacion"))</f>
        <v/>
      </c>
      <c r="E3104" s="20" t="str">
        <f>IF($C3104="","",IF(Registro_Compras!$F$348="NOTA DE CREDITO","",IF(Registro_Compras!$F$348="RHE",ROUND(Registro_Compras!$L$348*Registro_Compras!$N$348,2),ROUND(Registro_Compras!$J$348*Registro_Compras!$N$348,2))))</f>
        <v/>
      </c>
      <c r="F3104" s="20" t="str">
        <f>IF($C3104="","",IF(Registro_Compras!$F$348="NOTA DE CREDITO",ROUND(ABS(Registro_Compras!$J$348*Registro_Compras!$N$348),2),""))</f>
        <v/>
      </c>
      <c r="G3104" t="str">
        <f>IF($C3104="","","Por el destino del gasto")</f>
        <v/>
      </c>
      <c r="H3104" t="str">
        <f>IF($C3104="","",Registro_Compras!$C$348)</f>
        <v/>
      </c>
    </row>
    <row r="3105" spans="1:8" x14ac:dyDescent="0.25">
      <c r="A3105" s="25" t="str">
        <f>IF($C3105="","",Registro_Compras!$B$348)</f>
        <v/>
      </c>
      <c r="B3105" t="str">
        <f>IF($C3105="","","C"&amp;TEXT(INT((ROW()-5)/9)+1,"000")&amp;"-2")</f>
        <v/>
      </c>
      <c r="C3105" t="str">
        <f>IF(OR(Registro_Compras!$C$348="",Registro_Compras!$O$348=""),"","79/791")</f>
        <v/>
      </c>
      <c r="D3105" t="str">
        <f>IF(OR(Registro_Compras!$C$348="",Registro_Compras!$O$348=""),"","Cargas Imputables a Cuentas de Costos y Gastos")</f>
        <v/>
      </c>
      <c r="E3105" s="20" t="str">
        <f>IF($C3105="","",IF(Registro_Compras!$F$348="NOTA DE CREDITO",ROUND(ABS(Registro_Compras!$J$348*Registro_Compras!$N$348),2),""))</f>
        <v/>
      </c>
      <c r="F3105" s="20" t="str">
        <f>IF($C3105="","",IF(Registro_Compras!$F$348="NOTA DE CREDITO","",IF(Registro_Compras!$F$348="RHE",ROUND(Registro_Compras!$L$348*Registro_Compras!$N$348,2),ROUND(Registro_Compras!$J$348*Registro_Compras!$N$348,2))))</f>
        <v/>
      </c>
      <c r="G3105" t="str">
        <f>IF($C3105="","","Por el destino del gasto")</f>
        <v/>
      </c>
      <c r="H3105" t="str">
        <f>IF($C3105="","",Registro_Compras!$C$348)</f>
        <v/>
      </c>
    </row>
    <row r="3106" spans="1:8" x14ac:dyDescent="0.25">
      <c r="A3106" s="25" t="str">
        <f>IF($C3106="","",Registro_Compras!$X$348)</f>
        <v/>
      </c>
      <c r="B3106" t="str">
        <f>IF($C3106="","","C"&amp;TEXT(INT((ROW()-5)/9)+1,"000")&amp;"-3")</f>
        <v/>
      </c>
      <c r="C3106" t="str">
        <f>IF(OR(Registro_Compras!$C$348="",Registro_Compras!$O$348="",Registro_Compras!$R$348&lt;&gt;"SI",Registro_Compras!$X$348=""),"","4212")</f>
        <v/>
      </c>
      <c r="D3106" t="str">
        <f>IF(OR(Registro_Compras!$C$348="",Registro_Compras!$O$348=""),"","Cuentas por Pagar Comerciales - Terceros")</f>
        <v/>
      </c>
      <c r="E3106" s="20" t="str">
        <f>IF($C3106="","",Registro_Compras!$S$348)</f>
        <v/>
      </c>
      <c r="F3106" s="20" t="str">
        <f>""</f>
        <v/>
      </c>
      <c r="G3106" t="str">
        <f>IF($C3106="","","Por el deposito de la detraccion en el Banco de la Nacion")</f>
        <v/>
      </c>
      <c r="H3106" t="str">
        <f>IF($C3106="","",Registro_Compras!$C$348)</f>
        <v/>
      </c>
    </row>
    <row r="3107" spans="1:8" x14ac:dyDescent="0.25">
      <c r="A3107" s="25" t="str">
        <f>IF($C3107="","",Registro_Compras!$X$348)</f>
        <v/>
      </c>
      <c r="B3107" t="str">
        <f>IF($C3107="","","C"&amp;TEXT(INT((ROW()-5)/9)+1,"000")&amp;"-3")</f>
        <v/>
      </c>
      <c r="C3107" t="str">
        <f>IF(OR(Registro_Compras!$C$348="",Registro_Compras!$O$348="",Registro_Compras!$R$348&lt;&gt;"SI",Registro_Compras!$X$348=""),"","1041")</f>
        <v/>
      </c>
      <c r="D3107" t="str">
        <f>IF(OR(Registro_Compras!$C$348="",Registro_Compras!$O$348=""),"","Efectivo y Equivalentes - Cta. Cte. Operativa")</f>
        <v/>
      </c>
      <c r="E3107" s="20" t="str">
        <f>""</f>
        <v/>
      </c>
      <c r="F3107" s="20" t="str">
        <f>IF($C3107="","",Registro_Compras!$S$348)</f>
        <v/>
      </c>
      <c r="G3107" t="str">
        <f>IF($C3107="","","Por el deposito de la detraccion en el Banco de la Nacion")</f>
        <v/>
      </c>
      <c r="H3107" t="str">
        <f>IF($C3107="","",Registro_Compras!$C$348)</f>
        <v/>
      </c>
    </row>
    <row r="3108" spans="1:8" x14ac:dyDescent="0.25">
      <c r="A3108" s="25" t="str">
        <f>IF($C3108="","",Registro_Compras!$Y$348)</f>
        <v/>
      </c>
      <c r="B3108" t="str">
        <f>IF($C3108="","","C"&amp;TEXT(INT((ROW()-5)/9)+1,"000")&amp;"-4")</f>
        <v/>
      </c>
      <c r="C3108" t="str">
        <f>IF(OR(Registro_Compras!$C$348="",Registro_Compras!$O$348="",Registro_Compras!$Y$348="",Registro_Compras!$F$348="NOTA DE CREDITO"),"","4212")</f>
        <v/>
      </c>
      <c r="D3108" t="str">
        <f>IF(OR(Registro_Compras!$C$348="",Registro_Compras!$O$348=""),"","Cuentas por Pagar Comerciales - Terceros")</f>
        <v/>
      </c>
      <c r="E3108" s="20" t="str">
        <f>IF($C3108="","",IF(Registro_Compras!$F$348="RHE",(ROUND(Registro_Compras!$L$348*Registro_Compras!$N$348,2)-ROUND(Registro_Compras!$V$348*Registro_Compras!$N$348,2)),ROUND(Registro_Compras!$O$348-Registro_Compras!$S$348,2)))</f>
        <v/>
      </c>
      <c r="F3108" s="20" t="str">
        <f>""</f>
        <v/>
      </c>
      <c r="G3108" t="str">
        <f>IF($C3108="","","Por la cancelacion del saldo al proveedor")</f>
        <v/>
      </c>
      <c r="H3108" t="str">
        <f>IF($C3108="","",Registro_Compras!$C$348)</f>
        <v/>
      </c>
    </row>
    <row r="3109" spans="1:8" x14ac:dyDescent="0.25">
      <c r="A3109" s="25" t="str">
        <f>IF($C3109="","",Registro_Compras!$Y$348)</f>
        <v/>
      </c>
      <c r="B3109" t="str">
        <f>IF($C3109="","","C"&amp;TEXT(INT((ROW()-5)/9)+1,"000")&amp;"-4")</f>
        <v/>
      </c>
      <c r="C3109" t="str">
        <f>IF(OR(Registro_Compras!$C$348="",Registro_Compras!$O$348="",Registro_Compras!$Y$348="",Registro_Compras!$F$348="NOTA DE CREDITO"),"","1041")</f>
        <v/>
      </c>
      <c r="D3109" t="str">
        <f>IF(OR(Registro_Compras!$C$348="",Registro_Compras!$O$348=""),"","Efectivo y Equivalentes - Cta. Cte. Operativa")</f>
        <v/>
      </c>
      <c r="E3109" s="20" t="str">
        <f>""</f>
        <v/>
      </c>
      <c r="F3109" s="20" t="str">
        <f>IF($C3109="","",IF(Registro_Compras!$F$348="RHE",(ROUND(Registro_Compras!$L$348*Registro_Compras!$N$348,2)-ROUND(Registro_Compras!$V$348*Registro_Compras!$N$348,2)),ROUND(Registro_Compras!$O$348-Registro_Compras!$S$348,2)))</f>
        <v/>
      </c>
      <c r="G3109" t="str">
        <f>IF($C3109="","","Por la cancelacion del saldo al proveedor")</f>
        <v/>
      </c>
      <c r="H3109" t="str">
        <f>IF($C3109="","",Registro_Compras!$C$348)</f>
        <v/>
      </c>
    </row>
    <row r="3110" spans="1:8" x14ac:dyDescent="0.25">
      <c r="A3110" s="25" t="str">
        <f>IF($C3110="","",Registro_Compras!$B$349)</f>
        <v/>
      </c>
      <c r="B3110" t="str">
        <f>IF($C3110="","","C"&amp;TEXT(INT((ROW()-5)/9)+1,"000")&amp;"-1")</f>
        <v/>
      </c>
      <c r="C3110" t="str">
        <f>IF(OR(Registro_Compras!$C$349="",Registro_Compras!$O$349=""),"",IF(Registro_Compras!$F$349="NOTA DE CREDITO","4212",IF(Registro_Compras!$M$349="","63",Registro_Compras!$M$349)))</f>
        <v/>
      </c>
      <c r="D3110" t="str">
        <f>IF(OR(Registro_Compras!$C$349="",Registro_Compras!$O$349=""),"",IF(Registro_Compras!$F$349="NOTA DE CREDITO","Cuentas por Pagar Comerciales - Terceros (Emitidas)",IF(Registro_Compras!$F$349="RHE","Honorarios Profesionales - Servicios de Terceros","Gastos de Servicios Prestados por Terceros")))</f>
        <v/>
      </c>
      <c r="E3110" s="20" t="str">
        <f>IF($C3110="","",IF(Registro_Compras!$F$349="NOTA DE CREDITO",ABS(Registro_Compras!$O$349),IF(Registro_Compras!$F$349="RHE",ROUND(Registro_Compras!$L$349*Registro_Compras!$N$349,2),ROUND(Registro_Compras!$J$349*Registro_Compras!$N$349,2))))</f>
        <v/>
      </c>
      <c r="F3110" s="20" t="str">
        <f>""</f>
        <v/>
      </c>
      <c r="G3110" t="str">
        <f>IF($C3110="","",IF(Registro_Compras!$F$349="NOTA DE CREDITO","Por la nota de credito "&amp;Registro_Compras!$C$349&amp;" de "&amp;Registro_Compras!$E$349&amp;" [PATRON POR CONFIRMAR CON CONTADOR]",IF(Registro_Compras!$F$349="RHE","Por el registro del recibo por honorarios "&amp;Registro_Compras!$C$349&amp;" de "&amp;Registro_Compras!$E$349&amp;" [PATRON POR CONFIRMAR CON CONTADOR]","Por el registro de la factura "&amp;Registro_Compras!$C$349&amp;" de "&amp;Registro_Compras!$E$349)))</f>
        <v/>
      </c>
      <c r="H3110" t="str">
        <f>IF($C3110="","",Registro_Compras!$C$349)</f>
        <v/>
      </c>
    </row>
    <row r="3111" spans="1:8" x14ac:dyDescent="0.25">
      <c r="A3111" s="25" t="str">
        <f>IF($C3111="","",Registro_Compras!$B$349)</f>
        <v/>
      </c>
      <c r="B3111" t="str">
        <f>IF($C3111="","","C"&amp;TEXT(INT((ROW()-5)/9)+1,"000")&amp;"-1")</f>
        <v/>
      </c>
      <c r="C3111" t="str">
        <f>IF(OR(Registro_Compras!$C$349="",Registro_Compras!$O$349=""),"",IF(Registro_Compras!$F$349="RHE",IF(Registro_Compras!$V$349=0,"","4017"),IF(Registro_Compras!$F$349="NOTA DE CREDITO",IF(Registro_Compras!$M$349="","63",Registro_Compras!$M$349),IF(Registro_Compras!$K$349=0,"","40111"))))</f>
        <v/>
      </c>
      <c r="D3111" t="str">
        <f>IF(OR(Registro_Compras!$C$349="",Registro_Compras!$O$349=""),"",IF(Registro_Compras!$F$349="RHE","Retencion Renta 4ta Categoria por Pagar",IF(Registro_Compras!$F$349="NOTA DE CREDITO","Gastos de Servicios Prestados por Terceros","IGV - Cuenta Propia (Credito Fiscal)")))</f>
        <v/>
      </c>
      <c r="E3111" s="20" t="str">
        <f>IF($C3111="","",IF(Registro_Compras!$F$349="FACTURA",ROUND(Registro_Compras!$K$349*Registro_Compras!$N$349,2),""))</f>
        <v/>
      </c>
      <c r="F3111" s="20" t="str">
        <f>IF($C3111="","",IF(Registro_Compras!$F$349="RHE",ROUND(Registro_Compras!$V$349*Registro_Compras!$N$349,2),IF(Registro_Compras!$F$349="NOTA DE CREDITO",ROUND(ABS(Registro_Compras!$J$349*Registro_Compras!$N$349),2),"")))</f>
        <v/>
      </c>
      <c r="G3111" t="str">
        <f>IF($C3111="","",IF(Registro_Compras!$F$349="NOTA DE CREDITO","Por la nota de credito "&amp;Registro_Compras!$C$349&amp;" de "&amp;Registro_Compras!$E$349&amp;" [PATRON POR CONFIRMAR CON CONTADOR]",IF(Registro_Compras!$F$349="RHE","Por el registro del recibo por honorarios "&amp;Registro_Compras!$C$349&amp;" de "&amp;Registro_Compras!$E$349&amp;" [PATRON POR CONFIRMAR CON CONTADOR]","Por el registro de la factura "&amp;Registro_Compras!$C$349&amp;" de "&amp;Registro_Compras!$E$349)))</f>
        <v/>
      </c>
      <c r="H3111" t="str">
        <f>IF($C3111="","",Registro_Compras!$C$349)</f>
        <v/>
      </c>
    </row>
    <row r="3112" spans="1:8" x14ac:dyDescent="0.25">
      <c r="A3112" s="25" t="str">
        <f>IF($C3112="","",Registro_Compras!$B$349)</f>
        <v/>
      </c>
      <c r="B3112" t="str">
        <f>IF($C3112="","","C"&amp;TEXT(INT((ROW()-5)/9)+1,"000")&amp;"-1")</f>
        <v/>
      </c>
      <c r="C3112" t="str">
        <f>IF(OR(Registro_Compras!$C$349="",Registro_Compras!$O$349=""),"",IF(Registro_Compras!$F$349="NOTA DE CREDITO",IF(Registro_Compras!$K$349=0,"","40111"),"4212"))</f>
        <v/>
      </c>
      <c r="D3112" t="str">
        <f>IF(OR(Registro_Compras!$C$349="",Registro_Compras!$O$349=""),"",IF(Registro_Compras!$F$349="NOTA DE CREDITO","IGV - Cuenta Propia (Credito Fiscal)","Cuentas por Pagar Comerciales - Terceros (Emitidas)"))</f>
        <v/>
      </c>
      <c r="E3112" s="20" t="str">
        <f>""</f>
        <v/>
      </c>
      <c r="F3112" s="20" t="str">
        <f>IF($C3112="","",IF(Registro_Compras!$F$349="NOTA DE CREDITO",ROUND(ABS(Registro_Compras!$K$349*Registro_Compras!$N$349),2),IF(Registro_Compras!$F$349="RHE",(ROUND(Registro_Compras!$L$349*Registro_Compras!$N$349,2)-ROUND(Registro_Compras!$V$349*Registro_Compras!$N$349,2)),Registro_Compras!$O$349)))</f>
        <v/>
      </c>
      <c r="G3112" t="str">
        <f>IF($C3112="","",IF(Registro_Compras!$F$349="NOTA DE CREDITO","Por la nota de credito "&amp;Registro_Compras!$C$349&amp;" de "&amp;Registro_Compras!$E$349&amp;" [PATRON POR CONFIRMAR CON CONTADOR]",IF(Registro_Compras!$F$349="RHE","Por el registro del recibo por honorarios "&amp;Registro_Compras!$C$349&amp;" de "&amp;Registro_Compras!$E$349&amp;" [PATRON POR CONFIRMAR CON CONTADOR]","Por el registro de la factura "&amp;Registro_Compras!$C$349&amp;" de "&amp;Registro_Compras!$E$349)))</f>
        <v/>
      </c>
      <c r="H3112" t="str">
        <f>IF($C3112="","",Registro_Compras!$C$349)</f>
        <v/>
      </c>
    </row>
    <row r="3113" spans="1:8" x14ac:dyDescent="0.25">
      <c r="A3113" s="25" t="str">
        <f>IF($C3113="","",Registro_Compras!$B$349)</f>
        <v/>
      </c>
      <c r="B3113" t="str">
        <f>IF($C3113="","","C"&amp;TEXT(INT((ROW()-5)/9)+1,"000")&amp;"-2")</f>
        <v/>
      </c>
      <c r="C3113" t="str">
        <f>IF(OR(Registro_Compras!$C$349="",Registro_Compras!$O$349=""),"",IF(Registro_Compras!$AB$349="ADMINISTRATIVO","94","95"))</f>
        <v/>
      </c>
      <c r="D3113" t="str">
        <f>IF(OR(Registro_Compras!$C$349="",Registro_Compras!$O$349=""),"",IF(Registro_Compras!$AB$349="ADMINISTRATIVO","Gastos Administrativos","Gastos de Venta y Operacion"))</f>
        <v/>
      </c>
      <c r="E3113" s="20" t="str">
        <f>IF($C3113="","",IF(Registro_Compras!$F$349="NOTA DE CREDITO","",IF(Registro_Compras!$F$349="RHE",ROUND(Registro_Compras!$L$349*Registro_Compras!$N$349,2),ROUND(Registro_Compras!$J$349*Registro_Compras!$N$349,2))))</f>
        <v/>
      </c>
      <c r="F3113" s="20" t="str">
        <f>IF($C3113="","",IF(Registro_Compras!$F$349="NOTA DE CREDITO",ROUND(ABS(Registro_Compras!$J$349*Registro_Compras!$N$349),2),""))</f>
        <v/>
      </c>
      <c r="G3113" t="str">
        <f>IF($C3113="","","Por el destino del gasto")</f>
        <v/>
      </c>
      <c r="H3113" t="str">
        <f>IF($C3113="","",Registro_Compras!$C$349)</f>
        <v/>
      </c>
    </row>
    <row r="3114" spans="1:8" x14ac:dyDescent="0.25">
      <c r="A3114" s="25" t="str">
        <f>IF($C3114="","",Registro_Compras!$B$349)</f>
        <v/>
      </c>
      <c r="B3114" t="str">
        <f>IF($C3114="","","C"&amp;TEXT(INT((ROW()-5)/9)+1,"000")&amp;"-2")</f>
        <v/>
      </c>
      <c r="C3114" t="str">
        <f>IF(OR(Registro_Compras!$C$349="",Registro_Compras!$O$349=""),"","79/791")</f>
        <v/>
      </c>
      <c r="D3114" t="str">
        <f>IF(OR(Registro_Compras!$C$349="",Registro_Compras!$O$349=""),"","Cargas Imputables a Cuentas de Costos y Gastos")</f>
        <v/>
      </c>
      <c r="E3114" s="20" t="str">
        <f>IF($C3114="","",IF(Registro_Compras!$F$349="NOTA DE CREDITO",ROUND(ABS(Registro_Compras!$J$349*Registro_Compras!$N$349),2),""))</f>
        <v/>
      </c>
      <c r="F3114" s="20" t="str">
        <f>IF($C3114="","",IF(Registro_Compras!$F$349="NOTA DE CREDITO","",IF(Registro_Compras!$F$349="RHE",ROUND(Registro_Compras!$L$349*Registro_Compras!$N$349,2),ROUND(Registro_Compras!$J$349*Registro_Compras!$N$349,2))))</f>
        <v/>
      </c>
      <c r="G3114" t="str">
        <f>IF($C3114="","","Por el destino del gasto")</f>
        <v/>
      </c>
      <c r="H3114" t="str">
        <f>IF($C3114="","",Registro_Compras!$C$349)</f>
        <v/>
      </c>
    </row>
    <row r="3115" spans="1:8" x14ac:dyDescent="0.25">
      <c r="A3115" s="25" t="str">
        <f>IF($C3115="","",Registro_Compras!$X$349)</f>
        <v/>
      </c>
      <c r="B3115" t="str">
        <f>IF($C3115="","","C"&amp;TEXT(INT((ROW()-5)/9)+1,"000")&amp;"-3")</f>
        <v/>
      </c>
      <c r="C3115" t="str">
        <f>IF(OR(Registro_Compras!$C$349="",Registro_Compras!$O$349="",Registro_Compras!$R$349&lt;&gt;"SI",Registro_Compras!$X$349=""),"","4212")</f>
        <v/>
      </c>
      <c r="D3115" t="str">
        <f>IF(OR(Registro_Compras!$C$349="",Registro_Compras!$O$349=""),"","Cuentas por Pagar Comerciales - Terceros")</f>
        <v/>
      </c>
      <c r="E3115" s="20" t="str">
        <f>IF($C3115="","",Registro_Compras!$S$349)</f>
        <v/>
      </c>
      <c r="F3115" s="20" t="str">
        <f>""</f>
        <v/>
      </c>
      <c r="G3115" t="str">
        <f>IF($C3115="","","Por el deposito de la detraccion en el Banco de la Nacion")</f>
        <v/>
      </c>
      <c r="H3115" t="str">
        <f>IF($C3115="","",Registro_Compras!$C$349)</f>
        <v/>
      </c>
    </row>
    <row r="3116" spans="1:8" x14ac:dyDescent="0.25">
      <c r="A3116" s="25" t="str">
        <f>IF($C3116="","",Registro_Compras!$X$349)</f>
        <v/>
      </c>
      <c r="B3116" t="str">
        <f>IF($C3116="","","C"&amp;TEXT(INT((ROW()-5)/9)+1,"000")&amp;"-3")</f>
        <v/>
      </c>
      <c r="C3116" t="str">
        <f>IF(OR(Registro_Compras!$C$349="",Registro_Compras!$O$349="",Registro_Compras!$R$349&lt;&gt;"SI",Registro_Compras!$X$349=""),"","1041")</f>
        <v/>
      </c>
      <c r="D3116" t="str">
        <f>IF(OR(Registro_Compras!$C$349="",Registro_Compras!$O$349=""),"","Efectivo y Equivalentes - Cta. Cte. Operativa")</f>
        <v/>
      </c>
      <c r="E3116" s="20" t="str">
        <f>""</f>
        <v/>
      </c>
      <c r="F3116" s="20" t="str">
        <f>IF($C3116="","",Registro_Compras!$S$349)</f>
        <v/>
      </c>
      <c r="G3116" t="str">
        <f>IF($C3116="","","Por el deposito de la detraccion en el Banco de la Nacion")</f>
        <v/>
      </c>
      <c r="H3116" t="str">
        <f>IF($C3116="","",Registro_Compras!$C$349)</f>
        <v/>
      </c>
    </row>
    <row r="3117" spans="1:8" x14ac:dyDescent="0.25">
      <c r="A3117" s="25" t="str">
        <f>IF($C3117="","",Registro_Compras!$Y$349)</f>
        <v/>
      </c>
      <c r="B3117" t="str">
        <f>IF($C3117="","","C"&amp;TEXT(INT((ROW()-5)/9)+1,"000")&amp;"-4")</f>
        <v/>
      </c>
      <c r="C3117" t="str">
        <f>IF(OR(Registro_Compras!$C$349="",Registro_Compras!$O$349="",Registro_Compras!$Y$349="",Registro_Compras!$F$349="NOTA DE CREDITO"),"","4212")</f>
        <v/>
      </c>
      <c r="D3117" t="str">
        <f>IF(OR(Registro_Compras!$C$349="",Registro_Compras!$O$349=""),"","Cuentas por Pagar Comerciales - Terceros")</f>
        <v/>
      </c>
      <c r="E3117" s="20" t="str">
        <f>IF($C3117="","",IF(Registro_Compras!$F$349="RHE",(ROUND(Registro_Compras!$L$349*Registro_Compras!$N$349,2)-ROUND(Registro_Compras!$V$349*Registro_Compras!$N$349,2)),ROUND(Registro_Compras!$O$349-Registro_Compras!$S$349,2)))</f>
        <v/>
      </c>
      <c r="F3117" s="20" t="str">
        <f>""</f>
        <v/>
      </c>
      <c r="G3117" t="str">
        <f>IF($C3117="","","Por la cancelacion del saldo al proveedor")</f>
        <v/>
      </c>
      <c r="H3117" t="str">
        <f>IF($C3117="","",Registro_Compras!$C$349)</f>
        <v/>
      </c>
    </row>
    <row r="3118" spans="1:8" x14ac:dyDescent="0.25">
      <c r="A3118" s="25" t="str">
        <f>IF($C3118="","",Registro_Compras!$Y$349)</f>
        <v/>
      </c>
      <c r="B3118" t="str">
        <f>IF($C3118="","","C"&amp;TEXT(INT((ROW()-5)/9)+1,"000")&amp;"-4")</f>
        <v/>
      </c>
      <c r="C3118" t="str">
        <f>IF(OR(Registro_Compras!$C$349="",Registro_Compras!$O$349="",Registro_Compras!$Y$349="",Registro_Compras!$F$349="NOTA DE CREDITO"),"","1041")</f>
        <v/>
      </c>
      <c r="D3118" t="str">
        <f>IF(OR(Registro_Compras!$C$349="",Registro_Compras!$O$349=""),"","Efectivo y Equivalentes - Cta. Cte. Operativa")</f>
        <v/>
      </c>
      <c r="E3118" s="20" t="str">
        <f>""</f>
        <v/>
      </c>
      <c r="F3118" s="20" t="str">
        <f>IF($C3118="","",IF(Registro_Compras!$F$349="RHE",(ROUND(Registro_Compras!$L$349*Registro_Compras!$N$349,2)-ROUND(Registro_Compras!$V$349*Registro_Compras!$N$349,2)),ROUND(Registro_Compras!$O$349-Registro_Compras!$S$349,2)))</f>
        <v/>
      </c>
      <c r="G3118" t="str">
        <f>IF($C3118="","","Por la cancelacion del saldo al proveedor")</f>
        <v/>
      </c>
      <c r="H3118" t="str">
        <f>IF($C3118="","",Registro_Compras!$C$349)</f>
        <v/>
      </c>
    </row>
    <row r="3119" spans="1:8" x14ac:dyDescent="0.25">
      <c r="A3119" s="25" t="str">
        <f>IF($C3119="","",Registro_Compras!$B$350)</f>
        <v/>
      </c>
      <c r="B3119" t="str">
        <f>IF($C3119="","","C"&amp;TEXT(INT((ROW()-5)/9)+1,"000")&amp;"-1")</f>
        <v/>
      </c>
      <c r="C3119" t="str">
        <f>IF(OR(Registro_Compras!$C$350="",Registro_Compras!$O$350=""),"",IF(Registro_Compras!$F$350="NOTA DE CREDITO","4212",IF(Registro_Compras!$M$350="","63",Registro_Compras!$M$350)))</f>
        <v/>
      </c>
      <c r="D3119" t="str">
        <f>IF(OR(Registro_Compras!$C$350="",Registro_Compras!$O$350=""),"",IF(Registro_Compras!$F$350="NOTA DE CREDITO","Cuentas por Pagar Comerciales - Terceros (Emitidas)",IF(Registro_Compras!$F$350="RHE","Honorarios Profesionales - Servicios de Terceros","Gastos de Servicios Prestados por Terceros")))</f>
        <v/>
      </c>
      <c r="E3119" s="20" t="str">
        <f>IF($C3119="","",IF(Registro_Compras!$F$350="NOTA DE CREDITO",ABS(Registro_Compras!$O$350),IF(Registro_Compras!$F$350="RHE",ROUND(Registro_Compras!$L$350*Registro_Compras!$N$350,2),ROUND(Registro_Compras!$J$350*Registro_Compras!$N$350,2))))</f>
        <v/>
      </c>
      <c r="F3119" s="20" t="str">
        <f>""</f>
        <v/>
      </c>
      <c r="G3119" t="str">
        <f>IF($C3119="","",IF(Registro_Compras!$F$350="NOTA DE CREDITO","Por la nota de credito "&amp;Registro_Compras!$C$350&amp;" de "&amp;Registro_Compras!$E$350&amp;" [PATRON POR CONFIRMAR CON CONTADOR]",IF(Registro_Compras!$F$350="RHE","Por el registro del recibo por honorarios "&amp;Registro_Compras!$C$350&amp;" de "&amp;Registro_Compras!$E$350&amp;" [PATRON POR CONFIRMAR CON CONTADOR]","Por el registro de la factura "&amp;Registro_Compras!$C$350&amp;" de "&amp;Registro_Compras!$E$350)))</f>
        <v/>
      </c>
      <c r="H3119" t="str">
        <f>IF($C3119="","",Registro_Compras!$C$350)</f>
        <v/>
      </c>
    </row>
    <row r="3120" spans="1:8" x14ac:dyDescent="0.25">
      <c r="A3120" s="25" t="str">
        <f>IF($C3120="","",Registro_Compras!$B$350)</f>
        <v/>
      </c>
      <c r="B3120" t="str">
        <f>IF($C3120="","","C"&amp;TEXT(INT((ROW()-5)/9)+1,"000")&amp;"-1")</f>
        <v/>
      </c>
      <c r="C3120" t="str">
        <f>IF(OR(Registro_Compras!$C$350="",Registro_Compras!$O$350=""),"",IF(Registro_Compras!$F$350="RHE",IF(Registro_Compras!$V$350=0,"","4017"),IF(Registro_Compras!$F$350="NOTA DE CREDITO",IF(Registro_Compras!$M$350="","63",Registro_Compras!$M$350),IF(Registro_Compras!$K$350=0,"","40111"))))</f>
        <v/>
      </c>
      <c r="D3120" t="str">
        <f>IF(OR(Registro_Compras!$C$350="",Registro_Compras!$O$350=""),"",IF(Registro_Compras!$F$350="RHE","Retencion Renta 4ta Categoria por Pagar",IF(Registro_Compras!$F$350="NOTA DE CREDITO","Gastos de Servicios Prestados por Terceros","IGV - Cuenta Propia (Credito Fiscal)")))</f>
        <v/>
      </c>
      <c r="E3120" s="20" t="str">
        <f>IF($C3120="","",IF(Registro_Compras!$F$350="FACTURA",ROUND(Registro_Compras!$K$350*Registro_Compras!$N$350,2),""))</f>
        <v/>
      </c>
      <c r="F3120" s="20" t="str">
        <f>IF($C3120="","",IF(Registro_Compras!$F$350="RHE",ROUND(Registro_Compras!$V$350*Registro_Compras!$N$350,2),IF(Registro_Compras!$F$350="NOTA DE CREDITO",ROUND(ABS(Registro_Compras!$J$350*Registro_Compras!$N$350),2),"")))</f>
        <v/>
      </c>
      <c r="G3120" t="str">
        <f>IF($C3120="","",IF(Registro_Compras!$F$350="NOTA DE CREDITO","Por la nota de credito "&amp;Registro_Compras!$C$350&amp;" de "&amp;Registro_Compras!$E$350&amp;" [PATRON POR CONFIRMAR CON CONTADOR]",IF(Registro_Compras!$F$350="RHE","Por el registro del recibo por honorarios "&amp;Registro_Compras!$C$350&amp;" de "&amp;Registro_Compras!$E$350&amp;" [PATRON POR CONFIRMAR CON CONTADOR]","Por el registro de la factura "&amp;Registro_Compras!$C$350&amp;" de "&amp;Registro_Compras!$E$350)))</f>
        <v/>
      </c>
      <c r="H3120" t="str">
        <f>IF($C3120="","",Registro_Compras!$C$350)</f>
        <v/>
      </c>
    </row>
    <row r="3121" spans="1:8" x14ac:dyDescent="0.25">
      <c r="A3121" s="25" t="str">
        <f>IF($C3121="","",Registro_Compras!$B$350)</f>
        <v/>
      </c>
      <c r="B3121" t="str">
        <f>IF($C3121="","","C"&amp;TEXT(INT((ROW()-5)/9)+1,"000")&amp;"-1")</f>
        <v/>
      </c>
      <c r="C3121" t="str">
        <f>IF(OR(Registro_Compras!$C$350="",Registro_Compras!$O$350=""),"",IF(Registro_Compras!$F$350="NOTA DE CREDITO",IF(Registro_Compras!$K$350=0,"","40111"),"4212"))</f>
        <v/>
      </c>
      <c r="D3121" t="str">
        <f>IF(OR(Registro_Compras!$C$350="",Registro_Compras!$O$350=""),"",IF(Registro_Compras!$F$350="NOTA DE CREDITO","IGV - Cuenta Propia (Credito Fiscal)","Cuentas por Pagar Comerciales - Terceros (Emitidas)"))</f>
        <v/>
      </c>
      <c r="E3121" s="20" t="str">
        <f>""</f>
        <v/>
      </c>
      <c r="F3121" s="20" t="str">
        <f>IF($C3121="","",IF(Registro_Compras!$F$350="NOTA DE CREDITO",ROUND(ABS(Registro_Compras!$K$350*Registro_Compras!$N$350),2),IF(Registro_Compras!$F$350="RHE",(ROUND(Registro_Compras!$L$350*Registro_Compras!$N$350,2)-ROUND(Registro_Compras!$V$350*Registro_Compras!$N$350,2)),Registro_Compras!$O$350)))</f>
        <v/>
      </c>
      <c r="G3121" t="str">
        <f>IF($C3121="","",IF(Registro_Compras!$F$350="NOTA DE CREDITO","Por la nota de credito "&amp;Registro_Compras!$C$350&amp;" de "&amp;Registro_Compras!$E$350&amp;" [PATRON POR CONFIRMAR CON CONTADOR]",IF(Registro_Compras!$F$350="RHE","Por el registro del recibo por honorarios "&amp;Registro_Compras!$C$350&amp;" de "&amp;Registro_Compras!$E$350&amp;" [PATRON POR CONFIRMAR CON CONTADOR]","Por el registro de la factura "&amp;Registro_Compras!$C$350&amp;" de "&amp;Registro_Compras!$E$350)))</f>
        <v/>
      </c>
      <c r="H3121" t="str">
        <f>IF($C3121="","",Registro_Compras!$C$350)</f>
        <v/>
      </c>
    </row>
    <row r="3122" spans="1:8" x14ac:dyDescent="0.25">
      <c r="A3122" s="25" t="str">
        <f>IF($C3122="","",Registro_Compras!$B$350)</f>
        <v/>
      </c>
      <c r="B3122" t="str">
        <f>IF($C3122="","","C"&amp;TEXT(INT((ROW()-5)/9)+1,"000")&amp;"-2")</f>
        <v/>
      </c>
      <c r="C3122" t="str">
        <f>IF(OR(Registro_Compras!$C$350="",Registro_Compras!$O$350=""),"",IF(Registro_Compras!$AB$350="ADMINISTRATIVO","94","95"))</f>
        <v/>
      </c>
      <c r="D3122" t="str">
        <f>IF(OR(Registro_Compras!$C$350="",Registro_Compras!$O$350=""),"",IF(Registro_Compras!$AB$350="ADMINISTRATIVO","Gastos Administrativos","Gastos de Venta y Operacion"))</f>
        <v/>
      </c>
      <c r="E3122" s="20" t="str">
        <f>IF($C3122="","",IF(Registro_Compras!$F$350="NOTA DE CREDITO","",IF(Registro_Compras!$F$350="RHE",ROUND(Registro_Compras!$L$350*Registro_Compras!$N$350,2),ROUND(Registro_Compras!$J$350*Registro_Compras!$N$350,2))))</f>
        <v/>
      </c>
      <c r="F3122" s="20" t="str">
        <f>IF($C3122="","",IF(Registro_Compras!$F$350="NOTA DE CREDITO",ROUND(ABS(Registro_Compras!$J$350*Registro_Compras!$N$350),2),""))</f>
        <v/>
      </c>
      <c r="G3122" t="str">
        <f>IF($C3122="","","Por el destino del gasto")</f>
        <v/>
      </c>
      <c r="H3122" t="str">
        <f>IF($C3122="","",Registro_Compras!$C$350)</f>
        <v/>
      </c>
    </row>
    <row r="3123" spans="1:8" x14ac:dyDescent="0.25">
      <c r="A3123" s="25" t="str">
        <f>IF($C3123="","",Registro_Compras!$B$350)</f>
        <v/>
      </c>
      <c r="B3123" t="str">
        <f>IF($C3123="","","C"&amp;TEXT(INT((ROW()-5)/9)+1,"000")&amp;"-2")</f>
        <v/>
      </c>
      <c r="C3123" t="str">
        <f>IF(OR(Registro_Compras!$C$350="",Registro_Compras!$O$350=""),"","79/791")</f>
        <v/>
      </c>
      <c r="D3123" t="str">
        <f>IF(OR(Registro_Compras!$C$350="",Registro_Compras!$O$350=""),"","Cargas Imputables a Cuentas de Costos y Gastos")</f>
        <v/>
      </c>
      <c r="E3123" s="20" t="str">
        <f>IF($C3123="","",IF(Registro_Compras!$F$350="NOTA DE CREDITO",ROUND(ABS(Registro_Compras!$J$350*Registro_Compras!$N$350),2),""))</f>
        <v/>
      </c>
      <c r="F3123" s="20" t="str">
        <f>IF($C3123="","",IF(Registro_Compras!$F$350="NOTA DE CREDITO","",IF(Registro_Compras!$F$350="RHE",ROUND(Registro_Compras!$L$350*Registro_Compras!$N$350,2),ROUND(Registro_Compras!$J$350*Registro_Compras!$N$350,2))))</f>
        <v/>
      </c>
      <c r="G3123" t="str">
        <f>IF($C3123="","","Por el destino del gasto")</f>
        <v/>
      </c>
      <c r="H3123" t="str">
        <f>IF($C3123="","",Registro_Compras!$C$350)</f>
        <v/>
      </c>
    </row>
    <row r="3124" spans="1:8" x14ac:dyDescent="0.25">
      <c r="A3124" s="25" t="str">
        <f>IF($C3124="","",Registro_Compras!$X$350)</f>
        <v/>
      </c>
      <c r="B3124" t="str">
        <f>IF($C3124="","","C"&amp;TEXT(INT((ROW()-5)/9)+1,"000")&amp;"-3")</f>
        <v/>
      </c>
      <c r="C3124" t="str">
        <f>IF(OR(Registro_Compras!$C$350="",Registro_Compras!$O$350="",Registro_Compras!$R$350&lt;&gt;"SI",Registro_Compras!$X$350=""),"","4212")</f>
        <v/>
      </c>
      <c r="D3124" t="str">
        <f>IF(OR(Registro_Compras!$C$350="",Registro_Compras!$O$350=""),"","Cuentas por Pagar Comerciales - Terceros")</f>
        <v/>
      </c>
      <c r="E3124" s="20" t="str">
        <f>IF($C3124="","",Registro_Compras!$S$350)</f>
        <v/>
      </c>
      <c r="F3124" s="20" t="str">
        <f>""</f>
        <v/>
      </c>
      <c r="G3124" t="str">
        <f>IF($C3124="","","Por el deposito de la detraccion en el Banco de la Nacion")</f>
        <v/>
      </c>
      <c r="H3124" t="str">
        <f>IF($C3124="","",Registro_Compras!$C$350)</f>
        <v/>
      </c>
    </row>
    <row r="3125" spans="1:8" x14ac:dyDescent="0.25">
      <c r="A3125" s="25" t="str">
        <f>IF($C3125="","",Registro_Compras!$X$350)</f>
        <v/>
      </c>
      <c r="B3125" t="str">
        <f>IF($C3125="","","C"&amp;TEXT(INT((ROW()-5)/9)+1,"000")&amp;"-3")</f>
        <v/>
      </c>
      <c r="C3125" t="str">
        <f>IF(OR(Registro_Compras!$C$350="",Registro_Compras!$O$350="",Registro_Compras!$R$350&lt;&gt;"SI",Registro_Compras!$X$350=""),"","1041")</f>
        <v/>
      </c>
      <c r="D3125" t="str">
        <f>IF(OR(Registro_Compras!$C$350="",Registro_Compras!$O$350=""),"","Efectivo y Equivalentes - Cta. Cte. Operativa")</f>
        <v/>
      </c>
      <c r="E3125" s="20" t="str">
        <f>""</f>
        <v/>
      </c>
      <c r="F3125" s="20" t="str">
        <f>IF($C3125="","",Registro_Compras!$S$350)</f>
        <v/>
      </c>
      <c r="G3125" t="str">
        <f>IF($C3125="","","Por el deposito de la detraccion en el Banco de la Nacion")</f>
        <v/>
      </c>
      <c r="H3125" t="str">
        <f>IF($C3125="","",Registro_Compras!$C$350)</f>
        <v/>
      </c>
    </row>
    <row r="3126" spans="1:8" x14ac:dyDescent="0.25">
      <c r="A3126" s="25" t="str">
        <f>IF($C3126="","",Registro_Compras!$Y$350)</f>
        <v/>
      </c>
      <c r="B3126" t="str">
        <f>IF($C3126="","","C"&amp;TEXT(INT((ROW()-5)/9)+1,"000")&amp;"-4")</f>
        <v/>
      </c>
      <c r="C3126" t="str">
        <f>IF(OR(Registro_Compras!$C$350="",Registro_Compras!$O$350="",Registro_Compras!$Y$350="",Registro_Compras!$F$350="NOTA DE CREDITO"),"","4212")</f>
        <v/>
      </c>
      <c r="D3126" t="str">
        <f>IF(OR(Registro_Compras!$C$350="",Registro_Compras!$O$350=""),"","Cuentas por Pagar Comerciales - Terceros")</f>
        <v/>
      </c>
      <c r="E3126" s="20" t="str">
        <f>IF($C3126="","",IF(Registro_Compras!$F$350="RHE",(ROUND(Registro_Compras!$L$350*Registro_Compras!$N$350,2)-ROUND(Registro_Compras!$V$350*Registro_Compras!$N$350,2)),ROUND(Registro_Compras!$O$350-Registro_Compras!$S$350,2)))</f>
        <v/>
      </c>
      <c r="F3126" s="20" t="str">
        <f>""</f>
        <v/>
      </c>
      <c r="G3126" t="str">
        <f>IF($C3126="","","Por la cancelacion del saldo al proveedor")</f>
        <v/>
      </c>
      <c r="H3126" t="str">
        <f>IF($C3126="","",Registro_Compras!$C$350)</f>
        <v/>
      </c>
    </row>
    <row r="3127" spans="1:8" x14ac:dyDescent="0.25">
      <c r="A3127" s="25" t="str">
        <f>IF($C3127="","",Registro_Compras!$Y$350)</f>
        <v/>
      </c>
      <c r="B3127" t="str">
        <f>IF($C3127="","","C"&amp;TEXT(INT((ROW()-5)/9)+1,"000")&amp;"-4")</f>
        <v/>
      </c>
      <c r="C3127" t="str">
        <f>IF(OR(Registro_Compras!$C$350="",Registro_Compras!$O$350="",Registro_Compras!$Y$350="",Registro_Compras!$F$350="NOTA DE CREDITO"),"","1041")</f>
        <v/>
      </c>
      <c r="D3127" t="str">
        <f>IF(OR(Registro_Compras!$C$350="",Registro_Compras!$O$350=""),"","Efectivo y Equivalentes - Cta. Cte. Operativa")</f>
        <v/>
      </c>
      <c r="E3127" s="20" t="str">
        <f>""</f>
        <v/>
      </c>
      <c r="F3127" s="20" t="str">
        <f>IF($C3127="","",IF(Registro_Compras!$F$350="RHE",(ROUND(Registro_Compras!$L$350*Registro_Compras!$N$350,2)-ROUND(Registro_Compras!$V$350*Registro_Compras!$N$350,2)),ROUND(Registro_Compras!$O$350-Registro_Compras!$S$350,2)))</f>
        <v/>
      </c>
      <c r="G3127" t="str">
        <f>IF($C3127="","","Por la cancelacion del saldo al proveedor")</f>
        <v/>
      </c>
      <c r="H3127" t="str">
        <f>IF($C3127="","",Registro_Compras!$C$350)</f>
        <v/>
      </c>
    </row>
    <row r="3128" spans="1:8" x14ac:dyDescent="0.25">
      <c r="A3128" s="25" t="str">
        <f>IF($C3128="","",Registro_Compras!$B$351)</f>
        <v/>
      </c>
      <c r="B3128" t="str">
        <f>IF($C3128="","","C"&amp;TEXT(INT((ROW()-5)/9)+1,"000")&amp;"-1")</f>
        <v/>
      </c>
      <c r="C3128" t="str">
        <f>IF(OR(Registro_Compras!$C$351="",Registro_Compras!$O$351=""),"",IF(Registro_Compras!$F$351="NOTA DE CREDITO","4212",IF(Registro_Compras!$M$351="","63",Registro_Compras!$M$351)))</f>
        <v/>
      </c>
      <c r="D3128" t="str">
        <f>IF(OR(Registro_Compras!$C$351="",Registro_Compras!$O$351=""),"",IF(Registro_Compras!$F$351="NOTA DE CREDITO","Cuentas por Pagar Comerciales - Terceros (Emitidas)",IF(Registro_Compras!$F$351="RHE","Honorarios Profesionales - Servicios de Terceros","Gastos de Servicios Prestados por Terceros")))</f>
        <v/>
      </c>
      <c r="E3128" s="20" t="str">
        <f>IF($C3128="","",IF(Registro_Compras!$F$351="NOTA DE CREDITO",ABS(Registro_Compras!$O$351),IF(Registro_Compras!$F$351="RHE",ROUND(Registro_Compras!$L$351*Registro_Compras!$N$351,2),ROUND(Registro_Compras!$J$351*Registro_Compras!$N$351,2))))</f>
        <v/>
      </c>
      <c r="F3128" s="20" t="str">
        <f>""</f>
        <v/>
      </c>
      <c r="G3128" t="str">
        <f>IF($C3128="","",IF(Registro_Compras!$F$351="NOTA DE CREDITO","Por la nota de credito "&amp;Registro_Compras!$C$351&amp;" de "&amp;Registro_Compras!$E$351&amp;" [PATRON POR CONFIRMAR CON CONTADOR]",IF(Registro_Compras!$F$351="RHE","Por el registro del recibo por honorarios "&amp;Registro_Compras!$C$351&amp;" de "&amp;Registro_Compras!$E$351&amp;" [PATRON POR CONFIRMAR CON CONTADOR]","Por el registro de la factura "&amp;Registro_Compras!$C$351&amp;" de "&amp;Registro_Compras!$E$351)))</f>
        <v/>
      </c>
      <c r="H3128" t="str">
        <f>IF($C3128="","",Registro_Compras!$C$351)</f>
        <v/>
      </c>
    </row>
    <row r="3129" spans="1:8" x14ac:dyDescent="0.25">
      <c r="A3129" s="25" t="str">
        <f>IF($C3129="","",Registro_Compras!$B$351)</f>
        <v/>
      </c>
      <c r="B3129" t="str">
        <f>IF($C3129="","","C"&amp;TEXT(INT((ROW()-5)/9)+1,"000")&amp;"-1")</f>
        <v/>
      </c>
      <c r="C3129" t="str">
        <f>IF(OR(Registro_Compras!$C$351="",Registro_Compras!$O$351=""),"",IF(Registro_Compras!$F$351="RHE",IF(Registro_Compras!$V$351=0,"","4017"),IF(Registro_Compras!$F$351="NOTA DE CREDITO",IF(Registro_Compras!$M$351="","63",Registro_Compras!$M$351),IF(Registro_Compras!$K$351=0,"","40111"))))</f>
        <v/>
      </c>
      <c r="D3129" t="str">
        <f>IF(OR(Registro_Compras!$C$351="",Registro_Compras!$O$351=""),"",IF(Registro_Compras!$F$351="RHE","Retencion Renta 4ta Categoria por Pagar",IF(Registro_Compras!$F$351="NOTA DE CREDITO","Gastos de Servicios Prestados por Terceros","IGV - Cuenta Propia (Credito Fiscal)")))</f>
        <v/>
      </c>
      <c r="E3129" s="20" t="str">
        <f>IF($C3129="","",IF(Registro_Compras!$F$351="FACTURA",ROUND(Registro_Compras!$K$351*Registro_Compras!$N$351,2),""))</f>
        <v/>
      </c>
      <c r="F3129" s="20" t="str">
        <f>IF($C3129="","",IF(Registro_Compras!$F$351="RHE",ROUND(Registro_Compras!$V$351*Registro_Compras!$N$351,2),IF(Registro_Compras!$F$351="NOTA DE CREDITO",ROUND(ABS(Registro_Compras!$J$351*Registro_Compras!$N$351),2),"")))</f>
        <v/>
      </c>
      <c r="G3129" t="str">
        <f>IF($C3129="","",IF(Registro_Compras!$F$351="NOTA DE CREDITO","Por la nota de credito "&amp;Registro_Compras!$C$351&amp;" de "&amp;Registro_Compras!$E$351&amp;" [PATRON POR CONFIRMAR CON CONTADOR]",IF(Registro_Compras!$F$351="RHE","Por el registro del recibo por honorarios "&amp;Registro_Compras!$C$351&amp;" de "&amp;Registro_Compras!$E$351&amp;" [PATRON POR CONFIRMAR CON CONTADOR]","Por el registro de la factura "&amp;Registro_Compras!$C$351&amp;" de "&amp;Registro_Compras!$E$351)))</f>
        <v/>
      </c>
      <c r="H3129" t="str">
        <f>IF($C3129="","",Registro_Compras!$C$351)</f>
        <v/>
      </c>
    </row>
    <row r="3130" spans="1:8" x14ac:dyDescent="0.25">
      <c r="A3130" s="25" t="str">
        <f>IF($C3130="","",Registro_Compras!$B$351)</f>
        <v/>
      </c>
      <c r="B3130" t="str">
        <f>IF($C3130="","","C"&amp;TEXT(INT((ROW()-5)/9)+1,"000")&amp;"-1")</f>
        <v/>
      </c>
      <c r="C3130" t="str">
        <f>IF(OR(Registro_Compras!$C$351="",Registro_Compras!$O$351=""),"",IF(Registro_Compras!$F$351="NOTA DE CREDITO",IF(Registro_Compras!$K$351=0,"","40111"),"4212"))</f>
        <v/>
      </c>
      <c r="D3130" t="str">
        <f>IF(OR(Registro_Compras!$C$351="",Registro_Compras!$O$351=""),"",IF(Registro_Compras!$F$351="NOTA DE CREDITO","IGV - Cuenta Propia (Credito Fiscal)","Cuentas por Pagar Comerciales - Terceros (Emitidas)"))</f>
        <v/>
      </c>
      <c r="E3130" s="20" t="str">
        <f>""</f>
        <v/>
      </c>
      <c r="F3130" s="20" t="str">
        <f>IF($C3130="","",IF(Registro_Compras!$F$351="NOTA DE CREDITO",ROUND(ABS(Registro_Compras!$K$351*Registro_Compras!$N$351),2),IF(Registro_Compras!$F$351="RHE",(ROUND(Registro_Compras!$L$351*Registro_Compras!$N$351,2)-ROUND(Registro_Compras!$V$351*Registro_Compras!$N$351,2)),Registro_Compras!$O$351)))</f>
        <v/>
      </c>
      <c r="G3130" t="str">
        <f>IF($C3130="","",IF(Registro_Compras!$F$351="NOTA DE CREDITO","Por la nota de credito "&amp;Registro_Compras!$C$351&amp;" de "&amp;Registro_Compras!$E$351&amp;" [PATRON POR CONFIRMAR CON CONTADOR]",IF(Registro_Compras!$F$351="RHE","Por el registro del recibo por honorarios "&amp;Registro_Compras!$C$351&amp;" de "&amp;Registro_Compras!$E$351&amp;" [PATRON POR CONFIRMAR CON CONTADOR]","Por el registro de la factura "&amp;Registro_Compras!$C$351&amp;" de "&amp;Registro_Compras!$E$351)))</f>
        <v/>
      </c>
      <c r="H3130" t="str">
        <f>IF($C3130="","",Registro_Compras!$C$351)</f>
        <v/>
      </c>
    </row>
    <row r="3131" spans="1:8" x14ac:dyDescent="0.25">
      <c r="A3131" s="25" t="str">
        <f>IF($C3131="","",Registro_Compras!$B$351)</f>
        <v/>
      </c>
      <c r="B3131" t="str">
        <f>IF($C3131="","","C"&amp;TEXT(INT((ROW()-5)/9)+1,"000")&amp;"-2")</f>
        <v/>
      </c>
      <c r="C3131" t="str">
        <f>IF(OR(Registro_Compras!$C$351="",Registro_Compras!$O$351=""),"",IF(Registro_Compras!$AB$351="ADMINISTRATIVO","94","95"))</f>
        <v/>
      </c>
      <c r="D3131" t="str">
        <f>IF(OR(Registro_Compras!$C$351="",Registro_Compras!$O$351=""),"",IF(Registro_Compras!$AB$351="ADMINISTRATIVO","Gastos Administrativos","Gastos de Venta y Operacion"))</f>
        <v/>
      </c>
      <c r="E3131" s="20" t="str">
        <f>IF($C3131="","",IF(Registro_Compras!$F$351="NOTA DE CREDITO","",IF(Registro_Compras!$F$351="RHE",ROUND(Registro_Compras!$L$351*Registro_Compras!$N$351,2),ROUND(Registro_Compras!$J$351*Registro_Compras!$N$351,2))))</f>
        <v/>
      </c>
      <c r="F3131" s="20" t="str">
        <f>IF($C3131="","",IF(Registro_Compras!$F$351="NOTA DE CREDITO",ROUND(ABS(Registro_Compras!$J$351*Registro_Compras!$N$351),2),""))</f>
        <v/>
      </c>
      <c r="G3131" t="str">
        <f>IF($C3131="","","Por el destino del gasto")</f>
        <v/>
      </c>
      <c r="H3131" t="str">
        <f>IF($C3131="","",Registro_Compras!$C$351)</f>
        <v/>
      </c>
    </row>
    <row r="3132" spans="1:8" x14ac:dyDescent="0.25">
      <c r="A3132" s="25" t="str">
        <f>IF($C3132="","",Registro_Compras!$B$351)</f>
        <v/>
      </c>
      <c r="B3132" t="str">
        <f>IF($C3132="","","C"&amp;TEXT(INT((ROW()-5)/9)+1,"000")&amp;"-2")</f>
        <v/>
      </c>
      <c r="C3132" t="str">
        <f>IF(OR(Registro_Compras!$C$351="",Registro_Compras!$O$351=""),"","79/791")</f>
        <v/>
      </c>
      <c r="D3132" t="str">
        <f>IF(OR(Registro_Compras!$C$351="",Registro_Compras!$O$351=""),"","Cargas Imputables a Cuentas de Costos y Gastos")</f>
        <v/>
      </c>
      <c r="E3132" s="20" t="str">
        <f>IF($C3132="","",IF(Registro_Compras!$F$351="NOTA DE CREDITO",ROUND(ABS(Registro_Compras!$J$351*Registro_Compras!$N$351),2),""))</f>
        <v/>
      </c>
      <c r="F3132" s="20" t="str">
        <f>IF($C3132="","",IF(Registro_Compras!$F$351="NOTA DE CREDITO","",IF(Registro_Compras!$F$351="RHE",ROUND(Registro_Compras!$L$351*Registro_Compras!$N$351,2),ROUND(Registro_Compras!$J$351*Registro_Compras!$N$351,2))))</f>
        <v/>
      </c>
      <c r="G3132" t="str">
        <f>IF($C3132="","","Por el destino del gasto")</f>
        <v/>
      </c>
      <c r="H3132" t="str">
        <f>IF($C3132="","",Registro_Compras!$C$351)</f>
        <v/>
      </c>
    </row>
    <row r="3133" spans="1:8" x14ac:dyDescent="0.25">
      <c r="A3133" s="25" t="str">
        <f>IF($C3133="","",Registro_Compras!$X$351)</f>
        <v/>
      </c>
      <c r="B3133" t="str">
        <f>IF($C3133="","","C"&amp;TEXT(INT((ROW()-5)/9)+1,"000")&amp;"-3")</f>
        <v/>
      </c>
      <c r="C3133" t="str">
        <f>IF(OR(Registro_Compras!$C$351="",Registro_Compras!$O$351="",Registro_Compras!$R$351&lt;&gt;"SI",Registro_Compras!$X$351=""),"","4212")</f>
        <v/>
      </c>
      <c r="D3133" t="str">
        <f>IF(OR(Registro_Compras!$C$351="",Registro_Compras!$O$351=""),"","Cuentas por Pagar Comerciales - Terceros")</f>
        <v/>
      </c>
      <c r="E3133" s="20" t="str">
        <f>IF($C3133="","",Registro_Compras!$S$351)</f>
        <v/>
      </c>
      <c r="F3133" s="20" t="str">
        <f>""</f>
        <v/>
      </c>
      <c r="G3133" t="str">
        <f>IF($C3133="","","Por el deposito de la detraccion en el Banco de la Nacion")</f>
        <v/>
      </c>
      <c r="H3133" t="str">
        <f>IF($C3133="","",Registro_Compras!$C$351)</f>
        <v/>
      </c>
    </row>
    <row r="3134" spans="1:8" x14ac:dyDescent="0.25">
      <c r="A3134" s="25" t="str">
        <f>IF($C3134="","",Registro_Compras!$X$351)</f>
        <v/>
      </c>
      <c r="B3134" t="str">
        <f>IF($C3134="","","C"&amp;TEXT(INT((ROW()-5)/9)+1,"000")&amp;"-3")</f>
        <v/>
      </c>
      <c r="C3134" t="str">
        <f>IF(OR(Registro_Compras!$C$351="",Registro_Compras!$O$351="",Registro_Compras!$R$351&lt;&gt;"SI",Registro_Compras!$X$351=""),"","1041")</f>
        <v/>
      </c>
      <c r="D3134" t="str">
        <f>IF(OR(Registro_Compras!$C$351="",Registro_Compras!$O$351=""),"","Efectivo y Equivalentes - Cta. Cte. Operativa")</f>
        <v/>
      </c>
      <c r="E3134" s="20" t="str">
        <f>""</f>
        <v/>
      </c>
      <c r="F3134" s="20" t="str">
        <f>IF($C3134="","",Registro_Compras!$S$351)</f>
        <v/>
      </c>
      <c r="G3134" t="str">
        <f>IF($C3134="","","Por el deposito de la detraccion en el Banco de la Nacion")</f>
        <v/>
      </c>
      <c r="H3134" t="str">
        <f>IF($C3134="","",Registro_Compras!$C$351)</f>
        <v/>
      </c>
    </row>
    <row r="3135" spans="1:8" x14ac:dyDescent="0.25">
      <c r="A3135" s="25" t="str">
        <f>IF($C3135="","",Registro_Compras!$Y$351)</f>
        <v/>
      </c>
      <c r="B3135" t="str">
        <f>IF($C3135="","","C"&amp;TEXT(INT((ROW()-5)/9)+1,"000")&amp;"-4")</f>
        <v/>
      </c>
      <c r="C3135" t="str">
        <f>IF(OR(Registro_Compras!$C$351="",Registro_Compras!$O$351="",Registro_Compras!$Y$351="",Registro_Compras!$F$351="NOTA DE CREDITO"),"","4212")</f>
        <v/>
      </c>
      <c r="D3135" t="str">
        <f>IF(OR(Registro_Compras!$C$351="",Registro_Compras!$O$351=""),"","Cuentas por Pagar Comerciales - Terceros")</f>
        <v/>
      </c>
      <c r="E3135" s="20" t="str">
        <f>IF($C3135="","",IF(Registro_Compras!$F$351="RHE",(ROUND(Registro_Compras!$L$351*Registro_Compras!$N$351,2)-ROUND(Registro_Compras!$V$351*Registro_Compras!$N$351,2)),ROUND(Registro_Compras!$O$351-Registro_Compras!$S$351,2)))</f>
        <v/>
      </c>
      <c r="F3135" s="20" t="str">
        <f>""</f>
        <v/>
      </c>
      <c r="G3135" t="str">
        <f>IF($C3135="","","Por la cancelacion del saldo al proveedor")</f>
        <v/>
      </c>
      <c r="H3135" t="str">
        <f>IF($C3135="","",Registro_Compras!$C$351)</f>
        <v/>
      </c>
    </row>
    <row r="3136" spans="1:8" x14ac:dyDescent="0.25">
      <c r="A3136" s="25" t="str">
        <f>IF($C3136="","",Registro_Compras!$Y$351)</f>
        <v/>
      </c>
      <c r="B3136" t="str">
        <f>IF($C3136="","","C"&amp;TEXT(INT((ROW()-5)/9)+1,"000")&amp;"-4")</f>
        <v/>
      </c>
      <c r="C3136" t="str">
        <f>IF(OR(Registro_Compras!$C$351="",Registro_Compras!$O$351="",Registro_Compras!$Y$351="",Registro_Compras!$F$351="NOTA DE CREDITO"),"","1041")</f>
        <v/>
      </c>
      <c r="D3136" t="str">
        <f>IF(OR(Registro_Compras!$C$351="",Registro_Compras!$O$351=""),"","Efectivo y Equivalentes - Cta. Cte. Operativa")</f>
        <v/>
      </c>
      <c r="E3136" s="20" t="str">
        <f>""</f>
        <v/>
      </c>
      <c r="F3136" s="20" t="str">
        <f>IF($C3136="","",IF(Registro_Compras!$F$351="RHE",(ROUND(Registro_Compras!$L$351*Registro_Compras!$N$351,2)-ROUND(Registro_Compras!$V$351*Registro_Compras!$N$351,2)),ROUND(Registro_Compras!$O$351-Registro_Compras!$S$351,2)))</f>
        <v/>
      </c>
      <c r="G3136" t="str">
        <f>IF($C3136="","","Por la cancelacion del saldo al proveedor")</f>
        <v/>
      </c>
      <c r="H3136" t="str">
        <f>IF($C3136="","",Registro_Compras!$C$351)</f>
        <v/>
      </c>
    </row>
    <row r="3137" spans="1:8" x14ac:dyDescent="0.25">
      <c r="A3137" s="25" t="str">
        <f>IF($C3137="","",Registro_Compras!$B$352)</f>
        <v/>
      </c>
      <c r="B3137" t="str">
        <f>IF($C3137="","","C"&amp;TEXT(INT((ROW()-5)/9)+1,"000")&amp;"-1")</f>
        <v/>
      </c>
      <c r="C3137" t="str">
        <f>IF(OR(Registro_Compras!$C$352="",Registro_Compras!$O$352=""),"",IF(Registro_Compras!$F$352="NOTA DE CREDITO","4212",IF(Registro_Compras!$M$352="","63",Registro_Compras!$M$352)))</f>
        <v/>
      </c>
      <c r="D3137" t="str">
        <f>IF(OR(Registro_Compras!$C$352="",Registro_Compras!$O$352=""),"",IF(Registro_Compras!$F$352="NOTA DE CREDITO","Cuentas por Pagar Comerciales - Terceros (Emitidas)",IF(Registro_Compras!$F$352="RHE","Honorarios Profesionales - Servicios de Terceros","Gastos de Servicios Prestados por Terceros")))</f>
        <v/>
      </c>
      <c r="E3137" s="20" t="str">
        <f>IF($C3137="","",IF(Registro_Compras!$F$352="NOTA DE CREDITO",ABS(Registro_Compras!$O$352),IF(Registro_Compras!$F$352="RHE",ROUND(Registro_Compras!$L$352*Registro_Compras!$N$352,2),ROUND(Registro_Compras!$J$352*Registro_Compras!$N$352,2))))</f>
        <v/>
      </c>
      <c r="F3137" s="20" t="str">
        <f>""</f>
        <v/>
      </c>
      <c r="G3137" t="str">
        <f>IF($C3137="","",IF(Registro_Compras!$F$352="NOTA DE CREDITO","Por la nota de credito "&amp;Registro_Compras!$C$352&amp;" de "&amp;Registro_Compras!$E$352&amp;" [PATRON POR CONFIRMAR CON CONTADOR]",IF(Registro_Compras!$F$352="RHE","Por el registro del recibo por honorarios "&amp;Registro_Compras!$C$352&amp;" de "&amp;Registro_Compras!$E$352&amp;" [PATRON POR CONFIRMAR CON CONTADOR]","Por el registro de la factura "&amp;Registro_Compras!$C$352&amp;" de "&amp;Registro_Compras!$E$352)))</f>
        <v/>
      </c>
      <c r="H3137" t="str">
        <f>IF($C3137="","",Registro_Compras!$C$352)</f>
        <v/>
      </c>
    </row>
    <row r="3138" spans="1:8" x14ac:dyDescent="0.25">
      <c r="A3138" s="25" t="str">
        <f>IF($C3138="","",Registro_Compras!$B$352)</f>
        <v/>
      </c>
      <c r="B3138" t="str">
        <f>IF($C3138="","","C"&amp;TEXT(INT((ROW()-5)/9)+1,"000")&amp;"-1")</f>
        <v/>
      </c>
      <c r="C3138" t="str">
        <f>IF(OR(Registro_Compras!$C$352="",Registro_Compras!$O$352=""),"",IF(Registro_Compras!$F$352="RHE",IF(Registro_Compras!$V$352=0,"","4017"),IF(Registro_Compras!$F$352="NOTA DE CREDITO",IF(Registro_Compras!$M$352="","63",Registro_Compras!$M$352),IF(Registro_Compras!$K$352=0,"","40111"))))</f>
        <v/>
      </c>
      <c r="D3138" t="str">
        <f>IF(OR(Registro_Compras!$C$352="",Registro_Compras!$O$352=""),"",IF(Registro_Compras!$F$352="RHE","Retencion Renta 4ta Categoria por Pagar",IF(Registro_Compras!$F$352="NOTA DE CREDITO","Gastos de Servicios Prestados por Terceros","IGV - Cuenta Propia (Credito Fiscal)")))</f>
        <v/>
      </c>
      <c r="E3138" s="20" t="str">
        <f>IF($C3138="","",IF(Registro_Compras!$F$352="FACTURA",ROUND(Registro_Compras!$K$352*Registro_Compras!$N$352,2),""))</f>
        <v/>
      </c>
      <c r="F3138" s="20" t="str">
        <f>IF($C3138="","",IF(Registro_Compras!$F$352="RHE",ROUND(Registro_Compras!$V$352*Registro_Compras!$N$352,2),IF(Registro_Compras!$F$352="NOTA DE CREDITO",ROUND(ABS(Registro_Compras!$J$352*Registro_Compras!$N$352),2),"")))</f>
        <v/>
      </c>
      <c r="G3138" t="str">
        <f>IF($C3138="","",IF(Registro_Compras!$F$352="NOTA DE CREDITO","Por la nota de credito "&amp;Registro_Compras!$C$352&amp;" de "&amp;Registro_Compras!$E$352&amp;" [PATRON POR CONFIRMAR CON CONTADOR]",IF(Registro_Compras!$F$352="RHE","Por el registro del recibo por honorarios "&amp;Registro_Compras!$C$352&amp;" de "&amp;Registro_Compras!$E$352&amp;" [PATRON POR CONFIRMAR CON CONTADOR]","Por el registro de la factura "&amp;Registro_Compras!$C$352&amp;" de "&amp;Registro_Compras!$E$352)))</f>
        <v/>
      </c>
      <c r="H3138" t="str">
        <f>IF($C3138="","",Registro_Compras!$C$352)</f>
        <v/>
      </c>
    </row>
    <row r="3139" spans="1:8" x14ac:dyDescent="0.25">
      <c r="A3139" s="25" t="str">
        <f>IF($C3139="","",Registro_Compras!$B$352)</f>
        <v/>
      </c>
      <c r="B3139" t="str">
        <f>IF($C3139="","","C"&amp;TEXT(INT((ROW()-5)/9)+1,"000")&amp;"-1")</f>
        <v/>
      </c>
      <c r="C3139" t="str">
        <f>IF(OR(Registro_Compras!$C$352="",Registro_Compras!$O$352=""),"",IF(Registro_Compras!$F$352="NOTA DE CREDITO",IF(Registro_Compras!$K$352=0,"","40111"),"4212"))</f>
        <v/>
      </c>
      <c r="D3139" t="str">
        <f>IF(OR(Registro_Compras!$C$352="",Registro_Compras!$O$352=""),"",IF(Registro_Compras!$F$352="NOTA DE CREDITO","IGV - Cuenta Propia (Credito Fiscal)","Cuentas por Pagar Comerciales - Terceros (Emitidas)"))</f>
        <v/>
      </c>
      <c r="E3139" s="20" t="str">
        <f>""</f>
        <v/>
      </c>
      <c r="F3139" s="20" t="str">
        <f>IF($C3139="","",IF(Registro_Compras!$F$352="NOTA DE CREDITO",ROUND(ABS(Registro_Compras!$K$352*Registro_Compras!$N$352),2),IF(Registro_Compras!$F$352="RHE",(ROUND(Registro_Compras!$L$352*Registro_Compras!$N$352,2)-ROUND(Registro_Compras!$V$352*Registro_Compras!$N$352,2)),Registro_Compras!$O$352)))</f>
        <v/>
      </c>
      <c r="G3139" t="str">
        <f>IF($C3139="","",IF(Registro_Compras!$F$352="NOTA DE CREDITO","Por la nota de credito "&amp;Registro_Compras!$C$352&amp;" de "&amp;Registro_Compras!$E$352&amp;" [PATRON POR CONFIRMAR CON CONTADOR]",IF(Registro_Compras!$F$352="RHE","Por el registro del recibo por honorarios "&amp;Registro_Compras!$C$352&amp;" de "&amp;Registro_Compras!$E$352&amp;" [PATRON POR CONFIRMAR CON CONTADOR]","Por el registro de la factura "&amp;Registro_Compras!$C$352&amp;" de "&amp;Registro_Compras!$E$352)))</f>
        <v/>
      </c>
      <c r="H3139" t="str">
        <f>IF($C3139="","",Registro_Compras!$C$352)</f>
        <v/>
      </c>
    </row>
    <row r="3140" spans="1:8" x14ac:dyDescent="0.25">
      <c r="A3140" s="25" t="str">
        <f>IF($C3140="","",Registro_Compras!$B$352)</f>
        <v/>
      </c>
      <c r="B3140" t="str">
        <f>IF($C3140="","","C"&amp;TEXT(INT((ROW()-5)/9)+1,"000")&amp;"-2")</f>
        <v/>
      </c>
      <c r="C3140" t="str">
        <f>IF(OR(Registro_Compras!$C$352="",Registro_Compras!$O$352=""),"",IF(Registro_Compras!$AB$352="ADMINISTRATIVO","94","95"))</f>
        <v/>
      </c>
      <c r="D3140" t="str">
        <f>IF(OR(Registro_Compras!$C$352="",Registro_Compras!$O$352=""),"",IF(Registro_Compras!$AB$352="ADMINISTRATIVO","Gastos Administrativos","Gastos de Venta y Operacion"))</f>
        <v/>
      </c>
      <c r="E3140" s="20" t="str">
        <f>IF($C3140="","",IF(Registro_Compras!$F$352="NOTA DE CREDITO","",IF(Registro_Compras!$F$352="RHE",ROUND(Registro_Compras!$L$352*Registro_Compras!$N$352,2),ROUND(Registro_Compras!$J$352*Registro_Compras!$N$352,2))))</f>
        <v/>
      </c>
      <c r="F3140" s="20" t="str">
        <f>IF($C3140="","",IF(Registro_Compras!$F$352="NOTA DE CREDITO",ROUND(ABS(Registro_Compras!$J$352*Registro_Compras!$N$352),2),""))</f>
        <v/>
      </c>
      <c r="G3140" t="str">
        <f>IF($C3140="","","Por el destino del gasto")</f>
        <v/>
      </c>
      <c r="H3140" t="str">
        <f>IF($C3140="","",Registro_Compras!$C$352)</f>
        <v/>
      </c>
    </row>
    <row r="3141" spans="1:8" x14ac:dyDescent="0.25">
      <c r="A3141" s="25" t="str">
        <f>IF($C3141="","",Registro_Compras!$B$352)</f>
        <v/>
      </c>
      <c r="B3141" t="str">
        <f>IF($C3141="","","C"&amp;TEXT(INT((ROW()-5)/9)+1,"000")&amp;"-2")</f>
        <v/>
      </c>
      <c r="C3141" t="str">
        <f>IF(OR(Registro_Compras!$C$352="",Registro_Compras!$O$352=""),"","79/791")</f>
        <v/>
      </c>
      <c r="D3141" t="str">
        <f>IF(OR(Registro_Compras!$C$352="",Registro_Compras!$O$352=""),"","Cargas Imputables a Cuentas de Costos y Gastos")</f>
        <v/>
      </c>
      <c r="E3141" s="20" t="str">
        <f>IF($C3141="","",IF(Registro_Compras!$F$352="NOTA DE CREDITO",ROUND(ABS(Registro_Compras!$J$352*Registro_Compras!$N$352),2),""))</f>
        <v/>
      </c>
      <c r="F3141" s="20" t="str">
        <f>IF($C3141="","",IF(Registro_Compras!$F$352="NOTA DE CREDITO","",IF(Registro_Compras!$F$352="RHE",ROUND(Registro_Compras!$L$352*Registro_Compras!$N$352,2),ROUND(Registro_Compras!$J$352*Registro_Compras!$N$352,2))))</f>
        <v/>
      </c>
      <c r="G3141" t="str">
        <f>IF($C3141="","","Por el destino del gasto")</f>
        <v/>
      </c>
      <c r="H3141" t="str">
        <f>IF($C3141="","",Registro_Compras!$C$352)</f>
        <v/>
      </c>
    </row>
    <row r="3142" spans="1:8" x14ac:dyDescent="0.25">
      <c r="A3142" s="25" t="str">
        <f>IF($C3142="","",Registro_Compras!$X$352)</f>
        <v/>
      </c>
      <c r="B3142" t="str">
        <f>IF($C3142="","","C"&amp;TEXT(INT((ROW()-5)/9)+1,"000")&amp;"-3")</f>
        <v/>
      </c>
      <c r="C3142" t="str">
        <f>IF(OR(Registro_Compras!$C$352="",Registro_Compras!$O$352="",Registro_Compras!$R$352&lt;&gt;"SI",Registro_Compras!$X$352=""),"","4212")</f>
        <v/>
      </c>
      <c r="D3142" t="str">
        <f>IF(OR(Registro_Compras!$C$352="",Registro_Compras!$O$352=""),"","Cuentas por Pagar Comerciales - Terceros")</f>
        <v/>
      </c>
      <c r="E3142" s="20" t="str">
        <f>IF($C3142="","",Registro_Compras!$S$352)</f>
        <v/>
      </c>
      <c r="F3142" s="20" t="str">
        <f>""</f>
        <v/>
      </c>
      <c r="G3142" t="str">
        <f>IF($C3142="","","Por el deposito de la detraccion en el Banco de la Nacion")</f>
        <v/>
      </c>
      <c r="H3142" t="str">
        <f>IF($C3142="","",Registro_Compras!$C$352)</f>
        <v/>
      </c>
    </row>
    <row r="3143" spans="1:8" x14ac:dyDescent="0.25">
      <c r="A3143" s="25" t="str">
        <f>IF($C3143="","",Registro_Compras!$X$352)</f>
        <v/>
      </c>
      <c r="B3143" t="str">
        <f>IF($C3143="","","C"&amp;TEXT(INT((ROW()-5)/9)+1,"000")&amp;"-3")</f>
        <v/>
      </c>
      <c r="C3143" t="str">
        <f>IF(OR(Registro_Compras!$C$352="",Registro_Compras!$O$352="",Registro_Compras!$R$352&lt;&gt;"SI",Registro_Compras!$X$352=""),"","1041")</f>
        <v/>
      </c>
      <c r="D3143" t="str">
        <f>IF(OR(Registro_Compras!$C$352="",Registro_Compras!$O$352=""),"","Efectivo y Equivalentes - Cta. Cte. Operativa")</f>
        <v/>
      </c>
      <c r="E3143" s="20" t="str">
        <f>""</f>
        <v/>
      </c>
      <c r="F3143" s="20" t="str">
        <f>IF($C3143="","",Registro_Compras!$S$352)</f>
        <v/>
      </c>
      <c r="G3143" t="str">
        <f>IF($C3143="","","Por el deposito de la detraccion en el Banco de la Nacion")</f>
        <v/>
      </c>
      <c r="H3143" t="str">
        <f>IF($C3143="","",Registro_Compras!$C$352)</f>
        <v/>
      </c>
    </row>
    <row r="3144" spans="1:8" x14ac:dyDescent="0.25">
      <c r="A3144" s="25" t="str">
        <f>IF($C3144="","",Registro_Compras!$Y$352)</f>
        <v/>
      </c>
      <c r="B3144" t="str">
        <f>IF($C3144="","","C"&amp;TEXT(INT((ROW()-5)/9)+1,"000")&amp;"-4")</f>
        <v/>
      </c>
      <c r="C3144" t="str">
        <f>IF(OR(Registro_Compras!$C$352="",Registro_Compras!$O$352="",Registro_Compras!$Y$352="",Registro_Compras!$F$352="NOTA DE CREDITO"),"","4212")</f>
        <v/>
      </c>
      <c r="D3144" t="str">
        <f>IF(OR(Registro_Compras!$C$352="",Registro_Compras!$O$352=""),"","Cuentas por Pagar Comerciales - Terceros")</f>
        <v/>
      </c>
      <c r="E3144" s="20" t="str">
        <f>IF($C3144="","",IF(Registro_Compras!$F$352="RHE",(ROUND(Registro_Compras!$L$352*Registro_Compras!$N$352,2)-ROUND(Registro_Compras!$V$352*Registro_Compras!$N$352,2)),ROUND(Registro_Compras!$O$352-Registro_Compras!$S$352,2)))</f>
        <v/>
      </c>
      <c r="F3144" s="20" t="str">
        <f>""</f>
        <v/>
      </c>
      <c r="G3144" t="str">
        <f>IF($C3144="","","Por la cancelacion del saldo al proveedor")</f>
        <v/>
      </c>
      <c r="H3144" t="str">
        <f>IF($C3144="","",Registro_Compras!$C$352)</f>
        <v/>
      </c>
    </row>
    <row r="3145" spans="1:8" x14ac:dyDescent="0.25">
      <c r="A3145" s="25" t="str">
        <f>IF($C3145="","",Registro_Compras!$Y$352)</f>
        <v/>
      </c>
      <c r="B3145" t="str">
        <f>IF($C3145="","","C"&amp;TEXT(INT((ROW()-5)/9)+1,"000")&amp;"-4")</f>
        <v/>
      </c>
      <c r="C3145" t="str">
        <f>IF(OR(Registro_Compras!$C$352="",Registro_Compras!$O$352="",Registro_Compras!$Y$352="",Registro_Compras!$F$352="NOTA DE CREDITO"),"","1041")</f>
        <v/>
      </c>
      <c r="D3145" t="str">
        <f>IF(OR(Registro_Compras!$C$352="",Registro_Compras!$O$352=""),"","Efectivo y Equivalentes - Cta. Cte. Operativa")</f>
        <v/>
      </c>
      <c r="E3145" s="20" t="str">
        <f>""</f>
        <v/>
      </c>
      <c r="F3145" s="20" t="str">
        <f>IF($C3145="","",IF(Registro_Compras!$F$352="RHE",(ROUND(Registro_Compras!$L$352*Registro_Compras!$N$352,2)-ROUND(Registro_Compras!$V$352*Registro_Compras!$N$352,2)),ROUND(Registro_Compras!$O$352-Registro_Compras!$S$352,2)))</f>
        <v/>
      </c>
      <c r="G3145" t="str">
        <f>IF($C3145="","","Por la cancelacion del saldo al proveedor")</f>
        <v/>
      </c>
      <c r="H3145" t="str">
        <f>IF($C3145="","",Registro_Compras!$C$352)</f>
        <v/>
      </c>
    </row>
    <row r="3146" spans="1:8" x14ac:dyDescent="0.25">
      <c r="A3146" s="25" t="str">
        <f>IF($C3146="","",Registro_Compras!$B$353)</f>
        <v/>
      </c>
      <c r="B3146" t="str">
        <f>IF($C3146="","","C"&amp;TEXT(INT((ROW()-5)/9)+1,"000")&amp;"-1")</f>
        <v/>
      </c>
      <c r="C3146" t="str">
        <f>IF(OR(Registro_Compras!$C$353="",Registro_Compras!$O$353=""),"",IF(Registro_Compras!$F$353="NOTA DE CREDITO","4212",IF(Registro_Compras!$M$353="","63",Registro_Compras!$M$353)))</f>
        <v/>
      </c>
      <c r="D3146" t="str">
        <f>IF(OR(Registro_Compras!$C$353="",Registro_Compras!$O$353=""),"",IF(Registro_Compras!$F$353="NOTA DE CREDITO","Cuentas por Pagar Comerciales - Terceros (Emitidas)",IF(Registro_Compras!$F$353="RHE","Honorarios Profesionales - Servicios de Terceros","Gastos de Servicios Prestados por Terceros")))</f>
        <v/>
      </c>
      <c r="E3146" s="20" t="str">
        <f>IF($C3146="","",IF(Registro_Compras!$F$353="NOTA DE CREDITO",ABS(Registro_Compras!$O$353),IF(Registro_Compras!$F$353="RHE",ROUND(Registro_Compras!$L$353*Registro_Compras!$N$353,2),ROUND(Registro_Compras!$J$353*Registro_Compras!$N$353,2))))</f>
        <v/>
      </c>
      <c r="F3146" s="20" t="str">
        <f>""</f>
        <v/>
      </c>
      <c r="G3146" t="str">
        <f>IF($C3146="","",IF(Registro_Compras!$F$353="NOTA DE CREDITO","Por la nota de credito "&amp;Registro_Compras!$C$353&amp;" de "&amp;Registro_Compras!$E$353&amp;" [PATRON POR CONFIRMAR CON CONTADOR]",IF(Registro_Compras!$F$353="RHE","Por el registro del recibo por honorarios "&amp;Registro_Compras!$C$353&amp;" de "&amp;Registro_Compras!$E$353&amp;" [PATRON POR CONFIRMAR CON CONTADOR]","Por el registro de la factura "&amp;Registro_Compras!$C$353&amp;" de "&amp;Registro_Compras!$E$353)))</f>
        <v/>
      </c>
      <c r="H3146" t="str">
        <f>IF($C3146="","",Registro_Compras!$C$353)</f>
        <v/>
      </c>
    </row>
    <row r="3147" spans="1:8" x14ac:dyDescent="0.25">
      <c r="A3147" s="25" t="str">
        <f>IF($C3147="","",Registro_Compras!$B$353)</f>
        <v/>
      </c>
      <c r="B3147" t="str">
        <f>IF($C3147="","","C"&amp;TEXT(INT((ROW()-5)/9)+1,"000")&amp;"-1")</f>
        <v/>
      </c>
      <c r="C3147" t="str">
        <f>IF(OR(Registro_Compras!$C$353="",Registro_Compras!$O$353=""),"",IF(Registro_Compras!$F$353="RHE",IF(Registro_Compras!$V$353=0,"","4017"),IF(Registro_Compras!$F$353="NOTA DE CREDITO",IF(Registro_Compras!$M$353="","63",Registro_Compras!$M$353),IF(Registro_Compras!$K$353=0,"","40111"))))</f>
        <v/>
      </c>
      <c r="D3147" t="str">
        <f>IF(OR(Registro_Compras!$C$353="",Registro_Compras!$O$353=""),"",IF(Registro_Compras!$F$353="RHE","Retencion Renta 4ta Categoria por Pagar",IF(Registro_Compras!$F$353="NOTA DE CREDITO","Gastos de Servicios Prestados por Terceros","IGV - Cuenta Propia (Credito Fiscal)")))</f>
        <v/>
      </c>
      <c r="E3147" s="20" t="str">
        <f>IF($C3147="","",IF(Registro_Compras!$F$353="FACTURA",ROUND(Registro_Compras!$K$353*Registro_Compras!$N$353,2),""))</f>
        <v/>
      </c>
      <c r="F3147" s="20" t="str">
        <f>IF($C3147="","",IF(Registro_Compras!$F$353="RHE",ROUND(Registro_Compras!$V$353*Registro_Compras!$N$353,2),IF(Registro_Compras!$F$353="NOTA DE CREDITO",ROUND(ABS(Registro_Compras!$J$353*Registro_Compras!$N$353),2),"")))</f>
        <v/>
      </c>
      <c r="G3147" t="str">
        <f>IF($C3147="","",IF(Registro_Compras!$F$353="NOTA DE CREDITO","Por la nota de credito "&amp;Registro_Compras!$C$353&amp;" de "&amp;Registro_Compras!$E$353&amp;" [PATRON POR CONFIRMAR CON CONTADOR]",IF(Registro_Compras!$F$353="RHE","Por el registro del recibo por honorarios "&amp;Registro_Compras!$C$353&amp;" de "&amp;Registro_Compras!$E$353&amp;" [PATRON POR CONFIRMAR CON CONTADOR]","Por el registro de la factura "&amp;Registro_Compras!$C$353&amp;" de "&amp;Registro_Compras!$E$353)))</f>
        <v/>
      </c>
      <c r="H3147" t="str">
        <f>IF($C3147="","",Registro_Compras!$C$353)</f>
        <v/>
      </c>
    </row>
    <row r="3148" spans="1:8" x14ac:dyDescent="0.25">
      <c r="A3148" s="25" t="str">
        <f>IF($C3148="","",Registro_Compras!$B$353)</f>
        <v/>
      </c>
      <c r="B3148" t="str">
        <f>IF($C3148="","","C"&amp;TEXT(INT((ROW()-5)/9)+1,"000")&amp;"-1")</f>
        <v/>
      </c>
      <c r="C3148" t="str">
        <f>IF(OR(Registro_Compras!$C$353="",Registro_Compras!$O$353=""),"",IF(Registro_Compras!$F$353="NOTA DE CREDITO",IF(Registro_Compras!$K$353=0,"","40111"),"4212"))</f>
        <v/>
      </c>
      <c r="D3148" t="str">
        <f>IF(OR(Registro_Compras!$C$353="",Registro_Compras!$O$353=""),"",IF(Registro_Compras!$F$353="NOTA DE CREDITO","IGV - Cuenta Propia (Credito Fiscal)","Cuentas por Pagar Comerciales - Terceros (Emitidas)"))</f>
        <v/>
      </c>
      <c r="E3148" s="20" t="str">
        <f>""</f>
        <v/>
      </c>
      <c r="F3148" s="20" t="str">
        <f>IF($C3148="","",IF(Registro_Compras!$F$353="NOTA DE CREDITO",ROUND(ABS(Registro_Compras!$K$353*Registro_Compras!$N$353),2),IF(Registro_Compras!$F$353="RHE",(ROUND(Registro_Compras!$L$353*Registro_Compras!$N$353,2)-ROUND(Registro_Compras!$V$353*Registro_Compras!$N$353,2)),Registro_Compras!$O$353)))</f>
        <v/>
      </c>
      <c r="G3148" t="str">
        <f>IF($C3148="","",IF(Registro_Compras!$F$353="NOTA DE CREDITO","Por la nota de credito "&amp;Registro_Compras!$C$353&amp;" de "&amp;Registro_Compras!$E$353&amp;" [PATRON POR CONFIRMAR CON CONTADOR]",IF(Registro_Compras!$F$353="RHE","Por el registro del recibo por honorarios "&amp;Registro_Compras!$C$353&amp;" de "&amp;Registro_Compras!$E$353&amp;" [PATRON POR CONFIRMAR CON CONTADOR]","Por el registro de la factura "&amp;Registro_Compras!$C$353&amp;" de "&amp;Registro_Compras!$E$353)))</f>
        <v/>
      </c>
      <c r="H3148" t="str">
        <f>IF($C3148="","",Registro_Compras!$C$353)</f>
        <v/>
      </c>
    </row>
    <row r="3149" spans="1:8" x14ac:dyDescent="0.25">
      <c r="A3149" s="25" t="str">
        <f>IF($C3149="","",Registro_Compras!$B$353)</f>
        <v/>
      </c>
      <c r="B3149" t="str">
        <f>IF($C3149="","","C"&amp;TEXT(INT((ROW()-5)/9)+1,"000")&amp;"-2")</f>
        <v/>
      </c>
      <c r="C3149" t="str">
        <f>IF(OR(Registro_Compras!$C$353="",Registro_Compras!$O$353=""),"",IF(Registro_Compras!$AB$353="ADMINISTRATIVO","94","95"))</f>
        <v/>
      </c>
      <c r="D3149" t="str">
        <f>IF(OR(Registro_Compras!$C$353="",Registro_Compras!$O$353=""),"",IF(Registro_Compras!$AB$353="ADMINISTRATIVO","Gastos Administrativos","Gastos de Venta y Operacion"))</f>
        <v/>
      </c>
      <c r="E3149" s="20" t="str">
        <f>IF($C3149="","",IF(Registro_Compras!$F$353="NOTA DE CREDITO","",IF(Registro_Compras!$F$353="RHE",ROUND(Registro_Compras!$L$353*Registro_Compras!$N$353,2),ROUND(Registro_Compras!$J$353*Registro_Compras!$N$353,2))))</f>
        <v/>
      </c>
      <c r="F3149" s="20" t="str">
        <f>IF($C3149="","",IF(Registro_Compras!$F$353="NOTA DE CREDITO",ROUND(ABS(Registro_Compras!$J$353*Registro_Compras!$N$353),2),""))</f>
        <v/>
      </c>
      <c r="G3149" t="str">
        <f>IF($C3149="","","Por el destino del gasto")</f>
        <v/>
      </c>
      <c r="H3149" t="str">
        <f>IF($C3149="","",Registro_Compras!$C$353)</f>
        <v/>
      </c>
    </row>
    <row r="3150" spans="1:8" x14ac:dyDescent="0.25">
      <c r="A3150" s="25" t="str">
        <f>IF($C3150="","",Registro_Compras!$B$353)</f>
        <v/>
      </c>
      <c r="B3150" t="str">
        <f>IF($C3150="","","C"&amp;TEXT(INT((ROW()-5)/9)+1,"000")&amp;"-2")</f>
        <v/>
      </c>
      <c r="C3150" t="str">
        <f>IF(OR(Registro_Compras!$C$353="",Registro_Compras!$O$353=""),"","79/791")</f>
        <v/>
      </c>
      <c r="D3150" t="str">
        <f>IF(OR(Registro_Compras!$C$353="",Registro_Compras!$O$353=""),"","Cargas Imputables a Cuentas de Costos y Gastos")</f>
        <v/>
      </c>
      <c r="E3150" s="20" t="str">
        <f>IF($C3150="","",IF(Registro_Compras!$F$353="NOTA DE CREDITO",ROUND(ABS(Registro_Compras!$J$353*Registro_Compras!$N$353),2),""))</f>
        <v/>
      </c>
      <c r="F3150" s="20" t="str">
        <f>IF($C3150="","",IF(Registro_Compras!$F$353="NOTA DE CREDITO","",IF(Registro_Compras!$F$353="RHE",ROUND(Registro_Compras!$L$353*Registro_Compras!$N$353,2),ROUND(Registro_Compras!$J$353*Registro_Compras!$N$353,2))))</f>
        <v/>
      </c>
      <c r="G3150" t="str">
        <f>IF($C3150="","","Por el destino del gasto")</f>
        <v/>
      </c>
      <c r="H3150" t="str">
        <f>IF($C3150="","",Registro_Compras!$C$353)</f>
        <v/>
      </c>
    </row>
    <row r="3151" spans="1:8" x14ac:dyDescent="0.25">
      <c r="A3151" s="25" t="str">
        <f>IF($C3151="","",Registro_Compras!$X$353)</f>
        <v/>
      </c>
      <c r="B3151" t="str">
        <f>IF($C3151="","","C"&amp;TEXT(INT((ROW()-5)/9)+1,"000")&amp;"-3")</f>
        <v/>
      </c>
      <c r="C3151" t="str">
        <f>IF(OR(Registro_Compras!$C$353="",Registro_Compras!$O$353="",Registro_Compras!$R$353&lt;&gt;"SI",Registro_Compras!$X$353=""),"","4212")</f>
        <v/>
      </c>
      <c r="D3151" t="str">
        <f>IF(OR(Registro_Compras!$C$353="",Registro_Compras!$O$353=""),"","Cuentas por Pagar Comerciales - Terceros")</f>
        <v/>
      </c>
      <c r="E3151" s="20" t="str">
        <f>IF($C3151="","",Registro_Compras!$S$353)</f>
        <v/>
      </c>
      <c r="F3151" s="20" t="str">
        <f>""</f>
        <v/>
      </c>
      <c r="G3151" t="str">
        <f>IF($C3151="","","Por el deposito de la detraccion en el Banco de la Nacion")</f>
        <v/>
      </c>
      <c r="H3151" t="str">
        <f>IF($C3151="","",Registro_Compras!$C$353)</f>
        <v/>
      </c>
    </row>
    <row r="3152" spans="1:8" x14ac:dyDescent="0.25">
      <c r="A3152" s="25" t="str">
        <f>IF($C3152="","",Registro_Compras!$X$353)</f>
        <v/>
      </c>
      <c r="B3152" t="str">
        <f>IF($C3152="","","C"&amp;TEXT(INT((ROW()-5)/9)+1,"000")&amp;"-3")</f>
        <v/>
      </c>
      <c r="C3152" t="str">
        <f>IF(OR(Registro_Compras!$C$353="",Registro_Compras!$O$353="",Registro_Compras!$R$353&lt;&gt;"SI",Registro_Compras!$X$353=""),"","1041")</f>
        <v/>
      </c>
      <c r="D3152" t="str">
        <f>IF(OR(Registro_Compras!$C$353="",Registro_Compras!$O$353=""),"","Efectivo y Equivalentes - Cta. Cte. Operativa")</f>
        <v/>
      </c>
      <c r="E3152" s="20" t="str">
        <f>""</f>
        <v/>
      </c>
      <c r="F3152" s="20" t="str">
        <f>IF($C3152="","",Registro_Compras!$S$353)</f>
        <v/>
      </c>
      <c r="G3152" t="str">
        <f>IF($C3152="","","Por el deposito de la detraccion en el Banco de la Nacion")</f>
        <v/>
      </c>
      <c r="H3152" t="str">
        <f>IF($C3152="","",Registro_Compras!$C$353)</f>
        <v/>
      </c>
    </row>
    <row r="3153" spans="1:8" x14ac:dyDescent="0.25">
      <c r="A3153" s="25" t="str">
        <f>IF($C3153="","",Registro_Compras!$Y$353)</f>
        <v/>
      </c>
      <c r="B3153" t="str">
        <f>IF($C3153="","","C"&amp;TEXT(INT((ROW()-5)/9)+1,"000")&amp;"-4")</f>
        <v/>
      </c>
      <c r="C3153" t="str">
        <f>IF(OR(Registro_Compras!$C$353="",Registro_Compras!$O$353="",Registro_Compras!$Y$353="",Registro_Compras!$F$353="NOTA DE CREDITO"),"","4212")</f>
        <v/>
      </c>
      <c r="D3153" t="str">
        <f>IF(OR(Registro_Compras!$C$353="",Registro_Compras!$O$353=""),"","Cuentas por Pagar Comerciales - Terceros")</f>
        <v/>
      </c>
      <c r="E3153" s="20" t="str">
        <f>IF($C3153="","",IF(Registro_Compras!$F$353="RHE",(ROUND(Registro_Compras!$L$353*Registro_Compras!$N$353,2)-ROUND(Registro_Compras!$V$353*Registro_Compras!$N$353,2)),ROUND(Registro_Compras!$O$353-Registro_Compras!$S$353,2)))</f>
        <v/>
      </c>
      <c r="F3153" s="20" t="str">
        <f>""</f>
        <v/>
      </c>
      <c r="G3153" t="str">
        <f>IF($C3153="","","Por la cancelacion del saldo al proveedor")</f>
        <v/>
      </c>
      <c r="H3153" t="str">
        <f>IF($C3153="","",Registro_Compras!$C$353)</f>
        <v/>
      </c>
    </row>
    <row r="3154" spans="1:8" x14ac:dyDescent="0.25">
      <c r="A3154" s="25" t="str">
        <f>IF($C3154="","",Registro_Compras!$Y$353)</f>
        <v/>
      </c>
      <c r="B3154" t="str">
        <f>IF($C3154="","","C"&amp;TEXT(INT((ROW()-5)/9)+1,"000")&amp;"-4")</f>
        <v/>
      </c>
      <c r="C3154" t="str">
        <f>IF(OR(Registro_Compras!$C$353="",Registro_Compras!$O$353="",Registro_Compras!$Y$353="",Registro_Compras!$F$353="NOTA DE CREDITO"),"","1041")</f>
        <v/>
      </c>
      <c r="D3154" t="str">
        <f>IF(OR(Registro_Compras!$C$353="",Registro_Compras!$O$353=""),"","Efectivo y Equivalentes - Cta. Cte. Operativa")</f>
        <v/>
      </c>
      <c r="E3154" s="20" t="str">
        <f>""</f>
        <v/>
      </c>
      <c r="F3154" s="20" t="str">
        <f>IF($C3154="","",IF(Registro_Compras!$F$353="RHE",(ROUND(Registro_Compras!$L$353*Registro_Compras!$N$353,2)-ROUND(Registro_Compras!$V$353*Registro_Compras!$N$353,2)),ROUND(Registro_Compras!$O$353-Registro_Compras!$S$353,2)))</f>
        <v/>
      </c>
      <c r="G3154" t="str">
        <f>IF($C3154="","","Por la cancelacion del saldo al proveedor")</f>
        <v/>
      </c>
      <c r="H3154" t="str">
        <f>IF($C3154="","",Registro_Compras!$C$353)</f>
        <v/>
      </c>
    </row>
    <row r="3155" spans="1:8" x14ac:dyDescent="0.25">
      <c r="A3155" s="25" t="str">
        <f>IF($C3155="","",Registro_Compras!$B$354)</f>
        <v/>
      </c>
      <c r="B3155" t="str">
        <f>IF($C3155="","","C"&amp;TEXT(INT((ROW()-5)/9)+1,"000")&amp;"-1")</f>
        <v/>
      </c>
      <c r="C3155" t="str">
        <f>IF(OR(Registro_Compras!$C$354="",Registro_Compras!$O$354=""),"",IF(Registro_Compras!$F$354="NOTA DE CREDITO","4212",IF(Registro_Compras!$M$354="","63",Registro_Compras!$M$354)))</f>
        <v/>
      </c>
      <c r="D3155" t="str">
        <f>IF(OR(Registro_Compras!$C$354="",Registro_Compras!$O$354=""),"",IF(Registro_Compras!$F$354="NOTA DE CREDITO","Cuentas por Pagar Comerciales - Terceros (Emitidas)",IF(Registro_Compras!$F$354="RHE","Honorarios Profesionales - Servicios de Terceros","Gastos de Servicios Prestados por Terceros")))</f>
        <v/>
      </c>
      <c r="E3155" s="20" t="str">
        <f>IF($C3155="","",IF(Registro_Compras!$F$354="NOTA DE CREDITO",ABS(Registro_Compras!$O$354),IF(Registro_Compras!$F$354="RHE",ROUND(Registro_Compras!$L$354*Registro_Compras!$N$354,2),ROUND(Registro_Compras!$J$354*Registro_Compras!$N$354,2))))</f>
        <v/>
      </c>
      <c r="F3155" s="20" t="str">
        <f>""</f>
        <v/>
      </c>
      <c r="G3155" t="str">
        <f>IF($C3155="","",IF(Registro_Compras!$F$354="NOTA DE CREDITO","Por la nota de credito "&amp;Registro_Compras!$C$354&amp;" de "&amp;Registro_Compras!$E$354&amp;" [PATRON POR CONFIRMAR CON CONTADOR]",IF(Registro_Compras!$F$354="RHE","Por el registro del recibo por honorarios "&amp;Registro_Compras!$C$354&amp;" de "&amp;Registro_Compras!$E$354&amp;" [PATRON POR CONFIRMAR CON CONTADOR]","Por el registro de la factura "&amp;Registro_Compras!$C$354&amp;" de "&amp;Registro_Compras!$E$354)))</f>
        <v/>
      </c>
      <c r="H3155" t="str">
        <f>IF($C3155="","",Registro_Compras!$C$354)</f>
        <v/>
      </c>
    </row>
    <row r="3156" spans="1:8" x14ac:dyDescent="0.25">
      <c r="A3156" s="25" t="str">
        <f>IF($C3156="","",Registro_Compras!$B$354)</f>
        <v/>
      </c>
      <c r="B3156" t="str">
        <f>IF($C3156="","","C"&amp;TEXT(INT((ROW()-5)/9)+1,"000")&amp;"-1")</f>
        <v/>
      </c>
      <c r="C3156" t="str">
        <f>IF(OR(Registro_Compras!$C$354="",Registro_Compras!$O$354=""),"",IF(Registro_Compras!$F$354="RHE",IF(Registro_Compras!$V$354=0,"","4017"),IF(Registro_Compras!$F$354="NOTA DE CREDITO",IF(Registro_Compras!$M$354="","63",Registro_Compras!$M$354),IF(Registro_Compras!$K$354=0,"","40111"))))</f>
        <v/>
      </c>
      <c r="D3156" t="str">
        <f>IF(OR(Registro_Compras!$C$354="",Registro_Compras!$O$354=""),"",IF(Registro_Compras!$F$354="RHE","Retencion Renta 4ta Categoria por Pagar",IF(Registro_Compras!$F$354="NOTA DE CREDITO","Gastos de Servicios Prestados por Terceros","IGV - Cuenta Propia (Credito Fiscal)")))</f>
        <v/>
      </c>
      <c r="E3156" s="20" t="str">
        <f>IF($C3156="","",IF(Registro_Compras!$F$354="FACTURA",ROUND(Registro_Compras!$K$354*Registro_Compras!$N$354,2),""))</f>
        <v/>
      </c>
      <c r="F3156" s="20" t="str">
        <f>IF($C3156="","",IF(Registro_Compras!$F$354="RHE",ROUND(Registro_Compras!$V$354*Registro_Compras!$N$354,2),IF(Registro_Compras!$F$354="NOTA DE CREDITO",ROUND(ABS(Registro_Compras!$J$354*Registro_Compras!$N$354),2),"")))</f>
        <v/>
      </c>
      <c r="G3156" t="str">
        <f>IF($C3156="","",IF(Registro_Compras!$F$354="NOTA DE CREDITO","Por la nota de credito "&amp;Registro_Compras!$C$354&amp;" de "&amp;Registro_Compras!$E$354&amp;" [PATRON POR CONFIRMAR CON CONTADOR]",IF(Registro_Compras!$F$354="RHE","Por el registro del recibo por honorarios "&amp;Registro_Compras!$C$354&amp;" de "&amp;Registro_Compras!$E$354&amp;" [PATRON POR CONFIRMAR CON CONTADOR]","Por el registro de la factura "&amp;Registro_Compras!$C$354&amp;" de "&amp;Registro_Compras!$E$354)))</f>
        <v/>
      </c>
      <c r="H3156" t="str">
        <f>IF($C3156="","",Registro_Compras!$C$354)</f>
        <v/>
      </c>
    </row>
    <row r="3157" spans="1:8" x14ac:dyDescent="0.25">
      <c r="A3157" s="25" t="str">
        <f>IF($C3157="","",Registro_Compras!$B$354)</f>
        <v/>
      </c>
      <c r="B3157" t="str">
        <f>IF($C3157="","","C"&amp;TEXT(INT((ROW()-5)/9)+1,"000")&amp;"-1")</f>
        <v/>
      </c>
      <c r="C3157" t="str">
        <f>IF(OR(Registro_Compras!$C$354="",Registro_Compras!$O$354=""),"",IF(Registro_Compras!$F$354="NOTA DE CREDITO",IF(Registro_Compras!$K$354=0,"","40111"),"4212"))</f>
        <v/>
      </c>
      <c r="D3157" t="str">
        <f>IF(OR(Registro_Compras!$C$354="",Registro_Compras!$O$354=""),"",IF(Registro_Compras!$F$354="NOTA DE CREDITO","IGV - Cuenta Propia (Credito Fiscal)","Cuentas por Pagar Comerciales - Terceros (Emitidas)"))</f>
        <v/>
      </c>
      <c r="E3157" s="20" t="str">
        <f>""</f>
        <v/>
      </c>
      <c r="F3157" s="20" t="str">
        <f>IF($C3157="","",IF(Registro_Compras!$F$354="NOTA DE CREDITO",ROUND(ABS(Registro_Compras!$K$354*Registro_Compras!$N$354),2),IF(Registro_Compras!$F$354="RHE",(ROUND(Registro_Compras!$L$354*Registro_Compras!$N$354,2)-ROUND(Registro_Compras!$V$354*Registro_Compras!$N$354,2)),Registro_Compras!$O$354)))</f>
        <v/>
      </c>
      <c r="G3157" t="str">
        <f>IF($C3157="","",IF(Registro_Compras!$F$354="NOTA DE CREDITO","Por la nota de credito "&amp;Registro_Compras!$C$354&amp;" de "&amp;Registro_Compras!$E$354&amp;" [PATRON POR CONFIRMAR CON CONTADOR]",IF(Registro_Compras!$F$354="RHE","Por el registro del recibo por honorarios "&amp;Registro_Compras!$C$354&amp;" de "&amp;Registro_Compras!$E$354&amp;" [PATRON POR CONFIRMAR CON CONTADOR]","Por el registro de la factura "&amp;Registro_Compras!$C$354&amp;" de "&amp;Registro_Compras!$E$354)))</f>
        <v/>
      </c>
      <c r="H3157" t="str">
        <f>IF($C3157="","",Registro_Compras!$C$354)</f>
        <v/>
      </c>
    </row>
    <row r="3158" spans="1:8" x14ac:dyDescent="0.25">
      <c r="A3158" s="25" t="str">
        <f>IF($C3158="","",Registro_Compras!$B$354)</f>
        <v/>
      </c>
      <c r="B3158" t="str">
        <f>IF($C3158="","","C"&amp;TEXT(INT((ROW()-5)/9)+1,"000")&amp;"-2")</f>
        <v/>
      </c>
      <c r="C3158" t="str">
        <f>IF(OR(Registro_Compras!$C$354="",Registro_Compras!$O$354=""),"",IF(Registro_Compras!$AB$354="ADMINISTRATIVO","94","95"))</f>
        <v/>
      </c>
      <c r="D3158" t="str">
        <f>IF(OR(Registro_Compras!$C$354="",Registro_Compras!$O$354=""),"",IF(Registro_Compras!$AB$354="ADMINISTRATIVO","Gastos Administrativos","Gastos de Venta y Operacion"))</f>
        <v/>
      </c>
      <c r="E3158" s="20" t="str">
        <f>IF($C3158="","",IF(Registro_Compras!$F$354="NOTA DE CREDITO","",IF(Registro_Compras!$F$354="RHE",ROUND(Registro_Compras!$L$354*Registro_Compras!$N$354,2),ROUND(Registro_Compras!$J$354*Registro_Compras!$N$354,2))))</f>
        <v/>
      </c>
      <c r="F3158" s="20" t="str">
        <f>IF($C3158="","",IF(Registro_Compras!$F$354="NOTA DE CREDITO",ROUND(ABS(Registro_Compras!$J$354*Registro_Compras!$N$354),2),""))</f>
        <v/>
      </c>
      <c r="G3158" t="str">
        <f>IF($C3158="","","Por el destino del gasto")</f>
        <v/>
      </c>
      <c r="H3158" t="str">
        <f>IF($C3158="","",Registro_Compras!$C$354)</f>
        <v/>
      </c>
    </row>
    <row r="3159" spans="1:8" x14ac:dyDescent="0.25">
      <c r="A3159" s="25" t="str">
        <f>IF($C3159="","",Registro_Compras!$B$354)</f>
        <v/>
      </c>
      <c r="B3159" t="str">
        <f>IF($C3159="","","C"&amp;TEXT(INT((ROW()-5)/9)+1,"000")&amp;"-2")</f>
        <v/>
      </c>
      <c r="C3159" t="str">
        <f>IF(OR(Registro_Compras!$C$354="",Registro_Compras!$O$354=""),"","79/791")</f>
        <v/>
      </c>
      <c r="D3159" t="str">
        <f>IF(OR(Registro_Compras!$C$354="",Registro_Compras!$O$354=""),"","Cargas Imputables a Cuentas de Costos y Gastos")</f>
        <v/>
      </c>
      <c r="E3159" s="20" t="str">
        <f>IF($C3159="","",IF(Registro_Compras!$F$354="NOTA DE CREDITO",ROUND(ABS(Registro_Compras!$J$354*Registro_Compras!$N$354),2),""))</f>
        <v/>
      </c>
      <c r="F3159" s="20" t="str">
        <f>IF($C3159="","",IF(Registro_Compras!$F$354="NOTA DE CREDITO","",IF(Registro_Compras!$F$354="RHE",ROUND(Registro_Compras!$L$354*Registro_Compras!$N$354,2),ROUND(Registro_Compras!$J$354*Registro_Compras!$N$354,2))))</f>
        <v/>
      </c>
      <c r="G3159" t="str">
        <f>IF($C3159="","","Por el destino del gasto")</f>
        <v/>
      </c>
      <c r="H3159" t="str">
        <f>IF($C3159="","",Registro_Compras!$C$354)</f>
        <v/>
      </c>
    </row>
    <row r="3160" spans="1:8" x14ac:dyDescent="0.25">
      <c r="A3160" s="25" t="str">
        <f>IF($C3160="","",Registro_Compras!$X$354)</f>
        <v/>
      </c>
      <c r="B3160" t="str">
        <f>IF($C3160="","","C"&amp;TEXT(INT((ROW()-5)/9)+1,"000")&amp;"-3")</f>
        <v/>
      </c>
      <c r="C3160" t="str">
        <f>IF(OR(Registro_Compras!$C$354="",Registro_Compras!$O$354="",Registro_Compras!$R$354&lt;&gt;"SI",Registro_Compras!$X$354=""),"","4212")</f>
        <v/>
      </c>
      <c r="D3160" t="str">
        <f>IF(OR(Registro_Compras!$C$354="",Registro_Compras!$O$354=""),"","Cuentas por Pagar Comerciales - Terceros")</f>
        <v/>
      </c>
      <c r="E3160" s="20" t="str">
        <f>IF($C3160="","",Registro_Compras!$S$354)</f>
        <v/>
      </c>
      <c r="F3160" s="20" t="str">
        <f>""</f>
        <v/>
      </c>
      <c r="G3160" t="str">
        <f>IF($C3160="","","Por el deposito de la detraccion en el Banco de la Nacion")</f>
        <v/>
      </c>
      <c r="H3160" t="str">
        <f>IF($C3160="","",Registro_Compras!$C$354)</f>
        <v/>
      </c>
    </row>
    <row r="3161" spans="1:8" x14ac:dyDescent="0.25">
      <c r="A3161" s="25" t="str">
        <f>IF($C3161="","",Registro_Compras!$X$354)</f>
        <v/>
      </c>
      <c r="B3161" t="str">
        <f>IF($C3161="","","C"&amp;TEXT(INT((ROW()-5)/9)+1,"000")&amp;"-3")</f>
        <v/>
      </c>
      <c r="C3161" t="str">
        <f>IF(OR(Registro_Compras!$C$354="",Registro_Compras!$O$354="",Registro_Compras!$R$354&lt;&gt;"SI",Registro_Compras!$X$354=""),"","1041")</f>
        <v/>
      </c>
      <c r="D3161" t="str">
        <f>IF(OR(Registro_Compras!$C$354="",Registro_Compras!$O$354=""),"","Efectivo y Equivalentes - Cta. Cte. Operativa")</f>
        <v/>
      </c>
      <c r="E3161" s="20" t="str">
        <f>""</f>
        <v/>
      </c>
      <c r="F3161" s="20" t="str">
        <f>IF($C3161="","",Registro_Compras!$S$354)</f>
        <v/>
      </c>
      <c r="G3161" t="str">
        <f>IF($C3161="","","Por el deposito de la detraccion en el Banco de la Nacion")</f>
        <v/>
      </c>
      <c r="H3161" t="str">
        <f>IF($C3161="","",Registro_Compras!$C$354)</f>
        <v/>
      </c>
    </row>
    <row r="3162" spans="1:8" x14ac:dyDescent="0.25">
      <c r="A3162" s="25" t="str">
        <f>IF($C3162="","",Registro_Compras!$Y$354)</f>
        <v/>
      </c>
      <c r="B3162" t="str">
        <f>IF($C3162="","","C"&amp;TEXT(INT((ROW()-5)/9)+1,"000")&amp;"-4")</f>
        <v/>
      </c>
      <c r="C3162" t="str">
        <f>IF(OR(Registro_Compras!$C$354="",Registro_Compras!$O$354="",Registro_Compras!$Y$354="",Registro_Compras!$F$354="NOTA DE CREDITO"),"","4212")</f>
        <v/>
      </c>
      <c r="D3162" t="str">
        <f>IF(OR(Registro_Compras!$C$354="",Registro_Compras!$O$354=""),"","Cuentas por Pagar Comerciales - Terceros")</f>
        <v/>
      </c>
      <c r="E3162" s="20" t="str">
        <f>IF($C3162="","",IF(Registro_Compras!$F$354="RHE",(ROUND(Registro_Compras!$L$354*Registro_Compras!$N$354,2)-ROUND(Registro_Compras!$V$354*Registro_Compras!$N$354,2)),ROUND(Registro_Compras!$O$354-Registro_Compras!$S$354,2)))</f>
        <v/>
      </c>
      <c r="F3162" s="20" t="str">
        <f>""</f>
        <v/>
      </c>
      <c r="G3162" t="str">
        <f>IF($C3162="","","Por la cancelacion del saldo al proveedor")</f>
        <v/>
      </c>
      <c r="H3162" t="str">
        <f>IF($C3162="","",Registro_Compras!$C$354)</f>
        <v/>
      </c>
    </row>
    <row r="3163" spans="1:8" x14ac:dyDescent="0.25">
      <c r="A3163" s="25" t="str">
        <f>IF($C3163="","",Registro_Compras!$Y$354)</f>
        <v/>
      </c>
      <c r="B3163" t="str">
        <f>IF($C3163="","","C"&amp;TEXT(INT((ROW()-5)/9)+1,"000")&amp;"-4")</f>
        <v/>
      </c>
      <c r="C3163" t="str">
        <f>IF(OR(Registro_Compras!$C$354="",Registro_Compras!$O$354="",Registro_Compras!$Y$354="",Registro_Compras!$F$354="NOTA DE CREDITO"),"","1041")</f>
        <v/>
      </c>
      <c r="D3163" t="str">
        <f>IF(OR(Registro_Compras!$C$354="",Registro_Compras!$O$354=""),"","Efectivo y Equivalentes - Cta. Cte. Operativa")</f>
        <v/>
      </c>
      <c r="E3163" s="20" t="str">
        <f>""</f>
        <v/>
      </c>
      <c r="F3163" s="20" t="str">
        <f>IF($C3163="","",IF(Registro_Compras!$F$354="RHE",(ROUND(Registro_Compras!$L$354*Registro_Compras!$N$354,2)-ROUND(Registro_Compras!$V$354*Registro_Compras!$N$354,2)),ROUND(Registro_Compras!$O$354-Registro_Compras!$S$354,2)))</f>
        <v/>
      </c>
      <c r="G3163" t="str">
        <f>IF($C3163="","","Por la cancelacion del saldo al proveedor")</f>
        <v/>
      </c>
      <c r="H3163" t="str">
        <f>IF($C3163="","",Registro_Compras!$C$354)</f>
        <v/>
      </c>
    </row>
    <row r="3164" spans="1:8" x14ac:dyDescent="0.25">
      <c r="A3164" s="25" t="str">
        <f>IF($C3164="","",Registro_Compras!$B$355)</f>
        <v/>
      </c>
      <c r="B3164" t="str">
        <f>IF($C3164="","","C"&amp;TEXT(INT((ROW()-5)/9)+1,"000")&amp;"-1")</f>
        <v/>
      </c>
      <c r="C3164" t="str">
        <f>IF(OR(Registro_Compras!$C$355="",Registro_Compras!$O$355=""),"",IF(Registro_Compras!$F$355="NOTA DE CREDITO","4212",IF(Registro_Compras!$M$355="","63",Registro_Compras!$M$355)))</f>
        <v/>
      </c>
      <c r="D3164" t="str">
        <f>IF(OR(Registro_Compras!$C$355="",Registro_Compras!$O$355=""),"",IF(Registro_Compras!$F$355="NOTA DE CREDITO","Cuentas por Pagar Comerciales - Terceros (Emitidas)",IF(Registro_Compras!$F$355="RHE","Honorarios Profesionales - Servicios de Terceros","Gastos de Servicios Prestados por Terceros")))</f>
        <v/>
      </c>
      <c r="E3164" s="20" t="str">
        <f>IF($C3164="","",IF(Registro_Compras!$F$355="NOTA DE CREDITO",ABS(Registro_Compras!$O$355),IF(Registro_Compras!$F$355="RHE",ROUND(Registro_Compras!$L$355*Registro_Compras!$N$355,2),ROUND(Registro_Compras!$J$355*Registro_Compras!$N$355,2))))</f>
        <v/>
      </c>
      <c r="F3164" s="20" t="str">
        <f>""</f>
        <v/>
      </c>
      <c r="G3164" t="str">
        <f>IF($C3164="","",IF(Registro_Compras!$F$355="NOTA DE CREDITO","Por la nota de credito "&amp;Registro_Compras!$C$355&amp;" de "&amp;Registro_Compras!$E$355&amp;" [PATRON POR CONFIRMAR CON CONTADOR]",IF(Registro_Compras!$F$355="RHE","Por el registro del recibo por honorarios "&amp;Registro_Compras!$C$355&amp;" de "&amp;Registro_Compras!$E$355&amp;" [PATRON POR CONFIRMAR CON CONTADOR]","Por el registro de la factura "&amp;Registro_Compras!$C$355&amp;" de "&amp;Registro_Compras!$E$355)))</f>
        <v/>
      </c>
      <c r="H3164" t="str">
        <f>IF($C3164="","",Registro_Compras!$C$355)</f>
        <v/>
      </c>
    </row>
    <row r="3165" spans="1:8" x14ac:dyDescent="0.25">
      <c r="A3165" s="25" t="str">
        <f>IF($C3165="","",Registro_Compras!$B$355)</f>
        <v/>
      </c>
      <c r="B3165" t="str">
        <f>IF($C3165="","","C"&amp;TEXT(INT((ROW()-5)/9)+1,"000")&amp;"-1")</f>
        <v/>
      </c>
      <c r="C3165" t="str">
        <f>IF(OR(Registro_Compras!$C$355="",Registro_Compras!$O$355=""),"",IF(Registro_Compras!$F$355="RHE",IF(Registro_Compras!$V$355=0,"","4017"),IF(Registro_Compras!$F$355="NOTA DE CREDITO",IF(Registro_Compras!$M$355="","63",Registro_Compras!$M$355),IF(Registro_Compras!$K$355=0,"","40111"))))</f>
        <v/>
      </c>
      <c r="D3165" t="str">
        <f>IF(OR(Registro_Compras!$C$355="",Registro_Compras!$O$355=""),"",IF(Registro_Compras!$F$355="RHE","Retencion Renta 4ta Categoria por Pagar",IF(Registro_Compras!$F$355="NOTA DE CREDITO","Gastos de Servicios Prestados por Terceros","IGV - Cuenta Propia (Credito Fiscal)")))</f>
        <v/>
      </c>
      <c r="E3165" s="20" t="str">
        <f>IF($C3165="","",IF(Registro_Compras!$F$355="FACTURA",ROUND(Registro_Compras!$K$355*Registro_Compras!$N$355,2),""))</f>
        <v/>
      </c>
      <c r="F3165" s="20" t="str">
        <f>IF($C3165="","",IF(Registro_Compras!$F$355="RHE",ROUND(Registro_Compras!$V$355*Registro_Compras!$N$355,2),IF(Registro_Compras!$F$355="NOTA DE CREDITO",ROUND(ABS(Registro_Compras!$J$355*Registro_Compras!$N$355),2),"")))</f>
        <v/>
      </c>
      <c r="G3165" t="str">
        <f>IF($C3165="","",IF(Registro_Compras!$F$355="NOTA DE CREDITO","Por la nota de credito "&amp;Registro_Compras!$C$355&amp;" de "&amp;Registro_Compras!$E$355&amp;" [PATRON POR CONFIRMAR CON CONTADOR]",IF(Registro_Compras!$F$355="RHE","Por el registro del recibo por honorarios "&amp;Registro_Compras!$C$355&amp;" de "&amp;Registro_Compras!$E$355&amp;" [PATRON POR CONFIRMAR CON CONTADOR]","Por el registro de la factura "&amp;Registro_Compras!$C$355&amp;" de "&amp;Registro_Compras!$E$355)))</f>
        <v/>
      </c>
      <c r="H3165" t="str">
        <f>IF($C3165="","",Registro_Compras!$C$355)</f>
        <v/>
      </c>
    </row>
    <row r="3166" spans="1:8" x14ac:dyDescent="0.25">
      <c r="A3166" s="25" t="str">
        <f>IF($C3166="","",Registro_Compras!$B$355)</f>
        <v/>
      </c>
      <c r="B3166" t="str">
        <f>IF($C3166="","","C"&amp;TEXT(INT((ROW()-5)/9)+1,"000")&amp;"-1")</f>
        <v/>
      </c>
      <c r="C3166" t="str">
        <f>IF(OR(Registro_Compras!$C$355="",Registro_Compras!$O$355=""),"",IF(Registro_Compras!$F$355="NOTA DE CREDITO",IF(Registro_Compras!$K$355=0,"","40111"),"4212"))</f>
        <v/>
      </c>
      <c r="D3166" t="str">
        <f>IF(OR(Registro_Compras!$C$355="",Registro_Compras!$O$355=""),"",IF(Registro_Compras!$F$355="NOTA DE CREDITO","IGV - Cuenta Propia (Credito Fiscal)","Cuentas por Pagar Comerciales - Terceros (Emitidas)"))</f>
        <v/>
      </c>
      <c r="E3166" s="20" t="str">
        <f>""</f>
        <v/>
      </c>
      <c r="F3166" s="20" t="str">
        <f>IF($C3166="","",IF(Registro_Compras!$F$355="NOTA DE CREDITO",ROUND(ABS(Registro_Compras!$K$355*Registro_Compras!$N$355),2),IF(Registro_Compras!$F$355="RHE",(ROUND(Registro_Compras!$L$355*Registro_Compras!$N$355,2)-ROUND(Registro_Compras!$V$355*Registro_Compras!$N$355,2)),Registro_Compras!$O$355)))</f>
        <v/>
      </c>
      <c r="G3166" t="str">
        <f>IF($C3166="","",IF(Registro_Compras!$F$355="NOTA DE CREDITO","Por la nota de credito "&amp;Registro_Compras!$C$355&amp;" de "&amp;Registro_Compras!$E$355&amp;" [PATRON POR CONFIRMAR CON CONTADOR]",IF(Registro_Compras!$F$355="RHE","Por el registro del recibo por honorarios "&amp;Registro_Compras!$C$355&amp;" de "&amp;Registro_Compras!$E$355&amp;" [PATRON POR CONFIRMAR CON CONTADOR]","Por el registro de la factura "&amp;Registro_Compras!$C$355&amp;" de "&amp;Registro_Compras!$E$355)))</f>
        <v/>
      </c>
      <c r="H3166" t="str">
        <f>IF($C3166="","",Registro_Compras!$C$355)</f>
        <v/>
      </c>
    </row>
    <row r="3167" spans="1:8" x14ac:dyDescent="0.25">
      <c r="A3167" s="25" t="str">
        <f>IF($C3167="","",Registro_Compras!$B$355)</f>
        <v/>
      </c>
      <c r="B3167" t="str">
        <f>IF($C3167="","","C"&amp;TEXT(INT((ROW()-5)/9)+1,"000")&amp;"-2")</f>
        <v/>
      </c>
      <c r="C3167" t="str">
        <f>IF(OR(Registro_Compras!$C$355="",Registro_Compras!$O$355=""),"",IF(Registro_Compras!$AB$355="ADMINISTRATIVO","94","95"))</f>
        <v/>
      </c>
      <c r="D3167" t="str">
        <f>IF(OR(Registro_Compras!$C$355="",Registro_Compras!$O$355=""),"",IF(Registro_Compras!$AB$355="ADMINISTRATIVO","Gastos Administrativos","Gastos de Venta y Operacion"))</f>
        <v/>
      </c>
      <c r="E3167" s="20" t="str">
        <f>IF($C3167="","",IF(Registro_Compras!$F$355="NOTA DE CREDITO","",IF(Registro_Compras!$F$355="RHE",ROUND(Registro_Compras!$L$355*Registro_Compras!$N$355,2),ROUND(Registro_Compras!$J$355*Registro_Compras!$N$355,2))))</f>
        <v/>
      </c>
      <c r="F3167" s="20" t="str">
        <f>IF($C3167="","",IF(Registro_Compras!$F$355="NOTA DE CREDITO",ROUND(ABS(Registro_Compras!$J$355*Registro_Compras!$N$355),2),""))</f>
        <v/>
      </c>
      <c r="G3167" t="str">
        <f>IF($C3167="","","Por el destino del gasto")</f>
        <v/>
      </c>
      <c r="H3167" t="str">
        <f>IF($C3167="","",Registro_Compras!$C$355)</f>
        <v/>
      </c>
    </row>
    <row r="3168" spans="1:8" x14ac:dyDescent="0.25">
      <c r="A3168" s="25" t="str">
        <f>IF($C3168="","",Registro_Compras!$B$355)</f>
        <v/>
      </c>
      <c r="B3168" t="str">
        <f>IF($C3168="","","C"&amp;TEXT(INT((ROW()-5)/9)+1,"000")&amp;"-2")</f>
        <v/>
      </c>
      <c r="C3168" t="str">
        <f>IF(OR(Registro_Compras!$C$355="",Registro_Compras!$O$355=""),"","79/791")</f>
        <v/>
      </c>
      <c r="D3168" t="str">
        <f>IF(OR(Registro_Compras!$C$355="",Registro_Compras!$O$355=""),"","Cargas Imputables a Cuentas de Costos y Gastos")</f>
        <v/>
      </c>
      <c r="E3168" s="20" t="str">
        <f>IF($C3168="","",IF(Registro_Compras!$F$355="NOTA DE CREDITO",ROUND(ABS(Registro_Compras!$J$355*Registro_Compras!$N$355),2),""))</f>
        <v/>
      </c>
      <c r="F3168" s="20" t="str">
        <f>IF($C3168="","",IF(Registro_Compras!$F$355="NOTA DE CREDITO","",IF(Registro_Compras!$F$355="RHE",ROUND(Registro_Compras!$L$355*Registro_Compras!$N$355,2),ROUND(Registro_Compras!$J$355*Registro_Compras!$N$355,2))))</f>
        <v/>
      </c>
      <c r="G3168" t="str">
        <f>IF($C3168="","","Por el destino del gasto")</f>
        <v/>
      </c>
      <c r="H3168" t="str">
        <f>IF($C3168="","",Registro_Compras!$C$355)</f>
        <v/>
      </c>
    </row>
    <row r="3169" spans="1:8" x14ac:dyDescent="0.25">
      <c r="A3169" s="25" t="str">
        <f>IF($C3169="","",Registro_Compras!$X$355)</f>
        <v/>
      </c>
      <c r="B3169" t="str">
        <f>IF($C3169="","","C"&amp;TEXT(INT((ROW()-5)/9)+1,"000")&amp;"-3")</f>
        <v/>
      </c>
      <c r="C3169" t="str">
        <f>IF(OR(Registro_Compras!$C$355="",Registro_Compras!$O$355="",Registro_Compras!$R$355&lt;&gt;"SI",Registro_Compras!$X$355=""),"","4212")</f>
        <v/>
      </c>
      <c r="D3169" t="str">
        <f>IF(OR(Registro_Compras!$C$355="",Registro_Compras!$O$355=""),"","Cuentas por Pagar Comerciales - Terceros")</f>
        <v/>
      </c>
      <c r="E3169" s="20" t="str">
        <f>IF($C3169="","",Registro_Compras!$S$355)</f>
        <v/>
      </c>
      <c r="F3169" s="20" t="str">
        <f>""</f>
        <v/>
      </c>
      <c r="G3169" t="str">
        <f>IF($C3169="","","Por el deposito de la detraccion en el Banco de la Nacion")</f>
        <v/>
      </c>
      <c r="H3169" t="str">
        <f>IF($C3169="","",Registro_Compras!$C$355)</f>
        <v/>
      </c>
    </row>
    <row r="3170" spans="1:8" x14ac:dyDescent="0.25">
      <c r="A3170" s="25" t="str">
        <f>IF($C3170="","",Registro_Compras!$X$355)</f>
        <v/>
      </c>
      <c r="B3170" t="str">
        <f>IF($C3170="","","C"&amp;TEXT(INT((ROW()-5)/9)+1,"000")&amp;"-3")</f>
        <v/>
      </c>
      <c r="C3170" t="str">
        <f>IF(OR(Registro_Compras!$C$355="",Registro_Compras!$O$355="",Registro_Compras!$R$355&lt;&gt;"SI",Registro_Compras!$X$355=""),"","1041")</f>
        <v/>
      </c>
      <c r="D3170" t="str">
        <f>IF(OR(Registro_Compras!$C$355="",Registro_Compras!$O$355=""),"","Efectivo y Equivalentes - Cta. Cte. Operativa")</f>
        <v/>
      </c>
      <c r="E3170" s="20" t="str">
        <f>""</f>
        <v/>
      </c>
      <c r="F3170" s="20" t="str">
        <f>IF($C3170="","",Registro_Compras!$S$355)</f>
        <v/>
      </c>
      <c r="G3170" t="str">
        <f>IF($C3170="","","Por el deposito de la detraccion en el Banco de la Nacion")</f>
        <v/>
      </c>
      <c r="H3170" t="str">
        <f>IF($C3170="","",Registro_Compras!$C$355)</f>
        <v/>
      </c>
    </row>
    <row r="3171" spans="1:8" x14ac:dyDescent="0.25">
      <c r="A3171" s="25" t="str">
        <f>IF($C3171="","",Registro_Compras!$Y$355)</f>
        <v/>
      </c>
      <c r="B3171" t="str">
        <f>IF($C3171="","","C"&amp;TEXT(INT((ROW()-5)/9)+1,"000")&amp;"-4")</f>
        <v/>
      </c>
      <c r="C3171" t="str">
        <f>IF(OR(Registro_Compras!$C$355="",Registro_Compras!$O$355="",Registro_Compras!$Y$355="",Registro_Compras!$F$355="NOTA DE CREDITO"),"","4212")</f>
        <v/>
      </c>
      <c r="D3171" t="str">
        <f>IF(OR(Registro_Compras!$C$355="",Registro_Compras!$O$355=""),"","Cuentas por Pagar Comerciales - Terceros")</f>
        <v/>
      </c>
      <c r="E3171" s="20" t="str">
        <f>IF($C3171="","",IF(Registro_Compras!$F$355="RHE",(ROUND(Registro_Compras!$L$355*Registro_Compras!$N$355,2)-ROUND(Registro_Compras!$V$355*Registro_Compras!$N$355,2)),ROUND(Registro_Compras!$O$355-Registro_Compras!$S$355,2)))</f>
        <v/>
      </c>
      <c r="F3171" s="20" t="str">
        <f>""</f>
        <v/>
      </c>
      <c r="G3171" t="str">
        <f>IF($C3171="","","Por la cancelacion del saldo al proveedor")</f>
        <v/>
      </c>
      <c r="H3171" t="str">
        <f>IF($C3171="","",Registro_Compras!$C$355)</f>
        <v/>
      </c>
    </row>
    <row r="3172" spans="1:8" x14ac:dyDescent="0.25">
      <c r="A3172" s="25" t="str">
        <f>IF($C3172="","",Registro_Compras!$Y$355)</f>
        <v/>
      </c>
      <c r="B3172" t="str">
        <f>IF($C3172="","","C"&amp;TEXT(INT((ROW()-5)/9)+1,"000")&amp;"-4")</f>
        <v/>
      </c>
      <c r="C3172" t="str">
        <f>IF(OR(Registro_Compras!$C$355="",Registro_Compras!$O$355="",Registro_Compras!$Y$355="",Registro_Compras!$F$355="NOTA DE CREDITO"),"","1041")</f>
        <v/>
      </c>
      <c r="D3172" t="str">
        <f>IF(OR(Registro_Compras!$C$355="",Registro_Compras!$O$355=""),"","Efectivo y Equivalentes - Cta. Cte. Operativa")</f>
        <v/>
      </c>
      <c r="E3172" s="20" t="str">
        <f>""</f>
        <v/>
      </c>
      <c r="F3172" s="20" t="str">
        <f>IF($C3172="","",IF(Registro_Compras!$F$355="RHE",(ROUND(Registro_Compras!$L$355*Registro_Compras!$N$355,2)-ROUND(Registro_Compras!$V$355*Registro_Compras!$N$355,2)),ROUND(Registro_Compras!$O$355-Registro_Compras!$S$355,2)))</f>
        <v/>
      </c>
      <c r="G3172" t="str">
        <f>IF($C3172="","","Por la cancelacion del saldo al proveedor")</f>
        <v/>
      </c>
      <c r="H3172" t="str">
        <f>IF($C3172="","",Registro_Compras!$C$355)</f>
        <v/>
      </c>
    </row>
    <row r="3173" spans="1:8" x14ac:dyDescent="0.25">
      <c r="A3173" s="25" t="str">
        <f>IF($C3173="","",Registro_Compras!$B$356)</f>
        <v/>
      </c>
      <c r="B3173" t="str">
        <f>IF($C3173="","","C"&amp;TEXT(INT((ROW()-5)/9)+1,"000")&amp;"-1")</f>
        <v/>
      </c>
      <c r="C3173" t="str">
        <f>IF(OR(Registro_Compras!$C$356="",Registro_Compras!$O$356=""),"",IF(Registro_Compras!$F$356="NOTA DE CREDITO","4212",IF(Registro_Compras!$M$356="","63",Registro_Compras!$M$356)))</f>
        <v/>
      </c>
      <c r="D3173" t="str">
        <f>IF(OR(Registro_Compras!$C$356="",Registro_Compras!$O$356=""),"",IF(Registro_Compras!$F$356="NOTA DE CREDITO","Cuentas por Pagar Comerciales - Terceros (Emitidas)",IF(Registro_Compras!$F$356="RHE","Honorarios Profesionales - Servicios de Terceros","Gastos de Servicios Prestados por Terceros")))</f>
        <v/>
      </c>
      <c r="E3173" s="20" t="str">
        <f>IF($C3173="","",IF(Registro_Compras!$F$356="NOTA DE CREDITO",ABS(Registro_Compras!$O$356),IF(Registro_Compras!$F$356="RHE",ROUND(Registro_Compras!$L$356*Registro_Compras!$N$356,2),ROUND(Registro_Compras!$J$356*Registro_Compras!$N$356,2))))</f>
        <v/>
      </c>
      <c r="F3173" s="20" t="str">
        <f>""</f>
        <v/>
      </c>
      <c r="G3173" t="str">
        <f>IF($C3173="","",IF(Registro_Compras!$F$356="NOTA DE CREDITO","Por la nota de credito "&amp;Registro_Compras!$C$356&amp;" de "&amp;Registro_Compras!$E$356&amp;" [PATRON POR CONFIRMAR CON CONTADOR]",IF(Registro_Compras!$F$356="RHE","Por el registro del recibo por honorarios "&amp;Registro_Compras!$C$356&amp;" de "&amp;Registro_Compras!$E$356&amp;" [PATRON POR CONFIRMAR CON CONTADOR]","Por el registro de la factura "&amp;Registro_Compras!$C$356&amp;" de "&amp;Registro_Compras!$E$356)))</f>
        <v/>
      </c>
      <c r="H3173" t="str">
        <f>IF($C3173="","",Registro_Compras!$C$356)</f>
        <v/>
      </c>
    </row>
    <row r="3174" spans="1:8" x14ac:dyDescent="0.25">
      <c r="A3174" s="25" t="str">
        <f>IF($C3174="","",Registro_Compras!$B$356)</f>
        <v/>
      </c>
      <c r="B3174" t="str">
        <f>IF($C3174="","","C"&amp;TEXT(INT((ROW()-5)/9)+1,"000")&amp;"-1")</f>
        <v/>
      </c>
      <c r="C3174" t="str">
        <f>IF(OR(Registro_Compras!$C$356="",Registro_Compras!$O$356=""),"",IF(Registro_Compras!$F$356="RHE",IF(Registro_Compras!$V$356=0,"","4017"),IF(Registro_Compras!$F$356="NOTA DE CREDITO",IF(Registro_Compras!$M$356="","63",Registro_Compras!$M$356),IF(Registro_Compras!$K$356=0,"","40111"))))</f>
        <v/>
      </c>
      <c r="D3174" t="str">
        <f>IF(OR(Registro_Compras!$C$356="",Registro_Compras!$O$356=""),"",IF(Registro_Compras!$F$356="RHE","Retencion Renta 4ta Categoria por Pagar",IF(Registro_Compras!$F$356="NOTA DE CREDITO","Gastos de Servicios Prestados por Terceros","IGV - Cuenta Propia (Credito Fiscal)")))</f>
        <v/>
      </c>
      <c r="E3174" s="20" t="str">
        <f>IF($C3174="","",IF(Registro_Compras!$F$356="FACTURA",ROUND(Registro_Compras!$K$356*Registro_Compras!$N$356,2),""))</f>
        <v/>
      </c>
      <c r="F3174" s="20" t="str">
        <f>IF($C3174="","",IF(Registro_Compras!$F$356="RHE",ROUND(Registro_Compras!$V$356*Registro_Compras!$N$356,2),IF(Registro_Compras!$F$356="NOTA DE CREDITO",ROUND(ABS(Registro_Compras!$J$356*Registro_Compras!$N$356),2),"")))</f>
        <v/>
      </c>
      <c r="G3174" t="str">
        <f>IF($C3174="","",IF(Registro_Compras!$F$356="NOTA DE CREDITO","Por la nota de credito "&amp;Registro_Compras!$C$356&amp;" de "&amp;Registro_Compras!$E$356&amp;" [PATRON POR CONFIRMAR CON CONTADOR]",IF(Registro_Compras!$F$356="RHE","Por el registro del recibo por honorarios "&amp;Registro_Compras!$C$356&amp;" de "&amp;Registro_Compras!$E$356&amp;" [PATRON POR CONFIRMAR CON CONTADOR]","Por el registro de la factura "&amp;Registro_Compras!$C$356&amp;" de "&amp;Registro_Compras!$E$356)))</f>
        <v/>
      </c>
      <c r="H3174" t="str">
        <f>IF($C3174="","",Registro_Compras!$C$356)</f>
        <v/>
      </c>
    </row>
    <row r="3175" spans="1:8" x14ac:dyDescent="0.25">
      <c r="A3175" s="25" t="str">
        <f>IF($C3175="","",Registro_Compras!$B$356)</f>
        <v/>
      </c>
      <c r="B3175" t="str">
        <f>IF($C3175="","","C"&amp;TEXT(INT((ROW()-5)/9)+1,"000")&amp;"-1")</f>
        <v/>
      </c>
      <c r="C3175" t="str">
        <f>IF(OR(Registro_Compras!$C$356="",Registro_Compras!$O$356=""),"",IF(Registro_Compras!$F$356="NOTA DE CREDITO",IF(Registro_Compras!$K$356=0,"","40111"),"4212"))</f>
        <v/>
      </c>
      <c r="D3175" t="str">
        <f>IF(OR(Registro_Compras!$C$356="",Registro_Compras!$O$356=""),"",IF(Registro_Compras!$F$356="NOTA DE CREDITO","IGV - Cuenta Propia (Credito Fiscal)","Cuentas por Pagar Comerciales - Terceros (Emitidas)"))</f>
        <v/>
      </c>
      <c r="E3175" s="20" t="str">
        <f>""</f>
        <v/>
      </c>
      <c r="F3175" s="20" t="str">
        <f>IF($C3175="","",IF(Registro_Compras!$F$356="NOTA DE CREDITO",ROUND(ABS(Registro_Compras!$K$356*Registro_Compras!$N$356),2),IF(Registro_Compras!$F$356="RHE",(ROUND(Registro_Compras!$L$356*Registro_Compras!$N$356,2)-ROUND(Registro_Compras!$V$356*Registro_Compras!$N$356,2)),Registro_Compras!$O$356)))</f>
        <v/>
      </c>
      <c r="G3175" t="str">
        <f>IF($C3175="","",IF(Registro_Compras!$F$356="NOTA DE CREDITO","Por la nota de credito "&amp;Registro_Compras!$C$356&amp;" de "&amp;Registro_Compras!$E$356&amp;" [PATRON POR CONFIRMAR CON CONTADOR]",IF(Registro_Compras!$F$356="RHE","Por el registro del recibo por honorarios "&amp;Registro_Compras!$C$356&amp;" de "&amp;Registro_Compras!$E$356&amp;" [PATRON POR CONFIRMAR CON CONTADOR]","Por el registro de la factura "&amp;Registro_Compras!$C$356&amp;" de "&amp;Registro_Compras!$E$356)))</f>
        <v/>
      </c>
      <c r="H3175" t="str">
        <f>IF($C3175="","",Registro_Compras!$C$356)</f>
        <v/>
      </c>
    </row>
    <row r="3176" spans="1:8" x14ac:dyDescent="0.25">
      <c r="A3176" s="25" t="str">
        <f>IF($C3176="","",Registro_Compras!$B$356)</f>
        <v/>
      </c>
      <c r="B3176" t="str">
        <f>IF($C3176="","","C"&amp;TEXT(INT((ROW()-5)/9)+1,"000")&amp;"-2")</f>
        <v/>
      </c>
      <c r="C3176" t="str">
        <f>IF(OR(Registro_Compras!$C$356="",Registro_Compras!$O$356=""),"",IF(Registro_Compras!$AB$356="ADMINISTRATIVO","94","95"))</f>
        <v/>
      </c>
      <c r="D3176" t="str">
        <f>IF(OR(Registro_Compras!$C$356="",Registro_Compras!$O$356=""),"",IF(Registro_Compras!$AB$356="ADMINISTRATIVO","Gastos Administrativos","Gastos de Venta y Operacion"))</f>
        <v/>
      </c>
      <c r="E3176" s="20" t="str">
        <f>IF($C3176="","",IF(Registro_Compras!$F$356="NOTA DE CREDITO","",IF(Registro_Compras!$F$356="RHE",ROUND(Registro_Compras!$L$356*Registro_Compras!$N$356,2),ROUND(Registro_Compras!$J$356*Registro_Compras!$N$356,2))))</f>
        <v/>
      </c>
      <c r="F3176" s="20" t="str">
        <f>IF($C3176="","",IF(Registro_Compras!$F$356="NOTA DE CREDITO",ROUND(ABS(Registro_Compras!$J$356*Registro_Compras!$N$356),2),""))</f>
        <v/>
      </c>
      <c r="G3176" t="str">
        <f>IF($C3176="","","Por el destino del gasto")</f>
        <v/>
      </c>
      <c r="H3176" t="str">
        <f>IF($C3176="","",Registro_Compras!$C$356)</f>
        <v/>
      </c>
    </row>
    <row r="3177" spans="1:8" x14ac:dyDescent="0.25">
      <c r="A3177" s="25" t="str">
        <f>IF($C3177="","",Registro_Compras!$B$356)</f>
        <v/>
      </c>
      <c r="B3177" t="str">
        <f>IF($C3177="","","C"&amp;TEXT(INT((ROW()-5)/9)+1,"000")&amp;"-2")</f>
        <v/>
      </c>
      <c r="C3177" t="str">
        <f>IF(OR(Registro_Compras!$C$356="",Registro_Compras!$O$356=""),"","79/791")</f>
        <v/>
      </c>
      <c r="D3177" t="str">
        <f>IF(OR(Registro_Compras!$C$356="",Registro_Compras!$O$356=""),"","Cargas Imputables a Cuentas de Costos y Gastos")</f>
        <v/>
      </c>
      <c r="E3177" s="20" t="str">
        <f>IF($C3177="","",IF(Registro_Compras!$F$356="NOTA DE CREDITO",ROUND(ABS(Registro_Compras!$J$356*Registro_Compras!$N$356),2),""))</f>
        <v/>
      </c>
      <c r="F3177" s="20" t="str">
        <f>IF($C3177="","",IF(Registro_Compras!$F$356="NOTA DE CREDITO","",IF(Registro_Compras!$F$356="RHE",ROUND(Registro_Compras!$L$356*Registro_Compras!$N$356,2),ROUND(Registro_Compras!$J$356*Registro_Compras!$N$356,2))))</f>
        <v/>
      </c>
      <c r="G3177" t="str">
        <f>IF($C3177="","","Por el destino del gasto")</f>
        <v/>
      </c>
      <c r="H3177" t="str">
        <f>IF($C3177="","",Registro_Compras!$C$356)</f>
        <v/>
      </c>
    </row>
    <row r="3178" spans="1:8" x14ac:dyDescent="0.25">
      <c r="A3178" s="25" t="str">
        <f>IF($C3178="","",Registro_Compras!$X$356)</f>
        <v/>
      </c>
      <c r="B3178" t="str">
        <f>IF($C3178="","","C"&amp;TEXT(INT((ROW()-5)/9)+1,"000")&amp;"-3")</f>
        <v/>
      </c>
      <c r="C3178" t="str">
        <f>IF(OR(Registro_Compras!$C$356="",Registro_Compras!$O$356="",Registro_Compras!$R$356&lt;&gt;"SI",Registro_Compras!$X$356=""),"","4212")</f>
        <v/>
      </c>
      <c r="D3178" t="str">
        <f>IF(OR(Registro_Compras!$C$356="",Registro_Compras!$O$356=""),"","Cuentas por Pagar Comerciales - Terceros")</f>
        <v/>
      </c>
      <c r="E3178" s="20" t="str">
        <f>IF($C3178="","",Registro_Compras!$S$356)</f>
        <v/>
      </c>
      <c r="F3178" s="20" t="str">
        <f>""</f>
        <v/>
      </c>
      <c r="G3178" t="str">
        <f>IF($C3178="","","Por el deposito de la detraccion en el Banco de la Nacion")</f>
        <v/>
      </c>
      <c r="H3178" t="str">
        <f>IF($C3178="","",Registro_Compras!$C$356)</f>
        <v/>
      </c>
    </row>
    <row r="3179" spans="1:8" x14ac:dyDescent="0.25">
      <c r="A3179" s="25" t="str">
        <f>IF($C3179="","",Registro_Compras!$X$356)</f>
        <v/>
      </c>
      <c r="B3179" t="str">
        <f>IF($C3179="","","C"&amp;TEXT(INT((ROW()-5)/9)+1,"000")&amp;"-3")</f>
        <v/>
      </c>
      <c r="C3179" t="str">
        <f>IF(OR(Registro_Compras!$C$356="",Registro_Compras!$O$356="",Registro_Compras!$R$356&lt;&gt;"SI",Registro_Compras!$X$356=""),"","1041")</f>
        <v/>
      </c>
      <c r="D3179" t="str">
        <f>IF(OR(Registro_Compras!$C$356="",Registro_Compras!$O$356=""),"","Efectivo y Equivalentes - Cta. Cte. Operativa")</f>
        <v/>
      </c>
      <c r="E3179" s="20" t="str">
        <f>""</f>
        <v/>
      </c>
      <c r="F3179" s="20" t="str">
        <f>IF($C3179="","",Registro_Compras!$S$356)</f>
        <v/>
      </c>
      <c r="G3179" t="str">
        <f>IF($C3179="","","Por el deposito de la detraccion en el Banco de la Nacion")</f>
        <v/>
      </c>
      <c r="H3179" t="str">
        <f>IF($C3179="","",Registro_Compras!$C$356)</f>
        <v/>
      </c>
    </row>
    <row r="3180" spans="1:8" x14ac:dyDescent="0.25">
      <c r="A3180" s="25" t="str">
        <f>IF($C3180="","",Registro_Compras!$Y$356)</f>
        <v/>
      </c>
      <c r="B3180" t="str">
        <f>IF($C3180="","","C"&amp;TEXT(INT((ROW()-5)/9)+1,"000")&amp;"-4")</f>
        <v/>
      </c>
      <c r="C3180" t="str">
        <f>IF(OR(Registro_Compras!$C$356="",Registro_Compras!$O$356="",Registro_Compras!$Y$356="",Registro_Compras!$F$356="NOTA DE CREDITO"),"","4212")</f>
        <v/>
      </c>
      <c r="D3180" t="str">
        <f>IF(OR(Registro_Compras!$C$356="",Registro_Compras!$O$356=""),"","Cuentas por Pagar Comerciales - Terceros")</f>
        <v/>
      </c>
      <c r="E3180" s="20" t="str">
        <f>IF($C3180="","",IF(Registro_Compras!$F$356="RHE",(ROUND(Registro_Compras!$L$356*Registro_Compras!$N$356,2)-ROUND(Registro_Compras!$V$356*Registro_Compras!$N$356,2)),ROUND(Registro_Compras!$O$356-Registro_Compras!$S$356,2)))</f>
        <v/>
      </c>
      <c r="F3180" s="20" t="str">
        <f>""</f>
        <v/>
      </c>
      <c r="G3180" t="str">
        <f>IF($C3180="","","Por la cancelacion del saldo al proveedor")</f>
        <v/>
      </c>
      <c r="H3180" t="str">
        <f>IF($C3180="","",Registro_Compras!$C$356)</f>
        <v/>
      </c>
    </row>
    <row r="3181" spans="1:8" x14ac:dyDescent="0.25">
      <c r="A3181" s="25" t="str">
        <f>IF($C3181="","",Registro_Compras!$Y$356)</f>
        <v/>
      </c>
      <c r="B3181" t="str">
        <f>IF($C3181="","","C"&amp;TEXT(INT((ROW()-5)/9)+1,"000")&amp;"-4")</f>
        <v/>
      </c>
      <c r="C3181" t="str">
        <f>IF(OR(Registro_Compras!$C$356="",Registro_Compras!$O$356="",Registro_Compras!$Y$356="",Registro_Compras!$F$356="NOTA DE CREDITO"),"","1041")</f>
        <v/>
      </c>
      <c r="D3181" t="str">
        <f>IF(OR(Registro_Compras!$C$356="",Registro_Compras!$O$356=""),"","Efectivo y Equivalentes - Cta. Cte. Operativa")</f>
        <v/>
      </c>
      <c r="E3181" s="20" t="str">
        <f>""</f>
        <v/>
      </c>
      <c r="F3181" s="20" t="str">
        <f>IF($C3181="","",IF(Registro_Compras!$F$356="RHE",(ROUND(Registro_Compras!$L$356*Registro_Compras!$N$356,2)-ROUND(Registro_Compras!$V$356*Registro_Compras!$N$356,2)),ROUND(Registro_Compras!$O$356-Registro_Compras!$S$356,2)))</f>
        <v/>
      </c>
      <c r="G3181" t="str">
        <f>IF($C3181="","","Por la cancelacion del saldo al proveedor")</f>
        <v/>
      </c>
      <c r="H3181" t="str">
        <f>IF($C3181="","",Registro_Compras!$C$356)</f>
        <v/>
      </c>
    </row>
    <row r="3182" spans="1:8" x14ac:dyDescent="0.25">
      <c r="A3182" s="25" t="str">
        <f>IF($C3182="","",Registro_Compras!$B$357)</f>
        <v/>
      </c>
      <c r="B3182" t="str">
        <f>IF($C3182="","","C"&amp;TEXT(INT((ROW()-5)/9)+1,"000")&amp;"-1")</f>
        <v/>
      </c>
      <c r="C3182" t="str">
        <f>IF(OR(Registro_Compras!$C$357="",Registro_Compras!$O$357=""),"",IF(Registro_Compras!$F$357="NOTA DE CREDITO","4212",IF(Registro_Compras!$M$357="","63",Registro_Compras!$M$357)))</f>
        <v/>
      </c>
      <c r="D3182" t="str">
        <f>IF(OR(Registro_Compras!$C$357="",Registro_Compras!$O$357=""),"",IF(Registro_Compras!$F$357="NOTA DE CREDITO","Cuentas por Pagar Comerciales - Terceros (Emitidas)",IF(Registro_Compras!$F$357="RHE","Honorarios Profesionales - Servicios de Terceros","Gastos de Servicios Prestados por Terceros")))</f>
        <v/>
      </c>
      <c r="E3182" s="20" t="str">
        <f>IF($C3182="","",IF(Registro_Compras!$F$357="NOTA DE CREDITO",ABS(Registro_Compras!$O$357),IF(Registro_Compras!$F$357="RHE",ROUND(Registro_Compras!$L$357*Registro_Compras!$N$357,2),ROUND(Registro_Compras!$J$357*Registro_Compras!$N$357,2))))</f>
        <v/>
      </c>
      <c r="F3182" s="20" t="str">
        <f>""</f>
        <v/>
      </c>
      <c r="G3182" t="str">
        <f>IF($C3182="","",IF(Registro_Compras!$F$357="NOTA DE CREDITO","Por la nota de credito "&amp;Registro_Compras!$C$357&amp;" de "&amp;Registro_Compras!$E$357&amp;" [PATRON POR CONFIRMAR CON CONTADOR]",IF(Registro_Compras!$F$357="RHE","Por el registro del recibo por honorarios "&amp;Registro_Compras!$C$357&amp;" de "&amp;Registro_Compras!$E$357&amp;" [PATRON POR CONFIRMAR CON CONTADOR]","Por el registro de la factura "&amp;Registro_Compras!$C$357&amp;" de "&amp;Registro_Compras!$E$357)))</f>
        <v/>
      </c>
      <c r="H3182" t="str">
        <f>IF($C3182="","",Registro_Compras!$C$357)</f>
        <v/>
      </c>
    </row>
    <row r="3183" spans="1:8" x14ac:dyDescent="0.25">
      <c r="A3183" s="25" t="str">
        <f>IF($C3183="","",Registro_Compras!$B$357)</f>
        <v/>
      </c>
      <c r="B3183" t="str">
        <f>IF($C3183="","","C"&amp;TEXT(INT((ROW()-5)/9)+1,"000")&amp;"-1")</f>
        <v/>
      </c>
      <c r="C3183" t="str">
        <f>IF(OR(Registro_Compras!$C$357="",Registro_Compras!$O$357=""),"",IF(Registro_Compras!$F$357="RHE",IF(Registro_Compras!$V$357=0,"","4017"),IF(Registro_Compras!$F$357="NOTA DE CREDITO",IF(Registro_Compras!$M$357="","63",Registro_Compras!$M$357),IF(Registro_Compras!$K$357=0,"","40111"))))</f>
        <v/>
      </c>
      <c r="D3183" t="str">
        <f>IF(OR(Registro_Compras!$C$357="",Registro_Compras!$O$357=""),"",IF(Registro_Compras!$F$357="RHE","Retencion Renta 4ta Categoria por Pagar",IF(Registro_Compras!$F$357="NOTA DE CREDITO","Gastos de Servicios Prestados por Terceros","IGV - Cuenta Propia (Credito Fiscal)")))</f>
        <v/>
      </c>
      <c r="E3183" s="20" t="str">
        <f>IF($C3183="","",IF(Registro_Compras!$F$357="FACTURA",ROUND(Registro_Compras!$K$357*Registro_Compras!$N$357,2),""))</f>
        <v/>
      </c>
      <c r="F3183" s="20" t="str">
        <f>IF($C3183="","",IF(Registro_Compras!$F$357="RHE",ROUND(Registro_Compras!$V$357*Registro_Compras!$N$357,2),IF(Registro_Compras!$F$357="NOTA DE CREDITO",ROUND(ABS(Registro_Compras!$J$357*Registro_Compras!$N$357),2),"")))</f>
        <v/>
      </c>
      <c r="G3183" t="str">
        <f>IF($C3183="","",IF(Registro_Compras!$F$357="NOTA DE CREDITO","Por la nota de credito "&amp;Registro_Compras!$C$357&amp;" de "&amp;Registro_Compras!$E$357&amp;" [PATRON POR CONFIRMAR CON CONTADOR]",IF(Registro_Compras!$F$357="RHE","Por el registro del recibo por honorarios "&amp;Registro_Compras!$C$357&amp;" de "&amp;Registro_Compras!$E$357&amp;" [PATRON POR CONFIRMAR CON CONTADOR]","Por el registro de la factura "&amp;Registro_Compras!$C$357&amp;" de "&amp;Registro_Compras!$E$357)))</f>
        <v/>
      </c>
      <c r="H3183" t="str">
        <f>IF($C3183="","",Registro_Compras!$C$357)</f>
        <v/>
      </c>
    </row>
    <row r="3184" spans="1:8" x14ac:dyDescent="0.25">
      <c r="A3184" s="25" t="str">
        <f>IF($C3184="","",Registro_Compras!$B$357)</f>
        <v/>
      </c>
      <c r="B3184" t="str">
        <f>IF($C3184="","","C"&amp;TEXT(INT((ROW()-5)/9)+1,"000")&amp;"-1")</f>
        <v/>
      </c>
      <c r="C3184" t="str">
        <f>IF(OR(Registro_Compras!$C$357="",Registro_Compras!$O$357=""),"",IF(Registro_Compras!$F$357="NOTA DE CREDITO",IF(Registro_Compras!$K$357=0,"","40111"),"4212"))</f>
        <v/>
      </c>
      <c r="D3184" t="str">
        <f>IF(OR(Registro_Compras!$C$357="",Registro_Compras!$O$357=""),"",IF(Registro_Compras!$F$357="NOTA DE CREDITO","IGV - Cuenta Propia (Credito Fiscal)","Cuentas por Pagar Comerciales - Terceros (Emitidas)"))</f>
        <v/>
      </c>
      <c r="E3184" s="20" t="str">
        <f>""</f>
        <v/>
      </c>
      <c r="F3184" s="20" t="str">
        <f>IF($C3184="","",IF(Registro_Compras!$F$357="NOTA DE CREDITO",ROUND(ABS(Registro_Compras!$K$357*Registro_Compras!$N$357),2),IF(Registro_Compras!$F$357="RHE",(ROUND(Registro_Compras!$L$357*Registro_Compras!$N$357,2)-ROUND(Registro_Compras!$V$357*Registro_Compras!$N$357,2)),Registro_Compras!$O$357)))</f>
        <v/>
      </c>
      <c r="G3184" t="str">
        <f>IF($C3184="","",IF(Registro_Compras!$F$357="NOTA DE CREDITO","Por la nota de credito "&amp;Registro_Compras!$C$357&amp;" de "&amp;Registro_Compras!$E$357&amp;" [PATRON POR CONFIRMAR CON CONTADOR]",IF(Registro_Compras!$F$357="RHE","Por el registro del recibo por honorarios "&amp;Registro_Compras!$C$357&amp;" de "&amp;Registro_Compras!$E$357&amp;" [PATRON POR CONFIRMAR CON CONTADOR]","Por el registro de la factura "&amp;Registro_Compras!$C$357&amp;" de "&amp;Registro_Compras!$E$357)))</f>
        <v/>
      </c>
      <c r="H3184" t="str">
        <f>IF($C3184="","",Registro_Compras!$C$357)</f>
        <v/>
      </c>
    </row>
    <row r="3185" spans="1:8" x14ac:dyDescent="0.25">
      <c r="A3185" s="25" t="str">
        <f>IF($C3185="","",Registro_Compras!$B$357)</f>
        <v/>
      </c>
      <c r="B3185" t="str">
        <f>IF($C3185="","","C"&amp;TEXT(INT((ROW()-5)/9)+1,"000")&amp;"-2")</f>
        <v/>
      </c>
      <c r="C3185" t="str">
        <f>IF(OR(Registro_Compras!$C$357="",Registro_Compras!$O$357=""),"",IF(Registro_Compras!$AB$357="ADMINISTRATIVO","94","95"))</f>
        <v/>
      </c>
      <c r="D3185" t="str">
        <f>IF(OR(Registro_Compras!$C$357="",Registro_Compras!$O$357=""),"",IF(Registro_Compras!$AB$357="ADMINISTRATIVO","Gastos Administrativos","Gastos de Venta y Operacion"))</f>
        <v/>
      </c>
      <c r="E3185" s="20" t="str">
        <f>IF($C3185="","",IF(Registro_Compras!$F$357="NOTA DE CREDITO","",IF(Registro_Compras!$F$357="RHE",ROUND(Registro_Compras!$L$357*Registro_Compras!$N$357,2),ROUND(Registro_Compras!$J$357*Registro_Compras!$N$357,2))))</f>
        <v/>
      </c>
      <c r="F3185" s="20" t="str">
        <f>IF($C3185="","",IF(Registro_Compras!$F$357="NOTA DE CREDITO",ROUND(ABS(Registro_Compras!$J$357*Registro_Compras!$N$357),2),""))</f>
        <v/>
      </c>
      <c r="G3185" t="str">
        <f>IF($C3185="","","Por el destino del gasto")</f>
        <v/>
      </c>
      <c r="H3185" t="str">
        <f>IF($C3185="","",Registro_Compras!$C$357)</f>
        <v/>
      </c>
    </row>
    <row r="3186" spans="1:8" x14ac:dyDescent="0.25">
      <c r="A3186" s="25" t="str">
        <f>IF($C3186="","",Registro_Compras!$B$357)</f>
        <v/>
      </c>
      <c r="B3186" t="str">
        <f>IF($C3186="","","C"&amp;TEXT(INT((ROW()-5)/9)+1,"000")&amp;"-2")</f>
        <v/>
      </c>
      <c r="C3186" t="str">
        <f>IF(OR(Registro_Compras!$C$357="",Registro_Compras!$O$357=""),"","79/791")</f>
        <v/>
      </c>
      <c r="D3186" t="str">
        <f>IF(OR(Registro_Compras!$C$357="",Registro_Compras!$O$357=""),"","Cargas Imputables a Cuentas de Costos y Gastos")</f>
        <v/>
      </c>
      <c r="E3186" s="20" t="str">
        <f>IF($C3186="","",IF(Registro_Compras!$F$357="NOTA DE CREDITO",ROUND(ABS(Registro_Compras!$J$357*Registro_Compras!$N$357),2),""))</f>
        <v/>
      </c>
      <c r="F3186" s="20" t="str">
        <f>IF($C3186="","",IF(Registro_Compras!$F$357="NOTA DE CREDITO","",IF(Registro_Compras!$F$357="RHE",ROUND(Registro_Compras!$L$357*Registro_Compras!$N$357,2),ROUND(Registro_Compras!$J$357*Registro_Compras!$N$357,2))))</f>
        <v/>
      </c>
      <c r="G3186" t="str">
        <f>IF($C3186="","","Por el destino del gasto")</f>
        <v/>
      </c>
      <c r="H3186" t="str">
        <f>IF($C3186="","",Registro_Compras!$C$357)</f>
        <v/>
      </c>
    </row>
    <row r="3187" spans="1:8" x14ac:dyDescent="0.25">
      <c r="A3187" s="25" t="str">
        <f>IF($C3187="","",Registro_Compras!$X$357)</f>
        <v/>
      </c>
      <c r="B3187" t="str">
        <f>IF($C3187="","","C"&amp;TEXT(INT((ROW()-5)/9)+1,"000")&amp;"-3")</f>
        <v/>
      </c>
      <c r="C3187" t="str">
        <f>IF(OR(Registro_Compras!$C$357="",Registro_Compras!$O$357="",Registro_Compras!$R$357&lt;&gt;"SI",Registro_Compras!$X$357=""),"","4212")</f>
        <v/>
      </c>
      <c r="D3187" t="str">
        <f>IF(OR(Registro_Compras!$C$357="",Registro_Compras!$O$357=""),"","Cuentas por Pagar Comerciales - Terceros")</f>
        <v/>
      </c>
      <c r="E3187" s="20" t="str">
        <f>IF($C3187="","",Registro_Compras!$S$357)</f>
        <v/>
      </c>
      <c r="F3187" s="20" t="str">
        <f>""</f>
        <v/>
      </c>
      <c r="G3187" t="str">
        <f>IF($C3187="","","Por el deposito de la detraccion en el Banco de la Nacion")</f>
        <v/>
      </c>
      <c r="H3187" t="str">
        <f>IF($C3187="","",Registro_Compras!$C$357)</f>
        <v/>
      </c>
    </row>
    <row r="3188" spans="1:8" x14ac:dyDescent="0.25">
      <c r="A3188" s="25" t="str">
        <f>IF($C3188="","",Registro_Compras!$X$357)</f>
        <v/>
      </c>
      <c r="B3188" t="str">
        <f>IF($C3188="","","C"&amp;TEXT(INT((ROW()-5)/9)+1,"000")&amp;"-3")</f>
        <v/>
      </c>
      <c r="C3188" t="str">
        <f>IF(OR(Registro_Compras!$C$357="",Registro_Compras!$O$357="",Registro_Compras!$R$357&lt;&gt;"SI",Registro_Compras!$X$357=""),"","1041")</f>
        <v/>
      </c>
      <c r="D3188" t="str">
        <f>IF(OR(Registro_Compras!$C$357="",Registro_Compras!$O$357=""),"","Efectivo y Equivalentes - Cta. Cte. Operativa")</f>
        <v/>
      </c>
      <c r="E3188" s="20" t="str">
        <f>""</f>
        <v/>
      </c>
      <c r="F3188" s="20" t="str">
        <f>IF($C3188="","",Registro_Compras!$S$357)</f>
        <v/>
      </c>
      <c r="G3188" t="str">
        <f>IF($C3188="","","Por el deposito de la detraccion en el Banco de la Nacion")</f>
        <v/>
      </c>
      <c r="H3188" t="str">
        <f>IF($C3188="","",Registro_Compras!$C$357)</f>
        <v/>
      </c>
    </row>
    <row r="3189" spans="1:8" x14ac:dyDescent="0.25">
      <c r="A3189" s="25" t="str">
        <f>IF($C3189="","",Registro_Compras!$Y$357)</f>
        <v/>
      </c>
      <c r="B3189" t="str">
        <f>IF($C3189="","","C"&amp;TEXT(INT((ROW()-5)/9)+1,"000")&amp;"-4")</f>
        <v/>
      </c>
      <c r="C3189" t="str">
        <f>IF(OR(Registro_Compras!$C$357="",Registro_Compras!$O$357="",Registro_Compras!$Y$357="",Registro_Compras!$F$357="NOTA DE CREDITO"),"","4212")</f>
        <v/>
      </c>
      <c r="D3189" t="str">
        <f>IF(OR(Registro_Compras!$C$357="",Registro_Compras!$O$357=""),"","Cuentas por Pagar Comerciales - Terceros")</f>
        <v/>
      </c>
      <c r="E3189" s="20" t="str">
        <f>IF($C3189="","",IF(Registro_Compras!$F$357="RHE",(ROUND(Registro_Compras!$L$357*Registro_Compras!$N$357,2)-ROUND(Registro_Compras!$V$357*Registro_Compras!$N$357,2)),ROUND(Registro_Compras!$O$357-Registro_Compras!$S$357,2)))</f>
        <v/>
      </c>
      <c r="F3189" s="20" t="str">
        <f>""</f>
        <v/>
      </c>
      <c r="G3189" t="str">
        <f>IF($C3189="","","Por la cancelacion del saldo al proveedor")</f>
        <v/>
      </c>
      <c r="H3189" t="str">
        <f>IF($C3189="","",Registro_Compras!$C$357)</f>
        <v/>
      </c>
    </row>
    <row r="3190" spans="1:8" x14ac:dyDescent="0.25">
      <c r="A3190" s="25" t="str">
        <f>IF($C3190="","",Registro_Compras!$Y$357)</f>
        <v/>
      </c>
      <c r="B3190" t="str">
        <f>IF($C3190="","","C"&amp;TEXT(INT((ROW()-5)/9)+1,"000")&amp;"-4")</f>
        <v/>
      </c>
      <c r="C3190" t="str">
        <f>IF(OR(Registro_Compras!$C$357="",Registro_Compras!$O$357="",Registro_Compras!$Y$357="",Registro_Compras!$F$357="NOTA DE CREDITO"),"","1041")</f>
        <v/>
      </c>
      <c r="D3190" t="str">
        <f>IF(OR(Registro_Compras!$C$357="",Registro_Compras!$O$357=""),"","Efectivo y Equivalentes - Cta. Cte. Operativa")</f>
        <v/>
      </c>
      <c r="E3190" s="20" t="str">
        <f>""</f>
        <v/>
      </c>
      <c r="F3190" s="20" t="str">
        <f>IF($C3190="","",IF(Registro_Compras!$F$357="RHE",(ROUND(Registro_Compras!$L$357*Registro_Compras!$N$357,2)-ROUND(Registro_Compras!$V$357*Registro_Compras!$N$357,2)),ROUND(Registro_Compras!$O$357-Registro_Compras!$S$357,2)))</f>
        <v/>
      </c>
      <c r="G3190" t="str">
        <f>IF($C3190="","","Por la cancelacion del saldo al proveedor")</f>
        <v/>
      </c>
      <c r="H3190" t="str">
        <f>IF($C3190="","",Registro_Compras!$C$357)</f>
        <v/>
      </c>
    </row>
    <row r="3191" spans="1:8" x14ac:dyDescent="0.25">
      <c r="A3191" s="25" t="str">
        <f>IF($C3191="","",Registro_Compras!$B$358)</f>
        <v/>
      </c>
      <c r="B3191" t="str">
        <f>IF($C3191="","","C"&amp;TEXT(INT((ROW()-5)/9)+1,"000")&amp;"-1")</f>
        <v/>
      </c>
      <c r="C3191" t="str">
        <f>IF(OR(Registro_Compras!$C$358="",Registro_Compras!$O$358=""),"",IF(Registro_Compras!$F$358="NOTA DE CREDITO","4212",IF(Registro_Compras!$M$358="","63",Registro_Compras!$M$358)))</f>
        <v/>
      </c>
      <c r="D3191" t="str">
        <f>IF(OR(Registro_Compras!$C$358="",Registro_Compras!$O$358=""),"",IF(Registro_Compras!$F$358="NOTA DE CREDITO","Cuentas por Pagar Comerciales - Terceros (Emitidas)",IF(Registro_Compras!$F$358="RHE","Honorarios Profesionales - Servicios de Terceros","Gastos de Servicios Prestados por Terceros")))</f>
        <v/>
      </c>
      <c r="E3191" s="20" t="str">
        <f>IF($C3191="","",IF(Registro_Compras!$F$358="NOTA DE CREDITO",ABS(Registro_Compras!$O$358),IF(Registro_Compras!$F$358="RHE",ROUND(Registro_Compras!$L$358*Registro_Compras!$N$358,2),ROUND(Registro_Compras!$J$358*Registro_Compras!$N$358,2))))</f>
        <v/>
      </c>
      <c r="F3191" s="20" t="str">
        <f>""</f>
        <v/>
      </c>
      <c r="G3191" t="str">
        <f>IF($C3191="","",IF(Registro_Compras!$F$358="NOTA DE CREDITO","Por la nota de credito "&amp;Registro_Compras!$C$358&amp;" de "&amp;Registro_Compras!$E$358&amp;" [PATRON POR CONFIRMAR CON CONTADOR]",IF(Registro_Compras!$F$358="RHE","Por el registro del recibo por honorarios "&amp;Registro_Compras!$C$358&amp;" de "&amp;Registro_Compras!$E$358&amp;" [PATRON POR CONFIRMAR CON CONTADOR]","Por el registro de la factura "&amp;Registro_Compras!$C$358&amp;" de "&amp;Registro_Compras!$E$358)))</f>
        <v/>
      </c>
      <c r="H3191" t="str">
        <f>IF($C3191="","",Registro_Compras!$C$358)</f>
        <v/>
      </c>
    </row>
    <row r="3192" spans="1:8" x14ac:dyDescent="0.25">
      <c r="A3192" s="25" t="str">
        <f>IF($C3192="","",Registro_Compras!$B$358)</f>
        <v/>
      </c>
      <c r="B3192" t="str">
        <f>IF($C3192="","","C"&amp;TEXT(INT((ROW()-5)/9)+1,"000")&amp;"-1")</f>
        <v/>
      </c>
      <c r="C3192" t="str">
        <f>IF(OR(Registro_Compras!$C$358="",Registro_Compras!$O$358=""),"",IF(Registro_Compras!$F$358="RHE",IF(Registro_Compras!$V$358=0,"","4017"),IF(Registro_Compras!$F$358="NOTA DE CREDITO",IF(Registro_Compras!$M$358="","63",Registro_Compras!$M$358),IF(Registro_Compras!$K$358=0,"","40111"))))</f>
        <v/>
      </c>
      <c r="D3192" t="str">
        <f>IF(OR(Registro_Compras!$C$358="",Registro_Compras!$O$358=""),"",IF(Registro_Compras!$F$358="RHE","Retencion Renta 4ta Categoria por Pagar",IF(Registro_Compras!$F$358="NOTA DE CREDITO","Gastos de Servicios Prestados por Terceros","IGV - Cuenta Propia (Credito Fiscal)")))</f>
        <v/>
      </c>
      <c r="E3192" s="20" t="str">
        <f>IF($C3192="","",IF(Registro_Compras!$F$358="FACTURA",ROUND(Registro_Compras!$K$358*Registro_Compras!$N$358,2),""))</f>
        <v/>
      </c>
      <c r="F3192" s="20" t="str">
        <f>IF($C3192="","",IF(Registro_Compras!$F$358="RHE",ROUND(Registro_Compras!$V$358*Registro_Compras!$N$358,2),IF(Registro_Compras!$F$358="NOTA DE CREDITO",ROUND(ABS(Registro_Compras!$J$358*Registro_Compras!$N$358),2),"")))</f>
        <v/>
      </c>
      <c r="G3192" t="str">
        <f>IF($C3192="","",IF(Registro_Compras!$F$358="NOTA DE CREDITO","Por la nota de credito "&amp;Registro_Compras!$C$358&amp;" de "&amp;Registro_Compras!$E$358&amp;" [PATRON POR CONFIRMAR CON CONTADOR]",IF(Registro_Compras!$F$358="RHE","Por el registro del recibo por honorarios "&amp;Registro_Compras!$C$358&amp;" de "&amp;Registro_Compras!$E$358&amp;" [PATRON POR CONFIRMAR CON CONTADOR]","Por el registro de la factura "&amp;Registro_Compras!$C$358&amp;" de "&amp;Registro_Compras!$E$358)))</f>
        <v/>
      </c>
      <c r="H3192" t="str">
        <f>IF($C3192="","",Registro_Compras!$C$358)</f>
        <v/>
      </c>
    </row>
    <row r="3193" spans="1:8" x14ac:dyDescent="0.25">
      <c r="A3193" s="25" t="str">
        <f>IF($C3193="","",Registro_Compras!$B$358)</f>
        <v/>
      </c>
      <c r="B3193" t="str">
        <f>IF($C3193="","","C"&amp;TEXT(INT((ROW()-5)/9)+1,"000")&amp;"-1")</f>
        <v/>
      </c>
      <c r="C3193" t="str">
        <f>IF(OR(Registro_Compras!$C$358="",Registro_Compras!$O$358=""),"",IF(Registro_Compras!$F$358="NOTA DE CREDITO",IF(Registro_Compras!$K$358=0,"","40111"),"4212"))</f>
        <v/>
      </c>
      <c r="D3193" t="str">
        <f>IF(OR(Registro_Compras!$C$358="",Registro_Compras!$O$358=""),"",IF(Registro_Compras!$F$358="NOTA DE CREDITO","IGV - Cuenta Propia (Credito Fiscal)","Cuentas por Pagar Comerciales - Terceros (Emitidas)"))</f>
        <v/>
      </c>
      <c r="E3193" s="20" t="str">
        <f>""</f>
        <v/>
      </c>
      <c r="F3193" s="20" t="str">
        <f>IF($C3193="","",IF(Registro_Compras!$F$358="NOTA DE CREDITO",ROUND(ABS(Registro_Compras!$K$358*Registro_Compras!$N$358),2),IF(Registro_Compras!$F$358="RHE",(ROUND(Registro_Compras!$L$358*Registro_Compras!$N$358,2)-ROUND(Registro_Compras!$V$358*Registro_Compras!$N$358,2)),Registro_Compras!$O$358)))</f>
        <v/>
      </c>
      <c r="G3193" t="str">
        <f>IF($C3193="","",IF(Registro_Compras!$F$358="NOTA DE CREDITO","Por la nota de credito "&amp;Registro_Compras!$C$358&amp;" de "&amp;Registro_Compras!$E$358&amp;" [PATRON POR CONFIRMAR CON CONTADOR]",IF(Registro_Compras!$F$358="RHE","Por el registro del recibo por honorarios "&amp;Registro_Compras!$C$358&amp;" de "&amp;Registro_Compras!$E$358&amp;" [PATRON POR CONFIRMAR CON CONTADOR]","Por el registro de la factura "&amp;Registro_Compras!$C$358&amp;" de "&amp;Registro_Compras!$E$358)))</f>
        <v/>
      </c>
      <c r="H3193" t="str">
        <f>IF($C3193="","",Registro_Compras!$C$358)</f>
        <v/>
      </c>
    </row>
    <row r="3194" spans="1:8" x14ac:dyDescent="0.25">
      <c r="A3194" s="25" t="str">
        <f>IF($C3194="","",Registro_Compras!$B$358)</f>
        <v/>
      </c>
      <c r="B3194" t="str">
        <f>IF($C3194="","","C"&amp;TEXT(INT((ROW()-5)/9)+1,"000")&amp;"-2")</f>
        <v/>
      </c>
      <c r="C3194" t="str">
        <f>IF(OR(Registro_Compras!$C$358="",Registro_Compras!$O$358=""),"",IF(Registro_Compras!$AB$358="ADMINISTRATIVO","94","95"))</f>
        <v/>
      </c>
      <c r="D3194" t="str">
        <f>IF(OR(Registro_Compras!$C$358="",Registro_Compras!$O$358=""),"",IF(Registro_Compras!$AB$358="ADMINISTRATIVO","Gastos Administrativos","Gastos de Venta y Operacion"))</f>
        <v/>
      </c>
      <c r="E3194" s="20" t="str">
        <f>IF($C3194="","",IF(Registro_Compras!$F$358="NOTA DE CREDITO","",IF(Registro_Compras!$F$358="RHE",ROUND(Registro_Compras!$L$358*Registro_Compras!$N$358,2),ROUND(Registro_Compras!$J$358*Registro_Compras!$N$358,2))))</f>
        <v/>
      </c>
      <c r="F3194" s="20" t="str">
        <f>IF($C3194="","",IF(Registro_Compras!$F$358="NOTA DE CREDITO",ROUND(ABS(Registro_Compras!$J$358*Registro_Compras!$N$358),2),""))</f>
        <v/>
      </c>
      <c r="G3194" t="str">
        <f>IF($C3194="","","Por el destino del gasto")</f>
        <v/>
      </c>
      <c r="H3194" t="str">
        <f>IF($C3194="","",Registro_Compras!$C$358)</f>
        <v/>
      </c>
    </row>
    <row r="3195" spans="1:8" x14ac:dyDescent="0.25">
      <c r="A3195" s="25" t="str">
        <f>IF($C3195="","",Registro_Compras!$B$358)</f>
        <v/>
      </c>
      <c r="B3195" t="str">
        <f>IF($C3195="","","C"&amp;TEXT(INT((ROW()-5)/9)+1,"000")&amp;"-2")</f>
        <v/>
      </c>
      <c r="C3195" t="str">
        <f>IF(OR(Registro_Compras!$C$358="",Registro_Compras!$O$358=""),"","79/791")</f>
        <v/>
      </c>
      <c r="D3195" t="str">
        <f>IF(OR(Registro_Compras!$C$358="",Registro_Compras!$O$358=""),"","Cargas Imputables a Cuentas de Costos y Gastos")</f>
        <v/>
      </c>
      <c r="E3195" s="20" t="str">
        <f>IF($C3195="","",IF(Registro_Compras!$F$358="NOTA DE CREDITO",ROUND(ABS(Registro_Compras!$J$358*Registro_Compras!$N$358),2),""))</f>
        <v/>
      </c>
      <c r="F3195" s="20" t="str">
        <f>IF($C3195="","",IF(Registro_Compras!$F$358="NOTA DE CREDITO","",IF(Registro_Compras!$F$358="RHE",ROUND(Registro_Compras!$L$358*Registro_Compras!$N$358,2),ROUND(Registro_Compras!$J$358*Registro_Compras!$N$358,2))))</f>
        <v/>
      </c>
      <c r="G3195" t="str">
        <f>IF($C3195="","","Por el destino del gasto")</f>
        <v/>
      </c>
      <c r="H3195" t="str">
        <f>IF($C3195="","",Registro_Compras!$C$358)</f>
        <v/>
      </c>
    </row>
    <row r="3196" spans="1:8" x14ac:dyDescent="0.25">
      <c r="A3196" s="25" t="str">
        <f>IF($C3196="","",Registro_Compras!$X$358)</f>
        <v/>
      </c>
      <c r="B3196" t="str">
        <f>IF($C3196="","","C"&amp;TEXT(INT((ROW()-5)/9)+1,"000")&amp;"-3")</f>
        <v/>
      </c>
      <c r="C3196" t="str">
        <f>IF(OR(Registro_Compras!$C$358="",Registro_Compras!$O$358="",Registro_Compras!$R$358&lt;&gt;"SI",Registro_Compras!$X$358=""),"","4212")</f>
        <v/>
      </c>
      <c r="D3196" t="str">
        <f>IF(OR(Registro_Compras!$C$358="",Registro_Compras!$O$358=""),"","Cuentas por Pagar Comerciales - Terceros")</f>
        <v/>
      </c>
      <c r="E3196" s="20" t="str">
        <f>IF($C3196="","",Registro_Compras!$S$358)</f>
        <v/>
      </c>
      <c r="F3196" s="20" t="str">
        <f>""</f>
        <v/>
      </c>
      <c r="G3196" t="str">
        <f>IF($C3196="","","Por el deposito de la detraccion en el Banco de la Nacion")</f>
        <v/>
      </c>
      <c r="H3196" t="str">
        <f>IF($C3196="","",Registro_Compras!$C$358)</f>
        <v/>
      </c>
    </row>
    <row r="3197" spans="1:8" x14ac:dyDescent="0.25">
      <c r="A3197" s="25" t="str">
        <f>IF($C3197="","",Registro_Compras!$X$358)</f>
        <v/>
      </c>
      <c r="B3197" t="str">
        <f>IF($C3197="","","C"&amp;TEXT(INT((ROW()-5)/9)+1,"000")&amp;"-3")</f>
        <v/>
      </c>
      <c r="C3197" t="str">
        <f>IF(OR(Registro_Compras!$C$358="",Registro_Compras!$O$358="",Registro_Compras!$R$358&lt;&gt;"SI",Registro_Compras!$X$358=""),"","1041")</f>
        <v/>
      </c>
      <c r="D3197" t="str">
        <f>IF(OR(Registro_Compras!$C$358="",Registro_Compras!$O$358=""),"","Efectivo y Equivalentes - Cta. Cte. Operativa")</f>
        <v/>
      </c>
      <c r="E3197" s="20" t="str">
        <f>""</f>
        <v/>
      </c>
      <c r="F3197" s="20" t="str">
        <f>IF($C3197="","",Registro_Compras!$S$358)</f>
        <v/>
      </c>
      <c r="G3197" t="str">
        <f>IF($C3197="","","Por el deposito de la detraccion en el Banco de la Nacion")</f>
        <v/>
      </c>
      <c r="H3197" t="str">
        <f>IF($C3197="","",Registro_Compras!$C$358)</f>
        <v/>
      </c>
    </row>
    <row r="3198" spans="1:8" x14ac:dyDescent="0.25">
      <c r="A3198" s="25" t="str">
        <f>IF($C3198="","",Registro_Compras!$Y$358)</f>
        <v/>
      </c>
      <c r="B3198" t="str">
        <f>IF($C3198="","","C"&amp;TEXT(INT((ROW()-5)/9)+1,"000")&amp;"-4")</f>
        <v/>
      </c>
      <c r="C3198" t="str">
        <f>IF(OR(Registro_Compras!$C$358="",Registro_Compras!$O$358="",Registro_Compras!$Y$358="",Registro_Compras!$F$358="NOTA DE CREDITO"),"","4212")</f>
        <v/>
      </c>
      <c r="D3198" t="str">
        <f>IF(OR(Registro_Compras!$C$358="",Registro_Compras!$O$358=""),"","Cuentas por Pagar Comerciales - Terceros")</f>
        <v/>
      </c>
      <c r="E3198" s="20" t="str">
        <f>IF($C3198="","",IF(Registro_Compras!$F$358="RHE",(ROUND(Registro_Compras!$L$358*Registro_Compras!$N$358,2)-ROUND(Registro_Compras!$V$358*Registro_Compras!$N$358,2)),ROUND(Registro_Compras!$O$358-Registro_Compras!$S$358,2)))</f>
        <v/>
      </c>
      <c r="F3198" s="20" t="str">
        <f>""</f>
        <v/>
      </c>
      <c r="G3198" t="str">
        <f>IF($C3198="","","Por la cancelacion del saldo al proveedor")</f>
        <v/>
      </c>
      <c r="H3198" t="str">
        <f>IF($C3198="","",Registro_Compras!$C$358)</f>
        <v/>
      </c>
    </row>
    <row r="3199" spans="1:8" x14ac:dyDescent="0.25">
      <c r="A3199" s="25" t="str">
        <f>IF($C3199="","",Registro_Compras!$Y$358)</f>
        <v/>
      </c>
      <c r="B3199" t="str">
        <f>IF($C3199="","","C"&amp;TEXT(INT((ROW()-5)/9)+1,"000")&amp;"-4")</f>
        <v/>
      </c>
      <c r="C3199" t="str">
        <f>IF(OR(Registro_Compras!$C$358="",Registro_Compras!$O$358="",Registro_Compras!$Y$358="",Registro_Compras!$F$358="NOTA DE CREDITO"),"","1041")</f>
        <v/>
      </c>
      <c r="D3199" t="str">
        <f>IF(OR(Registro_Compras!$C$358="",Registro_Compras!$O$358=""),"","Efectivo y Equivalentes - Cta. Cte. Operativa")</f>
        <v/>
      </c>
      <c r="E3199" s="20" t="str">
        <f>""</f>
        <v/>
      </c>
      <c r="F3199" s="20" t="str">
        <f>IF($C3199="","",IF(Registro_Compras!$F$358="RHE",(ROUND(Registro_Compras!$L$358*Registro_Compras!$N$358,2)-ROUND(Registro_Compras!$V$358*Registro_Compras!$N$358,2)),ROUND(Registro_Compras!$O$358-Registro_Compras!$S$358,2)))</f>
        <v/>
      </c>
      <c r="G3199" t="str">
        <f>IF($C3199="","","Por la cancelacion del saldo al proveedor")</f>
        <v/>
      </c>
      <c r="H3199" t="str">
        <f>IF($C3199="","",Registro_Compras!$C$358)</f>
        <v/>
      </c>
    </row>
    <row r="3200" spans="1:8" x14ac:dyDescent="0.25">
      <c r="A3200" s="25" t="str">
        <f>IF($C3200="","",Registro_Compras!$B$359)</f>
        <v/>
      </c>
      <c r="B3200" t="str">
        <f>IF($C3200="","","C"&amp;TEXT(INT((ROW()-5)/9)+1,"000")&amp;"-1")</f>
        <v/>
      </c>
      <c r="C3200" t="str">
        <f>IF(OR(Registro_Compras!$C$359="",Registro_Compras!$O$359=""),"",IF(Registro_Compras!$F$359="NOTA DE CREDITO","4212",IF(Registro_Compras!$M$359="","63",Registro_Compras!$M$359)))</f>
        <v/>
      </c>
      <c r="D3200" t="str">
        <f>IF(OR(Registro_Compras!$C$359="",Registro_Compras!$O$359=""),"",IF(Registro_Compras!$F$359="NOTA DE CREDITO","Cuentas por Pagar Comerciales - Terceros (Emitidas)",IF(Registro_Compras!$F$359="RHE","Honorarios Profesionales - Servicios de Terceros","Gastos de Servicios Prestados por Terceros")))</f>
        <v/>
      </c>
      <c r="E3200" s="20" t="str">
        <f>IF($C3200="","",IF(Registro_Compras!$F$359="NOTA DE CREDITO",ABS(Registro_Compras!$O$359),IF(Registro_Compras!$F$359="RHE",ROUND(Registro_Compras!$L$359*Registro_Compras!$N$359,2),ROUND(Registro_Compras!$J$359*Registro_Compras!$N$359,2))))</f>
        <v/>
      </c>
      <c r="F3200" s="20" t="str">
        <f>""</f>
        <v/>
      </c>
      <c r="G3200" t="str">
        <f>IF($C3200="","",IF(Registro_Compras!$F$359="NOTA DE CREDITO","Por la nota de credito "&amp;Registro_Compras!$C$359&amp;" de "&amp;Registro_Compras!$E$359&amp;" [PATRON POR CONFIRMAR CON CONTADOR]",IF(Registro_Compras!$F$359="RHE","Por el registro del recibo por honorarios "&amp;Registro_Compras!$C$359&amp;" de "&amp;Registro_Compras!$E$359&amp;" [PATRON POR CONFIRMAR CON CONTADOR]","Por el registro de la factura "&amp;Registro_Compras!$C$359&amp;" de "&amp;Registro_Compras!$E$359)))</f>
        <v/>
      </c>
      <c r="H3200" t="str">
        <f>IF($C3200="","",Registro_Compras!$C$359)</f>
        <v/>
      </c>
    </row>
    <row r="3201" spans="1:8" x14ac:dyDescent="0.25">
      <c r="A3201" s="25" t="str">
        <f>IF($C3201="","",Registro_Compras!$B$359)</f>
        <v/>
      </c>
      <c r="B3201" t="str">
        <f>IF($C3201="","","C"&amp;TEXT(INT((ROW()-5)/9)+1,"000")&amp;"-1")</f>
        <v/>
      </c>
      <c r="C3201" t="str">
        <f>IF(OR(Registro_Compras!$C$359="",Registro_Compras!$O$359=""),"",IF(Registro_Compras!$F$359="RHE",IF(Registro_Compras!$V$359=0,"","4017"),IF(Registro_Compras!$F$359="NOTA DE CREDITO",IF(Registro_Compras!$M$359="","63",Registro_Compras!$M$359),IF(Registro_Compras!$K$359=0,"","40111"))))</f>
        <v/>
      </c>
      <c r="D3201" t="str">
        <f>IF(OR(Registro_Compras!$C$359="",Registro_Compras!$O$359=""),"",IF(Registro_Compras!$F$359="RHE","Retencion Renta 4ta Categoria por Pagar",IF(Registro_Compras!$F$359="NOTA DE CREDITO","Gastos de Servicios Prestados por Terceros","IGV - Cuenta Propia (Credito Fiscal)")))</f>
        <v/>
      </c>
      <c r="E3201" s="20" t="str">
        <f>IF($C3201="","",IF(Registro_Compras!$F$359="FACTURA",ROUND(Registro_Compras!$K$359*Registro_Compras!$N$359,2),""))</f>
        <v/>
      </c>
      <c r="F3201" s="20" t="str">
        <f>IF($C3201="","",IF(Registro_Compras!$F$359="RHE",ROUND(Registro_Compras!$V$359*Registro_Compras!$N$359,2),IF(Registro_Compras!$F$359="NOTA DE CREDITO",ROUND(ABS(Registro_Compras!$J$359*Registro_Compras!$N$359),2),"")))</f>
        <v/>
      </c>
      <c r="G3201" t="str">
        <f>IF($C3201="","",IF(Registro_Compras!$F$359="NOTA DE CREDITO","Por la nota de credito "&amp;Registro_Compras!$C$359&amp;" de "&amp;Registro_Compras!$E$359&amp;" [PATRON POR CONFIRMAR CON CONTADOR]",IF(Registro_Compras!$F$359="RHE","Por el registro del recibo por honorarios "&amp;Registro_Compras!$C$359&amp;" de "&amp;Registro_Compras!$E$359&amp;" [PATRON POR CONFIRMAR CON CONTADOR]","Por el registro de la factura "&amp;Registro_Compras!$C$359&amp;" de "&amp;Registro_Compras!$E$359)))</f>
        <v/>
      </c>
      <c r="H3201" t="str">
        <f>IF($C3201="","",Registro_Compras!$C$359)</f>
        <v/>
      </c>
    </row>
    <row r="3202" spans="1:8" x14ac:dyDescent="0.25">
      <c r="A3202" s="25" t="str">
        <f>IF($C3202="","",Registro_Compras!$B$359)</f>
        <v/>
      </c>
      <c r="B3202" t="str">
        <f>IF($C3202="","","C"&amp;TEXT(INT((ROW()-5)/9)+1,"000")&amp;"-1")</f>
        <v/>
      </c>
      <c r="C3202" t="str">
        <f>IF(OR(Registro_Compras!$C$359="",Registro_Compras!$O$359=""),"",IF(Registro_Compras!$F$359="NOTA DE CREDITO",IF(Registro_Compras!$K$359=0,"","40111"),"4212"))</f>
        <v/>
      </c>
      <c r="D3202" t="str">
        <f>IF(OR(Registro_Compras!$C$359="",Registro_Compras!$O$359=""),"",IF(Registro_Compras!$F$359="NOTA DE CREDITO","IGV - Cuenta Propia (Credito Fiscal)","Cuentas por Pagar Comerciales - Terceros (Emitidas)"))</f>
        <v/>
      </c>
      <c r="E3202" s="20" t="str">
        <f>""</f>
        <v/>
      </c>
      <c r="F3202" s="20" t="str">
        <f>IF($C3202="","",IF(Registro_Compras!$F$359="NOTA DE CREDITO",ROUND(ABS(Registro_Compras!$K$359*Registro_Compras!$N$359),2),IF(Registro_Compras!$F$359="RHE",(ROUND(Registro_Compras!$L$359*Registro_Compras!$N$359,2)-ROUND(Registro_Compras!$V$359*Registro_Compras!$N$359,2)),Registro_Compras!$O$359)))</f>
        <v/>
      </c>
      <c r="G3202" t="str">
        <f>IF($C3202="","",IF(Registro_Compras!$F$359="NOTA DE CREDITO","Por la nota de credito "&amp;Registro_Compras!$C$359&amp;" de "&amp;Registro_Compras!$E$359&amp;" [PATRON POR CONFIRMAR CON CONTADOR]",IF(Registro_Compras!$F$359="RHE","Por el registro del recibo por honorarios "&amp;Registro_Compras!$C$359&amp;" de "&amp;Registro_Compras!$E$359&amp;" [PATRON POR CONFIRMAR CON CONTADOR]","Por el registro de la factura "&amp;Registro_Compras!$C$359&amp;" de "&amp;Registro_Compras!$E$359)))</f>
        <v/>
      </c>
      <c r="H3202" t="str">
        <f>IF($C3202="","",Registro_Compras!$C$359)</f>
        <v/>
      </c>
    </row>
    <row r="3203" spans="1:8" x14ac:dyDescent="0.25">
      <c r="A3203" s="25" t="str">
        <f>IF($C3203="","",Registro_Compras!$B$359)</f>
        <v/>
      </c>
      <c r="B3203" t="str">
        <f>IF($C3203="","","C"&amp;TEXT(INT((ROW()-5)/9)+1,"000")&amp;"-2")</f>
        <v/>
      </c>
      <c r="C3203" t="str">
        <f>IF(OR(Registro_Compras!$C$359="",Registro_Compras!$O$359=""),"",IF(Registro_Compras!$AB$359="ADMINISTRATIVO","94","95"))</f>
        <v/>
      </c>
      <c r="D3203" t="str">
        <f>IF(OR(Registro_Compras!$C$359="",Registro_Compras!$O$359=""),"",IF(Registro_Compras!$AB$359="ADMINISTRATIVO","Gastos Administrativos","Gastos de Venta y Operacion"))</f>
        <v/>
      </c>
      <c r="E3203" s="20" t="str">
        <f>IF($C3203="","",IF(Registro_Compras!$F$359="NOTA DE CREDITO","",IF(Registro_Compras!$F$359="RHE",ROUND(Registro_Compras!$L$359*Registro_Compras!$N$359,2),ROUND(Registro_Compras!$J$359*Registro_Compras!$N$359,2))))</f>
        <v/>
      </c>
      <c r="F3203" s="20" t="str">
        <f>IF($C3203="","",IF(Registro_Compras!$F$359="NOTA DE CREDITO",ROUND(ABS(Registro_Compras!$J$359*Registro_Compras!$N$359),2),""))</f>
        <v/>
      </c>
      <c r="G3203" t="str">
        <f>IF($C3203="","","Por el destino del gasto")</f>
        <v/>
      </c>
      <c r="H3203" t="str">
        <f>IF($C3203="","",Registro_Compras!$C$359)</f>
        <v/>
      </c>
    </row>
    <row r="3204" spans="1:8" x14ac:dyDescent="0.25">
      <c r="A3204" s="25" t="str">
        <f>IF($C3204="","",Registro_Compras!$B$359)</f>
        <v/>
      </c>
      <c r="B3204" t="str">
        <f>IF($C3204="","","C"&amp;TEXT(INT((ROW()-5)/9)+1,"000")&amp;"-2")</f>
        <v/>
      </c>
      <c r="C3204" t="str">
        <f>IF(OR(Registro_Compras!$C$359="",Registro_Compras!$O$359=""),"","79/791")</f>
        <v/>
      </c>
      <c r="D3204" t="str">
        <f>IF(OR(Registro_Compras!$C$359="",Registro_Compras!$O$359=""),"","Cargas Imputables a Cuentas de Costos y Gastos")</f>
        <v/>
      </c>
      <c r="E3204" s="20" t="str">
        <f>IF($C3204="","",IF(Registro_Compras!$F$359="NOTA DE CREDITO",ROUND(ABS(Registro_Compras!$J$359*Registro_Compras!$N$359),2),""))</f>
        <v/>
      </c>
      <c r="F3204" s="20" t="str">
        <f>IF($C3204="","",IF(Registro_Compras!$F$359="NOTA DE CREDITO","",IF(Registro_Compras!$F$359="RHE",ROUND(Registro_Compras!$L$359*Registro_Compras!$N$359,2),ROUND(Registro_Compras!$J$359*Registro_Compras!$N$359,2))))</f>
        <v/>
      </c>
      <c r="G3204" t="str">
        <f>IF($C3204="","","Por el destino del gasto")</f>
        <v/>
      </c>
      <c r="H3204" t="str">
        <f>IF($C3204="","",Registro_Compras!$C$359)</f>
        <v/>
      </c>
    </row>
    <row r="3205" spans="1:8" x14ac:dyDescent="0.25">
      <c r="A3205" s="25" t="str">
        <f>IF($C3205="","",Registro_Compras!$X$359)</f>
        <v/>
      </c>
      <c r="B3205" t="str">
        <f>IF($C3205="","","C"&amp;TEXT(INT((ROW()-5)/9)+1,"000")&amp;"-3")</f>
        <v/>
      </c>
      <c r="C3205" t="str">
        <f>IF(OR(Registro_Compras!$C$359="",Registro_Compras!$O$359="",Registro_Compras!$R$359&lt;&gt;"SI",Registro_Compras!$X$359=""),"","4212")</f>
        <v/>
      </c>
      <c r="D3205" t="str">
        <f>IF(OR(Registro_Compras!$C$359="",Registro_Compras!$O$359=""),"","Cuentas por Pagar Comerciales - Terceros")</f>
        <v/>
      </c>
      <c r="E3205" s="20" t="str">
        <f>IF($C3205="","",Registro_Compras!$S$359)</f>
        <v/>
      </c>
      <c r="F3205" s="20" t="str">
        <f>""</f>
        <v/>
      </c>
      <c r="G3205" t="str">
        <f>IF($C3205="","","Por el deposito de la detraccion en el Banco de la Nacion")</f>
        <v/>
      </c>
      <c r="H3205" t="str">
        <f>IF($C3205="","",Registro_Compras!$C$359)</f>
        <v/>
      </c>
    </row>
    <row r="3206" spans="1:8" x14ac:dyDescent="0.25">
      <c r="A3206" s="25" t="str">
        <f>IF($C3206="","",Registro_Compras!$X$359)</f>
        <v/>
      </c>
      <c r="B3206" t="str">
        <f>IF($C3206="","","C"&amp;TEXT(INT((ROW()-5)/9)+1,"000")&amp;"-3")</f>
        <v/>
      </c>
      <c r="C3206" t="str">
        <f>IF(OR(Registro_Compras!$C$359="",Registro_Compras!$O$359="",Registro_Compras!$R$359&lt;&gt;"SI",Registro_Compras!$X$359=""),"","1041")</f>
        <v/>
      </c>
      <c r="D3206" t="str">
        <f>IF(OR(Registro_Compras!$C$359="",Registro_Compras!$O$359=""),"","Efectivo y Equivalentes - Cta. Cte. Operativa")</f>
        <v/>
      </c>
      <c r="E3206" s="20" t="str">
        <f>""</f>
        <v/>
      </c>
      <c r="F3206" s="20" t="str">
        <f>IF($C3206="","",Registro_Compras!$S$359)</f>
        <v/>
      </c>
      <c r="G3206" t="str">
        <f>IF($C3206="","","Por el deposito de la detraccion en el Banco de la Nacion")</f>
        <v/>
      </c>
      <c r="H3206" t="str">
        <f>IF($C3206="","",Registro_Compras!$C$359)</f>
        <v/>
      </c>
    </row>
    <row r="3207" spans="1:8" x14ac:dyDescent="0.25">
      <c r="A3207" s="25" t="str">
        <f>IF($C3207="","",Registro_Compras!$Y$359)</f>
        <v/>
      </c>
      <c r="B3207" t="str">
        <f>IF($C3207="","","C"&amp;TEXT(INT((ROW()-5)/9)+1,"000")&amp;"-4")</f>
        <v/>
      </c>
      <c r="C3207" t="str">
        <f>IF(OR(Registro_Compras!$C$359="",Registro_Compras!$O$359="",Registro_Compras!$Y$359="",Registro_Compras!$F$359="NOTA DE CREDITO"),"","4212")</f>
        <v/>
      </c>
      <c r="D3207" t="str">
        <f>IF(OR(Registro_Compras!$C$359="",Registro_Compras!$O$359=""),"","Cuentas por Pagar Comerciales - Terceros")</f>
        <v/>
      </c>
      <c r="E3207" s="20" t="str">
        <f>IF($C3207="","",IF(Registro_Compras!$F$359="RHE",(ROUND(Registro_Compras!$L$359*Registro_Compras!$N$359,2)-ROUND(Registro_Compras!$V$359*Registro_Compras!$N$359,2)),ROUND(Registro_Compras!$O$359-Registro_Compras!$S$359,2)))</f>
        <v/>
      </c>
      <c r="F3207" s="20" t="str">
        <f>""</f>
        <v/>
      </c>
      <c r="G3207" t="str">
        <f>IF($C3207="","","Por la cancelacion del saldo al proveedor")</f>
        <v/>
      </c>
      <c r="H3207" t="str">
        <f>IF($C3207="","",Registro_Compras!$C$359)</f>
        <v/>
      </c>
    </row>
    <row r="3208" spans="1:8" x14ac:dyDescent="0.25">
      <c r="A3208" s="25" t="str">
        <f>IF($C3208="","",Registro_Compras!$Y$359)</f>
        <v/>
      </c>
      <c r="B3208" t="str">
        <f>IF($C3208="","","C"&amp;TEXT(INT((ROW()-5)/9)+1,"000")&amp;"-4")</f>
        <v/>
      </c>
      <c r="C3208" t="str">
        <f>IF(OR(Registro_Compras!$C$359="",Registro_Compras!$O$359="",Registro_Compras!$Y$359="",Registro_Compras!$F$359="NOTA DE CREDITO"),"","1041")</f>
        <v/>
      </c>
      <c r="D3208" t="str">
        <f>IF(OR(Registro_Compras!$C$359="",Registro_Compras!$O$359=""),"","Efectivo y Equivalentes - Cta. Cte. Operativa")</f>
        <v/>
      </c>
      <c r="E3208" s="20" t="str">
        <f>""</f>
        <v/>
      </c>
      <c r="F3208" s="20" t="str">
        <f>IF($C3208="","",IF(Registro_Compras!$F$359="RHE",(ROUND(Registro_Compras!$L$359*Registro_Compras!$N$359,2)-ROUND(Registro_Compras!$V$359*Registro_Compras!$N$359,2)),ROUND(Registro_Compras!$O$359-Registro_Compras!$S$359,2)))</f>
        <v/>
      </c>
      <c r="G3208" t="str">
        <f>IF($C3208="","","Por la cancelacion del saldo al proveedor")</f>
        <v/>
      </c>
      <c r="H3208" t="str">
        <f>IF($C3208="","",Registro_Compras!$C$359)</f>
        <v/>
      </c>
    </row>
    <row r="3209" spans="1:8" x14ac:dyDescent="0.25">
      <c r="A3209" s="25" t="str">
        <f>IF($C3209="","",Registro_Compras!$B$360)</f>
        <v/>
      </c>
      <c r="B3209" t="str">
        <f>IF($C3209="","","C"&amp;TEXT(INT((ROW()-5)/9)+1,"000")&amp;"-1")</f>
        <v/>
      </c>
      <c r="C3209" t="str">
        <f>IF(OR(Registro_Compras!$C$360="",Registro_Compras!$O$360=""),"",IF(Registro_Compras!$F$360="NOTA DE CREDITO","4212",IF(Registro_Compras!$M$360="","63",Registro_Compras!$M$360)))</f>
        <v/>
      </c>
      <c r="D3209" t="str">
        <f>IF(OR(Registro_Compras!$C$360="",Registro_Compras!$O$360=""),"",IF(Registro_Compras!$F$360="NOTA DE CREDITO","Cuentas por Pagar Comerciales - Terceros (Emitidas)",IF(Registro_Compras!$F$360="RHE","Honorarios Profesionales - Servicios de Terceros","Gastos de Servicios Prestados por Terceros")))</f>
        <v/>
      </c>
      <c r="E3209" s="20" t="str">
        <f>IF($C3209="","",IF(Registro_Compras!$F$360="NOTA DE CREDITO",ABS(Registro_Compras!$O$360),IF(Registro_Compras!$F$360="RHE",ROUND(Registro_Compras!$L$360*Registro_Compras!$N$360,2),ROUND(Registro_Compras!$J$360*Registro_Compras!$N$360,2))))</f>
        <v/>
      </c>
      <c r="F3209" s="20" t="str">
        <f>""</f>
        <v/>
      </c>
      <c r="G3209" t="str">
        <f>IF($C3209="","",IF(Registro_Compras!$F$360="NOTA DE CREDITO","Por la nota de credito "&amp;Registro_Compras!$C$360&amp;" de "&amp;Registro_Compras!$E$360&amp;" [PATRON POR CONFIRMAR CON CONTADOR]",IF(Registro_Compras!$F$360="RHE","Por el registro del recibo por honorarios "&amp;Registro_Compras!$C$360&amp;" de "&amp;Registro_Compras!$E$360&amp;" [PATRON POR CONFIRMAR CON CONTADOR]","Por el registro de la factura "&amp;Registro_Compras!$C$360&amp;" de "&amp;Registro_Compras!$E$360)))</f>
        <v/>
      </c>
      <c r="H3209" t="str">
        <f>IF($C3209="","",Registro_Compras!$C$360)</f>
        <v/>
      </c>
    </row>
    <row r="3210" spans="1:8" x14ac:dyDescent="0.25">
      <c r="A3210" s="25" t="str">
        <f>IF($C3210="","",Registro_Compras!$B$360)</f>
        <v/>
      </c>
      <c r="B3210" t="str">
        <f>IF($C3210="","","C"&amp;TEXT(INT((ROW()-5)/9)+1,"000")&amp;"-1")</f>
        <v/>
      </c>
      <c r="C3210" t="str">
        <f>IF(OR(Registro_Compras!$C$360="",Registro_Compras!$O$360=""),"",IF(Registro_Compras!$F$360="RHE",IF(Registro_Compras!$V$360=0,"","4017"),IF(Registro_Compras!$F$360="NOTA DE CREDITO",IF(Registro_Compras!$M$360="","63",Registro_Compras!$M$360),IF(Registro_Compras!$K$360=0,"","40111"))))</f>
        <v/>
      </c>
      <c r="D3210" t="str">
        <f>IF(OR(Registro_Compras!$C$360="",Registro_Compras!$O$360=""),"",IF(Registro_Compras!$F$360="RHE","Retencion Renta 4ta Categoria por Pagar",IF(Registro_Compras!$F$360="NOTA DE CREDITO","Gastos de Servicios Prestados por Terceros","IGV - Cuenta Propia (Credito Fiscal)")))</f>
        <v/>
      </c>
      <c r="E3210" s="20" t="str">
        <f>IF($C3210="","",IF(Registro_Compras!$F$360="FACTURA",ROUND(Registro_Compras!$K$360*Registro_Compras!$N$360,2),""))</f>
        <v/>
      </c>
      <c r="F3210" s="20" t="str">
        <f>IF($C3210="","",IF(Registro_Compras!$F$360="RHE",ROUND(Registro_Compras!$V$360*Registro_Compras!$N$360,2),IF(Registro_Compras!$F$360="NOTA DE CREDITO",ROUND(ABS(Registro_Compras!$J$360*Registro_Compras!$N$360),2),"")))</f>
        <v/>
      </c>
      <c r="G3210" t="str">
        <f>IF($C3210="","",IF(Registro_Compras!$F$360="NOTA DE CREDITO","Por la nota de credito "&amp;Registro_Compras!$C$360&amp;" de "&amp;Registro_Compras!$E$360&amp;" [PATRON POR CONFIRMAR CON CONTADOR]",IF(Registro_Compras!$F$360="RHE","Por el registro del recibo por honorarios "&amp;Registro_Compras!$C$360&amp;" de "&amp;Registro_Compras!$E$360&amp;" [PATRON POR CONFIRMAR CON CONTADOR]","Por el registro de la factura "&amp;Registro_Compras!$C$360&amp;" de "&amp;Registro_Compras!$E$360)))</f>
        <v/>
      </c>
      <c r="H3210" t="str">
        <f>IF($C3210="","",Registro_Compras!$C$360)</f>
        <v/>
      </c>
    </row>
    <row r="3211" spans="1:8" x14ac:dyDescent="0.25">
      <c r="A3211" s="25" t="str">
        <f>IF($C3211="","",Registro_Compras!$B$360)</f>
        <v/>
      </c>
      <c r="B3211" t="str">
        <f>IF($C3211="","","C"&amp;TEXT(INT((ROW()-5)/9)+1,"000")&amp;"-1")</f>
        <v/>
      </c>
      <c r="C3211" t="str">
        <f>IF(OR(Registro_Compras!$C$360="",Registro_Compras!$O$360=""),"",IF(Registro_Compras!$F$360="NOTA DE CREDITO",IF(Registro_Compras!$K$360=0,"","40111"),"4212"))</f>
        <v/>
      </c>
      <c r="D3211" t="str">
        <f>IF(OR(Registro_Compras!$C$360="",Registro_Compras!$O$360=""),"",IF(Registro_Compras!$F$360="NOTA DE CREDITO","IGV - Cuenta Propia (Credito Fiscal)","Cuentas por Pagar Comerciales - Terceros (Emitidas)"))</f>
        <v/>
      </c>
      <c r="E3211" s="20" t="str">
        <f>""</f>
        <v/>
      </c>
      <c r="F3211" s="20" t="str">
        <f>IF($C3211="","",IF(Registro_Compras!$F$360="NOTA DE CREDITO",ROUND(ABS(Registro_Compras!$K$360*Registro_Compras!$N$360),2),IF(Registro_Compras!$F$360="RHE",(ROUND(Registro_Compras!$L$360*Registro_Compras!$N$360,2)-ROUND(Registro_Compras!$V$360*Registro_Compras!$N$360,2)),Registro_Compras!$O$360)))</f>
        <v/>
      </c>
      <c r="G3211" t="str">
        <f>IF($C3211="","",IF(Registro_Compras!$F$360="NOTA DE CREDITO","Por la nota de credito "&amp;Registro_Compras!$C$360&amp;" de "&amp;Registro_Compras!$E$360&amp;" [PATRON POR CONFIRMAR CON CONTADOR]",IF(Registro_Compras!$F$360="RHE","Por el registro del recibo por honorarios "&amp;Registro_Compras!$C$360&amp;" de "&amp;Registro_Compras!$E$360&amp;" [PATRON POR CONFIRMAR CON CONTADOR]","Por el registro de la factura "&amp;Registro_Compras!$C$360&amp;" de "&amp;Registro_Compras!$E$360)))</f>
        <v/>
      </c>
      <c r="H3211" t="str">
        <f>IF($C3211="","",Registro_Compras!$C$360)</f>
        <v/>
      </c>
    </row>
    <row r="3212" spans="1:8" x14ac:dyDescent="0.25">
      <c r="A3212" s="25" t="str">
        <f>IF($C3212="","",Registro_Compras!$B$360)</f>
        <v/>
      </c>
      <c r="B3212" t="str">
        <f>IF($C3212="","","C"&amp;TEXT(INT((ROW()-5)/9)+1,"000")&amp;"-2")</f>
        <v/>
      </c>
      <c r="C3212" t="str">
        <f>IF(OR(Registro_Compras!$C$360="",Registro_Compras!$O$360=""),"",IF(Registro_Compras!$AB$360="ADMINISTRATIVO","94","95"))</f>
        <v/>
      </c>
      <c r="D3212" t="str">
        <f>IF(OR(Registro_Compras!$C$360="",Registro_Compras!$O$360=""),"",IF(Registro_Compras!$AB$360="ADMINISTRATIVO","Gastos Administrativos","Gastos de Venta y Operacion"))</f>
        <v/>
      </c>
      <c r="E3212" s="20" t="str">
        <f>IF($C3212="","",IF(Registro_Compras!$F$360="NOTA DE CREDITO","",IF(Registro_Compras!$F$360="RHE",ROUND(Registro_Compras!$L$360*Registro_Compras!$N$360,2),ROUND(Registro_Compras!$J$360*Registro_Compras!$N$360,2))))</f>
        <v/>
      </c>
      <c r="F3212" s="20" t="str">
        <f>IF($C3212="","",IF(Registro_Compras!$F$360="NOTA DE CREDITO",ROUND(ABS(Registro_Compras!$J$360*Registro_Compras!$N$360),2),""))</f>
        <v/>
      </c>
      <c r="G3212" t="str">
        <f>IF($C3212="","","Por el destino del gasto")</f>
        <v/>
      </c>
      <c r="H3212" t="str">
        <f>IF($C3212="","",Registro_Compras!$C$360)</f>
        <v/>
      </c>
    </row>
    <row r="3213" spans="1:8" x14ac:dyDescent="0.25">
      <c r="A3213" s="25" t="str">
        <f>IF($C3213="","",Registro_Compras!$B$360)</f>
        <v/>
      </c>
      <c r="B3213" t="str">
        <f>IF($C3213="","","C"&amp;TEXT(INT((ROW()-5)/9)+1,"000")&amp;"-2")</f>
        <v/>
      </c>
      <c r="C3213" t="str">
        <f>IF(OR(Registro_Compras!$C$360="",Registro_Compras!$O$360=""),"","79/791")</f>
        <v/>
      </c>
      <c r="D3213" t="str">
        <f>IF(OR(Registro_Compras!$C$360="",Registro_Compras!$O$360=""),"","Cargas Imputables a Cuentas de Costos y Gastos")</f>
        <v/>
      </c>
      <c r="E3213" s="20" t="str">
        <f>IF($C3213="","",IF(Registro_Compras!$F$360="NOTA DE CREDITO",ROUND(ABS(Registro_Compras!$J$360*Registro_Compras!$N$360),2),""))</f>
        <v/>
      </c>
      <c r="F3213" s="20" t="str">
        <f>IF($C3213="","",IF(Registro_Compras!$F$360="NOTA DE CREDITO","",IF(Registro_Compras!$F$360="RHE",ROUND(Registro_Compras!$L$360*Registro_Compras!$N$360,2),ROUND(Registro_Compras!$J$360*Registro_Compras!$N$360,2))))</f>
        <v/>
      </c>
      <c r="G3213" t="str">
        <f>IF($C3213="","","Por el destino del gasto")</f>
        <v/>
      </c>
      <c r="H3213" t="str">
        <f>IF($C3213="","",Registro_Compras!$C$360)</f>
        <v/>
      </c>
    </row>
    <row r="3214" spans="1:8" x14ac:dyDescent="0.25">
      <c r="A3214" s="25" t="str">
        <f>IF($C3214="","",Registro_Compras!$X$360)</f>
        <v/>
      </c>
      <c r="B3214" t="str">
        <f>IF($C3214="","","C"&amp;TEXT(INT((ROW()-5)/9)+1,"000")&amp;"-3")</f>
        <v/>
      </c>
      <c r="C3214" t="str">
        <f>IF(OR(Registro_Compras!$C$360="",Registro_Compras!$O$360="",Registro_Compras!$R$360&lt;&gt;"SI",Registro_Compras!$X$360=""),"","4212")</f>
        <v/>
      </c>
      <c r="D3214" t="str">
        <f>IF(OR(Registro_Compras!$C$360="",Registro_Compras!$O$360=""),"","Cuentas por Pagar Comerciales - Terceros")</f>
        <v/>
      </c>
      <c r="E3214" s="20" t="str">
        <f>IF($C3214="","",Registro_Compras!$S$360)</f>
        <v/>
      </c>
      <c r="F3214" s="20" t="str">
        <f>""</f>
        <v/>
      </c>
      <c r="G3214" t="str">
        <f>IF($C3214="","","Por el deposito de la detraccion en el Banco de la Nacion")</f>
        <v/>
      </c>
      <c r="H3214" t="str">
        <f>IF($C3214="","",Registro_Compras!$C$360)</f>
        <v/>
      </c>
    </row>
    <row r="3215" spans="1:8" x14ac:dyDescent="0.25">
      <c r="A3215" s="25" t="str">
        <f>IF($C3215="","",Registro_Compras!$X$360)</f>
        <v/>
      </c>
      <c r="B3215" t="str">
        <f>IF($C3215="","","C"&amp;TEXT(INT((ROW()-5)/9)+1,"000")&amp;"-3")</f>
        <v/>
      </c>
      <c r="C3215" t="str">
        <f>IF(OR(Registro_Compras!$C$360="",Registro_Compras!$O$360="",Registro_Compras!$R$360&lt;&gt;"SI",Registro_Compras!$X$360=""),"","1041")</f>
        <v/>
      </c>
      <c r="D3215" t="str">
        <f>IF(OR(Registro_Compras!$C$360="",Registro_Compras!$O$360=""),"","Efectivo y Equivalentes - Cta. Cte. Operativa")</f>
        <v/>
      </c>
      <c r="E3215" s="20" t="str">
        <f>""</f>
        <v/>
      </c>
      <c r="F3215" s="20" t="str">
        <f>IF($C3215="","",Registro_Compras!$S$360)</f>
        <v/>
      </c>
      <c r="G3215" t="str">
        <f>IF($C3215="","","Por el deposito de la detraccion en el Banco de la Nacion")</f>
        <v/>
      </c>
      <c r="H3215" t="str">
        <f>IF($C3215="","",Registro_Compras!$C$360)</f>
        <v/>
      </c>
    </row>
    <row r="3216" spans="1:8" x14ac:dyDescent="0.25">
      <c r="A3216" s="25" t="str">
        <f>IF($C3216="","",Registro_Compras!$Y$360)</f>
        <v/>
      </c>
      <c r="B3216" t="str">
        <f>IF($C3216="","","C"&amp;TEXT(INT((ROW()-5)/9)+1,"000")&amp;"-4")</f>
        <v/>
      </c>
      <c r="C3216" t="str">
        <f>IF(OR(Registro_Compras!$C$360="",Registro_Compras!$O$360="",Registro_Compras!$Y$360="",Registro_Compras!$F$360="NOTA DE CREDITO"),"","4212")</f>
        <v/>
      </c>
      <c r="D3216" t="str">
        <f>IF(OR(Registro_Compras!$C$360="",Registro_Compras!$O$360=""),"","Cuentas por Pagar Comerciales - Terceros")</f>
        <v/>
      </c>
      <c r="E3216" s="20" t="str">
        <f>IF($C3216="","",IF(Registro_Compras!$F$360="RHE",(ROUND(Registro_Compras!$L$360*Registro_Compras!$N$360,2)-ROUND(Registro_Compras!$V$360*Registro_Compras!$N$360,2)),ROUND(Registro_Compras!$O$360-Registro_Compras!$S$360,2)))</f>
        <v/>
      </c>
      <c r="F3216" s="20" t="str">
        <f>""</f>
        <v/>
      </c>
      <c r="G3216" t="str">
        <f>IF($C3216="","","Por la cancelacion del saldo al proveedor")</f>
        <v/>
      </c>
      <c r="H3216" t="str">
        <f>IF($C3216="","",Registro_Compras!$C$360)</f>
        <v/>
      </c>
    </row>
    <row r="3217" spans="1:8" x14ac:dyDescent="0.25">
      <c r="A3217" s="25" t="str">
        <f>IF($C3217="","",Registro_Compras!$Y$360)</f>
        <v/>
      </c>
      <c r="B3217" t="str">
        <f>IF($C3217="","","C"&amp;TEXT(INT((ROW()-5)/9)+1,"000")&amp;"-4")</f>
        <v/>
      </c>
      <c r="C3217" t="str">
        <f>IF(OR(Registro_Compras!$C$360="",Registro_Compras!$O$360="",Registro_Compras!$Y$360="",Registro_Compras!$F$360="NOTA DE CREDITO"),"","1041")</f>
        <v/>
      </c>
      <c r="D3217" t="str">
        <f>IF(OR(Registro_Compras!$C$360="",Registro_Compras!$O$360=""),"","Efectivo y Equivalentes - Cta. Cte. Operativa")</f>
        <v/>
      </c>
      <c r="E3217" s="20" t="str">
        <f>""</f>
        <v/>
      </c>
      <c r="F3217" s="20" t="str">
        <f>IF($C3217="","",IF(Registro_Compras!$F$360="RHE",(ROUND(Registro_Compras!$L$360*Registro_Compras!$N$360,2)-ROUND(Registro_Compras!$V$360*Registro_Compras!$N$360,2)),ROUND(Registro_Compras!$O$360-Registro_Compras!$S$360,2)))</f>
        <v/>
      </c>
      <c r="G3217" t="str">
        <f>IF($C3217="","","Por la cancelacion del saldo al proveedor")</f>
        <v/>
      </c>
      <c r="H3217" t="str">
        <f>IF($C3217="","",Registro_Compras!$C$360)</f>
        <v/>
      </c>
    </row>
    <row r="3218" spans="1:8" x14ac:dyDescent="0.25">
      <c r="A3218" s="25" t="str">
        <f>IF($C3218="","",Registro_Compras!$B$361)</f>
        <v/>
      </c>
      <c r="B3218" t="str">
        <f>IF($C3218="","","C"&amp;TEXT(INT((ROW()-5)/9)+1,"000")&amp;"-1")</f>
        <v/>
      </c>
      <c r="C3218" t="str">
        <f>IF(OR(Registro_Compras!$C$361="",Registro_Compras!$O$361=""),"",IF(Registro_Compras!$F$361="NOTA DE CREDITO","4212",IF(Registro_Compras!$M$361="","63",Registro_Compras!$M$361)))</f>
        <v/>
      </c>
      <c r="D3218" t="str">
        <f>IF(OR(Registro_Compras!$C$361="",Registro_Compras!$O$361=""),"",IF(Registro_Compras!$F$361="NOTA DE CREDITO","Cuentas por Pagar Comerciales - Terceros (Emitidas)",IF(Registro_Compras!$F$361="RHE","Honorarios Profesionales - Servicios de Terceros","Gastos de Servicios Prestados por Terceros")))</f>
        <v/>
      </c>
      <c r="E3218" s="20" t="str">
        <f>IF($C3218="","",IF(Registro_Compras!$F$361="NOTA DE CREDITO",ABS(Registro_Compras!$O$361),IF(Registro_Compras!$F$361="RHE",ROUND(Registro_Compras!$L$361*Registro_Compras!$N$361,2),ROUND(Registro_Compras!$J$361*Registro_Compras!$N$361,2))))</f>
        <v/>
      </c>
      <c r="F3218" s="20" t="str">
        <f>""</f>
        <v/>
      </c>
      <c r="G3218" t="str">
        <f>IF($C3218="","",IF(Registro_Compras!$F$361="NOTA DE CREDITO","Por la nota de credito "&amp;Registro_Compras!$C$361&amp;" de "&amp;Registro_Compras!$E$361&amp;" [PATRON POR CONFIRMAR CON CONTADOR]",IF(Registro_Compras!$F$361="RHE","Por el registro del recibo por honorarios "&amp;Registro_Compras!$C$361&amp;" de "&amp;Registro_Compras!$E$361&amp;" [PATRON POR CONFIRMAR CON CONTADOR]","Por el registro de la factura "&amp;Registro_Compras!$C$361&amp;" de "&amp;Registro_Compras!$E$361)))</f>
        <v/>
      </c>
      <c r="H3218" t="str">
        <f>IF($C3218="","",Registro_Compras!$C$361)</f>
        <v/>
      </c>
    </row>
    <row r="3219" spans="1:8" x14ac:dyDescent="0.25">
      <c r="A3219" s="25" t="str">
        <f>IF($C3219="","",Registro_Compras!$B$361)</f>
        <v/>
      </c>
      <c r="B3219" t="str">
        <f>IF($C3219="","","C"&amp;TEXT(INT((ROW()-5)/9)+1,"000")&amp;"-1")</f>
        <v/>
      </c>
      <c r="C3219" t="str">
        <f>IF(OR(Registro_Compras!$C$361="",Registro_Compras!$O$361=""),"",IF(Registro_Compras!$F$361="RHE",IF(Registro_Compras!$V$361=0,"","4017"),IF(Registro_Compras!$F$361="NOTA DE CREDITO",IF(Registro_Compras!$M$361="","63",Registro_Compras!$M$361),IF(Registro_Compras!$K$361=0,"","40111"))))</f>
        <v/>
      </c>
      <c r="D3219" t="str">
        <f>IF(OR(Registro_Compras!$C$361="",Registro_Compras!$O$361=""),"",IF(Registro_Compras!$F$361="RHE","Retencion Renta 4ta Categoria por Pagar",IF(Registro_Compras!$F$361="NOTA DE CREDITO","Gastos de Servicios Prestados por Terceros","IGV - Cuenta Propia (Credito Fiscal)")))</f>
        <v/>
      </c>
      <c r="E3219" s="20" t="str">
        <f>IF($C3219="","",IF(Registro_Compras!$F$361="FACTURA",ROUND(Registro_Compras!$K$361*Registro_Compras!$N$361,2),""))</f>
        <v/>
      </c>
      <c r="F3219" s="20" t="str">
        <f>IF($C3219="","",IF(Registro_Compras!$F$361="RHE",ROUND(Registro_Compras!$V$361*Registro_Compras!$N$361,2),IF(Registro_Compras!$F$361="NOTA DE CREDITO",ROUND(ABS(Registro_Compras!$J$361*Registro_Compras!$N$361),2),"")))</f>
        <v/>
      </c>
      <c r="G3219" t="str">
        <f>IF($C3219="","",IF(Registro_Compras!$F$361="NOTA DE CREDITO","Por la nota de credito "&amp;Registro_Compras!$C$361&amp;" de "&amp;Registro_Compras!$E$361&amp;" [PATRON POR CONFIRMAR CON CONTADOR]",IF(Registro_Compras!$F$361="RHE","Por el registro del recibo por honorarios "&amp;Registro_Compras!$C$361&amp;" de "&amp;Registro_Compras!$E$361&amp;" [PATRON POR CONFIRMAR CON CONTADOR]","Por el registro de la factura "&amp;Registro_Compras!$C$361&amp;" de "&amp;Registro_Compras!$E$361)))</f>
        <v/>
      </c>
      <c r="H3219" t="str">
        <f>IF($C3219="","",Registro_Compras!$C$361)</f>
        <v/>
      </c>
    </row>
    <row r="3220" spans="1:8" x14ac:dyDescent="0.25">
      <c r="A3220" s="25" t="str">
        <f>IF($C3220="","",Registro_Compras!$B$361)</f>
        <v/>
      </c>
      <c r="B3220" t="str">
        <f>IF($C3220="","","C"&amp;TEXT(INT((ROW()-5)/9)+1,"000")&amp;"-1")</f>
        <v/>
      </c>
      <c r="C3220" t="str">
        <f>IF(OR(Registro_Compras!$C$361="",Registro_Compras!$O$361=""),"",IF(Registro_Compras!$F$361="NOTA DE CREDITO",IF(Registro_Compras!$K$361=0,"","40111"),"4212"))</f>
        <v/>
      </c>
      <c r="D3220" t="str">
        <f>IF(OR(Registro_Compras!$C$361="",Registro_Compras!$O$361=""),"",IF(Registro_Compras!$F$361="NOTA DE CREDITO","IGV - Cuenta Propia (Credito Fiscal)","Cuentas por Pagar Comerciales - Terceros (Emitidas)"))</f>
        <v/>
      </c>
      <c r="E3220" s="20" t="str">
        <f>""</f>
        <v/>
      </c>
      <c r="F3220" s="20" t="str">
        <f>IF($C3220="","",IF(Registro_Compras!$F$361="NOTA DE CREDITO",ROUND(ABS(Registro_Compras!$K$361*Registro_Compras!$N$361),2),IF(Registro_Compras!$F$361="RHE",(ROUND(Registro_Compras!$L$361*Registro_Compras!$N$361,2)-ROUND(Registro_Compras!$V$361*Registro_Compras!$N$361,2)),Registro_Compras!$O$361)))</f>
        <v/>
      </c>
      <c r="G3220" t="str">
        <f>IF($C3220="","",IF(Registro_Compras!$F$361="NOTA DE CREDITO","Por la nota de credito "&amp;Registro_Compras!$C$361&amp;" de "&amp;Registro_Compras!$E$361&amp;" [PATRON POR CONFIRMAR CON CONTADOR]",IF(Registro_Compras!$F$361="RHE","Por el registro del recibo por honorarios "&amp;Registro_Compras!$C$361&amp;" de "&amp;Registro_Compras!$E$361&amp;" [PATRON POR CONFIRMAR CON CONTADOR]","Por el registro de la factura "&amp;Registro_Compras!$C$361&amp;" de "&amp;Registro_Compras!$E$361)))</f>
        <v/>
      </c>
      <c r="H3220" t="str">
        <f>IF($C3220="","",Registro_Compras!$C$361)</f>
        <v/>
      </c>
    </row>
    <row r="3221" spans="1:8" x14ac:dyDescent="0.25">
      <c r="A3221" s="25" t="str">
        <f>IF($C3221="","",Registro_Compras!$B$361)</f>
        <v/>
      </c>
      <c r="B3221" t="str">
        <f>IF($C3221="","","C"&amp;TEXT(INT((ROW()-5)/9)+1,"000")&amp;"-2")</f>
        <v/>
      </c>
      <c r="C3221" t="str">
        <f>IF(OR(Registro_Compras!$C$361="",Registro_Compras!$O$361=""),"",IF(Registro_Compras!$AB$361="ADMINISTRATIVO","94","95"))</f>
        <v/>
      </c>
      <c r="D3221" t="str">
        <f>IF(OR(Registro_Compras!$C$361="",Registro_Compras!$O$361=""),"",IF(Registro_Compras!$AB$361="ADMINISTRATIVO","Gastos Administrativos","Gastos de Venta y Operacion"))</f>
        <v/>
      </c>
      <c r="E3221" s="20" t="str">
        <f>IF($C3221="","",IF(Registro_Compras!$F$361="NOTA DE CREDITO","",IF(Registro_Compras!$F$361="RHE",ROUND(Registro_Compras!$L$361*Registro_Compras!$N$361,2),ROUND(Registro_Compras!$J$361*Registro_Compras!$N$361,2))))</f>
        <v/>
      </c>
      <c r="F3221" s="20" t="str">
        <f>IF($C3221="","",IF(Registro_Compras!$F$361="NOTA DE CREDITO",ROUND(ABS(Registro_Compras!$J$361*Registro_Compras!$N$361),2),""))</f>
        <v/>
      </c>
      <c r="G3221" t="str">
        <f>IF($C3221="","","Por el destino del gasto")</f>
        <v/>
      </c>
      <c r="H3221" t="str">
        <f>IF($C3221="","",Registro_Compras!$C$361)</f>
        <v/>
      </c>
    </row>
    <row r="3222" spans="1:8" x14ac:dyDescent="0.25">
      <c r="A3222" s="25" t="str">
        <f>IF($C3222="","",Registro_Compras!$B$361)</f>
        <v/>
      </c>
      <c r="B3222" t="str">
        <f>IF($C3222="","","C"&amp;TEXT(INT((ROW()-5)/9)+1,"000")&amp;"-2")</f>
        <v/>
      </c>
      <c r="C3222" t="str">
        <f>IF(OR(Registro_Compras!$C$361="",Registro_Compras!$O$361=""),"","79/791")</f>
        <v/>
      </c>
      <c r="D3222" t="str">
        <f>IF(OR(Registro_Compras!$C$361="",Registro_Compras!$O$361=""),"","Cargas Imputables a Cuentas de Costos y Gastos")</f>
        <v/>
      </c>
      <c r="E3222" s="20" t="str">
        <f>IF($C3222="","",IF(Registro_Compras!$F$361="NOTA DE CREDITO",ROUND(ABS(Registro_Compras!$J$361*Registro_Compras!$N$361),2),""))</f>
        <v/>
      </c>
      <c r="F3222" s="20" t="str">
        <f>IF($C3222="","",IF(Registro_Compras!$F$361="NOTA DE CREDITO","",IF(Registro_Compras!$F$361="RHE",ROUND(Registro_Compras!$L$361*Registro_Compras!$N$361,2),ROUND(Registro_Compras!$J$361*Registro_Compras!$N$361,2))))</f>
        <v/>
      </c>
      <c r="G3222" t="str">
        <f>IF($C3222="","","Por el destino del gasto")</f>
        <v/>
      </c>
      <c r="H3222" t="str">
        <f>IF($C3222="","",Registro_Compras!$C$361)</f>
        <v/>
      </c>
    </row>
    <row r="3223" spans="1:8" x14ac:dyDescent="0.25">
      <c r="A3223" s="25" t="str">
        <f>IF($C3223="","",Registro_Compras!$X$361)</f>
        <v/>
      </c>
      <c r="B3223" t="str">
        <f>IF($C3223="","","C"&amp;TEXT(INT((ROW()-5)/9)+1,"000")&amp;"-3")</f>
        <v/>
      </c>
      <c r="C3223" t="str">
        <f>IF(OR(Registro_Compras!$C$361="",Registro_Compras!$O$361="",Registro_Compras!$R$361&lt;&gt;"SI",Registro_Compras!$X$361=""),"","4212")</f>
        <v/>
      </c>
      <c r="D3223" t="str">
        <f>IF(OR(Registro_Compras!$C$361="",Registro_Compras!$O$361=""),"","Cuentas por Pagar Comerciales - Terceros")</f>
        <v/>
      </c>
      <c r="E3223" s="20" t="str">
        <f>IF($C3223="","",Registro_Compras!$S$361)</f>
        <v/>
      </c>
      <c r="F3223" s="20" t="str">
        <f>""</f>
        <v/>
      </c>
      <c r="G3223" t="str">
        <f>IF($C3223="","","Por el deposito de la detraccion en el Banco de la Nacion")</f>
        <v/>
      </c>
      <c r="H3223" t="str">
        <f>IF($C3223="","",Registro_Compras!$C$361)</f>
        <v/>
      </c>
    </row>
    <row r="3224" spans="1:8" x14ac:dyDescent="0.25">
      <c r="A3224" s="25" t="str">
        <f>IF($C3224="","",Registro_Compras!$X$361)</f>
        <v/>
      </c>
      <c r="B3224" t="str">
        <f>IF($C3224="","","C"&amp;TEXT(INT((ROW()-5)/9)+1,"000")&amp;"-3")</f>
        <v/>
      </c>
      <c r="C3224" t="str">
        <f>IF(OR(Registro_Compras!$C$361="",Registro_Compras!$O$361="",Registro_Compras!$R$361&lt;&gt;"SI",Registro_Compras!$X$361=""),"","1041")</f>
        <v/>
      </c>
      <c r="D3224" t="str">
        <f>IF(OR(Registro_Compras!$C$361="",Registro_Compras!$O$361=""),"","Efectivo y Equivalentes - Cta. Cte. Operativa")</f>
        <v/>
      </c>
      <c r="E3224" s="20" t="str">
        <f>""</f>
        <v/>
      </c>
      <c r="F3224" s="20" t="str">
        <f>IF($C3224="","",Registro_Compras!$S$361)</f>
        <v/>
      </c>
      <c r="G3224" t="str">
        <f>IF($C3224="","","Por el deposito de la detraccion en el Banco de la Nacion")</f>
        <v/>
      </c>
      <c r="H3224" t="str">
        <f>IF($C3224="","",Registro_Compras!$C$361)</f>
        <v/>
      </c>
    </row>
    <row r="3225" spans="1:8" x14ac:dyDescent="0.25">
      <c r="A3225" s="25" t="str">
        <f>IF($C3225="","",Registro_Compras!$Y$361)</f>
        <v/>
      </c>
      <c r="B3225" t="str">
        <f>IF($C3225="","","C"&amp;TEXT(INT((ROW()-5)/9)+1,"000")&amp;"-4")</f>
        <v/>
      </c>
      <c r="C3225" t="str">
        <f>IF(OR(Registro_Compras!$C$361="",Registro_Compras!$O$361="",Registro_Compras!$Y$361="",Registro_Compras!$F$361="NOTA DE CREDITO"),"","4212")</f>
        <v/>
      </c>
      <c r="D3225" t="str">
        <f>IF(OR(Registro_Compras!$C$361="",Registro_Compras!$O$361=""),"","Cuentas por Pagar Comerciales - Terceros")</f>
        <v/>
      </c>
      <c r="E3225" s="20" t="str">
        <f>IF($C3225="","",IF(Registro_Compras!$F$361="RHE",(ROUND(Registro_Compras!$L$361*Registro_Compras!$N$361,2)-ROUND(Registro_Compras!$V$361*Registro_Compras!$N$361,2)),ROUND(Registro_Compras!$O$361-Registro_Compras!$S$361,2)))</f>
        <v/>
      </c>
      <c r="F3225" s="20" t="str">
        <f>""</f>
        <v/>
      </c>
      <c r="G3225" t="str">
        <f>IF($C3225="","","Por la cancelacion del saldo al proveedor")</f>
        <v/>
      </c>
      <c r="H3225" t="str">
        <f>IF($C3225="","",Registro_Compras!$C$361)</f>
        <v/>
      </c>
    </row>
    <row r="3226" spans="1:8" x14ac:dyDescent="0.25">
      <c r="A3226" s="25" t="str">
        <f>IF($C3226="","",Registro_Compras!$Y$361)</f>
        <v/>
      </c>
      <c r="B3226" t="str">
        <f>IF($C3226="","","C"&amp;TEXT(INT((ROW()-5)/9)+1,"000")&amp;"-4")</f>
        <v/>
      </c>
      <c r="C3226" t="str">
        <f>IF(OR(Registro_Compras!$C$361="",Registro_Compras!$O$361="",Registro_Compras!$Y$361="",Registro_Compras!$F$361="NOTA DE CREDITO"),"","1041")</f>
        <v/>
      </c>
      <c r="D3226" t="str">
        <f>IF(OR(Registro_Compras!$C$361="",Registro_Compras!$O$361=""),"","Efectivo y Equivalentes - Cta. Cte. Operativa")</f>
        <v/>
      </c>
      <c r="E3226" s="20" t="str">
        <f>""</f>
        <v/>
      </c>
      <c r="F3226" s="20" t="str">
        <f>IF($C3226="","",IF(Registro_Compras!$F$361="RHE",(ROUND(Registro_Compras!$L$361*Registro_Compras!$N$361,2)-ROUND(Registro_Compras!$V$361*Registro_Compras!$N$361,2)),ROUND(Registro_Compras!$O$361-Registro_Compras!$S$361,2)))</f>
        <v/>
      </c>
      <c r="G3226" t="str">
        <f>IF($C3226="","","Por la cancelacion del saldo al proveedor")</f>
        <v/>
      </c>
      <c r="H3226" t="str">
        <f>IF($C3226="","",Registro_Compras!$C$361)</f>
        <v/>
      </c>
    </row>
    <row r="3227" spans="1:8" x14ac:dyDescent="0.25">
      <c r="A3227" s="25" t="str">
        <f>IF($C3227="","",Registro_Compras!$B$362)</f>
        <v/>
      </c>
      <c r="B3227" t="str">
        <f>IF($C3227="","","C"&amp;TEXT(INT((ROW()-5)/9)+1,"000")&amp;"-1")</f>
        <v/>
      </c>
      <c r="C3227" t="str">
        <f>IF(OR(Registro_Compras!$C$362="",Registro_Compras!$O$362=""),"",IF(Registro_Compras!$F$362="NOTA DE CREDITO","4212",IF(Registro_Compras!$M$362="","63",Registro_Compras!$M$362)))</f>
        <v/>
      </c>
      <c r="D3227" t="str">
        <f>IF(OR(Registro_Compras!$C$362="",Registro_Compras!$O$362=""),"",IF(Registro_Compras!$F$362="NOTA DE CREDITO","Cuentas por Pagar Comerciales - Terceros (Emitidas)",IF(Registro_Compras!$F$362="RHE","Honorarios Profesionales - Servicios de Terceros","Gastos de Servicios Prestados por Terceros")))</f>
        <v/>
      </c>
      <c r="E3227" s="20" t="str">
        <f>IF($C3227="","",IF(Registro_Compras!$F$362="NOTA DE CREDITO",ABS(Registro_Compras!$O$362),IF(Registro_Compras!$F$362="RHE",ROUND(Registro_Compras!$L$362*Registro_Compras!$N$362,2),ROUND(Registro_Compras!$J$362*Registro_Compras!$N$362,2))))</f>
        <v/>
      </c>
      <c r="F3227" s="20" t="str">
        <f>""</f>
        <v/>
      </c>
      <c r="G3227" t="str">
        <f>IF($C3227="","",IF(Registro_Compras!$F$362="NOTA DE CREDITO","Por la nota de credito "&amp;Registro_Compras!$C$362&amp;" de "&amp;Registro_Compras!$E$362&amp;" [PATRON POR CONFIRMAR CON CONTADOR]",IF(Registro_Compras!$F$362="RHE","Por el registro del recibo por honorarios "&amp;Registro_Compras!$C$362&amp;" de "&amp;Registro_Compras!$E$362&amp;" [PATRON POR CONFIRMAR CON CONTADOR]","Por el registro de la factura "&amp;Registro_Compras!$C$362&amp;" de "&amp;Registro_Compras!$E$362)))</f>
        <v/>
      </c>
      <c r="H3227" t="str">
        <f>IF($C3227="","",Registro_Compras!$C$362)</f>
        <v/>
      </c>
    </row>
    <row r="3228" spans="1:8" x14ac:dyDescent="0.25">
      <c r="A3228" s="25" t="str">
        <f>IF($C3228="","",Registro_Compras!$B$362)</f>
        <v/>
      </c>
      <c r="B3228" t="str">
        <f>IF($C3228="","","C"&amp;TEXT(INT((ROW()-5)/9)+1,"000")&amp;"-1")</f>
        <v/>
      </c>
      <c r="C3228" t="str">
        <f>IF(OR(Registro_Compras!$C$362="",Registro_Compras!$O$362=""),"",IF(Registro_Compras!$F$362="RHE",IF(Registro_Compras!$V$362=0,"","4017"),IF(Registro_Compras!$F$362="NOTA DE CREDITO",IF(Registro_Compras!$M$362="","63",Registro_Compras!$M$362),IF(Registro_Compras!$K$362=0,"","40111"))))</f>
        <v/>
      </c>
      <c r="D3228" t="str">
        <f>IF(OR(Registro_Compras!$C$362="",Registro_Compras!$O$362=""),"",IF(Registro_Compras!$F$362="RHE","Retencion Renta 4ta Categoria por Pagar",IF(Registro_Compras!$F$362="NOTA DE CREDITO","Gastos de Servicios Prestados por Terceros","IGV - Cuenta Propia (Credito Fiscal)")))</f>
        <v/>
      </c>
      <c r="E3228" s="20" t="str">
        <f>IF($C3228="","",IF(Registro_Compras!$F$362="FACTURA",ROUND(Registro_Compras!$K$362*Registro_Compras!$N$362,2),""))</f>
        <v/>
      </c>
      <c r="F3228" s="20" t="str">
        <f>IF($C3228="","",IF(Registro_Compras!$F$362="RHE",ROUND(Registro_Compras!$V$362*Registro_Compras!$N$362,2),IF(Registro_Compras!$F$362="NOTA DE CREDITO",ROUND(ABS(Registro_Compras!$J$362*Registro_Compras!$N$362),2),"")))</f>
        <v/>
      </c>
      <c r="G3228" t="str">
        <f>IF($C3228="","",IF(Registro_Compras!$F$362="NOTA DE CREDITO","Por la nota de credito "&amp;Registro_Compras!$C$362&amp;" de "&amp;Registro_Compras!$E$362&amp;" [PATRON POR CONFIRMAR CON CONTADOR]",IF(Registro_Compras!$F$362="RHE","Por el registro del recibo por honorarios "&amp;Registro_Compras!$C$362&amp;" de "&amp;Registro_Compras!$E$362&amp;" [PATRON POR CONFIRMAR CON CONTADOR]","Por el registro de la factura "&amp;Registro_Compras!$C$362&amp;" de "&amp;Registro_Compras!$E$362)))</f>
        <v/>
      </c>
      <c r="H3228" t="str">
        <f>IF($C3228="","",Registro_Compras!$C$362)</f>
        <v/>
      </c>
    </row>
    <row r="3229" spans="1:8" x14ac:dyDescent="0.25">
      <c r="A3229" s="25" t="str">
        <f>IF($C3229="","",Registro_Compras!$B$362)</f>
        <v/>
      </c>
      <c r="B3229" t="str">
        <f>IF($C3229="","","C"&amp;TEXT(INT((ROW()-5)/9)+1,"000")&amp;"-1")</f>
        <v/>
      </c>
      <c r="C3229" t="str">
        <f>IF(OR(Registro_Compras!$C$362="",Registro_Compras!$O$362=""),"",IF(Registro_Compras!$F$362="NOTA DE CREDITO",IF(Registro_Compras!$K$362=0,"","40111"),"4212"))</f>
        <v/>
      </c>
      <c r="D3229" t="str">
        <f>IF(OR(Registro_Compras!$C$362="",Registro_Compras!$O$362=""),"",IF(Registro_Compras!$F$362="NOTA DE CREDITO","IGV - Cuenta Propia (Credito Fiscal)","Cuentas por Pagar Comerciales - Terceros (Emitidas)"))</f>
        <v/>
      </c>
      <c r="E3229" s="20" t="str">
        <f>""</f>
        <v/>
      </c>
      <c r="F3229" s="20" t="str">
        <f>IF($C3229="","",IF(Registro_Compras!$F$362="NOTA DE CREDITO",ROUND(ABS(Registro_Compras!$K$362*Registro_Compras!$N$362),2),IF(Registro_Compras!$F$362="RHE",(ROUND(Registro_Compras!$L$362*Registro_Compras!$N$362,2)-ROUND(Registro_Compras!$V$362*Registro_Compras!$N$362,2)),Registro_Compras!$O$362)))</f>
        <v/>
      </c>
      <c r="G3229" t="str">
        <f>IF($C3229="","",IF(Registro_Compras!$F$362="NOTA DE CREDITO","Por la nota de credito "&amp;Registro_Compras!$C$362&amp;" de "&amp;Registro_Compras!$E$362&amp;" [PATRON POR CONFIRMAR CON CONTADOR]",IF(Registro_Compras!$F$362="RHE","Por el registro del recibo por honorarios "&amp;Registro_Compras!$C$362&amp;" de "&amp;Registro_Compras!$E$362&amp;" [PATRON POR CONFIRMAR CON CONTADOR]","Por el registro de la factura "&amp;Registro_Compras!$C$362&amp;" de "&amp;Registro_Compras!$E$362)))</f>
        <v/>
      </c>
      <c r="H3229" t="str">
        <f>IF($C3229="","",Registro_Compras!$C$362)</f>
        <v/>
      </c>
    </row>
    <row r="3230" spans="1:8" x14ac:dyDescent="0.25">
      <c r="A3230" s="25" t="str">
        <f>IF($C3230="","",Registro_Compras!$B$362)</f>
        <v/>
      </c>
      <c r="B3230" t="str">
        <f>IF($C3230="","","C"&amp;TEXT(INT((ROW()-5)/9)+1,"000")&amp;"-2")</f>
        <v/>
      </c>
      <c r="C3230" t="str">
        <f>IF(OR(Registro_Compras!$C$362="",Registro_Compras!$O$362=""),"",IF(Registro_Compras!$AB$362="ADMINISTRATIVO","94","95"))</f>
        <v/>
      </c>
      <c r="D3230" t="str">
        <f>IF(OR(Registro_Compras!$C$362="",Registro_Compras!$O$362=""),"",IF(Registro_Compras!$AB$362="ADMINISTRATIVO","Gastos Administrativos","Gastos de Venta y Operacion"))</f>
        <v/>
      </c>
      <c r="E3230" s="20" t="str">
        <f>IF($C3230="","",IF(Registro_Compras!$F$362="NOTA DE CREDITO","",IF(Registro_Compras!$F$362="RHE",ROUND(Registro_Compras!$L$362*Registro_Compras!$N$362,2),ROUND(Registro_Compras!$J$362*Registro_Compras!$N$362,2))))</f>
        <v/>
      </c>
      <c r="F3230" s="20" t="str">
        <f>IF($C3230="","",IF(Registro_Compras!$F$362="NOTA DE CREDITO",ROUND(ABS(Registro_Compras!$J$362*Registro_Compras!$N$362),2),""))</f>
        <v/>
      </c>
      <c r="G3230" t="str">
        <f>IF($C3230="","","Por el destino del gasto")</f>
        <v/>
      </c>
      <c r="H3230" t="str">
        <f>IF($C3230="","",Registro_Compras!$C$362)</f>
        <v/>
      </c>
    </row>
    <row r="3231" spans="1:8" x14ac:dyDescent="0.25">
      <c r="A3231" s="25" t="str">
        <f>IF($C3231="","",Registro_Compras!$B$362)</f>
        <v/>
      </c>
      <c r="B3231" t="str">
        <f>IF($C3231="","","C"&amp;TEXT(INT((ROW()-5)/9)+1,"000")&amp;"-2")</f>
        <v/>
      </c>
      <c r="C3231" t="str">
        <f>IF(OR(Registro_Compras!$C$362="",Registro_Compras!$O$362=""),"","79/791")</f>
        <v/>
      </c>
      <c r="D3231" t="str">
        <f>IF(OR(Registro_Compras!$C$362="",Registro_Compras!$O$362=""),"","Cargas Imputables a Cuentas de Costos y Gastos")</f>
        <v/>
      </c>
      <c r="E3231" s="20" t="str">
        <f>IF($C3231="","",IF(Registro_Compras!$F$362="NOTA DE CREDITO",ROUND(ABS(Registro_Compras!$J$362*Registro_Compras!$N$362),2),""))</f>
        <v/>
      </c>
      <c r="F3231" s="20" t="str">
        <f>IF($C3231="","",IF(Registro_Compras!$F$362="NOTA DE CREDITO","",IF(Registro_Compras!$F$362="RHE",ROUND(Registro_Compras!$L$362*Registro_Compras!$N$362,2),ROUND(Registro_Compras!$J$362*Registro_Compras!$N$362,2))))</f>
        <v/>
      </c>
      <c r="G3231" t="str">
        <f>IF($C3231="","","Por el destino del gasto")</f>
        <v/>
      </c>
      <c r="H3231" t="str">
        <f>IF($C3231="","",Registro_Compras!$C$362)</f>
        <v/>
      </c>
    </row>
    <row r="3232" spans="1:8" x14ac:dyDescent="0.25">
      <c r="A3232" s="25" t="str">
        <f>IF($C3232="","",Registro_Compras!$X$362)</f>
        <v/>
      </c>
      <c r="B3232" t="str">
        <f>IF($C3232="","","C"&amp;TEXT(INT((ROW()-5)/9)+1,"000")&amp;"-3")</f>
        <v/>
      </c>
      <c r="C3232" t="str">
        <f>IF(OR(Registro_Compras!$C$362="",Registro_Compras!$O$362="",Registro_Compras!$R$362&lt;&gt;"SI",Registro_Compras!$X$362=""),"","4212")</f>
        <v/>
      </c>
      <c r="D3232" t="str">
        <f>IF(OR(Registro_Compras!$C$362="",Registro_Compras!$O$362=""),"","Cuentas por Pagar Comerciales - Terceros")</f>
        <v/>
      </c>
      <c r="E3232" s="20" t="str">
        <f>IF($C3232="","",Registro_Compras!$S$362)</f>
        <v/>
      </c>
      <c r="F3232" s="20" t="str">
        <f>""</f>
        <v/>
      </c>
      <c r="G3232" t="str">
        <f>IF($C3232="","","Por el deposito de la detraccion en el Banco de la Nacion")</f>
        <v/>
      </c>
      <c r="H3232" t="str">
        <f>IF($C3232="","",Registro_Compras!$C$362)</f>
        <v/>
      </c>
    </row>
    <row r="3233" spans="1:8" x14ac:dyDescent="0.25">
      <c r="A3233" s="25" t="str">
        <f>IF($C3233="","",Registro_Compras!$X$362)</f>
        <v/>
      </c>
      <c r="B3233" t="str">
        <f>IF($C3233="","","C"&amp;TEXT(INT((ROW()-5)/9)+1,"000")&amp;"-3")</f>
        <v/>
      </c>
      <c r="C3233" t="str">
        <f>IF(OR(Registro_Compras!$C$362="",Registro_Compras!$O$362="",Registro_Compras!$R$362&lt;&gt;"SI",Registro_Compras!$X$362=""),"","1041")</f>
        <v/>
      </c>
      <c r="D3233" t="str">
        <f>IF(OR(Registro_Compras!$C$362="",Registro_Compras!$O$362=""),"","Efectivo y Equivalentes - Cta. Cte. Operativa")</f>
        <v/>
      </c>
      <c r="E3233" s="20" t="str">
        <f>""</f>
        <v/>
      </c>
      <c r="F3233" s="20" t="str">
        <f>IF($C3233="","",Registro_Compras!$S$362)</f>
        <v/>
      </c>
      <c r="G3233" t="str">
        <f>IF($C3233="","","Por el deposito de la detraccion en el Banco de la Nacion")</f>
        <v/>
      </c>
      <c r="H3233" t="str">
        <f>IF($C3233="","",Registro_Compras!$C$362)</f>
        <v/>
      </c>
    </row>
    <row r="3234" spans="1:8" x14ac:dyDescent="0.25">
      <c r="A3234" s="25" t="str">
        <f>IF($C3234="","",Registro_Compras!$Y$362)</f>
        <v/>
      </c>
      <c r="B3234" t="str">
        <f>IF($C3234="","","C"&amp;TEXT(INT((ROW()-5)/9)+1,"000")&amp;"-4")</f>
        <v/>
      </c>
      <c r="C3234" t="str">
        <f>IF(OR(Registro_Compras!$C$362="",Registro_Compras!$O$362="",Registro_Compras!$Y$362="",Registro_Compras!$F$362="NOTA DE CREDITO"),"","4212")</f>
        <v/>
      </c>
      <c r="D3234" t="str">
        <f>IF(OR(Registro_Compras!$C$362="",Registro_Compras!$O$362=""),"","Cuentas por Pagar Comerciales - Terceros")</f>
        <v/>
      </c>
      <c r="E3234" s="20" t="str">
        <f>IF($C3234="","",IF(Registro_Compras!$F$362="RHE",(ROUND(Registro_Compras!$L$362*Registro_Compras!$N$362,2)-ROUND(Registro_Compras!$V$362*Registro_Compras!$N$362,2)),ROUND(Registro_Compras!$O$362-Registro_Compras!$S$362,2)))</f>
        <v/>
      </c>
      <c r="F3234" s="20" t="str">
        <f>""</f>
        <v/>
      </c>
      <c r="G3234" t="str">
        <f>IF($C3234="","","Por la cancelacion del saldo al proveedor")</f>
        <v/>
      </c>
      <c r="H3234" t="str">
        <f>IF($C3234="","",Registro_Compras!$C$362)</f>
        <v/>
      </c>
    </row>
    <row r="3235" spans="1:8" x14ac:dyDescent="0.25">
      <c r="A3235" s="25" t="str">
        <f>IF($C3235="","",Registro_Compras!$Y$362)</f>
        <v/>
      </c>
      <c r="B3235" t="str">
        <f>IF($C3235="","","C"&amp;TEXT(INT((ROW()-5)/9)+1,"000")&amp;"-4")</f>
        <v/>
      </c>
      <c r="C3235" t="str">
        <f>IF(OR(Registro_Compras!$C$362="",Registro_Compras!$O$362="",Registro_Compras!$Y$362="",Registro_Compras!$F$362="NOTA DE CREDITO"),"","1041")</f>
        <v/>
      </c>
      <c r="D3235" t="str">
        <f>IF(OR(Registro_Compras!$C$362="",Registro_Compras!$O$362=""),"","Efectivo y Equivalentes - Cta. Cte. Operativa")</f>
        <v/>
      </c>
      <c r="E3235" s="20" t="str">
        <f>""</f>
        <v/>
      </c>
      <c r="F3235" s="20" t="str">
        <f>IF($C3235="","",IF(Registro_Compras!$F$362="RHE",(ROUND(Registro_Compras!$L$362*Registro_Compras!$N$362,2)-ROUND(Registro_Compras!$V$362*Registro_Compras!$N$362,2)),ROUND(Registro_Compras!$O$362-Registro_Compras!$S$362,2)))</f>
        <v/>
      </c>
      <c r="G3235" t="str">
        <f>IF($C3235="","","Por la cancelacion del saldo al proveedor")</f>
        <v/>
      </c>
      <c r="H3235" t="str">
        <f>IF($C3235="","",Registro_Compras!$C$362)</f>
        <v/>
      </c>
    </row>
    <row r="3236" spans="1:8" x14ac:dyDescent="0.25">
      <c r="A3236" s="25" t="str">
        <f>IF($C3236="","",Registro_Compras!$B$363)</f>
        <v/>
      </c>
      <c r="B3236" t="str">
        <f>IF($C3236="","","C"&amp;TEXT(INT((ROW()-5)/9)+1,"000")&amp;"-1")</f>
        <v/>
      </c>
      <c r="C3236" t="str">
        <f>IF(OR(Registro_Compras!$C$363="",Registro_Compras!$O$363=""),"",IF(Registro_Compras!$F$363="NOTA DE CREDITO","4212",IF(Registro_Compras!$M$363="","63",Registro_Compras!$M$363)))</f>
        <v/>
      </c>
      <c r="D3236" t="str">
        <f>IF(OR(Registro_Compras!$C$363="",Registro_Compras!$O$363=""),"",IF(Registro_Compras!$F$363="NOTA DE CREDITO","Cuentas por Pagar Comerciales - Terceros (Emitidas)",IF(Registro_Compras!$F$363="RHE","Honorarios Profesionales - Servicios de Terceros","Gastos de Servicios Prestados por Terceros")))</f>
        <v/>
      </c>
      <c r="E3236" s="20" t="str">
        <f>IF($C3236="","",IF(Registro_Compras!$F$363="NOTA DE CREDITO",ABS(Registro_Compras!$O$363),IF(Registro_Compras!$F$363="RHE",ROUND(Registro_Compras!$L$363*Registro_Compras!$N$363,2),ROUND(Registro_Compras!$J$363*Registro_Compras!$N$363,2))))</f>
        <v/>
      </c>
      <c r="F3236" s="20" t="str">
        <f>""</f>
        <v/>
      </c>
      <c r="G3236" t="str">
        <f>IF($C3236="","",IF(Registro_Compras!$F$363="NOTA DE CREDITO","Por la nota de credito "&amp;Registro_Compras!$C$363&amp;" de "&amp;Registro_Compras!$E$363&amp;" [PATRON POR CONFIRMAR CON CONTADOR]",IF(Registro_Compras!$F$363="RHE","Por el registro del recibo por honorarios "&amp;Registro_Compras!$C$363&amp;" de "&amp;Registro_Compras!$E$363&amp;" [PATRON POR CONFIRMAR CON CONTADOR]","Por el registro de la factura "&amp;Registro_Compras!$C$363&amp;" de "&amp;Registro_Compras!$E$363)))</f>
        <v/>
      </c>
      <c r="H3236" t="str">
        <f>IF($C3236="","",Registro_Compras!$C$363)</f>
        <v/>
      </c>
    </row>
    <row r="3237" spans="1:8" x14ac:dyDescent="0.25">
      <c r="A3237" s="25" t="str">
        <f>IF($C3237="","",Registro_Compras!$B$363)</f>
        <v/>
      </c>
      <c r="B3237" t="str">
        <f>IF($C3237="","","C"&amp;TEXT(INT((ROW()-5)/9)+1,"000")&amp;"-1")</f>
        <v/>
      </c>
      <c r="C3237" t="str">
        <f>IF(OR(Registro_Compras!$C$363="",Registro_Compras!$O$363=""),"",IF(Registro_Compras!$F$363="RHE",IF(Registro_Compras!$V$363=0,"","4017"),IF(Registro_Compras!$F$363="NOTA DE CREDITO",IF(Registro_Compras!$M$363="","63",Registro_Compras!$M$363),IF(Registro_Compras!$K$363=0,"","40111"))))</f>
        <v/>
      </c>
      <c r="D3237" t="str">
        <f>IF(OR(Registro_Compras!$C$363="",Registro_Compras!$O$363=""),"",IF(Registro_Compras!$F$363="RHE","Retencion Renta 4ta Categoria por Pagar",IF(Registro_Compras!$F$363="NOTA DE CREDITO","Gastos de Servicios Prestados por Terceros","IGV - Cuenta Propia (Credito Fiscal)")))</f>
        <v/>
      </c>
      <c r="E3237" s="20" t="str">
        <f>IF($C3237="","",IF(Registro_Compras!$F$363="FACTURA",ROUND(Registro_Compras!$K$363*Registro_Compras!$N$363,2),""))</f>
        <v/>
      </c>
      <c r="F3237" s="20" t="str">
        <f>IF($C3237="","",IF(Registro_Compras!$F$363="RHE",ROUND(Registro_Compras!$V$363*Registro_Compras!$N$363,2),IF(Registro_Compras!$F$363="NOTA DE CREDITO",ROUND(ABS(Registro_Compras!$J$363*Registro_Compras!$N$363),2),"")))</f>
        <v/>
      </c>
      <c r="G3237" t="str">
        <f>IF($C3237="","",IF(Registro_Compras!$F$363="NOTA DE CREDITO","Por la nota de credito "&amp;Registro_Compras!$C$363&amp;" de "&amp;Registro_Compras!$E$363&amp;" [PATRON POR CONFIRMAR CON CONTADOR]",IF(Registro_Compras!$F$363="RHE","Por el registro del recibo por honorarios "&amp;Registro_Compras!$C$363&amp;" de "&amp;Registro_Compras!$E$363&amp;" [PATRON POR CONFIRMAR CON CONTADOR]","Por el registro de la factura "&amp;Registro_Compras!$C$363&amp;" de "&amp;Registro_Compras!$E$363)))</f>
        <v/>
      </c>
      <c r="H3237" t="str">
        <f>IF($C3237="","",Registro_Compras!$C$363)</f>
        <v/>
      </c>
    </row>
    <row r="3238" spans="1:8" x14ac:dyDescent="0.25">
      <c r="A3238" s="25" t="str">
        <f>IF($C3238="","",Registro_Compras!$B$363)</f>
        <v/>
      </c>
      <c r="B3238" t="str">
        <f>IF($C3238="","","C"&amp;TEXT(INT((ROW()-5)/9)+1,"000")&amp;"-1")</f>
        <v/>
      </c>
      <c r="C3238" t="str">
        <f>IF(OR(Registro_Compras!$C$363="",Registro_Compras!$O$363=""),"",IF(Registro_Compras!$F$363="NOTA DE CREDITO",IF(Registro_Compras!$K$363=0,"","40111"),"4212"))</f>
        <v/>
      </c>
      <c r="D3238" t="str">
        <f>IF(OR(Registro_Compras!$C$363="",Registro_Compras!$O$363=""),"",IF(Registro_Compras!$F$363="NOTA DE CREDITO","IGV - Cuenta Propia (Credito Fiscal)","Cuentas por Pagar Comerciales - Terceros (Emitidas)"))</f>
        <v/>
      </c>
      <c r="E3238" s="20" t="str">
        <f>""</f>
        <v/>
      </c>
      <c r="F3238" s="20" t="str">
        <f>IF($C3238="","",IF(Registro_Compras!$F$363="NOTA DE CREDITO",ROUND(ABS(Registro_Compras!$K$363*Registro_Compras!$N$363),2),IF(Registro_Compras!$F$363="RHE",(ROUND(Registro_Compras!$L$363*Registro_Compras!$N$363,2)-ROUND(Registro_Compras!$V$363*Registro_Compras!$N$363,2)),Registro_Compras!$O$363)))</f>
        <v/>
      </c>
      <c r="G3238" t="str">
        <f>IF($C3238="","",IF(Registro_Compras!$F$363="NOTA DE CREDITO","Por la nota de credito "&amp;Registro_Compras!$C$363&amp;" de "&amp;Registro_Compras!$E$363&amp;" [PATRON POR CONFIRMAR CON CONTADOR]",IF(Registro_Compras!$F$363="RHE","Por el registro del recibo por honorarios "&amp;Registro_Compras!$C$363&amp;" de "&amp;Registro_Compras!$E$363&amp;" [PATRON POR CONFIRMAR CON CONTADOR]","Por el registro de la factura "&amp;Registro_Compras!$C$363&amp;" de "&amp;Registro_Compras!$E$363)))</f>
        <v/>
      </c>
      <c r="H3238" t="str">
        <f>IF($C3238="","",Registro_Compras!$C$363)</f>
        <v/>
      </c>
    </row>
    <row r="3239" spans="1:8" x14ac:dyDescent="0.25">
      <c r="A3239" s="25" t="str">
        <f>IF($C3239="","",Registro_Compras!$B$363)</f>
        <v/>
      </c>
      <c r="B3239" t="str">
        <f>IF($C3239="","","C"&amp;TEXT(INT((ROW()-5)/9)+1,"000")&amp;"-2")</f>
        <v/>
      </c>
      <c r="C3239" t="str">
        <f>IF(OR(Registro_Compras!$C$363="",Registro_Compras!$O$363=""),"",IF(Registro_Compras!$AB$363="ADMINISTRATIVO","94","95"))</f>
        <v/>
      </c>
      <c r="D3239" t="str">
        <f>IF(OR(Registro_Compras!$C$363="",Registro_Compras!$O$363=""),"",IF(Registro_Compras!$AB$363="ADMINISTRATIVO","Gastos Administrativos","Gastos de Venta y Operacion"))</f>
        <v/>
      </c>
      <c r="E3239" s="20" t="str">
        <f>IF($C3239="","",IF(Registro_Compras!$F$363="NOTA DE CREDITO","",IF(Registro_Compras!$F$363="RHE",ROUND(Registro_Compras!$L$363*Registro_Compras!$N$363,2),ROUND(Registro_Compras!$J$363*Registro_Compras!$N$363,2))))</f>
        <v/>
      </c>
      <c r="F3239" s="20" t="str">
        <f>IF($C3239="","",IF(Registro_Compras!$F$363="NOTA DE CREDITO",ROUND(ABS(Registro_Compras!$J$363*Registro_Compras!$N$363),2),""))</f>
        <v/>
      </c>
      <c r="G3239" t="str">
        <f>IF($C3239="","","Por el destino del gasto")</f>
        <v/>
      </c>
      <c r="H3239" t="str">
        <f>IF($C3239="","",Registro_Compras!$C$363)</f>
        <v/>
      </c>
    </row>
    <row r="3240" spans="1:8" x14ac:dyDescent="0.25">
      <c r="A3240" s="25" t="str">
        <f>IF($C3240="","",Registro_Compras!$B$363)</f>
        <v/>
      </c>
      <c r="B3240" t="str">
        <f>IF($C3240="","","C"&amp;TEXT(INT((ROW()-5)/9)+1,"000")&amp;"-2")</f>
        <v/>
      </c>
      <c r="C3240" t="str">
        <f>IF(OR(Registro_Compras!$C$363="",Registro_Compras!$O$363=""),"","79/791")</f>
        <v/>
      </c>
      <c r="D3240" t="str">
        <f>IF(OR(Registro_Compras!$C$363="",Registro_Compras!$O$363=""),"","Cargas Imputables a Cuentas de Costos y Gastos")</f>
        <v/>
      </c>
      <c r="E3240" s="20" t="str">
        <f>IF($C3240="","",IF(Registro_Compras!$F$363="NOTA DE CREDITO",ROUND(ABS(Registro_Compras!$J$363*Registro_Compras!$N$363),2),""))</f>
        <v/>
      </c>
      <c r="F3240" s="20" t="str">
        <f>IF($C3240="","",IF(Registro_Compras!$F$363="NOTA DE CREDITO","",IF(Registro_Compras!$F$363="RHE",ROUND(Registro_Compras!$L$363*Registro_Compras!$N$363,2),ROUND(Registro_Compras!$J$363*Registro_Compras!$N$363,2))))</f>
        <v/>
      </c>
      <c r="G3240" t="str">
        <f>IF($C3240="","","Por el destino del gasto")</f>
        <v/>
      </c>
      <c r="H3240" t="str">
        <f>IF($C3240="","",Registro_Compras!$C$363)</f>
        <v/>
      </c>
    </row>
    <row r="3241" spans="1:8" x14ac:dyDescent="0.25">
      <c r="A3241" s="25" t="str">
        <f>IF($C3241="","",Registro_Compras!$X$363)</f>
        <v/>
      </c>
      <c r="B3241" t="str">
        <f>IF($C3241="","","C"&amp;TEXT(INT((ROW()-5)/9)+1,"000")&amp;"-3")</f>
        <v/>
      </c>
      <c r="C3241" t="str">
        <f>IF(OR(Registro_Compras!$C$363="",Registro_Compras!$O$363="",Registro_Compras!$R$363&lt;&gt;"SI",Registro_Compras!$X$363=""),"","4212")</f>
        <v/>
      </c>
      <c r="D3241" t="str">
        <f>IF(OR(Registro_Compras!$C$363="",Registro_Compras!$O$363=""),"","Cuentas por Pagar Comerciales - Terceros")</f>
        <v/>
      </c>
      <c r="E3241" s="20" t="str">
        <f>IF($C3241="","",Registro_Compras!$S$363)</f>
        <v/>
      </c>
      <c r="F3241" s="20" t="str">
        <f>""</f>
        <v/>
      </c>
      <c r="G3241" t="str">
        <f>IF($C3241="","","Por el deposito de la detraccion en el Banco de la Nacion")</f>
        <v/>
      </c>
      <c r="H3241" t="str">
        <f>IF($C3241="","",Registro_Compras!$C$363)</f>
        <v/>
      </c>
    </row>
    <row r="3242" spans="1:8" x14ac:dyDescent="0.25">
      <c r="A3242" s="25" t="str">
        <f>IF($C3242="","",Registro_Compras!$X$363)</f>
        <v/>
      </c>
      <c r="B3242" t="str">
        <f>IF($C3242="","","C"&amp;TEXT(INT((ROW()-5)/9)+1,"000")&amp;"-3")</f>
        <v/>
      </c>
      <c r="C3242" t="str">
        <f>IF(OR(Registro_Compras!$C$363="",Registro_Compras!$O$363="",Registro_Compras!$R$363&lt;&gt;"SI",Registro_Compras!$X$363=""),"","1041")</f>
        <v/>
      </c>
      <c r="D3242" t="str">
        <f>IF(OR(Registro_Compras!$C$363="",Registro_Compras!$O$363=""),"","Efectivo y Equivalentes - Cta. Cte. Operativa")</f>
        <v/>
      </c>
      <c r="E3242" s="20" t="str">
        <f>""</f>
        <v/>
      </c>
      <c r="F3242" s="20" t="str">
        <f>IF($C3242="","",Registro_Compras!$S$363)</f>
        <v/>
      </c>
      <c r="G3242" t="str">
        <f>IF($C3242="","","Por el deposito de la detraccion en el Banco de la Nacion")</f>
        <v/>
      </c>
      <c r="H3242" t="str">
        <f>IF($C3242="","",Registro_Compras!$C$363)</f>
        <v/>
      </c>
    </row>
    <row r="3243" spans="1:8" x14ac:dyDescent="0.25">
      <c r="A3243" s="25" t="str">
        <f>IF($C3243="","",Registro_Compras!$Y$363)</f>
        <v/>
      </c>
      <c r="B3243" t="str">
        <f>IF($C3243="","","C"&amp;TEXT(INT((ROW()-5)/9)+1,"000")&amp;"-4")</f>
        <v/>
      </c>
      <c r="C3243" t="str">
        <f>IF(OR(Registro_Compras!$C$363="",Registro_Compras!$O$363="",Registro_Compras!$Y$363="",Registro_Compras!$F$363="NOTA DE CREDITO"),"","4212")</f>
        <v/>
      </c>
      <c r="D3243" t="str">
        <f>IF(OR(Registro_Compras!$C$363="",Registro_Compras!$O$363=""),"","Cuentas por Pagar Comerciales - Terceros")</f>
        <v/>
      </c>
      <c r="E3243" s="20" t="str">
        <f>IF($C3243="","",IF(Registro_Compras!$F$363="RHE",(ROUND(Registro_Compras!$L$363*Registro_Compras!$N$363,2)-ROUND(Registro_Compras!$V$363*Registro_Compras!$N$363,2)),ROUND(Registro_Compras!$O$363-Registro_Compras!$S$363,2)))</f>
        <v/>
      </c>
      <c r="F3243" s="20" t="str">
        <f>""</f>
        <v/>
      </c>
      <c r="G3243" t="str">
        <f>IF($C3243="","","Por la cancelacion del saldo al proveedor")</f>
        <v/>
      </c>
      <c r="H3243" t="str">
        <f>IF($C3243="","",Registro_Compras!$C$363)</f>
        <v/>
      </c>
    </row>
    <row r="3244" spans="1:8" x14ac:dyDescent="0.25">
      <c r="A3244" s="25" t="str">
        <f>IF($C3244="","",Registro_Compras!$Y$363)</f>
        <v/>
      </c>
      <c r="B3244" t="str">
        <f>IF($C3244="","","C"&amp;TEXT(INT((ROW()-5)/9)+1,"000")&amp;"-4")</f>
        <v/>
      </c>
      <c r="C3244" t="str">
        <f>IF(OR(Registro_Compras!$C$363="",Registro_Compras!$O$363="",Registro_Compras!$Y$363="",Registro_Compras!$F$363="NOTA DE CREDITO"),"","1041")</f>
        <v/>
      </c>
      <c r="D3244" t="str">
        <f>IF(OR(Registro_Compras!$C$363="",Registro_Compras!$O$363=""),"","Efectivo y Equivalentes - Cta. Cte. Operativa")</f>
        <v/>
      </c>
      <c r="E3244" s="20" t="str">
        <f>""</f>
        <v/>
      </c>
      <c r="F3244" s="20" t="str">
        <f>IF($C3244="","",IF(Registro_Compras!$F$363="RHE",(ROUND(Registro_Compras!$L$363*Registro_Compras!$N$363,2)-ROUND(Registro_Compras!$V$363*Registro_Compras!$N$363,2)),ROUND(Registro_Compras!$O$363-Registro_Compras!$S$363,2)))</f>
        <v/>
      </c>
      <c r="G3244" t="str">
        <f>IF($C3244="","","Por la cancelacion del saldo al proveedor")</f>
        <v/>
      </c>
      <c r="H3244" t="str">
        <f>IF($C3244="","",Registro_Compras!$C$363)</f>
        <v/>
      </c>
    </row>
    <row r="3245" spans="1:8" x14ac:dyDescent="0.25">
      <c r="A3245" s="25" t="str">
        <f>IF($C3245="","",Registro_Compras!$B$364)</f>
        <v/>
      </c>
      <c r="B3245" t="str">
        <f>IF($C3245="","","C"&amp;TEXT(INT((ROW()-5)/9)+1,"000")&amp;"-1")</f>
        <v/>
      </c>
      <c r="C3245" t="str">
        <f>IF(OR(Registro_Compras!$C$364="",Registro_Compras!$O$364=""),"",IF(Registro_Compras!$F$364="NOTA DE CREDITO","4212",IF(Registro_Compras!$M$364="","63",Registro_Compras!$M$364)))</f>
        <v/>
      </c>
      <c r="D3245" t="str">
        <f>IF(OR(Registro_Compras!$C$364="",Registro_Compras!$O$364=""),"",IF(Registro_Compras!$F$364="NOTA DE CREDITO","Cuentas por Pagar Comerciales - Terceros (Emitidas)",IF(Registro_Compras!$F$364="RHE","Honorarios Profesionales - Servicios de Terceros","Gastos de Servicios Prestados por Terceros")))</f>
        <v/>
      </c>
      <c r="E3245" s="20" t="str">
        <f>IF($C3245="","",IF(Registro_Compras!$F$364="NOTA DE CREDITO",ABS(Registro_Compras!$O$364),IF(Registro_Compras!$F$364="RHE",ROUND(Registro_Compras!$L$364*Registro_Compras!$N$364,2),ROUND(Registro_Compras!$J$364*Registro_Compras!$N$364,2))))</f>
        <v/>
      </c>
      <c r="F3245" s="20" t="str">
        <f>""</f>
        <v/>
      </c>
      <c r="G3245" t="str">
        <f>IF($C3245="","",IF(Registro_Compras!$F$364="NOTA DE CREDITO","Por la nota de credito "&amp;Registro_Compras!$C$364&amp;" de "&amp;Registro_Compras!$E$364&amp;" [PATRON POR CONFIRMAR CON CONTADOR]",IF(Registro_Compras!$F$364="RHE","Por el registro del recibo por honorarios "&amp;Registro_Compras!$C$364&amp;" de "&amp;Registro_Compras!$E$364&amp;" [PATRON POR CONFIRMAR CON CONTADOR]","Por el registro de la factura "&amp;Registro_Compras!$C$364&amp;" de "&amp;Registro_Compras!$E$364)))</f>
        <v/>
      </c>
      <c r="H3245" t="str">
        <f>IF($C3245="","",Registro_Compras!$C$364)</f>
        <v/>
      </c>
    </row>
    <row r="3246" spans="1:8" x14ac:dyDescent="0.25">
      <c r="A3246" s="25" t="str">
        <f>IF($C3246="","",Registro_Compras!$B$364)</f>
        <v/>
      </c>
      <c r="B3246" t="str">
        <f>IF($C3246="","","C"&amp;TEXT(INT((ROW()-5)/9)+1,"000")&amp;"-1")</f>
        <v/>
      </c>
      <c r="C3246" t="str">
        <f>IF(OR(Registro_Compras!$C$364="",Registro_Compras!$O$364=""),"",IF(Registro_Compras!$F$364="RHE",IF(Registro_Compras!$V$364=0,"","4017"),IF(Registro_Compras!$F$364="NOTA DE CREDITO",IF(Registro_Compras!$M$364="","63",Registro_Compras!$M$364),IF(Registro_Compras!$K$364=0,"","40111"))))</f>
        <v/>
      </c>
      <c r="D3246" t="str">
        <f>IF(OR(Registro_Compras!$C$364="",Registro_Compras!$O$364=""),"",IF(Registro_Compras!$F$364="RHE","Retencion Renta 4ta Categoria por Pagar",IF(Registro_Compras!$F$364="NOTA DE CREDITO","Gastos de Servicios Prestados por Terceros","IGV - Cuenta Propia (Credito Fiscal)")))</f>
        <v/>
      </c>
      <c r="E3246" s="20" t="str">
        <f>IF($C3246="","",IF(Registro_Compras!$F$364="FACTURA",ROUND(Registro_Compras!$K$364*Registro_Compras!$N$364,2),""))</f>
        <v/>
      </c>
      <c r="F3246" s="20" t="str">
        <f>IF($C3246="","",IF(Registro_Compras!$F$364="RHE",ROUND(Registro_Compras!$V$364*Registro_Compras!$N$364,2),IF(Registro_Compras!$F$364="NOTA DE CREDITO",ROUND(ABS(Registro_Compras!$J$364*Registro_Compras!$N$364),2),"")))</f>
        <v/>
      </c>
      <c r="G3246" t="str">
        <f>IF($C3246="","",IF(Registro_Compras!$F$364="NOTA DE CREDITO","Por la nota de credito "&amp;Registro_Compras!$C$364&amp;" de "&amp;Registro_Compras!$E$364&amp;" [PATRON POR CONFIRMAR CON CONTADOR]",IF(Registro_Compras!$F$364="RHE","Por el registro del recibo por honorarios "&amp;Registro_Compras!$C$364&amp;" de "&amp;Registro_Compras!$E$364&amp;" [PATRON POR CONFIRMAR CON CONTADOR]","Por el registro de la factura "&amp;Registro_Compras!$C$364&amp;" de "&amp;Registro_Compras!$E$364)))</f>
        <v/>
      </c>
      <c r="H3246" t="str">
        <f>IF($C3246="","",Registro_Compras!$C$364)</f>
        <v/>
      </c>
    </row>
    <row r="3247" spans="1:8" x14ac:dyDescent="0.25">
      <c r="A3247" s="25" t="str">
        <f>IF($C3247="","",Registro_Compras!$B$364)</f>
        <v/>
      </c>
      <c r="B3247" t="str">
        <f>IF($C3247="","","C"&amp;TEXT(INT((ROW()-5)/9)+1,"000")&amp;"-1")</f>
        <v/>
      </c>
      <c r="C3247" t="str">
        <f>IF(OR(Registro_Compras!$C$364="",Registro_Compras!$O$364=""),"",IF(Registro_Compras!$F$364="NOTA DE CREDITO",IF(Registro_Compras!$K$364=0,"","40111"),"4212"))</f>
        <v/>
      </c>
      <c r="D3247" t="str">
        <f>IF(OR(Registro_Compras!$C$364="",Registro_Compras!$O$364=""),"",IF(Registro_Compras!$F$364="NOTA DE CREDITO","IGV - Cuenta Propia (Credito Fiscal)","Cuentas por Pagar Comerciales - Terceros (Emitidas)"))</f>
        <v/>
      </c>
      <c r="E3247" s="20" t="str">
        <f>""</f>
        <v/>
      </c>
      <c r="F3247" s="20" t="str">
        <f>IF($C3247="","",IF(Registro_Compras!$F$364="NOTA DE CREDITO",ROUND(ABS(Registro_Compras!$K$364*Registro_Compras!$N$364),2),IF(Registro_Compras!$F$364="RHE",(ROUND(Registro_Compras!$L$364*Registro_Compras!$N$364,2)-ROUND(Registro_Compras!$V$364*Registro_Compras!$N$364,2)),Registro_Compras!$O$364)))</f>
        <v/>
      </c>
      <c r="G3247" t="str">
        <f>IF($C3247="","",IF(Registro_Compras!$F$364="NOTA DE CREDITO","Por la nota de credito "&amp;Registro_Compras!$C$364&amp;" de "&amp;Registro_Compras!$E$364&amp;" [PATRON POR CONFIRMAR CON CONTADOR]",IF(Registro_Compras!$F$364="RHE","Por el registro del recibo por honorarios "&amp;Registro_Compras!$C$364&amp;" de "&amp;Registro_Compras!$E$364&amp;" [PATRON POR CONFIRMAR CON CONTADOR]","Por el registro de la factura "&amp;Registro_Compras!$C$364&amp;" de "&amp;Registro_Compras!$E$364)))</f>
        <v/>
      </c>
      <c r="H3247" t="str">
        <f>IF($C3247="","",Registro_Compras!$C$364)</f>
        <v/>
      </c>
    </row>
    <row r="3248" spans="1:8" x14ac:dyDescent="0.25">
      <c r="A3248" s="25" t="str">
        <f>IF($C3248="","",Registro_Compras!$B$364)</f>
        <v/>
      </c>
      <c r="B3248" t="str">
        <f>IF($C3248="","","C"&amp;TEXT(INT((ROW()-5)/9)+1,"000")&amp;"-2")</f>
        <v/>
      </c>
      <c r="C3248" t="str">
        <f>IF(OR(Registro_Compras!$C$364="",Registro_Compras!$O$364=""),"",IF(Registro_Compras!$AB$364="ADMINISTRATIVO","94","95"))</f>
        <v/>
      </c>
      <c r="D3248" t="str">
        <f>IF(OR(Registro_Compras!$C$364="",Registro_Compras!$O$364=""),"",IF(Registro_Compras!$AB$364="ADMINISTRATIVO","Gastos Administrativos","Gastos de Venta y Operacion"))</f>
        <v/>
      </c>
      <c r="E3248" s="20" t="str">
        <f>IF($C3248="","",IF(Registro_Compras!$F$364="NOTA DE CREDITO","",IF(Registro_Compras!$F$364="RHE",ROUND(Registro_Compras!$L$364*Registro_Compras!$N$364,2),ROUND(Registro_Compras!$J$364*Registro_Compras!$N$364,2))))</f>
        <v/>
      </c>
      <c r="F3248" s="20" t="str">
        <f>IF($C3248="","",IF(Registro_Compras!$F$364="NOTA DE CREDITO",ROUND(ABS(Registro_Compras!$J$364*Registro_Compras!$N$364),2),""))</f>
        <v/>
      </c>
      <c r="G3248" t="str">
        <f>IF($C3248="","","Por el destino del gasto")</f>
        <v/>
      </c>
      <c r="H3248" t="str">
        <f>IF($C3248="","",Registro_Compras!$C$364)</f>
        <v/>
      </c>
    </row>
    <row r="3249" spans="1:8" x14ac:dyDescent="0.25">
      <c r="A3249" s="25" t="str">
        <f>IF($C3249="","",Registro_Compras!$B$364)</f>
        <v/>
      </c>
      <c r="B3249" t="str">
        <f>IF($C3249="","","C"&amp;TEXT(INT((ROW()-5)/9)+1,"000")&amp;"-2")</f>
        <v/>
      </c>
      <c r="C3249" t="str">
        <f>IF(OR(Registro_Compras!$C$364="",Registro_Compras!$O$364=""),"","79/791")</f>
        <v/>
      </c>
      <c r="D3249" t="str">
        <f>IF(OR(Registro_Compras!$C$364="",Registro_Compras!$O$364=""),"","Cargas Imputables a Cuentas de Costos y Gastos")</f>
        <v/>
      </c>
      <c r="E3249" s="20" t="str">
        <f>IF($C3249="","",IF(Registro_Compras!$F$364="NOTA DE CREDITO",ROUND(ABS(Registro_Compras!$J$364*Registro_Compras!$N$364),2),""))</f>
        <v/>
      </c>
      <c r="F3249" s="20" t="str">
        <f>IF($C3249="","",IF(Registro_Compras!$F$364="NOTA DE CREDITO","",IF(Registro_Compras!$F$364="RHE",ROUND(Registro_Compras!$L$364*Registro_Compras!$N$364,2),ROUND(Registro_Compras!$J$364*Registro_Compras!$N$364,2))))</f>
        <v/>
      </c>
      <c r="G3249" t="str">
        <f>IF($C3249="","","Por el destino del gasto")</f>
        <v/>
      </c>
      <c r="H3249" t="str">
        <f>IF($C3249="","",Registro_Compras!$C$364)</f>
        <v/>
      </c>
    </row>
    <row r="3250" spans="1:8" x14ac:dyDescent="0.25">
      <c r="A3250" s="25" t="str">
        <f>IF($C3250="","",Registro_Compras!$X$364)</f>
        <v/>
      </c>
      <c r="B3250" t="str">
        <f>IF($C3250="","","C"&amp;TEXT(INT((ROW()-5)/9)+1,"000")&amp;"-3")</f>
        <v/>
      </c>
      <c r="C3250" t="str">
        <f>IF(OR(Registro_Compras!$C$364="",Registro_Compras!$O$364="",Registro_Compras!$R$364&lt;&gt;"SI",Registro_Compras!$X$364=""),"","4212")</f>
        <v/>
      </c>
      <c r="D3250" t="str">
        <f>IF(OR(Registro_Compras!$C$364="",Registro_Compras!$O$364=""),"","Cuentas por Pagar Comerciales - Terceros")</f>
        <v/>
      </c>
      <c r="E3250" s="20" t="str">
        <f>IF($C3250="","",Registro_Compras!$S$364)</f>
        <v/>
      </c>
      <c r="F3250" s="20" t="str">
        <f>""</f>
        <v/>
      </c>
      <c r="G3250" t="str">
        <f>IF($C3250="","","Por el deposito de la detraccion en el Banco de la Nacion")</f>
        <v/>
      </c>
      <c r="H3250" t="str">
        <f>IF($C3250="","",Registro_Compras!$C$364)</f>
        <v/>
      </c>
    </row>
    <row r="3251" spans="1:8" x14ac:dyDescent="0.25">
      <c r="A3251" s="25" t="str">
        <f>IF($C3251="","",Registro_Compras!$X$364)</f>
        <v/>
      </c>
      <c r="B3251" t="str">
        <f>IF($C3251="","","C"&amp;TEXT(INT((ROW()-5)/9)+1,"000")&amp;"-3")</f>
        <v/>
      </c>
      <c r="C3251" t="str">
        <f>IF(OR(Registro_Compras!$C$364="",Registro_Compras!$O$364="",Registro_Compras!$R$364&lt;&gt;"SI",Registro_Compras!$X$364=""),"","1041")</f>
        <v/>
      </c>
      <c r="D3251" t="str">
        <f>IF(OR(Registro_Compras!$C$364="",Registro_Compras!$O$364=""),"","Efectivo y Equivalentes - Cta. Cte. Operativa")</f>
        <v/>
      </c>
      <c r="E3251" s="20" t="str">
        <f>""</f>
        <v/>
      </c>
      <c r="F3251" s="20" t="str">
        <f>IF($C3251="","",Registro_Compras!$S$364)</f>
        <v/>
      </c>
      <c r="G3251" t="str">
        <f>IF($C3251="","","Por el deposito de la detraccion en el Banco de la Nacion")</f>
        <v/>
      </c>
      <c r="H3251" t="str">
        <f>IF($C3251="","",Registro_Compras!$C$364)</f>
        <v/>
      </c>
    </row>
    <row r="3252" spans="1:8" x14ac:dyDescent="0.25">
      <c r="A3252" s="25" t="str">
        <f>IF($C3252="","",Registro_Compras!$Y$364)</f>
        <v/>
      </c>
      <c r="B3252" t="str">
        <f>IF($C3252="","","C"&amp;TEXT(INT((ROW()-5)/9)+1,"000")&amp;"-4")</f>
        <v/>
      </c>
      <c r="C3252" t="str">
        <f>IF(OR(Registro_Compras!$C$364="",Registro_Compras!$O$364="",Registro_Compras!$Y$364="",Registro_Compras!$F$364="NOTA DE CREDITO"),"","4212")</f>
        <v/>
      </c>
      <c r="D3252" t="str">
        <f>IF(OR(Registro_Compras!$C$364="",Registro_Compras!$O$364=""),"","Cuentas por Pagar Comerciales - Terceros")</f>
        <v/>
      </c>
      <c r="E3252" s="20" t="str">
        <f>IF($C3252="","",IF(Registro_Compras!$F$364="RHE",(ROUND(Registro_Compras!$L$364*Registro_Compras!$N$364,2)-ROUND(Registro_Compras!$V$364*Registro_Compras!$N$364,2)),ROUND(Registro_Compras!$O$364-Registro_Compras!$S$364,2)))</f>
        <v/>
      </c>
      <c r="F3252" s="20" t="str">
        <f>""</f>
        <v/>
      </c>
      <c r="G3252" t="str">
        <f>IF($C3252="","","Por la cancelacion del saldo al proveedor")</f>
        <v/>
      </c>
      <c r="H3252" t="str">
        <f>IF($C3252="","",Registro_Compras!$C$364)</f>
        <v/>
      </c>
    </row>
    <row r="3253" spans="1:8" x14ac:dyDescent="0.25">
      <c r="A3253" s="25" t="str">
        <f>IF($C3253="","",Registro_Compras!$Y$364)</f>
        <v/>
      </c>
      <c r="B3253" t="str">
        <f>IF($C3253="","","C"&amp;TEXT(INT((ROW()-5)/9)+1,"000")&amp;"-4")</f>
        <v/>
      </c>
      <c r="C3253" t="str">
        <f>IF(OR(Registro_Compras!$C$364="",Registro_Compras!$O$364="",Registro_Compras!$Y$364="",Registro_Compras!$F$364="NOTA DE CREDITO"),"","1041")</f>
        <v/>
      </c>
      <c r="D3253" t="str">
        <f>IF(OR(Registro_Compras!$C$364="",Registro_Compras!$O$364=""),"","Efectivo y Equivalentes - Cta. Cte. Operativa")</f>
        <v/>
      </c>
      <c r="E3253" s="20" t="str">
        <f>""</f>
        <v/>
      </c>
      <c r="F3253" s="20" t="str">
        <f>IF($C3253="","",IF(Registro_Compras!$F$364="RHE",(ROUND(Registro_Compras!$L$364*Registro_Compras!$N$364,2)-ROUND(Registro_Compras!$V$364*Registro_Compras!$N$364,2)),ROUND(Registro_Compras!$O$364-Registro_Compras!$S$364,2)))</f>
        <v/>
      </c>
      <c r="G3253" t="str">
        <f>IF($C3253="","","Por la cancelacion del saldo al proveedor")</f>
        <v/>
      </c>
      <c r="H3253" t="str">
        <f>IF($C3253="","",Registro_Compras!$C$364)</f>
        <v/>
      </c>
    </row>
    <row r="3254" spans="1:8" x14ac:dyDescent="0.25">
      <c r="A3254" s="25" t="str">
        <f>IF($C3254="","",Registro_Compras!$B$365)</f>
        <v/>
      </c>
      <c r="B3254" t="str">
        <f>IF($C3254="","","C"&amp;TEXT(INT((ROW()-5)/9)+1,"000")&amp;"-1")</f>
        <v/>
      </c>
      <c r="C3254" t="str">
        <f>IF(OR(Registro_Compras!$C$365="",Registro_Compras!$O$365=""),"",IF(Registro_Compras!$F$365="NOTA DE CREDITO","4212",IF(Registro_Compras!$M$365="","63",Registro_Compras!$M$365)))</f>
        <v/>
      </c>
      <c r="D3254" t="str">
        <f>IF(OR(Registro_Compras!$C$365="",Registro_Compras!$O$365=""),"",IF(Registro_Compras!$F$365="NOTA DE CREDITO","Cuentas por Pagar Comerciales - Terceros (Emitidas)",IF(Registro_Compras!$F$365="RHE","Honorarios Profesionales - Servicios de Terceros","Gastos de Servicios Prestados por Terceros")))</f>
        <v/>
      </c>
      <c r="E3254" s="20" t="str">
        <f>IF($C3254="","",IF(Registro_Compras!$F$365="NOTA DE CREDITO",ABS(Registro_Compras!$O$365),IF(Registro_Compras!$F$365="RHE",ROUND(Registro_Compras!$L$365*Registro_Compras!$N$365,2),ROUND(Registro_Compras!$J$365*Registro_Compras!$N$365,2))))</f>
        <v/>
      </c>
      <c r="F3254" s="20" t="str">
        <f>""</f>
        <v/>
      </c>
      <c r="G3254" t="str">
        <f>IF($C3254="","",IF(Registro_Compras!$F$365="NOTA DE CREDITO","Por la nota de credito "&amp;Registro_Compras!$C$365&amp;" de "&amp;Registro_Compras!$E$365&amp;" [PATRON POR CONFIRMAR CON CONTADOR]",IF(Registro_Compras!$F$365="RHE","Por el registro del recibo por honorarios "&amp;Registro_Compras!$C$365&amp;" de "&amp;Registro_Compras!$E$365&amp;" [PATRON POR CONFIRMAR CON CONTADOR]","Por el registro de la factura "&amp;Registro_Compras!$C$365&amp;" de "&amp;Registro_Compras!$E$365)))</f>
        <v/>
      </c>
      <c r="H3254" t="str">
        <f>IF($C3254="","",Registro_Compras!$C$365)</f>
        <v/>
      </c>
    </row>
    <row r="3255" spans="1:8" x14ac:dyDescent="0.25">
      <c r="A3255" s="25" t="str">
        <f>IF($C3255="","",Registro_Compras!$B$365)</f>
        <v/>
      </c>
      <c r="B3255" t="str">
        <f>IF($C3255="","","C"&amp;TEXT(INT((ROW()-5)/9)+1,"000")&amp;"-1")</f>
        <v/>
      </c>
      <c r="C3255" t="str">
        <f>IF(OR(Registro_Compras!$C$365="",Registro_Compras!$O$365=""),"",IF(Registro_Compras!$F$365="RHE",IF(Registro_Compras!$V$365=0,"","4017"),IF(Registro_Compras!$F$365="NOTA DE CREDITO",IF(Registro_Compras!$M$365="","63",Registro_Compras!$M$365),IF(Registro_Compras!$K$365=0,"","40111"))))</f>
        <v/>
      </c>
      <c r="D3255" t="str">
        <f>IF(OR(Registro_Compras!$C$365="",Registro_Compras!$O$365=""),"",IF(Registro_Compras!$F$365="RHE","Retencion Renta 4ta Categoria por Pagar",IF(Registro_Compras!$F$365="NOTA DE CREDITO","Gastos de Servicios Prestados por Terceros","IGV - Cuenta Propia (Credito Fiscal)")))</f>
        <v/>
      </c>
      <c r="E3255" s="20" t="str">
        <f>IF($C3255="","",IF(Registro_Compras!$F$365="FACTURA",ROUND(Registro_Compras!$K$365*Registro_Compras!$N$365,2),""))</f>
        <v/>
      </c>
      <c r="F3255" s="20" t="str">
        <f>IF($C3255="","",IF(Registro_Compras!$F$365="RHE",ROUND(Registro_Compras!$V$365*Registro_Compras!$N$365,2),IF(Registro_Compras!$F$365="NOTA DE CREDITO",ROUND(ABS(Registro_Compras!$J$365*Registro_Compras!$N$365),2),"")))</f>
        <v/>
      </c>
      <c r="G3255" t="str">
        <f>IF($C3255="","",IF(Registro_Compras!$F$365="NOTA DE CREDITO","Por la nota de credito "&amp;Registro_Compras!$C$365&amp;" de "&amp;Registro_Compras!$E$365&amp;" [PATRON POR CONFIRMAR CON CONTADOR]",IF(Registro_Compras!$F$365="RHE","Por el registro del recibo por honorarios "&amp;Registro_Compras!$C$365&amp;" de "&amp;Registro_Compras!$E$365&amp;" [PATRON POR CONFIRMAR CON CONTADOR]","Por el registro de la factura "&amp;Registro_Compras!$C$365&amp;" de "&amp;Registro_Compras!$E$365)))</f>
        <v/>
      </c>
      <c r="H3255" t="str">
        <f>IF($C3255="","",Registro_Compras!$C$365)</f>
        <v/>
      </c>
    </row>
    <row r="3256" spans="1:8" x14ac:dyDescent="0.25">
      <c r="A3256" s="25" t="str">
        <f>IF($C3256="","",Registro_Compras!$B$365)</f>
        <v/>
      </c>
      <c r="B3256" t="str">
        <f>IF($C3256="","","C"&amp;TEXT(INT((ROW()-5)/9)+1,"000")&amp;"-1")</f>
        <v/>
      </c>
      <c r="C3256" t="str">
        <f>IF(OR(Registro_Compras!$C$365="",Registro_Compras!$O$365=""),"",IF(Registro_Compras!$F$365="NOTA DE CREDITO",IF(Registro_Compras!$K$365=0,"","40111"),"4212"))</f>
        <v/>
      </c>
      <c r="D3256" t="str">
        <f>IF(OR(Registro_Compras!$C$365="",Registro_Compras!$O$365=""),"",IF(Registro_Compras!$F$365="NOTA DE CREDITO","IGV - Cuenta Propia (Credito Fiscal)","Cuentas por Pagar Comerciales - Terceros (Emitidas)"))</f>
        <v/>
      </c>
      <c r="E3256" s="20" t="str">
        <f>""</f>
        <v/>
      </c>
      <c r="F3256" s="20" t="str">
        <f>IF($C3256="","",IF(Registro_Compras!$F$365="NOTA DE CREDITO",ROUND(ABS(Registro_Compras!$K$365*Registro_Compras!$N$365),2),IF(Registro_Compras!$F$365="RHE",(ROUND(Registro_Compras!$L$365*Registro_Compras!$N$365,2)-ROUND(Registro_Compras!$V$365*Registro_Compras!$N$365,2)),Registro_Compras!$O$365)))</f>
        <v/>
      </c>
      <c r="G3256" t="str">
        <f>IF($C3256="","",IF(Registro_Compras!$F$365="NOTA DE CREDITO","Por la nota de credito "&amp;Registro_Compras!$C$365&amp;" de "&amp;Registro_Compras!$E$365&amp;" [PATRON POR CONFIRMAR CON CONTADOR]",IF(Registro_Compras!$F$365="RHE","Por el registro del recibo por honorarios "&amp;Registro_Compras!$C$365&amp;" de "&amp;Registro_Compras!$E$365&amp;" [PATRON POR CONFIRMAR CON CONTADOR]","Por el registro de la factura "&amp;Registro_Compras!$C$365&amp;" de "&amp;Registro_Compras!$E$365)))</f>
        <v/>
      </c>
      <c r="H3256" t="str">
        <f>IF($C3256="","",Registro_Compras!$C$365)</f>
        <v/>
      </c>
    </row>
    <row r="3257" spans="1:8" x14ac:dyDescent="0.25">
      <c r="A3257" s="25" t="str">
        <f>IF($C3257="","",Registro_Compras!$B$365)</f>
        <v/>
      </c>
      <c r="B3257" t="str">
        <f>IF($C3257="","","C"&amp;TEXT(INT((ROW()-5)/9)+1,"000")&amp;"-2")</f>
        <v/>
      </c>
      <c r="C3257" t="str">
        <f>IF(OR(Registro_Compras!$C$365="",Registro_Compras!$O$365=""),"",IF(Registro_Compras!$AB$365="ADMINISTRATIVO","94","95"))</f>
        <v/>
      </c>
      <c r="D3257" t="str">
        <f>IF(OR(Registro_Compras!$C$365="",Registro_Compras!$O$365=""),"",IF(Registro_Compras!$AB$365="ADMINISTRATIVO","Gastos Administrativos","Gastos de Venta y Operacion"))</f>
        <v/>
      </c>
      <c r="E3257" s="20" t="str">
        <f>IF($C3257="","",IF(Registro_Compras!$F$365="NOTA DE CREDITO","",IF(Registro_Compras!$F$365="RHE",ROUND(Registro_Compras!$L$365*Registro_Compras!$N$365,2),ROUND(Registro_Compras!$J$365*Registro_Compras!$N$365,2))))</f>
        <v/>
      </c>
      <c r="F3257" s="20" t="str">
        <f>IF($C3257="","",IF(Registro_Compras!$F$365="NOTA DE CREDITO",ROUND(ABS(Registro_Compras!$J$365*Registro_Compras!$N$365),2),""))</f>
        <v/>
      </c>
      <c r="G3257" t="str">
        <f>IF($C3257="","","Por el destino del gasto")</f>
        <v/>
      </c>
      <c r="H3257" t="str">
        <f>IF($C3257="","",Registro_Compras!$C$365)</f>
        <v/>
      </c>
    </row>
    <row r="3258" spans="1:8" x14ac:dyDescent="0.25">
      <c r="A3258" s="25" t="str">
        <f>IF($C3258="","",Registro_Compras!$B$365)</f>
        <v/>
      </c>
      <c r="B3258" t="str">
        <f>IF($C3258="","","C"&amp;TEXT(INT((ROW()-5)/9)+1,"000")&amp;"-2")</f>
        <v/>
      </c>
      <c r="C3258" t="str">
        <f>IF(OR(Registro_Compras!$C$365="",Registro_Compras!$O$365=""),"","79/791")</f>
        <v/>
      </c>
      <c r="D3258" t="str">
        <f>IF(OR(Registro_Compras!$C$365="",Registro_Compras!$O$365=""),"","Cargas Imputables a Cuentas de Costos y Gastos")</f>
        <v/>
      </c>
      <c r="E3258" s="20" t="str">
        <f>IF($C3258="","",IF(Registro_Compras!$F$365="NOTA DE CREDITO",ROUND(ABS(Registro_Compras!$J$365*Registro_Compras!$N$365),2),""))</f>
        <v/>
      </c>
      <c r="F3258" s="20" t="str">
        <f>IF($C3258="","",IF(Registro_Compras!$F$365="NOTA DE CREDITO","",IF(Registro_Compras!$F$365="RHE",ROUND(Registro_Compras!$L$365*Registro_Compras!$N$365,2),ROUND(Registro_Compras!$J$365*Registro_Compras!$N$365,2))))</f>
        <v/>
      </c>
      <c r="G3258" t="str">
        <f>IF($C3258="","","Por el destino del gasto")</f>
        <v/>
      </c>
      <c r="H3258" t="str">
        <f>IF($C3258="","",Registro_Compras!$C$365)</f>
        <v/>
      </c>
    </row>
    <row r="3259" spans="1:8" x14ac:dyDescent="0.25">
      <c r="A3259" s="25" t="str">
        <f>IF($C3259="","",Registro_Compras!$X$365)</f>
        <v/>
      </c>
      <c r="B3259" t="str">
        <f>IF($C3259="","","C"&amp;TEXT(INT((ROW()-5)/9)+1,"000")&amp;"-3")</f>
        <v/>
      </c>
      <c r="C3259" t="str">
        <f>IF(OR(Registro_Compras!$C$365="",Registro_Compras!$O$365="",Registro_Compras!$R$365&lt;&gt;"SI",Registro_Compras!$X$365=""),"","4212")</f>
        <v/>
      </c>
      <c r="D3259" t="str">
        <f>IF(OR(Registro_Compras!$C$365="",Registro_Compras!$O$365=""),"","Cuentas por Pagar Comerciales - Terceros")</f>
        <v/>
      </c>
      <c r="E3259" s="20" t="str">
        <f>IF($C3259="","",Registro_Compras!$S$365)</f>
        <v/>
      </c>
      <c r="F3259" s="20" t="str">
        <f>""</f>
        <v/>
      </c>
      <c r="G3259" t="str">
        <f>IF($C3259="","","Por el deposito de la detraccion en el Banco de la Nacion")</f>
        <v/>
      </c>
      <c r="H3259" t="str">
        <f>IF($C3259="","",Registro_Compras!$C$365)</f>
        <v/>
      </c>
    </row>
    <row r="3260" spans="1:8" x14ac:dyDescent="0.25">
      <c r="A3260" s="25" t="str">
        <f>IF($C3260="","",Registro_Compras!$X$365)</f>
        <v/>
      </c>
      <c r="B3260" t="str">
        <f>IF($C3260="","","C"&amp;TEXT(INT((ROW()-5)/9)+1,"000")&amp;"-3")</f>
        <v/>
      </c>
      <c r="C3260" t="str">
        <f>IF(OR(Registro_Compras!$C$365="",Registro_Compras!$O$365="",Registro_Compras!$R$365&lt;&gt;"SI",Registro_Compras!$X$365=""),"","1041")</f>
        <v/>
      </c>
      <c r="D3260" t="str">
        <f>IF(OR(Registro_Compras!$C$365="",Registro_Compras!$O$365=""),"","Efectivo y Equivalentes - Cta. Cte. Operativa")</f>
        <v/>
      </c>
      <c r="E3260" s="20" t="str">
        <f>""</f>
        <v/>
      </c>
      <c r="F3260" s="20" t="str">
        <f>IF($C3260="","",Registro_Compras!$S$365)</f>
        <v/>
      </c>
      <c r="G3260" t="str">
        <f>IF($C3260="","","Por el deposito de la detraccion en el Banco de la Nacion")</f>
        <v/>
      </c>
      <c r="H3260" t="str">
        <f>IF($C3260="","",Registro_Compras!$C$365)</f>
        <v/>
      </c>
    </row>
    <row r="3261" spans="1:8" x14ac:dyDescent="0.25">
      <c r="A3261" s="25" t="str">
        <f>IF($C3261="","",Registro_Compras!$Y$365)</f>
        <v/>
      </c>
      <c r="B3261" t="str">
        <f>IF($C3261="","","C"&amp;TEXT(INT((ROW()-5)/9)+1,"000")&amp;"-4")</f>
        <v/>
      </c>
      <c r="C3261" t="str">
        <f>IF(OR(Registro_Compras!$C$365="",Registro_Compras!$O$365="",Registro_Compras!$Y$365="",Registro_Compras!$F$365="NOTA DE CREDITO"),"","4212")</f>
        <v/>
      </c>
      <c r="D3261" t="str">
        <f>IF(OR(Registro_Compras!$C$365="",Registro_Compras!$O$365=""),"","Cuentas por Pagar Comerciales - Terceros")</f>
        <v/>
      </c>
      <c r="E3261" s="20" t="str">
        <f>IF($C3261="","",IF(Registro_Compras!$F$365="RHE",(ROUND(Registro_Compras!$L$365*Registro_Compras!$N$365,2)-ROUND(Registro_Compras!$V$365*Registro_Compras!$N$365,2)),ROUND(Registro_Compras!$O$365-Registro_Compras!$S$365,2)))</f>
        <v/>
      </c>
      <c r="F3261" s="20" t="str">
        <f>""</f>
        <v/>
      </c>
      <c r="G3261" t="str">
        <f>IF($C3261="","","Por la cancelacion del saldo al proveedor")</f>
        <v/>
      </c>
      <c r="H3261" t="str">
        <f>IF($C3261="","",Registro_Compras!$C$365)</f>
        <v/>
      </c>
    </row>
    <row r="3262" spans="1:8" x14ac:dyDescent="0.25">
      <c r="A3262" s="25" t="str">
        <f>IF($C3262="","",Registro_Compras!$Y$365)</f>
        <v/>
      </c>
      <c r="B3262" t="str">
        <f>IF($C3262="","","C"&amp;TEXT(INT((ROW()-5)/9)+1,"000")&amp;"-4")</f>
        <v/>
      </c>
      <c r="C3262" t="str">
        <f>IF(OR(Registro_Compras!$C$365="",Registro_Compras!$O$365="",Registro_Compras!$Y$365="",Registro_Compras!$F$365="NOTA DE CREDITO"),"","1041")</f>
        <v/>
      </c>
      <c r="D3262" t="str">
        <f>IF(OR(Registro_Compras!$C$365="",Registro_Compras!$O$365=""),"","Efectivo y Equivalentes - Cta. Cte. Operativa")</f>
        <v/>
      </c>
      <c r="E3262" s="20" t="str">
        <f>""</f>
        <v/>
      </c>
      <c r="F3262" s="20" t="str">
        <f>IF($C3262="","",IF(Registro_Compras!$F$365="RHE",(ROUND(Registro_Compras!$L$365*Registro_Compras!$N$365,2)-ROUND(Registro_Compras!$V$365*Registro_Compras!$N$365,2)),ROUND(Registro_Compras!$O$365-Registro_Compras!$S$365,2)))</f>
        <v/>
      </c>
      <c r="G3262" t="str">
        <f>IF($C3262="","","Por la cancelacion del saldo al proveedor")</f>
        <v/>
      </c>
      <c r="H3262" t="str">
        <f>IF($C3262="","",Registro_Compras!$C$365)</f>
        <v/>
      </c>
    </row>
    <row r="3263" spans="1:8" x14ac:dyDescent="0.25">
      <c r="A3263" s="25" t="str">
        <f>IF($C3263="","",Registro_Compras!$B$366)</f>
        <v/>
      </c>
      <c r="B3263" t="str">
        <f>IF($C3263="","","C"&amp;TEXT(INT((ROW()-5)/9)+1,"000")&amp;"-1")</f>
        <v/>
      </c>
      <c r="C3263" t="str">
        <f>IF(OR(Registro_Compras!$C$366="",Registro_Compras!$O$366=""),"",IF(Registro_Compras!$F$366="NOTA DE CREDITO","4212",IF(Registro_Compras!$M$366="","63",Registro_Compras!$M$366)))</f>
        <v/>
      </c>
      <c r="D3263" t="str">
        <f>IF(OR(Registro_Compras!$C$366="",Registro_Compras!$O$366=""),"",IF(Registro_Compras!$F$366="NOTA DE CREDITO","Cuentas por Pagar Comerciales - Terceros (Emitidas)",IF(Registro_Compras!$F$366="RHE","Honorarios Profesionales - Servicios de Terceros","Gastos de Servicios Prestados por Terceros")))</f>
        <v/>
      </c>
      <c r="E3263" s="20" t="str">
        <f>IF($C3263="","",IF(Registro_Compras!$F$366="NOTA DE CREDITO",ABS(Registro_Compras!$O$366),IF(Registro_Compras!$F$366="RHE",ROUND(Registro_Compras!$L$366*Registro_Compras!$N$366,2),ROUND(Registro_Compras!$J$366*Registro_Compras!$N$366,2))))</f>
        <v/>
      </c>
      <c r="F3263" s="20" t="str">
        <f>""</f>
        <v/>
      </c>
      <c r="G3263" t="str">
        <f>IF($C3263="","",IF(Registro_Compras!$F$366="NOTA DE CREDITO","Por la nota de credito "&amp;Registro_Compras!$C$366&amp;" de "&amp;Registro_Compras!$E$366&amp;" [PATRON POR CONFIRMAR CON CONTADOR]",IF(Registro_Compras!$F$366="RHE","Por el registro del recibo por honorarios "&amp;Registro_Compras!$C$366&amp;" de "&amp;Registro_Compras!$E$366&amp;" [PATRON POR CONFIRMAR CON CONTADOR]","Por el registro de la factura "&amp;Registro_Compras!$C$366&amp;" de "&amp;Registro_Compras!$E$366)))</f>
        <v/>
      </c>
      <c r="H3263" t="str">
        <f>IF($C3263="","",Registro_Compras!$C$366)</f>
        <v/>
      </c>
    </row>
    <row r="3264" spans="1:8" x14ac:dyDescent="0.25">
      <c r="A3264" s="25" t="str">
        <f>IF($C3264="","",Registro_Compras!$B$366)</f>
        <v/>
      </c>
      <c r="B3264" t="str">
        <f>IF($C3264="","","C"&amp;TEXT(INT((ROW()-5)/9)+1,"000")&amp;"-1")</f>
        <v/>
      </c>
      <c r="C3264" t="str">
        <f>IF(OR(Registro_Compras!$C$366="",Registro_Compras!$O$366=""),"",IF(Registro_Compras!$F$366="RHE",IF(Registro_Compras!$V$366=0,"","4017"),IF(Registro_Compras!$F$366="NOTA DE CREDITO",IF(Registro_Compras!$M$366="","63",Registro_Compras!$M$366),IF(Registro_Compras!$K$366=0,"","40111"))))</f>
        <v/>
      </c>
      <c r="D3264" t="str">
        <f>IF(OR(Registro_Compras!$C$366="",Registro_Compras!$O$366=""),"",IF(Registro_Compras!$F$366="RHE","Retencion Renta 4ta Categoria por Pagar",IF(Registro_Compras!$F$366="NOTA DE CREDITO","Gastos de Servicios Prestados por Terceros","IGV - Cuenta Propia (Credito Fiscal)")))</f>
        <v/>
      </c>
      <c r="E3264" s="20" t="str">
        <f>IF($C3264="","",IF(Registro_Compras!$F$366="FACTURA",ROUND(Registro_Compras!$K$366*Registro_Compras!$N$366,2),""))</f>
        <v/>
      </c>
      <c r="F3264" s="20" t="str">
        <f>IF($C3264="","",IF(Registro_Compras!$F$366="RHE",ROUND(Registro_Compras!$V$366*Registro_Compras!$N$366,2),IF(Registro_Compras!$F$366="NOTA DE CREDITO",ROUND(ABS(Registro_Compras!$J$366*Registro_Compras!$N$366),2),"")))</f>
        <v/>
      </c>
      <c r="G3264" t="str">
        <f>IF($C3264="","",IF(Registro_Compras!$F$366="NOTA DE CREDITO","Por la nota de credito "&amp;Registro_Compras!$C$366&amp;" de "&amp;Registro_Compras!$E$366&amp;" [PATRON POR CONFIRMAR CON CONTADOR]",IF(Registro_Compras!$F$366="RHE","Por el registro del recibo por honorarios "&amp;Registro_Compras!$C$366&amp;" de "&amp;Registro_Compras!$E$366&amp;" [PATRON POR CONFIRMAR CON CONTADOR]","Por el registro de la factura "&amp;Registro_Compras!$C$366&amp;" de "&amp;Registro_Compras!$E$366)))</f>
        <v/>
      </c>
      <c r="H3264" t="str">
        <f>IF($C3264="","",Registro_Compras!$C$366)</f>
        <v/>
      </c>
    </row>
    <row r="3265" spans="1:8" x14ac:dyDescent="0.25">
      <c r="A3265" s="25" t="str">
        <f>IF($C3265="","",Registro_Compras!$B$366)</f>
        <v/>
      </c>
      <c r="B3265" t="str">
        <f>IF($C3265="","","C"&amp;TEXT(INT((ROW()-5)/9)+1,"000")&amp;"-1")</f>
        <v/>
      </c>
      <c r="C3265" t="str">
        <f>IF(OR(Registro_Compras!$C$366="",Registro_Compras!$O$366=""),"",IF(Registro_Compras!$F$366="NOTA DE CREDITO",IF(Registro_Compras!$K$366=0,"","40111"),"4212"))</f>
        <v/>
      </c>
      <c r="D3265" t="str">
        <f>IF(OR(Registro_Compras!$C$366="",Registro_Compras!$O$366=""),"",IF(Registro_Compras!$F$366="NOTA DE CREDITO","IGV - Cuenta Propia (Credito Fiscal)","Cuentas por Pagar Comerciales - Terceros (Emitidas)"))</f>
        <v/>
      </c>
      <c r="E3265" s="20" t="str">
        <f>""</f>
        <v/>
      </c>
      <c r="F3265" s="20" t="str">
        <f>IF($C3265="","",IF(Registro_Compras!$F$366="NOTA DE CREDITO",ROUND(ABS(Registro_Compras!$K$366*Registro_Compras!$N$366),2),IF(Registro_Compras!$F$366="RHE",(ROUND(Registro_Compras!$L$366*Registro_Compras!$N$366,2)-ROUND(Registro_Compras!$V$366*Registro_Compras!$N$366,2)),Registro_Compras!$O$366)))</f>
        <v/>
      </c>
      <c r="G3265" t="str">
        <f>IF($C3265="","",IF(Registro_Compras!$F$366="NOTA DE CREDITO","Por la nota de credito "&amp;Registro_Compras!$C$366&amp;" de "&amp;Registro_Compras!$E$366&amp;" [PATRON POR CONFIRMAR CON CONTADOR]",IF(Registro_Compras!$F$366="RHE","Por el registro del recibo por honorarios "&amp;Registro_Compras!$C$366&amp;" de "&amp;Registro_Compras!$E$366&amp;" [PATRON POR CONFIRMAR CON CONTADOR]","Por el registro de la factura "&amp;Registro_Compras!$C$366&amp;" de "&amp;Registro_Compras!$E$366)))</f>
        <v/>
      </c>
      <c r="H3265" t="str">
        <f>IF($C3265="","",Registro_Compras!$C$366)</f>
        <v/>
      </c>
    </row>
    <row r="3266" spans="1:8" x14ac:dyDescent="0.25">
      <c r="A3266" s="25" t="str">
        <f>IF($C3266="","",Registro_Compras!$B$366)</f>
        <v/>
      </c>
      <c r="B3266" t="str">
        <f>IF($C3266="","","C"&amp;TEXT(INT((ROW()-5)/9)+1,"000")&amp;"-2")</f>
        <v/>
      </c>
      <c r="C3266" t="str">
        <f>IF(OR(Registro_Compras!$C$366="",Registro_Compras!$O$366=""),"",IF(Registro_Compras!$AB$366="ADMINISTRATIVO","94","95"))</f>
        <v/>
      </c>
      <c r="D3266" t="str">
        <f>IF(OR(Registro_Compras!$C$366="",Registro_Compras!$O$366=""),"",IF(Registro_Compras!$AB$366="ADMINISTRATIVO","Gastos Administrativos","Gastos de Venta y Operacion"))</f>
        <v/>
      </c>
      <c r="E3266" s="20" t="str">
        <f>IF($C3266="","",IF(Registro_Compras!$F$366="NOTA DE CREDITO","",IF(Registro_Compras!$F$366="RHE",ROUND(Registro_Compras!$L$366*Registro_Compras!$N$366,2),ROUND(Registro_Compras!$J$366*Registro_Compras!$N$366,2))))</f>
        <v/>
      </c>
      <c r="F3266" s="20" t="str">
        <f>IF($C3266="","",IF(Registro_Compras!$F$366="NOTA DE CREDITO",ROUND(ABS(Registro_Compras!$J$366*Registro_Compras!$N$366),2),""))</f>
        <v/>
      </c>
      <c r="G3266" t="str">
        <f>IF($C3266="","","Por el destino del gasto")</f>
        <v/>
      </c>
      <c r="H3266" t="str">
        <f>IF($C3266="","",Registro_Compras!$C$366)</f>
        <v/>
      </c>
    </row>
    <row r="3267" spans="1:8" x14ac:dyDescent="0.25">
      <c r="A3267" s="25" t="str">
        <f>IF($C3267="","",Registro_Compras!$B$366)</f>
        <v/>
      </c>
      <c r="B3267" t="str">
        <f>IF($C3267="","","C"&amp;TEXT(INT((ROW()-5)/9)+1,"000")&amp;"-2")</f>
        <v/>
      </c>
      <c r="C3267" t="str">
        <f>IF(OR(Registro_Compras!$C$366="",Registro_Compras!$O$366=""),"","79/791")</f>
        <v/>
      </c>
      <c r="D3267" t="str">
        <f>IF(OR(Registro_Compras!$C$366="",Registro_Compras!$O$366=""),"","Cargas Imputables a Cuentas de Costos y Gastos")</f>
        <v/>
      </c>
      <c r="E3267" s="20" t="str">
        <f>IF($C3267="","",IF(Registro_Compras!$F$366="NOTA DE CREDITO",ROUND(ABS(Registro_Compras!$J$366*Registro_Compras!$N$366),2),""))</f>
        <v/>
      </c>
      <c r="F3267" s="20" t="str">
        <f>IF($C3267="","",IF(Registro_Compras!$F$366="NOTA DE CREDITO","",IF(Registro_Compras!$F$366="RHE",ROUND(Registro_Compras!$L$366*Registro_Compras!$N$366,2),ROUND(Registro_Compras!$J$366*Registro_Compras!$N$366,2))))</f>
        <v/>
      </c>
      <c r="G3267" t="str">
        <f>IF($C3267="","","Por el destino del gasto")</f>
        <v/>
      </c>
      <c r="H3267" t="str">
        <f>IF($C3267="","",Registro_Compras!$C$366)</f>
        <v/>
      </c>
    </row>
    <row r="3268" spans="1:8" x14ac:dyDescent="0.25">
      <c r="A3268" s="25" t="str">
        <f>IF($C3268="","",Registro_Compras!$X$366)</f>
        <v/>
      </c>
      <c r="B3268" t="str">
        <f>IF($C3268="","","C"&amp;TEXT(INT((ROW()-5)/9)+1,"000")&amp;"-3")</f>
        <v/>
      </c>
      <c r="C3268" t="str">
        <f>IF(OR(Registro_Compras!$C$366="",Registro_Compras!$O$366="",Registro_Compras!$R$366&lt;&gt;"SI",Registro_Compras!$X$366=""),"","4212")</f>
        <v/>
      </c>
      <c r="D3268" t="str">
        <f>IF(OR(Registro_Compras!$C$366="",Registro_Compras!$O$366=""),"","Cuentas por Pagar Comerciales - Terceros")</f>
        <v/>
      </c>
      <c r="E3268" s="20" t="str">
        <f>IF($C3268="","",Registro_Compras!$S$366)</f>
        <v/>
      </c>
      <c r="F3268" s="20" t="str">
        <f>""</f>
        <v/>
      </c>
      <c r="G3268" t="str">
        <f>IF($C3268="","","Por el deposito de la detraccion en el Banco de la Nacion")</f>
        <v/>
      </c>
      <c r="H3268" t="str">
        <f>IF($C3268="","",Registro_Compras!$C$366)</f>
        <v/>
      </c>
    </row>
    <row r="3269" spans="1:8" x14ac:dyDescent="0.25">
      <c r="A3269" s="25" t="str">
        <f>IF($C3269="","",Registro_Compras!$X$366)</f>
        <v/>
      </c>
      <c r="B3269" t="str">
        <f>IF($C3269="","","C"&amp;TEXT(INT((ROW()-5)/9)+1,"000")&amp;"-3")</f>
        <v/>
      </c>
      <c r="C3269" t="str">
        <f>IF(OR(Registro_Compras!$C$366="",Registro_Compras!$O$366="",Registro_Compras!$R$366&lt;&gt;"SI",Registro_Compras!$X$366=""),"","1041")</f>
        <v/>
      </c>
      <c r="D3269" t="str">
        <f>IF(OR(Registro_Compras!$C$366="",Registro_Compras!$O$366=""),"","Efectivo y Equivalentes - Cta. Cte. Operativa")</f>
        <v/>
      </c>
      <c r="E3269" s="20" t="str">
        <f>""</f>
        <v/>
      </c>
      <c r="F3269" s="20" t="str">
        <f>IF($C3269="","",Registro_Compras!$S$366)</f>
        <v/>
      </c>
      <c r="G3269" t="str">
        <f>IF($C3269="","","Por el deposito de la detraccion en el Banco de la Nacion")</f>
        <v/>
      </c>
      <c r="H3269" t="str">
        <f>IF($C3269="","",Registro_Compras!$C$366)</f>
        <v/>
      </c>
    </row>
    <row r="3270" spans="1:8" x14ac:dyDescent="0.25">
      <c r="A3270" s="25" t="str">
        <f>IF($C3270="","",Registro_Compras!$Y$366)</f>
        <v/>
      </c>
      <c r="B3270" t="str">
        <f>IF($C3270="","","C"&amp;TEXT(INT((ROW()-5)/9)+1,"000")&amp;"-4")</f>
        <v/>
      </c>
      <c r="C3270" t="str">
        <f>IF(OR(Registro_Compras!$C$366="",Registro_Compras!$O$366="",Registro_Compras!$Y$366="",Registro_Compras!$F$366="NOTA DE CREDITO"),"","4212")</f>
        <v/>
      </c>
      <c r="D3270" t="str">
        <f>IF(OR(Registro_Compras!$C$366="",Registro_Compras!$O$366=""),"","Cuentas por Pagar Comerciales - Terceros")</f>
        <v/>
      </c>
      <c r="E3270" s="20" t="str">
        <f>IF($C3270="","",IF(Registro_Compras!$F$366="RHE",(ROUND(Registro_Compras!$L$366*Registro_Compras!$N$366,2)-ROUND(Registro_Compras!$V$366*Registro_Compras!$N$366,2)),ROUND(Registro_Compras!$O$366-Registro_Compras!$S$366,2)))</f>
        <v/>
      </c>
      <c r="F3270" s="20" t="str">
        <f>""</f>
        <v/>
      </c>
      <c r="G3270" t="str">
        <f>IF($C3270="","","Por la cancelacion del saldo al proveedor")</f>
        <v/>
      </c>
      <c r="H3270" t="str">
        <f>IF($C3270="","",Registro_Compras!$C$366)</f>
        <v/>
      </c>
    </row>
    <row r="3271" spans="1:8" x14ac:dyDescent="0.25">
      <c r="A3271" s="25" t="str">
        <f>IF($C3271="","",Registro_Compras!$Y$366)</f>
        <v/>
      </c>
      <c r="B3271" t="str">
        <f>IF($C3271="","","C"&amp;TEXT(INT((ROW()-5)/9)+1,"000")&amp;"-4")</f>
        <v/>
      </c>
      <c r="C3271" t="str">
        <f>IF(OR(Registro_Compras!$C$366="",Registro_Compras!$O$366="",Registro_Compras!$Y$366="",Registro_Compras!$F$366="NOTA DE CREDITO"),"","1041")</f>
        <v/>
      </c>
      <c r="D3271" t="str">
        <f>IF(OR(Registro_Compras!$C$366="",Registro_Compras!$O$366=""),"","Efectivo y Equivalentes - Cta. Cte. Operativa")</f>
        <v/>
      </c>
      <c r="E3271" s="20" t="str">
        <f>""</f>
        <v/>
      </c>
      <c r="F3271" s="20" t="str">
        <f>IF($C3271="","",IF(Registro_Compras!$F$366="RHE",(ROUND(Registro_Compras!$L$366*Registro_Compras!$N$366,2)-ROUND(Registro_Compras!$V$366*Registro_Compras!$N$366,2)),ROUND(Registro_Compras!$O$366-Registro_Compras!$S$366,2)))</f>
        <v/>
      </c>
      <c r="G3271" t="str">
        <f>IF($C3271="","","Por la cancelacion del saldo al proveedor")</f>
        <v/>
      </c>
      <c r="H3271" t="str">
        <f>IF($C3271="","",Registro_Compras!$C$366)</f>
        <v/>
      </c>
    </row>
    <row r="3272" spans="1:8" x14ac:dyDescent="0.25">
      <c r="A3272" s="25" t="str">
        <f>IF($C3272="","",Registro_Compras!$B$367)</f>
        <v/>
      </c>
      <c r="B3272" t="str">
        <f>IF($C3272="","","C"&amp;TEXT(INT((ROW()-5)/9)+1,"000")&amp;"-1")</f>
        <v/>
      </c>
      <c r="C3272" t="str">
        <f>IF(OR(Registro_Compras!$C$367="",Registro_Compras!$O$367=""),"",IF(Registro_Compras!$F$367="NOTA DE CREDITO","4212",IF(Registro_Compras!$M$367="","63",Registro_Compras!$M$367)))</f>
        <v/>
      </c>
      <c r="D3272" t="str">
        <f>IF(OR(Registro_Compras!$C$367="",Registro_Compras!$O$367=""),"",IF(Registro_Compras!$F$367="NOTA DE CREDITO","Cuentas por Pagar Comerciales - Terceros (Emitidas)",IF(Registro_Compras!$F$367="RHE","Honorarios Profesionales - Servicios de Terceros","Gastos de Servicios Prestados por Terceros")))</f>
        <v/>
      </c>
      <c r="E3272" s="20" t="str">
        <f>IF($C3272="","",IF(Registro_Compras!$F$367="NOTA DE CREDITO",ABS(Registro_Compras!$O$367),IF(Registro_Compras!$F$367="RHE",ROUND(Registro_Compras!$L$367*Registro_Compras!$N$367,2),ROUND(Registro_Compras!$J$367*Registro_Compras!$N$367,2))))</f>
        <v/>
      </c>
      <c r="F3272" s="20" t="str">
        <f>""</f>
        <v/>
      </c>
      <c r="G3272" t="str">
        <f>IF($C3272="","",IF(Registro_Compras!$F$367="NOTA DE CREDITO","Por la nota de credito "&amp;Registro_Compras!$C$367&amp;" de "&amp;Registro_Compras!$E$367&amp;" [PATRON POR CONFIRMAR CON CONTADOR]",IF(Registro_Compras!$F$367="RHE","Por el registro del recibo por honorarios "&amp;Registro_Compras!$C$367&amp;" de "&amp;Registro_Compras!$E$367&amp;" [PATRON POR CONFIRMAR CON CONTADOR]","Por el registro de la factura "&amp;Registro_Compras!$C$367&amp;" de "&amp;Registro_Compras!$E$367)))</f>
        <v/>
      </c>
      <c r="H3272" t="str">
        <f>IF($C3272="","",Registro_Compras!$C$367)</f>
        <v/>
      </c>
    </row>
    <row r="3273" spans="1:8" x14ac:dyDescent="0.25">
      <c r="A3273" s="25" t="str">
        <f>IF($C3273="","",Registro_Compras!$B$367)</f>
        <v/>
      </c>
      <c r="B3273" t="str">
        <f>IF($C3273="","","C"&amp;TEXT(INT((ROW()-5)/9)+1,"000")&amp;"-1")</f>
        <v/>
      </c>
      <c r="C3273" t="str">
        <f>IF(OR(Registro_Compras!$C$367="",Registro_Compras!$O$367=""),"",IF(Registro_Compras!$F$367="RHE",IF(Registro_Compras!$V$367=0,"","4017"),IF(Registro_Compras!$F$367="NOTA DE CREDITO",IF(Registro_Compras!$M$367="","63",Registro_Compras!$M$367),IF(Registro_Compras!$K$367=0,"","40111"))))</f>
        <v/>
      </c>
      <c r="D3273" t="str">
        <f>IF(OR(Registro_Compras!$C$367="",Registro_Compras!$O$367=""),"",IF(Registro_Compras!$F$367="RHE","Retencion Renta 4ta Categoria por Pagar",IF(Registro_Compras!$F$367="NOTA DE CREDITO","Gastos de Servicios Prestados por Terceros","IGV - Cuenta Propia (Credito Fiscal)")))</f>
        <v/>
      </c>
      <c r="E3273" s="20" t="str">
        <f>IF($C3273="","",IF(Registro_Compras!$F$367="FACTURA",ROUND(Registro_Compras!$K$367*Registro_Compras!$N$367,2),""))</f>
        <v/>
      </c>
      <c r="F3273" s="20" t="str">
        <f>IF($C3273="","",IF(Registro_Compras!$F$367="RHE",ROUND(Registro_Compras!$V$367*Registro_Compras!$N$367,2),IF(Registro_Compras!$F$367="NOTA DE CREDITO",ROUND(ABS(Registro_Compras!$J$367*Registro_Compras!$N$367),2),"")))</f>
        <v/>
      </c>
      <c r="G3273" t="str">
        <f>IF($C3273="","",IF(Registro_Compras!$F$367="NOTA DE CREDITO","Por la nota de credito "&amp;Registro_Compras!$C$367&amp;" de "&amp;Registro_Compras!$E$367&amp;" [PATRON POR CONFIRMAR CON CONTADOR]",IF(Registro_Compras!$F$367="RHE","Por el registro del recibo por honorarios "&amp;Registro_Compras!$C$367&amp;" de "&amp;Registro_Compras!$E$367&amp;" [PATRON POR CONFIRMAR CON CONTADOR]","Por el registro de la factura "&amp;Registro_Compras!$C$367&amp;" de "&amp;Registro_Compras!$E$367)))</f>
        <v/>
      </c>
      <c r="H3273" t="str">
        <f>IF($C3273="","",Registro_Compras!$C$367)</f>
        <v/>
      </c>
    </row>
    <row r="3274" spans="1:8" x14ac:dyDescent="0.25">
      <c r="A3274" s="25" t="str">
        <f>IF($C3274="","",Registro_Compras!$B$367)</f>
        <v/>
      </c>
      <c r="B3274" t="str">
        <f>IF($C3274="","","C"&amp;TEXT(INT((ROW()-5)/9)+1,"000")&amp;"-1")</f>
        <v/>
      </c>
      <c r="C3274" t="str">
        <f>IF(OR(Registro_Compras!$C$367="",Registro_Compras!$O$367=""),"",IF(Registro_Compras!$F$367="NOTA DE CREDITO",IF(Registro_Compras!$K$367=0,"","40111"),"4212"))</f>
        <v/>
      </c>
      <c r="D3274" t="str">
        <f>IF(OR(Registro_Compras!$C$367="",Registro_Compras!$O$367=""),"",IF(Registro_Compras!$F$367="NOTA DE CREDITO","IGV - Cuenta Propia (Credito Fiscal)","Cuentas por Pagar Comerciales - Terceros (Emitidas)"))</f>
        <v/>
      </c>
      <c r="E3274" s="20" t="str">
        <f>""</f>
        <v/>
      </c>
      <c r="F3274" s="20" t="str">
        <f>IF($C3274="","",IF(Registro_Compras!$F$367="NOTA DE CREDITO",ROUND(ABS(Registro_Compras!$K$367*Registro_Compras!$N$367),2),IF(Registro_Compras!$F$367="RHE",(ROUND(Registro_Compras!$L$367*Registro_Compras!$N$367,2)-ROUND(Registro_Compras!$V$367*Registro_Compras!$N$367,2)),Registro_Compras!$O$367)))</f>
        <v/>
      </c>
      <c r="G3274" t="str">
        <f>IF($C3274="","",IF(Registro_Compras!$F$367="NOTA DE CREDITO","Por la nota de credito "&amp;Registro_Compras!$C$367&amp;" de "&amp;Registro_Compras!$E$367&amp;" [PATRON POR CONFIRMAR CON CONTADOR]",IF(Registro_Compras!$F$367="RHE","Por el registro del recibo por honorarios "&amp;Registro_Compras!$C$367&amp;" de "&amp;Registro_Compras!$E$367&amp;" [PATRON POR CONFIRMAR CON CONTADOR]","Por el registro de la factura "&amp;Registro_Compras!$C$367&amp;" de "&amp;Registro_Compras!$E$367)))</f>
        <v/>
      </c>
      <c r="H3274" t="str">
        <f>IF($C3274="","",Registro_Compras!$C$367)</f>
        <v/>
      </c>
    </row>
    <row r="3275" spans="1:8" x14ac:dyDescent="0.25">
      <c r="A3275" s="25" t="str">
        <f>IF($C3275="","",Registro_Compras!$B$367)</f>
        <v/>
      </c>
      <c r="B3275" t="str">
        <f>IF($C3275="","","C"&amp;TEXT(INT((ROW()-5)/9)+1,"000")&amp;"-2")</f>
        <v/>
      </c>
      <c r="C3275" t="str">
        <f>IF(OR(Registro_Compras!$C$367="",Registro_Compras!$O$367=""),"",IF(Registro_Compras!$AB$367="ADMINISTRATIVO","94","95"))</f>
        <v/>
      </c>
      <c r="D3275" t="str">
        <f>IF(OR(Registro_Compras!$C$367="",Registro_Compras!$O$367=""),"",IF(Registro_Compras!$AB$367="ADMINISTRATIVO","Gastos Administrativos","Gastos de Venta y Operacion"))</f>
        <v/>
      </c>
      <c r="E3275" s="20" t="str">
        <f>IF($C3275="","",IF(Registro_Compras!$F$367="NOTA DE CREDITO","",IF(Registro_Compras!$F$367="RHE",ROUND(Registro_Compras!$L$367*Registro_Compras!$N$367,2),ROUND(Registro_Compras!$J$367*Registro_Compras!$N$367,2))))</f>
        <v/>
      </c>
      <c r="F3275" s="20" t="str">
        <f>IF($C3275="","",IF(Registro_Compras!$F$367="NOTA DE CREDITO",ROUND(ABS(Registro_Compras!$J$367*Registro_Compras!$N$367),2),""))</f>
        <v/>
      </c>
      <c r="G3275" t="str">
        <f>IF($C3275="","","Por el destino del gasto")</f>
        <v/>
      </c>
      <c r="H3275" t="str">
        <f>IF($C3275="","",Registro_Compras!$C$367)</f>
        <v/>
      </c>
    </row>
    <row r="3276" spans="1:8" x14ac:dyDescent="0.25">
      <c r="A3276" s="25" t="str">
        <f>IF($C3276="","",Registro_Compras!$B$367)</f>
        <v/>
      </c>
      <c r="B3276" t="str">
        <f>IF($C3276="","","C"&amp;TEXT(INT((ROW()-5)/9)+1,"000")&amp;"-2")</f>
        <v/>
      </c>
      <c r="C3276" t="str">
        <f>IF(OR(Registro_Compras!$C$367="",Registro_Compras!$O$367=""),"","79/791")</f>
        <v/>
      </c>
      <c r="D3276" t="str">
        <f>IF(OR(Registro_Compras!$C$367="",Registro_Compras!$O$367=""),"","Cargas Imputables a Cuentas de Costos y Gastos")</f>
        <v/>
      </c>
      <c r="E3276" s="20" t="str">
        <f>IF($C3276="","",IF(Registro_Compras!$F$367="NOTA DE CREDITO",ROUND(ABS(Registro_Compras!$J$367*Registro_Compras!$N$367),2),""))</f>
        <v/>
      </c>
      <c r="F3276" s="20" t="str">
        <f>IF($C3276="","",IF(Registro_Compras!$F$367="NOTA DE CREDITO","",IF(Registro_Compras!$F$367="RHE",ROUND(Registro_Compras!$L$367*Registro_Compras!$N$367,2),ROUND(Registro_Compras!$J$367*Registro_Compras!$N$367,2))))</f>
        <v/>
      </c>
      <c r="G3276" t="str">
        <f>IF($C3276="","","Por el destino del gasto")</f>
        <v/>
      </c>
      <c r="H3276" t="str">
        <f>IF($C3276="","",Registro_Compras!$C$367)</f>
        <v/>
      </c>
    </row>
    <row r="3277" spans="1:8" x14ac:dyDescent="0.25">
      <c r="A3277" s="25" t="str">
        <f>IF($C3277="","",Registro_Compras!$X$367)</f>
        <v/>
      </c>
      <c r="B3277" t="str">
        <f>IF($C3277="","","C"&amp;TEXT(INT((ROW()-5)/9)+1,"000")&amp;"-3")</f>
        <v/>
      </c>
      <c r="C3277" t="str">
        <f>IF(OR(Registro_Compras!$C$367="",Registro_Compras!$O$367="",Registro_Compras!$R$367&lt;&gt;"SI",Registro_Compras!$X$367=""),"","4212")</f>
        <v/>
      </c>
      <c r="D3277" t="str">
        <f>IF(OR(Registro_Compras!$C$367="",Registro_Compras!$O$367=""),"","Cuentas por Pagar Comerciales - Terceros")</f>
        <v/>
      </c>
      <c r="E3277" s="20" t="str">
        <f>IF($C3277="","",Registro_Compras!$S$367)</f>
        <v/>
      </c>
      <c r="F3277" s="20" t="str">
        <f>""</f>
        <v/>
      </c>
      <c r="G3277" t="str">
        <f>IF($C3277="","","Por el deposito de la detraccion en el Banco de la Nacion")</f>
        <v/>
      </c>
      <c r="H3277" t="str">
        <f>IF($C3277="","",Registro_Compras!$C$367)</f>
        <v/>
      </c>
    </row>
    <row r="3278" spans="1:8" x14ac:dyDescent="0.25">
      <c r="A3278" s="25" t="str">
        <f>IF($C3278="","",Registro_Compras!$X$367)</f>
        <v/>
      </c>
      <c r="B3278" t="str">
        <f>IF($C3278="","","C"&amp;TEXT(INT((ROW()-5)/9)+1,"000")&amp;"-3")</f>
        <v/>
      </c>
      <c r="C3278" t="str">
        <f>IF(OR(Registro_Compras!$C$367="",Registro_Compras!$O$367="",Registro_Compras!$R$367&lt;&gt;"SI",Registro_Compras!$X$367=""),"","1041")</f>
        <v/>
      </c>
      <c r="D3278" t="str">
        <f>IF(OR(Registro_Compras!$C$367="",Registro_Compras!$O$367=""),"","Efectivo y Equivalentes - Cta. Cte. Operativa")</f>
        <v/>
      </c>
      <c r="E3278" s="20" t="str">
        <f>""</f>
        <v/>
      </c>
      <c r="F3278" s="20" t="str">
        <f>IF($C3278="","",Registro_Compras!$S$367)</f>
        <v/>
      </c>
      <c r="G3278" t="str">
        <f>IF($C3278="","","Por el deposito de la detraccion en el Banco de la Nacion")</f>
        <v/>
      </c>
      <c r="H3278" t="str">
        <f>IF($C3278="","",Registro_Compras!$C$367)</f>
        <v/>
      </c>
    </row>
    <row r="3279" spans="1:8" x14ac:dyDescent="0.25">
      <c r="A3279" s="25" t="str">
        <f>IF($C3279="","",Registro_Compras!$Y$367)</f>
        <v/>
      </c>
      <c r="B3279" t="str">
        <f>IF($C3279="","","C"&amp;TEXT(INT((ROW()-5)/9)+1,"000")&amp;"-4")</f>
        <v/>
      </c>
      <c r="C3279" t="str">
        <f>IF(OR(Registro_Compras!$C$367="",Registro_Compras!$O$367="",Registro_Compras!$Y$367="",Registro_Compras!$F$367="NOTA DE CREDITO"),"","4212")</f>
        <v/>
      </c>
      <c r="D3279" t="str">
        <f>IF(OR(Registro_Compras!$C$367="",Registro_Compras!$O$367=""),"","Cuentas por Pagar Comerciales - Terceros")</f>
        <v/>
      </c>
      <c r="E3279" s="20" t="str">
        <f>IF($C3279="","",IF(Registro_Compras!$F$367="RHE",(ROUND(Registro_Compras!$L$367*Registro_Compras!$N$367,2)-ROUND(Registro_Compras!$V$367*Registro_Compras!$N$367,2)),ROUND(Registro_Compras!$O$367-Registro_Compras!$S$367,2)))</f>
        <v/>
      </c>
      <c r="F3279" s="20" t="str">
        <f>""</f>
        <v/>
      </c>
      <c r="G3279" t="str">
        <f>IF($C3279="","","Por la cancelacion del saldo al proveedor")</f>
        <v/>
      </c>
      <c r="H3279" t="str">
        <f>IF($C3279="","",Registro_Compras!$C$367)</f>
        <v/>
      </c>
    </row>
    <row r="3280" spans="1:8" x14ac:dyDescent="0.25">
      <c r="A3280" s="25" t="str">
        <f>IF($C3280="","",Registro_Compras!$Y$367)</f>
        <v/>
      </c>
      <c r="B3280" t="str">
        <f>IF($C3280="","","C"&amp;TEXT(INT((ROW()-5)/9)+1,"000")&amp;"-4")</f>
        <v/>
      </c>
      <c r="C3280" t="str">
        <f>IF(OR(Registro_Compras!$C$367="",Registro_Compras!$O$367="",Registro_Compras!$Y$367="",Registro_Compras!$F$367="NOTA DE CREDITO"),"","1041")</f>
        <v/>
      </c>
      <c r="D3280" t="str">
        <f>IF(OR(Registro_Compras!$C$367="",Registro_Compras!$O$367=""),"","Efectivo y Equivalentes - Cta. Cte. Operativa")</f>
        <v/>
      </c>
      <c r="E3280" s="20" t="str">
        <f>""</f>
        <v/>
      </c>
      <c r="F3280" s="20" t="str">
        <f>IF($C3280="","",IF(Registro_Compras!$F$367="RHE",(ROUND(Registro_Compras!$L$367*Registro_Compras!$N$367,2)-ROUND(Registro_Compras!$V$367*Registro_Compras!$N$367,2)),ROUND(Registro_Compras!$O$367-Registro_Compras!$S$367,2)))</f>
        <v/>
      </c>
      <c r="G3280" t="str">
        <f>IF($C3280="","","Por la cancelacion del saldo al proveedor")</f>
        <v/>
      </c>
      <c r="H3280" t="str">
        <f>IF($C3280="","",Registro_Compras!$C$367)</f>
        <v/>
      </c>
    </row>
    <row r="3281" spans="1:8" x14ac:dyDescent="0.25">
      <c r="A3281" s="25" t="str">
        <f>IF($C3281="","",Registro_Compras!$B$368)</f>
        <v/>
      </c>
      <c r="B3281" t="str">
        <f>IF($C3281="","","C"&amp;TEXT(INT((ROW()-5)/9)+1,"000")&amp;"-1")</f>
        <v/>
      </c>
      <c r="C3281" t="str">
        <f>IF(OR(Registro_Compras!$C$368="",Registro_Compras!$O$368=""),"",IF(Registro_Compras!$F$368="NOTA DE CREDITO","4212",IF(Registro_Compras!$M$368="","63",Registro_Compras!$M$368)))</f>
        <v/>
      </c>
      <c r="D3281" t="str">
        <f>IF(OR(Registro_Compras!$C$368="",Registro_Compras!$O$368=""),"",IF(Registro_Compras!$F$368="NOTA DE CREDITO","Cuentas por Pagar Comerciales - Terceros (Emitidas)",IF(Registro_Compras!$F$368="RHE","Honorarios Profesionales - Servicios de Terceros","Gastos de Servicios Prestados por Terceros")))</f>
        <v/>
      </c>
      <c r="E3281" s="20" t="str">
        <f>IF($C3281="","",IF(Registro_Compras!$F$368="NOTA DE CREDITO",ABS(Registro_Compras!$O$368),IF(Registro_Compras!$F$368="RHE",ROUND(Registro_Compras!$L$368*Registro_Compras!$N$368,2),ROUND(Registro_Compras!$J$368*Registro_Compras!$N$368,2))))</f>
        <v/>
      </c>
      <c r="F3281" s="20" t="str">
        <f>""</f>
        <v/>
      </c>
      <c r="G3281" t="str">
        <f>IF($C3281="","",IF(Registro_Compras!$F$368="NOTA DE CREDITO","Por la nota de credito "&amp;Registro_Compras!$C$368&amp;" de "&amp;Registro_Compras!$E$368&amp;" [PATRON POR CONFIRMAR CON CONTADOR]",IF(Registro_Compras!$F$368="RHE","Por el registro del recibo por honorarios "&amp;Registro_Compras!$C$368&amp;" de "&amp;Registro_Compras!$E$368&amp;" [PATRON POR CONFIRMAR CON CONTADOR]","Por el registro de la factura "&amp;Registro_Compras!$C$368&amp;" de "&amp;Registro_Compras!$E$368)))</f>
        <v/>
      </c>
      <c r="H3281" t="str">
        <f>IF($C3281="","",Registro_Compras!$C$368)</f>
        <v/>
      </c>
    </row>
    <row r="3282" spans="1:8" x14ac:dyDescent="0.25">
      <c r="A3282" s="25" t="str">
        <f>IF($C3282="","",Registro_Compras!$B$368)</f>
        <v/>
      </c>
      <c r="B3282" t="str">
        <f>IF($C3282="","","C"&amp;TEXT(INT((ROW()-5)/9)+1,"000")&amp;"-1")</f>
        <v/>
      </c>
      <c r="C3282" t="str">
        <f>IF(OR(Registro_Compras!$C$368="",Registro_Compras!$O$368=""),"",IF(Registro_Compras!$F$368="RHE",IF(Registro_Compras!$V$368=0,"","4017"),IF(Registro_Compras!$F$368="NOTA DE CREDITO",IF(Registro_Compras!$M$368="","63",Registro_Compras!$M$368),IF(Registro_Compras!$K$368=0,"","40111"))))</f>
        <v/>
      </c>
      <c r="D3282" t="str">
        <f>IF(OR(Registro_Compras!$C$368="",Registro_Compras!$O$368=""),"",IF(Registro_Compras!$F$368="RHE","Retencion Renta 4ta Categoria por Pagar",IF(Registro_Compras!$F$368="NOTA DE CREDITO","Gastos de Servicios Prestados por Terceros","IGV - Cuenta Propia (Credito Fiscal)")))</f>
        <v/>
      </c>
      <c r="E3282" s="20" t="str">
        <f>IF($C3282="","",IF(Registro_Compras!$F$368="FACTURA",ROUND(Registro_Compras!$K$368*Registro_Compras!$N$368,2),""))</f>
        <v/>
      </c>
      <c r="F3282" s="20" t="str">
        <f>IF($C3282="","",IF(Registro_Compras!$F$368="RHE",ROUND(Registro_Compras!$V$368*Registro_Compras!$N$368,2),IF(Registro_Compras!$F$368="NOTA DE CREDITO",ROUND(ABS(Registro_Compras!$J$368*Registro_Compras!$N$368),2),"")))</f>
        <v/>
      </c>
      <c r="G3282" t="str">
        <f>IF($C3282="","",IF(Registro_Compras!$F$368="NOTA DE CREDITO","Por la nota de credito "&amp;Registro_Compras!$C$368&amp;" de "&amp;Registro_Compras!$E$368&amp;" [PATRON POR CONFIRMAR CON CONTADOR]",IF(Registro_Compras!$F$368="RHE","Por el registro del recibo por honorarios "&amp;Registro_Compras!$C$368&amp;" de "&amp;Registro_Compras!$E$368&amp;" [PATRON POR CONFIRMAR CON CONTADOR]","Por el registro de la factura "&amp;Registro_Compras!$C$368&amp;" de "&amp;Registro_Compras!$E$368)))</f>
        <v/>
      </c>
      <c r="H3282" t="str">
        <f>IF($C3282="","",Registro_Compras!$C$368)</f>
        <v/>
      </c>
    </row>
    <row r="3283" spans="1:8" x14ac:dyDescent="0.25">
      <c r="A3283" s="25" t="str">
        <f>IF($C3283="","",Registro_Compras!$B$368)</f>
        <v/>
      </c>
      <c r="B3283" t="str">
        <f>IF($C3283="","","C"&amp;TEXT(INT((ROW()-5)/9)+1,"000")&amp;"-1")</f>
        <v/>
      </c>
      <c r="C3283" t="str">
        <f>IF(OR(Registro_Compras!$C$368="",Registro_Compras!$O$368=""),"",IF(Registro_Compras!$F$368="NOTA DE CREDITO",IF(Registro_Compras!$K$368=0,"","40111"),"4212"))</f>
        <v/>
      </c>
      <c r="D3283" t="str">
        <f>IF(OR(Registro_Compras!$C$368="",Registro_Compras!$O$368=""),"",IF(Registro_Compras!$F$368="NOTA DE CREDITO","IGV - Cuenta Propia (Credito Fiscal)","Cuentas por Pagar Comerciales - Terceros (Emitidas)"))</f>
        <v/>
      </c>
      <c r="E3283" s="20" t="str">
        <f>""</f>
        <v/>
      </c>
      <c r="F3283" s="20" t="str">
        <f>IF($C3283="","",IF(Registro_Compras!$F$368="NOTA DE CREDITO",ROUND(ABS(Registro_Compras!$K$368*Registro_Compras!$N$368),2),IF(Registro_Compras!$F$368="RHE",(ROUND(Registro_Compras!$L$368*Registro_Compras!$N$368,2)-ROUND(Registro_Compras!$V$368*Registro_Compras!$N$368,2)),Registro_Compras!$O$368)))</f>
        <v/>
      </c>
      <c r="G3283" t="str">
        <f>IF($C3283="","",IF(Registro_Compras!$F$368="NOTA DE CREDITO","Por la nota de credito "&amp;Registro_Compras!$C$368&amp;" de "&amp;Registro_Compras!$E$368&amp;" [PATRON POR CONFIRMAR CON CONTADOR]",IF(Registro_Compras!$F$368="RHE","Por el registro del recibo por honorarios "&amp;Registro_Compras!$C$368&amp;" de "&amp;Registro_Compras!$E$368&amp;" [PATRON POR CONFIRMAR CON CONTADOR]","Por el registro de la factura "&amp;Registro_Compras!$C$368&amp;" de "&amp;Registro_Compras!$E$368)))</f>
        <v/>
      </c>
      <c r="H3283" t="str">
        <f>IF($C3283="","",Registro_Compras!$C$368)</f>
        <v/>
      </c>
    </row>
    <row r="3284" spans="1:8" x14ac:dyDescent="0.25">
      <c r="A3284" s="25" t="str">
        <f>IF($C3284="","",Registro_Compras!$B$368)</f>
        <v/>
      </c>
      <c r="B3284" t="str">
        <f>IF($C3284="","","C"&amp;TEXT(INT((ROW()-5)/9)+1,"000")&amp;"-2")</f>
        <v/>
      </c>
      <c r="C3284" t="str">
        <f>IF(OR(Registro_Compras!$C$368="",Registro_Compras!$O$368=""),"",IF(Registro_Compras!$AB$368="ADMINISTRATIVO","94","95"))</f>
        <v/>
      </c>
      <c r="D3284" t="str">
        <f>IF(OR(Registro_Compras!$C$368="",Registro_Compras!$O$368=""),"",IF(Registro_Compras!$AB$368="ADMINISTRATIVO","Gastos Administrativos","Gastos de Venta y Operacion"))</f>
        <v/>
      </c>
      <c r="E3284" s="20" t="str">
        <f>IF($C3284="","",IF(Registro_Compras!$F$368="NOTA DE CREDITO","",IF(Registro_Compras!$F$368="RHE",ROUND(Registro_Compras!$L$368*Registro_Compras!$N$368,2),ROUND(Registro_Compras!$J$368*Registro_Compras!$N$368,2))))</f>
        <v/>
      </c>
      <c r="F3284" s="20" t="str">
        <f>IF($C3284="","",IF(Registro_Compras!$F$368="NOTA DE CREDITO",ROUND(ABS(Registro_Compras!$J$368*Registro_Compras!$N$368),2),""))</f>
        <v/>
      </c>
      <c r="G3284" t="str">
        <f>IF($C3284="","","Por el destino del gasto")</f>
        <v/>
      </c>
      <c r="H3284" t="str">
        <f>IF($C3284="","",Registro_Compras!$C$368)</f>
        <v/>
      </c>
    </row>
    <row r="3285" spans="1:8" x14ac:dyDescent="0.25">
      <c r="A3285" s="25" t="str">
        <f>IF($C3285="","",Registro_Compras!$B$368)</f>
        <v/>
      </c>
      <c r="B3285" t="str">
        <f>IF($C3285="","","C"&amp;TEXT(INT((ROW()-5)/9)+1,"000")&amp;"-2")</f>
        <v/>
      </c>
      <c r="C3285" t="str">
        <f>IF(OR(Registro_Compras!$C$368="",Registro_Compras!$O$368=""),"","79/791")</f>
        <v/>
      </c>
      <c r="D3285" t="str">
        <f>IF(OR(Registro_Compras!$C$368="",Registro_Compras!$O$368=""),"","Cargas Imputables a Cuentas de Costos y Gastos")</f>
        <v/>
      </c>
      <c r="E3285" s="20" t="str">
        <f>IF($C3285="","",IF(Registro_Compras!$F$368="NOTA DE CREDITO",ROUND(ABS(Registro_Compras!$J$368*Registro_Compras!$N$368),2),""))</f>
        <v/>
      </c>
      <c r="F3285" s="20" t="str">
        <f>IF($C3285="","",IF(Registro_Compras!$F$368="NOTA DE CREDITO","",IF(Registro_Compras!$F$368="RHE",ROUND(Registro_Compras!$L$368*Registro_Compras!$N$368,2),ROUND(Registro_Compras!$J$368*Registro_Compras!$N$368,2))))</f>
        <v/>
      </c>
      <c r="G3285" t="str">
        <f>IF($C3285="","","Por el destino del gasto")</f>
        <v/>
      </c>
      <c r="H3285" t="str">
        <f>IF($C3285="","",Registro_Compras!$C$368)</f>
        <v/>
      </c>
    </row>
    <row r="3286" spans="1:8" x14ac:dyDescent="0.25">
      <c r="A3286" s="25" t="str">
        <f>IF($C3286="","",Registro_Compras!$X$368)</f>
        <v/>
      </c>
      <c r="B3286" t="str">
        <f>IF($C3286="","","C"&amp;TEXT(INT((ROW()-5)/9)+1,"000")&amp;"-3")</f>
        <v/>
      </c>
      <c r="C3286" t="str">
        <f>IF(OR(Registro_Compras!$C$368="",Registro_Compras!$O$368="",Registro_Compras!$R$368&lt;&gt;"SI",Registro_Compras!$X$368=""),"","4212")</f>
        <v/>
      </c>
      <c r="D3286" t="str">
        <f>IF(OR(Registro_Compras!$C$368="",Registro_Compras!$O$368=""),"","Cuentas por Pagar Comerciales - Terceros")</f>
        <v/>
      </c>
      <c r="E3286" s="20" t="str">
        <f>IF($C3286="","",Registro_Compras!$S$368)</f>
        <v/>
      </c>
      <c r="F3286" s="20" t="str">
        <f>""</f>
        <v/>
      </c>
      <c r="G3286" t="str">
        <f>IF($C3286="","","Por el deposito de la detraccion en el Banco de la Nacion")</f>
        <v/>
      </c>
      <c r="H3286" t="str">
        <f>IF($C3286="","",Registro_Compras!$C$368)</f>
        <v/>
      </c>
    </row>
    <row r="3287" spans="1:8" x14ac:dyDescent="0.25">
      <c r="A3287" s="25" t="str">
        <f>IF($C3287="","",Registro_Compras!$X$368)</f>
        <v/>
      </c>
      <c r="B3287" t="str">
        <f>IF($C3287="","","C"&amp;TEXT(INT((ROW()-5)/9)+1,"000")&amp;"-3")</f>
        <v/>
      </c>
      <c r="C3287" t="str">
        <f>IF(OR(Registro_Compras!$C$368="",Registro_Compras!$O$368="",Registro_Compras!$R$368&lt;&gt;"SI",Registro_Compras!$X$368=""),"","1041")</f>
        <v/>
      </c>
      <c r="D3287" t="str">
        <f>IF(OR(Registro_Compras!$C$368="",Registro_Compras!$O$368=""),"","Efectivo y Equivalentes - Cta. Cte. Operativa")</f>
        <v/>
      </c>
      <c r="E3287" s="20" t="str">
        <f>""</f>
        <v/>
      </c>
      <c r="F3287" s="20" t="str">
        <f>IF($C3287="","",Registro_Compras!$S$368)</f>
        <v/>
      </c>
      <c r="G3287" t="str">
        <f>IF($C3287="","","Por el deposito de la detraccion en el Banco de la Nacion")</f>
        <v/>
      </c>
      <c r="H3287" t="str">
        <f>IF($C3287="","",Registro_Compras!$C$368)</f>
        <v/>
      </c>
    </row>
    <row r="3288" spans="1:8" x14ac:dyDescent="0.25">
      <c r="A3288" s="25" t="str">
        <f>IF($C3288="","",Registro_Compras!$Y$368)</f>
        <v/>
      </c>
      <c r="B3288" t="str">
        <f>IF($C3288="","","C"&amp;TEXT(INT((ROW()-5)/9)+1,"000")&amp;"-4")</f>
        <v/>
      </c>
      <c r="C3288" t="str">
        <f>IF(OR(Registro_Compras!$C$368="",Registro_Compras!$O$368="",Registro_Compras!$Y$368="",Registro_Compras!$F$368="NOTA DE CREDITO"),"","4212")</f>
        <v/>
      </c>
      <c r="D3288" t="str">
        <f>IF(OR(Registro_Compras!$C$368="",Registro_Compras!$O$368=""),"","Cuentas por Pagar Comerciales - Terceros")</f>
        <v/>
      </c>
      <c r="E3288" s="20" t="str">
        <f>IF($C3288="","",IF(Registro_Compras!$F$368="RHE",(ROUND(Registro_Compras!$L$368*Registro_Compras!$N$368,2)-ROUND(Registro_Compras!$V$368*Registro_Compras!$N$368,2)),ROUND(Registro_Compras!$O$368-Registro_Compras!$S$368,2)))</f>
        <v/>
      </c>
      <c r="F3288" s="20" t="str">
        <f>""</f>
        <v/>
      </c>
      <c r="G3288" t="str">
        <f>IF($C3288="","","Por la cancelacion del saldo al proveedor")</f>
        <v/>
      </c>
      <c r="H3288" t="str">
        <f>IF($C3288="","",Registro_Compras!$C$368)</f>
        <v/>
      </c>
    </row>
    <row r="3289" spans="1:8" x14ac:dyDescent="0.25">
      <c r="A3289" s="25" t="str">
        <f>IF($C3289="","",Registro_Compras!$Y$368)</f>
        <v/>
      </c>
      <c r="B3289" t="str">
        <f>IF($C3289="","","C"&amp;TEXT(INT((ROW()-5)/9)+1,"000")&amp;"-4")</f>
        <v/>
      </c>
      <c r="C3289" t="str">
        <f>IF(OR(Registro_Compras!$C$368="",Registro_Compras!$O$368="",Registro_Compras!$Y$368="",Registro_Compras!$F$368="NOTA DE CREDITO"),"","1041")</f>
        <v/>
      </c>
      <c r="D3289" t="str">
        <f>IF(OR(Registro_Compras!$C$368="",Registro_Compras!$O$368=""),"","Efectivo y Equivalentes - Cta. Cte. Operativa")</f>
        <v/>
      </c>
      <c r="E3289" s="20" t="str">
        <f>""</f>
        <v/>
      </c>
      <c r="F3289" s="20" t="str">
        <f>IF($C3289="","",IF(Registro_Compras!$F$368="RHE",(ROUND(Registro_Compras!$L$368*Registro_Compras!$N$368,2)-ROUND(Registro_Compras!$V$368*Registro_Compras!$N$368,2)),ROUND(Registro_Compras!$O$368-Registro_Compras!$S$368,2)))</f>
        <v/>
      </c>
      <c r="G3289" t="str">
        <f>IF($C3289="","","Por la cancelacion del saldo al proveedor")</f>
        <v/>
      </c>
      <c r="H3289" t="str">
        <f>IF($C3289="","",Registro_Compras!$C$368)</f>
        <v/>
      </c>
    </row>
    <row r="3290" spans="1:8" x14ac:dyDescent="0.25">
      <c r="A3290" s="25" t="str">
        <f>IF($C3290="","",Registro_Compras!$B$369)</f>
        <v/>
      </c>
      <c r="B3290" t="str">
        <f>IF($C3290="","","C"&amp;TEXT(INT((ROW()-5)/9)+1,"000")&amp;"-1")</f>
        <v/>
      </c>
      <c r="C3290" t="str">
        <f>IF(OR(Registro_Compras!$C$369="",Registro_Compras!$O$369=""),"",IF(Registro_Compras!$F$369="NOTA DE CREDITO","4212",IF(Registro_Compras!$M$369="","63",Registro_Compras!$M$369)))</f>
        <v/>
      </c>
      <c r="D3290" t="str">
        <f>IF(OR(Registro_Compras!$C$369="",Registro_Compras!$O$369=""),"",IF(Registro_Compras!$F$369="NOTA DE CREDITO","Cuentas por Pagar Comerciales - Terceros (Emitidas)",IF(Registro_Compras!$F$369="RHE","Honorarios Profesionales - Servicios de Terceros","Gastos de Servicios Prestados por Terceros")))</f>
        <v/>
      </c>
      <c r="E3290" s="20" t="str">
        <f>IF($C3290="","",IF(Registro_Compras!$F$369="NOTA DE CREDITO",ABS(Registro_Compras!$O$369),IF(Registro_Compras!$F$369="RHE",ROUND(Registro_Compras!$L$369*Registro_Compras!$N$369,2),ROUND(Registro_Compras!$J$369*Registro_Compras!$N$369,2))))</f>
        <v/>
      </c>
      <c r="F3290" s="20" t="str">
        <f>""</f>
        <v/>
      </c>
      <c r="G3290" t="str">
        <f>IF($C3290="","",IF(Registro_Compras!$F$369="NOTA DE CREDITO","Por la nota de credito "&amp;Registro_Compras!$C$369&amp;" de "&amp;Registro_Compras!$E$369&amp;" [PATRON POR CONFIRMAR CON CONTADOR]",IF(Registro_Compras!$F$369="RHE","Por el registro del recibo por honorarios "&amp;Registro_Compras!$C$369&amp;" de "&amp;Registro_Compras!$E$369&amp;" [PATRON POR CONFIRMAR CON CONTADOR]","Por el registro de la factura "&amp;Registro_Compras!$C$369&amp;" de "&amp;Registro_Compras!$E$369)))</f>
        <v/>
      </c>
      <c r="H3290" t="str">
        <f>IF($C3290="","",Registro_Compras!$C$369)</f>
        <v/>
      </c>
    </row>
    <row r="3291" spans="1:8" x14ac:dyDescent="0.25">
      <c r="A3291" s="25" t="str">
        <f>IF($C3291="","",Registro_Compras!$B$369)</f>
        <v/>
      </c>
      <c r="B3291" t="str">
        <f>IF($C3291="","","C"&amp;TEXT(INT((ROW()-5)/9)+1,"000")&amp;"-1")</f>
        <v/>
      </c>
      <c r="C3291" t="str">
        <f>IF(OR(Registro_Compras!$C$369="",Registro_Compras!$O$369=""),"",IF(Registro_Compras!$F$369="RHE",IF(Registro_Compras!$V$369=0,"","4017"),IF(Registro_Compras!$F$369="NOTA DE CREDITO",IF(Registro_Compras!$M$369="","63",Registro_Compras!$M$369),IF(Registro_Compras!$K$369=0,"","40111"))))</f>
        <v/>
      </c>
      <c r="D3291" t="str">
        <f>IF(OR(Registro_Compras!$C$369="",Registro_Compras!$O$369=""),"",IF(Registro_Compras!$F$369="RHE","Retencion Renta 4ta Categoria por Pagar",IF(Registro_Compras!$F$369="NOTA DE CREDITO","Gastos de Servicios Prestados por Terceros","IGV - Cuenta Propia (Credito Fiscal)")))</f>
        <v/>
      </c>
      <c r="E3291" s="20" t="str">
        <f>IF($C3291="","",IF(Registro_Compras!$F$369="FACTURA",ROUND(Registro_Compras!$K$369*Registro_Compras!$N$369,2),""))</f>
        <v/>
      </c>
      <c r="F3291" s="20" t="str">
        <f>IF($C3291="","",IF(Registro_Compras!$F$369="RHE",ROUND(Registro_Compras!$V$369*Registro_Compras!$N$369,2),IF(Registro_Compras!$F$369="NOTA DE CREDITO",ROUND(ABS(Registro_Compras!$J$369*Registro_Compras!$N$369),2),"")))</f>
        <v/>
      </c>
      <c r="G3291" t="str">
        <f>IF($C3291="","",IF(Registro_Compras!$F$369="NOTA DE CREDITO","Por la nota de credito "&amp;Registro_Compras!$C$369&amp;" de "&amp;Registro_Compras!$E$369&amp;" [PATRON POR CONFIRMAR CON CONTADOR]",IF(Registro_Compras!$F$369="RHE","Por el registro del recibo por honorarios "&amp;Registro_Compras!$C$369&amp;" de "&amp;Registro_Compras!$E$369&amp;" [PATRON POR CONFIRMAR CON CONTADOR]","Por el registro de la factura "&amp;Registro_Compras!$C$369&amp;" de "&amp;Registro_Compras!$E$369)))</f>
        <v/>
      </c>
      <c r="H3291" t="str">
        <f>IF($C3291="","",Registro_Compras!$C$369)</f>
        <v/>
      </c>
    </row>
    <row r="3292" spans="1:8" x14ac:dyDescent="0.25">
      <c r="A3292" s="25" t="str">
        <f>IF($C3292="","",Registro_Compras!$B$369)</f>
        <v/>
      </c>
      <c r="B3292" t="str">
        <f>IF($C3292="","","C"&amp;TEXT(INT((ROW()-5)/9)+1,"000")&amp;"-1")</f>
        <v/>
      </c>
      <c r="C3292" t="str">
        <f>IF(OR(Registro_Compras!$C$369="",Registro_Compras!$O$369=""),"",IF(Registro_Compras!$F$369="NOTA DE CREDITO",IF(Registro_Compras!$K$369=0,"","40111"),"4212"))</f>
        <v/>
      </c>
      <c r="D3292" t="str">
        <f>IF(OR(Registro_Compras!$C$369="",Registro_Compras!$O$369=""),"",IF(Registro_Compras!$F$369="NOTA DE CREDITO","IGV - Cuenta Propia (Credito Fiscal)","Cuentas por Pagar Comerciales - Terceros (Emitidas)"))</f>
        <v/>
      </c>
      <c r="E3292" s="20" t="str">
        <f>""</f>
        <v/>
      </c>
      <c r="F3292" s="20" t="str">
        <f>IF($C3292="","",IF(Registro_Compras!$F$369="NOTA DE CREDITO",ROUND(ABS(Registro_Compras!$K$369*Registro_Compras!$N$369),2),IF(Registro_Compras!$F$369="RHE",(ROUND(Registro_Compras!$L$369*Registro_Compras!$N$369,2)-ROUND(Registro_Compras!$V$369*Registro_Compras!$N$369,2)),Registro_Compras!$O$369)))</f>
        <v/>
      </c>
      <c r="G3292" t="str">
        <f>IF($C3292="","",IF(Registro_Compras!$F$369="NOTA DE CREDITO","Por la nota de credito "&amp;Registro_Compras!$C$369&amp;" de "&amp;Registro_Compras!$E$369&amp;" [PATRON POR CONFIRMAR CON CONTADOR]",IF(Registro_Compras!$F$369="RHE","Por el registro del recibo por honorarios "&amp;Registro_Compras!$C$369&amp;" de "&amp;Registro_Compras!$E$369&amp;" [PATRON POR CONFIRMAR CON CONTADOR]","Por el registro de la factura "&amp;Registro_Compras!$C$369&amp;" de "&amp;Registro_Compras!$E$369)))</f>
        <v/>
      </c>
      <c r="H3292" t="str">
        <f>IF($C3292="","",Registro_Compras!$C$369)</f>
        <v/>
      </c>
    </row>
    <row r="3293" spans="1:8" x14ac:dyDescent="0.25">
      <c r="A3293" s="25" t="str">
        <f>IF($C3293="","",Registro_Compras!$B$369)</f>
        <v/>
      </c>
      <c r="B3293" t="str">
        <f>IF($C3293="","","C"&amp;TEXT(INT((ROW()-5)/9)+1,"000")&amp;"-2")</f>
        <v/>
      </c>
      <c r="C3293" t="str">
        <f>IF(OR(Registro_Compras!$C$369="",Registro_Compras!$O$369=""),"",IF(Registro_Compras!$AB$369="ADMINISTRATIVO","94","95"))</f>
        <v/>
      </c>
      <c r="D3293" t="str">
        <f>IF(OR(Registro_Compras!$C$369="",Registro_Compras!$O$369=""),"",IF(Registro_Compras!$AB$369="ADMINISTRATIVO","Gastos Administrativos","Gastos de Venta y Operacion"))</f>
        <v/>
      </c>
      <c r="E3293" s="20" t="str">
        <f>IF($C3293="","",IF(Registro_Compras!$F$369="NOTA DE CREDITO","",IF(Registro_Compras!$F$369="RHE",ROUND(Registro_Compras!$L$369*Registro_Compras!$N$369,2),ROUND(Registro_Compras!$J$369*Registro_Compras!$N$369,2))))</f>
        <v/>
      </c>
      <c r="F3293" s="20" t="str">
        <f>IF($C3293="","",IF(Registro_Compras!$F$369="NOTA DE CREDITO",ROUND(ABS(Registro_Compras!$J$369*Registro_Compras!$N$369),2),""))</f>
        <v/>
      </c>
      <c r="G3293" t="str">
        <f>IF($C3293="","","Por el destino del gasto")</f>
        <v/>
      </c>
      <c r="H3293" t="str">
        <f>IF($C3293="","",Registro_Compras!$C$369)</f>
        <v/>
      </c>
    </row>
    <row r="3294" spans="1:8" x14ac:dyDescent="0.25">
      <c r="A3294" s="25" t="str">
        <f>IF($C3294="","",Registro_Compras!$B$369)</f>
        <v/>
      </c>
      <c r="B3294" t="str">
        <f>IF($C3294="","","C"&amp;TEXT(INT((ROW()-5)/9)+1,"000")&amp;"-2")</f>
        <v/>
      </c>
      <c r="C3294" t="str">
        <f>IF(OR(Registro_Compras!$C$369="",Registro_Compras!$O$369=""),"","79/791")</f>
        <v/>
      </c>
      <c r="D3294" t="str">
        <f>IF(OR(Registro_Compras!$C$369="",Registro_Compras!$O$369=""),"","Cargas Imputables a Cuentas de Costos y Gastos")</f>
        <v/>
      </c>
      <c r="E3294" s="20" t="str">
        <f>IF($C3294="","",IF(Registro_Compras!$F$369="NOTA DE CREDITO",ROUND(ABS(Registro_Compras!$J$369*Registro_Compras!$N$369),2),""))</f>
        <v/>
      </c>
      <c r="F3294" s="20" t="str">
        <f>IF($C3294="","",IF(Registro_Compras!$F$369="NOTA DE CREDITO","",IF(Registro_Compras!$F$369="RHE",ROUND(Registro_Compras!$L$369*Registro_Compras!$N$369,2),ROUND(Registro_Compras!$J$369*Registro_Compras!$N$369,2))))</f>
        <v/>
      </c>
      <c r="G3294" t="str">
        <f>IF($C3294="","","Por el destino del gasto")</f>
        <v/>
      </c>
      <c r="H3294" t="str">
        <f>IF($C3294="","",Registro_Compras!$C$369)</f>
        <v/>
      </c>
    </row>
    <row r="3295" spans="1:8" x14ac:dyDescent="0.25">
      <c r="A3295" s="25" t="str">
        <f>IF($C3295="","",Registro_Compras!$X$369)</f>
        <v/>
      </c>
      <c r="B3295" t="str">
        <f>IF($C3295="","","C"&amp;TEXT(INT((ROW()-5)/9)+1,"000")&amp;"-3")</f>
        <v/>
      </c>
      <c r="C3295" t="str">
        <f>IF(OR(Registro_Compras!$C$369="",Registro_Compras!$O$369="",Registro_Compras!$R$369&lt;&gt;"SI",Registro_Compras!$X$369=""),"","4212")</f>
        <v/>
      </c>
      <c r="D3295" t="str">
        <f>IF(OR(Registro_Compras!$C$369="",Registro_Compras!$O$369=""),"","Cuentas por Pagar Comerciales - Terceros")</f>
        <v/>
      </c>
      <c r="E3295" s="20" t="str">
        <f>IF($C3295="","",Registro_Compras!$S$369)</f>
        <v/>
      </c>
      <c r="F3295" s="20" t="str">
        <f>""</f>
        <v/>
      </c>
      <c r="G3295" t="str">
        <f>IF($C3295="","","Por el deposito de la detraccion en el Banco de la Nacion")</f>
        <v/>
      </c>
      <c r="H3295" t="str">
        <f>IF($C3295="","",Registro_Compras!$C$369)</f>
        <v/>
      </c>
    </row>
    <row r="3296" spans="1:8" x14ac:dyDescent="0.25">
      <c r="A3296" s="25" t="str">
        <f>IF($C3296="","",Registro_Compras!$X$369)</f>
        <v/>
      </c>
      <c r="B3296" t="str">
        <f>IF($C3296="","","C"&amp;TEXT(INT((ROW()-5)/9)+1,"000")&amp;"-3")</f>
        <v/>
      </c>
      <c r="C3296" t="str">
        <f>IF(OR(Registro_Compras!$C$369="",Registro_Compras!$O$369="",Registro_Compras!$R$369&lt;&gt;"SI",Registro_Compras!$X$369=""),"","1041")</f>
        <v/>
      </c>
      <c r="D3296" t="str">
        <f>IF(OR(Registro_Compras!$C$369="",Registro_Compras!$O$369=""),"","Efectivo y Equivalentes - Cta. Cte. Operativa")</f>
        <v/>
      </c>
      <c r="E3296" s="20" t="str">
        <f>""</f>
        <v/>
      </c>
      <c r="F3296" s="20" t="str">
        <f>IF($C3296="","",Registro_Compras!$S$369)</f>
        <v/>
      </c>
      <c r="G3296" t="str">
        <f>IF($C3296="","","Por el deposito de la detraccion en el Banco de la Nacion")</f>
        <v/>
      </c>
      <c r="H3296" t="str">
        <f>IF($C3296="","",Registro_Compras!$C$369)</f>
        <v/>
      </c>
    </row>
    <row r="3297" spans="1:8" x14ac:dyDescent="0.25">
      <c r="A3297" s="25" t="str">
        <f>IF($C3297="","",Registro_Compras!$Y$369)</f>
        <v/>
      </c>
      <c r="B3297" t="str">
        <f>IF($C3297="","","C"&amp;TEXT(INT((ROW()-5)/9)+1,"000")&amp;"-4")</f>
        <v/>
      </c>
      <c r="C3297" t="str">
        <f>IF(OR(Registro_Compras!$C$369="",Registro_Compras!$O$369="",Registro_Compras!$Y$369="",Registro_Compras!$F$369="NOTA DE CREDITO"),"","4212")</f>
        <v/>
      </c>
      <c r="D3297" t="str">
        <f>IF(OR(Registro_Compras!$C$369="",Registro_Compras!$O$369=""),"","Cuentas por Pagar Comerciales - Terceros")</f>
        <v/>
      </c>
      <c r="E3297" s="20" t="str">
        <f>IF($C3297="","",IF(Registro_Compras!$F$369="RHE",(ROUND(Registro_Compras!$L$369*Registro_Compras!$N$369,2)-ROUND(Registro_Compras!$V$369*Registro_Compras!$N$369,2)),ROUND(Registro_Compras!$O$369-Registro_Compras!$S$369,2)))</f>
        <v/>
      </c>
      <c r="F3297" s="20" t="str">
        <f>""</f>
        <v/>
      </c>
      <c r="G3297" t="str">
        <f>IF($C3297="","","Por la cancelacion del saldo al proveedor")</f>
        <v/>
      </c>
      <c r="H3297" t="str">
        <f>IF($C3297="","",Registro_Compras!$C$369)</f>
        <v/>
      </c>
    </row>
    <row r="3298" spans="1:8" x14ac:dyDescent="0.25">
      <c r="A3298" s="25" t="str">
        <f>IF($C3298="","",Registro_Compras!$Y$369)</f>
        <v/>
      </c>
      <c r="B3298" t="str">
        <f>IF($C3298="","","C"&amp;TEXT(INT((ROW()-5)/9)+1,"000")&amp;"-4")</f>
        <v/>
      </c>
      <c r="C3298" t="str">
        <f>IF(OR(Registro_Compras!$C$369="",Registro_Compras!$O$369="",Registro_Compras!$Y$369="",Registro_Compras!$F$369="NOTA DE CREDITO"),"","1041")</f>
        <v/>
      </c>
      <c r="D3298" t="str">
        <f>IF(OR(Registro_Compras!$C$369="",Registro_Compras!$O$369=""),"","Efectivo y Equivalentes - Cta. Cte. Operativa")</f>
        <v/>
      </c>
      <c r="E3298" s="20" t="str">
        <f>""</f>
        <v/>
      </c>
      <c r="F3298" s="20" t="str">
        <f>IF($C3298="","",IF(Registro_Compras!$F$369="RHE",(ROUND(Registro_Compras!$L$369*Registro_Compras!$N$369,2)-ROUND(Registro_Compras!$V$369*Registro_Compras!$N$369,2)),ROUND(Registro_Compras!$O$369-Registro_Compras!$S$369,2)))</f>
        <v/>
      </c>
      <c r="G3298" t="str">
        <f>IF($C3298="","","Por la cancelacion del saldo al proveedor")</f>
        <v/>
      </c>
      <c r="H3298" t="str">
        <f>IF($C3298="","",Registro_Compras!$C$369)</f>
        <v/>
      </c>
    </row>
    <row r="3299" spans="1:8" x14ac:dyDescent="0.25">
      <c r="A3299" s="25" t="str">
        <f>IF($C3299="","",Registro_Compras!$B$370)</f>
        <v/>
      </c>
      <c r="B3299" t="str">
        <f>IF($C3299="","","C"&amp;TEXT(INT((ROW()-5)/9)+1,"000")&amp;"-1")</f>
        <v/>
      </c>
      <c r="C3299" t="str">
        <f>IF(OR(Registro_Compras!$C$370="",Registro_Compras!$O$370=""),"",IF(Registro_Compras!$F$370="NOTA DE CREDITO","4212",IF(Registro_Compras!$M$370="","63",Registro_Compras!$M$370)))</f>
        <v/>
      </c>
      <c r="D3299" t="str">
        <f>IF(OR(Registro_Compras!$C$370="",Registro_Compras!$O$370=""),"",IF(Registro_Compras!$F$370="NOTA DE CREDITO","Cuentas por Pagar Comerciales - Terceros (Emitidas)",IF(Registro_Compras!$F$370="RHE","Honorarios Profesionales - Servicios de Terceros","Gastos de Servicios Prestados por Terceros")))</f>
        <v/>
      </c>
      <c r="E3299" s="20" t="str">
        <f>IF($C3299="","",IF(Registro_Compras!$F$370="NOTA DE CREDITO",ABS(Registro_Compras!$O$370),IF(Registro_Compras!$F$370="RHE",ROUND(Registro_Compras!$L$370*Registro_Compras!$N$370,2),ROUND(Registro_Compras!$J$370*Registro_Compras!$N$370,2))))</f>
        <v/>
      </c>
      <c r="F3299" s="20" t="str">
        <f>""</f>
        <v/>
      </c>
      <c r="G3299" t="str">
        <f>IF($C3299="","",IF(Registro_Compras!$F$370="NOTA DE CREDITO","Por la nota de credito "&amp;Registro_Compras!$C$370&amp;" de "&amp;Registro_Compras!$E$370&amp;" [PATRON POR CONFIRMAR CON CONTADOR]",IF(Registro_Compras!$F$370="RHE","Por el registro del recibo por honorarios "&amp;Registro_Compras!$C$370&amp;" de "&amp;Registro_Compras!$E$370&amp;" [PATRON POR CONFIRMAR CON CONTADOR]","Por el registro de la factura "&amp;Registro_Compras!$C$370&amp;" de "&amp;Registro_Compras!$E$370)))</f>
        <v/>
      </c>
      <c r="H3299" t="str">
        <f>IF($C3299="","",Registro_Compras!$C$370)</f>
        <v/>
      </c>
    </row>
    <row r="3300" spans="1:8" x14ac:dyDescent="0.25">
      <c r="A3300" s="25" t="str">
        <f>IF($C3300="","",Registro_Compras!$B$370)</f>
        <v/>
      </c>
      <c r="B3300" t="str">
        <f>IF($C3300="","","C"&amp;TEXT(INT((ROW()-5)/9)+1,"000")&amp;"-1")</f>
        <v/>
      </c>
      <c r="C3300" t="str">
        <f>IF(OR(Registro_Compras!$C$370="",Registro_Compras!$O$370=""),"",IF(Registro_Compras!$F$370="RHE",IF(Registro_Compras!$V$370=0,"","4017"),IF(Registro_Compras!$F$370="NOTA DE CREDITO",IF(Registro_Compras!$M$370="","63",Registro_Compras!$M$370),IF(Registro_Compras!$K$370=0,"","40111"))))</f>
        <v/>
      </c>
      <c r="D3300" t="str">
        <f>IF(OR(Registro_Compras!$C$370="",Registro_Compras!$O$370=""),"",IF(Registro_Compras!$F$370="RHE","Retencion Renta 4ta Categoria por Pagar",IF(Registro_Compras!$F$370="NOTA DE CREDITO","Gastos de Servicios Prestados por Terceros","IGV - Cuenta Propia (Credito Fiscal)")))</f>
        <v/>
      </c>
      <c r="E3300" s="20" t="str">
        <f>IF($C3300="","",IF(Registro_Compras!$F$370="FACTURA",ROUND(Registro_Compras!$K$370*Registro_Compras!$N$370,2),""))</f>
        <v/>
      </c>
      <c r="F3300" s="20" t="str">
        <f>IF($C3300="","",IF(Registro_Compras!$F$370="RHE",ROUND(Registro_Compras!$V$370*Registro_Compras!$N$370,2),IF(Registro_Compras!$F$370="NOTA DE CREDITO",ROUND(ABS(Registro_Compras!$J$370*Registro_Compras!$N$370),2),"")))</f>
        <v/>
      </c>
      <c r="G3300" t="str">
        <f>IF($C3300="","",IF(Registro_Compras!$F$370="NOTA DE CREDITO","Por la nota de credito "&amp;Registro_Compras!$C$370&amp;" de "&amp;Registro_Compras!$E$370&amp;" [PATRON POR CONFIRMAR CON CONTADOR]",IF(Registro_Compras!$F$370="RHE","Por el registro del recibo por honorarios "&amp;Registro_Compras!$C$370&amp;" de "&amp;Registro_Compras!$E$370&amp;" [PATRON POR CONFIRMAR CON CONTADOR]","Por el registro de la factura "&amp;Registro_Compras!$C$370&amp;" de "&amp;Registro_Compras!$E$370)))</f>
        <v/>
      </c>
      <c r="H3300" t="str">
        <f>IF($C3300="","",Registro_Compras!$C$370)</f>
        <v/>
      </c>
    </row>
    <row r="3301" spans="1:8" x14ac:dyDescent="0.25">
      <c r="A3301" s="25" t="str">
        <f>IF($C3301="","",Registro_Compras!$B$370)</f>
        <v/>
      </c>
      <c r="B3301" t="str">
        <f>IF($C3301="","","C"&amp;TEXT(INT((ROW()-5)/9)+1,"000")&amp;"-1")</f>
        <v/>
      </c>
      <c r="C3301" t="str">
        <f>IF(OR(Registro_Compras!$C$370="",Registro_Compras!$O$370=""),"",IF(Registro_Compras!$F$370="NOTA DE CREDITO",IF(Registro_Compras!$K$370=0,"","40111"),"4212"))</f>
        <v/>
      </c>
      <c r="D3301" t="str">
        <f>IF(OR(Registro_Compras!$C$370="",Registro_Compras!$O$370=""),"",IF(Registro_Compras!$F$370="NOTA DE CREDITO","IGV - Cuenta Propia (Credito Fiscal)","Cuentas por Pagar Comerciales - Terceros (Emitidas)"))</f>
        <v/>
      </c>
      <c r="E3301" s="20" t="str">
        <f>""</f>
        <v/>
      </c>
      <c r="F3301" s="20" t="str">
        <f>IF($C3301="","",IF(Registro_Compras!$F$370="NOTA DE CREDITO",ROUND(ABS(Registro_Compras!$K$370*Registro_Compras!$N$370),2),IF(Registro_Compras!$F$370="RHE",(ROUND(Registro_Compras!$L$370*Registro_Compras!$N$370,2)-ROUND(Registro_Compras!$V$370*Registro_Compras!$N$370,2)),Registro_Compras!$O$370)))</f>
        <v/>
      </c>
      <c r="G3301" t="str">
        <f>IF($C3301="","",IF(Registro_Compras!$F$370="NOTA DE CREDITO","Por la nota de credito "&amp;Registro_Compras!$C$370&amp;" de "&amp;Registro_Compras!$E$370&amp;" [PATRON POR CONFIRMAR CON CONTADOR]",IF(Registro_Compras!$F$370="RHE","Por el registro del recibo por honorarios "&amp;Registro_Compras!$C$370&amp;" de "&amp;Registro_Compras!$E$370&amp;" [PATRON POR CONFIRMAR CON CONTADOR]","Por el registro de la factura "&amp;Registro_Compras!$C$370&amp;" de "&amp;Registro_Compras!$E$370)))</f>
        <v/>
      </c>
      <c r="H3301" t="str">
        <f>IF($C3301="","",Registro_Compras!$C$370)</f>
        <v/>
      </c>
    </row>
    <row r="3302" spans="1:8" x14ac:dyDescent="0.25">
      <c r="A3302" s="25" t="str">
        <f>IF($C3302="","",Registro_Compras!$B$370)</f>
        <v/>
      </c>
      <c r="B3302" t="str">
        <f>IF($C3302="","","C"&amp;TEXT(INT((ROW()-5)/9)+1,"000")&amp;"-2")</f>
        <v/>
      </c>
      <c r="C3302" t="str">
        <f>IF(OR(Registro_Compras!$C$370="",Registro_Compras!$O$370=""),"",IF(Registro_Compras!$AB$370="ADMINISTRATIVO","94","95"))</f>
        <v/>
      </c>
      <c r="D3302" t="str">
        <f>IF(OR(Registro_Compras!$C$370="",Registro_Compras!$O$370=""),"",IF(Registro_Compras!$AB$370="ADMINISTRATIVO","Gastos Administrativos","Gastos de Venta y Operacion"))</f>
        <v/>
      </c>
      <c r="E3302" s="20" t="str">
        <f>IF($C3302="","",IF(Registro_Compras!$F$370="NOTA DE CREDITO","",IF(Registro_Compras!$F$370="RHE",ROUND(Registro_Compras!$L$370*Registro_Compras!$N$370,2),ROUND(Registro_Compras!$J$370*Registro_Compras!$N$370,2))))</f>
        <v/>
      </c>
      <c r="F3302" s="20" t="str">
        <f>IF($C3302="","",IF(Registro_Compras!$F$370="NOTA DE CREDITO",ROUND(ABS(Registro_Compras!$J$370*Registro_Compras!$N$370),2),""))</f>
        <v/>
      </c>
      <c r="G3302" t="str">
        <f>IF($C3302="","","Por el destino del gasto")</f>
        <v/>
      </c>
      <c r="H3302" t="str">
        <f>IF($C3302="","",Registro_Compras!$C$370)</f>
        <v/>
      </c>
    </row>
    <row r="3303" spans="1:8" x14ac:dyDescent="0.25">
      <c r="A3303" s="25" t="str">
        <f>IF($C3303="","",Registro_Compras!$B$370)</f>
        <v/>
      </c>
      <c r="B3303" t="str">
        <f>IF($C3303="","","C"&amp;TEXT(INT((ROW()-5)/9)+1,"000")&amp;"-2")</f>
        <v/>
      </c>
      <c r="C3303" t="str">
        <f>IF(OR(Registro_Compras!$C$370="",Registro_Compras!$O$370=""),"","79/791")</f>
        <v/>
      </c>
      <c r="D3303" t="str">
        <f>IF(OR(Registro_Compras!$C$370="",Registro_Compras!$O$370=""),"","Cargas Imputables a Cuentas de Costos y Gastos")</f>
        <v/>
      </c>
      <c r="E3303" s="20" t="str">
        <f>IF($C3303="","",IF(Registro_Compras!$F$370="NOTA DE CREDITO",ROUND(ABS(Registro_Compras!$J$370*Registro_Compras!$N$370),2),""))</f>
        <v/>
      </c>
      <c r="F3303" s="20" t="str">
        <f>IF($C3303="","",IF(Registro_Compras!$F$370="NOTA DE CREDITO","",IF(Registro_Compras!$F$370="RHE",ROUND(Registro_Compras!$L$370*Registro_Compras!$N$370,2),ROUND(Registro_Compras!$J$370*Registro_Compras!$N$370,2))))</f>
        <v/>
      </c>
      <c r="G3303" t="str">
        <f>IF($C3303="","","Por el destino del gasto")</f>
        <v/>
      </c>
      <c r="H3303" t="str">
        <f>IF($C3303="","",Registro_Compras!$C$370)</f>
        <v/>
      </c>
    </row>
    <row r="3304" spans="1:8" x14ac:dyDescent="0.25">
      <c r="A3304" s="25" t="str">
        <f>IF($C3304="","",Registro_Compras!$X$370)</f>
        <v/>
      </c>
      <c r="B3304" t="str">
        <f>IF($C3304="","","C"&amp;TEXT(INT((ROW()-5)/9)+1,"000")&amp;"-3")</f>
        <v/>
      </c>
      <c r="C3304" t="str">
        <f>IF(OR(Registro_Compras!$C$370="",Registro_Compras!$O$370="",Registro_Compras!$R$370&lt;&gt;"SI",Registro_Compras!$X$370=""),"","4212")</f>
        <v/>
      </c>
      <c r="D3304" t="str">
        <f>IF(OR(Registro_Compras!$C$370="",Registro_Compras!$O$370=""),"","Cuentas por Pagar Comerciales - Terceros")</f>
        <v/>
      </c>
      <c r="E3304" s="20" t="str">
        <f>IF($C3304="","",Registro_Compras!$S$370)</f>
        <v/>
      </c>
      <c r="F3304" s="20" t="str">
        <f>""</f>
        <v/>
      </c>
      <c r="G3304" t="str">
        <f>IF($C3304="","","Por el deposito de la detraccion en el Banco de la Nacion")</f>
        <v/>
      </c>
      <c r="H3304" t="str">
        <f>IF($C3304="","",Registro_Compras!$C$370)</f>
        <v/>
      </c>
    </row>
    <row r="3305" spans="1:8" x14ac:dyDescent="0.25">
      <c r="A3305" s="25" t="str">
        <f>IF($C3305="","",Registro_Compras!$X$370)</f>
        <v/>
      </c>
      <c r="B3305" t="str">
        <f>IF($C3305="","","C"&amp;TEXT(INT((ROW()-5)/9)+1,"000")&amp;"-3")</f>
        <v/>
      </c>
      <c r="C3305" t="str">
        <f>IF(OR(Registro_Compras!$C$370="",Registro_Compras!$O$370="",Registro_Compras!$R$370&lt;&gt;"SI",Registro_Compras!$X$370=""),"","1041")</f>
        <v/>
      </c>
      <c r="D3305" t="str">
        <f>IF(OR(Registro_Compras!$C$370="",Registro_Compras!$O$370=""),"","Efectivo y Equivalentes - Cta. Cte. Operativa")</f>
        <v/>
      </c>
      <c r="E3305" s="20" t="str">
        <f>""</f>
        <v/>
      </c>
      <c r="F3305" s="20" t="str">
        <f>IF($C3305="","",Registro_Compras!$S$370)</f>
        <v/>
      </c>
      <c r="G3305" t="str">
        <f>IF($C3305="","","Por el deposito de la detraccion en el Banco de la Nacion")</f>
        <v/>
      </c>
      <c r="H3305" t="str">
        <f>IF($C3305="","",Registro_Compras!$C$370)</f>
        <v/>
      </c>
    </row>
    <row r="3306" spans="1:8" x14ac:dyDescent="0.25">
      <c r="A3306" s="25" t="str">
        <f>IF($C3306="","",Registro_Compras!$Y$370)</f>
        <v/>
      </c>
      <c r="B3306" t="str">
        <f>IF($C3306="","","C"&amp;TEXT(INT((ROW()-5)/9)+1,"000")&amp;"-4")</f>
        <v/>
      </c>
      <c r="C3306" t="str">
        <f>IF(OR(Registro_Compras!$C$370="",Registro_Compras!$O$370="",Registro_Compras!$Y$370="",Registro_Compras!$F$370="NOTA DE CREDITO"),"","4212")</f>
        <v/>
      </c>
      <c r="D3306" t="str">
        <f>IF(OR(Registro_Compras!$C$370="",Registro_Compras!$O$370=""),"","Cuentas por Pagar Comerciales - Terceros")</f>
        <v/>
      </c>
      <c r="E3306" s="20" t="str">
        <f>IF($C3306="","",IF(Registro_Compras!$F$370="RHE",(ROUND(Registro_Compras!$L$370*Registro_Compras!$N$370,2)-ROUND(Registro_Compras!$V$370*Registro_Compras!$N$370,2)),ROUND(Registro_Compras!$O$370-Registro_Compras!$S$370,2)))</f>
        <v/>
      </c>
      <c r="F3306" s="20" t="str">
        <f>""</f>
        <v/>
      </c>
      <c r="G3306" t="str">
        <f>IF($C3306="","","Por la cancelacion del saldo al proveedor")</f>
        <v/>
      </c>
      <c r="H3306" t="str">
        <f>IF($C3306="","",Registro_Compras!$C$370)</f>
        <v/>
      </c>
    </row>
    <row r="3307" spans="1:8" x14ac:dyDescent="0.25">
      <c r="A3307" s="25" t="str">
        <f>IF($C3307="","",Registro_Compras!$Y$370)</f>
        <v/>
      </c>
      <c r="B3307" t="str">
        <f>IF($C3307="","","C"&amp;TEXT(INT((ROW()-5)/9)+1,"000")&amp;"-4")</f>
        <v/>
      </c>
      <c r="C3307" t="str">
        <f>IF(OR(Registro_Compras!$C$370="",Registro_Compras!$O$370="",Registro_Compras!$Y$370="",Registro_Compras!$F$370="NOTA DE CREDITO"),"","1041")</f>
        <v/>
      </c>
      <c r="D3307" t="str">
        <f>IF(OR(Registro_Compras!$C$370="",Registro_Compras!$O$370=""),"","Efectivo y Equivalentes - Cta. Cte. Operativa")</f>
        <v/>
      </c>
      <c r="E3307" s="20" t="str">
        <f>""</f>
        <v/>
      </c>
      <c r="F3307" s="20" t="str">
        <f>IF($C3307="","",IF(Registro_Compras!$F$370="RHE",(ROUND(Registro_Compras!$L$370*Registro_Compras!$N$370,2)-ROUND(Registro_Compras!$V$370*Registro_Compras!$N$370,2)),ROUND(Registro_Compras!$O$370-Registro_Compras!$S$370,2)))</f>
        <v/>
      </c>
      <c r="G3307" t="str">
        <f>IF($C3307="","","Por la cancelacion del saldo al proveedor")</f>
        <v/>
      </c>
      <c r="H3307" t="str">
        <f>IF($C3307="","",Registro_Compras!$C$370)</f>
        <v/>
      </c>
    </row>
    <row r="3308" spans="1:8" x14ac:dyDescent="0.25">
      <c r="A3308" s="25" t="str">
        <f>IF($C3308="","",Registro_Compras!$B$371)</f>
        <v/>
      </c>
      <c r="B3308" t="str">
        <f>IF($C3308="","","C"&amp;TEXT(INT((ROW()-5)/9)+1,"000")&amp;"-1")</f>
        <v/>
      </c>
      <c r="C3308" t="str">
        <f>IF(OR(Registro_Compras!$C$371="",Registro_Compras!$O$371=""),"",IF(Registro_Compras!$F$371="NOTA DE CREDITO","4212",IF(Registro_Compras!$M$371="","63",Registro_Compras!$M$371)))</f>
        <v/>
      </c>
      <c r="D3308" t="str">
        <f>IF(OR(Registro_Compras!$C$371="",Registro_Compras!$O$371=""),"",IF(Registro_Compras!$F$371="NOTA DE CREDITO","Cuentas por Pagar Comerciales - Terceros (Emitidas)",IF(Registro_Compras!$F$371="RHE","Honorarios Profesionales - Servicios de Terceros","Gastos de Servicios Prestados por Terceros")))</f>
        <v/>
      </c>
      <c r="E3308" s="20" t="str">
        <f>IF($C3308="","",IF(Registro_Compras!$F$371="NOTA DE CREDITO",ABS(Registro_Compras!$O$371),IF(Registro_Compras!$F$371="RHE",ROUND(Registro_Compras!$L$371*Registro_Compras!$N$371,2),ROUND(Registro_Compras!$J$371*Registro_Compras!$N$371,2))))</f>
        <v/>
      </c>
      <c r="F3308" s="20" t="str">
        <f>""</f>
        <v/>
      </c>
      <c r="G3308" t="str">
        <f>IF($C3308="","",IF(Registro_Compras!$F$371="NOTA DE CREDITO","Por la nota de credito "&amp;Registro_Compras!$C$371&amp;" de "&amp;Registro_Compras!$E$371&amp;" [PATRON POR CONFIRMAR CON CONTADOR]",IF(Registro_Compras!$F$371="RHE","Por el registro del recibo por honorarios "&amp;Registro_Compras!$C$371&amp;" de "&amp;Registro_Compras!$E$371&amp;" [PATRON POR CONFIRMAR CON CONTADOR]","Por el registro de la factura "&amp;Registro_Compras!$C$371&amp;" de "&amp;Registro_Compras!$E$371)))</f>
        <v/>
      </c>
      <c r="H3308" t="str">
        <f>IF($C3308="","",Registro_Compras!$C$371)</f>
        <v/>
      </c>
    </row>
    <row r="3309" spans="1:8" x14ac:dyDescent="0.25">
      <c r="A3309" s="25" t="str">
        <f>IF($C3309="","",Registro_Compras!$B$371)</f>
        <v/>
      </c>
      <c r="B3309" t="str">
        <f>IF($C3309="","","C"&amp;TEXT(INT((ROW()-5)/9)+1,"000")&amp;"-1")</f>
        <v/>
      </c>
      <c r="C3309" t="str">
        <f>IF(OR(Registro_Compras!$C$371="",Registro_Compras!$O$371=""),"",IF(Registro_Compras!$F$371="RHE",IF(Registro_Compras!$V$371=0,"","4017"),IF(Registro_Compras!$F$371="NOTA DE CREDITO",IF(Registro_Compras!$M$371="","63",Registro_Compras!$M$371),IF(Registro_Compras!$K$371=0,"","40111"))))</f>
        <v/>
      </c>
      <c r="D3309" t="str">
        <f>IF(OR(Registro_Compras!$C$371="",Registro_Compras!$O$371=""),"",IF(Registro_Compras!$F$371="RHE","Retencion Renta 4ta Categoria por Pagar",IF(Registro_Compras!$F$371="NOTA DE CREDITO","Gastos de Servicios Prestados por Terceros","IGV - Cuenta Propia (Credito Fiscal)")))</f>
        <v/>
      </c>
      <c r="E3309" s="20" t="str">
        <f>IF($C3309="","",IF(Registro_Compras!$F$371="FACTURA",ROUND(Registro_Compras!$K$371*Registro_Compras!$N$371,2),""))</f>
        <v/>
      </c>
      <c r="F3309" s="20" t="str">
        <f>IF($C3309="","",IF(Registro_Compras!$F$371="RHE",ROUND(Registro_Compras!$V$371*Registro_Compras!$N$371,2),IF(Registro_Compras!$F$371="NOTA DE CREDITO",ROUND(ABS(Registro_Compras!$J$371*Registro_Compras!$N$371),2),"")))</f>
        <v/>
      </c>
      <c r="G3309" t="str">
        <f>IF($C3309="","",IF(Registro_Compras!$F$371="NOTA DE CREDITO","Por la nota de credito "&amp;Registro_Compras!$C$371&amp;" de "&amp;Registro_Compras!$E$371&amp;" [PATRON POR CONFIRMAR CON CONTADOR]",IF(Registro_Compras!$F$371="RHE","Por el registro del recibo por honorarios "&amp;Registro_Compras!$C$371&amp;" de "&amp;Registro_Compras!$E$371&amp;" [PATRON POR CONFIRMAR CON CONTADOR]","Por el registro de la factura "&amp;Registro_Compras!$C$371&amp;" de "&amp;Registro_Compras!$E$371)))</f>
        <v/>
      </c>
      <c r="H3309" t="str">
        <f>IF($C3309="","",Registro_Compras!$C$371)</f>
        <v/>
      </c>
    </row>
    <row r="3310" spans="1:8" x14ac:dyDescent="0.25">
      <c r="A3310" s="25" t="str">
        <f>IF($C3310="","",Registro_Compras!$B$371)</f>
        <v/>
      </c>
      <c r="B3310" t="str">
        <f>IF($C3310="","","C"&amp;TEXT(INT((ROW()-5)/9)+1,"000")&amp;"-1")</f>
        <v/>
      </c>
      <c r="C3310" t="str">
        <f>IF(OR(Registro_Compras!$C$371="",Registro_Compras!$O$371=""),"",IF(Registro_Compras!$F$371="NOTA DE CREDITO",IF(Registro_Compras!$K$371=0,"","40111"),"4212"))</f>
        <v/>
      </c>
      <c r="D3310" t="str">
        <f>IF(OR(Registro_Compras!$C$371="",Registro_Compras!$O$371=""),"",IF(Registro_Compras!$F$371="NOTA DE CREDITO","IGV - Cuenta Propia (Credito Fiscal)","Cuentas por Pagar Comerciales - Terceros (Emitidas)"))</f>
        <v/>
      </c>
      <c r="E3310" s="20" t="str">
        <f>""</f>
        <v/>
      </c>
      <c r="F3310" s="20" t="str">
        <f>IF($C3310="","",IF(Registro_Compras!$F$371="NOTA DE CREDITO",ROUND(ABS(Registro_Compras!$K$371*Registro_Compras!$N$371),2),IF(Registro_Compras!$F$371="RHE",(ROUND(Registro_Compras!$L$371*Registro_Compras!$N$371,2)-ROUND(Registro_Compras!$V$371*Registro_Compras!$N$371,2)),Registro_Compras!$O$371)))</f>
        <v/>
      </c>
      <c r="G3310" t="str">
        <f>IF($C3310="","",IF(Registro_Compras!$F$371="NOTA DE CREDITO","Por la nota de credito "&amp;Registro_Compras!$C$371&amp;" de "&amp;Registro_Compras!$E$371&amp;" [PATRON POR CONFIRMAR CON CONTADOR]",IF(Registro_Compras!$F$371="RHE","Por el registro del recibo por honorarios "&amp;Registro_Compras!$C$371&amp;" de "&amp;Registro_Compras!$E$371&amp;" [PATRON POR CONFIRMAR CON CONTADOR]","Por el registro de la factura "&amp;Registro_Compras!$C$371&amp;" de "&amp;Registro_Compras!$E$371)))</f>
        <v/>
      </c>
      <c r="H3310" t="str">
        <f>IF($C3310="","",Registro_Compras!$C$371)</f>
        <v/>
      </c>
    </row>
    <row r="3311" spans="1:8" x14ac:dyDescent="0.25">
      <c r="A3311" s="25" t="str">
        <f>IF($C3311="","",Registro_Compras!$B$371)</f>
        <v/>
      </c>
      <c r="B3311" t="str">
        <f>IF($C3311="","","C"&amp;TEXT(INT((ROW()-5)/9)+1,"000")&amp;"-2")</f>
        <v/>
      </c>
      <c r="C3311" t="str">
        <f>IF(OR(Registro_Compras!$C$371="",Registro_Compras!$O$371=""),"",IF(Registro_Compras!$AB$371="ADMINISTRATIVO","94","95"))</f>
        <v/>
      </c>
      <c r="D3311" t="str">
        <f>IF(OR(Registro_Compras!$C$371="",Registro_Compras!$O$371=""),"",IF(Registro_Compras!$AB$371="ADMINISTRATIVO","Gastos Administrativos","Gastos de Venta y Operacion"))</f>
        <v/>
      </c>
      <c r="E3311" s="20" t="str">
        <f>IF($C3311="","",IF(Registro_Compras!$F$371="NOTA DE CREDITO","",IF(Registro_Compras!$F$371="RHE",ROUND(Registro_Compras!$L$371*Registro_Compras!$N$371,2),ROUND(Registro_Compras!$J$371*Registro_Compras!$N$371,2))))</f>
        <v/>
      </c>
      <c r="F3311" s="20" t="str">
        <f>IF($C3311="","",IF(Registro_Compras!$F$371="NOTA DE CREDITO",ROUND(ABS(Registro_Compras!$J$371*Registro_Compras!$N$371),2),""))</f>
        <v/>
      </c>
      <c r="G3311" t="str">
        <f>IF($C3311="","","Por el destino del gasto")</f>
        <v/>
      </c>
      <c r="H3311" t="str">
        <f>IF($C3311="","",Registro_Compras!$C$371)</f>
        <v/>
      </c>
    </row>
    <row r="3312" spans="1:8" x14ac:dyDescent="0.25">
      <c r="A3312" s="25" t="str">
        <f>IF($C3312="","",Registro_Compras!$B$371)</f>
        <v/>
      </c>
      <c r="B3312" t="str">
        <f>IF($C3312="","","C"&amp;TEXT(INT((ROW()-5)/9)+1,"000")&amp;"-2")</f>
        <v/>
      </c>
      <c r="C3312" t="str">
        <f>IF(OR(Registro_Compras!$C$371="",Registro_Compras!$O$371=""),"","79/791")</f>
        <v/>
      </c>
      <c r="D3312" t="str">
        <f>IF(OR(Registro_Compras!$C$371="",Registro_Compras!$O$371=""),"","Cargas Imputables a Cuentas de Costos y Gastos")</f>
        <v/>
      </c>
      <c r="E3312" s="20" t="str">
        <f>IF($C3312="","",IF(Registro_Compras!$F$371="NOTA DE CREDITO",ROUND(ABS(Registro_Compras!$J$371*Registro_Compras!$N$371),2),""))</f>
        <v/>
      </c>
      <c r="F3312" s="20" t="str">
        <f>IF($C3312="","",IF(Registro_Compras!$F$371="NOTA DE CREDITO","",IF(Registro_Compras!$F$371="RHE",ROUND(Registro_Compras!$L$371*Registro_Compras!$N$371,2),ROUND(Registro_Compras!$J$371*Registro_Compras!$N$371,2))))</f>
        <v/>
      </c>
      <c r="G3312" t="str">
        <f>IF($C3312="","","Por el destino del gasto")</f>
        <v/>
      </c>
      <c r="H3312" t="str">
        <f>IF($C3312="","",Registro_Compras!$C$371)</f>
        <v/>
      </c>
    </row>
    <row r="3313" spans="1:8" x14ac:dyDescent="0.25">
      <c r="A3313" s="25" t="str">
        <f>IF($C3313="","",Registro_Compras!$X$371)</f>
        <v/>
      </c>
      <c r="B3313" t="str">
        <f>IF($C3313="","","C"&amp;TEXT(INT((ROW()-5)/9)+1,"000")&amp;"-3")</f>
        <v/>
      </c>
      <c r="C3313" t="str">
        <f>IF(OR(Registro_Compras!$C$371="",Registro_Compras!$O$371="",Registro_Compras!$R$371&lt;&gt;"SI",Registro_Compras!$X$371=""),"","4212")</f>
        <v/>
      </c>
      <c r="D3313" t="str">
        <f>IF(OR(Registro_Compras!$C$371="",Registro_Compras!$O$371=""),"","Cuentas por Pagar Comerciales - Terceros")</f>
        <v/>
      </c>
      <c r="E3313" s="20" t="str">
        <f>IF($C3313="","",Registro_Compras!$S$371)</f>
        <v/>
      </c>
      <c r="F3313" s="20" t="str">
        <f>""</f>
        <v/>
      </c>
      <c r="G3313" t="str">
        <f>IF($C3313="","","Por el deposito de la detraccion en el Banco de la Nacion")</f>
        <v/>
      </c>
      <c r="H3313" t="str">
        <f>IF($C3313="","",Registro_Compras!$C$371)</f>
        <v/>
      </c>
    </row>
    <row r="3314" spans="1:8" x14ac:dyDescent="0.25">
      <c r="A3314" s="25" t="str">
        <f>IF($C3314="","",Registro_Compras!$X$371)</f>
        <v/>
      </c>
      <c r="B3314" t="str">
        <f>IF($C3314="","","C"&amp;TEXT(INT((ROW()-5)/9)+1,"000")&amp;"-3")</f>
        <v/>
      </c>
      <c r="C3314" t="str">
        <f>IF(OR(Registro_Compras!$C$371="",Registro_Compras!$O$371="",Registro_Compras!$R$371&lt;&gt;"SI",Registro_Compras!$X$371=""),"","1041")</f>
        <v/>
      </c>
      <c r="D3314" t="str">
        <f>IF(OR(Registro_Compras!$C$371="",Registro_Compras!$O$371=""),"","Efectivo y Equivalentes - Cta. Cte. Operativa")</f>
        <v/>
      </c>
      <c r="E3314" s="20" t="str">
        <f>""</f>
        <v/>
      </c>
      <c r="F3314" s="20" t="str">
        <f>IF($C3314="","",Registro_Compras!$S$371)</f>
        <v/>
      </c>
      <c r="G3314" t="str">
        <f>IF($C3314="","","Por el deposito de la detraccion en el Banco de la Nacion")</f>
        <v/>
      </c>
      <c r="H3314" t="str">
        <f>IF($C3314="","",Registro_Compras!$C$371)</f>
        <v/>
      </c>
    </row>
    <row r="3315" spans="1:8" x14ac:dyDescent="0.25">
      <c r="A3315" s="25" t="str">
        <f>IF($C3315="","",Registro_Compras!$Y$371)</f>
        <v/>
      </c>
      <c r="B3315" t="str">
        <f>IF($C3315="","","C"&amp;TEXT(INT((ROW()-5)/9)+1,"000")&amp;"-4")</f>
        <v/>
      </c>
      <c r="C3315" t="str">
        <f>IF(OR(Registro_Compras!$C$371="",Registro_Compras!$O$371="",Registro_Compras!$Y$371="",Registro_Compras!$F$371="NOTA DE CREDITO"),"","4212")</f>
        <v/>
      </c>
      <c r="D3315" t="str">
        <f>IF(OR(Registro_Compras!$C$371="",Registro_Compras!$O$371=""),"","Cuentas por Pagar Comerciales - Terceros")</f>
        <v/>
      </c>
      <c r="E3315" s="20" t="str">
        <f>IF($C3315="","",IF(Registro_Compras!$F$371="RHE",(ROUND(Registro_Compras!$L$371*Registro_Compras!$N$371,2)-ROUND(Registro_Compras!$V$371*Registro_Compras!$N$371,2)),ROUND(Registro_Compras!$O$371-Registro_Compras!$S$371,2)))</f>
        <v/>
      </c>
      <c r="F3315" s="20" t="str">
        <f>""</f>
        <v/>
      </c>
      <c r="G3315" t="str">
        <f>IF($C3315="","","Por la cancelacion del saldo al proveedor")</f>
        <v/>
      </c>
      <c r="H3315" t="str">
        <f>IF($C3315="","",Registro_Compras!$C$371)</f>
        <v/>
      </c>
    </row>
    <row r="3316" spans="1:8" x14ac:dyDescent="0.25">
      <c r="A3316" s="25" t="str">
        <f>IF($C3316="","",Registro_Compras!$Y$371)</f>
        <v/>
      </c>
      <c r="B3316" t="str">
        <f>IF($C3316="","","C"&amp;TEXT(INT((ROW()-5)/9)+1,"000")&amp;"-4")</f>
        <v/>
      </c>
      <c r="C3316" t="str">
        <f>IF(OR(Registro_Compras!$C$371="",Registro_Compras!$O$371="",Registro_Compras!$Y$371="",Registro_Compras!$F$371="NOTA DE CREDITO"),"","1041")</f>
        <v/>
      </c>
      <c r="D3316" t="str">
        <f>IF(OR(Registro_Compras!$C$371="",Registro_Compras!$O$371=""),"","Efectivo y Equivalentes - Cta. Cte. Operativa")</f>
        <v/>
      </c>
      <c r="E3316" s="20" t="str">
        <f>""</f>
        <v/>
      </c>
      <c r="F3316" s="20" t="str">
        <f>IF($C3316="","",IF(Registro_Compras!$F$371="RHE",(ROUND(Registro_Compras!$L$371*Registro_Compras!$N$371,2)-ROUND(Registro_Compras!$V$371*Registro_Compras!$N$371,2)),ROUND(Registro_Compras!$O$371-Registro_Compras!$S$371,2)))</f>
        <v/>
      </c>
      <c r="G3316" t="str">
        <f>IF($C3316="","","Por la cancelacion del saldo al proveedor")</f>
        <v/>
      </c>
      <c r="H3316" t="str">
        <f>IF($C3316="","",Registro_Compras!$C$371)</f>
        <v/>
      </c>
    </row>
    <row r="3317" spans="1:8" x14ac:dyDescent="0.25">
      <c r="A3317" s="25" t="str">
        <f>IF($C3317="","",Registro_Compras!$B$372)</f>
        <v/>
      </c>
      <c r="B3317" t="str">
        <f>IF($C3317="","","C"&amp;TEXT(INT((ROW()-5)/9)+1,"000")&amp;"-1")</f>
        <v/>
      </c>
      <c r="C3317" t="str">
        <f>IF(OR(Registro_Compras!$C$372="",Registro_Compras!$O$372=""),"",IF(Registro_Compras!$F$372="NOTA DE CREDITO","4212",IF(Registro_Compras!$M$372="","63",Registro_Compras!$M$372)))</f>
        <v/>
      </c>
      <c r="D3317" t="str">
        <f>IF(OR(Registro_Compras!$C$372="",Registro_Compras!$O$372=""),"",IF(Registro_Compras!$F$372="NOTA DE CREDITO","Cuentas por Pagar Comerciales - Terceros (Emitidas)",IF(Registro_Compras!$F$372="RHE","Honorarios Profesionales - Servicios de Terceros","Gastos de Servicios Prestados por Terceros")))</f>
        <v/>
      </c>
      <c r="E3317" s="20" t="str">
        <f>IF($C3317="","",IF(Registro_Compras!$F$372="NOTA DE CREDITO",ABS(Registro_Compras!$O$372),IF(Registro_Compras!$F$372="RHE",ROUND(Registro_Compras!$L$372*Registro_Compras!$N$372,2),ROUND(Registro_Compras!$J$372*Registro_Compras!$N$372,2))))</f>
        <v/>
      </c>
      <c r="F3317" s="20" t="str">
        <f>""</f>
        <v/>
      </c>
      <c r="G3317" t="str">
        <f>IF($C3317="","",IF(Registro_Compras!$F$372="NOTA DE CREDITO","Por la nota de credito "&amp;Registro_Compras!$C$372&amp;" de "&amp;Registro_Compras!$E$372&amp;" [PATRON POR CONFIRMAR CON CONTADOR]",IF(Registro_Compras!$F$372="RHE","Por el registro del recibo por honorarios "&amp;Registro_Compras!$C$372&amp;" de "&amp;Registro_Compras!$E$372&amp;" [PATRON POR CONFIRMAR CON CONTADOR]","Por el registro de la factura "&amp;Registro_Compras!$C$372&amp;" de "&amp;Registro_Compras!$E$372)))</f>
        <v/>
      </c>
      <c r="H3317" t="str">
        <f>IF($C3317="","",Registro_Compras!$C$372)</f>
        <v/>
      </c>
    </row>
    <row r="3318" spans="1:8" x14ac:dyDescent="0.25">
      <c r="A3318" s="25" t="str">
        <f>IF($C3318="","",Registro_Compras!$B$372)</f>
        <v/>
      </c>
      <c r="B3318" t="str">
        <f>IF($C3318="","","C"&amp;TEXT(INT((ROW()-5)/9)+1,"000")&amp;"-1")</f>
        <v/>
      </c>
      <c r="C3318" t="str">
        <f>IF(OR(Registro_Compras!$C$372="",Registro_Compras!$O$372=""),"",IF(Registro_Compras!$F$372="RHE",IF(Registro_Compras!$V$372=0,"","4017"),IF(Registro_Compras!$F$372="NOTA DE CREDITO",IF(Registro_Compras!$M$372="","63",Registro_Compras!$M$372),IF(Registro_Compras!$K$372=0,"","40111"))))</f>
        <v/>
      </c>
      <c r="D3318" t="str">
        <f>IF(OR(Registro_Compras!$C$372="",Registro_Compras!$O$372=""),"",IF(Registro_Compras!$F$372="RHE","Retencion Renta 4ta Categoria por Pagar",IF(Registro_Compras!$F$372="NOTA DE CREDITO","Gastos de Servicios Prestados por Terceros","IGV - Cuenta Propia (Credito Fiscal)")))</f>
        <v/>
      </c>
      <c r="E3318" s="20" t="str">
        <f>IF($C3318="","",IF(Registro_Compras!$F$372="FACTURA",ROUND(Registro_Compras!$K$372*Registro_Compras!$N$372,2),""))</f>
        <v/>
      </c>
      <c r="F3318" s="20" t="str">
        <f>IF($C3318="","",IF(Registro_Compras!$F$372="RHE",ROUND(Registro_Compras!$V$372*Registro_Compras!$N$372,2),IF(Registro_Compras!$F$372="NOTA DE CREDITO",ROUND(ABS(Registro_Compras!$J$372*Registro_Compras!$N$372),2),"")))</f>
        <v/>
      </c>
      <c r="G3318" t="str">
        <f>IF($C3318="","",IF(Registro_Compras!$F$372="NOTA DE CREDITO","Por la nota de credito "&amp;Registro_Compras!$C$372&amp;" de "&amp;Registro_Compras!$E$372&amp;" [PATRON POR CONFIRMAR CON CONTADOR]",IF(Registro_Compras!$F$372="RHE","Por el registro del recibo por honorarios "&amp;Registro_Compras!$C$372&amp;" de "&amp;Registro_Compras!$E$372&amp;" [PATRON POR CONFIRMAR CON CONTADOR]","Por el registro de la factura "&amp;Registro_Compras!$C$372&amp;" de "&amp;Registro_Compras!$E$372)))</f>
        <v/>
      </c>
      <c r="H3318" t="str">
        <f>IF($C3318="","",Registro_Compras!$C$372)</f>
        <v/>
      </c>
    </row>
    <row r="3319" spans="1:8" x14ac:dyDescent="0.25">
      <c r="A3319" s="25" t="str">
        <f>IF($C3319="","",Registro_Compras!$B$372)</f>
        <v/>
      </c>
      <c r="B3319" t="str">
        <f>IF($C3319="","","C"&amp;TEXT(INT((ROW()-5)/9)+1,"000")&amp;"-1")</f>
        <v/>
      </c>
      <c r="C3319" t="str">
        <f>IF(OR(Registro_Compras!$C$372="",Registro_Compras!$O$372=""),"",IF(Registro_Compras!$F$372="NOTA DE CREDITO",IF(Registro_Compras!$K$372=0,"","40111"),"4212"))</f>
        <v/>
      </c>
      <c r="D3319" t="str">
        <f>IF(OR(Registro_Compras!$C$372="",Registro_Compras!$O$372=""),"",IF(Registro_Compras!$F$372="NOTA DE CREDITO","IGV - Cuenta Propia (Credito Fiscal)","Cuentas por Pagar Comerciales - Terceros (Emitidas)"))</f>
        <v/>
      </c>
      <c r="E3319" s="20" t="str">
        <f>""</f>
        <v/>
      </c>
      <c r="F3319" s="20" t="str">
        <f>IF($C3319="","",IF(Registro_Compras!$F$372="NOTA DE CREDITO",ROUND(ABS(Registro_Compras!$K$372*Registro_Compras!$N$372),2),IF(Registro_Compras!$F$372="RHE",(ROUND(Registro_Compras!$L$372*Registro_Compras!$N$372,2)-ROUND(Registro_Compras!$V$372*Registro_Compras!$N$372,2)),Registro_Compras!$O$372)))</f>
        <v/>
      </c>
      <c r="G3319" t="str">
        <f>IF($C3319="","",IF(Registro_Compras!$F$372="NOTA DE CREDITO","Por la nota de credito "&amp;Registro_Compras!$C$372&amp;" de "&amp;Registro_Compras!$E$372&amp;" [PATRON POR CONFIRMAR CON CONTADOR]",IF(Registro_Compras!$F$372="RHE","Por el registro del recibo por honorarios "&amp;Registro_Compras!$C$372&amp;" de "&amp;Registro_Compras!$E$372&amp;" [PATRON POR CONFIRMAR CON CONTADOR]","Por el registro de la factura "&amp;Registro_Compras!$C$372&amp;" de "&amp;Registro_Compras!$E$372)))</f>
        <v/>
      </c>
      <c r="H3319" t="str">
        <f>IF($C3319="","",Registro_Compras!$C$372)</f>
        <v/>
      </c>
    </row>
    <row r="3320" spans="1:8" x14ac:dyDescent="0.25">
      <c r="A3320" s="25" t="str">
        <f>IF($C3320="","",Registro_Compras!$B$372)</f>
        <v/>
      </c>
      <c r="B3320" t="str">
        <f>IF($C3320="","","C"&amp;TEXT(INT((ROW()-5)/9)+1,"000")&amp;"-2")</f>
        <v/>
      </c>
      <c r="C3320" t="str">
        <f>IF(OR(Registro_Compras!$C$372="",Registro_Compras!$O$372=""),"",IF(Registro_Compras!$AB$372="ADMINISTRATIVO","94","95"))</f>
        <v/>
      </c>
      <c r="D3320" t="str">
        <f>IF(OR(Registro_Compras!$C$372="",Registro_Compras!$O$372=""),"",IF(Registro_Compras!$AB$372="ADMINISTRATIVO","Gastos Administrativos","Gastos de Venta y Operacion"))</f>
        <v/>
      </c>
      <c r="E3320" s="20" t="str">
        <f>IF($C3320="","",IF(Registro_Compras!$F$372="NOTA DE CREDITO","",IF(Registro_Compras!$F$372="RHE",ROUND(Registro_Compras!$L$372*Registro_Compras!$N$372,2),ROUND(Registro_Compras!$J$372*Registro_Compras!$N$372,2))))</f>
        <v/>
      </c>
      <c r="F3320" s="20" t="str">
        <f>IF($C3320="","",IF(Registro_Compras!$F$372="NOTA DE CREDITO",ROUND(ABS(Registro_Compras!$J$372*Registro_Compras!$N$372),2),""))</f>
        <v/>
      </c>
      <c r="G3320" t="str">
        <f>IF($C3320="","","Por el destino del gasto")</f>
        <v/>
      </c>
      <c r="H3320" t="str">
        <f>IF($C3320="","",Registro_Compras!$C$372)</f>
        <v/>
      </c>
    </row>
    <row r="3321" spans="1:8" x14ac:dyDescent="0.25">
      <c r="A3321" s="25" t="str">
        <f>IF($C3321="","",Registro_Compras!$B$372)</f>
        <v/>
      </c>
      <c r="B3321" t="str">
        <f>IF($C3321="","","C"&amp;TEXT(INT((ROW()-5)/9)+1,"000")&amp;"-2")</f>
        <v/>
      </c>
      <c r="C3321" t="str">
        <f>IF(OR(Registro_Compras!$C$372="",Registro_Compras!$O$372=""),"","79/791")</f>
        <v/>
      </c>
      <c r="D3321" t="str">
        <f>IF(OR(Registro_Compras!$C$372="",Registro_Compras!$O$372=""),"","Cargas Imputables a Cuentas de Costos y Gastos")</f>
        <v/>
      </c>
      <c r="E3321" s="20" t="str">
        <f>IF($C3321="","",IF(Registro_Compras!$F$372="NOTA DE CREDITO",ROUND(ABS(Registro_Compras!$J$372*Registro_Compras!$N$372),2),""))</f>
        <v/>
      </c>
      <c r="F3321" s="20" t="str">
        <f>IF($C3321="","",IF(Registro_Compras!$F$372="NOTA DE CREDITO","",IF(Registro_Compras!$F$372="RHE",ROUND(Registro_Compras!$L$372*Registro_Compras!$N$372,2),ROUND(Registro_Compras!$J$372*Registro_Compras!$N$372,2))))</f>
        <v/>
      </c>
      <c r="G3321" t="str">
        <f>IF($C3321="","","Por el destino del gasto")</f>
        <v/>
      </c>
      <c r="H3321" t="str">
        <f>IF($C3321="","",Registro_Compras!$C$372)</f>
        <v/>
      </c>
    </row>
    <row r="3322" spans="1:8" x14ac:dyDescent="0.25">
      <c r="A3322" s="25" t="str">
        <f>IF($C3322="","",Registro_Compras!$X$372)</f>
        <v/>
      </c>
      <c r="B3322" t="str">
        <f>IF($C3322="","","C"&amp;TEXT(INT((ROW()-5)/9)+1,"000")&amp;"-3")</f>
        <v/>
      </c>
      <c r="C3322" t="str">
        <f>IF(OR(Registro_Compras!$C$372="",Registro_Compras!$O$372="",Registro_Compras!$R$372&lt;&gt;"SI",Registro_Compras!$X$372=""),"","4212")</f>
        <v/>
      </c>
      <c r="D3322" t="str">
        <f>IF(OR(Registro_Compras!$C$372="",Registro_Compras!$O$372=""),"","Cuentas por Pagar Comerciales - Terceros")</f>
        <v/>
      </c>
      <c r="E3322" s="20" t="str">
        <f>IF($C3322="","",Registro_Compras!$S$372)</f>
        <v/>
      </c>
      <c r="F3322" s="20" t="str">
        <f>""</f>
        <v/>
      </c>
      <c r="G3322" t="str">
        <f>IF($C3322="","","Por el deposito de la detraccion en el Banco de la Nacion")</f>
        <v/>
      </c>
      <c r="H3322" t="str">
        <f>IF($C3322="","",Registro_Compras!$C$372)</f>
        <v/>
      </c>
    </row>
    <row r="3323" spans="1:8" x14ac:dyDescent="0.25">
      <c r="A3323" s="25" t="str">
        <f>IF($C3323="","",Registro_Compras!$X$372)</f>
        <v/>
      </c>
      <c r="B3323" t="str">
        <f>IF($C3323="","","C"&amp;TEXT(INT((ROW()-5)/9)+1,"000")&amp;"-3")</f>
        <v/>
      </c>
      <c r="C3323" t="str">
        <f>IF(OR(Registro_Compras!$C$372="",Registro_Compras!$O$372="",Registro_Compras!$R$372&lt;&gt;"SI",Registro_Compras!$X$372=""),"","1041")</f>
        <v/>
      </c>
      <c r="D3323" t="str">
        <f>IF(OR(Registro_Compras!$C$372="",Registro_Compras!$O$372=""),"","Efectivo y Equivalentes - Cta. Cte. Operativa")</f>
        <v/>
      </c>
      <c r="E3323" s="20" t="str">
        <f>""</f>
        <v/>
      </c>
      <c r="F3323" s="20" t="str">
        <f>IF($C3323="","",Registro_Compras!$S$372)</f>
        <v/>
      </c>
      <c r="G3323" t="str">
        <f>IF($C3323="","","Por el deposito de la detraccion en el Banco de la Nacion")</f>
        <v/>
      </c>
      <c r="H3323" t="str">
        <f>IF($C3323="","",Registro_Compras!$C$372)</f>
        <v/>
      </c>
    </row>
    <row r="3324" spans="1:8" x14ac:dyDescent="0.25">
      <c r="A3324" s="25" t="str">
        <f>IF($C3324="","",Registro_Compras!$Y$372)</f>
        <v/>
      </c>
      <c r="B3324" t="str">
        <f>IF($C3324="","","C"&amp;TEXT(INT((ROW()-5)/9)+1,"000")&amp;"-4")</f>
        <v/>
      </c>
      <c r="C3324" t="str">
        <f>IF(OR(Registro_Compras!$C$372="",Registro_Compras!$O$372="",Registro_Compras!$Y$372="",Registro_Compras!$F$372="NOTA DE CREDITO"),"","4212")</f>
        <v/>
      </c>
      <c r="D3324" t="str">
        <f>IF(OR(Registro_Compras!$C$372="",Registro_Compras!$O$372=""),"","Cuentas por Pagar Comerciales - Terceros")</f>
        <v/>
      </c>
      <c r="E3324" s="20" t="str">
        <f>IF($C3324="","",IF(Registro_Compras!$F$372="RHE",(ROUND(Registro_Compras!$L$372*Registro_Compras!$N$372,2)-ROUND(Registro_Compras!$V$372*Registro_Compras!$N$372,2)),ROUND(Registro_Compras!$O$372-Registro_Compras!$S$372,2)))</f>
        <v/>
      </c>
      <c r="F3324" s="20" t="str">
        <f>""</f>
        <v/>
      </c>
      <c r="G3324" t="str">
        <f>IF($C3324="","","Por la cancelacion del saldo al proveedor")</f>
        <v/>
      </c>
      <c r="H3324" t="str">
        <f>IF($C3324="","",Registro_Compras!$C$372)</f>
        <v/>
      </c>
    </row>
    <row r="3325" spans="1:8" x14ac:dyDescent="0.25">
      <c r="A3325" s="25" t="str">
        <f>IF($C3325="","",Registro_Compras!$Y$372)</f>
        <v/>
      </c>
      <c r="B3325" t="str">
        <f>IF($C3325="","","C"&amp;TEXT(INT((ROW()-5)/9)+1,"000")&amp;"-4")</f>
        <v/>
      </c>
      <c r="C3325" t="str">
        <f>IF(OR(Registro_Compras!$C$372="",Registro_Compras!$O$372="",Registro_Compras!$Y$372="",Registro_Compras!$F$372="NOTA DE CREDITO"),"","1041")</f>
        <v/>
      </c>
      <c r="D3325" t="str">
        <f>IF(OR(Registro_Compras!$C$372="",Registro_Compras!$O$372=""),"","Efectivo y Equivalentes - Cta. Cte. Operativa")</f>
        <v/>
      </c>
      <c r="E3325" s="20" t="str">
        <f>""</f>
        <v/>
      </c>
      <c r="F3325" s="20" t="str">
        <f>IF($C3325="","",IF(Registro_Compras!$F$372="RHE",(ROUND(Registro_Compras!$L$372*Registro_Compras!$N$372,2)-ROUND(Registro_Compras!$V$372*Registro_Compras!$N$372,2)),ROUND(Registro_Compras!$O$372-Registro_Compras!$S$372,2)))</f>
        <v/>
      </c>
      <c r="G3325" t="str">
        <f>IF($C3325="","","Por la cancelacion del saldo al proveedor")</f>
        <v/>
      </c>
      <c r="H3325" t="str">
        <f>IF($C3325="","",Registro_Compras!$C$372)</f>
        <v/>
      </c>
    </row>
    <row r="3326" spans="1:8" x14ac:dyDescent="0.25">
      <c r="A3326" s="25" t="str">
        <f>IF($C3326="","",Registro_Compras!$B$373)</f>
        <v/>
      </c>
      <c r="B3326" t="str">
        <f>IF($C3326="","","C"&amp;TEXT(INT((ROW()-5)/9)+1,"000")&amp;"-1")</f>
        <v/>
      </c>
      <c r="C3326" t="str">
        <f>IF(OR(Registro_Compras!$C$373="",Registro_Compras!$O$373=""),"",IF(Registro_Compras!$F$373="NOTA DE CREDITO","4212",IF(Registro_Compras!$M$373="","63",Registro_Compras!$M$373)))</f>
        <v/>
      </c>
      <c r="D3326" t="str">
        <f>IF(OR(Registro_Compras!$C$373="",Registro_Compras!$O$373=""),"",IF(Registro_Compras!$F$373="NOTA DE CREDITO","Cuentas por Pagar Comerciales - Terceros (Emitidas)",IF(Registro_Compras!$F$373="RHE","Honorarios Profesionales - Servicios de Terceros","Gastos de Servicios Prestados por Terceros")))</f>
        <v/>
      </c>
      <c r="E3326" s="20" t="str">
        <f>IF($C3326="","",IF(Registro_Compras!$F$373="NOTA DE CREDITO",ABS(Registro_Compras!$O$373),IF(Registro_Compras!$F$373="RHE",ROUND(Registro_Compras!$L$373*Registro_Compras!$N$373,2),ROUND(Registro_Compras!$J$373*Registro_Compras!$N$373,2))))</f>
        <v/>
      </c>
      <c r="F3326" s="20" t="str">
        <f>""</f>
        <v/>
      </c>
      <c r="G3326" t="str">
        <f>IF($C3326="","",IF(Registro_Compras!$F$373="NOTA DE CREDITO","Por la nota de credito "&amp;Registro_Compras!$C$373&amp;" de "&amp;Registro_Compras!$E$373&amp;" [PATRON POR CONFIRMAR CON CONTADOR]",IF(Registro_Compras!$F$373="RHE","Por el registro del recibo por honorarios "&amp;Registro_Compras!$C$373&amp;" de "&amp;Registro_Compras!$E$373&amp;" [PATRON POR CONFIRMAR CON CONTADOR]","Por el registro de la factura "&amp;Registro_Compras!$C$373&amp;" de "&amp;Registro_Compras!$E$373)))</f>
        <v/>
      </c>
      <c r="H3326" t="str">
        <f>IF($C3326="","",Registro_Compras!$C$373)</f>
        <v/>
      </c>
    </row>
    <row r="3327" spans="1:8" x14ac:dyDescent="0.25">
      <c r="A3327" s="25" t="str">
        <f>IF($C3327="","",Registro_Compras!$B$373)</f>
        <v/>
      </c>
      <c r="B3327" t="str">
        <f>IF($C3327="","","C"&amp;TEXT(INT((ROW()-5)/9)+1,"000")&amp;"-1")</f>
        <v/>
      </c>
      <c r="C3327" t="str">
        <f>IF(OR(Registro_Compras!$C$373="",Registro_Compras!$O$373=""),"",IF(Registro_Compras!$F$373="RHE",IF(Registro_Compras!$V$373=0,"","4017"),IF(Registro_Compras!$F$373="NOTA DE CREDITO",IF(Registro_Compras!$M$373="","63",Registro_Compras!$M$373),IF(Registro_Compras!$K$373=0,"","40111"))))</f>
        <v/>
      </c>
      <c r="D3327" t="str">
        <f>IF(OR(Registro_Compras!$C$373="",Registro_Compras!$O$373=""),"",IF(Registro_Compras!$F$373="RHE","Retencion Renta 4ta Categoria por Pagar",IF(Registro_Compras!$F$373="NOTA DE CREDITO","Gastos de Servicios Prestados por Terceros","IGV - Cuenta Propia (Credito Fiscal)")))</f>
        <v/>
      </c>
      <c r="E3327" s="20" t="str">
        <f>IF($C3327="","",IF(Registro_Compras!$F$373="FACTURA",ROUND(Registro_Compras!$K$373*Registro_Compras!$N$373,2),""))</f>
        <v/>
      </c>
      <c r="F3327" s="20" t="str">
        <f>IF($C3327="","",IF(Registro_Compras!$F$373="RHE",ROUND(Registro_Compras!$V$373*Registro_Compras!$N$373,2),IF(Registro_Compras!$F$373="NOTA DE CREDITO",ROUND(ABS(Registro_Compras!$J$373*Registro_Compras!$N$373),2),"")))</f>
        <v/>
      </c>
      <c r="G3327" t="str">
        <f>IF($C3327="","",IF(Registro_Compras!$F$373="NOTA DE CREDITO","Por la nota de credito "&amp;Registro_Compras!$C$373&amp;" de "&amp;Registro_Compras!$E$373&amp;" [PATRON POR CONFIRMAR CON CONTADOR]",IF(Registro_Compras!$F$373="RHE","Por el registro del recibo por honorarios "&amp;Registro_Compras!$C$373&amp;" de "&amp;Registro_Compras!$E$373&amp;" [PATRON POR CONFIRMAR CON CONTADOR]","Por el registro de la factura "&amp;Registro_Compras!$C$373&amp;" de "&amp;Registro_Compras!$E$373)))</f>
        <v/>
      </c>
      <c r="H3327" t="str">
        <f>IF($C3327="","",Registro_Compras!$C$373)</f>
        <v/>
      </c>
    </row>
    <row r="3328" spans="1:8" x14ac:dyDescent="0.25">
      <c r="A3328" s="25" t="str">
        <f>IF($C3328="","",Registro_Compras!$B$373)</f>
        <v/>
      </c>
      <c r="B3328" t="str">
        <f>IF($C3328="","","C"&amp;TEXT(INT((ROW()-5)/9)+1,"000")&amp;"-1")</f>
        <v/>
      </c>
      <c r="C3328" t="str">
        <f>IF(OR(Registro_Compras!$C$373="",Registro_Compras!$O$373=""),"",IF(Registro_Compras!$F$373="NOTA DE CREDITO",IF(Registro_Compras!$K$373=0,"","40111"),"4212"))</f>
        <v/>
      </c>
      <c r="D3328" t="str">
        <f>IF(OR(Registro_Compras!$C$373="",Registro_Compras!$O$373=""),"",IF(Registro_Compras!$F$373="NOTA DE CREDITO","IGV - Cuenta Propia (Credito Fiscal)","Cuentas por Pagar Comerciales - Terceros (Emitidas)"))</f>
        <v/>
      </c>
      <c r="E3328" s="20" t="str">
        <f>""</f>
        <v/>
      </c>
      <c r="F3328" s="20" t="str">
        <f>IF($C3328="","",IF(Registro_Compras!$F$373="NOTA DE CREDITO",ROUND(ABS(Registro_Compras!$K$373*Registro_Compras!$N$373),2),IF(Registro_Compras!$F$373="RHE",(ROUND(Registro_Compras!$L$373*Registro_Compras!$N$373,2)-ROUND(Registro_Compras!$V$373*Registro_Compras!$N$373,2)),Registro_Compras!$O$373)))</f>
        <v/>
      </c>
      <c r="G3328" t="str">
        <f>IF($C3328="","",IF(Registro_Compras!$F$373="NOTA DE CREDITO","Por la nota de credito "&amp;Registro_Compras!$C$373&amp;" de "&amp;Registro_Compras!$E$373&amp;" [PATRON POR CONFIRMAR CON CONTADOR]",IF(Registro_Compras!$F$373="RHE","Por el registro del recibo por honorarios "&amp;Registro_Compras!$C$373&amp;" de "&amp;Registro_Compras!$E$373&amp;" [PATRON POR CONFIRMAR CON CONTADOR]","Por el registro de la factura "&amp;Registro_Compras!$C$373&amp;" de "&amp;Registro_Compras!$E$373)))</f>
        <v/>
      </c>
      <c r="H3328" t="str">
        <f>IF($C3328="","",Registro_Compras!$C$373)</f>
        <v/>
      </c>
    </row>
    <row r="3329" spans="1:8" x14ac:dyDescent="0.25">
      <c r="A3329" s="25" t="str">
        <f>IF($C3329="","",Registro_Compras!$B$373)</f>
        <v/>
      </c>
      <c r="B3329" t="str">
        <f>IF($C3329="","","C"&amp;TEXT(INT((ROW()-5)/9)+1,"000")&amp;"-2")</f>
        <v/>
      </c>
      <c r="C3329" t="str">
        <f>IF(OR(Registro_Compras!$C$373="",Registro_Compras!$O$373=""),"",IF(Registro_Compras!$AB$373="ADMINISTRATIVO","94","95"))</f>
        <v/>
      </c>
      <c r="D3329" t="str">
        <f>IF(OR(Registro_Compras!$C$373="",Registro_Compras!$O$373=""),"",IF(Registro_Compras!$AB$373="ADMINISTRATIVO","Gastos Administrativos","Gastos de Venta y Operacion"))</f>
        <v/>
      </c>
      <c r="E3329" s="20" t="str">
        <f>IF($C3329="","",IF(Registro_Compras!$F$373="NOTA DE CREDITO","",IF(Registro_Compras!$F$373="RHE",ROUND(Registro_Compras!$L$373*Registro_Compras!$N$373,2),ROUND(Registro_Compras!$J$373*Registro_Compras!$N$373,2))))</f>
        <v/>
      </c>
      <c r="F3329" s="20" t="str">
        <f>IF($C3329="","",IF(Registro_Compras!$F$373="NOTA DE CREDITO",ROUND(ABS(Registro_Compras!$J$373*Registro_Compras!$N$373),2),""))</f>
        <v/>
      </c>
      <c r="G3329" t="str">
        <f>IF($C3329="","","Por el destino del gasto")</f>
        <v/>
      </c>
      <c r="H3329" t="str">
        <f>IF($C3329="","",Registro_Compras!$C$373)</f>
        <v/>
      </c>
    </row>
    <row r="3330" spans="1:8" x14ac:dyDescent="0.25">
      <c r="A3330" s="25" t="str">
        <f>IF($C3330="","",Registro_Compras!$B$373)</f>
        <v/>
      </c>
      <c r="B3330" t="str">
        <f>IF($C3330="","","C"&amp;TEXT(INT((ROW()-5)/9)+1,"000")&amp;"-2")</f>
        <v/>
      </c>
      <c r="C3330" t="str">
        <f>IF(OR(Registro_Compras!$C$373="",Registro_Compras!$O$373=""),"","79/791")</f>
        <v/>
      </c>
      <c r="D3330" t="str">
        <f>IF(OR(Registro_Compras!$C$373="",Registro_Compras!$O$373=""),"","Cargas Imputables a Cuentas de Costos y Gastos")</f>
        <v/>
      </c>
      <c r="E3330" s="20" t="str">
        <f>IF($C3330="","",IF(Registro_Compras!$F$373="NOTA DE CREDITO",ROUND(ABS(Registro_Compras!$J$373*Registro_Compras!$N$373),2),""))</f>
        <v/>
      </c>
      <c r="F3330" s="20" t="str">
        <f>IF($C3330="","",IF(Registro_Compras!$F$373="NOTA DE CREDITO","",IF(Registro_Compras!$F$373="RHE",ROUND(Registro_Compras!$L$373*Registro_Compras!$N$373,2),ROUND(Registro_Compras!$J$373*Registro_Compras!$N$373,2))))</f>
        <v/>
      </c>
      <c r="G3330" t="str">
        <f>IF($C3330="","","Por el destino del gasto")</f>
        <v/>
      </c>
      <c r="H3330" t="str">
        <f>IF($C3330="","",Registro_Compras!$C$373)</f>
        <v/>
      </c>
    </row>
    <row r="3331" spans="1:8" x14ac:dyDescent="0.25">
      <c r="A3331" s="25" t="str">
        <f>IF($C3331="","",Registro_Compras!$X$373)</f>
        <v/>
      </c>
      <c r="B3331" t="str">
        <f>IF($C3331="","","C"&amp;TEXT(INT((ROW()-5)/9)+1,"000")&amp;"-3")</f>
        <v/>
      </c>
      <c r="C3331" t="str">
        <f>IF(OR(Registro_Compras!$C$373="",Registro_Compras!$O$373="",Registro_Compras!$R$373&lt;&gt;"SI",Registro_Compras!$X$373=""),"","4212")</f>
        <v/>
      </c>
      <c r="D3331" t="str">
        <f>IF(OR(Registro_Compras!$C$373="",Registro_Compras!$O$373=""),"","Cuentas por Pagar Comerciales - Terceros")</f>
        <v/>
      </c>
      <c r="E3331" s="20" t="str">
        <f>IF($C3331="","",Registro_Compras!$S$373)</f>
        <v/>
      </c>
      <c r="F3331" s="20" t="str">
        <f>""</f>
        <v/>
      </c>
      <c r="G3331" t="str">
        <f>IF($C3331="","","Por el deposito de la detraccion en el Banco de la Nacion")</f>
        <v/>
      </c>
      <c r="H3331" t="str">
        <f>IF($C3331="","",Registro_Compras!$C$373)</f>
        <v/>
      </c>
    </row>
    <row r="3332" spans="1:8" x14ac:dyDescent="0.25">
      <c r="A3332" s="25" t="str">
        <f>IF($C3332="","",Registro_Compras!$X$373)</f>
        <v/>
      </c>
      <c r="B3332" t="str">
        <f>IF($C3332="","","C"&amp;TEXT(INT((ROW()-5)/9)+1,"000")&amp;"-3")</f>
        <v/>
      </c>
      <c r="C3332" t="str">
        <f>IF(OR(Registro_Compras!$C$373="",Registro_Compras!$O$373="",Registro_Compras!$R$373&lt;&gt;"SI",Registro_Compras!$X$373=""),"","1041")</f>
        <v/>
      </c>
      <c r="D3332" t="str">
        <f>IF(OR(Registro_Compras!$C$373="",Registro_Compras!$O$373=""),"","Efectivo y Equivalentes - Cta. Cte. Operativa")</f>
        <v/>
      </c>
      <c r="E3332" s="20" t="str">
        <f>""</f>
        <v/>
      </c>
      <c r="F3332" s="20" t="str">
        <f>IF($C3332="","",Registro_Compras!$S$373)</f>
        <v/>
      </c>
      <c r="G3332" t="str">
        <f>IF($C3332="","","Por el deposito de la detraccion en el Banco de la Nacion")</f>
        <v/>
      </c>
      <c r="H3332" t="str">
        <f>IF($C3332="","",Registro_Compras!$C$373)</f>
        <v/>
      </c>
    </row>
    <row r="3333" spans="1:8" x14ac:dyDescent="0.25">
      <c r="A3333" s="25" t="str">
        <f>IF($C3333="","",Registro_Compras!$Y$373)</f>
        <v/>
      </c>
      <c r="B3333" t="str">
        <f>IF($C3333="","","C"&amp;TEXT(INT((ROW()-5)/9)+1,"000")&amp;"-4")</f>
        <v/>
      </c>
      <c r="C3333" t="str">
        <f>IF(OR(Registro_Compras!$C$373="",Registro_Compras!$O$373="",Registro_Compras!$Y$373="",Registro_Compras!$F$373="NOTA DE CREDITO"),"","4212")</f>
        <v/>
      </c>
      <c r="D3333" t="str">
        <f>IF(OR(Registro_Compras!$C$373="",Registro_Compras!$O$373=""),"","Cuentas por Pagar Comerciales - Terceros")</f>
        <v/>
      </c>
      <c r="E3333" s="20" t="str">
        <f>IF($C3333="","",IF(Registro_Compras!$F$373="RHE",(ROUND(Registro_Compras!$L$373*Registro_Compras!$N$373,2)-ROUND(Registro_Compras!$V$373*Registro_Compras!$N$373,2)),ROUND(Registro_Compras!$O$373-Registro_Compras!$S$373,2)))</f>
        <v/>
      </c>
      <c r="F3333" s="20" t="str">
        <f>""</f>
        <v/>
      </c>
      <c r="G3333" t="str">
        <f>IF($C3333="","","Por la cancelacion del saldo al proveedor")</f>
        <v/>
      </c>
      <c r="H3333" t="str">
        <f>IF($C3333="","",Registro_Compras!$C$373)</f>
        <v/>
      </c>
    </row>
    <row r="3334" spans="1:8" x14ac:dyDescent="0.25">
      <c r="A3334" s="25" t="str">
        <f>IF($C3334="","",Registro_Compras!$Y$373)</f>
        <v/>
      </c>
      <c r="B3334" t="str">
        <f>IF($C3334="","","C"&amp;TEXT(INT((ROW()-5)/9)+1,"000")&amp;"-4")</f>
        <v/>
      </c>
      <c r="C3334" t="str">
        <f>IF(OR(Registro_Compras!$C$373="",Registro_Compras!$O$373="",Registro_Compras!$Y$373="",Registro_Compras!$F$373="NOTA DE CREDITO"),"","1041")</f>
        <v/>
      </c>
      <c r="D3334" t="str">
        <f>IF(OR(Registro_Compras!$C$373="",Registro_Compras!$O$373=""),"","Efectivo y Equivalentes - Cta. Cte. Operativa")</f>
        <v/>
      </c>
      <c r="E3334" s="20" t="str">
        <f>""</f>
        <v/>
      </c>
      <c r="F3334" s="20" t="str">
        <f>IF($C3334="","",IF(Registro_Compras!$F$373="RHE",(ROUND(Registro_Compras!$L$373*Registro_Compras!$N$373,2)-ROUND(Registro_Compras!$V$373*Registro_Compras!$N$373,2)),ROUND(Registro_Compras!$O$373-Registro_Compras!$S$373,2)))</f>
        <v/>
      </c>
      <c r="G3334" t="str">
        <f>IF($C3334="","","Por la cancelacion del saldo al proveedor")</f>
        <v/>
      </c>
      <c r="H3334" t="str">
        <f>IF($C3334="","",Registro_Compras!$C$373)</f>
        <v/>
      </c>
    </row>
    <row r="3335" spans="1:8" x14ac:dyDescent="0.25">
      <c r="A3335" s="25" t="str">
        <f>IF($C3335="","",Registro_Compras!$B$374)</f>
        <v/>
      </c>
      <c r="B3335" t="str">
        <f>IF($C3335="","","C"&amp;TEXT(INT((ROW()-5)/9)+1,"000")&amp;"-1")</f>
        <v/>
      </c>
      <c r="C3335" t="str">
        <f>IF(OR(Registro_Compras!$C$374="",Registro_Compras!$O$374=""),"",IF(Registro_Compras!$F$374="NOTA DE CREDITO","4212",IF(Registro_Compras!$M$374="","63",Registro_Compras!$M$374)))</f>
        <v/>
      </c>
      <c r="D3335" t="str">
        <f>IF(OR(Registro_Compras!$C$374="",Registro_Compras!$O$374=""),"",IF(Registro_Compras!$F$374="NOTA DE CREDITO","Cuentas por Pagar Comerciales - Terceros (Emitidas)",IF(Registro_Compras!$F$374="RHE","Honorarios Profesionales - Servicios de Terceros","Gastos de Servicios Prestados por Terceros")))</f>
        <v/>
      </c>
      <c r="E3335" s="20" t="str">
        <f>IF($C3335="","",IF(Registro_Compras!$F$374="NOTA DE CREDITO",ABS(Registro_Compras!$O$374),IF(Registro_Compras!$F$374="RHE",ROUND(Registro_Compras!$L$374*Registro_Compras!$N$374,2),ROUND(Registro_Compras!$J$374*Registro_Compras!$N$374,2))))</f>
        <v/>
      </c>
      <c r="F3335" s="20" t="str">
        <f>""</f>
        <v/>
      </c>
      <c r="G3335" t="str">
        <f>IF($C3335="","",IF(Registro_Compras!$F$374="NOTA DE CREDITO","Por la nota de credito "&amp;Registro_Compras!$C$374&amp;" de "&amp;Registro_Compras!$E$374&amp;" [PATRON POR CONFIRMAR CON CONTADOR]",IF(Registro_Compras!$F$374="RHE","Por el registro del recibo por honorarios "&amp;Registro_Compras!$C$374&amp;" de "&amp;Registro_Compras!$E$374&amp;" [PATRON POR CONFIRMAR CON CONTADOR]","Por el registro de la factura "&amp;Registro_Compras!$C$374&amp;" de "&amp;Registro_Compras!$E$374)))</f>
        <v/>
      </c>
      <c r="H3335" t="str">
        <f>IF($C3335="","",Registro_Compras!$C$374)</f>
        <v/>
      </c>
    </row>
    <row r="3336" spans="1:8" x14ac:dyDescent="0.25">
      <c r="A3336" s="25" t="str">
        <f>IF($C3336="","",Registro_Compras!$B$374)</f>
        <v/>
      </c>
      <c r="B3336" t="str">
        <f>IF($C3336="","","C"&amp;TEXT(INT((ROW()-5)/9)+1,"000")&amp;"-1")</f>
        <v/>
      </c>
      <c r="C3336" t="str">
        <f>IF(OR(Registro_Compras!$C$374="",Registro_Compras!$O$374=""),"",IF(Registro_Compras!$F$374="RHE",IF(Registro_Compras!$V$374=0,"","4017"),IF(Registro_Compras!$F$374="NOTA DE CREDITO",IF(Registro_Compras!$M$374="","63",Registro_Compras!$M$374),IF(Registro_Compras!$K$374=0,"","40111"))))</f>
        <v/>
      </c>
      <c r="D3336" t="str">
        <f>IF(OR(Registro_Compras!$C$374="",Registro_Compras!$O$374=""),"",IF(Registro_Compras!$F$374="RHE","Retencion Renta 4ta Categoria por Pagar",IF(Registro_Compras!$F$374="NOTA DE CREDITO","Gastos de Servicios Prestados por Terceros","IGV - Cuenta Propia (Credito Fiscal)")))</f>
        <v/>
      </c>
      <c r="E3336" s="20" t="str">
        <f>IF($C3336="","",IF(Registro_Compras!$F$374="FACTURA",ROUND(Registro_Compras!$K$374*Registro_Compras!$N$374,2),""))</f>
        <v/>
      </c>
      <c r="F3336" s="20" t="str">
        <f>IF($C3336="","",IF(Registro_Compras!$F$374="RHE",ROUND(Registro_Compras!$V$374*Registro_Compras!$N$374,2),IF(Registro_Compras!$F$374="NOTA DE CREDITO",ROUND(ABS(Registro_Compras!$J$374*Registro_Compras!$N$374),2),"")))</f>
        <v/>
      </c>
      <c r="G3336" t="str">
        <f>IF($C3336="","",IF(Registro_Compras!$F$374="NOTA DE CREDITO","Por la nota de credito "&amp;Registro_Compras!$C$374&amp;" de "&amp;Registro_Compras!$E$374&amp;" [PATRON POR CONFIRMAR CON CONTADOR]",IF(Registro_Compras!$F$374="RHE","Por el registro del recibo por honorarios "&amp;Registro_Compras!$C$374&amp;" de "&amp;Registro_Compras!$E$374&amp;" [PATRON POR CONFIRMAR CON CONTADOR]","Por el registro de la factura "&amp;Registro_Compras!$C$374&amp;" de "&amp;Registro_Compras!$E$374)))</f>
        <v/>
      </c>
      <c r="H3336" t="str">
        <f>IF($C3336="","",Registro_Compras!$C$374)</f>
        <v/>
      </c>
    </row>
    <row r="3337" spans="1:8" x14ac:dyDescent="0.25">
      <c r="A3337" s="25" t="str">
        <f>IF($C3337="","",Registro_Compras!$B$374)</f>
        <v/>
      </c>
      <c r="B3337" t="str">
        <f>IF($C3337="","","C"&amp;TEXT(INT((ROW()-5)/9)+1,"000")&amp;"-1")</f>
        <v/>
      </c>
      <c r="C3337" t="str">
        <f>IF(OR(Registro_Compras!$C$374="",Registro_Compras!$O$374=""),"",IF(Registro_Compras!$F$374="NOTA DE CREDITO",IF(Registro_Compras!$K$374=0,"","40111"),"4212"))</f>
        <v/>
      </c>
      <c r="D3337" t="str">
        <f>IF(OR(Registro_Compras!$C$374="",Registro_Compras!$O$374=""),"",IF(Registro_Compras!$F$374="NOTA DE CREDITO","IGV - Cuenta Propia (Credito Fiscal)","Cuentas por Pagar Comerciales - Terceros (Emitidas)"))</f>
        <v/>
      </c>
      <c r="E3337" s="20" t="str">
        <f>""</f>
        <v/>
      </c>
      <c r="F3337" s="20" t="str">
        <f>IF($C3337="","",IF(Registro_Compras!$F$374="NOTA DE CREDITO",ROUND(ABS(Registro_Compras!$K$374*Registro_Compras!$N$374),2),IF(Registro_Compras!$F$374="RHE",(ROUND(Registro_Compras!$L$374*Registro_Compras!$N$374,2)-ROUND(Registro_Compras!$V$374*Registro_Compras!$N$374,2)),Registro_Compras!$O$374)))</f>
        <v/>
      </c>
      <c r="G3337" t="str">
        <f>IF($C3337="","",IF(Registro_Compras!$F$374="NOTA DE CREDITO","Por la nota de credito "&amp;Registro_Compras!$C$374&amp;" de "&amp;Registro_Compras!$E$374&amp;" [PATRON POR CONFIRMAR CON CONTADOR]",IF(Registro_Compras!$F$374="RHE","Por el registro del recibo por honorarios "&amp;Registro_Compras!$C$374&amp;" de "&amp;Registro_Compras!$E$374&amp;" [PATRON POR CONFIRMAR CON CONTADOR]","Por el registro de la factura "&amp;Registro_Compras!$C$374&amp;" de "&amp;Registro_Compras!$E$374)))</f>
        <v/>
      </c>
      <c r="H3337" t="str">
        <f>IF($C3337="","",Registro_Compras!$C$374)</f>
        <v/>
      </c>
    </row>
    <row r="3338" spans="1:8" x14ac:dyDescent="0.25">
      <c r="A3338" s="25" t="str">
        <f>IF($C3338="","",Registro_Compras!$B$374)</f>
        <v/>
      </c>
      <c r="B3338" t="str">
        <f>IF($C3338="","","C"&amp;TEXT(INT((ROW()-5)/9)+1,"000")&amp;"-2")</f>
        <v/>
      </c>
      <c r="C3338" t="str">
        <f>IF(OR(Registro_Compras!$C$374="",Registro_Compras!$O$374=""),"",IF(Registro_Compras!$AB$374="ADMINISTRATIVO","94","95"))</f>
        <v/>
      </c>
      <c r="D3338" t="str">
        <f>IF(OR(Registro_Compras!$C$374="",Registro_Compras!$O$374=""),"",IF(Registro_Compras!$AB$374="ADMINISTRATIVO","Gastos Administrativos","Gastos de Venta y Operacion"))</f>
        <v/>
      </c>
      <c r="E3338" s="20" t="str">
        <f>IF($C3338="","",IF(Registro_Compras!$F$374="NOTA DE CREDITO","",IF(Registro_Compras!$F$374="RHE",ROUND(Registro_Compras!$L$374*Registro_Compras!$N$374,2),ROUND(Registro_Compras!$J$374*Registro_Compras!$N$374,2))))</f>
        <v/>
      </c>
      <c r="F3338" s="20" t="str">
        <f>IF($C3338="","",IF(Registro_Compras!$F$374="NOTA DE CREDITO",ROUND(ABS(Registro_Compras!$J$374*Registro_Compras!$N$374),2),""))</f>
        <v/>
      </c>
      <c r="G3338" t="str">
        <f>IF($C3338="","","Por el destino del gasto")</f>
        <v/>
      </c>
      <c r="H3338" t="str">
        <f>IF($C3338="","",Registro_Compras!$C$374)</f>
        <v/>
      </c>
    </row>
    <row r="3339" spans="1:8" x14ac:dyDescent="0.25">
      <c r="A3339" s="25" t="str">
        <f>IF($C3339="","",Registro_Compras!$B$374)</f>
        <v/>
      </c>
      <c r="B3339" t="str">
        <f>IF($C3339="","","C"&amp;TEXT(INT((ROW()-5)/9)+1,"000")&amp;"-2")</f>
        <v/>
      </c>
      <c r="C3339" t="str">
        <f>IF(OR(Registro_Compras!$C$374="",Registro_Compras!$O$374=""),"","79/791")</f>
        <v/>
      </c>
      <c r="D3339" t="str">
        <f>IF(OR(Registro_Compras!$C$374="",Registro_Compras!$O$374=""),"","Cargas Imputables a Cuentas de Costos y Gastos")</f>
        <v/>
      </c>
      <c r="E3339" s="20" t="str">
        <f>IF($C3339="","",IF(Registro_Compras!$F$374="NOTA DE CREDITO",ROUND(ABS(Registro_Compras!$J$374*Registro_Compras!$N$374),2),""))</f>
        <v/>
      </c>
      <c r="F3339" s="20" t="str">
        <f>IF($C3339="","",IF(Registro_Compras!$F$374="NOTA DE CREDITO","",IF(Registro_Compras!$F$374="RHE",ROUND(Registro_Compras!$L$374*Registro_Compras!$N$374,2),ROUND(Registro_Compras!$J$374*Registro_Compras!$N$374,2))))</f>
        <v/>
      </c>
      <c r="G3339" t="str">
        <f>IF($C3339="","","Por el destino del gasto")</f>
        <v/>
      </c>
      <c r="H3339" t="str">
        <f>IF($C3339="","",Registro_Compras!$C$374)</f>
        <v/>
      </c>
    </row>
    <row r="3340" spans="1:8" x14ac:dyDescent="0.25">
      <c r="A3340" s="25" t="str">
        <f>IF($C3340="","",Registro_Compras!$X$374)</f>
        <v/>
      </c>
      <c r="B3340" t="str">
        <f>IF($C3340="","","C"&amp;TEXT(INT((ROW()-5)/9)+1,"000")&amp;"-3")</f>
        <v/>
      </c>
      <c r="C3340" t="str">
        <f>IF(OR(Registro_Compras!$C$374="",Registro_Compras!$O$374="",Registro_Compras!$R$374&lt;&gt;"SI",Registro_Compras!$X$374=""),"","4212")</f>
        <v/>
      </c>
      <c r="D3340" t="str">
        <f>IF(OR(Registro_Compras!$C$374="",Registro_Compras!$O$374=""),"","Cuentas por Pagar Comerciales - Terceros")</f>
        <v/>
      </c>
      <c r="E3340" s="20" t="str">
        <f>IF($C3340="","",Registro_Compras!$S$374)</f>
        <v/>
      </c>
      <c r="F3340" s="20" t="str">
        <f>""</f>
        <v/>
      </c>
      <c r="G3340" t="str">
        <f>IF($C3340="","","Por el deposito de la detraccion en el Banco de la Nacion")</f>
        <v/>
      </c>
      <c r="H3340" t="str">
        <f>IF($C3340="","",Registro_Compras!$C$374)</f>
        <v/>
      </c>
    </row>
    <row r="3341" spans="1:8" x14ac:dyDescent="0.25">
      <c r="A3341" s="25" t="str">
        <f>IF($C3341="","",Registro_Compras!$X$374)</f>
        <v/>
      </c>
      <c r="B3341" t="str">
        <f>IF($C3341="","","C"&amp;TEXT(INT((ROW()-5)/9)+1,"000")&amp;"-3")</f>
        <v/>
      </c>
      <c r="C3341" t="str">
        <f>IF(OR(Registro_Compras!$C$374="",Registro_Compras!$O$374="",Registro_Compras!$R$374&lt;&gt;"SI",Registro_Compras!$X$374=""),"","1041")</f>
        <v/>
      </c>
      <c r="D3341" t="str">
        <f>IF(OR(Registro_Compras!$C$374="",Registro_Compras!$O$374=""),"","Efectivo y Equivalentes - Cta. Cte. Operativa")</f>
        <v/>
      </c>
      <c r="E3341" s="20" t="str">
        <f>""</f>
        <v/>
      </c>
      <c r="F3341" s="20" t="str">
        <f>IF($C3341="","",Registro_Compras!$S$374)</f>
        <v/>
      </c>
      <c r="G3341" t="str">
        <f>IF($C3341="","","Por el deposito de la detraccion en el Banco de la Nacion")</f>
        <v/>
      </c>
      <c r="H3341" t="str">
        <f>IF($C3341="","",Registro_Compras!$C$374)</f>
        <v/>
      </c>
    </row>
    <row r="3342" spans="1:8" x14ac:dyDescent="0.25">
      <c r="A3342" s="25" t="str">
        <f>IF($C3342="","",Registro_Compras!$Y$374)</f>
        <v/>
      </c>
      <c r="B3342" t="str">
        <f>IF($C3342="","","C"&amp;TEXT(INT((ROW()-5)/9)+1,"000")&amp;"-4")</f>
        <v/>
      </c>
      <c r="C3342" t="str">
        <f>IF(OR(Registro_Compras!$C$374="",Registro_Compras!$O$374="",Registro_Compras!$Y$374="",Registro_Compras!$F$374="NOTA DE CREDITO"),"","4212")</f>
        <v/>
      </c>
      <c r="D3342" t="str">
        <f>IF(OR(Registro_Compras!$C$374="",Registro_Compras!$O$374=""),"","Cuentas por Pagar Comerciales - Terceros")</f>
        <v/>
      </c>
      <c r="E3342" s="20" t="str">
        <f>IF($C3342="","",IF(Registro_Compras!$F$374="RHE",(ROUND(Registro_Compras!$L$374*Registro_Compras!$N$374,2)-ROUND(Registro_Compras!$V$374*Registro_Compras!$N$374,2)),ROUND(Registro_Compras!$O$374-Registro_Compras!$S$374,2)))</f>
        <v/>
      </c>
      <c r="F3342" s="20" t="str">
        <f>""</f>
        <v/>
      </c>
      <c r="G3342" t="str">
        <f>IF($C3342="","","Por la cancelacion del saldo al proveedor")</f>
        <v/>
      </c>
      <c r="H3342" t="str">
        <f>IF($C3342="","",Registro_Compras!$C$374)</f>
        <v/>
      </c>
    </row>
    <row r="3343" spans="1:8" x14ac:dyDescent="0.25">
      <c r="A3343" s="25" t="str">
        <f>IF($C3343="","",Registro_Compras!$Y$374)</f>
        <v/>
      </c>
      <c r="B3343" t="str">
        <f>IF($C3343="","","C"&amp;TEXT(INT((ROW()-5)/9)+1,"000")&amp;"-4")</f>
        <v/>
      </c>
      <c r="C3343" t="str">
        <f>IF(OR(Registro_Compras!$C$374="",Registro_Compras!$O$374="",Registro_Compras!$Y$374="",Registro_Compras!$F$374="NOTA DE CREDITO"),"","1041")</f>
        <v/>
      </c>
      <c r="D3343" t="str">
        <f>IF(OR(Registro_Compras!$C$374="",Registro_Compras!$O$374=""),"","Efectivo y Equivalentes - Cta. Cte. Operativa")</f>
        <v/>
      </c>
      <c r="E3343" s="20" t="str">
        <f>""</f>
        <v/>
      </c>
      <c r="F3343" s="20" t="str">
        <f>IF($C3343="","",IF(Registro_Compras!$F$374="RHE",(ROUND(Registro_Compras!$L$374*Registro_Compras!$N$374,2)-ROUND(Registro_Compras!$V$374*Registro_Compras!$N$374,2)),ROUND(Registro_Compras!$O$374-Registro_Compras!$S$374,2)))</f>
        <v/>
      </c>
      <c r="G3343" t="str">
        <f>IF($C3343="","","Por la cancelacion del saldo al proveedor")</f>
        <v/>
      </c>
      <c r="H3343" t="str">
        <f>IF($C3343="","",Registro_Compras!$C$374)</f>
        <v/>
      </c>
    </row>
    <row r="3344" spans="1:8" x14ac:dyDescent="0.25">
      <c r="A3344" s="25" t="str">
        <f>IF($C3344="","",Registro_Compras!$B$375)</f>
        <v/>
      </c>
      <c r="B3344" t="str">
        <f>IF($C3344="","","C"&amp;TEXT(INT((ROW()-5)/9)+1,"000")&amp;"-1")</f>
        <v/>
      </c>
      <c r="C3344" t="str">
        <f>IF(OR(Registro_Compras!$C$375="",Registro_Compras!$O$375=""),"",IF(Registro_Compras!$F$375="NOTA DE CREDITO","4212",IF(Registro_Compras!$M$375="","63",Registro_Compras!$M$375)))</f>
        <v/>
      </c>
      <c r="D3344" t="str">
        <f>IF(OR(Registro_Compras!$C$375="",Registro_Compras!$O$375=""),"",IF(Registro_Compras!$F$375="NOTA DE CREDITO","Cuentas por Pagar Comerciales - Terceros (Emitidas)",IF(Registro_Compras!$F$375="RHE","Honorarios Profesionales - Servicios de Terceros","Gastos de Servicios Prestados por Terceros")))</f>
        <v/>
      </c>
      <c r="E3344" s="20" t="str">
        <f>IF($C3344="","",IF(Registro_Compras!$F$375="NOTA DE CREDITO",ABS(Registro_Compras!$O$375),IF(Registro_Compras!$F$375="RHE",ROUND(Registro_Compras!$L$375*Registro_Compras!$N$375,2),ROUND(Registro_Compras!$J$375*Registro_Compras!$N$375,2))))</f>
        <v/>
      </c>
      <c r="F3344" s="20" t="str">
        <f>""</f>
        <v/>
      </c>
      <c r="G3344" t="str">
        <f>IF($C3344="","",IF(Registro_Compras!$F$375="NOTA DE CREDITO","Por la nota de credito "&amp;Registro_Compras!$C$375&amp;" de "&amp;Registro_Compras!$E$375&amp;" [PATRON POR CONFIRMAR CON CONTADOR]",IF(Registro_Compras!$F$375="RHE","Por el registro del recibo por honorarios "&amp;Registro_Compras!$C$375&amp;" de "&amp;Registro_Compras!$E$375&amp;" [PATRON POR CONFIRMAR CON CONTADOR]","Por el registro de la factura "&amp;Registro_Compras!$C$375&amp;" de "&amp;Registro_Compras!$E$375)))</f>
        <v/>
      </c>
      <c r="H3344" t="str">
        <f>IF($C3344="","",Registro_Compras!$C$375)</f>
        <v/>
      </c>
    </row>
    <row r="3345" spans="1:8" x14ac:dyDescent="0.25">
      <c r="A3345" s="25" t="str">
        <f>IF($C3345="","",Registro_Compras!$B$375)</f>
        <v/>
      </c>
      <c r="B3345" t="str">
        <f>IF($C3345="","","C"&amp;TEXT(INT((ROW()-5)/9)+1,"000")&amp;"-1")</f>
        <v/>
      </c>
      <c r="C3345" t="str">
        <f>IF(OR(Registro_Compras!$C$375="",Registro_Compras!$O$375=""),"",IF(Registro_Compras!$F$375="RHE",IF(Registro_Compras!$V$375=0,"","4017"),IF(Registro_Compras!$F$375="NOTA DE CREDITO",IF(Registro_Compras!$M$375="","63",Registro_Compras!$M$375),IF(Registro_Compras!$K$375=0,"","40111"))))</f>
        <v/>
      </c>
      <c r="D3345" t="str">
        <f>IF(OR(Registro_Compras!$C$375="",Registro_Compras!$O$375=""),"",IF(Registro_Compras!$F$375="RHE","Retencion Renta 4ta Categoria por Pagar",IF(Registro_Compras!$F$375="NOTA DE CREDITO","Gastos de Servicios Prestados por Terceros","IGV - Cuenta Propia (Credito Fiscal)")))</f>
        <v/>
      </c>
      <c r="E3345" s="20" t="str">
        <f>IF($C3345="","",IF(Registro_Compras!$F$375="FACTURA",ROUND(Registro_Compras!$K$375*Registro_Compras!$N$375,2),""))</f>
        <v/>
      </c>
      <c r="F3345" s="20" t="str">
        <f>IF($C3345="","",IF(Registro_Compras!$F$375="RHE",ROUND(Registro_Compras!$V$375*Registro_Compras!$N$375,2),IF(Registro_Compras!$F$375="NOTA DE CREDITO",ROUND(ABS(Registro_Compras!$J$375*Registro_Compras!$N$375),2),"")))</f>
        <v/>
      </c>
      <c r="G3345" t="str">
        <f>IF($C3345="","",IF(Registro_Compras!$F$375="NOTA DE CREDITO","Por la nota de credito "&amp;Registro_Compras!$C$375&amp;" de "&amp;Registro_Compras!$E$375&amp;" [PATRON POR CONFIRMAR CON CONTADOR]",IF(Registro_Compras!$F$375="RHE","Por el registro del recibo por honorarios "&amp;Registro_Compras!$C$375&amp;" de "&amp;Registro_Compras!$E$375&amp;" [PATRON POR CONFIRMAR CON CONTADOR]","Por el registro de la factura "&amp;Registro_Compras!$C$375&amp;" de "&amp;Registro_Compras!$E$375)))</f>
        <v/>
      </c>
      <c r="H3345" t="str">
        <f>IF($C3345="","",Registro_Compras!$C$375)</f>
        <v/>
      </c>
    </row>
    <row r="3346" spans="1:8" x14ac:dyDescent="0.25">
      <c r="A3346" s="25" t="str">
        <f>IF($C3346="","",Registro_Compras!$B$375)</f>
        <v/>
      </c>
      <c r="B3346" t="str">
        <f>IF($C3346="","","C"&amp;TEXT(INT((ROW()-5)/9)+1,"000")&amp;"-1")</f>
        <v/>
      </c>
      <c r="C3346" t="str">
        <f>IF(OR(Registro_Compras!$C$375="",Registro_Compras!$O$375=""),"",IF(Registro_Compras!$F$375="NOTA DE CREDITO",IF(Registro_Compras!$K$375=0,"","40111"),"4212"))</f>
        <v/>
      </c>
      <c r="D3346" t="str">
        <f>IF(OR(Registro_Compras!$C$375="",Registro_Compras!$O$375=""),"",IF(Registro_Compras!$F$375="NOTA DE CREDITO","IGV - Cuenta Propia (Credito Fiscal)","Cuentas por Pagar Comerciales - Terceros (Emitidas)"))</f>
        <v/>
      </c>
      <c r="E3346" s="20" t="str">
        <f>""</f>
        <v/>
      </c>
      <c r="F3346" s="20" t="str">
        <f>IF($C3346="","",IF(Registro_Compras!$F$375="NOTA DE CREDITO",ROUND(ABS(Registro_Compras!$K$375*Registro_Compras!$N$375),2),IF(Registro_Compras!$F$375="RHE",(ROUND(Registro_Compras!$L$375*Registro_Compras!$N$375,2)-ROUND(Registro_Compras!$V$375*Registro_Compras!$N$375,2)),Registro_Compras!$O$375)))</f>
        <v/>
      </c>
      <c r="G3346" t="str">
        <f>IF($C3346="","",IF(Registro_Compras!$F$375="NOTA DE CREDITO","Por la nota de credito "&amp;Registro_Compras!$C$375&amp;" de "&amp;Registro_Compras!$E$375&amp;" [PATRON POR CONFIRMAR CON CONTADOR]",IF(Registro_Compras!$F$375="RHE","Por el registro del recibo por honorarios "&amp;Registro_Compras!$C$375&amp;" de "&amp;Registro_Compras!$E$375&amp;" [PATRON POR CONFIRMAR CON CONTADOR]","Por el registro de la factura "&amp;Registro_Compras!$C$375&amp;" de "&amp;Registro_Compras!$E$375)))</f>
        <v/>
      </c>
      <c r="H3346" t="str">
        <f>IF($C3346="","",Registro_Compras!$C$375)</f>
        <v/>
      </c>
    </row>
    <row r="3347" spans="1:8" x14ac:dyDescent="0.25">
      <c r="A3347" s="25" t="str">
        <f>IF($C3347="","",Registro_Compras!$B$375)</f>
        <v/>
      </c>
      <c r="B3347" t="str">
        <f>IF($C3347="","","C"&amp;TEXT(INT((ROW()-5)/9)+1,"000")&amp;"-2")</f>
        <v/>
      </c>
      <c r="C3347" t="str">
        <f>IF(OR(Registro_Compras!$C$375="",Registro_Compras!$O$375=""),"",IF(Registro_Compras!$AB$375="ADMINISTRATIVO","94","95"))</f>
        <v/>
      </c>
      <c r="D3347" t="str">
        <f>IF(OR(Registro_Compras!$C$375="",Registro_Compras!$O$375=""),"",IF(Registro_Compras!$AB$375="ADMINISTRATIVO","Gastos Administrativos","Gastos de Venta y Operacion"))</f>
        <v/>
      </c>
      <c r="E3347" s="20" t="str">
        <f>IF($C3347="","",IF(Registro_Compras!$F$375="NOTA DE CREDITO","",IF(Registro_Compras!$F$375="RHE",ROUND(Registro_Compras!$L$375*Registro_Compras!$N$375,2),ROUND(Registro_Compras!$J$375*Registro_Compras!$N$375,2))))</f>
        <v/>
      </c>
      <c r="F3347" s="20" t="str">
        <f>IF($C3347="","",IF(Registro_Compras!$F$375="NOTA DE CREDITO",ROUND(ABS(Registro_Compras!$J$375*Registro_Compras!$N$375),2),""))</f>
        <v/>
      </c>
      <c r="G3347" t="str">
        <f>IF($C3347="","","Por el destino del gasto")</f>
        <v/>
      </c>
      <c r="H3347" t="str">
        <f>IF($C3347="","",Registro_Compras!$C$375)</f>
        <v/>
      </c>
    </row>
    <row r="3348" spans="1:8" x14ac:dyDescent="0.25">
      <c r="A3348" s="25" t="str">
        <f>IF($C3348="","",Registro_Compras!$B$375)</f>
        <v/>
      </c>
      <c r="B3348" t="str">
        <f>IF($C3348="","","C"&amp;TEXT(INT((ROW()-5)/9)+1,"000")&amp;"-2")</f>
        <v/>
      </c>
      <c r="C3348" t="str">
        <f>IF(OR(Registro_Compras!$C$375="",Registro_Compras!$O$375=""),"","79/791")</f>
        <v/>
      </c>
      <c r="D3348" t="str">
        <f>IF(OR(Registro_Compras!$C$375="",Registro_Compras!$O$375=""),"","Cargas Imputables a Cuentas de Costos y Gastos")</f>
        <v/>
      </c>
      <c r="E3348" s="20" t="str">
        <f>IF($C3348="","",IF(Registro_Compras!$F$375="NOTA DE CREDITO",ROUND(ABS(Registro_Compras!$J$375*Registro_Compras!$N$375),2),""))</f>
        <v/>
      </c>
      <c r="F3348" s="20" t="str">
        <f>IF($C3348="","",IF(Registro_Compras!$F$375="NOTA DE CREDITO","",IF(Registro_Compras!$F$375="RHE",ROUND(Registro_Compras!$L$375*Registro_Compras!$N$375,2),ROUND(Registro_Compras!$J$375*Registro_Compras!$N$375,2))))</f>
        <v/>
      </c>
      <c r="G3348" t="str">
        <f>IF($C3348="","","Por el destino del gasto")</f>
        <v/>
      </c>
      <c r="H3348" t="str">
        <f>IF($C3348="","",Registro_Compras!$C$375)</f>
        <v/>
      </c>
    </row>
    <row r="3349" spans="1:8" x14ac:dyDescent="0.25">
      <c r="A3349" s="25" t="str">
        <f>IF($C3349="","",Registro_Compras!$X$375)</f>
        <v/>
      </c>
      <c r="B3349" t="str">
        <f>IF($C3349="","","C"&amp;TEXT(INT((ROW()-5)/9)+1,"000")&amp;"-3")</f>
        <v/>
      </c>
      <c r="C3349" t="str">
        <f>IF(OR(Registro_Compras!$C$375="",Registro_Compras!$O$375="",Registro_Compras!$R$375&lt;&gt;"SI",Registro_Compras!$X$375=""),"","4212")</f>
        <v/>
      </c>
      <c r="D3349" t="str">
        <f>IF(OR(Registro_Compras!$C$375="",Registro_Compras!$O$375=""),"","Cuentas por Pagar Comerciales - Terceros")</f>
        <v/>
      </c>
      <c r="E3349" s="20" t="str">
        <f>IF($C3349="","",Registro_Compras!$S$375)</f>
        <v/>
      </c>
      <c r="F3349" s="20" t="str">
        <f>""</f>
        <v/>
      </c>
      <c r="G3349" t="str">
        <f>IF($C3349="","","Por el deposito de la detraccion en el Banco de la Nacion")</f>
        <v/>
      </c>
      <c r="H3349" t="str">
        <f>IF($C3349="","",Registro_Compras!$C$375)</f>
        <v/>
      </c>
    </row>
    <row r="3350" spans="1:8" x14ac:dyDescent="0.25">
      <c r="A3350" s="25" t="str">
        <f>IF($C3350="","",Registro_Compras!$X$375)</f>
        <v/>
      </c>
      <c r="B3350" t="str">
        <f>IF($C3350="","","C"&amp;TEXT(INT((ROW()-5)/9)+1,"000")&amp;"-3")</f>
        <v/>
      </c>
      <c r="C3350" t="str">
        <f>IF(OR(Registro_Compras!$C$375="",Registro_Compras!$O$375="",Registro_Compras!$R$375&lt;&gt;"SI",Registro_Compras!$X$375=""),"","1041")</f>
        <v/>
      </c>
      <c r="D3350" t="str">
        <f>IF(OR(Registro_Compras!$C$375="",Registro_Compras!$O$375=""),"","Efectivo y Equivalentes - Cta. Cte. Operativa")</f>
        <v/>
      </c>
      <c r="E3350" s="20" t="str">
        <f>""</f>
        <v/>
      </c>
      <c r="F3350" s="20" t="str">
        <f>IF($C3350="","",Registro_Compras!$S$375)</f>
        <v/>
      </c>
      <c r="G3350" t="str">
        <f>IF($C3350="","","Por el deposito de la detraccion en el Banco de la Nacion")</f>
        <v/>
      </c>
      <c r="H3350" t="str">
        <f>IF($C3350="","",Registro_Compras!$C$375)</f>
        <v/>
      </c>
    </row>
    <row r="3351" spans="1:8" x14ac:dyDescent="0.25">
      <c r="A3351" s="25" t="str">
        <f>IF($C3351="","",Registro_Compras!$Y$375)</f>
        <v/>
      </c>
      <c r="B3351" t="str">
        <f>IF($C3351="","","C"&amp;TEXT(INT((ROW()-5)/9)+1,"000")&amp;"-4")</f>
        <v/>
      </c>
      <c r="C3351" t="str">
        <f>IF(OR(Registro_Compras!$C$375="",Registro_Compras!$O$375="",Registro_Compras!$Y$375="",Registro_Compras!$F$375="NOTA DE CREDITO"),"","4212")</f>
        <v/>
      </c>
      <c r="D3351" t="str">
        <f>IF(OR(Registro_Compras!$C$375="",Registro_Compras!$O$375=""),"","Cuentas por Pagar Comerciales - Terceros")</f>
        <v/>
      </c>
      <c r="E3351" s="20" t="str">
        <f>IF($C3351="","",IF(Registro_Compras!$F$375="RHE",(ROUND(Registro_Compras!$L$375*Registro_Compras!$N$375,2)-ROUND(Registro_Compras!$V$375*Registro_Compras!$N$375,2)),ROUND(Registro_Compras!$O$375-Registro_Compras!$S$375,2)))</f>
        <v/>
      </c>
      <c r="F3351" s="20" t="str">
        <f>""</f>
        <v/>
      </c>
      <c r="G3351" t="str">
        <f>IF($C3351="","","Por la cancelacion del saldo al proveedor")</f>
        <v/>
      </c>
      <c r="H3351" t="str">
        <f>IF($C3351="","",Registro_Compras!$C$375)</f>
        <v/>
      </c>
    </row>
    <row r="3352" spans="1:8" x14ac:dyDescent="0.25">
      <c r="A3352" s="25" t="str">
        <f>IF($C3352="","",Registro_Compras!$Y$375)</f>
        <v/>
      </c>
      <c r="B3352" t="str">
        <f>IF($C3352="","","C"&amp;TEXT(INT((ROW()-5)/9)+1,"000")&amp;"-4")</f>
        <v/>
      </c>
      <c r="C3352" t="str">
        <f>IF(OR(Registro_Compras!$C$375="",Registro_Compras!$O$375="",Registro_Compras!$Y$375="",Registro_Compras!$F$375="NOTA DE CREDITO"),"","1041")</f>
        <v/>
      </c>
      <c r="D3352" t="str">
        <f>IF(OR(Registro_Compras!$C$375="",Registro_Compras!$O$375=""),"","Efectivo y Equivalentes - Cta. Cte. Operativa")</f>
        <v/>
      </c>
      <c r="E3352" s="20" t="str">
        <f>""</f>
        <v/>
      </c>
      <c r="F3352" s="20" t="str">
        <f>IF($C3352="","",IF(Registro_Compras!$F$375="RHE",(ROUND(Registro_Compras!$L$375*Registro_Compras!$N$375,2)-ROUND(Registro_Compras!$V$375*Registro_Compras!$N$375,2)),ROUND(Registro_Compras!$O$375-Registro_Compras!$S$375,2)))</f>
        <v/>
      </c>
      <c r="G3352" t="str">
        <f>IF($C3352="","","Por la cancelacion del saldo al proveedor")</f>
        <v/>
      </c>
      <c r="H3352" t="str">
        <f>IF($C3352="","",Registro_Compras!$C$375)</f>
        <v/>
      </c>
    </row>
    <row r="3353" spans="1:8" x14ac:dyDescent="0.25">
      <c r="A3353" s="25" t="str">
        <f>IF($C3353="","",Registro_Compras!$B$376)</f>
        <v/>
      </c>
      <c r="B3353" t="str">
        <f>IF($C3353="","","C"&amp;TEXT(INT((ROW()-5)/9)+1,"000")&amp;"-1")</f>
        <v/>
      </c>
      <c r="C3353" t="str">
        <f>IF(OR(Registro_Compras!$C$376="",Registro_Compras!$O$376=""),"",IF(Registro_Compras!$F$376="NOTA DE CREDITO","4212",IF(Registro_Compras!$M$376="","63",Registro_Compras!$M$376)))</f>
        <v/>
      </c>
      <c r="D3353" t="str">
        <f>IF(OR(Registro_Compras!$C$376="",Registro_Compras!$O$376=""),"",IF(Registro_Compras!$F$376="NOTA DE CREDITO","Cuentas por Pagar Comerciales - Terceros (Emitidas)",IF(Registro_Compras!$F$376="RHE","Honorarios Profesionales - Servicios de Terceros","Gastos de Servicios Prestados por Terceros")))</f>
        <v/>
      </c>
      <c r="E3353" s="20" t="str">
        <f>IF($C3353="","",IF(Registro_Compras!$F$376="NOTA DE CREDITO",ABS(Registro_Compras!$O$376),IF(Registro_Compras!$F$376="RHE",ROUND(Registro_Compras!$L$376*Registro_Compras!$N$376,2),ROUND(Registro_Compras!$J$376*Registro_Compras!$N$376,2))))</f>
        <v/>
      </c>
      <c r="F3353" s="20" t="str">
        <f>""</f>
        <v/>
      </c>
      <c r="G3353" t="str">
        <f>IF($C3353="","",IF(Registro_Compras!$F$376="NOTA DE CREDITO","Por la nota de credito "&amp;Registro_Compras!$C$376&amp;" de "&amp;Registro_Compras!$E$376&amp;" [PATRON POR CONFIRMAR CON CONTADOR]",IF(Registro_Compras!$F$376="RHE","Por el registro del recibo por honorarios "&amp;Registro_Compras!$C$376&amp;" de "&amp;Registro_Compras!$E$376&amp;" [PATRON POR CONFIRMAR CON CONTADOR]","Por el registro de la factura "&amp;Registro_Compras!$C$376&amp;" de "&amp;Registro_Compras!$E$376)))</f>
        <v/>
      </c>
      <c r="H3353" t="str">
        <f>IF($C3353="","",Registro_Compras!$C$376)</f>
        <v/>
      </c>
    </row>
    <row r="3354" spans="1:8" x14ac:dyDescent="0.25">
      <c r="A3354" s="25" t="str">
        <f>IF($C3354="","",Registro_Compras!$B$376)</f>
        <v/>
      </c>
      <c r="B3354" t="str">
        <f>IF($C3354="","","C"&amp;TEXT(INT((ROW()-5)/9)+1,"000")&amp;"-1")</f>
        <v/>
      </c>
      <c r="C3354" t="str">
        <f>IF(OR(Registro_Compras!$C$376="",Registro_Compras!$O$376=""),"",IF(Registro_Compras!$F$376="RHE",IF(Registro_Compras!$V$376=0,"","4017"),IF(Registro_Compras!$F$376="NOTA DE CREDITO",IF(Registro_Compras!$M$376="","63",Registro_Compras!$M$376),IF(Registro_Compras!$K$376=0,"","40111"))))</f>
        <v/>
      </c>
      <c r="D3354" t="str">
        <f>IF(OR(Registro_Compras!$C$376="",Registro_Compras!$O$376=""),"",IF(Registro_Compras!$F$376="RHE","Retencion Renta 4ta Categoria por Pagar",IF(Registro_Compras!$F$376="NOTA DE CREDITO","Gastos de Servicios Prestados por Terceros","IGV - Cuenta Propia (Credito Fiscal)")))</f>
        <v/>
      </c>
      <c r="E3354" s="20" t="str">
        <f>IF($C3354="","",IF(Registro_Compras!$F$376="FACTURA",ROUND(Registro_Compras!$K$376*Registro_Compras!$N$376,2),""))</f>
        <v/>
      </c>
      <c r="F3354" s="20" t="str">
        <f>IF($C3354="","",IF(Registro_Compras!$F$376="RHE",ROUND(Registro_Compras!$V$376*Registro_Compras!$N$376,2),IF(Registro_Compras!$F$376="NOTA DE CREDITO",ROUND(ABS(Registro_Compras!$J$376*Registro_Compras!$N$376),2),"")))</f>
        <v/>
      </c>
      <c r="G3354" t="str">
        <f>IF($C3354="","",IF(Registro_Compras!$F$376="NOTA DE CREDITO","Por la nota de credito "&amp;Registro_Compras!$C$376&amp;" de "&amp;Registro_Compras!$E$376&amp;" [PATRON POR CONFIRMAR CON CONTADOR]",IF(Registro_Compras!$F$376="RHE","Por el registro del recibo por honorarios "&amp;Registro_Compras!$C$376&amp;" de "&amp;Registro_Compras!$E$376&amp;" [PATRON POR CONFIRMAR CON CONTADOR]","Por el registro de la factura "&amp;Registro_Compras!$C$376&amp;" de "&amp;Registro_Compras!$E$376)))</f>
        <v/>
      </c>
      <c r="H3354" t="str">
        <f>IF($C3354="","",Registro_Compras!$C$376)</f>
        <v/>
      </c>
    </row>
    <row r="3355" spans="1:8" x14ac:dyDescent="0.25">
      <c r="A3355" s="25" t="str">
        <f>IF($C3355="","",Registro_Compras!$B$376)</f>
        <v/>
      </c>
      <c r="B3355" t="str">
        <f>IF($C3355="","","C"&amp;TEXT(INT((ROW()-5)/9)+1,"000")&amp;"-1")</f>
        <v/>
      </c>
      <c r="C3355" t="str">
        <f>IF(OR(Registro_Compras!$C$376="",Registro_Compras!$O$376=""),"",IF(Registro_Compras!$F$376="NOTA DE CREDITO",IF(Registro_Compras!$K$376=0,"","40111"),"4212"))</f>
        <v/>
      </c>
      <c r="D3355" t="str">
        <f>IF(OR(Registro_Compras!$C$376="",Registro_Compras!$O$376=""),"",IF(Registro_Compras!$F$376="NOTA DE CREDITO","IGV - Cuenta Propia (Credito Fiscal)","Cuentas por Pagar Comerciales - Terceros (Emitidas)"))</f>
        <v/>
      </c>
      <c r="E3355" s="20" t="str">
        <f>""</f>
        <v/>
      </c>
      <c r="F3355" s="20" t="str">
        <f>IF($C3355="","",IF(Registro_Compras!$F$376="NOTA DE CREDITO",ROUND(ABS(Registro_Compras!$K$376*Registro_Compras!$N$376),2),IF(Registro_Compras!$F$376="RHE",(ROUND(Registro_Compras!$L$376*Registro_Compras!$N$376,2)-ROUND(Registro_Compras!$V$376*Registro_Compras!$N$376,2)),Registro_Compras!$O$376)))</f>
        <v/>
      </c>
      <c r="G3355" t="str">
        <f>IF($C3355="","",IF(Registro_Compras!$F$376="NOTA DE CREDITO","Por la nota de credito "&amp;Registro_Compras!$C$376&amp;" de "&amp;Registro_Compras!$E$376&amp;" [PATRON POR CONFIRMAR CON CONTADOR]",IF(Registro_Compras!$F$376="RHE","Por el registro del recibo por honorarios "&amp;Registro_Compras!$C$376&amp;" de "&amp;Registro_Compras!$E$376&amp;" [PATRON POR CONFIRMAR CON CONTADOR]","Por el registro de la factura "&amp;Registro_Compras!$C$376&amp;" de "&amp;Registro_Compras!$E$376)))</f>
        <v/>
      </c>
      <c r="H3355" t="str">
        <f>IF($C3355="","",Registro_Compras!$C$376)</f>
        <v/>
      </c>
    </row>
    <row r="3356" spans="1:8" x14ac:dyDescent="0.25">
      <c r="A3356" s="25" t="str">
        <f>IF($C3356="","",Registro_Compras!$B$376)</f>
        <v/>
      </c>
      <c r="B3356" t="str">
        <f>IF($C3356="","","C"&amp;TEXT(INT((ROW()-5)/9)+1,"000")&amp;"-2")</f>
        <v/>
      </c>
      <c r="C3356" t="str">
        <f>IF(OR(Registro_Compras!$C$376="",Registro_Compras!$O$376=""),"",IF(Registro_Compras!$AB$376="ADMINISTRATIVO","94","95"))</f>
        <v/>
      </c>
      <c r="D3356" t="str">
        <f>IF(OR(Registro_Compras!$C$376="",Registro_Compras!$O$376=""),"",IF(Registro_Compras!$AB$376="ADMINISTRATIVO","Gastos Administrativos","Gastos de Venta y Operacion"))</f>
        <v/>
      </c>
      <c r="E3356" s="20" t="str">
        <f>IF($C3356="","",IF(Registro_Compras!$F$376="NOTA DE CREDITO","",IF(Registro_Compras!$F$376="RHE",ROUND(Registro_Compras!$L$376*Registro_Compras!$N$376,2),ROUND(Registro_Compras!$J$376*Registro_Compras!$N$376,2))))</f>
        <v/>
      </c>
      <c r="F3356" s="20" t="str">
        <f>IF($C3356="","",IF(Registro_Compras!$F$376="NOTA DE CREDITO",ROUND(ABS(Registro_Compras!$J$376*Registro_Compras!$N$376),2),""))</f>
        <v/>
      </c>
      <c r="G3356" t="str">
        <f>IF($C3356="","","Por el destino del gasto")</f>
        <v/>
      </c>
      <c r="H3356" t="str">
        <f>IF($C3356="","",Registro_Compras!$C$376)</f>
        <v/>
      </c>
    </row>
    <row r="3357" spans="1:8" x14ac:dyDescent="0.25">
      <c r="A3357" s="25" t="str">
        <f>IF($C3357="","",Registro_Compras!$B$376)</f>
        <v/>
      </c>
      <c r="B3357" t="str">
        <f>IF($C3357="","","C"&amp;TEXT(INT((ROW()-5)/9)+1,"000")&amp;"-2")</f>
        <v/>
      </c>
      <c r="C3357" t="str">
        <f>IF(OR(Registro_Compras!$C$376="",Registro_Compras!$O$376=""),"","79/791")</f>
        <v/>
      </c>
      <c r="D3357" t="str">
        <f>IF(OR(Registro_Compras!$C$376="",Registro_Compras!$O$376=""),"","Cargas Imputables a Cuentas de Costos y Gastos")</f>
        <v/>
      </c>
      <c r="E3357" s="20" t="str">
        <f>IF($C3357="","",IF(Registro_Compras!$F$376="NOTA DE CREDITO",ROUND(ABS(Registro_Compras!$J$376*Registro_Compras!$N$376),2),""))</f>
        <v/>
      </c>
      <c r="F3357" s="20" t="str">
        <f>IF($C3357="","",IF(Registro_Compras!$F$376="NOTA DE CREDITO","",IF(Registro_Compras!$F$376="RHE",ROUND(Registro_Compras!$L$376*Registro_Compras!$N$376,2),ROUND(Registro_Compras!$J$376*Registro_Compras!$N$376,2))))</f>
        <v/>
      </c>
      <c r="G3357" t="str">
        <f>IF($C3357="","","Por el destino del gasto")</f>
        <v/>
      </c>
      <c r="H3357" t="str">
        <f>IF($C3357="","",Registro_Compras!$C$376)</f>
        <v/>
      </c>
    </row>
    <row r="3358" spans="1:8" x14ac:dyDescent="0.25">
      <c r="A3358" s="25" t="str">
        <f>IF($C3358="","",Registro_Compras!$X$376)</f>
        <v/>
      </c>
      <c r="B3358" t="str">
        <f>IF($C3358="","","C"&amp;TEXT(INT((ROW()-5)/9)+1,"000")&amp;"-3")</f>
        <v/>
      </c>
      <c r="C3358" t="str">
        <f>IF(OR(Registro_Compras!$C$376="",Registro_Compras!$O$376="",Registro_Compras!$R$376&lt;&gt;"SI",Registro_Compras!$X$376=""),"","4212")</f>
        <v/>
      </c>
      <c r="D3358" t="str">
        <f>IF(OR(Registro_Compras!$C$376="",Registro_Compras!$O$376=""),"","Cuentas por Pagar Comerciales - Terceros")</f>
        <v/>
      </c>
      <c r="E3358" s="20" t="str">
        <f>IF($C3358="","",Registro_Compras!$S$376)</f>
        <v/>
      </c>
      <c r="F3358" s="20" t="str">
        <f>""</f>
        <v/>
      </c>
      <c r="G3358" t="str">
        <f>IF($C3358="","","Por el deposito de la detraccion en el Banco de la Nacion")</f>
        <v/>
      </c>
      <c r="H3358" t="str">
        <f>IF($C3358="","",Registro_Compras!$C$376)</f>
        <v/>
      </c>
    </row>
    <row r="3359" spans="1:8" x14ac:dyDescent="0.25">
      <c r="A3359" s="25" t="str">
        <f>IF($C3359="","",Registro_Compras!$X$376)</f>
        <v/>
      </c>
      <c r="B3359" t="str">
        <f>IF($C3359="","","C"&amp;TEXT(INT((ROW()-5)/9)+1,"000")&amp;"-3")</f>
        <v/>
      </c>
      <c r="C3359" t="str">
        <f>IF(OR(Registro_Compras!$C$376="",Registro_Compras!$O$376="",Registro_Compras!$R$376&lt;&gt;"SI",Registro_Compras!$X$376=""),"","1041")</f>
        <v/>
      </c>
      <c r="D3359" t="str">
        <f>IF(OR(Registro_Compras!$C$376="",Registro_Compras!$O$376=""),"","Efectivo y Equivalentes - Cta. Cte. Operativa")</f>
        <v/>
      </c>
      <c r="E3359" s="20" t="str">
        <f>""</f>
        <v/>
      </c>
      <c r="F3359" s="20" t="str">
        <f>IF($C3359="","",Registro_Compras!$S$376)</f>
        <v/>
      </c>
      <c r="G3359" t="str">
        <f>IF($C3359="","","Por el deposito de la detraccion en el Banco de la Nacion")</f>
        <v/>
      </c>
      <c r="H3359" t="str">
        <f>IF($C3359="","",Registro_Compras!$C$376)</f>
        <v/>
      </c>
    </row>
    <row r="3360" spans="1:8" x14ac:dyDescent="0.25">
      <c r="A3360" s="25" t="str">
        <f>IF($C3360="","",Registro_Compras!$Y$376)</f>
        <v/>
      </c>
      <c r="B3360" t="str">
        <f>IF($C3360="","","C"&amp;TEXT(INT((ROW()-5)/9)+1,"000")&amp;"-4")</f>
        <v/>
      </c>
      <c r="C3360" t="str">
        <f>IF(OR(Registro_Compras!$C$376="",Registro_Compras!$O$376="",Registro_Compras!$Y$376="",Registro_Compras!$F$376="NOTA DE CREDITO"),"","4212")</f>
        <v/>
      </c>
      <c r="D3360" t="str">
        <f>IF(OR(Registro_Compras!$C$376="",Registro_Compras!$O$376=""),"","Cuentas por Pagar Comerciales - Terceros")</f>
        <v/>
      </c>
      <c r="E3360" s="20" t="str">
        <f>IF($C3360="","",IF(Registro_Compras!$F$376="RHE",(ROUND(Registro_Compras!$L$376*Registro_Compras!$N$376,2)-ROUND(Registro_Compras!$V$376*Registro_Compras!$N$376,2)),ROUND(Registro_Compras!$O$376-Registro_Compras!$S$376,2)))</f>
        <v/>
      </c>
      <c r="F3360" s="20" t="str">
        <f>""</f>
        <v/>
      </c>
      <c r="G3360" t="str">
        <f>IF($C3360="","","Por la cancelacion del saldo al proveedor")</f>
        <v/>
      </c>
      <c r="H3360" t="str">
        <f>IF($C3360="","",Registro_Compras!$C$376)</f>
        <v/>
      </c>
    </row>
    <row r="3361" spans="1:8" x14ac:dyDescent="0.25">
      <c r="A3361" s="25" t="str">
        <f>IF($C3361="","",Registro_Compras!$Y$376)</f>
        <v/>
      </c>
      <c r="B3361" t="str">
        <f>IF($C3361="","","C"&amp;TEXT(INT((ROW()-5)/9)+1,"000")&amp;"-4")</f>
        <v/>
      </c>
      <c r="C3361" t="str">
        <f>IF(OR(Registro_Compras!$C$376="",Registro_Compras!$O$376="",Registro_Compras!$Y$376="",Registro_Compras!$F$376="NOTA DE CREDITO"),"","1041")</f>
        <v/>
      </c>
      <c r="D3361" t="str">
        <f>IF(OR(Registro_Compras!$C$376="",Registro_Compras!$O$376=""),"","Efectivo y Equivalentes - Cta. Cte. Operativa")</f>
        <v/>
      </c>
      <c r="E3361" s="20" t="str">
        <f>""</f>
        <v/>
      </c>
      <c r="F3361" s="20" t="str">
        <f>IF($C3361="","",IF(Registro_Compras!$F$376="RHE",(ROUND(Registro_Compras!$L$376*Registro_Compras!$N$376,2)-ROUND(Registro_Compras!$V$376*Registro_Compras!$N$376,2)),ROUND(Registro_Compras!$O$376-Registro_Compras!$S$376,2)))</f>
        <v/>
      </c>
      <c r="G3361" t="str">
        <f>IF($C3361="","","Por la cancelacion del saldo al proveedor")</f>
        <v/>
      </c>
      <c r="H3361" t="str">
        <f>IF($C3361="","",Registro_Compras!$C$376)</f>
        <v/>
      </c>
    </row>
    <row r="3362" spans="1:8" x14ac:dyDescent="0.25">
      <c r="A3362" s="25" t="str">
        <f>IF($C3362="","",Registro_Compras!$B$377)</f>
        <v/>
      </c>
      <c r="B3362" t="str">
        <f>IF($C3362="","","C"&amp;TEXT(INT((ROW()-5)/9)+1,"000")&amp;"-1")</f>
        <v/>
      </c>
      <c r="C3362" t="str">
        <f>IF(OR(Registro_Compras!$C$377="",Registro_Compras!$O$377=""),"",IF(Registro_Compras!$F$377="NOTA DE CREDITO","4212",IF(Registro_Compras!$M$377="","63",Registro_Compras!$M$377)))</f>
        <v/>
      </c>
      <c r="D3362" t="str">
        <f>IF(OR(Registro_Compras!$C$377="",Registro_Compras!$O$377=""),"",IF(Registro_Compras!$F$377="NOTA DE CREDITO","Cuentas por Pagar Comerciales - Terceros (Emitidas)",IF(Registro_Compras!$F$377="RHE","Honorarios Profesionales - Servicios de Terceros","Gastos de Servicios Prestados por Terceros")))</f>
        <v/>
      </c>
      <c r="E3362" s="20" t="str">
        <f>IF($C3362="","",IF(Registro_Compras!$F$377="NOTA DE CREDITO",ABS(Registro_Compras!$O$377),IF(Registro_Compras!$F$377="RHE",ROUND(Registro_Compras!$L$377*Registro_Compras!$N$377,2),ROUND(Registro_Compras!$J$377*Registro_Compras!$N$377,2))))</f>
        <v/>
      </c>
      <c r="F3362" s="20" t="str">
        <f>""</f>
        <v/>
      </c>
      <c r="G3362" t="str">
        <f>IF($C3362="","",IF(Registro_Compras!$F$377="NOTA DE CREDITO","Por la nota de credito "&amp;Registro_Compras!$C$377&amp;" de "&amp;Registro_Compras!$E$377&amp;" [PATRON POR CONFIRMAR CON CONTADOR]",IF(Registro_Compras!$F$377="RHE","Por el registro del recibo por honorarios "&amp;Registro_Compras!$C$377&amp;" de "&amp;Registro_Compras!$E$377&amp;" [PATRON POR CONFIRMAR CON CONTADOR]","Por el registro de la factura "&amp;Registro_Compras!$C$377&amp;" de "&amp;Registro_Compras!$E$377)))</f>
        <v/>
      </c>
      <c r="H3362" t="str">
        <f>IF($C3362="","",Registro_Compras!$C$377)</f>
        <v/>
      </c>
    </row>
    <row r="3363" spans="1:8" x14ac:dyDescent="0.25">
      <c r="A3363" s="25" t="str">
        <f>IF($C3363="","",Registro_Compras!$B$377)</f>
        <v/>
      </c>
      <c r="B3363" t="str">
        <f>IF($C3363="","","C"&amp;TEXT(INT((ROW()-5)/9)+1,"000")&amp;"-1")</f>
        <v/>
      </c>
      <c r="C3363" t="str">
        <f>IF(OR(Registro_Compras!$C$377="",Registro_Compras!$O$377=""),"",IF(Registro_Compras!$F$377="RHE",IF(Registro_Compras!$V$377=0,"","4017"),IF(Registro_Compras!$F$377="NOTA DE CREDITO",IF(Registro_Compras!$M$377="","63",Registro_Compras!$M$377),IF(Registro_Compras!$K$377=0,"","40111"))))</f>
        <v/>
      </c>
      <c r="D3363" t="str">
        <f>IF(OR(Registro_Compras!$C$377="",Registro_Compras!$O$377=""),"",IF(Registro_Compras!$F$377="RHE","Retencion Renta 4ta Categoria por Pagar",IF(Registro_Compras!$F$377="NOTA DE CREDITO","Gastos de Servicios Prestados por Terceros","IGV - Cuenta Propia (Credito Fiscal)")))</f>
        <v/>
      </c>
      <c r="E3363" s="20" t="str">
        <f>IF($C3363="","",IF(Registro_Compras!$F$377="FACTURA",ROUND(Registro_Compras!$K$377*Registro_Compras!$N$377,2),""))</f>
        <v/>
      </c>
      <c r="F3363" s="20" t="str">
        <f>IF($C3363="","",IF(Registro_Compras!$F$377="RHE",ROUND(Registro_Compras!$V$377*Registro_Compras!$N$377,2),IF(Registro_Compras!$F$377="NOTA DE CREDITO",ROUND(ABS(Registro_Compras!$J$377*Registro_Compras!$N$377),2),"")))</f>
        <v/>
      </c>
      <c r="G3363" t="str">
        <f>IF($C3363="","",IF(Registro_Compras!$F$377="NOTA DE CREDITO","Por la nota de credito "&amp;Registro_Compras!$C$377&amp;" de "&amp;Registro_Compras!$E$377&amp;" [PATRON POR CONFIRMAR CON CONTADOR]",IF(Registro_Compras!$F$377="RHE","Por el registro del recibo por honorarios "&amp;Registro_Compras!$C$377&amp;" de "&amp;Registro_Compras!$E$377&amp;" [PATRON POR CONFIRMAR CON CONTADOR]","Por el registro de la factura "&amp;Registro_Compras!$C$377&amp;" de "&amp;Registro_Compras!$E$377)))</f>
        <v/>
      </c>
      <c r="H3363" t="str">
        <f>IF($C3363="","",Registro_Compras!$C$377)</f>
        <v/>
      </c>
    </row>
    <row r="3364" spans="1:8" x14ac:dyDescent="0.25">
      <c r="A3364" s="25" t="str">
        <f>IF($C3364="","",Registro_Compras!$B$377)</f>
        <v/>
      </c>
      <c r="B3364" t="str">
        <f>IF($C3364="","","C"&amp;TEXT(INT((ROW()-5)/9)+1,"000")&amp;"-1")</f>
        <v/>
      </c>
      <c r="C3364" t="str">
        <f>IF(OR(Registro_Compras!$C$377="",Registro_Compras!$O$377=""),"",IF(Registro_Compras!$F$377="NOTA DE CREDITO",IF(Registro_Compras!$K$377=0,"","40111"),"4212"))</f>
        <v/>
      </c>
      <c r="D3364" t="str">
        <f>IF(OR(Registro_Compras!$C$377="",Registro_Compras!$O$377=""),"",IF(Registro_Compras!$F$377="NOTA DE CREDITO","IGV - Cuenta Propia (Credito Fiscal)","Cuentas por Pagar Comerciales - Terceros (Emitidas)"))</f>
        <v/>
      </c>
      <c r="E3364" s="20" t="str">
        <f>""</f>
        <v/>
      </c>
      <c r="F3364" s="20" t="str">
        <f>IF($C3364="","",IF(Registro_Compras!$F$377="NOTA DE CREDITO",ROUND(ABS(Registro_Compras!$K$377*Registro_Compras!$N$377),2),IF(Registro_Compras!$F$377="RHE",(ROUND(Registro_Compras!$L$377*Registro_Compras!$N$377,2)-ROUND(Registro_Compras!$V$377*Registro_Compras!$N$377,2)),Registro_Compras!$O$377)))</f>
        <v/>
      </c>
      <c r="G3364" t="str">
        <f>IF($C3364="","",IF(Registro_Compras!$F$377="NOTA DE CREDITO","Por la nota de credito "&amp;Registro_Compras!$C$377&amp;" de "&amp;Registro_Compras!$E$377&amp;" [PATRON POR CONFIRMAR CON CONTADOR]",IF(Registro_Compras!$F$377="RHE","Por el registro del recibo por honorarios "&amp;Registro_Compras!$C$377&amp;" de "&amp;Registro_Compras!$E$377&amp;" [PATRON POR CONFIRMAR CON CONTADOR]","Por el registro de la factura "&amp;Registro_Compras!$C$377&amp;" de "&amp;Registro_Compras!$E$377)))</f>
        <v/>
      </c>
      <c r="H3364" t="str">
        <f>IF($C3364="","",Registro_Compras!$C$377)</f>
        <v/>
      </c>
    </row>
    <row r="3365" spans="1:8" x14ac:dyDescent="0.25">
      <c r="A3365" s="25" t="str">
        <f>IF($C3365="","",Registro_Compras!$B$377)</f>
        <v/>
      </c>
      <c r="B3365" t="str">
        <f>IF($C3365="","","C"&amp;TEXT(INT((ROW()-5)/9)+1,"000")&amp;"-2")</f>
        <v/>
      </c>
      <c r="C3365" t="str">
        <f>IF(OR(Registro_Compras!$C$377="",Registro_Compras!$O$377=""),"",IF(Registro_Compras!$AB$377="ADMINISTRATIVO","94","95"))</f>
        <v/>
      </c>
      <c r="D3365" t="str">
        <f>IF(OR(Registro_Compras!$C$377="",Registro_Compras!$O$377=""),"",IF(Registro_Compras!$AB$377="ADMINISTRATIVO","Gastos Administrativos","Gastos de Venta y Operacion"))</f>
        <v/>
      </c>
      <c r="E3365" s="20" t="str">
        <f>IF($C3365="","",IF(Registro_Compras!$F$377="NOTA DE CREDITO","",IF(Registro_Compras!$F$377="RHE",ROUND(Registro_Compras!$L$377*Registro_Compras!$N$377,2),ROUND(Registro_Compras!$J$377*Registro_Compras!$N$377,2))))</f>
        <v/>
      </c>
      <c r="F3365" s="20" t="str">
        <f>IF($C3365="","",IF(Registro_Compras!$F$377="NOTA DE CREDITO",ROUND(ABS(Registro_Compras!$J$377*Registro_Compras!$N$377),2),""))</f>
        <v/>
      </c>
      <c r="G3365" t="str">
        <f>IF($C3365="","","Por el destino del gasto")</f>
        <v/>
      </c>
      <c r="H3365" t="str">
        <f>IF($C3365="","",Registro_Compras!$C$377)</f>
        <v/>
      </c>
    </row>
    <row r="3366" spans="1:8" x14ac:dyDescent="0.25">
      <c r="A3366" s="25" t="str">
        <f>IF($C3366="","",Registro_Compras!$B$377)</f>
        <v/>
      </c>
      <c r="B3366" t="str">
        <f>IF($C3366="","","C"&amp;TEXT(INT((ROW()-5)/9)+1,"000")&amp;"-2")</f>
        <v/>
      </c>
      <c r="C3366" t="str">
        <f>IF(OR(Registro_Compras!$C$377="",Registro_Compras!$O$377=""),"","79/791")</f>
        <v/>
      </c>
      <c r="D3366" t="str">
        <f>IF(OR(Registro_Compras!$C$377="",Registro_Compras!$O$377=""),"","Cargas Imputables a Cuentas de Costos y Gastos")</f>
        <v/>
      </c>
      <c r="E3366" s="20" t="str">
        <f>IF($C3366="","",IF(Registro_Compras!$F$377="NOTA DE CREDITO",ROUND(ABS(Registro_Compras!$J$377*Registro_Compras!$N$377),2),""))</f>
        <v/>
      </c>
      <c r="F3366" s="20" t="str">
        <f>IF($C3366="","",IF(Registro_Compras!$F$377="NOTA DE CREDITO","",IF(Registro_Compras!$F$377="RHE",ROUND(Registro_Compras!$L$377*Registro_Compras!$N$377,2),ROUND(Registro_Compras!$J$377*Registro_Compras!$N$377,2))))</f>
        <v/>
      </c>
      <c r="G3366" t="str">
        <f>IF($C3366="","","Por el destino del gasto")</f>
        <v/>
      </c>
      <c r="H3366" t="str">
        <f>IF($C3366="","",Registro_Compras!$C$377)</f>
        <v/>
      </c>
    </row>
    <row r="3367" spans="1:8" x14ac:dyDescent="0.25">
      <c r="A3367" s="25" t="str">
        <f>IF($C3367="","",Registro_Compras!$X$377)</f>
        <v/>
      </c>
      <c r="B3367" t="str">
        <f>IF($C3367="","","C"&amp;TEXT(INT((ROW()-5)/9)+1,"000")&amp;"-3")</f>
        <v/>
      </c>
      <c r="C3367" t="str">
        <f>IF(OR(Registro_Compras!$C$377="",Registro_Compras!$O$377="",Registro_Compras!$R$377&lt;&gt;"SI",Registro_Compras!$X$377=""),"","4212")</f>
        <v/>
      </c>
      <c r="D3367" t="str">
        <f>IF(OR(Registro_Compras!$C$377="",Registro_Compras!$O$377=""),"","Cuentas por Pagar Comerciales - Terceros")</f>
        <v/>
      </c>
      <c r="E3367" s="20" t="str">
        <f>IF($C3367="","",Registro_Compras!$S$377)</f>
        <v/>
      </c>
      <c r="F3367" s="20" t="str">
        <f>""</f>
        <v/>
      </c>
      <c r="G3367" t="str">
        <f>IF($C3367="","","Por el deposito de la detraccion en el Banco de la Nacion")</f>
        <v/>
      </c>
      <c r="H3367" t="str">
        <f>IF($C3367="","",Registro_Compras!$C$377)</f>
        <v/>
      </c>
    </row>
    <row r="3368" spans="1:8" x14ac:dyDescent="0.25">
      <c r="A3368" s="25" t="str">
        <f>IF($C3368="","",Registro_Compras!$X$377)</f>
        <v/>
      </c>
      <c r="B3368" t="str">
        <f>IF($C3368="","","C"&amp;TEXT(INT((ROW()-5)/9)+1,"000")&amp;"-3")</f>
        <v/>
      </c>
      <c r="C3368" t="str">
        <f>IF(OR(Registro_Compras!$C$377="",Registro_Compras!$O$377="",Registro_Compras!$R$377&lt;&gt;"SI",Registro_Compras!$X$377=""),"","1041")</f>
        <v/>
      </c>
      <c r="D3368" t="str">
        <f>IF(OR(Registro_Compras!$C$377="",Registro_Compras!$O$377=""),"","Efectivo y Equivalentes - Cta. Cte. Operativa")</f>
        <v/>
      </c>
      <c r="E3368" s="20" t="str">
        <f>""</f>
        <v/>
      </c>
      <c r="F3368" s="20" t="str">
        <f>IF($C3368="","",Registro_Compras!$S$377)</f>
        <v/>
      </c>
      <c r="G3368" t="str">
        <f>IF($C3368="","","Por el deposito de la detraccion en el Banco de la Nacion")</f>
        <v/>
      </c>
      <c r="H3368" t="str">
        <f>IF($C3368="","",Registro_Compras!$C$377)</f>
        <v/>
      </c>
    </row>
    <row r="3369" spans="1:8" x14ac:dyDescent="0.25">
      <c r="A3369" s="25" t="str">
        <f>IF($C3369="","",Registro_Compras!$Y$377)</f>
        <v/>
      </c>
      <c r="B3369" t="str">
        <f>IF($C3369="","","C"&amp;TEXT(INT((ROW()-5)/9)+1,"000")&amp;"-4")</f>
        <v/>
      </c>
      <c r="C3369" t="str">
        <f>IF(OR(Registro_Compras!$C$377="",Registro_Compras!$O$377="",Registro_Compras!$Y$377="",Registro_Compras!$F$377="NOTA DE CREDITO"),"","4212")</f>
        <v/>
      </c>
      <c r="D3369" t="str">
        <f>IF(OR(Registro_Compras!$C$377="",Registro_Compras!$O$377=""),"","Cuentas por Pagar Comerciales - Terceros")</f>
        <v/>
      </c>
      <c r="E3369" s="20" t="str">
        <f>IF($C3369="","",IF(Registro_Compras!$F$377="RHE",(ROUND(Registro_Compras!$L$377*Registro_Compras!$N$377,2)-ROUND(Registro_Compras!$V$377*Registro_Compras!$N$377,2)),ROUND(Registro_Compras!$O$377-Registro_Compras!$S$377,2)))</f>
        <v/>
      </c>
      <c r="F3369" s="20" t="str">
        <f>""</f>
        <v/>
      </c>
      <c r="G3369" t="str">
        <f>IF($C3369="","","Por la cancelacion del saldo al proveedor")</f>
        <v/>
      </c>
      <c r="H3369" t="str">
        <f>IF($C3369="","",Registro_Compras!$C$377)</f>
        <v/>
      </c>
    </row>
    <row r="3370" spans="1:8" x14ac:dyDescent="0.25">
      <c r="A3370" s="25" t="str">
        <f>IF($C3370="","",Registro_Compras!$Y$377)</f>
        <v/>
      </c>
      <c r="B3370" t="str">
        <f>IF($C3370="","","C"&amp;TEXT(INT((ROW()-5)/9)+1,"000")&amp;"-4")</f>
        <v/>
      </c>
      <c r="C3370" t="str">
        <f>IF(OR(Registro_Compras!$C$377="",Registro_Compras!$O$377="",Registro_Compras!$Y$377="",Registro_Compras!$F$377="NOTA DE CREDITO"),"","1041")</f>
        <v/>
      </c>
      <c r="D3370" t="str">
        <f>IF(OR(Registro_Compras!$C$377="",Registro_Compras!$O$377=""),"","Efectivo y Equivalentes - Cta. Cte. Operativa")</f>
        <v/>
      </c>
      <c r="E3370" s="20" t="str">
        <f>""</f>
        <v/>
      </c>
      <c r="F3370" s="20" t="str">
        <f>IF($C3370="","",IF(Registro_Compras!$F$377="RHE",(ROUND(Registro_Compras!$L$377*Registro_Compras!$N$377,2)-ROUND(Registro_Compras!$V$377*Registro_Compras!$N$377,2)),ROUND(Registro_Compras!$O$377-Registro_Compras!$S$377,2)))</f>
        <v/>
      </c>
      <c r="G3370" t="str">
        <f>IF($C3370="","","Por la cancelacion del saldo al proveedor")</f>
        <v/>
      </c>
      <c r="H3370" t="str">
        <f>IF($C3370="","",Registro_Compras!$C$377)</f>
        <v/>
      </c>
    </row>
    <row r="3371" spans="1:8" x14ac:dyDescent="0.25">
      <c r="A3371" s="25" t="str">
        <f>IF($C3371="","",Registro_Compras!$B$378)</f>
        <v/>
      </c>
      <c r="B3371" t="str">
        <f>IF($C3371="","","C"&amp;TEXT(INT((ROW()-5)/9)+1,"000")&amp;"-1")</f>
        <v/>
      </c>
      <c r="C3371" t="str">
        <f>IF(OR(Registro_Compras!$C$378="",Registro_Compras!$O$378=""),"",IF(Registro_Compras!$F$378="NOTA DE CREDITO","4212",IF(Registro_Compras!$M$378="","63",Registro_Compras!$M$378)))</f>
        <v/>
      </c>
      <c r="D3371" t="str">
        <f>IF(OR(Registro_Compras!$C$378="",Registro_Compras!$O$378=""),"",IF(Registro_Compras!$F$378="NOTA DE CREDITO","Cuentas por Pagar Comerciales - Terceros (Emitidas)",IF(Registro_Compras!$F$378="RHE","Honorarios Profesionales - Servicios de Terceros","Gastos de Servicios Prestados por Terceros")))</f>
        <v/>
      </c>
      <c r="E3371" s="20" t="str">
        <f>IF($C3371="","",IF(Registro_Compras!$F$378="NOTA DE CREDITO",ABS(Registro_Compras!$O$378),IF(Registro_Compras!$F$378="RHE",ROUND(Registro_Compras!$L$378*Registro_Compras!$N$378,2),ROUND(Registro_Compras!$J$378*Registro_Compras!$N$378,2))))</f>
        <v/>
      </c>
      <c r="F3371" s="20" t="str">
        <f>""</f>
        <v/>
      </c>
      <c r="G3371" t="str">
        <f>IF($C3371="","",IF(Registro_Compras!$F$378="NOTA DE CREDITO","Por la nota de credito "&amp;Registro_Compras!$C$378&amp;" de "&amp;Registro_Compras!$E$378&amp;" [PATRON POR CONFIRMAR CON CONTADOR]",IF(Registro_Compras!$F$378="RHE","Por el registro del recibo por honorarios "&amp;Registro_Compras!$C$378&amp;" de "&amp;Registro_Compras!$E$378&amp;" [PATRON POR CONFIRMAR CON CONTADOR]","Por el registro de la factura "&amp;Registro_Compras!$C$378&amp;" de "&amp;Registro_Compras!$E$378)))</f>
        <v/>
      </c>
      <c r="H3371" t="str">
        <f>IF($C3371="","",Registro_Compras!$C$378)</f>
        <v/>
      </c>
    </row>
    <row r="3372" spans="1:8" x14ac:dyDescent="0.25">
      <c r="A3372" s="25" t="str">
        <f>IF($C3372="","",Registro_Compras!$B$378)</f>
        <v/>
      </c>
      <c r="B3372" t="str">
        <f>IF($C3372="","","C"&amp;TEXT(INT((ROW()-5)/9)+1,"000")&amp;"-1")</f>
        <v/>
      </c>
      <c r="C3372" t="str">
        <f>IF(OR(Registro_Compras!$C$378="",Registro_Compras!$O$378=""),"",IF(Registro_Compras!$F$378="RHE",IF(Registro_Compras!$V$378=0,"","4017"),IF(Registro_Compras!$F$378="NOTA DE CREDITO",IF(Registro_Compras!$M$378="","63",Registro_Compras!$M$378),IF(Registro_Compras!$K$378=0,"","40111"))))</f>
        <v/>
      </c>
      <c r="D3372" t="str">
        <f>IF(OR(Registro_Compras!$C$378="",Registro_Compras!$O$378=""),"",IF(Registro_Compras!$F$378="RHE","Retencion Renta 4ta Categoria por Pagar",IF(Registro_Compras!$F$378="NOTA DE CREDITO","Gastos de Servicios Prestados por Terceros","IGV - Cuenta Propia (Credito Fiscal)")))</f>
        <v/>
      </c>
      <c r="E3372" s="20" t="str">
        <f>IF($C3372="","",IF(Registro_Compras!$F$378="FACTURA",ROUND(Registro_Compras!$K$378*Registro_Compras!$N$378,2),""))</f>
        <v/>
      </c>
      <c r="F3372" s="20" t="str">
        <f>IF($C3372="","",IF(Registro_Compras!$F$378="RHE",ROUND(Registro_Compras!$V$378*Registro_Compras!$N$378,2),IF(Registro_Compras!$F$378="NOTA DE CREDITO",ROUND(ABS(Registro_Compras!$J$378*Registro_Compras!$N$378),2),"")))</f>
        <v/>
      </c>
      <c r="G3372" t="str">
        <f>IF($C3372="","",IF(Registro_Compras!$F$378="NOTA DE CREDITO","Por la nota de credito "&amp;Registro_Compras!$C$378&amp;" de "&amp;Registro_Compras!$E$378&amp;" [PATRON POR CONFIRMAR CON CONTADOR]",IF(Registro_Compras!$F$378="RHE","Por el registro del recibo por honorarios "&amp;Registro_Compras!$C$378&amp;" de "&amp;Registro_Compras!$E$378&amp;" [PATRON POR CONFIRMAR CON CONTADOR]","Por el registro de la factura "&amp;Registro_Compras!$C$378&amp;" de "&amp;Registro_Compras!$E$378)))</f>
        <v/>
      </c>
      <c r="H3372" t="str">
        <f>IF($C3372="","",Registro_Compras!$C$378)</f>
        <v/>
      </c>
    </row>
    <row r="3373" spans="1:8" x14ac:dyDescent="0.25">
      <c r="A3373" s="25" t="str">
        <f>IF($C3373="","",Registro_Compras!$B$378)</f>
        <v/>
      </c>
      <c r="B3373" t="str">
        <f>IF($C3373="","","C"&amp;TEXT(INT((ROW()-5)/9)+1,"000")&amp;"-1")</f>
        <v/>
      </c>
      <c r="C3373" t="str">
        <f>IF(OR(Registro_Compras!$C$378="",Registro_Compras!$O$378=""),"",IF(Registro_Compras!$F$378="NOTA DE CREDITO",IF(Registro_Compras!$K$378=0,"","40111"),"4212"))</f>
        <v/>
      </c>
      <c r="D3373" t="str">
        <f>IF(OR(Registro_Compras!$C$378="",Registro_Compras!$O$378=""),"",IF(Registro_Compras!$F$378="NOTA DE CREDITO","IGV - Cuenta Propia (Credito Fiscal)","Cuentas por Pagar Comerciales - Terceros (Emitidas)"))</f>
        <v/>
      </c>
      <c r="E3373" s="20" t="str">
        <f>""</f>
        <v/>
      </c>
      <c r="F3373" s="20" t="str">
        <f>IF($C3373="","",IF(Registro_Compras!$F$378="NOTA DE CREDITO",ROUND(ABS(Registro_Compras!$K$378*Registro_Compras!$N$378),2),IF(Registro_Compras!$F$378="RHE",(ROUND(Registro_Compras!$L$378*Registro_Compras!$N$378,2)-ROUND(Registro_Compras!$V$378*Registro_Compras!$N$378,2)),Registro_Compras!$O$378)))</f>
        <v/>
      </c>
      <c r="G3373" t="str">
        <f>IF($C3373="","",IF(Registro_Compras!$F$378="NOTA DE CREDITO","Por la nota de credito "&amp;Registro_Compras!$C$378&amp;" de "&amp;Registro_Compras!$E$378&amp;" [PATRON POR CONFIRMAR CON CONTADOR]",IF(Registro_Compras!$F$378="RHE","Por el registro del recibo por honorarios "&amp;Registro_Compras!$C$378&amp;" de "&amp;Registro_Compras!$E$378&amp;" [PATRON POR CONFIRMAR CON CONTADOR]","Por el registro de la factura "&amp;Registro_Compras!$C$378&amp;" de "&amp;Registro_Compras!$E$378)))</f>
        <v/>
      </c>
      <c r="H3373" t="str">
        <f>IF($C3373="","",Registro_Compras!$C$378)</f>
        <v/>
      </c>
    </row>
    <row r="3374" spans="1:8" x14ac:dyDescent="0.25">
      <c r="A3374" s="25" t="str">
        <f>IF($C3374="","",Registro_Compras!$B$378)</f>
        <v/>
      </c>
      <c r="B3374" t="str">
        <f>IF($C3374="","","C"&amp;TEXT(INT((ROW()-5)/9)+1,"000")&amp;"-2")</f>
        <v/>
      </c>
      <c r="C3374" t="str">
        <f>IF(OR(Registro_Compras!$C$378="",Registro_Compras!$O$378=""),"",IF(Registro_Compras!$AB$378="ADMINISTRATIVO","94","95"))</f>
        <v/>
      </c>
      <c r="D3374" t="str">
        <f>IF(OR(Registro_Compras!$C$378="",Registro_Compras!$O$378=""),"",IF(Registro_Compras!$AB$378="ADMINISTRATIVO","Gastos Administrativos","Gastos de Venta y Operacion"))</f>
        <v/>
      </c>
      <c r="E3374" s="20" t="str">
        <f>IF($C3374="","",IF(Registro_Compras!$F$378="NOTA DE CREDITO","",IF(Registro_Compras!$F$378="RHE",ROUND(Registro_Compras!$L$378*Registro_Compras!$N$378,2),ROUND(Registro_Compras!$J$378*Registro_Compras!$N$378,2))))</f>
        <v/>
      </c>
      <c r="F3374" s="20" t="str">
        <f>IF($C3374="","",IF(Registro_Compras!$F$378="NOTA DE CREDITO",ROUND(ABS(Registro_Compras!$J$378*Registro_Compras!$N$378),2),""))</f>
        <v/>
      </c>
      <c r="G3374" t="str">
        <f>IF($C3374="","","Por el destino del gasto")</f>
        <v/>
      </c>
      <c r="H3374" t="str">
        <f>IF($C3374="","",Registro_Compras!$C$378)</f>
        <v/>
      </c>
    </row>
    <row r="3375" spans="1:8" x14ac:dyDescent="0.25">
      <c r="A3375" s="25" t="str">
        <f>IF($C3375="","",Registro_Compras!$B$378)</f>
        <v/>
      </c>
      <c r="B3375" t="str">
        <f>IF($C3375="","","C"&amp;TEXT(INT((ROW()-5)/9)+1,"000")&amp;"-2")</f>
        <v/>
      </c>
      <c r="C3375" t="str">
        <f>IF(OR(Registro_Compras!$C$378="",Registro_Compras!$O$378=""),"","79/791")</f>
        <v/>
      </c>
      <c r="D3375" t="str">
        <f>IF(OR(Registro_Compras!$C$378="",Registro_Compras!$O$378=""),"","Cargas Imputables a Cuentas de Costos y Gastos")</f>
        <v/>
      </c>
      <c r="E3375" s="20" t="str">
        <f>IF($C3375="","",IF(Registro_Compras!$F$378="NOTA DE CREDITO",ROUND(ABS(Registro_Compras!$J$378*Registro_Compras!$N$378),2),""))</f>
        <v/>
      </c>
      <c r="F3375" s="20" t="str">
        <f>IF($C3375="","",IF(Registro_Compras!$F$378="NOTA DE CREDITO","",IF(Registro_Compras!$F$378="RHE",ROUND(Registro_Compras!$L$378*Registro_Compras!$N$378,2),ROUND(Registro_Compras!$J$378*Registro_Compras!$N$378,2))))</f>
        <v/>
      </c>
      <c r="G3375" t="str">
        <f>IF($C3375="","","Por el destino del gasto")</f>
        <v/>
      </c>
      <c r="H3375" t="str">
        <f>IF($C3375="","",Registro_Compras!$C$378)</f>
        <v/>
      </c>
    </row>
    <row r="3376" spans="1:8" x14ac:dyDescent="0.25">
      <c r="A3376" s="25" t="str">
        <f>IF($C3376="","",Registro_Compras!$X$378)</f>
        <v/>
      </c>
      <c r="B3376" t="str">
        <f>IF($C3376="","","C"&amp;TEXT(INT((ROW()-5)/9)+1,"000")&amp;"-3")</f>
        <v/>
      </c>
      <c r="C3376" t="str">
        <f>IF(OR(Registro_Compras!$C$378="",Registro_Compras!$O$378="",Registro_Compras!$R$378&lt;&gt;"SI",Registro_Compras!$X$378=""),"","4212")</f>
        <v/>
      </c>
      <c r="D3376" t="str">
        <f>IF(OR(Registro_Compras!$C$378="",Registro_Compras!$O$378=""),"","Cuentas por Pagar Comerciales - Terceros")</f>
        <v/>
      </c>
      <c r="E3376" s="20" t="str">
        <f>IF($C3376="","",Registro_Compras!$S$378)</f>
        <v/>
      </c>
      <c r="F3376" s="20" t="str">
        <f>""</f>
        <v/>
      </c>
      <c r="G3376" t="str">
        <f>IF($C3376="","","Por el deposito de la detraccion en el Banco de la Nacion")</f>
        <v/>
      </c>
      <c r="H3376" t="str">
        <f>IF($C3376="","",Registro_Compras!$C$378)</f>
        <v/>
      </c>
    </row>
    <row r="3377" spans="1:8" x14ac:dyDescent="0.25">
      <c r="A3377" s="25" t="str">
        <f>IF($C3377="","",Registro_Compras!$X$378)</f>
        <v/>
      </c>
      <c r="B3377" t="str">
        <f>IF($C3377="","","C"&amp;TEXT(INT((ROW()-5)/9)+1,"000")&amp;"-3")</f>
        <v/>
      </c>
      <c r="C3377" t="str">
        <f>IF(OR(Registro_Compras!$C$378="",Registro_Compras!$O$378="",Registro_Compras!$R$378&lt;&gt;"SI",Registro_Compras!$X$378=""),"","1041")</f>
        <v/>
      </c>
      <c r="D3377" t="str">
        <f>IF(OR(Registro_Compras!$C$378="",Registro_Compras!$O$378=""),"","Efectivo y Equivalentes - Cta. Cte. Operativa")</f>
        <v/>
      </c>
      <c r="E3377" s="20" t="str">
        <f>""</f>
        <v/>
      </c>
      <c r="F3377" s="20" t="str">
        <f>IF($C3377="","",Registro_Compras!$S$378)</f>
        <v/>
      </c>
      <c r="G3377" t="str">
        <f>IF($C3377="","","Por el deposito de la detraccion en el Banco de la Nacion")</f>
        <v/>
      </c>
      <c r="H3377" t="str">
        <f>IF($C3377="","",Registro_Compras!$C$378)</f>
        <v/>
      </c>
    </row>
    <row r="3378" spans="1:8" x14ac:dyDescent="0.25">
      <c r="A3378" s="25" t="str">
        <f>IF($C3378="","",Registro_Compras!$Y$378)</f>
        <v/>
      </c>
      <c r="B3378" t="str">
        <f>IF($C3378="","","C"&amp;TEXT(INT((ROW()-5)/9)+1,"000")&amp;"-4")</f>
        <v/>
      </c>
      <c r="C3378" t="str">
        <f>IF(OR(Registro_Compras!$C$378="",Registro_Compras!$O$378="",Registro_Compras!$Y$378="",Registro_Compras!$F$378="NOTA DE CREDITO"),"","4212")</f>
        <v/>
      </c>
      <c r="D3378" t="str">
        <f>IF(OR(Registro_Compras!$C$378="",Registro_Compras!$O$378=""),"","Cuentas por Pagar Comerciales - Terceros")</f>
        <v/>
      </c>
      <c r="E3378" s="20" t="str">
        <f>IF($C3378="","",IF(Registro_Compras!$F$378="RHE",(ROUND(Registro_Compras!$L$378*Registro_Compras!$N$378,2)-ROUND(Registro_Compras!$V$378*Registro_Compras!$N$378,2)),ROUND(Registro_Compras!$O$378-Registro_Compras!$S$378,2)))</f>
        <v/>
      </c>
      <c r="F3378" s="20" t="str">
        <f>""</f>
        <v/>
      </c>
      <c r="G3378" t="str">
        <f>IF($C3378="","","Por la cancelacion del saldo al proveedor")</f>
        <v/>
      </c>
      <c r="H3378" t="str">
        <f>IF($C3378="","",Registro_Compras!$C$378)</f>
        <v/>
      </c>
    </row>
    <row r="3379" spans="1:8" x14ac:dyDescent="0.25">
      <c r="A3379" s="25" t="str">
        <f>IF($C3379="","",Registro_Compras!$Y$378)</f>
        <v/>
      </c>
      <c r="B3379" t="str">
        <f>IF($C3379="","","C"&amp;TEXT(INT((ROW()-5)/9)+1,"000")&amp;"-4")</f>
        <v/>
      </c>
      <c r="C3379" t="str">
        <f>IF(OR(Registro_Compras!$C$378="",Registro_Compras!$O$378="",Registro_Compras!$Y$378="",Registro_Compras!$F$378="NOTA DE CREDITO"),"","1041")</f>
        <v/>
      </c>
      <c r="D3379" t="str">
        <f>IF(OR(Registro_Compras!$C$378="",Registro_Compras!$O$378=""),"","Efectivo y Equivalentes - Cta. Cte. Operativa")</f>
        <v/>
      </c>
      <c r="E3379" s="20" t="str">
        <f>""</f>
        <v/>
      </c>
      <c r="F3379" s="20" t="str">
        <f>IF($C3379="","",IF(Registro_Compras!$F$378="RHE",(ROUND(Registro_Compras!$L$378*Registro_Compras!$N$378,2)-ROUND(Registro_Compras!$V$378*Registro_Compras!$N$378,2)),ROUND(Registro_Compras!$O$378-Registro_Compras!$S$378,2)))</f>
        <v/>
      </c>
      <c r="G3379" t="str">
        <f>IF($C3379="","","Por la cancelacion del saldo al proveedor")</f>
        <v/>
      </c>
      <c r="H3379" t="str">
        <f>IF($C3379="","",Registro_Compras!$C$378)</f>
        <v/>
      </c>
    </row>
    <row r="3380" spans="1:8" x14ac:dyDescent="0.25">
      <c r="A3380" s="25" t="str">
        <f>IF($C3380="","",Registro_Compras!$B$379)</f>
        <v/>
      </c>
      <c r="B3380" t="str">
        <f>IF($C3380="","","C"&amp;TEXT(INT((ROW()-5)/9)+1,"000")&amp;"-1")</f>
        <v/>
      </c>
      <c r="C3380" t="str">
        <f>IF(OR(Registro_Compras!$C$379="",Registro_Compras!$O$379=""),"",IF(Registro_Compras!$F$379="NOTA DE CREDITO","4212",IF(Registro_Compras!$M$379="","63",Registro_Compras!$M$379)))</f>
        <v/>
      </c>
      <c r="D3380" t="str">
        <f>IF(OR(Registro_Compras!$C$379="",Registro_Compras!$O$379=""),"",IF(Registro_Compras!$F$379="NOTA DE CREDITO","Cuentas por Pagar Comerciales - Terceros (Emitidas)",IF(Registro_Compras!$F$379="RHE","Honorarios Profesionales - Servicios de Terceros","Gastos de Servicios Prestados por Terceros")))</f>
        <v/>
      </c>
      <c r="E3380" s="20" t="str">
        <f>IF($C3380="","",IF(Registro_Compras!$F$379="NOTA DE CREDITO",ABS(Registro_Compras!$O$379),IF(Registro_Compras!$F$379="RHE",ROUND(Registro_Compras!$L$379*Registro_Compras!$N$379,2),ROUND(Registro_Compras!$J$379*Registro_Compras!$N$379,2))))</f>
        <v/>
      </c>
      <c r="F3380" s="20" t="str">
        <f>""</f>
        <v/>
      </c>
      <c r="G3380" t="str">
        <f>IF($C3380="","",IF(Registro_Compras!$F$379="NOTA DE CREDITO","Por la nota de credito "&amp;Registro_Compras!$C$379&amp;" de "&amp;Registro_Compras!$E$379&amp;" [PATRON POR CONFIRMAR CON CONTADOR]",IF(Registro_Compras!$F$379="RHE","Por el registro del recibo por honorarios "&amp;Registro_Compras!$C$379&amp;" de "&amp;Registro_Compras!$E$379&amp;" [PATRON POR CONFIRMAR CON CONTADOR]","Por el registro de la factura "&amp;Registro_Compras!$C$379&amp;" de "&amp;Registro_Compras!$E$379)))</f>
        <v/>
      </c>
      <c r="H3380" t="str">
        <f>IF($C3380="","",Registro_Compras!$C$379)</f>
        <v/>
      </c>
    </row>
    <row r="3381" spans="1:8" x14ac:dyDescent="0.25">
      <c r="A3381" s="25" t="str">
        <f>IF($C3381="","",Registro_Compras!$B$379)</f>
        <v/>
      </c>
      <c r="B3381" t="str">
        <f>IF($C3381="","","C"&amp;TEXT(INT((ROW()-5)/9)+1,"000")&amp;"-1")</f>
        <v/>
      </c>
      <c r="C3381" t="str">
        <f>IF(OR(Registro_Compras!$C$379="",Registro_Compras!$O$379=""),"",IF(Registro_Compras!$F$379="RHE",IF(Registro_Compras!$V$379=0,"","4017"),IF(Registro_Compras!$F$379="NOTA DE CREDITO",IF(Registro_Compras!$M$379="","63",Registro_Compras!$M$379),IF(Registro_Compras!$K$379=0,"","40111"))))</f>
        <v/>
      </c>
      <c r="D3381" t="str">
        <f>IF(OR(Registro_Compras!$C$379="",Registro_Compras!$O$379=""),"",IF(Registro_Compras!$F$379="RHE","Retencion Renta 4ta Categoria por Pagar",IF(Registro_Compras!$F$379="NOTA DE CREDITO","Gastos de Servicios Prestados por Terceros","IGV - Cuenta Propia (Credito Fiscal)")))</f>
        <v/>
      </c>
      <c r="E3381" s="20" t="str">
        <f>IF($C3381="","",IF(Registro_Compras!$F$379="FACTURA",ROUND(Registro_Compras!$K$379*Registro_Compras!$N$379,2),""))</f>
        <v/>
      </c>
      <c r="F3381" s="20" t="str">
        <f>IF($C3381="","",IF(Registro_Compras!$F$379="RHE",ROUND(Registro_Compras!$V$379*Registro_Compras!$N$379,2),IF(Registro_Compras!$F$379="NOTA DE CREDITO",ROUND(ABS(Registro_Compras!$J$379*Registro_Compras!$N$379),2),"")))</f>
        <v/>
      </c>
      <c r="G3381" t="str">
        <f>IF($C3381="","",IF(Registro_Compras!$F$379="NOTA DE CREDITO","Por la nota de credito "&amp;Registro_Compras!$C$379&amp;" de "&amp;Registro_Compras!$E$379&amp;" [PATRON POR CONFIRMAR CON CONTADOR]",IF(Registro_Compras!$F$379="RHE","Por el registro del recibo por honorarios "&amp;Registro_Compras!$C$379&amp;" de "&amp;Registro_Compras!$E$379&amp;" [PATRON POR CONFIRMAR CON CONTADOR]","Por el registro de la factura "&amp;Registro_Compras!$C$379&amp;" de "&amp;Registro_Compras!$E$379)))</f>
        <v/>
      </c>
      <c r="H3381" t="str">
        <f>IF($C3381="","",Registro_Compras!$C$379)</f>
        <v/>
      </c>
    </row>
    <row r="3382" spans="1:8" x14ac:dyDescent="0.25">
      <c r="A3382" s="25" t="str">
        <f>IF($C3382="","",Registro_Compras!$B$379)</f>
        <v/>
      </c>
      <c r="B3382" t="str">
        <f>IF($C3382="","","C"&amp;TEXT(INT((ROW()-5)/9)+1,"000")&amp;"-1")</f>
        <v/>
      </c>
      <c r="C3382" t="str">
        <f>IF(OR(Registro_Compras!$C$379="",Registro_Compras!$O$379=""),"",IF(Registro_Compras!$F$379="NOTA DE CREDITO",IF(Registro_Compras!$K$379=0,"","40111"),"4212"))</f>
        <v/>
      </c>
      <c r="D3382" t="str">
        <f>IF(OR(Registro_Compras!$C$379="",Registro_Compras!$O$379=""),"",IF(Registro_Compras!$F$379="NOTA DE CREDITO","IGV - Cuenta Propia (Credito Fiscal)","Cuentas por Pagar Comerciales - Terceros (Emitidas)"))</f>
        <v/>
      </c>
      <c r="E3382" s="20" t="str">
        <f>""</f>
        <v/>
      </c>
      <c r="F3382" s="20" t="str">
        <f>IF($C3382="","",IF(Registro_Compras!$F$379="NOTA DE CREDITO",ROUND(ABS(Registro_Compras!$K$379*Registro_Compras!$N$379),2),IF(Registro_Compras!$F$379="RHE",(ROUND(Registro_Compras!$L$379*Registro_Compras!$N$379,2)-ROUND(Registro_Compras!$V$379*Registro_Compras!$N$379,2)),Registro_Compras!$O$379)))</f>
        <v/>
      </c>
      <c r="G3382" t="str">
        <f>IF($C3382="","",IF(Registro_Compras!$F$379="NOTA DE CREDITO","Por la nota de credito "&amp;Registro_Compras!$C$379&amp;" de "&amp;Registro_Compras!$E$379&amp;" [PATRON POR CONFIRMAR CON CONTADOR]",IF(Registro_Compras!$F$379="RHE","Por el registro del recibo por honorarios "&amp;Registro_Compras!$C$379&amp;" de "&amp;Registro_Compras!$E$379&amp;" [PATRON POR CONFIRMAR CON CONTADOR]","Por el registro de la factura "&amp;Registro_Compras!$C$379&amp;" de "&amp;Registro_Compras!$E$379)))</f>
        <v/>
      </c>
      <c r="H3382" t="str">
        <f>IF($C3382="","",Registro_Compras!$C$379)</f>
        <v/>
      </c>
    </row>
    <row r="3383" spans="1:8" x14ac:dyDescent="0.25">
      <c r="A3383" s="25" t="str">
        <f>IF($C3383="","",Registro_Compras!$B$379)</f>
        <v/>
      </c>
      <c r="B3383" t="str">
        <f>IF($C3383="","","C"&amp;TEXT(INT((ROW()-5)/9)+1,"000")&amp;"-2")</f>
        <v/>
      </c>
      <c r="C3383" t="str">
        <f>IF(OR(Registro_Compras!$C$379="",Registro_Compras!$O$379=""),"",IF(Registro_Compras!$AB$379="ADMINISTRATIVO","94","95"))</f>
        <v/>
      </c>
      <c r="D3383" t="str">
        <f>IF(OR(Registro_Compras!$C$379="",Registro_Compras!$O$379=""),"",IF(Registro_Compras!$AB$379="ADMINISTRATIVO","Gastos Administrativos","Gastos de Venta y Operacion"))</f>
        <v/>
      </c>
      <c r="E3383" s="20" t="str">
        <f>IF($C3383="","",IF(Registro_Compras!$F$379="NOTA DE CREDITO","",IF(Registro_Compras!$F$379="RHE",ROUND(Registro_Compras!$L$379*Registro_Compras!$N$379,2),ROUND(Registro_Compras!$J$379*Registro_Compras!$N$379,2))))</f>
        <v/>
      </c>
      <c r="F3383" s="20" t="str">
        <f>IF($C3383="","",IF(Registro_Compras!$F$379="NOTA DE CREDITO",ROUND(ABS(Registro_Compras!$J$379*Registro_Compras!$N$379),2),""))</f>
        <v/>
      </c>
      <c r="G3383" t="str">
        <f>IF($C3383="","","Por el destino del gasto")</f>
        <v/>
      </c>
      <c r="H3383" t="str">
        <f>IF($C3383="","",Registro_Compras!$C$379)</f>
        <v/>
      </c>
    </row>
    <row r="3384" spans="1:8" x14ac:dyDescent="0.25">
      <c r="A3384" s="25" t="str">
        <f>IF($C3384="","",Registro_Compras!$B$379)</f>
        <v/>
      </c>
      <c r="B3384" t="str">
        <f>IF($C3384="","","C"&amp;TEXT(INT((ROW()-5)/9)+1,"000")&amp;"-2")</f>
        <v/>
      </c>
      <c r="C3384" t="str">
        <f>IF(OR(Registro_Compras!$C$379="",Registro_Compras!$O$379=""),"","79/791")</f>
        <v/>
      </c>
      <c r="D3384" t="str">
        <f>IF(OR(Registro_Compras!$C$379="",Registro_Compras!$O$379=""),"","Cargas Imputables a Cuentas de Costos y Gastos")</f>
        <v/>
      </c>
      <c r="E3384" s="20" t="str">
        <f>IF($C3384="","",IF(Registro_Compras!$F$379="NOTA DE CREDITO",ROUND(ABS(Registro_Compras!$J$379*Registro_Compras!$N$379),2),""))</f>
        <v/>
      </c>
      <c r="F3384" s="20" t="str">
        <f>IF($C3384="","",IF(Registro_Compras!$F$379="NOTA DE CREDITO","",IF(Registro_Compras!$F$379="RHE",ROUND(Registro_Compras!$L$379*Registro_Compras!$N$379,2),ROUND(Registro_Compras!$J$379*Registro_Compras!$N$379,2))))</f>
        <v/>
      </c>
      <c r="G3384" t="str">
        <f>IF($C3384="","","Por el destino del gasto")</f>
        <v/>
      </c>
      <c r="H3384" t="str">
        <f>IF($C3384="","",Registro_Compras!$C$379)</f>
        <v/>
      </c>
    </row>
    <row r="3385" spans="1:8" x14ac:dyDescent="0.25">
      <c r="A3385" s="25" t="str">
        <f>IF($C3385="","",Registro_Compras!$X$379)</f>
        <v/>
      </c>
      <c r="B3385" t="str">
        <f>IF($C3385="","","C"&amp;TEXT(INT((ROW()-5)/9)+1,"000")&amp;"-3")</f>
        <v/>
      </c>
      <c r="C3385" t="str">
        <f>IF(OR(Registro_Compras!$C$379="",Registro_Compras!$O$379="",Registro_Compras!$R$379&lt;&gt;"SI",Registro_Compras!$X$379=""),"","4212")</f>
        <v/>
      </c>
      <c r="D3385" t="str">
        <f>IF(OR(Registro_Compras!$C$379="",Registro_Compras!$O$379=""),"","Cuentas por Pagar Comerciales - Terceros")</f>
        <v/>
      </c>
      <c r="E3385" s="20" t="str">
        <f>IF($C3385="","",Registro_Compras!$S$379)</f>
        <v/>
      </c>
      <c r="F3385" s="20" t="str">
        <f>""</f>
        <v/>
      </c>
      <c r="G3385" t="str">
        <f>IF($C3385="","","Por el deposito de la detraccion en el Banco de la Nacion")</f>
        <v/>
      </c>
      <c r="H3385" t="str">
        <f>IF($C3385="","",Registro_Compras!$C$379)</f>
        <v/>
      </c>
    </row>
    <row r="3386" spans="1:8" x14ac:dyDescent="0.25">
      <c r="A3386" s="25" t="str">
        <f>IF($C3386="","",Registro_Compras!$X$379)</f>
        <v/>
      </c>
      <c r="B3386" t="str">
        <f>IF($C3386="","","C"&amp;TEXT(INT((ROW()-5)/9)+1,"000")&amp;"-3")</f>
        <v/>
      </c>
      <c r="C3386" t="str">
        <f>IF(OR(Registro_Compras!$C$379="",Registro_Compras!$O$379="",Registro_Compras!$R$379&lt;&gt;"SI",Registro_Compras!$X$379=""),"","1041")</f>
        <v/>
      </c>
      <c r="D3386" t="str">
        <f>IF(OR(Registro_Compras!$C$379="",Registro_Compras!$O$379=""),"","Efectivo y Equivalentes - Cta. Cte. Operativa")</f>
        <v/>
      </c>
      <c r="E3386" s="20" t="str">
        <f>""</f>
        <v/>
      </c>
      <c r="F3386" s="20" t="str">
        <f>IF($C3386="","",Registro_Compras!$S$379)</f>
        <v/>
      </c>
      <c r="G3386" t="str">
        <f>IF($C3386="","","Por el deposito de la detraccion en el Banco de la Nacion")</f>
        <v/>
      </c>
      <c r="H3386" t="str">
        <f>IF($C3386="","",Registro_Compras!$C$379)</f>
        <v/>
      </c>
    </row>
    <row r="3387" spans="1:8" x14ac:dyDescent="0.25">
      <c r="A3387" s="25" t="str">
        <f>IF($C3387="","",Registro_Compras!$Y$379)</f>
        <v/>
      </c>
      <c r="B3387" t="str">
        <f>IF($C3387="","","C"&amp;TEXT(INT((ROW()-5)/9)+1,"000")&amp;"-4")</f>
        <v/>
      </c>
      <c r="C3387" t="str">
        <f>IF(OR(Registro_Compras!$C$379="",Registro_Compras!$O$379="",Registro_Compras!$Y$379="",Registro_Compras!$F$379="NOTA DE CREDITO"),"","4212")</f>
        <v/>
      </c>
      <c r="D3387" t="str">
        <f>IF(OR(Registro_Compras!$C$379="",Registro_Compras!$O$379=""),"","Cuentas por Pagar Comerciales - Terceros")</f>
        <v/>
      </c>
      <c r="E3387" s="20" t="str">
        <f>IF($C3387="","",IF(Registro_Compras!$F$379="RHE",(ROUND(Registro_Compras!$L$379*Registro_Compras!$N$379,2)-ROUND(Registro_Compras!$V$379*Registro_Compras!$N$379,2)),ROUND(Registro_Compras!$O$379-Registro_Compras!$S$379,2)))</f>
        <v/>
      </c>
      <c r="F3387" s="20" t="str">
        <f>""</f>
        <v/>
      </c>
      <c r="G3387" t="str">
        <f>IF($C3387="","","Por la cancelacion del saldo al proveedor")</f>
        <v/>
      </c>
      <c r="H3387" t="str">
        <f>IF($C3387="","",Registro_Compras!$C$379)</f>
        <v/>
      </c>
    </row>
    <row r="3388" spans="1:8" x14ac:dyDescent="0.25">
      <c r="A3388" s="25" t="str">
        <f>IF($C3388="","",Registro_Compras!$Y$379)</f>
        <v/>
      </c>
      <c r="B3388" t="str">
        <f>IF($C3388="","","C"&amp;TEXT(INT((ROW()-5)/9)+1,"000")&amp;"-4")</f>
        <v/>
      </c>
      <c r="C3388" t="str">
        <f>IF(OR(Registro_Compras!$C$379="",Registro_Compras!$O$379="",Registro_Compras!$Y$379="",Registro_Compras!$F$379="NOTA DE CREDITO"),"","1041")</f>
        <v/>
      </c>
      <c r="D3388" t="str">
        <f>IF(OR(Registro_Compras!$C$379="",Registro_Compras!$O$379=""),"","Efectivo y Equivalentes - Cta. Cte. Operativa")</f>
        <v/>
      </c>
      <c r="E3388" s="20" t="str">
        <f>""</f>
        <v/>
      </c>
      <c r="F3388" s="20" t="str">
        <f>IF($C3388="","",IF(Registro_Compras!$F$379="RHE",(ROUND(Registro_Compras!$L$379*Registro_Compras!$N$379,2)-ROUND(Registro_Compras!$V$379*Registro_Compras!$N$379,2)),ROUND(Registro_Compras!$O$379-Registro_Compras!$S$379,2)))</f>
        <v/>
      </c>
      <c r="G3388" t="str">
        <f>IF($C3388="","","Por la cancelacion del saldo al proveedor")</f>
        <v/>
      </c>
      <c r="H3388" t="str">
        <f>IF($C3388="","",Registro_Compras!$C$379)</f>
        <v/>
      </c>
    </row>
    <row r="3389" spans="1:8" x14ac:dyDescent="0.25">
      <c r="A3389" s="25" t="str">
        <f>IF($C3389="","",Registro_Compras!$B$380)</f>
        <v/>
      </c>
      <c r="B3389" t="str">
        <f>IF($C3389="","","C"&amp;TEXT(INT((ROW()-5)/9)+1,"000")&amp;"-1")</f>
        <v/>
      </c>
      <c r="C3389" t="str">
        <f>IF(OR(Registro_Compras!$C$380="",Registro_Compras!$O$380=""),"",IF(Registro_Compras!$F$380="NOTA DE CREDITO","4212",IF(Registro_Compras!$M$380="","63",Registro_Compras!$M$380)))</f>
        <v/>
      </c>
      <c r="D3389" t="str">
        <f>IF(OR(Registro_Compras!$C$380="",Registro_Compras!$O$380=""),"",IF(Registro_Compras!$F$380="NOTA DE CREDITO","Cuentas por Pagar Comerciales - Terceros (Emitidas)",IF(Registro_Compras!$F$380="RHE","Honorarios Profesionales - Servicios de Terceros","Gastos de Servicios Prestados por Terceros")))</f>
        <v/>
      </c>
      <c r="E3389" s="20" t="str">
        <f>IF($C3389="","",IF(Registro_Compras!$F$380="NOTA DE CREDITO",ABS(Registro_Compras!$O$380),IF(Registro_Compras!$F$380="RHE",ROUND(Registro_Compras!$L$380*Registro_Compras!$N$380,2),ROUND(Registro_Compras!$J$380*Registro_Compras!$N$380,2))))</f>
        <v/>
      </c>
      <c r="F3389" s="20" t="str">
        <f>""</f>
        <v/>
      </c>
      <c r="G3389" t="str">
        <f>IF($C3389="","",IF(Registro_Compras!$F$380="NOTA DE CREDITO","Por la nota de credito "&amp;Registro_Compras!$C$380&amp;" de "&amp;Registro_Compras!$E$380&amp;" [PATRON POR CONFIRMAR CON CONTADOR]",IF(Registro_Compras!$F$380="RHE","Por el registro del recibo por honorarios "&amp;Registro_Compras!$C$380&amp;" de "&amp;Registro_Compras!$E$380&amp;" [PATRON POR CONFIRMAR CON CONTADOR]","Por el registro de la factura "&amp;Registro_Compras!$C$380&amp;" de "&amp;Registro_Compras!$E$380)))</f>
        <v/>
      </c>
      <c r="H3389" t="str">
        <f>IF($C3389="","",Registro_Compras!$C$380)</f>
        <v/>
      </c>
    </row>
    <row r="3390" spans="1:8" x14ac:dyDescent="0.25">
      <c r="A3390" s="25" t="str">
        <f>IF($C3390="","",Registro_Compras!$B$380)</f>
        <v/>
      </c>
      <c r="B3390" t="str">
        <f>IF($C3390="","","C"&amp;TEXT(INT((ROW()-5)/9)+1,"000")&amp;"-1")</f>
        <v/>
      </c>
      <c r="C3390" t="str">
        <f>IF(OR(Registro_Compras!$C$380="",Registro_Compras!$O$380=""),"",IF(Registro_Compras!$F$380="RHE",IF(Registro_Compras!$V$380=0,"","4017"),IF(Registro_Compras!$F$380="NOTA DE CREDITO",IF(Registro_Compras!$M$380="","63",Registro_Compras!$M$380),IF(Registro_Compras!$K$380=0,"","40111"))))</f>
        <v/>
      </c>
      <c r="D3390" t="str">
        <f>IF(OR(Registro_Compras!$C$380="",Registro_Compras!$O$380=""),"",IF(Registro_Compras!$F$380="RHE","Retencion Renta 4ta Categoria por Pagar",IF(Registro_Compras!$F$380="NOTA DE CREDITO","Gastos de Servicios Prestados por Terceros","IGV - Cuenta Propia (Credito Fiscal)")))</f>
        <v/>
      </c>
      <c r="E3390" s="20" t="str">
        <f>IF($C3390="","",IF(Registro_Compras!$F$380="FACTURA",ROUND(Registro_Compras!$K$380*Registro_Compras!$N$380,2),""))</f>
        <v/>
      </c>
      <c r="F3390" s="20" t="str">
        <f>IF($C3390="","",IF(Registro_Compras!$F$380="RHE",ROUND(Registro_Compras!$V$380*Registro_Compras!$N$380,2),IF(Registro_Compras!$F$380="NOTA DE CREDITO",ROUND(ABS(Registro_Compras!$J$380*Registro_Compras!$N$380),2),"")))</f>
        <v/>
      </c>
      <c r="G3390" t="str">
        <f>IF($C3390="","",IF(Registro_Compras!$F$380="NOTA DE CREDITO","Por la nota de credito "&amp;Registro_Compras!$C$380&amp;" de "&amp;Registro_Compras!$E$380&amp;" [PATRON POR CONFIRMAR CON CONTADOR]",IF(Registro_Compras!$F$380="RHE","Por el registro del recibo por honorarios "&amp;Registro_Compras!$C$380&amp;" de "&amp;Registro_Compras!$E$380&amp;" [PATRON POR CONFIRMAR CON CONTADOR]","Por el registro de la factura "&amp;Registro_Compras!$C$380&amp;" de "&amp;Registro_Compras!$E$380)))</f>
        <v/>
      </c>
      <c r="H3390" t="str">
        <f>IF($C3390="","",Registro_Compras!$C$380)</f>
        <v/>
      </c>
    </row>
    <row r="3391" spans="1:8" x14ac:dyDescent="0.25">
      <c r="A3391" s="25" t="str">
        <f>IF($C3391="","",Registro_Compras!$B$380)</f>
        <v/>
      </c>
      <c r="B3391" t="str">
        <f>IF($C3391="","","C"&amp;TEXT(INT((ROW()-5)/9)+1,"000")&amp;"-1")</f>
        <v/>
      </c>
      <c r="C3391" t="str">
        <f>IF(OR(Registro_Compras!$C$380="",Registro_Compras!$O$380=""),"",IF(Registro_Compras!$F$380="NOTA DE CREDITO",IF(Registro_Compras!$K$380=0,"","40111"),"4212"))</f>
        <v/>
      </c>
      <c r="D3391" t="str">
        <f>IF(OR(Registro_Compras!$C$380="",Registro_Compras!$O$380=""),"",IF(Registro_Compras!$F$380="NOTA DE CREDITO","IGV - Cuenta Propia (Credito Fiscal)","Cuentas por Pagar Comerciales - Terceros (Emitidas)"))</f>
        <v/>
      </c>
      <c r="E3391" s="20" t="str">
        <f>""</f>
        <v/>
      </c>
      <c r="F3391" s="20" t="str">
        <f>IF($C3391="","",IF(Registro_Compras!$F$380="NOTA DE CREDITO",ROUND(ABS(Registro_Compras!$K$380*Registro_Compras!$N$380),2),IF(Registro_Compras!$F$380="RHE",(ROUND(Registro_Compras!$L$380*Registro_Compras!$N$380,2)-ROUND(Registro_Compras!$V$380*Registro_Compras!$N$380,2)),Registro_Compras!$O$380)))</f>
        <v/>
      </c>
      <c r="G3391" t="str">
        <f>IF($C3391="","",IF(Registro_Compras!$F$380="NOTA DE CREDITO","Por la nota de credito "&amp;Registro_Compras!$C$380&amp;" de "&amp;Registro_Compras!$E$380&amp;" [PATRON POR CONFIRMAR CON CONTADOR]",IF(Registro_Compras!$F$380="RHE","Por el registro del recibo por honorarios "&amp;Registro_Compras!$C$380&amp;" de "&amp;Registro_Compras!$E$380&amp;" [PATRON POR CONFIRMAR CON CONTADOR]","Por el registro de la factura "&amp;Registro_Compras!$C$380&amp;" de "&amp;Registro_Compras!$E$380)))</f>
        <v/>
      </c>
      <c r="H3391" t="str">
        <f>IF($C3391="","",Registro_Compras!$C$380)</f>
        <v/>
      </c>
    </row>
    <row r="3392" spans="1:8" x14ac:dyDescent="0.25">
      <c r="A3392" s="25" t="str">
        <f>IF($C3392="","",Registro_Compras!$B$380)</f>
        <v/>
      </c>
      <c r="B3392" t="str">
        <f>IF($C3392="","","C"&amp;TEXT(INT((ROW()-5)/9)+1,"000")&amp;"-2")</f>
        <v/>
      </c>
      <c r="C3392" t="str">
        <f>IF(OR(Registro_Compras!$C$380="",Registro_Compras!$O$380=""),"",IF(Registro_Compras!$AB$380="ADMINISTRATIVO","94","95"))</f>
        <v/>
      </c>
      <c r="D3392" t="str">
        <f>IF(OR(Registro_Compras!$C$380="",Registro_Compras!$O$380=""),"",IF(Registro_Compras!$AB$380="ADMINISTRATIVO","Gastos Administrativos","Gastos de Venta y Operacion"))</f>
        <v/>
      </c>
      <c r="E3392" s="20" t="str">
        <f>IF($C3392="","",IF(Registro_Compras!$F$380="NOTA DE CREDITO","",IF(Registro_Compras!$F$380="RHE",ROUND(Registro_Compras!$L$380*Registro_Compras!$N$380,2),ROUND(Registro_Compras!$J$380*Registro_Compras!$N$380,2))))</f>
        <v/>
      </c>
      <c r="F3392" s="20" t="str">
        <f>IF($C3392="","",IF(Registro_Compras!$F$380="NOTA DE CREDITO",ROUND(ABS(Registro_Compras!$J$380*Registro_Compras!$N$380),2),""))</f>
        <v/>
      </c>
      <c r="G3392" t="str">
        <f>IF($C3392="","","Por el destino del gasto")</f>
        <v/>
      </c>
      <c r="H3392" t="str">
        <f>IF($C3392="","",Registro_Compras!$C$380)</f>
        <v/>
      </c>
    </row>
    <row r="3393" spans="1:8" x14ac:dyDescent="0.25">
      <c r="A3393" s="25" t="str">
        <f>IF($C3393="","",Registro_Compras!$B$380)</f>
        <v/>
      </c>
      <c r="B3393" t="str">
        <f>IF($C3393="","","C"&amp;TEXT(INT((ROW()-5)/9)+1,"000")&amp;"-2")</f>
        <v/>
      </c>
      <c r="C3393" t="str">
        <f>IF(OR(Registro_Compras!$C$380="",Registro_Compras!$O$380=""),"","79/791")</f>
        <v/>
      </c>
      <c r="D3393" t="str">
        <f>IF(OR(Registro_Compras!$C$380="",Registro_Compras!$O$380=""),"","Cargas Imputables a Cuentas de Costos y Gastos")</f>
        <v/>
      </c>
      <c r="E3393" s="20" t="str">
        <f>IF($C3393="","",IF(Registro_Compras!$F$380="NOTA DE CREDITO",ROUND(ABS(Registro_Compras!$J$380*Registro_Compras!$N$380),2),""))</f>
        <v/>
      </c>
      <c r="F3393" s="20" t="str">
        <f>IF($C3393="","",IF(Registro_Compras!$F$380="NOTA DE CREDITO","",IF(Registro_Compras!$F$380="RHE",ROUND(Registro_Compras!$L$380*Registro_Compras!$N$380,2),ROUND(Registro_Compras!$J$380*Registro_Compras!$N$380,2))))</f>
        <v/>
      </c>
      <c r="G3393" t="str">
        <f>IF($C3393="","","Por el destino del gasto")</f>
        <v/>
      </c>
      <c r="H3393" t="str">
        <f>IF($C3393="","",Registro_Compras!$C$380)</f>
        <v/>
      </c>
    </row>
    <row r="3394" spans="1:8" x14ac:dyDescent="0.25">
      <c r="A3394" s="25" t="str">
        <f>IF($C3394="","",Registro_Compras!$X$380)</f>
        <v/>
      </c>
      <c r="B3394" t="str">
        <f>IF($C3394="","","C"&amp;TEXT(INT((ROW()-5)/9)+1,"000")&amp;"-3")</f>
        <v/>
      </c>
      <c r="C3394" t="str">
        <f>IF(OR(Registro_Compras!$C$380="",Registro_Compras!$O$380="",Registro_Compras!$R$380&lt;&gt;"SI",Registro_Compras!$X$380=""),"","4212")</f>
        <v/>
      </c>
      <c r="D3394" t="str">
        <f>IF(OR(Registro_Compras!$C$380="",Registro_Compras!$O$380=""),"","Cuentas por Pagar Comerciales - Terceros")</f>
        <v/>
      </c>
      <c r="E3394" s="20" t="str">
        <f>IF($C3394="","",Registro_Compras!$S$380)</f>
        <v/>
      </c>
      <c r="F3394" s="20" t="str">
        <f>""</f>
        <v/>
      </c>
      <c r="G3394" t="str">
        <f>IF($C3394="","","Por el deposito de la detraccion en el Banco de la Nacion")</f>
        <v/>
      </c>
      <c r="H3394" t="str">
        <f>IF($C3394="","",Registro_Compras!$C$380)</f>
        <v/>
      </c>
    </row>
    <row r="3395" spans="1:8" x14ac:dyDescent="0.25">
      <c r="A3395" s="25" t="str">
        <f>IF($C3395="","",Registro_Compras!$X$380)</f>
        <v/>
      </c>
      <c r="B3395" t="str">
        <f>IF($C3395="","","C"&amp;TEXT(INT((ROW()-5)/9)+1,"000")&amp;"-3")</f>
        <v/>
      </c>
      <c r="C3395" t="str">
        <f>IF(OR(Registro_Compras!$C$380="",Registro_Compras!$O$380="",Registro_Compras!$R$380&lt;&gt;"SI",Registro_Compras!$X$380=""),"","1041")</f>
        <v/>
      </c>
      <c r="D3395" t="str">
        <f>IF(OR(Registro_Compras!$C$380="",Registro_Compras!$O$380=""),"","Efectivo y Equivalentes - Cta. Cte. Operativa")</f>
        <v/>
      </c>
      <c r="E3395" s="20" t="str">
        <f>""</f>
        <v/>
      </c>
      <c r="F3395" s="20" t="str">
        <f>IF($C3395="","",Registro_Compras!$S$380)</f>
        <v/>
      </c>
      <c r="G3395" t="str">
        <f>IF($C3395="","","Por el deposito de la detraccion en el Banco de la Nacion")</f>
        <v/>
      </c>
      <c r="H3395" t="str">
        <f>IF($C3395="","",Registro_Compras!$C$380)</f>
        <v/>
      </c>
    </row>
    <row r="3396" spans="1:8" x14ac:dyDescent="0.25">
      <c r="A3396" s="25" t="str">
        <f>IF($C3396="","",Registro_Compras!$Y$380)</f>
        <v/>
      </c>
      <c r="B3396" t="str">
        <f>IF($C3396="","","C"&amp;TEXT(INT((ROW()-5)/9)+1,"000")&amp;"-4")</f>
        <v/>
      </c>
      <c r="C3396" t="str">
        <f>IF(OR(Registro_Compras!$C$380="",Registro_Compras!$O$380="",Registro_Compras!$Y$380="",Registro_Compras!$F$380="NOTA DE CREDITO"),"","4212")</f>
        <v/>
      </c>
      <c r="D3396" t="str">
        <f>IF(OR(Registro_Compras!$C$380="",Registro_Compras!$O$380=""),"","Cuentas por Pagar Comerciales - Terceros")</f>
        <v/>
      </c>
      <c r="E3396" s="20" t="str">
        <f>IF($C3396="","",IF(Registro_Compras!$F$380="RHE",(ROUND(Registro_Compras!$L$380*Registro_Compras!$N$380,2)-ROUND(Registro_Compras!$V$380*Registro_Compras!$N$380,2)),ROUND(Registro_Compras!$O$380-Registro_Compras!$S$380,2)))</f>
        <v/>
      </c>
      <c r="F3396" s="20" t="str">
        <f>""</f>
        <v/>
      </c>
      <c r="G3396" t="str">
        <f>IF($C3396="","","Por la cancelacion del saldo al proveedor")</f>
        <v/>
      </c>
      <c r="H3396" t="str">
        <f>IF($C3396="","",Registro_Compras!$C$380)</f>
        <v/>
      </c>
    </row>
    <row r="3397" spans="1:8" x14ac:dyDescent="0.25">
      <c r="A3397" s="25" t="str">
        <f>IF($C3397="","",Registro_Compras!$Y$380)</f>
        <v/>
      </c>
      <c r="B3397" t="str">
        <f>IF($C3397="","","C"&amp;TEXT(INT((ROW()-5)/9)+1,"000")&amp;"-4")</f>
        <v/>
      </c>
      <c r="C3397" t="str">
        <f>IF(OR(Registro_Compras!$C$380="",Registro_Compras!$O$380="",Registro_Compras!$Y$380="",Registro_Compras!$F$380="NOTA DE CREDITO"),"","1041")</f>
        <v/>
      </c>
      <c r="D3397" t="str">
        <f>IF(OR(Registro_Compras!$C$380="",Registro_Compras!$O$380=""),"","Efectivo y Equivalentes - Cta. Cte. Operativa")</f>
        <v/>
      </c>
      <c r="E3397" s="20" t="str">
        <f>""</f>
        <v/>
      </c>
      <c r="F3397" s="20" t="str">
        <f>IF($C3397="","",IF(Registro_Compras!$F$380="RHE",(ROUND(Registro_Compras!$L$380*Registro_Compras!$N$380,2)-ROUND(Registro_Compras!$V$380*Registro_Compras!$N$380,2)),ROUND(Registro_Compras!$O$380-Registro_Compras!$S$380,2)))</f>
        <v/>
      </c>
      <c r="G3397" t="str">
        <f>IF($C3397="","","Por la cancelacion del saldo al proveedor")</f>
        <v/>
      </c>
      <c r="H3397" t="str">
        <f>IF($C3397="","",Registro_Compras!$C$380)</f>
        <v/>
      </c>
    </row>
    <row r="3398" spans="1:8" x14ac:dyDescent="0.25">
      <c r="A3398" s="25" t="str">
        <f>IF($C3398="","",Registro_Compras!$B$381)</f>
        <v/>
      </c>
      <c r="B3398" t="str">
        <f>IF($C3398="","","C"&amp;TEXT(INT((ROW()-5)/9)+1,"000")&amp;"-1")</f>
        <v/>
      </c>
      <c r="C3398" t="str">
        <f>IF(OR(Registro_Compras!$C$381="",Registro_Compras!$O$381=""),"",IF(Registro_Compras!$F$381="NOTA DE CREDITO","4212",IF(Registro_Compras!$M$381="","63",Registro_Compras!$M$381)))</f>
        <v/>
      </c>
      <c r="D3398" t="str">
        <f>IF(OR(Registro_Compras!$C$381="",Registro_Compras!$O$381=""),"",IF(Registro_Compras!$F$381="NOTA DE CREDITO","Cuentas por Pagar Comerciales - Terceros (Emitidas)",IF(Registro_Compras!$F$381="RHE","Honorarios Profesionales - Servicios de Terceros","Gastos de Servicios Prestados por Terceros")))</f>
        <v/>
      </c>
      <c r="E3398" s="20" t="str">
        <f>IF($C3398="","",IF(Registro_Compras!$F$381="NOTA DE CREDITO",ABS(Registro_Compras!$O$381),IF(Registro_Compras!$F$381="RHE",ROUND(Registro_Compras!$L$381*Registro_Compras!$N$381,2),ROUND(Registro_Compras!$J$381*Registro_Compras!$N$381,2))))</f>
        <v/>
      </c>
      <c r="F3398" s="20" t="str">
        <f>""</f>
        <v/>
      </c>
      <c r="G3398" t="str">
        <f>IF($C3398="","",IF(Registro_Compras!$F$381="NOTA DE CREDITO","Por la nota de credito "&amp;Registro_Compras!$C$381&amp;" de "&amp;Registro_Compras!$E$381&amp;" [PATRON POR CONFIRMAR CON CONTADOR]",IF(Registro_Compras!$F$381="RHE","Por el registro del recibo por honorarios "&amp;Registro_Compras!$C$381&amp;" de "&amp;Registro_Compras!$E$381&amp;" [PATRON POR CONFIRMAR CON CONTADOR]","Por el registro de la factura "&amp;Registro_Compras!$C$381&amp;" de "&amp;Registro_Compras!$E$381)))</f>
        <v/>
      </c>
      <c r="H3398" t="str">
        <f>IF($C3398="","",Registro_Compras!$C$381)</f>
        <v/>
      </c>
    </row>
    <row r="3399" spans="1:8" x14ac:dyDescent="0.25">
      <c r="A3399" s="25" t="str">
        <f>IF($C3399="","",Registro_Compras!$B$381)</f>
        <v/>
      </c>
      <c r="B3399" t="str">
        <f>IF($C3399="","","C"&amp;TEXT(INT((ROW()-5)/9)+1,"000")&amp;"-1")</f>
        <v/>
      </c>
      <c r="C3399" t="str">
        <f>IF(OR(Registro_Compras!$C$381="",Registro_Compras!$O$381=""),"",IF(Registro_Compras!$F$381="RHE",IF(Registro_Compras!$V$381=0,"","4017"),IF(Registro_Compras!$F$381="NOTA DE CREDITO",IF(Registro_Compras!$M$381="","63",Registro_Compras!$M$381),IF(Registro_Compras!$K$381=0,"","40111"))))</f>
        <v/>
      </c>
      <c r="D3399" t="str">
        <f>IF(OR(Registro_Compras!$C$381="",Registro_Compras!$O$381=""),"",IF(Registro_Compras!$F$381="RHE","Retencion Renta 4ta Categoria por Pagar",IF(Registro_Compras!$F$381="NOTA DE CREDITO","Gastos de Servicios Prestados por Terceros","IGV - Cuenta Propia (Credito Fiscal)")))</f>
        <v/>
      </c>
      <c r="E3399" s="20" t="str">
        <f>IF($C3399="","",IF(Registro_Compras!$F$381="FACTURA",ROUND(Registro_Compras!$K$381*Registro_Compras!$N$381,2),""))</f>
        <v/>
      </c>
      <c r="F3399" s="20" t="str">
        <f>IF($C3399="","",IF(Registro_Compras!$F$381="RHE",ROUND(Registro_Compras!$V$381*Registro_Compras!$N$381,2),IF(Registro_Compras!$F$381="NOTA DE CREDITO",ROUND(ABS(Registro_Compras!$J$381*Registro_Compras!$N$381),2),"")))</f>
        <v/>
      </c>
      <c r="G3399" t="str">
        <f>IF($C3399="","",IF(Registro_Compras!$F$381="NOTA DE CREDITO","Por la nota de credito "&amp;Registro_Compras!$C$381&amp;" de "&amp;Registro_Compras!$E$381&amp;" [PATRON POR CONFIRMAR CON CONTADOR]",IF(Registro_Compras!$F$381="RHE","Por el registro del recibo por honorarios "&amp;Registro_Compras!$C$381&amp;" de "&amp;Registro_Compras!$E$381&amp;" [PATRON POR CONFIRMAR CON CONTADOR]","Por el registro de la factura "&amp;Registro_Compras!$C$381&amp;" de "&amp;Registro_Compras!$E$381)))</f>
        <v/>
      </c>
      <c r="H3399" t="str">
        <f>IF($C3399="","",Registro_Compras!$C$381)</f>
        <v/>
      </c>
    </row>
    <row r="3400" spans="1:8" x14ac:dyDescent="0.25">
      <c r="A3400" s="25" t="str">
        <f>IF($C3400="","",Registro_Compras!$B$381)</f>
        <v/>
      </c>
      <c r="B3400" t="str">
        <f>IF($C3400="","","C"&amp;TEXT(INT((ROW()-5)/9)+1,"000")&amp;"-1")</f>
        <v/>
      </c>
      <c r="C3400" t="str">
        <f>IF(OR(Registro_Compras!$C$381="",Registro_Compras!$O$381=""),"",IF(Registro_Compras!$F$381="NOTA DE CREDITO",IF(Registro_Compras!$K$381=0,"","40111"),"4212"))</f>
        <v/>
      </c>
      <c r="D3400" t="str">
        <f>IF(OR(Registro_Compras!$C$381="",Registro_Compras!$O$381=""),"",IF(Registro_Compras!$F$381="NOTA DE CREDITO","IGV - Cuenta Propia (Credito Fiscal)","Cuentas por Pagar Comerciales - Terceros (Emitidas)"))</f>
        <v/>
      </c>
      <c r="E3400" s="20" t="str">
        <f>""</f>
        <v/>
      </c>
      <c r="F3400" s="20" t="str">
        <f>IF($C3400="","",IF(Registro_Compras!$F$381="NOTA DE CREDITO",ROUND(ABS(Registro_Compras!$K$381*Registro_Compras!$N$381),2),IF(Registro_Compras!$F$381="RHE",(ROUND(Registro_Compras!$L$381*Registro_Compras!$N$381,2)-ROUND(Registro_Compras!$V$381*Registro_Compras!$N$381,2)),Registro_Compras!$O$381)))</f>
        <v/>
      </c>
      <c r="G3400" t="str">
        <f>IF($C3400="","",IF(Registro_Compras!$F$381="NOTA DE CREDITO","Por la nota de credito "&amp;Registro_Compras!$C$381&amp;" de "&amp;Registro_Compras!$E$381&amp;" [PATRON POR CONFIRMAR CON CONTADOR]",IF(Registro_Compras!$F$381="RHE","Por el registro del recibo por honorarios "&amp;Registro_Compras!$C$381&amp;" de "&amp;Registro_Compras!$E$381&amp;" [PATRON POR CONFIRMAR CON CONTADOR]","Por el registro de la factura "&amp;Registro_Compras!$C$381&amp;" de "&amp;Registro_Compras!$E$381)))</f>
        <v/>
      </c>
      <c r="H3400" t="str">
        <f>IF($C3400="","",Registro_Compras!$C$381)</f>
        <v/>
      </c>
    </row>
    <row r="3401" spans="1:8" x14ac:dyDescent="0.25">
      <c r="A3401" s="25" t="str">
        <f>IF($C3401="","",Registro_Compras!$B$381)</f>
        <v/>
      </c>
      <c r="B3401" t="str">
        <f>IF($C3401="","","C"&amp;TEXT(INT((ROW()-5)/9)+1,"000")&amp;"-2")</f>
        <v/>
      </c>
      <c r="C3401" t="str">
        <f>IF(OR(Registro_Compras!$C$381="",Registro_Compras!$O$381=""),"",IF(Registro_Compras!$AB$381="ADMINISTRATIVO","94","95"))</f>
        <v/>
      </c>
      <c r="D3401" t="str">
        <f>IF(OR(Registro_Compras!$C$381="",Registro_Compras!$O$381=""),"",IF(Registro_Compras!$AB$381="ADMINISTRATIVO","Gastos Administrativos","Gastos de Venta y Operacion"))</f>
        <v/>
      </c>
      <c r="E3401" s="20" t="str">
        <f>IF($C3401="","",IF(Registro_Compras!$F$381="NOTA DE CREDITO","",IF(Registro_Compras!$F$381="RHE",ROUND(Registro_Compras!$L$381*Registro_Compras!$N$381,2),ROUND(Registro_Compras!$J$381*Registro_Compras!$N$381,2))))</f>
        <v/>
      </c>
      <c r="F3401" s="20" t="str">
        <f>IF($C3401="","",IF(Registro_Compras!$F$381="NOTA DE CREDITO",ROUND(ABS(Registro_Compras!$J$381*Registro_Compras!$N$381),2),""))</f>
        <v/>
      </c>
      <c r="G3401" t="str">
        <f>IF($C3401="","","Por el destino del gasto")</f>
        <v/>
      </c>
      <c r="H3401" t="str">
        <f>IF($C3401="","",Registro_Compras!$C$381)</f>
        <v/>
      </c>
    </row>
    <row r="3402" spans="1:8" x14ac:dyDescent="0.25">
      <c r="A3402" s="25" t="str">
        <f>IF($C3402="","",Registro_Compras!$B$381)</f>
        <v/>
      </c>
      <c r="B3402" t="str">
        <f>IF($C3402="","","C"&amp;TEXT(INT((ROW()-5)/9)+1,"000")&amp;"-2")</f>
        <v/>
      </c>
      <c r="C3402" t="str">
        <f>IF(OR(Registro_Compras!$C$381="",Registro_Compras!$O$381=""),"","79/791")</f>
        <v/>
      </c>
      <c r="D3402" t="str">
        <f>IF(OR(Registro_Compras!$C$381="",Registro_Compras!$O$381=""),"","Cargas Imputables a Cuentas de Costos y Gastos")</f>
        <v/>
      </c>
      <c r="E3402" s="20" t="str">
        <f>IF($C3402="","",IF(Registro_Compras!$F$381="NOTA DE CREDITO",ROUND(ABS(Registro_Compras!$J$381*Registro_Compras!$N$381),2),""))</f>
        <v/>
      </c>
      <c r="F3402" s="20" t="str">
        <f>IF($C3402="","",IF(Registro_Compras!$F$381="NOTA DE CREDITO","",IF(Registro_Compras!$F$381="RHE",ROUND(Registro_Compras!$L$381*Registro_Compras!$N$381,2),ROUND(Registro_Compras!$J$381*Registro_Compras!$N$381,2))))</f>
        <v/>
      </c>
      <c r="G3402" t="str">
        <f>IF($C3402="","","Por el destino del gasto")</f>
        <v/>
      </c>
      <c r="H3402" t="str">
        <f>IF($C3402="","",Registro_Compras!$C$381)</f>
        <v/>
      </c>
    </row>
    <row r="3403" spans="1:8" x14ac:dyDescent="0.25">
      <c r="A3403" s="25" t="str">
        <f>IF($C3403="","",Registro_Compras!$X$381)</f>
        <v/>
      </c>
      <c r="B3403" t="str">
        <f>IF($C3403="","","C"&amp;TEXT(INT((ROW()-5)/9)+1,"000")&amp;"-3")</f>
        <v/>
      </c>
      <c r="C3403" t="str">
        <f>IF(OR(Registro_Compras!$C$381="",Registro_Compras!$O$381="",Registro_Compras!$R$381&lt;&gt;"SI",Registro_Compras!$X$381=""),"","4212")</f>
        <v/>
      </c>
      <c r="D3403" t="str">
        <f>IF(OR(Registro_Compras!$C$381="",Registro_Compras!$O$381=""),"","Cuentas por Pagar Comerciales - Terceros")</f>
        <v/>
      </c>
      <c r="E3403" s="20" t="str">
        <f>IF($C3403="","",Registro_Compras!$S$381)</f>
        <v/>
      </c>
      <c r="F3403" s="20" t="str">
        <f>""</f>
        <v/>
      </c>
      <c r="G3403" t="str">
        <f>IF($C3403="","","Por el deposito de la detraccion en el Banco de la Nacion")</f>
        <v/>
      </c>
      <c r="H3403" t="str">
        <f>IF($C3403="","",Registro_Compras!$C$381)</f>
        <v/>
      </c>
    </row>
    <row r="3404" spans="1:8" x14ac:dyDescent="0.25">
      <c r="A3404" s="25" t="str">
        <f>IF($C3404="","",Registro_Compras!$X$381)</f>
        <v/>
      </c>
      <c r="B3404" t="str">
        <f>IF($C3404="","","C"&amp;TEXT(INT((ROW()-5)/9)+1,"000")&amp;"-3")</f>
        <v/>
      </c>
      <c r="C3404" t="str">
        <f>IF(OR(Registro_Compras!$C$381="",Registro_Compras!$O$381="",Registro_Compras!$R$381&lt;&gt;"SI",Registro_Compras!$X$381=""),"","1041")</f>
        <v/>
      </c>
      <c r="D3404" t="str">
        <f>IF(OR(Registro_Compras!$C$381="",Registro_Compras!$O$381=""),"","Efectivo y Equivalentes - Cta. Cte. Operativa")</f>
        <v/>
      </c>
      <c r="E3404" s="20" t="str">
        <f>""</f>
        <v/>
      </c>
      <c r="F3404" s="20" t="str">
        <f>IF($C3404="","",Registro_Compras!$S$381)</f>
        <v/>
      </c>
      <c r="G3404" t="str">
        <f>IF($C3404="","","Por el deposito de la detraccion en el Banco de la Nacion")</f>
        <v/>
      </c>
      <c r="H3404" t="str">
        <f>IF($C3404="","",Registro_Compras!$C$381)</f>
        <v/>
      </c>
    </row>
    <row r="3405" spans="1:8" x14ac:dyDescent="0.25">
      <c r="A3405" s="25" t="str">
        <f>IF($C3405="","",Registro_Compras!$Y$381)</f>
        <v/>
      </c>
      <c r="B3405" t="str">
        <f>IF($C3405="","","C"&amp;TEXT(INT((ROW()-5)/9)+1,"000")&amp;"-4")</f>
        <v/>
      </c>
      <c r="C3405" t="str">
        <f>IF(OR(Registro_Compras!$C$381="",Registro_Compras!$O$381="",Registro_Compras!$Y$381="",Registro_Compras!$F$381="NOTA DE CREDITO"),"","4212")</f>
        <v/>
      </c>
      <c r="D3405" t="str">
        <f>IF(OR(Registro_Compras!$C$381="",Registro_Compras!$O$381=""),"","Cuentas por Pagar Comerciales - Terceros")</f>
        <v/>
      </c>
      <c r="E3405" s="20" t="str">
        <f>IF($C3405="","",IF(Registro_Compras!$F$381="RHE",(ROUND(Registro_Compras!$L$381*Registro_Compras!$N$381,2)-ROUND(Registro_Compras!$V$381*Registro_Compras!$N$381,2)),ROUND(Registro_Compras!$O$381-Registro_Compras!$S$381,2)))</f>
        <v/>
      </c>
      <c r="F3405" s="20" t="str">
        <f>""</f>
        <v/>
      </c>
      <c r="G3405" t="str">
        <f>IF($C3405="","","Por la cancelacion del saldo al proveedor")</f>
        <v/>
      </c>
      <c r="H3405" t="str">
        <f>IF($C3405="","",Registro_Compras!$C$381)</f>
        <v/>
      </c>
    </row>
    <row r="3406" spans="1:8" x14ac:dyDescent="0.25">
      <c r="A3406" s="25" t="str">
        <f>IF($C3406="","",Registro_Compras!$Y$381)</f>
        <v/>
      </c>
      <c r="B3406" t="str">
        <f>IF($C3406="","","C"&amp;TEXT(INT((ROW()-5)/9)+1,"000")&amp;"-4")</f>
        <v/>
      </c>
      <c r="C3406" t="str">
        <f>IF(OR(Registro_Compras!$C$381="",Registro_Compras!$O$381="",Registro_Compras!$Y$381="",Registro_Compras!$F$381="NOTA DE CREDITO"),"","1041")</f>
        <v/>
      </c>
      <c r="D3406" t="str">
        <f>IF(OR(Registro_Compras!$C$381="",Registro_Compras!$O$381=""),"","Efectivo y Equivalentes - Cta. Cte. Operativa")</f>
        <v/>
      </c>
      <c r="E3406" s="20" t="str">
        <f>""</f>
        <v/>
      </c>
      <c r="F3406" s="20" t="str">
        <f>IF($C3406="","",IF(Registro_Compras!$F$381="RHE",(ROUND(Registro_Compras!$L$381*Registro_Compras!$N$381,2)-ROUND(Registro_Compras!$V$381*Registro_Compras!$N$381,2)),ROUND(Registro_Compras!$O$381-Registro_Compras!$S$381,2)))</f>
        <v/>
      </c>
      <c r="G3406" t="str">
        <f>IF($C3406="","","Por la cancelacion del saldo al proveedor")</f>
        <v/>
      </c>
      <c r="H3406" t="str">
        <f>IF($C3406="","",Registro_Compras!$C$381)</f>
        <v/>
      </c>
    </row>
    <row r="3407" spans="1:8" x14ac:dyDescent="0.25">
      <c r="A3407" s="25" t="str">
        <f>IF($C3407="","",Registro_Compras!$B$382)</f>
        <v/>
      </c>
      <c r="B3407" t="str">
        <f>IF($C3407="","","C"&amp;TEXT(INT((ROW()-5)/9)+1,"000")&amp;"-1")</f>
        <v/>
      </c>
      <c r="C3407" t="str">
        <f>IF(OR(Registro_Compras!$C$382="",Registro_Compras!$O$382=""),"",IF(Registro_Compras!$F$382="NOTA DE CREDITO","4212",IF(Registro_Compras!$M$382="","63",Registro_Compras!$M$382)))</f>
        <v/>
      </c>
      <c r="D3407" t="str">
        <f>IF(OR(Registro_Compras!$C$382="",Registro_Compras!$O$382=""),"",IF(Registro_Compras!$F$382="NOTA DE CREDITO","Cuentas por Pagar Comerciales - Terceros (Emitidas)",IF(Registro_Compras!$F$382="RHE","Honorarios Profesionales - Servicios de Terceros","Gastos de Servicios Prestados por Terceros")))</f>
        <v/>
      </c>
      <c r="E3407" s="20" t="str">
        <f>IF($C3407="","",IF(Registro_Compras!$F$382="NOTA DE CREDITO",ABS(Registro_Compras!$O$382),IF(Registro_Compras!$F$382="RHE",ROUND(Registro_Compras!$L$382*Registro_Compras!$N$382,2),ROUND(Registro_Compras!$J$382*Registro_Compras!$N$382,2))))</f>
        <v/>
      </c>
      <c r="F3407" s="20" t="str">
        <f>""</f>
        <v/>
      </c>
      <c r="G3407" t="str">
        <f>IF($C3407="","",IF(Registro_Compras!$F$382="NOTA DE CREDITO","Por la nota de credito "&amp;Registro_Compras!$C$382&amp;" de "&amp;Registro_Compras!$E$382&amp;" [PATRON POR CONFIRMAR CON CONTADOR]",IF(Registro_Compras!$F$382="RHE","Por el registro del recibo por honorarios "&amp;Registro_Compras!$C$382&amp;" de "&amp;Registro_Compras!$E$382&amp;" [PATRON POR CONFIRMAR CON CONTADOR]","Por el registro de la factura "&amp;Registro_Compras!$C$382&amp;" de "&amp;Registro_Compras!$E$382)))</f>
        <v/>
      </c>
      <c r="H3407" t="str">
        <f>IF($C3407="","",Registro_Compras!$C$382)</f>
        <v/>
      </c>
    </row>
    <row r="3408" spans="1:8" x14ac:dyDescent="0.25">
      <c r="A3408" s="25" t="str">
        <f>IF($C3408="","",Registro_Compras!$B$382)</f>
        <v/>
      </c>
      <c r="B3408" t="str">
        <f>IF($C3408="","","C"&amp;TEXT(INT((ROW()-5)/9)+1,"000")&amp;"-1")</f>
        <v/>
      </c>
      <c r="C3408" t="str">
        <f>IF(OR(Registro_Compras!$C$382="",Registro_Compras!$O$382=""),"",IF(Registro_Compras!$F$382="RHE",IF(Registro_Compras!$V$382=0,"","4017"),IF(Registro_Compras!$F$382="NOTA DE CREDITO",IF(Registro_Compras!$M$382="","63",Registro_Compras!$M$382),IF(Registro_Compras!$K$382=0,"","40111"))))</f>
        <v/>
      </c>
      <c r="D3408" t="str">
        <f>IF(OR(Registro_Compras!$C$382="",Registro_Compras!$O$382=""),"",IF(Registro_Compras!$F$382="RHE","Retencion Renta 4ta Categoria por Pagar",IF(Registro_Compras!$F$382="NOTA DE CREDITO","Gastos de Servicios Prestados por Terceros","IGV - Cuenta Propia (Credito Fiscal)")))</f>
        <v/>
      </c>
      <c r="E3408" s="20" t="str">
        <f>IF($C3408="","",IF(Registro_Compras!$F$382="FACTURA",ROUND(Registro_Compras!$K$382*Registro_Compras!$N$382,2),""))</f>
        <v/>
      </c>
      <c r="F3408" s="20" t="str">
        <f>IF($C3408="","",IF(Registro_Compras!$F$382="RHE",ROUND(Registro_Compras!$V$382*Registro_Compras!$N$382,2),IF(Registro_Compras!$F$382="NOTA DE CREDITO",ROUND(ABS(Registro_Compras!$J$382*Registro_Compras!$N$382),2),"")))</f>
        <v/>
      </c>
      <c r="G3408" t="str">
        <f>IF($C3408="","",IF(Registro_Compras!$F$382="NOTA DE CREDITO","Por la nota de credito "&amp;Registro_Compras!$C$382&amp;" de "&amp;Registro_Compras!$E$382&amp;" [PATRON POR CONFIRMAR CON CONTADOR]",IF(Registro_Compras!$F$382="RHE","Por el registro del recibo por honorarios "&amp;Registro_Compras!$C$382&amp;" de "&amp;Registro_Compras!$E$382&amp;" [PATRON POR CONFIRMAR CON CONTADOR]","Por el registro de la factura "&amp;Registro_Compras!$C$382&amp;" de "&amp;Registro_Compras!$E$382)))</f>
        <v/>
      </c>
      <c r="H3408" t="str">
        <f>IF($C3408="","",Registro_Compras!$C$382)</f>
        <v/>
      </c>
    </row>
    <row r="3409" spans="1:8" x14ac:dyDescent="0.25">
      <c r="A3409" s="25" t="str">
        <f>IF($C3409="","",Registro_Compras!$B$382)</f>
        <v/>
      </c>
      <c r="B3409" t="str">
        <f>IF($C3409="","","C"&amp;TEXT(INT((ROW()-5)/9)+1,"000")&amp;"-1")</f>
        <v/>
      </c>
      <c r="C3409" t="str">
        <f>IF(OR(Registro_Compras!$C$382="",Registro_Compras!$O$382=""),"",IF(Registro_Compras!$F$382="NOTA DE CREDITO",IF(Registro_Compras!$K$382=0,"","40111"),"4212"))</f>
        <v/>
      </c>
      <c r="D3409" t="str">
        <f>IF(OR(Registro_Compras!$C$382="",Registro_Compras!$O$382=""),"",IF(Registro_Compras!$F$382="NOTA DE CREDITO","IGV - Cuenta Propia (Credito Fiscal)","Cuentas por Pagar Comerciales - Terceros (Emitidas)"))</f>
        <v/>
      </c>
      <c r="E3409" s="20" t="str">
        <f>""</f>
        <v/>
      </c>
      <c r="F3409" s="20" t="str">
        <f>IF($C3409="","",IF(Registro_Compras!$F$382="NOTA DE CREDITO",ROUND(ABS(Registro_Compras!$K$382*Registro_Compras!$N$382),2),IF(Registro_Compras!$F$382="RHE",(ROUND(Registro_Compras!$L$382*Registro_Compras!$N$382,2)-ROUND(Registro_Compras!$V$382*Registro_Compras!$N$382,2)),Registro_Compras!$O$382)))</f>
        <v/>
      </c>
      <c r="G3409" t="str">
        <f>IF($C3409="","",IF(Registro_Compras!$F$382="NOTA DE CREDITO","Por la nota de credito "&amp;Registro_Compras!$C$382&amp;" de "&amp;Registro_Compras!$E$382&amp;" [PATRON POR CONFIRMAR CON CONTADOR]",IF(Registro_Compras!$F$382="RHE","Por el registro del recibo por honorarios "&amp;Registro_Compras!$C$382&amp;" de "&amp;Registro_Compras!$E$382&amp;" [PATRON POR CONFIRMAR CON CONTADOR]","Por el registro de la factura "&amp;Registro_Compras!$C$382&amp;" de "&amp;Registro_Compras!$E$382)))</f>
        <v/>
      </c>
      <c r="H3409" t="str">
        <f>IF($C3409="","",Registro_Compras!$C$382)</f>
        <v/>
      </c>
    </row>
    <row r="3410" spans="1:8" x14ac:dyDescent="0.25">
      <c r="A3410" s="25" t="str">
        <f>IF($C3410="","",Registro_Compras!$B$382)</f>
        <v/>
      </c>
      <c r="B3410" t="str">
        <f>IF($C3410="","","C"&amp;TEXT(INT((ROW()-5)/9)+1,"000")&amp;"-2")</f>
        <v/>
      </c>
      <c r="C3410" t="str">
        <f>IF(OR(Registro_Compras!$C$382="",Registro_Compras!$O$382=""),"",IF(Registro_Compras!$AB$382="ADMINISTRATIVO","94","95"))</f>
        <v/>
      </c>
      <c r="D3410" t="str">
        <f>IF(OR(Registro_Compras!$C$382="",Registro_Compras!$O$382=""),"",IF(Registro_Compras!$AB$382="ADMINISTRATIVO","Gastos Administrativos","Gastos de Venta y Operacion"))</f>
        <v/>
      </c>
      <c r="E3410" s="20" t="str">
        <f>IF($C3410="","",IF(Registro_Compras!$F$382="NOTA DE CREDITO","",IF(Registro_Compras!$F$382="RHE",ROUND(Registro_Compras!$L$382*Registro_Compras!$N$382,2),ROUND(Registro_Compras!$J$382*Registro_Compras!$N$382,2))))</f>
        <v/>
      </c>
      <c r="F3410" s="20" t="str">
        <f>IF($C3410="","",IF(Registro_Compras!$F$382="NOTA DE CREDITO",ROUND(ABS(Registro_Compras!$J$382*Registro_Compras!$N$382),2),""))</f>
        <v/>
      </c>
      <c r="G3410" t="str">
        <f>IF($C3410="","","Por el destino del gasto")</f>
        <v/>
      </c>
      <c r="H3410" t="str">
        <f>IF($C3410="","",Registro_Compras!$C$382)</f>
        <v/>
      </c>
    </row>
    <row r="3411" spans="1:8" x14ac:dyDescent="0.25">
      <c r="A3411" s="25" t="str">
        <f>IF($C3411="","",Registro_Compras!$B$382)</f>
        <v/>
      </c>
      <c r="B3411" t="str">
        <f>IF($C3411="","","C"&amp;TEXT(INT((ROW()-5)/9)+1,"000")&amp;"-2")</f>
        <v/>
      </c>
      <c r="C3411" t="str">
        <f>IF(OR(Registro_Compras!$C$382="",Registro_Compras!$O$382=""),"","79/791")</f>
        <v/>
      </c>
      <c r="D3411" t="str">
        <f>IF(OR(Registro_Compras!$C$382="",Registro_Compras!$O$382=""),"","Cargas Imputables a Cuentas de Costos y Gastos")</f>
        <v/>
      </c>
      <c r="E3411" s="20" t="str">
        <f>IF($C3411="","",IF(Registro_Compras!$F$382="NOTA DE CREDITO",ROUND(ABS(Registro_Compras!$J$382*Registro_Compras!$N$382),2),""))</f>
        <v/>
      </c>
      <c r="F3411" s="20" t="str">
        <f>IF($C3411="","",IF(Registro_Compras!$F$382="NOTA DE CREDITO","",IF(Registro_Compras!$F$382="RHE",ROUND(Registro_Compras!$L$382*Registro_Compras!$N$382,2),ROUND(Registro_Compras!$J$382*Registro_Compras!$N$382,2))))</f>
        <v/>
      </c>
      <c r="G3411" t="str">
        <f>IF($C3411="","","Por el destino del gasto")</f>
        <v/>
      </c>
      <c r="H3411" t="str">
        <f>IF($C3411="","",Registro_Compras!$C$382)</f>
        <v/>
      </c>
    </row>
    <row r="3412" spans="1:8" x14ac:dyDescent="0.25">
      <c r="A3412" s="25" t="str">
        <f>IF($C3412="","",Registro_Compras!$X$382)</f>
        <v/>
      </c>
      <c r="B3412" t="str">
        <f>IF($C3412="","","C"&amp;TEXT(INT((ROW()-5)/9)+1,"000")&amp;"-3")</f>
        <v/>
      </c>
      <c r="C3412" t="str">
        <f>IF(OR(Registro_Compras!$C$382="",Registro_Compras!$O$382="",Registro_Compras!$R$382&lt;&gt;"SI",Registro_Compras!$X$382=""),"","4212")</f>
        <v/>
      </c>
      <c r="D3412" t="str">
        <f>IF(OR(Registro_Compras!$C$382="",Registro_Compras!$O$382=""),"","Cuentas por Pagar Comerciales - Terceros")</f>
        <v/>
      </c>
      <c r="E3412" s="20" t="str">
        <f>IF($C3412="","",Registro_Compras!$S$382)</f>
        <v/>
      </c>
      <c r="F3412" s="20" t="str">
        <f>""</f>
        <v/>
      </c>
      <c r="G3412" t="str">
        <f>IF($C3412="","","Por el deposito de la detraccion en el Banco de la Nacion")</f>
        <v/>
      </c>
      <c r="H3412" t="str">
        <f>IF($C3412="","",Registro_Compras!$C$382)</f>
        <v/>
      </c>
    </row>
    <row r="3413" spans="1:8" x14ac:dyDescent="0.25">
      <c r="A3413" s="25" t="str">
        <f>IF($C3413="","",Registro_Compras!$X$382)</f>
        <v/>
      </c>
      <c r="B3413" t="str">
        <f>IF($C3413="","","C"&amp;TEXT(INT((ROW()-5)/9)+1,"000")&amp;"-3")</f>
        <v/>
      </c>
      <c r="C3413" t="str">
        <f>IF(OR(Registro_Compras!$C$382="",Registro_Compras!$O$382="",Registro_Compras!$R$382&lt;&gt;"SI",Registro_Compras!$X$382=""),"","1041")</f>
        <v/>
      </c>
      <c r="D3413" t="str">
        <f>IF(OR(Registro_Compras!$C$382="",Registro_Compras!$O$382=""),"","Efectivo y Equivalentes - Cta. Cte. Operativa")</f>
        <v/>
      </c>
      <c r="E3413" s="20" t="str">
        <f>""</f>
        <v/>
      </c>
      <c r="F3413" s="20" t="str">
        <f>IF($C3413="","",Registro_Compras!$S$382)</f>
        <v/>
      </c>
      <c r="G3413" t="str">
        <f>IF($C3413="","","Por el deposito de la detraccion en el Banco de la Nacion")</f>
        <v/>
      </c>
      <c r="H3413" t="str">
        <f>IF($C3413="","",Registro_Compras!$C$382)</f>
        <v/>
      </c>
    </row>
    <row r="3414" spans="1:8" x14ac:dyDescent="0.25">
      <c r="A3414" s="25" t="str">
        <f>IF($C3414="","",Registro_Compras!$Y$382)</f>
        <v/>
      </c>
      <c r="B3414" t="str">
        <f>IF($C3414="","","C"&amp;TEXT(INT((ROW()-5)/9)+1,"000")&amp;"-4")</f>
        <v/>
      </c>
      <c r="C3414" t="str">
        <f>IF(OR(Registro_Compras!$C$382="",Registro_Compras!$O$382="",Registro_Compras!$Y$382="",Registro_Compras!$F$382="NOTA DE CREDITO"),"","4212")</f>
        <v/>
      </c>
      <c r="D3414" t="str">
        <f>IF(OR(Registro_Compras!$C$382="",Registro_Compras!$O$382=""),"","Cuentas por Pagar Comerciales - Terceros")</f>
        <v/>
      </c>
      <c r="E3414" s="20" t="str">
        <f>IF($C3414="","",IF(Registro_Compras!$F$382="RHE",(ROUND(Registro_Compras!$L$382*Registro_Compras!$N$382,2)-ROUND(Registro_Compras!$V$382*Registro_Compras!$N$382,2)),ROUND(Registro_Compras!$O$382-Registro_Compras!$S$382,2)))</f>
        <v/>
      </c>
      <c r="F3414" s="20" t="str">
        <f>""</f>
        <v/>
      </c>
      <c r="G3414" t="str">
        <f>IF($C3414="","","Por la cancelacion del saldo al proveedor")</f>
        <v/>
      </c>
      <c r="H3414" t="str">
        <f>IF($C3414="","",Registro_Compras!$C$382)</f>
        <v/>
      </c>
    </row>
    <row r="3415" spans="1:8" x14ac:dyDescent="0.25">
      <c r="A3415" s="25" t="str">
        <f>IF($C3415="","",Registro_Compras!$Y$382)</f>
        <v/>
      </c>
      <c r="B3415" t="str">
        <f>IF($C3415="","","C"&amp;TEXT(INT((ROW()-5)/9)+1,"000")&amp;"-4")</f>
        <v/>
      </c>
      <c r="C3415" t="str">
        <f>IF(OR(Registro_Compras!$C$382="",Registro_Compras!$O$382="",Registro_Compras!$Y$382="",Registro_Compras!$F$382="NOTA DE CREDITO"),"","1041")</f>
        <v/>
      </c>
      <c r="D3415" t="str">
        <f>IF(OR(Registro_Compras!$C$382="",Registro_Compras!$O$382=""),"","Efectivo y Equivalentes - Cta. Cte. Operativa")</f>
        <v/>
      </c>
      <c r="E3415" s="20" t="str">
        <f>""</f>
        <v/>
      </c>
      <c r="F3415" s="20" t="str">
        <f>IF($C3415="","",IF(Registro_Compras!$F$382="RHE",(ROUND(Registro_Compras!$L$382*Registro_Compras!$N$382,2)-ROUND(Registro_Compras!$V$382*Registro_Compras!$N$382,2)),ROUND(Registro_Compras!$O$382-Registro_Compras!$S$382,2)))</f>
        <v/>
      </c>
      <c r="G3415" t="str">
        <f>IF($C3415="","","Por la cancelacion del saldo al proveedor")</f>
        <v/>
      </c>
      <c r="H3415" t="str">
        <f>IF($C3415="","",Registro_Compras!$C$382)</f>
        <v/>
      </c>
    </row>
    <row r="3416" spans="1:8" x14ac:dyDescent="0.25">
      <c r="A3416" s="25" t="str">
        <f>IF($C3416="","",Registro_Compras!$B$383)</f>
        <v/>
      </c>
      <c r="B3416" t="str">
        <f>IF($C3416="","","C"&amp;TEXT(INT((ROW()-5)/9)+1,"000")&amp;"-1")</f>
        <v/>
      </c>
      <c r="C3416" t="str">
        <f>IF(OR(Registro_Compras!$C$383="",Registro_Compras!$O$383=""),"",IF(Registro_Compras!$F$383="NOTA DE CREDITO","4212",IF(Registro_Compras!$M$383="","63",Registro_Compras!$M$383)))</f>
        <v/>
      </c>
      <c r="D3416" t="str">
        <f>IF(OR(Registro_Compras!$C$383="",Registro_Compras!$O$383=""),"",IF(Registro_Compras!$F$383="NOTA DE CREDITO","Cuentas por Pagar Comerciales - Terceros (Emitidas)",IF(Registro_Compras!$F$383="RHE","Honorarios Profesionales - Servicios de Terceros","Gastos de Servicios Prestados por Terceros")))</f>
        <v/>
      </c>
      <c r="E3416" s="20" t="str">
        <f>IF($C3416="","",IF(Registro_Compras!$F$383="NOTA DE CREDITO",ABS(Registro_Compras!$O$383),IF(Registro_Compras!$F$383="RHE",ROUND(Registro_Compras!$L$383*Registro_Compras!$N$383,2),ROUND(Registro_Compras!$J$383*Registro_Compras!$N$383,2))))</f>
        <v/>
      </c>
      <c r="F3416" s="20" t="str">
        <f>""</f>
        <v/>
      </c>
      <c r="G3416" t="str">
        <f>IF($C3416="","",IF(Registro_Compras!$F$383="NOTA DE CREDITO","Por la nota de credito "&amp;Registro_Compras!$C$383&amp;" de "&amp;Registro_Compras!$E$383&amp;" [PATRON POR CONFIRMAR CON CONTADOR]",IF(Registro_Compras!$F$383="RHE","Por el registro del recibo por honorarios "&amp;Registro_Compras!$C$383&amp;" de "&amp;Registro_Compras!$E$383&amp;" [PATRON POR CONFIRMAR CON CONTADOR]","Por el registro de la factura "&amp;Registro_Compras!$C$383&amp;" de "&amp;Registro_Compras!$E$383)))</f>
        <v/>
      </c>
      <c r="H3416" t="str">
        <f>IF($C3416="","",Registro_Compras!$C$383)</f>
        <v/>
      </c>
    </row>
    <row r="3417" spans="1:8" x14ac:dyDescent="0.25">
      <c r="A3417" s="25" t="str">
        <f>IF($C3417="","",Registro_Compras!$B$383)</f>
        <v/>
      </c>
      <c r="B3417" t="str">
        <f>IF($C3417="","","C"&amp;TEXT(INT((ROW()-5)/9)+1,"000")&amp;"-1")</f>
        <v/>
      </c>
      <c r="C3417" t="str">
        <f>IF(OR(Registro_Compras!$C$383="",Registro_Compras!$O$383=""),"",IF(Registro_Compras!$F$383="RHE",IF(Registro_Compras!$V$383=0,"","4017"),IF(Registro_Compras!$F$383="NOTA DE CREDITO",IF(Registro_Compras!$M$383="","63",Registro_Compras!$M$383),IF(Registro_Compras!$K$383=0,"","40111"))))</f>
        <v/>
      </c>
      <c r="D3417" t="str">
        <f>IF(OR(Registro_Compras!$C$383="",Registro_Compras!$O$383=""),"",IF(Registro_Compras!$F$383="RHE","Retencion Renta 4ta Categoria por Pagar",IF(Registro_Compras!$F$383="NOTA DE CREDITO","Gastos de Servicios Prestados por Terceros","IGV - Cuenta Propia (Credito Fiscal)")))</f>
        <v/>
      </c>
      <c r="E3417" s="20" t="str">
        <f>IF($C3417="","",IF(Registro_Compras!$F$383="FACTURA",ROUND(Registro_Compras!$K$383*Registro_Compras!$N$383,2),""))</f>
        <v/>
      </c>
      <c r="F3417" s="20" t="str">
        <f>IF($C3417="","",IF(Registro_Compras!$F$383="RHE",ROUND(Registro_Compras!$V$383*Registro_Compras!$N$383,2),IF(Registro_Compras!$F$383="NOTA DE CREDITO",ROUND(ABS(Registro_Compras!$J$383*Registro_Compras!$N$383),2),"")))</f>
        <v/>
      </c>
      <c r="G3417" t="str">
        <f>IF($C3417="","",IF(Registro_Compras!$F$383="NOTA DE CREDITO","Por la nota de credito "&amp;Registro_Compras!$C$383&amp;" de "&amp;Registro_Compras!$E$383&amp;" [PATRON POR CONFIRMAR CON CONTADOR]",IF(Registro_Compras!$F$383="RHE","Por el registro del recibo por honorarios "&amp;Registro_Compras!$C$383&amp;" de "&amp;Registro_Compras!$E$383&amp;" [PATRON POR CONFIRMAR CON CONTADOR]","Por el registro de la factura "&amp;Registro_Compras!$C$383&amp;" de "&amp;Registro_Compras!$E$383)))</f>
        <v/>
      </c>
      <c r="H3417" t="str">
        <f>IF($C3417="","",Registro_Compras!$C$383)</f>
        <v/>
      </c>
    </row>
    <row r="3418" spans="1:8" x14ac:dyDescent="0.25">
      <c r="A3418" s="25" t="str">
        <f>IF($C3418="","",Registro_Compras!$B$383)</f>
        <v/>
      </c>
      <c r="B3418" t="str">
        <f>IF($C3418="","","C"&amp;TEXT(INT((ROW()-5)/9)+1,"000")&amp;"-1")</f>
        <v/>
      </c>
      <c r="C3418" t="str">
        <f>IF(OR(Registro_Compras!$C$383="",Registro_Compras!$O$383=""),"",IF(Registro_Compras!$F$383="NOTA DE CREDITO",IF(Registro_Compras!$K$383=0,"","40111"),"4212"))</f>
        <v/>
      </c>
      <c r="D3418" t="str">
        <f>IF(OR(Registro_Compras!$C$383="",Registro_Compras!$O$383=""),"",IF(Registro_Compras!$F$383="NOTA DE CREDITO","IGV - Cuenta Propia (Credito Fiscal)","Cuentas por Pagar Comerciales - Terceros (Emitidas)"))</f>
        <v/>
      </c>
      <c r="E3418" s="20" t="str">
        <f>""</f>
        <v/>
      </c>
      <c r="F3418" s="20" t="str">
        <f>IF($C3418="","",IF(Registro_Compras!$F$383="NOTA DE CREDITO",ROUND(ABS(Registro_Compras!$K$383*Registro_Compras!$N$383),2),IF(Registro_Compras!$F$383="RHE",(ROUND(Registro_Compras!$L$383*Registro_Compras!$N$383,2)-ROUND(Registro_Compras!$V$383*Registro_Compras!$N$383,2)),Registro_Compras!$O$383)))</f>
        <v/>
      </c>
      <c r="G3418" t="str">
        <f>IF($C3418="","",IF(Registro_Compras!$F$383="NOTA DE CREDITO","Por la nota de credito "&amp;Registro_Compras!$C$383&amp;" de "&amp;Registro_Compras!$E$383&amp;" [PATRON POR CONFIRMAR CON CONTADOR]",IF(Registro_Compras!$F$383="RHE","Por el registro del recibo por honorarios "&amp;Registro_Compras!$C$383&amp;" de "&amp;Registro_Compras!$E$383&amp;" [PATRON POR CONFIRMAR CON CONTADOR]","Por el registro de la factura "&amp;Registro_Compras!$C$383&amp;" de "&amp;Registro_Compras!$E$383)))</f>
        <v/>
      </c>
      <c r="H3418" t="str">
        <f>IF($C3418="","",Registro_Compras!$C$383)</f>
        <v/>
      </c>
    </row>
    <row r="3419" spans="1:8" x14ac:dyDescent="0.25">
      <c r="A3419" s="25" t="str">
        <f>IF($C3419="","",Registro_Compras!$B$383)</f>
        <v/>
      </c>
      <c r="B3419" t="str">
        <f>IF($C3419="","","C"&amp;TEXT(INT((ROW()-5)/9)+1,"000")&amp;"-2")</f>
        <v/>
      </c>
      <c r="C3419" t="str">
        <f>IF(OR(Registro_Compras!$C$383="",Registro_Compras!$O$383=""),"",IF(Registro_Compras!$AB$383="ADMINISTRATIVO","94","95"))</f>
        <v/>
      </c>
      <c r="D3419" t="str">
        <f>IF(OR(Registro_Compras!$C$383="",Registro_Compras!$O$383=""),"",IF(Registro_Compras!$AB$383="ADMINISTRATIVO","Gastos Administrativos","Gastos de Venta y Operacion"))</f>
        <v/>
      </c>
      <c r="E3419" s="20" t="str">
        <f>IF($C3419="","",IF(Registro_Compras!$F$383="NOTA DE CREDITO","",IF(Registro_Compras!$F$383="RHE",ROUND(Registro_Compras!$L$383*Registro_Compras!$N$383,2),ROUND(Registro_Compras!$J$383*Registro_Compras!$N$383,2))))</f>
        <v/>
      </c>
      <c r="F3419" s="20" t="str">
        <f>IF($C3419="","",IF(Registro_Compras!$F$383="NOTA DE CREDITO",ROUND(ABS(Registro_Compras!$J$383*Registro_Compras!$N$383),2),""))</f>
        <v/>
      </c>
      <c r="G3419" t="str">
        <f>IF($C3419="","","Por el destino del gasto")</f>
        <v/>
      </c>
      <c r="H3419" t="str">
        <f>IF($C3419="","",Registro_Compras!$C$383)</f>
        <v/>
      </c>
    </row>
    <row r="3420" spans="1:8" x14ac:dyDescent="0.25">
      <c r="A3420" s="25" t="str">
        <f>IF($C3420="","",Registro_Compras!$B$383)</f>
        <v/>
      </c>
      <c r="B3420" t="str">
        <f>IF($C3420="","","C"&amp;TEXT(INT((ROW()-5)/9)+1,"000")&amp;"-2")</f>
        <v/>
      </c>
      <c r="C3420" t="str">
        <f>IF(OR(Registro_Compras!$C$383="",Registro_Compras!$O$383=""),"","79/791")</f>
        <v/>
      </c>
      <c r="D3420" t="str">
        <f>IF(OR(Registro_Compras!$C$383="",Registro_Compras!$O$383=""),"","Cargas Imputables a Cuentas de Costos y Gastos")</f>
        <v/>
      </c>
      <c r="E3420" s="20" t="str">
        <f>IF($C3420="","",IF(Registro_Compras!$F$383="NOTA DE CREDITO",ROUND(ABS(Registro_Compras!$J$383*Registro_Compras!$N$383),2),""))</f>
        <v/>
      </c>
      <c r="F3420" s="20" t="str">
        <f>IF($C3420="","",IF(Registro_Compras!$F$383="NOTA DE CREDITO","",IF(Registro_Compras!$F$383="RHE",ROUND(Registro_Compras!$L$383*Registro_Compras!$N$383,2),ROUND(Registro_Compras!$J$383*Registro_Compras!$N$383,2))))</f>
        <v/>
      </c>
      <c r="G3420" t="str">
        <f>IF($C3420="","","Por el destino del gasto")</f>
        <v/>
      </c>
      <c r="H3420" t="str">
        <f>IF($C3420="","",Registro_Compras!$C$383)</f>
        <v/>
      </c>
    </row>
    <row r="3421" spans="1:8" x14ac:dyDescent="0.25">
      <c r="A3421" s="25" t="str">
        <f>IF($C3421="","",Registro_Compras!$X$383)</f>
        <v/>
      </c>
      <c r="B3421" t="str">
        <f>IF($C3421="","","C"&amp;TEXT(INT((ROW()-5)/9)+1,"000")&amp;"-3")</f>
        <v/>
      </c>
      <c r="C3421" t="str">
        <f>IF(OR(Registro_Compras!$C$383="",Registro_Compras!$O$383="",Registro_Compras!$R$383&lt;&gt;"SI",Registro_Compras!$X$383=""),"","4212")</f>
        <v/>
      </c>
      <c r="D3421" t="str">
        <f>IF(OR(Registro_Compras!$C$383="",Registro_Compras!$O$383=""),"","Cuentas por Pagar Comerciales - Terceros")</f>
        <v/>
      </c>
      <c r="E3421" s="20" t="str">
        <f>IF($C3421="","",Registro_Compras!$S$383)</f>
        <v/>
      </c>
      <c r="F3421" s="20" t="str">
        <f>""</f>
        <v/>
      </c>
      <c r="G3421" t="str">
        <f>IF($C3421="","","Por el deposito de la detraccion en el Banco de la Nacion")</f>
        <v/>
      </c>
      <c r="H3421" t="str">
        <f>IF($C3421="","",Registro_Compras!$C$383)</f>
        <v/>
      </c>
    </row>
    <row r="3422" spans="1:8" x14ac:dyDescent="0.25">
      <c r="A3422" s="25" t="str">
        <f>IF($C3422="","",Registro_Compras!$X$383)</f>
        <v/>
      </c>
      <c r="B3422" t="str">
        <f>IF($C3422="","","C"&amp;TEXT(INT((ROW()-5)/9)+1,"000")&amp;"-3")</f>
        <v/>
      </c>
      <c r="C3422" t="str">
        <f>IF(OR(Registro_Compras!$C$383="",Registro_Compras!$O$383="",Registro_Compras!$R$383&lt;&gt;"SI",Registro_Compras!$X$383=""),"","1041")</f>
        <v/>
      </c>
      <c r="D3422" t="str">
        <f>IF(OR(Registro_Compras!$C$383="",Registro_Compras!$O$383=""),"","Efectivo y Equivalentes - Cta. Cte. Operativa")</f>
        <v/>
      </c>
      <c r="E3422" s="20" t="str">
        <f>""</f>
        <v/>
      </c>
      <c r="F3422" s="20" t="str">
        <f>IF($C3422="","",Registro_Compras!$S$383)</f>
        <v/>
      </c>
      <c r="G3422" t="str">
        <f>IF($C3422="","","Por el deposito de la detraccion en el Banco de la Nacion")</f>
        <v/>
      </c>
      <c r="H3422" t="str">
        <f>IF($C3422="","",Registro_Compras!$C$383)</f>
        <v/>
      </c>
    </row>
    <row r="3423" spans="1:8" x14ac:dyDescent="0.25">
      <c r="A3423" s="25" t="str">
        <f>IF($C3423="","",Registro_Compras!$Y$383)</f>
        <v/>
      </c>
      <c r="B3423" t="str">
        <f>IF($C3423="","","C"&amp;TEXT(INT((ROW()-5)/9)+1,"000")&amp;"-4")</f>
        <v/>
      </c>
      <c r="C3423" t="str">
        <f>IF(OR(Registro_Compras!$C$383="",Registro_Compras!$O$383="",Registro_Compras!$Y$383="",Registro_Compras!$F$383="NOTA DE CREDITO"),"","4212")</f>
        <v/>
      </c>
      <c r="D3423" t="str">
        <f>IF(OR(Registro_Compras!$C$383="",Registro_Compras!$O$383=""),"","Cuentas por Pagar Comerciales - Terceros")</f>
        <v/>
      </c>
      <c r="E3423" s="20" t="str">
        <f>IF($C3423="","",IF(Registro_Compras!$F$383="RHE",(ROUND(Registro_Compras!$L$383*Registro_Compras!$N$383,2)-ROUND(Registro_Compras!$V$383*Registro_Compras!$N$383,2)),ROUND(Registro_Compras!$O$383-Registro_Compras!$S$383,2)))</f>
        <v/>
      </c>
      <c r="F3423" s="20" t="str">
        <f>""</f>
        <v/>
      </c>
      <c r="G3423" t="str">
        <f>IF($C3423="","","Por la cancelacion del saldo al proveedor")</f>
        <v/>
      </c>
      <c r="H3423" t="str">
        <f>IF($C3423="","",Registro_Compras!$C$383)</f>
        <v/>
      </c>
    </row>
    <row r="3424" spans="1:8" x14ac:dyDescent="0.25">
      <c r="A3424" s="25" t="str">
        <f>IF($C3424="","",Registro_Compras!$Y$383)</f>
        <v/>
      </c>
      <c r="B3424" t="str">
        <f>IF($C3424="","","C"&amp;TEXT(INT((ROW()-5)/9)+1,"000")&amp;"-4")</f>
        <v/>
      </c>
      <c r="C3424" t="str">
        <f>IF(OR(Registro_Compras!$C$383="",Registro_Compras!$O$383="",Registro_Compras!$Y$383="",Registro_Compras!$F$383="NOTA DE CREDITO"),"","1041")</f>
        <v/>
      </c>
      <c r="D3424" t="str">
        <f>IF(OR(Registro_Compras!$C$383="",Registro_Compras!$O$383=""),"","Efectivo y Equivalentes - Cta. Cte. Operativa")</f>
        <v/>
      </c>
      <c r="E3424" s="20" t="str">
        <f>""</f>
        <v/>
      </c>
      <c r="F3424" s="20" t="str">
        <f>IF($C3424="","",IF(Registro_Compras!$F$383="RHE",(ROUND(Registro_Compras!$L$383*Registro_Compras!$N$383,2)-ROUND(Registro_Compras!$V$383*Registro_Compras!$N$383,2)),ROUND(Registro_Compras!$O$383-Registro_Compras!$S$383,2)))</f>
        <v/>
      </c>
      <c r="G3424" t="str">
        <f>IF($C3424="","","Por la cancelacion del saldo al proveedor")</f>
        <v/>
      </c>
      <c r="H3424" t="str">
        <f>IF($C3424="","",Registro_Compras!$C$383)</f>
        <v/>
      </c>
    </row>
    <row r="3425" spans="1:8" x14ac:dyDescent="0.25">
      <c r="A3425" s="25" t="str">
        <f>IF($C3425="","",Registro_Compras!$B$384)</f>
        <v/>
      </c>
      <c r="B3425" t="str">
        <f>IF($C3425="","","C"&amp;TEXT(INT((ROW()-5)/9)+1,"000")&amp;"-1")</f>
        <v/>
      </c>
      <c r="C3425" t="str">
        <f>IF(OR(Registro_Compras!$C$384="",Registro_Compras!$O$384=""),"",IF(Registro_Compras!$F$384="NOTA DE CREDITO","4212",IF(Registro_Compras!$M$384="","63",Registro_Compras!$M$384)))</f>
        <v/>
      </c>
      <c r="D3425" t="str">
        <f>IF(OR(Registro_Compras!$C$384="",Registro_Compras!$O$384=""),"",IF(Registro_Compras!$F$384="NOTA DE CREDITO","Cuentas por Pagar Comerciales - Terceros (Emitidas)",IF(Registro_Compras!$F$384="RHE","Honorarios Profesionales - Servicios de Terceros","Gastos de Servicios Prestados por Terceros")))</f>
        <v/>
      </c>
      <c r="E3425" s="20" t="str">
        <f>IF($C3425="","",IF(Registro_Compras!$F$384="NOTA DE CREDITO",ABS(Registro_Compras!$O$384),IF(Registro_Compras!$F$384="RHE",ROUND(Registro_Compras!$L$384*Registro_Compras!$N$384,2),ROUND(Registro_Compras!$J$384*Registro_Compras!$N$384,2))))</f>
        <v/>
      </c>
      <c r="F3425" s="20" t="str">
        <f>""</f>
        <v/>
      </c>
      <c r="G3425" t="str">
        <f>IF($C3425="","",IF(Registro_Compras!$F$384="NOTA DE CREDITO","Por la nota de credito "&amp;Registro_Compras!$C$384&amp;" de "&amp;Registro_Compras!$E$384&amp;" [PATRON POR CONFIRMAR CON CONTADOR]",IF(Registro_Compras!$F$384="RHE","Por el registro del recibo por honorarios "&amp;Registro_Compras!$C$384&amp;" de "&amp;Registro_Compras!$E$384&amp;" [PATRON POR CONFIRMAR CON CONTADOR]","Por el registro de la factura "&amp;Registro_Compras!$C$384&amp;" de "&amp;Registro_Compras!$E$384)))</f>
        <v/>
      </c>
      <c r="H3425" t="str">
        <f>IF($C3425="","",Registro_Compras!$C$384)</f>
        <v/>
      </c>
    </row>
    <row r="3426" spans="1:8" x14ac:dyDescent="0.25">
      <c r="A3426" s="25" t="str">
        <f>IF($C3426="","",Registro_Compras!$B$384)</f>
        <v/>
      </c>
      <c r="B3426" t="str">
        <f>IF($C3426="","","C"&amp;TEXT(INT((ROW()-5)/9)+1,"000")&amp;"-1")</f>
        <v/>
      </c>
      <c r="C3426" t="str">
        <f>IF(OR(Registro_Compras!$C$384="",Registro_Compras!$O$384=""),"",IF(Registro_Compras!$F$384="RHE",IF(Registro_Compras!$V$384=0,"","4017"),IF(Registro_Compras!$F$384="NOTA DE CREDITO",IF(Registro_Compras!$M$384="","63",Registro_Compras!$M$384),IF(Registro_Compras!$K$384=0,"","40111"))))</f>
        <v/>
      </c>
      <c r="D3426" t="str">
        <f>IF(OR(Registro_Compras!$C$384="",Registro_Compras!$O$384=""),"",IF(Registro_Compras!$F$384="RHE","Retencion Renta 4ta Categoria por Pagar",IF(Registro_Compras!$F$384="NOTA DE CREDITO","Gastos de Servicios Prestados por Terceros","IGV - Cuenta Propia (Credito Fiscal)")))</f>
        <v/>
      </c>
      <c r="E3426" s="20" t="str">
        <f>IF($C3426="","",IF(Registro_Compras!$F$384="FACTURA",ROUND(Registro_Compras!$K$384*Registro_Compras!$N$384,2),""))</f>
        <v/>
      </c>
      <c r="F3426" s="20" t="str">
        <f>IF($C3426="","",IF(Registro_Compras!$F$384="RHE",ROUND(Registro_Compras!$V$384*Registro_Compras!$N$384,2),IF(Registro_Compras!$F$384="NOTA DE CREDITO",ROUND(ABS(Registro_Compras!$J$384*Registro_Compras!$N$384),2),"")))</f>
        <v/>
      </c>
      <c r="G3426" t="str">
        <f>IF($C3426="","",IF(Registro_Compras!$F$384="NOTA DE CREDITO","Por la nota de credito "&amp;Registro_Compras!$C$384&amp;" de "&amp;Registro_Compras!$E$384&amp;" [PATRON POR CONFIRMAR CON CONTADOR]",IF(Registro_Compras!$F$384="RHE","Por el registro del recibo por honorarios "&amp;Registro_Compras!$C$384&amp;" de "&amp;Registro_Compras!$E$384&amp;" [PATRON POR CONFIRMAR CON CONTADOR]","Por el registro de la factura "&amp;Registro_Compras!$C$384&amp;" de "&amp;Registro_Compras!$E$384)))</f>
        <v/>
      </c>
      <c r="H3426" t="str">
        <f>IF($C3426="","",Registro_Compras!$C$384)</f>
        <v/>
      </c>
    </row>
    <row r="3427" spans="1:8" x14ac:dyDescent="0.25">
      <c r="A3427" s="25" t="str">
        <f>IF($C3427="","",Registro_Compras!$B$384)</f>
        <v/>
      </c>
      <c r="B3427" t="str">
        <f>IF($C3427="","","C"&amp;TEXT(INT((ROW()-5)/9)+1,"000")&amp;"-1")</f>
        <v/>
      </c>
      <c r="C3427" t="str">
        <f>IF(OR(Registro_Compras!$C$384="",Registro_Compras!$O$384=""),"",IF(Registro_Compras!$F$384="NOTA DE CREDITO",IF(Registro_Compras!$K$384=0,"","40111"),"4212"))</f>
        <v/>
      </c>
      <c r="D3427" t="str">
        <f>IF(OR(Registro_Compras!$C$384="",Registro_Compras!$O$384=""),"",IF(Registro_Compras!$F$384="NOTA DE CREDITO","IGV - Cuenta Propia (Credito Fiscal)","Cuentas por Pagar Comerciales - Terceros (Emitidas)"))</f>
        <v/>
      </c>
      <c r="E3427" s="20" t="str">
        <f>""</f>
        <v/>
      </c>
      <c r="F3427" s="20" t="str">
        <f>IF($C3427="","",IF(Registro_Compras!$F$384="NOTA DE CREDITO",ROUND(ABS(Registro_Compras!$K$384*Registro_Compras!$N$384),2),IF(Registro_Compras!$F$384="RHE",(ROUND(Registro_Compras!$L$384*Registro_Compras!$N$384,2)-ROUND(Registro_Compras!$V$384*Registro_Compras!$N$384,2)),Registro_Compras!$O$384)))</f>
        <v/>
      </c>
      <c r="G3427" t="str">
        <f>IF($C3427="","",IF(Registro_Compras!$F$384="NOTA DE CREDITO","Por la nota de credito "&amp;Registro_Compras!$C$384&amp;" de "&amp;Registro_Compras!$E$384&amp;" [PATRON POR CONFIRMAR CON CONTADOR]",IF(Registro_Compras!$F$384="RHE","Por el registro del recibo por honorarios "&amp;Registro_Compras!$C$384&amp;" de "&amp;Registro_Compras!$E$384&amp;" [PATRON POR CONFIRMAR CON CONTADOR]","Por el registro de la factura "&amp;Registro_Compras!$C$384&amp;" de "&amp;Registro_Compras!$E$384)))</f>
        <v/>
      </c>
      <c r="H3427" t="str">
        <f>IF($C3427="","",Registro_Compras!$C$384)</f>
        <v/>
      </c>
    </row>
    <row r="3428" spans="1:8" x14ac:dyDescent="0.25">
      <c r="A3428" s="25" t="str">
        <f>IF($C3428="","",Registro_Compras!$B$384)</f>
        <v/>
      </c>
      <c r="B3428" t="str">
        <f>IF($C3428="","","C"&amp;TEXT(INT((ROW()-5)/9)+1,"000")&amp;"-2")</f>
        <v/>
      </c>
      <c r="C3428" t="str">
        <f>IF(OR(Registro_Compras!$C$384="",Registro_Compras!$O$384=""),"",IF(Registro_Compras!$AB$384="ADMINISTRATIVO","94","95"))</f>
        <v/>
      </c>
      <c r="D3428" t="str">
        <f>IF(OR(Registro_Compras!$C$384="",Registro_Compras!$O$384=""),"",IF(Registro_Compras!$AB$384="ADMINISTRATIVO","Gastos Administrativos","Gastos de Venta y Operacion"))</f>
        <v/>
      </c>
      <c r="E3428" s="20" t="str">
        <f>IF($C3428="","",IF(Registro_Compras!$F$384="NOTA DE CREDITO","",IF(Registro_Compras!$F$384="RHE",ROUND(Registro_Compras!$L$384*Registro_Compras!$N$384,2),ROUND(Registro_Compras!$J$384*Registro_Compras!$N$384,2))))</f>
        <v/>
      </c>
      <c r="F3428" s="20" t="str">
        <f>IF($C3428="","",IF(Registro_Compras!$F$384="NOTA DE CREDITO",ROUND(ABS(Registro_Compras!$J$384*Registro_Compras!$N$384),2),""))</f>
        <v/>
      </c>
      <c r="G3428" t="str">
        <f>IF($C3428="","","Por el destino del gasto")</f>
        <v/>
      </c>
      <c r="H3428" t="str">
        <f>IF($C3428="","",Registro_Compras!$C$384)</f>
        <v/>
      </c>
    </row>
    <row r="3429" spans="1:8" x14ac:dyDescent="0.25">
      <c r="A3429" s="25" t="str">
        <f>IF($C3429="","",Registro_Compras!$B$384)</f>
        <v/>
      </c>
      <c r="B3429" t="str">
        <f>IF($C3429="","","C"&amp;TEXT(INT((ROW()-5)/9)+1,"000")&amp;"-2")</f>
        <v/>
      </c>
      <c r="C3429" t="str">
        <f>IF(OR(Registro_Compras!$C$384="",Registro_Compras!$O$384=""),"","79/791")</f>
        <v/>
      </c>
      <c r="D3429" t="str">
        <f>IF(OR(Registro_Compras!$C$384="",Registro_Compras!$O$384=""),"","Cargas Imputables a Cuentas de Costos y Gastos")</f>
        <v/>
      </c>
      <c r="E3429" s="20" t="str">
        <f>IF($C3429="","",IF(Registro_Compras!$F$384="NOTA DE CREDITO",ROUND(ABS(Registro_Compras!$J$384*Registro_Compras!$N$384),2),""))</f>
        <v/>
      </c>
      <c r="F3429" s="20" t="str">
        <f>IF($C3429="","",IF(Registro_Compras!$F$384="NOTA DE CREDITO","",IF(Registro_Compras!$F$384="RHE",ROUND(Registro_Compras!$L$384*Registro_Compras!$N$384,2),ROUND(Registro_Compras!$J$384*Registro_Compras!$N$384,2))))</f>
        <v/>
      </c>
      <c r="G3429" t="str">
        <f>IF($C3429="","","Por el destino del gasto")</f>
        <v/>
      </c>
      <c r="H3429" t="str">
        <f>IF($C3429="","",Registro_Compras!$C$384)</f>
        <v/>
      </c>
    </row>
    <row r="3430" spans="1:8" x14ac:dyDescent="0.25">
      <c r="A3430" s="25" t="str">
        <f>IF($C3430="","",Registro_Compras!$X$384)</f>
        <v/>
      </c>
      <c r="B3430" t="str">
        <f>IF($C3430="","","C"&amp;TEXT(INT((ROW()-5)/9)+1,"000")&amp;"-3")</f>
        <v/>
      </c>
      <c r="C3430" t="str">
        <f>IF(OR(Registro_Compras!$C$384="",Registro_Compras!$O$384="",Registro_Compras!$R$384&lt;&gt;"SI",Registro_Compras!$X$384=""),"","4212")</f>
        <v/>
      </c>
      <c r="D3430" t="str">
        <f>IF(OR(Registro_Compras!$C$384="",Registro_Compras!$O$384=""),"","Cuentas por Pagar Comerciales - Terceros")</f>
        <v/>
      </c>
      <c r="E3430" s="20" t="str">
        <f>IF($C3430="","",Registro_Compras!$S$384)</f>
        <v/>
      </c>
      <c r="F3430" s="20" t="str">
        <f>""</f>
        <v/>
      </c>
      <c r="G3430" t="str">
        <f>IF($C3430="","","Por el deposito de la detraccion en el Banco de la Nacion")</f>
        <v/>
      </c>
      <c r="H3430" t="str">
        <f>IF($C3430="","",Registro_Compras!$C$384)</f>
        <v/>
      </c>
    </row>
    <row r="3431" spans="1:8" x14ac:dyDescent="0.25">
      <c r="A3431" s="25" t="str">
        <f>IF($C3431="","",Registro_Compras!$X$384)</f>
        <v/>
      </c>
      <c r="B3431" t="str">
        <f>IF($C3431="","","C"&amp;TEXT(INT((ROW()-5)/9)+1,"000")&amp;"-3")</f>
        <v/>
      </c>
      <c r="C3431" t="str">
        <f>IF(OR(Registro_Compras!$C$384="",Registro_Compras!$O$384="",Registro_Compras!$R$384&lt;&gt;"SI",Registro_Compras!$X$384=""),"","1041")</f>
        <v/>
      </c>
      <c r="D3431" t="str">
        <f>IF(OR(Registro_Compras!$C$384="",Registro_Compras!$O$384=""),"","Efectivo y Equivalentes - Cta. Cte. Operativa")</f>
        <v/>
      </c>
      <c r="E3431" s="20" t="str">
        <f>""</f>
        <v/>
      </c>
      <c r="F3431" s="20" t="str">
        <f>IF($C3431="","",Registro_Compras!$S$384)</f>
        <v/>
      </c>
      <c r="G3431" t="str">
        <f>IF($C3431="","","Por el deposito de la detraccion en el Banco de la Nacion")</f>
        <v/>
      </c>
      <c r="H3431" t="str">
        <f>IF($C3431="","",Registro_Compras!$C$384)</f>
        <v/>
      </c>
    </row>
    <row r="3432" spans="1:8" x14ac:dyDescent="0.25">
      <c r="A3432" s="25" t="str">
        <f>IF($C3432="","",Registro_Compras!$Y$384)</f>
        <v/>
      </c>
      <c r="B3432" t="str">
        <f>IF($C3432="","","C"&amp;TEXT(INT((ROW()-5)/9)+1,"000")&amp;"-4")</f>
        <v/>
      </c>
      <c r="C3432" t="str">
        <f>IF(OR(Registro_Compras!$C$384="",Registro_Compras!$O$384="",Registro_Compras!$Y$384="",Registro_Compras!$F$384="NOTA DE CREDITO"),"","4212")</f>
        <v/>
      </c>
      <c r="D3432" t="str">
        <f>IF(OR(Registro_Compras!$C$384="",Registro_Compras!$O$384=""),"","Cuentas por Pagar Comerciales - Terceros")</f>
        <v/>
      </c>
      <c r="E3432" s="20" t="str">
        <f>IF($C3432="","",IF(Registro_Compras!$F$384="RHE",(ROUND(Registro_Compras!$L$384*Registro_Compras!$N$384,2)-ROUND(Registro_Compras!$V$384*Registro_Compras!$N$384,2)),ROUND(Registro_Compras!$O$384-Registro_Compras!$S$384,2)))</f>
        <v/>
      </c>
      <c r="F3432" s="20" t="str">
        <f>""</f>
        <v/>
      </c>
      <c r="G3432" t="str">
        <f>IF($C3432="","","Por la cancelacion del saldo al proveedor")</f>
        <v/>
      </c>
      <c r="H3432" t="str">
        <f>IF($C3432="","",Registro_Compras!$C$384)</f>
        <v/>
      </c>
    </row>
    <row r="3433" spans="1:8" x14ac:dyDescent="0.25">
      <c r="A3433" s="25" t="str">
        <f>IF($C3433="","",Registro_Compras!$Y$384)</f>
        <v/>
      </c>
      <c r="B3433" t="str">
        <f>IF($C3433="","","C"&amp;TEXT(INT((ROW()-5)/9)+1,"000")&amp;"-4")</f>
        <v/>
      </c>
      <c r="C3433" t="str">
        <f>IF(OR(Registro_Compras!$C$384="",Registro_Compras!$O$384="",Registro_Compras!$Y$384="",Registro_Compras!$F$384="NOTA DE CREDITO"),"","1041")</f>
        <v/>
      </c>
      <c r="D3433" t="str">
        <f>IF(OR(Registro_Compras!$C$384="",Registro_Compras!$O$384=""),"","Efectivo y Equivalentes - Cta. Cte. Operativa")</f>
        <v/>
      </c>
      <c r="E3433" s="20" t="str">
        <f>""</f>
        <v/>
      </c>
      <c r="F3433" s="20" t="str">
        <f>IF($C3433="","",IF(Registro_Compras!$F$384="RHE",(ROUND(Registro_Compras!$L$384*Registro_Compras!$N$384,2)-ROUND(Registro_Compras!$V$384*Registro_Compras!$N$384,2)),ROUND(Registro_Compras!$O$384-Registro_Compras!$S$384,2)))</f>
        <v/>
      </c>
      <c r="G3433" t="str">
        <f>IF($C3433="","","Por la cancelacion del saldo al proveedor")</f>
        <v/>
      </c>
      <c r="H3433" t="str">
        <f>IF($C3433="","",Registro_Compras!$C$384)</f>
        <v/>
      </c>
    </row>
    <row r="3434" spans="1:8" x14ac:dyDescent="0.25">
      <c r="A3434" s="25" t="str">
        <f>IF($C3434="","",Registro_Compras!$B$385)</f>
        <v/>
      </c>
      <c r="B3434" t="str">
        <f>IF($C3434="","","C"&amp;TEXT(INT((ROW()-5)/9)+1,"000")&amp;"-1")</f>
        <v/>
      </c>
      <c r="C3434" t="str">
        <f>IF(OR(Registro_Compras!$C$385="",Registro_Compras!$O$385=""),"",IF(Registro_Compras!$F$385="NOTA DE CREDITO","4212",IF(Registro_Compras!$M$385="","63",Registro_Compras!$M$385)))</f>
        <v/>
      </c>
      <c r="D3434" t="str">
        <f>IF(OR(Registro_Compras!$C$385="",Registro_Compras!$O$385=""),"",IF(Registro_Compras!$F$385="NOTA DE CREDITO","Cuentas por Pagar Comerciales - Terceros (Emitidas)",IF(Registro_Compras!$F$385="RHE","Honorarios Profesionales - Servicios de Terceros","Gastos de Servicios Prestados por Terceros")))</f>
        <v/>
      </c>
      <c r="E3434" s="20" t="str">
        <f>IF($C3434="","",IF(Registro_Compras!$F$385="NOTA DE CREDITO",ABS(Registro_Compras!$O$385),IF(Registro_Compras!$F$385="RHE",ROUND(Registro_Compras!$L$385*Registro_Compras!$N$385,2),ROUND(Registro_Compras!$J$385*Registro_Compras!$N$385,2))))</f>
        <v/>
      </c>
      <c r="F3434" s="20" t="str">
        <f>""</f>
        <v/>
      </c>
      <c r="G3434" t="str">
        <f>IF($C3434="","",IF(Registro_Compras!$F$385="NOTA DE CREDITO","Por la nota de credito "&amp;Registro_Compras!$C$385&amp;" de "&amp;Registro_Compras!$E$385&amp;" [PATRON POR CONFIRMAR CON CONTADOR]",IF(Registro_Compras!$F$385="RHE","Por el registro del recibo por honorarios "&amp;Registro_Compras!$C$385&amp;" de "&amp;Registro_Compras!$E$385&amp;" [PATRON POR CONFIRMAR CON CONTADOR]","Por el registro de la factura "&amp;Registro_Compras!$C$385&amp;" de "&amp;Registro_Compras!$E$385)))</f>
        <v/>
      </c>
      <c r="H3434" t="str">
        <f>IF($C3434="","",Registro_Compras!$C$385)</f>
        <v/>
      </c>
    </row>
    <row r="3435" spans="1:8" x14ac:dyDescent="0.25">
      <c r="A3435" s="25" t="str">
        <f>IF($C3435="","",Registro_Compras!$B$385)</f>
        <v/>
      </c>
      <c r="B3435" t="str">
        <f>IF($C3435="","","C"&amp;TEXT(INT((ROW()-5)/9)+1,"000")&amp;"-1")</f>
        <v/>
      </c>
      <c r="C3435" t="str">
        <f>IF(OR(Registro_Compras!$C$385="",Registro_Compras!$O$385=""),"",IF(Registro_Compras!$F$385="RHE",IF(Registro_Compras!$V$385=0,"","4017"),IF(Registro_Compras!$F$385="NOTA DE CREDITO",IF(Registro_Compras!$M$385="","63",Registro_Compras!$M$385),IF(Registro_Compras!$K$385=0,"","40111"))))</f>
        <v/>
      </c>
      <c r="D3435" t="str">
        <f>IF(OR(Registro_Compras!$C$385="",Registro_Compras!$O$385=""),"",IF(Registro_Compras!$F$385="RHE","Retencion Renta 4ta Categoria por Pagar",IF(Registro_Compras!$F$385="NOTA DE CREDITO","Gastos de Servicios Prestados por Terceros","IGV - Cuenta Propia (Credito Fiscal)")))</f>
        <v/>
      </c>
      <c r="E3435" s="20" t="str">
        <f>IF($C3435="","",IF(Registro_Compras!$F$385="FACTURA",ROUND(Registro_Compras!$K$385*Registro_Compras!$N$385,2),""))</f>
        <v/>
      </c>
      <c r="F3435" s="20" t="str">
        <f>IF($C3435="","",IF(Registro_Compras!$F$385="RHE",ROUND(Registro_Compras!$V$385*Registro_Compras!$N$385,2),IF(Registro_Compras!$F$385="NOTA DE CREDITO",ROUND(ABS(Registro_Compras!$J$385*Registro_Compras!$N$385),2),"")))</f>
        <v/>
      </c>
      <c r="G3435" t="str">
        <f>IF($C3435="","",IF(Registro_Compras!$F$385="NOTA DE CREDITO","Por la nota de credito "&amp;Registro_Compras!$C$385&amp;" de "&amp;Registro_Compras!$E$385&amp;" [PATRON POR CONFIRMAR CON CONTADOR]",IF(Registro_Compras!$F$385="RHE","Por el registro del recibo por honorarios "&amp;Registro_Compras!$C$385&amp;" de "&amp;Registro_Compras!$E$385&amp;" [PATRON POR CONFIRMAR CON CONTADOR]","Por el registro de la factura "&amp;Registro_Compras!$C$385&amp;" de "&amp;Registro_Compras!$E$385)))</f>
        <v/>
      </c>
      <c r="H3435" t="str">
        <f>IF($C3435="","",Registro_Compras!$C$385)</f>
        <v/>
      </c>
    </row>
    <row r="3436" spans="1:8" x14ac:dyDescent="0.25">
      <c r="A3436" s="25" t="str">
        <f>IF($C3436="","",Registro_Compras!$B$385)</f>
        <v/>
      </c>
      <c r="B3436" t="str">
        <f>IF($C3436="","","C"&amp;TEXT(INT((ROW()-5)/9)+1,"000")&amp;"-1")</f>
        <v/>
      </c>
      <c r="C3436" t="str">
        <f>IF(OR(Registro_Compras!$C$385="",Registro_Compras!$O$385=""),"",IF(Registro_Compras!$F$385="NOTA DE CREDITO",IF(Registro_Compras!$K$385=0,"","40111"),"4212"))</f>
        <v/>
      </c>
      <c r="D3436" t="str">
        <f>IF(OR(Registro_Compras!$C$385="",Registro_Compras!$O$385=""),"",IF(Registro_Compras!$F$385="NOTA DE CREDITO","IGV - Cuenta Propia (Credito Fiscal)","Cuentas por Pagar Comerciales - Terceros (Emitidas)"))</f>
        <v/>
      </c>
      <c r="E3436" s="20" t="str">
        <f>""</f>
        <v/>
      </c>
      <c r="F3436" s="20" t="str">
        <f>IF($C3436="","",IF(Registro_Compras!$F$385="NOTA DE CREDITO",ROUND(ABS(Registro_Compras!$K$385*Registro_Compras!$N$385),2),IF(Registro_Compras!$F$385="RHE",(ROUND(Registro_Compras!$L$385*Registro_Compras!$N$385,2)-ROUND(Registro_Compras!$V$385*Registro_Compras!$N$385,2)),Registro_Compras!$O$385)))</f>
        <v/>
      </c>
      <c r="G3436" t="str">
        <f>IF($C3436="","",IF(Registro_Compras!$F$385="NOTA DE CREDITO","Por la nota de credito "&amp;Registro_Compras!$C$385&amp;" de "&amp;Registro_Compras!$E$385&amp;" [PATRON POR CONFIRMAR CON CONTADOR]",IF(Registro_Compras!$F$385="RHE","Por el registro del recibo por honorarios "&amp;Registro_Compras!$C$385&amp;" de "&amp;Registro_Compras!$E$385&amp;" [PATRON POR CONFIRMAR CON CONTADOR]","Por el registro de la factura "&amp;Registro_Compras!$C$385&amp;" de "&amp;Registro_Compras!$E$385)))</f>
        <v/>
      </c>
      <c r="H3436" t="str">
        <f>IF($C3436="","",Registro_Compras!$C$385)</f>
        <v/>
      </c>
    </row>
    <row r="3437" spans="1:8" x14ac:dyDescent="0.25">
      <c r="A3437" s="25" t="str">
        <f>IF($C3437="","",Registro_Compras!$B$385)</f>
        <v/>
      </c>
      <c r="B3437" t="str">
        <f>IF($C3437="","","C"&amp;TEXT(INT((ROW()-5)/9)+1,"000")&amp;"-2")</f>
        <v/>
      </c>
      <c r="C3437" t="str">
        <f>IF(OR(Registro_Compras!$C$385="",Registro_Compras!$O$385=""),"",IF(Registro_Compras!$AB$385="ADMINISTRATIVO","94","95"))</f>
        <v/>
      </c>
      <c r="D3437" t="str">
        <f>IF(OR(Registro_Compras!$C$385="",Registro_Compras!$O$385=""),"",IF(Registro_Compras!$AB$385="ADMINISTRATIVO","Gastos Administrativos","Gastos de Venta y Operacion"))</f>
        <v/>
      </c>
      <c r="E3437" s="20" t="str">
        <f>IF($C3437="","",IF(Registro_Compras!$F$385="NOTA DE CREDITO","",IF(Registro_Compras!$F$385="RHE",ROUND(Registro_Compras!$L$385*Registro_Compras!$N$385,2),ROUND(Registro_Compras!$J$385*Registro_Compras!$N$385,2))))</f>
        <v/>
      </c>
      <c r="F3437" s="20" t="str">
        <f>IF($C3437="","",IF(Registro_Compras!$F$385="NOTA DE CREDITO",ROUND(ABS(Registro_Compras!$J$385*Registro_Compras!$N$385),2),""))</f>
        <v/>
      </c>
      <c r="G3437" t="str">
        <f>IF($C3437="","","Por el destino del gasto")</f>
        <v/>
      </c>
      <c r="H3437" t="str">
        <f>IF($C3437="","",Registro_Compras!$C$385)</f>
        <v/>
      </c>
    </row>
    <row r="3438" spans="1:8" x14ac:dyDescent="0.25">
      <c r="A3438" s="25" t="str">
        <f>IF($C3438="","",Registro_Compras!$B$385)</f>
        <v/>
      </c>
      <c r="B3438" t="str">
        <f>IF($C3438="","","C"&amp;TEXT(INT((ROW()-5)/9)+1,"000")&amp;"-2")</f>
        <v/>
      </c>
      <c r="C3438" t="str">
        <f>IF(OR(Registro_Compras!$C$385="",Registro_Compras!$O$385=""),"","79/791")</f>
        <v/>
      </c>
      <c r="D3438" t="str">
        <f>IF(OR(Registro_Compras!$C$385="",Registro_Compras!$O$385=""),"","Cargas Imputables a Cuentas de Costos y Gastos")</f>
        <v/>
      </c>
      <c r="E3438" s="20" t="str">
        <f>IF($C3438="","",IF(Registro_Compras!$F$385="NOTA DE CREDITO",ROUND(ABS(Registro_Compras!$J$385*Registro_Compras!$N$385),2),""))</f>
        <v/>
      </c>
      <c r="F3438" s="20" t="str">
        <f>IF($C3438="","",IF(Registro_Compras!$F$385="NOTA DE CREDITO","",IF(Registro_Compras!$F$385="RHE",ROUND(Registro_Compras!$L$385*Registro_Compras!$N$385,2),ROUND(Registro_Compras!$J$385*Registro_Compras!$N$385,2))))</f>
        <v/>
      </c>
      <c r="G3438" t="str">
        <f>IF($C3438="","","Por el destino del gasto")</f>
        <v/>
      </c>
      <c r="H3438" t="str">
        <f>IF($C3438="","",Registro_Compras!$C$385)</f>
        <v/>
      </c>
    </row>
    <row r="3439" spans="1:8" x14ac:dyDescent="0.25">
      <c r="A3439" s="25" t="str">
        <f>IF($C3439="","",Registro_Compras!$X$385)</f>
        <v/>
      </c>
      <c r="B3439" t="str">
        <f>IF($C3439="","","C"&amp;TEXT(INT((ROW()-5)/9)+1,"000")&amp;"-3")</f>
        <v/>
      </c>
      <c r="C3439" t="str">
        <f>IF(OR(Registro_Compras!$C$385="",Registro_Compras!$O$385="",Registro_Compras!$R$385&lt;&gt;"SI",Registro_Compras!$X$385=""),"","4212")</f>
        <v/>
      </c>
      <c r="D3439" t="str">
        <f>IF(OR(Registro_Compras!$C$385="",Registro_Compras!$O$385=""),"","Cuentas por Pagar Comerciales - Terceros")</f>
        <v/>
      </c>
      <c r="E3439" s="20" t="str">
        <f>IF($C3439="","",Registro_Compras!$S$385)</f>
        <v/>
      </c>
      <c r="F3439" s="20" t="str">
        <f>""</f>
        <v/>
      </c>
      <c r="G3439" t="str">
        <f>IF($C3439="","","Por el deposito de la detraccion en el Banco de la Nacion")</f>
        <v/>
      </c>
      <c r="H3439" t="str">
        <f>IF($C3439="","",Registro_Compras!$C$385)</f>
        <v/>
      </c>
    </row>
    <row r="3440" spans="1:8" x14ac:dyDescent="0.25">
      <c r="A3440" s="25" t="str">
        <f>IF($C3440="","",Registro_Compras!$X$385)</f>
        <v/>
      </c>
      <c r="B3440" t="str">
        <f>IF($C3440="","","C"&amp;TEXT(INT((ROW()-5)/9)+1,"000")&amp;"-3")</f>
        <v/>
      </c>
      <c r="C3440" t="str">
        <f>IF(OR(Registro_Compras!$C$385="",Registro_Compras!$O$385="",Registro_Compras!$R$385&lt;&gt;"SI",Registro_Compras!$X$385=""),"","1041")</f>
        <v/>
      </c>
      <c r="D3440" t="str">
        <f>IF(OR(Registro_Compras!$C$385="",Registro_Compras!$O$385=""),"","Efectivo y Equivalentes - Cta. Cte. Operativa")</f>
        <v/>
      </c>
      <c r="E3440" s="20" t="str">
        <f>""</f>
        <v/>
      </c>
      <c r="F3440" s="20" t="str">
        <f>IF($C3440="","",Registro_Compras!$S$385)</f>
        <v/>
      </c>
      <c r="G3440" t="str">
        <f>IF($C3440="","","Por el deposito de la detraccion en el Banco de la Nacion")</f>
        <v/>
      </c>
      <c r="H3440" t="str">
        <f>IF($C3440="","",Registro_Compras!$C$385)</f>
        <v/>
      </c>
    </row>
    <row r="3441" spans="1:8" x14ac:dyDescent="0.25">
      <c r="A3441" s="25" t="str">
        <f>IF($C3441="","",Registro_Compras!$Y$385)</f>
        <v/>
      </c>
      <c r="B3441" t="str">
        <f>IF($C3441="","","C"&amp;TEXT(INT((ROW()-5)/9)+1,"000")&amp;"-4")</f>
        <v/>
      </c>
      <c r="C3441" t="str">
        <f>IF(OR(Registro_Compras!$C$385="",Registro_Compras!$O$385="",Registro_Compras!$Y$385="",Registro_Compras!$F$385="NOTA DE CREDITO"),"","4212")</f>
        <v/>
      </c>
      <c r="D3441" t="str">
        <f>IF(OR(Registro_Compras!$C$385="",Registro_Compras!$O$385=""),"","Cuentas por Pagar Comerciales - Terceros")</f>
        <v/>
      </c>
      <c r="E3441" s="20" t="str">
        <f>IF($C3441="","",IF(Registro_Compras!$F$385="RHE",(ROUND(Registro_Compras!$L$385*Registro_Compras!$N$385,2)-ROUND(Registro_Compras!$V$385*Registro_Compras!$N$385,2)),ROUND(Registro_Compras!$O$385-Registro_Compras!$S$385,2)))</f>
        <v/>
      </c>
      <c r="F3441" s="20" t="str">
        <f>""</f>
        <v/>
      </c>
      <c r="G3441" t="str">
        <f>IF($C3441="","","Por la cancelacion del saldo al proveedor")</f>
        <v/>
      </c>
      <c r="H3441" t="str">
        <f>IF($C3441="","",Registro_Compras!$C$385)</f>
        <v/>
      </c>
    </row>
    <row r="3442" spans="1:8" x14ac:dyDescent="0.25">
      <c r="A3442" s="25" t="str">
        <f>IF($C3442="","",Registro_Compras!$Y$385)</f>
        <v/>
      </c>
      <c r="B3442" t="str">
        <f>IF($C3442="","","C"&amp;TEXT(INT((ROW()-5)/9)+1,"000")&amp;"-4")</f>
        <v/>
      </c>
      <c r="C3442" t="str">
        <f>IF(OR(Registro_Compras!$C$385="",Registro_Compras!$O$385="",Registro_Compras!$Y$385="",Registro_Compras!$F$385="NOTA DE CREDITO"),"","1041")</f>
        <v/>
      </c>
      <c r="D3442" t="str">
        <f>IF(OR(Registro_Compras!$C$385="",Registro_Compras!$O$385=""),"","Efectivo y Equivalentes - Cta. Cte. Operativa")</f>
        <v/>
      </c>
      <c r="E3442" s="20" t="str">
        <f>""</f>
        <v/>
      </c>
      <c r="F3442" s="20" t="str">
        <f>IF($C3442="","",IF(Registro_Compras!$F$385="RHE",(ROUND(Registro_Compras!$L$385*Registro_Compras!$N$385,2)-ROUND(Registro_Compras!$V$385*Registro_Compras!$N$385,2)),ROUND(Registro_Compras!$O$385-Registro_Compras!$S$385,2)))</f>
        <v/>
      </c>
      <c r="G3442" t="str">
        <f>IF($C3442="","","Por la cancelacion del saldo al proveedor")</f>
        <v/>
      </c>
      <c r="H3442" t="str">
        <f>IF($C3442="","",Registro_Compras!$C$385)</f>
        <v/>
      </c>
    </row>
    <row r="3443" spans="1:8" x14ac:dyDescent="0.25">
      <c r="A3443" s="25" t="str">
        <f>IF($C3443="","",Registro_Compras!$B$386)</f>
        <v/>
      </c>
      <c r="B3443" t="str">
        <f>IF($C3443="","","C"&amp;TEXT(INT((ROW()-5)/9)+1,"000")&amp;"-1")</f>
        <v/>
      </c>
      <c r="C3443" t="str">
        <f>IF(OR(Registro_Compras!$C$386="",Registro_Compras!$O$386=""),"",IF(Registro_Compras!$F$386="NOTA DE CREDITO","4212",IF(Registro_Compras!$M$386="","63",Registro_Compras!$M$386)))</f>
        <v/>
      </c>
      <c r="D3443" t="str">
        <f>IF(OR(Registro_Compras!$C$386="",Registro_Compras!$O$386=""),"",IF(Registro_Compras!$F$386="NOTA DE CREDITO","Cuentas por Pagar Comerciales - Terceros (Emitidas)",IF(Registro_Compras!$F$386="RHE","Honorarios Profesionales - Servicios de Terceros","Gastos de Servicios Prestados por Terceros")))</f>
        <v/>
      </c>
      <c r="E3443" s="20" t="str">
        <f>IF($C3443="","",IF(Registro_Compras!$F$386="NOTA DE CREDITO",ABS(Registro_Compras!$O$386),IF(Registro_Compras!$F$386="RHE",ROUND(Registro_Compras!$L$386*Registro_Compras!$N$386,2),ROUND(Registro_Compras!$J$386*Registro_Compras!$N$386,2))))</f>
        <v/>
      </c>
      <c r="F3443" s="20" t="str">
        <f>""</f>
        <v/>
      </c>
      <c r="G3443" t="str">
        <f>IF($C3443="","",IF(Registro_Compras!$F$386="NOTA DE CREDITO","Por la nota de credito "&amp;Registro_Compras!$C$386&amp;" de "&amp;Registro_Compras!$E$386&amp;" [PATRON POR CONFIRMAR CON CONTADOR]",IF(Registro_Compras!$F$386="RHE","Por el registro del recibo por honorarios "&amp;Registro_Compras!$C$386&amp;" de "&amp;Registro_Compras!$E$386&amp;" [PATRON POR CONFIRMAR CON CONTADOR]","Por el registro de la factura "&amp;Registro_Compras!$C$386&amp;" de "&amp;Registro_Compras!$E$386)))</f>
        <v/>
      </c>
      <c r="H3443" t="str">
        <f>IF($C3443="","",Registro_Compras!$C$386)</f>
        <v/>
      </c>
    </row>
    <row r="3444" spans="1:8" x14ac:dyDescent="0.25">
      <c r="A3444" s="25" t="str">
        <f>IF($C3444="","",Registro_Compras!$B$386)</f>
        <v/>
      </c>
      <c r="B3444" t="str">
        <f>IF($C3444="","","C"&amp;TEXT(INT((ROW()-5)/9)+1,"000")&amp;"-1")</f>
        <v/>
      </c>
      <c r="C3444" t="str">
        <f>IF(OR(Registro_Compras!$C$386="",Registro_Compras!$O$386=""),"",IF(Registro_Compras!$F$386="RHE",IF(Registro_Compras!$V$386=0,"","4017"),IF(Registro_Compras!$F$386="NOTA DE CREDITO",IF(Registro_Compras!$M$386="","63",Registro_Compras!$M$386),IF(Registro_Compras!$K$386=0,"","40111"))))</f>
        <v/>
      </c>
      <c r="D3444" t="str">
        <f>IF(OR(Registro_Compras!$C$386="",Registro_Compras!$O$386=""),"",IF(Registro_Compras!$F$386="RHE","Retencion Renta 4ta Categoria por Pagar",IF(Registro_Compras!$F$386="NOTA DE CREDITO","Gastos de Servicios Prestados por Terceros","IGV - Cuenta Propia (Credito Fiscal)")))</f>
        <v/>
      </c>
      <c r="E3444" s="20" t="str">
        <f>IF($C3444="","",IF(Registro_Compras!$F$386="FACTURA",ROUND(Registro_Compras!$K$386*Registro_Compras!$N$386,2),""))</f>
        <v/>
      </c>
      <c r="F3444" s="20" t="str">
        <f>IF($C3444="","",IF(Registro_Compras!$F$386="RHE",ROUND(Registro_Compras!$V$386*Registro_Compras!$N$386,2),IF(Registro_Compras!$F$386="NOTA DE CREDITO",ROUND(ABS(Registro_Compras!$J$386*Registro_Compras!$N$386),2),"")))</f>
        <v/>
      </c>
      <c r="G3444" t="str">
        <f>IF($C3444="","",IF(Registro_Compras!$F$386="NOTA DE CREDITO","Por la nota de credito "&amp;Registro_Compras!$C$386&amp;" de "&amp;Registro_Compras!$E$386&amp;" [PATRON POR CONFIRMAR CON CONTADOR]",IF(Registro_Compras!$F$386="RHE","Por el registro del recibo por honorarios "&amp;Registro_Compras!$C$386&amp;" de "&amp;Registro_Compras!$E$386&amp;" [PATRON POR CONFIRMAR CON CONTADOR]","Por el registro de la factura "&amp;Registro_Compras!$C$386&amp;" de "&amp;Registro_Compras!$E$386)))</f>
        <v/>
      </c>
      <c r="H3444" t="str">
        <f>IF($C3444="","",Registro_Compras!$C$386)</f>
        <v/>
      </c>
    </row>
    <row r="3445" spans="1:8" x14ac:dyDescent="0.25">
      <c r="A3445" s="25" t="str">
        <f>IF($C3445="","",Registro_Compras!$B$386)</f>
        <v/>
      </c>
      <c r="B3445" t="str">
        <f>IF($C3445="","","C"&amp;TEXT(INT((ROW()-5)/9)+1,"000")&amp;"-1")</f>
        <v/>
      </c>
      <c r="C3445" t="str">
        <f>IF(OR(Registro_Compras!$C$386="",Registro_Compras!$O$386=""),"",IF(Registro_Compras!$F$386="NOTA DE CREDITO",IF(Registro_Compras!$K$386=0,"","40111"),"4212"))</f>
        <v/>
      </c>
      <c r="D3445" t="str">
        <f>IF(OR(Registro_Compras!$C$386="",Registro_Compras!$O$386=""),"",IF(Registro_Compras!$F$386="NOTA DE CREDITO","IGV - Cuenta Propia (Credito Fiscal)","Cuentas por Pagar Comerciales - Terceros (Emitidas)"))</f>
        <v/>
      </c>
      <c r="E3445" s="20" t="str">
        <f>""</f>
        <v/>
      </c>
      <c r="F3445" s="20" t="str">
        <f>IF($C3445="","",IF(Registro_Compras!$F$386="NOTA DE CREDITO",ROUND(ABS(Registro_Compras!$K$386*Registro_Compras!$N$386),2),IF(Registro_Compras!$F$386="RHE",(ROUND(Registro_Compras!$L$386*Registro_Compras!$N$386,2)-ROUND(Registro_Compras!$V$386*Registro_Compras!$N$386,2)),Registro_Compras!$O$386)))</f>
        <v/>
      </c>
      <c r="G3445" t="str">
        <f>IF($C3445="","",IF(Registro_Compras!$F$386="NOTA DE CREDITO","Por la nota de credito "&amp;Registro_Compras!$C$386&amp;" de "&amp;Registro_Compras!$E$386&amp;" [PATRON POR CONFIRMAR CON CONTADOR]",IF(Registro_Compras!$F$386="RHE","Por el registro del recibo por honorarios "&amp;Registro_Compras!$C$386&amp;" de "&amp;Registro_Compras!$E$386&amp;" [PATRON POR CONFIRMAR CON CONTADOR]","Por el registro de la factura "&amp;Registro_Compras!$C$386&amp;" de "&amp;Registro_Compras!$E$386)))</f>
        <v/>
      </c>
      <c r="H3445" t="str">
        <f>IF($C3445="","",Registro_Compras!$C$386)</f>
        <v/>
      </c>
    </row>
    <row r="3446" spans="1:8" x14ac:dyDescent="0.25">
      <c r="A3446" s="25" t="str">
        <f>IF($C3446="","",Registro_Compras!$B$386)</f>
        <v/>
      </c>
      <c r="B3446" t="str">
        <f>IF($C3446="","","C"&amp;TEXT(INT((ROW()-5)/9)+1,"000")&amp;"-2")</f>
        <v/>
      </c>
      <c r="C3446" t="str">
        <f>IF(OR(Registro_Compras!$C$386="",Registro_Compras!$O$386=""),"",IF(Registro_Compras!$AB$386="ADMINISTRATIVO","94","95"))</f>
        <v/>
      </c>
      <c r="D3446" t="str">
        <f>IF(OR(Registro_Compras!$C$386="",Registro_Compras!$O$386=""),"",IF(Registro_Compras!$AB$386="ADMINISTRATIVO","Gastos Administrativos","Gastos de Venta y Operacion"))</f>
        <v/>
      </c>
      <c r="E3446" s="20" t="str">
        <f>IF($C3446="","",IF(Registro_Compras!$F$386="NOTA DE CREDITO","",IF(Registro_Compras!$F$386="RHE",ROUND(Registro_Compras!$L$386*Registro_Compras!$N$386,2),ROUND(Registro_Compras!$J$386*Registro_Compras!$N$386,2))))</f>
        <v/>
      </c>
      <c r="F3446" s="20" t="str">
        <f>IF($C3446="","",IF(Registro_Compras!$F$386="NOTA DE CREDITO",ROUND(ABS(Registro_Compras!$J$386*Registro_Compras!$N$386),2),""))</f>
        <v/>
      </c>
      <c r="G3446" t="str">
        <f>IF($C3446="","","Por el destino del gasto")</f>
        <v/>
      </c>
      <c r="H3446" t="str">
        <f>IF($C3446="","",Registro_Compras!$C$386)</f>
        <v/>
      </c>
    </row>
    <row r="3447" spans="1:8" x14ac:dyDescent="0.25">
      <c r="A3447" s="25" t="str">
        <f>IF($C3447="","",Registro_Compras!$B$386)</f>
        <v/>
      </c>
      <c r="B3447" t="str">
        <f>IF($C3447="","","C"&amp;TEXT(INT((ROW()-5)/9)+1,"000")&amp;"-2")</f>
        <v/>
      </c>
      <c r="C3447" t="str">
        <f>IF(OR(Registro_Compras!$C$386="",Registro_Compras!$O$386=""),"","79/791")</f>
        <v/>
      </c>
      <c r="D3447" t="str">
        <f>IF(OR(Registro_Compras!$C$386="",Registro_Compras!$O$386=""),"","Cargas Imputables a Cuentas de Costos y Gastos")</f>
        <v/>
      </c>
      <c r="E3447" s="20" t="str">
        <f>IF($C3447="","",IF(Registro_Compras!$F$386="NOTA DE CREDITO",ROUND(ABS(Registro_Compras!$J$386*Registro_Compras!$N$386),2),""))</f>
        <v/>
      </c>
      <c r="F3447" s="20" t="str">
        <f>IF($C3447="","",IF(Registro_Compras!$F$386="NOTA DE CREDITO","",IF(Registro_Compras!$F$386="RHE",ROUND(Registro_Compras!$L$386*Registro_Compras!$N$386,2),ROUND(Registro_Compras!$J$386*Registro_Compras!$N$386,2))))</f>
        <v/>
      </c>
      <c r="G3447" t="str">
        <f>IF($C3447="","","Por el destino del gasto")</f>
        <v/>
      </c>
      <c r="H3447" t="str">
        <f>IF($C3447="","",Registro_Compras!$C$386)</f>
        <v/>
      </c>
    </row>
    <row r="3448" spans="1:8" x14ac:dyDescent="0.25">
      <c r="A3448" s="25" t="str">
        <f>IF($C3448="","",Registro_Compras!$X$386)</f>
        <v/>
      </c>
      <c r="B3448" t="str">
        <f>IF($C3448="","","C"&amp;TEXT(INT((ROW()-5)/9)+1,"000")&amp;"-3")</f>
        <v/>
      </c>
      <c r="C3448" t="str">
        <f>IF(OR(Registro_Compras!$C$386="",Registro_Compras!$O$386="",Registro_Compras!$R$386&lt;&gt;"SI",Registro_Compras!$X$386=""),"","4212")</f>
        <v/>
      </c>
      <c r="D3448" t="str">
        <f>IF(OR(Registro_Compras!$C$386="",Registro_Compras!$O$386=""),"","Cuentas por Pagar Comerciales - Terceros")</f>
        <v/>
      </c>
      <c r="E3448" s="20" t="str">
        <f>IF($C3448="","",Registro_Compras!$S$386)</f>
        <v/>
      </c>
      <c r="F3448" s="20" t="str">
        <f>""</f>
        <v/>
      </c>
      <c r="G3448" t="str">
        <f>IF($C3448="","","Por el deposito de la detraccion en el Banco de la Nacion")</f>
        <v/>
      </c>
      <c r="H3448" t="str">
        <f>IF($C3448="","",Registro_Compras!$C$386)</f>
        <v/>
      </c>
    </row>
    <row r="3449" spans="1:8" x14ac:dyDescent="0.25">
      <c r="A3449" s="25" t="str">
        <f>IF($C3449="","",Registro_Compras!$X$386)</f>
        <v/>
      </c>
      <c r="B3449" t="str">
        <f>IF($C3449="","","C"&amp;TEXT(INT((ROW()-5)/9)+1,"000")&amp;"-3")</f>
        <v/>
      </c>
      <c r="C3449" t="str">
        <f>IF(OR(Registro_Compras!$C$386="",Registro_Compras!$O$386="",Registro_Compras!$R$386&lt;&gt;"SI",Registro_Compras!$X$386=""),"","1041")</f>
        <v/>
      </c>
      <c r="D3449" t="str">
        <f>IF(OR(Registro_Compras!$C$386="",Registro_Compras!$O$386=""),"","Efectivo y Equivalentes - Cta. Cte. Operativa")</f>
        <v/>
      </c>
      <c r="E3449" s="20" t="str">
        <f>""</f>
        <v/>
      </c>
      <c r="F3449" s="20" t="str">
        <f>IF($C3449="","",Registro_Compras!$S$386)</f>
        <v/>
      </c>
      <c r="G3449" t="str">
        <f>IF($C3449="","","Por el deposito de la detraccion en el Banco de la Nacion")</f>
        <v/>
      </c>
      <c r="H3449" t="str">
        <f>IF($C3449="","",Registro_Compras!$C$386)</f>
        <v/>
      </c>
    </row>
    <row r="3450" spans="1:8" x14ac:dyDescent="0.25">
      <c r="A3450" s="25" t="str">
        <f>IF($C3450="","",Registro_Compras!$Y$386)</f>
        <v/>
      </c>
      <c r="B3450" t="str">
        <f>IF($C3450="","","C"&amp;TEXT(INT((ROW()-5)/9)+1,"000")&amp;"-4")</f>
        <v/>
      </c>
      <c r="C3450" t="str">
        <f>IF(OR(Registro_Compras!$C$386="",Registro_Compras!$O$386="",Registro_Compras!$Y$386="",Registro_Compras!$F$386="NOTA DE CREDITO"),"","4212")</f>
        <v/>
      </c>
      <c r="D3450" t="str">
        <f>IF(OR(Registro_Compras!$C$386="",Registro_Compras!$O$386=""),"","Cuentas por Pagar Comerciales - Terceros")</f>
        <v/>
      </c>
      <c r="E3450" s="20" t="str">
        <f>IF($C3450="","",IF(Registro_Compras!$F$386="RHE",(ROUND(Registro_Compras!$L$386*Registro_Compras!$N$386,2)-ROUND(Registro_Compras!$V$386*Registro_Compras!$N$386,2)),ROUND(Registro_Compras!$O$386-Registro_Compras!$S$386,2)))</f>
        <v/>
      </c>
      <c r="F3450" s="20" t="str">
        <f>""</f>
        <v/>
      </c>
      <c r="G3450" t="str">
        <f>IF($C3450="","","Por la cancelacion del saldo al proveedor")</f>
        <v/>
      </c>
      <c r="H3450" t="str">
        <f>IF($C3450="","",Registro_Compras!$C$386)</f>
        <v/>
      </c>
    </row>
    <row r="3451" spans="1:8" x14ac:dyDescent="0.25">
      <c r="A3451" s="25" t="str">
        <f>IF($C3451="","",Registro_Compras!$Y$386)</f>
        <v/>
      </c>
      <c r="B3451" t="str">
        <f>IF($C3451="","","C"&amp;TEXT(INT((ROW()-5)/9)+1,"000")&amp;"-4")</f>
        <v/>
      </c>
      <c r="C3451" t="str">
        <f>IF(OR(Registro_Compras!$C$386="",Registro_Compras!$O$386="",Registro_Compras!$Y$386="",Registro_Compras!$F$386="NOTA DE CREDITO"),"","1041")</f>
        <v/>
      </c>
      <c r="D3451" t="str">
        <f>IF(OR(Registro_Compras!$C$386="",Registro_Compras!$O$386=""),"","Efectivo y Equivalentes - Cta. Cte. Operativa")</f>
        <v/>
      </c>
      <c r="E3451" s="20" t="str">
        <f>""</f>
        <v/>
      </c>
      <c r="F3451" s="20" t="str">
        <f>IF($C3451="","",IF(Registro_Compras!$F$386="RHE",(ROUND(Registro_Compras!$L$386*Registro_Compras!$N$386,2)-ROUND(Registro_Compras!$V$386*Registro_Compras!$N$386,2)),ROUND(Registro_Compras!$O$386-Registro_Compras!$S$386,2)))</f>
        <v/>
      </c>
      <c r="G3451" t="str">
        <f>IF($C3451="","","Por la cancelacion del saldo al proveedor")</f>
        <v/>
      </c>
      <c r="H3451" t="str">
        <f>IF($C3451="","",Registro_Compras!$C$386)</f>
        <v/>
      </c>
    </row>
    <row r="3452" spans="1:8" x14ac:dyDescent="0.25">
      <c r="A3452" s="25" t="str">
        <f>IF($C3452="","",Registro_Compras!$B$387)</f>
        <v/>
      </c>
      <c r="B3452" t="str">
        <f>IF($C3452="","","C"&amp;TEXT(INT((ROW()-5)/9)+1,"000")&amp;"-1")</f>
        <v/>
      </c>
      <c r="C3452" t="str">
        <f>IF(OR(Registro_Compras!$C$387="",Registro_Compras!$O$387=""),"",IF(Registro_Compras!$F$387="NOTA DE CREDITO","4212",IF(Registro_Compras!$M$387="","63",Registro_Compras!$M$387)))</f>
        <v/>
      </c>
      <c r="D3452" t="str">
        <f>IF(OR(Registro_Compras!$C$387="",Registro_Compras!$O$387=""),"",IF(Registro_Compras!$F$387="NOTA DE CREDITO","Cuentas por Pagar Comerciales - Terceros (Emitidas)",IF(Registro_Compras!$F$387="RHE","Honorarios Profesionales - Servicios de Terceros","Gastos de Servicios Prestados por Terceros")))</f>
        <v/>
      </c>
      <c r="E3452" s="20" t="str">
        <f>IF($C3452="","",IF(Registro_Compras!$F$387="NOTA DE CREDITO",ABS(Registro_Compras!$O$387),IF(Registro_Compras!$F$387="RHE",ROUND(Registro_Compras!$L$387*Registro_Compras!$N$387,2),ROUND(Registro_Compras!$J$387*Registro_Compras!$N$387,2))))</f>
        <v/>
      </c>
      <c r="F3452" s="20" t="str">
        <f>""</f>
        <v/>
      </c>
      <c r="G3452" t="str">
        <f>IF($C3452="","",IF(Registro_Compras!$F$387="NOTA DE CREDITO","Por la nota de credito "&amp;Registro_Compras!$C$387&amp;" de "&amp;Registro_Compras!$E$387&amp;" [PATRON POR CONFIRMAR CON CONTADOR]",IF(Registro_Compras!$F$387="RHE","Por el registro del recibo por honorarios "&amp;Registro_Compras!$C$387&amp;" de "&amp;Registro_Compras!$E$387&amp;" [PATRON POR CONFIRMAR CON CONTADOR]","Por el registro de la factura "&amp;Registro_Compras!$C$387&amp;" de "&amp;Registro_Compras!$E$387)))</f>
        <v/>
      </c>
      <c r="H3452" t="str">
        <f>IF($C3452="","",Registro_Compras!$C$387)</f>
        <v/>
      </c>
    </row>
    <row r="3453" spans="1:8" x14ac:dyDescent="0.25">
      <c r="A3453" s="25" t="str">
        <f>IF($C3453="","",Registro_Compras!$B$387)</f>
        <v/>
      </c>
      <c r="B3453" t="str">
        <f>IF($C3453="","","C"&amp;TEXT(INT((ROW()-5)/9)+1,"000")&amp;"-1")</f>
        <v/>
      </c>
      <c r="C3453" t="str">
        <f>IF(OR(Registro_Compras!$C$387="",Registro_Compras!$O$387=""),"",IF(Registro_Compras!$F$387="RHE",IF(Registro_Compras!$V$387=0,"","4017"),IF(Registro_Compras!$F$387="NOTA DE CREDITO",IF(Registro_Compras!$M$387="","63",Registro_Compras!$M$387),IF(Registro_Compras!$K$387=0,"","40111"))))</f>
        <v/>
      </c>
      <c r="D3453" t="str">
        <f>IF(OR(Registro_Compras!$C$387="",Registro_Compras!$O$387=""),"",IF(Registro_Compras!$F$387="RHE","Retencion Renta 4ta Categoria por Pagar",IF(Registro_Compras!$F$387="NOTA DE CREDITO","Gastos de Servicios Prestados por Terceros","IGV - Cuenta Propia (Credito Fiscal)")))</f>
        <v/>
      </c>
      <c r="E3453" s="20" t="str">
        <f>IF($C3453="","",IF(Registro_Compras!$F$387="FACTURA",ROUND(Registro_Compras!$K$387*Registro_Compras!$N$387,2),""))</f>
        <v/>
      </c>
      <c r="F3453" s="20" t="str">
        <f>IF($C3453="","",IF(Registro_Compras!$F$387="RHE",ROUND(Registro_Compras!$V$387*Registro_Compras!$N$387,2),IF(Registro_Compras!$F$387="NOTA DE CREDITO",ROUND(ABS(Registro_Compras!$J$387*Registro_Compras!$N$387),2),"")))</f>
        <v/>
      </c>
      <c r="G3453" t="str">
        <f>IF($C3453="","",IF(Registro_Compras!$F$387="NOTA DE CREDITO","Por la nota de credito "&amp;Registro_Compras!$C$387&amp;" de "&amp;Registro_Compras!$E$387&amp;" [PATRON POR CONFIRMAR CON CONTADOR]",IF(Registro_Compras!$F$387="RHE","Por el registro del recibo por honorarios "&amp;Registro_Compras!$C$387&amp;" de "&amp;Registro_Compras!$E$387&amp;" [PATRON POR CONFIRMAR CON CONTADOR]","Por el registro de la factura "&amp;Registro_Compras!$C$387&amp;" de "&amp;Registro_Compras!$E$387)))</f>
        <v/>
      </c>
      <c r="H3453" t="str">
        <f>IF($C3453="","",Registro_Compras!$C$387)</f>
        <v/>
      </c>
    </row>
    <row r="3454" spans="1:8" x14ac:dyDescent="0.25">
      <c r="A3454" s="25" t="str">
        <f>IF($C3454="","",Registro_Compras!$B$387)</f>
        <v/>
      </c>
      <c r="B3454" t="str">
        <f>IF($C3454="","","C"&amp;TEXT(INT((ROW()-5)/9)+1,"000")&amp;"-1")</f>
        <v/>
      </c>
      <c r="C3454" t="str">
        <f>IF(OR(Registro_Compras!$C$387="",Registro_Compras!$O$387=""),"",IF(Registro_Compras!$F$387="NOTA DE CREDITO",IF(Registro_Compras!$K$387=0,"","40111"),"4212"))</f>
        <v/>
      </c>
      <c r="D3454" t="str">
        <f>IF(OR(Registro_Compras!$C$387="",Registro_Compras!$O$387=""),"",IF(Registro_Compras!$F$387="NOTA DE CREDITO","IGV - Cuenta Propia (Credito Fiscal)","Cuentas por Pagar Comerciales - Terceros (Emitidas)"))</f>
        <v/>
      </c>
      <c r="E3454" s="20" t="str">
        <f>""</f>
        <v/>
      </c>
      <c r="F3454" s="20" t="str">
        <f>IF($C3454="","",IF(Registro_Compras!$F$387="NOTA DE CREDITO",ROUND(ABS(Registro_Compras!$K$387*Registro_Compras!$N$387),2),IF(Registro_Compras!$F$387="RHE",(ROUND(Registro_Compras!$L$387*Registro_Compras!$N$387,2)-ROUND(Registro_Compras!$V$387*Registro_Compras!$N$387,2)),Registro_Compras!$O$387)))</f>
        <v/>
      </c>
      <c r="G3454" t="str">
        <f>IF($C3454="","",IF(Registro_Compras!$F$387="NOTA DE CREDITO","Por la nota de credito "&amp;Registro_Compras!$C$387&amp;" de "&amp;Registro_Compras!$E$387&amp;" [PATRON POR CONFIRMAR CON CONTADOR]",IF(Registro_Compras!$F$387="RHE","Por el registro del recibo por honorarios "&amp;Registro_Compras!$C$387&amp;" de "&amp;Registro_Compras!$E$387&amp;" [PATRON POR CONFIRMAR CON CONTADOR]","Por el registro de la factura "&amp;Registro_Compras!$C$387&amp;" de "&amp;Registro_Compras!$E$387)))</f>
        <v/>
      </c>
      <c r="H3454" t="str">
        <f>IF($C3454="","",Registro_Compras!$C$387)</f>
        <v/>
      </c>
    </row>
    <row r="3455" spans="1:8" x14ac:dyDescent="0.25">
      <c r="A3455" s="25" t="str">
        <f>IF($C3455="","",Registro_Compras!$B$387)</f>
        <v/>
      </c>
      <c r="B3455" t="str">
        <f>IF($C3455="","","C"&amp;TEXT(INT((ROW()-5)/9)+1,"000")&amp;"-2")</f>
        <v/>
      </c>
      <c r="C3455" t="str">
        <f>IF(OR(Registro_Compras!$C$387="",Registro_Compras!$O$387=""),"",IF(Registro_Compras!$AB$387="ADMINISTRATIVO","94","95"))</f>
        <v/>
      </c>
      <c r="D3455" t="str">
        <f>IF(OR(Registro_Compras!$C$387="",Registro_Compras!$O$387=""),"",IF(Registro_Compras!$AB$387="ADMINISTRATIVO","Gastos Administrativos","Gastos de Venta y Operacion"))</f>
        <v/>
      </c>
      <c r="E3455" s="20" t="str">
        <f>IF($C3455="","",IF(Registro_Compras!$F$387="NOTA DE CREDITO","",IF(Registro_Compras!$F$387="RHE",ROUND(Registro_Compras!$L$387*Registro_Compras!$N$387,2),ROUND(Registro_Compras!$J$387*Registro_Compras!$N$387,2))))</f>
        <v/>
      </c>
      <c r="F3455" s="20" t="str">
        <f>IF($C3455="","",IF(Registro_Compras!$F$387="NOTA DE CREDITO",ROUND(ABS(Registro_Compras!$J$387*Registro_Compras!$N$387),2),""))</f>
        <v/>
      </c>
      <c r="G3455" t="str">
        <f>IF($C3455="","","Por el destino del gasto")</f>
        <v/>
      </c>
      <c r="H3455" t="str">
        <f>IF($C3455="","",Registro_Compras!$C$387)</f>
        <v/>
      </c>
    </row>
    <row r="3456" spans="1:8" x14ac:dyDescent="0.25">
      <c r="A3456" s="25" t="str">
        <f>IF($C3456="","",Registro_Compras!$B$387)</f>
        <v/>
      </c>
      <c r="B3456" t="str">
        <f>IF($C3456="","","C"&amp;TEXT(INT((ROW()-5)/9)+1,"000")&amp;"-2")</f>
        <v/>
      </c>
      <c r="C3456" t="str">
        <f>IF(OR(Registro_Compras!$C$387="",Registro_Compras!$O$387=""),"","79/791")</f>
        <v/>
      </c>
      <c r="D3456" t="str">
        <f>IF(OR(Registro_Compras!$C$387="",Registro_Compras!$O$387=""),"","Cargas Imputables a Cuentas de Costos y Gastos")</f>
        <v/>
      </c>
      <c r="E3456" s="20" t="str">
        <f>IF($C3456="","",IF(Registro_Compras!$F$387="NOTA DE CREDITO",ROUND(ABS(Registro_Compras!$J$387*Registro_Compras!$N$387),2),""))</f>
        <v/>
      </c>
      <c r="F3456" s="20" t="str">
        <f>IF($C3456="","",IF(Registro_Compras!$F$387="NOTA DE CREDITO","",IF(Registro_Compras!$F$387="RHE",ROUND(Registro_Compras!$L$387*Registro_Compras!$N$387,2),ROUND(Registro_Compras!$J$387*Registro_Compras!$N$387,2))))</f>
        <v/>
      </c>
      <c r="G3456" t="str">
        <f>IF($C3456="","","Por el destino del gasto")</f>
        <v/>
      </c>
      <c r="H3456" t="str">
        <f>IF($C3456="","",Registro_Compras!$C$387)</f>
        <v/>
      </c>
    </row>
    <row r="3457" spans="1:8" x14ac:dyDescent="0.25">
      <c r="A3457" s="25" t="str">
        <f>IF($C3457="","",Registro_Compras!$X$387)</f>
        <v/>
      </c>
      <c r="B3457" t="str">
        <f>IF($C3457="","","C"&amp;TEXT(INT((ROW()-5)/9)+1,"000")&amp;"-3")</f>
        <v/>
      </c>
      <c r="C3457" t="str">
        <f>IF(OR(Registro_Compras!$C$387="",Registro_Compras!$O$387="",Registro_Compras!$R$387&lt;&gt;"SI",Registro_Compras!$X$387=""),"","4212")</f>
        <v/>
      </c>
      <c r="D3457" t="str">
        <f>IF(OR(Registro_Compras!$C$387="",Registro_Compras!$O$387=""),"","Cuentas por Pagar Comerciales - Terceros")</f>
        <v/>
      </c>
      <c r="E3457" s="20" t="str">
        <f>IF($C3457="","",Registro_Compras!$S$387)</f>
        <v/>
      </c>
      <c r="F3457" s="20" t="str">
        <f>""</f>
        <v/>
      </c>
      <c r="G3457" t="str">
        <f>IF($C3457="","","Por el deposito de la detraccion en el Banco de la Nacion")</f>
        <v/>
      </c>
      <c r="H3457" t="str">
        <f>IF($C3457="","",Registro_Compras!$C$387)</f>
        <v/>
      </c>
    </row>
    <row r="3458" spans="1:8" x14ac:dyDescent="0.25">
      <c r="A3458" s="25" t="str">
        <f>IF($C3458="","",Registro_Compras!$X$387)</f>
        <v/>
      </c>
      <c r="B3458" t="str">
        <f>IF($C3458="","","C"&amp;TEXT(INT((ROW()-5)/9)+1,"000")&amp;"-3")</f>
        <v/>
      </c>
      <c r="C3458" t="str">
        <f>IF(OR(Registro_Compras!$C$387="",Registro_Compras!$O$387="",Registro_Compras!$R$387&lt;&gt;"SI",Registro_Compras!$X$387=""),"","1041")</f>
        <v/>
      </c>
      <c r="D3458" t="str">
        <f>IF(OR(Registro_Compras!$C$387="",Registro_Compras!$O$387=""),"","Efectivo y Equivalentes - Cta. Cte. Operativa")</f>
        <v/>
      </c>
      <c r="E3458" s="20" t="str">
        <f>""</f>
        <v/>
      </c>
      <c r="F3458" s="20" t="str">
        <f>IF($C3458="","",Registro_Compras!$S$387)</f>
        <v/>
      </c>
      <c r="G3458" t="str">
        <f>IF($C3458="","","Por el deposito de la detraccion en el Banco de la Nacion")</f>
        <v/>
      </c>
      <c r="H3458" t="str">
        <f>IF($C3458="","",Registro_Compras!$C$387)</f>
        <v/>
      </c>
    </row>
    <row r="3459" spans="1:8" x14ac:dyDescent="0.25">
      <c r="A3459" s="25" t="str">
        <f>IF($C3459="","",Registro_Compras!$Y$387)</f>
        <v/>
      </c>
      <c r="B3459" t="str">
        <f>IF($C3459="","","C"&amp;TEXT(INT((ROW()-5)/9)+1,"000")&amp;"-4")</f>
        <v/>
      </c>
      <c r="C3459" t="str">
        <f>IF(OR(Registro_Compras!$C$387="",Registro_Compras!$O$387="",Registro_Compras!$Y$387="",Registro_Compras!$F$387="NOTA DE CREDITO"),"","4212")</f>
        <v/>
      </c>
      <c r="D3459" t="str">
        <f>IF(OR(Registro_Compras!$C$387="",Registro_Compras!$O$387=""),"","Cuentas por Pagar Comerciales - Terceros")</f>
        <v/>
      </c>
      <c r="E3459" s="20" t="str">
        <f>IF($C3459="","",IF(Registro_Compras!$F$387="RHE",(ROUND(Registro_Compras!$L$387*Registro_Compras!$N$387,2)-ROUND(Registro_Compras!$V$387*Registro_Compras!$N$387,2)),ROUND(Registro_Compras!$O$387-Registro_Compras!$S$387,2)))</f>
        <v/>
      </c>
      <c r="F3459" s="20" t="str">
        <f>""</f>
        <v/>
      </c>
      <c r="G3459" t="str">
        <f>IF($C3459="","","Por la cancelacion del saldo al proveedor")</f>
        <v/>
      </c>
      <c r="H3459" t="str">
        <f>IF($C3459="","",Registro_Compras!$C$387)</f>
        <v/>
      </c>
    </row>
    <row r="3460" spans="1:8" x14ac:dyDescent="0.25">
      <c r="A3460" s="25" t="str">
        <f>IF($C3460="","",Registro_Compras!$Y$387)</f>
        <v/>
      </c>
      <c r="B3460" t="str">
        <f>IF($C3460="","","C"&amp;TEXT(INT((ROW()-5)/9)+1,"000")&amp;"-4")</f>
        <v/>
      </c>
      <c r="C3460" t="str">
        <f>IF(OR(Registro_Compras!$C$387="",Registro_Compras!$O$387="",Registro_Compras!$Y$387="",Registro_Compras!$F$387="NOTA DE CREDITO"),"","1041")</f>
        <v/>
      </c>
      <c r="D3460" t="str">
        <f>IF(OR(Registro_Compras!$C$387="",Registro_Compras!$O$387=""),"","Efectivo y Equivalentes - Cta. Cte. Operativa")</f>
        <v/>
      </c>
      <c r="E3460" s="20" t="str">
        <f>""</f>
        <v/>
      </c>
      <c r="F3460" s="20" t="str">
        <f>IF($C3460="","",IF(Registro_Compras!$F$387="RHE",(ROUND(Registro_Compras!$L$387*Registro_Compras!$N$387,2)-ROUND(Registro_Compras!$V$387*Registro_Compras!$N$387,2)),ROUND(Registro_Compras!$O$387-Registro_Compras!$S$387,2)))</f>
        <v/>
      </c>
      <c r="G3460" t="str">
        <f>IF($C3460="","","Por la cancelacion del saldo al proveedor")</f>
        <v/>
      </c>
      <c r="H3460" t="str">
        <f>IF($C3460="","",Registro_Compras!$C$387)</f>
        <v/>
      </c>
    </row>
    <row r="3461" spans="1:8" x14ac:dyDescent="0.25">
      <c r="A3461" s="25" t="str">
        <f>IF($C3461="","",Registro_Compras!$B$388)</f>
        <v/>
      </c>
      <c r="B3461" t="str">
        <f>IF($C3461="","","C"&amp;TEXT(INT((ROW()-5)/9)+1,"000")&amp;"-1")</f>
        <v/>
      </c>
      <c r="C3461" t="str">
        <f>IF(OR(Registro_Compras!$C$388="",Registro_Compras!$O$388=""),"",IF(Registro_Compras!$F$388="NOTA DE CREDITO","4212",IF(Registro_Compras!$M$388="","63",Registro_Compras!$M$388)))</f>
        <v/>
      </c>
      <c r="D3461" t="str">
        <f>IF(OR(Registro_Compras!$C$388="",Registro_Compras!$O$388=""),"",IF(Registro_Compras!$F$388="NOTA DE CREDITO","Cuentas por Pagar Comerciales - Terceros (Emitidas)",IF(Registro_Compras!$F$388="RHE","Honorarios Profesionales - Servicios de Terceros","Gastos de Servicios Prestados por Terceros")))</f>
        <v/>
      </c>
      <c r="E3461" s="20" t="str">
        <f>IF($C3461="","",IF(Registro_Compras!$F$388="NOTA DE CREDITO",ABS(Registro_Compras!$O$388),IF(Registro_Compras!$F$388="RHE",ROUND(Registro_Compras!$L$388*Registro_Compras!$N$388,2),ROUND(Registro_Compras!$J$388*Registro_Compras!$N$388,2))))</f>
        <v/>
      </c>
      <c r="F3461" s="20" t="str">
        <f>""</f>
        <v/>
      </c>
      <c r="G3461" t="str">
        <f>IF($C3461="","",IF(Registro_Compras!$F$388="NOTA DE CREDITO","Por la nota de credito "&amp;Registro_Compras!$C$388&amp;" de "&amp;Registro_Compras!$E$388&amp;" [PATRON POR CONFIRMAR CON CONTADOR]",IF(Registro_Compras!$F$388="RHE","Por el registro del recibo por honorarios "&amp;Registro_Compras!$C$388&amp;" de "&amp;Registro_Compras!$E$388&amp;" [PATRON POR CONFIRMAR CON CONTADOR]","Por el registro de la factura "&amp;Registro_Compras!$C$388&amp;" de "&amp;Registro_Compras!$E$388)))</f>
        <v/>
      </c>
      <c r="H3461" t="str">
        <f>IF($C3461="","",Registro_Compras!$C$388)</f>
        <v/>
      </c>
    </row>
    <row r="3462" spans="1:8" x14ac:dyDescent="0.25">
      <c r="A3462" s="25" t="str">
        <f>IF($C3462="","",Registro_Compras!$B$388)</f>
        <v/>
      </c>
      <c r="B3462" t="str">
        <f>IF($C3462="","","C"&amp;TEXT(INT((ROW()-5)/9)+1,"000")&amp;"-1")</f>
        <v/>
      </c>
      <c r="C3462" t="str">
        <f>IF(OR(Registro_Compras!$C$388="",Registro_Compras!$O$388=""),"",IF(Registro_Compras!$F$388="RHE",IF(Registro_Compras!$V$388=0,"","4017"),IF(Registro_Compras!$F$388="NOTA DE CREDITO",IF(Registro_Compras!$M$388="","63",Registro_Compras!$M$388),IF(Registro_Compras!$K$388=0,"","40111"))))</f>
        <v/>
      </c>
      <c r="D3462" t="str">
        <f>IF(OR(Registro_Compras!$C$388="",Registro_Compras!$O$388=""),"",IF(Registro_Compras!$F$388="RHE","Retencion Renta 4ta Categoria por Pagar",IF(Registro_Compras!$F$388="NOTA DE CREDITO","Gastos de Servicios Prestados por Terceros","IGV - Cuenta Propia (Credito Fiscal)")))</f>
        <v/>
      </c>
      <c r="E3462" s="20" t="str">
        <f>IF($C3462="","",IF(Registro_Compras!$F$388="FACTURA",ROUND(Registro_Compras!$K$388*Registro_Compras!$N$388,2),""))</f>
        <v/>
      </c>
      <c r="F3462" s="20" t="str">
        <f>IF($C3462="","",IF(Registro_Compras!$F$388="RHE",ROUND(Registro_Compras!$V$388*Registro_Compras!$N$388,2),IF(Registro_Compras!$F$388="NOTA DE CREDITO",ROUND(ABS(Registro_Compras!$J$388*Registro_Compras!$N$388),2),"")))</f>
        <v/>
      </c>
      <c r="G3462" t="str">
        <f>IF($C3462="","",IF(Registro_Compras!$F$388="NOTA DE CREDITO","Por la nota de credito "&amp;Registro_Compras!$C$388&amp;" de "&amp;Registro_Compras!$E$388&amp;" [PATRON POR CONFIRMAR CON CONTADOR]",IF(Registro_Compras!$F$388="RHE","Por el registro del recibo por honorarios "&amp;Registro_Compras!$C$388&amp;" de "&amp;Registro_Compras!$E$388&amp;" [PATRON POR CONFIRMAR CON CONTADOR]","Por el registro de la factura "&amp;Registro_Compras!$C$388&amp;" de "&amp;Registro_Compras!$E$388)))</f>
        <v/>
      </c>
      <c r="H3462" t="str">
        <f>IF($C3462="","",Registro_Compras!$C$388)</f>
        <v/>
      </c>
    </row>
    <row r="3463" spans="1:8" x14ac:dyDescent="0.25">
      <c r="A3463" s="25" t="str">
        <f>IF($C3463="","",Registro_Compras!$B$388)</f>
        <v/>
      </c>
      <c r="B3463" t="str">
        <f>IF($C3463="","","C"&amp;TEXT(INT((ROW()-5)/9)+1,"000")&amp;"-1")</f>
        <v/>
      </c>
      <c r="C3463" t="str">
        <f>IF(OR(Registro_Compras!$C$388="",Registro_Compras!$O$388=""),"",IF(Registro_Compras!$F$388="NOTA DE CREDITO",IF(Registro_Compras!$K$388=0,"","40111"),"4212"))</f>
        <v/>
      </c>
      <c r="D3463" t="str">
        <f>IF(OR(Registro_Compras!$C$388="",Registro_Compras!$O$388=""),"",IF(Registro_Compras!$F$388="NOTA DE CREDITO","IGV - Cuenta Propia (Credito Fiscal)","Cuentas por Pagar Comerciales - Terceros (Emitidas)"))</f>
        <v/>
      </c>
      <c r="E3463" s="20" t="str">
        <f>""</f>
        <v/>
      </c>
      <c r="F3463" s="20" t="str">
        <f>IF($C3463="","",IF(Registro_Compras!$F$388="NOTA DE CREDITO",ROUND(ABS(Registro_Compras!$K$388*Registro_Compras!$N$388),2),IF(Registro_Compras!$F$388="RHE",(ROUND(Registro_Compras!$L$388*Registro_Compras!$N$388,2)-ROUND(Registro_Compras!$V$388*Registro_Compras!$N$388,2)),Registro_Compras!$O$388)))</f>
        <v/>
      </c>
      <c r="G3463" t="str">
        <f>IF($C3463="","",IF(Registro_Compras!$F$388="NOTA DE CREDITO","Por la nota de credito "&amp;Registro_Compras!$C$388&amp;" de "&amp;Registro_Compras!$E$388&amp;" [PATRON POR CONFIRMAR CON CONTADOR]",IF(Registro_Compras!$F$388="RHE","Por el registro del recibo por honorarios "&amp;Registro_Compras!$C$388&amp;" de "&amp;Registro_Compras!$E$388&amp;" [PATRON POR CONFIRMAR CON CONTADOR]","Por el registro de la factura "&amp;Registro_Compras!$C$388&amp;" de "&amp;Registro_Compras!$E$388)))</f>
        <v/>
      </c>
      <c r="H3463" t="str">
        <f>IF($C3463="","",Registro_Compras!$C$388)</f>
        <v/>
      </c>
    </row>
    <row r="3464" spans="1:8" x14ac:dyDescent="0.25">
      <c r="A3464" s="25" t="str">
        <f>IF($C3464="","",Registro_Compras!$B$388)</f>
        <v/>
      </c>
      <c r="B3464" t="str">
        <f>IF($C3464="","","C"&amp;TEXT(INT((ROW()-5)/9)+1,"000")&amp;"-2")</f>
        <v/>
      </c>
      <c r="C3464" t="str">
        <f>IF(OR(Registro_Compras!$C$388="",Registro_Compras!$O$388=""),"",IF(Registro_Compras!$AB$388="ADMINISTRATIVO","94","95"))</f>
        <v/>
      </c>
      <c r="D3464" t="str">
        <f>IF(OR(Registro_Compras!$C$388="",Registro_Compras!$O$388=""),"",IF(Registro_Compras!$AB$388="ADMINISTRATIVO","Gastos Administrativos","Gastos de Venta y Operacion"))</f>
        <v/>
      </c>
      <c r="E3464" s="20" t="str">
        <f>IF($C3464="","",IF(Registro_Compras!$F$388="NOTA DE CREDITO","",IF(Registro_Compras!$F$388="RHE",ROUND(Registro_Compras!$L$388*Registro_Compras!$N$388,2),ROUND(Registro_Compras!$J$388*Registro_Compras!$N$388,2))))</f>
        <v/>
      </c>
      <c r="F3464" s="20" t="str">
        <f>IF($C3464="","",IF(Registro_Compras!$F$388="NOTA DE CREDITO",ROUND(ABS(Registro_Compras!$J$388*Registro_Compras!$N$388),2),""))</f>
        <v/>
      </c>
      <c r="G3464" t="str">
        <f>IF($C3464="","","Por el destino del gasto")</f>
        <v/>
      </c>
      <c r="H3464" t="str">
        <f>IF($C3464="","",Registro_Compras!$C$388)</f>
        <v/>
      </c>
    </row>
    <row r="3465" spans="1:8" x14ac:dyDescent="0.25">
      <c r="A3465" s="25" t="str">
        <f>IF($C3465="","",Registro_Compras!$B$388)</f>
        <v/>
      </c>
      <c r="B3465" t="str">
        <f>IF($C3465="","","C"&amp;TEXT(INT((ROW()-5)/9)+1,"000")&amp;"-2")</f>
        <v/>
      </c>
      <c r="C3465" t="str">
        <f>IF(OR(Registro_Compras!$C$388="",Registro_Compras!$O$388=""),"","79/791")</f>
        <v/>
      </c>
      <c r="D3465" t="str">
        <f>IF(OR(Registro_Compras!$C$388="",Registro_Compras!$O$388=""),"","Cargas Imputables a Cuentas de Costos y Gastos")</f>
        <v/>
      </c>
      <c r="E3465" s="20" t="str">
        <f>IF($C3465="","",IF(Registro_Compras!$F$388="NOTA DE CREDITO",ROUND(ABS(Registro_Compras!$J$388*Registro_Compras!$N$388),2),""))</f>
        <v/>
      </c>
      <c r="F3465" s="20" t="str">
        <f>IF($C3465="","",IF(Registro_Compras!$F$388="NOTA DE CREDITO","",IF(Registro_Compras!$F$388="RHE",ROUND(Registro_Compras!$L$388*Registro_Compras!$N$388,2),ROUND(Registro_Compras!$J$388*Registro_Compras!$N$388,2))))</f>
        <v/>
      </c>
      <c r="G3465" t="str">
        <f>IF($C3465="","","Por el destino del gasto")</f>
        <v/>
      </c>
      <c r="H3465" t="str">
        <f>IF($C3465="","",Registro_Compras!$C$388)</f>
        <v/>
      </c>
    </row>
    <row r="3466" spans="1:8" x14ac:dyDescent="0.25">
      <c r="A3466" s="25" t="str">
        <f>IF($C3466="","",Registro_Compras!$X$388)</f>
        <v/>
      </c>
      <c r="B3466" t="str">
        <f>IF($C3466="","","C"&amp;TEXT(INT((ROW()-5)/9)+1,"000")&amp;"-3")</f>
        <v/>
      </c>
      <c r="C3466" t="str">
        <f>IF(OR(Registro_Compras!$C$388="",Registro_Compras!$O$388="",Registro_Compras!$R$388&lt;&gt;"SI",Registro_Compras!$X$388=""),"","4212")</f>
        <v/>
      </c>
      <c r="D3466" t="str">
        <f>IF(OR(Registro_Compras!$C$388="",Registro_Compras!$O$388=""),"","Cuentas por Pagar Comerciales - Terceros")</f>
        <v/>
      </c>
      <c r="E3466" s="20" t="str">
        <f>IF($C3466="","",Registro_Compras!$S$388)</f>
        <v/>
      </c>
      <c r="F3466" s="20" t="str">
        <f>""</f>
        <v/>
      </c>
      <c r="G3466" t="str">
        <f>IF($C3466="","","Por el deposito de la detraccion en el Banco de la Nacion")</f>
        <v/>
      </c>
      <c r="H3466" t="str">
        <f>IF($C3466="","",Registro_Compras!$C$388)</f>
        <v/>
      </c>
    </row>
    <row r="3467" spans="1:8" x14ac:dyDescent="0.25">
      <c r="A3467" s="25" t="str">
        <f>IF($C3467="","",Registro_Compras!$X$388)</f>
        <v/>
      </c>
      <c r="B3467" t="str">
        <f>IF($C3467="","","C"&amp;TEXT(INT((ROW()-5)/9)+1,"000")&amp;"-3")</f>
        <v/>
      </c>
      <c r="C3467" t="str">
        <f>IF(OR(Registro_Compras!$C$388="",Registro_Compras!$O$388="",Registro_Compras!$R$388&lt;&gt;"SI",Registro_Compras!$X$388=""),"","1041")</f>
        <v/>
      </c>
      <c r="D3467" t="str">
        <f>IF(OR(Registro_Compras!$C$388="",Registro_Compras!$O$388=""),"","Efectivo y Equivalentes - Cta. Cte. Operativa")</f>
        <v/>
      </c>
      <c r="E3467" s="20" t="str">
        <f>""</f>
        <v/>
      </c>
      <c r="F3467" s="20" t="str">
        <f>IF($C3467="","",Registro_Compras!$S$388)</f>
        <v/>
      </c>
      <c r="G3467" t="str">
        <f>IF($C3467="","","Por el deposito de la detraccion en el Banco de la Nacion")</f>
        <v/>
      </c>
      <c r="H3467" t="str">
        <f>IF($C3467="","",Registro_Compras!$C$388)</f>
        <v/>
      </c>
    </row>
    <row r="3468" spans="1:8" x14ac:dyDescent="0.25">
      <c r="A3468" s="25" t="str">
        <f>IF($C3468="","",Registro_Compras!$Y$388)</f>
        <v/>
      </c>
      <c r="B3468" t="str">
        <f>IF($C3468="","","C"&amp;TEXT(INT((ROW()-5)/9)+1,"000")&amp;"-4")</f>
        <v/>
      </c>
      <c r="C3468" t="str">
        <f>IF(OR(Registro_Compras!$C$388="",Registro_Compras!$O$388="",Registro_Compras!$Y$388="",Registro_Compras!$F$388="NOTA DE CREDITO"),"","4212")</f>
        <v/>
      </c>
      <c r="D3468" t="str">
        <f>IF(OR(Registro_Compras!$C$388="",Registro_Compras!$O$388=""),"","Cuentas por Pagar Comerciales - Terceros")</f>
        <v/>
      </c>
      <c r="E3468" s="20" t="str">
        <f>IF($C3468="","",IF(Registro_Compras!$F$388="RHE",(ROUND(Registro_Compras!$L$388*Registro_Compras!$N$388,2)-ROUND(Registro_Compras!$V$388*Registro_Compras!$N$388,2)),ROUND(Registro_Compras!$O$388-Registro_Compras!$S$388,2)))</f>
        <v/>
      </c>
      <c r="F3468" s="20" t="str">
        <f>""</f>
        <v/>
      </c>
      <c r="G3468" t="str">
        <f>IF($C3468="","","Por la cancelacion del saldo al proveedor")</f>
        <v/>
      </c>
      <c r="H3468" t="str">
        <f>IF($C3468="","",Registro_Compras!$C$388)</f>
        <v/>
      </c>
    </row>
    <row r="3469" spans="1:8" x14ac:dyDescent="0.25">
      <c r="A3469" s="25" t="str">
        <f>IF($C3469="","",Registro_Compras!$Y$388)</f>
        <v/>
      </c>
      <c r="B3469" t="str">
        <f>IF($C3469="","","C"&amp;TEXT(INT((ROW()-5)/9)+1,"000")&amp;"-4")</f>
        <v/>
      </c>
      <c r="C3469" t="str">
        <f>IF(OR(Registro_Compras!$C$388="",Registro_Compras!$O$388="",Registro_Compras!$Y$388="",Registro_Compras!$F$388="NOTA DE CREDITO"),"","1041")</f>
        <v/>
      </c>
      <c r="D3469" t="str">
        <f>IF(OR(Registro_Compras!$C$388="",Registro_Compras!$O$388=""),"","Efectivo y Equivalentes - Cta. Cte. Operativa")</f>
        <v/>
      </c>
      <c r="E3469" s="20" t="str">
        <f>""</f>
        <v/>
      </c>
      <c r="F3469" s="20" t="str">
        <f>IF($C3469="","",IF(Registro_Compras!$F$388="RHE",(ROUND(Registro_Compras!$L$388*Registro_Compras!$N$388,2)-ROUND(Registro_Compras!$V$388*Registro_Compras!$N$388,2)),ROUND(Registro_Compras!$O$388-Registro_Compras!$S$388,2)))</f>
        <v/>
      </c>
      <c r="G3469" t="str">
        <f>IF($C3469="","","Por la cancelacion del saldo al proveedor")</f>
        <v/>
      </c>
      <c r="H3469" t="str">
        <f>IF($C3469="","",Registro_Compras!$C$388)</f>
        <v/>
      </c>
    </row>
    <row r="3470" spans="1:8" x14ac:dyDescent="0.25">
      <c r="A3470" s="25" t="str">
        <f>IF($C3470="","",Registro_Compras!$B$389)</f>
        <v/>
      </c>
      <c r="B3470" t="str">
        <f>IF($C3470="","","C"&amp;TEXT(INT((ROW()-5)/9)+1,"000")&amp;"-1")</f>
        <v/>
      </c>
      <c r="C3470" t="str">
        <f>IF(OR(Registro_Compras!$C$389="",Registro_Compras!$O$389=""),"",IF(Registro_Compras!$F$389="NOTA DE CREDITO","4212",IF(Registro_Compras!$M$389="","63",Registro_Compras!$M$389)))</f>
        <v/>
      </c>
      <c r="D3470" t="str">
        <f>IF(OR(Registro_Compras!$C$389="",Registro_Compras!$O$389=""),"",IF(Registro_Compras!$F$389="NOTA DE CREDITO","Cuentas por Pagar Comerciales - Terceros (Emitidas)",IF(Registro_Compras!$F$389="RHE","Honorarios Profesionales - Servicios de Terceros","Gastos de Servicios Prestados por Terceros")))</f>
        <v/>
      </c>
      <c r="E3470" s="20" t="str">
        <f>IF($C3470="","",IF(Registro_Compras!$F$389="NOTA DE CREDITO",ABS(Registro_Compras!$O$389),IF(Registro_Compras!$F$389="RHE",ROUND(Registro_Compras!$L$389*Registro_Compras!$N$389,2),ROUND(Registro_Compras!$J$389*Registro_Compras!$N$389,2))))</f>
        <v/>
      </c>
      <c r="F3470" s="20" t="str">
        <f>""</f>
        <v/>
      </c>
      <c r="G3470" t="str">
        <f>IF($C3470="","",IF(Registro_Compras!$F$389="NOTA DE CREDITO","Por la nota de credito "&amp;Registro_Compras!$C$389&amp;" de "&amp;Registro_Compras!$E$389&amp;" [PATRON POR CONFIRMAR CON CONTADOR]",IF(Registro_Compras!$F$389="RHE","Por el registro del recibo por honorarios "&amp;Registro_Compras!$C$389&amp;" de "&amp;Registro_Compras!$E$389&amp;" [PATRON POR CONFIRMAR CON CONTADOR]","Por el registro de la factura "&amp;Registro_Compras!$C$389&amp;" de "&amp;Registro_Compras!$E$389)))</f>
        <v/>
      </c>
      <c r="H3470" t="str">
        <f>IF($C3470="","",Registro_Compras!$C$389)</f>
        <v/>
      </c>
    </row>
    <row r="3471" spans="1:8" x14ac:dyDescent="0.25">
      <c r="A3471" s="25" t="str">
        <f>IF($C3471="","",Registro_Compras!$B$389)</f>
        <v/>
      </c>
      <c r="B3471" t="str">
        <f>IF($C3471="","","C"&amp;TEXT(INT((ROW()-5)/9)+1,"000")&amp;"-1")</f>
        <v/>
      </c>
      <c r="C3471" t="str">
        <f>IF(OR(Registro_Compras!$C$389="",Registro_Compras!$O$389=""),"",IF(Registro_Compras!$F$389="RHE",IF(Registro_Compras!$V$389=0,"","4017"),IF(Registro_Compras!$F$389="NOTA DE CREDITO",IF(Registro_Compras!$M$389="","63",Registro_Compras!$M$389),IF(Registro_Compras!$K$389=0,"","40111"))))</f>
        <v/>
      </c>
      <c r="D3471" t="str">
        <f>IF(OR(Registro_Compras!$C$389="",Registro_Compras!$O$389=""),"",IF(Registro_Compras!$F$389="RHE","Retencion Renta 4ta Categoria por Pagar",IF(Registro_Compras!$F$389="NOTA DE CREDITO","Gastos de Servicios Prestados por Terceros","IGV - Cuenta Propia (Credito Fiscal)")))</f>
        <v/>
      </c>
      <c r="E3471" s="20" t="str">
        <f>IF($C3471="","",IF(Registro_Compras!$F$389="FACTURA",ROUND(Registro_Compras!$K$389*Registro_Compras!$N$389,2),""))</f>
        <v/>
      </c>
      <c r="F3471" s="20" t="str">
        <f>IF($C3471="","",IF(Registro_Compras!$F$389="RHE",ROUND(Registro_Compras!$V$389*Registro_Compras!$N$389,2),IF(Registro_Compras!$F$389="NOTA DE CREDITO",ROUND(ABS(Registro_Compras!$J$389*Registro_Compras!$N$389),2),"")))</f>
        <v/>
      </c>
      <c r="G3471" t="str">
        <f>IF($C3471="","",IF(Registro_Compras!$F$389="NOTA DE CREDITO","Por la nota de credito "&amp;Registro_Compras!$C$389&amp;" de "&amp;Registro_Compras!$E$389&amp;" [PATRON POR CONFIRMAR CON CONTADOR]",IF(Registro_Compras!$F$389="RHE","Por el registro del recibo por honorarios "&amp;Registro_Compras!$C$389&amp;" de "&amp;Registro_Compras!$E$389&amp;" [PATRON POR CONFIRMAR CON CONTADOR]","Por el registro de la factura "&amp;Registro_Compras!$C$389&amp;" de "&amp;Registro_Compras!$E$389)))</f>
        <v/>
      </c>
      <c r="H3471" t="str">
        <f>IF($C3471="","",Registro_Compras!$C$389)</f>
        <v/>
      </c>
    </row>
    <row r="3472" spans="1:8" x14ac:dyDescent="0.25">
      <c r="A3472" s="25" t="str">
        <f>IF($C3472="","",Registro_Compras!$B$389)</f>
        <v/>
      </c>
      <c r="B3472" t="str">
        <f>IF($C3472="","","C"&amp;TEXT(INT((ROW()-5)/9)+1,"000")&amp;"-1")</f>
        <v/>
      </c>
      <c r="C3472" t="str">
        <f>IF(OR(Registro_Compras!$C$389="",Registro_Compras!$O$389=""),"",IF(Registro_Compras!$F$389="NOTA DE CREDITO",IF(Registro_Compras!$K$389=0,"","40111"),"4212"))</f>
        <v/>
      </c>
      <c r="D3472" t="str">
        <f>IF(OR(Registro_Compras!$C$389="",Registro_Compras!$O$389=""),"",IF(Registro_Compras!$F$389="NOTA DE CREDITO","IGV - Cuenta Propia (Credito Fiscal)","Cuentas por Pagar Comerciales - Terceros (Emitidas)"))</f>
        <v/>
      </c>
      <c r="E3472" s="20" t="str">
        <f>""</f>
        <v/>
      </c>
      <c r="F3472" s="20" t="str">
        <f>IF($C3472="","",IF(Registro_Compras!$F$389="NOTA DE CREDITO",ROUND(ABS(Registro_Compras!$K$389*Registro_Compras!$N$389),2),IF(Registro_Compras!$F$389="RHE",(ROUND(Registro_Compras!$L$389*Registro_Compras!$N$389,2)-ROUND(Registro_Compras!$V$389*Registro_Compras!$N$389,2)),Registro_Compras!$O$389)))</f>
        <v/>
      </c>
      <c r="G3472" t="str">
        <f>IF($C3472="","",IF(Registro_Compras!$F$389="NOTA DE CREDITO","Por la nota de credito "&amp;Registro_Compras!$C$389&amp;" de "&amp;Registro_Compras!$E$389&amp;" [PATRON POR CONFIRMAR CON CONTADOR]",IF(Registro_Compras!$F$389="RHE","Por el registro del recibo por honorarios "&amp;Registro_Compras!$C$389&amp;" de "&amp;Registro_Compras!$E$389&amp;" [PATRON POR CONFIRMAR CON CONTADOR]","Por el registro de la factura "&amp;Registro_Compras!$C$389&amp;" de "&amp;Registro_Compras!$E$389)))</f>
        <v/>
      </c>
      <c r="H3472" t="str">
        <f>IF($C3472="","",Registro_Compras!$C$389)</f>
        <v/>
      </c>
    </row>
    <row r="3473" spans="1:8" x14ac:dyDescent="0.25">
      <c r="A3473" s="25" t="str">
        <f>IF($C3473="","",Registro_Compras!$B$389)</f>
        <v/>
      </c>
      <c r="B3473" t="str">
        <f>IF($C3473="","","C"&amp;TEXT(INT((ROW()-5)/9)+1,"000")&amp;"-2")</f>
        <v/>
      </c>
      <c r="C3473" t="str">
        <f>IF(OR(Registro_Compras!$C$389="",Registro_Compras!$O$389=""),"",IF(Registro_Compras!$AB$389="ADMINISTRATIVO","94","95"))</f>
        <v/>
      </c>
      <c r="D3473" t="str">
        <f>IF(OR(Registro_Compras!$C$389="",Registro_Compras!$O$389=""),"",IF(Registro_Compras!$AB$389="ADMINISTRATIVO","Gastos Administrativos","Gastos de Venta y Operacion"))</f>
        <v/>
      </c>
      <c r="E3473" s="20" t="str">
        <f>IF($C3473="","",IF(Registro_Compras!$F$389="NOTA DE CREDITO","",IF(Registro_Compras!$F$389="RHE",ROUND(Registro_Compras!$L$389*Registro_Compras!$N$389,2),ROUND(Registro_Compras!$J$389*Registro_Compras!$N$389,2))))</f>
        <v/>
      </c>
      <c r="F3473" s="20" t="str">
        <f>IF($C3473="","",IF(Registro_Compras!$F$389="NOTA DE CREDITO",ROUND(ABS(Registro_Compras!$J$389*Registro_Compras!$N$389),2),""))</f>
        <v/>
      </c>
      <c r="G3473" t="str">
        <f>IF($C3473="","","Por el destino del gasto")</f>
        <v/>
      </c>
      <c r="H3473" t="str">
        <f>IF($C3473="","",Registro_Compras!$C$389)</f>
        <v/>
      </c>
    </row>
    <row r="3474" spans="1:8" x14ac:dyDescent="0.25">
      <c r="A3474" s="25" t="str">
        <f>IF($C3474="","",Registro_Compras!$B$389)</f>
        <v/>
      </c>
      <c r="B3474" t="str">
        <f>IF($C3474="","","C"&amp;TEXT(INT((ROW()-5)/9)+1,"000")&amp;"-2")</f>
        <v/>
      </c>
      <c r="C3474" t="str">
        <f>IF(OR(Registro_Compras!$C$389="",Registro_Compras!$O$389=""),"","79/791")</f>
        <v/>
      </c>
      <c r="D3474" t="str">
        <f>IF(OR(Registro_Compras!$C$389="",Registro_Compras!$O$389=""),"","Cargas Imputables a Cuentas de Costos y Gastos")</f>
        <v/>
      </c>
      <c r="E3474" s="20" t="str">
        <f>IF($C3474="","",IF(Registro_Compras!$F$389="NOTA DE CREDITO",ROUND(ABS(Registro_Compras!$J$389*Registro_Compras!$N$389),2),""))</f>
        <v/>
      </c>
      <c r="F3474" s="20" t="str">
        <f>IF($C3474="","",IF(Registro_Compras!$F$389="NOTA DE CREDITO","",IF(Registro_Compras!$F$389="RHE",ROUND(Registro_Compras!$L$389*Registro_Compras!$N$389,2),ROUND(Registro_Compras!$J$389*Registro_Compras!$N$389,2))))</f>
        <v/>
      </c>
      <c r="G3474" t="str">
        <f>IF($C3474="","","Por el destino del gasto")</f>
        <v/>
      </c>
      <c r="H3474" t="str">
        <f>IF($C3474="","",Registro_Compras!$C$389)</f>
        <v/>
      </c>
    </row>
    <row r="3475" spans="1:8" x14ac:dyDescent="0.25">
      <c r="A3475" s="25" t="str">
        <f>IF($C3475="","",Registro_Compras!$X$389)</f>
        <v/>
      </c>
      <c r="B3475" t="str">
        <f>IF($C3475="","","C"&amp;TEXT(INT((ROW()-5)/9)+1,"000")&amp;"-3")</f>
        <v/>
      </c>
      <c r="C3475" t="str">
        <f>IF(OR(Registro_Compras!$C$389="",Registro_Compras!$O$389="",Registro_Compras!$R$389&lt;&gt;"SI",Registro_Compras!$X$389=""),"","4212")</f>
        <v/>
      </c>
      <c r="D3475" t="str">
        <f>IF(OR(Registro_Compras!$C$389="",Registro_Compras!$O$389=""),"","Cuentas por Pagar Comerciales - Terceros")</f>
        <v/>
      </c>
      <c r="E3475" s="20" t="str">
        <f>IF($C3475="","",Registro_Compras!$S$389)</f>
        <v/>
      </c>
      <c r="F3475" s="20" t="str">
        <f>""</f>
        <v/>
      </c>
      <c r="G3475" t="str">
        <f>IF($C3475="","","Por el deposito de la detraccion en el Banco de la Nacion")</f>
        <v/>
      </c>
      <c r="H3475" t="str">
        <f>IF($C3475="","",Registro_Compras!$C$389)</f>
        <v/>
      </c>
    </row>
    <row r="3476" spans="1:8" x14ac:dyDescent="0.25">
      <c r="A3476" s="25" t="str">
        <f>IF($C3476="","",Registro_Compras!$X$389)</f>
        <v/>
      </c>
      <c r="B3476" t="str">
        <f>IF($C3476="","","C"&amp;TEXT(INT((ROW()-5)/9)+1,"000")&amp;"-3")</f>
        <v/>
      </c>
      <c r="C3476" t="str">
        <f>IF(OR(Registro_Compras!$C$389="",Registro_Compras!$O$389="",Registro_Compras!$R$389&lt;&gt;"SI",Registro_Compras!$X$389=""),"","1041")</f>
        <v/>
      </c>
      <c r="D3476" t="str">
        <f>IF(OR(Registro_Compras!$C$389="",Registro_Compras!$O$389=""),"","Efectivo y Equivalentes - Cta. Cte. Operativa")</f>
        <v/>
      </c>
      <c r="E3476" s="20" t="str">
        <f>""</f>
        <v/>
      </c>
      <c r="F3476" s="20" t="str">
        <f>IF($C3476="","",Registro_Compras!$S$389)</f>
        <v/>
      </c>
      <c r="G3476" t="str">
        <f>IF($C3476="","","Por el deposito de la detraccion en el Banco de la Nacion")</f>
        <v/>
      </c>
      <c r="H3476" t="str">
        <f>IF($C3476="","",Registro_Compras!$C$389)</f>
        <v/>
      </c>
    </row>
    <row r="3477" spans="1:8" x14ac:dyDescent="0.25">
      <c r="A3477" s="25" t="str">
        <f>IF($C3477="","",Registro_Compras!$Y$389)</f>
        <v/>
      </c>
      <c r="B3477" t="str">
        <f>IF($C3477="","","C"&amp;TEXT(INT((ROW()-5)/9)+1,"000")&amp;"-4")</f>
        <v/>
      </c>
      <c r="C3477" t="str">
        <f>IF(OR(Registro_Compras!$C$389="",Registro_Compras!$O$389="",Registro_Compras!$Y$389="",Registro_Compras!$F$389="NOTA DE CREDITO"),"","4212")</f>
        <v/>
      </c>
      <c r="D3477" t="str">
        <f>IF(OR(Registro_Compras!$C$389="",Registro_Compras!$O$389=""),"","Cuentas por Pagar Comerciales - Terceros")</f>
        <v/>
      </c>
      <c r="E3477" s="20" t="str">
        <f>IF($C3477="","",IF(Registro_Compras!$F$389="RHE",(ROUND(Registro_Compras!$L$389*Registro_Compras!$N$389,2)-ROUND(Registro_Compras!$V$389*Registro_Compras!$N$389,2)),ROUND(Registro_Compras!$O$389-Registro_Compras!$S$389,2)))</f>
        <v/>
      </c>
      <c r="F3477" s="20" t="str">
        <f>""</f>
        <v/>
      </c>
      <c r="G3477" t="str">
        <f>IF($C3477="","","Por la cancelacion del saldo al proveedor")</f>
        <v/>
      </c>
      <c r="H3477" t="str">
        <f>IF($C3477="","",Registro_Compras!$C$389)</f>
        <v/>
      </c>
    </row>
    <row r="3478" spans="1:8" x14ac:dyDescent="0.25">
      <c r="A3478" s="25" t="str">
        <f>IF($C3478="","",Registro_Compras!$Y$389)</f>
        <v/>
      </c>
      <c r="B3478" t="str">
        <f>IF($C3478="","","C"&amp;TEXT(INT((ROW()-5)/9)+1,"000")&amp;"-4")</f>
        <v/>
      </c>
      <c r="C3478" t="str">
        <f>IF(OR(Registro_Compras!$C$389="",Registro_Compras!$O$389="",Registro_Compras!$Y$389="",Registro_Compras!$F$389="NOTA DE CREDITO"),"","1041")</f>
        <v/>
      </c>
      <c r="D3478" t="str">
        <f>IF(OR(Registro_Compras!$C$389="",Registro_Compras!$O$389=""),"","Efectivo y Equivalentes - Cta. Cte. Operativa")</f>
        <v/>
      </c>
      <c r="E3478" s="20" t="str">
        <f>""</f>
        <v/>
      </c>
      <c r="F3478" s="20" t="str">
        <f>IF($C3478="","",IF(Registro_Compras!$F$389="RHE",(ROUND(Registro_Compras!$L$389*Registro_Compras!$N$389,2)-ROUND(Registro_Compras!$V$389*Registro_Compras!$N$389,2)),ROUND(Registro_Compras!$O$389-Registro_Compras!$S$389,2)))</f>
        <v/>
      </c>
      <c r="G3478" t="str">
        <f>IF($C3478="","","Por la cancelacion del saldo al proveedor")</f>
        <v/>
      </c>
      <c r="H3478" t="str">
        <f>IF($C3478="","",Registro_Compras!$C$389)</f>
        <v/>
      </c>
    </row>
    <row r="3479" spans="1:8" x14ac:dyDescent="0.25">
      <c r="A3479" s="25" t="str">
        <f>IF($C3479="","",Registro_Compras!$B$390)</f>
        <v/>
      </c>
      <c r="B3479" t="str">
        <f>IF($C3479="","","C"&amp;TEXT(INT((ROW()-5)/9)+1,"000")&amp;"-1")</f>
        <v/>
      </c>
      <c r="C3479" t="str">
        <f>IF(OR(Registro_Compras!$C$390="",Registro_Compras!$O$390=""),"",IF(Registro_Compras!$F$390="NOTA DE CREDITO","4212",IF(Registro_Compras!$M$390="","63",Registro_Compras!$M$390)))</f>
        <v/>
      </c>
      <c r="D3479" t="str">
        <f>IF(OR(Registro_Compras!$C$390="",Registro_Compras!$O$390=""),"",IF(Registro_Compras!$F$390="NOTA DE CREDITO","Cuentas por Pagar Comerciales - Terceros (Emitidas)",IF(Registro_Compras!$F$390="RHE","Honorarios Profesionales - Servicios de Terceros","Gastos de Servicios Prestados por Terceros")))</f>
        <v/>
      </c>
      <c r="E3479" s="20" t="str">
        <f>IF($C3479="","",IF(Registro_Compras!$F$390="NOTA DE CREDITO",ABS(Registro_Compras!$O$390),IF(Registro_Compras!$F$390="RHE",ROUND(Registro_Compras!$L$390*Registro_Compras!$N$390,2),ROUND(Registro_Compras!$J$390*Registro_Compras!$N$390,2))))</f>
        <v/>
      </c>
      <c r="F3479" s="20" t="str">
        <f>""</f>
        <v/>
      </c>
      <c r="G3479" t="str">
        <f>IF($C3479="","",IF(Registro_Compras!$F$390="NOTA DE CREDITO","Por la nota de credito "&amp;Registro_Compras!$C$390&amp;" de "&amp;Registro_Compras!$E$390&amp;" [PATRON POR CONFIRMAR CON CONTADOR]",IF(Registro_Compras!$F$390="RHE","Por el registro del recibo por honorarios "&amp;Registro_Compras!$C$390&amp;" de "&amp;Registro_Compras!$E$390&amp;" [PATRON POR CONFIRMAR CON CONTADOR]","Por el registro de la factura "&amp;Registro_Compras!$C$390&amp;" de "&amp;Registro_Compras!$E$390)))</f>
        <v/>
      </c>
      <c r="H3479" t="str">
        <f>IF($C3479="","",Registro_Compras!$C$390)</f>
        <v/>
      </c>
    </row>
    <row r="3480" spans="1:8" x14ac:dyDescent="0.25">
      <c r="A3480" s="25" t="str">
        <f>IF($C3480="","",Registro_Compras!$B$390)</f>
        <v/>
      </c>
      <c r="B3480" t="str">
        <f>IF($C3480="","","C"&amp;TEXT(INT((ROW()-5)/9)+1,"000")&amp;"-1")</f>
        <v/>
      </c>
      <c r="C3480" t="str">
        <f>IF(OR(Registro_Compras!$C$390="",Registro_Compras!$O$390=""),"",IF(Registro_Compras!$F$390="RHE",IF(Registro_Compras!$V$390=0,"","4017"),IF(Registro_Compras!$F$390="NOTA DE CREDITO",IF(Registro_Compras!$M$390="","63",Registro_Compras!$M$390),IF(Registro_Compras!$K$390=0,"","40111"))))</f>
        <v/>
      </c>
      <c r="D3480" t="str">
        <f>IF(OR(Registro_Compras!$C$390="",Registro_Compras!$O$390=""),"",IF(Registro_Compras!$F$390="RHE","Retencion Renta 4ta Categoria por Pagar",IF(Registro_Compras!$F$390="NOTA DE CREDITO","Gastos de Servicios Prestados por Terceros","IGV - Cuenta Propia (Credito Fiscal)")))</f>
        <v/>
      </c>
      <c r="E3480" s="20" t="str">
        <f>IF($C3480="","",IF(Registro_Compras!$F$390="FACTURA",ROUND(Registro_Compras!$K$390*Registro_Compras!$N$390,2),""))</f>
        <v/>
      </c>
      <c r="F3480" s="20" t="str">
        <f>IF($C3480="","",IF(Registro_Compras!$F$390="RHE",ROUND(Registro_Compras!$V$390*Registro_Compras!$N$390,2),IF(Registro_Compras!$F$390="NOTA DE CREDITO",ROUND(ABS(Registro_Compras!$J$390*Registro_Compras!$N$390),2),"")))</f>
        <v/>
      </c>
      <c r="G3480" t="str">
        <f>IF($C3480="","",IF(Registro_Compras!$F$390="NOTA DE CREDITO","Por la nota de credito "&amp;Registro_Compras!$C$390&amp;" de "&amp;Registro_Compras!$E$390&amp;" [PATRON POR CONFIRMAR CON CONTADOR]",IF(Registro_Compras!$F$390="RHE","Por el registro del recibo por honorarios "&amp;Registro_Compras!$C$390&amp;" de "&amp;Registro_Compras!$E$390&amp;" [PATRON POR CONFIRMAR CON CONTADOR]","Por el registro de la factura "&amp;Registro_Compras!$C$390&amp;" de "&amp;Registro_Compras!$E$390)))</f>
        <v/>
      </c>
      <c r="H3480" t="str">
        <f>IF($C3480="","",Registro_Compras!$C$390)</f>
        <v/>
      </c>
    </row>
    <row r="3481" spans="1:8" x14ac:dyDescent="0.25">
      <c r="A3481" s="25" t="str">
        <f>IF($C3481="","",Registro_Compras!$B$390)</f>
        <v/>
      </c>
      <c r="B3481" t="str">
        <f>IF($C3481="","","C"&amp;TEXT(INT((ROW()-5)/9)+1,"000")&amp;"-1")</f>
        <v/>
      </c>
      <c r="C3481" t="str">
        <f>IF(OR(Registro_Compras!$C$390="",Registro_Compras!$O$390=""),"",IF(Registro_Compras!$F$390="NOTA DE CREDITO",IF(Registro_Compras!$K$390=0,"","40111"),"4212"))</f>
        <v/>
      </c>
      <c r="D3481" t="str">
        <f>IF(OR(Registro_Compras!$C$390="",Registro_Compras!$O$390=""),"",IF(Registro_Compras!$F$390="NOTA DE CREDITO","IGV - Cuenta Propia (Credito Fiscal)","Cuentas por Pagar Comerciales - Terceros (Emitidas)"))</f>
        <v/>
      </c>
      <c r="E3481" s="20" t="str">
        <f>""</f>
        <v/>
      </c>
      <c r="F3481" s="20" t="str">
        <f>IF($C3481="","",IF(Registro_Compras!$F$390="NOTA DE CREDITO",ROUND(ABS(Registro_Compras!$K$390*Registro_Compras!$N$390),2),IF(Registro_Compras!$F$390="RHE",(ROUND(Registro_Compras!$L$390*Registro_Compras!$N$390,2)-ROUND(Registro_Compras!$V$390*Registro_Compras!$N$390,2)),Registro_Compras!$O$390)))</f>
        <v/>
      </c>
      <c r="G3481" t="str">
        <f>IF($C3481="","",IF(Registro_Compras!$F$390="NOTA DE CREDITO","Por la nota de credito "&amp;Registro_Compras!$C$390&amp;" de "&amp;Registro_Compras!$E$390&amp;" [PATRON POR CONFIRMAR CON CONTADOR]",IF(Registro_Compras!$F$390="RHE","Por el registro del recibo por honorarios "&amp;Registro_Compras!$C$390&amp;" de "&amp;Registro_Compras!$E$390&amp;" [PATRON POR CONFIRMAR CON CONTADOR]","Por el registro de la factura "&amp;Registro_Compras!$C$390&amp;" de "&amp;Registro_Compras!$E$390)))</f>
        <v/>
      </c>
      <c r="H3481" t="str">
        <f>IF($C3481="","",Registro_Compras!$C$390)</f>
        <v/>
      </c>
    </row>
    <row r="3482" spans="1:8" x14ac:dyDescent="0.25">
      <c r="A3482" s="25" t="str">
        <f>IF($C3482="","",Registro_Compras!$B$390)</f>
        <v/>
      </c>
      <c r="B3482" t="str">
        <f>IF($C3482="","","C"&amp;TEXT(INT((ROW()-5)/9)+1,"000")&amp;"-2")</f>
        <v/>
      </c>
      <c r="C3482" t="str">
        <f>IF(OR(Registro_Compras!$C$390="",Registro_Compras!$O$390=""),"",IF(Registro_Compras!$AB$390="ADMINISTRATIVO","94","95"))</f>
        <v/>
      </c>
      <c r="D3482" t="str">
        <f>IF(OR(Registro_Compras!$C$390="",Registro_Compras!$O$390=""),"",IF(Registro_Compras!$AB$390="ADMINISTRATIVO","Gastos Administrativos","Gastos de Venta y Operacion"))</f>
        <v/>
      </c>
      <c r="E3482" s="20" t="str">
        <f>IF($C3482="","",IF(Registro_Compras!$F$390="NOTA DE CREDITO","",IF(Registro_Compras!$F$390="RHE",ROUND(Registro_Compras!$L$390*Registro_Compras!$N$390,2),ROUND(Registro_Compras!$J$390*Registro_Compras!$N$390,2))))</f>
        <v/>
      </c>
      <c r="F3482" s="20" t="str">
        <f>IF($C3482="","",IF(Registro_Compras!$F$390="NOTA DE CREDITO",ROUND(ABS(Registro_Compras!$J$390*Registro_Compras!$N$390),2),""))</f>
        <v/>
      </c>
      <c r="G3482" t="str">
        <f>IF($C3482="","","Por el destino del gasto")</f>
        <v/>
      </c>
      <c r="H3482" t="str">
        <f>IF($C3482="","",Registro_Compras!$C$390)</f>
        <v/>
      </c>
    </row>
    <row r="3483" spans="1:8" x14ac:dyDescent="0.25">
      <c r="A3483" s="25" t="str">
        <f>IF($C3483="","",Registro_Compras!$B$390)</f>
        <v/>
      </c>
      <c r="B3483" t="str">
        <f>IF($C3483="","","C"&amp;TEXT(INT((ROW()-5)/9)+1,"000")&amp;"-2")</f>
        <v/>
      </c>
      <c r="C3483" t="str">
        <f>IF(OR(Registro_Compras!$C$390="",Registro_Compras!$O$390=""),"","79/791")</f>
        <v/>
      </c>
      <c r="D3483" t="str">
        <f>IF(OR(Registro_Compras!$C$390="",Registro_Compras!$O$390=""),"","Cargas Imputables a Cuentas de Costos y Gastos")</f>
        <v/>
      </c>
      <c r="E3483" s="20" t="str">
        <f>IF($C3483="","",IF(Registro_Compras!$F$390="NOTA DE CREDITO",ROUND(ABS(Registro_Compras!$J$390*Registro_Compras!$N$390),2),""))</f>
        <v/>
      </c>
      <c r="F3483" s="20" t="str">
        <f>IF($C3483="","",IF(Registro_Compras!$F$390="NOTA DE CREDITO","",IF(Registro_Compras!$F$390="RHE",ROUND(Registro_Compras!$L$390*Registro_Compras!$N$390,2),ROUND(Registro_Compras!$J$390*Registro_Compras!$N$390,2))))</f>
        <v/>
      </c>
      <c r="G3483" t="str">
        <f>IF($C3483="","","Por el destino del gasto")</f>
        <v/>
      </c>
      <c r="H3483" t="str">
        <f>IF($C3483="","",Registro_Compras!$C$390)</f>
        <v/>
      </c>
    </row>
    <row r="3484" spans="1:8" x14ac:dyDescent="0.25">
      <c r="A3484" s="25" t="str">
        <f>IF($C3484="","",Registro_Compras!$X$390)</f>
        <v/>
      </c>
      <c r="B3484" t="str">
        <f>IF($C3484="","","C"&amp;TEXT(INT((ROW()-5)/9)+1,"000")&amp;"-3")</f>
        <v/>
      </c>
      <c r="C3484" t="str">
        <f>IF(OR(Registro_Compras!$C$390="",Registro_Compras!$O$390="",Registro_Compras!$R$390&lt;&gt;"SI",Registro_Compras!$X$390=""),"","4212")</f>
        <v/>
      </c>
      <c r="D3484" t="str">
        <f>IF(OR(Registro_Compras!$C$390="",Registro_Compras!$O$390=""),"","Cuentas por Pagar Comerciales - Terceros")</f>
        <v/>
      </c>
      <c r="E3484" s="20" t="str">
        <f>IF($C3484="","",Registro_Compras!$S$390)</f>
        <v/>
      </c>
      <c r="F3484" s="20" t="str">
        <f>""</f>
        <v/>
      </c>
      <c r="G3484" t="str">
        <f>IF($C3484="","","Por el deposito de la detraccion en el Banco de la Nacion")</f>
        <v/>
      </c>
      <c r="H3484" t="str">
        <f>IF($C3484="","",Registro_Compras!$C$390)</f>
        <v/>
      </c>
    </row>
    <row r="3485" spans="1:8" x14ac:dyDescent="0.25">
      <c r="A3485" s="25" t="str">
        <f>IF($C3485="","",Registro_Compras!$X$390)</f>
        <v/>
      </c>
      <c r="B3485" t="str">
        <f>IF($C3485="","","C"&amp;TEXT(INT((ROW()-5)/9)+1,"000")&amp;"-3")</f>
        <v/>
      </c>
      <c r="C3485" t="str">
        <f>IF(OR(Registro_Compras!$C$390="",Registro_Compras!$O$390="",Registro_Compras!$R$390&lt;&gt;"SI",Registro_Compras!$X$390=""),"","1041")</f>
        <v/>
      </c>
      <c r="D3485" t="str">
        <f>IF(OR(Registro_Compras!$C$390="",Registro_Compras!$O$390=""),"","Efectivo y Equivalentes - Cta. Cte. Operativa")</f>
        <v/>
      </c>
      <c r="E3485" s="20" t="str">
        <f>""</f>
        <v/>
      </c>
      <c r="F3485" s="20" t="str">
        <f>IF($C3485="","",Registro_Compras!$S$390)</f>
        <v/>
      </c>
      <c r="G3485" t="str">
        <f>IF($C3485="","","Por el deposito de la detraccion en el Banco de la Nacion")</f>
        <v/>
      </c>
      <c r="H3485" t="str">
        <f>IF($C3485="","",Registro_Compras!$C$390)</f>
        <v/>
      </c>
    </row>
    <row r="3486" spans="1:8" x14ac:dyDescent="0.25">
      <c r="A3486" s="25" t="str">
        <f>IF($C3486="","",Registro_Compras!$Y$390)</f>
        <v/>
      </c>
      <c r="B3486" t="str">
        <f>IF($C3486="","","C"&amp;TEXT(INT((ROW()-5)/9)+1,"000")&amp;"-4")</f>
        <v/>
      </c>
      <c r="C3486" t="str">
        <f>IF(OR(Registro_Compras!$C$390="",Registro_Compras!$O$390="",Registro_Compras!$Y$390="",Registro_Compras!$F$390="NOTA DE CREDITO"),"","4212")</f>
        <v/>
      </c>
      <c r="D3486" t="str">
        <f>IF(OR(Registro_Compras!$C$390="",Registro_Compras!$O$390=""),"","Cuentas por Pagar Comerciales - Terceros")</f>
        <v/>
      </c>
      <c r="E3486" s="20" t="str">
        <f>IF($C3486="","",IF(Registro_Compras!$F$390="RHE",(ROUND(Registro_Compras!$L$390*Registro_Compras!$N$390,2)-ROUND(Registro_Compras!$V$390*Registro_Compras!$N$390,2)),ROUND(Registro_Compras!$O$390-Registro_Compras!$S$390,2)))</f>
        <v/>
      </c>
      <c r="F3486" s="20" t="str">
        <f>""</f>
        <v/>
      </c>
      <c r="G3486" t="str">
        <f>IF($C3486="","","Por la cancelacion del saldo al proveedor")</f>
        <v/>
      </c>
      <c r="H3486" t="str">
        <f>IF($C3486="","",Registro_Compras!$C$390)</f>
        <v/>
      </c>
    </row>
    <row r="3487" spans="1:8" x14ac:dyDescent="0.25">
      <c r="A3487" s="25" t="str">
        <f>IF($C3487="","",Registro_Compras!$Y$390)</f>
        <v/>
      </c>
      <c r="B3487" t="str">
        <f>IF($C3487="","","C"&amp;TEXT(INT((ROW()-5)/9)+1,"000")&amp;"-4")</f>
        <v/>
      </c>
      <c r="C3487" t="str">
        <f>IF(OR(Registro_Compras!$C$390="",Registro_Compras!$O$390="",Registro_Compras!$Y$390="",Registro_Compras!$F$390="NOTA DE CREDITO"),"","1041")</f>
        <v/>
      </c>
      <c r="D3487" t="str">
        <f>IF(OR(Registro_Compras!$C$390="",Registro_Compras!$O$390=""),"","Efectivo y Equivalentes - Cta. Cte. Operativa")</f>
        <v/>
      </c>
      <c r="E3487" s="20" t="str">
        <f>""</f>
        <v/>
      </c>
      <c r="F3487" s="20" t="str">
        <f>IF($C3487="","",IF(Registro_Compras!$F$390="RHE",(ROUND(Registro_Compras!$L$390*Registro_Compras!$N$390,2)-ROUND(Registro_Compras!$V$390*Registro_Compras!$N$390,2)),ROUND(Registro_Compras!$O$390-Registro_Compras!$S$390,2)))</f>
        <v/>
      </c>
      <c r="G3487" t="str">
        <f>IF($C3487="","","Por la cancelacion del saldo al proveedor")</f>
        <v/>
      </c>
      <c r="H3487" t="str">
        <f>IF($C3487="","",Registro_Compras!$C$390)</f>
        <v/>
      </c>
    </row>
    <row r="3488" spans="1:8" x14ac:dyDescent="0.25">
      <c r="A3488" s="25" t="str">
        <f>IF($C3488="","",Registro_Compras!$B$391)</f>
        <v/>
      </c>
      <c r="B3488" t="str">
        <f>IF($C3488="","","C"&amp;TEXT(INT((ROW()-5)/9)+1,"000")&amp;"-1")</f>
        <v/>
      </c>
      <c r="C3488" t="str">
        <f>IF(OR(Registro_Compras!$C$391="",Registro_Compras!$O$391=""),"",IF(Registro_Compras!$F$391="NOTA DE CREDITO","4212",IF(Registro_Compras!$M$391="","63",Registro_Compras!$M$391)))</f>
        <v/>
      </c>
      <c r="D3488" t="str">
        <f>IF(OR(Registro_Compras!$C$391="",Registro_Compras!$O$391=""),"",IF(Registro_Compras!$F$391="NOTA DE CREDITO","Cuentas por Pagar Comerciales - Terceros (Emitidas)",IF(Registro_Compras!$F$391="RHE","Honorarios Profesionales - Servicios de Terceros","Gastos de Servicios Prestados por Terceros")))</f>
        <v/>
      </c>
      <c r="E3488" s="20" t="str">
        <f>IF($C3488="","",IF(Registro_Compras!$F$391="NOTA DE CREDITO",ABS(Registro_Compras!$O$391),IF(Registro_Compras!$F$391="RHE",ROUND(Registro_Compras!$L$391*Registro_Compras!$N$391,2),ROUND(Registro_Compras!$J$391*Registro_Compras!$N$391,2))))</f>
        <v/>
      </c>
      <c r="F3488" s="20" t="str">
        <f>""</f>
        <v/>
      </c>
      <c r="G3488" t="str">
        <f>IF($C3488="","",IF(Registro_Compras!$F$391="NOTA DE CREDITO","Por la nota de credito "&amp;Registro_Compras!$C$391&amp;" de "&amp;Registro_Compras!$E$391&amp;" [PATRON POR CONFIRMAR CON CONTADOR]",IF(Registro_Compras!$F$391="RHE","Por el registro del recibo por honorarios "&amp;Registro_Compras!$C$391&amp;" de "&amp;Registro_Compras!$E$391&amp;" [PATRON POR CONFIRMAR CON CONTADOR]","Por el registro de la factura "&amp;Registro_Compras!$C$391&amp;" de "&amp;Registro_Compras!$E$391)))</f>
        <v/>
      </c>
      <c r="H3488" t="str">
        <f>IF($C3488="","",Registro_Compras!$C$391)</f>
        <v/>
      </c>
    </row>
    <row r="3489" spans="1:8" x14ac:dyDescent="0.25">
      <c r="A3489" s="25" t="str">
        <f>IF($C3489="","",Registro_Compras!$B$391)</f>
        <v/>
      </c>
      <c r="B3489" t="str">
        <f>IF($C3489="","","C"&amp;TEXT(INT((ROW()-5)/9)+1,"000")&amp;"-1")</f>
        <v/>
      </c>
      <c r="C3489" t="str">
        <f>IF(OR(Registro_Compras!$C$391="",Registro_Compras!$O$391=""),"",IF(Registro_Compras!$F$391="RHE",IF(Registro_Compras!$V$391=0,"","4017"),IF(Registro_Compras!$F$391="NOTA DE CREDITO",IF(Registro_Compras!$M$391="","63",Registro_Compras!$M$391),IF(Registro_Compras!$K$391=0,"","40111"))))</f>
        <v/>
      </c>
      <c r="D3489" t="str">
        <f>IF(OR(Registro_Compras!$C$391="",Registro_Compras!$O$391=""),"",IF(Registro_Compras!$F$391="RHE","Retencion Renta 4ta Categoria por Pagar",IF(Registro_Compras!$F$391="NOTA DE CREDITO","Gastos de Servicios Prestados por Terceros","IGV - Cuenta Propia (Credito Fiscal)")))</f>
        <v/>
      </c>
      <c r="E3489" s="20" t="str">
        <f>IF($C3489="","",IF(Registro_Compras!$F$391="FACTURA",ROUND(Registro_Compras!$K$391*Registro_Compras!$N$391,2),""))</f>
        <v/>
      </c>
      <c r="F3489" s="20" t="str">
        <f>IF($C3489="","",IF(Registro_Compras!$F$391="RHE",ROUND(Registro_Compras!$V$391*Registro_Compras!$N$391,2),IF(Registro_Compras!$F$391="NOTA DE CREDITO",ROUND(ABS(Registro_Compras!$J$391*Registro_Compras!$N$391),2),"")))</f>
        <v/>
      </c>
      <c r="G3489" t="str">
        <f>IF($C3489="","",IF(Registro_Compras!$F$391="NOTA DE CREDITO","Por la nota de credito "&amp;Registro_Compras!$C$391&amp;" de "&amp;Registro_Compras!$E$391&amp;" [PATRON POR CONFIRMAR CON CONTADOR]",IF(Registro_Compras!$F$391="RHE","Por el registro del recibo por honorarios "&amp;Registro_Compras!$C$391&amp;" de "&amp;Registro_Compras!$E$391&amp;" [PATRON POR CONFIRMAR CON CONTADOR]","Por el registro de la factura "&amp;Registro_Compras!$C$391&amp;" de "&amp;Registro_Compras!$E$391)))</f>
        <v/>
      </c>
      <c r="H3489" t="str">
        <f>IF($C3489="","",Registro_Compras!$C$391)</f>
        <v/>
      </c>
    </row>
    <row r="3490" spans="1:8" x14ac:dyDescent="0.25">
      <c r="A3490" s="25" t="str">
        <f>IF($C3490="","",Registro_Compras!$B$391)</f>
        <v/>
      </c>
      <c r="B3490" t="str">
        <f>IF($C3490="","","C"&amp;TEXT(INT((ROW()-5)/9)+1,"000")&amp;"-1")</f>
        <v/>
      </c>
      <c r="C3490" t="str">
        <f>IF(OR(Registro_Compras!$C$391="",Registro_Compras!$O$391=""),"",IF(Registro_Compras!$F$391="NOTA DE CREDITO",IF(Registro_Compras!$K$391=0,"","40111"),"4212"))</f>
        <v/>
      </c>
      <c r="D3490" t="str">
        <f>IF(OR(Registro_Compras!$C$391="",Registro_Compras!$O$391=""),"",IF(Registro_Compras!$F$391="NOTA DE CREDITO","IGV - Cuenta Propia (Credito Fiscal)","Cuentas por Pagar Comerciales - Terceros (Emitidas)"))</f>
        <v/>
      </c>
      <c r="E3490" s="20" t="str">
        <f>""</f>
        <v/>
      </c>
      <c r="F3490" s="20" t="str">
        <f>IF($C3490="","",IF(Registro_Compras!$F$391="NOTA DE CREDITO",ROUND(ABS(Registro_Compras!$K$391*Registro_Compras!$N$391),2),IF(Registro_Compras!$F$391="RHE",(ROUND(Registro_Compras!$L$391*Registro_Compras!$N$391,2)-ROUND(Registro_Compras!$V$391*Registro_Compras!$N$391,2)),Registro_Compras!$O$391)))</f>
        <v/>
      </c>
      <c r="G3490" t="str">
        <f>IF($C3490="","",IF(Registro_Compras!$F$391="NOTA DE CREDITO","Por la nota de credito "&amp;Registro_Compras!$C$391&amp;" de "&amp;Registro_Compras!$E$391&amp;" [PATRON POR CONFIRMAR CON CONTADOR]",IF(Registro_Compras!$F$391="RHE","Por el registro del recibo por honorarios "&amp;Registro_Compras!$C$391&amp;" de "&amp;Registro_Compras!$E$391&amp;" [PATRON POR CONFIRMAR CON CONTADOR]","Por el registro de la factura "&amp;Registro_Compras!$C$391&amp;" de "&amp;Registro_Compras!$E$391)))</f>
        <v/>
      </c>
      <c r="H3490" t="str">
        <f>IF($C3490="","",Registro_Compras!$C$391)</f>
        <v/>
      </c>
    </row>
    <row r="3491" spans="1:8" x14ac:dyDescent="0.25">
      <c r="A3491" s="25" t="str">
        <f>IF($C3491="","",Registro_Compras!$B$391)</f>
        <v/>
      </c>
      <c r="B3491" t="str">
        <f>IF($C3491="","","C"&amp;TEXT(INT((ROW()-5)/9)+1,"000")&amp;"-2")</f>
        <v/>
      </c>
      <c r="C3491" t="str">
        <f>IF(OR(Registro_Compras!$C$391="",Registro_Compras!$O$391=""),"",IF(Registro_Compras!$AB$391="ADMINISTRATIVO","94","95"))</f>
        <v/>
      </c>
      <c r="D3491" t="str">
        <f>IF(OR(Registro_Compras!$C$391="",Registro_Compras!$O$391=""),"",IF(Registro_Compras!$AB$391="ADMINISTRATIVO","Gastos Administrativos","Gastos de Venta y Operacion"))</f>
        <v/>
      </c>
      <c r="E3491" s="20" t="str">
        <f>IF($C3491="","",IF(Registro_Compras!$F$391="NOTA DE CREDITO","",IF(Registro_Compras!$F$391="RHE",ROUND(Registro_Compras!$L$391*Registro_Compras!$N$391,2),ROUND(Registro_Compras!$J$391*Registro_Compras!$N$391,2))))</f>
        <v/>
      </c>
      <c r="F3491" s="20" t="str">
        <f>IF($C3491="","",IF(Registro_Compras!$F$391="NOTA DE CREDITO",ROUND(ABS(Registro_Compras!$J$391*Registro_Compras!$N$391),2),""))</f>
        <v/>
      </c>
      <c r="G3491" t="str">
        <f>IF($C3491="","","Por el destino del gasto")</f>
        <v/>
      </c>
      <c r="H3491" t="str">
        <f>IF($C3491="","",Registro_Compras!$C$391)</f>
        <v/>
      </c>
    </row>
    <row r="3492" spans="1:8" x14ac:dyDescent="0.25">
      <c r="A3492" s="25" t="str">
        <f>IF($C3492="","",Registro_Compras!$B$391)</f>
        <v/>
      </c>
      <c r="B3492" t="str">
        <f>IF($C3492="","","C"&amp;TEXT(INT((ROW()-5)/9)+1,"000")&amp;"-2")</f>
        <v/>
      </c>
      <c r="C3492" t="str">
        <f>IF(OR(Registro_Compras!$C$391="",Registro_Compras!$O$391=""),"","79/791")</f>
        <v/>
      </c>
      <c r="D3492" t="str">
        <f>IF(OR(Registro_Compras!$C$391="",Registro_Compras!$O$391=""),"","Cargas Imputables a Cuentas de Costos y Gastos")</f>
        <v/>
      </c>
      <c r="E3492" s="20" t="str">
        <f>IF($C3492="","",IF(Registro_Compras!$F$391="NOTA DE CREDITO",ROUND(ABS(Registro_Compras!$J$391*Registro_Compras!$N$391),2),""))</f>
        <v/>
      </c>
      <c r="F3492" s="20" t="str">
        <f>IF($C3492="","",IF(Registro_Compras!$F$391="NOTA DE CREDITO","",IF(Registro_Compras!$F$391="RHE",ROUND(Registro_Compras!$L$391*Registro_Compras!$N$391,2),ROUND(Registro_Compras!$J$391*Registro_Compras!$N$391,2))))</f>
        <v/>
      </c>
      <c r="G3492" t="str">
        <f>IF($C3492="","","Por el destino del gasto")</f>
        <v/>
      </c>
      <c r="H3492" t="str">
        <f>IF($C3492="","",Registro_Compras!$C$391)</f>
        <v/>
      </c>
    </row>
    <row r="3493" spans="1:8" x14ac:dyDescent="0.25">
      <c r="A3493" s="25" t="str">
        <f>IF($C3493="","",Registro_Compras!$X$391)</f>
        <v/>
      </c>
      <c r="B3493" t="str">
        <f>IF($C3493="","","C"&amp;TEXT(INT((ROW()-5)/9)+1,"000")&amp;"-3")</f>
        <v/>
      </c>
      <c r="C3493" t="str">
        <f>IF(OR(Registro_Compras!$C$391="",Registro_Compras!$O$391="",Registro_Compras!$R$391&lt;&gt;"SI",Registro_Compras!$X$391=""),"","4212")</f>
        <v/>
      </c>
      <c r="D3493" t="str">
        <f>IF(OR(Registro_Compras!$C$391="",Registro_Compras!$O$391=""),"","Cuentas por Pagar Comerciales - Terceros")</f>
        <v/>
      </c>
      <c r="E3493" s="20" t="str">
        <f>IF($C3493="","",Registro_Compras!$S$391)</f>
        <v/>
      </c>
      <c r="F3493" s="20" t="str">
        <f>""</f>
        <v/>
      </c>
      <c r="G3493" t="str">
        <f>IF($C3493="","","Por el deposito de la detraccion en el Banco de la Nacion")</f>
        <v/>
      </c>
      <c r="H3493" t="str">
        <f>IF($C3493="","",Registro_Compras!$C$391)</f>
        <v/>
      </c>
    </row>
    <row r="3494" spans="1:8" x14ac:dyDescent="0.25">
      <c r="A3494" s="25" t="str">
        <f>IF($C3494="","",Registro_Compras!$X$391)</f>
        <v/>
      </c>
      <c r="B3494" t="str">
        <f>IF($C3494="","","C"&amp;TEXT(INT((ROW()-5)/9)+1,"000")&amp;"-3")</f>
        <v/>
      </c>
      <c r="C3494" t="str">
        <f>IF(OR(Registro_Compras!$C$391="",Registro_Compras!$O$391="",Registro_Compras!$R$391&lt;&gt;"SI",Registro_Compras!$X$391=""),"","1041")</f>
        <v/>
      </c>
      <c r="D3494" t="str">
        <f>IF(OR(Registro_Compras!$C$391="",Registro_Compras!$O$391=""),"","Efectivo y Equivalentes - Cta. Cte. Operativa")</f>
        <v/>
      </c>
      <c r="E3494" s="20" t="str">
        <f>""</f>
        <v/>
      </c>
      <c r="F3494" s="20" t="str">
        <f>IF($C3494="","",Registro_Compras!$S$391)</f>
        <v/>
      </c>
      <c r="G3494" t="str">
        <f>IF($C3494="","","Por el deposito de la detraccion en el Banco de la Nacion")</f>
        <v/>
      </c>
      <c r="H3494" t="str">
        <f>IF($C3494="","",Registro_Compras!$C$391)</f>
        <v/>
      </c>
    </row>
    <row r="3495" spans="1:8" x14ac:dyDescent="0.25">
      <c r="A3495" s="25" t="str">
        <f>IF($C3495="","",Registro_Compras!$Y$391)</f>
        <v/>
      </c>
      <c r="B3495" t="str">
        <f>IF($C3495="","","C"&amp;TEXT(INT((ROW()-5)/9)+1,"000")&amp;"-4")</f>
        <v/>
      </c>
      <c r="C3495" t="str">
        <f>IF(OR(Registro_Compras!$C$391="",Registro_Compras!$O$391="",Registro_Compras!$Y$391="",Registro_Compras!$F$391="NOTA DE CREDITO"),"","4212")</f>
        <v/>
      </c>
      <c r="D3495" t="str">
        <f>IF(OR(Registro_Compras!$C$391="",Registro_Compras!$O$391=""),"","Cuentas por Pagar Comerciales - Terceros")</f>
        <v/>
      </c>
      <c r="E3495" s="20" t="str">
        <f>IF($C3495="","",IF(Registro_Compras!$F$391="RHE",(ROUND(Registro_Compras!$L$391*Registro_Compras!$N$391,2)-ROUND(Registro_Compras!$V$391*Registro_Compras!$N$391,2)),ROUND(Registro_Compras!$O$391-Registro_Compras!$S$391,2)))</f>
        <v/>
      </c>
      <c r="F3495" s="20" t="str">
        <f>""</f>
        <v/>
      </c>
      <c r="G3495" t="str">
        <f>IF($C3495="","","Por la cancelacion del saldo al proveedor")</f>
        <v/>
      </c>
      <c r="H3495" t="str">
        <f>IF($C3495="","",Registro_Compras!$C$391)</f>
        <v/>
      </c>
    </row>
    <row r="3496" spans="1:8" x14ac:dyDescent="0.25">
      <c r="A3496" s="25" t="str">
        <f>IF($C3496="","",Registro_Compras!$Y$391)</f>
        <v/>
      </c>
      <c r="B3496" t="str">
        <f>IF($C3496="","","C"&amp;TEXT(INT((ROW()-5)/9)+1,"000")&amp;"-4")</f>
        <v/>
      </c>
      <c r="C3496" t="str">
        <f>IF(OR(Registro_Compras!$C$391="",Registro_Compras!$O$391="",Registro_Compras!$Y$391="",Registro_Compras!$F$391="NOTA DE CREDITO"),"","1041")</f>
        <v/>
      </c>
      <c r="D3496" t="str">
        <f>IF(OR(Registro_Compras!$C$391="",Registro_Compras!$O$391=""),"","Efectivo y Equivalentes - Cta. Cte. Operativa")</f>
        <v/>
      </c>
      <c r="E3496" s="20" t="str">
        <f>""</f>
        <v/>
      </c>
      <c r="F3496" s="20" t="str">
        <f>IF($C3496="","",IF(Registro_Compras!$F$391="RHE",(ROUND(Registro_Compras!$L$391*Registro_Compras!$N$391,2)-ROUND(Registro_Compras!$V$391*Registro_Compras!$N$391,2)),ROUND(Registro_Compras!$O$391-Registro_Compras!$S$391,2)))</f>
        <v/>
      </c>
      <c r="G3496" t="str">
        <f>IF($C3496="","","Por la cancelacion del saldo al proveedor")</f>
        <v/>
      </c>
      <c r="H3496" t="str">
        <f>IF($C3496="","",Registro_Compras!$C$391)</f>
        <v/>
      </c>
    </row>
    <row r="3497" spans="1:8" x14ac:dyDescent="0.25">
      <c r="A3497" s="25" t="str">
        <f>IF($C3497="","",Registro_Compras!$B$392)</f>
        <v/>
      </c>
      <c r="B3497" t="str">
        <f>IF($C3497="","","C"&amp;TEXT(INT((ROW()-5)/9)+1,"000")&amp;"-1")</f>
        <v/>
      </c>
      <c r="C3497" t="str">
        <f>IF(OR(Registro_Compras!$C$392="",Registro_Compras!$O$392=""),"",IF(Registro_Compras!$F$392="NOTA DE CREDITO","4212",IF(Registro_Compras!$M$392="","63",Registro_Compras!$M$392)))</f>
        <v/>
      </c>
      <c r="D3497" t="str">
        <f>IF(OR(Registro_Compras!$C$392="",Registro_Compras!$O$392=""),"",IF(Registro_Compras!$F$392="NOTA DE CREDITO","Cuentas por Pagar Comerciales - Terceros (Emitidas)",IF(Registro_Compras!$F$392="RHE","Honorarios Profesionales - Servicios de Terceros","Gastos de Servicios Prestados por Terceros")))</f>
        <v/>
      </c>
      <c r="E3497" s="20" t="str">
        <f>IF($C3497="","",IF(Registro_Compras!$F$392="NOTA DE CREDITO",ABS(Registro_Compras!$O$392),IF(Registro_Compras!$F$392="RHE",ROUND(Registro_Compras!$L$392*Registro_Compras!$N$392,2),ROUND(Registro_Compras!$J$392*Registro_Compras!$N$392,2))))</f>
        <v/>
      </c>
      <c r="F3497" s="20" t="str">
        <f>""</f>
        <v/>
      </c>
      <c r="G3497" t="str">
        <f>IF($C3497="","",IF(Registro_Compras!$F$392="NOTA DE CREDITO","Por la nota de credito "&amp;Registro_Compras!$C$392&amp;" de "&amp;Registro_Compras!$E$392&amp;" [PATRON POR CONFIRMAR CON CONTADOR]",IF(Registro_Compras!$F$392="RHE","Por el registro del recibo por honorarios "&amp;Registro_Compras!$C$392&amp;" de "&amp;Registro_Compras!$E$392&amp;" [PATRON POR CONFIRMAR CON CONTADOR]","Por el registro de la factura "&amp;Registro_Compras!$C$392&amp;" de "&amp;Registro_Compras!$E$392)))</f>
        <v/>
      </c>
      <c r="H3497" t="str">
        <f>IF($C3497="","",Registro_Compras!$C$392)</f>
        <v/>
      </c>
    </row>
    <row r="3498" spans="1:8" x14ac:dyDescent="0.25">
      <c r="A3498" s="25" t="str">
        <f>IF($C3498="","",Registro_Compras!$B$392)</f>
        <v/>
      </c>
      <c r="B3498" t="str">
        <f>IF($C3498="","","C"&amp;TEXT(INT((ROW()-5)/9)+1,"000")&amp;"-1")</f>
        <v/>
      </c>
      <c r="C3498" t="str">
        <f>IF(OR(Registro_Compras!$C$392="",Registro_Compras!$O$392=""),"",IF(Registro_Compras!$F$392="RHE",IF(Registro_Compras!$V$392=0,"","4017"),IF(Registro_Compras!$F$392="NOTA DE CREDITO",IF(Registro_Compras!$M$392="","63",Registro_Compras!$M$392),IF(Registro_Compras!$K$392=0,"","40111"))))</f>
        <v/>
      </c>
      <c r="D3498" t="str">
        <f>IF(OR(Registro_Compras!$C$392="",Registro_Compras!$O$392=""),"",IF(Registro_Compras!$F$392="RHE","Retencion Renta 4ta Categoria por Pagar",IF(Registro_Compras!$F$392="NOTA DE CREDITO","Gastos de Servicios Prestados por Terceros","IGV - Cuenta Propia (Credito Fiscal)")))</f>
        <v/>
      </c>
      <c r="E3498" s="20" t="str">
        <f>IF($C3498="","",IF(Registro_Compras!$F$392="FACTURA",ROUND(Registro_Compras!$K$392*Registro_Compras!$N$392,2),""))</f>
        <v/>
      </c>
      <c r="F3498" s="20" t="str">
        <f>IF($C3498="","",IF(Registro_Compras!$F$392="RHE",ROUND(Registro_Compras!$V$392*Registro_Compras!$N$392,2),IF(Registro_Compras!$F$392="NOTA DE CREDITO",ROUND(ABS(Registro_Compras!$J$392*Registro_Compras!$N$392),2),"")))</f>
        <v/>
      </c>
      <c r="G3498" t="str">
        <f>IF($C3498="","",IF(Registro_Compras!$F$392="NOTA DE CREDITO","Por la nota de credito "&amp;Registro_Compras!$C$392&amp;" de "&amp;Registro_Compras!$E$392&amp;" [PATRON POR CONFIRMAR CON CONTADOR]",IF(Registro_Compras!$F$392="RHE","Por el registro del recibo por honorarios "&amp;Registro_Compras!$C$392&amp;" de "&amp;Registro_Compras!$E$392&amp;" [PATRON POR CONFIRMAR CON CONTADOR]","Por el registro de la factura "&amp;Registro_Compras!$C$392&amp;" de "&amp;Registro_Compras!$E$392)))</f>
        <v/>
      </c>
      <c r="H3498" t="str">
        <f>IF($C3498="","",Registro_Compras!$C$392)</f>
        <v/>
      </c>
    </row>
    <row r="3499" spans="1:8" x14ac:dyDescent="0.25">
      <c r="A3499" s="25" t="str">
        <f>IF($C3499="","",Registro_Compras!$B$392)</f>
        <v/>
      </c>
      <c r="B3499" t="str">
        <f>IF($C3499="","","C"&amp;TEXT(INT((ROW()-5)/9)+1,"000")&amp;"-1")</f>
        <v/>
      </c>
      <c r="C3499" t="str">
        <f>IF(OR(Registro_Compras!$C$392="",Registro_Compras!$O$392=""),"",IF(Registro_Compras!$F$392="NOTA DE CREDITO",IF(Registro_Compras!$K$392=0,"","40111"),"4212"))</f>
        <v/>
      </c>
      <c r="D3499" t="str">
        <f>IF(OR(Registro_Compras!$C$392="",Registro_Compras!$O$392=""),"",IF(Registro_Compras!$F$392="NOTA DE CREDITO","IGV - Cuenta Propia (Credito Fiscal)","Cuentas por Pagar Comerciales - Terceros (Emitidas)"))</f>
        <v/>
      </c>
      <c r="E3499" s="20" t="str">
        <f>""</f>
        <v/>
      </c>
      <c r="F3499" s="20" t="str">
        <f>IF($C3499="","",IF(Registro_Compras!$F$392="NOTA DE CREDITO",ROUND(ABS(Registro_Compras!$K$392*Registro_Compras!$N$392),2),IF(Registro_Compras!$F$392="RHE",(ROUND(Registro_Compras!$L$392*Registro_Compras!$N$392,2)-ROUND(Registro_Compras!$V$392*Registro_Compras!$N$392,2)),Registro_Compras!$O$392)))</f>
        <v/>
      </c>
      <c r="G3499" t="str">
        <f>IF($C3499="","",IF(Registro_Compras!$F$392="NOTA DE CREDITO","Por la nota de credito "&amp;Registro_Compras!$C$392&amp;" de "&amp;Registro_Compras!$E$392&amp;" [PATRON POR CONFIRMAR CON CONTADOR]",IF(Registro_Compras!$F$392="RHE","Por el registro del recibo por honorarios "&amp;Registro_Compras!$C$392&amp;" de "&amp;Registro_Compras!$E$392&amp;" [PATRON POR CONFIRMAR CON CONTADOR]","Por el registro de la factura "&amp;Registro_Compras!$C$392&amp;" de "&amp;Registro_Compras!$E$392)))</f>
        <v/>
      </c>
      <c r="H3499" t="str">
        <f>IF($C3499="","",Registro_Compras!$C$392)</f>
        <v/>
      </c>
    </row>
    <row r="3500" spans="1:8" x14ac:dyDescent="0.25">
      <c r="A3500" s="25" t="str">
        <f>IF($C3500="","",Registro_Compras!$B$392)</f>
        <v/>
      </c>
      <c r="B3500" t="str">
        <f>IF($C3500="","","C"&amp;TEXT(INT((ROW()-5)/9)+1,"000")&amp;"-2")</f>
        <v/>
      </c>
      <c r="C3500" t="str">
        <f>IF(OR(Registro_Compras!$C$392="",Registro_Compras!$O$392=""),"",IF(Registro_Compras!$AB$392="ADMINISTRATIVO","94","95"))</f>
        <v/>
      </c>
      <c r="D3500" t="str">
        <f>IF(OR(Registro_Compras!$C$392="",Registro_Compras!$O$392=""),"",IF(Registro_Compras!$AB$392="ADMINISTRATIVO","Gastos Administrativos","Gastos de Venta y Operacion"))</f>
        <v/>
      </c>
      <c r="E3500" s="20" t="str">
        <f>IF($C3500="","",IF(Registro_Compras!$F$392="NOTA DE CREDITO","",IF(Registro_Compras!$F$392="RHE",ROUND(Registro_Compras!$L$392*Registro_Compras!$N$392,2),ROUND(Registro_Compras!$J$392*Registro_Compras!$N$392,2))))</f>
        <v/>
      </c>
      <c r="F3500" s="20" t="str">
        <f>IF($C3500="","",IF(Registro_Compras!$F$392="NOTA DE CREDITO",ROUND(ABS(Registro_Compras!$J$392*Registro_Compras!$N$392),2),""))</f>
        <v/>
      </c>
      <c r="G3500" t="str">
        <f>IF($C3500="","","Por el destino del gasto")</f>
        <v/>
      </c>
      <c r="H3500" t="str">
        <f>IF($C3500="","",Registro_Compras!$C$392)</f>
        <v/>
      </c>
    </row>
    <row r="3501" spans="1:8" x14ac:dyDescent="0.25">
      <c r="A3501" s="25" t="str">
        <f>IF($C3501="","",Registro_Compras!$B$392)</f>
        <v/>
      </c>
      <c r="B3501" t="str">
        <f>IF($C3501="","","C"&amp;TEXT(INT((ROW()-5)/9)+1,"000")&amp;"-2")</f>
        <v/>
      </c>
      <c r="C3501" t="str">
        <f>IF(OR(Registro_Compras!$C$392="",Registro_Compras!$O$392=""),"","79/791")</f>
        <v/>
      </c>
      <c r="D3501" t="str">
        <f>IF(OR(Registro_Compras!$C$392="",Registro_Compras!$O$392=""),"","Cargas Imputables a Cuentas de Costos y Gastos")</f>
        <v/>
      </c>
      <c r="E3501" s="20" t="str">
        <f>IF($C3501="","",IF(Registro_Compras!$F$392="NOTA DE CREDITO",ROUND(ABS(Registro_Compras!$J$392*Registro_Compras!$N$392),2),""))</f>
        <v/>
      </c>
      <c r="F3501" s="20" t="str">
        <f>IF($C3501="","",IF(Registro_Compras!$F$392="NOTA DE CREDITO","",IF(Registro_Compras!$F$392="RHE",ROUND(Registro_Compras!$L$392*Registro_Compras!$N$392,2),ROUND(Registro_Compras!$J$392*Registro_Compras!$N$392,2))))</f>
        <v/>
      </c>
      <c r="G3501" t="str">
        <f>IF($C3501="","","Por el destino del gasto")</f>
        <v/>
      </c>
      <c r="H3501" t="str">
        <f>IF($C3501="","",Registro_Compras!$C$392)</f>
        <v/>
      </c>
    </row>
    <row r="3502" spans="1:8" x14ac:dyDescent="0.25">
      <c r="A3502" s="25" t="str">
        <f>IF($C3502="","",Registro_Compras!$X$392)</f>
        <v/>
      </c>
      <c r="B3502" t="str">
        <f>IF($C3502="","","C"&amp;TEXT(INT((ROW()-5)/9)+1,"000")&amp;"-3")</f>
        <v/>
      </c>
      <c r="C3502" t="str">
        <f>IF(OR(Registro_Compras!$C$392="",Registro_Compras!$O$392="",Registro_Compras!$R$392&lt;&gt;"SI",Registro_Compras!$X$392=""),"","4212")</f>
        <v/>
      </c>
      <c r="D3502" t="str">
        <f>IF(OR(Registro_Compras!$C$392="",Registro_Compras!$O$392=""),"","Cuentas por Pagar Comerciales - Terceros")</f>
        <v/>
      </c>
      <c r="E3502" s="20" t="str">
        <f>IF($C3502="","",Registro_Compras!$S$392)</f>
        <v/>
      </c>
      <c r="F3502" s="20" t="str">
        <f>""</f>
        <v/>
      </c>
      <c r="G3502" t="str">
        <f>IF($C3502="","","Por el deposito de la detraccion en el Banco de la Nacion")</f>
        <v/>
      </c>
      <c r="H3502" t="str">
        <f>IF($C3502="","",Registro_Compras!$C$392)</f>
        <v/>
      </c>
    </row>
    <row r="3503" spans="1:8" x14ac:dyDescent="0.25">
      <c r="A3503" s="25" t="str">
        <f>IF($C3503="","",Registro_Compras!$X$392)</f>
        <v/>
      </c>
      <c r="B3503" t="str">
        <f>IF($C3503="","","C"&amp;TEXT(INT((ROW()-5)/9)+1,"000")&amp;"-3")</f>
        <v/>
      </c>
      <c r="C3503" t="str">
        <f>IF(OR(Registro_Compras!$C$392="",Registro_Compras!$O$392="",Registro_Compras!$R$392&lt;&gt;"SI",Registro_Compras!$X$392=""),"","1041")</f>
        <v/>
      </c>
      <c r="D3503" t="str">
        <f>IF(OR(Registro_Compras!$C$392="",Registro_Compras!$O$392=""),"","Efectivo y Equivalentes - Cta. Cte. Operativa")</f>
        <v/>
      </c>
      <c r="E3503" s="20" t="str">
        <f>""</f>
        <v/>
      </c>
      <c r="F3503" s="20" t="str">
        <f>IF($C3503="","",Registro_Compras!$S$392)</f>
        <v/>
      </c>
      <c r="G3503" t="str">
        <f>IF($C3503="","","Por el deposito de la detraccion en el Banco de la Nacion")</f>
        <v/>
      </c>
      <c r="H3503" t="str">
        <f>IF($C3503="","",Registro_Compras!$C$392)</f>
        <v/>
      </c>
    </row>
    <row r="3504" spans="1:8" x14ac:dyDescent="0.25">
      <c r="A3504" s="25" t="str">
        <f>IF($C3504="","",Registro_Compras!$Y$392)</f>
        <v/>
      </c>
      <c r="B3504" t="str">
        <f>IF($C3504="","","C"&amp;TEXT(INT((ROW()-5)/9)+1,"000")&amp;"-4")</f>
        <v/>
      </c>
      <c r="C3504" t="str">
        <f>IF(OR(Registro_Compras!$C$392="",Registro_Compras!$O$392="",Registro_Compras!$Y$392="",Registro_Compras!$F$392="NOTA DE CREDITO"),"","4212")</f>
        <v/>
      </c>
      <c r="D3504" t="str">
        <f>IF(OR(Registro_Compras!$C$392="",Registro_Compras!$O$392=""),"","Cuentas por Pagar Comerciales - Terceros")</f>
        <v/>
      </c>
      <c r="E3504" s="20" t="str">
        <f>IF($C3504="","",IF(Registro_Compras!$F$392="RHE",(ROUND(Registro_Compras!$L$392*Registro_Compras!$N$392,2)-ROUND(Registro_Compras!$V$392*Registro_Compras!$N$392,2)),ROUND(Registro_Compras!$O$392-Registro_Compras!$S$392,2)))</f>
        <v/>
      </c>
      <c r="F3504" s="20" t="str">
        <f>""</f>
        <v/>
      </c>
      <c r="G3504" t="str">
        <f>IF($C3504="","","Por la cancelacion del saldo al proveedor")</f>
        <v/>
      </c>
      <c r="H3504" t="str">
        <f>IF($C3504="","",Registro_Compras!$C$392)</f>
        <v/>
      </c>
    </row>
    <row r="3505" spans="1:8" x14ac:dyDescent="0.25">
      <c r="A3505" s="25" t="str">
        <f>IF($C3505="","",Registro_Compras!$Y$392)</f>
        <v/>
      </c>
      <c r="B3505" t="str">
        <f>IF($C3505="","","C"&amp;TEXT(INT((ROW()-5)/9)+1,"000")&amp;"-4")</f>
        <v/>
      </c>
      <c r="C3505" t="str">
        <f>IF(OR(Registro_Compras!$C$392="",Registro_Compras!$O$392="",Registro_Compras!$Y$392="",Registro_Compras!$F$392="NOTA DE CREDITO"),"","1041")</f>
        <v/>
      </c>
      <c r="D3505" t="str">
        <f>IF(OR(Registro_Compras!$C$392="",Registro_Compras!$O$392=""),"","Efectivo y Equivalentes - Cta. Cte. Operativa")</f>
        <v/>
      </c>
      <c r="E3505" s="20" t="str">
        <f>""</f>
        <v/>
      </c>
      <c r="F3505" s="20" t="str">
        <f>IF($C3505="","",IF(Registro_Compras!$F$392="RHE",(ROUND(Registro_Compras!$L$392*Registro_Compras!$N$392,2)-ROUND(Registro_Compras!$V$392*Registro_Compras!$N$392,2)),ROUND(Registro_Compras!$O$392-Registro_Compras!$S$392,2)))</f>
        <v/>
      </c>
      <c r="G3505" t="str">
        <f>IF($C3505="","","Por la cancelacion del saldo al proveedor")</f>
        <v/>
      </c>
      <c r="H3505" t="str">
        <f>IF($C3505="","",Registro_Compras!$C$392)</f>
        <v/>
      </c>
    </row>
    <row r="3506" spans="1:8" x14ac:dyDescent="0.25">
      <c r="A3506" s="25" t="str">
        <f>IF($C3506="","",Registro_Compras!$B$393)</f>
        <v/>
      </c>
      <c r="B3506" t="str">
        <f>IF($C3506="","","C"&amp;TEXT(INT((ROW()-5)/9)+1,"000")&amp;"-1")</f>
        <v/>
      </c>
      <c r="C3506" t="str">
        <f>IF(OR(Registro_Compras!$C$393="",Registro_Compras!$O$393=""),"",IF(Registro_Compras!$F$393="NOTA DE CREDITO","4212",IF(Registro_Compras!$M$393="","63",Registro_Compras!$M$393)))</f>
        <v/>
      </c>
      <c r="D3506" t="str">
        <f>IF(OR(Registro_Compras!$C$393="",Registro_Compras!$O$393=""),"",IF(Registro_Compras!$F$393="NOTA DE CREDITO","Cuentas por Pagar Comerciales - Terceros (Emitidas)",IF(Registro_Compras!$F$393="RHE","Honorarios Profesionales - Servicios de Terceros","Gastos de Servicios Prestados por Terceros")))</f>
        <v/>
      </c>
      <c r="E3506" s="20" t="str">
        <f>IF($C3506="","",IF(Registro_Compras!$F$393="NOTA DE CREDITO",ABS(Registro_Compras!$O$393),IF(Registro_Compras!$F$393="RHE",ROUND(Registro_Compras!$L$393*Registro_Compras!$N$393,2),ROUND(Registro_Compras!$J$393*Registro_Compras!$N$393,2))))</f>
        <v/>
      </c>
      <c r="F3506" s="20" t="str">
        <f>""</f>
        <v/>
      </c>
      <c r="G3506" t="str">
        <f>IF($C3506="","",IF(Registro_Compras!$F$393="NOTA DE CREDITO","Por la nota de credito "&amp;Registro_Compras!$C$393&amp;" de "&amp;Registro_Compras!$E$393&amp;" [PATRON POR CONFIRMAR CON CONTADOR]",IF(Registro_Compras!$F$393="RHE","Por el registro del recibo por honorarios "&amp;Registro_Compras!$C$393&amp;" de "&amp;Registro_Compras!$E$393&amp;" [PATRON POR CONFIRMAR CON CONTADOR]","Por el registro de la factura "&amp;Registro_Compras!$C$393&amp;" de "&amp;Registro_Compras!$E$393)))</f>
        <v/>
      </c>
      <c r="H3506" t="str">
        <f>IF($C3506="","",Registro_Compras!$C$393)</f>
        <v/>
      </c>
    </row>
    <row r="3507" spans="1:8" x14ac:dyDescent="0.25">
      <c r="A3507" s="25" t="str">
        <f>IF($C3507="","",Registro_Compras!$B$393)</f>
        <v/>
      </c>
      <c r="B3507" t="str">
        <f>IF($C3507="","","C"&amp;TEXT(INT((ROW()-5)/9)+1,"000")&amp;"-1")</f>
        <v/>
      </c>
      <c r="C3507" t="str">
        <f>IF(OR(Registro_Compras!$C$393="",Registro_Compras!$O$393=""),"",IF(Registro_Compras!$F$393="RHE",IF(Registro_Compras!$V$393=0,"","4017"),IF(Registro_Compras!$F$393="NOTA DE CREDITO",IF(Registro_Compras!$M$393="","63",Registro_Compras!$M$393),IF(Registro_Compras!$K$393=0,"","40111"))))</f>
        <v/>
      </c>
      <c r="D3507" t="str">
        <f>IF(OR(Registro_Compras!$C$393="",Registro_Compras!$O$393=""),"",IF(Registro_Compras!$F$393="RHE","Retencion Renta 4ta Categoria por Pagar",IF(Registro_Compras!$F$393="NOTA DE CREDITO","Gastos de Servicios Prestados por Terceros","IGV - Cuenta Propia (Credito Fiscal)")))</f>
        <v/>
      </c>
      <c r="E3507" s="20" t="str">
        <f>IF($C3507="","",IF(Registro_Compras!$F$393="FACTURA",ROUND(Registro_Compras!$K$393*Registro_Compras!$N$393,2),""))</f>
        <v/>
      </c>
      <c r="F3507" s="20" t="str">
        <f>IF($C3507="","",IF(Registro_Compras!$F$393="RHE",ROUND(Registro_Compras!$V$393*Registro_Compras!$N$393,2),IF(Registro_Compras!$F$393="NOTA DE CREDITO",ROUND(ABS(Registro_Compras!$J$393*Registro_Compras!$N$393),2),"")))</f>
        <v/>
      </c>
      <c r="G3507" t="str">
        <f>IF($C3507="","",IF(Registro_Compras!$F$393="NOTA DE CREDITO","Por la nota de credito "&amp;Registro_Compras!$C$393&amp;" de "&amp;Registro_Compras!$E$393&amp;" [PATRON POR CONFIRMAR CON CONTADOR]",IF(Registro_Compras!$F$393="RHE","Por el registro del recibo por honorarios "&amp;Registro_Compras!$C$393&amp;" de "&amp;Registro_Compras!$E$393&amp;" [PATRON POR CONFIRMAR CON CONTADOR]","Por el registro de la factura "&amp;Registro_Compras!$C$393&amp;" de "&amp;Registro_Compras!$E$393)))</f>
        <v/>
      </c>
      <c r="H3507" t="str">
        <f>IF($C3507="","",Registro_Compras!$C$393)</f>
        <v/>
      </c>
    </row>
    <row r="3508" spans="1:8" x14ac:dyDescent="0.25">
      <c r="A3508" s="25" t="str">
        <f>IF($C3508="","",Registro_Compras!$B$393)</f>
        <v/>
      </c>
      <c r="B3508" t="str">
        <f>IF($C3508="","","C"&amp;TEXT(INT((ROW()-5)/9)+1,"000")&amp;"-1")</f>
        <v/>
      </c>
      <c r="C3508" t="str">
        <f>IF(OR(Registro_Compras!$C$393="",Registro_Compras!$O$393=""),"",IF(Registro_Compras!$F$393="NOTA DE CREDITO",IF(Registro_Compras!$K$393=0,"","40111"),"4212"))</f>
        <v/>
      </c>
      <c r="D3508" t="str">
        <f>IF(OR(Registro_Compras!$C$393="",Registro_Compras!$O$393=""),"",IF(Registro_Compras!$F$393="NOTA DE CREDITO","IGV - Cuenta Propia (Credito Fiscal)","Cuentas por Pagar Comerciales - Terceros (Emitidas)"))</f>
        <v/>
      </c>
      <c r="E3508" s="20" t="str">
        <f>""</f>
        <v/>
      </c>
      <c r="F3508" s="20" t="str">
        <f>IF($C3508="","",IF(Registro_Compras!$F$393="NOTA DE CREDITO",ROUND(ABS(Registro_Compras!$K$393*Registro_Compras!$N$393),2),IF(Registro_Compras!$F$393="RHE",(ROUND(Registro_Compras!$L$393*Registro_Compras!$N$393,2)-ROUND(Registro_Compras!$V$393*Registro_Compras!$N$393,2)),Registro_Compras!$O$393)))</f>
        <v/>
      </c>
      <c r="G3508" t="str">
        <f>IF($C3508="","",IF(Registro_Compras!$F$393="NOTA DE CREDITO","Por la nota de credito "&amp;Registro_Compras!$C$393&amp;" de "&amp;Registro_Compras!$E$393&amp;" [PATRON POR CONFIRMAR CON CONTADOR]",IF(Registro_Compras!$F$393="RHE","Por el registro del recibo por honorarios "&amp;Registro_Compras!$C$393&amp;" de "&amp;Registro_Compras!$E$393&amp;" [PATRON POR CONFIRMAR CON CONTADOR]","Por el registro de la factura "&amp;Registro_Compras!$C$393&amp;" de "&amp;Registro_Compras!$E$393)))</f>
        <v/>
      </c>
      <c r="H3508" t="str">
        <f>IF($C3508="","",Registro_Compras!$C$393)</f>
        <v/>
      </c>
    </row>
    <row r="3509" spans="1:8" x14ac:dyDescent="0.25">
      <c r="A3509" s="25" t="str">
        <f>IF($C3509="","",Registro_Compras!$B$393)</f>
        <v/>
      </c>
      <c r="B3509" t="str">
        <f>IF($C3509="","","C"&amp;TEXT(INT((ROW()-5)/9)+1,"000")&amp;"-2")</f>
        <v/>
      </c>
      <c r="C3509" t="str">
        <f>IF(OR(Registro_Compras!$C$393="",Registro_Compras!$O$393=""),"",IF(Registro_Compras!$AB$393="ADMINISTRATIVO","94","95"))</f>
        <v/>
      </c>
      <c r="D3509" t="str">
        <f>IF(OR(Registro_Compras!$C$393="",Registro_Compras!$O$393=""),"",IF(Registro_Compras!$AB$393="ADMINISTRATIVO","Gastos Administrativos","Gastos de Venta y Operacion"))</f>
        <v/>
      </c>
      <c r="E3509" s="20" t="str">
        <f>IF($C3509="","",IF(Registro_Compras!$F$393="NOTA DE CREDITO","",IF(Registro_Compras!$F$393="RHE",ROUND(Registro_Compras!$L$393*Registro_Compras!$N$393,2),ROUND(Registro_Compras!$J$393*Registro_Compras!$N$393,2))))</f>
        <v/>
      </c>
      <c r="F3509" s="20" t="str">
        <f>IF($C3509="","",IF(Registro_Compras!$F$393="NOTA DE CREDITO",ROUND(ABS(Registro_Compras!$J$393*Registro_Compras!$N$393),2),""))</f>
        <v/>
      </c>
      <c r="G3509" t="str">
        <f>IF($C3509="","","Por el destino del gasto")</f>
        <v/>
      </c>
      <c r="H3509" t="str">
        <f>IF($C3509="","",Registro_Compras!$C$393)</f>
        <v/>
      </c>
    </row>
    <row r="3510" spans="1:8" x14ac:dyDescent="0.25">
      <c r="A3510" s="25" t="str">
        <f>IF($C3510="","",Registro_Compras!$B$393)</f>
        <v/>
      </c>
      <c r="B3510" t="str">
        <f>IF($C3510="","","C"&amp;TEXT(INT((ROW()-5)/9)+1,"000")&amp;"-2")</f>
        <v/>
      </c>
      <c r="C3510" t="str">
        <f>IF(OR(Registro_Compras!$C$393="",Registro_Compras!$O$393=""),"","79/791")</f>
        <v/>
      </c>
      <c r="D3510" t="str">
        <f>IF(OR(Registro_Compras!$C$393="",Registro_Compras!$O$393=""),"","Cargas Imputables a Cuentas de Costos y Gastos")</f>
        <v/>
      </c>
      <c r="E3510" s="20" t="str">
        <f>IF($C3510="","",IF(Registro_Compras!$F$393="NOTA DE CREDITO",ROUND(ABS(Registro_Compras!$J$393*Registro_Compras!$N$393),2),""))</f>
        <v/>
      </c>
      <c r="F3510" s="20" t="str">
        <f>IF($C3510="","",IF(Registro_Compras!$F$393="NOTA DE CREDITO","",IF(Registro_Compras!$F$393="RHE",ROUND(Registro_Compras!$L$393*Registro_Compras!$N$393,2),ROUND(Registro_Compras!$J$393*Registro_Compras!$N$393,2))))</f>
        <v/>
      </c>
      <c r="G3510" t="str">
        <f>IF($C3510="","","Por el destino del gasto")</f>
        <v/>
      </c>
      <c r="H3510" t="str">
        <f>IF($C3510="","",Registro_Compras!$C$393)</f>
        <v/>
      </c>
    </row>
    <row r="3511" spans="1:8" x14ac:dyDescent="0.25">
      <c r="A3511" s="25" t="str">
        <f>IF($C3511="","",Registro_Compras!$X$393)</f>
        <v/>
      </c>
      <c r="B3511" t="str">
        <f>IF($C3511="","","C"&amp;TEXT(INT((ROW()-5)/9)+1,"000")&amp;"-3")</f>
        <v/>
      </c>
      <c r="C3511" t="str">
        <f>IF(OR(Registro_Compras!$C$393="",Registro_Compras!$O$393="",Registro_Compras!$R$393&lt;&gt;"SI",Registro_Compras!$X$393=""),"","4212")</f>
        <v/>
      </c>
      <c r="D3511" t="str">
        <f>IF(OR(Registro_Compras!$C$393="",Registro_Compras!$O$393=""),"","Cuentas por Pagar Comerciales - Terceros")</f>
        <v/>
      </c>
      <c r="E3511" s="20" t="str">
        <f>IF($C3511="","",Registro_Compras!$S$393)</f>
        <v/>
      </c>
      <c r="F3511" s="20" t="str">
        <f>""</f>
        <v/>
      </c>
      <c r="G3511" t="str">
        <f>IF($C3511="","","Por el deposito de la detraccion en el Banco de la Nacion")</f>
        <v/>
      </c>
      <c r="H3511" t="str">
        <f>IF($C3511="","",Registro_Compras!$C$393)</f>
        <v/>
      </c>
    </row>
    <row r="3512" spans="1:8" x14ac:dyDescent="0.25">
      <c r="A3512" s="25" t="str">
        <f>IF($C3512="","",Registro_Compras!$X$393)</f>
        <v/>
      </c>
      <c r="B3512" t="str">
        <f>IF($C3512="","","C"&amp;TEXT(INT((ROW()-5)/9)+1,"000")&amp;"-3")</f>
        <v/>
      </c>
      <c r="C3512" t="str">
        <f>IF(OR(Registro_Compras!$C$393="",Registro_Compras!$O$393="",Registro_Compras!$R$393&lt;&gt;"SI",Registro_Compras!$X$393=""),"","1041")</f>
        <v/>
      </c>
      <c r="D3512" t="str">
        <f>IF(OR(Registro_Compras!$C$393="",Registro_Compras!$O$393=""),"","Efectivo y Equivalentes - Cta. Cte. Operativa")</f>
        <v/>
      </c>
      <c r="E3512" s="20" t="str">
        <f>""</f>
        <v/>
      </c>
      <c r="F3512" s="20" t="str">
        <f>IF($C3512="","",Registro_Compras!$S$393)</f>
        <v/>
      </c>
      <c r="G3512" t="str">
        <f>IF($C3512="","","Por el deposito de la detraccion en el Banco de la Nacion")</f>
        <v/>
      </c>
      <c r="H3512" t="str">
        <f>IF($C3512="","",Registro_Compras!$C$393)</f>
        <v/>
      </c>
    </row>
    <row r="3513" spans="1:8" x14ac:dyDescent="0.25">
      <c r="A3513" s="25" t="str">
        <f>IF($C3513="","",Registro_Compras!$Y$393)</f>
        <v/>
      </c>
      <c r="B3513" t="str">
        <f>IF($C3513="","","C"&amp;TEXT(INT((ROW()-5)/9)+1,"000")&amp;"-4")</f>
        <v/>
      </c>
      <c r="C3513" t="str">
        <f>IF(OR(Registro_Compras!$C$393="",Registro_Compras!$O$393="",Registro_Compras!$Y$393="",Registro_Compras!$F$393="NOTA DE CREDITO"),"","4212")</f>
        <v/>
      </c>
      <c r="D3513" t="str">
        <f>IF(OR(Registro_Compras!$C$393="",Registro_Compras!$O$393=""),"","Cuentas por Pagar Comerciales - Terceros")</f>
        <v/>
      </c>
      <c r="E3513" s="20" t="str">
        <f>IF($C3513="","",IF(Registro_Compras!$F$393="RHE",(ROUND(Registro_Compras!$L$393*Registro_Compras!$N$393,2)-ROUND(Registro_Compras!$V$393*Registro_Compras!$N$393,2)),ROUND(Registro_Compras!$O$393-Registro_Compras!$S$393,2)))</f>
        <v/>
      </c>
      <c r="F3513" s="20" t="str">
        <f>""</f>
        <v/>
      </c>
      <c r="G3513" t="str">
        <f>IF($C3513="","","Por la cancelacion del saldo al proveedor")</f>
        <v/>
      </c>
      <c r="H3513" t="str">
        <f>IF($C3513="","",Registro_Compras!$C$393)</f>
        <v/>
      </c>
    </row>
    <row r="3514" spans="1:8" x14ac:dyDescent="0.25">
      <c r="A3514" s="25" t="str">
        <f>IF($C3514="","",Registro_Compras!$Y$393)</f>
        <v/>
      </c>
      <c r="B3514" t="str">
        <f>IF($C3514="","","C"&amp;TEXT(INT((ROW()-5)/9)+1,"000")&amp;"-4")</f>
        <v/>
      </c>
      <c r="C3514" t="str">
        <f>IF(OR(Registro_Compras!$C$393="",Registro_Compras!$O$393="",Registro_Compras!$Y$393="",Registro_Compras!$F$393="NOTA DE CREDITO"),"","1041")</f>
        <v/>
      </c>
      <c r="D3514" t="str">
        <f>IF(OR(Registro_Compras!$C$393="",Registro_Compras!$O$393=""),"","Efectivo y Equivalentes - Cta. Cte. Operativa")</f>
        <v/>
      </c>
      <c r="E3514" s="20" t="str">
        <f>""</f>
        <v/>
      </c>
      <c r="F3514" s="20" t="str">
        <f>IF($C3514="","",IF(Registro_Compras!$F$393="RHE",(ROUND(Registro_Compras!$L$393*Registro_Compras!$N$393,2)-ROUND(Registro_Compras!$V$393*Registro_Compras!$N$393,2)),ROUND(Registro_Compras!$O$393-Registro_Compras!$S$393,2)))</f>
        <v/>
      </c>
      <c r="G3514" t="str">
        <f>IF($C3514="","","Por la cancelacion del saldo al proveedor")</f>
        <v/>
      </c>
      <c r="H3514" t="str">
        <f>IF($C3514="","",Registro_Compras!$C$393)</f>
        <v/>
      </c>
    </row>
    <row r="3515" spans="1:8" x14ac:dyDescent="0.25">
      <c r="A3515" s="25" t="str">
        <f>IF($C3515="","",Registro_Compras!$B$394)</f>
        <v/>
      </c>
      <c r="B3515" t="str">
        <f>IF($C3515="","","C"&amp;TEXT(INT((ROW()-5)/9)+1,"000")&amp;"-1")</f>
        <v/>
      </c>
      <c r="C3515" t="str">
        <f>IF(OR(Registro_Compras!$C$394="",Registro_Compras!$O$394=""),"",IF(Registro_Compras!$F$394="NOTA DE CREDITO","4212",IF(Registro_Compras!$M$394="","63",Registro_Compras!$M$394)))</f>
        <v/>
      </c>
      <c r="D3515" t="str">
        <f>IF(OR(Registro_Compras!$C$394="",Registro_Compras!$O$394=""),"",IF(Registro_Compras!$F$394="NOTA DE CREDITO","Cuentas por Pagar Comerciales - Terceros (Emitidas)",IF(Registro_Compras!$F$394="RHE","Honorarios Profesionales - Servicios de Terceros","Gastos de Servicios Prestados por Terceros")))</f>
        <v/>
      </c>
      <c r="E3515" s="20" t="str">
        <f>IF($C3515="","",IF(Registro_Compras!$F$394="NOTA DE CREDITO",ABS(Registro_Compras!$O$394),IF(Registro_Compras!$F$394="RHE",ROUND(Registro_Compras!$L$394*Registro_Compras!$N$394,2),ROUND(Registro_Compras!$J$394*Registro_Compras!$N$394,2))))</f>
        <v/>
      </c>
      <c r="F3515" s="20" t="str">
        <f>""</f>
        <v/>
      </c>
      <c r="G3515" t="str">
        <f>IF($C3515="","",IF(Registro_Compras!$F$394="NOTA DE CREDITO","Por la nota de credito "&amp;Registro_Compras!$C$394&amp;" de "&amp;Registro_Compras!$E$394&amp;" [PATRON POR CONFIRMAR CON CONTADOR]",IF(Registro_Compras!$F$394="RHE","Por el registro del recibo por honorarios "&amp;Registro_Compras!$C$394&amp;" de "&amp;Registro_Compras!$E$394&amp;" [PATRON POR CONFIRMAR CON CONTADOR]","Por el registro de la factura "&amp;Registro_Compras!$C$394&amp;" de "&amp;Registro_Compras!$E$394)))</f>
        <v/>
      </c>
      <c r="H3515" t="str">
        <f>IF($C3515="","",Registro_Compras!$C$394)</f>
        <v/>
      </c>
    </row>
    <row r="3516" spans="1:8" x14ac:dyDescent="0.25">
      <c r="A3516" s="25" t="str">
        <f>IF($C3516="","",Registro_Compras!$B$394)</f>
        <v/>
      </c>
      <c r="B3516" t="str">
        <f>IF($C3516="","","C"&amp;TEXT(INT((ROW()-5)/9)+1,"000")&amp;"-1")</f>
        <v/>
      </c>
      <c r="C3516" t="str">
        <f>IF(OR(Registro_Compras!$C$394="",Registro_Compras!$O$394=""),"",IF(Registro_Compras!$F$394="RHE",IF(Registro_Compras!$V$394=0,"","4017"),IF(Registro_Compras!$F$394="NOTA DE CREDITO",IF(Registro_Compras!$M$394="","63",Registro_Compras!$M$394),IF(Registro_Compras!$K$394=0,"","40111"))))</f>
        <v/>
      </c>
      <c r="D3516" t="str">
        <f>IF(OR(Registro_Compras!$C$394="",Registro_Compras!$O$394=""),"",IF(Registro_Compras!$F$394="RHE","Retencion Renta 4ta Categoria por Pagar",IF(Registro_Compras!$F$394="NOTA DE CREDITO","Gastos de Servicios Prestados por Terceros","IGV - Cuenta Propia (Credito Fiscal)")))</f>
        <v/>
      </c>
      <c r="E3516" s="20" t="str">
        <f>IF($C3516="","",IF(Registro_Compras!$F$394="FACTURA",ROUND(Registro_Compras!$K$394*Registro_Compras!$N$394,2),""))</f>
        <v/>
      </c>
      <c r="F3516" s="20" t="str">
        <f>IF($C3516="","",IF(Registro_Compras!$F$394="RHE",ROUND(Registro_Compras!$V$394*Registro_Compras!$N$394,2),IF(Registro_Compras!$F$394="NOTA DE CREDITO",ROUND(ABS(Registro_Compras!$J$394*Registro_Compras!$N$394),2),"")))</f>
        <v/>
      </c>
      <c r="G3516" t="str">
        <f>IF($C3516="","",IF(Registro_Compras!$F$394="NOTA DE CREDITO","Por la nota de credito "&amp;Registro_Compras!$C$394&amp;" de "&amp;Registro_Compras!$E$394&amp;" [PATRON POR CONFIRMAR CON CONTADOR]",IF(Registro_Compras!$F$394="RHE","Por el registro del recibo por honorarios "&amp;Registro_Compras!$C$394&amp;" de "&amp;Registro_Compras!$E$394&amp;" [PATRON POR CONFIRMAR CON CONTADOR]","Por el registro de la factura "&amp;Registro_Compras!$C$394&amp;" de "&amp;Registro_Compras!$E$394)))</f>
        <v/>
      </c>
      <c r="H3516" t="str">
        <f>IF($C3516="","",Registro_Compras!$C$394)</f>
        <v/>
      </c>
    </row>
    <row r="3517" spans="1:8" x14ac:dyDescent="0.25">
      <c r="A3517" s="25" t="str">
        <f>IF($C3517="","",Registro_Compras!$B$394)</f>
        <v/>
      </c>
      <c r="B3517" t="str">
        <f>IF($C3517="","","C"&amp;TEXT(INT((ROW()-5)/9)+1,"000")&amp;"-1")</f>
        <v/>
      </c>
      <c r="C3517" t="str">
        <f>IF(OR(Registro_Compras!$C$394="",Registro_Compras!$O$394=""),"",IF(Registro_Compras!$F$394="NOTA DE CREDITO",IF(Registro_Compras!$K$394=0,"","40111"),"4212"))</f>
        <v/>
      </c>
      <c r="D3517" t="str">
        <f>IF(OR(Registro_Compras!$C$394="",Registro_Compras!$O$394=""),"",IF(Registro_Compras!$F$394="NOTA DE CREDITO","IGV - Cuenta Propia (Credito Fiscal)","Cuentas por Pagar Comerciales - Terceros (Emitidas)"))</f>
        <v/>
      </c>
      <c r="E3517" s="20" t="str">
        <f>""</f>
        <v/>
      </c>
      <c r="F3517" s="20" t="str">
        <f>IF($C3517="","",IF(Registro_Compras!$F$394="NOTA DE CREDITO",ROUND(ABS(Registro_Compras!$K$394*Registro_Compras!$N$394),2),IF(Registro_Compras!$F$394="RHE",(ROUND(Registro_Compras!$L$394*Registro_Compras!$N$394,2)-ROUND(Registro_Compras!$V$394*Registro_Compras!$N$394,2)),Registro_Compras!$O$394)))</f>
        <v/>
      </c>
      <c r="G3517" t="str">
        <f>IF($C3517="","",IF(Registro_Compras!$F$394="NOTA DE CREDITO","Por la nota de credito "&amp;Registro_Compras!$C$394&amp;" de "&amp;Registro_Compras!$E$394&amp;" [PATRON POR CONFIRMAR CON CONTADOR]",IF(Registro_Compras!$F$394="RHE","Por el registro del recibo por honorarios "&amp;Registro_Compras!$C$394&amp;" de "&amp;Registro_Compras!$E$394&amp;" [PATRON POR CONFIRMAR CON CONTADOR]","Por el registro de la factura "&amp;Registro_Compras!$C$394&amp;" de "&amp;Registro_Compras!$E$394)))</f>
        <v/>
      </c>
      <c r="H3517" t="str">
        <f>IF($C3517="","",Registro_Compras!$C$394)</f>
        <v/>
      </c>
    </row>
    <row r="3518" spans="1:8" x14ac:dyDescent="0.25">
      <c r="A3518" s="25" t="str">
        <f>IF($C3518="","",Registro_Compras!$B$394)</f>
        <v/>
      </c>
      <c r="B3518" t="str">
        <f>IF($C3518="","","C"&amp;TEXT(INT((ROW()-5)/9)+1,"000")&amp;"-2")</f>
        <v/>
      </c>
      <c r="C3518" t="str">
        <f>IF(OR(Registro_Compras!$C$394="",Registro_Compras!$O$394=""),"",IF(Registro_Compras!$AB$394="ADMINISTRATIVO","94","95"))</f>
        <v/>
      </c>
      <c r="D3518" t="str">
        <f>IF(OR(Registro_Compras!$C$394="",Registro_Compras!$O$394=""),"",IF(Registro_Compras!$AB$394="ADMINISTRATIVO","Gastos Administrativos","Gastos de Venta y Operacion"))</f>
        <v/>
      </c>
      <c r="E3518" s="20" t="str">
        <f>IF($C3518="","",IF(Registro_Compras!$F$394="NOTA DE CREDITO","",IF(Registro_Compras!$F$394="RHE",ROUND(Registro_Compras!$L$394*Registro_Compras!$N$394,2),ROUND(Registro_Compras!$J$394*Registro_Compras!$N$394,2))))</f>
        <v/>
      </c>
      <c r="F3518" s="20" t="str">
        <f>IF($C3518="","",IF(Registro_Compras!$F$394="NOTA DE CREDITO",ROUND(ABS(Registro_Compras!$J$394*Registro_Compras!$N$394),2),""))</f>
        <v/>
      </c>
      <c r="G3518" t="str">
        <f>IF($C3518="","","Por el destino del gasto")</f>
        <v/>
      </c>
      <c r="H3518" t="str">
        <f>IF($C3518="","",Registro_Compras!$C$394)</f>
        <v/>
      </c>
    </row>
    <row r="3519" spans="1:8" x14ac:dyDescent="0.25">
      <c r="A3519" s="25" t="str">
        <f>IF($C3519="","",Registro_Compras!$B$394)</f>
        <v/>
      </c>
      <c r="B3519" t="str">
        <f>IF($C3519="","","C"&amp;TEXT(INT((ROW()-5)/9)+1,"000")&amp;"-2")</f>
        <v/>
      </c>
      <c r="C3519" t="str">
        <f>IF(OR(Registro_Compras!$C$394="",Registro_Compras!$O$394=""),"","79/791")</f>
        <v/>
      </c>
      <c r="D3519" t="str">
        <f>IF(OR(Registro_Compras!$C$394="",Registro_Compras!$O$394=""),"","Cargas Imputables a Cuentas de Costos y Gastos")</f>
        <v/>
      </c>
      <c r="E3519" s="20" t="str">
        <f>IF($C3519="","",IF(Registro_Compras!$F$394="NOTA DE CREDITO",ROUND(ABS(Registro_Compras!$J$394*Registro_Compras!$N$394),2),""))</f>
        <v/>
      </c>
      <c r="F3519" s="20" t="str">
        <f>IF($C3519="","",IF(Registro_Compras!$F$394="NOTA DE CREDITO","",IF(Registro_Compras!$F$394="RHE",ROUND(Registro_Compras!$L$394*Registro_Compras!$N$394,2),ROUND(Registro_Compras!$J$394*Registro_Compras!$N$394,2))))</f>
        <v/>
      </c>
      <c r="G3519" t="str">
        <f>IF($C3519="","","Por el destino del gasto")</f>
        <v/>
      </c>
      <c r="H3519" t="str">
        <f>IF($C3519="","",Registro_Compras!$C$394)</f>
        <v/>
      </c>
    </row>
    <row r="3520" spans="1:8" x14ac:dyDescent="0.25">
      <c r="A3520" s="25" t="str">
        <f>IF($C3520="","",Registro_Compras!$X$394)</f>
        <v/>
      </c>
      <c r="B3520" t="str">
        <f>IF($C3520="","","C"&amp;TEXT(INT((ROW()-5)/9)+1,"000")&amp;"-3")</f>
        <v/>
      </c>
      <c r="C3520" t="str">
        <f>IF(OR(Registro_Compras!$C$394="",Registro_Compras!$O$394="",Registro_Compras!$R$394&lt;&gt;"SI",Registro_Compras!$X$394=""),"","4212")</f>
        <v/>
      </c>
      <c r="D3520" t="str">
        <f>IF(OR(Registro_Compras!$C$394="",Registro_Compras!$O$394=""),"","Cuentas por Pagar Comerciales - Terceros")</f>
        <v/>
      </c>
      <c r="E3520" s="20" t="str">
        <f>IF($C3520="","",Registro_Compras!$S$394)</f>
        <v/>
      </c>
      <c r="F3520" s="20" t="str">
        <f>""</f>
        <v/>
      </c>
      <c r="G3520" t="str">
        <f>IF($C3520="","","Por el deposito de la detraccion en el Banco de la Nacion")</f>
        <v/>
      </c>
      <c r="H3520" t="str">
        <f>IF($C3520="","",Registro_Compras!$C$394)</f>
        <v/>
      </c>
    </row>
    <row r="3521" spans="1:8" x14ac:dyDescent="0.25">
      <c r="A3521" s="25" t="str">
        <f>IF($C3521="","",Registro_Compras!$X$394)</f>
        <v/>
      </c>
      <c r="B3521" t="str">
        <f>IF($C3521="","","C"&amp;TEXT(INT((ROW()-5)/9)+1,"000")&amp;"-3")</f>
        <v/>
      </c>
      <c r="C3521" t="str">
        <f>IF(OR(Registro_Compras!$C$394="",Registro_Compras!$O$394="",Registro_Compras!$R$394&lt;&gt;"SI",Registro_Compras!$X$394=""),"","1041")</f>
        <v/>
      </c>
      <c r="D3521" t="str">
        <f>IF(OR(Registro_Compras!$C$394="",Registro_Compras!$O$394=""),"","Efectivo y Equivalentes - Cta. Cte. Operativa")</f>
        <v/>
      </c>
      <c r="E3521" s="20" t="str">
        <f>""</f>
        <v/>
      </c>
      <c r="F3521" s="20" t="str">
        <f>IF($C3521="","",Registro_Compras!$S$394)</f>
        <v/>
      </c>
      <c r="G3521" t="str">
        <f>IF($C3521="","","Por el deposito de la detraccion en el Banco de la Nacion")</f>
        <v/>
      </c>
      <c r="H3521" t="str">
        <f>IF($C3521="","",Registro_Compras!$C$394)</f>
        <v/>
      </c>
    </row>
    <row r="3522" spans="1:8" x14ac:dyDescent="0.25">
      <c r="A3522" s="25" t="str">
        <f>IF($C3522="","",Registro_Compras!$Y$394)</f>
        <v/>
      </c>
      <c r="B3522" t="str">
        <f>IF($C3522="","","C"&amp;TEXT(INT((ROW()-5)/9)+1,"000")&amp;"-4")</f>
        <v/>
      </c>
      <c r="C3522" t="str">
        <f>IF(OR(Registro_Compras!$C$394="",Registro_Compras!$O$394="",Registro_Compras!$Y$394="",Registro_Compras!$F$394="NOTA DE CREDITO"),"","4212")</f>
        <v/>
      </c>
      <c r="D3522" t="str">
        <f>IF(OR(Registro_Compras!$C$394="",Registro_Compras!$O$394=""),"","Cuentas por Pagar Comerciales - Terceros")</f>
        <v/>
      </c>
      <c r="E3522" s="20" t="str">
        <f>IF($C3522="","",IF(Registro_Compras!$F$394="RHE",(ROUND(Registro_Compras!$L$394*Registro_Compras!$N$394,2)-ROUND(Registro_Compras!$V$394*Registro_Compras!$N$394,2)),ROUND(Registro_Compras!$O$394-Registro_Compras!$S$394,2)))</f>
        <v/>
      </c>
      <c r="F3522" s="20" t="str">
        <f>""</f>
        <v/>
      </c>
      <c r="G3522" t="str">
        <f>IF($C3522="","","Por la cancelacion del saldo al proveedor")</f>
        <v/>
      </c>
      <c r="H3522" t="str">
        <f>IF($C3522="","",Registro_Compras!$C$394)</f>
        <v/>
      </c>
    </row>
    <row r="3523" spans="1:8" x14ac:dyDescent="0.25">
      <c r="A3523" s="25" t="str">
        <f>IF($C3523="","",Registro_Compras!$Y$394)</f>
        <v/>
      </c>
      <c r="B3523" t="str">
        <f>IF($C3523="","","C"&amp;TEXT(INT((ROW()-5)/9)+1,"000")&amp;"-4")</f>
        <v/>
      </c>
      <c r="C3523" t="str">
        <f>IF(OR(Registro_Compras!$C$394="",Registro_Compras!$O$394="",Registro_Compras!$Y$394="",Registro_Compras!$F$394="NOTA DE CREDITO"),"","1041")</f>
        <v/>
      </c>
      <c r="D3523" t="str">
        <f>IF(OR(Registro_Compras!$C$394="",Registro_Compras!$O$394=""),"","Efectivo y Equivalentes - Cta. Cte. Operativa")</f>
        <v/>
      </c>
      <c r="E3523" s="20" t="str">
        <f>""</f>
        <v/>
      </c>
      <c r="F3523" s="20" t="str">
        <f>IF($C3523="","",IF(Registro_Compras!$F$394="RHE",(ROUND(Registro_Compras!$L$394*Registro_Compras!$N$394,2)-ROUND(Registro_Compras!$V$394*Registro_Compras!$N$394,2)),ROUND(Registro_Compras!$O$394-Registro_Compras!$S$394,2)))</f>
        <v/>
      </c>
      <c r="G3523" t="str">
        <f>IF($C3523="","","Por la cancelacion del saldo al proveedor")</f>
        <v/>
      </c>
      <c r="H3523" t="str">
        <f>IF($C3523="","",Registro_Compras!$C$394)</f>
        <v/>
      </c>
    </row>
    <row r="3524" spans="1:8" x14ac:dyDescent="0.25">
      <c r="A3524" s="25" t="str">
        <f>IF($C3524="","",Registro_Compras!$B$395)</f>
        <v/>
      </c>
      <c r="B3524" t="str">
        <f>IF($C3524="","","C"&amp;TEXT(INT((ROW()-5)/9)+1,"000")&amp;"-1")</f>
        <v/>
      </c>
      <c r="C3524" t="str">
        <f>IF(OR(Registro_Compras!$C$395="",Registro_Compras!$O$395=""),"",IF(Registro_Compras!$F$395="NOTA DE CREDITO","4212",IF(Registro_Compras!$M$395="","63",Registro_Compras!$M$395)))</f>
        <v/>
      </c>
      <c r="D3524" t="str">
        <f>IF(OR(Registro_Compras!$C$395="",Registro_Compras!$O$395=""),"",IF(Registro_Compras!$F$395="NOTA DE CREDITO","Cuentas por Pagar Comerciales - Terceros (Emitidas)",IF(Registro_Compras!$F$395="RHE","Honorarios Profesionales - Servicios de Terceros","Gastos de Servicios Prestados por Terceros")))</f>
        <v/>
      </c>
      <c r="E3524" s="20" t="str">
        <f>IF($C3524="","",IF(Registro_Compras!$F$395="NOTA DE CREDITO",ABS(Registro_Compras!$O$395),IF(Registro_Compras!$F$395="RHE",ROUND(Registro_Compras!$L$395*Registro_Compras!$N$395,2),ROUND(Registro_Compras!$J$395*Registro_Compras!$N$395,2))))</f>
        <v/>
      </c>
      <c r="F3524" s="20" t="str">
        <f>""</f>
        <v/>
      </c>
      <c r="G3524" t="str">
        <f>IF($C3524="","",IF(Registro_Compras!$F$395="NOTA DE CREDITO","Por la nota de credito "&amp;Registro_Compras!$C$395&amp;" de "&amp;Registro_Compras!$E$395&amp;" [PATRON POR CONFIRMAR CON CONTADOR]",IF(Registro_Compras!$F$395="RHE","Por el registro del recibo por honorarios "&amp;Registro_Compras!$C$395&amp;" de "&amp;Registro_Compras!$E$395&amp;" [PATRON POR CONFIRMAR CON CONTADOR]","Por el registro de la factura "&amp;Registro_Compras!$C$395&amp;" de "&amp;Registro_Compras!$E$395)))</f>
        <v/>
      </c>
      <c r="H3524" t="str">
        <f>IF($C3524="","",Registro_Compras!$C$395)</f>
        <v/>
      </c>
    </row>
    <row r="3525" spans="1:8" x14ac:dyDescent="0.25">
      <c r="A3525" s="25" t="str">
        <f>IF($C3525="","",Registro_Compras!$B$395)</f>
        <v/>
      </c>
      <c r="B3525" t="str">
        <f>IF($C3525="","","C"&amp;TEXT(INT((ROW()-5)/9)+1,"000")&amp;"-1")</f>
        <v/>
      </c>
      <c r="C3525" t="str">
        <f>IF(OR(Registro_Compras!$C$395="",Registro_Compras!$O$395=""),"",IF(Registro_Compras!$F$395="RHE",IF(Registro_Compras!$V$395=0,"","4017"),IF(Registro_Compras!$F$395="NOTA DE CREDITO",IF(Registro_Compras!$M$395="","63",Registro_Compras!$M$395),IF(Registro_Compras!$K$395=0,"","40111"))))</f>
        <v/>
      </c>
      <c r="D3525" t="str">
        <f>IF(OR(Registro_Compras!$C$395="",Registro_Compras!$O$395=""),"",IF(Registro_Compras!$F$395="RHE","Retencion Renta 4ta Categoria por Pagar",IF(Registro_Compras!$F$395="NOTA DE CREDITO","Gastos de Servicios Prestados por Terceros","IGV - Cuenta Propia (Credito Fiscal)")))</f>
        <v/>
      </c>
      <c r="E3525" s="20" t="str">
        <f>IF($C3525="","",IF(Registro_Compras!$F$395="FACTURA",ROUND(Registro_Compras!$K$395*Registro_Compras!$N$395,2),""))</f>
        <v/>
      </c>
      <c r="F3525" s="20" t="str">
        <f>IF($C3525="","",IF(Registro_Compras!$F$395="RHE",ROUND(Registro_Compras!$V$395*Registro_Compras!$N$395,2),IF(Registro_Compras!$F$395="NOTA DE CREDITO",ROUND(ABS(Registro_Compras!$J$395*Registro_Compras!$N$395),2),"")))</f>
        <v/>
      </c>
      <c r="G3525" t="str">
        <f>IF($C3525="","",IF(Registro_Compras!$F$395="NOTA DE CREDITO","Por la nota de credito "&amp;Registro_Compras!$C$395&amp;" de "&amp;Registro_Compras!$E$395&amp;" [PATRON POR CONFIRMAR CON CONTADOR]",IF(Registro_Compras!$F$395="RHE","Por el registro del recibo por honorarios "&amp;Registro_Compras!$C$395&amp;" de "&amp;Registro_Compras!$E$395&amp;" [PATRON POR CONFIRMAR CON CONTADOR]","Por el registro de la factura "&amp;Registro_Compras!$C$395&amp;" de "&amp;Registro_Compras!$E$395)))</f>
        <v/>
      </c>
      <c r="H3525" t="str">
        <f>IF($C3525="","",Registro_Compras!$C$395)</f>
        <v/>
      </c>
    </row>
    <row r="3526" spans="1:8" x14ac:dyDescent="0.25">
      <c r="A3526" s="25" t="str">
        <f>IF($C3526="","",Registro_Compras!$B$395)</f>
        <v/>
      </c>
      <c r="B3526" t="str">
        <f>IF($C3526="","","C"&amp;TEXT(INT((ROW()-5)/9)+1,"000")&amp;"-1")</f>
        <v/>
      </c>
      <c r="C3526" t="str">
        <f>IF(OR(Registro_Compras!$C$395="",Registro_Compras!$O$395=""),"",IF(Registro_Compras!$F$395="NOTA DE CREDITO",IF(Registro_Compras!$K$395=0,"","40111"),"4212"))</f>
        <v/>
      </c>
      <c r="D3526" t="str">
        <f>IF(OR(Registro_Compras!$C$395="",Registro_Compras!$O$395=""),"",IF(Registro_Compras!$F$395="NOTA DE CREDITO","IGV - Cuenta Propia (Credito Fiscal)","Cuentas por Pagar Comerciales - Terceros (Emitidas)"))</f>
        <v/>
      </c>
      <c r="E3526" s="20" t="str">
        <f>""</f>
        <v/>
      </c>
      <c r="F3526" s="20" t="str">
        <f>IF($C3526="","",IF(Registro_Compras!$F$395="NOTA DE CREDITO",ROUND(ABS(Registro_Compras!$K$395*Registro_Compras!$N$395),2),IF(Registro_Compras!$F$395="RHE",(ROUND(Registro_Compras!$L$395*Registro_Compras!$N$395,2)-ROUND(Registro_Compras!$V$395*Registro_Compras!$N$395,2)),Registro_Compras!$O$395)))</f>
        <v/>
      </c>
      <c r="G3526" t="str">
        <f>IF($C3526="","",IF(Registro_Compras!$F$395="NOTA DE CREDITO","Por la nota de credito "&amp;Registro_Compras!$C$395&amp;" de "&amp;Registro_Compras!$E$395&amp;" [PATRON POR CONFIRMAR CON CONTADOR]",IF(Registro_Compras!$F$395="RHE","Por el registro del recibo por honorarios "&amp;Registro_Compras!$C$395&amp;" de "&amp;Registro_Compras!$E$395&amp;" [PATRON POR CONFIRMAR CON CONTADOR]","Por el registro de la factura "&amp;Registro_Compras!$C$395&amp;" de "&amp;Registro_Compras!$E$395)))</f>
        <v/>
      </c>
      <c r="H3526" t="str">
        <f>IF($C3526="","",Registro_Compras!$C$395)</f>
        <v/>
      </c>
    </row>
    <row r="3527" spans="1:8" x14ac:dyDescent="0.25">
      <c r="A3527" s="25" t="str">
        <f>IF($C3527="","",Registro_Compras!$B$395)</f>
        <v/>
      </c>
      <c r="B3527" t="str">
        <f>IF($C3527="","","C"&amp;TEXT(INT((ROW()-5)/9)+1,"000")&amp;"-2")</f>
        <v/>
      </c>
      <c r="C3527" t="str">
        <f>IF(OR(Registro_Compras!$C$395="",Registro_Compras!$O$395=""),"",IF(Registro_Compras!$AB$395="ADMINISTRATIVO","94","95"))</f>
        <v/>
      </c>
      <c r="D3527" t="str">
        <f>IF(OR(Registro_Compras!$C$395="",Registro_Compras!$O$395=""),"",IF(Registro_Compras!$AB$395="ADMINISTRATIVO","Gastos Administrativos","Gastos de Venta y Operacion"))</f>
        <v/>
      </c>
      <c r="E3527" s="20" t="str">
        <f>IF($C3527="","",IF(Registro_Compras!$F$395="NOTA DE CREDITO","",IF(Registro_Compras!$F$395="RHE",ROUND(Registro_Compras!$L$395*Registro_Compras!$N$395,2),ROUND(Registro_Compras!$J$395*Registro_Compras!$N$395,2))))</f>
        <v/>
      </c>
      <c r="F3527" s="20" t="str">
        <f>IF($C3527="","",IF(Registro_Compras!$F$395="NOTA DE CREDITO",ROUND(ABS(Registro_Compras!$J$395*Registro_Compras!$N$395),2),""))</f>
        <v/>
      </c>
      <c r="G3527" t="str">
        <f>IF($C3527="","","Por el destino del gasto")</f>
        <v/>
      </c>
      <c r="H3527" t="str">
        <f>IF($C3527="","",Registro_Compras!$C$395)</f>
        <v/>
      </c>
    </row>
    <row r="3528" spans="1:8" x14ac:dyDescent="0.25">
      <c r="A3528" s="25" t="str">
        <f>IF($C3528="","",Registro_Compras!$B$395)</f>
        <v/>
      </c>
      <c r="B3528" t="str">
        <f>IF($C3528="","","C"&amp;TEXT(INT((ROW()-5)/9)+1,"000")&amp;"-2")</f>
        <v/>
      </c>
      <c r="C3528" t="str">
        <f>IF(OR(Registro_Compras!$C$395="",Registro_Compras!$O$395=""),"","79/791")</f>
        <v/>
      </c>
      <c r="D3528" t="str">
        <f>IF(OR(Registro_Compras!$C$395="",Registro_Compras!$O$395=""),"","Cargas Imputables a Cuentas de Costos y Gastos")</f>
        <v/>
      </c>
      <c r="E3528" s="20" t="str">
        <f>IF($C3528="","",IF(Registro_Compras!$F$395="NOTA DE CREDITO",ROUND(ABS(Registro_Compras!$J$395*Registro_Compras!$N$395),2),""))</f>
        <v/>
      </c>
      <c r="F3528" s="20" t="str">
        <f>IF($C3528="","",IF(Registro_Compras!$F$395="NOTA DE CREDITO","",IF(Registro_Compras!$F$395="RHE",ROUND(Registro_Compras!$L$395*Registro_Compras!$N$395,2),ROUND(Registro_Compras!$J$395*Registro_Compras!$N$395,2))))</f>
        <v/>
      </c>
      <c r="G3528" t="str">
        <f>IF($C3528="","","Por el destino del gasto")</f>
        <v/>
      </c>
      <c r="H3528" t="str">
        <f>IF($C3528="","",Registro_Compras!$C$395)</f>
        <v/>
      </c>
    </row>
    <row r="3529" spans="1:8" x14ac:dyDescent="0.25">
      <c r="A3529" s="25" t="str">
        <f>IF($C3529="","",Registro_Compras!$X$395)</f>
        <v/>
      </c>
      <c r="B3529" t="str">
        <f>IF($C3529="","","C"&amp;TEXT(INT((ROW()-5)/9)+1,"000")&amp;"-3")</f>
        <v/>
      </c>
      <c r="C3529" t="str">
        <f>IF(OR(Registro_Compras!$C$395="",Registro_Compras!$O$395="",Registro_Compras!$R$395&lt;&gt;"SI",Registro_Compras!$X$395=""),"","4212")</f>
        <v/>
      </c>
      <c r="D3529" t="str">
        <f>IF(OR(Registro_Compras!$C$395="",Registro_Compras!$O$395=""),"","Cuentas por Pagar Comerciales - Terceros")</f>
        <v/>
      </c>
      <c r="E3529" s="20" t="str">
        <f>IF($C3529="","",Registro_Compras!$S$395)</f>
        <v/>
      </c>
      <c r="F3529" s="20" t="str">
        <f>""</f>
        <v/>
      </c>
      <c r="G3529" t="str">
        <f>IF($C3529="","","Por el deposito de la detraccion en el Banco de la Nacion")</f>
        <v/>
      </c>
      <c r="H3529" t="str">
        <f>IF($C3529="","",Registro_Compras!$C$395)</f>
        <v/>
      </c>
    </row>
    <row r="3530" spans="1:8" x14ac:dyDescent="0.25">
      <c r="A3530" s="25" t="str">
        <f>IF($C3530="","",Registro_Compras!$X$395)</f>
        <v/>
      </c>
      <c r="B3530" t="str">
        <f>IF($C3530="","","C"&amp;TEXT(INT((ROW()-5)/9)+1,"000")&amp;"-3")</f>
        <v/>
      </c>
      <c r="C3530" t="str">
        <f>IF(OR(Registro_Compras!$C$395="",Registro_Compras!$O$395="",Registro_Compras!$R$395&lt;&gt;"SI",Registro_Compras!$X$395=""),"","1041")</f>
        <v/>
      </c>
      <c r="D3530" t="str">
        <f>IF(OR(Registro_Compras!$C$395="",Registro_Compras!$O$395=""),"","Efectivo y Equivalentes - Cta. Cte. Operativa")</f>
        <v/>
      </c>
      <c r="E3530" s="20" t="str">
        <f>""</f>
        <v/>
      </c>
      <c r="F3530" s="20" t="str">
        <f>IF($C3530="","",Registro_Compras!$S$395)</f>
        <v/>
      </c>
      <c r="G3530" t="str">
        <f>IF($C3530="","","Por el deposito de la detraccion en el Banco de la Nacion")</f>
        <v/>
      </c>
      <c r="H3530" t="str">
        <f>IF($C3530="","",Registro_Compras!$C$395)</f>
        <v/>
      </c>
    </row>
    <row r="3531" spans="1:8" x14ac:dyDescent="0.25">
      <c r="A3531" s="25" t="str">
        <f>IF($C3531="","",Registro_Compras!$Y$395)</f>
        <v/>
      </c>
      <c r="B3531" t="str">
        <f>IF($C3531="","","C"&amp;TEXT(INT((ROW()-5)/9)+1,"000")&amp;"-4")</f>
        <v/>
      </c>
      <c r="C3531" t="str">
        <f>IF(OR(Registro_Compras!$C$395="",Registro_Compras!$O$395="",Registro_Compras!$Y$395="",Registro_Compras!$F$395="NOTA DE CREDITO"),"","4212")</f>
        <v/>
      </c>
      <c r="D3531" t="str">
        <f>IF(OR(Registro_Compras!$C$395="",Registro_Compras!$O$395=""),"","Cuentas por Pagar Comerciales - Terceros")</f>
        <v/>
      </c>
      <c r="E3531" s="20" t="str">
        <f>IF($C3531="","",IF(Registro_Compras!$F$395="RHE",(ROUND(Registro_Compras!$L$395*Registro_Compras!$N$395,2)-ROUND(Registro_Compras!$V$395*Registro_Compras!$N$395,2)),ROUND(Registro_Compras!$O$395-Registro_Compras!$S$395,2)))</f>
        <v/>
      </c>
      <c r="F3531" s="20" t="str">
        <f>""</f>
        <v/>
      </c>
      <c r="G3531" t="str">
        <f>IF($C3531="","","Por la cancelacion del saldo al proveedor")</f>
        <v/>
      </c>
      <c r="H3531" t="str">
        <f>IF($C3531="","",Registro_Compras!$C$395)</f>
        <v/>
      </c>
    </row>
    <row r="3532" spans="1:8" x14ac:dyDescent="0.25">
      <c r="A3532" s="25" t="str">
        <f>IF($C3532="","",Registro_Compras!$Y$395)</f>
        <v/>
      </c>
      <c r="B3532" t="str">
        <f>IF($C3532="","","C"&amp;TEXT(INT((ROW()-5)/9)+1,"000")&amp;"-4")</f>
        <v/>
      </c>
      <c r="C3532" t="str">
        <f>IF(OR(Registro_Compras!$C$395="",Registro_Compras!$O$395="",Registro_Compras!$Y$395="",Registro_Compras!$F$395="NOTA DE CREDITO"),"","1041")</f>
        <v/>
      </c>
      <c r="D3532" t="str">
        <f>IF(OR(Registro_Compras!$C$395="",Registro_Compras!$O$395=""),"","Efectivo y Equivalentes - Cta. Cte. Operativa")</f>
        <v/>
      </c>
      <c r="E3532" s="20" t="str">
        <f>""</f>
        <v/>
      </c>
      <c r="F3532" s="20" t="str">
        <f>IF($C3532="","",IF(Registro_Compras!$F$395="RHE",(ROUND(Registro_Compras!$L$395*Registro_Compras!$N$395,2)-ROUND(Registro_Compras!$V$395*Registro_Compras!$N$395,2)),ROUND(Registro_Compras!$O$395-Registro_Compras!$S$395,2)))</f>
        <v/>
      </c>
      <c r="G3532" t="str">
        <f>IF($C3532="","","Por la cancelacion del saldo al proveedor")</f>
        <v/>
      </c>
      <c r="H3532" t="str">
        <f>IF($C3532="","",Registro_Compras!$C$395)</f>
        <v/>
      </c>
    </row>
    <row r="3533" spans="1:8" x14ac:dyDescent="0.25">
      <c r="A3533" s="25" t="str">
        <f>IF($C3533="","",Registro_Compras!$B$396)</f>
        <v/>
      </c>
      <c r="B3533" t="str">
        <f>IF($C3533="","","C"&amp;TEXT(INT((ROW()-5)/9)+1,"000")&amp;"-1")</f>
        <v/>
      </c>
      <c r="C3533" t="str">
        <f>IF(OR(Registro_Compras!$C$396="",Registro_Compras!$O$396=""),"",IF(Registro_Compras!$F$396="NOTA DE CREDITO","4212",IF(Registro_Compras!$M$396="","63",Registro_Compras!$M$396)))</f>
        <v/>
      </c>
      <c r="D3533" t="str">
        <f>IF(OR(Registro_Compras!$C$396="",Registro_Compras!$O$396=""),"",IF(Registro_Compras!$F$396="NOTA DE CREDITO","Cuentas por Pagar Comerciales - Terceros (Emitidas)",IF(Registro_Compras!$F$396="RHE","Honorarios Profesionales - Servicios de Terceros","Gastos de Servicios Prestados por Terceros")))</f>
        <v/>
      </c>
      <c r="E3533" s="20" t="str">
        <f>IF($C3533="","",IF(Registro_Compras!$F$396="NOTA DE CREDITO",ABS(Registro_Compras!$O$396),IF(Registro_Compras!$F$396="RHE",ROUND(Registro_Compras!$L$396*Registro_Compras!$N$396,2),ROUND(Registro_Compras!$J$396*Registro_Compras!$N$396,2))))</f>
        <v/>
      </c>
      <c r="F3533" s="20" t="str">
        <f>""</f>
        <v/>
      </c>
      <c r="G3533" t="str">
        <f>IF($C3533="","",IF(Registro_Compras!$F$396="NOTA DE CREDITO","Por la nota de credito "&amp;Registro_Compras!$C$396&amp;" de "&amp;Registro_Compras!$E$396&amp;" [PATRON POR CONFIRMAR CON CONTADOR]",IF(Registro_Compras!$F$396="RHE","Por el registro del recibo por honorarios "&amp;Registro_Compras!$C$396&amp;" de "&amp;Registro_Compras!$E$396&amp;" [PATRON POR CONFIRMAR CON CONTADOR]","Por el registro de la factura "&amp;Registro_Compras!$C$396&amp;" de "&amp;Registro_Compras!$E$396)))</f>
        <v/>
      </c>
      <c r="H3533" t="str">
        <f>IF($C3533="","",Registro_Compras!$C$396)</f>
        <v/>
      </c>
    </row>
    <row r="3534" spans="1:8" x14ac:dyDescent="0.25">
      <c r="A3534" s="25" t="str">
        <f>IF($C3534="","",Registro_Compras!$B$396)</f>
        <v/>
      </c>
      <c r="B3534" t="str">
        <f>IF($C3534="","","C"&amp;TEXT(INT((ROW()-5)/9)+1,"000")&amp;"-1")</f>
        <v/>
      </c>
      <c r="C3534" t="str">
        <f>IF(OR(Registro_Compras!$C$396="",Registro_Compras!$O$396=""),"",IF(Registro_Compras!$F$396="RHE",IF(Registro_Compras!$V$396=0,"","4017"),IF(Registro_Compras!$F$396="NOTA DE CREDITO",IF(Registro_Compras!$M$396="","63",Registro_Compras!$M$396),IF(Registro_Compras!$K$396=0,"","40111"))))</f>
        <v/>
      </c>
      <c r="D3534" t="str">
        <f>IF(OR(Registro_Compras!$C$396="",Registro_Compras!$O$396=""),"",IF(Registro_Compras!$F$396="RHE","Retencion Renta 4ta Categoria por Pagar",IF(Registro_Compras!$F$396="NOTA DE CREDITO","Gastos de Servicios Prestados por Terceros","IGV - Cuenta Propia (Credito Fiscal)")))</f>
        <v/>
      </c>
      <c r="E3534" s="20" t="str">
        <f>IF($C3534="","",IF(Registro_Compras!$F$396="FACTURA",ROUND(Registro_Compras!$K$396*Registro_Compras!$N$396,2),""))</f>
        <v/>
      </c>
      <c r="F3534" s="20" t="str">
        <f>IF($C3534="","",IF(Registro_Compras!$F$396="RHE",ROUND(Registro_Compras!$V$396*Registro_Compras!$N$396,2),IF(Registro_Compras!$F$396="NOTA DE CREDITO",ROUND(ABS(Registro_Compras!$J$396*Registro_Compras!$N$396),2),"")))</f>
        <v/>
      </c>
      <c r="G3534" t="str">
        <f>IF($C3534="","",IF(Registro_Compras!$F$396="NOTA DE CREDITO","Por la nota de credito "&amp;Registro_Compras!$C$396&amp;" de "&amp;Registro_Compras!$E$396&amp;" [PATRON POR CONFIRMAR CON CONTADOR]",IF(Registro_Compras!$F$396="RHE","Por el registro del recibo por honorarios "&amp;Registro_Compras!$C$396&amp;" de "&amp;Registro_Compras!$E$396&amp;" [PATRON POR CONFIRMAR CON CONTADOR]","Por el registro de la factura "&amp;Registro_Compras!$C$396&amp;" de "&amp;Registro_Compras!$E$396)))</f>
        <v/>
      </c>
      <c r="H3534" t="str">
        <f>IF($C3534="","",Registro_Compras!$C$396)</f>
        <v/>
      </c>
    </row>
    <row r="3535" spans="1:8" x14ac:dyDescent="0.25">
      <c r="A3535" s="25" t="str">
        <f>IF($C3535="","",Registro_Compras!$B$396)</f>
        <v/>
      </c>
      <c r="B3535" t="str">
        <f>IF($C3535="","","C"&amp;TEXT(INT((ROW()-5)/9)+1,"000")&amp;"-1")</f>
        <v/>
      </c>
      <c r="C3535" t="str">
        <f>IF(OR(Registro_Compras!$C$396="",Registro_Compras!$O$396=""),"",IF(Registro_Compras!$F$396="NOTA DE CREDITO",IF(Registro_Compras!$K$396=0,"","40111"),"4212"))</f>
        <v/>
      </c>
      <c r="D3535" t="str">
        <f>IF(OR(Registro_Compras!$C$396="",Registro_Compras!$O$396=""),"",IF(Registro_Compras!$F$396="NOTA DE CREDITO","IGV - Cuenta Propia (Credito Fiscal)","Cuentas por Pagar Comerciales - Terceros (Emitidas)"))</f>
        <v/>
      </c>
      <c r="E3535" s="20" t="str">
        <f>""</f>
        <v/>
      </c>
      <c r="F3535" s="20" t="str">
        <f>IF($C3535="","",IF(Registro_Compras!$F$396="NOTA DE CREDITO",ROUND(ABS(Registro_Compras!$K$396*Registro_Compras!$N$396),2),IF(Registro_Compras!$F$396="RHE",(ROUND(Registro_Compras!$L$396*Registro_Compras!$N$396,2)-ROUND(Registro_Compras!$V$396*Registro_Compras!$N$396,2)),Registro_Compras!$O$396)))</f>
        <v/>
      </c>
      <c r="G3535" t="str">
        <f>IF($C3535="","",IF(Registro_Compras!$F$396="NOTA DE CREDITO","Por la nota de credito "&amp;Registro_Compras!$C$396&amp;" de "&amp;Registro_Compras!$E$396&amp;" [PATRON POR CONFIRMAR CON CONTADOR]",IF(Registro_Compras!$F$396="RHE","Por el registro del recibo por honorarios "&amp;Registro_Compras!$C$396&amp;" de "&amp;Registro_Compras!$E$396&amp;" [PATRON POR CONFIRMAR CON CONTADOR]","Por el registro de la factura "&amp;Registro_Compras!$C$396&amp;" de "&amp;Registro_Compras!$E$396)))</f>
        <v/>
      </c>
      <c r="H3535" t="str">
        <f>IF($C3535="","",Registro_Compras!$C$396)</f>
        <v/>
      </c>
    </row>
    <row r="3536" spans="1:8" x14ac:dyDescent="0.25">
      <c r="A3536" s="25" t="str">
        <f>IF($C3536="","",Registro_Compras!$B$396)</f>
        <v/>
      </c>
      <c r="B3536" t="str">
        <f>IF($C3536="","","C"&amp;TEXT(INT((ROW()-5)/9)+1,"000")&amp;"-2")</f>
        <v/>
      </c>
      <c r="C3536" t="str">
        <f>IF(OR(Registro_Compras!$C$396="",Registro_Compras!$O$396=""),"",IF(Registro_Compras!$AB$396="ADMINISTRATIVO","94","95"))</f>
        <v/>
      </c>
      <c r="D3536" t="str">
        <f>IF(OR(Registro_Compras!$C$396="",Registro_Compras!$O$396=""),"",IF(Registro_Compras!$AB$396="ADMINISTRATIVO","Gastos Administrativos","Gastos de Venta y Operacion"))</f>
        <v/>
      </c>
      <c r="E3536" s="20" t="str">
        <f>IF($C3536="","",IF(Registro_Compras!$F$396="NOTA DE CREDITO","",IF(Registro_Compras!$F$396="RHE",ROUND(Registro_Compras!$L$396*Registro_Compras!$N$396,2),ROUND(Registro_Compras!$J$396*Registro_Compras!$N$396,2))))</f>
        <v/>
      </c>
      <c r="F3536" s="20" t="str">
        <f>IF($C3536="","",IF(Registro_Compras!$F$396="NOTA DE CREDITO",ROUND(ABS(Registro_Compras!$J$396*Registro_Compras!$N$396),2),""))</f>
        <v/>
      </c>
      <c r="G3536" t="str">
        <f>IF($C3536="","","Por el destino del gasto")</f>
        <v/>
      </c>
      <c r="H3536" t="str">
        <f>IF($C3536="","",Registro_Compras!$C$396)</f>
        <v/>
      </c>
    </row>
    <row r="3537" spans="1:8" x14ac:dyDescent="0.25">
      <c r="A3537" s="25" t="str">
        <f>IF($C3537="","",Registro_Compras!$B$396)</f>
        <v/>
      </c>
      <c r="B3537" t="str">
        <f>IF($C3537="","","C"&amp;TEXT(INT((ROW()-5)/9)+1,"000")&amp;"-2")</f>
        <v/>
      </c>
      <c r="C3537" t="str">
        <f>IF(OR(Registro_Compras!$C$396="",Registro_Compras!$O$396=""),"","79/791")</f>
        <v/>
      </c>
      <c r="D3537" t="str">
        <f>IF(OR(Registro_Compras!$C$396="",Registro_Compras!$O$396=""),"","Cargas Imputables a Cuentas de Costos y Gastos")</f>
        <v/>
      </c>
      <c r="E3537" s="20" t="str">
        <f>IF($C3537="","",IF(Registro_Compras!$F$396="NOTA DE CREDITO",ROUND(ABS(Registro_Compras!$J$396*Registro_Compras!$N$396),2),""))</f>
        <v/>
      </c>
      <c r="F3537" s="20" t="str">
        <f>IF($C3537="","",IF(Registro_Compras!$F$396="NOTA DE CREDITO","",IF(Registro_Compras!$F$396="RHE",ROUND(Registro_Compras!$L$396*Registro_Compras!$N$396,2),ROUND(Registro_Compras!$J$396*Registro_Compras!$N$396,2))))</f>
        <v/>
      </c>
      <c r="G3537" t="str">
        <f>IF($C3537="","","Por el destino del gasto")</f>
        <v/>
      </c>
      <c r="H3537" t="str">
        <f>IF($C3537="","",Registro_Compras!$C$396)</f>
        <v/>
      </c>
    </row>
    <row r="3538" spans="1:8" x14ac:dyDescent="0.25">
      <c r="A3538" s="25" t="str">
        <f>IF($C3538="","",Registro_Compras!$X$396)</f>
        <v/>
      </c>
      <c r="B3538" t="str">
        <f>IF($C3538="","","C"&amp;TEXT(INT((ROW()-5)/9)+1,"000")&amp;"-3")</f>
        <v/>
      </c>
      <c r="C3538" t="str">
        <f>IF(OR(Registro_Compras!$C$396="",Registro_Compras!$O$396="",Registro_Compras!$R$396&lt;&gt;"SI",Registro_Compras!$X$396=""),"","4212")</f>
        <v/>
      </c>
      <c r="D3538" t="str">
        <f>IF(OR(Registro_Compras!$C$396="",Registro_Compras!$O$396=""),"","Cuentas por Pagar Comerciales - Terceros")</f>
        <v/>
      </c>
      <c r="E3538" s="20" t="str">
        <f>IF($C3538="","",Registro_Compras!$S$396)</f>
        <v/>
      </c>
      <c r="F3538" s="20" t="str">
        <f>""</f>
        <v/>
      </c>
      <c r="G3538" t="str">
        <f>IF($C3538="","","Por el deposito de la detraccion en el Banco de la Nacion")</f>
        <v/>
      </c>
      <c r="H3538" t="str">
        <f>IF($C3538="","",Registro_Compras!$C$396)</f>
        <v/>
      </c>
    </row>
    <row r="3539" spans="1:8" x14ac:dyDescent="0.25">
      <c r="A3539" s="25" t="str">
        <f>IF($C3539="","",Registro_Compras!$X$396)</f>
        <v/>
      </c>
      <c r="B3539" t="str">
        <f>IF($C3539="","","C"&amp;TEXT(INT((ROW()-5)/9)+1,"000")&amp;"-3")</f>
        <v/>
      </c>
      <c r="C3539" t="str">
        <f>IF(OR(Registro_Compras!$C$396="",Registro_Compras!$O$396="",Registro_Compras!$R$396&lt;&gt;"SI",Registro_Compras!$X$396=""),"","1041")</f>
        <v/>
      </c>
      <c r="D3539" t="str">
        <f>IF(OR(Registro_Compras!$C$396="",Registro_Compras!$O$396=""),"","Efectivo y Equivalentes - Cta. Cte. Operativa")</f>
        <v/>
      </c>
      <c r="E3539" s="20" t="str">
        <f>""</f>
        <v/>
      </c>
      <c r="F3539" s="20" t="str">
        <f>IF($C3539="","",Registro_Compras!$S$396)</f>
        <v/>
      </c>
      <c r="G3539" t="str">
        <f>IF($C3539="","","Por el deposito de la detraccion en el Banco de la Nacion")</f>
        <v/>
      </c>
      <c r="H3539" t="str">
        <f>IF($C3539="","",Registro_Compras!$C$396)</f>
        <v/>
      </c>
    </row>
    <row r="3540" spans="1:8" x14ac:dyDescent="0.25">
      <c r="A3540" s="25" t="str">
        <f>IF($C3540="","",Registro_Compras!$Y$396)</f>
        <v/>
      </c>
      <c r="B3540" t="str">
        <f>IF($C3540="","","C"&amp;TEXT(INT((ROW()-5)/9)+1,"000")&amp;"-4")</f>
        <v/>
      </c>
      <c r="C3540" t="str">
        <f>IF(OR(Registro_Compras!$C$396="",Registro_Compras!$O$396="",Registro_Compras!$Y$396="",Registro_Compras!$F$396="NOTA DE CREDITO"),"","4212")</f>
        <v/>
      </c>
      <c r="D3540" t="str">
        <f>IF(OR(Registro_Compras!$C$396="",Registro_Compras!$O$396=""),"","Cuentas por Pagar Comerciales - Terceros")</f>
        <v/>
      </c>
      <c r="E3540" s="20" t="str">
        <f>IF($C3540="","",IF(Registro_Compras!$F$396="RHE",(ROUND(Registro_Compras!$L$396*Registro_Compras!$N$396,2)-ROUND(Registro_Compras!$V$396*Registro_Compras!$N$396,2)),ROUND(Registro_Compras!$O$396-Registro_Compras!$S$396,2)))</f>
        <v/>
      </c>
      <c r="F3540" s="20" t="str">
        <f>""</f>
        <v/>
      </c>
      <c r="G3540" t="str">
        <f>IF($C3540="","","Por la cancelacion del saldo al proveedor")</f>
        <v/>
      </c>
      <c r="H3540" t="str">
        <f>IF($C3540="","",Registro_Compras!$C$396)</f>
        <v/>
      </c>
    </row>
    <row r="3541" spans="1:8" x14ac:dyDescent="0.25">
      <c r="A3541" s="25" t="str">
        <f>IF($C3541="","",Registro_Compras!$Y$396)</f>
        <v/>
      </c>
      <c r="B3541" t="str">
        <f>IF($C3541="","","C"&amp;TEXT(INT((ROW()-5)/9)+1,"000")&amp;"-4")</f>
        <v/>
      </c>
      <c r="C3541" t="str">
        <f>IF(OR(Registro_Compras!$C$396="",Registro_Compras!$O$396="",Registro_Compras!$Y$396="",Registro_Compras!$F$396="NOTA DE CREDITO"),"","1041")</f>
        <v/>
      </c>
      <c r="D3541" t="str">
        <f>IF(OR(Registro_Compras!$C$396="",Registro_Compras!$O$396=""),"","Efectivo y Equivalentes - Cta. Cte. Operativa")</f>
        <v/>
      </c>
      <c r="E3541" s="20" t="str">
        <f>""</f>
        <v/>
      </c>
      <c r="F3541" s="20" t="str">
        <f>IF($C3541="","",IF(Registro_Compras!$F$396="RHE",(ROUND(Registro_Compras!$L$396*Registro_Compras!$N$396,2)-ROUND(Registro_Compras!$V$396*Registro_Compras!$N$396,2)),ROUND(Registro_Compras!$O$396-Registro_Compras!$S$396,2)))</f>
        <v/>
      </c>
      <c r="G3541" t="str">
        <f>IF($C3541="","","Por la cancelacion del saldo al proveedor")</f>
        <v/>
      </c>
      <c r="H3541" t="str">
        <f>IF($C3541="","",Registro_Compras!$C$396)</f>
        <v/>
      </c>
    </row>
    <row r="3542" spans="1:8" x14ac:dyDescent="0.25">
      <c r="A3542" s="25" t="str">
        <f>IF($C3542="","",Registro_Compras!$B$397)</f>
        <v/>
      </c>
      <c r="B3542" t="str">
        <f>IF($C3542="","","C"&amp;TEXT(INT((ROW()-5)/9)+1,"000")&amp;"-1")</f>
        <v/>
      </c>
      <c r="C3542" t="str">
        <f>IF(OR(Registro_Compras!$C$397="",Registro_Compras!$O$397=""),"",IF(Registro_Compras!$F$397="NOTA DE CREDITO","4212",IF(Registro_Compras!$M$397="","63",Registro_Compras!$M$397)))</f>
        <v/>
      </c>
      <c r="D3542" t="str">
        <f>IF(OR(Registro_Compras!$C$397="",Registro_Compras!$O$397=""),"",IF(Registro_Compras!$F$397="NOTA DE CREDITO","Cuentas por Pagar Comerciales - Terceros (Emitidas)",IF(Registro_Compras!$F$397="RHE","Honorarios Profesionales - Servicios de Terceros","Gastos de Servicios Prestados por Terceros")))</f>
        <v/>
      </c>
      <c r="E3542" s="20" t="str">
        <f>IF($C3542="","",IF(Registro_Compras!$F$397="NOTA DE CREDITO",ABS(Registro_Compras!$O$397),IF(Registro_Compras!$F$397="RHE",ROUND(Registro_Compras!$L$397*Registro_Compras!$N$397,2),ROUND(Registro_Compras!$J$397*Registro_Compras!$N$397,2))))</f>
        <v/>
      </c>
      <c r="F3542" s="20" t="str">
        <f>""</f>
        <v/>
      </c>
      <c r="G3542" t="str">
        <f>IF($C3542="","",IF(Registro_Compras!$F$397="NOTA DE CREDITO","Por la nota de credito "&amp;Registro_Compras!$C$397&amp;" de "&amp;Registro_Compras!$E$397&amp;" [PATRON POR CONFIRMAR CON CONTADOR]",IF(Registro_Compras!$F$397="RHE","Por el registro del recibo por honorarios "&amp;Registro_Compras!$C$397&amp;" de "&amp;Registro_Compras!$E$397&amp;" [PATRON POR CONFIRMAR CON CONTADOR]","Por el registro de la factura "&amp;Registro_Compras!$C$397&amp;" de "&amp;Registro_Compras!$E$397)))</f>
        <v/>
      </c>
      <c r="H3542" t="str">
        <f>IF($C3542="","",Registro_Compras!$C$397)</f>
        <v/>
      </c>
    </row>
    <row r="3543" spans="1:8" x14ac:dyDescent="0.25">
      <c r="A3543" s="25" t="str">
        <f>IF($C3543="","",Registro_Compras!$B$397)</f>
        <v/>
      </c>
      <c r="B3543" t="str">
        <f>IF($C3543="","","C"&amp;TEXT(INT((ROW()-5)/9)+1,"000")&amp;"-1")</f>
        <v/>
      </c>
      <c r="C3543" t="str">
        <f>IF(OR(Registro_Compras!$C$397="",Registro_Compras!$O$397=""),"",IF(Registro_Compras!$F$397="RHE",IF(Registro_Compras!$V$397=0,"","4017"),IF(Registro_Compras!$F$397="NOTA DE CREDITO",IF(Registro_Compras!$M$397="","63",Registro_Compras!$M$397),IF(Registro_Compras!$K$397=0,"","40111"))))</f>
        <v/>
      </c>
      <c r="D3543" t="str">
        <f>IF(OR(Registro_Compras!$C$397="",Registro_Compras!$O$397=""),"",IF(Registro_Compras!$F$397="RHE","Retencion Renta 4ta Categoria por Pagar",IF(Registro_Compras!$F$397="NOTA DE CREDITO","Gastos de Servicios Prestados por Terceros","IGV - Cuenta Propia (Credito Fiscal)")))</f>
        <v/>
      </c>
      <c r="E3543" s="20" t="str">
        <f>IF($C3543="","",IF(Registro_Compras!$F$397="FACTURA",ROUND(Registro_Compras!$K$397*Registro_Compras!$N$397,2),""))</f>
        <v/>
      </c>
      <c r="F3543" s="20" t="str">
        <f>IF($C3543="","",IF(Registro_Compras!$F$397="RHE",ROUND(Registro_Compras!$V$397*Registro_Compras!$N$397,2),IF(Registro_Compras!$F$397="NOTA DE CREDITO",ROUND(ABS(Registro_Compras!$J$397*Registro_Compras!$N$397),2),"")))</f>
        <v/>
      </c>
      <c r="G3543" t="str">
        <f>IF($C3543="","",IF(Registro_Compras!$F$397="NOTA DE CREDITO","Por la nota de credito "&amp;Registro_Compras!$C$397&amp;" de "&amp;Registro_Compras!$E$397&amp;" [PATRON POR CONFIRMAR CON CONTADOR]",IF(Registro_Compras!$F$397="RHE","Por el registro del recibo por honorarios "&amp;Registro_Compras!$C$397&amp;" de "&amp;Registro_Compras!$E$397&amp;" [PATRON POR CONFIRMAR CON CONTADOR]","Por el registro de la factura "&amp;Registro_Compras!$C$397&amp;" de "&amp;Registro_Compras!$E$397)))</f>
        <v/>
      </c>
      <c r="H3543" t="str">
        <f>IF($C3543="","",Registro_Compras!$C$397)</f>
        <v/>
      </c>
    </row>
    <row r="3544" spans="1:8" x14ac:dyDescent="0.25">
      <c r="A3544" s="25" t="str">
        <f>IF($C3544="","",Registro_Compras!$B$397)</f>
        <v/>
      </c>
      <c r="B3544" t="str">
        <f>IF($C3544="","","C"&amp;TEXT(INT((ROW()-5)/9)+1,"000")&amp;"-1")</f>
        <v/>
      </c>
      <c r="C3544" t="str">
        <f>IF(OR(Registro_Compras!$C$397="",Registro_Compras!$O$397=""),"",IF(Registro_Compras!$F$397="NOTA DE CREDITO",IF(Registro_Compras!$K$397=0,"","40111"),"4212"))</f>
        <v/>
      </c>
      <c r="D3544" t="str">
        <f>IF(OR(Registro_Compras!$C$397="",Registro_Compras!$O$397=""),"",IF(Registro_Compras!$F$397="NOTA DE CREDITO","IGV - Cuenta Propia (Credito Fiscal)","Cuentas por Pagar Comerciales - Terceros (Emitidas)"))</f>
        <v/>
      </c>
      <c r="E3544" s="20" t="str">
        <f>""</f>
        <v/>
      </c>
      <c r="F3544" s="20" t="str">
        <f>IF($C3544="","",IF(Registro_Compras!$F$397="NOTA DE CREDITO",ROUND(ABS(Registro_Compras!$K$397*Registro_Compras!$N$397),2),IF(Registro_Compras!$F$397="RHE",(ROUND(Registro_Compras!$L$397*Registro_Compras!$N$397,2)-ROUND(Registro_Compras!$V$397*Registro_Compras!$N$397,2)),Registro_Compras!$O$397)))</f>
        <v/>
      </c>
      <c r="G3544" t="str">
        <f>IF($C3544="","",IF(Registro_Compras!$F$397="NOTA DE CREDITO","Por la nota de credito "&amp;Registro_Compras!$C$397&amp;" de "&amp;Registro_Compras!$E$397&amp;" [PATRON POR CONFIRMAR CON CONTADOR]",IF(Registro_Compras!$F$397="RHE","Por el registro del recibo por honorarios "&amp;Registro_Compras!$C$397&amp;" de "&amp;Registro_Compras!$E$397&amp;" [PATRON POR CONFIRMAR CON CONTADOR]","Por el registro de la factura "&amp;Registro_Compras!$C$397&amp;" de "&amp;Registro_Compras!$E$397)))</f>
        <v/>
      </c>
      <c r="H3544" t="str">
        <f>IF($C3544="","",Registro_Compras!$C$397)</f>
        <v/>
      </c>
    </row>
    <row r="3545" spans="1:8" x14ac:dyDescent="0.25">
      <c r="A3545" s="25" t="str">
        <f>IF($C3545="","",Registro_Compras!$B$397)</f>
        <v/>
      </c>
      <c r="B3545" t="str">
        <f>IF($C3545="","","C"&amp;TEXT(INT((ROW()-5)/9)+1,"000")&amp;"-2")</f>
        <v/>
      </c>
      <c r="C3545" t="str">
        <f>IF(OR(Registro_Compras!$C$397="",Registro_Compras!$O$397=""),"",IF(Registro_Compras!$AB$397="ADMINISTRATIVO","94","95"))</f>
        <v/>
      </c>
      <c r="D3545" t="str">
        <f>IF(OR(Registro_Compras!$C$397="",Registro_Compras!$O$397=""),"",IF(Registro_Compras!$AB$397="ADMINISTRATIVO","Gastos Administrativos","Gastos de Venta y Operacion"))</f>
        <v/>
      </c>
      <c r="E3545" s="20" t="str">
        <f>IF($C3545="","",IF(Registro_Compras!$F$397="NOTA DE CREDITO","",IF(Registro_Compras!$F$397="RHE",ROUND(Registro_Compras!$L$397*Registro_Compras!$N$397,2),ROUND(Registro_Compras!$J$397*Registro_Compras!$N$397,2))))</f>
        <v/>
      </c>
      <c r="F3545" s="20" t="str">
        <f>IF($C3545="","",IF(Registro_Compras!$F$397="NOTA DE CREDITO",ROUND(ABS(Registro_Compras!$J$397*Registro_Compras!$N$397),2),""))</f>
        <v/>
      </c>
      <c r="G3545" t="str">
        <f>IF($C3545="","","Por el destino del gasto")</f>
        <v/>
      </c>
      <c r="H3545" t="str">
        <f>IF($C3545="","",Registro_Compras!$C$397)</f>
        <v/>
      </c>
    </row>
    <row r="3546" spans="1:8" x14ac:dyDescent="0.25">
      <c r="A3546" s="25" t="str">
        <f>IF($C3546="","",Registro_Compras!$B$397)</f>
        <v/>
      </c>
      <c r="B3546" t="str">
        <f>IF($C3546="","","C"&amp;TEXT(INT((ROW()-5)/9)+1,"000")&amp;"-2")</f>
        <v/>
      </c>
      <c r="C3546" t="str">
        <f>IF(OR(Registro_Compras!$C$397="",Registro_Compras!$O$397=""),"","79/791")</f>
        <v/>
      </c>
      <c r="D3546" t="str">
        <f>IF(OR(Registro_Compras!$C$397="",Registro_Compras!$O$397=""),"","Cargas Imputables a Cuentas de Costos y Gastos")</f>
        <v/>
      </c>
      <c r="E3546" s="20" t="str">
        <f>IF($C3546="","",IF(Registro_Compras!$F$397="NOTA DE CREDITO",ROUND(ABS(Registro_Compras!$J$397*Registro_Compras!$N$397),2),""))</f>
        <v/>
      </c>
      <c r="F3546" s="20" t="str">
        <f>IF($C3546="","",IF(Registro_Compras!$F$397="NOTA DE CREDITO","",IF(Registro_Compras!$F$397="RHE",ROUND(Registro_Compras!$L$397*Registro_Compras!$N$397,2),ROUND(Registro_Compras!$J$397*Registro_Compras!$N$397,2))))</f>
        <v/>
      </c>
      <c r="G3546" t="str">
        <f>IF($C3546="","","Por el destino del gasto")</f>
        <v/>
      </c>
      <c r="H3546" t="str">
        <f>IF($C3546="","",Registro_Compras!$C$397)</f>
        <v/>
      </c>
    </row>
    <row r="3547" spans="1:8" x14ac:dyDescent="0.25">
      <c r="A3547" s="25" t="str">
        <f>IF($C3547="","",Registro_Compras!$X$397)</f>
        <v/>
      </c>
      <c r="B3547" t="str">
        <f>IF($C3547="","","C"&amp;TEXT(INT((ROW()-5)/9)+1,"000")&amp;"-3")</f>
        <v/>
      </c>
      <c r="C3547" t="str">
        <f>IF(OR(Registro_Compras!$C$397="",Registro_Compras!$O$397="",Registro_Compras!$R$397&lt;&gt;"SI",Registro_Compras!$X$397=""),"","4212")</f>
        <v/>
      </c>
      <c r="D3547" t="str">
        <f>IF(OR(Registro_Compras!$C$397="",Registro_Compras!$O$397=""),"","Cuentas por Pagar Comerciales - Terceros")</f>
        <v/>
      </c>
      <c r="E3547" s="20" t="str">
        <f>IF($C3547="","",Registro_Compras!$S$397)</f>
        <v/>
      </c>
      <c r="F3547" s="20" t="str">
        <f>""</f>
        <v/>
      </c>
      <c r="G3547" t="str">
        <f>IF($C3547="","","Por el deposito de la detraccion en el Banco de la Nacion")</f>
        <v/>
      </c>
      <c r="H3547" t="str">
        <f>IF($C3547="","",Registro_Compras!$C$397)</f>
        <v/>
      </c>
    </row>
    <row r="3548" spans="1:8" x14ac:dyDescent="0.25">
      <c r="A3548" s="25" t="str">
        <f>IF($C3548="","",Registro_Compras!$X$397)</f>
        <v/>
      </c>
      <c r="B3548" t="str">
        <f>IF($C3548="","","C"&amp;TEXT(INT((ROW()-5)/9)+1,"000")&amp;"-3")</f>
        <v/>
      </c>
      <c r="C3548" t="str">
        <f>IF(OR(Registro_Compras!$C$397="",Registro_Compras!$O$397="",Registro_Compras!$R$397&lt;&gt;"SI",Registro_Compras!$X$397=""),"","1041")</f>
        <v/>
      </c>
      <c r="D3548" t="str">
        <f>IF(OR(Registro_Compras!$C$397="",Registro_Compras!$O$397=""),"","Efectivo y Equivalentes - Cta. Cte. Operativa")</f>
        <v/>
      </c>
      <c r="E3548" s="20" t="str">
        <f>""</f>
        <v/>
      </c>
      <c r="F3548" s="20" t="str">
        <f>IF($C3548="","",Registro_Compras!$S$397)</f>
        <v/>
      </c>
      <c r="G3548" t="str">
        <f>IF($C3548="","","Por el deposito de la detraccion en el Banco de la Nacion")</f>
        <v/>
      </c>
      <c r="H3548" t="str">
        <f>IF($C3548="","",Registro_Compras!$C$397)</f>
        <v/>
      </c>
    </row>
    <row r="3549" spans="1:8" x14ac:dyDescent="0.25">
      <c r="A3549" s="25" t="str">
        <f>IF($C3549="","",Registro_Compras!$Y$397)</f>
        <v/>
      </c>
      <c r="B3549" t="str">
        <f>IF($C3549="","","C"&amp;TEXT(INT((ROW()-5)/9)+1,"000")&amp;"-4")</f>
        <v/>
      </c>
      <c r="C3549" t="str">
        <f>IF(OR(Registro_Compras!$C$397="",Registro_Compras!$O$397="",Registro_Compras!$Y$397="",Registro_Compras!$F$397="NOTA DE CREDITO"),"","4212")</f>
        <v/>
      </c>
      <c r="D3549" t="str">
        <f>IF(OR(Registro_Compras!$C$397="",Registro_Compras!$O$397=""),"","Cuentas por Pagar Comerciales - Terceros")</f>
        <v/>
      </c>
      <c r="E3549" s="20" t="str">
        <f>IF($C3549="","",IF(Registro_Compras!$F$397="RHE",(ROUND(Registro_Compras!$L$397*Registro_Compras!$N$397,2)-ROUND(Registro_Compras!$V$397*Registro_Compras!$N$397,2)),ROUND(Registro_Compras!$O$397-Registro_Compras!$S$397,2)))</f>
        <v/>
      </c>
      <c r="F3549" s="20" t="str">
        <f>""</f>
        <v/>
      </c>
      <c r="G3549" t="str">
        <f>IF($C3549="","","Por la cancelacion del saldo al proveedor")</f>
        <v/>
      </c>
      <c r="H3549" t="str">
        <f>IF($C3549="","",Registro_Compras!$C$397)</f>
        <v/>
      </c>
    </row>
    <row r="3550" spans="1:8" x14ac:dyDescent="0.25">
      <c r="A3550" s="25" t="str">
        <f>IF($C3550="","",Registro_Compras!$Y$397)</f>
        <v/>
      </c>
      <c r="B3550" t="str">
        <f>IF($C3550="","","C"&amp;TEXT(INT((ROW()-5)/9)+1,"000")&amp;"-4")</f>
        <v/>
      </c>
      <c r="C3550" t="str">
        <f>IF(OR(Registro_Compras!$C$397="",Registro_Compras!$O$397="",Registro_Compras!$Y$397="",Registro_Compras!$F$397="NOTA DE CREDITO"),"","1041")</f>
        <v/>
      </c>
      <c r="D3550" t="str">
        <f>IF(OR(Registro_Compras!$C$397="",Registro_Compras!$O$397=""),"","Efectivo y Equivalentes - Cta. Cte. Operativa")</f>
        <v/>
      </c>
      <c r="E3550" s="20" t="str">
        <f>""</f>
        <v/>
      </c>
      <c r="F3550" s="20" t="str">
        <f>IF($C3550="","",IF(Registro_Compras!$F$397="RHE",(ROUND(Registro_Compras!$L$397*Registro_Compras!$N$397,2)-ROUND(Registro_Compras!$V$397*Registro_Compras!$N$397,2)),ROUND(Registro_Compras!$O$397-Registro_Compras!$S$397,2)))</f>
        <v/>
      </c>
      <c r="G3550" t="str">
        <f>IF($C3550="","","Por la cancelacion del saldo al proveedor")</f>
        <v/>
      </c>
      <c r="H3550" t="str">
        <f>IF($C3550="","",Registro_Compras!$C$397)</f>
        <v/>
      </c>
    </row>
    <row r="3551" spans="1:8" x14ac:dyDescent="0.25">
      <c r="A3551" s="25" t="str">
        <f>IF($C3551="","",Registro_Compras!$B$398)</f>
        <v/>
      </c>
      <c r="B3551" t="str">
        <f>IF($C3551="","","C"&amp;TEXT(INT((ROW()-5)/9)+1,"000")&amp;"-1")</f>
        <v/>
      </c>
      <c r="C3551" t="str">
        <f>IF(OR(Registro_Compras!$C$398="",Registro_Compras!$O$398=""),"",IF(Registro_Compras!$F$398="NOTA DE CREDITO","4212",IF(Registro_Compras!$M$398="","63",Registro_Compras!$M$398)))</f>
        <v/>
      </c>
      <c r="D3551" t="str">
        <f>IF(OR(Registro_Compras!$C$398="",Registro_Compras!$O$398=""),"",IF(Registro_Compras!$F$398="NOTA DE CREDITO","Cuentas por Pagar Comerciales - Terceros (Emitidas)",IF(Registro_Compras!$F$398="RHE","Honorarios Profesionales - Servicios de Terceros","Gastos de Servicios Prestados por Terceros")))</f>
        <v/>
      </c>
      <c r="E3551" s="20" t="str">
        <f>IF($C3551="","",IF(Registro_Compras!$F$398="NOTA DE CREDITO",ABS(Registro_Compras!$O$398),IF(Registro_Compras!$F$398="RHE",ROUND(Registro_Compras!$L$398*Registro_Compras!$N$398,2),ROUND(Registro_Compras!$J$398*Registro_Compras!$N$398,2))))</f>
        <v/>
      </c>
      <c r="F3551" s="20" t="str">
        <f>""</f>
        <v/>
      </c>
      <c r="G3551" t="str">
        <f>IF($C3551="","",IF(Registro_Compras!$F$398="NOTA DE CREDITO","Por la nota de credito "&amp;Registro_Compras!$C$398&amp;" de "&amp;Registro_Compras!$E$398&amp;" [PATRON POR CONFIRMAR CON CONTADOR]",IF(Registro_Compras!$F$398="RHE","Por el registro del recibo por honorarios "&amp;Registro_Compras!$C$398&amp;" de "&amp;Registro_Compras!$E$398&amp;" [PATRON POR CONFIRMAR CON CONTADOR]","Por el registro de la factura "&amp;Registro_Compras!$C$398&amp;" de "&amp;Registro_Compras!$E$398)))</f>
        <v/>
      </c>
      <c r="H3551" t="str">
        <f>IF($C3551="","",Registro_Compras!$C$398)</f>
        <v/>
      </c>
    </row>
    <row r="3552" spans="1:8" x14ac:dyDescent="0.25">
      <c r="A3552" s="25" t="str">
        <f>IF($C3552="","",Registro_Compras!$B$398)</f>
        <v/>
      </c>
      <c r="B3552" t="str">
        <f>IF($C3552="","","C"&amp;TEXT(INT((ROW()-5)/9)+1,"000")&amp;"-1")</f>
        <v/>
      </c>
      <c r="C3552" t="str">
        <f>IF(OR(Registro_Compras!$C$398="",Registro_Compras!$O$398=""),"",IF(Registro_Compras!$F$398="RHE",IF(Registro_Compras!$V$398=0,"","4017"),IF(Registro_Compras!$F$398="NOTA DE CREDITO",IF(Registro_Compras!$M$398="","63",Registro_Compras!$M$398),IF(Registro_Compras!$K$398=0,"","40111"))))</f>
        <v/>
      </c>
      <c r="D3552" t="str">
        <f>IF(OR(Registro_Compras!$C$398="",Registro_Compras!$O$398=""),"",IF(Registro_Compras!$F$398="RHE","Retencion Renta 4ta Categoria por Pagar",IF(Registro_Compras!$F$398="NOTA DE CREDITO","Gastos de Servicios Prestados por Terceros","IGV - Cuenta Propia (Credito Fiscal)")))</f>
        <v/>
      </c>
      <c r="E3552" s="20" t="str">
        <f>IF($C3552="","",IF(Registro_Compras!$F$398="FACTURA",ROUND(Registro_Compras!$K$398*Registro_Compras!$N$398,2),""))</f>
        <v/>
      </c>
      <c r="F3552" s="20" t="str">
        <f>IF($C3552="","",IF(Registro_Compras!$F$398="RHE",ROUND(Registro_Compras!$V$398*Registro_Compras!$N$398,2),IF(Registro_Compras!$F$398="NOTA DE CREDITO",ROUND(ABS(Registro_Compras!$J$398*Registro_Compras!$N$398),2),"")))</f>
        <v/>
      </c>
      <c r="G3552" t="str">
        <f>IF($C3552="","",IF(Registro_Compras!$F$398="NOTA DE CREDITO","Por la nota de credito "&amp;Registro_Compras!$C$398&amp;" de "&amp;Registro_Compras!$E$398&amp;" [PATRON POR CONFIRMAR CON CONTADOR]",IF(Registro_Compras!$F$398="RHE","Por el registro del recibo por honorarios "&amp;Registro_Compras!$C$398&amp;" de "&amp;Registro_Compras!$E$398&amp;" [PATRON POR CONFIRMAR CON CONTADOR]","Por el registro de la factura "&amp;Registro_Compras!$C$398&amp;" de "&amp;Registro_Compras!$E$398)))</f>
        <v/>
      </c>
      <c r="H3552" t="str">
        <f>IF($C3552="","",Registro_Compras!$C$398)</f>
        <v/>
      </c>
    </row>
    <row r="3553" spans="1:8" x14ac:dyDescent="0.25">
      <c r="A3553" s="25" t="str">
        <f>IF($C3553="","",Registro_Compras!$B$398)</f>
        <v/>
      </c>
      <c r="B3553" t="str">
        <f>IF($C3553="","","C"&amp;TEXT(INT((ROW()-5)/9)+1,"000")&amp;"-1")</f>
        <v/>
      </c>
      <c r="C3553" t="str">
        <f>IF(OR(Registro_Compras!$C$398="",Registro_Compras!$O$398=""),"",IF(Registro_Compras!$F$398="NOTA DE CREDITO",IF(Registro_Compras!$K$398=0,"","40111"),"4212"))</f>
        <v/>
      </c>
      <c r="D3553" t="str">
        <f>IF(OR(Registro_Compras!$C$398="",Registro_Compras!$O$398=""),"",IF(Registro_Compras!$F$398="NOTA DE CREDITO","IGV - Cuenta Propia (Credito Fiscal)","Cuentas por Pagar Comerciales - Terceros (Emitidas)"))</f>
        <v/>
      </c>
      <c r="E3553" s="20" t="str">
        <f>""</f>
        <v/>
      </c>
      <c r="F3553" s="20" t="str">
        <f>IF($C3553="","",IF(Registro_Compras!$F$398="NOTA DE CREDITO",ROUND(ABS(Registro_Compras!$K$398*Registro_Compras!$N$398),2),IF(Registro_Compras!$F$398="RHE",(ROUND(Registro_Compras!$L$398*Registro_Compras!$N$398,2)-ROUND(Registro_Compras!$V$398*Registro_Compras!$N$398,2)),Registro_Compras!$O$398)))</f>
        <v/>
      </c>
      <c r="G3553" t="str">
        <f>IF($C3553="","",IF(Registro_Compras!$F$398="NOTA DE CREDITO","Por la nota de credito "&amp;Registro_Compras!$C$398&amp;" de "&amp;Registro_Compras!$E$398&amp;" [PATRON POR CONFIRMAR CON CONTADOR]",IF(Registro_Compras!$F$398="RHE","Por el registro del recibo por honorarios "&amp;Registro_Compras!$C$398&amp;" de "&amp;Registro_Compras!$E$398&amp;" [PATRON POR CONFIRMAR CON CONTADOR]","Por el registro de la factura "&amp;Registro_Compras!$C$398&amp;" de "&amp;Registro_Compras!$E$398)))</f>
        <v/>
      </c>
      <c r="H3553" t="str">
        <f>IF($C3553="","",Registro_Compras!$C$398)</f>
        <v/>
      </c>
    </row>
    <row r="3554" spans="1:8" x14ac:dyDescent="0.25">
      <c r="A3554" s="25" t="str">
        <f>IF($C3554="","",Registro_Compras!$B$398)</f>
        <v/>
      </c>
      <c r="B3554" t="str">
        <f>IF($C3554="","","C"&amp;TEXT(INT((ROW()-5)/9)+1,"000")&amp;"-2")</f>
        <v/>
      </c>
      <c r="C3554" t="str">
        <f>IF(OR(Registro_Compras!$C$398="",Registro_Compras!$O$398=""),"",IF(Registro_Compras!$AB$398="ADMINISTRATIVO","94","95"))</f>
        <v/>
      </c>
      <c r="D3554" t="str">
        <f>IF(OR(Registro_Compras!$C$398="",Registro_Compras!$O$398=""),"",IF(Registro_Compras!$AB$398="ADMINISTRATIVO","Gastos Administrativos","Gastos de Venta y Operacion"))</f>
        <v/>
      </c>
      <c r="E3554" s="20" t="str">
        <f>IF($C3554="","",IF(Registro_Compras!$F$398="NOTA DE CREDITO","",IF(Registro_Compras!$F$398="RHE",ROUND(Registro_Compras!$L$398*Registro_Compras!$N$398,2),ROUND(Registro_Compras!$J$398*Registro_Compras!$N$398,2))))</f>
        <v/>
      </c>
      <c r="F3554" s="20" t="str">
        <f>IF($C3554="","",IF(Registro_Compras!$F$398="NOTA DE CREDITO",ROUND(ABS(Registro_Compras!$J$398*Registro_Compras!$N$398),2),""))</f>
        <v/>
      </c>
      <c r="G3554" t="str">
        <f>IF($C3554="","","Por el destino del gasto")</f>
        <v/>
      </c>
      <c r="H3554" t="str">
        <f>IF($C3554="","",Registro_Compras!$C$398)</f>
        <v/>
      </c>
    </row>
    <row r="3555" spans="1:8" x14ac:dyDescent="0.25">
      <c r="A3555" s="25" t="str">
        <f>IF($C3555="","",Registro_Compras!$B$398)</f>
        <v/>
      </c>
      <c r="B3555" t="str">
        <f>IF($C3555="","","C"&amp;TEXT(INT((ROW()-5)/9)+1,"000")&amp;"-2")</f>
        <v/>
      </c>
      <c r="C3555" t="str">
        <f>IF(OR(Registro_Compras!$C$398="",Registro_Compras!$O$398=""),"","79/791")</f>
        <v/>
      </c>
      <c r="D3555" t="str">
        <f>IF(OR(Registro_Compras!$C$398="",Registro_Compras!$O$398=""),"","Cargas Imputables a Cuentas de Costos y Gastos")</f>
        <v/>
      </c>
      <c r="E3555" s="20" t="str">
        <f>IF($C3555="","",IF(Registro_Compras!$F$398="NOTA DE CREDITO",ROUND(ABS(Registro_Compras!$J$398*Registro_Compras!$N$398),2),""))</f>
        <v/>
      </c>
      <c r="F3555" s="20" t="str">
        <f>IF($C3555="","",IF(Registro_Compras!$F$398="NOTA DE CREDITO","",IF(Registro_Compras!$F$398="RHE",ROUND(Registro_Compras!$L$398*Registro_Compras!$N$398,2),ROUND(Registro_Compras!$J$398*Registro_Compras!$N$398,2))))</f>
        <v/>
      </c>
      <c r="G3555" t="str">
        <f>IF($C3555="","","Por el destino del gasto")</f>
        <v/>
      </c>
      <c r="H3555" t="str">
        <f>IF($C3555="","",Registro_Compras!$C$398)</f>
        <v/>
      </c>
    </row>
    <row r="3556" spans="1:8" x14ac:dyDescent="0.25">
      <c r="A3556" s="25" t="str">
        <f>IF($C3556="","",Registro_Compras!$X$398)</f>
        <v/>
      </c>
      <c r="B3556" t="str">
        <f>IF($C3556="","","C"&amp;TEXT(INT((ROW()-5)/9)+1,"000")&amp;"-3")</f>
        <v/>
      </c>
      <c r="C3556" t="str">
        <f>IF(OR(Registro_Compras!$C$398="",Registro_Compras!$O$398="",Registro_Compras!$R$398&lt;&gt;"SI",Registro_Compras!$X$398=""),"","4212")</f>
        <v/>
      </c>
      <c r="D3556" t="str">
        <f>IF(OR(Registro_Compras!$C$398="",Registro_Compras!$O$398=""),"","Cuentas por Pagar Comerciales - Terceros")</f>
        <v/>
      </c>
      <c r="E3556" s="20" t="str">
        <f>IF($C3556="","",Registro_Compras!$S$398)</f>
        <v/>
      </c>
      <c r="F3556" s="20" t="str">
        <f>""</f>
        <v/>
      </c>
      <c r="G3556" t="str">
        <f>IF($C3556="","","Por el deposito de la detraccion en el Banco de la Nacion")</f>
        <v/>
      </c>
      <c r="H3556" t="str">
        <f>IF($C3556="","",Registro_Compras!$C$398)</f>
        <v/>
      </c>
    </row>
    <row r="3557" spans="1:8" x14ac:dyDescent="0.25">
      <c r="A3557" s="25" t="str">
        <f>IF($C3557="","",Registro_Compras!$X$398)</f>
        <v/>
      </c>
      <c r="B3557" t="str">
        <f>IF($C3557="","","C"&amp;TEXT(INT((ROW()-5)/9)+1,"000")&amp;"-3")</f>
        <v/>
      </c>
      <c r="C3557" t="str">
        <f>IF(OR(Registro_Compras!$C$398="",Registro_Compras!$O$398="",Registro_Compras!$R$398&lt;&gt;"SI",Registro_Compras!$X$398=""),"","1041")</f>
        <v/>
      </c>
      <c r="D3557" t="str">
        <f>IF(OR(Registro_Compras!$C$398="",Registro_Compras!$O$398=""),"","Efectivo y Equivalentes - Cta. Cte. Operativa")</f>
        <v/>
      </c>
      <c r="E3557" s="20" t="str">
        <f>""</f>
        <v/>
      </c>
      <c r="F3557" s="20" t="str">
        <f>IF($C3557="","",Registro_Compras!$S$398)</f>
        <v/>
      </c>
      <c r="G3557" t="str">
        <f>IF($C3557="","","Por el deposito de la detraccion en el Banco de la Nacion")</f>
        <v/>
      </c>
      <c r="H3557" t="str">
        <f>IF($C3557="","",Registro_Compras!$C$398)</f>
        <v/>
      </c>
    </row>
    <row r="3558" spans="1:8" x14ac:dyDescent="0.25">
      <c r="A3558" s="25" t="str">
        <f>IF($C3558="","",Registro_Compras!$Y$398)</f>
        <v/>
      </c>
      <c r="B3558" t="str">
        <f>IF($C3558="","","C"&amp;TEXT(INT((ROW()-5)/9)+1,"000")&amp;"-4")</f>
        <v/>
      </c>
      <c r="C3558" t="str">
        <f>IF(OR(Registro_Compras!$C$398="",Registro_Compras!$O$398="",Registro_Compras!$Y$398="",Registro_Compras!$F$398="NOTA DE CREDITO"),"","4212")</f>
        <v/>
      </c>
      <c r="D3558" t="str">
        <f>IF(OR(Registro_Compras!$C$398="",Registro_Compras!$O$398=""),"","Cuentas por Pagar Comerciales - Terceros")</f>
        <v/>
      </c>
      <c r="E3558" s="20" t="str">
        <f>IF($C3558="","",IF(Registro_Compras!$F$398="RHE",(ROUND(Registro_Compras!$L$398*Registro_Compras!$N$398,2)-ROUND(Registro_Compras!$V$398*Registro_Compras!$N$398,2)),ROUND(Registro_Compras!$O$398-Registro_Compras!$S$398,2)))</f>
        <v/>
      </c>
      <c r="F3558" s="20" t="str">
        <f>""</f>
        <v/>
      </c>
      <c r="G3558" t="str">
        <f>IF($C3558="","","Por la cancelacion del saldo al proveedor")</f>
        <v/>
      </c>
      <c r="H3558" t="str">
        <f>IF($C3558="","",Registro_Compras!$C$398)</f>
        <v/>
      </c>
    </row>
    <row r="3559" spans="1:8" x14ac:dyDescent="0.25">
      <c r="A3559" s="25" t="str">
        <f>IF($C3559="","",Registro_Compras!$Y$398)</f>
        <v/>
      </c>
      <c r="B3559" t="str">
        <f>IF($C3559="","","C"&amp;TEXT(INT((ROW()-5)/9)+1,"000")&amp;"-4")</f>
        <v/>
      </c>
      <c r="C3559" t="str">
        <f>IF(OR(Registro_Compras!$C$398="",Registro_Compras!$O$398="",Registro_Compras!$Y$398="",Registro_Compras!$F$398="NOTA DE CREDITO"),"","1041")</f>
        <v/>
      </c>
      <c r="D3559" t="str">
        <f>IF(OR(Registro_Compras!$C$398="",Registro_Compras!$O$398=""),"","Efectivo y Equivalentes - Cta. Cte. Operativa")</f>
        <v/>
      </c>
      <c r="E3559" s="20" t="str">
        <f>""</f>
        <v/>
      </c>
      <c r="F3559" s="20" t="str">
        <f>IF($C3559="","",IF(Registro_Compras!$F$398="RHE",(ROUND(Registro_Compras!$L$398*Registro_Compras!$N$398,2)-ROUND(Registro_Compras!$V$398*Registro_Compras!$N$398,2)),ROUND(Registro_Compras!$O$398-Registro_Compras!$S$398,2)))</f>
        <v/>
      </c>
      <c r="G3559" t="str">
        <f>IF($C3559="","","Por la cancelacion del saldo al proveedor")</f>
        <v/>
      </c>
      <c r="H3559" t="str">
        <f>IF($C3559="","",Registro_Compras!$C$398)</f>
        <v/>
      </c>
    </row>
    <row r="3560" spans="1:8" x14ac:dyDescent="0.25">
      <c r="A3560" s="25" t="str">
        <f>IF($C3560="","",Registro_Compras!$B$399)</f>
        <v/>
      </c>
      <c r="B3560" t="str">
        <f>IF($C3560="","","C"&amp;TEXT(INT((ROW()-5)/9)+1,"000")&amp;"-1")</f>
        <v/>
      </c>
      <c r="C3560" t="str">
        <f>IF(OR(Registro_Compras!$C$399="",Registro_Compras!$O$399=""),"",IF(Registro_Compras!$F$399="NOTA DE CREDITO","4212",IF(Registro_Compras!$M$399="","63",Registro_Compras!$M$399)))</f>
        <v/>
      </c>
      <c r="D3560" t="str">
        <f>IF(OR(Registro_Compras!$C$399="",Registro_Compras!$O$399=""),"",IF(Registro_Compras!$F$399="NOTA DE CREDITO","Cuentas por Pagar Comerciales - Terceros (Emitidas)",IF(Registro_Compras!$F$399="RHE","Honorarios Profesionales - Servicios de Terceros","Gastos de Servicios Prestados por Terceros")))</f>
        <v/>
      </c>
      <c r="E3560" s="20" t="str">
        <f>IF($C3560="","",IF(Registro_Compras!$F$399="NOTA DE CREDITO",ABS(Registro_Compras!$O$399),IF(Registro_Compras!$F$399="RHE",ROUND(Registro_Compras!$L$399*Registro_Compras!$N$399,2),ROUND(Registro_Compras!$J$399*Registro_Compras!$N$399,2))))</f>
        <v/>
      </c>
      <c r="F3560" s="20" t="str">
        <f>""</f>
        <v/>
      </c>
      <c r="G3560" t="str">
        <f>IF($C3560="","",IF(Registro_Compras!$F$399="NOTA DE CREDITO","Por la nota de credito "&amp;Registro_Compras!$C$399&amp;" de "&amp;Registro_Compras!$E$399&amp;" [PATRON POR CONFIRMAR CON CONTADOR]",IF(Registro_Compras!$F$399="RHE","Por el registro del recibo por honorarios "&amp;Registro_Compras!$C$399&amp;" de "&amp;Registro_Compras!$E$399&amp;" [PATRON POR CONFIRMAR CON CONTADOR]","Por el registro de la factura "&amp;Registro_Compras!$C$399&amp;" de "&amp;Registro_Compras!$E$399)))</f>
        <v/>
      </c>
      <c r="H3560" t="str">
        <f>IF($C3560="","",Registro_Compras!$C$399)</f>
        <v/>
      </c>
    </row>
    <row r="3561" spans="1:8" x14ac:dyDescent="0.25">
      <c r="A3561" s="25" t="str">
        <f>IF($C3561="","",Registro_Compras!$B$399)</f>
        <v/>
      </c>
      <c r="B3561" t="str">
        <f>IF($C3561="","","C"&amp;TEXT(INT((ROW()-5)/9)+1,"000")&amp;"-1")</f>
        <v/>
      </c>
      <c r="C3561" t="str">
        <f>IF(OR(Registro_Compras!$C$399="",Registro_Compras!$O$399=""),"",IF(Registro_Compras!$F$399="RHE",IF(Registro_Compras!$V$399=0,"","4017"),IF(Registro_Compras!$F$399="NOTA DE CREDITO",IF(Registro_Compras!$M$399="","63",Registro_Compras!$M$399),IF(Registro_Compras!$K$399=0,"","40111"))))</f>
        <v/>
      </c>
      <c r="D3561" t="str">
        <f>IF(OR(Registro_Compras!$C$399="",Registro_Compras!$O$399=""),"",IF(Registro_Compras!$F$399="RHE","Retencion Renta 4ta Categoria por Pagar",IF(Registro_Compras!$F$399="NOTA DE CREDITO","Gastos de Servicios Prestados por Terceros","IGV - Cuenta Propia (Credito Fiscal)")))</f>
        <v/>
      </c>
      <c r="E3561" s="20" t="str">
        <f>IF($C3561="","",IF(Registro_Compras!$F$399="FACTURA",ROUND(Registro_Compras!$K$399*Registro_Compras!$N$399,2),""))</f>
        <v/>
      </c>
      <c r="F3561" s="20" t="str">
        <f>IF($C3561="","",IF(Registro_Compras!$F$399="RHE",ROUND(Registro_Compras!$V$399*Registro_Compras!$N$399,2),IF(Registro_Compras!$F$399="NOTA DE CREDITO",ROUND(ABS(Registro_Compras!$J$399*Registro_Compras!$N$399),2),"")))</f>
        <v/>
      </c>
      <c r="G3561" t="str">
        <f>IF($C3561="","",IF(Registro_Compras!$F$399="NOTA DE CREDITO","Por la nota de credito "&amp;Registro_Compras!$C$399&amp;" de "&amp;Registro_Compras!$E$399&amp;" [PATRON POR CONFIRMAR CON CONTADOR]",IF(Registro_Compras!$F$399="RHE","Por el registro del recibo por honorarios "&amp;Registro_Compras!$C$399&amp;" de "&amp;Registro_Compras!$E$399&amp;" [PATRON POR CONFIRMAR CON CONTADOR]","Por el registro de la factura "&amp;Registro_Compras!$C$399&amp;" de "&amp;Registro_Compras!$E$399)))</f>
        <v/>
      </c>
      <c r="H3561" t="str">
        <f>IF($C3561="","",Registro_Compras!$C$399)</f>
        <v/>
      </c>
    </row>
    <row r="3562" spans="1:8" x14ac:dyDescent="0.25">
      <c r="A3562" s="25" t="str">
        <f>IF($C3562="","",Registro_Compras!$B$399)</f>
        <v/>
      </c>
      <c r="B3562" t="str">
        <f>IF($C3562="","","C"&amp;TEXT(INT((ROW()-5)/9)+1,"000")&amp;"-1")</f>
        <v/>
      </c>
      <c r="C3562" t="str">
        <f>IF(OR(Registro_Compras!$C$399="",Registro_Compras!$O$399=""),"",IF(Registro_Compras!$F$399="NOTA DE CREDITO",IF(Registro_Compras!$K$399=0,"","40111"),"4212"))</f>
        <v/>
      </c>
      <c r="D3562" t="str">
        <f>IF(OR(Registro_Compras!$C$399="",Registro_Compras!$O$399=""),"",IF(Registro_Compras!$F$399="NOTA DE CREDITO","IGV - Cuenta Propia (Credito Fiscal)","Cuentas por Pagar Comerciales - Terceros (Emitidas)"))</f>
        <v/>
      </c>
      <c r="E3562" s="20" t="str">
        <f>""</f>
        <v/>
      </c>
      <c r="F3562" s="20" t="str">
        <f>IF($C3562="","",IF(Registro_Compras!$F$399="NOTA DE CREDITO",ROUND(ABS(Registro_Compras!$K$399*Registro_Compras!$N$399),2),IF(Registro_Compras!$F$399="RHE",(ROUND(Registro_Compras!$L$399*Registro_Compras!$N$399,2)-ROUND(Registro_Compras!$V$399*Registro_Compras!$N$399,2)),Registro_Compras!$O$399)))</f>
        <v/>
      </c>
      <c r="G3562" t="str">
        <f>IF($C3562="","",IF(Registro_Compras!$F$399="NOTA DE CREDITO","Por la nota de credito "&amp;Registro_Compras!$C$399&amp;" de "&amp;Registro_Compras!$E$399&amp;" [PATRON POR CONFIRMAR CON CONTADOR]",IF(Registro_Compras!$F$399="RHE","Por el registro del recibo por honorarios "&amp;Registro_Compras!$C$399&amp;" de "&amp;Registro_Compras!$E$399&amp;" [PATRON POR CONFIRMAR CON CONTADOR]","Por el registro de la factura "&amp;Registro_Compras!$C$399&amp;" de "&amp;Registro_Compras!$E$399)))</f>
        <v/>
      </c>
      <c r="H3562" t="str">
        <f>IF($C3562="","",Registro_Compras!$C$399)</f>
        <v/>
      </c>
    </row>
    <row r="3563" spans="1:8" x14ac:dyDescent="0.25">
      <c r="A3563" s="25" t="str">
        <f>IF($C3563="","",Registro_Compras!$B$399)</f>
        <v/>
      </c>
      <c r="B3563" t="str">
        <f>IF($C3563="","","C"&amp;TEXT(INT((ROW()-5)/9)+1,"000")&amp;"-2")</f>
        <v/>
      </c>
      <c r="C3563" t="str">
        <f>IF(OR(Registro_Compras!$C$399="",Registro_Compras!$O$399=""),"",IF(Registro_Compras!$AB$399="ADMINISTRATIVO","94","95"))</f>
        <v/>
      </c>
      <c r="D3563" t="str">
        <f>IF(OR(Registro_Compras!$C$399="",Registro_Compras!$O$399=""),"",IF(Registro_Compras!$AB$399="ADMINISTRATIVO","Gastos Administrativos","Gastos de Venta y Operacion"))</f>
        <v/>
      </c>
      <c r="E3563" s="20" t="str">
        <f>IF($C3563="","",IF(Registro_Compras!$F$399="NOTA DE CREDITO","",IF(Registro_Compras!$F$399="RHE",ROUND(Registro_Compras!$L$399*Registro_Compras!$N$399,2),ROUND(Registro_Compras!$J$399*Registro_Compras!$N$399,2))))</f>
        <v/>
      </c>
      <c r="F3563" s="20" t="str">
        <f>IF($C3563="","",IF(Registro_Compras!$F$399="NOTA DE CREDITO",ROUND(ABS(Registro_Compras!$J$399*Registro_Compras!$N$399),2),""))</f>
        <v/>
      </c>
      <c r="G3563" t="str">
        <f>IF($C3563="","","Por el destino del gasto")</f>
        <v/>
      </c>
      <c r="H3563" t="str">
        <f>IF($C3563="","",Registro_Compras!$C$399)</f>
        <v/>
      </c>
    </row>
    <row r="3564" spans="1:8" x14ac:dyDescent="0.25">
      <c r="A3564" s="25" t="str">
        <f>IF($C3564="","",Registro_Compras!$B$399)</f>
        <v/>
      </c>
      <c r="B3564" t="str">
        <f>IF($C3564="","","C"&amp;TEXT(INT((ROW()-5)/9)+1,"000")&amp;"-2")</f>
        <v/>
      </c>
      <c r="C3564" t="str">
        <f>IF(OR(Registro_Compras!$C$399="",Registro_Compras!$O$399=""),"","79/791")</f>
        <v/>
      </c>
      <c r="D3564" t="str">
        <f>IF(OR(Registro_Compras!$C$399="",Registro_Compras!$O$399=""),"","Cargas Imputables a Cuentas de Costos y Gastos")</f>
        <v/>
      </c>
      <c r="E3564" s="20" t="str">
        <f>IF($C3564="","",IF(Registro_Compras!$F$399="NOTA DE CREDITO",ROUND(ABS(Registro_Compras!$J$399*Registro_Compras!$N$399),2),""))</f>
        <v/>
      </c>
      <c r="F3564" s="20" t="str">
        <f>IF($C3564="","",IF(Registro_Compras!$F$399="NOTA DE CREDITO","",IF(Registro_Compras!$F$399="RHE",ROUND(Registro_Compras!$L$399*Registro_Compras!$N$399,2),ROUND(Registro_Compras!$J$399*Registro_Compras!$N$399,2))))</f>
        <v/>
      </c>
      <c r="G3564" t="str">
        <f>IF($C3564="","","Por el destino del gasto")</f>
        <v/>
      </c>
      <c r="H3564" t="str">
        <f>IF($C3564="","",Registro_Compras!$C$399)</f>
        <v/>
      </c>
    </row>
    <row r="3565" spans="1:8" x14ac:dyDescent="0.25">
      <c r="A3565" s="25" t="str">
        <f>IF($C3565="","",Registro_Compras!$X$399)</f>
        <v/>
      </c>
      <c r="B3565" t="str">
        <f>IF($C3565="","","C"&amp;TEXT(INT((ROW()-5)/9)+1,"000")&amp;"-3")</f>
        <v/>
      </c>
      <c r="C3565" t="str">
        <f>IF(OR(Registro_Compras!$C$399="",Registro_Compras!$O$399="",Registro_Compras!$R$399&lt;&gt;"SI",Registro_Compras!$X$399=""),"","4212")</f>
        <v/>
      </c>
      <c r="D3565" t="str">
        <f>IF(OR(Registro_Compras!$C$399="",Registro_Compras!$O$399=""),"","Cuentas por Pagar Comerciales - Terceros")</f>
        <v/>
      </c>
      <c r="E3565" s="20" t="str">
        <f>IF($C3565="","",Registro_Compras!$S$399)</f>
        <v/>
      </c>
      <c r="F3565" s="20" t="str">
        <f>""</f>
        <v/>
      </c>
      <c r="G3565" t="str">
        <f>IF($C3565="","","Por el deposito de la detraccion en el Banco de la Nacion")</f>
        <v/>
      </c>
      <c r="H3565" t="str">
        <f>IF($C3565="","",Registro_Compras!$C$399)</f>
        <v/>
      </c>
    </row>
    <row r="3566" spans="1:8" x14ac:dyDescent="0.25">
      <c r="A3566" s="25" t="str">
        <f>IF($C3566="","",Registro_Compras!$X$399)</f>
        <v/>
      </c>
      <c r="B3566" t="str">
        <f>IF($C3566="","","C"&amp;TEXT(INT((ROW()-5)/9)+1,"000")&amp;"-3")</f>
        <v/>
      </c>
      <c r="C3566" t="str">
        <f>IF(OR(Registro_Compras!$C$399="",Registro_Compras!$O$399="",Registro_Compras!$R$399&lt;&gt;"SI",Registro_Compras!$X$399=""),"","1041")</f>
        <v/>
      </c>
      <c r="D3566" t="str">
        <f>IF(OR(Registro_Compras!$C$399="",Registro_Compras!$O$399=""),"","Efectivo y Equivalentes - Cta. Cte. Operativa")</f>
        <v/>
      </c>
      <c r="E3566" s="20" t="str">
        <f>""</f>
        <v/>
      </c>
      <c r="F3566" s="20" t="str">
        <f>IF($C3566="","",Registro_Compras!$S$399)</f>
        <v/>
      </c>
      <c r="G3566" t="str">
        <f>IF($C3566="","","Por el deposito de la detraccion en el Banco de la Nacion")</f>
        <v/>
      </c>
      <c r="H3566" t="str">
        <f>IF($C3566="","",Registro_Compras!$C$399)</f>
        <v/>
      </c>
    </row>
    <row r="3567" spans="1:8" x14ac:dyDescent="0.25">
      <c r="A3567" s="25" t="str">
        <f>IF($C3567="","",Registro_Compras!$Y$399)</f>
        <v/>
      </c>
      <c r="B3567" t="str">
        <f>IF($C3567="","","C"&amp;TEXT(INT((ROW()-5)/9)+1,"000")&amp;"-4")</f>
        <v/>
      </c>
      <c r="C3567" t="str">
        <f>IF(OR(Registro_Compras!$C$399="",Registro_Compras!$O$399="",Registro_Compras!$Y$399="",Registro_Compras!$F$399="NOTA DE CREDITO"),"","4212")</f>
        <v/>
      </c>
      <c r="D3567" t="str">
        <f>IF(OR(Registro_Compras!$C$399="",Registro_Compras!$O$399=""),"","Cuentas por Pagar Comerciales - Terceros")</f>
        <v/>
      </c>
      <c r="E3567" s="20" t="str">
        <f>IF($C3567="","",IF(Registro_Compras!$F$399="RHE",(ROUND(Registro_Compras!$L$399*Registro_Compras!$N$399,2)-ROUND(Registro_Compras!$V$399*Registro_Compras!$N$399,2)),ROUND(Registro_Compras!$O$399-Registro_Compras!$S$399,2)))</f>
        <v/>
      </c>
      <c r="F3567" s="20" t="str">
        <f>""</f>
        <v/>
      </c>
      <c r="G3567" t="str">
        <f>IF($C3567="","","Por la cancelacion del saldo al proveedor")</f>
        <v/>
      </c>
      <c r="H3567" t="str">
        <f>IF($C3567="","",Registro_Compras!$C$399)</f>
        <v/>
      </c>
    </row>
    <row r="3568" spans="1:8" x14ac:dyDescent="0.25">
      <c r="A3568" s="25" t="str">
        <f>IF($C3568="","",Registro_Compras!$Y$399)</f>
        <v/>
      </c>
      <c r="B3568" t="str">
        <f>IF($C3568="","","C"&amp;TEXT(INT((ROW()-5)/9)+1,"000")&amp;"-4")</f>
        <v/>
      </c>
      <c r="C3568" t="str">
        <f>IF(OR(Registro_Compras!$C$399="",Registro_Compras!$O$399="",Registro_Compras!$Y$399="",Registro_Compras!$F$399="NOTA DE CREDITO"),"","1041")</f>
        <v/>
      </c>
      <c r="D3568" t="str">
        <f>IF(OR(Registro_Compras!$C$399="",Registro_Compras!$O$399=""),"","Efectivo y Equivalentes - Cta. Cte. Operativa")</f>
        <v/>
      </c>
      <c r="E3568" s="20" t="str">
        <f>""</f>
        <v/>
      </c>
      <c r="F3568" s="20" t="str">
        <f>IF($C3568="","",IF(Registro_Compras!$F$399="RHE",(ROUND(Registro_Compras!$L$399*Registro_Compras!$N$399,2)-ROUND(Registro_Compras!$V$399*Registro_Compras!$N$399,2)),ROUND(Registro_Compras!$O$399-Registro_Compras!$S$399,2)))</f>
        <v/>
      </c>
      <c r="G3568" t="str">
        <f>IF($C3568="","","Por la cancelacion del saldo al proveedor")</f>
        <v/>
      </c>
      <c r="H3568" t="str">
        <f>IF($C3568="","",Registro_Compras!$C$399)</f>
        <v/>
      </c>
    </row>
    <row r="3569" spans="1:8" x14ac:dyDescent="0.25">
      <c r="A3569" s="25" t="str">
        <f>IF($C3569="","",Registro_Compras!$B$400)</f>
        <v/>
      </c>
      <c r="B3569" t="str">
        <f>IF($C3569="","","C"&amp;TEXT(INT((ROW()-5)/9)+1,"000")&amp;"-1")</f>
        <v/>
      </c>
      <c r="C3569" t="str">
        <f>IF(OR(Registro_Compras!$C$400="",Registro_Compras!$O$400=""),"",IF(Registro_Compras!$F$400="NOTA DE CREDITO","4212",IF(Registro_Compras!$M$400="","63",Registro_Compras!$M$400)))</f>
        <v/>
      </c>
      <c r="D3569" t="str">
        <f>IF(OR(Registro_Compras!$C$400="",Registro_Compras!$O$400=""),"",IF(Registro_Compras!$F$400="NOTA DE CREDITO","Cuentas por Pagar Comerciales - Terceros (Emitidas)",IF(Registro_Compras!$F$400="RHE","Honorarios Profesionales - Servicios de Terceros","Gastos de Servicios Prestados por Terceros")))</f>
        <v/>
      </c>
      <c r="E3569" s="20" t="str">
        <f>IF($C3569="","",IF(Registro_Compras!$F$400="NOTA DE CREDITO",ABS(Registro_Compras!$O$400),IF(Registro_Compras!$F$400="RHE",ROUND(Registro_Compras!$L$400*Registro_Compras!$N$400,2),ROUND(Registro_Compras!$J$400*Registro_Compras!$N$400,2))))</f>
        <v/>
      </c>
      <c r="F3569" s="20" t="str">
        <f>""</f>
        <v/>
      </c>
      <c r="G3569" t="str">
        <f>IF($C3569="","",IF(Registro_Compras!$F$400="NOTA DE CREDITO","Por la nota de credito "&amp;Registro_Compras!$C$400&amp;" de "&amp;Registro_Compras!$E$400&amp;" [PATRON POR CONFIRMAR CON CONTADOR]",IF(Registro_Compras!$F$400="RHE","Por el registro del recibo por honorarios "&amp;Registro_Compras!$C$400&amp;" de "&amp;Registro_Compras!$E$400&amp;" [PATRON POR CONFIRMAR CON CONTADOR]","Por el registro de la factura "&amp;Registro_Compras!$C$400&amp;" de "&amp;Registro_Compras!$E$400)))</f>
        <v/>
      </c>
      <c r="H3569" t="str">
        <f>IF($C3569="","",Registro_Compras!$C$400)</f>
        <v/>
      </c>
    </row>
    <row r="3570" spans="1:8" x14ac:dyDescent="0.25">
      <c r="A3570" s="25" t="str">
        <f>IF($C3570="","",Registro_Compras!$B$400)</f>
        <v/>
      </c>
      <c r="B3570" t="str">
        <f>IF($C3570="","","C"&amp;TEXT(INT((ROW()-5)/9)+1,"000")&amp;"-1")</f>
        <v/>
      </c>
      <c r="C3570" t="str">
        <f>IF(OR(Registro_Compras!$C$400="",Registro_Compras!$O$400=""),"",IF(Registro_Compras!$F$400="RHE",IF(Registro_Compras!$V$400=0,"","4017"),IF(Registro_Compras!$F$400="NOTA DE CREDITO",IF(Registro_Compras!$M$400="","63",Registro_Compras!$M$400),IF(Registro_Compras!$K$400=0,"","40111"))))</f>
        <v/>
      </c>
      <c r="D3570" t="str">
        <f>IF(OR(Registro_Compras!$C$400="",Registro_Compras!$O$400=""),"",IF(Registro_Compras!$F$400="RHE","Retencion Renta 4ta Categoria por Pagar",IF(Registro_Compras!$F$400="NOTA DE CREDITO","Gastos de Servicios Prestados por Terceros","IGV - Cuenta Propia (Credito Fiscal)")))</f>
        <v/>
      </c>
      <c r="E3570" s="20" t="str">
        <f>IF($C3570="","",IF(Registro_Compras!$F$400="FACTURA",ROUND(Registro_Compras!$K$400*Registro_Compras!$N$400,2),""))</f>
        <v/>
      </c>
      <c r="F3570" s="20" t="str">
        <f>IF($C3570="","",IF(Registro_Compras!$F$400="RHE",ROUND(Registro_Compras!$V$400*Registro_Compras!$N$400,2),IF(Registro_Compras!$F$400="NOTA DE CREDITO",ROUND(ABS(Registro_Compras!$J$400*Registro_Compras!$N$400),2),"")))</f>
        <v/>
      </c>
      <c r="G3570" t="str">
        <f>IF($C3570="","",IF(Registro_Compras!$F$400="NOTA DE CREDITO","Por la nota de credito "&amp;Registro_Compras!$C$400&amp;" de "&amp;Registro_Compras!$E$400&amp;" [PATRON POR CONFIRMAR CON CONTADOR]",IF(Registro_Compras!$F$400="RHE","Por el registro del recibo por honorarios "&amp;Registro_Compras!$C$400&amp;" de "&amp;Registro_Compras!$E$400&amp;" [PATRON POR CONFIRMAR CON CONTADOR]","Por el registro de la factura "&amp;Registro_Compras!$C$400&amp;" de "&amp;Registro_Compras!$E$400)))</f>
        <v/>
      </c>
      <c r="H3570" t="str">
        <f>IF($C3570="","",Registro_Compras!$C$400)</f>
        <v/>
      </c>
    </row>
    <row r="3571" spans="1:8" x14ac:dyDescent="0.25">
      <c r="A3571" s="25" t="str">
        <f>IF($C3571="","",Registro_Compras!$B$400)</f>
        <v/>
      </c>
      <c r="B3571" t="str">
        <f>IF($C3571="","","C"&amp;TEXT(INT((ROW()-5)/9)+1,"000")&amp;"-1")</f>
        <v/>
      </c>
      <c r="C3571" t="str">
        <f>IF(OR(Registro_Compras!$C$400="",Registro_Compras!$O$400=""),"",IF(Registro_Compras!$F$400="NOTA DE CREDITO",IF(Registro_Compras!$K$400=0,"","40111"),"4212"))</f>
        <v/>
      </c>
      <c r="D3571" t="str">
        <f>IF(OR(Registro_Compras!$C$400="",Registro_Compras!$O$400=""),"",IF(Registro_Compras!$F$400="NOTA DE CREDITO","IGV - Cuenta Propia (Credito Fiscal)","Cuentas por Pagar Comerciales - Terceros (Emitidas)"))</f>
        <v/>
      </c>
      <c r="E3571" s="20" t="str">
        <f>""</f>
        <v/>
      </c>
      <c r="F3571" s="20" t="str">
        <f>IF($C3571="","",IF(Registro_Compras!$F$400="NOTA DE CREDITO",ROUND(ABS(Registro_Compras!$K$400*Registro_Compras!$N$400),2),IF(Registro_Compras!$F$400="RHE",(ROUND(Registro_Compras!$L$400*Registro_Compras!$N$400,2)-ROUND(Registro_Compras!$V$400*Registro_Compras!$N$400,2)),Registro_Compras!$O$400)))</f>
        <v/>
      </c>
      <c r="G3571" t="str">
        <f>IF($C3571="","",IF(Registro_Compras!$F$400="NOTA DE CREDITO","Por la nota de credito "&amp;Registro_Compras!$C$400&amp;" de "&amp;Registro_Compras!$E$400&amp;" [PATRON POR CONFIRMAR CON CONTADOR]",IF(Registro_Compras!$F$400="RHE","Por el registro del recibo por honorarios "&amp;Registro_Compras!$C$400&amp;" de "&amp;Registro_Compras!$E$400&amp;" [PATRON POR CONFIRMAR CON CONTADOR]","Por el registro de la factura "&amp;Registro_Compras!$C$400&amp;" de "&amp;Registro_Compras!$E$400)))</f>
        <v/>
      </c>
      <c r="H3571" t="str">
        <f>IF($C3571="","",Registro_Compras!$C$400)</f>
        <v/>
      </c>
    </row>
    <row r="3572" spans="1:8" x14ac:dyDescent="0.25">
      <c r="A3572" s="25" t="str">
        <f>IF($C3572="","",Registro_Compras!$B$400)</f>
        <v/>
      </c>
      <c r="B3572" t="str">
        <f>IF($C3572="","","C"&amp;TEXT(INT((ROW()-5)/9)+1,"000")&amp;"-2")</f>
        <v/>
      </c>
      <c r="C3572" t="str">
        <f>IF(OR(Registro_Compras!$C$400="",Registro_Compras!$O$400=""),"",IF(Registro_Compras!$AB$400="ADMINISTRATIVO","94","95"))</f>
        <v/>
      </c>
      <c r="D3572" t="str">
        <f>IF(OR(Registro_Compras!$C$400="",Registro_Compras!$O$400=""),"",IF(Registro_Compras!$AB$400="ADMINISTRATIVO","Gastos Administrativos","Gastos de Venta y Operacion"))</f>
        <v/>
      </c>
      <c r="E3572" s="20" t="str">
        <f>IF($C3572="","",IF(Registro_Compras!$F$400="NOTA DE CREDITO","",IF(Registro_Compras!$F$400="RHE",ROUND(Registro_Compras!$L$400*Registro_Compras!$N$400,2),ROUND(Registro_Compras!$J$400*Registro_Compras!$N$400,2))))</f>
        <v/>
      </c>
      <c r="F3572" s="20" t="str">
        <f>IF($C3572="","",IF(Registro_Compras!$F$400="NOTA DE CREDITO",ROUND(ABS(Registro_Compras!$J$400*Registro_Compras!$N$400),2),""))</f>
        <v/>
      </c>
      <c r="G3572" t="str">
        <f>IF($C3572="","","Por el destino del gasto")</f>
        <v/>
      </c>
      <c r="H3572" t="str">
        <f>IF($C3572="","",Registro_Compras!$C$400)</f>
        <v/>
      </c>
    </row>
    <row r="3573" spans="1:8" x14ac:dyDescent="0.25">
      <c r="A3573" s="25" t="str">
        <f>IF($C3573="","",Registro_Compras!$B$400)</f>
        <v/>
      </c>
      <c r="B3573" t="str">
        <f>IF($C3573="","","C"&amp;TEXT(INT((ROW()-5)/9)+1,"000")&amp;"-2")</f>
        <v/>
      </c>
      <c r="C3573" t="str">
        <f>IF(OR(Registro_Compras!$C$400="",Registro_Compras!$O$400=""),"","79/791")</f>
        <v/>
      </c>
      <c r="D3573" t="str">
        <f>IF(OR(Registro_Compras!$C$400="",Registro_Compras!$O$400=""),"","Cargas Imputables a Cuentas de Costos y Gastos")</f>
        <v/>
      </c>
      <c r="E3573" s="20" t="str">
        <f>IF($C3573="","",IF(Registro_Compras!$F$400="NOTA DE CREDITO",ROUND(ABS(Registro_Compras!$J$400*Registro_Compras!$N$400),2),""))</f>
        <v/>
      </c>
      <c r="F3573" s="20" t="str">
        <f>IF($C3573="","",IF(Registro_Compras!$F$400="NOTA DE CREDITO","",IF(Registro_Compras!$F$400="RHE",ROUND(Registro_Compras!$L$400*Registro_Compras!$N$400,2),ROUND(Registro_Compras!$J$400*Registro_Compras!$N$400,2))))</f>
        <v/>
      </c>
      <c r="G3573" t="str">
        <f>IF($C3573="","","Por el destino del gasto")</f>
        <v/>
      </c>
      <c r="H3573" t="str">
        <f>IF($C3573="","",Registro_Compras!$C$400)</f>
        <v/>
      </c>
    </row>
    <row r="3574" spans="1:8" x14ac:dyDescent="0.25">
      <c r="A3574" s="25" t="str">
        <f>IF($C3574="","",Registro_Compras!$X$400)</f>
        <v/>
      </c>
      <c r="B3574" t="str">
        <f>IF($C3574="","","C"&amp;TEXT(INT((ROW()-5)/9)+1,"000")&amp;"-3")</f>
        <v/>
      </c>
      <c r="C3574" t="str">
        <f>IF(OR(Registro_Compras!$C$400="",Registro_Compras!$O$400="",Registro_Compras!$R$400&lt;&gt;"SI",Registro_Compras!$X$400=""),"","4212")</f>
        <v/>
      </c>
      <c r="D3574" t="str">
        <f>IF(OR(Registro_Compras!$C$400="",Registro_Compras!$O$400=""),"","Cuentas por Pagar Comerciales - Terceros")</f>
        <v/>
      </c>
      <c r="E3574" s="20" t="str">
        <f>IF($C3574="","",Registro_Compras!$S$400)</f>
        <v/>
      </c>
      <c r="F3574" s="20" t="str">
        <f>""</f>
        <v/>
      </c>
      <c r="G3574" t="str">
        <f>IF($C3574="","","Por el deposito de la detraccion en el Banco de la Nacion")</f>
        <v/>
      </c>
      <c r="H3574" t="str">
        <f>IF($C3574="","",Registro_Compras!$C$400)</f>
        <v/>
      </c>
    </row>
    <row r="3575" spans="1:8" x14ac:dyDescent="0.25">
      <c r="A3575" s="25" t="str">
        <f>IF($C3575="","",Registro_Compras!$X$400)</f>
        <v/>
      </c>
      <c r="B3575" t="str">
        <f>IF($C3575="","","C"&amp;TEXT(INT((ROW()-5)/9)+1,"000")&amp;"-3")</f>
        <v/>
      </c>
      <c r="C3575" t="str">
        <f>IF(OR(Registro_Compras!$C$400="",Registro_Compras!$O$400="",Registro_Compras!$R$400&lt;&gt;"SI",Registro_Compras!$X$400=""),"","1041")</f>
        <v/>
      </c>
      <c r="D3575" t="str">
        <f>IF(OR(Registro_Compras!$C$400="",Registro_Compras!$O$400=""),"","Efectivo y Equivalentes - Cta. Cte. Operativa")</f>
        <v/>
      </c>
      <c r="E3575" s="20" t="str">
        <f>""</f>
        <v/>
      </c>
      <c r="F3575" s="20" t="str">
        <f>IF($C3575="","",Registro_Compras!$S$400)</f>
        <v/>
      </c>
      <c r="G3575" t="str">
        <f>IF($C3575="","","Por el deposito de la detraccion en el Banco de la Nacion")</f>
        <v/>
      </c>
      <c r="H3575" t="str">
        <f>IF($C3575="","",Registro_Compras!$C$400)</f>
        <v/>
      </c>
    </row>
    <row r="3576" spans="1:8" x14ac:dyDescent="0.25">
      <c r="A3576" s="25" t="str">
        <f>IF($C3576="","",Registro_Compras!$Y$400)</f>
        <v/>
      </c>
      <c r="B3576" t="str">
        <f>IF($C3576="","","C"&amp;TEXT(INT((ROW()-5)/9)+1,"000")&amp;"-4")</f>
        <v/>
      </c>
      <c r="C3576" t="str">
        <f>IF(OR(Registro_Compras!$C$400="",Registro_Compras!$O$400="",Registro_Compras!$Y$400="",Registro_Compras!$F$400="NOTA DE CREDITO"),"","4212")</f>
        <v/>
      </c>
      <c r="D3576" t="str">
        <f>IF(OR(Registro_Compras!$C$400="",Registro_Compras!$O$400=""),"","Cuentas por Pagar Comerciales - Terceros")</f>
        <v/>
      </c>
      <c r="E3576" s="20" t="str">
        <f>IF($C3576="","",IF(Registro_Compras!$F$400="RHE",(ROUND(Registro_Compras!$L$400*Registro_Compras!$N$400,2)-ROUND(Registro_Compras!$V$400*Registro_Compras!$N$400,2)),ROUND(Registro_Compras!$O$400-Registro_Compras!$S$400,2)))</f>
        <v/>
      </c>
      <c r="F3576" s="20" t="str">
        <f>""</f>
        <v/>
      </c>
      <c r="G3576" t="str">
        <f>IF($C3576="","","Por la cancelacion del saldo al proveedor")</f>
        <v/>
      </c>
      <c r="H3576" t="str">
        <f>IF($C3576="","",Registro_Compras!$C$400)</f>
        <v/>
      </c>
    </row>
    <row r="3577" spans="1:8" x14ac:dyDescent="0.25">
      <c r="A3577" s="25" t="str">
        <f>IF($C3577="","",Registro_Compras!$Y$400)</f>
        <v/>
      </c>
      <c r="B3577" t="str">
        <f>IF($C3577="","","C"&amp;TEXT(INT((ROW()-5)/9)+1,"000")&amp;"-4")</f>
        <v/>
      </c>
      <c r="C3577" t="str">
        <f>IF(OR(Registro_Compras!$C$400="",Registro_Compras!$O$400="",Registro_Compras!$Y$400="",Registro_Compras!$F$400="NOTA DE CREDITO"),"","1041")</f>
        <v/>
      </c>
      <c r="D3577" t="str">
        <f>IF(OR(Registro_Compras!$C$400="",Registro_Compras!$O$400=""),"","Efectivo y Equivalentes - Cta. Cte. Operativa")</f>
        <v/>
      </c>
      <c r="E3577" s="20" t="str">
        <f>""</f>
        <v/>
      </c>
      <c r="F3577" s="20" t="str">
        <f>IF($C3577="","",IF(Registro_Compras!$F$400="RHE",(ROUND(Registro_Compras!$L$400*Registro_Compras!$N$400,2)-ROUND(Registro_Compras!$V$400*Registro_Compras!$N$400,2)),ROUND(Registro_Compras!$O$400-Registro_Compras!$S$400,2)))</f>
        <v/>
      </c>
      <c r="G3577" t="str">
        <f>IF($C3577="","","Por la cancelacion del saldo al proveedor")</f>
        <v/>
      </c>
      <c r="H3577" t="str">
        <f>IF($C3577="","",Registro_Compras!$C$400)</f>
        <v/>
      </c>
    </row>
    <row r="3578" spans="1:8" x14ac:dyDescent="0.25">
      <c r="A3578" s="25" t="str">
        <f>IF($C3578="","",Registro_Compras!$B$401)</f>
        <v/>
      </c>
      <c r="B3578" t="str">
        <f>IF($C3578="","","C"&amp;TEXT(INT((ROW()-5)/9)+1,"000")&amp;"-1")</f>
        <v/>
      </c>
      <c r="C3578" t="str">
        <f>IF(OR(Registro_Compras!$C$401="",Registro_Compras!$O$401=""),"",IF(Registro_Compras!$F$401="NOTA DE CREDITO","4212",IF(Registro_Compras!$M$401="","63",Registro_Compras!$M$401)))</f>
        <v/>
      </c>
      <c r="D3578" t="str">
        <f>IF(OR(Registro_Compras!$C$401="",Registro_Compras!$O$401=""),"",IF(Registro_Compras!$F$401="NOTA DE CREDITO","Cuentas por Pagar Comerciales - Terceros (Emitidas)",IF(Registro_Compras!$F$401="RHE","Honorarios Profesionales - Servicios de Terceros","Gastos de Servicios Prestados por Terceros")))</f>
        <v/>
      </c>
      <c r="E3578" s="20" t="str">
        <f>IF($C3578="","",IF(Registro_Compras!$F$401="NOTA DE CREDITO",ABS(Registro_Compras!$O$401),IF(Registro_Compras!$F$401="RHE",ROUND(Registro_Compras!$L$401*Registro_Compras!$N$401,2),ROUND(Registro_Compras!$J$401*Registro_Compras!$N$401,2))))</f>
        <v/>
      </c>
      <c r="F3578" s="20" t="str">
        <f>""</f>
        <v/>
      </c>
      <c r="G3578" t="str">
        <f>IF($C3578="","",IF(Registro_Compras!$F$401="NOTA DE CREDITO","Por la nota de credito "&amp;Registro_Compras!$C$401&amp;" de "&amp;Registro_Compras!$E$401&amp;" [PATRON POR CONFIRMAR CON CONTADOR]",IF(Registro_Compras!$F$401="RHE","Por el registro del recibo por honorarios "&amp;Registro_Compras!$C$401&amp;" de "&amp;Registro_Compras!$E$401&amp;" [PATRON POR CONFIRMAR CON CONTADOR]","Por el registro de la factura "&amp;Registro_Compras!$C$401&amp;" de "&amp;Registro_Compras!$E$401)))</f>
        <v/>
      </c>
      <c r="H3578" t="str">
        <f>IF($C3578="","",Registro_Compras!$C$401)</f>
        <v/>
      </c>
    </row>
    <row r="3579" spans="1:8" x14ac:dyDescent="0.25">
      <c r="A3579" s="25" t="str">
        <f>IF($C3579="","",Registro_Compras!$B$401)</f>
        <v/>
      </c>
      <c r="B3579" t="str">
        <f>IF($C3579="","","C"&amp;TEXT(INT((ROW()-5)/9)+1,"000")&amp;"-1")</f>
        <v/>
      </c>
      <c r="C3579" t="str">
        <f>IF(OR(Registro_Compras!$C$401="",Registro_Compras!$O$401=""),"",IF(Registro_Compras!$F$401="RHE",IF(Registro_Compras!$V$401=0,"","4017"),IF(Registro_Compras!$F$401="NOTA DE CREDITO",IF(Registro_Compras!$M$401="","63",Registro_Compras!$M$401),IF(Registro_Compras!$K$401=0,"","40111"))))</f>
        <v/>
      </c>
      <c r="D3579" t="str">
        <f>IF(OR(Registro_Compras!$C$401="",Registro_Compras!$O$401=""),"",IF(Registro_Compras!$F$401="RHE","Retencion Renta 4ta Categoria por Pagar",IF(Registro_Compras!$F$401="NOTA DE CREDITO","Gastos de Servicios Prestados por Terceros","IGV - Cuenta Propia (Credito Fiscal)")))</f>
        <v/>
      </c>
      <c r="E3579" s="20" t="str">
        <f>IF($C3579="","",IF(Registro_Compras!$F$401="FACTURA",ROUND(Registro_Compras!$K$401*Registro_Compras!$N$401,2),""))</f>
        <v/>
      </c>
      <c r="F3579" s="20" t="str">
        <f>IF($C3579="","",IF(Registro_Compras!$F$401="RHE",ROUND(Registro_Compras!$V$401*Registro_Compras!$N$401,2),IF(Registro_Compras!$F$401="NOTA DE CREDITO",ROUND(ABS(Registro_Compras!$J$401*Registro_Compras!$N$401),2),"")))</f>
        <v/>
      </c>
      <c r="G3579" t="str">
        <f>IF($C3579="","",IF(Registro_Compras!$F$401="NOTA DE CREDITO","Por la nota de credito "&amp;Registro_Compras!$C$401&amp;" de "&amp;Registro_Compras!$E$401&amp;" [PATRON POR CONFIRMAR CON CONTADOR]",IF(Registro_Compras!$F$401="RHE","Por el registro del recibo por honorarios "&amp;Registro_Compras!$C$401&amp;" de "&amp;Registro_Compras!$E$401&amp;" [PATRON POR CONFIRMAR CON CONTADOR]","Por el registro de la factura "&amp;Registro_Compras!$C$401&amp;" de "&amp;Registro_Compras!$E$401)))</f>
        <v/>
      </c>
      <c r="H3579" t="str">
        <f>IF($C3579="","",Registro_Compras!$C$401)</f>
        <v/>
      </c>
    </row>
    <row r="3580" spans="1:8" x14ac:dyDescent="0.25">
      <c r="A3580" s="25" t="str">
        <f>IF($C3580="","",Registro_Compras!$B$401)</f>
        <v/>
      </c>
      <c r="B3580" t="str">
        <f>IF($C3580="","","C"&amp;TEXT(INT((ROW()-5)/9)+1,"000")&amp;"-1")</f>
        <v/>
      </c>
      <c r="C3580" t="str">
        <f>IF(OR(Registro_Compras!$C$401="",Registro_Compras!$O$401=""),"",IF(Registro_Compras!$F$401="NOTA DE CREDITO",IF(Registro_Compras!$K$401=0,"","40111"),"4212"))</f>
        <v/>
      </c>
      <c r="D3580" t="str">
        <f>IF(OR(Registro_Compras!$C$401="",Registro_Compras!$O$401=""),"",IF(Registro_Compras!$F$401="NOTA DE CREDITO","IGV - Cuenta Propia (Credito Fiscal)","Cuentas por Pagar Comerciales - Terceros (Emitidas)"))</f>
        <v/>
      </c>
      <c r="E3580" s="20" t="str">
        <f>""</f>
        <v/>
      </c>
      <c r="F3580" s="20" t="str">
        <f>IF($C3580="","",IF(Registro_Compras!$F$401="NOTA DE CREDITO",ROUND(ABS(Registro_Compras!$K$401*Registro_Compras!$N$401),2),IF(Registro_Compras!$F$401="RHE",(ROUND(Registro_Compras!$L$401*Registro_Compras!$N$401,2)-ROUND(Registro_Compras!$V$401*Registro_Compras!$N$401,2)),Registro_Compras!$O$401)))</f>
        <v/>
      </c>
      <c r="G3580" t="str">
        <f>IF($C3580="","",IF(Registro_Compras!$F$401="NOTA DE CREDITO","Por la nota de credito "&amp;Registro_Compras!$C$401&amp;" de "&amp;Registro_Compras!$E$401&amp;" [PATRON POR CONFIRMAR CON CONTADOR]",IF(Registro_Compras!$F$401="RHE","Por el registro del recibo por honorarios "&amp;Registro_Compras!$C$401&amp;" de "&amp;Registro_Compras!$E$401&amp;" [PATRON POR CONFIRMAR CON CONTADOR]","Por el registro de la factura "&amp;Registro_Compras!$C$401&amp;" de "&amp;Registro_Compras!$E$401)))</f>
        <v/>
      </c>
      <c r="H3580" t="str">
        <f>IF($C3580="","",Registro_Compras!$C$401)</f>
        <v/>
      </c>
    </row>
    <row r="3581" spans="1:8" x14ac:dyDescent="0.25">
      <c r="A3581" s="25" t="str">
        <f>IF($C3581="","",Registro_Compras!$B$401)</f>
        <v/>
      </c>
      <c r="B3581" t="str">
        <f>IF($C3581="","","C"&amp;TEXT(INT((ROW()-5)/9)+1,"000")&amp;"-2")</f>
        <v/>
      </c>
      <c r="C3581" t="str">
        <f>IF(OR(Registro_Compras!$C$401="",Registro_Compras!$O$401=""),"",IF(Registro_Compras!$AB$401="ADMINISTRATIVO","94","95"))</f>
        <v/>
      </c>
      <c r="D3581" t="str">
        <f>IF(OR(Registro_Compras!$C$401="",Registro_Compras!$O$401=""),"",IF(Registro_Compras!$AB$401="ADMINISTRATIVO","Gastos Administrativos","Gastos de Venta y Operacion"))</f>
        <v/>
      </c>
      <c r="E3581" s="20" t="str">
        <f>IF($C3581="","",IF(Registro_Compras!$F$401="NOTA DE CREDITO","",IF(Registro_Compras!$F$401="RHE",ROUND(Registro_Compras!$L$401*Registro_Compras!$N$401,2),ROUND(Registro_Compras!$J$401*Registro_Compras!$N$401,2))))</f>
        <v/>
      </c>
      <c r="F3581" s="20" t="str">
        <f>IF($C3581="","",IF(Registro_Compras!$F$401="NOTA DE CREDITO",ROUND(ABS(Registro_Compras!$J$401*Registro_Compras!$N$401),2),""))</f>
        <v/>
      </c>
      <c r="G3581" t="str">
        <f>IF($C3581="","","Por el destino del gasto")</f>
        <v/>
      </c>
      <c r="H3581" t="str">
        <f>IF($C3581="","",Registro_Compras!$C$401)</f>
        <v/>
      </c>
    </row>
    <row r="3582" spans="1:8" x14ac:dyDescent="0.25">
      <c r="A3582" s="25" t="str">
        <f>IF($C3582="","",Registro_Compras!$B$401)</f>
        <v/>
      </c>
      <c r="B3582" t="str">
        <f>IF($C3582="","","C"&amp;TEXT(INT((ROW()-5)/9)+1,"000")&amp;"-2")</f>
        <v/>
      </c>
      <c r="C3582" t="str">
        <f>IF(OR(Registro_Compras!$C$401="",Registro_Compras!$O$401=""),"","79/791")</f>
        <v/>
      </c>
      <c r="D3582" t="str">
        <f>IF(OR(Registro_Compras!$C$401="",Registro_Compras!$O$401=""),"","Cargas Imputables a Cuentas de Costos y Gastos")</f>
        <v/>
      </c>
      <c r="E3582" s="20" t="str">
        <f>IF($C3582="","",IF(Registro_Compras!$F$401="NOTA DE CREDITO",ROUND(ABS(Registro_Compras!$J$401*Registro_Compras!$N$401),2),""))</f>
        <v/>
      </c>
      <c r="F3582" s="20" t="str">
        <f>IF($C3582="","",IF(Registro_Compras!$F$401="NOTA DE CREDITO","",IF(Registro_Compras!$F$401="RHE",ROUND(Registro_Compras!$L$401*Registro_Compras!$N$401,2),ROUND(Registro_Compras!$J$401*Registro_Compras!$N$401,2))))</f>
        <v/>
      </c>
      <c r="G3582" t="str">
        <f>IF($C3582="","","Por el destino del gasto")</f>
        <v/>
      </c>
      <c r="H3582" t="str">
        <f>IF($C3582="","",Registro_Compras!$C$401)</f>
        <v/>
      </c>
    </row>
    <row r="3583" spans="1:8" x14ac:dyDescent="0.25">
      <c r="A3583" s="25" t="str">
        <f>IF($C3583="","",Registro_Compras!$X$401)</f>
        <v/>
      </c>
      <c r="B3583" t="str">
        <f>IF($C3583="","","C"&amp;TEXT(INT((ROW()-5)/9)+1,"000")&amp;"-3")</f>
        <v/>
      </c>
      <c r="C3583" t="str">
        <f>IF(OR(Registro_Compras!$C$401="",Registro_Compras!$O$401="",Registro_Compras!$R$401&lt;&gt;"SI",Registro_Compras!$X$401=""),"","4212")</f>
        <v/>
      </c>
      <c r="D3583" t="str">
        <f>IF(OR(Registro_Compras!$C$401="",Registro_Compras!$O$401=""),"","Cuentas por Pagar Comerciales - Terceros")</f>
        <v/>
      </c>
      <c r="E3583" s="20" t="str">
        <f>IF($C3583="","",Registro_Compras!$S$401)</f>
        <v/>
      </c>
      <c r="F3583" s="20" t="str">
        <f>""</f>
        <v/>
      </c>
      <c r="G3583" t="str">
        <f>IF($C3583="","","Por el deposito de la detraccion en el Banco de la Nacion")</f>
        <v/>
      </c>
      <c r="H3583" t="str">
        <f>IF($C3583="","",Registro_Compras!$C$401)</f>
        <v/>
      </c>
    </row>
    <row r="3584" spans="1:8" x14ac:dyDescent="0.25">
      <c r="A3584" s="25" t="str">
        <f>IF($C3584="","",Registro_Compras!$X$401)</f>
        <v/>
      </c>
      <c r="B3584" t="str">
        <f>IF($C3584="","","C"&amp;TEXT(INT((ROW()-5)/9)+1,"000")&amp;"-3")</f>
        <v/>
      </c>
      <c r="C3584" t="str">
        <f>IF(OR(Registro_Compras!$C$401="",Registro_Compras!$O$401="",Registro_Compras!$R$401&lt;&gt;"SI",Registro_Compras!$X$401=""),"","1041")</f>
        <v/>
      </c>
      <c r="D3584" t="str">
        <f>IF(OR(Registro_Compras!$C$401="",Registro_Compras!$O$401=""),"","Efectivo y Equivalentes - Cta. Cte. Operativa")</f>
        <v/>
      </c>
      <c r="E3584" s="20" t="str">
        <f>""</f>
        <v/>
      </c>
      <c r="F3584" s="20" t="str">
        <f>IF($C3584="","",Registro_Compras!$S$401)</f>
        <v/>
      </c>
      <c r="G3584" t="str">
        <f>IF($C3584="","","Por el deposito de la detraccion en el Banco de la Nacion")</f>
        <v/>
      </c>
      <c r="H3584" t="str">
        <f>IF($C3584="","",Registro_Compras!$C$401)</f>
        <v/>
      </c>
    </row>
    <row r="3585" spans="1:8" x14ac:dyDescent="0.25">
      <c r="A3585" s="25" t="str">
        <f>IF($C3585="","",Registro_Compras!$Y$401)</f>
        <v/>
      </c>
      <c r="B3585" t="str">
        <f>IF($C3585="","","C"&amp;TEXT(INT((ROW()-5)/9)+1,"000")&amp;"-4")</f>
        <v/>
      </c>
      <c r="C3585" t="str">
        <f>IF(OR(Registro_Compras!$C$401="",Registro_Compras!$O$401="",Registro_Compras!$Y$401="",Registro_Compras!$F$401="NOTA DE CREDITO"),"","4212")</f>
        <v/>
      </c>
      <c r="D3585" t="str">
        <f>IF(OR(Registro_Compras!$C$401="",Registro_Compras!$O$401=""),"","Cuentas por Pagar Comerciales - Terceros")</f>
        <v/>
      </c>
      <c r="E3585" s="20" t="str">
        <f>IF($C3585="","",IF(Registro_Compras!$F$401="RHE",(ROUND(Registro_Compras!$L$401*Registro_Compras!$N$401,2)-ROUND(Registro_Compras!$V$401*Registro_Compras!$N$401,2)),ROUND(Registro_Compras!$O$401-Registro_Compras!$S$401,2)))</f>
        <v/>
      </c>
      <c r="F3585" s="20" t="str">
        <f>""</f>
        <v/>
      </c>
      <c r="G3585" t="str">
        <f>IF($C3585="","","Por la cancelacion del saldo al proveedor")</f>
        <v/>
      </c>
      <c r="H3585" t="str">
        <f>IF($C3585="","",Registro_Compras!$C$401)</f>
        <v/>
      </c>
    </row>
    <row r="3586" spans="1:8" x14ac:dyDescent="0.25">
      <c r="A3586" s="25" t="str">
        <f>IF($C3586="","",Registro_Compras!$Y$401)</f>
        <v/>
      </c>
      <c r="B3586" t="str">
        <f>IF($C3586="","","C"&amp;TEXT(INT((ROW()-5)/9)+1,"000")&amp;"-4")</f>
        <v/>
      </c>
      <c r="C3586" t="str">
        <f>IF(OR(Registro_Compras!$C$401="",Registro_Compras!$O$401="",Registro_Compras!$Y$401="",Registro_Compras!$F$401="NOTA DE CREDITO"),"","1041")</f>
        <v/>
      </c>
      <c r="D3586" t="str">
        <f>IF(OR(Registro_Compras!$C$401="",Registro_Compras!$O$401=""),"","Efectivo y Equivalentes - Cta. Cte. Operativa")</f>
        <v/>
      </c>
      <c r="E3586" s="20" t="str">
        <f>""</f>
        <v/>
      </c>
      <c r="F3586" s="20" t="str">
        <f>IF($C3586="","",IF(Registro_Compras!$F$401="RHE",(ROUND(Registro_Compras!$L$401*Registro_Compras!$N$401,2)-ROUND(Registro_Compras!$V$401*Registro_Compras!$N$401,2)),ROUND(Registro_Compras!$O$401-Registro_Compras!$S$401,2)))</f>
        <v/>
      </c>
      <c r="G3586" t="str">
        <f>IF($C3586="","","Por la cancelacion del saldo al proveedor")</f>
        <v/>
      </c>
      <c r="H3586" t="str">
        <f>IF($C3586="","",Registro_Compras!$C$401)</f>
        <v/>
      </c>
    </row>
    <row r="3587" spans="1:8" x14ac:dyDescent="0.25">
      <c r="A3587" s="25" t="str">
        <f>IF($C3587="","",Registro_Compras!$B$402)</f>
        <v/>
      </c>
      <c r="B3587" t="str">
        <f>IF($C3587="","","C"&amp;TEXT(INT((ROW()-5)/9)+1,"000")&amp;"-1")</f>
        <v/>
      </c>
      <c r="C3587" t="str">
        <f>IF(OR(Registro_Compras!$C$402="",Registro_Compras!$O$402=""),"",IF(Registro_Compras!$F$402="NOTA DE CREDITO","4212",IF(Registro_Compras!$M$402="","63",Registro_Compras!$M$402)))</f>
        <v/>
      </c>
      <c r="D3587" t="str">
        <f>IF(OR(Registro_Compras!$C$402="",Registro_Compras!$O$402=""),"",IF(Registro_Compras!$F$402="NOTA DE CREDITO","Cuentas por Pagar Comerciales - Terceros (Emitidas)",IF(Registro_Compras!$F$402="RHE","Honorarios Profesionales - Servicios de Terceros","Gastos de Servicios Prestados por Terceros")))</f>
        <v/>
      </c>
      <c r="E3587" s="20" t="str">
        <f>IF($C3587="","",IF(Registro_Compras!$F$402="NOTA DE CREDITO",ABS(Registro_Compras!$O$402),IF(Registro_Compras!$F$402="RHE",ROUND(Registro_Compras!$L$402*Registro_Compras!$N$402,2),ROUND(Registro_Compras!$J$402*Registro_Compras!$N$402,2))))</f>
        <v/>
      </c>
      <c r="F3587" s="20" t="str">
        <f>""</f>
        <v/>
      </c>
      <c r="G3587" t="str">
        <f>IF($C3587="","",IF(Registro_Compras!$F$402="NOTA DE CREDITO","Por la nota de credito "&amp;Registro_Compras!$C$402&amp;" de "&amp;Registro_Compras!$E$402&amp;" [PATRON POR CONFIRMAR CON CONTADOR]",IF(Registro_Compras!$F$402="RHE","Por el registro del recibo por honorarios "&amp;Registro_Compras!$C$402&amp;" de "&amp;Registro_Compras!$E$402&amp;" [PATRON POR CONFIRMAR CON CONTADOR]","Por el registro de la factura "&amp;Registro_Compras!$C$402&amp;" de "&amp;Registro_Compras!$E$402)))</f>
        <v/>
      </c>
      <c r="H3587" t="str">
        <f>IF($C3587="","",Registro_Compras!$C$402)</f>
        <v/>
      </c>
    </row>
    <row r="3588" spans="1:8" x14ac:dyDescent="0.25">
      <c r="A3588" s="25" t="str">
        <f>IF($C3588="","",Registro_Compras!$B$402)</f>
        <v/>
      </c>
      <c r="B3588" t="str">
        <f>IF($C3588="","","C"&amp;TEXT(INT((ROW()-5)/9)+1,"000")&amp;"-1")</f>
        <v/>
      </c>
      <c r="C3588" t="str">
        <f>IF(OR(Registro_Compras!$C$402="",Registro_Compras!$O$402=""),"",IF(Registro_Compras!$F$402="RHE",IF(Registro_Compras!$V$402=0,"","4017"),IF(Registro_Compras!$F$402="NOTA DE CREDITO",IF(Registro_Compras!$M$402="","63",Registro_Compras!$M$402),IF(Registro_Compras!$K$402=0,"","40111"))))</f>
        <v/>
      </c>
      <c r="D3588" t="str">
        <f>IF(OR(Registro_Compras!$C$402="",Registro_Compras!$O$402=""),"",IF(Registro_Compras!$F$402="RHE","Retencion Renta 4ta Categoria por Pagar",IF(Registro_Compras!$F$402="NOTA DE CREDITO","Gastos de Servicios Prestados por Terceros","IGV - Cuenta Propia (Credito Fiscal)")))</f>
        <v/>
      </c>
      <c r="E3588" s="20" t="str">
        <f>IF($C3588="","",IF(Registro_Compras!$F$402="FACTURA",ROUND(Registro_Compras!$K$402*Registro_Compras!$N$402,2),""))</f>
        <v/>
      </c>
      <c r="F3588" s="20" t="str">
        <f>IF($C3588="","",IF(Registro_Compras!$F$402="RHE",ROUND(Registro_Compras!$V$402*Registro_Compras!$N$402,2),IF(Registro_Compras!$F$402="NOTA DE CREDITO",ROUND(ABS(Registro_Compras!$J$402*Registro_Compras!$N$402),2),"")))</f>
        <v/>
      </c>
      <c r="G3588" t="str">
        <f>IF($C3588="","",IF(Registro_Compras!$F$402="NOTA DE CREDITO","Por la nota de credito "&amp;Registro_Compras!$C$402&amp;" de "&amp;Registro_Compras!$E$402&amp;" [PATRON POR CONFIRMAR CON CONTADOR]",IF(Registro_Compras!$F$402="RHE","Por el registro del recibo por honorarios "&amp;Registro_Compras!$C$402&amp;" de "&amp;Registro_Compras!$E$402&amp;" [PATRON POR CONFIRMAR CON CONTADOR]","Por el registro de la factura "&amp;Registro_Compras!$C$402&amp;" de "&amp;Registro_Compras!$E$402)))</f>
        <v/>
      </c>
      <c r="H3588" t="str">
        <f>IF($C3588="","",Registro_Compras!$C$402)</f>
        <v/>
      </c>
    </row>
    <row r="3589" spans="1:8" x14ac:dyDescent="0.25">
      <c r="A3589" s="25" t="str">
        <f>IF($C3589="","",Registro_Compras!$B$402)</f>
        <v/>
      </c>
      <c r="B3589" t="str">
        <f>IF($C3589="","","C"&amp;TEXT(INT((ROW()-5)/9)+1,"000")&amp;"-1")</f>
        <v/>
      </c>
      <c r="C3589" t="str">
        <f>IF(OR(Registro_Compras!$C$402="",Registro_Compras!$O$402=""),"",IF(Registro_Compras!$F$402="NOTA DE CREDITO",IF(Registro_Compras!$K$402=0,"","40111"),"4212"))</f>
        <v/>
      </c>
      <c r="D3589" t="str">
        <f>IF(OR(Registro_Compras!$C$402="",Registro_Compras!$O$402=""),"",IF(Registro_Compras!$F$402="NOTA DE CREDITO","IGV - Cuenta Propia (Credito Fiscal)","Cuentas por Pagar Comerciales - Terceros (Emitidas)"))</f>
        <v/>
      </c>
      <c r="E3589" s="20" t="str">
        <f>""</f>
        <v/>
      </c>
      <c r="F3589" s="20" t="str">
        <f>IF($C3589="","",IF(Registro_Compras!$F$402="NOTA DE CREDITO",ROUND(ABS(Registro_Compras!$K$402*Registro_Compras!$N$402),2),IF(Registro_Compras!$F$402="RHE",(ROUND(Registro_Compras!$L$402*Registro_Compras!$N$402,2)-ROUND(Registro_Compras!$V$402*Registro_Compras!$N$402,2)),Registro_Compras!$O$402)))</f>
        <v/>
      </c>
      <c r="G3589" t="str">
        <f>IF($C3589="","",IF(Registro_Compras!$F$402="NOTA DE CREDITO","Por la nota de credito "&amp;Registro_Compras!$C$402&amp;" de "&amp;Registro_Compras!$E$402&amp;" [PATRON POR CONFIRMAR CON CONTADOR]",IF(Registro_Compras!$F$402="RHE","Por el registro del recibo por honorarios "&amp;Registro_Compras!$C$402&amp;" de "&amp;Registro_Compras!$E$402&amp;" [PATRON POR CONFIRMAR CON CONTADOR]","Por el registro de la factura "&amp;Registro_Compras!$C$402&amp;" de "&amp;Registro_Compras!$E$402)))</f>
        <v/>
      </c>
      <c r="H3589" t="str">
        <f>IF($C3589="","",Registro_Compras!$C$402)</f>
        <v/>
      </c>
    </row>
    <row r="3590" spans="1:8" x14ac:dyDescent="0.25">
      <c r="A3590" s="25" t="str">
        <f>IF($C3590="","",Registro_Compras!$B$402)</f>
        <v/>
      </c>
      <c r="B3590" t="str">
        <f>IF($C3590="","","C"&amp;TEXT(INT((ROW()-5)/9)+1,"000")&amp;"-2")</f>
        <v/>
      </c>
      <c r="C3590" t="str">
        <f>IF(OR(Registro_Compras!$C$402="",Registro_Compras!$O$402=""),"",IF(Registro_Compras!$AB$402="ADMINISTRATIVO","94","95"))</f>
        <v/>
      </c>
      <c r="D3590" t="str">
        <f>IF(OR(Registro_Compras!$C$402="",Registro_Compras!$O$402=""),"",IF(Registro_Compras!$AB$402="ADMINISTRATIVO","Gastos Administrativos","Gastos de Venta y Operacion"))</f>
        <v/>
      </c>
      <c r="E3590" s="20" t="str">
        <f>IF($C3590="","",IF(Registro_Compras!$F$402="NOTA DE CREDITO","",IF(Registro_Compras!$F$402="RHE",ROUND(Registro_Compras!$L$402*Registro_Compras!$N$402,2),ROUND(Registro_Compras!$J$402*Registro_Compras!$N$402,2))))</f>
        <v/>
      </c>
      <c r="F3590" s="20" t="str">
        <f>IF($C3590="","",IF(Registro_Compras!$F$402="NOTA DE CREDITO",ROUND(ABS(Registro_Compras!$J$402*Registro_Compras!$N$402),2),""))</f>
        <v/>
      </c>
      <c r="G3590" t="str">
        <f>IF($C3590="","","Por el destino del gasto")</f>
        <v/>
      </c>
      <c r="H3590" t="str">
        <f>IF($C3590="","",Registro_Compras!$C$402)</f>
        <v/>
      </c>
    </row>
    <row r="3591" spans="1:8" x14ac:dyDescent="0.25">
      <c r="A3591" s="25" t="str">
        <f>IF($C3591="","",Registro_Compras!$B$402)</f>
        <v/>
      </c>
      <c r="B3591" t="str">
        <f>IF($C3591="","","C"&amp;TEXT(INT((ROW()-5)/9)+1,"000")&amp;"-2")</f>
        <v/>
      </c>
      <c r="C3591" t="str">
        <f>IF(OR(Registro_Compras!$C$402="",Registro_Compras!$O$402=""),"","79/791")</f>
        <v/>
      </c>
      <c r="D3591" t="str">
        <f>IF(OR(Registro_Compras!$C$402="",Registro_Compras!$O$402=""),"","Cargas Imputables a Cuentas de Costos y Gastos")</f>
        <v/>
      </c>
      <c r="E3591" s="20" t="str">
        <f>IF($C3591="","",IF(Registro_Compras!$F$402="NOTA DE CREDITO",ROUND(ABS(Registro_Compras!$J$402*Registro_Compras!$N$402),2),""))</f>
        <v/>
      </c>
      <c r="F3591" s="20" t="str">
        <f>IF($C3591="","",IF(Registro_Compras!$F$402="NOTA DE CREDITO","",IF(Registro_Compras!$F$402="RHE",ROUND(Registro_Compras!$L$402*Registro_Compras!$N$402,2),ROUND(Registro_Compras!$J$402*Registro_Compras!$N$402,2))))</f>
        <v/>
      </c>
      <c r="G3591" t="str">
        <f>IF($C3591="","","Por el destino del gasto")</f>
        <v/>
      </c>
      <c r="H3591" t="str">
        <f>IF($C3591="","",Registro_Compras!$C$402)</f>
        <v/>
      </c>
    </row>
    <row r="3592" spans="1:8" x14ac:dyDescent="0.25">
      <c r="A3592" s="25" t="str">
        <f>IF($C3592="","",Registro_Compras!$X$402)</f>
        <v/>
      </c>
      <c r="B3592" t="str">
        <f>IF($C3592="","","C"&amp;TEXT(INT((ROW()-5)/9)+1,"000")&amp;"-3")</f>
        <v/>
      </c>
      <c r="C3592" t="str">
        <f>IF(OR(Registro_Compras!$C$402="",Registro_Compras!$O$402="",Registro_Compras!$R$402&lt;&gt;"SI",Registro_Compras!$X$402=""),"","4212")</f>
        <v/>
      </c>
      <c r="D3592" t="str">
        <f>IF(OR(Registro_Compras!$C$402="",Registro_Compras!$O$402=""),"","Cuentas por Pagar Comerciales - Terceros")</f>
        <v/>
      </c>
      <c r="E3592" s="20" t="str">
        <f>IF($C3592="","",Registro_Compras!$S$402)</f>
        <v/>
      </c>
      <c r="F3592" s="20" t="str">
        <f>""</f>
        <v/>
      </c>
      <c r="G3592" t="str">
        <f>IF($C3592="","","Por el deposito de la detraccion en el Banco de la Nacion")</f>
        <v/>
      </c>
      <c r="H3592" t="str">
        <f>IF($C3592="","",Registro_Compras!$C$402)</f>
        <v/>
      </c>
    </row>
    <row r="3593" spans="1:8" x14ac:dyDescent="0.25">
      <c r="A3593" s="25" t="str">
        <f>IF($C3593="","",Registro_Compras!$X$402)</f>
        <v/>
      </c>
      <c r="B3593" t="str">
        <f>IF($C3593="","","C"&amp;TEXT(INT((ROW()-5)/9)+1,"000")&amp;"-3")</f>
        <v/>
      </c>
      <c r="C3593" t="str">
        <f>IF(OR(Registro_Compras!$C$402="",Registro_Compras!$O$402="",Registro_Compras!$R$402&lt;&gt;"SI",Registro_Compras!$X$402=""),"","1041")</f>
        <v/>
      </c>
      <c r="D3593" t="str">
        <f>IF(OR(Registro_Compras!$C$402="",Registro_Compras!$O$402=""),"","Efectivo y Equivalentes - Cta. Cte. Operativa")</f>
        <v/>
      </c>
      <c r="E3593" s="20" t="str">
        <f>""</f>
        <v/>
      </c>
      <c r="F3593" s="20" t="str">
        <f>IF($C3593="","",Registro_Compras!$S$402)</f>
        <v/>
      </c>
      <c r="G3593" t="str">
        <f>IF($C3593="","","Por el deposito de la detraccion en el Banco de la Nacion")</f>
        <v/>
      </c>
      <c r="H3593" t="str">
        <f>IF($C3593="","",Registro_Compras!$C$402)</f>
        <v/>
      </c>
    </row>
    <row r="3594" spans="1:8" x14ac:dyDescent="0.25">
      <c r="A3594" s="25" t="str">
        <f>IF($C3594="","",Registro_Compras!$Y$402)</f>
        <v/>
      </c>
      <c r="B3594" t="str">
        <f>IF($C3594="","","C"&amp;TEXT(INT((ROW()-5)/9)+1,"000")&amp;"-4")</f>
        <v/>
      </c>
      <c r="C3594" t="str">
        <f>IF(OR(Registro_Compras!$C$402="",Registro_Compras!$O$402="",Registro_Compras!$Y$402="",Registro_Compras!$F$402="NOTA DE CREDITO"),"","4212")</f>
        <v/>
      </c>
      <c r="D3594" t="str">
        <f>IF(OR(Registro_Compras!$C$402="",Registro_Compras!$O$402=""),"","Cuentas por Pagar Comerciales - Terceros")</f>
        <v/>
      </c>
      <c r="E3594" s="20" t="str">
        <f>IF($C3594="","",IF(Registro_Compras!$F$402="RHE",(ROUND(Registro_Compras!$L$402*Registro_Compras!$N$402,2)-ROUND(Registro_Compras!$V$402*Registro_Compras!$N$402,2)),ROUND(Registro_Compras!$O$402-Registro_Compras!$S$402,2)))</f>
        <v/>
      </c>
      <c r="F3594" s="20" t="str">
        <f>""</f>
        <v/>
      </c>
      <c r="G3594" t="str">
        <f>IF($C3594="","","Por la cancelacion del saldo al proveedor")</f>
        <v/>
      </c>
      <c r="H3594" t="str">
        <f>IF($C3594="","",Registro_Compras!$C$402)</f>
        <v/>
      </c>
    </row>
    <row r="3595" spans="1:8" x14ac:dyDescent="0.25">
      <c r="A3595" s="25" t="str">
        <f>IF($C3595="","",Registro_Compras!$Y$402)</f>
        <v/>
      </c>
      <c r="B3595" t="str">
        <f>IF($C3595="","","C"&amp;TEXT(INT((ROW()-5)/9)+1,"000")&amp;"-4")</f>
        <v/>
      </c>
      <c r="C3595" t="str">
        <f>IF(OR(Registro_Compras!$C$402="",Registro_Compras!$O$402="",Registro_Compras!$Y$402="",Registro_Compras!$F$402="NOTA DE CREDITO"),"","1041")</f>
        <v/>
      </c>
      <c r="D3595" t="str">
        <f>IF(OR(Registro_Compras!$C$402="",Registro_Compras!$O$402=""),"","Efectivo y Equivalentes - Cta. Cte. Operativa")</f>
        <v/>
      </c>
      <c r="E3595" s="20" t="str">
        <f>""</f>
        <v/>
      </c>
      <c r="F3595" s="20" t="str">
        <f>IF($C3595="","",IF(Registro_Compras!$F$402="RHE",(ROUND(Registro_Compras!$L$402*Registro_Compras!$N$402,2)-ROUND(Registro_Compras!$V$402*Registro_Compras!$N$402,2)),ROUND(Registro_Compras!$O$402-Registro_Compras!$S$402,2)))</f>
        <v/>
      </c>
      <c r="G3595" t="str">
        <f>IF($C3595="","","Por la cancelacion del saldo al proveedor")</f>
        <v/>
      </c>
      <c r="H3595" t="str">
        <f>IF($C3595="","",Registro_Compras!$C$402)</f>
        <v/>
      </c>
    </row>
    <row r="3596" spans="1:8" x14ac:dyDescent="0.25">
      <c r="A3596" s="25" t="str">
        <f>IF($C3596="","",Registro_Compras!$B$403)</f>
        <v/>
      </c>
      <c r="B3596" t="str">
        <f>IF($C3596="","","C"&amp;TEXT(INT((ROW()-5)/9)+1,"000")&amp;"-1")</f>
        <v/>
      </c>
      <c r="C3596" t="str">
        <f>IF(OR(Registro_Compras!$C$403="",Registro_Compras!$O$403=""),"",IF(Registro_Compras!$F$403="NOTA DE CREDITO","4212",IF(Registro_Compras!$M$403="","63",Registro_Compras!$M$403)))</f>
        <v/>
      </c>
      <c r="D3596" t="str">
        <f>IF(OR(Registro_Compras!$C$403="",Registro_Compras!$O$403=""),"",IF(Registro_Compras!$F$403="NOTA DE CREDITO","Cuentas por Pagar Comerciales - Terceros (Emitidas)",IF(Registro_Compras!$F$403="RHE","Honorarios Profesionales - Servicios de Terceros","Gastos de Servicios Prestados por Terceros")))</f>
        <v/>
      </c>
      <c r="E3596" s="20" t="str">
        <f>IF($C3596="","",IF(Registro_Compras!$F$403="NOTA DE CREDITO",ABS(Registro_Compras!$O$403),IF(Registro_Compras!$F$403="RHE",ROUND(Registro_Compras!$L$403*Registro_Compras!$N$403,2),ROUND(Registro_Compras!$J$403*Registro_Compras!$N$403,2))))</f>
        <v/>
      </c>
      <c r="F3596" s="20" t="str">
        <f>""</f>
        <v/>
      </c>
      <c r="G3596" t="str">
        <f>IF($C3596="","",IF(Registro_Compras!$F$403="NOTA DE CREDITO","Por la nota de credito "&amp;Registro_Compras!$C$403&amp;" de "&amp;Registro_Compras!$E$403&amp;" [PATRON POR CONFIRMAR CON CONTADOR]",IF(Registro_Compras!$F$403="RHE","Por el registro del recibo por honorarios "&amp;Registro_Compras!$C$403&amp;" de "&amp;Registro_Compras!$E$403&amp;" [PATRON POR CONFIRMAR CON CONTADOR]","Por el registro de la factura "&amp;Registro_Compras!$C$403&amp;" de "&amp;Registro_Compras!$E$403)))</f>
        <v/>
      </c>
      <c r="H3596" t="str">
        <f>IF($C3596="","",Registro_Compras!$C$403)</f>
        <v/>
      </c>
    </row>
    <row r="3597" spans="1:8" x14ac:dyDescent="0.25">
      <c r="A3597" s="25" t="str">
        <f>IF($C3597="","",Registro_Compras!$B$403)</f>
        <v/>
      </c>
      <c r="B3597" t="str">
        <f>IF($C3597="","","C"&amp;TEXT(INT((ROW()-5)/9)+1,"000")&amp;"-1")</f>
        <v/>
      </c>
      <c r="C3597" t="str">
        <f>IF(OR(Registro_Compras!$C$403="",Registro_Compras!$O$403=""),"",IF(Registro_Compras!$F$403="RHE",IF(Registro_Compras!$V$403=0,"","4017"),IF(Registro_Compras!$F$403="NOTA DE CREDITO",IF(Registro_Compras!$M$403="","63",Registro_Compras!$M$403),IF(Registro_Compras!$K$403=0,"","40111"))))</f>
        <v/>
      </c>
      <c r="D3597" t="str">
        <f>IF(OR(Registro_Compras!$C$403="",Registro_Compras!$O$403=""),"",IF(Registro_Compras!$F$403="RHE","Retencion Renta 4ta Categoria por Pagar",IF(Registro_Compras!$F$403="NOTA DE CREDITO","Gastos de Servicios Prestados por Terceros","IGV - Cuenta Propia (Credito Fiscal)")))</f>
        <v/>
      </c>
      <c r="E3597" s="20" t="str">
        <f>IF($C3597="","",IF(Registro_Compras!$F$403="FACTURA",ROUND(Registro_Compras!$K$403*Registro_Compras!$N$403,2),""))</f>
        <v/>
      </c>
      <c r="F3597" s="20" t="str">
        <f>IF($C3597="","",IF(Registro_Compras!$F$403="RHE",ROUND(Registro_Compras!$V$403*Registro_Compras!$N$403,2),IF(Registro_Compras!$F$403="NOTA DE CREDITO",ROUND(ABS(Registro_Compras!$J$403*Registro_Compras!$N$403),2),"")))</f>
        <v/>
      </c>
      <c r="G3597" t="str">
        <f>IF($C3597="","",IF(Registro_Compras!$F$403="NOTA DE CREDITO","Por la nota de credito "&amp;Registro_Compras!$C$403&amp;" de "&amp;Registro_Compras!$E$403&amp;" [PATRON POR CONFIRMAR CON CONTADOR]",IF(Registro_Compras!$F$403="RHE","Por el registro del recibo por honorarios "&amp;Registro_Compras!$C$403&amp;" de "&amp;Registro_Compras!$E$403&amp;" [PATRON POR CONFIRMAR CON CONTADOR]","Por el registro de la factura "&amp;Registro_Compras!$C$403&amp;" de "&amp;Registro_Compras!$E$403)))</f>
        <v/>
      </c>
      <c r="H3597" t="str">
        <f>IF($C3597="","",Registro_Compras!$C$403)</f>
        <v/>
      </c>
    </row>
    <row r="3598" spans="1:8" x14ac:dyDescent="0.25">
      <c r="A3598" s="25" t="str">
        <f>IF($C3598="","",Registro_Compras!$B$403)</f>
        <v/>
      </c>
      <c r="B3598" t="str">
        <f>IF($C3598="","","C"&amp;TEXT(INT((ROW()-5)/9)+1,"000")&amp;"-1")</f>
        <v/>
      </c>
      <c r="C3598" t="str">
        <f>IF(OR(Registro_Compras!$C$403="",Registro_Compras!$O$403=""),"",IF(Registro_Compras!$F$403="NOTA DE CREDITO",IF(Registro_Compras!$K$403=0,"","40111"),"4212"))</f>
        <v/>
      </c>
      <c r="D3598" t="str">
        <f>IF(OR(Registro_Compras!$C$403="",Registro_Compras!$O$403=""),"",IF(Registro_Compras!$F$403="NOTA DE CREDITO","IGV - Cuenta Propia (Credito Fiscal)","Cuentas por Pagar Comerciales - Terceros (Emitidas)"))</f>
        <v/>
      </c>
      <c r="E3598" s="20" t="str">
        <f>""</f>
        <v/>
      </c>
      <c r="F3598" s="20" t="str">
        <f>IF($C3598="","",IF(Registro_Compras!$F$403="NOTA DE CREDITO",ROUND(ABS(Registro_Compras!$K$403*Registro_Compras!$N$403),2),IF(Registro_Compras!$F$403="RHE",(ROUND(Registro_Compras!$L$403*Registro_Compras!$N$403,2)-ROUND(Registro_Compras!$V$403*Registro_Compras!$N$403,2)),Registro_Compras!$O$403)))</f>
        <v/>
      </c>
      <c r="G3598" t="str">
        <f>IF($C3598="","",IF(Registro_Compras!$F$403="NOTA DE CREDITO","Por la nota de credito "&amp;Registro_Compras!$C$403&amp;" de "&amp;Registro_Compras!$E$403&amp;" [PATRON POR CONFIRMAR CON CONTADOR]",IF(Registro_Compras!$F$403="RHE","Por el registro del recibo por honorarios "&amp;Registro_Compras!$C$403&amp;" de "&amp;Registro_Compras!$E$403&amp;" [PATRON POR CONFIRMAR CON CONTADOR]","Por el registro de la factura "&amp;Registro_Compras!$C$403&amp;" de "&amp;Registro_Compras!$E$403)))</f>
        <v/>
      </c>
      <c r="H3598" t="str">
        <f>IF($C3598="","",Registro_Compras!$C$403)</f>
        <v/>
      </c>
    </row>
    <row r="3599" spans="1:8" x14ac:dyDescent="0.25">
      <c r="A3599" s="25" t="str">
        <f>IF($C3599="","",Registro_Compras!$B$403)</f>
        <v/>
      </c>
      <c r="B3599" t="str">
        <f>IF($C3599="","","C"&amp;TEXT(INT((ROW()-5)/9)+1,"000")&amp;"-2")</f>
        <v/>
      </c>
      <c r="C3599" t="str">
        <f>IF(OR(Registro_Compras!$C$403="",Registro_Compras!$O$403=""),"",IF(Registro_Compras!$AB$403="ADMINISTRATIVO","94","95"))</f>
        <v/>
      </c>
      <c r="D3599" t="str">
        <f>IF(OR(Registro_Compras!$C$403="",Registro_Compras!$O$403=""),"",IF(Registro_Compras!$AB$403="ADMINISTRATIVO","Gastos Administrativos","Gastos de Venta y Operacion"))</f>
        <v/>
      </c>
      <c r="E3599" s="20" t="str">
        <f>IF($C3599="","",IF(Registro_Compras!$F$403="NOTA DE CREDITO","",IF(Registro_Compras!$F$403="RHE",ROUND(Registro_Compras!$L$403*Registro_Compras!$N$403,2),ROUND(Registro_Compras!$J$403*Registro_Compras!$N$403,2))))</f>
        <v/>
      </c>
      <c r="F3599" s="20" t="str">
        <f>IF($C3599="","",IF(Registro_Compras!$F$403="NOTA DE CREDITO",ROUND(ABS(Registro_Compras!$J$403*Registro_Compras!$N$403),2),""))</f>
        <v/>
      </c>
      <c r="G3599" t="str">
        <f>IF($C3599="","","Por el destino del gasto")</f>
        <v/>
      </c>
      <c r="H3599" t="str">
        <f>IF($C3599="","",Registro_Compras!$C$403)</f>
        <v/>
      </c>
    </row>
    <row r="3600" spans="1:8" x14ac:dyDescent="0.25">
      <c r="A3600" s="25" t="str">
        <f>IF($C3600="","",Registro_Compras!$B$403)</f>
        <v/>
      </c>
      <c r="B3600" t="str">
        <f>IF($C3600="","","C"&amp;TEXT(INT((ROW()-5)/9)+1,"000")&amp;"-2")</f>
        <v/>
      </c>
      <c r="C3600" t="str">
        <f>IF(OR(Registro_Compras!$C$403="",Registro_Compras!$O$403=""),"","79/791")</f>
        <v/>
      </c>
      <c r="D3600" t="str">
        <f>IF(OR(Registro_Compras!$C$403="",Registro_Compras!$O$403=""),"","Cargas Imputables a Cuentas de Costos y Gastos")</f>
        <v/>
      </c>
      <c r="E3600" s="20" t="str">
        <f>IF($C3600="","",IF(Registro_Compras!$F$403="NOTA DE CREDITO",ROUND(ABS(Registro_Compras!$J$403*Registro_Compras!$N$403),2),""))</f>
        <v/>
      </c>
      <c r="F3600" s="20" t="str">
        <f>IF($C3600="","",IF(Registro_Compras!$F$403="NOTA DE CREDITO","",IF(Registro_Compras!$F$403="RHE",ROUND(Registro_Compras!$L$403*Registro_Compras!$N$403,2),ROUND(Registro_Compras!$J$403*Registro_Compras!$N$403,2))))</f>
        <v/>
      </c>
      <c r="G3600" t="str">
        <f>IF($C3600="","","Por el destino del gasto")</f>
        <v/>
      </c>
      <c r="H3600" t="str">
        <f>IF($C3600="","",Registro_Compras!$C$403)</f>
        <v/>
      </c>
    </row>
    <row r="3601" spans="1:8" x14ac:dyDescent="0.25">
      <c r="A3601" s="25" t="str">
        <f>IF($C3601="","",Registro_Compras!$X$403)</f>
        <v/>
      </c>
      <c r="B3601" t="str">
        <f>IF($C3601="","","C"&amp;TEXT(INT((ROW()-5)/9)+1,"000")&amp;"-3")</f>
        <v/>
      </c>
      <c r="C3601" t="str">
        <f>IF(OR(Registro_Compras!$C$403="",Registro_Compras!$O$403="",Registro_Compras!$R$403&lt;&gt;"SI",Registro_Compras!$X$403=""),"","4212")</f>
        <v/>
      </c>
      <c r="D3601" t="str">
        <f>IF(OR(Registro_Compras!$C$403="",Registro_Compras!$O$403=""),"","Cuentas por Pagar Comerciales - Terceros")</f>
        <v/>
      </c>
      <c r="E3601" s="20" t="str">
        <f>IF($C3601="","",Registro_Compras!$S$403)</f>
        <v/>
      </c>
      <c r="F3601" s="20" t="str">
        <f>""</f>
        <v/>
      </c>
      <c r="G3601" t="str">
        <f>IF($C3601="","","Por el deposito de la detraccion en el Banco de la Nacion")</f>
        <v/>
      </c>
      <c r="H3601" t="str">
        <f>IF($C3601="","",Registro_Compras!$C$403)</f>
        <v/>
      </c>
    </row>
    <row r="3602" spans="1:8" x14ac:dyDescent="0.25">
      <c r="A3602" s="25" t="str">
        <f>IF($C3602="","",Registro_Compras!$X$403)</f>
        <v/>
      </c>
      <c r="B3602" t="str">
        <f>IF($C3602="","","C"&amp;TEXT(INT((ROW()-5)/9)+1,"000")&amp;"-3")</f>
        <v/>
      </c>
      <c r="C3602" t="str">
        <f>IF(OR(Registro_Compras!$C$403="",Registro_Compras!$O$403="",Registro_Compras!$R$403&lt;&gt;"SI",Registro_Compras!$X$403=""),"","1041")</f>
        <v/>
      </c>
      <c r="D3602" t="str">
        <f>IF(OR(Registro_Compras!$C$403="",Registro_Compras!$O$403=""),"","Efectivo y Equivalentes - Cta. Cte. Operativa")</f>
        <v/>
      </c>
      <c r="E3602" s="20" t="str">
        <f>""</f>
        <v/>
      </c>
      <c r="F3602" s="20" t="str">
        <f>IF($C3602="","",Registro_Compras!$S$403)</f>
        <v/>
      </c>
      <c r="G3602" t="str">
        <f>IF($C3602="","","Por el deposito de la detraccion en el Banco de la Nacion")</f>
        <v/>
      </c>
      <c r="H3602" t="str">
        <f>IF($C3602="","",Registro_Compras!$C$403)</f>
        <v/>
      </c>
    </row>
    <row r="3603" spans="1:8" x14ac:dyDescent="0.25">
      <c r="A3603" s="25" t="str">
        <f>IF($C3603="","",Registro_Compras!$Y$403)</f>
        <v/>
      </c>
      <c r="B3603" t="str">
        <f>IF($C3603="","","C"&amp;TEXT(INT((ROW()-5)/9)+1,"000")&amp;"-4")</f>
        <v/>
      </c>
      <c r="C3603" t="str">
        <f>IF(OR(Registro_Compras!$C$403="",Registro_Compras!$O$403="",Registro_Compras!$Y$403="",Registro_Compras!$F$403="NOTA DE CREDITO"),"","4212")</f>
        <v/>
      </c>
      <c r="D3603" t="str">
        <f>IF(OR(Registro_Compras!$C$403="",Registro_Compras!$O$403=""),"","Cuentas por Pagar Comerciales - Terceros")</f>
        <v/>
      </c>
      <c r="E3603" s="20" t="str">
        <f>IF($C3603="","",IF(Registro_Compras!$F$403="RHE",(ROUND(Registro_Compras!$L$403*Registro_Compras!$N$403,2)-ROUND(Registro_Compras!$V$403*Registro_Compras!$N$403,2)),ROUND(Registro_Compras!$O$403-Registro_Compras!$S$403,2)))</f>
        <v/>
      </c>
      <c r="F3603" s="20" t="str">
        <f>""</f>
        <v/>
      </c>
      <c r="G3603" t="str">
        <f>IF($C3603="","","Por la cancelacion del saldo al proveedor")</f>
        <v/>
      </c>
      <c r="H3603" t="str">
        <f>IF($C3603="","",Registro_Compras!$C$403)</f>
        <v/>
      </c>
    </row>
    <row r="3604" spans="1:8" x14ac:dyDescent="0.25">
      <c r="A3604" s="25" t="str">
        <f>IF($C3604="","",Registro_Compras!$Y$403)</f>
        <v/>
      </c>
      <c r="B3604" t="str">
        <f>IF($C3604="","","C"&amp;TEXT(INT((ROW()-5)/9)+1,"000")&amp;"-4")</f>
        <v/>
      </c>
      <c r="C3604" t="str">
        <f>IF(OR(Registro_Compras!$C$403="",Registro_Compras!$O$403="",Registro_Compras!$Y$403="",Registro_Compras!$F$403="NOTA DE CREDITO"),"","1041")</f>
        <v/>
      </c>
      <c r="D3604" t="str">
        <f>IF(OR(Registro_Compras!$C$403="",Registro_Compras!$O$403=""),"","Efectivo y Equivalentes - Cta. Cte. Operativa")</f>
        <v/>
      </c>
      <c r="E3604" s="20" t="str">
        <f>""</f>
        <v/>
      </c>
      <c r="F3604" s="20" t="str">
        <f>IF($C3604="","",IF(Registro_Compras!$F$403="RHE",(ROUND(Registro_Compras!$L$403*Registro_Compras!$N$403,2)-ROUND(Registro_Compras!$V$403*Registro_Compras!$N$403,2)),ROUND(Registro_Compras!$O$403-Registro_Compras!$S$403,2)))</f>
        <v/>
      </c>
      <c r="G3604" t="str">
        <f>IF($C3604="","","Por la cancelacion del saldo al proveedor")</f>
        <v/>
      </c>
      <c r="H3604" t="str">
        <f>IF($C3604="","",Registro_Compras!$C$403)</f>
        <v/>
      </c>
    </row>
    <row r="3605" spans="1:8" x14ac:dyDescent="0.25">
      <c r="A3605" s="25" t="str">
        <f>IF($C3605="","",Registro_Compras!$B$404)</f>
        <v/>
      </c>
      <c r="B3605" t="str">
        <f>IF($C3605="","","C"&amp;TEXT(INT((ROW()-5)/9)+1,"000")&amp;"-1")</f>
        <v/>
      </c>
      <c r="C3605" t="str">
        <f>IF(OR(Registro_Compras!$C$404="",Registro_Compras!$O$404=""),"",IF(Registro_Compras!$F$404="NOTA DE CREDITO","4212",IF(Registro_Compras!$M$404="","63",Registro_Compras!$M$404)))</f>
        <v/>
      </c>
      <c r="D3605" t="str">
        <f>IF(OR(Registro_Compras!$C$404="",Registro_Compras!$O$404=""),"",IF(Registro_Compras!$F$404="NOTA DE CREDITO","Cuentas por Pagar Comerciales - Terceros (Emitidas)",IF(Registro_Compras!$F$404="RHE","Honorarios Profesionales - Servicios de Terceros","Gastos de Servicios Prestados por Terceros")))</f>
        <v/>
      </c>
      <c r="E3605" s="20" t="str">
        <f>IF($C3605="","",IF(Registro_Compras!$F$404="NOTA DE CREDITO",ABS(Registro_Compras!$O$404),IF(Registro_Compras!$F$404="RHE",ROUND(Registro_Compras!$L$404*Registro_Compras!$N$404,2),ROUND(Registro_Compras!$J$404*Registro_Compras!$N$404,2))))</f>
        <v/>
      </c>
      <c r="F3605" s="20" t="str">
        <f>""</f>
        <v/>
      </c>
      <c r="G3605" t="str">
        <f>IF($C3605="","",IF(Registro_Compras!$F$404="NOTA DE CREDITO","Por la nota de credito "&amp;Registro_Compras!$C$404&amp;" de "&amp;Registro_Compras!$E$404&amp;" [PATRON POR CONFIRMAR CON CONTADOR]",IF(Registro_Compras!$F$404="RHE","Por el registro del recibo por honorarios "&amp;Registro_Compras!$C$404&amp;" de "&amp;Registro_Compras!$E$404&amp;" [PATRON POR CONFIRMAR CON CONTADOR]","Por el registro de la factura "&amp;Registro_Compras!$C$404&amp;" de "&amp;Registro_Compras!$E$404)))</f>
        <v/>
      </c>
      <c r="H3605" t="str">
        <f>IF($C3605="","",Registro_Compras!$C$404)</f>
        <v/>
      </c>
    </row>
    <row r="3606" spans="1:8" x14ac:dyDescent="0.25">
      <c r="A3606" s="25" t="str">
        <f>IF($C3606="","",Registro_Compras!$B$404)</f>
        <v/>
      </c>
      <c r="B3606" t="str">
        <f>IF($C3606="","","C"&amp;TEXT(INT((ROW()-5)/9)+1,"000")&amp;"-1")</f>
        <v/>
      </c>
      <c r="C3606" t="str">
        <f>IF(OR(Registro_Compras!$C$404="",Registro_Compras!$O$404=""),"",IF(Registro_Compras!$F$404="RHE",IF(Registro_Compras!$V$404=0,"","4017"),IF(Registro_Compras!$F$404="NOTA DE CREDITO",IF(Registro_Compras!$M$404="","63",Registro_Compras!$M$404),IF(Registro_Compras!$K$404=0,"","40111"))))</f>
        <v/>
      </c>
      <c r="D3606" t="str">
        <f>IF(OR(Registro_Compras!$C$404="",Registro_Compras!$O$404=""),"",IF(Registro_Compras!$F$404="RHE","Retencion Renta 4ta Categoria por Pagar",IF(Registro_Compras!$F$404="NOTA DE CREDITO","Gastos de Servicios Prestados por Terceros","IGV - Cuenta Propia (Credito Fiscal)")))</f>
        <v/>
      </c>
      <c r="E3606" s="20" t="str">
        <f>IF($C3606="","",IF(Registro_Compras!$F$404="FACTURA",ROUND(Registro_Compras!$K$404*Registro_Compras!$N$404,2),""))</f>
        <v/>
      </c>
      <c r="F3606" s="20" t="str">
        <f>IF($C3606="","",IF(Registro_Compras!$F$404="RHE",ROUND(Registro_Compras!$V$404*Registro_Compras!$N$404,2),IF(Registro_Compras!$F$404="NOTA DE CREDITO",ROUND(ABS(Registro_Compras!$J$404*Registro_Compras!$N$404),2),"")))</f>
        <v/>
      </c>
      <c r="G3606" t="str">
        <f>IF($C3606="","",IF(Registro_Compras!$F$404="NOTA DE CREDITO","Por la nota de credito "&amp;Registro_Compras!$C$404&amp;" de "&amp;Registro_Compras!$E$404&amp;" [PATRON POR CONFIRMAR CON CONTADOR]",IF(Registro_Compras!$F$404="RHE","Por el registro del recibo por honorarios "&amp;Registro_Compras!$C$404&amp;" de "&amp;Registro_Compras!$E$404&amp;" [PATRON POR CONFIRMAR CON CONTADOR]","Por el registro de la factura "&amp;Registro_Compras!$C$404&amp;" de "&amp;Registro_Compras!$E$404)))</f>
        <v/>
      </c>
      <c r="H3606" t="str">
        <f>IF($C3606="","",Registro_Compras!$C$404)</f>
        <v/>
      </c>
    </row>
    <row r="3607" spans="1:8" x14ac:dyDescent="0.25">
      <c r="A3607" s="25" t="str">
        <f>IF($C3607="","",Registro_Compras!$B$404)</f>
        <v/>
      </c>
      <c r="B3607" t="str">
        <f>IF($C3607="","","C"&amp;TEXT(INT((ROW()-5)/9)+1,"000")&amp;"-1")</f>
        <v/>
      </c>
      <c r="C3607" t="str">
        <f>IF(OR(Registro_Compras!$C$404="",Registro_Compras!$O$404=""),"",IF(Registro_Compras!$F$404="NOTA DE CREDITO",IF(Registro_Compras!$K$404=0,"","40111"),"4212"))</f>
        <v/>
      </c>
      <c r="D3607" t="str">
        <f>IF(OR(Registro_Compras!$C$404="",Registro_Compras!$O$404=""),"",IF(Registro_Compras!$F$404="NOTA DE CREDITO","IGV - Cuenta Propia (Credito Fiscal)","Cuentas por Pagar Comerciales - Terceros (Emitidas)"))</f>
        <v/>
      </c>
      <c r="E3607" s="20" t="str">
        <f>""</f>
        <v/>
      </c>
      <c r="F3607" s="20" t="str">
        <f>IF($C3607="","",IF(Registro_Compras!$F$404="NOTA DE CREDITO",ROUND(ABS(Registro_Compras!$K$404*Registro_Compras!$N$404),2),IF(Registro_Compras!$F$404="RHE",(ROUND(Registro_Compras!$L$404*Registro_Compras!$N$404,2)-ROUND(Registro_Compras!$V$404*Registro_Compras!$N$404,2)),Registro_Compras!$O$404)))</f>
        <v/>
      </c>
      <c r="G3607" t="str">
        <f>IF($C3607="","",IF(Registro_Compras!$F$404="NOTA DE CREDITO","Por la nota de credito "&amp;Registro_Compras!$C$404&amp;" de "&amp;Registro_Compras!$E$404&amp;" [PATRON POR CONFIRMAR CON CONTADOR]",IF(Registro_Compras!$F$404="RHE","Por el registro del recibo por honorarios "&amp;Registro_Compras!$C$404&amp;" de "&amp;Registro_Compras!$E$404&amp;" [PATRON POR CONFIRMAR CON CONTADOR]","Por el registro de la factura "&amp;Registro_Compras!$C$404&amp;" de "&amp;Registro_Compras!$E$404)))</f>
        <v/>
      </c>
      <c r="H3607" t="str">
        <f>IF($C3607="","",Registro_Compras!$C$404)</f>
        <v/>
      </c>
    </row>
    <row r="3608" spans="1:8" x14ac:dyDescent="0.25">
      <c r="A3608" s="25" t="str">
        <f>IF($C3608="","",Registro_Compras!$B$404)</f>
        <v/>
      </c>
      <c r="B3608" t="str">
        <f>IF($C3608="","","C"&amp;TEXT(INT((ROW()-5)/9)+1,"000")&amp;"-2")</f>
        <v/>
      </c>
      <c r="C3608" t="str">
        <f>IF(OR(Registro_Compras!$C$404="",Registro_Compras!$O$404=""),"",IF(Registro_Compras!$AB$404="ADMINISTRATIVO","94","95"))</f>
        <v/>
      </c>
      <c r="D3608" t="str">
        <f>IF(OR(Registro_Compras!$C$404="",Registro_Compras!$O$404=""),"",IF(Registro_Compras!$AB$404="ADMINISTRATIVO","Gastos Administrativos","Gastos de Venta y Operacion"))</f>
        <v/>
      </c>
      <c r="E3608" s="20" t="str">
        <f>IF($C3608="","",IF(Registro_Compras!$F$404="NOTA DE CREDITO","",IF(Registro_Compras!$F$404="RHE",ROUND(Registro_Compras!$L$404*Registro_Compras!$N$404,2),ROUND(Registro_Compras!$J$404*Registro_Compras!$N$404,2))))</f>
        <v/>
      </c>
      <c r="F3608" s="20" t="str">
        <f>IF($C3608="","",IF(Registro_Compras!$F$404="NOTA DE CREDITO",ROUND(ABS(Registro_Compras!$J$404*Registro_Compras!$N$404),2),""))</f>
        <v/>
      </c>
      <c r="G3608" t="str">
        <f>IF($C3608="","","Por el destino del gasto")</f>
        <v/>
      </c>
      <c r="H3608" t="str">
        <f>IF($C3608="","",Registro_Compras!$C$404)</f>
        <v/>
      </c>
    </row>
    <row r="3609" spans="1:8" x14ac:dyDescent="0.25">
      <c r="A3609" s="25" t="str">
        <f>IF($C3609="","",Registro_Compras!$B$404)</f>
        <v/>
      </c>
      <c r="B3609" t="str">
        <f>IF($C3609="","","C"&amp;TEXT(INT((ROW()-5)/9)+1,"000")&amp;"-2")</f>
        <v/>
      </c>
      <c r="C3609" t="str">
        <f>IF(OR(Registro_Compras!$C$404="",Registro_Compras!$O$404=""),"","79/791")</f>
        <v/>
      </c>
      <c r="D3609" t="str">
        <f>IF(OR(Registro_Compras!$C$404="",Registro_Compras!$O$404=""),"","Cargas Imputables a Cuentas de Costos y Gastos")</f>
        <v/>
      </c>
      <c r="E3609" s="20" t="str">
        <f>IF($C3609="","",IF(Registro_Compras!$F$404="NOTA DE CREDITO",ROUND(ABS(Registro_Compras!$J$404*Registro_Compras!$N$404),2),""))</f>
        <v/>
      </c>
      <c r="F3609" s="20" t="str">
        <f>IF($C3609="","",IF(Registro_Compras!$F$404="NOTA DE CREDITO","",IF(Registro_Compras!$F$404="RHE",ROUND(Registro_Compras!$L$404*Registro_Compras!$N$404,2),ROUND(Registro_Compras!$J$404*Registro_Compras!$N$404,2))))</f>
        <v/>
      </c>
      <c r="G3609" t="str">
        <f>IF($C3609="","","Por el destino del gasto")</f>
        <v/>
      </c>
      <c r="H3609" t="str">
        <f>IF($C3609="","",Registro_Compras!$C$404)</f>
        <v/>
      </c>
    </row>
    <row r="3610" spans="1:8" x14ac:dyDescent="0.25">
      <c r="A3610" s="25" t="str">
        <f>IF($C3610="","",Registro_Compras!$X$404)</f>
        <v/>
      </c>
      <c r="B3610" t="str">
        <f>IF($C3610="","","C"&amp;TEXT(INT((ROW()-5)/9)+1,"000")&amp;"-3")</f>
        <v/>
      </c>
      <c r="C3610" t="str">
        <f>IF(OR(Registro_Compras!$C$404="",Registro_Compras!$O$404="",Registro_Compras!$R$404&lt;&gt;"SI",Registro_Compras!$X$404=""),"","4212")</f>
        <v/>
      </c>
      <c r="D3610" t="str">
        <f>IF(OR(Registro_Compras!$C$404="",Registro_Compras!$O$404=""),"","Cuentas por Pagar Comerciales - Terceros")</f>
        <v/>
      </c>
      <c r="E3610" s="20" t="str">
        <f>IF($C3610="","",Registro_Compras!$S$404)</f>
        <v/>
      </c>
      <c r="F3610" s="20" t="str">
        <f>""</f>
        <v/>
      </c>
      <c r="G3610" t="str">
        <f>IF($C3610="","","Por el deposito de la detraccion en el Banco de la Nacion")</f>
        <v/>
      </c>
      <c r="H3610" t="str">
        <f>IF($C3610="","",Registro_Compras!$C$404)</f>
        <v/>
      </c>
    </row>
    <row r="3611" spans="1:8" x14ac:dyDescent="0.25">
      <c r="A3611" s="25" t="str">
        <f>IF($C3611="","",Registro_Compras!$X$404)</f>
        <v/>
      </c>
      <c r="B3611" t="str">
        <f>IF($C3611="","","C"&amp;TEXT(INT((ROW()-5)/9)+1,"000")&amp;"-3")</f>
        <v/>
      </c>
      <c r="C3611" t="str">
        <f>IF(OR(Registro_Compras!$C$404="",Registro_Compras!$O$404="",Registro_Compras!$R$404&lt;&gt;"SI",Registro_Compras!$X$404=""),"","1041")</f>
        <v/>
      </c>
      <c r="D3611" t="str">
        <f>IF(OR(Registro_Compras!$C$404="",Registro_Compras!$O$404=""),"","Efectivo y Equivalentes - Cta. Cte. Operativa")</f>
        <v/>
      </c>
      <c r="E3611" s="20" t="str">
        <f>""</f>
        <v/>
      </c>
      <c r="F3611" s="20" t="str">
        <f>IF($C3611="","",Registro_Compras!$S$404)</f>
        <v/>
      </c>
      <c r="G3611" t="str">
        <f>IF($C3611="","","Por el deposito de la detraccion en el Banco de la Nacion")</f>
        <v/>
      </c>
      <c r="H3611" t="str">
        <f>IF($C3611="","",Registro_Compras!$C$404)</f>
        <v/>
      </c>
    </row>
    <row r="3612" spans="1:8" x14ac:dyDescent="0.25">
      <c r="A3612" s="25" t="str">
        <f>IF($C3612="","",Registro_Compras!$Y$404)</f>
        <v/>
      </c>
      <c r="B3612" t="str">
        <f>IF($C3612="","","C"&amp;TEXT(INT((ROW()-5)/9)+1,"000")&amp;"-4")</f>
        <v/>
      </c>
      <c r="C3612" t="str">
        <f>IF(OR(Registro_Compras!$C$404="",Registro_Compras!$O$404="",Registro_Compras!$Y$404="",Registro_Compras!$F$404="NOTA DE CREDITO"),"","4212")</f>
        <v/>
      </c>
      <c r="D3612" t="str">
        <f>IF(OR(Registro_Compras!$C$404="",Registro_Compras!$O$404=""),"","Cuentas por Pagar Comerciales - Terceros")</f>
        <v/>
      </c>
      <c r="E3612" s="20" t="str">
        <f>IF($C3612="","",IF(Registro_Compras!$F$404="RHE",(ROUND(Registro_Compras!$L$404*Registro_Compras!$N$404,2)-ROUND(Registro_Compras!$V$404*Registro_Compras!$N$404,2)),ROUND(Registro_Compras!$O$404-Registro_Compras!$S$404,2)))</f>
        <v/>
      </c>
      <c r="F3612" s="20" t="str">
        <f>""</f>
        <v/>
      </c>
      <c r="G3612" t="str">
        <f>IF($C3612="","","Por la cancelacion del saldo al proveedor")</f>
        <v/>
      </c>
      <c r="H3612" t="str">
        <f>IF($C3612="","",Registro_Compras!$C$404)</f>
        <v/>
      </c>
    </row>
    <row r="3613" spans="1:8" x14ac:dyDescent="0.25">
      <c r="A3613" s="25" t="str">
        <f>IF($C3613="","",Registro_Compras!$Y$404)</f>
        <v/>
      </c>
      <c r="B3613" t="str">
        <f>IF($C3613="","","C"&amp;TEXT(INT((ROW()-5)/9)+1,"000")&amp;"-4")</f>
        <v/>
      </c>
      <c r="C3613" t="str">
        <f>IF(OR(Registro_Compras!$C$404="",Registro_Compras!$O$404="",Registro_Compras!$Y$404="",Registro_Compras!$F$404="NOTA DE CREDITO"),"","1041")</f>
        <v/>
      </c>
      <c r="D3613" t="str">
        <f>IF(OR(Registro_Compras!$C$404="",Registro_Compras!$O$404=""),"","Efectivo y Equivalentes - Cta. Cte. Operativa")</f>
        <v/>
      </c>
      <c r="E3613" s="20" t="str">
        <f>""</f>
        <v/>
      </c>
      <c r="F3613" s="20" t="str">
        <f>IF($C3613="","",IF(Registro_Compras!$F$404="RHE",(ROUND(Registro_Compras!$L$404*Registro_Compras!$N$404,2)-ROUND(Registro_Compras!$V$404*Registro_Compras!$N$404,2)),ROUND(Registro_Compras!$O$404-Registro_Compras!$S$404,2)))</f>
        <v/>
      </c>
      <c r="G3613" t="str">
        <f>IF($C3613="","","Por la cancelacion del saldo al proveedor")</f>
        <v/>
      </c>
      <c r="H3613" t="str">
        <f>IF($C3613="","",Registro_Compras!$C$404)</f>
        <v/>
      </c>
    </row>
    <row r="3614" spans="1:8" x14ac:dyDescent="0.25">
      <c r="A3614" s="25" t="str">
        <f>IF($C3614="","",Registro_Compras!$B$405)</f>
        <v/>
      </c>
      <c r="B3614" t="str">
        <f>IF($C3614="","","C"&amp;TEXT(INT((ROW()-5)/9)+1,"000")&amp;"-1")</f>
        <v/>
      </c>
      <c r="C3614" t="str">
        <f>IF(OR(Registro_Compras!$C$405="",Registro_Compras!$O$405=""),"",IF(Registro_Compras!$F$405="NOTA DE CREDITO","4212",IF(Registro_Compras!$M$405="","63",Registro_Compras!$M$405)))</f>
        <v/>
      </c>
      <c r="D3614" t="str">
        <f>IF(OR(Registro_Compras!$C$405="",Registro_Compras!$O$405=""),"",IF(Registro_Compras!$F$405="NOTA DE CREDITO","Cuentas por Pagar Comerciales - Terceros (Emitidas)",IF(Registro_Compras!$F$405="RHE","Honorarios Profesionales - Servicios de Terceros","Gastos de Servicios Prestados por Terceros")))</f>
        <v/>
      </c>
      <c r="E3614" s="20" t="str">
        <f>IF($C3614="","",IF(Registro_Compras!$F$405="NOTA DE CREDITO",ABS(Registro_Compras!$O$405),IF(Registro_Compras!$F$405="RHE",ROUND(Registro_Compras!$L$405*Registro_Compras!$N$405,2),ROUND(Registro_Compras!$J$405*Registro_Compras!$N$405,2))))</f>
        <v/>
      </c>
      <c r="F3614" s="20" t="str">
        <f>""</f>
        <v/>
      </c>
      <c r="G3614" t="str">
        <f>IF($C3614="","",IF(Registro_Compras!$F$405="NOTA DE CREDITO","Por la nota de credito "&amp;Registro_Compras!$C$405&amp;" de "&amp;Registro_Compras!$E$405&amp;" [PATRON POR CONFIRMAR CON CONTADOR]",IF(Registro_Compras!$F$405="RHE","Por el registro del recibo por honorarios "&amp;Registro_Compras!$C$405&amp;" de "&amp;Registro_Compras!$E$405&amp;" [PATRON POR CONFIRMAR CON CONTADOR]","Por el registro de la factura "&amp;Registro_Compras!$C$405&amp;" de "&amp;Registro_Compras!$E$405)))</f>
        <v/>
      </c>
      <c r="H3614" t="str">
        <f>IF($C3614="","",Registro_Compras!$C$405)</f>
        <v/>
      </c>
    </row>
    <row r="3615" spans="1:8" x14ac:dyDescent="0.25">
      <c r="A3615" s="25" t="str">
        <f>IF($C3615="","",Registro_Compras!$B$405)</f>
        <v/>
      </c>
      <c r="B3615" t="str">
        <f>IF($C3615="","","C"&amp;TEXT(INT((ROW()-5)/9)+1,"000")&amp;"-1")</f>
        <v/>
      </c>
      <c r="C3615" t="str">
        <f>IF(OR(Registro_Compras!$C$405="",Registro_Compras!$O$405=""),"",IF(Registro_Compras!$F$405="RHE",IF(Registro_Compras!$V$405=0,"","4017"),IF(Registro_Compras!$F$405="NOTA DE CREDITO",IF(Registro_Compras!$M$405="","63",Registro_Compras!$M$405),IF(Registro_Compras!$K$405=0,"","40111"))))</f>
        <v/>
      </c>
      <c r="D3615" t="str">
        <f>IF(OR(Registro_Compras!$C$405="",Registro_Compras!$O$405=""),"",IF(Registro_Compras!$F$405="RHE","Retencion Renta 4ta Categoria por Pagar",IF(Registro_Compras!$F$405="NOTA DE CREDITO","Gastos de Servicios Prestados por Terceros","IGV - Cuenta Propia (Credito Fiscal)")))</f>
        <v/>
      </c>
      <c r="E3615" s="20" t="str">
        <f>IF($C3615="","",IF(Registro_Compras!$F$405="FACTURA",ROUND(Registro_Compras!$K$405*Registro_Compras!$N$405,2),""))</f>
        <v/>
      </c>
      <c r="F3615" s="20" t="str">
        <f>IF($C3615="","",IF(Registro_Compras!$F$405="RHE",ROUND(Registro_Compras!$V$405*Registro_Compras!$N$405,2),IF(Registro_Compras!$F$405="NOTA DE CREDITO",ROUND(ABS(Registro_Compras!$J$405*Registro_Compras!$N$405),2),"")))</f>
        <v/>
      </c>
      <c r="G3615" t="str">
        <f>IF($C3615="","",IF(Registro_Compras!$F$405="NOTA DE CREDITO","Por la nota de credito "&amp;Registro_Compras!$C$405&amp;" de "&amp;Registro_Compras!$E$405&amp;" [PATRON POR CONFIRMAR CON CONTADOR]",IF(Registro_Compras!$F$405="RHE","Por el registro del recibo por honorarios "&amp;Registro_Compras!$C$405&amp;" de "&amp;Registro_Compras!$E$405&amp;" [PATRON POR CONFIRMAR CON CONTADOR]","Por el registro de la factura "&amp;Registro_Compras!$C$405&amp;" de "&amp;Registro_Compras!$E$405)))</f>
        <v/>
      </c>
      <c r="H3615" t="str">
        <f>IF($C3615="","",Registro_Compras!$C$405)</f>
        <v/>
      </c>
    </row>
    <row r="3616" spans="1:8" x14ac:dyDescent="0.25">
      <c r="A3616" s="25" t="str">
        <f>IF($C3616="","",Registro_Compras!$B$405)</f>
        <v/>
      </c>
      <c r="B3616" t="str">
        <f>IF($C3616="","","C"&amp;TEXT(INT((ROW()-5)/9)+1,"000")&amp;"-1")</f>
        <v/>
      </c>
      <c r="C3616" t="str">
        <f>IF(OR(Registro_Compras!$C$405="",Registro_Compras!$O$405=""),"",IF(Registro_Compras!$F$405="NOTA DE CREDITO",IF(Registro_Compras!$K$405=0,"","40111"),"4212"))</f>
        <v/>
      </c>
      <c r="D3616" t="str">
        <f>IF(OR(Registro_Compras!$C$405="",Registro_Compras!$O$405=""),"",IF(Registro_Compras!$F$405="NOTA DE CREDITO","IGV - Cuenta Propia (Credito Fiscal)","Cuentas por Pagar Comerciales - Terceros (Emitidas)"))</f>
        <v/>
      </c>
      <c r="E3616" s="20" t="str">
        <f>""</f>
        <v/>
      </c>
      <c r="F3616" s="20" t="str">
        <f>IF($C3616="","",IF(Registro_Compras!$F$405="NOTA DE CREDITO",ROUND(ABS(Registro_Compras!$K$405*Registro_Compras!$N$405),2),IF(Registro_Compras!$F$405="RHE",(ROUND(Registro_Compras!$L$405*Registro_Compras!$N$405,2)-ROUND(Registro_Compras!$V$405*Registro_Compras!$N$405,2)),Registro_Compras!$O$405)))</f>
        <v/>
      </c>
      <c r="G3616" t="str">
        <f>IF($C3616="","",IF(Registro_Compras!$F$405="NOTA DE CREDITO","Por la nota de credito "&amp;Registro_Compras!$C$405&amp;" de "&amp;Registro_Compras!$E$405&amp;" [PATRON POR CONFIRMAR CON CONTADOR]",IF(Registro_Compras!$F$405="RHE","Por el registro del recibo por honorarios "&amp;Registro_Compras!$C$405&amp;" de "&amp;Registro_Compras!$E$405&amp;" [PATRON POR CONFIRMAR CON CONTADOR]","Por el registro de la factura "&amp;Registro_Compras!$C$405&amp;" de "&amp;Registro_Compras!$E$405)))</f>
        <v/>
      </c>
      <c r="H3616" t="str">
        <f>IF($C3616="","",Registro_Compras!$C$405)</f>
        <v/>
      </c>
    </row>
    <row r="3617" spans="1:8" x14ac:dyDescent="0.25">
      <c r="A3617" s="25" t="str">
        <f>IF($C3617="","",Registro_Compras!$B$405)</f>
        <v/>
      </c>
      <c r="B3617" t="str">
        <f>IF($C3617="","","C"&amp;TEXT(INT((ROW()-5)/9)+1,"000")&amp;"-2")</f>
        <v/>
      </c>
      <c r="C3617" t="str">
        <f>IF(OR(Registro_Compras!$C$405="",Registro_Compras!$O$405=""),"",IF(Registro_Compras!$AB$405="ADMINISTRATIVO","94","95"))</f>
        <v/>
      </c>
      <c r="D3617" t="str">
        <f>IF(OR(Registro_Compras!$C$405="",Registro_Compras!$O$405=""),"",IF(Registro_Compras!$AB$405="ADMINISTRATIVO","Gastos Administrativos","Gastos de Venta y Operacion"))</f>
        <v/>
      </c>
      <c r="E3617" s="20" t="str">
        <f>IF($C3617="","",IF(Registro_Compras!$F$405="NOTA DE CREDITO","",IF(Registro_Compras!$F$405="RHE",ROUND(Registro_Compras!$L$405*Registro_Compras!$N$405,2),ROUND(Registro_Compras!$J$405*Registro_Compras!$N$405,2))))</f>
        <v/>
      </c>
      <c r="F3617" s="20" t="str">
        <f>IF($C3617="","",IF(Registro_Compras!$F$405="NOTA DE CREDITO",ROUND(ABS(Registro_Compras!$J$405*Registro_Compras!$N$405),2),""))</f>
        <v/>
      </c>
      <c r="G3617" t="str">
        <f>IF($C3617="","","Por el destino del gasto")</f>
        <v/>
      </c>
      <c r="H3617" t="str">
        <f>IF($C3617="","",Registro_Compras!$C$405)</f>
        <v/>
      </c>
    </row>
    <row r="3618" spans="1:8" x14ac:dyDescent="0.25">
      <c r="A3618" s="25" t="str">
        <f>IF($C3618="","",Registro_Compras!$B$405)</f>
        <v/>
      </c>
      <c r="B3618" t="str">
        <f>IF($C3618="","","C"&amp;TEXT(INT((ROW()-5)/9)+1,"000")&amp;"-2")</f>
        <v/>
      </c>
      <c r="C3618" t="str">
        <f>IF(OR(Registro_Compras!$C$405="",Registro_Compras!$O$405=""),"","79/791")</f>
        <v/>
      </c>
      <c r="D3618" t="str">
        <f>IF(OR(Registro_Compras!$C$405="",Registro_Compras!$O$405=""),"","Cargas Imputables a Cuentas de Costos y Gastos")</f>
        <v/>
      </c>
      <c r="E3618" s="20" t="str">
        <f>IF($C3618="","",IF(Registro_Compras!$F$405="NOTA DE CREDITO",ROUND(ABS(Registro_Compras!$J$405*Registro_Compras!$N$405),2),""))</f>
        <v/>
      </c>
      <c r="F3618" s="20" t="str">
        <f>IF($C3618="","",IF(Registro_Compras!$F$405="NOTA DE CREDITO","",IF(Registro_Compras!$F$405="RHE",ROUND(Registro_Compras!$L$405*Registro_Compras!$N$405,2),ROUND(Registro_Compras!$J$405*Registro_Compras!$N$405,2))))</f>
        <v/>
      </c>
      <c r="G3618" t="str">
        <f>IF($C3618="","","Por el destino del gasto")</f>
        <v/>
      </c>
      <c r="H3618" t="str">
        <f>IF($C3618="","",Registro_Compras!$C$405)</f>
        <v/>
      </c>
    </row>
    <row r="3619" spans="1:8" x14ac:dyDescent="0.25">
      <c r="A3619" s="25" t="str">
        <f>IF($C3619="","",Registro_Compras!$X$405)</f>
        <v/>
      </c>
      <c r="B3619" t="str">
        <f>IF($C3619="","","C"&amp;TEXT(INT((ROW()-5)/9)+1,"000")&amp;"-3")</f>
        <v/>
      </c>
      <c r="C3619" t="str">
        <f>IF(OR(Registro_Compras!$C$405="",Registro_Compras!$O$405="",Registro_Compras!$R$405&lt;&gt;"SI",Registro_Compras!$X$405=""),"","4212")</f>
        <v/>
      </c>
      <c r="D3619" t="str">
        <f>IF(OR(Registro_Compras!$C$405="",Registro_Compras!$O$405=""),"","Cuentas por Pagar Comerciales - Terceros")</f>
        <v/>
      </c>
      <c r="E3619" s="20" t="str">
        <f>IF($C3619="","",Registro_Compras!$S$405)</f>
        <v/>
      </c>
      <c r="F3619" s="20" t="str">
        <f>""</f>
        <v/>
      </c>
      <c r="G3619" t="str">
        <f>IF($C3619="","","Por el deposito de la detraccion en el Banco de la Nacion")</f>
        <v/>
      </c>
      <c r="H3619" t="str">
        <f>IF($C3619="","",Registro_Compras!$C$405)</f>
        <v/>
      </c>
    </row>
    <row r="3620" spans="1:8" x14ac:dyDescent="0.25">
      <c r="A3620" s="25" t="str">
        <f>IF($C3620="","",Registro_Compras!$X$405)</f>
        <v/>
      </c>
      <c r="B3620" t="str">
        <f>IF($C3620="","","C"&amp;TEXT(INT((ROW()-5)/9)+1,"000")&amp;"-3")</f>
        <v/>
      </c>
      <c r="C3620" t="str">
        <f>IF(OR(Registro_Compras!$C$405="",Registro_Compras!$O$405="",Registro_Compras!$R$405&lt;&gt;"SI",Registro_Compras!$X$405=""),"","1041")</f>
        <v/>
      </c>
      <c r="D3620" t="str">
        <f>IF(OR(Registro_Compras!$C$405="",Registro_Compras!$O$405=""),"","Efectivo y Equivalentes - Cta. Cte. Operativa")</f>
        <v/>
      </c>
      <c r="E3620" s="20" t="str">
        <f>""</f>
        <v/>
      </c>
      <c r="F3620" s="20" t="str">
        <f>IF($C3620="","",Registro_Compras!$S$405)</f>
        <v/>
      </c>
      <c r="G3620" t="str">
        <f>IF($C3620="","","Por el deposito de la detraccion en el Banco de la Nacion")</f>
        <v/>
      </c>
      <c r="H3620" t="str">
        <f>IF($C3620="","",Registro_Compras!$C$405)</f>
        <v/>
      </c>
    </row>
    <row r="3621" spans="1:8" x14ac:dyDescent="0.25">
      <c r="A3621" s="25" t="str">
        <f>IF($C3621="","",Registro_Compras!$Y$405)</f>
        <v/>
      </c>
      <c r="B3621" t="str">
        <f>IF($C3621="","","C"&amp;TEXT(INT((ROW()-5)/9)+1,"000")&amp;"-4")</f>
        <v/>
      </c>
      <c r="C3621" t="str">
        <f>IF(OR(Registro_Compras!$C$405="",Registro_Compras!$O$405="",Registro_Compras!$Y$405="",Registro_Compras!$F$405="NOTA DE CREDITO"),"","4212")</f>
        <v/>
      </c>
      <c r="D3621" t="str">
        <f>IF(OR(Registro_Compras!$C$405="",Registro_Compras!$O$405=""),"","Cuentas por Pagar Comerciales - Terceros")</f>
        <v/>
      </c>
      <c r="E3621" s="20" t="str">
        <f>IF($C3621="","",IF(Registro_Compras!$F$405="RHE",(ROUND(Registro_Compras!$L$405*Registro_Compras!$N$405,2)-ROUND(Registro_Compras!$V$405*Registro_Compras!$N$405,2)),ROUND(Registro_Compras!$O$405-Registro_Compras!$S$405,2)))</f>
        <v/>
      </c>
      <c r="F3621" s="20" t="str">
        <f>""</f>
        <v/>
      </c>
      <c r="G3621" t="str">
        <f>IF($C3621="","","Por la cancelacion del saldo al proveedor")</f>
        <v/>
      </c>
      <c r="H3621" t="str">
        <f>IF($C3621="","",Registro_Compras!$C$405)</f>
        <v/>
      </c>
    </row>
    <row r="3622" spans="1:8" x14ac:dyDescent="0.25">
      <c r="A3622" s="25" t="str">
        <f>IF($C3622="","",Registro_Compras!$Y$405)</f>
        <v/>
      </c>
      <c r="B3622" t="str">
        <f>IF($C3622="","","C"&amp;TEXT(INT((ROW()-5)/9)+1,"000")&amp;"-4")</f>
        <v/>
      </c>
      <c r="C3622" t="str">
        <f>IF(OR(Registro_Compras!$C$405="",Registro_Compras!$O$405="",Registro_Compras!$Y$405="",Registro_Compras!$F$405="NOTA DE CREDITO"),"","1041")</f>
        <v/>
      </c>
      <c r="D3622" t="str">
        <f>IF(OR(Registro_Compras!$C$405="",Registro_Compras!$O$405=""),"","Efectivo y Equivalentes - Cta. Cte. Operativa")</f>
        <v/>
      </c>
      <c r="E3622" s="20" t="str">
        <f>""</f>
        <v/>
      </c>
      <c r="F3622" s="20" t="str">
        <f>IF($C3622="","",IF(Registro_Compras!$F$405="RHE",(ROUND(Registro_Compras!$L$405*Registro_Compras!$N$405,2)-ROUND(Registro_Compras!$V$405*Registro_Compras!$N$405,2)),ROUND(Registro_Compras!$O$405-Registro_Compras!$S$405,2)))</f>
        <v/>
      </c>
      <c r="G3622" t="str">
        <f>IF($C3622="","","Por la cancelacion del saldo al proveedor")</f>
        <v/>
      </c>
      <c r="H3622" t="str">
        <f>IF($C3622="","",Registro_Compras!$C$405)</f>
        <v/>
      </c>
    </row>
    <row r="3623" spans="1:8" x14ac:dyDescent="0.25">
      <c r="A3623" s="25" t="str">
        <f>IF($C3623="","",Registro_Compras!$B$406)</f>
        <v/>
      </c>
      <c r="B3623" t="str">
        <f>IF($C3623="","","C"&amp;TEXT(INT((ROW()-5)/9)+1,"000")&amp;"-1")</f>
        <v/>
      </c>
      <c r="C3623" t="str">
        <f>IF(OR(Registro_Compras!$C$406="",Registro_Compras!$O$406=""),"",IF(Registro_Compras!$F$406="NOTA DE CREDITO","4212",IF(Registro_Compras!$M$406="","63",Registro_Compras!$M$406)))</f>
        <v/>
      </c>
      <c r="D3623" t="str">
        <f>IF(OR(Registro_Compras!$C$406="",Registro_Compras!$O$406=""),"",IF(Registro_Compras!$F$406="NOTA DE CREDITO","Cuentas por Pagar Comerciales - Terceros (Emitidas)",IF(Registro_Compras!$F$406="RHE","Honorarios Profesionales - Servicios de Terceros","Gastos de Servicios Prestados por Terceros")))</f>
        <v/>
      </c>
      <c r="E3623" s="20" t="str">
        <f>IF($C3623="","",IF(Registro_Compras!$F$406="NOTA DE CREDITO",ABS(Registro_Compras!$O$406),IF(Registro_Compras!$F$406="RHE",ROUND(Registro_Compras!$L$406*Registro_Compras!$N$406,2),ROUND(Registro_Compras!$J$406*Registro_Compras!$N$406,2))))</f>
        <v/>
      </c>
      <c r="F3623" s="20" t="str">
        <f>""</f>
        <v/>
      </c>
      <c r="G3623" t="str">
        <f>IF($C3623="","",IF(Registro_Compras!$F$406="NOTA DE CREDITO","Por la nota de credito "&amp;Registro_Compras!$C$406&amp;" de "&amp;Registro_Compras!$E$406&amp;" [PATRON POR CONFIRMAR CON CONTADOR]",IF(Registro_Compras!$F$406="RHE","Por el registro del recibo por honorarios "&amp;Registro_Compras!$C$406&amp;" de "&amp;Registro_Compras!$E$406&amp;" [PATRON POR CONFIRMAR CON CONTADOR]","Por el registro de la factura "&amp;Registro_Compras!$C$406&amp;" de "&amp;Registro_Compras!$E$406)))</f>
        <v/>
      </c>
      <c r="H3623" t="str">
        <f>IF($C3623="","",Registro_Compras!$C$406)</f>
        <v/>
      </c>
    </row>
    <row r="3624" spans="1:8" x14ac:dyDescent="0.25">
      <c r="A3624" s="25" t="str">
        <f>IF($C3624="","",Registro_Compras!$B$406)</f>
        <v/>
      </c>
      <c r="B3624" t="str">
        <f>IF($C3624="","","C"&amp;TEXT(INT((ROW()-5)/9)+1,"000")&amp;"-1")</f>
        <v/>
      </c>
      <c r="C3624" t="str">
        <f>IF(OR(Registro_Compras!$C$406="",Registro_Compras!$O$406=""),"",IF(Registro_Compras!$F$406="RHE",IF(Registro_Compras!$V$406=0,"","4017"),IF(Registro_Compras!$F$406="NOTA DE CREDITO",IF(Registro_Compras!$M$406="","63",Registro_Compras!$M$406),IF(Registro_Compras!$K$406=0,"","40111"))))</f>
        <v/>
      </c>
      <c r="D3624" t="str">
        <f>IF(OR(Registro_Compras!$C$406="",Registro_Compras!$O$406=""),"",IF(Registro_Compras!$F$406="RHE","Retencion Renta 4ta Categoria por Pagar",IF(Registro_Compras!$F$406="NOTA DE CREDITO","Gastos de Servicios Prestados por Terceros","IGV - Cuenta Propia (Credito Fiscal)")))</f>
        <v/>
      </c>
      <c r="E3624" s="20" t="str">
        <f>IF($C3624="","",IF(Registro_Compras!$F$406="FACTURA",ROUND(Registro_Compras!$K$406*Registro_Compras!$N$406,2),""))</f>
        <v/>
      </c>
      <c r="F3624" s="20" t="str">
        <f>IF($C3624="","",IF(Registro_Compras!$F$406="RHE",ROUND(Registro_Compras!$V$406*Registro_Compras!$N$406,2),IF(Registro_Compras!$F$406="NOTA DE CREDITO",ROUND(ABS(Registro_Compras!$J$406*Registro_Compras!$N$406),2),"")))</f>
        <v/>
      </c>
      <c r="G3624" t="str">
        <f>IF($C3624="","",IF(Registro_Compras!$F$406="NOTA DE CREDITO","Por la nota de credito "&amp;Registro_Compras!$C$406&amp;" de "&amp;Registro_Compras!$E$406&amp;" [PATRON POR CONFIRMAR CON CONTADOR]",IF(Registro_Compras!$F$406="RHE","Por el registro del recibo por honorarios "&amp;Registro_Compras!$C$406&amp;" de "&amp;Registro_Compras!$E$406&amp;" [PATRON POR CONFIRMAR CON CONTADOR]","Por el registro de la factura "&amp;Registro_Compras!$C$406&amp;" de "&amp;Registro_Compras!$E$406)))</f>
        <v/>
      </c>
      <c r="H3624" t="str">
        <f>IF($C3624="","",Registro_Compras!$C$406)</f>
        <v/>
      </c>
    </row>
    <row r="3625" spans="1:8" x14ac:dyDescent="0.25">
      <c r="A3625" s="25" t="str">
        <f>IF($C3625="","",Registro_Compras!$B$406)</f>
        <v/>
      </c>
      <c r="B3625" t="str">
        <f>IF($C3625="","","C"&amp;TEXT(INT((ROW()-5)/9)+1,"000")&amp;"-1")</f>
        <v/>
      </c>
      <c r="C3625" t="str">
        <f>IF(OR(Registro_Compras!$C$406="",Registro_Compras!$O$406=""),"",IF(Registro_Compras!$F$406="NOTA DE CREDITO",IF(Registro_Compras!$K$406=0,"","40111"),"4212"))</f>
        <v/>
      </c>
      <c r="D3625" t="str">
        <f>IF(OR(Registro_Compras!$C$406="",Registro_Compras!$O$406=""),"",IF(Registro_Compras!$F$406="NOTA DE CREDITO","IGV - Cuenta Propia (Credito Fiscal)","Cuentas por Pagar Comerciales - Terceros (Emitidas)"))</f>
        <v/>
      </c>
      <c r="E3625" s="20" t="str">
        <f>""</f>
        <v/>
      </c>
      <c r="F3625" s="20" t="str">
        <f>IF($C3625="","",IF(Registro_Compras!$F$406="NOTA DE CREDITO",ROUND(ABS(Registro_Compras!$K$406*Registro_Compras!$N$406),2),IF(Registro_Compras!$F$406="RHE",(ROUND(Registro_Compras!$L$406*Registro_Compras!$N$406,2)-ROUND(Registro_Compras!$V$406*Registro_Compras!$N$406,2)),Registro_Compras!$O$406)))</f>
        <v/>
      </c>
      <c r="G3625" t="str">
        <f>IF($C3625="","",IF(Registro_Compras!$F$406="NOTA DE CREDITO","Por la nota de credito "&amp;Registro_Compras!$C$406&amp;" de "&amp;Registro_Compras!$E$406&amp;" [PATRON POR CONFIRMAR CON CONTADOR]",IF(Registro_Compras!$F$406="RHE","Por el registro del recibo por honorarios "&amp;Registro_Compras!$C$406&amp;" de "&amp;Registro_Compras!$E$406&amp;" [PATRON POR CONFIRMAR CON CONTADOR]","Por el registro de la factura "&amp;Registro_Compras!$C$406&amp;" de "&amp;Registro_Compras!$E$406)))</f>
        <v/>
      </c>
      <c r="H3625" t="str">
        <f>IF($C3625="","",Registro_Compras!$C$406)</f>
        <v/>
      </c>
    </row>
    <row r="3626" spans="1:8" x14ac:dyDescent="0.25">
      <c r="A3626" s="25" t="str">
        <f>IF($C3626="","",Registro_Compras!$B$406)</f>
        <v/>
      </c>
      <c r="B3626" t="str">
        <f>IF($C3626="","","C"&amp;TEXT(INT((ROW()-5)/9)+1,"000")&amp;"-2")</f>
        <v/>
      </c>
      <c r="C3626" t="str">
        <f>IF(OR(Registro_Compras!$C$406="",Registro_Compras!$O$406=""),"",IF(Registro_Compras!$AB$406="ADMINISTRATIVO","94","95"))</f>
        <v/>
      </c>
      <c r="D3626" t="str">
        <f>IF(OR(Registro_Compras!$C$406="",Registro_Compras!$O$406=""),"",IF(Registro_Compras!$AB$406="ADMINISTRATIVO","Gastos Administrativos","Gastos de Venta y Operacion"))</f>
        <v/>
      </c>
      <c r="E3626" s="20" t="str">
        <f>IF($C3626="","",IF(Registro_Compras!$F$406="NOTA DE CREDITO","",IF(Registro_Compras!$F$406="RHE",ROUND(Registro_Compras!$L$406*Registro_Compras!$N$406,2),ROUND(Registro_Compras!$J$406*Registro_Compras!$N$406,2))))</f>
        <v/>
      </c>
      <c r="F3626" s="20" t="str">
        <f>IF($C3626="","",IF(Registro_Compras!$F$406="NOTA DE CREDITO",ROUND(ABS(Registro_Compras!$J$406*Registro_Compras!$N$406),2),""))</f>
        <v/>
      </c>
      <c r="G3626" t="str">
        <f>IF($C3626="","","Por el destino del gasto")</f>
        <v/>
      </c>
      <c r="H3626" t="str">
        <f>IF($C3626="","",Registro_Compras!$C$406)</f>
        <v/>
      </c>
    </row>
    <row r="3627" spans="1:8" x14ac:dyDescent="0.25">
      <c r="A3627" s="25" t="str">
        <f>IF($C3627="","",Registro_Compras!$B$406)</f>
        <v/>
      </c>
      <c r="B3627" t="str">
        <f>IF($C3627="","","C"&amp;TEXT(INT((ROW()-5)/9)+1,"000")&amp;"-2")</f>
        <v/>
      </c>
      <c r="C3627" t="str">
        <f>IF(OR(Registro_Compras!$C$406="",Registro_Compras!$O$406=""),"","79/791")</f>
        <v/>
      </c>
      <c r="D3627" t="str">
        <f>IF(OR(Registro_Compras!$C$406="",Registro_Compras!$O$406=""),"","Cargas Imputables a Cuentas de Costos y Gastos")</f>
        <v/>
      </c>
      <c r="E3627" s="20" t="str">
        <f>IF($C3627="","",IF(Registro_Compras!$F$406="NOTA DE CREDITO",ROUND(ABS(Registro_Compras!$J$406*Registro_Compras!$N$406),2),""))</f>
        <v/>
      </c>
      <c r="F3627" s="20" t="str">
        <f>IF($C3627="","",IF(Registro_Compras!$F$406="NOTA DE CREDITO","",IF(Registro_Compras!$F$406="RHE",ROUND(Registro_Compras!$L$406*Registro_Compras!$N$406,2),ROUND(Registro_Compras!$J$406*Registro_Compras!$N$406,2))))</f>
        <v/>
      </c>
      <c r="G3627" t="str">
        <f>IF($C3627="","","Por el destino del gasto")</f>
        <v/>
      </c>
      <c r="H3627" t="str">
        <f>IF($C3627="","",Registro_Compras!$C$406)</f>
        <v/>
      </c>
    </row>
    <row r="3628" spans="1:8" x14ac:dyDescent="0.25">
      <c r="A3628" s="25" t="str">
        <f>IF($C3628="","",Registro_Compras!$X$406)</f>
        <v/>
      </c>
      <c r="B3628" t="str">
        <f>IF($C3628="","","C"&amp;TEXT(INT((ROW()-5)/9)+1,"000")&amp;"-3")</f>
        <v/>
      </c>
      <c r="C3628" t="str">
        <f>IF(OR(Registro_Compras!$C$406="",Registro_Compras!$O$406="",Registro_Compras!$R$406&lt;&gt;"SI",Registro_Compras!$X$406=""),"","4212")</f>
        <v/>
      </c>
      <c r="D3628" t="str">
        <f>IF(OR(Registro_Compras!$C$406="",Registro_Compras!$O$406=""),"","Cuentas por Pagar Comerciales - Terceros")</f>
        <v/>
      </c>
      <c r="E3628" s="20" t="str">
        <f>IF($C3628="","",Registro_Compras!$S$406)</f>
        <v/>
      </c>
      <c r="F3628" s="20" t="str">
        <f>""</f>
        <v/>
      </c>
      <c r="G3628" t="str">
        <f>IF($C3628="","","Por el deposito de la detraccion en el Banco de la Nacion")</f>
        <v/>
      </c>
      <c r="H3628" t="str">
        <f>IF($C3628="","",Registro_Compras!$C$406)</f>
        <v/>
      </c>
    </row>
    <row r="3629" spans="1:8" x14ac:dyDescent="0.25">
      <c r="A3629" s="25" t="str">
        <f>IF($C3629="","",Registro_Compras!$X$406)</f>
        <v/>
      </c>
      <c r="B3629" t="str">
        <f>IF($C3629="","","C"&amp;TEXT(INT((ROW()-5)/9)+1,"000")&amp;"-3")</f>
        <v/>
      </c>
      <c r="C3629" t="str">
        <f>IF(OR(Registro_Compras!$C$406="",Registro_Compras!$O$406="",Registro_Compras!$R$406&lt;&gt;"SI",Registro_Compras!$X$406=""),"","1041")</f>
        <v/>
      </c>
      <c r="D3629" t="str">
        <f>IF(OR(Registro_Compras!$C$406="",Registro_Compras!$O$406=""),"","Efectivo y Equivalentes - Cta. Cte. Operativa")</f>
        <v/>
      </c>
      <c r="E3629" s="20" t="str">
        <f>""</f>
        <v/>
      </c>
      <c r="F3629" s="20" t="str">
        <f>IF($C3629="","",Registro_Compras!$S$406)</f>
        <v/>
      </c>
      <c r="G3629" t="str">
        <f>IF($C3629="","","Por el deposito de la detraccion en el Banco de la Nacion")</f>
        <v/>
      </c>
      <c r="H3629" t="str">
        <f>IF($C3629="","",Registro_Compras!$C$406)</f>
        <v/>
      </c>
    </row>
    <row r="3630" spans="1:8" x14ac:dyDescent="0.25">
      <c r="A3630" s="25" t="str">
        <f>IF($C3630="","",Registro_Compras!$Y$406)</f>
        <v/>
      </c>
      <c r="B3630" t="str">
        <f>IF($C3630="","","C"&amp;TEXT(INT((ROW()-5)/9)+1,"000")&amp;"-4")</f>
        <v/>
      </c>
      <c r="C3630" t="str">
        <f>IF(OR(Registro_Compras!$C$406="",Registro_Compras!$O$406="",Registro_Compras!$Y$406="",Registro_Compras!$F$406="NOTA DE CREDITO"),"","4212")</f>
        <v/>
      </c>
      <c r="D3630" t="str">
        <f>IF(OR(Registro_Compras!$C$406="",Registro_Compras!$O$406=""),"","Cuentas por Pagar Comerciales - Terceros")</f>
        <v/>
      </c>
      <c r="E3630" s="20" t="str">
        <f>IF($C3630="","",IF(Registro_Compras!$F$406="RHE",(ROUND(Registro_Compras!$L$406*Registro_Compras!$N$406,2)-ROUND(Registro_Compras!$V$406*Registro_Compras!$N$406,2)),ROUND(Registro_Compras!$O$406-Registro_Compras!$S$406,2)))</f>
        <v/>
      </c>
      <c r="F3630" s="20" t="str">
        <f>""</f>
        <v/>
      </c>
      <c r="G3630" t="str">
        <f>IF($C3630="","","Por la cancelacion del saldo al proveedor")</f>
        <v/>
      </c>
      <c r="H3630" t="str">
        <f>IF($C3630="","",Registro_Compras!$C$406)</f>
        <v/>
      </c>
    </row>
    <row r="3631" spans="1:8" x14ac:dyDescent="0.25">
      <c r="A3631" s="25" t="str">
        <f>IF($C3631="","",Registro_Compras!$Y$406)</f>
        <v/>
      </c>
      <c r="B3631" t="str">
        <f>IF($C3631="","","C"&amp;TEXT(INT((ROW()-5)/9)+1,"000")&amp;"-4")</f>
        <v/>
      </c>
      <c r="C3631" t="str">
        <f>IF(OR(Registro_Compras!$C$406="",Registro_Compras!$O$406="",Registro_Compras!$Y$406="",Registro_Compras!$F$406="NOTA DE CREDITO"),"","1041")</f>
        <v/>
      </c>
      <c r="D3631" t="str">
        <f>IF(OR(Registro_Compras!$C$406="",Registro_Compras!$O$406=""),"","Efectivo y Equivalentes - Cta. Cte. Operativa")</f>
        <v/>
      </c>
      <c r="E3631" s="20" t="str">
        <f>""</f>
        <v/>
      </c>
      <c r="F3631" s="20" t="str">
        <f>IF($C3631="","",IF(Registro_Compras!$F$406="RHE",(ROUND(Registro_Compras!$L$406*Registro_Compras!$N$406,2)-ROUND(Registro_Compras!$V$406*Registro_Compras!$N$406,2)),ROUND(Registro_Compras!$O$406-Registro_Compras!$S$406,2)))</f>
        <v/>
      </c>
      <c r="G3631" t="str">
        <f>IF($C3631="","","Por la cancelacion del saldo al proveedor")</f>
        <v/>
      </c>
      <c r="H3631" t="str">
        <f>IF($C3631="","",Registro_Compras!$C$406)</f>
        <v/>
      </c>
    </row>
    <row r="3632" spans="1:8" x14ac:dyDescent="0.25">
      <c r="A3632" s="25" t="str">
        <f>IF($C3632="","",Registro_Compras!$B$407)</f>
        <v/>
      </c>
      <c r="B3632" t="str">
        <f>IF($C3632="","","C"&amp;TEXT(INT((ROW()-5)/9)+1,"000")&amp;"-1")</f>
        <v/>
      </c>
      <c r="C3632" t="str">
        <f>IF(OR(Registro_Compras!$C$407="",Registro_Compras!$O$407=""),"",IF(Registro_Compras!$F$407="NOTA DE CREDITO","4212",IF(Registro_Compras!$M$407="","63",Registro_Compras!$M$407)))</f>
        <v/>
      </c>
      <c r="D3632" t="str">
        <f>IF(OR(Registro_Compras!$C$407="",Registro_Compras!$O$407=""),"",IF(Registro_Compras!$F$407="NOTA DE CREDITO","Cuentas por Pagar Comerciales - Terceros (Emitidas)",IF(Registro_Compras!$F$407="RHE","Honorarios Profesionales - Servicios de Terceros","Gastos de Servicios Prestados por Terceros")))</f>
        <v/>
      </c>
      <c r="E3632" s="20" t="str">
        <f>IF($C3632="","",IF(Registro_Compras!$F$407="NOTA DE CREDITO",ABS(Registro_Compras!$O$407),IF(Registro_Compras!$F$407="RHE",ROUND(Registro_Compras!$L$407*Registro_Compras!$N$407,2),ROUND(Registro_Compras!$J$407*Registro_Compras!$N$407,2))))</f>
        <v/>
      </c>
      <c r="F3632" s="20" t="str">
        <f>""</f>
        <v/>
      </c>
      <c r="G3632" t="str">
        <f>IF($C3632="","",IF(Registro_Compras!$F$407="NOTA DE CREDITO","Por la nota de credito "&amp;Registro_Compras!$C$407&amp;" de "&amp;Registro_Compras!$E$407&amp;" [PATRON POR CONFIRMAR CON CONTADOR]",IF(Registro_Compras!$F$407="RHE","Por el registro del recibo por honorarios "&amp;Registro_Compras!$C$407&amp;" de "&amp;Registro_Compras!$E$407&amp;" [PATRON POR CONFIRMAR CON CONTADOR]","Por el registro de la factura "&amp;Registro_Compras!$C$407&amp;" de "&amp;Registro_Compras!$E$407)))</f>
        <v/>
      </c>
      <c r="H3632" t="str">
        <f>IF($C3632="","",Registro_Compras!$C$407)</f>
        <v/>
      </c>
    </row>
    <row r="3633" spans="1:8" x14ac:dyDescent="0.25">
      <c r="A3633" s="25" t="str">
        <f>IF($C3633="","",Registro_Compras!$B$407)</f>
        <v/>
      </c>
      <c r="B3633" t="str">
        <f>IF($C3633="","","C"&amp;TEXT(INT((ROW()-5)/9)+1,"000")&amp;"-1")</f>
        <v/>
      </c>
      <c r="C3633" t="str">
        <f>IF(OR(Registro_Compras!$C$407="",Registro_Compras!$O$407=""),"",IF(Registro_Compras!$F$407="RHE",IF(Registro_Compras!$V$407=0,"","4017"),IF(Registro_Compras!$F$407="NOTA DE CREDITO",IF(Registro_Compras!$M$407="","63",Registro_Compras!$M$407),IF(Registro_Compras!$K$407=0,"","40111"))))</f>
        <v/>
      </c>
      <c r="D3633" t="str">
        <f>IF(OR(Registro_Compras!$C$407="",Registro_Compras!$O$407=""),"",IF(Registro_Compras!$F$407="RHE","Retencion Renta 4ta Categoria por Pagar",IF(Registro_Compras!$F$407="NOTA DE CREDITO","Gastos de Servicios Prestados por Terceros","IGV - Cuenta Propia (Credito Fiscal)")))</f>
        <v/>
      </c>
      <c r="E3633" s="20" t="str">
        <f>IF($C3633="","",IF(Registro_Compras!$F$407="FACTURA",ROUND(Registro_Compras!$K$407*Registro_Compras!$N$407,2),""))</f>
        <v/>
      </c>
      <c r="F3633" s="20" t="str">
        <f>IF($C3633="","",IF(Registro_Compras!$F$407="RHE",ROUND(Registro_Compras!$V$407*Registro_Compras!$N$407,2),IF(Registro_Compras!$F$407="NOTA DE CREDITO",ROUND(ABS(Registro_Compras!$J$407*Registro_Compras!$N$407),2),"")))</f>
        <v/>
      </c>
      <c r="G3633" t="str">
        <f>IF($C3633="","",IF(Registro_Compras!$F$407="NOTA DE CREDITO","Por la nota de credito "&amp;Registro_Compras!$C$407&amp;" de "&amp;Registro_Compras!$E$407&amp;" [PATRON POR CONFIRMAR CON CONTADOR]",IF(Registro_Compras!$F$407="RHE","Por el registro del recibo por honorarios "&amp;Registro_Compras!$C$407&amp;" de "&amp;Registro_Compras!$E$407&amp;" [PATRON POR CONFIRMAR CON CONTADOR]","Por el registro de la factura "&amp;Registro_Compras!$C$407&amp;" de "&amp;Registro_Compras!$E$407)))</f>
        <v/>
      </c>
      <c r="H3633" t="str">
        <f>IF($C3633="","",Registro_Compras!$C$407)</f>
        <v/>
      </c>
    </row>
    <row r="3634" spans="1:8" x14ac:dyDescent="0.25">
      <c r="A3634" s="25" t="str">
        <f>IF($C3634="","",Registro_Compras!$B$407)</f>
        <v/>
      </c>
      <c r="B3634" t="str">
        <f>IF($C3634="","","C"&amp;TEXT(INT((ROW()-5)/9)+1,"000")&amp;"-1")</f>
        <v/>
      </c>
      <c r="C3634" t="str">
        <f>IF(OR(Registro_Compras!$C$407="",Registro_Compras!$O$407=""),"",IF(Registro_Compras!$F$407="NOTA DE CREDITO",IF(Registro_Compras!$K$407=0,"","40111"),"4212"))</f>
        <v/>
      </c>
      <c r="D3634" t="str">
        <f>IF(OR(Registro_Compras!$C$407="",Registro_Compras!$O$407=""),"",IF(Registro_Compras!$F$407="NOTA DE CREDITO","IGV - Cuenta Propia (Credito Fiscal)","Cuentas por Pagar Comerciales - Terceros (Emitidas)"))</f>
        <v/>
      </c>
      <c r="E3634" s="20" t="str">
        <f>""</f>
        <v/>
      </c>
      <c r="F3634" s="20" t="str">
        <f>IF($C3634="","",IF(Registro_Compras!$F$407="NOTA DE CREDITO",ROUND(ABS(Registro_Compras!$K$407*Registro_Compras!$N$407),2),IF(Registro_Compras!$F$407="RHE",(ROUND(Registro_Compras!$L$407*Registro_Compras!$N$407,2)-ROUND(Registro_Compras!$V$407*Registro_Compras!$N$407,2)),Registro_Compras!$O$407)))</f>
        <v/>
      </c>
      <c r="G3634" t="str">
        <f>IF($C3634="","",IF(Registro_Compras!$F$407="NOTA DE CREDITO","Por la nota de credito "&amp;Registro_Compras!$C$407&amp;" de "&amp;Registro_Compras!$E$407&amp;" [PATRON POR CONFIRMAR CON CONTADOR]",IF(Registro_Compras!$F$407="RHE","Por el registro del recibo por honorarios "&amp;Registro_Compras!$C$407&amp;" de "&amp;Registro_Compras!$E$407&amp;" [PATRON POR CONFIRMAR CON CONTADOR]","Por el registro de la factura "&amp;Registro_Compras!$C$407&amp;" de "&amp;Registro_Compras!$E$407)))</f>
        <v/>
      </c>
      <c r="H3634" t="str">
        <f>IF($C3634="","",Registro_Compras!$C$407)</f>
        <v/>
      </c>
    </row>
    <row r="3635" spans="1:8" x14ac:dyDescent="0.25">
      <c r="A3635" s="25" t="str">
        <f>IF($C3635="","",Registro_Compras!$B$407)</f>
        <v/>
      </c>
      <c r="B3635" t="str">
        <f>IF($C3635="","","C"&amp;TEXT(INT((ROW()-5)/9)+1,"000")&amp;"-2")</f>
        <v/>
      </c>
      <c r="C3635" t="str">
        <f>IF(OR(Registro_Compras!$C$407="",Registro_Compras!$O$407=""),"",IF(Registro_Compras!$AB$407="ADMINISTRATIVO","94","95"))</f>
        <v/>
      </c>
      <c r="D3635" t="str">
        <f>IF(OR(Registro_Compras!$C$407="",Registro_Compras!$O$407=""),"",IF(Registro_Compras!$AB$407="ADMINISTRATIVO","Gastos Administrativos","Gastos de Venta y Operacion"))</f>
        <v/>
      </c>
      <c r="E3635" s="20" t="str">
        <f>IF($C3635="","",IF(Registro_Compras!$F$407="NOTA DE CREDITO","",IF(Registro_Compras!$F$407="RHE",ROUND(Registro_Compras!$L$407*Registro_Compras!$N$407,2),ROUND(Registro_Compras!$J$407*Registro_Compras!$N$407,2))))</f>
        <v/>
      </c>
      <c r="F3635" s="20" t="str">
        <f>IF($C3635="","",IF(Registro_Compras!$F$407="NOTA DE CREDITO",ROUND(ABS(Registro_Compras!$J$407*Registro_Compras!$N$407),2),""))</f>
        <v/>
      </c>
      <c r="G3635" t="str">
        <f>IF($C3635="","","Por el destino del gasto")</f>
        <v/>
      </c>
      <c r="H3635" t="str">
        <f>IF($C3635="","",Registro_Compras!$C$407)</f>
        <v/>
      </c>
    </row>
    <row r="3636" spans="1:8" x14ac:dyDescent="0.25">
      <c r="A3636" s="25" t="str">
        <f>IF($C3636="","",Registro_Compras!$B$407)</f>
        <v/>
      </c>
      <c r="B3636" t="str">
        <f>IF($C3636="","","C"&amp;TEXT(INT((ROW()-5)/9)+1,"000")&amp;"-2")</f>
        <v/>
      </c>
      <c r="C3636" t="str">
        <f>IF(OR(Registro_Compras!$C$407="",Registro_Compras!$O$407=""),"","79/791")</f>
        <v/>
      </c>
      <c r="D3636" t="str">
        <f>IF(OR(Registro_Compras!$C$407="",Registro_Compras!$O$407=""),"","Cargas Imputables a Cuentas de Costos y Gastos")</f>
        <v/>
      </c>
      <c r="E3636" s="20" t="str">
        <f>IF($C3636="","",IF(Registro_Compras!$F$407="NOTA DE CREDITO",ROUND(ABS(Registro_Compras!$J$407*Registro_Compras!$N$407),2),""))</f>
        <v/>
      </c>
      <c r="F3636" s="20" t="str">
        <f>IF($C3636="","",IF(Registro_Compras!$F$407="NOTA DE CREDITO","",IF(Registro_Compras!$F$407="RHE",ROUND(Registro_Compras!$L$407*Registro_Compras!$N$407,2),ROUND(Registro_Compras!$J$407*Registro_Compras!$N$407,2))))</f>
        <v/>
      </c>
      <c r="G3636" t="str">
        <f>IF($C3636="","","Por el destino del gasto")</f>
        <v/>
      </c>
      <c r="H3636" t="str">
        <f>IF($C3636="","",Registro_Compras!$C$407)</f>
        <v/>
      </c>
    </row>
    <row r="3637" spans="1:8" x14ac:dyDescent="0.25">
      <c r="A3637" s="25" t="str">
        <f>IF($C3637="","",Registro_Compras!$X$407)</f>
        <v/>
      </c>
      <c r="B3637" t="str">
        <f>IF($C3637="","","C"&amp;TEXT(INT((ROW()-5)/9)+1,"000")&amp;"-3")</f>
        <v/>
      </c>
      <c r="C3637" t="str">
        <f>IF(OR(Registro_Compras!$C$407="",Registro_Compras!$O$407="",Registro_Compras!$R$407&lt;&gt;"SI",Registro_Compras!$X$407=""),"","4212")</f>
        <v/>
      </c>
      <c r="D3637" t="str">
        <f>IF(OR(Registro_Compras!$C$407="",Registro_Compras!$O$407=""),"","Cuentas por Pagar Comerciales - Terceros")</f>
        <v/>
      </c>
      <c r="E3637" s="20" t="str">
        <f>IF($C3637="","",Registro_Compras!$S$407)</f>
        <v/>
      </c>
      <c r="F3637" s="20" t="str">
        <f>""</f>
        <v/>
      </c>
      <c r="G3637" t="str">
        <f>IF($C3637="","","Por el deposito de la detraccion en el Banco de la Nacion")</f>
        <v/>
      </c>
      <c r="H3637" t="str">
        <f>IF($C3637="","",Registro_Compras!$C$407)</f>
        <v/>
      </c>
    </row>
    <row r="3638" spans="1:8" x14ac:dyDescent="0.25">
      <c r="A3638" s="25" t="str">
        <f>IF($C3638="","",Registro_Compras!$X$407)</f>
        <v/>
      </c>
      <c r="B3638" t="str">
        <f>IF($C3638="","","C"&amp;TEXT(INT((ROW()-5)/9)+1,"000")&amp;"-3")</f>
        <v/>
      </c>
      <c r="C3638" t="str">
        <f>IF(OR(Registro_Compras!$C$407="",Registro_Compras!$O$407="",Registro_Compras!$R$407&lt;&gt;"SI",Registro_Compras!$X$407=""),"","1041")</f>
        <v/>
      </c>
      <c r="D3638" t="str">
        <f>IF(OR(Registro_Compras!$C$407="",Registro_Compras!$O$407=""),"","Efectivo y Equivalentes - Cta. Cte. Operativa")</f>
        <v/>
      </c>
      <c r="E3638" s="20" t="str">
        <f>""</f>
        <v/>
      </c>
      <c r="F3638" s="20" t="str">
        <f>IF($C3638="","",Registro_Compras!$S$407)</f>
        <v/>
      </c>
      <c r="G3638" t="str">
        <f>IF($C3638="","","Por el deposito de la detraccion en el Banco de la Nacion")</f>
        <v/>
      </c>
      <c r="H3638" t="str">
        <f>IF($C3638="","",Registro_Compras!$C$407)</f>
        <v/>
      </c>
    </row>
    <row r="3639" spans="1:8" x14ac:dyDescent="0.25">
      <c r="A3639" s="25" t="str">
        <f>IF($C3639="","",Registro_Compras!$Y$407)</f>
        <v/>
      </c>
      <c r="B3639" t="str">
        <f>IF($C3639="","","C"&amp;TEXT(INT((ROW()-5)/9)+1,"000")&amp;"-4")</f>
        <v/>
      </c>
      <c r="C3639" t="str">
        <f>IF(OR(Registro_Compras!$C$407="",Registro_Compras!$O$407="",Registro_Compras!$Y$407="",Registro_Compras!$F$407="NOTA DE CREDITO"),"","4212")</f>
        <v/>
      </c>
      <c r="D3639" t="str">
        <f>IF(OR(Registro_Compras!$C$407="",Registro_Compras!$O$407=""),"","Cuentas por Pagar Comerciales - Terceros")</f>
        <v/>
      </c>
      <c r="E3639" s="20" t="str">
        <f>IF($C3639="","",IF(Registro_Compras!$F$407="RHE",(ROUND(Registro_Compras!$L$407*Registro_Compras!$N$407,2)-ROUND(Registro_Compras!$V$407*Registro_Compras!$N$407,2)),ROUND(Registro_Compras!$O$407-Registro_Compras!$S$407,2)))</f>
        <v/>
      </c>
      <c r="F3639" s="20" t="str">
        <f>""</f>
        <v/>
      </c>
      <c r="G3639" t="str">
        <f>IF($C3639="","","Por la cancelacion del saldo al proveedor")</f>
        <v/>
      </c>
      <c r="H3639" t="str">
        <f>IF($C3639="","",Registro_Compras!$C$407)</f>
        <v/>
      </c>
    </row>
    <row r="3640" spans="1:8" x14ac:dyDescent="0.25">
      <c r="A3640" s="25" t="str">
        <f>IF($C3640="","",Registro_Compras!$Y$407)</f>
        <v/>
      </c>
      <c r="B3640" t="str">
        <f>IF($C3640="","","C"&amp;TEXT(INT((ROW()-5)/9)+1,"000")&amp;"-4")</f>
        <v/>
      </c>
      <c r="C3640" t="str">
        <f>IF(OR(Registro_Compras!$C$407="",Registro_Compras!$O$407="",Registro_Compras!$Y$407="",Registro_Compras!$F$407="NOTA DE CREDITO"),"","1041")</f>
        <v/>
      </c>
      <c r="D3640" t="str">
        <f>IF(OR(Registro_Compras!$C$407="",Registro_Compras!$O$407=""),"","Efectivo y Equivalentes - Cta. Cte. Operativa")</f>
        <v/>
      </c>
      <c r="E3640" s="20" t="str">
        <f>""</f>
        <v/>
      </c>
      <c r="F3640" s="20" t="str">
        <f>IF($C3640="","",IF(Registro_Compras!$F$407="RHE",(ROUND(Registro_Compras!$L$407*Registro_Compras!$N$407,2)-ROUND(Registro_Compras!$V$407*Registro_Compras!$N$407,2)),ROUND(Registro_Compras!$O$407-Registro_Compras!$S$407,2)))</f>
        <v/>
      </c>
      <c r="G3640" t="str">
        <f>IF($C3640="","","Por la cancelacion del saldo al proveedor")</f>
        <v/>
      </c>
      <c r="H3640" t="str">
        <f>IF($C3640="","",Registro_Compras!$C$407)</f>
        <v/>
      </c>
    </row>
    <row r="3641" spans="1:8" x14ac:dyDescent="0.25">
      <c r="A3641" s="25" t="str">
        <f>IF($C3641="","",Registro_Compras!$B$408)</f>
        <v/>
      </c>
      <c r="B3641" t="str">
        <f>IF($C3641="","","C"&amp;TEXT(INT((ROW()-5)/9)+1,"000")&amp;"-1")</f>
        <v/>
      </c>
      <c r="C3641" t="str">
        <f>IF(OR(Registro_Compras!$C$408="",Registro_Compras!$O$408=""),"",IF(Registro_Compras!$F$408="NOTA DE CREDITO","4212",IF(Registro_Compras!$M$408="","63",Registro_Compras!$M$408)))</f>
        <v/>
      </c>
      <c r="D3641" t="str">
        <f>IF(OR(Registro_Compras!$C$408="",Registro_Compras!$O$408=""),"",IF(Registro_Compras!$F$408="NOTA DE CREDITO","Cuentas por Pagar Comerciales - Terceros (Emitidas)",IF(Registro_Compras!$F$408="RHE","Honorarios Profesionales - Servicios de Terceros","Gastos de Servicios Prestados por Terceros")))</f>
        <v/>
      </c>
      <c r="E3641" s="20" t="str">
        <f>IF($C3641="","",IF(Registro_Compras!$F$408="NOTA DE CREDITO",ABS(Registro_Compras!$O$408),IF(Registro_Compras!$F$408="RHE",ROUND(Registro_Compras!$L$408*Registro_Compras!$N$408,2),ROUND(Registro_Compras!$J$408*Registro_Compras!$N$408,2))))</f>
        <v/>
      </c>
      <c r="F3641" s="20" t="str">
        <f>""</f>
        <v/>
      </c>
      <c r="G3641" t="str">
        <f>IF($C3641="","",IF(Registro_Compras!$F$408="NOTA DE CREDITO","Por la nota de credito "&amp;Registro_Compras!$C$408&amp;" de "&amp;Registro_Compras!$E$408&amp;" [PATRON POR CONFIRMAR CON CONTADOR]",IF(Registro_Compras!$F$408="RHE","Por el registro del recibo por honorarios "&amp;Registro_Compras!$C$408&amp;" de "&amp;Registro_Compras!$E$408&amp;" [PATRON POR CONFIRMAR CON CONTADOR]","Por el registro de la factura "&amp;Registro_Compras!$C$408&amp;" de "&amp;Registro_Compras!$E$408)))</f>
        <v/>
      </c>
      <c r="H3641" t="str">
        <f>IF($C3641="","",Registro_Compras!$C$408)</f>
        <v/>
      </c>
    </row>
    <row r="3642" spans="1:8" x14ac:dyDescent="0.25">
      <c r="A3642" s="25" t="str">
        <f>IF($C3642="","",Registro_Compras!$B$408)</f>
        <v/>
      </c>
      <c r="B3642" t="str">
        <f>IF($C3642="","","C"&amp;TEXT(INT((ROW()-5)/9)+1,"000")&amp;"-1")</f>
        <v/>
      </c>
      <c r="C3642" t="str">
        <f>IF(OR(Registro_Compras!$C$408="",Registro_Compras!$O$408=""),"",IF(Registro_Compras!$F$408="RHE",IF(Registro_Compras!$V$408=0,"","4017"),IF(Registro_Compras!$F$408="NOTA DE CREDITO",IF(Registro_Compras!$M$408="","63",Registro_Compras!$M$408),IF(Registro_Compras!$K$408=0,"","40111"))))</f>
        <v/>
      </c>
      <c r="D3642" t="str">
        <f>IF(OR(Registro_Compras!$C$408="",Registro_Compras!$O$408=""),"",IF(Registro_Compras!$F$408="RHE","Retencion Renta 4ta Categoria por Pagar",IF(Registro_Compras!$F$408="NOTA DE CREDITO","Gastos de Servicios Prestados por Terceros","IGV - Cuenta Propia (Credito Fiscal)")))</f>
        <v/>
      </c>
      <c r="E3642" s="20" t="str">
        <f>IF($C3642="","",IF(Registro_Compras!$F$408="FACTURA",ROUND(Registro_Compras!$K$408*Registro_Compras!$N$408,2),""))</f>
        <v/>
      </c>
      <c r="F3642" s="20" t="str">
        <f>IF($C3642="","",IF(Registro_Compras!$F$408="RHE",ROUND(Registro_Compras!$V$408*Registro_Compras!$N$408,2),IF(Registro_Compras!$F$408="NOTA DE CREDITO",ROUND(ABS(Registro_Compras!$J$408*Registro_Compras!$N$408),2),"")))</f>
        <v/>
      </c>
      <c r="G3642" t="str">
        <f>IF($C3642="","",IF(Registro_Compras!$F$408="NOTA DE CREDITO","Por la nota de credito "&amp;Registro_Compras!$C$408&amp;" de "&amp;Registro_Compras!$E$408&amp;" [PATRON POR CONFIRMAR CON CONTADOR]",IF(Registro_Compras!$F$408="RHE","Por el registro del recibo por honorarios "&amp;Registro_Compras!$C$408&amp;" de "&amp;Registro_Compras!$E$408&amp;" [PATRON POR CONFIRMAR CON CONTADOR]","Por el registro de la factura "&amp;Registro_Compras!$C$408&amp;" de "&amp;Registro_Compras!$E$408)))</f>
        <v/>
      </c>
      <c r="H3642" t="str">
        <f>IF($C3642="","",Registro_Compras!$C$408)</f>
        <v/>
      </c>
    </row>
    <row r="3643" spans="1:8" x14ac:dyDescent="0.25">
      <c r="A3643" s="25" t="str">
        <f>IF($C3643="","",Registro_Compras!$B$408)</f>
        <v/>
      </c>
      <c r="B3643" t="str">
        <f>IF($C3643="","","C"&amp;TEXT(INT((ROW()-5)/9)+1,"000")&amp;"-1")</f>
        <v/>
      </c>
      <c r="C3643" t="str">
        <f>IF(OR(Registro_Compras!$C$408="",Registro_Compras!$O$408=""),"",IF(Registro_Compras!$F$408="NOTA DE CREDITO",IF(Registro_Compras!$K$408=0,"","40111"),"4212"))</f>
        <v/>
      </c>
      <c r="D3643" t="str">
        <f>IF(OR(Registro_Compras!$C$408="",Registro_Compras!$O$408=""),"",IF(Registro_Compras!$F$408="NOTA DE CREDITO","IGV - Cuenta Propia (Credito Fiscal)","Cuentas por Pagar Comerciales - Terceros (Emitidas)"))</f>
        <v/>
      </c>
      <c r="E3643" s="20" t="str">
        <f>""</f>
        <v/>
      </c>
      <c r="F3643" s="20" t="str">
        <f>IF($C3643="","",IF(Registro_Compras!$F$408="NOTA DE CREDITO",ROUND(ABS(Registro_Compras!$K$408*Registro_Compras!$N$408),2),IF(Registro_Compras!$F$408="RHE",(ROUND(Registro_Compras!$L$408*Registro_Compras!$N$408,2)-ROUND(Registro_Compras!$V$408*Registro_Compras!$N$408,2)),Registro_Compras!$O$408)))</f>
        <v/>
      </c>
      <c r="G3643" t="str">
        <f>IF($C3643="","",IF(Registro_Compras!$F$408="NOTA DE CREDITO","Por la nota de credito "&amp;Registro_Compras!$C$408&amp;" de "&amp;Registro_Compras!$E$408&amp;" [PATRON POR CONFIRMAR CON CONTADOR]",IF(Registro_Compras!$F$408="RHE","Por el registro del recibo por honorarios "&amp;Registro_Compras!$C$408&amp;" de "&amp;Registro_Compras!$E$408&amp;" [PATRON POR CONFIRMAR CON CONTADOR]","Por el registro de la factura "&amp;Registro_Compras!$C$408&amp;" de "&amp;Registro_Compras!$E$408)))</f>
        <v/>
      </c>
      <c r="H3643" t="str">
        <f>IF($C3643="","",Registro_Compras!$C$408)</f>
        <v/>
      </c>
    </row>
    <row r="3644" spans="1:8" x14ac:dyDescent="0.25">
      <c r="A3644" s="25" t="str">
        <f>IF($C3644="","",Registro_Compras!$B$408)</f>
        <v/>
      </c>
      <c r="B3644" t="str">
        <f>IF($C3644="","","C"&amp;TEXT(INT((ROW()-5)/9)+1,"000")&amp;"-2")</f>
        <v/>
      </c>
      <c r="C3644" t="str">
        <f>IF(OR(Registro_Compras!$C$408="",Registro_Compras!$O$408=""),"",IF(Registro_Compras!$AB$408="ADMINISTRATIVO","94","95"))</f>
        <v/>
      </c>
      <c r="D3644" t="str">
        <f>IF(OR(Registro_Compras!$C$408="",Registro_Compras!$O$408=""),"",IF(Registro_Compras!$AB$408="ADMINISTRATIVO","Gastos Administrativos","Gastos de Venta y Operacion"))</f>
        <v/>
      </c>
      <c r="E3644" s="20" t="str">
        <f>IF($C3644="","",IF(Registro_Compras!$F$408="NOTA DE CREDITO","",IF(Registro_Compras!$F$408="RHE",ROUND(Registro_Compras!$L$408*Registro_Compras!$N$408,2),ROUND(Registro_Compras!$J$408*Registro_Compras!$N$408,2))))</f>
        <v/>
      </c>
      <c r="F3644" s="20" t="str">
        <f>IF($C3644="","",IF(Registro_Compras!$F$408="NOTA DE CREDITO",ROUND(ABS(Registro_Compras!$J$408*Registro_Compras!$N$408),2),""))</f>
        <v/>
      </c>
      <c r="G3644" t="str">
        <f>IF($C3644="","","Por el destino del gasto")</f>
        <v/>
      </c>
      <c r="H3644" t="str">
        <f>IF($C3644="","",Registro_Compras!$C$408)</f>
        <v/>
      </c>
    </row>
    <row r="3645" spans="1:8" x14ac:dyDescent="0.25">
      <c r="A3645" s="25" t="str">
        <f>IF($C3645="","",Registro_Compras!$B$408)</f>
        <v/>
      </c>
      <c r="B3645" t="str">
        <f>IF($C3645="","","C"&amp;TEXT(INT((ROW()-5)/9)+1,"000")&amp;"-2")</f>
        <v/>
      </c>
      <c r="C3645" t="str">
        <f>IF(OR(Registro_Compras!$C$408="",Registro_Compras!$O$408=""),"","79/791")</f>
        <v/>
      </c>
      <c r="D3645" t="str">
        <f>IF(OR(Registro_Compras!$C$408="",Registro_Compras!$O$408=""),"","Cargas Imputables a Cuentas de Costos y Gastos")</f>
        <v/>
      </c>
      <c r="E3645" s="20" t="str">
        <f>IF($C3645="","",IF(Registro_Compras!$F$408="NOTA DE CREDITO",ROUND(ABS(Registro_Compras!$J$408*Registro_Compras!$N$408),2),""))</f>
        <v/>
      </c>
      <c r="F3645" s="20" t="str">
        <f>IF($C3645="","",IF(Registro_Compras!$F$408="NOTA DE CREDITO","",IF(Registro_Compras!$F$408="RHE",ROUND(Registro_Compras!$L$408*Registro_Compras!$N$408,2),ROUND(Registro_Compras!$J$408*Registro_Compras!$N$408,2))))</f>
        <v/>
      </c>
      <c r="G3645" t="str">
        <f>IF($C3645="","","Por el destino del gasto")</f>
        <v/>
      </c>
      <c r="H3645" t="str">
        <f>IF($C3645="","",Registro_Compras!$C$408)</f>
        <v/>
      </c>
    </row>
    <row r="3646" spans="1:8" x14ac:dyDescent="0.25">
      <c r="A3646" s="25" t="str">
        <f>IF($C3646="","",Registro_Compras!$X$408)</f>
        <v/>
      </c>
      <c r="B3646" t="str">
        <f>IF($C3646="","","C"&amp;TEXT(INT((ROW()-5)/9)+1,"000")&amp;"-3")</f>
        <v/>
      </c>
      <c r="C3646" t="str">
        <f>IF(OR(Registro_Compras!$C$408="",Registro_Compras!$O$408="",Registro_Compras!$R$408&lt;&gt;"SI",Registro_Compras!$X$408=""),"","4212")</f>
        <v/>
      </c>
      <c r="D3646" t="str">
        <f>IF(OR(Registro_Compras!$C$408="",Registro_Compras!$O$408=""),"","Cuentas por Pagar Comerciales - Terceros")</f>
        <v/>
      </c>
      <c r="E3646" s="20" t="str">
        <f>IF($C3646="","",Registro_Compras!$S$408)</f>
        <v/>
      </c>
      <c r="F3646" s="20" t="str">
        <f>""</f>
        <v/>
      </c>
      <c r="G3646" t="str">
        <f>IF($C3646="","","Por el deposito de la detraccion en el Banco de la Nacion")</f>
        <v/>
      </c>
      <c r="H3646" t="str">
        <f>IF($C3646="","",Registro_Compras!$C$408)</f>
        <v/>
      </c>
    </row>
    <row r="3647" spans="1:8" x14ac:dyDescent="0.25">
      <c r="A3647" s="25" t="str">
        <f>IF($C3647="","",Registro_Compras!$X$408)</f>
        <v/>
      </c>
      <c r="B3647" t="str">
        <f>IF($C3647="","","C"&amp;TEXT(INT((ROW()-5)/9)+1,"000")&amp;"-3")</f>
        <v/>
      </c>
      <c r="C3647" t="str">
        <f>IF(OR(Registro_Compras!$C$408="",Registro_Compras!$O$408="",Registro_Compras!$R$408&lt;&gt;"SI",Registro_Compras!$X$408=""),"","1041")</f>
        <v/>
      </c>
      <c r="D3647" t="str">
        <f>IF(OR(Registro_Compras!$C$408="",Registro_Compras!$O$408=""),"","Efectivo y Equivalentes - Cta. Cte. Operativa")</f>
        <v/>
      </c>
      <c r="E3647" s="20" t="str">
        <f>""</f>
        <v/>
      </c>
      <c r="F3647" s="20" t="str">
        <f>IF($C3647="","",Registro_Compras!$S$408)</f>
        <v/>
      </c>
      <c r="G3647" t="str">
        <f>IF($C3647="","","Por el deposito de la detraccion en el Banco de la Nacion")</f>
        <v/>
      </c>
      <c r="H3647" t="str">
        <f>IF($C3647="","",Registro_Compras!$C$408)</f>
        <v/>
      </c>
    </row>
    <row r="3648" spans="1:8" x14ac:dyDescent="0.25">
      <c r="A3648" s="25" t="str">
        <f>IF($C3648="","",Registro_Compras!$Y$408)</f>
        <v/>
      </c>
      <c r="B3648" t="str">
        <f>IF($C3648="","","C"&amp;TEXT(INT((ROW()-5)/9)+1,"000")&amp;"-4")</f>
        <v/>
      </c>
      <c r="C3648" t="str">
        <f>IF(OR(Registro_Compras!$C$408="",Registro_Compras!$O$408="",Registro_Compras!$Y$408="",Registro_Compras!$F$408="NOTA DE CREDITO"),"","4212")</f>
        <v/>
      </c>
      <c r="D3648" t="str">
        <f>IF(OR(Registro_Compras!$C$408="",Registro_Compras!$O$408=""),"","Cuentas por Pagar Comerciales - Terceros")</f>
        <v/>
      </c>
      <c r="E3648" s="20" t="str">
        <f>IF($C3648="","",IF(Registro_Compras!$F$408="RHE",(ROUND(Registro_Compras!$L$408*Registro_Compras!$N$408,2)-ROUND(Registro_Compras!$V$408*Registro_Compras!$N$408,2)),ROUND(Registro_Compras!$O$408-Registro_Compras!$S$408,2)))</f>
        <v/>
      </c>
      <c r="F3648" s="20" t="str">
        <f>""</f>
        <v/>
      </c>
      <c r="G3648" t="str">
        <f>IF($C3648="","","Por la cancelacion del saldo al proveedor")</f>
        <v/>
      </c>
      <c r="H3648" t="str">
        <f>IF($C3648="","",Registro_Compras!$C$408)</f>
        <v/>
      </c>
    </row>
    <row r="3649" spans="1:8" x14ac:dyDescent="0.25">
      <c r="A3649" s="25" t="str">
        <f>IF($C3649="","",Registro_Compras!$Y$408)</f>
        <v/>
      </c>
      <c r="B3649" t="str">
        <f>IF($C3649="","","C"&amp;TEXT(INT((ROW()-5)/9)+1,"000")&amp;"-4")</f>
        <v/>
      </c>
      <c r="C3649" t="str">
        <f>IF(OR(Registro_Compras!$C$408="",Registro_Compras!$O$408="",Registro_Compras!$Y$408="",Registro_Compras!$F$408="NOTA DE CREDITO"),"","1041")</f>
        <v/>
      </c>
      <c r="D3649" t="str">
        <f>IF(OR(Registro_Compras!$C$408="",Registro_Compras!$O$408=""),"","Efectivo y Equivalentes - Cta. Cte. Operativa")</f>
        <v/>
      </c>
      <c r="E3649" s="20" t="str">
        <f>""</f>
        <v/>
      </c>
      <c r="F3649" s="20" t="str">
        <f>IF($C3649="","",IF(Registro_Compras!$F$408="RHE",(ROUND(Registro_Compras!$L$408*Registro_Compras!$N$408,2)-ROUND(Registro_Compras!$V$408*Registro_Compras!$N$408,2)),ROUND(Registro_Compras!$O$408-Registro_Compras!$S$408,2)))</f>
        <v/>
      </c>
      <c r="G3649" t="str">
        <f>IF($C3649="","","Por la cancelacion del saldo al proveedor")</f>
        <v/>
      </c>
      <c r="H3649" t="str">
        <f>IF($C3649="","",Registro_Compras!$C$408)</f>
        <v/>
      </c>
    </row>
    <row r="3650" spans="1:8" x14ac:dyDescent="0.25">
      <c r="A3650" s="25" t="str">
        <f>IF($C3650="","",Registro_Compras!$B$409)</f>
        <v/>
      </c>
      <c r="B3650" t="str">
        <f>IF($C3650="","","C"&amp;TEXT(INT((ROW()-5)/9)+1,"000")&amp;"-1")</f>
        <v/>
      </c>
      <c r="C3650" t="str">
        <f>IF(OR(Registro_Compras!$C$409="",Registro_Compras!$O$409=""),"",IF(Registro_Compras!$F$409="NOTA DE CREDITO","4212",IF(Registro_Compras!$M$409="","63",Registro_Compras!$M$409)))</f>
        <v/>
      </c>
      <c r="D3650" t="str">
        <f>IF(OR(Registro_Compras!$C$409="",Registro_Compras!$O$409=""),"",IF(Registro_Compras!$F$409="NOTA DE CREDITO","Cuentas por Pagar Comerciales - Terceros (Emitidas)",IF(Registro_Compras!$F$409="RHE","Honorarios Profesionales - Servicios de Terceros","Gastos de Servicios Prestados por Terceros")))</f>
        <v/>
      </c>
      <c r="E3650" s="20" t="str">
        <f>IF($C3650="","",IF(Registro_Compras!$F$409="NOTA DE CREDITO",ABS(Registro_Compras!$O$409),IF(Registro_Compras!$F$409="RHE",ROUND(Registro_Compras!$L$409*Registro_Compras!$N$409,2),ROUND(Registro_Compras!$J$409*Registro_Compras!$N$409,2))))</f>
        <v/>
      </c>
      <c r="F3650" s="20" t="str">
        <f>""</f>
        <v/>
      </c>
      <c r="G3650" t="str">
        <f>IF($C3650="","",IF(Registro_Compras!$F$409="NOTA DE CREDITO","Por la nota de credito "&amp;Registro_Compras!$C$409&amp;" de "&amp;Registro_Compras!$E$409&amp;" [PATRON POR CONFIRMAR CON CONTADOR]",IF(Registro_Compras!$F$409="RHE","Por el registro del recibo por honorarios "&amp;Registro_Compras!$C$409&amp;" de "&amp;Registro_Compras!$E$409&amp;" [PATRON POR CONFIRMAR CON CONTADOR]","Por el registro de la factura "&amp;Registro_Compras!$C$409&amp;" de "&amp;Registro_Compras!$E$409)))</f>
        <v/>
      </c>
      <c r="H3650" t="str">
        <f>IF($C3650="","",Registro_Compras!$C$409)</f>
        <v/>
      </c>
    </row>
    <row r="3651" spans="1:8" x14ac:dyDescent="0.25">
      <c r="A3651" s="25" t="str">
        <f>IF($C3651="","",Registro_Compras!$B$409)</f>
        <v/>
      </c>
      <c r="B3651" t="str">
        <f>IF($C3651="","","C"&amp;TEXT(INT((ROW()-5)/9)+1,"000")&amp;"-1")</f>
        <v/>
      </c>
      <c r="C3651" t="str">
        <f>IF(OR(Registro_Compras!$C$409="",Registro_Compras!$O$409=""),"",IF(Registro_Compras!$F$409="RHE",IF(Registro_Compras!$V$409=0,"","4017"),IF(Registro_Compras!$F$409="NOTA DE CREDITO",IF(Registro_Compras!$M$409="","63",Registro_Compras!$M$409),IF(Registro_Compras!$K$409=0,"","40111"))))</f>
        <v/>
      </c>
      <c r="D3651" t="str">
        <f>IF(OR(Registro_Compras!$C$409="",Registro_Compras!$O$409=""),"",IF(Registro_Compras!$F$409="RHE","Retencion Renta 4ta Categoria por Pagar",IF(Registro_Compras!$F$409="NOTA DE CREDITO","Gastos de Servicios Prestados por Terceros","IGV - Cuenta Propia (Credito Fiscal)")))</f>
        <v/>
      </c>
      <c r="E3651" s="20" t="str">
        <f>IF($C3651="","",IF(Registro_Compras!$F$409="FACTURA",ROUND(Registro_Compras!$K$409*Registro_Compras!$N$409,2),""))</f>
        <v/>
      </c>
      <c r="F3651" s="20" t="str">
        <f>IF($C3651="","",IF(Registro_Compras!$F$409="RHE",ROUND(Registro_Compras!$V$409*Registro_Compras!$N$409,2),IF(Registro_Compras!$F$409="NOTA DE CREDITO",ROUND(ABS(Registro_Compras!$J$409*Registro_Compras!$N$409),2),"")))</f>
        <v/>
      </c>
      <c r="G3651" t="str">
        <f>IF($C3651="","",IF(Registro_Compras!$F$409="NOTA DE CREDITO","Por la nota de credito "&amp;Registro_Compras!$C$409&amp;" de "&amp;Registro_Compras!$E$409&amp;" [PATRON POR CONFIRMAR CON CONTADOR]",IF(Registro_Compras!$F$409="RHE","Por el registro del recibo por honorarios "&amp;Registro_Compras!$C$409&amp;" de "&amp;Registro_Compras!$E$409&amp;" [PATRON POR CONFIRMAR CON CONTADOR]","Por el registro de la factura "&amp;Registro_Compras!$C$409&amp;" de "&amp;Registro_Compras!$E$409)))</f>
        <v/>
      </c>
      <c r="H3651" t="str">
        <f>IF($C3651="","",Registro_Compras!$C$409)</f>
        <v/>
      </c>
    </row>
    <row r="3652" spans="1:8" x14ac:dyDescent="0.25">
      <c r="A3652" s="25" t="str">
        <f>IF($C3652="","",Registro_Compras!$B$409)</f>
        <v/>
      </c>
      <c r="B3652" t="str">
        <f>IF($C3652="","","C"&amp;TEXT(INT((ROW()-5)/9)+1,"000")&amp;"-1")</f>
        <v/>
      </c>
      <c r="C3652" t="str">
        <f>IF(OR(Registro_Compras!$C$409="",Registro_Compras!$O$409=""),"",IF(Registro_Compras!$F$409="NOTA DE CREDITO",IF(Registro_Compras!$K$409=0,"","40111"),"4212"))</f>
        <v/>
      </c>
      <c r="D3652" t="str">
        <f>IF(OR(Registro_Compras!$C$409="",Registro_Compras!$O$409=""),"",IF(Registro_Compras!$F$409="NOTA DE CREDITO","IGV - Cuenta Propia (Credito Fiscal)","Cuentas por Pagar Comerciales - Terceros (Emitidas)"))</f>
        <v/>
      </c>
      <c r="E3652" s="20" t="str">
        <f>""</f>
        <v/>
      </c>
      <c r="F3652" s="20" t="str">
        <f>IF($C3652="","",IF(Registro_Compras!$F$409="NOTA DE CREDITO",ROUND(ABS(Registro_Compras!$K$409*Registro_Compras!$N$409),2),IF(Registro_Compras!$F$409="RHE",(ROUND(Registro_Compras!$L$409*Registro_Compras!$N$409,2)-ROUND(Registro_Compras!$V$409*Registro_Compras!$N$409,2)),Registro_Compras!$O$409)))</f>
        <v/>
      </c>
      <c r="G3652" t="str">
        <f>IF($C3652="","",IF(Registro_Compras!$F$409="NOTA DE CREDITO","Por la nota de credito "&amp;Registro_Compras!$C$409&amp;" de "&amp;Registro_Compras!$E$409&amp;" [PATRON POR CONFIRMAR CON CONTADOR]",IF(Registro_Compras!$F$409="RHE","Por el registro del recibo por honorarios "&amp;Registro_Compras!$C$409&amp;" de "&amp;Registro_Compras!$E$409&amp;" [PATRON POR CONFIRMAR CON CONTADOR]","Por el registro de la factura "&amp;Registro_Compras!$C$409&amp;" de "&amp;Registro_Compras!$E$409)))</f>
        <v/>
      </c>
      <c r="H3652" t="str">
        <f>IF($C3652="","",Registro_Compras!$C$409)</f>
        <v/>
      </c>
    </row>
    <row r="3653" spans="1:8" x14ac:dyDescent="0.25">
      <c r="A3653" s="25" t="str">
        <f>IF($C3653="","",Registro_Compras!$B$409)</f>
        <v/>
      </c>
      <c r="B3653" t="str">
        <f>IF($C3653="","","C"&amp;TEXT(INT((ROW()-5)/9)+1,"000")&amp;"-2")</f>
        <v/>
      </c>
      <c r="C3653" t="str">
        <f>IF(OR(Registro_Compras!$C$409="",Registro_Compras!$O$409=""),"",IF(Registro_Compras!$AB$409="ADMINISTRATIVO","94","95"))</f>
        <v/>
      </c>
      <c r="D3653" t="str">
        <f>IF(OR(Registro_Compras!$C$409="",Registro_Compras!$O$409=""),"",IF(Registro_Compras!$AB$409="ADMINISTRATIVO","Gastos Administrativos","Gastos de Venta y Operacion"))</f>
        <v/>
      </c>
      <c r="E3653" s="20" t="str">
        <f>IF($C3653="","",IF(Registro_Compras!$F$409="NOTA DE CREDITO","",IF(Registro_Compras!$F$409="RHE",ROUND(Registro_Compras!$L$409*Registro_Compras!$N$409,2),ROUND(Registro_Compras!$J$409*Registro_Compras!$N$409,2))))</f>
        <v/>
      </c>
      <c r="F3653" s="20" t="str">
        <f>IF($C3653="","",IF(Registro_Compras!$F$409="NOTA DE CREDITO",ROUND(ABS(Registro_Compras!$J$409*Registro_Compras!$N$409),2),""))</f>
        <v/>
      </c>
      <c r="G3653" t="str">
        <f>IF($C3653="","","Por el destino del gasto")</f>
        <v/>
      </c>
      <c r="H3653" t="str">
        <f>IF($C3653="","",Registro_Compras!$C$409)</f>
        <v/>
      </c>
    </row>
    <row r="3654" spans="1:8" x14ac:dyDescent="0.25">
      <c r="A3654" s="25" t="str">
        <f>IF($C3654="","",Registro_Compras!$B$409)</f>
        <v/>
      </c>
      <c r="B3654" t="str">
        <f>IF($C3654="","","C"&amp;TEXT(INT((ROW()-5)/9)+1,"000")&amp;"-2")</f>
        <v/>
      </c>
      <c r="C3654" t="str">
        <f>IF(OR(Registro_Compras!$C$409="",Registro_Compras!$O$409=""),"","79/791")</f>
        <v/>
      </c>
      <c r="D3654" t="str">
        <f>IF(OR(Registro_Compras!$C$409="",Registro_Compras!$O$409=""),"","Cargas Imputables a Cuentas de Costos y Gastos")</f>
        <v/>
      </c>
      <c r="E3654" s="20" t="str">
        <f>IF($C3654="","",IF(Registro_Compras!$F$409="NOTA DE CREDITO",ROUND(ABS(Registro_Compras!$J$409*Registro_Compras!$N$409),2),""))</f>
        <v/>
      </c>
      <c r="F3654" s="20" t="str">
        <f>IF($C3654="","",IF(Registro_Compras!$F$409="NOTA DE CREDITO","",IF(Registro_Compras!$F$409="RHE",ROUND(Registro_Compras!$L$409*Registro_Compras!$N$409,2),ROUND(Registro_Compras!$J$409*Registro_Compras!$N$409,2))))</f>
        <v/>
      </c>
      <c r="G3654" t="str">
        <f>IF($C3654="","","Por el destino del gasto")</f>
        <v/>
      </c>
      <c r="H3654" t="str">
        <f>IF($C3654="","",Registro_Compras!$C$409)</f>
        <v/>
      </c>
    </row>
    <row r="3655" spans="1:8" x14ac:dyDescent="0.25">
      <c r="A3655" s="25" t="str">
        <f>IF($C3655="","",Registro_Compras!$X$409)</f>
        <v/>
      </c>
      <c r="B3655" t="str">
        <f>IF($C3655="","","C"&amp;TEXT(INT((ROW()-5)/9)+1,"000")&amp;"-3")</f>
        <v/>
      </c>
      <c r="C3655" t="str">
        <f>IF(OR(Registro_Compras!$C$409="",Registro_Compras!$O$409="",Registro_Compras!$R$409&lt;&gt;"SI",Registro_Compras!$X$409=""),"","4212")</f>
        <v/>
      </c>
      <c r="D3655" t="str">
        <f>IF(OR(Registro_Compras!$C$409="",Registro_Compras!$O$409=""),"","Cuentas por Pagar Comerciales - Terceros")</f>
        <v/>
      </c>
      <c r="E3655" s="20" t="str">
        <f>IF($C3655="","",Registro_Compras!$S$409)</f>
        <v/>
      </c>
      <c r="F3655" s="20" t="str">
        <f>""</f>
        <v/>
      </c>
      <c r="G3655" t="str">
        <f>IF($C3655="","","Por el deposito de la detraccion en el Banco de la Nacion")</f>
        <v/>
      </c>
      <c r="H3655" t="str">
        <f>IF($C3655="","",Registro_Compras!$C$409)</f>
        <v/>
      </c>
    </row>
    <row r="3656" spans="1:8" x14ac:dyDescent="0.25">
      <c r="A3656" s="25" t="str">
        <f>IF($C3656="","",Registro_Compras!$X$409)</f>
        <v/>
      </c>
      <c r="B3656" t="str">
        <f>IF($C3656="","","C"&amp;TEXT(INT((ROW()-5)/9)+1,"000")&amp;"-3")</f>
        <v/>
      </c>
      <c r="C3656" t="str">
        <f>IF(OR(Registro_Compras!$C$409="",Registro_Compras!$O$409="",Registro_Compras!$R$409&lt;&gt;"SI",Registro_Compras!$X$409=""),"","1041")</f>
        <v/>
      </c>
      <c r="D3656" t="str">
        <f>IF(OR(Registro_Compras!$C$409="",Registro_Compras!$O$409=""),"","Efectivo y Equivalentes - Cta. Cte. Operativa")</f>
        <v/>
      </c>
      <c r="E3656" s="20" t="str">
        <f>""</f>
        <v/>
      </c>
      <c r="F3656" s="20" t="str">
        <f>IF($C3656="","",Registro_Compras!$S$409)</f>
        <v/>
      </c>
      <c r="G3656" t="str">
        <f>IF($C3656="","","Por el deposito de la detraccion en el Banco de la Nacion")</f>
        <v/>
      </c>
      <c r="H3656" t="str">
        <f>IF($C3656="","",Registro_Compras!$C$409)</f>
        <v/>
      </c>
    </row>
    <row r="3657" spans="1:8" x14ac:dyDescent="0.25">
      <c r="A3657" s="25" t="str">
        <f>IF($C3657="","",Registro_Compras!$Y$409)</f>
        <v/>
      </c>
      <c r="B3657" t="str">
        <f>IF($C3657="","","C"&amp;TEXT(INT((ROW()-5)/9)+1,"000")&amp;"-4")</f>
        <v/>
      </c>
      <c r="C3657" t="str">
        <f>IF(OR(Registro_Compras!$C$409="",Registro_Compras!$O$409="",Registro_Compras!$Y$409="",Registro_Compras!$F$409="NOTA DE CREDITO"),"","4212")</f>
        <v/>
      </c>
      <c r="D3657" t="str">
        <f>IF(OR(Registro_Compras!$C$409="",Registro_Compras!$O$409=""),"","Cuentas por Pagar Comerciales - Terceros")</f>
        <v/>
      </c>
      <c r="E3657" s="20" t="str">
        <f>IF($C3657="","",IF(Registro_Compras!$F$409="RHE",(ROUND(Registro_Compras!$L$409*Registro_Compras!$N$409,2)-ROUND(Registro_Compras!$V$409*Registro_Compras!$N$409,2)),ROUND(Registro_Compras!$O$409-Registro_Compras!$S$409,2)))</f>
        <v/>
      </c>
      <c r="F3657" s="20" t="str">
        <f>""</f>
        <v/>
      </c>
      <c r="G3657" t="str">
        <f>IF($C3657="","","Por la cancelacion del saldo al proveedor")</f>
        <v/>
      </c>
      <c r="H3657" t="str">
        <f>IF($C3657="","",Registro_Compras!$C$409)</f>
        <v/>
      </c>
    </row>
    <row r="3658" spans="1:8" x14ac:dyDescent="0.25">
      <c r="A3658" s="25" t="str">
        <f>IF($C3658="","",Registro_Compras!$Y$409)</f>
        <v/>
      </c>
      <c r="B3658" t="str">
        <f>IF($C3658="","","C"&amp;TEXT(INT((ROW()-5)/9)+1,"000")&amp;"-4")</f>
        <v/>
      </c>
      <c r="C3658" t="str">
        <f>IF(OR(Registro_Compras!$C$409="",Registro_Compras!$O$409="",Registro_Compras!$Y$409="",Registro_Compras!$F$409="NOTA DE CREDITO"),"","1041")</f>
        <v/>
      </c>
      <c r="D3658" t="str">
        <f>IF(OR(Registro_Compras!$C$409="",Registro_Compras!$O$409=""),"","Efectivo y Equivalentes - Cta. Cte. Operativa")</f>
        <v/>
      </c>
      <c r="E3658" s="20" t="str">
        <f>""</f>
        <v/>
      </c>
      <c r="F3658" s="20" t="str">
        <f>IF($C3658="","",IF(Registro_Compras!$F$409="RHE",(ROUND(Registro_Compras!$L$409*Registro_Compras!$N$409,2)-ROUND(Registro_Compras!$V$409*Registro_Compras!$N$409,2)),ROUND(Registro_Compras!$O$409-Registro_Compras!$S$409,2)))</f>
        <v/>
      </c>
      <c r="G3658" t="str">
        <f>IF($C3658="","","Por la cancelacion del saldo al proveedor")</f>
        <v/>
      </c>
      <c r="H3658" t="str">
        <f>IF($C3658="","",Registro_Compras!$C$409)</f>
        <v/>
      </c>
    </row>
    <row r="3659" spans="1:8" x14ac:dyDescent="0.25">
      <c r="A3659" s="25" t="str">
        <f>IF($C3659="","",Registro_Compras!$B$410)</f>
        <v/>
      </c>
      <c r="B3659" t="str">
        <f>IF($C3659="","","C"&amp;TEXT(INT((ROW()-5)/9)+1,"000")&amp;"-1")</f>
        <v/>
      </c>
      <c r="C3659" t="str">
        <f>IF(OR(Registro_Compras!$C$410="",Registro_Compras!$O$410=""),"",IF(Registro_Compras!$F$410="NOTA DE CREDITO","4212",IF(Registro_Compras!$M$410="","63",Registro_Compras!$M$410)))</f>
        <v/>
      </c>
      <c r="D3659" t="str">
        <f>IF(OR(Registro_Compras!$C$410="",Registro_Compras!$O$410=""),"",IF(Registro_Compras!$F$410="NOTA DE CREDITO","Cuentas por Pagar Comerciales - Terceros (Emitidas)",IF(Registro_Compras!$F$410="RHE","Honorarios Profesionales - Servicios de Terceros","Gastos de Servicios Prestados por Terceros")))</f>
        <v/>
      </c>
      <c r="E3659" s="20" t="str">
        <f>IF($C3659="","",IF(Registro_Compras!$F$410="NOTA DE CREDITO",ABS(Registro_Compras!$O$410),IF(Registro_Compras!$F$410="RHE",ROUND(Registro_Compras!$L$410*Registro_Compras!$N$410,2),ROUND(Registro_Compras!$J$410*Registro_Compras!$N$410,2))))</f>
        <v/>
      </c>
      <c r="F3659" s="20" t="str">
        <f>""</f>
        <v/>
      </c>
      <c r="G3659" t="str">
        <f>IF($C3659="","",IF(Registro_Compras!$F$410="NOTA DE CREDITO","Por la nota de credito "&amp;Registro_Compras!$C$410&amp;" de "&amp;Registro_Compras!$E$410&amp;" [PATRON POR CONFIRMAR CON CONTADOR]",IF(Registro_Compras!$F$410="RHE","Por el registro del recibo por honorarios "&amp;Registro_Compras!$C$410&amp;" de "&amp;Registro_Compras!$E$410&amp;" [PATRON POR CONFIRMAR CON CONTADOR]","Por el registro de la factura "&amp;Registro_Compras!$C$410&amp;" de "&amp;Registro_Compras!$E$410)))</f>
        <v/>
      </c>
      <c r="H3659" t="str">
        <f>IF($C3659="","",Registro_Compras!$C$410)</f>
        <v/>
      </c>
    </row>
    <row r="3660" spans="1:8" x14ac:dyDescent="0.25">
      <c r="A3660" s="25" t="str">
        <f>IF($C3660="","",Registro_Compras!$B$410)</f>
        <v/>
      </c>
      <c r="B3660" t="str">
        <f>IF($C3660="","","C"&amp;TEXT(INT((ROW()-5)/9)+1,"000")&amp;"-1")</f>
        <v/>
      </c>
      <c r="C3660" t="str">
        <f>IF(OR(Registro_Compras!$C$410="",Registro_Compras!$O$410=""),"",IF(Registro_Compras!$F$410="RHE",IF(Registro_Compras!$V$410=0,"","4017"),IF(Registro_Compras!$F$410="NOTA DE CREDITO",IF(Registro_Compras!$M$410="","63",Registro_Compras!$M$410),IF(Registro_Compras!$K$410=0,"","40111"))))</f>
        <v/>
      </c>
      <c r="D3660" t="str">
        <f>IF(OR(Registro_Compras!$C$410="",Registro_Compras!$O$410=""),"",IF(Registro_Compras!$F$410="RHE","Retencion Renta 4ta Categoria por Pagar",IF(Registro_Compras!$F$410="NOTA DE CREDITO","Gastos de Servicios Prestados por Terceros","IGV - Cuenta Propia (Credito Fiscal)")))</f>
        <v/>
      </c>
      <c r="E3660" s="20" t="str">
        <f>IF($C3660="","",IF(Registro_Compras!$F$410="FACTURA",ROUND(Registro_Compras!$K$410*Registro_Compras!$N$410,2),""))</f>
        <v/>
      </c>
      <c r="F3660" s="20" t="str">
        <f>IF($C3660="","",IF(Registro_Compras!$F$410="RHE",ROUND(Registro_Compras!$V$410*Registro_Compras!$N$410,2),IF(Registro_Compras!$F$410="NOTA DE CREDITO",ROUND(ABS(Registro_Compras!$J$410*Registro_Compras!$N$410),2),"")))</f>
        <v/>
      </c>
      <c r="G3660" t="str">
        <f>IF($C3660="","",IF(Registro_Compras!$F$410="NOTA DE CREDITO","Por la nota de credito "&amp;Registro_Compras!$C$410&amp;" de "&amp;Registro_Compras!$E$410&amp;" [PATRON POR CONFIRMAR CON CONTADOR]",IF(Registro_Compras!$F$410="RHE","Por el registro del recibo por honorarios "&amp;Registro_Compras!$C$410&amp;" de "&amp;Registro_Compras!$E$410&amp;" [PATRON POR CONFIRMAR CON CONTADOR]","Por el registro de la factura "&amp;Registro_Compras!$C$410&amp;" de "&amp;Registro_Compras!$E$410)))</f>
        <v/>
      </c>
      <c r="H3660" t="str">
        <f>IF($C3660="","",Registro_Compras!$C$410)</f>
        <v/>
      </c>
    </row>
    <row r="3661" spans="1:8" x14ac:dyDescent="0.25">
      <c r="A3661" s="25" t="str">
        <f>IF($C3661="","",Registro_Compras!$B$410)</f>
        <v/>
      </c>
      <c r="B3661" t="str">
        <f>IF($C3661="","","C"&amp;TEXT(INT((ROW()-5)/9)+1,"000")&amp;"-1")</f>
        <v/>
      </c>
      <c r="C3661" t="str">
        <f>IF(OR(Registro_Compras!$C$410="",Registro_Compras!$O$410=""),"",IF(Registro_Compras!$F$410="NOTA DE CREDITO",IF(Registro_Compras!$K$410=0,"","40111"),"4212"))</f>
        <v/>
      </c>
      <c r="D3661" t="str">
        <f>IF(OR(Registro_Compras!$C$410="",Registro_Compras!$O$410=""),"",IF(Registro_Compras!$F$410="NOTA DE CREDITO","IGV - Cuenta Propia (Credito Fiscal)","Cuentas por Pagar Comerciales - Terceros (Emitidas)"))</f>
        <v/>
      </c>
      <c r="E3661" s="20" t="str">
        <f>""</f>
        <v/>
      </c>
      <c r="F3661" s="20" t="str">
        <f>IF($C3661="","",IF(Registro_Compras!$F$410="NOTA DE CREDITO",ROUND(ABS(Registro_Compras!$K$410*Registro_Compras!$N$410),2),IF(Registro_Compras!$F$410="RHE",(ROUND(Registro_Compras!$L$410*Registro_Compras!$N$410,2)-ROUND(Registro_Compras!$V$410*Registro_Compras!$N$410,2)),Registro_Compras!$O$410)))</f>
        <v/>
      </c>
      <c r="G3661" t="str">
        <f>IF($C3661="","",IF(Registro_Compras!$F$410="NOTA DE CREDITO","Por la nota de credito "&amp;Registro_Compras!$C$410&amp;" de "&amp;Registro_Compras!$E$410&amp;" [PATRON POR CONFIRMAR CON CONTADOR]",IF(Registro_Compras!$F$410="RHE","Por el registro del recibo por honorarios "&amp;Registro_Compras!$C$410&amp;" de "&amp;Registro_Compras!$E$410&amp;" [PATRON POR CONFIRMAR CON CONTADOR]","Por el registro de la factura "&amp;Registro_Compras!$C$410&amp;" de "&amp;Registro_Compras!$E$410)))</f>
        <v/>
      </c>
      <c r="H3661" t="str">
        <f>IF($C3661="","",Registro_Compras!$C$410)</f>
        <v/>
      </c>
    </row>
    <row r="3662" spans="1:8" x14ac:dyDescent="0.25">
      <c r="A3662" s="25" t="str">
        <f>IF($C3662="","",Registro_Compras!$B$410)</f>
        <v/>
      </c>
      <c r="B3662" t="str">
        <f>IF($C3662="","","C"&amp;TEXT(INT((ROW()-5)/9)+1,"000")&amp;"-2")</f>
        <v/>
      </c>
      <c r="C3662" t="str">
        <f>IF(OR(Registro_Compras!$C$410="",Registro_Compras!$O$410=""),"",IF(Registro_Compras!$AB$410="ADMINISTRATIVO","94","95"))</f>
        <v/>
      </c>
      <c r="D3662" t="str">
        <f>IF(OR(Registro_Compras!$C$410="",Registro_Compras!$O$410=""),"",IF(Registro_Compras!$AB$410="ADMINISTRATIVO","Gastos Administrativos","Gastos de Venta y Operacion"))</f>
        <v/>
      </c>
      <c r="E3662" s="20" t="str">
        <f>IF($C3662="","",IF(Registro_Compras!$F$410="NOTA DE CREDITO","",IF(Registro_Compras!$F$410="RHE",ROUND(Registro_Compras!$L$410*Registro_Compras!$N$410,2),ROUND(Registro_Compras!$J$410*Registro_Compras!$N$410,2))))</f>
        <v/>
      </c>
      <c r="F3662" s="20" t="str">
        <f>IF($C3662="","",IF(Registro_Compras!$F$410="NOTA DE CREDITO",ROUND(ABS(Registro_Compras!$J$410*Registro_Compras!$N$410),2),""))</f>
        <v/>
      </c>
      <c r="G3662" t="str">
        <f>IF($C3662="","","Por el destino del gasto")</f>
        <v/>
      </c>
      <c r="H3662" t="str">
        <f>IF($C3662="","",Registro_Compras!$C$410)</f>
        <v/>
      </c>
    </row>
    <row r="3663" spans="1:8" x14ac:dyDescent="0.25">
      <c r="A3663" s="25" t="str">
        <f>IF($C3663="","",Registro_Compras!$B$410)</f>
        <v/>
      </c>
      <c r="B3663" t="str">
        <f>IF($C3663="","","C"&amp;TEXT(INT((ROW()-5)/9)+1,"000")&amp;"-2")</f>
        <v/>
      </c>
      <c r="C3663" t="str">
        <f>IF(OR(Registro_Compras!$C$410="",Registro_Compras!$O$410=""),"","79/791")</f>
        <v/>
      </c>
      <c r="D3663" t="str">
        <f>IF(OR(Registro_Compras!$C$410="",Registro_Compras!$O$410=""),"","Cargas Imputables a Cuentas de Costos y Gastos")</f>
        <v/>
      </c>
      <c r="E3663" s="20" t="str">
        <f>IF($C3663="","",IF(Registro_Compras!$F$410="NOTA DE CREDITO",ROUND(ABS(Registro_Compras!$J$410*Registro_Compras!$N$410),2),""))</f>
        <v/>
      </c>
      <c r="F3663" s="20" t="str">
        <f>IF($C3663="","",IF(Registro_Compras!$F$410="NOTA DE CREDITO","",IF(Registro_Compras!$F$410="RHE",ROUND(Registro_Compras!$L$410*Registro_Compras!$N$410,2),ROUND(Registro_Compras!$J$410*Registro_Compras!$N$410,2))))</f>
        <v/>
      </c>
      <c r="G3663" t="str">
        <f>IF($C3663="","","Por el destino del gasto")</f>
        <v/>
      </c>
      <c r="H3663" t="str">
        <f>IF($C3663="","",Registro_Compras!$C$410)</f>
        <v/>
      </c>
    </row>
    <row r="3664" spans="1:8" x14ac:dyDescent="0.25">
      <c r="A3664" s="25" t="str">
        <f>IF($C3664="","",Registro_Compras!$X$410)</f>
        <v/>
      </c>
      <c r="B3664" t="str">
        <f>IF($C3664="","","C"&amp;TEXT(INT((ROW()-5)/9)+1,"000")&amp;"-3")</f>
        <v/>
      </c>
      <c r="C3664" t="str">
        <f>IF(OR(Registro_Compras!$C$410="",Registro_Compras!$O$410="",Registro_Compras!$R$410&lt;&gt;"SI",Registro_Compras!$X$410=""),"","4212")</f>
        <v/>
      </c>
      <c r="D3664" t="str">
        <f>IF(OR(Registro_Compras!$C$410="",Registro_Compras!$O$410=""),"","Cuentas por Pagar Comerciales - Terceros")</f>
        <v/>
      </c>
      <c r="E3664" s="20" t="str">
        <f>IF($C3664="","",Registro_Compras!$S$410)</f>
        <v/>
      </c>
      <c r="F3664" s="20" t="str">
        <f>""</f>
        <v/>
      </c>
      <c r="G3664" t="str">
        <f>IF($C3664="","","Por el deposito de la detraccion en el Banco de la Nacion")</f>
        <v/>
      </c>
      <c r="H3664" t="str">
        <f>IF($C3664="","",Registro_Compras!$C$410)</f>
        <v/>
      </c>
    </row>
    <row r="3665" spans="1:8" x14ac:dyDescent="0.25">
      <c r="A3665" s="25" t="str">
        <f>IF($C3665="","",Registro_Compras!$X$410)</f>
        <v/>
      </c>
      <c r="B3665" t="str">
        <f>IF($C3665="","","C"&amp;TEXT(INT((ROW()-5)/9)+1,"000")&amp;"-3")</f>
        <v/>
      </c>
      <c r="C3665" t="str">
        <f>IF(OR(Registro_Compras!$C$410="",Registro_Compras!$O$410="",Registro_Compras!$R$410&lt;&gt;"SI",Registro_Compras!$X$410=""),"","1041")</f>
        <v/>
      </c>
      <c r="D3665" t="str">
        <f>IF(OR(Registro_Compras!$C$410="",Registro_Compras!$O$410=""),"","Efectivo y Equivalentes - Cta. Cte. Operativa")</f>
        <v/>
      </c>
      <c r="E3665" s="20" t="str">
        <f>""</f>
        <v/>
      </c>
      <c r="F3665" s="20" t="str">
        <f>IF($C3665="","",Registro_Compras!$S$410)</f>
        <v/>
      </c>
      <c r="G3665" t="str">
        <f>IF($C3665="","","Por el deposito de la detraccion en el Banco de la Nacion")</f>
        <v/>
      </c>
      <c r="H3665" t="str">
        <f>IF($C3665="","",Registro_Compras!$C$410)</f>
        <v/>
      </c>
    </row>
    <row r="3666" spans="1:8" x14ac:dyDescent="0.25">
      <c r="A3666" s="25" t="str">
        <f>IF($C3666="","",Registro_Compras!$Y$410)</f>
        <v/>
      </c>
      <c r="B3666" t="str">
        <f>IF($C3666="","","C"&amp;TEXT(INT((ROW()-5)/9)+1,"000")&amp;"-4")</f>
        <v/>
      </c>
      <c r="C3666" t="str">
        <f>IF(OR(Registro_Compras!$C$410="",Registro_Compras!$O$410="",Registro_Compras!$Y$410="",Registro_Compras!$F$410="NOTA DE CREDITO"),"","4212")</f>
        <v/>
      </c>
      <c r="D3666" t="str">
        <f>IF(OR(Registro_Compras!$C$410="",Registro_Compras!$O$410=""),"","Cuentas por Pagar Comerciales - Terceros")</f>
        <v/>
      </c>
      <c r="E3666" s="20" t="str">
        <f>IF($C3666="","",IF(Registro_Compras!$F$410="RHE",(ROUND(Registro_Compras!$L$410*Registro_Compras!$N$410,2)-ROUND(Registro_Compras!$V$410*Registro_Compras!$N$410,2)),ROUND(Registro_Compras!$O$410-Registro_Compras!$S$410,2)))</f>
        <v/>
      </c>
      <c r="F3666" s="20" t="str">
        <f>""</f>
        <v/>
      </c>
      <c r="G3666" t="str">
        <f>IF($C3666="","","Por la cancelacion del saldo al proveedor")</f>
        <v/>
      </c>
      <c r="H3666" t="str">
        <f>IF($C3666="","",Registro_Compras!$C$410)</f>
        <v/>
      </c>
    </row>
    <row r="3667" spans="1:8" x14ac:dyDescent="0.25">
      <c r="A3667" s="25" t="str">
        <f>IF($C3667="","",Registro_Compras!$Y$410)</f>
        <v/>
      </c>
      <c r="B3667" t="str">
        <f>IF($C3667="","","C"&amp;TEXT(INT((ROW()-5)/9)+1,"000")&amp;"-4")</f>
        <v/>
      </c>
      <c r="C3667" t="str">
        <f>IF(OR(Registro_Compras!$C$410="",Registro_Compras!$O$410="",Registro_Compras!$Y$410="",Registro_Compras!$F$410="NOTA DE CREDITO"),"","1041")</f>
        <v/>
      </c>
      <c r="D3667" t="str">
        <f>IF(OR(Registro_Compras!$C$410="",Registro_Compras!$O$410=""),"","Efectivo y Equivalentes - Cta. Cte. Operativa")</f>
        <v/>
      </c>
      <c r="E3667" s="20" t="str">
        <f>""</f>
        <v/>
      </c>
      <c r="F3667" s="20" t="str">
        <f>IF($C3667="","",IF(Registro_Compras!$F$410="RHE",(ROUND(Registro_Compras!$L$410*Registro_Compras!$N$410,2)-ROUND(Registro_Compras!$V$410*Registro_Compras!$N$410,2)),ROUND(Registro_Compras!$O$410-Registro_Compras!$S$410,2)))</f>
        <v/>
      </c>
      <c r="G3667" t="str">
        <f>IF($C3667="","","Por la cancelacion del saldo al proveedor")</f>
        <v/>
      </c>
      <c r="H3667" t="str">
        <f>IF($C3667="","",Registro_Compras!$C$410)</f>
        <v/>
      </c>
    </row>
    <row r="3668" spans="1:8" x14ac:dyDescent="0.25">
      <c r="A3668" s="25" t="str">
        <f>IF($C3668="","",Registro_Compras!$B$411)</f>
        <v/>
      </c>
      <c r="B3668" t="str">
        <f>IF($C3668="","","C"&amp;TEXT(INT((ROW()-5)/9)+1,"000")&amp;"-1")</f>
        <v/>
      </c>
      <c r="C3668" t="str">
        <f>IF(OR(Registro_Compras!$C$411="",Registro_Compras!$O$411=""),"",IF(Registro_Compras!$F$411="NOTA DE CREDITO","4212",IF(Registro_Compras!$M$411="","63",Registro_Compras!$M$411)))</f>
        <v/>
      </c>
      <c r="D3668" t="str">
        <f>IF(OR(Registro_Compras!$C$411="",Registro_Compras!$O$411=""),"",IF(Registro_Compras!$F$411="NOTA DE CREDITO","Cuentas por Pagar Comerciales - Terceros (Emitidas)",IF(Registro_Compras!$F$411="RHE","Honorarios Profesionales - Servicios de Terceros","Gastos de Servicios Prestados por Terceros")))</f>
        <v/>
      </c>
      <c r="E3668" s="20" t="str">
        <f>IF($C3668="","",IF(Registro_Compras!$F$411="NOTA DE CREDITO",ABS(Registro_Compras!$O$411),IF(Registro_Compras!$F$411="RHE",ROUND(Registro_Compras!$L$411*Registro_Compras!$N$411,2),ROUND(Registro_Compras!$J$411*Registro_Compras!$N$411,2))))</f>
        <v/>
      </c>
      <c r="F3668" s="20" t="str">
        <f>""</f>
        <v/>
      </c>
      <c r="G3668" t="str">
        <f>IF($C3668="","",IF(Registro_Compras!$F$411="NOTA DE CREDITO","Por la nota de credito "&amp;Registro_Compras!$C$411&amp;" de "&amp;Registro_Compras!$E$411&amp;" [PATRON POR CONFIRMAR CON CONTADOR]",IF(Registro_Compras!$F$411="RHE","Por el registro del recibo por honorarios "&amp;Registro_Compras!$C$411&amp;" de "&amp;Registro_Compras!$E$411&amp;" [PATRON POR CONFIRMAR CON CONTADOR]","Por el registro de la factura "&amp;Registro_Compras!$C$411&amp;" de "&amp;Registro_Compras!$E$411)))</f>
        <v/>
      </c>
      <c r="H3668" t="str">
        <f>IF($C3668="","",Registro_Compras!$C$411)</f>
        <v/>
      </c>
    </row>
    <row r="3669" spans="1:8" x14ac:dyDescent="0.25">
      <c r="A3669" s="25" t="str">
        <f>IF($C3669="","",Registro_Compras!$B$411)</f>
        <v/>
      </c>
      <c r="B3669" t="str">
        <f>IF($C3669="","","C"&amp;TEXT(INT((ROW()-5)/9)+1,"000")&amp;"-1")</f>
        <v/>
      </c>
      <c r="C3669" t="str">
        <f>IF(OR(Registro_Compras!$C$411="",Registro_Compras!$O$411=""),"",IF(Registro_Compras!$F$411="RHE",IF(Registro_Compras!$V$411=0,"","4017"),IF(Registro_Compras!$F$411="NOTA DE CREDITO",IF(Registro_Compras!$M$411="","63",Registro_Compras!$M$411),IF(Registro_Compras!$K$411=0,"","40111"))))</f>
        <v/>
      </c>
      <c r="D3669" t="str">
        <f>IF(OR(Registro_Compras!$C$411="",Registro_Compras!$O$411=""),"",IF(Registro_Compras!$F$411="RHE","Retencion Renta 4ta Categoria por Pagar",IF(Registro_Compras!$F$411="NOTA DE CREDITO","Gastos de Servicios Prestados por Terceros","IGV - Cuenta Propia (Credito Fiscal)")))</f>
        <v/>
      </c>
      <c r="E3669" s="20" t="str">
        <f>IF($C3669="","",IF(Registro_Compras!$F$411="FACTURA",ROUND(Registro_Compras!$K$411*Registro_Compras!$N$411,2),""))</f>
        <v/>
      </c>
      <c r="F3669" s="20" t="str">
        <f>IF($C3669="","",IF(Registro_Compras!$F$411="RHE",ROUND(Registro_Compras!$V$411*Registro_Compras!$N$411,2),IF(Registro_Compras!$F$411="NOTA DE CREDITO",ROUND(ABS(Registro_Compras!$J$411*Registro_Compras!$N$411),2),"")))</f>
        <v/>
      </c>
      <c r="G3669" t="str">
        <f>IF($C3669="","",IF(Registro_Compras!$F$411="NOTA DE CREDITO","Por la nota de credito "&amp;Registro_Compras!$C$411&amp;" de "&amp;Registro_Compras!$E$411&amp;" [PATRON POR CONFIRMAR CON CONTADOR]",IF(Registro_Compras!$F$411="RHE","Por el registro del recibo por honorarios "&amp;Registro_Compras!$C$411&amp;" de "&amp;Registro_Compras!$E$411&amp;" [PATRON POR CONFIRMAR CON CONTADOR]","Por el registro de la factura "&amp;Registro_Compras!$C$411&amp;" de "&amp;Registro_Compras!$E$411)))</f>
        <v/>
      </c>
      <c r="H3669" t="str">
        <f>IF($C3669="","",Registro_Compras!$C$411)</f>
        <v/>
      </c>
    </row>
    <row r="3670" spans="1:8" x14ac:dyDescent="0.25">
      <c r="A3670" s="25" t="str">
        <f>IF($C3670="","",Registro_Compras!$B$411)</f>
        <v/>
      </c>
      <c r="B3670" t="str">
        <f>IF($C3670="","","C"&amp;TEXT(INT((ROW()-5)/9)+1,"000")&amp;"-1")</f>
        <v/>
      </c>
      <c r="C3670" t="str">
        <f>IF(OR(Registro_Compras!$C$411="",Registro_Compras!$O$411=""),"",IF(Registro_Compras!$F$411="NOTA DE CREDITO",IF(Registro_Compras!$K$411=0,"","40111"),"4212"))</f>
        <v/>
      </c>
      <c r="D3670" t="str">
        <f>IF(OR(Registro_Compras!$C$411="",Registro_Compras!$O$411=""),"",IF(Registro_Compras!$F$411="NOTA DE CREDITO","IGV - Cuenta Propia (Credito Fiscal)","Cuentas por Pagar Comerciales - Terceros (Emitidas)"))</f>
        <v/>
      </c>
      <c r="E3670" s="20" t="str">
        <f>""</f>
        <v/>
      </c>
      <c r="F3670" s="20" t="str">
        <f>IF($C3670="","",IF(Registro_Compras!$F$411="NOTA DE CREDITO",ROUND(ABS(Registro_Compras!$K$411*Registro_Compras!$N$411),2),IF(Registro_Compras!$F$411="RHE",(ROUND(Registro_Compras!$L$411*Registro_Compras!$N$411,2)-ROUND(Registro_Compras!$V$411*Registro_Compras!$N$411,2)),Registro_Compras!$O$411)))</f>
        <v/>
      </c>
      <c r="G3670" t="str">
        <f>IF($C3670="","",IF(Registro_Compras!$F$411="NOTA DE CREDITO","Por la nota de credito "&amp;Registro_Compras!$C$411&amp;" de "&amp;Registro_Compras!$E$411&amp;" [PATRON POR CONFIRMAR CON CONTADOR]",IF(Registro_Compras!$F$411="RHE","Por el registro del recibo por honorarios "&amp;Registro_Compras!$C$411&amp;" de "&amp;Registro_Compras!$E$411&amp;" [PATRON POR CONFIRMAR CON CONTADOR]","Por el registro de la factura "&amp;Registro_Compras!$C$411&amp;" de "&amp;Registro_Compras!$E$411)))</f>
        <v/>
      </c>
      <c r="H3670" t="str">
        <f>IF($C3670="","",Registro_Compras!$C$411)</f>
        <v/>
      </c>
    </row>
    <row r="3671" spans="1:8" x14ac:dyDescent="0.25">
      <c r="A3671" s="25" t="str">
        <f>IF($C3671="","",Registro_Compras!$B$411)</f>
        <v/>
      </c>
      <c r="B3671" t="str">
        <f>IF($C3671="","","C"&amp;TEXT(INT((ROW()-5)/9)+1,"000")&amp;"-2")</f>
        <v/>
      </c>
      <c r="C3671" t="str">
        <f>IF(OR(Registro_Compras!$C$411="",Registro_Compras!$O$411=""),"",IF(Registro_Compras!$AB$411="ADMINISTRATIVO","94","95"))</f>
        <v/>
      </c>
      <c r="D3671" t="str">
        <f>IF(OR(Registro_Compras!$C$411="",Registro_Compras!$O$411=""),"",IF(Registro_Compras!$AB$411="ADMINISTRATIVO","Gastos Administrativos","Gastos de Venta y Operacion"))</f>
        <v/>
      </c>
      <c r="E3671" s="20" t="str">
        <f>IF($C3671="","",IF(Registro_Compras!$F$411="NOTA DE CREDITO","",IF(Registro_Compras!$F$411="RHE",ROUND(Registro_Compras!$L$411*Registro_Compras!$N$411,2),ROUND(Registro_Compras!$J$411*Registro_Compras!$N$411,2))))</f>
        <v/>
      </c>
      <c r="F3671" s="20" t="str">
        <f>IF($C3671="","",IF(Registro_Compras!$F$411="NOTA DE CREDITO",ROUND(ABS(Registro_Compras!$J$411*Registro_Compras!$N$411),2),""))</f>
        <v/>
      </c>
      <c r="G3671" t="str">
        <f>IF($C3671="","","Por el destino del gasto")</f>
        <v/>
      </c>
      <c r="H3671" t="str">
        <f>IF($C3671="","",Registro_Compras!$C$411)</f>
        <v/>
      </c>
    </row>
    <row r="3672" spans="1:8" x14ac:dyDescent="0.25">
      <c r="A3672" s="25" t="str">
        <f>IF($C3672="","",Registro_Compras!$B$411)</f>
        <v/>
      </c>
      <c r="B3672" t="str">
        <f>IF($C3672="","","C"&amp;TEXT(INT((ROW()-5)/9)+1,"000")&amp;"-2")</f>
        <v/>
      </c>
      <c r="C3672" t="str">
        <f>IF(OR(Registro_Compras!$C$411="",Registro_Compras!$O$411=""),"","79/791")</f>
        <v/>
      </c>
      <c r="D3672" t="str">
        <f>IF(OR(Registro_Compras!$C$411="",Registro_Compras!$O$411=""),"","Cargas Imputables a Cuentas de Costos y Gastos")</f>
        <v/>
      </c>
      <c r="E3672" s="20" t="str">
        <f>IF($C3672="","",IF(Registro_Compras!$F$411="NOTA DE CREDITO",ROUND(ABS(Registro_Compras!$J$411*Registro_Compras!$N$411),2),""))</f>
        <v/>
      </c>
      <c r="F3672" s="20" t="str">
        <f>IF($C3672="","",IF(Registro_Compras!$F$411="NOTA DE CREDITO","",IF(Registro_Compras!$F$411="RHE",ROUND(Registro_Compras!$L$411*Registro_Compras!$N$411,2),ROUND(Registro_Compras!$J$411*Registro_Compras!$N$411,2))))</f>
        <v/>
      </c>
      <c r="G3672" t="str">
        <f>IF($C3672="","","Por el destino del gasto")</f>
        <v/>
      </c>
      <c r="H3672" t="str">
        <f>IF($C3672="","",Registro_Compras!$C$411)</f>
        <v/>
      </c>
    </row>
    <row r="3673" spans="1:8" x14ac:dyDescent="0.25">
      <c r="A3673" s="25" t="str">
        <f>IF($C3673="","",Registro_Compras!$X$411)</f>
        <v/>
      </c>
      <c r="B3673" t="str">
        <f>IF($C3673="","","C"&amp;TEXT(INT((ROW()-5)/9)+1,"000")&amp;"-3")</f>
        <v/>
      </c>
      <c r="C3673" t="str">
        <f>IF(OR(Registro_Compras!$C$411="",Registro_Compras!$O$411="",Registro_Compras!$R$411&lt;&gt;"SI",Registro_Compras!$X$411=""),"","4212")</f>
        <v/>
      </c>
      <c r="D3673" t="str">
        <f>IF(OR(Registro_Compras!$C$411="",Registro_Compras!$O$411=""),"","Cuentas por Pagar Comerciales - Terceros")</f>
        <v/>
      </c>
      <c r="E3673" s="20" t="str">
        <f>IF($C3673="","",Registro_Compras!$S$411)</f>
        <v/>
      </c>
      <c r="F3673" s="20" t="str">
        <f>""</f>
        <v/>
      </c>
      <c r="G3673" t="str">
        <f>IF($C3673="","","Por el deposito de la detraccion en el Banco de la Nacion")</f>
        <v/>
      </c>
      <c r="H3673" t="str">
        <f>IF($C3673="","",Registro_Compras!$C$411)</f>
        <v/>
      </c>
    </row>
    <row r="3674" spans="1:8" x14ac:dyDescent="0.25">
      <c r="A3674" s="25" t="str">
        <f>IF($C3674="","",Registro_Compras!$X$411)</f>
        <v/>
      </c>
      <c r="B3674" t="str">
        <f>IF($C3674="","","C"&amp;TEXT(INT((ROW()-5)/9)+1,"000")&amp;"-3")</f>
        <v/>
      </c>
      <c r="C3674" t="str">
        <f>IF(OR(Registro_Compras!$C$411="",Registro_Compras!$O$411="",Registro_Compras!$R$411&lt;&gt;"SI",Registro_Compras!$X$411=""),"","1041")</f>
        <v/>
      </c>
      <c r="D3674" t="str">
        <f>IF(OR(Registro_Compras!$C$411="",Registro_Compras!$O$411=""),"","Efectivo y Equivalentes - Cta. Cte. Operativa")</f>
        <v/>
      </c>
      <c r="E3674" s="20" t="str">
        <f>""</f>
        <v/>
      </c>
      <c r="F3674" s="20" t="str">
        <f>IF($C3674="","",Registro_Compras!$S$411)</f>
        <v/>
      </c>
      <c r="G3674" t="str">
        <f>IF($C3674="","","Por el deposito de la detraccion en el Banco de la Nacion")</f>
        <v/>
      </c>
      <c r="H3674" t="str">
        <f>IF($C3674="","",Registro_Compras!$C$411)</f>
        <v/>
      </c>
    </row>
    <row r="3675" spans="1:8" x14ac:dyDescent="0.25">
      <c r="A3675" s="25" t="str">
        <f>IF($C3675="","",Registro_Compras!$Y$411)</f>
        <v/>
      </c>
      <c r="B3675" t="str">
        <f>IF($C3675="","","C"&amp;TEXT(INT((ROW()-5)/9)+1,"000")&amp;"-4")</f>
        <v/>
      </c>
      <c r="C3675" t="str">
        <f>IF(OR(Registro_Compras!$C$411="",Registro_Compras!$O$411="",Registro_Compras!$Y$411="",Registro_Compras!$F$411="NOTA DE CREDITO"),"","4212")</f>
        <v/>
      </c>
      <c r="D3675" t="str">
        <f>IF(OR(Registro_Compras!$C$411="",Registro_Compras!$O$411=""),"","Cuentas por Pagar Comerciales - Terceros")</f>
        <v/>
      </c>
      <c r="E3675" s="20" t="str">
        <f>IF($C3675="","",IF(Registro_Compras!$F$411="RHE",(ROUND(Registro_Compras!$L$411*Registro_Compras!$N$411,2)-ROUND(Registro_Compras!$V$411*Registro_Compras!$N$411,2)),ROUND(Registro_Compras!$O$411-Registro_Compras!$S$411,2)))</f>
        <v/>
      </c>
      <c r="F3675" s="20" t="str">
        <f>""</f>
        <v/>
      </c>
      <c r="G3675" t="str">
        <f>IF($C3675="","","Por la cancelacion del saldo al proveedor")</f>
        <v/>
      </c>
      <c r="H3675" t="str">
        <f>IF($C3675="","",Registro_Compras!$C$411)</f>
        <v/>
      </c>
    </row>
    <row r="3676" spans="1:8" x14ac:dyDescent="0.25">
      <c r="A3676" s="25" t="str">
        <f>IF($C3676="","",Registro_Compras!$Y$411)</f>
        <v/>
      </c>
      <c r="B3676" t="str">
        <f>IF($C3676="","","C"&amp;TEXT(INT((ROW()-5)/9)+1,"000")&amp;"-4")</f>
        <v/>
      </c>
      <c r="C3676" t="str">
        <f>IF(OR(Registro_Compras!$C$411="",Registro_Compras!$O$411="",Registro_Compras!$Y$411="",Registro_Compras!$F$411="NOTA DE CREDITO"),"","1041")</f>
        <v/>
      </c>
      <c r="D3676" t="str">
        <f>IF(OR(Registro_Compras!$C$411="",Registro_Compras!$O$411=""),"","Efectivo y Equivalentes - Cta. Cte. Operativa")</f>
        <v/>
      </c>
      <c r="E3676" s="20" t="str">
        <f>""</f>
        <v/>
      </c>
      <c r="F3676" s="20" t="str">
        <f>IF($C3676="","",IF(Registro_Compras!$F$411="RHE",(ROUND(Registro_Compras!$L$411*Registro_Compras!$N$411,2)-ROUND(Registro_Compras!$V$411*Registro_Compras!$N$411,2)),ROUND(Registro_Compras!$O$411-Registro_Compras!$S$411,2)))</f>
        <v/>
      </c>
      <c r="G3676" t="str">
        <f>IF($C3676="","","Por la cancelacion del saldo al proveedor")</f>
        <v/>
      </c>
      <c r="H3676" t="str">
        <f>IF($C3676="","",Registro_Compras!$C$411)</f>
        <v/>
      </c>
    </row>
    <row r="3677" spans="1:8" x14ac:dyDescent="0.25">
      <c r="A3677" s="25" t="str">
        <f>IF($C3677="","",Registro_Compras!$B$412)</f>
        <v/>
      </c>
      <c r="B3677" t="str">
        <f>IF($C3677="","","C"&amp;TEXT(INT((ROW()-5)/9)+1,"000")&amp;"-1")</f>
        <v/>
      </c>
      <c r="C3677" t="str">
        <f>IF(OR(Registro_Compras!$C$412="",Registro_Compras!$O$412=""),"",IF(Registro_Compras!$F$412="NOTA DE CREDITO","4212",IF(Registro_Compras!$M$412="","63",Registro_Compras!$M$412)))</f>
        <v/>
      </c>
      <c r="D3677" t="str">
        <f>IF(OR(Registro_Compras!$C$412="",Registro_Compras!$O$412=""),"",IF(Registro_Compras!$F$412="NOTA DE CREDITO","Cuentas por Pagar Comerciales - Terceros (Emitidas)",IF(Registro_Compras!$F$412="RHE","Honorarios Profesionales - Servicios de Terceros","Gastos de Servicios Prestados por Terceros")))</f>
        <v/>
      </c>
      <c r="E3677" s="20" t="str">
        <f>IF($C3677="","",IF(Registro_Compras!$F$412="NOTA DE CREDITO",ABS(Registro_Compras!$O$412),IF(Registro_Compras!$F$412="RHE",ROUND(Registro_Compras!$L$412*Registro_Compras!$N$412,2),ROUND(Registro_Compras!$J$412*Registro_Compras!$N$412,2))))</f>
        <v/>
      </c>
      <c r="F3677" s="20" t="str">
        <f>""</f>
        <v/>
      </c>
      <c r="G3677" t="str">
        <f>IF($C3677="","",IF(Registro_Compras!$F$412="NOTA DE CREDITO","Por la nota de credito "&amp;Registro_Compras!$C$412&amp;" de "&amp;Registro_Compras!$E$412&amp;" [PATRON POR CONFIRMAR CON CONTADOR]",IF(Registro_Compras!$F$412="RHE","Por el registro del recibo por honorarios "&amp;Registro_Compras!$C$412&amp;" de "&amp;Registro_Compras!$E$412&amp;" [PATRON POR CONFIRMAR CON CONTADOR]","Por el registro de la factura "&amp;Registro_Compras!$C$412&amp;" de "&amp;Registro_Compras!$E$412)))</f>
        <v/>
      </c>
      <c r="H3677" t="str">
        <f>IF($C3677="","",Registro_Compras!$C$412)</f>
        <v/>
      </c>
    </row>
    <row r="3678" spans="1:8" x14ac:dyDescent="0.25">
      <c r="A3678" s="25" t="str">
        <f>IF($C3678="","",Registro_Compras!$B$412)</f>
        <v/>
      </c>
      <c r="B3678" t="str">
        <f>IF($C3678="","","C"&amp;TEXT(INT((ROW()-5)/9)+1,"000")&amp;"-1")</f>
        <v/>
      </c>
      <c r="C3678" t="str">
        <f>IF(OR(Registro_Compras!$C$412="",Registro_Compras!$O$412=""),"",IF(Registro_Compras!$F$412="RHE",IF(Registro_Compras!$V$412=0,"","4017"),IF(Registro_Compras!$F$412="NOTA DE CREDITO",IF(Registro_Compras!$M$412="","63",Registro_Compras!$M$412),IF(Registro_Compras!$K$412=0,"","40111"))))</f>
        <v/>
      </c>
      <c r="D3678" t="str">
        <f>IF(OR(Registro_Compras!$C$412="",Registro_Compras!$O$412=""),"",IF(Registro_Compras!$F$412="RHE","Retencion Renta 4ta Categoria por Pagar",IF(Registro_Compras!$F$412="NOTA DE CREDITO","Gastos de Servicios Prestados por Terceros","IGV - Cuenta Propia (Credito Fiscal)")))</f>
        <v/>
      </c>
      <c r="E3678" s="20" t="str">
        <f>IF($C3678="","",IF(Registro_Compras!$F$412="FACTURA",ROUND(Registro_Compras!$K$412*Registro_Compras!$N$412,2),""))</f>
        <v/>
      </c>
      <c r="F3678" s="20" t="str">
        <f>IF($C3678="","",IF(Registro_Compras!$F$412="RHE",ROUND(Registro_Compras!$V$412*Registro_Compras!$N$412,2),IF(Registro_Compras!$F$412="NOTA DE CREDITO",ROUND(ABS(Registro_Compras!$J$412*Registro_Compras!$N$412),2),"")))</f>
        <v/>
      </c>
      <c r="G3678" t="str">
        <f>IF($C3678="","",IF(Registro_Compras!$F$412="NOTA DE CREDITO","Por la nota de credito "&amp;Registro_Compras!$C$412&amp;" de "&amp;Registro_Compras!$E$412&amp;" [PATRON POR CONFIRMAR CON CONTADOR]",IF(Registro_Compras!$F$412="RHE","Por el registro del recibo por honorarios "&amp;Registro_Compras!$C$412&amp;" de "&amp;Registro_Compras!$E$412&amp;" [PATRON POR CONFIRMAR CON CONTADOR]","Por el registro de la factura "&amp;Registro_Compras!$C$412&amp;" de "&amp;Registro_Compras!$E$412)))</f>
        <v/>
      </c>
      <c r="H3678" t="str">
        <f>IF($C3678="","",Registro_Compras!$C$412)</f>
        <v/>
      </c>
    </row>
    <row r="3679" spans="1:8" x14ac:dyDescent="0.25">
      <c r="A3679" s="25" t="str">
        <f>IF($C3679="","",Registro_Compras!$B$412)</f>
        <v/>
      </c>
      <c r="B3679" t="str">
        <f>IF($C3679="","","C"&amp;TEXT(INT((ROW()-5)/9)+1,"000")&amp;"-1")</f>
        <v/>
      </c>
      <c r="C3679" t="str">
        <f>IF(OR(Registro_Compras!$C$412="",Registro_Compras!$O$412=""),"",IF(Registro_Compras!$F$412="NOTA DE CREDITO",IF(Registro_Compras!$K$412=0,"","40111"),"4212"))</f>
        <v/>
      </c>
      <c r="D3679" t="str">
        <f>IF(OR(Registro_Compras!$C$412="",Registro_Compras!$O$412=""),"",IF(Registro_Compras!$F$412="NOTA DE CREDITO","IGV - Cuenta Propia (Credito Fiscal)","Cuentas por Pagar Comerciales - Terceros (Emitidas)"))</f>
        <v/>
      </c>
      <c r="E3679" s="20" t="str">
        <f>""</f>
        <v/>
      </c>
      <c r="F3679" s="20" t="str">
        <f>IF($C3679="","",IF(Registro_Compras!$F$412="NOTA DE CREDITO",ROUND(ABS(Registro_Compras!$K$412*Registro_Compras!$N$412),2),IF(Registro_Compras!$F$412="RHE",(ROUND(Registro_Compras!$L$412*Registro_Compras!$N$412,2)-ROUND(Registro_Compras!$V$412*Registro_Compras!$N$412,2)),Registro_Compras!$O$412)))</f>
        <v/>
      </c>
      <c r="G3679" t="str">
        <f>IF($C3679="","",IF(Registro_Compras!$F$412="NOTA DE CREDITO","Por la nota de credito "&amp;Registro_Compras!$C$412&amp;" de "&amp;Registro_Compras!$E$412&amp;" [PATRON POR CONFIRMAR CON CONTADOR]",IF(Registro_Compras!$F$412="RHE","Por el registro del recibo por honorarios "&amp;Registro_Compras!$C$412&amp;" de "&amp;Registro_Compras!$E$412&amp;" [PATRON POR CONFIRMAR CON CONTADOR]","Por el registro de la factura "&amp;Registro_Compras!$C$412&amp;" de "&amp;Registro_Compras!$E$412)))</f>
        <v/>
      </c>
      <c r="H3679" t="str">
        <f>IF($C3679="","",Registro_Compras!$C$412)</f>
        <v/>
      </c>
    </row>
    <row r="3680" spans="1:8" x14ac:dyDescent="0.25">
      <c r="A3680" s="25" t="str">
        <f>IF($C3680="","",Registro_Compras!$B$412)</f>
        <v/>
      </c>
      <c r="B3680" t="str">
        <f>IF($C3680="","","C"&amp;TEXT(INT((ROW()-5)/9)+1,"000")&amp;"-2")</f>
        <v/>
      </c>
      <c r="C3680" t="str">
        <f>IF(OR(Registro_Compras!$C$412="",Registro_Compras!$O$412=""),"",IF(Registro_Compras!$AB$412="ADMINISTRATIVO","94","95"))</f>
        <v/>
      </c>
      <c r="D3680" t="str">
        <f>IF(OR(Registro_Compras!$C$412="",Registro_Compras!$O$412=""),"",IF(Registro_Compras!$AB$412="ADMINISTRATIVO","Gastos Administrativos","Gastos de Venta y Operacion"))</f>
        <v/>
      </c>
      <c r="E3680" s="20" t="str">
        <f>IF($C3680="","",IF(Registro_Compras!$F$412="NOTA DE CREDITO","",IF(Registro_Compras!$F$412="RHE",ROUND(Registro_Compras!$L$412*Registro_Compras!$N$412,2),ROUND(Registro_Compras!$J$412*Registro_Compras!$N$412,2))))</f>
        <v/>
      </c>
      <c r="F3680" s="20" t="str">
        <f>IF($C3680="","",IF(Registro_Compras!$F$412="NOTA DE CREDITO",ROUND(ABS(Registro_Compras!$J$412*Registro_Compras!$N$412),2),""))</f>
        <v/>
      </c>
      <c r="G3680" t="str">
        <f>IF($C3680="","","Por el destino del gasto")</f>
        <v/>
      </c>
      <c r="H3680" t="str">
        <f>IF($C3680="","",Registro_Compras!$C$412)</f>
        <v/>
      </c>
    </row>
    <row r="3681" spans="1:8" x14ac:dyDescent="0.25">
      <c r="A3681" s="25" t="str">
        <f>IF($C3681="","",Registro_Compras!$B$412)</f>
        <v/>
      </c>
      <c r="B3681" t="str">
        <f>IF($C3681="","","C"&amp;TEXT(INT((ROW()-5)/9)+1,"000")&amp;"-2")</f>
        <v/>
      </c>
      <c r="C3681" t="str">
        <f>IF(OR(Registro_Compras!$C$412="",Registro_Compras!$O$412=""),"","79/791")</f>
        <v/>
      </c>
      <c r="D3681" t="str">
        <f>IF(OR(Registro_Compras!$C$412="",Registro_Compras!$O$412=""),"","Cargas Imputables a Cuentas de Costos y Gastos")</f>
        <v/>
      </c>
      <c r="E3681" s="20" t="str">
        <f>IF($C3681="","",IF(Registro_Compras!$F$412="NOTA DE CREDITO",ROUND(ABS(Registro_Compras!$J$412*Registro_Compras!$N$412),2),""))</f>
        <v/>
      </c>
      <c r="F3681" s="20" t="str">
        <f>IF($C3681="","",IF(Registro_Compras!$F$412="NOTA DE CREDITO","",IF(Registro_Compras!$F$412="RHE",ROUND(Registro_Compras!$L$412*Registro_Compras!$N$412,2),ROUND(Registro_Compras!$J$412*Registro_Compras!$N$412,2))))</f>
        <v/>
      </c>
      <c r="G3681" t="str">
        <f>IF($C3681="","","Por el destino del gasto")</f>
        <v/>
      </c>
      <c r="H3681" t="str">
        <f>IF($C3681="","",Registro_Compras!$C$412)</f>
        <v/>
      </c>
    </row>
    <row r="3682" spans="1:8" x14ac:dyDescent="0.25">
      <c r="A3682" s="25" t="str">
        <f>IF($C3682="","",Registro_Compras!$X$412)</f>
        <v/>
      </c>
      <c r="B3682" t="str">
        <f>IF($C3682="","","C"&amp;TEXT(INT((ROW()-5)/9)+1,"000")&amp;"-3")</f>
        <v/>
      </c>
      <c r="C3682" t="str">
        <f>IF(OR(Registro_Compras!$C$412="",Registro_Compras!$O$412="",Registro_Compras!$R$412&lt;&gt;"SI",Registro_Compras!$X$412=""),"","4212")</f>
        <v/>
      </c>
      <c r="D3682" t="str">
        <f>IF(OR(Registro_Compras!$C$412="",Registro_Compras!$O$412=""),"","Cuentas por Pagar Comerciales - Terceros")</f>
        <v/>
      </c>
      <c r="E3682" s="20" t="str">
        <f>IF($C3682="","",Registro_Compras!$S$412)</f>
        <v/>
      </c>
      <c r="F3682" s="20" t="str">
        <f>""</f>
        <v/>
      </c>
      <c r="G3682" t="str">
        <f>IF($C3682="","","Por el deposito de la detraccion en el Banco de la Nacion")</f>
        <v/>
      </c>
      <c r="H3682" t="str">
        <f>IF($C3682="","",Registro_Compras!$C$412)</f>
        <v/>
      </c>
    </row>
    <row r="3683" spans="1:8" x14ac:dyDescent="0.25">
      <c r="A3683" s="25" t="str">
        <f>IF($C3683="","",Registro_Compras!$X$412)</f>
        <v/>
      </c>
      <c r="B3683" t="str">
        <f>IF($C3683="","","C"&amp;TEXT(INT((ROW()-5)/9)+1,"000")&amp;"-3")</f>
        <v/>
      </c>
      <c r="C3683" t="str">
        <f>IF(OR(Registro_Compras!$C$412="",Registro_Compras!$O$412="",Registro_Compras!$R$412&lt;&gt;"SI",Registro_Compras!$X$412=""),"","1041")</f>
        <v/>
      </c>
      <c r="D3683" t="str">
        <f>IF(OR(Registro_Compras!$C$412="",Registro_Compras!$O$412=""),"","Efectivo y Equivalentes - Cta. Cte. Operativa")</f>
        <v/>
      </c>
      <c r="E3683" s="20" t="str">
        <f>""</f>
        <v/>
      </c>
      <c r="F3683" s="20" t="str">
        <f>IF($C3683="","",Registro_Compras!$S$412)</f>
        <v/>
      </c>
      <c r="G3683" t="str">
        <f>IF($C3683="","","Por el deposito de la detraccion en el Banco de la Nacion")</f>
        <v/>
      </c>
      <c r="H3683" t="str">
        <f>IF($C3683="","",Registro_Compras!$C$412)</f>
        <v/>
      </c>
    </row>
    <row r="3684" spans="1:8" x14ac:dyDescent="0.25">
      <c r="A3684" s="25" t="str">
        <f>IF($C3684="","",Registro_Compras!$Y$412)</f>
        <v/>
      </c>
      <c r="B3684" t="str">
        <f>IF($C3684="","","C"&amp;TEXT(INT((ROW()-5)/9)+1,"000")&amp;"-4")</f>
        <v/>
      </c>
      <c r="C3684" t="str">
        <f>IF(OR(Registro_Compras!$C$412="",Registro_Compras!$O$412="",Registro_Compras!$Y$412="",Registro_Compras!$F$412="NOTA DE CREDITO"),"","4212")</f>
        <v/>
      </c>
      <c r="D3684" t="str">
        <f>IF(OR(Registro_Compras!$C$412="",Registro_Compras!$O$412=""),"","Cuentas por Pagar Comerciales - Terceros")</f>
        <v/>
      </c>
      <c r="E3684" s="20" t="str">
        <f>IF($C3684="","",IF(Registro_Compras!$F$412="RHE",(ROUND(Registro_Compras!$L$412*Registro_Compras!$N$412,2)-ROUND(Registro_Compras!$V$412*Registro_Compras!$N$412,2)),ROUND(Registro_Compras!$O$412-Registro_Compras!$S$412,2)))</f>
        <v/>
      </c>
      <c r="F3684" s="20" t="str">
        <f>""</f>
        <v/>
      </c>
      <c r="G3684" t="str">
        <f>IF($C3684="","","Por la cancelacion del saldo al proveedor")</f>
        <v/>
      </c>
      <c r="H3684" t="str">
        <f>IF($C3684="","",Registro_Compras!$C$412)</f>
        <v/>
      </c>
    </row>
    <row r="3685" spans="1:8" x14ac:dyDescent="0.25">
      <c r="A3685" s="25" t="str">
        <f>IF($C3685="","",Registro_Compras!$Y$412)</f>
        <v/>
      </c>
      <c r="B3685" t="str">
        <f>IF($C3685="","","C"&amp;TEXT(INT((ROW()-5)/9)+1,"000")&amp;"-4")</f>
        <v/>
      </c>
      <c r="C3685" t="str">
        <f>IF(OR(Registro_Compras!$C$412="",Registro_Compras!$O$412="",Registro_Compras!$Y$412="",Registro_Compras!$F$412="NOTA DE CREDITO"),"","1041")</f>
        <v/>
      </c>
      <c r="D3685" t="str">
        <f>IF(OR(Registro_Compras!$C$412="",Registro_Compras!$O$412=""),"","Efectivo y Equivalentes - Cta. Cte. Operativa")</f>
        <v/>
      </c>
      <c r="E3685" s="20" t="str">
        <f>""</f>
        <v/>
      </c>
      <c r="F3685" s="20" t="str">
        <f>IF($C3685="","",IF(Registro_Compras!$F$412="RHE",(ROUND(Registro_Compras!$L$412*Registro_Compras!$N$412,2)-ROUND(Registro_Compras!$V$412*Registro_Compras!$N$412,2)),ROUND(Registro_Compras!$O$412-Registro_Compras!$S$412,2)))</f>
        <v/>
      </c>
      <c r="G3685" t="str">
        <f>IF($C3685="","","Por la cancelacion del saldo al proveedor")</f>
        <v/>
      </c>
      <c r="H3685" t="str">
        <f>IF($C3685="","",Registro_Compras!$C$412)</f>
        <v/>
      </c>
    </row>
    <row r="3686" spans="1:8" x14ac:dyDescent="0.25">
      <c r="A3686" s="25" t="str">
        <f>IF($C3686="","",Registro_Compras!$B$413)</f>
        <v/>
      </c>
      <c r="B3686" t="str">
        <f>IF($C3686="","","C"&amp;TEXT(INT((ROW()-5)/9)+1,"000")&amp;"-1")</f>
        <v/>
      </c>
      <c r="C3686" t="str">
        <f>IF(OR(Registro_Compras!$C$413="",Registro_Compras!$O$413=""),"",IF(Registro_Compras!$F$413="NOTA DE CREDITO","4212",IF(Registro_Compras!$M$413="","63",Registro_Compras!$M$413)))</f>
        <v/>
      </c>
      <c r="D3686" t="str">
        <f>IF(OR(Registro_Compras!$C$413="",Registro_Compras!$O$413=""),"",IF(Registro_Compras!$F$413="NOTA DE CREDITO","Cuentas por Pagar Comerciales - Terceros (Emitidas)",IF(Registro_Compras!$F$413="RHE","Honorarios Profesionales - Servicios de Terceros","Gastos de Servicios Prestados por Terceros")))</f>
        <v/>
      </c>
      <c r="E3686" s="20" t="str">
        <f>IF($C3686="","",IF(Registro_Compras!$F$413="NOTA DE CREDITO",ABS(Registro_Compras!$O$413),IF(Registro_Compras!$F$413="RHE",ROUND(Registro_Compras!$L$413*Registro_Compras!$N$413,2),ROUND(Registro_Compras!$J$413*Registro_Compras!$N$413,2))))</f>
        <v/>
      </c>
      <c r="F3686" s="20" t="str">
        <f>""</f>
        <v/>
      </c>
      <c r="G3686" t="str">
        <f>IF($C3686="","",IF(Registro_Compras!$F$413="NOTA DE CREDITO","Por la nota de credito "&amp;Registro_Compras!$C$413&amp;" de "&amp;Registro_Compras!$E$413&amp;" [PATRON POR CONFIRMAR CON CONTADOR]",IF(Registro_Compras!$F$413="RHE","Por el registro del recibo por honorarios "&amp;Registro_Compras!$C$413&amp;" de "&amp;Registro_Compras!$E$413&amp;" [PATRON POR CONFIRMAR CON CONTADOR]","Por el registro de la factura "&amp;Registro_Compras!$C$413&amp;" de "&amp;Registro_Compras!$E$413)))</f>
        <v/>
      </c>
      <c r="H3686" t="str">
        <f>IF($C3686="","",Registro_Compras!$C$413)</f>
        <v/>
      </c>
    </row>
    <row r="3687" spans="1:8" x14ac:dyDescent="0.25">
      <c r="A3687" s="25" t="str">
        <f>IF($C3687="","",Registro_Compras!$B$413)</f>
        <v/>
      </c>
      <c r="B3687" t="str">
        <f>IF($C3687="","","C"&amp;TEXT(INT((ROW()-5)/9)+1,"000")&amp;"-1")</f>
        <v/>
      </c>
      <c r="C3687" t="str">
        <f>IF(OR(Registro_Compras!$C$413="",Registro_Compras!$O$413=""),"",IF(Registro_Compras!$F$413="RHE",IF(Registro_Compras!$V$413=0,"","4017"),IF(Registro_Compras!$F$413="NOTA DE CREDITO",IF(Registro_Compras!$M$413="","63",Registro_Compras!$M$413),IF(Registro_Compras!$K$413=0,"","40111"))))</f>
        <v/>
      </c>
      <c r="D3687" t="str">
        <f>IF(OR(Registro_Compras!$C$413="",Registro_Compras!$O$413=""),"",IF(Registro_Compras!$F$413="RHE","Retencion Renta 4ta Categoria por Pagar",IF(Registro_Compras!$F$413="NOTA DE CREDITO","Gastos de Servicios Prestados por Terceros","IGV - Cuenta Propia (Credito Fiscal)")))</f>
        <v/>
      </c>
      <c r="E3687" s="20" t="str">
        <f>IF($C3687="","",IF(Registro_Compras!$F$413="FACTURA",ROUND(Registro_Compras!$K$413*Registro_Compras!$N$413,2),""))</f>
        <v/>
      </c>
      <c r="F3687" s="20" t="str">
        <f>IF($C3687="","",IF(Registro_Compras!$F$413="RHE",ROUND(Registro_Compras!$V$413*Registro_Compras!$N$413,2),IF(Registro_Compras!$F$413="NOTA DE CREDITO",ROUND(ABS(Registro_Compras!$J$413*Registro_Compras!$N$413),2),"")))</f>
        <v/>
      </c>
      <c r="G3687" t="str">
        <f>IF($C3687="","",IF(Registro_Compras!$F$413="NOTA DE CREDITO","Por la nota de credito "&amp;Registro_Compras!$C$413&amp;" de "&amp;Registro_Compras!$E$413&amp;" [PATRON POR CONFIRMAR CON CONTADOR]",IF(Registro_Compras!$F$413="RHE","Por el registro del recibo por honorarios "&amp;Registro_Compras!$C$413&amp;" de "&amp;Registro_Compras!$E$413&amp;" [PATRON POR CONFIRMAR CON CONTADOR]","Por el registro de la factura "&amp;Registro_Compras!$C$413&amp;" de "&amp;Registro_Compras!$E$413)))</f>
        <v/>
      </c>
      <c r="H3687" t="str">
        <f>IF($C3687="","",Registro_Compras!$C$413)</f>
        <v/>
      </c>
    </row>
    <row r="3688" spans="1:8" x14ac:dyDescent="0.25">
      <c r="A3688" s="25" t="str">
        <f>IF($C3688="","",Registro_Compras!$B$413)</f>
        <v/>
      </c>
      <c r="B3688" t="str">
        <f>IF($C3688="","","C"&amp;TEXT(INT((ROW()-5)/9)+1,"000")&amp;"-1")</f>
        <v/>
      </c>
      <c r="C3688" t="str">
        <f>IF(OR(Registro_Compras!$C$413="",Registro_Compras!$O$413=""),"",IF(Registro_Compras!$F$413="NOTA DE CREDITO",IF(Registro_Compras!$K$413=0,"","40111"),"4212"))</f>
        <v/>
      </c>
      <c r="D3688" t="str">
        <f>IF(OR(Registro_Compras!$C$413="",Registro_Compras!$O$413=""),"",IF(Registro_Compras!$F$413="NOTA DE CREDITO","IGV - Cuenta Propia (Credito Fiscal)","Cuentas por Pagar Comerciales - Terceros (Emitidas)"))</f>
        <v/>
      </c>
      <c r="E3688" s="20" t="str">
        <f>""</f>
        <v/>
      </c>
      <c r="F3688" s="20" t="str">
        <f>IF($C3688="","",IF(Registro_Compras!$F$413="NOTA DE CREDITO",ROUND(ABS(Registro_Compras!$K$413*Registro_Compras!$N$413),2),IF(Registro_Compras!$F$413="RHE",(ROUND(Registro_Compras!$L$413*Registro_Compras!$N$413,2)-ROUND(Registro_Compras!$V$413*Registro_Compras!$N$413,2)),Registro_Compras!$O$413)))</f>
        <v/>
      </c>
      <c r="G3688" t="str">
        <f>IF($C3688="","",IF(Registro_Compras!$F$413="NOTA DE CREDITO","Por la nota de credito "&amp;Registro_Compras!$C$413&amp;" de "&amp;Registro_Compras!$E$413&amp;" [PATRON POR CONFIRMAR CON CONTADOR]",IF(Registro_Compras!$F$413="RHE","Por el registro del recibo por honorarios "&amp;Registro_Compras!$C$413&amp;" de "&amp;Registro_Compras!$E$413&amp;" [PATRON POR CONFIRMAR CON CONTADOR]","Por el registro de la factura "&amp;Registro_Compras!$C$413&amp;" de "&amp;Registro_Compras!$E$413)))</f>
        <v/>
      </c>
      <c r="H3688" t="str">
        <f>IF($C3688="","",Registro_Compras!$C$413)</f>
        <v/>
      </c>
    </row>
    <row r="3689" spans="1:8" x14ac:dyDescent="0.25">
      <c r="A3689" s="25" t="str">
        <f>IF($C3689="","",Registro_Compras!$B$413)</f>
        <v/>
      </c>
      <c r="B3689" t="str">
        <f>IF($C3689="","","C"&amp;TEXT(INT((ROW()-5)/9)+1,"000")&amp;"-2")</f>
        <v/>
      </c>
      <c r="C3689" t="str">
        <f>IF(OR(Registro_Compras!$C$413="",Registro_Compras!$O$413=""),"",IF(Registro_Compras!$AB$413="ADMINISTRATIVO","94","95"))</f>
        <v/>
      </c>
      <c r="D3689" t="str">
        <f>IF(OR(Registro_Compras!$C$413="",Registro_Compras!$O$413=""),"",IF(Registro_Compras!$AB$413="ADMINISTRATIVO","Gastos Administrativos","Gastos de Venta y Operacion"))</f>
        <v/>
      </c>
      <c r="E3689" s="20" t="str">
        <f>IF($C3689="","",IF(Registro_Compras!$F$413="NOTA DE CREDITO","",IF(Registro_Compras!$F$413="RHE",ROUND(Registro_Compras!$L$413*Registro_Compras!$N$413,2),ROUND(Registro_Compras!$J$413*Registro_Compras!$N$413,2))))</f>
        <v/>
      </c>
      <c r="F3689" s="20" t="str">
        <f>IF($C3689="","",IF(Registro_Compras!$F$413="NOTA DE CREDITO",ROUND(ABS(Registro_Compras!$J$413*Registro_Compras!$N$413),2),""))</f>
        <v/>
      </c>
      <c r="G3689" t="str">
        <f>IF($C3689="","","Por el destino del gasto")</f>
        <v/>
      </c>
      <c r="H3689" t="str">
        <f>IF($C3689="","",Registro_Compras!$C$413)</f>
        <v/>
      </c>
    </row>
    <row r="3690" spans="1:8" x14ac:dyDescent="0.25">
      <c r="A3690" s="25" t="str">
        <f>IF($C3690="","",Registro_Compras!$B$413)</f>
        <v/>
      </c>
      <c r="B3690" t="str">
        <f>IF($C3690="","","C"&amp;TEXT(INT((ROW()-5)/9)+1,"000")&amp;"-2")</f>
        <v/>
      </c>
      <c r="C3690" t="str">
        <f>IF(OR(Registro_Compras!$C$413="",Registro_Compras!$O$413=""),"","79/791")</f>
        <v/>
      </c>
      <c r="D3690" t="str">
        <f>IF(OR(Registro_Compras!$C$413="",Registro_Compras!$O$413=""),"","Cargas Imputables a Cuentas de Costos y Gastos")</f>
        <v/>
      </c>
      <c r="E3690" s="20" t="str">
        <f>IF($C3690="","",IF(Registro_Compras!$F$413="NOTA DE CREDITO",ROUND(ABS(Registro_Compras!$J$413*Registro_Compras!$N$413),2),""))</f>
        <v/>
      </c>
      <c r="F3690" s="20" t="str">
        <f>IF($C3690="","",IF(Registro_Compras!$F$413="NOTA DE CREDITO","",IF(Registro_Compras!$F$413="RHE",ROUND(Registro_Compras!$L$413*Registro_Compras!$N$413,2),ROUND(Registro_Compras!$J$413*Registro_Compras!$N$413,2))))</f>
        <v/>
      </c>
      <c r="G3690" t="str">
        <f>IF($C3690="","","Por el destino del gasto")</f>
        <v/>
      </c>
      <c r="H3690" t="str">
        <f>IF($C3690="","",Registro_Compras!$C$413)</f>
        <v/>
      </c>
    </row>
    <row r="3691" spans="1:8" x14ac:dyDescent="0.25">
      <c r="A3691" s="25" t="str">
        <f>IF($C3691="","",Registro_Compras!$X$413)</f>
        <v/>
      </c>
      <c r="B3691" t="str">
        <f>IF($C3691="","","C"&amp;TEXT(INT((ROW()-5)/9)+1,"000")&amp;"-3")</f>
        <v/>
      </c>
      <c r="C3691" t="str">
        <f>IF(OR(Registro_Compras!$C$413="",Registro_Compras!$O$413="",Registro_Compras!$R$413&lt;&gt;"SI",Registro_Compras!$X$413=""),"","4212")</f>
        <v/>
      </c>
      <c r="D3691" t="str">
        <f>IF(OR(Registro_Compras!$C$413="",Registro_Compras!$O$413=""),"","Cuentas por Pagar Comerciales - Terceros")</f>
        <v/>
      </c>
      <c r="E3691" s="20" t="str">
        <f>IF($C3691="","",Registro_Compras!$S$413)</f>
        <v/>
      </c>
      <c r="F3691" s="20" t="str">
        <f>""</f>
        <v/>
      </c>
      <c r="G3691" t="str">
        <f>IF($C3691="","","Por el deposito de la detraccion en el Banco de la Nacion")</f>
        <v/>
      </c>
      <c r="H3691" t="str">
        <f>IF($C3691="","",Registro_Compras!$C$413)</f>
        <v/>
      </c>
    </row>
    <row r="3692" spans="1:8" x14ac:dyDescent="0.25">
      <c r="A3692" s="25" t="str">
        <f>IF($C3692="","",Registro_Compras!$X$413)</f>
        <v/>
      </c>
      <c r="B3692" t="str">
        <f>IF($C3692="","","C"&amp;TEXT(INT((ROW()-5)/9)+1,"000")&amp;"-3")</f>
        <v/>
      </c>
      <c r="C3692" t="str">
        <f>IF(OR(Registro_Compras!$C$413="",Registro_Compras!$O$413="",Registro_Compras!$R$413&lt;&gt;"SI",Registro_Compras!$X$413=""),"","1041")</f>
        <v/>
      </c>
      <c r="D3692" t="str">
        <f>IF(OR(Registro_Compras!$C$413="",Registro_Compras!$O$413=""),"","Efectivo y Equivalentes - Cta. Cte. Operativa")</f>
        <v/>
      </c>
      <c r="E3692" s="20" t="str">
        <f>""</f>
        <v/>
      </c>
      <c r="F3692" s="20" t="str">
        <f>IF($C3692="","",Registro_Compras!$S$413)</f>
        <v/>
      </c>
      <c r="G3692" t="str">
        <f>IF($C3692="","","Por el deposito de la detraccion en el Banco de la Nacion")</f>
        <v/>
      </c>
      <c r="H3692" t="str">
        <f>IF($C3692="","",Registro_Compras!$C$413)</f>
        <v/>
      </c>
    </row>
    <row r="3693" spans="1:8" x14ac:dyDescent="0.25">
      <c r="A3693" s="25" t="str">
        <f>IF($C3693="","",Registro_Compras!$Y$413)</f>
        <v/>
      </c>
      <c r="B3693" t="str">
        <f>IF($C3693="","","C"&amp;TEXT(INT((ROW()-5)/9)+1,"000")&amp;"-4")</f>
        <v/>
      </c>
      <c r="C3693" t="str">
        <f>IF(OR(Registro_Compras!$C$413="",Registro_Compras!$O$413="",Registro_Compras!$Y$413="",Registro_Compras!$F$413="NOTA DE CREDITO"),"","4212")</f>
        <v/>
      </c>
      <c r="D3693" t="str">
        <f>IF(OR(Registro_Compras!$C$413="",Registro_Compras!$O$413=""),"","Cuentas por Pagar Comerciales - Terceros")</f>
        <v/>
      </c>
      <c r="E3693" s="20" t="str">
        <f>IF($C3693="","",IF(Registro_Compras!$F$413="RHE",(ROUND(Registro_Compras!$L$413*Registro_Compras!$N$413,2)-ROUND(Registro_Compras!$V$413*Registro_Compras!$N$413,2)),ROUND(Registro_Compras!$O$413-Registro_Compras!$S$413,2)))</f>
        <v/>
      </c>
      <c r="F3693" s="20" t="str">
        <f>""</f>
        <v/>
      </c>
      <c r="G3693" t="str">
        <f>IF($C3693="","","Por la cancelacion del saldo al proveedor")</f>
        <v/>
      </c>
      <c r="H3693" t="str">
        <f>IF($C3693="","",Registro_Compras!$C$413)</f>
        <v/>
      </c>
    </row>
    <row r="3694" spans="1:8" x14ac:dyDescent="0.25">
      <c r="A3694" s="25" t="str">
        <f>IF($C3694="","",Registro_Compras!$Y$413)</f>
        <v/>
      </c>
      <c r="B3694" t="str">
        <f>IF($C3694="","","C"&amp;TEXT(INT((ROW()-5)/9)+1,"000")&amp;"-4")</f>
        <v/>
      </c>
      <c r="C3694" t="str">
        <f>IF(OR(Registro_Compras!$C$413="",Registro_Compras!$O$413="",Registro_Compras!$Y$413="",Registro_Compras!$F$413="NOTA DE CREDITO"),"","1041")</f>
        <v/>
      </c>
      <c r="D3694" t="str">
        <f>IF(OR(Registro_Compras!$C$413="",Registro_Compras!$O$413=""),"","Efectivo y Equivalentes - Cta. Cte. Operativa")</f>
        <v/>
      </c>
      <c r="E3694" s="20" t="str">
        <f>""</f>
        <v/>
      </c>
      <c r="F3694" s="20" t="str">
        <f>IF($C3694="","",IF(Registro_Compras!$F$413="RHE",(ROUND(Registro_Compras!$L$413*Registro_Compras!$N$413,2)-ROUND(Registro_Compras!$V$413*Registro_Compras!$N$413,2)),ROUND(Registro_Compras!$O$413-Registro_Compras!$S$413,2)))</f>
        <v/>
      </c>
      <c r="G3694" t="str">
        <f>IF($C3694="","","Por la cancelacion del saldo al proveedor")</f>
        <v/>
      </c>
      <c r="H3694" t="str">
        <f>IF($C3694="","",Registro_Compras!$C$413)</f>
        <v/>
      </c>
    </row>
    <row r="3695" spans="1:8" x14ac:dyDescent="0.25">
      <c r="A3695" s="25" t="str">
        <f>IF($C3695="","",Registro_Compras!$B$414)</f>
        <v/>
      </c>
      <c r="B3695" t="str">
        <f>IF($C3695="","","C"&amp;TEXT(INT((ROW()-5)/9)+1,"000")&amp;"-1")</f>
        <v/>
      </c>
      <c r="C3695" t="str">
        <f>IF(OR(Registro_Compras!$C$414="",Registro_Compras!$O$414=""),"",IF(Registro_Compras!$F$414="NOTA DE CREDITO","4212",IF(Registro_Compras!$M$414="","63",Registro_Compras!$M$414)))</f>
        <v/>
      </c>
      <c r="D3695" t="str">
        <f>IF(OR(Registro_Compras!$C$414="",Registro_Compras!$O$414=""),"",IF(Registro_Compras!$F$414="NOTA DE CREDITO","Cuentas por Pagar Comerciales - Terceros (Emitidas)",IF(Registro_Compras!$F$414="RHE","Honorarios Profesionales - Servicios de Terceros","Gastos de Servicios Prestados por Terceros")))</f>
        <v/>
      </c>
      <c r="E3695" s="20" t="str">
        <f>IF($C3695="","",IF(Registro_Compras!$F$414="NOTA DE CREDITO",ABS(Registro_Compras!$O$414),IF(Registro_Compras!$F$414="RHE",ROUND(Registro_Compras!$L$414*Registro_Compras!$N$414,2),ROUND(Registro_Compras!$J$414*Registro_Compras!$N$414,2))))</f>
        <v/>
      </c>
      <c r="F3695" s="20" t="str">
        <f>""</f>
        <v/>
      </c>
      <c r="G3695" t="str">
        <f>IF($C3695="","",IF(Registro_Compras!$F$414="NOTA DE CREDITO","Por la nota de credito "&amp;Registro_Compras!$C$414&amp;" de "&amp;Registro_Compras!$E$414&amp;" [PATRON POR CONFIRMAR CON CONTADOR]",IF(Registro_Compras!$F$414="RHE","Por el registro del recibo por honorarios "&amp;Registro_Compras!$C$414&amp;" de "&amp;Registro_Compras!$E$414&amp;" [PATRON POR CONFIRMAR CON CONTADOR]","Por el registro de la factura "&amp;Registro_Compras!$C$414&amp;" de "&amp;Registro_Compras!$E$414)))</f>
        <v/>
      </c>
      <c r="H3695" t="str">
        <f>IF($C3695="","",Registro_Compras!$C$414)</f>
        <v/>
      </c>
    </row>
    <row r="3696" spans="1:8" x14ac:dyDescent="0.25">
      <c r="A3696" s="25" t="str">
        <f>IF($C3696="","",Registro_Compras!$B$414)</f>
        <v/>
      </c>
      <c r="B3696" t="str">
        <f>IF($C3696="","","C"&amp;TEXT(INT((ROW()-5)/9)+1,"000")&amp;"-1")</f>
        <v/>
      </c>
      <c r="C3696" t="str">
        <f>IF(OR(Registro_Compras!$C$414="",Registro_Compras!$O$414=""),"",IF(Registro_Compras!$F$414="RHE",IF(Registro_Compras!$V$414=0,"","4017"),IF(Registro_Compras!$F$414="NOTA DE CREDITO",IF(Registro_Compras!$M$414="","63",Registro_Compras!$M$414),IF(Registro_Compras!$K$414=0,"","40111"))))</f>
        <v/>
      </c>
      <c r="D3696" t="str">
        <f>IF(OR(Registro_Compras!$C$414="",Registro_Compras!$O$414=""),"",IF(Registro_Compras!$F$414="RHE","Retencion Renta 4ta Categoria por Pagar",IF(Registro_Compras!$F$414="NOTA DE CREDITO","Gastos de Servicios Prestados por Terceros","IGV - Cuenta Propia (Credito Fiscal)")))</f>
        <v/>
      </c>
      <c r="E3696" s="20" t="str">
        <f>IF($C3696="","",IF(Registro_Compras!$F$414="FACTURA",ROUND(Registro_Compras!$K$414*Registro_Compras!$N$414,2),""))</f>
        <v/>
      </c>
      <c r="F3696" s="20" t="str">
        <f>IF($C3696="","",IF(Registro_Compras!$F$414="RHE",ROUND(Registro_Compras!$V$414*Registro_Compras!$N$414,2),IF(Registro_Compras!$F$414="NOTA DE CREDITO",ROUND(ABS(Registro_Compras!$J$414*Registro_Compras!$N$414),2),"")))</f>
        <v/>
      </c>
      <c r="G3696" t="str">
        <f>IF($C3696="","",IF(Registro_Compras!$F$414="NOTA DE CREDITO","Por la nota de credito "&amp;Registro_Compras!$C$414&amp;" de "&amp;Registro_Compras!$E$414&amp;" [PATRON POR CONFIRMAR CON CONTADOR]",IF(Registro_Compras!$F$414="RHE","Por el registro del recibo por honorarios "&amp;Registro_Compras!$C$414&amp;" de "&amp;Registro_Compras!$E$414&amp;" [PATRON POR CONFIRMAR CON CONTADOR]","Por el registro de la factura "&amp;Registro_Compras!$C$414&amp;" de "&amp;Registro_Compras!$E$414)))</f>
        <v/>
      </c>
      <c r="H3696" t="str">
        <f>IF($C3696="","",Registro_Compras!$C$414)</f>
        <v/>
      </c>
    </row>
    <row r="3697" spans="1:8" x14ac:dyDescent="0.25">
      <c r="A3697" s="25" t="str">
        <f>IF($C3697="","",Registro_Compras!$B$414)</f>
        <v/>
      </c>
      <c r="B3697" t="str">
        <f>IF($C3697="","","C"&amp;TEXT(INT((ROW()-5)/9)+1,"000")&amp;"-1")</f>
        <v/>
      </c>
      <c r="C3697" t="str">
        <f>IF(OR(Registro_Compras!$C$414="",Registro_Compras!$O$414=""),"",IF(Registro_Compras!$F$414="NOTA DE CREDITO",IF(Registro_Compras!$K$414=0,"","40111"),"4212"))</f>
        <v/>
      </c>
      <c r="D3697" t="str">
        <f>IF(OR(Registro_Compras!$C$414="",Registro_Compras!$O$414=""),"",IF(Registro_Compras!$F$414="NOTA DE CREDITO","IGV - Cuenta Propia (Credito Fiscal)","Cuentas por Pagar Comerciales - Terceros (Emitidas)"))</f>
        <v/>
      </c>
      <c r="E3697" s="20" t="str">
        <f>""</f>
        <v/>
      </c>
      <c r="F3697" s="20" t="str">
        <f>IF($C3697="","",IF(Registro_Compras!$F$414="NOTA DE CREDITO",ROUND(ABS(Registro_Compras!$K$414*Registro_Compras!$N$414),2),IF(Registro_Compras!$F$414="RHE",(ROUND(Registro_Compras!$L$414*Registro_Compras!$N$414,2)-ROUND(Registro_Compras!$V$414*Registro_Compras!$N$414,2)),Registro_Compras!$O$414)))</f>
        <v/>
      </c>
      <c r="G3697" t="str">
        <f>IF($C3697="","",IF(Registro_Compras!$F$414="NOTA DE CREDITO","Por la nota de credito "&amp;Registro_Compras!$C$414&amp;" de "&amp;Registro_Compras!$E$414&amp;" [PATRON POR CONFIRMAR CON CONTADOR]",IF(Registro_Compras!$F$414="RHE","Por el registro del recibo por honorarios "&amp;Registro_Compras!$C$414&amp;" de "&amp;Registro_Compras!$E$414&amp;" [PATRON POR CONFIRMAR CON CONTADOR]","Por el registro de la factura "&amp;Registro_Compras!$C$414&amp;" de "&amp;Registro_Compras!$E$414)))</f>
        <v/>
      </c>
      <c r="H3697" t="str">
        <f>IF($C3697="","",Registro_Compras!$C$414)</f>
        <v/>
      </c>
    </row>
    <row r="3698" spans="1:8" x14ac:dyDescent="0.25">
      <c r="A3698" s="25" t="str">
        <f>IF($C3698="","",Registro_Compras!$B$414)</f>
        <v/>
      </c>
      <c r="B3698" t="str">
        <f>IF($C3698="","","C"&amp;TEXT(INT((ROW()-5)/9)+1,"000")&amp;"-2")</f>
        <v/>
      </c>
      <c r="C3698" t="str">
        <f>IF(OR(Registro_Compras!$C$414="",Registro_Compras!$O$414=""),"",IF(Registro_Compras!$AB$414="ADMINISTRATIVO","94","95"))</f>
        <v/>
      </c>
      <c r="D3698" t="str">
        <f>IF(OR(Registro_Compras!$C$414="",Registro_Compras!$O$414=""),"",IF(Registro_Compras!$AB$414="ADMINISTRATIVO","Gastos Administrativos","Gastos de Venta y Operacion"))</f>
        <v/>
      </c>
      <c r="E3698" s="20" t="str">
        <f>IF($C3698="","",IF(Registro_Compras!$F$414="NOTA DE CREDITO","",IF(Registro_Compras!$F$414="RHE",ROUND(Registro_Compras!$L$414*Registro_Compras!$N$414,2),ROUND(Registro_Compras!$J$414*Registro_Compras!$N$414,2))))</f>
        <v/>
      </c>
      <c r="F3698" s="20" t="str">
        <f>IF($C3698="","",IF(Registro_Compras!$F$414="NOTA DE CREDITO",ROUND(ABS(Registro_Compras!$J$414*Registro_Compras!$N$414),2),""))</f>
        <v/>
      </c>
      <c r="G3698" t="str">
        <f>IF($C3698="","","Por el destino del gasto")</f>
        <v/>
      </c>
      <c r="H3698" t="str">
        <f>IF($C3698="","",Registro_Compras!$C$414)</f>
        <v/>
      </c>
    </row>
    <row r="3699" spans="1:8" x14ac:dyDescent="0.25">
      <c r="A3699" s="25" t="str">
        <f>IF($C3699="","",Registro_Compras!$B$414)</f>
        <v/>
      </c>
      <c r="B3699" t="str">
        <f>IF($C3699="","","C"&amp;TEXT(INT((ROW()-5)/9)+1,"000")&amp;"-2")</f>
        <v/>
      </c>
      <c r="C3699" t="str">
        <f>IF(OR(Registro_Compras!$C$414="",Registro_Compras!$O$414=""),"","79/791")</f>
        <v/>
      </c>
      <c r="D3699" t="str">
        <f>IF(OR(Registro_Compras!$C$414="",Registro_Compras!$O$414=""),"","Cargas Imputables a Cuentas de Costos y Gastos")</f>
        <v/>
      </c>
      <c r="E3699" s="20" t="str">
        <f>IF($C3699="","",IF(Registro_Compras!$F$414="NOTA DE CREDITO",ROUND(ABS(Registro_Compras!$J$414*Registro_Compras!$N$414),2),""))</f>
        <v/>
      </c>
      <c r="F3699" s="20" t="str">
        <f>IF($C3699="","",IF(Registro_Compras!$F$414="NOTA DE CREDITO","",IF(Registro_Compras!$F$414="RHE",ROUND(Registro_Compras!$L$414*Registro_Compras!$N$414,2),ROUND(Registro_Compras!$J$414*Registro_Compras!$N$414,2))))</f>
        <v/>
      </c>
      <c r="G3699" t="str">
        <f>IF($C3699="","","Por el destino del gasto")</f>
        <v/>
      </c>
      <c r="H3699" t="str">
        <f>IF($C3699="","",Registro_Compras!$C$414)</f>
        <v/>
      </c>
    </row>
    <row r="3700" spans="1:8" x14ac:dyDescent="0.25">
      <c r="A3700" s="25" t="str">
        <f>IF($C3700="","",Registro_Compras!$X$414)</f>
        <v/>
      </c>
      <c r="B3700" t="str">
        <f>IF($C3700="","","C"&amp;TEXT(INT((ROW()-5)/9)+1,"000")&amp;"-3")</f>
        <v/>
      </c>
      <c r="C3700" t="str">
        <f>IF(OR(Registro_Compras!$C$414="",Registro_Compras!$O$414="",Registro_Compras!$R$414&lt;&gt;"SI",Registro_Compras!$X$414=""),"","4212")</f>
        <v/>
      </c>
      <c r="D3700" t="str">
        <f>IF(OR(Registro_Compras!$C$414="",Registro_Compras!$O$414=""),"","Cuentas por Pagar Comerciales - Terceros")</f>
        <v/>
      </c>
      <c r="E3700" s="20" t="str">
        <f>IF($C3700="","",Registro_Compras!$S$414)</f>
        <v/>
      </c>
      <c r="F3700" s="20" t="str">
        <f>""</f>
        <v/>
      </c>
      <c r="G3700" t="str">
        <f>IF($C3700="","","Por el deposito de la detraccion en el Banco de la Nacion")</f>
        <v/>
      </c>
      <c r="H3700" t="str">
        <f>IF($C3700="","",Registro_Compras!$C$414)</f>
        <v/>
      </c>
    </row>
    <row r="3701" spans="1:8" x14ac:dyDescent="0.25">
      <c r="A3701" s="25" t="str">
        <f>IF($C3701="","",Registro_Compras!$X$414)</f>
        <v/>
      </c>
      <c r="B3701" t="str">
        <f>IF($C3701="","","C"&amp;TEXT(INT((ROW()-5)/9)+1,"000")&amp;"-3")</f>
        <v/>
      </c>
      <c r="C3701" t="str">
        <f>IF(OR(Registro_Compras!$C$414="",Registro_Compras!$O$414="",Registro_Compras!$R$414&lt;&gt;"SI",Registro_Compras!$X$414=""),"","1041")</f>
        <v/>
      </c>
      <c r="D3701" t="str">
        <f>IF(OR(Registro_Compras!$C$414="",Registro_Compras!$O$414=""),"","Efectivo y Equivalentes - Cta. Cte. Operativa")</f>
        <v/>
      </c>
      <c r="E3701" s="20" t="str">
        <f>""</f>
        <v/>
      </c>
      <c r="F3701" s="20" t="str">
        <f>IF($C3701="","",Registro_Compras!$S$414)</f>
        <v/>
      </c>
      <c r="G3701" t="str">
        <f>IF($C3701="","","Por el deposito de la detraccion en el Banco de la Nacion")</f>
        <v/>
      </c>
      <c r="H3701" t="str">
        <f>IF($C3701="","",Registro_Compras!$C$414)</f>
        <v/>
      </c>
    </row>
    <row r="3702" spans="1:8" x14ac:dyDescent="0.25">
      <c r="A3702" s="25" t="str">
        <f>IF($C3702="","",Registro_Compras!$Y$414)</f>
        <v/>
      </c>
      <c r="B3702" t="str">
        <f>IF($C3702="","","C"&amp;TEXT(INT((ROW()-5)/9)+1,"000")&amp;"-4")</f>
        <v/>
      </c>
      <c r="C3702" t="str">
        <f>IF(OR(Registro_Compras!$C$414="",Registro_Compras!$O$414="",Registro_Compras!$Y$414="",Registro_Compras!$F$414="NOTA DE CREDITO"),"","4212")</f>
        <v/>
      </c>
      <c r="D3702" t="str">
        <f>IF(OR(Registro_Compras!$C$414="",Registro_Compras!$O$414=""),"","Cuentas por Pagar Comerciales - Terceros")</f>
        <v/>
      </c>
      <c r="E3702" s="20" t="str">
        <f>IF($C3702="","",IF(Registro_Compras!$F$414="RHE",(ROUND(Registro_Compras!$L$414*Registro_Compras!$N$414,2)-ROUND(Registro_Compras!$V$414*Registro_Compras!$N$414,2)),ROUND(Registro_Compras!$O$414-Registro_Compras!$S$414,2)))</f>
        <v/>
      </c>
      <c r="F3702" s="20" t="str">
        <f>""</f>
        <v/>
      </c>
      <c r="G3702" t="str">
        <f>IF($C3702="","","Por la cancelacion del saldo al proveedor")</f>
        <v/>
      </c>
      <c r="H3702" t="str">
        <f>IF($C3702="","",Registro_Compras!$C$414)</f>
        <v/>
      </c>
    </row>
    <row r="3703" spans="1:8" x14ac:dyDescent="0.25">
      <c r="A3703" s="25" t="str">
        <f>IF($C3703="","",Registro_Compras!$Y$414)</f>
        <v/>
      </c>
      <c r="B3703" t="str">
        <f>IF($C3703="","","C"&amp;TEXT(INT((ROW()-5)/9)+1,"000")&amp;"-4")</f>
        <v/>
      </c>
      <c r="C3703" t="str">
        <f>IF(OR(Registro_Compras!$C$414="",Registro_Compras!$O$414="",Registro_Compras!$Y$414="",Registro_Compras!$F$414="NOTA DE CREDITO"),"","1041")</f>
        <v/>
      </c>
      <c r="D3703" t="str">
        <f>IF(OR(Registro_Compras!$C$414="",Registro_Compras!$O$414=""),"","Efectivo y Equivalentes - Cta. Cte. Operativa")</f>
        <v/>
      </c>
      <c r="E3703" s="20" t="str">
        <f>""</f>
        <v/>
      </c>
      <c r="F3703" s="20" t="str">
        <f>IF($C3703="","",IF(Registro_Compras!$F$414="RHE",(ROUND(Registro_Compras!$L$414*Registro_Compras!$N$414,2)-ROUND(Registro_Compras!$V$414*Registro_Compras!$N$414,2)),ROUND(Registro_Compras!$O$414-Registro_Compras!$S$414,2)))</f>
        <v/>
      </c>
      <c r="G3703" t="str">
        <f>IF($C3703="","","Por la cancelacion del saldo al proveedor")</f>
        <v/>
      </c>
      <c r="H3703" t="str">
        <f>IF($C3703="","",Registro_Compras!$C$414)</f>
        <v/>
      </c>
    </row>
    <row r="3704" spans="1:8" x14ac:dyDescent="0.25">
      <c r="A3704" s="25" t="str">
        <f>IF($C3704="","",Registro_Compras!$B$415)</f>
        <v/>
      </c>
      <c r="B3704" t="str">
        <f>IF($C3704="","","C"&amp;TEXT(INT((ROW()-5)/9)+1,"000")&amp;"-1")</f>
        <v/>
      </c>
      <c r="C3704" t="str">
        <f>IF(OR(Registro_Compras!$C$415="",Registro_Compras!$O$415=""),"",IF(Registro_Compras!$F$415="NOTA DE CREDITO","4212",IF(Registro_Compras!$M$415="","63",Registro_Compras!$M$415)))</f>
        <v/>
      </c>
      <c r="D3704" t="str">
        <f>IF(OR(Registro_Compras!$C$415="",Registro_Compras!$O$415=""),"",IF(Registro_Compras!$F$415="NOTA DE CREDITO","Cuentas por Pagar Comerciales - Terceros (Emitidas)",IF(Registro_Compras!$F$415="RHE","Honorarios Profesionales - Servicios de Terceros","Gastos de Servicios Prestados por Terceros")))</f>
        <v/>
      </c>
      <c r="E3704" s="20" t="str">
        <f>IF($C3704="","",IF(Registro_Compras!$F$415="NOTA DE CREDITO",ABS(Registro_Compras!$O$415),IF(Registro_Compras!$F$415="RHE",ROUND(Registro_Compras!$L$415*Registro_Compras!$N$415,2),ROUND(Registro_Compras!$J$415*Registro_Compras!$N$415,2))))</f>
        <v/>
      </c>
      <c r="F3704" s="20" t="str">
        <f>""</f>
        <v/>
      </c>
      <c r="G3704" t="str">
        <f>IF($C3704="","",IF(Registro_Compras!$F$415="NOTA DE CREDITO","Por la nota de credito "&amp;Registro_Compras!$C$415&amp;" de "&amp;Registro_Compras!$E$415&amp;" [PATRON POR CONFIRMAR CON CONTADOR]",IF(Registro_Compras!$F$415="RHE","Por el registro del recibo por honorarios "&amp;Registro_Compras!$C$415&amp;" de "&amp;Registro_Compras!$E$415&amp;" [PATRON POR CONFIRMAR CON CONTADOR]","Por el registro de la factura "&amp;Registro_Compras!$C$415&amp;" de "&amp;Registro_Compras!$E$415)))</f>
        <v/>
      </c>
      <c r="H3704" t="str">
        <f>IF($C3704="","",Registro_Compras!$C$415)</f>
        <v/>
      </c>
    </row>
    <row r="3705" spans="1:8" x14ac:dyDescent="0.25">
      <c r="A3705" s="25" t="str">
        <f>IF($C3705="","",Registro_Compras!$B$415)</f>
        <v/>
      </c>
      <c r="B3705" t="str">
        <f>IF($C3705="","","C"&amp;TEXT(INT((ROW()-5)/9)+1,"000")&amp;"-1")</f>
        <v/>
      </c>
      <c r="C3705" t="str">
        <f>IF(OR(Registro_Compras!$C$415="",Registro_Compras!$O$415=""),"",IF(Registro_Compras!$F$415="RHE",IF(Registro_Compras!$V$415=0,"","4017"),IF(Registro_Compras!$F$415="NOTA DE CREDITO",IF(Registro_Compras!$M$415="","63",Registro_Compras!$M$415),IF(Registro_Compras!$K$415=0,"","40111"))))</f>
        <v/>
      </c>
      <c r="D3705" t="str">
        <f>IF(OR(Registro_Compras!$C$415="",Registro_Compras!$O$415=""),"",IF(Registro_Compras!$F$415="RHE","Retencion Renta 4ta Categoria por Pagar",IF(Registro_Compras!$F$415="NOTA DE CREDITO","Gastos de Servicios Prestados por Terceros","IGV - Cuenta Propia (Credito Fiscal)")))</f>
        <v/>
      </c>
      <c r="E3705" s="20" t="str">
        <f>IF($C3705="","",IF(Registro_Compras!$F$415="FACTURA",ROUND(Registro_Compras!$K$415*Registro_Compras!$N$415,2),""))</f>
        <v/>
      </c>
      <c r="F3705" s="20" t="str">
        <f>IF($C3705="","",IF(Registro_Compras!$F$415="RHE",ROUND(Registro_Compras!$V$415*Registro_Compras!$N$415,2),IF(Registro_Compras!$F$415="NOTA DE CREDITO",ROUND(ABS(Registro_Compras!$J$415*Registro_Compras!$N$415),2),"")))</f>
        <v/>
      </c>
      <c r="G3705" t="str">
        <f>IF($C3705="","",IF(Registro_Compras!$F$415="NOTA DE CREDITO","Por la nota de credito "&amp;Registro_Compras!$C$415&amp;" de "&amp;Registro_Compras!$E$415&amp;" [PATRON POR CONFIRMAR CON CONTADOR]",IF(Registro_Compras!$F$415="RHE","Por el registro del recibo por honorarios "&amp;Registro_Compras!$C$415&amp;" de "&amp;Registro_Compras!$E$415&amp;" [PATRON POR CONFIRMAR CON CONTADOR]","Por el registro de la factura "&amp;Registro_Compras!$C$415&amp;" de "&amp;Registro_Compras!$E$415)))</f>
        <v/>
      </c>
      <c r="H3705" t="str">
        <f>IF($C3705="","",Registro_Compras!$C$415)</f>
        <v/>
      </c>
    </row>
    <row r="3706" spans="1:8" x14ac:dyDescent="0.25">
      <c r="A3706" s="25" t="str">
        <f>IF($C3706="","",Registro_Compras!$B$415)</f>
        <v/>
      </c>
      <c r="B3706" t="str">
        <f>IF($C3706="","","C"&amp;TEXT(INT((ROW()-5)/9)+1,"000")&amp;"-1")</f>
        <v/>
      </c>
      <c r="C3706" t="str">
        <f>IF(OR(Registro_Compras!$C$415="",Registro_Compras!$O$415=""),"",IF(Registro_Compras!$F$415="NOTA DE CREDITO",IF(Registro_Compras!$K$415=0,"","40111"),"4212"))</f>
        <v/>
      </c>
      <c r="D3706" t="str">
        <f>IF(OR(Registro_Compras!$C$415="",Registro_Compras!$O$415=""),"",IF(Registro_Compras!$F$415="NOTA DE CREDITO","IGV - Cuenta Propia (Credito Fiscal)","Cuentas por Pagar Comerciales - Terceros (Emitidas)"))</f>
        <v/>
      </c>
      <c r="E3706" s="20" t="str">
        <f>""</f>
        <v/>
      </c>
      <c r="F3706" s="20" t="str">
        <f>IF($C3706="","",IF(Registro_Compras!$F$415="NOTA DE CREDITO",ROUND(ABS(Registro_Compras!$K$415*Registro_Compras!$N$415),2),IF(Registro_Compras!$F$415="RHE",(ROUND(Registro_Compras!$L$415*Registro_Compras!$N$415,2)-ROUND(Registro_Compras!$V$415*Registro_Compras!$N$415,2)),Registro_Compras!$O$415)))</f>
        <v/>
      </c>
      <c r="G3706" t="str">
        <f>IF($C3706="","",IF(Registro_Compras!$F$415="NOTA DE CREDITO","Por la nota de credito "&amp;Registro_Compras!$C$415&amp;" de "&amp;Registro_Compras!$E$415&amp;" [PATRON POR CONFIRMAR CON CONTADOR]",IF(Registro_Compras!$F$415="RHE","Por el registro del recibo por honorarios "&amp;Registro_Compras!$C$415&amp;" de "&amp;Registro_Compras!$E$415&amp;" [PATRON POR CONFIRMAR CON CONTADOR]","Por el registro de la factura "&amp;Registro_Compras!$C$415&amp;" de "&amp;Registro_Compras!$E$415)))</f>
        <v/>
      </c>
      <c r="H3706" t="str">
        <f>IF($C3706="","",Registro_Compras!$C$415)</f>
        <v/>
      </c>
    </row>
    <row r="3707" spans="1:8" x14ac:dyDescent="0.25">
      <c r="A3707" s="25" t="str">
        <f>IF($C3707="","",Registro_Compras!$B$415)</f>
        <v/>
      </c>
      <c r="B3707" t="str">
        <f>IF($C3707="","","C"&amp;TEXT(INT((ROW()-5)/9)+1,"000")&amp;"-2")</f>
        <v/>
      </c>
      <c r="C3707" t="str">
        <f>IF(OR(Registro_Compras!$C$415="",Registro_Compras!$O$415=""),"",IF(Registro_Compras!$AB$415="ADMINISTRATIVO","94","95"))</f>
        <v/>
      </c>
      <c r="D3707" t="str">
        <f>IF(OR(Registro_Compras!$C$415="",Registro_Compras!$O$415=""),"",IF(Registro_Compras!$AB$415="ADMINISTRATIVO","Gastos Administrativos","Gastos de Venta y Operacion"))</f>
        <v/>
      </c>
      <c r="E3707" s="20" t="str">
        <f>IF($C3707="","",IF(Registro_Compras!$F$415="NOTA DE CREDITO","",IF(Registro_Compras!$F$415="RHE",ROUND(Registro_Compras!$L$415*Registro_Compras!$N$415,2),ROUND(Registro_Compras!$J$415*Registro_Compras!$N$415,2))))</f>
        <v/>
      </c>
      <c r="F3707" s="20" t="str">
        <f>IF($C3707="","",IF(Registro_Compras!$F$415="NOTA DE CREDITO",ROUND(ABS(Registro_Compras!$J$415*Registro_Compras!$N$415),2),""))</f>
        <v/>
      </c>
      <c r="G3707" t="str">
        <f>IF($C3707="","","Por el destino del gasto")</f>
        <v/>
      </c>
      <c r="H3707" t="str">
        <f>IF($C3707="","",Registro_Compras!$C$415)</f>
        <v/>
      </c>
    </row>
    <row r="3708" spans="1:8" x14ac:dyDescent="0.25">
      <c r="A3708" s="25" t="str">
        <f>IF($C3708="","",Registro_Compras!$B$415)</f>
        <v/>
      </c>
      <c r="B3708" t="str">
        <f>IF($C3708="","","C"&amp;TEXT(INT((ROW()-5)/9)+1,"000")&amp;"-2")</f>
        <v/>
      </c>
      <c r="C3708" t="str">
        <f>IF(OR(Registro_Compras!$C$415="",Registro_Compras!$O$415=""),"","79/791")</f>
        <v/>
      </c>
      <c r="D3708" t="str">
        <f>IF(OR(Registro_Compras!$C$415="",Registro_Compras!$O$415=""),"","Cargas Imputables a Cuentas de Costos y Gastos")</f>
        <v/>
      </c>
      <c r="E3708" s="20" t="str">
        <f>IF($C3708="","",IF(Registro_Compras!$F$415="NOTA DE CREDITO",ROUND(ABS(Registro_Compras!$J$415*Registro_Compras!$N$415),2),""))</f>
        <v/>
      </c>
      <c r="F3708" s="20" t="str">
        <f>IF($C3708="","",IF(Registro_Compras!$F$415="NOTA DE CREDITO","",IF(Registro_Compras!$F$415="RHE",ROUND(Registro_Compras!$L$415*Registro_Compras!$N$415,2),ROUND(Registro_Compras!$J$415*Registro_Compras!$N$415,2))))</f>
        <v/>
      </c>
      <c r="G3708" t="str">
        <f>IF($C3708="","","Por el destino del gasto")</f>
        <v/>
      </c>
      <c r="H3708" t="str">
        <f>IF($C3708="","",Registro_Compras!$C$415)</f>
        <v/>
      </c>
    </row>
    <row r="3709" spans="1:8" x14ac:dyDescent="0.25">
      <c r="A3709" s="25" t="str">
        <f>IF($C3709="","",Registro_Compras!$X$415)</f>
        <v/>
      </c>
      <c r="B3709" t="str">
        <f>IF($C3709="","","C"&amp;TEXT(INT((ROW()-5)/9)+1,"000")&amp;"-3")</f>
        <v/>
      </c>
      <c r="C3709" t="str">
        <f>IF(OR(Registro_Compras!$C$415="",Registro_Compras!$O$415="",Registro_Compras!$R$415&lt;&gt;"SI",Registro_Compras!$X$415=""),"","4212")</f>
        <v/>
      </c>
      <c r="D3709" t="str">
        <f>IF(OR(Registro_Compras!$C$415="",Registro_Compras!$O$415=""),"","Cuentas por Pagar Comerciales - Terceros")</f>
        <v/>
      </c>
      <c r="E3709" s="20" t="str">
        <f>IF($C3709="","",Registro_Compras!$S$415)</f>
        <v/>
      </c>
      <c r="F3709" s="20" t="str">
        <f>""</f>
        <v/>
      </c>
      <c r="G3709" t="str">
        <f>IF($C3709="","","Por el deposito de la detraccion en el Banco de la Nacion")</f>
        <v/>
      </c>
      <c r="H3709" t="str">
        <f>IF($C3709="","",Registro_Compras!$C$415)</f>
        <v/>
      </c>
    </row>
    <row r="3710" spans="1:8" x14ac:dyDescent="0.25">
      <c r="A3710" s="25" t="str">
        <f>IF($C3710="","",Registro_Compras!$X$415)</f>
        <v/>
      </c>
      <c r="B3710" t="str">
        <f>IF($C3710="","","C"&amp;TEXT(INT((ROW()-5)/9)+1,"000")&amp;"-3")</f>
        <v/>
      </c>
      <c r="C3710" t="str">
        <f>IF(OR(Registro_Compras!$C$415="",Registro_Compras!$O$415="",Registro_Compras!$R$415&lt;&gt;"SI",Registro_Compras!$X$415=""),"","1041")</f>
        <v/>
      </c>
      <c r="D3710" t="str">
        <f>IF(OR(Registro_Compras!$C$415="",Registro_Compras!$O$415=""),"","Efectivo y Equivalentes - Cta. Cte. Operativa")</f>
        <v/>
      </c>
      <c r="E3710" s="20" t="str">
        <f>""</f>
        <v/>
      </c>
      <c r="F3710" s="20" t="str">
        <f>IF($C3710="","",Registro_Compras!$S$415)</f>
        <v/>
      </c>
      <c r="G3710" t="str">
        <f>IF($C3710="","","Por el deposito de la detraccion en el Banco de la Nacion")</f>
        <v/>
      </c>
      <c r="H3710" t="str">
        <f>IF($C3710="","",Registro_Compras!$C$415)</f>
        <v/>
      </c>
    </row>
    <row r="3711" spans="1:8" x14ac:dyDescent="0.25">
      <c r="A3711" s="25" t="str">
        <f>IF($C3711="","",Registro_Compras!$Y$415)</f>
        <v/>
      </c>
      <c r="B3711" t="str">
        <f>IF($C3711="","","C"&amp;TEXT(INT((ROW()-5)/9)+1,"000")&amp;"-4")</f>
        <v/>
      </c>
      <c r="C3711" t="str">
        <f>IF(OR(Registro_Compras!$C$415="",Registro_Compras!$O$415="",Registro_Compras!$Y$415="",Registro_Compras!$F$415="NOTA DE CREDITO"),"","4212")</f>
        <v/>
      </c>
      <c r="D3711" t="str">
        <f>IF(OR(Registro_Compras!$C$415="",Registro_Compras!$O$415=""),"","Cuentas por Pagar Comerciales - Terceros")</f>
        <v/>
      </c>
      <c r="E3711" s="20" t="str">
        <f>IF($C3711="","",IF(Registro_Compras!$F$415="RHE",(ROUND(Registro_Compras!$L$415*Registro_Compras!$N$415,2)-ROUND(Registro_Compras!$V$415*Registro_Compras!$N$415,2)),ROUND(Registro_Compras!$O$415-Registro_Compras!$S$415,2)))</f>
        <v/>
      </c>
      <c r="F3711" s="20" t="str">
        <f>""</f>
        <v/>
      </c>
      <c r="G3711" t="str">
        <f>IF($C3711="","","Por la cancelacion del saldo al proveedor")</f>
        <v/>
      </c>
      <c r="H3711" t="str">
        <f>IF($C3711="","",Registro_Compras!$C$415)</f>
        <v/>
      </c>
    </row>
    <row r="3712" spans="1:8" x14ac:dyDescent="0.25">
      <c r="A3712" s="25" t="str">
        <f>IF($C3712="","",Registro_Compras!$Y$415)</f>
        <v/>
      </c>
      <c r="B3712" t="str">
        <f>IF($C3712="","","C"&amp;TEXT(INT((ROW()-5)/9)+1,"000")&amp;"-4")</f>
        <v/>
      </c>
      <c r="C3712" t="str">
        <f>IF(OR(Registro_Compras!$C$415="",Registro_Compras!$O$415="",Registro_Compras!$Y$415="",Registro_Compras!$F$415="NOTA DE CREDITO"),"","1041")</f>
        <v/>
      </c>
      <c r="D3712" t="str">
        <f>IF(OR(Registro_Compras!$C$415="",Registro_Compras!$O$415=""),"","Efectivo y Equivalentes - Cta. Cte. Operativa")</f>
        <v/>
      </c>
      <c r="E3712" s="20" t="str">
        <f>""</f>
        <v/>
      </c>
      <c r="F3712" s="20" t="str">
        <f>IF($C3712="","",IF(Registro_Compras!$F$415="RHE",(ROUND(Registro_Compras!$L$415*Registro_Compras!$N$415,2)-ROUND(Registro_Compras!$V$415*Registro_Compras!$N$415,2)),ROUND(Registro_Compras!$O$415-Registro_Compras!$S$415,2)))</f>
        <v/>
      </c>
      <c r="G3712" t="str">
        <f>IF($C3712="","","Por la cancelacion del saldo al proveedor")</f>
        <v/>
      </c>
      <c r="H3712" t="str">
        <f>IF($C3712="","",Registro_Compras!$C$415)</f>
        <v/>
      </c>
    </row>
    <row r="3713" spans="1:8" x14ac:dyDescent="0.25">
      <c r="A3713" s="25" t="str">
        <f>IF($C3713="","",Registro_Compras!$B$416)</f>
        <v/>
      </c>
      <c r="B3713" t="str">
        <f>IF($C3713="","","C"&amp;TEXT(INT((ROW()-5)/9)+1,"000")&amp;"-1")</f>
        <v/>
      </c>
      <c r="C3713" t="str">
        <f>IF(OR(Registro_Compras!$C$416="",Registro_Compras!$O$416=""),"",IF(Registro_Compras!$F$416="NOTA DE CREDITO","4212",IF(Registro_Compras!$M$416="","63",Registro_Compras!$M$416)))</f>
        <v/>
      </c>
      <c r="D3713" t="str">
        <f>IF(OR(Registro_Compras!$C$416="",Registro_Compras!$O$416=""),"",IF(Registro_Compras!$F$416="NOTA DE CREDITO","Cuentas por Pagar Comerciales - Terceros (Emitidas)",IF(Registro_Compras!$F$416="RHE","Honorarios Profesionales - Servicios de Terceros","Gastos de Servicios Prestados por Terceros")))</f>
        <v/>
      </c>
      <c r="E3713" s="20" t="str">
        <f>IF($C3713="","",IF(Registro_Compras!$F$416="NOTA DE CREDITO",ABS(Registro_Compras!$O$416),IF(Registro_Compras!$F$416="RHE",ROUND(Registro_Compras!$L$416*Registro_Compras!$N$416,2),ROUND(Registro_Compras!$J$416*Registro_Compras!$N$416,2))))</f>
        <v/>
      </c>
      <c r="F3713" s="20" t="str">
        <f>""</f>
        <v/>
      </c>
      <c r="G3713" t="str">
        <f>IF($C3713="","",IF(Registro_Compras!$F$416="NOTA DE CREDITO","Por la nota de credito "&amp;Registro_Compras!$C$416&amp;" de "&amp;Registro_Compras!$E$416&amp;" [PATRON POR CONFIRMAR CON CONTADOR]",IF(Registro_Compras!$F$416="RHE","Por el registro del recibo por honorarios "&amp;Registro_Compras!$C$416&amp;" de "&amp;Registro_Compras!$E$416&amp;" [PATRON POR CONFIRMAR CON CONTADOR]","Por el registro de la factura "&amp;Registro_Compras!$C$416&amp;" de "&amp;Registro_Compras!$E$416)))</f>
        <v/>
      </c>
      <c r="H3713" t="str">
        <f>IF($C3713="","",Registro_Compras!$C$416)</f>
        <v/>
      </c>
    </row>
    <row r="3714" spans="1:8" x14ac:dyDescent="0.25">
      <c r="A3714" s="25" t="str">
        <f>IF($C3714="","",Registro_Compras!$B$416)</f>
        <v/>
      </c>
      <c r="B3714" t="str">
        <f>IF($C3714="","","C"&amp;TEXT(INT((ROW()-5)/9)+1,"000")&amp;"-1")</f>
        <v/>
      </c>
      <c r="C3714" t="str">
        <f>IF(OR(Registro_Compras!$C$416="",Registro_Compras!$O$416=""),"",IF(Registro_Compras!$F$416="RHE",IF(Registro_Compras!$V$416=0,"","4017"),IF(Registro_Compras!$F$416="NOTA DE CREDITO",IF(Registro_Compras!$M$416="","63",Registro_Compras!$M$416),IF(Registro_Compras!$K$416=0,"","40111"))))</f>
        <v/>
      </c>
      <c r="D3714" t="str">
        <f>IF(OR(Registro_Compras!$C$416="",Registro_Compras!$O$416=""),"",IF(Registro_Compras!$F$416="RHE","Retencion Renta 4ta Categoria por Pagar",IF(Registro_Compras!$F$416="NOTA DE CREDITO","Gastos de Servicios Prestados por Terceros","IGV - Cuenta Propia (Credito Fiscal)")))</f>
        <v/>
      </c>
      <c r="E3714" s="20" t="str">
        <f>IF($C3714="","",IF(Registro_Compras!$F$416="FACTURA",ROUND(Registro_Compras!$K$416*Registro_Compras!$N$416,2),""))</f>
        <v/>
      </c>
      <c r="F3714" s="20" t="str">
        <f>IF($C3714="","",IF(Registro_Compras!$F$416="RHE",ROUND(Registro_Compras!$V$416*Registro_Compras!$N$416,2),IF(Registro_Compras!$F$416="NOTA DE CREDITO",ROUND(ABS(Registro_Compras!$J$416*Registro_Compras!$N$416),2),"")))</f>
        <v/>
      </c>
      <c r="G3714" t="str">
        <f>IF($C3714="","",IF(Registro_Compras!$F$416="NOTA DE CREDITO","Por la nota de credito "&amp;Registro_Compras!$C$416&amp;" de "&amp;Registro_Compras!$E$416&amp;" [PATRON POR CONFIRMAR CON CONTADOR]",IF(Registro_Compras!$F$416="RHE","Por el registro del recibo por honorarios "&amp;Registro_Compras!$C$416&amp;" de "&amp;Registro_Compras!$E$416&amp;" [PATRON POR CONFIRMAR CON CONTADOR]","Por el registro de la factura "&amp;Registro_Compras!$C$416&amp;" de "&amp;Registro_Compras!$E$416)))</f>
        <v/>
      </c>
      <c r="H3714" t="str">
        <f>IF($C3714="","",Registro_Compras!$C$416)</f>
        <v/>
      </c>
    </row>
    <row r="3715" spans="1:8" x14ac:dyDescent="0.25">
      <c r="A3715" s="25" t="str">
        <f>IF($C3715="","",Registro_Compras!$B$416)</f>
        <v/>
      </c>
      <c r="B3715" t="str">
        <f>IF($C3715="","","C"&amp;TEXT(INT((ROW()-5)/9)+1,"000")&amp;"-1")</f>
        <v/>
      </c>
      <c r="C3715" t="str">
        <f>IF(OR(Registro_Compras!$C$416="",Registro_Compras!$O$416=""),"",IF(Registro_Compras!$F$416="NOTA DE CREDITO",IF(Registro_Compras!$K$416=0,"","40111"),"4212"))</f>
        <v/>
      </c>
      <c r="D3715" t="str">
        <f>IF(OR(Registro_Compras!$C$416="",Registro_Compras!$O$416=""),"",IF(Registro_Compras!$F$416="NOTA DE CREDITO","IGV - Cuenta Propia (Credito Fiscal)","Cuentas por Pagar Comerciales - Terceros (Emitidas)"))</f>
        <v/>
      </c>
      <c r="E3715" s="20" t="str">
        <f>""</f>
        <v/>
      </c>
      <c r="F3715" s="20" t="str">
        <f>IF($C3715="","",IF(Registro_Compras!$F$416="NOTA DE CREDITO",ROUND(ABS(Registro_Compras!$K$416*Registro_Compras!$N$416),2),IF(Registro_Compras!$F$416="RHE",(ROUND(Registro_Compras!$L$416*Registro_Compras!$N$416,2)-ROUND(Registro_Compras!$V$416*Registro_Compras!$N$416,2)),Registro_Compras!$O$416)))</f>
        <v/>
      </c>
      <c r="G3715" t="str">
        <f>IF($C3715="","",IF(Registro_Compras!$F$416="NOTA DE CREDITO","Por la nota de credito "&amp;Registro_Compras!$C$416&amp;" de "&amp;Registro_Compras!$E$416&amp;" [PATRON POR CONFIRMAR CON CONTADOR]",IF(Registro_Compras!$F$416="RHE","Por el registro del recibo por honorarios "&amp;Registro_Compras!$C$416&amp;" de "&amp;Registro_Compras!$E$416&amp;" [PATRON POR CONFIRMAR CON CONTADOR]","Por el registro de la factura "&amp;Registro_Compras!$C$416&amp;" de "&amp;Registro_Compras!$E$416)))</f>
        <v/>
      </c>
      <c r="H3715" t="str">
        <f>IF($C3715="","",Registro_Compras!$C$416)</f>
        <v/>
      </c>
    </row>
    <row r="3716" spans="1:8" x14ac:dyDescent="0.25">
      <c r="A3716" s="25" t="str">
        <f>IF($C3716="","",Registro_Compras!$B$416)</f>
        <v/>
      </c>
      <c r="B3716" t="str">
        <f>IF($C3716="","","C"&amp;TEXT(INT((ROW()-5)/9)+1,"000")&amp;"-2")</f>
        <v/>
      </c>
      <c r="C3716" t="str">
        <f>IF(OR(Registro_Compras!$C$416="",Registro_Compras!$O$416=""),"",IF(Registro_Compras!$AB$416="ADMINISTRATIVO","94","95"))</f>
        <v/>
      </c>
      <c r="D3716" t="str">
        <f>IF(OR(Registro_Compras!$C$416="",Registro_Compras!$O$416=""),"",IF(Registro_Compras!$AB$416="ADMINISTRATIVO","Gastos Administrativos","Gastos de Venta y Operacion"))</f>
        <v/>
      </c>
      <c r="E3716" s="20" t="str">
        <f>IF($C3716="","",IF(Registro_Compras!$F$416="NOTA DE CREDITO","",IF(Registro_Compras!$F$416="RHE",ROUND(Registro_Compras!$L$416*Registro_Compras!$N$416,2),ROUND(Registro_Compras!$J$416*Registro_Compras!$N$416,2))))</f>
        <v/>
      </c>
      <c r="F3716" s="20" t="str">
        <f>IF($C3716="","",IF(Registro_Compras!$F$416="NOTA DE CREDITO",ROUND(ABS(Registro_Compras!$J$416*Registro_Compras!$N$416),2),""))</f>
        <v/>
      </c>
      <c r="G3716" t="str">
        <f>IF($C3716="","","Por el destino del gasto")</f>
        <v/>
      </c>
      <c r="H3716" t="str">
        <f>IF($C3716="","",Registro_Compras!$C$416)</f>
        <v/>
      </c>
    </row>
    <row r="3717" spans="1:8" x14ac:dyDescent="0.25">
      <c r="A3717" s="25" t="str">
        <f>IF($C3717="","",Registro_Compras!$B$416)</f>
        <v/>
      </c>
      <c r="B3717" t="str">
        <f>IF($C3717="","","C"&amp;TEXT(INT((ROW()-5)/9)+1,"000")&amp;"-2")</f>
        <v/>
      </c>
      <c r="C3717" t="str">
        <f>IF(OR(Registro_Compras!$C$416="",Registro_Compras!$O$416=""),"","79/791")</f>
        <v/>
      </c>
      <c r="D3717" t="str">
        <f>IF(OR(Registro_Compras!$C$416="",Registro_Compras!$O$416=""),"","Cargas Imputables a Cuentas de Costos y Gastos")</f>
        <v/>
      </c>
      <c r="E3717" s="20" t="str">
        <f>IF($C3717="","",IF(Registro_Compras!$F$416="NOTA DE CREDITO",ROUND(ABS(Registro_Compras!$J$416*Registro_Compras!$N$416),2),""))</f>
        <v/>
      </c>
      <c r="F3717" s="20" t="str">
        <f>IF($C3717="","",IF(Registro_Compras!$F$416="NOTA DE CREDITO","",IF(Registro_Compras!$F$416="RHE",ROUND(Registro_Compras!$L$416*Registro_Compras!$N$416,2),ROUND(Registro_Compras!$J$416*Registro_Compras!$N$416,2))))</f>
        <v/>
      </c>
      <c r="G3717" t="str">
        <f>IF($C3717="","","Por el destino del gasto")</f>
        <v/>
      </c>
      <c r="H3717" t="str">
        <f>IF($C3717="","",Registro_Compras!$C$416)</f>
        <v/>
      </c>
    </row>
    <row r="3718" spans="1:8" x14ac:dyDescent="0.25">
      <c r="A3718" s="25" t="str">
        <f>IF($C3718="","",Registro_Compras!$X$416)</f>
        <v/>
      </c>
      <c r="B3718" t="str">
        <f>IF($C3718="","","C"&amp;TEXT(INT((ROW()-5)/9)+1,"000")&amp;"-3")</f>
        <v/>
      </c>
      <c r="C3718" t="str">
        <f>IF(OR(Registro_Compras!$C$416="",Registro_Compras!$O$416="",Registro_Compras!$R$416&lt;&gt;"SI",Registro_Compras!$X$416=""),"","4212")</f>
        <v/>
      </c>
      <c r="D3718" t="str">
        <f>IF(OR(Registro_Compras!$C$416="",Registro_Compras!$O$416=""),"","Cuentas por Pagar Comerciales - Terceros")</f>
        <v/>
      </c>
      <c r="E3718" s="20" t="str">
        <f>IF($C3718="","",Registro_Compras!$S$416)</f>
        <v/>
      </c>
      <c r="F3718" s="20" t="str">
        <f>""</f>
        <v/>
      </c>
      <c r="G3718" t="str">
        <f>IF($C3718="","","Por el deposito de la detraccion en el Banco de la Nacion")</f>
        <v/>
      </c>
      <c r="H3718" t="str">
        <f>IF($C3718="","",Registro_Compras!$C$416)</f>
        <v/>
      </c>
    </row>
    <row r="3719" spans="1:8" x14ac:dyDescent="0.25">
      <c r="A3719" s="25" t="str">
        <f>IF($C3719="","",Registro_Compras!$X$416)</f>
        <v/>
      </c>
      <c r="B3719" t="str">
        <f>IF($C3719="","","C"&amp;TEXT(INT((ROW()-5)/9)+1,"000")&amp;"-3")</f>
        <v/>
      </c>
      <c r="C3719" t="str">
        <f>IF(OR(Registro_Compras!$C$416="",Registro_Compras!$O$416="",Registro_Compras!$R$416&lt;&gt;"SI",Registro_Compras!$X$416=""),"","1041")</f>
        <v/>
      </c>
      <c r="D3719" t="str">
        <f>IF(OR(Registro_Compras!$C$416="",Registro_Compras!$O$416=""),"","Efectivo y Equivalentes - Cta. Cte. Operativa")</f>
        <v/>
      </c>
      <c r="E3719" s="20" t="str">
        <f>""</f>
        <v/>
      </c>
      <c r="F3719" s="20" t="str">
        <f>IF($C3719="","",Registro_Compras!$S$416)</f>
        <v/>
      </c>
      <c r="G3719" t="str">
        <f>IF($C3719="","","Por el deposito de la detraccion en el Banco de la Nacion")</f>
        <v/>
      </c>
      <c r="H3719" t="str">
        <f>IF($C3719="","",Registro_Compras!$C$416)</f>
        <v/>
      </c>
    </row>
    <row r="3720" spans="1:8" x14ac:dyDescent="0.25">
      <c r="A3720" s="25" t="str">
        <f>IF($C3720="","",Registro_Compras!$Y$416)</f>
        <v/>
      </c>
      <c r="B3720" t="str">
        <f>IF($C3720="","","C"&amp;TEXT(INT((ROW()-5)/9)+1,"000")&amp;"-4")</f>
        <v/>
      </c>
      <c r="C3720" t="str">
        <f>IF(OR(Registro_Compras!$C$416="",Registro_Compras!$O$416="",Registro_Compras!$Y$416="",Registro_Compras!$F$416="NOTA DE CREDITO"),"","4212")</f>
        <v/>
      </c>
      <c r="D3720" t="str">
        <f>IF(OR(Registro_Compras!$C$416="",Registro_Compras!$O$416=""),"","Cuentas por Pagar Comerciales - Terceros")</f>
        <v/>
      </c>
      <c r="E3720" s="20" t="str">
        <f>IF($C3720="","",IF(Registro_Compras!$F$416="RHE",(ROUND(Registro_Compras!$L$416*Registro_Compras!$N$416,2)-ROUND(Registro_Compras!$V$416*Registro_Compras!$N$416,2)),ROUND(Registro_Compras!$O$416-Registro_Compras!$S$416,2)))</f>
        <v/>
      </c>
      <c r="F3720" s="20" t="str">
        <f>""</f>
        <v/>
      </c>
      <c r="G3720" t="str">
        <f>IF($C3720="","","Por la cancelacion del saldo al proveedor")</f>
        <v/>
      </c>
      <c r="H3720" t="str">
        <f>IF($C3720="","",Registro_Compras!$C$416)</f>
        <v/>
      </c>
    </row>
    <row r="3721" spans="1:8" x14ac:dyDescent="0.25">
      <c r="A3721" s="25" t="str">
        <f>IF($C3721="","",Registro_Compras!$Y$416)</f>
        <v/>
      </c>
      <c r="B3721" t="str">
        <f>IF($C3721="","","C"&amp;TEXT(INT((ROW()-5)/9)+1,"000")&amp;"-4")</f>
        <v/>
      </c>
      <c r="C3721" t="str">
        <f>IF(OR(Registro_Compras!$C$416="",Registro_Compras!$O$416="",Registro_Compras!$Y$416="",Registro_Compras!$F$416="NOTA DE CREDITO"),"","1041")</f>
        <v/>
      </c>
      <c r="D3721" t="str">
        <f>IF(OR(Registro_Compras!$C$416="",Registro_Compras!$O$416=""),"","Efectivo y Equivalentes - Cta. Cte. Operativa")</f>
        <v/>
      </c>
      <c r="E3721" s="20" t="str">
        <f>""</f>
        <v/>
      </c>
      <c r="F3721" s="20" t="str">
        <f>IF($C3721="","",IF(Registro_Compras!$F$416="RHE",(ROUND(Registro_Compras!$L$416*Registro_Compras!$N$416,2)-ROUND(Registro_Compras!$V$416*Registro_Compras!$N$416,2)),ROUND(Registro_Compras!$O$416-Registro_Compras!$S$416,2)))</f>
        <v/>
      </c>
      <c r="G3721" t="str">
        <f>IF($C3721="","","Por la cancelacion del saldo al proveedor")</f>
        <v/>
      </c>
      <c r="H3721" t="str">
        <f>IF($C3721="","",Registro_Compras!$C$416)</f>
        <v/>
      </c>
    </row>
    <row r="3722" spans="1:8" x14ac:dyDescent="0.25">
      <c r="A3722" s="25" t="str">
        <f>IF($C3722="","",Registro_Compras!$B$417)</f>
        <v/>
      </c>
      <c r="B3722" t="str">
        <f>IF($C3722="","","C"&amp;TEXT(INT((ROW()-5)/9)+1,"000")&amp;"-1")</f>
        <v/>
      </c>
      <c r="C3722" t="str">
        <f>IF(OR(Registro_Compras!$C$417="",Registro_Compras!$O$417=""),"",IF(Registro_Compras!$F$417="NOTA DE CREDITO","4212",IF(Registro_Compras!$M$417="","63",Registro_Compras!$M$417)))</f>
        <v/>
      </c>
      <c r="D3722" t="str">
        <f>IF(OR(Registro_Compras!$C$417="",Registro_Compras!$O$417=""),"",IF(Registro_Compras!$F$417="NOTA DE CREDITO","Cuentas por Pagar Comerciales - Terceros (Emitidas)",IF(Registro_Compras!$F$417="RHE","Honorarios Profesionales - Servicios de Terceros","Gastos de Servicios Prestados por Terceros")))</f>
        <v/>
      </c>
      <c r="E3722" s="20" t="str">
        <f>IF($C3722="","",IF(Registro_Compras!$F$417="NOTA DE CREDITO",ABS(Registro_Compras!$O$417),IF(Registro_Compras!$F$417="RHE",ROUND(Registro_Compras!$L$417*Registro_Compras!$N$417,2),ROUND(Registro_Compras!$J$417*Registro_Compras!$N$417,2))))</f>
        <v/>
      </c>
      <c r="F3722" s="20" t="str">
        <f>""</f>
        <v/>
      </c>
      <c r="G3722" t="str">
        <f>IF($C3722="","",IF(Registro_Compras!$F$417="NOTA DE CREDITO","Por la nota de credito "&amp;Registro_Compras!$C$417&amp;" de "&amp;Registro_Compras!$E$417&amp;" [PATRON POR CONFIRMAR CON CONTADOR]",IF(Registro_Compras!$F$417="RHE","Por el registro del recibo por honorarios "&amp;Registro_Compras!$C$417&amp;" de "&amp;Registro_Compras!$E$417&amp;" [PATRON POR CONFIRMAR CON CONTADOR]","Por el registro de la factura "&amp;Registro_Compras!$C$417&amp;" de "&amp;Registro_Compras!$E$417)))</f>
        <v/>
      </c>
      <c r="H3722" t="str">
        <f>IF($C3722="","",Registro_Compras!$C$417)</f>
        <v/>
      </c>
    </row>
    <row r="3723" spans="1:8" x14ac:dyDescent="0.25">
      <c r="A3723" s="25" t="str">
        <f>IF($C3723="","",Registro_Compras!$B$417)</f>
        <v/>
      </c>
      <c r="B3723" t="str">
        <f>IF($C3723="","","C"&amp;TEXT(INT((ROW()-5)/9)+1,"000")&amp;"-1")</f>
        <v/>
      </c>
      <c r="C3723" t="str">
        <f>IF(OR(Registro_Compras!$C$417="",Registro_Compras!$O$417=""),"",IF(Registro_Compras!$F$417="RHE",IF(Registro_Compras!$V$417=0,"","4017"),IF(Registro_Compras!$F$417="NOTA DE CREDITO",IF(Registro_Compras!$M$417="","63",Registro_Compras!$M$417),IF(Registro_Compras!$K$417=0,"","40111"))))</f>
        <v/>
      </c>
      <c r="D3723" t="str">
        <f>IF(OR(Registro_Compras!$C$417="",Registro_Compras!$O$417=""),"",IF(Registro_Compras!$F$417="RHE","Retencion Renta 4ta Categoria por Pagar",IF(Registro_Compras!$F$417="NOTA DE CREDITO","Gastos de Servicios Prestados por Terceros","IGV - Cuenta Propia (Credito Fiscal)")))</f>
        <v/>
      </c>
      <c r="E3723" s="20" t="str">
        <f>IF($C3723="","",IF(Registro_Compras!$F$417="FACTURA",ROUND(Registro_Compras!$K$417*Registro_Compras!$N$417,2),""))</f>
        <v/>
      </c>
      <c r="F3723" s="20" t="str">
        <f>IF($C3723="","",IF(Registro_Compras!$F$417="RHE",ROUND(Registro_Compras!$V$417*Registro_Compras!$N$417,2),IF(Registro_Compras!$F$417="NOTA DE CREDITO",ROUND(ABS(Registro_Compras!$J$417*Registro_Compras!$N$417),2),"")))</f>
        <v/>
      </c>
      <c r="G3723" t="str">
        <f>IF($C3723="","",IF(Registro_Compras!$F$417="NOTA DE CREDITO","Por la nota de credito "&amp;Registro_Compras!$C$417&amp;" de "&amp;Registro_Compras!$E$417&amp;" [PATRON POR CONFIRMAR CON CONTADOR]",IF(Registro_Compras!$F$417="RHE","Por el registro del recibo por honorarios "&amp;Registro_Compras!$C$417&amp;" de "&amp;Registro_Compras!$E$417&amp;" [PATRON POR CONFIRMAR CON CONTADOR]","Por el registro de la factura "&amp;Registro_Compras!$C$417&amp;" de "&amp;Registro_Compras!$E$417)))</f>
        <v/>
      </c>
      <c r="H3723" t="str">
        <f>IF($C3723="","",Registro_Compras!$C$417)</f>
        <v/>
      </c>
    </row>
    <row r="3724" spans="1:8" x14ac:dyDescent="0.25">
      <c r="A3724" s="25" t="str">
        <f>IF($C3724="","",Registro_Compras!$B$417)</f>
        <v/>
      </c>
      <c r="B3724" t="str">
        <f>IF($C3724="","","C"&amp;TEXT(INT((ROW()-5)/9)+1,"000")&amp;"-1")</f>
        <v/>
      </c>
      <c r="C3724" t="str">
        <f>IF(OR(Registro_Compras!$C$417="",Registro_Compras!$O$417=""),"",IF(Registro_Compras!$F$417="NOTA DE CREDITO",IF(Registro_Compras!$K$417=0,"","40111"),"4212"))</f>
        <v/>
      </c>
      <c r="D3724" t="str">
        <f>IF(OR(Registro_Compras!$C$417="",Registro_Compras!$O$417=""),"",IF(Registro_Compras!$F$417="NOTA DE CREDITO","IGV - Cuenta Propia (Credito Fiscal)","Cuentas por Pagar Comerciales - Terceros (Emitidas)"))</f>
        <v/>
      </c>
      <c r="E3724" s="20" t="str">
        <f>""</f>
        <v/>
      </c>
      <c r="F3724" s="20" t="str">
        <f>IF($C3724="","",IF(Registro_Compras!$F$417="NOTA DE CREDITO",ROUND(ABS(Registro_Compras!$K$417*Registro_Compras!$N$417),2),IF(Registro_Compras!$F$417="RHE",(ROUND(Registro_Compras!$L$417*Registro_Compras!$N$417,2)-ROUND(Registro_Compras!$V$417*Registro_Compras!$N$417,2)),Registro_Compras!$O$417)))</f>
        <v/>
      </c>
      <c r="G3724" t="str">
        <f>IF($C3724="","",IF(Registro_Compras!$F$417="NOTA DE CREDITO","Por la nota de credito "&amp;Registro_Compras!$C$417&amp;" de "&amp;Registro_Compras!$E$417&amp;" [PATRON POR CONFIRMAR CON CONTADOR]",IF(Registro_Compras!$F$417="RHE","Por el registro del recibo por honorarios "&amp;Registro_Compras!$C$417&amp;" de "&amp;Registro_Compras!$E$417&amp;" [PATRON POR CONFIRMAR CON CONTADOR]","Por el registro de la factura "&amp;Registro_Compras!$C$417&amp;" de "&amp;Registro_Compras!$E$417)))</f>
        <v/>
      </c>
      <c r="H3724" t="str">
        <f>IF($C3724="","",Registro_Compras!$C$417)</f>
        <v/>
      </c>
    </row>
    <row r="3725" spans="1:8" x14ac:dyDescent="0.25">
      <c r="A3725" s="25" t="str">
        <f>IF($C3725="","",Registro_Compras!$B$417)</f>
        <v/>
      </c>
      <c r="B3725" t="str">
        <f>IF($C3725="","","C"&amp;TEXT(INT((ROW()-5)/9)+1,"000")&amp;"-2")</f>
        <v/>
      </c>
      <c r="C3725" t="str">
        <f>IF(OR(Registro_Compras!$C$417="",Registro_Compras!$O$417=""),"",IF(Registro_Compras!$AB$417="ADMINISTRATIVO","94","95"))</f>
        <v/>
      </c>
      <c r="D3725" t="str">
        <f>IF(OR(Registro_Compras!$C$417="",Registro_Compras!$O$417=""),"",IF(Registro_Compras!$AB$417="ADMINISTRATIVO","Gastos Administrativos","Gastos de Venta y Operacion"))</f>
        <v/>
      </c>
      <c r="E3725" s="20" t="str">
        <f>IF($C3725="","",IF(Registro_Compras!$F$417="NOTA DE CREDITO","",IF(Registro_Compras!$F$417="RHE",ROUND(Registro_Compras!$L$417*Registro_Compras!$N$417,2),ROUND(Registro_Compras!$J$417*Registro_Compras!$N$417,2))))</f>
        <v/>
      </c>
      <c r="F3725" s="20" t="str">
        <f>IF($C3725="","",IF(Registro_Compras!$F$417="NOTA DE CREDITO",ROUND(ABS(Registro_Compras!$J$417*Registro_Compras!$N$417),2),""))</f>
        <v/>
      </c>
      <c r="G3725" t="str">
        <f>IF($C3725="","","Por el destino del gasto")</f>
        <v/>
      </c>
      <c r="H3725" t="str">
        <f>IF($C3725="","",Registro_Compras!$C$417)</f>
        <v/>
      </c>
    </row>
    <row r="3726" spans="1:8" x14ac:dyDescent="0.25">
      <c r="A3726" s="25" t="str">
        <f>IF($C3726="","",Registro_Compras!$B$417)</f>
        <v/>
      </c>
      <c r="B3726" t="str">
        <f>IF($C3726="","","C"&amp;TEXT(INT((ROW()-5)/9)+1,"000")&amp;"-2")</f>
        <v/>
      </c>
      <c r="C3726" t="str">
        <f>IF(OR(Registro_Compras!$C$417="",Registro_Compras!$O$417=""),"","79/791")</f>
        <v/>
      </c>
      <c r="D3726" t="str">
        <f>IF(OR(Registro_Compras!$C$417="",Registro_Compras!$O$417=""),"","Cargas Imputables a Cuentas de Costos y Gastos")</f>
        <v/>
      </c>
      <c r="E3726" s="20" t="str">
        <f>IF($C3726="","",IF(Registro_Compras!$F$417="NOTA DE CREDITO",ROUND(ABS(Registro_Compras!$J$417*Registro_Compras!$N$417),2),""))</f>
        <v/>
      </c>
      <c r="F3726" s="20" t="str">
        <f>IF($C3726="","",IF(Registro_Compras!$F$417="NOTA DE CREDITO","",IF(Registro_Compras!$F$417="RHE",ROUND(Registro_Compras!$L$417*Registro_Compras!$N$417,2),ROUND(Registro_Compras!$J$417*Registro_Compras!$N$417,2))))</f>
        <v/>
      </c>
      <c r="G3726" t="str">
        <f>IF($C3726="","","Por el destino del gasto")</f>
        <v/>
      </c>
      <c r="H3726" t="str">
        <f>IF($C3726="","",Registro_Compras!$C$417)</f>
        <v/>
      </c>
    </row>
    <row r="3727" spans="1:8" x14ac:dyDescent="0.25">
      <c r="A3727" s="25" t="str">
        <f>IF($C3727="","",Registro_Compras!$X$417)</f>
        <v/>
      </c>
      <c r="B3727" t="str">
        <f>IF($C3727="","","C"&amp;TEXT(INT((ROW()-5)/9)+1,"000")&amp;"-3")</f>
        <v/>
      </c>
      <c r="C3727" t="str">
        <f>IF(OR(Registro_Compras!$C$417="",Registro_Compras!$O$417="",Registro_Compras!$R$417&lt;&gt;"SI",Registro_Compras!$X$417=""),"","4212")</f>
        <v/>
      </c>
      <c r="D3727" t="str">
        <f>IF(OR(Registro_Compras!$C$417="",Registro_Compras!$O$417=""),"","Cuentas por Pagar Comerciales - Terceros")</f>
        <v/>
      </c>
      <c r="E3727" s="20" t="str">
        <f>IF($C3727="","",Registro_Compras!$S$417)</f>
        <v/>
      </c>
      <c r="F3727" s="20" t="str">
        <f>""</f>
        <v/>
      </c>
      <c r="G3727" t="str">
        <f>IF($C3727="","","Por el deposito de la detraccion en el Banco de la Nacion")</f>
        <v/>
      </c>
      <c r="H3727" t="str">
        <f>IF($C3727="","",Registro_Compras!$C$417)</f>
        <v/>
      </c>
    </row>
    <row r="3728" spans="1:8" x14ac:dyDescent="0.25">
      <c r="A3728" s="25" t="str">
        <f>IF($C3728="","",Registro_Compras!$X$417)</f>
        <v/>
      </c>
      <c r="B3728" t="str">
        <f>IF($C3728="","","C"&amp;TEXT(INT((ROW()-5)/9)+1,"000")&amp;"-3")</f>
        <v/>
      </c>
      <c r="C3728" t="str">
        <f>IF(OR(Registro_Compras!$C$417="",Registro_Compras!$O$417="",Registro_Compras!$R$417&lt;&gt;"SI",Registro_Compras!$X$417=""),"","1041")</f>
        <v/>
      </c>
      <c r="D3728" t="str">
        <f>IF(OR(Registro_Compras!$C$417="",Registro_Compras!$O$417=""),"","Efectivo y Equivalentes - Cta. Cte. Operativa")</f>
        <v/>
      </c>
      <c r="E3728" s="20" t="str">
        <f>""</f>
        <v/>
      </c>
      <c r="F3728" s="20" t="str">
        <f>IF($C3728="","",Registro_Compras!$S$417)</f>
        <v/>
      </c>
      <c r="G3728" t="str">
        <f>IF($C3728="","","Por el deposito de la detraccion en el Banco de la Nacion")</f>
        <v/>
      </c>
      <c r="H3728" t="str">
        <f>IF($C3728="","",Registro_Compras!$C$417)</f>
        <v/>
      </c>
    </row>
    <row r="3729" spans="1:8" x14ac:dyDescent="0.25">
      <c r="A3729" s="25" t="str">
        <f>IF($C3729="","",Registro_Compras!$Y$417)</f>
        <v/>
      </c>
      <c r="B3729" t="str">
        <f>IF($C3729="","","C"&amp;TEXT(INT((ROW()-5)/9)+1,"000")&amp;"-4")</f>
        <v/>
      </c>
      <c r="C3729" t="str">
        <f>IF(OR(Registro_Compras!$C$417="",Registro_Compras!$O$417="",Registro_Compras!$Y$417="",Registro_Compras!$F$417="NOTA DE CREDITO"),"","4212")</f>
        <v/>
      </c>
      <c r="D3729" t="str">
        <f>IF(OR(Registro_Compras!$C$417="",Registro_Compras!$O$417=""),"","Cuentas por Pagar Comerciales - Terceros")</f>
        <v/>
      </c>
      <c r="E3729" s="20" t="str">
        <f>IF($C3729="","",IF(Registro_Compras!$F$417="RHE",(ROUND(Registro_Compras!$L$417*Registro_Compras!$N$417,2)-ROUND(Registro_Compras!$V$417*Registro_Compras!$N$417,2)),ROUND(Registro_Compras!$O$417-Registro_Compras!$S$417,2)))</f>
        <v/>
      </c>
      <c r="F3729" s="20" t="str">
        <f>""</f>
        <v/>
      </c>
      <c r="G3729" t="str">
        <f>IF($C3729="","","Por la cancelacion del saldo al proveedor")</f>
        <v/>
      </c>
      <c r="H3729" t="str">
        <f>IF($C3729="","",Registro_Compras!$C$417)</f>
        <v/>
      </c>
    </row>
    <row r="3730" spans="1:8" x14ac:dyDescent="0.25">
      <c r="A3730" s="25" t="str">
        <f>IF($C3730="","",Registro_Compras!$Y$417)</f>
        <v/>
      </c>
      <c r="B3730" t="str">
        <f>IF($C3730="","","C"&amp;TEXT(INT((ROW()-5)/9)+1,"000")&amp;"-4")</f>
        <v/>
      </c>
      <c r="C3730" t="str">
        <f>IF(OR(Registro_Compras!$C$417="",Registro_Compras!$O$417="",Registro_Compras!$Y$417="",Registro_Compras!$F$417="NOTA DE CREDITO"),"","1041")</f>
        <v/>
      </c>
      <c r="D3730" t="str">
        <f>IF(OR(Registro_Compras!$C$417="",Registro_Compras!$O$417=""),"","Efectivo y Equivalentes - Cta. Cte. Operativa")</f>
        <v/>
      </c>
      <c r="E3730" s="20" t="str">
        <f>""</f>
        <v/>
      </c>
      <c r="F3730" s="20" t="str">
        <f>IF($C3730="","",IF(Registro_Compras!$F$417="RHE",(ROUND(Registro_Compras!$L$417*Registro_Compras!$N$417,2)-ROUND(Registro_Compras!$V$417*Registro_Compras!$N$417,2)),ROUND(Registro_Compras!$O$417-Registro_Compras!$S$417,2)))</f>
        <v/>
      </c>
      <c r="G3730" t="str">
        <f>IF($C3730="","","Por la cancelacion del saldo al proveedor")</f>
        <v/>
      </c>
      <c r="H3730" t="str">
        <f>IF($C3730="","",Registro_Compras!$C$417)</f>
        <v/>
      </c>
    </row>
    <row r="3731" spans="1:8" x14ac:dyDescent="0.25">
      <c r="A3731" s="25" t="str">
        <f>IF($C3731="","",Registro_Compras!$B$418)</f>
        <v/>
      </c>
      <c r="B3731" t="str">
        <f>IF($C3731="","","C"&amp;TEXT(INT((ROW()-5)/9)+1,"000")&amp;"-1")</f>
        <v/>
      </c>
      <c r="C3731" t="str">
        <f>IF(OR(Registro_Compras!$C$418="",Registro_Compras!$O$418=""),"",IF(Registro_Compras!$F$418="NOTA DE CREDITO","4212",IF(Registro_Compras!$M$418="","63",Registro_Compras!$M$418)))</f>
        <v/>
      </c>
      <c r="D3731" t="str">
        <f>IF(OR(Registro_Compras!$C$418="",Registro_Compras!$O$418=""),"",IF(Registro_Compras!$F$418="NOTA DE CREDITO","Cuentas por Pagar Comerciales - Terceros (Emitidas)",IF(Registro_Compras!$F$418="RHE","Honorarios Profesionales - Servicios de Terceros","Gastos de Servicios Prestados por Terceros")))</f>
        <v/>
      </c>
      <c r="E3731" s="20" t="str">
        <f>IF($C3731="","",IF(Registro_Compras!$F$418="NOTA DE CREDITO",ABS(Registro_Compras!$O$418),IF(Registro_Compras!$F$418="RHE",ROUND(Registro_Compras!$L$418*Registro_Compras!$N$418,2),ROUND(Registro_Compras!$J$418*Registro_Compras!$N$418,2))))</f>
        <v/>
      </c>
      <c r="F3731" s="20" t="str">
        <f>""</f>
        <v/>
      </c>
      <c r="G3731" t="str">
        <f>IF($C3731="","",IF(Registro_Compras!$F$418="NOTA DE CREDITO","Por la nota de credito "&amp;Registro_Compras!$C$418&amp;" de "&amp;Registro_Compras!$E$418&amp;" [PATRON POR CONFIRMAR CON CONTADOR]",IF(Registro_Compras!$F$418="RHE","Por el registro del recibo por honorarios "&amp;Registro_Compras!$C$418&amp;" de "&amp;Registro_Compras!$E$418&amp;" [PATRON POR CONFIRMAR CON CONTADOR]","Por el registro de la factura "&amp;Registro_Compras!$C$418&amp;" de "&amp;Registro_Compras!$E$418)))</f>
        <v/>
      </c>
      <c r="H3731" t="str">
        <f>IF($C3731="","",Registro_Compras!$C$418)</f>
        <v/>
      </c>
    </row>
    <row r="3732" spans="1:8" x14ac:dyDescent="0.25">
      <c r="A3732" s="25" t="str">
        <f>IF($C3732="","",Registro_Compras!$B$418)</f>
        <v/>
      </c>
      <c r="B3732" t="str">
        <f>IF($C3732="","","C"&amp;TEXT(INT((ROW()-5)/9)+1,"000")&amp;"-1")</f>
        <v/>
      </c>
      <c r="C3732" t="str">
        <f>IF(OR(Registro_Compras!$C$418="",Registro_Compras!$O$418=""),"",IF(Registro_Compras!$F$418="RHE",IF(Registro_Compras!$V$418=0,"","4017"),IF(Registro_Compras!$F$418="NOTA DE CREDITO",IF(Registro_Compras!$M$418="","63",Registro_Compras!$M$418),IF(Registro_Compras!$K$418=0,"","40111"))))</f>
        <v/>
      </c>
      <c r="D3732" t="str">
        <f>IF(OR(Registro_Compras!$C$418="",Registro_Compras!$O$418=""),"",IF(Registro_Compras!$F$418="RHE","Retencion Renta 4ta Categoria por Pagar",IF(Registro_Compras!$F$418="NOTA DE CREDITO","Gastos de Servicios Prestados por Terceros","IGV - Cuenta Propia (Credito Fiscal)")))</f>
        <v/>
      </c>
      <c r="E3732" s="20" t="str">
        <f>IF($C3732="","",IF(Registro_Compras!$F$418="FACTURA",ROUND(Registro_Compras!$K$418*Registro_Compras!$N$418,2),""))</f>
        <v/>
      </c>
      <c r="F3732" s="20" t="str">
        <f>IF($C3732="","",IF(Registro_Compras!$F$418="RHE",ROUND(Registro_Compras!$V$418*Registro_Compras!$N$418,2),IF(Registro_Compras!$F$418="NOTA DE CREDITO",ROUND(ABS(Registro_Compras!$J$418*Registro_Compras!$N$418),2),"")))</f>
        <v/>
      </c>
      <c r="G3732" t="str">
        <f>IF($C3732="","",IF(Registro_Compras!$F$418="NOTA DE CREDITO","Por la nota de credito "&amp;Registro_Compras!$C$418&amp;" de "&amp;Registro_Compras!$E$418&amp;" [PATRON POR CONFIRMAR CON CONTADOR]",IF(Registro_Compras!$F$418="RHE","Por el registro del recibo por honorarios "&amp;Registro_Compras!$C$418&amp;" de "&amp;Registro_Compras!$E$418&amp;" [PATRON POR CONFIRMAR CON CONTADOR]","Por el registro de la factura "&amp;Registro_Compras!$C$418&amp;" de "&amp;Registro_Compras!$E$418)))</f>
        <v/>
      </c>
      <c r="H3732" t="str">
        <f>IF($C3732="","",Registro_Compras!$C$418)</f>
        <v/>
      </c>
    </row>
    <row r="3733" spans="1:8" x14ac:dyDescent="0.25">
      <c r="A3733" s="25" t="str">
        <f>IF($C3733="","",Registro_Compras!$B$418)</f>
        <v/>
      </c>
      <c r="B3733" t="str">
        <f>IF($C3733="","","C"&amp;TEXT(INT((ROW()-5)/9)+1,"000")&amp;"-1")</f>
        <v/>
      </c>
      <c r="C3733" t="str">
        <f>IF(OR(Registro_Compras!$C$418="",Registro_Compras!$O$418=""),"",IF(Registro_Compras!$F$418="NOTA DE CREDITO",IF(Registro_Compras!$K$418=0,"","40111"),"4212"))</f>
        <v/>
      </c>
      <c r="D3733" t="str">
        <f>IF(OR(Registro_Compras!$C$418="",Registro_Compras!$O$418=""),"",IF(Registro_Compras!$F$418="NOTA DE CREDITO","IGV - Cuenta Propia (Credito Fiscal)","Cuentas por Pagar Comerciales - Terceros (Emitidas)"))</f>
        <v/>
      </c>
      <c r="E3733" s="20" t="str">
        <f>""</f>
        <v/>
      </c>
      <c r="F3733" s="20" t="str">
        <f>IF($C3733="","",IF(Registro_Compras!$F$418="NOTA DE CREDITO",ROUND(ABS(Registro_Compras!$K$418*Registro_Compras!$N$418),2),IF(Registro_Compras!$F$418="RHE",(ROUND(Registro_Compras!$L$418*Registro_Compras!$N$418,2)-ROUND(Registro_Compras!$V$418*Registro_Compras!$N$418,2)),Registro_Compras!$O$418)))</f>
        <v/>
      </c>
      <c r="G3733" t="str">
        <f>IF($C3733="","",IF(Registro_Compras!$F$418="NOTA DE CREDITO","Por la nota de credito "&amp;Registro_Compras!$C$418&amp;" de "&amp;Registro_Compras!$E$418&amp;" [PATRON POR CONFIRMAR CON CONTADOR]",IF(Registro_Compras!$F$418="RHE","Por el registro del recibo por honorarios "&amp;Registro_Compras!$C$418&amp;" de "&amp;Registro_Compras!$E$418&amp;" [PATRON POR CONFIRMAR CON CONTADOR]","Por el registro de la factura "&amp;Registro_Compras!$C$418&amp;" de "&amp;Registro_Compras!$E$418)))</f>
        <v/>
      </c>
      <c r="H3733" t="str">
        <f>IF($C3733="","",Registro_Compras!$C$418)</f>
        <v/>
      </c>
    </row>
    <row r="3734" spans="1:8" x14ac:dyDescent="0.25">
      <c r="A3734" s="25" t="str">
        <f>IF($C3734="","",Registro_Compras!$B$418)</f>
        <v/>
      </c>
      <c r="B3734" t="str">
        <f>IF($C3734="","","C"&amp;TEXT(INT((ROW()-5)/9)+1,"000")&amp;"-2")</f>
        <v/>
      </c>
      <c r="C3734" t="str">
        <f>IF(OR(Registro_Compras!$C$418="",Registro_Compras!$O$418=""),"",IF(Registro_Compras!$AB$418="ADMINISTRATIVO","94","95"))</f>
        <v/>
      </c>
      <c r="D3734" t="str">
        <f>IF(OR(Registro_Compras!$C$418="",Registro_Compras!$O$418=""),"",IF(Registro_Compras!$AB$418="ADMINISTRATIVO","Gastos Administrativos","Gastos de Venta y Operacion"))</f>
        <v/>
      </c>
      <c r="E3734" s="20" t="str">
        <f>IF($C3734="","",IF(Registro_Compras!$F$418="NOTA DE CREDITO","",IF(Registro_Compras!$F$418="RHE",ROUND(Registro_Compras!$L$418*Registro_Compras!$N$418,2),ROUND(Registro_Compras!$J$418*Registro_Compras!$N$418,2))))</f>
        <v/>
      </c>
      <c r="F3734" s="20" t="str">
        <f>IF($C3734="","",IF(Registro_Compras!$F$418="NOTA DE CREDITO",ROUND(ABS(Registro_Compras!$J$418*Registro_Compras!$N$418),2),""))</f>
        <v/>
      </c>
      <c r="G3734" t="str">
        <f>IF($C3734="","","Por el destino del gasto")</f>
        <v/>
      </c>
      <c r="H3734" t="str">
        <f>IF($C3734="","",Registro_Compras!$C$418)</f>
        <v/>
      </c>
    </row>
    <row r="3735" spans="1:8" x14ac:dyDescent="0.25">
      <c r="A3735" s="25" t="str">
        <f>IF($C3735="","",Registro_Compras!$B$418)</f>
        <v/>
      </c>
      <c r="B3735" t="str">
        <f>IF($C3735="","","C"&amp;TEXT(INT((ROW()-5)/9)+1,"000")&amp;"-2")</f>
        <v/>
      </c>
      <c r="C3735" t="str">
        <f>IF(OR(Registro_Compras!$C$418="",Registro_Compras!$O$418=""),"","79/791")</f>
        <v/>
      </c>
      <c r="D3735" t="str">
        <f>IF(OR(Registro_Compras!$C$418="",Registro_Compras!$O$418=""),"","Cargas Imputables a Cuentas de Costos y Gastos")</f>
        <v/>
      </c>
      <c r="E3735" s="20" t="str">
        <f>IF($C3735="","",IF(Registro_Compras!$F$418="NOTA DE CREDITO",ROUND(ABS(Registro_Compras!$J$418*Registro_Compras!$N$418),2),""))</f>
        <v/>
      </c>
      <c r="F3735" s="20" t="str">
        <f>IF($C3735="","",IF(Registro_Compras!$F$418="NOTA DE CREDITO","",IF(Registro_Compras!$F$418="RHE",ROUND(Registro_Compras!$L$418*Registro_Compras!$N$418,2),ROUND(Registro_Compras!$J$418*Registro_Compras!$N$418,2))))</f>
        <v/>
      </c>
      <c r="G3735" t="str">
        <f>IF($C3735="","","Por el destino del gasto")</f>
        <v/>
      </c>
      <c r="H3735" t="str">
        <f>IF($C3735="","",Registro_Compras!$C$418)</f>
        <v/>
      </c>
    </row>
    <row r="3736" spans="1:8" x14ac:dyDescent="0.25">
      <c r="A3736" s="25" t="str">
        <f>IF($C3736="","",Registro_Compras!$X$418)</f>
        <v/>
      </c>
      <c r="B3736" t="str">
        <f>IF($C3736="","","C"&amp;TEXT(INT((ROW()-5)/9)+1,"000")&amp;"-3")</f>
        <v/>
      </c>
      <c r="C3736" t="str">
        <f>IF(OR(Registro_Compras!$C$418="",Registro_Compras!$O$418="",Registro_Compras!$R$418&lt;&gt;"SI",Registro_Compras!$X$418=""),"","4212")</f>
        <v/>
      </c>
      <c r="D3736" t="str">
        <f>IF(OR(Registro_Compras!$C$418="",Registro_Compras!$O$418=""),"","Cuentas por Pagar Comerciales - Terceros")</f>
        <v/>
      </c>
      <c r="E3736" s="20" t="str">
        <f>IF($C3736="","",Registro_Compras!$S$418)</f>
        <v/>
      </c>
      <c r="F3736" s="20" t="str">
        <f>""</f>
        <v/>
      </c>
      <c r="G3736" t="str">
        <f>IF($C3736="","","Por el deposito de la detraccion en el Banco de la Nacion")</f>
        <v/>
      </c>
      <c r="H3736" t="str">
        <f>IF($C3736="","",Registro_Compras!$C$418)</f>
        <v/>
      </c>
    </row>
    <row r="3737" spans="1:8" x14ac:dyDescent="0.25">
      <c r="A3737" s="25" t="str">
        <f>IF($C3737="","",Registro_Compras!$X$418)</f>
        <v/>
      </c>
      <c r="B3737" t="str">
        <f>IF($C3737="","","C"&amp;TEXT(INT((ROW()-5)/9)+1,"000")&amp;"-3")</f>
        <v/>
      </c>
      <c r="C3737" t="str">
        <f>IF(OR(Registro_Compras!$C$418="",Registro_Compras!$O$418="",Registro_Compras!$R$418&lt;&gt;"SI",Registro_Compras!$X$418=""),"","1041")</f>
        <v/>
      </c>
      <c r="D3737" t="str">
        <f>IF(OR(Registro_Compras!$C$418="",Registro_Compras!$O$418=""),"","Efectivo y Equivalentes - Cta. Cte. Operativa")</f>
        <v/>
      </c>
      <c r="E3737" s="20" t="str">
        <f>""</f>
        <v/>
      </c>
      <c r="F3737" s="20" t="str">
        <f>IF($C3737="","",Registro_Compras!$S$418)</f>
        <v/>
      </c>
      <c r="G3737" t="str">
        <f>IF($C3737="","","Por el deposito de la detraccion en el Banco de la Nacion")</f>
        <v/>
      </c>
      <c r="H3737" t="str">
        <f>IF($C3737="","",Registro_Compras!$C$418)</f>
        <v/>
      </c>
    </row>
    <row r="3738" spans="1:8" x14ac:dyDescent="0.25">
      <c r="A3738" s="25" t="str">
        <f>IF($C3738="","",Registro_Compras!$Y$418)</f>
        <v/>
      </c>
      <c r="B3738" t="str">
        <f>IF($C3738="","","C"&amp;TEXT(INT((ROW()-5)/9)+1,"000")&amp;"-4")</f>
        <v/>
      </c>
      <c r="C3738" t="str">
        <f>IF(OR(Registro_Compras!$C$418="",Registro_Compras!$O$418="",Registro_Compras!$Y$418="",Registro_Compras!$F$418="NOTA DE CREDITO"),"","4212")</f>
        <v/>
      </c>
      <c r="D3738" t="str">
        <f>IF(OR(Registro_Compras!$C$418="",Registro_Compras!$O$418=""),"","Cuentas por Pagar Comerciales - Terceros")</f>
        <v/>
      </c>
      <c r="E3738" s="20" t="str">
        <f>IF($C3738="","",IF(Registro_Compras!$F$418="RHE",(ROUND(Registro_Compras!$L$418*Registro_Compras!$N$418,2)-ROUND(Registro_Compras!$V$418*Registro_Compras!$N$418,2)),ROUND(Registro_Compras!$O$418-Registro_Compras!$S$418,2)))</f>
        <v/>
      </c>
      <c r="F3738" s="20" t="str">
        <f>""</f>
        <v/>
      </c>
      <c r="G3738" t="str">
        <f>IF($C3738="","","Por la cancelacion del saldo al proveedor")</f>
        <v/>
      </c>
      <c r="H3738" t="str">
        <f>IF($C3738="","",Registro_Compras!$C$418)</f>
        <v/>
      </c>
    </row>
    <row r="3739" spans="1:8" x14ac:dyDescent="0.25">
      <c r="A3739" s="25" t="str">
        <f>IF($C3739="","",Registro_Compras!$Y$418)</f>
        <v/>
      </c>
      <c r="B3739" t="str">
        <f>IF($C3739="","","C"&amp;TEXT(INT((ROW()-5)/9)+1,"000")&amp;"-4")</f>
        <v/>
      </c>
      <c r="C3739" t="str">
        <f>IF(OR(Registro_Compras!$C$418="",Registro_Compras!$O$418="",Registro_Compras!$Y$418="",Registro_Compras!$F$418="NOTA DE CREDITO"),"","1041")</f>
        <v/>
      </c>
      <c r="D3739" t="str">
        <f>IF(OR(Registro_Compras!$C$418="",Registro_Compras!$O$418=""),"","Efectivo y Equivalentes - Cta. Cte. Operativa")</f>
        <v/>
      </c>
      <c r="E3739" s="20" t="str">
        <f>""</f>
        <v/>
      </c>
      <c r="F3739" s="20" t="str">
        <f>IF($C3739="","",IF(Registro_Compras!$F$418="RHE",(ROUND(Registro_Compras!$L$418*Registro_Compras!$N$418,2)-ROUND(Registro_Compras!$V$418*Registro_Compras!$N$418,2)),ROUND(Registro_Compras!$O$418-Registro_Compras!$S$418,2)))</f>
        <v/>
      </c>
      <c r="G3739" t="str">
        <f>IF($C3739="","","Por la cancelacion del saldo al proveedor")</f>
        <v/>
      </c>
      <c r="H3739" t="str">
        <f>IF($C3739="","",Registro_Compras!$C$418)</f>
        <v/>
      </c>
    </row>
    <row r="3740" spans="1:8" x14ac:dyDescent="0.25">
      <c r="A3740" s="25" t="str">
        <f>IF($C3740="","",Registro_Compras!$B$419)</f>
        <v/>
      </c>
      <c r="B3740" t="str">
        <f>IF($C3740="","","C"&amp;TEXT(INT((ROW()-5)/9)+1,"000")&amp;"-1")</f>
        <v/>
      </c>
      <c r="C3740" t="str">
        <f>IF(OR(Registro_Compras!$C$419="",Registro_Compras!$O$419=""),"",IF(Registro_Compras!$F$419="NOTA DE CREDITO","4212",IF(Registro_Compras!$M$419="","63",Registro_Compras!$M$419)))</f>
        <v/>
      </c>
      <c r="D3740" t="str">
        <f>IF(OR(Registro_Compras!$C$419="",Registro_Compras!$O$419=""),"",IF(Registro_Compras!$F$419="NOTA DE CREDITO","Cuentas por Pagar Comerciales - Terceros (Emitidas)",IF(Registro_Compras!$F$419="RHE","Honorarios Profesionales - Servicios de Terceros","Gastos de Servicios Prestados por Terceros")))</f>
        <v/>
      </c>
      <c r="E3740" s="20" t="str">
        <f>IF($C3740="","",IF(Registro_Compras!$F$419="NOTA DE CREDITO",ABS(Registro_Compras!$O$419),IF(Registro_Compras!$F$419="RHE",ROUND(Registro_Compras!$L$419*Registro_Compras!$N$419,2),ROUND(Registro_Compras!$J$419*Registro_Compras!$N$419,2))))</f>
        <v/>
      </c>
      <c r="F3740" s="20" t="str">
        <f>""</f>
        <v/>
      </c>
      <c r="G3740" t="str">
        <f>IF($C3740="","",IF(Registro_Compras!$F$419="NOTA DE CREDITO","Por la nota de credito "&amp;Registro_Compras!$C$419&amp;" de "&amp;Registro_Compras!$E$419&amp;" [PATRON POR CONFIRMAR CON CONTADOR]",IF(Registro_Compras!$F$419="RHE","Por el registro del recibo por honorarios "&amp;Registro_Compras!$C$419&amp;" de "&amp;Registro_Compras!$E$419&amp;" [PATRON POR CONFIRMAR CON CONTADOR]","Por el registro de la factura "&amp;Registro_Compras!$C$419&amp;" de "&amp;Registro_Compras!$E$419)))</f>
        <v/>
      </c>
      <c r="H3740" t="str">
        <f>IF($C3740="","",Registro_Compras!$C$419)</f>
        <v/>
      </c>
    </row>
    <row r="3741" spans="1:8" x14ac:dyDescent="0.25">
      <c r="A3741" s="25" t="str">
        <f>IF($C3741="","",Registro_Compras!$B$419)</f>
        <v/>
      </c>
      <c r="B3741" t="str">
        <f>IF($C3741="","","C"&amp;TEXT(INT((ROW()-5)/9)+1,"000")&amp;"-1")</f>
        <v/>
      </c>
      <c r="C3741" t="str">
        <f>IF(OR(Registro_Compras!$C$419="",Registro_Compras!$O$419=""),"",IF(Registro_Compras!$F$419="RHE",IF(Registro_Compras!$V$419=0,"","4017"),IF(Registro_Compras!$F$419="NOTA DE CREDITO",IF(Registro_Compras!$M$419="","63",Registro_Compras!$M$419),IF(Registro_Compras!$K$419=0,"","40111"))))</f>
        <v/>
      </c>
      <c r="D3741" t="str">
        <f>IF(OR(Registro_Compras!$C$419="",Registro_Compras!$O$419=""),"",IF(Registro_Compras!$F$419="RHE","Retencion Renta 4ta Categoria por Pagar",IF(Registro_Compras!$F$419="NOTA DE CREDITO","Gastos de Servicios Prestados por Terceros","IGV - Cuenta Propia (Credito Fiscal)")))</f>
        <v/>
      </c>
      <c r="E3741" s="20" t="str">
        <f>IF($C3741="","",IF(Registro_Compras!$F$419="FACTURA",ROUND(Registro_Compras!$K$419*Registro_Compras!$N$419,2),""))</f>
        <v/>
      </c>
      <c r="F3741" s="20" t="str">
        <f>IF($C3741="","",IF(Registro_Compras!$F$419="RHE",ROUND(Registro_Compras!$V$419*Registro_Compras!$N$419,2),IF(Registro_Compras!$F$419="NOTA DE CREDITO",ROUND(ABS(Registro_Compras!$J$419*Registro_Compras!$N$419),2),"")))</f>
        <v/>
      </c>
      <c r="G3741" t="str">
        <f>IF($C3741="","",IF(Registro_Compras!$F$419="NOTA DE CREDITO","Por la nota de credito "&amp;Registro_Compras!$C$419&amp;" de "&amp;Registro_Compras!$E$419&amp;" [PATRON POR CONFIRMAR CON CONTADOR]",IF(Registro_Compras!$F$419="RHE","Por el registro del recibo por honorarios "&amp;Registro_Compras!$C$419&amp;" de "&amp;Registro_Compras!$E$419&amp;" [PATRON POR CONFIRMAR CON CONTADOR]","Por el registro de la factura "&amp;Registro_Compras!$C$419&amp;" de "&amp;Registro_Compras!$E$419)))</f>
        <v/>
      </c>
      <c r="H3741" t="str">
        <f>IF($C3741="","",Registro_Compras!$C$419)</f>
        <v/>
      </c>
    </row>
    <row r="3742" spans="1:8" x14ac:dyDescent="0.25">
      <c r="A3742" s="25" t="str">
        <f>IF($C3742="","",Registro_Compras!$B$419)</f>
        <v/>
      </c>
      <c r="B3742" t="str">
        <f>IF($C3742="","","C"&amp;TEXT(INT((ROW()-5)/9)+1,"000")&amp;"-1")</f>
        <v/>
      </c>
      <c r="C3742" t="str">
        <f>IF(OR(Registro_Compras!$C$419="",Registro_Compras!$O$419=""),"",IF(Registro_Compras!$F$419="NOTA DE CREDITO",IF(Registro_Compras!$K$419=0,"","40111"),"4212"))</f>
        <v/>
      </c>
      <c r="D3742" t="str">
        <f>IF(OR(Registro_Compras!$C$419="",Registro_Compras!$O$419=""),"",IF(Registro_Compras!$F$419="NOTA DE CREDITO","IGV - Cuenta Propia (Credito Fiscal)","Cuentas por Pagar Comerciales - Terceros (Emitidas)"))</f>
        <v/>
      </c>
      <c r="E3742" s="20" t="str">
        <f>""</f>
        <v/>
      </c>
      <c r="F3742" s="20" t="str">
        <f>IF($C3742="","",IF(Registro_Compras!$F$419="NOTA DE CREDITO",ROUND(ABS(Registro_Compras!$K$419*Registro_Compras!$N$419),2),IF(Registro_Compras!$F$419="RHE",(ROUND(Registro_Compras!$L$419*Registro_Compras!$N$419,2)-ROUND(Registro_Compras!$V$419*Registro_Compras!$N$419,2)),Registro_Compras!$O$419)))</f>
        <v/>
      </c>
      <c r="G3742" t="str">
        <f>IF($C3742="","",IF(Registro_Compras!$F$419="NOTA DE CREDITO","Por la nota de credito "&amp;Registro_Compras!$C$419&amp;" de "&amp;Registro_Compras!$E$419&amp;" [PATRON POR CONFIRMAR CON CONTADOR]",IF(Registro_Compras!$F$419="RHE","Por el registro del recibo por honorarios "&amp;Registro_Compras!$C$419&amp;" de "&amp;Registro_Compras!$E$419&amp;" [PATRON POR CONFIRMAR CON CONTADOR]","Por el registro de la factura "&amp;Registro_Compras!$C$419&amp;" de "&amp;Registro_Compras!$E$419)))</f>
        <v/>
      </c>
      <c r="H3742" t="str">
        <f>IF($C3742="","",Registro_Compras!$C$419)</f>
        <v/>
      </c>
    </row>
    <row r="3743" spans="1:8" x14ac:dyDescent="0.25">
      <c r="A3743" s="25" t="str">
        <f>IF($C3743="","",Registro_Compras!$B$419)</f>
        <v/>
      </c>
      <c r="B3743" t="str">
        <f>IF($C3743="","","C"&amp;TEXT(INT((ROW()-5)/9)+1,"000")&amp;"-2")</f>
        <v/>
      </c>
      <c r="C3743" t="str">
        <f>IF(OR(Registro_Compras!$C$419="",Registro_Compras!$O$419=""),"",IF(Registro_Compras!$AB$419="ADMINISTRATIVO","94","95"))</f>
        <v/>
      </c>
      <c r="D3743" t="str">
        <f>IF(OR(Registro_Compras!$C$419="",Registro_Compras!$O$419=""),"",IF(Registro_Compras!$AB$419="ADMINISTRATIVO","Gastos Administrativos","Gastos de Venta y Operacion"))</f>
        <v/>
      </c>
      <c r="E3743" s="20" t="str">
        <f>IF($C3743="","",IF(Registro_Compras!$F$419="NOTA DE CREDITO","",IF(Registro_Compras!$F$419="RHE",ROUND(Registro_Compras!$L$419*Registro_Compras!$N$419,2),ROUND(Registro_Compras!$J$419*Registro_Compras!$N$419,2))))</f>
        <v/>
      </c>
      <c r="F3743" s="20" t="str">
        <f>IF($C3743="","",IF(Registro_Compras!$F$419="NOTA DE CREDITO",ROUND(ABS(Registro_Compras!$J$419*Registro_Compras!$N$419),2),""))</f>
        <v/>
      </c>
      <c r="G3743" t="str">
        <f>IF($C3743="","","Por el destino del gasto")</f>
        <v/>
      </c>
      <c r="H3743" t="str">
        <f>IF($C3743="","",Registro_Compras!$C$419)</f>
        <v/>
      </c>
    </row>
    <row r="3744" spans="1:8" x14ac:dyDescent="0.25">
      <c r="A3744" s="25" t="str">
        <f>IF($C3744="","",Registro_Compras!$B$419)</f>
        <v/>
      </c>
      <c r="B3744" t="str">
        <f>IF($C3744="","","C"&amp;TEXT(INT((ROW()-5)/9)+1,"000")&amp;"-2")</f>
        <v/>
      </c>
      <c r="C3744" t="str">
        <f>IF(OR(Registro_Compras!$C$419="",Registro_Compras!$O$419=""),"","79/791")</f>
        <v/>
      </c>
      <c r="D3744" t="str">
        <f>IF(OR(Registro_Compras!$C$419="",Registro_Compras!$O$419=""),"","Cargas Imputables a Cuentas de Costos y Gastos")</f>
        <v/>
      </c>
      <c r="E3744" s="20" t="str">
        <f>IF($C3744="","",IF(Registro_Compras!$F$419="NOTA DE CREDITO",ROUND(ABS(Registro_Compras!$J$419*Registro_Compras!$N$419),2),""))</f>
        <v/>
      </c>
      <c r="F3744" s="20" t="str">
        <f>IF($C3744="","",IF(Registro_Compras!$F$419="NOTA DE CREDITO","",IF(Registro_Compras!$F$419="RHE",ROUND(Registro_Compras!$L$419*Registro_Compras!$N$419,2),ROUND(Registro_Compras!$J$419*Registro_Compras!$N$419,2))))</f>
        <v/>
      </c>
      <c r="G3744" t="str">
        <f>IF($C3744="","","Por el destino del gasto")</f>
        <v/>
      </c>
      <c r="H3744" t="str">
        <f>IF($C3744="","",Registro_Compras!$C$419)</f>
        <v/>
      </c>
    </row>
    <row r="3745" spans="1:8" x14ac:dyDescent="0.25">
      <c r="A3745" s="25" t="str">
        <f>IF($C3745="","",Registro_Compras!$X$419)</f>
        <v/>
      </c>
      <c r="B3745" t="str">
        <f>IF($C3745="","","C"&amp;TEXT(INT((ROW()-5)/9)+1,"000")&amp;"-3")</f>
        <v/>
      </c>
      <c r="C3745" t="str">
        <f>IF(OR(Registro_Compras!$C$419="",Registro_Compras!$O$419="",Registro_Compras!$R$419&lt;&gt;"SI",Registro_Compras!$X$419=""),"","4212")</f>
        <v/>
      </c>
      <c r="D3745" t="str">
        <f>IF(OR(Registro_Compras!$C$419="",Registro_Compras!$O$419=""),"","Cuentas por Pagar Comerciales - Terceros")</f>
        <v/>
      </c>
      <c r="E3745" s="20" t="str">
        <f>IF($C3745="","",Registro_Compras!$S$419)</f>
        <v/>
      </c>
      <c r="F3745" s="20" t="str">
        <f>""</f>
        <v/>
      </c>
      <c r="G3745" t="str">
        <f>IF($C3745="","","Por el deposito de la detraccion en el Banco de la Nacion")</f>
        <v/>
      </c>
      <c r="H3745" t="str">
        <f>IF($C3745="","",Registro_Compras!$C$419)</f>
        <v/>
      </c>
    </row>
    <row r="3746" spans="1:8" x14ac:dyDescent="0.25">
      <c r="A3746" s="25" t="str">
        <f>IF($C3746="","",Registro_Compras!$X$419)</f>
        <v/>
      </c>
      <c r="B3746" t="str">
        <f>IF($C3746="","","C"&amp;TEXT(INT((ROW()-5)/9)+1,"000")&amp;"-3")</f>
        <v/>
      </c>
      <c r="C3746" t="str">
        <f>IF(OR(Registro_Compras!$C$419="",Registro_Compras!$O$419="",Registro_Compras!$R$419&lt;&gt;"SI",Registro_Compras!$X$419=""),"","1041")</f>
        <v/>
      </c>
      <c r="D3746" t="str">
        <f>IF(OR(Registro_Compras!$C$419="",Registro_Compras!$O$419=""),"","Efectivo y Equivalentes - Cta. Cte. Operativa")</f>
        <v/>
      </c>
      <c r="E3746" s="20" t="str">
        <f>""</f>
        <v/>
      </c>
      <c r="F3746" s="20" t="str">
        <f>IF($C3746="","",Registro_Compras!$S$419)</f>
        <v/>
      </c>
      <c r="G3746" t="str">
        <f>IF($C3746="","","Por el deposito de la detraccion en el Banco de la Nacion")</f>
        <v/>
      </c>
      <c r="H3746" t="str">
        <f>IF($C3746="","",Registro_Compras!$C$419)</f>
        <v/>
      </c>
    </row>
    <row r="3747" spans="1:8" x14ac:dyDescent="0.25">
      <c r="A3747" s="25" t="str">
        <f>IF($C3747="","",Registro_Compras!$Y$419)</f>
        <v/>
      </c>
      <c r="B3747" t="str">
        <f>IF($C3747="","","C"&amp;TEXT(INT((ROW()-5)/9)+1,"000")&amp;"-4")</f>
        <v/>
      </c>
      <c r="C3747" t="str">
        <f>IF(OR(Registro_Compras!$C$419="",Registro_Compras!$O$419="",Registro_Compras!$Y$419="",Registro_Compras!$F$419="NOTA DE CREDITO"),"","4212")</f>
        <v/>
      </c>
      <c r="D3747" t="str">
        <f>IF(OR(Registro_Compras!$C$419="",Registro_Compras!$O$419=""),"","Cuentas por Pagar Comerciales - Terceros")</f>
        <v/>
      </c>
      <c r="E3747" s="20" t="str">
        <f>IF($C3747="","",IF(Registro_Compras!$F$419="RHE",(ROUND(Registro_Compras!$L$419*Registro_Compras!$N$419,2)-ROUND(Registro_Compras!$V$419*Registro_Compras!$N$419,2)),ROUND(Registro_Compras!$O$419-Registro_Compras!$S$419,2)))</f>
        <v/>
      </c>
      <c r="F3747" s="20" t="str">
        <f>""</f>
        <v/>
      </c>
      <c r="G3747" t="str">
        <f>IF($C3747="","","Por la cancelacion del saldo al proveedor")</f>
        <v/>
      </c>
      <c r="H3747" t="str">
        <f>IF($C3747="","",Registro_Compras!$C$419)</f>
        <v/>
      </c>
    </row>
    <row r="3748" spans="1:8" x14ac:dyDescent="0.25">
      <c r="A3748" s="25" t="str">
        <f>IF($C3748="","",Registro_Compras!$Y$419)</f>
        <v/>
      </c>
      <c r="B3748" t="str">
        <f>IF($C3748="","","C"&amp;TEXT(INT((ROW()-5)/9)+1,"000")&amp;"-4")</f>
        <v/>
      </c>
      <c r="C3748" t="str">
        <f>IF(OR(Registro_Compras!$C$419="",Registro_Compras!$O$419="",Registro_Compras!$Y$419="",Registro_Compras!$F$419="NOTA DE CREDITO"),"","1041")</f>
        <v/>
      </c>
      <c r="D3748" t="str">
        <f>IF(OR(Registro_Compras!$C$419="",Registro_Compras!$O$419=""),"","Efectivo y Equivalentes - Cta. Cte. Operativa")</f>
        <v/>
      </c>
      <c r="E3748" s="20" t="str">
        <f>""</f>
        <v/>
      </c>
      <c r="F3748" s="20" t="str">
        <f>IF($C3748="","",IF(Registro_Compras!$F$419="RHE",(ROUND(Registro_Compras!$L$419*Registro_Compras!$N$419,2)-ROUND(Registro_Compras!$V$419*Registro_Compras!$N$419,2)),ROUND(Registro_Compras!$O$419-Registro_Compras!$S$419,2)))</f>
        <v/>
      </c>
      <c r="G3748" t="str">
        <f>IF($C3748="","","Por la cancelacion del saldo al proveedor")</f>
        <v/>
      </c>
      <c r="H3748" t="str">
        <f>IF($C3748="","",Registro_Compras!$C$419)</f>
        <v/>
      </c>
    </row>
    <row r="3749" spans="1:8" x14ac:dyDescent="0.25">
      <c r="A3749" s="25" t="str">
        <f>IF($C3749="","",Registro_Compras!$B$420)</f>
        <v/>
      </c>
      <c r="B3749" t="str">
        <f>IF($C3749="","","C"&amp;TEXT(INT((ROW()-5)/9)+1,"000")&amp;"-1")</f>
        <v/>
      </c>
      <c r="C3749" t="str">
        <f>IF(OR(Registro_Compras!$C$420="",Registro_Compras!$O$420=""),"",IF(Registro_Compras!$F$420="NOTA DE CREDITO","4212",IF(Registro_Compras!$M$420="","63",Registro_Compras!$M$420)))</f>
        <v/>
      </c>
      <c r="D3749" t="str">
        <f>IF(OR(Registro_Compras!$C$420="",Registro_Compras!$O$420=""),"",IF(Registro_Compras!$F$420="NOTA DE CREDITO","Cuentas por Pagar Comerciales - Terceros (Emitidas)",IF(Registro_Compras!$F$420="RHE","Honorarios Profesionales - Servicios de Terceros","Gastos de Servicios Prestados por Terceros")))</f>
        <v/>
      </c>
      <c r="E3749" s="20" t="str">
        <f>IF($C3749="","",IF(Registro_Compras!$F$420="NOTA DE CREDITO",ABS(Registro_Compras!$O$420),IF(Registro_Compras!$F$420="RHE",ROUND(Registro_Compras!$L$420*Registro_Compras!$N$420,2),ROUND(Registro_Compras!$J$420*Registro_Compras!$N$420,2))))</f>
        <v/>
      </c>
      <c r="F3749" s="20" t="str">
        <f>""</f>
        <v/>
      </c>
      <c r="G3749" t="str">
        <f>IF($C3749="","",IF(Registro_Compras!$F$420="NOTA DE CREDITO","Por la nota de credito "&amp;Registro_Compras!$C$420&amp;" de "&amp;Registro_Compras!$E$420&amp;" [PATRON POR CONFIRMAR CON CONTADOR]",IF(Registro_Compras!$F$420="RHE","Por el registro del recibo por honorarios "&amp;Registro_Compras!$C$420&amp;" de "&amp;Registro_Compras!$E$420&amp;" [PATRON POR CONFIRMAR CON CONTADOR]","Por el registro de la factura "&amp;Registro_Compras!$C$420&amp;" de "&amp;Registro_Compras!$E$420)))</f>
        <v/>
      </c>
      <c r="H3749" t="str">
        <f>IF($C3749="","",Registro_Compras!$C$420)</f>
        <v/>
      </c>
    </row>
    <row r="3750" spans="1:8" x14ac:dyDescent="0.25">
      <c r="A3750" s="25" t="str">
        <f>IF($C3750="","",Registro_Compras!$B$420)</f>
        <v/>
      </c>
      <c r="B3750" t="str">
        <f>IF($C3750="","","C"&amp;TEXT(INT((ROW()-5)/9)+1,"000")&amp;"-1")</f>
        <v/>
      </c>
      <c r="C3750" t="str">
        <f>IF(OR(Registro_Compras!$C$420="",Registro_Compras!$O$420=""),"",IF(Registro_Compras!$F$420="RHE",IF(Registro_Compras!$V$420=0,"","4017"),IF(Registro_Compras!$F$420="NOTA DE CREDITO",IF(Registro_Compras!$M$420="","63",Registro_Compras!$M$420),IF(Registro_Compras!$K$420=0,"","40111"))))</f>
        <v/>
      </c>
      <c r="D3750" t="str">
        <f>IF(OR(Registro_Compras!$C$420="",Registro_Compras!$O$420=""),"",IF(Registro_Compras!$F$420="RHE","Retencion Renta 4ta Categoria por Pagar",IF(Registro_Compras!$F$420="NOTA DE CREDITO","Gastos de Servicios Prestados por Terceros","IGV - Cuenta Propia (Credito Fiscal)")))</f>
        <v/>
      </c>
      <c r="E3750" s="20" t="str">
        <f>IF($C3750="","",IF(Registro_Compras!$F$420="FACTURA",ROUND(Registro_Compras!$K$420*Registro_Compras!$N$420,2),""))</f>
        <v/>
      </c>
      <c r="F3750" s="20" t="str">
        <f>IF($C3750="","",IF(Registro_Compras!$F$420="RHE",ROUND(Registro_Compras!$V$420*Registro_Compras!$N$420,2),IF(Registro_Compras!$F$420="NOTA DE CREDITO",ROUND(ABS(Registro_Compras!$J$420*Registro_Compras!$N$420),2),"")))</f>
        <v/>
      </c>
      <c r="G3750" t="str">
        <f>IF($C3750="","",IF(Registro_Compras!$F$420="NOTA DE CREDITO","Por la nota de credito "&amp;Registro_Compras!$C$420&amp;" de "&amp;Registro_Compras!$E$420&amp;" [PATRON POR CONFIRMAR CON CONTADOR]",IF(Registro_Compras!$F$420="RHE","Por el registro del recibo por honorarios "&amp;Registro_Compras!$C$420&amp;" de "&amp;Registro_Compras!$E$420&amp;" [PATRON POR CONFIRMAR CON CONTADOR]","Por el registro de la factura "&amp;Registro_Compras!$C$420&amp;" de "&amp;Registro_Compras!$E$420)))</f>
        <v/>
      </c>
      <c r="H3750" t="str">
        <f>IF($C3750="","",Registro_Compras!$C$420)</f>
        <v/>
      </c>
    </row>
    <row r="3751" spans="1:8" x14ac:dyDescent="0.25">
      <c r="A3751" s="25" t="str">
        <f>IF($C3751="","",Registro_Compras!$B$420)</f>
        <v/>
      </c>
      <c r="B3751" t="str">
        <f>IF($C3751="","","C"&amp;TEXT(INT((ROW()-5)/9)+1,"000")&amp;"-1")</f>
        <v/>
      </c>
      <c r="C3751" t="str">
        <f>IF(OR(Registro_Compras!$C$420="",Registro_Compras!$O$420=""),"",IF(Registro_Compras!$F$420="NOTA DE CREDITO",IF(Registro_Compras!$K$420=0,"","40111"),"4212"))</f>
        <v/>
      </c>
      <c r="D3751" t="str">
        <f>IF(OR(Registro_Compras!$C$420="",Registro_Compras!$O$420=""),"",IF(Registro_Compras!$F$420="NOTA DE CREDITO","IGV - Cuenta Propia (Credito Fiscal)","Cuentas por Pagar Comerciales - Terceros (Emitidas)"))</f>
        <v/>
      </c>
      <c r="E3751" s="20" t="str">
        <f>""</f>
        <v/>
      </c>
      <c r="F3751" s="20" t="str">
        <f>IF($C3751="","",IF(Registro_Compras!$F$420="NOTA DE CREDITO",ROUND(ABS(Registro_Compras!$K$420*Registro_Compras!$N$420),2),IF(Registro_Compras!$F$420="RHE",(ROUND(Registro_Compras!$L$420*Registro_Compras!$N$420,2)-ROUND(Registro_Compras!$V$420*Registro_Compras!$N$420,2)),Registro_Compras!$O$420)))</f>
        <v/>
      </c>
      <c r="G3751" t="str">
        <f>IF($C3751="","",IF(Registro_Compras!$F$420="NOTA DE CREDITO","Por la nota de credito "&amp;Registro_Compras!$C$420&amp;" de "&amp;Registro_Compras!$E$420&amp;" [PATRON POR CONFIRMAR CON CONTADOR]",IF(Registro_Compras!$F$420="RHE","Por el registro del recibo por honorarios "&amp;Registro_Compras!$C$420&amp;" de "&amp;Registro_Compras!$E$420&amp;" [PATRON POR CONFIRMAR CON CONTADOR]","Por el registro de la factura "&amp;Registro_Compras!$C$420&amp;" de "&amp;Registro_Compras!$E$420)))</f>
        <v/>
      </c>
      <c r="H3751" t="str">
        <f>IF($C3751="","",Registro_Compras!$C$420)</f>
        <v/>
      </c>
    </row>
    <row r="3752" spans="1:8" x14ac:dyDescent="0.25">
      <c r="A3752" s="25" t="str">
        <f>IF($C3752="","",Registro_Compras!$B$420)</f>
        <v/>
      </c>
      <c r="B3752" t="str">
        <f>IF($C3752="","","C"&amp;TEXT(INT((ROW()-5)/9)+1,"000")&amp;"-2")</f>
        <v/>
      </c>
      <c r="C3752" t="str">
        <f>IF(OR(Registro_Compras!$C$420="",Registro_Compras!$O$420=""),"",IF(Registro_Compras!$AB$420="ADMINISTRATIVO","94","95"))</f>
        <v/>
      </c>
      <c r="D3752" t="str">
        <f>IF(OR(Registro_Compras!$C$420="",Registro_Compras!$O$420=""),"",IF(Registro_Compras!$AB$420="ADMINISTRATIVO","Gastos Administrativos","Gastos de Venta y Operacion"))</f>
        <v/>
      </c>
      <c r="E3752" s="20" t="str">
        <f>IF($C3752="","",IF(Registro_Compras!$F$420="NOTA DE CREDITO","",IF(Registro_Compras!$F$420="RHE",ROUND(Registro_Compras!$L$420*Registro_Compras!$N$420,2),ROUND(Registro_Compras!$J$420*Registro_Compras!$N$420,2))))</f>
        <v/>
      </c>
      <c r="F3752" s="20" t="str">
        <f>IF($C3752="","",IF(Registro_Compras!$F$420="NOTA DE CREDITO",ROUND(ABS(Registro_Compras!$J$420*Registro_Compras!$N$420),2),""))</f>
        <v/>
      </c>
      <c r="G3752" t="str">
        <f>IF($C3752="","","Por el destino del gasto")</f>
        <v/>
      </c>
      <c r="H3752" t="str">
        <f>IF($C3752="","",Registro_Compras!$C$420)</f>
        <v/>
      </c>
    </row>
    <row r="3753" spans="1:8" x14ac:dyDescent="0.25">
      <c r="A3753" s="25" t="str">
        <f>IF($C3753="","",Registro_Compras!$B$420)</f>
        <v/>
      </c>
      <c r="B3753" t="str">
        <f>IF($C3753="","","C"&amp;TEXT(INT((ROW()-5)/9)+1,"000")&amp;"-2")</f>
        <v/>
      </c>
      <c r="C3753" t="str">
        <f>IF(OR(Registro_Compras!$C$420="",Registro_Compras!$O$420=""),"","79/791")</f>
        <v/>
      </c>
      <c r="D3753" t="str">
        <f>IF(OR(Registro_Compras!$C$420="",Registro_Compras!$O$420=""),"","Cargas Imputables a Cuentas de Costos y Gastos")</f>
        <v/>
      </c>
      <c r="E3753" s="20" t="str">
        <f>IF($C3753="","",IF(Registro_Compras!$F$420="NOTA DE CREDITO",ROUND(ABS(Registro_Compras!$J$420*Registro_Compras!$N$420),2),""))</f>
        <v/>
      </c>
      <c r="F3753" s="20" t="str">
        <f>IF($C3753="","",IF(Registro_Compras!$F$420="NOTA DE CREDITO","",IF(Registro_Compras!$F$420="RHE",ROUND(Registro_Compras!$L$420*Registro_Compras!$N$420,2),ROUND(Registro_Compras!$J$420*Registro_Compras!$N$420,2))))</f>
        <v/>
      </c>
      <c r="G3753" t="str">
        <f>IF($C3753="","","Por el destino del gasto")</f>
        <v/>
      </c>
      <c r="H3753" t="str">
        <f>IF($C3753="","",Registro_Compras!$C$420)</f>
        <v/>
      </c>
    </row>
    <row r="3754" spans="1:8" x14ac:dyDescent="0.25">
      <c r="A3754" s="25" t="str">
        <f>IF($C3754="","",Registro_Compras!$X$420)</f>
        <v/>
      </c>
      <c r="B3754" t="str">
        <f>IF($C3754="","","C"&amp;TEXT(INT((ROW()-5)/9)+1,"000")&amp;"-3")</f>
        <v/>
      </c>
      <c r="C3754" t="str">
        <f>IF(OR(Registro_Compras!$C$420="",Registro_Compras!$O$420="",Registro_Compras!$R$420&lt;&gt;"SI",Registro_Compras!$X$420=""),"","4212")</f>
        <v/>
      </c>
      <c r="D3754" t="str">
        <f>IF(OR(Registro_Compras!$C$420="",Registro_Compras!$O$420=""),"","Cuentas por Pagar Comerciales - Terceros")</f>
        <v/>
      </c>
      <c r="E3754" s="20" t="str">
        <f>IF($C3754="","",Registro_Compras!$S$420)</f>
        <v/>
      </c>
      <c r="F3754" s="20" t="str">
        <f>""</f>
        <v/>
      </c>
      <c r="G3754" t="str">
        <f>IF($C3754="","","Por el deposito de la detraccion en el Banco de la Nacion")</f>
        <v/>
      </c>
      <c r="H3754" t="str">
        <f>IF($C3754="","",Registro_Compras!$C$420)</f>
        <v/>
      </c>
    </row>
    <row r="3755" spans="1:8" x14ac:dyDescent="0.25">
      <c r="A3755" s="25" t="str">
        <f>IF($C3755="","",Registro_Compras!$X$420)</f>
        <v/>
      </c>
      <c r="B3755" t="str">
        <f>IF($C3755="","","C"&amp;TEXT(INT((ROW()-5)/9)+1,"000")&amp;"-3")</f>
        <v/>
      </c>
      <c r="C3755" t="str">
        <f>IF(OR(Registro_Compras!$C$420="",Registro_Compras!$O$420="",Registro_Compras!$R$420&lt;&gt;"SI",Registro_Compras!$X$420=""),"","1041")</f>
        <v/>
      </c>
      <c r="D3755" t="str">
        <f>IF(OR(Registro_Compras!$C$420="",Registro_Compras!$O$420=""),"","Efectivo y Equivalentes - Cta. Cte. Operativa")</f>
        <v/>
      </c>
      <c r="E3755" s="20" t="str">
        <f>""</f>
        <v/>
      </c>
      <c r="F3755" s="20" t="str">
        <f>IF($C3755="","",Registro_Compras!$S$420)</f>
        <v/>
      </c>
      <c r="G3755" t="str">
        <f>IF($C3755="","","Por el deposito de la detraccion en el Banco de la Nacion")</f>
        <v/>
      </c>
      <c r="H3755" t="str">
        <f>IF($C3755="","",Registro_Compras!$C$420)</f>
        <v/>
      </c>
    </row>
    <row r="3756" spans="1:8" x14ac:dyDescent="0.25">
      <c r="A3756" s="25" t="str">
        <f>IF($C3756="","",Registro_Compras!$Y$420)</f>
        <v/>
      </c>
      <c r="B3756" t="str">
        <f>IF($C3756="","","C"&amp;TEXT(INT((ROW()-5)/9)+1,"000")&amp;"-4")</f>
        <v/>
      </c>
      <c r="C3756" t="str">
        <f>IF(OR(Registro_Compras!$C$420="",Registro_Compras!$O$420="",Registro_Compras!$Y$420="",Registro_Compras!$F$420="NOTA DE CREDITO"),"","4212")</f>
        <v/>
      </c>
      <c r="D3756" t="str">
        <f>IF(OR(Registro_Compras!$C$420="",Registro_Compras!$O$420=""),"","Cuentas por Pagar Comerciales - Terceros")</f>
        <v/>
      </c>
      <c r="E3756" s="20" t="str">
        <f>IF($C3756="","",IF(Registro_Compras!$F$420="RHE",(ROUND(Registro_Compras!$L$420*Registro_Compras!$N$420,2)-ROUND(Registro_Compras!$V$420*Registro_Compras!$N$420,2)),ROUND(Registro_Compras!$O$420-Registro_Compras!$S$420,2)))</f>
        <v/>
      </c>
      <c r="F3756" s="20" t="str">
        <f>""</f>
        <v/>
      </c>
      <c r="G3756" t="str">
        <f>IF($C3756="","","Por la cancelacion del saldo al proveedor")</f>
        <v/>
      </c>
      <c r="H3756" t="str">
        <f>IF($C3756="","",Registro_Compras!$C$420)</f>
        <v/>
      </c>
    </row>
    <row r="3757" spans="1:8" x14ac:dyDescent="0.25">
      <c r="A3757" s="25" t="str">
        <f>IF($C3757="","",Registro_Compras!$Y$420)</f>
        <v/>
      </c>
      <c r="B3757" t="str">
        <f>IF($C3757="","","C"&amp;TEXT(INT((ROW()-5)/9)+1,"000")&amp;"-4")</f>
        <v/>
      </c>
      <c r="C3757" t="str">
        <f>IF(OR(Registro_Compras!$C$420="",Registro_Compras!$O$420="",Registro_Compras!$Y$420="",Registro_Compras!$F$420="NOTA DE CREDITO"),"","1041")</f>
        <v/>
      </c>
      <c r="D3757" t="str">
        <f>IF(OR(Registro_Compras!$C$420="",Registro_Compras!$O$420=""),"","Efectivo y Equivalentes - Cta. Cte. Operativa")</f>
        <v/>
      </c>
      <c r="E3757" s="20" t="str">
        <f>""</f>
        <v/>
      </c>
      <c r="F3757" s="20" t="str">
        <f>IF($C3757="","",IF(Registro_Compras!$F$420="RHE",(ROUND(Registro_Compras!$L$420*Registro_Compras!$N$420,2)-ROUND(Registro_Compras!$V$420*Registro_Compras!$N$420,2)),ROUND(Registro_Compras!$O$420-Registro_Compras!$S$420,2)))</f>
        <v/>
      </c>
      <c r="G3757" t="str">
        <f>IF($C3757="","","Por la cancelacion del saldo al proveedor")</f>
        <v/>
      </c>
      <c r="H3757" t="str">
        <f>IF($C3757="","",Registro_Compras!$C$420)</f>
        <v/>
      </c>
    </row>
    <row r="3758" spans="1:8" x14ac:dyDescent="0.25">
      <c r="A3758" s="25" t="str">
        <f>IF($C3758="","",Registro_Compras!$B$421)</f>
        <v/>
      </c>
      <c r="B3758" t="str">
        <f>IF($C3758="","","C"&amp;TEXT(INT((ROW()-5)/9)+1,"000")&amp;"-1")</f>
        <v/>
      </c>
      <c r="C3758" t="str">
        <f>IF(OR(Registro_Compras!$C$421="",Registro_Compras!$O$421=""),"",IF(Registro_Compras!$F$421="NOTA DE CREDITO","4212",IF(Registro_Compras!$M$421="","63",Registro_Compras!$M$421)))</f>
        <v/>
      </c>
      <c r="D3758" t="str">
        <f>IF(OR(Registro_Compras!$C$421="",Registro_Compras!$O$421=""),"",IF(Registro_Compras!$F$421="NOTA DE CREDITO","Cuentas por Pagar Comerciales - Terceros (Emitidas)",IF(Registro_Compras!$F$421="RHE","Honorarios Profesionales - Servicios de Terceros","Gastos de Servicios Prestados por Terceros")))</f>
        <v/>
      </c>
      <c r="E3758" s="20" t="str">
        <f>IF($C3758="","",IF(Registro_Compras!$F$421="NOTA DE CREDITO",ABS(Registro_Compras!$O$421),IF(Registro_Compras!$F$421="RHE",ROUND(Registro_Compras!$L$421*Registro_Compras!$N$421,2),ROUND(Registro_Compras!$J$421*Registro_Compras!$N$421,2))))</f>
        <v/>
      </c>
      <c r="F3758" s="20" t="str">
        <f>""</f>
        <v/>
      </c>
      <c r="G3758" t="str">
        <f>IF($C3758="","",IF(Registro_Compras!$F$421="NOTA DE CREDITO","Por la nota de credito "&amp;Registro_Compras!$C$421&amp;" de "&amp;Registro_Compras!$E$421&amp;" [PATRON POR CONFIRMAR CON CONTADOR]",IF(Registro_Compras!$F$421="RHE","Por el registro del recibo por honorarios "&amp;Registro_Compras!$C$421&amp;" de "&amp;Registro_Compras!$E$421&amp;" [PATRON POR CONFIRMAR CON CONTADOR]","Por el registro de la factura "&amp;Registro_Compras!$C$421&amp;" de "&amp;Registro_Compras!$E$421)))</f>
        <v/>
      </c>
      <c r="H3758" t="str">
        <f>IF($C3758="","",Registro_Compras!$C$421)</f>
        <v/>
      </c>
    </row>
    <row r="3759" spans="1:8" x14ac:dyDescent="0.25">
      <c r="A3759" s="25" t="str">
        <f>IF($C3759="","",Registro_Compras!$B$421)</f>
        <v/>
      </c>
      <c r="B3759" t="str">
        <f>IF($C3759="","","C"&amp;TEXT(INT((ROW()-5)/9)+1,"000")&amp;"-1")</f>
        <v/>
      </c>
      <c r="C3759" t="str">
        <f>IF(OR(Registro_Compras!$C$421="",Registro_Compras!$O$421=""),"",IF(Registro_Compras!$F$421="RHE",IF(Registro_Compras!$V$421=0,"","4017"),IF(Registro_Compras!$F$421="NOTA DE CREDITO",IF(Registro_Compras!$M$421="","63",Registro_Compras!$M$421),IF(Registro_Compras!$K$421=0,"","40111"))))</f>
        <v/>
      </c>
      <c r="D3759" t="str">
        <f>IF(OR(Registro_Compras!$C$421="",Registro_Compras!$O$421=""),"",IF(Registro_Compras!$F$421="RHE","Retencion Renta 4ta Categoria por Pagar",IF(Registro_Compras!$F$421="NOTA DE CREDITO","Gastos de Servicios Prestados por Terceros","IGV - Cuenta Propia (Credito Fiscal)")))</f>
        <v/>
      </c>
      <c r="E3759" s="20" t="str">
        <f>IF($C3759="","",IF(Registro_Compras!$F$421="FACTURA",ROUND(Registro_Compras!$K$421*Registro_Compras!$N$421,2),""))</f>
        <v/>
      </c>
      <c r="F3759" s="20" t="str">
        <f>IF($C3759="","",IF(Registro_Compras!$F$421="RHE",ROUND(Registro_Compras!$V$421*Registro_Compras!$N$421,2),IF(Registro_Compras!$F$421="NOTA DE CREDITO",ROUND(ABS(Registro_Compras!$J$421*Registro_Compras!$N$421),2),"")))</f>
        <v/>
      </c>
      <c r="G3759" t="str">
        <f>IF($C3759="","",IF(Registro_Compras!$F$421="NOTA DE CREDITO","Por la nota de credito "&amp;Registro_Compras!$C$421&amp;" de "&amp;Registro_Compras!$E$421&amp;" [PATRON POR CONFIRMAR CON CONTADOR]",IF(Registro_Compras!$F$421="RHE","Por el registro del recibo por honorarios "&amp;Registro_Compras!$C$421&amp;" de "&amp;Registro_Compras!$E$421&amp;" [PATRON POR CONFIRMAR CON CONTADOR]","Por el registro de la factura "&amp;Registro_Compras!$C$421&amp;" de "&amp;Registro_Compras!$E$421)))</f>
        <v/>
      </c>
      <c r="H3759" t="str">
        <f>IF($C3759="","",Registro_Compras!$C$421)</f>
        <v/>
      </c>
    </row>
    <row r="3760" spans="1:8" x14ac:dyDescent="0.25">
      <c r="A3760" s="25" t="str">
        <f>IF($C3760="","",Registro_Compras!$B$421)</f>
        <v/>
      </c>
      <c r="B3760" t="str">
        <f>IF($C3760="","","C"&amp;TEXT(INT((ROW()-5)/9)+1,"000")&amp;"-1")</f>
        <v/>
      </c>
      <c r="C3760" t="str">
        <f>IF(OR(Registro_Compras!$C$421="",Registro_Compras!$O$421=""),"",IF(Registro_Compras!$F$421="NOTA DE CREDITO",IF(Registro_Compras!$K$421=0,"","40111"),"4212"))</f>
        <v/>
      </c>
      <c r="D3760" t="str">
        <f>IF(OR(Registro_Compras!$C$421="",Registro_Compras!$O$421=""),"",IF(Registro_Compras!$F$421="NOTA DE CREDITO","IGV - Cuenta Propia (Credito Fiscal)","Cuentas por Pagar Comerciales - Terceros (Emitidas)"))</f>
        <v/>
      </c>
      <c r="E3760" s="20" t="str">
        <f>""</f>
        <v/>
      </c>
      <c r="F3760" s="20" t="str">
        <f>IF($C3760="","",IF(Registro_Compras!$F$421="NOTA DE CREDITO",ROUND(ABS(Registro_Compras!$K$421*Registro_Compras!$N$421),2),IF(Registro_Compras!$F$421="RHE",(ROUND(Registro_Compras!$L$421*Registro_Compras!$N$421,2)-ROUND(Registro_Compras!$V$421*Registro_Compras!$N$421,2)),Registro_Compras!$O$421)))</f>
        <v/>
      </c>
      <c r="G3760" t="str">
        <f>IF($C3760="","",IF(Registro_Compras!$F$421="NOTA DE CREDITO","Por la nota de credito "&amp;Registro_Compras!$C$421&amp;" de "&amp;Registro_Compras!$E$421&amp;" [PATRON POR CONFIRMAR CON CONTADOR]",IF(Registro_Compras!$F$421="RHE","Por el registro del recibo por honorarios "&amp;Registro_Compras!$C$421&amp;" de "&amp;Registro_Compras!$E$421&amp;" [PATRON POR CONFIRMAR CON CONTADOR]","Por el registro de la factura "&amp;Registro_Compras!$C$421&amp;" de "&amp;Registro_Compras!$E$421)))</f>
        <v/>
      </c>
      <c r="H3760" t="str">
        <f>IF($C3760="","",Registro_Compras!$C$421)</f>
        <v/>
      </c>
    </row>
    <row r="3761" spans="1:8" x14ac:dyDescent="0.25">
      <c r="A3761" s="25" t="str">
        <f>IF($C3761="","",Registro_Compras!$B$421)</f>
        <v/>
      </c>
      <c r="B3761" t="str">
        <f>IF($C3761="","","C"&amp;TEXT(INT((ROW()-5)/9)+1,"000")&amp;"-2")</f>
        <v/>
      </c>
      <c r="C3761" t="str">
        <f>IF(OR(Registro_Compras!$C$421="",Registro_Compras!$O$421=""),"",IF(Registro_Compras!$AB$421="ADMINISTRATIVO","94","95"))</f>
        <v/>
      </c>
      <c r="D3761" t="str">
        <f>IF(OR(Registro_Compras!$C$421="",Registro_Compras!$O$421=""),"",IF(Registro_Compras!$AB$421="ADMINISTRATIVO","Gastos Administrativos","Gastos de Venta y Operacion"))</f>
        <v/>
      </c>
      <c r="E3761" s="20" t="str">
        <f>IF($C3761="","",IF(Registro_Compras!$F$421="NOTA DE CREDITO","",IF(Registro_Compras!$F$421="RHE",ROUND(Registro_Compras!$L$421*Registro_Compras!$N$421,2),ROUND(Registro_Compras!$J$421*Registro_Compras!$N$421,2))))</f>
        <v/>
      </c>
      <c r="F3761" s="20" t="str">
        <f>IF($C3761="","",IF(Registro_Compras!$F$421="NOTA DE CREDITO",ROUND(ABS(Registro_Compras!$J$421*Registro_Compras!$N$421),2),""))</f>
        <v/>
      </c>
      <c r="G3761" t="str">
        <f>IF($C3761="","","Por el destino del gasto")</f>
        <v/>
      </c>
      <c r="H3761" t="str">
        <f>IF($C3761="","",Registro_Compras!$C$421)</f>
        <v/>
      </c>
    </row>
    <row r="3762" spans="1:8" x14ac:dyDescent="0.25">
      <c r="A3762" s="25" t="str">
        <f>IF($C3762="","",Registro_Compras!$B$421)</f>
        <v/>
      </c>
      <c r="B3762" t="str">
        <f>IF($C3762="","","C"&amp;TEXT(INT((ROW()-5)/9)+1,"000")&amp;"-2")</f>
        <v/>
      </c>
      <c r="C3762" t="str">
        <f>IF(OR(Registro_Compras!$C$421="",Registro_Compras!$O$421=""),"","79/791")</f>
        <v/>
      </c>
      <c r="D3762" t="str">
        <f>IF(OR(Registro_Compras!$C$421="",Registro_Compras!$O$421=""),"","Cargas Imputables a Cuentas de Costos y Gastos")</f>
        <v/>
      </c>
      <c r="E3762" s="20" t="str">
        <f>IF($C3762="","",IF(Registro_Compras!$F$421="NOTA DE CREDITO",ROUND(ABS(Registro_Compras!$J$421*Registro_Compras!$N$421),2),""))</f>
        <v/>
      </c>
      <c r="F3762" s="20" t="str">
        <f>IF($C3762="","",IF(Registro_Compras!$F$421="NOTA DE CREDITO","",IF(Registro_Compras!$F$421="RHE",ROUND(Registro_Compras!$L$421*Registro_Compras!$N$421,2),ROUND(Registro_Compras!$J$421*Registro_Compras!$N$421,2))))</f>
        <v/>
      </c>
      <c r="G3762" t="str">
        <f>IF($C3762="","","Por el destino del gasto")</f>
        <v/>
      </c>
      <c r="H3762" t="str">
        <f>IF($C3762="","",Registro_Compras!$C$421)</f>
        <v/>
      </c>
    </row>
    <row r="3763" spans="1:8" x14ac:dyDescent="0.25">
      <c r="A3763" s="25" t="str">
        <f>IF($C3763="","",Registro_Compras!$X$421)</f>
        <v/>
      </c>
      <c r="B3763" t="str">
        <f>IF($C3763="","","C"&amp;TEXT(INT((ROW()-5)/9)+1,"000")&amp;"-3")</f>
        <v/>
      </c>
      <c r="C3763" t="str">
        <f>IF(OR(Registro_Compras!$C$421="",Registro_Compras!$O$421="",Registro_Compras!$R$421&lt;&gt;"SI",Registro_Compras!$X$421=""),"","4212")</f>
        <v/>
      </c>
      <c r="D3763" t="str">
        <f>IF(OR(Registro_Compras!$C$421="",Registro_Compras!$O$421=""),"","Cuentas por Pagar Comerciales - Terceros")</f>
        <v/>
      </c>
      <c r="E3763" s="20" t="str">
        <f>IF($C3763="","",Registro_Compras!$S$421)</f>
        <v/>
      </c>
      <c r="F3763" s="20" t="str">
        <f>""</f>
        <v/>
      </c>
      <c r="G3763" t="str">
        <f>IF($C3763="","","Por el deposito de la detraccion en el Banco de la Nacion")</f>
        <v/>
      </c>
      <c r="H3763" t="str">
        <f>IF($C3763="","",Registro_Compras!$C$421)</f>
        <v/>
      </c>
    </row>
    <row r="3764" spans="1:8" x14ac:dyDescent="0.25">
      <c r="A3764" s="25" t="str">
        <f>IF($C3764="","",Registro_Compras!$X$421)</f>
        <v/>
      </c>
      <c r="B3764" t="str">
        <f>IF($C3764="","","C"&amp;TEXT(INT((ROW()-5)/9)+1,"000")&amp;"-3")</f>
        <v/>
      </c>
      <c r="C3764" t="str">
        <f>IF(OR(Registro_Compras!$C$421="",Registro_Compras!$O$421="",Registro_Compras!$R$421&lt;&gt;"SI",Registro_Compras!$X$421=""),"","1041")</f>
        <v/>
      </c>
      <c r="D3764" t="str">
        <f>IF(OR(Registro_Compras!$C$421="",Registro_Compras!$O$421=""),"","Efectivo y Equivalentes - Cta. Cte. Operativa")</f>
        <v/>
      </c>
      <c r="E3764" s="20" t="str">
        <f>""</f>
        <v/>
      </c>
      <c r="F3764" s="20" t="str">
        <f>IF($C3764="","",Registro_Compras!$S$421)</f>
        <v/>
      </c>
      <c r="G3764" t="str">
        <f>IF($C3764="","","Por el deposito de la detraccion en el Banco de la Nacion")</f>
        <v/>
      </c>
      <c r="H3764" t="str">
        <f>IF($C3764="","",Registro_Compras!$C$421)</f>
        <v/>
      </c>
    </row>
    <row r="3765" spans="1:8" x14ac:dyDescent="0.25">
      <c r="A3765" s="25" t="str">
        <f>IF($C3765="","",Registro_Compras!$Y$421)</f>
        <v/>
      </c>
      <c r="B3765" t="str">
        <f>IF($C3765="","","C"&amp;TEXT(INT((ROW()-5)/9)+1,"000")&amp;"-4")</f>
        <v/>
      </c>
      <c r="C3765" t="str">
        <f>IF(OR(Registro_Compras!$C$421="",Registro_Compras!$O$421="",Registro_Compras!$Y$421="",Registro_Compras!$F$421="NOTA DE CREDITO"),"","4212")</f>
        <v/>
      </c>
      <c r="D3765" t="str">
        <f>IF(OR(Registro_Compras!$C$421="",Registro_Compras!$O$421=""),"","Cuentas por Pagar Comerciales - Terceros")</f>
        <v/>
      </c>
      <c r="E3765" s="20" t="str">
        <f>IF($C3765="","",IF(Registro_Compras!$F$421="RHE",(ROUND(Registro_Compras!$L$421*Registro_Compras!$N$421,2)-ROUND(Registro_Compras!$V$421*Registro_Compras!$N$421,2)),ROUND(Registro_Compras!$O$421-Registro_Compras!$S$421,2)))</f>
        <v/>
      </c>
      <c r="F3765" s="20" t="str">
        <f>""</f>
        <v/>
      </c>
      <c r="G3765" t="str">
        <f>IF($C3765="","","Por la cancelacion del saldo al proveedor")</f>
        <v/>
      </c>
      <c r="H3765" t="str">
        <f>IF($C3765="","",Registro_Compras!$C$421)</f>
        <v/>
      </c>
    </row>
    <row r="3766" spans="1:8" x14ac:dyDescent="0.25">
      <c r="A3766" s="25" t="str">
        <f>IF($C3766="","",Registro_Compras!$Y$421)</f>
        <v/>
      </c>
      <c r="B3766" t="str">
        <f>IF($C3766="","","C"&amp;TEXT(INT((ROW()-5)/9)+1,"000")&amp;"-4")</f>
        <v/>
      </c>
      <c r="C3766" t="str">
        <f>IF(OR(Registro_Compras!$C$421="",Registro_Compras!$O$421="",Registro_Compras!$Y$421="",Registro_Compras!$F$421="NOTA DE CREDITO"),"","1041")</f>
        <v/>
      </c>
      <c r="D3766" t="str">
        <f>IF(OR(Registro_Compras!$C$421="",Registro_Compras!$O$421=""),"","Efectivo y Equivalentes - Cta. Cte. Operativa")</f>
        <v/>
      </c>
      <c r="E3766" s="20" t="str">
        <f>""</f>
        <v/>
      </c>
      <c r="F3766" s="20" t="str">
        <f>IF($C3766="","",IF(Registro_Compras!$F$421="RHE",(ROUND(Registro_Compras!$L$421*Registro_Compras!$N$421,2)-ROUND(Registro_Compras!$V$421*Registro_Compras!$N$421,2)),ROUND(Registro_Compras!$O$421-Registro_Compras!$S$421,2)))</f>
        <v/>
      </c>
      <c r="G3766" t="str">
        <f>IF($C3766="","","Por la cancelacion del saldo al proveedor")</f>
        <v/>
      </c>
      <c r="H3766" t="str">
        <f>IF($C3766="","",Registro_Compras!$C$421)</f>
        <v/>
      </c>
    </row>
    <row r="3767" spans="1:8" x14ac:dyDescent="0.25">
      <c r="A3767" s="25" t="str">
        <f>IF($C3767="","",Registro_Compras!$B$422)</f>
        <v/>
      </c>
      <c r="B3767" t="str">
        <f>IF($C3767="","","C"&amp;TEXT(INT((ROW()-5)/9)+1,"000")&amp;"-1")</f>
        <v/>
      </c>
      <c r="C3767" t="str">
        <f>IF(OR(Registro_Compras!$C$422="",Registro_Compras!$O$422=""),"",IF(Registro_Compras!$F$422="NOTA DE CREDITO","4212",IF(Registro_Compras!$M$422="","63",Registro_Compras!$M$422)))</f>
        <v/>
      </c>
      <c r="D3767" t="str">
        <f>IF(OR(Registro_Compras!$C$422="",Registro_Compras!$O$422=""),"",IF(Registro_Compras!$F$422="NOTA DE CREDITO","Cuentas por Pagar Comerciales - Terceros (Emitidas)",IF(Registro_Compras!$F$422="RHE","Honorarios Profesionales - Servicios de Terceros","Gastos de Servicios Prestados por Terceros")))</f>
        <v/>
      </c>
      <c r="E3767" s="20" t="str">
        <f>IF($C3767="","",IF(Registro_Compras!$F$422="NOTA DE CREDITO",ABS(Registro_Compras!$O$422),IF(Registro_Compras!$F$422="RHE",ROUND(Registro_Compras!$L$422*Registro_Compras!$N$422,2),ROUND(Registro_Compras!$J$422*Registro_Compras!$N$422,2))))</f>
        <v/>
      </c>
      <c r="F3767" s="20" t="str">
        <f>""</f>
        <v/>
      </c>
      <c r="G3767" t="str">
        <f>IF($C3767="","",IF(Registro_Compras!$F$422="NOTA DE CREDITO","Por la nota de credito "&amp;Registro_Compras!$C$422&amp;" de "&amp;Registro_Compras!$E$422&amp;" [PATRON POR CONFIRMAR CON CONTADOR]",IF(Registro_Compras!$F$422="RHE","Por el registro del recibo por honorarios "&amp;Registro_Compras!$C$422&amp;" de "&amp;Registro_Compras!$E$422&amp;" [PATRON POR CONFIRMAR CON CONTADOR]","Por el registro de la factura "&amp;Registro_Compras!$C$422&amp;" de "&amp;Registro_Compras!$E$422)))</f>
        <v/>
      </c>
      <c r="H3767" t="str">
        <f>IF($C3767="","",Registro_Compras!$C$422)</f>
        <v/>
      </c>
    </row>
    <row r="3768" spans="1:8" x14ac:dyDescent="0.25">
      <c r="A3768" s="25" t="str">
        <f>IF($C3768="","",Registro_Compras!$B$422)</f>
        <v/>
      </c>
      <c r="B3768" t="str">
        <f>IF($C3768="","","C"&amp;TEXT(INT((ROW()-5)/9)+1,"000")&amp;"-1")</f>
        <v/>
      </c>
      <c r="C3768" t="str">
        <f>IF(OR(Registro_Compras!$C$422="",Registro_Compras!$O$422=""),"",IF(Registro_Compras!$F$422="RHE",IF(Registro_Compras!$V$422=0,"","4017"),IF(Registro_Compras!$F$422="NOTA DE CREDITO",IF(Registro_Compras!$M$422="","63",Registro_Compras!$M$422),IF(Registro_Compras!$K$422=0,"","40111"))))</f>
        <v/>
      </c>
      <c r="D3768" t="str">
        <f>IF(OR(Registro_Compras!$C$422="",Registro_Compras!$O$422=""),"",IF(Registro_Compras!$F$422="RHE","Retencion Renta 4ta Categoria por Pagar",IF(Registro_Compras!$F$422="NOTA DE CREDITO","Gastos de Servicios Prestados por Terceros","IGV - Cuenta Propia (Credito Fiscal)")))</f>
        <v/>
      </c>
      <c r="E3768" s="20" t="str">
        <f>IF($C3768="","",IF(Registro_Compras!$F$422="FACTURA",ROUND(Registro_Compras!$K$422*Registro_Compras!$N$422,2),""))</f>
        <v/>
      </c>
      <c r="F3768" s="20" t="str">
        <f>IF($C3768="","",IF(Registro_Compras!$F$422="RHE",ROUND(Registro_Compras!$V$422*Registro_Compras!$N$422,2),IF(Registro_Compras!$F$422="NOTA DE CREDITO",ROUND(ABS(Registro_Compras!$J$422*Registro_Compras!$N$422),2),"")))</f>
        <v/>
      </c>
      <c r="G3768" t="str">
        <f>IF($C3768="","",IF(Registro_Compras!$F$422="NOTA DE CREDITO","Por la nota de credito "&amp;Registro_Compras!$C$422&amp;" de "&amp;Registro_Compras!$E$422&amp;" [PATRON POR CONFIRMAR CON CONTADOR]",IF(Registro_Compras!$F$422="RHE","Por el registro del recibo por honorarios "&amp;Registro_Compras!$C$422&amp;" de "&amp;Registro_Compras!$E$422&amp;" [PATRON POR CONFIRMAR CON CONTADOR]","Por el registro de la factura "&amp;Registro_Compras!$C$422&amp;" de "&amp;Registro_Compras!$E$422)))</f>
        <v/>
      </c>
      <c r="H3768" t="str">
        <f>IF($C3768="","",Registro_Compras!$C$422)</f>
        <v/>
      </c>
    </row>
    <row r="3769" spans="1:8" x14ac:dyDescent="0.25">
      <c r="A3769" s="25" t="str">
        <f>IF($C3769="","",Registro_Compras!$B$422)</f>
        <v/>
      </c>
      <c r="B3769" t="str">
        <f>IF($C3769="","","C"&amp;TEXT(INT((ROW()-5)/9)+1,"000")&amp;"-1")</f>
        <v/>
      </c>
      <c r="C3769" t="str">
        <f>IF(OR(Registro_Compras!$C$422="",Registro_Compras!$O$422=""),"",IF(Registro_Compras!$F$422="NOTA DE CREDITO",IF(Registro_Compras!$K$422=0,"","40111"),"4212"))</f>
        <v/>
      </c>
      <c r="D3769" t="str">
        <f>IF(OR(Registro_Compras!$C$422="",Registro_Compras!$O$422=""),"",IF(Registro_Compras!$F$422="NOTA DE CREDITO","IGV - Cuenta Propia (Credito Fiscal)","Cuentas por Pagar Comerciales - Terceros (Emitidas)"))</f>
        <v/>
      </c>
      <c r="E3769" s="20" t="str">
        <f>""</f>
        <v/>
      </c>
      <c r="F3769" s="20" t="str">
        <f>IF($C3769="","",IF(Registro_Compras!$F$422="NOTA DE CREDITO",ROUND(ABS(Registro_Compras!$K$422*Registro_Compras!$N$422),2),IF(Registro_Compras!$F$422="RHE",(ROUND(Registro_Compras!$L$422*Registro_Compras!$N$422,2)-ROUND(Registro_Compras!$V$422*Registro_Compras!$N$422,2)),Registro_Compras!$O$422)))</f>
        <v/>
      </c>
      <c r="G3769" t="str">
        <f>IF($C3769="","",IF(Registro_Compras!$F$422="NOTA DE CREDITO","Por la nota de credito "&amp;Registro_Compras!$C$422&amp;" de "&amp;Registro_Compras!$E$422&amp;" [PATRON POR CONFIRMAR CON CONTADOR]",IF(Registro_Compras!$F$422="RHE","Por el registro del recibo por honorarios "&amp;Registro_Compras!$C$422&amp;" de "&amp;Registro_Compras!$E$422&amp;" [PATRON POR CONFIRMAR CON CONTADOR]","Por el registro de la factura "&amp;Registro_Compras!$C$422&amp;" de "&amp;Registro_Compras!$E$422)))</f>
        <v/>
      </c>
      <c r="H3769" t="str">
        <f>IF($C3769="","",Registro_Compras!$C$422)</f>
        <v/>
      </c>
    </row>
    <row r="3770" spans="1:8" x14ac:dyDescent="0.25">
      <c r="A3770" s="25" t="str">
        <f>IF($C3770="","",Registro_Compras!$B$422)</f>
        <v/>
      </c>
      <c r="B3770" t="str">
        <f>IF($C3770="","","C"&amp;TEXT(INT((ROW()-5)/9)+1,"000")&amp;"-2")</f>
        <v/>
      </c>
      <c r="C3770" t="str">
        <f>IF(OR(Registro_Compras!$C$422="",Registro_Compras!$O$422=""),"",IF(Registro_Compras!$AB$422="ADMINISTRATIVO","94","95"))</f>
        <v/>
      </c>
      <c r="D3770" t="str">
        <f>IF(OR(Registro_Compras!$C$422="",Registro_Compras!$O$422=""),"",IF(Registro_Compras!$AB$422="ADMINISTRATIVO","Gastos Administrativos","Gastos de Venta y Operacion"))</f>
        <v/>
      </c>
      <c r="E3770" s="20" t="str">
        <f>IF($C3770="","",IF(Registro_Compras!$F$422="NOTA DE CREDITO","",IF(Registro_Compras!$F$422="RHE",ROUND(Registro_Compras!$L$422*Registro_Compras!$N$422,2),ROUND(Registro_Compras!$J$422*Registro_Compras!$N$422,2))))</f>
        <v/>
      </c>
      <c r="F3770" s="20" t="str">
        <f>IF($C3770="","",IF(Registro_Compras!$F$422="NOTA DE CREDITO",ROUND(ABS(Registro_Compras!$J$422*Registro_Compras!$N$422),2),""))</f>
        <v/>
      </c>
      <c r="G3770" t="str">
        <f>IF($C3770="","","Por el destino del gasto")</f>
        <v/>
      </c>
      <c r="H3770" t="str">
        <f>IF($C3770="","",Registro_Compras!$C$422)</f>
        <v/>
      </c>
    </row>
    <row r="3771" spans="1:8" x14ac:dyDescent="0.25">
      <c r="A3771" s="25" t="str">
        <f>IF($C3771="","",Registro_Compras!$B$422)</f>
        <v/>
      </c>
      <c r="B3771" t="str">
        <f>IF($C3771="","","C"&amp;TEXT(INT((ROW()-5)/9)+1,"000")&amp;"-2")</f>
        <v/>
      </c>
      <c r="C3771" t="str">
        <f>IF(OR(Registro_Compras!$C$422="",Registro_Compras!$O$422=""),"","79/791")</f>
        <v/>
      </c>
      <c r="D3771" t="str">
        <f>IF(OR(Registro_Compras!$C$422="",Registro_Compras!$O$422=""),"","Cargas Imputables a Cuentas de Costos y Gastos")</f>
        <v/>
      </c>
      <c r="E3771" s="20" t="str">
        <f>IF($C3771="","",IF(Registro_Compras!$F$422="NOTA DE CREDITO",ROUND(ABS(Registro_Compras!$J$422*Registro_Compras!$N$422),2),""))</f>
        <v/>
      </c>
      <c r="F3771" s="20" t="str">
        <f>IF($C3771="","",IF(Registro_Compras!$F$422="NOTA DE CREDITO","",IF(Registro_Compras!$F$422="RHE",ROUND(Registro_Compras!$L$422*Registro_Compras!$N$422,2),ROUND(Registro_Compras!$J$422*Registro_Compras!$N$422,2))))</f>
        <v/>
      </c>
      <c r="G3771" t="str">
        <f>IF($C3771="","","Por el destino del gasto")</f>
        <v/>
      </c>
      <c r="H3771" t="str">
        <f>IF($C3771="","",Registro_Compras!$C$422)</f>
        <v/>
      </c>
    </row>
    <row r="3772" spans="1:8" x14ac:dyDescent="0.25">
      <c r="A3772" s="25" t="str">
        <f>IF($C3772="","",Registro_Compras!$X$422)</f>
        <v/>
      </c>
      <c r="B3772" t="str">
        <f>IF($C3772="","","C"&amp;TEXT(INT((ROW()-5)/9)+1,"000")&amp;"-3")</f>
        <v/>
      </c>
      <c r="C3772" t="str">
        <f>IF(OR(Registro_Compras!$C$422="",Registro_Compras!$O$422="",Registro_Compras!$R$422&lt;&gt;"SI",Registro_Compras!$X$422=""),"","4212")</f>
        <v/>
      </c>
      <c r="D3772" t="str">
        <f>IF(OR(Registro_Compras!$C$422="",Registro_Compras!$O$422=""),"","Cuentas por Pagar Comerciales - Terceros")</f>
        <v/>
      </c>
      <c r="E3772" s="20" t="str">
        <f>IF($C3772="","",Registro_Compras!$S$422)</f>
        <v/>
      </c>
      <c r="F3772" s="20" t="str">
        <f>""</f>
        <v/>
      </c>
      <c r="G3772" t="str">
        <f>IF($C3772="","","Por el deposito de la detraccion en el Banco de la Nacion")</f>
        <v/>
      </c>
      <c r="H3772" t="str">
        <f>IF($C3772="","",Registro_Compras!$C$422)</f>
        <v/>
      </c>
    </row>
    <row r="3773" spans="1:8" x14ac:dyDescent="0.25">
      <c r="A3773" s="25" t="str">
        <f>IF($C3773="","",Registro_Compras!$X$422)</f>
        <v/>
      </c>
      <c r="B3773" t="str">
        <f>IF($C3773="","","C"&amp;TEXT(INT((ROW()-5)/9)+1,"000")&amp;"-3")</f>
        <v/>
      </c>
      <c r="C3773" t="str">
        <f>IF(OR(Registro_Compras!$C$422="",Registro_Compras!$O$422="",Registro_Compras!$R$422&lt;&gt;"SI",Registro_Compras!$X$422=""),"","1041")</f>
        <v/>
      </c>
      <c r="D3773" t="str">
        <f>IF(OR(Registro_Compras!$C$422="",Registro_Compras!$O$422=""),"","Efectivo y Equivalentes - Cta. Cte. Operativa")</f>
        <v/>
      </c>
      <c r="E3773" s="20" t="str">
        <f>""</f>
        <v/>
      </c>
      <c r="F3773" s="20" t="str">
        <f>IF($C3773="","",Registro_Compras!$S$422)</f>
        <v/>
      </c>
      <c r="G3773" t="str">
        <f>IF($C3773="","","Por el deposito de la detraccion en el Banco de la Nacion")</f>
        <v/>
      </c>
      <c r="H3773" t="str">
        <f>IF($C3773="","",Registro_Compras!$C$422)</f>
        <v/>
      </c>
    </row>
    <row r="3774" spans="1:8" x14ac:dyDescent="0.25">
      <c r="A3774" s="25" t="str">
        <f>IF($C3774="","",Registro_Compras!$Y$422)</f>
        <v/>
      </c>
      <c r="B3774" t="str">
        <f>IF($C3774="","","C"&amp;TEXT(INT((ROW()-5)/9)+1,"000")&amp;"-4")</f>
        <v/>
      </c>
      <c r="C3774" t="str">
        <f>IF(OR(Registro_Compras!$C$422="",Registro_Compras!$O$422="",Registro_Compras!$Y$422="",Registro_Compras!$F$422="NOTA DE CREDITO"),"","4212")</f>
        <v/>
      </c>
      <c r="D3774" t="str">
        <f>IF(OR(Registro_Compras!$C$422="",Registro_Compras!$O$422=""),"","Cuentas por Pagar Comerciales - Terceros")</f>
        <v/>
      </c>
      <c r="E3774" s="20" t="str">
        <f>IF($C3774="","",IF(Registro_Compras!$F$422="RHE",(ROUND(Registro_Compras!$L$422*Registro_Compras!$N$422,2)-ROUND(Registro_Compras!$V$422*Registro_Compras!$N$422,2)),ROUND(Registro_Compras!$O$422-Registro_Compras!$S$422,2)))</f>
        <v/>
      </c>
      <c r="F3774" s="20" t="str">
        <f>""</f>
        <v/>
      </c>
      <c r="G3774" t="str">
        <f>IF($C3774="","","Por la cancelacion del saldo al proveedor")</f>
        <v/>
      </c>
      <c r="H3774" t="str">
        <f>IF($C3774="","",Registro_Compras!$C$422)</f>
        <v/>
      </c>
    </row>
    <row r="3775" spans="1:8" x14ac:dyDescent="0.25">
      <c r="A3775" s="25" t="str">
        <f>IF($C3775="","",Registro_Compras!$Y$422)</f>
        <v/>
      </c>
      <c r="B3775" t="str">
        <f>IF($C3775="","","C"&amp;TEXT(INT((ROW()-5)/9)+1,"000")&amp;"-4")</f>
        <v/>
      </c>
      <c r="C3775" t="str">
        <f>IF(OR(Registro_Compras!$C$422="",Registro_Compras!$O$422="",Registro_Compras!$Y$422="",Registro_Compras!$F$422="NOTA DE CREDITO"),"","1041")</f>
        <v/>
      </c>
      <c r="D3775" t="str">
        <f>IF(OR(Registro_Compras!$C$422="",Registro_Compras!$O$422=""),"","Efectivo y Equivalentes - Cta. Cte. Operativa")</f>
        <v/>
      </c>
      <c r="E3775" s="20" t="str">
        <f>""</f>
        <v/>
      </c>
      <c r="F3775" s="20" t="str">
        <f>IF($C3775="","",IF(Registro_Compras!$F$422="RHE",(ROUND(Registro_Compras!$L$422*Registro_Compras!$N$422,2)-ROUND(Registro_Compras!$V$422*Registro_Compras!$N$422,2)),ROUND(Registro_Compras!$O$422-Registro_Compras!$S$422,2)))</f>
        <v/>
      </c>
      <c r="G3775" t="str">
        <f>IF($C3775="","","Por la cancelacion del saldo al proveedor")</f>
        <v/>
      </c>
      <c r="H3775" t="str">
        <f>IF($C3775="","",Registro_Compras!$C$422)</f>
        <v/>
      </c>
    </row>
    <row r="3776" spans="1:8" x14ac:dyDescent="0.25">
      <c r="A3776" s="25" t="str">
        <f>IF($C3776="","",Registro_Compras!$B$423)</f>
        <v/>
      </c>
      <c r="B3776" t="str">
        <f>IF($C3776="","","C"&amp;TEXT(INT((ROW()-5)/9)+1,"000")&amp;"-1")</f>
        <v/>
      </c>
      <c r="C3776" t="str">
        <f>IF(OR(Registro_Compras!$C$423="",Registro_Compras!$O$423=""),"",IF(Registro_Compras!$F$423="NOTA DE CREDITO","4212",IF(Registro_Compras!$M$423="","63",Registro_Compras!$M$423)))</f>
        <v/>
      </c>
      <c r="D3776" t="str">
        <f>IF(OR(Registro_Compras!$C$423="",Registro_Compras!$O$423=""),"",IF(Registro_Compras!$F$423="NOTA DE CREDITO","Cuentas por Pagar Comerciales - Terceros (Emitidas)",IF(Registro_Compras!$F$423="RHE","Honorarios Profesionales - Servicios de Terceros","Gastos de Servicios Prestados por Terceros")))</f>
        <v/>
      </c>
      <c r="E3776" s="20" t="str">
        <f>IF($C3776="","",IF(Registro_Compras!$F$423="NOTA DE CREDITO",ABS(Registro_Compras!$O$423),IF(Registro_Compras!$F$423="RHE",ROUND(Registro_Compras!$L$423*Registro_Compras!$N$423,2),ROUND(Registro_Compras!$J$423*Registro_Compras!$N$423,2))))</f>
        <v/>
      </c>
      <c r="F3776" s="20" t="str">
        <f>""</f>
        <v/>
      </c>
      <c r="G3776" t="str">
        <f>IF($C3776="","",IF(Registro_Compras!$F$423="NOTA DE CREDITO","Por la nota de credito "&amp;Registro_Compras!$C$423&amp;" de "&amp;Registro_Compras!$E$423&amp;" [PATRON POR CONFIRMAR CON CONTADOR]",IF(Registro_Compras!$F$423="RHE","Por el registro del recibo por honorarios "&amp;Registro_Compras!$C$423&amp;" de "&amp;Registro_Compras!$E$423&amp;" [PATRON POR CONFIRMAR CON CONTADOR]","Por el registro de la factura "&amp;Registro_Compras!$C$423&amp;" de "&amp;Registro_Compras!$E$423)))</f>
        <v/>
      </c>
      <c r="H3776" t="str">
        <f>IF($C3776="","",Registro_Compras!$C$423)</f>
        <v/>
      </c>
    </row>
    <row r="3777" spans="1:8" x14ac:dyDescent="0.25">
      <c r="A3777" s="25" t="str">
        <f>IF($C3777="","",Registro_Compras!$B$423)</f>
        <v/>
      </c>
      <c r="B3777" t="str">
        <f>IF($C3777="","","C"&amp;TEXT(INT((ROW()-5)/9)+1,"000")&amp;"-1")</f>
        <v/>
      </c>
      <c r="C3777" t="str">
        <f>IF(OR(Registro_Compras!$C$423="",Registro_Compras!$O$423=""),"",IF(Registro_Compras!$F$423="RHE",IF(Registro_Compras!$V$423=0,"","4017"),IF(Registro_Compras!$F$423="NOTA DE CREDITO",IF(Registro_Compras!$M$423="","63",Registro_Compras!$M$423),IF(Registro_Compras!$K$423=0,"","40111"))))</f>
        <v/>
      </c>
      <c r="D3777" t="str">
        <f>IF(OR(Registro_Compras!$C$423="",Registro_Compras!$O$423=""),"",IF(Registro_Compras!$F$423="RHE","Retencion Renta 4ta Categoria por Pagar",IF(Registro_Compras!$F$423="NOTA DE CREDITO","Gastos de Servicios Prestados por Terceros","IGV - Cuenta Propia (Credito Fiscal)")))</f>
        <v/>
      </c>
      <c r="E3777" s="20" t="str">
        <f>IF($C3777="","",IF(Registro_Compras!$F$423="FACTURA",ROUND(Registro_Compras!$K$423*Registro_Compras!$N$423,2),""))</f>
        <v/>
      </c>
      <c r="F3777" s="20" t="str">
        <f>IF($C3777="","",IF(Registro_Compras!$F$423="RHE",ROUND(Registro_Compras!$V$423*Registro_Compras!$N$423,2),IF(Registro_Compras!$F$423="NOTA DE CREDITO",ROUND(ABS(Registro_Compras!$J$423*Registro_Compras!$N$423),2),"")))</f>
        <v/>
      </c>
      <c r="G3777" t="str">
        <f>IF($C3777="","",IF(Registro_Compras!$F$423="NOTA DE CREDITO","Por la nota de credito "&amp;Registro_Compras!$C$423&amp;" de "&amp;Registro_Compras!$E$423&amp;" [PATRON POR CONFIRMAR CON CONTADOR]",IF(Registro_Compras!$F$423="RHE","Por el registro del recibo por honorarios "&amp;Registro_Compras!$C$423&amp;" de "&amp;Registro_Compras!$E$423&amp;" [PATRON POR CONFIRMAR CON CONTADOR]","Por el registro de la factura "&amp;Registro_Compras!$C$423&amp;" de "&amp;Registro_Compras!$E$423)))</f>
        <v/>
      </c>
      <c r="H3777" t="str">
        <f>IF($C3777="","",Registro_Compras!$C$423)</f>
        <v/>
      </c>
    </row>
    <row r="3778" spans="1:8" x14ac:dyDescent="0.25">
      <c r="A3778" s="25" t="str">
        <f>IF($C3778="","",Registro_Compras!$B$423)</f>
        <v/>
      </c>
      <c r="B3778" t="str">
        <f>IF($C3778="","","C"&amp;TEXT(INT((ROW()-5)/9)+1,"000")&amp;"-1")</f>
        <v/>
      </c>
      <c r="C3778" t="str">
        <f>IF(OR(Registro_Compras!$C$423="",Registro_Compras!$O$423=""),"",IF(Registro_Compras!$F$423="NOTA DE CREDITO",IF(Registro_Compras!$K$423=0,"","40111"),"4212"))</f>
        <v/>
      </c>
      <c r="D3778" t="str">
        <f>IF(OR(Registro_Compras!$C$423="",Registro_Compras!$O$423=""),"",IF(Registro_Compras!$F$423="NOTA DE CREDITO","IGV - Cuenta Propia (Credito Fiscal)","Cuentas por Pagar Comerciales - Terceros (Emitidas)"))</f>
        <v/>
      </c>
      <c r="E3778" s="20" t="str">
        <f>""</f>
        <v/>
      </c>
      <c r="F3778" s="20" t="str">
        <f>IF($C3778="","",IF(Registro_Compras!$F$423="NOTA DE CREDITO",ROUND(ABS(Registro_Compras!$K$423*Registro_Compras!$N$423),2),IF(Registro_Compras!$F$423="RHE",(ROUND(Registro_Compras!$L$423*Registro_Compras!$N$423,2)-ROUND(Registro_Compras!$V$423*Registro_Compras!$N$423,2)),Registro_Compras!$O$423)))</f>
        <v/>
      </c>
      <c r="G3778" t="str">
        <f>IF($C3778="","",IF(Registro_Compras!$F$423="NOTA DE CREDITO","Por la nota de credito "&amp;Registro_Compras!$C$423&amp;" de "&amp;Registro_Compras!$E$423&amp;" [PATRON POR CONFIRMAR CON CONTADOR]",IF(Registro_Compras!$F$423="RHE","Por el registro del recibo por honorarios "&amp;Registro_Compras!$C$423&amp;" de "&amp;Registro_Compras!$E$423&amp;" [PATRON POR CONFIRMAR CON CONTADOR]","Por el registro de la factura "&amp;Registro_Compras!$C$423&amp;" de "&amp;Registro_Compras!$E$423)))</f>
        <v/>
      </c>
      <c r="H3778" t="str">
        <f>IF($C3778="","",Registro_Compras!$C$423)</f>
        <v/>
      </c>
    </row>
    <row r="3779" spans="1:8" x14ac:dyDescent="0.25">
      <c r="A3779" s="25" t="str">
        <f>IF($C3779="","",Registro_Compras!$B$423)</f>
        <v/>
      </c>
      <c r="B3779" t="str">
        <f>IF($C3779="","","C"&amp;TEXT(INT((ROW()-5)/9)+1,"000")&amp;"-2")</f>
        <v/>
      </c>
      <c r="C3779" t="str">
        <f>IF(OR(Registro_Compras!$C$423="",Registro_Compras!$O$423=""),"",IF(Registro_Compras!$AB$423="ADMINISTRATIVO","94","95"))</f>
        <v/>
      </c>
      <c r="D3779" t="str">
        <f>IF(OR(Registro_Compras!$C$423="",Registro_Compras!$O$423=""),"",IF(Registro_Compras!$AB$423="ADMINISTRATIVO","Gastos Administrativos","Gastos de Venta y Operacion"))</f>
        <v/>
      </c>
      <c r="E3779" s="20" t="str">
        <f>IF($C3779="","",IF(Registro_Compras!$F$423="NOTA DE CREDITO","",IF(Registro_Compras!$F$423="RHE",ROUND(Registro_Compras!$L$423*Registro_Compras!$N$423,2),ROUND(Registro_Compras!$J$423*Registro_Compras!$N$423,2))))</f>
        <v/>
      </c>
      <c r="F3779" s="20" t="str">
        <f>IF($C3779="","",IF(Registro_Compras!$F$423="NOTA DE CREDITO",ROUND(ABS(Registro_Compras!$J$423*Registro_Compras!$N$423),2),""))</f>
        <v/>
      </c>
      <c r="G3779" t="str">
        <f>IF($C3779="","","Por el destino del gasto")</f>
        <v/>
      </c>
      <c r="H3779" t="str">
        <f>IF($C3779="","",Registro_Compras!$C$423)</f>
        <v/>
      </c>
    </row>
    <row r="3780" spans="1:8" x14ac:dyDescent="0.25">
      <c r="A3780" s="25" t="str">
        <f>IF($C3780="","",Registro_Compras!$B$423)</f>
        <v/>
      </c>
      <c r="B3780" t="str">
        <f>IF($C3780="","","C"&amp;TEXT(INT((ROW()-5)/9)+1,"000")&amp;"-2")</f>
        <v/>
      </c>
      <c r="C3780" t="str">
        <f>IF(OR(Registro_Compras!$C$423="",Registro_Compras!$O$423=""),"","79/791")</f>
        <v/>
      </c>
      <c r="D3780" t="str">
        <f>IF(OR(Registro_Compras!$C$423="",Registro_Compras!$O$423=""),"","Cargas Imputables a Cuentas de Costos y Gastos")</f>
        <v/>
      </c>
      <c r="E3780" s="20" t="str">
        <f>IF($C3780="","",IF(Registro_Compras!$F$423="NOTA DE CREDITO",ROUND(ABS(Registro_Compras!$J$423*Registro_Compras!$N$423),2),""))</f>
        <v/>
      </c>
      <c r="F3780" s="20" t="str">
        <f>IF($C3780="","",IF(Registro_Compras!$F$423="NOTA DE CREDITO","",IF(Registro_Compras!$F$423="RHE",ROUND(Registro_Compras!$L$423*Registro_Compras!$N$423,2),ROUND(Registro_Compras!$J$423*Registro_Compras!$N$423,2))))</f>
        <v/>
      </c>
      <c r="G3780" t="str">
        <f>IF($C3780="","","Por el destino del gasto")</f>
        <v/>
      </c>
      <c r="H3780" t="str">
        <f>IF($C3780="","",Registro_Compras!$C$423)</f>
        <v/>
      </c>
    </row>
    <row r="3781" spans="1:8" x14ac:dyDescent="0.25">
      <c r="A3781" s="25" t="str">
        <f>IF($C3781="","",Registro_Compras!$X$423)</f>
        <v/>
      </c>
      <c r="B3781" t="str">
        <f>IF($C3781="","","C"&amp;TEXT(INT((ROW()-5)/9)+1,"000")&amp;"-3")</f>
        <v/>
      </c>
      <c r="C3781" t="str">
        <f>IF(OR(Registro_Compras!$C$423="",Registro_Compras!$O$423="",Registro_Compras!$R$423&lt;&gt;"SI",Registro_Compras!$X$423=""),"","4212")</f>
        <v/>
      </c>
      <c r="D3781" t="str">
        <f>IF(OR(Registro_Compras!$C$423="",Registro_Compras!$O$423=""),"","Cuentas por Pagar Comerciales - Terceros")</f>
        <v/>
      </c>
      <c r="E3781" s="20" t="str">
        <f>IF($C3781="","",Registro_Compras!$S$423)</f>
        <v/>
      </c>
      <c r="F3781" s="20" t="str">
        <f>""</f>
        <v/>
      </c>
      <c r="G3781" t="str">
        <f>IF($C3781="","","Por el deposito de la detraccion en el Banco de la Nacion")</f>
        <v/>
      </c>
      <c r="H3781" t="str">
        <f>IF($C3781="","",Registro_Compras!$C$423)</f>
        <v/>
      </c>
    </row>
    <row r="3782" spans="1:8" x14ac:dyDescent="0.25">
      <c r="A3782" s="25" t="str">
        <f>IF($C3782="","",Registro_Compras!$X$423)</f>
        <v/>
      </c>
      <c r="B3782" t="str">
        <f>IF($C3782="","","C"&amp;TEXT(INT((ROW()-5)/9)+1,"000")&amp;"-3")</f>
        <v/>
      </c>
      <c r="C3782" t="str">
        <f>IF(OR(Registro_Compras!$C$423="",Registro_Compras!$O$423="",Registro_Compras!$R$423&lt;&gt;"SI",Registro_Compras!$X$423=""),"","1041")</f>
        <v/>
      </c>
      <c r="D3782" t="str">
        <f>IF(OR(Registro_Compras!$C$423="",Registro_Compras!$O$423=""),"","Efectivo y Equivalentes - Cta. Cte. Operativa")</f>
        <v/>
      </c>
      <c r="E3782" s="20" t="str">
        <f>""</f>
        <v/>
      </c>
      <c r="F3782" s="20" t="str">
        <f>IF($C3782="","",Registro_Compras!$S$423)</f>
        <v/>
      </c>
      <c r="G3782" t="str">
        <f>IF($C3782="","","Por el deposito de la detraccion en el Banco de la Nacion")</f>
        <v/>
      </c>
      <c r="H3782" t="str">
        <f>IF($C3782="","",Registro_Compras!$C$423)</f>
        <v/>
      </c>
    </row>
    <row r="3783" spans="1:8" x14ac:dyDescent="0.25">
      <c r="A3783" s="25" t="str">
        <f>IF($C3783="","",Registro_Compras!$Y$423)</f>
        <v/>
      </c>
      <c r="B3783" t="str">
        <f>IF($C3783="","","C"&amp;TEXT(INT((ROW()-5)/9)+1,"000")&amp;"-4")</f>
        <v/>
      </c>
      <c r="C3783" t="str">
        <f>IF(OR(Registro_Compras!$C$423="",Registro_Compras!$O$423="",Registro_Compras!$Y$423="",Registro_Compras!$F$423="NOTA DE CREDITO"),"","4212")</f>
        <v/>
      </c>
      <c r="D3783" t="str">
        <f>IF(OR(Registro_Compras!$C$423="",Registro_Compras!$O$423=""),"","Cuentas por Pagar Comerciales - Terceros")</f>
        <v/>
      </c>
      <c r="E3783" s="20" t="str">
        <f>IF($C3783="","",IF(Registro_Compras!$F$423="RHE",(ROUND(Registro_Compras!$L$423*Registro_Compras!$N$423,2)-ROUND(Registro_Compras!$V$423*Registro_Compras!$N$423,2)),ROUND(Registro_Compras!$O$423-Registro_Compras!$S$423,2)))</f>
        <v/>
      </c>
      <c r="F3783" s="20" t="str">
        <f>""</f>
        <v/>
      </c>
      <c r="G3783" t="str">
        <f>IF($C3783="","","Por la cancelacion del saldo al proveedor")</f>
        <v/>
      </c>
      <c r="H3783" t="str">
        <f>IF($C3783="","",Registro_Compras!$C$423)</f>
        <v/>
      </c>
    </row>
    <row r="3784" spans="1:8" x14ac:dyDescent="0.25">
      <c r="A3784" s="25" t="str">
        <f>IF($C3784="","",Registro_Compras!$Y$423)</f>
        <v/>
      </c>
      <c r="B3784" t="str">
        <f>IF($C3784="","","C"&amp;TEXT(INT((ROW()-5)/9)+1,"000")&amp;"-4")</f>
        <v/>
      </c>
      <c r="C3784" t="str">
        <f>IF(OR(Registro_Compras!$C$423="",Registro_Compras!$O$423="",Registro_Compras!$Y$423="",Registro_Compras!$F$423="NOTA DE CREDITO"),"","1041")</f>
        <v/>
      </c>
      <c r="D3784" t="str">
        <f>IF(OR(Registro_Compras!$C$423="",Registro_Compras!$O$423=""),"","Efectivo y Equivalentes - Cta. Cte. Operativa")</f>
        <v/>
      </c>
      <c r="E3784" s="20" t="str">
        <f>""</f>
        <v/>
      </c>
      <c r="F3784" s="20" t="str">
        <f>IF($C3784="","",IF(Registro_Compras!$F$423="RHE",(ROUND(Registro_Compras!$L$423*Registro_Compras!$N$423,2)-ROUND(Registro_Compras!$V$423*Registro_Compras!$N$423,2)),ROUND(Registro_Compras!$O$423-Registro_Compras!$S$423,2)))</f>
        <v/>
      </c>
      <c r="G3784" t="str">
        <f>IF($C3784="","","Por la cancelacion del saldo al proveedor")</f>
        <v/>
      </c>
      <c r="H3784" t="str">
        <f>IF($C3784="","",Registro_Compras!$C$423)</f>
        <v/>
      </c>
    </row>
    <row r="3785" spans="1:8" x14ac:dyDescent="0.25">
      <c r="A3785" s="25" t="str">
        <f>IF($C3785="","",Registro_Compras!$B$424)</f>
        <v/>
      </c>
      <c r="B3785" t="str">
        <f>IF($C3785="","","C"&amp;TEXT(INT((ROW()-5)/9)+1,"000")&amp;"-1")</f>
        <v/>
      </c>
      <c r="C3785" t="str">
        <f>IF(OR(Registro_Compras!$C$424="",Registro_Compras!$O$424=""),"",IF(Registro_Compras!$F$424="NOTA DE CREDITO","4212",IF(Registro_Compras!$M$424="","63",Registro_Compras!$M$424)))</f>
        <v/>
      </c>
      <c r="D3785" t="str">
        <f>IF(OR(Registro_Compras!$C$424="",Registro_Compras!$O$424=""),"",IF(Registro_Compras!$F$424="NOTA DE CREDITO","Cuentas por Pagar Comerciales - Terceros (Emitidas)",IF(Registro_Compras!$F$424="RHE","Honorarios Profesionales - Servicios de Terceros","Gastos de Servicios Prestados por Terceros")))</f>
        <v/>
      </c>
      <c r="E3785" s="20" t="str">
        <f>IF($C3785="","",IF(Registro_Compras!$F$424="NOTA DE CREDITO",ABS(Registro_Compras!$O$424),IF(Registro_Compras!$F$424="RHE",ROUND(Registro_Compras!$L$424*Registro_Compras!$N$424,2),ROUND(Registro_Compras!$J$424*Registro_Compras!$N$424,2))))</f>
        <v/>
      </c>
      <c r="F3785" s="20" t="str">
        <f>""</f>
        <v/>
      </c>
      <c r="G3785" t="str">
        <f>IF($C3785="","",IF(Registro_Compras!$F$424="NOTA DE CREDITO","Por la nota de credito "&amp;Registro_Compras!$C$424&amp;" de "&amp;Registro_Compras!$E$424&amp;" [PATRON POR CONFIRMAR CON CONTADOR]",IF(Registro_Compras!$F$424="RHE","Por el registro del recibo por honorarios "&amp;Registro_Compras!$C$424&amp;" de "&amp;Registro_Compras!$E$424&amp;" [PATRON POR CONFIRMAR CON CONTADOR]","Por el registro de la factura "&amp;Registro_Compras!$C$424&amp;" de "&amp;Registro_Compras!$E$424)))</f>
        <v/>
      </c>
      <c r="H3785" t="str">
        <f>IF($C3785="","",Registro_Compras!$C$424)</f>
        <v/>
      </c>
    </row>
    <row r="3786" spans="1:8" x14ac:dyDescent="0.25">
      <c r="A3786" s="25" t="str">
        <f>IF($C3786="","",Registro_Compras!$B$424)</f>
        <v/>
      </c>
      <c r="B3786" t="str">
        <f>IF($C3786="","","C"&amp;TEXT(INT((ROW()-5)/9)+1,"000")&amp;"-1")</f>
        <v/>
      </c>
      <c r="C3786" t="str">
        <f>IF(OR(Registro_Compras!$C$424="",Registro_Compras!$O$424=""),"",IF(Registro_Compras!$F$424="RHE",IF(Registro_Compras!$V$424=0,"","4017"),IF(Registro_Compras!$F$424="NOTA DE CREDITO",IF(Registro_Compras!$M$424="","63",Registro_Compras!$M$424),IF(Registro_Compras!$K$424=0,"","40111"))))</f>
        <v/>
      </c>
      <c r="D3786" t="str">
        <f>IF(OR(Registro_Compras!$C$424="",Registro_Compras!$O$424=""),"",IF(Registro_Compras!$F$424="RHE","Retencion Renta 4ta Categoria por Pagar",IF(Registro_Compras!$F$424="NOTA DE CREDITO","Gastos de Servicios Prestados por Terceros","IGV - Cuenta Propia (Credito Fiscal)")))</f>
        <v/>
      </c>
      <c r="E3786" s="20" t="str">
        <f>IF($C3786="","",IF(Registro_Compras!$F$424="FACTURA",ROUND(Registro_Compras!$K$424*Registro_Compras!$N$424,2),""))</f>
        <v/>
      </c>
      <c r="F3786" s="20" t="str">
        <f>IF($C3786="","",IF(Registro_Compras!$F$424="RHE",ROUND(Registro_Compras!$V$424*Registro_Compras!$N$424,2),IF(Registro_Compras!$F$424="NOTA DE CREDITO",ROUND(ABS(Registro_Compras!$J$424*Registro_Compras!$N$424),2),"")))</f>
        <v/>
      </c>
      <c r="G3786" t="str">
        <f>IF($C3786="","",IF(Registro_Compras!$F$424="NOTA DE CREDITO","Por la nota de credito "&amp;Registro_Compras!$C$424&amp;" de "&amp;Registro_Compras!$E$424&amp;" [PATRON POR CONFIRMAR CON CONTADOR]",IF(Registro_Compras!$F$424="RHE","Por el registro del recibo por honorarios "&amp;Registro_Compras!$C$424&amp;" de "&amp;Registro_Compras!$E$424&amp;" [PATRON POR CONFIRMAR CON CONTADOR]","Por el registro de la factura "&amp;Registro_Compras!$C$424&amp;" de "&amp;Registro_Compras!$E$424)))</f>
        <v/>
      </c>
      <c r="H3786" t="str">
        <f>IF($C3786="","",Registro_Compras!$C$424)</f>
        <v/>
      </c>
    </row>
    <row r="3787" spans="1:8" x14ac:dyDescent="0.25">
      <c r="A3787" s="25" t="str">
        <f>IF($C3787="","",Registro_Compras!$B$424)</f>
        <v/>
      </c>
      <c r="B3787" t="str">
        <f>IF($C3787="","","C"&amp;TEXT(INT((ROW()-5)/9)+1,"000")&amp;"-1")</f>
        <v/>
      </c>
      <c r="C3787" t="str">
        <f>IF(OR(Registro_Compras!$C$424="",Registro_Compras!$O$424=""),"",IF(Registro_Compras!$F$424="NOTA DE CREDITO",IF(Registro_Compras!$K$424=0,"","40111"),"4212"))</f>
        <v/>
      </c>
      <c r="D3787" t="str">
        <f>IF(OR(Registro_Compras!$C$424="",Registro_Compras!$O$424=""),"",IF(Registro_Compras!$F$424="NOTA DE CREDITO","IGV - Cuenta Propia (Credito Fiscal)","Cuentas por Pagar Comerciales - Terceros (Emitidas)"))</f>
        <v/>
      </c>
      <c r="E3787" s="20" t="str">
        <f>""</f>
        <v/>
      </c>
      <c r="F3787" s="20" t="str">
        <f>IF($C3787="","",IF(Registro_Compras!$F$424="NOTA DE CREDITO",ROUND(ABS(Registro_Compras!$K$424*Registro_Compras!$N$424),2),IF(Registro_Compras!$F$424="RHE",(ROUND(Registro_Compras!$L$424*Registro_Compras!$N$424,2)-ROUND(Registro_Compras!$V$424*Registro_Compras!$N$424,2)),Registro_Compras!$O$424)))</f>
        <v/>
      </c>
      <c r="G3787" t="str">
        <f>IF($C3787="","",IF(Registro_Compras!$F$424="NOTA DE CREDITO","Por la nota de credito "&amp;Registro_Compras!$C$424&amp;" de "&amp;Registro_Compras!$E$424&amp;" [PATRON POR CONFIRMAR CON CONTADOR]",IF(Registro_Compras!$F$424="RHE","Por el registro del recibo por honorarios "&amp;Registro_Compras!$C$424&amp;" de "&amp;Registro_Compras!$E$424&amp;" [PATRON POR CONFIRMAR CON CONTADOR]","Por el registro de la factura "&amp;Registro_Compras!$C$424&amp;" de "&amp;Registro_Compras!$E$424)))</f>
        <v/>
      </c>
      <c r="H3787" t="str">
        <f>IF($C3787="","",Registro_Compras!$C$424)</f>
        <v/>
      </c>
    </row>
    <row r="3788" spans="1:8" x14ac:dyDescent="0.25">
      <c r="A3788" s="25" t="str">
        <f>IF($C3788="","",Registro_Compras!$B$424)</f>
        <v/>
      </c>
      <c r="B3788" t="str">
        <f>IF($C3788="","","C"&amp;TEXT(INT((ROW()-5)/9)+1,"000")&amp;"-2")</f>
        <v/>
      </c>
      <c r="C3788" t="str">
        <f>IF(OR(Registro_Compras!$C$424="",Registro_Compras!$O$424=""),"",IF(Registro_Compras!$AB$424="ADMINISTRATIVO","94","95"))</f>
        <v/>
      </c>
      <c r="D3788" t="str">
        <f>IF(OR(Registro_Compras!$C$424="",Registro_Compras!$O$424=""),"",IF(Registro_Compras!$AB$424="ADMINISTRATIVO","Gastos Administrativos","Gastos de Venta y Operacion"))</f>
        <v/>
      </c>
      <c r="E3788" s="20" t="str">
        <f>IF($C3788="","",IF(Registro_Compras!$F$424="NOTA DE CREDITO","",IF(Registro_Compras!$F$424="RHE",ROUND(Registro_Compras!$L$424*Registro_Compras!$N$424,2),ROUND(Registro_Compras!$J$424*Registro_Compras!$N$424,2))))</f>
        <v/>
      </c>
      <c r="F3788" s="20" t="str">
        <f>IF($C3788="","",IF(Registro_Compras!$F$424="NOTA DE CREDITO",ROUND(ABS(Registro_Compras!$J$424*Registro_Compras!$N$424),2),""))</f>
        <v/>
      </c>
      <c r="G3788" t="str">
        <f>IF($C3788="","","Por el destino del gasto")</f>
        <v/>
      </c>
      <c r="H3788" t="str">
        <f>IF($C3788="","",Registro_Compras!$C$424)</f>
        <v/>
      </c>
    </row>
    <row r="3789" spans="1:8" x14ac:dyDescent="0.25">
      <c r="A3789" s="25" t="str">
        <f>IF($C3789="","",Registro_Compras!$B$424)</f>
        <v/>
      </c>
      <c r="B3789" t="str">
        <f>IF($C3789="","","C"&amp;TEXT(INT((ROW()-5)/9)+1,"000")&amp;"-2")</f>
        <v/>
      </c>
      <c r="C3789" t="str">
        <f>IF(OR(Registro_Compras!$C$424="",Registro_Compras!$O$424=""),"","79/791")</f>
        <v/>
      </c>
      <c r="D3789" t="str">
        <f>IF(OR(Registro_Compras!$C$424="",Registro_Compras!$O$424=""),"","Cargas Imputables a Cuentas de Costos y Gastos")</f>
        <v/>
      </c>
      <c r="E3789" s="20" t="str">
        <f>IF($C3789="","",IF(Registro_Compras!$F$424="NOTA DE CREDITO",ROUND(ABS(Registro_Compras!$J$424*Registro_Compras!$N$424),2),""))</f>
        <v/>
      </c>
      <c r="F3789" s="20" t="str">
        <f>IF($C3789="","",IF(Registro_Compras!$F$424="NOTA DE CREDITO","",IF(Registro_Compras!$F$424="RHE",ROUND(Registro_Compras!$L$424*Registro_Compras!$N$424,2),ROUND(Registro_Compras!$J$424*Registro_Compras!$N$424,2))))</f>
        <v/>
      </c>
      <c r="G3789" t="str">
        <f>IF($C3789="","","Por el destino del gasto")</f>
        <v/>
      </c>
      <c r="H3789" t="str">
        <f>IF($C3789="","",Registro_Compras!$C$424)</f>
        <v/>
      </c>
    </row>
    <row r="3790" spans="1:8" x14ac:dyDescent="0.25">
      <c r="A3790" s="25" t="str">
        <f>IF($C3790="","",Registro_Compras!$X$424)</f>
        <v/>
      </c>
      <c r="B3790" t="str">
        <f>IF($C3790="","","C"&amp;TEXT(INT((ROW()-5)/9)+1,"000")&amp;"-3")</f>
        <v/>
      </c>
      <c r="C3790" t="str">
        <f>IF(OR(Registro_Compras!$C$424="",Registro_Compras!$O$424="",Registro_Compras!$R$424&lt;&gt;"SI",Registro_Compras!$X$424=""),"","4212")</f>
        <v/>
      </c>
      <c r="D3790" t="str">
        <f>IF(OR(Registro_Compras!$C$424="",Registro_Compras!$O$424=""),"","Cuentas por Pagar Comerciales - Terceros")</f>
        <v/>
      </c>
      <c r="E3790" s="20" t="str">
        <f>IF($C3790="","",Registro_Compras!$S$424)</f>
        <v/>
      </c>
      <c r="F3790" s="20" t="str">
        <f>""</f>
        <v/>
      </c>
      <c r="G3790" t="str">
        <f>IF($C3790="","","Por el deposito de la detraccion en el Banco de la Nacion")</f>
        <v/>
      </c>
      <c r="H3790" t="str">
        <f>IF($C3790="","",Registro_Compras!$C$424)</f>
        <v/>
      </c>
    </row>
    <row r="3791" spans="1:8" x14ac:dyDescent="0.25">
      <c r="A3791" s="25" t="str">
        <f>IF($C3791="","",Registro_Compras!$X$424)</f>
        <v/>
      </c>
      <c r="B3791" t="str">
        <f>IF($C3791="","","C"&amp;TEXT(INT((ROW()-5)/9)+1,"000")&amp;"-3")</f>
        <v/>
      </c>
      <c r="C3791" t="str">
        <f>IF(OR(Registro_Compras!$C$424="",Registro_Compras!$O$424="",Registro_Compras!$R$424&lt;&gt;"SI",Registro_Compras!$X$424=""),"","1041")</f>
        <v/>
      </c>
      <c r="D3791" t="str">
        <f>IF(OR(Registro_Compras!$C$424="",Registro_Compras!$O$424=""),"","Efectivo y Equivalentes - Cta. Cte. Operativa")</f>
        <v/>
      </c>
      <c r="E3791" s="20" t="str">
        <f>""</f>
        <v/>
      </c>
      <c r="F3791" s="20" t="str">
        <f>IF($C3791="","",Registro_Compras!$S$424)</f>
        <v/>
      </c>
      <c r="G3791" t="str">
        <f>IF($C3791="","","Por el deposito de la detraccion en el Banco de la Nacion")</f>
        <v/>
      </c>
      <c r="H3791" t="str">
        <f>IF($C3791="","",Registro_Compras!$C$424)</f>
        <v/>
      </c>
    </row>
    <row r="3792" spans="1:8" x14ac:dyDescent="0.25">
      <c r="A3792" s="25" t="str">
        <f>IF($C3792="","",Registro_Compras!$Y$424)</f>
        <v/>
      </c>
      <c r="B3792" t="str">
        <f>IF($C3792="","","C"&amp;TEXT(INT((ROW()-5)/9)+1,"000")&amp;"-4")</f>
        <v/>
      </c>
      <c r="C3792" t="str">
        <f>IF(OR(Registro_Compras!$C$424="",Registro_Compras!$O$424="",Registro_Compras!$Y$424="",Registro_Compras!$F$424="NOTA DE CREDITO"),"","4212")</f>
        <v/>
      </c>
      <c r="D3792" t="str">
        <f>IF(OR(Registro_Compras!$C$424="",Registro_Compras!$O$424=""),"","Cuentas por Pagar Comerciales - Terceros")</f>
        <v/>
      </c>
      <c r="E3792" s="20" t="str">
        <f>IF($C3792="","",IF(Registro_Compras!$F$424="RHE",(ROUND(Registro_Compras!$L$424*Registro_Compras!$N$424,2)-ROUND(Registro_Compras!$V$424*Registro_Compras!$N$424,2)),ROUND(Registro_Compras!$O$424-Registro_Compras!$S$424,2)))</f>
        <v/>
      </c>
      <c r="F3792" s="20" t="str">
        <f>""</f>
        <v/>
      </c>
      <c r="G3792" t="str">
        <f>IF($C3792="","","Por la cancelacion del saldo al proveedor")</f>
        <v/>
      </c>
      <c r="H3792" t="str">
        <f>IF($C3792="","",Registro_Compras!$C$424)</f>
        <v/>
      </c>
    </row>
    <row r="3793" spans="1:8" x14ac:dyDescent="0.25">
      <c r="A3793" s="25" t="str">
        <f>IF($C3793="","",Registro_Compras!$Y$424)</f>
        <v/>
      </c>
      <c r="B3793" t="str">
        <f>IF($C3793="","","C"&amp;TEXT(INT((ROW()-5)/9)+1,"000")&amp;"-4")</f>
        <v/>
      </c>
      <c r="C3793" t="str">
        <f>IF(OR(Registro_Compras!$C$424="",Registro_Compras!$O$424="",Registro_Compras!$Y$424="",Registro_Compras!$F$424="NOTA DE CREDITO"),"","1041")</f>
        <v/>
      </c>
      <c r="D3793" t="str">
        <f>IF(OR(Registro_Compras!$C$424="",Registro_Compras!$O$424=""),"","Efectivo y Equivalentes - Cta. Cte. Operativa")</f>
        <v/>
      </c>
      <c r="E3793" s="20" t="str">
        <f>""</f>
        <v/>
      </c>
      <c r="F3793" s="20" t="str">
        <f>IF($C3793="","",IF(Registro_Compras!$F$424="RHE",(ROUND(Registro_Compras!$L$424*Registro_Compras!$N$424,2)-ROUND(Registro_Compras!$V$424*Registro_Compras!$N$424,2)),ROUND(Registro_Compras!$O$424-Registro_Compras!$S$424,2)))</f>
        <v/>
      </c>
      <c r="G3793" t="str">
        <f>IF($C3793="","","Por la cancelacion del saldo al proveedor")</f>
        <v/>
      </c>
      <c r="H3793" t="str">
        <f>IF($C3793="","",Registro_Compras!$C$424)</f>
        <v/>
      </c>
    </row>
    <row r="3794" spans="1:8" x14ac:dyDescent="0.25">
      <c r="A3794" s="25" t="str">
        <f>IF($C3794="","",Registro_Compras!$B$425)</f>
        <v/>
      </c>
      <c r="B3794" t="str">
        <f>IF($C3794="","","C"&amp;TEXT(INT((ROW()-5)/9)+1,"000")&amp;"-1")</f>
        <v/>
      </c>
      <c r="C3794" t="str">
        <f>IF(OR(Registro_Compras!$C$425="",Registro_Compras!$O$425=""),"",IF(Registro_Compras!$F$425="NOTA DE CREDITO","4212",IF(Registro_Compras!$M$425="","63",Registro_Compras!$M$425)))</f>
        <v/>
      </c>
      <c r="D3794" t="str">
        <f>IF(OR(Registro_Compras!$C$425="",Registro_Compras!$O$425=""),"",IF(Registro_Compras!$F$425="NOTA DE CREDITO","Cuentas por Pagar Comerciales - Terceros (Emitidas)",IF(Registro_Compras!$F$425="RHE","Honorarios Profesionales - Servicios de Terceros","Gastos de Servicios Prestados por Terceros")))</f>
        <v/>
      </c>
      <c r="E3794" s="20" t="str">
        <f>IF($C3794="","",IF(Registro_Compras!$F$425="NOTA DE CREDITO",ABS(Registro_Compras!$O$425),IF(Registro_Compras!$F$425="RHE",ROUND(Registro_Compras!$L$425*Registro_Compras!$N$425,2),ROUND(Registro_Compras!$J$425*Registro_Compras!$N$425,2))))</f>
        <v/>
      </c>
      <c r="F3794" s="20" t="str">
        <f>""</f>
        <v/>
      </c>
      <c r="G3794" t="str">
        <f>IF($C3794="","",IF(Registro_Compras!$F$425="NOTA DE CREDITO","Por la nota de credito "&amp;Registro_Compras!$C$425&amp;" de "&amp;Registro_Compras!$E$425&amp;" [PATRON POR CONFIRMAR CON CONTADOR]",IF(Registro_Compras!$F$425="RHE","Por el registro del recibo por honorarios "&amp;Registro_Compras!$C$425&amp;" de "&amp;Registro_Compras!$E$425&amp;" [PATRON POR CONFIRMAR CON CONTADOR]","Por el registro de la factura "&amp;Registro_Compras!$C$425&amp;" de "&amp;Registro_Compras!$E$425)))</f>
        <v/>
      </c>
      <c r="H3794" t="str">
        <f>IF($C3794="","",Registro_Compras!$C$425)</f>
        <v/>
      </c>
    </row>
    <row r="3795" spans="1:8" x14ac:dyDescent="0.25">
      <c r="A3795" s="25" t="str">
        <f>IF($C3795="","",Registro_Compras!$B$425)</f>
        <v/>
      </c>
      <c r="B3795" t="str">
        <f>IF($C3795="","","C"&amp;TEXT(INT((ROW()-5)/9)+1,"000")&amp;"-1")</f>
        <v/>
      </c>
      <c r="C3795" t="str">
        <f>IF(OR(Registro_Compras!$C$425="",Registro_Compras!$O$425=""),"",IF(Registro_Compras!$F$425="RHE",IF(Registro_Compras!$V$425=0,"","4017"),IF(Registro_Compras!$F$425="NOTA DE CREDITO",IF(Registro_Compras!$M$425="","63",Registro_Compras!$M$425),IF(Registro_Compras!$K$425=0,"","40111"))))</f>
        <v/>
      </c>
      <c r="D3795" t="str">
        <f>IF(OR(Registro_Compras!$C$425="",Registro_Compras!$O$425=""),"",IF(Registro_Compras!$F$425="RHE","Retencion Renta 4ta Categoria por Pagar",IF(Registro_Compras!$F$425="NOTA DE CREDITO","Gastos de Servicios Prestados por Terceros","IGV - Cuenta Propia (Credito Fiscal)")))</f>
        <v/>
      </c>
      <c r="E3795" s="20" t="str">
        <f>IF($C3795="","",IF(Registro_Compras!$F$425="FACTURA",ROUND(Registro_Compras!$K$425*Registro_Compras!$N$425,2),""))</f>
        <v/>
      </c>
      <c r="F3795" s="20" t="str">
        <f>IF($C3795="","",IF(Registro_Compras!$F$425="RHE",ROUND(Registro_Compras!$V$425*Registro_Compras!$N$425,2),IF(Registro_Compras!$F$425="NOTA DE CREDITO",ROUND(ABS(Registro_Compras!$J$425*Registro_Compras!$N$425),2),"")))</f>
        <v/>
      </c>
      <c r="G3795" t="str">
        <f>IF($C3795="","",IF(Registro_Compras!$F$425="NOTA DE CREDITO","Por la nota de credito "&amp;Registro_Compras!$C$425&amp;" de "&amp;Registro_Compras!$E$425&amp;" [PATRON POR CONFIRMAR CON CONTADOR]",IF(Registro_Compras!$F$425="RHE","Por el registro del recibo por honorarios "&amp;Registro_Compras!$C$425&amp;" de "&amp;Registro_Compras!$E$425&amp;" [PATRON POR CONFIRMAR CON CONTADOR]","Por el registro de la factura "&amp;Registro_Compras!$C$425&amp;" de "&amp;Registro_Compras!$E$425)))</f>
        <v/>
      </c>
      <c r="H3795" t="str">
        <f>IF($C3795="","",Registro_Compras!$C$425)</f>
        <v/>
      </c>
    </row>
    <row r="3796" spans="1:8" x14ac:dyDescent="0.25">
      <c r="A3796" s="25" t="str">
        <f>IF($C3796="","",Registro_Compras!$B$425)</f>
        <v/>
      </c>
      <c r="B3796" t="str">
        <f>IF($C3796="","","C"&amp;TEXT(INT((ROW()-5)/9)+1,"000")&amp;"-1")</f>
        <v/>
      </c>
      <c r="C3796" t="str">
        <f>IF(OR(Registro_Compras!$C$425="",Registro_Compras!$O$425=""),"",IF(Registro_Compras!$F$425="NOTA DE CREDITO",IF(Registro_Compras!$K$425=0,"","40111"),"4212"))</f>
        <v/>
      </c>
      <c r="D3796" t="str">
        <f>IF(OR(Registro_Compras!$C$425="",Registro_Compras!$O$425=""),"",IF(Registro_Compras!$F$425="NOTA DE CREDITO","IGV - Cuenta Propia (Credito Fiscal)","Cuentas por Pagar Comerciales - Terceros (Emitidas)"))</f>
        <v/>
      </c>
      <c r="E3796" s="20" t="str">
        <f>""</f>
        <v/>
      </c>
      <c r="F3796" s="20" t="str">
        <f>IF($C3796="","",IF(Registro_Compras!$F$425="NOTA DE CREDITO",ROUND(ABS(Registro_Compras!$K$425*Registro_Compras!$N$425),2),IF(Registro_Compras!$F$425="RHE",(ROUND(Registro_Compras!$L$425*Registro_Compras!$N$425,2)-ROUND(Registro_Compras!$V$425*Registro_Compras!$N$425,2)),Registro_Compras!$O$425)))</f>
        <v/>
      </c>
      <c r="G3796" t="str">
        <f>IF($C3796="","",IF(Registro_Compras!$F$425="NOTA DE CREDITO","Por la nota de credito "&amp;Registro_Compras!$C$425&amp;" de "&amp;Registro_Compras!$E$425&amp;" [PATRON POR CONFIRMAR CON CONTADOR]",IF(Registro_Compras!$F$425="RHE","Por el registro del recibo por honorarios "&amp;Registro_Compras!$C$425&amp;" de "&amp;Registro_Compras!$E$425&amp;" [PATRON POR CONFIRMAR CON CONTADOR]","Por el registro de la factura "&amp;Registro_Compras!$C$425&amp;" de "&amp;Registro_Compras!$E$425)))</f>
        <v/>
      </c>
      <c r="H3796" t="str">
        <f>IF($C3796="","",Registro_Compras!$C$425)</f>
        <v/>
      </c>
    </row>
    <row r="3797" spans="1:8" x14ac:dyDescent="0.25">
      <c r="A3797" s="25" t="str">
        <f>IF($C3797="","",Registro_Compras!$B$425)</f>
        <v/>
      </c>
      <c r="B3797" t="str">
        <f>IF($C3797="","","C"&amp;TEXT(INT((ROW()-5)/9)+1,"000")&amp;"-2")</f>
        <v/>
      </c>
      <c r="C3797" t="str">
        <f>IF(OR(Registro_Compras!$C$425="",Registro_Compras!$O$425=""),"",IF(Registro_Compras!$AB$425="ADMINISTRATIVO","94","95"))</f>
        <v/>
      </c>
      <c r="D3797" t="str">
        <f>IF(OR(Registro_Compras!$C$425="",Registro_Compras!$O$425=""),"",IF(Registro_Compras!$AB$425="ADMINISTRATIVO","Gastos Administrativos","Gastos de Venta y Operacion"))</f>
        <v/>
      </c>
      <c r="E3797" s="20" t="str">
        <f>IF($C3797="","",IF(Registro_Compras!$F$425="NOTA DE CREDITO","",IF(Registro_Compras!$F$425="RHE",ROUND(Registro_Compras!$L$425*Registro_Compras!$N$425,2),ROUND(Registro_Compras!$J$425*Registro_Compras!$N$425,2))))</f>
        <v/>
      </c>
      <c r="F3797" s="20" t="str">
        <f>IF($C3797="","",IF(Registro_Compras!$F$425="NOTA DE CREDITO",ROUND(ABS(Registro_Compras!$J$425*Registro_Compras!$N$425),2),""))</f>
        <v/>
      </c>
      <c r="G3797" t="str">
        <f>IF($C3797="","","Por el destino del gasto")</f>
        <v/>
      </c>
      <c r="H3797" t="str">
        <f>IF($C3797="","",Registro_Compras!$C$425)</f>
        <v/>
      </c>
    </row>
    <row r="3798" spans="1:8" x14ac:dyDescent="0.25">
      <c r="A3798" s="25" t="str">
        <f>IF($C3798="","",Registro_Compras!$B$425)</f>
        <v/>
      </c>
      <c r="B3798" t="str">
        <f>IF($C3798="","","C"&amp;TEXT(INT((ROW()-5)/9)+1,"000")&amp;"-2")</f>
        <v/>
      </c>
      <c r="C3798" t="str">
        <f>IF(OR(Registro_Compras!$C$425="",Registro_Compras!$O$425=""),"","79/791")</f>
        <v/>
      </c>
      <c r="D3798" t="str">
        <f>IF(OR(Registro_Compras!$C$425="",Registro_Compras!$O$425=""),"","Cargas Imputables a Cuentas de Costos y Gastos")</f>
        <v/>
      </c>
      <c r="E3798" s="20" t="str">
        <f>IF($C3798="","",IF(Registro_Compras!$F$425="NOTA DE CREDITO",ROUND(ABS(Registro_Compras!$J$425*Registro_Compras!$N$425),2),""))</f>
        <v/>
      </c>
      <c r="F3798" s="20" t="str">
        <f>IF($C3798="","",IF(Registro_Compras!$F$425="NOTA DE CREDITO","",IF(Registro_Compras!$F$425="RHE",ROUND(Registro_Compras!$L$425*Registro_Compras!$N$425,2),ROUND(Registro_Compras!$J$425*Registro_Compras!$N$425,2))))</f>
        <v/>
      </c>
      <c r="G3798" t="str">
        <f>IF($C3798="","","Por el destino del gasto")</f>
        <v/>
      </c>
      <c r="H3798" t="str">
        <f>IF($C3798="","",Registro_Compras!$C$425)</f>
        <v/>
      </c>
    </row>
    <row r="3799" spans="1:8" x14ac:dyDescent="0.25">
      <c r="A3799" s="25" t="str">
        <f>IF($C3799="","",Registro_Compras!$X$425)</f>
        <v/>
      </c>
      <c r="B3799" t="str">
        <f>IF($C3799="","","C"&amp;TEXT(INT((ROW()-5)/9)+1,"000")&amp;"-3")</f>
        <v/>
      </c>
      <c r="C3799" t="str">
        <f>IF(OR(Registro_Compras!$C$425="",Registro_Compras!$O$425="",Registro_Compras!$R$425&lt;&gt;"SI",Registro_Compras!$X$425=""),"","4212")</f>
        <v/>
      </c>
      <c r="D3799" t="str">
        <f>IF(OR(Registro_Compras!$C$425="",Registro_Compras!$O$425=""),"","Cuentas por Pagar Comerciales - Terceros")</f>
        <v/>
      </c>
      <c r="E3799" s="20" t="str">
        <f>IF($C3799="","",Registro_Compras!$S$425)</f>
        <v/>
      </c>
      <c r="F3799" s="20" t="str">
        <f>""</f>
        <v/>
      </c>
      <c r="G3799" t="str">
        <f>IF($C3799="","","Por el deposito de la detraccion en el Banco de la Nacion")</f>
        <v/>
      </c>
      <c r="H3799" t="str">
        <f>IF($C3799="","",Registro_Compras!$C$425)</f>
        <v/>
      </c>
    </row>
    <row r="3800" spans="1:8" x14ac:dyDescent="0.25">
      <c r="A3800" s="25" t="str">
        <f>IF($C3800="","",Registro_Compras!$X$425)</f>
        <v/>
      </c>
      <c r="B3800" t="str">
        <f>IF($C3800="","","C"&amp;TEXT(INT((ROW()-5)/9)+1,"000")&amp;"-3")</f>
        <v/>
      </c>
      <c r="C3800" t="str">
        <f>IF(OR(Registro_Compras!$C$425="",Registro_Compras!$O$425="",Registro_Compras!$R$425&lt;&gt;"SI",Registro_Compras!$X$425=""),"","1041")</f>
        <v/>
      </c>
      <c r="D3800" t="str">
        <f>IF(OR(Registro_Compras!$C$425="",Registro_Compras!$O$425=""),"","Efectivo y Equivalentes - Cta. Cte. Operativa")</f>
        <v/>
      </c>
      <c r="E3800" s="20" t="str">
        <f>""</f>
        <v/>
      </c>
      <c r="F3800" s="20" t="str">
        <f>IF($C3800="","",Registro_Compras!$S$425)</f>
        <v/>
      </c>
      <c r="G3800" t="str">
        <f>IF($C3800="","","Por el deposito de la detraccion en el Banco de la Nacion")</f>
        <v/>
      </c>
      <c r="H3800" t="str">
        <f>IF($C3800="","",Registro_Compras!$C$425)</f>
        <v/>
      </c>
    </row>
    <row r="3801" spans="1:8" x14ac:dyDescent="0.25">
      <c r="A3801" s="25" t="str">
        <f>IF($C3801="","",Registro_Compras!$Y$425)</f>
        <v/>
      </c>
      <c r="B3801" t="str">
        <f>IF($C3801="","","C"&amp;TEXT(INT((ROW()-5)/9)+1,"000")&amp;"-4")</f>
        <v/>
      </c>
      <c r="C3801" t="str">
        <f>IF(OR(Registro_Compras!$C$425="",Registro_Compras!$O$425="",Registro_Compras!$Y$425="",Registro_Compras!$F$425="NOTA DE CREDITO"),"","4212")</f>
        <v/>
      </c>
      <c r="D3801" t="str">
        <f>IF(OR(Registro_Compras!$C$425="",Registro_Compras!$O$425=""),"","Cuentas por Pagar Comerciales - Terceros")</f>
        <v/>
      </c>
      <c r="E3801" s="20" t="str">
        <f>IF($C3801="","",IF(Registro_Compras!$F$425="RHE",(ROUND(Registro_Compras!$L$425*Registro_Compras!$N$425,2)-ROUND(Registro_Compras!$V$425*Registro_Compras!$N$425,2)),ROUND(Registro_Compras!$O$425-Registro_Compras!$S$425,2)))</f>
        <v/>
      </c>
      <c r="F3801" s="20" t="str">
        <f>""</f>
        <v/>
      </c>
      <c r="G3801" t="str">
        <f>IF($C3801="","","Por la cancelacion del saldo al proveedor")</f>
        <v/>
      </c>
      <c r="H3801" t="str">
        <f>IF($C3801="","",Registro_Compras!$C$425)</f>
        <v/>
      </c>
    </row>
    <row r="3802" spans="1:8" x14ac:dyDescent="0.25">
      <c r="A3802" s="25" t="str">
        <f>IF($C3802="","",Registro_Compras!$Y$425)</f>
        <v/>
      </c>
      <c r="B3802" t="str">
        <f>IF($C3802="","","C"&amp;TEXT(INT((ROW()-5)/9)+1,"000")&amp;"-4")</f>
        <v/>
      </c>
      <c r="C3802" t="str">
        <f>IF(OR(Registro_Compras!$C$425="",Registro_Compras!$O$425="",Registro_Compras!$Y$425="",Registro_Compras!$F$425="NOTA DE CREDITO"),"","1041")</f>
        <v/>
      </c>
      <c r="D3802" t="str">
        <f>IF(OR(Registro_Compras!$C$425="",Registro_Compras!$O$425=""),"","Efectivo y Equivalentes - Cta. Cte. Operativa")</f>
        <v/>
      </c>
      <c r="E3802" s="20" t="str">
        <f>""</f>
        <v/>
      </c>
      <c r="F3802" s="20" t="str">
        <f>IF($C3802="","",IF(Registro_Compras!$F$425="RHE",(ROUND(Registro_Compras!$L$425*Registro_Compras!$N$425,2)-ROUND(Registro_Compras!$V$425*Registro_Compras!$N$425,2)),ROUND(Registro_Compras!$O$425-Registro_Compras!$S$425,2)))</f>
        <v/>
      </c>
      <c r="G3802" t="str">
        <f>IF($C3802="","","Por la cancelacion del saldo al proveedor")</f>
        <v/>
      </c>
      <c r="H3802" t="str">
        <f>IF($C3802="","",Registro_Compras!$C$425)</f>
        <v/>
      </c>
    </row>
    <row r="3803" spans="1:8" x14ac:dyDescent="0.25">
      <c r="A3803" s="25" t="str">
        <f>IF($C3803="","",Registro_Compras!$B$426)</f>
        <v/>
      </c>
      <c r="B3803" t="str">
        <f>IF($C3803="","","C"&amp;TEXT(INT((ROW()-5)/9)+1,"000")&amp;"-1")</f>
        <v/>
      </c>
      <c r="C3803" t="str">
        <f>IF(OR(Registro_Compras!$C$426="",Registro_Compras!$O$426=""),"",IF(Registro_Compras!$F$426="NOTA DE CREDITO","4212",IF(Registro_Compras!$M$426="","63",Registro_Compras!$M$426)))</f>
        <v/>
      </c>
      <c r="D3803" t="str">
        <f>IF(OR(Registro_Compras!$C$426="",Registro_Compras!$O$426=""),"",IF(Registro_Compras!$F$426="NOTA DE CREDITO","Cuentas por Pagar Comerciales - Terceros (Emitidas)",IF(Registro_Compras!$F$426="RHE","Honorarios Profesionales - Servicios de Terceros","Gastos de Servicios Prestados por Terceros")))</f>
        <v/>
      </c>
      <c r="E3803" s="20" t="str">
        <f>IF($C3803="","",IF(Registro_Compras!$F$426="NOTA DE CREDITO",ABS(Registro_Compras!$O$426),IF(Registro_Compras!$F$426="RHE",ROUND(Registro_Compras!$L$426*Registro_Compras!$N$426,2),ROUND(Registro_Compras!$J$426*Registro_Compras!$N$426,2))))</f>
        <v/>
      </c>
      <c r="F3803" s="20" t="str">
        <f>""</f>
        <v/>
      </c>
      <c r="G3803" t="str">
        <f>IF($C3803="","",IF(Registro_Compras!$F$426="NOTA DE CREDITO","Por la nota de credito "&amp;Registro_Compras!$C$426&amp;" de "&amp;Registro_Compras!$E$426&amp;" [PATRON POR CONFIRMAR CON CONTADOR]",IF(Registro_Compras!$F$426="RHE","Por el registro del recibo por honorarios "&amp;Registro_Compras!$C$426&amp;" de "&amp;Registro_Compras!$E$426&amp;" [PATRON POR CONFIRMAR CON CONTADOR]","Por el registro de la factura "&amp;Registro_Compras!$C$426&amp;" de "&amp;Registro_Compras!$E$426)))</f>
        <v/>
      </c>
      <c r="H3803" t="str">
        <f>IF($C3803="","",Registro_Compras!$C$426)</f>
        <v/>
      </c>
    </row>
    <row r="3804" spans="1:8" x14ac:dyDescent="0.25">
      <c r="A3804" s="25" t="str">
        <f>IF($C3804="","",Registro_Compras!$B$426)</f>
        <v/>
      </c>
      <c r="B3804" t="str">
        <f>IF($C3804="","","C"&amp;TEXT(INT((ROW()-5)/9)+1,"000")&amp;"-1")</f>
        <v/>
      </c>
      <c r="C3804" t="str">
        <f>IF(OR(Registro_Compras!$C$426="",Registro_Compras!$O$426=""),"",IF(Registro_Compras!$F$426="RHE",IF(Registro_Compras!$V$426=0,"","4017"),IF(Registro_Compras!$F$426="NOTA DE CREDITO",IF(Registro_Compras!$M$426="","63",Registro_Compras!$M$426),IF(Registro_Compras!$K$426=0,"","40111"))))</f>
        <v/>
      </c>
      <c r="D3804" t="str">
        <f>IF(OR(Registro_Compras!$C$426="",Registro_Compras!$O$426=""),"",IF(Registro_Compras!$F$426="RHE","Retencion Renta 4ta Categoria por Pagar",IF(Registro_Compras!$F$426="NOTA DE CREDITO","Gastos de Servicios Prestados por Terceros","IGV - Cuenta Propia (Credito Fiscal)")))</f>
        <v/>
      </c>
      <c r="E3804" s="20" t="str">
        <f>IF($C3804="","",IF(Registro_Compras!$F$426="FACTURA",ROUND(Registro_Compras!$K$426*Registro_Compras!$N$426,2),""))</f>
        <v/>
      </c>
      <c r="F3804" s="20" t="str">
        <f>IF($C3804="","",IF(Registro_Compras!$F$426="RHE",ROUND(Registro_Compras!$V$426*Registro_Compras!$N$426,2),IF(Registro_Compras!$F$426="NOTA DE CREDITO",ROUND(ABS(Registro_Compras!$J$426*Registro_Compras!$N$426),2),"")))</f>
        <v/>
      </c>
      <c r="G3804" t="str">
        <f>IF($C3804="","",IF(Registro_Compras!$F$426="NOTA DE CREDITO","Por la nota de credito "&amp;Registro_Compras!$C$426&amp;" de "&amp;Registro_Compras!$E$426&amp;" [PATRON POR CONFIRMAR CON CONTADOR]",IF(Registro_Compras!$F$426="RHE","Por el registro del recibo por honorarios "&amp;Registro_Compras!$C$426&amp;" de "&amp;Registro_Compras!$E$426&amp;" [PATRON POR CONFIRMAR CON CONTADOR]","Por el registro de la factura "&amp;Registro_Compras!$C$426&amp;" de "&amp;Registro_Compras!$E$426)))</f>
        <v/>
      </c>
      <c r="H3804" t="str">
        <f>IF($C3804="","",Registro_Compras!$C$426)</f>
        <v/>
      </c>
    </row>
    <row r="3805" spans="1:8" x14ac:dyDescent="0.25">
      <c r="A3805" s="25" t="str">
        <f>IF($C3805="","",Registro_Compras!$B$426)</f>
        <v/>
      </c>
      <c r="B3805" t="str">
        <f>IF($C3805="","","C"&amp;TEXT(INT((ROW()-5)/9)+1,"000")&amp;"-1")</f>
        <v/>
      </c>
      <c r="C3805" t="str">
        <f>IF(OR(Registro_Compras!$C$426="",Registro_Compras!$O$426=""),"",IF(Registro_Compras!$F$426="NOTA DE CREDITO",IF(Registro_Compras!$K$426=0,"","40111"),"4212"))</f>
        <v/>
      </c>
      <c r="D3805" t="str">
        <f>IF(OR(Registro_Compras!$C$426="",Registro_Compras!$O$426=""),"",IF(Registro_Compras!$F$426="NOTA DE CREDITO","IGV - Cuenta Propia (Credito Fiscal)","Cuentas por Pagar Comerciales - Terceros (Emitidas)"))</f>
        <v/>
      </c>
      <c r="E3805" s="20" t="str">
        <f>""</f>
        <v/>
      </c>
      <c r="F3805" s="20" t="str">
        <f>IF($C3805="","",IF(Registro_Compras!$F$426="NOTA DE CREDITO",ROUND(ABS(Registro_Compras!$K$426*Registro_Compras!$N$426),2),IF(Registro_Compras!$F$426="RHE",(ROUND(Registro_Compras!$L$426*Registro_Compras!$N$426,2)-ROUND(Registro_Compras!$V$426*Registro_Compras!$N$426,2)),Registro_Compras!$O$426)))</f>
        <v/>
      </c>
      <c r="G3805" t="str">
        <f>IF($C3805="","",IF(Registro_Compras!$F$426="NOTA DE CREDITO","Por la nota de credito "&amp;Registro_Compras!$C$426&amp;" de "&amp;Registro_Compras!$E$426&amp;" [PATRON POR CONFIRMAR CON CONTADOR]",IF(Registro_Compras!$F$426="RHE","Por el registro del recibo por honorarios "&amp;Registro_Compras!$C$426&amp;" de "&amp;Registro_Compras!$E$426&amp;" [PATRON POR CONFIRMAR CON CONTADOR]","Por el registro de la factura "&amp;Registro_Compras!$C$426&amp;" de "&amp;Registro_Compras!$E$426)))</f>
        <v/>
      </c>
      <c r="H3805" t="str">
        <f>IF($C3805="","",Registro_Compras!$C$426)</f>
        <v/>
      </c>
    </row>
    <row r="3806" spans="1:8" x14ac:dyDescent="0.25">
      <c r="A3806" s="25" t="str">
        <f>IF($C3806="","",Registro_Compras!$B$426)</f>
        <v/>
      </c>
      <c r="B3806" t="str">
        <f>IF($C3806="","","C"&amp;TEXT(INT((ROW()-5)/9)+1,"000")&amp;"-2")</f>
        <v/>
      </c>
      <c r="C3806" t="str">
        <f>IF(OR(Registro_Compras!$C$426="",Registro_Compras!$O$426=""),"",IF(Registro_Compras!$AB$426="ADMINISTRATIVO","94","95"))</f>
        <v/>
      </c>
      <c r="D3806" t="str">
        <f>IF(OR(Registro_Compras!$C$426="",Registro_Compras!$O$426=""),"",IF(Registro_Compras!$AB$426="ADMINISTRATIVO","Gastos Administrativos","Gastos de Venta y Operacion"))</f>
        <v/>
      </c>
      <c r="E3806" s="20" t="str">
        <f>IF($C3806="","",IF(Registro_Compras!$F$426="NOTA DE CREDITO","",IF(Registro_Compras!$F$426="RHE",ROUND(Registro_Compras!$L$426*Registro_Compras!$N$426,2),ROUND(Registro_Compras!$J$426*Registro_Compras!$N$426,2))))</f>
        <v/>
      </c>
      <c r="F3806" s="20" t="str">
        <f>IF($C3806="","",IF(Registro_Compras!$F$426="NOTA DE CREDITO",ROUND(ABS(Registro_Compras!$J$426*Registro_Compras!$N$426),2),""))</f>
        <v/>
      </c>
      <c r="G3806" t="str">
        <f>IF($C3806="","","Por el destino del gasto")</f>
        <v/>
      </c>
      <c r="H3806" t="str">
        <f>IF($C3806="","",Registro_Compras!$C$426)</f>
        <v/>
      </c>
    </row>
    <row r="3807" spans="1:8" x14ac:dyDescent="0.25">
      <c r="A3807" s="25" t="str">
        <f>IF($C3807="","",Registro_Compras!$B$426)</f>
        <v/>
      </c>
      <c r="B3807" t="str">
        <f>IF($C3807="","","C"&amp;TEXT(INT((ROW()-5)/9)+1,"000")&amp;"-2")</f>
        <v/>
      </c>
      <c r="C3807" t="str">
        <f>IF(OR(Registro_Compras!$C$426="",Registro_Compras!$O$426=""),"","79/791")</f>
        <v/>
      </c>
      <c r="D3807" t="str">
        <f>IF(OR(Registro_Compras!$C$426="",Registro_Compras!$O$426=""),"","Cargas Imputables a Cuentas de Costos y Gastos")</f>
        <v/>
      </c>
      <c r="E3807" s="20" t="str">
        <f>IF($C3807="","",IF(Registro_Compras!$F$426="NOTA DE CREDITO",ROUND(ABS(Registro_Compras!$J$426*Registro_Compras!$N$426),2),""))</f>
        <v/>
      </c>
      <c r="F3807" s="20" t="str">
        <f>IF($C3807="","",IF(Registro_Compras!$F$426="NOTA DE CREDITO","",IF(Registro_Compras!$F$426="RHE",ROUND(Registro_Compras!$L$426*Registro_Compras!$N$426,2),ROUND(Registro_Compras!$J$426*Registro_Compras!$N$426,2))))</f>
        <v/>
      </c>
      <c r="G3807" t="str">
        <f>IF($C3807="","","Por el destino del gasto")</f>
        <v/>
      </c>
      <c r="H3807" t="str">
        <f>IF($C3807="","",Registro_Compras!$C$426)</f>
        <v/>
      </c>
    </row>
    <row r="3808" spans="1:8" x14ac:dyDescent="0.25">
      <c r="A3808" s="25" t="str">
        <f>IF($C3808="","",Registro_Compras!$X$426)</f>
        <v/>
      </c>
      <c r="B3808" t="str">
        <f>IF($C3808="","","C"&amp;TEXT(INT((ROW()-5)/9)+1,"000")&amp;"-3")</f>
        <v/>
      </c>
      <c r="C3808" t="str">
        <f>IF(OR(Registro_Compras!$C$426="",Registro_Compras!$O$426="",Registro_Compras!$R$426&lt;&gt;"SI",Registro_Compras!$X$426=""),"","4212")</f>
        <v/>
      </c>
      <c r="D3808" t="str">
        <f>IF(OR(Registro_Compras!$C$426="",Registro_Compras!$O$426=""),"","Cuentas por Pagar Comerciales - Terceros")</f>
        <v/>
      </c>
      <c r="E3808" s="20" t="str">
        <f>IF($C3808="","",Registro_Compras!$S$426)</f>
        <v/>
      </c>
      <c r="F3808" s="20" t="str">
        <f>""</f>
        <v/>
      </c>
      <c r="G3808" t="str">
        <f>IF($C3808="","","Por el deposito de la detraccion en el Banco de la Nacion")</f>
        <v/>
      </c>
      <c r="H3808" t="str">
        <f>IF($C3808="","",Registro_Compras!$C$426)</f>
        <v/>
      </c>
    </row>
    <row r="3809" spans="1:8" x14ac:dyDescent="0.25">
      <c r="A3809" s="25" t="str">
        <f>IF($C3809="","",Registro_Compras!$X$426)</f>
        <v/>
      </c>
      <c r="B3809" t="str">
        <f>IF($C3809="","","C"&amp;TEXT(INT((ROW()-5)/9)+1,"000")&amp;"-3")</f>
        <v/>
      </c>
      <c r="C3809" t="str">
        <f>IF(OR(Registro_Compras!$C$426="",Registro_Compras!$O$426="",Registro_Compras!$R$426&lt;&gt;"SI",Registro_Compras!$X$426=""),"","1041")</f>
        <v/>
      </c>
      <c r="D3809" t="str">
        <f>IF(OR(Registro_Compras!$C$426="",Registro_Compras!$O$426=""),"","Efectivo y Equivalentes - Cta. Cte. Operativa")</f>
        <v/>
      </c>
      <c r="E3809" s="20" t="str">
        <f>""</f>
        <v/>
      </c>
      <c r="F3809" s="20" t="str">
        <f>IF($C3809="","",Registro_Compras!$S$426)</f>
        <v/>
      </c>
      <c r="G3809" t="str">
        <f>IF($C3809="","","Por el deposito de la detraccion en el Banco de la Nacion")</f>
        <v/>
      </c>
      <c r="H3809" t="str">
        <f>IF($C3809="","",Registro_Compras!$C$426)</f>
        <v/>
      </c>
    </row>
    <row r="3810" spans="1:8" x14ac:dyDescent="0.25">
      <c r="A3810" s="25" t="str">
        <f>IF($C3810="","",Registro_Compras!$Y$426)</f>
        <v/>
      </c>
      <c r="B3810" t="str">
        <f>IF($C3810="","","C"&amp;TEXT(INT((ROW()-5)/9)+1,"000")&amp;"-4")</f>
        <v/>
      </c>
      <c r="C3810" t="str">
        <f>IF(OR(Registro_Compras!$C$426="",Registro_Compras!$O$426="",Registro_Compras!$Y$426="",Registro_Compras!$F$426="NOTA DE CREDITO"),"","4212")</f>
        <v/>
      </c>
      <c r="D3810" t="str">
        <f>IF(OR(Registro_Compras!$C$426="",Registro_Compras!$O$426=""),"","Cuentas por Pagar Comerciales - Terceros")</f>
        <v/>
      </c>
      <c r="E3810" s="20" t="str">
        <f>IF($C3810="","",IF(Registro_Compras!$F$426="RHE",(ROUND(Registro_Compras!$L$426*Registro_Compras!$N$426,2)-ROUND(Registro_Compras!$V$426*Registro_Compras!$N$426,2)),ROUND(Registro_Compras!$O$426-Registro_Compras!$S$426,2)))</f>
        <v/>
      </c>
      <c r="F3810" s="20" t="str">
        <f>""</f>
        <v/>
      </c>
      <c r="G3810" t="str">
        <f>IF($C3810="","","Por la cancelacion del saldo al proveedor")</f>
        <v/>
      </c>
      <c r="H3810" t="str">
        <f>IF($C3810="","",Registro_Compras!$C$426)</f>
        <v/>
      </c>
    </row>
    <row r="3811" spans="1:8" x14ac:dyDescent="0.25">
      <c r="A3811" s="25" t="str">
        <f>IF($C3811="","",Registro_Compras!$Y$426)</f>
        <v/>
      </c>
      <c r="B3811" t="str">
        <f>IF($C3811="","","C"&amp;TEXT(INT((ROW()-5)/9)+1,"000")&amp;"-4")</f>
        <v/>
      </c>
      <c r="C3811" t="str">
        <f>IF(OR(Registro_Compras!$C$426="",Registro_Compras!$O$426="",Registro_Compras!$Y$426="",Registro_Compras!$F$426="NOTA DE CREDITO"),"","1041")</f>
        <v/>
      </c>
      <c r="D3811" t="str">
        <f>IF(OR(Registro_Compras!$C$426="",Registro_Compras!$O$426=""),"","Efectivo y Equivalentes - Cta. Cte. Operativa")</f>
        <v/>
      </c>
      <c r="E3811" s="20" t="str">
        <f>""</f>
        <v/>
      </c>
      <c r="F3811" s="20" t="str">
        <f>IF($C3811="","",IF(Registro_Compras!$F$426="RHE",(ROUND(Registro_Compras!$L$426*Registro_Compras!$N$426,2)-ROUND(Registro_Compras!$V$426*Registro_Compras!$N$426,2)),ROUND(Registro_Compras!$O$426-Registro_Compras!$S$426,2)))</f>
        <v/>
      </c>
      <c r="G3811" t="str">
        <f>IF($C3811="","","Por la cancelacion del saldo al proveedor")</f>
        <v/>
      </c>
      <c r="H3811" t="str">
        <f>IF($C3811="","",Registro_Compras!$C$426)</f>
        <v/>
      </c>
    </row>
    <row r="3812" spans="1:8" x14ac:dyDescent="0.25">
      <c r="A3812" s="25" t="str">
        <f>IF($C3812="","",Registro_Compras!$B$427)</f>
        <v/>
      </c>
      <c r="B3812" t="str">
        <f>IF($C3812="","","C"&amp;TEXT(INT((ROW()-5)/9)+1,"000")&amp;"-1")</f>
        <v/>
      </c>
      <c r="C3812" t="str">
        <f>IF(OR(Registro_Compras!$C$427="",Registro_Compras!$O$427=""),"",IF(Registro_Compras!$F$427="NOTA DE CREDITO","4212",IF(Registro_Compras!$M$427="","63",Registro_Compras!$M$427)))</f>
        <v/>
      </c>
      <c r="D3812" t="str">
        <f>IF(OR(Registro_Compras!$C$427="",Registro_Compras!$O$427=""),"",IF(Registro_Compras!$F$427="NOTA DE CREDITO","Cuentas por Pagar Comerciales - Terceros (Emitidas)",IF(Registro_Compras!$F$427="RHE","Honorarios Profesionales - Servicios de Terceros","Gastos de Servicios Prestados por Terceros")))</f>
        <v/>
      </c>
      <c r="E3812" s="20" t="str">
        <f>IF($C3812="","",IF(Registro_Compras!$F$427="NOTA DE CREDITO",ABS(Registro_Compras!$O$427),IF(Registro_Compras!$F$427="RHE",ROUND(Registro_Compras!$L$427*Registro_Compras!$N$427,2),ROUND(Registro_Compras!$J$427*Registro_Compras!$N$427,2))))</f>
        <v/>
      </c>
      <c r="F3812" s="20" t="str">
        <f>""</f>
        <v/>
      </c>
      <c r="G3812" t="str">
        <f>IF($C3812="","",IF(Registro_Compras!$F$427="NOTA DE CREDITO","Por la nota de credito "&amp;Registro_Compras!$C$427&amp;" de "&amp;Registro_Compras!$E$427&amp;" [PATRON POR CONFIRMAR CON CONTADOR]",IF(Registro_Compras!$F$427="RHE","Por el registro del recibo por honorarios "&amp;Registro_Compras!$C$427&amp;" de "&amp;Registro_Compras!$E$427&amp;" [PATRON POR CONFIRMAR CON CONTADOR]","Por el registro de la factura "&amp;Registro_Compras!$C$427&amp;" de "&amp;Registro_Compras!$E$427)))</f>
        <v/>
      </c>
      <c r="H3812" t="str">
        <f>IF($C3812="","",Registro_Compras!$C$427)</f>
        <v/>
      </c>
    </row>
    <row r="3813" spans="1:8" x14ac:dyDescent="0.25">
      <c r="A3813" s="25" t="str">
        <f>IF($C3813="","",Registro_Compras!$B$427)</f>
        <v/>
      </c>
      <c r="B3813" t="str">
        <f>IF($C3813="","","C"&amp;TEXT(INT((ROW()-5)/9)+1,"000")&amp;"-1")</f>
        <v/>
      </c>
      <c r="C3813" t="str">
        <f>IF(OR(Registro_Compras!$C$427="",Registro_Compras!$O$427=""),"",IF(Registro_Compras!$F$427="RHE",IF(Registro_Compras!$V$427=0,"","4017"),IF(Registro_Compras!$F$427="NOTA DE CREDITO",IF(Registro_Compras!$M$427="","63",Registro_Compras!$M$427),IF(Registro_Compras!$K$427=0,"","40111"))))</f>
        <v/>
      </c>
      <c r="D3813" t="str">
        <f>IF(OR(Registro_Compras!$C$427="",Registro_Compras!$O$427=""),"",IF(Registro_Compras!$F$427="RHE","Retencion Renta 4ta Categoria por Pagar",IF(Registro_Compras!$F$427="NOTA DE CREDITO","Gastos de Servicios Prestados por Terceros","IGV - Cuenta Propia (Credito Fiscal)")))</f>
        <v/>
      </c>
      <c r="E3813" s="20" t="str">
        <f>IF($C3813="","",IF(Registro_Compras!$F$427="FACTURA",ROUND(Registro_Compras!$K$427*Registro_Compras!$N$427,2),""))</f>
        <v/>
      </c>
      <c r="F3813" s="20" t="str">
        <f>IF($C3813="","",IF(Registro_Compras!$F$427="RHE",ROUND(Registro_Compras!$V$427*Registro_Compras!$N$427,2),IF(Registro_Compras!$F$427="NOTA DE CREDITO",ROUND(ABS(Registro_Compras!$J$427*Registro_Compras!$N$427),2),"")))</f>
        <v/>
      </c>
      <c r="G3813" t="str">
        <f>IF($C3813="","",IF(Registro_Compras!$F$427="NOTA DE CREDITO","Por la nota de credito "&amp;Registro_Compras!$C$427&amp;" de "&amp;Registro_Compras!$E$427&amp;" [PATRON POR CONFIRMAR CON CONTADOR]",IF(Registro_Compras!$F$427="RHE","Por el registro del recibo por honorarios "&amp;Registro_Compras!$C$427&amp;" de "&amp;Registro_Compras!$E$427&amp;" [PATRON POR CONFIRMAR CON CONTADOR]","Por el registro de la factura "&amp;Registro_Compras!$C$427&amp;" de "&amp;Registro_Compras!$E$427)))</f>
        <v/>
      </c>
      <c r="H3813" t="str">
        <f>IF($C3813="","",Registro_Compras!$C$427)</f>
        <v/>
      </c>
    </row>
    <row r="3814" spans="1:8" x14ac:dyDescent="0.25">
      <c r="A3814" s="25" t="str">
        <f>IF($C3814="","",Registro_Compras!$B$427)</f>
        <v/>
      </c>
      <c r="B3814" t="str">
        <f>IF($C3814="","","C"&amp;TEXT(INT((ROW()-5)/9)+1,"000")&amp;"-1")</f>
        <v/>
      </c>
      <c r="C3814" t="str">
        <f>IF(OR(Registro_Compras!$C$427="",Registro_Compras!$O$427=""),"",IF(Registro_Compras!$F$427="NOTA DE CREDITO",IF(Registro_Compras!$K$427=0,"","40111"),"4212"))</f>
        <v/>
      </c>
      <c r="D3814" t="str">
        <f>IF(OR(Registro_Compras!$C$427="",Registro_Compras!$O$427=""),"",IF(Registro_Compras!$F$427="NOTA DE CREDITO","IGV - Cuenta Propia (Credito Fiscal)","Cuentas por Pagar Comerciales - Terceros (Emitidas)"))</f>
        <v/>
      </c>
      <c r="E3814" s="20" t="str">
        <f>""</f>
        <v/>
      </c>
      <c r="F3814" s="20" t="str">
        <f>IF($C3814="","",IF(Registro_Compras!$F$427="NOTA DE CREDITO",ROUND(ABS(Registro_Compras!$K$427*Registro_Compras!$N$427),2),IF(Registro_Compras!$F$427="RHE",(ROUND(Registro_Compras!$L$427*Registro_Compras!$N$427,2)-ROUND(Registro_Compras!$V$427*Registro_Compras!$N$427,2)),Registro_Compras!$O$427)))</f>
        <v/>
      </c>
      <c r="G3814" t="str">
        <f>IF($C3814="","",IF(Registro_Compras!$F$427="NOTA DE CREDITO","Por la nota de credito "&amp;Registro_Compras!$C$427&amp;" de "&amp;Registro_Compras!$E$427&amp;" [PATRON POR CONFIRMAR CON CONTADOR]",IF(Registro_Compras!$F$427="RHE","Por el registro del recibo por honorarios "&amp;Registro_Compras!$C$427&amp;" de "&amp;Registro_Compras!$E$427&amp;" [PATRON POR CONFIRMAR CON CONTADOR]","Por el registro de la factura "&amp;Registro_Compras!$C$427&amp;" de "&amp;Registro_Compras!$E$427)))</f>
        <v/>
      </c>
      <c r="H3814" t="str">
        <f>IF($C3814="","",Registro_Compras!$C$427)</f>
        <v/>
      </c>
    </row>
    <row r="3815" spans="1:8" x14ac:dyDescent="0.25">
      <c r="A3815" s="25" t="str">
        <f>IF($C3815="","",Registro_Compras!$B$427)</f>
        <v/>
      </c>
      <c r="B3815" t="str">
        <f>IF($C3815="","","C"&amp;TEXT(INT((ROW()-5)/9)+1,"000")&amp;"-2")</f>
        <v/>
      </c>
      <c r="C3815" t="str">
        <f>IF(OR(Registro_Compras!$C$427="",Registro_Compras!$O$427=""),"",IF(Registro_Compras!$AB$427="ADMINISTRATIVO","94","95"))</f>
        <v/>
      </c>
      <c r="D3815" t="str">
        <f>IF(OR(Registro_Compras!$C$427="",Registro_Compras!$O$427=""),"",IF(Registro_Compras!$AB$427="ADMINISTRATIVO","Gastos Administrativos","Gastos de Venta y Operacion"))</f>
        <v/>
      </c>
      <c r="E3815" s="20" t="str">
        <f>IF($C3815="","",IF(Registro_Compras!$F$427="NOTA DE CREDITO","",IF(Registro_Compras!$F$427="RHE",ROUND(Registro_Compras!$L$427*Registro_Compras!$N$427,2),ROUND(Registro_Compras!$J$427*Registro_Compras!$N$427,2))))</f>
        <v/>
      </c>
      <c r="F3815" s="20" t="str">
        <f>IF($C3815="","",IF(Registro_Compras!$F$427="NOTA DE CREDITO",ROUND(ABS(Registro_Compras!$J$427*Registro_Compras!$N$427),2),""))</f>
        <v/>
      </c>
      <c r="G3815" t="str">
        <f>IF($C3815="","","Por el destino del gasto")</f>
        <v/>
      </c>
      <c r="H3815" t="str">
        <f>IF($C3815="","",Registro_Compras!$C$427)</f>
        <v/>
      </c>
    </row>
    <row r="3816" spans="1:8" x14ac:dyDescent="0.25">
      <c r="A3816" s="25" t="str">
        <f>IF($C3816="","",Registro_Compras!$B$427)</f>
        <v/>
      </c>
      <c r="B3816" t="str">
        <f>IF($C3816="","","C"&amp;TEXT(INT((ROW()-5)/9)+1,"000")&amp;"-2")</f>
        <v/>
      </c>
      <c r="C3816" t="str">
        <f>IF(OR(Registro_Compras!$C$427="",Registro_Compras!$O$427=""),"","79/791")</f>
        <v/>
      </c>
      <c r="D3816" t="str">
        <f>IF(OR(Registro_Compras!$C$427="",Registro_Compras!$O$427=""),"","Cargas Imputables a Cuentas de Costos y Gastos")</f>
        <v/>
      </c>
      <c r="E3816" s="20" t="str">
        <f>IF($C3816="","",IF(Registro_Compras!$F$427="NOTA DE CREDITO",ROUND(ABS(Registro_Compras!$J$427*Registro_Compras!$N$427),2),""))</f>
        <v/>
      </c>
      <c r="F3816" s="20" t="str">
        <f>IF($C3816="","",IF(Registro_Compras!$F$427="NOTA DE CREDITO","",IF(Registro_Compras!$F$427="RHE",ROUND(Registro_Compras!$L$427*Registro_Compras!$N$427,2),ROUND(Registro_Compras!$J$427*Registro_Compras!$N$427,2))))</f>
        <v/>
      </c>
      <c r="G3816" t="str">
        <f>IF($C3816="","","Por el destino del gasto")</f>
        <v/>
      </c>
      <c r="H3816" t="str">
        <f>IF($C3816="","",Registro_Compras!$C$427)</f>
        <v/>
      </c>
    </row>
    <row r="3817" spans="1:8" x14ac:dyDescent="0.25">
      <c r="A3817" s="25" t="str">
        <f>IF($C3817="","",Registro_Compras!$X$427)</f>
        <v/>
      </c>
      <c r="B3817" t="str">
        <f>IF($C3817="","","C"&amp;TEXT(INT((ROW()-5)/9)+1,"000")&amp;"-3")</f>
        <v/>
      </c>
      <c r="C3817" t="str">
        <f>IF(OR(Registro_Compras!$C$427="",Registro_Compras!$O$427="",Registro_Compras!$R$427&lt;&gt;"SI",Registro_Compras!$X$427=""),"","4212")</f>
        <v/>
      </c>
      <c r="D3817" t="str">
        <f>IF(OR(Registro_Compras!$C$427="",Registro_Compras!$O$427=""),"","Cuentas por Pagar Comerciales - Terceros")</f>
        <v/>
      </c>
      <c r="E3817" s="20" t="str">
        <f>IF($C3817="","",Registro_Compras!$S$427)</f>
        <v/>
      </c>
      <c r="F3817" s="20" t="str">
        <f>""</f>
        <v/>
      </c>
      <c r="G3817" t="str">
        <f>IF($C3817="","","Por el deposito de la detraccion en el Banco de la Nacion")</f>
        <v/>
      </c>
      <c r="H3817" t="str">
        <f>IF($C3817="","",Registro_Compras!$C$427)</f>
        <v/>
      </c>
    </row>
    <row r="3818" spans="1:8" x14ac:dyDescent="0.25">
      <c r="A3818" s="25" t="str">
        <f>IF($C3818="","",Registro_Compras!$X$427)</f>
        <v/>
      </c>
      <c r="B3818" t="str">
        <f>IF($C3818="","","C"&amp;TEXT(INT((ROW()-5)/9)+1,"000")&amp;"-3")</f>
        <v/>
      </c>
      <c r="C3818" t="str">
        <f>IF(OR(Registro_Compras!$C$427="",Registro_Compras!$O$427="",Registro_Compras!$R$427&lt;&gt;"SI",Registro_Compras!$X$427=""),"","1041")</f>
        <v/>
      </c>
      <c r="D3818" t="str">
        <f>IF(OR(Registro_Compras!$C$427="",Registro_Compras!$O$427=""),"","Efectivo y Equivalentes - Cta. Cte. Operativa")</f>
        <v/>
      </c>
      <c r="E3818" s="20" t="str">
        <f>""</f>
        <v/>
      </c>
      <c r="F3818" s="20" t="str">
        <f>IF($C3818="","",Registro_Compras!$S$427)</f>
        <v/>
      </c>
      <c r="G3818" t="str">
        <f>IF($C3818="","","Por el deposito de la detraccion en el Banco de la Nacion")</f>
        <v/>
      </c>
      <c r="H3818" t="str">
        <f>IF($C3818="","",Registro_Compras!$C$427)</f>
        <v/>
      </c>
    </row>
    <row r="3819" spans="1:8" x14ac:dyDescent="0.25">
      <c r="A3819" s="25" t="str">
        <f>IF($C3819="","",Registro_Compras!$Y$427)</f>
        <v/>
      </c>
      <c r="B3819" t="str">
        <f>IF($C3819="","","C"&amp;TEXT(INT((ROW()-5)/9)+1,"000")&amp;"-4")</f>
        <v/>
      </c>
      <c r="C3819" t="str">
        <f>IF(OR(Registro_Compras!$C$427="",Registro_Compras!$O$427="",Registro_Compras!$Y$427="",Registro_Compras!$F$427="NOTA DE CREDITO"),"","4212")</f>
        <v/>
      </c>
      <c r="D3819" t="str">
        <f>IF(OR(Registro_Compras!$C$427="",Registro_Compras!$O$427=""),"","Cuentas por Pagar Comerciales - Terceros")</f>
        <v/>
      </c>
      <c r="E3819" s="20" t="str">
        <f>IF($C3819="","",IF(Registro_Compras!$F$427="RHE",(ROUND(Registro_Compras!$L$427*Registro_Compras!$N$427,2)-ROUND(Registro_Compras!$V$427*Registro_Compras!$N$427,2)),ROUND(Registro_Compras!$O$427-Registro_Compras!$S$427,2)))</f>
        <v/>
      </c>
      <c r="F3819" s="20" t="str">
        <f>""</f>
        <v/>
      </c>
      <c r="G3819" t="str">
        <f>IF($C3819="","","Por la cancelacion del saldo al proveedor")</f>
        <v/>
      </c>
      <c r="H3819" t="str">
        <f>IF($C3819="","",Registro_Compras!$C$427)</f>
        <v/>
      </c>
    </row>
    <row r="3820" spans="1:8" x14ac:dyDescent="0.25">
      <c r="A3820" s="25" t="str">
        <f>IF($C3820="","",Registro_Compras!$Y$427)</f>
        <v/>
      </c>
      <c r="B3820" t="str">
        <f>IF($C3820="","","C"&amp;TEXT(INT((ROW()-5)/9)+1,"000")&amp;"-4")</f>
        <v/>
      </c>
      <c r="C3820" t="str">
        <f>IF(OR(Registro_Compras!$C$427="",Registro_Compras!$O$427="",Registro_Compras!$Y$427="",Registro_Compras!$F$427="NOTA DE CREDITO"),"","1041")</f>
        <v/>
      </c>
      <c r="D3820" t="str">
        <f>IF(OR(Registro_Compras!$C$427="",Registro_Compras!$O$427=""),"","Efectivo y Equivalentes - Cta. Cte. Operativa")</f>
        <v/>
      </c>
      <c r="E3820" s="20" t="str">
        <f>""</f>
        <v/>
      </c>
      <c r="F3820" s="20" t="str">
        <f>IF($C3820="","",IF(Registro_Compras!$F$427="RHE",(ROUND(Registro_Compras!$L$427*Registro_Compras!$N$427,2)-ROUND(Registro_Compras!$V$427*Registro_Compras!$N$427,2)),ROUND(Registro_Compras!$O$427-Registro_Compras!$S$427,2)))</f>
        <v/>
      </c>
      <c r="G3820" t="str">
        <f>IF($C3820="","","Por la cancelacion del saldo al proveedor")</f>
        <v/>
      </c>
      <c r="H3820" t="str">
        <f>IF($C3820="","",Registro_Compras!$C$427)</f>
        <v/>
      </c>
    </row>
    <row r="3821" spans="1:8" x14ac:dyDescent="0.25">
      <c r="A3821" s="25" t="str">
        <f>IF($C3821="","",Registro_Compras!$B$428)</f>
        <v/>
      </c>
      <c r="B3821" t="str">
        <f>IF($C3821="","","C"&amp;TEXT(INT((ROW()-5)/9)+1,"000")&amp;"-1")</f>
        <v/>
      </c>
      <c r="C3821" t="str">
        <f>IF(OR(Registro_Compras!$C$428="",Registro_Compras!$O$428=""),"",IF(Registro_Compras!$F$428="NOTA DE CREDITO","4212",IF(Registro_Compras!$M$428="","63",Registro_Compras!$M$428)))</f>
        <v/>
      </c>
      <c r="D3821" t="str">
        <f>IF(OR(Registro_Compras!$C$428="",Registro_Compras!$O$428=""),"",IF(Registro_Compras!$F$428="NOTA DE CREDITO","Cuentas por Pagar Comerciales - Terceros (Emitidas)",IF(Registro_Compras!$F$428="RHE","Honorarios Profesionales - Servicios de Terceros","Gastos de Servicios Prestados por Terceros")))</f>
        <v/>
      </c>
      <c r="E3821" s="20" t="str">
        <f>IF($C3821="","",IF(Registro_Compras!$F$428="NOTA DE CREDITO",ABS(Registro_Compras!$O$428),IF(Registro_Compras!$F$428="RHE",ROUND(Registro_Compras!$L$428*Registro_Compras!$N$428,2),ROUND(Registro_Compras!$J$428*Registro_Compras!$N$428,2))))</f>
        <v/>
      </c>
      <c r="F3821" s="20" t="str">
        <f>""</f>
        <v/>
      </c>
      <c r="G3821" t="str">
        <f>IF($C3821="","",IF(Registro_Compras!$F$428="NOTA DE CREDITO","Por la nota de credito "&amp;Registro_Compras!$C$428&amp;" de "&amp;Registro_Compras!$E$428&amp;" [PATRON POR CONFIRMAR CON CONTADOR]",IF(Registro_Compras!$F$428="RHE","Por el registro del recibo por honorarios "&amp;Registro_Compras!$C$428&amp;" de "&amp;Registro_Compras!$E$428&amp;" [PATRON POR CONFIRMAR CON CONTADOR]","Por el registro de la factura "&amp;Registro_Compras!$C$428&amp;" de "&amp;Registro_Compras!$E$428)))</f>
        <v/>
      </c>
      <c r="H3821" t="str">
        <f>IF($C3821="","",Registro_Compras!$C$428)</f>
        <v/>
      </c>
    </row>
    <row r="3822" spans="1:8" x14ac:dyDescent="0.25">
      <c r="A3822" s="25" t="str">
        <f>IF($C3822="","",Registro_Compras!$B$428)</f>
        <v/>
      </c>
      <c r="B3822" t="str">
        <f>IF($C3822="","","C"&amp;TEXT(INT((ROW()-5)/9)+1,"000")&amp;"-1")</f>
        <v/>
      </c>
      <c r="C3822" t="str">
        <f>IF(OR(Registro_Compras!$C$428="",Registro_Compras!$O$428=""),"",IF(Registro_Compras!$F$428="RHE",IF(Registro_Compras!$V$428=0,"","4017"),IF(Registro_Compras!$F$428="NOTA DE CREDITO",IF(Registro_Compras!$M$428="","63",Registro_Compras!$M$428),IF(Registro_Compras!$K$428=0,"","40111"))))</f>
        <v/>
      </c>
      <c r="D3822" t="str">
        <f>IF(OR(Registro_Compras!$C$428="",Registro_Compras!$O$428=""),"",IF(Registro_Compras!$F$428="RHE","Retencion Renta 4ta Categoria por Pagar",IF(Registro_Compras!$F$428="NOTA DE CREDITO","Gastos de Servicios Prestados por Terceros","IGV - Cuenta Propia (Credito Fiscal)")))</f>
        <v/>
      </c>
      <c r="E3822" s="20" t="str">
        <f>IF($C3822="","",IF(Registro_Compras!$F$428="FACTURA",ROUND(Registro_Compras!$K$428*Registro_Compras!$N$428,2),""))</f>
        <v/>
      </c>
      <c r="F3822" s="20" t="str">
        <f>IF($C3822="","",IF(Registro_Compras!$F$428="RHE",ROUND(Registro_Compras!$V$428*Registro_Compras!$N$428,2),IF(Registro_Compras!$F$428="NOTA DE CREDITO",ROUND(ABS(Registro_Compras!$J$428*Registro_Compras!$N$428),2),"")))</f>
        <v/>
      </c>
      <c r="G3822" t="str">
        <f>IF($C3822="","",IF(Registro_Compras!$F$428="NOTA DE CREDITO","Por la nota de credito "&amp;Registro_Compras!$C$428&amp;" de "&amp;Registro_Compras!$E$428&amp;" [PATRON POR CONFIRMAR CON CONTADOR]",IF(Registro_Compras!$F$428="RHE","Por el registro del recibo por honorarios "&amp;Registro_Compras!$C$428&amp;" de "&amp;Registro_Compras!$E$428&amp;" [PATRON POR CONFIRMAR CON CONTADOR]","Por el registro de la factura "&amp;Registro_Compras!$C$428&amp;" de "&amp;Registro_Compras!$E$428)))</f>
        <v/>
      </c>
      <c r="H3822" t="str">
        <f>IF($C3822="","",Registro_Compras!$C$428)</f>
        <v/>
      </c>
    </row>
    <row r="3823" spans="1:8" x14ac:dyDescent="0.25">
      <c r="A3823" s="25" t="str">
        <f>IF($C3823="","",Registro_Compras!$B$428)</f>
        <v/>
      </c>
      <c r="B3823" t="str">
        <f>IF($C3823="","","C"&amp;TEXT(INT((ROW()-5)/9)+1,"000")&amp;"-1")</f>
        <v/>
      </c>
      <c r="C3823" t="str">
        <f>IF(OR(Registro_Compras!$C$428="",Registro_Compras!$O$428=""),"",IF(Registro_Compras!$F$428="NOTA DE CREDITO",IF(Registro_Compras!$K$428=0,"","40111"),"4212"))</f>
        <v/>
      </c>
      <c r="D3823" t="str">
        <f>IF(OR(Registro_Compras!$C$428="",Registro_Compras!$O$428=""),"",IF(Registro_Compras!$F$428="NOTA DE CREDITO","IGV - Cuenta Propia (Credito Fiscal)","Cuentas por Pagar Comerciales - Terceros (Emitidas)"))</f>
        <v/>
      </c>
      <c r="E3823" s="20" t="str">
        <f>""</f>
        <v/>
      </c>
      <c r="F3823" s="20" t="str">
        <f>IF($C3823="","",IF(Registro_Compras!$F$428="NOTA DE CREDITO",ROUND(ABS(Registro_Compras!$K$428*Registro_Compras!$N$428),2),IF(Registro_Compras!$F$428="RHE",(ROUND(Registro_Compras!$L$428*Registro_Compras!$N$428,2)-ROUND(Registro_Compras!$V$428*Registro_Compras!$N$428,2)),Registro_Compras!$O$428)))</f>
        <v/>
      </c>
      <c r="G3823" t="str">
        <f>IF($C3823="","",IF(Registro_Compras!$F$428="NOTA DE CREDITO","Por la nota de credito "&amp;Registro_Compras!$C$428&amp;" de "&amp;Registro_Compras!$E$428&amp;" [PATRON POR CONFIRMAR CON CONTADOR]",IF(Registro_Compras!$F$428="RHE","Por el registro del recibo por honorarios "&amp;Registro_Compras!$C$428&amp;" de "&amp;Registro_Compras!$E$428&amp;" [PATRON POR CONFIRMAR CON CONTADOR]","Por el registro de la factura "&amp;Registro_Compras!$C$428&amp;" de "&amp;Registro_Compras!$E$428)))</f>
        <v/>
      </c>
      <c r="H3823" t="str">
        <f>IF($C3823="","",Registro_Compras!$C$428)</f>
        <v/>
      </c>
    </row>
    <row r="3824" spans="1:8" x14ac:dyDescent="0.25">
      <c r="A3824" s="25" t="str">
        <f>IF($C3824="","",Registro_Compras!$B$428)</f>
        <v/>
      </c>
      <c r="B3824" t="str">
        <f>IF($C3824="","","C"&amp;TEXT(INT((ROW()-5)/9)+1,"000")&amp;"-2")</f>
        <v/>
      </c>
      <c r="C3824" t="str">
        <f>IF(OR(Registro_Compras!$C$428="",Registro_Compras!$O$428=""),"",IF(Registro_Compras!$AB$428="ADMINISTRATIVO","94","95"))</f>
        <v/>
      </c>
      <c r="D3824" t="str">
        <f>IF(OR(Registro_Compras!$C$428="",Registro_Compras!$O$428=""),"",IF(Registro_Compras!$AB$428="ADMINISTRATIVO","Gastos Administrativos","Gastos de Venta y Operacion"))</f>
        <v/>
      </c>
      <c r="E3824" s="20" t="str">
        <f>IF($C3824="","",IF(Registro_Compras!$F$428="NOTA DE CREDITO","",IF(Registro_Compras!$F$428="RHE",ROUND(Registro_Compras!$L$428*Registro_Compras!$N$428,2),ROUND(Registro_Compras!$J$428*Registro_Compras!$N$428,2))))</f>
        <v/>
      </c>
      <c r="F3824" s="20" t="str">
        <f>IF($C3824="","",IF(Registro_Compras!$F$428="NOTA DE CREDITO",ROUND(ABS(Registro_Compras!$J$428*Registro_Compras!$N$428),2),""))</f>
        <v/>
      </c>
      <c r="G3824" t="str">
        <f>IF($C3824="","","Por el destino del gasto")</f>
        <v/>
      </c>
      <c r="H3824" t="str">
        <f>IF($C3824="","",Registro_Compras!$C$428)</f>
        <v/>
      </c>
    </row>
    <row r="3825" spans="1:8" x14ac:dyDescent="0.25">
      <c r="A3825" s="25" t="str">
        <f>IF($C3825="","",Registro_Compras!$B$428)</f>
        <v/>
      </c>
      <c r="B3825" t="str">
        <f>IF($C3825="","","C"&amp;TEXT(INT((ROW()-5)/9)+1,"000")&amp;"-2")</f>
        <v/>
      </c>
      <c r="C3825" t="str">
        <f>IF(OR(Registro_Compras!$C$428="",Registro_Compras!$O$428=""),"","79/791")</f>
        <v/>
      </c>
      <c r="D3825" t="str">
        <f>IF(OR(Registro_Compras!$C$428="",Registro_Compras!$O$428=""),"","Cargas Imputables a Cuentas de Costos y Gastos")</f>
        <v/>
      </c>
      <c r="E3825" s="20" t="str">
        <f>IF($C3825="","",IF(Registro_Compras!$F$428="NOTA DE CREDITO",ROUND(ABS(Registro_Compras!$J$428*Registro_Compras!$N$428),2),""))</f>
        <v/>
      </c>
      <c r="F3825" s="20" t="str">
        <f>IF($C3825="","",IF(Registro_Compras!$F$428="NOTA DE CREDITO","",IF(Registro_Compras!$F$428="RHE",ROUND(Registro_Compras!$L$428*Registro_Compras!$N$428,2),ROUND(Registro_Compras!$J$428*Registro_Compras!$N$428,2))))</f>
        <v/>
      </c>
      <c r="G3825" t="str">
        <f>IF($C3825="","","Por el destino del gasto")</f>
        <v/>
      </c>
      <c r="H3825" t="str">
        <f>IF($C3825="","",Registro_Compras!$C$428)</f>
        <v/>
      </c>
    </row>
    <row r="3826" spans="1:8" x14ac:dyDescent="0.25">
      <c r="A3826" s="25" t="str">
        <f>IF($C3826="","",Registro_Compras!$X$428)</f>
        <v/>
      </c>
      <c r="B3826" t="str">
        <f>IF($C3826="","","C"&amp;TEXT(INT((ROW()-5)/9)+1,"000")&amp;"-3")</f>
        <v/>
      </c>
      <c r="C3826" t="str">
        <f>IF(OR(Registro_Compras!$C$428="",Registro_Compras!$O$428="",Registro_Compras!$R$428&lt;&gt;"SI",Registro_Compras!$X$428=""),"","4212")</f>
        <v/>
      </c>
      <c r="D3826" t="str">
        <f>IF(OR(Registro_Compras!$C$428="",Registro_Compras!$O$428=""),"","Cuentas por Pagar Comerciales - Terceros")</f>
        <v/>
      </c>
      <c r="E3826" s="20" t="str">
        <f>IF($C3826="","",Registro_Compras!$S$428)</f>
        <v/>
      </c>
      <c r="F3826" s="20" t="str">
        <f>""</f>
        <v/>
      </c>
      <c r="G3826" t="str">
        <f>IF($C3826="","","Por el deposito de la detraccion en el Banco de la Nacion")</f>
        <v/>
      </c>
      <c r="H3826" t="str">
        <f>IF($C3826="","",Registro_Compras!$C$428)</f>
        <v/>
      </c>
    </row>
    <row r="3827" spans="1:8" x14ac:dyDescent="0.25">
      <c r="A3827" s="25" t="str">
        <f>IF($C3827="","",Registro_Compras!$X$428)</f>
        <v/>
      </c>
      <c r="B3827" t="str">
        <f>IF($C3827="","","C"&amp;TEXT(INT((ROW()-5)/9)+1,"000")&amp;"-3")</f>
        <v/>
      </c>
      <c r="C3827" t="str">
        <f>IF(OR(Registro_Compras!$C$428="",Registro_Compras!$O$428="",Registro_Compras!$R$428&lt;&gt;"SI",Registro_Compras!$X$428=""),"","1041")</f>
        <v/>
      </c>
      <c r="D3827" t="str">
        <f>IF(OR(Registro_Compras!$C$428="",Registro_Compras!$O$428=""),"","Efectivo y Equivalentes - Cta. Cte. Operativa")</f>
        <v/>
      </c>
      <c r="E3827" s="20" t="str">
        <f>""</f>
        <v/>
      </c>
      <c r="F3827" s="20" t="str">
        <f>IF($C3827="","",Registro_Compras!$S$428)</f>
        <v/>
      </c>
      <c r="G3827" t="str">
        <f>IF($C3827="","","Por el deposito de la detraccion en el Banco de la Nacion")</f>
        <v/>
      </c>
      <c r="H3827" t="str">
        <f>IF($C3827="","",Registro_Compras!$C$428)</f>
        <v/>
      </c>
    </row>
    <row r="3828" spans="1:8" x14ac:dyDescent="0.25">
      <c r="A3828" s="25" t="str">
        <f>IF($C3828="","",Registro_Compras!$Y$428)</f>
        <v/>
      </c>
      <c r="B3828" t="str">
        <f>IF($C3828="","","C"&amp;TEXT(INT((ROW()-5)/9)+1,"000")&amp;"-4")</f>
        <v/>
      </c>
      <c r="C3828" t="str">
        <f>IF(OR(Registro_Compras!$C$428="",Registro_Compras!$O$428="",Registro_Compras!$Y$428="",Registro_Compras!$F$428="NOTA DE CREDITO"),"","4212")</f>
        <v/>
      </c>
      <c r="D3828" t="str">
        <f>IF(OR(Registro_Compras!$C$428="",Registro_Compras!$O$428=""),"","Cuentas por Pagar Comerciales - Terceros")</f>
        <v/>
      </c>
      <c r="E3828" s="20" t="str">
        <f>IF($C3828="","",IF(Registro_Compras!$F$428="RHE",(ROUND(Registro_Compras!$L$428*Registro_Compras!$N$428,2)-ROUND(Registro_Compras!$V$428*Registro_Compras!$N$428,2)),ROUND(Registro_Compras!$O$428-Registro_Compras!$S$428,2)))</f>
        <v/>
      </c>
      <c r="F3828" s="20" t="str">
        <f>""</f>
        <v/>
      </c>
      <c r="G3828" t="str">
        <f>IF($C3828="","","Por la cancelacion del saldo al proveedor")</f>
        <v/>
      </c>
      <c r="H3828" t="str">
        <f>IF($C3828="","",Registro_Compras!$C$428)</f>
        <v/>
      </c>
    </row>
    <row r="3829" spans="1:8" x14ac:dyDescent="0.25">
      <c r="A3829" s="25" t="str">
        <f>IF($C3829="","",Registro_Compras!$Y$428)</f>
        <v/>
      </c>
      <c r="B3829" t="str">
        <f>IF($C3829="","","C"&amp;TEXT(INT((ROW()-5)/9)+1,"000")&amp;"-4")</f>
        <v/>
      </c>
      <c r="C3829" t="str">
        <f>IF(OR(Registro_Compras!$C$428="",Registro_Compras!$O$428="",Registro_Compras!$Y$428="",Registro_Compras!$F$428="NOTA DE CREDITO"),"","1041")</f>
        <v/>
      </c>
      <c r="D3829" t="str">
        <f>IF(OR(Registro_Compras!$C$428="",Registro_Compras!$O$428=""),"","Efectivo y Equivalentes - Cta. Cte. Operativa")</f>
        <v/>
      </c>
      <c r="E3829" s="20" t="str">
        <f>""</f>
        <v/>
      </c>
      <c r="F3829" s="20" t="str">
        <f>IF($C3829="","",IF(Registro_Compras!$F$428="RHE",(ROUND(Registro_Compras!$L$428*Registro_Compras!$N$428,2)-ROUND(Registro_Compras!$V$428*Registro_Compras!$N$428,2)),ROUND(Registro_Compras!$O$428-Registro_Compras!$S$428,2)))</f>
        <v/>
      </c>
      <c r="G3829" t="str">
        <f>IF($C3829="","","Por la cancelacion del saldo al proveedor")</f>
        <v/>
      </c>
      <c r="H3829" t="str">
        <f>IF($C3829="","",Registro_Compras!$C$428)</f>
        <v/>
      </c>
    </row>
    <row r="3830" spans="1:8" x14ac:dyDescent="0.25">
      <c r="A3830" s="25" t="str">
        <f>IF($C3830="","",Registro_Compras!$B$429)</f>
        <v/>
      </c>
      <c r="B3830" t="str">
        <f>IF($C3830="","","C"&amp;TEXT(INT((ROW()-5)/9)+1,"000")&amp;"-1")</f>
        <v/>
      </c>
      <c r="C3830" t="str">
        <f>IF(OR(Registro_Compras!$C$429="",Registro_Compras!$O$429=""),"",IF(Registro_Compras!$F$429="NOTA DE CREDITO","4212",IF(Registro_Compras!$M$429="","63",Registro_Compras!$M$429)))</f>
        <v/>
      </c>
      <c r="D3830" t="str">
        <f>IF(OR(Registro_Compras!$C$429="",Registro_Compras!$O$429=""),"",IF(Registro_Compras!$F$429="NOTA DE CREDITO","Cuentas por Pagar Comerciales - Terceros (Emitidas)",IF(Registro_Compras!$F$429="RHE","Honorarios Profesionales - Servicios de Terceros","Gastos de Servicios Prestados por Terceros")))</f>
        <v/>
      </c>
      <c r="E3830" s="20" t="str">
        <f>IF($C3830="","",IF(Registro_Compras!$F$429="NOTA DE CREDITO",ABS(Registro_Compras!$O$429),IF(Registro_Compras!$F$429="RHE",ROUND(Registro_Compras!$L$429*Registro_Compras!$N$429,2),ROUND(Registro_Compras!$J$429*Registro_Compras!$N$429,2))))</f>
        <v/>
      </c>
      <c r="F3830" s="20" t="str">
        <f>""</f>
        <v/>
      </c>
      <c r="G3830" t="str">
        <f>IF($C3830="","",IF(Registro_Compras!$F$429="NOTA DE CREDITO","Por la nota de credito "&amp;Registro_Compras!$C$429&amp;" de "&amp;Registro_Compras!$E$429&amp;" [PATRON POR CONFIRMAR CON CONTADOR]",IF(Registro_Compras!$F$429="RHE","Por el registro del recibo por honorarios "&amp;Registro_Compras!$C$429&amp;" de "&amp;Registro_Compras!$E$429&amp;" [PATRON POR CONFIRMAR CON CONTADOR]","Por el registro de la factura "&amp;Registro_Compras!$C$429&amp;" de "&amp;Registro_Compras!$E$429)))</f>
        <v/>
      </c>
      <c r="H3830" t="str">
        <f>IF($C3830="","",Registro_Compras!$C$429)</f>
        <v/>
      </c>
    </row>
    <row r="3831" spans="1:8" x14ac:dyDescent="0.25">
      <c r="A3831" s="25" t="str">
        <f>IF($C3831="","",Registro_Compras!$B$429)</f>
        <v/>
      </c>
      <c r="B3831" t="str">
        <f>IF($C3831="","","C"&amp;TEXT(INT((ROW()-5)/9)+1,"000")&amp;"-1")</f>
        <v/>
      </c>
      <c r="C3831" t="str">
        <f>IF(OR(Registro_Compras!$C$429="",Registro_Compras!$O$429=""),"",IF(Registro_Compras!$F$429="RHE",IF(Registro_Compras!$V$429=0,"","4017"),IF(Registro_Compras!$F$429="NOTA DE CREDITO",IF(Registro_Compras!$M$429="","63",Registro_Compras!$M$429),IF(Registro_Compras!$K$429=0,"","40111"))))</f>
        <v/>
      </c>
      <c r="D3831" t="str">
        <f>IF(OR(Registro_Compras!$C$429="",Registro_Compras!$O$429=""),"",IF(Registro_Compras!$F$429="RHE","Retencion Renta 4ta Categoria por Pagar",IF(Registro_Compras!$F$429="NOTA DE CREDITO","Gastos de Servicios Prestados por Terceros","IGV - Cuenta Propia (Credito Fiscal)")))</f>
        <v/>
      </c>
      <c r="E3831" s="20" t="str">
        <f>IF($C3831="","",IF(Registro_Compras!$F$429="FACTURA",ROUND(Registro_Compras!$K$429*Registro_Compras!$N$429,2),""))</f>
        <v/>
      </c>
      <c r="F3831" s="20" t="str">
        <f>IF($C3831="","",IF(Registro_Compras!$F$429="RHE",ROUND(Registro_Compras!$V$429*Registro_Compras!$N$429,2),IF(Registro_Compras!$F$429="NOTA DE CREDITO",ROUND(ABS(Registro_Compras!$J$429*Registro_Compras!$N$429),2),"")))</f>
        <v/>
      </c>
      <c r="G3831" t="str">
        <f>IF($C3831="","",IF(Registro_Compras!$F$429="NOTA DE CREDITO","Por la nota de credito "&amp;Registro_Compras!$C$429&amp;" de "&amp;Registro_Compras!$E$429&amp;" [PATRON POR CONFIRMAR CON CONTADOR]",IF(Registro_Compras!$F$429="RHE","Por el registro del recibo por honorarios "&amp;Registro_Compras!$C$429&amp;" de "&amp;Registro_Compras!$E$429&amp;" [PATRON POR CONFIRMAR CON CONTADOR]","Por el registro de la factura "&amp;Registro_Compras!$C$429&amp;" de "&amp;Registro_Compras!$E$429)))</f>
        <v/>
      </c>
      <c r="H3831" t="str">
        <f>IF($C3831="","",Registro_Compras!$C$429)</f>
        <v/>
      </c>
    </row>
    <row r="3832" spans="1:8" x14ac:dyDescent="0.25">
      <c r="A3832" s="25" t="str">
        <f>IF($C3832="","",Registro_Compras!$B$429)</f>
        <v/>
      </c>
      <c r="B3832" t="str">
        <f>IF($C3832="","","C"&amp;TEXT(INT((ROW()-5)/9)+1,"000")&amp;"-1")</f>
        <v/>
      </c>
      <c r="C3832" t="str">
        <f>IF(OR(Registro_Compras!$C$429="",Registro_Compras!$O$429=""),"",IF(Registro_Compras!$F$429="NOTA DE CREDITO",IF(Registro_Compras!$K$429=0,"","40111"),"4212"))</f>
        <v/>
      </c>
      <c r="D3832" t="str">
        <f>IF(OR(Registro_Compras!$C$429="",Registro_Compras!$O$429=""),"",IF(Registro_Compras!$F$429="NOTA DE CREDITO","IGV - Cuenta Propia (Credito Fiscal)","Cuentas por Pagar Comerciales - Terceros (Emitidas)"))</f>
        <v/>
      </c>
      <c r="E3832" s="20" t="str">
        <f>""</f>
        <v/>
      </c>
      <c r="F3832" s="20" t="str">
        <f>IF($C3832="","",IF(Registro_Compras!$F$429="NOTA DE CREDITO",ROUND(ABS(Registro_Compras!$K$429*Registro_Compras!$N$429),2),IF(Registro_Compras!$F$429="RHE",(ROUND(Registro_Compras!$L$429*Registro_Compras!$N$429,2)-ROUND(Registro_Compras!$V$429*Registro_Compras!$N$429,2)),Registro_Compras!$O$429)))</f>
        <v/>
      </c>
      <c r="G3832" t="str">
        <f>IF($C3832="","",IF(Registro_Compras!$F$429="NOTA DE CREDITO","Por la nota de credito "&amp;Registro_Compras!$C$429&amp;" de "&amp;Registro_Compras!$E$429&amp;" [PATRON POR CONFIRMAR CON CONTADOR]",IF(Registro_Compras!$F$429="RHE","Por el registro del recibo por honorarios "&amp;Registro_Compras!$C$429&amp;" de "&amp;Registro_Compras!$E$429&amp;" [PATRON POR CONFIRMAR CON CONTADOR]","Por el registro de la factura "&amp;Registro_Compras!$C$429&amp;" de "&amp;Registro_Compras!$E$429)))</f>
        <v/>
      </c>
      <c r="H3832" t="str">
        <f>IF($C3832="","",Registro_Compras!$C$429)</f>
        <v/>
      </c>
    </row>
    <row r="3833" spans="1:8" x14ac:dyDescent="0.25">
      <c r="A3833" s="25" t="str">
        <f>IF($C3833="","",Registro_Compras!$B$429)</f>
        <v/>
      </c>
      <c r="B3833" t="str">
        <f>IF($C3833="","","C"&amp;TEXT(INT((ROW()-5)/9)+1,"000")&amp;"-2")</f>
        <v/>
      </c>
      <c r="C3833" t="str">
        <f>IF(OR(Registro_Compras!$C$429="",Registro_Compras!$O$429=""),"",IF(Registro_Compras!$AB$429="ADMINISTRATIVO","94","95"))</f>
        <v/>
      </c>
      <c r="D3833" t="str">
        <f>IF(OR(Registro_Compras!$C$429="",Registro_Compras!$O$429=""),"",IF(Registro_Compras!$AB$429="ADMINISTRATIVO","Gastos Administrativos","Gastos de Venta y Operacion"))</f>
        <v/>
      </c>
      <c r="E3833" s="20" t="str">
        <f>IF($C3833="","",IF(Registro_Compras!$F$429="NOTA DE CREDITO","",IF(Registro_Compras!$F$429="RHE",ROUND(Registro_Compras!$L$429*Registro_Compras!$N$429,2),ROUND(Registro_Compras!$J$429*Registro_Compras!$N$429,2))))</f>
        <v/>
      </c>
      <c r="F3833" s="20" t="str">
        <f>IF($C3833="","",IF(Registro_Compras!$F$429="NOTA DE CREDITO",ROUND(ABS(Registro_Compras!$J$429*Registro_Compras!$N$429),2),""))</f>
        <v/>
      </c>
      <c r="G3833" t="str">
        <f>IF($C3833="","","Por el destino del gasto")</f>
        <v/>
      </c>
      <c r="H3833" t="str">
        <f>IF($C3833="","",Registro_Compras!$C$429)</f>
        <v/>
      </c>
    </row>
    <row r="3834" spans="1:8" x14ac:dyDescent="0.25">
      <c r="A3834" s="25" t="str">
        <f>IF($C3834="","",Registro_Compras!$B$429)</f>
        <v/>
      </c>
      <c r="B3834" t="str">
        <f>IF($C3834="","","C"&amp;TEXT(INT((ROW()-5)/9)+1,"000")&amp;"-2")</f>
        <v/>
      </c>
      <c r="C3834" t="str">
        <f>IF(OR(Registro_Compras!$C$429="",Registro_Compras!$O$429=""),"","79/791")</f>
        <v/>
      </c>
      <c r="D3834" t="str">
        <f>IF(OR(Registro_Compras!$C$429="",Registro_Compras!$O$429=""),"","Cargas Imputables a Cuentas de Costos y Gastos")</f>
        <v/>
      </c>
      <c r="E3834" s="20" t="str">
        <f>IF($C3834="","",IF(Registro_Compras!$F$429="NOTA DE CREDITO",ROUND(ABS(Registro_Compras!$J$429*Registro_Compras!$N$429),2),""))</f>
        <v/>
      </c>
      <c r="F3834" s="20" t="str">
        <f>IF($C3834="","",IF(Registro_Compras!$F$429="NOTA DE CREDITO","",IF(Registro_Compras!$F$429="RHE",ROUND(Registro_Compras!$L$429*Registro_Compras!$N$429,2),ROUND(Registro_Compras!$J$429*Registro_Compras!$N$429,2))))</f>
        <v/>
      </c>
      <c r="G3834" t="str">
        <f>IF($C3834="","","Por el destino del gasto")</f>
        <v/>
      </c>
      <c r="H3834" t="str">
        <f>IF($C3834="","",Registro_Compras!$C$429)</f>
        <v/>
      </c>
    </row>
    <row r="3835" spans="1:8" x14ac:dyDescent="0.25">
      <c r="A3835" s="25" t="str">
        <f>IF($C3835="","",Registro_Compras!$X$429)</f>
        <v/>
      </c>
      <c r="B3835" t="str">
        <f>IF($C3835="","","C"&amp;TEXT(INT((ROW()-5)/9)+1,"000")&amp;"-3")</f>
        <v/>
      </c>
      <c r="C3835" t="str">
        <f>IF(OR(Registro_Compras!$C$429="",Registro_Compras!$O$429="",Registro_Compras!$R$429&lt;&gt;"SI",Registro_Compras!$X$429=""),"","4212")</f>
        <v/>
      </c>
      <c r="D3835" t="str">
        <f>IF(OR(Registro_Compras!$C$429="",Registro_Compras!$O$429=""),"","Cuentas por Pagar Comerciales - Terceros")</f>
        <v/>
      </c>
      <c r="E3835" s="20" t="str">
        <f>IF($C3835="","",Registro_Compras!$S$429)</f>
        <v/>
      </c>
      <c r="F3835" s="20" t="str">
        <f>""</f>
        <v/>
      </c>
      <c r="G3835" t="str">
        <f>IF($C3835="","","Por el deposito de la detraccion en el Banco de la Nacion")</f>
        <v/>
      </c>
      <c r="H3835" t="str">
        <f>IF($C3835="","",Registro_Compras!$C$429)</f>
        <v/>
      </c>
    </row>
    <row r="3836" spans="1:8" x14ac:dyDescent="0.25">
      <c r="A3836" s="25" t="str">
        <f>IF($C3836="","",Registro_Compras!$X$429)</f>
        <v/>
      </c>
      <c r="B3836" t="str">
        <f>IF($C3836="","","C"&amp;TEXT(INT((ROW()-5)/9)+1,"000")&amp;"-3")</f>
        <v/>
      </c>
      <c r="C3836" t="str">
        <f>IF(OR(Registro_Compras!$C$429="",Registro_Compras!$O$429="",Registro_Compras!$R$429&lt;&gt;"SI",Registro_Compras!$X$429=""),"","1041")</f>
        <v/>
      </c>
      <c r="D3836" t="str">
        <f>IF(OR(Registro_Compras!$C$429="",Registro_Compras!$O$429=""),"","Efectivo y Equivalentes - Cta. Cte. Operativa")</f>
        <v/>
      </c>
      <c r="E3836" s="20" t="str">
        <f>""</f>
        <v/>
      </c>
      <c r="F3836" s="20" t="str">
        <f>IF($C3836="","",Registro_Compras!$S$429)</f>
        <v/>
      </c>
      <c r="G3836" t="str">
        <f>IF($C3836="","","Por el deposito de la detraccion en el Banco de la Nacion")</f>
        <v/>
      </c>
      <c r="H3836" t="str">
        <f>IF($C3836="","",Registro_Compras!$C$429)</f>
        <v/>
      </c>
    </row>
    <row r="3837" spans="1:8" x14ac:dyDescent="0.25">
      <c r="A3837" s="25" t="str">
        <f>IF($C3837="","",Registro_Compras!$Y$429)</f>
        <v/>
      </c>
      <c r="B3837" t="str">
        <f>IF($C3837="","","C"&amp;TEXT(INT((ROW()-5)/9)+1,"000")&amp;"-4")</f>
        <v/>
      </c>
      <c r="C3837" t="str">
        <f>IF(OR(Registro_Compras!$C$429="",Registro_Compras!$O$429="",Registro_Compras!$Y$429="",Registro_Compras!$F$429="NOTA DE CREDITO"),"","4212")</f>
        <v/>
      </c>
      <c r="D3837" t="str">
        <f>IF(OR(Registro_Compras!$C$429="",Registro_Compras!$O$429=""),"","Cuentas por Pagar Comerciales - Terceros")</f>
        <v/>
      </c>
      <c r="E3837" s="20" t="str">
        <f>IF($C3837="","",IF(Registro_Compras!$F$429="RHE",(ROUND(Registro_Compras!$L$429*Registro_Compras!$N$429,2)-ROUND(Registro_Compras!$V$429*Registro_Compras!$N$429,2)),ROUND(Registro_Compras!$O$429-Registro_Compras!$S$429,2)))</f>
        <v/>
      </c>
      <c r="F3837" s="20" t="str">
        <f>""</f>
        <v/>
      </c>
      <c r="G3837" t="str">
        <f>IF($C3837="","","Por la cancelacion del saldo al proveedor")</f>
        <v/>
      </c>
      <c r="H3837" t="str">
        <f>IF($C3837="","",Registro_Compras!$C$429)</f>
        <v/>
      </c>
    </row>
    <row r="3838" spans="1:8" x14ac:dyDescent="0.25">
      <c r="A3838" s="25" t="str">
        <f>IF($C3838="","",Registro_Compras!$Y$429)</f>
        <v/>
      </c>
      <c r="B3838" t="str">
        <f>IF($C3838="","","C"&amp;TEXT(INT((ROW()-5)/9)+1,"000")&amp;"-4")</f>
        <v/>
      </c>
      <c r="C3838" t="str">
        <f>IF(OR(Registro_Compras!$C$429="",Registro_Compras!$O$429="",Registro_Compras!$Y$429="",Registro_Compras!$F$429="NOTA DE CREDITO"),"","1041")</f>
        <v/>
      </c>
      <c r="D3838" t="str">
        <f>IF(OR(Registro_Compras!$C$429="",Registro_Compras!$O$429=""),"","Efectivo y Equivalentes - Cta. Cte. Operativa")</f>
        <v/>
      </c>
      <c r="E3838" s="20" t="str">
        <f>""</f>
        <v/>
      </c>
      <c r="F3838" s="20" t="str">
        <f>IF($C3838="","",IF(Registro_Compras!$F$429="RHE",(ROUND(Registro_Compras!$L$429*Registro_Compras!$N$429,2)-ROUND(Registro_Compras!$V$429*Registro_Compras!$N$429,2)),ROUND(Registro_Compras!$O$429-Registro_Compras!$S$429,2)))</f>
        <v/>
      </c>
      <c r="G3838" t="str">
        <f>IF($C3838="","","Por la cancelacion del saldo al proveedor")</f>
        <v/>
      </c>
      <c r="H3838" t="str">
        <f>IF($C3838="","",Registro_Compras!$C$429)</f>
        <v/>
      </c>
    </row>
    <row r="3839" spans="1:8" x14ac:dyDescent="0.25">
      <c r="A3839" s="25" t="str">
        <f>IF($C3839="","",Registro_Compras!$B$430)</f>
        <v/>
      </c>
      <c r="B3839" t="str">
        <f>IF($C3839="","","C"&amp;TEXT(INT((ROW()-5)/9)+1,"000")&amp;"-1")</f>
        <v/>
      </c>
      <c r="C3839" t="str">
        <f>IF(OR(Registro_Compras!$C$430="",Registro_Compras!$O$430=""),"",IF(Registro_Compras!$F$430="NOTA DE CREDITO","4212",IF(Registro_Compras!$M$430="","63",Registro_Compras!$M$430)))</f>
        <v/>
      </c>
      <c r="D3839" t="str">
        <f>IF(OR(Registro_Compras!$C$430="",Registro_Compras!$O$430=""),"",IF(Registro_Compras!$F$430="NOTA DE CREDITO","Cuentas por Pagar Comerciales - Terceros (Emitidas)",IF(Registro_Compras!$F$430="RHE","Honorarios Profesionales - Servicios de Terceros","Gastos de Servicios Prestados por Terceros")))</f>
        <v/>
      </c>
      <c r="E3839" s="20" t="str">
        <f>IF($C3839="","",IF(Registro_Compras!$F$430="NOTA DE CREDITO",ABS(Registro_Compras!$O$430),IF(Registro_Compras!$F$430="RHE",ROUND(Registro_Compras!$L$430*Registro_Compras!$N$430,2),ROUND(Registro_Compras!$J$430*Registro_Compras!$N$430,2))))</f>
        <v/>
      </c>
      <c r="F3839" s="20" t="str">
        <f>""</f>
        <v/>
      </c>
      <c r="G3839" t="str">
        <f>IF($C3839="","",IF(Registro_Compras!$F$430="NOTA DE CREDITO","Por la nota de credito "&amp;Registro_Compras!$C$430&amp;" de "&amp;Registro_Compras!$E$430&amp;" [PATRON POR CONFIRMAR CON CONTADOR]",IF(Registro_Compras!$F$430="RHE","Por el registro del recibo por honorarios "&amp;Registro_Compras!$C$430&amp;" de "&amp;Registro_Compras!$E$430&amp;" [PATRON POR CONFIRMAR CON CONTADOR]","Por el registro de la factura "&amp;Registro_Compras!$C$430&amp;" de "&amp;Registro_Compras!$E$430)))</f>
        <v/>
      </c>
      <c r="H3839" t="str">
        <f>IF($C3839="","",Registro_Compras!$C$430)</f>
        <v/>
      </c>
    </row>
    <row r="3840" spans="1:8" x14ac:dyDescent="0.25">
      <c r="A3840" s="25" t="str">
        <f>IF($C3840="","",Registro_Compras!$B$430)</f>
        <v/>
      </c>
      <c r="B3840" t="str">
        <f>IF($C3840="","","C"&amp;TEXT(INT((ROW()-5)/9)+1,"000")&amp;"-1")</f>
        <v/>
      </c>
      <c r="C3840" t="str">
        <f>IF(OR(Registro_Compras!$C$430="",Registro_Compras!$O$430=""),"",IF(Registro_Compras!$F$430="RHE",IF(Registro_Compras!$V$430=0,"","4017"),IF(Registro_Compras!$F$430="NOTA DE CREDITO",IF(Registro_Compras!$M$430="","63",Registro_Compras!$M$430),IF(Registro_Compras!$K$430=0,"","40111"))))</f>
        <v/>
      </c>
      <c r="D3840" t="str">
        <f>IF(OR(Registro_Compras!$C$430="",Registro_Compras!$O$430=""),"",IF(Registro_Compras!$F$430="RHE","Retencion Renta 4ta Categoria por Pagar",IF(Registro_Compras!$F$430="NOTA DE CREDITO","Gastos de Servicios Prestados por Terceros","IGV - Cuenta Propia (Credito Fiscal)")))</f>
        <v/>
      </c>
      <c r="E3840" s="20" t="str">
        <f>IF($C3840="","",IF(Registro_Compras!$F$430="FACTURA",ROUND(Registro_Compras!$K$430*Registro_Compras!$N$430,2),""))</f>
        <v/>
      </c>
      <c r="F3840" s="20" t="str">
        <f>IF($C3840="","",IF(Registro_Compras!$F$430="RHE",ROUND(Registro_Compras!$V$430*Registro_Compras!$N$430,2),IF(Registro_Compras!$F$430="NOTA DE CREDITO",ROUND(ABS(Registro_Compras!$J$430*Registro_Compras!$N$430),2),"")))</f>
        <v/>
      </c>
      <c r="G3840" t="str">
        <f>IF($C3840="","",IF(Registro_Compras!$F$430="NOTA DE CREDITO","Por la nota de credito "&amp;Registro_Compras!$C$430&amp;" de "&amp;Registro_Compras!$E$430&amp;" [PATRON POR CONFIRMAR CON CONTADOR]",IF(Registro_Compras!$F$430="RHE","Por el registro del recibo por honorarios "&amp;Registro_Compras!$C$430&amp;" de "&amp;Registro_Compras!$E$430&amp;" [PATRON POR CONFIRMAR CON CONTADOR]","Por el registro de la factura "&amp;Registro_Compras!$C$430&amp;" de "&amp;Registro_Compras!$E$430)))</f>
        <v/>
      </c>
      <c r="H3840" t="str">
        <f>IF($C3840="","",Registro_Compras!$C$430)</f>
        <v/>
      </c>
    </row>
    <row r="3841" spans="1:8" x14ac:dyDescent="0.25">
      <c r="A3841" s="25" t="str">
        <f>IF($C3841="","",Registro_Compras!$B$430)</f>
        <v/>
      </c>
      <c r="B3841" t="str">
        <f>IF($C3841="","","C"&amp;TEXT(INT((ROW()-5)/9)+1,"000")&amp;"-1")</f>
        <v/>
      </c>
      <c r="C3841" t="str">
        <f>IF(OR(Registro_Compras!$C$430="",Registro_Compras!$O$430=""),"",IF(Registro_Compras!$F$430="NOTA DE CREDITO",IF(Registro_Compras!$K$430=0,"","40111"),"4212"))</f>
        <v/>
      </c>
      <c r="D3841" t="str">
        <f>IF(OR(Registro_Compras!$C$430="",Registro_Compras!$O$430=""),"",IF(Registro_Compras!$F$430="NOTA DE CREDITO","IGV - Cuenta Propia (Credito Fiscal)","Cuentas por Pagar Comerciales - Terceros (Emitidas)"))</f>
        <v/>
      </c>
      <c r="E3841" s="20" t="str">
        <f>""</f>
        <v/>
      </c>
      <c r="F3841" s="20" t="str">
        <f>IF($C3841="","",IF(Registro_Compras!$F$430="NOTA DE CREDITO",ROUND(ABS(Registro_Compras!$K$430*Registro_Compras!$N$430),2),IF(Registro_Compras!$F$430="RHE",(ROUND(Registro_Compras!$L$430*Registro_Compras!$N$430,2)-ROUND(Registro_Compras!$V$430*Registro_Compras!$N$430,2)),Registro_Compras!$O$430)))</f>
        <v/>
      </c>
      <c r="G3841" t="str">
        <f>IF($C3841="","",IF(Registro_Compras!$F$430="NOTA DE CREDITO","Por la nota de credito "&amp;Registro_Compras!$C$430&amp;" de "&amp;Registro_Compras!$E$430&amp;" [PATRON POR CONFIRMAR CON CONTADOR]",IF(Registro_Compras!$F$430="RHE","Por el registro del recibo por honorarios "&amp;Registro_Compras!$C$430&amp;" de "&amp;Registro_Compras!$E$430&amp;" [PATRON POR CONFIRMAR CON CONTADOR]","Por el registro de la factura "&amp;Registro_Compras!$C$430&amp;" de "&amp;Registro_Compras!$E$430)))</f>
        <v/>
      </c>
      <c r="H3841" t="str">
        <f>IF($C3841="","",Registro_Compras!$C$430)</f>
        <v/>
      </c>
    </row>
    <row r="3842" spans="1:8" x14ac:dyDescent="0.25">
      <c r="A3842" s="25" t="str">
        <f>IF($C3842="","",Registro_Compras!$B$430)</f>
        <v/>
      </c>
      <c r="B3842" t="str">
        <f>IF($C3842="","","C"&amp;TEXT(INT((ROW()-5)/9)+1,"000")&amp;"-2")</f>
        <v/>
      </c>
      <c r="C3842" t="str">
        <f>IF(OR(Registro_Compras!$C$430="",Registro_Compras!$O$430=""),"",IF(Registro_Compras!$AB$430="ADMINISTRATIVO","94","95"))</f>
        <v/>
      </c>
      <c r="D3842" t="str">
        <f>IF(OR(Registro_Compras!$C$430="",Registro_Compras!$O$430=""),"",IF(Registro_Compras!$AB$430="ADMINISTRATIVO","Gastos Administrativos","Gastos de Venta y Operacion"))</f>
        <v/>
      </c>
      <c r="E3842" s="20" t="str">
        <f>IF($C3842="","",IF(Registro_Compras!$F$430="NOTA DE CREDITO","",IF(Registro_Compras!$F$430="RHE",ROUND(Registro_Compras!$L$430*Registro_Compras!$N$430,2),ROUND(Registro_Compras!$J$430*Registro_Compras!$N$430,2))))</f>
        <v/>
      </c>
      <c r="F3842" s="20" t="str">
        <f>IF($C3842="","",IF(Registro_Compras!$F$430="NOTA DE CREDITO",ROUND(ABS(Registro_Compras!$J$430*Registro_Compras!$N$430),2),""))</f>
        <v/>
      </c>
      <c r="G3842" t="str">
        <f>IF($C3842="","","Por el destino del gasto")</f>
        <v/>
      </c>
      <c r="H3842" t="str">
        <f>IF($C3842="","",Registro_Compras!$C$430)</f>
        <v/>
      </c>
    </row>
    <row r="3843" spans="1:8" x14ac:dyDescent="0.25">
      <c r="A3843" s="25" t="str">
        <f>IF($C3843="","",Registro_Compras!$B$430)</f>
        <v/>
      </c>
      <c r="B3843" t="str">
        <f>IF($C3843="","","C"&amp;TEXT(INT((ROW()-5)/9)+1,"000")&amp;"-2")</f>
        <v/>
      </c>
      <c r="C3843" t="str">
        <f>IF(OR(Registro_Compras!$C$430="",Registro_Compras!$O$430=""),"","79/791")</f>
        <v/>
      </c>
      <c r="D3843" t="str">
        <f>IF(OR(Registro_Compras!$C$430="",Registro_Compras!$O$430=""),"","Cargas Imputables a Cuentas de Costos y Gastos")</f>
        <v/>
      </c>
      <c r="E3843" s="20" t="str">
        <f>IF($C3843="","",IF(Registro_Compras!$F$430="NOTA DE CREDITO",ROUND(ABS(Registro_Compras!$J$430*Registro_Compras!$N$430),2),""))</f>
        <v/>
      </c>
      <c r="F3843" s="20" t="str">
        <f>IF($C3843="","",IF(Registro_Compras!$F$430="NOTA DE CREDITO","",IF(Registro_Compras!$F$430="RHE",ROUND(Registro_Compras!$L$430*Registro_Compras!$N$430,2),ROUND(Registro_Compras!$J$430*Registro_Compras!$N$430,2))))</f>
        <v/>
      </c>
      <c r="G3843" t="str">
        <f>IF($C3843="","","Por el destino del gasto")</f>
        <v/>
      </c>
      <c r="H3843" t="str">
        <f>IF($C3843="","",Registro_Compras!$C$430)</f>
        <v/>
      </c>
    </row>
    <row r="3844" spans="1:8" x14ac:dyDescent="0.25">
      <c r="A3844" s="25" t="str">
        <f>IF($C3844="","",Registro_Compras!$X$430)</f>
        <v/>
      </c>
      <c r="B3844" t="str">
        <f>IF($C3844="","","C"&amp;TEXT(INT((ROW()-5)/9)+1,"000")&amp;"-3")</f>
        <v/>
      </c>
      <c r="C3844" t="str">
        <f>IF(OR(Registro_Compras!$C$430="",Registro_Compras!$O$430="",Registro_Compras!$R$430&lt;&gt;"SI",Registro_Compras!$X$430=""),"","4212")</f>
        <v/>
      </c>
      <c r="D3844" t="str">
        <f>IF(OR(Registro_Compras!$C$430="",Registro_Compras!$O$430=""),"","Cuentas por Pagar Comerciales - Terceros")</f>
        <v/>
      </c>
      <c r="E3844" s="20" t="str">
        <f>IF($C3844="","",Registro_Compras!$S$430)</f>
        <v/>
      </c>
      <c r="F3844" s="20" t="str">
        <f>""</f>
        <v/>
      </c>
      <c r="G3844" t="str">
        <f>IF($C3844="","","Por el deposito de la detraccion en el Banco de la Nacion")</f>
        <v/>
      </c>
      <c r="H3844" t="str">
        <f>IF($C3844="","",Registro_Compras!$C$430)</f>
        <v/>
      </c>
    </row>
    <row r="3845" spans="1:8" x14ac:dyDescent="0.25">
      <c r="A3845" s="25" t="str">
        <f>IF($C3845="","",Registro_Compras!$X$430)</f>
        <v/>
      </c>
      <c r="B3845" t="str">
        <f>IF($C3845="","","C"&amp;TEXT(INT((ROW()-5)/9)+1,"000")&amp;"-3")</f>
        <v/>
      </c>
      <c r="C3845" t="str">
        <f>IF(OR(Registro_Compras!$C$430="",Registro_Compras!$O$430="",Registro_Compras!$R$430&lt;&gt;"SI",Registro_Compras!$X$430=""),"","1041")</f>
        <v/>
      </c>
      <c r="D3845" t="str">
        <f>IF(OR(Registro_Compras!$C$430="",Registro_Compras!$O$430=""),"","Efectivo y Equivalentes - Cta. Cte. Operativa")</f>
        <v/>
      </c>
      <c r="E3845" s="20" t="str">
        <f>""</f>
        <v/>
      </c>
      <c r="F3845" s="20" t="str">
        <f>IF($C3845="","",Registro_Compras!$S$430)</f>
        <v/>
      </c>
      <c r="G3845" t="str">
        <f>IF($C3845="","","Por el deposito de la detraccion en el Banco de la Nacion")</f>
        <v/>
      </c>
      <c r="H3845" t="str">
        <f>IF($C3845="","",Registro_Compras!$C$430)</f>
        <v/>
      </c>
    </row>
    <row r="3846" spans="1:8" x14ac:dyDescent="0.25">
      <c r="A3846" s="25" t="str">
        <f>IF($C3846="","",Registro_Compras!$Y$430)</f>
        <v/>
      </c>
      <c r="B3846" t="str">
        <f>IF($C3846="","","C"&amp;TEXT(INT((ROW()-5)/9)+1,"000")&amp;"-4")</f>
        <v/>
      </c>
      <c r="C3846" t="str">
        <f>IF(OR(Registro_Compras!$C$430="",Registro_Compras!$O$430="",Registro_Compras!$Y$430="",Registro_Compras!$F$430="NOTA DE CREDITO"),"","4212")</f>
        <v/>
      </c>
      <c r="D3846" t="str">
        <f>IF(OR(Registro_Compras!$C$430="",Registro_Compras!$O$430=""),"","Cuentas por Pagar Comerciales - Terceros")</f>
        <v/>
      </c>
      <c r="E3846" s="20" t="str">
        <f>IF($C3846="","",IF(Registro_Compras!$F$430="RHE",(ROUND(Registro_Compras!$L$430*Registro_Compras!$N$430,2)-ROUND(Registro_Compras!$V$430*Registro_Compras!$N$430,2)),ROUND(Registro_Compras!$O$430-Registro_Compras!$S$430,2)))</f>
        <v/>
      </c>
      <c r="F3846" s="20" t="str">
        <f>""</f>
        <v/>
      </c>
      <c r="G3846" t="str">
        <f>IF($C3846="","","Por la cancelacion del saldo al proveedor")</f>
        <v/>
      </c>
      <c r="H3846" t="str">
        <f>IF($C3846="","",Registro_Compras!$C$430)</f>
        <v/>
      </c>
    </row>
    <row r="3847" spans="1:8" x14ac:dyDescent="0.25">
      <c r="A3847" s="25" t="str">
        <f>IF($C3847="","",Registro_Compras!$Y$430)</f>
        <v/>
      </c>
      <c r="B3847" t="str">
        <f>IF($C3847="","","C"&amp;TEXT(INT((ROW()-5)/9)+1,"000")&amp;"-4")</f>
        <v/>
      </c>
      <c r="C3847" t="str">
        <f>IF(OR(Registro_Compras!$C$430="",Registro_Compras!$O$430="",Registro_Compras!$Y$430="",Registro_Compras!$F$430="NOTA DE CREDITO"),"","1041")</f>
        <v/>
      </c>
      <c r="D3847" t="str">
        <f>IF(OR(Registro_Compras!$C$430="",Registro_Compras!$O$430=""),"","Efectivo y Equivalentes - Cta. Cte. Operativa")</f>
        <v/>
      </c>
      <c r="E3847" s="20" t="str">
        <f>""</f>
        <v/>
      </c>
      <c r="F3847" s="20" t="str">
        <f>IF($C3847="","",IF(Registro_Compras!$F$430="RHE",(ROUND(Registro_Compras!$L$430*Registro_Compras!$N$430,2)-ROUND(Registro_Compras!$V$430*Registro_Compras!$N$430,2)),ROUND(Registro_Compras!$O$430-Registro_Compras!$S$430,2)))</f>
        <v/>
      </c>
      <c r="G3847" t="str">
        <f>IF($C3847="","","Por la cancelacion del saldo al proveedor")</f>
        <v/>
      </c>
      <c r="H3847" t="str">
        <f>IF($C3847="","",Registro_Compras!$C$430)</f>
        <v/>
      </c>
    </row>
    <row r="3848" spans="1:8" x14ac:dyDescent="0.25">
      <c r="A3848" s="25" t="str">
        <f>IF($C3848="","",Registro_Compras!$B$431)</f>
        <v/>
      </c>
      <c r="B3848" t="str">
        <f>IF($C3848="","","C"&amp;TEXT(INT((ROW()-5)/9)+1,"000")&amp;"-1")</f>
        <v/>
      </c>
      <c r="C3848" t="str">
        <f>IF(OR(Registro_Compras!$C$431="",Registro_Compras!$O$431=""),"",IF(Registro_Compras!$F$431="NOTA DE CREDITO","4212",IF(Registro_Compras!$M$431="","63",Registro_Compras!$M$431)))</f>
        <v/>
      </c>
      <c r="D3848" t="str">
        <f>IF(OR(Registro_Compras!$C$431="",Registro_Compras!$O$431=""),"",IF(Registro_Compras!$F$431="NOTA DE CREDITO","Cuentas por Pagar Comerciales - Terceros (Emitidas)",IF(Registro_Compras!$F$431="RHE","Honorarios Profesionales - Servicios de Terceros","Gastos de Servicios Prestados por Terceros")))</f>
        <v/>
      </c>
      <c r="E3848" s="20" t="str">
        <f>IF($C3848="","",IF(Registro_Compras!$F$431="NOTA DE CREDITO",ABS(Registro_Compras!$O$431),IF(Registro_Compras!$F$431="RHE",ROUND(Registro_Compras!$L$431*Registro_Compras!$N$431,2),ROUND(Registro_Compras!$J$431*Registro_Compras!$N$431,2))))</f>
        <v/>
      </c>
      <c r="F3848" s="20" t="str">
        <f>""</f>
        <v/>
      </c>
      <c r="G3848" t="str">
        <f>IF($C3848="","",IF(Registro_Compras!$F$431="NOTA DE CREDITO","Por la nota de credito "&amp;Registro_Compras!$C$431&amp;" de "&amp;Registro_Compras!$E$431&amp;" [PATRON POR CONFIRMAR CON CONTADOR]",IF(Registro_Compras!$F$431="RHE","Por el registro del recibo por honorarios "&amp;Registro_Compras!$C$431&amp;" de "&amp;Registro_Compras!$E$431&amp;" [PATRON POR CONFIRMAR CON CONTADOR]","Por el registro de la factura "&amp;Registro_Compras!$C$431&amp;" de "&amp;Registro_Compras!$E$431)))</f>
        <v/>
      </c>
      <c r="H3848" t="str">
        <f>IF($C3848="","",Registro_Compras!$C$431)</f>
        <v/>
      </c>
    </row>
    <row r="3849" spans="1:8" x14ac:dyDescent="0.25">
      <c r="A3849" s="25" t="str">
        <f>IF($C3849="","",Registro_Compras!$B$431)</f>
        <v/>
      </c>
      <c r="B3849" t="str">
        <f>IF($C3849="","","C"&amp;TEXT(INT((ROW()-5)/9)+1,"000")&amp;"-1")</f>
        <v/>
      </c>
      <c r="C3849" t="str">
        <f>IF(OR(Registro_Compras!$C$431="",Registro_Compras!$O$431=""),"",IF(Registro_Compras!$F$431="RHE",IF(Registro_Compras!$V$431=0,"","4017"),IF(Registro_Compras!$F$431="NOTA DE CREDITO",IF(Registro_Compras!$M$431="","63",Registro_Compras!$M$431),IF(Registro_Compras!$K$431=0,"","40111"))))</f>
        <v/>
      </c>
      <c r="D3849" t="str">
        <f>IF(OR(Registro_Compras!$C$431="",Registro_Compras!$O$431=""),"",IF(Registro_Compras!$F$431="RHE","Retencion Renta 4ta Categoria por Pagar",IF(Registro_Compras!$F$431="NOTA DE CREDITO","Gastos de Servicios Prestados por Terceros","IGV - Cuenta Propia (Credito Fiscal)")))</f>
        <v/>
      </c>
      <c r="E3849" s="20" t="str">
        <f>IF($C3849="","",IF(Registro_Compras!$F$431="FACTURA",ROUND(Registro_Compras!$K$431*Registro_Compras!$N$431,2),""))</f>
        <v/>
      </c>
      <c r="F3849" s="20" t="str">
        <f>IF($C3849="","",IF(Registro_Compras!$F$431="RHE",ROUND(Registro_Compras!$V$431*Registro_Compras!$N$431,2),IF(Registro_Compras!$F$431="NOTA DE CREDITO",ROUND(ABS(Registro_Compras!$J$431*Registro_Compras!$N$431),2),"")))</f>
        <v/>
      </c>
      <c r="G3849" t="str">
        <f>IF($C3849="","",IF(Registro_Compras!$F$431="NOTA DE CREDITO","Por la nota de credito "&amp;Registro_Compras!$C$431&amp;" de "&amp;Registro_Compras!$E$431&amp;" [PATRON POR CONFIRMAR CON CONTADOR]",IF(Registro_Compras!$F$431="RHE","Por el registro del recibo por honorarios "&amp;Registro_Compras!$C$431&amp;" de "&amp;Registro_Compras!$E$431&amp;" [PATRON POR CONFIRMAR CON CONTADOR]","Por el registro de la factura "&amp;Registro_Compras!$C$431&amp;" de "&amp;Registro_Compras!$E$431)))</f>
        <v/>
      </c>
      <c r="H3849" t="str">
        <f>IF($C3849="","",Registro_Compras!$C$431)</f>
        <v/>
      </c>
    </row>
    <row r="3850" spans="1:8" x14ac:dyDescent="0.25">
      <c r="A3850" s="25" t="str">
        <f>IF($C3850="","",Registro_Compras!$B$431)</f>
        <v/>
      </c>
      <c r="B3850" t="str">
        <f>IF($C3850="","","C"&amp;TEXT(INT((ROW()-5)/9)+1,"000")&amp;"-1")</f>
        <v/>
      </c>
      <c r="C3850" t="str">
        <f>IF(OR(Registro_Compras!$C$431="",Registro_Compras!$O$431=""),"",IF(Registro_Compras!$F$431="NOTA DE CREDITO",IF(Registro_Compras!$K$431=0,"","40111"),"4212"))</f>
        <v/>
      </c>
      <c r="D3850" t="str">
        <f>IF(OR(Registro_Compras!$C$431="",Registro_Compras!$O$431=""),"",IF(Registro_Compras!$F$431="NOTA DE CREDITO","IGV - Cuenta Propia (Credito Fiscal)","Cuentas por Pagar Comerciales - Terceros (Emitidas)"))</f>
        <v/>
      </c>
      <c r="E3850" s="20" t="str">
        <f>""</f>
        <v/>
      </c>
      <c r="F3850" s="20" t="str">
        <f>IF($C3850="","",IF(Registro_Compras!$F$431="NOTA DE CREDITO",ROUND(ABS(Registro_Compras!$K$431*Registro_Compras!$N$431),2),IF(Registro_Compras!$F$431="RHE",(ROUND(Registro_Compras!$L$431*Registro_Compras!$N$431,2)-ROUND(Registro_Compras!$V$431*Registro_Compras!$N$431,2)),Registro_Compras!$O$431)))</f>
        <v/>
      </c>
      <c r="G3850" t="str">
        <f>IF($C3850="","",IF(Registro_Compras!$F$431="NOTA DE CREDITO","Por la nota de credito "&amp;Registro_Compras!$C$431&amp;" de "&amp;Registro_Compras!$E$431&amp;" [PATRON POR CONFIRMAR CON CONTADOR]",IF(Registro_Compras!$F$431="RHE","Por el registro del recibo por honorarios "&amp;Registro_Compras!$C$431&amp;" de "&amp;Registro_Compras!$E$431&amp;" [PATRON POR CONFIRMAR CON CONTADOR]","Por el registro de la factura "&amp;Registro_Compras!$C$431&amp;" de "&amp;Registro_Compras!$E$431)))</f>
        <v/>
      </c>
      <c r="H3850" t="str">
        <f>IF($C3850="","",Registro_Compras!$C$431)</f>
        <v/>
      </c>
    </row>
    <row r="3851" spans="1:8" x14ac:dyDescent="0.25">
      <c r="A3851" s="25" t="str">
        <f>IF($C3851="","",Registro_Compras!$B$431)</f>
        <v/>
      </c>
      <c r="B3851" t="str">
        <f>IF($C3851="","","C"&amp;TEXT(INT((ROW()-5)/9)+1,"000")&amp;"-2")</f>
        <v/>
      </c>
      <c r="C3851" t="str">
        <f>IF(OR(Registro_Compras!$C$431="",Registro_Compras!$O$431=""),"",IF(Registro_Compras!$AB$431="ADMINISTRATIVO","94","95"))</f>
        <v/>
      </c>
      <c r="D3851" t="str">
        <f>IF(OR(Registro_Compras!$C$431="",Registro_Compras!$O$431=""),"",IF(Registro_Compras!$AB$431="ADMINISTRATIVO","Gastos Administrativos","Gastos de Venta y Operacion"))</f>
        <v/>
      </c>
      <c r="E3851" s="20" t="str">
        <f>IF($C3851="","",IF(Registro_Compras!$F$431="NOTA DE CREDITO","",IF(Registro_Compras!$F$431="RHE",ROUND(Registro_Compras!$L$431*Registro_Compras!$N$431,2),ROUND(Registro_Compras!$J$431*Registro_Compras!$N$431,2))))</f>
        <v/>
      </c>
      <c r="F3851" s="20" t="str">
        <f>IF($C3851="","",IF(Registro_Compras!$F$431="NOTA DE CREDITO",ROUND(ABS(Registro_Compras!$J$431*Registro_Compras!$N$431),2),""))</f>
        <v/>
      </c>
      <c r="G3851" t="str">
        <f>IF($C3851="","","Por el destino del gasto")</f>
        <v/>
      </c>
      <c r="H3851" t="str">
        <f>IF($C3851="","",Registro_Compras!$C$431)</f>
        <v/>
      </c>
    </row>
    <row r="3852" spans="1:8" x14ac:dyDescent="0.25">
      <c r="A3852" s="25" t="str">
        <f>IF($C3852="","",Registro_Compras!$B$431)</f>
        <v/>
      </c>
      <c r="B3852" t="str">
        <f>IF($C3852="","","C"&amp;TEXT(INT((ROW()-5)/9)+1,"000")&amp;"-2")</f>
        <v/>
      </c>
      <c r="C3852" t="str">
        <f>IF(OR(Registro_Compras!$C$431="",Registro_Compras!$O$431=""),"","79/791")</f>
        <v/>
      </c>
      <c r="D3852" t="str">
        <f>IF(OR(Registro_Compras!$C$431="",Registro_Compras!$O$431=""),"","Cargas Imputables a Cuentas de Costos y Gastos")</f>
        <v/>
      </c>
      <c r="E3852" s="20" t="str">
        <f>IF($C3852="","",IF(Registro_Compras!$F$431="NOTA DE CREDITO",ROUND(ABS(Registro_Compras!$J$431*Registro_Compras!$N$431),2),""))</f>
        <v/>
      </c>
      <c r="F3852" s="20" t="str">
        <f>IF($C3852="","",IF(Registro_Compras!$F$431="NOTA DE CREDITO","",IF(Registro_Compras!$F$431="RHE",ROUND(Registro_Compras!$L$431*Registro_Compras!$N$431,2),ROUND(Registro_Compras!$J$431*Registro_Compras!$N$431,2))))</f>
        <v/>
      </c>
      <c r="G3852" t="str">
        <f>IF($C3852="","","Por el destino del gasto")</f>
        <v/>
      </c>
      <c r="H3852" t="str">
        <f>IF($C3852="","",Registro_Compras!$C$431)</f>
        <v/>
      </c>
    </row>
    <row r="3853" spans="1:8" x14ac:dyDescent="0.25">
      <c r="A3853" s="25" t="str">
        <f>IF($C3853="","",Registro_Compras!$X$431)</f>
        <v/>
      </c>
      <c r="B3853" t="str">
        <f>IF($C3853="","","C"&amp;TEXT(INT((ROW()-5)/9)+1,"000")&amp;"-3")</f>
        <v/>
      </c>
      <c r="C3853" t="str">
        <f>IF(OR(Registro_Compras!$C$431="",Registro_Compras!$O$431="",Registro_Compras!$R$431&lt;&gt;"SI",Registro_Compras!$X$431=""),"","4212")</f>
        <v/>
      </c>
      <c r="D3853" t="str">
        <f>IF(OR(Registro_Compras!$C$431="",Registro_Compras!$O$431=""),"","Cuentas por Pagar Comerciales - Terceros")</f>
        <v/>
      </c>
      <c r="E3853" s="20" t="str">
        <f>IF($C3853="","",Registro_Compras!$S$431)</f>
        <v/>
      </c>
      <c r="F3853" s="20" t="str">
        <f>""</f>
        <v/>
      </c>
      <c r="G3853" t="str">
        <f>IF($C3853="","","Por el deposito de la detraccion en el Banco de la Nacion")</f>
        <v/>
      </c>
      <c r="H3853" t="str">
        <f>IF($C3853="","",Registro_Compras!$C$431)</f>
        <v/>
      </c>
    </row>
    <row r="3854" spans="1:8" x14ac:dyDescent="0.25">
      <c r="A3854" s="25" t="str">
        <f>IF($C3854="","",Registro_Compras!$X$431)</f>
        <v/>
      </c>
      <c r="B3854" t="str">
        <f>IF($C3854="","","C"&amp;TEXT(INT((ROW()-5)/9)+1,"000")&amp;"-3")</f>
        <v/>
      </c>
      <c r="C3854" t="str">
        <f>IF(OR(Registro_Compras!$C$431="",Registro_Compras!$O$431="",Registro_Compras!$R$431&lt;&gt;"SI",Registro_Compras!$X$431=""),"","1041")</f>
        <v/>
      </c>
      <c r="D3854" t="str">
        <f>IF(OR(Registro_Compras!$C$431="",Registro_Compras!$O$431=""),"","Efectivo y Equivalentes - Cta. Cte. Operativa")</f>
        <v/>
      </c>
      <c r="E3854" s="20" t="str">
        <f>""</f>
        <v/>
      </c>
      <c r="F3854" s="20" t="str">
        <f>IF($C3854="","",Registro_Compras!$S$431)</f>
        <v/>
      </c>
      <c r="G3854" t="str">
        <f>IF($C3854="","","Por el deposito de la detraccion en el Banco de la Nacion")</f>
        <v/>
      </c>
      <c r="H3854" t="str">
        <f>IF($C3854="","",Registro_Compras!$C$431)</f>
        <v/>
      </c>
    </row>
    <row r="3855" spans="1:8" x14ac:dyDescent="0.25">
      <c r="A3855" s="25" t="str">
        <f>IF($C3855="","",Registro_Compras!$Y$431)</f>
        <v/>
      </c>
      <c r="B3855" t="str">
        <f>IF($C3855="","","C"&amp;TEXT(INT((ROW()-5)/9)+1,"000")&amp;"-4")</f>
        <v/>
      </c>
      <c r="C3855" t="str">
        <f>IF(OR(Registro_Compras!$C$431="",Registro_Compras!$O$431="",Registro_Compras!$Y$431="",Registro_Compras!$F$431="NOTA DE CREDITO"),"","4212")</f>
        <v/>
      </c>
      <c r="D3855" t="str">
        <f>IF(OR(Registro_Compras!$C$431="",Registro_Compras!$O$431=""),"","Cuentas por Pagar Comerciales - Terceros")</f>
        <v/>
      </c>
      <c r="E3855" s="20" t="str">
        <f>IF($C3855="","",IF(Registro_Compras!$F$431="RHE",(ROUND(Registro_Compras!$L$431*Registro_Compras!$N$431,2)-ROUND(Registro_Compras!$V$431*Registro_Compras!$N$431,2)),ROUND(Registro_Compras!$O$431-Registro_Compras!$S$431,2)))</f>
        <v/>
      </c>
      <c r="F3855" s="20" t="str">
        <f>""</f>
        <v/>
      </c>
      <c r="G3855" t="str">
        <f>IF($C3855="","","Por la cancelacion del saldo al proveedor")</f>
        <v/>
      </c>
      <c r="H3855" t="str">
        <f>IF($C3855="","",Registro_Compras!$C$431)</f>
        <v/>
      </c>
    </row>
    <row r="3856" spans="1:8" x14ac:dyDescent="0.25">
      <c r="A3856" s="25" t="str">
        <f>IF($C3856="","",Registro_Compras!$Y$431)</f>
        <v/>
      </c>
      <c r="B3856" t="str">
        <f>IF($C3856="","","C"&amp;TEXT(INT((ROW()-5)/9)+1,"000")&amp;"-4")</f>
        <v/>
      </c>
      <c r="C3856" t="str">
        <f>IF(OR(Registro_Compras!$C$431="",Registro_Compras!$O$431="",Registro_Compras!$Y$431="",Registro_Compras!$F$431="NOTA DE CREDITO"),"","1041")</f>
        <v/>
      </c>
      <c r="D3856" t="str">
        <f>IF(OR(Registro_Compras!$C$431="",Registro_Compras!$O$431=""),"","Efectivo y Equivalentes - Cta. Cte. Operativa")</f>
        <v/>
      </c>
      <c r="E3856" s="20" t="str">
        <f>""</f>
        <v/>
      </c>
      <c r="F3856" s="20" t="str">
        <f>IF($C3856="","",IF(Registro_Compras!$F$431="RHE",(ROUND(Registro_Compras!$L$431*Registro_Compras!$N$431,2)-ROUND(Registro_Compras!$V$431*Registro_Compras!$N$431,2)),ROUND(Registro_Compras!$O$431-Registro_Compras!$S$431,2)))</f>
        <v/>
      </c>
      <c r="G3856" t="str">
        <f>IF($C3856="","","Por la cancelacion del saldo al proveedor")</f>
        <v/>
      </c>
      <c r="H3856" t="str">
        <f>IF($C3856="","",Registro_Compras!$C$431)</f>
        <v/>
      </c>
    </row>
    <row r="3857" spans="1:8" x14ac:dyDescent="0.25">
      <c r="A3857" s="25" t="str">
        <f>IF($C3857="","",Registro_Compras!$B$432)</f>
        <v/>
      </c>
      <c r="B3857" t="str">
        <f>IF($C3857="","","C"&amp;TEXT(INT((ROW()-5)/9)+1,"000")&amp;"-1")</f>
        <v/>
      </c>
      <c r="C3857" t="str">
        <f>IF(OR(Registro_Compras!$C$432="",Registro_Compras!$O$432=""),"",IF(Registro_Compras!$F$432="NOTA DE CREDITO","4212",IF(Registro_Compras!$M$432="","63",Registro_Compras!$M$432)))</f>
        <v/>
      </c>
      <c r="D3857" t="str">
        <f>IF(OR(Registro_Compras!$C$432="",Registro_Compras!$O$432=""),"",IF(Registro_Compras!$F$432="NOTA DE CREDITO","Cuentas por Pagar Comerciales - Terceros (Emitidas)",IF(Registro_Compras!$F$432="RHE","Honorarios Profesionales - Servicios de Terceros","Gastos de Servicios Prestados por Terceros")))</f>
        <v/>
      </c>
      <c r="E3857" s="20" t="str">
        <f>IF($C3857="","",IF(Registro_Compras!$F$432="NOTA DE CREDITO",ABS(Registro_Compras!$O$432),IF(Registro_Compras!$F$432="RHE",ROUND(Registro_Compras!$L$432*Registro_Compras!$N$432,2),ROUND(Registro_Compras!$J$432*Registro_Compras!$N$432,2))))</f>
        <v/>
      </c>
      <c r="F3857" s="20" t="str">
        <f>""</f>
        <v/>
      </c>
      <c r="G3857" t="str">
        <f>IF($C3857="","",IF(Registro_Compras!$F$432="NOTA DE CREDITO","Por la nota de credito "&amp;Registro_Compras!$C$432&amp;" de "&amp;Registro_Compras!$E$432&amp;" [PATRON POR CONFIRMAR CON CONTADOR]",IF(Registro_Compras!$F$432="RHE","Por el registro del recibo por honorarios "&amp;Registro_Compras!$C$432&amp;" de "&amp;Registro_Compras!$E$432&amp;" [PATRON POR CONFIRMAR CON CONTADOR]","Por el registro de la factura "&amp;Registro_Compras!$C$432&amp;" de "&amp;Registro_Compras!$E$432)))</f>
        <v/>
      </c>
      <c r="H3857" t="str">
        <f>IF($C3857="","",Registro_Compras!$C$432)</f>
        <v/>
      </c>
    </row>
    <row r="3858" spans="1:8" x14ac:dyDescent="0.25">
      <c r="A3858" s="25" t="str">
        <f>IF($C3858="","",Registro_Compras!$B$432)</f>
        <v/>
      </c>
      <c r="B3858" t="str">
        <f>IF($C3858="","","C"&amp;TEXT(INT((ROW()-5)/9)+1,"000")&amp;"-1")</f>
        <v/>
      </c>
      <c r="C3858" t="str">
        <f>IF(OR(Registro_Compras!$C$432="",Registro_Compras!$O$432=""),"",IF(Registro_Compras!$F$432="RHE",IF(Registro_Compras!$V$432=0,"","4017"),IF(Registro_Compras!$F$432="NOTA DE CREDITO",IF(Registro_Compras!$M$432="","63",Registro_Compras!$M$432),IF(Registro_Compras!$K$432=0,"","40111"))))</f>
        <v/>
      </c>
      <c r="D3858" t="str">
        <f>IF(OR(Registro_Compras!$C$432="",Registro_Compras!$O$432=""),"",IF(Registro_Compras!$F$432="RHE","Retencion Renta 4ta Categoria por Pagar",IF(Registro_Compras!$F$432="NOTA DE CREDITO","Gastos de Servicios Prestados por Terceros","IGV - Cuenta Propia (Credito Fiscal)")))</f>
        <v/>
      </c>
      <c r="E3858" s="20" t="str">
        <f>IF($C3858="","",IF(Registro_Compras!$F$432="FACTURA",ROUND(Registro_Compras!$K$432*Registro_Compras!$N$432,2),""))</f>
        <v/>
      </c>
      <c r="F3858" s="20" t="str">
        <f>IF($C3858="","",IF(Registro_Compras!$F$432="RHE",ROUND(Registro_Compras!$V$432*Registro_Compras!$N$432,2),IF(Registro_Compras!$F$432="NOTA DE CREDITO",ROUND(ABS(Registro_Compras!$J$432*Registro_Compras!$N$432),2),"")))</f>
        <v/>
      </c>
      <c r="G3858" t="str">
        <f>IF($C3858="","",IF(Registro_Compras!$F$432="NOTA DE CREDITO","Por la nota de credito "&amp;Registro_Compras!$C$432&amp;" de "&amp;Registro_Compras!$E$432&amp;" [PATRON POR CONFIRMAR CON CONTADOR]",IF(Registro_Compras!$F$432="RHE","Por el registro del recibo por honorarios "&amp;Registro_Compras!$C$432&amp;" de "&amp;Registro_Compras!$E$432&amp;" [PATRON POR CONFIRMAR CON CONTADOR]","Por el registro de la factura "&amp;Registro_Compras!$C$432&amp;" de "&amp;Registro_Compras!$E$432)))</f>
        <v/>
      </c>
      <c r="H3858" t="str">
        <f>IF($C3858="","",Registro_Compras!$C$432)</f>
        <v/>
      </c>
    </row>
    <row r="3859" spans="1:8" x14ac:dyDescent="0.25">
      <c r="A3859" s="25" t="str">
        <f>IF($C3859="","",Registro_Compras!$B$432)</f>
        <v/>
      </c>
      <c r="B3859" t="str">
        <f>IF($C3859="","","C"&amp;TEXT(INT((ROW()-5)/9)+1,"000")&amp;"-1")</f>
        <v/>
      </c>
      <c r="C3859" t="str">
        <f>IF(OR(Registro_Compras!$C$432="",Registro_Compras!$O$432=""),"",IF(Registro_Compras!$F$432="NOTA DE CREDITO",IF(Registro_Compras!$K$432=0,"","40111"),"4212"))</f>
        <v/>
      </c>
      <c r="D3859" t="str">
        <f>IF(OR(Registro_Compras!$C$432="",Registro_Compras!$O$432=""),"",IF(Registro_Compras!$F$432="NOTA DE CREDITO","IGV - Cuenta Propia (Credito Fiscal)","Cuentas por Pagar Comerciales - Terceros (Emitidas)"))</f>
        <v/>
      </c>
      <c r="E3859" s="20" t="str">
        <f>""</f>
        <v/>
      </c>
      <c r="F3859" s="20" t="str">
        <f>IF($C3859="","",IF(Registro_Compras!$F$432="NOTA DE CREDITO",ROUND(ABS(Registro_Compras!$K$432*Registro_Compras!$N$432),2),IF(Registro_Compras!$F$432="RHE",(ROUND(Registro_Compras!$L$432*Registro_Compras!$N$432,2)-ROUND(Registro_Compras!$V$432*Registro_Compras!$N$432,2)),Registro_Compras!$O$432)))</f>
        <v/>
      </c>
      <c r="G3859" t="str">
        <f>IF($C3859="","",IF(Registro_Compras!$F$432="NOTA DE CREDITO","Por la nota de credito "&amp;Registro_Compras!$C$432&amp;" de "&amp;Registro_Compras!$E$432&amp;" [PATRON POR CONFIRMAR CON CONTADOR]",IF(Registro_Compras!$F$432="RHE","Por el registro del recibo por honorarios "&amp;Registro_Compras!$C$432&amp;" de "&amp;Registro_Compras!$E$432&amp;" [PATRON POR CONFIRMAR CON CONTADOR]","Por el registro de la factura "&amp;Registro_Compras!$C$432&amp;" de "&amp;Registro_Compras!$E$432)))</f>
        <v/>
      </c>
      <c r="H3859" t="str">
        <f>IF($C3859="","",Registro_Compras!$C$432)</f>
        <v/>
      </c>
    </row>
    <row r="3860" spans="1:8" x14ac:dyDescent="0.25">
      <c r="A3860" s="25" t="str">
        <f>IF($C3860="","",Registro_Compras!$B$432)</f>
        <v/>
      </c>
      <c r="B3860" t="str">
        <f>IF($C3860="","","C"&amp;TEXT(INT((ROW()-5)/9)+1,"000")&amp;"-2")</f>
        <v/>
      </c>
      <c r="C3860" t="str">
        <f>IF(OR(Registro_Compras!$C$432="",Registro_Compras!$O$432=""),"",IF(Registro_Compras!$AB$432="ADMINISTRATIVO","94","95"))</f>
        <v/>
      </c>
      <c r="D3860" t="str">
        <f>IF(OR(Registro_Compras!$C$432="",Registro_Compras!$O$432=""),"",IF(Registro_Compras!$AB$432="ADMINISTRATIVO","Gastos Administrativos","Gastos de Venta y Operacion"))</f>
        <v/>
      </c>
      <c r="E3860" s="20" t="str">
        <f>IF($C3860="","",IF(Registro_Compras!$F$432="NOTA DE CREDITO","",IF(Registro_Compras!$F$432="RHE",ROUND(Registro_Compras!$L$432*Registro_Compras!$N$432,2),ROUND(Registro_Compras!$J$432*Registro_Compras!$N$432,2))))</f>
        <v/>
      </c>
      <c r="F3860" s="20" t="str">
        <f>IF($C3860="","",IF(Registro_Compras!$F$432="NOTA DE CREDITO",ROUND(ABS(Registro_Compras!$J$432*Registro_Compras!$N$432),2),""))</f>
        <v/>
      </c>
      <c r="G3860" t="str">
        <f>IF($C3860="","","Por el destino del gasto")</f>
        <v/>
      </c>
      <c r="H3860" t="str">
        <f>IF($C3860="","",Registro_Compras!$C$432)</f>
        <v/>
      </c>
    </row>
    <row r="3861" spans="1:8" x14ac:dyDescent="0.25">
      <c r="A3861" s="25" t="str">
        <f>IF($C3861="","",Registro_Compras!$B$432)</f>
        <v/>
      </c>
      <c r="B3861" t="str">
        <f>IF($C3861="","","C"&amp;TEXT(INT((ROW()-5)/9)+1,"000")&amp;"-2")</f>
        <v/>
      </c>
      <c r="C3861" t="str">
        <f>IF(OR(Registro_Compras!$C$432="",Registro_Compras!$O$432=""),"","79/791")</f>
        <v/>
      </c>
      <c r="D3861" t="str">
        <f>IF(OR(Registro_Compras!$C$432="",Registro_Compras!$O$432=""),"","Cargas Imputables a Cuentas de Costos y Gastos")</f>
        <v/>
      </c>
      <c r="E3861" s="20" t="str">
        <f>IF($C3861="","",IF(Registro_Compras!$F$432="NOTA DE CREDITO",ROUND(ABS(Registro_Compras!$J$432*Registro_Compras!$N$432),2),""))</f>
        <v/>
      </c>
      <c r="F3861" s="20" t="str">
        <f>IF($C3861="","",IF(Registro_Compras!$F$432="NOTA DE CREDITO","",IF(Registro_Compras!$F$432="RHE",ROUND(Registro_Compras!$L$432*Registro_Compras!$N$432,2),ROUND(Registro_Compras!$J$432*Registro_Compras!$N$432,2))))</f>
        <v/>
      </c>
      <c r="G3861" t="str">
        <f>IF($C3861="","","Por el destino del gasto")</f>
        <v/>
      </c>
      <c r="H3861" t="str">
        <f>IF($C3861="","",Registro_Compras!$C$432)</f>
        <v/>
      </c>
    </row>
    <row r="3862" spans="1:8" x14ac:dyDescent="0.25">
      <c r="A3862" s="25" t="str">
        <f>IF($C3862="","",Registro_Compras!$X$432)</f>
        <v/>
      </c>
      <c r="B3862" t="str">
        <f>IF($C3862="","","C"&amp;TEXT(INT((ROW()-5)/9)+1,"000")&amp;"-3")</f>
        <v/>
      </c>
      <c r="C3862" t="str">
        <f>IF(OR(Registro_Compras!$C$432="",Registro_Compras!$O$432="",Registro_Compras!$R$432&lt;&gt;"SI",Registro_Compras!$X$432=""),"","4212")</f>
        <v/>
      </c>
      <c r="D3862" t="str">
        <f>IF(OR(Registro_Compras!$C$432="",Registro_Compras!$O$432=""),"","Cuentas por Pagar Comerciales - Terceros")</f>
        <v/>
      </c>
      <c r="E3862" s="20" t="str">
        <f>IF($C3862="","",Registro_Compras!$S$432)</f>
        <v/>
      </c>
      <c r="F3862" s="20" t="str">
        <f>""</f>
        <v/>
      </c>
      <c r="G3862" t="str">
        <f>IF($C3862="","","Por el deposito de la detraccion en el Banco de la Nacion")</f>
        <v/>
      </c>
      <c r="H3862" t="str">
        <f>IF($C3862="","",Registro_Compras!$C$432)</f>
        <v/>
      </c>
    </row>
    <row r="3863" spans="1:8" x14ac:dyDescent="0.25">
      <c r="A3863" s="25" t="str">
        <f>IF($C3863="","",Registro_Compras!$X$432)</f>
        <v/>
      </c>
      <c r="B3863" t="str">
        <f>IF($C3863="","","C"&amp;TEXT(INT((ROW()-5)/9)+1,"000")&amp;"-3")</f>
        <v/>
      </c>
      <c r="C3863" t="str">
        <f>IF(OR(Registro_Compras!$C$432="",Registro_Compras!$O$432="",Registro_Compras!$R$432&lt;&gt;"SI",Registro_Compras!$X$432=""),"","1041")</f>
        <v/>
      </c>
      <c r="D3863" t="str">
        <f>IF(OR(Registro_Compras!$C$432="",Registro_Compras!$O$432=""),"","Efectivo y Equivalentes - Cta. Cte. Operativa")</f>
        <v/>
      </c>
      <c r="E3863" s="20" t="str">
        <f>""</f>
        <v/>
      </c>
      <c r="F3863" s="20" t="str">
        <f>IF($C3863="","",Registro_Compras!$S$432)</f>
        <v/>
      </c>
      <c r="G3863" t="str">
        <f>IF($C3863="","","Por el deposito de la detraccion en el Banco de la Nacion")</f>
        <v/>
      </c>
      <c r="H3863" t="str">
        <f>IF($C3863="","",Registro_Compras!$C$432)</f>
        <v/>
      </c>
    </row>
    <row r="3864" spans="1:8" x14ac:dyDescent="0.25">
      <c r="A3864" s="25" t="str">
        <f>IF($C3864="","",Registro_Compras!$Y$432)</f>
        <v/>
      </c>
      <c r="B3864" t="str">
        <f>IF($C3864="","","C"&amp;TEXT(INT((ROW()-5)/9)+1,"000")&amp;"-4")</f>
        <v/>
      </c>
      <c r="C3864" t="str">
        <f>IF(OR(Registro_Compras!$C$432="",Registro_Compras!$O$432="",Registro_Compras!$Y$432="",Registro_Compras!$F$432="NOTA DE CREDITO"),"","4212")</f>
        <v/>
      </c>
      <c r="D3864" t="str">
        <f>IF(OR(Registro_Compras!$C$432="",Registro_Compras!$O$432=""),"","Cuentas por Pagar Comerciales - Terceros")</f>
        <v/>
      </c>
      <c r="E3864" s="20" t="str">
        <f>IF($C3864="","",IF(Registro_Compras!$F$432="RHE",(ROUND(Registro_Compras!$L$432*Registro_Compras!$N$432,2)-ROUND(Registro_Compras!$V$432*Registro_Compras!$N$432,2)),ROUND(Registro_Compras!$O$432-Registro_Compras!$S$432,2)))</f>
        <v/>
      </c>
      <c r="F3864" s="20" t="str">
        <f>""</f>
        <v/>
      </c>
      <c r="G3864" t="str">
        <f>IF($C3864="","","Por la cancelacion del saldo al proveedor")</f>
        <v/>
      </c>
      <c r="H3864" t="str">
        <f>IF($C3864="","",Registro_Compras!$C$432)</f>
        <v/>
      </c>
    </row>
    <row r="3865" spans="1:8" x14ac:dyDescent="0.25">
      <c r="A3865" s="25" t="str">
        <f>IF($C3865="","",Registro_Compras!$Y$432)</f>
        <v/>
      </c>
      <c r="B3865" t="str">
        <f>IF($C3865="","","C"&amp;TEXT(INT((ROW()-5)/9)+1,"000")&amp;"-4")</f>
        <v/>
      </c>
      <c r="C3865" t="str">
        <f>IF(OR(Registro_Compras!$C$432="",Registro_Compras!$O$432="",Registro_Compras!$Y$432="",Registro_Compras!$F$432="NOTA DE CREDITO"),"","1041")</f>
        <v/>
      </c>
      <c r="D3865" t="str">
        <f>IF(OR(Registro_Compras!$C$432="",Registro_Compras!$O$432=""),"","Efectivo y Equivalentes - Cta. Cte. Operativa")</f>
        <v/>
      </c>
      <c r="E3865" s="20" t="str">
        <f>""</f>
        <v/>
      </c>
      <c r="F3865" s="20" t="str">
        <f>IF($C3865="","",IF(Registro_Compras!$F$432="RHE",(ROUND(Registro_Compras!$L$432*Registro_Compras!$N$432,2)-ROUND(Registro_Compras!$V$432*Registro_Compras!$N$432,2)),ROUND(Registro_Compras!$O$432-Registro_Compras!$S$432,2)))</f>
        <v/>
      </c>
      <c r="G3865" t="str">
        <f>IF($C3865="","","Por la cancelacion del saldo al proveedor")</f>
        <v/>
      </c>
      <c r="H3865" t="str">
        <f>IF($C3865="","",Registro_Compras!$C$432)</f>
        <v/>
      </c>
    </row>
    <row r="3866" spans="1:8" x14ac:dyDescent="0.25">
      <c r="A3866" s="25" t="str">
        <f>IF($C3866="","",Registro_Compras!$B$433)</f>
        <v/>
      </c>
      <c r="B3866" t="str">
        <f>IF($C3866="","","C"&amp;TEXT(INT((ROW()-5)/9)+1,"000")&amp;"-1")</f>
        <v/>
      </c>
      <c r="C3866" t="str">
        <f>IF(OR(Registro_Compras!$C$433="",Registro_Compras!$O$433=""),"",IF(Registro_Compras!$F$433="NOTA DE CREDITO","4212",IF(Registro_Compras!$M$433="","63",Registro_Compras!$M$433)))</f>
        <v/>
      </c>
      <c r="D3866" t="str">
        <f>IF(OR(Registro_Compras!$C$433="",Registro_Compras!$O$433=""),"",IF(Registro_Compras!$F$433="NOTA DE CREDITO","Cuentas por Pagar Comerciales - Terceros (Emitidas)",IF(Registro_Compras!$F$433="RHE","Honorarios Profesionales - Servicios de Terceros","Gastos de Servicios Prestados por Terceros")))</f>
        <v/>
      </c>
      <c r="E3866" s="20" t="str">
        <f>IF($C3866="","",IF(Registro_Compras!$F$433="NOTA DE CREDITO",ABS(Registro_Compras!$O$433),IF(Registro_Compras!$F$433="RHE",ROUND(Registro_Compras!$L$433*Registro_Compras!$N$433,2),ROUND(Registro_Compras!$J$433*Registro_Compras!$N$433,2))))</f>
        <v/>
      </c>
      <c r="F3866" s="20" t="str">
        <f>""</f>
        <v/>
      </c>
      <c r="G3866" t="str">
        <f>IF($C3866="","",IF(Registro_Compras!$F$433="NOTA DE CREDITO","Por la nota de credito "&amp;Registro_Compras!$C$433&amp;" de "&amp;Registro_Compras!$E$433&amp;" [PATRON POR CONFIRMAR CON CONTADOR]",IF(Registro_Compras!$F$433="RHE","Por el registro del recibo por honorarios "&amp;Registro_Compras!$C$433&amp;" de "&amp;Registro_Compras!$E$433&amp;" [PATRON POR CONFIRMAR CON CONTADOR]","Por el registro de la factura "&amp;Registro_Compras!$C$433&amp;" de "&amp;Registro_Compras!$E$433)))</f>
        <v/>
      </c>
      <c r="H3866" t="str">
        <f>IF($C3866="","",Registro_Compras!$C$433)</f>
        <v/>
      </c>
    </row>
    <row r="3867" spans="1:8" x14ac:dyDescent="0.25">
      <c r="A3867" s="25" t="str">
        <f>IF($C3867="","",Registro_Compras!$B$433)</f>
        <v/>
      </c>
      <c r="B3867" t="str">
        <f>IF($C3867="","","C"&amp;TEXT(INT((ROW()-5)/9)+1,"000")&amp;"-1")</f>
        <v/>
      </c>
      <c r="C3867" t="str">
        <f>IF(OR(Registro_Compras!$C$433="",Registro_Compras!$O$433=""),"",IF(Registro_Compras!$F$433="RHE",IF(Registro_Compras!$V$433=0,"","4017"),IF(Registro_Compras!$F$433="NOTA DE CREDITO",IF(Registro_Compras!$M$433="","63",Registro_Compras!$M$433),IF(Registro_Compras!$K$433=0,"","40111"))))</f>
        <v/>
      </c>
      <c r="D3867" t="str">
        <f>IF(OR(Registro_Compras!$C$433="",Registro_Compras!$O$433=""),"",IF(Registro_Compras!$F$433="RHE","Retencion Renta 4ta Categoria por Pagar",IF(Registro_Compras!$F$433="NOTA DE CREDITO","Gastos de Servicios Prestados por Terceros","IGV - Cuenta Propia (Credito Fiscal)")))</f>
        <v/>
      </c>
      <c r="E3867" s="20" t="str">
        <f>IF($C3867="","",IF(Registro_Compras!$F$433="FACTURA",ROUND(Registro_Compras!$K$433*Registro_Compras!$N$433,2),""))</f>
        <v/>
      </c>
      <c r="F3867" s="20" t="str">
        <f>IF($C3867="","",IF(Registro_Compras!$F$433="RHE",ROUND(Registro_Compras!$V$433*Registro_Compras!$N$433,2),IF(Registro_Compras!$F$433="NOTA DE CREDITO",ROUND(ABS(Registro_Compras!$J$433*Registro_Compras!$N$433),2),"")))</f>
        <v/>
      </c>
      <c r="G3867" t="str">
        <f>IF($C3867="","",IF(Registro_Compras!$F$433="NOTA DE CREDITO","Por la nota de credito "&amp;Registro_Compras!$C$433&amp;" de "&amp;Registro_Compras!$E$433&amp;" [PATRON POR CONFIRMAR CON CONTADOR]",IF(Registro_Compras!$F$433="RHE","Por el registro del recibo por honorarios "&amp;Registro_Compras!$C$433&amp;" de "&amp;Registro_Compras!$E$433&amp;" [PATRON POR CONFIRMAR CON CONTADOR]","Por el registro de la factura "&amp;Registro_Compras!$C$433&amp;" de "&amp;Registro_Compras!$E$433)))</f>
        <v/>
      </c>
      <c r="H3867" t="str">
        <f>IF($C3867="","",Registro_Compras!$C$433)</f>
        <v/>
      </c>
    </row>
    <row r="3868" spans="1:8" x14ac:dyDescent="0.25">
      <c r="A3868" s="25" t="str">
        <f>IF($C3868="","",Registro_Compras!$B$433)</f>
        <v/>
      </c>
      <c r="B3868" t="str">
        <f>IF($C3868="","","C"&amp;TEXT(INT((ROW()-5)/9)+1,"000")&amp;"-1")</f>
        <v/>
      </c>
      <c r="C3868" t="str">
        <f>IF(OR(Registro_Compras!$C$433="",Registro_Compras!$O$433=""),"",IF(Registro_Compras!$F$433="NOTA DE CREDITO",IF(Registro_Compras!$K$433=0,"","40111"),"4212"))</f>
        <v/>
      </c>
      <c r="D3868" t="str">
        <f>IF(OR(Registro_Compras!$C$433="",Registro_Compras!$O$433=""),"",IF(Registro_Compras!$F$433="NOTA DE CREDITO","IGV - Cuenta Propia (Credito Fiscal)","Cuentas por Pagar Comerciales - Terceros (Emitidas)"))</f>
        <v/>
      </c>
      <c r="E3868" s="20" t="str">
        <f>""</f>
        <v/>
      </c>
      <c r="F3868" s="20" t="str">
        <f>IF($C3868="","",IF(Registro_Compras!$F$433="NOTA DE CREDITO",ROUND(ABS(Registro_Compras!$K$433*Registro_Compras!$N$433),2),IF(Registro_Compras!$F$433="RHE",(ROUND(Registro_Compras!$L$433*Registro_Compras!$N$433,2)-ROUND(Registro_Compras!$V$433*Registro_Compras!$N$433,2)),Registro_Compras!$O$433)))</f>
        <v/>
      </c>
      <c r="G3868" t="str">
        <f>IF($C3868="","",IF(Registro_Compras!$F$433="NOTA DE CREDITO","Por la nota de credito "&amp;Registro_Compras!$C$433&amp;" de "&amp;Registro_Compras!$E$433&amp;" [PATRON POR CONFIRMAR CON CONTADOR]",IF(Registro_Compras!$F$433="RHE","Por el registro del recibo por honorarios "&amp;Registro_Compras!$C$433&amp;" de "&amp;Registro_Compras!$E$433&amp;" [PATRON POR CONFIRMAR CON CONTADOR]","Por el registro de la factura "&amp;Registro_Compras!$C$433&amp;" de "&amp;Registro_Compras!$E$433)))</f>
        <v/>
      </c>
      <c r="H3868" t="str">
        <f>IF($C3868="","",Registro_Compras!$C$433)</f>
        <v/>
      </c>
    </row>
    <row r="3869" spans="1:8" x14ac:dyDescent="0.25">
      <c r="A3869" s="25" t="str">
        <f>IF($C3869="","",Registro_Compras!$B$433)</f>
        <v/>
      </c>
      <c r="B3869" t="str">
        <f>IF($C3869="","","C"&amp;TEXT(INT((ROW()-5)/9)+1,"000")&amp;"-2")</f>
        <v/>
      </c>
      <c r="C3869" t="str">
        <f>IF(OR(Registro_Compras!$C$433="",Registro_Compras!$O$433=""),"",IF(Registro_Compras!$AB$433="ADMINISTRATIVO","94","95"))</f>
        <v/>
      </c>
      <c r="D3869" t="str">
        <f>IF(OR(Registro_Compras!$C$433="",Registro_Compras!$O$433=""),"",IF(Registro_Compras!$AB$433="ADMINISTRATIVO","Gastos Administrativos","Gastos de Venta y Operacion"))</f>
        <v/>
      </c>
      <c r="E3869" s="20" t="str">
        <f>IF($C3869="","",IF(Registro_Compras!$F$433="NOTA DE CREDITO","",IF(Registro_Compras!$F$433="RHE",ROUND(Registro_Compras!$L$433*Registro_Compras!$N$433,2),ROUND(Registro_Compras!$J$433*Registro_Compras!$N$433,2))))</f>
        <v/>
      </c>
      <c r="F3869" s="20" t="str">
        <f>IF($C3869="","",IF(Registro_Compras!$F$433="NOTA DE CREDITO",ROUND(ABS(Registro_Compras!$J$433*Registro_Compras!$N$433),2),""))</f>
        <v/>
      </c>
      <c r="G3869" t="str">
        <f>IF($C3869="","","Por el destino del gasto")</f>
        <v/>
      </c>
      <c r="H3869" t="str">
        <f>IF($C3869="","",Registro_Compras!$C$433)</f>
        <v/>
      </c>
    </row>
    <row r="3870" spans="1:8" x14ac:dyDescent="0.25">
      <c r="A3870" s="25" t="str">
        <f>IF($C3870="","",Registro_Compras!$B$433)</f>
        <v/>
      </c>
      <c r="B3870" t="str">
        <f>IF($C3870="","","C"&amp;TEXT(INT((ROW()-5)/9)+1,"000")&amp;"-2")</f>
        <v/>
      </c>
      <c r="C3870" t="str">
        <f>IF(OR(Registro_Compras!$C$433="",Registro_Compras!$O$433=""),"","79/791")</f>
        <v/>
      </c>
      <c r="D3870" t="str">
        <f>IF(OR(Registro_Compras!$C$433="",Registro_Compras!$O$433=""),"","Cargas Imputables a Cuentas de Costos y Gastos")</f>
        <v/>
      </c>
      <c r="E3870" s="20" t="str">
        <f>IF($C3870="","",IF(Registro_Compras!$F$433="NOTA DE CREDITO",ROUND(ABS(Registro_Compras!$J$433*Registro_Compras!$N$433),2),""))</f>
        <v/>
      </c>
      <c r="F3870" s="20" t="str">
        <f>IF($C3870="","",IF(Registro_Compras!$F$433="NOTA DE CREDITO","",IF(Registro_Compras!$F$433="RHE",ROUND(Registro_Compras!$L$433*Registro_Compras!$N$433,2),ROUND(Registro_Compras!$J$433*Registro_Compras!$N$433,2))))</f>
        <v/>
      </c>
      <c r="G3870" t="str">
        <f>IF($C3870="","","Por el destino del gasto")</f>
        <v/>
      </c>
      <c r="H3870" t="str">
        <f>IF($C3870="","",Registro_Compras!$C$433)</f>
        <v/>
      </c>
    </row>
    <row r="3871" spans="1:8" x14ac:dyDescent="0.25">
      <c r="A3871" s="25" t="str">
        <f>IF($C3871="","",Registro_Compras!$X$433)</f>
        <v/>
      </c>
      <c r="B3871" t="str">
        <f>IF($C3871="","","C"&amp;TEXT(INT((ROW()-5)/9)+1,"000")&amp;"-3")</f>
        <v/>
      </c>
      <c r="C3871" t="str">
        <f>IF(OR(Registro_Compras!$C$433="",Registro_Compras!$O$433="",Registro_Compras!$R$433&lt;&gt;"SI",Registro_Compras!$X$433=""),"","4212")</f>
        <v/>
      </c>
      <c r="D3871" t="str">
        <f>IF(OR(Registro_Compras!$C$433="",Registro_Compras!$O$433=""),"","Cuentas por Pagar Comerciales - Terceros")</f>
        <v/>
      </c>
      <c r="E3871" s="20" t="str">
        <f>IF($C3871="","",Registro_Compras!$S$433)</f>
        <v/>
      </c>
      <c r="F3871" s="20" t="str">
        <f>""</f>
        <v/>
      </c>
      <c r="G3871" t="str">
        <f>IF($C3871="","","Por el deposito de la detraccion en el Banco de la Nacion")</f>
        <v/>
      </c>
      <c r="H3871" t="str">
        <f>IF($C3871="","",Registro_Compras!$C$433)</f>
        <v/>
      </c>
    </row>
    <row r="3872" spans="1:8" x14ac:dyDescent="0.25">
      <c r="A3872" s="25" t="str">
        <f>IF($C3872="","",Registro_Compras!$X$433)</f>
        <v/>
      </c>
      <c r="B3872" t="str">
        <f>IF($C3872="","","C"&amp;TEXT(INT((ROW()-5)/9)+1,"000")&amp;"-3")</f>
        <v/>
      </c>
      <c r="C3872" t="str">
        <f>IF(OR(Registro_Compras!$C$433="",Registro_Compras!$O$433="",Registro_Compras!$R$433&lt;&gt;"SI",Registro_Compras!$X$433=""),"","1041")</f>
        <v/>
      </c>
      <c r="D3872" t="str">
        <f>IF(OR(Registro_Compras!$C$433="",Registro_Compras!$O$433=""),"","Efectivo y Equivalentes - Cta. Cte. Operativa")</f>
        <v/>
      </c>
      <c r="E3872" s="20" t="str">
        <f>""</f>
        <v/>
      </c>
      <c r="F3872" s="20" t="str">
        <f>IF($C3872="","",Registro_Compras!$S$433)</f>
        <v/>
      </c>
      <c r="G3872" t="str">
        <f>IF($C3872="","","Por el deposito de la detraccion en el Banco de la Nacion")</f>
        <v/>
      </c>
      <c r="H3872" t="str">
        <f>IF($C3872="","",Registro_Compras!$C$433)</f>
        <v/>
      </c>
    </row>
    <row r="3873" spans="1:8" x14ac:dyDescent="0.25">
      <c r="A3873" s="25" t="str">
        <f>IF($C3873="","",Registro_Compras!$Y$433)</f>
        <v/>
      </c>
      <c r="B3873" t="str">
        <f>IF($C3873="","","C"&amp;TEXT(INT((ROW()-5)/9)+1,"000")&amp;"-4")</f>
        <v/>
      </c>
      <c r="C3873" t="str">
        <f>IF(OR(Registro_Compras!$C$433="",Registro_Compras!$O$433="",Registro_Compras!$Y$433="",Registro_Compras!$F$433="NOTA DE CREDITO"),"","4212")</f>
        <v/>
      </c>
      <c r="D3873" t="str">
        <f>IF(OR(Registro_Compras!$C$433="",Registro_Compras!$O$433=""),"","Cuentas por Pagar Comerciales - Terceros")</f>
        <v/>
      </c>
      <c r="E3873" s="20" t="str">
        <f>IF($C3873="","",IF(Registro_Compras!$F$433="RHE",(ROUND(Registro_Compras!$L$433*Registro_Compras!$N$433,2)-ROUND(Registro_Compras!$V$433*Registro_Compras!$N$433,2)),ROUND(Registro_Compras!$O$433-Registro_Compras!$S$433,2)))</f>
        <v/>
      </c>
      <c r="F3873" s="20" t="str">
        <f>""</f>
        <v/>
      </c>
      <c r="G3873" t="str">
        <f>IF($C3873="","","Por la cancelacion del saldo al proveedor")</f>
        <v/>
      </c>
      <c r="H3873" t="str">
        <f>IF($C3873="","",Registro_Compras!$C$433)</f>
        <v/>
      </c>
    </row>
    <row r="3874" spans="1:8" x14ac:dyDescent="0.25">
      <c r="A3874" s="25" t="str">
        <f>IF($C3874="","",Registro_Compras!$Y$433)</f>
        <v/>
      </c>
      <c r="B3874" t="str">
        <f>IF($C3874="","","C"&amp;TEXT(INT((ROW()-5)/9)+1,"000")&amp;"-4")</f>
        <v/>
      </c>
      <c r="C3874" t="str">
        <f>IF(OR(Registro_Compras!$C$433="",Registro_Compras!$O$433="",Registro_Compras!$Y$433="",Registro_Compras!$F$433="NOTA DE CREDITO"),"","1041")</f>
        <v/>
      </c>
      <c r="D3874" t="str">
        <f>IF(OR(Registro_Compras!$C$433="",Registro_Compras!$O$433=""),"","Efectivo y Equivalentes - Cta. Cte. Operativa")</f>
        <v/>
      </c>
      <c r="E3874" s="20" t="str">
        <f>""</f>
        <v/>
      </c>
      <c r="F3874" s="20" t="str">
        <f>IF($C3874="","",IF(Registro_Compras!$F$433="RHE",(ROUND(Registro_Compras!$L$433*Registro_Compras!$N$433,2)-ROUND(Registro_Compras!$V$433*Registro_Compras!$N$433,2)),ROUND(Registro_Compras!$O$433-Registro_Compras!$S$433,2)))</f>
        <v/>
      </c>
      <c r="G3874" t="str">
        <f>IF($C3874="","","Por la cancelacion del saldo al proveedor")</f>
        <v/>
      </c>
      <c r="H3874" t="str">
        <f>IF($C3874="","",Registro_Compras!$C$433)</f>
        <v/>
      </c>
    </row>
    <row r="3875" spans="1:8" x14ac:dyDescent="0.25">
      <c r="A3875" s="25" t="str">
        <f>IF($C3875="","",Registro_Compras!$B$434)</f>
        <v/>
      </c>
      <c r="B3875" t="str">
        <f>IF($C3875="","","C"&amp;TEXT(INT((ROW()-5)/9)+1,"000")&amp;"-1")</f>
        <v/>
      </c>
      <c r="C3875" t="str">
        <f>IF(OR(Registro_Compras!$C$434="",Registro_Compras!$O$434=""),"",IF(Registro_Compras!$F$434="NOTA DE CREDITO","4212",IF(Registro_Compras!$M$434="","63",Registro_Compras!$M$434)))</f>
        <v/>
      </c>
      <c r="D3875" t="str">
        <f>IF(OR(Registro_Compras!$C$434="",Registro_Compras!$O$434=""),"",IF(Registro_Compras!$F$434="NOTA DE CREDITO","Cuentas por Pagar Comerciales - Terceros (Emitidas)",IF(Registro_Compras!$F$434="RHE","Honorarios Profesionales - Servicios de Terceros","Gastos de Servicios Prestados por Terceros")))</f>
        <v/>
      </c>
      <c r="E3875" s="20" t="str">
        <f>IF($C3875="","",IF(Registro_Compras!$F$434="NOTA DE CREDITO",ABS(Registro_Compras!$O$434),IF(Registro_Compras!$F$434="RHE",ROUND(Registro_Compras!$L$434*Registro_Compras!$N$434,2),ROUND(Registro_Compras!$J$434*Registro_Compras!$N$434,2))))</f>
        <v/>
      </c>
      <c r="F3875" s="20" t="str">
        <f>""</f>
        <v/>
      </c>
      <c r="G3875" t="str">
        <f>IF($C3875="","",IF(Registro_Compras!$F$434="NOTA DE CREDITO","Por la nota de credito "&amp;Registro_Compras!$C$434&amp;" de "&amp;Registro_Compras!$E$434&amp;" [PATRON POR CONFIRMAR CON CONTADOR]",IF(Registro_Compras!$F$434="RHE","Por el registro del recibo por honorarios "&amp;Registro_Compras!$C$434&amp;" de "&amp;Registro_Compras!$E$434&amp;" [PATRON POR CONFIRMAR CON CONTADOR]","Por el registro de la factura "&amp;Registro_Compras!$C$434&amp;" de "&amp;Registro_Compras!$E$434)))</f>
        <v/>
      </c>
      <c r="H3875" t="str">
        <f>IF($C3875="","",Registro_Compras!$C$434)</f>
        <v/>
      </c>
    </row>
    <row r="3876" spans="1:8" x14ac:dyDescent="0.25">
      <c r="A3876" s="25" t="str">
        <f>IF($C3876="","",Registro_Compras!$B$434)</f>
        <v/>
      </c>
      <c r="B3876" t="str">
        <f>IF($C3876="","","C"&amp;TEXT(INT((ROW()-5)/9)+1,"000")&amp;"-1")</f>
        <v/>
      </c>
      <c r="C3876" t="str">
        <f>IF(OR(Registro_Compras!$C$434="",Registro_Compras!$O$434=""),"",IF(Registro_Compras!$F$434="RHE",IF(Registro_Compras!$V$434=0,"","4017"),IF(Registro_Compras!$F$434="NOTA DE CREDITO",IF(Registro_Compras!$M$434="","63",Registro_Compras!$M$434),IF(Registro_Compras!$K$434=0,"","40111"))))</f>
        <v/>
      </c>
      <c r="D3876" t="str">
        <f>IF(OR(Registro_Compras!$C$434="",Registro_Compras!$O$434=""),"",IF(Registro_Compras!$F$434="RHE","Retencion Renta 4ta Categoria por Pagar",IF(Registro_Compras!$F$434="NOTA DE CREDITO","Gastos de Servicios Prestados por Terceros","IGV - Cuenta Propia (Credito Fiscal)")))</f>
        <v/>
      </c>
      <c r="E3876" s="20" t="str">
        <f>IF($C3876="","",IF(Registro_Compras!$F$434="FACTURA",ROUND(Registro_Compras!$K$434*Registro_Compras!$N$434,2),""))</f>
        <v/>
      </c>
      <c r="F3876" s="20" t="str">
        <f>IF($C3876="","",IF(Registro_Compras!$F$434="RHE",ROUND(Registro_Compras!$V$434*Registro_Compras!$N$434,2),IF(Registro_Compras!$F$434="NOTA DE CREDITO",ROUND(ABS(Registro_Compras!$J$434*Registro_Compras!$N$434),2),"")))</f>
        <v/>
      </c>
      <c r="G3876" t="str">
        <f>IF($C3876="","",IF(Registro_Compras!$F$434="NOTA DE CREDITO","Por la nota de credito "&amp;Registro_Compras!$C$434&amp;" de "&amp;Registro_Compras!$E$434&amp;" [PATRON POR CONFIRMAR CON CONTADOR]",IF(Registro_Compras!$F$434="RHE","Por el registro del recibo por honorarios "&amp;Registro_Compras!$C$434&amp;" de "&amp;Registro_Compras!$E$434&amp;" [PATRON POR CONFIRMAR CON CONTADOR]","Por el registro de la factura "&amp;Registro_Compras!$C$434&amp;" de "&amp;Registro_Compras!$E$434)))</f>
        <v/>
      </c>
      <c r="H3876" t="str">
        <f>IF($C3876="","",Registro_Compras!$C$434)</f>
        <v/>
      </c>
    </row>
    <row r="3877" spans="1:8" x14ac:dyDescent="0.25">
      <c r="A3877" s="25" t="str">
        <f>IF($C3877="","",Registro_Compras!$B$434)</f>
        <v/>
      </c>
      <c r="B3877" t="str">
        <f>IF($C3877="","","C"&amp;TEXT(INT((ROW()-5)/9)+1,"000")&amp;"-1")</f>
        <v/>
      </c>
      <c r="C3877" t="str">
        <f>IF(OR(Registro_Compras!$C$434="",Registro_Compras!$O$434=""),"",IF(Registro_Compras!$F$434="NOTA DE CREDITO",IF(Registro_Compras!$K$434=0,"","40111"),"4212"))</f>
        <v/>
      </c>
      <c r="D3877" t="str">
        <f>IF(OR(Registro_Compras!$C$434="",Registro_Compras!$O$434=""),"",IF(Registro_Compras!$F$434="NOTA DE CREDITO","IGV - Cuenta Propia (Credito Fiscal)","Cuentas por Pagar Comerciales - Terceros (Emitidas)"))</f>
        <v/>
      </c>
      <c r="E3877" s="20" t="str">
        <f>""</f>
        <v/>
      </c>
      <c r="F3877" s="20" t="str">
        <f>IF($C3877="","",IF(Registro_Compras!$F$434="NOTA DE CREDITO",ROUND(ABS(Registro_Compras!$K$434*Registro_Compras!$N$434),2),IF(Registro_Compras!$F$434="RHE",(ROUND(Registro_Compras!$L$434*Registro_Compras!$N$434,2)-ROUND(Registro_Compras!$V$434*Registro_Compras!$N$434,2)),Registro_Compras!$O$434)))</f>
        <v/>
      </c>
      <c r="G3877" t="str">
        <f>IF($C3877="","",IF(Registro_Compras!$F$434="NOTA DE CREDITO","Por la nota de credito "&amp;Registro_Compras!$C$434&amp;" de "&amp;Registro_Compras!$E$434&amp;" [PATRON POR CONFIRMAR CON CONTADOR]",IF(Registro_Compras!$F$434="RHE","Por el registro del recibo por honorarios "&amp;Registro_Compras!$C$434&amp;" de "&amp;Registro_Compras!$E$434&amp;" [PATRON POR CONFIRMAR CON CONTADOR]","Por el registro de la factura "&amp;Registro_Compras!$C$434&amp;" de "&amp;Registro_Compras!$E$434)))</f>
        <v/>
      </c>
      <c r="H3877" t="str">
        <f>IF($C3877="","",Registro_Compras!$C$434)</f>
        <v/>
      </c>
    </row>
    <row r="3878" spans="1:8" x14ac:dyDescent="0.25">
      <c r="A3878" s="25" t="str">
        <f>IF($C3878="","",Registro_Compras!$B$434)</f>
        <v/>
      </c>
      <c r="B3878" t="str">
        <f>IF($C3878="","","C"&amp;TEXT(INT((ROW()-5)/9)+1,"000")&amp;"-2")</f>
        <v/>
      </c>
      <c r="C3878" t="str">
        <f>IF(OR(Registro_Compras!$C$434="",Registro_Compras!$O$434=""),"",IF(Registro_Compras!$AB$434="ADMINISTRATIVO","94","95"))</f>
        <v/>
      </c>
      <c r="D3878" t="str">
        <f>IF(OR(Registro_Compras!$C$434="",Registro_Compras!$O$434=""),"",IF(Registro_Compras!$AB$434="ADMINISTRATIVO","Gastos Administrativos","Gastos de Venta y Operacion"))</f>
        <v/>
      </c>
      <c r="E3878" s="20" t="str">
        <f>IF($C3878="","",IF(Registro_Compras!$F$434="NOTA DE CREDITO","",IF(Registro_Compras!$F$434="RHE",ROUND(Registro_Compras!$L$434*Registro_Compras!$N$434,2),ROUND(Registro_Compras!$J$434*Registro_Compras!$N$434,2))))</f>
        <v/>
      </c>
      <c r="F3878" s="20" t="str">
        <f>IF($C3878="","",IF(Registro_Compras!$F$434="NOTA DE CREDITO",ROUND(ABS(Registro_Compras!$J$434*Registro_Compras!$N$434),2),""))</f>
        <v/>
      </c>
      <c r="G3878" t="str">
        <f>IF($C3878="","","Por el destino del gasto")</f>
        <v/>
      </c>
      <c r="H3878" t="str">
        <f>IF($C3878="","",Registro_Compras!$C$434)</f>
        <v/>
      </c>
    </row>
    <row r="3879" spans="1:8" x14ac:dyDescent="0.25">
      <c r="A3879" s="25" t="str">
        <f>IF($C3879="","",Registro_Compras!$B$434)</f>
        <v/>
      </c>
      <c r="B3879" t="str">
        <f>IF($C3879="","","C"&amp;TEXT(INT((ROW()-5)/9)+1,"000")&amp;"-2")</f>
        <v/>
      </c>
      <c r="C3879" t="str">
        <f>IF(OR(Registro_Compras!$C$434="",Registro_Compras!$O$434=""),"","79/791")</f>
        <v/>
      </c>
      <c r="D3879" t="str">
        <f>IF(OR(Registro_Compras!$C$434="",Registro_Compras!$O$434=""),"","Cargas Imputables a Cuentas de Costos y Gastos")</f>
        <v/>
      </c>
      <c r="E3879" s="20" t="str">
        <f>IF($C3879="","",IF(Registro_Compras!$F$434="NOTA DE CREDITO",ROUND(ABS(Registro_Compras!$J$434*Registro_Compras!$N$434),2),""))</f>
        <v/>
      </c>
      <c r="F3879" s="20" t="str">
        <f>IF($C3879="","",IF(Registro_Compras!$F$434="NOTA DE CREDITO","",IF(Registro_Compras!$F$434="RHE",ROUND(Registro_Compras!$L$434*Registro_Compras!$N$434,2),ROUND(Registro_Compras!$J$434*Registro_Compras!$N$434,2))))</f>
        <v/>
      </c>
      <c r="G3879" t="str">
        <f>IF($C3879="","","Por el destino del gasto")</f>
        <v/>
      </c>
      <c r="H3879" t="str">
        <f>IF($C3879="","",Registro_Compras!$C$434)</f>
        <v/>
      </c>
    </row>
    <row r="3880" spans="1:8" x14ac:dyDescent="0.25">
      <c r="A3880" s="25" t="str">
        <f>IF($C3880="","",Registro_Compras!$X$434)</f>
        <v/>
      </c>
      <c r="B3880" t="str">
        <f>IF($C3880="","","C"&amp;TEXT(INT((ROW()-5)/9)+1,"000")&amp;"-3")</f>
        <v/>
      </c>
      <c r="C3880" t="str">
        <f>IF(OR(Registro_Compras!$C$434="",Registro_Compras!$O$434="",Registro_Compras!$R$434&lt;&gt;"SI",Registro_Compras!$X$434=""),"","4212")</f>
        <v/>
      </c>
      <c r="D3880" t="str">
        <f>IF(OR(Registro_Compras!$C$434="",Registro_Compras!$O$434=""),"","Cuentas por Pagar Comerciales - Terceros")</f>
        <v/>
      </c>
      <c r="E3880" s="20" t="str">
        <f>IF($C3880="","",Registro_Compras!$S$434)</f>
        <v/>
      </c>
      <c r="F3880" s="20" t="str">
        <f>""</f>
        <v/>
      </c>
      <c r="G3880" t="str">
        <f>IF($C3880="","","Por el deposito de la detraccion en el Banco de la Nacion")</f>
        <v/>
      </c>
      <c r="H3880" t="str">
        <f>IF($C3880="","",Registro_Compras!$C$434)</f>
        <v/>
      </c>
    </row>
    <row r="3881" spans="1:8" x14ac:dyDescent="0.25">
      <c r="A3881" s="25" t="str">
        <f>IF($C3881="","",Registro_Compras!$X$434)</f>
        <v/>
      </c>
      <c r="B3881" t="str">
        <f>IF($C3881="","","C"&amp;TEXT(INT((ROW()-5)/9)+1,"000")&amp;"-3")</f>
        <v/>
      </c>
      <c r="C3881" t="str">
        <f>IF(OR(Registro_Compras!$C$434="",Registro_Compras!$O$434="",Registro_Compras!$R$434&lt;&gt;"SI",Registro_Compras!$X$434=""),"","1041")</f>
        <v/>
      </c>
      <c r="D3881" t="str">
        <f>IF(OR(Registro_Compras!$C$434="",Registro_Compras!$O$434=""),"","Efectivo y Equivalentes - Cta. Cte. Operativa")</f>
        <v/>
      </c>
      <c r="E3881" s="20" t="str">
        <f>""</f>
        <v/>
      </c>
      <c r="F3881" s="20" t="str">
        <f>IF($C3881="","",Registro_Compras!$S$434)</f>
        <v/>
      </c>
      <c r="G3881" t="str">
        <f>IF($C3881="","","Por el deposito de la detraccion en el Banco de la Nacion")</f>
        <v/>
      </c>
      <c r="H3881" t="str">
        <f>IF($C3881="","",Registro_Compras!$C$434)</f>
        <v/>
      </c>
    </row>
    <row r="3882" spans="1:8" x14ac:dyDescent="0.25">
      <c r="A3882" s="25" t="str">
        <f>IF($C3882="","",Registro_Compras!$Y$434)</f>
        <v/>
      </c>
      <c r="B3882" t="str">
        <f>IF($C3882="","","C"&amp;TEXT(INT((ROW()-5)/9)+1,"000")&amp;"-4")</f>
        <v/>
      </c>
      <c r="C3882" t="str">
        <f>IF(OR(Registro_Compras!$C$434="",Registro_Compras!$O$434="",Registro_Compras!$Y$434="",Registro_Compras!$F$434="NOTA DE CREDITO"),"","4212")</f>
        <v/>
      </c>
      <c r="D3882" t="str">
        <f>IF(OR(Registro_Compras!$C$434="",Registro_Compras!$O$434=""),"","Cuentas por Pagar Comerciales - Terceros")</f>
        <v/>
      </c>
      <c r="E3882" s="20" t="str">
        <f>IF($C3882="","",IF(Registro_Compras!$F$434="RHE",(ROUND(Registro_Compras!$L$434*Registro_Compras!$N$434,2)-ROUND(Registro_Compras!$V$434*Registro_Compras!$N$434,2)),ROUND(Registro_Compras!$O$434-Registro_Compras!$S$434,2)))</f>
        <v/>
      </c>
      <c r="F3882" s="20" t="str">
        <f>""</f>
        <v/>
      </c>
      <c r="G3882" t="str">
        <f>IF($C3882="","","Por la cancelacion del saldo al proveedor")</f>
        <v/>
      </c>
      <c r="H3882" t="str">
        <f>IF($C3882="","",Registro_Compras!$C$434)</f>
        <v/>
      </c>
    </row>
    <row r="3883" spans="1:8" x14ac:dyDescent="0.25">
      <c r="A3883" s="25" t="str">
        <f>IF($C3883="","",Registro_Compras!$Y$434)</f>
        <v/>
      </c>
      <c r="B3883" t="str">
        <f>IF($C3883="","","C"&amp;TEXT(INT((ROW()-5)/9)+1,"000")&amp;"-4")</f>
        <v/>
      </c>
      <c r="C3883" t="str">
        <f>IF(OR(Registro_Compras!$C$434="",Registro_Compras!$O$434="",Registro_Compras!$Y$434="",Registro_Compras!$F$434="NOTA DE CREDITO"),"","1041")</f>
        <v/>
      </c>
      <c r="D3883" t="str">
        <f>IF(OR(Registro_Compras!$C$434="",Registro_Compras!$O$434=""),"","Efectivo y Equivalentes - Cta. Cte. Operativa")</f>
        <v/>
      </c>
      <c r="E3883" s="20" t="str">
        <f>""</f>
        <v/>
      </c>
      <c r="F3883" s="20" t="str">
        <f>IF($C3883="","",IF(Registro_Compras!$F$434="RHE",(ROUND(Registro_Compras!$L$434*Registro_Compras!$N$434,2)-ROUND(Registro_Compras!$V$434*Registro_Compras!$N$434,2)),ROUND(Registro_Compras!$O$434-Registro_Compras!$S$434,2)))</f>
        <v/>
      </c>
      <c r="G3883" t="str">
        <f>IF($C3883="","","Por la cancelacion del saldo al proveedor")</f>
        <v/>
      </c>
      <c r="H3883" t="str">
        <f>IF($C3883="","",Registro_Compras!$C$434)</f>
        <v/>
      </c>
    </row>
    <row r="3884" spans="1:8" x14ac:dyDescent="0.25">
      <c r="A3884" s="25" t="str">
        <f>IF($C3884="","",Registro_Compras!$B$435)</f>
        <v/>
      </c>
      <c r="B3884" t="str">
        <f>IF($C3884="","","C"&amp;TEXT(INT((ROW()-5)/9)+1,"000")&amp;"-1")</f>
        <v/>
      </c>
      <c r="C3884" t="str">
        <f>IF(OR(Registro_Compras!$C$435="",Registro_Compras!$O$435=""),"",IF(Registro_Compras!$F$435="NOTA DE CREDITO","4212",IF(Registro_Compras!$M$435="","63",Registro_Compras!$M$435)))</f>
        <v/>
      </c>
      <c r="D3884" t="str">
        <f>IF(OR(Registro_Compras!$C$435="",Registro_Compras!$O$435=""),"",IF(Registro_Compras!$F$435="NOTA DE CREDITO","Cuentas por Pagar Comerciales - Terceros (Emitidas)",IF(Registro_Compras!$F$435="RHE","Honorarios Profesionales - Servicios de Terceros","Gastos de Servicios Prestados por Terceros")))</f>
        <v/>
      </c>
      <c r="E3884" s="20" t="str">
        <f>IF($C3884="","",IF(Registro_Compras!$F$435="NOTA DE CREDITO",ABS(Registro_Compras!$O$435),IF(Registro_Compras!$F$435="RHE",ROUND(Registro_Compras!$L$435*Registro_Compras!$N$435,2),ROUND(Registro_Compras!$J$435*Registro_Compras!$N$435,2))))</f>
        <v/>
      </c>
      <c r="F3884" s="20" t="str">
        <f>""</f>
        <v/>
      </c>
      <c r="G3884" t="str">
        <f>IF($C3884="","",IF(Registro_Compras!$F$435="NOTA DE CREDITO","Por la nota de credito "&amp;Registro_Compras!$C$435&amp;" de "&amp;Registro_Compras!$E$435&amp;" [PATRON POR CONFIRMAR CON CONTADOR]",IF(Registro_Compras!$F$435="RHE","Por el registro del recibo por honorarios "&amp;Registro_Compras!$C$435&amp;" de "&amp;Registro_Compras!$E$435&amp;" [PATRON POR CONFIRMAR CON CONTADOR]","Por el registro de la factura "&amp;Registro_Compras!$C$435&amp;" de "&amp;Registro_Compras!$E$435)))</f>
        <v/>
      </c>
      <c r="H3884" t="str">
        <f>IF($C3884="","",Registro_Compras!$C$435)</f>
        <v/>
      </c>
    </row>
    <row r="3885" spans="1:8" x14ac:dyDescent="0.25">
      <c r="A3885" s="25" t="str">
        <f>IF($C3885="","",Registro_Compras!$B$435)</f>
        <v/>
      </c>
      <c r="B3885" t="str">
        <f>IF($C3885="","","C"&amp;TEXT(INT((ROW()-5)/9)+1,"000")&amp;"-1")</f>
        <v/>
      </c>
      <c r="C3885" t="str">
        <f>IF(OR(Registro_Compras!$C$435="",Registro_Compras!$O$435=""),"",IF(Registro_Compras!$F$435="RHE",IF(Registro_Compras!$V$435=0,"","4017"),IF(Registro_Compras!$F$435="NOTA DE CREDITO",IF(Registro_Compras!$M$435="","63",Registro_Compras!$M$435),IF(Registro_Compras!$K$435=0,"","40111"))))</f>
        <v/>
      </c>
      <c r="D3885" t="str">
        <f>IF(OR(Registro_Compras!$C$435="",Registro_Compras!$O$435=""),"",IF(Registro_Compras!$F$435="RHE","Retencion Renta 4ta Categoria por Pagar",IF(Registro_Compras!$F$435="NOTA DE CREDITO","Gastos de Servicios Prestados por Terceros","IGV - Cuenta Propia (Credito Fiscal)")))</f>
        <v/>
      </c>
      <c r="E3885" s="20" t="str">
        <f>IF($C3885="","",IF(Registro_Compras!$F$435="FACTURA",ROUND(Registro_Compras!$K$435*Registro_Compras!$N$435,2),""))</f>
        <v/>
      </c>
      <c r="F3885" s="20" t="str">
        <f>IF($C3885="","",IF(Registro_Compras!$F$435="RHE",ROUND(Registro_Compras!$V$435*Registro_Compras!$N$435,2),IF(Registro_Compras!$F$435="NOTA DE CREDITO",ROUND(ABS(Registro_Compras!$J$435*Registro_Compras!$N$435),2),"")))</f>
        <v/>
      </c>
      <c r="G3885" t="str">
        <f>IF($C3885="","",IF(Registro_Compras!$F$435="NOTA DE CREDITO","Por la nota de credito "&amp;Registro_Compras!$C$435&amp;" de "&amp;Registro_Compras!$E$435&amp;" [PATRON POR CONFIRMAR CON CONTADOR]",IF(Registro_Compras!$F$435="RHE","Por el registro del recibo por honorarios "&amp;Registro_Compras!$C$435&amp;" de "&amp;Registro_Compras!$E$435&amp;" [PATRON POR CONFIRMAR CON CONTADOR]","Por el registro de la factura "&amp;Registro_Compras!$C$435&amp;" de "&amp;Registro_Compras!$E$435)))</f>
        <v/>
      </c>
      <c r="H3885" t="str">
        <f>IF($C3885="","",Registro_Compras!$C$435)</f>
        <v/>
      </c>
    </row>
    <row r="3886" spans="1:8" x14ac:dyDescent="0.25">
      <c r="A3886" s="25" t="str">
        <f>IF($C3886="","",Registro_Compras!$B$435)</f>
        <v/>
      </c>
      <c r="B3886" t="str">
        <f>IF($C3886="","","C"&amp;TEXT(INT((ROW()-5)/9)+1,"000")&amp;"-1")</f>
        <v/>
      </c>
      <c r="C3886" t="str">
        <f>IF(OR(Registro_Compras!$C$435="",Registro_Compras!$O$435=""),"",IF(Registro_Compras!$F$435="NOTA DE CREDITO",IF(Registro_Compras!$K$435=0,"","40111"),"4212"))</f>
        <v/>
      </c>
      <c r="D3886" t="str">
        <f>IF(OR(Registro_Compras!$C$435="",Registro_Compras!$O$435=""),"",IF(Registro_Compras!$F$435="NOTA DE CREDITO","IGV - Cuenta Propia (Credito Fiscal)","Cuentas por Pagar Comerciales - Terceros (Emitidas)"))</f>
        <v/>
      </c>
      <c r="E3886" s="20" t="str">
        <f>""</f>
        <v/>
      </c>
      <c r="F3886" s="20" t="str">
        <f>IF($C3886="","",IF(Registro_Compras!$F$435="NOTA DE CREDITO",ROUND(ABS(Registro_Compras!$K$435*Registro_Compras!$N$435),2),IF(Registro_Compras!$F$435="RHE",(ROUND(Registro_Compras!$L$435*Registro_Compras!$N$435,2)-ROUND(Registro_Compras!$V$435*Registro_Compras!$N$435,2)),Registro_Compras!$O$435)))</f>
        <v/>
      </c>
      <c r="G3886" t="str">
        <f>IF($C3886="","",IF(Registro_Compras!$F$435="NOTA DE CREDITO","Por la nota de credito "&amp;Registro_Compras!$C$435&amp;" de "&amp;Registro_Compras!$E$435&amp;" [PATRON POR CONFIRMAR CON CONTADOR]",IF(Registro_Compras!$F$435="RHE","Por el registro del recibo por honorarios "&amp;Registro_Compras!$C$435&amp;" de "&amp;Registro_Compras!$E$435&amp;" [PATRON POR CONFIRMAR CON CONTADOR]","Por el registro de la factura "&amp;Registro_Compras!$C$435&amp;" de "&amp;Registro_Compras!$E$435)))</f>
        <v/>
      </c>
      <c r="H3886" t="str">
        <f>IF($C3886="","",Registro_Compras!$C$435)</f>
        <v/>
      </c>
    </row>
    <row r="3887" spans="1:8" x14ac:dyDescent="0.25">
      <c r="A3887" s="25" t="str">
        <f>IF($C3887="","",Registro_Compras!$B$435)</f>
        <v/>
      </c>
      <c r="B3887" t="str">
        <f>IF($C3887="","","C"&amp;TEXT(INT((ROW()-5)/9)+1,"000")&amp;"-2")</f>
        <v/>
      </c>
      <c r="C3887" t="str">
        <f>IF(OR(Registro_Compras!$C$435="",Registro_Compras!$O$435=""),"",IF(Registro_Compras!$AB$435="ADMINISTRATIVO","94","95"))</f>
        <v/>
      </c>
      <c r="D3887" t="str">
        <f>IF(OR(Registro_Compras!$C$435="",Registro_Compras!$O$435=""),"",IF(Registro_Compras!$AB$435="ADMINISTRATIVO","Gastos Administrativos","Gastos de Venta y Operacion"))</f>
        <v/>
      </c>
      <c r="E3887" s="20" t="str">
        <f>IF($C3887="","",IF(Registro_Compras!$F$435="NOTA DE CREDITO","",IF(Registro_Compras!$F$435="RHE",ROUND(Registro_Compras!$L$435*Registro_Compras!$N$435,2),ROUND(Registro_Compras!$J$435*Registro_Compras!$N$435,2))))</f>
        <v/>
      </c>
      <c r="F3887" s="20" t="str">
        <f>IF($C3887="","",IF(Registro_Compras!$F$435="NOTA DE CREDITO",ROUND(ABS(Registro_Compras!$J$435*Registro_Compras!$N$435),2),""))</f>
        <v/>
      </c>
      <c r="G3887" t="str">
        <f>IF($C3887="","","Por el destino del gasto")</f>
        <v/>
      </c>
      <c r="H3887" t="str">
        <f>IF($C3887="","",Registro_Compras!$C$435)</f>
        <v/>
      </c>
    </row>
    <row r="3888" spans="1:8" x14ac:dyDescent="0.25">
      <c r="A3888" s="25" t="str">
        <f>IF($C3888="","",Registro_Compras!$B$435)</f>
        <v/>
      </c>
      <c r="B3888" t="str">
        <f>IF($C3888="","","C"&amp;TEXT(INT((ROW()-5)/9)+1,"000")&amp;"-2")</f>
        <v/>
      </c>
      <c r="C3888" t="str">
        <f>IF(OR(Registro_Compras!$C$435="",Registro_Compras!$O$435=""),"","79/791")</f>
        <v/>
      </c>
      <c r="D3888" t="str">
        <f>IF(OR(Registro_Compras!$C$435="",Registro_Compras!$O$435=""),"","Cargas Imputables a Cuentas de Costos y Gastos")</f>
        <v/>
      </c>
      <c r="E3888" s="20" t="str">
        <f>IF($C3888="","",IF(Registro_Compras!$F$435="NOTA DE CREDITO",ROUND(ABS(Registro_Compras!$J$435*Registro_Compras!$N$435),2),""))</f>
        <v/>
      </c>
      <c r="F3888" s="20" t="str">
        <f>IF($C3888="","",IF(Registro_Compras!$F$435="NOTA DE CREDITO","",IF(Registro_Compras!$F$435="RHE",ROUND(Registro_Compras!$L$435*Registro_Compras!$N$435,2),ROUND(Registro_Compras!$J$435*Registro_Compras!$N$435,2))))</f>
        <v/>
      </c>
      <c r="G3888" t="str">
        <f>IF($C3888="","","Por el destino del gasto")</f>
        <v/>
      </c>
      <c r="H3888" t="str">
        <f>IF($C3888="","",Registro_Compras!$C$435)</f>
        <v/>
      </c>
    </row>
    <row r="3889" spans="1:8" x14ac:dyDescent="0.25">
      <c r="A3889" s="25" t="str">
        <f>IF($C3889="","",Registro_Compras!$X$435)</f>
        <v/>
      </c>
      <c r="B3889" t="str">
        <f>IF($C3889="","","C"&amp;TEXT(INT((ROW()-5)/9)+1,"000")&amp;"-3")</f>
        <v/>
      </c>
      <c r="C3889" t="str">
        <f>IF(OR(Registro_Compras!$C$435="",Registro_Compras!$O$435="",Registro_Compras!$R$435&lt;&gt;"SI",Registro_Compras!$X$435=""),"","4212")</f>
        <v/>
      </c>
      <c r="D3889" t="str">
        <f>IF(OR(Registro_Compras!$C$435="",Registro_Compras!$O$435=""),"","Cuentas por Pagar Comerciales - Terceros")</f>
        <v/>
      </c>
      <c r="E3889" s="20" t="str">
        <f>IF($C3889="","",Registro_Compras!$S$435)</f>
        <v/>
      </c>
      <c r="F3889" s="20" t="str">
        <f>""</f>
        <v/>
      </c>
      <c r="G3889" t="str">
        <f>IF($C3889="","","Por el deposito de la detraccion en el Banco de la Nacion")</f>
        <v/>
      </c>
      <c r="H3889" t="str">
        <f>IF($C3889="","",Registro_Compras!$C$435)</f>
        <v/>
      </c>
    </row>
    <row r="3890" spans="1:8" x14ac:dyDescent="0.25">
      <c r="A3890" s="25" t="str">
        <f>IF($C3890="","",Registro_Compras!$X$435)</f>
        <v/>
      </c>
      <c r="B3890" t="str">
        <f>IF($C3890="","","C"&amp;TEXT(INT((ROW()-5)/9)+1,"000")&amp;"-3")</f>
        <v/>
      </c>
      <c r="C3890" t="str">
        <f>IF(OR(Registro_Compras!$C$435="",Registro_Compras!$O$435="",Registro_Compras!$R$435&lt;&gt;"SI",Registro_Compras!$X$435=""),"","1041")</f>
        <v/>
      </c>
      <c r="D3890" t="str">
        <f>IF(OR(Registro_Compras!$C$435="",Registro_Compras!$O$435=""),"","Efectivo y Equivalentes - Cta. Cte. Operativa")</f>
        <v/>
      </c>
      <c r="E3890" s="20" t="str">
        <f>""</f>
        <v/>
      </c>
      <c r="F3890" s="20" t="str">
        <f>IF($C3890="","",Registro_Compras!$S$435)</f>
        <v/>
      </c>
      <c r="G3890" t="str">
        <f>IF($C3890="","","Por el deposito de la detraccion en el Banco de la Nacion")</f>
        <v/>
      </c>
      <c r="H3890" t="str">
        <f>IF($C3890="","",Registro_Compras!$C$435)</f>
        <v/>
      </c>
    </row>
    <row r="3891" spans="1:8" x14ac:dyDescent="0.25">
      <c r="A3891" s="25" t="str">
        <f>IF($C3891="","",Registro_Compras!$Y$435)</f>
        <v/>
      </c>
      <c r="B3891" t="str">
        <f>IF($C3891="","","C"&amp;TEXT(INT((ROW()-5)/9)+1,"000")&amp;"-4")</f>
        <v/>
      </c>
      <c r="C3891" t="str">
        <f>IF(OR(Registro_Compras!$C$435="",Registro_Compras!$O$435="",Registro_Compras!$Y$435="",Registro_Compras!$F$435="NOTA DE CREDITO"),"","4212")</f>
        <v/>
      </c>
      <c r="D3891" t="str">
        <f>IF(OR(Registro_Compras!$C$435="",Registro_Compras!$O$435=""),"","Cuentas por Pagar Comerciales - Terceros")</f>
        <v/>
      </c>
      <c r="E3891" s="20" t="str">
        <f>IF($C3891="","",IF(Registro_Compras!$F$435="RHE",(ROUND(Registro_Compras!$L$435*Registro_Compras!$N$435,2)-ROUND(Registro_Compras!$V$435*Registro_Compras!$N$435,2)),ROUND(Registro_Compras!$O$435-Registro_Compras!$S$435,2)))</f>
        <v/>
      </c>
      <c r="F3891" s="20" t="str">
        <f>""</f>
        <v/>
      </c>
      <c r="G3891" t="str">
        <f>IF($C3891="","","Por la cancelacion del saldo al proveedor")</f>
        <v/>
      </c>
      <c r="H3891" t="str">
        <f>IF($C3891="","",Registro_Compras!$C$435)</f>
        <v/>
      </c>
    </row>
    <row r="3892" spans="1:8" x14ac:dyDescent="0.25">
      <c r="A3892" s="25" t="str">
        <f>IF($C3892="","",Registro_Compras!$Y$435)</f>
        <v/>
      </c>
      <c r="B3892" t="str">
        <f>IF($C3892="","","C"&amp;TEXT(INT((ROW()-5)/9)+1,"000")&amp;"-4")</f>
        <v/>
      </c>
      <c r="C3892" t="str">
        <f>IF(OR(Registro_Compras!$C$435="",Registro_Compras!$O$435="",Registro_Compras!$Y$435="",Registro_Compras!$F$435="NOTA DE CREDITO"),"","1041")</f>
        <v/>
      </c>
      <c r="D3892" t="str">
        <f>IF(OR(Registro_Compras!$C$435="",Registro_Compras!$O$435=""),"","Efectivo y Equivalentes - Cta. Cte. Operativa")</f>
        <v/>
      </c>
      <c r="E3892" s="20" t="str">
        <f>""</f>
        <v/>
      </c>
      <c r="F3892" s="20" t="str">
        <f>IF($C3892="","",IF(Registro_Compras!$F$435="RHE",(ROUND(Registro_Compras!$L$435*Registro_Compras!$N$435,2)-ROUND(Registro_Compras!$V$435*Registro_Compras!$N$435,2)),ROUND(Registro_Compras!$O$435-Registro_Compras!$S$435,2)))</f>
        <v/>
      </c>
      <c r="G3892" t="str">
        <f>IF($C3892="","","Por la cancelacion del saldo al proveedor")</f>
        <v/>
      </c>
      <c r="H3892" t="str">
        <f>IF($C3892="","",Registro_Compras!$C$435)</f>
        <v/>
      </c>
    </row>
    <row r="3893" spans="1:8" x14ac:dyDescent="0.25">
      <c r="A3893" s="25" t="str">
        <f>IF($C3893="","",Registro_Compras!$B$436)</f>
        <v/>
      </c>
      <c r="B3893" t="str">
        <f>IF($C3893="","","C"&amp;TEXT(INT((ROW()-5)/9)+1,"000")&amp;"-1")</f>
        <v/>
      </c>
      <c r="C3893" t="str">
        <f>IF(OR(Registro_Compras!$C$436="",Registro_Compras!$O$436=""),"",IF(Registro_Compras!$F$436="NOTA DE CREDITO","4212",IF(Registro_Compras!$M$436="","63",Registro_Compras!$M$436)))</f>
        <v/>
      </c>
      <c r="D3893" t="str">
        <f>IF(OR(Registro_Compras!$C$436="",Registro_Compras!$O$436=""),"",IF(Registro_Compras!$F$436="NOTA DE CREDITO","Cuentas por Pagar Comerciales - Terceros (Emitidas)",IF(Registro_Compras!$F$436="RHE","Honorarios Profesionales - Servicios de Terceros","Gastos de Servicios Prestados por Terceros")))</f>
        <v/>
      </c>
      <c r="E3893" s="20" t="str">
        <f>IF($C3893="","",IF(Registro_Compras!$F$436="NOTA DE CREDITO",ABS(Registro_Compras!$O$436),IF(Registro_Compras!$F$436="RHE",ROUND(Registro_Compras!$L$436*Registro_Compras!$N$436,2),ROUND(Registro_Compras!$J$436*Registro_Compras!$N$436,2))))</f>
        <v/>
      </c>
      <c r="F3893" s="20" t="str">
        <f>""</f>
        <v/>
      </c>
      <c r="G3893" t="str">
        <f>IF($C3893="","",IF(Registro_Compras!$F$436="NOTA DE CREDITO","Por la nota de credito "&amp;Registro_Compras!$C$436&amp;" de "&amp;Registro_Compras!$E$436&amp;" [PATRON POR CONFIRMAR CON CONTADOR]",IF(Registro_Compras!$F$436="RHE","Por el registro del recibo por honorarios "&amp;Registro_Compras!$C$436&amp;" de "&amp;Registro_Compras!$E$436&amp;" [PATRON POR CONFIRMAR CON CONTADOR]","Por el registro de la factura "&amp;Registro_Compras!$C$436&amp;" de "&amp;Registro_Compras!$E$436)))</f>
        <v/>
      </c>
      <c r="H3893" t="str">
        <f>IF($C3893="","",Registro_Compras!$C$436)</f>
        <v/>
      </c>
    </row>
    <row r="3894" spans="1:8" x14ac:dyDescent="0.25">
      <c r="A3894" s="25" t="str">
        <f>IF($C3894="","",Registro_Compras!$B$436)</f>
        <v/>
      </c>
      <c r="B3894" t="str">
        <f>IF($C3894="","","C"&amp;TEXT(INT((ROW()-5)/9)+1,"000")&amp;"-1")</f>
        <v/>
      </c>
      <c r="C3894" t="str">
        <f>IF(OR(Registro_Compras!$C$436="",Registro_Compras!$O$436=""),"",IF(Registro_Compras!$F$436="RHE",IF(Registro_Compras!$V$436=0,"","4017"),IF(Registro_Compras!$F$436="NOTA DE CREDITO",IF(Registro_Compras!$M$436="","63",Registro_Compras!$M$436),IF(Registro_Compras!$K$436=0,"","40111"))))</f>
        <v/>
      </c>
      <c r="D3894" t="str">
        <f>IF(OR(Registro_Compras!$C$436="",Registro_Compras!$O$436=""),"",IF(Registro_Compras!$F$436="RHE","Retencion Renta 4ta Categoria por Pagar",IF(Registro_Compras!$F$436="NOTA DE CREDITO","Gastos de Servicios Prestados por Terceros","IGV - Cuenta Propia (Credito Fiscal)")))</f>
        <v/>
      </c>
      <c r="E3894" s="20" t="str">
        <f>IF($C3894="","",IF(Registro_Compras!$F$436="FACTURA",ROUND(Registro_Compras!$K$436*Registro_Compras!$N$436,2),""))</f>
        <v/>
      </c>
      <c r="F3894" s="20" t="str">
        <f>IF($C3894="","",IF(Registro_Compras!$F$436="RHE",ROUND(Registro_Compras!$V$436*Registro_Compras!$N$436,2),IF(Registro_Compras!$F$436="NOTA DE CREDITO",ROUND(ABS(Registro_Compras!$J$436*Registro_Compras!$N$436),2),"")))</f>
        <v/>
      </c>
      <c r="G3894" t="str">
        <f>IF($C3894="","",IF(Registro_Compras!$F$436="NOTA DE CREDITO","Por la nota de credito "&amp;Registro_Compras!$C$436&amp;" de "&amp;Registro_Compras!$E$436&amp;" [PATRON POR CONFIRMAR CON CONTADOR]",IF(Registro_Compras!$F$436="RHE","Por el registro del recibo por honorarios "&amp;Registro_Compras!$C$436&amp;" de "&amp;Registro_Compras!$E$436&amp;" [PATRON POR CONFIRMAR CON CONTADOR]","Por el registro de la factura "&amp;Registro_Compras!$C$436&amp;" de "&amp;Registro_Compras!$E$436)))</f>
        <v/>
      </c>
      <c r="H3894" t="str">
        <f>IF($C3894="","",Registro_Compras!$C$436)</f>
        <v/>
      </c>
    </row>
    <row r="3895" spans="1:8" x14ac:dyDescent="0.25">
      <c r="A3895" s="25" t="str">
        <f>IF($C3895="","",Registro_Compras!$B$436)</f>
        <v/>
      </c>
      <c r="B3895" t="str">
        <f>IF($C3895="","","C"&amp;TEXT(INT((ROW()-5)/9)+1,"000")&amp;"-1")</f>
        <v/>
      </c>
      <c r="C3895" t="str">
        <f>IF(OR(Registro_Compras!$C$436="",Registro_Compras!$O$436=""),"",IF(Registro_Compras!$F$436="NOTA DE CREDITO",IF(Registro_Compras!$K$436=0,"","40111"),"4212"))</f>
        <v/>
      </c>
      <c r="D3895" t="str">
        <f>IF(OR(Registro_Compras!$C$436="",Registro_Compras!$O$436=""),"",IF(Registro_Compras!$F$436="NOTA DE CREDITO","IGV - Cuenta Propia (Credito Fiscal)","Cuentas por Pagar Comerciales - Terceros (Emitidas)"))</f>
        <v/>
      </c>
      <c r="E3895" s="20" t="str">
        <f>""</f>
        <v/>
      </c>
      <c r="F3895" s="20" t="str">
        <f>IF($C3895="","",IF(Registro_Compras!$F$436="NOTA DE CREDITO",ROUND(ABS(Registro_Compras!$K$436*Registro_Compras!$N$436),2),IF(Registro_Compras!$F$436="RHE",(ROUND(Registro_Compras!$L$436*Registro_Compras!$N$436,2)-ROUND(Registro_Compras!$V$436*Registro_Compras!$N$436,2)),Registro_Compras!$O$436)))</f>
        <v/>
      </c>
      <c r="G3895" t="str">
        <f>IF($C3895="","",IF(Registro_Compras!$F$436="NOTA DE CREDITO","Por la nota de credito "&amp;Registro_Compras!$C$436&amp;" de "&amp;Registro_Compras!$E$436&amp;" [PATRON POR CONFIRMAR CON CONTADOR]",IF(Registro_Compras!$F$436="RHE","Por el registro del recibo por honorarios "&amp;Registro_Compras!$C$436&amp;" de "&amp;Registro_Compras!$E$436&amp;" [PATRON POR CONFIRMAR CON CONTADOR]","Por el registro de la factura "&amp;Registro_Compras!$C$436&amp;" de "&amp;Registro_Compras!$E$436)))</f>
        <v/>
      </c>
      <c r="H3895" t="str">
        <f>IF($C3895="","",Registro_Compras!$C$436)</f>
        <v/>
      </c>
    </row>
    <row r="3896" spans="1:8" x14ac:dyDescent="0.25">
      <c r="A3896" s="25" t="str">
        <f>IF($C3896="","",Registro_Compras!$B$436)</f>
        <v/>
      </c>
      <c r="B3896" t="str">
        <f>IF($C3896="","","C"&amp;TEXT(INT((ROW()-5)/9)+1,"000")&amp;"-2")</f>
        <v/>
      </c>
      <c r="C3896" t="str">
        <f>IF(OR(Registro_Compras!$C$436="",Registro_Compras!$O$436=""),"",IF(Registro_Compras!$AB$436="ADMINISTRATIVO","94","95"))</f>
        <v/>
      </c>
      <c r="D3896" t="str">
        <f>IF(OR(Registro_Compras!$C$436="",Registro_Compras!$O$436=""),"",IF(Registro_Compras!$AB$436="ADMINISTRATIVO","Gastos Administrativos","Gastos de Venta y Operacion"))</f>
        <v/>
      </c>
      <c r="E3896" s="20" t="str">
        <f>IF($C3896="","",IF(Registro_Compras!$F$436="NOTA DE CREDITO","",IF(Registro_Compras!$F$436="RHE",ROUND(Registro_Compras!$L$436*Registro_Compras!$N$436,2),ROUND(Registro_Compras!$J$436*Registro_Compras!$N$436,2))))</f>
        <v/>
      </c>
      <c r="F3896" s="20" t="str">
        <f>IF($C3896="","",IF(Registro_Compras!$F$436="NOTA DE CREDITO",ROUND(ABS(Registro_Compras!$J$436*Registro_Compras!$N$436),2),""))</f>
        <v/>
      </c>
      <c r="G3896" t="str">
        <f>IF($C3896="","","Por el destino del gasto")</f>
        <v/>
      </c>
      <c r="H3896" t="str">
        <f>IF($C3896="","",Registro_Compras!$C$436)</f>
        <v/>
      </c>
    </row>
    <row r="3897" spans="1:8" x14ac:dyDescent="0.25">
      <c r="A3897" s="25" t="str">
        <f>IF($C3897="","",Registro_Compras!$B$436)</f>
        <v/>
      </c>
      <c r="B3897" t="str">
        <f>IF($C3897="","","C"&amp;TEXT(INT((ROW()-5)/9)+1,"000")&amp;"-2")</f>
        <v/>
      </c>
      <c r="C3897" t="str">
        <f>IF(OR(Registro_Compras!$C$436="",Registro_Compras!$O$436=""),"","79/791")</f>
        <v/>
      </c>
      <c r="D3897" t="str">
        <f>IF(OR(Registro_Compras!$C$436="",Registro_Compras!$O$436=""),"","Cargas Imputables a Cuentas de Costos y Gastos")</f>
        <v/>
      </c>
      <c r="E3897" s="20" t="str">
        <f>IF($C3897="","",IF(Registro_Compras!$F$436="NOTA DE CREDITO",ROUND(ABS(Registro_Compras!$J$436*Registro_Compras!$N$436),2),""))</f>
        <v/>
      </c>
      <c r="F3897" s="20" t="str">
        <f>IF($C3897="","",IF(Registro_Compras!$F$436="NOTA DE CREDITO","",IF(Registro_Compras!$F$436="RHE",ROUND(Registro_Compras!$L$436*Registro_Compras!$N$436,2),ROUND(Registro_Compras!$J$436*Registro_Compras!$N$436,2))))</f>
        <v/>
      </c>
      <c r="G3897" t="str">
        <f>IF($C3897="","","Por el destino del gasto")</f>
        <v/>
      </c>
      <c r="H3897" t="str">
        <f>IF($C3897="","",Registro_Compras!$C$436)</f>
        <v/>
      </c>
    </row>
    <row r="3898" spans="1:8" x14ac:dyDescent="0.25">
      <c r="A3898" s="25" t="str">
        <f>IF($C3898="","",Registro_Compras!$X$436)</f>
        <v/>
      </c>
      <c r="B3898" t="str">
        <f>IF($C3898="","","C"&amp;TEXT(INT((ROW()-5)/9)+1,"000")&amp;"-3")</f>
        <v/>
      </c>
      <c r="C3898" t="str">
        <f>IF(OR(Registro_Compras!$C$436="",Registro_Compras!$O$436="",Registro_Compras!$R$436&lt;&gt;"SI",Registro_Compras!$X$436=""),"","4212")</f>
        <v/>
      </c>
      <c r="D3898" t="str">
        <f>IF(OR(Registro_Compras!$C$436="",Registro_Compras!$O$436=""),"","Cuentas por Pagar Comerciales - Terceros")</f>
        <v/>
      </c>
      <c r="E3898" s="20" t="str">
        <f>IF($C3898="","",Registro_Compras!$S$436)</f>
        <v/>
      </c>
      <c r="F3898" s="20" t="str">
        <f>""</f>
        <v/>
      </c>
      <c r="G3898" t="str">
        <f>IF($C3898="","","Por el deposito de la detraccion en el Banco de la Nacion")</f>
        <v/>
      </c>
      <c r="H3898" t="str">
        <f>IF($C3898="","",Registro_Compras!$C$436)</f>
        <v/>
      </c>
    </row>
    <row r="3899" spans="1:8" x14ac:dyDescent="0.25">
      <c r="A3899" s="25" t="str">
        <f>IF($C3899="","",Registro_Compras!$X$436)</f>
        <v/>
      </c>
      <c r="B3899" t="str">
        <f>IF($C3899="","","C"&amp;TEXT(INT((ROW()-5)/9)+1,"000")&amp;"-3")</f>
        <v/>
      </c>
      <c r="C3899" t="str">
        <f>IF(OR(Registro_Compras!$C$436="",Registro_Compras!$O$436="",Registro_Compras!$R$436&lt;&gt;"SI",Registro_Compras!$X$436=""),"","1041")</f>
        <v/>
      </c>
      <c r="D3899" t="str">
        <f>IF(OR(Registro_Compras!$C$436="",Registro_Compras!$O$436=""),"","Efectivo y Equivalentes - Cta. Cte. Operativa")</f>
        <v/>
      </c>
      <c r="E3899" s="20" t="str">
        <f>""</f>
        <v/>
      </c>
      <c r="F3899" s="20" t="str">
        <f>IF($C3899="","",Registro_Compras!$S$436)</f>
        <v/>
      </c>
      <c r="G3899" t="str">
        <f>IF($C3899="","","Por el deposito de la detraccion en el Banco de la Nacion")</f>
        <v/>
      </c>
      <c r="H3899" t="str">
        <f>IF($C3899="","",Registro_Compras!$C$436)</f>
        <v/>
      </c>
    </row>
    <row r="3900" spans="1:8" x14ac:dyDescent="0.25">
      <c r="A3900" s="25" t="str">
        <f>IF($C3900="","",Registro_Compras!$Y$436)</f>
        <v/>
      </c>
      <c r="B3900" t="str">
        <f>IF($C3900="","","C"&amp;TEXT(INT((ROW()-5)/9)+1,"000")&amp;"-4")</f>
        <v/>
      </c>
      <c r="C3900" t="str">
        <f>IF(OR(Registro_Compras!$C$436="",Registro_Compras!$O$436="",Registro_Compras!$Y$436="",Registro_Compras!$F$436="NOTA DE CREDITO"),"","4212")</f>
        <v/>
      </c>
      <c r="D3900" t="str">
        <f>IF(OR(Registro_Compras!$C$436="",Registro_Compras!$O$436=""),"","Cuentas por Pagar Comerciales - Terceros")</f>
        <v/>
      </c>
      <c r="E3900" s="20" t="str">
        <f>IF($C3900="","",IF(Registro_Compras!$F$436="RHE",(ROUND(Registro_Compras!$L$436*Registro_Compras!$N$436,2)-ROUND(Registro_Compras!$V$436*Registro_Compras!$N$436,2)),ROUND(Registro_Compras!$O$436-Registro_Compras!$S$436,2)))</f>
        <v/>
      </c>
      <c r="F3900" s="20" t="str">
        <f>""</f>
        <v/>
      </c>
      <c r="G3900" t="str">
        <f>IF($C3900="","","Por la cancelacion del saldo al proveedor")</f>
        <v/>
      </c>
      <c r="H3900" t="str">
        <f>IF($C3900="","",Registro_Compras!$C$436)</f>
        <v/>
      </c>
    </row>
    <row r="3901" spans="1:8" x14ac:dyDescent="0.25">
      <c r="A3901" s="25" t="str">
        <f>IF($C3901="","",Registro_Compras!$Y$436)</f>
        <v/>
      </c>
      <c r="B3901" t="str">
        <f>IF($C3901="","","C"&amp;TEXT(INT((ROW()-5)/9)+1,"000")&amp;"-4")</f>
        <v/>
      </c>
      <c r="C3901" t="str">
        <f>IF(OR(Registro_Compras!$C$436="",Registro_Compras!$O$436="",Registro_Compras!$Y$436="",Registro_Compras!$F$436="NOTA DE CREDITO"),"","1041")</f>
        <v/>
      </c>
      <c r="D3901" t="str">
        <f>IF(OR(Registro_Compras!$C$436="",Registro_Compras!$O$436=""),"","Efectivo y Equivalentes - Cta. Cte. Operativa")</f>
        <v/>
      </c>
      <c r="E3901" s="20" t="str">
        <f>""</f>
        <v/>
      </c>
      <c r="F3901" s="20" t="str">
        <f>IF($C3901="","",IF(Registro_Compras!$F$436="RHE",(ROUND(Registro_Compras!$L$436*Registro_Compras!$N$436,2)-ROUND(Registro_Compras!$V$436*Registro_Compras!$N$436,2)),ROUND(Registro_Compras!$O$436-Registro_Compras!$S$436,2)))</f>
        <v/>
      </c>
      <c r="G3901" t="str">
        <f>IF($C3901="","","Por la cancelacion del saldo al proveedor")</f>
        <v/>
      </c>
      <c r="H3901" t="str">
        <f>IF($C3901="","",Registro_Compras!$C$436)</f>
        <v/>
      </c>
    </row>
    <row r="3902" spans="1:8" x14ac:dyDescent="0.25">
      <c r="A3902" s="25" t="str">
        <f>IF($C3902="","",Registro_Compras!$B$437)</f>
        <v/>
      </c>
      <c r="B3902" t="str">
        <f>IF($C3902="","","C"&amp;TEXT(INT((ROW()-5)/9)+1,"000")&amp;"-1")</f>
        <v/>
      </c>
      <c r="C3902" t="str">
        <f>IF(OR(Registro_Compras!$C$437="",Registro_Compras!$O$437=""),"",IF(Registro_Compras!$F$437="NOTA DE CREDITO","4212",IF(Registro_Compras!$M$437="","63",Registro_Compras!$M$437)))</f>
        <v/>
      </c>
      <c r="D3902" t="str">
        <f>IF(OR(Registro_Compras!$C$437="",Registro_Compras!$O$437=""),"",IF(Registro_Compras!$F$437="NOTA DE CREDITO","Cuentas por Pagar Comerciales - Terceros (Emitidas)",IF(Registro_Compras!$F$437="RHE","Honorarios Profesionales - Servicios de Terceros","Gastos de Servicios Prestados por Terceros")))</f>
        <v/>
      </c>
      <c r="E3902" s="20" t="str">
        <f>IF($C3902="","",IF(Registro_Compras!$F$437="NOTA DE CREDITO",ABS(Registro_Compras!$O$437),IF(Registro_Compras!$F$437="RHE",ROUND(Registro_Compras!$L$437*Registro_Compras!$N$437,2),ROUND(Registro_Compras!$J$437*Registro_Compras!$N$437,2))))</f>
        <v/>
      </c>
      <c r="F3902" s="20" t="str">
        <f>""</f>
        <v/>
      </c>
      <c r="G3902" t="str">
        <f>IF($C3902="","",IF(Registro_Compras!$F$437="NOTA DE CREDITO","Por la nota de credito "&amp;Registro_Compras!$C$437&amp;" de "&amp;Registro_Compras!$E$437&amp;" [PATRON POR CONFIRMAR CON CONTADOR]",IF(Registro_Compras!$F$437="RHE","Por el registro del recibo por honorarios "&amp;Registro_Compras!$C$437&amp;" de "&amp;Registro_Compras!$E$437&amp;" [PATRON POR CONFIRMAR CON CONTADOR]","Por el registro de la factura "&amp;Registro_Compras!$C$437&amp;" de "&amp;Registro_Compras!$E$437)))</f>
        <v/>
      </c>
      <c r="H3902" t="str">
        <f>IF($C3902="","",Registro_Compras!$C$437)</f>
        <v/>
      </c>
    </row>
    <row r="3903" spans="1:8" x14ac:dyDescent="0.25">
      <c r="A3903" s="25" t="str">
        <f>IF($C3903="","",Registro_Compras!$B$437)</f>
        <v/>
      </c>
      <c r="B3903" t="str">
        <f>IF($C3903="","","C"&amp;TEXT(INT((ROW()-5)/9)+1,"000")&amp;"-1")</f>
        <v/>
      </c>
      <c r="C3903" t="str">
        <f>IF(OR(Registro_Compras!$C$437="",Registro_Compras!$O$437=""),"",IF(Registro_Compras!$F$437="RHE",IF(Registro_Compras!$V$437=0,"","4017"),IF(Registro_Compras!$F$437="NOTA DE CREDITO",IF(Registro_Compras!$M$437="","63",Registro_Compras!$M$437),IF(Registro_Compras!$K$437=0,"","40111"))))</f>
        <v/>
      </c>
      <c r="D3903" t="str">
        <f>IF(OR(Registro_Compras!$C$437="",Registro_Compras!$O$437=""),"",IF(Registro_Compras!$F$437="RHE","Retencion Renta 4ta Categoria por Pagar",IF(Registro_Compras!$F$437="NOTA DE CREDITO","Gastos de Servicios Prestados por Terceros","IGV - Cuenta Propia (Credito Fiscal)")))</f>
        <v/>
      </c>
      <c r="E3903" s="20" t="str">
        <f>IF($C3903="","",IF(Registro_Compras!$F$437="FACTURA",ROUND(Registro_Compras!$K$437*Registro_Compras!$N$437,2),""))</f>
        <v/>
      </c>
      <c r="F3903" s="20" t="str">
        <f>IF($C3903="","",IF(Registro_Compras!$F$437="RHE",ROUND(Registro_Compras!$V$437*Registro_Compras!$N$437,2),IF(Registro_Compras!$F$437="NOTA DE CREDITO",ROUND(ABS(Registro_Compras!$J$437*Registro_Compras!$N$437),2),"")))</f>
        <v/>
      </c>
      <c r="G3903" t="str">
        <f>IF($C3903="","",IF(Registro_Compras!$F$437="NOTA DE CREDITO","Por la nota de credito "&amp;Registro_Compras!$C$437&amp;" de "&amp;Registro_Compras!$E$437&amp;" [PATRON POR CONFIRMAR CON CONTADOR]",IF(Registro_Compras!$F$437="RHE","Por el registro del recibo por honorarios "&amp;Registro_Compras!$C$437&amp;" de "&amp;Registro_Compras!$E$437&amp;" [PATRON POR CONFIRMAR CON CONTADOR]","Por el registro de la factura "&amp;Registro_Compras!$C$437&amp;" de "&amp;Registro_Compras!$E$437)))</f>
        <v/>
      </c>
      <c r="H3903" t="str">
        <f>IF($C3903="","",Registro_Compras!$C$437)</f>
        <v/>
      </c>
    </row>
    <row r="3904" spans="1:8" x14ac:dyDescent="0.25">
      <c r="A3904" s="25" t="str">
        <f>IF($C3904="","",Registro_Compras!$B$437)</f>
        <v/>
      </c>
      <c r="B3904" t="str">
        <f>IF($C3904="","","C"&amp;TEXT(INT((ROW()-5)/9)+1,"000")&amp;"-1")</f>
        <v/>
      </c>
      <c r="C3904" t="str">
        <f>IF(OR(Registro_Compras!$C$437="",Registro_Compras!$O$437=""),"",IF(Registro_Compras!$F$437="NOTA DE CREDITO",IF(Registro_Compras!$K$437=0,"","40111"),"4212"))</f>
        <v/>
      </c>
      <c r="D3904" t="str">
        <f>IF(OR(Registro_Compras!$C$437="",Registro_Compras!$O$437=""),"",IF(Registro_Compras!$F$437="NOTA DE CREDITO","IGV - Cuenta Propia (Credito Fiscal)","Cuentas por Pagar Comerciales - Terceros (Emitidas)"))</f>
        <v/>
      </c>
      <c r="E3904" s="20" t="str">
        <f>""</f>
        <v/>
      </c>
      <c r="F3904" s="20" t="str">
        <f>IF($C3904="","",IF(Registro_Compras!$F$437="NOTA DE CREDITO",ROUND(ABS(Registro_Compras!$K$437*Registro_Compras!$N$437),2),IF(Registro_Compras!$F$437="RHE",(ROUND(Registro_Compras!$L$437*Registro_Compras!$N$437,2)-ROUND(Registro_Compras!$V$437*Registro_Compras!$N$437,2)),Registro_Compras!$O$437)))</f>
        <v/>
      </c>
      <c r="G3904" t="str">
        <f>IF($C3904="","",IF(Registro_Compras!$F$437="NOTA DE CREDITO","Por la nota de credito "&amp;Registro_Compras!$C$437&amp;" de "&amp;Registro_Compras!$E$437&amp;" [PATRON POR CONFIRMAR CON CONTADOR]",IF(Registro_Compras!$F$437="RHE","Por el registro del recibo por honorarios "&amp;Registro_Compras!$C$437&amp;" de "&amp;Registro_Compras!$E$437&amp;" [PATRON POR CONFIRMAR CON CONTADOR]","Por el registro de la factura "&amp;Registro_Compras!$C$437&amp;" de "&amp;Registro_Compras!$E$437)))</f>
        <v/>
      </c>
      <c r="H3904" t="str">
        <f>IF($C3904="","",Registro_Compras!$C$437)</f>
        <v/>
      </c>
    </row>
    <row r="3905" spans="1:8" x14ac:dyDescent="0.25">
      <c r="A3905" s="25" t="str">
        <f>IF($C3905="","",Registro_Compras!$B$437)</f>
        <v/>
      </c>
      <c r="B3905" t="str">
        <f>IF($C3905="","","C"&amp;TEXT(INT((ROW()-5)/9)+1,"000")&amp;"-2")</f>
        <v/>
      </c>
      <c r="C3905" t="str">
        <f>IF(OR(Registro_Compras!$C$437="",Registro_Compras!$O$437=""),"",IF(Registro_Compras!$AB$437="ADMINISTRATIVO","94","95"))</f>
        <v/>
      </c>
      <c r="D3905" t="str">
        <f>IF(OR(Registro_Compras!$C$437="",Registro_Compras!$O$437=""),"",IF(Registro_Compras!$AB$437="ADMINISTRATIVO","Gastos Administrativos","Gastos de Venta y Operacion"))</f>
        <v/>
      </c>
      <c r="E3905" s="20" t="str">
        <f>IF($C3905="","",IF(Registro_Compras!$F$437="NOTA DE CREDITO","",IF(Registro_Compras!$F$437="RHE",ROUND(Registro_Compras!$L$437*Registro_Compras!$N$437,2),ROUND(Registro_Compras!$J$437*Registro_Compras!$N$437,2))))</f>
        <v/>
      </c>
      <c r="F3905" s="20" t="str">
        <f>IF($C3905="","",IF(Registro_Compras!$F$437="NOTA DE CREDITO",ROUND(ABS(Registro_Compras!$J$437*Registro_Compras!$N$437),2),""))</f>
        <v/>
      </c>
      <c r="G3905" t="str">
        <f>IF($C3905="","","Por el destino del gasto")</f>
        <v/>
      </c>
      <c r="H3905" t="str">
        <f>IF($C3905="","",Registro_Compras!$C$437)</f>
        <v/>
      </c>
    </row>
    <row r="3906" spans="1:8" x14ac:dyDescent="0.25">
      <c r="A3906" s="25" t="str">
        <f>IF($C3906="","",Registro_Compras!$B$437)</f>
        <v/>
      </c>
      <c r="B3906" t="str">
        <f>IF($C3906="","","C"&amp;TEXT(INT((ROW()-5)/9)+1,"000")&amp;"-2")</f>
        <v/>
      </c>
      <c r="C3906" t="str">
        <f>IF(OR(Registro_Compras!$C$437="",Registro_Compras!$O$437=""),"","79/791")</f>
        <v/>
      </c>
      <c r="D3906" t="str">
        <f>IF(OR(Registro_Compras!$C$437="",Registro_Compras!$O$437=""),"","Cargas Imputables a Cuentas de Costos y Gastos")</f>
        <v/>
      </c>
      <c r="E3906" s="20" t="str">
        <f>IF($C3906="","",IF(Registro_Compras!$F$437="NOTA DE CREDITO",ROUND(ABS(Registro_Compras!$J$437*Registro_Compras!$N$437),2),""))</f>
        <v/>
      </c>
      <c r="F3906" s="20" t="str">
        <f>IF($C3906="","",IF(Registro_Compras!$F$437="NOTA DE CREDITO","",IF(Registro_Compras!$F$437="RHE",ROUND(Registro_Compras!$L$437*Registro_Compras!$N$437,2),ROUND(Registro_Compras!$J$437*Registro_Compras!$N$437,2))))</f>
        <v/>
      </c>
      <c r="G3906" t="str">
        <f>IF($C3906="","","Por el destino del gasto")</f>
        <v/>
      </c>
      <c r="H3906" t="str">
        <f>IF($C3906="","",Registro_Compras!$C$437)</f>
        <v/>
      </c>
    </row>
    <row r="3907" spans="1:8" x14ac:dyDescent="0.25">
      <c r="A3907" s="25" t="str">
        <f>IF($C3907="","",Registro_Compras!$X$437)</f>
        <v/>
      </c>
      <c r="B3907" t="str">
        <f>IF($C3907="","","C"&amp;TEXT(INT((ROW()-5)/9)+1,"000")&amp;"-3")</f>
        <v/>
      </c>
      <c r="C3907" t="str">
        <f>IF(OR(Registro_Compras!$C$437="",Registro_Compras!$O$437="",Registro_Compras!$R$437&lt;&gt;"SI",Registro_Compras!$X$437=""),"","4212")</f>
        <v/>
      </c>
      <c r="D3907" t="str">
        <f>IF(OR(Registro_Compras!$C$437="",Registro_Compras!$O$437=""),"","Cuentas por Pagar Comerciales - Terceros")</f>
        <v/>
      </c>
      <c r="E3907" s="20" t="str">
        <f>IF($C3907="","",Registro_Compras!$S$437)</f>
        <v/>
      </c>
      <c r="F3907" s="20" t="str">
        <f>""</f>
        <v/>
      </c>
      <c r="G3907" t="str">
        <f>IF($C3907="","","Por el deposito de la detraccion en el Banco de la Nacion")</f>
        <v/>
      </c>
      <c r="H3907" t="str">
        <f>IF($C3907="","",Registro_Compras!$C$437)</f>
        <v/>
      </c>
    </row>
    <row r="3908" spans="1:8" x14ac:dyDescent="0.25">
      <c r="A3908" s="25" t="str">
        <f>IF($C3908="","",Registro_Compras!$X$437)</f>
        <v/>
      </c>
      <c r="B3908" t="str">
        <f>IF($C3908="","","C"&amp;TEXT(INT((ROW()-5)/9)+1,"000")&amp;"-3")</f>
        <v/>
      </c>
      <c r="C3908" t="str">
        <f>IF(OR(Registro_Compras!$C$437="",Registro_Compras!$O$437="",Registro_Compras!$R$437&lt;&gt;"SI",Registro_Compras!$X$437=""),"","1041")</f>
        <v/>
      </c>
      <c r="D3908" t="str">
        <f>IF(OR(Registro_Compras!$C$437="",Registro_Compras!$O$437=""),"","Efectivo y Equivalentes - Cta. Cte. Operativa")</f>
        <v/>
      </c>
      <c r="E3908" s="20" t="str">
        <f>""</f>
        <v/>
      </c>
      <c r="F3908" s="20" t="str">
        <f>IF($C3908="","",Registro_Compras!$S$437)</f>
        <v/>
      </c>
      <c r="G3908" t="str">
        <f>IF($C3908="","","Por el deposito de la detraccion en el Banco de la Nacion")</f>
        <v/>
      </c>
      <c r="H3908" t="str">
        <f>IF($C3908="","",Registro_Compras!$C$437)</f>
        <v/>
      </c>
    </row>
    <row r="3909" spans="1:8" x14ac:dyDescent="0.25">
      <c r="A3909" s="25" t="str">
        <f>IF($C3909="","",Registro_Compras!$Y$437)</f>
        <v/>
      </c>
      <c r="B3909" t="str">
        <f>IF($C3909="","","C"&amp;TEXT(INT((ROW()-5)/9)+1,"000")&amp;"-4")</f>
        <v/>
      </c>
      <c r="C3909" t="str">
        <f>IF(OR(Registro_Compras!$C$437="",Registro_Compras!$O$437="",Registro_Compras!$Y$437="",Registro_Compras!$F$437="NOTA DE CREDITO"),"","4212")</f>
        <v/>
      </c>
      <c r="D3909" t="str">
        <f>IF(OR(Registro_Compras!$C$437="",Registro_Compras!$O$437=""),"","Cuentas por Pagar Comerciales - Terceros")</f>
        <v/>
      </c>
      <c r="E3909" s="20" t="str">
        <f>IF($C3909="","",IF(Registro_Compras!$F$437="RHE",(ROUND(Registro_Compras!$L$437*Registro_Compras!$N$437,2)-ROUND(Registro_Compras!$V$437*Registro_Compras!$N$437,2)),ROUND(Registro_Compras!$O$437-Registro_Compras!$S$437,2)))</f>
        <v/>
      </c>
      <c r="F3909" s="20" t="str">
        <f>""</f>
        <v/>
      </c>
      <c r="G3909" t="str">
        <f>IF($C3909="","","Por la cancelacion del saldo al proveedor")</f>
        <v/>
      </c>
      <c r="H3909" t="str">
        <f>IF($C3909="","",Registro_Compras!$C$437)</f>
        <v/>
      </c>
    </row>
    <row r="3910" spans="1:8" x14ac:dyDescent="0.25">
      <c r="A3910" s="25" t="str">
        <f>IF($C3910="","",Registro_Compras!$Y$437)</f>
        <v/>
      </c>
      <c r="B3910" t="str">
        <f>IF($C3910="","","C"&amp;TEXT(INT((ROW()-5)/9)+1,"000")&amp;"-4")</f>
        <v/>
      </c>
      <c r="C3910" t="str">
        <f>IF(OR(Registro_Compras!$C$437="",Registro_Compras!$O$437="",Registro_Compras!$Y$437="",Registro_Compras!$F$437="NOTA DE CREDITO"),"","1041")</f>
        <v/>
      </c>
      <c r="D3910" t="str">
        <f>IF(OR(Registro_Compras!$C$437="",Registro_Compras!$O$437=""),"","Efectivo y Equivalentes - Cta. Cte. Operativa")</f>
        <v/>
      </c>
      <c r="E3910" s="20" t="str">
        <f>""</f>
        <v/>
      </c>
      <c r="F3910" s="20" t="str">
        <f>IF($C3910="","",IF(Registro_Compras!$F$437="RHE",(ROUND(Registro_Compras!$L$437*Registro_Compras!$N$437,2)-ROUND(Registro_Compras!$V$437*Registro_Compras!$N$437,2)),ROUND(Registro_Compras!$O$437-Registro_Compras!$S$437,2)))</f>
        <v/>
      </c>
      <c r="G3910" t="str">
        <f>IF($C3910="","","Por la cancelacion del saldo al proveedor")</f>
        <v/>
      </c>
      <c r="H3910" t="str">
        <f>IF($C3910="","",Registro_Compras!$C$437)</f>
        <v/>
      </c>
    </row>
    <row r="3911" spans="1:8" x14ac:dyDescent="0.25">
      <c r="A3911" s="25" t="str">
        <f>IF($C3911="","",Registro_Compras!$B$438)</f>
        <v/>
      </c>
      <c r="B3911" t="str">
        <f>IF($C3911="","","C"&amp;TEXT(INT((ROW()-5)/9)+1,"000")&amp;"-1")</f>
        <v/>
      </c>
      <c r="C3911" t="str">
        <f>IF(OR(Registro_Compras!$C$438="",Registro_Compras!$O$438=""),"",IF(Registro_Compras!$F$438="NOTA DE CREDITO","4212",IF(Registro_Compras!$M$438="","63",Registro_Compras!$M$438)))</f>
        <v/>
      </c>
      <c r="D3911" t="str">
        <f>IF(OR(Registro_Compras!$C$438="",Registro_Compras!$O$438=""),"",IF(Registro_Compras!$F$438="NOTA DE CREDITO","Cuentas por Pagar Comerciales - Terceros (Emitidas)",IF(Registro_Compras!$F$438="RHE","Honorarios Profesionales - Servicios de Terceros","Gastos de Servicios Prestados por Terceros")))</f>
        <v/>
      </c>
      <c r="E3911" s="20" t="str">
        <f>IF($C3911="","",IF(Registro_Compras!$F$438="NOTA DE CREDITO",ABS(Registro_Compras!$O$438),IF(Registro_Compras!$F$438="RHE",ROUND(Registro_Compras!$L$438*Registro_Compras!$N$438,2),ROUND(Registro_Compras!$J$438*Registro_Compras!$N$438,2))))</f>
        <v/>
      </c>
      <c r="F3911" s="20" t="str">
        <f>""</f>
        <v/>
      </c>
      <c r="G3911" t="str">
        <f>IF($C3911="","",IF(Registro_Compras!$F$438="NOTA DE CREDITO","Por la nota de credito "&amp;Registro_Compras!$C$438&amp;" de "&amp;Registro_Compras!$E$438&amp;" [PATRON POR CONFIRMAR CON CONTADOR]",IF(Registro_Compras!$F$438="RHE","Por el registro del recibo por honorarios "&amp;Registro_Compras!$C$438&amp;" de "&amp;Registro_Compras!$E$438&amp;" [PATRON POR CONFIRMAR CON CONTADOR]","Por el registro de la factura "&amp;Registro_Compras!$C$438&amp;" de "&amp;Registro_Compras!$E$438)))</f>
        <v/>
      </c>
      <c r="H3911" t="str">
        <f>IF($C3911="","",Registro_Compras!$C$438)</f>
        <v/>
      </c>
    </row>
    <row r="3912" spans="1:8" x14ac:dyDescent="0.25">
      <c r="A3912" s="25" t="str">
        <f>IF($C3912="","",Registro_Compras!$B$438)</f>
        <v/>
      </c>
      <c r="B3912" t="str">
        <f>IF($C3912="","","C"&amp;TEXT(INT((ROW()-5)/9)+1,"000")&amp;"-1")</f>
        <v/>
      </c>
      <c r="C3912" t="str">
        <f>IF(OR(Registro_Compras!$C$438="",Registro_Compras!$O$438=""),"",IF(Registro_Compras!$F$438="RHE",IF(Registro_Compras!$V$438=0,"","4017"),IF(Registro_Compras!$F$438="NOTA DE CREDITO",IF(Registro_Compras!$M$438="","63",Registro_Compras!$M$438),IF(Registro_Compras!$K$438=0,"","40111"))))</f>
        <v/>
      </c>
      <c r="D3912" t="str">
        <f>IF(OR(Registro_Compras!$C$438="",Registro_Compras!$O$438=""),"",IF(Registro_Compras!$F$438="RHE","Retencion Renta 4ta Categoria por Pagar",IF(Registro_Compras!$F$438="NOTA DE CREDITO","Gastos de Servicios Prestados por Terceros","IGV - Cuenta Propia (Credito Fiscal)")))</f>
        <v/>
      </c>
      <c r="E3912" s="20" t="str">
        <f>IF($C3912="","",IF(Registro_Compras!$F$438="FACTURA",ROUND(Registro_Compras!$K$438*Registro_Compras!$N$438,2),""))</f>
        <v/>
      </c>
      <c r="F3912" s="20" t="str">
        <f>IF($C3912="","",IF(Registro_Compras!$F$438="RHE",ROUND(Registro_Compras!$V$438*Registro_Compras!$N$438,2),IF(Registro_Compras!$F$438="NOTA DE CREDITO",ROUND(ABS(Registro_Compras!$J$438*Registro_Compras!$N$438),2),"")))</f>
        <v/>
      </c>
      <c r="G3912" t="str">
        <f>IF($C3912="","",IF(Registro_Compras!$F$438="NOTA DE CREDITO","Por la nota de credito "&amp;Registro_Compras!$C$438&amp;" de "&amp;Registro_Compras!$E$438&amp;" [PATRON POR CONFIRMAR CON CONTADOR]",IF(Registro_Compras!$F$438="RHE","Por el registro del recibo por honorarios "&amp;Registro_Compras!$C$438&amp;" de "&amp;Registro_Compras!$E$438&amp;" [PATRON POR CONFIRMAR CON CONTADOR]","Por el registro de la factura "&amp;Registro_Compras!$C$438&amp;" de "&amp;Registro_Compras!$E$438)))</f>
        <v/>
      </c>
      <c r="H3912" t="str">
        <f>IF($C3912="","",Registro_Compras!$C$438)</f>
        <v/>
      </c>
    </row>
    <row r="3913" spans="1:8" x14ac:dyDescent="0.25">
      <c r="A3913" s="25" t="str">
        <f>IF($C3913="","",Registro_Compras!$B$438)</f>
        <v/>
      </c>
      <c r="B3913" t="str">
        <f>IF($C3913="","","C"&amp;TEXT(INT((ROW()-5)/9)+1,"000")&amp;"-1")</f>
        <v/>
      </c>
      <c r="C3913" t="str">
        <f>IF(OR(Registro_Compras!$C$438="",Registro_Compras!$O$438=""),"",IF(Registro_Compras!$F$438="NOTA DE CREDITO",IF(Registro_Compras!$K$438=0,"","40111"),"4212"))</f>
        <v/>
      </c>
      <c r="D3913" t="str">
        <f>IF(OR(Registro_Compras!$C$438="",Registro_Compras!$O$438=""),"",IF(Registro_Compras!$F$438="NOTA DE CREDITO","IGV - Cuenta Propia (Credito Fiscal)","Cuentas por Pagar Comerciales - Terceros (Emitidas)"))</f>
        <v/>
      </c>
      <c r="E3913" s="20" t="str">
        <f>""</f>
        <v/>
      </c>
      <c r="F3913" s="20" t="str">
        <f>IF($C3913="","",IF(Registro_Compras!$F$438="NOTA DE CREDITO",ROUND(ABS(Registro_Compras!$K$438*Registro_Compras!$N$438),2),IF(Registro_Compras!$F$438="RHE",(ROUND(Registro_Compras!$L$438*Registro_Compras!$N$438,2)-ROUND(Registro_Compras!$V$438*Registro_Compras!$N$438,2)),Registro_Compras!$O$438)))</f>
        <v/>
      </c>
      <c r="G3913" t="str">
        <f>IF($C3913="","",IF(Registro_Compras!$F$438="NOTA DE CREDITO","Por la nota de credito "&amp;Registro_Compras!$C$438&amp;" de "&amp;Registro_Compras!$E$438&amp;" [PATRON POR CONFIRMAR CON CONTADOR]",IF(Registro_Compras!$F$438="RHE","Por el registro del recibo por honorarios "&amp;Registro_Compras!$C$438&amp;" de "&amp;Registro_Compras!$E$438&amp;" [PATRON POR CONFIRMAR CON CONTADOR]","Por el registro de la factura "&amp;Registro_Compras!$C$438&amp;" de "&amp;Registro_Compras!$E$438)))</f>
        <v/>
      </c>
      <c r="H3913" t="str">
        <f>IF($C3913="","",Registro_Compras!$C$438)</f>
        <v/>
      </c>
    </row>
    <row r="3914" spans="1:8" x14ac:dyDescent="0.25">
      <c r="A3914" s="25" t="str">
        <f>IF($C3914="","",Registro_Compras!$B$438)</f>
        <v/>
      </c>
      <c r="B3914" t="str">
        <f>IF($C3914="","","C"&amp;TEXT(INT((ROW()-5)/9)+1,"000")&amp;"-2")</f>
        <v/>
      </c>
      <c r="C3914" t="str">
        <f>IF(OR(Registro_Compras!$C$438="",Registro_Compras!$O$438=""),"",IF(Registro_Compras!$AB$438="ADMINISTRATIVO","94","95"))</f>
        <v/>
      </c>
      <c r="D3914" t="str">
        <f>IF(OR(Registro_Compras!$C$438="",Registro_Compras!$O$438=""),"",IF(Registro_Compras!$AB$438="ADMINISTRATIVO","Gastos Administrativos","Gastos de Venta y Operacion"))</f>
        <v/>
      </c>
      <c r="E3914" s="20" t="str">
        <f>IF($C3914="","",IF(Registro_Compras!$F$438="NOTA DE CREDITO","",IF(Registro_Compras!$F$438="RHE",ROUND(Registro_Compras!$L$438*Registro_Compras!$N$438,2),ROUND(Registro_Compras!$J$438*Registro_Compras!$N$438,2))))</f>
        <v/>
      </c>
      <c r="F3914" s="20" t="str">
        <f>IF($C3914="","",IF(Registro_Compras!$F$438="NOTA DE CREDITO",ROUND(ABS(Registro_Compras!$J$438*Registro_Compras!$N$438),2),""))</f>
        <v/>
      </c>
      <c r="G3914" t="str">
        <f>IF($C3914="","","Por el destino del gasto")</f>
        <v/>
      </c>
      <c r="H3914" t="str">
        <f>IF($C3914="","",Registro_Compras!$C$438)</f>
        <v/>
      </c>
    </row>
    <row r="3915" spans="1:8" x14ac:dyDescent="0.25">
      <c r="A3915" s="25" t="str">
        <f>IF($C3915="","",Registro_Compras!$B$438)</f>
        <v/>
      </c>
      <c r="B3915" t="str">
        <f>IF($C3915="","","C"&amp;TEXT(INT((ROW()-5)/9)+1,"000")&amp;"-2")</f>
        <v/>
      </c>
      <c r="C3915" t="str">
        <f>IF(OR(Registro_Compras!$C$438="",Registro_Compras!$O$438=""),"","79/791")</f>
        <v/>
      </c>
      <c r="D3915" t="str">
        <f>IF(OR(Registro_Compras!$C$438="",Registro_Compras!$O$438=""),"","Cargas Imputables a Cuentas de Costos y Gastos")</f>
        <v/>
      </c>
      <c r="E3915" s="20" t="str">
        <f>IF($C3915="","",IF(Registro_Compras!$F$438="NOTA DE CREDITO",ROUND(ABS(Registro_Compras!$J$438*Registro_Compras!$N$438),2),""))</f>
        <v/>
      </c>
      <c r="F3915" s="20" t="str">
        <f>IF($C3915="","",IF(Registro_Compras!$F$438="NOTA DE CREDITO","",IF(Registro_Compras!$F$438="RHE",ROUND(Registro_Compras!$L$438*Registro_Compras!$N$438,2),ROUND(Registro_Compras!$J$438*Registro_Compras!$N$438,2))))</f>
        <v/>
      </c>
      <c r="G3915" t="str">
        <f>IF($C3915="","","Por el destino del gasto")</f>
        <v/>
      </c>
      <c r="H3915" t="str">
        <f>IF($C3915="","",Registro_Compras!$C$438)</f>
        <v/>
      </c>
    </row>
    <row r="3916" spans="1:8" x14ac:dyDescent="0.25">
      <c r="A3916" s="25" t="str">
        <f>IF($C3916="","",Registro_Compras!$X$438)</f>
        <v/>
      </c>
      <c r="B3916" t="str">
        <f>IF($C3916="","","C"&amp;TEXT(INT((ROW()-5)/9)+1,"000")&amp;"-3")</f>
        <v/>
      </c>
      <c r="C3916" t="str">
        <f>IF(OR(Registro_Compras!$C$438="",Registro_Compras!$O$438="",Registro_Compras!$R$438&lt;&gt;"SI",Registro_Compras!$X$438=""),"","4212")</f>
        <v/>
      </c>
      <c r="D3916" t="str">
        <f>IF(OR(Registro_Compras!$C$438="",Registro_Compras!$O$438=""),"","Cuentas por Pagar Comerciales - Terceros")</f>
        <v/>
      </c>
      <c r="E3916" s="20" t="str">
        <f>IF($C3916="","",Registro_Compras!$S$438)</f>
        <v/>
      </c>
      <c r="F3916" s="20" t="str">
        <f>""</f>
        <v/>
      </c>
      <c r="G3916" t="str">
        <f>IF($C3916="","","Por el deposito de la detraccion en el Banco de la Nacion")</f>
        <v/>
      </c>
      <c r="H3916" t="str">
        <f>IF($C3916="","",Registro_Compras!$C$438)</f>
        <v/>
      </c>
    </row>
    <row r="3917" spans="1:8" x14ac:dyDescent="0.25">
      <c r="A3917" s="25" t="str">
        <f>IF($C3917="","",Registro_Compras!$X$438)</f>
        <v/>
      </c>
      <c r="B3917" t="str">
        <f>IF($C3917="","","C"&amp;TEXT(INT((ROW()-5)/9)+1,"000")&amp;"-3")</f>
        <v/>
      </c>
      <c r="C3917" t="str">
        <f>IF(OR(Registro_Compras!$C$438="",Registro_Compras!$O$438="",Registro_Compras!$R$438&lt;&gt;"SI",Registro_Compras!$X$438=""),"","1041")</f>
        <v/>
      </c>
      <c r="D3917" t="str">
        <f>IF(OR(Registro_Compras!$C$438="",Registro_Compras!$O$438=""),"","Efectivo y Equivalentes - Cta. Cte. Operativa")</f>
        <v/>
      </c>
      <c r="E3917" s="20" t="str">
        <f>""</f>
        <v/>
      </c>
      <c r="F3917" s="20" t="str">
        <f>IF($C3917="","",Registro_Compras!$S$438)</f>
        <v/>
      </c>
      <c r="G3917" t="str">
        <f>IF($C3917="","","Por el deposito de la detraccion en el Banco de la Nacion")</f>
        <v/>
      </c>
      <c r="H3917" t="str">
        <f>IF($C3917="","",Registro_Compras!$C$438)</f>
        <v/>
      </c>
    </row>
    <row r="3918" spans="1:8" x14ac:dyDescent="0.25">
      <c r="A3918" s="25" t="str">
        <f>IF($C3918="","",Registro_Compras!$Y$438)</f>
        <v/>
      </c>
      <c r="B3918" t="str">
        <f>IF($C3918="","","C"&amp;TEXT(INT((ROW()-5)/9)+1,"000")&amp;"-4")</f>
        <v/>
      </c>
      <c r="C3918" t="str">
        <f>IF(OR(Registro_Compras!$C$438="",Registro_Compras!$O$438="",Registro_Compras!$Y$438="",Registro_Compras!$F$438="NOTA DE CREDITO"),"","4212")</f>
        <v/>
      </c>
      <c r="D3918" t="str">
        <f>IF(OR(Registro_Compras!$C$438="",Registro_Compras!$O$438=""),"","Cuentas por Pagar Comerciales - Terceros")</f>
        <v/>
      </c>
      <c r="E3918" s="20" t="str">
        <f>IF($C3918="","",IF(Registro_Compras!$F$438="RHE",(ROUND(Registro_Compras!$L$438*Registro_Compras!$N$438,2)-ROUND(Registro_Compras!$V$438*Registro_Compras!$N$438,2)),ROUND(Registro_Compras!$O$438-Registro_Compras!$S$438,2)))</f>
        <v/>
      </c>
      <c r="F3918" s="20" t="str">
        <f>""</f>
        <v/>
      </c>
      <c r="G3918" t="str">
        <f>IF($C3918="","","Por la cancelacion del saldo al proveedor")</f>
        <v/>
      </c>
      <c r="H3918" t="str">
        <f>IF($C3918="","",Registro_Compras!$C$438)</f>
        <v/>
      </c>
    </row>
    <row r="3919" spans="1:8" x14ac:dyDescent="0.25">
      <c r="A3919" s="25" t="str">
        <f>IF($C3919="","",Registro_Compras!$Y$438)</f>
        <v/>
      </c>
      <c r="B3919" t="str">
        <f>IF($C3919="","","C"&amp;TEXT(INT((ROW()-5)/9)+1,"000")&amp;"-4")</f>
        <v/>
      </c>
      <c r="C3919" t="str">
        <f>IF(OR(Registro_Compras!$C$438="",Registro_Compras!$O$438="",Registro_Compras!$Y$438="",Registro_Compras!$F$438="NOTA DE CREDITO"),"","1041")</f>
        <v/>
      </c>
      <c r="D3919" t="str">
        <f>IF(OR(Registro_Compras!$C$438="",Registro_Compras!$O$438=""),"","Efectivo y Equivalentes - Cta. Cte. Operativa")</f>
        <v/>
      </c>
      <c r="E3919" s="20" t="str">
        <f>""</f>
        <v/>
      </c>
      <c r="F3919" s="20" t="str">
        <f>IF($C3919="","",IF(Registro_Compras!$F$438="RHE",(ROUND(Registro_Compras!$L$438*Registro_Compras!$N$438,2)-ROUND(Registro_Compras!$V$438*Registro_Compras!$N$438,2)),ROUND(Registro_Compras!$O$438-Registro_Compras!$S$438,2)))</f>
        <v/>
      </c>
      <c r="G3919" t="str">
        <f>IF($C3919="","","Por la cancelacion del saldo al proveedor")</f>
        <v/>
      </c>
      <c r="H3919" t="str">
        <f>IF($C3919="","",Registro_Compras!$C$438)</f>
        <v/>
      </c>
    </row>
    <row r="3920" spans="1:8" x14ac:dyDescent="0.25">
      <c r="A3920" s="25" t="str">
        <f>IF($C3920="","",Registro_Compras!$B$439)</f>
        <v/>
      </c>
      <c r="B3920" t="str">
        <f>IF($C3920="","","C"&amp;TEXT(INT((ROW()-5)/9)+1,"000")&amp;"-1")</f>
        <v/>
      </c>
      <c r="C3920" t="str">
        <f>IF(OR(Registro_Compras!$C$439="",Registro_Compras!$O$439=""),"",IF(Registro_Compras!$F$439="NOTA DE CREDITO","4212",IF(Registro_Compras!$M$439="","63",Registro_Compras!$M$439)))</f>
        <v/>
      </c>
      <c r="D3920" t="str">
        <f>IF(OR(Registro_Compras!$C$439="",Registro_Compras!$O$439=""),"",IF(Registro_Compras!$F$439="NOTA DE CREDITO","Cuentas por Pagar Comerciales - Terceros (Emitidas)",IF(Registro_Compras!$F$439="RHE","Honorarios Profesionales - Servicios de Terceros","Gastos de Servicios Prestados por Terceros")))</f>
        <v/>
      </c>
      <c r="E3920" s="20" t="str">
        <f>IF($C3920="","",IF(Registro_Compras!$F$439="NOTA DE CREDITO",ABS(Registro_Compras!$O$439),IF(Registro_Compras!$F$439="RHE",ROUND(Registro_Compras!$L$439*Registro_Compras!$N$439,2),ROUND(Registro_Compras!$J$439*Registro_Compras!$N$439,2))))</f>
        <v/>
      </c>
      <c r="F3920" s="20" t="str">
        <f>""</f>
        <v/>
      </c>
      <c r="G3920" t="str">
        <f>IF($C3920="","",IF(Registro_Compras!$F$439="NOTA DE CREDITO","Por la nota de credito "&amp;Registro_Compras!$C$439&amp;" de "&amp;Registro_Compras!$E$439&amp;" [PATRON POR CONFIRMAR CON CONTADOR]",IF(Registro_Compras!$F$439="RHE","Por el registro del recibo por honorarios "&amp;Registro_Compras!$C$439&amp;" de "&amp;Registro_Compras!$E$439&amp;" [PATRON POR CONFIRMAR CON CONTADOR]","Por el registro de la factura "&amp;Registro_Compras!$C$439&amp;" de "&amp;Registro_Compras!$E$439)))</f>
        <v/>
      </c>
      <c r="H3920" t="str">
        <f>IF($C3920="","",Registro_Compras!$C$439)</f>
        <v/>
      </c>
    </row>
    <row r="3921" spans="1:8" x14ac:dyDescent="0.25">
      <c r="A3921" s="25" t="str">
        <f>IF($C3921="","",Registro_Compras!$B$439)</f>
        <v/>
      </c>
      <c r="B3921" t="str">
        <f>IF($C3921="","","C"&amp;TEXT(INT((ROW()-5)/9)+1,"000")&amp;"-1")</f>
        <v/>
      </c>
      <c r="C3921" t="str">
        <f>IF(OR(Registro_Compras!$C$439="",Registro_Compras!$O$439=""),"",IF(Registro_Compras!$F$439="RHE",IF(Registro_Compras!$V$439=0,"","4017"),IF(Registro_Compras!$F$439="NOTA DE CREDITO",IF(Registro_Compras!$M$439="","63",Registro_Compras!$M$439),IF(Registro_Compras!$K$439=0,"","40111"))))</f>
        <v/>
      </c>
      <c r="D3921" t="str">
        <f>IF(OR(Registro_Compras!$C$439="",Registro_Compras!$O$439=""),"",IF(Registro_Compras!$F$439="RHE","Retencion Renta 4ta Categoria por Pagar",IF(Registro_Compras!$F$439="NOTA DE CREDITO","Gastos de Servicios Prestados por Terceros","IGV - Cuenta Propia (Credito Fiscal)")))</f>
        <v/>
      </c>
      <c r="E3921" s="20" t="str">
        <f>IF($C3921="","",IF(Registro_Compras!$F$439="FACTURA",ROUND(Registro_Compras!$K$439*Registro_Compras!$N$439,2),""))</f>
        <v/>
      </c>
      <c r="F3921" s="20" t="str">
        <f>IF($C3921="","",IF(Registro_Compras!$F$439="RHE",ROUND(Registro_Compras!$V$439*Registro_Compras!$N$439,2),IF(Registro_Compras!$F$439="NOTA DE CREDITO",ROUND(ABS(Registro_Compras!$J$439*Registro_Compras!$N$439),2),"")))</f>
        <v/>
      </c>
      <c r="G3921" t="str">
        <f>IF($C3921="","",IF(Registro_Compras!$F$439="NOTA DE CREDITO","Por la nota de credito "&amp;Registro_Compras!$C$439&amp;" de "&amp;Registro_Compras!$E$439&amp;" [PATRON POR CONFIRMAR CON CONTADOR]",IF(Registro_Compras!$F$439="RHE","Por el registro del recibo por honorarios "&amp;Registro_Compras!$C$439&amp;" de "&amp;Registro_Compras!$E$439&amp;" [PATRON POR CONFIRMAR CON CONTADOR]","Por el registro de la factura "&amp;Registro_Compras!$C$439&amp;" de "&amp;Registro_Compras!$E$439)))</f>
        <v/>
      </c>
      <c r="H3921" t="str">
        <f>IF($C3921="","",Registro_Compras!$C$439)</f>
        <v/>
      </c>
    </row>
    <row r="3922" spans="1:8" x14ac:dyDescent="0.25">
      <c r="A3922" s="25" t="str">
        <f>IF($C3922="","",Registro_Compras!$B$439)</f>
        <v/>
      </c>
      <c r="B3922" t="str">
        <f>IF($C3922="","","C"&amp;TEXT(INT((ROW()-5)/9)+1,"000")&amp;"-1")</f>
        <v/>
      </c>
      <c r="C3922" t="str">
        <f>IF(OR(Registro_Compras!$C$439="",Registro_Compras!$O$439=""),"",IF(Registro_Compras!$F$439="NOTA DE CREDITO",IF(Registro_Compras!$K$439=0,"","40111"),"4212"))</f>
        <v/>
      </c>
      <c r="D3922" t="str">
        <f>IF(OR(Registro_Compras!$C$439="",Registro_Compras!$O$439=""),"",IF(Registro_Compras!$F$439="NOTA DE CREDITO","IGV - Cuenta Propia (Credito Fiscal)","Cuentas por Pagar Comerciales - Terceros (Emitidas)"))</f>
        <v/>
      </c>
      <c r="E3922" s="20" t="str">
        <f>""</f>
        <v/>
      </c>
      <c r="F3922" s="20" t="str">
        <f>IF($C3922="","",IF(Registro_Compras!$F$439="NOTA DE CREDITO",ROUND(ABS(Registro_Compras!$K$439*Registro_Compras!$N$439),2),IF(Registro_Compras!$F$439="RHE",(ROUND(Registro_Compras!$L$439*Registro_Compras!$N$439,2)-ROUND(Registro_Compras!$V$439*Registro_Compras!$N$439,2)),Registro_Compras!$O$439)))</f>
        <v/>
      </c>
      <c r="G3922" t="str">
        <f>IF($C3922="","",IF(Registro_Compras!$F$439="NOTA DE CREDITO","Por la nota de credito "&amp;Registro_Compras!$C$439&amp;" de "&amp;Registro_Compras!$E$439&amp;" [PATRON POR CONFIRMAR CON CONTADOR]",IF(Registro_Compras!$F$439="RHE","Por el registro del recibo por honorarios "&amp;Registro_Compras!$C$439&amp;" de "&amp;Registro_Compras!$E$439&amp;" [PATRON POR CONFIRMAR CON CONTADOR]","Por el registro de la factura "&amp;Registro_Compras!$C$439&amp;" de "&amp;Registro_Compras!$E$439)))</f>
        <v/>
      </c>
      <c r="H3922" t="str">
        <f>IF($C3922="","",Registro_Compras!$C$439)</f>
        <v/>
      </c>
    </row>
    <row r="3923" spans="1:8" x14ac:dyDescent="0.25">
      <c r="A3923" s="25" t="str">
        <f>IF($C3923="","",Registro_Compras!$B$439)</f>
        <v/>
      </c>
      <c r="B3923" t="str">
        <f>IF($C3923="","","C"&amp;TEXT(INT((ROW()-5)/9)+1,"000")&amp;"-2")</f>
        <v/>
      </c>
      <c r="C3923" t="str">
        <f>IF(OR(Registro_Compras!$C$439="",Registro_Compras!$O$439=""),"",IF(Registro_Compras!$AB$439="ADMINISTRATIVO","94","95"))</f>
        <v/>
      </c>
      <c r="D3923" t="str">
        <f>IF(OR(Registro_Compras!$C$439="",Registro_Compras!$O$439=""),"",IF(Registro_Compras!$AB$439="ADMINISTRATIVO","Gastos Administrativos","Gastos de Venta y Operacion"))</f>
        <v/>
      </c>
      <c r="E3923" s="20" t="str">
        <f>IF($C3923="","",IF(Registro_Compras!$F$439="NOTA DE CREDITO","",IF(Registro_Compras!$F$439="RHE",ROUND(Registro_Compras!$L$439*Registro_Compras!$N$439,2),ROUND(Registro_Compras!$J$439*Registro_Compras!$N$439,2))))</f>
        <v/>
      </c>
      <c r="F3923" s="20" t="str">
        <f>IF($C3923="","",IF(Registro_Compras!$F$439="NOTA DE CREDITO",ROUND(ABS(Registro_Compras!$J$439*Registro_Compras!$N$439),2),""))</f>
        <v/>
      </c>
      <c r="G3923" t="str">
        <f>IF($C3923="","","Por el destino del gasto")</f>
        <v/>
      </c>
      <c r="H3923" t="str">
        <f>IF($C3923="","",Registro_Compras!$C$439)</f>
        <v/>
      </c>
    </row>
    <row r="3924" spans="1:8" x14ac:dyDescent="0.25">
      <c r="A3924" s="25" t="str">
        <f>IF($C3924="","",Registro_Compras!$B$439)</f>
        <v/>
      </c>
      <c r="B3924" t="str">
        <f>IF($C3924="","","C"&amp;TEXT(INT((ROW()-5)/9)+1,"000")&amp;"-2")</f>
        <v/>
      </c>
      <c r="C3924" t="str">
        <f>IF(OR(Registro_Compras!$C$439="",Registro_Compras!$O$439=""),"","79/791")</f>
        <v/>
      </c>
      <c r="D3924" t="str">
        <f>IF(OR(Registro_Compras!$C$439="",Registro_Compras!$O$439=""),"","Cargas Imputables a Cuentas de Costos y Gastos")</f>
        <v/>
      </c>
      <c r="E3924" s="20" t="str">
        <f>IF($C3924="","",IF(Registro_Compras!$F$439="NOTA DE CREDITO",ROUND(ABS(Registro_Compras!$J$439*Registro_Compras!$N$439),2),""))</f>
        <v/>
      </c>
      <c r="F3924" s="20" t="str">
        <f>IF($C3924="","",IF(Registro_Compras!$F$439="NOTA DE CREDITO","",IF(Registro_Compras!$F$439="RHE",ROUND(Registro_Compras!$L$439*Registro_Compras!$N$439,2),ROUND(Registro_Compras!$J$439*Registro_Compras!$N$439,2))))</f>
        <v/>
      </c>
      <c r="G3924" t="str">
        <f>IF($C3924="","","Por el destino del gasto")</f>
        <v/>
      </c>
      <c r="H3924" t="str">
        <f>IF($C3924="","",Registro_Compras!$C$439)</f>
        <v/>
      </c>
    </row>
    <row r="3925" spans="1:8" x14ac:dyDescent="0.25">
      <c r="A3925" s="25" t="str">
        <f>IF($C3925="","",Registro_Compras!$X$439)</f>
        <v/>
      </c>
      <c r="B3925" t="str">
        <f>IF($C3925="","","C"&amp;TEXT(INT((ROW()-5)/9)+1,"000")&amp;"-3")</f>
        <v/>
      </c>
      <c r="C3925" t="str">
        <f>IF(OR(Registro_Compras!$C$439="",Registro_Compras!$O$439="",Registro_Compras!$R$439&lt;&gt;"SI",Registro_Compras!$X$439=""),"","4212")</f>
        <v/>
      </c>
      <c r="D3925" t="str">
        <f>IF(OR(Registro_Compras!$C$439="",Registro_Compras!$O$439=""),"","Cuentas por Pagar Comerciales - Terceros")</f>
        <v/>
      </c>
      <c r="E3925" s="20" t="str">
        <f>IF($C3925="","",Registro_Compras!$S$439)</f>
        <v/>
      </c>
      <c r="F3925" s="20" t="str">
        <f>""</f>
        <v/>
      </c>
      <c r="G3925" t="str">
        <f>IF($C3925="","","Por el deposito de la detraccion en el Banco de la Nacion")</f>
        <v/>
      </c>
      <c r="H3925" t="str">
        <f>IF($C3925="","",Registro_Compras!$C$439)</f>
        <v/>
      </c>
    </row>
    <row r="3926" spans="1:8" x14ac:dyDescent="0.25">
      <c r="A3926" s="25" t="str">
        <f>IF($C3926="","",Registro_Compras!$X$439)</f>
        <v/>
      </c>
      <c r="B3926" t="str">
        <f>IF($C3926="","","C"&amp;TEXT(INT((ROW()-5)/9)+1,"000")&amp;"-3")</f>
        <v/>
      </c>
      <c r="C3926" t="str">
        <f>IF(OR(Registro_Compras!$C$439="",Registro_Compras!$O$439="",Registro_Compras!$R$439&lt;&gt;"SI",Registro_Compras!$X$439=""),"","1041")</f>
        <v/>
      </c>
      <c r="D3926" t="str">
        <f>IF(OR(Registro_Compras!$C$439="",Registro_Compras!$O$439=""),"","Efectivo y Equivalentes - Cta. Cte. Operativa")</f>
        <v/>
      </c>
      <c r="E3926" s="20" t="str">
        <f>""</f>
        <v/>
      </c>
      <c r="F3926" s="20" t="str">
        <f>IF($C3926="","",Registro_Compras!$S$439)</f>
        <v/>
      </c>
      <c r="G3926" t="str">
        <f>IF($C3926="","","Por el deposito de la detraccion en el Banco de la Nacion")</f>
        <v/>
      </c>
      <c r="H3926" t="str">
        <f>IF($C3926="","",Registro_Compras!$C$439)</f>
        <v/>
      </c>
    </row>
    <row r="3927" spans="1:8" x14ac:dyDescent="0.25">
      <c r="A3927" s="25" t="str">
        <f>IF($C3927="","",Registro_Compras!$Y$439)</f>
        <v/>
      </c>
      <c r="B3927" t="str">
        <f>IF($C3927="","","C"&amp;TEXT(INT((ROW()-5)/9)+1,"000")&amp;"-4")</f>
        <v/>
      </c>
      <c r="C3927" t="str">
        <f>IF(OR(Registro_Compras!$C$439="",Registro_Compras!$O$439="",Registro_Compras!$Y$439="",Registro_Compras!$F$439="NOTA DE CREDITO"),"","4212")</f>
        <v/>
      </c>
      <c r="D3927" t="str">
        <f>IF(OR(Registro_Compras!$C$439="",Registro_Compras!$O$439=""),"","Cuentas por Pagar Comerciales - Terceros")</f>
        <v/>
      </c>
      <c r="E3927" s="20" t="str">
        <f>IF($C3927="","",IF(Registro_Compras!$F$439="RHE",(ROUND(Registro_Compras!$L$439*Registro_Compras!$N$439,2)-ROUND(Registro_Compras!$V$439*Registro_Compras!$N$439,2)),ROUND(Registro_Compras!$O$439-Registro_Compras!$S$439,2)))</f>
        <v/>
      </c>
      <c r="F3927" s="20" t="str">
        <f>""</f>
        <v/>
      </c>
      <c r="G3927" t="str">
        <f>IF($C3927="","","Por la cancelacion del saldo al proveedor")</f>
        <v/>
      </c>
      <c r="H3927" t="str">
        <f>IF($C3927="","",Registro_Compras!$C$439)</f>
        <v/>
      </c>
    </row>
    <row r="3928" spans="1:8" x14ac:dyDescent="0.25">
      <c r="A3928" s="25" t="str">
        <f>IF($C3928="","",Registro_Compras!$Y$439)</f>
        <v/>
      </c>
      <c r="B3928" t="str">
        <f>IF($C3928="","","C"&amp;TEXT(INT((ROW()-5)/9)+1,"000")&amp;"-4")</f>
        <v/>
      </c>
      <c r="C3928" t="str">
        <f>IF(OR(Registro_Compras!$C$439="",Registro_Compras!$O$439="",Registro_Compras!$Y$439="",Registro_Compras!$F$439="NOTA DE CREDITO"),"","1041")</f>
        <v/>
      </c>
      <c r="D3928" t="str">
        <f>IF(OR(Registro_Compras!$C$439="",Registro_Compras!$O$439=""),"","Efectivo y Equivalentes - Cta. Cte. Operativa")</f>
        <v/>
      </c>
      <c r="E3928" s="20" t="str">
        <f>""</f>
        <v/>
      </c>
      <c r="F3928" s="20" t="str">
        <f>IF($C3928="","",IF(Registro_Compras!$F$439="RHE",(ROUND(Registro_Compras!$L$439*Registro_Compras!$N$439,2)-ROUND(Registro_Compras!$V$439*Registro_Compras!$N$439,2)),ROUND(Registro_Compras!$O$439-Registro_Compras!$S$439,2)))</f>
        <v/>
      </c>
      <c r="G3928" t="str">
        <f>IF($C3928="","","Por la cancelacion del saldo al proveedor")</f>
        <v/>
      </c>
      <c r="H3928" t="str">
        <f>IF($C3928="","",Registro_Compras!$C$439)</f>
        <v/>
      </c>
    </row>
    <row r="3929" spans="1:8" x14ac:dyDescent="0.25">
      <c r="A3929" s="25" t="str">
        <f>IF($C3929="","",Registro_Compras!$B$440)</f>
        <v/>
      </c>
      <c r="B3929" t="str">
        <f>IF($C3929="","","C"&amp;TEXT(INT((ROW()-5)/9)+1,"000")&amp;"-1")</f>
        <v/>
      </c>
      <c r="C3929" t="str">
        <f>IF(OR(Registro_Compras!$C$440="",Registro_Compras!$O$440=""),"",IF(Registro_Compras!$F$440="NOTA DE CREDITO","4212",IF(Registro_Compras!$M$440="","63",Registro_Compras!$M$440)))</f>
        <v/>
      </c>
      <c r="D3929" t="str">
        <f>IF(OR(Registro_Compras!$C$440="",Registro_Compras!$O$440=""),"",IF(Registro_Compras!$F$440="NOTA DE CREDITO","Cuentas por Pagar Comerciales - Terceros (Emitidas)",IF(Registro_Compras!$F$440="RHE","Honorarios Profesionales - Servicios de Terceros","Gastos de Servicios Prestados por Terceros")))</f>
        <v/>
      </c>
      <c r="E3929" s="20" t="str">
        <f>IF($C3929="","",IF(Registro_Compras!$F$440="NOTA DE CREDITO",ABS(Registro_Compras!$O$440),IF(Registro_Compras!$F$440="RHE",ROUND(Registro_Compras!$L$440*Registro_Compras!$N$440,2),ROUND(Registro_Compras!$J$440*Registro_Compras!$N$440,2))))</f>
        <v/>
      </c>
      <c r="F3929" s="20" t="str">
        <f>""</f>
        <v/>
      </c>
      <c r="G3929" t="str">
        <f>IF($C3929="","",IF(Registro_Compras!$F$440="NOTA DE CREDITO","Por la nota de credito "&amp;Registro_Compras!$C$440&amp;" de "&amp;Registro_Compras!$E$440&amp;" [PATRON POR CONFIRMAR CON CONTADOR]",IF(Registro_Compras!$F$440="RHE","Por el registro del recibo por honorarios "&amp;Registro_Compras!$C$440&amp;" de "&amp;Registro_Compras!$E$440&amp;" [PATRON POR CONFIRMAR CON CONTADOR]","Por el registro de la factura "&amp;Registro_Compras!$C$440&amp;" de "&amp;Registro_Compras!$E$440)))</f>
        <v/>
      </c>
      <c r="H3929" t="str">
        <f>IF($C3929="","",Registro_Compras!$C$440)</f>
        <v/>
      </c>
    </row>
    <row r="3930" spans="1:8" x14ac:dyDescent="0.25">
      <c r="A3930" s="25" t="str">
        <f>IF($C3930="","",Registro_Compras!$B$440)</f>
        <v/>
      </c>
      <c r="B3930" t="str">
        <f>IF($C3930="","","C"&amp;TEXT(INT((ROW()-5)/9)+1,"000")&amp;"-1")</f>
        <v/>
      </c>
      <c r="C3930" t="str">
        <f>IF(OR(Registro_Compras!$C$440="",Registro_Compras!$O$440=""),"",IF(Registro_Compras!$F$440="RHE",IF(Registro_Compras!$V$440=0,"","4017"),IF(Registro_Compras!$F$440="NOTA DE CREDITO",IF(Registro_Compras!$M$440="","63",Registro_Compras!$M$440),IF(Registro_Compras!$K$440=0,"","40111"))))</f>
        <v/>
      </c>
      <c r="D3930" t="str">
        <f>IF(OR(Registro_Compras!$C$440="",Registro_Compras!$O$440=""),"",IF(Registro_Compras!$F$440="RHE","Retencion Renta 4ta Categoria por Pagar",IF(Registro_Compras!$F$440="NOTA DE CREDITO","Gastos de Servicios Prestados por Terceros","IGV - Cuenta Propia (Credito Fiscal)")))</f>
        <v/>
      </c>
      <c r="E3930" s="20" t="str">
        <f>IF($C3930="","",IF(Registro_Compras!$F$440="FACTURA",ROUND(Registro_Compras!$K$440*Registro_Compras!$N$440,2),""))</f>
        <v/>
      </c>
      <c r="F3930" s="20" t="str">
        <f>IF($C3930="","",IF(Registro_Compras!$F$440="RHE",ROUND(Registro_Compras!$V$440*Registro_Compras!$N$440,2),IF(Registro_Compras!$F$440="NOTA DE CREDITO",ROUND(ABS(Registro_Compras!$J$440*Registro_Compras!$N$440),2),"")))</f>
        <v/>
      </c>
      <c r="G3930" t="str">
        <f>IF($C3930="","",IF(Registro_Compras!$F$440="NOTA DE CREDITO","Por la nota de credito "&amp;Registro_Compras!$C$440&amp;" de "&amp;Registro_Compras!$E$440&amp;" [PATRON POR CONFIRMAR CON CONTADOR]",IF(Registro_Compras!$F$440="RHE","Por el registro del recibo por honorarios "&amp;Registro_Compras!$C$440&amp;" de "&amp;Registro_Compras!$E$440&amp;" [PATRON POR CONFIRMAR CON CONTADOR]","Por el registro de la factura "&amp;Registro_Compras!$C$440&amp;" de "&amp;Registro_Compras!$E$440)))</f>
        <v/>
      </c>
      <c r="H3930" t="str">
        <f>IF($C3930="","",Registro_Compras!$C$440)</f>
        <v/>
      </c>
    </row>
    <row r="3931" spans="1:8" x14ac:dyDescent="0.25">
      <c r="A3931" s="25" t="str">
        <f>IF($C3931="","",Registro_Compras!$B$440)</f>
        <v/>
      </c>
      <c r="B3931" t="str">
        <f>IF($C3931="","","C"&amp;TEXT(INT((ROW()-5)/9)+1,"000")&amp;"-1")</f>
        <v/>
      </c>
      <c r="C3931" t="str">
        <f>IF(OR(Registro_Compras!$C$440="",Registro_Compras!$O$440=""),"",IF(Registro_Compras!$F$440="NOTA DE CREDITO",IF(Registro_Compras!$K$440=0,"","40111"),"4212"))</f>
        <v/>
      </c>
      <c r="D3931" t="str">
        <f>IF(OR(Registro_Compras!$C$440="",Registro_Compras!$O$440=""),"",IF(Registro_Compras!$F$440="NOTA DE CREDITO","IGV - Cuenta Propia (Credito Fiscal)","Cuentas por Pagar Comerciales - Terceros (Emitidas)"))</f>
        <v/>
      </c>
      <c r="E3931" s="20" t="str">
        <f>""</f>
        <v/>
      </c>
      <c r="F3931" s="20" t="str">
        <f>IF($C3931="","",IF(Registro_Compras!$F$440="NOTA DE CREDITO",ROUND(ABS(Registro_Compras!$K$440*Registro_Compras!$N$440),2),IF(Registro_Compras!$F$440="RHE",(ROUND(Registro_Compras!$L$440*Registro_Compras!$N$440,2)-ROUND(Registro_Compras!$V$440*Registro_Compras!$N$440,2)),Registro_Compras!$O$440)))</f>
        <v/>
      </c>
      <c r="G3931" t="str">
        <f>IF($C3931="","",IF(Registro_Compras!$F$440="NOTA DE CREDITO","Por la nota de credito "&amp;Registro_Compras!$C$440&amp;" de "&amp;Registro_Compras!$E$440&amp;" [PATRON POR CONFIRMAR CON CONTADOR]",IF(Registro_Compras!$F$440="RHE","Por el registro del recibo por honorarios "&amp;Registro_Compras!$C$440&amp;" de "&amp;Registro_Compras!$E$440&amp;" [PATRON POR CONFIRMAR CON CONTADOR]","Por el registro de la factura "&amp;Registro_Compras!$C$440&amp;" de "&amp;Registro_Compras!$E$440)))</f>
        <v/>
      </c>
      <c r="H3931" t="str">
        <f>IF($C3931="","",Registro_Compras!$C$440)</f>
        <v/>
      </c>
    </row>
    <row r="3932" spans="1:8" x14ac:dyDescent="0.25">
      <c r="A3932" s="25" t="str">
        <f>IF($C3932="","",Registro_Compras!$B$440)</f>
        <v/>
      </c>
      <c r="B3932" t="str">
        <f>IF($C3932="","","C"&amp;TEXT(INT((ROW()-5)/9)+1,"000")&amp;"-2")</f>
        <v/>
      </c>
      <c r="C3932" t="str">
        <f>IF(OR(Registro_Compras!$C$440="",Registro_Compras!$O$440=""),"",IF(Registro_Compras!$AB$440="ADMINISTRATIVO","94","95"))</f>
        <v/>
      </c>
      <c r="D3932" t="str">
        <f>IF(OR(Registro_Compras!$C$440="",Registro_Compras!$O$440=""),"",IF(Registro_Compras!$AB$440="ADMINISTRATIVO","Gastos Administrativos","Gastos de Venta y Operacion"))</f>
        <v/>
      </c>
      <c r="E3932" s="20" t="str">
        <f>IF($C3932="","",IF(Registro_Compras!$F$440="NOTA DE CREDITO","",IF(Registro_Compras!$F$440="RHE",ROUND(Registro_Compras!$L$440*Registro_Compras!$N$440,2),ROUND(Registro_Compras!$J$440*Registro_Compras!$N$440,2))))</f>
        <v/>
      </c>
      <c r="F3932" s="20" t="str">
        <f>IF($C3932="","",IF(Registro_Compras!$F$440="NOTA DE CREDITO",ROUND(ABS(Registro_Compras!$J$440*Registro_Compras!$N$440),2),""))</f>
        <v/>
      </c>
      <c r="G3932" t="str">
        <f>IF($C3932="","","Por el destino del gasto")</f>
        <v/>
      </c>
      <c r="H3932" t="str">
        <f>IF($C3932="","",Registro_Compras!$C$440)</f>
        <v/>
      </c>
    </row>
    <row r="3933" spans="1:8" x14ac:dyDescent="0.25">
      <c r="A3933" s="25" t="str">
        <f>IF($C3933="","",Registro_Compras!$B$440)</f>
        <v/>
      </c>
      <c r="B3933" t="str">
        <f>IF($C3933="","","C"&amp;TEXT(INT((ROW()-5)/9)+1,"000")&amp;"-2")</f>
        <v/>
      </c>
      <c r="C3933" t="str">
        <f>IF(OR(Registro_Compras!$C$440="",Registro_Compras!$O$440=""),"","79/791")</f>
        <v/>
      </c>
      <c r="D3933" t="str">
        <f>IF(OR(Registro_Compras!$C$440="",Registro_Compras!$O$440=""),"","Cargas Imputables a Cuentas de Costos y Gastos")</f>
        <v/>
      </c>
      <c r="E3933" s="20" t="str">
        <f>IF($C3933="","",IF(Registro_Compras!$F$440="NOTA DE CREDITO",ROUND(ABS(Registro_Compras!$J$440*Registro_Compras!$N$440),2),""))</f>
        <v/>
      </c>
      <c r="F3933" s="20" t="str">
        <f>IF($C3933="","",IF(Registro_Compras!$F$440="NOTA DE CREDITO","",IF(Registro_Compras!$F$440="RHE",ROUND(Registro_Compras!$L$440*Registro_Compras!$N$440,2),ROUND(Registro_Compras!$J$440*Registro_Compras!$N$440,2))))</f>
        <v/>
      </c>
      <c r="G3933" t="str">
        <f>IF($C3933="","","Por el destino del gasto")</f>
        <v/>
      </c>
      <c r="H3933" t="str">
        <f>IF($C3933="","",Registro_Compras!$C$440)</f>
        <v/>
      </c>
    </row>
    <row r="3934" spans="1:8" x14ac:dyDescent="0.25">
      <c r="A3934" s="25" t="str">
        <f>IF($C3934="","",Registro_Compras!$X$440)</f>
        <v/>
      </c>
      <c r="B3934" t="str">
        <f>IF($C3934="","","C"&amp;TEXT(INT((ROW()-5)/9)+1,"000")&amp;"-3")</f>
        <v/>
      </c>
      <c r="C3934" t="str">
        <f>IF(OR(Registro_Compras!$C$440="",Registro_Compras!$O$440="",Registro_Compras!$R$440&lt;&gt;"SI",Registro_Compras!$X$440=""),"","4212")</f>
        <v/>
      </c>
      <c r="D3934" t="str">
        <f>IF(OR(Registro_Compras!$C$440="",Registro_Compras!$O$440=""),"","Cuentas por Pagar Comerciales - Terceros")</f>
        <v/>
      </c>
      <c r="E3934" s="20" t="str">
        <f>IF($C3934="","",Registro_Compras!$S$440)</f>
        <v/>
      </c>
      <c r="F3934" s="20" t="str">
        <f>""</f>
        <v/>
      </c>
      <c r="G3934" t="str">
        <f>IF($C3934="","","Por el deposito de la detraccion en el Banco de la Nacion")</f>
        <v/>
      </c>
      <c r="H3934" t="str">
        <f>IF($C3934="","",Registro_Compras!$C$440)</f>
        <v/>
      </c>
    </row>
    <row r="3935" spans="1:8" x14ac:dyDescent="0.25">
      <c r="A3935" s="25" t="str">
        <f>IF($C3935="","",Registro_Compras!$X$440)</f>
        <v/>
      </c>
      <c r="B3935" t="str">
        <f>IF($C3935="","","C"&amp;TEXT(INT((ROW()-5)/9)+1,"000")&amp;"-3")</f>
        <v/>
      </c>
      <c r="C3935" t="str">
        <f>IF(OR(Registro_Compras!$C$440="",Registro_Compras!$O$440="",Registro_Compras!$R$440&lt;&gt;"SI",Registro_Compras!$X$440=""),"","1041")</f>
        <v/>
      </c>
      <c r="D3935" t="str">
        <f>IF(OR(Registro_Compras!$C$440="",Registro_Compras!$O$440=""),"","Efectivo y Equivalentes - Cta. Cte. Operativa")</f>
        <v/>
      </c>
      <c r="E3935" s="20" t="str">
        <f>""</f>
        <v/>
      </c>
      <c r="F3935" s="20" t="str">
        <f>IF($C3935="","",Registro_Compras!$S$440)</f>
        <v/>
      </c>
      <c r="G3935" t="str">
        <f>IF($C3935="","","Por el deposito de la detraccion en el Banco de la Nacion")</f>
        <v/>
      </c>
      <c r="H3935" t="str">
        <f>IF($C3935="","",Registro_Compras!$C$440)</f>
        <v/>
      </c>
    </row>
    <row r="3936" spans="1:8" x14ac:dyDescent="0.25">
      <c r="A3936" s="25" t="str">
        <f>IF($C3936="","",Registro_Compras!$Y$440)</f>
        <v/>
      </c>
      <c r="B3936" t="str">
        <f>IF($C3936="","","C"&amp;TEXT(INT((ROW()-5)/9)+1,"000")&amp;"-4")</f>
        <v/>
      </c>
      <c r="C3936" t="str">
        <f>IF(OR(Registro_Compras!$C$440="",Registro_Compras!$O$440="",Registro_Compras!$Y$440="",Registro_Compras!$F$440="NOTA DE CREDITO"),"","4212")</f>
        <v/>
      </c>
      <c r="D3936" t="str">
        <f>IF(OR(Registro_Compras!$C$440="",Registro_Compras!$O$440=""),"","Cuentas por Pagar Comerciales - Terceros")</f>
        <v/>
      </c>
      <c r="E3936" s="20" t="str">
        <f>IF($C3936="","",IF(Registro_Compras!$F$440="RHE",(ROUND(Registro_Compras!$L$440*Registro_Compras!$N$440,2)-ROUND(Registro_Compras!$V$440*Registro_Compras!$N$440,2)),ROUND(Registro_Compras!$O$440-Registro_Compras!$S$440,2)))</f>
        <v/>
      </c>
      <c r="F3936" s="20" t="str">
        <f>""</f>
        <v/>
      </c>
      <c r="G3936" t="str">
        <f>IF($C3936="","","Por la cancelacion del saldo al proveedor")</f>
        <v/>
      </c>
      <c r="H3936" t="str">
        <f>IF($C3936="","",Registro_Compras!$C$440)</f>
        <v/>
      </c>
    </row>
    <row r="3937" spans="1:8" x14ac:dyDescent="0.25">
      <c r="A3937" s="25" t="str">
        <f>IF($C3937="","",Registro_Compras!$Y$440)</f>
        <v/>
      </c>
      <c r="B3937" t="str">
        <f>IF($C3937="","","C"&amp;TEXT(INT((ROW()-5)/9)+1,"000")&amp;"-4")</f>
        <v/>
      </c>
      <c r="C3937" t="str">
        <f>IF(OR(Registro_Compras!$C$440="",Registro_Compras!$O$440="",Registro_Compras!$Y$440="",Registro_Compras!$F$440="NOTA DE CREDITO"),"","1041")</f>
        <v/>
      </c>
      <c r="D3937" t="str">
        <f>IF(OR(Registro_Compras!$C$440="",Registro_Compras!$O$440=""),"","Efectivo y Equivalentes - Cta. Cte. Operativa")</f>
        <v/>
      </c>
      <c r="E3937" s="20" t="str">
        <f>""</f>
        <v/>
      </c>
      <c r="F3937" s="20" t="str">
        <f>IF($C3937="","",IF(Registro_Compras!$F$440="RHE",(ROUND(Registro_Compras!$L$440*Registro_Compras!$N$440,2)-ROUND(Registro_Compras!$V$440*Registro_Compras!$N$440,2)),ROUND(Registro_Compras!$O$440-Registro_Compras!$S$440,2)))</f>
        <v/>
      </c>
      <c r="G3937" t="str">
        <f>IF($C3937="","","Por la cancelacion del saldo al proveedor")</f>
        <v/>
      </c>
      <c r="H3937" t="str">
        <f>IF($C3937="","",Registro_Compras!$C$440)</f>
        <v/>
      </c>
    </row>
    <row r="3938" spans="1:8" x14ac:dyDescent="0.25">
      <c r="A3938" s="25" t="str">
        <f>IF($C3938="","",Registro_Compras!$B$441)</f>
        <v/>
      </c>
      <c r="B3938" t="str">
        <f>IF($C3938="","","C"&amp;TEXT(INT((ROW()-5)/9)+1,"000")&amp;"-1")</f>
        <v/>
      </c>
      <c r="C3938" t="str">
        <f>IF(OR(Registro_Compras!$C$441="",Registro_Compras!$O$441=""),"",IF(Registro_Compras!$F$441="NOTA DE CREDITO","4212",IF(Registro_Compras!$M$441="","63",Registro_Compras!$M$441)))</f>
        <v/>
      </c>
      <c r="D3938" t="str">
        <f>IF(OR(Registro_Compras!$C$441="",Registro_Compras!$O$441=""),"",IF(Registro_Compras!$F$441="NOTA DE CREDITO","Cuentas por Pagar Comerciales - Terceros (Emitidas)",IF(Registro_Compras!$F$441="RHE","Honorarios Profesionales - Servicios de Terceros","Gastos de Servicios Prestados por Terceros")))</f>
        <v/>
      </c>
      <c r="E3938" s="20" t="str">
        <f>IF($C3938="","",IF(Registro_Compras!$F$441="NOTA DE CREDITO",ABS(Registro_Compras!$O$441),IF(Registro_Compras!$F$441="RHE",ROUND(Registro_Compras!$L$441*Registro_Compras!$N$441,2),ROUND(Registro_Compras!$J$441*Registro_Compras!$N$441,2))))</f>
        <v/>
      </c>
      <c r="F3938" s="20" t="str">
        <f>""</f>
        <v/>
      </c>
      <c r="G3938" t="str">
        <f>IF($C3938="","",IF(Registro_Compras!$F$441="NOTA DE CREDITO","Por la nota de credito "&amp;Registro_Compras!$C$441&amp;" de "&amp;Registro_Compras!$E$441&amp;" [PATRON POR CONFIRMAR CON CONTADOR]",IF(Registro_Compras!$F$441="RHE","Por el registro del recibo por honorarios "&amp;Registro_Compras!$C$441&amp;" de "&amp;Registro_Compras!$E$441&amp;" [PATRON POR CONFIRMAR CON CONTADOR]","Por el registro de la factura "&amp;Registro_Compras!$C$441&amp;" de "&amp;Registro_Compras!$E$441)))</f>
        <v/>
      </c>
      <c r="H3938" t="str">
        <f>IF($C3938="","",Registro_Compras!$C$441)</f>
        <v/>
      </c>
    </row>
    <row r="3939" spans="1:8" x14ac:dyDescent="0.25">
      <c r="A3939" s="25" t="str">
        <f>IF($C3939="","",Registro_Compras!$B$441)</f>
        <v/>
      </c>
      <c r="B3939" t="str">
        <f>IF($C3939="","","C"&amp;TEXT(INT((ROW()-5)/9)+1,"000")&amp;"-1")</f>
        <v/>
      </c>
      <c r="C3939" t="str">
        <f>IF(OR(Registro_Compras!$C$441="",Registro_Compras!$O$441=""),"",IF(Registro_Compras!$F$441="RHE",IF(Registro_Compras!$V$441=0,"","4017"),IF(Registro_Compras!$F$441="NOTA DE CREDITO",IF(Registro_Compras!$M$441="","63",Registro_Compras!$M$441),IF(Registro_Compras!$K$441=0,"","40111"))))</f>
        <v/>
      </c>
      <c r="D3939" t="str">
        <f>IF(OR(Registro_Compras!$C$441="",Registro_Compras!$O$441=""),"",IF(Registro_Compras!$F$441="RHE","Retencion Renta 4ta Categoria por Pagar",IF(Registro_Compras!$F$441="NOTA DE CREDITO","Gastos de Servicios Prestados por Terceros","IGV - Cuenta Propia (Credito Fiscal)")))</f>
        <v/>
      </c>
      <c r="E3939" s="20" t="str">
        <f>IF($C3939="","",IF(Registro_Compras!$F$441="FACTURA",ROUND(Registro_Compras!$K$441*Registro_Compras!$N$441,2),""))</f>
        <v/>
      </c>
      <c r="F3939" s="20" t="str">
        <f>IF($C3939="","",IF(Registro_Compras!$F$441="RHE",ROUND(Registro_Compras!$V$441*Registro_Compras!$N$441,2),IF(Registro_Compras!$F$441="NOTA DE CREDITO",ROUND(ABS(Registro_Compras!$J$441*Registro_Compras!$N$441),2),"")))</f>
        <v/>
      </c>
      <c r="G3939" t="str">
        <f>IF($C3939="","",IF(Registro_Compras!$F$441="NOTA DE CREDITO","Por la nota de credito "&amp;Registro_Compras!$C$441&amp;" de "&amp;Registro_Compras!$E$441&amp;" [PATRON POR CONFIRMAR CON CONTADOR]",IF(Registro_Compras!$F$441="RHE","Por el registro del recibo por honorarios "&amp;Registro_Compras!$C$441&amp;" de "&amp;Registro_Compras!$E$441&amp;" [PATRON POR CONFIRMAR CON CONTADOR]","Por el registro de la factura "&amp;Registro_Compras!$C$441&amp;" de "&amp;Registro_Compras!$E$441)))</f>
        <v/>
      </c>
      <c r="H3939" t="str">
        <f>IF($C3939="","",Registro_Compras!$C$441)</f>
        <v/>
      </c>
    </row>
    <row r="3940" spans="1:8" x14ac:dyDescent="0.25">
      <c r="A3940" s="25" t="str">
        <f>IF($C3940="","",Registro_Compras!$B$441)</f>
        <v/>
      </c>
      <c r="B3940" t="str">
        <f>IF($C3940="","","C"&amp;TEXT(INT((ROW()-5)/9)+1,"000")&amp;"-1")</f>
        <v/>
      </c>
      <c r="C3940" t="str">
        <f>IF(OR(Registro_Compras!$C$441="",Registro_Compras!$O$441=""),"",IF(Registro_Compras!$F$441="NOTA DE CREDITO",IF(Registro_Compras!$K$441=0,"","40111"),"4212"))</f>
        <v/>
      </c>
      <c r="D3940" t="str">
        <f>IF(OR(Registro_Compras!$C$441="",Registro_Compras!$O$441=""),"",IF(Registro_Compras!$F$441="NOTA DE CREDITO","IGV - Cuenta Propia (Credito Fiscal)","Cuentas por Pagar Comerciales - Terceros (Emitidas)"))</f>
        <v/>
      </c>
      <c r="E3940" s="20" t="str">
        <f>""</f>
        <v/>
      </c>
      <c r="F3940" s="20" t="str">
        <f>IF($C3940="","",IF(Registro_Compras!$F$441="NOTA DE CREDITO",ROUND(ABS(Registro_Compras!$K$441*Registro_Compras!$N$441),2),IF(Registro_Compras!$F$441="RHE",(ROUND(Registro_Compras!$L$441*Registro_Compras!$N$441,2)-ROUND(Registro_Compras!$V$441*Registro_Compras!$N$441,2)),Registro_Compras!$O$441)))</f>
        <v/>
      </c>
      <c r="G3940" t="str">
        <f>IF($C3940="","",IF(Registro_Compras!$F$441="NOTA DE CREDITO","Por la nota de credito "&amp;Registro_Compras!$C$441&amp;" de "&amp;Registro_Compras!$E$441&amp;" [PATRON POR CONFIRMAR CON CONTADOR]",IF(Registro_Compras!$F$441="RHE","Por el registro del recibo por honorarios "&amp;Registro_Compras!$C$441&amp;" de "&amp;Registro_Compras!$E$441&amp;" [PATRON POR CONFIRMAR CON CONTADOR]","Por el registro de la factura "&amp;Registro_Compras!$C$441&amp;" de "&amp;Registro_Compras!$E$441)))</f>
        <v/>
      </c>
      <c r="H3940" t="str">
        <f>IF($C3940="","",Registro_Compras!$C$441)</f>
        <v/>
      </c>
    </row>
    <row r="3941" spans="1:8" x14ac:dyDescent="0.25">
      <c r="A3941" s="25" t="str">
        <f>IF($C3941="","",Registro_Compras!$B$441)</f>
        <v/>
      </c>
      <c r="B3941" t="str">
        <f>IF($C3941="","","C"&amp;TEXT(INT((ROW()-5)/9)+1,"000")&amp;"-2")</f>
        <v/>
      </c>
      <c r="C3941" t="str">
        <f>IF(OR(Registro_Compras!$C$441="",Registro_Compras!$O$441=""),"",IF(Registro_Compras!$AB$441="ADMINISTRATIVO","94","95"))</f>
        <v/>
      </c>
      <c r="D3941" t="str">
        <f>IF(OR(Registro_Compras!$C$441="",Registro_Compras!$O$441=""),"",IF(Registro_Compras!$AB$441="ADMINISTRATIVO","Gastos Administrativos","Gastos de Venta y Operacion"))</f>
        <v/>
      </c>
      <c r="E3941" s="20" t="str">
        <f>IF($C3941="","",IF(Registro_Compras!$F$441="NOTA DE CREDITO","",IF(Registro_Compras!$F$441="RHE",ROUND(Registro_Compras!$L$441*Registro_Compras!$N$441,2),ROUND(Registro_Compras!$J$441*Registro_Compras!$N$441,2))))</f>
        <v/>
      </c>
      <c r="F3941" s="20" t="str">
        <f>IF($C3941="","",IF(Registro_Compras!$F$441="NOTA DE CREDITO",ROUND(ABS(Registro_Compras!$J$441*Registro_Compras!$N$441),2),""))</f>
        <v/>
      </c>
      <c r="G3941" t="str">
        <f>IF($C3941="","","Por el destino del gasto")</f>
        <v/>
      </c>
      <c r="H3941" t="str">
        <f>IF($C3941="","",Registro_Compras!$C$441)</f>
        <v/>
      </c>
    </row>
    <row r="3942" spans="1:8" x14ac:dyDescent="0.25">
      <c r="A3942" s="25" t="str">
        <f>IF($C3942="","",Registro_Compras!$B$441)</f>
        <v/>
      </c>
      <c r="B3942" t="str">
        <f>IF($C3942="","","C"&amp;TEXT(INT((ROW()-5)/9)+1,"000")&amp;"-2")</f>
        <v/>
      </c>
      <c r="C3942" t="str">
        <f>IF(OR(Registro_Compras!$C$441="",Registro_Compras!$O$441=""),"","79/791")</f>
        <v/>
      </c>
      <c r="D3942" t="str">
        <f>IF(OR(Registro_Compras!$C$441="",Registro_Compras!$O$441=""),"","Cargas Imputables a Cuentas de Costos y Gastos")</f>
        <v/>
      </c>
      <c r="E3942" s="20" t="str">
        <f>IF($C3942="","",IF(Registro_Compras!$F$441="NOTA DE CREDITO",ROUND(ABS(Registro_Compras!$J$441*Registro_Compras!$N$441),2),""))</f>
        <v/>
      </c>
      <c r="F3942" s="20" t="str">
        <f>IF($C3942="","",IF(Registro_Compras!$F$441="NOTA DE CREDITO","",IF(Registro_Compras!$F$441="RHE",ROUND(Registro_Compras!$L$441*Registro_Compras!$N$441,2),ROUND(Registro_Compras!$J$441*Registro_Compras!$N$441,2))))</f>
        <v/>
      </c>
      <c r="G3942" t="str">
        <f>IF($C3942="","","Por el destino del gasto")</f>
        <v/>
      </c>
      <c r="H3942" t="str">
        <f>IF($C3942="","",Registro_Compras!$C$441)</f>
        <v/>
      </c>
    </row>
    <row r="3943" spans="1:8" x14ac:dyDescent="0.25">
      <c r="A3943" s="25" t="str">
        <f>IF($C3943="","",Registro_Compras!$X$441)</f>
        <v/>
      </c>
      <c r="B3943" t="str">
        <f>IF($C3943="","","C"&amp;TEXT(INT((ROW()-5)/9)+1,"000")&amp;"-3")</f>
        <v/>
      </c>
      <c r="C3943" t="str">
        <f>IF(OR(Registro_Compras!$C$441="",Registro_Compras!$O$441="",Registro_Compras!$R$441&lt;&gt;"SI",Registro_Compras!$X$441=""),"","4212")</f>
        <v/>
      </c>
      <c r="D3943" t="str">
        <f>IF(OR(Registro_Compras!$C$441="",Registro_Compras!$O$441=""),"","Cuentas por Pagar Comerciales - Terceros")</f>
        <v/>
      </c>
      <c r="E3943" s="20" t="str">
        <f>IF($C3943="","",Registro_Compras!$S$441)</f>
        <v/>
      </c>
      <c r="F3943" s="20" t="str">
        <f>""</f>
        <v/>
      </c>
      <c r="G3943" t="str">
        <f>IF($C3943="","","Por el deposito de la detraccion en el Banco de la Nacion")</f>
        <v/>
      </c>
      <c r="H3943" t="str">
        <f>IF($C3943="","",Registro_Compras!$C$441)</f>
        <v/>
      </c>
    </row>
    <row r="3944" spans="1:8" x14ac:dyDescent="0.25">
      <c r="A3944" s="25" t="str">
        <f>IF($C3944="","",Registro_Compras!$X$441)</f>
        <v/>
      </c>
      <c r="B3944" t="str">
        <f>IF($C3944="","","C"&amp;TEXT(INT((ROW()-5)/9)+1,"000")&amp;"-3")</f>
        <v/>
      </c>
      <c r="C3944" t="str">
        <f>IF(OR(Registro_Compras!$C$441="",Registro_Compras!$O$441="",Registro_Compras!$R$441&lt;&gt;"SI",Registro_Compras!$X$441=""),"","1041")</f>
        <v/>
      </c>
      <c r="D3944" t="str">
        <f>IF(OR(Registro_Compras!$C$441="",Registro_Compras!$O$441=""),"","Efectivo y Equivalentes - Cta. Cte. Operativa")</f>
        <v/>
      </c>
      <c r="E3944" s="20" t="str">
        <f>""</f>
        <v/>
      </c>
      <c r="F3944" s="20" t="str">
        <f>IF($C3944="","",Registro_Compras!$S$441)</f>
        <v/>
      </c>
      <c r="G3944" t="str">
        <f>IF($C3944="","","Por el deposito de la detraccion en el Banco de la Nacion")</f>
        <v/>
      </c>
      <c r="H3944" t="str">
        <f>IF($C3944="","",Registro_Compras!$C$441)</f>
        <v/>
      </c>
    </row>
    <row r="3945" spans="1:8" x14ac:dyDescent="0.25">
      <c r="A3945" s="25" t="str">
        <f>IF($C3945="","",Registro_Compras!$Y$441)</f>
        <v/>
      </c>
      <c r="B3945" t="str">
        <f>IF($C3945="","","C"&amp;TEXT(INT((ROW()-5)/9)+1,"000")&amp;"-4")</f>
        <v/>
      </c>
      <c r="C3945" t="str">
        <f>IF(OR(Registro_Compras!$C$441="",Registro_Compras!$O$441="",Registro_Compras!$Y$441="",Registro_Compras!$F$441="NOTA DE CREDITO"),"","4212")</f>
        <v/>
      </c>
      <c r="D3945" t="str">
        <f>IF(OR(Registro_Compras!$C$441="",Registro_Compras!$O$441=""),"","Cuentas por Pagar Comerciales - Terceros")</f>
        <v/>
      </c>
      <c r="E3945" s="20" t="str">
        <f>IF($C3945="","",IF(Registro_Compras!$F$441="RHE",(ROUND(Registro_Compras!$L$441*Registro_Compras!$N$441,2)-ROUND(Registro_Compras!$V$441*Registro_Compras!$N$441,2)),ROUND(Registro_Compras!$O$441-Registro_Compras!$S$441,2)))</f>
        <v/>
      </c>
      <c r="F3945" s="20" t="str">
        <f>""</f>
        <v/>
      </c>
      <c r="G3945" t="str">
        <f>IF($C3945="","","Por la cancelacion del saldo al proveedor")</f>
        <v/>
      </c>
      <c r="H3945" t="str">
        <f>IF($C3945="","",Registro_Compras!$C$441)</f>
        <v/>
      </c>
    </row>
    <row r="3946" spans="1:8" x14ac:dyDescent="0.25">
      <c r="A3946" s="25" t="str">
        <f>IF($C3946="","",Registro_Compras!$Y$441)</f>
        <v/>
      </c>
      <c r="B3946" t="str">
        <f>IF($C3946="","","C"&amp;TEXT(INT((ROW()-5)/9)+1,"000")&amp;"-4")</f>
        <v/>
      </c>
      <c r="C3946" t="str">
        <f>IF(OR(Registro_Compras!$C$441="",Registro_Compras!$O$441="",Registro_Compras!$Y$441="",Registro_Compras!$F$441="NOTA DE CREDITO"),"","1041")</f>
        <v/>
      </c>
      <c r="D3946" t="str">
        <f>IF(OR(Registro_Compras!$C$441="",Registro_Compras!$O$441=""),"","Efectivo y Equivalentes - Cta. Cte. Operativa")</f>
        <v/>
      </c>
      <c r="E3946" s="20" t="str">
        <f>""</f>
        <v/>
      </c>
      <c r="F3946" s="20" t="str">
        <f>IF($C3946="","",IF(Registro_Compras!$F$441="RHE",(ROUND(Registro_Compras!$L$441*Registro_Compras!$N$441,2)-ROUND(Registro_Compras!$V$441*Registro_Compras!$N$441,2)),ROUND(Registro_Compras!$O$441-Registro_Compras!$S$441,2)))</f>
        <v/>
      </c>
      <c r="G3946" t="str">
        <f>IF($C3946="","","Por la cancelacion del saldo al proveedor")</f>
        <v/>
      </c>
      <c r="H3946" t="str">
        <f>IF($C3946="","",Registro_Compras!$C$441)</f>
        <v/>
      </c>
    </row>
    <row r="3947" spans="1:8" x14ac:dyDescent="0.25">
      <c r="A3947" s="25" t="str">
        <f>IF($C3947="","",Registro_Compras!$B$442)</f>
        <v/>
      </c>
      <c r="B3947" t="str">
        <f>IF($C3947="","","C"&amp;TEXT(INT((ROW()-5)/9)+1,"000")&amp;"-1")</f>
        <v/>
      </c>
      <c r="C3947" t="str">
        <f>IF(OR(Registro_Compras!$C$442="",Registro_Compras!$O$442=""),"",IF(Registro_Compras!$F$442="NOTA DE CREDITO","4212",IF(Registro_Compras!$M$442="","63",Registro_Compras!$M$442)))</f>
        <v/>
      </c>
      <c r="D3947" t="str">
        <f>IF(OR(Registro_Compras!$C$442="",Registro_Compras!$O$442=""),"",IF(Registro_Compras!$F$442="NOTA DE CREDITO","Cuentas por Pagar Comerciales - Terceros (Emitidas)",IF(Registro_Compras!$F$442="RHE","Honorarios Profesionales - Servicios de Terceros","Gastos de Servicios Prestados por Terceros")))</f>
        <v/>
      </c>
      <c r="E3947" s="20" t="str">
        <f>IF($C3947="","",IF(Registro_Compras!$F$442="NOTA DE CREDITO",ABS(Registro_Compras!$O$442),IF(Registro_Compras!$F$442="RHE",ROUND(Registro_Compras!$L$442*Registro_Compras!$N$442,2),ROUND(Registro_Compras!$J$442*Registro_Compras!$N$442,2))))</f>
        <v/>
      </c>
      <c r="F3947" s="20" t="str">
        <f>""</f>
        <v/>
      </c>
      <c r="G3947" t="str">
        <f>IF($C3947="","",IF(Registro_Compras!$F$442="NOTA DE CREDITO","Por la nota de credito "&amp;Registro_Compras!$C$442&amp;" de "&amp;Registro_Compras!$E$442&amp;" [PATRON POR CONFIRMAR CON CONTADOR]",IF(Registro_Compras!$F$442="RHE","Por el registro del recibo por honorarios "&amp;Registro_Compras!$C$442&amp;" de "&amp;Registro_Compras!$E$442&amp;" [PATRON POR CONFIRMAR CON CONTADOR]","Por el registro de la factura "&amp;Registro_Compras!$C$442&amp;" de "&amp;Registro_Compras!$E$442)))</f>
        <v/>
      </c>
      <c r="H3947" t="str">
        <f>IF($C3947="","",Registro_Compras!$C$442)</f>
        <v/>
      </c>
    </row>
    <row r="3948" spans="1:8" x14ac:dyDescent="0.25">
      <c r="A3948" s="25" t="str">
        <f>IF($C3948="","",Registro_Compras!$B$442)</f>
        <v/>
      </c>
      <c r="B3948" t="str">
        <f>IF($C3948="","","C"&amp;TEXT(INT((ROW()-5)/9)+1,"000")&amp;"-1")</f>
        <v/>
      </c>
      <c r="C3948" t="str">
        <f>IF(OR(Registro_Compras!$C$442="",Registro_Compras!$O$442=""),"",IF(Registro_Compras!$F$442="RHE",IF(Registro_Compras!$V$442=0,"","4017"),IF(Registro_Compras!$F$442="NOTA DE CREDITO",IF(Registro_Compras!$M$442="","63",Registro_Compras!$M$442),IF(Registro_Compras!$K$442=0,"","40111"))))</f>
        <v/>
      </c>
      <c r="D3948" t="str">
        <f>IF(OR(Registro_Compras!$C$442="",Registro_Compras!$O$442=""),"",IF(Registro_Compras!$F$442="RHE","Retencion Renta 4ta Categoria por Pagar",IF(Registro_Compras!$F$442="NOTA DE CREDITO","Gastos de Servicios Prestados por Terceros","IGV - Cuenta Propia (Credito Fiscal)")))</f>
        <v/>
      </c>
      <c r="E3948" s="20" t="str">
        <f>IF($C3948="","",IF(Registro_Compras!$F$442="FACTURA",ROUND(Registro_Compras!$K$442*Registro_Compras!$N$442,2),""))</f>
        <v/>
      </c>
      <c r="F3948" s="20" t="str">
        <f>IF($C3948="","",IF(Registro_Compras!$F$442="RHE",ROUND(Registro_Compras!$V$442*Registro_Compras!$N$442,2),IF(Registro_Compras!$F$442="NOTA DE CREDITO",ROUND(ABS(Registro_Compras!$J$442*Registro_Compras!$N$442),2),"")))</f>
        <v/>
      </c>
      <c r="G3948" t="str">
        <f>IF($C3948="","",IF(Registro_Compras!$F$442="NOTA DE CREDITO","Por la nota de credito "&amp;Registro_Compras!$C$442&amp;" de "&amp;Registro_Compras!$E$442&amp;" [PATRON POR CONFIRMAR CON CONTADOR]",IF(Registro_Compras!$F$442="RHE","Por el registro del recibo por honorarios "&amp;Registro_Compras!$C$442&amp;" de "&amp;Registro_Compras!$E$442&amp;" [PATRON POR CONFIRMAR CON CONTADOR]","Por el registro de la factura "&amp;Registro_Compras!$C$442&amp;" de "&amp;Registro_Compras!$E$442)))</f>
        <v/>
      </c>
      <c r="H3948" t="str">
        <f>IF($C3948="","",Registro_Compras!$C$442)</f>
        <v/>
      </c>
    </row>
    <row r="3949" spans="1:8" x14ac:dyDescent="0.25">
      <c r="A3949" s="25" t="str">
        <f>IF($C3949="","",Registro_Compras!$B$442)</f>
        <v/>
      </c>
      <c r="B3949" t="str">
        <f>IF($C3949="","","C"&amp;TEXT(INT((ROW()-5)/9)+1,"000")&amp;"-1")</f>
        <v/>
      </c>
      <c r="C3949" t="str">
        <f>IF(OR(Registro_Compras!$C$442="",Registro_Compras!$O$442=""),"",IF(Registro_Compras!$F$442="NOTA DE CREDITO",IF(Registro_Compras!$K$442=0,"","40111"),"4212"))</f>
        <v/>
      </c>
      <c r="D3949" t="str">
        <f>IF(OR(Registro_Compras!$C$442="",Registro_Compras!$O$442=""),"",IF(Registro_Compras!$F$442="NOTA DE CREDITO","IGV - Cuenta Propia (Credito Fiscal)","Cuentas por Pagar Comerciales - Terceros (Emitidas)"))</f>
        <v/>
      </c>
      <c r="E3949" s="20" t="str">
        <f>""</f>
        <v/>
      </c>
      <c r="F3949" s="20" t="str">
        <f>IF($C3949="","",IF(Registro_Compras!$F$442="NOTA DE CREDITO",ROUND(ABS(Registro_Compras!$K$442*Registro_Compras!$N$442),2),IF(Registro_Compras!$F$442="RHE",(ROUND(Registro_Compras!$L$442*Registro_Compras!$N$442,2)-ROUND(Registro_Compras!$V$442*Registro_Compras!$N$442,2)),Registro_Compras!$O$442)))</f>
        <v/>
      </c>
      <c r="G3949" t="str">
        <f>IF($C3949="","",IF(Registro_Compras!$F$442="NOTA DE CREDITO","Por la nota de credito "&amp;Registro_Compras!$C$442&amp;" de "&amp;Registro_Compras!$E$442&amp;" [PATRON POR CONFIRMAR CON CONTADOR]",IF(Registro_Compras!$F$442="RHE","Por el registro del recibo por honorarios "&amp;Registro_Compras!$C$442&amp;" de "&amp;Registro_Compras!$E$442&amp;" [PATRON POR CONFIRMAR CON CONTADOR]","Por el registro de la factura "&amp;Registro_Compras!$C$442&amp;" de "&amp;Registro_Compras!$E$442)))</f>
        <v/>
      </c>
      <c r="H3949" t="str">
        <f>IF($C3949="","",Registro_Compras!$C$442)</f>
        <v/>
      </c>
    </row>
    <row r="3950" spans="1:8" x14ac:dyDescent="0.25">
      <c r="A3950" s="25" t="str">
        <f>IF($C3950="","",Registro_Compras!$B$442)</f>
        <v/>
      </c>
      <c r="B3950" t="str">
        <f>IF($C3950="","","C"&amp;TEXT(INT((ROW()-5)/9)+1,"000")&amp;"-2")</f>
        <v/>
      </c>
      <c r="C3950" t="str">
        <f>IF(OR(Registro_Compras!$C$442="",Registro_Compras!$O$442=""),"",IF(Registro_Compras!$AB$442="ADMINISTRATIVO","94","95"))</f>
        <v/>
      </c>
      <c r="D3950" t="str">
        <f>IF(OR(Registro_Compras!$C$442="",Registro_Compras!$O$442=""),"",IF(Registro_Compras!$AB$442="ADMINISTRATIVO","Gastos Administrativos","Gastos de Venta y Operacion"))</f>
        <v/>
      </c>
      <c r="E3950" s="20" t="str">
        <f>IF($C3950="","",IF(Registro_Compras!$F$442="NOTA DE CREDITO","",IF(Registro_Compras!$F$442="RHE",ROUND(Registro_Compras!$L$442*Registro_Compras!$N$442,2),ROUND(Registro_Compras!$J$442*Registro_Compras!$N$442,2))))</f>
        <v/>
      </c>
      <c r="F3950" s="20" t="str">
        <f>IF($C3950="","",IF(Registro_Compras!$F$442="NOTA DE CREDITO",ROUND(ABS(Registro_Compras!$J$442*Registro_Compras!$N$442),2),""))</f>
        <v/>
      </c>
      <c r="G3950" t="str">
        <f>IF($C3950="","","Por el destino del gasto")</f>
        <v/>
      </c>
      <c r="H3950" t="str">
        <f>IF($C3950="","",Registro_Compras!$C$442)</f>
        <v/>
      </c>
    </row>
    <row r="3951" spans="1:8" x14ac:dyDescent="0.25">
      <c r="A3951" s="25" t="str">
        <f>IF($C3951="","",Registro_Compras!$B$442)</f>
        <v/>
      </c>
      <c r="B3951" t="str">
        <f>IF($C3951="","","C"&amp;TEXT(INT((ROW()-5)/9)+1,"000")&amp;"-2")</f>
        <v/>
      </c>
      <c r="C3951" t="str">
        <f>IF(OR(Registro_Compras!$C$442="",Registro_Compras!$O$442=""),"","79/791")</f>
        <v/>
      </c>
      <c r="D3951" t="str">
        <f>IF(OR(Registro_Compras!$C$442="",Registro_Compras!$O$442=""),"","Cargas Imputables a Cuentas de Costos y Gastos")</f>
        <v/>
      </c>
      <c r="E3951" s="20" t="str">
        <f>IF($C3951="","",IF(Registro_Compras!$F$442="NOTA DE CREDITO",ROUND(ABS(Registro_Compras!$J$442*Registro_Compras!$N$442),2),""))</f>
        <v/>
      </c>
      <c r="F3951" s="20" t="str">
        <f>IF($C3951="","",IF(Registro_Compras!$F$442="NOTA DE CREDITO","",IF(Registro_Compras!$F$442="RHE",ROUND(Registro_Compras!$L$442*Registro_Compras!$N$442,2),ROUND(Registro_Compras!$J$442*Registro_Compras!$N$442,2))))</f>
        <v/>
      </c>
      <c r="G3951" t="str">
        <f>IF($C3951="","","Por el destino del gasto")</f>
        <v/>
      </c>
      <c r="H3951" t="str">
        <f>IF($C3951="","",Registro_Compras!$C$442)</f>
        <v/>
      </c>
    </row>
    <row r="3952" spans="1:8" x14ac:dyDescent="0.25">
      <c r="A3952" s="25" t="str">
        <f>IF($C3952="","",Registro_Compras!$X$442)</f>
        <v/>
      </c>
      <c r="B3952" t="str">
        <f>IF($C3952="","","C"&amp;TEXT(INT((ROW()-5)/9)+1,"000")&amp;"-3")</f>
        <v/>
      </c>
      <c r="C3952" t="str">
        <f>IF(OR(Registro_Compras!$C$442="",Registro_Compras!$O$442="",Registro_Compras!$R$442&lt;&gt;"SI",Registro_Compras!$X$442=""),"","4212")</f>
        <v/>
      </c>
      <c r="D3952" t="str">
        <f>IF(OR(Registro_Compras!$C$442="",Registro_Compras!$O$442=""),"","Cuentas por Pagar Comerciales - Terceros")</f>
        <v/>
      </c>
      <c r="E3952" s="20" t="str">
        <f>IF($C3952="","",Registro_Compras!$S$442)</f>
        <v/>
      </c>
      <c r="F3952" s="20" t="str">
        <f>""</f>
        <v/>
      </c>
      <c r="G3952" t="str">
        <f>IF($C3952="","","Por el deposito de la detraccion en el Banco de la Nacion")</f>
        <v/>
      </c>
      <c r="H3952" t="str">
        <f>IF($C3952="","",Registro_Compras!$C$442)</f>
        <v/>
      </c>
    </row>
    <row r="3953" spans="1:8" x14ac:dyDescent="0.25">
      <c r="A3953" s="25" t="str">
        <f>IF($C3953="","",Registro_Compras!$X$442)</f>
        <v/>
      </c>
      <c r="B3953" t="str">
        <f>IF($C3953="","","C"&amp;TEXT(INT((ROW()-5)/9)+1,"000")&amp;"-3")</f>
        <v/>
      </c>
      <c r="C3953" t="str">
        <f>IF(OR(Registro_Compras!$C$442="",Registro_Compras!$O$442="",Registro_Compras!$R$442&lt;&gt;"SI",Registro_Compras!$X$442=""),"","1041")</f>
        <v/>
      </c>
      <c r="D3953" t="str">
        <f>IF(OR(Registro_Compras!$C$442="",Registro_Compras!$O$442=""),"","Efectivo y Equivalentes - Cta. Cte. Operativa")</f>
        <v/>
      </c>
      <c r="E3953" s="20" t="str">
        <f>""</f>
        <v/>
      </c>
      <c r="F3953" s="20" t="str">
        <f>IF($C3953="","",Registro_Compras!$S$442)</f>
        <v/>
      </c>
      <c r="G3953" t="str">
        <f>IF($C3953="","","Por el deposito de la detraccion en el Banco de la Nacion")</f>
        <v/>
      </c>
      <c r="H3953" t="str">
        <f>IF($C3953="","",Registro_Compras!$C$442)</f>
        <v/>
      </c>
    </row>
    <row r="3954" spans="1:8" x14ac:dyDescent="0.25">
      <c r="A3954" s="25" t="str">
        <f>IF($C3954="","",Registro_Compras!$Y$442)</f>
        <v/>
      </c>
      <c r="B3954" t="str">
        <f>IF($C3954="","","C"&amp;TEXT(INT((ROW()-5)/9)+1,"000")&amp;"-4")</f>
        <v/>
      </c>
      <c r="C3954" t="str">
        <f>IF(OR(Registro_Compras!$C$442="",Registro_Compras!$O$442="",Registro_Compras!$Y$442="",Registro_Compras!$F$442="NOTA DE CREDITO"),"","4212")</f>
        <v/>
      </c>
      <c r="D3954" t="str">
        <f>IF(OR(Registro_Compras!$C$442="",Registro_Compras!$O$442=""),"","Cuentas por Pagar Comerciales - Terceros")</f>
        <v/>
      </c>
      <c r="E3954" s="20" t="str">
        <f>IF($C3954="","",IF(Registro_Compras!$F$442="RHE",(ROUND(Registro_Compras!$L$442*Registro_Compras!$N$442,2)-ROUND(Registro_Compras!$V$442*Registro_Compras!$N$442,2)),ROUND(Registro_Compras!$O$442-Registro_Compras!$S$442,2)))</f>
        <v/>
      </c>
      <c r="F3954" s="20" t="str">
        <f>""</f>
        <v/>
      </c>
      <c r="G3954" t="str">
        <f>IF($C3954="","","Por la cancelacion del saldo al proveedor")</f>
        <v/>
      </c>
      <c r="H3954" t="str">
        <f>IF($C3954="","",Registro_Compras!$C$442)</f>
        <v/>
      </c>
    </row>
    <row r="3955" spans="1:8" x14ac:dyDescent="0.25">
      <c r="A3955" s="25" t="str">
        <f>IF($C3955="","",Registro_Compras!$Y$442)</f>
        <v/>
      </c>
      <c r="B3955" t="str">
        <f>IF($C3955="","","C"&amp;TEXT(INT((ROW()-5)/9)+1,"000")&amp;"-4")</f>
        <v/>
      </c>
      <c r="C3955" t="str">
        <f>IF(OR(Registro_Compras!$C$442="",Registro_Compras!$O$442="",Registro_Compras!$Y$442="",Registro_Compras!$F$442="NOTA DE CREDITO"),"","1041")</f>
        <v/>
      </c>
      <c r="D3955" t="str">
        <f>IF(OR(Registro_Compras!$C$442="",Registro_Compras!$O$442=""),"","Efectivo y Equivalentes - Cta. Cte. Operativa")</f>
        <v/>
      </c>
      <c r="E3955" s="20" t="str">
        <f>""</f>
        <v/>
      </c>
      <c r="F3955" s="20" t="str">
        <f>IF($C3955="","",IF(Registro_Compras!$F$442="RHE",(ROUND(Registro_Compras!$L$442*Registro_Compras!$N$442,2)-ROUND(Registro_Compras!$V$442*Registro_Compras!$N$442,2)),ROUND(Registro_Compras!$O$442-Registro_Compras!$S$442,2)))</f>
        <v/>
      </c>
      <c r="G3955" t="str">
        <f>IF($C3955="","","Por la cancelacion del saldo al proveedor")</f>
        <v/>
      </c>
      <c r="H3955" t="str">
        <f>IF($C3955="","",Registro_Compras!$C$442)</f>
        <v/>
      </c>
    </row>
    <row r="3956" spans="1:8" x14ac:dyDescent="0.25">
      <c r="A3956" s="25" t="str">
        <f>IF($C3956="","",Registro_Compras!$B$443)</f>
        <v/>
      </c>
      <c r="B3956" t="str">
        <f>IF($C3956="","","C"&amp;TEXT(INT((ROW()-5)/9)+1,"000")&amp;"-1")</f>
        <v/>
      </c>
      <c r="C3956" t="str">
        <f>IF(OR(Registro_Compras!$C$443="",Registro_Compras!$O$443=""),"",IF(Registro_Compras!$F$443="NOTA DE CREDITO","4212",IF(Registro_Compras!$M$443="","63",Registro_Compras!$M$443)))</f>
        <v/>
      </c>
      <c r="D3956" t="str">
        <f>IF(OR(Registro_Compras!$C$443="",Registro_Compras!$O$443=""),"",IF(Registro_Compras!$F$443="NOTA DE CREDITO","Cuentas por Pagar Comerciales - Terceros (Emitidas)",IF(Registro_Compras!$F$443="RHE","Honorarios Profesionales - Servicios de Terceros","Gastos de Servicios Prestados por Terceros")))</f>
        <v/>
      </c>
      <c r="E3956" s="20" t="str">
        <f>IF($C3956="","",IF(Registro_Compras!$F$443="NOTA DE CREDITO",ABS(Registro_Compras!$O$443),IF(Registro_Compras!$F$443="RHE",ROUND(Registro_Compras!$L$443*Registro_Compras!$N$443,2),ROUND(Registro_Compras!$J$443*Registro_Compras!$N$443,2))))</f>
        <v/>
      </c>
      <c r="F3956" s="20" t="str">
        <f>""</f>
        <v/>
      </c>
      <c r="G3956" t="str">
        <f>IF($C3956="","",IF(Registro_Compras!$F$443="NOTA DE CREDITO","Por la nota de credito "&amp;Registro_Compras!$C$443&amp;" de "&amp;Registro_Compras!$E$443&amp;" [PATRON POR CONFIRMAR CON CONTADOR]",IF(Registro_Compras!$F$443="RHE","Por el registro del recibo por honorarios "&amp;Registro_Compras!$C$443&amp;" de "&amp;Registro_Compras!$E$443&amp;" [PATRON POR CONFIRMAR CON CONTADOR]","Por el registro de la factura "&amp;Registro_Compras!$C$443&amp;" de "&amp;Registro_Compras!$E$443)))</f>
        <v/>
      </c>
      <c r="H3956" t="str">
        <f>IF($C3956="","",Registro_Compras!$C$443)</f>
        <v/>
      </c>
    </row>
    <row r="3957" spans="1:8" x14ac:dyDescent="0.25">
      <c r="A3957" s="25" t="str">
        <f>IF($C3957="","",Registro_Compras!$B$443)</f>
        <v/>
      </c>
      <c r="B3957" t="str">
        <f>IF($C3957="","","C"&amp;TEXT(INT((ROW()-5)/9)+1,"000")&amp;"-1")</f>
        <v/>
      </c>
      <c r="C3957" t="str">
        <f>IF(OR(Registro_Compras!$C$443="",Registro_Compras!$O$443=""),"",IF(Registro_Compras!$F$443="RHE",IF(Registro_Compras!$V$443=0,"","4017"),IF(Registro_Compras!$F$443="NOTA DE CREDITO",IF(Registro_Compras!$M$443="","63",Registro_Compras!$M$443),IF(Registro_Compras!$K$443=0,"","40111"))))</f>
        <v/>
      </c>
      <c r="D3957" t="str">
        <f>IF(OR(Registro_Compras!$C$443="",Registro_Compras!$O$443=""),"",IF(Registro_Compras!$F$443="RHE","Retencion Renta 4ta Categoria por Pagar",IF(Registro_Compras!$F$443="NOTA DE CREDITO","Gastos de Servicios Prestados por Terceros","IGV - Cuenta Propia (Credito Fiscal)")))</f>
        <v/>
      </c>
      <c r="E3957" s="20" t="str">
        <f>IF($C3957="","",IF(Registro_Compras!$F$443="FACTURA",ROUND(Registro_Compras!$K$443*Registro_Compras!$N$443,2),""))</f>
        <v/>
      </c>
      <c r="F3957" s="20" t="str">
        <f>IF($C3957="","",IF(Registro_Compras!$F$443="RHE",ROUND(Registro_Compras!$V$443*Registro_Compras!$N$443,2),IF(Registro_Compras!$F$443="NOTA DE CREDITO",ROUND(ABS(Registro_Compras!$J$443*Registro_Compras!$N$443),2),"")))</f>
        <v/>
      </c>
      <c r="G3957" t="str">
        <f>IF($C3957="","",IF(Registro_Compras!$F$443="NOTA DE CREDITO","Por la nota de credito "&amp;Registro_Compras!$C$443&amp;" de "&amp;Registro_Compras!$E$443&amp;" [PATRON POR CONFIRMAR CON CONTADOR]",IF(Registro_Compras!$F$443="RHE","Por el registro del recibo por honorarios "&amp;Registro_Compras!$C$443&amp;" de "&amp;Registro_Compras!$E$443&amp;" [PATRON POR CONFIRMAR CON CONTADOR]","Por el registro de la factura "&amp;Registro_Compras!$C$443&amp;" de "&amp;Registro_Compras!$E$443)))</f>
        <v/>
      </c>
      <c r="H3957" t="str">
        <f>IF($C3957="","",Registro_Compras!$C$443)</f>
        <v/>
      </c>
    </row>
    <row r="3958" spans="1:8" x14ac:dyDescent="0.25">
      <c r="A3958" s="25" t="str">
        <f>IF($C3958="","",Registro_Compras!$B$443)</f>
        <v/>
      </c>
      <c r="B3958" t="str">
        <f>IF($C3958="","","C"&amp;TEXT(INT((ROW()-5)/9)+1,"000")&amp;"-1")</f>
        <v/>
      </c>
      <c r="C3958" t="str">
        <f>IF(OR(Registro_Compras!$C$443="",Registro_Compras!$O$443=""),"",IF(Registro_Compras!$F$443="NOTA DE CREDITO",IF(Registro_Compras!$K$443=0,"","40111"),"4212"))</f>
        <v/>
      </c>
      <c r="D3958" t="str">
        <f>IF(OR(Registro_Compras!$C$443="",Registro_Compras!$O$443=""),"",IF(Registro_Compras!$F$443="NOTA DE CREDITO","IGV - Cuenta Propia (Credito Fiscal)","Cuentas por Pagar Comerciales - Terceros (Emitidas)"))</f>
        <v/>
      </c>
      <c r="E3958" s="20" t="str">
        <f>""</f>
        <v/>
      </c>
      <c r="F3958" s="20" t="str">
        <f>IF($C3958="","",IF(Registro_Compras!$F$443="NOTA DE CREDITO",ROUND(ABS(Registro_Compras!$K$443*Registro_Compras!$N$443),2),IF(Registro_Compras!$F$443="RHE",(ROUND(Registro_Compras!$L$443*Registro_Compras!$N$443,2)-ROUND(Registro_Compras!$V$443*Registro_Compras!$N$443,2)),Registro_Compras!$O$443)))</f>
        <v/>
      </c>
      <c r="G3958" t="str">
        <f>IF($C3958="","",IF(Registro_Compras!$F$443="NOTA DE CREDITO","Por la nota de credito "&amp;Registro_Compras!$C$443&amp;" de "&amp;Registro_Compras!$E$443&amp;" [PATRON POR CONFIRMAR CON CONTADOR]",IF(Registro_Compras!$F$443="RHE","Por el registro del recibo por honorarios "&amp;Registro_Compras!$C$443&amp;" de "&amp;Registro_Compras!$E$443&amp;" [PATRON POR CONFIRMAR CON CONTADOR]","Por el registro de la factura "&amp;Registro_Compras!$C$443&amp;" de "&amp;Registro_Compras!$E$443)))</f>
        <v/>
      </c>
      <c r="H3958" t="str">
        <f>IF($C3958="","",Registro_Compras!$C$443)</f>
        <v/>
      </c>
    </row>
    <row r="3959" spans="1:8" x14ac:dyDescent="0.25">
      <c r="A3959" s="25" t="str">
        <f>IF($C3959="","",Registro_Compras!$B$443)</f>
        <v/>
      </c>
      <c r="B3959" t="str">
        <f>IF($C3959="","","C"&amp;TEXT(INT((ROW()-5)/9)+1,"000")&amp;"-2")</f>
        <v/>
      </c>
      <c r="C3959" t="str">
        <f>IF(OR(Registro_Compras!$C$443="",Registro_Compras!$O$443=""),"",IF(Registro_Compras!$AB$443="ADMINISTRATIVO","94","95"))</f>
        <v/>
      </c>
      <c r="D3959" t="str">
        <f>IF(OR(Registro_Compras!$C$443="",Registro_Compras!$O$443=""),"",IF(Registro_Compras!$AB$443="ADMINISTRATIVO","Gastos Administrativos","Gastos de Venta y Operacion"))</f>
        <v/>
      </c>
      <c r="E3959" s="20" t="str">
        <f>IF($C3959="","",IF(Registro_Compras!$F$443="NOTA DE CREDITO","",IF(Registro_Compras!$F$443="RHE",ROUND(Registro_Compras!$L$443*Registro_Compras!$N$443,2),ROUND(Registro_Compras!$J$443*Registro_Compras!$N$443,2))))</f>
        <v/>
      </c>
      <c r="F3959" s="20" t="str">
        <f>IF($C3959="","",IF(Registro_Compras!$F$443="NOTA DE CREDITO",ROUND(ABS(Registro_Compras!$J$443*Registro_Compras!$N$443),2),""))</f>
        <v/>
      </c>
      <c r="G3959" t="str">
        <f>IF($C3959="","","Por el destino del gasto")</f>
        <v/>
      </c>
      <c r="H3959" t="str">
        <f>IF($C3959="","",Registro_Compras!$C$443)</f>
        <v/>
      </c>
    </row>
    <row r="3960" spans="1:8" x14ac:dyDescent="0.25">
      <c r="A3960" s="25" t="str">
        <f>IF($C3960="","",Registro_Compras!$B$443)</f>
        <v/>
      </c>
      <c r="B3960" t="str">
        <f>IF($C3960="","","C"&amp;TEXT(INT((ROW()-5)/9)+1,"000")&amp;"-2")</f>
        <v/>
      </c>
      <c r="C3960" t="str">
        <f>IF(OR(Registro_Compras!$C$443="",Registro_Compras!$O$443=""),"","79/791")</f>
        <v/>
      </c>
      <c r="D3960" t="str">
        <f>IF(OR(Registro_Compras!$C$443="",Registro_Compras!$O$443=""),"","Cargas Imputables a Cuentas de Costos y Gastos")</f>
        <v/>
      </c>
      <c r="E3960" s="20" t="str">
        <f>IF($C3960="","",IF(Registro_Compras!$F$443="NOTA DE CREDITO",ROUND(ABS(Registro_Compras!$J$443*Registro_Compras!$N$443),2),""))</f>
        <v/>
      </c>
      <c r="F3960" s="20" t="str">
        <f>IF($C3960="","",IF(Registro_Compras!$F$443="NOTA DE CREDITO","",IF(Registro_Compras!$F$443="RHE",ROUND(Registro_Compras!$L$443*Registro_Compras!$N$443,2),ROUND(Registro_Compras!$J$443*Registro_Compras!$N$443,2))))</f>
        <v/>
      </c>
      <c r="G3960" t="str">
        <f>IF($C3960="","","Por el destino del gasto")</f>
        <v/>
      </c>
      <c r="H3960" t="str">
        <f>IF($C3960="","",Registro_Compras!$C$443)</f>
        <v/>
      </c>
    </row>
    <row r="3961" spans="1:8" x14ac:dyDescent="0.25">
      <c r="A3961" s="25" t="str">
        <f>IF($C3961="","",Registro_Compras!$X$443)</f>
        <v/>
      </c>
      <c r="B3961" t="str">
        <f>IF($C3961="","","C"&amp;TEXT(INT((ROW()-5)/9)+1,"000")&amp;"-3")</f>
        <v/>
      </c>
      <c r="C3961" t="str">
        <f>IF(OR(Registro_Compras!$C$443="",Registro_Compras!$O$443="",Registro_Compras!$R$443&lt;&gt;"SI",Registro_Compras!$X$443=""),"","4212")</f>
        <v/>
      </c>
      <c r="D3961" t="str">
        <f>IF(OR(Registro_Compras!$C$443="",Registro_Compras!$O$443=""),"","Cuentas por Pagar Comerciales - Terceros")</f>
        <v/>
      </c>
      <c r="E3961" s="20" t="str">
        <f>IF($C3961="","",Registro_Compras!$S$443)</f>
        <v/>
      </c>
      <c r="F3961" s="20" t="str">
        <f>""</f>
        <v/>
      </c>
      <c r="G3961" t="str">
        <f>IF($C3961="","","Por el deposito de la detraccion en el Banco de la Nacion")</f>
        <v/>
      </c>
      <c r="H3961" t="str">
        <f>IF($C3961="","",Registro_Compras!$C$443)</f>
        <v/>
      </c>
    </row>
    <row r="3962" spans="1:8" x14ac:dyDescent="0.25">
      <c r="A3962" s="25" t="str">
        <f>IF($C3962="","",Registro_Compras!$X$443)</f>
        <v/>
      </c>
      <c r="B3962" t="str">
        <f>IF($C3962="","","C"&amp;TEXT(INT((ROW()-5)/9)+1,"000")&amp;"-3")</f>
        <v/>
      </c>
      <c r="C3962" t="str">
        <f>IF(OR(Registro_Compras!$C$443="",Registro_Compras!$O$443="",Registro_Compras!$R$443&lt;&gt;"SI",Registro_Compras!$X$443=""),"","1041")</f>
        <v/>
      </c>
      <c r="D3962" t="str">
        <f>IF(OR(Registro_Compras!$C$443="",Registro_Compras!$O$443=""),"","Efectivo y Equivalentes - Cta. Cte. Operativa")</f>
        <v/>
      </c>
      <c r="E3962" s="20" t="str">
        <f>""</f>
        <v/>
      </c>
      <c r="F3962" s="20" t="str">
        <f>IF($C3962="","",Registro_Compras!$S$443)</f>
        <v/>
      </c>
      <c r="G3962" t="str">
        <f>IF($C3962="","","Por el deposito de la detraccion en el Banco de la Nacion")</f>
        <v/>
      </c>
      <c r="H3962" t="str">
        <f>IF($C3962="","",Registro_Compras!$C$443)</f>
        <v/>
      </c>
    </row>
    <row r="3963" spans="1:8" x14ac:dyDescent="0.25">
      <c r="A3963" s="25" t="str">
        <f>IF($C3963="","",Registro_Compras!$Y$443)</f>
        <v/>
      </c>
      <c r="B3963" t="str">
        <f>IF($C3963="","","C"&amp;TEXT(INT((ROW()-5)/9)+1,"000")&amp;"-4")</f>
        <v/>
      </c>
      <c r="C3963" t="str">
        <f>IF(OR(Registro_Compras!$C$443="",Registro_Compras!$O$443="",Registro_Compras!$Y$443="",Registro_Compras!$F$443="NOTA DE CREDITO"),"","4212")</f>
        <v/>
      </c>
      <c r="D3963" t="str">
        <f>IF(OR(Registro_Compras!$C$443="",Registro_Compras!$O$443=""),"","Cuentas por Pagar Comerciales - Terceros")</f>
        <v/>
      </c>
      <c r="E3963" s="20" t="str">
        <f>IF($C3963="","",IF(Registro_Compras!$F$443="RHE",(ROUND(Registro_Compras!$L$443*Registro_Compras!$N$443,2)-ROUND(Registro_Compras!$V$443*Registro_Compras!$N$443,2)),ROUND(Registro_Compras!$O$443-Registro_Compras!$S$443,2)))</f>
        <v/>
      </c>
      <c r="F3963" s="20" t="str">
        <f>""</f>
        <v/>
      </c>
      <c r="G3963" t="str">
        <f>IF($C3963="","","Por la cancelacion del saldo al proveedor")</f>
        <v/>
      </c>
      <c r="H3963" t="str">
        <f>IF($C3963="","",Registro_Compras!$C$443)</f>
        <v/>
      </c>
    </row>
    <row r="3964" spans="1:8" x14ac:dyDescent="0.25">
      <c r="A3964" s="25" t="str">
        <f>IF($C3964="","",Registro_Compras!$Y$443)</f>
        <v/>
      </c>
      <c r="B3964" t="str">
        <f>IF($C3964="","","C"&amp;TEXT(INT((ROW()-5)/9)+1,"000")&amp;"-4")</f>
        <v/>
      </c>
      <c r="C3964" t="str">
        <f>IF(OR(Registro_Compras!$C$443="",Registro_Compras!$O$443="",Registro_Compras!$Y$443="",Registro_Compras!$F$443="NOTA DE CREDITO"),"","1041")</f>
        <v/>
      </c>
      <c r="D3964" t="str">
        <f>IF(OR(Registro_Compras!$C$443="",Registro_Compras!$O$443=""),"","Efectivo y Equivalentes - Cta. Cte. Operativa")</f>
        <v/>
      </c>
      <c r="E3964" s="20" t="str">
        <f>""</f>
        <v/>
      </c>
      <c r="F3964" s="20" t="str">
        <f>IF($C3964="","",IF(Registro_Compras!$F$443="RHE",(ROUND(Registro_Compras!$L$443*Registro_Compras!$N$443,2)-ROUND(Registro_Compras!$V$443*Registro_Compras!$N$443,2)),ROUND(Registro_Compras!$O$443-Registro_Compras!$S$443,2)))</f>
        <v/>
      </c>
      <c r="G3964" t="str">
        <f>IF($C3964="","","Por la cancelacion del saldo al proveedor")</f>
        <v/>
      </c>
      <c r="H3964" t="str">
        <f>IF($C3964="","",Registro_Compras!$C$443)</f>
        <v/>
      </c>
    </row>
    <row r="3965" spans="1:8" x14ac:dyDescent="0.25">
      <c r="A3965" s="25" t="str">
        <f>IF($C3965="","",Registro_Compras!$B$444)</f>
        <v/>
      </c>
      <c r="B3965" t="str">
        <f>IF($C3965="","","C"&amp;TEXT(INT((ROW()-5)/9)+1,"000")&amp;"-1")</f>
        <v/>
      </c>
      <c r="C3965" t="str">
        <f>IF(OR(Registro_Compras!$C$444="",Registro_Compras!$O$444=""),"",IF(Registro_Compras!$F$444="NOTA DE CREDITO","4212",IF(Registro_Compras!$M$444="","63",Registro_Compras!$M$444)))</f>
        <v/>
      </c>
      <c r="D3965" t="str">
        <f>IF(OR(Registro_Compras!$C$444="",Registro_Compras!$O$444=""),"",IF(Registro_Compras!$F$444="NOTA DE CREDITO","Cuentas por Pagar Comerciales - Terceros (Emitidas)",IF(Registro_Compras!$F$444="RHE","Honorarios Profesionales - Servicios de Terceros","Gastos de Servicios Prestados por Terceros")))</f>
        <v/>
      </c>
      <c r="E3965" s="20" t="str">
        <f>IF($C3965="","",IF(Registro_Compras!$F$444="NOTA DE CREDITO",ABS(Registro_Compras!$O$444),IF(Registro_Compras!$F$444="RHE",ROUND(Registro_Compras!$L$444*Registro_Compras!$N$444,2),ROUND(Registro_Compras!$J$444*Registro_Compras!$N$444,2))))</f>
        <v/>
      </c>
      <c r="F3965" s="20" t="str">
        <f>""</f>
        <v/>
      </c>
      <c r="G3965" t="str">
        <f>IF($C3965="","",IF(Registro_Compras!$F$444="NOTA DE CREDITO","Por la nota de credito "&amp;Registro_Compras!$C$444&amp;" de "&amp;Registro_Compras!$E$444&amp;" [PATRON POR CONFIRMAR CON CONTADOR]",IF(Registro_Compras!$F$444="RHE","Por el registro del recibo por honorarios "&amp;Registro_Compras!$C$444&amp;" de "&amp;Registro_Compras!$E$444&amp;" [PATRON POR CONFIRMAR CON CONTADOR]","Por el registro de la factura "&amp;Registro_Compras!$C$444&amp;" de "&amp;Registro_Compras!$E$444)))</f>
        <v/>
      </c>
      <c r="H3965" t="str">
        <f>IF($C3965="","",Registro_Compras!$C$444)</f>
        <v/>
      </c>
    </row>
    <row r="3966" spans="1:8" x14ac:dyDescent="0.25">
      <c r="A3966" s="25" t="str">
        <f>IF($C3966="","",Registro_Compras!$B$444)</f>
        <v/>
      </c>
      <c r="B3966" t="str">
        <f>IF($C3966="","","C"&amp;TEXT(INT((ROW()-5)/9)+1,"000")&amp;"-1")</f>
        <v/>
      </c>
      <c r="C3966" t="str">
        <f>IF(OR(Registro_Compras!$C$444="",Registro_Compras!$O$444=""),"",IF(Registro_Compras!$F$444="RHE",IF(Registro_Compras!$V$444=0,"","4017"),IF(Registro_Compras!$F$444="NOTA DE CREDITO",IF(Registro_Compras!$M$444="","63",Registro_Compras!$M$444),IF(Registro_Compras!$K$444=0,"","40111"))))</f>
        <v/>
      </c>
      <c r="D3966" t="str">
        <f>IF(OR(Registro_Compras!$C$444="",Registro_Compras!$O$444=""),"",IF(Registro_Compras!$F$444="RHE","Retencion Renta 4ta Categoria por Pagar",IF(Registro_Compras!$F$444="NOTA DE CREDITO","Gastos de Servicios Prestados por Terceros","IGV - Cuenta Propia (Credito Fiscal)")))</f>
        <v/>
      </c>
      <c r="E3966" s="20" t="str">
        <f>IF($C3966="","",IF(Registro_Compras!$F$444="FACTURA",ROUND(Registro_Compras!$K$444*Registro_Compras!$N$444,2),""))</f>
        <v/>
      </c>
      <c r="F3966" s="20" t="str">
        <f>IF($C3966="","",IF(Registro_Compras!$F$444="RHE",ROUND(Registro_Compras!$V$444*Registro_Compras!$N$444,2),IF(Registro_Compras!$F$444="NOTA DE CREDITO",ROUND(ABS(Registro_Compras!$J$444*Registro_Compras!$N$444),2),"")))</f>
        <v/>
      </c>
      <c r="G3966" t="str">
        <f>IF($C3966="","",IF(Registro_Compras!$F$444="NOTA DE CREDITO","Por la nota de credito "&amp;Registro_Compras!$C$444&amp;" de "&amp;Registro_Compras!$E$444&amp;" [PATRON POR CONFIRMAR CON CONTADOR]",IF(Registro_Compras!$F$444="RHE","Por el registro del recibo por honorarios "&amp;Registro_Compras!$C$444&amp;" de "&amp;Registro_Compras!$E$444&amp;" [PATRON POR CONFIRMAR CON CONTADOR]","Por el registro de la factura "&amp;Registro_Compras!$C$444&amp;" de "&amp;Registro_Compras!$E$444)))</f>
        <v/>
      </c>
      <c r="H3966" t="str">
        <f>IF($C3966="","",Registro_Compras!$C$444)</f>
        <v/>
      </c>
    </row>
    <row r="3967" spans="1:8" x14ac:dyDescent="0.25">
      <c r="A3967" s="25" t="str">
        <f>IF($C3967="","",Registro_Compras!$B$444)</f>
        <v/>
      </c>
      <c r="B3967" t="str">
        <f>IF($C3967="","","C"&amp;TEXT(INT((ROW()-5)/9)+1,"000")&amp;"-1")</f>
        <v/>
      </c>
      <c r="C3967" t="str">
        <f>IF(OR(Registro_Compras!$C$444="",Registro_Compras!$O$444=""),"",IF(Registro_Compras!$F$444="NOTA DE CREDITO",IF(Registro_Compras!$K$444=0,"","40111"),"4212"))</f>
        <v/>
      </c>
      <c r="D3967" t="str">
        <f>IF(OR(Registro_Compras!$C$444="",Registro_Compras!$O$444=""),"",IF(Registro_Compras!$F$444="NOTA DE CREDITO","IGV - Cuenta Propia (Credito Fiscal)","Cuentas por Pagar Comerciales - Terceros (Emitidas)"))</f>
        <v/>
      </c>
      <c r="E3967" s="20" t="str">
        <f>""</f>
        <v/>
      </c>
      <c r="F3967" s="20" t="str">
        <f>IF($C3967="","",IF(Registro_Compras!$F$444="NOTA DE CREDITO",ROUND(ABS(Registro_Compras!$K$444*Registro_Compras!$N$444),2),IF(Registro_Compras!$F$444="RHE",(ROUND(Registro_Compras!$L$444*Registro_Compras!$N$444,2)-ROUND(Registro_Compras!$V$444*Registro_Compras!$N$444,2)),Registro_Compras!$O$444)))</f>
        <v/>
      </c>
      <c r="G3967" t="str">
        <f>IF($C3967="","",IF(Registro_Compras!$F$444="NOTA DE CREDITO","Por la nota de credito "&amp;Registro_Compras!$C$444&amp;" de "&amp;Registro_Compras!$E$444&amp;" [PATRON POR CONFIRMAR CON CONTADOR]",IF(Registro_Compras!$F$444="RHE","Por el registro del recibo por honorarios "&amp;Registro_Compras!$C$444&amp;" de "&amp;Registro_Compras!$E$444&amp;" [PATRON POR CONFIRMAR CON CONTADOR]","Por el registro de la factura "&amp;Registro_Compras!$C$444&amp;" de "&amp;Registro_Compras!$E$444)))</f>
        <v/>
      </c>
      <c r="H3967" t="str">
        <f>IF($C3967="","",Registro_Compras!$C$444)</f>
        <v/>
      </c>
    </row>
    <row r="3968" spans="1:8" x14ac:dyDescent="0.25">
      <c r="A3968" s="25" t="str">
        <f>IF($C3968="","",Registro_Compras!$B$444)</f>
        <v/>
      </c>
      <c r="B3968" t="str">
        <f>IF($C3968="","","C"&amp;TEXT(INT((ROW()-5)/9)+1,"000")&amp;"-2")</f>
        <v/>
      </c>
      <c r="C3968" t="str">
        <f>IF(OR(Registro_Compras!$C$444="",Registro_Compras!$O$444=""),"",IF(Registro_Compras!$AB$444="ADMINISTRATIVO","94","95"))</f>
        <v/>
      </c>
      <c r="D3968" t="str">
        <f>IF(OR(Registro_Compras!$C$444="",Registro_Compras!$O$444=""),"",IF(Registro_Compras!$AB$444="ADMINISTRATIVO","Gastos Administrativos","Gastos de Venta y Operacion"))</f>
        <v/>
      </c>
      <c r="E3968" s="20" t="str">
        <f>IF($C3968="","",IF(Registro_Compras!$F$444="NOTA DE CREDITO","",IF(Registro_Compras!$F$444="RHE",ROUND(Registro_Compras!$L$444*Registro_Compras!$N$444,2),ROUND(Registro_Compras!$J$444*Registro_Compras!$N$444,2))))</f>
        <v/>
      </c>
      <c r="F3968" s="20" t="str">
        <f>IF($C3968="","",IF(Registro_Compras!$F$444="NOTA DE CREDITO",ROUND(ABS(Registro_Compras!$J$444*Registro_Compras!$N$444),2),""))</f>
        <v/>
      </c>
      <c r="G3968" t="str">
        <f>IF($C3968="","","Por el destino del gasto")</f>
        <v/>
      </c>
      <c r="H3968" t="str">
        <f>IF($C3968="","",Registro_Compras!$C$444)</f>
        <v/>
      </c>
    </row>
    <row r="3969" spans="1:8" x14ac:dyDescent="0.25">
      <c r="A3969" s="25" t="str">
        <f>IF($C3969="","",Registro_Compras!$B$444)</f>
        <v/>
      </c>
      <c r="B3969" t="str">
        <f>IF($C3969="","","C"&amp;TEXT(INT((ROW()-5)/9)+1,"000")&amp;"-2")</f>
        <v/>
      </c>
      <c r="C3969" t="str">
        <f>IF(OR(Registro_Compras!$C$444="",Registro_Compras!$O$444=""),"","79/791")</f>
        <v/>
      </c>
      <c r="D3969" t="str">
        <f>IF(OR(Registro_Compras!$C$444="",Registro_Compras!$O$444=""),"","Cargas Imputables a Cuentas de Costos y Gastos")</f>
        <v/>
      </c>
      <c r="E3969" s="20" t="str">
        <f>IF($C3969="","",IF(Registro_Compras!$F$444="NOTA DE CREDITO",ROUND(ABS(Registro_Compras!$J$444*Registro_Compras!$N$444),2),""))</f>
        <v/>
      </c>
      <c r="F3969" s="20" t="str">
        <f>IF($C3969="","",IF(Registro_Compras!$F$444="NOTA DE CREDITO","",IF(Registro_Compras!$F$444="RHE",ROUND(Registro_Compras!$L$444*Registro_Compras!$N$444,2),ROUND(Registro_Compras!$J$444*Registro_Compras!$N$444,2))))</f>
        <v/>
      </c>
      <c r="G3969" t="str">
        <f>IF($C3969="","","Por el destino del gasto")</f>
        <v/>
      </c>
      <c r="H3969" t="str">
        <f>IF($C3969="","",Registro_Compras!$C$444)</f>
        <v/>
      </c>
    </row>
    <row r="3970" spans="1:8" x14ac:dyDescent="0.25">
      <c r="A3970" s="25" t="str">
        <f>IF($C3970="","",Registro_Compras!$X$444)</f>
        <v/>
      </c>
      <c r="B3970" t="str">
        <f>IF($C3970="","","C"&amp;TEXT(INT((ROW()-5)/9)+1,"000")&amp;"-3")</f>
        <v/>
      </c>
      <c r="C3970" t="str">
        <f>IF(OR(Registro_Compras!$C$444="",Registro_Compras!$O$444="",Registro_Compras!$R$444&lt;&gt;"SI",Registro_Compras!$X$444=""),"","4212")</f>
        <v/>
      </c>
      <c r="D3970" t="str">
        <f>IF(OR(Registro_Compras!$C$444="",Registro_Compras!$O$444=""),"","Cuentas por Pagar Comerciales - Terceros")</f>
        <v/>
      </c>
      <c r="E3970" s="20" t="str">
        <f>IF($C3970="","",Registro_Compras!$S$444)</f>
        <v/>
      </c>
      <c r="F3970" s="20" t="str">
        <f>""</f>
        <v/>
      </c>
      <c r="G3970" t="str">
        <f>IF($C3970="","","Por el deposito de la detraccion en el Banco de la Nacion")</f>
        <v/>
      </c>
      <c r="H3970" t="str">
        <f>IF($C3970="","",Registro_Compras!$C$444)</f>
        <v/>
      </c>
    </row>
    <row r="3971" spans="1:8" x14ac:dyDescent="0.25">
      <c r="A3971" s="25" t="str">
        <f>IF($C3971="","",Registro_Compras!$X$444)</f>
        <v/>
      </c>
      <c r="B3971" t="str">
        <f>IF($C3971="","","C"&amp;TEXT(INT((ROW()-5)/9)+1,"000")&amp;"-3")</f>
        <v/>
      </c>
      <c r="C3971" t="str">
        <f>IF(OR(Registro_Compras!$C$444="",Registro_Compras!$O$444="",Registro_Compras!$R$444&lt;&gt;"SI",Registro_Compras!$X$444=""),"","1041")</f>
        <v/>
      </c>
      <c r="D3971" t="str">
        <f>IF(OR(Registro_Compras!$C$444="",Registro_Compras!$O$444=""),"","Efectivo y Equivalentes - Cta. Cte. Operativa")</f>
        <v/>
      </c>
      <c r="E3971" s="20" t="str">
        <f>""</f>
        <v/>
      </c>
      <c r="F3971" s="20" t="str">
        <f>IF($C3971="","",Registro_Compras!$S$444)</f>
        <v/>
      </c>
      <c r="G3971" t="str">
        <f>IF($C3971="","","Por el deposito de la detraccion en el Banco de la Nacion")</f>
        <v/>
      </c>
      <c r="H3971" t="str">
        <f>IF($C3971="","",Registro_Compras!$C$444)</f>
        <v/>
      </c>
    </row>
    <row r="3972" spans="1:8" x14ac:dyDescent="0.25">
      <c r="A3972" s="25" t="str">
        <f>IF($C3972="","",Registro_Compras!$Y$444)</f>
        <v/>
      </c>
      <c r="B3972" t="str">
        <f>IF($C3972="","","C"&amp;TEXT(INT((ROW()-5)/9)+1,"000")&amp;"-4")</f>
        <v/>
      </c>
      <c r="C3972" t="str">
        <f>IF(OR(Registro_Compras!$C$444="",Registro_Compras!$O$444="",Registro_Compras!$Y$444="",Registro_Compras!$F$444="NOTA DE CREDITO"),"","4212")</f>
        <v/>
      </c>
      <c r="D3972" t="str">
        <f>IF(OR(Registro_Compras!$C$444="",Registro_Compras!$O$444=""),"","Cuentas por Pagar Comerciales - Terceros")</f>
        <v/>
      </c>
      <c r="E3972" s="20" t="str">
        <f>IF($C3972="","",IF(Registro_Compras!$F$444="RHE",(ROUND(Registro_Compras!$L$444*Registro_Compras!$N$444,2)-ROUND(Registro_Compras!$V$444*Registro_Compras!$N$444,2)),ROUND(Registro_Compras!$O$444-Registro_Compras!$S$444,2)))</f>
        <v/>
      </c>
      <c r="F3972" s="20" t="str">
        <f>""</f>
        <v/>
      </c>
      <c r="G3972" t="str">
        <f>IF($C3972="","","Por la cancelacion del saldo al proveedor")</f>
        <v/>
      </c>
      <c r="H3972" t="str">
        <f>IF($C3972="","",Registro_Compras!$C$444)</f>
        <v/>
      </c>
    </row>
    <row r="3973" spans="1:8" x14ac:dyDescent="0.25">
      <c r="A3973" s="25" t="str">
        <f>IF($C3973="","",Registro_Compras!$Y$444)</f>
        <v/>
      </c>
      <c r="B3973" t="str">
        <f>IF($C3973="","","C"&amp;TEXT(INT((ROW()-5)/9)+1,"000")&amp;"-4")</f>
        <v/>
      </c>
      <c r="C3973" t="str">
        <f>IF(OR(Registro_Compras!$C$444="",Registro_Compras!$O$444="",Registro_Compras!$Y$444="",Registro_Compras!$F$444="NOTA DE CREDITO"),"","1041")</f>
        <v/>
      </c>
      <c r="D3973" t="str">
        <f>IF(OR(Registro_Compras!$C$444="",Registro_Compras!$O$444=""),"","Efectivo y Equivalentes - Cta. Cte. Operativa")</f>
        <v/>
      </c>
      <c r="E3973" s="20" t="str">
        <f>""</f>
        <v/>
      </c>
      <c r="F3973" s="20" t="str">
        <f>IF($C3973="","",IF(Registro_Compras!$F$444="RHE",(ROUND(Registro_Compras!$L$444*Registro_Compras!$N$444,2)-ROUND(Registro_Compras!$V$444*Registro_Compras!$N$444,2)),ROUND(Registro_Compras!$O$444-Registro_Compras!$S$444,2)))</f>
        <v/>
      </c>
      <c r="G3973" t="str">
        <f>IF($C3973="","","Por la cancelacion del saldo al proveedor")</f>
        <v/>
      </c>
      <c r="H3973" t="str">
        <f>IF($C3973="","",Registro_Compras!$C$444)</f>
        <v/>
      </c>
    </row>
    <row r="3974" spans="1:8" x14ac:dyDescent="0.25">
      <c r="A3974" s="25" t="str">
        <f>IF($C3974="","",Registro_Compras!$B$445)</f>
        <v/>
      </c>
      <c r="B3974" t="str">
        <f>IF($C3974="","","C"&amp;TEXT(INT((ROW()-5)/9)+1,"000")&amp;"-1")</f>
        <v/>
      </c>
      <c r="C3974" t="str">
        <f>IF(OR(Registro_Compras!$C$445="",Registro_Compras!$O$445=""),"",IF(Registro_Compras!$F$445="NOTA DE CREDITO","4212",IF(Registro_Compras!$M$445="","63",Registro_Compras!$M$445)))</f>
        <v/>
      </c>
      <c r="D3974" t="str">
        <f>IF(OR(Registro_Compras!$C$445="",Registro_Compras!$O$445=""),"",IF(Registro_Compras!$F$445="NOTA DE CREDITO","Cuentas por Pagar Comerciales - Terceros (Emitidas)",IF(Registro_Compras!$F$445="RHE","Honorarios Profesionales - Servicios de Terceros","Gastos de Servicios Prestados por Terceros")))</f>
        <v/>
      </c>
      <c r="E3974" s="20" t="str">
        <f>IF($C3974="","",IF(Registro_Compras!$F$445="NOTA DE CREDITO",ABS(Registro_Compras!$O$445),IF(Registro_Compras!$F$445="RHE",ROUND(Registro_Compras!$L$445*Registro_Compras!$N$445,2),ROUND(Registro_Compras!$J$445*Registro_Compras!$N$445,2))))</f>
        <v/>
      </c>
      <c r="F3974" s="20" t="str">
        <f>""</f>
        <v/>
      </c>
      <c r="G3974" t="str">
        <f>IF($C3974="","",IF(Registro_Compras!$F$445="NOTA DE CREDITO","Por la nota de credito "&amp;Registro_Compras!$C$445&amp;" de "&amp;Registro_Compras!$E$445&amp;" [PATRON POR CONFIRMAR CON CONTADOR]",IF(Registro_Compras!$F$445="RHE","Por el registro del recibo por honorarios "&amp;Registro_Compras!$C$445&amp;" de "&amp;Registro_Compras!$E$445&amp;" [PATRON POR CONFIRMAR CON CONTADOR]","Por el registro de la factura "&amp;Registro_Compras!$C$445&amp;" de "&amp;Registro_Compras!$E$445)))</f>
        <v/>
      </c>
      <c r="H3974" t="str">
        <f>IF($C3974="","",Registro_Compras!$C$445)</f>
        <v/>
      </c>
    </row>
    <row r="3975" spans="1:8" x14ac:dyDescent="0.25">
      <c r="A3975" s="25" t="str">
        <f>IF($C3975="","",Registro_Compras!$B$445)</f>
        <v/>
      </c>
      <c r="B3975" t="str">
        <f>IF($C3975="","","C"&amp;TEXT(INT((ROW()-5)/9)+1,"000")&amp;"-1")</f>
        <v/>
      </c>
      <c r="C3975" t="str">
        <f>IF(OR(Registro_Compras!$C$445="",Registro_Compras!$O$445=""),"",IF(Registro_Compras!$F$445="RHE",IF(Registro_Compras!$V$445=0,"","4017"),IF(Registro_Compras!$F$445="NOTA DE CREDITO",IF(Registro_Compras!$M$445="","63",Registro_Compras!$M$445),IF(Registro_Compras!$K$445=0,"","40111"))))</f>
        <v/>
      </c>
      <c r="D3975" t="str">
        <f>IF(OR(Registro_Compras!$C$445="",Registro_Compras!$O$445=""),"",IF(Registro_Compras!$F$445="RHE","Retencion Renta 4ta Categoria por Pagar",IF(Registro_Compras!$F$445="NOTA DE CREDITO","Gastos de Servicios Prestados por Terceros","IGV - Cuenta Propia (Credito Fiscal)")))</f>
        <v/>
      </c>
      <c r="E3975" s="20" t="str">
        <f>IF($C3975="","",IF(Registro_Compras!$F$445="FACTURA",ROUND(Registro_Compras!$K$445*Registro_Compras!$N$445,2),""))</f>
        <v/>
      </c>
      <c r="F3975" s="20" t="str">
        <f>IF($C3975="","",IF(Registro_Compras!$F$445="RHE",ROUND(Registro_Compras!$V$445*Registro_Compras!$N$445,2),IF(Registro_Compras!$F$445="NOTA DE CREDITO",ROUND(ABS(Registro_Compras!$J$445*Registro_Compras!$N$445),2),"")))</f>
        <v/>
      </c>
      <c r="G3975" t="str">
        <f>IF($C3975="","",IF(Registro_Compras!$F$445="NOTA DE CREDITO","Por la nota de credito "&amp;Registro_Compras!$C$445&amp;" de "&amp;Registro_Compras!$E$445&amp;" [PATRON POR CONFIRMAR CON CONTADOR]",IF(Registro_Compras!$F$445="RHE","Por el registro del recibo por honorarios "&amp;Registro_Compras!$C$445&amp;" de "&amp;Registro_Compras!$E$445&amp;" [PATRON POR CONFIRMAR CON CONTADOR]","Por el registro de la factura "&amp;Registro_Compras!$C$445&amp;" de "&amp;Registro_Compras!$E$445)))</f>
        <v/>
      </c>
      <c r="H3975" t="str">
        <f>IF($C3975="","",Registro_Compras!$C$445)</f>
        <v/>
      </c>
    </row>
    <row r="3976" spans="1:8" x14ac:dyDescent="0.25">
      <c r="A3976" s="25" t="str">
        <f>IF($C3976="","",Registro_Compras!$B$445)</f>
        <v/>
      </c>
      <c r="B3976" t="str">
        <f>IF($C3976="","","C"&amp;TEXT(INT((ROW()-5)/9)+1,"000")&amp;"-1")</f>
        <v/>
      </c>
      <c r="C3976" t="str">
        <f>IF(OR(Registro_Compras!$C$445="",Registro_Compras!$O$445=""),"",IF(Registro_Compras!$F$445="NOTA DE CREDITO",IF(Registro_Compras!$K$445=0,"","40111"),"4212"))</f>
        <v/>
      </c>
      <c r="D3976" t="str">
        <f>IF(OR(Registro_Compras!$C$445="",Registro_Compras!$O$445=""),"",IF(Registro_Compras!$F$445="NOTA DE CREDITO","IGV - Cuenta Propia (Credito Fiscal)","Cuentas por Pagar Comerciales - Terceros (Emitidas)"))</f>
        <v/>
      </c>
      <c r="E3976" s="20" t="str">
        <f>""</f>
        <v/>
      </c>
      <c r="F3976" s="20" t="str">
        <f>IF($C3976="","",IF(Registro_Compras!$F$445="NOTA DE CREDITO",ROUND(ABS(Registro_Compras!$K$445*Registro_Compras!$N$445),2),IF(Registro_Compras!$F$445="RHE",(ROUND(Registro_Compras!$L$445*Registro_Compras!$N$445,2)-ROUND(Registro_Compras!$V$445*Registro_Compras!$N$445,2)),Registro_Compras!$O$445)))</f>
        <v/>
      </c>
      <c r="G3976" t="str">
        <f>IF($C3976="","",IF(Registro_Compras!$F$445="NOTA DE CREDITO","Por la nota de credito "&amp;Registro_Compras!$C$445&amp;" de "&amp;Registro_Compras!$E$445&amp;" [PATRON POR CONFIRMAR CON CONTADOR]",IF(Registro_Compras!$F$445="RHE","Por el registro del recibo por honorarios "&amp;Registro_Compras!$C$445&amp;" de "&amp;Registro_Compras!$E$445&amp;" [PATRON POR CONFIRMAR CON CONTADOR]","Por el registro de la factura "&amp;Registro_Compras!$C$445&amp;" de "&amp;Registro_Compras!$E$445)))</f>
        <v/>
      </c>
      <c r="H3976" t="str">
        <f>IF($C3976="","",Registro_Compras!$C$445)</f>
        <v/>
      </c>
    </row>
    <row r="3977" spans="1:8" x14ac:dyDescent="0.25">
      <c r="A3977" s="25" t="str">
        <f>IF($C3977="","",Registro_Compras!$B$445)</f>
        <v/>
      </c>
      <c r="B3977" t="str">
        <f>IF($C3977="","","C"&amp;TEXT(INT((ROW()-5)/9)+1,"000")&amp;"-2")</f>
        <v/>
      </c>
      <c r="C3977" t="str">
        <f>IF(OR(Registro_Compras!$C$445="",Registro_Compras!$O$445=""),"",IF(Registro_Compras!$AB$445="ADMINISTRATIVO","94","95"))</f>
        <v/>
      </c>
      <c r="D3977" t="str">
        <f>IF(OR(Registro_Compras!$C$445="",Registro_Compras!$O$445=""),"",IF(Registro_Compras!$AB$445="ADMINISTRATIVO","Gastos Administrativos","Gastos de Venta y Operacion"))</f>
        <v/>
      </c>
      <c r="E3977" s="20" t="str">
        <f>IF($C3977="","",IF(Registro_Compras!$F$445="NOTA DE CREDITO","",IF(Registro_Compras!$F$445="RHE",ROUND(Registro_Compras!$L$445*Registro_Compras!$N$445,2),ROUND(Registro_Compras!$J$445*Registro_Compras!$N$445,2))))</f>
        <v/>
      </c>
      <c r="F3977" s="20" t="str">
        <f>IF($C3977="","",IF(Registro_Compras!$F$445="NOTA DE CREDITO",ROUND(ABS(Registro_Compras!$J$445*Registro_Compras!$N$445),2),""))</f>
        <v/>
      </c>
      <c r="G3977" t="str">
        <f>IF($C3977="","","Por el destino del gasto")</f>
        <v/>
      </c>
      <c r="H3977" t="str">
        <f>IF($C3977="","",Registro_Compras!$C$445)</f>
        <v/>
      </c>
    </row>
    <row r="3978" spans="1:8" x14ac:dyDescent="0.25">
      <c r="A3978" s="25" t="str">
        <f>IF($C3978="","",Registro_Compras!$B$445)</f>
        <v/>
      </c>
      <c r="B3978" t="str">
        <f>IF($C3978="","","C"&amp;TEXT(INT((ROW()-5)/9)+1,"000")&amp;"-2")</f>
        <v/>
      </c>
      <c r="C3978" t="str">
        <f>IF(OR(Registro_Compras!$C$445="",Registro_Compras!$O$445=""),"","79/791")</f>
        <v/>
      </c>
      <c r="D3978" t="str">
        <f>IF(OR(Registro_Compras!$C$445="",Registro_Compras!$O$445=""),"","Cargas Imputables a Cuentas de Costos y Gastos")</f>
        <v/>
      </c>
      <c r="E3978" s="20" t="str">
        <f>IF($C3978="","",IF(Registro_Compras!$F$445="NOTA DE CREDITO",ROUND(ABS(Registro_Compras!$J$445*Registro_Compras!$N$445),2),""))</f>
        <v/>
      </c>
      <c r="F3978" s="20" t="str">
        <f>IF($C3978="","",IF(Registro_Compras!$F$445="NOTA DE CREDITO","",IF(Registro_Compras!$F$445="RHE",ROUND(Registro_Compras!$L$445*Registro_Compras!$N$445,2),ROUND(Registro_Compras!$J$445*Registro_Compras!$N$445,2))))</f>
        <v/>
      </c>
      <c r="G3978" t="str">
        <f>IF($C3978="","","Por el destino del gasto")</f>
        <v/>
      </c>
      <c r="H3978" t="str">
        <f>IF($C3978="","",Registro_Compras!$C$445)</f>
        <v/>
      </c>
    </row>
    <row r="3979" spans="1:8" x14ac:dyDescent="0.25">
      <c r="A3979" s="25" t="str">
        <f>IF($C3979="","",Registro_Compras!$X$445)</f>
        <v/>
      </c>
      <c r="B3979" t="str">
        <f>IF($C3979="","","C"&amp;TEXT(INT((ROW()-5)/9)+1,"000")&amp;"-3")</f>
        <v/>
      </c>
      <c r="C3979" t="str">
        <f>IF(OR(Registro_Compras!$C$445="",Registro_Compras!$O$445="",Registro_Compras!$R$445&lt;&gt;"SI",Registro_Compras!$X$445=""),"","4212")</f>
        <v/>
      </c>
      <c r="D3979" t="str">
        <f>IF(OR(Registro_Compras!$C$445="",Registro_Compras!$O$445=""),"","Cuentas por Pagar Comerciales - Terceros")</f>
        <v/>
      </c>
      <c r="E3979" s="20" t="str">
        <f>IF($C3979="","",Registro_Compras!$S$445)</f>
        <v/>
      </c>
      <c r="F3979" s="20" t="str">
        <f>""</f>
        <v/>
      </c>
      <c r="G3979" t="str">
        <f>IF($C3979="","","Por el deposito de la detraccion en el Banco de la Nacion")</f>
        <v/>
      </c>
      <c r="H3979" t="str">
        <f>IF($C3979="","",Registro_Compras!$C$445)</f>
        <v/>
      </c>
    </row>
    <row r="3980" spans="1:8" x14ac:dyDescent="0.25">
      <c r="A3980" s="25" t="str">
        <f>IF($C3980="","",Registro_Compras!$X$445)</f>
        <v/>
      </c>
      <c r="B3980" t="str">
        <f>IF($C3980="","","C"&amp;TEXT(INT((ROW()-5)/9)+1,"000")&amp;"-3")</f>
        <v/>
      </c>
      <c r="C3980" t="str">
        <f>IF(OR(Registro_Compras!$C$445="",Registro_Compras!$O$445="",Registro_Compras!$R$445&lt;&gt;"SI",Registro_Compras!$X$445=""),"","1041")</f>
        <v/>
      </c>
      <c r="D3980" t="str">
        <f>IF(OR(Registro_Compras!$C$445="",Registro_Compras!$O$445=""),"","Efectivo y Equivalentes - Cta. Cte. Operativa")</f>
        <v/>
      </c>
      <c r="E3980" s="20" t="str">
        <f>""</f>
        <v/>
      </c>
      <c r="F3980" s="20" t="str">
        <f>IF($C3980="","",Registro_Compras!$S$445)</f>
        <v/>
      </c>
      <c r="G3980" t="str">
        <f>IF($C3980="","","Por el deposito de la detraccion en el Banco de la Nacion")</f>
        <v/>
      </c>
      <c r="H3980" t="str">
        <f>IF($C3980="","",Registro_Compras!$C$445)</f>
        <v/>
      </c>
    </row>
    <row r="3981" spans="1:8" x14ac:dyDescent="0.25">
      <c r="A3981" s="25" t="str">
        <f>IF($C3981="","",Registro_Compras!$Y$445)</f>
        <v/>
      </c>
      <c r="B3981" t="str">
        <f>IF($C3981="","","C"&amp;TEXT(INT((ROW()-5)/9)+1,"000")&amp;"-4")</f>
        <v/>
      </c>
      <c r="C3981" t="str">
        <f>IF(OR(Registro_Compras!$C$445="",Registro_Compras!$O$445="",Registro_Compras!$Y$445="",Registro_Compras!$F$445="NOTA DE CREDITO"),"","4212")</f>
        <v/>
      </c>
      <c r="D3981" t="str">
        <f>IF(OR(Registro_Compras!$C$445="",Registro_Compras!$O$445=""),"","Cuentas por Pagar Comerciales - Terceros")</f>
        <v/>
      </c>
      <c r="E3981" s="20" t="str">
        <f>IF($C3981="","",IF(Registro_Compras!$F$445="RHE",(ROUND(Registro_Compras!$L$445*Registro_Compras!$N$445,2)-ROUND(Registro_Compras!$V$445*Registro_Compras!$N$445,2)),ROUND(Registro_Compras!$O$445-Registro_Compras!$S$445,2)))</f>
        <v/>
      </c>
      <c r="F3981" s="20" t="str">
        <f>""</f>
        <v/>
      </c>
      <c r="G3981" t="str">
        <f>IF($C3981="","","Por la cancelacion del saldo al proveedor")</f>
        <v/>
      </c>
      <c r="H3981" t="str">
        <f>IF($C3981="","",Registro_Compras!$C$445)</f>
        <v/>
      </c>
    </row>
    <row r="3982" spans="1:8" x14ac:dyDescent="0.25">
      <c r="A3982" s="25" t="str">
        <f>IF($C3982="","",Registro_Compras!$Y$445)</f>
        <v/>
      </c>
      <c r="B3982" t="str">
        <f>IF($C3982="","","C"&amp;TEXT(INT((ROW()-5)/9)+1,"000")&amp;"-4")</f>
        <v/>
      </c>
      <c r="C3982" t="str">
        <f>IF(OR(Registro_Compras!$C$445="",Registro_Compras!$O$445="",Registro_Compras!$Y$445="",Registro_Compras!$F$445="NOTA DE CREDITO"),"","1041")</f>
        <v/>
      </c>
      <c r="D3982" t="str">
        <f>IF(OR(Registro_Compras!$C$445="",Registro_Compras!$O$445=""),"","Efectivo y Equivalentes - Cta. Cte. Operativa")</f>
        <v/>
      </c>
      <c r="E3982" s="20" t="str">
        <f>""</f>
        <v/>
      </c>
      <c r="F3982" s="20" t="str">
        <f>IF($C3982="","",IF(Registro_Compras!$F$445="RHE",(ROUND(Registro_Compras!$L$445*Registro_Compras!$N$445,2)-ROUND(Registro_Compras!$V$445*Registro_Compras!$N$445,2)),ROUND(Registro_Compras!$O$445-Registro_Compras!$S$445,2)))</f>
        <v/>
      </c>
      <c r="G3982" t="str">
        <f>IF($C3982="","","Por la cancelacion del saldo al proveedor")</f>
        <v/>
      </c>
      <c r="H3982" t="str">
        <f>IF($C3982="","",Registro_Compras!$C$445)</f>
        <v/>
      </c>
    </row>
    <row r="3983" spans="1:8" x14ac:dyDescent="0.25">
      <c r="A3983" s="25" t="str">
        <f>IF($C3983="","",Registro_Compras!$B$446)</f>
        <v/>
      </c>
      <c r="B3983" t="str">
        <f>IF($C3983="","","C"&amp;TEXT(INT((ROW()-5)/9)+1,"000")&amp;"-1")</f>
        <v/>
      </c>
      <c r="C3983" t="str">
        <f>IF(OR(Registro_Compras!$C$446="",Registro_Compras!$O$446=""),"",IF(Registro_Compras!$F$446="NOTA DE CREDITO","4212",IF(Registro_Compras!$M$446="","63",Registro_Compras!$M$446)))</f>
        <v/>
      </c>
      <c r="D3983" t="str">
        <f>IF(OR(Registro_Compras!$C$446="",Registro_Compras!$O$446=""),"",IF(Registro_Compras!$F$446="NOTA DE CREDITO","Cuentas por Pagar Comerciales - Terceros (Emitidas)",IF(Registro_Compras!$F$446="RHE","Honorarios Profesionales - Servicios de Terceros","Gastos de Servicios Prestados por Terceros")))</f>
        <v/>
      </c>
      <c r="E3983" s="20" t="str">
        <f>IF($C3983="","",IF(Registro_Compras!$F$446="NOTA DE CREDITO",ABS(Registro_Compras!$O$446),IF(Registro_Compras!$F$446="RHE",ROUND(Registro_Compras!$L$446*Registro_Compras!$N$446,2),ROUND(Registro_Compras!$J$446*Registro_Compras!$N$446,2))))</f>
        <v/>
      </c>
      <c r="F3983" s="20" t="str">
        <f>""</f>
        <v/>
      </c>
      <c r="G3983" t="str">
        <f>IF($C3983="","",IF(Registro_Compras!$F$446="NOTA DE CREDITO","Por la nota de credito "&amp;Registro_Compras!$C$446&amp;" de "&amp;Registro_Compras!$E$446&amp;" [PATRON POR CONFIRMAR CON CONTADOR]",IF(Registro_Compras!$F$446="RHE","Por el registro del recibo por honorarios "&amp;Registro_Compras!$C$446&amp;" de "&amp;Registro_Compras!$E$446&amp;" [PATRON POR CONFIRMAR CON CONTADOR]","Por el registro de la factura "&amp;Registro_Compras!$C$446&amp;" de "&amp;Registro_Compras!$E$446)))</f>
        <v/>
      </c>
      <c r="H3983" t="str">
        <f>IF($C3983="","",Registro_Compras!$C$446)</f>
        <v/>
      </c>
    </row>
    <row r="3984" spans="1:8" x14ac:dyDescent="0.25">
      <c r="A3984" s="25" t="str">
        <f>IF($C3984="","",Registro_Compras!$B$446)</f>
        <v/>
      </c>
      <c r="B3984" t="str">
        <f>IF($C3984="","","C"&amp;TEXT(INT((ROW()-5)/9)+1,"000")&amp;"-1")</f>
        <v/>
      </c>
      <c r="C3984" t="str">
        <f>IF(OR(Registro_Compras!$C$446="",Registro_Compras!$O$446=""),"",IF(Registro_Compras!$F$446="RHE",IF(Registro_Compras!$V$446=0,"","4017"),IF(Registro_Compras!$F$446="NOTA DE CREDITO",IF(Registro_Compras!$M$446="","63",Registro_Compras!$M$446),IF(Registro_Compras!$K$446=0,"","40111"))))</f>
        <v/>
      </c>
      <c r="D3984" t="str">
        <f>IF(OR(Registro_Compras!$C$446="",Registro_Compras!$O$446=""),"",IF(Registro_Compras!$F$446="RHE","Retencion Renta 4ta Categoria por Pagar",IF(Registro_Compras!$F$446="NOTA DE CREDITO","Gastos de Servicios Prestados por Terceros","IGV - Cuenta Propia (Credito Fiscal)")))</f>
        <v/>
      </c>
      <c r="E3984" s="20" t="str">
        <f>IF($C3984="","",IF(Registro_Compras!$F$446="FACTURA",ROUND(Registro_Compras!$K$446*Registro_Compras!$N$446,2),""))</f>
        <v/>
      </c>
      <c r="F3984" s="20" t="str">
        <f>IF($C3984="","",IF(Registro_Compras!$F$446="RHE",ROUND(Registro_Compras!$V$446*Registro_Compras!$N$446,2),IF(Registro_Compras!$F$446="NOTA DE CREDITO",ROUND(ABS(Registro_Compras!$J$446*Registro_Compras!$N$446),2),"")))</f>
        <v/>
      </c>
      <c r="G3984" t="str">
        <f>IF($C3984="","",IF(Registro_Compras!$F$446="NOTA DE CREDITO","Por la nota de credito "&amp;Registro_Compras!$C$446&amp;" de "&amp;Registro_Compras!$E$446&amp;" [PATRON POR CONFIRMAR CON CONTADOR]",IF(Registro_Compras!$F$446="RHE","Por el registro del recibo por honorarios "&amp;Registro_Compras!$C$446&amp;" de "&amp;Registro_Compras!$E$446&amp;" [PATRON POR CONFIRMAR CON CONTADOR]","Por el registro de la factura "&amp;Registro_Compras!$C$446&amp;" de "&amp;Registro_Compras!$E$446)))</f>
        <v/>
      </c>
      <c r="H3984" t="str">
        <f>IF($C3984="","",Registro_Compras!$C$446)</f>
        <v/>
      </c>
    </row>
    <row r="3985" spans="1:8" x14ac:dyDescent="0.25">
      <c r="A3985" s="25" t="str">
        <f>IF($C3985="","",Registro_Compras!$B$446)</f>
        <v/>
      </c>
      <c r="B3985" t="str">
        <f>IF($C3985="","","C"&amp;TEXT(INT((ROW()-5)/9)+1,"000")&amp;"-1")</f>
        <v/>
      </c>
      <c r="C3985" t="str">
        <f>IF(OR(Registro_Compras!$C$446="",Registro_Compras!$O$446=""),"",IF(Registro_Compras!$F$446="NOTA DE CREDITO",IF(Registro_Compras!$K$446=0,"","40111"),"4212"))</f>
        <v/>
      </c>
      <c r="D3985" t="str">
        <f>IF(OR(Registro_Compras!$C$446="",Registro_Compras!$O$446=""),"",IF(Registro_Compras!$F$446="NOTA DE CREDITO","IGV - Cuenta Propia (Credito Fiscal)","Cuentas por Pagar Comerciales - Terceros (Emitidas)"))</f>
        <v/>
      </c>
      <c r="E3985" s="20" t="str">
        <f>""</f>
        <v/>
      </c>
      <c r="F3985" s="20" t="str">
        <f>IF($C3985="","",IF(Registro_Compras!$F$446="NOTA DE CREDITO",ROUND(ABS(Registro_Compras!$K$446*Registro_Compras!$N$446),2),IF(Registro_Compras!$F$446="RHE",(ROUND(Registro_Compras!$L$446*Registro_Compras!$N$446,2)-ROUND(Registro_Compras!$V$446*Registro_Compras!$N$446,2)),Registro_Compras!$O$446)))</f>
        <v/>
      </c>
      <c r="G3985" t="str">
        <f>IF($C3985="","",IF(Registro_Compras!$F$446="NOTA DE CREDITO","Por la nota de credito "&amp;Registro_Compras!$C$446&amp;" de "&amp;Registro_Compras!$E$446&amp;" [PATRON POR CONFIRMAR CON CONTADOR]",IF(Registro_Compras!$F$446="RHE","Por el registro del recibo por honorarios "&amp;Registro_Compras!$C$446&amp;" de "&amp;Registro_Compras!$E$446&amp;" [PATRON POR CONFIRMAR CON CONTADOR]","Por el registro de la factura "&amp;Registro_Compras!$C$446&amp;" de "&amp;Registro_Compras!$E$446)))</f>
        <v/>
      </c>
      <c r="H3985" t="str">
        <f>IF($C3985="","",Registro_Compras!$C$446)</f>
        <v/>
      </c>
    </row>
    <row r="3986" spans="1:8" x14ac:dyDescent="0.25">
      <c r="A3986" s="25" t="str">
        <f>IF($C3986="","",Registro_Compras!$B$446)</f>
        <v/>
      </c>
      <c r="B3986" t="str">
        <f>IF($C3986="","","C"&amp;TEXT(INT((ROW()-5)/9)+1,"000")&amp;"-2")</f>
        <v/>
      </c>
      <c r="C3986" t="str">
        <f>IF(OR(Registro_Compras!$C$446="",Registro_Compras!$O$446=""),"",IF(Registro_Compras!$AB$446="ADMINISTRATIVO","94","95"))</f>
        <v/>
      </c>
      <c r="D3986" t="str">
        <f>IF(OR(Registro_Compras!$C$446="",Registro_Compras!$O$446=""),"",IF(Registro_Compras!$AB$446="ADMINISTRATIVO","Gastos Administrativos","Gastos de Venta y Operacion"))</f>
        <v/>
      </c>
      <c r="E3986" s="20" t="str">
        <f>IF($C3986="","",IF(Registro_Compras!$F$446="NOTA DE CREDITO","",IF(Registro_Compras!$F$446="RHE",ROUND(Registro_Compras!$L$446*Registro_Compras!$N$446,2),ROUND(Registro_Compras!$J$446*Registro_Compras!$N$446,2))))</f>
        <v/>
      </c>
      <c r="F3986" s="20" t="str">
        <f>IF($C3986="","",IF(Registro_Compras!$F$446="NOTA DE CREDITO",ROUND(ABS(Registro_Compras!$J$446*Registro_Compras!$N$446),2),""))</f>
        <v/>
      </c>
      <c r="G3986" t="str">
        <f>IF($C3986="","","Por el destino del gasto")</f>
        <v/>
      </c>
      <c r="H3986" t="str">
        <f>IF($C3986="","",Registro_Compras!$C$446)</f>
        <v/>
      </c>
    </row>
    <row r="3987" spans="1:8" x14ac:dyDescent="0.25">
      <c r="A3987" s="25" t="str">
        <f>IF($C3987="","",Registro_Compras!$B$446)</f>
        <v/>
      </c>
      <c r="B3987" t="str">
        <f>IF($C3987="","","C"&amp;TEXT(INT((ROW()-5)/9)+1,"000")&amp;"-2")</f>
        <v/>
      </c>
      <c r="C3987" t="str">
        <f>IF(OR(Registro_Compras!$C$446="",Registro_Compras!$O$446=""),"","79/791")</f>
        <v/>
      </c>
      <c r="D3987" t="str">
        <f>IF(OR(Registro_Compras!$C$446="",Registro_Compras!$O$446=""),"","Cargas Imputables a Cuentas de Costos y Gastos")</f>
        <v/>
      </c>
      <c r="E3987" s="20" t="str">
        <f>IF($C3987="","",IF(Registro_Compras!$F$446="NOTA DE CREDITO",ROUND(ABS(Registro_Compras!$J$446*Registro_Compras!$N$446),2),""))</f>
        <v/>
      </c>
      <c r="F3987" s="20" t="str">
        <f>IF($C3987="","",IF(Registro_Compras!$F$446="NOTA DE CREDITO","",IF(Registro_Compras!$F$446="RHE",ROUND(Registro_Compras!$L$446*Registro_Compras!$N$446,2),ROUND(Registro_Compras!$J$446*Registro_Compras!$N$446,2))))</f>
        <v/>
      </c>
      <c r="G3987" t="str">
        <f>IF($C3987="","","Por el destino del gasto")</f>
        <v/>
      </c>
      <c r="H3987" t="str">
        <f>IF($C3987="","",Registro_Compras!$C$446)</f>
        <v/>
      </c>
    </row>
    <row r="3988" spans="1:8" x14ac:dyDescent="0.25">
      <c r="A3988" s="25" t="str">
        <f>IF($C3988="","",Registro_Compras!$X$446)</f>
        <v/>
      </c>
      <c r="B3988" t="str">
        <f>IF($C3988="","","C"&amp;TEXT(INT((ROW()-5)/9)+1,"000")&amp;"-3")</f>
        <v/>
      </c>
      <c r="C3988" t="str">
        <f>IF(OR(Registro_Compras!$C$446="",Registro_Compras!$O$446="",Registro_Compras!$R$446&lt;&gt;"SI",Registro_Compras!$X$446=""),"","4212")</f>
        <v/>
      </c>
      <c r="D3988" t="str">
        <f>IF(OR(Registro_Compras!$C$446="",Registro_Compras!$O$446=""),"","Cuentas por Pagar Comerciales - Terceros")</f>
        <v/>
      </c>
      <c r="E3988" s="20" t="str">
        <f>IF($C3988="","",Registro_Compras!$S$446)</f>
        <v/>
      </c>
      <c r="F3988" s="20" t="str">
        <f>""</f>
        <v/>
      </c>
      <c r="G3988" t="str">
        <f>IF($C3988="","","Por el deposito de la detraccion en el Banco de la Nacion")</f>
        <v/>
      </c>
      <c r="H3988" t="str">
        <f>IF($C3988="","",Registro_Compras!$C$446)</f>
        <v/>
      </c>
    </row>
    <row r="3989" spans="1:8" x14ac:dyDescent="0.25">
      <c r="A3989" s="25" t="str">
        <f>IF($C3989="","",Registro_Compras!$X$446)</f>
        <v/>
      </c>
      <c r="B3989" t="str">
        <f>IF($C3989="","","C"&amp;TEXT(INT((ROW()-5)/9)+1,"000")&amp;"-3")</f>
        <v/>
      </c>
      <c r="C3989" t="str">
        <f>IF(OR(Registro_Compras!$C$446="",Registro_Compras!$O$446="",Registro_Compras!$R$446&lt;&gt;"SI",Registro_Compras!$X$446=""),"","1041")</f>
        <v/>
      </c>
      <c r="D3989" t="str">
        <f>IF(OR(Registro_Compras!$C$446="",Registro_Compras!$O$446=""),"","Efectivo y Equivalentes - Cta. Cte. Operativa")</f>
        <v/>
      </c>
      <c r="E3989" s="20" t="str">
        <f>""</f>
        <v/>
      </c>
      <c r="F3989" s="20" t="str">
        <f>IF($C3989="","",Registro_Compras!$S$446)</f>
        <v/>
      </c>
      <c r="G3989" t="str">
        <f>IF($C3989="","","Por el deposito de la detraccion en el Banco de la Nacion")</f>
        <v/>
      </c>
      <c r="H3989" t="str">
        <f>IF($C3989="","",Registro_Compras!$C$446)</f>
        <v/>
      </c>
    </row>
    <row r="3990" spans="1:8" x14ac:dyDescent="0.25">
      <c r="A3990" s="25" t="str">
        <f>IF($C3990="","",Registro_Compras!$Y$446)</f>
        <v/>
      </c>
      <c r="B3990" t="str">
        <f>IF($C3990="","","C"&amp;TEXT(INT((ROW()-5)/9)+1,"000")&amp;"-4")</f>
        <v/>
      </c>
      <c r="C3990" t="str">
        <f>IF(OR(Registro_Compras!$C$446="",Registro_Compras!$O$446="",Registro_Compras!$Y$446="",Registro_Compras!$F$446="NOTA DE CREDITO"),"","4212")</f>
        <v/>
      </c>
      <c r="D3990" t="str">
        <f>IF(OR(Registro_Compras!$C$446="",Registro_Compras!$O$446=""),"","Cuentas por Pagar Comerciales - Terceros")</f>
        <v/>
      </c>
      <c r="E3990" s="20" t="str">
        <f>IF($C3990="","",IF(Registro_Compras!$F$446="RHE",(ROUND(Registro_Compras!$L$446*Registro_Compras!$N$446,2)-ROUND(Registro_Compras!$V$446*Registro_Compras!$N$446,2)),ROUND(Registro_Compras!$O$446-Registro_Compras!$S$446,2)))</f>
        <v/>
      </c>
      <c r="F3990" s="20" t="str">
        <f>""</f>
        <v/>
      </c>
      <c r="G3990" t="str">
        <f>IF($C3990="","","Por la cancelacion del saldo al proveedor")</f>
        <v/>
      </c>
      <c r="H3990" t="str">
        <f>IF($C3990="","",Registro_Compras!$C$446)</f>
        <v/>
      </c>
    </row>
    <row r="3991" spans="1:8" x14ac:dyDescent="0.25">
      <c r="A3991" s="25" t="str">
        <f>IF($C3991="","",Registro_Compras!$Y$446)</f>
        <v/>
      </c>
      <c r="B3991" t="str">
        <f>IF($C3991="","","C"&amp;TEXT(INT((ROW()-5)/9)+1,"000")&amp;"-4")</f>
        <v/>
      </c>
      <c r="C3991" t="str">
        <f>IF(OR(Registro_Compras!$C$446="",Registro_Compras!$O$446="",Registro_Compras!$Y$446="",Registro_Compras!$F$446="NOTA DE CREDITO"),"","1041")</f>
        <v/>
      </c>
      <c r="D3991" t="str">
        <f>IF(OR(Registro_Compras!$C$446="",Registro_Compras!$O$446=""),"","Efectivo y Equivalentes - Cta. Cte. Operativa")</f>
        <v/>
      </c>
      <c r="E3991" s="20" t="str">
        <f>""</f>
        <v/>
      </c>
      <c r="F3991" s="20" t="str">
        <f>IF($C3991="","",IF(Registro_Compras!$F$446="RHE",(ROUND(Registro_Compras!$L$446*Registro_Compras!$N$446,2)-ROUND(Registro_Compras!$V$446*Registro_Compras!$N$446,2)),ROUND(Registro_Compras!$O$446-Registro_Compras!$S$446,2)))</f>
        <v/>
      </c>
      <c r="G3991" t="str">
        <f>IF($C3991="","","Por la cancelacion del saldo al proveedor")</f>
        <v/>
      </c>
      <c r="H3991" t="str">
        <f>IF($C3991="","",Registro_Compras!$C$446)</f>
        <v/>
      </c>
    </row>
    <row r="3992" spans="1:8" x14ac:dyDescent="0.25">
      <c r="A3992" s="25" t="str">
        <f>IF($C3992="","",Registro_Compras!$B$447)</f>
        <v/>
      </c>
      <c r="B3992" t="str">
        <f>IF($C3992="","","C"&amp;TEXT(INT((ROW()-5)/9)+1,"000")&amp;"-1")</f>
        <v/>
      </c>
      <c r="C3992" t="str">
        <f>IF(OR(Registro_Compras!$C$447="",Registro_Compras!$O$447=""),"",IF(Registro_Compras!$F$447="NOTA DE CREDITO","4212",IF(Registro_Compras!$M$447="","63",Registro_Compras!$M$447)))</f>
        <v/>
      </c>
      <c r="D3992" t="str">
        <f>IF(OR(Registro_Compras!$C$447="",Registro_Compras!$O$447=""),"",IF(Registro_Compras!$F$447="NOTA DE CREDITO","Cuentas por Pagar Comerciales - Terceros (Emitidas)",IF(Registro_Compras!$F$447="RHE","Honorarios Profesionales - Servicios de Terceros","Gastos de Servicios Prestados por Terceros")))</f>
        <v/>
      </c>
      <c r="E3992" s="20" t="str">
        <f>IF($C3992="","",IF(Registro_Compras!$F$447="NOTA DE CREDITO",ABS(Registro_Compras!$O$447),IF(Registro_Compras!$F$447="RHE",ROUND(Registro_Compras!$L$447*Registro_Compras!$N$447,2),ROUND(Registro_Compras!$J$447*Registro_Compras!$N$447,2))))</f>
        <v/>
      </c>
      <c r="F3992" s="20" t="str">
        <f>""</f>
        <v/>
      </c>
      <c r="G3992" t="str">
        <f>IF($C3992="","",IF(Registro_Compras!$F$447="NOTA DE CREDITO","Por la nota de credito "&amp;Registro_Compras!$C$447&amp;" de "&amp;Registro_Compras!$E$447&amp;" [PATRON POR CONFIRMAR CON CONTADOR]",IF(Registro_Compras!$F$447="RHE","Por el registro del recibo por honorarios "&amp;Registro_Compras!$C$447&amp;" de "&amp;Registro_Compras!$E$447&amp;" [PATRON POR CONFIRMAR CON CONTADOR]","Por el registro de la factura "&amp;Registro_Compras!$C$447&amp;" de "&amp;Registro_Compras!$E$447)))</f>
        <v/>
      </c>
      <c r="H3992" t="str">
        <f>IF($C3992="","",Registro_Compras!$C$447)</f>
        <v/>
      </c>
    </row>
    <row r="3993" spans="1:8" x14ac:dyDescent="0.25">
      <c r="A3993" s="25" t="str">
        <f>IF($C3993="","",Registro_Compras!$B$447)</f>
        <v/>
      </c>
      <c r="B3993" t="str">
        <f>IF($C3993="","","C"&amp;TEXT(INT((ROW()-5)/9)+1,"000")&amp;"-1")</f>
        <v/>
      </c>
      <c r="C3993" t="str">
        <f>IF(OR(Registro_Compras!$C$447="",Registro_Compras!$O$447=""),"",IF(Registro_Compras!$F$447="RHE",IF(Registro_Compras!$V$447=0,"","4017"),IF(Registro_Compras!$F$447="NOTA DE CREDITO",IF(Registro_Compras!$M$447="","63",Registro_Compras!$M$447),IF(Registro_Compras!$K$447=0,"","40111"))))</f>
        <v/>
      </c>
      <c r="D3993" t="str">
        <f>IF(OR(Registro_Compras!$C$447="",Registro_Compras!$O$447=""),"",IF(Registro_Compras!$F$447="RHE","Retencion Renta 4ta Categoria por Pagar",IF(Registro_Compras!$F$447="NOTA DE CREDITO","Gastos de Servicios Prestados por Terceros","IGV - Cuenta Propia (Credito Fiscal)")))</f>
        <v/>
      </c>
      <c r="E3993" s="20" t="str">
        <f>IF($C3993="","",IF(Registro_Compras!$F$447="FACTURA",ROUND(Registro_Compras!$K$447*Registro_Compras!$N$447,2),""))</f>
        <v/>
      </c>
      <c r="F3993" s="20" t="str">
        <f>IF($C3993="","",IF(Registro_Compras!$F$447="RHE",ROUND(Registro_Compras!$V$447*Registro_Compras!$N$447,2),IF(Registro_Compras!$F$447="NOTA DE CREDITO",ROUND(ABS(Registro_Compras!$J$447*Registro_Compras!$N$447),2),"")))</f>
        <v/>
      </c>
      <c r="G3993" t="str">
        <f>IF($C3993="","",IF(Registro_Compras!$F$447="NOTA DE CREDITO","Por la nota de credito "&amp;Registro_Compras!$C$447&amp;" de "&amp;Registro_Compras!$E$447&amp;" [PATRON POR CONFIRMAR CON CONTADOR]",IF(Registro_Compras!$F$447="RHE","Por el registro del recibo por honorarios "&amp;Registro_Compras!$C$447&amp;" de "&amp;Registro_Compras!$E$447&amp;" [PATRON POR CONFIRMAR CON CONTADOR]","Por el registro de la factura "&amp;Registro_Compras!$C$447&amp;" de "&amp;Registro_Compras!$E$447)))</f>
        <v/>
      </c>
      <c r="H3993" t="str">
        <f>IF($C3993="","",Registro_Compras!$C$447)</f>
        <v/>
      </c>
    </row>
    <row r="3994" spans="1:8" x14ac:dyDescent="0.25">
      <c r="A3994" s="25" t="str">
        <f>IF($C3994="","",Registro_Compras!$B$447)</f>
        <v/>
      </c>
      <c r="B3994" t="str">
        <f>IF($C3994="","","C"&amp;TEXT(INT((ROW()-5)/9)+1,"000")&amp;"-1")</f>
        <v/>
      </c>
      <c r="C3994" t="str">
        <f>IF(OR(Registro_Compras!$C$447="",Registro_Compras!$O$447=""),"",IF(Registro_Compras!$F$447="NOTA DE CREDITO",IF(Registro_Compras!$K$447=0,"","40111"),"4212"))</f>
        <v/>
      </c>
      <c r="D3994" t="str">
        <f>IF(OR(Registro_Compras!$C$447="",Registro_Compras!$O$447=""),"",IF(Registro_Compras!$F$447="NOTA DE CREDITO","IGV - Cuenta Propia (Credito Fiscal)","Cuentas por Pagar Comerciales - Terceros (Emitidas)"))</f>
        <v/>
      </c>
      <c r="E3994" s="20" t="str">
        <f>""</f>
        <v/>
      </c>
      <c r="F3994" s="20" t="str">
        <f>IF($C3994="","",IF(Registro_Compras!$F$447="NOTA DE CREDITO",ROUND(ABS(Registro_Compras!$K$447*Registro_Compras!$N$447),2),IF(Registro_Compras!$F$447="RHE",(ROUND(Registro_Compras!$L$447*Registro_Compras!$N$447,2)-ROUND(Registro_Compras!$V$447*Registro_Compras!$N$447,2)),Registro_Compras!$O$447)))</f>
        <v/>
      </c>
      <c r="G3994" t="str">
        <f>IF($C3994="","",IF(Registro_Compras!$F$447="NOTA DE CREDITO","Por la nota de credito "&amp;Registro_Compras!$C$447&amp;" de "&amp;Registro_Compras!$E$447&amp;" [PATRON POR CONFIRMAR CON CONTADOR]",IF(Registro_Compras!$F$447="RHE","Por el registro del recibo por honorarios "&amp;Registro_Compras!$C$447&amp;" de "&amp;Registro_Compras!$E$447&amp;" [PATRON POR CONFIRMAR CON CONTADOR]","Por el registro de la factura "&amp;Registro_Compras!$C$447&amp;" de "&amp;Registro_Compras!$E$447)))</f>
        <v/>
      </c>
      <c r="H3994" t="str">
        <f>IF($C3994="","",Registro_Compras!$C$447)</f>
        <v/>
      </c>
    </row>
    <row r="3995" spans="1:8" x14ac:dyDescent="0.25">
      <c r="A3995" s="25" t="str">
        <f>IF($C3995="","",Registro_Compras!$B$447)</f>
        <v/>
      </c>
      <c r="B3995" t="str">
        <f>IF($C3995="","","C"&amp;TEXT(INT((ROW()-5)/9)+1,"000")&amp;"-2")</f>
        <v/>
      </c>
      <c r="C3995" t="str">
        <f>IF(OR(Registro_Compras!$C$447="",Registro_Compras!$O$447=""),"",IF(Registro_Compras!$AB$447="ADMINISTRATIVO","94","95"))</f>
        <v/>
      </c>
      <c r="D3995" t="str">
        <f>IF(OR(Registro_Compras!$C$447="",Registro_Compras!$O$447=""),"",IF(Registro_Compras!$AB$447="ADMINISTRATIVO","Gastos Administrativos","Gastos de Venta y Operacion"))</f>
        <v/>
      </c>
      <c r="E3995" s="20" t="str">
        <f>IF($C3995="","",IF(Registro_Compras!$F$447="NOTA DE CREDITO","",IF(Registro_Compras!$F$447="RHE",ROUND(Registro_Compras!$L$447*Registro_Compras!$N$447,2),ROUND(Registro_Compras!$J$447*Registro_Compras!$N$447,2))))</f>
        <v/>
      </c>
      <c r="F3995" s="20" t="str">
        <f>IF($C3995="","",IF(Registro_Compras!$F$447="NOTA DE CREDITO",ROUND(ABS(Registro_Compras!$J$447*Registro_Compras!$N$447),2),""))</f>
        <v/>
      </c>
      <c r="G3995" t="str">
        <f>IF($C3995="","","Por el destino del gasto")</f>
        <v/>
      </c>
      <c r="H3995" t="str">
        <f>IF($C3995="","",Registro_Compras!$C$447)</f>
        <v/>
      </c>
    </row>
    <row r="3996" spans="1:8" x14ac:dyDescent="0.25">
      <c r="A3996" s="25" t="str">
        <f>IF($C3996="","",Registro_Compras!$B$447)</f>
        <v/>
      </c>
      <c r="B3996" t="str">
        <f>IF($C3996="","","C"&amp;TEXT(INT((ROW()-5)/9)+1,"000")&amp;"-2")</f>
        <v/>
      </c>
      <c r="C3996" t="str">
        <f>IF(OR(Registro_Compras!$C$447="",Registro_Compras!$O$447=""),"","79/791")</f>
        <v/>
      </c>
      <c r="D3996" t="str">
        <f>IF(OR(Registro_Compras!$C$447="",Registro_Compras!$O$447=""),"","Cargas Imputables a Cuentas de Costos y Gastos")</f>
        <v/>
      </c>
      <c r="E3996" s="20" t="str">
        <f>IF($C3996="","",IF(Registro_Compras!$F$447="NOTA DE CREDITO",ROUND(ABS(Registro_Compras!$J$447*Registro_Compras!$N$447),2),""))</f>
        <v/>
      </c>
      <c r="F3996" s="20" t="str">
        <f>IF($C3996="","",IF(Registro_Compras!$F$447="NOTA DE CREDITO","",IF(Registro_Compras!$F$447="RHE",ROUND(Registro_Compras!$L$447*Registro_Compras!$N$447,2),ROUND(Registro_Compras!$J$447*Registro_Compras!$N$447,2))))</f>
        <v/>
      </c>
      <c r="G3996" t="str">
        <f>IF($C3996="","","Por el destino del gasto")</f>
        <v/>
      </c>
      <c r="H3996" t="str">
        <f>IF($C3996="","",Registro_Compras!$C$447)</f>
        <v/>
      </c>
    </row>
    <row r="3997" spans="1:8" x14ac:dyDescent="0.25">
      <c r="A3997" s="25" t="str">
        <f>IF($C3997="","",Registro_Compras!$X$447)</f>
        <v/>
      </c>
      <c r="B3997" t="str">
        <f>IF($C3997="","","C"&amp;TEXT(INT((ROW()-5)/9)+1,"000")&amp;"-3")</f>
        <v/>
      </c>
      <c r="C3997" t="str">
        <f>IF(OR(Registro_Compras!$C$447="",Registro_Compras!$O$447="",Registro_Compras!$R$447&lt;&gt;"SI",Registro_Compras!$X$447=""),"","4212")</f>
        <v/>
      </c>
      <c r="D3997" t="str">
        <f>IF(OR(Registro_Compras!$C$447="",Registro_Compras!$O$447=""),"","Cuentas por Pagar Comerciales - Terceros")</f>
        <v/>
      </c>
      <c r="E3997" s="20" t="str">
        <f>IF($C3997="","",Registro_Compras!$S$447)</f>
        <v/>
      </c>
      <c r="F3997" s="20" t="str">
        <f>""</f>
        <v/>
      </c>
      <c r="G3997" t="str">
        <f>IF($C3997="","","Por el deposito de la detraccion en el Banco de la Nacion")</f>
        <v/>
      </c>
      <c r="H3997" t="str">
        <f>IF($C3997="","",Registro_Compras!$C$447)</f>
        <v/>
      </c>
    </row>
    <row r="3998" spans="1:8" x14ac:dyDescent="0.25">
      <c r="A3998" s="25" t="str">
        <f>IF($C3998="","",Registro_Compras!$X$447)</f>
        <v/>
      </c>
      <c r="B3998" t="str">
        <f>IF($C3998="","","C"&amp;TEXT(INT((ROW()-5)/9)+1,"000")&amp;"-3")</f>
        <v/>
      </c>
      <c r="C3998" t="str">
        <f>IF(OR(Registro_Compras!$C$447="",Registro_Compras!$O$447="",Registro_Compras!$R$447&lt;&gt;"SI",Registro_Compras!$X$447=""),"","1041")</f>
        <v/>
      </c>
      <c r="D3998" t="str">
        <f>IF(OR(Registro_Compras!$C$447="",Registro_Compras!$O$447=""),"","Efectivo y Equivalentes - Cta. Cte. Operativa")</f>
        <v/>
      </c>
      <c r="E3998" s="20" t="str">
        <f>""</f>
        <v/>
      </c>
      <c r="F3998" s="20" t="str">
        <f>IF($C3998="","",Registro_Compras!$S$447)</f>
        <v/>
      </c>
      <c r="G3998" t="str">
        <f>IF($C3998="","","Por el deposito de la detraccion en el Banco de la Nacion")</f>
        <v/>
      </c>
      <c r="H3998" t="str">
        <f>IF($C3998="","",Registro_Compras!$C$447)</f>
        <v/>
      </c>
    </row>
    <row r="3999" spans="1:8" x14ac:dyDescent="0.25">
      <c r="A3999" s="25" t="str">
        <f>IF($C3999="","",Registro_Compras!$Y$447)</f>
        <v/>
      </c>
      <c r="B3999" t="str">
        <f>IF($C3999="","","C"&amp;TEXT(INT((ROW()-5)/9)+1,"000")&amp;"-4")</f>
        <v/>
      </c>
      <c r="C3999" t="str">
        <f>IF(OR(Registro_Compras!$C$447="",Registro_Compras!$O$447="",Registro_Compras!$Y$447="",Registro_Compras!$F$447="NOTA DE CREDITO"),"","4212")</f>
        <v/>
      </c>
      <c r="D3999" t="str">
        <f>IF(OR(Registro_Compras!$C$447="",Registro_Compras!$O$447=""),"","Cuentas por Pagar Comerciales - Terceros")</f>
        <v/>
      </c>
      <c r="E3999" s="20" t="str">
        <f>IF($C3999="","",IF(Registro_Compras!$F$447="RHE",(ROUND(Registro_Compras!$L$447*Registro_Compras!$N$447,2)-ROUND(Registro_Compras!$V$447*Registro_Compras!$N$447,2)),ROUND(Registro_Compras!$O$447-Registro_Compras!$S$447,2)))</f>
        <v/>
      </c>
      <c r="F3999" s="20" t="str">
        <f>""</f>
        <v/>
      </c>
      <c r="G3999" t="str">
        <f>IF($C3999="","","Por la cancelacion del saldo al proveedor")</f>
        <v/>
      </c>
      <c r="H3999" t="str">
        <f>IF($C3999="","",Registro_Compras!$C$447)</f>
        <v/>
      </c>
    </row>
    <row r="4000" spans="1:8" x14ac:dyDescent="0.25">
      <c r="A4000" s="25" t="str">
        <f>IF($C4000="","",Registro_Compras!$Y$447)</f>
        <v/>
      </c>
      <c r="B4000" t="str">
        <f>IF($C4000="","","C"&amp;TEXT(INT((ROW()-5)/9)+1,"000")&amp;"-4")</f>
        <v/>
      </c>
      <c r="C4000" t="str">
        <f>IF(OR(Registro_Compras!$C$447="",Registro_Compras!$O$447="",Registro_Compras!$Y$447="",Registro_Compras!$F$447="NOTA DE CREDITO"),"","1041")</f>
        <v/>
      </c>
      <c r="D4000" t="str">
        <f>IF(OR(Registro_Compras!$C$447="",Registro_Compras!$O$447=""),"","Efectivo y Equivalentes - Cta. Cte. Operativa")</f>
        <v/>
      </c>
      <c r="E4000" s="20" t="str">
        <f>""</f>
        <v/>
      </c>
      <c r="F4000" s="20" t="str">
        <f>IF($C4000="","",IF(Registro_Compras!$F$447="RHE",(ROUND(Registro_Compras!$L$447*Registro_Compras!$N$447,2)-ROUND(Registro_Compras!$V$447*Registro_Compras!$N$447,2)),ROUND(Registro_Compras!$O$447-Registro_Compras!$S$447,2)))</f>
        <v/>
      </c>
      <c r="G4000" t="str">
        <f>IF($C4000="","","Por la cancelacion del saldo al proveedor")</f>
        <v/>
      </c>
      <c r="H4000" t="str">
        <f>IF($C4000="","",Registro_Compras!$C$447)</f>
        <v/>
      </c>
    </row>
    <row r="4001" spans="1:8" x14ac:dyDescent="0.25">
      <c r="A4001" s="25" t="str">
        <f>IF($C4001="","",Registro_Compras!$B$448)</f>
        <v/>
      </c>
      <c r="B4001" t="str">
        <f>IF($C4001="","","C"&amp;TEXT(INT((ROW()-5)/9)+1,"000")&amp;"-1")</f>
        <v/>
      </c>
      <c r="C4001" t="str">
        <f>IF(OR(Registro_Compras!$C$448="",Registro_Compras!$O$448=""),"",IF(Registro_Compras!$F$448="NOTA DE CREDITO","4212",IF(Registro_Compras!$M$448="","63",Registro_Compras!$M$448)))</f>
        <v/>
      </c>
      <c r="D4001" t="str">
        <f>IF(OR(Registro_Compras!$C$448="",Registro_Compras!$O$448=""),"",IF(Registro_Compras!$F$448="NOTA DE CREDITO","Cuentas por Pagar Comerciales - Terceros (Emitidas)",IF(Registro_Compras!$F$448="RHE","Honorarios Profesionales - Servicios de Terceros","Gastos de Servicios Prestados por Terceros")))</f>
        <v/>
      </c>
      <c r="E4001" s="20" t="str">
        <f>IF($C4001="","",IF(Registro_Compras!$F$448="NOTA DE CREDITO",ABS(Registro_Compras!$O$448),IF(Registro_Compras!$F$448="RHE",ROUND(Registro_Compras!$L$448*Registro_Compras!$N$448,2),ROUND(Registro_Compras!$J$448*Registro_Compras!$N$448,2))))</f>
        <v/>
      </c>
      <c r="F4001" s="20" t="str">
        <f>""</f>
        <v/>
      </c>
      <c r="G4001" t="str">
        <f>IF($C4001="","",IF(Registro_Compras!$F$448="NOTA DE CREDITO","Por la nota de credito "&amp;Registro_Compras!$C$448&amp;" de "&amp;Registro_Compras!$E$448&amp;" [PATRON POR CONFIRMAR CON CONTADOR]",IF(Registro_Compras!$F$448="RHE","Por el registro del recibo por honorarios "&amp;Registro_Compras!$C$448&amp;" de "&amp;Registro_Compras!$E$448&amp;" [PATRON POR CONFIRMAR CON CONTADOR]","Por el registro de la factura "&amp;Registro_Compras!$C$448&amp;" de "&amp;Registro_Compras!$E$448)))</f>
        <v/>
      </c>
      <c r="H4001" t="str">
        <f>IF($C4001="","",Registro_Compras!$C$448)</f>
        <v/>
      </c>
    </row>
    <row r="4002" spans="1:8" x14ac:dyDescent="0.25">
      <c r="A4002" s="25" t="str">
        <f>IF($C4002="","",Registro_Compras!$B$448)</f>
        <v/>
      </c>
      <c r="B4002" t="str">
        <f>IF($C4002="","","C"&amp;TEXT(INT((ROW()-5)/9)+1,"000")&amp;"-1")</f>
        <v/>
      </c>
      <c r="C4002" t="str">
        <f>IF(OR(Registro_Compras!$C$448="",Registro_Compras!$O$448=""),"",IF(Registro_Compras!$F$448="RHE",IF(Registro_Compras!$V$448=0,"","4017"),IF(Registro_Compras!$F$448="NOTA DE CREDITO",IF(Registro_Compras!$M$448="","63",Registro_Compras!$M$448),IF(Registro_Compras!$K$448=0,"","40111"))))</f>
        <v/>
      </c>
      <c r="D4002" t="str">
        <f>IF(OR(Registro_Compras!$C$448="",Registro_Compras!$O$448=""),"",IF(Registro_Compras!$F$448="RHE","Retencion Renta 4ta Categoria por Pagar",IF(Registro_Compras!$F$448="NOTA DE CREDITO","Gastos de Servicios Prestados por Terceros","IGV - Cuenta Propia (Credito Fiscal)")))</f>
        <v/>
      </c>
      <c r="E4002" s="20" t="str">
        <f>IF($C4002="","",IF(Registro_Compras!$F$448="FACTURA",ROUND(Registro_Compras!$K$448*Registro_Compras!$N$448,2),""))</f>
        <v/>
      </c>
      <c r="F4002" s="20" t="str">
        <f>IF($C4002="","",IF(Registro_Compras!$F$448="RHE",ROUND(Registro_Compras!$V$448*Registro_Compras!$N$448,2),IF(Registro_Compras!$F$448="NOTA DE CREDITO",ROUND(ABS(Registro_Compras!$J$448*Registro_Compras!$N$448),2),"")))</f>
        <v/>
      </c>
      <c r="G4002" t="str">
        <f>IF($C4002="","",IF(Registro_Compras!$F$448="NOTA DE CREDITO","Por la nota de credito "&amp;Registro_Compras!$C$448&amp;" de "&amp;Registro_Compras!$E$448&amp;" [PATRON POR CONFIRMAR CON CONTADOR]",IF(Registro_Compras!$F$448="RHE","Por el registro del recibo por honorarios "&amp;Registro_Compras!$C$448&amp;" de "&amp;Registro_Compras!$E$448&amp;" [PATRON POR CONFIRMAR CON CONTADOR]","Por el registro de la factura "&amp;Registro_Compras!$C$448&amp;" de "&amp;Registro_Compras!$E$448)))</f>
        <v/>
      </c>
      <c r="H4002" t="str">
        <f>IF($C4002="","",Registro_Compras!$C$448)</f>
        <v/>
      </c>
    </row>
    <row r="4003" spans="1:8" x14ac:dyDescent="0.25">
      <c r="A4003" s="25" t="str">
        <f>IF($C4003="","",Registro_Compras!$B$448)</f>
        <v/>
      </c>
      <c r="B4003" t="str">
        <f>IF($C4003="","","C"&amp;TEXT(INT((ROW()-5)/9)+1,"000")&amp;"-1")</f>
        <v/>
      </c>
      <c r="C4003" t="str">
        <f>IF(OR(Registro_Compras!$C$448="",Registro_Compras!$O$448=""),"",IF(Registro_Compras!$F$448="NOTA DE CREDITO",IF(Registro_Compras!$K$448=0,"","40111"),"4212"))</f>
        <v/>
      </c>
      <c r="D4003" t="str">
        <f>IF(OR(Registro_Compras!$C$448="",Registro_Compras!$O$448=""),"",IF(Registro_Compras!$F$448="NOTA DE CREDITO","IGV - Cuenta Propia (Credito Fiscal)","Cuentas por Pagar Comerciales - Terceros (Emitidas)"))</f>
        <v/>
      </c>
      <c r="E4003" s="20" t="str">
        <f>""</f>
        <v/>
      </c>
      <c r="F4003" s="20" t="str">
        <f>IF($C4003="","",IF(Registro_Compras!$F$448="NOTA DE CREDITO",ROUND(ABS(Registro_Compras!$K$448*Registro_Compras!$N$448),2),IF(Registro_Compras!$F$448="RHE",(ROUND(Registro_Compras!$L$448*Registro_Compras!$N$448,2)-ROUND(Registro_Compras!$V$448*Registro_Compras!$N$448,2)),Registro_Compras!$O$448)))</f>
        <v/>
      </c>
      <c r="G4003" t="str">
        <f>IF($C4003="","",IF(Registro_Compras!$F$448="NOTA DE CREDITO","Por la nota de credito "&amp;Registro_Compras!$C$448&amp;" de "&amp;Registro_Compras!$E$448&amp;" [PATRON POR CONFIRMAR CON CONTADOR]",IF(Registro_Compras!$F$448="RHE","Por el registro del recibo por honorarios "&amp;Registro_Compras!$C$448&amp;" de "&amp;Registro_Compras!$E$448&amp;" [PATRON POR CONFIRMAR CON CONTADOR]","Por el registro de la factura "&amp;Registro_Compras!$C$448&amp;" de "&amp;Registro_Compras!$E$448)))</f>
        <v/>
      </c>
      <c r="H4003" t="str">
        <f>IF($C4003="","",Registro_Compras!$C$448)</f>
        <v/>
      </c>
    </row>
    <row r="4004" spans="1:8" x14ac:dyDescent="0.25">
      <c r="A4004" s="25" t="str">
        <f>IF($C4004="","",Registro_Compras!$B$448)</f>
        <v/>
      </c>
      <c r="B4004" t="str">
        <f>IF($C4004="","","C"&amp;TEXT(INT((ROW()-5)/9)+1,"000")&amp;"-2")</f>
        <v/>
      </c>
      <c r="C4004" t="str">
        <f>IF(OR(Registro_Compras!$C$448="",Registro_Compras!$O$448=""),"",IF(Registro_Compras!$AB$448="ADMINISTRATIVO","94","95"))</f>
        <v/>
      </c>
      <c r="D4004" t="str">
        <f>IF(OR(Registro_Compras!$C$448="",Registro_Compras!$O$448=""),"",IF(Registro_Compras!$AB$448="ADMINISTRATIVO","Gastos Administrativos","Gastos de Venta y Operacion"))</f>
        <v/>
      </c>
      <c r="E4004" s="20" t="str">
        <f>IF($C4004="","",IF(Registro_Compras!$F$448="NOTA DE CREDITO","",IF(Registro_Compras!$F$448="RHE",ROUND(Registro_Compras!$L$448*Registro_Compras!$N$448,2),ROUND(Registro_Compras!$J$448*Registro_Compras!$N$448,2))))</f>
        <v/>
      </c>
      <c r="F4004" s="20" t="str">
        <f>IF($C4004="","",IF(Registro_Compras!$F$448="NOTA DE CREDITO",ROUND(ABS(Registro_Compras!$J$448*Registro_Compras!$N$448),2),""))</f>
        <v/>
      </c>
      <c r="G4004" t="str">
        <f>IF($C4004="","","Por el destino del gasto")</f>
        <v/>
      </c>
      <c r="H4004" t="str">
        <f>IF($C4004="","",Registro_Compras!$C$448)</f>
        <v/>
      </c>
    </row>
    <row r="4005" spans="1:8" x14ac:dyDescent="0.25">
      <c r="A4005" s="25" t="str">
        <f>IF($C4005="","",Registro_Compras!$B$448)</f>
        <v/>
      </c>
      <c r="B4005" t="str">
        <f>IF($C4005="","","C"&amp;TEXT(INT((ROW()-5)/9)+1,"000")&amp;"-2")</f>
        <v/>
      </c>
      <c r="C4005" t="str">
        <f>IF(OR(Registro_Compras!$C$448="",Registro_Compras!$O$448=""),"","79/791")</f>
        <v/>
      </c>
      <c r="D4005" t="str">
        <f>IF(OR(Registro_Compras!$C$448="",Registro_Compras!$O$448=""),"","Cargas Imputables a Cuentas de Costos y Gastos")</f>
        <v/>
      </c>
      <c r="E4005" s="20" t="str">
        <f>IF($C4005="","",IF(Registro_Compras!$F$448="NOTA DE CREDITO",ROUND(ABS(Registro_Compras!$J$448*Registro_Compras!$N$448),2),""))</f>
        <v/>
      </c>
      <c r="F4005" s="20" t="str">
        <f>IF($C4005="","",IF(Registro_Compras!$F$448="NOTA DE CREDITO","",IF(Registro_Compras!$F$448="RHE",ROUND(Registro_Compras!$L$448*Registro_Compras!$N$448,2),ROUND(Registro_Compras!$J$448*Registro_Compras!$N$448,2))))</f>
        <v/>
      </c>
      <c r="G4005" t="str">
        <f>IF($C4005="","","Por el destino del gasto")</f>
        <v/>
      </c>
      <c r="H4005" t="str">
        <f>IF($C4005="","",Registro_Compras!$C$448)</f>
        <v/>
      </c>
    </row>
    <row r="4006" spans="1:8" x14ac:dyDescent="0.25">
      <c r="A4006" s="25" t="str">
        <f>IF($C4006="","",Registro_Compras!$X$448)</f>
        <v/>
      </c>
      <c r="B4006" t="str">
        <f>IF($C4006="","","C"&amp;TEXT(INT((ROW()-5)/9)+1,"000")&amp;"-3")</f>
        <v/>
      </c>
      <c r="C4006" t="str">
        <f>IF(OR(Registro_Compras!$C$448="",Registro_Compras!$O$448="",Registro_Compras!$R$448&lt;&gt;"SI",Registro_Compras!$X$448=""),"","4212")</f>
        <v/>
      </c>
      <c r="D4006" t="str">
        <f>IF(OR(Registro_Compras!$C$448="",Registro_Compras!$O$448=""),"","Cuentas por Pagar Comerciales - Terceros")</f>
        <v/>
      </c>
      <c r="E4006" s="20" t="str">
        <f>IF($C4006="","",Registro_Compras!$S$448)</f>
        <v/>
      </c>
      <c r="F4006" s="20" t="str">
        <f>""</f>
        <v/>
      </c>
      <c r="G4006" t="str">
        <f>IF($C4006="","","Por el deposito de la detraccion en el Banco de la Nacion")</f>
        <v/>
      </c>
      <c r="H4006" t="str">
        <f>IF($C4006="","",Registro_Compras!$C$448)</f>
        <v/>
      </c>
    </row>
    <row r="4007" spans="1:8" x14ac:dyDescent="0.25">
      <c r="A4007" s="25" t="str">
        <f>IF($C4007="","",Registro_Compras!$X$448)</f>
        <v/>
      </c>
      <c r="B4007" t="str">
        <f>IF($C4007="","","C"&amp;TEXT(INT((ROW()-5)/9)+1,"000")&amp;"-3")</f>
        <v/>
      </c>
      <c r="C4007" t="str">
        <f>IF(OR(Registro_Compras!$C$448="",Registro_Compras!$O$448="",Registro_Compras!$R$448&lt;&gt;"SI",Registro_Compras!$X$448=""),"","1041")</f>
        <v/>
      </c>
      <c r="D4007" t="str">
        <f>IF(OR(Registro_Compras!$C$448="",Registro_Compras!$O$448=""),"","Efectivo y Equivalentes - Cta. Cte. Operativa")</f>
        <v/>
      </c>
      <c r="E4007" s="20" t="str">
        <f>""</f>
        <v/>
      </c>
      <c r="F4007" s="20" t="str">
        <f>IF($C4007="","",Registro_Compras!$S$448)</f>
        <v/>
      </c>
      <c r="G4007" t="str">
        <f>IF($C4007="","","Por el deposito de la detraccion en el Banco de la Nacion")</f>
        <v/>
      </c>
      <c r="H4007" t="str">
        <f>IF($C4007="","",Registro_Compras!$C$448)</f>
        <v/>
      </c>
    </row>
    <row r="4008" spans="1:8" x14ac:dyDescent="0.25">
      <c r="A4008" s="25" t="str">
        <f>IF($C4008="","",Registro_Compras!$Y$448)</f>
        <v/>
      </c>
      <c r="B4008" t="str">
        <f>IF($C4008="","","C"&amp;TEXT(INT((ROW()-5)/9)+1,"000")&amp;"-4")</f>
        <v/>
      </c>
      <c r="C4008" t="str">
        <f>IF(OR(Registro_Compras!$C$448="",Registro_Compras!$O$448="",Registro_Compras!$Y$448="",Registro_Compras!$F$448="NOTA DE CREDITO"),"","4212")</f>
        <v/>
      </c>
      <c r="D4008" t="str">
        <f>IF(OR(Registro_Compras!$C$448="",Registro_Compras!$O$448=""),"","Cuentas por Pagar Comerciales - Terceros")</f>
        <v/>
      </c>
      <c r="E4008" s="20" t="str">
        <f>IF($C4008="","",IF(Registro_Compras!$F$448="RHE",(ROUND(Registro_Compras!$L$448*Registro_Compras!$N$448,2)-ROUND(Registro_Compras!$V$448*Registro_Compras!$N$448,2)),ROUND(Registro_Compras!$O$448-Registro_Compras!$S$448,2)))</f>
        <v/>
      </c>
      <c r="F4008" s="20" t="str">
        <f>""</f>
        <v/>
      </c>
      <c r="G4008" t="str">
        <f>IF($C4008="","","Por la cancelacion del saldo al proveedor")</f>
        <v/>
      </c>
      <c r="H4008" t="str">
        <f>IF($C4008="","",Registro_Compras!$C$448)</f>
        <v/>
      </c>
    </row>
    <row r="4009" spans="1:8" x14ac:dyDescent="0.25">
      <c r="A4009" s="25" t="str">
        <f>IF($C4009="","",Registro_Compras!$Y$448)</f>
        <v/>
      </c>
      <c r="B4009" t="str">
        <f>IF($C4009="","","C"&amp;TEXT(INT((ROW()-5)/9)+1,"000")&amp;"-4")</f>
        <v/>
      </c>
      <c r="C4009" t="str">
        <f>IF(OR(Registro_Compras!$C$448="",Registro_Compras!$O$448="",Registro_Compras!$Y$448="",Registro_Compras!$F$448="NOTA DE CREDITO"),"","1041")</f>
        <v/>
      </c>
      <c r="D4009" t="str">
        <f>IF(OR(Registro_Compras!$C$448="",Registro_Compras!$O$448=""),"","Efectivo y Equivalentes - Cta. Cte. Operativa")</f>
        <v/>
      </c>
      <c r="E4009" s="20" t="str">
        <f>""</f>
        <v/>
      </c>
      <c r="F4009" s="20" t="str">
        <f>IF($C4009="","",IF(Registro_Compras!$F$448="RHE",(ROUND(Registro_Compras!$L$448*Registro_Compras!$N$448,2)-ROUND(Registro_Compras!$V$448*Registro_Compras!$N$448,2)),ROUND(Registro_Compras!$O$448-Registro_Compras!$S$448,2)))</f>
        <v/>
      </c>
      <c r="G4009" t="str">
        <f>IF($C4009="","","Por la cancelacion del saldo al proveedor")</f>
        <v/>
      </c>
      <c r="H4009" t="str">
        <f>IF($C4009="","",Registro_Compras!$C$448)</f>
        <v/>
      </c>
    </row>
    <row r="4010" spans="1:8" x14ac:dyDescent="0.25">
      <c r="A4010" s="25" t="str">
        <f>IF($C4010="","",Registro_Compras!$B$449)</f>
        <v/>
      </c>
      <c r="B4010" t="str">
        <f>IF($C4010="","","C"&amp;TEXT(INT((ROW()-5)/9)+1,"000")&amp;"-1")</f>
        <v/>
      </c>
      <c r="C4010" t="str">
        <f>IF(OR(Registro_Compras!$C$449="",Registro_Compras!$O$449=""),"",IF(Registro_Compras!$F$449="NOTA DE CREDITO","4212",IF(Registro_Compras!$M$449="","63",Registro_Compras!$M$449)))</f>
        <v/>
      </c>
      <c r="D4010" t="str">
        <f>IF(OR(Registro_Compras!$C$449="",Registro_Compras!$O$449=""),"",IF(Registro_Compras!$F$449="NOTA DE CREDITO","Cuentas por Pagar Comerciales - Terceros (Emitidas)",IF(Registro_Compras!$F$449="RHE","Honorarios Profesionales - Servicios de Terceros","Gastos de Servicios Prestados por Terceros")))</f>
        <v/>
      </c>
      <c r="E4010" s="20" t="str">
        <f>IF($C4010="","",IF(Registro_Compras!$F$449="NOTA DE CREDITO",ABS(Registro_Compras!$O$449),IF(Registro_Compras!$F$449="RHE",ROUND(Registro_Compras!$L$449*Registro_Compras!$N$449,2),ROUND(Registro_Compras!$J$449*Registro_Compras!$N$449,2))))</f>
        <v/>
      </c>
      <c r="F4010" s="20" t="str">
        <f>""</f>
        <v/>
      </c>
      <c r="G4010" t="str">
        <f>IF($C4010="","",IF(Registro_Compras!$F$449="NOTA DE CREDITO","Por la nota de credito "&amp;Registro_Compras!$C$449&amp;" de "&amp;Registro_Compras!$E$449&amp;" [PATRON POR CONFIRMAR CON CONTADOR]",IF(Registro_Compras!$F$449="RHE","Por el registro del recibo por honorarios "&amp;Registro_Compras!$C$449&amp;" de "&amp;Registro_Compras!$E$449&amp;" [PATRON POR CONFIRMAR CON CONTADOR]","Por el registro de la factura "&amp;Registro_Compras!$C$449&amp;" de "&amp;Registro_Compras!$E$449)))</f>
        <v/>
      </c>
      <c r="H4010" t="str">
        <f>IF($C4010="","",Registro_Compras!$C$449)</f>
        <v/>
      </c>
    </row>
    <row r="4011" spans="1:8" x14ac:dyDescent="0.25">
      <c r="A4011" s="25" t="str">
        <f>IF($C4011="","",Registro_Compras!$B$449)</f>
        <v/>
      </c>
      <c r="B4011" t="str">
        <f>IF($C4011="","","C"&amp;TEXT(INT((ROW()-5)/9)+1,"000")&amp;"-1")</f>
        <v/>
      </c>
      <c r="C4011" t="str">
        <f>IF(OR(Registro_Compras!$C$449="",Registro_Compras!$O$449=""),"",IF(Registro_Compras!$F$449="RHE",IF(Registro_Compras!$V$449=0,"","4017"),IF(Registro_Compras!$F$449="NOTA DE CREDITO",IF(Registro_Compras!$M$449="","63",Registro_Compras!$M$449),IF(Registro_Compras!$K$449=0,"","40111"))))</f>
        <v/>
      </c>
      <c r="D4011" t="str">
        <f>IF(OR(Registro_Compras!$C$449="",Registro_Compras!$O$449=""),"",IF(Registro_Compras!$F$449="RHE","Retencion Renta 4ta Categoria por Pagar",IF(Registro_Compras!$F$449="NOTA DE CREDITO","Gastos de Servicios Prestados por Terceros","IGV - Cuenta Propia (Credito Fiscal)")))</f>
        <v/>
      </c>
      <c r="E4011" s="20" t="str">
        <f>IF($C4011="","",IF(Registro_Compras!$F$449="FACTURA",ROUND(Registro_Compras!$K$449*Registro_Compras!$N$449,2),""))</f>
        <v/>
      </c>
      <c r="F4011" s="20" t="str">
        <f>IF($C4011="","",IF(Registro_Compras!$F$449="RHE",ROUND(Registro_Compras!$V$449*Registro_Compras!$N$449,2),IF(Registro_Compras!$F$449="NOTA DE CREDITO",ROUND(ABS(Registro_Compras!$J$449*Registro_Compras!$N$449),2),"")))</f>
        <v/>
      </c>
      <c r="G4011" t="str">
        <f>IF($C4011="","",IF(Registro_Compras!$F$449="NOTA DE CREDITO","Por la nota de credito "&amp;Registro_Compras!$C$449&amp;" de "&amp;Registro_Compras!$E$449&amp;" [PATRON POR CONFIRMAR CON CONTADOR]",IF(Registro_Compras!$F$449="RHE","Por el registro del recibo por honorarios "&amp;Registro_Compras!$C$449&amp;" de "&amp;Registro_Compras!$E$449&amp;" [PATRON POR CONFIRMAR CON CONTADOR]","Por el registro de la factura "&amp;Registro_Compras!$C$449&amp;" de "&amp;Registro_Compras!$E$449)))</f>
        <v/>
      </c>
      <c r="H4011" t="str">
        <f>IF($C4011="","",Registro_Compras!$C$449)</f>
        <v/>
      </c>
    </row>
    <row r="4012" spans="1:8" x14ac:dyDescent="0.25">
      <c r="A4012" s="25" t="str">
        <f>IF($C4012="","",Registro_Compras!$B$449)</f>
        <v/>
      </c>
      <c r="B4012" t="str">
        <f>IF($C4012="","","C"&amp;TEXT(INT((ROW()-5)/9)+1,"000")&amp;"-1")</f>
        <v/>
      </c>
      <c r="C4012" t="str">
        <f>IF(OR(Registro_Compras!$C$449="",Registro_Compras!$O$449=""),"",IF(Registro_Compras!$F$449="NOTA DE CREDITO",IF(Registro_Compras!$K$449=0,"","40111"),"4212"))</f>
        <v/>
      </c>
      <c r="D4012" t="str">
        <f>IF(OR(Registro_Compras!$C$449="",Registro_Compras!$O$449=""),"",IF(Registro_Compras!$F$449="NOTA DE CREDITO","IGV - Cuenta Propia (Credito Fiscal)","Cuentas por Pagar Comerciales - Terceros (Emitidas)"))</f>
        <v/>
      </c>
      <c r="E4012" s="20" t="str">
        <f>""</f>
        <v/>
      </c>
      <c r="F4012" s="20" t="str">
        <f>IF($C4012="","",IF(Registro_Compras!$F$449="NOTA DE CREDITO",ROUND(ABS(Registro_Compras!$K$449*Registro_Compras!$N$449),2),IF(Registro_Compras!$F$449="RHE",(ROUND(Registro_Compras!$L$449*Registro_Compras!$N$449,2)-ROUND(Registro_Compras!$V$449*Registro_Compras!$N$449,2)),Registro_Compras!$O$449)))</f>
        <v/>
      </c>
      <c r="G4012" t="str">
        <f>IF($C4012="","",IF(Registro_Compras!$F$449="NOTA DE CREDITO","Por la nota de credito "&amp;Registro_Compras!$C$449&amp;" de "&amp;Registro_Compras!$E$449&amp;" [PATRON POR CONFIRMAR CON CONTADOR]",IF(Registro_Compras!$F$449="RHE","Por el registro del recibo por honorarios "&amp;Registro_Compras!$C$449&amp;" de "&amp;Registro_Compras!$E$449&amp;" [PATRON POR CONFIRMAR CON CONTADOR]","Por el registro de la factura "&amp;Registro_Compras!$C$449&amp;" de "&amp;Registro_Compras!$E$449)))</f>
        <v/>
      </c>
      <c r="H4012" t="str">
        <f>IF($C4012="","",Registro_Compras!$C$449)</f>
        <v/>
      </c>
    </row>
    <row r="4013" spans="1:8" x14ac:dyDescent="0.25">
      <c r="A4013" s="25" t="str">
        <f>IF($C4013="","",Registro_Compras!$B$449)</f>
        <v/>
      </c>
      <c r="B4013" t="str">
        <f>IF($C4013="","","C"&amp;TEXT(INT((ROW()-5)/9)+1,"000")&amp;"-2")</f>
        <v/>
      </c>
      <c r="C4013" t="str">
        <f>IF(OR(Registro_Compras!$C$449="",Registro_Compras!$O$449=""),"",IF(Registro_Compras!$AB$449="ADMINISTRATIVO","94","95"))</f>
        <v/>
      </c>
      <c r="D4013" t="str">
        <f>IF(OR(Registro_Compras!$C$449="",Registro_Compras!$O$449=""),"",IF(Registro_Compras!$AB$449="ADMINISTRATIVO","Gastos Administrativos","Gastos de Venta y Operacion"))</f>
        <v/>
      </c>
      <c r="E4013" s="20" t="str">
        <f>IF($C4013="","",IF(Registro_Compras!$F$449="NOTA DE CREDITO","",IF(Registro_Compras!$F$449="RHE",ROUND(Registro_Compras!$L$449*Registro_Compras!$N$449,2),ROUND(Registro_Compras!$J$449*Registro_Compras!$N$449,2))))</f>
        <v/>
      </c>
      <c r="F4013" s="20" t="str">
        <f>IF($C4013="","",IF(Registro_Compras!$F$449="NOTA DE CREDITO",ROUND(ABS(Registro_Compras!$J$449*Registro_Compras!$N$449),2),""))</f>
        <v/>
      </c>
      <c r="G4013" t="str">
        <f>IF($C4013="","","Por el destino del gasto")</f>
        <v/>
      </c>
      <c r="H4013" t="str">
        <f>IF($C4013="","",Registro_Compras!$C$449)</f>
        <v/>
      </c>
    </row>
    <row r="4014" spans="1:8" x14ac:dyDescent="0.25">
      <c r="A4014" s="25" t="str">
        <f>IF($C4014="","",Registro_Compras!$B$449)</f>
        <v/>
      </c>
      <c r="B4014" t="str">
        <f>IF($C4014="","","C"&amp;TEXT(INT((ROW()-5)/9)+1,"000")&amp;"-2")</f>
        <v/>
      </c>
      <c r="C4014" t="str">
        <f>IF(OR(Registro_Compras!$C$449="",Registro_Compras!$O$449=""),"","79/791")</f>
        <v/>
      </c>
      <c r="D4014" t="str">
        <f>IF(OR(Registro_Compras!$C$449="",Registro_Compras!$O$449=""),"","Cargas Imputables a Cuentas de Costos y Gastos")</f>
        <v/>
      </c>
      <c r="E4014" s="20" t="str">
        <f>IF($C4014="","",IF(Registro_Compras!$F$449="NOTA DE CREDITO",ROUND(ABS(Registro_Compras!$J$449*Registro_Compras!$N$449),2),""))</f>
        <v/>
      </c>
      <c r="F4014" s="20" t="str">
        <f>IF($C4014="","",IF(Registro_Compras!$F$449="NOTA DE CREDITO","",IF(Registro_Compras!$F$449="RHE",ROUND(Registro_Compras!$L$449*Registro_Compras!$N$449,2),ROUND(Registro_Compras!$J$449*Registro_Compras!$N$449,2))))</f>
        <v/>
      </c>
      <c r="G4014" t="str">
        <f>IF($C4014="","","Por el destino del gasto")</f>
        <v/>
      </c>
      <c r="H4014" t="str">
        <f>IF($C4014="","",Registro_Compras!$C$449)</f>
        <v/>
      </c>
    </row>
    <row r="4015" spans="1:8" x14ac:dyDescent="0.25">
      <c r="A4015" s="25" t="str">
        <f>IF($C4015="","",Registro_Compras!$X$449)</f>
        <v/>
      </c>
      <c r="B4015" t="str">
        <f>IF($C4015="","","C"&amp;TEXT(INT((ROW()-5)/9)+1,"000")&amp;"-3")</f>
        <v/>
      </c>
      <c r="C4015" t="str">
        <f>IF(OR(Registro_Compras!$C$449="",Registro_Compras!$O$449="",Registro_Compras!$R$449&lt;&gt;"SI",Registro_Compras!$X$449=""),"","4212")</f>
        <v/>
      </c>
      <c r="D4015" t="str">
        <f>IF(OR(Registro_Compras!$C$449="",Registro_Compras!$O$449=""),"","Cuentas por Pagar Comerciales - Terceros")</f>
        <v/>
      </c>
      <c r="E4015" s="20" t="str">
        <f>IF($C4015="","",Registro_Compras!$S$449)</f>
        <v/>
      </c>
      <c r="F4015" s="20" t="str">
        <f>""</f>
        <v/>
      </c>
      <c r="G4015" t="str">
        <f>IF($C4015="","","Por el deposito de la detraccion en el Banco de la Nacion")</f>
        <v/>
      </c>
      <c r="H4015" t="str">
        <f>IF($C4015="","",Registro_Compras!$C$449)</f>
        <v/>
      </c>
    </row>
    <row r="4016" spans="1:8" x14ac:dyDescent="0.25">
      <c r="A4016" s="25" t="str">
        <f>IF($C4016="","",Registro_Compras!$X$449)</f>
        <v/>
      </c>
      <c r="B4016" t="str">
        <f>IF($C4016="","","C"&amp;TEXT(INT((ROW()-5)/9)+1,"000")&amp;"-3")</f>
        <v/>
      </c>
      <c r="C4016" t="str">
        <f>IF(OR(Registro_Compras!$C$449="",Registro_Compras!$O$449="",Registro_Compras!$R$449&lt;&gt;"SI",Registro_Compras!$X$449=""),"","1041")</f>
        <v/>
      </c>
      <c r="D4016" t="str">
        <f>IF(OR(Registro_Compras!$C$449="",Registro_Compras!$O$449=""),"","Efectivo y Equivalentes - Cta. Cte. Operativa")</f>
        <v/>
      </c>
      <c r="E4016" s="20" t="str">
        <f>""</f>
        <v/>
      </c>
      <c r="F4016" s="20" t="str">
        <f>IF($C4016="","",Registro_Compras!$S$449)</f>
        <v/>
      </c>
      <c r="G4016" t="str">
        <f>IF($C4016="","","Por el deposito de la detraccion en el Banco de la Nacion")</f>
        <v/>
      </c>
      <c r="H4016" t="str">
        <f>IF($C4016="","",Registro_Compras!$C$449)</f>
        <v/>
      </c>
    </row>
    <row r="4017" spans="1:8" x14ac:dyDescent="0.25">
      <c r="A4017" s="25" t="str">
        <f>IF($C4017="","",Registro_Compras!$Y$449)</f>
        <v/>
      </c>
      <c r="B4017" t="str">
        <f>IF($C4017="","","C"&amp;TEXT(INT((ROW()-5)/9)+1,"000")&amp;"-4")</f>
        <v/>
      </c>
      <c r="C4017" t="str">
        <f>IF(OR(Registro_Compras!$C$449="",Registro_Compras!$O$449="",Registro_Compras!$Y$449="",Registro_Compras!$F$449="NOTA DE CREDITO"),"","4212")</f>
        <v/>
      </c>
      <c r="D4017" t="str">
        <f>IF(OR(Registro_Compras!$C$449="",Registro_Compras!$O$449=""),"","Cuentas por Pagar Comerciales - Terceros")</f>
        <v/>
      </c>
      <c r="E4017" s="20" t="str">
        <f>IF($C4017="","",IF(Registro_Compras!$F$449="RHE",(ROUND(Registro_Compras!$L$449*Registro_Compras!$N$449,2)-ROUND(Registro_Compras!$V$449*Registro_Compras!$N$449,2)),ROUND(Registro_Compras!$O$449-Registro_Compras!$S$449,2)))</f>
        <v/>
      </c>
      <c r="F4017" s="20" t="str">
        <f>""</f>
        <v/>
      </c>
      <c r="G4017" t="str">
        <f>IF($C4017="","","Por la cancelacion del saldo al proveedor")</f>
        <v/>
      </c>
      <c r="H4017" t="str">
        <f>IF($C4017="","",Registro_Compras!$C$449)</f>
        <v/>
      </c>
    </row>
    <row r="4018" spans="1:8" x14ac:dyDescent="0.25">
      <c r="A4018" s="25" t="str">
        <f>IF($C4018="","",Registro_Compras!$Y$449)</f>
        <v/>
      </c>
      <c r="B4018" t="str">
        <f>IF($C4018="","","C"&amp;TEXT(INT((ROW()-5)/9)+1,"000")&amp;"-4")</f>
        <v/>
      </c>
      <c r="C4018" t="str">
        <f>IF(OR(Registro_Compras!$C$449="",Registro_Compras!$O$449="",Registro_Compras!$Y$449="",Registro_Compras!$F$449="NOTA DE CREDITO"),"","1041")</f>
        <v/>
      </c>
      <c r="D4018" t="str">
        <f>IF(OR(Registro_Compras!$C$449="",Registro_Compras!$O$449=""),"","Efectivo y Equivalentes - Cta. Cte. Operativa")</f>
        <v/>
      </c>
      <c r="E4018" s="20" t="str">
        <f>""</f>
        <v/>
      </c>
      <c r="F4018" s="20" t="str">
        <f>IF($C4018="","",IF(Registro_Compras!$F$449="RHE",(ROUND(Registro_Compras!$L$449*Registro_Compras!$N$449,2)-ROUND(Registro_Compras!$V$449*Registro_Compras!$N$449,2)),ROUND(Registro_Compras!$O$449-Registro_Compras!$S$449,2)))</f>
        <v/>
      </c>
      <c r="G4018" t="str">
        <f>IF($C4018="","","Por la cancelacion del saldo al proveedor")</f>
        <v/>
      </c>
      <c r="H4018" t="str">
        <f>IF($C4018="","",Registro_Compras!$C$449)</f>
        <v/>
      </c>
    </row>
    <row r="4019" spans="1:8" x14ac:dyDescent="0.25">
      <c r="A4019" s="25" t="str">
        <f>IF($C4019="","",Registro_Compras!$B$450)</f>
        <v/>
      </c>
      <c r="B4019" t="str">
        <f>IF($C4019="","","C"&amp;TEXT(INT((ROW()-5)/9)+1,"000")&amp;"-1")</f>
        <v/>
      </c>
      <c r="C4019" t="str">
        <f>IF(OR(Registro_Compras!$C$450="",Registro_Compras!$O$450=""),"",IF(Registro_Compras!$F$450="NOTA DE CREDITO","4212",IF(Registro_Compras!$M$450="","63",Registro_Compras!$M$450)))</f>
        <v/>
      </c>
      <c r="D4019" t="str">
        <f>IF(OR(Registro_Compras!$C$450="",Registro_Compras!$O$450=""),"",IF(Registro_Compras!$F$450="NOTA DE CREDITO","Cuentas por Pagar Comerciales - Terceros (Emitidas)",IF(Registro_Compras!$F$450="RHE","Honorarios Profesionales - Servicios de Terceros","Gastos de Servicios Prestados por Terceros")))</f>
        <v/>
      </c>
      <c r="E4019" s="20" t="str">
        <f>IF($C4019="","",IF(Registro_Compras!$F$450="NOTA DE CREDITO",ABS(Registro_Compras!$O$450),IF(Registro_Compras!$F$450="RHE",ROUND(Registro_Compras!$L$450*Registro_Compras!$N$450,2),ROUND(Registro_Compras!$J$450*Registro_Compras!$N$450,2))))</f>
        <v/>
      </c>
      <c r="F4019" s="20" t="str">
        <f>""</f>
        <v/>
      </c>
      <c r="G4019" t="str">
        <f>IF($C4019="","",IF(Registro_Compras!$F$450="NOTA DE CREDITO","Por la nota de credito "&amp;Registro_Compras!$C$450&amp;" de "&amp;Registro_Compras!$E$450&amp;" [PATRON POR CONFIRMAR CON CONTADOR]",IF(Registro_Compras!$F$450="RHE","Por el registro del recibo por honorarios "&amp;Registro_Compras!$C$450&amp;" de "&amp;Registro_Compras!$E$450&amp;" [PATRON POR CONFIRMAR CON CONTADOR]","Por el registro de la factura "&amp;Registro_Compras!$C$450&amp;" de "&amp;Registro_Compras!$E$450)))</f>
        <v/>
      </c>
      <c r="H4019" t="str">
        <f>IF($C4019="","",Registro_Compras!$C$450)</f>
        <v/>
      </c>
    </row>
    <row r="4020" spans="1:8" x14ac:dyDescent="0.25">
      <c r="A4020" s="25" t="str">
        <f>IF($C4020="","",Registro_Compras!$B$450)</f>
        <v/>
      </c>
      <c r="B4020" t="str">
        <f>IF($C4020="","","C"&amp;TEXT(INT((ROW()-5)/9)+1,"000")&amp;"-1")</f>
        <v/>
      </c>
      <c r="C4020" t="str">
        <f>IF(OR(Registro_Compras!$C$450="",Registro_Compras!$O$450=""),"",IF(Registro_Compras!$F$450="RHE",IF(Registro_Compras!$V$450=0,"","4017"),IF(Registro_Compras!$F$450="NOTA DE CREDITO",IF(Registro_Compras!$M$450="","63",Registro_Compras!$M$450),IF(Registro_Compras!$K$450=0,"","40111"))))</f>
        <v/>
      </c>
      <c r="D4020" t="str">
        <f>IF(OR(Registro_Compras!$C$450="",Registro_Compras!$O$450=""),"",IF(Registro_Compras!$F$450="RHE","Retencion Renta 4ta Categoria por Pagar",IF(Registro_Compras!$F$450="NOTA DE CREDITO","Gastos de Servicios Prestados por Terceros","IGV - Cuenta Propia (Credito Fiscal)")))</f>
        <v/>
      </c>
      <c r="E4020" s="20" t="str">
        <f>IF($C4020="","",IF(Registro_Compras!$F$450="FACTURA",ROUND(Registro_Compras!$K$450*Registro_Compras!$N$450,2),""))</f>
        <v/>
      </c>
      <c r="F4020" s="20" t="str">
        <f>IF($C4020="","",IF(Registro_Compras!$F$450="RHE",ROUND(Registro_Compras!$V$450*Registro_Compras!$N$450,2),IF(Registro_Compras!$F$450="NOTA DE CREDITO",ROUND(ABS(Registro_Compras!$J$450*Registro_Compras!$N$450),2),"")))</f>
        <v/>
      </c>
      <c r="G4020" t="str">
        <f>IF($C4020="","",IF(Registro_Compras!$F$450="NOTA DE CREDITO","Por la nota de credito "&amp;Registro_Compras!$C$450&amp;" de "&amp;Registro_Compras!$E$450&amp;" [PATRON POR CONFIRMAR CON CONTADOR]",IF(Registro_Compras!$F$450="RHE","Por el registro del recibo por honorarios "&amp;Registro_Compras!$C$450&amp;" de "&amp;Registro_Compras!$E$450&amp;" [PATRON POR CONFIRMAR CON CONTADOR]","Por el registro de la factura "&amp;Registro_Compras!$C$450&amp;" de "&amp;Registro_Compras!$E$450)))</f>
        <v/>
      </c>
      <c r="H4020" t="str">
        <f>IF($C4020="","",Registro_Compras!$C$450)</f>
        <v/>
      </c>
    </row>
    <row r="4021" spans="1:8" x14ac:dyDescent="0.25">
      <c r="A4021" s="25" t="str">
        <f>IF($C4021="","",Registro_Compras!$B$450)</f>
        <v/>
      </c>
      <c r="B4021" t="str">
        <f>IF($C4021="","","C"&amp;TEXT(INT((ROW()-5)/9)+1,"000")&amp;"-1")</f>
        <v/>
      </c>
      <c r="C4021" t="str">
        <f>IF(OR(Registro_Compras!$C$450="",Registro_Compras!$O$450=""),"",IF(Registro_Compras!$F$450="NOTA DE CREDITO",IF(Registro_Compras!$K$450=0,"","40111"),"4212"))</f>
        <v/>
      </c>
      <c r="D4021" t="str">
        <f>IF(OR(Registro_Compras!$C$450="",Registro_Compras!$O$450=""),"",IF(Registro_Compras!$F$450="NOTA DE CREDITO","IGV - Cuenta Propia (Credito Fiscal)","Cuentas por Pagar Comerciales - Terceros (Emitidas)"))</f>
        <v/>
      </c>
      <c r="E4021" s="20" t="str">
        <f>""</f>
        <v/>
      </c>
      <c r="F4021" s="20" t="str">
        <f>IF($C4021="","",IF(Registro_Compras!$F$450="NOTA DE CREDITO",ROUND(ABS(Registro_Compras!$K$450*Registro_Compras!$N$450),2),IF(Registro_Compras!$F$450="RHE",(ROUND(Registro_Compras!$L$450*Registro_Compras!$N$450,2)-ROUND(Registro_Compras!$V$450*Registro_Compras!$N$450,2)),Registro_Compras!$O$450)))</f>
        <v/>
      </c>
      <c r="G4021" t="str">
        <f>IF($C4021="","",IF(Registro_Compras!$F$450="NOTA DE CREDITO","Por la nota de credito "&amp;Registro_Compras!$C$450&amp;" de "&amp;Registro_Compras!$E$450&amp;" [PATRON POR CONFIRMAR CON CONTADOR]",IF(Registro_Compras!$F$450="RHE","Por el registro del recibo por honorarios "&amp;Registro_Compras!$C$450&amp;" de "&amp;Registro_Compras!$E$450&amp;" [PATRON POR CONFIRMAR CON CONTADOR]","Por el registro de la factura "&amp;Registro_Compras!$C$450&amp;" de "&amp;Registro_Compras!$E$450)))</f>
        <v/>
      </c>
      <c r="H4021" t="str">
        <f>IF($C4021="","",Registro_Compras!$C$450)</f>
        <v/>
      </c>
    </row>
    <row r="4022" spans="1:8" x14ac:dyDescent="0.25">
      <c r="A4022" s="25" t="str">
        <f>IF($C4022="","",Registro_Compras!$B$450)</f>
        <v/>
      </c>
      <c r="B4022" t="str">
        <f>IF($C4022="","","C"&amp;TEXT(INT((ROW()-5)/9)+1,"000")&amp;"-2")</f>
        <v/>
      </c>
      <c r="C4022" t="str">
        <f>IF(OR(Registro_Compras!$C$450="",Registro_Compras!$O$450=""),"",IF(Registro_Compras!$AB$450="ADMINISTRATIVO","94","95"))</f>
        <v/>
      </c>
      <c r="D4022" t="str">
        <f>IF(OR(Registro_Compras!$C$450="",Registro_Compras!$O$450=""),"",IF(Registro_Compras!$AB$450="ADMINISTRATIVO","Gastos Administrativos","Gastos de Venta y Operacion"))</f>
        <v/>
      </c>
      <c r="E4022" s="20" t="str">
        <f>IF($C4022="","",IF(Registro_Compras!$F$450="NOTA DE CREDITO","",IF(Registro_Compras!$F$450="RHE",ROUND(Registro_Compras!$L$450*Registro_Compras!$N$450,2),ROUND(Registro_Compras!$J$450*Registro_Compras!$N$450,2))))</f>
        <v/>
      </c>
      <c r="F4022" s="20" t="str">
        <f>IF($C4022="","",IF(Registro_Compras!$F$450="NOTA DE CREDITO",ROUND(ABS(Registro_Compras!$J$450*Registro_Compras!$N$450),2),""))</f>
        <v/>
      </c>
      <c r="G4022" t="str">
        <f>IF($C4022="","","Por el destino del gasto")</f>
        <v/>
      </c>
      <c r="H4022" t="str">
        <f>IF($C4022="","",Registro_Compras!$C$450)</f>
        <v/>
      </c>
    </row>
    <row r="4023" spans="1:8" x14ac:dyDescent="0.25">
      <c r="A4023" s="25" t="str">
        <f>IF($C4023="","",Registro_Compras!$B$450)</f>
        <v/>
      </c>
      <c r="B4023" t="str">
        <f>IF($C4023="","","C"&amp;TEXT(INT((ROW()-5)/9)+1,"000")&amp;"-2")</f>
        <v/>
      </c>
      <c r="C4023" t="str">
        <f>IF(OR(Registro_Compras!$C$450="",Registro_Compras!$O$450=""),"","79/791")</f>
        <v/>
      </c>
      <c r="D4023" t="str">
        <f>IF(OR(Registro_Compras!$C$450="",Registro_Compras!$O$450=""),"","Cargas Imputables a Cuentas de Costos y Gastos")</f>
        <v/>
      </c>
      <c r="E4023" s="20" t="str">
        <f>IF($C4023="","",IF(Registro_Compras!$F$450="NOTA DE CREDITO",ROUND(ABS(Registro_Compras!$J$450*Registro_Compras!$N$450),2),""))</f>
        <v/>
      </c>
      <c r="F4023" s="20" t="str">
        <f>IF($C4023="","",IF(Registro_Compras!$F$450="NOTA DE CREDITO","",IF(Registro_Compras!$F$450="RHE",ROUND(Registro_Compras!$L$450*Registro_Compras!$N$450,2),ROUND(Registro_Compras!$J$450*Registro_Compras!$N$450,2))))</f>
        <v/>
      </c>
      <c r="G4023" t="str">
        <f>IF($C4023="","","Por el destino del gasto")</f>
        <v/>
      </c>
      <c r="H4023" t="str">
        <f>IF($C4023="","",Registro_Compras!$C$450)</f>
        <v/>
      </c>
    </row>
    <row r="4024" spans="1:8" x14ac:dyDescent="0.25">
      <c r="A4024" s="25" t="str">
        <f>IF($C4024="","",Registro_Compras!$X$450)</f>
        <v/>
      </c>
      <c r="B4024" t="str">
        <f>IF($C4024="","","C"&amp;TEXT(INT((ROW()-5)/9)+1,"000")&amp;"-3")</f>
        <v/>
      </c>
      <c r="C4024" t="str">
        <f>IF(OR(Registro_Compras!$C$450="",Registro_Compras!$O$450="",Registro_Compras!$R$450&lt;&gt;"SI",Registro_Compras!$X$450=""),"","4212")</f>
        <v/>
      </c>
      <c r="D4024" t="str">
        <f>IF(OR(Registro_Compras!$C$450="",Registro_Compras!$O$450=""),"","Cuentas por Pagar Comerciales - Terceros")</f>
        <v/>
      </c>
      <c r="E4024" s="20" t="str">
        <f>IF($C4024="","",Registro_Compras!$S$450)</f>
        <v/>
      </c>
      <c r="F4024" s="20" t="str">
        <f>""</f>
        <v/>
      </c>
      <c r="G4024" t="str">
        <f>IF($C4024="","","Por el deposito de la detraccion en el Banco de la Nacion")</f>
        <v/>
      </c>
      <c r="H4024" t="str">
        <f>IF($C4024="","",Registro_Compras!$C$450)</f>
        <v/>
      </c>
    </row>
    <row r="4025" spans="1:8" x14ac:dyDescent="0.25">
      <c r="A4025" s="25" t="str">
        <f>IF($C4025="","",Registro_Compras!$X$450)</f>
        <v/>
      </c>
      <c r="B4025" t="str">
        <f>IF($C4025="","","C"&amp;TEXT(INT((ROW()-5)/9)+1,"000")&amp;"-3")</f>
        <v/>
      </c>
      <c r="C4025" t="str">
        <f>IF(OR(Registro_Compras!$C$450="",Registro_Compras!$O$450="",Registro_Compras!$R$450&lt;&gt;"SI",Registro_Compras!$X$450=""),"","1041")</f>
        <v/>
      </c>
      <c r="D4025" t="str">
        <f>IF(OR(Registro_Compras!$C$450="",Registro_Compras!$O$450=""),"","Efectivo y Equivalentes - Cta. Cte. Operativa")</f>
        <v/>
      </c>
      <c r="E4025" s="20" t="str">
        <f>""</f>
        <v/>
      </c>
      <c r="F4025" s="20" t="str">
        <f>IF($C4025="","",Registro_Compras!$S$450)</f>
        <v/>
      </c>
      <c r="G4025" t="str">
        <f>IF($C4025="","","Por el deposito de la detraccion en el Banco de la Nacion")</f>
        <v/>
      </c>
      <c r="H4025" t="str">
        <f>IF($C4025="","",Registro_Compras!$C$450)</f>
        <v/>
      </c>
    </row>
    <row r="4026" spans="1:8" x14ac:dyDescent="0.25">
      <c r="A4026" s="25" t="str">
        <f>IF($C4026="","",Registro_Compras!$Y$450)</f>
        <v/>
      </c>
      <c r="B4026" t="str">
        <f>IF($C4026="","","C"&amp;TEXT(INT((ROW()-5)/9)+1,"000")&amp;"-4")</f>
        <v/>
      </c>
      <c r="C4026" t="str">
        <f>IF(OR(Registro_Compras!$C$450="",Registro_Compras!$O$450="",Registro_Compras!$Y$450="",Registro_Compras!$F$450="NOTA DE CREDITO"),"","4212")</f>
        <v/>
      </c>
      <c r="D4026" t="str">
        <f>IF(OR(Registro_Compras!$C$450="",Registro_Compras!$O$450=""),"","Cuentas por Pagar Comerciales - Terceros")</f>
        <v/>
      </c>
      <c r="E4026" s="20" t="str">
        <f>IF($C4026="","",IF(Registro_Compras!$F$450="RHE",(ROUND(Registro_Compras!$L$450*Registro_Compras!$N$450,2)-ROUND(Registro_Compras!$V$450*Registro_Compras!$N$450,2)),ROUND(Registro_Compras!$O$450-Registro_Compras!$S$450,2)))</f>
        <v/>
      </c>
      <c r="F4026" s="20" t="str">
        <f>""</f>
        <v/>
      </c>
      <c r="G4026" t="str">
        <f>IF($C4026="","","Por la cancelacion del saldo al proveedor")</f>
        <v/>
      </c>
      <c r="H4026" t="str">
        <f>IF($C4026="","",Registro_Compras!$C$450)</f>
        <v/>
      </c>
    </row>
    <row r="4027" spans="1:8" x14ac:dyDescent="0.25">
      <c r="A4027" s="25" t="str">
        <f>IF($C4027="","",Registro_Compras!$Y$450)</f>
        <v/>
      </c>
      <c r="B4027" t="str">
        <f>IF($C4027="","","C"&amp;TEXT(INT((ROW()-5)/9)+1,"000")&amp;"-4")</f>
        <v/>
      </c>
      <c r="C4027" t="str">
        <f>IF(OR(Registro_Compras!$C$450="",Registro_Compras!$O$450="",Registro_Compras!$Y$450="",Registro_Compras!$F$450="NOTA DE CREDITO"),"","1041")</f>
        <v/>
      </c>
      <c r="D4027" t="str">
        <f>IF(OR(Registro_Compras!$C$450="",Registro_Compras!$O$450=""),"","Efectivo y Equivalentes - Cta. Cte. Operativa")</f>
        <v/>
      </c>
      <c r="E4027" s="20" t="str">
        <f>""</f>
        <v/>
      </c>
      <c r="F4027" s="20" t="str">
        <f>IF($C4027="","",IF(Registro_Compras!$F$450="RHE",(ROUND(Registro_Compras!$L$450*Registro_Compras!$N$450,2)-ROUND(Registro_Compras!$V$450*Registro_Compras!$N$450,2)),ROUND(Registro_Compras!$O$450-Registro_Compras!$S$450,2)))</f>
        <v/>
      </c>
      <c r="G4027" t="str">
        <f>IF($C4027="","","Por la cancelacion del saldo al proveedor")</f>
        <v/>
      </c>
      <c r="H4027" t="str">
        <f>IF($C4027="","",Registro_Compras!$C$450)</f>
        <v/>
      </c>
    </row>
    <row r="4028" spans="1:8" x14ac:dyDescent="0.25">
      <c r="A4028" s="25" t="str">
        <f>IF($C4028="","",Registro_Compras!$B$451)</f>
        <v/>
      </c>
      <c r="B4028" t="str">
        <f>IF($C4028="","","C"&amp;TEXT(INT((ROW()-5)/9)+1,"000")&amp;"-1")</f>
        <v/>
      </c>
      <c r="C4028" t="str">
        <f>IF(OR(Registro_Compras!$C$451="",Registro_Compras!$O$451=""),"",IF(Registro_Compras!$F$451="NOTA DE CREDITO","4212",IF(Registro_Compras!$M$451="","63",Registro_Compras!$M$451)))</f>
        <v/>
      </c>
      <c r="D4028" t="str">
        <f>IF(OR(Registro_Compras!$C$451="",Registro_Compras!$O$451=""),"",IF(Registro_Compras!$F$451="NOTA DE CREDITO","Cuentas por Pagar Comerciales - Terceros (Emitidas)",IF(Registro_Compras!$F$451="RHE","Honorarios Profesionales - Servicios de Terceros","Gastos de Servicios Prestados por Terceros")))</f>
        <v/>
      </c>
      <c r="E4028" s="20" t="str">
        <f>IF($C4028="","",IF(Registro_Compras!$F$451="NOTA DE CREDITO",ABS(Registro_Compras!$O$451),IF(Registro_Compras!$F$451="RHE",ROUND(Registro_Compras!$L$451*Registro_Compras!$N$451,2),ROUND(Registro_Compras!$J$451*Registro_Compras!$N$451,2))))</f>
        <v/>
      </c>
      <c r="F4028" s="20" t="str">
        <f>""</f>
        <v/>
      </c>
      <c r="G4028" t="str">
        <f>IF($C4028="","",IF(Registro_Compras!$F$451="NOTA DE CREDITO","Por la nota de credito "&amp;Registro_Compras!$C$451&amp;" de "&amp;Registro_Compras!$E$451&amp;" [PATRON POR CONFIRMAR CON CONTADOR]",IF(Registro_Compras!$F$451="RHE","Por el registro del recibo por honorarios "&amp;Registro_Compras!$C$451&amp;" de "&amp;Registro_Compras!$E$451&amp;" [PATRON POR CONFIRMAR CON CONTADOR]","Por el registro de la factura "&amp;Registro_Compras!$C$451&amp;" de "&amp;Registro_Compras!$E$451)))</f>
        <v/>
      </c>
      <c r="H4028" t="str">
        <f>IF($C4028="","",Registro_Compras!$C$451)</f>
        <v/>
      </c>
    </row>
    <row r="4029" spans="1:8" x14ac:dyDescent="0.25">
      <c r="A4029" s="25" t="str">
        <f>IF($C4029="","",Registro_Compras!$B$451)</f>
        <v/>
      </c>
      <c r="B4029" t="str">
        <f>IF($C4029="","","C"&amp;TEXT(INT((ROW()-5)/9)+1,"000")&amp;"-1")</f>
        <v/>
      </c>
      <c r="C4029" t="str">
        <f>IF(OR(Registro_Compras!$C$451="",Registro_Compras!$O$451=""),"",IF(Registro_Compras!$F$451="RHE",IF(Registro_Compras!$V$451=0,"","4017"),IF(Registro_Compras!$F$451="NOTA DE CREDITO",IF(Registro_Compras!$M$451="","63",Registro_Compras!$M$451),IF(Registro_Compras!$K$451=0,"","40111"))))</f>
        <v/>
      </c>
      <c r="D4029" t="str">
        <f>IF(OR(Registro_Compras!$C$451="",Registro_Compras!$O$451=""),"",IF(Registro_Compras!$F$451="RHE","Retencion Renta 4ta Categoria por Pagar",IF(Registro_Compras!$F$451="NOTA DE CREDITO","Gastos de Servicios Prestados por Terceros","IGV - Cuenta Propia (Credito Fiscal)")))</f>
        <v/>
      </c>
      <c r="E4029" s="20" t="str">
        <f>IF($C4029="","",IF(Registro_Compras!$F$451="FACTURA",ROUND(Registro_Compras!$K$451*Registro_Compras!$N$451,2),""))</f>
        <v/>
      </c>
      <c r="F4029" s="20" t="str">
        <f>IF($C4029="","",IF(Registro_Compras!$F$451="RHE",ROUND(Registro_Compras!$V$451*Registro_Compras!$N$451,2),IF(Registro_Compras!$F$451="NOTA DE CREDITO",ROUND(ABS(Registro_Compras!$J$451*Registro_Compras!$N$451),2),"")))</f>
        <v/>
      </c>
      <c r="G4029" t="str">
        <f>IF($C4029="","",IF(Registro_Compras!$F$451="NOTA DE CREDITO","Por la nota de credito "&amp;Registro_Compras!$C$451&amp;" de "&amp;Registro_Compras!$E$451&amp;" [PATRON POR CONFIRMAR CON CONTADOR]",IF(Registro_Compras!$F$451="RHE","Por el registro del recibo por honorarios "&amp;Registro_Compras!$C$451&amp;" de "&amp;Registro_Compras!$E$451&amp;" [PATRON POR CONFIRMAR CON CONTADOR]","Por el registro de la factura "&amp;Registro_Compras!$C$451&amp;" de "&amp;Registro_Compras!$E$451)))</f>
        <v/>
      </c>
      <c r="H4029" t="str">
        <f>IF($C4029="","",Registro_Compras!$C$451)</f>
        <v/>
      </c>
    </row>
    <row r="4030" spans="1:8" x14ac:dyDescent="0.25">
      <c r="A4030" s="25" t="str">
        <f>IF($C4030="","",Registro_Compras!$B$451)</f>
        <v/>
      </c>
      <c r="B4030" t="str">
        <f>IF($C4030="","","C"&amp;TEXT(INT((ROW()-5)/9)+1,"000")&amp;"-1")</f>
        <v/>
      </c>
      <c r="C4030" t="str">
        <f>IF(OR(Registro_Compras!$C$451="",Registro_Compras!$O$451=""),"",IF(Registro_Compras!$F$451="NOTA DE CREDITO",IF(Registro_Compras!$K$451=0,"","40111"),"4212"))</f>
        <v/>
      </c>
      <c r="D4030" t="str">
        <f>IF(OR(Registro_Compras!$C$451="",Registro_Compras!$O$451=""),"",IF(Registro_Compras!$F$451="NOTA DE CREDITO","IGV - Cuenta Propia (Credito Fiscal)","Cuentas por Pagar Comerciales - Terceros (Emitidas)"))</f>
        <v/>
      </c>
      <c r="E4030" s="20" t="str">
        <f>""</f>
        <v/>
      </c>
      <c r="F4030" s="20" t="str">
        <f>IF($C4030="","",IF(Registro_Compras!$F$451="NOTA DE CREDITO",ROUND(ABS(Registro_Compras!$K$451*Registro_Compras!$N$451),2),IF(Registro_Compras!$F$451="RHE",(ROUND(Registro_Compras!$L$451*Registro_Compras!$N$451,2)-ROUND(Registro_Compras!$V$451*Registro_Compras!$N$451,2)),Registro_Compras!$O$451)))</f>
        <v/>
      </c>
      <c r="G4030" t="str">
        <f>IF($C4030="","",IF(Registro_Compras!$F$451="NOTA DE CREDITO","Por la nota de credito "&amp;Registro_Compras!$C$451&amp;" de "&amp;Registro_Compras!$E$451&amp;" [PATRON POR CONFIRMAR CON CONTADOR]",IF(Registro_Compras!$F$451="RHE","Por el registro del recibo por honorarios "&amp;Registro_Compras!$C$451&amp;" de "&amp;Registro_Compras!$E$451&amp;" [PATRON POR CONFIRMAR CON CONTADOR]","Por el registro de la factura "&amp;Registro_Compras!$C$451&amp;" de "&amp;Registro_Compras!$E$451)))</f>
        <v/>
      </c>
      <c r="H4030" t="str">
        <f>IF($C4030="","",Registro_Compras!$C$451)</f>
        <v/>
      </c>
    </row>
    <row r="4031" spans="1:8" x14ac:dyDescent="0.25">
      <c r="A4031" s="25" t="str">
        <f>IF($C4031="","",Registro_Compras!$B$451)</f>
        <v/>
      </c>
      <c r="B4031" t="str">
        <f>IF($C4031="","","C"&amp;TEXT(INT((ROW()-5)/9)+1,"000")&amp;"-2")</f>
        <v/>
      </c>
      <c r="C4031" t="str">
        <f>IF(OR(Registro_Compras!$C$451="",Registro_Compras!$O$451=""),"",IF(Registro_Compras!$AB$451="ADMINISTRATIVO","94","95"))</f>
        <v/>
      </c>
      <c r="D4031" t="str">
        <f>IF(OR(Registro_Compras!$C$451="",Registro_Compras!$O$451=""),"",IF(Registro_Compras!$AB$451="ADMINISTRATIVO","Gastos Administrativos","Gastos de Venta y Operacion"))</f>
        <v/>
      </c>
      <c r="E4031" s="20" t="str">
        <f>IF($C4031="","",IF(Registro_Compras!$F$451="NOTA DE CREDITO","",IF(Registro_Compras!$F$451="RHE",ROUND(Registro_Compras!$L$451*Registro_Compras!$N$451,2),ROUND(Registro_Compras!$J$451*Registro_Compras!$N$451,2))))</f>
        <v/>
      </c>
      <c r="F4031" s="20" t="str">
        <f>IF($C4031="","",IF(Registro_Compras!$F$451="NOTA DE CREDITO",ROUND(ABS(Registro_Compras!$J$451*Registro_Compras!$N$451),2),""))</f>
        <v/>
      </c>
      <c r="G4031" t="str">
        <f>IF($C4031="","","Por el destino del gasto")</f>
        <v/>
      </c>
      <c r="H4031" t="str">
        <f>IF($C4031="","",Registro_Compras!$C$451)</f>
        <v/>
      </c>
    </row>
    <row r="4032" spans="1:8" x14ac:dyDescent="0.25">
      <c r="A4032" s="25" t="str">
        <f>IF($C4032="","",Registro_Compras!$B$451)</f>
        <v/>
      </c>
      <c r="B4032" t="str">
        <f>IF($C4032="","","C"&amp;TEXT(INT((ROW()-5)/9)+1,"000")&amp;"-2")</f>
        <v/>
      </c>
      <c r="C4032" t="str">
        <f>IF(OR(Registro_Compras!$C$451="",Registro_Compras!$O$451=""),"","79/791")</f>
        <v/>
      </c>
      <c r="D4032" t="str">
        <f>IF(OR(Registro_Compras!$C$451="",Registro_Compras!$O$451=""),"","Cargas Imputables a Cuentas de Costos y Gastos")</f>
        <v/>
      </c>
      <c r="E4032" s="20" t="str">
        <f>IF($C4032="","",IF(Registro_Compras!$F$451="NOTA DE CREDITO",ROUND(ABS(Registro_Compras!$J$451*Registro_Compras!$N$451),2),""))</f>
        <v/>
      </c>
      <c r="F4032" s="20" t="str">
        <f>IF($C4032="","",IF(Registro_Compras!$F$451="NOTA DE CREDITO","",IF(Registro_Compras!$F$451="RHE",ROUND(Registro_Compras!$L$451*Registro_Compras!$N$451,2),ROUND(Registro_Compras!$J$451*Registro_Compras!$N$451,2))))</f>
        <v/>
      </c>
      <c r="G4032" t="str">
        <f>IF($C4032="","","Por el destino del gasto")</f>
        <v/>
      </c>
      <c r="H4032" t="str">
        <f>IF($C4032="","",Registro_Compras!$C$451)</f>
        <v/>
      </c>
    </row>
    <row r="4033" spans="1:8" x14ac:dyDescent="0.25">
      <c r="A4033" s="25" t="str">
        <f>IF($C4033="","",Registro_Compras!$X$451)</f>
        <v/>
      </c>
      <c r="B4033" t="str">
        <f>IF($C4033="","","C"&amp;TEXT(INT((ROW()-5)/9)+1,"000")&amp;"-3")</f>
        <v/>
      </c>
      <c r="C4033" t="str">
        <f>IF(OR(Registro_Compras!$C$451="",Registro_Compras!$O$451="",Registro_Compras!$R$451&lt;&gt;"SI",Registro_Compras!$X$451=""),"","4212")</f>
        <v/>
      </c>
      <c r="D4033" t="str">
        <f>IF(OR(Registro_Compras!$C$451="",Registro_Compras!$O$451=""),"","Cuentas por Pagar Comerciales - Terceros")</f>
        <v/>
      </c>
      <c r="E4033" s="20" t="str">
        <f>IF($C4033="","",Registro_Compras!$S$451)</f>
        <v/>
      </c>
      <c r="F4033" s="20" t="str">
        <f>""</f>
        <v/>
      </c>
      <c r="G4033" t="str">
        <f>IF($C4033="","","Por el deposito de la detraccion en el Banco de la Nacion")</f>
        <v/>
      </c>
      <c r="H4033" t="str">
        <f>IF($C4033="","",Registro_Compras!$C$451)</f>
        <v/>
      </c>
    </row>
    <row r="4034" spans="1:8" x14ac:dyDescent="0.25">
      <c r="A4034" s="25" t="str">
        <f>IF($C4034="","",Registro_Compras!$X$451)</f>
        <v/>
      </c>
      <c r="B4034" t="str">
        <f>IF($C4034="","","C"&amp;TEXT(INT((ROW()-5)/9)+1,"000")&amp;"-3")</f>
        <v/>
      </c>
      <c r="C4034" t="str">
        <f>IF(OR(Registro_Compras!$C$451="",Registro_Compras!$O$451="",Registro_Compras!$R$451&lt;&gt;"SI",Registro_Compras!$X$451=""),"","1041")</f>
        <v/>
      </c>
      <c r="D4034" t="str">
        <f>IF(OR(Registro_Compras!$C$451="",Registro_Compras!$O$451=""),"","Efectivo y Equivalentes - Cta. Cte. Operativa")</f>
        <v/>
      </c>
      <c r="E4034" s="20" t="str">
        <f>""</f>
        <v/>
      </c>
      <c r="F4034" s="20" t="str">
        <f>IF($C4034="","",Registro_Compras!$S$451)</f>
        <v/>
      </c>
      <c r="G4034" t="str">
        <f>IF($C4034="","","Por el deposito de la detraccion en el Banco de la Nacion")</f>
        <v/>
      </c>
      <c r="H4034" t="str">
        <f>IF($C4034="","",Registro_Compras!$C$451)</f>
        <v/>
      </c>
    </row>
    <row r="4035" spans="1:8" x14ac:dyDescent="0.25">
      <c r="A4035" s="25" t="str">
        <f>IF($C4035="","",Registro_Compras!$Y$451)</f>
        <v/>
      </c>
      <c r="B4035" t="str">
        <f>IF($C4035="","","C"&amp;TEXT(INT((ROW()-5)/9)+1,"000")&amp;"-4")</f>
        <v/>
      </c>
      <c r="C4035" t="str">
        <f>IF(OR(Registro_Compras!$C$451="",Registro_Compras!$O$451="",Registro_Compras!$Y$451="",Registro_Compras!$F$451="NOTA DE CREDITO"),"","4212")</f>
        <v/>
      </c>
      <c r="D4035" t="str">
        <f>IF(OR(Registro_Compras!$C$451="",Registro_Compras!$O$451=""),"","Cuentas por Pagar Comerciales - Terceros")</f>
        <v/>
      </c>
      <c r="E4035" s="20" t="str">
        <f>IF($C4035="","",IF(Registro_Compras!$F$451="RHE",(ROUND(Registro_Compras!$L$451*Registro_Compras!$N$451,2)-ROUND(Registro_Compras!$V$451*Registro_Compras!$N$451,2)),ROUND(Registro_Compras!$O$451-Registro_Compras!$S$451,2)))</f>
        <v/>
      </c>
      <c r="F4035" s="20" t="str">
        <f>""</f>
        <v/>
      </c>
      <c r="G4035" t="str">
        <f>IF($C4035="","","Por la cancelacion del saldo al proveedor")</f>
        <v/>
      </c>
      <c r="H4035" t="str">
        <f>IF($C4035="","",Registro_Compras!$C$451)</f>
        <v/>
      </c>
    </row>
    <row r="4036" spans="1:8" x14ac:dyDescent="0.25">
      <c r="A4036" s="25" t="str">
        <f>IF($C4036="","",Registro_Compras!$Y$451)</f>
        <v/>
      </c>
      <c r="B4036" t="str">
        <f>IF($C4036="","","C"&amp;TEXT(INT((ROW()-5)/9)+1,"000")&amp;"-4")</f>
        <v/>
      </c>
      <c r="C4036" t="str">
        <f>IF(OR(Registro_Compras!$C$451="",Registro_Compras!$O$451="",Registro_Compras!$Y$451="",Registro_Compras!$F$451="NOTA DE CREDITO"),"","1041")</f>
        <v/>
      </c>
      <c r="D4036" t="str">
        <f>IF(OR(Registro_Compras!$C$451="",Registro_Compras!$O$451=""),"","Efectivo y Equivalentes - Cta. Cte. Operativa")</f>
        <v/>
      </c>
      <c r="E4036" s="20" t="str">
        <f>""</f>
        <v/>
      </c>
      <c r="F4036" s="20" t="str">
        <f>IF($C4036="","",IF(Registro_Compras!$F$451="RHE",(ROUND(Registro_Compras!$L$451*Registro_Compras!$N$451,2)-ROUND(Registro_Compras!$V$451*Registro_Compras!$N$451,2)),ROUND(Registro_Compras!$O$451-Registro_Compras!$S$451,2)))</f>
        <v/>
      </c>
      <c r="G4036" t="str">
        <f>IF($C4036="","","Por la cancelacion del saldo al proveedor")</f>
        <v/>
      </c>
      <c r="H4036" t="str">
        <f>IF($C4036="","",Registro_Compras!$C$451)</f>
        <v/>
      </c>
    </row>
    <row r="4037" spans="1:8" x14ac:dyDescent="0.25">
      <c r="A4037" s="25" t="str">
        <f>IF($C4037="","",Registro_Compras!$B$452)</f>
        <v/>
      </c>
      <c r="B4037" t="str">
        <f>IF($C4037="","","C"&amp;TEXT(INT((ROW()-5)/9)+1,"000")&amp;"-1")</f>
        <v/>
      </c>
      <c r="C4037" t="str">
        <f>IF(OR(Registro_Compras!$C$452="",Registro_Compras!$O$452=""),"",IF(Registro_Compras!$F$452="NOTA DE CREDITO","4212",IF(Registro_Compras!$M$452="","63",Registro_Compras!$M$452)))</f>
        <v/>
      </c>
      <c r="D4037" t="str">
        <f>IF(OR(Registro_Compras!$C$452="",Registro_Compras!$O$452=""),"",IF(Registro_Compras!$F$452="NOTA DE CREDITO","Cuentas por Pagar Comerciales - Terceros (Emitidas)",IF(Registro_Compras!$F$452="RHE","Honorarios Profesionales - Servicios de Terceros","Gastos de Servicios Prestados por Terceros")))</f>
        <v/>
      </c>
      <c r="E4037" s="20" t="str">
        <f>IF($C4037="","",IF(Registro_Compras!$F$452="NOTA DE CREDITO",ABS(Registro_Compras!$O$452),IF(Registro_Compras!$F$452="RHE",ROUND(Registro_Compras!$L$452*Registro_Compras!$N$452,2),ROUND(Registro_Compras!$J$452*Registro_Compras!$N$452,2))))</f>
        <v/>
      </c>
      <c r="F4037" s="20" t="str">
        <f>""</f>
        <v/>
      </c>
      <c r="G4037" t="str">
        <f>IF($C4037="","",IF(Registro_Compras!$F$452="NOTA DE CREDITO","Por la nota de credito "&amp;Registro_Compras!$C$452&amp;" de "&amp;Registro_Compras!$E$452&amp;" [PATRON POR CONFIRMAR CON CONTADOR]",IF(Registro_Compras!$F$452="RHE","Por el registro del recibo por honorarios "&amp;Registro_Compras!$C$452&amp;" de "&amp;Registro_Compras!$E$452&amp;" [PATRON POR CONFIRMAR CON CONTADOR]","Por el registro de la factura "&amp;Registro_Compras!$C$452&amp;" de "&amp;Registro_Compras!$E$452)))</f>
        <v/>
      </c>
      <c r="H4037" t="str">
        <f>IF($C4037="","",Registro_Compras!$C$452)</f>
        <v/>
      </c>
    </row>
    <row r="4038" spans="1:8" x14ac:dyDescent="0.25">
      <c r="A4038" s="25" t="str">
        <f>IF($C4038="","",Registro_Compras!$B$452)</f>
        <v/>
      </c>
      <c r="B4038" t="str">
        <f>IF($C4038="","","C"&amp;TEXT(INT((ROW()-5)/9)+1,"000")&amp;"-1")</f>
        <v/>
      </c>
      <c r="C4038" t="str">
        <f>IF(OR(Registro_Compras!$C$452="",Registro_Compras!$O$452=""),"",IF(Registro_Compras!$F$452="RHE",IF(Registro_Compras!$V$452=0,"","4017"),IF(Registro_Compras!$F$452="NOTA DE CREDITO",IF(Registro_Compras!$M$452="","63",Registro_Compras!$M$452),IF(Registro_Compras!$K$452=0,"","40111"))))</f>
        <v/>
      </c>
      <c r="D4038" t="str">
        <f>IF(OR(Registro_Compras!$C$452="",Registro_Compras!$O$452=""),"",IF(Registro_Compras!$F$452="RHE","Retencion Renta 4ta Categoria por Pagar",IF(Registro_Compras!$F$452="NOTA DE CREDITO","Gastos de Servicios Prestados por Terceros","IGV - Cuenta Propia (Credito Fiscal)")))</f>
        <v/>
      </c>
      <c r="E4038" s="20" t="str">
        <f>IF($C4038="","",IF(Registro_Compras!$F$452="FACTURA",ROUND(Registro_Compras!$K$452*Registro_Compras!$N$452,2),""))</f>
        <v/>
      </c>
      <c r="F4038" s="20" t="str">
        <f>IF($C4038="","",IF(Registro_Compras!$F$452="RHE",ROUND(Registro_Compras!$V$452*Registro_Compras!$N$452,2),IF(Registro_Compras!$F$452="NOTA DE CREDITO",ROUND(ABS(Registro_Compras!$J$452*Registro_Compras!$N$452),2),"")))</f>
        <v/>
      </c>
      <c r="G4038" t="str">
        <f>IF($C4038="","",IF(Registro_Compras!$F$452="NOTA DE CREDITO","Por la nota de credito "&amp;Registro_Compras!$C$452&amp;" de "&amp;Registro_Compras!$E$452&amp;" [PATRON POR CONFIRMAR CON CONTADOR]",IF(Registro_Compras!$F$452="RHE","Por el registro del recibo por honorarios "&amp;Registro_Compras!$C$452&amp;" de "&amp;Registro_Compras!$E$452&amp;" [PATRON POR CONFIRMAR CON CONTADOR]","Por el registro de la factura "&amp;Registro_Compras!$C$452&amp;" de "&amp;Registro_Compras!$E$452)))</f>
        <v/>
      </c>
      <c r="H4038" t="str">
        <f>IF($C4038="","",Registro_Compras!$C$452)</f>
        <v/>
      </c>
    </row>
    <row r="4039" spans="1:8" x14ac:dyDescent="0.25">
      <c r="A4039" s="25" t="str">
        <f>IF($C4039="","",Registro_Compras!$B$452)</f>
        <v/>
      </c>
      <c r="B4039" t="str">
        <f>IF($C4039="","","C"&amp;TEXT(INT((ROW()-5)/9)+1,"000")&amp;"-1")</f>
        <v/>
      </c>
      <c r="C4039" t="str">
        <f>IF(OR(Registro_Compras!$C$452="",Registro_Compras!$O$452=""),"",IF(Registro_Compras!$F$452="NOTA DE CREDITO",IF(Registro_Compras!$K$452=0,"","40111"),"4212"))</f>
        <v/>
      </c>
      <c r="D4039" t="str">
        <f>IF(OR(Registro_Compras!$C$452="",Registro_Compras!$O$452=""),"",IF(Registro_Compras!$F$452="NOTA DE CREDITO","IGV - Cuenta Propia (Credito Fiscal)","Cuentas por Pagar Comerciales - Terceros (Emitidas)"))</f>
        <v/>
      </c>
      <c r="E4039" s="20" t="str">
        <f>""</f>
        <v/>
      </c>
      <c r="F4039" s="20" t="str">
        <f>IF($C4039="","",IF(Registro_Compras!$F$452="NOTA DE CREDITO",ROUND(ABS(Registro_Compras!$K$452*Registro_Compras!$N$452),2),IF(Registro_Compras!$F$452="RHE",(ROUND(Registro_Compras!$L$452*Registro_Compras!$N$452,2)-ROUND(Registro_Compras!$V$452*Registro_Compras!$N$452,2)),Registro_Compras!$O$452)))</f>
        <v/>
      </c>
      <c r="G4039" t="str">
        <f>IF($C4039="","",IF(Registro_Compras!$F$452="NOTA DE CREDITO","Por la nota de credito "&amp;Registro_Compras!$C$452&amp;" de "&amp;Registro_Compras!$E$452&amp;" [PATRON POR CONFIRMAR CON CONTADOR]",IF(Registro_Compras!$F$452="RHE","Por el registro del recibo por honorarios "&amp;Registro_Compras!$C$452&amp;" de "&amp;Registro_Compras!$E$452&amp;" [PATRON POR CONFIRMAR CON CONTADOR]","Por el registro de la factura "&amp;Registro_Compras!$C$452&amp;" de "&amp;Registro_Compras!$E$452)))</f>
        <v/>
      </c>
      <c r="H4039" t="str">
        <f>IF($C4039="","",Registro_Compras!$C$452)</f>
        <v/>
      </c>
    </row>
    <row r="4040" spans="1:8" x14ac:dyDescent="0.25">
      <c r="A4040" s="25" t="str">
        <f>IF($C4040="","",Registro_Compras!$B$452)</f>
        <v/>
      </c>
      <c r="B4040" t="str">
        <f>IF($C4040="","","C"&amp;TEXT(INT((ROW()-5)/9)+1,"000")&amp;"-2")</f>
        <v/>
      </c>
      <c r="C4040" t="str">
        <f>IF(OR(Registro_Compras!$C$452="",Registro_Compras!$O$452=""),"",IF(Registro_Compras!$AB$452="ADMINISTRATIVO","94","95"))</f>
        <v/>
      </c>
      <c r="D4040" t="str">
        <f>IF(OR(Registro_Compras!$C$452="",Registro_Compras!$O$452=""),"",IF(Registro_Compras!$AB$452="ADMINISTRATIVO","Gastos Administrativos","Gastos de Venta y Operacion"))</f>
        <v/>
      </c>
      <c r="E4040" s="20" t="str">
        <f>IF($C4040="","",IF(Registro_Compras!$F$452="NOTA DE CREDITO","",IF(Registro_Compras!$F$452="RHE",ROUND(Registro_Compras!$L$452*Registro_Compras!$N$452,2),ROUND(Registro_Compras!$J$452*Registro_Compras!$N$452,2))))</f>
        <v/>
      </c>
      <c r="F4040" s="20" t="str">
        <f>IF($C4040="","",IF(Registro_Compras!$F$452="NOTA DE CREDITO",ROUND(ABS(Registro_Compras!$J$452*Registro_Compras!$N$452),2),""))</f>
        <v/>
      </c>
      <c r="G4040" t="str">
        <f>IF($C4040="","","Por el destino del gasto")</f>
        <v/>
      </c>
      <c r="H4040" t="str">
        <f>IF($C4040="","",Registro_Compras!$C$452)</f>
        <v/>
      </c>
    </row>
    <row r="4041" spans="1:8" x14ac:dyDescent="0.25">
      <c r="A4041" s="25" t="str">
        <f>IF($C4041="","",Registro_Compras!$B$452)</f>
        <v/>
      </c>
      <c r="B4041" t="str">
        <f>IF($C4041="","","C"&amp;TEXT(INT((ROW()-5)/9)+1,"000")&amp;"-2")</f>
        <v/>
      </c>
      <c r="C4041" t="str">
        <f>IF(OR(Registro_Compras!$C$452="",Registro_Compras!$O$452=""),"","79/791")</f>
        <v/>
      </c>
      <c r="D4041" t="str">
        <f>IF(OR(Registro_Compras!$C$452="",Registro_Compras!$O$452=""),"","Cargas Imputables a Cuentas de Costos y Gastos")</f>
        <v/>
      </c>
      <c r="E4041" s="20" t="str">
        <f>IF($C4041="","",IF(Registro_Compras!$F$452="NOTA DE CREDITO",ROUND(ABS(Registro_Compras!$J$452*Registro_Compras!$N$452),2),""))</f>
        <v/>
      </c>
      <c r="F4041" s="20" t="str">
        <f>IF($C4041="","",IF(Registro_Compras!$F$452="NOTA DE CREDITO","",IF(Registro_Compras!$F$452="RHE",ROUND(Registro_Compras!$L$452*Registro_Compras!$N$452,2),ROUND(Registro_Compras!$J$452*Registro_Compras!$N$452,2))))</f>
        <v/>
      </c>
      <c r="G4041" t="str">
        <f>IF($C4041="","","Por el destino del gasto")</f>
        <v/>
      </c>
      <c r="H4041" t="str">
        <f>IF($C4041="","",Registro_Compras!$C$452)</f>
        <v/>
      </c>
    </row>
    <row r="4042" spans="1:8" x14ac:dyDescent="0.25">
      <c r="A4042" s="25" t="str">
        <f>IF($C4042="","",Registro_Compras!$X$452)</f>
        <v/>
      </c>
      <c r="B4042" t="str">
        <f>IF($C4042="","","C"&amp;TEXT(INT((ROW()-5)/9)+1,"000")&amp;"-3")</f>
        <v/>
      </c>
      <c r="C4042" t="str">
        <f>IF(OR(Registro_Compras!$C$452="",Registro_Compras!$O$452="",Registro_Compras!$R$452&lt;&gt;"SI",Registro_Compras!$X$452=""),"","4212")</f>
        <v/>
      </c>
      <c r="D4042" t="str">
        <f>IF(OR(Registro_Compras!$C$452="",Registro_Compras!$O$452=""),"","Cuentas por Pagar Comerciales - Terceros")</f>
        <v/>
      </c>
      <c r="E4042" s="20" t="str">
        <f>IF($C4042="","",Registro_Compras!$S$452)</f>
        <v/>
      </c>
      <c r="F4042" s="20" t="str">
        <f>""</f>
        <v/>
      </c>
      <c r="G4042" t="str">
        <f>IF($C4042="","","Por el deposito de la detraccion en el Banco de la Nacion")</f>
        <v/>
      </c>
      <c r="H4042" t="str">
        <f>IF($C4042="","",Registro_Compras!$C$452)</f>
        <v/>
      </c>
    </row>
    <row r="4043" spans="1:8" x14ac:dyDescent="0.25">
      <c r="A4043" s="25" t="str">
        <f>IF($C4043="","",Registro_Compras!$X$452)</f>
        <v/>
      </c>
      <c r="B4043" t="str">
        <f>IF($C4043="","","C"&amp;TEXT(INT((ROW()-5)/9)+1,"000")&amp;"-3")</f>
        <v/>
      </c>
      <c r="C4043" t="str">
        <f>IF(OR(Registro_Compras!$C$452="",Registro_Compras!$O$452="",Registro_Compras!$R$452&lt;&gt;"SI",Registro_Compras!$X$452=""),"","1041")</f>
        <v/>
      </c>
      <c r="D4043" t="str">
        <f>IF(OR(Registro_Compras!$C$452="",Registro_Compras!$O$452=""),"","Efectivo y Equivalentes - Cta. Cte. Operativa")</f>
        <v/>
      </c>
      <c r="E4043" s="20" t="str">
        <f>""</f>
        <v/>
      </c>
      <c r="F4043" s="20" t="str">
        <f>IF($C4043="","",Registro_Compras!$S$452)</f>
        <v/>
      </c>
      <c r="G4043" t="str">
        <f>IF($C4043="","","Por el deposito de la detraccion en el Banco de la Nacion")</f>
        <v/>
      </c>
      <c r="H4043" t="str">
        <f>IF($C4043="","",Registro_Compras!$C$452)</f>
        <v/>
      </c>
    </row>
    <row r="4044" spans="1:8" x14ac:dyDescent="0.25">
      <c r="A4044" s="25" t="str">
        <f>IF($C4044="","",Registro_Compras!$Y$452)</f>
        <v/>
      </c>
      <c r="B4044" t="str">
        <f>IF($C4044="","","C"&amp;TEXT(INT((ROW()-5)/9)+1,"000")&amp;"-4")</f>
        <v/>
      </c>
      <c r="C4044" t="str">
        <f>IF(OR(Registro_Compras!$C$452="",Registro_Compras!$O$452="",Registro_Compras!$Y$452="",Registro_Compras!$F$452="NOTA DE CREDITO"),"","4212")</f>
        <v/>
      </c>
      <c r="D4044" t="str">
        <f>IF(OR(Registro_Compras!$C$452="",Registro_Compras!$O$452=""),"","Cuentas por Pagar Comerciales - Terceros")</f>
        <v/>
      </c>
      <c r="E4044" s="20" t="str">
        <f>IF($C4044="","",IF(Registro_Compras!$F$452="RHE",(ROUND(Registro_Compras!$L$452*Registro_Compras!$N$452,2)-ROUND(Registro_Compras!$V$452*Registro_Compras!$N$452,2)),ROUND(Registro_Compras!$O$452-Registro_Compras!$S$452,2)))</f>
        <v/>
      </c>
      <c r="F4044" s="20" t="str">
        <f>""</f>
        <v/>
      </c>
      <c r="G4044" t="str">
        <f>IF($C4044="","","Por la cancelacion del saldo al proveedor")</f>
        <v/>
      </c>
      <c r="H4044" t="str">
        <f>IF($C4044="","",Registro_Compras!$C$452)</f>
        <v/>
      </c>
    </row>
    <row r="4045" spans="1:8" x14ac:dyDescent="0.25">
      <c r="A4045" s="25" t="str">
        <f>IF($C4045="","",Registro_Compras!$Y$452)</f>
        <v/>
      </c>
      <c r="B4045" t="str">
        <f>IF($C4045="","","C"&amp;TEXT(INT((ROW()-5)/9)+1,"000")&amp;"-4")</f>
        <v/>
      </c>
      <c r="C4045" t="str">
        <f>IF(OR(Registro_Compras!$C$452="",Registro_Compras!$O$452="",Registro_Compras!$Y$452="",Registro_Compras!$F$452="NOTA DE CREDITO"),"","1041")</f>
        <v/>
      </c>
      <c r="D4045" t="str">
        <f>IF(OR(Registro_Compras!$C$452="",Registro_Compras!$O$452=""),"","Efectivo y Equivalentes - Cta. Cte. Operativa")</f>
        <v/>
      </c>
      <c r="E4045" s="20" t="str">
        <f>""</f>
        <v/>
      </c>
      <c r="F4045" s="20" t="str">
        <f>IF($C4045="","",IF(Registro_Compras!$F$452="RHE",(ROUND(Registro_Compras!$L$452*Registro_Compras!$N$452,2)-ROUND(Registro_Compras!$V$452*Registro_Compras!$N$452,2)),ROUND(Registro_Compras!$O$452-Registro_Compras!$S$452,2)))</f>
        <v/>
      </c>
      <c r="G4045" t="str">
        <f>IF($C4045="","","Por la cancelacion del saldo al proveedor")</f>
        <v/>
      </c>
      <c r="H4045" t="str">
        <f>IF($C4045="","",Registro_Compras!$C$452)</f>
        <v/>
      </c>
    </row>
    <row r="4046" spans="1:8" x14ac:dyDescent="0.25">
      <c r="A4046" s="25" t="str">
        <f>IF($C4046="","",Registro_Compras!$B$453)</f>
        <v/>
      </c>
      <c r="B4046" t="str">
        <f>IF($C4046="","","C"&amp;TEXT(INT((ROW()-5)/9)+1,"000")&amp;"-1")</f>
        <v/>
      </c>
      <c r="C4046" t="str">
        <f>IF(OR(Registro_Compras!$C$453="",Registro_Compras!$O$453=""),"",IF(Registro_Compras!$F$453="NOTA DE CREDITO","4212",IF(Registro_Compras!$M$453="","63",Registro_Compras!$M$453)))</f>
        <v/>
      </c>
      <c r="D4046" t="str">
        <f>IF(OR(Registro_Compras!$C$453="",Registro_Compras!$O$453=""),"",IF(Registro_Compras!$F$453="NOTA DE CREDITO","Cuentas por Pagar Comerciales - Terceros (Emitidas)",IF(Registro_Compras!$F$453="RHE","Honorarios Profesionales - Servicios de Terceros","Gastos de Servicios Prestados por Terceros")))</f>
        <v/>
      </c>
      <c r="E4046" s="20" t="str">
        <f>IF($C4046="","",IF(Registro_Compras!$F$453="NOTA DE CREDITO",ABS(Registro_Compras!$O$453),IF(Registro_Compras!$F$453="RHE",ROUND(Registro_Compras!$L$453*Registro_Compras!$N$453,2),ROUND(Registro_Compras!$J$453*Registro_Compras!$N$453,2))))</f>
        <v/>
      </c>
      <c r="F4046" s="20" t="str">
        <f>""</f>
        <v/>
      </c>
      <c r="G4046" t="str">
        <f>IF($C4046="","",IF(Registro_Compras!$F$453="NOTA DE CREDITO","Por la nota de credito "&amp;Registro_Compras!$C$453&amp;" de "&amp;Registro_Compras!$E$453&amp;" [PATRON POR CONFIRMAR CON CONTADOR]",IF(Registro_Compras!$F$453="RHE","Por el registro del recibo por honorarios "&amp;Registro_Compras!$C$453&amp;" de "&amp;Registro_Compras!$E$453&amp;" [PATRON POR CONFIRMAR CON CONTADOR]","Por el registro de la factura "&amp;Registro_Compras!$C$453&amp;" de "&amp;Registro_Compras!$E$453)))</f>
        <v/>
      </c>
      <c r="H4046" t="str">
        <f>IF($C4046="","",Registro_Compras!$C$453)</f>
        <v/>
      </c>
    </row>
    <row r="4047" spans="1:8" x14ac:dyDescent="0.25">
      <c r="A4047" s="25" t="str">
        <f>IF($C4047="","",Registro_Compras!$B$453)</f>
        <v/>
      </c>
      <c r="B4047" t="str">
        <f>IF($C4047="","","C"&amp;TEXT(INT((ROW()-5)/9)+1,"000")&amp;"-1")</f>
        <v/>
      </c>
      <c r="C4047" t="str">
        <f>IF(OR(Registro_Compras!$C$453="",Registro_Compras!$O$453=""),"",IF(Registro_Compras!$F$453="RHE",IF(Registro_Compras!$V$453=0,"","4017"),IF(Registro_Compras!$F$453="NOTA DE CREDITO",IF(Registro_Compras!$M$453="","63",Registro_Compras!$M$453),IF(Registro_Compras!$K$453=0,"","40111"))))</f>
        <v/>
      </c>
      <c r="D4047" t="str">
        <f>IF(OR(Registro_Compras!$C$453="",Registro_Compras!$O$453=""),"",IF(Registro_Compras!$F$453="RHE","Retencion Renta 4ta Categoria por Pagar",IF(Registro_Compras!$F$453="NOTA DE CREDITO","Gastos de Servicios Prestados por Terceros","IGV - Cuenta Propia (Credito Fiscal)")))</f>
        <v/>
      </c>
      <c r="E4047" s="20" t="str">
        <f>IF($C4047="","",IF(Registro_Compras!$F$453="FACTURA",ROUND(Registro_Compras!$K$453*Registro_Compras!$N$453,2),""))</f>
        <v/>
      </c>
      <c r="F4047" s="20" t="str">
        <f>IF($C4047="","",IF(Registro_Compras!$F$453="RHE",ROUND(Registro_Compras!$V$453*Registro_Compras!$N$453,2),IF(Registro_Compras!$F$453="NOTA DE CREDITO",ROUND(ABS(Registro_Compras!$J$453*Registro_Compras!$N$453),2),"")))</f>
        <v/>
      </c>
      <c r="G4047" t="str">
        <f>IF($C4047="","",IF(Registro_Compras!$F$453="NOTA DE CREDITO","Por la nota de credito "&amp;Registro_Compras!$C$453&amp;" de "&amp;Registro_Compras!$E$453&amp;" [PATRON POR CONFIRMAR CON CONTADOR]",IF(Registro_Compras!$F$453="RHE","Por el registro del recibo por honorarios "&amp;Registro_Compras!$C$453&amp;" de "&amp;Registro_Compras!$E$453&amp;" [PATRON POR CONFIRMAR CON CONTADOR]","Por el registro de la factura "&amp;Registro_Compras!$C$453&amp;" de "&amp;Registro_Compras!$E$453)))</f>
        <v/>
      </c>
      <c r="H4047" t="str">
        <f>IF($C4047="","",Registro_Compras!$C$453)</f>
        <v/>
      </c>
    </row>
    <row r="4048" spans="1:8" x14ac:dyDescent="0.25">
      <c r="A4048" s="25" t="str">
        <f>IF($C4048="","",Registro_Compras!$B$453)</f>
        <v/>
      </c>
      <c r="B4048" t="str">
        <f>IF($C4048="","","C"&amp;TEXT(INT((ROW()-5)/9)+1,"000")&amp;"-1")</f>
        <v/>
      </c>
      <c r="C4048" t="str">
        <f>IF(OR(Registro_Compras!$C$453="",Registro_Compras!$O$453=""),"",IF(Registro_Compras!$F$453="NOTA DE CREDITO",IF(Registro_Compras!$K$453=0,"","40111"),"4212"))</f>
        <v/>
      </c>
      <c r="D4048" t="str">
        <f>IF(OR(Registro_Compras!$C$453="",Registro_Compras!$O$453=""),"",IF(Registro_Compras!$F$453="NOTA DE CREDITO","IGV - Cuenta Propia (Credito Fiscal)","Cuentas por Pagar Comerciales - Terceros (Emitidas)"))</f>
        <v/>
      </c>
      <c r="E4048" s="20" t="str">
        <f>""</f>
        <v/>
      </c>
      <c r="F4048" s="20" t="str">
        <f>IF($C4048="","",IF(Registro_Compras!$F$453="NOTA DE CREDITO",ROUND(ABS(Registro_Compras!$K$453*Registro_Compras!$N$453),2),IF(Registro_Compras!$F$453="RHE",(ROUND(Registro_Compras!$L$453*Registro_Compras!$N$453,2)-ROUND(Registro_Compras!$V$453*Registro_Compras!$N$453,2)),Registro_Compras!$O$453)))</f>
        <v/>
      </c>
      <c r="G4048" t="str">
        <f>IF($C4048="","",IF(Registro_Compras!$F$453="NOTA DE CREDITO","Por la nota de credito "&amp;Registro_Compras!$C$453&amp;" de "&amp;Registro_Compras!$E$453&amp;" [PATRON POR CONFIRMAR CON CONTADOR]",IF(Registro_Compras!$F$453="RHE","Por el registro del recibo por honorarios "&amp;Registro_Compras!$C$453&amp;" de "&amp;Registro_Compras!$E$453&amp;" [PATRON POR CONFIRMAR CON CONTADOR]","Por el registro de la factura "&amp;Registro_Compras!$C$453&amp;" de "&amp;Registro_Compras!$E$453)))</f>
        <v/>
      </c>
      <c r="H4048" t="str">
        <f>IF($C4048="","",Registro_Compras!$C$453)</f>
        <v/>
      </c>
    </row>
    <row r="4049" spans="1:8" x14ac:dyDescent="0.25">
      <c r="A4049" s="25" t="str">
        <f>IF($C4049="","",Registro_Compras!$B$453)</f>
        <v/>
      </c>
      <c r="B4049" t="str">
        <f>IF($C4049="","","C"&amp;TEXT(INT((ROW()-5)/9)+1,"000")&amp;"-2")</f>
        <v/>
      </c>
      <c r="C4049" t="str">
        <f>IF(OR(Registro_Compras!$C$453="",Registro_Compras!$O$453=""),"",IF(Registro_Compras!$AB$453="ADMINISTRATIVO","94","95"))</f>
        <v/>
      </c>
      <c r="D4049" t="str">
        <f>IF(OR(Registro_Compras!$C$453="",Registro_Compras!$O$453=""),"",IF(Registro_Compras!$AB$453="ADMINISTRATIVO","Gastos Administrativos","Gastos de Venta y Operacion"))</f>
        <v/>
      </c>
      <c r="E4049" s="20" t="str">
        <f>IF($C4049="","",IF(Registro_Compras!$F$453="NOTA DE CREDITO","",IF(Registro_Compras!$F$453="RHE",ROUND(Registro_Compras!$L$453*Registro_Compras!$N$453,2),ROUND(Registro_Compras!$J$453*Registro_Compras!$N$453,2))))</f>
        <v/>
      </c>
      <c r="F4049" s="20" t="str">
        <f>IF($C4049="","",IF(Registro_Compras!$F$453="NOTA DE CREDITO",ROUND(ABS(Registro_Compras!$J$453*Registro_Compras!$N$453),2),""))</f>
        <v/>
      </c>
      <c r="G4049" t="str">
        <f>IF($C4049="","","Por el destino del gasto")</f>
        <v/>
      </c>
      <c r="H4049" t="str">
        <f>IF($C4049="","",Registro_Compras!$C$453)</f>
        <v/>
      </c>
    </row>
    <row r="4050" spans="1:8" x14ac:dyDescent="0.25">
      <c r="A4050" s="25" t="str">
        <f>IF($C4050="","",Registro_Compras!$B$453)</f>
        <v/>
      </c>
      <c r="B4050" t="str">
        <f>IF($C4050="","","C"&amp;TEXT(INT((ROW()-5)/9)+1,"000")&amp;"-2")</f>
        <v/>
      </c>
      <c r="C4050" t="str">
        <f>IF(OR(Registro_Compras!$C$453="",Registro_Compras!$O$453=""),"","79/791")</f>
        <v/>
      </c>
      <c r="D4050" t="str">
        <f>IF(OR(Registro_Compras!$C$453="",Registro_Compras!$O$453=""),"","Cargas Imputables a Cuentas de Costos y Gastos")</f>
        <v/>
      </c>
      <c r="E4050" s="20" t="str">
        <f>IF($C4050="","",IF(Registro_Compras!$F$453="NOTA DE CREDITO",ROUND(ABS(Registro_Compras!$J$453*Registro_Compras!$N$453),2),""))</f>
        <v/>
      </c>
      <c r="F4050" s="20" t="str">
        <f>IF($C4050="","",IF(Registro_Compras!$F$453="NOTA DE CREDITO","",IF(Registro_Compras!$F$453="RHE",ROUND(Registro_Compras!$L$453*Registro_Compras!$N$453,2),ROUND(Registro_Compras!$J$453*Registro_Compras!$N$453,2))))</f>
        <v/>
      </c>
      <c r="G4050" t="str">
        <f>IF($C4050="","","Por el destino del gasto")</f>
        <v/>
      </c>
      <c r="H4050" t="str">
        <f>IF($C4050="","",Registro_Compras!$C$453)</f>
        <v/>
      </c>
    </row>
    <row r="4051" spans="1:8" x14ac:dyDescent="0.25">
      <c r="A4051" s="25" t="str">
        <f>IF($C4051="","",Registro_Compras!$X$453)</f>
        <v/>
      </c>
      <c r="B4051" t="str">
        <f>IF($C4051="","","C"&amp;TEXT(INT((ROW()-5)/9)+1,"000")&amp;"-3")</f>
        <v/>
      </c>
      <c r="C4051" t="str">
        <f>IF(OR(Registro_Compras!$C$453="",Registro_Compras!$O$453="",Registro_Compras!$R$453&lt;&gt;"SI",Registro_Compras!$X$453=""),"","4212")</f>
        <v/>
      </c>
      <c r="D4051" t="str">
        <f>IF(OR(Registro_Compras!$C$453="",Registro_Compras!$O$453=""),"","Cuentas por Pagar Comerciales - Terceros")</f>
        <v/>
      </c>
      <c r="E4051" s="20" t="str">
        <f>IF($C4051="","",Registro_Compras!$S$453)</f>
        <v/>
      </c>
      <c r="F4051" s="20" t="str">
        <f>""</f>
        <v/>
      </c>
      <c r="G4051" t="str">
        <f>IF($C4051="","","Por el deposito de la detraccion en el Banco de la Nacion")</f>
        <v/>
      </c>
      <c r="H4051" t="str">
        <f>IF($C4051="","",Registro_Compras!$C$453)</f>
        <v/>
      </c>
    </row>
    <row r="4052" spans="1:8" x14ac:dyDescent="0.25">
      <c r="A4052" s="25" t="str">
        <f>IF($C4052="","",Registro_Compras!$X$453)</f>
        <v/>
      </c>
      <c r="B4052" t="str">
        <f>IF($C4052="","","C"&amp;TEXT(INT((ROW()-5)/9)+1,"000")&amp;"-3")</f>
        <v/>
      </c>
      <c r="C4052" t="str">
        <f>IF(OR(Registro_Compras!$C$453="",Registro_Compras!$O$453="",Registro_Compras!$R$453&lt;&gt;"SI",Registro_Compras!$X$453=""),"","1041")</f>
        <v/>
      </c>
      <c r="D4052" t="str">
        <f>IF(OR(Registro_Compras!$C$453="",Registro_Compras!$O$453=""),"","Efectivo y Equivalentes - Cta. Cte. Operativa")</f>
        <v/>
      </c>
      <c r="E4052" s="20" t="str">
        <f>""</f>
        <v/>
      </c>
      <c r="F4052" s="20" t="str">
        <f>IF($C4052="","",Registro_Compras!$S$453)</f>
        <v/>
      </c>
      <c r="G4052" t="str">
        <f>IF($C4052="","","Por el deposito de la detraccion en el Banco de la Nacion")</f>
        <v/>
      </c>
      <c r="H4052" t="str">
        <f>IF($C4052="","",Registro_Compras!$C$453)</f>
        <v/>
      </c>
    </row>
    <row r="4053" spans="1:8" x14ac:dyDescent="0.25">
      <c r="A4053" s="25" t="str">
        <f>IF($C4053="","",Registro_Compras!$Y$453)</f>
        <v/>
      </c>
      <c r="B4053" t="str">
        <f>IF($C4053="","","C"&amp;TEXT(INT((ROW()-5)/9)+1,"000")&amp;"-4")</f>
        <v/>
      </c>
      <c r="C4053" t="str">
        <f>IF(OR(Registro_Compras!$C$453="",Registro_Compras!$O$453="",Registro_Compras!$Y$453="",Registro_Compras!$F$453="NOTA DE CREDITO"),"","4212")</f>
        <v/>
      </c>
      <c r="D4053" t="str">
        <f>IF(OR(Registro_Compras!$C$453="",Registro_Compras!$O$453=""),"","Cuentas por Pagar Comerciales - Terceros")</f>
        <v/>
      </c>
      <c r="E4053" s="20" t="str">
        <f>IF($C4053="","",IF(Registro_Compras!$F$453="RHE",(ROUND(Registro_Compras!$L$453*Registro_Compras!$N$453,2)-ROUND(Registro_Compras!$V$453*Registro_Compras!$N$453,2)),ROUND(Registro_Compras!$O$453-Registro_Compras!$S$453,2)))</f>
        <v/>
      </c>
      <c r="F4053" s="20" t="str">
        <f>""</f>
        <v/>
      </c>
      <c r="G4053" t="str">
        <f>IF($C4053="","","Por la cancelacion del saldo al proveedor")</f>
        <v/>
      </c>
      <c r="H4053" t="str">
        <f>IF($C4053="","",Registro_Compras!$C$453)</f>
        <v/>
      </c>
    </row>
    <row r="4054" spans="1:8" x14ac:dyDescent="0.25">
      <c r="A4054" s="25" t="str">
        <f>IF($C4054="","",Registro_Compras!$Y$453)</f>
        <v/>
      </c>
      <c r="B4054" t="str">
        <f>IF($C4054="","","C"&amp;TEXT(INT((ROW()-5)/9)+1,"000")&amp;"-4")</f>
        <v/>
      </c>
      <c r="C4054" t="str">
        <f>IF(OR(Registro_Compras!$C$453="",Registro_Compras!$O$453="",Registro_Compras!$Y$453="",Registro_Compras!$F$453="NOTA DE CREDITO"),"","1041")</f>
        <v/>
      </c>
      <c r="D4054" t="str">
        <f>IF(OR(Registro_Compras!$C$453="",Registro_Compras!$O$453=""),"","Efectivo y Equivalentes - Cta. Cte. Operativa")</f>
        <v/>
      </c>
      <c r="E4054" s="20" t="str">
        <f>""</f>
        <v/>
      </c>
      <c r="F4054" s="20" t="str">
        <f>IF($C4054="","",IF(Registro_Compras!$F$453="RHE",(ROUND(Registro_Compras!$L$453*Registro_Compras!$N$453,2)-ROUND(Registro_Compras!$V$453*Registro_Compras!$N$453,2)),ROUND(Registro_Compras!$O$453-Registro_Compras!$S$453,2)))</f>
        <v/>
      </c>
      <c r="G4054" t="str">
        <f>IF($C4054="","","Por la cancelacion del saldo al proveedor")</f>
        <v/>
      </c>
      <c r="H4054" t="str">
        <f>IF($C4054="","",Registro_Compras!$C$453)</f>
        <v/>
      </c>
    </row>
    <row r="4055" spans="1:8" x14ac:dyDescent="0.25">
      <c r="A4055" s="25" t="str">
        <f>IF($C4055="","",Registro_Compras!$B$454)</f>
        <v/>
      </c>
      <c r="B4055" t="str">
        <f>IF($C4055="","","C"&amp;TEXT(INT((ROW()-5)/9)+1,"000")&amp;"-1")</f>
        <v/>
      </c>
      <c r="C4055" t="str">
        <f>IF(OR(Registro_Compras!$C$454="",Registro_Compras!$O$454=""),"",IF(Registro_Compras!$F$454="NOTA DE CREDITO","4212",IF(Registro_Compras!$M$454="","63",Registro_Compras!$M$454)))</f>
        <v/>
      </c>
      <c r="D4055" t="str">
        <f>IF(OR(Registro_Compras!$C$454="",Registro_Compras!$O$454=""),"",IF(Registro_Compras!$F$454="NOTA DE CREDITO","Cuentas por Pagar Comerciales - Terceros (Emitidas)",IF(Registro_Compras!$F$454="RHE","Honorarios Profesionales - Servicios de Terceros","Gastos de Servicios Prestados por Terceros")))</f>
        <v/>
      </c>
      <c r="E4055" s="20" t="str">
        <f>IF($C4055="","",IF(Registro_Compras!$F$454="NOTA DE CREDITO",ABS(Registro_Compras!$O$454),IF(Registro_Compras!$F$454="RHE",ROUND(Registro_Compras!$L$454*Registro_Compras!$N$454,2),ROUND(Registro_Compras!$J$454*Registro_Compras!$N$454,2))))</f>
        <v/>
      </c>
      <c r="F4055" s="20" t="str">
        <f>""</f>
        <v/>
      </c>
      <c r="G4055" t="str">
        <f>IF($C4055="","",IF(Registro_Compras!$F$454="NOTA DE CREDITO","Por la nota de credito "&amp;Registro_Compras!$C$454&amp;" de "&amp;Registro_Compras!$E$454&amp;" [PATRON POR CONFIRMAR CON CONTADOR]",IF(Registro_Compras!$F$454="RHE","Por el registro del recibo por honorarios "&amp;Registro_Compras!$C$454&amp;" de "&amp;Registro_Compras!$E$454&amp;" [PATRON POR CONFIRMAR CON CONTADOR]","Por el registro de la factura "&amp;Registro_Compras!$C$454&amp;" de "&amp;Registro_Compras!$E$454)))</f>
        <v/>
      </c>
      <c r="H4055" t="str">
        <f>IF($C4055="","",Registro_Compras!$C$454)</f>
        <v/>
      </c>
    </row>
    <row r="4056" spans="1:8" x14ac:dyDescent="0.25">
      <c r="A4056" s="25" t="str">
        <f>IF($C4056="","",Registro_Compras!$B$454)</f>
        <v/>
      </c>
      <c r="B4056" t="str">
        <f>IF($C4056="","","C"&amp;TEXT(INT((ROW()-5)/9)+1,"000")&amp;"-1")</f>
        <v/>
      </c>
      <c r="C4056" t="str">
        <f>IF(OR(Registro_Compras!$C$454="",Registro_Compras!$O$454=""),"",IF(Registro_Compras!$F$454="RHE",IF(Registro_Compras!$V$454=0,"","4017"),IF(Registro_Compras!$F$454="NOTA DE CREDITO",IF(Registro_Compras!$M$454="","63",Registro_Compras!$M$454),IF(Registro_Compras!$K$454=0,"","40111"))))</f>
        <v/>
      </c>
      <c r="D4056" t="str">
        <f>IF(OR(Registro_Compras!$C$454="",Registro_Compras!$O$454=""),"",IF(Registro_Compras!$F$454="RHE","Retencion Renta 4ta Categoria por Pagar",IF(Registro_Compras!$F$454="NOTA DE CREDITO","Gastos de Servicios Prestados por Terceros","IGV - Cuenta Propia (Credito Fiscal)")))</f>
        <v/>
      </c>
      <c r="E4056" s="20" t="str">
        <f>IF($C4056="","",IF(Registro_Compras!$F$454="FACTURA",ROUND(Registro_Compras!$K$454*Registro_Compras!$N$454,2),""))</f>
        <v/>
      </c>
      <c r="F4056" s="20" t="str">
        <f>IF($C4056="","",IF(Registro_Compras!$F$454="RHE",ROUND(Registro_Compras!$V$454*Registro_Compras!$N$454,2),IF(Registro_Compras!$F$454="NOTA DE CREDITO",ROUND(ABS(Registro_Compras!$J$454*Registro_Compras!$N$454),2),"")))</f>
        <v/>
      </c>
      <c r="G4056" t="str">
        <f>IF($C4056="","",IF(Registro_Compras!$F$454="NOTA DE CREDITO","Por la nota de credito "&amp;Registro_Compras!$C$454&amp;" de "&amp;Registro_Compras!$E$454&amp;" [PATRON POR CONFIRMAR CON CONTADOR]",IF(Registro_Compras!$F$454="RHE","Por el registro del recibo por honorarios "&amp;Registro_Compras!$C$454&amp;" de "&amp;Registro_Compras!$E$454&amp;" [PATRON POR CONFIRMAR CON CONTADOR]","Por el registro de la factura "&amp;Registro_Compras!$C$454&amp;" de "&amp;Registro_Compras!$E$454)))</f>
        <v/>
      </c>
      <c r="H4056" t="str">
        <f>IF($C4056="","",Registro_Compras!$C$454)</f>
        <v/>
      </c>
    </row>
    <row r="4057" spans="1:8" x14ac:dyDescent="0.25">
      <c r="A4057" s="25" t="str">
        <f>IF($C4057="","",Registro_Compras!$B$454)</f>
        <v/>
      </c>
      <c r="B4057" t="str">
        <f>IF($C4057="","","C"&amp;TEXT(INT((ROW()-5)/9)+1,"000")&amp;"-1")</f>
        <v/>
      </c>
      <c r="C4057" t="str">
        <f>IF(OR(Registro_Compras!$C$454="",Registro_Compras!$O$454=""),"",IF(Registro_Compras!$F$454="NOTA DE CREDITO",IF(Registro_Compras!$K$454=0,"","40111"),"4212"))</f>
        <v/>
      </c>
      <c r="D4057" t="str">
        <f>IF(OR(Registro_Compras!$C$454="",Registro_Compras!$O$454=""),"",IF(Registro_Compras!$F$454="NOTA DE CREDITO","IGV - Cuenta Propia (Credito Fiscal)","Cuentas por Pagar Comerciales - Terceros (Emitidas)"))</f>
        <v/>
      </c>
      <c r="E4057" s="20" t="str">
        <f>""</f>
        <v/>
      </c>
      <c r="F4057" s="20" t="str">
        <f>IF($C4057="","",IF(Registro_Compras!$F$454="NOTA DE CREDITO",ROUND(ABS(Registro_Compras!$K$454*Registro_Compras!$N$454),2),IF(Registro_Compras!$F$454="RHE",(ROUND(Registro_Compras!$L$454*Registro_Compras!$N$454,2)-ROUND(Registro_Compras!$V$454*Registro_Compras!$N$454,2)),Registro_Compras!$O$454)))</f>
        <v/>
      </c>
      <c r="G4057" t="str">
        <f>IF($C4057="","",IF(Registro_Compras!$F$454="NOTA DE CREDITO","Por la nota de credito "&amp;Registro_Compras!$C$454&amp;" de "&amp;Registro_Compras!$E$454&amp;" [PATRON POR CONFIRMAR CON CONTADOR]",IF(Registro_Compras!$F$454="RHE","Por el registro del recibo por honorarios "&amp;Registro_Compras!$C$454&amp;" de "&amp;Registro_Compras!$E$454&amp;" [PATRON POR CONFIRMAR CON CONTADOR]","Por el registro de la factura "&amp;Registro_Compras!$C$454&amp;" de "&amp;Registro_Compras!$E$454)))</f>
        <v/>
      </c>
      <c r="H4057" t="str">
        <f>IF($C4057="","",Registro_Compras!$C$454)</f>
        <v/>
      </c>
    </row>
    <row r="4058" spans="1:8" x14ac:dyDescent="0.25">
      <c r="A4058" s="25" t="str">
        <f>IF($C4058="","",Registro_Compras!$B$454)</f>
        <v/>
      </c>
      <c r="B4058" t="str">
        <f>IF($C4058="","","C"&amp;TEXT(INT((ROW()-5)/9)+1,"000")&amp;"-2")</f>
        <v/>
      </c>
      <c r="C4058" t="str">
        <f>IF(OR(Registro_Compras!$C$454="",Registro_Compras!$O$454=""),"",IF(Registro_Compras!$AB$454="ADMINISTRATIVO","94","95"))</f>
        <v/>
      </c>
      <c r="D4058" t="str">
        <f>IF(OR(Registro_Compras!$C$454="",Registro_Compras!$O$454=""),"",IF(Registro_Compras!$AB$454="ADMINISTRATIVO","Gastos Administrativos","Gastos de Venta y Operacion"))</f>
        <v/>
      </c>
      <c r="E4058" s="20" t="str">
        <f>IF($C4058="","",IF(Registro_Compras!$F$454="NOTA DE CREDITO","",IF(Registro_Compras!$F$454="RHE",ROUND(Registro_Compras!$L$454*Registro_Compras!$N$454,2),ROUND(Registro_Compras!$J$454*Registro_Compras!$N$454,2))))</f>
        <v/>
      </c>
      <c r="F4058" s="20" t="str">
        <f>IF($C4058="","",IF(Registro_Compras!$F$454="NOTA DE CREDITO",ROUND(ABS(Registro_Compras!$J$454*Registro_Compras!$N$454),2),""))</f>
        <v/>
      </c>
      <c r="G4058" t="str">
        <f>IF($C4058="","","Por el destino del gasto")</f>
        <v/>
      </c>
      <c r="H4058" t="str">
        <f>IF($C4058="","",Registro_Compras!$C$454)</f>
        <v/>
      </c>
    </row>
    <row r="4059" spans="1:8" x14ac:dyDescent="0.25">
      <c r="A4059" s="25" t="str">
        <f>IF($C4059="","",Registro_Compras!$B$454)</f>
        <v/>
      </c>
      <c r="B4059" t="str">
        <f>IF($C4059="","","C"&amp;TEXT(INT((ROW()-5)/9)+1,"000")&amp;"-2")</f>
        <v/>
      </c>
      <c r="C4059" t="str">
        <f>IF(OR(Registro_Compras!$C$454="",Registro_Compras!$O$454=""),"","79/791")</f>
        <v/>
      </c>
      <c r="D4059" t="str">
        <f>IF(OR(Registro_Compras!$C$454="",Registro_Compras!$O$454=""),"","Cargas Imputables a Cuentas de Costos y Gastos")</f>
        <v/>
      </c>
      <c r="E4059" s="20" t="str">
        <f>IF($C4059="","",IF(Registro_Compras!$F$454="NOTA DE CREDITO",ROUND(ABS(Registro_Compras!$J$454*Registro_Compras!$N$454),2),""))</f>
        <v/>
      </c>
      <c r="F4059" s="20" t="str">
        <f>IF($C4059="","",IF(Registro_Compras!$F$454="NOTA DE CREDITO","",IF(Registro_Compras!$F$454="RHE",ROUND(Registro_Compras!$L$454*Registro_Compras!$N$454,2),ROUND(Registro_Compras!$J$454*Registro_Compras!$N$454,2))))</f>
        <v/>
      </c>
      <c r="G4059" t="str">
        <f>IF($C4059="","","Por el destino del gasto")</f>
        <v/>
      </c>
      <c r="H4059" t="str">
        <f>IF($C4059="","",Registro_Compras!$C$454)</f>
        <v/>
      </c>
    </row>
    <row r="4060" spans="1:8" x14ac:dyDescent="0.25">
      <c r="A4060" s="25" t="str">
        <f>IF($C4060="","",Registro_Compras!$X$454)</f>
        <v/>
      </c>
      <c r="B4060" t="str">
        <f>IF($C4060="","","C"&amp;TEXT(INT((ROW()-5)/9)+1,"000")&amp;"-3")</f>
        <v/>
      </c>
      <c r="C4060" t="str">
        <f>IF(OR(Registro_Compras!$C$454="",Registro_Compras!$O$454="",Registro_Compras!$R$454&lt;&gt;"SI",Registro_Compras!$X$454=""),"","4212")</f>
        <v/>
      </c>
      <c r="D4060" t="str">
        <f>IF(OR(Registro_Compras!$C$454="",Registro_Compras!$O$454=""),"","Cuentas por Pagar Comerciales - Terceros")</f>
        <v/>
      </c>
      <c r="E4060" s="20" t="str">
        <f>IF($C4060="","",Registro_Compras!$S$454)</f>
        <v/>
      </c>
      <c r="F4060" s="20" t="str">
        <f>""</f>
        <v/>
      </c>
      <c r="G4060" t="str">
        <f>IF($C4060="","","Por el deposito de la detraccion en el Banco de la Nacion")</f>
        <v/>
      </c>
      <c r="H4060" t="str">
        <f>IF($C4060="","",Registro_Compras!$C$454)</f>
        <v/>
      </c>
    </row>
    <row r="4061" spans="1:8" x14ac:dyDescent="0.25">
      <c r="A4061" s="25" t="str">
        <f>IF($C4061="","",Registro_Compras!$X$454)</f>
        <v/>
      </c>
      <c r="B4061" t="str">
        <f>IF($C4061="","","C"&amp;TEXT(INT((ROW()-5)/9)+1,"000")&amp;"-3")</f>
        <v/>
      </c>
      <c r="C4061" t="str">
        <f>IF(OR(Registro_Compras!$C$454="",Registro_Compras!$O$454="",Registro_Compras!$R$454&lt;&gt;"SI",Registro_Compras!$X$454=""),"","1041")</f>
        <v/>
      </c>
      <c r="D4061" t="str">
        <f>IF(OR(Registro_Compras!$C$454="",Registro_Compras!$O$454=""),"","Efectivo y Equivalentes - Cta. Cte. Operativa")</f>
        <v/>
      </c>
      <c r="E4061" s="20" t="str">
        <f>""</f>
        <v/>
      </c>
      <c r="F4061" s="20" t="str">
        <f>IF($C4061="","",Registro_Compras!$S$454)</f>
        <v/>
      </c>
      <c r="G4061" t="str">
        <f>IF($C4061="","","Por el deposito de la detraccion en el Banco de la Nacion")</f>
        <v/>
      </c>
      <c r="H4061" t="str">
        <f>IF($C4061="","",Registro_Compras!$C$454)</f>
        <v/>
      </c>
    </row>
    <row r="4062" spans="1:8" x14ac:dyDescent="0.25">
      <c r="A4062" s="25" t="str">
        <f>IF($C4062="","",Registro_Compras!$Y$454)</f>
        <v/>
      </c>
      <c r="B4062" t="str">
        <f>IF($C4062="","","C"&amp;TEXT(INT((ROW()-5)/9)+1,"000")&amp;"-4")</f>
        <v/>
      </c>
      <c r="C4062" t="str">
        <f>IF(OR(Registro_Compras!$C$454="",Registro_Compras!$O$454="",Registro_Compras!$Y$454="",Registro_Compras!$F$454="NOTA DE CREDITO"),"","4212")</f>
        <v/>
      </c>
      <c r="D4062" t="str">
        <f>IF(OR(Registro_Compras!$C$454="",Registro_Compras!$O$454=""),"","Cuentas por Pagar Comerciales - Terceros")</f>
        <v/>
      </c>
      <c r="E4062" s="20" t="str">
        <f>IF($C4062="","",IF(Registro_Compras!$F$454="RHE",(ROUND(Registro_Compras!$L$454*Registro_Compras!$N$454,2)-ROUND(Registro_Compras!$V$454*Registro_Compras!$N$454,2)),ROUND(Registro_Compras!$O$454-Registro_Compras!$S$454,2)))</f>
        <v/>
      </c>
      <c r="F4062" s="20" t="str">
        <f>""</f>
        <v/>
      </c>
      <c r="G4062" t="str">
        <f>IF($C4062="","","Por la cancelacion del saldo al proveedor")</f>
        <v/>
      </c>
      <c r="H4062" t="str">
        <f>IF($C4062="","",Registro_Compras!$C$454)</f>
        <v/>
      </c>
    </row>
    <row r="4063" spans="1:8" x14ac:dyDescent="0.25">
      <c r="A4063" s="25" t="str">
        <f>IF($C4063="","",Registro_Compras!$Y$454)</f>
        <v/>
      </c>
      <c r="B4063" t="str">
        <f>IF($C4063="","","C"&amp;TEXT(INT((ROW()-5)/9)+1,"000")&amp;"-4")</f>
        <v/>
      </c>
      <c r="C4063" t="str">
        <f>IF(OR(Registro_Compras!$C$454="",Registro_Compras!$O$454="",Registro_Compras!$Y$454="",Registro_Compras!$F$454="NOTA DE CREDITO"),"","1041")</f>
        <v/>
      </c>
      <c r="D4063" t="str">
        <f>IF(OR(Registro_Compras!$C$454="",Registro_Compras!$O$454=""),"","Efectivo y Equivalentes - Cta. Cte. Operativa")</f>
        <v/>
      </c>
      <c r="E4063" s="20" t="str">
        <f>""</f>
        <v/>
      </c>
      <c r="F4063" s="20" t="str">
        <f>IF($C4063="","",IF(Registro_Compras!$F$454="RHE",(ROUND(Registro_Compras!$L$454*Registro_Compras!$N$454,2)-ROUND(Registro_Compras!$V$454*Registro_Compras!$N$454,2)),ROUND(Registro_Compras!$O$454-Registro_Compras!$S$454,2)))</f>
        <v/>
      </c>
      <c r="G4063" t="str">
        <f>IF($C4063="","","Por la cancelacion del saldo al proveedor")</f>
        <v/>
      </c>
      <c r="H4063" t="str">
        <f>IF($C4063="","",Registro_Compras!$C$454)</f>
        <v/>
      </c>
    </row>
    <row r="4064" spans="1:8" x14ac:dyDescent="0.25">
      <c r="A4064" s="25" t="str">
        <f>IF($C4064="","",Registro_Compras!$B$455)</f>
        <v/>
      </c>
      <c r="B4064" t="str">
        <f>IF($C4064="","","C"&amp;TEXT(INT((ROW()-5)/9)+1,"000")&amp;"-1")</f>
        <v/>
      </c>
      <c r="C4064" t="str">
        <f>IF(OR(Registro_Compras!$C$455="",Registro_Compras!$O$455=""),"",IF(Registro_Compras!$F$455="NOTA DE CREDITO","4212",IF(Registro_Compras!$M$455="","63",Registro_Compras!$M$455)))</f>
        <v/>
      </c>
      <c r="D4064" t="str">
        <f>IF(OR(Registro_Compras!$C$455="",Registro_Compras!$O$455=""),"",IF(Registro_Compras!$F$455="NOTA DE CREDITO","Cuentas por Pagar Comerciales - Terceros (Emitidas)",IF(Registro_Compras!$F$455="RHE","Honorarios Profesionales - Servicios de Terceros","Gastos de Servicios Prestados por Terceros")))</f>
        <v/>
      </c>
      <c r="E4064" s="20" t="str">
        <f>IF($C4064="","",IF(Registro_Compras!$F$455="NOTA DE CREDITO",ABS(Registro_Compras!$O$455),IF(Registro_Compras!$F$455="RHE",ROUND(Registro_Compras!$L$455*Registro_Compras!$N$455,2),ROUND(Registro_Compras!$J$455*Registro_Compras!$N$455,2))))</f>
        <v/>
      </c>
      <c r="F4064" s="20" t="str">
        <f>""</f>
        <v/>
      </c>
      <c r="G4064" t="str">
        <f>IF($C4064="","",IF(Registro_Compras!$F$455="NOTA DE CREDITO","Por la nota de credito "&amp;Registro_Compras!$C$455&amp;" de "&amp;Registro_Compras!$E$455&amp;" [PATRON POR CONFIRMAR CON CONTADOR]",IF(Registro_Compras!$F$455="RHE","Por el registro del recibo por honorarios "&amp;Registro_Compras!$C$455&amp;" de "&amp;Registro_Compras!$E$455&amp;" [PATRON POR CONFIRMAR CON CONTADOR]","Por el registro de la factura "&amp;Registro_Compras!$C$455&amp;" de "&amp;Registro_Compras!$E$455)))</f>
        <v/>
      </c>
      <c r="H4064" t="str">
        <f>IF($C4064="","",Registro_Compras!$C$455)</f>
        <v/>
      </c>
    </row>
    <row r="4065" spans="1:8" x14ac:dyDescent="0.25">
      <c r="A4065" s="25" t="str">
        <f>IF($C4065="","",Registro_Compras!$B$455)</f>
        <v/>
      </c>
      <c r="B4065" t="str">
        <f>IF($C4065="","","C"&amp;TEXT(INT((ROW()-5)/9)+1,"000")&amp;"-1")</f>
        <v/>
      </c>
      <c r="C4065" t="str">
        <f>IF(OR(Registro_Compras!$C$455="",Registro_Compras!$O$455=""),"",IF(Registro_Compras!$F$455="RHE",IF(Registro_Compras!$V$455=0,"","4017"),IF(Registro_Compras!$F$455="NOTA DE CREDITO",IF(Registro_Compras!$M$455="","63",Registro_Compras!$M$455),IF(Registro_Compras!$K$455=0,"","40111"))))</f>
        <v/>
      </c>
      <c r="D4065" t="str">
        <f>IF(OR(Registro_Compras!$C$455="",Registro_Compras!$O$455=""),"",IF(Registro_Compras!$F$455="RHE","Retencion Renta 4ta Categoria por Pagar",IF(Registro_Compras!$F$455="NOTA DE CREDITO","Gastos de Servicios Prestados por Terceros","IGV - Cuenta Propia (Credito Fiscal)")))</f>
        <v/>
      </c>
      <c r="E4065" s="20" t="str">
        <f>IF($C4065="","",IF(Registro_Compras!$F$455="FACTURA",ROUND(Registro_Compras!$K$455*Registro_Compras!$N$455,2),""))</f>
        <v/>
      </c>
      <c r="F4065" s="20" t="str">
        <f>IF($C4065="","",IF(Registro_Compras!$F$455="RHE",ROUND(Registro_Compras!$V$455*Registro_Compras!$N$455,2),IF(Registro_Compras!$F$455="NOTA DE CREDITO",ROUND(ABS(Registro_Compras!$J$455*Registro_Compras!$N$455),2),"")))</f>
        <v/>
      </c>
      <c r="G4065" t="str">
        <f>IF($C4065="","",IF(Registro_Compras!$F$455="NOTA DE CREDITO","Por la nota de credito "&amp;Registro_Compras!$C$455&amp;" de "&amp;Registro_Compras!$E$455&amp;" [PATRON POR CONFIRMAR CON CONTADOR]",IF(Registro_Compras!$F$455="RHE","Por el registro del recibo por honorarios "&amp;Registro_Compras!$C$455&amp;" de "&amp;Registro_Compras!$E$455&amp;" [PATRON POR CONFIRMAR CON CONTADOR]","Por el registro de la factura "&amp;Registro_Compras!$C$455&amp;" de "&amp;Registro_Compras!$E$455)))</f>
        <v/>
      </c>
      <c r="H4065" t="str">
        <f>IF($C4065="","",Registro_Compras!$C$455)</f>
        <v/>
      </c>
    </row>
    <row r="4066" spans="1:8" x14ac:dyDescent="0.25">
      <c r="A4066" s="25" t="str">
        <f>IF($C4066="","",Registro_Compras!$B$455)</f>
        <v/>
      </c>
      <c r="B4066" t="str">
        <f>IF($C4066="","","C"&amp;TEXT(INT((ROW()-5)/9)+1,"000")&amp;"-1")</f>
        <v/>
      </c>
      <c r="C4066" t="str">
        <f>IF(OR(Registro_Compras!$C$455="",Registro_Compras!$O$455=""),"",IF(Registro_Compras!$F$455="NOTA DE CREDITO",IF(Registro_Compras!$K$455=0,"","40111"),"4212"))</f>
        <v/>
      </c>
      <c r="D4066" t="str">
        <f>IF(OR(Registro_Compras!$C$455="",Registro_Compras!$O$455=""),"",IF(Registro_Compras!$F$455="NOTA DE CREDITO","IGV - Cuenta Propia (Credito Fiscal)","Cuentas por Pagar Comerciales - Terceros (Emitidas)"))</f>
        <v/>
      </c>
      <c r="E4066" s="20" t="str">
        <f>""</f>
        <v/>
      </c>
      <c r="F4066" s="20" t="str">
        <f>IF($C4066="","",IF(Registro_Compras!$F$455="NOTA DE CREDITO",ROUND(ABS(Registro_Compras!$K$455*Registro_Compras!$N$455),2),IF(Registro_Compras!$F$455="RHE",(ROUND(Registro_Compras!$L$455*Registro_Compras!$N$455,2)-ROUND(Registro_Compras!$V$455*Registro_Compras!$N$455,2)),Registro_Compras!$O$455)))</f>
        <v/>
      </c>
      <c r="G4066" t="str">
        <f>IF($C4066="","",IF(Registro_Compras!$F$455="NOTA DE CREDITO","Por la nota de credito "&amp;Registro_Compras!$C$455&amp;" de "&amp;Registro_Compras!$E$455&amp;" [PATRON POR CONFIRMAR CON CONTADOR]",IF(Registro_Compras!$F$455="RHE","Por el registro del recibo por honorarios "&amp;Registro_Compras!$C$455&amp;" de "&amp;Registro_Compras!$E$455&amp;" [PATRON POR CONFIRMAR CON CONTADOR]","Por el registro de la factura "&amp;Registro_Compras!$C$455&amp;" de "&amp;Registro_Compras!$E$455)))</f>
        <v/>
      </c>
      <c r="H4066" t="str">
        <f>IF($C4066="","",Registro_Compras!$C$455)</f>
        <v/>
      </c>
    </row>
    <row r="4067" spans="1:8" x14ac:dyDescent="0.25">
      <c r="A4067" s="25" t="str">
        <f>IF($C4067="","",Registro_Compras!$B$455)</f>
        <v/>
      </c>
      <c r="B4067" t="str">
        <f>IF($C4067="","","C"&amp;TEXT(INT((ROW()-5)/9)+1,"000")&amp;"-2")</f>
        <v/>
      </c>
      <c r="C4067" t="str">
        <f>IF(OR(Registro_Compras!$C$455="",Registro_Compras!$O$455=""),"",IF(Registro_Compras!$AB$455="ADMINISTRATIVO","94","95"))</f>
        <v/>
      </c>
      <c r="D4067" t="str">
        <f>IF(OR(Registro_Compras!$C$455="",Registro_Compras!$O$455=""),"",IF(Registro_Compras!$AB$455="ADMINISTRATIVO","Gastos Administrativos","Gastos de Venta y Operacion"))</f>
        <v/>
      </c>
      <c r="E4067" s="20" t="str">
        <f>IF($C4067="","",IF(Registro_Compras!$F$455="NOTA DE CREDITO","",IF(Registro_Compras!$F$455="RHE",ROUND(Registro_Compras!$L$455*Registro_Compras!$N$455,2),ROUND(Registro_Compras!$J$455*Registro_Compras!$N$455,2))))</f>
        <v/>
      </c>
      <c r="F4067" s="20" t="str">
        <f>IF($C4067="","",IF(Registro_Compras!$F$455="NOTA DE CREDITO",ROUND(ABS(Registro_Compras!$J$455*Registro_Compras!$N$455),2),""))</f>
        <v/>
      </c>
      <c r="G4067" t="str">
        <f>IF($C4067="","","Por el destino del gasto")</f>
        <v/>
      </c>
      <c r="H4067" t="str">
        <f>IF($C4067="","",Registro_Compras!$C$455)</f>
        <v/>
      </c>
    </row>
    <row r="4068" spans="1:8" x14ac:dyDescent="0.25">
      <c r="A4068" s="25" t="str">
        <f>IF($C4068="","",Registro_Compras!$B$455)</f>
        <v/>
      </c>
      <c r="B4068" t="str">
        <f>IF($C4068="","","C"&amp;TEXT(INT((ROW()-5)/9)+1,"000")&amp;"-2")</f>
        <v/>
      </c>
      <c r="C4068" t="str">
        <f>IF(OR(Registro_Compras!$C$455="",Registro_Compras!$O$455=""),"","79/791")</f>
        <v/>
      </c>
      <c r="D4068" t="str">
        <f>IF(OR(Registro_Compras!$C$455="",Registro_Compras!$O$455=""),"","Cargas Imputables a Cuentas de Costos y Gastos")</f>
        <v/>
      </c>
      <c r="E4068" s="20" t="str">
        <f>IF($C4068="","",IF(Registro_Compras!$F$455="NOTA DE CREDITO",ROUND(ABS(Registro_Compras!$J$455*Registro_Compras!$N$455),2),""))</f>
        <v/>
      </c>
      <c r="F4068" s="20" t="str">
        <f>IF($C4068="","",IF(Registro_Compras!$F$455="NOTA DE CREDITO","",IF(Registro_Compras!$F$455="RHE",ROUND(Registro_Compras!$L$455*Registro_Compras!$N$455,2),ROUND(Registro_Compras!$J$455*Registro_Compras!$N$455,2))))</f>
        <v/>
      </c>
      <c r="G4068" t="str">
        <f>IF($C4068="","","Por el destino del gasto")</f>
        <v/>
      </c>
      <c r="H4068" t="str">
        <f>IF($C4068="","",Registro_Compras!$C$455)</f>
        <v/>
      </c>
    </row>
    <row r="4069" spans="1:8" x14ac:dyDescent="0.25">
      <c r="A4069" s="25" t="str">
        <f>IF($C4069="","",Registro_Compras!$X$455)</f>
        <v/>
      </c>
      <c r="B4069" t="str">
        <f>IF($C4069="","","C"&amp;TEXT(INT((ROW()-5)/9)+1,"000")&amp;"-3")</f>
        <v/>
      </c>
      <c r="C4069" t="str">
        <f>IF(OR(Registro_Compras!$C$455="",Registro_Compras!$O$455="",Registro_Compras!$R$455&lt;&gt;"SI",Registro_Compras!$X$455=""),"","4212")</f>
        <v/>
      </c>
      <c r="D4069" t="str">
        <f>IF(OR(Registro_Compras!$C$455="",Registro_Compras!$O$455=""),"","Cuentas por Pagar Comerciales - Terceros")</f>
        <v/>
      </c>
      <c r="E4069" s="20" t="str">
        <f>IF($C4069="","",Registro_Compras!$S$455)</f>
        <v/>
      </c>
      <c r="F4069" s="20" t="str">
        <f>""</f>
        <v/>
      </c>
      <c r="G4069" t="str">
        <f>IF($C4069="","","Por el deposito de la detraccion en el Banco de la Nacion")</f>
        <v/>
      </c>
      <c r="H4069" t="str">
        <f>IF($C4069="","",Registro_Compras!$C$455)</f>
        <v/>
      </c>
    </row>
    <row r="4070" spans="1:8" x14ac:dyDescent="0.25">
      <c r="A4070" s="25" t="str">
        <f>IF($C4070="","",Registro_Compras!$X$455)</f>
        <v/>
      </c>
      <c r="B4070" t="str">
        <f>IF($C4070="","","C"&amp;TEXT(INT((ROW()-5)/9)+1,"000")&amp;"-3")</f>
        <v/>
      </c>
      <c r="C4070" t="str">
        <f>IF(OR(Registro_Compras!$C$455="",Registro_Compras!$O$455="",Registro_Compras!$R$455&lt;&gt;"SI",Registro_Compras!$X$455=""),"","1041")</f>
        <v/>
      </c>
      <c r="D4070" t="str">
        <f>IF(OR(Registro_Compras!$C$455="",Registro_Compras!$O$455=""),"","Efectivo y Equivalentes - Cta. Cte. Operativa")</f>
        <v/>
      </c>
      <c r="E4070" s="20" t="str">
        <f>""</f>
        <v/>
      </c>
      <c r="F4070" s="20" t="str">
        <f>IF($C4070="","",Registro_Compras!$S$455)</f>
        <v/>
      </c>
      <c r="G4070" t="str">
        <f>IF($C4070="","","Por el deposito de la detraccion en el Banco de la Nacion")</f>
        <v/>
      </c>
      <c r="H4070" t="str">
        <f>IF($C4070="","",Registro_Compras!$C$455)</f>
        <v/>
      </c>
    </row>
    <row r="4071" spans="1:8" x14ac:dyDescent="0.25">
      <c r="A4071" s="25" t="str">
        <f>IF($C4071="","",Registro_Compras!$Y$455)</f>
        <v/>
      </c>
      <c r="B4071" t="str">
        <f>IF($C4071="","","C"&amp;TEXT(INT((ROW()-5)/9)+1,"000")&amp;"-4")</f>
        <v/>
      </c>
      <c r="C4071" t="str">
        <f>IF(OR(Registro_Compras!$C$455="",Registro_Compras!$O$455="",Registro_Compras!$Y$455="",Registro_Compras!$F$455="NOTA DE CREDITO"),"","4212")</f>
        <v/>
      </c>
      <c r="D4071" t="str">
        <f>IF(OR(Registro_Compras!$C$455="",Registro_Compras!$O$455=""),"","Cuentas por Pagar Comerciales - Terceros")</f>
        <v/>
      </c>
      <c r="E4071" s="20" t="str">
        <f>IF($C4071="","",IF(Registro_Compras!$F$455="RHE",(ROUND(Registro_Compras!$L$455*Registro_Compras!$N$455,2)-ROUND(Registro_Compras!$V$455*Registro_Compras!$N$455,2)),ROUND(Registro_Compras!$O$455-Registro_Compras!$S$455,2)))</f>
        <v/>
      </c>
      <c r="F4071" s="20" t="str">
        <f>""</f>
        <v/>
      </c>
      <c r="G4071" t="str">
        <f>IF($C4071="","","Por la cancelacion del saldo al proveedor")</f>
        <v/>
      </c>
      <c r="H4071" t="str">
        <f>IF($C4071="","",Registro_Compras!$C$455)</f>
        <v/>
      </c>
    </row>
    <row r="4072" spans="1:8" x14ac:dyDescent="0.25">
      <c r="A4072" s="25" t="str">
        <f>IF($C4072="","",Registro_Compras!$Y$455)</f>
        <v/>
      </c>
      <c r="B4072" t="str">
        <f>IF($C4072="","","C"&amp;TEXT(INT((ROW()-5)/9)+1,"000")&amp;"-4")</f>
        <v/>
      </c>
      <c r="C4072" t="str">
        <f>IF(OR(Registro_Compras!$C$455="",Registro_Compras!$O$455="",Registro_Compras!$Y$455="",Registro_Compras!$F$455="NOTA DE CREDITO"),"","1041")</f>
        <v/>
      </c>
      <c r="D4072" t="str">
        <f>IF(OR(Registro_Compras!$C$455="",Registro_Compras!$O$455=""),"","Efectivo y Equivalentes - Cta. Cte. Operativa")</f>
        <v/>
      </c>
      <c r="E4072" s="20" t="str">
        <f>""</f>
        <v/>
      </c>
      <c r="F4072" s="20" t="str">
        <f>IF($C4072="","",IF(Registro_Compras!$F$455="RHE",(ROUND(Registro_Compras!$L$455*Registro_Compras!$N$455,2)-ROUND(Registro_Compras!$V$455*Registro_Compras!$N$455,2)),ROUND(Registro_Compras!$O$455-Registro_Compras!$S$455,2)))</f>
        <v/>
      </c>
      <c r="G4072" t="str">
        <f>IF($C4072="","","Por la cancelacion del saldo al proveedor")</f>
        <v/>
      </c>
      <c r="H4072" t="str">
        <f>IF($C4072="","",Registro_Compras!$C$455)</f>
        <v/>
      </c>
    </row>
    <row r="4073" spans="1:8" x14ac:dyDescent="0.25">
      <c r="A4073" s="25" t="str">
        <f>IF($C4073="","",Registro_Compras!$B$456)</f>
        <v/>
      </c>
      <c r="B4073" t="str">
        <f>IF($C4073="","","C"&amp;TEXT(INT((ROW()-5)/9)+1,"000")&amp;"-1")</f>
        <v/>
      </c>
      <c r="C4073" t="str">
        <f>IF(OR(Registro_Compras!$C$456="",Registro_Compras!$O$456=""),"",IF(Registro_Compras!$F$456="NOTA DE CREDITO","4212",IF(Registro_Compras!$M$456="","63",Registro_Compras!$M$456)))</f>
        <v/>
      </c>
      <c r="D4073" t="str">
        <f>IF(OR(Registro_Compras!$C$456="",Registro_Compras!$O$456=""),"",IF(Registro_Compras!$F$456="NOTA DE CREDITO","Cuentas por Pagar Comerciales - Terceros (Emitidas)",IF(Registro_Compras!$F$456="RHE","Honorarios Profesionales - Servicios de Terceros","Gastos de Servicios Prestados por Terceros")))</f>
        <v/>
      </c>
      <c r="E4073" s="20" t="str">
        <f>IF($C4073="","",IF(Registro_Compras!$F$456="NOTA DE CREDITO",ABS(Registro_Compras!$O$456),IF(Registro_Compras!$F$456="RHE",ROUND(Registro_Compras!$L$456*Registro_Compras!$N$456,2),ROUND(Registro_Compras!$J$456*Registro_Compras!$N$456,2))))</f>
        <v/>
      </c>
      <c r="F4073" s="20" t="str">
        <f>""</f>
        <v/>
      </c>
      <c r="G4073" t="str">
        <f>IF($C4073="","",IF(Registro_Compras!$F$456="NOTA DE CREDITO","Por la nota de credito "&amp;Registro_Compras!$C$456&amp;" de "&amp;Registro_Compras!$E$456&amp;" [PATRON POR CONFIRMAR CON CONTADOR]",IF(Registro_Compras!$F$456="RHE","Por el registro del recibo por honorarios "&amp;Registro_Compras!$C$456&amp;" de "&amp;Registro_Compras!$E$456&amp;" [PATRON POR CONFIRMAR CON CONTADOR]","Por el registro de la factura "&amp;Registro_Compras!$C$456&amp;" de "&amp;Registro_Compras!$E$456)))</f>
        <v/>
      </c>
      <c r="H4073" t="str">
        <f>IF($C4073="","",Registro_Compras!$C$456)</f>
        <v/>
      </c>
    </row>
    <row r="4074" spans="1:8" x14ac:dyDescent="0.25">
      <c r="A4074" s="25" t="str">
        <f>IF($C4074="","",Registro_Compras!$B$456)</f>
        <v/>
      </c>
      <c r="B4074" t="str">
        <f>IF($C4074="","","C"&amp;TEXT(INT((ROW()-5)/9)+1,"000")&amp;"-1")</f>
        <v/>
      </c>
      <c r="C4074" t="str">
        <f>IF(OR(Registro_Compras!$C$456="",Registro_Compras!$O$456=""),"",IF(Registro_Compras!$F$456="RHE",IF(Registro_Compras!$V$456=0,"","4017"),IF(Registro_Compras!$F$456="NOTA DE CREDITO",IF(Registro_Compras!$M$456="","63",Registro_Compras!$M$456),IF(Registro_Compras!$K$456=0,"","40111"))))</f>
        <v/>
      </c>
      <c r="D4074" t="str">
        <f>IF(OR(Registro_Compras!$C$456="",Registro_Compras!$O$456=""),"",IF(Registro_Compras!$F$456="RHE","Retencion Renta 4ta Categoria por Pagar",IF(Registro_Compras!$F$456="NOTA DE CREDITO","Gastos de Servicios Prestados por Terceros","IGV - Cuenta Propia (Credito Fiscal)")))</f>
        <v/>
      </c>
      <c r="E4074" s="20" t="str">
        <f>IF($C4074="","",IF(Registro_Compras!$F$456="FACTURA",ROUND(Registro_Compras!$K$456*Registro_Compras!$N$456,2),""))</f>
        <v/>
      </c>
      <c r="F4074" s="20" t="str">
        <f>IF($C4074="","",IF(Registro_Compras!$F$456="RHE",ROUND(Registro_Compras!$V$456*Registro_Compras!$N$456,2),IF(Registro_Compras!$F$456="NOTA DE CREDITO",ROUND(ABS(Registro_Compras!$J$456*Registro_Compras!$N$456),2),"")))</f>
        <v/>
      </c>
      <c r="G4074" t="str">
        <f>IF($C4074="","",IF(Registro_Compras!$F$456="NOTA DE CREDITO","Por la nota de credito "&amp;Registro_Compras!$C$456&amp;" de "&amp;Registro_Compras!$E$456&amp;" [PATRON POR CONFIRMAR CON CONTADOR]",IF(Registro_Compras!$F$456="RHE","Por el registro del recibo por honorarios "&amp;Registro_Compras!$C$456&amp;" de "&amp;Registro_Compras!$E$456&amp;" [PATRON POR CONFIRMAR CON CONTADOR]","Por el registro de la factura "&amp;Registro_Compras!$C$456&amp;" de "&amp;Registro_Compras!$E$456)))</f>
        <v/>
      </c>
      <c r="H4074" t="str">
        <f>IF($C4074="","",Registro_Compras!$C$456)</f>
        <v/>
      </c>
    </row>
    <row r="4075" spans="1:8" x14ac:dyDescent="0.25">
      <c r="A4075" s="25" t="str">
        <f>IF($C4075="","",Registro_Compras!$B$456)</f>
        <v/>
      </c>
      <c r="B4075" t="str">
        <f>IF($C4075="","","C"&amp;TEXT(INT((ROW()-5)/9)+1,"000")&amp;"-1")</f>
        <v/>
      </c>
      <c r="C4075" t="str">
        <f>IF(OR(Registro_Compras!$C$456="",Registro_Compras!$O$456=""),"",IF(Registro_Compras!$F$456="NOTA DE CREDITO",IF(Registro_Compras!$K$456=0,"","40111"),"4212"))</f>
        <v/>
      </c>
      <c r="D4075" t="str">
        <f>IF(OR(Registro_Compras!$C$456="",Registro_Compras!$O$456=""),"",IF(Registro_Compras!$F$456="NOTA DE CREDITO","IGV - Cuenta Propia (Credito Fiscal)","Cuentas por Pagar Comerciales - Terceros (Emitidas)"))</f>
        <v/>
      </c>
      <c r="E4075" s="20" t="str">
        <f>""</f>
        <v/>
      </c>
      <c r="F4075" s="20" t="str">
        <f>IF($C4075="","",IF(Registro_Compras!$F$456="NOTA DE CREDITO",ROUND(ABS(Registro_Compras!$K$456*Registro_Compras!$N$456),2),IF(Registro_Compras!$F$456="RHE",(ROUND(Registro_Compras!$L$456*Registro_Compras!$N$456,2)-ROUND(Registro_Compras!$V$456*Registro_Compras!$N$456,2)),Registro_Compras!$O$456)))</f>
        <v/>
      </c>
      <c r="G4075" t="str">
        <f>IF($C4075="","",IF(Registro_Compras!$F$456="NOTA DE CREDITO","Por la nota de credito "&amp;Registro_Compras!$C$456&amp;" de "&amp;Registro_Compras!$E$456&amp;" [PATRON POR CONFIRMAR CON CONTADOR]",IF(Registro_Compras!$F$456="RHE","Por el registro del recibo por honorarios "&amp;Registro_Compras!$C$456&amp;" de "&amp;Registro_Compras!$E$456&amp;" [PATRON POR CONFIRMAR CON CONTADOR]","Por el registro de la factura "&amp;Registro_Compras!$C$456&amp;" de "&amp;Registro_Compras!$E$456)))</f>
        <v/>
      </c>
      <c r="H4075" t="str">
        <f>IF($C4075="","",Registro_Compras!$C$456)</f>
        <v/>
      </c>
    </row>
    <row r="4076" spans="1:8" x14ac:dyDescent="0.25">
      <c r="A4076" s="25" t="str">
        <f>IF($C4076="","",Registro_Compras!$B$456)</f>
        <v/>
      </c>
      <c r="B4076" t="str">
        <f>IF($C4076="","","C"&amp;TEXT(INT((ROW()-5)/9)+1,"000")&amp;"-2")</f>
        <v/>
      </c>
      <c r="C4076" t="str">
        <f>IF(OR(Registro_Compras!$C$456="",Registro_Compras!$O$456=""),"",IF(Registro_Compras!$AB$456="ADMINISTRATIVO","94","95"))</f>
        <v/>
      </c>
      <c r="D4076" t="str">
        <f>IF(OR(Registro_Compras!$C$456="",Registro_Compras!$O$456=""),"",IF(Registro_Compras!$AB$456="ADMINISTRATIVO","Gastos Administrativos","Gastos de Venta y Operacion"))</f>
        <v/>
      </c>
      <c r="E4076" s="20" t="str">
        <f>IF($C4076="","",IF(Registro_Compras!$F$456="NOTA DE CREDITO","",IF(Registro_Compras!$F$456="RHE",ROUND(Registro_Compras!$L$456*Registro_Compras!$N$456,2),ROUND(Registro_Compras!$J$456*Registro_Compras!$N$456,2))))</f>
        <v/>
      </c>
      <c r="F4076" s="20" t="str">
        <f>IF($C4076="","",IF(Registro_Compras!$F$456="NOTA DE CREDITO",ROUND(ABS(Registro_Compras!$J$456*Registro_Compras!$N$456),2),""))</f>
        <v/>
      </c>
      <c r="G4076" t="str">
        <f>IF($C4076="","","Por el destino del gasto")</f>
        <v/>
      </c>
      <c r="H4076" t="str">
        <f>IF($C4076="","",Registro_Compras!$C$456)</f>
        <v/>
      </c>
    </row>
    <row r="4077" spans="1:8" x14ac:dyDescent="0.25">
      <c r="A4077" s="25" t="str">
        <f>IF($C4077="","",Registro_Compras!$B$456)</f>
        <v/>
      </c>
      <c r="B4077" t="str">
        <f>IF($C4077="","","C"&amp;TEXT(INT((ROW()-5)/9)+1,"000")&amp;"-2")</f>
        <v/>
      </c>
      <c r="C4077" t="str">
        <f>IF(OR(Registro_Compras!$C$456="",Registro_Compras!$O$456=""),"","79/791")</f>
        <v/>
      </c>
      <c r="D4077" t="str">
        <f>IF(OR(Registro_Compras!$C$456="",Registro_Compras!$O$456=""),"","Cargas Imputables a Cuentas de Costos y Gastos")</f>
        <v/>
      </c>
      <c r="E4077" s="20" t="str">
        <f>IF($C4077="","",IF(Registro_Compras!$F$456="NOTA DE CREDITO",ROUND(ABS(Registro_Compras!$J$456*Registro_Compras!$N$456),2),""))</f>
        <v/>
      </c>
      <c r="F4077" s="20" t="str">
        <f>IF($C4077="","",IF(Registro_Compras!$F$456="NOTA DE CREDITO","",IF(Registro_Compras!$F$456="RHE",ROUND(Registro_Compras!$L$456*Registro_Compras!$N$456,2),ROUND(Registro_Compras!$J$456*Registro_Compras!$N$456,2))))</f>
        <v/>
      </c>
      <c r="G4077" t="str">
        <f>IF($C4077="","","Por el destino del gasto")</f>
        <v/>
      </c>
      <c r="H4077" t="str">
        <f>IF($C4077="","",Registro_Compras!$C$456)</f>
        <v/>
      </c>
    </row>
    <row r="4078" spans="1:8" x14ac:dyDescent="0.25">
      <c r="A4078" s="25" t="str">
        <f>IF($C4078="","",Registro_Compras!$X$456)</f>
        <v/>
      </c>
      <c r="B4078" t="str">
        <f>IF($C4078="","","C"&amp;TEXT(INT((ROW()-5)/9)+1,"000")&amp;"-3")</f>
        <v/>
      </c>
      <c r="C4078" t="str">
        <f>IF(OR(Registro_Compras!$C$456="",Registro_Compras!$O$456="",Registro_Compras!$R$456&lt;&gt;"SI",Registro_Compras!$X$456=""),"","4212")</f>
        <v/>
      </c>
      <c r="D4078" t="str">
        <f>IF(OR(Registro_Compras!$C$456="",Registro_Compras!$O$456=""),"","Cuentas por Pagar Comerciales - Terceros")</f>
        <v/>
      </c>
      <c r="E4078" s="20" t="str">
        <f>IF($C4078="","",Registro_Compras!$S$456)</f>
        <v/>
      </c>
      <c r="F4078" s="20" t="str">
        <f>""</f>
        <v/>
      </c>
      <c r="G4078" t="str">
        <f>IF($C4078="","","Por el deposito de la detraccion en el Banco de la Nacion")</f>
        <v/>
      </c>
      <c r="H4078" t="str">
        <f>IF($C4078="","",Registro_Compras!$C$456)</f>
        <v/>
      </c>
    </row>
    <row r="4079" spans="1:8" x14ac:dyDescent="0.25">
      <c r="A4079" s="25" t="str">
        <f>IF($C4079="","",Registro_Compras!$X$456)</f>
        <v/>
      </c>
      <c r="B4079" t="str">
        <f>IF($C4079="","","C"&amp;TEXT(INT((ROW()-5)/9)+1,"000")&amp;"-3")</f>
        <v/>
      </c>
      <c r="C4079" t="str">
        <f>IF(OR(Registro_Compras!$C$456="",Registro_Compras!$O$456="",Registro_Compras!$R$456&lt;&gt;"SI",Registro_Compras!$X$456=""),"","1041")</f>
        <v/>
      </c>
      <c r="D4079" t="str">
        <f>IF(OR(Registro_Compras!$C$456="",Registro_Compras!$O$456=""),"","Efectivo y Equivalentes - Cta. Cte. Operativa")</f>
        <v/>
      </c>
      <c r="E4079" s="20" t="str">
        <f>""</f>
        <v/>
      </c>
      <c r="F4079" s="20" t="str">
        <f>IF($C4079="","",Registro_Compras!$S$456)</f>
        <v/>
      </c>
      <c r="G4079" t="str">
        <f>IF($C4079="","","Por el deposito de la detraccion en el Banco de la Nacion")</f>
        <v/>
      </c>
      <c r="H4079" t="str">
        <f>IF($C4079="","",Registro_Compras!$C$456)</f>
        <v/>
      </c>
    </row>
    <row r="4080" spans="1:8" x14ac:dyDescent="0.25">
      <c r="A4080" s="25" t="str">
        <f>IF($C4080="","",Registro_Compras!$Y$456)</f>
        <v/>
      </c>
      <c r="B4080" t="str">
        <f>IF($C4080="","","C"&amp;TEXT(INT((ROW()-5)/9)+1,"000")&amp;"-4")</f>
        <v/>
      </c>
      <c r="C4080" t="str">
        <f>IF(OR(Registro_Compras!$C$456="",Registro_Compras!$O$456="",Registro_Compras!$Y$456="",Registro_Compras!$F$456="NOTA DE CREDITO"),"","4212")</f>
        <v/>
      </c>
      <c r="D4080" t="str">
        <f>IF(OR(Registro_Compras!$C$456="",Registro_Compras!$O$456=""),"","Cuentas por Pagar Comerciales - Terceros")</f>
        <v/>
      </c>
      <c r="E4080" s="20" t="str">
        <f>IF($C4080="","",IF(Registro_Compras!$F$456="RHE",(ROUND(Registro_Compras!$L$456*Registro_Compras!$N$456,2)-ROUND(Registro_Compras!$V$456*Registro_Compras!$N$456,2)),ROUND(Registro_Compras!$O$456-Registro_Compras!$S$456,2)))</f>
        <v/>
      </c>
      <c r="F4080" s="20" t="str">
        <f>""</f>
        <v/>
      </c>
      <c r="G4080" t="str">
        <f>IF($C4080="","","Por la cancelacion del saldo al proveedor")</f>
        <v/>
      </c>
      <c r="H4080" t="str">
        <f>IF($C4080="","",Registro_Compras!$C$456)</f>
        <v/>
      </c>
    </row>
    <row r="4081" spans="1:8" x14ac:dyDescent="0.25">
      <c r="A4081" s="25" t="str">
        <f>IF($C4081="","",Registro_Compras!$Y$456)</f>
        <v/>
      </c>
      <c r="B4081" t="str">
        <f>IF($C4081="","","C"&amp;TEXT(INT((ROW()-5)/9)+1,"000")&amp;"-4")</f>
        <v/>
      </c>
      <c r="C4081" t="str">
        <f>IF(OR(Registro_Compras!$C$456="",Registro_Compras!$O$456="",Registro_Compras!$Y$456="",Registro_Compras!$F$456="NOTA DE CREDITO"),"","1041")</f>
        <v/>
      </c>
      <c r="D4081" t="str">
        <f>IF(OR(Registro_Compras!$C$456="",Registro_Compras!$O$456=""),"","Efectivo y Equivalentes - Cta. Cte. Operativa")</f>
        <v/>
      </c>
      <c r="E4081" s="20" t="str">
        <f>""</f>
        <v/>
      </c>
      <c r="F4081" s="20" t="str">
        <f>IF($C4081="","",IF(Registro_Compras!$F$456="RHE",(ROUND(Registro_Compras!$L$456*Registro_Compras!$N$456,2)-ROUND(Registro_Compras!$V$456*Registro_Compras!$N$456,2)),ROUND(Registro_Compras!$O$456-Registro_Compras!$S$456,2)))</f>
        <v/>
      </c>
      <c r="G4081" t="str">
        <f>IF($C4081="","","Por la cancelacion del saldo al proveedor")</f>
        <v/>
      </c>
      <c r="H4081" t="str">
        <f>IF($C4081="","",Registro_Compras!$C$456)</f>
        <v/>
      </c>
    </row>
    <row r="4082" spans="1:8" x14ac:dyDescent="0.25">
      <c r="A4082" s="25" t="str">
        <f>IF($C4082="","",Registro_Compras!$B$457)</f>
        <v/>
      </c>
      <c r="B4082" t="str">
        <f>IF($C4082="","","C"&amp;TEXT(INT((ROW()-5)/9)+1,"000")&amp;"-1")</f>
        <v/>
      </c>
      <c r="C4082" t="str">
        <f>IF(OR(Registro_Compras!$C$457="",Registro_Compras!$O$457=""),"",IF(Registro_Compras!$F$457="NOTA DE CREDITO","4212",IF(Registro_Compras!$M$457="","63",Registro_Compras!$M$457)))</f>
        <v/>
      </c>
      <c r="D4082" t="str">
        <f>IF(OR(Registro_Compras!$C$457="",Registro_Compras!$O$457=""),"",IF(Registro_Compras!$F$457="NOTA DE CREDITO","Cuentas por Pagar Comerciales - Terceros (Emitidas)",IF(Registro_Compras!$F$457="RHE","Honorarios Profesionales - Servicios de Terceros","Gastos de Servicios Prestados por Terceros")))</f>
        <v/>
      </c>
      <c r="E4082" s="20" t="str">
        <f>IF($C4082="","",IF(Registro_Compras!$F$457="NOTA DE CREDITO",ABS(Registro_Compras!$O$457),IF(Registro_Compras!$F$457="RHE",ROUND(Registro_Compras!$L$457*Registro_Compras!$N$457,2),ROUND(Registro_Compras!$J$457*Registro_Compras!$N$457,2))))</f>
        <v/>
      </c>
      <c r="F4082" s="20" t="str">
        <f>""</f>
        <v/>
      </c>
      <c r="G4082" t="str">
        <f>IF($C4082="","",IF(Registro_Compras!$F$457="NOTA DE CREDITO","Por la nota de credito "&amp;Registro_Compras!$C$457&amp;" de "&amp;Registro_Compras!$E$457&amp;" [PATRON POR CONFIRMAR CON CONTADOR]",IF(Registro_Compras!$F$457="RHE","Por el registro del recibo por honorarios "&amp;Registro_Compras!$C$457&amp;" de "&amp;Registro_Compras!$E$457&amp;" [PATRON POR CONFIRMAR CON CONTADOR]","Por el registro de la factura "&amp;Registro_Compras!$C$457&amp;" de "&amp;Registro_Compras!$E$457)))</f>
        <v/>
      </c>
      <c r="H4082" t="str">
        <f>IF($C4082="","",Registro_Compras!$C$457)</f>
        <v/>
      </c>
    </row>
    <row r="4083" spans="1:8" x14ac:dyDescent="0.25">
      <c r="A4083" s="25" t="str">
        <f>IF($C4083="","",Registro_Compras!$B$457)</f>
        <v/>
      </c>
      <c r="B4083" t="str">
        <f>IF($C4083="","","C"&amp;TEXT(INT((ROW()-5)/9)+1,"000")&amp;"-1")</f>
        <v/>
      </c>
      <c r="C4083" t="str">
        <f>IF(OR(Registro_Compras!$C$457="",Registro_Compras!$O$457=""),"",IF(Registro_Compras!$F$457="RHE",IF(Registro_Compras!$V$457=0,"","4017"),IF(Registro_Compras!$F$457="NOTA DE CREDITO",IF(Registro_Compras!$M$457="","63",Registro_Compras!$M$457),IF(Registro_Compras!$K$457=0,"","40111"))))</f>
        <v/>
      </c>
      <c r="D4083" t="str">
        <f>IF(OR(Registro_Compras!$C$457="",Registro_Compras!$O$457=""),"",IF(Registro_Compras!$F$457="RHE","Retencion Renta 4ta Categoria por Pagar",IF(Registro_Compras!$F$457="NOTA DE CREDITO","Gastos de Servicios Prestados por Terceros","IGV - Cuenta Propia (Credito Fiscal)")))</f>
        <v/>
      </c>
      <c r="E4083" s="20" t="str">
        <f>IF($C4083="","",IF(Registro_Compras!$F$457="FACTURA",ROUND(Registro_Compras!$K$457*Registro_Compras!$N$457,2),""))</f>
        <v/>
      </c>
      <c r="F4083" s="20" t="str">
        <f>IF($C4083="","",IF(Registro_Compras!$F$457="RHE",ROUND(Registro_Compras!$V$457*Registro_Compras!$N$457,2),IF(Registro_Compras!$F$457="NOTA DE CREDITO",ROUND(ABS(Registro_Compras!$J$457*Registro_Compras!$N$457),2),"")))</f>
        <v/>
      </c>
      <c r="G4083" t="str">
        <f>IF($C4083="","",IF(Registro_Compras!$F$457="NOTA DE CREDITO","Por la nota de credito "&amp;Registro_Compras!$C$457&amp;" de "&amp;Registro_Compras!$E$457&amp;" [PATRON POR CONFIRMAR CON CONTADOR]",IF(Registro_Compras!$F$457="RHE","Por el registro del recibo por honorarios "&amp;Registro_Compras!$C$457&amp;" de "&amp;Registro_Compras!$E$457&amp;" [PATRON POR CONFIRMAR CON CONTADOR]","Por el registro de la factura "&amp;Registro_Compras!$C$457&amp;" de "&amp;Registro_Compras!$E$457)))</f>
        <v/>
      </c>
      <c r="H4083" t="str">
        <f>IF($C4083="","",Registro_Compras!$C$457)</f>
        <v/>
      </c>
    </row>
    <row r="4084" spans="1:8" x14ac:dyDescent="0.25">
      <c r="A4084" s="25" t="str">
        <f>IF($C4084="","",Registro_Compras!$B$457)</f>
        <v/>
      </c>
      <c r="B4084" t="str">
        <f>IF($C4084="","","C"&amp;TEXT(INT((ROW()-5)/9)+1,"000")&amp;"-1")</f>
        <v/>
      </c>
      <c r="C4084" t="str">
        <f>IF(OR(Registro_Compras!$C$457="",Registro_Compras!$O$457=""),"",IF(Registro_Compras!$F$457="NOTA DE CREDITO",IF(Registro_Compras!$K$457=0,"","40111"),"4212"))</f>
        <v/>
      </c>
      <c r="D4084" t="str">
        <f>IF(OR(Registro_Compras!$C$457="",Registro_Compras!$O$457=""),"",IF(Registro_Compras!$F$457="NOTA DE CREDITO","IGV - Cuenta Propia (Credito Fiscal)","Cuentas por Pagar Comerciales - Terceros (Emitidas)"))</f>
        <v/>
      </c>
      <c r="E4084" s="20" t="str">
        <f>""</f>
        <v/>
      </c>
      <c r="F4084" s="20" t="str">
        <f>IF($C4084="","",IF(Registro_Compras!$F$457="NOTA DE CREDITO",ROUND(ABS(Registro_Compras!$K$457*Registro_Compras!$N$457),2),IF(Registro_Compras!$F$457="RHE",(ROUND(Registro_Compras!$L$457*Registro_Compras!$N$457,2)-ROUND(Registro_Compras!$V$457*Registro_Compras!$N$457,2)),Registro_Compras!$O$457)))</f>
        <v/>
      </c>
      <c r="G4084" t="str">
        <f>IF($C4084="","",IF(Registro_Compras!$F$457="NOTA DE CREDITO","Por la nota de credito "&amp;Registro_Compras!$C$457&amp;" de "&amp;Registro_Compras!$E$457&amp;" [PATRON POR CONFIRMAR CON CONTADOR]",IF(Registro_Compras!$F$457="RHE","Por el registro del recibo por honorarios "&amp;Registro_Compras!$C$457&amp;" de "&amp;Registro_Compras!$E$457&amp;" [PATRON POR CONFIRMAR CON CONTADOR]","Por el registro de la factura "&amp;Registro_Compras!$C$457&amp;" de "&amp;Registro_Compras!$E$457)))</f>
        <v/>
      </c>
      <c r="H4084" t="str">
        <f>IF($C4084="","",Registro_Compras!$C$457)</f>
        <v/>
      </c>
    </row>
    <row r="4085" spans="1:8" x14ac:dyDescent="0.25">
      <c r="A4085" s="25" t="str">
        <f>IF($C4085="","",Registro_Compras!$B$457)</f>
        <v/>
      </c>
      <c r="B4085" t="str">
        <f>IF($C4085="","","C"&amp;TEXT(INT((ROW()-5)/9)+1,"000")&amp;"-2")</f>
        <v/>
      </c>
      <c r="C4085" t="str">
        <f>IF(OR(Registro_Compras!$C$457="",Registro_Compras!$O$457=""),"",IF(Registro_Compras!$AB$457="ADMINISTRATIVO","94","95"))</f>
        <v/>
      </c>
      <c r="D4085" t="str">
        <f>IF(OR(Registro_Compras!$C$457="",Registro_Compras!$O$457=""),"",IF(Registro_Compras!$AB$457="ADMINISTRATIVO","Gastos Administrativos","Gastos de Venta y Operacion"))</f>
        <v/>
      </c>
      <c r="E4085" s="20" t="str">
        <f>IF($C4085="","",IF(Registro_Compras!$F$457="NOTA DE CREDITO","",IF(Registro_Compras!$F$457="RHE",ROUND(Registro_Compras!$L$457*Registro_Compras!$N$457,2),ROUND(Registro_Compras!$J$457*Registro_Compras!$N$457,2))))</f>
        <v/>
      </c>
      <c r="F4085" s="20" t="str">
        <f>IF($C4085="","",IF(Registro_Compras!$F$457="NOTA DE CREDITO",ROUND(ABS(Registro_Compras!$J$457*Registro_Compras!$N$457),2),""))</f>
        <v/>
      </c>
      <c r="G4085" t="str">
        <f>IF($C4085="","","Por el destino del gasto")</f>
        <v/>
      </c>
      <c r="H4085" t="str">
        <f>IF($C4085="","",Registro_Compras!$C$457)</f>
        <v/>
      </c>
    </row>
    <row r="4086" spans="1:8" x14ac:dyDescent="0.25">
      <c r="A4086" s="25" t="str">
        <f>IF($C4086="","",Registro_Compras!$B$457)</f>
        <v/>
      </c>
      <c r="B4086" t="str">
        <f>IF($C4086="","","C"&amp;TEXT(INT((ROW()-5)/9)+1,"000")&amp;"-2")</f>
        <v/>
      </c>
      <c r="C4086" t="str">
        <f>IF(OR(Registro_Compras!$C$457="",Registro_Compras!$O$457=""),"","79/791")</f>
        <v/>
      </c>
      <c r="D4086" t="str">
        <f>IF(OR(Registro_Compras!$C$457="",Registro_Compras!$O$457=""),"","Cargas Imputables a Cuentas de Costos y Gastos")</f>
        <v/>
      </c>
      <c r="E4086" s="20" t="str">
        <f>IF($C4086="","",IF(Registro_Compras!$F$457="NOTA DE CREDITO",ROUND(ABS(Registro_Compras!$J$457*Registro_Compras!$N$457),2),""))</f>
        <v/>
      </c>
      <c r="F4086" s="20" t="str">
        <f>IF($C4086="","",IF(Registro_Compras!$F$457="NOTA DE CREDITO","",IF(Registro_Compras!$F$457="RHE",ROUND(Registro_Compras!$L$457*Registro_Compras!$N$457,2),ROUND(Registro_Compras!$J$457*Registro_Compras!$N$457,2))))</f>
        <v/>
      </c>
      <c r="G4086" t="str">
        <f>IF($C4086="","","Por el destino del gasto")</f>
        <v/>
      </c>
      <c r="H4086" t="str">
        <f>IF($C4086="","",Registro_Compras!$C$457)</f>
        <v/>
      </c>
    </row>
    <row r="4087" spans="1:8" x14ac:dyDescent="0.25">
      <c r="A4087" s="25" t="str">
        <f>IF($C4087="","",Registro_Compras!$X$457)</f>
        <v/>
      </c>
      <c r="B4087" t="str">
        <f>IF($C4087="","","C"&amp;TEXT(INT((ROW()-5)/9)+1,"000")&amp;"-3")</f>
        <v/>
      </c>
      <c r="C4087" t="str">
        <f>IF(OR(Registro_Compras!$C$457="",Registro_Compras!$O$457="",Registro_Compras!$R$457&lt;&gt;"SI",Registro_Compras!$X$457=""),"","4212")</f>
        <v/>
      </c>
      <c r="D4087" t="str">
        <f>IF(OR(Registro_Compras!$C$457="",Registro_Compras!$O$457=""),"","Cuentas por Pagar Comerciales - Terceros")</f>
        <v/>
      </c>
      <c r="E4087" s="20" t="str">
        <f>IF($C4087="","",Registro_Compras!$S$457)</f>
        <v/>
      </c>
      <c r="F4087" s="20" t="str">
        <f>""</f>
        <v/>
      </c>
      <c r="G4087" t="str">
        <f>IF($C4087="","","Por el deposito de la detraccion en el Banco de la Nacion")</f>
        <v/>
      </c>
      <c r="H4087" t="str">
        <f>IF($C4087="","",Registro_Compras!$C$457)</f>
        <v/>
      </c>
    </row>
    <row r="4088" spans="1:8" x14ac:dyDescent="0.25">
      <c r="A4088" s="25" t="str">
        <f>IF($C4088="","",Registro_Compras!$X$457)</f>
        <v/>
      </c>
      <c r="B4088" t="str">
        <f>IF($C4088="","","C"&amp;TEXT(INT((ROW()-5)/9)+1,"000")&amp;"-3")</f>
        <v/>
      </c>
      <c r="C4088" t="str">
        <f>IF(OR(Registro_Compras!$C$457="",Registro_Compras!$O$457="",Registro_Compras!$R$457&lt;&gt;"SI",Registro_Compras!$X$457=""),"","1041")</f>
        <v/>
      </c>
      <c r="D4088" t="str">
        <f>IF(OR(Registro_Compras!$C$457="",Registro_Compras!$O$457=""),"","Efectivo y Equivalentes - Cta. Cte. Operativa")</f>
        <v/>
      </c>
      <c r="E4088" s="20" t="str">
        <f>""</f>
        <v/>
      </c>
      <c r="F4088" s="20" t="str">
        <f>IF($C4088="","",Registro_Compras!$S$457)</f>
        <v/>
      </c>
      <c r="G4088" t="str">
        <f>IF($C4088="","","Por el deposito de la detraccion en el Banco de la Nacion")</f>
        <v/>
      </c>
      <c r="H4088" t="str">
        <f>IF($C4088="","",Registro_Compras!$C$457)</f>
        <v/>
      </c>
    </row>
    <row r="4089" spans="1:8" x14ac:dyDescent="0.25">
      <c r="A4089" s="25" t="str">
        <f>IF($C4089="","",Registro_Compras!$Y$457)</f>
        <v/>
      </c>
      <c r="B4089" t="str">
        <f>IF($C4089="","","C"&amp;TEXT(INT((ROW()-5)/9)+1,"000")&amp;"-4")</f>
        <v/>
      </c>
      <c r="C4089" t="str">
        <f>IF(OR(Registro_Compras!$C$457="",Registro_Compras!$O$457="",Registro_Compras!$Y$457="",Registro_Compras!$F$457="NOTA DE CREDITO"),"","4212")</f>
        <v/>
      </c>
      <c r="D4089" t="str">
        <f>IF(OR(Registro_Compras!$C$457="",Registro_Compras!$O$457=""),"","Cuentas por Pagar Comerciales - Terceros")</f>
        <v/>
      </c>
      <c r="E4089" s="20" t="str">
        <f>IF($C4089="","",IF(Registro_Compras!$F$457="RHE",(ROUND(Registro_Compras!$L$457*Registro_Compras!$N$457,2)-ROUND(Registro_Compras!$V$457*Registro_Compras!$N$457,2)),ROUND(Registro_Compras!$O$457-Registro_Compras!$S$457,2)))</f>
        <v/>
      </c>
      <c r="F4089" s="20" t="str">
        <f>""</f>
        <v/>
      </c>
      <c r="G4089" t="str">
        <f>IF($C4089="","","Por la cancelacion del saldo al proveedor")</f>
        <v/>
      </c>
      <c r="H4089" t="str">
        <f>IF($C4089="","",Registro_Compras!$C$457)</f>
        <v/>
      </c>
    </row>
    <row r="4090" spans="1:8" x14ac:dyDescent="0.25">
      <c r="A4090" s="25" t="str">
        <f>IF($C4090="","",Registro_Compras!$Y$457)</f>
        <v/>
      </c>
      <c r="B4090" t="str">
        <f>IF($C4090="","","C"&amp;TEXT(INT((ROW()-5)/9)+1,"000")&amp;"-4")</f>
        <v/>
      </c>
      <c r="C4090" t="str">
        <f>IF(OR(Registro_Compras!$C$457="",Registro_Compras!$O$457="",Registro_Compras!$Y$457="",Registro_Compras!$F$457="NOTA DE CREDITO"),"","1041")</f>
        <v/>
      </c>
      <c r="D4090" t="str">
        <f>IF(OR(Registro_Compras!$C$457="",Registro_Compras!$O$457=""),"","Efectivo y Equivalentes - Cta. Cte. Operativa")</f>
        <v/>
      </c>
      <c r="E4090" s="20" t="str">
        <f>""</f>
        <v/>
      </c>
      <c r="F4090" s="20" t="str">
        <f>IF($C4090="","",IF(Registro_Compras!$F$457="RHE",(ROUND(Registro_Compras!$L$457*Registro_Compras!$N$457,2)-ROUND(Registro_Compras!$V$457*Registro_Compras!$N$457,2)),ROUND(Registro_Compras!$O$457-Registro_Compras!$S$457,2)))</f>
        <v/>
      </c>
      <c r="G4090" t="str">
        <f>IF($C4090="","","Por la cancelacion del saldo al proveedor")</f>
        <v/>
      </c>
      <c r="H4090" t="str">
        <f>IF($C4090="","",Registro_Compras!$C$457)</f>
        <v/>
      </c>
    </row>
    <row r="4091" spans="1:8" x14ac:dyDescent="0.25">
      <c r="A4091" s="25" t="str">
        <f>IF($C4091="","",Registro_Compras!$B$458)</f>
        <v/>
      </c>
      <c r="B4091" t="str">
        <f>IF($C4091="","","C"&amp;TEXT(INT((ROW()-5)/9)+1,"000")&amp;"-1")</f>
        <v/>
      </c>
      <c r="C4091" t="str">
        <f>IF(OR(Registro_Compras!$C$458="",Registro_Compras!$O$458=""),"",IF(Registro_Compras!$F$458="NOTA DE CREDITO","4212",IF(Registro_Compras!$M$458="","63",Registro_Compras!$M$458)))</f>
        <v/>
      </c>
      <c r="D4091" t="str">
        <f>IF(OR(Registro_Compras!$C$458="",Registro_Compras!$O$458=""),"",IF(Registro_Compras!$F$458="NOTA DE CREDITO","Cuentas por Pagar Comerciales - Terceros (Emitidas)",IF(Registro_Compras!$F$458="RHE","Honorarios Profesionales - Servicios de Terceros","Gastos de Servicios Prestados por Terceros")))</f>
        <v/>
      </c>
      <c r="E4091" s="20" t="str">
        <f>IF($C4091="","",IF(Registro_Compras!$F$458="NOTA DE CREDITO",ABS(Registro_Compras!$O$458),IF(Registro_Compras!$F$458="RHE",ROUND(Registro_Compras!$L$458*Registro_Compras!$N$458,2),ROUND(Registro_Compras!$J$458*Registro_Compras!$N$458,2))))</f>
        <v/>
      </c>
      <c r="F4091" s="20" t="str">
        <f>""</f>
        <v/>
      </c>
      <c r="G4091" t="str">
        <f>IF($C4091="","",IF(Registro_Compras!$F$458="NOTA DE CREDITO","Por la nota de credito "&amp;Registro_Compras!$C$458&amp;" de "&amp;Registro_Compras!$E$458&amp;" [PATRON POR CONFIRMAR CON CONTADOR]",IF(Registro_Compras!$F$458="RHE","Por el registro del recibo por honorarios "&amp;Registro_Compras!$C$458&amp;" de "&amp;Registro_Compras!$E$458&amp;" [PATRON POR CONFIRMAR CON CONTADOR]","Por el registro de la factura "&amp;Registro_Compras!$C$458&amp;" de "&amp;Registro_Compras!$E$458)))</f>
        <v/>
      </c>
      <c r="H4091" t="str">
        <f>IF($C4091="","",Registro_Compras!$C$458)</f>
        <v/>
      </c>
    </row>
    <row r="4092" spans="1:8" x14ac:dyDescent="0.25">
      <c r="A4092" s="25" t="str">
        <f>IF($C4092="","",Registro_Compras!$B$458)</f>
        <v/>
      </c>
      <c r="B4092" t="str">
        <f>IF($C4092="","","C"&amp;TEXT(INT((ROW()-5)/9)+1,"000")&amp;"-1")</f>
        <v/>
      </c>
      <c r="C4092" t="str">
        <f>IF(OR(Registro_Compras!$C$458="",Registro_Compras!$O$458=""),"",IF(Registro_Compras!$F$458="RHE",IF(Registro_Compras!$V$458=0,"","4017"),IF(Registro_Compras!$F$458="NOTA DE CREDITO",IF(Registro_Compras!$M$458="","63",Registro_Compras!$M$458),IF(Registro_Compras!$K$458=0,"","40111"))))</f>
        <v/>
      </c>
      <c r="D4092" t="str">
        <f>IF(OR(Registro_Compras!$C$458="",Registro_Compras!$O$458=""),"",IF(Registro_Compras!$F$458="RHE","Retencion Renta 4ta Categoria por Pagar",IF(Registro_Compras!$F$458="NOTA DE CREDITO","Gastos de Servicios Prestados por Terceros","IGV - Cuenta Propia (Credito Fiscal)")))</f>
        <v/>
      </c>
      <c r="E4092" s="20" t="str">
        <f>IF($C4092="","",IF(Registro_Compras!$F$458="FACTURA",ROUND(Registro_Compras!$K$458*Registro_Compras!$N$458,2),""))</f>
        <v/>
      </c>
      <c r="F4092" s="20" t="str">
        <f>IF($C4092="","",IF(Registro_Compras!$F$458="RHE",ROUND(Registro_Compras!$V$458*Registro_Compras!$N$458,2),IF(Registro_Compras!$F$458="NOTA DE CREDITO",ROUND(ABS(Registro_Compras!$J$458*Registro_Compras!$N$458),2),"")))</f>
        <v/>
      </c>
      <c r="G4092" t="str">
        <f>IF($C4092="","",IF(Registro_Compras!$F$458="NOTA DE CREDITO","Por la nota de credito "&amp;Registro_Compras!$C$458&amp;" de "&amp;Registro_Compras!$E$458&amp;" [PATRON POR CONFIRMAR CON CONTADOR]",IF(Registro_Compras!$F$458="RHE","Por el registro del recibo por honorarios "&amp;Registro_Compras!$C$458&amp;" de "&amp;Registro_Compras!$E$458&amp;" [PATRON POR CONFIRMAR CON CONTADOR]","Por el registro de la factura "&amp;Registro_Compras!$C$458&amp;" de "&amp;Registro_Compras!$E$458)))</f>
        <v/>
      </c>
      <c r="H4092" t="str">
        <f>IF($C4092="","",Registro_Compras!$C$458)</f>
        <v/>
      </c>
    </row>
    <row r="4093" spans="1:8" x14ac:dyDescent="0.25">
      <c r="A4093" s="25" t="str">
        <f>IF($C4093="","",Registro_Compras!$B$458)</f>
        <v/>
      </c>
      <c r="B4093" t="str">
        <f>IF($C4093="","","C"&amp;TEXT(INT((ROW()-5)/9)+1,"000")&amp;"-1")</f>
        <v/>
      </c>
      <c r="C4093" t="str">
        <f>IF(OR(Registro_Compras!$C$458="",Registro_Compras!$O$458=""),"",IF(Registro_Compras!$F$458="NOTA DE CREDITO",IF(Registro_Compras!$K$458=0,"","40111"),"4212"))</f>
        <v/>
      </c>
      <c r="D4093" t="str">
        <f>IF(OR(Registro_Compras!$C$458="",Registro_Compras!$O$458=""),"",IF(Registro_Compras!$F$458="NOTA DE CREDITO","IGV - Cuenta Propia (Credito Fiscal)","Cuentas por Pagar Comerciales - Terceros (Emitidas)"))</f>
        <v/>
      </c>
      <c r="E4093" s="20" t="str">
        <f>""</f>
        <v/>
      </c>
      <c r="F4093" s="20" t="str">
        <f>IF($C4093="","",IF(Registro_Compras!$F$458="NOTA DE CREDITO",ROUND(ABS(Registro_Compras!$K$458*Registro_Compras!$N$458),2),IF(Registro_Compras!$F$458="RHE",(ROUND(Registro_Compras!$L$458*Registro_Compras!$N$458,2)-ROUND(Registro_Compras!$V$458*Registro_Compras!$N$458,2)),Registro_Compras!$O$458)))</f>
        <v/>
      </c>
      <c r="G4093" t="str">
        <f>IF($C4093="","",IF(Registro_Compras!$F$458="NOTA DE CREDITO","Por la nota de credito "&amp;Registro_Compras!$C$458&amp;" de "&amp;Registro_Compras!$E$458&amp;" [PATRON POR CONFIRMAR CON CONTADOR]",IF(Registro_Compras!$F$458="RHE","Por el registro del recibo por honorarios "&amp;Registro_Compras!$C$458&amp;" de "&amp;Registro_Compras!$E$458&amp;" [PATRON POR CONFIRMAR CON CONTADOR]","Por el registro de la factura "&amp;Registro_Compras!$C$458&amp;" de "&amp;Registro_Compras!$E$458)))</f>
        <v/>
      </c>
      <c r="H4093" t="str">
        <f>IF($C4093="","",Registro_Compras!$C$458)</f>
        <v/>
      </c>
    </row>
    <row r="4094" spans="1:8" x14ac:dyDescent="0.25">
      <c r="A4094" s="25" t="str">
        <f>IF($C4094="","",Registro_Compras!$B$458)</f>
        <v/>
      </c>
      <c r="B4094" t="str">
        <f>IF($C4094="","","C"&amp;TEXT(INT((ROW()-5)/9)+1,"000")&amp;"-2")</f>
        <v/>
      </c>
      <c r="C4094" t="str">
        <f>IF(OR(Registro_Compras!$C$458="",Registro_Compras!$O$458=""),"",IF(Registro_Compras!$AB$458="ADMINISTRATIVO","94","95"))</f>
        <v/>
      </c>
      <c r="D4094" t="str">
        <f>IF(OR(Registro_Compras!$C$458="",Registro_Compras!$O$458=""),"",IF(Registro_Compras!$AB$458="ADMINISTRATIVO","Gastos Administrativos","Gastos de Venta y Operacion"))</f>
        <v/>
      </c>
      <c r="E4094" s="20" t="str">
        <f>IF($C4094="","",IF(Registro_Compras!$F$458="NOTA DE CREDITO","",IF(Registro_Compras!$F$458="RHE",ROUND(Registro_Compras!$L$458*Registro_Compras!$N$458,2),ROUND(Registro_Compras!$J$458*Registro_Compras!$N$458,2))))</f>
        <v/>
      </c>
      <c r="F4094" s="20" t="str">
        <f>IF($C4094="","",IF(Registro_Compras!$F$458="NOTA DE CREDITO",ROUND(ABS(Registro_Compras!$J$458*Registro_Compras!$N$458),2),""))</f>
        <v/>
      </c>
      <c r="G4094" t="str">
        <f>IF($C4094="","","Por el destino del gasto")</f>
        <v/>
      </c>
      <c r="H4094" t="str">
        <f>IF($C4094="","",Registro_Compras!$C$458)</f>
        <v/>
      </c>
    </row>
    <row r="4095" spans="1:8" x14ac:dyDescent="0.25">
      <c r="A4095" s="25" t="str">
        <f>IF($C4095="","",Registro_Compras!$B$458)</f>
        <v/>
      </c>
      <c r="B4095" t="str">
        <f>IF($C4095="","","C"&amp;TEXT(INT((ROW()-5)/9)+1,"000")&amp;"-2")</f>
        <v/>
      </c>
      <c r="C4095" t="str">
        <f>IF(OR(Registro_Compras!$C$458="",Registro_Compras!$O$458=""),"","79/791")</f>
        <v/>
      </c>
      <c r="D4095" t="str">
        <f>IF(OR(Registro_Compras!$C$458="",Registro_Compras!$O$458=""),"","Cargas Imputables a Cuentas de Costos y Gastos")</f>
        <v/>
      </c>
      <c r="E4095" s="20" t="str">
        <f>IF($C4095="","",IF(Registro_Compras!$F$458="NOTA DE CREDITO",ROUND(ABS(Registro_Compras!$J$458*Registro_Compras!$N$458),2),""))</f>
        <v/>
      </c>
      <c r="F4095" s="20" t="str">
        <f>IF($C4095="","",IF(Registro_Compras!$F$458="NOTA DE CREDITO","",IF(Registro_Compras!$F$458="RHE",ROUND(Registro_Compras!$L$458*Registro_Compras!$N$458,2),ROUND(Registro_Compras!$J$458*Registro_Compras!$N$458,2))))</f>
        <v/>
      </c>
      <c r="G4095" t="str">
        <f>IF($C4095="","","Por el destino del gasto")</f>
        <v/>
      </c>
      <c r="H4095" t="str">
        <f>IF($C4095="","",Registro_Compras!$C$458)</f>
        <v/>
      </c>
    </row>
    <row r="4096" spans="1:8" x14ac:dyDescent="0.25">
      <c r="A4096" s="25" t="str">
        <f>IF($C4096="","",Registro_Compras!$X$458)</f>
        <v/>
      </c>
      <c r="B4096" t="str">
        <f>IF($C4096="","","C"&amp;TEXT(INT((ROW()-5)/9)+1,"000")&amp;"-3")</f>
        <v/>
      </c>
      <c r="C4096" t="str">
        <f>IF(OR(Registro_Compras!$C$458="",Registro_Compras!$O$458="",Registro_Compras!$R$458&lt;&gt;"SI",Registro_Compras!$X$458=""),"","4212")</f>
        <v/>
      </c>
      <c r="D4096" t="str">
        <f>IF(OR(Registro_Compras!$C$458="",Registro_Compras!$O$458=""),"","Cuentas por Pagar Comerciales - Terceros")</f>
        <v/>
      </c>
      <c r="E4096" s="20" t="str">
        <f>IF($C4096="","",Registro_Compras!$S$458)</f>
        <v/>
      </c>
      <c r="F4096" s="20" t="str">
        <f>""</f>
        <v/>
      </c>
      <c r="G4096" t="str">
        <f>IF($C4096="","","Por el deposito de la detraccion en el Banco de la Nacion")</f>
        <v/>
      </c>
      <c r="H4096" t="str">
        <f>IF($C4096="","",Registro_Compras!$C$458)</f>
        <v/>
      </c>
    </row>
    <row r="4097" spans="1:8" x14ac:dyDescent="0.25">
      <c r="A4097" s="25" t="str">
        <f>IF($C4097="","",Registro_Compras!$X$458)</f>
        <v/>
      </c>
      <c r="B4097" t="str">
        <f>IF($C4097="","","C"&amp;TEXT(INT((ROW()-5)/9)+1,"000")&amp;"-3")</f>
        <v/>
      </c>
      <c r="C4097" t="str">
        <f>IF(OR(Registro_Compras!$C$458="",Registro_Compras!$O$458="",Registro_Compras!$R$458&lt;&gt;"SI",Registro_Compras!$X$458=""),"","1041")</f>
        <v/>
      </c>
      <c r="D4097" t="str">
        <f>IF(OR(Registro_Compras!$C$458="",Registro_Compras!$O$458=""),"","Efectivo y Equivalentes - Cta. Cte. Operativa")</f>
        <v/>
      </c>
      <c r="E4097" s="20" t="str">
        <f>""</f>
        <v/>
      </c>
      <c r="F4097" s="20" t="str">
        <f>IF($C4097="","",Registro_Compras!$S$458)</f>
        <v/>
      </c>
      <c r="G4097" t="str">
        <f>IF($C4097="","","Por el deposito de la detraccion en el Banco de la Nacion")</f>
        <v/>
      </c>
      <c r="H4097" t="str">
        <f>IF($C4097="","",Registro_Compras!$C$458)</f>
        <v/>
      </c>
    </row>
    <row r="4098" spans="1:8" x14ac:dyDescent="0.25">
      <c r="A4098" s="25" t="str">
        <f>IF($C4098="","",Registro_Compras!$Y$458)</f>
        <v/>
      </c>
      <c r="B4098" t="str">
        <f>IF($C4098="","","C"&amp;TEXT(INT((ROW()-5)/9)+1,"000")&amp;"-4")</f>
        <v/>
      </c>
      <c r="C4098" t="str">
        <f>IF(OR(Registro_Compras!$C$458="",Registro_Compras!$O$458="",Registro_Compras!$Y$458="",Registro_Compras!$F$458="NOTA DE CREDITO"),"","4212")</f>
        <v/>
      </c>
      <c r="D4098" t="str">
        <f>IF(OR(Registro_Compras!$C$458="",Registro_Compras!$O$458=""),"","Cuentas por Pagar Comerciales - Terceros")</f>
        <v/>
      </c>
      <c r="E4098" s="20" t="str">
        <f>IF($C4098="","",IF(Registro_Compras!$F$458="RHE",(ROUND(Registro_Compras!$L$458*Registro_Compras!$N$458,2)-ROUND(Registro_Compras!$V$458*Registro_Compras!$N$458,2)),ROUND(Registro_Compras!$O$458-Registro_Compras!$S$458,2)))</f>
        <v/>
      </c>
      <c r="F4098" s="20" t="str">
        <f>""</f>
        <v/>
      </c>
      <c r="G4098" t="str">
        <f>IF($C4098="","","Por la cancelacion del saldo al proveedor")</f>
        <v/>
      </c>
      <c r="H4098" t="str">
        <f>IF($C4098="","",Registro_Compras!$C$458)</f>
        <v/>
      </c>
    </row>
    <row r="4099" spans="1:8" x14ac:dyDescent="0.25">
      <c r="A4099" s="25" t="str">
        <f>IF($C4099="","",Registro_Compras!$Y$458)</f>
        <v/>
      </c>
      <c r="B4099" t="str">
        <f>IF($C4099="","","C"&amp;TEXT(INT((ROW()-5)/9)+1,"000")&amp;"-4")</f>
        <v/>
      </c>
      <c r="C4099" t="str">
        <f>IF(OR(Registro_Compras!$C$458="",Registro_Compras!$O$458="",Registro_Compras!$Y$458="",Registro_Compras!$F$458="NOTA DE CREDITO"),"","1041")</f>
        <v/>
      </c>
      <c r="D4099" t="str">
        <f>IF(OR(Registro_Compras!$C$458="",Registro_Compras!$O$458=""),"","Efectivo y Equivalentes - Cta. Cte. Operativa")</f>
        <v/>
      </c>
      <c r="E4099" s="20" t="str">
        <f>""</f>
        <v/>
      </c>
      <c r="F4099" s="20" t="str">
        <f>IF($C4099="","",IF(Registro_Compras!$F$458="RHE",(ROUND(Registro_Compras!$L$458*Registro_Compras!$N$458,2)-ROUND(Registro_Compras!$V$458*Registro_Compras!$N$458,2)),ROUND(Registro_Compras!$O$458-Registro_Compras!$S$458,2)))</f>
        <v/>
      </c>
      <c r="G4099" t="str">
        <f>IF($C4099="","","Por la cancelacion del saldo al proveedor")</f>
        <v/>
      </c>
      <c r="H4099" t="str">
        <f>IF($C4099="","",Registro_Compras!$C$458)</f>
        <v/>
      </c>
    </row>
    <row r="4100" spans="1:8" x14ac:dyDescent="0.25">
      <c r="A4100" s="25" t="str">
        <f>IF($C4100="","",Registro_Compras!$B$459)</f>
        <v/>
      </c>
      <c r="B4100" t="str">
        <f>IF($C4100="","","C"&amp;TEXT(INT((ROW()-5)/9)+1,"000")&amp;"-1")</f>
        <v/>
      </c>
      <c r="C4100" t="str">
        <f>IF(OR(Registro_Compras!$C$459="",Registro_Compras!$O$459=""),"",IF(Registro_Compras!$F$459="NOTA DE CREDITO","4212",IF(Registro_Compras!$M$459="","63",Registro_Compras!$M$459)))</f>
        <v/>
      </c>
      <c r="D4100" t="str">
        <f>IF(OR(Registro_Compras!$C$459="",Registro_Compras!$O$459=""),"",IF(Registro_Compras!$F$459="NOTA DE CREDITO","Cuentas por Pagar Comerciales - Terceros (Emitidas)",IF(Registro_Compras!$F$459="RHE","Honorarios Profesionales - Servicios de Terceros","Gastos de Servicios Prestados por Terceros")))</f>
        <v/>
      </c>
      <c r="E4100" s="20" t="str">
        <f>IF($C4100="","",IF(Registro_Compras!$F$459="NOTA DE CREDITO",ABS(Registro_Compras!$O$459),IF(Registro_Compras!$F$459="RHE",ROUND(Registro_Compras!$L$459*Registro_Compras!$N$459,2),ROUND(Registro_Compras!$J$459*Registro_Compras!$N$459,2))))</f>
        <v/>
      </c>
      <c r="F4100" s="20" t="str">
        <f>""</f>
        <v/>
      </c>
      <c r="G4100" t="str">
        <f>IF($C4100="","",IF(Registro_Compras!$F$459="NOTA DE CREDITO","Por la nota de credito "&amp;Registro_Compras!$C$459&amp;" de "&amp;Registro_Compras!$E$459&amp;" [PATRON POR CONFIRMAR CON CONTADOR]",IF(Registro_Compras!$F$459="RHE","Por el registro del recibo por honorarios "&amp;Registro_Compras!$C$459&amp;" de "&amp;Registro_Compras!$E$459&amp;" [PATRON POR CONFIRMAR CON CONTADOR]","Por el registro de la factura "&amp;Registro_Compras!$C$459&amp;" de "&amp;Registro_Compras!$E$459)))</f>
        <v/>
      </c>
      <c r="H4100" t="str">
        <f>IF($C4100="","",Registro_Compras!$C$459)</f>
        <v/>
      </c>
    </row>
    <row r="4101" spans="1:8" x14ac:dyDescent="0.25">
      <c r="A4101" s="25" t="str">
        <f>IF($C4101="","",Registro_Compras!$B$459)</f>
        <v/>
      </c>
      <c r="B4101" t="str">
        <f>IF($C4101="","","C"&amp;TEXT(INT((ROW()-5)/9)+1,"000")&amp;"-1")</f>
        <v/>
      </c>
      <c r="C4101" t="str">
        <f>IF(OR(Registro_Compras!$C$459="",Registro_Compras!$O$459=""),"",IF(Registro_Compras!$F$459="RHE",IF(Registro_Compras!$V$459=0,"","4017"),IF(Registro_Compras!$F$459="NOTA DE CREDITO",IF(Registro_Compras!$M$459="","63",Registro_Compras!$M$459),IF(Registro_Compras!$K$459=0,"","40111"))))</f>
        <v/>
      </c>
      <c r="D4101" t="str">
        <f>IF(OR(Registro_Compras!$C$459="",Registro_Compras!$O$459=""),"",IF(Registro_Compras!$F$459="RHE","Retencion Renta 4ta Categoria por Pagar",IF(Registro_Compras!$F$459="NOTA DE CREDITO","Gastos de Servicios Prestados por Terceros","IGV - Cuenta Propia (Credito Fiscal)")))</f>
        <v/>
      </c>
      <c r="E4101" s="20" t="str">
        <f>IF($C4101="","",IF(Registro_Compras!$F$459="FACTURA",ROUND(Registro_Compras!$K$459*Registro_Compras!$N$459,2),""))</f>
        <v/>
      </c>
      <c r="F4101" s="20" t="str">
        <f>IF($C4101="","",IF(Registro_Compras!$F$459="RHE",ROUND(Registro_Compras!$V$459*Registro_Compras!$N$459,2),IF(Registro_Compras!$F$459="NOTA DE CREDITO",ROUND(ABS(Registro_Compras!$J$459*Registro_Compras!$N$459),2),"")))</f>
        <v/>
      </c>
      <c r="G4101" t="str">
        <f>IF($C4101="","",IF(Registro_Compras!$F$459="NOTA DE CREDITO","Por la nota de credito "&amp;Registro_Compras!$C$459&amp;" de "&amp;Registro_Compras!$E$459&amp;" [PATRON POR CONFIRMAR CON CONTADOR]",IF(Registro_Compras!$F$459="RHE","Por el registro del recibo por honorarios "&amp;Registro_Compras!$C$459&amp;" de "&amp;Registro_Compras!$E$459&amp;" [PATRON POR CONFIRMAR CON CONTADOR]","Por el registro de la factura "&amp;Registro_Compras!$C$459&amp;" de "&amp;Registro_Compras!$E$459)))</f>
        <v/>
      </c>
      <c r="H4101" t="str">
        <f>IF($C4101="","",Registro_Compras!$C$459)</f>
        <v/>
      </c>
    </row>
    <row r="4102" spans="1:8" x14ac:dyDescent="0.25">
      <c r="A4102" s="25" t="str">
        <f>IF($C4102="","",Registro_Compras!$B$459)</f>
        <v/>
      </c>
      <c r="B4102" t="str">
        <f>IF($C4102="","","C"&amp;TEXT(INT((ROW()-5)/9)+1,"000")&amp;"-1")</f>
        <v/>
      </c>
      <c r="C4102" t="str">
        <f>IF(OR(Registro_Compras!$C$459="",Registro_Compras!$O$459=""),"",IF(Registro_Compras!$F$459="NOTA DE CREDITO",IF(Registro_Compras!$K$459=0,"","40111"),"4212"))</f>
        <v/>
      </c>
      <c r="D4102" t="str">
        <f>IF(OR(Registro_Compras!$C$459="",Registro_Compras!$O$459=""),"",IF(Registro_Compras!$F$459="NOTA DE CREDITO","IGV - Cuenta Propia (Credito Fiscal)","Cuentas por Pagar Comerciales - Terceros (Emitidas)"))</f>
        <v/>
      </c>
      <c r="E4102" s="20" t="str">
        <f>""</f>
        <v/>
      </c>
      <c r="F4102" s="20" t="str">
        <f>IF($C4102="","",IF(Registro_Compras!$F$459="NOTA DE CREDITO",ROUND(ABS(Registro_Compras!$K$459*Registro_Compras!$N$459),2),IF(Registro_Compras!$F$459="RHE",(ROUND(Registro_Compras!$L$459*Registro_Compras!$N$459,2)-ROUND(Registro_Compras!$V$459*Registro_Compras!$N$459,2)),Registro_Compras!$O$459)))</f>
        <v/>
      </c>
      <c r="G4102" t="str">
        <f>IF($C4102="","",IF(Registro_Compras!$F$459="NOTA DE CREDITO","Por la nota de credito "&amp;Registro_Compras!$C$459&amp;" de "&amp;Registro_Compras!$E$459&amp;" [PATRON POR CONFIRMAR CON CONTADOR]",IF(Registro_Compras!$F$459="RHE","Por el registro del recibo por honorarios "&amp;Registro_Compras!$C$459&amp;" de "&amp;Registro_Compras!$E$459&amp;" [PATRON POR CONFIRMAR CON CONTADOR]","Por el registro de la factura "&amp;Registro_Compras!$C$459&amp;" de "&amp;Registro_Compras!$E$459)))</f>
        <v/>
      </c>
      <c r="H4102" t="str">
        <f>IF($C4102="","",Registro_Compras!$C$459)</f>
        <v/>
      </c>
    </row>
    <row r="4103" spans="1:8" x14ac:dyDescent="0.25">
      <c r="A4103" s="25" t="str">
        <f>IF($C4103="","",Registro_Compras!$B$459)</f>
        <v/>
      </c>
      <c r="B4103" t="str">
        <f>IF($C4103="","","C"&amp;TEXT(INT((ROW()-5)/9)+1,"000")&amp;"-2")</f>
        <v/>
      </c>
      <c r="C4103" t="str">
        <f>IF(OR(Registro_Compras!$C$459="",Registro_Compras!$O$459=""),"",IF(Registro_Compras!$AB$459="ADMINISTRATIVO","94","95"))</f>
        <v/>
      </c>
      <c r="D4103" t="str">
        <f>IF(OR(Registro_Compras!$C$459="",Registro_Compras!$O$459=""),"",IF(Registro_Compras!$AB$459="ADMINISTRATIVO","Gastos Administrativos","Gastos de Venta y Operacion"))</f>
        <v/>
      </c>
      <c r="E4103" s="20" t="str">
        <f>IF($C4103="","",IF(Registro_Compras!$F$459="NOTA DE CREDITO","",IF(Registro_Compras!$F$459="RHE",ROUND(Registro_Compras!$L$459*Registro_Compras!$N$459,2),ROUND(Registro_Compras!$J$459*Registro_Compras!$N$459,2))))</f>
        <v/>
      </c>
      <c r="F4103" s="20" t="str">
        <f>IF($C4103="","",IF(Registro_Compras!$F$459="NOTA DE CREDITO",ROUND(ABS(Registro_Compras!$J$459*Registro_Compras!$N$459),2),""))</f>
        <v/>
      </c>
      <c r="G4103" t="str">
        <f>IF($C4103="","","Por el destino del gasto")</f>
        <v/>
      </c>
      <c r="H4103" t="str">
        <f>IF($C4103="","",Registro_Compras!$C$459)</f>
        <v/>
      </c>
    </row>
    <row r="4104" spans="1:8" x14ac:dyDescent="0.25">
      <c r="A4104" s="25" t="str">
        <f>IF($C4104="","",Registro_Compras!$B$459)</f>
        <v/>
      </c>
      <c r="B4104" t="str">
        <f>IF($C4104="","","C"&amp;TEXT(INT((ROW()-5)/9)+1,"000")&amp;"-2")</f>
        <v/>
      </c>
      <c r="C4104" t="str">
        <f>IF(OR(Registro_Compras!$C$459="",Registro_Compras!$O$459=""),"","79/791")</f>
        <v/>
      </c>
      <c r="D4104" t="str">
        <f>IF(OR(Registro_Compras!$C$459="",Registro_Compras!$O$459=""),"","Cargas Imputables a Cuentas de Costos y Gastos")</f>
        <v/>
      </c>
      <c r="E4104" s="20" t="str">
        <f>IF($C4104="","",IF(Registro_Compras!$F$459="NOTA DE CREDITO",ROUND(ABS(Registro_Compras!$J$459*Registro_Compras!$N$459),2),""))</f>
        <v/>
      </c>
      <c r="F4104" s="20" t="str">
        <f>IF($C4104="","",IF(Registro_Compras!$F$459="NOTA DE CREDITO","",IF(Registro_Compras!$F$459="RHE",ROUND(Registro_Compras!$L$459*Registro_Compras!$N$459,2),ROUND(Registro_Compras!$J$459*Registro_Compras!$N$459,2))))</f>
        <v/>
      </c>
      <c r="G4104" t="str">
        <f>IF($C4104="","","Por el destino del gasto")</f>
        <v/>
      </c>
      <c r="H4104" t="str">
        <f>IF($C4104="","",Registro_Compras!$C$459)</f>
        <v/>
      </c>
    </row>
    <row r="4105" spans="1:8" x14ac:dyDescent="0.25">
      <c r="A4105" s="25" t="str">
        <f>IF($C4105="","",Registro_Compras!$X$459)</f>
        <v/>
      </c>
      <c r="B4105" t="str">
        <f>IF($C4105="","","C"&amp;TEXT(INT((ROW()-5)/9)+1,"000")&amp;"-3")</f>
        <v/>
      </c>
      <c r="C4105" t="str">
        <f>IF(OR(Registro_Compras!$C$459="",Registro_Compras!$O$459="",Registro_Compras!$R$459&lt;&gt;"SI",Registro_Compras!$X$459=""),"","4212")</f>
        <v/>
      </c>
      <c r="D4105" t="str">
        <f>IF(OR(Registro_Compras!$C$459="",Registro_Compras!$O$459=""),"","Cuentas por Pagar Comerciales - Terceros")</f>
        <v/>
      </c>
      <c r="E4105" s="20" t="str">
        <f>IF($C4105="","",Registro_Compras!$S$459)</f>
        <v/>
      </c>
      <c r="F4105" s="20" t="str">
        <f>""</f>
        <v/>
      </c>
      <c r="G4105" t="str">
        <f>IF($C4105="","","Por el deposito de la detraccion en el Banco de la Nacion")</f>
        <v/>
      </c>
      <c r="H4105" t="str">
        <f>IF($C4105="","",Registro_Compras!$C$459)</f>
        <v/>
      </c>
    </row>
    <row r="4106" spans="1:8" x14ac:dyDescent="0.25">
      <c r="A4106" s="25" t="str">
        <f>IF($C4106="","",Registro_Compras!$X$459)</f>
        <v/>
      </c>
      <c r="B4106" t="str">
        <f>IF($C4106="","","C"&amp;TEXT(INT((ROW()-5)/9)+1,"000")&amp;"-3")</f>
        <v/>
      </c>
      <c r="C4106" t="str">
        <f>IF(OR(Registro_Compras!$C$459="",Registro_Compras!$O$459="",Registro_Compras!$R$459&lt;&gt;"SI",Registro_Compras!$X$459=""),"","1041")</f>
        <v/>
      </c>
      <c r="D4106" t="str">
        <f>IF(OR(Registro_Compras!$C$459="",Registro_Compras!$O$459=""),"","Efectivo y Equivalentes - Cta. Cte. Operativa")</f>
        <v/>
      </c>
      <c r="E4106" s="20" t="str">
        <f>""</f>
        <v/>
      </c>
      <c r="F4106" s="20" t="str">
        <f>IF($C4106="","",Registro_Compras!$S$459)</f>
        <v/>
      </c>
      <c r="G4106" t="str">
        <f>IF($C4106="","","Por el deposito de la detraccion en el Banco de la Nacion")</f>
        <v/>
      </c>
      <c r="H4106" t="str">
        <f>IF($C4106="","",Registro_Compras!$C$459)</f>
        <v/>
      </c>
    </row>
    <row r="4107" spans="1:8" x14ac:dyDescent="0.25">
      <c r="A4107" s="25" t="str">
        <f>IF($C4107="","",Registro_Compras!$Y$459)</f>
        <v/>
      </c>
      <c r="B4107" t="str">
        <f>IF($C4107="","","C"&amp;TEXT(INT((ROW()-5)/9)+1,"000")&amp;"-4")</f>
        <v/>
      </c>
      <c r="C4107" t="str">
        <f>IF(OR(Registro_Compras!$C$459="",Registro_Compras!$O$459="",Registro_Compras!$Y$459="",Registro_Compras!$F$459="NOTA DE CREDITO"),"","4212")</f>
        <v/>
      </c>
      <c r="D4107" t="str">
        <f>IF(OR(Registro_Compras!$C$459="",Registro_Compras!$O$459=""),"","Cuentas por Pagar Comerciales - Terceros")</f>
        <v/>
      </c>
      <c r="E4107" s="20" t="str">
        <f>IF($C4107="","",IF(Registro_Compras!$F$459="RHE",(ROUND(Registro_Compras!$L$459*Registro_Compras!$N$459,2)-ROUND(Registro_Compras!$V$459*Registro_Compras!$N$459,2)),ROUND(Registro_Compras!$O$459-Registro_Compras!$S$459,2)))</f>
        <v/>
      </c>
      <c r="F4107" s="20" t="str">
        <f>""</f>
        <v/>
      </c>
      <c r="G4107" t="str">
        <f>IF($C4107="","","Por la cancelacion del saldo al proveedor")</f>
        <v/>
      </c>
      <c r="H4107" t="str">
        <f>IF($C4107="","",Registro_Compras!$C$459)</f>
        <v/>
      </c>
    </row>
    <row r="4108" spans="1:8" x14ac:dyDescent="0.25">
      <c r="A4108" s="25" t="str">
        <f>IF($C4108="","",Registro_Compras!$Y$459)</f>
        <v/>
      </c>
      <c r="B4108" t="str">
        <f>IF($C4108="","","C"&amp;TEXT(INT((ROW()-5)/9)+1,"000")&amp;"-4")</f>
        <v/>
      </c>
      <c r="C4108" t="str">
        <f>IF(OR(Registro_Compras!$C$459="",Registro_Compras!$O$459="",Registro_Compras!$Y$459="",Registro_Compras!$F$459="NOTA DE CREDITO"),"","1041")</f>
        <v/>
      </c>
      <c r="D4108" t="str">
        <f>IF(OR(Registro_Compras!$C$459="",Registro_Compras!$O$459=""),"","Efectivo y Equivalentes - Cta. Cte. Operativa")</f>
        <v/>
      </c>
      <c r="E4108" s="20" t="str">
        <f>""</f>
        <v/>
      </c>
      <c r="F4108" s="20" t="str">
        <f>IF($C4108="","",IF(Registro_Compras!$F$459="RHE",(ROUND(Registro_Compras!$L$459*Registro_Compras!$N$459,2)-ROUND(Registro_Compras!$V$459*Registro_Compras!$N$459,2)),ROUND(Registro_Compras!$O$459-Registro_Compras!$S$459,2)))</f>
        <v/>
      </c>
      <c r="G4108" t="str">
        <f>IF($C4108="","","Por la cancelacion del saldo al proveedor")</f>
        <v/>
      </c>
      <c r="H4108" t="str">
        <f>IF($C4108="","",Registro_Compras!$C$459)</f>
        <v/>
      </c>
    </row>
    <row r="4109" spans="1:8" x14ac:dyDescent="0.25">
      <c r="A4109" s="25" t="str">
        <f>IF($C4109="","",Registro_Compras!$B$460)</f>
        <v/>
      </c>
      <c r="B4109" t="str">
        <f>IF($C4109="","","C"&amp;TEXT(INT((ROW()-5)/9)+1,"000")&amp;"-1")</f>
        <v/>
      </c>
      <c r="C4109" t="str">
        <f>IF(OR(Registro_Compras!$C$460="",Registro_Compras!$O$460=""),"",IF(Registro_Compras!$F$460="NOTA DE CREDITO","4212",IF(Registro_Compras!$M$460="","63",Registro_Compras!$M$460)))</f>
        <v/>
      </c>
      <c r="D4109" t="str">
        <f>IF(OR(Registro_Compras!$C$460="",Registro_Compras!$O$460=""),"",IF(Registro_Compras!$F$460="NOTA DE CREDITO","Cuentas por Pagar Comerciales - Terceros (Emitidas)",IF(Registro_Compras!$F$460="RHE","Honorarios Profesionales - Servicios de Terceros","Gastos de Servicios Prestados por Terceros")))</f>
        <v/>
      </c>
      <c r="E4109" s="20" t="str">
        <f>IF($C4109="","",IF(Registro_Compras!$F$460="NOTA DE CREDITO",ABS(Registro_Compras!$O$460),IF(Registro_Compras!$F$460="RHE",ROUND(Registro_Compras!$L$460*Registro_Compras!$N$460,2),ROUND(Registro_Compras!$J$460*Registro_Compras!$N$460,2))))</f>
        <v/>
      </c>
      <c r="F4109" s="20" t="str">
        <f>""</f>
        <v/>
      </c>
      <c r="G4109" t="str">
        <f>IF($C4109="","",IF(Registro_Compras!$F$460="NOTA DE CREDITO","Por la nota de credito "&amp;Registro_Compras!$C$460&amp;" de "&amp;Registro_Compras!$E$460&amp;" [PATRON POR CONFIRMAR CON CONTADOR]",IF(Registro_Compras!$F$460="RHE","Por el registro del recibo por honorarios "&amp;Registro_Compras!$C$460&amp;" de "&amp;Registro_Compras!$E$460&amp;" [PATRON POR CONFIRMAR CON CONTADOR]","Por el registro de la factura "&amp;Registro_Compras!$C$460&amp;" de "&amp;Registro_Compras!$E$460)))</f>
        <v/>
      </c>
      <c r="H4109" t="str">
        <f>IF($C4109="","",Registro_Compras!$C$460)</f>
        <v/>
      </c>
    </row>
    <row r="4110" spans="1:8" x14ac:dyDescent="0.25">
      <c r="A4110" s="25" t="str">
        <f>IF($C4110="","",Registro_Compras!$B$460)</f>
        <v/>
      </c>
      <c r="B4110" t="str">
        <f>IF($C4110="","","C"&amp;TEXT(INT((ROW()-5)/9)+1,"000")&amp;"-1")</f>
        <v/>
      </c>
      <c r="C4110" t="str">
        <f>IF(OR(Registro_Compras!$C$460="",Registro_Compras!$O$460=""),"",IF(Registro_Compras!$F$460="RHE",IF(Registro_Compras!$V$460=0,"","4017"),IF(Registro_Compras!$F$460="NOTA DE CREDITO",IF(Registro_Compras!$M$460="","63",Registro_Compras!$M$460),IF(Registro_Compras!$K$460=0,"","40111"))))</f>
        <v/>
      </c>
      <c r="D4110" t="str">
        <f>IF(OR(Registro_Compras!$C$460="",Registro_Compras!$O$460=""),"",IF(Registro_Compras!$F$460="RHE","Retencion Renta 4ta Categoria por Pagar",IF(Registro_Compras!$F$460="NOTA DE CREDITO","Gastos de Servicios Prestados por Terceros","IGV - Cuenta Propia (Credito Fiscal)")))</f>
        <v/>
      </c>
      <c r="E4110" s="20" t="str">
        <f>IF($C4110="","",IF(Registro_Compras!$F$460="FACTURA",ROUND(Registro_Compras!$K$460*Registro_Compras!$N$460,2),""))</f>
        <v/>
      </c>
      <c r="F4110" s="20" t="str">
        <f>IF($C4110="","",IF(Registro_Compras!$F$460="RHE",ROUND(Registro_Compras!$V$460*Registro_Compras!$N$460,2),IF(Registro_Compras!$F$460="NOTA DE CREDITO",ROUND(ABS(Registro_Compras!$J$460*Registro_Compras!$N$460),2),"")))</f>
        <v/>
      </c>
      <c r="G4110" t="str">
        <f>IF($C4110="","",IF(Registro_Compras!$F$460="NOTA DE CREDITO","Por la nota de credito "&amp;Registro_Compras!$C$460&amp;" de "&amp;Registro_Compras!$E$460&amp;" [PATRON POR CONFIRMAR CON CONTADOR]",IF(Registro_Compras!$F$460="RHE","Por el registro del recibo por honorarios "&amp;Registro_Compras!$C$460&amp;" de "&amp;Registro_Compras!$E$460&amp;" [PATRON POR CONFIRMAR CON CONTADOR]","Por el registro de la factura "&amp;Registro_Compras!$C$460&amp;" de "&amp;Registro_Compras!$E$460)))</f>
        <v/>
      </c>
      <c r="H4110" t="str">
        <f>IF($C4110="","",Registro_Compras!$C$460)</f>
        <v/>
      </c>
    </row>
    <row r="4111" spans="1:8" x14ac:dyDescent="0.25">
      <c r="A4111" s="25" t="str">
        <f>IF($C4111="","",Registro_Compras!$B$460)</f>
        <v/>
      </c>
      <c r="B4111" t="str">
        <f>IF($C4111="","","C"&amp;TEXT(INT((ROW()-5)/9)+1,"000")&amp;"-1")</f>
        <v/>
      </c>
      <c r="C4111" t="str">
        <f>IF(OR(Registro_Compras!$C$460="",Registro_Compras!$O$460=""),"",IF(Registro_Compras!$F$460="NOTA DE CREDITO",IF(Registro_Compras!$K$460=0,"","40111"),"4212"))</f>
        <v/>
      </c>
      <c r="D4111" t="str">
        <f>IF(OR(Registro_Compras!$C$460="",Registro_Compras!$O$460=""),"",IF(Registro_Compras!$F$460="NOTA DE CREDITO","IGV - Cuenta Propia (Credito Fiscal)","Cuentas por Pagar Comerciales - Terceros (Emitidas)"))</f>
        <v/>
      </c>
      <c r="E4111" s="20" t="str">
        <f>""</f>
        <v/>
      </c>
      <c r="F4111" s="20" t="str">
        <f>IF($C4111="","",IF(Registro_Compras!$F$460="NOTA DE CREDITO",ROUND(ABS(Registro_Compras!$K$460*Registro_Compras!$N$460),2),IF(Registro_Compras!$F$460="RHE",(ROUND(Registro_Compras!$L$460*Registro_Compras!$N$460,2)-ROUND(Registro_Compras!$V$460*Registro_Compras!$N$460,2)),Registro_Compras!$O$460)))</f>
        <v/>
      </c>
      <c r="G4111" t="str">
        <f>IF($C4111="","",IF(Registro_Compras!$F$460="NOTA DE CREDITO","Por la nota de credito "&amp;Registro_Compras!$C$460&amp;" de "&amp;Registro_Compras!$E$460&amp;" [PATRON POR CONFIRMAR CON CONTADOR]",IF(Registro_Compras!$F$460="RHE","Por el registro del recibo por honorarios "&amp;Registro_Compras!$C$460&amp;" de "&amp;Registro_Compras!$E$460&amp;" [PATRON POR CONFIRMAR CON CONTADOR]","Por el registro de la factura "&amp;Registro_Compras!$C$460&amp;" de "&amp;Registro_Compras!$E$460)))</f>
        <v/>
      </c>
      <c r="H4111" t="str">
        <f>IF($C4111="","",Registro_Compras!$C$460)</f>
        <v/>
      </c>
    </row>
    <row r="4112" spans="1:8" x14ac:dyDescent="0.25">
      <c r="A4112" s="25" t="str">
        <f>IF($C4112="","",Registro_Compras!$B$460)</f>
        <v/>
      </c>
      <c r="B4112" t="str">
        <f>IF($C4112="","","C"&amp;TEXT(INT((ROW()-5)/9)+1,"000")&amp;"-2")</f>
        <v/>
      </c>
      <c r="C4112" t="str">
        <f>IF(OR(Registro_Compras!$C$460="",Registro_Compras!$O$460=""),"",IF(Registro_Compras!$AB$460="ADMINISTRATIVO","94","95"))</f>
        <v/>
      </c>
      <c r="D4112" t="str">
        <f>IF(OR(Registro_Compras!$C$460="",Registro_Compras!$O$460=""),"",IF(Registro_Compras!$AB$460="ADMINISTRATIVO","Gastos Administrativos","Gastos de Venta y Operacion"))</f>
        <v/>
      </c>
      <c r="E4112" s="20" t="str">
        <f>IF($C4112="","",IF(Registro_Compras!$F$460="NOTA DE CREDITO","",IF(Registro_Compras!$F$460="RHE",ROUND(Registro_Compras!$L$460*Registro_Compras!$N$460,2),ROUND(Registro_Compras!$J$460*Registro_Compras!$N$460,2))))</f>
        <v/>
      </c>
      <c r="F4112" s="20" t="str">
        <f>IF($C4112="","",IF(Registro_Compras!$F$460="NOTA DE CREDITO",ROUND(ABS(Registro_Compras!$J$460*Registro_Compras!$N$460),2),""))</f>
        <v/>
      </c>
      <c r="G4112" t="str">
        <f>IF($C4112="","","Por el destino del gasto")</f>
        <v/>
      </c>
      <c r="H4112" t="str">
        <f>IF($C4112="","",Registro_Compras!$C$460)</f>
        <v/>
      </c>
    </row>
    <row r="4113" spans="1:8" x14ac:dyDescent="0.25">
      <c r="A4113" s="25" t="str">
        <f>IF($C4113="","",Registro_Compras!$B$460)</f>
        <v/>
      </c>
      <c r="B4113" t="str">
        <f>IF($C4113="","","C"&amp;TEXT(INT((ROW()-5)/9)+1,"000")&amp;"-2")</f>
        <v/>
      </c>
      <c r="C4113" t="str">
        <f>IF(OR(Registro_Compras!$C$460="",Registro_Compras!$O$460=""),"","79/791")</f>
        <v/>
      </c>
      <c r="D4113" t="str">
        <f>IF(OR(Registro_Compras!$C$460="",Registro_Compras!$O$460=""),"","Cargas Imputables a Cuentas de Costos y Gastos")</f>
        <v/>
      </c>
      <c r="E4113" s="20" t="str">
        <f>IF($C4113="","",IF(Registro_Compras!$F$460="NOTA DE CREDITO",ROUND(ABS(Registro_Compras!$J$460*Registro_Compras!$N$460),2),""))</f>
        <v/>
      </c>
      <c r="F4113" s="20" t="str">
        <f>IF($C4113="","",IF(Registro_Compras!$F$460="NOTA DE CREDITO","",IF(Registro_Compras!$F$460="RHE",ROUND(Registro_Compras!$L$460*Registro_Compras!$N$460,2),ROUND(Registro_Compras!$J$460*Registro_Compras!$N$460,2))))</f>
        <v/>
      </c>
      <c r="G4113" t="str">
        <f>IF($C4113="","","Por el destino del gasto")</f>
        <v/>
      </c>
      <c r="H4113" t="str">
        <f>IF($C4113="","",Registro_Compras!$C$460)</f>
        <v/>
      </c>
    </row>
    <row r="4114" spans="1:8" x14ac:dyDescent="0.25">
      <c r="A4114" s="25" t="str">
        <f>IF($C4114="","",Registro_Compras!$X$460)</f>
        <v/>
      </c>
      <c r="B4114" t="str">
        <f>IF($C4114="","","C"&amp;TEXT(INT((ROW()-5)/9)+1,"000")&amp;"-3")</f>
        <v/>
      </c>
      <c r="C4114" t="str">
        <f>IF(OR(Registro_Compras!$C$460="",Registro_Compras!$O$460="",Registro_Compras!$R$460&lt;&gt;"SI",Registro_Compras!$X$460=""),"","4212")</f>
        <v/>
      </c>
      <c r="D4114" t="str">
        <f>IF(OR(Registro_Compras!$C$460="",Registro_Compras!$O$460=""),"","Cuentas por Pagar Comerciales - Terceros")</f>
        <v/>
      </c>
      <c r="E4114" s="20" t="str">
        <f>IF($C4114="","",Registro_Compras!$S$460)</f>
        <v/>
      </c>
      <c r="F4114" s="20" t="str">
        <f>""</f>
        <v/>
      </c>
      <c r="G4114" t="str">
        <f>IF($C4114="","","Por el deposito de la detraccion en el Banco de la Nacion")</f>
        <v/>
      </c>
      <c r="H4114" t="str">
        <f>IF($C4114="","",Registro_Compras!$C$460)</f>
        <v/>
      </c>
    </row>
    <row r="4115" spans="1:8" x14ac:dyDescent="0.25">
      <c r="A4115" s="25" t="str">
        <f>IF($C4115="","",Registro_Compras!$X$460)</f>
        <v/>
      </c>
      <c r="B4115" t="str">
        <f>IF($C4115="","","C"&amp;TEXT(INT((ROW()-5)/9)+1,"000")&amp;"-3")</f>
        <v/>
      </c>
      <c r="C4115" t="str">
        <f>IF(OR(Registro_Compras!$C$460="",Registro_Compras!$O$460="",Registro_Compras!$R$460&lt;&gt;"SI",Registro_Compras!$X$460=""),"","1041")</f>
        <v/>
      </c>
      <c r="D4115" t="str">
        <f>IF(OR(Registro_Compras!$C$460="",Registro_Compras!$O$460=""),"","Efectivo y Equivalentes - Cta. Cte. Operativa")</f>
        <v/>
      </c>
      <c r="E4115" s="20" t="str">
        <f>""</f>
        <v/>
      </c>
      <c r="F4115" s="20" t="str">
        <f>IF($C4115="","",Registro_Compras!$S$460)</f>
        <v/>
      </c>
      <c r="G4115" t="str">
        <f>IF($C4115="","","Por el deposito de la detraccion en el Banco de la Nacion")</f>
        <v/>
      </c>
      <c r="H4115" t="str">
        <f>IF($C4115="","",Registro_Compras!$C$460)</f>
        <v/>
      </c>
    </row>
    <row r="4116" spans="1:8" x14ac:dyDescent="0.25">
      <c r="A4116" s="25" t="str">
        <f>IF($C4116="","",Registro_Compras!$Y$460)</f>
        <v/>
      </c>
      <c r="B4116" t="str">
        <f>IF($C4116="","","C"&amp;TEXT(INT((ROW()-5)/9)+1,"000")&amp;"-4")</f>
        <v/>
      </c>
      <c r="C4116" t="str">
        <f>IF(OR(Registro_Compras!$C$460="",Registro_Compras!$O$460="",Registro_Compras!$Y$460="",Registro_Compras!$F$460="NOTA DE CREDITO"),"","4212")</f>
        <v/>
      </c>
      <c r="D4116" t="str">
        <f>IF(OR(Registro_Compras!$C$460="",Registro_Compras!$O$460=""),"","Cuentas por Pagar Comerciales - Terceros")</f>
        <v/>
      </c>
      <c r="E4116" s="20" t="str">
        <f>IF($C4116="","",IF(Registro_Compras!$F$460="RHE",(ROUND(Registro_Compras!$L$460*Registro_Compras!$N$460,2)-ROUND(Registro_Compras!$V$460*Registro_Compras!$N$460,2)),ROUND(Registro_Compras!$O$460-Registro_Compras!$S$460,2)))</f>
        <v/>
      </c>
      <c r="F4116" s="20" t="str">
        <f>""</f>
        <v/>
      </c>
      <c r="G4116" t="str">
        <f>IF($C4116="","","Por la cancelacion del saldo al proveedor")</f>
        <v/>
      </c>
      <c r="H4116" t="str">
        <f>IF($C4116="","",Registro_Compras!$C$460)</f>
        <v/>
      </c>
    </row>
    <row r="4117" spans="1:8" x14ac:dyDescent="0.25">
      <c r="A4117" s="25" t="str">
        <f>IF($C4117="","",Registro_Compras!$Y$460)</f>
        <v/>
      </c>
      <c r="B4117" t="str">
        <f>IF($C4117="","","C"&amp;TEXT(INT((ROW()-5)/9)+1,"000")&amp;"-4")</f>
        <v/>
      </c>
      <c r="C4117" t="str">
        <f>IF(OR(Registro_Compras!$C$460="",Registro_Compras!$O$460="",Registro_Compras!$Y$460="",Registro_Compras!$F$460="NOTA DE CREDITO"),"","1041")</f>
        <v/>
      </c>
      <c r="D4117" t="str">
        <f>IF(OR(Registro_Compras!$C$460="",Registro_Compras!$O$460=""),"","Efectivo y Equivalentes - Cta. Cte. Operativa")</f>
        <v/>
      </c>
      <c r="E4117" s="20" t="str">
        <f>""</f>
        <v/>
      </c>
      <c r="F4117" s="20" t="str">
        <f>IF($C4117="","",IF(Registro_Compras!$F$460="RHE",(ROUND(Registro_Compras!$L$460*Registro_Compras!$N$460,2)-ROUND(Registro_Compras!$V$460*Registro_Compras!$N$460,2)),ROUND(Registro_Compras!$O$460-Registro_Compras!$S$460,2)))</f>
        <v/>
      </c>
      <c r="G4117" t="str">
        <f>IF($C4117="","","Por la cancelacion del saldo al proveedor")</f>
        <v/>
      </c>
      <c r="H4117" t="str">
        <f>IF($C4117="","",Registro_Compras!$C$460)</f>
        <v/>
      </c>
    </row>
    <row r="4118" spans="1:8" x14ac:dyDescent="0.25">
      <c r="A4118" s="25" t="str">
        <f>IF($C4118="","",Registro_Compras!$B$461)</f>
        <v/>
      </c>
      <c r="B4118" t="str">
        <f>IF($C4118="","","C"&amp;TEXT(INT((ROW()-5)/9)+1,"000")&amp;"-1")</f>
        <v/>
      </c>
      <c r="C4118" t="str">
        <f>IF(OR(Registro_Compras!$C$461="",Registro_Compras!$O$461=""),"",IF(Registro_Compras!$F$461="NOTA DE CREDITO","4212",IF(Registro_Compras!$M$461="","63",Registro_Compras!$M$461)))</f>
        <v/>
      </c>
      <c r="D4118" t="str">
        <f>IF(OR(Registro_Compras!$C$461="",Registro_Compras!$O$461=""),"",IF(Registro_Compras!$F$461="NOTA DE CREDITO","Cuentas por Pagar Comerciales - Terceros (Emitidas)",IF(Registro_Compras!$F$461="RHE","Honorarios Profesionales - Servicios de Terceros","Gastos de Servicios Prestados por Terceros")))</f>
        <v/>
      </c>
      <c r="E4118" s="20" t="str">
        <f>IF($C4118="","",IF(Registro_Compras!$F$461="NOTA DE CREDITO",ABS(Registro_Compras!$O$461),IF(Registro_Compras!$F$461="RHE",ROUND(Registro_Compras!$L$461*Registro_Compras!$N$461,2),ROUND(Registro_Compras!$J$461*Registro_Compras!$N$461,2))))</f>
        <v/>
      </c>
      <c r="F4118" s="20" t="str">
        <f>""</f>
        <v/>
      </c>
      <c r="G4118" t="str">
        <f>IF($C4118="","",IF(Registro_Compras!$F$461="NOTA DE CREDITO","Por la nota de credito "&amp;Registro_Compras!$C$461&amp;" de "&amp;Registro_Compras!$E$461&amp;" [PATRON POR CONFIRMAR CON CONTADOR]",IF(Registro_Compras!$F$461="RHE","Por el registro del recibo por honorarios "&amp;Registro_Compras!$C$461&amp;" de "&amp;Registro_Compras!$E$461&amp;" [PATRON POR CONFIRMAR CON CONTADOR]","Por el registro de la factura "&amp;Registro_Compras!$C$461&amp;" de "&amp;Registro_Compras!$E$461)))</f>
        <v/>
      </c>
      <c r="H4118" t="str">
        <f>IF($C4118="","",Registro_Compras!$C$461)</f>
        <v/>
      </c>
    </row>
    <row r="4119" spans="1:8" x14ac:dyDescent="0.25">
      <c r="A4119" s="25" t="str">
        <f>IF($C4119="","",Registro_Compras!$B$461)</f>
        <v/>
      </c>
      <c r="B4119" t="str">
        <f>IF($C4119="","","C"&amp;TEXT(INT((ROW()-5)/9)+1,"000")&amp;"-1")</f>
        <v/>
      </c>
      <c r="C4119" t="str">
        <f>IF(OR(Registro_Compras!$C$461="",Registro_Compras!$O$461=""),"",IF(Registro_Compras!$F$461="RHE",IF(Registro_Compras!$V$461=0,"","4017"),IF(Registro_Compras!$F$461="NOTA DE CREDITO",IF(Registro_Compras!$M$461="","63",Registro_Compras!$M$461),IF(Registro_Compras!$K$461=0,"","40111"))))</f>
        <v/>
      </c>
      <c r="D4119" t="str">
        <f>IF(OR(Registro_Compras!$C$461="",Registro_Compras!$O$461=""),"",IF(Registro_Compras!$F$461="RHE","Retencion Renta 4ta Categoria por Pagar",IF(Registro_Compras!$F$461="NOTA DE CREDITO","Gastos de Servicios Prestados por Terceros","IGV - Cuenta Propia (Credito Fiscal)")))</f>
        <v/>
      </c>
      <c r="E4119" s="20" t="str">
        <f>IF($C4119="","",IF(Registro_Compras!$F$461="FACTURA",ROUND(Registro_Compras!$K$461*Registro_Compras!$N$461,2),""))</f>
        <v/>
      </c>
      <c r="F4119" s="20" t="str">
        <f>IF($C4119="","",IF(Registro_Compras!$F$461="RHE",ROUND(Registro_Compras!$V$461*Registro_Compras!$N$461,2),IF(Registro_Compras!$F$461="NOTA DE CREDITO",ROUND(ABS(Registro_Compras!$J$461*Registro_Compras!$N$461),2),"")))</f>
        <v/>
      </c>
      <c r="G4119" t="str">
        <f>IF($C4119="","",IF(Registro_Compras!$F$461="NOTA DE CREDITO","Por la nota de credito "&amp;Registro_Compras!$C$461&amp;" de "&amp;Registro_Compras!$E$461&amp;" [PATRON POR CONFIRMAR CON CONTADOR]",IF(Registro_Compras!$F$461="RHE","Por el registro del recibo por honorarios "&amp;Registro_Compras!$C$461&amp;" de "&amp;Registro_Compras!$E$461&amp;" [PATRON POR CONFIRMAR CON CONTADOR]","Por el registro de la factura "&amp;Registro_Compras!$C$461&amp;" de "&amp;Registro_Compras!$E$461)))</f>
        <v/>
      </c>
      <c r="H4119" t="str">
        <f>IF($C4119="","",Registro_Compras!$C$461)</f>
        <v/>
      </c>
    </row>
    <row r="4120" spans="1:8" x14ac:dyDescent="0.25">
      <c r="A4120" s="25" t="str">
        <f>IF($C4120="","",Registro_Compras!$B$461)</f>
        <v/>
      </c>
      <c r="B4120" t="str">
        <f>IF($C4120="","","C"&amp;TEXT(INT((ROW()-5)/9)+1,"000")&amp;"-1")</f>
        <v/>
      </c>
      <c r="C4120" t="str">
        <f>IF(OR(Registro_Compras!$C$461="",Registro_Compras!$O$461=""),"",IF(Registro_Compras!$F$461="NOTA DE CREDITO",IF(Registro_Compras!$K$461=0,"","40111"),"4212"))</f>
        <v/>
      </c>
      <c r="D4120" t="str">
        <f>IF(OR(Registro_Compras!$C$461="",Registro_Compras!$O$461=""),"",IF(Registro_Compras!$F$461="NOTA DE CREDITO","IGV - Cuenta Propia (Credito Fiscal)","Cuentas por Pagar Comerciales - Terceros (Emitidas)"))</f>
        <v/>
      </c>
      <c r="E4120" s="20" t="str">
        <f>""</f>
        <v/>
      </c>
      <c r="F4120" s="20" t="str">
        <f>IF($C4120="","",IF(Registro_Compras!$F$461="NOTA DE CREDITO",ROUND(ABS(Registro_Compras!$K$461*Registro_Compras!$N$461),2),IF(Registro_Compras!$F$461="RHE",(ROUND(Registro_Compras!$L$461*Registro_Compras!$N$461,2)-ROUND(Registro_Compras!$V$461*Registro_Compras!$N$461,2)),Registro_Compras!$O$461)))</f>
        <v/>
      </c>
      <c r="G4120" t="str">
        <f>IF($C4120="","",IF(Registro_Compras!$F$461="NOTA DE CREDITO","Por la nota de credito "&amp;Registro_Compras!$C$461&amp;" de "&amp;Registro_Compras!$E$461&amp;" [PATRON POR CONFIRMAR CON CONTADOR]",IF(Registro_Compras!$F$461="RHE","Por el registro del recibo por honorarios "&amp;Registro_Compras!$C$461&amp;" de "&amp;Registro_Compras!$E$461&amp;" [PATRON POR CONFIRMAR CON CONTADOR]","Por el registro de la factura "&amp;Registro_Compras!$C$461&amp;" de "&amp;Registro_Compras!$E$461)))</f>
        <v/>
      </c>
      <c r="H4120" t="str">
        <f>IF($C4120="","",Registro_Compras!$C$461)</f>
        <v/>
      </c>
    </row>
    <row r="4121" spans="1:8" x14ac:dyDescent="0.25">
      <c r="A4121" s="25" t="str">
        <f>IF($C4121="","",Registro_Compras!$B$461)</f>
        <v/>
      </c>
      <c r="B4121" t="str">
        <f>IF($C4121="","","C"&amp;TEXT(INT((ROW()-5)/9)+1,"000")&amp;"-2")</f>
        <v/>
      </c>
      <c r="C4121" t="str">
        <f>IF(OR(Registro_Compras!$C$461="",Registro_Compras!$O$461=""),"",IF(Registro_Compras!$AB$461="ADMINISTRATIVO","94","95"))</f>
        <v/>
      </c>
      <c r="D4121" t="str">
        <f>IF(OR(Registro_Compras!$C$461="",Registro_Compras!$O$461=""),"",IF(Registro_Compras!$AB$461="ADMINISTRATIVO","Gastos Administrativos","Gastos de Venta y Operacion"))</f>
        <v/>
      </c>
      <c r="E4121" s="20" t="str">
        <f>IF($C4121="","",IF(Registro_Compras!$F$461="NOTA DE CREDITO","",IF(Registro_Compras!$F$461="RHE",ROUND(Registro_Compras!$L$461*Registro_Compras!$N$461,2),ROUND(Registro_Compras!$J$461*Registro_Compras!$N$461,2))))</f>
        <v/>
      </c>
      <c r="F4121" s="20" t="str">
        <f>IF($C4121="","",IF(Registro_Compras!$F$461="NOTA DE CREDITO",ROUND(ABS(Registro_Compras!$J$461*Registro_Compras!$N$461),2),""))</f>
        <v/>
      </c>
      <c r="G4121" t="str">
        <f>IF($C4121="","","Por el destino del gasto")</f>
        <v/>
      </c>
      <c r="H4121" t="str">
        <f>IF($C4121="","",Registro_Compras!$C$461)</f>
        <v/>
      </c>
    </row>
    <row r="4122" spans="1:8" x14ac:dyDescent="0.25">
      <c r="A4122" s="25" t="str">
        <f>IF($C4122="","",Registro_Compras!$B$461)</f>
        <v/>
      </c>
      <c r="B4122" t="str">
        <f>IF($C4122="","","C"&amp;TEXT(INT((ROW()-5)/9)+1,"000")&amp;"-2")</f>
        <v/>
      </c>
      <c r="C4122" t="str">
        <f>IF(OR(Registro_Compras!$C$461="",Registro_Compras!$O$461=""),"","79/791")</f>
        <v/>
      </c>
      <c r="D4122" t="str">
        <f>IF(OR(Registro_Compras!$C$461="",Registro_Compras!$O$461=""),"","Cargas Imputables a Cuentas de Costos y Gastos")</f>
        <v/>
      </c>
      <c r="E4122" s="20" t="str">
        <f>IF($C4122="","",IF(Registro_Compras!$F$461="NOTA DE CREDITO",ROUND(ABS(Registro_Compras!$J$461*Registro_Compras!$N$461),2),""))</f>
        <v/>
      </c>
      <c r="F4122" s="20" t="str">
        <f>IF($C4122="","",IF(Registro_Compras!$F$461="NOTA DE CREDITO","",IF(Registro_Compras!$F$461="RHE",ROUND(Registro_Compras!$L$461*Registro_Compras!$N$461,2),ROUND(Registro_Compras!$J$461*Registro_Compras!$N$461,2))))</f>
        <v/>
      </c>
      <c r="G4122" t="str">
        <f>IF($C4122="","","Por el destino del gasto")</f>
        <v/>
      </c>
      <c r="H4122" t="str">
        <f>IF($C4122="","",Registro_Compras!$C$461)</f>
        <v/>
      </c>
    </row>
    <row r="4123" spans="1:8" x14ac:dyDescent="0.25">
      <c r="A4123" s="25" t="str">
        <f>IF($C4123="","",Registro_Compras!$X$461)</f>
        <v/>
      </c>
      <c r="B4123" t="str">
        <f>IF($C4123="","","C"&amp;TEXT(INT((ROW()-5)/9)+1,"000")&amp;"-3")</f>
        <v/>
      </c>
      <c r="C4123" t="str">
        <f>IF(OR(Registro_Compras!$C$461="",Registro_Compras!$O$461="",Registro_Compras!$R$461&lt;&gt;"SI",Registro_Compras!$X$461=""),"","4212")</f>
        <v/>
      </c>
      <c r="D4123" t="str">
        <f>IF(OR(Registro_Compras!$C$461="",Registro_Compras!$O$461=""),"","Cuentas por Pagar Comerciales - Terceros")</f>
        <v/>
      </c>
      <c r="E4123" s="20" t="str">
        <f>IF($C4123="","",Registro_Compras!$S$461)</f>
        <v/>
      </c>
      <c r="F4123" s="20" t="str">
        <f>""</f>
        <v/>
      </c>
      <c r="G4123" t="str">
        <f>IF($C4123="","","Por el deposito de la detraccion en el Banco de la Nacion")</f>
        <v/>
      </c>
      <c r="H4123" t="str">
        <f>IF($C4123="","",Registro_Compras!$C$461)</f>
        <v/>
      </c>
    </row>
    <row r="4124" spans="1:8" x14ac:dyDescent="0.25">
      <c r="A4124" s="25" t="str">
        <f>IF($C4124="","",Registro_Compras!$X$461)</f>
        <v/>
      </c>
      <c r="B4124" t="str">
        <f>IF($C4124="","","C"&amp;TEXT(INT((ROW()-5)/9)+1,"000")&amp;"-3")</f>
        <v/>
      </c>
      <c r="C4124" t="str">
        <f>IF(OR(Registro_Compras!$C$461="",Registro_Compras!$O$461="",Registro_Compras!$R$461&lt;&gt;"SI",Registro_Compras!$X$461=""),"","1041")</f>
        <v/>
      </c>
      <c r="D4124" t="str">
        <f>IF(OR(Registro_Compras!$C$461="",Registro_Compras!$O$461=""),"","Efectivo y Equivalentes - Cta. Cte. Operativa")</f>
        <v/>
      </c>
      <c r="E4124" s="20" t="str">
        <f>""</f>
        <v/>
      </c>
      <c r="F4124" s="20" t="str">
        <f>IF($C4124="","",Registro_Compras!$S$461)</f>
        <v/>
      </c>
      <c r="G4124" t="str">
        <f>IF($C4124="","","Por el deposito de la detraccion en el Banco de la Nacion")</f>
        <v/>
      </c>
      <c r="H4124" t="str">
        <f>IF($C4124="","",Registro_Compras!$C$461)</f>
        <v/>
      </c>
    </row>
    <row r="4125" spans="1:8" x14ac:dyDescent="0.25">
      <c r="A4125" s="25" t="str">
        <f>IF($C4125="","",Registro_Compras!$Y$461)</f>
        <v/>
      </c>
      <c r="B4125" t="str">
        <f>IF($C4125="","","C"&amp;TEXT(INT((ROW()-5)/9)+1,"000")&amp;"-4")</f>
        <v/>
      </c>
      <c r="C4125" t="str">
        <f>IF(OR(Registro_Compras!$C$461="",Registro_Compras!$O$461="",Registro_Compras!$Y$461="",Registro_Compras!$F$461="NOTA DE CREDITO"),"","4212")</f>
        <v/>
      </c>
      <c r="D4125" t="str">
        <f>IF(OR(Registro_Compras!$C$461="",Registro_Compras!$O$461=""),"","Cuentas por Pagar Comerciales - Terceros")</f>
        <v/>
      </c>
      <c r="E4125" s="20" t="str">
        <f>IF($C4125="","",IF(Registro_Compras!$F$461="RHE",(ROUND(Registro_Compras!$L$461*Registro_Compras!$N$461,2)-ROUND(Registro_Compras!$V$461*Registro_Compras!$N$461,2)),ROUND(Registro_Compras!$O$461-Registro_Compras!$S$461,2)))</f>
        <v/>
      </c>
      <c r="F4125" s="20" t="str">
        <f>""</f>
        <v/>
      </c>
      <c r="G4125" t="str">
        <f>IF($C4125="","","Por la cancelacion del saldo al proveedor")</f>
        <v/>
      </c>
      <c r="H4125" t="str">
        <f>IF($C4125="","",Registro_Compras!$C$461)</f>
        <v/>
      </c>
    </row>
    <row r="4126" spans="1:8" x14ac:dyDescent="0.25">
      <c r="A4126" s="25" t="str">
        <f>IF($C4126="","",Registro_Compras!$Y$461)</f>
        <v/>
      </c>
      <c r="B4126" t="str">
        <f>IF($C4126="","","C"&amp;TEXT(INT((ROW()-5)/9)+1,"000")&amp;"-4")</f>
        <v/>
      </c>
      <c r="C4126" t="str">
        <f>IF(OR(Registro_Compras!$C$461="",Registro_Compras!$O$461="",Registro_Compras!$Y$461="",Registro_Compras!$F$461="NOTA DE CREDITO"),"","1041")</f>
        <v/>
      </c>
      <c r="D4126" t="str">
        <f>IF(OR(Registro_Compras!$C$461="",Registro_Compras!$O$461=""),"","Efectivo y Equivalentes - Cta. Cte. Operativa")</f>
        <v/>
      </c>
      <c r="E4126" s="20" t="str">
        <f>""</f>
        <v/>
      </c>
      <c r="F4126" s="20" t="str">
        <f>IF($C4126="","",IF(Registro_Compras!$F$461="RHE",(ROUND(Registro_Compras!$L$461*Registro_Compras!$N$461,2)-ROUND(Registro_Compras!$V$461*Registro_Compras!$N$461,2)),ROUND(Registro_Compras!$O$461-Registro_Compras!$S$461,2)))</f>
        <v/>
      </c>
      <c r="G4126" t="str">
        <f>IF($C4126="","","Por la cancelacion del saldo al proveedor")</f>
        <v/>
      </c>
      <c r="H4126" t="str">
        <f>IF($C4126="","",Registro_Compras!$C$461)</f>
        <v/>
      </c>
    </row>
    <row r="4127" spans="1:8" x14ac:dyDescent="0.25">
      <c r="A4127" s="25" t="str">
        <f>IF($C4127="","",Registro_Compras!$B$462)</f>
        <v/>
      </c>
      <c r="B4127" t="str">
        <f>IF($C4127="","","C"&amp;TEXT(INT((ROW()-5)/9)+1,"000")&amp;"-1")</f>
        <v/>
      </c>
      <c r="C4127" t="str">
        <f>IF(OR(Registro_Compras!$C$462="",Registro_Compras!$O$462=""),"",IF(Registro_Compras!$F$462="NOTA DE CREDITO","4212",IF(Registro_Compras!$M$462="","63",Registro_Compras!$M$462)))</f>
        <v/>
      </c>
      <c r="D4127" t="str">
        <f>IF(OR(Registro_Compras!$C$462="",Registro_Compras!$O$462=""),"",IF(Registro_Compras!$F$462="NOTA DE CREDITO","Cuentas por Pagar Comerciales - Terceros (Emitidas)",IF(Registro_Compras!$F$462="RHE","Honorarios Profesionales - Servicios de Terceros","Gastos de Servicios Prestados por Terceros")))</f>
        <v/>
      </c>
      <c r="E4127" s="20" t="str">
        <f>IF($C4127="","",IF(Registro_Compras!$F$462="NOTA DE CREDITO",ABS(Registro_Compras!$O$462),IF(Registro_Compras!$F$462="RHE",ROUND(Registro_Compras!$L$462*Registro_Compras!$N$462,2),ROUND(Registro_Compras!$J$462*Registro_Compras!$N$462,2))))</f>
        <v/>
      </c>
      <c r="F4127" s="20" t="str">
        <f>""</f>
        <v/>
      </c>
      <c r="G4127" t="str">
        <f>IF($C4127="","",IF(Registro_Compras!$F$462="NOTA DE CREDITO","Por la nota de credito "&amp;Registro_Compras!$C$462&amp;" de "&amp;Registro_Compras!$E$462&amp;" [PATRON POR CONFIRMAR CON CONTADOR]",IF(Registro_Compras!$F$462="RHE","Por el registro del recibo por honorarios "&amp;Registro_Compras!$C$462&amp;" de "&amp;Registro_Compras!$E$462&amp;" [PATRON POR CONFIRMAR CON CONTADOR]","Por el registro de la factura "&amp;Registro_Compras!$C$462&amp;" de "&amp;Registro_Compras!$E$462)))</f>
        <v/>
      </c>
      <c r="H4127" t="str">
        <f>IF($C4127="","",Registro_Compras!$C$462)</f>
        <v/>
      </c>
    </row>
    <row r="4128" spans="1:8" x14ac:dyDescent="0.25">
      <c r="A4128" s="25" t="str">
        <f>IF($C4128="","",Registro_Compras!$B$462)</f>
        <v/>
      </c>
      <c r="B4128" t="str">
        <f>IF($C4128="","","C"&amp;TEXT(INT((ROW()-5)/9)+1,"000")&amp;"-1")</f>
        <v/>
      </c>
      <c r="C4128" t="str">
        <f>IF(OR(Registro_Compras!$C$462="",Registro_Compras!$O$462=""),"",IF(Registro_Compras!$F$462="RHE",IF(Registro_Compras!$V$462=0,"","4017"),IF(Registro_Compras!$F$462="NOTA DE CREDITO",IF(Registro_Compras!$M$462="","63",Registro_Compras!$M$462),IF(Registro_Compras!$K$462=0,"","40111"))))</f>
        <v/>
      </c>
      <c r="D4128" t="str">
        <f>IF(OR(Registro_Compras!$C$462="",Registro_Compras!$O$462=""),"",IF(Registro_Compras!$F$462="RHE","Retencion Renta 4ta Categoria por Pagar",IF(Registro_Compras!$F$462="NOTA DE CREDITO","Gastos de Servicios Prestados por Terceros","IGV - Cuenta Propia (Credito Fiscal)")))</f>
        <v/>
      </c>
      <c r="E4128" s="20" t="str">
        <f>IF($C4128="","",IF(Registro_Compras!$F$462="FACTURA",ROUND(Registro_Compras!$K$462*Registro_Compras!$N$462,2),""))</f>
        <v/>
      </c>
      <c r="F4128" s="20" t="str">
        <f>IF($C4128="","",IF(Registro_Compras!$F$462="RHE",ROUND(Registro_Compras!$V$462*Registro_Compras!$N$462,2),IF(Registro_Compras!$F$462="NOTA DE CREDITO",ROUND(ABS(Registro_Compras!$J$462*Registro_Compras!$N$462),2),"")))</f>
        <v/>
      </c>
      <c r="G4128" t="str">
        <f>IF($C4128="","",IF(Registro_Compras!$F$462="NOTA DE CREDITO","Por la nota de credito "&amp;Registro_Compras!$C$462&amp;" de "&amp;Registro_Compras!$E$462&amp;" [PATRON POR CONFIRMAR CON CONTADOR]",IF(Registro_Compras!$F$462="RHE","Por el registro del recibo por honorarios "&amp;Registro_Compras!$C$462&amp;" de "&amp;Registro_Compras!$E$462&amp;" [PATRON POR CONFIRMAR CON CONTADOR]","Por el registro de la factura "&amp;Registro_Compras!$C$462&amp;" de "&amp;Registro_Compras!$E$462)))</f>
        <v/>
      </c>
      <c r="H4128" t="str">
        <f>IF($C4128="","",Registro_Compras!$C$462)</f>
        <v/>
      </c>
    </row>
    <row r="4129" spans="1:8" x14ac:dyDescent="0.25">
      <c r="A4129" s="25" t="str">
        <f>IF($C4129="","",Registro_Compras!$B$462)</f>
        <v/>
      </c>
      <c r="B4129" t="str">
        <f>IF($C4129="","","C"&amp;TEXT(INT((ROW()-5)/9)+1,"000")&amp;"-1")</f>
        <v/>
      </c>
      <c r="C4129" t="str">
        <f>IF(OR(Registro_Compras!$C$462="",Registro_Compras!$O$462=""),"",IF(Registro_Compras!$F$462="NOTA DE CREDITO",IF(Registro_Compras!$K$462=0,"","40111"),"4212"))</f>
        <v/>
      </c>
      <c r="D4129" t="str">
        <f>IF(OR(Registro_Compras!$C$462="",Registro_Compras!$O$462=""),"",IF(Registro_Compras!$F$462="NOTA DE CREDITO","IGV - Cuenta Propia (Credito Fiscal)","Cuentas por Pagar Comerciales - Terceros (Emitidas)"))</f>
        <v/>
      </c>
      <c r="E4129" s="20" t="str">
        <f>""</f>
        <v/>
      </c>
      <c r="F4129" s="20" t="str">
        <f>IF($C4129="","",IF(Registro_Compras!$F$462="NOTA DE CREDITO",ROUND(ABS(Registro_Compras!$K$462*Registro_Compras!$N$462),2),IF(Registro_Compras!$F$462="RHE",(ROUND(Registro_Compras!$L$462*Registro_Compras!$N$462,2)-ROUND(Registro_Compras!$V$462*Registro_Compras!$N$462,2)),Registro_Compras!$O$462)))</f>
        <v/>
      </c>
      <c r="G4129" t="str">
        <f>IF($C4129="","",IF(Registro_Compras!$F$462="NOTA DE CREDITO","Por la nota de credito "&amp;Registro_Compras!$C$462&amp;" de "&amp;Registro_Compras!$E$462&amp;" [PATRON POR CONFIRMAR CON CONTADOR]",IF(Registro_Compras!$F$462="RHE","Por el registro del recibo por honorarios "&amp;Registro_Compras!$C$462&amp;" de "&amp;Registro_Compras!$E$462&amp;" [PATRON POR CONFIRMAR CON CONTADOR]","Por el registro de la factura "&amp;Registro_Compras!$C$462&amp;" de "&amp;Registro_Compras!$E$462)))</f>
        <v/>
      </c>
      <c r="H4129" t="str">
        <f>IF($C4129="","",Registro_Compras!$C$462)</f>
        <v/>
      </c>
    </row>
    <row r="4130" spans="1:8" x14ac:dyDescent="0.25">
      <c r="A4130" s="25" t="str">
        <f>IF($C4130="","",Registro_Compras!$B$462)</f>
        <v/>
      </c>
      <c r="B4130" t="str">
        <f>IF($C4130="","","C"&amp;TEXT(INT((ROW()-5)/9)+1,"000")&amp;"-2")</f>
        <v/>
      </c>
      <c r="C4130" t="str">
        <f>IF(OR(Registro_Compras!$C$462="",Registro_Compras!$O$462=""),"",IF(Registro_Compras!$AB$462="ADMINISTRATIVO","94","95"))</f>
        <v/>
      </c>
      <c r="D4130" t="str">
        <f>IF(OR(Registro_Compras!$C$462="",Registro_Compras!$O$462=""),"",IF(Registro_Compras!$AB$462="ADMINISTRATIVO","Gastos Administrativos","Gastos de Venta y Operacion"))</f>
        <v/>
      </c>
      <c r="E4130" s="20" t="str">
        <f>IF($C4130="","",IF(Registro_Compras!$F$462="NOTA DE CREDITO","",IF(Registro_Compras!$F$462="RHE",ROUND(Registro_Compras!$L$462*Registro_Compras!$N$462,2),ROUND(Registro_Compras!$J$462*Registro_Compras!$N$462,2))))</f>
        <v/>
      </c>
      <c r="F4130" s="20" t="str">
        <f>IF($C4130="","",IF(Registro_Compras!$F$462="NOTA DE CREDITO",ROUND(ABS(Registro_Compras!$J$462*Registro_Compras!$N$462),2),""))</f>
        <v/>
      </c>
      <c r="G4130" t="str">
        <f>IF($C4130="","","Por el destino del gasto")</f>
        <v/>
      </c>
      <c r="H4130" t="str">
        <f>IF($C4130="","",Registro_Compras!$C$462)</f>
        <v/>
      </c>
    </row>
    <row r="4131" spans="1:8" x14ac:dyDescent="0.25">
      <c r="A4131" s="25" t="str">
        <f>IF($C4131="","",Registro_Compras!$B$462)</f>
        <v/>
      </c>
      <c r="B4131" t="str">
        <f>IF($C4131="","","C"&amp;TEXT(INT((ROW()-5)/9)+1,"000")&amp;"-2")</f>
        <v/>
      </c>
      <c r="C4131" t="str">
        <f>IF(OR(Registro_Compras!$C$462="",Registro_Compras!$O$462=""),"","79/791")</f>
        <v/>
      </c>
      <c r="D4131" t="str">
        <f>IF(OR(Registro_Compras!$C$462="",Registro_Compras!$O$462=""),"","Cargas Imputables a Cuentas de Costos y Gastos")</f>
        <v/>
      </c>
      <c r="E4131" s="20" t="str">
        <f>IF($C4131="","",IF(Registro_Compras!$F$462="NOTA DE CREDITO",ROUND(ABS(Registro_Compras!$J$462*Registro_Compras!$N$462),2),""))</f>
        <v/>
      </c>
      <c r="F4131" s="20" t="str">
        <f>IF($C4131="","",IF(Registro_Compras!$F$462="NOTA DE CREDITO","",IF(Registro_Compras!$F$462="RHE",ROUND(Registro_Compras!$L$462*Registro_Compras!$N$462,2),ROUND(Registro_Compras!$J$462*Registro_Compras!$N$462,2))))</f>
        <v/>
      </c>
      <c r="G4131" t="str">
        <f>IF($C4131="","","Por el destino del gasto")</f>
        <v/>
      </c>
      <c r="H4131" t="str">
        <f>IF($C4131="","",Registro_Compras!$C$462)</f>
        <v/>
      </c>
    </row>
    <row r="4132" spans="1:8" x14ac:dyDescent="0.25">
      <c r="A4132" s="25" t="str">
        <f>IF($C4132="","",Registro_Compras!$X$462)</f>
        <v/>
      </c>
      <c r="B4132" t="str">
        <f>IF($C4132="","","C"&amp;TEXT(INT((ROW()-5)/9)+1,"000")&amp;"-3")</f>
        <v/>
      </c>
      <c r="C4132" t="str">
        <f>IF(OR(Registro_Compras!$C$462="",Registro_Compras!$O$462="",Registro_Compras!$R$462&lt;&gt;"SI",Registro_Compras!$X$462=""),"","4212")</f>
        <v/>
      </c>
      <c r="D4132" t="str">
        <f>IF(OR(Registro_Compras!$C$462="",Registro_Compras!$O$462=""),"","Cuentas por Pagar Comerciales - Terceros")</f>
        <v/>
      </c>
      <c r="E4132" s="20" t="str">
        <f>IF($C4132="","",Registro_Compras!$S$462)</f>
        <v/>
      </c>
      <c r="F4132" s="20" t="str">
        <f>""</f>
        <v/>
      </c>
      <c r="G4132" t="str">
        <f>IF($C4132="","","Por el deposito de la detraccion en el Banco de la Nacion")</f>
        <v/>
      </c>
      <c r="H4132" t="str">
        <f>IF($C4132="","",Registro_Compras!$C$462)</f>
        <v/>
      </c>
    </row>
    <row r="4133" spans="1:8" x14ac:dyDescent="0.25">
      <c r="A4133" s="25" t="str">
        <f>IF($C4133="","",Registro_Compras!$X$462)</f>
        <v/>
      </c>
      <c r="B4133" t="str">
        <f>IF($C4133="","","C"&amp;TEXT(INT((ROW()-5)/9)+1,"000")&amp;"-3")</f>
        <v/>
      </c>
      <c r="C4133" t="str">
        <f>IF(OR(Registro_Compras!$C$462="",Registro_Compras!$O$462="",Registro_Compras!$R$462&lt;&gt;"SI",Registro_Compras!$X$462=""),"","1041")</f>
        <v/>
      </c>
      <c r="D4133" t="str">
        <f>IF(OR(Registro_Compras!$C$462="",Registro_Compras!$O$462=""),"","Efectivo y Equivalentes - Cta. Cte. Operativa")</f>
        <v/>
      </c>
      <c r="E4133" s="20" t="str">
        <f>""</f>
        <v/>
      </c>
      <c r="F4133" s="20" t="str">
        <f>IF($C4133="","",Registro_Compras!$S$462)</f>
        <v/>
      </c>
      <c r="G4133" t="str">
        <f>IF($C4133="","","Por el deposito de la detraccion en el Banco de la Nacion")</f>
        <v/>
      </c>
      <c r="H4133" t="str">
        <f>IF($C4133="","",Registro_Compras!$C$462)</f>
        <v/>
      </c>
    </row>
    <row r="4134" spans="1:8" x14ac:dyDescent="0.25">
      <c r="A4134" s="25" t="str">
        <f>IF($C4134="","",Registro_Compras!$Y$462)</f>
        <v/>
      </c>
      <c r="B4134" t="str">
        <f>IF($C4134="","","C"&amp;TEXT(INT((ROW()-5)/9)+1,"000")&amp;"-4")</f>
        <v/>
      </c>
      <c r="C4134" t="str">
        <f>IF(OR(Registro_Compras!$C$462="",Registro_Compras!$O$462="",Registro_Compras!$Y$462="",Registro_Compras!$F$462="NOTA DE CREDITO"),"","4212")</f>
        <v/>
      </c>
      <c r="D4134" t="str">
        <f>IF(OR(Registro_Compras!$C$462="",Registro_Compras!$O$462=""),"","Cuentas por Pagar Comerciales - Terceros")</f>
        <v/>
      </c>
      <c r="E4134" s="20" t="str">
        <f>IF($C4134="","",IF(Registro_Compras!$F$462="RHE",(ROUND(Registro_Compras!$L$462*Registro_Compras!$N$462,2)-ROUND(Registro_Compras!$V$462*Registro_Compras!$N$462,2)),ROUND(Registro_Compras!$O$462-Registro_Compras!$S$462,2)))</f>
        <v/>
      </c>
      <c r="F4134" s="20" t="str">
        <f>""</f>
        <v/>
      </c>
      <c r="G4134" t="str">
        <f>IF($C4134="","","Por la cancelacion del saldo al proveedor")</f>
        <v/>
      </c>
      <c r="H4134" t="str">
        <f>IF($C4134="","",Registro_Compras!$C$462)</f>
        <v/>
      </c>
    </row>
    <row r="4135" spans="1:8" x14ac:dyDescent="0.25">
      <c r="A4135" s="25" t="str">
        <f>IF($C4135="","",Registro_Compras!$Y$462)</f>
        <v/>
      </c>
      <c r="B4135" t="str">
        <f>IF($C4135="","","C"&amp;TEXT(INT((ROW()-5)/9)+1,"000")&amp;"-4")</f>
        <v/>
      </c>
      <c r="C4135" t="str">
        <f>IF(OR(Registro_Compras!$C$462="",Registro_Compras!$O$462="",Registro_Compras!$Y$462="",Registro_Compras!$F$462="NOTA DE CREDITO"),"","1041")</f>
        <v/>
      </c>
      <c r="D4135" t="str">
        <f>IF(OR(Registro_Compras!$C$462="",Registro_Compras!$O$462=""),"","Efectivo y Equivalentes - Cta. Cte. Operativa")</f>
        <v/>
      </c>
      <c r="E4135" s="20" t="str">
        <f>""</f>
        <v/>
      </c>
      <c r="F4135" s="20" t="str">
        <f>IF($C4135="","",IF(Registro_Compras!$F$462="RHE",(ROUND(Registro_Compras!$L$462*Registro_Compras!$N$462,2)-ROUND(Registro_Compras!$V$462*Registro_Compras!$N$462,2)),ROUND(Registro_Compras!$O$462-Registro_Compras!$S$462,2)))</f>
        <v/>
      </c>
      <c r="G4135" t="str">
        <f>IF($C4135="","","Por la cancelacion del saldo al proveedor")</f>
        <v/>
      </c>
      <c r="H4135" t="str">
        <f>IF($C4135="","",Registro_Compras!$C$462)</f>
        <v/>
      </c>
    </row>
    <row r="4136" spans="1:8" x14ac:dyDescent="0.25">
      <c r="A4136" s="25" t="str">
        <f>IF($C4136="","",Registro_Compras!$B$463)</f>
        <v/>
      </c>
      <c r="B4136" t="str">
        <f>IF($C4136="","","C"&amp;TEXT(INT((ROW()-5)/9)+1,"000")&amp;"-1")</f>
        <v/>
      </c>
      <c r="C4136" t="str">
        <f>IF(OR(Registro_Compras!$C$463="",Registro_Compras!$O$463=""),"",IF(Registro_Compras!$F$463="NOTA DE CREDITO","4212",IF(Registro_Compras!$M$463="","63",Registro_Compras!$M$463)))</f>
        <v/>
      </c>
      <c r="D4136" t="str">
        <f>IF(OR(Registro_Compras!$C$463="",Registro_Compras!$O$463=""),"",IF(Registro_Compras!$F$463="NOTA DE CREDITO","Cuentas por Pagar Comerciales - Terceros (Emitidas)",IF(Registro_Compras!$F$463="RHE","Honorarios Profesionales - Servicios de Terceros","Gastos de Servicios Prestados por Terceros")))</f>
        <v/>
      </c>
      <c r="E4136" s="20" t="str">
        <f>IF($C4136="","",IF(Registro_Compras!$F$463="NOTA DE CREDITO",ABS(Registro_Compras!$O$463),IF(Registro_Compras!$F$463="RHE",ROUND(Registro_Compras!$L$463*Registro_Compras!$N$463,2),ROUND(Registro_Compras!$J$463*Registro_Compras!$N$463,2))))</f>
        <v/>
      </c>
      <c r="F4136" s="20" t="str">
        <f>""</f>
        <v/>
      </c>
      <c r="G4136" t="str">
        <f>IF($C4136="","",IF(Registro_Compras!$F$463="NOTA DE CREDITO","Por la nota de credito "&amp;Registro_Compras!$C$463&amp;" de "&amp;Registro_Compras!$E$463&amp;" [PATRON POR CONFIRMAR CON CONTADOR]",IF(Registro_Compras!$F$463="RHE","Por el registro del recibo por honorarios "&amp;Registro_Compras!$C$463&amp;" de "&amp;Registro_Compras!$E$463&amp;" [PATRON POR CONFIRMAR CON CONTADOR]","Por el registro de la factura "&amp;Registro_Compras!$C$463&amp;" de "&amp;Registro_Compras!$E$463)))</f>
        <v/>
      </c>
      <c r="H4136" t="str">
        <f>IF($C4136="","",Registro_Compras!$C$463)</f>
        <v/>
      </c>
    </row>
    <row r="4137" spans="1:8" x14ac:dyDescent="0.25">
      <c r="A4137" s="25" t="str">
        <f>IF($C4137="","",Registro_Compras!$B$463)</f>
        <v/>
      </c>
      <c r="B4137" t="str">
        <f>IF($C4137="","","C"&amp;TEXT(INT((ROW()-5)/9)+1,"000")&amp;"-1")</f>
        <v/>
      </c>
      <c r="C4137" t="str">
        <f>IF(OR(Registro_Compras!$C$463="",Registro_Compras!$O$463=""),"",IF(Registro_Compras!$F$463="RHE",IF(Registro_Compras!$V$463=0,"","4017"),IF(Registro_Compras!$F$463="NOTA DE CREDITO",IF(Registro_Compras!$M$463="","63",Registro_Compras!$M$463),IF(Registro_Compras!$K$463=0,"","40111"))))</f>
        <v/>
      </c>
      <c r="D4137" t="str">
        <f>IF(OR(Registro_Compras!$C$463="",Registro_Compras!$O$463=""),"",IF(Registro_Compras!$F$463="RHE","Retencion Renta 4ta Categoria por Pagar",IF(Registro_Compras!$F$463="NOTA DE CREDITO","Gastos de Servicios Prestados por Terceros","IGV - Cuenta Propia (Credito Fiscal)")))</f>
        <v/>
      </c>
      <c r="E4137" s="20" t="str">
        <f>IF($C4137="","",IF(Registro_Compras!$F$463="FACTURA",ROUND(Registro_Compras!$K$463*Registro_Compras!$N$463,2),""))</f>
        <v/>
      </c>
      <c r="F4137" s="20" t="str">
        <f>IF($C4137="","",IF(Registro_Compras!$F$463="RHE",ROUND(Registro_Compras!$V$463*Registro_Compras!$N$463,2),IF(Registro_Compras!$F$463="NOTA DE CREDITO",ROUND(ABS(Registro_Compras!$J$463*Registro_Compras!$N$463),2),"")))</f>
        <v/>
      </c>
      <c r="G4137" t="str">
        <f>IF($C4137="","",IF(Registro_Compras!$F$463="NOTA DE CREDITO","Por la nota de credito "&amp;Registro_Compras!$C$463&amp;" de "&amp;Registro_Compras!$E$463&amp;" [PATRON POR CONFIRMAR CON CONTADOR]",IF(Registro_Compras!$F$463="RHE","Por el registro del recibo por honorarios "&amp;Registro_Compras!$C$463&amp;" de "&amp;Registro_Compras!$E$463&amp;" [PATRON POR CONFIRMAR CON CONTADOR]","Por el registro de la factura "&amp;Registro_Compras!$C$463&amp;" de "&amp;Registro_Compras!$E$463)))</f>
        <v/>
      </c>
      <c r="H4137" t="str">
        <f>IF($C4137="","",Registro_Compras!$C$463)</f>
        <v/>
      </c>
    </row>
    <row r="4138" spans="1:8" x14ac:dyDescent="0.25">
      <c r="A4138" s="25" t="str">
        <f>IF($C4138="","",Registro_Compras!$B$463)</f>
        <v/>
      </c>
      <c r="B4138" t="str">
        <f>IF($C4138="","","C"&amp;TEXT(INT((ROW()-5)/9)+1,"000")&amp;"-1")</f>
        <v/>
      </c>
      <c r="C4138" t="str">
        <f>IF(OR(Registro_Compras!$C$463="",Registro_Compras!$O$463=""),"",IF(Registro_Compras!$F$463="NOTA DE CREDITO",IF(Registro_Compras!$K$463=0,"","40111"),"4212"))</f>
        <v/>
      </c>
      <c r="D4138" t="str">
        <f>IF(OR(Registro_Compras!$C$463="",Registro_Compras!$O$463=""),"",IF(Registro_Compras!$F$463="NOTA DE CREDITO","IGV - Cuenta Propia (Credito Fiscal)","Cuentas por Pagar Comerciales - Terceros (Emitidas)"))</f>
        <v/>
      </c>
      <c r="E4138" s="20" t="str">
        <f>""</f>
        <v/>
      </c>
      <c r="F4138" s="20" t="str">
        <f>IF($C4138="","",IF(Registro_Compras!$F$463="NOTA DE CREDITO",ROUND(ABS(Registro_Compras!$K$463*Registro_Compras!$N$463),2),IF(Registro_Compras!$F$463="RHE",(ROUND(Registro_Compras!$L$463*Registro_Compras!$N$463,2)-ROUND(Registro_Compras!$V$463*Registro_Compras!$N$463,2)),Registro_Compras!$O$463)))</f>
        <v/>
      </c>
      <c r="G4138" t="str">
        <f>IF($C4138="","",IF(Registro_Compras!$F$463="NOTA DE CREDITO","Por la nota de credito "&amp;Registro_Compras!$C$463&amp;" de "&amp;Registro_Compras!$E$463&amp;" [PATRON POR CONFIRMAR CON CONTADOR]",IF(Registro_Compras!$F$463="RHE","Por el registro del recibo por honorarios "&amp;Registro_Compras!$C$463&amp;" de "&amp;Registro_Compras!$E$463&amp;" [PATRON POR CONFIRMAR CON CONTADOR]","Por el registro de la factura "&amp;Registro_Compras!$C$463&amp;" de "&amp;Registro_Compras!$E$463)))</f>
        <v/>
      </c>
      <c r="H4138" t="str">
        <f>IF($C4138="","",Registro_Compras!$C$463)</f>
        <v/>
      </c>
    </row>
    <row r="4139" spans="1:8" x14ac:dyDescent="0.25">
      <c r="A4139" s="25" t="str">
        <f>IF($C4139="","",Registro_Compras!$B$463)</f>
        <v/>
      </c>
      <c r="B4139" t="str">
        <f>IF($C4139="","","C"&amp;TEXT(INT((ROW()-5)/9)+1,"000")&amp;"-2")</f>
        <v/>
      </c>
      <c r="C4139" t="str">
        <f>IF(OR(Registro_Compras!$C$463="",Registro_Compras!$O$463=""),"",IF(Registro_Compras!$AB$463="ADMINISTRATIVO","94","95"))</f>
        <v/>
      </c>
      <c r="D4139" t="str">
        <f>IF(OR(Registro_Compras!$C$463="",Registro_Compras!$O$463=""),"",IF(Registro_Compras!$AB$463="ADMINISTRATIVO","Gastos Administrativos","Gastos de Venta y Operacion"))</f>
        <v/>
      </c>
      <c r="E4139" s="20" t="str">
        <f>IF($C4139="","",IF(Registro_Compras!$F$463="NOTA DE CREDITO","",IF(Registro_Compras!$F$463="RHE",ROUND(Registro_Compras!$L$463*Registro_Compras!$N$463,2),ROUND(Registro_Compras!$J$463*Registro_Compras!$N$463,2))))</f>
        <v/>
      </c>
      <c r="F4139" s="20" t="str">
        <f>IF($C4139="","",IF(Registro_Compras!$F$463="NOTA DE CREDITO",ROUND(ABS(Registro_Compras!$J$463*Registro_Compras!$N$463),2),""))</f>
        <v/>
      </c>
      <c r="G4139" t="str">
        <f>IF($C4139="","","Por el destino del gasto")</f>
        <v/>
      </c>
      <c r="H4139" t="str">
        <f>IF($C4139="","",Registro_Compras!$C$463)</f>
        <v/>
      </c>
    </row>
    <row r="4140" spans="1:8" x14ac:dyDescent="0.25">
      <c r="A4140" s="25" t="str">
        <f>IF($C4140="","",Registro_Compras!$B$463)</f>
        <v/>
      </c>
      <c r="B4140" t="str">
        <f>IF($C4140="","","C"&amp;TEXT(INT((ROW()-5)/9)+1,"000")&amp;"-2")</f>
        <v/>
      </c>
      <c r="C4140" t="str">
        <f>IF(OR(Registro_Compras!$C$463="",Registro_Compras!$O$463=""),"","79/791")</f>
        <v/>
      </c>
      <c r="D4140" t="str">
        <f>IF(OR(Registro_Compras!$C$463="",Registro_Compras!$O$463=""),"","Cargas Imputables a Cuentas de Costos y Gastos")</f>
        <v/>
      </c>
      <c r="E4140" s="20" t="str">
        <f>IF($C4140="","",IF(Registro_Compras!$F$463="NOTA DE CREDITO",ROUND(ABS(Registro_Compras!$J$463*Registro_Compras!$N$463),2),""))</f>
        <v/>
      </c>
      <c r="F4140" s="20" t="str">
        <f>IF($C4140="","",IF(Registro_Compras!$F$463="NOTA DE CREDITO","",IF(Registro_Compras!$F$463="RHE",ROUND(Registro_Compras!$L$463*Registro_Compras!$N$463,2),ROUND(Registro_Compras!$J$463*Registro_Compras!$N$463,2))))</f>
        <v/>
      </c>
      <c r="G4140" t="str">
        <f>IF($C4140="","","Por el destino del gasto")</f>
        <v/>
      </c>
      <c r="H4140" t="str">
        <f>IF($C4140="","",Registro_Compras!$C$463)</f>
        <v/>
      </c>
    </row>
    <row r="4141" spans="1:8" x14ac:dyDescent="0.25">
      <c r="A4141" s="25" t="str">
        <f>IF($C4141="","",Registro_Compras!$X$463)</f>
        <v/>
      </c>
      <c r="B4141" t="str">
        <f>IF($C4141="","","C"&amp;TEXT(INT((ROW()-5)/9)+1,"000")&amp;"-3")</f>
        <v/>
      </c>
      <c r="C4141" t="str">
        <f>IF(OR(Registro_Compras!$C$463="",Registro_Compras!$O$463="",Registro_Compras!$R$463&lt;&gt;"SI",Registro_Compras!$X$463=""),"","4212")</f>
        <v/>
      </c>
      <c r="D4141" t="str">
        <f>IF(OR(Registro_Compras!$C$463="",Registro_Compras!$O$463=""),"","Cuentas por Pagar Comerciales - Terceros")</f>
        <v/>
      </c>
      <c r="E4141" s="20" t="str">
        <f>IF($C4141="","",Registro_Compras!$S$463)</f>
        <v/>
      </c>
      <c r="F4141" s="20" t="str">
        <f>""</f>
        <v/>
      </c>
      <c r="G4141" t="str">
        <f>IF($C4141="","","Por el deposito de la detraccion en el Banco de la Nacion")</f>
        <v/>
      </c>
      <c r="H4141" t="str">
        <f>IF($C4141="","",Registro_Compras!$C$463)</f>
        <v/>
      </c>
    </row>
    <row r="4142" spans="1:8" x14ac:dyDescent="0.25">
      <c r="A4142" s="25" t="str">
        <f>IF($C4142="","",Registro_Compras!$X$463)</f>
        <v/>
      </c>
      <c r="B4142" t="str">
        <f>IF($C4142="","","C"&amp;TEXT(INT((ROW()-5)/9)+1,"000")&amp;"-3")</f>
        <v/>
      </c>
      <c r="C4142" t="str">
        <f>IF(OR(Registro_Compras!$C$463="",Registro_Compras!$O$463="",Registro_Compras!$R$463&lt;&gt;"SI",Registro_Compras!$X$463=""),"","1041")</f>
        <v/>
      </c>
      <c r="D4142" t="str">
        <f>IF(OR(Registro_Compras!$C$463="",Registro_Compras!$O$463=""),"","Efectivo y Equivalentes - Cta. Cte. Operativa")</f>
        <v/>
      </c>
      <c r="E4142" s="20" t="str">
        <f>""</f>
        <v/>
      </c>
      <c r="F4142" s="20" t="str">
        <f>IF($C4142="","",Registro_Compras!$S$463)</f>
        <v/>
      </c>
      <c r="G4142" t="str">
        <f>IF($C4142="","","Por el deposito de la detraccion en el Banco de la Nacion")</f>
        <v/>
      </c>
      <c r="H4142" t="str">
        <f>IF($C4142="","",Registro_Compras!$C$463)</f>
        <v/>
      </c>
    </row>
    <row r="4143" spans="1:8" x14ac:dyDescent="0.25">
      <c r="A4143" s="25" t="str">
        <f>IF($C4143="","",Registro_Compras!$Y$463)</f>
        <v/>
      </c>
      <c r="B4143" t="str">
        <f>IF($C4143="","","C"&amp;TEXT(INT((ROW()-5)/9)+1,"000")&amp;"-4")</f>
        <v/>
      </c>
      <c r="C4143" t="str">
        <f>IF(OR(Registro_Compras!$C$463="",Registro_Compras!$O$463="",Registro_Compras!$Y$463="",Registro_Compras!$F$463="NOTA DE CREDITO"),"","4212")</f>
        <v/>
      </c>
      <c r="D4143" t="str">
        <f>IF(OR(Registro_Compras!$C$463="",Registro_Compras!$O$463=""),"","Cuentas por Pagar Comerciales - Terceros")</f>
        <v/>
      </c>
      <c r="E4143" s="20" t="str">
        <f>IF($C4143="","",IF(Registro_Compras!$F$463="RHE",(ROUND(Registro_Compras!$L$463*Registro_Compras!$N$463,2)-ROUND(Registro_Compras!$V$463*Registro_Compras!$N$463,2)),ROUND(Registro_Compras!$O$463-Registro_Compras!$S$463,2)))</f>
        <v/>
      </c>
      <c r="F4143" s="20" t="str">
        <f>""</f>
        <v/>
      </c>
      <c r="G4143" t="str">
        <f>IF($C4143="","","Por la cancelacion del saldo al proveedor")</f>
        <v/>
      </c>
      <c r="H4143" t="str">
        <f>IF($C4143="","",Registro_Compras!$C$463)</f>
        <v/>
      </c>
    </row>
    <row r="4144" spans="1:8" x14ac:dyDescent="0.25">
      <c r="A4144" s="25" t="str">
        <f>IF($C4144="","",Registro_Compras!$Y$463)</f>
        <v/>
      </c>
      <c r="B4144" t="str">
        <f>IF($C4144="","","C"&amp;TEXT(INT((ROW()-5)/9)+1,"000")&amp;"-4")</f>
        <v/>
      </c>
      <c r="C4144" t="str">
        <f>IF(OR(Registro_Compras!$C$463="",Registro_Compras!$O$463="",Registro_Compras!$Y$463="",Registro_Compras!$F$463="NOTA DE CREDITO"),"","1041")</f>
        <v/>
      </c>
      <c r="D4144" t="str">
        <f>IF(OR(Registro_Compras!$C$463="",Registro_Compras!$O$463=""),"","Efectivo y Equivalentes - Cta. Cte. Operativa")</f>
        <v/>
      </c>
      <c r="E4144" s="20" t="str">
        <f>""</f>
        <v/>
      </c>
      <c r="F4144" s="20" t="str">
        <f>IF($C4144="","",IF(Registro_Compras!$F$463="RHE",(ROUND(Registro_Compras!$L$463*Registro_Compras!$N$463,2)-ROUND(Registro_Compras!$V$463*Registro_Compras!$N$463,2)),ROUND(Registro_Compras!$O$463-Registro_Compras!$S$463,2)))</f>
        <v/>
      </c>
      <c r="G4144" t="str">
        <f>IF($C4144="","","Por la cancelacion del saldo al proveedor")</f>
        <v/>
      </c>
      <c r="H4144" t="str">
        <f>IF($C4144="","",Registro_Compras!$C$463)</f>
        <v/>
      </c>
    </row>
    <row r="4145" spans="1:8" x14ac:dyDescent="0.25">
      <c r="A4145" s="25" t="str">
        <f>IF($C4145="","",Registro_Compras!$B$464)</f>
        <v/>
      </c>
      <c r="B4145" t="str">
        <f>IF($C4145="","","C"&amp;TEXT(INT((ROW()-5)/9)+1,"000")&amp;"-1")</f>
        <v/>
      </c>
      <c r="C4145" t="str">
        <f>IF(OR(Registro_Compras!$C$464="",Registro_Compras!$O$464=""),"",IF(Registro_Compras!$F$464="NOTA DE CREDITO","4212",IF(Registro_Compras!$M$464="","63",Registro_Compras!$M$464)))</f>
        <v/>
      </c>
      <c r="D4145" t="str">
        <f>IF(OR(Registro_Compras!$C$464="",Registro_Compras!$O$464=""),"",IF(Registro_Compras!$F$464="NOTA DE CREDITO","Cuentas por Pagar Comerciales - Terceros (Emitidas)",IF(Registro_Compras!$F$464="RHE","Honorarios Profesionales - Servicios de Terceros","Gastos de Servicios Prestados por Terceros")))</f>
        <v/>
      </c>
      <c r="E4145" s="20" t="str">
        <f>IF($C4145="","",IF(Registro_Compras!$F$464="NOTA DE CREDITO",ABS(Registro_Compras!$O$464),IF(Registro_Compras!$F$464="RHE",ROUND(Registro_Compras!$L$464*Registro_Compras!$N$464,2),ROUND(Registro_Compras!$J$464*Registro_Compras!$N$464,2))))</f>
        <v/>
      </c>
      <c r="F4145" s="20" t="str">
        <f>""</f>
        <v/>
      </c>
      <c r="G4145" t="str">
        <f>IF($C4145="","",IF(Registro_Compras!$F$464="NOTA DE CREDITO","Por la nota de credito "&amp;Registro_Compras!$C$464&amp;" de "&amp;Registro_Compras!$E$464&amp;" [PATRON POR CONFIRMAR CON CONTADOR]",IF(Registro_Compras!$F$464="RHE","Por el registro del recibo por honorarios "&amp;Registro_Compras!$C$464&amp;" de "&amp;Registro_Compras!$E$464&amp;" [PATRON POR CONFIRMAR CON CONTADOR]","Por el registro de la factura "&amp;Registro_Compras!$C$464&amp;" de "&amp;Registro_Compras!$E$464)))</f>
        <v/>
      </c>
      <c r="H4145" t="str">
        <f>IF($C4145="","",Registro_Compras!$C$464)</f>
        <v/>
      </c>
    </row>
    <row r="4146" spans="1:8" x14ac:dyDescent="0.25">
      <c r="A4146" s="25" t="str">
        <f>IF($C4146="","",Registro_Compras!$B$464)</f>
        <v/>
      </c>
      <c r="B4146" t="str">
        <f>IF($C4146="","","C"&amp;TEXT(INT((ROW()-5)/9)+1,"000")&amp;"-1")</f>
        <v/>
      </c>
      <c r="C4146" t="str">
        <f>IF(OR(Registro_Compras!$C$464="",Registro_Compras!$O$464=""),"",IF(Registro_Compras!$F$464="RHE",IF(Registro_Compras!$V$464=0,"","4017"),IF(Registro_Compras!$F$464="NOTA DE CREDITO",IF(Registro_Compras!$M$464="","63",Registro_Compras!$M$464),IF(Registro_Compras!$K$464=0,"","40111"))))</f>
        <v/>
      </c>
      <c r="D4146" t="str">
        <f>IF(OR(Registro_Compras!$C$464="",Registro_Compras!$O$464=""),"",IF(Registro_Compras!$F$464="RHE","Retencion Renta 4ta Categoria por Pagar",IF(Registro_Compras!$F$464="NOTA DE CREDITO","Gastos de Servicios Prestados por Terceros","IGV - Cuenta Propia (Credito Fiscal)")))</f>
        <v/>
      </c>
      <c r="E4146" s="20" t="str">
        <f>IF($C4146="","",IF(Registro_Compras!$F$464="FACTURA",ROUND(Registro_Compras!$K$464*Registro_Compras!$N$464,2),""))</f>
        <v/>
      </c>
      <c r="F4146" s="20" t="str">
        <f>IF($C4146="","",IF(Registro_Compras!$F$464="RHE",ROUND(Registro_Compras!$V$464*Registro_Compras!$N$464,2),IF(Registro_Compras!$F$464="NOTA DE CREDITO",ROUND(ABS(Registro_Compras!$J$464*Registro_Compras!$N$464),2),"")))</f>
        <v/>
      </c>
      <c r="G4146" t="str">
        <f>IF($C4146="","",IF(Registro_Compras!$F$464="NOTA DE CREDITO","Por la nota de credito "&amp;Registro_Compras!$C$464&amp;" de "&amp;Registro_Compras!$E$464&amp;" [PATRON POR CONFIRMAR CON CONTADOR]",IF(Registro_Compras!$F$464="RHE","Por el registro del recibo por honorarios "&amp;Registro_Compras!$C$464&amp;" de "&amp;Registro_Compras!$E$464&amp;" [PATRON POR CONFIRMAR CON CONTADOR]","Por el registro de la factura "&amp;Registro_Compras!$C$464&amp;" de "&amp;Registro_Compras!$E$464)))</f>
        <v/>
      </c>
      <c r="H4146" t="str">
        <f>IF($C4146="","",Registro_Compras!$C$464)</f>
        <v/>
      </c>
    </row>
    <row r="4147" spans="1:8" x14ac:dyDescent="0.25">
      <c r="A4147" s="25" t="str">
        <f>IF($C4147="","",Registro_Compras!$B$464)</f>
        <v/>
      </c>
      <c r="B4147" t="str">
        <f>IF($C4147="","","C"&amp;TEXT(INT((ROW()-5)/9)+1,"000")&amp;"-1")</f>
        <v/>
      </c>
      <c r="C4147" t="str">
        <f>IF(OR(Registro_Compras!$C$464="",Registro_Compras!$O$464=""),"",IF(Registro_Compras!$F$464="NOTA DE CREDITO",IF(Registro_Compras!$K$464=0,"","40111"),"4212"))</f>
        <v/>
      </c>
      <c r="D4147" t="str">
        <f>IF(OR(Registro_Compras!$C$464="",Registro_Compras!$O$464=""),"",IF(Registro_Compras!$F$464="NOTA DE CREDITO","IGV - Cuenta Propia (Credito Fiscal)","Cuentas por Pagar Comerciales - Terceros (Emitidas)"))</f>
        <v/>
      </c>
      <c r="E4147" s="20" t="str">
        <f>""</f>
        <v/>
      </c>
      <c r="F4147" s="20" t="str">
        <f>IF($C4147="","",IF(Registro_Compras!$F$464="NOTA DE CREDITO",ROUND(ABS(Registro_Compras!$K$464*Registro_Compras!$N$464),2),IF(Registro_Compras!$F$464="RHE",(ROUND(Registro_Compras!$L$464*Registro_Compras!$N$464,2)-ROUND(Registro_Compras!$V$464*Registro_Compras!$N$464,2)),Registro_Compras!$O$464)))</f>
        <v/>
      </c>
      <c r="G4147" t="str">
        <f>IF($C4147="","",IF(Registro_Compras!$F$464="NOTA DE CREDITO","Por la nota de credito "&amp;Registro_Compras!$C$464&amp;" de "&amp;Registro_Compras!$E$464&amp;" [PATRON POR CONFIRMAR CON CONTADOR]",IF(Registro_Compras!$F$464="RHE","Por el registro del recibo por honorarios "&amp;Registro_Compras!$C$464&amp;" de "&amp;Registro_Compras!$E$464&amp;" [PATRON POR CONFIRMAR CON CONTADOR]","Por el registro de la factura "&amp;Registro_Compras!$C$464&amp;" de "&amp;Registro_Compras!$E$464)))</f>
        <v/>
      </c>
      <c r="H4147" t="str">
        <f>IF($C4147="","",Registro_Compras!$C$464)</f>
        <v/>
      </c>
    </row>
    <row r="4148" spans="1:8" x14ac:dyDescent="0.25">
      <c r="A4148" s="25" t="str">
        <f>IF($C4148="","",Registro_Compras!$B$464)</f>
        <v/>
      </c>
      <c r="B4148" t="str">
        <f>IF($C4148="","","C"&amp;TEXT(INT((ROW()-5)/9)+1,"000")&amp;"-2")</f>
        <v/>
      </c>
      <c r="C4148" t="str">
        <f>IF(OR(Registro_Compras!$C$464="",Registro_Compras!$O$464=""),"",IF(Registro_Compras!$AB$464="ADMINISTRATIVO","94","95"))</f>
        <v/>
      </c>
      <c r="D4148" t="str">
        <f>IF(OR(Registro_Compras!$C$464="",Registro_Compras!$O$464=""),"",IF(Registro_Compras!$AB$464="ADMINISTRATIVO","Gastos Administrativos","Gastos de Venta y Operacion"))</f>
        <v/>
      </c>
      <c r="E4148" s="20" t="str">
        <f>IF($C4148="","",IF(Registro_Compras!$F$464="NOTA DE CREDITO","",IF(Registro_Compras!$F$464="RHE",ROUND(Registro_Compras!$L$464*Registro_Compras!$N$464,2),ROUND(Registro_Compras!$J$464*Registro_Compras!$N$464,2))))</f>
        <v/>
      </c>
      <c r="F4148" s="20" t="str">
        <f>IF($C4148="","",IF(Registro_Compras!$F$464="NOTA DE CREDITO",ROUND(ABS(Registro_Compras!$J$464*Registro_Compras!$N$464),2),""))</f>
        <v/>
      </c>
      <c r="G4148" t="str">
        <f>IF($C4148="","","Por el destino del gasto")</f>
        <v/>
      </c>
      <c r="H4148" t="str">
        <f>IF($C4148="","",Registro_Compras!$C$464)</f>
        <v/>
      </c>
    </row>
    <row r="4149" spans="1:8" x14ac:dyDescent="0.25">
      <c r="A4149" s="25" t="str">
        <f>IF($C4149="","",Registro_Compras!$B$464)</f>
        <v/>
      </c>
      <c r="B4149" t="str">
        <f>IF($C4149="","","C"&amp;TEXT(INT((ROW()-5)/9)+1,"000")&amp;"-2")</f>
        <v/>
      </c>
      <c r="C4149" t="str">
        <f>IF(OR(Registro_Compras!$C$464="",Registro_Compras!$O$464=""),"","79/791")</f>
        <v/>
      </c>
      <c r="D4149" t="str">
        <f>IF(OR(Registro_Compras!$C$464="",Registro_Compras!$O$464=""),"","Cargas Imputables a Cuentas de Costos y Gastos")</f>
        <v/>
      </c>
      <c r="E4149" s="20" t="str">
        <f>IF($C4149="","",IF(Registro_Compras!$F$464="NOTA DE CREDITO",ROUND(ABS(Registro_Compras!$J$464*Registro_Compras!$N$464),2),""))</f>
        <v/>
      </c>
      <c r="F4149" s="20" t="str">
        <f>IF($C4149="","",IF(Registro_Compras!$F$464="NOTA DE CREDITO","",IF(Registro_Compras!$F$464="RHE",ROUND(Registro_Compras!$L$464*Registro_Compras!$N$464,2),ROUND(Registro_Compras!$J$464*Registro_Compras!$N$464,2))))</f>
        <v/>
      </c>
      <c r="G4149" t="str">
        <f>IF($C4149="","","Por el destino del gasto")</f>
        <v/>
      </c>
      <c r="H4149" t="str">
        <f>IF($C4149="","",Registro_Compras!$C$464)</f>
        <v/>
      </c>
    </row>
    <row r="4150" spans="1:8" x14ac:dyDescent="0.25">
      <c r="A4150" s="25" t="str">
        <f>IF($C4150="","",Registro_Compras!$X$464)</f>
        <v/>
      </c>
      <c r="B4150" t="str">
        <f>IF($C4150="","","C"&amp;TEXT(INT((ROW()-5)/9)+1,"000")&amp;"-3")</f>
        <v/>
      </c>
      <c r="C4150" t="str">
        <f>IF(OR(Registro_Compras!$C$464="",Registro_Compras!$O$464="",Registro_Compras!$R$464&lt;&gt;"SI",Registro_Compras!$X$464=""),"","4212")</f>
        <v/>
      </c>
      <c r="D4150" t="str">
        <f>IF(OR(Registro_Compras!$C$464="",Registro_Compras!$O$464=""),"","Cuentas por Pagar Comerciales - Terceros")</f>
        <v/>
      </c>
      <c r="E4150" s="20" t="str">
        <f>IF($C4150="","",Registro_Compras!$S$464)</f>
        <v/>
      </c>
      <c r="F4150" s="20" t="str">
        <f>""</f>
        <v/>
      </c>
      <c r="G4150" t="str">
        <f>IF($C4150="","","Por el deposito de la detraccion en el Banco de la Nacion")</f>
        <v/>
      </c>
      <c r="H4150" t="str">
        <f>IF($C4150="","",Registro_Compras!$C$464)</f>
        <v/>
      </c>
    </row>
    <row r="4151" spans="1:8" x14ac:dyDescent="0.25">
      <c r="A4151" s="25" t="str">
        <f>IF($C4151="","",Registro_Compras!$X$464)</f>
        <v/>
      </c>
      <c r="B4151" t="str">
        <f>IF($C4151="","","C"&amp;TEXT(INT((ROW()-5)/9)+1,"000")&amp;"-3")</f>
        <v/>
      </c>
      <c r="C4151" t="str">
        <f>IF(OR(Registro_Compras!$C$464="",Registro_Compras!$O$464="",Registro_Compras!$R$464&lt;&gt;"SI",Registro_Compras!$X$464=""),"","1041")</f>
        <v/>
      </c>
      <c r="D4151" t="str">
        <f>IF(OR(Registro_Compras!$C$464="",Registro_Compras!$O$464=""),"","Efectivo y Equivalentes - Cta. Cte. Operativa")</f>
        <v/>
      </c>
      <c r="E4151" s="20" t="str">
        <f>""</f>
        <v/>
      </c>
      <c r="F4151" s="20" t="str">
        <f>IF($C4151="","",Registro_Compras!$S$464)</f>
        <v/>
      </c>
      <c r="G4151" t="str">
        <f>IF($C4151="","","Por el deposito de la detraccion en el Banco de la Nacion")</f>
        <v/>
      </c>
      <c r="H4151" t="str">
        <f>IF($C4151="","",Registro_Compras!$C$464)</f>
        <v/>
      </c>
    </row>
    <row r="4152" spans="1:8" x14ac:dyDescent="0.25">
      <c r="A4152" s="25" t="str">
        <f>IF($C4152="","",Registro_Compras!$Y$464)</f>
        <v/>
      </c>
      <c r="B4152" t="str">
        <f>IF($C4152="","","C"&amp;TEXT(INT((ROW()-5)/9)+1,"000")&amp;"-4")</f>
        <v/>
      </c>
      <c r="C4152" t="str">
        <f>IF(OR(Registro_Compras!$C$464="",Registro_Compras!$O$464="",Registro_Compras!$Y$464="",Registro_Compras!$F$464="NOTA DE CREDITO"),"","4212")</f>
        <v/>
      </c>
      <c r="D4152" t="str">
        <f>IF(OR(Registro_Compras!$C$464="",Registro_Compras!$O$464=""),"","Cuentas por Pagar Comerciales - Terceros")</f>
        <v/>
      </c>
      <c r="E4152" s="20" t="str">
        <f>IF($C4152="","",IF(Registro_Compras!$F$464="RHE",(ROUND(Registro_Compras!$L$464*Registro_Compras!$N$464,2)-ROUND(Registro_Compras!$V$464*Registro_Compras!$N$464,2)),ROUND(Registro_Compras!$O$464-Registro_Compras!$S$464,2)))</f>
        <v/>
      </c>
      <c r="F4152" s="20" t="str">
        <f>""</f>
        <v/>
      </c>
      <c r="G4152" t="str">
        <f>IF($C4152="","","Por la cancelacion del saldo al proveedor")</f>
        <v/>
      </c>
      <c r="H4152" t="str">
        <f>IF($C4152="","",Registro_Compras!$C$464)</f>
        <v/>
      </c>
    </row>
    <row r="4153" spans="1:8" x14ac:dyDescent="0.25">
      <c r="A4153" s="25" t="str">
        <f>IF($C4153="","",Registro_Compras!$Y$464)</f>
        <v/>
      </c>
      <c r="B4153" t="str">
        <f>IF($C4153="","","C"&amp;TEXT(INT((ROW()-5)/9)+1,"000")&amp;"-4")</f>
        <v/>
      </c>
      <c r="C4153" t="str">
        <f>IF(OR(Registro_Compras!$C$464="",Registro_Compras!$O$464="",Registro_Compras!$Y$464="",Registro_Compras!$F$464="NOTA DE CREDITO"),"","1041")</f>
        <v/>
      </c>
      <c r="D4153" t="str">
        <f>IF(OR(Registro_Compras!$C$464="",Registro_Compras!$O$464=""),"","Efectivo y Equivalentes - Cta. Cte. Operativa")</f>
        <v/>
      </c>
      <c r="E4153" s="20" t="str">
        <f>""</f>
        <v/>
      </c>
      <c r="F4153" s="20" t="str">
        <f>IF($C4153="","",IF(Registro_Compras!$F$464="RHE",(ROUND(Registro_Compras!$L$464*Registro_Compras!$N$464,2)-ROUND(Registro_Compras!$V$464*Registro_Compras!$N$464,2)),ROUND(Registro_Compras!$O$464-Registro_Compras!$S$464,2)))</f>
        <v/>
      </c>
      <c r="G4153" t="str">
        <f>IF($C4153="","","Por la cancelacion del saldo al proveedor")</f>
        <v/>
      </c>
      <c r="H4153" t="str">
        <f>IF($C4153="","",Registro_Compras!$C$464)</f>
        <v/>
      </c>
    </row>
    <row r="4154" spans="1:8" x14ac:dyDescent="0.25">
      <c r="A4154" s="25" t="str">
        <f>IF($C4154="","",Registro_Compras!$B$465)</f>
        <v/>
      </c>
      <c r="B4154" t="str">
        <f>IF($C4154="","","C"&amp;TEXT(INT((ROW()-5)/9)+1,"000")&amp;"-1")</f>
        <v/>
      </c>
      <c r="C4154" t="str">
        <f>IF(OR(Registro_Compras!$C$465="",Registro_Compras!$O$465=""),"",IF(Registro_Compras!$F$465="NOTA DE CREDITO","4212",IF(Registro_Compras!$M$465="","63",Registro_Compras!$M$465)))</f>
        <v/>
      </c>
      <c r="D4154" t="str">
        <f>IF(OR(Registro_Compras!$C$465="",Registro_Compras!$O$465=""),"",IF(Registro_Compras!$F$465="NOTA DE CREDITO","Cuentas por Pagar Comerciales - Terceros (Emitidas)",IF(Registro_Compras!$F$465="RHE","Honorarios Profesionales - Servicios de Terceros","Gastos de Servicios Prestados por Terceros")))</f>
        <v/>
      </c>
      <c r="E4154" s="20" t="str">
        <f>IF($C4154="","",IF(Registro_Compras!$F$465="NOTA DE CREDITO",ABS(Registro_Compras!$O$465),IF(Registro_Compras!$F$465="RHE",ROUND(Registro_Compras!$L$465*Registro_Compras!$N$465,2),ROUND(Registro_Compras!$J$465*Registro_Compras!$N$465,2))))</f>
        <v/>
      </c>
      <c r="F4154" s="20" t="str">
        <f>""</f>
        <v/>
      </c>
      <c r="G4154" t="str">
        <f>IF($C4154="","",IF(Registro_Compras!$F$465="NOTA DE CREDITO","Por la nota de credito "&amp;Registro_Compras!$C$465&amp;" de "&amp;Registro_Compras!$E$465&amp;" [PATRON POR CONFIRMAR CON CONTADOR]",IF(Registro_Compras!$F$465="RHE","Por el registro del recibo por honorarios "&amp;Registro_Compras!$C$465&amp;" de "&amp;Registro_Compras!$E$465&amp;" [PATRON POR CONFIRMAR CON CONTADOR]","Por el registro de la factura "&amp;Registro_Compras!$C$465&amp;" de "&amp;Registro_Compras!$E$465)))</f>
        <v/>
      </c>
      <c r="H4154" t="str">
        <f>IF($C4154="","",Registro_Compras!$C$465)</f>
        <v/>
      </c>
    </row>
    <row r="4155" spans="1:8" x14ac:dyDescent="0.25">
      <c r="A4155" s="25" t="str">
        <f>IF($C4155="","",Registro_Compras!$B$465)</f>
        <v/>
      </c>
      <c r="B4155" t="str">
        <f>IF($C4155="","","C"&amp;TEXT(INT((ROW()-5)/9)+1,"000")&amp;"-1")</f>
        <v/>
      </c>
      <c r="C4155" t="str">
        <f>IF(OR(Registro_Compras!$C$465="",Registro_Compras!$O$465=""),"",IF(Registro_Compras!$F$465="RHE",IF(Registro_Compras!$V$465=0,"","4017"),IF(Registro_Compras!$F$465="NOTA DE CREDITO",IF(Registro_Compras!$M$465="","63",Registro_Compras!$M$465),IF(Registro_Compras!$K$465=0,"","40111"))))</f>
        <v/>
      </c>
      <c r="D4155" t="str">
        <f>IF(OR(Registro_Compras!$C$465="",Registro_Compras!$O$465=""),"",IF(Registro_Compras!$F$465="RHE","Retencion Renta 4ta Categoria por Pagar",IF(Registro_Compras!$F$465="NOTA DE CREDITO","Gastos de Servicios Prestados por Terceros","IGV - Cuenta Propia (Credito Fiscal)")))</f>
        <v/>
      </c>
      <c r="E4155" s="20" t="str">
        <f>IF($C4155="","",IF(Registro_Compras!$F$465="FACTURA",ROUND(Registro_Compras!$K$465*Registro_Compras!$N$465,2),""))</f>
        <v/>
      </c>
      <c r="F4155" s="20" t="str">
        <f>IF($C4155="","",IF(Registro_Compras!$F$465="RHE",ROUND(Registro_Compras!$V$465*Registro_Compras!$N$465,2),IF(Registro_Compras!$F$465="NOTA DE CREDITO",ROUND(ABS(Registro_Compras!$J$465*Registro_Compras!$N$465),2),"")))</f>
        <v/>
      </c>
      <c r="G4155" t="str">
        <f>IF($C4155="","",IF(Registro_Compras!$F$465="NOTA DE CREDITO","Por la nota de credito "&amp;Registro_Compras!$C$465&amp;" de "&amp;Registro_Compras!$E$465&amp;" [PATRON POR CONFIRMAR CON CONTADOR]",IF(Registro_Compras!$F$465="RHE","Por el registro del recibo por honorarios "&amp;Registro_Compras!$C$465&amp;" de "&amp;Registro_Compras!$E$465&amp;" [PATRON POR CONFIRMAR CON CONTADOR]","Por el registro de la factura "&amp;Registro_Compras!$C$465&amp;" de "&amp;Registro_Compras!$E$465)))</f>
        <v/>
      </c>
      <c r="H4155" t="str">
        <f>IF($C4155="","",Registro_Compras!$C$465)</f>
        <v/>
      </c>
    </row>
    <row r="4156" spans="1:8" x14ac:dyDescent="0.25">
      <c r="A4156" s="25" t="str">
        <f>IF($C4156="","",Registro_Compras!$B$465)</f>
        <v/>
      </c>
      <c r="B4156" t="str">
        <f>IF($C4156="","","C"&amp;TEXT(INT((ROW()-5)/9)+1,"000")&amp;"-1")</f>
        <v/>
      </c>
      <c r="C4156" t="str">
        <f>IF(OR(Registro_Compras!$C$465="",Registro_Compras!$O$465=""),"",IF(Registro_Compras!$F$465="NOTA DE CREDITO",IF(Registro_Compras!$K$465=0,"","40111"),"4212"))</f>
        <v/>
      </c>
      <c r="D4156" t="str">
        <f>IF(OR(Registro_Compras!$C$465="",Registro_Compras!$O$465=""),"",IF(Registro_Compras!$F$465="NOTA DE CREDITO","IGV - Cuenta Propia (Credito Fiscal)","Cuentas por Pagar Comerciales - Terceros (Emitidas)"))</f>
        <v/>
      </c>
      <c r="E4156" s="20" t="str">
        <f>""</f>
        <v/>
      </c>
      <c r="F4156" s="20" t="str">
        <f>IF($C4156="","",IF(Registro_Compras!$F$465="NOTA DE CREDITO",ROUND(ABS(Registro_Compras!$K$465*Registro_Compras!$N$465),2),IF(Registro_Compras!$F$465="RHE",(ROUND(Registro_Compras!$L$465*Registro_Compras!$N$465,2)-ROUND(Registro_Compras!$V$465*Registro_Compras!$N$465,2)),Registro_Compras!$O$465)))</f>
        <v/>
      </c>
      <c r="G4156" t="str">
        <f>IF($C4156="","",IF(Registro_Compras!$F$465="NOTA DE CREDITO","Por la nota de credito "&amp;Registro_Compras!$C$465&amp;" de "&amp;Registro_Compras!$E$465&amp;" [PATRON POR CONFIRMAR CON CONTADOR]",IF(Registro_Compras!$F$465="RHE","Por el registro del recibo por honorarios "&amp;Registro_Compras!$C$465&amp;" de "&amp;Registro_Compras!$E$465&amp;" [PATRON POR CONFIRMAR CON CONTADOR]","Por el registro de la factura "&amp;Registro_Compras!$C$465&amp;" de "&amp;Registro_Compras!$E$465)))</f>
        <v/>
      </c>
      <c r="H4156" t="str">
        <f>IF($C4156="","",Registro_Compras!$C$465)</f>
        <v/>
      </c>
    </row>
    <row r="4157" spans="1:8" x14ac:dyDescent="0.25">
      <c r="A4157" s="25" t="str">
        <f>IF($C4157="","",Registro_Compras!$B$465)</f>
        <v/>
      </c>
      <c r="B4157" t="str">
        <f>IF($C4157="","","C"&amp;TEXT(INT((ROW()-5)/9)+1,"000")&amp;"-2")</f>
        <v/>
      </c>
      <c r="C4157" t="str">
        <f>IF(OR(Registro_Compras!$C$465="",Registro_Compras!$O$465=""),"",IF(Registro_Compras!$AB$465="ADMINISTRATIVO","94","95"))</f>
        <v/>
      </c>
      <c r="D4157" t="str">
        <f>IF(OR(Registro_Compras!$C$465="",Registro_Compras!$O$465=""),"",IF(Registro_Compras!$AB$465="ADMINISTRATIVO","Gastos Administrativos","Gastos de Venta y Operacion"))</f>
        <v/>
      </c>
      <c r="E4157" s="20" t="str">
        <f>IF($C4157="","",IF(Registro_Compras!$F$465="NOTA DE CREDITO","",IF(Registro_Compras!$F$465="RHE",ROUND(Registro_Compras!$L$465*Registro_Compras!$N$465,2),ROUND(Registro_Compras!$J$465*Registro_Compras!$N$465,2))))</f>
        <v/>
      </c>
      <c r="F4157" s="20" t="str">
        <f>IF($C4157="","",IF(Registro_Compras!$F$465="NOTA DE CREDITO",ROUND(ABS(Registro_Compras!$J$465*Registro_Compras!$N$465),2),""))</f>
        <v/>
      </c>
      <c r="G4157" t="str">
        <f>IF($C4157="","","Por el destino del gasto")</f>
        <v/>
      </c>
      <c r="H4157" t="str">
        <f>IF($C4157="","",Registro_Compras!$C$465)</f>
        <v/>
      </c>
    </row>
    <row r="4158" spans="1:8" x14ac:dyDescent="0.25">
      <c r="A4158" s="25" t="str">
        <f>IF($C4158="","",Registro_Compras!$B$465)</f>
        <v/>
      </c>
      <c r="B4158" t="str">
        <f>IF($C4158="","","C"&amp;TEXT(INT((ROW()-5)/9)+1,"000")&amp;"-2")</f>
        <v/>
      </c>
      <c r="C4158" t="str">
        <f>IF(OR(Registro_Compras!$C$465="",Registro_Compras!$O$465=""),"","79/791")</f>
        <v/>
      </c>
      <c r="D4158" t="str">
        <f>IF(OR(Registro_Compras!$C$465="",Registro_Compras!$O$465=""),"","Cargas Imputables a Cuentas de Costos y Gastos")</f>
        <v/>
      </c>
      <c r="E4158" s="20" t="str">
        <f>IF($C4158="","",IF(Registro_Compras!$F$465="NOTA DE CREDITO",ROUND(ABS(Registro_Compras!$J$465*Registro_Compras!$N$465),2),""))</f>
        <v/>
      </c>
      <c r="F4158" s="20" t="str">
        <f>IF($C4158="","",IF(Registro_Compras!$F$465="NOTA DE CREDITO","",IF(Registro_Compras!$F$465="RHE",ROUND(Registro_Compras!$L$465*Registro_Compras!$N$465,2),ROUND(Registro_Compras!$J$465*Registro_Compras!$N$465,2))))</f>
        <v/>
      </c>
      <c r="G4158" t="str">
        <f>IF($C4158="","","Por el destino del gasto")</f>
        <v/>
      </c>
      <c r="H4158" t="str">
        <f>IF($C4158="","",Registro_Compras!$C$465)</f>
        <v/>
      </c>
    </row>
    <row r="4159" spans="1:8" x14ac:dyDescent="0.25">
      <c r="A4159" s="25" t="str">
        <f>IF($C4159="","",Registro_Compras!$X$465)</f>
        <v/>
      </c>
      <c r="B4159" t="str">
        <f>IF($C4159="","","C"&amp;TEXT(INT((ROW()-5)/9)+1,"000")&amp;"-3")</f>
        <v/>
      </c>
      <c r="C4159" t="str">
        <f>IF(OR(Registro_Compras!$C$465="",Registro_Compras!$O$465="",Registro_Compras!$R$465&lt;&gt;"SI",Registro_Compras!$X$465=""),"","4212")</f>
        <v/>
      </c>
      <c r="D4159" t="str">
        <f>IF(OR(Registro_Compras!$C$465="",Registro_Compras!$O$465=""),"","Cuentas por Pagar Comerciales - Terceros")</f>
        <v/>
      </c>
      <c r="E4159" s="20" t="str">
        <f>IF($C4159="","",Registro_Compras!$S$465)</f>
        <v/>
      </c>
      <c r="F4159" s="20" t="str">
        <f>""</f>
        <v/>
      </c>
      <c r="G4159" t="str">
        <f>IF($C4159="","","Por el deposito de la detraccion en el Banco de la Nacion")</f>
        <v/>
      </c>
      <c r="H4159" t="str">
        <f>IF($C4159="","",Registro_Compras!$C$465)</f>
        <v/>
      </c>
    </row>
    <row r="4160" spans="1:8" x14ac:dyDescent="0.25">
      <c r="A4160" s="25" t="str">
        <f>IF($C4160="","",Registro_Compras!$X$465)</f>
        <v/>
      </c>
      <c r="B4160" t="str">
        <f>IF($C4160="","","C"&amp;TEXT(INT((ROW()-5)/9)+1,"000")&amp;"-3")</f>
        <v/>
      </c>
      <c r="C4160" t="str">
        <f>IF(OR(Registro_Compras!$C$465="",Registro_Compras!$O$465="",Registro_Compras!$R$465&lt;&gt;"SI",Registro_Compras!$X$465=""),"","1041")</f>
        <v/>
      </c>
      <c r="D4160" t="str">
        <f>IF(OR(Registro_Compras!$C$465="",Registro_Compras!$O$465=""),"","Efectivo y Equivalentes - Cta. Cte. Operativa")</f>
        <v/>
      </c>
      <c r="E4160" s="20" t="str">
        <f>""</f>
        <v/>
      </c>
      <c r="F4160" s="20" t="str">
        <f>IF($C4160="","",Registro_Compras!$S$465)</f>
        <v/>
      </c>
      <c r="G4160" t="str">
        <f>IF($C4160="","","Por el deposito de la detraccion en el Banco de la Nacion")</f>
        <v/>
      </c>
      <c r="H4160" t="str">
        <f>IF($C4160="","",Registro_Compras!$C$465)</f>
        <v/>
      </c>
    </row>
    <row r="4161" spans="1:8" x14ac:dyDescent="0.25">
      <c r="A4161" s="25" t="str">
        <f>IF($C4161="","",Registro_Compras!$Y$465)</f>
        <v/>
      </c>
      <c r="B4161" t="str">
        <f>IF($C4161="","","C"&amp;TEXT(INT((ROW()-5)/9)+1,"000")&amp;"-4")</f>
        <v/>
      </c>
      <c r="C4161" t="str">
        <f>IF(OR(Registro_Compras!$C$465="",Registro_Compras!$O$465="",Registro_Compras!$Y$465="",Registro_Compras!$F$465="NOTA DE CREDITO"),"","4212")</f>
        <v/>
      </c>
      <c r="D4161" t="str">
        <f>IF(OR(Registro_Compras!$C$465="",Registro_Compras!$O$465=""),"","Cuentas por Pagar Comerciales - Terceros")</f>
        <v/>
      </c>
      <c r="E4161" s="20" t="str">
        <f>IF($C4161="","",IF(Registro_Compras!$F$465="RHE",(ROUND(Registro_Compras!$L$465*Registro_Compras!$N$465,2)-ROUND(Registro_Compras!$V$465*Registro_Compras!$N$465,2)),ROUND(Registro_Compras!$O$465-Registro_Compras!$S$465,2)))</f>
        <v/>
      </c>
      <c r="F4161" s="20" t="str">
        <f>""</f>
        <v/>
      </c>
      <c r="G4161" t="str">
        <f>IF($C4161="","","Por la cancelacion del saldo al proveedor")</f>
        <v/>
      </c>
      <c r="H4161" t="str">
        <f>IF($C4161="","",Registro_Compras!$C$465)</f>
        <v/>
      </c>
    </row>
    <row r="4162" spans="1:8" x14ac:dyDescent="0.25">
      <c r="A4162" s="25" t="str">
        <f>IF($C4162="","",Registro_Compras!$Y$465)</f>
        <v/>
      </c>
      <c r="B4162" t="str">
        <f>IF($C4162="","","C"&amp;TEXT(INT((ROW()-5)/9)+1,"000")&amp;"-4")</f>
        <v/>
      </c>
      <c r="C4162" t="str">
        <f>IF(OR(Registro_Compras!$C$465="",Registro_Compras!$O$465="",Registro_Compras!$Y$465="",Registro_Compras!$F$465="NOTA DE CREDITO"),"","1041")</f>
        <v/>
      </c>
      <c r="D4162" t="str">
        <f>IF(OR(Registro_Compras!$C$465="",Registro_Compras!$O$465=""),"","Efectivo y Equivalentes - Cta. Cte. Operativa")</f>
        <v/>
      </c>
      <c r="E4162" s="20" t="str">
        <f>""</f>
        <v/>
      </c>
      <c r="F4162" s="20" t="str">
        <f>IF($C4162="","",IF(Registro_Compras!$F$465="RHE",(ROUND(Registro_Compras!$L$465*Registro_Compras!$N$465,2)-ROUND(Registro_Compras!$V$465*Registro_Compras!$N$465,2)),ROUND(Registro_Compras!$O$465-Registro_Compras!$S$465,2)))</f>
        <v/>
      </c>
      <c r="G4162" t="str">
        <f>IF($C4162="","","Por la cancelacion del saldo al proveedor")</f>
        <v/>
      </c>
      <c r="H4162" t="str">
        <f>IF($C4162="","",Registro_Compras!$C$465)</f>
        <v/>
      </c>
    </row>
    <row r="4163" spans="1:8" x14ac:dyDescent="0.25">
      <c r="A4163" s="25" t="str">
        <f>IF($C4163="","",Registro_Compras!$B$466)</f>
        <v/>
      </c>
      <c r="B4163" t="str">
        <f>IF($C4163="","","C"&amp;TEXT(INT((ROW()-5)/9)+1,"000")&amp;"-1")</f>
        <v/>
      </c>
      <c r="C4163" t="str">
        <f>IF(OR(Registro_Compras!$C$466="",Registro_Compras!$O$466=""),"",IF(Registro_Compras!$F$466="NOTA DE CREDITO","4212",IF(Registro_Compras!$M$466="","63",Registro_Compras!$M$466)))</f>
        <v/>
      </c>
      <c r="D4163" t="str">
        <f>IF(OR(Registro_Compras!$C$466="",Registro_Compras!$O$466=""),"",IF(Registro_Compras!$F$466="NOTA DE CREDITO","Cuentas por Pagar Comerciales - Terceros (Emitidas)",IF(Registro_Compras!$F$466="RHE","Honorarios Profesionales - Servicios de Terceros","Gastos de Servicios Prestados por Terceros")))</f>
        <v/>
      </c>
      <c r="E4163" s="20" t="str">
        <f>IF($C4163="","",IF(Registro_Compras!$F$466="NOTA DE CREDITO",ABS(Registro_Compras!$O$466),IF(Registro_Compras!$F$466="RHE",ROUND(Registro_Compras!$L$466*Registro_Compras!$N$466,2),ROUND(Registro_Compras!$J$466*Registro_Compras!$N$466,2))))</f>
        <v/>
      </c>
      <c r="F4163" s="20" t="str">
        <f>""</f>
        <v/>
      </c>
      <c r="G4163" t="str">
        <f>IF($C4163="","",IF(Registro_Compras!$F$466="NOTA DE CREDITO","Por la nota de credito "&amp;Registro_Compras!$C$466&amp;" de "&amp;Registro_Compras!$E$466&amp;" [PATRON POR CONFIRMAR CON CONTADOR]",IF(Registro_Compras!$F$466="RHE","Por el registro del recibo por honorarios "&amp;Registro_Compras!$C$466&amp;" de "&amp;Registro_Compras!$E$466&amp;" [PATRON POR CONFIRMAR CON CONTADOR]","Por el registro de la factura "&amp;Registro_Compras!$C$466&amp;" de "&amp;Registro_Compras!$E$466)))</f>
        <v/>
      </c>
      <c r="H4163" t="str">
        <f>IF($C4163="","",Registro_Compras!$C$466)</f>
        <v/>
      </c>
    </row>
    <row r="4164" spans="1:8" x14ac:dyDescent="0.25">
      <c r="A4164" s="25" t="str">
        <f>IF($C4164="","",Registro_Compras!$B$466)</f>
        <v/>
      </c>
      <c r="B4164" t="str">
        <f>IF($C4164="","","C"&amp;TEXT(INT((ROW()-5)/9)+1,"000")&amp;"-1")</f>
        <v/>
      </c>
      <c r="C4164" t="str">
        <f>IF(OR(Registro_Compras!$C$466="",Registro_Compras!$O$466=""),"",IF(Registro_Compras!$F$466="RHE",IF(Registro_Compras!$V$466=0,"","4017"),IF(Registro_Compras!$F$466="NOTA DE CREDITO",IF(Registro_Compras!$M$466="","63",Registro_Compras!$M$466),IF(Registro_Compras!$K$466=0,"","40111"))))</f>
        <v/>
      </c>
      <c r="D4164" t="str">
        <f>IF(OR(Registro_Compras!$C$466="",Registro_Compras!$O$466=""),"",IF(Registro_Compras!$F$466="RHE","Retencion Renta 4ta Categoria por Pagar",IF(Registro_Compras!$F$466="NOTA DE CREDITO","Gastos de Servicios Prestados por Terceros","IGV - Cuenta Propia (Credito Fiscal)")))</f>
        <v/>
      </c>
      <c r="E4164" s="20" t="str">
        <f>IF($C4164="","",IF(Registro_Compras!$F$466="FACTURA",ROUND(Registro_Compras!$K$466*Registro_Compras!$N$466,2),""))</f>
        <v/>
      </c>
      <c r="F4164" s="20" t="str">
        <f>IF($C4164="","",IF(Registro_Compras!$F$466="RHE",ROUND(Registro_Compras!$V$466*Registro_Compras!$N$466,2),IF(Registro_Compras!$F$466="NOTA DE CREDITO",ROUND(ABS(Registro_Compras!$J$466*Registro_Compras!$N$466),2),"")))</f>
        <v/>
      </c>
      <c r="G4164" t="str">
        <f>IF($C4164="","",IF(Registro_Compras!$F$466="NOTA DE CREDITO","Por la nota de credito "&amp;Registro_Compras!$C$466&amp;" de "&amp;Registro_Compras!$E$466&amp;" [PATRON POR CONFIRMAR CON CONTADOR]",IF(Registro_Compras!$F$466="RHE","Por el registro del recibo por honorarios "&amp;Registro_Compras!$C$466&amp;" de "&amp;Registro_Compras!$E$466&amp;" [PATRON POR CONFIRMAR CON CONTADOR]","Por el registro de la factura "&amp;Registro_Compras!$C$466&amp;" de "&amp;Registro_Compras!$E$466)))</f>
        <v/>
      </c>
      <c r="H4164" t="str">
        <f>IF($C4164="","",Registro_Compras!$C$466)</f>
        <v/>
      </c>
    </row>
    <row r="4165" spans="1:8" x14ac:dyDescent="0.25">
      <c r="A4165" s="25" t="str">
        <f>IF($C4165="","",Registro_Compras!$B$466)</f>
        <v/>
      </c>
      <c r="B4165" t="str">
        <f>IF($C4165="","","C"&amp;TEXT(INT((ROW()-5)/9)+1,"000")&amp;"-1")</f>
        <v/>
      </c>
      <c r="C4165" t="str">
        <f>IF(OR(Registro_Compras!$C$466="",Registro_Compras!$O$466=""),"",IF(Registro_Compras!$F$466="NOTA DE CREDITO",IF(Registro_Compras!$K$466=0,"","40111"),"4212"))</f>
        <v/>
      </c>
      <c r="D4165" t="str">
        <f>IF(OR(Registro_Compras!$C$466="",Registro_Compras!$O$466=""),"",IF(Registro_Compras!$F$466="NOTA DE CREDITO","IGV - Cuenta Propia (Credito Fiscal)","Cuentas por Pagar Comerciales - Terceros (Emitidas)"))</f>
        <v/>
      </c>
      <c r="E4165" s="20" t="str">
        <f>""</f>
        <v/>
      </c>
      <c r="F4165" s="20" t="str">
        <f>IF($C4165="","",IF(Registro_Compras!$F$466="NOTA DE CREDITO",ROUND(ABS(Registro_Compras!$K$466*Registro_Compras!$N$466),2),IF(Registro_Compras!$F$466="RHE",(ROUND(Registro_Compras!$L$466*Registro_Compras!$N$466,2)-ROUND(Registro_Compras!$V$466*Registro_Compras!$N$466,2)),Registro_Compras!$O$466)))</f>
        <v/>
      </c>
      <c r="G4165" t="str">
        <f>IF($C4165="","",IF(Registro_Compras!$F$466="NOTA DE CREDITO","Por la nota de credito "&amp;Registro_Compras!$C$466&amp;" de "&amp;Registro_Compras!$E$466&amp;" [PATRON POR CONFIRMAR CON CONTADOR]",IF(Registro_Compras!$F$466="RHE","Por el registro del recibo por honorarios "&amp;Registro_Compras!$C$466&amp;" de "&amp;Registro_Compras!$E$466&amp;" [PATRON POR CONFIRMAR CON CONTADOR]","Por el registro de la factura "&amp;Registro_Compras!$C$466&amp;" de "&amp;Registro_Compras!$E$466)))</f>
        <v/>
      </c>
      <c r="H4165" t="str">
        <f>IF($C4165="","",Registro_Compras!$C$466)</f>
        <v/>
      </c>
    </row>
    <row r="4166" spans="1:8" x14ac:dyDescent="0.25">
      <c r="A4166" s="25" t="str">
        <f>IF($C4166="","",Registro_Compras!$B$466)</f>
        <v/>
      </c>
      <c r="B4166" t="str">
        <f>IF($C4166="","","C"&amp;TEXT(INT((ROW()-5)/9)+1,"000")&amp;"-2")</f>
        <v/>
      </c>
      <c r="C4166" t="str">
        <f>IF(OR(Registro_Compras!$C$466="",Registro_Compras!$O$466=""),"",IF(Registro_Compras!$AB$466="ADMINISTRATIVO","94","95"))</f>
        <v/>
      </c>
      <c r="D4166" t="str">
        <f>IF(OR(Registro_Compras!$C$466="",Registro_Compras!$O$466=""),"",IF(Registro_Compras!$AB$466="ADMINISTRATIVO","Gastos Administrativos","Gastos de Venta y Operacion"))</f>
        <v/>
      </c>
      <c r="E4166" s="20" t="str">
        <f>IF($C4166="","",IF(Registro_Compras!$F$466="NOTA DE CREDITO","",IF(Registro_Compras!$F$466="RHE",ROUND(Registro_Compras!$L$466*Registro_Compras!$N$466,2),ROUND(Registro_Compras!$J$466*Registro_Compras!$N$466,2))))</f>
        <v/>
      </c>
      <c r="F4166" s="20" t="str">
        <f>IF($C4166="","",IF(Registro_Compras!$F$466="NOTA DE CREDITO",ROUND(ABS(Registro_Compras!$J$466*Registro_Compras!$N$466),2),""))</f>
        <v/>
      </c>
      <c r="G4166" t="str">
        <f>IF($C4166="","","Por el destino del gasto")</f>
        <v/>
      </c>
      <c r="H4166" t="str">
        <f>IF($C4166="","",Registro_Compras!$C$466)</f>
        <v/>
      </c>
    </row>
    <row r="4167" spans="1:8" x14ac:dyDescent="0.25">
      <c r="A4167" s="25" t="str">
        <f>IF($C4167="","",Registro_Compras!$B$466)</f>
        <v/>
      </c>
      <c r="B4167" t="str">
        <f>IF($C4167="","","C"&amp;TEXT(INT((ROW()-5)/9)+1,"000")&amp;"-2")</f>
        <v/>
      </c>
      <c r="C4167" t="str">
        <f>IF(OR(Registro_Compras!$C$466="",Registro_Compras!$O$466=""),"","79/791")</f>
        <v/>
      </c>
      <c r="D4167" t="str">
        <f>IF(OR(Registro_Compras!$C$466="",Registro_Compras!$O$466=""),"","Cargas Imputables a Cuentas de Costos y Gastos")</f>
        <v/>
      </c>
      <c r="E4167" s="20" t="str">
        <f>IF($C4167="","",IF(Registro_Compras!$F$466="NOTA DE CREDITO",ROUND(ABS(Registro_Compras!$J$466*Registro_Compras!$N$466),2),""))</f>
        <v/>
      </c>
      <c r="F4167" s="20" t="str">
        <f>IF($C4167="","",IF(Registro_Compras!$F$466="NOTA DE CREDITO","",IF(Registro_Compras!$F$466="RHE",ROUND(Registro_Compras!$L$466*Registro_Compras!$N$466,2),ROUND(Registro_Compras!$J$466*Registro_Compras!$N$466,2))))</f>
        <v/>
      </c>
      <c r="G4167" t="str">
        <f>IF($C4167="","","Por el destino del gasto")</f>
        <v/>
      </c>
      <c r="H4167" t="str">
        <f>IF($C4167="","",Registro_Compras!$C$466)</f>
        <v/>
      </c>
    </row>
    <row r="4168" spans="1:8" x14ac:dyDescent="0.25">
      <c r="A4168" s="25" t="str">
        <f>IF($C4168="","",Registro_Compras!$X$466)</f>
        <v/>
      </c>
      <c r="B4168" t="str">
        <f>IF($C4168="","","C"&amp;TEXT(INT((ROW()-5)/9)+1,"000")&amp;"-3")</f>
        <v/>
      </c>
      <c r="C4168" t="str">
        <f>IF(OR(Registro_Compras!$C$466="",Registro_Compras!$O$466="",Registro_Compras!$R$466&lt;&gt;"SI",Registro_Compras!$X$466=""),"","4212")</f>
        <v/>
      </c>
      <c r="D4168" t="str">
        <f>IF(OR(Registro_Compras!$C$466="",Registro_Compras!$O$466=""),"","Cuentas por Pagar Comerciales - Terceros")</f>
        <v/>
      </c>
      <c r="E4168" s="20" t="str">
        <f>IF($C4168="","",Registro_Compras!$S$466)</f>
        <v/>
      </c>
      <c r="F4168" s="20" t="str">
        <f>""</f>
        <v/>
      </c>
      <c r="G4168" t="str">
        <f>IF($C4168="","","Por el deposito de la detraccion en el Banco de la Nacion")</f>
        <v/>
      </c>
      <c r="H4168" t="str">
        <f>IF($C4168="","",Registro_Compras!$C$466)</f>
        <v/>
      </c>
    </row>
    <row r="4169" spans="1:8" x14ac:dyDescent="0.25">
      <c r="A4169" s="25" t="str">
        <f>IF($C4169="","",Registro_Compras!$X$466)</f>
        <v/>
      </c>
      <c r="B4169" t="str">
        <f>IF($C4169="","","C"&amp;TEXT(INT((ROW()-5)/9)+1,"000")&amp;"-3")</f>
        <v/>
      </c>
      <c r="C4169" t="str">
        <f>IF(OR(Registro_Compras!$C$466="",Registro_Compras!$O$466="",Registro_Compras!$R$466&lt;&gt;"SI",Registro_Compras!$X$466=""),"","1041")</f>
        <v/>
      </c>
      <c r="D4169" t="str">
        <f>IF(OR(Registro_Compras!$C$466="",Registro_Compras!$O$466=""),"","Efectivo y Equivalentes - Cta. Cte. Operativa")</f>
        <v/>
      </c>
      <c r="E4169" s="20" t="str">
        <f>""</f>
        <v/>
      </c>
      <c r="F4169" s="20" t="str">
        <f>IF($C4169="","",Registro_Compras!$S$466)</f>
        <v/>
      </c>
      <c r="G4169" t="str">
        <f>IF($C4169="","","Por el deposito de la detraccion en el Banco de la Nacion")</f>
        <v/>
      </c>
      <c r="H4169" t="str">
        <f>IF($C4169="","",Registro_Compras!$C$466)</f>
        <v/>
      </c>
    </row>
    <row r="4170" spans="1:8" x14ac:dyDescent="0.25">
      <c r="A4170" s="25" t="str">
        <f>IF($C4170="","",Registro_Compras!$Y$466)</f>
        <v/>
      </c>
      <c r="B4170" t="str">
        <f>IF($C4170="","","C"&amp;TEXT(INT((ROW()-5)/9)+1,"000")&amp;"-4")</f>
        <v/>
      </c>
      <c r="C4170" t="str">
        <f>IF(OR(Registro_Compras!$C$466="",Registro_Compras!$O$466="",Registro_Compras!$Y$466="",Registro_Compras!$F$466="NOTA DE CREDITO"),"","4212")</f>
        <v/>
      </c>
      <c r="D4170" t="str">
        <f>IF(OR(Registro_Compras!$C$466="",Registro_Compras!$O$466=""),"","Cuentas por Pagar Comerciales - Terceros")</f>
        <v/>
      </c>
      <c r="E4170" s="20" t="str">
        <f>IF($C4170="","",IF(Registro_Compras!$F$466="RHE",(ROUND(Registro_Compras!$L$466*Registro_Compras!$N$466,2)-ROUND(Registro_Compras!$V$466*Registro_Compras!$N$466,2)),ROUND(Registro_Compras!$O$466-Registro_Compras!$S$466,2)))</f>
        <v/>
      </c>
      <c r="F4170" s="20" t="str">
        <f>""</f>
        <v/>
      </c>
      <c r="G4170" t="str">
        <f>IF($C4170="","","Por la cancelacion del saldo al proveedor")</f>
        <v/>
      </c>
      <c r="H4170" t="str">
        <f>IF($C4170="","",Registro_Compras!$C$466)</f>
        <v/>
      </c>
    </row>
    <row r="4171" spans="1:8" x14ac:dyDescent="0.25">
      <c r="A4171" s="25" t="str">
        <f>IF($C4171="","",Registro_Compras!$Y$466)</f>
        <v/>
      </c>
      <c r="B4171" t="str">
        <f>IF($C4171="","","C"&amp;TEXT(INT((ROW()-5)/9)+1,"000")&amp;"-4")</f>
        <v/>
      </c>
      <c r="C4171" t="str">
        <f>IF(OR(Registro_Compras!$C$466="",Registro_Compras!$O$466="",Registro_Compras!$Y$466="",Registro_Compras!$F$466="NOTA DE CREDITO"),"","1041")</f>
        <v/>
      </c>
      <c r="D4171" t="str">
        <f>IF(OR(Registro_Compras!$C$466="",Registro_Compras!$O$466=""),"","Efectivo y Equivalentes - Cta. Cte. Operativa")</f>
        <v/>
      </c>
      <c r="E4171" s="20" t="str">
        <f>""</f>
        <v/>
      </c>
      <c r="F4171" s="20" t="str">
        <f>IF($C4171="","",IF(Registro_Compras!$F$466="RHE",(ROUND(Registro_Compras!$L$466*Registro_Compras!$N$466,2)-ROUND(Registro_Compras!$V$466*Registro_Compras!$N$466,2)),ROUND(Registro_Compras!$O$466-Registro_Compras!$S$466,2)))</f>
        <v/>
      </c>
      <c r="G4171" t="str">
        <f>IF($C4171="","","Por la cancelacion del saldo al proveedor")</f>
        <v/>
      </c>
      <c r="H4171" t="str">
        <f>IF($C4171="","",Registro_Compras!$C$466)</f>
        <v/>
      </c>
    </row>
    <row r="4172" spans="1:8" x14ac:dyDescent="0.25">
      <c r="A4172" s="25" t="str">
        <f>IF($C4172="","",Registro_Compras!$B$467)</f>
        <v/>
      </c>
      <c r="B4172" t="str">
        <f>IF($C4172="","","C"&amp;TEXT(INT((ROW()-5)/9)+1,"000")&amp;"-1")</f>
        <v/>
      </c>
      <c r="C4172" t="str">
        <f>IF(OR(Registro_Compras!$C$467="",Registro_Compras!$O$467=""),"",IF(Registro_Compras!$F$467="NOTA DE CREDITO","4212",IF(Registro_Compras!$M$467="","63",Registro_Compras!$M$467)))</f>
        <v/>
      </c>
      <c r="D4172" t="str">
        <f>IF(OR(Registro_Compras!$C$467="",Registro_Compras!$O$467=""),"",IF(Registro_Compras!$F$467="NOTA DE CREDITO","Cuentas por Pagar Comerciales - Terceros (Emitidas)",IF(Registro_Compras!$F$467="RHE","Honorarios Profesionales - Servicios de Terceros","Gastos de Servicios Prestados por Terceros")))</f>
        <v/>
      </c>
      <c r="E4172" s="20" t="str">
        <f>IF($C4172="","",IF(Registro_Compras!$F$467="NOTA DE CREDITO",ABS(Registro_Compras!$O$467),IF(Registro_Compras!$F$467="RHE",ROUND(Registro_Compras!$L$467*Registro_Compras!$N$467,2),ROUND(Registro_Compras!$J$467*Registro_Compras!$N$467,2))))</f>
        <v/>
      </c>
      <c r="F4172" s="20" t="str">
        <f>""</f>
        <v/>
      </c>
      <c r="G4172" t="str">
        <f>IF($C4172="","",IF(Registro_Compras!$F$467="NOTA DE CREDITO","Por la nota de credito "&amp;Registro_Compras!$C$467&amp;" de "&amp;Registro_Compras!$E$467&amp;" [PATRON POR CONFIRMAR CON CONTADOR]",IF(Registro_Compras!$F$467="RHE","Por el registro del recibo por honorarios "&amp;Registro_Compras!$C$467&amp;" de "&amp;Registro_Compras!$E$467&amp;" [PATRON POR CONFIRMAR CON CONTADOR]","Por el registro de la factura "&amp;Registro_Compras!$C$467&amp;" de "&amp;Registro_Compras!$E$467)))</f>
        <v/>
      </c>
      <c r="H4172" t="str">
        <f>IF($C4172="","",Registro_Compras!$C$467)</f>
        <v/>
      </c>
    </row>
    <row r="4173" spans="1:8" x14ac:dyDescent="0.25">
      <c r="A4173" s="25" t="str">
        <f>IF($C4173="","",Registro_Compras!$B$467)</f>
        <v/>
      </c>
      <c r="B4173" t="str">
        <f>IF($C4173="","","C"&amp;TEXT(INT((ROW()-5)/9)+1,"000")&amp;"-1")</f>
        <v/>
      </c>
      <c r="C4173" t="str">
        <f>IF(OR(Registro_Compras!$C$467="",Registro_Compras!$O$467=""),"",IF(Registro_Compras!$F$467="RHE",IF(Registro_Compras!$V$467=0,"","4017"),IF(Registro_Compras!$F$467="NOTA DE CREDITO",IF(Registro_Compras!$M$467="","63",Registro_Compras!$M$467),IF(Registro_Compras!$K$467=0,"","40111"))))</f>
        <v/>
      </c>
      <c r="D4173" t="str">
        <f>IF(OR(Registro_Compras!$C$467="",Registro_Compras!$O$467=""),"",IF(Registro_Compras!$F$467="RHE","Retencion Renta 4ta Categoria por Pagar",IF(Registro_Compras!$F$467="NOTA DE CREDITO","Gastos de Servicios Prestados por Terceros","IGV - Cuenta Propia (Credito Fiscal)")))</f>
        <v/>
      </c>
      <c r="E4173" s="20" t="str">
        <f>IF($C4173="","",IF(Registro_Compras!$F$467="FACTURA",ROUND(Registro_Compras!$K$467*Registro_Compras!$N$467,2),""))</f>
        <v/>
      </c>
      <c r="F4173" s="20" t="str">
        <f>IF($C4173="","",IF(Registro_Compras!$F$467="RHE",ROUND(Registro_Compras!$V$467*Registro_Compras!$N$467,2),IF(Registro_Compras!$F$467="NOTA DE CREDITO",ROUND(ABS(Registro_Compras!$J$467*Registro_Compras!$N$467),2),"")))</f>
        <v/>
      </c>
      <c r="G4173" t="str">
        <f>IF($C4173="","",IF(Registro_Compras!$F$467="NOTA DE CREDITO","Por la nota de credito "&amp;Registro_Compras!$C$467&amp;" de "&amp;Registro_Compras!$E$467&amp;" [PATRON POR CONFIRMAR CON CONTADOR]",IF(Registro_Compras!$F$467="RHE","Por el registro del recibo por honorarios "&amp;Registro_Compras!$C$467&amp;" de "&amp;Registro_Compras!$E$467&amp;" [PATRON POR CONFIRMAR CON CONTADOR]","Por el registro de la factura "&amp;Registro_Compras!$C$467&amp;" de "&amp;Registro_Compras!$E$467)))</f>
        <v/>
      </c>
      <c r="H4173" t="str">
        <f>IF($C4173="","",Registro_Compras!$C$467)</f>
        <v/>
      </c>
    </row>
    <row r="4174" spans="1:8" x14ac:dyDescent="0.25">
      <c r="A4174" s="25" t="str">
        <f>IF($C4174="","",Registro_Compras!$B$467)</f>
        <v/>
      </c>
      <c r="B4174" t="str">
        <f>IF($C4174="","","C"&amp;TEXT(INT((ROW()-5)/9)+1,"000")&amp;"-1")</f>
        <v/>
      </c>
      <c r="C4174" t="str">
        <f>IF(OR(Registro_Compras!$C$467="",Registro_Compras!$O$467=""),"",IF(Registro_Compras!$F$467="NOTA DE CREDITO",IF(Registro_Compras!$K$467=0,"","40111"),"4212"))</f>
        <v/>
      </c>
      <c r="D4174" t="str">
        <f>IF(OR(Registro_Compras!$C$467="",Registro_Compras!$O$467=""),"",IF(Registro_Compras!$F$467="NOTA DE CREDITO","IGV - Cuenta Propia (Credito Fiscal)","Cuentas por Pagar Comerciales - Terceros (Emitidas)"))</f>
        <v/>
      </c>
      <c r="E4174" s="20" t="str">
        <f>""</f>
        <v/>
      </c>
      <c r="F4174" s="20" t="str">
        <f>IF($C4174="","",IF(Registro_Compras!$F$467="NOTA DE CREDITO",ROUND(ABS(Registro_Compras!$K$467*Registro_Compras!$N$467),2),IF(Registro_Compras!$F$467="RHE",(ROUND(Registro_Compras!$L$467*Registro_Compras!$N$467,2)-ROUND(Registro_Compras!$V$467*Registro_Compras!$N$467,2)),Registro_Compras!$O$467)))</f>
        <v/>
      </c>
      <c r="G4174" t="str">
        <f>IF($C4174="","",IF(Registro_Compras!$F$467="NOTA DE CREDITO","Por la nota de credito "&amp;Registro_Compras!$C$467&amp;" de "&amp;Registro_Compras!$E$467&amp;" [PATRON POR CONFIRMAR CON CONTADOR]",IF(Registro_Compras!$F$467="RHE","Por el registro del recibo por honorarios "&amp;Registro_Compras!$C$467&amp;" de "&amp;Registro_Compras!$E$467&amp;" [PATRON POR CONFIRMAR CON CONTADOR]","Por el registro de la factura "&amp;Registro_Compras!$C$467&amp;" de "&amp;Registro_Compras!$E$467)))</f>
        <v/>
      </c>
      <c r="H4174" t="str">
        <f>IF($C4174="","",Registro_Compras!$C$467)</f>
        <v/>
      </c>
    </row>
    <row r="4175" spans="1:8" x14ac:dyDescent="0.25">
      <c r="A4175" s="25" t="str">
        <f>IF($C4175="","",Registro_Compras!$B$467)</f>
        <v/>
      </c>
      <c r="B4175" t="str">
        <f>IF($C4175="","","C"&amp;TEXT(INT((ROW()-5)/9)+1,"000")&amp;"-2")</f>
        <v/>
      </c>
      <c r="C4175" t="str">
        <f>IF(OR(Registro_Compras!$C$467="",Registro_Compras!$O$467=""),"",IF(Registro_Compras!$AB$467="ADMINISTRATIVO","94","95"))</f>
        <v/>
      </c>
      <c r="D4175" t="str">
        <f>IF(OR(Registro_Compras!$C$467="",Registro_Compras!$O$467=""),"",IF(Registro_Compras!$AB$467="ADMINISTRATIVO","Gastos Administrativos","Gastos de Venta y Operacion"))</f>
        <v/>
      </c>
      <c r="E4175" s="20" t="str">
        <f>IF($C4175="","",IF(Registro_Compras!$F$467="NOTA DE CREDITO","",IF(Registro_Compras!$F$467="RHE",ROUND(Registro_Compras!$L$467*Registro_Compras!$N$467,2),ROUND(Registro_Compras!$J$467*Registro_Compras!$N$467,2))))</f>
        <v/>
      </c>
      <c r="F4175" s="20" t="str">
        <f>IF($C4175="","",IF(Registro_Compras!$F$467="NOTA DE CREDITO",ROUND(ABS(Registro_Compras!$J$467*Registro_Compras!$N$467),2),""))</f>
        <v/>
      </c>
      <c r="G4175" t="str">
        <f>IF($C4175="","","Por el destino del gasto")</f>
        <v/>
      </c>
      <c r="H4175" t="str">
        <f>IF($C4175="","",Registro_Compras!$C$467)</f>
        <v/>
      </c>
    </row>
    <row r="4176" spans="1:8" x14ac:dyDescent="0.25">
      <c r="A4176" s="25" t="str">
        <f>IF($C4176="","",Registro_Compras!$B$467)</f>
        <v/>
      </c>
      <c r="B4176" t="str">
        <f>IF($C4176="","","C"&amp;TEXT(INT((ROW()-5)/9)+1,"000")&amp;"-2")</f>
        <v/>
      </c>
      <c r="C4176" t="str">
        <f>IF(OR(Registro_Compras!$C$467="",Registro_Compras!$O$467=""),"","79/791")</f>
        <v/>
      </c>
      <c r="D4176" t="str">
        <f>IF(OR(Registro_Compras!$C$467="",Registro_Compras!$O$467=""),"","Cargas Imputables a Cuentas de Costos y Gastos")</f>
        <v/>
      </c>
      <c r="E4176" s="20" t="str">
        <f>IF($C4176="","",IF(Registro_Compras!$F$467="NOTA DE CREDITO",ROUND(ABS(Registro_Compras!$J$467*Registro_Compras!$N$467),2),""))</f>
        <v/>
      </c>
      <c r="F4176" s="20" t="str">
        <f>IF($C4176="","",IF(Registro_Compras!$F$467="NOTA DE CREDITO","",IF(Registro_Compras!$F$467="RHE",ROUND(Registro_Compras!$L$467*Registro_Compras!$N$467,2),ROUND(Registro_Compras!$J$467*Registro_Compras!$N$467,2))))</f>
        <v/>
      </c>
      <c r="G4176" t="str">
        <f>IF($C4176="","","Por el destino del gasto")</f>
        <v/>
      </c>
      <c r="H4176" t="str">
        <f>IF($C4176="","",Registro_Compras!$C$467)</f>
        <v/>
      </c>
    </row>
    <row r="4177" spans="1:8" x14ac:dyDescent="0.25">
      <c r="A4177" s="25" t="str">
        <f>IF($C4177="","",Registro_Compras!$X$467)</f>
        <v/>
      </c>
      <c r="B4177" t="str">
        <f>IF($C4177="","","C"&amp;TEXT(INT((ROW()-5)/9)+1,"000")&amp;"-3")</f>
        <v/>
      </c>
      <c r="C4177" t="str">
        <f>IF(OR(Registro_Compras!$C$467="",Registro_Compras!$O$467="",Registro_Compras!$R$467&lt;&gt;"SI",Registro_Compras!$X$467=""),"","4212")</f>
        <v/>
      </c>
      <c r="D4177" t="str">
        <f>IF(OR(Registro_Compras!$C$467="",Registro_Compras!$O$467=""),"","Cuentas por Pagar Comerciales - Terceros")</f>
        <v/>
      </c>
      <c r="E4177" s="20" t="str">
        <f>IF($C4177="","",Registro_Compras!$S$467)</f>
        <v/>
      </c>
      <c r="F4177" s="20" t="str">
        <f>""</f>
        <v/>
      </c>
      <c r="G4177" t="str">
        <f>IF($C4177="","","Por el deposito de la detraccion en el Banco de la Nacion")</f>
        <v/>
      </c>
      <c r="H4177" t="str">
        <f>IF($C4177="","",Registro_Compras!$C$467)</f>
        <v/>
      </c>
    </row>
    <row r="4178" spans="1:8" x14ac:dyDescent="0.25">
      <c r="A4178" s="25" t="str">
        <f>IF($C4178="","",Registro_Compras!$X$467)</f>
        <v/>
      </c>
      <c r="B4178" t="str">
        <f>IF($C4178="","","C"&amp;TEXT(INT((ROW()-5)/9)+1,"000")&amp;"-3")</f>
        <v/>
      </c>
      <c r="C4178" t="str">
        <f>IF(OR(Registro_Compras!$C$467="",Registro_Compras!$O$467="",Registro_Compras!$R$467&lt;&gt;"SI",Registro_Compras!$X$467=""),"","1041")</f>
        <v/>
      </c>
      <c r="D4178" t="str">
        <f>IF(OR(Registro_Compras!$C$467="",Registro_Compras!$O$467=""),"","Efectivo y Equivalentes - Cta. Cte. Operativa")</f>
        <v/>
      </c>
      <c r="E4178" s="20" t="str">
        <f>""</f>
        <v/>
      </c>
      <c r="F4178" s="20" t="str">
        <f>IF($C4178="","",Registro_Compras!$S$467)</f>
        <v/>
      </c>
      <c r="G4178" t="str">
        <f>IF($C4178="","","Por el deposito de la detraccion en el Banco de la Nacion")</f>
        <v/>
      </c>
      <c r="H4178" t="str">
        <f>IF($C4178="","",Registro_Compras!$C$467)</f>
        <v/>
      </c>
    </row>
    <row r="4179" spans="1:8" x14ac:dyDescent="0.25">
      <c r="A4179" s="25" t="str">
        <f>IF($C4179="","",Registro_Compras!$Y$467)</f>
        <v/>
      </c>
      <c r="B4179" t="str">
        <f>IF($C4179="","","C"&amp;TEXT(INT((ROW()-5)/9)+1,"000")&amp;"-4")</f>
        <v/>
      </c>
      <c r="C4179" t="str">
        <f>IF(OR(Registro_Compras!$C$467="",Registro_Compras!$O$467="",Registro_Compras!$Y$467="",Registro_Compras!$F$467="NOTA DE CREDITO"),"","4212")</f>
        <v/>
      </c>
      <c r="D4179" t="str">
        <f>IF(OR(Registro_Compras!$C$467="",Registro_Compras!$O$467=""),"","Cuentas por Pagar Comerciales - Terceros")</f>
        <v/>
      </c>
      <c r="E4179" s="20" t="str">
        <f>IF($C4179="","",IF(Registro_Compras!$F$467="RHE",(ROUND(Registro_Compras!$L$467*Registro_Compras!$N$467,2)-ROUND(Registro_Compras!$V$467*Registro_Compras!$N$467,2)),ROUND(Registro_Compras!$O$467-Registro_Compras!$S$467,2)))</f>
        <v/>
      </c>
      <c r="F4179" s="20" t="str">
        <f>""</f>
        <v/>
      </c>
      <c r="G4179" t="str">
        <f>IF($C4179="","","Por la cancelacion del saldo al proveedor")</f>
        <v/>
      </c>
      <c r="H4179" t="str">
        <f>IF($C4179="","",Registro_Compras!$C$467)</f>
        <v/>
      </c>
    </row>
    <row r="4180" spans="1:8" x14ac:dyDescent="0.25">
      <c r="A4180" s="25" t="str">
        <f>IF($C4180="","",Registro_Compras!$Y$467)</f>
        <v/>
      </c>
      <c r="B4180" t="str">
        <f>IF($C4180="","","C"&amp;TEXT(INT((ROW()-5)/9)+1,"000")&amp;"-4")</f>
        <v/>
      </c>
      <c r="C4180" t="str">
        <f>IF(OR(Registro_Compras!$C$467="",Registro_Compras!$O$467="",Registro_Compras!$Y$467="",Registro_Compras!$F$467="NOTA DE CREDITO"),"","1041")</f>
        <v/>
      </c>
      <c r="D4180" t="str">
        <f>IF(OR(Registro_Compras!$C$467="",Registro_Compras!$O$467=""),"","Efectivo y Equivalentes - Cta. Cte. Operativa")</f>
        <v/>
      </c>
      <c r="E4180" s="20" t="str">
        <f>""</f>
        <v/>
      </c>
      <c r="F4180" s="20" t="str">
        <f>IF($C4180="","",IF(Registro_Compras!$F$467="RHE",(ROUND(Registro_Compras!$L$467*Registro_Compras!$N$467,2)-ROUND(Registro_Compras!$V$467*Registro_Compras!$N$467,2)),ROUND(Registro_Compras!$O$467-Registro_Compras!$S$467,2)))</f>
        <v/>
      </c>
      <c r="G4180" t="str">
        <f>IF($C4180="","","Por la cancelacion del saldo al proveedor")</f>
        <v/>
      </c>
      <c r="H4180" t="str">
        <f>IF($C4180="","",Registro_Compras!$C$467)</f>
        <v/>
      </c>
    </row>
    <row r="4181" spans="1:8" x14ac:dyDescent="0.25">
      <c r="A4181" s="25" t="str">
        <f>IF($C4181="","",Registro_Compras!$B$468)</f>
        <v/>
      </c>
      <c r="B4181" t="str">
        <f>IF($C4181="","","C"&amp;TEXT(INT((ROW()-5)/9)+1,"000")&amp;"-1")</f>
        <v/>
      </c>
      <c r="C4181" t="str">
        <f>IF(OR(Registro_Compras!$C$468="",Registro_Compras!$O$468=""),"",IF(Registro_Compras!$F$468="NOTA DE CREDITO","4212",IF(Registro_Compras!$M$468="","63",Registro_Compras!$M$468)))</f>
        <v/>
      </c>
      <c r="D4181" t="str">
        <f>IF(OR(Registro_Compras!$C$468="",Registro_Compras!$O$468=""),"",IF(Registro_Compras!$F$468="NOTA DE CREDITO","Cuentas por Pagar Comerciales - Terceros (Emitidas)",IF(Registro_Compras!$F$468="RHE","Honorarios Profesionales - Servicios de Terceros","Gastos de Servicios Prestados por Terceros")))</f>
        <v/>
      </c>
      <c r="E4181" s="20" t="str">
        <f>IF($C4181="","",IF(Registro_Compras!$F$468="NOTA DE CREDITO",ABS(Registro_Compras!$O$468),IF(Registro_Compras!$F$468="RHE",ROUND(Registro_Compras!$L$468*Registro_Compras!$N$468,2),ROUND(Registro_Compras!$J$468*Registro_Compras!$N$468,2))))</f>
        <v/>
      </c>
      <c r="F4181" s="20" t="str">
        <f>""</f>
        <v/>
      </c>
      <c r="G4181" t="str">
        <f>IF($C4181="","",IF(Registro_Compras!$F$468="NOTA DE CREDITO","Por la nota de credito "&amp;Registro_Compras!$C$468&amp;" de "&amp;Registro_Compras!$E$468&amp;" [PATRON POR CONFIRMAR CON CONTADOR]",IF(Registro_Compras!$F$468="RHE","Por el registro del recibo por honorarios "&amp;Registro_Compras!$C$468&amp;" de "&amp;Registro_Compras!$E$468&amp;" [PATRON POR CONFIRMAR CON CONTADOR]","Por el registro de la factura "&amp;Registro_Compras!$C$468&amp;" de "&amp;Registro_Compras!$E$468)))</f>
        <v/>
      </c>
      <c r="H4181" t="str">
        <f>IF($C4181="","",Registro_Compras!$C$468)</f>
        <v/>
      </c>
    </row>
    <row r="4182" spans="1:8" x14ac:dyDescent="0.25">
      <c r="A4182" s="25" t="str">
        <f>IF($C4182="","",Registro_Compras!$B$468)</f>
        <v/>
      </c>
      <c r="B4182" t="str">
        <f>IF($C4182="","","C"&amp;TEXT(INT((ROW()-5)/9)+1,"000")&amp;"-1")</f>
        <v/>
      </c>
      <c r="C4182" t="str">
        <f>IF(OR(Registro_Compras!$C$468="",Registro_Compras!$O$468=""),"",IF(Registro_Compras!$F$468="RHE",IF(Registro_Compras!$V$468=0,"","4017"),IF(Registro_Compras!$F$468="NOTA DE CREDITO",IF(Registro_Compras!$M$468="","63",Registro_Compras!$M$468),IF(Registro_Compras!$K$468=0,"","40111"))))</f>
        <v/>
      </c>
      <c r="D4182" t="str">
        <f>IF(OR(Registro_Compras!$C$468="",Registro_Compras!$O$468=""),"",IF(Registro_Compras!$F$468="RHE","Retencion Renta 4ta Categoria por Pagar",IF(Registro_Compras!$F$468="NOTA DE CREDITO","Gastos de Servicios Prestados por Terceros","IGV - Cuenta Propia (Credito Fiscal)")))</f>
        <v/>
      </c>
      <c r="E4182" s="20" t="str">
        <f>IF($C4182="","",IF(Registro_Compras!$F$468="FACTURA",ROUND(Registro_Compras!$K$468*Registro_Compras!$N$468,2),""))</f>
        <v/>
      </c>
      <c r="F4182" s="20" t="str">
        <f>IF($C4182="","",IF(Registro_Compras!$F$468="RHE",ROUND(Registro_Compras!$V$468*Registro_Compras!$N$468,2),IF(Registro_Compras!$F$468="NOTA DE CREDITO",ROUND(ABS(Registro_Compras!$J$468*Registro_Compras!$N$468),2),"")))</f>
        <v/>
      </c>
      <c r="G4182" t="str">
        <f>IF($C4182="","",IF(Registro_Compras!$F$468="NOTA DE CREDITO","Por la nota de credito "&amp;Registro_Compras!$C$468&amp;" de "&amp;Registro_Compras!$E$468&amp;" [PATRON POR CONFIRMAR CON CONTADOR]",IF(Registro_Compras!$F$468="RHE","Por el registro del recibo por honorarios "&amp;Registro_Compras!$C$468&amp;" de "&amp;Registro_Compras!$E$468&amp;" [PATRON POR CONFIRMAR CON CONTADOR]","Por el registro de la factura "&amp;Registro_Compras!$C$468&amp;" de "&amp;Registro_Compras!$E$468)))</f>
        <v/>
      </c>
      <c r="H4182" t="str">
        <f>IF($C4182="","",Registro_Compras!$C$468)</f>
        <v/>
      </c>
    </row>
    <row r="4183" spans="1:8" x14ac:dyDescent="0.25">
      <c r="A4183" s="25" t="str">
        <f>IF($C4183="","",Registro_Compras!$B$468)</f>
        <v/>
      </c>
      <c r="B4183" t="str">
        <f>IF($C4183="","","C"&amp;TEXT(INT((ROW()-5)/9)+1,"000")&amp;"-1")</f>
        <v/>
      </c>
      <c r="C4183" t="str">
        <f>IF(OR(Registro_Compras!$C$468="",Registro_Compras!$O$468=""),"",IF(Registro_Compras!$F$468="NOTA DE CREDITO",IF(Registro_Compras!$K$468=0,"","40111"),"4212"))</f>
        <v/>
      </c>
      <c r="D4183" t="str">
        <f>IF(OR(Registro_Compras!$C$468="",Registro_Compras!$O$468=""),"",IF(Registro_Compras!$F$468="NOTA DE CREDITO","IGV - Cuenta Propia (Credito Fiscal)","Cuentas por Pagar Comerciales - Terceros (Emitidas)"))</f>
        <v/>
      </c>
      <c r="E4183" s="20" t="str">
        <f>""</f>
        <v/>
      </c>
      <c r="F4183" s="20" t="str">
        <f>IF($C4183="","",IF(Registro_Compras!$F$468="NOTA DE CREDITO",ROUND(ABS(Registro_Compras!$K$468*Registro_Compras!$N$468),2),IF(Registro_Compras!$F$468="RHE",(ROUND(Registro_Compras!$L$468*Registro_Compras!$N$468,2)-ROUND(Registro_Compras!$V$468*Registro_Compras!$N$468,2)),Registro_Compras!$O$468)))</f>
        <v/>
      </c>
      <c r="G4183" t="str">
        <f>IF($C4183="","",IF(Registro_Compras!$F$468="NOTA DE CREDITO","Por la nota de credito "&amp;Registro_Compras!$C$468&amp;" de "&amp;Registro_Compras!$E$468&amp;" [PATRON POR CONFIRMAR CON CONTADOR]",IF(Registro_Compras!$F$468="RHE","Por el registro del recibo por honorarios "&amp;Registro_Compras!$C$468&amp;" de "&amp;Registro_Compras!$E$468&amp;" [PATRON POR CONFIRMAR CON CONTADOR]","Por el registro de la factura "&amp;Registro_Compras!$C$468&amp;" de "&amp;Registro_Compras!$E$468)))</f>
        <v/>
      </c>
      <c r="H4183" t="str">
        <f>IF($C4183="","",Registro_Compras!$C$468)</f>
        <v/>
      </c>
    </row>
    <row r="4184" spans="1:8" x14ac:dyDescent="0.25">
      <c r="A4184" s="25" t="str">
        <f>IF($C4184="","",Registro_Compras!$B$468)</f>
        <v/>
      </c>
      <c r="B4184" t="str">
        <f>IF($C4184="","","C"&amp;TEXT(INT((ROW()-5)/9)+1,"000")&amp;"-2")</f>
        <v/>
      </c>
      <c r="C4184" t="str">
        <f>IF(OR(Registro_Compras!$C$468="",Registro_Compras!$O$468=""),"",IF(Registro_Compras!$AB$468="ADMINISTRATIVO","94","95"))</f>
        <v/>
      </c>
      <c r="D4184" t="str">
        <f>IF(OR(Registro_Compras!$C$468="",Registro_Compras!$O$468=""),"",IF(Registro_Compras!$AB$468="ADMINISTRATIVO","Gastos Administrativos","Gastos de Venta y Operacion"))</f>
        <v/>
      </c>
      <c r="E4184" s="20" t="str">
        <f>IF($C4184="","",IF(Registro_Compras!$F$468="NOTA DE CREDITO","",IF(Registro_Compras!$F$468="RHE",ROUND(Registro_Compras!$L$468*Registro_Compras!$N$468,2),ROUND(Registro_Compras!$J$468*Registro_Compras!$N$468,2))))</f>
        <v/>
      </c>
      <c r="F4184" s="20" t="str">
        <f>IF($C4184="","",IF(Registro_Compras!$F$468="NOTA DE CREDITO",ROUND(ABS(Registro_Compras!$J$468*Registro_Compras!$N$468),2),""))</f>
        <v/>
      </c>
      <c r="G4184" t="str">
        <f>IF($C4184="","","Por el destino del gasto")</f>
        <v/>
      </c>
      <c r="H4184" t="str">
        <f>IF($C4184="","",Registro_Compras!$C$468)</f>
        <v/>
      </c>
    </row>
    <row r="4185" spans="1:8" x14ac:dyDescent="0.25">
      <c r="A4185" s="25" t="str">
        <f>IF($C4185="","",Registro_Compras!$B$468)</f>
        <v/>
      </c>
      <c r="B4185" t="str">
        <f>IF($C4185="","","C"&amp;TEXT(INT((ROW()-5)/9)+1,"000")&amp;"-2")</f>
        <v/>
      </c>
      <c r="C4185" t="str">
        <f>IF(OR(Registro_Compras!$C$468="",Registro_Compras!$O$468=""),"","79/791")</f>
        <v/>
      </c>
      <c r="D4185" t="str">
        <f>IF(OR(Registro_Compras!$C$468="",Registro_Compras!$O$468=""),"","Cargas Imputables a Cuentas de Costos y Gastos")</f>
        <v/>
      </c>
      <c r="E4185" s="20" t="str">
        <f>IF($C4185="","",IF(Registro_Compras!$F$468="NOTA DE CREDITO",ROUND(ABS(Registro_Compras!$J$468*Registro_Compras!$N$468),2),""))</f>
        <v/>
      </c>
      <c r="F4185" s="20" t="str">
        <f>IF($C4185="","",IF(Registro_Compras!$F$468="NOTA DE CREDITO","",IF(Registro_Compras!$F$468="RHE",ROUND(Registro_Compras!$L$468*Registro_Compras!$N$468,2),ROUND(Registro_Compras!$J$468*Registro_Compras!$N$468,2))))</f>
        <v/>
      </c>
      <c r="G4185" t="str">
        <f>IF($C4185="","","Por el destino del gasto")</f>
        <v/>
      </c>
      <c r="H4185" t="str">
        <f>IF($C4185="","",Registro_Compras!$C$468)</f>
        <v/>
      </c>
    </row>
    <row r="4186" spans="1:8" x14ac:dyDescent="0.25">
      <c r="A4186" s="25" t="str">
        <f>IF($C4186="","",Registro_Compras!$X$468)</f>
        <v/>
      </c>
      <c r="B4186" t="str">
        <f>IF($C4186="","","C"&amp;TEXT(INT((ROW()-5)/9)+1,"000")&amp;"-3")</f>
        <v/>
      </c>
      <c r="C4186" t="str">
        <f>IF(OR(Registro_Compras!$C$468="",Registro_Compras!$O$468="",Registro_Compras!$R$468&lt;&gt;"SI",Registro_Compras!$X$468=""),"","4212")</f>
        <v/>
      </c>
      <c r="D4186" t="str">
        <f>IF(OR(Registro_Compras!$C$468="",Registro_Compras!$O$468=""),"","Cuentas por Pagar Comerciales - Terceros")</f>
        <v/>
      </c>
      <c r="E4186" s="20" t="str">
        <f>IF($C4186="","",Registro_Compras!$S$468)</f>
        <v/>
      </c>
      <c r="F4186" s="20" t="str">
        <f>""</f>
        <v/>
      </c>
      <c r="G4186" t="str">
        <f>IF($C4186="","","Por el deposito de la detraccion en el Banco de la Nacion")</f>
        <v/>
      </c>
      <c r="H4186" t="str">
        <f>IF($C4186="","",Registro_Compras!$C$468)</f>
        <v/>
      </c>
    </row>
    <row r="4187" spans="1:8" x14ac:dyDescent="0.25">
      <c r="A4187" s="25" t="str">
        <f>IF($C4187="","",Registro_Compras!$X$468)</f>
        <v/>
      </c>
      <c r="B4187" t="str">
        <f>IF($C4187="","","C"&amp;TEXT(INT((ROW()-5)/9)+1,"000")&amp;"-3")</f>
        <v/>
      </c>
      <c r="C4187" t="str">
        <f>IF(OR(Registro_Compras!$C$468="",Registro_Compras!$O$468="",Registro_Compras!$R$468&lt;&gt;"SI",Registro_Compras!$X$468=""),"","1041")</f>
        <v/>
      </c>
      <c r="D4187" t="str">
        <f>IF(OR(Registro_Compras!$C$468="",Registro_Compras!$O$468=""),"","Efectivo y Equivalentes - Cta. Cte. Operativa")</f>
        <v/>
      </c>
      <c r="E4187" s="20" t="str">
        <f>""</f>
        <v/>
      </c>
      <c r="F4187" s="20" t="str">
        <f>IF($C4187="","",Registro_Compras!$S$468)</f>
        <v/>
      </c>
      <c r="G4187" t="str">
        <f>IF($C4187="","","Por el deposito de la detraccion en el Banco de la Nacion")</f>
        <v/>
      </c>
      <c r="H4187" t="str">
        <f>IF($C4187="","",Registro_Compras!$C$468)</f>
        <v/>
      </c>
    </row>
    <row r="4188" spans="1:8" x14ac:dyDescent="0.25">
      <c r="A4188" s="25" t="str">
        <f>IF($C4188="","",Registro_Compras!$Y$468)</f>
        <v/>
      </c>
      <c r="B4188" t="str">
        <f>IF($C4188="","","C"&amp;TEXT(INT((ROW()-5)/9)+1,"000")&amp;"-4")</f>
        <v/>
      </c>
      <c r="C4188" t="str">
        <f>IF(OR(Registro_Compras!$C$468="",Registro_Compras!$O$468="",Registro_Compras!$Y$468="",Registro_Compras!$F$468="NOTA DE CREDITO"),"","4212")</f>
        <v/>
      </c>
      <c r="D4188" t="str">
        <f>IF(OR(Registro_Compras!$C$468="",Registro_Compras!$O$468=""),"","Cuentas por Pagar Comerciales - Terceros")</f>
        <v/>
      </c>
      <c r="E4188" s="20" t="str">
        <f>IF($C4188="","",IF(Registro_Compras!$F$468="RHE",(ROUND(Registro_Compras!$L$468*Registro_Compras!$N$468,2)-ROUND(Registro_Compras!$V$468*Registro_Compras!$N$468,2)),ROUND(Registro_Compras!$O$468-Registro_Compras!$S$468,2)))</f>
        <v/>
      </c>
      <c r="F4188" s="20" t="str">
        <f>""</f>
        <v/>
      </c>
      <c r="G4188" t="str">
        <f>IF($C4188="","","Por la cancelacion del saldo al proveedor")</f>
        <v/>
      </c>
      <c r="H4188" t="str">
        <f>IF($C4188="","",Registro_Compras!$C$468)</f>
        <v/>
      </c>
    </row>
    <row r="4189" spans="1:8" x14ac:dyDescent="0.25">
      <c r="A4189" s="25" t="str">
        <f>IF($C4189="","",Registro_Compras!$Y$468)</f>
        <v/>
      </c>
      <c r="B4189" t="str">
        <f>IF($C4189="","","C"&amp;TEXT(INT((ROW()-5)/9)+1,"000")&amp;"-4")</f>
        <v/>
      </c>
      <c r="C4189" t="str">
        <f>IF(OR(Registro_Compras!$C$468="",Registro_Compras!$O$468="",Registro_Compras!$Y$468="",Registro_Compras!$F$468="NOTA DE CREDITO"),"","1041")</f>
        <v/>
      </c>
      <c r="D4189" t="str">
        <f>IF(OR(Registro_Compras!$C$468="",Registro_Compras!$O$468=""),"","Efectivo y Equivalentes - Cta. Cte. Operativa")</f>
        <v/>
      </c>
      <c r="E4189" s="20" t="str">
        <f>""</f>
        <v/>
      </c>
      <c r="F4189" s="20" t="str">
        <f>IF($C4189="","",IF(Registro_Compras!$F$468="RHE",(ROUND(Registro_Compras!$L$468*Registro_Compras!$N$468,2)-ROUND(Registro_Compras!$V$468*Registro_Compras!$N$468,2)),ROUND(Registro_Compras!$O$468-Registro_Compras!$S$468,2)))</f>
        <v/>
      </c>
      <c r="G4189" t="str">
        <f>IF($C4189="","","Por la cancelacion del saldo al proveedor")</f>
        <v/>
      </c>
      <c r="H4189" t="str">
        <f>IF($C4189="","",Registro_Compras!$C$468)</f>
        <v/>
      </c>
    </row>
    <row r="4190" spans="1:8" x14ac:dyDescent="0.25">
      <c r="A4190" s="25" t="str">
        <f>IF($C4190="","",Registro_Compras!$B$469)</f>
        <v/>
      </c>
      <c r="B4190" t="str">
        <f>IF($C4190="","","C"&amp;TEXT(INT((ROW()-5)/9)+1,"000")&amp;"-1")</f>
        <v/>
      </c>
      <c r="C4190" t="str">
        <f>IF(OR(Registro_Compras!$C$469="",Registro_Compras!$O$469=""),"",IF(Registro_Compras!$F$469="NOTA DE CREDITO","4212",IF(Registro_Compras!$M$469="","63",Registro_Compras!$M$469)))</f>
        <v/>
      </c>
      <c r="D4190" t="str">
        <f>IF(OR(Registro_Compras!$C$469="",Registro_Compras!$O$469=""),"",IF(Registro_Compras!$F$469="NOTA DE CREDITO","Cuentas por Pagar Comerciales - Terceros (Emitidas)",IF(Registro_Compras!$F$469="RHE","Honorarios Profesionales - Servicios de Terceros","Gastos de Servicios Prestados por Terceros")))</f>
        <v/>
      </c>
      <c r="E4190" s="20" t="str">
        <f>IF($C4190="","",IF(Registro_Compras!$F$469="NOTA DE CREDITO",ABS(Registro_Compras!$O$469),IF(Registro_Compras!$F$469="RHE",ROUND(Registro_Compras!$L$469*Registro_Compras!$N$469,2),ROUND(Registro_Compras!$J$469*Registro_Compras!$N$469,2))))</f>
        <v/>
      </c>
      <c r="F4190" s="20" t="str">
        <f>""</f>
        <v/>
      </c>
      <c r="G4190" t="str">
        <f>IF($C4190="","",IF(Registro_Compras!$F$469="NOTA DE CREDITO","Por la nota de credito "&amp;Registro_Compras!$C$469&amp;" de "&amp;Registro_Compras!$E$469&amp;" [PATRON POR CONFIRMAR CON CONTADOR]",IF(Registro_Compras!$F$469="RHE","Por el registro del recibo por honorarios "&amp;Registro_Compras!$C$469&amp;" de "&amp;Registro_Compras!$E$469&amp;" [PATRON POR CONFIRMAR CON CONTADOR]","Por el registro de la factura "&amp;Registro_Compras!$C$469&amp;" de "&amp;Registro_Compras!$E$469)))</f>
        <v/>
      </c>
      <c r="H4190" t="str">
        <f>IF($C4190="","",Registro_Compras!$C$469)</f>
        <v/>
      </c>
    </row>
    <row r="4191" spans="1:8" x14ac:dyDescent="0.25">
      <c r="A4191" s="25" t="str">
        <f>IF($C4191="","",Registro_Compras!$B$469)</f>
        <v/>
      </c>
      <c r="B4191" t="str">
        <f>IF($C4191="","","C"&amp;TEXT(INT((ROW()-5)/9)+1,"000")&amp;"-1")</f>
        <v/>
      </c>
      <c r="C4191" t="str">
        <f>IF(OR(Registro_Compras!$C$469="",Registro_Compras!$O$469=""),"",IF(Registro_Compras!$F$469="RHE",IF(Registro_Compras!$V$469=0,"","4017"),IF(Registro_Compras!$F$469="NOTA DE CREDITO",IF(Registro_Compras!$M$469="","63",Registro_Compras!$M$469),IF(Registro_Compras!$K$469=0,"","40111"))))</f>
        <v/>
      </c>
      <c r="D4191" t="str">
        <f>IF(OR(Registro_Compras!$C$469="",Registro_Compras!$O$469=""),"",IF(Registro_Compras!$F$469="RHE","Retencion Renta 4ta Categoria por Pagar",IF(Registro_Compras!$F$469="NOTA DE CREDITO","Gastos de Servicios Prestados por Terceros","IGV - Cuenta Propia (Credito Fiscal)")))</f>
        <v/>
      </c>
      <c r="E4191" s="20" t="str">
        <f>IF($C4191="","",IF(Registro_Compras!$F$469="FACTURA",ROUND(Registro_Compras!$K$469*Registro_Compras!$N$469,2),""))</f>
        <v/>
      </c>
      <c r="F4191" s="20" t="str">
        <f>IF($C4191="","",IF(Registro_Compras!$F$469="RHE",ROUND(Registro_Compras!$V$469*Registro_Compras!$N$469,2),IF(Registro_Compras!$F$469="NOTA DE CREDITO",ROUND(ABS(Registro_Compras!$J$469*Registro_Compras!$N$469),2),"")))</f>
        <v/>
      </c>
      <c r="G4191" t="str">
        <f>IF($C4191="","",IF(Registro_Compras!$F$469="NOTA DE CREDITO","Por la nota de credito "&amp;Registro_Compras!$C$469&amp;" de "&amp;Registro_Compras!$E$469&amp;" [PATRON POR CONFIRMAR CON CONTADOR]",IF(Registro_Compras!$F$469="RHE","Por el registro del recibo por honorarios "&amp;Registro_Compras!$C$469&amp;" de "&amp;Registro_Compras!$E$469&amp;" [PATRON POR CONFIRMAR CON CONTADOR]","Por el registro de la factura "&amp;Registro_Compras!$C$469&amp;" de "&amp;Registro_Compras!$E$469)))</f>
        <v/>
      </c>
      <c r="H4191" t="str">
        <f>IF($C4191="","",Registro_Compras!$C$469)</f>
        <v/>
      </c>
    </row>
    <row r="4192" spans="1:8" x14ac:dyDescent="0.25">
      <c r="A4192" s="25" t="str">
        <f>IF($C4192="","",Registro_Compras!$B$469)</f>
        <v/>
      </c>
      <c r="B4192" t="str">
        <f>IF($C4192="","","C"&amp;TEXT(INT((ROW()-5)/9)+1,"000")&amp;"-1")</f>
        <v/>
      </c>
      <c r="C4192" t="str">
        <f>IF(OR(Registro_Compras!$C$469="",Registro_Compras!$O$469=""),"",IF(Registro_Compras!$F$469="NOTA DE CREDITO",IF(Registro_Compras!$K$469=0,"","40111"),"4212"))</f>
        <v/>
      </c>
      <c r="D4192" t="str">
        <f>IF(OR(Registro_Compras!$C$469="",Registro_Compras!$O$469=""),"",IF(Registro_Compras!$F$469="NOTA DE CREDITO","IGV - Cuenta Propia (Credito Fiscal)","Cuentas por Pagar Comerciales - Terceros (Emitidas)"))</f>
        <v/>
      </c>
      <c r="E4192" s="20" t="str">
        <f>""</f>
        <v/>
      </c>
      <c r="F4192" s="20" t="str">
        <f>IF($C4192="","",IF(Registro_Compras!$F$469="NOTA DE CREDITO",ROUND(ABS(Registro_Compras!$K$469*Registro_Compras!$N$469),2),IF(Registro_Compras!$F$469="RHE",(ROUND(Registro_Compras!$L$469*Registro_Compras!$N$469,2)-ROUND(Registro_Compras!$V$469*Registro_Compras!$N$469,2)),Registro_Compras!$O$469)))</f>
        <v/>
      </c>
      <c r="G4192" t="str">
        <f>IF($C4192="","",IF(Registro_Compras!$F$469="NOTA DE CREDITO","Por la nota de credito "&amp;Registro_Compras!$C$469&amp;" de "&amp;Registro_Compras!$E$469&amp;" [PATRON POR CONFIRMAR CON CONTADOR]",IF(Registro_Compras!$F$469="RHE","Por el registro del recibo por honorarios "&amp;Registro_Compras!$C$469&amp;" de "&amp;Registro_Compras!$E$469&amp;" [PATRON POR CONFIRMAR CON CONTADOR]","Por el registro de la factura "&amp;Registro_Compras!$C$469&amp;" de "&amp;Registro_Compras!$E$469)))</f>
        <v/>
      </c>
      <c r="H4192" t="str">
        <f>IF($C4192="","",Registro_Compras!$C$469)</f>
        <v/>
      </c>
    </row>
    <row r="4193" spans="1:8" x14ac:dyDescent="0.25">
      <c r="A4193" s="25" t="str">
        <f>IF($C4193="","",Registro_Compras!$B$469)</f>
        <v/>
      </c>
      <c r="B4193" t="str">
        <f>IF($C4193="","","C"&amp;TEXT(INT((ROW()-5)/9)+1,"000")&amp;"-2")</f>
        <v/>
      </c>
      <c r="C4193" t="str">
        <f>IF(OR(Registro_Compras!$C$469="",Registro_Compras!$O$469=""),"",IF(Registro_Compras!$AB$469="ADMINISTRATIVO","94","95"))</f>
        <v/>
      </c>
      <c r="D4193" t="str">
        <f>IF(OR(Registro_Compras!$C$469="",Registro_Compras!$O$469=""),"",IF(Registro_Compras!$AB$469="ADMINISTRATIVO","Gastos Administrativos","Gastos de Venta y Operacion"))</f>
        <v/>
      </c>
      <c r="E4193" s="20" t="str">
        <f>IF($C4193="","",IF(Registro_Compras!$F$469="NOTA DE CREDITO","",IF(Registro_Compras!$F$469="RHE",ROUND(Registro_Compras!$L$469*Registro_Compras!$N$469,2),ROUND(Registro_Compras!$J$469*Registro_Compras!$N$469,2))))</f>
        <v/>
      </c>
      <c r="F4193" s="20" t="str">
        <f>IF($C4193="","",IF(Registro_Compras!$F$469="NOTA DE CREDITO",ROUND(ABS(Registro_Compras!$J$469*Registro_Compras!$N$469),2),""))</f>
        <v/>
      </c>
      <c r="G4193" t="str">
        <f>IF($C4193="","","Por el destino del gasto")</f>
        <v/>
      </c>
      <c r="H4193" t="str">
        <f>IF($C4193="","",Registro_Compras!$C$469)</f>
        <v/>
      </c>
    </row>
    <row r="4194" spans="1:8" x14ac:dyDescent="0.25">
      <c r="A4194" s="25" t="str">
        <f>IF($C4194="","",Registro_Compras!$B$469)</f>
        <v/>
      </c>
      <c r="B4194" t="str">
        <f>IF($C4194="","","C"&amp;TEXT(INT((ROW()-5)/9)+1,"000")&amp;"-2")</f>
        <v/>
      </c>
      <c r="C4194" t="str">
        <f>IF(OR(Registro_Compras!$C$469="",Registro_Compras!$O$469=""),"","79/791")</f>
        <v/>
      </c>
      <c r="D4194" t="str">
        <f>IF(OR(Registro_Compras!$C$469="",Registro_Compras!$O$469=""),"","Cargas Imputables a Cuentas de Costos y Gastos")</f>
        <v/>
      </c>
      <c r="E4194" s="20" t="str">
        <f>IF($C4194="","",IF(Registro_Compras!$F$469="NOTA DE CREDITO",ROUND(ABS(Registro_Compras!$J$469*Registro_Compras!$N$469),2),""))</f>
        <v/>
      </c>
      <c r="F4194" s="20" t="str">
        <f>IF($C4194="","",IF(Registro_Compras!$F$469="NOTA DE CREDITO","",IF(Registro_Compras!$F$469="RHE",ROUND(Registro_Compras!$L$469*Registro_Compras!$N$469,2),ROUND(Registro_Compras!$J$469*Registro_Compras!$N$469,2))))</f>
        <v/>
      </c>
      <c r="G4194" t="str">
        <f>IF($C4194="","","Por el destino del gasto")</f>
        <v/>
      </c>
      <c r="H4194" t="str">
        <f>IF($C4194="","",Registro_Compras!$C$469)</f>
        <v/>
      </c>
    </row>
    <row r="4195" spans="1:8" x14ac:dyDescent="0.25">
      <c r="A4195" s="25" t="str">
        <f>IF($C4195="","",Registro_Compras!$X$469)</f>
        <v/>
      </c>
      <c r="B4195" t="str">
        <f>IF($C4195="","","C"&amp;TEXT(INT((ROW()-5)/9)+1,"000")&amp;"-3")</f>
        <v/>
      </c>
      <c r="C4195" t="str">
        <f>IF(OR(Registro_Compras!$C$469="",Registro_Compras!$O$469="",Registro_Compras!$R$469&lt;&gt;"SI",Registro_Compras!$X$469=""),"","4212")</f>
        <v/>
      </c>
      <c r="D4195" t="str">
        <f>IF(OR(Registro_Compras!$C$469="",Registro_Compras!$O$469=""),"","Cuentas por Pagar Comerciales - Terceros")</f>
        <v/>
      </c>
      <c r="E4195" s="20" t="str">
        <f>IF($C4195="","",Registro_Compras!$S$469)</f>
        <v/>
      </c>
      <c r="F4195" s="20" t="str">
        <f>""</f>
        <v/>
      </c>
      <c r="G4195" t="str">
        <f>IF($C4195="","","Por el deposito de la detraccion en el Banco de la Nacion")</f>
        <v/>
      </c>
      <c r="H4195" t="str">
        <f>IF($C4195="","",Registro_Compras!$C$469)</f>
        <v/>
      </c>
    </row>
    <row r="4196" spans="1:8" x14ac:dyDescent="0.25">
      <c r="A4196" s="25" t="str">
        <f>IF($C4196="","",Registro_Compras!$X$469)</f>
        <v/>
      </c>
      <c r="B4196" t="str">
        <f>IF($C4196="","","C"&amp;TEXT(INT((ROW()-5)/9)+1,"000")&amp;"-3")</f>
        <v/>
      </c>
      <c r="C4196" t="str">
        <f>IF(OR(Registro_Compras!$C$469="",Registro_Compras!$O$469="",Registro_Compras!$R$469&lt;&gt;"SI",Registro_Compras!$X$469=""),"","1041")</f>
        <v/>
      </c>
      <c r="D4196" t="str">
        <f>IF(OR(Registro_Compras!$C$469="",Registro_Compras!$O$469=""),"","Efectivo y Equivalentes - Cta. Cte. Operativa")</f>
        <v/>
      </c>
      <c r="E4196" s="20" t="str">
        <f>""</f>
        <v/>
      </c>
      <c r="F4196" s="20" t="str">
        <f>IF($C4196="","",Registro_Compras!$S$469)</f>
        <v/>
      </c>
      <c r="G4196" t="str">
        <f>IF($C4196="","","Por el deposito de la detraccion en el Banco de la Nacion")</f>
        <v/>
      </c>
      <c r="H4196" t="str">
        <f>IF($C4196="","",Registro_Compras!$C$469)</f>
        <v/>
      </c>
    </row>
    <row r="4197" spans="1:8" x14ac:dyDescent="0.25">
      <c r="A4197" s="25" t="str">
        <f>IF($C4197="","",Registro_Compras!$Y$469)</f>
        <v/>
      </c>
      <c r="B4197" t="str">
        <f>IF($C4197="","","C"&amp;TEXT(INT((ROW()-5)/9)+1,"000")&amp;"-4")</f>
        <v/>
      </c>
      <c r="C4197" t="str">
        <f>IF(OR(Registro_Compras!$C$469="",Registro_Compras!$O$469="",Registro_Compras!$Y$469="",Registro_Compras!$F$469="NOTA DE CREDITO"),"","4212")</f>
        <v/>
      </c>
      <c r="D4197" t="str">
        <f>IF(OR(Registro_Compras!$C$469="",Registro_Compras!$O$469=""),"","Cuentas por Pagar Comerciales - Terceros")</f>
        <v/>
      </c>
      <c r="E4197" s="20" t="str">
        <f>IF($C4197="","",IF(Registro_Compras!$F$469="RHE",(ROUND(Registro_Compras!$L$469*Registro_Compras!$N$469,2)-ROUND(Registro_Compras!$V$469*Registro_Compras!$N$469,2)),ROUND(Registro_Compras!$O$469-Registro_Compras!$S$469,2)))</f>
        <v/>
      </c>
      <c r="F4197" s="20" t="str">
        <f>""</f>
        <v/>
      </c>
      <c r="G4197" t="str">
        <f>IF($C4197="","","Por la cancelacion del saldo al proveedor")</f>
        <v/>
      </c>
      <c r="H4197" t="str">
        <f>IF($C4197="","",Registro_Compras!$C$469)</f>
        <v/>
      </c>
    </row>
    <row r="4198" spans="1:8" x14ac:dyDescent="0.25">
      <c r="A4198" s="25" t="str">
        <f>IF($C4198="","",Registro_Compras!$Y$469)</f>
        <v/>
      </c>
      <c r="B4198" t="str">
        <f>IF($C4198="","","C"&amp;TEXT(INT((ROW()-5)/9)+1,"000")&amp;"-4")</f>
        <v/>
      </c>
      <c r="C4198" t="str">
        <f>IF(OR(Registro_Compras!$C$469="",Registro_Compras!$O$469="",Registro_Compras!$Y$469="",Registro_Compras!$F$469="NOTA DE CREDITO"),"","1041")</f>
        <v/>
      </c>
      <c r="D4198" t="str">
        <f>IF(OR(Registro_Compras!$C$469="",Registro_Compras!$O$469=""),"","Efectivo y Equivalentes - Cta. Cte. Operativa")</f>
        <v/>
      </c>
      <c r="E4198" s="20" t="str">
        <f>""</f>
        <v/>
      </c>
      <c r="F4198" s="20" t="str">
        <f>IF($C4198="","",IF(Registro_Compras!$F$469="RHE",(ROUND(Registro_Compras!$L$469*Registro_Compras!$N$469,2)-ROUND(Registro_Compras!$V$469*Registro_Compras!$N$469,2)),ROUND(Registro_Compras!$O$469-Registro_Compras!$S$469,2)))</f>
        <v/>
      </c>
      <c r="G4198" t="str">
        <f>IF($C4198="","","Por la cancelacion del saldo al proveedor")</f>
        <v/>
      </c>
      <c r="H4198" t="str">
        <f>IF($C4198="","",Registro_Compras!$C$469)</f>
        <v/>
      </c>
    </row>
    <row r="4199" spans="1:8" x14ac:dyDescent="0.25">
      <c r="A4199" s="25" t="str">
        <f>IF($C4199="","",Registro_Compras!$B$470)</f>
        <v/>
      </c>
      <c r="B4199" t="str">
        <f>IF($C4199="","","C"&amp;TEXT(INT((ROW()-5)/9)+1,"000")&amp;"-1")</f>
        <v/>
      </c>
      <c r="C4199" t="str">
        <f>IF(OR(Registro_Compras!$C$470="",Registro_Compras!$O$470=""),"",IF(Registro_Compras!$F$470="NOTA DE CREDITO","4212",IF(Registro_Compras!$M$470="","63",Registro_Compras!$M$470)))</f>
        <v/>
      </c>
      <c r="D4199" t="str">
        <f>IF(OR(Registro_Compras!$C$470="",Registro_Compras!$O$470=""),"",IF(Registro_Compras!$F$470="NOTA DE CREDITO","Cuentas por Pagar Comerciales - Terceros (Emitidas)",IF(Registro_Compras!$F$470="RHE","Honorarios Profesionales - Servicios de Terceros","Gastos de Servicios Prestados por Terceros")))</f>
        <v/>
      </c>
      <c r="E4199" s="20" t="str">
        <f>IF($C4199="","",IF(Registro_Compras!$F$470="NOTA DE CREDITO",ABS(Registro_Compras!$O$470),IF(Registro_Compras!$F$470="RHE",ROUND(Registro_Compras!$L$470*Registro_Compras!$N$470,2),ROUND(Registro_Compras!$J$470*Registro_Compras!$N$470,2))))</f>
        <v/>
      </c>
      <c r="F4199" s="20" t="str">
        <f>""</f>
        <v/>
      </c>
      <c r="G4199" t="str">
        <f>IF($C4199="","",IF(Registro_Compras!$F$470="NOTA DE CREDITO","Por la nota de credito "&amp;Registro_Compras!$C$470&amp;" de "&amp;Registro_Compras!$E$470&amp;" [PATRON POR CONFIRMAR CON CONTADOR]",IF(Registro_Compras!$F$470="RHE","Por el registro del recibo por honorarios "&amp;Registro_Compras!$C$470&amp;" de "&amp;Registro_Compras!$E$470&amp;" [PATRON POR CONFIRMAR CON CONTADOR]","Por el registro de la factura "&amp;Registro_Compras!$C$470&amp;" de "&amp;Registro_Compras!$E$470)))</f>
        <v/>
      </c>
      <c r="H4199" t="str">
        <f>IF($C4199="","",Registro_Compras!$C$470)</f>
        <v/>
      </c>
    </row>
    <row r="4200" spans="1:8" x14ac:dyDescent="0.25">
      <c r="A4200" s="25" t="str">
        <f>IF($C4200="","",Registro_Compras!$B$470)</f>
        <v/>
      </c>
      <c r="B4200" t="str">
        <f>IF($C4200="","","C"&amp;TEXT(INT((ROW()-5)/9)+1,"000")&amp;"-1")</f>
        <v/>
      </c>
      <c r="C4200" t="str">
        <f>IF(OR(Registro_Compras!$C$470="",Registro_Compras!$O$470=""),"",IF(Registro_Compras!$F$470="RHE",IF(Registro_Compras!$V$470=0,"","4017"),IF(Registro_Compras!$F$470="NOTA DE CREDITO",IF(Registro_Compras!$M$470="","63",Registro_Compras!$M$470),IF(Registro_Compras!$K$470=0,"","40111"))))</f>
        <v/>
      </c>
      <c r="D4200" t="str">
        <f>IF(OR(Registro_Compras!$C$470="",Registro_Compras!$O$470=""),"",IF(Registro_Compras!$F$470="RHE","Retencion Renta 4ta Categoria por Pagar",IF(Registro_Compras!$F$470="NOTA DE CREDITO","Gastos de Servicios Prestados por Terceros","IGV - Cuenta Propia (Credito Fiscal)")))</f>
        <v/>
      </c>
      <c r="E4200" s="20" t="str">
        <f>IF($C4200="","",IF(Registro_Compras!$F$470="FACTURA",ROUND(Registro_Compras!$K$470*Registro_Compras!$N$470,2),""))</f>
        <v/>
      </c>
      <c r="F4200" s="20" t="str">
        <f>IF($C4200="","",IF(Registro_Compras!$F$470="RHE",ROUND(Registro_Compras!$V$470*Registro_Compras!$N$470,2),IF(Registro_Compras!$F$470="NOTA DE CREDITO",ROUND(ABS(Registro_Compras!$J$470*Registro_Compras!$N$470),2),"")))</f>
        <v/>
      </c>
      <c r="G4200" t="str">
        <f>IF($C4200="","",IF(Registro_Compras!$F$470="NOTA DE CREDITO","Por la nota de credito "&amp;Registro_Compras!$C$470&amp;" de "&amp;Registro_Compras!$E$470&amp;" [PATRON POR CONFIRMAR CON CONTADOR]",IF(Registro_Compras!$F$470="RHE","Por el registro del recibo por honorarios "&amp;Registro_Compras!$C$470&amp;" de "&amp;Registro_Compras!$E$470&amp;" [PATRON POR CONFIRMAR CON CONTADOR]","Por el registro de la factura "&amp;Registro_Compras!$C$470&amp;" de "&amp;Registro_Compras!$E$470)))</f>
        <v/>
      </c>
      <c r="H4200" t="str">
        <f>IF($C4200="","",Registro_Compras!$C$470)</f>
        <v/>
      </c>
    </row>
    <row r="4201" spans="1:8" x14ac:dyDescent="0.25">
      <c r="A4201" s="25" t="str">
        <f>IF($C4201="","",Registro_Compras!$B$470)</f>
        <v/>
      </c>
      <c r="B4201" t="str">
        <f>IF($C4201="","","C"&amp;TEXT(INT((ROW()-5)/9)+1,"000")&amp;"-1")</f>
        <v/>
      </c>
      <c r="C4201" t="str">
        <f>IF(OR(Registro_Compras!$C$470="",Registro_Compras!$O$470=""),"",IF(Registro_Compras!$F$470="NOTA DE CREDITO",IF(Registro_Compras!$K$470=0,"","40111"),"4212"))</f>
        <v/>
      </c>
      <c r="D4201" t="str">
        <f>IF(OR(Registro_Compras!$C$470="",Registro_Compras!$O$470=""),"",IF(Registro_Compras!$F$470="NOTA DE CREDITO","IGV - Cuenta Propia (Credito Fiscal)","Cuentas por Pagar Comerciales - Terceros (Emitidas)"))</f>
        <v/>
      </c>
      <c r="E4201" s="20" t="str">
        <f>""</f>
        <v/>
      </c>
      <c r="F4201" s="20" t="str">
        <f>IF($C4201="","",IF(Registro_Compras!$F$470="NOTA DE CREDITO",ROUND(ABS(Registro_Compras!$K$470*Registro_Compras!$N$470),2),IF(Registro_Compras!$F$470="RHE",(ROUND(Registro_Compras!$L$470*Registro_Compras!$N$470,2)-ROUND(Registro_Compras!$V$470*Registro_Compras!$N$470,2)),Registro_Compras!$O$470)))</f>
        <v/>
      </c>
      <c r="G4201" t="str">
        <f>IF($C4201="","",IF(Registro_Compras!$F$470="NOTA DE CREDITO","Por la nota de credito "&amp;Registro_Compras!$C$470&amp;" de "&amp;Registro_Compras!$E$470&amp;" [PATRON POR CONFIRMAR CON CONTADOR]",IF(Registro_Compras!$F$470="RHE","Por el registro del recibo por honorarios "&amp;Registro_Compras!$C$470&amp;" de "&amp;Registro_Compras!$E$470&amp;" [PATRON POR CONFIRMAR CON CONTADOR]","Por el registro de la factura "&amp;Registro_Compras!$C$470&amp;" de "&amp;Registro_Compras!$E$470)))</f>
        <v/>
      </c>
      <c r="H4201" t="str">
        <f>IF($C4201="","",Registro_Compras!$C$470)</f>
        <v/>
      </c>
    </row>
    <row r="4202" spans="1:8" x14ac:dyDescent="0.25">
      <c r="A4202" s="25" t="str">
        <f>IF($C4202="","",Registro_Compras!$B$470)</f>
        <v/>
      </c>
      <c r="B4202" t="str">
        <f>IF($C4202="","","C"&amp;TEXT(INT((ROW()-5)/9)+1,"000")&amp;"-2")</f>
        <v/>
      </c>
      <c r="C4202" t="str">
        <f>IF(OR(Registro_Compras!$C$470="",Registro_Compras!$O$470=""),"",IF(Registro_Compras!$AB$470="ADMINISTRATIVO","94","95"))</f>
        <v/>
      </c>
      <c r="D4202" t="str">
        <f>IF(OR(Registro_Compras!$C$470="",Registro_Compras!$O$470=""),"",IF(Registro_Compras!$AB$470="ADMINISTRATIVO","Gastos Administrativos","Gastos de Venta y Operacion"))</f>
        <v/>
      </c>
      <c r="E4202" s="20" t="str">
        <f>IF($C4202="","",IF(Registro_Compras!$F$470="NOTA DE CREDITO","",IF(Registro_Compras!$F$470="RHE",ROUND(Registro_Compras!$L$470*Registro_Compras!$N$470,2),ROUND(Registro_Compras!$J$470*Registro_Compras!$N$470,2))))</f>
        <v/>
      </c>
      <c r="F4202" s="20" t="str">
        <f>IF($C4202="","",IF(Registro_Compras!$F$470="NOTA DE CREDITO",ROUND(ABS(Registro_Compras!$J$470*Registro_Compras!$N$470),2),""))</f>
        <v/>
      </c>
      <c r="G4202" t="str">
        <f>IF($C4202="","","Por el destino del gasto")</f>
        <v/>
      </c>
      <c r="H4202" t="str">
        <f>IF($C4202="","",Registro_Compras!$C$470)</f>
        <v/>
      </c>
    </row>
    <row r="4203" spans="1:8" x14ac:dyDescent="0.25">
      <c r="A4203" s="25" t="str">
        <f>IF($C4203="","",Registro_Compras!$B$470)</f>
        <v/>
      </c>
      <c r="B4203" t="str">
        <f>IF($C4203="","","C"&amp;TEXT(INT((ROW()-5)/9)+1,"000")&amp;"-2")</f>
        <v/>
      </c>
      <c r="C4203" t="str">
        <f>IF(OR(Registro_Compras!$C$470="",Registro_Compras!$O$470=""),"","79/791")</f>
        <v/>
      </c>
      <c r="D4203" t="str">
        <f>IF(OR(Registro_Compras!$C$470="",Registro_Compras!$O$470=""),"","Cargas Imputables a Cuentas de Costos y Gastos")</f>
        <v/>
      </c>
      <c r="E4203" s="20" t="str">
        <f>IF($C4203="","",IF(Registro_Compras!$F$470="NOTA DE CREDITO",ROUND(ABS(Registro_Compras!$J$470*Registro_Compras!$N$470),2),""))</f>
        <v/>
      </c>
      <c r="F4203" s="20" t="str">
        <f>IF($C4203="","",IF(Registro_Compras!$F$470="NOTA DE CREDITO","",IF(Registro_Compras!$F$470="RHE",ROUND(Registro_Compras!$L$470*Registro_Compras!$N$470,2),ROUND(Registro_Compras!$J$470*Registro_Compras!$N$470,2))))</f>
        <v/>
      </c>
      <c r="G4203" t="str">
        <f>IF($C4203="","","Por el destino del gasto")</f>
        <v/>
      </c>
      <c r="H4203" t="str">
        <f>IF($C4203="","",Registro_Compras!$C$470)</f>
        <v/>
      </c>
    </row>
    <row r="4204" spans="1:8" x14ac:dyDescent="0.25">
      <c r="A4204" s="25" t="str">
        <f>IF($C4204="","",Registro_Compras!$X$470)</f>
        <v/>
      </c>
      <c r="B4204" t="str">
        <f>IF($C4204="","","C"&amp;TEXT(INT((ROW()-5)/9)+1,"000")&amp;"-3")</f>
        <v/>
      </c>
      <c r="C4204" t="str">
        <f>IF(OR(Registro_Compras!$C$470="",Registro_Compras!$O$470="",Registro_Compras!$R$470&lt;&gt;"SI",Registro_Compras!$X$470=""),"","4212")</f>
        <v/>
      </c>
      <c r="D4204" t="str">
        <f>IF(OR(Registro_Compras!$C$470="",Registro_Compras!$O$470=""),"","Cuentas por Pagar Comerciales - Terceros")</f>
        <v/>
      </c>
      <c r="E4204" s="20" t="str">
        <f>IF($C4204="","",Registro_Compras!$S$470)</f>
        <v/>
      </c>
      <c r="F4204" s="20" t="str">
        <f>""</f>
        <v/>
      </c>
      <c r="G4204" t="str">
        <f>IF($C4204="","","Por el deposito de la detraccion en el Banco de la Nacion")</f>
        <v/>
      </c>
      <c r="H4204" t="str">
        <f>IF($C4204="","",Registro_Compras!$C$470)</f>
        <v/>
      </c>
    </row>
    <row r="4205" spans="1:8" x14ac:dyDescent="0.25">
      <c r="A4205" s="25" t="str">
        <f>IF($C4205="","",Registro_Compras!$X$470)</f>
        <v/>
      </c>
      <c r="B4205" t="str">
        <f>IF($C4205="","","C"&amp;TEXT(INT((ROW()-5)/9)+1,"000")&amp;"-3")</f>
        <v/>
      </c>
      <c r="C4205" t="str">
        <f>IF(OR(Registro_Compras!$C$470="",Registro_Compras!$O$470="",Registro_Compras!$R$470&lt;&gt;"SI",Registro_Compras!$X$470=""),"","1041")</f>
        <v/>
      </c>
      <c r="D4205" t="str">
        <f>IF(OR(Registro_Compras!$C$470="",Registro_Compras!$O$470=""),"","Efectivo y Equivalentes - Cta. Cte. Operativa")</f>
        <v/>
      </c>
      <c r="E4205" s="20" t="str">
        <f>""</f>
        <v/>
      </c>
      <c r="F4205" s="20" t="str">
        <f>IF($C4205="","",Registro_Compras!$S$470)</f>
        <v/>
      </c>
      <c r="G4205" t="str">
        <f>IF($C4205="","","Por el deposito de la detraccion en el Banco de la Nacion")</f>
        <v/>
      </c>
      <c r="H4205" t="str">
        <f>IF($C4205="","",Registro_Compras!$C$470)</f>
        <v/>
      </c>
    </row>
    <row r="4206" spans="1:8" x14ac:dyDescent="0.25">
      <c r="A4206" s="25" t="str">
        <f>IF($C4206="","",Registro_Compras!$Y$470)</f>
        <v/>
      </c>
      <c r="B4206" t="str">
        <f>IF($C4206="","","C"&amp;TEXT(INT((ROW()-5)/9)+1,"000")&amp;"-4")</f>
        <v/>
      </c>
      <c r="C4206" t="str">
        <f>IF(OR(Registro_Compras!$C$470="",Registro_Compras!$O$470="",Registro_Compras!$Y$470="",Registro_Compras!$F$470="NOTA DE CREDITO"),"","4212")</f>
        <v/>
      </c>
      <c r="D4206" t="str">
        <f>IF(OR(Registro_Compras!$C$470="",Registro_Compras!$O$470=""),"","Cuentas por Pagar Comerciales - Terceros")</f>
        <v/>
      </c>
      <c r="E4206" s="20" t="str">
        <f>IF($C4206="","",IF(Registro_Compras!$F$470="RHE",(ROUND(Registro_Compras!$L$470*Registro_Compras!$N$470,2)-ROUND(Registro_Compras!$V$470*Registro_Compras!$N$470,2)),ROUND(Registro_Compras!$O$470-Registro_Compras!$S$470,2)))</f>
        <v/>
      </c>
      <c r="F4206" s="20" t="str">
        <f>""</f>
        <v/>
      </c>
      <c r="G4206" t="str">
        <f>IF($C4206="","","Por la cancelacion del saldo al proveedor")</f>
        <v/>
      </c>
      <c r="H4206" t="str">
        <f>IF($C4206="","",Registro_Compras!$C$470)</f>
        <v/>
      </c>
    </row>
    <row r="4207" spans="1:8" x14ac:dyDescent="0.25">
      <c r="A4207" s="25" t="str">
        <f>IF($C4207="","",Registro_Compras!$Y$470)</f>
        <v/>
      </c>
      <c r="B4207" t="str">
        <f>IF($C4207="","","C"&amp;TEXT(INT((ROW()-5)/9)+1,"000")&amp;"-4")</f>
        <v/>
      </c>
      <c r="C4207" t="str">
        <f>IF(OR(Registro_Compras!$C$470="",Registro_Compras!$O$470="",Registro_Compras!$Y$470="",Registro_Compras!$F$470="NOTA DE CREDITO"),"","1041")</f>
        <v/>
      </c>
      <c r="D4207" t="str">
        <f>IF(OR(Registro_Compras!$C$470="",Registro_Compras!$O$470=""),"","Efectivo y Equivalentes - Cta. Cte. Operativa")</f>
        <v/>
      </c>
      <c r="E4207" s="20" t="str">
        <f>""</f>
        <v/>
      </c>
      <c r="F4207" s="20" t="str">
        <f>IF($C4207="","",IF(Registro_Compras!$F$470="RHE",(ROUND(Registro_Compras!$L$470*Registro_Compras!$N$470,2)-ROUND(Registro_Compras!$V$470*Registro_Compras!$N$470,2)),ROUND(Registro_Compras!$O$470-Registro_Compras!$S$470,2)))</f>
        <v/>
      </c>
      <c r="G4207" t="str">
        <f>IF($C4207="","","Por la cancelacion del saldo al proveedor")</f>
        <v/>
      </c>
      <c r="H4207" t="str">
        <f>IF($C4207="","",Registro_Compras!$C$470)</f>
        <v/>
      </c>
    </row>
    <row r="4208" spans="1:8" x14ac:dyDescent="0.25">
      <c r="A4208" s="25" t="str">
        <f>IF($C4208="","",Registro_Compras!$B$471)</f>
        <v/>
      </c>
      <c r="B4208" t="str">
        <f>IF($C4208="","","C"&amp;TEXT(INT((ROW()-5)/9)+1,"000")&amp;"-1")</f>
        <v/>
      </c>
      <c r="C4208" t="str">
        <f>IF(OR(Registro_Compras!$C$471="",Registro_Compras!$O$471=""),"",IF(Registro_Compras!$F$471="NOTA DE CREDITO","4212",IF(Registro_Compras!$M$471="","63",Registro_Compras!$M$471)))</f>
        <v/>
      </c>
      <c r="D4208" t="str">
        <f>IF(OR(Registro_Compras!$C$471="",Registro_Compras!$O$471=""),"",IF(Registro_Compras!$F$471="NOTA DE CREDITO","Cuentas por Pagar Comerciales - Terceros (Emitidas)",IF(Registro_Compras!$F$471="RHE","Honorarios Profesionales - Servicios de Terceros","Gastos de Servicios Prestados por Terceros")))</f>
        <v/>
      </c>
      <c r="E4208" s="20" t="str">
        <f>IF($C4208="","",IF(Registro_Compras!$F$471="NOTA DE CREDITO",ABS(Registro_Compras!$O$471),IF(Registro_Compras!$F$471="RHE",ROUND(Registro_Compras!$L$471*Registro_Compras!$N$471,2),ROUND(Registro_Compras!$J$471*Registro_Compras!$N$471,2))))</f>
        <v/>
      </c>
      <c r="F4208" s="20" t="str">
        <f>""</f>
        <v/>
      </c>
      <c r="G4208" t="str">
        <f>IF($C4208="","",IF(Registro_Compras!$F$471="NOTA DE CREDITO","Por la nota de credito "&amp;Registro_Compras!$C$471&amp;" de "&amp;Registro_Compras!$E$471&amp;" [PATRON POR CONFIRMAR CON CONTADOR]",IF(Registro_Compras!$F$471="RHE","Por el registro del recibo por honorarios "&amp;Registro_Compras!$C$471&amp;" de "&amp;Registro_Compras!$E$471&amp;" [PATRON POR CONFIRMAR CON CONTADOR]","Por el registro de la factura "&amp;Registro_Compras!$C$471&amp;" de "&amp;Registro_Compras!$E$471)))</f>
        <v/>
      </c>
      <c r="H4208" t="str">
        <f>IF($C4208="","",Registro_Compras!$C$471)</f>
        <v/>
      </c>
    </row>
    <row r="4209" spans="1:8" x14ac:dyDescent="0.25">
      <c r="A4209" s="25" t="str">
        <f>IF($C4209="","",Registro_Compras!$B$471)</f>
        <v/>
      </c>
      <c r="B4209" t="str">
        <f>IF($C4209="","","C"&amp;TEXT(INT((ROW()-5)/9)+1,"000")&amp;"-1")</f>
        <v/>
      </c>
      <c r="C4209" t="str">
        <f>IF(OR(Registro_Compras!$C$471="",Registro_Compras!$O$471=""),"",IF(Registro_Compras!$F$471="RHE",IF(Registro_Compras!$V$471=0,"","4017"),IF(Registro_Compras!$F$471="NOTA DE CREDITO",IF(Registro_Compras!$M$471="","63",Registro_Compras!$M$471),IF(Registro_Compras!$K$471=0,"","40111"))))</f>
        <v/>
      </c>
      <c r="D4209" t="str">
        <f>IF(OR(Registro_Compras!$C$471="",Registro_Compras!$O$471=""),"",IF(Registro_Compras!$F$471="RHE","Retencion Renta 4ta Categoria por Pagar",IF(Registro_Compras!$F$471="NOTA DE CREDITO","Gastos de Servicios Prestados por Terceros","IGV - Cuenta Propia (Credito Fiscal)")))</f>
        <v/>
      </c>
      <c r="E4209" s="20" t="str">
        <f>IF($C4209="","",IF(Registro_Compras!$F$471="FACTURA",ROUND(Registro_Compras!$K$471*Registro_Compras!$N$471,2),""))</f>
        <v/>
      </c>
      <c r="F4209" s="20" t="str">
        <f>IF($C4209="","",IF(Registro_Compras!$F$471="RHE",ROUND(Registro_Compras!$V$471*Registro_Compras!$N$471,2),IF(Registro_Compras!$F$471="NOTA DE CREDITO",ROUND(ABS(Registro_Compras!$J$471*Registro_Compras!$N$471),2),"")))</f>
        <v/>
      </c>
      <c r="G4209" t="str">
        <f>IF($C4209="","",IF(Registro_Compras!$F$471="NOTA DE CREDITO","Por la nota de credito "&amp;Registro_Compras!$C$471&amp;" de "&amp;Registro_Compras!$E$471&amp;" [PATRON POR CONFIRMAR CON CONTADOR]",IF(Registro_Compras!$F$471="RHE","Por el registro del recibo por honorarios "&amp;Registro_Compras!$C$471&amp;" de "&amp;Registro_Compras!$E$471&amp;" [PATRON POR CONFIRMAR CON CONTADOR]","Por el registro de la factura "&amp;Registro_Compras!$C$471&amp;" de "&amp;Registro_Compras!$E$471)))</f>
        <v/>
      </c>
      <c r="H4209" t="str">
        <f>IF($C4209="","",Registro_Compras!$C$471)</f>
        <v/>
      </c>
    </row>
    <row r="4210" spans="1:8" x14ac:dyDescent="0.25">
      <c r="A4210" s="25" t="str">
        <f>IF($C4210="","",Registro_Compras!$B$471)</f>
        <v/>
      </c>
      <c r="B4210" t="str">
        <f>IF($C4210="","","C"&amp;TEXT(INT((ROW()-5)/9)+1,"000")&amp;"-1")</f>
        <v/>
      </c>
      <c r="C4210" t="str">
        <f>IF(OR(Registro_Compras!$C$471="",Registro_Compras!$O$471=""),"",IF(Registro_Compras!$F$471="NOTA DE CREDITO",IF(Registro_Compras!$K$471=0,"","40111"),"4212"))</f>
        <v/>
      </c>
      <c r="D4210" t="str">
        <f>IF(OR(Registro_Compras!$C$471="",Registro_Compras!$O$471=""),"",IF(Registro_Compras!$F$471="NOTA DE CREDITO","IGV - Cuenta Propia (Credito Fiscal)","Cuentas por Pagar Comerciales - Terceros (Emitidas)"))</f>
        <v/>
      </c>
      <c r="E4210" s="20" t="str">
        <f>""</f>
        <v/>
      </c>
      <c r="F4210" s="20" t="str">
        <f>IF($C4210="","",IF(Registro_Compras!$F$471="NOTA DE CREDITO",ROUND(ABS(Registro_Compras!$K$471*Registro_Compras!$N$471),2),IF(Registro_Compras!$F$471="RHE",(ROUND(Registro_Compras!$L$471*Registro_Compras!$N$471,2)-ROUND(Registro_Compras!$V$471*Registro_Compras!$N$471,2)),Registro_Compras!$O$471)))</f>
        <v/>
      </c>
      <c r="G4210" t="str">
        <f>IF($C4210="","",IF(Registro_Compras!$F$471="NOTA DE CREDITO","Por la nota de credito "&amp;Registro_Compras!$C$471&amp;" de "&amp;Registro_Compras!$E$471&amp;" [PATRON POR CONFIRMAR CON CONTADOR]",IF(Registro_Compras!$F$471="RHE","Por el registro del recibo por honorarios "&amp;Registro_Compras!$C$471&amp;" de "&amp;Registro_Compras!$E$471&amp;" [PATRON POR CONFIRMAR CON CONTADOR]","Por el registro de la factura "&amp;Registro_Compras!$C$471&amp;" de "&amp;Registro_Compras!$E$471)))</f>
        <v/>
      </c>
      <c r="H4210" t="str">
        <f>IF($C4210="","",Registro_Compras!$C$471)</f>
        <v/>
      </c>
    </row>
    <row r="4211" spans="1:8" x14ac:dyDescent="0.25">
      <c r="A4211" s="25" t="str">
        <f>IF($C4211="","",Registro_Compras!$B$471)</f>
        <v/>
      </c>
      <c r="B4211" t="str">
        <f>IF($C4211="","","C"&amp;TEXT(INT((ROW()-5)/9)+1,"000")&amp;"-2")</f>
        <v/>
      </c>
      <c r="C4211" t="str">
        <f>IF(OR(Registro_Compras!$C$471="",Registro_Compras!$O$471=""),"",IF(Registro_Compras!$AB$471="ADMINISTRATIVO","94","95"))</f>
        <v/>
      </c>
      <c r="D4211" t="str">
        <f>IF(OR(Registro_Compras!$C$471="",Registro_Compras!$O$471=""),"",IF(Registro_Compras!$AB$471="ADMINISTRATIVO","Gastos Administrativos","Gastos de Venta y Operacion"))</f>
        <v/>
      </c>
      <c r="E4211" s="20" t="str">
        <f>IF($C4211="","",IF(Registro_Compras!$F$471="NOTA DE CREDITO","",IF(Registro_Compras!$F$471="RHE",ROUND(Registro_Compras!$L$471*Registro_Compras!$N$471,2),ROUND(Registro_Compras!$J$471*Registro_Compras!$N$471,2))))</f>
        <v/>
      </c>
      <c r="F4211" s="20" t="str">
        <f>IF($C4211="","",IF(Registro_Compras!$F$471="NOTA DE CREDITO",ROUND(ABS(Registro_Compras!$J$471*Registro_Compras!$N$471),2),""))</f>
        <v/>
      </c>
      <c r="G4211" t="str">
        <f>IF($C4211="","","Por el destino del gasto")</f>
        <v/>
      </c>
      <c r="H4211" t="str">
        <f>IF($C4211="","",Registro_Compras!$C$471)</f>
        <v/>
      </c>
    </row>
    <row r="4212" spans="1:8" x14ac:dyDescent="0.25">
      <c r="A4212" s="25" t="str">
        <f>IF($C4212="","",Registro_Compras!$B$471)</f>
        <v/>
      </c>
      <c r="B4212" t="str">
        <f>IF($C4212="","","C"&amp;TEXT(INT((ROW()-5)/9)+1,"000")&amp;"-2")</f>
        <v/>
      </c>
      <c r="C4212" t="str">
        <f>IF(OR(Registro_Compras!$C$471="",Registro_Compras!$O$471=""),"","79/791")</f>
        <v/>
      </c>
      <c r="D4212" t="str">
        <f>IF(OR(Registro_Compras!$C$471="",Registro_Compras!$O$471=""),"","Cargas Imputables a Cuentas de Costos y Gastos")</f>
        <v/>
      </c>
      <c r="E4212" s="20" t="str">
        <f>IF($C4212="","",IF(Registro_Compras!$F$471="NOTA DE CREDITO",ROUND(ABS(Registro_Compras!$J$471*Registro_Compras!$N$471),2),""))</f>
        <v/>
      </c>
      <c r="F4212" s="20" t="str">
        <f>IF($C4212="","",IF(Registro_Compras!$F$471="NOTA DE CREDITO","",IF(Registro_Compras!$F$471="RHE",ROUND(Registro_Compras!$L$471*Registro_Compras!$N$471,2),ROUND(Registro_Compras!$J$471*Registro_Compras!$N$471,2))))</f>
        <v/>
      </c>
      <c r="G4212" t="str">
        <f>IF($C4212="","","Por el destino del gasto")</f>
        <v/>
      </c>
      <c r="H4212" t="str">
        <f>IF($C4212="","",Registro_Compras!$C$471)</f>
        <v/>
      </c>
    </row>
    <row r="4213" spans="1:8" x14ac:dyDescent="0.25">
      <c r="A4213" s="25" t="str">
        <f>IF($C4213="","",Registro_Compras!$X$471)</f>
        <v/>
      </c>
      <c r="B4213" t="str">
        <f>IF($C4213="","","C"&amp;TEXT(INT((ROW()-5)/9)+1,"000")&amp;"-3")</f>
        <v/>
      </c>
      <c r="C4213" t="str">
        <f>IF(OR(Registro_Compras!$C$471="",Registro_Compras!$O$471="",Registro_Compras!$R$471&lt;&gt;"SI",Registro_Compras!$X$471=""),"","4212")</f>
        <v/>
      </c>
      <c r="D4213" t="str">
        <f>IF(OR(Registro_Compras!$C$471="",Registro_Compras!$O$471=""),"","Cuentas por Pagar Comerciales - Terceros")</f>
        <v/>
      </c>
      <c r="E4213" s="20" t="str">
        <f>IF($C4213="","",Registro_Compras!$S$471)</f>
        <v/>
      </c>
      <c r="F4213" s="20" t="str">
        <f>""</f>
        <v/>
      </c>
      <c r="G4213" t="str">
        <f>IF($C4213="","","Por el deposito de la detraccion en el Banco de la Nacion")</f>
        <v/>
      </c>
      <c r="H4213" t="str">
        <f>IF($C4213="","",Registro_Compras!$C$471)</f>
        <v/>
      </c>
    </row>
    <row r="4214" spans="1:8" x14ac:dyDescent="0.25">
      <c r="A4214" s="25" t="str">
        <f>IF($C4214="","",Registro_Compras!$X$471)</f>
        <v/>
      </c>
      <c r="B4214" t="str">
        <f>IF($C4214="","","C"&amp;TEXT(INT((ROW()-5)/9)+1,"000")&amp;"-3")</f>
        <v/>
      </c>
      <c r="C4214" t="str">
        <f>IF(OR(Registro_Compras!$C$471="",Registro_Compras!$O$471="",Registro_Compras!$R$471&lt;&gt;"SI",Registro_Compras!$X$471=""),"","1041")</f>
        <v/>
      </c>
      <c r="D4214" t="str">
        <f>IF(OR(Registro_Compras!$C$471="",Registro_Compras!$O$471=""),"","Efectivo y Equivalentes - Cta. Cte. Operativa")</f>
        <v/>
      </c>
      <c r="E4214" s="20" t="str">
        <f>""</f>
        <v/>
      </c>
      <c r="F4214" s="20" t="str">
        <f>IF($C4214="","",Registro_Compras!$S$471)</f>
        <v/>
      </c>
      <c r="G4214" t="str">
        <f>IF($C4214="","","Por el deposito de la detraccion en el Banco de la Nacion")</f>
        <v/>
      </c>
      <c r="H4214" t="str">
        <f>IF($C4214="","",Registro_Compras!$C$471)</f>
        <v/>
      </c>
    </row>
    <row r="4215" spans="1:8" x14ac:dyDescent="0.25">
      <c r="A4215" s="25" t="str">
        <f>IF($C4215="","",Registro_Compras!$Y$471)</f>
        <v/>
      </c>
      <c r="B4215" t="str">
        <f>IF($C4215="","","C"&amp;TEXT(INT((ROW()-5)/9)+1,"000")&amp;"-4")</f>
        <v/>
      </c>
      <c r="C4215" t="str">
        <f>IF(OR(Registro_Compras!$C$471="",Registro_Compras!$O$471="",Registro_Compras!$Y$471="",Registro_Compras!$F$471="NOTA DE CREDITO"),"","4212")</f>
        <v/>
      </c>
      <c r="D4215" t="str">
        <f>IF(OR(Registro_Compras!$C$471="",Registro_Compras!$O$471=""),"","Cuentas por Pagar Comerciales - Terceros")</f>
        <v/>
      </c>
      <c r="E4215" s="20" t="str">
        <f>IF($C4215="","",IF(Registro_Compras!$F$471="RHE",(ROUND(Registro_Compras!$L$471*Registro_Compras!$N$471,2)-ROUND(Registro_Compras!$V$471*Registro_Compras!$N$471,2)),ROUND(Registro_Compras!$O$471-Registro_Compras!$S$471,2)))</f>
        <v/>
      </c>
      <c r="F4215" s="20" t="str">
        <f>""</f>
        <v/>
      </c>
      <c r="G4215" t="str">
        <f>IF($C4215="","","Por la cancelacion del saldo al proveedor")</f>
        <v/>
      </c>
      <c r="H4215" t="str">
        <f>IF($C4215="","",Registro_Compras!$C$471)</f>
        <v/>
      </c>
    </row>
    <row r="4216" spans="1:8" x14ac:dyDescent="0.25">
      <c r="A4216" s="25" t="str">
        <f>IF($C4216="","",Registro_Compras!$Y$471)</f>
        <v/>
      </c>
      <c r="B4216" t="str">
        <f>IF($C4216="","","C"&amp;TEXT(INT((ROW()-5)/9)+1,"000")&amp;"-4")</f>
        <v/>
      </c>
      <c r="C4216" t="str">
        <f>IF(OR(Registro_Compras!$C$471="",Registro_Compras!$O$471="",Registro_Compras!$Y$471="",Registro_Compras!$F$471="NOTA DE CREDITO"),"","1041")</f>
        <v/>
      </c>
      <c r="D4216" t="str">
        <f>IF(OR(Registro_Compras!$C$471="",Registro_Compras!$O$471=""),"","Efectivo y Equivalentes - Cta. Cte. Operativa")</f>
        <v/>
      </c>
      <c r="E4216" s="20" t="str">
        <f>""</f>
        <v/>
      </c>
      <c r="F4216" s="20" t="str">
        <f>IF($C4216="","",IF(Registro_Compras!$F$471="RHE",(ROUND(Registro_Compras!$L$471*Registro_Compras!$N$471,2)-ROUND(Registro_Compras!$V$471*Registro_Compras!$N$471,2)),ROUND(Registro_Compras!$O$471-Registro_Compras!$S$471,2)))</f>
        <v/>
      </c>
      <c r="G4216" t="str">
        <f>IF($C4216="","","Por la cancelacion del saldo al proveedor")</f>
        <v/>
      </c>
      <c r="H4216" t="str">
        <f>IF($C4216="","",Registro_Compras!$C$471)</f>
        <v/>
      </c>
    </row>
    <row r="4217" spans="1:8" x14ac:dyDescent="0.25">
      <c r="A4217" s="25" t="str">
        <f>IF($C4217="","",Registro_Compras!$B$472)</f>
        <v/>
      </c>
      <c r="B4217" t="str">
        <f>IF($C4217="","","C"&amp;TEXT(INT((ROW()-5)/9)+1,"000")&amp;"-1")</f>
        <v/>
      </c>
      <c r="C4217" t="str">
        <f>IF(OR(Registro_Compras!$C$472="",Registro_Compras!$O$472=""),"",IF(Registro_Compras!$F$472="NOTA DE CREDITO","4212",IF(Registro_Compras!$M$472="","63",Registro_Compras!$M$472)))</f>
        <v/>
      </c>
      <c r="D4217" t="str">
        <f>IF(OR(Registro_Compras!$C$472="",Registro_Compras!$O$472=""),"",IF(Registro_Compras!$F$472="NOTA DE CREDITO","Cuentas por Pagar Comerciales - Terceros (Emitidas)",IF(Registro_Compras!$F$472="RHE","Honorarios Profesionales - Servicios de Terceros","Gastos de Servicios Prestados por Terceros")))</f>
        <v/>
      </c>
      <c r="E4217" s="20" t="str">
        <f>IF($C4217="","",IF(Registro_Compras!$F$472="NOTA DE CREDITO",ABS(Registro_Compras!$O$472),IF(Registro_Compras!$F$472="RHE",ROUND(Registro_Compras!$L$472*Registro_Compras!$N$472,2),ROUND(Registro_Compras!$J$472*Registro_Compras!$N$472,2))))</f>
        <v/>
      </c>
      <c r="F4217" s="20" t="str">
        <f>""</f>
        <v/>
      </c>
      <c r="G4217" t="str">
        <f>IF($C4217="","",IF(Registro_Compras!$F$472="NOTA DE CREDITO","Por la nota de credito "&amp;Registro_Compras!$C$472&amp;" de "&amp;Registro_Compras!$E$472&amp;" [PATRON POR CONFIRMAR CON CONTADOR]",IF(Registro_Compras!$F$472="RHE","Por el registro del recibo por honorarios "&amp;Registro_Compras!$C$472&amp;" de "&amp;Registro_Compras!$E$472&amp;" [PATRON POR CONFIRMAR CON CONTADOR]","Por el registro de la factura "&amp;Registro_Compras!$C$472&amp;" de "&amp;Registro_Compras!$E$472)))</f>
        <v/>
      </c>
      <c r="H4217" t="str">
        <f>IF($C4217="","",Registro_Compras!$C$472)</f>
        <v/>
      </c>
    </row>
    <row r="4218" spans="1:8" x14ac:dyDescent="0.25">
      <c r="A4218" s="25" t="str">
        <f>IF($C4218="","",Registro_Compras!$B$472)</f>
        <v/>
      </c>
      <c r="B4218" t="str">
        <f>IF($C4218="","","C"&amp;TEXT(INT((ROW()-5)/9)+1,"000")&amp;"-1")</f>
        <v/>
      </c>
      <c r="C4218" t="str">
        <f>IF(OR(Registro_Compras!$C$472="",Registro_Compras!$O$472=""),"",IF(Registro_Compras!$F$472="RHE",IF(Registro_Compras!$V$472=0,"","4017"),IF(Registro_Compras!$F$472="NOTA DE CREDITO",IF(Registro_Compras!$M$472="","63",Registro_Compras!$M$472),IF(Registro_Compras!$K$472=0,"","40111"))))</f>
        <v/>
      </c>
      <c r="D4218" t="str">
        <f>IF(OR(Registro_Compras!$C$472="",Registro_Compras!$O$472=""),"",IF(Registro_Compras!$F$472="RHE","Retencion Renta 4ta Categoria por Pagar",IF(Registro_Compras!$F$472="NOTA DE CREDITO","Gastos de Servicios Prestados por Terceros","IGV - Cuenta Propia (Credito Fiscal)")))</f>
        <v/>
      </c>
      <c r="E4218" s="20" t="str">
        <f>IF($C4218="","",IF(Registro_Compras!$F$472="FACTURA",ROUND(Registro_Compras!$K$472*Registro_Compras!$N$472,2),""))</f>
        <v/>
      </c>
      <c r="F4218" s="20" t="str">
        <f>IF($C4218="","",IF(Registro_Compras!$F$472="RHE",ROUND(Registro_Compras!$V$472*Registro_Compras!$N$472,2),IF(Registro_Compras!$F$472="NOTA DE CREDITO",ROUND(ABS(Registro_Compras!$J$472*Registro_Compras!$N$472),2),"")))</f>
        <v/>
      </c>
      <c r="G4218" t="str">
        <f>IF($C4218="","",IF(Registro_Compras!$F$472="NOTA DE CREDITO","Por la nota de credito "&amp;Registro_Compras!$C$472&amp;" de "&amp;Registro_Compras!$E$472&amp;" [PATRON POR CONFIRMAR CON CONTADOR]",IF(Registro_Compras!$F$472="RHE","Por el registro del recibo por honorarios "&amp;Registro_Compras!$C$472&amp;" de "&amp;Registro_Compras!$E$472&amp;" [PATRON POR CONFIRMAR CON CONTADOR]","Por el registro de la factura "&amp;Registro_Compras!$C$472&amp;" de "&amp;Registro_Compras!$E$472)))</f>
        <v/>
      </c>
      <c r="H4218" t="str">
        <f>IF($C4218="","",Registro_Compras!$C$472)</f>
        <v/>
      </c>
    </row>
    <row r="4219" spans="1:8" x14ac:dyDescent="0.25">
      <c r="A4219" s="25" t="str">
        <f>IF($C4219="","",Registro_Compras!$B$472)</f>
        <v/>
      </c>
      <c r="B4219" t="str">
        <f>IF($C4219="","","C"&amp;TEXT(INT((ROW()-5)/9)+1,"000")&amp;"-1")</f>
        <v/>
      </c>
      <c r="C4219" t="str">
        <f>IF(OR(Registro_Compras!$C$472="",Registro_Compras!$O$472=""),"",IF(Registro_Compras!$F$472="NOTA DE CREDITO",IF(Registro_Compras!$K$472=0,"","40111"),"4212"))</f>
        <v/>
      </c>
      <c r="D4219" t="str">
        <f>IF(OR(Registro_Compras!$C$472="",Registro_Compras!$O$472=""),"",IF(Registro_Compras!$F$472="NOTA DE CREDITO","IGV - Cuenta Propia (Credito Fiscal)","Cuentas por Pagar Comerciales - Terceros (Emitidas)"))</f>
        <v/>
      </c>
      <c r="E4219" s="20" t="str">
        <f>""</f>
        <v/>
      </c>
      <c r="F4219" s="20" t="str">
        <f>IF($C4219="","",IF(Registro_Compras!$F$472="NOTA DE CREDITO",ROUND(ABS(Registro_Compras!$K$472*Registro_Compras!$N$472),2),IF(Registro_Compras!$F$472="RHE",(ROUND(Registro_Compras!$L$472*Registro_Compras!$N$472,2)-ROUND(Registro_Compras!$V$472*Registro_Compras!$N$472,2)),Registro_Compras!$O$472)))</f>
        <v/>
      </c>
      <c r="G4219" t="str">
        <f>IF($C4219="","",IF(Registro_Compras!$F$472="NOTA DE CREDITO","Por la nota de credito "&amp;Registro_Compras!$C$472&amp;" de "&amp;Registro_Compras!$E$472&amp;" [PATRON POR CONFIRMAR CON CONTADOR]",IF(Registro_Compras!$F$472="RHE","Por el registro del recibo por honorarios "&amp;Registro_Compras!$C$472&amp;" de "&amp;Registro_Compras!$E$472&amp;" [PATRON POR CONFIRMAR CON CONTADOR]","Por el registro de la factura "&amp;Registro_Compras!$C$472&amp;" de "&amp;Registro_Compras!$E$472)))</f>
        <v/>
      </c>
      <c r="H4219" t="str">
        <f>IF($C4219="","",Registro_Compras!$C$472)</f>
        <v/>
      </c>
    </row>
    <row r="4220" spans="1:8" x14ac:dyDescent="0.25">
      <c r="A4220" s="25" t="str">
        <f>IF($C4220="","",Registro_Compras!$B$472)</f>
        <v/>
      </c>
      <c r="B4220" t="str">
        <f>IF($C4220="","","C"&amp;TEXT(INT((ROW()-5)/9)+1,"000")&amp;"-2")</f>
        <v/>
      </c>
      <c r="C4220" t="str">
        <f>IF(OR(Registro_Compras!$C$472="",Registro_Compras!$O$472=""),"",IF(Registro_Compras!$AB$472="ADMINISTRATIVO","94","95"))</f>
        <v/>
      </c>
      <c r="D4220" t="str">
        <f>IF(OR(Registro_Compras!$C$472="",Registro_Compras!$O$472=""),"",IF(Registro_Compras!$AB$472="ADMINISTRATIVO","Gastos Administrativos","Gastos de Venta y Operacion"))</f>
        <v/>
      </c>
      <c r="E4220" s="20" t="str">
        <f>IF($C4220="","",IF(Registro_Compras!$F$472="NOTA DE CREDITO","",IF(Registro_Compras!$F$472="RHE",ROUND(Registro_Compras!$L$472*Registro_Compras!$N$472,2),ROUND(Registro_Compras!$J$472*Registro_Compras!$N$472,2))))</f>
        <v/>
      </c>
      <c r="F4220" s="20" t="str">
        <f>IF($C4220="","",IF(Registro_Compras!$F$472="NOTA DE CREDITO",ROUND(ABS(Registro_Compras!$J$472*Registro_Compras!$N$472),2),""))</f>
        <v/>
      </c>
      <c r="G4220" t="str">
        <f>IF($C4220="","","Por el destino del gasto")</f>
        <v/>
      </c>
      <c r="H4220" t="str">
        <f>IF($C4220="","",Registro_Compras!$C$472)</f>
        <v/>
      </c>
    </row>
    <row r="4221" spans="1:8" x14ac:dyDescent="0.25">
      <c r="A4221" s="25" t="str">
        <f>IF($C4221="","",Registro_Compras!$B$472)</f>
        <v/>
      </c>
      <c r="B4221" t="str">
        <f>IF($C4221="","","C"&amp;TEXT(INT((ROW()-5)/9)+1,"000")&amp;"-2")</f>
        <v/>
      </c>
      <c r="C4221" t="str">
        <f>IF(OR(Registro_Compras!$C$472="",Registro_Compras!$O$472=""),"","79/791")</f>
        <v/>
      </c>
      <c r="D4221" t="str">
        <f>IF(OR(Registro_Compras!$C$472="",Registro_Compras!$O$472=""),"","Cargas Imputables a Cuentas de Costos y Gastos")</f>
        <v/>
      </c>
      <c r="E4221" s="20" t="str">
        <f>IF($C4221="","",IF(Registro_Compras!$F$472="NOTA DE CREDITO",ROUND(ABS(Registro_Compras!$J$472*Registro_Compras!$N$472),2),""))</f>
        <v/>
      </c>
      <c r="F4221" s="20" t="str">
        <f>IF($C4221="","",IF(Registro_Compras!$F$472="NOTA DE CREDITO","",IF(Registro_Compras!$F$472="RHE",ROUND(Registro_Compras!$L$472*Registro_Compras!$N$472,2),ROUND(Registro_Compras!$J$472*Registro_Compras!$N$472,2))))</f>
        <v/>
      </c>
      <c r="G4221" t="str">
        <f>IF($C4221="","","Por el destino del gasto")</f>
        <v/>
      </c>
      <c r="H4221" t="str">
        <f>IF($C4221="","",Registro_Compras!$C$472)</f>
        <v/>
      </c>
    </row>
    <row r="4222" spans="1:8" x14ac:dyDescent="0.25">
      <c r="A4222" s="25" t="str">
        <f>IF($C4222="","",Registro_Compras!$X$472)</f>
        <v/>
      </c>
      <c r="B4222" t="str">
        <f>IF($C4222="","","C"&amp;TEXT(INT((ROW()-5)/9)+1,"000")&amp;"-3")</f>
        <v/>
      </c>
      <c r="C4222" t="str">
        <f>IF(OR(Registro_Compras!$C$472="",Registro_Compras!$O$472="",Registro_Compras!$R$472&lt;&gt;"SI",Registro_Compras!$X$472=""),"","4212")</f>
        <v/>
      </c>
      <c r="D4222" t="str">
        <f>IF(OR(Registro_Compras!$C$472="",Registro_Compras!$O$472=""),"","Cuentas por Pagar Comerciales - Terceros")</f>
        <v/>
      </c>
      <c r="E4222" s="20" t="str">
        <f>IF($C4222="","",Registro_Compras!$S$472)</f>
        <v/>
      </c>
      <c r="F4222" s="20" t="str">
        <f>""</f>
        <v/>
      </c>
      <c r="G4222" t="str">
        <f>IF($C4222="","","Por el deposito de la detraccion en el Banco de la Nacion")</f>
        <v/>
      </c>
      <c r="H4222" t="str">
        <f>IF($C4222="","",Registro_Compras!$C$472)</f>
        <v/>
      </c>
    </row>
    <row r="4223" spans="1:8" x14ac:dyDescent="0.25">
      <c r="A4223" s="25" t="str">
        <f>IF($C4223="","",Registro_Compras!$X$472)</f>
        <v/>
      </c>
      <c r="B4223" t="str">
        <f>IF($C4223="","","C"&amp;TEXT(INT((ROW()-5)/9)+1,"000")&amp;"-3")</f>
        <v/>
      </c>
      <c r="C4223" t="str">
        <f>IF(OR(Registro_Compras!$C$472="",Registro_Compras!$O$472="",Registro_Compras!$R$472&lt;&gt;"SI",Registro_Compras!$X$472=""),"","1041")</f>
        <v/>
      </c>
      <c r="D4223" t="str">
        <f>IF(OR(Registro_Compras!$C$472="",Registro_Compras!$O$472=""),"","Efectivo y Equivalentes - Cta. Cte. Operativa")</f>
        <v/>
      </c>
      <c r="E4223" s="20" t="str">
        <f>""</f>
        <v/>
      </c>
      <c r="F4223" s="20" t="str">
        <f>IF($C4223="","",Registro_Compras!$S$472)</f>
        <v/>
      </c>
      <c r="G4223" t="str">
        <f>IF($C4223="","","Por el deposito de la detraccion en el Banco de la Nacion")</f>
        <v/>
      </c>
      <c r="H4223" t="str">
        <f>IF($C4223="","",Registro_Compras!$C$472)</f>
        <v/>
      </c>
    </row>
    <row r="4224" spans="1:8" x14ac:dyDescent="0.25">
      <c r="A4224" s="25" t="str">
        <f>IF($C4224="","",Registro_Compras!$Y$472)</f>
        <v/>
      </c>
      <c r="B4224" t="str">
        <f>IF($C4224="","","C"&amp;TEXT(INT((ROW()-5)/9)+1,"000")&amp;"-4")</f>
        <v/>
      </c>
      <c r="C4224" t="str">
        <f>IF(OR(Registro_Compras!$C$472="",Registro_Compras!$O$472="",Registro_Compras!$Y$472="",Registro_Compras!$F$472="NOTA DE CREDITO"),"","4212")</f>
        <v/>
      </c>
      <c r="D4224" t="str">
        <f>IF(OR(Registro_Compras!$C$472="",Registro_Compras!$O$472=""),"","Cuentas por Pagar Comerciales - Terceros")</f>
        <v/>
      </c>
      <c r="E4224" s="20" t="str">
        <f>IF($C4224="","",IF(Registro_Compras!$F$472="RHE",(ROUND(Registro_Compras!$L$472*Registro_Compras!$N$472,2)-ROUND(Registro_Compras!$V$472*Registro_Compras!$N$472,2)),ROUND(Registro_Compras!$O$472-Registro_Compras!$S$472,2)))</f>
        <v/>
      </c>
      <c r="F4224" s="20" t="str">
        <f>""</f>
        <v/>
      </c>
      <c r="G4224" t="str">
        <f>IF($C4224="","","Por la cancelacion del saldo al proveedor")</f>
        <v/>
      </c>
      <c r="H4224" t="str">
        <f>IF($C4224="","",Registro_Compras!$C$472)</f>
        <v/>
      </c>
    </row>
    <row r="4225" spans="1:8" x14ac:dyDescent="0.25">
      <c r="A4225" s="25" t="str">
        <f>IF($C4225="","",Registro_Compras!$Y$472)</f>
        <v/>
      </c>
      <c r="B4225" t="str">
        <f>IF($C4225="","","C"&amp;TEXT(INT((ROW()-5)/9)+1,"000")&amp;"-4")</f>
        <v/>
      </c>
      <c r="C4225" t="str">
        <f>IF(OR(Registro_Compras!$C$472="",Registro_Compras!$O$472="",Registro_Compras!$Y$472="",Registro_Compras!$F$472="NOTA DE CREDITO"),"","1041")</f>
        <v/>
      </c>
      <c r="D4225" t="str">
        <f>IF(OR(Registro_Compras!$C$472="",Registro_Compras!$O$472=""),"","Efectivo y Equivalentes - Cta. Cte. Operativa")</f>
        <v/>
      </c>
      <c r="E4225" s="20" t="str">
        <f>""</f>
        <v/>
      </c>
      <c r="F4225" s="20" t="str">
        <f>IF($C4225="","",IF(Registro_Compras!$F$472="RHE",(ROUND(Registro_Compras!$L$472*Registro_Compras!$N$472,2)-ROUND(Registro_Compras!$V$472*Registro_Compras!$N$472,2)),ROUND(Registro_Compras!$O$472-Registro_Compras!$S$472,2)))</f>
        <v/>
      </c>
      <c r="G4225" t="str">
        <f>IF($C4225="","","Por la cancelacion del saldo al proveedor")</f>
        <v/>
      </c>
      <c r="H4225" t="str">
        <f>IF($C4225="","",Registro_Compras!$C$472)</f>
        <v/>
      </c>
    </row>
    <row r="4226" spans="1:8" x14ac:dyDescent="0.25">
      <c r="A4226" s="25" t="str">
        <f>IF($C4226="","",Registro_Compras!$B$473)</f>
        <v/>
      </c>
      <c r="B4226" t="str">
        <f>IF($C4226="","","C"&amp;TEXT(INT((ROW()-5)/9)+1,"000")&amp;"-1")</f>
        <v/>
      </c>
      <c r="C4226" t="str">
        <f>IF(OR(Registro_Compras!$C$473="",Registro_Compras!$O$473=""),"",IF(Registro_Compras!$F$473="NOTA DE CREDITO","4212",IF(Registro_Compras!$M$473="","63",Registro_Compras!$M$473)))</f>
        <v/>
      </c>
      <c r="D4226" t="str">
        <f>IF(OR(Registro_Compras!$C$473="",Registro_Compras!$O$473=""),"",IF(Registro_Compras!$F$473="NOTA DE CREDITO","Cuentas por Pagar Comerciales - Terceros (Emitidas)",IF(Registro_Compras!$F$473="RHE","Honorarios Profesionales - Servicios de Terceros","Gastos de Servicios Prestados por Terceros")))</f>
        <v/>
      </c>
      <c r="E4226" s="20" t="str">
        <f>IF($C4226="","",IF(Registro_Compras!$F$473="NOTA DE CREDITO",ABS(Registro_Compras!$O$473),IF(Registro_Compras!$F$473="RHE",ROUND(Registro_Compras!$L$473*Registro_Compras!$N$473,2),ROUND(Registro_Compras!$J$473*Registro_Compras!$N$473,2))))</f>
        <v/>
      </c>
      <c r="F4226" s="20" t="str">
        <f>""</f>
        <v/>
      </c>
      <c r="G4226" t="str">
        <f>IF($C4226="","",IF(Registro_Compras!$F$473="NOTA DE CREDITO","Por la nota de credito "&amp;Registro_Compras!$C$473&amp;" de "&amp;Registro_Compras!$E$473&amp;" [PATRON POR CONFIRMAR CON CONTADOR]",IF(Registro_Compras!$F$473="RHE","Por el registro del recibo por honorarios "&amp;Registro_Compras!$C$473&amp;" de "&amp;Registro_Compras!$E$473&amp;" [PATRON POR CONFIRMAR CON CONTADOR]","Por el registro de la factura "&amp;Registro_Compras!$C$473&amp;" de "&amp;Registro_Compras!$E$473)))</f>
        <v/>
      </c>
      <c r="H4226" t="str">
        <f>IF($C4226="","",Registro_Compras!$C$473)</f>
        <v/>
      </c>
    </row>
    <row r="4227" spans="1:8" x14ac:dyDescent="0.25">
      <c r="A4227" s="25" t="str">
        <f>IF($C4227="","",Registro_Compras!$B$473)</f>
        <v/>
      </c>
      <c r="B4227" t="str">
        <f>IF($C4227="","","C"&amp;TEXT(INT((ROW()-5)/9)+1,"000")&amp;"-1")</f>
        <v/>
      </c>
      <c r="C4227" t="str">
        <f>IF(OR(Registro_Compras!$C$473="",Registro_Compras!$O$473=""),"",IF(Registro_Compras!$F$473="RHE",IF(Registro_Compras!$V$473=0,"","4017"),IF(Registro_Compras!$F$473="NOTA DE CREDITO",IF(Registro_Compras!$M$473="","63",Registro_Compras!$M$473),IF(Registro_Compras!$K$473=0,"","40111"))))</f>
        <v/>
      </c>
      <c r="D4227" t="str">
        <f>IF(OR(Registro_Compras!$C$473="",Registro_Compras!$O$473=""),"",IF(Registro_Compras!$F$473="RHE","Retencion Renta 4ta Categoria por Pagar",IF(Registro_Compras!$F$473="NOTA DE CREDITO","Gastos de Servicios Prestados por Terceros","IGV - Cuenta Propia (Credito Fiscal)")))</f>
        <v/>
      </c>
      <c r="E4227" s="20" t="str">
        <f>IF($C4227="","",IF(Registro_Compras!$F$473="FACTURA",ROUND(Registro_Compras!$K$473*Registro_Compras!$N$473,2),""))</f>
        <v/>
      </c>
      <c r="F4227" s="20" t="str">
        <f>IF($C4227="","",IF(Registro_Compras!$F$473="RHE",ROUND(Registro_Compras!$V$473*Registro_Compras!$N$473,2),IF(Registro_Compras!$F$473="NOTA DE CREDITO",ROUND(ABS(Registro_Compras!$J$473*Registro_Compras!$N$473),2),"")))</f>
        <v/>
      </c>
      <c r="G4227" t="str">
        <f>IF($C4227="","",IF(Registro_Compras!$F$473="NOTA DE CREDITO","Por la nota de credito "&amp;Registro_Compras!$C$473&amp;" de "&amp;Registro_Compras!$E$473&amp;" [PATRON POR CONFIRMAR CON CONTADOR]",IF(Registro_Compras!$F$473="RHE","Por el registro del recibo por honorarios "&amp;Registro_Compras!$C$473&amp;" de "&amp;Registro_Compras!$E$473&amp;" [PATRON POR CONFIRMAR CON CONTADOR]","Por el registro de la factura "&amp;Registro_Compras!$C$473&amp;" de "&amp;Registro_Compras!$E$473)))</f>
        <v/>
      </c>
      <c r="H4227" t="str">
        <f>IF($C4227="","",Registro_Compras!$C$473)</f>
        <v/>
      </c>
    </row>
    <row r="4228" spans="1:8" x14ac:dyDescent="0.25">
      <c r="A4228" s="25" t="str">
        <f>IF($C4228="","",Registro_Compras!$B$473)</f>
        <v/>
      </c>
      <c r="B4228" t="str">
        <f>IF($C4228="","","C"&amp;TEXT(INT((ROW()-5)/9)+1,"000")&amp;"-1")</f>
        <v/>
      </c>
      <c r="C4228" t="str">
        <f>IF(OR(Registro_Compras!$C$473="",Registro_Compras!$O$473=""),"",IF(Registro_Compras!$F$473="NOTA DE CREDITO",IF(Registro_Compras!$K$473=0,"","40111"),"4212"))</f>
        <v/>
      </c>
      <c r="D4228" t="str">
        <f>IF(OR(Registro_Compras!$C$473="",Registro_Compras!$O$473=""),"",IF(Registro_Compras!$F$473="NOTA DE CREDITO","IGV - Cuenta Propia (Credito Fiscal)","Cuentas por Pagar Comerciales - Terceros (Emitidas)"))</f>
        <v/>
      </c>
      <c r="E4228" s="20" t="str">
        <f>""</f>
        <v/>
      </c>
      <c r="F4228" s="20" t="str">
        <f>IF($C4228="","",IF(Registro_Compras!$F$473="NOTA DE CREDITO",ROUND(ABS(Registro_Compras!$K$473*Registro_Compras!$N$473),2),IF(Registro_Compras!$F$473="RHE",(ROUND(Registro_Compras!$L$473*Registro_Compras!$N$473,2)-ROUND(Registro_Compras!$V$473*Registro_Compras!$N$473,2)),Registro_Compras!$O$473)))</f>
        <v/>
      </c>
      <c r="G4228" t="str">
        <f>IF($C4228="","",IF(Registro_Compras!$F$473="NOTA DE CREDITO","Por la nota de credito "&amp;Registro_Compras!$C$473&amp;" de "&amp;Registro_Compras!$E$473&amp;" [PATRON POR CONFIRMAR CON CONTADOR]",IF(Registro_Compras!$F$473="RHE","Por el registro del recibo por honorarios "&amp;Registro_Compras!$C$473&amp;" de "&amp;Registro_Compras!$E$473&amp;" [PATRON POR CONFIRMAR CON CONTADOR]","Por el registro de la factura "&amp;Registro_Compras!$C$473&amp;" de "&amp;Registro_Compras!$E$473)))</f>
        <v/>
      </c>
      <c r="H4228" t="str">
        <f>IF($C4228="","",Registro_Compras!$C$473)</f>
        <v/>
      </c>
    </row>
    <row r="4229" spans="1:8" x14ac:dyDescent="0.25">
      <c r="A4229" s="25" t="str">
        <f>IF($C4229="","",Registro_Compras!$B$473)</f>
        <v/>
      </c>
      <c r="B4229" t="str">
        <f>IF($C4229="","","C"&amp;TEXT(INT((ROW()-5)/9)+1,"000")&amp;"-2")</f>
        <v/>
      </c>
      <c r="C4229" t="str">
        <f>IF(OR(Registro_Compras!$C$473="",Registro_Compras!$O$473=""),"",IF(Registro_Compras!$AB$473="ADMINISTRATIVO","94","95"))</f>
        <v/>
      </c>
      <c r="D4229" t="str">
        <f>IF(OR(Registro_Compras!$C$473="",Registro_Compras!$O$473=""),"",IF(Registro_Compras!$AB$473="ADMINISTRATIVO","Gastos Administrativos","Gastos de Venta y Operacion"))</f>
        <v/>
      </c>
      <c r="E4229" s="20" t="str">
        <f>IF($C4229="","",IF(Registro_Compras!$F$473="NOTA DE CREDITO","",IF(Registro_Compras!$F$473="RHE",ROUND(Registro_Compras!$L$473*Registro_Compras!$N$473,2),ROUND(Registro_Compras!$J$473*Registro_Compras!$N$473,2))))</f>
        <v/>
      </c>
      <c r="F4229" s="20" t="str">
        <f>IF($C4229="","",IF(Registro_Compras!$F$473="NOTA DE CREDITO",ROUND(ABS(Registro_Compras!$J$473*Registro_Compras!$N$473),2),""))</f>
        <v/>
      </c>
      <c r="G4229" t="str">
        <f>IF($C4229="","","Por el destino del gasto")</f>
        <v/>
      </c>
      <c r="H4229" t="str">
        <f>IF($C4229="","",Registro_Compras!$C$473)</f>
        <v/>
      </c>
    </row>
    <row r="4230" spans="1:8" x14ac:dyDescent="0.25">
      <c r="A4230" s="25" t="str">
        <f>IF($C4230="","",Registro_Compras!$B$473)</f>
        <v/>
      </c>
      <c r="B4230" t="str">
        <f>IF($C4230="","","C"&amp;TEXT(INT((ROW()-5)/9)+1,"000")&amp;"-2")</f>
        <v/>
      </c>
      <c r="C4230" t="str">
        <f>IF(OR(Registro_Compras!$C$473="",Registro_Compras!$O$473=""),"","79/791")</f>
        <v/>
      </c>
      <c r="D4230" t="str">
        <f>IF(OR(Registro_Compras!$C$473="",Registro_Compras!$O$473=""),"","Cargas Imputables a Cuentas de Costos y Gastos")</f>
        <v/>
      </c>
      <c r="E4230" s="20" t="str">
        <f>IF($C4230="","",IF(Registro_Compras!$F$473="NOTA DE CREDITO",ROUND(ABS(Registro_Compras!$J$473*Registro_Compras!$N$473),2),""))</f>
        <v/>
      </c>
      <c r="F4230" s="20" t="str">
        <f>IF($C4230="","",IF(Registro_Compras!$F$473="NOTA DE CREDITO","",IF(Registro_Compras!$F$473="RHE",ROUND(Registro_Compras!$L$473*Registro_Compras!$N$473,2),ROUND(Registro_Compras!$J$473*Registro_Compras!$N$473,2))))</f>
        <v/>
      </c>
      <c r="G4230" t="str">
        <f>IF($C4230="","","Por el destino del gasto")</f>
        <v/>
      </c>
      <c r="H4230" t="str">
        <f>IF($C4230="","",Registro_Compras!$C$473)</f>
        <v/>
      </c>
    </row>
    <row r="4231" spans="1:8" x14ac:dyDescent="0.25">
      <c r="A4231" s="25" t="str">
        <f>IF($C4231="","",Registro_Compras!$X$473)</f>
        <v/>
      </c>
      <c r="B4231" t="str">
        <f>IF($C4231="","","C"&amp;TEXT(INT((ROW()-5)/9)+1,"000")&amp;"-3")</f>
        <v/>
      </c>
      <c r="C4231" t="str">
        <f>IF(OR(Registro_Compras!$C$473="",Registro_Compras!$O$473="",Registro_Compras!$R$473&lt;&gt;"SI",Registro_Compras!$X$473=""),"","4212")</f>
        <v/>
      </c>
      <c r="D4231" t="str">
        <f>IF(OR(Registro_Compras!$C$473="",Registro_Compras!$O$473=""),"","Cuentas por Pagar Comerciales - Terceros")</f>
        <v/>
      </c>
      <c r="E4231" s="20" t="str">
        <f>IF($C4231="","",Registro_Compras!$S$473)</f>
        <v/>
      </c>
      <c r="F4231" s="20" t="str">
        <f>""</f>
        <v/>
      </c>
      <c r="G4231" t="str">
        <f>IF($C4231="","","Por el deposito de la detraccion en el Banco de la Nacion")</f>
        <v/>
      </c>
      <c r="H4231" t="str">
        <f>IF($C4231="","",Registro_Compras!$C$473)</f>
        <v/>
      </c>
    </row>
    <row r="4232" spans="1:8" x14ac:dyDescent="0.25">
      <c r="A4232" s="25" t="str">
        <f>IF($C4232="","",Registro_Compras!$X$473)</f>
        <v/>
      </c>
      <c r="B4232" t="str">
        <f>IF($C4232="","","C"&amp;TEXT(INT((ROW()-5)/9)+1,"000")&amp;"-3")</f>
        <v/>
      </c>
      <c r="C4232" t="str">
        <f>IF(OR(Registro_Compras!$C$473="",Registro_Compras!$O$473="",Registro_Compras!$R$473&lt;&gt;"SI",Registro_Compras!$X$473=""),"","1041")</f>
        <v/>
      </c>
      <c r="D4232" t="str">
        <f>IF(OR(Registro_Compras!$C$473="",Registro_Compras!$O$473=""),"","Efectivo y Equivalentes - Cta. Cte. Operativa")</f>
        <v/>
      </c>
      <c r="E4232" s="20" t="str">
        <f>""</f>
        <v/>
      </c>
      <c r="F4232" s="20" t="str">
        <f>IF($C4232="","",Registro_Compras!$S$473)</f>
        <v/>
      </c>
      <c r="G4232" t="str">
        <f>IF($C4232="","","Por el deposito de la detraccion en el Banco de la Nacion")</f>
        <v/>
      </c>
      <c r="H4232" t="str">
        <f>IF($C4232="","",Registro_Compras!$C$473)</f>
        <v/>
      </c>
    </row>
    <row r="4233" spans="1:8" x14ac:dyDescent="0.25">
      <c r="A4233" s="25" t="str">
        <f>IF($C4233="","",Registro_Compras!$Y$473)</f>
        <v/>
      </c>
      <c r="B4233" t="str">
        <f>IF($C4233="","","C"&amp;TEXT(INT((ROW()-5)/9)+1,"000")&amp;"-4")</f>
        <v/>
      </c>
      <c r="C4233" t="str">
        <f>IF(OR(Registro_Compras!$C$473="",Registro_Compras!$O$473="",Registro_Compras!$Y$473="",Registro_Compras!$F$473="NOTA DE CREDITO"),"","4212")</f>
        <v/>
      </c>
      <c r="D4233" t="str">
        <f>IF(OR(Registro_Compras!$C$473="",Registro_Compras!$O$473=""),"","Cuentas por Pagar Comerciales - Terceros")</f>
        <v/>
      </c>
      <c r="E4233" s="20" t="str">
        <f>IF($C4233="","",IF(Registro_Compras!$F$473="RHE",(ROUND(Registro_Compras!$L$473*Registro_Compras!$N$473,2)-ROUND(Registro_Compras!$V$473*Registro_Compras!$N$473,2)),ROUND(Registro_Compras!$O$473-Registro_Compras!$S$473,2)))</f>
        <v/>
      </c>
      <c r="F4233" s="20" t="str">
        <f>""</f>
        <v/>
      </c>
      <c r="G4233" t="str">
        <f>IF($C4233="","","Por la cancelacion del saldo al proveedor")</f>
        <v/>
      </c>
      <c r="H4233" t="str">
        <f>IF($C4233="","",Registro_Compras!$C$473)</f>
        <v/>
      </c>
    </row>
    <row r="4234" spans="1:8" x14ac:dyDescent="0.25">
      <c r="A4234" s="25" t="str">
        <f>IF($C4234="","",Registro_Compras!$Y$473)</f>
        <v/>
      </c>
      <c r="B4234" t="str">
        <f>IF($C4234="","","C"&amp;TEXT(INT((ROW()-5)/9)+1,"000")&amp;"-4")</f>
        <v/>
      </c>
      <c r="C4234" t="str">
        <f>IF(OR(Registro_Compras!$C$473="",Registro_Compras!$O$473="",Registro_Compras!$Y$473="",Registro_Compras!$F$473="NOTA DE CREDITO"),"","1041")</f>
        <v/>
      </c>
      <c r="D4234" t="str">
        <f>IF(OR(Registro_Compras!$C$473="",Registro_Compras!$O$473=""),"","Efectivo y Equivalentes - Cta. Cte. Operativa")</f>
        <v/>
      </c>
      <c r="E4234" s="20" t="str">
        <f>""</f>
        <v/>
      </c>
      <c r="F4234" s="20" t="str">
        <f>IF($C4234="","",IF(Registro_Compras!$F$473="RHE",(ROUND(Registro_Compras!$L$473*Registro_Compras!$N$473,2)-ROUND(Registro_Compras!$V$473*Registro_Compras!$N$473,2)),ROUND(Registro_Compras!$O$473-Registro_Compras!$S$473,2)))</f>
        <v/>
      </c>
      <c r="G4234" t="str">
        <f>IF($C4234="","","Por la cancelacion del saldo al proveedor")</f>
        <v/>
      </c>
      <c r="H4234" t="str">
        <f>IF($C4234="","",Registro_Compras!$C$473)</f>
        <v/>
      </c>
    </row>
    <row r="4235" spans="1:8" x14ac:dyDescent="0.25">
      <c r="A4235" s="25" t="str">
        <f>IF($C4235="","",Registro_Compras!$B$474)</f>
        <v/>
      </c>
      <c r="B4235" t="str">
        <f>IF($C4235="","","C"&amp;TEXT(INT((ROW()-5)/9)+1,"000")&amp;"-1")</f>
        <v/>
      </c>
      <c r="C4235" t="str">
        <f>IF(OR(Registro_Compras!$C$474="",Registro_Compras!$O$474=""),"",IF(Registro_Compras!$F$474="NOTA DE CREDITO","4212",IF(Registro_Compras!$M$474="","63",Registro_Compras!$M$474)))</f>
        <v/>
      </c>
      <c r="D4235" t="str">
        <f>IF(OR(Registro_Compras!$C$474="",Registro_Compras!$O$474=""),"",IF(Registro_Compras!$F$474="NOTA DE CREDITO","Cuentas por Pagar Comerciales - Terceros (Emitidas)",IF(Registro_Compras!$F$474="RHE","Honorarios Profesionales - Servicios de Terceros","Gastos de Servicios Prestados por Terceros")))</f>
        <v/>
      </c>
      <c r="E4235" s="20" t="str">
        <f>IF($C4235="","",IF(Registro_Compras!$F$474="NOTA DE CREDITO",ABS(Registro_Compras!$O$474),IF(Registro_Compras!$F$474="RHE",ROUND(Registro_Compras!$L$474*Registro_Compras!$N$474,2),ROUND(Registro_Compras!$J$474*Registro_Compras!$N$474,2))))</f>
        <v/>
      </c>
      <c r="F4235" s="20" t="str">
        <f>""</f>
        <v/>
      </c>
      <c r="G4235" t="str">
        <f>IF($C4235="","",IF(Registro_Compras!$F$474="NOTA DE CREDITO","Por la nota de credito "&amp;Registro_Compras!$C$474&amp;" de "&amp;Registro_Compras!$E$474&amp;" [PATRON POR CONFIRMAR CON CONTADOR]",IF(Registro_Compras!$F$474="RHE","Por el registro del recibo por honorarios "&amp;Registro_Compras!$C$474&amp;" de "&amp;Registro_Compras!$E$474&amp;" [PATRON POR CONFIRMAR CON CONTADOR]","Por el registro de la factura "&amp;Registro_Compras!$C$474&amp;" de "&amp;Registro_Compras!$E$474)))</f>
        <v/>
      </c>
      <c r="H4235" t="str">
        <f>IF($C4235="","",Registro_Compras!$C$474)</f>
        <v/>
      </c>
    </row>
    <row r="4236" spans="1:8" x14ac:dyDescent="0.25">
      <c r="A4236" s="25" t="str">
        <f>IF($C4236="","",Registro_Compras!$B$474)</f>
        <v/>
      </c>
      <c r="B4236" t="str">
        <f>IF($C4236="","","C"&amp;TEXT(INT((ROW()-5)/9)+1,"000")&amp;"-1")</f>
        <v/>
      </c>
      <c r="C4236" t="str">
        <f>IF(OR(Registro_Compras!$C$474="",Registro_Compras!$O$474=""),"",IF(Registro_Compras!$F$474="RHE",IF(Registro_Compras!$V$474=0,"","4017"),IF(Registro_Compras!$F$474="NOTA DE CREDITO",IF(Registro_Compras!$M$474="","63",Registro_Compras!$M$474),IF(Registro_Compras!$K$474=0,"","40111"))))</f>
        <v/>
      </c>
      <c r="D4236" t="str">
        <f>IF(OR(Registro_Compras!$C$474="",Registro_Compras!$O$474=""),"",IF(Registro_Compras!$F$474="RHE","Retencion Renta 4ta Categoria por Pagar",IF(Registro_Compras!$F$474="NOTA DE CREDITO","Gastos de Servicios Prestados por Terceros","IGV - Cuenta Propia (Credito Fiscal)")))</f>
        <v/>
      </c>
      <c r="E4236" s="20" t="str">
        <f>IF($C4236="","",IF(Registro_Compras!$F$474="FACTURA",ROUND(Registro_Compras!$K$474*Registro_Compras!$N$474,2),""))</f>
        <v/>
      </c>
      <c r="F4236" s="20" t="str">
        <f>IF($C4236="","",IF(Registro_Compras!$F$474="RHE",ROUND(Registro_Compras!$V$474*Registro_Compras!$N$474,2),IF(Registro_Compras!$F$474="NOTA DE CREDITO",ROUND(ABS(Registro_Compras!$J$474*Registro_Compras!$N$474),2),"")))</f>
        <v/>
      </c>
      <c r="G4236" t="str">
        <f>IF($C4236="","",IF(Registro_Compras!$F$474="NOTA DE CREDITO","Por la nota de credito "&amp;Registro_Compras!$C$474&amp;" de "&amp;Registro_Compras!$E$474&amp;" [PATRON POR CONFIRMAR CON CONTADOR]",IF(Registro_Compras!$F$474="RHE","Por el registro del recibo por honorarios "&amp;Registro_Compras!$C$474&amp;" de "&amp;Registro_Compras!$E$474&amp;" [PATRON POR CONFIRMAR CON CONTADOR]","Por el registro de la factura "&amp;Registro_Compras!$C$474&amp;" de "&amp;Registro_Compras!$E$474)))</f>
        <v/>
      </c>
      <c r="H4236" t="str">
        <f>IF($C4236="","",Registro_Compras!$C$474)</f>
        <v/>
      </c>
    </row>
    <row r="4237" spans="1:8" x14ac:dyDescent="0.25">
      <c r="A4237" s="25" t="str">
        <f>IF($C4237="","",Registro_Compras!$B$474)</f>
        <v/>
      </c>
      <c r="B4237" t="str">
        <f>IF($C4237="","","C"&amp;TEXT(INT((ROW()-5)/9)+1,"000")&amp;"-1")</f>
        <v/>
      </c>
      <c r="C4237" t="str">
        <f>IF(OR(Registro_Compras!$C$474="",Registro_Compras!$O$474=""),"",IF(Registro_Compras!$F$474="NOTA DE CREDITO",IF(Registro_Compras!$K$474=0,"","40111"),"4212"))</f>
        <v/>
      </c>
      <c r="D4237" t="str">
        <f>IF(OR(Registro_Compras!$C$474="",Registro_Compras!$O$474=""),"",IF(Registro_Compras!$F$474="NOTA DE CREDITO","IGV - Cuenta Propia (Credito Fiscal)","Cuentas por Pagar Comerciales - Terceros (Emitidas)"))</f>
        <v/>
      </c>
      <c r="E4237" s="20" t="str">
        <f>""</f>
        <v/>
      </c>
      <c r="F4237" s="20" t="str">
        <f>IF($C4237="","",IF(Registro_Compras!$F$474="NOTA DE CREDITO",ROUND(ABS(Registro_Compras!$K$474*Registro_Compras!$N$474),2),IF(Registro_Compras!$F$474="RHE",(ROUND(Registro_Compras!$L$474*Registro_Compras!$N$474,2)-ROUND(Registro_Compras!$V$474*Registro_Compras!$N$474,2)),Registro_Compras!$O$474)))</f>
        <v/>
      </c>
      <c r="G4237" t="str">
        <f>IF($C4237="","",IF(Registro_Compras!$F$474="NOTA DE CREDITO","Por la nota de credito "&amp;Registro_Compras!$C$474&amp;" de "&amp;Registro_Compras!$E$474&amp;" [PATRON POR CONFIRMAR CON CONTADOR]",IF(Registro_Compras!$F$474="RHE","Por el registro del recibo por honorarios "&amp;Registro_Compras!$C$474&amp;" de "&amp;Registro_Compras!$E$474&amp;" [PATRON POR CONFIRMAR CON CONTADOR]","Por el registro de la factura "&amp;Registro_Compras!$C$474&amp;" de "&amp;Registro_Compras!$E$474)))</f>
        <v/>
      </c>
      <c r="H4237" t="str">
        <f>IF($C4237="","",Registro_Compras!$C$474)</f>
        <v/>
      </c>
    </row>
    <row r="4238" spans="1:8" x14ac:dyDescent="0.25">
      <c r="A4238" s="25" t="str">
        <f>IF($C4238="","",Registro_Compras!$B$474)</f>
        <v/>
      </c>
      <c r="B4238" t="str">
        <f>IF($C4238="","","C"&amp;TEXT(INT((ROW()-5)/9)+1,"000")&amp;"-2")</f>
        <v/>
      </c>
      <c r="C4238" t="str">
        <f>IF(OR(Registro_Compras!$C$474="",Registro_Compras!$O$474=""),"",IF(Registro_Compras!$AB$474="ADMINISTRATIVO","94","95"))</f>
        <v/>
      </c>
      <c r="D4238" t="str">
        <f>IF(OR(Registro_Compras!$C$474="",Registro_Compras!$O$474=""),"",IF(Registro_Compras!$AB$474="ADMINISTRATIVO","Gastos Administrativos","Gastos de Venta y Operacion"))</f>
        <v/>
      </c>
      <c r="E4238" s="20" t="str">
        <f>IF($C4238="","",IF(Registro_Compras!$F$474="NOTA DE CREDITO","",IF(Registro_Compras!$F$474="RHE",ROUND(Registro_Compras!$L$474*Registro_Compras!$N$474,2),ROUND(Registro_Compras!$J$474*Registro_Compras!$N$474,2))))</f>
        <v/>
      </c>
      <c r="F4238" s="20" t="str">
        <f>IF($C4238="","",IF(Registro_Compras!$F$474="NOTA DE CREDITO",ROUND(ABS(Registro_Compras!$J$474*Registro_Compras!$N$474),2),""))</f>
        <v/>
      </c>
      <c r="G4238" t="str">
        <f>IF($C4238="","","Por el destino del gasto")</f>
        <v/>
      </c>
      <c r="H4238" t="str">
        <f>IF($C4238="","",Registro_Compras!$C$474)</f>
        <v/>
      </c>
    </row>
    <row r="4239" spans="1:8" x14ac:dyDescent="0.25">
      <c r="A4239" s="25" t="str">
        <f>IF($C4239="","",Registro_Compras!$B$474)</f>
        <v/>
      </c>
      <c r="B4239" t="str">
        <f>IF($C4239="","","C"&amp;TEXT(INT((ROW()-5)/9)+1,"000")&amp;"-2")</f>
        <v/>
      </c>
      <c r="C4239" t="str">
        <f>IF(OR(Registro_Compras!$C$474="",Registro_Compras!$O$474=""),"","79/791")</f>
        <v/>
      </c>
      <c r="D4239" t="str">
        <f>IF(OR(Registro_Compras!$C$474="",Registro_Compras!$O$474=""),"","Cargas Imputables a Cuentas de Costos y Gastos")</f>
        <v/>
      </c>
      <c r="E4239" s="20" t="str">
        <f>IF($C4239="","",IF(Registro_Compras!$F$474="NOTA DE CREDITO",ROUND(ABS(Registro_Compras!$J$474*Registro_Compras!$N$474),2),""))</f>
        <v/>
      </c>
      <c r="F4239" s="20" t="str">
        <f>IF($C4239="","",IF(Registro_Compras!$F$474="NOTA DE CREDITO","",IF(Registro_Compras!$F$474="RHE",ROUND(Registro_Compras!$L$474*Registro_Compras!$N$474,2),ROUND(Registro_Compras!$J$474*Registro_Compras!$N$474,2))))</f>
        <v/>
      </c>
      <c r="G4239" t="str">
        <f>IF($C4239="","","Por el destino del gasto")</f>
        <v/>
      </c>
      <c r="H4239" t="str">
        <f>IF($C4239="","",Registro_Compras!$C$474)</f>
        <v/>
      </c>
    </row>
    <row r="4240" spans="1:8" x14ac:dyDescent="0.25">
      <c r="A4240" s="25" t="str">
        <f>IF($C4240="","",Registro_Compras!$X$474)</f>
        <v/>
      </c>
      <c r="B4240" t="str">
        <f>IF($C4240="","","C"&amp;TEXT(INT((ROW()-5)/9)+1,"000")&amp;"-3")</f>
        <v/>
      </c>
      <c r="C4240" t="str">
        <f>IF(OR(Registro_Compras!$C$474="",Registro_Compras!$O$474="",Registro_Compras!$R$474&lt;&gt;"SI",Registro_Compras!$X$474=""),"","4212")</f>
        <v/>
      </c>
      <c r="D4240" t="str">
        <f>IF(OR(Registro_Compras!$C$474="",Registro_Compras!$O$474=""),"","Cuentas por Pagar Comerciales - Terceros")</f>
        <v/>
      </c>
      <c r="E4240" s="20" t="str">
        <f>IF($C4240="","",Registro_Compras!$S$474)</f>
        <v/>
      </c>
      <c r="F4240" s="20" t="str">
        <f>""</f>
        <v/>
      </c>
      <c r="G4240" t="str">
        <f>IF($C4240="","","Por el deposito de la detraccion en el Banco de la Nacion")</f>
        <v/>
      </c>
      <c r="H4240" t="str">
        <f>IF($C4240="","",Registro_Compras!$C$474)</f>
        <v/>
      </c>
    </row>
    <row r="4241" spans="1:8" x14ac:dyDescent="0.25">
      <c r="A4241" s="25" t="str">
        <f>IF($C4241="","",Registro_Compras!$X$474)</f>
        <v/>
      </c>
      <c r="B4241" t="str">
        <f>IF($C4241="","","C"&amp;TEXT(INT((ROW()-5)/9)+1,"000")&amp;"-3")</f>
        <v/>
      </c>
      <c r="C4241" t="str">
        <f>IF(OR(Registro_Compras!$C$474="",Registro_Compras!$O$474="",Registro_Compras!$R$474&lt;&gt;"SI",Registro_Compras!$X$474=""),"","1041")</f>
        <v/>
      </c>
      <c r="D4241" t="str">
        <f>IF(OR(Registro_Compras!$C$474="",Registro_Compras!$O$474=""),"","Efectivo y Equivalentes - Cta. Cte. Operativa")</f>
        <v/>
      </c>
      <c r="E4241" s="20" t="str">
        <f>""</f>
        <v/>
      </c>
      <c r="F4241" s="20" t="str">
        <f>IF($C4241="","",Registro_Compras!$S$474)</f>
        <v/>
      </c>
      <c r="G4241" t="str">
        <f>IF($C4241="","","Por el deposito de la detraccion en el Banco de la Nacion")</f>
        <v/>
      </c>
      <c r="H4241" t="str">
        <f>IF($C4241="","",Registro_Compras!$C$474)</f>
        <v/>
      </c>
    </row>
    <row r="4242" spans="1:8" x14ac:dyDescent="0.25">
      <c r="A4242" s="25" t="str">
        <f>IF($C4242="","",Registro_Compras!$Y$474)</f>
        <v/>
      </c>
      <c r="B4242" t="str">
        <f>IF($C4242="","","C"&amp;TEXT(INT((ROW()-5)/9)+1,"000")&amp;"-4")</f>
        <v/>
      </c>
      <c r="C4242" t="str">
        <f>IF(OR(Registro_Compras!$C$474="",Registro_Compras!$O$474="",Registro_Compras!$Y$474="",Registro_Compras!$F$474="NOTA DE CREDITO"),"","4212")</f>
        <v/>
      </c>
      <c r="D4242" t="str">
        <f>IF(OR(Registro_Compras!$C$474="",Registro_Compras!$O$474=""),"","Cuentas por Pagar Comerciales - Terceros")</f>
        <v/>
      </c>
      <c r="E4242" s="20" t="str">
        <f>IF($C4242="","",IF(Registro_Compras!$F$474="RHE",(ROUND(Registro_Compras!$L$474*Registro_Compras!$N$474,2)-ROUND(Registro_Compras!$V$474*Registro_Compras!$N$474,2)),ROUND(Registro_Compras!$O$474-Registro_Compras!$S$474,2)))</f>
        <v/>
      </c>
      <c r="F4242" s="20" t="str">
        <f>""</f>
        <v/>
      </c>
      <c r="G4242" t="str">
        <f>IF($C4242="","","Por la cancelacion del saldo al proveedor")</f>
        <v/>
      </c>
      <c r="H4242" t="str">
        <f>IF($C4242="","",Registro_Compras!$C$474)</f>
        <v/>
      </c>
    </row>
    <row r="4243" spans="1:8" x14ac:dyDescent="0.25">
      <c r="A4243" s="25" t="str">
        <f>IF($C4243="","",Registro_Compras!$Y$474)</f>
        <v/>
      </c>
      <c r="B4243" t="str">
        <f>IF($C4243="","","C"&amp;TEXT(INT((ROW()-5)/9)+1,"000")&amp;"-4")</f>
        <v/>
      </c>
      <c r="C4243" t="str">
        <f>IF(OR(Registro_Compras!$C$474="",Registro_Compras!$O$474="",Registro_Compras!$Y$474="",Registro_Compras!$F$474="NOTA DE CREDITO"),"","1041")</f>
        <v/>
      </c>
      <c r="D4243" t="str">
        <f>IF(OR(Registro_Compras!$C$474="",Registro_Compras!$O$474=""),"","Efectivo y Equivalentes - Cta. Cte. Operativa")</f>
        <v/>
      </c>
      <c r="E4243" s="20" t="str">
        <f>""</f>
        <v/>
      </c>
      <c r="F4243" s="20" t="str">
        <f>IF($C4243="","",IF(Registro_Compras!$F$474="RHE",(ROUND(Registro_Compras!$L$474*Registro_Compras!$N$474,2)-ROUND(Registro_Compras!$V$474*Registro_Compras!$N$474,2)),ROUND(Registro_Compras!$O$474-Registro_Compras!$S$474,2)))</f>
        <v/>
      </c>
      <c r="G4243" t="str">
        <f>IF($C4243="","","Por la cancelacion del saldo al proveedor")</f>
        <v/>
      </c>
      <c r="H4243" t="str">
        <f>IF($C4243="","",Registro_Compras!$C$474)</f>
        <v/>
      </c>
    </row>
    <row r="4244" spans="1:8" x14ac:dyDescent="0.25">
      <c r="A4244" s="25" t="str">
        <f>IF($C4244="","",Registro_Compras!$B$475)</f>
        <v/>
      </c>
      <c r="B4244" t="str">
        <f>IF($C4244="","","C"&amp;TEXT(INT((ROW()-5)/9)+1,"000")&amp;"-1")</f>
        <v/>
      </c>
      <c r="C4244" t="str">
        <f>IF(OR(Registro_Compras!$C$475="",Registro_Compras!$O$475=""),"",IF(Registro_Compras!$F$475="NOTA DE CREDITO","4212",IF(Registro_Compras!$M$475="","63",Registro_Compras!$M$475)))</f>
        <v/>
      </c>
      <c r="D4244" t="str">
        <f>IF(OR(Registro_Compras!$C$475="",Registro_Compras!$O$475=""),"",IF(Registro_Compras!$F$475="NOTA DE CREDITO","Cuentas por Pagar Comerciales - Terceros (Emitidas)",IF(Registro_Compras!$F$475="RHE","Honorarios Profesionales - Servicios de Terceros","Gastos de Servicios Prestados por Terceros")))</f>
        <v/>
      </c>
      <c r="E4244" s="20" t="str">
        <f>IF($C4244="","",IF(Registro_Compras!$F$475="NOTA DE CREDITO",ABS(Registro_Compras!$O$475),IF(Registro_Compras!$F$475="RHE",ROUND(Registro_Compras!$L$475*Registro_Compras!$N$475,2),ROUND(Registro_Compras!$J$475*Registro_Compras!$N$475,2))))</f>
        <v/>
      </c>
      <c r="F4244" s="20" t="str">
        <f>""</f>
        <v/>
      </c>
      <c r="G4244" t="str">
        <f>IF($C4244="","",IF(Registro_Compras!$F$475="NOTA DE CREDITO","Por la nota de credito "&amp;Registro_Compras!$C$475&amp;" de "&amp;Registro_Compras!$E$475&amp;" [PATRON POR CONFIRMAR CON CONTADOR]",IF(Registro_Compras!$F$475="RHE","Por el registro del recibo por honorarios "&amp;Registro_Compras!$C$475&amp;" de "&amp;Registro_Compras!$E$475&amp;" [PATRON POR CONFIRMAR CON CONTADOR]","Por el registro de la factura "&amp;Registro_Compras!$C$475&amp;" de "&amp;Registro_Compras!$E$475)))</f>
        <v/>
      </c>
      <c r="H4244" t="str">
        <f>IF($C4244="","",Registro_Compras!$C$475)</f>
        <v/>
      </c>
    </row>
    <row r="4245" spans="1:8" x14ac:dyDescent="0.25">
      <c r="A4245" s="25" t="str">
        <f>IF($C4245="","",Registro_Compras!$B$475)</f>
        <v/>
      </c>
      <c r="B4245" t="str">
        <f>IF($C4245="","","C"&amp;TEXT(INT((ROW()-5)/9)+1,"000")&amp;"-1")</f>
        <v/>
      </c>
      <c r="C4245" t="str">
        <f>IF(OR(Registro_Compras!$C$475="",Registro_Compras!$O$475=""),"",IF(Registro_Compras!$F$475="RHE",IF(Registro_Compras!$V$475=0,"","4017"),IF(Registro_Compras!$F$475="NOTA DE CREDITO",IF(Registro_Compras!$M$475="","63",Registro_Compras!$M$475),IF(Registro_Compras!$K$475=0,"","40111"))))</f>
        <v/>
      </c>
      <c r="D4245" t="str">
        <f>IF(OR(Registro_Compras!$C$475="",Registro_Compras!$O$475=""),"",IF(Registro_Compras!$F$475="RHE","Retencion Renta 4ta Categoria por Pagar",IF(Registro_Compras!$F$475="NOTA DE CREDITO","Gastos de Servicios Prestados por Terceros","IGV - Cuenta Propia (Credito Fiscal)")))</f>
        <v/>
      </c>
      <c r="E4245" s="20" t="str">
        <f>IF($C4245="","",IF(Registro_Compras!$F$475="FACTURA",ROUND(Registro_Compras!$K$475*Registro_Compras!$N$475,2),""))</f>
        <v/>
      </c>
      <c r="F4245" s="20" t="str">
        <f>IF($C4245="","",IF(Registro_Compras!$F$475="RHE",ROUND(Registro_Compras!$V$475*Registro_Compras!$N$475,2),IF(Registro_Compras!$F$475="NOTA DE CREDITO",ROUND(ABS(Registro_Compras!$J$475*Registro_Compras!$N$475),2),"")))</f>
        <v/>
      </c>
      <c r="G4245" t="str">
        <f>IF($C4245="","",IF(Registro_Compras!$F$475="NOTA DE CREDITO","Por la nota de credito "&amp;Registro_Compras!$C$475&amp;" de "&amp;Registro_Compras!$E$475&amp;" [PATRON POR CONFIRMAR CON CONTADOR]",IF(Registro_Compras!$F$475="RHE","Por el registro del recibo por honorarios "&amp;Registro_Compras!$C$475&amp;" de "&amp;Registro_Compras!$E$475&amp;" [PATRON POR CONFIRMAR CON CONTADOR]","Por el registro de la factura "&amp;Registro_Compras!$C$475&amp;" de "&amp;Registro_Compras!$E$475)))</f>
        <v/>
      </c>
      <c r="H4245" t="str">
        <f>IF($C4245="","",Registro_Compras!$C$475)</f>
        <v/>
      </c>
    </row>
    <row r="4246" spans="1:8" x14ac:dyDescent="0.25">
      <c r="A4246" s="25" t="str">
        <f>IF($C4246="","",Registro_Compras!$B$475)</f>
        <v/>
      </c>
      <c r="B4246" t="str">
        <f>IF($C4246="","","C"&amp;TEXT(INT((ROW()-5)/9)+1,"000")&amp;"-1")</f>
        <v/>
      </c>
      <c r="C4246" t="str">
        <f>IF(OR(Registro_Compras!$C$475="",Registro_Compras!$O$475=""),"",IF(Registro_Compras!$F$475="NOTA DE CREDITO",IF(Registro_Compras!$K$475=0,"","40111"),"4212"))</f>
        <v/>
      </c>
      <c r="D4246" t="str">
        <f>IF(OR(Registro_Compras!$C$475="",Registro_Compras!$O$475=""),"",IF(Registro_Compras!$F$475="NOTA DE CREDITO","IGV - Cuenta Propia (Credito Fiscal)","Cuentas por Pagar Comerciales - Terceros (Emitidas)"))</f>
        <v/>
      </c>
      <c r="E4246" s="20" t="str">
        <f>""</f>
        <v/>
      </c>
      <c r="F4246" s="20" t="str">
        <f>IF($C4246="","",IF(Registro_Compras!$F$475="NOTA DE CREDITO",ROUND(ABS(Registro_Compras!$K$475*Registro_Compras!$N$475),2),IF(Registro_Compras!$F$475="RHE",(ROUND(Registro_Compras!$L$475*Registro_Compras!$N$475,2)-ROUND(Registro_Compras!$V$475*Registro_Compras!$N$475,2)),Registro_Compras!$O$475)))</f>
        <v/>
      </c>
      <c r="G4246" t="str">
        <f>IF($C4246="","",IF(Registro_Compras!$F$475="NOTA DE CREDITO","Por la nota de credito "&amp;Registro_Compras!$C$475&amp;" de "&amp;Registro_Compras!$E$475&amp;" [PATRON POR CONFIRMAR CON CONTADOR]",IF(Registro_Compras!$F$475="RHE","Por el registro del recibo por honorarios "&amp;Registro_Compras!$C$475&amp;" de "&amp;Registro_Compras!$E$475&amp;" [PATRON POR CONFIRMAR CON CONTADOR]","Por el registro de la factura "&amp;Registro_Compras!$C$475&amp;" de "&amp;Registro_Compras!$E$475)))</f>
        <v/>
      </c>
      <c r="H4246" t="str">
        <f>IF($C4246="","",Registro_Compras!$C$475)</f>
        <v/>
      </c>
    </row>
    <row r="4247" spans="1:8" x14ac:dyDescent="0.25">
      <c r="A4247" s="25" t="str">
        <f>IF($C4247="","",Registro_Compras!$B$475)</f>
        <v/>
      </c>
      <c r="B4247" t="str">
        <f>IF($C4247="","","C"&amp;TEXT(INT((ROW()-5)/9)+1,"000")&amp;"-2")</f>
        <v/>
      </c>
      <c r="C4247" t="str">
        <f>IF(OR(Registro_Compras!$C$475="",Registro_Compras!$O$475=""),"",IF(Registro_Compras!$AB$475="ADMINISTRATIVO","94","95"))</f>
        <v/>
      </c>
      <c r="D4247" t="str">
        <f>IF(OR(Registro_Compras!$C$475="",Registro_Compras!$O$475=""),"",IF(Registro_Compras!$AB$475="ADMINISTRATIVO","Gastos Administrativos","Gastos de Venta y Operacion"))</f>
        <v/>
      </c>
      <c r="E4247" s="20" t="str">
        <f>IF($C4247="","",IF(Registro_Compras!$F$475="NOTA DE CREDITO","",IF(Registro_Compras!$F$475="RHE",ROUND(Registro_Compras!$L$475*Registro_Compras!$N$475,2),ROUND(Registro_Compras!$J$475*Registro_Compras!$N$475,2))))</f>
        <v/>
      </c>
      <c r="F4247" s="20" t="str">
        <f>IF($C4247="","",IF(Registro_Compras!$F$475="NOTA DE CREDITO",ROUND(ABS(Registro_Compras!$J$475*Registro_Compras!$N$475),2),""))</f>
        <v/>
      </c>
      <c r="G4247" t="str">
        <f>IF($C4247="","","Por el destino del gasto")</f>
        <v/>
      </c>
      <c r="H4247" t="str">
        <f>IF($C4247="","",Registro_Compras!$C$475)</f>
        <v/>
      </c>
    </row>
    <row r="4248" spans="1:8" x14ac:dyDescent="0.25">
      <c r="A4248" s="25" t="str">
        <f>IF($C4248="","",Registro_Compras!$B$475)</f>
        <v/>
      </c>
      <c r="B4248" t="str">
        <f>IF($C4248="","","C"&amp;TEXT(INT((ROW()-5)/9)+1,"000")&amp;"-2")</f>
        <v/>
      </c>
      <c r="C4248" t="str">
        <f>IF(OR(Registro_Compras!$C$475="",Registro_Compras!$O$475=""),"","79/791")</f>
        <v/>
      </c>
      <c r="D4248" t="str">
        <f>IF(OR(Registro_Compras!$C$475="",Registro_Compras!$O$475=""),"","Cargas Imputables a Cuentas de Costos y Gastos")</f>
        <v/>
      </c>
      <c r="E4248" s="20" t="str">
        <f>IF($C4248="","",IF(Registro_Compras!$F$475="NOTA DE CREDITO",ROUND(ABS(Registro_Compras!$J$475*Registro_Compras!$N$475),2),""))</f>
        <v/>
      </c>
      <c r="F4248" s="20" t="str">
        <f>IF($C4248="","",IF(Registro_Compras!$F$475="NOTA DE CREDITO","",IF(Registro_Compras!$F$475="RHE",ROUND(Registro_Compras!$L$475*Registro_Compras!$N$475,2),ROUND(Registro_Compras!$J$475*Registro_Compras!$N$475,2))))</f>
        <v/>
      </c>
      <c r="G4248" t="str">
        <f>IF($C4248="","","Por el destino del gasto")</f>
        <v/>
      </c>
      <c r="H4248" t="str">
        <f>IF($C4248="","",Registro_Compras!$C$475)</f>
        <v/>
      </c>
    </row>
    <row r="4249" spans="1:8" x14ac:dyDescent="0.25">
      <c r="A4249" s="25" t="str">
        <f>IF($C4249="","",Registro_Compras!$X$475)</f>
        <v/>
      </c>
      <c r="B4249" t="str">
        <f>IF($C4249="","","C"&amp;TEXT(INT((ROW()-5)/9)+1,"000")&amp;"-3")</f>
        <v/>
      </c>
      <c r="C4249" t="str">
        <f>IF(OR(Registro_Compras!$C$475="",Registro_Compras!$O$475="",Registro_Compras!$R$475&lt;&gt;"SI",Registro_Compras!$X$475=""),"","4212")</f>
        <v/>
      </c>
      <c r="D4249" t="str">
        <f>IF(OR(Registro_Compras!$C$475="",Registro_Compras!$O$475=""),"","Cuentas por Pagar Comerciales - Terceros")</f>
        <v/>
      </c>
      <c r="E4249" s="20" t="str">
        <f>IF($C4249="","",Registro_Compras!$S$475)</f>
        <v/>
      </c>
      <c r="F4249" s="20" t="str">
        <f>""</f>
        <v/>
      </c>
      <c r="G4249" t="str">
        <f>IF($C4249="","","Por el deposito de la detraccion en el Banco de la Nacion")</f>
        <v/>
      </c>
      <c r="H4249" t="str">
        <f>IF($C4249="","",Registro_Compras!$C$475)</f>
        <v/>
      </c>
    </row>
    <row r="4250" spans="1:8" x14ac:dyDescent="0.25">
      <c r="A4250" s="25" t="str">
        <f>IF($C4250="","",Registro_Compras!$X$475)</f>
        <v/>
      </c>
      <c r="B4250" t="str">
        <f>IF($C4250="","","C"&amp;TEXT(INT((ROW()-5)/9)+1,"000")&amp;"-3")</f>
        <v/>
      </c>
      <c r="C4250" t="str">
        <f>IF(OR(Registro_Compras!$C$475="",Registro_Compras!$O$475="",Registro_Compras!$R$475&lt;&gt;"SI",Registro_Compras!$X$475=""),"","1041")</f>
        <v/>
      </c>
      <c r="D4250" t="str">
        <f>IF(OR(Registro_Compras!$C$475="",Registro_Compras!$O$475=""),"","Efectivo y Equivalentes - Cta. Cte. Operativa")</f>
        <v/>
      </c>
      <c r="E4250" s="20" t="str">
        <f>""</f>
        <v/>
      </c>
      <c r="F4250" s="20" t="str">
        <f>IF($C4250="","",Registro_Compras!$S$475)</f>
        <v/>
      </c>
      <c r="G4250" t="str">
        <f>IF($C4250="","","Por el deposito de la detraccion en el Banco de la Nacion")</f>
        <v/>
      </c>
      <c r="H4250" t="str">
        <f>IF($C4250="","",Registro_Compras!$C$475)</f>
        <v/>
      </c>
    </row>
    <row r="4251" spans="1:8" x14ac:dyDescent="0.25">
      <c r="A4251" s="25" t="str">
        <f>IF($C4251="","",Registro_Compras!$Y$475)</f>
        <v/>
      </c>
      <c r="B4251" t="str">
        <f>IF($C4251="","","C"&amp;TEXT(INT((ROW()-5)/9)+1,"000")&amp;"-4")</f>
        <v/>
      </c>
      <c r="C4251" t="str">
        <f>IF(OR(Registro_Compras!$C$475="",Registro_Compras!$O$475="",Registro_Compras!$Y$475="",Registro_Compras!$F$475="NOTA DE CREDITO"),"","4212")</f>
        <v/>
      </c>
      <c r="D4251" t="str">
        <f>IF(OR(Registro_Compras!$C$475="",Registro_Compras!$O$475=""),"","Cuentas por Pagar Comerciales - Terceros")</f>
        <v/>
      </c>
      <c r="E4251" s="20" t="str">
        <f>IF($C4251="","",IF(Registro_Compras!$F$475="RHE",(ROUND(Registro_Compras!$L$475*Registro_Compras!$N$475,2)-ROUND(Registro_Compras!$V$475*Registro_Compras!$N$475,2)),ROUND(Registro_Compras!$O$475-Registro_Compras!$S$475,2)))</f>
        <v/>
      </c>
      <c r="F4251" s="20" t="str">
        <f>""</f>
        <v/>
      </c>
      <c r="G4251" t="str">
        <f>IF($C4251="","","Por la cancelacion del saldo al proveedor")</f>
        <v/>
      </c>
      <c r="H4251" t="str">
        <f>IF($C4251="","",Registro_Compras!$C$475)</f>
        <v/>
      </c>
    </row>
    <row r="4252" spans="1:8" x14ac:dyDescent="0.25">
      <c r="A4252" s="25" t="str">
        <f>IF($C4252="","",Registro_Compras!$Y$475)</f>
        <v/>
      </c>
      <c r="B4252" t="str">
        <f>IF($C4252="","","C"&amp;TEXT(INT((ROW()-5)/9)+1,"000")&amp;"-4")</f>
        <v/>
      </c>
      <c r="C4252" t="str">
        <f>IF(OR(Registro_Compras!$C$475="",Registro_Compras!$O$475="",Registro_Compras!$Y$475="",Registro_Compras!$F$475="NOTA DE CREDITO"),"","1041")</f>
        <v/>
      </c>
      <c r="D4252" t="str">
        <f>IF(OR(Registro_Compras!$C$475="",Registro_Compras!$O$475=""),"","Efectivo y Equivalentes - Cta. Cte. Operativa")</f>
        <v/>
      </c>
      <c r="E4252" s="20" t="str">
        <f>""</f>
        <v/>
      </c>
      <c r="F4252" s="20" t="str">
        <f>IF($C4252="","",IF(Registro_Compras!$F$475="RHE",(ROUND(Registro_Compras!$L$475*Registro_Compras!$N$475,2)-ROUND(Registro_Compras!$V$475*Registro_Compras!$N$475,2)),ROUND(Registro_Compras!$O$475-Registro_Compras!$S$475,2)))</f>
        <v/>
      </c>
      <c r="G4252" t="str">
        <f>IF($C4252="","","Por la cancelacion del saldo al proveedor")</f>
        <v/>
      </c>
      <c r="H4252" t="str">
        <f>IF($C4252="","",Registro_Compras!$C$475)</f>
        <v/>
      </c>
    </row>
    <row r="4253" spans="1:8" x14ac:dyDescent="0.25">
      <c r="A4253" s="25" t="str">
        <f>IF($C4253="","",Registro_Compras!$B$476)</f>
        <v/>
      </c>
      <c r="B4253" t="str">
        <f>IF($C4253="","","C"&amp;TEXT(INT((ROW()-5)/9)+1,"000")&amp;"-1")</f>
        <v/>
      </c>
      <c r="C4253" t="str">
        <f>IF(OR(Registro_Compras!$C$476="",Registro_Compras!$O$476=""),"",IF(Registro_Compras!$F$476="NOTA DE CREDITO","4212",IF(Registro_Compras!$M$476="","63",Registro_Compras!$M$476)))</f>
        <v/>
      </c>
      <c r="D4253" t="str">
        <f>IF(OR(Registro_Compras!$C$476="",Registro_Compras!$O$476=""),"",IF(Registro_Compras!$F$476="NOTA DE CREDITO","Cuentas por Pagar Comerciales - Terceros (Emitidas)",IF(Registro_Compras!$F$476="RHE","Honorarios Profesionales - Servicios de Terceros","Gastos de Servicios Prestados por Terceros")))</f>
        <v/>
      </c>
      <c r="E4253" s="20" t="str">
        <f>IF($C4253="","",IF(Registro_Compras!$F$476="NOTA DE CREDITO",ABS(Registro_Compras!$O$476),IF(Registro_Compras!$F$476="RHE",ROUND(Registro_Compras!$L$476*Registro_Compras!$N$476,2),ROUND(Registro_Compras!$J$476*Registro_Compras!$N$476,2))))</f>
        <v/>
      </c>
      <c r="F4253" s="20" t="str">
        <f>""</f>
        <v/>
      </c>
      <c r="G4253" t="str">
        <f>IF($C4253="","",IF(Registro_Compras!$F$476="NOTA DE CREDITO","Por la nota de credito "&amp;Registro_Compras!$C$476&amp;" de "&amp;Registro_Compras!$E$476&amp;" [PATRON POR CONFIRMAR CON CONTADOR]",IF(Registro_Compras!$F$476="RHE","Por el registro del recibo por honorarios "&amp;Registro_Compras!$C$476&amp;" de "&amp;Registro_Compras!$E$476&amp;" [PATRON POR CONFIRMAR CON CONTADOR]","Por el registro de la factura "&amp;Registro_Compras!$C$476&amp;" de "&amp;Registro_Compras!$E$476)))</f>
        <v/>
      </c>
      <c r="H4253" t="str">
        <f>IF($C4253="","",Registro_Compras!$C$476)</f>
        <v/>
      </c>
    </row>
    <row r="4254" spans="1:8" x14ac:dyDescent="0.25">
      <c r="A4254" s="25" t="str">
        <f>IF($C4254="","",Registro_Compras!$B$476)</f>
        <v/>
      </c>
      <c r="B4254" t="str">
        <f>IF($C4254="","","C"&amp;TEXT(INT((ROW()-5)/9)+1,"000")&amp;"-1")</f>
        <v/>
      </c>
      <c r="C4254" t="str">
        <f>IF(OR(Registro_Compras!$C$476="",Registro_Compras!$O$476=""),"",IF(Registro_Compras!$F$476="RHE",IF(Registro_Compras!$V$476=0,"","4017"),IF(Registro_Compras!$F$476="NOTA DE CREDITO",IF(Registro_Compras!$M$476="","63",Registro_Compras!$M$476),IF(Registro_Compras!$K$476=0,"","40111"))))</f>
        <v/>
      </c>
      <c r="D4254" t="str">
        <f>IF(OR(Registro_Compras!$C$476="",Registro_Compras!$O$476=""),"",IF(Registro_Compras!$F$476="RHE","Retencion Renta 4ta Categoria por Pagar",IF(Registro_Compras!$F$476="NOTA DE CREDITO","Gastos de Servicios Prestados por Terceros","IGV - Cuenta Propia (Credito Fiscal)")))</f>
        <v/>
      </c>
      <c r="E4254" s="20" t="str">
        <f>IF($C4254="","",IF(Registro_Compras!$F$476="FACTURA",ROUND(Registro_Compras!$K$476*Registro_Compras!$N$476,2),""))</f>
        <v/>
      </c>
      <c r="F4254" s="20" t="str">
        <f>IF($C4254="","",IF(Registro_Compras!$F$476="RHE",ROUND(Registro_Compras!$V$476*Registro_Compras!$N$476,2),IF(Registro_Compras!$F$476="NOTA DE CREDITO",ROUND(ABS(Registro_Compras!$J$476*Registro_Compras!$N$476),2),"")))</f>
        <v/>
      </c>
      <c r="G4254" t="str">
        <f>IF($C4254="","",IF(Registro_Compras!$F$476="NOTA DE CREDITO","Por la nota de credito "&amp;Registro_Compras!$C$476&amp;" de "&amp;Registro_Compras!$E$476&amp;" [PATRON POR CONFIRMAR CON CONTADOR]",IF(Registro_Compras!$F$476="RHE","Por el registro del recibo por honorarios "&amp;Registro_Compras!$C$476&amp;" de "&amp;Registro_Compras!$E$476&amp;" [PATRON POR CONFIRMAR CON CONTADOR]","Por el registro de la factura "&amp;Registro_Compras!$C$476&amp;" de "&amp;Registro_Compras!$E$476)))</f>
        <v/>
      </c>
      <c r="H4254" t="str">
        <f>IF($C4254="","",Registro_Compras!$C$476)</f>
        <v/>
      </c>
    </row>
    <row r="4255" spans="1:8" x14ac:dyDescent="0.25">
      <c r="A4255" s="25" t="str">
        <f>IF($C4255="","",Registro_Compras!$B$476)</f>
        <v/>
      </c>
      <c r="B4255" t="str">
        <f>IF($C4255="","","C"&amp;TEXT(INT((ROW()-5)/9)+1,"000")&amp;"-1")</f>
        <v/>
      </c>
      <c r="C4255" t="str">
        <f>IF(OR(Registro_Compras!$C$476="",Registro_Compras!$O$476=""),"",IF(Registro_Compras!$F$476="NOTA DE CREDITO",IF(Registro_Compras!$K$476=0,"","40111"),"4212"))</f>
        <v/>
      </c>
      <c r="D4255" t="str">
        <f>IF(OR(Registro_Compras!$C$476="",Registro_Compras!$O$476=""),"",IF(Registro_Compras!$F$476="NOTA DE CREDITO","IGV - Cuenta Propia (Credito Fiscal)","Cuentas por Pagar Comerciales - Terceros (Emitidas)"))</f>
        <v/>
      </c>
      <c r="E4255" s="20" t="str">
        <f>""</f>
        <v/>
      </c>
      <c r="F4255" s="20" t="str">
        <f>IF($C4255="","",IF(Registro_Compras!$F$476="NOTA DE CREDITO",ROUND(ABS(Registro_Compras!$K$476*Registro_Compras!$N$476),2),IF(Registro_Compras!$F$476="RHE",(ROUND(Registro_Compras!$L$476*Registro_Compras!$N$476,2)-ROUND(Registro_Compras!$V$476*Registro_Compras!$N$476,2)),Registro_Compras!$O$476)))</f>
        <v/>
      </c>
      <c r="G4255" t="str">
        <f>IF($C4255="","",IF(Registro_Compras!$F$476="NOTA DE CREDITO","Por la nota de credito "&amp;Registro_Compras!$C$476&amp;" de "&amp;Registro_Compras!$E$476&amp;" [PATRON POR CONFIRMAR CON CONTADOR]",IF(Registro_Compras!$F$476="RHE","Por el registro del recibo por honorarios "&amp;Registro_Compras!$C$476&amp;" de "&amp;Registro_Compras!$E$476&amp;" [PATRON POR CONFIRMAR CON CONTADOR]","Por el registro de la factura "&amp;Registro_Compras!$C$476&amp;" de "&amp;Registro_Compras!$E$476)))</f>
        <v/>
      </c>
      <c r="H4255" t="str">
        <f>IF($C4255="","",Registro_Compras!$C$476)</f>
        <v/>
      </c>
    </row>
    <row r="4256" spans="1:8" x14ac:dyDescent="0.25">
      <c r="A4256" s="25" t="str">
        <f>IF($C4256="","",Registro_Compras!$B$476)</f>
        <v/>
      </c>
      <c r="B4256" t="str">
        <f>IF($C4256="","","C"&amp;TEXT(INT((ROW()-5)/9)+1,"000")&amp;"-2")</f>
        <v/>
      </c>
      <c r="C4256" t="str">
        <f>IF(OR(Registro_Compras!$C$476="",Registro_Compras!$O$476=""),"",IF(Registro_Compras!$AB$476="ADMINISTRATIVO","94","95"))</f>
        <v/>
      </c>
      <c r="D4256" t="str">
        <f>IF(OR(Registro_Compras!$C$476="",Registro_Compras!$O$476=""),"",IF(Registro_Compras!$AB$476="ADMINISTRATIVO","Gastos Administrativos","Gastos de Venta y Operacion"))</f>
        <v/>
      </c>
      <c r="E4256" s="20" t="str">
        <f>IF($C4256="","",IF(Registro_Compras!$F$476="NOTA DE CREDITO","",IF(Registro_Compras!$F$476="RHE",ROUND(Registro_Compras!$L$476*Registro_Compras!$N$476,2),ROUND(Registro_Compras!$J$476*Registro_Compras!$N$476,2))))</f>
        <v/>
      </c>
      <c r="F4256" s="20" t="str">
        <f>IF($C4256="","",IF(Registro_Compras!$F$476="NOTA DE CREDITO",ROUND(ABS(Registro_Compras!$J$476*Registro_Compras!$N$476),2),""))</f>
        <v/>
      </c>
      <c r="G4256" t="str">
        <f>IF($C4256="","","Por el destino del gasto")</f>
        <v/>
      </c>
      <c r="H4256" t="str">
        <f>IF($C4256="","",Registro_Compras!$C$476)</f>
        <v/>
      </c>
    </row>
    <row r="4257" spans="1:8" x14ac:dyDescent="0.25">
      <c r="A4257" s="25" t="str">
        <f>IF($C4257="","",Registro_Compras!$B$476)</f>
        <v/>
      </c>
      <c r="B4257" t="str">
        <f>IF($C4257="","","C"&amp;TEXT(INT((ROW()-5)/9)+1,"000")&amp;"-2")</f>
        <v/>
      </c>
      <c r="C4257" t="str">
        <f>IF(OR(Registro_Compras!$C$476="",Registro_Compras!$O$476=""),"","79/791")</f>
        <v/>
      </c>
      <c r="D4257" t="str">
        <f>IF(OR(Registro_Compras!$C$476="",Registro_Compras!$O$476=""),"","Cargas Imputables a Cuentas de Costos y Gastos")</f>
        <v/>
      </c>
      <c r="E4257" s="20" t="str">
        <f>IF($C4257="","",IF(Registro_Compras!$F$476="NOTA DE CREDITO",ROUND(ABS(Registro_Compras!$J$476*Registro_Compras!$N$476),2),""))</f>
        <v/>
      </c>
      <c r="F4257" s="20" t="str">
        <f>IF($C4257="","",IF(Registro_Compras!$F$476="NOTA DE CREDITO","",IF(Registro_Compras!$F$476="RHE",ROUND(Registro_Compras!$L$476*Registro_Compras!$N$476,2),ROUND(Registro_Compras!$J$476*Registro_Compras!$N$476,2))))</f>
        <v/>
      </c>
      <c r="G4257" t="str">
        <f>IF($C4257="","","Por el destino del gasto")</f>
        <v/>
      </c>
      <c r="H4257" t="str">
        <f>IF($C4257="","",Registro_Compras!$C$476)</f>
        <v/>
      </c>
    </row>
    <row r="4258" spans="1:8" x14ac:dyDescent="0.25">
      <c r="A4258" s="25" t="str">
        <f>IF($C4258="","",Registro_Compras!$X$476)</f>
        <v/>
      </c>
      <c r="B4258" t="str">
        <f>IF($C4258="","","C"&amp;TEXT(INT((ROW()-5)/9)+1,"000")&amp;"-3")</f>
        <v/>
      </c>
      <c r="C4258" t="str">
        <f>IF(OR(Registro_Compras!$C$476="",Registro_Compras!$O$476="",Registro_Compras!$R$476&lt;&gt;"SI",Registro_Compras!$X$476=""),"","4212")</f>
        <v/>
      </c>
      <c r="D4258" t="str">
        <f>IF(OR(Registro_Compras!$C$476="",Registro_Compras!$O$476=""),"","Cuentas por Pagar Comerciales - Terceros")</f>
        <v/>
      </c>
      <c r="E4258" s="20" t="str">
        <f>IF($C4258="","",Registro_Compras!$S$476)</f>
        <v/>
      </c>
      <c r="F4258" s="20" t="str">
        <f>""</f>
        <v/>
      </c>
      <c r="G4258" t="str">
        <f>IF($C4258="","","Por el deposito de la detraccion en el Banco de la Nacion")</f>
        <v/>
      </c>
      <c r="H4258" t="str">
        <f>IF($C4258="","",Registro_Compras!$C$476)</f>
        <v/>
      </c>
    </row>
    <row r="4259" spans="1:8" x14ac:dyDescent="0.25">
      <c r="A4259" s="25" t="str">
        <f>IF($C4259="","",Registro_Compras!$X$476)</f>
        <v/>
      </c>
      <c r="B4259" t="str">
        <f>IF($C4259="","","C"&amp;TEXT(INT((ROW()-5)/9)+1,"000")&amp;"-3")</f>
        <v/>
      </c>
      <c r="C4259" t="str">
        <f>IF(OR(Registro_Compras!$C$476="",Registro_Compras!$O$476="",Registro_Compras!$R$476&lt;&gt;"SI",Registro_Compras!$X$476=""),"","1041")</f>
        <v/>
      </c>
      <c r="D4259" t="str">
        <f>IF(OR(Registro_Compras!$C$476="",Registro_Compras!$O$476=""),"","Efectivo y Equivalentes - Cta. Cte. Operativa")</f>
        <v/>
      </c>
      <c r="E4259" s="20" t="str">
        <f>""</f>
        <v/>
      </c>
      <c r="F4259" s="20" t="str">
        <f>IF($C4259="","",Registro_Compras!$S$476)</f>
        <v/>
      </c>
      <c r="G4259" t="str">
        <f>IF($C4259="","","Por el deposito de la detraccion en el Banco de la Nacion")</f>
        <v/>
      </c>
      <c r="H4259" t="str">
        <f>IF($C4259="","",Registro_Compras!$C$476)</f>
        <v/>
      </c>
    </row>
    <row r="4260" spans="1:8" x14ac:dyDescent="0.25">
      <c r="A4260" s="25" t="str">
        <f>IF($C4260="","",Registro_Compras!$Y$476)</f>
        <v/>
      </c>
      <c r="B4260" t="str">
        <f>IF($C4260="","","C"&amp;TEXT(INT((ROW()-5)/9)+1,"000")&amp;"-4")</f>
        <v/>
      </c>
      <c r="C4260" t="str">
        <f>IF(OR(Registro_Compras!$C$476="",Registro_Compras!$O$476="",Registro_Compras!$Y$476="",Registro_Compras!$F$476="NOTA DE CREDITO"),"","4212")</f>
        <v/>
      </c>
      <c r="D4260" t="str">
        <f>IF(OR(Registro_Compras!$C$476="",Registro_Compras!$O$476=""),"","Cuentas por Pagar Comerciales - Terceros")</f>
        <v/>
      </c>
      <c r="E4260" s="20" t="str">
        <f>IF($C4260="","",IF(Registro_Compras!$F$476="RHE",(ROUND(Registro_Compras!$L$476*Registro_Compras!$N$476,2)-ROUND(Registro_Compras!$V$476*Registro_Compras!$N$476,2)),ROUND(Registro_Compras!$O$476-Registro_Compras!$S$476,2)))</f>
        <v/>
      </c>
      <c r="F4260" s="20" t="str">
        <f>""</f>
        <v/>
      </c>
      <c r="G4260" t="str">
        <f>IF($C4260="","","Por la cancelacion del saldo al proveedor")</f>
        <v/>
      </c>
      <c r="H4260" t="str">
        <f>IF($C4260="","",Registro_Compras!$C$476)</f>
        <v/>
      </c>
    </row>
    <row r="4261" spans="1:8" x14ac:dyDescent="0.25">
      <c r="A4261" s="25" t="str">
        <f>IF($C4261="","",Registro_Compras!$Y$476)</f>
        <v/>
      </c>
      <c r="B4261" t="str">
        <f>IF($C4261="","","C"&amp;TEXT(INT((ROW()-5)/9)+1,"000")&amp;"-4")</f>
        <v/>
      </c>
      <c r="C4261" t="str">
        <f>IF(OR(Registro_Compras!$C$476="",Registro_Compras!$O$476="",Registro_Compras!$Y$476="",Registro_Compras!$F$476="NOTA DE CREDITO"),"","1041")</f>
        <v/>
      </c>
      <c r="D4261" t="str">
        <f>IF(OR(Registro_Compras!$C$476="",Registro_Compras!$O$476=""),"","Efectivo y Equivalentes - Cta. Cte. Operativa")</f>
        <v/>
      </c>
      <c r="E4261" s="20" t="str">
        <f>""</f>
        <v/>
      </c>
      <c r="F4261" s="20" t="str">
        <f>IF($C4261="","",IF(Registro_Compras!$F$476="RHE",(ROUND(Registro_Compras!$L$476*Registro_Compras!$N$476,2)-ROUND(Registro_Compras!$V$476*Registro_Compras!$N$476,2)),ROUND(Registro_Compras!$O$476-Registro_Compras!$S$476,2)))</f>
        <v/>
      </c>
      <c r="G4261" t="str">
        <f>IF($C4261="","","Por la cancelacion del saldo al proveedor")</f>
        <v/>
      </c>
      <c r="H4261" t="str">
        <f>IF($C4261="","",Registro_Compras!$C$476)</f>
        <v/>
      </c>
    </row>
    <row r="4262" spans="1:8" x14ac:dyDescent="0.25">
      <c r="A4262" s="25" t="str">
        <f>IF($C4262="","",Registro_Compras!$B$477)</f>
        <v/>
      </c>
      <c r="B4262" t="str">
        <f>IF($C4262="","","C"&amp;TEXT(INT((ROW()-5)/9)+1,"000")&amp;"-1")</f>
        <v/>
      </c>
      <c r="C4262" t="str">
        <f>IF(OR(Registro_Compras!$C$477="",Registro_Compras!$O$477=""),"",IF(Registro_Compras!$F$477="NOTA DE CREDITO","4212",IF(Registro_Compras!$M$477="","63",Registro_Compras!$M$477)))</f>
        <v/>
      </c>
      <c r="D4262" t="str">
        <f>IF(OR(Registro_Compras!$C$477="",Registro_Compras!$O$477=""),"",IF(Registro_Compras!$F$477="NOTA DE CREDITO","Cuentas por Pagar Comerciales - Terceros (Emitidas)",IF(Registro_Compras!$F$477="RHE","Honorarios Profesionales - Servicios de Terceros","Gastos de Servicios Prestados por Terceros")))</f>
        <v/>
      </c>
      <c r="E4262" s="20" t="str">
        <f>IF($C4262="","",IF(Registro_Compras!$F$477="NOTA DE CREDITO",ABS(Registro_Compras!$O$477),IF(Registro_Compras!$F$477="RHE",ROUND(Registro_Compras!$L$477*Registro_Compras!$N$477,2),ROUND(Registro_Compras!$J$477*Registro_Compras!$N$477,2))))</f>
        <v/>
      </c>
      <c r="F4262" s="20" t="str">
        <f>""</f>
        <v/>
      </c>
      <c r="G4262" t="str">
        <f>IF($C4262="","",IF(Registro_Compras!$F$477="NOTA DE CREDITO","Por la nota de credito "&amp;Registro_Compras!$C$477&amp;" de "&amp;Registro_Compras!$E$477&amp;" [PATRON POR CONFIRMAR CON CONTADOR]",IF(Registro_Compras!$F$477="RHE","Por el registro del recibo por honorarios "&amp;Registro_Compras!$C$477&amp;" de "&amp;Registro_Compras!$E$477&amp;" [PATRON POR CONFIRMAR CON CONTADOR]","Por el registro de la factura "&amp;Registro_Compras!$C$477&amp;" de "&amp;Registro_Compras!$E$477)))</f>
        <v/>
      </c>
      <c r="H4262" t="str">
        <f>IF($C4262="","",Registro_Compras!$C$477)</f>
        <v/>
      </c>
    </row>
    <row r="4263" spans="1:8" x14ac:dyDescent="0.25">
      <c r="A4263" s="25" t="str">
        <f>IF($C4263="","",Registro_Compras!$B$477)</f>
        <v/>
      </c>
      <c r="B4263" t="str">
        <f>IF($C4263="","","C"&amp;TEXT(INT((ROW()-5)/9)+1,"000")&amp;"-1")</f>
        <v/>
      </c>
      <c r="C4263" t="str">
        <f>IF(OR(Registro_Compras!$C$477="",Registro_Compras!$O$477=""),"",IF(Registro_Compras!$F$477="RHE",IF(Registro_Compras!$V$477=0,"","4017"),IF(Registro_Compras!$F$477="NOTA DE CREDITO",IF(Registro_Compras!$M$477="","63",Registro_Compras!$M$477),IF(Registro_Compras!$K$477=0,"","40111"))))</f>
        <v/>
      </c>
      <c r="D4263" t="str">
        <f>IF(OR(Registro_Compras!$C$477="",Registro_Compras!$O$477=""),"",IF(Registro_Compras!$F$477="RHE","Retencion Renta 4ta Categoria por Pagar",IF(Registro_Compras!$F$477="NOTA DE CREDITO","Gastos de Servicios Prestados por Terceros","IGV - Cuenta Propia (Credito Fiscal)")))</f>
        <v/>
      </c>
      <c r="E4263" s="20" t="str">
        <f>IF($C4263="","",IF(Registro_Compras!$F$477="FACTURA",ROUND(Registro_Compras!$K$477*Registro_Compras!$N$477,2),""))</f>
        <v/>
      </c>
      <c r="F4263" s="20" t="str">
        <f>IF($C4263="","",IF(Registro_Compras!$F$477="RHE",ROUND(Registro_Compras!$V$477*Registro_Compras!$N$477,2),IF(Registro_Compras!$F$477="NOTA DE CREDITO",ROUND(ABS(Registro_Compras!$J$477*Registro_Compras!$N$477),2),"")))</f>
        <v/>
      </c>
      <c r="G4263" t="str">
        <f>IF($C4263="","",IF(Registro_Compras!$F$477="NOTA DE CREDITO","Por la nota de credito "&amp;Registro_Compras!$C$477&amp;" de "&amp;Registro_Compras!$E$477&amp;" [PATRON POR CONFIRMAR CON CONTADOR]",IF(Registro_Compras!$F$477="RHE","Por el registro del recibo por honorarios "&amp;Registro_Compras!$C$477&amp;" de "&amp;Registro_Compras!$E$477&amp;" [PATRON POR CONFIRMAR CON CONTADOR]","Por el registro de la factura "&amp;Registro_Compras!$C$477&amp;" de "&amp;Registro_Compras!$E$477)))</f>
        <v/>
      </c>
      <c r="H4263" t="str">
        <f>IF($C4263="","",Registro_Compras!$C$477)</f>
        <v/>
      </c>
    </row>
    <row r="4264" spans="1:8" x14ac:dyDescent="0.25">
      <c r="A4264" s="25" t="str">
        <f>IF($C4264="","",Registro_Compras!$B$477)</f>
        <v/>
      </c>
      <c r="B4264" t="str">
        <f>IF($C4264="","","C"&amp;TEXT(INT((ROW()-5)/9)+1,"000")&amp;"-1")</f>
        <v/>
      </c>
      <c r="C4264" t="str">
        <f>IF(OR(Registro_Compras!$C$477="",Registro_Compras!$O$477=""),"",IF(Registro_Compras!$F$477="NOTA DE CREDITO",IF(Registro_Compras!$K$477=0,"","40111"),"4212"))</f>
        <v/>
      </c>
      <c r="D4264" t="str">
        <f>IF(OR(Registro_Compras!$C$477="",Registro_Compras!$O$477=""),"",IF(Registro_Compras!$F$477="NOTA DE CREDITO","IGV - Cuenta Propia (Credito Fiscal)","Cuentas por Pagar Comerciales - Terceros (Emitidas)"))</f>
        <v/>
      </c>
      <c r="E4264" s="20" t="str">
        <f>""</f>
        <v/>
      </c>
      <c r="F4264" s="20" t="str">
        <f>IF($C4264="","",IF(Registro_Compras!$F$477="NOTA DE CREDITO",ROUND(ABS(Registro_Compras!$K$477*Registro_Compras!$N$477),2),IF(Registro_Compras!$F$477="RHE",(ROUND(Registro_Compras!$L$477*Registro_Compras!$N$477,2)-ROUND(Registro_Compras!$V$477*Registro_Compras!$N$477,2)),Registro_Compras!$O$477)))</f>
        <v/>
      </c>
      <c r="G4264" t="str">
        <f>IF($C4264="","",IF(Registro_Compras!$F$477="NOTA DE CREDITO","Por la nota de credito "&amp;Registro_Compras!$C$477&amp;" de "&amp;Registro_Compras!$E$477&amp;" [PATRON POR CONFIRMAR CON CONTADOR]",IF(Registro_Compras!$F$477="RHE","Por el registro del recibo por honorarios "&amp;Registro_Compras!$C$477&amp;" de "&amp;Registro_Compras!$E$477&amp;" [PATRON POR CONFIRMAR CON CONTADOR]","Por el registro de la factura "&amp;Registro_Compras!$C$477&amp;" de "&amp;Registro_Compras!$E$477)))</f>
        <v/>
      </c>
      <c r="H4264" t="str">
        <f>IF($C4264="","",Registro_Compras!$C$477)</f>
        <v/>
      </c>
    </row>
    <row r="4265" spans="1:8" x14ac:dyDescent="0.25">
      <c r="A4265" s="25" t="str">
        <f>IF($C4265="","",Registro_Compras!$B$477)</f>
        <v/>
      </c>
      <c r="B4265" t="str">
        <f>IF($C4265="","","C"&amp;TEXT(INT((ROW()-5)/9)+1,"000")&amp;"-2")</f>
        <v/>
      </c>
      <c r="C4265" t="str">
        <f>IF(OR(Registro_Compras!$C$477="",Registro_Compras!$O$477=""),"",IF(Registro_Compras!$AB$477="ADMINISTRATIVO","94","95"))</f>
        <v/>
      </c>
      <c r="D4265" t="str">
        <f>IF(OR(Registro_Compras!$C$477="",Registro_Compras!$O$477=""),"",IF(Registro_Compras!$AB$477="ADMINISTRATIVO","Gastos Administrativos","Gastos de Venta y Operacion"))</f>
        <v/>
      </c>
      <c r="E4265" s="20" t="str">
        <f>IF($C4265="","",IF(Registro_Compras!$F$477="NOTA DE CREDITO","",IF(Registro_Compras!$F$477="RHE",ROUND(Registro_Compras!$L$477*Registro_Compras!$N$477,2),ROUND(Registro_Compras!$J$477*Registro_Compras!$N$477,2))))</f>
        <v/>
      </c>
      <c r="F4265" s="20" t="str">
        <f>IF($C4265="","",IF(Registro_Compras!$F$477="NOTA DE CREDITO",ROUND(ABS(Registro_Compras!$J$477*Registro_Compras!$N$477),2),""))</f>
        <v/>
      </c>
      <c r="G4265" t="str">
        <f>IF($C4265="","","Por el destino del gasto")</f>
        <v/>
      </c>
      <c r="H4265" t="str">
        <f>IF($C4265="","",Registro_Compras!$C$477)</f>
        <v/>
      </c>
    </row>
    <row r="4266" spans="1:8" x14ac:dyDescent="0.25">
      <c r="A4266" s="25" t="str">
        <f>IF($C4266="","",Registro_Compras!$B$477)</f>
        <v/>
      </c>
      <c r="B4266" t="str">
        <f>IF($C4266="","","C"&amp;TEXT(INT((ROW()-5)/9)+1,"000")&amp;"-2")</f>
        <v/>
      </c>
      <c r="C4266" t="str">
        <f>IF(OR(Registro_Compras!$C$477="",Registro_Compras!$O$477=""),"","79/791")</f>
        <v/>
      </c>
      <c r="D4266" t="str">
        <f>IF(OR(Registro_Compras!$C$477="",Registro_Compras!$O$477=""),"","Cargas Imputables a Cuentas de Costos y Gastos")</f>
        <v/>
      </c>
      <c r="E4266" s="20" t="str">
        <f>IF($C4266="","",IF(Registro_Compras!$F$477="NOTA DE CREDITO",ROUND(ABS(Registro_Compras!$J$477*Registro_Compras!$N$477),2),""))</f>
        <v/>
      </c>
      <c r="F4266" s="20" t="str">
        <f>IF($C4266="","",IF(Registro_Compras!$F$477="NOTA DE CREDITO","",IF(Registro_Compras!$F$477="RHE",ROUND(Registro_Compras!$L$477*Registro_Compras!$N$477,2),ROUND(Registro_Compras!$J$477*Registro_Compras!$N$477,2))))</f>
        <v/>
      </c>
      <c r="G4266" t="str">
        <f>IF($C4266="","","Por el destino del gasto")</f>
        <v/>
      </c>
      <c r="H4266" t="str">
        <f>IF($C4266="","",Registro_Compras!$C$477)</f>
        <v/>
      </c>
    </row>
    <row r="4267" spans="1:8" x14ac:dyDescent="0.25">
      <c r="A4267" s="25" t="str">
        <f>IF($C4267="","",Registro_Compras!$X$477)</f>
        <v/>
      </c>
      <c r="B4267" t="str">
        <f>IF($C4267="","","C"&amp;TEXT(INT((ROW()-5)/9)+1,"000")&amp;"-3")</f>
        <v/>
      </c>
      <c r="C4267" t="str">
        <f>IF(OR(Registro_Compras!$C$477="",Registro_Compras!$O$477="",Registro_Compras!$R$477&lt;&gt;"SI",Registro_Compras!$X$477=""),"","4212")</f>
        <v/>
      </c>
      <c r="D4267" t="str">
        <f>IF(OR(Registro_Compras!$C$477="",Registro_Compras!$O$477=""),"","Cuentas por Pagar Comerciales - Terceros")</f>
        <v/>
      </c>
      <c r="E4267" s="20" t="str">
        <f>IF($C4267="","",Registro_Compras!$S$477)</f>
        <v/>
      </c>
      <c r="F4267" s="20" t="str">
        <f>""</f>
        <v/>
      </c>
      <c r="G4267" t="str">
        <f>IF($C4267="","","Por el deposito de la detraccion en el Banco de la Nacion")</f>
        <v/>
      </c>
      <c r="H4267" t="str">
        <f>IF($C4267="","",Registro_Compras!$C$477)</f>
        <v/>
      </c>
    </row>
    <row r="4268" spans="1:8" x14ac:dyDescent="0.25">
      <c r="A4268" s="25" t="str">
        <f>IF($C4268="","",Registro_Compras!$X$477)</f>
        <v/>
      </c>
      <c r="B4268" t="str">
        <f>IF($C4268="","","C"&amp;TEXT(INT((ROW()-5)/9)+1,"000")&amp;"-3")</f>
        <v/>
      </c>
      <c r="C4268" t="str">
        <f>IF(OR(Registro_Compras!$C$477="",Registro_Compras!$O$477="",Registro_Compras!$R$477&lt;&gt;"SI",Registro_Compras!$X$477=""),"","1041")</f>
        <v/>
      </c>
      <c r="D4268" t="str">
        <f>IF(OR(Registro_Compras!$C$477="",Registro_Compras!$O$477=""),"","Efectivo y Equivalentes - Cta. Cte. Operativa")</f>
        <v/>
      </c>
      <c r="E4268" s="20" t="str">
        <f>""</f>
        <v/>
      </c>
      <c r="F4268" s="20" t="str">
        <f>IF($C4268="","",Registro_Compras!$S$477)</f>
        <v/>
      </c>
      <c r="G4268" t="str">
        <f>IF($C4268="","","Por el deposito de la detraccion en el Banco de la Nacion")</f>
        <v/>
      </c>
      <c r="H4268" t="str">
        <f>IF($C4268="","",Registro_Compras!$C$477)</f>
        <v/>
      </c>
    </row>
    <row r="4269" spans="1:8" x14ac:dyDescent="0.25">
      <c r="A4269" s="25" t="str">
        <f>IF($C4269="","",Registro_Compras!$Y$477)</f>
        <v/>
      </c>
      <c r="B4269" t="str">
        <f>IF($C4269="","","C"&amp;TEXT(INT((ROW()-5)/9)+1,"000")&amp;"-4")</f>
        <v/>
      </c>
      <c r="C4269" t="str">
        <f>IF(OR(Registro_Compras!$C$477="",Registro_Compras!$O$477="",Registro_Compras!$Y$477="",Registro_Compras!$F$477="NOTA DE CREDITO"),"","4212")</f>
        <v/>
      </c>
      <c r="D4269" t="str">
        <f>IF(OR(Registro_Compras!$C$477="",Registro_Compras!$O$477=""),"","Cuentas por Pagar Comerciales - Terceros")</f>
        <v/>
      </c>
      <c r="E4269" s="20" t="str">
        <f>IF($C4269="","",IF(Registro_Compras!$F$477="RHE",(ROUND(Registro_Compras!$L$477*Registro_Compras!$N$477,2)-ROUND(Registro_Compras!$V$477*Registro_Compras!$N$477,2)),ROUND(Registro_Compras!$O$477-Registro_Compras!$S$477,2)))</f>
        <v/>
      </c>
      <c r="F4269" s="20" t="str">
        <f>""</f>
        <v/>
      </c>
      <c r="G4269" t="str">
        <f>IF($C4269="","","Por la cancelacion del saldo al proveedor")</f>
        <v/>
      </c>
      <c r="H4269" t="str">
        <f>IF($C4269="","",Registro_Compras!$C$477)</f>
        <v/>
      </c>
    </row>
    <row r="4270" spans="1:8" x14ac:dyDescent="0.25">
      <c r="A4270" s="25" t="str">
        <f>IF($C4270="","",Registro_Compras!$Y$477)</f>
        <v/>
      </c>
      <c r="B4270" t="str">
        <f>IF($C4270="","","C"&amp;TEXT(INT((ROW()-5)/9)+1,"000")&amp;"-4")</f>
        <v/>
      </c>
      <c r="C4270" t="str">
        <f>IF(OR(Registro_Compras!$C$477="",Registro_Compras!$O$477="",Registro_Compras!$Y$477="",Registro_Compras!$F$477="NOTA DE CREDITO"),"","1041")</f>
        <v/>
      </c>
      <c r="D4270" t="str">
        <f>IF(OR(Registro_Compras!$C$477="",Registro_Compras!$O$477=""),"","Efectivo y Equivalentes - Cta. Cte. Operativa")</f>
        <v/>
      </c>
      <c r="E4270" s="20" t="str">
        <f>""</f>
        <v/>
      </c>
      <c r="F4270" s="20" t="str">
        <f>IF($C4270="","",IF(Registro_Compras!$F$477="RHE",(ROUND(Registro_Compras!$L$477*Registro_Compras!$N$477,2)-ROUND(Registro_Compras!$V$477*Registro_Compras!$N$477,2)),ROUND(Registro_Compras!$O$477-Registro_Compras!$S$477,2)))</f>
        <v/>
      </c>
      <c r="G4270" t="str">
        <f>IF($C4270="","","Por la cancelacion del saldo al proveedor")</f>
        <v/>
      </c>
      <c r="H4270" t="str">
        <f>IF($C4270="","",Registro_Compras!$C$477)</f>
        <v/>
      </c>
    </row>
    <row r="4271" spans="1:8" x14ac:dyDescent="0.25">
      <c r="A4271" s="25" t="str">
        <f>IF($C4271="","",Registro_Compras!$B$478)</f>
        <v/>
      </c>
      <c r="B4271" t="str">
        <f>IF($C4271="","","C"&amp;TEXT(INT((ROW()-5)/9)+1,"000")&amp;"-1")</f>
        <v/>
      </c>
      <c r="C4271" t="str">
        <f>IF(OR(Registro_Compras!$C$478="",Registro_Compras!$O$478=""),"",IF(Registro_Compras!$F$478="NOTA DE CREDITO","4212",IF(Registro_Compras!$M$478="","63",Registro_Compras!$M$478)))</f>
        <v/>
      </c>
      <c r="D4271" t="str">
        <f>IF(OR(Registro_Compras!$C$478="",Registro_Compras!$O$478=""),"",IF(Registro_Compras!$F$478="NOTA DE CREDITO","Cuentas por Pagar Comerciales - Terceros (Emitidas)",IF(Registro_Compras!$F$478="RHE","Honorarios Profesionales - Servicios de Terceros","Gastos de Servicios Prestados por Terceros")))</f>
        <v/>
      </c>
      <c r="E4271" s="20" t="str">
        <f>IF($C4271="","",IF(Registro_Compras!$F$478="NOTA DE CREDITO",ABS(Registro_Compras!$O$478),IF(Registro_Compras!$F$478="RHE",ROUND(Registro_Compras!$L$478*Registro_Compras!$N$478,2),ROUND(Registro_Compras!$J$478*Registro_Compras!$N$478,2))))</f>
        <v/>
      </c>
      <c r="F4271" s="20" t="str">
        <f>""</f>
        <v/>
      </c>
      <c r="G4271" t="str">
        <f>IF($C4271="","",IF(Registro_Compras!$F$478="NOTA DE CREDITO","Por la nota de credito "&amp;Registro_Compras!$C$478&amp;" de "&amp;Registro_Compras!$E$478&amp;" [PATRON POR CONFIRMAR CON CONTADOR]",IF(Registro_Compras!$F$478="RHE","Por el registro del recibo por honorarios "&amp;Registro_Compras!$C$478&amp;" de "&amp;Registro_Compras!$E$478&amp;" [PATRON POR CONFIRMAR CON CONTADOR]","Por el registro de la factura "&amp;Registro_Compras!$C$478&amp;" de "&amp;Registro_Compras!$E$478)))</f>
        <v/>
      </c>
      <c r="H4271" t="str">
        <f>IF($C4271="","",Registro_Compras!$C$478)</f>
        <v/>
      </c>
    </row>
    <row r="4272" spans="1:8" x14ac:dyDescent="0.25">
      <c r="A4272" s="25" t="str">
        <f>IF($C4272="","",Registro_Compras!$B$478)</f>
        <v/>
      </c>
      <c r="B4272" t="str">
        <f>IF($C4272="","","C"&amp;TEXT(INT((ROW()-5)/9)+1,"000")&amp;"-1")</f>
        <v/>
      </c>
      <c r="C4272" t="str">
        <f>IF(OR(Registro_Compras!$C$478="",Registro_Compras!$O$478=""),"",IF(Registro_Compras!$F$478="RHE",IF(Registro_Compras!$V$478=0,"","4017"),IF(Registro_Compras!$F$478="NOTA DE CREDITO",IF(Registro_Compras!$M$478="","63",Registro_Compras!$M$478),IF(Registro_Compras!$K$478=0,"","40111"))))</f>
        <v/>
      </c>
      <c r="D4272" t="str">
        <f>IF(OR(Registro_Compras!$C$478="",Registro_Compras!$O$478=""),"",IF(Registro_Compras!$F$478="RHE","Retencion Renta 4ta Categoria por Pagar",IF(Registro_Compras!$F$478="NOTA DE CREDITO","Gastos de Servicios Prestados por Terceros","IGV - Cuenta Propia (Credito Fiscal)")))</f>
        <v/>
      </c>
      <c r="E4272" s="20" t="str">
        <f>IF($C4272="","",IF(Registro_Compras!$F$478="FACTURA",ROUND(Registro_Compras!$K$478*Registro_Compras!$N$478,2),""))</f>
        <v/>
      </c>
      <c r="F4272" s="20" t="str">
        <f>IF($C4272="","",IF(Registro_Compras!$F$478="RHE",ROUND(Registro_Compras!$V$478*Registro_Compras!$N$478,2),IF(Registro_Compras!$F$478="NOTA DE CREDITO",ROUND(ABS(Registro_Compras!$J$478*Registro_Compras!$N$478),2),"")))</f>
        <v/>
      </c>
      <c r="G4272" t="str">
        <f>IF($C4272="","",IF(Registro_Compras!$F$478="NOTA DE CREDITO","Por la nota de credito "&amp;Registro_Compras!$C$478&amp;" de "&amp;Registro_Compras!$E$478&amp;" [PATRON POR CONFIRMAR CON CONTADOR]",IF(Registro_Compras!$F$478="RHE","Por el registro del recibo por honorarios "&amp;Registro_Compras!$C$478&amp;" de "&amp;Registro_Compras!$E$478&amp;" [PATRON POR CONFIRMAR CON CONTADOR]","Por el registro de la factura "&amp;Registro_Compras!$C$478&amp;" de "&amp;Registro_Compras!$E$478)))</f>
        <v/>
      </c>
      <c r="H4272" t="str">
        <f>IF($C4272="","",Registro_Compras!$C$478)</f>
        <v/>
      </c>
    </row>
    <row r="4273" spans="1:8" x14ac:dyDescent="0.25">
      <c r="A4273" s="25" t="str">
        <f>IF($C4273="","",Registro_Compras!$B$478)</f>
        <v/>
      </c>
      <c r="B4273" t="str">
        <f>IF($C4273="","","C"&amp;TEXT(INT((ROW()-5)/9)+1,"000")&amp;"-1")</f>
        <v/>
      </c>
      <c r="C4273" t="str">
        <f>IF(OR(Registro_Compras!$C$478="",Registro_Compras!$O$478=""),"",IF(Registro_Compras!$F$478="NOTA DE CREDITO",IF(Registro_Compras!$K$478=0,"","40111"),"4212"))</f>
        <v/>
      </c>
      <c r="D4273" t="str">
        <f>IF(OR(Registro_Compras!$C$478="",Registro_Compras!$O$478=""),"",IF(Registro_Compras!$F$478="NOTA DE CREDITO","IGV - Cuenta Propia (Credito Fiscal)","Cuentas por Pagar Comerciales - Terceros (Emitidas)"))</f>
        <v/>
      </c>
      <c r="E4273" s="20" t="str">
        <f>""</f>
        <v/>
      </c>
      <c r="F4273" s="20" t="str">
        <f>IF($C4273="","",IF(Registro_Compras!$F$478="NOTA DE CREDITO",ROUND(ABS(Registro_Compras!$K$478*Registro_Compras!$N$478),2),IF(Registro_Compras!$F$478="RHE",(ROUND(Registro_Compras!$L$478*Registro_Compras!$N$478,2)-ROUND(Registro_Compras!$V$478*Registro_Compras!$N$478,2)),Registro_Compras!$O$478)))</f>
        <v/>
      </c>
      <c r="G4273" t="str">
        <f>IF($C4273="","",IF(Registro_Compras!$F$478="NOTA DE CREDITO","Por la nota de credito "&amp;Registro_Compras!$C$478&amp;" de "&amp;Registro_Compras!$E$478&amp;" [PATRON POR CONFIRMAR CON CONTADOR]",IF(Registro_Compras!$F$478="RHE","Por el registro del recibo por honorarios "&amp;Registro_Compras!$C$478&amp;" de "&amp;Registro_Compras!$E$478&amp;" [PATRON POR CONFIRMAR CON CONTADOR]","Por el registro de la factura "&amp;Registro_Compras!$C$478&amp;" de "&amp;Registro_Compras!$E$478)))</f>
        <v/>
      </c>
      <c r="H4273" t="str">
        <f>IF($C4273="","",Registro_Compras!$C$478)</f>
        <v/>
      </c>
    </row>
    <row r="4274" spans="1:8" x14ac:dyDescent="0.25">
      <c r="A4274" s="25" t="str">
        <f>IF($C4274="","",Registro_Compras!$B$478)</f>
        <v/>
      </c>
      <c r="B4274" t="str">
        <f>IF($C4274="","","C"&amp;TEXT(INT((ROW()-5)/9)+1,"000")&amp;"-2")</f>
        <v/>
      </c>
      <c r="C4274" t="str">
        <f>IF(OR(Registro_Compras!$C$478="",Registro_Compras!$O$478=""),"",IF(Registro_Compras!$AB$478="ADMINISTRATIVO","94","95"))</f>
        <v/>
      </c>
      <c r="D4274" t="str">
        <f>IF(OR(Registro_Compras!$C$478="",Registro_Compras!$O$478=""),"",IF(Registro_Compras!$AB$478="ADMINISTRATIVO","Gastos Administrativos","Gastos de Venta y Operacion"))</f>
        <v/>
      </c>
      <c r="E4274" s="20" t="str">
        <f>IF($C4274="","",IF(Registro_Compras!$F$478="NOTA DE CREDITO","",IF(Registro_Compras!$F$478="RHE",ROUND(Registro_Compras!$L$478*Registro_Compras!$N$478,2),ROUND(Registro_Compras!$J$478*Registro_Compras!$N$478,2))))</f>
        <v/>
      </c>
      <c r="F4274" s="20" t="str">
        <f>IF($C4274="","",IF(Registro_Compras!$F$478="NOTA DE CREDITO",ROUND(ABS(Registro_Compras!$J$478*Registro_Compras!$N$478),2),""))</f>
        <v/>
      </c>
      <c r="G4274" t="str">
        <f>IF($C4274="","","Por el destino del gasto")</f>
        <v/>
      </c>
      <c r="H4274" t="str">
        <f>IF($C4274="","",Registro_Compras!$C$478)</f>
        <v/>
      </c>
    </row>
    <row r="4275" spans="1:8" x14ac:dyDescent="0.25">
      <c r="A4275" s="25" t="str">
        <f>IF($C4275="","",Registro_Compras!$B$478)</f>
        <v/>
      </c>
      <c r="B4275" t="str">
        <f>IF($C4275="","","C"&amp;TEXT(INT((ROW()-5)/9)+1,"000")&amp;"-2")</f>
        <v/>
      </c>
      <c r="C4275" t="str">
        <f>IF(OR(Registro_Compras!$C$478="",Registro_Compras!$O$478=""),"","79/791")</f>
        <v/>
      </c>
      <c r="D4275" t="str">
        <f>IF(OR(Registro_Compras!$C$478="",Registro_Compras!$O$478=""),"","Cargas Imputables a Cuentas de Costos y Gastos")</f>
        <v/>
      </c>
      <c r="E4275" s="20" t="str">
        <f>IF($C4275="","",IF(Registro_Compras!$F$478="NOTA DE CREDITO",ROUND(ABS(Registro_Compras!$J$478*Registro_Compras!$N$478),2),""))</f>
        <v/>
      </c>
      <c r="F4275" s="20" t="str">
        <f>IF($C4275="","",IF(Registro_Compras!$F$478="NOTA DE CREDITO","",IF(Registro_Compras!$F$478="RHE",ROUND(Registro_Compras!$L$478*Registro_Compras!$N$478,2),ROUND(Registro_Compras!$J$478*Registro_Compras!$N$478,2))))</f>
        <v/>
      </c>
      <c r="G4275" t="str">
        <f>IF($C4275="","","Por el destino del gasto")</f>
        <v/>
      </c>
      <c r="H4275" t="str">
        <f>IF($C4275="","",Registro_Compras!$C$478)</f>
        <v/>
      </c>
    </row>
    <row r="4276" spans="1:8" x14ac:dyDescent="0.25">
      <c r="A4276" s="25" t="str">
        <f>IF($C4276="","",Registro_Compras!$X$478)</f>
        <v/>
      </c>
      <c r="B4276" t="str">
        <f>IF($C4276="","","C"&amp;TEXT(INT((ROW()-5)/9)+1,"000")&amp;"-3")</f>
        <v/>
      </c>
      <c r="C4276" t="str">
        <f>IF(OR(Registro_Compras!$C$478="",Registro_Compras!$O$478="",Registro_Compras!$R$478&lt;&gt;"SI",Registro_Compras!$X$478=""),"","4212")</f>
        <v/>
      </c>
      <c r="D4276" t="str">
        <f>IF(OR(Registro_Compras!$C$478="",Registro_Compras!$O$478=""),"","Cuentas por Pagar Comerciales - Terceros")</f>
        <v/>
      </c>
      <c r="E4276" s="20" t="str">
        <f>IF($C4276="","",Registro_Compras!$S$478)</f>
        <v/>
      </c>
      <c r="F4276" s="20" t="str">
        <f>""</f>
        <v/>
      </c>
      <c r="G4276" t="str">
        <f>IF($C4276="","","Por el deposito de la detraccion en el Banco de la Nacion")</f>
        <v/>
      </c>
      <c r="H4276" t="str">
        <f>IF($C4276="","",Registro_Compras!$C$478)</f>
        <v/>
      </c>
    </row>
    <row r="4277" spans="1:8" x14ac:dyDescent="0.25">
      <c r="A4277" s="25" t="str">
        <f>IF($C4277="","",Registro_Compras!$X$478)</f>
        <v/>
      </c>
      <c r="B4277" t="str">
        <f>IF($C4277="","","C"&amp;TEXT(INT((ROW()-5)/9)+1,"000")&amp;"-3")</f>
        <v/>
      </c>
      <c r="C4277" t="str">
        <f>IF(OR(Registro_Compras!$C$478="",Registro_Compras!$O$478="",Registro_Compras!$R$478&lt;&gt;"SI",Registro_Compras!$X$478=""),"","1041")</f>
        <v/>
      </c>
      <c r="D4277" t="str">
        <f>IF(OR(Registro_Compras!$C$478="",Registro_Compras!$O$478=""),"","Efectivo y Equivalentes - Cta. Cte. Operativa")</f>
        <v/>
      </c>
      <c r="E4277" s="20" t="str">
        <f>""</f>
        <v/>
      </c>
      <c r="F4277" s="20" t="str">
        <f>IF($C4277="","",Registro_Compras!$S$478)</f>
        <v/>
      </c>
      <c r="G4277" t="str">
        <f>IF($C4277="","","Por el deposito de la detraccion en el Banco de la Nacion")</f>
        <v/>
      </c>
      <c r="H4277" t="str">
        <f>IF($C4277="","",Registro_Compras!$C$478)</f>
        <v/>
      </c>
    </row>
    <row r="4278" spans="1:8" x14ac:dyDescent="0.25">
      <c r="A4278" s="25" t="str">
        <f>IF($C4278="","",Registro_Compras!$Y$478)</f>
        <v/>
      </c>
      <c r="B4278" t="str">
        <f>IF($C4278="","","C"&amp;TEXT(INT((ROW()-5)/9)+1,"000")&amp;"-4")</f>
        <v/>
      </c>
      <c r="C4278" t="str">
        <f>IF(OR(Registro_Compras!$C$478="",Registro_Compras!$O$478="",Registro_Compras!$Y$478="",Registro_Compras!$F$478="NOTA DE CREDITO"),"","4212")</f>
        <v/>
      </c>
      <c r="D4278" t="str">
        <f>IF(OR(Registro_Compras!$C$478="",Registro_Compras!$O$478=""),"","Cuentas por Pagar Comerciales - Terceros")</f>
        <v/>
      </c>
      <c r="E4278" s="20" t="str">
        <f>IF($C4278="","",IF(Registro_Compras!$F$478="RHE",(ROUND(Registro_Compras!$L$478*Registro_Compras!$N$478,2)-ROUND(Registro_Compras!$V$478*Registro_Compras!$N$478,2)),ROUND(Registro_Compras!$O$478-Registro_Compras!$S$478,2)))</f>
        <v/>
      </c>
      <c r="F4278" s="20" t="str">
        <f>""</f>
        <v/>
      </c>
      <c r="G4278" t="str">
        <f>IF($C4278="","","Por la cancelacion del saldo al proveedor")</f>
        <v/>
      </c>
      <c r="H4278" t="str">
        <f>IF($C4278="","",Registro_Compras!$C$478)</f>
        <v/>
      </c>
    </row>
    <row r="4279" spans="1:8" x14ac:dyDescent="0.25">
      <c r="A4279" s="25" t="str">
        <f>IF($C4279="","",Registro_Compras!$Y$478)</f>
        <v/>
      </c>
      <c r="B4279" t="str">
        <f>IF($C4279="","","C"&amp;TEXT(INT((ROW()-5)/9)+1,"000")&amp;"-4")</f>
        <v/>
      </c>
      <c r="C4279" t="str">
        <f>IF(OR(Registro_Compras!$C$478="",Registro_Compras!$O$478="",Registro_Compras!$Y$478="",Registro_Compras!$F$478="NOTA DE CREDITO"),"","1041")</f>
        <v/>
      </c>
      <c r="D4279" t="str">
        <f>IF(OR(Registro_Compras!$C$478="",Registro_Compras!$O$478=""),"","Efectivo y Equivalentes - Cta. Cte. Operativa")</f>
        <v/>
      </c>
      <c r="E4279" s="20" t="str">
        <f>""</f>
        <v/>
      </c>
      <c r="F4279" s="20" t="str">
        <f>IF($C4279="","",IF(Registro_Compras!$F$478="RHE",(ROUND(Registro_Compras!$L$478*Registro_Compras!$N$478,2)-ROUND(Registro_Compras!$V$478*Registro_Compras!$N$478,2)),ROUND(Registro_Compras!$O$478-Registro_Compras!$S$478,2)))</f>
        <v/>
      </c>
      <c r="G4279" t="str">
        <f>IF($C4279="","","Por la cancelacion del saldo al proveedor")</f>
        <v/>
      </c>
      <c r="H4279" t="str">
        <f>IF($C4279="","",Registro_Compras!$C$478)</f>
        <v/>
      </c>
    </row>
    <row r="4280" spans="1:8" x14ac:dyDescent="0.25">
      <c r="A4280" s="25" t="str">
        <f>IF($C4280="","",Registro_Compras!$B$479)</f>
        <v/>
      </c>
      <c r="B4280" t="str">
        <f>IF($C4280="","","C"&amp;TEXT(INT((ROW()-5)/9)+1,"000")&amp;"-1")</f>
        <v/>
      </c>
      <c r="C4280" t="str">
        <f>IF(OR(Registro_Compras!$C$479="",Registro_Compras!$O$479=""),"",IF(Registro_Compras!$F$479="NOTA DE CREDITO","4212",IF(Registro_Compras!$M$479="","63",Registro_Compras!$M$479)))</f>
        <v/>
      </c>
      <c r="D4280" t="str">
        <f>IF(OR(Registro_Compras!$C$479="",Registro_Compras!$O$479=""),"",IF(Registro_Compras!$F$479="NOTA DE CREDITO","Cuentas por Pagar Comerciales - Terceros (Emitidas)",IF(Registro_Compras!$F$479="RHE","Honorarios Profesionales - Servicios de Terceros","Gastos de Servicios Prestados por Terceros")))</f>
        <v/>
      </c>
      <c r="E4280" s="20" t="str">
        <f>IF($C4280="","",IF(Registro_Compras!$F$479="NOTA DE CREDITO",ABS(Registro_Compras!$O$479),IF(Registro_Compras!$F$479="RHE",ROUND(Registro_Compras!$L$479*Registro_Compras!$N$479,2),ROUND(Registro_Compras!$J$479*Registro_Compras!$N$479,2))))</f>
        <v/>
      </c>
      <c r="F4280" s="20" t="str">
        <f>""</f>
        <v/>
      </c>
      <c r="G4280" t="str">
        <f>IF($C4280="","",IF(Registro_Compras!$F$479="NOTA DE CREDITO","Por la nota de credito "&amp;Registro_Compras!$C$479&amp;" de "&amp;Registro_Compras!$E$479&amp;" [PATRON POR CONFIRMAR CON CONTADOR]",IF(Registro_Compras!$F$479="RHE","Por el registro del recibo por honorarios "&amp;Registro_Compras!$C$479&amp;" de "&amp;Registro_Compras!$E$479&amp;" [PATRON POR CONFIRMAR CON CONTADOR]","Por el registro de la factura "&amp;Registro_Compras!$C$479&amp;" de "&amp;Registro_Compras!$E$479)))</f>
        <v/>
      </c>
      <c r="H4280" t="str">
        <f>IF($C4280="","",Registro_Compras!$C$479)</f>
        <v/>
      </c>
    </row>
    <row r="4281" spans="1:8" x14ac:dyDescent="0.25">
      <c r="A4281" s="25" t="str">
        <f>IF($C4281="","",Registro_Compras!$B$479)</f>
        <v/>
      </c>
      <c r="B4281" t="str">
        <f>IF($C4281="","","C"&amp;TEXT(INT((ROW()-5)/9)+1,"000")&amp;"-1")</f>
        <v/>
      </c>
      <c r="C4281" t="str">
        <f>IF(OR(Registro_Compras!$C$479="",Registro_Compras!$O$479=""),"",IF(Registro_Compras!$F$479="RHE",IF(Registro_Compras!$V$479=0,"","4017"),IF(Registro_Compras!$F$479="NOTA DE CREDITO",IF(Registro_Compras!$M$479="","63",Registro_Compras!$M$479),IF(Registro_Compras!$K$479=0,"","40111"))))</f>
        <v/>
      </c>
      <c r="D4281" t="str">
        <f>IF(OR(Registro_Compras!$C$479="",Registro_Compras!$O$479=""),"",IF(Registro_Compras!$F$479="RHE","Retencion Renta 4ta Categoria por Pagar",IF(Registro_Compras!$F$479="NOTA DE CREDITO","Gastos de Servicios Prestados por Terceros","IGV - Cuenta Propia (Credito Fiscal)")))</f>
        <v/>
      </c>
      <c r="E4281" s="20" t="str">
        <f>IF($C4281="","",IF(Registro_Compras!$F$479="FACTURA",ROUND(Registro_Compras!$K$479*Registro_Compras!$N$479,2),""))</f>
        <v/>
      </c>
      <c r="F4281" s="20" t="str">
        <f>IF($C4281="","",IF(Registro_Compras!$F$479="RHE",ROUND(Registro_Compras!$V$479*Registro_Compras!$N$479,2),IF(Registro_Compras!$F$479="NOTA DE CREDITO",ROUND(ABS(Registro_Compras!$J$479*Registro_Compras!$N$479),2),"")))</f>
        <v/>
      </c>
      <c r="G4281" t="str">
        <f>IF($C4281="","",IF(Registro_Compras!$F$479="NOTA DE CREDITO","Por la nota de credito "&amp;Registro_Compras!$C$479&amp;" de "&amp;Registro_Compras!$E$479&amp;" [PATRON POR CONFIRMAR CON CONTADOR]",IF(Registro_Compras!$F$479="RHE","Por el registro del recibo por honorarios "&amp;Registro_Compras!$C$479&amp;" de "&amp;Registro_Compras!$E$479&amp;" [PATRON POR CONFIRMAR CON CONTADOR]","Por el registro de la factura "&amp;Registro_Compras!$C$479&amp;" de "&amp;Registro_Compras!$E$479)))</f>
        <v/>
      </c>
      <c r="H4281" t="str">
        <f>IF($C4281="","",Registro_Compras!$C$479)</f>
        <v/>
      </c>
    </row>
    <row r="4282" spans="1:8" x14ac:dyDescent="0.25">
      <c r="A4282" s="25" t="str">
        <f>IF($C4282="","",Registro_Compras!$B$479)</f>
        <v/>
      </c>
      <c r="B4282" t="str">
        <f>IF($C4282="","","C"&amp;TEXT(INT((ROW()-5)/9)+1,"000")&amp;"-1")</f>
        <v/>
      </c>
      <c r="C4282" t="str">
        <f>IF(OR(Registro_Compras!$C$479="",Registro_Compras!$O$479=""),"",IF(Registro_Compras!$F$479="NOTA DE CREDITO",IF(Registro_Compras!$K$479=0,"","40111"),"4212"))</f>
        <v/>
      </c>
      <c r="D4282" t="str">
        <f>IF(OR(Registro_Compras!$C$479="",Registro_Compras!$O$479=""),"",IF(Registro_Compras!$F$479="NOTA DE CREDITO","IGV - Cuenta Propia (Credito Fiscal)","Cuentas por Pagar Comerciales - Terceros (Emitidas)"))</f>
        <v/>
      </c>
      <c r="E4282" s="20" t="str">
        <f>""</f>
        <v/>
      </c>
      <c r="F4282" s="20" t="str">
        <f>IF($C4282="","",IF(Registro_Compras!$F$479="NOTA DE CREDITO",ROUND(ABS(Registro_Compras!$K$479*Registro_Compras!$N$479),2),IF(Registro_Compras!$F$479="RHE",(ROUND(Registro_Compras!$L$479*Registro_Compras!$N$479,2)-ROUND(Registro_Compras!$V$479*Registro_Compras!$N$479,2)),Registro_Compras!$O$479)))</f>
        <v/>
      </c>
      <c r="G4282" t="str">
        <f>IF($C4282="","",IF(Registro_Compras!$F$479="NOTA DE CREDITO","Por la nota de credito "&amp;Registro_Compras!$C$479&amp;" de "&amp;Registro_Compras!$E$479&amp;" [PATRON POR CONFIRMAR CON CONTADOR]",IF(Registro_Compras!$F$479="RHE","Por el registro del recibo por honorarios "&amp;Registro_Compras!$C$479&amp;" de "&amp;Registro_Compras!$E$479&amp;" [PATRON POR CONFIRMAR CON CONTADOR]","Por el registro de la factura "&amp;Registro_Compras!$C$479&amp;" de "&amp;Registro_Compras!$E$479)))</f>
        <v/>
      </c>
      <c r="H4282" t="str">
        <f>IF($C4282="","",Registro_Compras!$C$479)</f>
        <v/>
      </c>
    </row>
    <row r="4283" spans="1:8" x14ac:dyDescent="0.25">
      <c r="A4283" s="25" t="str">
        <f>IF($C4283="","",Registro_Compras!$B$479)</f>
        <v/>
      </c>
      <c r="B4283" t="str">
        <f>IF($C4283="","","C"&amp;TEXT(INT((ROW()-5)/9)+1,"000")&amp;"-2")</f>
        <v/>
      </c>
      <c r="C4283" t="str">
        <f>IF(OR(Registro_Compras!$C$479="",Registro_Compras!$O$479=""),"",IF(Registro_Compras!$AB$479="ADMINISTRATIVO","94","95"))</f>
        <v/>
      </c>
      <c r="D4283" t="str">
        <f>IF(OR(Registro_Compras!$C$479="",Registro_Compras!$O$479=""),"",IF(Registro_Compras!$AB$479="ADMINISTRATIVO","Gastos Administrativos","Gastos de Venta y Operacion"))</f>
        <v/>
      </c>
      <c r="E4283" s="20" t="str">
        <f>IF($C4283="","",IF(Registro_Compras!$F$479="NOTA DE CREDITO","",IF(Registro_Compras!$F$479="RHE",ROUND(Registro_Compras!$L$479*Registro_Compras!$N$479,2),ROUND(Registro_Compras!$J$479*Registro_Compras!$N$479,2))))</f>
        <v/>
      </c>
      <c r="F4283" s="20" t="str">
        <f>IF($C4283="","",IF(Registro_Compras!$F$479="NOTA DE CREDITO",ROUND(ABS(Registro_Compras!$J$479*Registro_Compras!$N$479),2),""))</f>
        <v/>
      </c>
      <c r="G4283" t="str">
        <f>IF($C4283="","","Por el destino del gasto")</f>
        <v/>
      </c>
      <c r="H4283" t="str">
        <f>IF($C4283="","",Registro_Compras!$C$479)</f>
        <v/>
      </c>
    </row>
    <row r="4284" spans="1:8" x14ac:dyDescent="0.25">
      <c r="A4284" s="25" t="str">
        <f>IF($C4284="","",Registro_Compras!$B$479)</f>
        <v/>
      </c>
      <c r="B4284" t="str">
        <f>IF($C4284="","","C"&amp;TEXT(INT((ROW()-5)/9)+1,"000")&amp;"-2")</f>
        <v/>
      </c>
      <c r="C4284" t="str">
        <f>IF(OR(Registro_Compras!$C$479="",Registro_Compras!$O$479=""),"","79/791")</f>
        <v/>
      </c>
      <c r="D4284" t="str">
        <f>IF(OR(Registro_Compras!$C$479="",Registro_Compras!$O$479=""),"","Cargas Imputables a Cuentas de Costos y Gastos")</f>
        <v/>
      </c>
      <c r="E4284" s="20" t="str">
        <f>IF($C4284="","",IF(Registro_Compras!$F$479="NOTA DE CREDITO",ROUND(ABS(Registro_Compras!$J$479*Registro_Compras!$N$479),2),""))</f>
        <v/>
      </c>
      <c r="F4284" s="20" t="str">
        <f>IF($C4284="","",IF(Registro_Compras!$F$479="NOTA DE CREDITO","",IF(Registro_Compras!$F$479="RHE",ROUND(Registro_Compras!$L$479*Registro_Compras!$N$479,2),ROUND(Registro_Compras!$J$479*Registro_Compras!$N$479,2))))</f>
        <v/>
      </c>
      <c r="G4284" t="str">
        <f>IF($C4284="","","Por el destino del gasto")</f>
        <v/>
      </c>
      <c r="H4284" t="str">
        <f>IF($C4284="","",Registro_Compras!$C$479)</f>
        <v/>
      </c>
    </row>
    <row r="4285" spans="1:8" x14ac:dyDescent="0.25">
      <c r="A4285" s="25" t="str">
        <f>IF($C4285="","",Registro_Compras!$X$479)</f>
        <v/>
      </c>
      <c r="B4285" t="str">
        <f>IF($C4285="","","C"&amp;TEXT(INT((ROW()-5)/9)+1,"000")&amp;"-3")</f>
        <v/>
      </c>
      <c r="C4285" t="str">
        <f>IF(OR(Registro_Compras!$C$479="",Registro_Compras!$O$479="",Registro_Compras!$R$479&lt;&gt;"SI",Registro_Compras!$X$479=""),"","4212")</f>
        <v/>
      </c>
      <c r="D4285" t="str">
        <f>IF(OR(Registro_Compras!$C$479="",Registro_Compras!$O$479=""),"","Cuentas por Pagar Comerciales - Terceros")</f>
        <v/>
      </c>
      <c r="E4285" s="20" t="str">
        <f>IF($C4285="","",Registro_Compras!$S$479)</f>
        <v/>
      </c>
      <c r="F4285" s="20" t="str">
        <f>""</f>
        <v/>
      </c>
      <c r="G4285" t="str">
        <f>IF($C4285="","","Por el deposito de la detraccion en el Banco de la Nacion")</f>
        <v/>
      </c>
      <c r="H4285" t="str">
        <f>IF($C4285="","",Registro_Compras!$C$479)</f>
        <v/>
      </c>
    </row>
    <row r="4286" spans="1:8" x14ac:dyDescent="0.25">
      <c r="A4286" s="25" t="str">
        <f>IF($C4286="","",Registro_Compras!$X$479)</f>
        <v/>
      </c>
      <c r="B4286" t="str">
        <f>IF($C4286="","","C"&amp;TEXT(INT((ROW()-5)/9)+1,"000")&amp;"-3")</f>
        <v/>
      </c>
      <c r="C4286" t="str">
        <f>IF(OR(Registro_Compras!$C$479="",Registro_Compras!$O$479="",Registro_Compras!$R$479&lt;&gt;"SI",Registro_Compras!$X$479=""),"","1041")</f>
        <v/>
      </c>
      <c r="D4286" t="str">
        <f>IF(OR(Registro_Compras!$C$479="",Registro_Compras!$O$479=""),"","Efectivo y Equivalentes - Cta. Cte. Operativa")</f>
        <v/>
      </c>
      <c r="E4286" s="20" t="str">
        <f>""</f>
        <v/>
      </c>
      <c r="F4286" s="20" t="str">
        <f>IF($C4286="","",Registro_Compras!$S$479)</f>
        <v/>
      </c>
      <c r="G4286" t="str">
        <f>IF($C4286="","","Por el deposito de la detraccion en el Banco de la Nacion")</f>
        <v/>
      </c>
      <c r="H4286" t="str">
        <f>IF($C4286="","",Registro_Compras!$C$479)</f>
        <v/>
      </c>
    </row>
    <row r="4287" spans="1:8" x14ac:dyDescent="0.25">
      <c r="A4287" s="25" t="str">
        <f>IF($C4287="","",Registro_Compras!$Y$479)</f>
        <v/>
      </c>
      <c r="B4287" t="str">
        <f>IF($C4287="","","C"&amp;TEXT(INT((ROW()-5)/9)+1,"000")&amp;"-4")</f>
        <v/>
      </c>
      <c r="C4287" t="str">
        <f>IF(OR(Registro_Compras!$C$479="",Registro_Compras!$O$479="",Registro_Compras!$Y$479="",Registro_Compras!$F$479="NOTA DE CREDITO"),"","4212")</f>
        <v/>
      </c>
      <c r="D4287" t="str">
        <f>IF(OR(Registro_Compras!$C$479="",Registro_Compras!$O$479=""),"","Cuentas por Pagar Comerciales - Terceros")</f>
        <v/>
      </c>
      <c r="E4287" s="20" t="str">
        <f>IF($C4287="","",IF(Registro_Compras!$F$479="RHE",(ROUND(Registro_Compras!$L$479*Registro_Compras!$N$479,2)-ROUND(Registro_Compras!$V$479*Registro_Compras!$N$479,2)),ROUND(Registro_Compras!$O$479-Registro_Compras!$S$479,2)))</f>
        <v/>
      </c>
      <c r="F4287" s="20" t="str">
        <f>""</f>
        <v/>
      </c>
      <c r="G4287" t="str">
        <f>IF($C4287="","","Por la cancelacion del saldo al proveedor")</f>
        <v/>
      </c>
      <c r="H4287" t="str">
        <f>IF($C4287="","",Registro_Compras!$C$479)</f>
        <v/>
      </c>
    </row>
    <row r="4288" spans="1:8" x14ac:dyDescent="0.25">
      <c r="A4288" s="25" t="str">
        <f>IF($C4288="","",Registro_Compras!$Y$479)</f>
        <v/>
      </c>
      <c r="B4288" t="str">
        <f>IF($C4288="","","C"&amp;TEXT(INT((ROW()-5)/9)+1,"000")&amp;"-4")</f>
        <v/>
      </c>
      <c r="C4288" t="str">
        <f>IF(OR(Registro_Compras!$C$479="",Registro_Compras!$O$479="",Registro_Compras!$Y$479="",Registro_Compras!$F$479="NOTA DE CREDITO"),"","1041")</f>
        <v/>
      </c>
      <c r="D4288" t="str">
        <f>IF(OR(Registro_Compras!$C$479="",Registro_Compras!$O$479=""),"","Efectivo y Equivalentes - Cta. Cte. Operativa")</f>
        <v/>
      </c>
      <c r="E4288" s="20" t="str">
        <f>""</f>
        <v/>
      </c>
      <c r="F4288" s="20" t="str">
        <f>IF($C4288="","",IF(Registro_Compras!$F$479="RHE",(ROUND(Registro_Compras!$L$479*Registro_Compras!$N$479,2)-ROUND(Registro_Compras!$V$479*Registro_Compras!$N$479,2)),ROUND(Registro_Compras!$O$479-Registro_Compras!$S$479,2)))</f>
        <v/>
      </c>
      <c r="G4288" t="str">
        <f>IF($C4288="","","Por la cancelacion del saldo al proveedor")</f>
        <v/>
      </c>
      <c r="H4288" t="str">
        <f>IF($C4288="","",Registro_Compras!$C$479)</f>
        <v/>
      </c>
    </row>
    <row r="4289" spans="1:8" x14ac:dyDescent="0.25">
      <c r="A4289" s="25" t="str">
        <f>IF($C4289="","",Registro_Compras!$B$480)</f>
        <v/>
      </c>
      <c r="B4289" t="str">
        <f>IF($C4289="","","C"&amp;TEXT(INT((ROW()-5)/9)+1,"000")&amp;"-1")</f>
        <v/>
      </c>
      <c r="C4289" t="str">
        <f>IF(OR(Registro_Compras!$C$480="",Registro_Compras!$O$480=""),"",IF(Registro_Compras!$F$480="NOTA DE CREDITO","4212",IF(Registro_Compras!$M$480="","63",Registro_Compras!$M$480)))</f>
        <v/>
      </c>
      <c r="D4289" t="str">
        <f>IF(OR(Registro_Compras!$C$480="",Registro_Compras!$O$480=""),"",IF(Registro_Compras!$F$480="NOTA DE CREDITO","Cuentas por Pagar Comerciales - Terceros (Emitidas)",IF(Registro_Compras!$F$480="RHE","Honorarios Profesionales - Servicios de Terceros","Gastos de Servicios Prestados por Terceros")))</f>
        <v/>
      </c>
      <c r="E4289" s="20" t="str">
        <f>IF($C4289="","",IF(Registro_Compras!$F$480="NOTA DE CREDITO",ABS(Registro_Compras!$O$480),IF(Registro_Compras!$F$480="RHE",ROUND(Registro_Compras!$L$480*Registro_Compras!$N$480,2),ROUND(Registro_Compras!$J$480*Registro_Compras!$N$480,2))))</f>
        <v/>
      </c>
      <c r="F4289" s="20" t="str">
        <f>""</f>
        <v/>
      </c>
      <c r="G4289" t="str">
        <f>IF($C4289="","",IF(Registro_Compras!$F$480="NOTA DE CREDITO","Por la nota de credito "&amp;Registro_Compras!$C$480&amp;" de "&amp;Registro_Compras!$E$480&amp;" [PATRON POR CONFIRMAR CON CONTADOR]",IF(Registro_Compras!$F$480="RHE","Por el registro del recibo por honorarios "&amp;Registro_Compras!$C$480&amp;" de "&amp;Registro_Compras!$E$480&amp;" [PATRON POR CONFIRMAR CON CONTADOR]","Por el registro de la factura "&amp;Registro_Compras!$C$480&amp;" de "&amp;Registro_Compras!$E$480)))</f>
        <v/>
      </c>
      <c r="H4289" t="str">
        <f>IF($C4289="","",Registro_Compras!$C$480)</f>
        <v/>
      </c>
    </row>
    <row r="4290" spans="1:8" x14ac:dyDescent="0.25">
      <c r="A4290" s="25" t="str">
        <f>IF($C4290="","",Registro_Compras!$B$480)</f>
        <v/>
      </c>
      <c r="B4290" t="str">
        <f>IF($C4290="","","C"&amp;TEXT(INT((ROW()-5)/9)+1,"000")&amp;"-1")</f>
        <v/>
      </c>
      <c r="C4290" t="str">
        <f>IF(OR(Registro_Compras!$C$480="",Registro_Compras!$O$480=""),"",IF(Registro_Compras!$F$480="RHE",IF(Registro_Compras!$V$480=0,"","4017"),IF(Registro_Compras!$F$480="NOTA DE CREDITO",IF(Registro_Compras!$M$480="","63",Registro_Compras!$M$480),IF(Registro_Compras!$K$480=0,"","40111"))))</f>
        <v/>
      </c>
      <c r="D4290" t="str">
        <f>IF(OR(Registro_Compras!$C$480="",Registro_Compras!$O$480=""),"",IF(Registro_Compras!$F$480="RHE","Retencion Renta 4ta Categoria por Pagar",IF(Registro_Compras!$F$480="NOTA DE CREDITO","Gastos de Servicios Prestados por Terceros","IGV - Cuenta Propia (Credito Fiscal)")))</f>
        <v/>
      </c>
      <c r="E4290" s="20" t="str">
        <f>IF($C4290="","",IF(Registro_Compras!$F$480="FACTURA",ROUND(Registro_Compras!$K$480*Registro_Compras!$N$480,2),""))</f>
        <v/>
      </c>
      <c r="F4290" s="20" t="str">
        <f>IF($C4290="","",IF(Registro_Compras!$F$480="RHE",ROUND(Registro_Compras!$V$480*Registro_Compras!$N$480,2),IF(Registro_Compras!$F$480="NOTA DE CREDITO",ROUND(ABS(Registro_Compras!$J$480*Registro_Compras!$N$480),2),"")))</f>
        <v/>
      </c>
      <c r="G4290" t="str">
        <f>IF($C4290="","",IF(Registro_Compras!$F$480="NOTA DE CREDITO","Por la nota de credito "&amp;Registro_Compras!$C$480&amp;" de "&amp;Registro_Compras!$E$480&amp;" [PATRON POR CONFIRMAR CON CONTADOR]",IF(Registro_Compras!$F$480="RHE","Por el registro del recibo por honorarios "&amp;Registro_Compras!$C$480&amp;" de "&amp;Registro_Compras!$E$480&amp;" [PATRON POR CONFIRMAR CON CONTADOR]","Por el registro de la factura "&amp;Registro_Compras!$C$480&amp;" de "&amp;Registro_Compras!$E$480)))</f>
        <v/>
      </c>
      <c r="H4290" t="str">
        <f>IF($C4290="","",Registro_Compras!$C$480)</f>
        <v/>
      </c>
    </row>
    <row r="4291" spans="1:8" x14ac:dyDescent="0.25">
      <c r="A4291" s="25" t="str">
        <f>IF($C4291="","",Registro_Compras!$B$480)</f>
        <v/>
      </c>
      <c r="B4291" t="str">
        <f>IF($C4291="","","C"&amp;TEXT(INT((ROW()-5)/9)+1,"000")&amp;"-1")</f>
        <v/>
      </c>
      <c r="C4291" t="str">
        <f>IF(OR(Registro_Compras!$C$480="",Registro_Compras!$O$480=""),"",IF(Registro_Compras!$F$480="NOTA DE CREDITO",IF(Registro_Compras!$K$480=0,"","40111"),"4212"))</f>
        <v/>
      </c>
      <c r="D4291" t="str">
        <f>IF(OR(Registro_Compras!$C$480="",Registro_Compras!$O$480=""),"",IF(Registro_Compras!$F$480="NOTA DE CREDITO","IGV - Cuenta Propia (Credito Fiscal)","Cuentas por Pagar Comerciales - Terceros (Emitidas)"))</f>
        <v/>
      </c>
      <c r="E4291" s="20" t="str">
        <f>""</f>
        <v/>
      </c>
      <c r="F4291" s="20" t="str">
        <f>IF($C4291="","",IF(Registro_Compras!$F$480="NOTA DE CREDITO",ROUND(ABS(Registro_Compras!$K$480*Registro_Compras!$N$480),2),IF(Registro_Compras!$F$480="RHE",(ROUND(Registro_Compras!$L$480*Registro_Compras!$N$480,2)-ROUND(Registro_Compras!$V$480*Registro_Compras!$N$480,2)),Registro_Compras!$O$480)))</f>
        <v/>
      </c>
      <c r="G4291" t="str">
        <f>IF($C4291="","",IF(Registro_Compras!$F$480="NOTA DE CREDITO","Por la nota de credito "&amp;Registro_Compras!$C$480&amp;" de "&amp;Registro_Compras!$E$480&amp;" [PATRON POR CONFIRMAR CON CONTADOR]",IF(Registro_Compras!$F$480="RHE","Por el registro del recibo por honorarios "&amp;Registro_Compras!$C$480&amp;" de "&amp;Registro_Compras!$E$480&amp;" [PATRON POR CONFIRMAR CON CONTADOR]","Por el registro de la factura "&amp;Registro_Compras!$C$480&amp;" de "&amp;Registro_Compras!$E$480)))</f>
        <v/>
      </c>
      <c r="H4291" t="str">
        <f>IF($C4291="","",Registro_Compras!$C$480)</f>
        <v/>
      </c>
    </row>
    <row r="4292" spans="1:8" x14ac:dyDescent="0.25">
      <c r="A4292" s="25" t="str">
        <f>IF($C4292="","",Registro_Compras!$B$480)</f>
        <v/>
      </c>
      <c r="B4292" t="str">
        <f>IF($C4292="","","C"&amp;TEXT(INT((ROW()-5)/9)+1,"000")&amp;"-2")</f>
        <v/>
      </c>
      <c r="C4292" t="str">
        <f>IF(OR(Registro_Compras!$C$480="",Registro_Compras!$O$480=""),"",IF(Registro_Compras!$AB$480="ADMINISTRATIVO","94","95"))</f>
        <v/>
      </c>
      <c r="D4292" t="str">
        <f>IF(OR(Registro_Compras!$C$480="",Registro_Compras!$O$480=""),"",IF(Registro_Compras!$AB$480="ADMINISTRATIVO","Gastos Administrativos","Gastos de Venta y Operacion"))</f>
        <v/>
      </c>
      <c r="E4292" s="20" t="str">
        <f>IF($C4292="","",IF(Registro_Compras!$F$480="NOTA DE CREDITO","",IF(Registro_Compras!$F$480="RHE",ROUND(Registro_Compras!$L$480*Registro_Compras!$N$480,2),ROUND(Registro_Compras!$J$480*Registro_Compras!$N$480,2))))</f>
        <v/>
      </c>
      <c r="F4292" s="20" t="str">
        <f>IF($C4292="","",IF(Registro_Compras!$F$480="NOTA DE CREDITO",ROUND(ABS(Registro_Compras!$J$480*Registro_Compras!$N$480),2),""))</f>
        <v/>
      </c>
      <c r="G4292" t="str">
        <f>IF($C4292="","","Por el destino del gasto")</f>
        <v/>
      </c>
      <c r="H4292" t="str">
        <f>IF($C4292="","",Registro_Compras!$C$480)</f>
        <v/>
      </c>
    </row>
    <row r="4293" spans="1:8" x14ac:dyDescent="0.25">
      <c r="A4293" s="25" t="str">
        <f>IF($C4293="","",Registro_Compras!$B$480)</f>
        <v/>
      </c>
      <c r="B4293" t="str">
        <f>IF($C4293="","","C"&amp;TEXT(INT((ROW()-5)/9)+1,"000")&amp;"-2")</f>
        <v/>
      </c>
      <c r="C4293" t="str">
        <f>IF(OR(Registro_Compras!$C$480="",Registro_Compras!$O$480=""),"","79/791")</f>
        <v/>
      </c>
      <c r="D4293" t="str">
        <f>IF(OR(Registro_Compras!$C$480="",Registro_Compras!$O$480=""),"","Cargas Imputables a Cuentas de Costos y Gastos")</f>
        <v/>
      </c>
      <c r="E4293" s="20" t="str">
        <f>IF($C4293="","",IF(Registro_Compras!$F$480="NOTA DE CREDITO",ROUND(ABS(Registro_Compras!$J$480*Registro_Compras!$N$480),2),""))</f>
        <v/>
      </c>
      <c r="F4293" s="20" t="str">
        <f>IF($C4293="","",IF(Registro_Compras!$F$480="NOTA DE CREDITO","",IF(Registro_Compras!$F$480="RHE",ROUND(Registro_Compras!$L$480*Registro_Compras!$N$480,2),ROUND(Registro_Compras!$J$480*Registro_Compras!$N$480,2))))</f>
        <v/>
      </c>
      <c r="G4293" t="str">
        <f>IF($C4293="","","Por el destino del gasto")</f>
        <v/>
      </c>
      <c r="H4293" t="str">
        <f>IF($C4293="","",Registro_Compras!$C$480)</f>
        <v/>
      </c>
    </row>
    <row r="4294" spans="1:8" x14ac:dyDescent="0.25">
      <c r="A4294" s="25" t="str">
        <f>IF($C4294="","",Registro_Compras!$X$480)</f>
        <v/>
      </c>
      <c r="B4294" t="str">
        <f>IF($C4294="","","C"&amp;TEXT(INT((ROW()-5)/9)+1,"000")&amp;"-3")</f>
        <v/>
      </c>
      <c r="C4294" t="str">
        <f>IF(OR(Registro_Compras!$C$480="",Registro_Compras!$O$480="",Registro_Compras!$R$480&lt;&gt;"SI",Registro_Compras!$X$480=""),"","4212")</f>
        <v/>
      </c>
      <c r="D4294" t="str">
        <f>IF(OR(Registro_Compras!$C$480="",Registro_Compras!$O$480=""),"","Cuentas por Pagar Comerciales - Terceros")</f>
        <v/>
      </c>
      <c r="E4294" s="20" t="str">
        <f>IF($C4294="","",Registro_Compras!$S$480)</f>
        <v/>
      </c>
      <c r="F4294" s="20" t="str">
        <f>""</f>
        <v/>
      </c>
      <c r="G4294" t="str">
        <f>IF($C4294="","","Por el deposito de la detraccion en el Banco de la Nacion")</f>
        <v/>
      </c>
      <c r="H4294" t="str">
        <f>IF($C4294="","",Registro_Compras!$C$480)</f>
        <v/>
      </c>
    </row>
    <row r="4295" spans="1:8" x14ac:dyDescent="0.25">
      <c r="A4295" s="25" t="str">
        <f>IF($C4295="","",Registro_Compras!$X$480)</f>
        <v/>
      </c>
      <c r="B4295" t="str">
        <f>IF($C4295="","","C"&amp;TEXT(INT((ROW()-5)/9)+1,"000")&amp;"-3")</f>
        <v/>
      </c>
      <c r="C4295" t="str">
        <f>IF(OR(Registro_Compras!$C$480="",Registro_Compras!$O$480="",Registro_Compras!$R$480&lt;&gt;"SI",Registro_Compras!$X$480=""),"","1041")</f>
        <v/>
      </c>
      <c r="D4295" t="str">
        <f>IF(OR(Registro_Compras!$C$480="",Registro_Compras!$O$480=""),"","Efectivo y Equivalentes - Cta. Cte. Operativa")</f>
        <v/>
      </c>
      <c r="E4295" s="20" t="str">
        <f>""</f>
        <v/>
      </c>
      <c r="F4295" s="20" t="str">
        <f>IF($C4295="","",Registro_Compras!$S$480)</f>
        <v/>
      </c>
      <c r="G4295" t="str">
        <f>IF($C4295="","","Por el deposito de la detraccion en el Banco de la Nacion")</f>
        <v/>
      </c>
      <c r="H4295" t="str">
        <f>IF($C4295="","",Registro_Compras!$C$480)</f>
        <v/>
      </c>
    </row>
    <row r="4296" spans="1:8" x14ac:dyDescent="0.25">
      <c r="A4296" s="25" t="str">
        <f>IF($C4296="","",Registro_Compras!$Y$480)</f>
        <v/>
      </c>
      <c r="B4296" t="str">
        <f>IF($C4296="","","C"&amp;TEXT(INT((ROW()-5)/9)+1,"000")&amp;"-4")</f>
        <v/>
      </c>
      <c r="C4296" t="str">
        <f>IF(OR(Registro_Compras!$C$480="",Registro_Compras!$O$480="",Registro_Compras!$Y$480="",Registro_Compras!$F$480="NOTA DE CREDITO"),"","4212")</f>
        <v/>
      </c>
      <c r="D4296" t="str">
        <f>IF(OR(Registro_Compras!$C$480="",Registro_Compras!$O$480=""),"","Cuentas por Pagar Comerciales - Terceros")</f>
        <v/>
      </c>
      <c r="E4296" s="20" t="str">
        <f>IF($C4296="","",IF(Registro_Compras!$F$480="RHE",(ROUND(Registro_Compras!$L$480*Registro_Compras!$N$480,2)-ROUND(Registro_Compras!$V$480*Registro_Compras!$N$480,2)),ROUND(Registro_Compras!$O$480-Registro_Compras!$S$480,2)))</f>
        <v/>
      </c>
      <c r="F4296" s="20" t="str">
        <f>""</f>
        <v/>
      </c>
      <c r="G4296" t="str">
        <f>IF($C4296="","","Por la cancelacion del saldo al proveedor")</f>
        <v/>
      </c>
      <c r="H4296" t="str">
        <f>IF($C4296="","",Registro_Compras!$C$480)</f>
        <v/>
      </c>
    </row>
    <row r="4297" spans="1:8" x14ac:dyDescent="0.25">
      <c r="A4297" s="25" t="str">
        <f>IF($C4297="","",Registro_Compras!$Y$480)</f>
        <v/>
      </c>
      <c r="B4297" t="str">
        <f>IF($C4297="","","C"&amp;TEXT(INT((ROW()-5)/9)+1,"000")&amp;"-4")</f>
        <v/>
      </c>
      <c r="C4297" t="str">
        <f>IF(OR(Registro_Compras!$C$480="",Registro_Compras!$O$480="",Registro_Compras!$Y$480="",Registro_Compras!$F$480="NOTA DE CREDITO"),"","1041")</f>
        <v/>
      </c>
      <c r="D4297" t="str">
        <f>IF(OR(Registro_Compras!$C$480="",Registro_Compras!$O$480=""),"","Efectivo y Equivalentes - Cta. Cte. Operativa")</f>
        <v/>
      </c>
      <c r="E4297" s="20" t="str">
        <f>""</f>
        <v/>
      </c>
      <c r="F4297" s="20" t="str">
        <f>IF($C4297="","",IF(Registro_Compras!$F$480="RHE",(ROUND(Registro_Compras!$L$480*Registro_Compras!$N$480,2)-ROUND(Registro_Compras!$V$480*Registro_Compras!$N$480,2)),ROUND(Registro_Compras!$O$480-Registro_Compras!$S$480,2)))</f>
        <v/>
      </c>
      <c r="G4297" t="str">
        <f>IF($C4297="","","Por la cancelacion del saldo al proveedor")</f>
        <v/>
      </c>
      <c r="H4297" t="str">
        <f>IF($C4297="","",Registro_Compras!$C$480)</f>
        <v/>
      </c>
    </row>
    <row r="4298" spans="1:8" x14ac:dyDescent="0.25">
      <c r="A4298" s="25" t="str">
        <f>IF($C4298="","",Registro_Compras!$B$481)</f>
        <v/>
      </c>
      <c r="B4298" t="str">
        <f>IF($C4298="","","C"&amp;TEXT(INT((ROW()-5)/9)+1,"000")&amp;"-1")</f>
        <v/>
      </c>
      <c r="C4298" t="str">
        <f>IF(OR(Registro_Compras!$C$481="",Registro_Compras!$O$481=""),"",IF(Registro_Compras!$F$481="NOTA DE CREDITO","4212",IF(Registro_Compras!$M$481="","63",Registro_Compras!$M$481)))</f>
        <v/>
      </c>
      <c r="D4298" t="str">
        <f>IF(OR(Registro_Compras!$C$481="",Registro_Compras!$O$481=""),"",IF(Registro_Compras!$F$481="NOTA DE CREDITO","Cuentas por Pagar Comerciales - Terceros (Emitidas)",IF(Registro_Compras!$F$481="RHE","Honorarios Profesionales - Servicios de Terceros","Gastos de Servicios Prestados por Terceros")))</f>
        <v/>
      </c>
      <c r="E4298" s="20" t="str">
        <f>IF($C4298="","",IF(Registro_Compras!$F$481="NOTA DE CREDITO",ABS(Registro_Compras!$O$481),IF(Registro_Compras!$F$481="RHE",ROUND(Registro_Compras!$L$481*Registro_Compras!$N$481,2),ROUND(Registro_Compras!$J$481*Registro_Compras!$N$481,2))))</f>
        <v/>
      </c>
      <c r="F4298" s="20" t="str">
        <f>""</f>
        <v/>
      </c>
      <c r="G4298" t="str">
        <f>IF($C4298="","",IF(Registro_Compras!$F$481="NOTA DE CREDITO","Por la nota de credito "&amp;Registro_Compras!$C$481&amp;" de "&amp;Registro_Compras!$E$481&amp;" [PATRON POR CONFIRMAR CON CONTADOR]",IF(Registro_Compras!$F$481="RHE","Por el registro del recibo por honorarios "&amp;Registro_Compras!$C$481&amp;" de "&amp;Registro_Compras!$E$481&amp;" [PATRON POR CONFIRMAR CON CONTADOR]","Por el registro de la factura "&amp;Registro_Compras!$C$481&amp;" de "&amp;Registro_Compras!$E$481)))</f>
        <v/>
      </c>
      <c r="H4298" t="str">
        <f>IF($C4298="","",Registro_Compras!$C$481)</f>
        <v/>
      </c>
    </row>
    <row r="4299" spans="1:8" x14ac:dyDescent="0.25">
      <c r="A4299" s="25" t="str">
        <f>IF($C4299="","",Registro_Compras!$B$481)</f>
        <v/>
      </c>
      <c r="B4299" t="str">
        <f>IF($C4299="","","C"&amp;TEXT(INT((ROW()-5)/9)+1,"000")&amp;"-1")</f>
        <v/>
      </c>
      <c r="C4299" t="str">
        <f>IF(OR(Registro_Compras!$C$481="",Registro_Compras!$O$481=""),"",IF(Registro_Compras!$F$481="RHE",IF(Registro_Compras!$V$481=0,"","4017"),IF(Registro_Compras!$F$481="NOTA DE CREDITO",IF(Registro_Compras!$M$481="","63",Registro_Compras!$M$481),IF(Registro_Compras!$K$481=0,"","40111"))))</f>
        <v/>
      </c>
      <c r="D4299" t="str">
        <f>IF(OR(Registro_Compras!$C$481="",Registro_Compras!$O$481=""),"",IF(Registro_Compras!$F$481="RHE","Retencion Renta 4ta Categoria por Pagar",IF(Registro_Compras!$F$481="NOTA DE CREDITO","Gastos de Servicios Prestados por Terceros","IGV - Cuenta Propia (Credito Fiscal)")))</f>
        <v/>
      </c>
      <c r="E4299" s="20" t="str">
        <f>IF($C4299="","",IF(Registro_Compras!$F$481="FACTURA",ROUND(Registro_Compras!$K$481*Registro_Compras!$N$481,2),""))</f>
        <v/>
      </c>
      <c r="F4299" s="20" t="str">
        <f>IF($C4299="","",IF(Registro_Compras!$F$481="RHE",ROUND(Registro_Compras!$V$481*Registro_Compras!$N$481,2),IF(Registro_Compras!$F$481="NOTA DE CREDITO",ROUND(ABS(Registro_Compras!$J$481*Registro_Compras!$N$481),2),"")))</f>
        <v/>
      </c>
      <c r="G4299" t="str">
        <f>IF($C4299="","",IF(Registro_Compras!$F$481="NOTA DE CREDITO","Por la nota de credito "&amp;Registro_Compras!$C$481&amp;" de "&amp;Registro_Compras!$E$481&amp;" [PATRON POR CONFIRMAR CON CONTADOR]",IF(Registro_Compras!$F$481="RHE","Por el registro del recibo por honorarios "&amp;Registro_Compras!$C$481&amp;" de "&amp;Registro_Compras!$E$481&amp;" [PATRON POR CONFIRMAR CON CONTADOR]","Por el registro de la factura "&amp;Registro_Compras!$C$481&amp;" de "&amp;Registro_Compras!$E$481)))</f>
        <v/>
      </c>
      <c r="H4299" t="str">
        <f>IF($C4299="","",Registro_Compras!$C$481)</f>
        <v/>
      </c>
    </row>
    <row r="4300" spans="1:8" x14ac:dyDescent="0.25">
      <c r="A4300" s="25" t="str">
        <f>IF($C4300="","",Registro_Compras!$B$481)</f>
        <v/>
      </c>
      <c r="B4300" t="str">
        <f>IF($C4300="","","C"&amp;TEXT(INT((ROW()-5)/9)+1,"000")&amp;"-1")</f>
        <v/>
      </c>
      <c r="C4300" t="str">
        <f>IF(OR(Registro_Compras!$C$481="",Registro_Compras!$O$481=""),"",IF(Registro_Compras!$F$481="NOTA DE CREDITO",IF(Registro_Compras!$K$481=0,"","40111"),"4212"))</f>
        <v/>
      </c>
      <c r="D4300" t="str">
        <f>IF(OR(Registro_Compras!$C$481="",Registro_Compras!$O$481=""),"",IF(Registro_Compras!$F$481="NOTA DE CREDITO","IGV - Cuenta Propia (Credito Fiscal)","Cuentas por Pagar Comerciales - Terceros (Emitidas)"))</f>
        <v/>
      </c>
      <c r="E4300" s="20" t="str">
        <f>""</f>
        <v/>
      </c>
      <c r="F4300" s="20" t="str">
        <f>IF($C4300="","",IF(Registro_Compras!$F$481="NOTA DE CREDITO",ROUND(ABS(Registro_Compras!$K$481*Registro_Compras!$N$481),2),IF(Registro_Compras!$F$481="RHE",(ROUND(Registro_Compras!$L$481*Registro_Compras!$N$481,2)-ROUND(Registro_Compras!$V$481*Registro_Compras!$N$481,2)),Registro_Compras!$O$481)))</f>
        <v/>
      </c>
      <c r="G4300" t="str">
        <f>IF($C4300="","",IF(Registro_Compras!$F$481="NOTA DE CREDITO","Por la nota de credito "&amp;Registro_Compras!$C$481&amp;" de "&amp;Registro_Compras!$E$481&amp;" [PATRON POR CONFIRMAR CON CONTADOR]",IF(Registro_Compras!$F$481="RHE","Por el registro del recibo por honorarios "&amp;Registro_Compras!$C$481&amp;" de "&amp;Registro_Compras!$E$481&amp;" [PATRON POR CONFIRMAR CON CONTADOR]","Por el registro de la factura "&amp;Registro_Compras!$C$481&amp;" de "&amp;Registro_Compras!$E$481)))</f>
        <v/>
      </c>
      <c r="H4300" t="str">
        <f>IF($C4300="","",Registro_Compras!$C$481)</f>
        <v/>
      </c>
    </row>
    <row r="4301" spans="1:8" x14ac:dyDescent="0.25">
      <c r="A4301" s="25" t="str">
        <f>IF($C4301="","",Registro_Compras!$B$481)</f>
        <v/>
      </c>
      <c r="B4301" t="str">
        <f>IF($C4301="","","C"&amp;TEXT(INT((ROW()-5)/9)+1,"000")&amp;"-2")</f>
        <v/>
      </c>
      <c r="C4301" t="str">
        <f>IF(OR(Registro_Compras!$C$481="",Registro_Compras!$O$481=""),"",IF(Registro_Compras!$AB$481="ADMINISTRATIVO","94","95"))</f>
        <v/>
      </c>
      <c r="D4301" t="str">
        <f>IF(OR(Registro_Compras!$C$481="",Registro_Compras!$O$481=""),"",IF(Registro_Compras!$AB$481="ADMINISTRATIVO","Gastos Administrativos","Gastos de Venta y Operacion"))</f>
        <v/>
      </c>
      <c r="E4301" s="20" t="str">
        <f>IF($C4301="","",IF(Registro_Compras!$F$481="NOTA DE CREDITO","",IF(Registro_Compras!$F$481="RHE",ROUND(Registro_Compras!$L$481*Registro_Compras!$N$481,2),ROUND(Registro_Compras!$J$481*Registro_Compras!$N$481,2))))</f>
        <v/>
      </c>
      <c r="F4301" s="20" t="str">
        <f>IF($C4301="","",IF(Registro_Compras!$F$481="NOTA DE CREDITO",ROUND(ABS(Registro_Compras!$J$481*Registro_Compras!$N$481),2),""))</f>
        <v/>
      </c>
      <c r="G4301" t="str">
        <f>IF($C4301="","","Por el destino del gasto")</f>
        <v/>
      </c>
      <c r="H4301" t="str">
        <f>IF($C4301="","",Registro_Compras!$C$481)</f>
        <v/>
      </c>
    </row>
    <row r="4302" spans="1:8" x14ac:dyDescent="0.25">
      <c r="A4302" s="25" t="str">
        <f>IF($C4302="","",Registro_Compras!$B$481)</f>
        <v/>
      </c>
      <c r="B4302" t="str">
        <f>IF($C4302="","","C"&amp;TEXT(INT((ROW()-5)/9)+1,"000")&amp;"-2")</f>
        <v/>
      </c>
      <c r="C4302" t="str">
        <f>IF(OR(Registro_Compras!$C$481="",Registro_Compras!$O$481=""),"","79/791")</f>
        <v/>
      </c>
      <c r="D4302" t="str">
        <f>IF(OR(Registro_Compras!$C$481="",Registro_Compras!$O$481=""),"","Cargas Imputables a Cuentas de Costos y Gastos")</f>
        <v/>
      </c>
      <c r="E4302" s="20" t="str">
        <f>IF($C4302="","",IF(Registro_Compras!$F$481="NOTA DE CREDITO",ROUND(ABS(Registro_Compras!$J$481*Registro_Compras!$N$481),2),""))</f>
        <v/>
      </c>
      <c r="F4302" s="20" t="str">
        <f>IF($C4302="","",IF(Registro_Compras!$F$481="NOTA DE CREDITO","",IF(Registro_Compras!$F$481="RHE",ROUND(Registro_Compras!$L$481*Registro_Compras!$N$481,2),ROUND(Registro_Compras!$J$481*Registro_Compras!$N$481,2))))</f>
        <v/>
      </c>
      <c r="G4302" t="str">
        <f>IF($C4302="","","Por el destino del gasto")</f>
        <v/>
      </c>
      <c r="H4302" t="str">
        <f>IF($C4302="","",Registro_Compras!$C$481)</f>
        <v/>
      </c>
    </row>
    <row r="4303" spans="1:8" x14ac:dyDescent="0.25">
      <c r="A4303" s="25" t="str">
        <f>IF($C4303="","",Registro_Compras!$X$481)</f>
        <v/>
      </c>
      <c r="B4303" t="str">
        <f>IF($C4303="","","C"&amp;TEXT(INT((ROW()-5)/9)+1,"000")&amp;"-3")</f>
        <v/>
      </c>
      <c r="C4303" t="str">
        <f>IF(OR(Registro_Compras!$C$481="",Registro_Compras!$O$481="",Registro_Compras!$R$481&lt;&gt;"SI",Registro_Compras!$X$481=""),"","4212")</f>
        <v/>
      </c>
      <c r="D4303" t="str">
        <f>IF(OR(Registro_Compras!$C$481="",Registro_Compras!$O$481=""),"","Cuentas por Pagar Comerciales - Terceros")</f>
        <v/>
      </c>
      <c r="E4303" s="20" t="str">
        <f>IF($C4303="","",Registro_Compras!$S$481)</f>
        <v/>
      </c>
      <c r="F4303" s="20" t="str">
        <f>""</f>
        <v/>
      </c>
      <c r="G4303" t="str">
        <f>IF($C4303="","","Por el deposito de la detraccion en el Banco de la Nacion")</f>
        <v/>
      </c>
      <c r="H4303" t="str">
        <f>IF($C4303="","",Registro_Compras!$C$481)</f>
        <v/>
      </c>
    </row>
    <row r="4304" spans="1:8" x14ac:dyDescent="0.25">
      <c r="A4304" s="25" t="str">
        <f>IF($C4304="","",Registro_Compras!$X$481)</f>
        <v/>
      </c>
      <c r="B4304" t="str">
        <f>IF($C4304="","","C"&amp;TEXT(INT((ROW()-5)/9)+1,"000")&amp;"-3")</f>
        <v/>
      </c>
      <c r="C4304" t="str">
        <f>IF(OR(Registro_Compras!$C$481="",Registro_Compras!$O$481="",Registro_Compras!$R$481&lt;&gt;"SI",Registro_Compras!$X$481=""),"","1041")</f>
        <v/>
      </c>
      <c r="D4304" t="str">
        <f>IF(OR(Registro_Compras!$C$481="",Registro_Compras!$O$481=""),"","Efectivo y Equivalentes - Cta. Cte. Operativa")</f>
        <v/>
      </c>
      <c r="E4304" s="20" t="str">
        <f>""</f>
        <v/>
      </c>
      <c r="F4304" s="20" t="str">
        <f>IF($C4304="","",Registro_Compras!$S$481)</f>
        <v/>
      </c>
      <c r="G4304" t="str">
        <f>IF($C4304="","","Por el deposito de la detraccion en el Banco de la Nacion")</f>
        <v/>
      </c>
      <c r="H4304" t="str">
        <f>IF($C4304="","",Registro_Compras!$C$481)</f>
        <v/>
      </c>
    </row>
    <row r="4305" spans="1:8" x14ac:dyDescent="0.25">
      <c r="A4305" s="25" t="str">
        <f>IF($C4305="","",Registro_Compras!$Y$481)</f>
        <v/>
      </c>
      <c r="B4305" t="str">
        <f>IF($C4305="","","C"&amp;TEXT(INT((ROW()-5)/9)+1,"000")&amp;"-4")</f>
        <v/>
      </c>
      <c r="C4305" t="str">
        <f>IF(OR(Registro_Compras!$C$481="",Registro_Compras!$O$481="",Registro_Compras!$Y$481="",Registro_Compras!$F$481="NOTA DE CREDITO"),"","4212")</f>
        <v/>
      </c>
      <c r="D4305" t="str">
        <f>IF(OR(Registro_Compras!$C$481="",Registro_Compras!$O$481=""),"","Cuentas por Pagar Comerciales - Terceros")</f>
        <v/>
      </c>
      <c r="E4305" s="20" t="str">
        <f>IF($C4305="","",IF(Registro_Compras!$F$481="RHE",(ROUND(Registro_Compras!$L$481*Registro_Compras!$N$481,2)-ROUND(Registro_Compras!$V$481*Registro_Compras!$N$481,2)),ROUND(Registro_Compras!$O$481-Registro_Compras!$S$481,2)))</f>
        <v/>
      </c>
      <c r="F4305" s="20" t="str">
        <f>""</f>
        <v/>
      </c>
      <c r="G4305" t="str">
        <f>IF($C4305="","","Por la cancelacion del saldo al proveedor")</f>
        <v/>
      </c>
      <c r="H4305" t="str">
        <f>IF($C4305="","",Registro_Compras!$C$481)</f>
        <v/>
      </c>
    </row>
    <row r="4306" spans="1:8" x14ac:dyDescent="0.25">
      <c r="A4306" s="25" t="str">
        <f>IF($C4306="","",Registro_Compras!$Y$481)</f>
        <v/>
      </c>
      <c r="B4306" t="str">
        <f>IF($C4306="","","C"&amp;TEXT(INT((ROW()-5)/9)+1,"000")&amp;"-4")</f>
        <v/>
      </c>
      <c r="C4306" t="str">
        <f>IF(OR(Registro_Compras!$C$481="",Registro_Compras!$O$481="",Registro_Compras!$Y$481="",Registro_Compras!$F$481="NOTA DE CREDITO"),"","1041")</f>
        <v/>
      </c>
      <c r="D4306" t="str">
        <f>IF(OR(Registro_Compras!$C$481="",Registro_Compras!$O$481=""),"","Efectivo y Equivalentes - Cta. Cte. Operativa")</f>
        <v/>
      </c>
      <c r="E4306" s="20" t="str">
        <f>""</f>
        <v/>
      </c>
      <c r="F4306" s="20" t="str">
        <f>IF($C4306="","",IF(Registro_Compras!$F$481="RHE",(ROUND(Registro_Compras!$L$481*Registro_Compras!$N$481,2)-ROUND(Registro_Compras!$V$481*Registro_Compras!$N$481,2)),ROUND(Registro_Compras!$O$481-Registro_Compras!$S$481,2)))</f>
        <v/>
      </c>
      <c r="G4306" t="str">
        <f>IF($C4306="","","Por la cancelacion del saldo al proveedor")</f>
        <v/>
      </c>
      <c r="H4306" t="str">
        <f>IF($C4306="","",Registro_Compras!$C$481)</f>
        <v/>
      </c>
    </row>
    <row r="4307" spans="1:8" x14ac:dyDescent="0.25">
      <c r="A4307" s="25" t="str">
        <f>IF($C4307="","",Registro_Compras!$B$482)</f>
        <v/>
      </c>
      <c r="B4307" t="str">
        <f>IF($C4307="","","C"&amp;TEXT(INT((ROW()-5)/9)+1,"000")&amp;"-1")</f>
        <v/>
      </c>
      <c r="C4307" t="str">
        <f>IF(OR(Registro_Compras!$C$482="",Registro_Compras!$O$482=""),"",IF(Registro_Compras!$F$482="NOTA DE CREDITO","4212",IF(Registro_Compras!$M$482="","63",Registro_Compras!$M$482)))</f>
        <v/>
      </c>
      <c r="D4307" t="str">
        <f>IF(OR(Registro_Compras!$C$482="",Registro_Compras!$O$482=""),"",IF(Registro_Compras!$F$482="NOTA DE CREDITO","Cuentas por Pagar Comerciales - Terceros (Emitidas)",IF(Registro_Compras!$F$482="RHE","Honorarios Profesionales - Servicios de Terceros","Gastos de Servicios Prestados por Terceros")))</f>
        <v/>
      </c>
      <c r="E4307" s="20" t="str">
        <f>IF($C4307="","",IF(Registro_Compras!$F$482="NOTA DE CREDITO",ABS(Registro_Compras!$O$482),IF(Registro_Compras!$F$482="RHE",ROUND(Registro_Compras!$L$482*Registro_Compras!$N$482,2),ROUND(Registro_Compras!$J$482*Registro_Compras!$N$482,2))))</f>
        <v/>
      </c>
      <c r="F4307" s="20" t="str">
        <f>""</f>
        <v/>
      </c>
      <c r="G4307" t="str">
        <f>IF($C4307="","",IF(Registro_Compras!$F$482="NOTA DE CREDITO","Por la nota de credito "&amp;Registro_Compras!$C$482&amp;" de "&amp;Registro_Compras!$E$482&amp;" [PATRON POR CONFIRMAR CON CONTADOR]",IF(Registro_Compras!$F$482="RHE","Por el registro del recibo por honorarios "&amp;Registro_Compras!$C$482&amp;" de "&amp;Registro_Compras!$E$482&amp;" [PATRON POR CONFIRMAR CON CONTADOR]","Por el registro de la factura "&amp;Registro_Compras!$C$482&amp;" de "&amp;Registro_Compras!$E$482)))</f>
        <v/>
      </c>
      <c r="H4307" t="str">
        <f>IF($C4307="","",Registro_Compras!$C$482)</f>
        <v/>
      </c>
    </row>
    <row r="4308" spans="1:8" x14ac:dyDescent="0.25">
      <c r="A4308" s="25" t="str">
        <f>IF($C4308="","",Registro_Compras!$B$482)</f>
        <v/>
      </c>
      <c r="B4308" t="str">
        <f>IF($C4308="","","C"&amp;TEXT(INT((ROW()-5)/9)+1,"000")&amp;"-1")</f>
        <v/>
      </c>
      <c r="C4308" t="str">
        <f>IF(OR(Registro_Compras!$C$482="",Registro_Compras!$O$482=""),"",IF(Registro_Compras!$F$482="RHE",IF(Registro_Compras!$V$482=0,"","4017"),IF(Registro_Compras!$F$482="NOTA DE CREDITO",IF(Registro_Compras!$M$482="","63",Registro_Compras!$M$482),IF(Registro_Compras!$K$482=0,"","40111"))))</f>
        <v/>
      </c>
      <c r="D4308" t="str">
        <f>IF(OR(Registro_Compras!$C$482="",Registro_Compras!$O$482=""),"",IF(Registro_Compras!$F$482="RHE","Retencion Renta 4ta Categoria por Pagar",IF(Registro_Compras!$F$482="NOTA DE CREDITO","Gastos de Servicios Prestados por Terceros","IGV - Cuenta Propia (Credito Fiscal)")))</f>
        <v/>
      </c>
      <c r="E4308" s="20" t="str">
        <f>IF($C4308="","",IF(Registro_Compras!$F$482="FACTURA",ROUND(Registro_Compras!$K$482*Registro_Compras!$N$482,2),""))</f>
        <v/>
      </c>
      <c r="F4308" s="20" t="str">
        <f>IF($C4308="","",IF(Registro_Compras!$F$482="RHE",ROUND(Registro_Compras!$V$482*Registro_Compras!$N$482,2),IF(Registro_Compras!$F$482="NOTA DE CREDITO",ROUND(ABS(Registro_Compras!$J$482*Registro_Compras!$N$482),2),"")))</f>
        <v/>
      </c>
      <c r="G4308" t="str">
        <f>IF($C4308="","",IF(Registro_Compras!$F$482="NOTA DE CREDITO","Por la nota de credito "&amp;Registro_Compras!$C$482&amp;" de "&amp;Registro_Compras!$E$482&amp;" [PATRON POR CONFIRMAR CON CONTADOR]",IF(Registro_Compras!$F$482="RHE","Por el registro del recibo por honorarios "&amp;Registro_Compras!$C$482&amp;" de "&amp;Registro_Compras!$E$482&amp;" [PATRON POR CONFIRMAR CON CONTADOR]","Por el registro de la factura "&amp;Registro_Compras!$C$482&amp;" de "&amp;Registro_Compras!$E$482)))</f>
        <v/>
      </c>
      <c r="H4308" t="str">
        <f>IF($C4308="","",Registro_Compras!$C$482)</f>
        <v/>
      </c>
    </row>
    <row r="4309" spans="1:8" x14ac:dyDescent="0.25">
      <c r="A4309" s="25" t="str">
        <f>IF($C4309="","",Registro_Compras!$B$482)</f>
        <v/>
      </c>
      <c r="B4309" t="str">
        <f>IF($C4309="","","C"&amp;TEXT(INT((ROW()-5)/9)+1,"000")&amp;"-1")</f>
        <v/>
      </c>
      <c r="C4309" t="str">
        <f>IF(OR(Registro_Compras!$C$482="",Registro_Compras!$O$482=""),"",IF(Registro_Compras!$F$482="NOTA DE CREDITO",IF(Registro_Compras!$K$482=0,"","40111"),"4212"))</f>
        <v/>
      </c>
      <c r="D4309" t="str">
        <f>IF(OR(Registro_Compras!$C$482="",Registro_Compras!$O$482=""),"",IF(Registro_Compras!$F$482="NOTA DE CREDITO","IGV - Cuenta Propia (Credito Fiscal)","Cuentas por Pagar Comerciales - Terceros (Emitidas)"))</f>
        <v/>
      </c>
      <c r="E4309" s="20" t="str">
        <f>""</f>
        <v/>
      </c>
      <c r="F4309" s="20" t="str">
        <f>IF($C4309="","",IF(Registro_Compras!$F$482="NOTA DE CREDITO",ROUND(ABS(Registro_Compras!$K$482*Registro_Compras!$N$482),2),IF(Registro_Compras!$F$482="RHE",(ROUND(Registro_Compras!$L$482*Registro_Compras!$N$482,2)-ROUND(Registro_Compras!$V$482*Registro_Compras!$N$482,2)),Registro_Compras!$O$482)))</f>
        <v/>
      </c>
      <c r="G4309" t="str">
        <f>IF($C4309="","",IF(Registro_Compras!$F$482="NOTA DE CREDITO","Por la nota de credito "&amp;Registro_Compras!$C$482&amp;" de "&amp;Registro_Compras!$E$482&amp;" [PATRON POR CONFIRMAR CON CONTADOR]",IF(Registro_Compras!$F$482="RHE","Por el registro del recibo por honorarios "&amp;Registro_Compras!$C$482&amp;" de "&amp;Registro_Compras!$E$482&amp;" [PATRON POR CONFIRMAR CON CONTADOR]","Por el registro de la factura "&amp;Registro_Compras!$C$482&amp;" de "&amp;Registro_Compras!$E$482)))</f>
        <v/>
      </c>
      <c r="H4309" t="str">
        <f>IF($C4309="","",Registro_Compras!$C$482)</f>
        <v/>
      </c>
    </row>
    <row r="4310" spans="1:8" x14ac:dyDescent="0.25">
      <c r="A4310" s="25" t="str">
        <f>IF($C4310="","",Registro_Compras!$B$482)</f>
        <v/>
      </c>
      <c r="B4310" t="str">
        <f>IF($C4310="","","C"&amp;TEXT(INT((ROW()-5)/9)+1,"000")&amp;"-2")</f>
        <v/>
      </c>
      <c r="C4310" t="str">
        <f>IF(OR(Registro_Compras!$C$482="",Registro_Compras!$O$482=""),"",IF(Registro_Compras!$AB$482="ADMINISTRATIVO","94","95"))</f>
        <v/>
      </c>
      <c r="D4310" t="str">
        <f>IF(OR(Registro_Compras!$C$482="",Registro_Compras!$O$482=""),"",IF(Registro_Compras!$AB$482="ADMINISTRATIVO","Gastos Administrativos","Gastos de Venta y Operacion"))</f>
        <v/>
      </c>
      <c r="E4310" s="20" t="str">
        <f>IF($C4310="","",IF(Registro_Compras!$F$482="NOTA DE CREDITO","",IF(Registro_Compras!$F$482="RHE",ROUND(Registro_Compras!$L$482*Registro_Compras!$N$482,2),ROUND(Registro_Compras!$J$482*Registro_Compras!$N$482,2))))</f>
        <v/>
      </c>
      <c r="F4310" s="20" t="str">
        <f>IF($C4310="","",IF(Registro_Compras!$F$482="NOTA DE CREDITO",ROUND(ABS(Registro_Compras!$J$482*Registro_Compras!$N$482),2),""))</f>
        <v/>
      </c>
      <c r="G4310" t="str">
        <f>IF($C4310="","","Por el destino del gasto")</f>
        <v/>
      </c>
      <c r="H4310" t="str">
        <f>IF($C4310="","",Registro_Compras!$C$482)</f>
        <v/>
      </c>
    </row>
    <row r="4311" spans="1:8" x14ac:dyDescent="0.25">
      <c r="A4311" s="25" t="str">
        <f>IF($C4311="","",Registro_Compras!$B$482)</f>
        <v/>
      </c>
      <c r="B4311" t="str">
        <f>IF($C4311="","","C"&amp;TEXT(INT((ROW()-5)/9)+1,"000")&amp;"-2")</f>
        <v/>
      </c>
      <c r="C4311" t="str">
        <f>IF(OR(Registro_Compras!$C$482="",Registro_Compras!$O$482=""),"","79/791")</f>
        <v/>
      </c>
      <c r="D4311" t="str">
        <f>IF(OR(Registro_Compras!$C$482="",Registro_Compras!$O$482=""),"","Cargas Imputables a Cuentas de Costos y Gastos")</f>
        <v/>
      </c>
      <c r="E4311" s="20" t="str">
        <f>IF($C4311="","",IF(Registro_Compras!$F$482="NOTA DE CREDITO",ROUND(ABS(Registro_Compras!$J$482*Registro_Compras!$N$482),2),""))</f>
        <v/>
      </c>
      <c r="F4311" s="20" t="str">
        <f>IF($C4311="","",IF(Registro_Compras!$F$482="NOTA DE CREDITO","",IF(Registro_Compras!$F$482="RHE",ROUND(Registro_Compras!$L$482*Registro_Compras!$N$482,2),ROUND(Registro_Compras!$J$482*Registro_Compras!$N$482,2))))</f>
        <v/>
      </c>
      <c r="G4311" t="str">
        <f>IF($C4311="","","Por el destino del gasto")</f>
        <v/>
      </c>
      <c r="H4311" t="str">
        <f>IF($C4311="","",Registro_Compras!$C$482)</f>
        <v/>
      </c>
    </row>
    <row r="4312" spans="1:8" x14ac:dyDescent="0.25">
      <c r="A4312" s="25" t="str">
        <f>IF($C4312="","",Registro_Compras!$X$482)</f>
        <v/>
      </c>
      <c r="B4312" t="str">
        <f>IF($C4312="","","C"&amp;TEXT(INT((ROW()-5)/9)+1,"000")&amp;"-3")</f>
        <v/>
      </c>
      <c r="C4312" t="str">
        <f>IF(OR(Registro_Compras!$C$482="",Registro_Compras!$O$482="",Registro_Compras!$R$482&lt;&gt;"SI",Registro_Compras!$X$482=""),"","4212")</f>
        <v/>
      </c>
      <c r="D4312" t="str">
        <f>IF(OR(Registro_Compras!$C$482="",Registro_Compras!$O$482=""),"","Cuentas por Pagar Comerciales - Terceros")</f>
        <v/>
      </c>
      <c r="E4312" s="20" t="str">
        <f>IF($C4312="","",Registro_Compras!$S$482)</f>
        <v/>
      </c>
      <c r="F4312" s="20" t="str">
        <f>""</f>
        <v/>
      </c>
      <c r="G4312" t="str">
        <f>IF($C4312="","","Por el deposito de la detraccion en el Banco de la Nacion")</f>
        <v/>
      </c>
      <c r="H4312" t="str">
        <f>IF($C4312="","",Registro_Compras!$C$482)</f>
        <v/>
      </c>
    </row>
    <row r="4313" spans="1:8" x14ac:dyDescent="0.25">
      <c r="A4313" s="25" t="str">
        <f>IF($C4313="","",Registro_Compras!$X$482)</f>
        <v/>
      </c>
      <c r="B4313" t="str">
        <f>IF($C4313="","","C"&amp;TEXT(INT((ROW()-5)/9)+1,"000")&amp;"-3")</f>
        <v/>
      </c>
      <c r="C4313" t="str">
        <f>IF(OR(Registro_Compras!$C$482="",Registro_Compras!$O$482="",Registro_Compras!$R$482&lt;&gt;"SI",Registro_Compras!$X$482=""),"","1041")</f>
        <v/>
      </c>
      <c r="D4313" t="str">
        <f>IF(OR(Registro_Compras!$C$482="",Registro_Compras!$O$482=""),"","Efectivo y Equivalentes - Cta. Cte. Operativa")</f>
        <v/>
      </c>
      <c r="E4313" s="20" t="str">
        <f>""</f>
        <v/>
      </c>
      <c r="F4313" s="20" t="str">
        <f>IF($C4313="","",Registro_Compras!$S$482)</f>
        <v/>
      </c>
      <c r="G4313" t="str">
        <f>IF($C4313="","","Por el deposito de la detraccion en el Banco de la Nacion")</f>
        <v/>
      </c>
      <c r="H4313" t="str">
        <f>IF($C4313="","",Registro_Compras!$C$482)</f>
        <v/>
      </c>
    </row>
    <row r="4314" spans="1:8" x14ac:dyDescent="0.25">
      <c r="A4314" s="25" t="str">
        <f>IF($C4314="","",Registro_Compras!$Y$482)</f>
        <v/>
      </c>
      <c r="B4314" t="str">
        <f>IF($C4314="","","C"&amp;TEXT(INT((ROW()-5)/9)+1,"000")&amp;"-4")</f>
        <v/>
      </c>
      <c r="C4314" t="str">
        <f>IF(OR(Registro_Compras!$C$482="",Registro_Compras!$O$482="",Registro_Compras!$Y$482="",Registro_Compras!$F$482="NOTA DE CREDITO"),"","4212")</f>
        <v/>
      </c>
      <c r="D4314" t="str">
        <f>IF(OR(Registro_Compras!$C$482="",Registro_Compras!$O$482=""),"","Cuentas por Pagar Comerciales - Terceros")</f>
        <v/>
      </c>
      <c r="E4314" s="20" t="str">
        <f>IF($C4314="","",IF(Registro_Compras!$F$482="RHE",(ROUND(Registro_Compras!$L$482*Registro_Compras!$N$482,2)-ROUND(Registro_Compras!$V$482*Registro_Compras!$N$482,2)),ROUND(Registro_Compras!$O$482-Registro_Compras!$S$482,2)))</f>
        <v/>
      </c>
      <c r="F4314" s="20" t="str">
        <f>""</f>
        <v/>
      </c>
      <c r="G4314" t="str">
        <f>IF($C4314="","","Por la cancelacion del saldo al proveedor")</f>
        <v/>
      </c>
      <c r="H4314" t="str">
        <f>IF($C4314="","",Registro_Compras!$C$482)</f>
        <v/>
      </c>
    </row>
    <row r="4315" spans="1:8" x14ac:dyDescent="0.25">
      <c r="A4315" s="25" t="str">
        <f>IF($C4315="","",Registro_Compras!$Y$482)</f>
        <v/>
      </c>
      <c r="B4315" t="str">
        <f>IF($C4315="","","C"&amp;TEXT(INT((ROW()-5)/9)+1,"000")&amp;"-4")</f>
        <v/>
      </c>
      <c r="C4315" t="str">
        <f>IF(OR(Registro_Compras!$C$482="",Registro_Compras!$O$482="",Registro_Compras!$Y$482="",Registro_Compras!$F$482="NOTA DE CREDITO"),"","1041")</f>
        <v/>
      </c>
      <c r="D4315" t="str">
        <f>IF(OR(Registro_Compras!$C$482="",Registro_Compras!$O$482=""),"","Efectivo y Equivalentes - Cta. Cte. Operativa")</f>
        <v/>
      </c>
      <c r="E4315" s="20" t="str">
        <f>""</f>
        <v/>
      </c>
      <c r="F4315" s="20" t="str">
        <f>IF($C4315="","",IF(Registro_Compras!$F$482="RHE",(ROUND(Registro_Compras!$L$482*Registro_Compras!$N$482,2)-ROUND(Registro_Compras!$V$482*Registro_Compras!$N$482,2)),ROUND(Registro_Compras!$O$482-Registro_Compras!$S$482,2)))</f>
        <v/>
      </c>
      <c r="G4315" t="str">
        <f>IF($C4315="","","Por la cancelacion del saldo al proveedor")</f>
        <v/>
      </c>
      <c r="H4315" t="str">
        <f>IF($C4315="","",Registro_Compras!$C$482)</f>
        <v/>
      </c>
    </row>
    <row r="4316" spans="1:8" x14ac:dyDescent="0.25">
      <c r="A4316" s="25" t="str">
        <f>IF($C4316="","",Registro_Compras!$B$483)</f>
        <v/>
      </c>
      <c r="B4316" t="str">
        <f>IF($C4316="","","C"&amp;TEXT(INT((ROW()-5)/9)+1,"000")&amp;"-1")</f>
        <v/>
      </c>
      <c r="C4316" t="str">
        <f>IF(OR(Registro_Compras!$C$483="",Registro_Compras!$O$483=""),"",IF(Registro_Compras!$F$483="NOTA DE CREDITO","4212",IF(Registro_Compras!$M$483="","63",Registro_Compras!$M$483)))</f>
        <v/>
      </c>
      <c r="D4316" t="str">
        <f>IF(OR(Registro_Compras!$C$483="",Registro_Compras!$O$483=""),"",IF(Registro_Compras!$F$483="NOTA DE CREDITO","Cuentas por Pagar Comerciales - Terceros (Emitidas)",IF(Registro_Compras!$F$483="RHE","Honorarios Profesionales - Servicios de Terceros","Gastos de Servicios Prestados por Terceros")))</f>
        <v/>
      </c>
      <c r="E4316" s="20" t="str">
        <f>IF($C4316="","",IF(Registro_Compras!$F$483="NOTA DE CREDITO",ABS(Registro_Compras!$O$483),IF(Registro_Compras!$F$483="RHE",ROUND(Registro_Compras!$L$483*Registro_Compras!$N$483,2),ROUND(Registro_Compras!$J$483*Registro_Compras!$N$483,2))))</f>
        <v/>
      </c>
      <c r="F4316" s="20" t="str">
        <f>""</f>
        <v/>
      </c>
      <c r="G4316" t="str">
        <f>IF($C4316="","",IF(Registro_Compras!$F$483="NOTA DE CREDITO","Por la nota de credito "&amp;Registro_Compras!$C$483&amp;" de "&amp;Registro_Compras!$E$483&amp;" [PATRON POR CONFIRMAR CON CONTADOR]",IF(Registro_Compras!$F$483="RHE","Por el registro del recibo por honorarios "&amp;Registro_Compras!$C$483&amp;" de "&amp;Registro_Compras!$E$483&amp;" [PATRON POR CONFIRMAR CON CONTADOR]","Por el registro de la factura "&amp;Registro_Compras!$C$483&amp;" de "&amp;Registro_Compras!$E$483)))</f>
        <v/>
      </c>
      <c r="H4316" t="str">
        <f>IF($C4316="","",Registro_Compras!$C$483)</f>
        <v/>
      </c>
    </row>
    <row r="4317" spans="1:8" x14ac:dyDescent="0.25">
      <c r="A4317" s="25" t="str">
        <f>IF($C4317="","",Registro_Compras!$B$483)</f>
        <v/>
      </c>
      <c r="B4317" t="str">
        <f>IF($C4317="","","C"&amp;TEXT(INT((ROW()-5)/9)+1,"000")&amp;"-1")</f>
        <v/>
      </c>
      <c r="C4317" t="str">
        <f>IF(OR(Registro_Compras!$C$483="",Registro_Compras!$O$483=""),"",IF(Registro_Compras!$F$483="RHE",IF(Registro_Compras!$V$483=0,"","4017"),IF(Registro_Compras!$F$483="NOTA DE CREDITO",IF(Registro_Compras!$M$483="","63",Registro_Compras!$M$483),IF(Registro_Compras!$K$483=0,"","40111"))))</f>
        <v/>
      </c>
      <c r="D4317" t="str">
        <f>IF(OR(Registro_Compras!$C$483="",Registro_Compras!$O$483=""),"",IF(Registro_Compras!$F$483="RHE","Retencion Renta 4ta Categoria por Pagar",IF(Registro_Compras!$F$483="NOTA DE CREDITO","Gastos de Servicios Prestados por Terceros","IGV - Cuenta Propia (Credito Fiscal)")))</f>
        <v/>
      </c>
      <c r="E4317" s="20" t="str">
        <f>IF($C4317="","",IF(Registro_Compras!$F$483="FACTURA",ROUND(Registro_Compras!$K$483*Registro_Compras!$N$483,2),""))</f>
        <v/>
      </c>
      <c r="F4317" s="20" t="str">
        <f>IF($C4317="","",IF(Registro_Compras!$F$483="RHE",ROUND(Registro_Compras!$V$483*Registro_Compras!$N$483,2),IF(Registro_Compras!$F$483="NOTA DE CREDITO",ROUND(ABS(Registro_Compras!$J$483*Registro_Compras!$N$483),2),"")))</f>
        <v/>
      </c>
      <c r="G4317" t="str">
        <f>IF($C4317="","",IF(Registro_Compras!$F$483="NOTA DE CREDITO","Por la nota de credito "&amp;Registro_Compras!$C$483&amp;" de "&amp;Registro_Compras!$E$483&amp;" [PATRON POR CONFIRMAR CON CONTADOR]",IF(Registro_Compras!$F$483="RHE","Por el registro del recibo por honorarios "&amp;Registro_Compras!$C$483&amp;" de "&amp;Registro_Compras!$E$483&amp;" [PATRON POR CONFIRMAR CON CONTADOR]","Por el registro de la factura "&amp;Registro_Compras!$C$483&amp;" de "&amp;Registro_Compras!$E$483)))</f>
        <v/>
      </c>
      <c r="H4317" t="str">
        <f>IF($C4317="","",Registro_Compras!$C$483)</f>
        <v/>
      </c>
    </row>
    <row r="4318" spans="1:8" x14ac:dyDescent="0.25">
      <c r="A4318" s="25" t="str">
        <f>IF($C4318="","",Registro_Compras!$B$483)</f>
        <v/>
      </c>
      <c r="B4318" t="str">
        <f>IF($C4318="","","C"&amp;TEXT(INT((ROW()-5)/9)+1,"000")&amp;"-1")</f>
        <v/>
      </c>
      <c r="C4318" t="str">
        <f>IF(OR(Registro_Compras!$C$483="",Registro_Compras!$O$483=""),"",IF(Registro_Compras!$F$483="NOTA DE CREDITO",IF(Registro_Compras!$K$483=0,"","40111"),"4212"))</f>
        <v/>
      </c>
      <c r="D4318" t="str">
        <f>IF(OR(Registro_Compras!$C$483="",Registro_Compras!$O$483=""),"",IF(Registro_Compras!$F$483="NOTA DE CREDITO","IGV - Cuenta Propia (Credito Fiscal)","Cuentas por Pagar Comerciales - Terceros (Emitidas)"))</f>
        <v/>
      </c>
      <c r="E4318" s="20" t="str">
        <f>""</f>
        <v/>
      </c>
      <c r="F4318" s="20" t="str">
        <f>IF($C4318="","",IF(Registro_Compras!$F$483="NOTA DE CREDITO",ROUND(ABS(Registro_Compras!$K$483*Registro_Compras!$N$483),2),IF(Registro_Compras!$F$483="RHE",(ROUND(Registro_Compras!$L$483*Registro_Compras!$N$483,2)-ROUND(Registro_Compras!$V$483*Registro_Compras!$N$483,2)),Registro_Compras!$O$483)))</f>
        <v/>
      </c>
      <c r="G4318" t="str">
        <f>IF($C4318="","",IF(Registro_Compras!$F$483="NOTA DE CREDITO","Por la nota de credito "&amp;Registro_Compras!$C$483&amp;" de "&amp;Registro_Compras!$E$483&amp;" [PATRON POR CONFIRMAR CON CONTADOR]",IF(Registro_Compras!$F$483="RHE","Por el registro del recibo por honorarios "&amp;Registro_Compras!$C$483&amp;" de "&amp;Registro_Compras!$E$483&amp;" [PATRON POR CONFIRMAR CON CONTADOR]","Por el registro de la factura "&amp;Registro_Compras!$C$483&amp;" de "&amp;Registro_Compras!$E$483)))</f>
        <v/>
      </c>
      <c r="H4318" t="str">
        <f>IF($C4318="","",Registro_Compras!$C$483)</f>
        <v/>
      </c>
    </row>
    <row r="4319" spans="1:8" x14ac:dyDescent="0.25">
      <c r="A4319" s="25" t="str">
        <f>IF($C4319="","",Registro_Compras!$B$483)</f>
        <v/>
      </c>
      <c r="B4319" t="str">
        <f>IF($C4319="","","C"&amp;TEXT(INT((ROW()-5)/9)+1,"000")&amp;"-2")</f>
        <v/>
      </c>
      <c r="C4319" t="str">
        <f>IF(OR(Registro_Compras!$C$483="",Registro_Compras!$O$483=""),"",IF(Registro_Compras!$AB$483="ADMINISTRATIVO","94","95"))</f>
        <v/>
      </c>
      <c r="D4319" t="str">
        <f>IF(OR(Registro_Compras!$C$483="",Registro_Compras!$O$483=""),"",IF(Registro_Compras!$AB$483="ADMINISTRATIVO","Gastos Administrativos","Gastos de Venta y Operacion"))</f>
        <v/>
      </c>
      <c r="E4319" s="20" t="str">
        <f>IF($C4319="","",IF(Registro_Compras!$F$483="NOTA DE CREDITO","",IF(Registro_Compras!$F$483="RHE",ROUND(Registro_Compras!$L$483*Registro_Compras!$N$483,2),ROUND(Registro_Compras!$J$483*Registro_Compras!$N$483,2))))</f>
        <v/>
      </c>
      <c r="F4319" s="20" t="str">
        <f>IF($C4319="","",IF(Registro_Compras!$F$483="NOTA DE CREDITO",ROUND(ABS(Registro_Compras!$J$483*Registro_Compras!$N$483),2),""))</f>
        <v/>
      </c>
      <c r="G4319" t="str">
        <f>IF($C4319="","","Por el destino del gasto")</f>
        <v/>
      </c>
      <c r="H4319" t="str">
        <f>IF($C4319="","",Registro_Compras!$C$483)</f>
        <v/>
      </c>
    </row>
    <row r="4320" spans="1:8" x14ac:dyDescent="0.25">
      <c r="A4320" s="25" t="str">
        <f>IF($C4320="","",Registro_Compras!$B$483)</f>
        <v/>
      </c>
      <c r="B4320" t="str">
        <f>IF($C4320="","","C"&amp;TEXT(INT((ROW()-5)/9)+1,"000")&amp;"-2")</f>
        <v/>
      </c>
      <c r="C4320" t="str">
        <f>IF(OR(Registro_Compras!$C$483="",Registro_Compras!$O$483=""),"","79/791")</f>
        <v/>
      </c>
      <c r="D4320" t="str">
        <f>IF(OR(Registro_Compras!$C$483="",Registro_Compras!$O$483=""),"","Cargas Imputables a Cuentas de Costos y Gastos")</f>
        <v/>
      </c>
      <c r="E4320" s="20" t="str">
        <f>IF($C4320="","",IF(Registro_Compras!$F$483="NOTA DE CREDITO",ROUND(ABS(Registro_Compras!$J$483*Registro_Compras!$N$483),2),""))</f>
        <v/>
      </c>
      <c r="F4320" s="20" t="str">
        <f>IF($C4320="","",IF(Registro_Compras!$F$483="NOTA DE CREDITO","",IF(Registro_Compras!$F$483="RHE",ROUND(Registro_Compras!$L$483*Registro_Compras!$N$483,2),ROUND(Registro_Compras!$J$483*Registro_Compras!$N$483,2))))</f>
        <v/>
      </c>
      <c r="G4320" t="str">
        <f>IF($C4320="","","Por el destino del gasto")</f>
        <v/>
      </c>
      <c r="H4320" t="str">
        <f>IF($C4320="","",Registro_Compras!$C$483)</f>
        <v/>
      </c>
    </row>
    <row r="4321" spans="1:8" x14ac:dyDescent="0.25">
      <c r="A4321" s="25" t="str">
        <f>IF($C4321="","",Registro_Compras!$X$483)</f>
        <v/>
      </c>
      <c r="B4321" t="str">
        <f>IF($C4321="","","C"&amp;TEXT(INT((ROW()-5)/9)+1,"000")&amp;"-3")</f>
        <v/>
      </c>
      <c r="C4321" t="str">
        <f>IF(OR(Registro_Compras!$C$483="",Registro_Compras!$O$483="",Registro_Compras!$R$483&lt;&gt;"SI",Registro_Compras!$X$483=""),"","4212")</f>
        <v/>
      </c>
      <c r="D4321" t="str">
        <f>IF(OR(Registro_Compras!$C$483="",Registro_Compras!$O$483=""),"","Cuentas por Pagar Comerciales - Terceros")</f>
        <v/>
      </c>
      <c r="E4321" s="20" t="str">
        <f>IF($C4321="","",Registro_Compras!$S$483)</f>
        <v/>
      </c>
      <c r="F4321" s="20" t="str">
        <f>""</f>
        <v/>
      </c>
      <c r="G4321" t="str">
        <f>IF($C4321="","","Por el deposito de la detraccion en el Banco de la Nacion")</f>
        <v/>
      </c>
      <c r="H4321" t="str">
        <f>IF($C4321="","",Registro_Compras!$C$483)</f>
        <v/>
      </c>
    </row>
    <row r="4322" spans="1:8" x14ac:dyDescent="0.25">
      <c r="A4322" s="25" t="str">
        <f>IF($C4322="","",Registro_Compras!$X$483)</f>
        <v/>
      </c>
      <c r="B4322" t="str">
        <f>IF($C4322="","","C"&amp;TEXT(INT((ROW()-5)/9)+1,"000")&amp;"-3")</f>
        <v/>
      </c>
      <c r="C4322" t="str">
        <f>IF(OR(Registro_Compras!$C$483="",Registro_Compras!$O$483="",Registro_Compras!$R$483&lt;&gt;"SI",Registro_Compras!$X$483=""),"","1041")</f>
        <v/>
      </c>
      <c r="D4322" t="str">
        <f>IF(OR(Registro_Compras!$C$483="",Registro_Compras!$O$483=""),"","Efectivo y Equivalentes - Cta. Cte. Operativa")</f>
        <v/>
      </c>
      <c r="E4322" s="20" t="str">
        <f>""</f>
        <v/>
      </c>
      <c r="F4322" s="20" t="str">
        <f>IF($C4322="","",Registro_Compras!$S$483)</f>
        <v/>
      </c>
      <c r="G4322" t="str">
        <f>IF($C4322="","","Por el deposito de la detraccion en el Banco de la Nacion")</f>
        <v/>
      </c>
      <c r="H4322" t="str">
        <f>IF($C4322="","",Registro_Compras!$C$483)</f>
        <v/>
      </c>
    </row>
    <row r="4323" spans="1:8" x14ac:dyDescent="0.25">
      <c r="A4323" s="25" t="str">
        <f>IF($C4323="","",Registro_Compras!$Y$483)</f>
        <v/>
      </c>
      <c r="B4323" t="str">
        <f>IF($C4323="","","C"&amp;TEXT(INT((ROW()-5)/9)+1,"000")&amp;"-4")</f>
        <v/>
      </c>
      <c r="C4323" t="str">
        <f>IF(OR(Registro_Compras!$C$483="",Registro_Compras!$O$483="",Registro_Compras!$Y$483="",Registro_Compras!$F$483="NOTA DE CREDITO"),"","4212")</f>
        <v/>
      </c>
      <c r="D4323" t="str">
        <f>IF(OR(Registro_Compras!$C$483="",Registro_Compras!$O$483=""),"","Cuentas por Pagar Comerciales - Terceros")</f>
        <v/>
      </c>
      <c r="E4323" s="20" t="str">
        <f>IF($C4323="","",IF(Registro_Compras!$F$483="RHE",(ROUND(Registro_Compras!$L$483*Registro_Compras!$N$483,2)-ROUND(Registro_Compras!$V$483*Registro_Compras!$N$483,2)),ROUND(Registro_Compras!$O$483-Registro_Compras!$S$483,2)))</f>
        <v/>
      </c>
      <c r="F4323" s="20" t="str">
        <f>""</f>
        <v/>
      </c>
      <c r="G4323" t="str">
        <f>IF($C4323="","","Por la cancelacion del saldo al proveedor")</f>
        <v/>
      </c>
      <c r="H4323" t="str">
        <f>IF($C4323="","",Registro_Compras!$C$483)</f>
        <v/>
      </c>
    </row>
    <row r="4324" spans="1:8" x14ac:dyDescent="0.25">
      <c r="A4324" s="25" t="str">
        <f>IF($C4324="","",Registro_Compras!$Y$483)</f>
        <v/>
      </c>
      <c r="B4324" t="str">
        <f>IF($C4324="","","C"&amp;TEXT(INT((ROW()-5)/9)+1,"000")&amp;"-4")</f>
        <v/>
      </c>
      <c r="C4324" t="str">
        <f>IF(OR(Registro_Compras!$C$483="",Registro_Compras!$O$483="",Registro_Compras!$Y$483="",Registro_Compras!$F$483="NOTA DE CREDITO"),"","1041")</f>
        <v/>
      </c>
      <c r="D4324" t="str">
        <f>IF(OR(Registro_Compras!$C$483="",Registro_Compras!$O$483=""),"","Efectivo y Equivalentes - Cta. Cte. Operativa")</f>
        <v/>
      </c>
      <c r="E4324" s="20" t="str">
        <f>""</f>
        <v/>
      </c>
      <c r="F4324" s="20" t="str">
        <f>IF($C4324="","",IF(Registro_Compras!$F$483="RHE",(ROUND(Registro_Compras!$L$483*Registro_Compras!$N$483,2)-ROUND(Registro_Compras!$V$483*Registro_Compras!$N$483,2)),ROUND(Registro_Compras!$O$483-Registro_Compras!$S$483,2)))</f>
        <v/>
      </c>
      <c r="G4324" t="str">
        <f>IF($C4324="","","Por la cancelacion del saldo al proveedor")</f>
        <v/>
      </c>
      <c r="H4324" t="str">
        <f>IF($C4324="","",Registro_Compras!$C$483)</f>
        <v/>
      </c>
    </row>
    <row r="4325" spans="1:8" x14ac:dyDescent="0.25">
      <c r="A4325" s="25" t="str">
        <f>IF($C4325="","",Registro_Compras!$B$484)</f>
        <v/>
      </c>
      <c r="B4325" t="str">
        <f>IF($C4325="","","C"&amp;TEXT(INT((ROW()-5)/9)+1,"000")&amp;"-1")</f>
        <v/>
      </c>
      <c r="C4325" t="str">
        <f>IF(OR(Registro_Compras!$C$484="",Registro_Compras!$O$484=""),"",IF(Registro_Compras!$F$484="NOTA DE CREDITO","4212",IF(Registro_Compras!$M$484="","63",Registro_Compras!$M$484)))</f>
        <v/>
      </c>
      <c r="D4325" t="str">
        <f>IF(OR(Registro_Compras!$C$484="",Registro_Compras!$O$484=""),"",IF(Registro_Compras!$F$484="NOTA DE CREDITO","Cuentas por Pagar Comerciales - Terceros (Emitidas)",IF(Registro_Compras!$F$484="RHE","Honorarios Profesionales - Servicios de Terceros","Gastos de Servicios Prestados por Terceros")))</f>
        <v/>
      </c>
      <c r="E4325" s="20" t="str">
        <f>IF($C4325="","",IF(Registro_Compras!$F$484="NOTA DE CREDITO",ABS(Registro_Compras!$O$484),IF(Registro_Compras!$F$484="RHE",ROUND(Registro_Compras!$L$484*Registro_Compras!$N$484,2),ROUND(Registro_Compras!$J$484*Registro_Compras!$N$484,2))))</f>
        <v/>
      </c>
      <c r="F4325" s="20" t="str">
        <f>""</f>
        <v/>
      </c>
      <c r="G4325" t="str">
        <f>IF($C4325="","",IF(Registro_Compras!$F$484="NOTA DE CREDITO","Por la nota de credito "&amp;Registro_Compras!$C$484&amp;" de "&amp;Registro_Compras!$E$484&amp;" [PATRON POR CONFIRMAR CON CONTADOR]",IF(Registro_Compras!$F$484="RHE","Por el registro del recibo por honorarios "&amp;Registro_Compras!$C$484&amp;" de "&amp;Registro_Compras!$E$484&amp;" [PATRON POR CONFIRMAR CON CONTADOR]","Por el registro de la factura "&amp;Registro_Compras!$C$484&amp;" de "&amp;Registro_Compras!$E$484)))</f>
        <v/>
      </c>
      <c r="H4325" t="str">
        <f>IF($C4325="","",Registro_Compras!$C$484)</f>
        <v/>
      </c>
    </row>
    <row r="4326" spans="1:8" x14ac:dyDescent="0.25">
      <c r="A4326" s="25" t="str">
        <f>IF($C4326="","",Registro_Compras!$B$484)</f>
        <v/>
      </c>
      <c r="B4326" t="str">
        <f>IF($C4326="","","C"&amp;TEXT(INT((ROW()-5)/9)+1,"000")&amp;"-1")</f>
        <v/>
      </c>
      <c r="C4326" t="str">
        <f>IF(OR(Registro_Compras!$C$484="",Registro_Compras!$O$484=""),"",IF(Registro_Compras!$F$484="RHE",IF(Registro_Compras!$V$484=0,"","4017"),IF(Registro_Compras!$F$484="NOTA DE CREDITO",IF(Registro_Compras!$M$484="","63",Registro_Compras!$M$484),IF(Registro_Compras!$K$484=0,"","40111"))))</f>
        <v/>
      </c>
      <c r="D4326" t="str">
        <f>IF(OR(Registro_Compras!$C$484="",Registro_Compras!$O$484=""),"",IF(Registro_Compras!$F$484="RHE","Retencion Renta 4ta Categoria por Pagar",IF(Registro_Compras!$F$484="NOTA DE CREDITO","Gastos de Servicios Prestados por Terceros","IGV - Cuenta Propia (Credito Fiscal)")))</f>
        <v/>
      </c>
      <c r="E4326" s="20" t="str">
        <f>IF($C4326="","",IF(Registro_Compras!$F$484="FACTURA",ROUND(Registro_Compras!$K$484*Registro_Compras!$N$484,2),""))</f>
        <v/>
      </c>
      <c r="F4326" s="20" t="str">
        <f>IF($C4326="","",IF(Registro_Compras!$F$484="RHE",ROUND(Registro_Compras!$V$484*Registro_Compras!$N$484,2),IF(Registro_Compras!$F$484="NOTA DE CREDITO",ROUND(ABS(Registro_Compras!$J$484*Registro_Compras!$N$484),2),"")))</f>
        <v/>
      </c>
      <c r="G4326" t="str">
        <f>IF($C4326="","",IF(Registro_Compras!$F$484="NOTA DE CREDITO","Por la nota de credito "&amp;Registro_Compras!$C$484&amp;" de "&amp;Registro_Compras!$E$484&amp;" [PATRON POR CONFIRMAR CON CONTADOR]",IF(Registro_Compras!$F$484="RHE","Por el registro del recibo por honorarios "&amp;Registro_Compras!$C$484&amp;" de "&amp;Registro_Compras!$E$484&amp;" [PATRON POR CONFIRMAR CON CONTADOR]","Por el registro de la factura "&amp;Registro_Compras!$C$484&amp;" de "&amp;Registro_Compras!$E$484)))</f>
        <v/>
      </c>
      <c r="H4326" t="str">
        <f>IF($C4326="","",Registro_Compras!$C$484)</f>
        <v/>
      </c>
    </row>
    <row r="4327" spans="1:8" x14ac:dyDescent="0.25">
      <c r="A4327" s="25" t="str">
        <f>IF($C4327="","",Registro_Compras!$B$484)</f>
        <v/>
      </c>
      <c r="B4327" t="str">
        <f>IF($C4327="","","C"&amp;TEXT(INT((ROW()-5)/9)+1,"000")&amp;"-1")</f>
        <v/>
      </c>
      <c r="C4327" t="str">
        <f>IF(OR(Registro_Compras!$C$484="",Registro_Compras!$O$484=""),"",IF(Registro_Compras!$F$484="NOTA DE CREDITO",IF(Registro_Compras!$K$484=0,"","40111"),"4212"))</f>
        <v/>
      </c>
      <c r="D4327" t="str">
        <f>IF(OR(Registro_Compras!$C$484="",Registro_Compras!$O$484=""),"",IF(Registro_Compras!$F$484="NOTA DE CREDITO","IGV - Cuenta Propia (Credito Fiscal)","Cuentas por Pagar Comerciales - Terceros (Emitidas)"))</f>
        <v/>
      </c>
      <c r="E4327" s="20" t="str">
        <f>""</f>
        <v/>
      </c>
      <c r="F4327" s="20" t="str">
        <f>IF($C4327="","",IF(Registro_Compras!$F$484="NOTA DE CREDITO",ROUND(ABS(Registro_Compras!$K$484*Registro_Compras!$N$484),2),IF(Registro_Compras!$F$484="RHE",(ROUND(Registro_Compras!$L$484*Registro_Compras!$N$484,2)-ROUND(Registro_Compras!$V$484*Registro_Compras!$N$484,2)),Registro_Compras!$O$484)))</f>
        <v/>
      </c>
      <c r="G4327" t="str">
        <f>IF($C4327="","",IF(Registro_Compras!$F$484="NOTA DE CREDITO","Por la nota de credito "&amp;Registro_Compras!$C$484&amp;" de "&amp;Registro_Compras!$E$484&amp;" [PATRON POR CONFIRMAR CON CONTADOR]",IF(Registro_Compras!$F$484="RHE","Por el registro del recibo por honorarios "&amp;Registro_Compras!$C$484&amp;" de "&amp;Registro_Compras!$E$484&amp;" [PATRON POR CONFIRMAR CON CONTADOR]","Por el registro de la factura "&amp;Registro_Compras!$C$484&amp;" de "&amp;Registro_Compras!$E$484)))</f>
        <v/>
      </c>
      <c r="H4327" t="str">
        <f>IF($C4327="","",Registro_Compras!$C$484)</f>
        <v/>
      </c>
    </row>
    <row r="4328" spans="1:8" x14ac:dyDescent="0.25">
      <c r="A4328" s="25" t="str">
        <f>IF($C4328="","",Registro_Compras!$B$484)</f>
        <v/>
      </c>
      <c r="B4328" t="str">
        <f>IF($C4328="","","C"&amp;TEXT(INT((ROW()-5)/9)+1,"000")&amp;"-2")</f>
        <v/>
      </c>
      <c r="C4328" t="str">
        <f>IF(OR(Registro_Compras!$C$484="",Registro_Compras!$O$484=""),"",IF(Registro_Compras!$AB$484="ADMINISTRATIVO","94","95"))</f>
        <v/>
      </c>
      <c r="D4328" t="str">
        <f>IF(OR(Registro_Compras!$C$484="",Registro_Compras!$O$484=""),"",IF(Registro_Compras!$AB$484="ADMINISTRATIVO","Gastos Administrativos","Gastos de Venta y Operacion"))</f>
        <v/>
      </c>
      <c r="E4328" s="20" t="str">
        <f>IF($C4328="","",IF(Registro_Compras!$F$484="NOTA DE CREDITO","",IF(Registro_Compras!$F$484="RHE",ROUND(Registro_Compras!$L$484*Registro_Compras!$N$484,2),ROUND(Registro_Compras!$J$484*Registro_Compras!$N$484,2))))</f>
        <v/>
      </c>
      <c r="F4328" s="20" t="str">
        <f>IF($C4328="","",IF(Registro_Compras!$F$484="NOTA DE CREDITO",ROUND(ABS(Registro_Compras!$J$484*Registro_Compras!$N$484),2),""))</f>
        <v/>
      </c>
      <c r="G4328" t="str">
        <f>IF($C4328="","","Por el destino del gasto")</f>
        <v/>
      </c>
      <c r="H4328" t="str">
        <f>IF($C4328="","",Registro_Compras!$C$484)</f>
        <v/>
      </c>
    </row>
    <row r="4329" spans="1:8" x14ac:dyDescent="0.25">
      <c r="A4329" s="25" t="str">
        <f>IF($C4329="","",Registro_Compras!$B$484)</f>
        <v/>
      </c>
      <c r="B4329" t="str">
        <f>IF($C4329="","","C"&amp;TEXT(INT((ROW()-5)/9)+1,"000")&amp;"-2")</f>
        <v/>
      </c>
      <c r="C4329" t="str">
        <f>IF(OR(Registro_Compras!$C$484="",Registro_Compras!$O$484=""),"","79/791")</f>
        <v/>
      </c>
      <c r="D4329" t="str">
        <f>IF(OR(Registro_Compras!$C$484="",Registro_Compras!$O$484=""),"","Cargas Imputables a Cuentas de Costos y Gastos")</f>
        <v/>
      </c>
      <c r="E4329" s="20" t="str">
        <f>IF($C4329="","",IF(Registro_Compras!$F$484="NOTA DE CREDITO",ROUND(ABS(Registro_Compras!$J$484*Registro_Compras!$N$484),2),""))</f>
        <v/>
      </c>
      <c r="F4329" s="20" t="str">
        <f>IF($C4329="","",IF(Registro_Compras!$F$484="NOTA DE CREDITO","",IF(Registro_Compras!$F$484="RHE",ROUND(Registro_Compras!$L$484*Registro_Compras!$N$484,2),ROUND(Registro_Compras!$J$484*Registro_Compras!$N$484,2))))</f>
        <v/>
      </c>
      <c r="G4329" t="str">
        <f>IF($C4329="","","Por el destino del gasto")</f>
        <v/>
      </c>
      <c r="H4329" t="str">
        <f>IF($C4329="","",Registro_Compras!$C$484)</f>
        <v/>
      </c>
    </row>
    <row r="4330" spans="1:8" x14ac:dyDescent="0.25">
      <c r="A4330" s="25" t="str">
        <f>IF($C4330="","",Registro_Compras!$X$484)</f>
        <v/>
      </c>
      <c r="B4330" t="str">
        <f>IF($C4330="","","C"&amp;TEXT(INT((ROW()-5)/9)+1,"000")&amp;"-3")</f>
        <v/>
      </c>
      <c r="C4330" t="str">
        <f>IF(OR(Registro_Compras!$C$484="",Registro_Compras!$O$484="",Registro_Compras!$R$484&lt;&gt;"SI",Registro_Compras!$X$484=""),"","4212")</f>
        <v/>
      </c>
      <c r="D4330" t="str">
        <f>IF(OR(Registro_Compras!$C$484="",Registro_Compras!$O$484=""),"","Cuentas por Pagar Comerciales - Terceros")</f>
        <v/>
      </c>
      <c r="E4330" s="20" t="str">
        <f>IF($C4330="","",Registro_Compras!$S$484)</f>
        <v/>
      </c>
      <c r="F4330" s="20" t="str">
        <f>""</f>
        <v/>
      </c>
      <c r="G4330" t="str">
        <f>IF($C4330="","","Por el deposito de la detraccion en el Banco de la Nacion")</f>
        <v/>
      </c>
      <c r="H4330" t="str">
        <f>IF($C4330="","",Registro_Compras!$C$484)</f>
        <v/>
      </c>
    </row>
    <row r="4331" spans="1:8" x14ac:dyDescent="0.25">
      <c r="A4331" s="25" t="str">
        <f>IF($C4331="","",Registro_Compras!$X$484)</f>
        <v/>
      </c>
      <c r="B4331" t="str">
        <f>IF($C4331="","","C"&amp;TEXT(INT((ROW()-5)/9)+1,"000")&amp;"-3")</f>
        <v/>
      </c>
      <c r="C4331" t="str">
        <f>IF(OR(Registro_Compras!$C$484="",Registro_Compras!$O$484="",Registro_Compras!$R$484&lt;&gt;"SI",Registro_Compras!$X$484=""),"","1041")</f>
        <v/>
      </c>
      <c r="D4331" t="str">
        <f>IF(OR(Registro_Compras!$C$484="",Registro_Compras!$O$484=""),"","Efectivo y Equivalentes - Cta. Cte. Operativa")</f>
        <v/>
      </c>
      <c r="E4331" s="20" t="str">
        <f>""</f>
        <v/>
      </c>
      <c r="F4331" s="20" t="str">
        <f>IF($C4331="","",Registro_Compras!$S$484)</f>
        <v/>
      </c>
      <c r="G4331" t="str">
        <f>IF($C4331="","","Por el deposito de la detraccion en el Banco de la Nacion")</f>
        <v/>
      </c>
      <c r="H4331" t="str">
        <f>IF($C4331="","",Registro_Compras!$C$484)</f>
        <v/>
      </c>
    </row>
    <row r="4332" spans="1:8" x14ac:dyDescent="0.25">
      <c r="A4332" s="25" t="str">
        <f>IF($C4332="","",Registro_Compras!$Y$484)</f>
        <v/>
      </c>
      <c r="B4332" t="str">
        <f>IF($C4332="","","C"&amp;TEXT(INT((ROW()-5)/9)+1,"000")&amp;"-4")</f>
        <v/>
      </c>
      <c r="C4332" t="str">
        <f>IF(OR(Registro_Compras!$C$484="",Registro_Compras!$O$484="",Registro_Compras!$Y$484="",Registro_Compras!$F$484="NOTA DE CREDITO"),"","4212")</f>
        <v/>
      </c>
      <c r="D4332" t="str">
        <f>IF(OR(Registro_Compras!$C$484="",Registro_Compras!$O$484=""),"","Cuentas por Pagar Comerciales - Terceros")</f>
        <v/>
      </c>
      <c r="E4332" s="20" t="str">
        <f>IF($C4332="","",IF(Registro_Compras!$F$484="RHE",(ROUND(Registro_Compras!$L$484*Registro_Compras!$N$484,2)-ROUND(Registro_Compras!$V$484*Registro_Compras!$N$484,2)),ROUND(Registro_Compras!$O$484-Registro_Compras!$S$484,2)))</f>
        <v/>
      </c>
      <c r="F4332" s="20" t="str">
        <f>""</f>
        <v/>
      </c>
      <c r="G4332" t="str">
        <f>IF($C4332="","","Por la cancelacion del saldo al proveedor")</f>
        <v/>
      </c>
      <c r="H4332" t="str">
        <f>IF($C4332="","",Registro_Compras!$C$484)</f>
        <v/>
      </c>
    </row>
    <row r="4333" spans="1:8" x14ac:dyDescent="0.25">
      <c r="A4333" s="25" t="str">
        <f>IF($C4333="","",Registro_Compras!$Y$484)</f>
        <v/>
      </c>
      <c r="B4333" t="str">
        <f>IF($C4333="","","C"&amp;TEXT(INT((ROW()-5)/9)+1,"000")&amp;"-4")</f>
        <v/>
      </c>
      <c r="C4333" t="str">
        <f>IF(OR(Registro_Compras!$C$484="",Registro_Compras!$O$484="",Registro_Compras!$Y$484="",Registro_Compras!$F$484="NOTA DE CREDITO"),"","1041")</f>
        <v/>
      </c>
      <c r="D4333" t="str">
        <f>IF(OR(Registro_Compras!$C$484="",Registro_Compras!$O$484=""),"","Efectivo y Equivalentes - Cta. Cte. Operativa")</f>
        <v/>
      </c>
      <c r="E4333" s="20" t="str">
        <f>""</f>
        <v/>
      </c>
      <c r="F4333" s="20" t="str">
        <f>IF($C4333="","",IF(Registro_Compras!$F$484="RHE",(ROUND(Registro_Compras!$L$484*Registro_Compras!$N$484,2)-ROUND(Registro_Compras!$V$484*Registro_Compras!$N$484,2)),ROUND(Registro_Compras!$O$484-Registro_Compras!$S$484,2)))</f>
        <v/>
      </c>
      <c r="G4333" t="str">
        <f>IF($C4333="","","Por la cancelacion del saldo al proveedor")</f>
        <v/>
      </c>
      <c r="H4333" t="str">
        <f>IF($C4333="","",Registro_Compras!$C$484)</f>
        <v/>
      </c>
    </row>
    <row r="4334" spans="1:8" x14ac:dyDescent="0.25">
      <c r="A4334" s="25" t="str">
        <f>IF($C4334="","",Registro_Compras!$B$485)</f>
        <v/>
      </c>
      <c r="B4334" t="str">
        <f>IF($C4334="","","C"&amp;TEXT(INT((ROW()-5)/9)+1,"000")&amp;"-1")</f>
        <v/>
      </c>
      <c r="C4334" t="str">
        <f>IF(OR(Registro_Compras!$C$485="",Registro_Compras!$O$485=""),"",IF(Registro_Compras!$F$485="NOTA DE CREDITO","4212",IF(Registro_Compras!$M$485="","63",Registro_Compras!$M$485)))</f>
        <v/>
      </c>
      <c r="D4334" t="str">
        <f>IF(OR(Registro_Compras!$C$485="",Registro_Compras!$O$485=""),"",IF(Registro_Compras!$F$485="NOTA DE CREDITO","Cuentas por Pagar Comerciales - Terceros (Emitidas)",IF(Registro_Compras!$F$485="RHE","Honorarios Profesionales - Servicios de Terceros","Gastos de Servicios Prestados por Terceros")))</f>
        <v/>
      </c>
      <c r="E4334" s="20" t="str">
        <f>IF($C4334="","",IF(Registro_Compras!$F$485="NOTA DE CREDITO",ABS(Registro_Compras!$O$485),IF(Registro_Compras!$F$485="RHE",ROUND(Registro_Compras!$L$485*Registro_Compras!$N$485,2),ROUND(Registro_Compras!$J$485*Registro_Compras!$N$485,2))))</f>
        <v/>
      </c>
      <c r="F4334" s="20" t="str">
        <f>""</f>
        <v/>
      </c>
      <c r="G4334" t="str">
        <f>IF($C4334="","",IF(Registro_Compras!$F$485="NOTA DE CREDITO","Por la nota de credito "&amp;Registro_Compras!$C$485&amp;" de "&amp;Registro_Compras!$E$485&amp;" [PATRON POR CONFIRMAR CON CONTADOR]",IF(Registro_Compras!$F$485="RHE","Por el registro del recibo por honorarios "&amp;Registro_Compras!$C$485&amp;" de "&amp;Registro_Compras!$E$485&amp;" [PATRON POR CONFIRMAR CON CONTADOR]","Por el registro de la factura "&amp;Registro_Compras!$C$485&amp;" de "&amp;Registro_Compras!$E$485)))</f>
        <v/>
      </c>
      <c r="H4334" t="str">
        <f>IF($C4334="","",Registro_Compras!$C$485)</f>
        <v/>
      </c>
    </row>
    <row r="4335" spans="1:8" x14ac:dyDescent="0.25">
      <c r="A4335" s="25" t="str">
        <f>IF($C4335="","",Registro_Compras!$B$485)</f>
        <v/>
      </c>
      <c r="B4335" t="str">
        <f>IF($C4335="","","C"&amp;TEXT(INT((ROW()-5)/9)+1,"000")&amp;"-1")</f>
        <v/>
      </c>
      <c r="C4335" t="str">
        <f>IF(OR(Registro_Compras!$C$485="",Registro_Compras!$O$485=""),"",IF(Registro_Compras!$F$485="RHE",IF(Registro_Compras!$V$485=0,"","4017"),IF(Registro_Compras!$F$485="NOTA DE CREDITO",IF(Registro_Compras!$M$485="","63",Registro_Compras!$M$485),IF(Registro_Compras!$K$485=0,"","40111"))))</f>
        <v/>
      </c>
      <c r="D4335" t="str">
        <f>IF(OR(Registro_Compras!$C$485="",Registro_Compras!$O$485=""),"",IF(Registro_Compras!$F$485="RHE","Retencion Renta 4ta Categoria por Pagar",IF(Registro_Compras!$F$485="NOTA DE CREDITO","Gastos de Servicios Prestados por Terceros","IGV - Cuenta Propia (Credito Fiscal)")))</f>
        <v/>
      </c>
      <c r="E4335" s="20" t="str">
        <f>IF($C4335="","",IF(Registro_Compras!$F$485="FACTURA",ROUND(Registro_Compras!$K$485*Registro_Compras!$N$485,2),""))</f>
        <v/>
      </c>
      <c r="F4335" s="20" t="str">
        <f>IF($C4335="","",IF(Registro_Compras!$F$485="RHE",ROUND(Registro_Compras!$V$485*Registro_Compras!$N$485,2),IF(Registro_Compras!$F$485="NOTA DE CREDITO",ROUND(ABS(Registro_Compras!$J$485*Registro_Compras!$N$485),2),"")))</f>
        <v/>
      </c>
      <c r="G4335" t="str">
        <f>IF($C4335="","",IF(Registro_Compras!$F$485="NOTA DE CREDITO","Por la nota de credito "&amp;Registro_Compras!$C$485&amp;" de "&amp;Registro_Compras!$E$485&amp;" [PATRON POR CONFIRMAR CON CONTADOR]",IF(Registro_Compras!$F$485="RHE","Por el registro del recibo por honorarios "&amp;Registro_Compras!$C$485&amp;" de "&amp;Registro_Compras!$E$485&amp;" [PATRON POR CONFIRMAR CON CONTADOR]","Por el registro de la factura "&amp;Registro_Compras!$C$485&amp;" de "&amp;Registro_Compras!$E$485)))</f>
        <v/>
      </c>
      <c r="H4335" t="str">
        <f>IF($C4335="","",Registro_Compras!$C$485)</f>
        <v/>
      </c>
    </row>
    <row r="4336" spans="1:8" x14ac:dyDescent="0.25">
      <c r="A4336" s="25" t="str">
        <f>IF($C4336="","",Registro_Compras!$B$485)</f>
        <v/>
      </c>
      <c r="B4336" t="str">
        <f>IF($C4336="","","C"&amp;TEXT(INT((ROW()-5)/9)+1,"000")&amp;"-1")</f>
        <v/>
      </c>
      <c r="C4336" t="str">
        <f>IF(OR(Registro_Compras!$C$485="",Registro_Compras!$O$485=""),"",IF(Registro_Compras!$F$485="NOTA DE CREDITO",IF(Registro_Compras!$K$485=0,"","40111"),"4212"))</f>
        <v/>
      </c>
      <c r="D4336" t="str">
        <f>IF(OR(Registro_Compras!$C$485="",Registro_Compras!$O$485=""),"",IF(Registro_Compras!$F$485="NOTA DE CREDITO","IGV - Cuenta Propia (Credito Fiscal)","Cuentas por Pagar Comerciales - Terceros (Emitidas)"))</f>
        <v/>
      </c>
      <c r="E4336" s="20" t="str">
        <f>""</f>
        <v/>
      </c>
      <c r="F4336" s="20" t="str">
        <f>IF($C4336="","",IF(Registro_Compras!$F$485="NOTA DE CREDITO",ROUND(ABS(Registro_Compras!$K$485*Registro_Compras!$N$485),2),IF(Registro_Compras!$F$485="RHE",(ROUND(Registro_Compras!$L$485*Registro_Compras!$N$485,2)-ROUND(Registro_Compras!$V$485*Registro_Compras!$N$485,2)),Registro_Compras!$O$485)))</f>
        <v/>
      </c>
      <c r="G4336" t="str">
        <f>IF($C4336="","",IF(Registro_Compras!$F$485="NOTA DE CREDITO","Por la nota de credito "&amp;Registro_Compras!$C$485&amp;" de "&amp;Registro_Compras!$E$485&amp;" [PATRON POR CONFIRMAR CON CONTADOR]",IF(Registro_Compras!$F$485="RHE","Por el registro del recibo por honorarios "&amp;Registro_Compras!$C$485&amp;" de "&amp;Registro_Compras!$E$485&amp;" [PATRON POR CONFIRMAR CON CONTADOR]","Por el registro de la factura "&amp;Registro_Compras!$C$485&amp;" de "&amp;Registro_Compras!$E$485)))</f>
        <v/>
      </c>
      <c r="H4336" t="str">
        <f>IF($C4336="","",Registro_Compras!$C$485)</f>
        <v/>
      </c>
    </row>
    <row r="4337" spans="1:8" x14ac:dyDescent="0.25">
      <c r="A4337" s="25" t="str">
        <f>IF($C4337="","",Registro_Compras!$B$485)</f>
        <v/>
      </c>
      <c r="B4337" t="str">
        <f>IF($C4337="","","C"&amp;TEXT(INT((ROW()-5)/9)+1,"000")&amp;"-2")</f>
        <v/>
      </c>
      <c r="C4337" t="str">
        <f>IF(OR(Registro_Compras!$C$485="",Registro_Compras!$O$485=""),"",IF(Registro_Compras!$AB$485="ADMINISTRATIVO","94","95"))</f>
        <v/>
      </c>
      <c r="D4337" t="str">
        <f>IF(OR(Registro_Compras!$C$485="",Registro_Compras!$O$485=""),"",IF(Registro_Compras!$AB$485="ADMINISTRATIVO","Gastos Administrativos","Gastos de Venta y Operacion"))</f>
        <v/>
      </c>
      <c r="E4337" s="20" t="str">
        <f>IF($C4337="","",IF(Registro_Compras!$F$485="NOTA DE CREDITO","",IF(Registro_Compras!$F$485="RHE",ROUND(Registro_Compras!$L$485*Registro_Compras!$N$485,2),ROUND(Registro_Compras!$J$485*Registro_Compras!$N$485,2))))</f>
        <v/>
      </c>
      <c r="F4337" s="20" t="str">
        <f>IF($C4337="","",IF(Registro_Compras!$F$485="NOTA DE CREDITO",ROUND(ABS(Registro_Compras!$J$485*Registro_Compras!$N$485),2),""))</f>
        <v/>
      </c>
      <c r="G4337" t="str">
        <f>IF($C4337="","","Por el destino del gasto")</f>
        <v/>
      </c>
      <c r="H4337" t="str">
        <f>IF($C4337="","",Registro_Compras!$C$485)</f>
        <v/>
      </c>
    </row>
    <row r="4338" spans="1:8" x14ac:dyDescent="0.25">
      <c r="A4338" s="25" t="str">
        <f>IF($C4338="","",Registro_Compras!$B$485)</f>
        <v/>
      </c>
      <c r="B4338" t="str">
        <f>IF($C4338="","","C"&amp;TEXT(INT((ROW()-5)/9)+1,"000")&amp;"-2")</f>
        <v/>
      </c>
      <c r="C4338" t="str">
        <f>IF(OR(Registro_Compras!$C$485="",Registro_Compras!$O$485=""),"","79/791")</f>
        <v/>
      </c>
      <c r="D4338" t="str">
        <f>IF(OR(Registro_Compras!$C$485="",Registro_Compras!$O$485=""),"","Cargas Imputables a Cuentas de Costos y Gastos")</f>
        <v/>
      </c>
      <c r="E4338" s="20" t="str">
        <f>IF($C4338="","",IF(Registro_Compras!$F$485="NOTA DE CREDITO",ROUND(ABS(Registro_Compras!$J$485*Registro_Compras!$N$485),2),""))</f>
        <v/>
      </c>
      <c r="F4338" s="20" t="str">
        <f>IF($C4338="","",IF(Registro_Compras!$F$485="NOTA DE CREDITO","",IF(Registro_Compras!$F$485="RHE",ROUND(Registro_Compras!$L$485*Registro_Compras!$N$485,2),ROUND(Registro_Compras!$J$485*Registro_Compras!$N$485,2))))</f>
        <v/>
      </c>
      <c r="G4338" t="str">
        <f>IF($C4338="","","Por el destino del gasto")</f>
        <v/>
      </c>
      <c r="H4338" t="str">
        <f>IF($C4338="","",Registro_Compras!$C$485)</f>
        <v/>
      </c>
    </row>
    <row r="4339" spans="1:8" x14ac:dyDescent="0.25">
      <c r="A4339" s="25" t="str">
        <f>IF($C4339="","",Registro_Compras!$X$485)</f>
        <v/>
      </c>
      <c r="B4339" t="str">
        <f>IF($C4339="","","C"&amp;TEXT(INT((ROW()-5)/9)+1,"000")&amp;"-3")</f>
        <v/>
      </c>
      <c r="C4339" t="str">
        <f>IF(OR(Registro_Compras!$C$485="",Registro_Compras!$O$485="",Registro_Compras!$R$485&lt;&gt;"SI",Registro_Compras!$X$485=""),"","4212")</f>
        <v/>
      </c>
      <c r="D4339" t="str">
        <f>IF(OR(Registro_Compras!$C$485="",Registro_Compras!$O$485=""),"","Cuentas por Pagar Comerciales - Terceros")</f>
        <v/>
      </c>
      <c r="E4339" s="20" t="str">
        <f>IF($C4339="","",Registro_Compras!$S$485)</f>
        <v/>
      </c>
      <c r="F4339" s="20" t="str">
        <f>""</f>
        <v/>
      </c>
      <c r="G4339" t="str">
        <f>IF($C4339="","","Por el deposito de la detraccion en el Banco de la Nacion")</f>
        <v/>
      </c>
      <c r="H4339" t="str">
        <f>IF($C4339="","",Registro_Compras!$C$485)</f>
        <v/>
      </c>
    </row>
    <row r="4340" spans="1:8" x14ac:dyDescent="0.25">
      <c r="A4340" s="25" t="str">
        <f>IF($C4340="","",Registro_Compras!$X$485)</f>
        <v/>
      </c>
      <c r="B4340" t="str">
        <f>IF($C4340="","","C"&amp;TEXT(INT((ROW()-5)/9)+1,"000")&amp;"-3")</f>
        <v/>
      </c>
      <c r="C4340" t="str">
        <f>IF(OR(Registro_Compras!$C$485="",Registro_Compras!$O$485="",Registro_Compras!$R$485&lt;&gt;"SI",Registro_Compras!$X$485=""),"","1041")</f>
        <v/>
      </c>
      <c r="D4340" t="str">
        <f>IF(OR(Registro_Compras!$C$485="",Registro_Compras!$O$485=""),"","Efectivo y Equivalentes - Cta. Cte. Operativa")</f>
        <v/>
      </c>
      <c r="E4340" s="20" t="str">
        <f>""</f>
        <v/>
      </c>
      <c r="F4340" s="20" t="str">
        <f>IF($C4340="","",Registro_Compras!$S$485)</f>
        <v/>
      </c>
      <c r="G4340" t="str">
        <f>IF($C4340="","","Por el deposito de la detraccion en el Banco de la Nacion")</f>
        <v/>
      </c>
      <c r="H4340" t="str">
        <f>IF($C4340="","",Registro_Compras!$C$485)</f>
        <v/>
      </c>
    </row>
    <row r="4341" spans="1:8" x14ac:dyDescent="0.25">
      <c r="A4341" s="25" t="str">
        <f>IF($C4341="","",Registro_Compras!$Y$485)</f>
        <v/>
      </c>
      <c r="B4341" t="str">
        <f>IF($C4341="","","C"&amp;TEXT(INT((ROW()-5)/9)+1,"000")&amp;"-4")</f>
        <v/>
      </c>
      <c r="C4341" t="str">
        <f>IF(OR(Registro_Compras!$C$485="",Registro_Compras!$O$485="",Registro_Compras!$Y$485="",Registro_Compras!$F$485="NOTA DE CREDITO"),"","4212")</f>
        <v/>
      </c>
      <c r="D4341" t="str">
        <f>IF(OR(Registro_Compras!$C$485="",Registro_Compras!$O$485=""),"","Cuentas por Pagar Comerciales - Terceros")</f>
        <v/>
      </c>
      <c r="E4341" s="20" t="str">
        <f>IF($C4341="","",IF(Registro_Compras!$F$485="RHE",(ROUND(Registro_Compras!$L$485*Registro_Compras!$N$485,2)-ROUND(Registro_Compras!$V$485*Registro_Compras!$N$485,2)),ROUND(Registro_Compras!$O$485-Registro_Compras!$S$485,2)))</f>
        <v/>
      </c>
      <c r="F4341" s="20" t="str">
        <f>""</f>
        <v/>
      </c>
      <c r="G4341" t="str">
        <f>IF($C4341="","","Por la cancelacion del saldo al proveedor")</f>
        <v/>
      </c>
      <c r="H4341" t="str">
        <f>IF($C4341="","",Registro_Compras!$C$485)</f>
        <v/>
      </c>
    </row>
    <row r="4342" spans="1:8" x14ac:dyDescent="0.25">
      <c r="A4342" s="25" t="str">
        <f>IF($C4342="","",Registro_Compras!$Y$485)</f>
        <v/>
      </c>
      <c r="B4342" t="str">
        <f>IF($C4342="","","C"&amp;TEXT(INT((ROW()-5)/9)+1,"000")&amp;"-4")</f>
        <v/>
      </c>
      <c r="C4342" t="str">
        <f>IF(OR(Registro_Compras!$C$485="",Registro_Compras!$O$485="",Registro_Compras!$Y$485="",Registro_Compras!$F$485="NOTA DE CREDITO"),"","1041")</f>
        <v/>
      </c>
      <c r="D4342" t="str">
        <f>IF(OR(Registro_Compras!$C$485="",Registro_Compras!$O$485=""),"","Efectivo y Equivalentes - Cta. Cte. Operativa")</f>
        <v/>
      </c>
      <c r="E4342" s="20" t="str">
        <f>""</f>
        <v/>
      </c>
      <c r="F4342" s="20" t="str">
        <f>IF($C4342="","",IF(Registro_Compras!$F$485="RHE",(ROUND(Registro_Compras!$L$485*Registro_Compras!$N$485,2)-ROUND(Registro_Compras!$V$485*Registro_Compras!$N$485,2)),ROUND(Registro_Compras!$O$485-Registro_Compras!$S$485,2)))</f>
        <v/>
      </c>
      <c r="G4342" t="str">
        <f>IF($C4342="","","Por la cancelacion del saldo al proveedor")</f>
        <v/>
      </c>
      <c r="H4342" t="str">
        <f>IF($C4342="","",Registro_Compras!$C$485)</f>
        <v/>
      </c>
    </row>
    <row r="4343" spans="1:8" x14ac:dyDescent="0.25">
      <c r="A4343" s="25" t="str">
        <f>IF($C4343="","",Registro_Compras!$B$486)</f>
        <v/>
      </c>
      <c r="B4343" t="str">
        <f>IF($C4343="","","C"&amp;TEXT(INT((ROW()-5)/9)+1,"000")&amp;"-1")</f>
        <v/>
      </c>
      <c r="C4343" t="str">
        <f>IF(OR(Registro_Compras!$C$486="",Registro_Compras!$O$486=""),"",IF(Registro_Compras!$F$486="NOTA DE CREDITO","4212",IF(Registro_Compras!$M$486="","63",Registro_Compras!$M$486)))</f>
        <v/>
      </c>
      <c r="D4343" t="str">
        <f>IF(OR(Registro_Compras!$C$486="",Registro_Compras!$O$486=""),"",IF(Registro_Compras!$F$486="NOTA DE CREDITO","Cuentas por Pagar Comerciales - Terceros (Emitidas)",IF(Registro_Compras!$F$486="RHE","Honorarios Profesionales - Servicios de Terceros","Gastos de Servicios Prestados por Terceros")))</f>
        <v/>
      </c>
      <c r="E4343" s="20" t="str">
        <f>IF($C4343="","",IF(Registro_Compras!$F$486="NOTA DE CREDITO",ABS(Registro_Compras!$O$486),IF(Registro_Compras!$F$486="RHE",ROUND(Registro_Compras!$L$486*Registro_Compras!$N$486,2),ROUND(Registro_Compras!$J$486*Registro_Compras!$N$486,2))))</f>
        <v/>
      </c>
      <c r="F4343" s="20" t="str">
        <f>""</f>
        <v/>
      </c>
      <c r="G4343" t="str">
        <f>IF($C4343="","",IF(Registro_Compras!$F$486="NOTA DE CREDITO","Por la nota de credito "&amp;Registro_Compras!$C$486&amp;" de "&amp;Registro_Compras!$E$486&amp;" [PATRON POR CONFIRMAR CON CONTADOR]",IF(Registro_Compras!$F$486="RHE","Por el registro del recibo por honorarios "&amp;Registro_Compras!$C$486&amp;" de "&amp;Registro_Compras!$E$486&amp;" [PATRON POR CONFIRMAR CON CONTADOR]","Por el registro de la factura "&amp;Registro_Compras!$C$486&amp;" de "&amp;Registro_Compras!$E$486)))</f>
        <v/>
      </c>
      <c r="H4343" t="str">
        <f>IF($C4343="","",Registro_Compras!$C$486)</f>
        <v/>
      </c>
    </row>
    <row r="4344" spans="1:8" x14ac:dyDescent="0.25">
      <c r="A4344" s="25" t="str">
        <f>IF($C4344="","",Registro_Compras!$B$486)</f>
        <v/>
      </c>
      <c r="B4344" t="str">
        <f>IF($C4344="","","C"&amp;TEXT(INT((ROW()-5)/9)+1,"000")&amp;"-1")</f>
        <v/>
      </c>
      <c r="C4344" t="str">
        <f>IF(OR(Registro_Compras!$C$486="",Registro_Compras!$O$486=""),"",IF(Registro_Compras!$F$486="RHE",IF(Registro_Compras!$V$486=0,"","4017"),IF(Registro_Compras!$F$486="NOTA DE CREDITO",IF(Registro_Compras!$M$486="","63",Registro_Compras!$M$486),IF(Registro_Compras!$K$486=0,"","40111"))))</f>
        <v/>
      </c>
      <c r="D4344" t="str">
        <f>IF(OR(Registro_Compras!$C$486="",Registro_Compras!$O$486=""),"",IF(Registro_Compras!$F$486="RHE","Retencion Renta 4ta Categoria por Pagar",IF(Registro_Compras!$F$486="NOTA DE CREDITO","Gastos de Servicios Prestados por Terceros","IGV - Cuenta Propia (Credito Fiscal)")))</f>
        <v/>
      </c>
      <c r="E4344" s="20" t="str">
        <f>IF($C4344="","",IF(Registro_Compras!$F$486="FACTURA",ROUND(Registro_Compras!$K$486*Registro_Compras!$N$486,2),""))</f>
        <v/>
      </c>
      <c r="F4344" s="20" t="str">
        <f>IF($C4344="","",IF(Registro_Compras!$F$486="RHE",ROUND(Registro_Compras!$V$486*Registro_Compras!$N$486,2),IF(Registro_Compras!$F$486="NOTA DE CREDITO",ROUND(ABS(Registro_Compras!$J$486*Registro_Compras!$N$486),2),"")))</f>
        <v/>
      </c>
      <c r="G4344" t="str">
        <f>IF($C4344="","",IF(Registro_Compras!$F$486="NOTA DE CREDITO","Por la nota de credito "&amp;Registro_Compras!$C$486&amp;" de "&amp;Registro_Compras!$E$486&amp;" [PATRON POR CONFIRMAR CON CONTADOR]",IF(Registro_Compras!$F$486="RHE","Por el registro del recibo por honorarios "&amp;Registro_Compras!$C$486&amp;" de "&amp;Registro_Compras!$E$486&amp;" [PATRON POR CONFIRMAR CON CONTADOR]","Por el registro de la factura "&amp;Registro_Compras!$C$486&amp;" de "&amp;Registro_Compras!$E$486)))</f>
        <v/>
      </c>
      <c r="H4344" t="str">
        <f>IF($C4344="","",Registro_Compras!$C$486)</f>
        <v/>
      </c>
    </row>
    <row r="4345" spans="1:8" x14ac:dyDescent="0.25">
      <c r="A4345" s="25" t="str">
        <f>IF($C4345="","",Registro_Compras!$B$486)</f>
        <v/>
      </c>
      <c r="B4345" t="str">
        <f>IF($C4345="","","C"&amp;TEXT(INT((ROW()-5)/9)+1,"000")&amp;"-1")</f>
        <v/>
      </c>
      <c r="C4345" t="str">
        <f>IF(OR(Registro_Compras!$C$486="",Registro_Compras!$O$486=""),"",IF(Registro_Compras!$F$486="NOTA DE CREDITO",IF(Registro_Compras!$K$486=0,"","40111"),"4212"))</f>
        <v/>
      </c>
      <c r="D4345" t="str">
        <f>IF(OR(Registro_Compras!$C$486="",Registro_Compras!$O$486=""),"",IF(Registro_Compras!$F$486="NOTA DE CREDITO","IGV - Cuenta Propia (Credito Fiscal)","Cuentas por Pagar Comerciales - Terceros (Emitidas)"))</f>
        <v/>
      </c>
      <c r="E4345" s="20" t="str">
        <f>""</f>
        <v/>
      </c>
      <c r="F4345" s="20" t="str">
        <f>IF($C4345="","",IF(Registro_Compras!$F$486="NOTA DE CREDITO",ROUND(ABS(Registro_Compras!$K$486*Registro_Compras!$N$486),2),IF(Registro_Compras!$F$486="RHE",(ROUND(Registro_Compras!$L$486*Registro_Compras!$N$486,2)-ROUND(Registro_Compras!$V$486*Registro_Compras!$N$486,2)),Registro_Compras!$O$486)))</f>
        <v/>
      </c>
      <c r="G4345" t="str">
        <f>IF($C4345="","",IF(Registro_Compras!$F$486="NOTA DE CREDITO","Por la nota de credito "&amp;Registro_Compras!$C$486&amp;" de "&amp;Registro_Compras!$E$486&amp;" [PATRON POR CONFIRMAR CON CONTADOR]",IF(Registro_Compras!$F$486="RHE","Por el registro del recibo por honorarios "&amp;Registro_Compras!$C$486&amp;" de "&amp;Registro_Compras!$E$486&amp;" [PATRON POR CONFIRMAR CON CONTADOR]","Por el registro de la factura "&amp;Registro_Compras!$C$486&amp;" de "&amp;Registro_Compras!$E$486)))</f>
        <v/>
      </c>
      <c r="H4345" t="str">
        <f>IF($C4345="","",Registro_Compras!$C$486)</f>
        <v/>
      </c>
    </row>
    <row r="4346" spans="1:8" x14ac:dyDescent="0.25">
      <c r="A4346" s="25" t="str">
        <f>IF($C4346="","",Registro_Compras!$B$486)</f>
        <v/>
      </c>
      <c r="B4346" t="str">
        <f>IF($C4346="","","C"&amp;TEXT(INT((ROW()-5)/9)+1,"000")&amp;"-2")</f>
        <v/>
      </c>
      <c r="C4346" t="str">
        <f>IF(OR(Registro_Compras!$C$486="",Registro_Compras!$O$486=""),"",IF(Registro_Compras!$AB$486="ADMINISTRATIVO","94","95"))</f>
        <v/>
      </c>
      <c r="D4346" t="str">
        <f>IF(OR(Registro_Compras!$C$486="",Registro_Compras!$O$486=""),"",IF(Registro_Compras!$AB$486="ADMINISTRATIVO","Gastos Administrativos","Gastos de Venta y Operacion"))</f>
        <v/>
      </c>
      <c r="E4346" s="20" t="str">
        <f>IF($C4346="","",IF(Registro_Compras!$F$486="NOTA DE CREDITO","",IF(Registro_Compras!$F$486="RHE",ROUND(Registro_Compras!$L$486*Registro_Compras!$N$486,2),ROUND(Registro_Compras!$J$486*Registro_Compras!$N$486,2))))</f>
        <v/>
      </c>
      <c r="F4346" s="20" t="str">
        <f>IF($C4346="","",IF(Registro_Compras!$F$486="NOTA DE CREDITO",ROUND(ABS(Registro_Compras!$J$486*Registro_Compras!$N$486),2),""))</f>
        <v/>
      </c>
      <c r="G4346" t="str">
        <f>IF($C4346="","","Por el destino del gasto")</f>
        <v/>
      </c>
      <c r="H4346" t="str">
        <f>IF($C4346="","",Registro_Compras!$C$486)</f>
        <v/>
      </c>
    </row>
    <row r="4347" spans="1:8" x14ac:dyDescent="0.25">
      <c r="A4347" s="25" t="str">
        <f>IF($C4347="","",Registro_Compras!$B$486)</f>
        <v/>
      </c>
      <c r="B4347" t="str">
        <f>IF($C4347="","","C"&amp;TEXT(INT((ROW()-5)/9)+1,"000")&amp;"-2")</f>
        <v/>
      </c>
      <c r="C4347" t="str">
        <f>IF(OR(Registro_Compras!$C$486="",Registro_Compras!$O$486=""),"","79/791")</f>
        <v/>
      </c>
      <c r="D4347" t="str">
        <f>IF(OR(Registro_Compras!$C$486="",Registro_Compras!$O$486=""),"","Cargas Imputables a Cuentas de Costos y Gastos")</f>
        <v/>
      </c>
      <c r="E4347" s="20" t="str">
        <f>IF($C4347="","",IF(Registro_Compras!$F$486="NOTA DE CREDITO",ROUND(ABS(Registro_Compras!$J$486*Registro_Compras!$N$486),2),""))</f>
        <v/>
      </c>
      <c r="F4347" s="20" t="str">
        <f>IF($C4347="","",IF(Registro_Compras!$F$486="NOTA DE CREDITO","",IF(Registro_Compras!$F$486="RHE",ROUND(Registro_Compras!$L$486*Registro_Compras!$N$486,2),ROUND(Registro_Compras!$J$486*Registro_Compras!$N$486,2))))</f>
        <v/>
      </c>
      <c r="G4347" t="str">
        <f>IF($C4347="","","Por el destino del gasto")</f>
        <v/>
      </c>
      <c r="H4347" t="str">
        <f>IF($C4347="","",Registro_Compras!$C$486)</f>
        <v/>
      </c>
    </row>
    <row r="4348" spans="1:8" x14ac:dyDescent="0.25">
      <c r="A4348" s="25" t="str">
        <f>IF($C4348="","",Registro_Compras!$X$486)</f>
        <v/>
      </c>
      <c r="B4348" t="str">
        <f>IF($C4348="","","C"&amp;TEXT(INT((ROW()-5)/9)+1,"000")&amp;"-3")</f>
        <v/>
      </c>
      <c r="C4348" t="str">
        <f>IF(OR(Registro_Compras!$C$486="",Registro_Compras!$O$486="",Registro_Compras!$R$486&lt;&gt;"SI",Registro_Compras!$X$486=""),"","4212")</f>
        <v/>
      </c>
      <c r="D4348" t="str">
        <f>IF(OR(Registro_Compras!$C$486="",Registro_Compras!$O$486=""),"","Cuentas por Pagar Comerciales - Terceros")</f>
        <v/>
      </c>
      <c r="E4348" s="20" t="str">
        <f>IF($C4348="","",Registro_Compras!$S$486)</f>
        <v/>
      </c>
      <c r="F4348" s="20" t="str">
        <f>""</f>
        <v/>
      </c>
      <c r="G4348" t="str">
        <f>IF($C4348="","","Por el deposito de la detraccion en el Banco de la Nacion")</f>
        <v/>
      </c>
      <c r="H4348" t="str">
        <f>IF($C4348="","",Registro_Compras!$C$486)</f>
        <v/>
      </c>
    </row>
    <row r="4349" spans="1:8" x14ac:dyDescent="0.25">
      <c r="A4349" s="25" t="str">
        <f>IF($C4349="","",Registro_Compras!$X$486)</f>
        <v/>
      </c>
      <c r="B4349" t="str">
        <f>IF($C4349="","","C"&amp;TEXT(INT((ROW()-5)/9)+1,"000")&amp;"-3")</f>
        <v/>
      </c>
      <c r="C4349" t="str">
        <f>IF(OR(Registro_Compras!$C$486="",Registro_Compras!$O$486="",Registro_Compras!$R$486&lt;&gt;"SI",Registro_Compras!$X$486=""),"","1041")</f>
        <v/>
      </c>
      <c r="D4349" t="str">
        <f>IF(OR(Registro_Compras!$C$486="",Registro_Compras!$O$486=""),"","Efectivo y Equivalentes - Cta. Cte. Operativa")</f>
        <v/>
      </c>
      <c r="E4349" s="20" t="str">
        <f>""</f>
        <v/>
      </c>
      <c r="F4349" s="20" t="str">
        <f>IF($C4349="","",Registro_Compras!$S$486)</f>
        <v/>
      </c>
      <c r="G4349" t="str">
        <f>IF($C4349="","","Por el deposito de la detraccion en el Banco de la Nacion")</f>
        <v/>
      </c>
      <c r="H4349" t="str">
        <f>IF($C4349="","",Registro_Compras!$C$486)</f>
        <v/>
      </c>
    </row>
    <row r="4350" spans="1:8" x14ac:dyDescent="0.25">
      <c r="A4350" s="25" t="str">
        <f>IF($C4350="","",Registro_Compras!$Y$486)</f>
        <v/>
      </c>
      <c r="B4350" t="str">
        <f>IF($C4350="","","C"&amp;TEXT(INT((ROW()-5)/9)+1,"000")&amp;"-4")</f>
        <v/>
      </c>
      <c r="C4350" t="str">
        <f>IF(OR(Registro_Compras!$C$486="",Registro_Compras!$O$486="",Registro_Compras!$Y$486="",Registro_Compras!$F$486="NOTA DE CREDITO"),"","4212")</f>
        <v/>
      </c>
      <c r="D4350" t="str">
        <f>IF(OR(Registro_Compras!$C$486="",Registro_Compras!$O$486=""),"","Cuentas por Pagar Comerciales - Terceros")</f>
        <v/>
      </c>
      <c r="E4350" s="20" t="str">
        <f>IF($C4350="","",IF(Registro_Compras!$F$486="RHE",(ROUND(Registro_Compras!$L$486*Registro_Compras!$N$486,2)-ROUND(Registro_Compras!$V$486*Registro_Compras!$N$486,2)),ROUND(Registro_Compras!$O$486-Registro_Compras!$S$486,2)))</f>
        <v/>
      </c>
      <c r="F4350" s="20" t="str">
        <f>""</f>
        <v/>
      </c>
      <c r="G4350" t="str">
        <f>IF($C4350="","","Por la cancelacion del saldo al proveedor")</f>
        <v/>
      </c>
      <c r="H4350" t="str">
        <f>IF($C4350="","",Registro_Compras!$C$486)</f>
        <v/>
      </c>
    </row>
    <row r="4351" spans="1:8" x14ac:dyDescent="0.25">
      <c r="A4351" s="25" t="str">
        <f>IF($C4351="","",Registro_Compras!$Y$486)</f>
        <v/>
      </c>
      <c r="B4351" t="str">
        <f>IF($C4351="","","C"&amp;TEXT(INT((ROW()-5)/9)+1,"000")&amp;"-4")</f>
        <v/>
      </c>
      <c r="C4351" t="str">
        <f>IF(OR(Registro_Compras!$C$486="",Registro_Compras!$O$486="",Registro_Compras!$Y$486="",Registro_Compras!$F$486="NOTA DE CREDITO"),"","1041")</f>
        <v/>
      </c>
      <c r="D4351" t="str">
        <f>IF(OR(Registro_Compras!$C$486="",Registro_Compras!$O$486=""),"","Efectivo y Equivalentes - Cta. Cte. Operativa")</f>
        <v/>
      </c>
      <c r="E4351" s="20" t="str">
        <f>""</f>
        <v/>
      </c>
      <c r="F4351" s="20" t="str">
        <f>IF($C4351="","",IF(Registro_Compras!$F$486="RHE",(ROUND(Registro_Compras!$L$486*Registro_Compras!$N$486,2)-ROUND(Registro_Compras!$V$486*Registro_Compras!$N$486,2)),ROUND(Registro_Compras!$O$486-Registro_Compras!$S$486,2)))</f>
        <v/>
      </c>
      <c r="G4351" t="str">
        <f>IF($C4351="","","Por la cancelacion del saldo al proveedor")</f>
        <v/>
      </c>
      <c r="H4351" t="str">
        <f>IF($C4351="","",Registro_Compras!$C$486)</f>
        <v/>
      </c>
    </row>
    <row r="4352" spans="1:8" x14ac:dyDescent="0.25">
      <c r="A4352" s="25" t="str">
        <f>IF($C4352="","",Registro_Compras!$B$487)</f>
        <v/>
      </c>
      <c r="B4352" t="str">
        <f>IF($C4352="","","C"&amp;TEXT(INT((ROW()-5)/9)+1,"000")&amp;"-1")</f>
        <v/>
      </c>
      <c r="C4352" t="str">
        <f>IF(OR(Registro_Compras!$C$487="",Registro_Compras!$O$487=""),"",IF(Registro_Compras!$F$487="NOTA DE CREDITO","4212",IF(Registro_Compras!$M$487="","63",Registro_Compras!$M$487)))</f>
        <v/>
      </c>
      <c r="D4352" t="str">
        <f>IF(OR(Registro_Compras!$C$487="",Registro_Compras!$O$487=""),"",IF(Registro_Compras!$F$487="NOTA DE CREDITO","Cuentas por Pagar Comerciales - Terceros (Emitidas)",IF(Registro_Compras!$F$487="RHE","Honorarios Profesionales - Servicios de Terceros","Gastos de Servicios Prestados por Terceros")))</f>
        <v/>
      </c>
      <c r="E4352" s="20" t="str">
        <f>IF($C4352="","",IF(Registro_Compras!$F$487="NOTA DE CREDITO",ABS(Registro_Compras!$O$487),IF(Registro_Compras!$F$487="RHE",ROUND(Registro_Compras!$L$487*Registro_Compras!$N$487,2),ROUND(Registro_Compras!$J$487*Registro_Compras!$N$487,2))))</f>
        <v/>
      </c>
      <c r="F4352" s="20" t="str">
        <f>""</f>
        <v/>
      </c>
      <c r="G4352" t="str">
        <f>IF($C4352="","",IF(Registro_Compras!$F$487="NOTA DE CREDITO","Por la nota de credito "&amp;Registro_Compras!$C$487&amp;" de "&amp;Registro_Compras!$E$487&amp;" [PATRON POR CONFIRMAR CON CONTADOR]",IF(Registro_Compras!$F$487="RHE","Por el registro del recibo por honorarios "&amp;Registro_Compras!$C$487&amp;" de "&amp;Registro_Compras!$E$487&amp;" [PATRON POR CONFIRMAR CON CONTADOR]","Por el registro de la factura "&amp;Registro_Compras!$C$487&amp;" de "&amp;Registro_Compras!$E$487)))</f>
        <v/>
      </c>
      <c r="H4352" t="str">
        <f>IF($C4352="","",Registro_Compras!$C$487)</f>
        <v/>
      </c>
    </row>
    <row r="4353" spans="1:8" x14ac:dyDescent="0.25">
      <c r="A4353" s="25" t="str">
        <f>IF($C4353="","",Registro_Compras!$B$487)</f>
        <v/>
      </c>
      <c r="B4353" t="str">
        <f>IF($C4353="","","C"&amp;TEXT(INT((ROW()-5)/9)+1,"000")&amp;"-1")</f>
        <v/>
      </c>
      <c r="C4353" t="str">
        <f>IF(OR(Registro_Compras!$C$487="",Registro_Compras!$O$487=""),"",IF(Registro_Compras!$F$487="RHE",IF(Registro_Compras!$V$487=0,"","4017"),IF(Registro_Compras!$F$487="NOTA DE CREDITO",IF(Registro_Compras!$M$487="","63",Registro_Compras!$M$487),IF(Registro_Compras!$K$487=0,"","40111"))))</f>
        <v/>
      </c>
      <c r="D4353" t="str">
        <f>IF(OR(Registro_Compras!$C$487="",Registro_Compras!$O$487=""),"",IF(Registro_Compras!$F$487="RHE","Retencion Renta 4ta Categoria por Pagar",IF(Registro_Compras!$F$487="NOTA DE CREDITO","Gastos de Servicios Prestados por Terceros","IGV - Cuenta Propia (Credito Fiscal)")))</f>
        <v/>
      </c>
      <c r="E4353" s="20" t="str">
        <f>IF($C4353="","",IF(Registro_Compras!$F$487="FACTURA",ROUND(Registro_Compras!$K$487*Registro_Compras!$N$487,2),""))</f>
        <v/>
      </c>
      <c r="F4353" s="20" t="str">
        <f>IF($C4353="","",IF(Registro_Compras!$F$487="RHE",ROUND(Registro_Compras!$V$487*Registro_Compras!$N$487,2),IF(Registro_Compras!$F$487="NOTA DE CREDITO",ROUND(ABS(Registro_Compras!$J$487*Registro_Compras!$N$487),2),"")))</f>
        <v/>
      </c>
      <c r="G4353" t="str">
        <f>IF($C4353="","",IF(Registro_Compras!$F$487="NOTA DE CREDITO","Por la nota de credito "&amp;Registro_Compras!$C$487&amp;" de "&amp;Registro_Compras!$E$487&amp;" [PATRON POR CONFIRMAR CON CONTADOR]",IF(Registro_Compras!$F$487="RHE","Por el registro del recibo por honorarios "&amp;Registro_Compras!$C$487&amp;" de "&amp;Registro_Compras!$E$487&amp;" [PATRON POR CONFIRMAR CON CONTADOR]","Por el registro de la factura "&amp;Registro_Compras!$C$487&amp;" de "&amp;Registro_Compras!$E$487)))</f>
        <v/>
      </c>
      <c r="H4353" t="str">
        <f>IF($C4353="","",Registro_Compras!$C$487)</f>
        <v/>
      </c>
    </row>
    <row r="4354" spans="1:8" x14ac:dyDescent="0.25">
      <c r="A4354" s="25" t="str">
        <f>IF($C4354="","",Registro_Compras!$B$487)</f>
        <v/>
      </c>
      <c r="B4354" t="str">
        <f>IF($C4354="","","C"&amp;TEXT(INT((ROW()-5)/9)+1,"000")&amp;"-1")</f>
        <v/>
      </c>
      <c r="C4354" t="str">
        <f>IF(OR(Registro_Compras!$C$487="",Registro_Compras!$O$487=""),"",IF(Registro_Compras!$F$487="NOTA DE CREDITO",IF(Registro_Compras!$K$487=0,"","40111"),"4212"))</f>
        <v/>
      </c>
      <c r="D4354" t="str">
        <f>IF(OR(Registro_Compras!$C$487="",Registro_Compras!$O$487=""),"",IF(Registro_Compras!$F$487="NOTA DE CREDITO","IGV - Cuenta Propia (Credito Fiscal)","Cuentas por Pagar Comerciales - Terceros (Emitidas)"))</f>
        <v/>
      </c>
      <c r="E4354" s="20" t="str">
        <f>""</f>
        <v/>
      </c>
      <c r="F4354" s="20" t="str">
        <f>IF($C4354="","",IF(Registro_Compras!$F$487="NOTA DE CREDITO",ROUND(ABS(Registro_Compras!$K$487*Registro_Compras!$N$487),2),IF(Registro_Compras!$F$487="RHE",(ROUND(Registro_Compras!$L$487*Registro_Compras!$N$487,2)-ROUND(Registro_Compras!$V$487*Registro_Compras!$N$487,2)),Registro_Compras!$O$487)))</f>
        <v/>
      </c>
      <c r="G4354" t="str">
        <f>IF($C4354="","",IF(Registro_Compras!$F$487="NOTA DE CREDITO","Por la nota de credito "&amp;Registro_Compras!$C$487&amp;" de "&amp;Registro_Compras!$E$487&amp;" [PATRON POR CONFIRMAR CON CONTADOR]",IF(Registro_Compras!$F$487="RHE","Por el registro del recibo por honorarios "&amp;Registro_Compras!$C$487&amp;" de "&amp;Registro_Compras!$E$487&amp;" [PATRON POR CONFIRMAR CON CONTADOR]","Por el registro de la factura "&amp;Registro_Compras!$C$487&amp;" de "&amp;Registro_Compras!$E$487)))</f>
        <v/>
      </c>
      <c r="H4354" t="str">
        <f>IF($C4354="","",Registro_Compras!$C$487)</f>
        <v/>
      </c>
    </row>
    <row r="4355" spans="1:8" x14ac:dyDescent="0.25">
      <c r="A4355" s="25" t="str">
        <f>IF($C4355="","",Registro_Compras!$B$487)</f>
        <v/>
      </c>
      <c r="B4355" t="str">
        <f>IF($C4355="","","C"&amp;TEXT(INT((ROW()-5)/9)+1,"000")&amp;"-2")</f>
        <v/>
      </c>
      <c r="C4355" t="str">
        <f>IF(OR(Registro_Compras!$C$487="",Registro_Compras!$O$487=""),"",IF(Registro_Compras!$AB$487="ADMINISTRATIVO","94","95"))</f>
        <v/>
      </c>
      <c r="D4355" t="str">
        <f>IF(OR(Registro_Compras!$C$487="",Registro_Compras!$O$487=""),"",IF(Registro_Compras!$AB$487="ADMINISTRATIVO","Gastos Administrativos","Gastos de Venta y Operacion"))</f>
        <v/>
      </c>
      <c r="E4355" s="20" t="str">
        <f>IF($C4355="","",IF(Registro_Compras!$F$487="NOTA DE CREDITO","",IF(Registro_Compras!$F$487="RHE",ROUND(Registro_Compras!$L$487*Registro_Compras!$N$487,2),ROUND(Registro_Compras!$J$487*Registro_Compras!$N$487,2))))</f>
        <v/>
      </c>
      <c r="F4355" s="20" t="str">
        <f>IF($C4355="","",IF(Registro_Compras!$F$487="NOTA DE CREDITO",ROUND(ABS(Registro_Compras!$J$487*Registro_Compras!$N$487),2),""))</f>
        <v/>
      </c>
      <c r="G4355" t="str">
        <f>IF($C4355="","","Por el destino del gasto")</f>
        <v/>
      </c>
      <c r="H4355" t="str">
        <f>IF($C4355="","",Registro_Compras!$C$487)</f>
        <v/>
      </c>
    </row>
    <row r="4356" spans="1:8" x14ac:dyDescent="0.25">
      <c r="A4356" s="25" t="str">
        <f>IF($C4356="","",Registro_Compras!$B$487)</f>
        <v/>
      </c>
      <c r="B4356" t="str">
        <f>IF($C4356="","","C"&amp;TEXT(INT((ROW()-5)/9)+1,"000")&amp;"-2")</f>
        <v/>
      </c>
      <c r="C4356" t="str">
        <f>IF(OR(Registro_Compras!$C$487="",Registro_Compras!$O$487=""),"","79/791")</f>
        <v/>
      </c>
      <c r="D4356" t="str">
        <f>IF(OR(Registro_Compras!$C$487="",Registro_Compras!$O$487=""),"","Cargas Imputables a Cuentas de Costos y Gastos")</f>
        <v/>
      </c>
      <c r="E4356" s="20" t="str">
        <f>IF($C4356="","",IF(Registro_Compras!$F$487="NOTA DE CREDITO",ROUND(ABS(Registro_Compras!$J$487*Registro_Compras!$N$487),2),""))</f>
        <v/>
      </c>
      <c r="F4356" s="20" t="str">
        <f>IF($C4356="","",IF(Registro_Compras!$F$487="NOTA DE CREDITO","",IF(Registro_Compras!$F$487="RHE",ROUND(Registro_Compras!$L$487*Registro_Compras!$N$487,2),ROUND(Registro_Compras!$J$487*Registro_Compras!$N$487,2))))</f>
        <v/>
      </c>
      <c r="G4356" t="str">
        <f>IF($C4356="","","Por el destino del gasto")</f>
        <v/>
      </c>
      <c r="H4356" t="str">
        <f>IF($C4356="","",Registro_Compras!$C$487)</f>
        <v/>
      </c>
    </row>
    <row r="4357" spans="1:8" x14ac:dyDescent="0.25">
      <c r="A4357" s="25" t="str">
        <f>IF($C4357="","",Registro_Compras!$X$487)</f>
        <v/>
      </c>
      <c r="B4357" t="str">
        <f>IF($C4357="","","C"&amp;TEXT(INT((ROW()-5)/9)+1,"000")&amp;"-3")</f>
        <v/>
      </c>
      <c r="C4357" t="str">
        <f>IF(OR(Registro_Compras!$C$487="",Registro_Compras!$O$487="",Registro_Compras!$R$487&lt;&gt;"SI",Registro_Compras!$X$487=""),"","4212")</f>
        <v/>
      </c>
      <c r="D4357" t="str">
        <f>IF(OR(Registro_Compras!$C$487="",Registro_Compras!$O$487=""),"","Cuentas por Pagar Comerciales - Terceros")</f>
        <v/>
      </c>
      <c r="E4357" s="20" t="str">
        <f>IF($C4357="","",Registro_Compras!$S$487)</f>
        <v/>
      </c>
      <c r="F4357" s="20" t="str">
        <f>""</f>
        <v/>
      </c>
      <c r="G4357" t="str">
        <f>IF($C4357="","","Por el deposito de la detraccion en el Banco de la Nacion")</f>
        <v/>
      </c>
      <c r="H4357" t="str">
        <f>IF($C4357="","",Registro_Compras!$C$487)</f>
        <v/>
      </c>
    </row>
    <row r="4358" spans="1:8" x14ac:dyDescent="0.25">
      <c r="A4358" s="25" t="str">
        <f>IF($C4358="","",Registro_Compras!$X$487)</f>
        <v/>
      </c>
      <c r="B4358" t="str">
        <f>IF($C4358="","","C"&amp;TEXT(INT((ROW()-5)/9)+1,"000")&amp;"-3")</f>
        <v/>
      </c>
      <c r="C4358" t="str">
        <f>IF(OR(Registro_Compras!$C$487="",Registro_Compras!$O$487="",Registro_Compras!$R$487&lt;&gt;"SI",Registro_Compras!$X$487=""),"","1041")</f>
        <v/>
      </c>
      <c r="D4358" t="str">
        <f>IF(OR(Registro_Compras!$C$487="",Registro_Compras!$O$487=""),"","Efectivo y Equivalentes - Cta. Cte. Operativa")</f>
        <v/>
      </c>
      <c r="E4358" s="20" t="str">
        <f>""</f>
        <v/>
      </c>
      <c r="F4358" s="20" t="str">
        <f>IF($C4358="","",Registro_Compras!$S$487)</f>
        <v/>
      </c>
      <c r="G4358" t="str">
        <f>IF($C4358="","","Por el deposito de la detraccion en el Banco de la Nacion")</f>
        <v/>
      </c>
      <c r="H4358" t="str">
        <f>IF($C4358="","",Registro_Compras!$C$487)</f>
        <v/>
      </c>
    </row>
    <row r="4359" spans="1:8" x14ac:dyDescent="0.25">
      <c r="A4359" s="25" t="str">
        <f>IF($C4359="","",Registro_Compras!$Y$487)</f>
        <v/>
      </c>
      <c r="B4359" t="str">
        <f>IF($C4359="","","C"&amp;TEXT(INT((ROW()-5)/9)+1,"000")&amp;"-4")</f>
        <v/>
      </c>
      <c r="C4359" t="str">
        <f>IF(OR(Registro_Compras!$C$487="",Registro_Compras!$O$487="",Registro_Compras!$Y$487="",Registro_Compras!$F$487="NOTA DE CREDITO"),"","4212")</f>
        <v/>
      </c>
      <c r="D4359" t="str">
        <f>IF(OR(Registro_Compras!$C$487="",Registro_Compras!$O$487=""),"","Cuentas por Pagar Comerciales - Terceros")</f>
        <v/>
      </c>
      <c r="E4359" s="20" t="str">
        <f>IF($C4359="","",IF(Registro_Compras!$F$487="RHE",(ROUND(Registro_Compras!$L$487*Registro_Compras!$N$487,2)-ROUND(Registro_Compras!$V$487*Registro_Compras!$N$487,2)),ROUND(Registro_Compras!$O$487-Registro_Compras!$S$487,2)))</f>
        <v/>
      </c>
      <c r="F4359" s="20" t="str">
        <f>""</f>
        <v/>
      </c>
      <c r="G4359" t="str">
        <f>IF($C4359="","","Por la cancelacion del saldo al proveedor")</f>
        <v/>
      </c>
      <c r="H4359" t="str">
        <f>IF($C4359="","",Registro_Compras!$C$487)</f>
        <v/>
      </c>
    </row>
    <row r="4360" spans="1:8" x14ac:dyDescent="0.25">
      <c r="A4360" s="25" t="str">
        <f>IF($C4360="","",Registro_Compras!$Y$487)</f>
        <v/>
      </c>
      <c r="B4360" t="str">
        <f>IF($C4360="","","C"&amp;TEXT(INT((ROW()-5)/9)+1,"000")&amp;"-4")</f>
        <v/>
      </c>
      <c r="C4360" t="str">
        <f>IF(OR(Registro_Compras!$C$487="",Registro_Compras!$O$487="",Registro_Compras!$Y$487="",Registro_Compras!$F$487="NOTA DE CREDITO"),"","1041")</f>
        <v/>
      </c>
      <c r="D4360" t="str">
        <f>IF(OR(Registro_Compras!$C$487="",Registro_Compras!$O$487=""),"","Efectivo y Equivalentes - Cta. Cte. Operativa")</f>
        <v/>
      </c>
      <c r="E4360" s="20" t="str">
        <f>""</f>
        <v/>
      </c>
      <c r="F4360" s="20" t="str">
        <f>IF($C4360="","",IF(Registro_Compras!$F$487="RHE",(ROUND(Registro_Compras!$L$487*Registro_Compras!$N$487,2)-ROUND(Registro_Compras!$V$487*Registro_Compras!$N$487,2)),ROUND(Registro_Compras!$O$487-Registro_Compras!$S$487,2)))</f>
        <v/>
      </c>
      <c r="G4360" t="str">
        <f>IF($C4360="","","Por la cancelacion del saldo al proveedor")</f>
        <v/>
      </c>
      <c r="H4360" t="str">
        <f>IF($C4360="","",Registro_Compras!$C$487)</f>
        <v/>
      </c>
    </row>
    <row r="4361" spans="1:8" x14ac:dyDescent="0.25">
      <c r="A4361" s="25" t="str">
        <f>IF($C4361="","",Registro_Compras!$B$488)</f>
        <v/>
      </c>
      <c r="B4361" t="str">
        <f>IF($C4361="","","C"&amp;TEXT(INT((ROW()-5)/9)+1,"000")&amp;"-1")</f>
        <v/>
      </c>
      <c r="C4361" t="str">
        <f>IF(OR(Registro_Compras!$C$488="",Registro_Compras!$O$488=""),"",IF(Registro_Compras!$F$488="NOTA DE CREDITO","4212",IF(Registro_Compras!$M$488="","63",Registro_Compras!$M$488)))</f>
        <v/>
      </c>
      <c r="D4361" t="str">
        <f>IF(OR(Registro_Compras!$C$488="",Registro_Compras!$O$488=""),"",IF(Registro_Compras!$F$488="NOTA DE CREDITO","Cuentas por Pagar Comerciales - Terceros (Emitidas)",IF(Registro_Compras!$F$488="RHE","Honorarios Profesionales - Servicios de Terceros","Gastos de Servicios Prestados por Terceros")))</f>
        <v/>
      </c>
      <c r="E4361" s="20" t="str">
        <f>IF($C4361="","",IF(Registro_Compras!$F$488="NOTA DE CREDITO",ABS(Registro_Compras!$O$488),IF(Registro_Compras!$F$488="RHE",ROUND(Registro_Compras!$L$488*Registro_Compras!$N$488,2),ROUND(Registro_Compras!$J$488*Registro_Compras!$N$488,2))))</f>
        <v/>
      </c>
      <c r="F4361" s="20" t="str">
        <f>""</f>
        <v/>
      </c>
      <c r="G4361" t="str">
        <f>IF($C4361="","",IF(Registro_Compras!$F$488="NOTA DE CREDITO","Por la nota de credito "&amp;Registro_Compras!$C$488&amp;" de "&amp;Registro_Compras!$E$488&amp;" [PATRON POR CONFIRMAR CON CONTADOR]",IF(Registro_Compras!$F$488="RHE","Por el registro del recibo por honorarios "&amp;Registro_Compras!$C$488&amp;" de "&amp;Registro_Compras!$E$488&amp;" [PATRON POR CONFIRMAR CON CONTADOR]","Por el registro de la factura "&amp;Registro_Compras!$C$488&amp;" de "&amp;Registro_Compras!$E$488)))</f>
        <v/>
      </c>
      <c r="H4361" t="str">
        <f>IF($C4361="","",Registro_Compras!$C$488)</f>
        <v/>
      </c>
    </row>
    <row r="4362" spans="1:8" x14ac:dyDescent="0.25">
      <c r="A4362" s="25" t="str">
        <f>IF($C4362="","",Registro_Compras!$B$488)</f>
        <v/>
      </c>
      <c r="B4362" t="str">
        <f>IF($C4362="","","C"&amp;TEXT(INT((ROW()-5)/9)+1,"000")&amp;"-1")</f>
        <v/>
      </c>
      <c r="C4362" t="str">
        <f>IF(OR(Registro_Compras!$C$488="",Registro_Compras!$O$488=""),"",IF(Registro_Compras!$F$488="RHE",IF(Registro_Compras!$V$488=0,"","4017"),IF(Registro_Compras!$F$488="NOTA DE CREDITO",IF(Registro_Compras!$M$488="","63",Registro_Compras!$M$488),IF(Registro_Compras!$K$488=0,"","40111"))))</f>
        <v/>
      </c>
      <c r="D4362" t="str">
        <f>IF(OR(Registro_Compras!$C$488="",Registro_Compras!$O$488=""),"",IF(Registro_Compras!$F$488="RHE","Retencion Renta 4ta Categoria por Pagar",IF(Registro_Compras!$F$488="NOTA DE CREDITO","Gastos de Servicios Prestados por Terceros","IGV - Cuenta Propia (Credito Fiscal)")))</f>
        <v/>
      </c>
      <c r="E4362" s="20" t="str">
        <f>IF($C4362="","",IF(Registro_Compras!$F$488="FACTURA",ROUND(Registro_Compras!$K$488*Registro_Compras!$N$488,2),""))</f>
        <v/>
      </c>
      <c r="F4362" s="20" t="str">
        <f>IF($C4362="","",IF(Registro_Compras!$F$488="RHE",ROUND(Registro_Compras!$V$488*Registro_Compras!$N$488,2),IF(Registro_Compras!$F$488="NOTA DE CREDITO",ROUND(ABS(Registro_Compras!$J$488*Registro_Compras!$N$488),2),"")))</f>
        <v/>
      </c>
      <c r="G4362" t="str">
        <f>IF($C4362="","",IF(Registro_Compras!$F$488="NOTA DE CREDITO","Por la nota de credito "&amp;Registro_Compras!$C$488&amp;" de "&amp;Registro_Compras!$E$488&amp;" [PATRON POR CONFIRMAR CON CONTADOR]",IF(Registro_Compras!$F$488="RHE","Por el registro del recibo por honorarios "&amp;Registro_Compras!$C$488&amp;" de "&amp;Registro_Compras!$E$488&amp;" [PATRON POR CONFIRMAR CON CONTADOR]","Por el registro de la factura "&amp;Registro_Compras!$C$488&amp;" de "&amp;Registro_Compras!$E$488)))</f>
        <v/>
      </c>
      <c r="H4362" t="str">
        <f>IF($C4362="","",Registro_Compras!$C$488)</f>
        <v/>
      </c>
    </row>
    <row r="4363" spans="1:8" x14ac:dyDescent="0.25">
      <c r="A4363" s="25" t="str">
        <f>IF($C4363="","",Registro_Compras!$B$488)</f>
        <v/>
      </c>
      <c r="B4363" t="str">
        <f>IF($C4363="","","C"&amp;TEXT(INT((ROW()-5)/9)+1,"000")&amp;"-1")</f>
        <v/>
      </c>
      <c r="C4363" t="str">
        <f>IF(OR(Registro_Compras!$C$488="",Registro_Compras!$O$488=""),"",IF(Registro_Compras!$F$488="NOTA DE CREDITO",IF(Registro_Compras!$K$488=0,"","40111"),"4212"))</f>
        <v/>
      </c>
      <c r="D4363" t="str">
        <f>IF(OR(Registro_Compras!$C$488="",Registro_Compras!$O$488=""),"",IF(Registro_Compras!$F$488="NOTA DE CREDITO","IGV - Cuenta Propia (Credito Fiscal)","Cuentas por Pagar Comerciales - Terceros (Emitidas)"))</f>
        <v/>
      </c>
      <c r="E4363" s="20" t="str">
        <f>""</f>
        <v/>
      </c>
      <c r="F4363" s="20" t="str">
        <f>IF($C4363="","",IF(Registro_Compras!$F$488="NOTA DE CREDITO",ROUND(ABS(Registro_Compras!$K$488*Registro_Compras!$N$488),2),IF(Registro_Compras!$F$488="RHE",(ROUND(Registro_Compras!$L$488*Registro_Compras!$N$488,2)-ROUND(Registro_Compras!$V$488*Registro_Compras!$N$488,2)),Registro_Compras!$O$488)))</f>
        <v/>
      </c>
      <c r="G4363" t="str">
        <f>IF($C4363="","",IF(Registro_Compras!$F$488="NOTA DE CREDITO","Por la nota de credito "&amp;Registro_Compras!$C$488&amp;" de "&amp;Registro_Compras!$E$488&amp;" [PATRON POR CONFIRMAR CON CONTADOR]",IF(Registro_Compras!$F$488="RHE","Por el registro del recibo por honorarios "&amp;Registro_Compras!$C$488&amp;" de "&amp;Registro_Compras!$E$488&amp;" [PATRON POR CONFIRMAR CON CONTADOR]","Por el registro de la factura "&amp;Registro_Compras!$C$488&amp;" de "&amp;Registro_Compras!$E$488)))</f>
        <v/>
      </c>
      <c r="H4363" t="str">
        <f>IF($C4363="","",Registro_Compras!$C$488)</f>
        <v/>
      </c>
    </row>
    <row r="4364" spans="1:8" x14ac:dyDescent="0.25">
      <c r="A4364" s="25" t="str">
        <f>IF($C4364="","",Registro_Compras!$B$488)</f>
        <v/>
      </c>
      <c r="B4364" t="str">
        <f>IF($C4364="","","C"&amp;TEXT(INT((ROW()-5)/9)+1,"000")&amp;"-2")</f>
        <v/>
      </c>
      <c r="C4364" t="str">
        <f>IF(OR(Registro_Compras!$C$488="",Registro_Compras!$O$488=""),"",IF(Registro_Compras!$AB$488="ADMINISTRATIVO","94","95"))</f>
        <v/>
      </c>
      <c r="D4364" t="str">
        <f>IF(OR(Registro_Compras!$C$488="",Registro_Compras!$O$488=""),"",IF(Registro_Compras!$AB$488="ADMINISTRATIVO","Gastos Administrativos","Gastos de Venta y Operacion"))</f>
        <v/>
      </c>
      <c r="E4364" s="20" t="str">
        <f>IF($C4364="","",IF(Registro_Compras!$F$488="NOTA DE CREDITO","",IF(Registro_Compras!$F$488="RHE",ROUND(Registro_Compras!$L$488*Registro_Compras!$N$488,2),ROUND(Registro_Compras!$J$488*Registro_Compras!$N$488,2))))</f>
        <v/>
      </c>
      <c r="F4364" s="20" t="str">
        <f>IF($C4364="","",IF(Registro_Compras!$F$488="NOTA DE CREDITO",ROUND(ABS(Registro_Compras!$J$488*Registro_Compras!$N$488),2),""))</f>
        <v/>
      </c>
      <c r="G4364" t="str">
        <f>IF($C4364="","","Por el destino del gasto")</f>
        <v/>
      </c>
      <c r="H4364" t="str">
        <f>IF($C4364="","",Registro_Compras!$C$488)</f>
        <v/>
      </c>
    </row>
    <row r="4365" spans="1:8" x14ac:dyDescent="0.25">
      <c r="A4365" s="25" t="str">
        <f>IF($C4365="","",Registro_Compras!$B$488)</f>
        <v/>
      </c>
      <c r="B4365" t="str">
        <f>IF($C4365="","","C"&amp;TEXT(INT((ROW()-5)/9)+1,"000")&amp;"-2")</f>
        <v/>
      </c>
      <c r="C4365" t="str">
        <f>IF(OR(Registro_Compras!$C$488="",Registro_Compras!$O$488=""),"","79/791")</f>
        <v/>
      </c>
      <c r="D4365" t="str">
        <f>IF(OR(Registro_Compras!$C$488="",Registro_Compras!$O$488=""),"","Cargas Imputables a Cuentas de Costos y Gastos")</f>
        <v/>
      </c>
      <c r="E4365" s="20" t="str">
        <f>IF($C4365="","",IF(Registro_Compras!$F$488="NOTA DE CREDITO",ROUND(ABS(Registro_Compras!$J$488*Registro_Compras!$N$488),2),""))</f>
        <v/>
      </c>
      <c r="F4365" s="20" t="str">
        <f>IF($C4365="","",IF(Registro_Compras!$F$488="NOTA DE CREDITO","",IF(Registro_Compras!$F$488="RHE",ROUND(Registro_Compras!$L$488*Registro_Compras!$N$488,2),ROUND(Registro_Compras!$J$488*Registro_Compras!$N$488,2))))</f>
        <v/>
      </c>
      <c r="G4365" t="str">
        <f>IF($C4365="","","Por el destino del gasto")</f>
        <v/>
      </c>
      <c r="H4365" t="str">
        <f>IF($C4365="","",Registro_Compras!$C$488)</f>
        <v/>
      </c>
    </row>
    <row r="4366" spans="1:8" x14ac:dyDescent="0.25">
      <c r="A4366" s="25" t="str">
        <f>IF($C4366="","",Registro_Compras!$X$488)</f>
        <v/>
      </c>
      <c r="B4366" t="str">
        <f>IF($C4366="","","C"&amp;TEXT(INT((ROW()-5)/9)+1,"000")&amp;"-3")</f>
        <v/>
      </c>
      <c r="C4366" t="str">
        <f>IF(OR(Registro_Compras!$C$488="",Registro_Compras!$O$488="",Registro_Compras!$R$488&lt;&gt;"SI",Registro_Compras!$X$488=""),"","4212")</f>
        <v/>
      </c>
      <c r="D4366" t="str">
        <f>IF(OR(Registro_Compras!$C$488="",Registro_Compras!$O$488=""),"","Cuentas por Pagar Comerciales - Terceros")</f>
        <v/>
      </c>
      <c r="E4366" s="20" t="str">
        <f>IF($C4366="","",Registro_Compras!$S$488)</f>
        <v/>
      </c>
      <c r="F4366" s="20" t="str">
        <f>""</f>
        <v/>
      </c>
      <c r="G4366" t="str">
        <f>IF($C4366="","","Por el deposito de la detraccion en el Banco de la Nacion")</f>
        <v/>
      </c>
      <c r="H4366" t="str">
        <f>IF($C4366="","",Registro_Compras!$C$488)</f>
        <v/>
      </c>
    </row>
    <row r="4367" spans="1:8" x14ac:dyDescent="0.25">
      <c r="A4367" s="25" t="str">
        <f>IF($C4367="","",Registro_Compras!$X$488)</f>
        <v/>
      </c>
      <c r="B4367" t="str">
        <f>IF($C4367="","","C"&amp;TEXT(INT((ROW()-5)/9)+1,"000")&amp;"-3")</f>
        <v/>
      </c>
      <c r="C4367" t="str">
        <f>IF(OR(Registro_Compras!$C$488="",Registro_Compras!$O$488="",Registro_Compras!$R$488&lt;&gt;"SI",Registro_Compras!$X$488=""),"","1041")</f>
        <v/>
      </c>
      <c r="D4367" t="str">
        <f>IF(OR(Registro_Compras!$C$488="",Registro_Compras!$O$488=""),"","Efectivo y Equivalentes - Cta. Cte. Operativa")</f>
        <v/>
      </c>
      <c r="E4367" s="20" t="str">
        <f>""</f>
        <v/>
      </c>
      <c r="F4367" s="20" t="str">
        <f>IF($C4367="","",Registro_Compras!$S$488)</f>
        <v/>
      </c>
      <c r="G4367" t="str">
        <f>IF($C4367="","","Por el deposito de la detraccion en el Banco de la Nacion")</f>
        <v/>
      </c>
      <c r="H4367" t="str">
        <f>IF($C4367="","",Registro_Compras!$C$488)</f>
        <v/>
      </c>
    </row>
    <row r="4368" spans="1:8" x14ac:dyDescent="0.25">
      <c r="A4368" s="25" t="str">
        <f>IF($C4368="","",Registro_Compras!$Y$488)</f>
        <v/>
      </c>
      <c r="B4368" t="str">
        <f>IF($C4368="","","C"&amp;TEXT(INT((ROW()-5)/9)+1,"000")&amp;"-4")</f>
        <v/>
      </c>
      <c r="C4368" t="str">
        <f>IF(OR(Registro_Compras!$C$488="",Registro_Compras!$O$488="",Registro_Compras!$Y$488="",Registro_Compras!$F$488="NOTA DE CREDITO"),"","4212")</f>
        <v/>
      </c>
      <c r="D4368" t="str">
        <f>IF(OR(Registro_Compras!$C$488="",Registro_Compras!$O$488=""),"","Cuentas por Pagar Comerciales - Terceros")</f>
        <v/>
      </c>
      <c r="E4368" s="20" t="str">
        <f>IF($C4368="","",IF(Registro_Compras!$F$488="RHE",(ROUND(Registro_Compras!$L$488*Registro_Compras!$N$488,2)-ROUND(Registro_Compras!$V$488*Registro_Compras!$N$488,2)),ROUND(Registro_Compras!$O$488-Registro_Compras!$S$488,2)))</f>
        <v/>
      </c>
      <c r="F4368" s="20" t="str">
        <f>""</f>
        <v/>
      </c>
      <c r="G4368" t="str">
        <f>IF($C4368="","","Por la cancelacion del saldo al proveedor")</f>
        <v/>
      </c>
      <c r="H4368" t="str">
        <f>IF($C4368="","",Registro_Compras!$C$488)</f>
        <v/>
      </c>
    </row>
    <row r="4369" spans="1:8" x14ac:dyDescent="0.25">
      <c r="A4369" s="25" t="str">
        <f>IF($C4369="","",Registro_Compras!$Y$488)</f>
        <v/>
      </c>
      <c r="B4369" t="str">
        <f>IF($C4369="","","C"&amp;TEXT(INT((ROW()-5)/9)+1,"000")&amp;"-4")</f>
        <v/>
      </c>
      <c r="C4369" t="str">
        <f>IF(OR(Registro_Compras!$C$488="",Registro_Compras!$O$488="",Registro_Compras!$Y$488="",Registro_Compras!$F$488="NOTA DE CREDITO"),"","1041")</f>
        <v/>
      </c>
      <c r="D4369" t="str">
        <f>IF(OR(Registro_Compras!$C$488="",Registro_Compras!$O$488=""),"","Efectivo y Equivalentes - Cta. Cte. Operativa")</f>
        <v/>
      </c>
      <c r="E4369" s="20" t="str">
        <f>""</f>
        <v/>
      </c>
      <c r="F4369" s="20" t="str">
        <f>IF($C4369="","",IF(Registro_Compras!$F$488="RHE",(ROUND(Registro_Compras!$L$488*Registro_Compras!$N$488,2)-ROUND(Registro_Compras!$V$488*Registro_Compras!$N$488,2)),ROUND(Registro_Compras!$O$488-Registro_Compras!$S$488,2)))</f>
        <v/>
      </c>
      <c r="G4369" t="str">
        <f>IF($C4369="","","Por la cancelacion del saldo al proveedor")</f>
        <v/>
      </c>
      <c r="H4369" t="str">
        <f>IF($C4369="","",Registro_Compras!$C$488)</f>
        <v/>
      </c>
    </row>
    <row r="4370" spans="1:8" x14ac:dyDescent="0.25">
      <c r="A4370" s="25" t="str">
        <f>IF($C4370="","",Registro_Compras!$B$489)</f>
        <v/>
      </c>
      <c r="B4370" t="str">
        <f>IF($C4370="","","C"&amp;TEXT(INT((ROW()-5)/9)+1,"000")&amp;"-1")</f>
        <v/>
      </c>
      <c r="C4370" t="str">
        <f>IF(OR(Registro_Compras!$C$489="",Registro_Compras!$O$489=""),"",IF(Registro_Compras!$F$489="NOTA DE CREDITO","4212",IF(Registro_Compras!$M$489="","63",Registro_Compras!$M$489)))</f>
        <v/>
      </c>
      <c r="D4370" t="str">
        <f>IF(OR(Registro_Compras!$C$489="",Registro_Compras!$O$489=""),"",IF(Registro_Compras!$F$489="NOTA DE CREDITO","Cuentas por Pagar Comerciales - Terceros (Emitidas)",IF(Registro_Compras!$F$489="RHE","Honorarios Profesionales - Servicios de Terceros","Gastos de Servicios Prestados por Terceros")))</f>
        <v/>
      </c>
      <c r="E4370" s="20" t="str">
        <f>IF($C4370="","",IF(Registro_Compras!$F$489="NOTA DE CREDITO",ABS(Registro_Compras!$O$489),IF(Registro_Compras!$F$489="RHE",ROUND(Registro_Compras!$L$489*Registro_Compras!$N$489,2),ROUND(Registro_Compras!$J$489*Registro_Compras!$N$489,2))))</f>
        <v/>
      </c>
      <c r="F4370" s="20" t="str">
        <f>""</f>
        <v/>
      </c>
      <c r="G4370" t="str">
        <f>IF($C4370="","",IF(Registro_Compras!$F$489="NOTA DE CREDITO","Por la nota de credito "&amp;Registro_Compras!$C$489&amp;" de "&amp;Registro_Compras!$E$489&amp;" [PATRON POR CONFIRMAR CON CONTADOR]",IF(Registro_Compras!$F$489="RHE","Por el registro del recibo por honorarios "&amp;Registro_Compras!$C$489&amp;" de "&amp;Registro_Compras!$E$489&amp;" [PATRON POR CONFIRMAR CON CONTADOR]","Por el registro de la factura "&amp;Registro_Compras!$C$489&amp;" de "&amp;Registro_Compras!$E$489)))</f>
        <v/>
      </c>
      <c r="H4370" t="str">
        <f>IF($C4370="","",Registro_Compras!$C$489)</f>
        <v/>
      </c>
    </row>
    <row r="4371" spans="1:8" x14ac:dyDescent="0.25">
      <c r="A4371" s="25" t="str">
        <f>IF($C4371="","",Registro_Compras!$B$489)</f>
        <v/>
      </c>
      <c r="B4371" t="str">
        <f>IF($C4371="","","C"&amp;TEXT(INT((ROW()-5)/9)+1,"000")&amp;"-1")</f>
        <v/>
      </c>
      <c r="C4371" t="str">
        <f>IF(OR(Registro_Compras!$C$489="",Registro_Compras!$O$489=""),"",IF(Registro_Compras!$F$489="RHE",IF(Registro_Compras!$V$489=0,"","4017"),IF(Registro_Compras!$F$489="NOTA DE CREDITO",IF(Registro_Compras!$M$489="","63",Registro_Compras!$M$489),IF(Registro_Compras!$K$489=0,"","40111"))))</f>
        <v/>
      </c>
      <c r="D4371" t="str">
        <f>IF(OR(Registro_Compras!$C$489="",Registro_Compras!$O$489=""),"",IF(Registro_Compras!$F$489="RHE","Retencion Renta 4ta Categoria por Pagar",IF(Registro_Compras!$F$489="NOTA DE CREDITO","Gastos de Servicios Prestados por Terceros","IGV - Cuenta Propia (Credito Fiscal)")))</f>
        <v/>
      </c>
      <c r="E4371" s="20" t="str">
        <f>IF($C4371="","",IF(Registro_Compras!$F$489="FACTURA",ROUND(Registro_Compras!$K$489*Registro_Compras!$N$489,2),""))</f>
        <v/>
      </c>
      <c r="F4371" s="20" t="str">
        <f>IF($C4371="","",IF(Registro_Compras!$F$489="RHE",ROUND(Registro_Compras!$V$489*Registro_Compras!$N$489,2),IF(Registro_Compras!$F$489="NOTA DE CREDITO",ROUND(ABS(Registro_Compras!$J$489*Registro_Compras!$N$489),2),"")))</f>
        <v/>
      </c>
      <c r="G4371" t="str">
        <f>IF($C4371="","",IF(Registro_Compras!$F$489="NOTA DE CREDITO","Por la nota de credito "&amp;Registro_Compras!$C$489&amp;" de "&amp;Registro_Compras!$E$489&amp;" [PATRON POR CONFIRMAR CON CONTADOR]",IF(Registro_Compras!$F$489="RHE","Por el registro del recibo por honorarios "&amp;Registro_Compras!$C$489&amp;" de "&amp;Registro_Compras!$E$489&amp;" [PATRON POR CONFIRMAR CON CONTADOR]","Por el registro de la factura "&amp;Registro_Compras!$C$489&amp;" de "&amp;Registro_Compras!$E$489)))</f>
        <v/>
      </c>
      <c r="H4371" t="str">
        <f>IF($C4371="","",Registro_Compras!$C$489)</f>
        <v/>
      </c>
    </row>
    <row r="4372" spans="1:8" x14ac:dyDescent="0.25">
      <c r="A4372" s="25" t="str">
        <f>IF($C4372="","",Registro_Compras!$B$489)</f>
        <v/>
      </c>
      <c r="B4372" t="str">
        <f>IF($C4372="","","C"&amp;TEXT(INT((ROW()-5)/9)+1,"000")&amp;"-1")</f>
        <v/>
      </c>
      <c r="C4372" t="str">
        <f>IF(OR(Registro_Compras!$C$489="",Registro_Compras!$O$489=""),"",IF(Registro_Compras!$F$489="NOTA DE CREDITO",IF(Registro_Compras!$K$489=0,"","40111"),"4212"))</f>
        <v/>
      </c>
      <c r="D4372" t="str">
        <f>IF(OR(Registro_Compras!$C$489="",Registro_Compras!$O$489=""),"",IF(Registro_Compras!$F$489="NOTA DE CREDITO","IGV - Cuenta Propia (Credito Fiscal)","Cuentas por Pagar Comerciales - Terceros (Emitidas)"))</f>
        <v/>
      </c>
      <c r="E4372" s="20" t="str">
        <f>""</f>
        <v/>
      </c>
      <c r="F4372" s="20" t="str">
        <f>IF($C4372="","",IF(Registro_Compras!$F$489="NOTA DE CREDITO",ROUND(ABS(Registro_Compras!$K$489*Registro_Compras!$N$489),2),IF(Registro_Compras!$F$489="RHE",(ROUND(Registro_Compras!$L$489*Registro_Compras!$N$489,2)-ROUND(Registro_Compras!$V$489*Registro_Compras!$N$489,2)),Registro_Compras!$O$489)))</f>
        <v/>
      </c>
      <c r="G4372" t="str">
        <f>IF($C4372="","",IF(Registro_Compras!$F$489="NOTA DE CREDITO","Por la nota de credito "&amp;Registro_Compras!$C$489&amp;" de "&amp;Registro_Compras!$E$489&amp;" [PATRON POR CONFIRMAR CON CONTADOR]",IF(Registro_Compras!$F$489="RHE","Por el registro del recibo por honorarios "&amp;Registro_Compras!$C$489&amp;" de "&amp;Registro_Compras!$E$489&amp;" [PATRON POR CONFIRMAR CON CONTADOR]","Por el registro de la factura "&amp;Registro_Compras!$C$489&amp;" de "&amp;Registro_Compras!$E$489)))</f>
        <v/>
      </c>
      <c r="H4372" t="str">
        <f>IF($C4372="","",Registro_Compras!$C$489)</f>
        <v/>
      </c>
    </row>
    <row r="4373" spans="1:8" x14ac:dyDescent="0.25">
      <c r="A4373" s="25" t="str">
        <f>IF($C4373="","",Registro_Compras!$B$489)</f>
        <v/>
      </c>
      <c r="B4373" t="str">
        <f>IF($C4373="","","C"&amp;TEXT(INT((ROW()-5)/9)+1,"000")&amp;"-2")</f>
        <v/>
      </c>
      <c r="C4373" t="str">
        <f>IF(OR(Registro_Compras!$C$489="",Registro_Compras!$O$489=""),"",IF(Registro_Compras!$AB$489="ADMINISTRATIVO","94","95"))</f>
        <v/>
      </c>
      <c r="D4373" t="str">
        <f>IF(OR(Registro_Compras!$C$489="",Registro_Compras!$O$489=""),"",IF(Registro_Compras!$AB$489="ADMINISTRATIVO","Gastos Administrativos","Gastos de Venta y Operacion"))</f>
        <v/>
      </c>
      <c r="E4373" s="20" t="str">
        <f>IF($C4373="","",IF(Registro_Compras!$F$489="NOTA DE CREDITO","",IF(Registro_Compras!$F$489="RHE",ROUND(Registro_Compras!$L$489*Registro_Compras!$N$489,2),ROUND(Registro_Compras!$J$489*Registro_Compras!$N$489,2))))</f>
        <v/>
      </c>
      <c r="F4373" s="20" t="str">
        <f>IF($C4373="","",IF(Registro_Compras!$F$489="NOTA DE CREDITO",ROUND(ABS(Registro_Compras!$J$489*Registro_Compras!$N$489),2),""))</f>
        <v/>
      </c>
      <c r="G4373" t="str">
        <f>IF($C4373="","","Por el destino del gasto")</f>
        <v/>
      </c>
      <c r="H4373" t="str">
        <f>IF($C4373="","",Registro_Compras!$C$489)</f>
        <v/>
      </c>
    </row>
    <row r="4374" spans="1:8" x14ac:dyDescent="0.25">
      <c r="A4374" s="25" t="str">
        <f>IF($C4374="","",Registro_Compras!$B$489)</f>
        <v/>
      </c>
      <c r="B4374" t="str">
        <f>IF($C4374="","","C"&amp;TEXT(INT((ROW()-5)/9)+1,"000")&amp;"-2")</f>
        <v/>
      </c>
      <c r="C4374" t="str">
        <f>IF(OR(Registro_Compras!$C$489="",Registro_Compras!$O$489=""),"","79/791")</f>
        <v/>
      </c>
      <c r="D4374" t="str">
        <f>IF(OR(Registro_Compras!$C$489="",Registro_Compras!$O$489=""),"","Cargas Imputables a Cuentas de Costos y Gastos")</f>
        <v/>
      </c>
      <c r="E4374" s="20" t="str">
        <f>IF($C4374="","",IF(Registro_Compras!$F$489="NOTA DE CREDITO",ROUND(ABS(Registro_Compras!$J$489*Registro_Compras!$N$489),2),""))</f>
        <v/>
      </c>
      <c r="F4374" s="20" t="str">
        <f>IF($C4374="","",IF(Registro_Compras!$F$489="NOTA DE CREDITO","",IF(Registro_Compras!$F$489="RHE",ROUND(Registro_Compras!$L$489*Registro_Compras!$N$489,2),ROUND(Registro_Compras!$J$489*Registro_Compras!$N$489,2))))</f>
        <v/>
      </c>
      <c r="G4374" t="str">
        <f>IF($C4374="","","Por el destino del gasto")</f>
        <v/>
      </c>
      <c r="H4374" t="str">
        <f>IF($C4374="","",Registro_Compras!$C$489)</f>
        <v/>
      </c>
    </row>
    <row r="4375" spans="1:8" x14ac:dyDescent="0.25">
      <c r="A4375" s="25" t="str">
        <f>IF($C4375="","",Registro_Compras!$X$489)</f>
        <v/>
      </c>
      <c r="B4375" t="str">
        <f>IF($C4375="","","C"&amp;TEXT(INT((ROW()-5)/9)+1,"000")&amp;"-3")</f>
        <v/>
      </c>
      <c r="C4375" t="str">
        <f>IF(OR(Registro_Compras!$C$489="",Registro_Compras!$O$489="",Registro_Compras!$R$489&lt;&gt;"SI",Registro_Compras!$X$489=""),"","4212")</f>
        <v/>
      </c>
      <c r="D4375" t="str">
        <f>IF(OR(Registro_Compras!$C$489="",Registro_Compras!$O$489=""),"","Cuentas por Pagar Comerciales - Terceros")</f>
        <v/>
      </c>
      <c r="E4375" s="20" t="str">
        <f>IF($C4375="","",Registro_Compras!$S$489)</f>
        <v/>
      </c>
      <c r="F4375" s="20" t="str">
        <f>""</f>
        <v/>
      </c>
      <c r="G4375" t="str">
        <f>IF($C4375="","","Por el deposito de la detraccion en el Banco de la Nacion")</f>
        <v/>
      </c>
      <c r="H4375" t="str">
        <f>IF($C4375="","",Registro_Compras!$C$489)</f>
        <v/>
      </c>
    </row>
    <row r="4376" spans="1:8" x14ac:dyDescent="0.25">
      <c r="A4376" s="25" t="str">
        <f>IF($C4376="","",Registro_Compras!$X$489)</f>
        <v/>
      </c>
      <c r="B4376" t="str">
        <f>IF($C4376="","","C"&amp;TEXT(INT((ROW()-5)/9)+1,"000")&amp;"-3")</f>
        <v/>
      </c>
      <c r="C4376" t="str">
        <f>IF(OR(Registro_Compras!$C$489="",Registro_Compras!$O$489="",Registro_Compras!$R$489&lt;&gt;"SI",Registro_Compras!$X$489=""),"","1041")</f>
        <v/>
      </c>
      <c r="D4376" t="str">
        <f>IF(OR(Registro_Compras!$C$489="",Registro_Compras!$O$489=""),"","Efectivo y Equivalentes - Cta. Cte. Operativa")</f>
        <v/>
      </c>
      <c r="E4376" s="20" t="str">
        <f>""</f>
        <v/>
      </c>
      <c r="F4376" s="20" t="str">
        <f>IF($C4376="","",Registro_Compras!$S$489)</f>
        <v/>
      </c>
      <c r="G4376" t="str">
        <f>IF($C4376="","","Por el deposito de la detraccion en el Banco de la Nacion")</f>
        <v/>
      </c>
      <c r="H4376" t="str">
        <f>IF($C4376="","",Registro_Compras!$C$489)</f>
        <v/>
      </c>
    </row>
    <row r="4377" spans="1:8" x14ac:dyDescent="0.25">
      <c r="A4377" s="25" t="str">
        <f>IF($C4377="","",Registro_Compras!$Y$489)</f>
        <v/>
      </c>
      <c r="B4377" t="str">
        <f>IF($C4377="","","C"&amp;TEXT(INT((ROW()-5)/9)+1,"000")&amp;"-4")</f>
        <v/>
      </c>
      <c r="C4377" t="str">
        <f>IF(OR(Registro_Compras!$C$489="",Registro_Compras!$O$489="",Registro_Compras!$Y$489="",Registro_Compras!$F$489="NOTA DE CREDITO"),"","4212")</f>
        <v/>
      </c>
      <c r="D4377" t="str">
        <f>IF(OR(Registro_Compras!$C$489="",Registro_Compras!$O$489=""),"","Cuentas por Pagar Comerciales - Terceros")</f>
        <v/>
      </c>
      <c r="E4377" s="20" t="str">
        <f>IF($C4377="","",IF(Registro_Compras!$F$489="RHE",(ROUND(Registro_Compras!$L$489*Registro_Compras!$N$489,2)-ROUND(Registro_Compras!$V$489*Registro_Compras!$N$489,2)),ROUND(Registro_Compras!$O$489-Registro_Compras!$S$489,2)))</f>
        <v/>
      </c>
      <c r="F4377" s="20" t="str">
        <f>""</f>
        <v/>
      </c>
      <c r="G4377" t="str">
        <f>IF($C4377="","","Por la cancelacion del saldo al proveedor")</f>
        <v/>
      </c>
      <c r="H4377" t="str">
        <f>IF($C4377="","",Registro_Compras!$C$489)</f>
        <v/>
      </c>
    </row>
    <row r="4378" spans="1:8" x14ac:dyDescent="0.25">
      <c r="A4378" s="25" t="str">
        <f>IF($C4378="","",Registro_Compras!$Y$489)</f>
        <v/>
      </c>
      <c r="B4378" t="str">
        <f>IF($C4378="","","C"&amp;TEXT(INT((ROW()-5)/9)+1,"000")&amp;"-4")</f>
        <v/>
      </c>
      <c r="C4378" t="str">
        <f>IF(OR(Registro_Compras!$C$489="",Registro_Compras!$O$489="",Registro_Compras!$Y$489="",Registro_Compras!$F$489="NOTA DE CREDITO"),"","1041")</f>
        <v/>
      </c>
      <c r="D4378" t="str">
        <f>IF(OR(Registro_Compras!$C$489="",Registro_Compras!$O$489=""),"","Efectivo y Equivalentes - Cta. Cte. Operativa")</f>
        <v/>
      </c>
      <c r="E4378" s="20" t="str">
        <f>""</f>
        <v/>
      </c>
      <c r="F4378" s="20" t="str">
        <f>IF($C4378="","",IF(Registro_Compras!$F$489="RHE",(ROUND(Registro_Compras!$L$489*Registro_Compras!$N$489,2)-ROUND(Registro_Compras!$V$489*Registro_Compras!$N$489,2)),ROUND(Registro_Compras!$O$489-Registro_Compras!$S$489,2)))</f>
        <v/>
      </c>
      <c r="G4378" t="str">
        <f>IF($C4378="","","Por la cancelacion del saldo al proveedor")</f>
        <v/>
      </c>
      <c r="H4378" t="str">
        <f>IF($C4378="","",Registro_Compras!$C$489)</f>
        <v/>
      </c>
    </row>
    <row r="4379" spans="1:8" x14ac:dyDescent="0.25">
      <c r="A4379" s="25" t="str">
        <f>IF($C4379="","",Registro_Compras!$B$490)</f>
        <v/>
      </c>
      <c r="B4379" t="str">
        <f>IF($C4379="","","C"&amp;TEXT(INT((ROW()-5)/9)+1,"000")&amp;"-1")</f>
        <v/>
      </c>
      <c r="C4379" t="str">
        <f>IF(OR(Registro_Compras!$C$490="",Registro_Compras!$O$490=""),"",IF(Registro_Compras!$F$490="NOTA DE CREDITO","4212",IF(Registro_Compras!$M$490="","63",Registro_Compras!$M$490)))</f>
        <v/>
      </c>
      <c r="D4379" t="str">
        <f>IF(OR(Registro_Compras!$C$490="",Registro_Compras!$O$490=""),"",IF(Registro_Compras!$F$490="NOTA DE CREDITO","Cuentas por Pagar Comerciales - Terceros (Emitidas)",IF(Registro_Compras!$F$490="RHE","Honorarios Profesionales - Servicios de Terceros","Gastos de Servicios Prestados por Terceros")))</f>
        <v/>
      </c>
      <c r="E4379" s="20" t="str">
        <f>IF($C4379="","",IF(Registro_Compras!$F$490="NOTA DE CREDITO",ABS(Registro_Compras!$O$490),IF(Registro_Compras!$F$490="RHE",ROUND(Registro_Compras!$L$490*Registro_Compras!$N$490,2),ROUND(Registro_Compras!$J$490*Registro_Compras!$N$490,2))))</f>
        <v/>
      </c>
      <c r="F4379" s="20" t="str">
        <f>""</f>
        <v/>
      </c>
      <c r="G4379" t="str">
        <f>IF($C4379="","",IF(Registro_Compras!$F$490="NOTA DE CREDITO","Por la nota de credito "&amp;Registro_Compras!$C$490&amp;" de "&amp;Registro_Compras!$E$490&amp;" [PATRON POR CONFIRMAR CON CONTADOR]",IF(Registro_Compras!$F$490="RHE","Por el registro del recibo por honorarios "&amp;Registro_Compras!$C$490&amp;" de "&amp;Registro_Compras!$E$490&amp;" [PATRON POR CONFIRMAR CON CONTADOR]","Por el registro de la factura "&amp;Registro_Compras!$C$490&amp;" de "&amp;Registro_Compras!$E$490)))</f>
        <v/>
      </c>
      <c r="H4379" t="str">
        <f>IF($C4379="","",Registro_Compras!$C$490)</f>
        <v/>
      </c>
    </row>
    <row r="4380" spans="1:8" x14ac:dyDescent="0.25">
      <c r="A4380" s="25" t="str">
        <f>IF($C4380="","",Registro_Compras!$B$490)</f>
        <v/>
      </c>
      <c r="B4380" t="str">
        <f>IF($C4380="","","C"&amp;TEXT(INT((ROW()-5)/9)+1,"000")&amp;"-1")</f>
        <v/>
      </c>
      <c r="C4380" t="str">
        <f>IF(OR(Registro_Compras!$C$490="",Registro_Compras!$O$490=""),"",IF(Registro_Compras!$F$490="RHE",IF(Registro_Compras!$V$490=0,"","4017"),IF(Registro_Compras!$F$490="NOTA DE CREDITO",IF(Registro_Compras!$M$490="","63",Registro_Compras!$M$490),IF(Registro_Compras!$K$490=0,"","40111"))))</f>
        <v/>
      </c>
      <c r="D4380" t="str">
        <f>IF(OR(Registro_Compras!$C$490="",Registro_Compras!$O$490=""),"",IF(Registro_Compras!$F$490="RHE","Retencion Renta 4ta Categoria por Pagar",IF(Registro_Compras!$F$490="NOTA DE CREDITO","Gastos de Servicios Prestados por Terceros","IGV - Cuenta Propia (Credito Fiscal)")))</f>
        <v/>
      </c>
      <c r="E4380" s="20" t="str">
        <f>IF($C4380="","",IF(Registro_Compras!$F$490="FACTURA",ROUND(Registro_Compras!$K$490*Registro_Compras!$N$490,2),""))</f>
        <v/>
      </c>
      <c r="F4380" s="20" t="str">
        <f>IF($C4380="","",IF(Registro_Compras!$F$490="RHE",ROUND(Registro_Compras!$V$490*Registro_Compras!$N$490,2),IF(Registro_Compras!$F$490="NOTA DE CREDITO",ROUND(ABS(Registro_Compras!$J$490*Registro_Compras!$N$490),2),"")))</f>
        <v/>
      </c>
      <c r="G4380" t="str">
        <f>IF($C4380="","",IF(Registro_Compras!$F$490="NOTA DE CREDITO","Por la nota de credito "&amp;Registro_Compras!$C$490&amp;" de "&amp;Registro_Compras!$E$490&amp;" [PATRON POR CONFIRMAR CON CONTADOR]",IF(Registro_Compras!$F$490="RHE","Por el registro del recibo por honorarios "&amp;Registro_Compras!$C$490&amp;" de "&amp;Registro_Compras!$E$490&amp;" [PATRON POR CONFIRMAR CON CONTADOR]","Por el registro de la factura "&amp;Registro_Compras!$C$490&amp;" de "&amp;Registro_Compras!$E$490)))</f>
        <v/>
      </c>
      <c r="H4380" t="str">
        <f>IF($C4380="","",Registro_Compras!$C$490)</f>
        <v/>
      </c>
    </row>
    <row r="4381" spans="1:8" x14ac:dyDescent="0.25">
      <c r="A4381" s="25" t="str">
        <f>IF($C4381="","",Registro_Compras!$B$490)</f>
        <v/>
      </c>
      <c r="B4381" t="str">
        <f>IF($C4381="","","C"&amp;TEXT(INT((ROW()-5)/9)+1,"000")&amp;"-1")</f>
        <v/>
      </c>
      <c r="C4381" t="str">
        <f>IF(OR(Registro_Compras!$C$490="",Registro_Compras!$O$490=""),"",IF(Registro_Compras!$F$490="NOTA DE CREDITO",IF(Registro_Compras!$K$490=0,"","40111"),"4212"))</f>
        <v/>
      </c>
      <c r="D4381" t="str">
        <f>IF(OR(Registro_Compras!$C$490="",Registro_Compras!$O$490=""),"",IF(Registro_Compras!$F$490="NOTA DE CREDITO","IGV - Cuenta Propia (Credito Fiscal)","Cuentas por Pagar Comerciales - Terceros (Emitidas)"))</f>
        <v/>
      </c>
      <c r="E4381" s="20" t="str">
        <f>""</f>
        <v/>
      </c>
      <c r="F4381" s="20" t="str">
        <f>IF($C4381="","",IF(Registro_Compras!$F$490="NOTA DE CREDITO",ROUND(ABS(Registro_Compras!$K$490*Registro_Compras!$N$490),2),IF(Registro_Compras!$F$490="RHE",(ROUND(Registro_Compras!$L$490*Registro_Compras!$N$490,2)-ROUND(Registro_Compras!$V$490*Registro_Compras!$N$490,2)),Registro_Compras!$O$490)))</f>
        <v/>
      </c>
      <c r="G4381" t="str">
        <f>IF($C4381="","",IF(Registro_Compras!$F$490="NOTA DE CREDITO","Por la nota de credito "&amp;Registro_Compras!$C$490&amp;" de "&amp;Registro_Compras!$E$490&amp;" [PATRON POR CONFIRMAR CON CONTADOR]",IF(Registro_Compras!$F$490="RHE","Por el registro del recibo por honorarios "&amp;Registro_Compras!$C$490&amp;" de "&amp;Registro_Compras!$E$490&amp;" [PATRON POR CONFIRMAR CON CONTADOR]","Por el registro de la factura "&amp;Registro_Compras!$C$490&amp;" de "&amp;Registro_Compras!$E$490)))</f>
        <v/>
      </c>
      <c r="H4381" t="str">
        <f>IF($C4381="","",Registro_Compras!$C$490)</f>
        <v/>
      </c>
    </row>
    <row r="4382" spans="1:8" x14ac:dyDescent="0.25">
      <c r="A4382" s="25" t="str">
        <f>IF($C4382="","",Registro_Compras!$B$490)</f>
        <v/>
      </c>
      <c r="B4382" t="str">
        <f>IF($C4382="","","C"&amp;TEXT(INT((ROW()-5)/9)+1,"000")&amp;"-2")</f>
        <v/>
      </c>
      <c r="C4382" t="str">
        <f>IF(OR(Registro_Compras!$C$490="",Registro_Compras!$O$490=""),"",IF(Registro_Compras!$AB$490="ADMINISTRATIVO","94","95"))</f>
        <v/>
      </c>
      <c r="D4382" t="str">
        <f>IF(OR(Registro_Compras!$C$490="",Registro_Compras!$O$490=""),"",IF(Registro_Compras!$AB$490="ADMINISTRATIVO","Gastos Administrativos","Gastos de Venta y Operacion"))</f>
        <v/>
      </c>
      <c r="E4382" s="20" t="str">
        <f>IF($C4382="","",IF(Registro_Compras!$F$490="NOTA DE CREDITO","",IF(Registro_Compras!$F$490="RHE",ROUND(Registro_Compras!$L$490*Registro_Compras!$N$490,2),ROUND(Registro_Compras!$J$490*Registro_Compras!$N$490,2))))</f>
        <v/>
      </c>
      <c r="F4382" s="20" t="str">
        <f>IF($C4382="","",IF(Registro_Compras!$F$490="NOTA DE CREDITO",ROUND(ABS(Registro_Compras!$J$490*Registro_Compras!$N$490),2),""))</f>
        <v/>
      </c>
      <c r="G4382" t="str">
        <f>IF($C4382="","","Por el destino del gasto")</f>
        <v/>
      </c>
      <c r="H4382" t="str">
        <f>IF($C4382="","",Registro_Compras!$C$490)</f>
        <v/>
      </c>
    </row>
    <row r="4383" spans="1:8" x14ac:dyDescent="0.25">
      <c r="A4383" s="25" t="str">
        <f>IF($C4383="","",Registro_Compras!$B$490)</f>
        <v/>
      </c>
      <c r="B4383" t="str">
        <f>IF($C4383="","","C"&amp;TEXT(INT((ROW()-5)/9)+1,"000")&amp;"-2")</f>
        <v/>
      </c>
      <c r="C4383" t="str">
        <f>IF(OR(Registro_Compras!$C$490="",Registro_Compras!$O$490=""),"","79/791")</f>
        <v/>
      </c>
      <c r="D4383" t="str">
        <f>IF(OR(Registro_Compras!$C$490="",Registro_Compras!$O$490=""),"","Cargas Imputables a Cuentas de Costos y Gastos")</f>
        <v/>
      </c>
      <c r="E4383" s="20" t="str">
        <f>IF($C4383="","",IF(Registro_Compras!$F$490="NOTA DE CREDITO",ROUND(ABS(Registro_Compras!$J$490*Registro_Compras!$N$490),2),""))</f>
        <v/>
      </c>
      <c r="F4383" s="20" t="str">
        <f>IF($C4383="","",IF(Registro_Compras!$F$490="NOTA DE CREDITO","",IF(Registro_Compras!$F$490="RHE",ROUND(Registro_Compras!$L$490*Registro_Compras!$N$490,2),ROUND(Registro_Compras!$J$490*Registro_Compras!$N$490,2))))</f>
        <v/>
      </c>
      <c r="G4383" t="str">
        <f>IF($C4383="","","Por el destino del gasto")</f>
        <v/>
      </c>
      <c r="H4383" t="str">
        <f>IF($C4383="","",Registro_Compras!$C$490)</f>
        <v/>
      </c>
    </row>
    <row r="4384" spans="1:8" x14ac:dyDescent="0.25">
      <c r="A4384" s="25" t="str">
        <f>IF($C4384="","",Registro_Compras!$X$490)</f>
        <v/>
      </c>
      <c r="B4384" t="str">
        <f>IF($C4384="","","C"&amp;TEXT(INT((ROW()-5)/9)+1,"000")&amp;"-3")</f>
        <v/>
      </c>
      <c r="C4384" t="str">
        <f>IF(OR(Registro_Compras!$C$490="",Registro_Compras!$O$490="",Registro_Compras!$R$490&lt;&gt;"SI",Registro_Compras!$X$490=""),"","4212")</f>
        <v/>
      </c>
      <c r="D4384" t="str">
        <f>IF(OR(Registro_Compras!$C$490="",Registro_Compras!$O$490=""),"","Cuentas por Pagar Comerciales - Terceros")</f>
        <v/>
      </c>
      <c r="E4384" s="20" t="str">
        <f>IF($C4384="","",Registro_Compras!$S$490)</f>
        <v/>
      </c>
      <c r="F4384" s="20" t="str">
        <f>""</f>
        <v/>
      </c>
      <c r="G4384" t="str">
        <f>IF($C4384="","","Por el deposito de la detraccion en el Banco de la Nacion")</f>
        <v/>
      </c>
      <c r="H4384" t="str">
        <f>IF($C4384="","",Registro_Compras!$C$490)</f>
        <v/>
      </c>
    </row>
    <row r="4385" spans="1:8" x14ac:dyDescent="0.25">
      <c r="A4385" s="25" t="str">
        <f>IF($C4385="","",Registro_Compras!$X$490)</f>
        <v/>
      </c>
      <c r="B4385" t="str">
        <f>IF($C4385="","","C"&amp;TEXT(INT((ROW()-5)/9)+1,"000")&amp;"-3")</f>
        <v/>
      </c>
      <c r="C4385" t="str">
        <f>IF(OR(Registro_Compras!$C$490="",Registro_Compras!$O$490="",Registro_Compras!$R$490&lt;&gt;"SI",Registro_Compras!$X$490=""),"","1041")</f>
        <v/>
      </c>
      <c r="D4385" t="str">
        <f>IF(OR(Registro_Compras!$C$490="",Registro_Compras!$O$490=""),"","Efectivo y Equivalentes - Cta. Cte. Operativa")</f>
        <v/>
      </c>
      <c r="E4385" s="20" t="str">
        <f>""</f>
        <v/>
      </c>
      <c r="F4385" s="20" t="str">
        <f>IF($C4385="","",Registro_Compras!$S$490)</f>
        <v/>
      </c>
      <c r="G4385" t="str">
        <f>IF($C4385="","","Por el deposito de la detraccion en el Banco de la Nacion")</f>
        <v/>
      </c>
      <c r="H4385" t="str">
        <f>IF($C4385="","",Registro_Compras!$C$490)</f>
        <v/>
      </c>
    </row>
    <row r="4386" spans="1:8" x14ac:dyDescent="0.25">
      <c r="A4386" s="25" t="str">
        <f>IF($C4386="","",Registro_Compras!$Y$490)</f>
        <v/>
      </c>
      <c r="B4386" t="str">
        <f>IF($C4386="","","C"&amp;TEXT(INT((ROW()-5)/9)+1,"000")&amp;"-4")</f>
        <v/>
      </c>
      <c r="C4386" t="str">
        <f>IF(OR(Registro_Compras!$C$490="",Registro_Compras!$O$490="",Registro_Compras!$Y$490="",Registro_Compras!$F$490="NOTA DE CREDITO"),"","4212")</f>
        <v/>
      </c>
      <c r="D4386" t="str">
        <f>IF(OR(Registro_Compras!$C$490="",Registro_Compras!$O$490=""),"","Cuentas por Pagar Comerciales - Terceros")</f>
        <v/>
      </c>
      <c r="E4386" s="20" t="str">
        <f>IF($C4386="","",IF(Registro_Compras!$F$490="RHE",(ROUND(Registro_Compras!$L$490*Registro_Compras!$N$490,2)-ROUND(Registro_Compras!$V$490*Registro_Compras!$N$490,2)),ROUND(Registro_Compras!$O$490-Registro_Compras!$S$490,2)))</f>
        <v/>
      </c>
      <c r="F4386" s="20" t="str">
        <f>""</f>
        <v/>
      </c>
      <c r="G4386" t="str">
        <f>IF($C4386="","","Por la cancelacion del saldo al proveedor")</f>
        <v/>
      </c>
      <c r="H4386" t="str">
        <f>IF($C4386="","",Registro_Compras!$C$490)</f>
        <v/>
      </c>
    </row>
    <row r="4387" spans="1:8" x14ac:dyDescent="0.25">
      <c r="A4387" s="25" t="str">
        <f>IF($C4387="","",Registro_Compras!$Y$490)</f>
        <v/>
      </c>
      <c r="B4387" t="str">
        <f>IF($C4387="","","C"&amp;TEXT(INT((ROW()-5)/9)+1,"000")&amp;"-4")</f>
        <v/>
      </c>
      <c r="C4387" t="str">
        <f>IF(OR(Registro_Compras!$C$490="",Registro_Compras!$O$490="",Registro_Compras!$Y$490="",Registro_Compras!$F$490="NOTA DE CREDITO"),"","1041")</f>
        <v/>
      </c>
      <c r="D4387" t="str">
        <f>IF(OR(Registro_Compras!$C$490="",Registro_Compras!$O$490=""),"","Efectivo y Equivalentes - Cta. Cte. Operativa")</f>
        <v/>
      </c>
      <c r="E4387" s="20" t="str">
        <f>""</f>
        <v/>
      </c>
      <c r="F4387" s="20" t="str">
        <f>IF($C4387="","",IF(Registro_Compras!$F$490="RHE",(ROUND(Registro_Compras!$L$490*Registro_Compras!$N$490,2)-ROUND(Registro_Compras!$V$490*Registro_Compras!$N$490,2)),ROUND(Registro_Compras!$O$490-Registro_Compras!$S$490,2)))</f>
        <v/>
      </c>
      <c r="G4387" t="str">
        <f>IF($C4387="","","Por la cancelacion del saldo al proveedor")</f>
        <v/>
      </c>
      <c r="H4387" t="str">
        <f>IF($C4387="","",Registro_Compras!$C$490)</f>
        <v/>
      </c>
    </row>
    <row r="4388" spans="1:8" x14ac:dyDescent="0.25">
      <c r="A4388" s="25" t="str">
        <f>IF($C4388="","",Registro_Compras!$B$491)</f>
        <v/>
      </c>
      <c r="B4388" t="str">
        <f>IF($C4388="","","C"&amp;TEXT(INT((ROW()-5)/9)+1,"000")&amp;"-1")</f>
        <v/>
      </c>
      <c r="C4388" t="str">
        <f>IF(OR(Registro_Compras!$C$491="",Registro_Compras!$O$491=""),"",IF(Registro_Compras!$F$491="NOTA DE CREDITO","4212",IF(Registro_Compras!$M$491="","63",Registro_Compras!$M$491)))</f>
        <v/>
      </c>
      <c r="D4388" t="str">
        <f>IF(OR(Registro_Compras!$C$491="",Registro_Compras!$O$491=""),"",IF(Registro_Compras!$F$491="NOTA DE CREDITO","Cuentas por Pagar Comerciales - Terceros (Emitidas)",IF(Registro_Compras!$F$491="RHE","Honorarios Profesionales - Servicios de Terceros","Gastos de Servicios Prestados por Terceros")))</f>
        <v/>
      </c>
      <c r="E4388" s="20" t="str">
        <f>IF($C4388="","",IF(Registro_Compras!$F$491="NOTA DE CREDITO",ABS(Registro_Compras!$O$491),IF(Registro_Compras!$F$491="RHE",ROUND(Registro_Compras!$L$491*Registro_Compras!$N$491,2),ROUND(Registro_Compras!$J$491*Registro_Compras!$N$491,2))))</f>
        <v/>
      </c>
      <c r="F4388" s="20" t="str">
        <f>""</f>
        <v/>
      </c>
      <c r="G4388" t="str">
        <f>IF($C4388="","",IF(Registro_Compras!$F$491="NOTA DE CREDITO","Por la nota de credito "&amp;Registro_Compras!$C$491&amp;" de "&amp;Registro_Compras!$E$491&amp;" [PATRON POR CONFIRMAR CON CONTADOR]",IF(Registro_Compras!$F$491="RHE","Por el registro del recibo por honorarios "&amp;Registro_Compras!$C$491&amp;" de "&amp;Registro_Compras!$E$491&amp;" [PATRON POR CONFIRMAR CON CONTADOR]","Por el registro de la factura "&amp;Registro_Compras!$C$491&amp;" de "&amp;Registro_Compras!$E$491)))</f>
        <v/>
      </c>
      <c r="H4388" t="str">
        <f>IF($C4388="","",Registro_Compras!$C$491)</f>
        <v/>
      </c>
    </row>
    <row r="4389" spans="1:8" x14ac:dyDescent="0.25">
      <c r="A4389" s="25" t="str">
        <f>IF($C4389="","",Registro_Compras!$B$491)</f>
        <v/>
      </c>
      <c r="B4389" t="str">
        <f>IF($C4389="","","C"&amp;TEXT(INT((ROW()-5)/9)+1,"000")&amp;"-1")</f>
        <v/>
      </c>
      <c r="C4389" t="str">
        <f>IF(OR(Registro_Compras!$C$491="",Registro_Compras!$O$491=""),"",IF(Registro_Compras!$F$491="RHE",IF(Registro_Compras!$V$491=0,"","4017"),IF(Registro_Compras!$F$491="NOTA DE CREDITO",IF(Registro_Compras!$M$491="","63",Registro_Compras!$M$491),IF(Registro_Compras!$K$491=0,"","40111"))))</f>
        <v/>
      </c>
      <c r="D4389" t="str">
        <f>IF(OR(Registro_Compras!$C$491="",Registro_Compras!$O$491=""),"",IF(Registro_Compras!$F$491="RHE","Retencion Renta 4ta Categoria por Pagar",IF(Registro_Compras!$F$491="NOTA DE CREDITO","Gastos de Servicios Prestados por Terceros","IGV - Cuenta Propia (Credito Fiscal)")))</f>
        <v/>
      </c>
      <c r="E4389" s="20" t="str">
        <f>IF($C4389="","",IF(Registro_Compras!$F$491="FACTURA",ROUND(Registro_Compras!$K$491*Registro_Compras!$N$491,2),""))</f>
        <v/>
      </c>
      <c r="F4389" s="20" t="str">
        <f>IF($C4389="","",IF(Registro_Compras!$F$491="RHE",ROUND(Registro_Compras!$V$491*Registro_Compras!$N$491,2),IF(Registro_Compras!$F$491="NOTA DE CREDITO",ROUND(ABS(Registro_Compras!$J$491*Registro_Compras!$N$491),2),"")))</f>
        <v/>
      </c>
      <c r="G4389" t="str">
        <f>IF($C4389="","",IF(Registro_Compras!$F$491="NOTA DE CREDITO","Por la nota de credito "&amp;Registro_Compras!$C$491&amp;" de "&amp;Registro_Compras!$E$491&amp;" [PATRON POR CONFIRMAR CON CONTADOR]",IF(Registro_Compras!$F$491="RHE","Por el registro del recibo por honorarios "&amp;Registro_Compras!$C$491&amp;" de "&amp;Registro_Compras!$E$491&amp;" [PATRON POR CONFIRMAR CON CONTADOR]","Por el registro de la factura "&amp;Registro_Compras!$C$491&amp;" de "&amp;Registro_Compras!$E$491)))</f>
        <v/>
      </c>
      <c r="H4389" t="str">
        <f>IF($C4389="","",Registro_Compras!$C$491)</f>
        <v/>
      </c>
    </row>
    <row r="4390" spans="1:8" x14ac:dyDescent="0.25">
      <c r="A4390" s="25" t="str">
        <f>IF($C4390="","",Registro_Compras!$B$491)</f>
        <v/>
      </c>
      <c r="B4390" t="str">
        <f>IF($C4390="","","C"&amp;TEXT(INT((ROW()-5)/9)+1,"000")&amp;"-1")</f>
        <v/>
      </c>
      <c r="C4390" t="str">
        <f>IF(OR(Registro_Compras!$C$491="",Registro_Compras!$O$491=""),"",IF(Registro_Compras!$F$491="NOTA DE CREDITO",IF(Registro_Compras!$K$491=0,"","40111"),"4212"))</f>
        <v/>
      </c>
      <c r="D4390" t="str">
        <f>IF(OR(Registro_Compras!$C$491="",Registro_Compras!$O$491=""),"",IF(Registro_Compras!$F$491="NOTA DE CREDITO","IGV - Cuenta Propia (Credito Fiscal)","Cuentas por Pagar Comerciales - Terceros (Emitidas)"))</f>
        <v/>
      </c>
      <c r="E4390" s="20" t="str">
        <f>""</f>
        <v/>
      </c>
      <c r="F4390" s="20" t="str">
        <f>IF($C4390="","",IF(Registro_Compras!$F$491="NOTA DE CREDITO",ROUND(ABS(Registro_Compras!$K$491*Registro_Compras!$N$491),2),IF(Registro_Compras!$F$491="RHE",(ROUND(Registro_Compras!$L$491*Registro_Compras!$N$491,2)-ROUND(Registro_Compras!$V$491*Registro_Compras!$N$491,2)),Registro_Compras!$O$491)))</f>
        <v/>
      </c>
      <c r="G4390" t="str">
        <f>IF($C4390="","",IF(Registro_Compras!$F$491="NOTA DE CREDITO","Por la nota de credito "&amp;Registro_Compras!$C$491&amp;" de "&amp;Registro_Compras!$E$491&amp;" [PATRON POR CONFIRMAR CON CONTADOR]",IF(Registro_Compras!$F$491="RHE","Por el registro del recibo por honorarios "&amp;Registro_Compras!$C$491&amp;" de "&amp;Registro_Compras!$E$491&amp;" [PATRON POR CONFIRMAR CON CONTADOR]","Por el registro de la factura "&amp;Registro_Compras!$C$491&amp;" de "&amp;Registro_Compras!$E$491)))</f>
        <v/>
      </c>
      <c r="H4390" t="str">
        <f>IF($C4390="","",Registro_Compras!$C$491)</f>
        <v/>
      </c>
    </row>
    <row r="4391" spans="1:8" x14ac:dyDescent="0.25">
      <c r="A4391" s="25" t="str">
        <f>IF($C4391="","",Registro_Compras!$B$491)</f>
        <v/>
      </c>
      <c r="B4391" t="str">
        <f>IF($C4391="","","C"&amp;TEXT(INT((ROW()-5)/9)+1,"000")&amp;"-2")</f>
        <v/>
      </c>
      <c r="C4391" t="str">
        <f>IF(OR(Registro_Compras!$C$491="",Registro_Compras!$O$491=""),"",IF(Registro_Compras!$AB$491="ADMINISTRATIVO","94","95"))</f>
        <v/>
      </c>
      <c r="D4391" t="str">
        <f>IF(OR(Registro_Compras!$C$491="",Registro_Compras!$O$491=""),"",IF(Registro_Compras!$AB$491="ADMINISTRATIVO","Gastos Administrativos","Gastos de Venta y Operacion"))</f>
        <v/>
      </c>
      <c r="E4391" s="20" t="str">
        <f>IF($C4391="","",IF(Registro_Compras!$F$491="NOTA DE CREDITO","",IF(Registro_Compras!$F$491="RHE",ROUND(Registro_Compras!$L$491*Registro_Compras!$N$491,2),ROUND(Registro_Compras!$J$491*Registro_Compras!$N$491,2))))</f>
        <v/>
      </c>
      <c r="F4391" s="20" t="str">
        <f>IF($C4391="","",IF(Registro_Compras!$F$491="NOTA DE CREDITO",ROUND(ABS(Registro_Compras!$J$491*Registro_Compras!$N$491),2),""))</f>
        <v/>
      </c>
      <c r="G4391" t="str">
        <f>IF($C4391="","","Por el destino del gasto")</f>
        <v/>
      </c>
      <c r="H4391" t="str">
        <f>IF($C4391="","",Registro_Compras!$C$491)</f>
        <v/>
      </c>
    </row>
    <row r="4392" spans="1:8" x14ac:dyDescent="0.25">
      <c r="A4392" s="25" t="str">
        <f>IF($C4392="","",Registro_Compras!$B$491)</f>
        <v/>
      </c>
      <c r="B4392" t="str">
        <f>IF($C4392="","","C"&amp;TEXT(INT((ROW()-5)/9)+1,"000")&amp;"-2")</f>
        <v/>
      </c>
      <c r="C4392" t="str">
        <f>IF(OR(Registro_Compras!$C$491="",Registro_Compras!$O$491=""),"","79/791")</f>
        <v/>
      </c>
      <c r="D4392" t="str">
        <f>IF(OR(Registro_Compras!$C$491="",Registro_Compras!$O$491=""),"","Cargas Imputables a Cuentas de Costos y Gastos")</f>
        <v/>
      </c>
      <c r="E4392" s="20" t="str">
        <f>IF($C4392="","",IF(Registro_Compras!$F$491="NOTA DE CREDITO",ROUND(ABS(Registro_Compras!$J$491*Registro_Compras!$N$491),2),""))</f>
        <v/>
      </c>
      <c r="F4392" s="20" t="str">
        <f>IF($C4392="","",IF(Registro_Compras!$F$491="NOTA DE CREDITO","",IF(Registro_Compras!$F$491="RHE",ROUND(Registro_Compras!$L$491*Registro_Compras!$N$491,2),ROUND(Registro_Compras!$J$491*Registro_Compras!$N$491,2))))</f>
        <v/>
      </c>
      <c r="G4392" t="str">
        <f>IF($C4392="","","Por el destino del gasto")</f>
        <v/>
      </c>
      <c r="H4392" t="str">
        <f>IF($C4392="","",Registro_Compras!$C$491)</f>
        <v/>
      </c>
    </row>
    <row r="4393" spans="1:8" x14ac:dyDescent="0.25">
      <c r="A4393" s="25" t="str">
        <f>IF($C4393="","",Registro_Compras!$X$491)</f>
        <v/>
      </c>
      <c r="B4393" t="str">
        <f>IF($C4393="","","C"&amp;TEXT(INT((ROW()-5)/9)+1,"000")&amp;"-3")</f>
        <v/>
      </c>
      <c r="C4393" t="str">
        <f>IF(OR(Registro_Compras!$C$491="",Registro_Compras!$O$491="",Registro_Compras!$R$491&lt;&gt;"SI",Registro_Compras!$X$491=""),"","4212")</f>
        <v/>
      </c>
      <c r="D4393" t="str">
        <f>IF(OR(Registro_Compras!$C$491="",Registro_Compras!$O$491=""),"","Cuentas por Pagar Comerciales - Terceros")</f>
        <v/>
      </c>
      <c r="E4393" s="20" t="str">
        <f>IF($C4393="","",Registro_Compras!$S$491)</f>
        <v/>
      </c>
      <c r="F4393" s="20" t="str">
        <f>""</f>
        <v/>
      </c>
      <c r="G4393" t="str">
        <f>IF($C4393="","","Por el deposito de la detraccion en el Banco de la Nacion")</f>
        <v/>
      </c>
      <c r="H4393" t="str">
        <f>IF($C4393="","",Registro_Compras!$C$491)</f>
        <v/>
      </c>
    </row>
    <row r="4394" spans="1:8" x14ac:dyDescent="0.25">
      <c r="A4394" s="25" t="str">
        <f>IF($C4394="","",Registro_Compras!$X$491)</f>
        <v/>
      </c>
      <c r="B4394" t="str">
        <f>IF($C4394="","","C"&amp;TEXT(INT((ROW()-5)/9)+1,"000")&amp;"-3")</f>
        <v/>
      </c>
      <c r="C4394" t="str">
        <f>IF(OR(Registro_Compras!$C$491="",Registro_Compras!$O$491="",Registro_Compras!$R$491&lt;&gt;"SI",Registro_Compras!$X$491=""),"","1041")</f>
        <v/>
      </c>
      <c r="D4394" t="str">
        <f>IF(OR(Registro_Compras!$C$491="",Registro_Compras!$O$491=""),"","Efectivo y Equivalentes - Cta. Cte. Operativa")</f>
        <v/>
      </c>
      <c r="E4394" s="20" t="str">
        <f>""</f>
        <v/>
      </c>
      <c r="F4394" s="20" t="str">
        <f>IF($C4394="","",Registro_Compras!$S$491)</f>
        <v/>
      </c>
      <c r="G4394" t="str">
        <f>IF($C4394="","","Por el deposito de la detraccion en el Banco de la Nacion")</f>
        <v/>
      </c>
      <c r="H4394" t="str">
        <f>IF($C4394="","",Registro_Compras!$C$491)</f>
        <v/>
      </c>
    </row>
    <row r="4395" spans="1:8" x14ac:dyDescent="0.25">
      <c r="A4395" s="25" t="str">
        <f>IF($C4395="","",Registro_Compras!$Y$491)</f>
        <v/>
      </c>
      <c r="B4395" t="str">
        <f>IF($C4395="","","C"&amp;TEXT(INT((ROW()-5)/9)+1,"000")&amp;"-4")</f>
        <v/>
      </c>
      <c r="C4395" t="str">
        <f>IF(OR(Registro_Compras!$C$491="",Registro_Compras!$O$491="",Registro_Compras!$Y$491="",Registro_Compras!$F$491="NOTA DE CREDITO"),"","4212")</f>
        <v/>
      </c>
      <c r="D4395" t="str">
        <f>IF(OR(Registro_Compras!$C$491="",Registro_Compras!$O$491=""),"","Cuentas por Pagar Comerciales - Terceros")</f>
        <v/>
      </c>
      <c r="E4395" s="20" t="str">
        <f>IF($C4395="","",IF(Registro_Compras!$F$491="RHE",(ROUND(Registro_Compras!$L$491*Registro_Compras!$N$491,2)-ROUND(Registro_Compras!$V$491*Registro_Compras!$N$491,2)),ROUND(Registro_Compras!$O$491-Registro_Compras!$S$491,2)))</f>
        <v/>
      </c>
      <c r="F4395" s="20" t="str">
        <f>""</f>
        <v/>
      </c>
      <c r="G4395" t="str">
        <f>IF($C4395="","","Por la cancelacion del saldo al proveedor")</f>
        <v/>
      </c>
      <c r="H4395" t="str">
        <f>IF($C4395="","",Registro_Compras!$C$491)</f>
        <v/>
      </c>
    </row>
    <row r="4396" spans="1:8" x14ac:dyDescent="0.25">
      <c r="A4396" s="25" t="str">
        <f>IF($C4396="","",Registro_Compras!$Y$491)</f>
        <v/>
      </c>
      <c r="B4396" t="str">
        <f>IF($C4396="","","C"&amp;TEXT(INT((ROW()-5)/9)+1,"000")&amp;"-4")</f>
        <v/>
      </c>
      <c r="C4396" t="str">
        <f>IF(OR(Registro_Compras!$C$491="",Registro_Compras!$O$491="",Registro_Compras!$Y$491="",Registro_Compras!$F$491="NOTA DE CREDITO"),"","1041")</f>
        <v/>
      </c>
      <c r="D4396" t="str">
        <f>IF(OR(Registro_Compras!$C$491="",Registro_Compras!$O$491=""),"","Efectivo y Equivalentes - Cta. Cte. Operativa")</f>
        <v/>
      </c>
      <c r="E4396" s="20" t="str">
        <f>""</f>
        <v/>
      </c>
      <c r="F4396" s="20" t="str">
        <f>IF($C4396="","",IF(Registro_Compras!$F$491="RHE",(ROUND(Registro_Compras!$L$491*Registro_Compras!$N$491,2)-ROUND(Registro_Compras!$V$491*Registro_Compras!$N$491,2)),ROUND(Registro_Compras!$O$491-Registro_Compras!$S$491,2)))</f>
        <v/>
      </c>
      <c r="G4396" t="str">
        <f>IF($C4396="","","Por la cancelacion del saldo al proveedor")</f>
        <v/>
      </c>
      <c r="H4396" t="str">
        <f>IF($C4396="","",Registro_Compras!$C$491)</f>
        <v/>
      </c>
    </row>
    <row r="4397" spans="1:8" x14ac:dyDescent="0.25">
      <c r="A4397" s="25" t="str">
        <f>IF($C4397="","",Registro_Compras!$B$492)</f>
        <v/>
      </c>
      <c r="B4397" t="str">
        <f>IF($C4397="","","C"&amp;TEXT(INT((ROW()-5)/9)+1,"000")&amp;"-1")</f>
        <v/>
      </c>
      <c r="C4397" t="str">
        <f>IF(OR(Registro_Compras!$C$492="",Registro_Compras!$O$492=""),"",IF(Registro_Compras!$F$492="NOTA DE CREDITO","4212",IF(Registro_Compras!$M$492="","63",Registro_Compras!$M$492)))</f>
        <v/>
      </c>
      <c r="D4397" t="str">
        <f>IF(OR(Registro_Compras!$C$492="",Registro_Compras!$O$492=""),"",IF(Registro_Compras!$F$492="NOTA DE CREDITO","Cuentas por Pagar Comerciales - Terceros (Emitidas)",IF(Registro_Compras!$F$492="RHE","Honorarios Profesionales - Servicios de Terceros","Gastos de Servicios Prestados por Terceros")))</f>
        <v/>
      </c>
      <c r="E4397" s="20" t="str">
        <f>IF($C4397="","",IF(Registro_Compras!$F$492="NOTA DE CREDITO",ABS(Registro_Compras!$O$492),IF(Registro_Compras!$F$492="RHE",ROUND(Registro_Compras!$L$492*Registro_Compras!$N$492,2),ROUND(Registro_Compras!$J$492*Registro_Compras!$N$492,2))))</f>
        <v/>
      </c>
      <c r="F4397" s="20" t="str">
        <f>""</f>
        <v/>
      </c>
      <c r="G4397" t="str">
        <f>IF($C4397="","",IF(Registro_Compras!$F$492="NOTA DE CREDITO","Por la nota de credito "&amp;Registro_Compras!$C$492&amp;" de "&amp;Registro_Compras!$E$492&amp;" [PATRON POR CONFIRMAR CON CONTADOR]",IF(Registro_Compras!$F$492="RHE","Por el registro del recibo por honorarios "&amp;Registro_Compras!$C$492&amp;" de "&amp;Registro_Compras!$E$492&amp;" [PATRON POR CONFIRMAR CON CONTADOR]","Por el registro de la factura "&amp;Registro_Compras!$C$492&amp;" de "&amp;Registro_Compras!$E$492)))</f>
        <v/>
      </c>
      <c r="H4397" t="str">
        <f>IF($C4397="","",Registro_Compras!$C$492)</f>
        <v/>
      </c>
    </row>
    <row r="4398" spans="1:8" x14ac:dyDescent="0.25">
      <c r="A4398" s="25" t="str">
        <f>IF($C4398="","",Registro_Compras!$B$492)</f>
        <v/>
      </c>
      <c r="B4398" t="str">
        <f>IF($C4398="","","C"&amp;TEXT(INT((ROW()-5)/9)+1,"000")&amp;"-1")</f>
        <v/>
      </c>
      <c r="C4398" t="str">
        <f>IF(OR(Registro_Compras!$C$492="",Registro_Compras!$O$492=""),"",IF(Registro_Compras!$F$492="RHE",IF(Registro_Compras!$V$492=0,"","4017"),IF(Registro_Compras!$F$492="NOTA DE CREDITO",IF(Registro_Compras!$M$492="","63",Registro_Compras!$M$492),IF(Registro_Compras!$K$492=0,"","40111"))))</f>
        <v/>
      </c>
      <c r="D4398" t="str">
        <f>IF(OR(Registro_Compras!$C$492="",Registro_Compras!$O$492=""),"",IF(Registro_Compras!$F$492="RHE","Retencion Renta 4ta Categoria por Pagar",IF(Registro_Compras!$F$492="NOTA DE CREDITO","Gastos de Servicios Prestados por Terceros","IGV - Cuenta Propia (Credito Fiscal)")))</f>
        <v/>
      </c>
      <c r="E4398" s="20" t="str">
        <f>IF($C4398="","",IF(Registro_Compras!$F$492="FACTURA",ROUND(Registro_Compras!$K$492*Registro_Compras!$N$492,2),""))</f>
        <v/>
      </c>
      <c r="F4398" s="20" t="str">
        <f>IF($C4398="","",IF(Registro_Compras!$F$492="RHE",ROUND(Registro_Compras!$V$492*Registro_Compras!$N$492,2),IF(Registro_Compras!$F$492="NOTA DE CREDITO",ROUND(ABS(Registro_Compras!$J$492*Registro_Compras!$N$492),2),"")))</f>
        <v/>
      </c>
      <c r="G4398" t="str">
        <f>IF($C4398="","",IF(Registro_Compras!$F$492="NOTA DE CREDITO","Por la nota de credito "&amp;Registro_Compras!$C$492&amp;" de "&amp;Registro_Compras!$E$492&amp;" [PATRON POR CONFIRMAR CON CONTADOR]",IF(Registro_Compras!$F$492="RHE","Por el registro del recibo por honorarios "&amp;Registro_Compras!$C$492&amp;" de "&amp;Registro_Compras!$E$492&amp;" [PATRON POR CONFIRMAR CON CONTADOR]","Por el registro de la factura "&amp;Registro_Compras!$C$492&amp;" de "&amp;Registro_Compras!$E$492)))</f>
        <v/>
      </c>
      <c r="H4398" t="str">
        <f>IF($C4398="","",Registro_Compras!$C$492)</f>
        <v/>
      </c>
    </row>
    <row r="4399" spans="1:8" x14ac:dyDescent="0.25">
      <c r="A4399" s="25" t="str">
        <f>IF($C4399="","",Registro_Compras!$B$492)</f>
        <v/>
      </c>
      <c r="B4399" t="str">
        <f>IF($C4399="","","C"&amp;TEXT(INT((ROW()-5)/9)+1,"000")&amp;"-1")</f>
        <v/>
      </c>
      <c r="C4399" t="str">
        <f>IF(OR(Registro_Compras!$C$492="",Registro_Compras!$O$492=""),"",IF(Registro_Compras!$F$492="NOTA DE CREDITO",IF(Registro_Compras!$K$492=0,"","40111"),"4212"))</f>
        <v/>
      </c>
      <c r="D4399" t="str">
        <f>IF(OR(Registro_Compras!$C$492="",Registro_Compras!$O$492=""),"",IF(Registro_Compras!$F$492="NOTA DE CREDITO","IGV - Cuenta Propia (Credito Fiscal)","Cuentas por Pagar Comerciales - Terceros (Emitidas)"))</f>
        <v/>
      </c>
      <c r="E4399" s="20" t="str">
        <f>""</f>
        <v/>
      </c>
      <c r="F4399" s="20" t="str">
        <f>IF($C4399="","",IF(Registro_Compras!$F$492="NOTA DE CREDITO",ROUND(ABS(Registro_Compras!$K$492*Registro_Compras!$N$492),2),IF(Registro_Compras!$F$492="RHE",(ROUND(Registro_Compras!$L$492*Registro_Compras!$N$492,2)-ROUND(Registro_Compras!$V$492*Registro_Compras!$N$492,2)),Registro_Compras!$O$492)))</f>
        <v/>
      </c>
      <c r="G4399" t="str">
        <f>IF($C4399="","",IF(Registro_Compras!$F$492="NOTA DE CREDITO","Por la nota de credito "&amp;Registro_Compras!$C$492&amp;" de "&amp;Registro_Compras!$E$492&amp;" [PATRON POR CONFIRMAR CON CONTADOR]",IF(Registro_Compras!$F$492="RHE","Por el registro del recibo por honorarios "&amp;Registro_Compras!$C$492&amp;" de "&amp;Registro_Compras!$E$492&amp;" [PATRON POR CONFIRMAR CON CONTADOR]","Por el registro de la factura "&amp;Registro_Compras!$C$492&amp;" de "&amp;Registro_Compras!$E$492)))</f>
        <v/>
      </c>
      <c r="H4399" t="str">
        <f>IF($C4399="","",Registro_Compras!$C$492)</f>
        <v/>
      </c>
    </row>
    <row r="4400" spans="1:8" x14ac:dyDescent="0.25">
      <c r="A4400" s="25" t="str">
        <f>IF($C4400="","",Registro_Compras!$B$492)</f>
        <v/>
      </c>
      <c r="B4400" t="str">
        <f>IF($C4400="","","C"&amp;TEXT(INT((ROW()-5)/9)+1,"000")&amp;"-2")</f>
        <v/>
      </c>
      <c r="C4400" t="str">
        <f>IF(OR(Registro_Compras!$C$492="",Registro_Compras!$O$492=""),"",IF(Registro_Compras!$AB$492="ADMINISTRATIVO","94","95"))</f>
        <v/>
      </c>
      <c r="D4400" t="str">
        <f>IF(OR(Registro_Compras!$C$492="",Registro_Compras!$O$492=""),"",IF(Registro_Compras!$AB$492="ADMINISTRATIVO","Gastos Administrativos","Gastos de Venta y Operacion"))</f>
        <v/>
      </c>
      <c r="E4400" s="20" t="str">
        <f>IF($C4400="","",IF(Registro_Compras!$F$492="NOTA DE CREDITO","",IF(Registro_Compras!$F$492="RHE",ROUND(Registro_Compras!$L$492*Registro_Compras!$N$492,2),ROUND(Registro_Compras!$J$492*Registro_Compras!$N$492,2))))</f>
        <v/>
      </c>
      <c r="F4400" s="20" t="str">
        <f>IF($C4400="","",IF(Registro_Compras!$F$492="NOTA DE CREDITO",ROUND(ABS(Registro_Compras!$J$492*Registro_Compras!$N$492),2),""))</f>
        <v/>
      </c>
      <c r="G4400" t="str">
        <f>IF($C4400="","","Por el destino del gasto")</f>
        <v/>
      </c>
      <c r="H4400" t="str">
        <f>IF($C4400="","",Registro_Compras!$C$492)</f>
        <v/>
      </c>
    </row>
    <row r="4401" spans="1:8" x14ac:dyDescent="0.25">
      <c r="A4401" s="25" t="str">
        <f>IF($C4401="","",Registro_Compras!$B$492)</f>
        <v/>
      </c>
      <c r="B4401" t="str">
        <f>IF($C4401="","","C"&amp;TEXT(INT((ROW()-5)/9)+1,"000")&amp;"-2")</f>
        <v/>
      </c>
      <c r="C4401" t="str">
        <f>IF(OR(Registro_Compras!$C$492="",Registro_Compras!$O$492=""),"","79/791")</f>
        <v/>
      </c>
      <c r="D4401" t="str">
        <f>IF(OR(Registro_Compras!$C$492="",Registro_Compras!$O$492=""),"","Cargas Imputables a Cuentas de Costos y Gastos")</f>
        <v/>
      </c>
      <c r="E4401" s="20" t="str">
        <f>IF($C4401="","",IF(Registro_Compras!$F$492="NOTA DE CREDITO",ROUND(ABS(Registro_Compras!$J$492*Registro_Compras!$N$492),2),""))</f>
        <v/>
      </c>
      <c r="F4401" s="20" t="str">
        <f>IF($C4401="","",IF(Registro_Compras!$F$492="NOTA DE CREDITO","",IF(Registro_Compras!$F$492="RHE",ROUND(Registro_Compras!$L$492*Registro_Compras!$N$492,2),ROUND(Registro_Compras!$J$492*Registro_Compras!$N$492,2))))</f>
        <v/>
      </c>
      <c r="G4401" t="str">
        <f>IF($C4401="","","Por el destino del gasto")</f>
        <v/>
      </c>
      <c r="H4401" t="str">
        <f>IF($C4401="","",Registro_Compras!$C$492)</f>
        <v/>
      </c>
    </row>
    <row r="4402" spans="1:8" x14ac:dyDescent="0.25">
      <c r="A4402" s="25" t="str">
        <f>IF($C4402="","",Registro_Compras!$X$492)</f>
        <v/>
      </c>
      <c r="B4402" t="str">
        <f>IF($C4402="","","C"&amp;TEXT(INT((ROW()-5)/9)+1,"000")&amp;"-3")</f>
        <v/>
      </c>
      <c r="C4402" t="str">
        <f>IF(OR(Registro_Compras!$C$492="",Registro_Compras!$O$492="",Registro_Compras!$R$492&lt;&gt;"SI",Registro_Compras!$X$492=""),"","4212")</f>
        <v/>
      </c>
      <c r="D4402" t="str">
        <f>IF(OR(Registro_Compras!$C$492="",Registro_Compras!$O$492=""),"","Cuentas por Pagar Comerciales - Terceros")</f>
        <v/>
      </c>
      <c r="E4402" s="20" t="str">
        <f>IF($C4402="","",Registro_Compras!$S$492)</f>
        <v/>
      </c>
      <c r="F4402" s="20" t="str">
        <f>""</f>
        <v/>
      </c>
      <c r="G4402" t="str">
        <f>IF($C4402="","","Por el deposito de la detraccion en el Banco de la Nacion")</f>
        <v/>
      </c>
      <c r="H4402" t="str">
        <f>IF($C4402="","",Registro_Compras!$C$492)</f>
        <v/>
      </c>
    </row>
    <row r="4403" spans="1:8" x14ac:dyDescent="0.25">
      <c r="A4403" s="25" t="str">
        <f>IF($C4403="","",Registro_Compras!$X$492)</f>
        <v/>
      </c>
      <c r="B4403" t="str">
        <f>IF($C4403="","","C"&amp;TEXT(INT((ROW()-5)/9)+1,"000")&amp;"-3")</f>
        <v/>
      </c>
      <c r="C4403" t="str">
        <f>IF(OR(Registro_Compras!$C$492="",Registro_Compras!$O$492="",Registro_Compras!$R$492&lt;&gt;"SI",Registro_Compras!$X$492=""),"","1041")</f>
        <v/>
      </c>
      <c r="D4403" t="str">
        <f>IF(OR(Registro_Compras!$C$492="",Registro_Compras!$O$492=""),"","Efectivo y Equivalentes - Cta. Cte. Operativa")</f>
        <v/>
      </c>
      <c r="E4403" s="20" t="str">
        <f>""</f>
        <v/>
      </c>
      <c r="F4403" s="20" t="str">
        <f>IF($C4403="","",Registro_Compras!$S$492)</f>
        <v/>
      </c>
      <c r="G4403" t="str">
        <f>IF($C4403="","","Por el deposito de la detraccion en el Banco de la Nacion")</f>
        <v/>
      </c>
      <c r="H4403" t="str">
        <f>IF($C4403="","",Registro_Compras!$C$492)</f>
        <v/>
      </c>
    </row>
    <row r="4404" spans="1:8" x14ac:dyDescent="0.25">
      <c r="A4404" s="25" t="str">
        <f>IF($C4404="","",Registro_Compras!$Y$492)</f>
        <v/>
      </c>
      <c r="B4404" t="str">
        <f>IF($C4404="","","C"&amp;TEXT(INT((ROW()-5)/9)+1,"000")&amp;"-4")</f>
        <v/>
      </c>
      <c r="C4404" t="str">
        <f>IF(OR(Registro_Compras!$C$492="",Registro_Compras!$O$492="",Registro_Compras!$Y$492="",Registro_Compras!$F$492="NOTA DE CREDITO"),"","4212")</f>
        <v/>
      </c>
      <c r="D4404" t="str">
        <f>IF(OR(Registro_Compras!$C$492="",Registro_Compras!$O$492=""),"","Cuentas por Pagar Comerciales - Terceros")</f>
        <v/>
      </c>
      <c r="E4404" s="20" t="str">
        <f>IF($C4404="","",IF(Registro_Compras!$F$492="RHE",(ROUND(Registro_Compras!$L$492*Registro_Compras!$N$492,2)-ROUND(Registro_Compras!$V$492*Registro_Compras!$N$492,2)),ROUND(Registro_Compras!$O$492-Registro_Compras!$S$492,2)))</f>
        <v/>
      </c>
      <c r="F4404" s="20" t="str">
        <f>""</f>
        <v/>
      </c>
      <c r="G4404" t="str">
        <f>IF($C4404="","","Por la cancelacion del saldo al proveedor")</f>
        <v/>
      </c>
      <c r="H4404" t="str">
        <f>IF($C4404="","",Registro_Compras!$C$492)</f>
        <v/>
      </c>
    </row>
    <row r="4405" spans="1:8" x14ac:dyDescent="0.25">
      <c r="A4405" s="25" t="str">
        <f>IF($C4405="","",Registro_Compras!$Y$492)</f>
        <v/>
      </c>
      <c r="B4405" t="str">
        <f>IF($C4405="","","C"&amp;TEXT(INT((ROW()-5)/9)+1,"000")&amp;"-4")</f>
        <v/>
      </c>
      <c r="C4405" t="str">
        <f>IF(OR(Registro_Compras!$C$492="",Registro_Compras!$O$492="",Registro_Compras!$Y$492="",Registro_Compras!$F$492="NOTA DE CREDITO"),"","1041")</f>
        <v/>
      </c>
      <c r="D4405" t="str">
        <f>IF(OR(Registro_Compras!$C$492="",Registro_Compras!$O$492=""),"","Efectivo y Equivalentes - Cta. Cte. Operativa")</f>
        <v/>
      </c>
      <c r="E4405" s="20" t="str">
        <f>""</f>
        <v/>
      </c>
      <c r="F4405" s="20" t="str">
        <f>IF($C4405="","",IF(Registro_Compras!$F$492="RHE",(ROUND(Registro_Compras!$L$492*Registro_Compras!$N$492,2)-ROUND(Registro_Compras!$V$492*Registro_Compras!$N$492,2)),ROUND(Registro_Compras!$O$492-Registro_Compras!$S$492,2)))</f>
        <v/>
      </c>
      <c r="G4405" t="str">
        <f>IF($C4405="","","Por la cancelacion del saldo al proveedor")</f>
        <v/>
      </c>
      <c r="H4405" t="str">
        <f>IF($C4405="","",Registro_Compras!$C$492)</f>
        <v/>
      </c>
    </row>
    <row r="4406" spans="1:8" x14ac:dyDescent="0.25">
      <c r="A4406" s="25" t="str">
        <f>IF($C4406="","",Registro_Compras!$B$493)</f>
        <v/>
      </c>
      <c r="B4406" t="str">
        <f>IF($C4406="","","C"&amp;TEXT(INT((ROW()-5)/9)+1,"000")&amp;"-1")</f>
        <v/>
      </c>
      <c r="C4406" t="str">
        <f>IF(OR(Registro_Compras!$C$493="",Registro_Compras!$O$493=""),"",IF(Registro_Compras!$F$493="NOTA DE CREDITO","4212",IF(Registro_Compras!$M$493="","63",Registro_Compras!$M$493)))</f>
        <v/>
      </c>
      <c r="D4406" t="str">
        <f>IF(OR(Registro_Compras!$C$493="",Registro_Compras!$O$493=""),"",IF(Registro_Compras!$F$493="NOTA DE CREDITO","Cuentas por Pagar Comerciales - Terceros (Emitidas)",IF(Registro_Compras!$F$493="RHE","Honorarios Profesionales - Servicios de Terceros","Gastos de Servicios Prestados por Terceros")))</f>
        <v/>
      </c>
      <c r="E4406" s="20" t="str">
        <f>IF($C4406="","",IF(Registro_Compras!$F$493="NOTA DE CREDITO",ABS(Registro_Compras!$O$493),IF(Registro_Compras!$F$493="RHE",ROUND(Registro_Compras!$L$493*Registro_Compras!$N$493,2),ROUND(Registro_Compras!$J$493*Registro_Compras!$N$493,2))))</f>
        <v/>
      </c>
      <c r="F4406" s="20" t="str">
        <f>""</f>
        <v/>
      </c>
      <c r="G4406" t="str">
        <f>IF($C4406="","",IF(Registro_Compras!$F$493="NOTA DE CREDITO","Por la nota de credito "&amp;Registro_Compras!$C$493&amp;" de "&amp;Registro_Compras!$E$493&amp;" [PATRON POR CONFIRMAR CON CONTADOR]",IF(Registro_Compras!$F$493="RHE","Por el registro del recibo por honorarios "&amp;Registro_Compras!$C$493&amp;" de "&amp;Registro_Compras!$E$493&amp;" [PATRON POR CONFIRMAR CON CONTADOR]","Por el registro de la factura "&amp;Registro_Compras!$C$493&amp;" de "&amp;Registro_Compras!$E$493)))</f>
        <v/>
      </c>
      <c r="H4406" t="str">
        <f>IF($C4406="","",Registro_Compras!$C$493)</f>
        <v/>
      </c>
    </row>
    <row r="4407" spans="1:8" x14ac:dyDescent="0.25">
      <c r="A4407" s="25" t="str">
        <f>IF($C4407="","",Registro_Compras!$B$493)</f>
        <v/>
      </c>
      <c r="B4407" t="str">
        <f>IF($C4407="","","C"&amp;TEXT(INT((ROW()-5)/9)+1,"000")&amp;"-1")</f>
        <v/>
      </c>
      <c r="C4407" t="str">
        <f>IF(OR(Registro_Compras!$C$493="",Registro_Compras!$O$493=""),"",IF(Registro_Compras!$F$493="RHE",IF(Registro_Compras!$V$493=0,"","4017"),IF(Registro_Compras!$F$493="NOTA DE CREDITO",IF(Registro_Compras!$M$493="","63",Registro_Compras!$M$493),IF(Registro_Compras!$K$493=0,"","40111"))))</f>
        <v/>
      </c>
      <c r="D4407" t="str">
        <f>IF(OR(Registro_Compras!$C$493="",Registro_Compras!$O$493=""),"",IF(Registro_Compras!$F$493="RHE","Retencion Renta 4ta Categoria por Pagar",IF(Registro_Compras!$F$493="NOTA DE CREDITO","Gastos de Servicios Prestados por Terceros","IGV - Cuenta Propia (Credito Fiscal)")))</f>
        <v/>
      </c>
      <c r="E4407" s="20" t="str">
        <f>IF($C4407="","",IF(Registro_Compras!$F$493="FACTURA",ROUND(Registro_Compras!$K$493*Registro_Compras!$N$493,2),""))</f>
        <v/>
      </c>
      <c r="F4407" s="20" t="str">
        <f>IF($C4407="","",IF(Registro_Compras!$F$493="RHE",ROUND(Registro_Compras!$V$493*Registro_Compras!$N$493,2),IF(Registro_Compras!$F$493="NOTA DE CREDITO",ROUND(ABS(Registro_Compras!$J$493*Registro_Compras!$N$493),2),"")))</f>
        <v/>
      </c>
      <c r="G4407" t="str">
        <f>IF($C4407="","",IF(Registro_Compras!$F$493="NOTA DE CREDITO","Por la nota de credito "&amp;Registro_Compras!$C$493&amp;" de "&amp;Registro_Compras!$E$493&amp;" [PATRON POR CONFIRMAR CON CONTADOR]",IF(Registro_Compras!$F$493="RHE","Por el registro del recibo por honorarios "&amp;Registro_Compras!$C$493&amp;" de "&amp;Registro_Compras!$E$493&amp;" [PATRON POR CONFIRMAR CON CONTADOR]","Por el registro de la factura "&amp;Registro_Compras!$C$493&amp;" de "&amp;Registro_Compras!$E$493)))</f>
        <v/>
      </c>
      <c r="H4407" t="str">
        <f>IF($C4407="","",Registro_Compras!$C$493)</f>
        <v/>
      </c>
    </row>
    <row r="4408" spans="1:8" x14ac:dyDescent="0.25">
      <c r="A4408" s="25" t="str">
        <f>IF($C4408="","",Registro_Compras!$B$493)</f>
        <v/>
      </c>
      <c r="B4408" t="str">
        <f>IF($C4408="","","C"&amp;TEXT(INT((ROW()-5)/9)+1,"000")&amp;"-1")</f>
        <v/>
      </c>
      <c r="C4408" t="str">
        <f>IF(OR(Registro_Compras!$C$493="",Registro_Compras!$O$493=""),"",IF(Registro_Compras!$F$493="NOTA DE CREDITO",IF(Registro_Compras!$K$493=0,"","40111"),"4212"))</f>
        <v/>
      </c>
      <c r="D4408" t="str">
        <f>IF(OR(Registro_Compras!$C$493="",Registro_Compras!$O$493=""),"",IF(Registro_Compras!$F$493="NOTA DE CREDITO","IGV - Cuenta Propia (Credito Fiscal)","Cuentas por Pagar Comerciales - Terceros (Emitidas)"))</f>
        <v/>
      </c>
      <c r="E4408" s="20" t="str">
        <f>""</f>
        <v/>
      </c>
      <c r="F4408" s="20" t="str">
        <f>IF($C4408="","",IF(Registro_Compras!$F$493="NOTA DE CREDITO",ROUND(ABS(Registro_Compras!$K$493*Registro_Compras!$N$493),2),IF(Registro_Compras!$F$493="RHE",(ROUND(Registro_Compras!$L$493*Registro_Compras!$N$493,2)-ROUND(Registro_Compras!$V$493*Registro_Compras!$N$493,2)),Registro_Compras!$O$493)))</f>
        <v/>
      </c>
      <c r="G4408" t="str">
        <f>IF($C4408="","",IF(Registro_Compras!$F$493="NOTA DE CREDITO","Por la nota de credito "&amp;Registro_Compras!$C$493&amp;" de "&amp;Registro_Compras!$E$493&amp;" [PATRON POR CONFIRMAR CON CONTADOR]",IF(Registro_Compras!$F$493="RHE","Por el registro del recibo por honorarios "&amp;Registro_Compras!$C$493&amp;" de "&amp;Registro_Compras!$E$493&amp;" [PATRON POR CONFIRMAR CON CONTADOR]","Por el registro de la factura "&amp;Registro_Compras!$C$493&amp;" de "&amp;Registro_Compras!$E$493)))</f>
        <v/>
      </c>
      <c r="H4408" t="str">
        <f>IF($C4408="","",Registro_Compras!$C$493)</f>
        <v/>
      </c>
    </row>
    <row r="4409" spans="1:8" x14ac:dyDescent="0.25">
      <c r="A4409" s="25" t="str">
        <f>IF($C4409="","",Registro_Compras!$B$493)</f>
        <v/>
      </c>
      <c r="B4409" t="str">
        <f>IF($C4409="","","C"&amp;TEXT(INT((ROW()-5)/9)+1,"000")&amp;"-2")</f>
        <v/>
      </c>
      <c r="C4409" t="str">
        <f>IF(OR(Registro_Compras!$C$493="",Registro_Compras!$O$493=""),"",IF(Registro_Compras!$AB$493="ADMINISTRATIVO","94","95"))</f>
        <v/>
      </c>
      <c r="D4409" t="str">
        <f>IF(OR(Registro_Compras!$C$493="",Registro_Compras!$O$493=""),"",IF(Registro_Compras!$AB$493="ADMINISTRATIVO","Gastos Administrativos","Gastos de Venta y Operacion"))</f>
        <v/>
      </c>
      <c r="E4409" s="20" t="str">
        <f>IF($C4409="","",IF(Registro_Compras!$F$493="NOTA DE CREDITO","",IF(Registro_Compras!$F$493="RHE",ROUND(Registro_Compras!$L$493*Registro_Compras!$N$493,2),ROUND(Registro_Compras!$J$493*Registro_Compras!$N$493,2))))</f>
        <v/>
      </c>
      <c r="F4409" s="20" t="str">
        <f>IF($C4409="","",IF(Registro_Compras!$F$493="NOTA DE CREDITO",ROUND(ABS(Registro_Compras!$J$493*Registro_Compras!$N$493),2),""))</f>
        <v/>
      </c>
      <c r="G4409" t="str">
        <f>IF($C4409="","","Por el destino del gasto")</f>
        <v/>
      </c>
      <c r="H4409" t="str">
        <f>IF($C4409="","",Registro_Compras!$C$493)</f>
        <v/>
      </c>
    </row>
    <row r="4410" spans="1:8" x14ac:dyDescent="0.25">
      <c r="A4410" s="25" t="str">
        <f>IF($C4410="","",Registro_Compras!$B$493)</f>
        <v/>
      </c>
      <c r="B4410" t="str">
        <f>IF($C4410="","","C"&amp;TEXT(INT((ROW()-5)/9)+1,"000")&amp;"-2")</f>
        <v/>
      </c>
      <c r="C4410" t="str">
        <f>IF(OR(Registro_Compras!$C$493="",Registro_Compras!$O$493=""),"","79/791")</f>
        <v/>
      </c>
      <c r="D4410" t="str">
        <f>IF(OR(Registro_Compras!$C$493="",Registro_Compras!$O$493=""),"","Cargas Imputables a Cuentas de Costos y Gastos")</f>
        <v/>
      </c>
      <c r="E4410" s="20" t="str">
        <f>IF($C4410="","",IF(Registro_Compras!$F$493="NOTA DE CREDITO",ROUND(ABS(Registro_Compras!$J$493*Registro_Compras!$N$493),2),""))</f>
        <v/>
      </c>
      <c r="F4410" s="20" t="str">
        <f>IF($C4410="","",IF(Registro_Compras!$F$493="NOTA DE CREDITO","",IF(Registro_Compras!$F$493="RHE",ROUND(Registro_Compras!$L$493*Registro_Compras!$N$493,2),ROUND(Registro_Compras!$J$493*Registro_Compras!$N$493,2))))</f>
        <v/>
      </c>
      <c r="G4410" t="str">
        <f>IF($C4410="","","Por el destino del gasto")</f>
        <v/>
      </c>
      <c r="H4410" t="str">
        <f>IF($C4410="","",Registro_Compras!$C$493)</f>
        <v/>
      </c>
    </row>
    <row r="4411" spans="1:8" x14ac:dyDescent="0.25">
      <c r="A4411" s="25" t="str">
        <f>IF($C4411="","",Registro_Compras!$X$493)</f>
        <v/>
      </c>
      <c r="B4411" t="str">
        <f>IF($C4411="","","C"&amp;TEXT(INT((ROW()-5)/9)+1,"000")&amp;"-3")</f>
        <v/>
      </c>
      <c r="C4411" t="str">
        <f>IF(OR(Registro_Compras!$C$493="",Registro_Compras!$O$493="",Registro_Compras!$R$493&lt;&gt;"SI",Registro_Compras!$X$493=""),"","4212")</f>
        <v/>
      </c>
      <c r="D4411" t="str">
        <f>IF(OR(Registro_Compras!$C$493="",Registro_Compras!$O$493=""),"","Cuentas por Pagar Comerciales - Terceros")</f>
        <v/>
      </c>
      <c r="E4411" s="20" t="str">
        <f>IF($C4411="","",Registro_Compras!$S$493)</f>
        <v/>
      </c>
      <c r="F4411" s="20" t="str">
        <f>""</f>
        <v/>
      </c>
      <c r="G4411" t="str">
        <f>IF($C4411="","","Por el deposito de la detraccion en el Banco de la Nacion")</f>
        <v/>
      </c>
      <c r="H4411" t="str">
        <f>IF($C4411="","",Registro_Compras!$C$493)</f>
        <v/>
      </c>
    </row>
    <row r="4412" spans="1:8" x14ac:dyDescent="0.25">
      <c r="A4412" s="25" t="str">
        <f>IF($C4412="","",Registro_Compras!$X$493)</f>
        <v/>
      </c>
      <c r="B4412" t="str">
        <f>IF($C4412="","","C"&amp;TEXT(INT((ROW()-5)/9)+1,"000")&amp;"-3")</f>
        <v/>
      </c>
      <c r="C4412" t="str">
        <f>IF(OR(Registro_Compras!$C$493="",Registro_Compras!$O$493="",Registro_Compras!$R$493&lt;&gt;"SI",Registro_Compras!$X$493=""),"","1041")</f>
        <v/>
      </c>
      <c r="D4412" t="str">
        <f>IF(OR(Registro_Compras!$C$493="",Registro_Compras!$O$493=""),"","Efectivo y Equivalentes - Cta. Cte. Operativa")</f>
        <v/>
      </c>
      <c r="E4412" s="20" t="str">
        <f>""</f>
        <v/>
      </c>
      <c r="F4412" s="20" t="str">
        <f>IF($C4412="","",Registro_Compras!$S$493)</f>
        <v/>
      </c>
      <c r="G4412" t="str">
        <f>IF($C4412="","","Por el deposito de la detraccion en el Banco de la Nacion")</f>
        <v/>
      </c>
      <c r="H4412" t="str">
        <f>IF($C4412="","",Registro_Compras!$C$493)</f>
        <v/>
      </c>
    </row>
    <row r="4413" spans="1:8" x14ac:dyDescent="0.25">
      <c r="A4413" s="25" t="str">
        <f>IF($C4413="","",Registro_Compras!$Y$493)</f>
        <v/>
      </c>
      <c r="B4413" t="str">
        <f>IF($C4413="","","C"&amp;TEXT(INT((ROW()-5)/9)+1,"000")&amp;"-4")</f>
        <v/>
      </c>
      <c r="C4413" t="str">
        <f>IF(OR(Registro_Compras!$C$493="",Registro_Compras!$O$493="",Registro_Compras!$Y$493="",Registro_Compras!$F$493="NOTA DE CREDITO"),"","4212")</f>
        <v/>
      </c>
      <c r="D4413" t="str">
        <f>IF(OR(Registro_Compras!$C$493="",Registro_Compras!$O$493=""),"","Cuentas por Pagar Comerciales - Terceros")</f>
        <v/>
      </c>
      <c r="E4413" s="20" t="str">
        <f>IF($C4413="","",IF(Registro_Compras!$F$493="RHE",(ROUND(Registro_Compras!$L$493*Registro_Compras!$N$493,2)-ROUND(Registro_Compras!$V$493*Registro_Compras!$N$493,2)),ROUND(Registro_Compras!$O$493-Registro_Compras!$S$493,2)))</f>
        <v/>
      </c>
      <c r="F4413" s="20" t="str">
        <f>""</f>
        <v/>
      </c>
      <c r="G4413" t="str">
        <f>IF($C4413="","","Por la cancelacion del saldo al proveedor")</f>
        <v/>
      </c>
      <c r="H4413" t="str">
        <f>IF($C4413="","",Registro_Compras!$C$493)</f>
        <v/>
      </c>
    </row>
    <row r="4414" spans="1:8" x14ac:dyDescent="0.25">
      <c r="A4414" s="25" t="str">
        <f>IF($C4414="","",Registro_Compras!$Y$493)</f>
        <v/>
      </c>
      <c r="B4414" t="str">
        <f>IF($C4414="","","C"&amp;TEXT(INT((ROW()-5)/9)+1,"000")&amp;"-4")</f>
        <v/>
      </c>
      <c r="C4414" t="str">
        <f>IF(OR(Registro_Compras!$C$493="",Registro_Compras!$O$493="",Registro_Compras!$Y$493="",Registro_Compras!$F$493="NOTA DE CREDITO"),"","1041")</f>
        <v/>
      </c>
      <c r="D4414" t="str">
        <f>IF(OR(Registro_Compras!$C$493="",Registro_Compras!$O$493=""),"","Efectivo y Equivalentes - Cta. Cte. Operativa")</f>
        <v/>
      </c>
      <c r="E4414" s="20" t="str">
        <f>""</f>
        <v/>
      </c>
      <c r="F4414" s="20" t="str">
        <f>IF($C4414="","",IF(Registro_Compras!$F$493="RHE",(ROUND(Registro_Compras!$L$493*Registro_Compras!$N$493,2)-ROUND(Registro_Compras!$V$493*Registro_Compras!$N$493,2)),ROUND(Registro_Compras!$O$493-Registro_Compras!$S$493,2)))</f>
        <v/>
      </c>
      <c r="G4414" t="str">
        <f>IF($C4414="","","Por la cancelacion del saldo al proveedor")</f>
        <v/>
      </c>
      <c r="H4414" t="str">
        <f>IF($C4414="","",Registro_Compras!$C$493)</f>
        <v/>
      </c>
    </row>
    <row r="4415" spans="1:8" x14ac:dyDescent="0.25">
      <c r="A4415" s="25" t="str">
        <f>IF($C4415="","",Registro_Compras!$B$494)</f>
        <v/>
      </c>
      <c r="B4415" t="str">
        <f>IF($C4415="","","C"&amp;TEXT(INT((ROW()-5)/9)+1,"000")&amp;"-1")</f>
        <v/>
      </c>
      <c r="C4415" t="str">
        <f>IF(OR(Registro_Compras!$C$494="",Registro_Compras!$O$494=""),"",IF(Registro_Compras!$F$494="NOTA DE CREDITO","4212",IF(Registro_Compras!$M$494="","63",Registro_Compras!$M$494)))</f>
        <v/>
      </c>
      <c r="D4415" t="str">
        <f>IF(OR(Registro_Compras!$C$494="",Registro_Compras!$O$494=""),"",IF(Registro_Compras!$F$494="NOTA DE CREDITO","Cuentas por Pagar Comerciales - Terceros (Emitidas)",IF(Registro_Compras!$F$494="RHE","Honorarios Profesionales - Servicios de Terceros","Gastos de Servicios Prestados por Terceros")))</f>
        <v/>
      </c>
      <c r="E4415" s="20" t="str">
        <f>IF($C4415="","",IF(Registro_Compras!$F$494="NOTA DE CREDITO",ABS(Registro_Compras!$O$494),IF(Registro_Compras!$F$494="RHE",ROUND(Registro_Compras!$L$494*Registro_Compras!$N$494,2),ROUND(Registro_Compras!$J$494*Registro_Compras!$N$494,2))))</f>
        <v/>
      </c>
      <c r="F4415" s="20" t="str">
        <f>""</f>
        <v/>
      </c>
      <c r="G4415" t="str">
        <f>IF($C4415="","",IF(Registro_Compras!$F$494="NOTA DE CREDITO","Por la nota de credito "&amp;Registro_Compras!$C$494&amp;" de "&amp;Registro_Compras!$E$494&amp;" [PATRON POR CONFIRMAR CON CONTADOR]",IF(Registro_Compras!$F$494="RHE","Por el registro del recibo por honorarios "&amp;Registro_Compras!$C$494&amp;" de "&amp;Registro_Compras!$E$494&amp;" [PATRON POR CONFIRMAR CON CONTADOR]","Por el registro de la factura "&amp;Registro_Compras!$C$494&amp;" de "&amp;Registro_Compras!$E$494)))</f>
        <v/>
      </c>
      <c r="H4415" t="str">
        <f>IF($C4415="","",Registro_Compras!$C$494)</f>
        <v/>
      </c>
    </row>
    <row r="4416" spans="1:8" x14ac:dyDescent="0.25">
      <c r="A4416" s="25" t="str">
        <f>IF($C4416="","",Registro_Compras!$B$494)</f>
        <v/>
      </c>
      <c r="B4416" t="str">
        <f>IF($C4416="","","C"&amp;TEXT(INT((ROW()-5)/9)+1,"000")&amp;"-1")</f>
        <v/>
      </c>
      <c r="C4416" t="str">
        <f>IF(OR(Registro_Compras!$C$494="",Registro_Compras!$O$494=""),"",IF(Registro_Compras!$F$494="RHE",IF(Registro_Compras!$V$494=0,"","4017"),IF(Registro_Compras!$F$494="NOTA DE CREDITO",IF(Registro_Compras!$M$494="","63",Registro_Compras!$M$494),IF(Registro_Compras!$K$494=0,"","40111"))))</f>
        <v/>
      </c>
      <c r="D4416" t="str">
        <f>IF(OR(Registro_Compras!$C$494="",Registro_Compras!$O$494=""),"",IF(Registro_Compras!$F$494="RHE","Retencion Renta 4ta Categoria por Pagar",IF(Registro_Compras!$F$494="NOTA DE CREDITO","Gastos de Servicios Prestados por Terceros","IGV - Cuenta Propia (Credito Fiscal)")))</f>
        <v/>
      </c>
      <c r="E4416" s="20" t="str">
        <f>IF($C4416="","",IF(Registro_Compras!$F$494="FACTURA",ROUND(Registro_Compras!$K$494*Registro_Compras!$N$494,2),""))</f>
        <v/>
      </c>
      <c r="F4416" s="20" t="str">
        <f>IF($C4416="","",IF(Registro_Compras!$F$494="RHE",ROUND(Registro_Compras!$V$494*Registro_Compras!$N$494,2),IF(Registro_Compras!$F$494="NOTA DE CREDITO",ROUND(ABS(Registro_Compras!$J$494*Registro_Compras!$N$494),2),"")))</f>
        <v/>
      </c>
      <c r="G4416" t="str">
        <f>IF($C4416="","",IF(Registro_Compras!$F$494="NOTA DE CREDITO","Por la nota de credito "&amp;Registro_Compras!$C$494&amp;" de "&amp;Registro_Compras!$E$494&amp;" [PATRON POR CONFIRMAR CON CONTADOR]",IF(Registro_Compras!$F$494="RHE","Por el registro del recibo por honorarios "&amp;Registro_Compras!$C$494&amp;" de "&amp;Registro_Compras!$E$494&amp;" [PATRON POR CONFIRMAR CON CONTADOR]","Por el registro de la factura "&amp;Registro_Compras!$C$494&amp;" de "&amp;Registro_Compras!$E$494)))</f>
        <v/>
      </c>
      <c r="H4416" t="str">
        <f>IF($C4416="","",Registro_Compras!$C$494)</f>
        <v/>
      </c>
    </row>
    <row r="4417" spans="1:8" x14ac:dyDescent="0.25">
      <c r="A4417" s="25" t="str">
        <f>IF($C4417="","",Registro_Compras!$B$494)</f>
        <v/>
      </c>
      <c r="B4417" t="str">
        <f>IF($C4417="","","C"&amp;TEXT(INT((ROW()-5)/9)+1,"000")&amp;"-1")</f>
        <v/>
      </c>
      <c r="C4417" t="str">
        <f>IF(OR(Registro_Compras!$C$494="",Registro_Compras!$O$494=""),"",IF(Registro_Compras!$F$494="NOTA DE CREDITO",IF(Registro_Compras!$K$494=0,"","40111"),"4212"))</f>
        <v/>
      </c>
      <c r="D4417" t="str">
        <f>IF(OR(Registro_Compras!$C$494="",Registro_Compras!$O$494=""),"",IF(Registro_Compras!$F$494="NOTA DE CREDITO","IGV - Cuenta Propia (Credito Fiscal)","Cuentas por Pagar Comerciales - Terceros (Emitidas)"))</f>
        <v/>
      </c>
      <c r="E4417" s="20" t="str">
        <f>""</f>
        <v/>
      </c>
      <c r="F4417" s="20" t="str">
        <f>IF($C4417="","",IF(Registro_Compras!$F$494="NOTA DE CREDITO",ROUND(ABS(Registro_Compras!$K$494*Registro_Compras!$N$494),2),IF(Registro_Compras!$F$494="RHE",(ROUND(Registro_Compras!$L$494*Registro_Compras!$N$494,2)-ROUND(Registro_Compras!$V$494*Registro_Compras!$N$494,2)),Registro_Compras!$O$494)))</f>
        <v/>
      </c>
      <c r="G4417" t="str">
        <f>IF($C4417="","",IF(Registro_Compras!$F$494="NOTA DE CREDITO","Por la nota de credito "&amp;Registro_Compras!$C$494&amp;" de "&amp;Registro_Compras!$E$494&amp;" [PATRON POR CONFIRMAR CON CONTADOR]",IF(Registro_Compras!$F$494="RHE","Por el registro del recibo por honorarios "&amp;Registro_Compras!$C$494&amp;" de "&amp;Registro_Compras!$E$494&amp;" [PATRON POR CONFIRMAR CON CONTADOR]","Por el registro de la factura "&amp;Registro_Compras!$C$494&amp;" de "&amp;Registro_Compras!$E$494)))</f>
        <v/>
      </c>
      <c r="H4417" t="str">
        <f>IF($C4417="","",Registro_Compras!$C$494)</f>
        <v/>
      </c>
    </row>
    <row r="4418" spans="1:8" x14ac:dyDescent="0.25">
      <c r="A4418" s="25" t="str">
        <f>IF($C4418="","",Registro_Compras!$B$494)</f>
        <v/>
      </c>
      <c r="B4418" t="str">
        <f>IF($C4418="","","C"&amp;TEXT(INT((ROW()-5)/9)+1,"000")&amp;"-2")</f>
        <v/>
      </c>
      <c r="C4418" t="str">
        <f>IF(OR(Registro_Compras!$C$494="",Registro_Compras!$O$494=""),"",IF(Registro_Compras!$AB$494="ADMINISTRATIVO","94","95"))</f>
        <v/>
      </c>
      <c r="D4418" t="str">
        <f>IF(OR(Registro_Compras!$C$494="",Registro_Compras!$O$494=""),"",IF(Registro_Compras!$AB$494="ADMINISTRATIVO","Gastos Administrativos","Gastos de Venta y Operacion"))</f>
        <v/>
      </c>
      <c r="E4418" s="20" t="str">
        <f>IF($C4418="","",IF(Registro_Compras!$F$494="NOTA DE CREDITO","",IF(Registro_Compras!$F$494="RHE",ROUND(Registro_Compras!$L$494*Registro_Compras!$N$494,2),ROUND(Registro_Compras!$J$494*Registro_Compras!$N$494,2))))</f>
        <v/>
      </c>
      <c r="F4418" s="20" t="str">
        <f>IF($C4418="","",IF(Registro_Compras!$F$494="NOTA DE CREDITO",ROUND(ABS(Registro_Compras!$J$494*Registro_Compras!$N$494),2),""))</f>
        <v/>
      </c>
      <c r="G4418" t="str">
        <f>IF($C4418="","","Por el destino del gasto")</f>
        <v/>
      </c>
      <c r="H4418" t="str">
        <f>IF($C4418="","",Registro_Compras!$C$494)</f>
        <v/>
      </c>
    </row>
    <row r="4419" spans="1:8" x14ac:dyDescent="0.25">
      <c r="A4419" s="25" t="str">
        <f>IF($C4419="","",Registro_Compras!$B$494)</f>
        <v/>
      </c>
      <c r="B4419" t="str">
        <f>IF($C4419="","","C"&amp;TEXT(INT((ROW()-5)/9)+1,"000")&amp;"-2")</f>
        <v/>
      </c>
      <c r="C4419" t="str">
        <f>IF(OR(Registro_Compras!$C$494="",Registro_Compras!$O$494=""),"","79/791")</f>
        <v/>
      </c>
      <c r="D4419" t="str">
        <f>IF(OR(Registro_Compras!$C$494="",Registro_Compras!$O$494=""),"","Cargas Imputables a Cuentas de Costos y Gastos")</f>
        <v/>
      </c>
      <c r="E4419" s="20" t="str">
        <f>IF($C4419="","",IF(Registro_Compras!$F$494="NOTA DE CREDITO",ROUND(ABS(Registro_Compras!$J$494*Registro_Compras!$N$494),2),""))</f>
        <v/>
      </c>
      <c r="F4419" s="20" t="str">
        <f>IF($C4419="","",IF(Registro_Compras!$F$494="NOTA DE CREDITO","",IF(Registro_Compras!$F$494="RHE",ROUND(Registro_Compras!$L$494*Registro_Compras!$N$494,2),ROUND(Registro_Compras!$J$494*Registro_Compras!$N$494,2))))</f>
        <v/>
      </c>
      <c r="G4419" t="str">
        <f>IF($C4419="","","Por el destino del gasto")</f>
        <v/>
      </c>
      <c r="H4419" t="str">
        <f>IF($C4419="","",Registro_Compras!$C$494)</f>
        <v/>
      </c>
    </row>
    <row r="4420" spans="1:8" x14ac:dyDescent="0.25">
      <c r="A4420" s="25" t="str">
        <f>IF($C4420="","",Registro_Compras!$X$494)</f>
        <v/>
      </c>
      <c r="B4420" t="str">
        <f>IF($C4420="","","C"&amp;TEXT(INT((ROW()-5)/9)+1,"000")&amp;"-3")</f>
        <v/>
      </c>
      <c r="C4420" t="str">
        <f>IF(OR(Registro_Compras!$C$494="",Registro_Compras!$O$494="",Registro_Compras!$R$494&lt;&gt;"SI",Registro_Compras!$X$494=""),"","4212")</f>
        <v/>
      </c>
      <c r="D4420" t="str">
        <f>IF(OR(Registro_Compras!$C$494="",Registro_Compras!$O$494=""),"","Cuentas por Pagar Comerciales - Terceros")</f>
        <v/>
      </c>
      <c r="E4420" s="20" t="str">
        <f>IF($C4420="","",Registro_Compras!$S$494)</f>
        <v/>
      </c>
      <c r="F4420" s="20" t="str">
        <f>""</f>
        <v/>
      </c>
      <c r="G4420" t="str">
        <f>IF($C4420="","","Por el deposito de la detraccion en el Banco de la Nacion")</f>
        <v/>
      </c>
      <c r="H4420" t="str">
        <f>IF($C4420="","",Registro_Compras!$C$494)</f>
        <v/>
      </c>
    </row>
    <row r="4421" spans="1:8" x14ac:dyDescent="0.25">
      <c r="A4421" s="25" t="str">
        <f>IF($C4421="","",Registro_Compras!$X$494)</f>
        <v/>
      </c>
      <c r="B4421" t="str">
        <f>IF($C4421="","","C"&amp;TEXT(INT((ROW()-5)/9)+1,"000")&amp;"-3")</f>
        <v/>
      </c>
      <c r="C4421" t="str">
        <f>IF(OR(Registro_Compras!$C$494="",Registro_Compras!$O$494="",Registro_Compras!$R$494&lt;&gt;"SI",Registro_Compras!$X$494=""),"","1041")</f>
        <v/>
      </c>
      <c r="D4421" t="str">
        <f>IF(OR(Registro_Compras!$C$494="",Registro_Compras!$O$494=""),"","Efectivo y Equivalentes - Cta. Cte. Operativa")</f>
        <v/>
      </c>
      <c r="E4421" s="20" t="str">
        <f>""</f>
        <v/>
      </c>
      <c r="F4421" s="20" t="str">
        <f>IF($C4421="","",Registro_Compras!$S$494)</f>
        <v/>
      </c>
      <c r="G4421" t="str">
        <f>IF($C4421="","","Por el deposito de la detraccion en el Banco de la Nacion")</f>
        <v/>
      </c>
      <c r="H4421" t="str">
        <f>IF($C4421="","",Registro_Compras!$C$494)</f>
        <v/>
      </c>
    </row>
    <row r="4422" spans="1:8" x14ac:dyDescent="0.25">
      <c r="A4422" s="25" t="str">
        <f>IF($C4422="","",Registro_Compras!$Y$494)</f>
        <v/>
      </c>
      <c r="B4422" t="str">
        <f>IF($C4422="","","C"&amp;TEXT(INT((ROW()-5)/9)+1,"000")&amp;"-4")</f>
        <v/>
      </c>
      <c r="C4422" t="str">
        <f>IF(OR(Registro_Compras!$C$494="",Registro_Compras!$O$494="",Registro_Compras!$Y$494="",Registro_Compras!$F$494="NOTA DE CREDITO"),"","4212")</f>
        <v/>
      </c>
      <c r="D4422" t="str">
        <f>IF(OR(Registro_Compras!$C$494="",Registro_Compras!$O$494=""),"","Cuentas por Pagar Comerciales - Terceros")</f>
        <v/>
      </c>
      <c r="E4422" s="20" t="str">
        <f>IF($C4422="","",IF(Registro_Compras!$F$494="RHE",(ROUND(Registro_Compras!$L$494*Registro_Compras!$N$494,2)-ROUND(Registro_Compras!$V$494*Registro_Compras!$N$494,2)),ROUND(Registro_Compras!$O$494-Registro_Compras!$S$494,2)))</f>
        <v/>
      </c>
      <c r="F4422" s="20" t="str">
        <f>""</f>
        <v/>
      </c>
      <c r="G4422" t="str">
        <f>IF($C4422="","","Por la cancelacion del saldo al proveedor")</f>
        <v/>
      </c>
      <c r="H4422" t="str">
        <f>IF($C4422="","",Registro_Compras!$C$494)</f>
        <v/>
      </c>
    </row>
    <row r="4423" spans="1:8" x14ac:dyDescent="0.25">
      <c r="A4423" s="25" t="str">
        <f>IF($C4423="","",Registro_Compras!$Y$494)</f>
        <v/>
      </c>
      <c r="B4423" t="str">
        <f>IF($C4423="","","C"&amp;TEXT(INT((ROW()-5)/9)+1,"000")&amp;"-4")</f>
        <v/>
      </c>
      <c r="C4423" t="str">
        <f>IF(OR(Registro_Compras!$C$494="",Registro_Compras!$O$494="",Registro_Compras!$Y$494="",Registro_Compras!$F$494="NOTA DE CREDITO"),"","1041")</f>
        <v/>
      </c>
      <c r="D4423" t="str">
        <f>IF(OR(Registro_Compras!$C$494="",Registro_Compras!$O$494=""),"","Efectivo y Equivalentes - Cta. Cte. Operativa")</f>
        <v/>
      </c>
      <c r="E4423" s="20" t="str">
        <f>""</f>
        <v/>
      </c>
      <c r="F4423" s="20" t="str">
        <f>IF($C4423="","",IF(Registro_Compras!$F$494="RHE",(ROUND(Registro_Compras!$L$494*Registro_Compras!$N$494,2)-ROUND(Registro_Compras!$V$494*Registro_Compras!$N$494,2)),ROUND(Registro_Compras!$O$494-Registro_Compras!$S$494,2)))</f>
        <v/>
      </c>
      <c r="G4423" t="str">
        <f>IF($C4423="","","Por la cancelacion del saldo al proveedor")</f>
        <v/>
      </c>
      <c r="H4423" t="str">
        <f>IF($C4423="","",Registro_Compras!$C$494)</f>
        <v/>
      </c>
    </row>
    <row r="4424" spans="1:8" x14ac:dyDescent="0.25">
      <c r="A4424" s="25" t="str">
        <f>IF($C4424="","",Registro_Compras!$B$495)</f>
        <v/>
      </c>
      <c r="B4424" t="str">
        <f>IF($C4424="","","C"&amp;TEXT(INT((ROW()-5)/9)+1,"000")&amp;"-1")</f>
        <v/>
      </c>
      <c r="C4424" t="str">
        <f>IF(OR(Registro_Compras!$C$495="",Registro_Compras!$O$495=""),"",IF(Registro_Compras!$F$495="NOTA DE CREDITO","4212",IF(Registro_Compras!$M$495="","63",Registro_Compras!$M$495)))</f>
        <v/>
      </c>
      <c r="D4424" t="str">
        <f>IF(OR(Registro_Compras!$C$495="",Registro_Compras!$O$495=""),"",IF(Registro_Compras!$F$495="NOTA DE CREDITO","Cuentas por Pagar Comerciales - Terceros (Emitidas)",IF(Registro_Compras!$F$495="RHE","Honorarios Profesionales - Servicios de Terceros","Gastos de Servicios Prestados por Terceros")))</f>
        <v/>
      </c>
      <c r="E4424" s="20" t="str">
        <f>IF($C4424="","",IF(Registro_Compras!$F$495="NOTA DE CREDITO",ABS(Registro_Compras!$O$495),IF(Registro_Compras!$F$495="RHE",ROUND(Registro_Compras!$L$495*Registro_Compras!$N$495,2),ROUND(Registro_Compras!$J$495*Registro_Compras!$N$495,2))))</f>
        <v/>
      </c>
      <c r="F4424" s="20" t="str">
        <f>""</f>
        <v/>
      </c>
      <c r="G4424" t="str">
        <f>IF($C4424="","",IF(Registro_Compras!$F$495="NOTA DE CREDITO","Por la nota de credito "&amp;Registro_Compras!$C$495&amp;" de "&amp;Registro_Compras!$E$495&amp;" [PATRON POR CONFIRMAR CON CONTADOR]",IF(Registro_Compras!$F$495="RHE","Por el registro del recibo por honorarios "&amp;Registro_Compras!$C$495&amp;" de "&amp;Registro_Compras!$E$495&amp;" [PATRON POR CONFIRMAR CON CONTADOR]","Por el registro de la factura "&amp;Registro_Compras!$C$495&amp;" de "&amp;Registro_Compras!$E$495)))</f>
        <v/>
      </c>
      <c r="H4424" t="str">
        <f>IF($C4424="","",Registro_Compras!$C$495)</f>
        <v/>
      </c>
    </row>
    <row r="4425" spans="1:8" x14ac:dyDescent="0.25">
      <c r="A4425" s="25" t="str">
        <f>IF($C4425="","",Registro_Compras!$B$495)</f>
        <v/>
      </c>
      <c r="B4425" t="str">
        <f>IF($C4425="","","C"&amp;TEXT(INT((ROW()-5)/9)+1,"000")&amp;"-1")</f>
        <v/>
      </c>
      <c r="C4425" t="str">
        <f>IF(OR(Registro_Compras!$C$495="",Registro_Compras!$O$495=""),"",IF(Registro_Compras!$F$495="RHE",IF(Registro_Compras!$V$495=0,"","4017"),IF(Registro_Compras!$F$495="NOTA DE CREDITO",IF(Registro_Compras!$M$495="","63",Registro_Compras!$M$495),IF(Registro_Compras!$K$495=0,"","40111"))))</f>
        <v/>
      </c>
      <c r="D4425" t="str">
        <f>IF(OR(Registro_Compras!$C$495="",Registro_Compras!$O$495=""),"",IF(Registro_Compras!$F$495="RHE","Retencion Renta 4ta Categoria por Pagar",IF(Registro_Compras!$F$495="NOTA DE CREDITO","Gastos de Servicios Prestados por Terceros","IGV - Cuenta Propia (Credito Fiscal)")))</f>
        <v/>
      </c>
      <c r="E4425" s="20" t="str">
        <f>IF($C4425="","",IF(Registro_Compras!$F$495="FACTURA",ROUND(Registro_Compras!$K$495*Registro_Compras!$N$495,2),""))</f>
        <v/>
      </c>
      <c r="F4425" s="20" t="str">
        <f>IF($C4425="","",IF(Registro_Compras!$F$495="RHE",ROUND(Registro_Compras!$V$495*Registro_Compras!$N$495,2),IF(Registro_Compras!$F$495="NOTA DE CREDITO",ROUND(ABS(Registro_Compras!$J$495*Registro_Compras!$N$495),2),"")))</f>
        <v/>
      </c>
      <c r="G4425" t="str">
        <f>IF($C4425="","",IF(Registro_Compras!$F$495="NOTA DE CREDITO","Por la nota de credito "&amp;Registro_Compras!$C$495&amp;" de "&amp;Registro_Compras!$E$495&amp;" [PATRON POR CONFIRMAR CON CONTADOR]",IF(Registro_Compras!$F$495="RHE","Por el registro del recibo por honorarios "&amp;Registro_Compras!$C$495&amp;" de "&amp;Registro_Compras!$E$495&amp;" [PATRON POR CONFIRMAR CON CONTADOR]","Por el registro de la factura "&amp;Registro_Compras!$C$495&amp;" de "&amp;Registro_Compras!$E$495)))</f>
        <v/>
      </c>
      <c r="H4425" t="str">
        <f>IF($C4425="","",Registro_Compras!$C$495)</f>
        <v/>
      </c>
    </row>
    <row r="4426" spans="1:8" x14ac:dyDescent="0.25">
      <c r="A4426" s="25" t="str">
        <f>IF($C4426="","",Registro_Compras!$B$495)</f>
        <v/>
      </c>
      <c r="B4426" t="str">
        <f>IF($C4426="","","C"&amp;TEXT(INT((ROW()-5)/9)+1,"000")&amp;"-1")</f>
        <v/>
      </c>
      <c r="C4426" t="str">
        <f>IF(OR(Registro_Compras!$C$495="",Registro_Compras!$O$495=""),"",IF(Registro_Compras!$F$495="NOTA DE CREDITO",IF(Registro_Compras!$K$495=0,"","40111"),"4212"))</f>
        <v/>
      </c>
      <c r="D4426" t="str">
        <f>IF(OR(Registro_Compras!$C$495="",Registro_Compras!$O$495=""),"",IF(Registro_Compras!$F$495="NOTA DE CREDITO","IGV - Cuenta Propia (Credito Fiscal)","Cuentas por Pagar Comerciales - Terceros (Emitidas)"))</f>
        <v/>
      </c>
      <c r="E4426" s="20" t="str">
        <f>""</f>
        <v/>
      </c>
      <c r="F4426" s="20" t="str">
        <f>IF($C4426="","",IF(Registro_Compras!$F$495="NOTA DE CREDITO",ROUND(ABS(Registro_Compras!$K$495*Registro_Compras!$N$495),2),IF(Registro_Compras!$F$495="RHE",(ROUND(Registro_Compras!$L$495*Registro_Compras!$N$495,2)-ROUND(Registro_Compras!$V$495*Registro_Compras!$N$495,2)),Registro_Compras!$O$495)))</f>
        <v/>
      </c>
      <c r="G4426" t="str">
        <f>IF($C4426="","",IF(Registro_Compras!$F$495="NOTA DE CREDITO","Por la nota de credito "&amp;Registro_Compras!$C$495&amp;" de "&amp;Registro_Compras!$E$495&amp;" [PATRON POR CONFIRMAR CON CONTADOR]",IF(Registro_Compras!$F$495="RHE","Por el registro del recibo por honorarios "&amp;Registro_Compras!$C$495&amp;" de "&amp;Registro_Compras!$E$495&amp;" [PATRON POR CONFIRMAR CON CONTADOR]","Por el registro de la factura "&amp;Registro_Compras!$C$495&amp;" de "&amp;Registro_Compras!$E$495)))</f>
        <v/>
      </c>
      <c r="H4426" t="str">
        <f>IF($C4426="","",Registro_Compras!$C$495)</f>
        <v/>
      </c>
    </row>
    <row r="4427" spans="1:8" x14ac:dyDescent="0.25">
      <c r="A4427" s="25" t="str">
        <f>IF($C4427="","",Registro_Compras!$B$495)</f>
        <v/>
      </c>
      <c r="B4427" t="str">
        <f>IF($C4427="","","C"&amp;TEXT(INT((ROW()-5)/9)+1,"000")&amp;"-2")</f>
        <v/>
      </c>
      <c r="C4427" t="str">
        <f>IF(OR(Registro_Compras!$C$495="",Registro_Compras!$O$495=""),"",IF(Registro_Compras!$AB$495="ADMINISTRATIVO","94","95"))</f>
        <v/>
      </c>
      <c r="D4427" t="str">
        <f>IF(OR(Registro_Compras!$C$495="",Registro_Compras!$O$495=""),"",IF(Registro_Compras!$AB$495="ADMINISTRATIVO","Gastos Administrativos","Gastos de Venta y Operacion"))</f>
        <v/>
      </c>
      <c r="E4427" s="20" t="str">
        <f>IF($C4427="","",IF(Registro_Compras!$F$495="NOTA DE CREDITO","",IF(Registro_Compras!$F$495="RHE",ROUND(Registro_Compras!$L$495*Registro_Compras!$N$495,2),ROUND(Registro_Compras!$J$495*Registro_Compras!$N$495,2))))</f>
        <v/>
      </c>
      <c r="F4427" s="20" t="str">
        <f>IF($C4427="","",IF(Registro_Compras!$F$495="NOTA DE CREDITO",ROUND(ABS(Registro_Compras!$J$495*Registro_Compras!$N$495),2),""))</f>
        <v/>
      </c>
      <c r="G4427" t="str">
        <f>IF($C4427="","","Por el destino del gasto")</f>
        <v/>
      </c>
      <c r="H4427" t="str">
        <f>IF($C4427="","",Registro_Compras!$C$495)</f>
        <v/>
      </c>
    </row>
    <row r="4428" spans="1:8" x14ac:dyDescent="0.25">
      <c r="A4428" s="25" t="str">
        <f>IF($C4428="","",Registro_Compras!$B$495)</f>
        <v/>
      </c>
      <c r="B4428" t="str">
        <f>IF($C4428="","","C"&amp;TEXT(INT((ROW()-5)/9)+1,"000")&amp;"-2")</f>
        <v/>
      </c>
      <c r="C4428" t="str">
        <f>IF(OR(Registro_Compras!$C$495="",Registro_Compras!$O$495=""),"","79/791")</f>
        <v/>
      </c>
      <c r="D4428" t="str">
        <f>IF(OR(Registro_Compras!$C$495="",Registro_Compras!$O$495=""),"","Cargas Imputables a Cuentas de Costos y Gastos")</f>
        <v/>
      </c>
      <c r="E4428" s="20" t="str">
        <f>IF($C4428="","",IF(Registro_Compras!$F$495="NOTA DE CREDITO",ROUND(ABS(Registro_Compras!$J$495*Registro_Compras!$N$495),2),""))</f>
        <v/>
      </c>
      <c r="F4428" s="20" t="str">
        <f>IF($C4428="","",IF(Registro_Compras!$F$495="NOTA DE CREDITO","",IF(Registro_Compras!$F$495="RHE",ROUND(Registro_Compras!$L$495*Registro_Compras!$N$495,2),ROUND(Registro_Compras!$J$495*Registro_Compras!$N$495,2))))</f>
        <v/>
      </c>
      <c r="G4428" t="str">
        <f>IF($C4428="","","Por el destino del gasto")</f>
        <v/>
      </c>
      <c r="H4428" t="str">
        <f>IF($C4428="","",Registro_Compras!$C$495)</f>
        <v/>
      </c>
    </row>
    <row r="4429" spans="1:8" x14ac:dyDescent="0.25">
      <c r="A4429" s="25" t="str">
        <f>IF($C4429="","",Registro_Compras!$X$495)</f>
        <v/>
      </c>
      <c r="B4429" t="str">
        <f>IF($C4429="","","C"&amp;TEXT(INT((ROW()-5)/9)+1,"000")&amp;"-3")</f>
        <v/>
      </c>
      <c r="C4429" t="str">
        <f>IF(OR(Registro_Compras!$C$495="",Registro_Compras!$O$495="",Registro_Compras!$R$495&lt;&gt;"SI",Registro_Compras!$X$495=""),"","4212")</f>
        <v/>
      </c>
      <c r="D4429" t="str">
        <f>IF(OR(Registro_Compras!$C$495="",Registro_Compras!$O$495=""),"","Cuentas por Pagar Comerciales - Terceros")</f>
        <v/>
      </c>
      <c r="E4429" s="20" t="str">
        <f>IF($C4429="","",Registro_Compras!$S$495)</f>
        <v/>
      </c>
      <c r="F4429" s="20" t="str">
        <f>""</f>
        <v/>
      </c>
      <c r="G4429" t="str">
        <f>IF($C4429="","","Por el deposito de la detraccion en el Banco de la Nacion")</f>
        <v/>
      </c>
      <c r="H4429" t="str">
        <f>IF($C4429="","",Registro_Compras!$C$495)</f>
        <v/>
      </c>
    </row>
    <row r="4430" spans="1:8" x14ac:dyDescent="0.25">
      <c r="A4430" s="25" t="str">
        <f>IF($C4430="","",Registro_Compras!$X$495)</f>
        <v/>
      </c>
      <c r="B4430" t="str">
        <f>IF($C4430="","","C"&amp;TEXT(INT((ROW()-5)/9)+1,"000")&amp;"-3")</f>
        <v/>
      </c>
      <c r="C4430" t="str">
        <f>IF(OR(Registro_Compras!$C$495="",Registro_Compras!$O$495="",Registro_Compras!$R$495&lt;&gt;"SI",Registro_Compras!$X$495=""),"","1041")</f>
        <v/>
      </c>
      <c r="D4430" t="str">
        <f>IF(OR(Registro_Compras!$C$495="",Registro_Compras!$O$495=""),"","Efectivo y Equivalentes - Cta. Cte. Operativa")</f>
        <v/>
      </c>
      <c r="E4430" s="20" t="str">
        <f>""</f>
        <v/>
      </c>
      <c r="F4430" s="20" t="str">
        <f>IF($C4430="","",Registro_Compras!$S$495)</f>
        <v/>
      </c>
      <c r="G4430" t="str">
        <f>IF($C4430="","","Por el deposito de la detraccion en el Banco de la Nacion")</f>
        <v/>
      </c>
      <c r="H4430" t="str">
        <f>IF($C4430="","",Registro_Compras!$C$495)</f>
        <v/>
      </c>
    </row>
    <row r="4431" spans="1:8" x14ac:dyDescent="0.25">
      <c r="A4431" s="25" t="str">
        <f>IF($C4431="","",Registro_Compras!$Y$495)</f>
        <v/>
      </c>
      <c r="B4431" t="str">
        <f>IF($C4431="","","C"&amp;TEXT(INT((ROW()-5)/9)+1,"000")&amp;"-4")</f>
        <v/>
      </c>
      <c r="C4431" t="str">
        <f>IF(OR(Registro_Compras!$C$495="",Registro_Compras!$O$495="",Registro_Compras!$Y$495="",Registro_Compras!$F$495="NOTA DE CREDITO"),"","4212")</f>
        <v/>
      </c>
      <c r="D4431" t="str">
        <f>IF(OR(Registro_Compras!$C$495="",Registro_Compras!$O$495=""),"","Cuentas por Pagar Comerciales - Terceros")</f>
        <v/>
      </c>
      <c r="E4431" s="20" t="str">
        <f>IF($C4431="","",IF(Registro_Compras!$F$495="RHE",(ROUND(Registro_Compras!$L$495*Registro_Compras!$N$495,2)-ROUND(Registro_Compras!$V$495*Registro_Compras!$N$495,2)),ROUND(Registro_Compras!$O$495-Registro_Compras!$S$495,2)))</f>
        <v/>
      </c>
      <c r="F4431" s="20" t="str">
        <f>""</f>
        <v/>
      </c>
      <c r="G4431" t="str">
        <f>IF($C4431="","","Por la cancelacion del saldo al proveedor")</f>
        <v/>
      </c>
      <c r="H4431" t="str">
        <f>IF($C4431="","",Registro_Compras!$C$495)</f>
        <v/>
      </c>
    </row>
    <row r="4432" spans="1:8" x14ac:dyDescent="0.25">
      <c r="A4432" s="25" t="str">
        <f>IF($C4432="","",Registro_Compras!$Y$495)</f>
        <v/>
      </c>
      <c r="B4432" t="str">
        <f>IF($C4432="","","C"&amp;TEXT(INT((ROW()-5)/9)+1,"000")&amp;"-4")</f>
        <v/>
      </c>
      <c r="C4432" t="str">
        <f>IF(OR(Registro_Compras!$C$495="",Registro_Compras!$O$495="",Registro_Compras!$Y$495="",Registro_Compras!$F$495="NOTA DE CREDITO"),"","1041")</f>
        <v/>
      </c>
      <c r="D4432" t="str">
        <f>IF(OR(Registro_Compras!$C$495="",Registro_Compras!$O$495=""),"","Efectivo y Equivalentes - Cta. Cte. Operativa")</f>
        <v/>
      </c>
      <c r="E4432" s="20" t="str">
        <f>""</f>
        <v/>
      </c>
      <c r="F4432" s="20" t="str">
        <f>IF($C4432="","",IF(Registro_Compras!$F$495="RHE",(ROUND(Registro_Compras!$L$495*Registro_Compras!$N$495,2)-ROUND(Registro_Compras!$V$495*Registro_Compras!$N$495,2)),ROUND(Registro_Compras!$O$495-Registro_Compras!$S$495,2)))</f>
        <v/>
      </c>
      <c r="G4432" t="str">
        <f>IF($C4432="","","Por la cancelacion del saldo al proveedor")</f>
        <v/>
      </c>
      <c r="H4432" t="str">
        <f>IF($C4432="","",Registro_Compras!$C$495)</f>
        <v/>
      </c>
    </row>
    <row r="4433" spans="1:8" x14ac:dyDescent="0.25">
      <c r="A4433" s="25" t="str">
        <f>IF($C4433="","",Registro_Compras!$B$496)</f>
        <v/>
      </c>
      <c r="B4433" t="str">
        <f>IF($C4433="","","C"&amp;TEXT(INT((ROW()-5)/9)+1,"000")&amp;"-1")</f>
        <v/>
      </c>
      <c r="C4433" t="str">
        <f>IF(OR(Registro_Compras!$C$496="",Registro_Compras!$O$496=""),"",IF(Registro_Compras!$F$496="NOTA DE CREDITO","4212",IF(Registro_Compras!$M$496="","63",Registro_Compras!$M$496)))</f>
        <v/>
      </c>
      <c r="D4433" t="str">
        <f>IF(OR(Registro_Compras!$C$496="",Registro_Compras!$O$496=""),"",IF(Registro_Compras!$F$496="NOTA DE CREDITO","Cuentas por Pagar Comerciales - Terceros (Emitidas)",IF(Registro_Compras!$F$496="RHE","Honorarios Profesionales - Servicios de Terceros","Gastos de Servicios Prestados por Terceros")))</f>
        <v/>
      </c>
      <c r="E4433" s="20" t="str">
        <f>IF($C4433="","",IF(Registro_Compras!$F$496="NOTA DE CREDITO",ABS(Registro_Compras!$O$496),IF(Registro_Compras!$F$496="RHE",ROUND(Registro_Compras!$L$496*Registro_Compras!$N$496,2),ROUND(Registro_Compras!$J$496*Registro_Compras!$N$496,2))))</f>
        <v/>
      </c>
      <c r="F4433" s="20" t="str">
        <f>""</f>
        <v/>
      </c>
      <c r="G4433" t="str">
        <f>IF($C4433="","",IF(Registro_Compras!$F$496="NOTA DE CREDITO","Por la nota de credito "&amp;Registro_Compras!$C$496&amp;" de "&amp;Registro_Compras!$E$496&amp;" [PATRON POR CONFIRMAR CON CONTADOR]",IF(Registro_Compras!$F$496="RHE","Por el registro del recibo por honorarios "&amp;Registro_Compras!$C$496&amp;" de "&amp;Registro_Compras!$E$496&amp;" [PATRON POR CONFIRMAR CON CONTADOR]","Por el registro de la factura "&amp;Registro_Compras!$C$496&amp;" de "&amp;Registro_Compras!$E$496)))</f>
        <v/>
      </c>
      <c r="H4433" t="str">
        <f>IF($C4433="","",Registro_Compras!$C$496)</f>
        <v/>
      </c>
    </row>
    <row r="4434" spans="1:8" x14ac:dyDescent="0.25">
      <c r="A4434" s="25" t="str">
        <f>IF($C4434="","",Registro_Compras!$B$496)</f>
        <v/>
      </c>
      <c r="B4434" t="str">
        <f>IF($C4434="","","C"&amp;TEXT(INT((ROW()-5)/9)+1,"000")&amp;"-1")</f>
        <v/>
      </c>
      <c r="C4434" t="str">
        <f>IF(OR(Registro_Compras!$C$496="",Registro_Compras!$O$496=""),"",IF(Registro_Compras!$F$496="RHE",IF(Registro_Compras!$V$496=0,"","4017"),IF(Registro_Compras!$F$496="NOTA DE CREDITO",IF(Registro_Compras!$M$496="","63",Registro_Compras!$M$496),IF(Registro_Compras!$K$496=0,"","40111"))))</f>
        <v/>
      </c>
      <c r="D4434" t="str">
        <f>IF(OR(Registro_Compras!$C$496="",Registro_Compras!$O$496=""),"",IF(Registro_Compras!$F$496="RHE","Retencion Renta 4ta Categoria por Pagar",IF(Registro_Compras!$F$496="NOTA DE CREDITO","Gastos de Servicios Prestados por Terceros","IGV - Cuenta Propia (Credito Fiscal)")))</f>
        <v/>
      </c>
      <c r="E4434" s="20" t="str">
        <f>IF($C4434="","",IF(Registro_Compras!$F$496="FACTURA",ROUND(Registro_Compras!$K$496*Registro_Compras!$N$496,2),""))</f>
        <v/>
      </c>
      <c r="F4434" s="20" t="str">
        <f>IF($C4434="","",IF(Registro_Compras!$F$496="RHE",ROUND(Registro_Compras!$V$496*Registro_Compras!$N$496,2),IF(Registro_Compras!$F$496="NOTA DE CREDITO",ROUND(ABS(Registro_Compras!$J$496*Registro_Compras!$N$496),2),"")))</f>
        <v/>
      </c>
      <c r="G4434" t="str">
        <f>IF($C4434="","",IF(Registro_Compras!$F$496="NOTA DE CREDITO","Por la nota de credito "&amp;Registro_Compras!$C$496&amp;" de "&amp;Registro_Compras!$E$496&amp;" [PATRON POR CONFIRMAR CON CONTADOR]",IF(Registro_Compras!$F$496="RHE","Por el registro del recibo por honorarios "&amp;Registro_Compras!$C$496&amp;" de "&amp;Registro_Compras!$E$496&amp;" [PATRON POR CONFIRMAR CON CONTADOR]","Por el registro de la factura "&amp;Registro_Compras!$C$496&amp;" de "&amp;Registro_Compras!$E$496)))</f>
        <v/>
      </c>
      <c r="H4434" t="str">
        <f>IF($C4434="","",Registro_Compras!$C$496)</f>
        <v/>
      </c>
    </row>
    <row r="4435" spans="1:8" x14ac:dyDescent="0.25">
      <c r="A4435" s="25" t="str">
        <f>IF($C4435="","",Registro_Compras!$B$496)</f>
        <v/>
      </c>
      <c r="B4435" t="str">
        <f>IF($C4435="","","C"&amp;TEXT(INT((ROW()-5)/9)+1,"000")&amp;"-1")</f>
        <v/>
      </c>
      <c r="C4435" t="str">
        <f>IF(OR(Registro_Compras!$C$496="",Registro_Compras!$O$496=""),"",IF(Registro_Compras!$F$496="NOTA DE CREDITO",IF(Registro_Compras!$K$496=0,"","40111"),"4212"))</f>
        <v/>
      </c>
      <c r="D4435" t="str">
        <f>IF(OR(Registro_Compras!$C$496="",Registro_Compras!$O$496=""),"",IF(Registro_Compras!$F$496="NOTA DE CREDITO","IGV - Cuenta Propia (Credito Fiscal)","Cuentas por Pagar Comerciales - Terceros (Emitidas)"))</f>
        <v/>
      </c>
      <c r="E4435" s="20" t="str">
        <f>""</f>
        <v/>
      </c>
      <c r="F4435" s="20" t="str">
        <f>IF($C4435="","",IF(Registro_Compras!$F$496="NOTA DE CREDITO",ROUND(ABS(Registro_Compras!$K$496*Registro_Compras!$N$496),2),IF(Registro_Compras!$F$496="RHE",(ROUND(Registro_Compras!$L$496*Registro_Compras!$N$496,2)-ROUND(Registro_Compras!$V$496*Registro_Compras!$N$496,2)),Registro_Compras!$O$496)))</f>
        <v/>
      </c>
      <c r="G4435" t="str">
        <f>IF($C4435="","",IF(Registro_Compras!$F$496="NOTA DE CREDITO","Por la nota de credito "&amp;Registro_Compras!$C$496&amp;" de "&amp;Registro_Compras!$E$496&amp;" [PATRON POR CONFIRMAR CON CONTADOR]",IF(Registro_Compras!$F$496="RHE","Por el registro del recibo por honorarios "&amp;Registro_Compras!$C$496&amp;" de "&amp;Registro_Compras!$E$496&amp;" [PATRON POR CONFIRMAR CON CONTADOR]","Por el registro de la factura "&amp;Registro_Compras!$C$496&amp;" de "&amp;Registro_Compras!$E$496)))</f>
        <v/>
      </c>
      <c r="H4435" t="str">
        <f>IF($C4435="","",Registro_Compras!$C$496)</f>
        <v/>
      </c>
    </row>
    <row r="4436" spans="1:8" x14ac:dyDescent="0.25">
      <c r="A4436" s="25" t="str">
        <f>IF($C4436="","",Registro_Compras!$B$496)</f>
        <v/>
      </c>
      <c r="B4436" t="str">
        <f>IF($C4436="","","C"&amp;TEXT(INT((ROW()-5)/9)+1,"000")&amp;"-2")</f>
        <v/>
      </c>
      <c r="C4436" t="str">
        <f>IF(OR(Registro_Compras!$C$496="",Registro_Compras!$O$496=""),"",IF(Registro_Compras!$AB$496="ADMINISTRATIVO","94","95"))</f>
        <v/>
      </c>
      <c r="D4436" t="str">
        <f>IF(OR(Registro_Compras!$C$496="",Registro_Compras!$O$496=""),"",IF(Registro_Compras!$AB$496="ADMINISTRATIVO","Gastos Administrativos","Gastos de Venta y Operacion"))</f>
        <v/>
      </c>
      <c r="E4436" s="20" t="str">
        <f>IF($C4436="","",IF(Registro_Compras!$F$496="NOTA DE CREDITO","",IF(Registro_Compras!$F$496="RHE",ROUND(Registro_Compras!$L$496*Registro_Compras!$N$496,2),ROUND(Registro_Compras!$J$496*Registro_Compras!$N$496,2))))</f>
        <v/>
      </c>
      <c r="F4436" s="20" t="str">
        <f>IF($C4436="","",IF(Registro_Compras!$F$496="NOTA DE CREDITO",ROUND(ABS(Registro_Compras!$J$496*Registro_Compras!$N$496),2),""))</f>
        <v/>
      </c>
      <c r="G4436" t="str">
        <f>IF($C4436="","","Por el destino del gasto")</f>
        <v/>
      </c>
      <c r="H4436" t="str">
        <f>IF($C4436="","",Registro_Compras!$C$496)</f>
        <v/>
      </c>
    </row>
    <row r="4437" spans="1:8" x14ac:dyDescent="0.25">
      <c r="A4437" s="25" t="str">
        <f>IF($C4437="","",Registro_Compras!$B$496)</f>
        <v/>
      </c>
      <c r="B4437" t="str">
        <f>IF($C4437="","","C"&amp;TEXT(INT((ROW()-5)/9)+1,"000")&amp;"-2")</f>
        <v/>
      </c>
      <c r="C4437" t="str">
        <f>IF(OR(Registro_Compras!$C$496="",Registro_Compras!$O$496=""),"","79/791")</f>
        <v/>
      </c>
      <c r="D4437" t="str">
        <f>IF(OR(Registro_Compras!$C$496="",Registro_Compras!$O$496=""),"","Cargas Imputables a Cuentas de Costos y Gastos")</f>
        <v/>
      </c>
      <c r="E4437" s="20" t="str">
        <f>IF($C4437="","",IF(Registro_Compras!$F$496="NOTA DE CREDITO",ROUND(ABS(Registro_Compras!$J$496*Registro_Compras!$N$496),2),""))</f>
        <v/>
      </c>
      <c r="F4437" s="20" t="str">
        <f>IF($C4437="","",IF(Registro_Compras!$F$496="NOTA DE CREDITO","",IF(Registro_Compras!$F$496="RHE",ROUND(Registro_Compras!$L$496*Registro_Compras!$N$496,2),ROUND(Registro_Compras!$J$496*Registro_Compras!$N$496,2))))</f>
        <v/>
      </c>
      <c r="G4437" t="str">
        <f>IF($C4437="","","Por el destino del gasto")</f>
        <v/>
      </c>
      <c r="H4437" t="str">
        <f>IF($C4437="","",Registro_Compras!$C$496)</f>
        <v/>
      </c>
    </row>
    <row r="4438" spans="1:8" x14ac:dyDescent="0.25">
      <c r="A4438" s="25" t="str">
        <f>IF($C4438="","",Registro_Compras!$X$496)</f>
        <v/>
      </c>
      <c r="B4438" t="str">
        <f>IF($C4438="","","C"&amp;TEXT(INT((ROW()-5)/9)+1,"000")&amp;"-3")</f>
        <v/>
      </c>
      <c r="C4438" t="str">
        <f>IF(OR(Registro_Compras!$C$496="",Registro_Compras!$O$496="",Registro_Compras!$R$496&lt;&gt;"SI",Registro_Compras!$X$496=""),"","4212")</f>
        <v/>
      </c>
      <c r="D4438" t="str">
        <f>IF(OR(Registro_Compras!$C$496="",Registro_Compras!$O$496=""),"","Cuentas por Pagar Comerciales - Terceros")</f>
        <v/>
      </c>
      <c r="E4438" s="20" t="str">
        <f>IF($C4438="","",Registro_Compras!$S$496)</f>
        <v/>
      </c>
      <c r="F4438" s="20" t="str">
        <f>""</f>
        <v/>
      </c>
      <c r="G4438" t="str">
        <f>IF($C4438="","","Por el deposito de la detraccion en el Banco de la Nacion")</f>
        <v/>
      </c>
      <c r="H4438" t="str">
        <f>IF($C4438="","",Registro_Compras!$C$496)</f>
        <v/>
      </c>
    </row>
    <row r="4439" spans="1:8" x14ac:dyDescent="0.25">
      <c r="A4439" s="25" t="str">
        <f>IF($C4439="","",Registro_Compras!$X$496)</f>
        <v/>
      </c>
      <c r="B4439" t="str">
        <f>IF($C4439="","","C"&amp;TEXT(INT((ROW()-5)/9)+1,"000")&amp;"-3")</f>
        <v/>
      </c>
      <c r="C4439" t="str">
        <f>IF(OR(Registro_Compras!$C$496="",Registro_Compras!$O$496="",Registro_Compras!$R$496&lt;&gt;"SI",Registro_Compras!$X$496=""),"","1041")</f>
        <v/>
      </c>
      <c r="D4439" t="str">
        <f>IF(OR(Registro_Compras!$C$496="",Registro_Compras!$O$496=""),"","Efectivo y Equivalentes - Cta. Cte. Operativa")</f>
        <v/>
      </c>
      <c r="E4439" s="20" t="str">
        <f>""</f>
        <v/>
      </c>
      <c r="F4439" s="20" t="str">
        <f>IF($C4439="","",Registro_Compras!$S$496)</f>
        <v/>
      </c>
      <c r="G4439" t="str">
        <f>IF($C4439="","","Por el deposito de la detraccion en el Banco de la Nacion")</f>
        <v/>
      </c>
      <c r="H4439" t="str">
        <f>IF($C4439="","",Registro_Compras!$C$496)</f>
        <v/>
      </c>
    </row>
    <row r="4440" spans="1:8" x14ac:dyDescent="0.25">
      <c r="A4440" s="25" t="str">
        <f>IF($C4440="","",Registro_Compras!$Y$496)</f>
        <v/>
      </c>
      <c r="B4440" t="str">
        <f>IF($C4440="","","C"&amp;TEXT(INT((ROW()-5)/9)+1,"000")&amp;"-4")</f>
        <v/>
      </c>
      <c r="C4440" t="str">
        <f>IF(OR(Registro_Compras!$C$496="",Registro_Compras!$O$496="",Registro_Compras!$Y$496="",Registro_Compras!$F$496="NOTA DE CREDITO"),"","4212")</f>
        <v/>
      </c>
      <c r="D4440" t="str">
        <f>IF(OR(Registro_Compras!$C$496="",Registro_Compras!$O$496=""),"","Cuentas por Pagar Comerciales - Terceros")</f>
        <v/>
      </c>
      <c r="E4440" s="20" t="str">
        <f>IF($C4440="","",IF(Registro_Compras!$F$496="RHE",(ROUND(Registro_Compras!$L$496*Registro_Compras!$N$496,2)-ROUND(Registro_Compras!$V$496*Registro_Compras!$N$496,2)),ROUND(Registro_Compras!$O$496-Registro_Compras!$S$496,2)))</f>
        <v/>
      </c>
      <c r="F4440" s="20" t="str">
        <f>""</f>
        <v/>
      </c>
      <c r="G4440" t="str">
        <f>IF($C4440="","","Por la cancelacion del saldo al proveedor")</f>
        <v/>
      </c>
      <c r="H4440" t="str">
        <f>IF($C4440="","",Registro_Compras!$C$496)</f>
        <v/>
      </c>
    </row>
    <row r="4441" spans="1:8" x14ac:dyDescent="0.25">
      <c r="A4441" s="25" t="str">
        <f>IF($C4441="","",Registro_Compras!$Y$496)</f>
        <v/>
      </c>
      <c r="B4441" t="str">
        <f>IF($C4441="","","C"&amp;TEXT(INT((ROW()-5)/9)+1,"000")&amp;"-4")</f>
        <v/>
      </c>
      <c r="C4441" t="str">
        <f>IF(OR(Registro_Compras!$C$496="",Registro_Compras!$O$496="",Registro_Compras!$Y$496="",Registro_Compras!$F$496="NOTA DE CREDITO"),"","1041")</f>
        <v/>
      </c>
      <c r="D4441" t="str">
        <f>IF(OR(Registro_Compras!$C$496="",Registro_Compras!$O$496=""),"","Efectivo y Equivalentes - Cta. Cte. Operativa")</f>
        <v/>
      </c>
      <c r="E4441" s="20" t="str">
        <f>""</f>
        <v/>
      </c>
      <c r="F4441" s="20" t="str">
        <f>IF($C4441="","",IF(Registro_Compras!$F$496="RHE",(ROUND(Registro_Compras!$L$496*Registro_Compras!$N$496,2)-ROUND(Registro_Compras!$V$496*Registro_Compras!$N$496,2)),ROUND(Registro_Compras!$O$496-Registro_Compras!$S$496,2)))</f>
        <v/>
      </c>
      <c r="G4441" t="str">
        <f>IF($C4441="","","Por la cancelacion del saldo al proveedor")</f>
        <v/>
      </c>
      <c r="H4441" t="str">
        <f>IF($C4441="","",Registro_Compras!$C$496)</f>
        <v/>
      </c>
    </row>
    <row r="4442" spans="1:8" x14ac:dyDescent="0.25">
      <c r="A4442" s="25" t="str">
        <f>IF($C4442="","",Registro_Compras!$B$497)</f>
        <v/>
      </c>
      <c r="B4442" t="str">
        <f>IF($C4442="","","C"&amp;TEXT(INT((ROW()-5)/9)+1,"000")&amp;"-1")</f>
        <v/>
      </c>
      <c r="C4442" t="str">
        <f>IF(OR(Registro_Compras!$C$497="",Registro_Compras!$O$497=""),"",IF(Registro_Compras!$F$497="NOTA DE CREDITO","4212",IF(Registro_Compras!$M$497="","63",Registro_Compras!$M$497)))</f>
        <v/>
      </c>
      <c r="D4442" t="str">
        <f>IF(OR(Registro_Compras!$C$497="",Registro_Compras!$O$497=""),"",IF(Registro_Compras!$F$497="NOTA DE CREDITO","Cuentas por Pagar Comerciales - Terceros (Emitidas)",IF(Registro_Compras!$F$497="RHE","Honorarios Profesionales - Servicios de Terceros","Gastos de Servicios Prestados por Terceros")))</f>
        <v/>
      </c>
      <c r="E4442" s="20" t="str">
        <f>IF($C4442="","",IF(Registro_Compras!$F$497="NOTA DE CREDITO",ABS(Registro_Compras!$O$497),IF(Registro_Compras!$F$497="RHE",ROUND(Registro_Compras!$L$497*Registro_Compras!$N$497,2),ROUND(Registro_Compras!$J$497*Registro_Compras!$N$497,2))))</f>
        <v/>
      </c>
      <c r="F4442" s="20" t="str">
        <f>""</f>
        <v/>
      </c>
      <c r="G4442" t="str">
        <f>IF($C4442="","",IF(Registro_Compras!$F$497="NOTA DE CREDITO","Por la nota de credito "&amp;Registro_Compras!$C$497&amp;" de "&amp;Registro_Compras!$E$497&amp;" [PATRON POR CONFIRMAR CON CONTADOR]",IF(Registro_Compras!$F$497="RHE","Por el registro del recibo por honorarios "&amp;Registro_Compras!$C$497&amp;" de "&amp;Registro_Compras!$E$497&amp;" [PATRON POR CONFIRMAR CON CONTADOR]","Por el registro de la factura "&amp;Registro_Compras!$C$497&amp;" de "&amp;Registro_Compras!$E$497)))</f>
        <v/>
      </c>
      <c r="H4442" t="str">
        <f>IF($C4442="","",Registro_Compras!$C$497)</f>
        <v/>
      </c>
    </row>
    <row r="4443" spans="1:8" x14ac:dyDescent="0.25">
      <c r="A4443" s="25" t="str">
        <f>IF($C4443="","",Registro_Compras!$B$497)</f>
        <v/>
      </c>
      <c r="B4443" t="str">
        <f>IF($C4443="","","C"&amp;TEXT(INT((ROW()-5)/9)+1,"000")&amp;"-1")</f>
        <v/>
      </c>
      <c r="C4443" t="str">
        <f>IF(OR(Registro_Compras!$C$497="",Registro_Compras!$O$497=""),"",IF(Registro_Compras!$F$497="RHE",IF(Registro_Compras!$V$497=0,"","4017"),IF(Registro_Compras!$F$497="NOTA DE CREDITO",IF(Registro_Compras!$M$497="","63",Registro_Compras!$M$497),IF(Registro_Compras!$K$497=0,"","40111"))))</f>
        <v/>
      </c>
      <c r="D4443" t="str">
        <f>IF(OR(Registro_Compras!$C$497="",Registro_Compras!$O$497=""),"",IF(Registro_Compras!$F$497="RHE","Retencion Renta 4ta Categoria por Pagar",IF(Registro_Compras!$F$497="NOTA DE CREDITO","Gastos de Servicios Prestados por Terceros","IGV - Cuenta Propia (Credito Fiscal)")))</f>
        <v/>
      </c>
      <c r="E4443" s="20" t="str">
        <f>IF($C4443="","",IF(Registro_Compras!$F$497="FACTURA",ROUND(Registro_Compras!$K$497*Registro_Compras!$N$497,2),""))</f>
        <v/>
      </c>
      <c r="F4443" s="20" t="str">
        <f>IF($C4443="","",IF(Registro_Compras!$F$497="RHE",ROUND(Registro_Compras!$V$497*Registro_Compras!$N$497,2),IF(Registro_Compras!$F$497="NOTA DE CREDITO",ROUND(ABS(Registro_Compras!$J$497*Registro_Compras!$N$497),2),"")))</f>
        <v/>
      </c>
      <c r="G4443" t="str">
        <f>IF($C4443="","",IF(Registro_Compras!$F$497="NOTA DE CREDITO","Por la nota de credito "&amp;Registro_Compras!$C$497&amp;" de "&amp;Registro_Compras!$E$497&amp;" [PATRON POR CONFIRMAR CON CONTADOR]",IF(Registro_Compras!$F$497="RHE","Por el registro del recibo por honorarios "&amp;Registro_Compras!$C$497&amp;" de "&amp;Registro_Compras!$E$497&amp;" [PATRON POR CONFIRMAR CON CONTADOR]","Por el registro de la factura "&amp;Registro_Compras!$C$497&amp;" de "&amp;Registro_Compras!$E$497)))</f>
        <v/>
      </c>
      <c r="H4443" t="str">
        <f>IF($C4443="","",Registro_Compras!$C$497)</f>
        <v/>
      </c>
    </row>
    <row r="4444" spans="1:8" x14ac:dyDescent="0.25">
      <c r="A4444" s="25" t="str">
        <f>IF($C4444="","",Registro_Compras!$B$497)</f>
        <v/>
      </c>
      <c r="B4444" t="str">
        <f>IF($C4444="","","C"&amp;TEXT(INT((ROW()-5)/9)+1,"000")&amp;"-1")</f>
        <v/>
      </c>
      <c r="C4444" t="str">
        <f>IF(OR(Registro_Compras!$C$497="",Registro_Compras!$O$497=""),"",IF(Registro_Compras!$F$497="NOTA DE CREDITO",IF(Registro_Compras!$K$497=0,"","40111"),"4212"))</f>
        <v/>
      </c>
      <c r="D4444" t="str">
        <f>IF(OR(Registro_Compras!$C$497="",Registro_Compras!$O$497=""),"",IF(Registro_Compras!$F$497="NOTA DE CREDITO","IGV - Cuenta Propia (Credito Fiscal)","Cuentas por Pagar Comerciales - Terceros (Emitidas)"))</f>
        <v/>
      </c>
      <c r="E4444" s="20" t="str">
        <f>""</f>
        <v/>
      </c>
      <c r="F4444" s="20" t="str">
        <f>IF($C4444="","",IF(Registro_Compras!$F$497="NOTA DE CREDITO",ROUND(ABS(Registro_Compras!$K$497*Registro_Compras!$N$497),2),IF(Registro_Compras!$F$497="RHE",(ROUND(Registro_Compras!$L$497*Registro_Compras!$N$497,2)-ROUND(Registro_Compras!$V$497*Registro_Compras!$N$497,2)),Registro_Compras!$O$497)))</f>
        <v/>
      </c>
      <c r="G4444" t="str">
        <f>IF($C4444="","",IF(Registro_Compras!$F$497="NOTA DE CREDITO","Por la nota de credito "&amp;Registro_Compras!$C$497&amp;" de "&amp;Registro_Compras!$E$497&amp;" [PATRON POR CONFIRMAR CON CONTADOR]",IF(Registro_Compras!$F$497="RHE","Por el registro del recibo por honorarios "&amp;Registro_Compras!$C$497&amp;" de "&amp;Registro_Compras!$E$497&amp;" [PATRON POR CONFIRMAR CON CONTADOR]","Por el registro de la factura "&amp;Registro_Compras!$C$497&amp;" de "&amp;Registro_Compras!$E$497)))</f>
        <v/>
      </c>
      <c r="H4444" t="str">
        <f>IF($C4444="","",Registro_Compras!$C$497)</f>
        <v/>
      </c>
    </row>
    <row r="4445" spans="1:8" x14ac:dyDescent="0.25">
      <c r="A4445" s="25" t="str">
        <f>IF($C4445="","",Registro_Compras!$B$497)</f>
        <v/>
      </c>
      <c r="B4445" t="str">
        <f>IF($C4445="","","C"&amp;TEXT(INT((ROW()-5)/9)+1,"000")&amp;"-2")</f>
        <v/>
      </c>
      <c r="C4445" t="str">
        <f>IF(OR(Registro_Compras!$C$497="",Registro_Compras!$O$497=""),"",IF(Registro_Compras!$AB$497="ADMINISTRATIVO","94","95"))</f>
        <v/>
      </c>
      <c r="D4445" t="str">
        <f>IF(OR(Registro_Compras!$C$497="",Registro_Compras!$O$497=""),"",IF(Registro_Compras!$AB$497="ADMINISTRATIVO","Gastos Administrativos","Gastos de Venta y Operacion"))</f>
        <v/>
      </c>
      <c r="E4445" s="20" t="str">
        <f>IF($C4445="","",IF(Registro_Compras!$F$497="NOTA DE CREDITO","",IF(Registro_Compras!$F$497="RHE",ROUND(Registro_Compras!$L$497*Registro_Compras!$N$497,2),ROUND(Registro_Compras!$J$497*Registro_Compras!$N$497,2))))</f>
        <v/>
      </c>
      <c r="F4445" s="20" t="str">
        <f>IF($C4445="","",IF(Registro_Compras!$F$497="NOTA DE CREDITO",ROUND(ABS(Registro_Compras!$J$497*Registro_Compras!$N$497),2),""))</f>
        <v/>
      </c>
      <c r="G4445" t="str">
        <f>IF($C4445="","","Por el destino del gasto")</f>
        <v/>
      </c>
      <c r="H4445" t="str">
        <f>IF($C4445="","",Registro_Compras!$C$497)</f>
        <v/>
      </c>
    </row>
    <row r="4446" spans="1:8" x14ac:dyDescent="0.25">
      <c r="A4446" s="25" t="str">
        <f>IF($C4446="","",Registro_Compras!$B$497)</f>
        <v/>
      </c>
      <c r="B4446" t="str">
        <f>IF($C4446="","","C"&amp;TEXT(INT((ROW()-5)/9)+1,"000")&amp;"-2")</f>
        <v/>
      </c>
      <c r="C4446" t="str">
        <f>IF(OR(Registro_Compras!$C$497="",Registro_Compras!$O$497=""),"","79/791")</f>
        <v/>
      </c>
      <c r="D4446" t="str">
        <f>IF(OR(Registro_Compras!$C$497="",Registro_Compras!$O$497=""),"","Cargas Imputables a Cuentas de Costos y Gastos")</f>
        <v/>
      </c>
      <c r="E4446" s="20" t="str">
        <f>IF($C4446="","",IF(Registro_Compras!$F$497="NOTA DE CREDITO",ROUND(ABS(Registro_Compras!$J$497*Registro_Compras!$N$497),2),""))</f>
        <v/>
      </c>
      <c r="F4446" s="20" t="str">
        <f>IF($C4446="","",IF(Registro_Compras!$F$497="NOTA DE CREDITO","",IF(Registro_Compras!$F$497="RHE",ROUND(Registro_Compras!$L$497*Registro_Compras!$N$497,2),ROUND(Registro_Compras!$J$497*Registro_Compras!$N$497,2))))</f>
        <v/>
      </c>
      <c r="G4446" t="str">
        <f>IF($C4446="","","Por el destino del gasto")</f>
        <v/>
      </c>
      <c r="H4446" t="str">
        <f>IF($C4446="","",Registro_Compras!$C$497)</f>
        <v/>
      </c>
    </row>
    <row r="4447" spans="1:8" x14ac:dyDescent="0.25">
      <c r="A4447" s="25" t="str">
        <f>IF($C4447="","",Registro_Compras!$X$497)</f>
        <v/>
      </c>
      <c r="B4447" t="str">
        <f>IF($C4447="","","C"&amp;TEXT(INT((ROW()-5)/9)+1,"000")&amp;"-3")</f>
        <v/>
      </c>
      <c r="C4447" t="str">
        <f>IF(OR(Registro_Compras!$C$497="",Registro_Compras!$O$497="",Registro_Compras!$R$497&lt;&gt;"SI",Registro_Compras!$X$497=""),"","4212")</f>
        <v/>
      </c>
      <c r="D4447" t="str">
        <f>IF(OR(Registro_Compras!$C$497="",Registro_Compras!$O$497=""),"","Cuentas por Pagar Comerciales - Terceros")</f>
        <v/>
      </c>
      <c r="E4447" s="20" t="str">
        <f>IF($C4447="","",Registro_Compras!$S$497)</f>
        <v/>
      </c>
      <c r="F4447" s="20" t="str">
        <f>""</f>
        <v/>
      </c>
      <c r="G4447" t="str">
        <f>IF($C4447="","","Por el deposito de la detraccion en el Banco de la Nacion")</f>
        <v/>
      </c>
      <c r="H4447" t="str">
        <f>IF($C4447="","",Registro_Compras!$C$497)</f>
        <v/>
      </c>
    </row>
    <row r="4448" spans="1:8" x14ac:dyDescent="0.25">
      <c r="A4448" s="25" t="str">
        <f>IF($C4448="","",Registro_Compras!$X$497)</f>
        <v/>
      </c>
      <c r="B4448" t="str">
        <f>IF($C4448="","","C"&amp;TEXT(INT((ROW()-5)/9)+1,"000")&amp;"-3")</f>
        <v/>
      </c>
      <c r="C4448" t="str">
        <f>IF(OR(Registro_Compras!$C$497="",Registro_Compras!$O$497="",Registro_Compras!$R$497&lt;&gt;"SI",Registro_Compras!$X$497=""),"","1041")</f>
        <v/>
      </c>
      <c r="D4448" t="str">
        <f>IF(OR(Registro_Compras!$C$497="",Registro_Compras!$O$497=""),"","Efectivo y Equivalentes - Cta. Cte. Operativa")</f>
        <v/>
      </c>
      <c r="E4448" s="20" t="str">
        <f>""</f>
        <v/>
      </c>
      <c r="F4448" s="20" t="str">
        <f>IF($C4448="","",Registro_Compras!$S$497)</f>
        <v/>
      </c>
      <c r="G4448" t="str">
        <f>IF($C4448="","","Por el deposito de la detraccion en el Banco de la Nacion")</f>
        <v/>
      </c>
      <c r="H4448" t="str">
        <f>IF($C4448="","",Registro_Compras!$C$497)</f>
        <v/>
      </c>
    </row>
    <row r="4449" spans="1:8" x14ac:dyDescent="0.25">
      <c r="A4449" s="25" t="str">
        <f>IF($C4449="","",Registro_Compras!$Y$497)</f>
        <v/>
      </c>
      <c r="B4449" t="str">
        <f>IF($C4449="","","C"&amp;TEXT(INT((ROW()-5)/9)+1,"000")&amp;"-4")</f>
        <v/>
      </c>
      <c r="C4449" t="str">
        <f>IF(OR(Registro_Compras!$C$497="",Registro_Compras!$O$497="",Registro_Compras!$Y$497="",Registro_Compras!$F$497="NOTA DE CREDITO"),"","4212")</f>
        <v/>
      </c>
      <c r="D4449" t="str">
        <f>IF(OR(Registro_Compras!$C$497="",Registro_Compras!$O$497=""),"","Cuentas por Pagar Comerciales - Terceros")</f>
        <v/>
      </c>
      <c r="E4449" s="20" t="str">
        <f>IF($C4449="","",IF(Registro_Compras!$F$497="RHE",(ROUND(Registro_Compras!$L$497*Registro_Compras!$N$497,2)-ROUND(Registro_Compras!$V$497*Registro_Compras!$N$497,2)),ROUND(Registro_Compras!$O$497-Registro_Compras!$S$497,2)))</f>
        <v/>
      </c>
      <c r="F4449" s="20" t="str">
        <f>""</f>
        <v/>
      </c>
      <c r="G4449" t="str">
        <f>IF($C4449="","","Por la cancelacion del saldo al proveedor")</f>
        <v/>
      </c>
      <c r="H4449" t="str">
        <f>IF($C4449="","",Registro_Compras!$C$497)</f>
        <v/>
      </c>
    </row>
    <row r="4450" spans="1:8" x14ac:dyDescent="0.25">
      <c r="A4450" s="25" t="str">
        <f>IF($C4450="","",Registro_Compras!$Y$497)</f>
        <v/>
      </c>
      <c r="B4450" t="str">
        <f>IF($C4450="","","C"&amp;TEXT(INT((ROW()-5)/9)+1,"000")&amp;"-4")</f>
        <v/>
      </c>
      <c r="C4450" t="str">
        <f>IF(OR(Registro_Compras!$C$497="",Registro_Compras!$O$497="",Registro_Compras!$Y$497="",Registro_Compras!$F$497="NOTA DE CREDITO"),"","1041")</f>
        <v/>
      </c>
      <c r="D4450" t="str">
        <f>IF(OR(Registro_Compras!$C$497="",Registro_Compras!$O$497=""),"","Efectivo y Equivalentes - Cta. Cte. Operativa")</f>
        <v/>
      </c>
      <c r="E4450" s="20" t="str">
        <f>""</f>
        <v/>
      </c>
      <c r="F4450" s="20" t="str">
        <f>IF($C4450="","",IF(Registro_Compras!$F$497="RHE",(ROUND(Registro_Compras!$L$497*Registro_Compras!$N$497,2)-ROUND(Registro_Compras!$V$497*Registro_Compras!$N$497,2)),ROUND(Registro_Compras!$O$497-Registro_Compras!$S$497,2)))</f>
        <v/>
      </c>
      <c r="G4450" t="str">
        <f>IF($C4450="","","Por la cancelacion del saldo al proveedor")</f>
        <v/>
      </c>
      <c r="H4450" t="str">
        <f>IF($C4450="","",Registro_Compras!$C$497)</f>
        <v/>
      </c>
    </row>
    <row r="4451" spans="1:8" x14ac:dyDescent="0.25">
      <c r="A4451" s="25" t="str">
        <f>IF($C4451="","",Registro_Compras!$B$498)</f>
        <v/>
      </c>
      <c r="B4451" t="str">
        <f>IF($C4451="","","C"&amp;TEXT(INT((ROW()-5)/9)+1,"000")&amp;"-1")</f>
        <v/>
      </c>
      <c r="C4451" t="str">
        <f>IF(OR(Registro_Compras!$C$498="",Registro_Compras!$O$498=""),"",IF(Registro_Compras!$F$498="NOTA DE CREDITO","4212",IF(Registro_Compras!$M$498="","63",Registro_Compras!$M$498)))</f>
        <v/>
      </c>
      <c r="D4451" t="str">
        <f>IF(OR(Registro_Compras!$C$498="",Registro_Compras!$O$498=""),"",IF(Registro_Compras!$F$498="NOTA DE CREDITO","Cuentas por Pagar Comerciales - Terceros (Emitidas)",IF(Registro_Compras!$F$498="RHE","Honorarios Profesionales - Servicios de Terceros","Gastos de Servicios Prestados por Terceros")))</f>
        <v/>
      </c>
      <c r="E4451" s="20" t="str">
        <f>IF($C4451="","",IF(Registro_Compras!$F$498="NOTA DE CREDITO",ABS(Registro_Compras!$O$498),IF(Registro_Compras!$F$498="RHE",ROUND(Registro_Compras!$L$498*Registro_Compras!$N$498,2),ROUND(Registro_Compras!$J$498*Registro_Compras!$N$498,2))))</f>
        <v/>
      </c>
      <c r="F4451" s="20" t="str">
        <f>""</f>
        <v/>
      </c>
      <c r="G4451" t="str">
        <f>IF($C4451="","",IF(Registro_Compras!$F$498="NOTA DE CREDITO","Por la nota de credito "&amp;Registro_Compras!$C$498&amp;" de "&amp;Registro_Compras!$E$498&amp;" [PATRON POR CONFIRMAR CON CONTADOR]",IF(Registro_Compras!$F$498="RHE","Por el registro del recibo por honorarios "&amp;Registro_Compras!$C$498&amp;" de "&amp;Registro_Compras!$E$498&amp;" [PATRON POR CONFIRMAR CON CONTADOR]","Por el registro de la factura "&amp;Registro_Compras!$C$498&amp;" de "&amp;Registro_Compras!$E$498)))</f>
        <v/>
      </c>
      <c r="H4451" t="str">
        <f>IF($C4451="","",Registro_Compras!$C$498)</f>
        <v/>
      </c>
    </row>
    <row r="4452" spans="1:8" x14ac:dyDescent="0.25">
      <c r="A4452" s="25" t="str">
        <f>IF($C4452="","",Registro_Compras!$B$498)</f>
        <v/>
      </c>
      <c r="B4452" t="str">
        <f>IF($C4452="","","C"&amp;TEXT(INT((ROW()-5)/9)+1,"000")&amp;"-1")</f>
        <v/>
      </c>
      <c r="C4452" t="str">
        <f>IF(OR(Registro_Compras!$C$498="",Registro_Compras!$O$498=""),"",IF(Registro_Compras!$F$498="RHE",IF(Registro_Compras!$V$498=0,"","4017"),IF(Registro_Compras!$F$498="NOTA DE CREDITO",IF(Registro_Compras!$M$498="","63",Registro_Compras!$M$498),IF(Registro_Compras!$K$498=0,"","40111"))))</f>
        <v/>
      </c>
      <c r="D4452" t="str">
        <f>IF(OR(Registro_Compras!$C$498="",Registro_Compras!$O$498=""),"",IF(Registro_Compras!$F$498="RHE","Retencion Renta 4ta Categoria por Pagar",IF(Registro_Compras!$F$498="NOTA DE CREDITO","Gastos de Servicios Prestados por Terceros","IGV - Cuenta Propia (Credito Fiscal)")))</f>
        <v/>
      </c>
      <c r="E4452" s="20" t="str">
        <f>IF($C4452="","",IF(Registro_Compras!$F$498="FACTURA",ROUND(Registro_Compras!$K$498*Registro_Compras!$N$498,2),""))</f>
        <v/>
      </c>
      <c r="F4452" s="20" t="str">
        <f>IF($C4452="","",IF(Registro_Compras!$F$498="RHE",ROUND(Registro_Compras!$V$498*Registro_Compras!$N$498,2),IF(Registro_Compras!$F$498="NOTA DE CREDITO",ROUND(ABS(Registro_Compras!$J$498*Registro_Compras!$N$498),2),"")))</f>
        <v/>
      </c>
      <c r="G4452" t="str">
        <f>IF($C4452="","",IF(Registro_Compras!$F$498="NOTA DE CREDITO","Por la nota de credito "&amp;Registro_Compras!$C$498&amp;" de "&amp;Registro_Compras!$E$498&amp;" [PATRON POR CONFIRMAR CON CONTADOR]",IF(Registro_Compras!$F$498="RHE","Por el registro del recibo por honorarios "&amp;Registro_Compras!$C$498&amp;" de "&amp;Registro_Compras!$E$498&amp;" [PATRON POR CONFIRMAR CON CONTADOR]","Por el registro de la factura "&amp;Registro_Compras!$C$498&amp;" de "&amp;Registro_Compras!$E$498)))</f>
        <v/>
      </c>
      <c r="H4452" t="str">
        <f>IF($C4452="","",Registro_Compras!$C$498)</f>
        <v/>
      </c>
    </row>
    <row r="4453" spans="1:8" x14ac:dyDescent="0.25">
      <c r="A4453" s="25" t="str">
        <f>IF($C4453="","",Registro_Compras!$B$498)</f>
        <v/>
      </c>
      <c r="B4453" t="str">
        <f>IF($C4453="","","C"&amp;TEXT(INT((ROW()-5)/9)+1,"000")&amp;"-1")</f>
        <v/>
      </c>
      <c r="C4453" t="str">
        <f>IF(OR(Registro_Compras!$C$498="",Registro_Compras!$O$498=""),"",IF(Registro_Compras!$F$498="NOTA DE CREDITO",IF(Registro_Compras!$K$498=0,"","40111"),"4212"))</f>
        <v/>
      </c>
      <c r="D4453" t="str">
        <f>IF(OR(Registro_Compras!$C$498="",Registro_Compras!$O$498=""),"",IF(Registro_Compras!$F$498="NOTA DE CREDITO","IGV - Cuenta Propia (Credito Fiscal)","Cuentas por Pagar Comerciales - Terceros (Emitidas)"))</f>
        <v/>
      </c>
      <c r="E4453" s="20" t="str">
        <f>""</f>
        <v/>
      </c>
      <c r="F4453" s="20" t="str">
        <f>IF($C4453="","",IF(Registro_Compras!$F$498="NOTA DE CREDITO",ROUND(ABS(Registro_Compras!$K$498*Registro_Compras!$N$498),2),IF(Registro_Compras!$F$498="RHE",(ROUND(Registro_Compras!$L$498*Registro_Compras!$N$498,2)-ROUND(Registro_Compras!$V$498*Registro_Compras!$N$498,2)),Registro_Compras!$O$498)))</f>
        <v/>
      </c>
      <c r="G4453" t="str">
        <f>IF($C4453="","",IF(Registro_Compras!$F$498="NOTA DE CREDITO","Por la nota de credito "&amp;Registro_Compras!$C$498&amp;" de "&amp;Registro_Compras!$E$498&amp;" [PATRON POR CONFIRMAR CON CONTADOR]",IF(Registro_Compras!$F$498="RHE","Por el registro del recibo por honorarios "&amp;Registro_Compras!$C$498&amp;" de "&amp;Registro_Compras!$E$498&amp;" [PATRON POR CONFIRMAR CON CONTADOR]","Por el registro de la factura "&amp;Registro_Compras!$C$498&amp;" de "&amp;Registro_Compras!$E$498)))</f>
        <v/>
      </c>
      <c r="H4453" t="str">
        <f>IF($C4453="","",Registro_Compras!$C$498)</f>
        <v/>
      </c>
    </row>
    <row r="4454" spans="1:8" x14ac:dyDescent="0.25">
      <c r="A4454" s="25" t="str">
        <f>IF($C4454="","",Registro_Compras!$B$498)</f>
        <v/>
      </c>
      <c r="B4454" t="str">
        <f>IF($C4454="","","C"&amp;TEXT(INT((ROW()-5)/9)+1,"000")&amp;"-2")</f>
        <v/>
      </c>
      <c r="C4454" t="str">
        <f>IF(OR(Registro_Compras!$C$498="",Registro_Compras!$O$498=""),"",IF(Registro_Compras!$AB$498="ADMINISTRATIVO","94","95"))</f>
        <v/>
      </c>
      <c r="D4454" t="str">
        <f>IF(OR(Registro_Compras!$C$498="",Registro_Compras!$O$498=""),"",IF(Registro_Compras!$AB$498="ADMINISTRATIVO","Gastos Administrativos","Gastos de Venta y Operacion"))</f>
        <v/>
      </c>
      <c r="E4454" s="20" t="str">
        <f>IF($C4454="","",IF(Registro_Compras!$F$498="NOTA DE CREDITO","",IF(Registro_Compras!$F$498="RHE",ROUND(Registro_Compras!$L$498*Registro_Compras!$N$498,2),ROUND(Registro_Compras!$J$498*Registro_Compras!$N$498,2))))</f>
        <v/>
      </c>
      <c r="F4454" s="20" t="str">
        <f>IF($C4454="","",IF(Registro_Compras!$F$498="NOTA DE CREDITO",ROUND(ABS(Registro_Compras!$J$498*Registro_Compras!$N$498),2),""))</f>
        <v/>
      </c>
      <c r="G4454" t="str">
        <f>IF($C4454="","","Por el destino del gasto")</f>
        <v/>
      </c>
      <c r="H4454" t="str">
        <f>IF($C4454="","",Registro_Compras!$C$498)</f>
        <v/>
      </c>
    </row>
    <row r="4455" spans="1:8" x14ac:dyDescent="0.25">
      <c r="A4455" s="25" t="str">
        <f>IF($C4455="","",Registro_Compras!$B$498)</f>
        <v/>
      </c>
      <c r="B4455" t="str">
        <f>IF($C4455="","","C"&amp;TEXT(INT((ROW()-5)/9)+1,"000")&amp;"-2")</f>
        <v/>
      </c>
      <c r="C4455" t="str">
        <f>IF(OR(Registro_Compras!$C$498="",Registro_Compras!$O$498=""),"","79/791")</f>
        <v/>
      </c>
      <c r="D4455" t="str">
        <f>IF(OR(Registro_Compras!$C$498="",Registro_Compras!$O$498=""),"","Cargas Imputables a Cuentas de Costos y Gastos")</f>
        <v/>
      </c>
      <c r="E4455" s="20" t="str">
        <f>IF($C4455="","",IF(Registro_Compras!$F$498="NOTA DE CREDITO",ROUND(ABS(Registro_Compras!$J$498*Registro_Compras!$N$498),2),""))</f>
        <v/>
      </c>
      <c r="F4455" s="20" t="str">
        <f>IF($C4455="","",IF(Registro_Compras!$F$498="NOTA DE CREDITO","",IF(Registro_Compras!$F$498="RHE",ROUND(Registro_Compras!$L$498*Registro_Compras!$N$498,2),ROUND(Registro_Compras!$J$498*Registro_Compras!$N$498,2))))</f>
        <v/>
      </c>
      <c r="G4455" t="str">
        <f>IF($C4455="","","Por el destino del gasto")</f>
        <v/>
      </c>
      <c r="H4455" t="str">
        <f>IF($C4455="","",Registro_Compras!$C$498)</f>
        <v/>
      </c>
    </row>
    <row r="4456" spans="1:8" x14ac:dyDescent="0.25">
      <c r="A4456" s="25" t="str">
        <f>IF($C4456="","",Registro_Compras!$X$498)</f>
        <v/>
      </c>
      <c r="B4456" t="str">
        <f>IF($C4456="","","C"&amp;TEXT(INT((ROW()-5)/9)+1,"000")&amp;"-3")</f>
        <v/>
      </c>
      <c r="C4456" t="str">
        <f>IF(OR(Registro_Compras!$C$498="",Registro_Compras!$O$498="",Registro_Compras!$R$498&lt;&gt;"SI",Registro_Compras!$X$498=""),"","4212")</f>
        <v/>
      </c>
      <c r="D4456" t="str">
        <f>IF(OR(Registro_Compras!$C$498="",Registro_Compras!$O$498=""),"","Cuentas por Pagar Comerciales - Terceros")</f>
        <v/>
      </c>
      <c r="E4456" s="20" t="str">
        <f>IF($C4456="","",Registro_Compras!$S$498)</f>
        <v/>
      </c>
      <c r="F4456" s="20" t="str">
        <f>""</f>
        <v/>
      </c>
      <c r="G4456" t="str">
        <f>IF($C4456="","","Por el deposito de la detraccion en el Banco de la Nacion")</f>
        <v/>
      </c>
      <c r="H4456" t="str">
        <f>IF($C4456="","",Registro_Compras!$C$498)</f>
        <v/>
      </c>
    </row>
    <row r="4457" spans="1:8" x14ac:dyDescent="0.25">
      <c r="A4457" s="25" t="str">
        <f>IF($C4457="","",Registro_Compras!$X$498)</f>
        <v/>
      </c>
      <c r="B4457" t="str">
        <f>IF($C4457="","","C"&amp;TEXT(INT((ROW()-5)/9)+1,"000")&amp;"-3")</f>
        <v/>
      </c>
      <c r="C4457" t="str">
        <f>IF(OR(Registro_Compras!$C$498="",Registro_Compras!$O$498="",Registro_Compras!$R$498&lt;&gt;"SI",Registro_Compras!$X$498=""),"","1041")</f>
        <v/>
      </c>
      <c r="D4457" t="str">
        <f>IF(OR(Registro_Compras!$C$498="",Registro_Compras!$O$498=""),"","Efectivo y Equivalentes - Cta. Cte. Operativa")</f>
        <v/>
      </c>
      <c r="E4457" s="20" t="str">
        <f>""</f>
        <v/>
      </c>
      <c r="F4457" s="20" t="str">
        <f>IF($C4457="","",Registro_Compras!$S$498)</f>
        <v/>
      </c>
      <c r="G4457" t="str">
        <f>IF($C4457="","","Por el deposito de la detraccion en el Banco de la Nacion")</f>
        <v/>
      </c>
      <c r="H4457" t="str">
        <f>IF($C4457="","",Registro_Compras!$C$498)</f>
        <v/>
      </c>
    </row>
    <row r="4458" spans="1:8" x14ac:dyDescent="0.25">
      <c r="A4458" s="25" t="str">
        <f>IF($C4458="","",Registro_Compras!$Y$498)</f>
        <v/>
      </c>
      <c r="B4458" t="str">
        <f>IF($C4458="","","C"&amp;TEXT(INT((ROW()-5)/9)+1,"000")&amp;"-4")</f>
        <v/>
      </c>
      <c r="C4458" t="str">
        <f>IF(OR(Registro_Compras!$C$498="",Registro_Compras!$O$498="",Registro_Compras!$Y$498="",Registro_Compras!$F$498="NOTA DE CREDITO"),"","4212")</f>
        <v/>
      </c>
      <c r="D4458" t="str">
        <f>IF(OR(Registro_Compras!$C$498="",Registro_Compras!$O$498=""),"","Cuentas por Pagar Comerciales - Terceros")</f>
        <v/>
      </c>
      <c r="E4458" s="20" t="str">
        <f>IF($C4458="","",IF(Registro_Compras!$F$498="RHE",(ROUND(Registro_Compras!$L$498*Registro_Compras!$N$498,2)-ROUND(Registro_Compras!$V$498*Registro_Compras!$N$498,2)),ROUND(Registro_Compras!$O$498-Registro_Compras!$S$498,2)))</f>
        <v/>
      </c>
      <c r="F4458" s="20" t="str">
        <f>""</f>
        <v/>
      </c>
      <c r="G4458" t="str">
        <f>IF($C4458="","","Por la cancelacion del saldo al proveedor")</f>
        <v/>
      </c>
      <c r="H4458" t="str">
        <f>IF($C4458="","",Registro_Compras!$C$498)</f>
        <v/>
      </c>
    </row>
    <row r="4459" spans="1:8" x14ac:dyDescent="0.25">
      <c r="A4459" s="25" t="str">
        <f>IF($C4459="","",Registro_Compras!$Y$498)</f>
        <v/>
      </c>
      <c r="B4459" t="str">
        <f>IF($C4459="","","C"&amp;TEXT(INT((ROW()-5)/9)+1,"000")&amp;"-4")</f>
        <v/>
      </c>
      <c r="C4459" t="str">
        <f>IF(OR(Registro_Compras!$C$498="",Registro_Compras!$O$498="",Registro_Compras!$Y$498="",Registro_Compras!$F$498="NOTA DE CREDITO"),"","1041")</f>
        <v/>
      </c>
      <c r="D4459" t="str">
        <f>IF(OR(Registro_Compras!$C$498="",Registro_Compras!$O$498=""),"","Efectivo y Equivalentes - Cta. Cte. Operativa")</f>
        <v/>
      </c>
      <c r="E4459" s="20" t="str">
        <f>""</f>
        <v/>
      </c>
      <c r="F4459" s="20" t="str">
        <f>IF($C4459="","",IF(Registro_Compras!$F$498="RHE",(ROUND(Registro_Compras!$L$498*Registro_Compras!$N$498,2)-ROUND(Registro_Compras!$V$498*Registro_Compras!$N$498,2)),ROUND(Registro_Compras!$O$498-Registro_Compras!$S$498,2)))</f>
        <v/>
      </c>
      <c r="G4459" t="str">
        <f>IF($C4459="","","Por la cancelacion del saldo al proveedor")</f>
        <v/>
      </c>
      <c r="H4459" t="str">
        <f>IF($C4459="","",Registro_Compras!$C$498)</f>
        <v/>
      </c>
    </row>
    <row r="4460" spans="1:8" x14ac:dyDescent="0.25">
      <c r="A4460" s="25" t="str">
        <f>IF($C4460="","",Registro_Compras!$B$499)</f>
        <v/>
      </c>
      <c r="B4460" t="str">
        <f>IF($C4460="","","C"&amp;TEXT(INT((ROW()-5)/9)+1,"000")&amp;"-1")</f>
        <v/>
      </c>
      <c r="C4460" t="str">
        <f>IF(OR(Registro_Compras!$C$499="",Registro_Compras!$O$499=""),"",IF(Registro_Compras!$F$499="NOTA DE CREDITO","4212",IF(Registro_Compras!$M$499="","63",Registro_Compras!$M$499)))</f>
        <v/>
      </c>
      <c r="D4460" t="str">
        <f>IF(OR(Registro_Compras!$C$499="",Registro_Compras!$O$499=""),"",IF(Registro_Compras!$F$499="NOTA DE CREDITO","Cuentas por Pagar Comerciales - Terceros (Emitidas)",IF(Registro_Compras!$F$499="RHE","Honorarios Profesionales - Servicios de Terceros","Gastos de Servicios Prestados por Terceros")))</f>
        <v/>
      </c>
      <c r="E4460" s="20" t="str">
        <f>IF($C4460="","",IF(Registro_Compras!$F$499="NOTA DE CREDITO",ABS(Registro_Compras!$O$499),IF(Registro_Compras!$F$499="RHE",ROUND(Registro_Compras!$L$499*Registro_Compras!$N$499,2),ROUND(Registro_Compras!$J$499*Registro_Compras!$N$499,2))))</f>
        <v/>
      </c>
      <c r="F4460" s="20" t="str">
        <f>""</f>
        <v/>
      </c>
      <c r="G4460" t="str">
        <f>IF($C4460="","",IF(Registro_Compras!$F$499="NOTA DE CREDITO","Por la nota de credito "&amp;Registro_Compras!$C$499&amp;" de "&amp;Registro_Compras!$E$499&amp;" [PATRON POR CONFIRMAR CON CONTADOR]",IF(Registro_Compras!$F$499="RHE","Por el registro del recibo por honorarios "&amp;Registro_Compras!$C$499&amp;" de "&amp;Registro_Compras!$E$499&amp;" [PATRON POR CONFIRMAR CON CONTADOR]","Por el registro de la factura "&amp;Registro_Compras!$C$499&amp;" de "&amp;Registro_Compras!$E$499)))</f>
        <v/>
      </c>
      <c r="H4460" t="str">
        <f>IF($C4460="","",Registro_Compras!$C$499)</f>
        <v/>
      </c>
    </row>
    <row r="4461" spans="1:8" x14ac:dyDescent="0.25">
      <c r="A4461" s="25" t="str">
        <f>IF($C4461="","",Registro_Compras!$B$499)</f>
        <v/>
      </c>
      <c r="B4461" t="str">
        <f>IF($C4461="","","C"&amp;TEXT(INT((ROW()-5)/9)+1,"000")&amp;"-1")</f>
        <v/>
      </c>
      <c r="C4461" t="str">
        <f>IF(OR(Registro_Compras!$C$499="",Registro_Compras!$O$499=""),"",IF(Registro_Compras!$F$499="RHE",IF(Registro_Compras!$V$499=0,"","4017"),IF(Registro_Compras!$F$499="NOTA DE CREDITO",IF(Registro_Compras!$M$499="","63",Registro_Compras!$M$499),IF(Registro_Compras!$K$499=0,"","40111"))))</f>
        <v/>
      </c>
      <c r="D4461" t="str">
        <f>IF(OR(Registro_Compras!$C$499="",Registro_Compras!$O$499=""),"",IF(Registro_Compras!$F$499="RHE","Retencion Renta 4ta Categoria por Pagar",IF(Registro_Compras!$F$499="NOTA DE CREDITO","Gastos de Servicios Prestados por Terceros","IGV - Cuenta Propia (Credito Fiscal)")))</f>
        <v/>
      </c>
      <c r="E4461" s="20" t="str">
        <f>IF($C4461="","",IF(Registro_Compras!$F$499="FACTURA",ROUND(Registro_Compras!$K$499*Registro_Compras!$N$499,2),""))</f>
        <v/>
      </c>
      <c r="F4461" s="20" t="str">
        <f>IF($C4461="","",IF(Registro_Compras!$F$499="RHE",ROUND(Registro_Compras!$V$499*Registro_Compras!$N$499,2),IF(Registro_Compras!$F$499="NOTA DE CREDITO",ROUND(ABS(Registro_Compras!$J$499*Registro_Compras!$N$499),2),"")))</f>
        <v/>
      </c>
      <c r="G4461" t="str">
        <f>IF($C4461="","",IF(Registro_Compras!$F$499="NOTA DE CREDITO","Por la nota de credito "&amp;Registro_Compras!$C$499&amp;" de "&amp;Registro_Compras!$E$499&amp;" [PATRON POR CONFIRMAR CON CONTADOR]",IF(Registro_Compras!$F$499="RHE","Por el registro del recibo por honorarios "&amp;Registro_Compras!$C$499&amp;" de "&amp;Registro_Compras!$E$499&amp;" [PATRON POR CONFIRMAR CON CONTADOR]","Por el registro de la factura "&amp;Registro_Compras!$C$499&amp;" de "&amp;Registro_Compras!$E$499)))</f>
        <v/>
      </c>
      <c r="H4461" t="str">
        <f>IF($C4461="","",Registro_Compras!$C$499)</f>
        <v/>
      </c>
    </row>
    <row r="4462" spans="1:8" x14ac:dyDescent="0.25">
      <c r="A4462" s="25" t="str">
        <f>IF($C4462="","",Registro_Compras!$B$499)</f>
        <v/>
      </c>
      <c r="B4462" t="str">
        <f>IF($C4462="","","C"&amp;TEXT(INT((ROW()-5)/9)+1,"000")&amp;"-1")</f>
        <v/>
      </c>
      <c r="C4462" t="str">
        <f>IF(OR(Registro_Compras!$C$499="",Registro_Compras!$O$499=""),"",IF(Registro_Compras!$F$499="NOTA DE CREDITO",IF(Registro_Compras!$K$499=0,"","40111"),"4212"))</f>
        <v/>
      </c>
      <c r="D4462" t="str">
        <f>IF(OR(Registro_Compras!$C$499="",Registro_Compras!$O$499=""),"",IF(Registro_Compras!$F$499="NOTA DE CREDITO","IGV - Cuenta Propia (Credito Fiscal)","Cuentas por Pagar Comerciales - Terceros (Emitidas)"))</f>
        <v/>
      </c>
      <c r="E4462" s="20" t="str">
        <f>""</f>
        <v/>
      </c>
      <c r="F4462" s="20" t="str">
        <f>IF($C4462="","",IF(Registro_Compras!$F$499="NOTA DE CREDITO",ROUND(ABS(Registro_Compras!$K$499*Registro_Compras!$N$499),2),IF(Registro_Compras!$F$499="RHE",(ROUND(Registro_Compras!$L$499*Registro_Compras!$N$499,2)-ROUND(Registro_Compras!$V$499*Registro_Compras!$N$499,2)),Registro_Compras!$O$499)))</f>
        <v/>
      </c>
      <c r="G4462" t="str">
        <f>IF($C4462="","",IF(Registro_Compras!$F$499="NOTA DE CREDITO","Por la nota de credito "&amp;Registro_Compras!$C$499&amp;" de "&amp;Registro_Compras!$E$499&amp;" [PATRON POR CONFIRMAR CON CONTADOR]",IF(Registro_Compras!$F$499="RHE","Por el registro del recibo por honorarios "&amp;Registro_Compras!$C$499&amp;" de "&amp;Registro_Compras!$E$499&amp;" [PATRON POR CONFIRMAR CON CONTADOR]","Por el registro de la factura "&amp;Registro_Compras!$C$499&amp;" de "&amp;Registro_Compras!$E$499)))</f>
        <v/>
      </c>
      <c r="H4462" t="str">
        <f>IF($C4462="","",Registro_Compras!$C$499)</f>
        <v/>
      </c>
    </row>
    <row r="4463" spans="1:8" x14ac:dyDescent="0.25">
      <c r="A4463" s="25" t="str">
        <f>IF($C4463="","",Registro_Compras!$B$499)</f>
        <v/>
      </c>
      <c r="B4463" t="str">
        <f>IF($C4463="","","C"&amp;TEXT(INT((ROW()-5)/9)+1,"000")&amp;"-2")</f>
        <v/>
      </c>
      <c r="C4463" t="str">
        <f>IF(OR(Registro_Compras!$C$499="",Registro_Compras!$O$499=""),"",IF(Registro_Compras!$AB$499="ADMINISTRATIVO","94","95"))</f>
        <v/>
      </c>
      <c r="D4463" t="str">
        <f>IF(OR(Registro_Compras!$C$499="",Registro_Compras!$O$499=""),"",IF(Registro_Compras!$AB$499="ADMINISTRATIVO","Gastos Administrativos","Gastos de Venta y Operacion"))</f>
        <v/>
      </c>
      <c r="E4463" s="20" t="str">
        <f>IF($C4463="","",IF(Registro_Compras!$F$499="NOTA DE CREDITO","",IF(Registro_Compras!$F$499="RHE",ROUND(Registro_Compras!$L$499*Registro_Compras!$N$499,2),ROUND(Registro_Compras!$J$499*Registro_Compras!$N$499,2))))</f>
        <v/>
      </c>
      <c r="F4463" s="20" t="str">
        <f>IF($C4463="","",IF(Registro_Compras!$F$499="NOTA DE CREDITO",ROUND(ABS(Registro_Compras!$J$499*Registro_Compras!$N$499),2),""))</f>
        <v/>
      </c>
      <c r="G4463" t="str">
        <f>IF($C4463="","","Por el destino del gasto")</f>
        <v/>
      </c>
      <c r="H4463" t="str">
        <f>IF($C4463="","",Registro_Compras!$C$499)</f>
        <v/>
      </c>
    </row>
    <row r="4464" spans="1:8" x14ac:dyDescent="0.25">
      <c r="A4464" s="25" t="str">
        <f>IF($C4464="","",Registro_Compras!$B$499)</f>
        <v/>
      </c>
      <c r="B4464" t="str">
        <f>IF($C4464="","","C"&amp;TEXT(INT((ROW()-5)/9)+1,"000")&amp;"-2")</f>
        <v/>
      </c>
      <c r="C4464" t="str">
        <f>IF(OR(Registro_Compras!$C$499="",Registro_Compras!$O$499=""),"","79/791")</f>
        <v/>
      </c>
      <c r="D4464" t="str">
        <f>IF(OR(Registro_Compras!$C$499="",Registro_Compras!$O$499=""),"","Cargas Imputables a Cuentas de Costos y Gastos")</f>
        <v/>
      </c>
      <c r="E4464" s="20" t="str">
        <f>IF($C4464="","",IF(Registro_Compras!$F$499="NOTA DE CREDITO",ROUND(ABS(Registro_Compras!$J$499*Registro_Compras!$N$499),2),""))</f>
        <v/>
      </c>
      <c r="F4464" s="20" t="str">
        <f>IF($C4464="","",IF(Registro_Compras!$F$499="NOTA DE CREDITO","",IF(Registro_Compras!$F$499="RHE",ROUND(Registro_Compras!$L$499*Registro_Compras!$N$499,2),ROUND(Registro_Compras!$J$499*Registro_Compras!$N$499,2))))</f>
        <v/>
      </c>
      <c r="G4464" t="str">
        <f>IF($C4464="","","Por el destino del gasto")</f>
        <v/>
      </c>
      <c r="H4464" t="str">
        <f>IF($C4464="","",Registro_Compras!$C$499)</f>
        <v/>
      </c>
    </row>
    <row r="4465" spans="1:8" x14ac:dyDescent="0.25">
      <c r="A4465" s="25" t="str">
        <f>IF($C4465="","",Registro_Compras!$X$499)</f>
        <v/>
      </c>
      <c r="B4465" t="str">
        <f>IF($C4465="","","C"&amp;TEXT(INT((ROW()-5)/9)+1,"000")&amp;"-3")</f>
        <v/>
      </c>
      <c r="C4465" t="str">
        <f>IF(OR(Registro_Compras!$C$499="",Registro_Compras!$O$499="",Registro_Compras!$R$499&lt;&gt;"SI",Registro_Compras!$X$499=""),"","4212")</f>
        <v/>
      </c>
      <c r="D4465" t="str">
        <f>IF(OR(Registro_Compras!$C$499="",Registro_Compras!$O$499=""),"","Cuentas por Pagar Comerciales - Terceros")</f>
        <v/>
      </c>
      <c r="E4465" s="20" t="str">
        <f>IF($C4465="","",Registro_Compras!$S$499)</f>
        <v/>
      </c>
      <c r="F4465" s="20" t="str">
        <f>""</f>
        <v/>
      </c>
      <c r="G4465" t="str">
        <f>IF($C4465="","","Por el deposito de la detraccion en el Banco de la Nacion")</f>
        <v/>
      </c>
      <c r="H4465" t="str">
        <f>IF($C4465="","",Registro_Compras!$C$499)</f>
        <v/>
      </c>
    </row>
    <row r="4466" spans="1:8" x14ac:dyDescent="0.25">
      <c r="A4466" s="25" t="str">
        <f>IF($C4466="","",Registro_Compras!$X$499)</f>
        <v/>
      </c>
      <c r="B4466" t="str">
        <f>IF($C4466="","","C"&amp;TEXT(INT((ROW()-5)/9)+1,"000")&amp;"-3")</f>
        <v/>
      </c>
      <c r="C4466" t="str">
        <f>IF(OR(Registro_Compras!$C$499="",Registro_Compras!$O$499="",Registro_Compras!$R$499&lt;&gt;"SI",Registro_Compras!$X$499=""),"","1041")</f>
        <v/>
      </c>
      <c r="D4466" t="str">
        <f>IF(OR(Registro_Compras!$C$499="",Registro_Compras!$O$499=""),"","Efectivo y Equivalentes - Cta. Cte. Operativa")</f>
        <v/>
      </c>
      <c r="E4466" s="20" t="str">
        <f>""</f>
        <v/>
      </c>
      <c r="F4466" s="20" t="str">
        <f>IF($C4466="","",Registro_Compras!$S$499)</f>
        <v/>
      </c>
      <c r="G4466" t="str">
        <f>IF($C4466="","","Por el deposito de la detraccion en el Banco de la Nacion")</f>
        <v/>
      </c>
      <c r="H4466" t="str">
        <f>IF($C4466="","",Registro_Compras!$C$499)</f>
        <v/>
      </c>
    </row>
    <row r="4467" spans="1:8" x14ac:dyDescent="0.25">
      <c r="A4467" s="25" t="str">
        <f>IF($C4467="","",Registro_Compras!$Y$499)</f>
        <v/>
      </c>
      <c r="B4467" t="str">
        <f>IF($C4467="","","C"&amp;TEXT(INT((ROW()-5)/9)+1,"000")&amp;"-4")</f>
        <v/>
      </c>
      <c r="C4467" t="str">
        <f>IF(OR(Registro_Compras!$C$499="",Registro_Compras!$O$499="",Registro_Compras!$Y$499="",Registro_Compras!$F$499="NOTA DE CREDITO"),"","4212")</f>
        <v/>
      </c>
      <c r="D4467" t="str">
        <f>IF(OR(Registro_Compras!$C$499="",Registro_Compras!$O$499=""),"","Cuentas por Pagar Comerciales - Terceros")</f>
        <v/>
      </c>
      <c r="E4467" s="20" t="str">
        <f>IF($C4467="","",IF(Registro_Compras!$F$499="RHE",(ROUND(Registro_Compras!$L$499*Registro_Compras!$N$499,2)-ROUND(Registro_Compras!$V$499*Registro_Compras!$N$499,2)),ROUND(Registro_Compras!$O$499-Registro_Compras!$S$499,2)))</f>
        <v/>
      </c>
      <c r="F4467" s="20" t="str">
        <f>""</f>
        <v/>
      </c>
      <c r="G4467" t="str">
        <f>IF($C4467="","","Por la cancelacion del saldo al proveedor")</f>
        <v/>
      </c>
      <c r="H4467" t="str">
        <f>IF($C4467="","",Registro_Compras!$C$499)</f>
        <v/>
      </c>
    </row>
    <row r="4468" spans="1:8" x14ac:dyDescent="0.25">
      <c r="A4468" s="25" t="str">
        <f>IF($C4468="","",Registro_Compras!$Y$499)</f>
        <v/>
      </c>
      <c r="B4468" t="str">
        <f>IF($C4468="","","C"&amp;TEXT(INT((ROW()-5)/9)+1,"000")&amp;"-4")</f>
        <v/>
      </c>
      <c r="C4468" t="str">
        <f>IF(OR(Registro_Compras!$C$499="",Registro_Compras!$O$499="",Registro_Compras!$Y$499="",Registro_Compras!$F$499="NOTA DE CREDITO"),"","1041")</f>
        <v/>
      </c>
      <c r="D4468" t="str">
        <f>IF(OR(Registro_Compras!$C$499="",Registro_Compras!$O$499=""),"","Efectivo y Equivalentes - Cta. Cte. Operativa")</f>
        <v/>
      </c>
      <c r="E4468" s="20" t="str">
        <f>""</f>
        <v/>
      </c>
      <c r="F4468" s="20" t="str">
        <f>IF($C4468="","",IF(Registro_Compras!$F$499="RHE",(ROUND(Registro_Compras!$L$499*Registro_Compras!$N$499,2)-ROUND(Registro_Compras!$V$499*Registro_Compras!$N$499,2)),ROUND(Registro_Compras!$O$499-Registro_Compras!$S$499,2)))</f>
        <v/>
      </c>
      <c r="G4468" t="str">
        <f>IF($C4468="","","Por la cancelacion del saldo al proveedor")</f>
        <v/>
      </c>
      <c r="H4468" t="str">
        <f>IF($C4468="","",Registro_Compras!$C$499)</f>
        <v/>
      </c>
    </row>
    <row r="4469" spans="1:8" x14ac:dyDescent="0.25">
      <c r="A4469" s="25" t="str">
        <f>IF($C4469="","",Registro_Compras!$B$500)</f>
        <v/>
      </c>
      <c r="B4469" t="str">
        <f>IF($C4469="","","C"&amp;TEXT(INT((ROW()-5)/9)+1,"000")&amp;"-1")</f>
        <v/>
      </c>
      <c r="C4469" t="str">
        <f>IF(OR(Registro_Compras!$C$500="",Registro_Compras!$O$500=""),"",IF(Registro_Compras!$F$500="NOTA DE CREDITO","4212",IF(Registro_Compras!$M$500="","63",Registro_Compras!$M$500)))</f>
        <v/>
      </c>
      <c r="D4469" t="str">
        <f>IF(OR(Registro_Compras!$C$500="",Registro_Compras!$O$500=""),"",IF(Registro_Compras!$F$500="NOTA DE CREDITO","Cuentas por Pagar Comerciales - Terceros (Emitidas)",IF(Registro_Compras!$F$500="RHE","Honorarios Profesionales - Servicios de Terceros","Gastos de Servicios Prestados por Terceros")))</f>
        <v/>
      </c>
      <c r="E4469" s="20" t="str">
        <f>IF($C4469="","",IF(Registro_Compras!$F$500="NOTA DE CREDITO",ABS(Registro_Compras!$O$500),IF(Registro_Compras!$F$500="RHE",ROUND(Registro_Compras!$L$500*Registro_Compras!$N$500,2),ROUND(Registro_Compras!$J$500*Registro_Compras!$N$500,2))))</f>
        <v/>
      </c>
      <c r="F4469" s="20" t="str">
        <f>""</f>
        <v/>
      </c>
      <c r="G4469" t="str">
        <f>IF($C4469="","",IF(Registro_Compras!$F$500="NOTA DE CREDITO","Por la nota de credito "&amp;Registro_Compras!$C$500&amp;" de "&amp;Registro_Compras!$E$500&amp;" [PATRON POR CONFIRMAR CON CONTADOR]",IF(Registro_Compras!$F$500="RHE","Por el registro del recibo por honorarios "&amp;Registro_Compras!$C$500&amp;" de "&amp;Registro_Compras!$E$500&amp;" [PATRON POR CONFIRMAR CON CONTADOR]","Por el registro de la factura "&amp;Registro_Compras!$C$500&amp;" de "&amp;Registro_Compras!$E$500)))</f>
        <v/>
      </c>
      <c r="H4469" t="str">
        <f>IF($C4469="","",Registro_Compras!$C$500)</f>
        <v/>
      </c>
    </row>
    <row r="4470" spans="1:8" x14ac:dyDescent="0.25">
      <c r="A4470" s="25" t="str">
        <f>IF($C4470="","",Registro_Compras!$B$500)</f>
        <v/>
      </c>
      <c r="B4470" t="str">
        <f>IF($C4470="","","C"&amp;TEXT(INT((ROW()-5)/9)+1,"000")&amp;"-1")</f>
        <v/>
      </c>
      <c r="C4470" t="str">
        <f>IF(OR(Registro_Compras!$C$500="",Registro_Compras!$O$500=""),"",IF(Registro_Compras!$F$500="RHE",IF(Registro_Compras!$V$500=0,"","4017"),IF(Registro_Compras!$F$500="NOTA DE CREDITO",IF(Registro_Compras!$M$500="","63",Registro_Compras!$M$500),IF(Registro_Compras!$K$500=0,"","40111"))))</f>
        <v/>
      </c>
      <c r="D4470" t="str">
        <f>IF(OR(Registro_Compras!$C$500="",Registro_Compras!$O$500=""),"",IF(Registro_Compras!$F$500="RHE","Retencion Renta 4ta Categoria por Pagar",IF(Registro_Compras!$F$500="NOTA DE CREDITO","Gastos de Servicios Prestados por Terceros","IGV - Cuenta Propia (Credito Fiscal)")))</f>
        <v/>
      </c>
      <c r="E4470" s="20" t="str">
        <f>IF($C4470="","",IF(Registro_Compras!$F$500="FACTURA",ROUND(Registro_Compras!$K$500*Registro_Compras!$N$500,2),""))</f>
        <v/>
      </c>
      <c r="F4470" s="20" t="str">
        <f>IF($C4470="","",IF(Registro_Compras!$F$500="RHE",ROUND(Registro_Compras!$V$500*Registro_Compras!$N$500,2),IF(Registro_Compras!$F$500="NOTA DE CREDITO",ROUND(ABS(Registro_Compras!$J$500*Registro_Compras!$N$500),2),"")))</f>
        <v/>
      </c>
      <c r="G4470" t="str">
        <f>IF($C4470="","",IF(Registro_Compras!$F$500="NOTA DE CREDITO","Por la nota de credito "&amp;Registro_Compras!$C$500&amp;" de "&amp;Registro_Compras!$E$500&amp;" [PATRON POR CONFIRMAR CON CONTADOR]",IF(Registro_Compras!$F$500="RHE","Por el registro del recibo por honorarios "&amp;Registro_Compras!$C$500&amp;" de "&amp;Registro_Compras!$E$500&amp;" [PATRON POR CONFIRMAR CON CONTADOR]","Por el registro de la factura "&amp;Registro_Compras!$C$500&amp;" de "&amp;Registro_Compras!$E$500)))</f>
        <v/>
      </c>
      <c r="H4470" t="str">
        <f>IF($C4470="","",Registro_Compras!$C$500)</f>
        <v/>
      </c>
    </row>
    <row r="4471" spans="1:8" x14ac:dyDescent="0.25">
      <c r="A4471" s="25" t="str">
        <f>IF($C4471="","",Registro_Compras!$B$500)</f>
        <v/>
      </c>
      <c r="B4471" t="str">
        <f>IF($C4471="","","C"&amp;TEXT(INT((ROW()-5)/9)+1,"000")&amp;"-1")</f>
        <v/>
      </c>
      <c r="C4471" t="str">
        <f>IF(OR(Registro_Compras!$C$500="",Registro_Compras!$O$500=""),"",IF(Registro_Compras!$F$500="NOTA DE CREDITO",IF(Registro_Compras!$K$500=0,"","40111"),"4212"))</f>
        <v/>
      </c>
      <c r="D4471" t="str">
        <f>IF(OR(Registro_Compras!$C$500="",Registro_Compras!$O$500=""),"",IF(Registro_Compras!$F$500="NOTA DE CREDITO","IGV - Cuenta Propia (Credito Fiscal)","Cuentas por Pagar Comerciales - Terceros (Emitidas)"))</f>
        <v/>
      </c>
      <c r="E4471" s="20" t="str">
        <f>""</f>
        <v/>
      </c>
      <c r="F4471" s="20" t="str">
        <f>IF($C4471="","",IF(Registro_Compras!$F$500="NOTA DE CREDITO",ROUND(ABS(Registro_Compras!$K$500*Registro_Compras!$N$500),2),IF(Registro_Compras!$F$500="RHE",(ROUND(Registro_Compras!$L$500*Registro_Compras!$N$500,2)-ROUND(Registro_Compras!$V$500*Registro_Compras!$N$500,2)),Registro_Compras!$O$500)))</f>
        <v/>
      </c>
      <c r="G4471" t="str">
        <f>IF($C4471="","",IF(Registro_Compras!$F$500="NOTA DE CREDITO","Por la nota de credito "&amp;Registro_Compras!$C$500&amp;" de "&amp;Registro_Compras!$E$500&amp;" [PATRON POR CONFIRMAR CON CONTADOR]",IF(Registro_Compras!$F$500="RHE","Por el registro del recibo por honorarios "&amp;Registro_Compras!$C$500&amp;" de "&amp;Registro_Compras!$E$500&amp;" [PATRON POR CONFIRMAR CON CONTADOR]","Por el registro de la factura "&amp;Registro_Compras!$C$500&amp;" de "&amp;Registro_Compras!$E$500)))</f>
        <v/>
      </c>
      <c r="H4471" t="str">
        <f>IF($C4471="","",Registro_Compras!$C$500)</f>
        <v/>
      </c>
    </row>
    <row r="4472" spans="1:8" x14ac:dyDescent="0.25">
      <c r="A4472" s="25" t="str">
        <f>IF($C4472="","",Registro_Compras!$B$500)</f>
        <v/>
      </c>
      <c r="B4472" t="str">
        <f>IF($C4472="","","C"&amp;TEXT(INT((ROW()-5)/9)+1,"000")&amp;"-2")</f>
        <v/>
      </c>
      <c r="C4472" t="str">
        <f>IF(OR(Registro_Compras!$C$500="",Registro_Compras!$O$500=""),"",IF(Registro_Compras!$AB$500="ADMINISTRATIVO","94","95"))</f>
        <v/>
      </c>
      <c r="D4472" t="str">
        <f>IF(OR(Registro_Compras!$C$500="",Registro_Compras!$O$500=""),"",IF(Registro_Compras!$AB$500="ADMINISTRATIVO","Gastos Administrativos","Gastos de Venta y Operacion"))</f>
        <v/>
      </c>
      <c r="E4472" s="20" t="str">
        <f>IF($C4472="","",IF(Registro_Compras!$F$500="NOTA DE CREDITO","",IF(Registro_Compras!$F$500="RHE",ROUND(Registro_Compras!$L$500*Registro_Compras!$N$500,2),ROUND(Registro_Compras!$J$500*Registro_Compras!$N$500,2))))</f>
        <v/>
      </c>
      <c r="F4472" s="20" t="str">
        <f>IF($C4472="","",IF(Registro_Compras!$F$500="NOTA DE CREDITO",ROUND(ABS(Registro_Compras!$J$500*Registro_Compras!$N$500),2),""))</f>
        <v/>
      </c>
      <c r="G4472" t="str">
        <f>IF($C4472="","","Por el destino del gasto")</f>
        <v/>
      </c>
      <c r="H4472" t="str">
        <f>IF($C4472="","",Registro_Compras!$C$500)</f>
        <v/>
      </c>
    </row>
    <row r="4473" spans="1:8" x14ac:dyDescent="0.25">
      <c r="A4473" s="25" t="str">
        <f>IF($C4473="","",Registro_Compras!$B$500)</f>
        <v/>
      </c>
      <c r="B4473" t="str">
        <f>IF($C4473="","","C"&amp;TEXT(INT((ROW()-5)/9)+1,"000")&amp;"-2")</f>
        <v/>
      </c>
      <c r="C4473" t="str">
        <f>IF(OR(Registro_Compras!$C$500="",Registro_Compras!$O$500=""),"","79/791")</f>
        <v/>
      </c>
      <c r="D4473" t="str">
        <f>IF(OR(Registro_Compras!$C$500="",Registro_Compras!$O$500=""),"","Cargas Imputables a Cuentas de Costos y Gastos")</f>
        <v/>
      </c>
      <c r="E4473" s="20" t="str">
        <f>IF($C4473="","",IF(Registro_Compras!$F$500="NOTA DE CREDITO",ROUND(ABS(Registro_Compras!$J$500*Registro_Compras!$N$500),2),""))</f>
        <v/>
      </c>
      <c r="F4473" s="20" t="str">
        <f>IF($C4473="","",IF(Registro_Compras!$F$500="NOTA DE CREDITO","",IF(Registro_Compras!$F$500="RHE",ROUND(Registro_Compras!$L$500*Registro_Compras!$N$500,2),ROUND(Registro_Compras!$J$500*Registro_Compras!$N$500,2))))</f>
        <v/>
      </c>
      <c r="G4473" t="str">
        <f>IF($C4473="","","Por el destino del gasto")</f>
        <v/>
      </c>
      <c r="H4473" t="str">
        <f>IF($C4473="","",Registro_Compras!$C$500)</f>
        <v/>
      </c>
    </row>
    <row r="4474" spans="1:8" x14ac:dyDescent="0.25">
      <c r="A4474" s="25" t="str">
        <f>IF($C4474="","",Registro_Compras!$X$500)</f>
        <v/>
      </c>
      <c r="B4474" t="str">
        <f>IF($C4474="","","C"&amp;TEXT(INT((ROW()-5)/9)+1,"000")&amp;"-3")</f>
        <v/>
      </c>
      <c r="C4474" t="str">
        <f>IF(OR(Registro_Compras!$C$500="",Registro_Compras!$O$500="",Registro_Compras!$R$500&lt;&gt;"SI",Registro_Compras!$X$500=""),"","4212")</f>
        <v/>
      </c>
      <c r="D4474" t="str">
        <f>IF(OR(Registro_Compras!$C$500="",Registro_Compras!$O$500=""),"","Cuentas por Pagar Comerciales - Terceros")</f>
        <v/>
      </c>
      <c r="E4474" s="20" t="str">
        <f>IF($C4474="","",Registro_Compras!$S$500)</f>
        <v/>
      </c>
      <c r="F4474" s="20" t="str">
        <f>""</f>
        <v/>
      </c>
      <c r="G4474" t="str">
        <f>IF($C4474="","","Por el deposito de la detraccion en el Banco de la Nacion")</f>
        <v/>
      </c>
      <c r="H4474" t="str">
        <f>IF($C4474="","",Registro_Compras!$C$500)</f>
        <v/>
      </c>
    </row>
    <row r="4475" spans="1:8" x14ac:dyDescent="0.25">
      <c r="A4475" s="25" t="str">
        <f>IF($C4475="","",Registro_Compras!$X$500)</f>
        <v/>
      </c>
      <c r="B4475" t="str">
        <f>IF($C4475="","","C"&amp;TEXT(INT((ROW()-5)/9)+1,"000")&amp;"-3")</f>
        <v/>
      </c>
      <c r="C4475" t="str">
        <f>IF(OR(Registro_Compras!$C$500="",Registro_Compras!$O$500="",Registro_Compras!$R$500&lt;&gt;"SI",Registro_Compras!$X$500=""),"","1041")</f>
        <v/>
      </c>
      <c r="D4475" t="str">
        <f>IF(OR(Registro_Compras!$C$500="",Registro_Compras!$O$500=""),"","Efectivo y Equivalentes - Cta. Cte. Operativa")</f>
        <v/>
      </c>
      <c r="E4475" s="20" t="str">
        <f>""</f>
        <v/>
      </c>
      <c r="F4475" s="20" t="str">
        <f>IF($C4475="","",Registro_Compras!$S$500)</f>
        <v/>
      </c>
      <c r="G4475" t="str">
        <f>IF($C4475="","","Por el deposito de la detraccion en el Banco de la Nacion")</f>
        <v/>
      </c>
      <c r="H4475" t="str">
        <f>IF($C4475="","",Registro_Compras!$C$500)</f>
        <v/>
      </c>
    </row>
    <row r="4476" spans="1:8" x14ac:dyDescent="0.25">
      <c r="A4476" s="25" t="str">
        <f>IF($C4476="","",Registro_Compras!$Y$500)</f>
        <v/>
      </c>
      <c r="B4476" t="str">
        <f>IF($C4476="","","C"&amp;TEXT(INT((ROW()-5)/9)+1,"000")&amp;"-4")</f>
        <v/>
      </c>
      <c r="C4476" t="str">
        <f>IF(OR(Registro_Compras!$C$500="",Registro_Compras!$O$500="",Registro_Compras!$Y$500="",Registro_Compras!$F$500="NOTA DE CREDITO"),"","4212")</f>
        <v/>
      </c>
      <c r="D4476" t="str">
        <f>IF(OR(Registro_Compras!$C$500="",Registro_Compras!$O$500=""),"","Cuentas por Pagar Comerciales - Terceros")</f>
        <v/>
      </c>
      <c r="E4476" s="20" t="str">
        <f>IF($C4476="","",IF(Registro_Compras!$F$500="RHE",(ROUND(Registro_Compras!$L$500*Registro_Compras!$N$500,2)-ROUND(Registro_Compras!$V$500*Registro_Compras!$N$500,2)),ROUND(Registro_Compras!$O$500-Registro_Compras!$S$500,2)))</f>
        <v/>
      </c>
      <c r="F4476" s="20" t="str">
        <f>""</f>
        <v/>
      </c>
      <c r="G4476" t="str">
        <f>IF($C4476="","","Por la cancelacion del saldo al proveedor")</f>
        <v/>
      </c>
      <c r="H4476" t="str">
        <f>IF($C4476="","",Registro_Compras!$C$500)</f>
        <v/>
      </c>
    </row>
    <row r="4477" spans="1:8" x14ac:dyDescent="0.25">
      <c r="A4477" s="25" t="str">
        <f>IF($C4477="","",Registro_Compras!$Y$500)</f>
        <v/>
      </c>
      <c r="B4477" t="str">
        <f>IF($C4477="","","C"&amp;TEXT(INT((ROW()-5)/9)+1,"000")&amp;"-4")</f>
        <v/>
      </c>
      <c r="C4477" t="str">
        <f>IF(OR(Registro_Compras!$C$500="",Registro_Compras!$O$500="",Registro_Compras!$Y$500="",Registro_Compras!$F$500="NOTA DE CREDITO"),"","1041")</f>
        <v/>
      </c>
      <c r="D4477" t="str">
        <f>IF(OR(Registro_Compras!$C$500="",Registro_Compras!$O$500=""),"","Efectivo y Equivalentes - Cta. Cte. Operativa")</f>
        <v/>
      </c>
      <c r="E4477" s="20" t="str">
        <f>""</f>
        <v/>
      </c>
      <c r="F4477" s="20" t="str">
        <f>IF($C4477="","",IF(Registro_Compras!$F$500="RHE",(ROUND(Registro_Compras!$L$500*Registro_Compras!$N$500,2)-ROUND(Registro_Compras!$V$500*Registro_Compras!$N$500,2)),ROUND(Registro_Compras!$O$500-Registro_Compras!$S$500,2)))</f>
        <v/>
      </c>
      <c r="G4477" t="str">
        <f>IF($C4477="","","Por la cancelacion del saldo al proveedor")</f>
        <v/>
      </c>
      <c r="H4477" t="str">
        <f>IF($C4477="","",Registro_Compras!$C$500)</f>
        <v/>
      </c>
    </row>
    <row r="4478" spans="1:8" x14ac:dyDescent="0.25">
      <c r="A4478" s="25" t="str">
        <f>IF($C4478="","",Registro_Compras!$B$501)</f>
        <v/>
      </c>
      <c r="B4478" t="str">
        <f>IF($C4478="","","C"&amp;TEXT(INT((ROW()-5)/9)+1,"000")&amp;"-1")</f>
        <v/>
      </c>
      <c r="C4478" t="str">
        <f>IF(OR(Registro_Compras!$C$501="",Registro_Compras!$O$501=""),"",IF(Registro_Compras!$F$501="NOTA DE CREDITO","4212",IF(Registro_Compras!$M$501="","63",Registro_Compras!$M$501)))</f>
        <v/>
      </c>
      <c r="D4478" t="str">
        <f>IF(OR(Registro_Compras!$C$501="",Registro_Compras!$O$501=""),"",IF(Registro_Compras!$F$501="NOTA DE CREDITO","Cuentas por Pagar Comerciales - Terceros (Emitidas)",IF(Registro_Compras!$F$501="RHE","Honorarios Profesionales - Servicios de Terceros","Gastos de Servicios Prestados por Terceros")))</f>
        <v/>
      </c>
      <c r="E4478" s="20" t="str">
        <f>IF($C4478="","",IF(Registro_Compras!$F$501="NOTA DE CREDITO",ABS(Registro_Compras!$O$501),IF(Registro_Compras!$F$501="RHE",ROUND(Registro_Compras!$L$501*Registro_Compras!$N$501,2),ROUND(Registro_Compras!$J$501*Registro_Compras!$N$501,2))))</f>
        <v/>
      </c>
      <c r="F4478" s="20" t="str">
        <f>""</f>
        <v/>
      </c>
      <c r="G4478" t="str">
        <f>IF($C4478="","",IF(Registro_Compras!$F$501="NOTA DE CREDITO","Por la nota de credito "&amp;Registro_Compras!$C$501&amp;" de "&amp;Registro_Compras!$E$501&amp;" [PATRON POR CONFIRMAR CON CONTADOR]",IF(Registro_Compras!$F$501="RHE","Por el registro del recibo por honorarios "&amp;Registro_Compras!$C$501&amp;" de "&amp;Registro_Compras!$E$501&amp;" [PATRON POR CONFIRMAR CON CONTADOR]","Por el registro de la factura "&amp;Registro_Compras!$C$501&amp;" de "&amp;Registro_Compras!$E$501)))</f>
        <v/>
      </c>
      <c r="H4478" t="str">
        <f>IF($C4478="","",Registro_Compras!$C$501)</f>
        <v/>
      </c>
    </row>
    <row r="4479" spans="1:8" x14ac:dyDescent="0.25">
      <c r="A4479" s="25" t="str">
        <f>IF($C4479="","",Registro_Compras!$B$501)</f>
        <v/>
      </c>
      <c r="B4479" t="str">
        <f>IF($C4479="","","C"&amp;TEXT(INT((ROW()-5)/9)+1,"000")&amp;"-1")</f>
        <v/>
      </c>
      <c r="C4479" t="str">
        <f>IF(OR(Registro_Compras!$C$501="",Registro_Compras!$O$501=""),"",IF(Registro_Compras!$F$501="RHE",IF(Registro_Compras!$V$501=0,"","4017"),IF(Registro_Compras!$F$501="NOTA DE CREDITO",IF(Registro_Compras!$M$501="","63",Registro_Compras!$M$501),IF(Registro_Compras!$K$501=0,"","40111"))))</f>
        <v/>
      </c>
      <c r="D4479" t="str">
        <f>IF(OR(Registro_Compras!$C$501="",Registro_Compras!$O$501=""),"",IF(Registro_Compras!$F$501="RHE","Retencion Renta 4ta Categoria por Pagar",IF(Registro_Compras!$F$501="NOTA DE CREDITO","Gastos de Servicios Prestados por Terceros","IGV - Cuenta Propia (Credito Fiscal)")))</f>
        <v/>
      </c>
      <c r="E4479" s="20" t="str">
        <f>IF($C4479="","",IF(Registro_Compras!$F$501="FACTURA",ROUND(Registro_Compras!$K$501*Registro_Compras!$N$501,2),""))</f>
        <v/>
      </c>
      <c r="F4479" s="20" t="str">
        <f>IF($C4479="","",IF(Registro_Compras!$F$501="RHE",ROUND(Registro_Compras!$V$501*Registro_Compras!$N$501,2),IF(Registro_Compras!$F$501="NOTA DE CREDITO",ROUND(ABS(Registro_Compras!$J$501*Registro_Compras!$N$501),2),"")))</f>
        <v/>
      </c>
      <c r="G4479" t="str">
        <f>IF($C4479="","",IF(Registro_Compras!$F$501="NOTA DE CREDITO","Por la nota de credito "&amp;Registro_Compras!$C$501&amp;" de "&amp;Registro_Compras!$E$501&amp;" [PATRON POR CONFIRMAR CON CONTADOR]",IF(Registro_Compras!$F$501="RHE","Por el registro del recibo por honorarios "&amp;Registro_Compras!$C$501&amp;" de "&amp;Registro_Compras!$E$501&amp;" [PATRON POR CONFIRMAR CON CONTADOR]","Por el registro de la factura "&amp;Registro_Compras!$C$501&amp;" de "&amp;Registro_Compras!$E$501)))</f>
        <v/>
      </c>
      <c r="H4479" t="str">
        <f>IF($C4479="","",Registro_Compras!$C$501)</f>
        <v/>
      </c>
    </row>
    <row r="4480" spans="1:8" x14ac:dyDescent="0.25">
      <c r="A4480" s="25" t="str">
        <f>IF($C4480="","",Registro_Compras!$B$501)</f>
        <v/>
      </c>
      <c r="B4480" t="str">
        <f>IF($C4480="","","C"&amp;TEXT(INT((ROW()-5)/9)+1,"000")&amp;"-1")</f>
        <v/>
      </c>
      <c r="C4480" t="str">
        <f>IF(OR(Registro_Compras!$C$501="",Registro_Compras!$O$501=""),"",IF(Registro_Compras!$F$501="NOTA DE CREDITO",IF(Registro_Compras!$K$501=0,"","40111"),"4212"))</f>
        <v/>
      </c>
      <c r="D4480" t="str">
        <f>IF(OR(Registro_Compras!$C$501="",Registro_Compras!$O$501=""),"",IF(Registro_Compras!$F$501="NOTA DE CREDITO","IGV - Cuenta Propia (Credito Fiscal)","Cuentas por Pagar Comerciales - Terceros (Emitidas)"))</f>
        <v/>
      </c>
      <c r="E4480" s="20" t="str">
        <f>""</f>
        <v/>
      </c>
      <c r="F4480" s="20" t="str">
        <f>IF($C4480="","",IF(Registro_Compras!$F$501="NOTA DE CREDITO",ROUND(ABS(Registro_Compras!$K$501*Registro_Compras!$N$501),2),IF(Registro_Compras!$F$501="RHE",(ROUND(Registro_Compras!$L$501*Registro_Compras!$N$501,2)-ROUND(Registro_Compras!$V$501*Registro_Compras!$N$501,2)),Registro_Compras!$O$501)))</f>
        <v/>
      </c>
      <c r="G4480" t="str">
        <f>IF($C4480="","",IF(Registro_Compras!$F$501="NOTA DE CREDITO","Por la nota de credito "&amp;Registro_Compras!$C$501&amp;" de "&amp;Registro_Compras!$E$501&amp;" [PATRON POR CONFIRMAR CON CONTADOR]",IF(Registro_Compras!$F$501="RHE","Por el registro del recibo por honorarios "&amp;Registro_Compras!$C$501&amp;" de "&amp;Registro_Compras!$E$501&amp;" [PATRON POR CONFIRMAR CON CONTADOR]","Por el registro de la factura "&amp;Registro_Compras!$C$501&amp;" de "&amp;Registro_Compras!$E$501)))</f>
        <v/>
      </c>
      <c r="H4480" t="str">
        <f>IF($C4480="","",Registro_Compras!$C$501)</f>
        <v/>
      </c>
    </row>
    <row r="4481" spans="1:8" x14ac:dyDescent="0.25">
      <c r="A4481" s="25" t="str">
        <f>IF($C4481="","",Registro_Compras!$B$501)</f>
        <v/>
      </c>
      <c r="B4481" t="str">
        <f>IF($C4481="","","C"&amp;TEXT(INT((ROW()-5)/9)+1,"000")&amp;"-2")</f>
        <v/>
      </c>
      <c r="C4481" t="str">
        <f>IF(OR(Registro_Compras!$C$501="",Registro_Compras!$O$501=""),"",IF(Registro_Compras!$AB$501="ADMINISTRATIVO","94","95"))</f>
        <v/>
      </c>
      <c r="D4481" t="str">
        <f>IF(OR(Registro_Compras!$C$501="",Registro_Compras!$O$501=""),"",IF(Registro_Compras!$AB$501="ADMINISTRATIVO","Gastos Administrativos","Gastos de Venta y Operacion"))</f>
        <v/>
      </c>
      <c r="E4481" s="20" t="str">
        <f>IF($C4481="","",IF(Registro_Compras!$F$501="NOTA DE CREDITO","",IF(Registro_Compras!$F$501="RHE",ROUND(Registro_Compras!$L$501*Registro_Compras!$N$501,2),ROUND(Registro_Compras!$J$501*Registro_Compras!$N$501,2))))</f>
        <v/>
      </c>
      <c r="F4481" s="20" t="str">
        <f>IF($C4481="","",IF(Registro_Compras!$F$501="NOTA DE CREDITO",ROUND(ABS(Registro_Compras!$J$501*Registro_Compras!$N$501),2),""))</f>
        <v/>
      </c>
      <c r="G4481" t="str">
        <f>IF($C4481="","","Por el destino del gasto")</f>
        <v/>
      </c>
      <c r="H4481" t="str">
        <f>IF($C4481="","",Registro_Compras!$C$501)</f>
        <v/>
      </c>
    </row>
    <row r="4482" spans="1:8" x14ac:dyDescent="0.25">
      <c r="A4482" s="25" t="str">
        <f>IF($C4482="","",Registro_Compras!$B$501)</f>
        <v/>
      </c>
      <c r="B4482" t="str">
        <f>IF($C4482="","","C"&amp;TEXT(INT((ROW()-5)/9)+1,"000")&amp;"-2")</f>
        <v/>
      </c>
      <c r="C4482" t="str">
        <f>IF(OR(Registro_Compras!$C$501="",Registro_Compras!$O$501=""),"","79/791")</f>
        <v/>
      </c>
      <c r="D4482" t="str">
        <f>IF(OR(Registro_Compras!$C$501="",Registro_Compras!$O$501=""),"","Cargas Imputables a Cuentas de Costos y Gastos")</f>
        <v/>
      </c>
      <c r="E4482" s="20" t="str">
        <f>IF($C4482="","",IF(Registro_Compras!$F$501="NOTA DE CREDITO",ROUND(ABS(Registro_Compras!$J$501*Registro_Compras!$N$501),2),""))</f>
        <v/>
      </c>
      <c r="F4482" s="20" t="str">
        <f>IF($C4482="","",IF(Registro_Compras!$F$501="NOTA DE CREDITO","",IF(Registro_Compras!$F$501="RHE",ROUND(Registro_Compras!$L$501*Registro_Compras!$N$501,2),ROUND(Registro_Compras!$J$501*Registro_Compras!$N$501,2))))</f>
        <v/>
      </c>
      <c r="G4482" t="str">
        <f>IF($C4482="","","Por el destino del gasto")</f>
        <v/>
      </c>
      <c r="H4482" t="str">
        <f>IF($C4482="","",Registro_Compras!$C$501)</f>
        <v/>
      </c>
    </row>
    <row r="4483" spans="1:8" x14ac:dyDescent="0.25">
      <c r="A4483" s="25" t="str">
        <f>IF($C4483="","",Registro_Compras!$X$501)</f>
        <v/>
      </c>
      <c r="B4483" t="str">
        <f>IF($C4483="","","C"&amp;TEXT(INT((ROW()-5)/9)+1,"000")&amp;"-3")</f>
        <v/>
      </c>
      <c r="C4483" t="str">
        <f>IF(OR(Registro_Compras!$C$501="",Registro_Compras!$O$501="",Registro_Compras!$R$501&lt;&gt;"SI",Registro_Compras!$X$501=""),"","4212")</f>
        <v/>
      </c>
      <c r="D4483" t="str">
        <f>IF(OR(Registro_Compras!$C$501="",Registro_Compras!$O$501=""),"","Cuentas por Pagar Comerciales - Terceros")</f>
        <v/>
      </c>
      <c r="E4483" s="20" t="str">
        <f>IF($C4483="","",Registro_Compras!$S$501)</f>
        <v/>
      </c>
      <c r="F4483" s="20" t="str">
        <f>""</f>
        <v/>
      </c>
      <c r="G4483" t="str">
        <f>IF($C4483="","","Por el deposito de la detraccion en el Banco de la Nacion")</f>
        <v/>
      </c>
      <c r="H4483" t="str">
        <f>IF($C4483="","",Registro_Compras!$C$501)</f>
        <v/>
      </c>
    </row>
    <row r="4484" spans="1:8" x14ac:dyDescent="0.25">
      <c r="A4484" s="25" t="str">
        <f>IF($C4484="","",Registro_Compras!$X$501)</f>
        <v/>
      </c>
      <c r="B4484" t="str">
        <f>IF($C4484="","","C"&amp;TEXT(INT((ROW()-5)/9)+1,"000")&amp;"-3")</f>
        <v/>
      </c>
      <c r="C4484" t="str">
        <f>IF(OR(Registro_Compras!$C$501="",Registro_Compras!$O$501="",Registro_Compras!$R$501&lt;&gt;"SI",Registro_Compras!$X$501=""),"","1041")</f>
        <v/>
      </c>
      <c r="D4484" t="str">
        <f>IF(OR(Registro_Compras!$C$501="",Registro_Compras!$O$501=""),"","Efectivo y Equivalentes - Cta. Cte. Operativa")</f>
        <v/>
      </c>
      <c r="E4484" s="20" t="str">
        <f>""</f>
        <v/>
      </c>
      <c r="F4484" s="20" t="str">
        <f>IF($C4484="","",Registro_Compras!$S$501)</f>
        <v/>
      </c>
      <c r="G4484" t="str">
        <f>IF($C4484="","","Por el deposito de la detraccion en el Banco de la Nacion")</f>
        <v/>
      </c>
      <c r="H4484" t="str">
        <f>IF($C4484="","",Registro_Compras!$C$501)</f>
        <v/>
      </c>
    </row>
    <row r="4485" spans="1:8" x14ac:dyDescent="0.25">
      <c r="A4485" s="25" t="str">
        <f>IF($C4485="","",Registro_Compras!$Y$501)</f>
        <v/>
      </c>
      <c r="B4485" t="str">
        <f>IF($C4485="","","C"&amp;TEXT(INT((ROW()-5)/9)+1,"000")&amp;"-4")</f>
        <v/>
      </c>
      <c r="C4485" t="str">
        <f>IF(OR(Registro_Compras!$C$501="",Registro_Compras!$O$501="",Registro_Compras!$Y$501="",Registro_Compras!$F$501="NOTA DE CREDITO"),"","4212")</f>
        <v/>
      </c>
      <c r="D4485" t="str">
        <f>IF(OR(Registro_Compras!$C$501="",Registro_Compras!$O$501=""),"","Cuentas por Pagar Comerciales - Terceros")</f>
        <v/>
      </c>
      <c r="E4485" s="20" t="str">
        <f>IF($C4485="","",IF(Registro_Compras!$F$501="RHE",(ROUND(Registro_Compras!$L$501*Registro_Compras!$N$501,2)-ROUND(Registro_Compras!$V$501*Registro_Compras!$N$501,2)),ROUND(Registro_Compras!$O$501-Registro_Compras!$S$501,2)))</f>
        <v/>
      </c>
      <c r="F4485" s="20" t="str">
        <f>""</f>
        <v/>
      </c>
      <c r="G4485" t="str">
        <f>IF($C4485="","","Por la cancelacion del saldo al proveedor")</f>
        <v/>
      </c>
      <c r="H4485" t="str">
        <f>IF($C4485="","",Registro_Compras!$C$501)</f>
        <v/>
      </c>
    </row>
    <row r="4486" spans="1:8" x14ac:dyDescent="0.25">
      <c r="A4486" s="25" t="str">
        <f>IF($C4486="","",Registro_Compras!$Y$501)</f>
        <v/>
      </c>
      <c r="B4486" t="str">
        <f>IF($C4486="","","C"&amp;TEXT(INT((ROW()-5)/9)+1,"000")&amp;"-4")</f>
        <v/>
      </c>
      <c r="C4486" t="str">
        <f>IF(OR(Registro_Compras!$C$501="",Registro_Compras!$O$501="",Registro_Compras!$Y$501="",Registro_Compras!$F$501="NOTA DE CREDITO"),"","1041")</f>
        <v/>
      </c>
      <c r="D4486" t="str">
        <f>IF(OR(Registro_Compras!$C$501="",Registro_Compras!$O$501=""),"","Efectivo y Equivalentes - Cta. Cte. Operativa")</f>
        <v/>
      </c>
      <c r="E4486" s="20" t="str">
        <f>""</f>
        <v/>
      </c>
      <c r="F4486" s="20" t="str">
        <f>IF($C4486="","",IF(Registro_Compras!$F$501="RHE",(ROUND(Registro_Compras!$L$501*Registro_Compras!$N$501,2)-ROUND(Registro_Compras!$V$501*Registro_Compras!$N$501,2)),ROUND(Registro_Compras!$O$501-Registro_Compras!$S$501,2)))</f>
        <v/>
      </c>
      <c r="G4486" t="str">
        <f>IF($C4486="","","Por la cancelacion del saldo al proveedor")</f>
        <v/>
      </c>
      <c r="H4486" t="str">
        <f>IF($C4486="","",Registro_Compras!$C$501)</f>
        <v/>
      </c>
    </row>
    <row r="4487" spans="1:8" x14ac:dyDescent="0.25">
      <c r="A4487" s="25" t="str">
        <f>IF($C4487="","",Registro_Compras!$B$502)</f>
        <v/>
      </c>
      <c r="B4487" t="str">
        <f>IF($C4487="","","C"&amp;TEXT(INT((ROW()-5)/9)+1,"000")&amp;"-1")</f>
        <v/>
      </c>
      <c r="C4487" t="str">
        <f>IF(OR(Registro_Compras!$C$502="",Registro_Compras!$O$502=""),"",IF(Registro_Compras!$F$502="NOTA DE CREDITO","4212",IF(Registro_Compras!$M$502="","63",Registro_Compras!$M$502)))</f>
        <v/>
      </c>
      <c r="D4487" t="str">
        <f>IF(OR(Registro_Compras!$C$502="",Registro_Compras!$O$502=""),"",IF(Registro_Compras!$F$502="NOTA DE CREDITO","Cuentas por Pagar Comerciales - Terceros (Emitidas)",IF(Registro_Compras!$F$502="RHE","Honorarios Profesionales - Servicios de Terceros","Gastos de Servicios Prestados por Terceros")))</f>
        <v/>
      </c>
      <c r="E4487" s="20" t="str">
        <f>IF($C4487="","",IF(Registro_Compras!$F$502="NOTA DE CREDITO",ABS(Registro_Compras!$O$502),IF(Registro_Compras!$F$502="RHE",ROUND(Registro_Compras!$L$502*Registro_Compras!$N$502,2),ROUND(Registro_Compras!$J$502*Registro_Compras!$N$502,2))))</f>
        <v/>
      </c>
      <c r="F4487" s="20" t="str">
        <f>""</f>
        <v/>
      </c>
      <c r="G4487" t="str">
        <f>IF($C4487="","",IF(Registro_Compras!$F$502="NOTA DE CREDITO","Por la nota de credito "&amp;Registro_Compras!$C$502&amp;" de "&amp;Registro_Compras!$E$502&amp;" [PATRON POR CONFIRMAR CON CONTADOR]",IF(Registro_Compras!$F$502="RHE","Por el registro del recibo por honorarios "&amp;Registro_Compras!$C$502&amp;" de "&amp;Registro_Compras!$E$502&amp;" [PATRON POR CONFIRMAR CON CONTADOR]","Por el registro de la factura "&amp;Registro_Compras!$C$502&amp;" de "&amp;Registro_Compras!$E$502)))</f>
        <v/>
      </c>
      <c r="H4487" t="str">
        <f>IF($C4487="","",Registro_Compras!$C$502)</f>
        <v/>
      </c>
    </row>
    <row r="4488" spans="1:8" x14ac:dyDescent="0.25">
      <c r="A4488" s="25" t="str">
        <f>IF($C4488="","",Registro_Compras!$B$502)</f>
        <v/>
      </c>
      <c r="B4488" t="str">
        <f>IF($C4488="","","C"&amp;TEXT(INT((ROW()-5)/9)+1,"000")&amp;"-1")</f>
        <v/>
      </c>
      <c r="C4488" t="str">
        <f>IF(OR(Registro_Compras!$C$502="",Registro_Compras!$O$502=""),"",IF(Registro_Compras!$F$502="RHE",IF(Registro_Compras!$V$502=0,"","4017"),IF(Registro_Compras!$F$502="NOTA DE CREDITO",IF(Registro_Compras!$M$502="","63",Registro_Compras!$M$502),IF(Registro_Compras!$K$502=0,"","40111"))))</f>
        <v/>
      </c>
      <c r="D4488" t="str">
        <f>IF(OR(Registro_Compras!$C$502="",Registro_Compras!$O$502=""),"",IF(Registro_Compras!$F$502="RHE","Retencion Renta 4ta Categoria por Pagar",IF(Registro_Compras!$F$502="NOTA DE CREDITO","Gastos de Servicios Prestados por Terceros","IGV - Cuenta Propia (Credito Fiscal)")))</f>
        <v/>
      </c>
      <c r="E4488" s="20" t="str">
        <f>IF($C4488="","",IF(Registro_Compras!$F$502="FACTURA",ROUND(Registro_Compras!$K$502*Registro_Compras!$N$502,2),""))</f>
        <v/>
      </c>
      <c r="F4488" s="20" t="str">
        <f>IF($C4488="","",IF(Registro_Compras!$F$502="RHE",ROUND(Registro_Compras!$V$502*Registro_Compras!$N$502,2),IF(Registro_Compras!$F$502="NOTA DE CREDITO",ROUND(ABS(Registro_Compras!$J$502*Registro_Compras!$N$502),2),"")))</f>
        <v/>
      </c>
      <c r="G4488" t="str">
        <f>IF($C4488="","",IF(Registro_Compras!$F$502="NOTA DE CREDITO","Por la nota de credito "&amp;Registro_Compras!$C$502&amp;" de "&amp;Registro_Compras!$E$502&amp;" [PATRON POR CONFIRMAR CON CONTADOR]",IF(Registro_Compras!$F$502="RHE","Por el registro del recibo por honorarios "&amp;Registro_Compras!$C$502&amp;" de "&amp;Registro_Compras!$E$502&amp;" [PATRON POR CONFIRMAR CON CONTADOR]","Por el registro de la factura "&amp;Registro_Compras!$C$502&amp;" de "&amp;Registro_Compras!$E$502)))</f>
        <v/>
      </c>
      <c r="H4488" t="str">
        <f>IF($C4488="","",Registro_Compras!$C$502)</f>
        <v/>
      </c>
    </row>
    <row r="4489" spans="1:8" x14ac:dyDescent="0.25">
      <c r="A4489" s="25" t="str">
        <f>IF($C4489="","",Registro_Compras!$B$502)</f>
        <v/>
      </c>
      <c r="B4489" t="str">
        <f>IF($C4489="","","C"&amp;TEXT(INT((ROW()-5)/9)+1,"000")&amp;"-1")</f>
        <v/>
      </c>
      <c r="C4489" t="str">
        <f>IF(OR(Registro_Compras!$C$502="",Registro_Compras!$O$502=""),"",IF(Registro_Compras!$F$502="NOTA DE CREDITO",IF(Registro_Compras!$K$502=0,"","40111"),"4212"))</f>
        <v/>
      </c>
      <c r="D4489" t="str">
        <f>IF(OR(Registro_Compras!$C$502="",Registro_Compras!$O$502=""),"",IF(Registro_Compras!$F$502="NOTA DE CREDITO","IGV - Cuenta Propia (Credito Fiscal)","Cuentas por Pagar Comerciales - Terceros (Emitidas)"))</f>
        <v/>
      </c>
      <c r="E4489" s="20" t="str">
        <f>""</f>
        <v/>
      </c>
      <c r="F4489" s="20" t="str">
        <f>IF($C4489="","",IF(Registro_Compras!$F$502="NOTA DE CREDITO",ROUND(ABS(Registro_Compras!$K$502*Registro_Compras!$N$502),2),IF(Registro_Compras!$F$502="RHE",(ROUND(Registro_Compras!$L$502*Registro_Compras!$N$502,2)-ROUND(Registro_Compras!$V$502*Registro_Compras!$N$502,2)),Registro_Compras!$O$502)))</f>
        <v/>
      </c>
      <c r="G4489" t="str">
        <f>IF($C4489="","",IF(Registro_Compras!$F$502="NOTA DE CREDITO","Por la nota de credito "&amp;Registro_Compras!$C$502&amp;" de "&amp;Registro_Compras!$E$502&amp;" [PATRON POR CONFIRMAR CON CONTADOR]",IF(Registro_Compras!$F$502="RHE","Por el registro del recibo por honorarios "&amp;Registro_Compras!$C$502&amp;" de "&amp;Registro_Compras!$E$502&amp;" [PATRON POR CONFIRMAR CON CONTADOR]","Por el registro de la factura "&amp;Registro_Compras!$C$502&amp;" de "&amp;Registro_Compras!$E$502)))</f>
        <v/>
      </c>
      <c r="H4489" t="str">
        <f>IF($C4489="","",Registro_Compras!$C$502)</f>
        <v/>
      </c>
    </row>
    <row r="4490" spans="1:8" x14ac:dyDescent="0.25">
      <c r="A4490" s="25" t="str">
        <f>IF($C4490="","",Registro_Compras!$B$502)</f>
        <v/>
      </c>
      <c r="B4490" t="str">
        <f>IF($C4490="","","C"&amp;TEXT(INT((ROW()-5)/9)+1,"000")&amp;"-2")</f>
        <v/>
      </c>
      <c r="C4490" t="str">
        <f>IF(OR(Registro_Compras!$C$502="",Registro_Compras!$O$502=""),"",IF(Registro_Compras!$AB$502="ADMINISTRATIVO","94","95"))</f>
        <v/>
      </c>
      <c r="D4490" t="str">
        <f>IF(OR(Registro_Compras!$C$502="",Registro_Compras!$O$502=""),"",IF(Registro_Compras!$AB$502="ADMINISTRATIVO","Gastos Administrativos","Gastos de Venta y Operacion"))</f>
        <v/>
      </c>
      <c r="E4490" s="20" t="str">
        <f>IF($C4490="","",IF(Registro_Compras!$F$502="NOTA DE CREDITO","",IF(Registro_Compras!$F$502="RHE",ROUND(Registro_Compras!$L$502*Registro_Compras!$N$502,2),ROUND(Registro_Compras!$J$502*Registro_Compras!$N$502,2))))</f>
        <v/>
      </c>
      <c r="F4490" s="20" t="str">
        <f>IF($C4490="","",IF(Registro_Compras!$F$502="NOTA DE CREDITO",ROUND(ABS(Registro_Compras!$J$502*Registro_Compras!$N$502),2),""))</f>
        <v/>
      </c>
      <c r="G4490" t="str">
        <f>IF($C4490="","","Por el destino del gasto")</f>
        <v/>
      </c>
      <c r="H4490" t="str">
        <f>IF($C4490="","",Registro_Compras!$C$502)</f>
        <v/>
      </c>
    </row>
    <row r="4491" spans="1:8" x14ac:dyDescent="0.25">
      <c r="A4491" s="25" t="str">
        <f>IF($C4491="","",Registro_Compras!$B$502)</f>
        <v/>
      </c>
      <c r="B4491" t="str">
        <f>IF($C4491="","","C"&amp;TEXT(INT((ROW()-5)/9)+1,"000")&amp;"-2")</f>
        <v/>
      </c>
      <c r="C4491" t="str">
        <f>IF(OR(Registro_Compras!$C$502="",Registro_Compras!$O$502=""),"","79/791")</f>
        <v/>
      </c>
      <c r="D4491" t="str">
        <f>IF(OR(Registro_Compras!$C$502="",Registro_Compras!$O$502=""),"","Cargas Imputables a Cuentas de Costos y Gastos")</f>
        <v/>
      </c>
      <c r="E4491" s="20" t="str">
        <f>IF($C4491="","",IF(Registro_Compras!$F$502="NOTA DE CREDITO",ROUND(ABS(Registro_Compras!$J$502*Registro_Compras!$N$502),2),""))</f>
        <v/>
      </c>
      <c r="F4491" s="20" t="str">
        <f>IF($C4491="","",IF(Registro_Compras!$F$502="NOTA DE CREDITO","",IF(Registro_Compras!$F$502="RHE",ROUND(Registro_Compras!$L$502*Registro_Compras!$N$502,2),ROUND(Registro_Compras!$J$502*Registro_Compras!$N$502,2))))</f>
        <v/>
      </c>
      <c r="G4491" t="str">
        <f>IF($C4491="","","Por el destino del gasto")</f>
        <v/>
      </c>
      <c r="H4491" t="str">
        <f>IF($C4491="","",Registro_Compras!$C$502)</f>
        <v/>
      </c>
    </row>
    <row r="4492" spans="1:8" x14ac:dyDescent="0.25">
      <c r="A4492" s="25" t="str">
        <f>IF($C4492="","",Registro_Compras!$X$502)</f>
        <v/>
      </c>
      <c r="B4492" t="str">
        <f>IF($C4492="","","C"&amp;TEXT(INT((ROW()-5)/9)+1,"000")&amp;"-3")</f>
        <v/>
      </c>
      <c r="C4492" t="str">
        <f>IF(OR(Registro_Compras!$C$502="",Registro_Compras!$O$502="",Registro_Compras!$R$502&lt;&gt;"SI",Registro_Compras!$X$502=""),"","4212")</f>
        <v/>
      </c>
      <c r="D4492" t="str">
        <f>IF(OR(Registro_Compras!$C$502="",Registro_Compras!$O$502=""),"","Cuentas por Pagar Comerciales - Terceros")</f>
        <v/>
      </c>
      <c r="E4492" s="20" t="str">
        <f>IF($C4492="","",Registro_Compras!$S$502)</f>
        <v/>
      </c>
      <c r="F4492" s="20" t="str">
        <f>""</f>
        <v/>
      </c>
      <c r="G4492" t="str">
        <f>IF($C4492="","","Por el deposito de la detraccion en el Banco de la Nacion")</f>
        <v/>
      </c>
      <c r="H4492" t="str">
        <f>IF($C4492="","",Registro_Compras!$C$502)</f>
        <v/>
      </c>
    </row>
    <row r="4493" spans="1:8" x14ac:dyDescent="0.25">
      <c r="A4493" s="25" t="str">
        <f>IF($C4493="","",Registro_Compras!$X$502)</f>
        <v/>
      </c>
      <c r="B4493" t="str">
        <f>IF($C4493="","","C"&amp;TEXT(INT((ROW()-5)/9)+1,"000")&amp;"-3")</f>
        <v/>
      </c>
      <c r="C4493" t="str">
        <f>IF(OR(Registro_Compras!$C$502="",Registro_Compras!$O$502="",Registro_Compras!$R$502&lt;&gt;"SI",Registro_Compras!$X$502=""),"","1041")</f>
        <v/>
      </c>
      <c r="D4493" t="str">
        <f>IF(OR(Registro_Compras!$C$502="",Registro_Compras!$O$502=""),"","Efectivo y Equivalentes - Cta. Cte. Operativa")</f>
        <v/>
      </c>
      <c r="E4493" s="20" t="str">
        <f>""</f>
        <v/>
      </c>
      <c r="F4493" s="20" t="str">
        <f>IF($C4493="","",Registro_Compras!$S$502)</f>
        <v/>
      </c>
      <c r="G4493" t="str">
        <f>IF($C4493="","","Por el deposito de la detraccion en el Banco de la Nacion")</f>
        <v/>
      </c>
      <c r="H4493" t="str">
        <f>IF($C4493="","",Registro_Compras!$C$502)</f>
        <v/>
      </c>
    </row>
    <row r="4494" spans="1:8" x14ac:dyDescent="0.25">
      <c r="A4494" s="25" t="str">
        <f>IF($C4494="","",Registro_Compras!$Y$502)</f>
        <v/>
      </c>
      <c r="B4494" t="str">
        <f>IF($C4494="","","C"&amp;TEXT(INT((ROW()-5)/9)+1,"000")&amp;"-4")</f>
        <v/>
      </c>
      <c r="C4494" t="str">
        <f>IF(OR(Registro_Compras!$C$502="",Registro_Compras!$O$502="",Registro_Compras!$Y$502="",Registro_Compras!$F$502="NOTA DE CREDITO"),"","4212")</f>
        <v/>
      </c>
      <c r="D4494" t="str">
        <f>IF(OR(Registro_Compras!$C$502="",Registro_Compras!$O$502=""),"","Cuentas por Pagar Comerciales - Terceros")</f>
        <v/>
      </c>
      <c r="E4494" s="20" t="str">
        <f>IF($C4494="","",IF(Registro_Compras!$F$502="RHE",(ROUND(Registro_Compras!$L$502*Registro_Compras!$N$502,2)-ROUND(Registro_Compras!$V$502*Registro_Compras!$N$502,2)),ROUND(Registro_Compras!$O$502-Registro_Compras!$S$502,2)))</f>
        <v/>
      </c>
      <c r="F4494" s="20" t="str">
        <f>""</f>
        <v/>
      </c>
      <c r="G4494" t="str">
        <f>IF($C4494="","","Por la cancelacion del saldo al proveedor")</f>
        <v/>
      </c>
      <c r="H4494" t="str">
        <f>IF($C4494="","",Registro_Compras!$C$502)</f>
        <v/>
      </c>
    </row>
    <row r="4495" spans="1:8" x14ac:dyDescent="0.25">
      <c r="A4495" s="25" t="str">
        <f>IF($C4495="","",Registro_Compras!$Y$502)</f>
        <v/>
      </c>
      <c r="B4495" t="str">
        <f>IF($C4495="","","C"&amp;TEXT(INT((ROW()-5)/9)+1,"000")&amp;"-4")</f>
        <v/>
      </c>
      <c r="C4495" t="str">
        <f>IF(OR(Registro_Compras!$C$502="",Registro_Compras!$O$502="",Registro_Compras!$Y$502="",Registro_Compras!$F$502="NOTA DE CREDITO"),"","1041")</f>
        <v/>
      </c>
      <c r="D4495" t="str">
        <f>IF(OR(Registro_Compras!$C$502="",Registro_Compras!$O$502=""),"","Efectivo y Equivalentes - Cta. Cte. Operativa")</f>
        <v/>
      </c>
      <c r="E4495" s="20" t="str">
        <f>""</f>
        <v/>
      </c>
      <c r="F4495" s="20" t="str">
        <f>IF($C4495="","",IF(Registro_Compras!$F$502="RHE",(ROUND(Registro_Compras!$L$502*Registro_Compras!$N$502,2)-ROUND(Registro_Compras!$V$502*Registro_Compras!$N$502,2)),ROUND(Registro_Compras!$O$502-Registro_Compras!$S$502,2)))</f>
        <v/>
      </c>
      <c r="G4495" t="str">
        <f>IF($C4495="","","Por la cancelacion del saldo al proveedor")</f>
        <v/>
      </c>
      <c r="H4495" t="str">
        <f>IF($C4495="","",Registro_Compras!$C$502)</f>
        <v/>
      </c>
    </row>
    <row r="4496" spans="1:8" x14ac:dyDescent="0.25">
      <c r="A4496" s="25" t="str">
        <f>IF($C4496="","",Registro_Compras!$B$503)</f>
        <v/>
      </c>
      <c r="B4496" t="str">
        <f>IF($C4496="","","C"&amp;TEXT(INT((ROW()-5)/9)+1,"000")&amp;"-1")</f>
        <v/>
      </c>
      <c r="C4496" t="str">
        <f>IF(OR(Registro_Compras!$C$503="",Registro_Compras!$O$503=""),"",IF(Registro_Compras!$F$503="NOTA DE CREDITO","4212",IF(Registro_Compras!$M$503="","63",Registro_Compras!$M$503)))</f>
        <v/>
      </c>
      <c r="D4496" t="str">
        <f>IF(OR(Registro_Compras!$C$503="",Registro_Compras!$O$503=""),"",IF(Registro_Compras!$F$503="NOTA DE CREDITO","Cuentas por Pagar Comerciales - Terceros (Emitidas)",IF(Registro_Compras!$F$503="RHE","Honorarios Profesionales - Servicios de Terceros","Gastos de Servicios Prestados por Terceros")))</f>
        <v/>
      </c>
      <c r="E4496" s="20" t="str">
        <f>IF($C4496="","",IF(Registro_Compras!$F$503="NOTA DE CREDITO",ABS(Registro_Compras!$O$503),IF(Registro_Compras!$F$503="RHE",ROUND(Registro_Compras!$L$503*Registro_Compras!$N$503,2),ROUND(Registro_Compras!$J$503*Registro_Compras!$N$503,2))))</f>
        <v/>
      </c>
      <c r="F4496" s="20" t="str">
        <f>""</f>
        <v/>
      </c>
      <c r="G4496" t="str">
        <f>IF($C4496="","",IF(Registro_Compras!$F$503="NOTA DE CREDITO","Por la nota de credito "&amp;Registro_Compras!$C$503&amp;" de "&amp;Registro_Compras!$E$503&amp;" [PATRON POR CONFIRMAR CON CONTADOR]",IF(Registro_Compras!$F$503="RHE","Por el registro del recibo por honorarios "&amp;Registro_Compras!$C$503&amp;" de "&amp;Registro_Compras!$E$503&amp;" [PATRON POR CONFIRMAR CON CONTADOR]","Por el registro de la factura "&amp;Registro_Compras!$C$503&amp;" de "&amp;Registro_Compras!$E$503)))</f>
        <v/>
      </c>
      <c r="H4496" t="str">
        <f>IF($C4496="","",Registro_Compras!$C$503)</f>
        <v/>
      </c>
    </row>
    <row r="4497" spans="1:8" x14ac:dyDescent="0.25">
      <c r="A4497" s="25" t="str">
        <f>IF($C4497="","",Registro_Compras!$B$503)</f>
        <v/>
      </c>
      <c r="B4497" t="str">
        <f>IF($C4497="","","C"&amp;TEXT(INT((ROW()-5)/9)+1,"000")&amp;"-1")</f>
        <v/>
      </c>
      <c r="C4497" t="str">
        <f>IF(OR(Registro_Compras!$C$503="",Registro_Compras!$O$503=""),"",IF(Registro_Compras!$F$503="RHE",IF(Registro_Compras!$V$503=0,"","4017"),IF(Registro_Compras!$F$503="NOTA DE CREDITO",IF(Registro_Compras!$M$503="","63",Registro_Compras!$M$503),IF(Registro_Compras!$K$503=0,"","40111"))))</f>
        <v/>
      </c>
      <c r="D4497" t="str">
        <f>IF(OR(Registro_Compras!$C$503="",Registro_Compras!$O$503=""),"",IF(Registro_Compras!$F$503="RHE","Retencion Renta 4ta Categoria por Pagar",IF(Registro_Compras!$F$503="NOTA DE CREDITO","Gastos de Servicios Prestados por Terceros","IGV - Cuenta Propia (Credito Fiscal)")))</f>
        <v/>
      </c>
      <c r="E4497" s="20" t="str">
        <f>IF($C4497="","",IF(Registro_Compras!$F$503="FACTURA",ROUND(Registro_Compras!$K$503*Registro_Compras!$N$503,2),""))</f>
        <v/>
      </c>
      <c r="F4497" s="20" t="str">
        <f>IF($C4497="","",IF(Registro_Compras!$F$503="RHE",ROUND(Registro_Compras!$V$503*Registro_Compras!$N$503,2),IF(Registro_Compras!$F$503="NOTA DE CREDITO",ROUND(ABS(Registro_Compras!$J$503*Registro_Compras!$N$503),2),"")))</f>
        <v/>
      </c>
      <c r="G4497" t="str">
        <f>IF($C4497="","",IF(Registro_Compras!$F$503="NOTA DE CREDITO","Por la nota de credito "&amp;Registro_Compras!$C$503&amp;" de "&amp;Registro_Compras!$E$503&amp;" [PATRON POR CONFIRMAR CON CONTADOR]",IF(Registro_Compras!$F$503="RHE","Por el registro del recibo por honorarios "&amp;Registro_Compras!$C$503&amp;" de "&amp;Registro_Compras!$E$503&amp;" [PATRON POR CONFIRMAR CON CONTADOR]","Por el registro de la factura "&amp;Registro_Compras!$C$503&amp;" de "&amp;Registro_Compras!$E$503)))</f>
        <v/>
      </c>
      <c r="H4497" t="str">
        <f>IF($C4497="","",Registro_Compras!$C$503)</f>
        <v/>
      </c>
    </row>
    <row r="4498" spans="1:8" x14ac:dyDescent="0.25">
      <c r="A4498" s="25" t="str">
        <f>IF($C4498="","",Registro_Compras!$B$503)</f>
        <v/>
      </c>
      <c r="B4498" t="str">
        <f>IF($C4498="","","C"&amp;TEXT(INT((ROW()-5)/9)+1,"000")&amp;"-1")</f>
        <v/>
      </c>
      <c r="C4498" t="str">
        <f>IF(OR(Registro_Compras!$C$503="",Registro_Compras!$O$503=""),"",IF(Registro_Compras!$F$503="NOTA DE CREDITO",IF(Registro_Compras!$K$503=0,"","40111"),"4212"))</f>
        <v/>
      </c>
      <c r="D4498" t="str">
        <f>IF(OR(Registro_Compras!$C$503="",Registro_Compras!$O$503=""),"",IF(Registro_Compras!$F$503="NOTA DE CREDITO","IGV - Cuenta Propia (Credito Fiscal)","Cuentas por Pagar Comerciales - Terceros (Emitidas)"))</f>
        <v/>
      </c>
      <c r="E4498" s="20" t="str">
        <f>""</f>
        <v/>
      </c>
      <c r="F4498" s="20" t="str">
        <f>IF($C4498="","",IF(Registro_Compras!$F$503="NOTA DE CREDITO",ROUND(ABS(Registro_Compras!$K$503*Registro_Compras!$N$503),2),IF(Registro_Compras!$F$503="RHE",(ROUND(Registro_Compras!$L$503*Registro_Compras!$N$503,2)-ROUND(Registro_Compras!$V$503*Registro_Compras!$N$503,2)),Registro_Compras!$O$503)))</f>
        <v/>
      </c>
      <c r="G4498" t="str">
        <f>IF($C4498="","",IF(Registro_Compras!$F$503="NOTA DE CREDITO","Por la nota de credito "&amp;Registro_Compras!$C$503&amp;" de "&amp;Registro_Compras!$E$503&amp;" [PATRON POR CONFIRMAR CON CONTADOR]",IF(Registro_Compras!$F$503="RHE","Por el registro del recibo por honorarios "&amp;Registro_Compras!$C$503&amp;" de "&amp;Registro_Compras!$E$503&amp;" [PATRON POR CONFIRMAR CON CONTADOR]","Por el registro de la factura "&amp;Registro_Compras!$C$503&amp;" de "&amp;Registro_Compras!$E$503)))</f>
        <v/>
      </c>
      <c r="H4498" t="str">
        <f>IF($C4498="","",Registro_Compras!$C$503)</f>
        <v/>
      </c>
    </row>
    <row r="4499" spans="1:8" x14ac:dyDescent="0.25">
      <c r="A4499" s="25" t="str">
        <f>IF($C4499="","",Registro_Compras!$B$503)</f>
        <v/>
      </c>
      <c r="B4499" t="str">
        <f>IF($C4499="","","C"&amp;TEXT(INT((ROW()-5)/9)+1,"000")&amp;"-2")</f>
        <v/>
      </c>
      <c r="C4499" t="str">
        <f>IF(OR(Registro_Compras!$C$503="",Registro_Compras!$O$503=""),"",IF(Registro_Compras!$AB$503="ADMINISTRATIVO","94","95"))</f>
        <v/>
      </c>
      <c r="D4499" t="str">
        <f>IF(OR(Registro_Compras!$C$503="",Registro_Compras!$O$503=""),"",IF(Registro_Compras!$AB$503="ADMINISTRATIVO","Gastos Administrativos","Gastos de Venta y Operacion"))</f>
        <v/>
      </c>
      <c r="E4499" s="20" t="str">
        <f>IF($C4499="","",IF(Registro_Compras!$F$503="NOTA DE CREDITO","",IF(Registro_Compras!$F$503="RHE",ROUND(Registro_Compras!$L$503*Registro_Compras!$N$503,2),ROUND(Registro_Compras!$J$503*Registro_Compras!$N$503,2))))</f>
        <v/>
      </c>
      <c r="F4499" s="20" t="str">
        <f>IF($C4499="","",IF(Registro_Compras!$F$503="NOTA DE CREDITO",ROUND(ABS(Registro_Compras!$J$503*Registro_Compras!$N$503),2),""))</f>
        <v/>
      </c>
      <c r="G4499" t="str">
        <f>IF($C4499="","","Por el destino del gasto")</f>
        <v/>
      </c>
      <c r="H4499" t="str">
        <f>IF($C4499="","",Registro_Compras!$C$503)</f>
        <v/>
      </c>
    </row>
    <row r="4500" spans="1:8" x14ac:dyDescent="0.25">
      <c r="A4500" s="25" t="str">
        <f>IF($C4500="","",Registro_Compras!$B$503)</f>
        <v/>
      </c>
      <c r="B4500" t="str">
        <f>IF($C4500="","","C"&amp;TEXT(INT((ROW()-5)/9)+1,"000")&amp;"-2")</f>
        <v/>
      </c>
      <c r="C4500" t="str">
        <f>IF(OR(Registro_Compras!$C$503="",Registro_Compras!$O$503=""),"","79/791")</f>
        <v/>
      </c>
      <c r="D4500" t="str">
        <f>IF(OR(Registro_Compras!$C$503="",Registro_Compras!$O$503=""),"","Cargas Imputables a Cuentas de Costos y Gastos")</f>
        <v/>
      </c>
      <c r="E4500" s="20" t="str">
        <f>IF($C4500="","",IF(Registro_Compras!$F$503="NOTA DE CREDITO",ROUND(ABS(Registro_Compras!$J$503*Registro_Compras!$N$503),2),""))</f>
        <v/>
      </c>
      <c r="F4500" s="20" t="str">
        <f>IF($C4500="","",IF(Registro_Compras!$F$503="NOTA DE CREDITO","",IF(Registro_Compras!$F$503="RHE",ROUND(Registro_Compras!$L$503*Registro_Compras!$N$503,2),ROUND(Registro_Compras!$J$503*Registro_Compras!$N$503,2))))</f>
        <v/>
      </c>
      <c r="G4500" t="str">
        <f>IF($C4500="","","Por el destino del gasto")</f>
        <v/>
      </c>
      <c r="H4500" t="str">
        <f>IF($C4500="","",Registro_Compras!$C$503)</f>
        <v/>
      </c>
    </row>
    <row r="4501" spans="1:8" x14ac:dyDescent="0.25">
      <c r="A4501" s="25" t="str">
        <f>IF($C4501="","",Registro_Compras!$X$503)</f>
        <v/>
      </c>
      <c r="B4501" t="str">
        <f>IF($C4501="","","C"&amp;TEXT(INT((ROW()-5)/9)+1,"000")&amp;"-3")</f>
        <v/>
      </c>
      <c r="C4501" t="str">
        <f>IF(OR(Registro_Compras!$C$503="",Registro_Compras!$O$503="",Registro_Compras!$R$503&lt;&gt;"SI",Registro_Compras!$X$503=""),"","4212")</f>
        <v/>
      </c>
      <c r="D4501" t="str">
        <f>IF(OR(Registro_Compras!$C$503="",Registro_Compras!$O$503=""),"","Cuentas por Pagar Comerciales - Terceros")</f>
        <v/>
      </c>
      <c r="E4501" s="20" t="str">
        <f>IF($C4501="","",Registro_Compras!$S$503)</f>
        <v/>
      </c>
      <c r="F4501" s="20" t="str">
        <f>""</f>
        <v/>
      </c>
      <c r="G4501" t="str">
        <f>IF($C4501="","","Por el deposito de la detraccion en el Banco de la Nacion")</f>
        <v/>
      </c>
      <c r="H4501" t="str">
        <f>IF($C4501="","",Registro_Compras!$C$503)</f>
        <v/>
      </c>
    </row>
    <row r="4502" spans="1:8" x14ac:dyDescent="0.25">
      <c r="A4502" s="25" t="str">
        <f>IF($C4502="","",Registro_Compras!$X$503)</f>
        <v/>
      </c>
      <c r="B4502" t="str">
        <f>IF($C4502="","","C"&amp;TEXT(INT((ROW()-5)/9)+1,"000")&amp;"-3")</f>
        <v/>
      </c>
      <c r="C4502" t="str">
        <f>IF(OR(Registro_Compras!$C$503="",Registro_Compras!$O$503="",Registro_Compras!$R$503&lt;&gt;"SI",Registro_Compras!$X$503=""),"","1041")</f>
        <v/>
      </c>
      <c r="D4502" t="str">
        <f>IF(OR(Registro_Compras!$C$503="",Registro_Compras!$O$503=""),"","Efectivo y Equivalentes - Cta. Cte. Operativa")</f>
        <v/>
      </c>
      <c r="E4502" s="20" t="str">
        <f>""</f>
        <v/>
      </c>
      <c r="F4502" s="20" t="str">
        <f>IF($C4502="","",Registro_Compras!$S$503)</f>
        <v/>
      </c>
      <c r="G4502" t="str">
        <f>IF($C4502="","","Por el deposito de la detraccion en el Banco de la Nacion")</f>
        <v/>
      </c>
      <c r="H4502" t="str">
        <f>IF($C4502="","",Registro_Compras!$C$503)</f>
        <v/>
      </c>
    </row>
    <row r="4503" spans="1:8" x14ac:dyDescent="0.25">
      <c r="A4503" s="25" t="str">
        <f>IF($C4503="","",Registro_Compras!$Y$503)</f>
        <v/>
      </c>
      <c r="B4503" t="str">
        <f>IF($C4503="","","C"&amp;TEXT(INT((ROW()-5)/9)+1,"000")&amp;"-4")</f>
        <v/>
      </c>
      <c r="C4503" t="str">
        <f>IF(OR(Registro_Compras!$C$503="",Registro_Compras!$O$503="",Registro_Compras!$Y$503="",Registro_Compras!$F$503="NOTA DE CREDITO"),"","4212")</f>
        <v/>
      </c>
      <c r="D4503" t="str">
        <f>IF(OR(Registro_Compras!$C$503="",Registro_Compras!$O$503=""),"","Cuentas por Pagar Comerciales - Terceros")</f>
        <v/>
      </c>
      <c r="E4503" s="20" t="str">
        <f>IF($C4503="","",IF(Registro_Compras!$F$503="RHE",(ROUND(Registro_Compras!$L$503*Registro_Compras!$N$503,2)-ROUND(Registro_Compras!$V$503*Registro_Compras!$N$503,2)),ROUND(Registro_Compras!$O$503-Registro_Compras!$S$503,2)))</f>
        <v/>
      </c>
      <c r="F4503" s="20" t="str">
        <f>""</f>
        <v/>
      </c>
      <c r="G4503" t="str">
        <f>IF($C4503="","","Por la cancelacion del saldo al proveedor")</f>
        <v/>
      </c>
      <c r="H4503" t="str">
        <f>IF($C4503="","",Registro_Compras!$C$503)</f>
        <v/>
      </c>
    </row>
    <row r="4504" spans="1:8" x14ac:dyDescent="0.25">
      <c r="A4504" s="25" t="str">
        <f>IF($C4504="","",Registro_Compras!$Y$503)</f>
        <v/>
      </c>
      <c r="B4504" t="str">
        <f>IF($C4504="","","C"&amp;TEXT(INT((ROW()-5)/9)+1,"000")&amp;"-4")</f>
        <v/>
      </c>
      <c r="C4504" t="str">
        <f>IF(OR(Registro_Compras!$C$503="",Registro_Compras!$O$503="",Registro_Compras!$Y$503="",Registro_Compras!$F$503="NOTA DE CREDITO"),"","1041")</f>
        <v/>
      </c>
      <c r="D4504" t="str">
        <f>IF(OR(Registro_Compras!$C$503="",Registro_Compras!$O$503=""),"","Efectivo y Equivalentes - Cta. Cte. Operativa")</f>
        <v/>
      </c>
      <c r="E4504" s="20" t="str">
        <f>""</f>
        <v/>
      </c>
      <c r="F4504" s="20" t="str">
        <f>IF($C4504="","",IF(Registro_Compras!$F$503="RHE",(ROUND(Registro_Compras!$L$503*Registro_Compras!$N$503,2)-ROUND(Registro_Compras!$V$503*Registro_Compras!$N$503,2)),ROUND(Registro_Compras!$O$503-Registro_Compras!$S$503,2)))</f>
        <v/>
      </c>
      <c r="G4504" t="str">
        <f>IF($C4504="","","Por la cancelacion del saldo al proveedor")</f>
        <v/>
      </c>
      <c r="H4504" t="str">
        <f>IF($C4504="","",Registro_Compras!$C$503)</f>
        <v/>
      </c>
    </row>
    <row r="4505" spans="1:8" x14ac:dyDescent="0.25">
      <c r="A4505" s="25"/>
      <c r="E4505" s="20"/>
      <c r="F4505" s="20"/>
    </row>
    <row r="4506" spans="1:8" x14ac:dyDescent="0.25">
      <c r="A4506" s="34" t="s">
        <v>177</v>
      </c>
      <c r="E4506" s="20"/>
      <c r="F4506" s="20"/>
    </row>
    <row r="4507" spans="1:8" x14ac:dyDescent="0.25">
      <c r="A4507" s="25" t="str">
        <f>IF($C4507="","",Registro_Ventas!$B$4)</f>
        <v>2026-08-10</v>
      </c>
      <c r="B4507" t="str">
        <f>IF($C4507="","","V"&amp;TEXT(INT((ROW()-4507)/6)+1,"000")&amp;"-1")</f>
        <v>V001-1</v>
      </c>
      <c r="C4507" t="str">
        <f>IF(Registro_Ventas!$C$4="","","12")</f>
        <v>12</v>
      </c>
      <c r="D4507" t="str">
        <f>IF($C4507="","","Cuentas por Cobrar Comerciales - Terceros")</f>
        <v>Cuentas por Cobrar Comerciales - Terceros</v>
      </c>
      <c r="E4507" s="20">
        <f>IF($C4507="","",Registro_Ventas!$I$4)</f>
        <v>2360</v>
      </c>
      <c r="F4507" s="20" t="str">
        <f>""</f>
        <v/>
      </c>
      <c r="G4507" t="str">
        <f>IF($C4507="","","Por la venta segun comprobante a "&amp;Registro_Ventas!$E$4)</f>
        <v>Por la venta segun comprobante a Cliente de Ejemplo [BORRAR/REEMPLAZAR]</v>
      </c>
      <c r="H4507" t="str">
        <f>IF($C4507="","",Registro_Ventas!$C$4)</f>
        <v>F001-EJEMPLO</v>
      </c>
    </row>
    <row r="4508" spans="1:8" x14ac:dyDescent="0.25">
      <c r="A4508" s="25" t="str">
        <f>IF($C4508="","",Registro_Ventas!$B$4)</f>
        <v>2026-08-10</v>
      </c>
      <c r="B4508" t="str">
        <f>IF($C4508="","","V"&amp;TEXT(INT((ROW()-4507)/6)+1,"000")&amp;"-1")</f>
        <v>V001-1</v>
      </c>
      <c r="C4508" t="str">
        <f>IF(Registro_Ventas!$C$4="","","70")</f>
        <v>70</v>
      </c>
      <c r="D4508" t="str">
        <f>IF($C4508="","","Ventas")</f>
        <v>Ventas</v>
      </c>
      <c r="E4508" s="20" t="str">
        <f>""</f>
        <v/>
      </c>
      <c r="F4508" s="20">
        <f>IF($C4508="","",Registro_Ventas!$G$4)</f>
        <v>2000</v>
      </c>
      <c r="G4508" t="str">
        <f>IF($C4508="","","Por la venta segun comprobante a "&amp;Registro_Ventas!$E$4)</f>
        <v>Por la venta segun comprobante a Cliente de Ejemplo [BORRAR/REEMPLAZAR]</v>
      </c>
      <c r="H4508" t="str">
        <f>IF($C4508="","",Registro_Ventas!$C$4)</f>
        <v>F001-EJEMPLO</v>
      </c>
    </row>
    <row r="4509" spans="1:8" x14ac:dyDescent="0.25">
      <c r="A4509" s="25" t="str">
        <f>IF($C4509="","",Registro_Ventas!$B$4)</f>
        <v>2026-08-10</v>
      </c>
      <c r="B4509" t="str">
        <f>IF($C4509="","","V"&amp;TEXT(INT((ROW()-4507)/6)+1,"000")&amp;"-1")</f>
        <v>V001-1</v>
      </c>
      <c r="C4509" t="str">
        <f>IF(Registro_Ventas!$C$4="","","40111")</f>
        <v>40111</v>
      </c>
      <c r="D4509" t="str">
        <f>IF($C4509="","","IGV - Cuenta Propia (Debito Fiscal)")</f>
        <v>IGV - Cuenta Propia (Debito Fiscal)</v>
      </c>
      <c r="E4509" s="20" t="str">
        <f>""</f>
        <v/>
      </c>
      <c r="F4509" s="20">
        <f>IF($C4509="","",Registro_Ventas!$H$4)</f>
        <v>360</v>
      </c>
      <c r="G4509" t="str">
        <f>IF($C4509="","","Por la venta segun comprobante a "&amp;Registro_Ventas!$E$4)</f>
        <v>Por la venta segun comprobante a Cliente de Ejemplo [BORRAR/REEMPLAZAR]</v>
      </c>
      <c r="H4509" t="str">
        <f>IF($C4509="","",Registro_Ventas!$C$4)</f>
        <v>F001-EJEMPLO</v>
      </c>
    </row>
    <row r="4510" spans="1:8" x14ac:dyDescent="0.25">
      <c r="A4510" s="25" t="str">
        <f>IF($C4510="","",Registro_Ventas!$P$4)</f>
        <v>2026-08-20</v>
      </c>
      <c r="B4510" t="str">
        <f>IF($C4510="","","V"&amp;TEXT(INT((ROW()-4507)/6)+1,"000")&amp;"-2")</f>
        <v>V001-2</v>
      </c>
      <c r="C4510" t="str">
        <f>IF(OR(Registro_Ventas!$C$4="",Registro_Ventas!$O$4&lt;&gt;"SI"),"","1041")</f>
        <v>1041</v>
      </c>
      <c r="D4510" t="str">
        <f>IF($C4510="","","Efectivo y Equivalentes - Cta. Cte. Operativa")</f>
        <v>Efectivo y Equivalentes - Cta. Cte. Operativa</v>
      </c>
      <c r="E4510" s="20">
        <f>IF($C4510="","",Registro_Ventas!$N$4)</f>
        <v>2360</v>
      </c>
      <c r="F4510" s="20" t="str">
        <f>""</f>
        <v/>
      </c>
      <c r="G4510" t="str">
        <f>IF($C4510="","","Por la cobranza de la factura")</f>
        <v>Por la cobranza de la factura</v>
      </c>
      <c r="H4510" t="str">
        <f>IF($C4510="","",Registro_Ventas!$C$4)</f>
        <v>F001-EJEMPLO</v>
      </c>
    </row>
    <row r="4511" spans="1:8" x14ac:dyDescent="0.25">
      <c r="A4511" s="25" t="str">
        <f>IF($C4511="","",Registro_Ventas!$P$4)</f>
        <v/>
      </c>
      <c r="B4511" t="str">
        <f>IF($C4511="","","V"&amp;TEXT(INT((ROW()-4507)/6)+1,"000")&amp;"-2")</f>
        <v/>
      </c>
      <c r="C4511" t="str">
        <f>IF(OR(OR(Registro_Ventas!$C$4="",Registro_Ventas!$O$4&lt;&gt;"SI"),Registro_Ventas!$J$4&lt;&gt;"SI"),"","1049")</f>
        <v/>
      </c>
      <c r="D4511" t="str">
        <f>IF($C4511="","","Efectivo - Cuenta de Detracciones (Banco de la Nacion)")</f>
        <v/>
      </c>
      <c r="E4511" s="20" t="str">
        <f>IF($C4511="","",Registro_Ventas!$M$4)</f>
        <v/>
      </c>
      <c r="F4511" s="20" t="str">
        <f>""</f>
        <v/>
      </c>
      <c r="G4511" t="str">
        <f>IF($C4511="","","Detraccion retenida por el cliente")</f>
        <v/>
      </c>
      <c r="H4511" t="str">
        <f>IF($C4511="","",Registro_Ventas!$C$4)</f>
        <v/>
      </c>
    </row>
    <row r="4512" spans="1:8" x14ac:dyDescent="0.25">
      <c r="A4512" s="25" t="str">
        <f>IF($C4512="","",Registro_Ventas!$P$4)</f>
        <v>2026-08-20</v>
      </c>
      <c r="B4512" t="str">
        <f>IF($C4512="","","V"&amp;TEXT(INT((ROW()-4507)/6)+1,"000")&amp;"-2")</f>
        <v>V001-2</v>
      </c>
      <c r="C4512" t="str">
        <f>IF(OR(Registro_Ventas!$C$4="",Registro_Ventas!$O$4&lt;&gt;"SI"),"","12")</f>
        <v>12</v>
      </c>
      <c r="D4512" t="str">
        <f>IF($C4512="","","Cuentas por Cobrar Comerciales - Terceros")</f>
        <v>Cuentas por Cobrar Comerciales - Terceros</v>
      </c>
      <c r="E4512" s="20" t="str">
        <f>""</f>
        <v/>
      </c>
      <c r="F4512" s="20">
        <f>IF($C4512="","",Registro_Ventas!$I$4)</f>
        <v>2360</v>
      </c>
      <c r="G4512" t="str">
        <f>IF($C4512="","","Por la cobranza de la factura")</f>
        <v>Por la cobranza de la factura</v>
      </c>
      <c r="H4512" t="str">
        <f>IF($C4512="","",Registro_Ventas!$C$4)</f>
        <v>F001-EJEMPLO</v>
      </c>
    </row>
    <row r="4513" spans="1:8" x14ac:dyDescent="0.25">
      <c r="A4513" s="25" t="str">
        <f>IF($C4513="","",Registro_Ventas!$B$5)</f>
        <v/>
      </c>
      <c r="B4513" t="str">
        <f>IF($C4513="","","V"&amp;TEXT(INT((ROW()-4507)/6)+1,"000")&amp;"-1")</f>
        <v/>
      </c>
      <c r="C4513" t="str">
        <f>IF(Registro_Ventas!$C$5="","","12")</f>
        <v/>
      </c>
      <c r="D4513" t="str">
        <f>IF($C4513="","","Cuentas por Cobrar Comerciales - Terceros")</f>
        <v/>
      </c>
      <c r="E4513" s="20" t="str">
        <f>IF($C4513="","",Registro_Ventas!$I$5)</f>
        <v/>
      </c>
      <c r="F4513" s="20" t="str">
        <f>""</f>
        <v/>
      </c>
      <c r="G4513" t="str">
        <f>IF($C4513="","","Por la venta segun comprobante a "&amp;Registro_Ventas!$E$5)</f>
        <v/>
      </c>
      <c r="H4513" t="str">
        <f>IF($C4513="","",Registro_Ventas!$C$5)</f>
        <v/>
      </c>
    </row>
    <row r="4514" spans="1:8" x14ac:dyDescent="0.25">
      <c r="A4514" s="25" t="str">
        <f>IF($C4514="","",Registro_Ventas!$B$5)</f>
        <v/>
      </c>
      <c r="B4514" t="str">
        <f>IF($C4514="","","V"&amp;TEXT(INT((ROW()-4507)/6)+1,"000")&amp;"-1")</f>
        <v/>
      </c>
      <c r="C4514" t="str">
        <f>IF(Registro_Ventas!$C$5="","","70")</f>
        <v/>
      </c>
      <c r="D4514" t="str">
        <f>IF($C4514="","","Ventas")</f>
        <v/>
      </c>
      <c r="E4514" s="20" t="str">
        <f>""</f>
        <v/>
      </c>
      <c r="F4514" s="20" t="str">
        <f>IF($C4514="","",Registro_Ventas!$G$5)</f>
        <v/>
      </c>
      <c r="G4514" t="str">
        <f>IF($C4514="","","Por la venta segun comprobante a "&amp;Registro_Ventas!$E$5)</f>
        <v/>
      </c>
      <c r="H4514" t="str">
        <f>IF($C4514="","",Registro_Ventas!$C$5)</f>
        <v/>
      </c>
    </row>
    <row r="4515" spans="1:8" x14ac:dyDescent="0.25">
      <c r="A4515" s="25" t="str">
        <f>IF($C4515="","",Registro_Ventas!$B$5)</f>
        <v/>
      </c>
      <c r="B4515" t="str">
        <f>IF($C4515="","","V"&amp;TEXT(INT((ROW()-4507)/6)+1,"000")&amp;"-1")</f>
        <v/>
      </c>
      <c r="C4515" t="str">
        <f>IF(Registro_Ventas!$C$5="","","40111")</f>
        <v/>
      </c>
      <c r="D4515" t="str">
        <f>IF($C4515="","","IGV - Cuenta Propia (Debito Fiscal)")</f>
        <v/>
      </c>
      <c r="E4515" s="20" t="str">
        <f>""</f>
        <v/>
      </c>
      <c r="F4515" s="20" t="str">
        <f>IF($C4515="","",Registro_Ventas!$H$5)</f>
        <v/>
      </c>
      <c r="G4515" t="str">
        <f>IF($C4515="","","Por la venta segun comprobante a "&amp;Registro_Ventas!$E$5)</f>
        <v/>
      </c>
      <c r="H4515" t="str">
        <f>IF($C4515="","",Registro_Ventas!$C$5)</f>
        <v/>
      </c>
    </row>
    <row r="4516" spans="1:8" x14ac:dyDescent="0.25">
      <c r="A4516" s="25" t="str">
        <f>IF($C4516="","",Registro_Ventas!$P$5)</f>
        <v/>
      </c>
      <c r="B4516" t="str">
        <f>IF($C4516="","","V"&amp;TEXT(INT((ROW()-4507)/6)+1,"000")&amp;"-2")</f>
        <v/>
      </c>
      <c r="C4516" t="str">
        <f>IF(OR(Registro_Ventas!$C$5="",Registro_Ventas!$O$5&lt;&gt;"SI"),"","1041")</f>
        <v/>
      </c>
      <c r="D4516" t="str">
        <f>IF($C4516="","","Efectivo y Equivalentes - Cta. Cte. Operativa")</f>
        <v/>
      </c>
      <c r="E4516" s="20" t="str">
        <f>IF($C4516="","",Registro_Ventas!$N$5)</f>
        <v/>
      </c>
      <c r="F4516" s="20" t="str">
        <f>""</f>
        <v/>
      </c>
      <c r="G4516" t="str">
        <f>IF($C4516="","","Por la cobranza de la factura")</f>
        <v/>
      </c>
      <c r="H4516" t="str">
        <f>IF($C4516="","",Registro_Ventas!$C$5)</f>
        <v/>
      </c>
    </row>
    <row r="4517" spans="1:8" x14ac:dyDescent="0.25">
      <c r="A4517" s="25" t="str">
        <f>IF($C4517="","",Registro_Ventas!$P$5)</f>
        <v/>
      </c>
      <c r="B4517" t="str">
        <f>IF($C4517="","","V"&amp;TEXT(INT((ROW()-4507)/6)+1,"000")&amp;"-2")</f>
        <v/>
      </c>
      <c r="C4517" t="str">
        <f>IF(OR(OR(Registro_Ventas!$C$5="",Registro_Ventas!$O$5&lt;&gt;"SI"),Registro_Ventas!$J$5&lt;&gt;"SI"),"","1049")</f>
        <v/>
      </c>
      <c r="D4517" t="str">
        <f>IF($C4517="","","Efectivo - Cuenta de Detracciones (Banco de la Nacion)")</f>
        <v/>
      </c>
      <c r="E4517" s="20" t="str">
        <f>IF($C4517="","",Registro_Ventas!$M$5)</f>
        <v/>
      </c>
      <c r="F4517" s="20" t="str">
        <f>""</f>
        <v/>
      </c>
      <c r="G4517" t="str">
        <f>IF($C4517="","","Detraccion retenida por el cliente")</f>
        <v/>
      </c>
      <c r="H4517" t="str">
        <f>IF($C4517="","",Registro_Ventas!$C$5)</f>
        <v/>
      </c>
    </row>
    <row r="4518" spans="1:8" x14ac:dyDescent="0.25">
      <c r="A4518" s="25" t="str">
        <f>IF($C4518="","",Registro_Ventas!$P$5)</f>
        <v/>
      </c>
      <c r="B4518" t="str">
        <f>IF($C4518="","","V"&amp;TEXT(INT((ROW()-4507)/6)+1,"000")&amp;"-2")</f>
        <v/>
      </c>
      <c r="C4518" t="str">
        <f>IF(OR(Registro_Ventas!$C$5="",Registro_Ventas!$O$5&lt;&gt;"SI"),"","12")</f>
        <v/>
      </c>
      <c r="D4518" t="str">
        <f>IF($C4518="","","Cuentas por Cobrar Comerciales - Terceros")</f>
        <v/>
      </c>
      <c r="E4518" s="20" t="str">
        <f>""</f>
        <v/>
      </c>
      <c r="F4518" s="20" t="str">
        <f>IF($C4518="","",Registro_Ventas!$I$5)</f>
        <v/>
      </c>
      <c r="G4518" t="str">
        <f>IF($C4518="","","Por la cobranza de la factura")</f>
        <v/>
      </c>
      <c r="H4518" t="str">
        <f>IF($C4518="","",Registro_Ventas!$C$5)</f>
        <v/>
      </c>
    </row>
    <row r="4519" spans="1:8" x14ac:dyDescent="0.25">
      <c r="A4519" s="25" t="str">
        <f>IF($C4519="","",Registro_Ventas!$B$6)</f>
        <v/>
      </c>
      <c r="B4519" t="str">
        <f>IF($C4519="","","V"&amp;TEXT(INT((ROW()-4507)/6)+1,"000")&amp;"-1")</f>
        <v/>
      </c>
      <c r="C4519" t="str">
        <f>IF(Registro_Ventas!$C$6="","","12")</f>
        <v/>
      </c>
      <c r="D4519" t="str">
        <f>IF($C4519="","","Cuentas por Cobrar Comerciales - Terceros")</f>
        <v/>
      </c>
      <c r="E4519" s="20" t="str">
        <f>IF($C4519="","",Registro_Ventas!$I$6)</f>
        <v/>
      </c>
      <c r="F4519" s="20" t="str">
        <f>""</f>
        <v/>
      </c>
      <c r="G4519" t="str">
        <f>IF($C4519="","","Por la venta segun comprobante a "&amp;Registro_Ventas!$E$6)</f>
        <v/>
      </c>
      <c r="H4519" t="str">
        <f>IF($C4519="","",Registro_Ventas!$C$6)</f>
        <v/>
      </c>
    </row>
    <row r="4520" spans="1:8" x14ac:dyDescent="0.25">
      <c r="A4520" s="25" t="str">
        <f>IF($C4520="","",Registro_Ventas!$B$6)</f>
        <v/>
      </c>
      <c r="B4520" t="str">
        <f>IF($C4520="","","V"&amp;TEXT(INT((ROW()-4507)/6)+1,"000")&amp;"-1")</f>
        <v/>
      </c>
      <c r="C4520" t="str">
        <f>IF(Registro_Ventas!$C$6="","","70")</f>
        <v/>
      </c>
      <c r="D4520" t="str">
        <f>IF($C4520="","","Ventas")</f>
        <v/>
      </c>
      <c r="E4520" s="20" t="str">
        <f>""</f>
        <v/>
      </c>
      <c r="F4520" s="20" t="str">
        <f>IF($C4520="","",Registro_Ventas!$G$6)</f>
        <v/>
      </c>
      <c r="G4520" t="str">
        <f>IF($C4520="","","Por la venta segun comprobante a "&amp;Registro_Ventas!$E$6)</f>
        <v/>
      </c>
      <c r="H4520" t="str">
        <f>IF($C4520="","",Registro_Ventas!$C$6)</f>
        <v/>
      </c>
    </row>
    <row r="4521" spans="1:8" x14ac:dyDescent="0.25">
      <c r="A4521" s="25" t="str">
        <f>IF($C4521="","",Registro_Ventas!$B$6)</f>
        <v/>
      </c>
      <c r="B4521" t="str">
        <f>IF($C4521="","","V"&amp;TEXT(INT((ROW()-4507)/6)+1,"000")&amp;"-1")</f>
        <v/>
      </c>
      <c r="C4521" t="str">
        <f>IF(Registro_Ventas!$C$6="","","40111")</f>
        <v/>
      </c>
      <c r="D4521" t="str">
        <f>IF($C4521="","","IGV - Cuenta Propia (Debito Fiscal)")</f>
        <v/>
      </c>
      <c r="E4521" s="20" t="str">
        <f>""</f>
        <v/>
      </c>
      <c r="F4521" s="20" t="str">
        <f>IF($C4521="","",Registro_Ventas!$H$6)</f>
        <v/>
      </c>
      <c r="G4521" t="str">
        <f>IF($C4521="","","Por la venta segun comprobante a "&amp;Registro_Ventas!$E$6)</f>
        <v/>
      </c>
      <c r="H4521" t="str">
        <f>IF($C4521="","",Registro_Ventas!$C$6)</f>
        <v/>
      </c>
    </row>
    <row r="4522" spans="1:8" x14ac:dyDescent="0.25">
      <c r="A4522" s="25" t="str">
        <f>IF($C4522="","",Registro_Ventas!$P$6)</f>
        <v/>
      </c>
      <c r="B4522" t="str">
        <f>IF($C4522="","","V"&amp;TEXT(INT((ROW()-4507)/6)+1,"000")&amp;"-2")</f>
        <v/>
      </c>
      <c r="C4522" t="str">
        <f>IF(OR(Registro_Ventas!$C$6="",Registro_Ventas!$O$6&lt;&gt;"SI"),"","1041")</f>
        <v/>
      </c>
      <c r="D4522" t="str">
        <f>IF($C4522="","","Efectivo y Equivalentes - Cta. Cte. Operativa")</f>
        <v/>
      </c>
      <c r="E4522" s="20" t="str">
        <f>IF($C4522="","",Registro_Ventas!$N$6)</f>
        <v/>
      </c>
      <c r="F4522" s="20" t="str">
        <f>""</f>
        <v/>
      </c>
      <c r="G4522" t="str">
        <f>IF($C4522="","","Por la cobranza de la factura")</f>
        <v/>
      </c>
      <c r="H4522" t="str">
        <f>IF($C4522="","",Registro_Ventas!$C$6)</f>
        <v/>
      </c>
    </row>
    <row r="4523" spans="1:8" x14ac:dyDescent="0.25">
      <c r="A4523" s="25" t="str">
        <f>IF($C4523="","",Registro_Ventas!$P$6)</f>
        <v/>
      </c>
      <c r="B4523" t="str">
        <f>IF($C4523="","","V"&amp;TEXT(INT((ROW()-4507)/6)+1,"000")&amp;"-2")</f>
        <v/>
      </c>
      <c r="C4523" t="str">
        <f>IF(OR(OR(Registro_Ventas!$C$6="",Registro_Ventas!$O$6&lt;&gt;"SI"),Registro_Ventas!$J$6&lt;&gt;"SI"),"","1049")</f>
        <v/>
      </c>
      <c r="D4523" t="str">
        <f>IF($C4523="","","Efectivo - Cuenta de Detracciones (Banco de la Nacion)")</f>
        <v/>
      </c>
      <c r="E4523" s="20" t="str">
        <f>IF($C4523="","",Registro_Ventas!$M$6)</f>
        <v/>
      </c>
      <c r="F4523" s="20" t="str">
        <f>""</f>
        <v/>
      </c>
      <c r="G4523" t="str">
        <f>IF($C4523="","","Detraccion retenida por el cliente")</f>
        <v/>
      </c>
      <c r="H4523" t="str">
        <f>IF($C4523="","",Registro_Ventas!$C$6)</f>
        <v/>
      </c>
    </row>
    <row r="4524" spans="1:8" x14ac:dyDescent="0.25">
      <c r="A4524" s="25" t="str">
        <f>IF($C4524="","",Registro_Ventas!$P$6)</f>
        <v/>
      </c>
      <c r="B4524" t="str">
        <f>IF($C4524="","","V"&amp;TEXT(INT((ROW()-4507)/6)+1,"000")&amp;"-2")</f>
        <v/>
      </c>
      <c r="C4524" t="str">
        <f>IF(OR(Registro_Ventas!$C$6="",Registro_Ventas!$O$6&lt;&gt;"SI"),"","12")</f>
        <v/>
      </c>
      <c r="D4524" t="str">
        <f>IF($C4524="","","Cuentas por Cobrar Comerciales - Terceros")</f>
        <v/>
      </c>
      <c r="E4524" s="20" t="str">
        <f>""</f>
        <v/>
      </c>
      <c r="F4524" s="20" t="str">
        <f>IF($C4524="","",Registro_Ventas!$I$6)</f>
        <v/>
      </c>
      <c r="G4524" t="str">
        <f>IF($C4524="","","Por la cobranza de la factura")</f>
        <v/>
      </c>
      <c r="H4524" t="str">
        <f>IF($C4524="","",Registro_Ventas!$C$6)</f>
        <v/>
      </c>
    </row>
    <row r="4525" spans="1:8" x14ac:dyDescent="0.25">
      <c r="A4525" s="25" t="str">
        <f>IF($C4525="","",Registro_Ventas!$B$7)</f>
        <v/>
      </c>
      <c r="B4525" t="str">
        <f>IF($C4525="","","V"&amp;TEXT(INT((ROW()-4507)/6)+1,"000")&amp;"-1")</f>
        <v/>
      </c>
      <c r="C4525" t="str">
        <f>IF(Registro_Ventas!$C$7="","","12")</f>
        <v/>
      </c>
      <c r="D4525" t="str">
        <f>IF($C4525="","","Cuentas por Cobrar Comerciales - Terceros")</f>
        <v/>
      </c>
      <c r="E4525" s="20" t="str">
        <f>IF($C4525="","",Registro_Ventas!$I$7)</f>
        <v/>
      </c>
      <c r="F4525" s="20" t="str">
        <f>""</f>
        <v/>
      </c>
      <c r="G4525" t="str">
        <f>IF($C4525="","","Por la venta segun comprobante a "&amp;Registro_Ventas!$E$7)</f>
        <v/>
      </c>
      <c r="H4525" t="str">
        <f>IF($C4525="","",Registro_Ventas!$C$7)</f>
        <v/>
      </c>
    </row>
    <row r="4526" spans="1:8" x14ac:dyDescent="0.25">
      <c r="A4526" s="25" t="str">
        <f>IF($C4526="","",Registro_Ventas!$B$7)</f>
        <v/>
      </c>
      <c r="B4526" t="str">
        <f>IF($C4526="","","V"&amp;TEXT(INT((ROW()-4507)/6)+1,"000")&amp;"-1")</f>
        <v/>
      </c>
      <c r="C4526" t="str">
        <f>IF(Registro_Ventas!$C$7="","","70")</f>
        <v/>
      </c>
      <c r="D4526" t="str">
        <f>IF($C4526="","","Ventas")</f>
        <v/>
      </c>
      <c r="E4526" s="20" t="str">
        <f>""</f>
        <v/>
      </c>
      <c r="F4526" s="20" t="str">
        <f>IF($C4526="","",Registro_Ventas!$G$7)</f>
        <v/>
      </c>
      <c r="G4526" t="str">
        <f>IF($C4526="","","Por la venta segun comprobante a "&amp;Registro_Ventas!$E$7)</f>
        <v/>
      </c>
      <c r="H4526" t="str">
        <f>IF($C4526="","",Registro_Ventas!$C$7)</f>
        <v/>
      </c>
    </row>
    <row r="4527" spans="1:8" x14ac:dyDescent="0.25">
      <c r="A4527" s="25" t="str">
        <f>IF($C4527="","",Registro_Ventas!$B$7)</f>
        <v/>
      </c>
      <c r="B4527" t="str">
        <f>IF($C4527="","","V"&amp;TEXT(INT((ROW()-4507)/6)+1,"000")&amp;"-1")</f>
        <v/>
      </c>
      <c r="C4527" t="str">
        <f>IF(Registro_Ventas!$C$7="","","40111")</f>
        <v/>
      </c>
      <c r="D4527" t="str">
        <f>IF($C4527="","","IGV - Cuenta Propia (Debito Fiscal)")</f>
        <v/>
      </c>
      <c r="E4527" s="20" t="str">
        <f>""</f>
        <v/>
      </c>
      <c r="F4527" s="20" t="str">
        <f>IF($C4527="","",Registro_Ventas!$H$7)</f>
        <v/>
      </c>
      <c r="G4527" t="str">
        <f>IF($C4527="","","Por la venta segun comprobante a "&amp;Registro_Ventas!$E$7)</f>
        <v/>
      </c>
      <c r="H4527" t="str">
        <f>IF($C4527="","",Registro_Ventas!$C$7)</f>
        <v/>
      </c>
    </row>
    <row r="4528" spans="1:8" x14ac:dyDescent="0.25">
      <c r="A4528" s="25" t="str">
        <f>IF($C4528="","",Registro_Ventas!$P$7)</f>
        <v/>
      </c>
      <c r="B4528" t="str">
        <f>IF($C4528="","","V"&amp;TEXT(INT((ROW()-4507)/6)+1,"000")&amp;"-2")</f>
        <v/>
      </c>
      <c r="C4528" t="str">
        <f>IF(OR(Registro_Ventas!$C$7="",Registro_Ventas!$O$7&lt;&gt;"SI"),"","1041")</f>
        <v/>
      </c>
      <c r="D4528" t="str">
        <f>IF($C4528="","","Efectivo y Equivalentes - Cta. Cte. Operativa")</f>
        <v/>
      </c>
      <c r="E4528" s="20" t="str">
        <f>IF($C4528="","",Registro_Ventas!$N$7)</f>
        <v/>
      </c>
      <c r="F4528" s="20" t="str">
        <f>""</f>
        <v/>
      </c>
      <c r="G4528" t="str">
        <f>IF($C4528="","","Por la cobranza de la factura")</f>
        <v/>
      </c>
      <c r="H4528" t="str">
        <f>IF($C4528="","",Registro_Ventas!$C$7)</f>
        <v/>
      </c>
    </row>
    <row r="4529" spans="1:8" x14ac:dyDescent="0.25">
      <c r="A4529" s="25" t="str">
        <f>IF($C4529="","",Registro_Ventas!$P$7)</f>
        <v/>
      </c>
      <c r="B4529" t="str">
        <f>IF($C4529="","","V"&amp;TEXT(INT((ROW()-4507)/6)+1,"000")&amp;"-2")</f>
        <v/>
      </c>
      <c r="C4529" t="str">
        <f>IF(OR(OR(Registro_Ventas!$C$7="",Registro_Ventas!$O$7&lt;&gt;"SI"),Registro_Ventas!$J$7&lt;&gt;"SI"),"","1049")</f>
        <v/>
      </c>
      <c r="D4529" t="str">
        <f>IF($C4529="","","Efectivo - Cuenta de Detracciones (Banco de la Nacion)")</f>
        <v/>
      </c>
      <c r="E4529" s="20" t="str">
        <f>IF($C4529="","",Registro_Ventas!$M$7)</f>
        <v/>
      </c>
      <c r="F4529" s="20" t="str">
        <f>""</f>
        <v/>
      </c>
      <c r="G4529" t="str">
        <f>IF($C4529="","","Detraccion retenida por el cliente")</f>
        <v/>
      </c>
      <c r="H4529" t="str">
        <f>IF($C4529="","",Registro_Ventas!$C$7)</f>
        <v/>
      </c>
    </row>
    <row r="4530" spans="1:8" x14ac:dyDescent="0.25">
      <c r="A4530" s="25" t="str">
        <f>IF($C4530="","",Registro_Ventas!$P$7)</f>
        <v/>
      </c>
      <c r="B4530" t="str">
        <f>IF($C4530="","","V"&amp;TEXT(INT((ROW()-4507)/6)+1,"000")&amp;"-2")</f>
        <v/>
      </c>
      <c r="C4530" t="str">
        <f>IF(OR(Registro_Ventas!$C$7="",Registro_Ventas!$O$7&lt;&gt;"SI"),"","12")</f>
        <v/>
      </c>
      <c r="D4530" t="str">
        <f>IF($C4530="","","Cuentas por Cobrar Comerciales - Terceros")</f>
        <v/>
      </c>
      <c r="E4530" s="20" t="str">
        <f>""</f>
        <v/>
      </c>
      <c r="F4530" s="20" t="str">
        <f>IF($C4530="","",Registro_Ventas!$I$7)</f>
        <v/>
      </c>
      <c r="G4530" t="str">
        <f>IF($C4530="","","Por la cobranza de la factura")</f>
        <v/>
      </c>
      <c r="H4530" t="str">
        <f>IF($C4530="","",Registro_Ventas!$C$7)</f>
        <v/>
      </c>
    </row>
    <row r="4531" spans="1:8" x14ac:dyDescent="0.25">
      <c r="A4531" s="25" t="str">
        <f>IF($C4531="","",Registro_Ventas!$B$8)</f>
        <v/>
      </c>
      <c r="B4531" t="str">
        <f>IF($C4531="","","V"&amp;TEXT(INT((ROW()-4507)/6)+1,"000")&amp;"-1")</f>
        <v/>
      </c>
      <c r="C4531" t="str">
        <f>IF(Registro_Ventas!$C$8="","","12")</f>
        <v/>
      </c>
      <c r="D4531" t="str">
        <f>IF($C4531="","","Cuentas por Cobrar Comerciales - Terceros")</f>
        <v/>
      </c>
      <c r="E4531" s="20" t="str">
        <f>IF($C4531="","",Registro_Ventas!$I$8)</f>
        <v/>
      </c>
      <c r="F4531" s="20" t="str">
        <f>""</f>
        <v/>
      </c>
      <c r="G4531" t="str">
        <f>IF($C4531="","","Por la venta segun comprobante a "&amp;Registro_Ventas!$E$8)</f>
        <v/>
      </c>
      <c r="H4531" t="str">
        <f>IF($C4531="","",Registro_Ventas!$C$8)</f>
        <v/>
      </c>
    </row>
    <row r="4532" spans="1:8" x14ac:dyDescent="0.25">
      <c r="A4532" s="25" t="str">
        <f>IF($C4532="","",Registro_Ventas!$B$8)</f>
        <v/>
      </c>
      <c r="B4532" t="str">
        <f>IF($C4532="","","V"&amp;TEXT(INT((ROW()-4507)/6)+1,"000")&amp;"-1")</f>
        <v/>
      </c>
      <c r="C4532" t="str">
        <f>IF(Registro_Ventas!$C$8="","","70")</f>
        <v/>
      </c>
      <c r="D4532" t="str">
        <f>IF($C4532="","","Ventas")</f>
        <v/>
      </c>
      <c r="E4532" s="20" t="str">
        <f>""</f>
        <v/>
      </c>
      <c r="F4532" s="20" t="str">
        <f>IF($C4532="","",Registro_Ventas!$G$8)</f>
        <v/>
      </c>
      <c r="G4532" t="str">
        <f>IF($C4532="","","Por la venta segun comprobante a "&amp;Registro_Ventas!$E$8)</f>
        <v/>
      </c>
      <c r="H4532" t="str">
        <f>IF($C4532="","",Registro_Ventas!$C$8)</f>
        <v/>
      </c>
    </row>
    <row r="4533" spans="1:8" x14ac:dyDescent="0.25">
      <c r="A4533" s="25" t="str">
        <f>IF($C4533="","",Registro_Ventas!$B$8)</f>
        <v/>
      </c>
      <c r="B4533" t="str">
        <f>IF($C4533="","","V"&amp;TEXT(INT((ROW()-4507)/6)+1,"000")&amp;"-1")</f>
        <v/>
      </c>
      <c r="C4533" t="str">
        <f>IF(Registro_Ventas!$C$8="","","40111")</f>
        <v/>
      </c>
      <c r="D4533" t="str">
        <f>IF($C4533="","","IGV - Cuenta Propia (Debito Fiscal)")</f>
        <v/>
      </c>
      <c r="E4533" s="20" t="str">
        <f>""</f>
        <v/>
      </c>
      <c r="F4533" s="20" t="str">
        <f>IF($C4533="","",Registro_Ventas!$H$8)</f>
        <v/>
      </c>
      <c r="G4533" t="str">
        <f>IF($C4533="","","Por la venta segun comprobante a "&amp;Registro_Ventas!$E$8)</f>
        <v/>
      </c>
      <c r="H4533" t="str">
        <f>IF($C4533="","",Registro_Ventas!$C$8)</f>
        <v/>
      </c>
    </row>
    <row r="4534" spans="1:8" x14ac:dyDescent="0.25">
      <c r="A4534" s="25" t="str">
        <f>IF($C4534="","",Registro_Ventas!$P$8)</f>
        <v/>
      </c>
      <c r="B4534" t="str">
        <f>IF($C4534="","","V"&amp;TEXT(INT((ROW()-4507)/6)+1,"000")&amp;"-2")</f>
        <v/>
      </c>
      <c r="C4534" t="str">
        <f>IF(OR(Registro_Ventas!$C$8="",Registro_Ventas!$O$8&lt;&gt;"SI"),"","1041")</f>
        <v/>
      </c>
      <c r="D4534" t="str">
        <f>IF($C4534="","","Efectivo y Equivalentes - Cta. Cte. Operativa")</f>
        <v/>
      </c>
      <c r="E4534" s="20" t="str">
        <f>IF($C4534="","",Registro_Ventas!$N$8)</f>
        <v/>
      </c>
      <c r="F4534" s="20" t="str">
        <f>""</f>
        <v/>
      </c>
      <c r="G4534" t="str">
        <f>IF($C4534="","","Por la cobranza de la factura")</f>
        <v/>
      </c>
      <c r="H4534" t="str">
        <f>IF($C4534="","",Registro_Ventas!$C$8)</f>
        <v/>
      </c>
    </row>
    <row r="4535" spans="1:8" x14ac:dyDescent="0.25">
      <c r="A4535" s="25" t="str">
        <f>IF($C4535="","",Registro_Ventas!$P$8)</f>
        <v/>
      </c>
      <c r="B4535" t="str">
        <f>IF($C4535="","","V"&amp;TEXT(INT((ROW()-4507)/6)+1,"000")&amp;"-2")</f>
        <v/>
      </c>
      <c r="C4535" t="str">
        <f>IF(OR(OR(Registro_Ventas!$C$8="",Registro_Ventas!$O$8&lt;&gt;"SI"),Registro_Ventas!$J$8&lt;&gt;"SI"),"","1049")</f>
        <v/>
      </c>
      <c r="D4535" t="str">
        <f>IF($C4535="","","Efectivo - Cuenta de Detracciones (Banco de la Nacion)")</f>
        <v/>
      </c>
      <c r="E4535" s="20" t="str">
        <f>IF($C4535="","",Registro_Ventas!$M$8)</f>
        <v/>
      </c>
      <c r="F4535" s="20" t="str">
        <f>""</f>
        <v/>
      </c>
      <c r="G4535" t="str">
        <f>IF($C4535="","","Detraccion retenida por el cliente")</f>
        <v/>
      </c>
      <c r="H4535" t="str">
        <f>IF($C4535="","",Registro_Ventas!$C$8)</f>
        <v/>
      </c>
    </row>
    <row r="4536" spans="1:8" x14ac:dyDescent="0.25">
      <c r="A4536" s="25" t="str">
        <f>IF($C4536="","",Registro_Ventas!$P$8)</f>
        <v/>
      </c>
      <c r="B4536" t="str">
        <f>IF($C4536="","","V"&amp;TEXT(INT((ROW()-4507)/6)+1,"000")&amp;"-2")</f>
        <v/>
      </c>
      <c r="C4536" t="str">
        <f>IF(OR(Registro_Ventas!$C$8="",Registro_Ventas!$O$8&lt;&gt;"SI"),"","12")</f>
        <v/>
      </c>
      <c r="D4536" t="str">
        <f>IF($C4536="","","Cuentas por Cobrar Comerciales - Terceros")</f>
        <v/>
      </c>
      <c r="E4536" s="20" t="str">
        <f>""</f>
        <v/>
      </c>
      <c r="F4536" s="20" t="str">
        <f>IF($C4536="","",Registro_Ventas!$I$8)</f>
        <v/>
      </c>
      <c r="G4536" t="str">
        <f>IF($C4536="","","Por la cobranza de la factura")</f>
        <v/>
      </c>
      <c r="H4536" t="str">
        <f>IF($C4536="","",Registro_Ventas!$C$8)</f>
        <v/>
      </c>
    </row>
    <row r="4537" spans="1:8" x14ac:dyDescent="0.25">
      <c r="A4537" s="25" t="str">
        <f>IF($C4537="","",Registro_Ventas!$B$9)</f>
        <v/>
      </c>
      <c r="B4537" t="str">
        <f>IF($C4537="","","V"&amp;TEXT(INT((ROW()-4507)/6)+1,"000")&amp;"-1")</f>
        <v/>
      </c>
      <c r="C4537" t="str">
        <f>IF(Registro_Ventas!$C$9="","","12")</f>
        <v/>
      </c>
      <c r="D4537" t="str">
        <f>IF($C4537="","","Cuentas por Cobrar Comerciales - Terceros")</f>
        <v/>
      </c>
      <c r="E4537" s="20" t="str">
        <f>IF($C4537="","",Registro_Ventas!$I$9)</f>
        <v/>
      </c>
      <c r="F4537" s="20" t="str">
        <f>""</f>
        <v/>
      </c>
      <c r="G4537" t="str">
        <f>IF($C4537="","","Por la venta segun comprobante a "&amp;Registro_Ventas!$E$9)</f>
        <v/>
      </c>
      <c r="H4537" t="str">
        <f>IF($C4537="","",Registro_Ventas!$C$9)</f>
        <v/>
      </c>
    </row>
    <row r="4538" spans="1:8" x14ac:dyDescent="0.25">
      <c r="A4538" s="25" t="str">
        <f>IF($C4538="","",Registro_Ventas!$B$9)</f>
        <v/>
      </c>
      <c r="B4538" t="str">
        <f>IF($C4538="","","V"&amp;TEXT(INT((ROW()-4507)/6)+1,"000")&amp;"-1")</f>
        <v/>
      </c>
      <c r="C4538" t="str">
        <f>IF(Registro_Ventas!$C$9="","","70")</f>
        <v/>
      </c>
      <c r="D4538" t="str">
        <f>IF($C4538="","","Ventas")</f>
        <v/>
      </c>
      <c r="E4538" s="20" t="str">
        <f>""</f>
        <v/>
      </c>
      <c r="F4538" s="20" t="str">
        <f>IF($C4538="","",Registro_Ventas!$G$9)</f>
        <v/>
      </c>
      <c r="G4538" t="str">
        <f>IF($C4538="","","Por la venta segun comprobante a "&amp;Registro_Ventas!$E$9)</f>
        <v/>
      </c>
      <c r="H4538" t="str">
        <f>IF($C4538="","",Registro_Ventas!$C$9)</f>
        <v/>
      </c>
    </row>
    <row r="4539" spans="1:8" x14ac:dyDescent="0.25">
      <c r="A4539" s="25" t="str">
        <f>IF($C4539="","",Registro_Ventas!$B$9)</f>
        <v/>
      </c>
      <c r="B4539" t="str">
        <f>IF($C4539="","","V"&amp;TEXT(INT((ROW()-4507)/6)+1,"000")&amp;"-1")</f>
        <v/>
      </c>
      <c r="C4539" t="str">
        <f>IF(Registro_Ventas!$C$9="","","40111")</f>
        <v/>
      </c>
      <c r="D4539" t="str">
        <f>IF($C4539="","","IGV - Cuenta Propia (Debito Fiscal)")</f>
        <v/>
      </c>
      <c r="E4539" s="20" t="str">
        <f>""</f>
        <v/>
      </c>
      <c r="F4539" s="20" t="str">
        <f>IF($C4539="","",Registro_Ventas!$H$9)</f>
        <v/>
      </c>
      <c r="G4539" t="str">
        <f>IF($C4539="","","Por la venta segun comprobante a "&amp;Registro_Ventas!$E$9)</f>
        <v/>
      </c>
      <c r="H4539" t="str">
        <f>IF($C4539="","",Registro_Ventas!$C$9)</f>
        <v/>
      </c>
    </row>
    <row r="4540" spans="1:8" x14ac:dyDescent="0.25">
      <c r="A4540" s="25" t="str">
        <f>IF($C4540="","",Registro_Ventas!$P$9)</f>
        <v/>
      </c>
      <c r="B4540" t="str">
        <f>IF($C4540="","","V"&amp;TEXT(INT((ROW()-4507)/6)+1,"000")&amp;"-2")</f>
        <v/>
      </c>
      <c r="C4540" t="str">
        <f>IF(OR(Registro_Ventas!$C$9="",Registro_Ventas!$O$9&lt;&gt;"SI"),"","1041")</f>
        <v/>
      </c>
      <c r="D4540" t="str">
        <f>IF($C4540="","","Efectivo y Equivalentes - Cta. Cte. Operativa")</f>
        <v/>
      </c>
      <c r="E4540" s="20" t="str">
        <f>IF($C4540="","",Registro_Ventas!$N$9)</f>
        <v/>
      </c>
      <c r="F4540" s="20" t="str">
        <f>""</f>
        <v/>
      </c>
      <c r="G4540" t="str">
        <f>IF($C4540="","","Por la cobranza de la factura")</f>
        <v/>
      </c>
      <c r="H4540" t="str">
        <f>IF($C4540="","",Registro_Ventas!$C$9)</f>
        <v/>
      </c>
    </row>
    <row r="4541" spans="1:8" x14ac:dyDescent="0.25">
      <c r="A4541" s="25" t="str">
        <f>IF($C4541="","",Registro_Ventas!$P$9)</f>
        <v/>
      </c>
      <c r="B4541" t="str">
        <f>IF($C4541="","","V"&amp;TEXT(INT((ROW()-4507)/6)+1,"000")&amp;"-2")</f>
        <v/>
      </c>
      <c r="C4541" t="str">
        <f>IF(OR(OR(Registro_Ventas!$C$9="",Registro_Ventas!$O$9&lt;&gt;"SI"),Registro_Ventas!$J$9&lt;&gt;"SI"),"","1049")</f>
        <v/>
      </c>
      <c r="D4541" t="str">
        <f>IF($C4541="","","Efectivo - Cuenta de Detracciones (Banco de la Nacion)")</f>
        <v/>
      </c>
      <c r="E4541" s="20" t="str">
        <f>IF($C4541="","",Registro_Ventas!$M$9)</f>
        <v/>
      </c>
      <c r="F4541" s="20" t="str">
        <f>""</f>
        <v/>
      </c>
      <c r="G4541" t="str">
        <f>IF($C4541="","","Detraccion retenida por el cliente")</f>
        <v/>
      </c>
      <c r="H4541" t="str">
        <f>IF($C4541="","",Registro_Ventas!$C$9)</f>
        <v/>
      </c>
    </row>
    <row r="4542" spans="1:8" x14ac:dyDescent="0.25">
      <c r="A4542" s="25" t="str">
        <f>IF($C4542="","",Registro_Ventas!$P$9)</f>
        <v/>
      </c>
      <c r="B4542" t="str">
        <f>IF($C4542="","","V"&amp;TEXT(INT((ROW()-4507)/6)+1,"000")&amp;"-2")</f>
        <v/>
      </c>
      <c r="C4542" t="str">
        <f>IF(OR(Registro_Ventas!$C$9="",Registro_Ventas!$O$9&lt;&gt;"SI"),"","12")</f>
        <v/>
      </c>
      <c r="D4542" t="str">
        <f>IF($C4542="","","Cuentas por Cobrar Comerciales - Terceros")</f>
        <v/>
      </c>
      <c r="E4542" s="20" t="str">
        <f>""</f>
        <v/>
      </c>
      <c r="F4542" s="20" t="str">
        <f>IF($C4542="","",Registro_Ventas!$I$9)</f>
        <v/>
      </c>
      <c r="G4542" t="str">
        <f>IF($C4542="","","Por la cobranza de la factura")</f>
        <v/>
      </c>
      <c r="H4542" t="str">
        <f>IF($C4542="","",Registro_Ventas!$C$9)</f>
        <v/>
      </c>
    </row>
    <row r="4543" spans="1:8" x14ac:dyDescent="0.25">
      <c r="A4543" s="25" t="str">
        <f>IF($C4543="","",Registro_Ventas!$B$10)</f>
        <v/>
      </c>
      <c r="B4543" t="str">
        <f>IF($C4543="","","V"&amp;TEXT(INT((ROW()-4507)/6)+1,"000")&amp;"-1")</f>
        <v/>
      </c>
      <c r="C4543" t="str">
        <f>IF(Registro_Ventas!$C$10="","","12")</f>
        <v/>
      </c>
      <c r="D4543" t="str">
        <f>IF($C4543="","","Cuentas por Cobrar Comerciales - Terceros")</f>
        <v/>
      </c>
      <c r="E4543" s="20" t="str">
        <f>IF($C4543="","",Registro_Ventas!$I$10)</f>
        <v/>
      </c>
      <c r="F4543" s="20" t="str">
        <f>""</f>
        <v/>
      </c>
      <c r="G4543" t="str">
        <f>IF($C4543="","","Por la venta segun comprobante a "&amp;Registro_Ventas!$E$10)</f>
        <v/>
      </c>
      <c r="H4543" t="str">
        <f>IF($C4543="","",Registro_Ventas!$C$10)</f>
        <v/>
      </c>
    </row>
    <row r="4544" spans="1:8" x14ac:dyDescent="0.25">
      <c r="A4544" s="25" t="str">
        <f>IF($C4544="","",Registro_Ventas!$B$10)</f>
        <v/>
      </c>
      <c r="B4544" t="str">
        <f>IF($C4544="","","V"&amp;TEXT(INT((ROW()-4507)/6)+1,"000")&amp;"-1")</f>
        <v/>
      </c>
      <c r="C4544" t="str">
        <f>IF(Registro_Ventas!$C$10="","","70")</f>
        <v/>
      </c>
      <c r="D4544" t="str">
        <f>IF($C4544="","","Ventas")</f>
        <v/>
      </c>
      <c r="E4544" s="20" t="str">
        <f>""</f>
        <v/>
      </c>
      <c r="F4544" s="20" t="str">
        <f>IF($C4544="","",Registro_Ventas!$G$10)</f>
        <v/>
      </c>
      <c r="G4544" t="str">
        <f>IF($C4544="","","Por la venta segun comprobante a "&amp;Registro_Ventas!$E$10)</f>
        <v/>
      </c>
      <c r="H4544" t="str">
        <f>IF($C4544="","",Registro_Ventas!$C$10)</f>
        <v/>
      </c>
    </row>
    <row r="4545" spans="1:8" x14ac:dyDescent="0.25">
      <c r="A4545" s="25" t="str">
        <f>IF($C4545="","",Registro_Ventas!$B$10)</f>
        <v/>
      </c>
      <c r="B4545" t="str">
        <f>IF($C4545="","","V"&amp;TEXT(INT((ROW()-4507)/6)+1,"000")&amp;"-1")</f>
        <v/>
      </c>
      <c r="C4545" t="str">
        <f>IF(Registro_Ventas!$C$10="","","40111")</f>
        <v/>
      </c>
      <c r="D4545" t="str">
        <f>IF($C4545="","","IGV - Cuenta Propia (Debito Fiscal)")</f>
        <v/>
      </c>
      <c r="E4545" s="20" t="str">
        <f>""</f>
        <v/>
      </c>
      <c r="F4545" s="20" t="str">
        <f>IF($C4545="","",Registro_Ventas!$H$10)</f>
        <v/>
      </c>
      <c r="G4545" t="str">
        <f>IF($C4545="","","Por la venta segun comprobante a "&amp;Registro_Ventas!$E$10)</f>
        <v/>
      </c>
      <c r="H4545" t="str">
        <f>IF($C4545="","",Registro_Ventas!$C$10)</f>
        <v/>
      </c>
    </row>
    <row r="4546" spans="1:8" x14ac:dyDescent="0.25">
      <c r="A4546" s="25" t="str">
        <f>IF($C4546="","",Registro_Ventas!$P$10)</f>
        <v/>
      </c>
      <c r="B4546" t="str">
        <f>IF($C4546="","","V"&amp;TEXT(INT((ROW()-4507)/6)+1,"000")&amp;"-2")</f>
        <v/>
      </c>
      <c r="C4546" t="str">
        <f>IF(OR(Registro_Ventas!$C$10="",Registro_Ventas!$O$10&lt;&gt;"SI"),"","1041")</f>
        <v/>
      </c>
      <c r="D4546" t="str">
        <f>IF($C4546="","","Efectivo y Equivalentes - Cta. Cte. Operativa")</f>
        <v/>
      </c>
      <c r="E4546" s="20" t="str">
        <f>IF($C4546="","",Registro_Ventas!$N$10)</f>
        <v/>
      </c>
      <c r="F4546" s="20" t="str">
        <f>""</f>
        <v/>
      </c>
      <c r="G4546" t="str">
        <f>IF($C4546="","","Por la cobranza de la factura")</f>
        <v/>
      </c>
      <c r="H4546" t="str">
        <f>IF($C4546="","",Registro_Ventas!$C$10)</f>
        <v/>
      </c>
    </row>
    <row r="4547" spans="1:8" x14ac:dyDescent="0.25">
      <c r="A4547" s="25" t="str">
        <f>IF($C4547="","",Registro_Ventas!$P$10)</f>
        <v/>
      </c>
      <c r="B4547" t="str">
        <f>IF($C4547="","","V"&amp;TEXT(INT((ROW()-4507)/6)+1,"000")&amp;"-2")</f>
        <v/>
      </c>
      <c r="C4547" t="str">
        <f>IF(OR(OR(Registro_Ventas!$C$10="",Registro_Ventas!$O$10&lt;&gt;"SI"),Registro_Ventas!$J$10&lt;&gt;"SI"),"","1049")</f>
        <v/>
      </c>
      <c r="D4547" t="str">
        <f>IF($C4547="","","Efectivo - Cuenta de Detracciones (Banco de la Nacion)")</f>
        <v/>
      </c>
      <c r="E4547" s="20" t="str">
        <f>IF($C4547="","",Registro_Ventas!$M$10)</f>
        <v/>
      </c>
      <c r="F4547" s="20" t="str">
        <f>""</f>
        <v/>
      </c>
      <c r="G4547" t="str">
        <f>IF($C4547="","","Detraccion retenida por el cliente")</f>
        <v/>
      </c>
      <c r="H4547" t="str">
        <f>IF($C4547="","",Registro_Ventas!$C$10)</f>
        <v/>
      </c>
    </row>
    <row r="4548" spans="1:8" x14ac:dyDescent="0.25">
      <c r="A4548" s="25" t="str">
        <f>IF($C4548="","",Registro_Ventas!$P$10)</f>
        <v/>
      </c>
      <c r="B4548" t="str">
        <f>IF($C4548="","","V"&amp;TEXT(INT((ROW()-4507)/6)+1,"000")&amp;"-2")</f>
        <v/>
      </c>
      <c r="C4548" t="str">
        <f>IF(OR(Registro_Ventas!$C$10="",Registro_Ventas!$O$10&lt;&gt;"SI"),"","12")</f>
        <v/>
      </c>
      <c r="D4548" t="str">
        <f>IF($C4548="","","Cuentas por Cobrar Comerciales - Terceros")</f>
        <v/>
      </c>
      <c r="E4548" s="20" t="str">
        <f>""</f>
        <v/>
      </c>
      <c r="F4548" s="20" t="str">
        <f>IF($C4548="","",Registro_Ventas!$I$10)</f>
        <v/>
      </c>
      <c r="G4548" t="str">
        <f>IF($C4548="","","Por la cobranza de la factura")</f>
        <v/>
      </c>
      <c r="H4548" t="str">
        <f>IF($C4548="","",Registro_Ventas!$C$10)</f>
        <v/>
      </c>
    </row>
    <row r="4549" spans="1:8" x14ac:dyDescent="0.25">
      <c r="A4549" s="25" t="str">
        <f>IF($C4549="","",Registro_Ventas!$B$11)</f>
        <v/>
      </c>
      <c r="B4549" t="str">
        <f>IF($C4549="","","V"&amp;TEXT(INT((ROW()-4507)/6)+1,"000")&amp;"-1")</f>
        <v/>
      </c>
      <c r="C4549" t="str">
        <f>IF(Registro_Ventas!$C$11="","","12")</f>
        <v/>
      </c>
      <c r="D4549" t="str">
        <f>IF($C4549="","","Cuentas por Cobrar Comerciales - Terceros")</f>
        <v/>
      </c>
      <c r="E4549" s="20" t="str">
        <f>IF($C4549="","",Registro_Ventas!$I$11)</f>
        <v/>
      </c>
      <c r="F4549" s="20" t="str">
        <f>""</f>
        <v/>
      </c>
      <c r="G4549" t="str">
        <f>IF($C4549="","","Por la venta segun comprobante a "&amp;Registro_Ventas!$E$11)</f>
        <v/>
      </c>
      <c r="H4549" t="str">
        <f>IF($C4549="","",Registro_Ventas!$C$11)</f>
        <v/>
      </c>
    </row>
    <row r="4550" spans="1:8" x14ac:dyDescent="0.25">
      <c r="A4550" s="25" t="str">
        <f>IF($C4550="","",Registro_Ventas!$B$11)</f>
        <v/>
      </c>
      <c r="B4550" t="str">
        <f>IF($C4550="","","V"&amp;TEXT(INT((ROW()-4507)/6)+1,"000")&amp;"-1")</f>
        <v/>
      </c>
      <c r="C4550" t="str">
        <f>IF(Registro_Ventas!$C$11="","","70")</f>
        <v/>
      </c>
      <c r="D4550" t="str">
        <f>IF($C4550="","","Ventas")</f>
        <v/>
      </c>
      <c r="E4550" s="20" t="str">
        <f>""</f>
        <v/>
      </c>
      <c r="F4550" s="20" t="str">
        <f>IF($C4550="","",Registro_Ventas!$G$11)</f>
        <v/>
      </c>
      <c r="G4550" t="str">
        <f>IF($C4550="","","Por la venta segun comprobante a "&amp;Registro_Ventas!$E$11)</f>
        <v/>
      </c>
      <c r="H4550" t="str">
        <f>IF($C4550="","",Registro_Ventas!$C$11)</f>
        <v/>
      </c>
    </row>
    <row r="4551" spans="1:8" x14ac:dyDescent="0.25">
      <c r="A4551" s="25" t="str">
        <f>IF($C4551="","",Registro_Ventas!$B$11)</f>
        <v/>
      </c>
      <c r="B4551" t="str">
        <f>IF($C4551="","","V"&amp;TEXT(INT((ROW()-4507)/6)+1,"000")&amp;"-1")</f>
        <v/>
      </c>
      <c r="C4551" t="str">
        <f>IF(Registro_Ventas!$C$11="","","40111")</f>
        <v/>
      </c>
      <c r="D4551" t="str">
        <f>IF($C4551="","","IGV - Cuenta Propia (Debito Fiscal)")</f>
        <v/>
      </c>
      <c r="E4551" s="20" t="str">
        <f>""</f>
        <v/>
      </c>
      <c r="F4551" s="20" t="str">
        <f>IF($C4551="","",Registro_Ventas!$H$11)</f>
        <v/>
      </c>
      <c r="G4551" t="str">
        <f>IF($C4551="","","Por la venta segun comprobante a "&amp;Registro_Ventas!$E$11)</f>
        <v/>
      </c>
      <c r="H4551" t="str">
        <f>IF($C4551="","",Registro_Ventas!$C$11)</f>
        <v/>
      </c>
    </row>
    <row r="4552" spans="1:8" x14ac:dyDescent="0.25">
      <c r="A4552" s="25" t="str">
        <f>IF($C4552="","",Registro_Ventas!$P$11)</f>
        <v/>
      </c>
      <c r="B4552" t="str">
        <f>IF($C4552="","","V"&amp;TEXT(INT((ROW()-4507)/6)+1,"000")&amp;"-2")</f>
        <v/>
      </c>
      <c r="C4552" t="str">
        <f>IF(OR(Registro_Ventas!$C$11="",Registro_Ventas!$O$11&lt;&gt;"SI"),"","1041")</f>
        <v/>
      </c>
      <c r="D4552" t="str">
        <f>IF($C4552="","","Efectivo y Equivalentes - Cta. Cte. Operativa")</f>
        <v/>
      </c>
      <c r="E4552" s="20" t="str">
        <f>IF($C4552="","",Registro_Ventas!$N$11)</f>
        <v/>
      </c>
      <c r="F4552" s="20" t="str">
        <f>""</f>
        <v/>
      </c>
      <c r="G4552" t="str">
        <f>IF($C4552="","","Por la cobranza de la factura")</f>
        <v/>
      </c>
      <c r="H4552" t="str">
        <f>IF($C4552="","",Registro_Ventas!$C$11)</f>
        <v/>
      </c>
    </row>
    <row r="4553" spans="1:8" x14ac:dyDescent="0.25">
      <c r="A4553" s="25" t="str">
        <f>IF($C4553="","",Registro_Ventas!$P$11)</f>
        <v/>
      </c>
      <c r="B4553" t="str">
        <f>IF($C4553="","","V"&amp;TEXT(INT((ROW()-4507)/6)+1,"000")&amp;"-2")</f>
        <v/>
      </c>
      <c r="C4553" t="str">
        <f>IF(OR(OR(Registro_Ventas!$C$11="",Registro_Ventas!$O$11&lt;&gt;"SI"),Registro_Ventas!$J$11&lt;&gt;"SI"),"","1049")</f>
        <v/>
      </c>
      <c r="D4553" t="str">
        <f>IF($C4553="","","Efectivo - Cuenta de Detracciones (Banco de la Nacion)")</f>
        <v/>
      </c>
      <c r="E4553" s="20" t="str">
        <f>IF($C4553="","",Registro_Ventas!$M$11)</f>
        <v/>
      </c>
      <c r="F4553" s="20" t="str">
        <f>""</f>
        <v/>
      </c>
      <c r="G4553" t="str">
        <f>IF($C4553="","","Detraccion retenida por el cliente")</f>
        <v/>
      </c>
      <c r="H4553" t="str">
        <f>IF($C4553="","",Registro_Ventas!$C$11)</f>
        <v/>
      </c>
    </row>
    <row r="4554" spans="1:8" x14ac:dyDescent="0.25">
      <c r="A4554" s="25" t="str">
        <f>IF($C4554="","",Registro_Ventas!$P$11)</f>
        <v/>
      </c>
      <c r="B4554" t="str">
        <f>IF($C4554="","","V"&amp;TEXT(INT((ROW()-4507)/6)+1,"000")&amp;"-2")</f>
        <v/>
      </c>
      <c r="C4554" t="str">
        <f>IF(OR(Registro_Ventas!$C$11="",Registro_Ventas!$O$11&lt;&gt;"SI"),"","12")</f>
        <v/>
      </c>
      <c r="D4554" t="str">
        <f>IF($C4554="","","Cuentas por Cobrar Comerciales - Terceros")</f>
        <v/>
      </c>
      <c r="E4554" s="20" t="str">
        <f>""</f>
        <v/>
      </c>
      <c r="F4554" s="20" t="str">
        <f>IF($C4554="","",Registro_Ventas!$I$11)</f>
        <v/>
      </c>
      <c r="G4554" t="str">
        <f>IF($C4554="","","Por la cobranza de la factura")</f>
        <v/>
      </c>
      <c r="H4554" t="str">
        <f>IF($C4554="","",Registro_Ventas!$C$11)</f>
        <v/>
      </c>
    </row>
    <row r="4555" spans="1:8" x14ac:dyDescent="0.25">
      <c r="A4555" s="25" t="str">
        <f>IF($C4555="","",Registro_Ventas!$B$12)</f>
        <v/>
      </c>
      <c r="B4555" t="str">
        <f>IF($C4555="","","V"&amp;TEXT(INT((ROW()-4507)/6)+1,"000")&amp;"-1")</f>
        <v/>
      </c>
      <c r="C4555" t="str">
        <f>IF(Registro_Ventas!$C$12="","","12")</f>
        <v/>
      </c>
      <c r="D4555" t="str">
        <f>IF($C4555="","","Cuentas por Cobrar Comerciales - Terceros")</f>
        <v/>
      </c>
      <c r="E4555" s="20" t="str">
        <f>IF($C4555="","",Registro_Ventas!$I$12)</f>
        <v/>
      </c>
      <c r="F4555" s="20" t="str">
        <f>""</f>
        <v/>
      </c>
      <c r="G4555" t="str">
        <f>IF($C4555="","","Por la venta segun comprobante a "&amp;Registro_Ventas!$E$12)</f>
        <v/>
      </c>
      <c r="H4555" t="str">
        <f>IF($C4555="","",Registro_Ventas!$C$12)</f>
        <v/>
      </c>
    </row>
    <row r="4556" spans="1:8" x14ac:dyDescent="0.25">
      <c r="A4556" s="25" t="str">
        <f>IF($C4556="","",Registro_Ventas!$B$12)</f>
        <v/>
      </c>
      <c r="B4556" t="str">
        <f>IF($C4556="","","V"&amp;TEXT(INT((ROW()-4507)/6)+1,"000")&amp;"-1")</f>
        <v/>
      </c>
      <c r="C4556" t="str">
        <f>IF(Registro_Ventas!$C$12="","","70")</f>
        <v/>
      </c>
      <c r="D4556" t="str">
        <f>IF($C4556="","","Ventas")</f>
        <v/>
      </c>
      <c r="E4556" s="20" t="str">
        <f>""</f>
        <v/>
      </c>
      <c r="F4556" s="20" t="str">
        <f>IF($C4556="","",Registro_Ventas!$G$12)</f>
        <v/>
      </c>
      <c r="G4556" t="str">
        <f>IF($C4556="","","Por la venta segun comprobante a "&amp;Registro_Ventas!$E$12)</f>
        <v/>
      </c>
      <c r="H4556" t="str">
        <f>IF($C4556="","",Registro_Ventas!$C$12)</f>
        <v/>
      </c>
    </row>
    <row r="4557" spans="1:8" x14ac:dyDescent="0.25">
      <c r="A4557" s="25" t="str">
        <f>IF($C4557="","",Registro_Ventas!$B$12)</f>
        <v/>
      </c>
      <c r="B4557" t="str">
        <f>IF($C4557="","","V"&amp;TEXT(INT((ROW()-4507)/6)+1,"000")&amp;"-1")</f>
        <v/>
      </c>
      <c r="C4557" t="str">
        <f>IF(Registro_Ventas!$C$12="","","40111")</f>
        <v/>
      </c>
      <c r="D4557" t="str">
        <f>IF($C4557="","","IGV - Cuenta Propia (Debito Fiscal)")</f>
        <v/>
      </c>
      <c r="E4557" s="20" t="str">
        <f>""</f>
        <v/>
      </c>
      <c r="F4557" s="20" t="str">
        <f>IF($C4557="","",Registro_Ventas!$H$12)</f>
        <v/>
      </c>
      <c r="G4557" t="str">
        <f>IF($C4557="","","Por la venta segun comprobante a "&amp;Registro_Ventas!$E$12)</f>
        <v/>
      </c>
      <c r="H4557" t="str">
        <f>IF($C4557="","",Registro_Ventas!$C$12)</f>
        <v/>
      </c>
    </row>
    <row r="4558" spans="1:8" x14ac:dyDescent="0.25">
      <c r="A4558" s="25" t="str">
        <f>IF($C4558="","",Registro_Ventas!$P$12)</f>
        <v/>
      </c>
      <c r="B4558" t="str">
        <f>IF($C4558="","","V"&amp;TEXT(INT((ROW()-4507)/6)+1,"000")&amp;"-2")</f>
        <v/>
      </c>
      <c r="C4558" t="str">
        <f>IF(OR(Registro_Ventas!$C$12="",Registro_Ventas!$O$12&lt;&gt;"SI"),"","1041")</f>
        <v/>
      </c>
      <c r="D4558" t="str">
        <f>IF($C4558="","","Efectivo y Equivalentes - Cta. Cte. Operativa")</f>
        <v/>
      </c>
      <c r="E4558" s="20" t="str">
        <f>IF($C4558="","",Registro_Ventas!$N$12)</f>
        <v/>
      </c>
      <c r="F4558" s="20" t="str">
        <f>""</f>
        <v/>
      </c>
      <c r="G4558" t="str">
        <f>IF($C4558="","","Por la cobranza de la factura")</f>
        <v/>
      </c>
      <c r="H4558" t="str">
        <f>IF($C4558="","",Registro_Ventas!$C$12)</f>
        <v/>
      </c>
    </row>
    <row r="4559" spans="1:8" x14ac:dyDescent="0.25">
      <c r="A4559" s="25" t="str">
        <f>IF($C4559="","",Registro_Ventas!$P$12)</f>
        <v/>
      </c>
      <c r="B4559" t="str">
        <f>IF($C4559="","","V"&amp;TEXT(INT((ROW()-4507)/6)+1,"000")&amp;"-2")</f>
        <v/>
      </c>
      <c r="C4559" t="str">
        <f>IF(OR(OR(Registro_Ventas!$C$12="",Registro_Ventas!$O$12&lt;&gt;"SI"),Registro_Ventas!$J$12&lt;&gt;"SI"),"","1049")</f>
        <v/>
      </c>
      <c r="D4559" t="str">
        <f>IF($C4559="","","Efectivo - Cuenta de Detracciones (Banco de la Nacion)")</f>
        <v/>
      </c>
      <c r="E4559" s="20" t="str">
        <f>IF($C4559="","",Registro_Ventas!$M$12)</f>
        <v/>
      </c>
      <c r="F4559" s="20" t="str">
        <f>""</f>
        <v/>
      </c>
      <c r="G4559" t="str">
        <f>IF($C4559="","","Detraccion retenida por el cliente")</f>
        <v/>
      </c>
      <c r="H4559" t="str">
        <f>IF($C4559="","",Registro_Ventas!$C$12)</f>
        <v/>
      </c>
    </row>
    <row r="4560" spans="1:8" x14ac:dyDescent="0.25">
      <c r="A4560" s="25" t="str">
        <f>IF($C4560="","",Registro_Ventas!$P$12)</f>
        <v/>
      </c>
      <c r="B4560" t="str">
        <f>IF($C4560="","","V"&amp;TEXT(INT((ROW()-4507)/6)+1,"000")&amp;"-2")</f>
        <v/>
      </c>
      <c r="C4560" t="str">
        <f>IF(OR(Registro_Ventas!$C$12="",Registro_Ventas!$O$12&lt;&gt;"SI"),"","12")</f>
        <v/>
      </c>
      <c r="D4560" t="str">
        <f>IF($C4560="","","Cuentas por Cobrar Comerciales - Terceros")</f>
        <v/>
      </c>
      <c r="E4560" s="20" t="str">
        <f>""</f>
        <v/>
      </c>
      <c r="F4560" s="20" t="str">
        <f>IF($C4560="","",Registro_Ventas!$I$12)</f>
        <v/>
      </c>
      <c r="G4560" t="str">
        <f>IF($C4560="","","Por la cobranza de la factura")</f>
        <v/>
      </c>
      <c r="H4560" t="str">
        <f>IF($C4560="","",Registro_Ventas!$C$12)</f>
        <v/>
      </c>
    </row>
    <row r="4561" spans="1:8" x14ac:dyDescent="0.25">
      <c r="A4561" s="25" t="str">
        <f>IF($C4561="","",Registro_Ventas!$B$13)</f>
        <v/>
      </c>
      <c r="B4561" t="str">
        <f>IF($C4561="","","V"&amp;TEXT(INT((ROW()-4507)/6)+1,"000")&amp;"-1")</f>
        <v/>
      </c>
      <c r="C4561" t="str">
        <f>IF(Registro_Ventas!$C$13="","","12")</f>
        <v/>
      </c>
      <c r="D4561" t="str">
        <f>IF($C4561="","","Cuentas por Cobrar Comerciales - Terceros")</f>
        <v/>
      </c>
      <c r="E4561" s="20" t="str">
        <f>IF($C4561="","",Registro_Ventas!$I$13)</f>
        <v/>
      </c>
      <c r="F4561" s="20" t="str">
        <f>""</f>
        <v/>
      </c>
      <c r="G4561" t="str">
        <f>IF($C4561="","","Por la venta segun comprobante a "&amp;Registro_Ventas!$E$13)</f>
        <v/>
      </c>
      <c r="H4561" t="str">
        <f>IF($C4561="","",Registro_Ventas!$C$13)</f>
        <v/>
      </c>
    </row>
    <row r="4562" spans="1:8" x14ac:dyDescent="0.25">
      <c r="A4562" s="25" t="str">
        <f>IF($C4562="","",Registro_Ventas!$B$13)</f>
        <v/>
      </c>
      <c r="B4562" t="str">
        <f>IF($C4562="","","V"&amp;TEXT(INT((ROW()-4507)/6)+1,"000")&amp;"-1")</f>
        <v/>
      </c>
      <c r="C4562" t="str">
        <f>IF(Registro_Ventas!$C$13="","","70")</f>
        <v/>
      </c>
      <c r="D4562" t="str">
        <f>IF($C4562="","","Ventas")</f>
        <v/>
      </c>
      <c r="E4562" s="20" t="str">
        <f>""</f>
        <v/>
      </c>
      <c r="F4562" s="20" t="str">
        <f>IF($C4562="","",Registro_Ventas!$G$13)</f>
        <v/>
      </c>
      <c r="G4562" t="str">
        <f>IF($C4562="","","Por la venta segun comprobante a "&amp;Registro_Ventas!$E$13)</f>
        <v/>
      </c>
      <c r="H4562" t="str">
        <f>IF($C4562="","",Registro_Ventas!$C$13)</f>
        <v/>
      </c>
    </row>
    <row r="4563" spans="1:8" x14ac:dyDescent="0.25">
      <c r="A4563" s="25" t="str">
        <f>IF($C4563="","",Registro_Ventas!$B$13)</f>
        <v/>
      </c>
      <c r="B4563" t="str">
        <f>IF($C4563="","","V"&amp;TEXT(INT((ROW()-4507)/6)+1,"000")&amp;"-1")</f>
        <v/>
      </c>
      <c r="C4563" t="str">
        <f>IF(Registro_Ventas!$C$13="","","40111")</f>
        <v/>
      </c>
      <c r="D4563" t="str">
        <f>IF($C4563="","","IGV - Cuenta Propia (Debito Fiscal)")</f>
        <v/>
      </c>
      <c r="E4563" s="20" t="str">
        <f>""</f>
        <v/>
      </c>
      <c r="F4563" s="20" t="str">
        <f>IF($C4563="","",Registro_Ventas!$H$13)</f>
        <v/>
      </c>
      <c r="G4563" t="str">
        <f>IF($C4563="","","Por la venta segun comprobante a "&amp;Registro_Ventas!$E$13)</f>
        <v/>
      </c>
      <c r="H4563" t="str">
        <f>IF($C4563="","",Registro_Ventas!$C$13)</f>
        <v/>
      </c>
    </row>
    <row r="4564" spans="1:8" x14ac:dyDescent="0.25">
      <c r="A4564" s="25" t="str">
        <f>IF($C4564="","",Registro_Ventas!$P$13)</f>
        <v/>
      </c>
      <c r="B4564" t="str">
        <f>IF($C4564="","","V"&amp;TEXT(INT((ROW()-4507)/6)+1,"000")&amp;"-2")</f>
        <v/>
      </c>
      <c r="C4564" t="str">
        <f>IF(OR(Registro_Ventas!$C$13="",Registro_Ventas!$O$13&lt;&gt;"SI"),"","1041")</f>
        <v/>
      </c>
      <c r="D4564" t="str">
        <f>IF($C4564="","","Efectivo y Equivalentes - Cta. Cte. Operativa")</f>
        <v/>
      </c>
      <c r="E4564" s="20" t="str">
        <f>IF($C4564="","",Registro_Ventas!$N$13)</f>
        <v/>
      </c>
      <c r="F4564" s="20" t="str">
        <f>""</f>
        <v/>
      </c>
      <c r="G4564" t="str">
        <f>IF($C4564="","","Por la cobranza de la factura")</f>
        <v/>
      </c>
      <c r="H4564" t="str">
        <f>IF($C4564="","",Registro_Ventas!$C$13)</f>
        <v/>
      </c>
    </row>
    <row r="4565" spans="1:8" x14ac:dyDescent="0.25">
      <c r="A4565" s="25" t="str">
        <f>IF($C4565="","",Registro_Ventas!$P$13)</f>
        <v/>
      </c>
      <c r="B4565" t="str">
        <f>IF($C4565="","","V"&amp;TEXT(INT((ROW()-4507)/6)+1,"000")&amp;"-2")</f>
        <v/>
      </c>
      <c r="C4565" t="str">
        <f>IF(OR(OR(Registro_Ventas!$C$13="",Registro_Ventas!$O$13&lt;&gt;"SI"),Registro_Ventas!$J$13&lt;&gt;"SI"),"","1049")</f>
        <v/>
      </c>
      <c r="D4565" t="str">
        <f>IF($C4565="","","Efectivo - Cuenta de Detracciones (Banco de la Nacion)")</f>
        <v/>
      </c>
      <c r="E4565" s="20" t="str">
        <f>IF($C4565="","",Registro_Ventas!$M$13)</f>
        <v/>
      </c>
      <c r="F4565" s="20" t="str">
        <f>""</f>
        <v/>
      </c>
      <c r="G4565" t="str">
        <f>IF($C4565="","","Detraccion retenida por el cliente")</f>
        <v/>
      </c>
      <c r="H4565" t="str">
        <f>IF($C4565="","",Registro_Ventas!$C$13)</f>
        <v/>
      </c>
    </row>
    <row r="4566" spans="1:8" x14ac:dyDescent="0.25">
      <c r="A4566" s="25" t="str">
        <f>IF($C4566="","",Registro_Ventas!$P$13)</f>
        <v/>
      </c>
      <c r="B4566" t="str">
        <f>IF($C4566="","","V"&amp;TEXT(INT((ROW()-4507)/6)+1,"000")&amp;"-2")</f>
        <v/>
      </c>
      <c r="C4566" t="str">
        <f>IF(OR(Registro_Ventas!$C$13="",Registro_Ventas!$O$13&lt;&gt;"SI"),"","12")</f>
        <v/>
      </c>
      <c r="D4566" t="str">
        <f>IF($C4566="","","Cuentas por Cobrar Comerciales - Terceros")</f>
        <v/>
      </c>
      <c r="E4566" s="20" t="str">
        <f>""</f>
        <v/>
      </c>
      <c r="F4566" s="20" t="str">
        <f>IF($C4566="","",Registro_Ventas!$I$13)</f>
        <v/>
      </c>
      <c r="G4566" t="str">
        <f>IF($C4566="","","Por la cobranza de la factura")</f>
        <v/>
      </c>
      <c r="H4566" t="str">
        <f>IF($C4566="","",Registro_Ventas!$C$13)</f>
        <v/>
      </c>
    </row>
    <row r="4567" spans="1:8" x14ac:dyDescent="0.25">
      <c r="A4567" s="25" t="str">
        <f>IF($C4567="","",Registro_Ventas!$B$14)</f>
        <v/>
      </c>
      <c r="B4567" t="str">
        <f>IF($C4567="","","V"&amp;TEXT(INT((ROW()-4507)/6)+1,"000")&amp;"-1")</f>
        <v/>
      </c>
      <c r="C4567" t="str">
        <f>IF(Registro_Ventas!$C$14="","","12")</f>
        <v/>
      </c>
      <c r="D4567" t="str">
        <f>IF($C4567="","","Cuentas por Cobrar Comerciales - Terceros")</f>
        <v/>
      </c>
      <c r="E4567" s="20" t="str">
        <f>IF($C4567="","",Registro_Ventas!$I$14)</f>
        <v/>
      </c>
      <c r="F4567" s="20" t="str">
        <f>""</f>
        <v/>
      </c>
      <c r="G4567" t="str">
        <f>IF($C4567="","","Por la venta segun comprobante a "&amp;Registro_Ventas!$E$14)</f>
        <v/>
      </c>
      <c r="H4567" t="str">
        <f>IF($C4567="","",Registro_Ventas!$C$14)</f>
        <v/>
      </c>
    </row>
    <row r="4568" spans="1:8" x14ac:dyDescent="0.25">
      <c r="A4568" s="25" t="str">
        <f>IF($C4568="","",Registro_Ventas!$B$14)</f>
        <v/>
      </c>
      <c r="B4568" t="str">
        <f>IF($C4568="","","V"&amp;TEXT(INT((ROW()-4507)/6)+1,"000")&amp;"-1")</f>
        <v/>
      </c>
      <c r="C4568" t="str">
        <f>IF(Registro_Ventas!$C$14="","","70")</f>
        <v/>
      </c>
      <c r="D4568" t="str">
        <f>IF($C4568="","","Ventas")</f>
        <v/>
      </c>
      <c r="E4568" s="20" t="str">
        <f>""</f>
        <v/>
      </c>
      <c r="F4568" s="20" t="str">
        <f>IF($C4568="","",Registro_Ventas!$G$14)</f>
        <v/>
      </c>
      <c r="G4568" t="str">
        <f>IF($C4568="","","Por la venta segun comprobante a "&amp;Registro_Ventas!$E$14)</f>
        <v/>
      </c>
      <c r="H4568" t="str">
        <f>IF($C4568="","",Registro_Ventas!$C$14)</f>
        <v/>
      </c>
    </row>
    <row r="4569" spans="1:8" x14ac:dyDescent="0.25">
      <c r="A4569" s="25" t="str">
        <f>IF($C4569="","",Registro_Ventas!$B$14)</f>
        <v/>
      </c>
      <c r="B4569" t="str">
        <f>IF($C4569="","","V"&amp;TEXT(INT((ROW()-4507)/6)+1,"000")&amp;"-1")</f>
        <v/>
      </c>
      <c r="C4569" t="str">
        <f>IF(Registro_Ventas!$C$14="","","40111")</f>
        <v/>
      </c>
      <c r="D4569" t="str">
        <f>IF($C4569="","","IGV - Cuenta Propia (Debito Fiscal)")</f>
        <v/>
      </c>
      <c r="E4569" s="20" t="str">
        <f>""</f>
        <v/>
      </c>
      <c r="F4569" s="20" t="str">
        <f>IF($C4569="","",Registro_Ventas!$H$14)</f>
        <v/>
      </c>
      <c r="G4569" t="str">
        <f>IF($C4569="","","Por la venta segun comprobante a "&amp;Registro_Ventas!$E$14)</f>
        <v/>
      </c>
      <c r="H4569" t="str">
        <f>IF($C4569="","",Registro_Ventas!$C$14)</f>
        <v/>
      </c>
    </row>
    <row r="4570" spans="1:8" x14ac:dyDescent="0.25">
      <c r="A4570" s="25" t="str">
        <f>IF($C4570="","",Registro_Ventas!$P$14)</f>
        <v/>
      </c>
      <c r="B4570" t="str">
        <f>IF($C4570="","","V"&amp;TEXT(INT((ROW()-4507)/6)+1,"000")&amp;"-2")</f>
        <v/>
      </c>
      <c r="C4570" t="str">
        <f>IF(OR(Registro_Ventas!$C$14="",Registro_Ventas!$O$14&lt;&gt;"SI"),"","1041")</f>
        <v/>
      </c>
      <c r="D4570" t="str">
        <f>IF($C4570="","","Efectivo y Equivalentes - Cta. Cte. Operativa")</f>
        <v/>
      </c>
      <c r="E4570" s="20" t="str">
        <f>IF($C4570="","",Registro_Ventas!$N$14)</f>
        <v/>
      </c>
      <c r="F4570" s="20" t="str">
        <f>""</f>
        <v/>
      </c>
      <c r="G4570" t="str">
        <f>IF($C4570="","","Por la cobranza de la factura")</f>
        <v/>
      </c>
      <c r="H4570" t="str">
        <f>IF($C4570="","",Registro_Ventas!$C$14)</f>
        <v/>
      </c>
    </row>
    <row r="4571" spans="1:8" x14ac:dyDescent="0.25">
      <c r="A4571" s="25" t="str">
        <f>IF($C4571="","",Registro_Ventas!$P$14)</f>
        <v/>
      </c>
      <c r="B4571" t="str">
        <f>IF($C4571="","","V"&amp;TEXT(INT((ROW()-4507)/6)+1,"000")&amp;"-2")</f>
        <v/>
      </c>
      <c r="C4571" t="str">
        <f>IF(OR(OR(Registro_Ventas!$C$14="",Registro_Ventas!$O$14&lt;&gt;"SI"),Registro_Ventas!$J$14&lt;&gt;"SI"),"","1049")</f>
        <v/>
      </c>
      <c r="D4571" t="str">
        <f>IF($C4571="","","Efectivo - Cuenta de Detracciones (Banco de la Nacion)")</f>
        <v/>
      </c>
      <c r="E4571" s="20" t="str">
        <f>IF($C4571="","",Registro_Ventas!$M$14)</f>
        <v/>
      </c>
      <c r="F4571" s="20" t="str">
        <f>""</f>
        <v/>
      </c>
      <c r="G4571" t="str">
        <f>IF($C4571="","","Detraccion retenida por el cliente")</f>
        <v/>
      </c>
      <c r="H4571" t="str">
        <f>IF($C4571="","",Registro_Ventas!$C$14)</f>
        <v/>
      </c>
    </row>
    <row r="4572" spans="1:8" x14ac:dyDescent="0.25">
      <c r="A4572" s="25" t="str">
        <f>IF($C4572="","",Registro_Ventas!$P$14)</f>
        <v/>
      </c>
      <c r="B4572" t="str">
        <f>IF($C4572="","","V"&amp;TEXT(INT((ROW()-4507)/6)+1,"000")&amp;"-2")</f>
        <v/>
      </c>
      <c r="C4572" t="str">
        <f>IF(OR(Registro_Ventas!$C$14="",Registro_Ventas!$O$14&lt;&gt;"SI"),"","12")</f>
        <v/>
      </c>
      <c r="D4572" t="str">
        <f>IF($C4572="","","Cuentas por Cobrar Comerciales - Terceros")</f>
        <v/>
      </c>
      <c r="E4572" s="20" t="str">
        <f>""</f>
        <v/>
      </c>
      <c r="F4572" s="20" t="str">
        <f>IF($C4572="","",Registro_Ventas!$I$14)</f>
        <v/>
      </c>
      <c r="G4572" t="str">
        <f>IF($C4572="","","Por la cobranza de la factura")</f>
        <v/>
      </c>
      <c r="H4572" t="str">
        <f>IF($C4572="","",Registro_Ventas!$C$14)</f>
        <v/>
      </c>
    </row>
    <row r="4573" spans="1:8" x14ac:dyDescent="0.25">
      <c r="A4573" s="25" t="str">
        <f>IF($C4573="","",Registro_Ventas!$B$15)</f>
        <v/>
      </c>
      <c r="B4573" t="str">
        <f>IF($C4573="","","V"&amp;TEXT(INT((ROW()-4507)/6)+1,"000")&amp;"-1")</f>
        <v/>
      </c>
      <c r="C4573" t="str">
        <f>IF(Registro_Ventas!$C$15="","","12")</f>
        <v/>
      </c>
      <c r="D4573" t="str">
        <f>IF($C4573="","","Cuentas por Cobrar Comerciales - Terceros")</f>
        <v/>
      </c>
      <c r="E4573" s="20" t="str">
        <f>IF($C4573="","",Registro_Ventas!$I$15)</f>
        <v/>
      </c>
      <c r="F4573" s="20" t="str">
        <f>""</f>
        <v/>
      </c>
      <c r="G4573" t="str">
        <f>IF($C4573="","","Por la venta segun comprobante a "&amp;Registro_Ventas!$E$15)</f>
        <v/>
      </c>
      <c r="H4573" t="str">
        <f>IF($C4573="","",Registro_Ventas!$C$15)</f>
        <v/>
      </c>
    </row>
    <row r="4574" spans="1:8" x14ac:dyDescent="0.25">
      <c r="A4574" s="25" t="str">
        <f>IF($C4574="","",Registro_Ventas!$B$15)</f>
        <v/>
      </c>
      <c r="B4574" t="str">
        <f>IF($C4574="","","V"&amp;TEXT(INT((ROW()-4507)/6)+1,"000")&amp;"-1")</f>
        <v/>
      </c>
      <c r="C4574" t="str">
        <f>IF(Registro_Ventas!$C$15="","","70")</f>
        <v/>
      </c>
      <c r="D4574" t="str">
        <f>IF($C4574="","","Ventas")</f>
        <v/>
      </c>
      <c r="E4574" s="20" t="str">
        <f>""</f>
        <v/>
      </c>
      <c r="F4574" s="20" t="str">
        <f>IF($C4574="","",Registro_Ventas!$G$15)</f>
        <v/>
      </c>
      <c r="G4574" t="str">
        <f>IF($C4574="","","Por la venta segun comprobante a "&amp;Registro_Ventas!$E$15)</f>
        <v/>
      </c>
      <c r="H4574" t="str">
        <f>IF($C4574="","",Registro_Ventas!$C$15)</f>
        <v/>
      </c>
    </row>
    <row r="4575" spans="1:8" x14ac:dyDescent="0.25">
      <c r="A4575" s="25" t="str">
        <f>IF($C4575="","",Registro_Ventas!$B$15)</f>
        <v/>
      </c>
      <c r="B4575" t="str">
        <f>IF($C4575="","","V"&amp;TEXT(INT((ROW()-4507)/6)+1,"000")&amp;"-1")</f>
        <v/>
      </c>
      <c r="C4575" t="str">
        <f>IF(Registro_Ventas!$C$15="","","40111")</f>
        <v/>
      </c>
      <c r="D4575" t="str">
        <f>IF($C4575="","","IGV - Cuenta Propia (Debito Fiscal)")</f>
        <v/>
      </c>
      <c r="E4575" s="20" t="str">
        <f>""</f>
        <v/>
      </c>
      <c r="F4575" s="20" t="str">
        <f>IF($C4575="","",Registro_Ventas!$H$15)</f>
        <v/>
      </c>
      <c r="G4575" t="str">
        <f>IF($C4575="","","Por la venta segun comprobante a "&amp;Registro_Ventas!$E$15)</f>
        <v/>
      </c>
      <c r="H4575" t="str">
        <f>IF($C4575="","",Registro_Ventas!$C$15)</f>
        <v/>
      </c>
    </row>
    <row r="4576" spans="1:8" x14ac:dyDescent="0.25">
      <c r="A4576" s="25" t="str">
        <f>IF($C4576="","",Registro_Ventas!$P$15)</f>
        <v/>
      </c>
      <c r="B4576" t="str">
        <f>IF($C4576="","","V"&amp;TEXT(INT((ROW()-4507)/6)+1,"000")&amp;"-2")</f>
        <v/>
      </c>
      <c r="C4576" t="str">
        <f>IF(OR(Registro_Ventas!$C$15="",Registro_Ventas!$O$15&lt;&gt;"SI"),"","1041")</f>
        <v/>
      </c>
      <c r="D4576" t="str">
        <f>IF($C4576="","","Efectivo y Equivalentes - Cta. Cte. Operativa")</f>
        <v/>
      </c>
      <c r="E4576" s="20" t="str">
        <f>IF($C4576="","",Registro_Ventas!$N$15)</f>
        <v/>
      </c>
      <c r="F4576" s="20" t="str">
        <f>""</f>
        <v/>
      </c>
      <c r="G4576" t="str">
        <f>IF($C4576="","","Por la cobranza de la factura")</f>
        <v/>
      </c>
      <c r="H4576" t="str">
        <f>IF($C4576="","",Registro_Ventas!$C$15)</f>
        <v/>
      </c>
    </row>
    <row r="4577" spans="1:8" x14ac:dyDescent="0.25">
      <c r="A4577" s="25" t="str">
        <f>IF($C4577="","",Registro_Ventas!$P$15)</f>
        <v/>
      </c>
      <c r="B4577" t="str">
        <f>IF($C4577="","","V"&amp;TEXT(INT((ROW()-4507)/6)+1,"000")&amp;"-2")</f>
        <v/>
      </c>
      <c r="C4577" t="str">
        <f>IF(OR(OR(Registro_Ventas!$C$15="",Registro_Ventas!$O$15&lt;&gt;"SI"),Registro_Ventas!$J$15&lt;&gt;"SI"),"","1049")</f>
        <v/>
      </c>
      <c r="D4577" t="str">
        <f>IF($C4577="","","Efectivo - Cuenta de Detracciones (Banco de la Nacion)")</f>
        <v/>
      </c>
      <c r="E4577" s="20" t="str">
        <f>IF($C4577="","",Registro_Ventas!$M$15)</f>
        <v/>
      </c>
      <c r="F4577" s="20" t="str">
        <f>""</f>
        <v/>
      </c>
      <c r="G4577" t="str">
        <f>IF($C4577="","","Detraccion retenida por el cliente")</f>
        <v/>
      </c>
      <c r="H4577" t="str">
        <f>IF($C4577="","",Registro_Ventas!$C$15)</f>
        <v/>
      </c>
    </row>
    <row r="4578" spans="1:8" x14ac:dyDescent="0.25">
      <c r="A4578" s="25" t="str">
        <f>IF($C4578="","",Registro_Ventas!$P$15)</f>
        <v/>
      </c>
      <c r="B4578" t="str">
        <f>IF($C4578="","","V"&amp;TEXT(INT((ROW()-4507)/6)+1,"000")&amp;"-2")</f>
        <v/>
      </c>
      <c r="C4578" t="str">
        <f>IF(OR(Registro_Ventas!$C$15="",Registro_Ventas!$O$15&lt;&gt;"SI"),"","12")</f>
        <v/>
      </c>
      <c r="D4578" t="str">
        <f>IF($C4578="","","Cuentas por Cobrar Comerciales - Terceros")</f>
        <v/>
      </c>
      <c r="E4578" s="20" t="str">
        <f>""</f>
        <v/>
      </c>
      <c r="F4578" s="20" t="str">
        <f>IF($C4578="","",Registro_Ventas!$I$15)</f>
        <v/>
      </c>
      <c r="G4578" t="str">
        <f>IF($C4578="","","Por la cobranza de la factura")</f>
        <v/>
      </c>
      <c r="H4578" t="str">
        <f>IF($C4578="","",Registro_Ventas!$C$15)</f>
        <v/>
      </c>
    </row>
    <row r="4579" spans="1:8" x14ac:dyDescent="0.25">
      <c r="A4579" s="25" t="str">
        <f>IF($C4579="","",Registro_Ventas!$B$16)</f>
        <v/>
      </c>
      <c r="B4579" t="str">
        <f>IF($C4579="","","V"&amp;TEXT(INT((ROW()-4507)/6)+1,"000")&amp;"-1")</f>
        <v/>
      </c>
      <c r="C4579" t="str">
        <f>IF(Registro_Ventas!$C$16="","","12")</f>
        <v/>
      </c>
      <c r="D4579" t="str">
        <f>IF($C4579="","","Cuentas por Cobrar Comerciales - Terceros")</f>
        <v/>
      </c>
      <c r="E4579" s="20" t="str">
        <f>IF($C4579="","",Registro_Ventas!$I$16)</f>
        <v/>
      </c>
      <c r="F4579" s="20" t="str">
        <f>""</f>
        <v/>
      </c>
      <c r="G4579" t="str">
        <f>IF($C4579="","","Por la venta segun comprobante a "&amp;Registro_Ventas!$E$16)</f>
        <v/>
      </c>
      <c r="H4579" t="str">
        <f>IF($C4579="","",Registro_Ventas!$C$16)</f>
        <v/>
      </c>
    </row>
    <row r="4580" spans="1:8" x14ac:dyDescent="0.25">
      <c r="A4580" s="25" t="str">
        <f>IF($C4580="","",Registro_Ventas!$B$16)</f>
        <v/>
      </c>
      <c r="B4580" t="str">
        <f>IF($C4580="","","V"&amp;TEXT(INT((ROW()-4507)/6)+1,"000")&amp;"-1")</f>
        <v/>
      </c>
      <c r="C4580" t="str">
        <f>IF(Registro_Ventas!$C$16="","","70")</f>
        <v/>
      </c>
      <c r="D4580" t="str">
        <f>IF($C4580="","","Ventas")</f>
        <v/>
      </c>
      <c r="E4580" s="20" t="str">
        <f>""</f>
        <v/>
      </c>
      <c r="F4580" s="20" t="str">
        <f>IF($C4580="","",Registro_Ventas!$G$16)</f>
        <v/>
      </c>
      <c r="G4580" t="str">
        <f>IF($C4580="","","Por la venta segun comprobante a "&amp;Registro_Ventas!$E$16)</f>
        <v/>
      </c>
      <c r="H4580" t="str">
        <f>IF($C4580="","",Registro_Ventas!$C$16)</f>
        <v/>
      </c>
    </row>
    <row r="4581" spans="1:8" x14ac:dyDescent="0.25">
      <c r="A4581" s="25" t="str">
        <f>IF($C4581="","",Registro_Ventas!$B$16)</f>
        <v/>
      </c>
      <c r="B4581" t="str">
        <f>IF($C4581="","","V"&amp;TEXT(INT((ROW()-4507)/6)+1,"000")&amp;"-1")</f>
        <v/>
      </c>
      <c r="C4581" t="str">
        <f>IF(Registro_Ventas!$C$16="","","40111")</f>
        <v/>
      </c>
      <c r="D4581" t="str">
        <f>IF($C4581="","","IGV - Cuenta Propia (Debito Fiscal)")</f>
        <v/>
      </c>
      <c r="E4581" s="20" t="str">
        <f>""</f>
        <v/>
      </c>
      <c r="F4581" s="20" t="str">
        <f>IF($C4581="","",Registro_Ventas!$H$16)</f>
        <v/>
      </c>
      <c r="G4581" t="str">
        <f>IF($C4581="","","Por la venta segun comprobante a "&amp;Registro_Ventas!$E$16)</f>
        <v/>
      </c>
      <c r="H4581" t="str">
        <f>IF($C4581="","",Registro_Ventas!$C$16)</f>
        <v/>
      </c>
    </row>
    <row r="4582" spans="1:8" x14ac:dyDescent="0.25">
      <c r="A4582" s="25" t="str">
        <f>IF($C4582="","",Registro_Ventas!$P$16)</f>
        <v/>
      </c>
      <c r="B4582" t="str">
        <f>IF($C4582="","","V"&amp;TEXT(INT((ROW()-4507)/6)+1,"000")&amp;"-2")</f>
        <v/>
      </c>
      <c r="C4582" t="str">
        <f>IF(OR(Registro_Ventas!$C$16="",Registro_Ventas!$O$16&lt;&gt;"SI"),"","1041")</f>
        <v/>
      </c>
      <c r="D4582" t="str">
        <f>IF($C4582="","","Efectivo y Equivalentes - Cta. Cte. Operativa")</f>
        <v/>
      </c>
      <c r="E4582" s="20" t="str">
        <f>IF($C4582="","",Registro_Ventas!$N$16)</f>
        <v/>
      </c>
      <c r="F4582" s="20" t="str">
        <f>""</f>
        <v/>
      </c>
      <c r="G4582" t="str">
        <f>IF($C4582="","","Por la cobranza de la factura")</f>
        <v/>
      </c>
      <c r="H4582" t="str">
        <f>IF($C4582="","",Registro_Ventas!$C$16)</f>
        <v/>
      </c>
    </row>
    <row r="4583" spans="1:8" x14ac:dyDescent="0.25">
      <c r="A4583" s="25" t="str">
        <f>IF($C4583="","",Registro_Ventas!$P$16)</f>
        <v/>
      </c>
      <c r="B4583" t="str">
        <f>IF($C4583="","","V"&amp;TEXT(INT((ROW()-4507)/6)+1,"000")&amp;"-2")</f>
        <v/>
      </c>
      <c r="C4583" t="str">
        <f>IF(OR(OR(Registro_Ventas!$C$16="",Registro_Ventas!$O$16&lt;&gt;"SI"),Registro_Ventas!$J$16&lt;&gt;"SI"),"","1049")</f>
        <v/>
      </c>
      <c r="D4583" t="str">
        <f>IF($C4583="","","Efectivo - Cuenta de Detracciones (Banco de la Nacion)")</f>
        <v/>
      </c>
      <c r="E4583" s="20" t="str">
        <f>IF($C4583="","",Registro_Ventas!$M$16)</f>
        <v/>
      </c>
      <c r="F4583" s="20" t="str">
        <f>""</f>
        <v/>
      </c>
      <c r="G4583" t="str">
        <f>IF($C4583="","","Detraccion retenida por el cliente")</f>
        <v/>
      </c>
      <c r="H4583" t="str">
        <f>IF($C4583="","",Registro_Ventas!$C$16)</f>
        <v/>
      </c>
    </row>
    <row r="4584" spans="1:8" x14ac:dyDescent="0.25">
      <c r="A4584" s="25" t="str">
        <f>IF($C4584="","",Registro_Ventas!$P$16)</f>
        <v/>
      </c>
      <c r="B4584" t="str">
        <f>IF($C4584="","","V"&amp;TEXT(INT((ROW()-4507)/6)+1,"000")&amp;"-2")</f>
        <v/>
      </c>
      <c r="C4584" t="str">
        <f>IF(OR(Registro_Ventas!$C$16="",Registro_Ventas!$O$16&lt;&gt;"SI"),"","12")</f>
        <v/>
      </c>
      <c r="D4584" t="str">
        <f>IF($C4584="","","Cuentas por Cobrar Comerciales - Terceros")</f>
        <v/>
      </c>
      <c r="E4584" s="20" t="str">
        <f>""</f>
        <v/>
      </c>
      <c r="F4584" s="20" t="str">
        <f>IF($C4584="","",Registro_Ventas!$I$16)</f>
        <v/>
      </c>
      <c r="G4584" t="str">
        <f>IF($C4584="","","Por la cobranza de la factura")</f>
        <v/>
      </c>
      <c r="H4584" t="str">
        <f>IF($C4584="","",Registro_Ventas!$C$16)</f>
        <v/>
      </c>
    </row>
    <row r="4585" spans="1:8" x14ac:dyDescent="0.25">
      <c r="A4585" s="25" t="str">
        <f>IF($C4585="","",Registro_Ventas!$B$17)</f>
        <v/>
      </c>
      <c r="B4585" t="str">
        <f>IF($C4585="","","V"&amp;TEXT(INT((ROW()-4507)/6)+1,"000")&amp;"-1")</f>
        <v/>
      </c>
      <c r="C4585" t="str">
        <f>IF(Registro_Ventas!$C$17="","","12")</f>
        <v/>
      </c>
      <c r="D4585" t="str">
        <f>IF($C4585="","","Cuentas por Cobrar Comerciales - Terceros")</f>
        <v/>
      </c>
      <c r="E4585" s="20" t="str">
        <f>IF($C4585="","",Registro_Ventas!$I$17)</f>
        <v/>
      </c>
      <c r="F4585" s="20" t="str">
        <f>""</f>
        <v/>
      </c>
      <c r="G4585" t="str">
        <f>IF($C4585="","","Por la venta segun comprobante a "&amp;Registro_Ventas!$E$17)</f>
        <v/>
      </c>
      <c r="H4585" t="str">
        <f>IF($C4585="","",Registro_Ventas!$C$17)</f>
        <v/>
      </c>
    </row>
    <row r="4586" spans="1:8" x14ac:dyDescent="0.25">
      <c r="A4586" s="25" t="str">
        <f>IF($C4586="","",Registro_Ventas!$B$17)</f>
        <v/>
      </c>
      <c r="B4586" t="str">
        <f>IF($C4586="","","V"&amp;TEXT(INT((ROW()-4507)/6)+1,"000")&amp;"-1")</f>
        <v/>
      </c>
      <c r="C4586" t="str">
        <f>IF(Registro_Ventas!$C$17="","","70")</f>
        <v/>
      </c>
      <c r="D4586" t="str">
        <f>IF($C4586="","","Ventas")</f>
        <v/>
      </c>
      <c r="E4586" s="20" t="str">
        <f>""</f>
        <v/>
      </c>
      <c r="F4586" s="20" t="str">
        <f>IF($C4586="","",Registro_Ventas!$G$17)</f>
        <v/>
      </c>
      <c r="G4586" t="str">
        <f>IF($C4586="","","Por la venta segun comprobante a "&amp;Registro_Ventas!$E$17)</f>
        <v/>
      </c>
      <c r="H4586" t="str">
        <f>IF($C4586="","",Registro_Ventas!$C$17)</f>
        <v/>
      </c>
    </row>
    <row r="4587" spans="1:8" x14ac:dyDescent="0.25">
      <c r="A4587" s="25" t="str">
        <f>IF($C4587="","",Registro_Ventas!$B$17)</f>
        <v/>
      </c>
      <c r="B4587" t="str">
        <f>IF($C4587="","","V"&amp;TEXT(INT((ROW()-4507)/6)+1,"000")&amp;"-1")</f>
        <v/>
      </c>
      <c r="C4587" t="str">
        <f>IF(Registro_Ventas!$C$17="","","40111")</f>
        <v/>
      </c>
      <c r="D4587" t="str">
        <f>IF($C4587="","","IGV - Cuenta Propia (Debito Fiscal)")</f>
        <v/>
      </c>
      <c r="E4587" s="20" t="str">
        <f>""</f>
        <v/>
      </c>
      <c r="F4587" s="20" t="str">
        <f>IF($C4587="","",Registro_Ventas!$H$17)</f>
        <v/>
      </c>
      <c r="G4587" t="str">
        <f>IF($C4587="","","Por la venta segun comprobante a "&amp;Registro_Ventas!$E$17)</f>
        <v/>
      </c>
      <c r="H4587" t="str">
        <f>IF($C4587="","",Registro_Ventas!$C$17)</f>
        <v/>
      </c>
    </row>
    <row r="4588" spans="1:8" x14ac:dyDescent="0.25">
      <c r="A4588" s="25" t="str">
        <f>IF($C4588="","",Registro_Ventas!$P$17)</f>
        <v/>
      </c>
      <c r="B4588" t="str">
        <f>IF($C4588="","","V"&amp;TEXT(INT((ROW()-4507)/6)+1,"000")&amp;"-2")</f>
        <v/>
      </c>
      <c r="C4588" t="str">
        <f>IF(OR(Registro_Ventas!$C$17="",Registro_Ventas!$O$17&lt;&gt;"SI"),"","1041")</f>
        <v/>
      </c>
      <c r="D4588" t="str">
        <f>IF($C4588="","","Efectivo y Equivalentes - Cta. Cte. Operativa")</f>
        <v/>
      </c>
      <c r="E4588" s="20" t="str">
        <f>IF($C4588="","",Registro_Ventas!$N$17)</f>
        <v/>
      </c>
      <c r="F4588" s="20" t="str">
        <f>""</f>
        <v/>
      </c>
      <c r="G4588" t="str">
        <f>IF($C4588="","","Por la cobranza de la factura")</f>
        <v/>
      </c>
      <c r="H4588" t="str">
        <f>IF($C4588="","",Registro_Ventas!$C$17)</f>
        <v/>
      </c>
    </row>
    <row r="4589" spans="1:8" x14ac:dyDescent="0.25">
      <c r="A4589" s="25" t="str">
        <f>IF($C4589="","",Registro_Ventas!$P$17)</f>
        <v/>
      </c>
      <c r="B4589" t="str">
        <f>IF($C4589="","","V"&amp;TEXT(INT((ROW()-4507)/6)+1,"000")&amp;"-2")</f>
        <v/>
      </c>
      <c r="C4589" t="str">
        <f>IF(OR(OR(Registro_Ventas!$C$17="",Registro_Ventas!$O$17&lt;&gt;"SI"),Registro_Ventas!$J$17&lt;&gt;"SI"),"","1049")</f>
        <v/>
      </c>
      <c r="D4589" t="str">
        <f>IF($C4589="","","Efectivo - Cuenta de Detracciones (Banco de la Nacion)")</f>
        <v/>
      </c>
      <c r="E4589" s="20" t="str">
        <f>IF($C4589="","",Registro_Ventas!$M$17)</f>
        <v/>
      </c>
      <c r="F4589" s="20" t="str">
        <f>""</f>
        <v/>
      </c>
      <c r="G4589" t="str">
        <f>IF($C4589="","","Detraccion retenida por el cliente")</f>
        <v/>
      </c>
      <c r="H4589" t="str">
        <f>IF($C4589="","",Registro_Ventas!$C$17)</f>
        <v/>
      </c>
    </row>
    <row r="4590" spans="1:8" x14ac:dyDescent="0.25">
      <c r="A4590" s="25" t="str">
        <f>IF($C4590="","",Registro_Ventas!$P$17)</f>
        <v/>
      </c>
      <c r="B4590" t="str">
        <f>IF($C4590="","","V"&amp;TEXT(INT((ROW()-4507)/6)+1,"000")&amp;"-2")</f>
        <v/>
      </c>
      <c r="C4590" t="str">
        <f>IF(OR(Registro_Ventas!$C$17="",Registro_Ventas!$O$17&lt;&gt;"SI"),"","12")</f>
        <v/>
      </c>
      <c r="D4590" t="str">
        <f>IF($C4590="","","Cuentas por Cobrar Comerciales - Terceros")</f>
        <v/>
      </c>
      <c r="E4590" s="20" t="str">
        <f>""</f>
        <v/>
      </c>
      <c r="F4590" s="20" t="str">
        <f>IF($C4590="","",Registro_Ventas!$I$17)</f>
        <v/>
      </c>
      <c r="G4590" t="str">
        <f>IF($C4590="","","Por la cobranza de la factura")</f>
        <v/>
      </c>
      <c r="H4590" t="str">
        <f>IF($C4590="","",Registro_Ventas!$C$17)</f>
        <v/>
      </c>
    </row>
    <row r="4591" spans="1:8" x14ac:dyDescent="0.25">
      <c r="A4591" s="25" t="str">
        <f>IF($C4591="","",Registro_Ventas!$B$18)</f>
        <v/>
      </c>
      <c r="B4591" t="str">
        <f>IF($C4591="","","V"&amp;TEXT(INT((ROW()-4507)/6)+1,"000")&amp;"-1")</f>
        <v/>
      </c>
      <c r="C4591" t="str">
        <f>IF(Registro_Ventas!$C$18="","","12")</f>
        <v/>
      </c>
      <c r="D4591" t="str">
        <f>IF($C4591="","","Cuentas por Cobrar Comerciales - Terceros")</f>
        <v/>
      </c>
      <c r="E4591" s="20" t="str">
        <f>IF($C4591="","",Registro_Ventas!$I$18)</f>
        <v/>
      </c>
      <c r="F4591" s="20" t="str">
        <f>""</f>
        <v/>
      </c>
      <c r="G4591" t="str">
        <f>IF($C4591="","","Por la venta segun comprobante a "&amp;Registro_Ventas!$E$18)</f>
        <v/>
      </c>
      <c r="H4591" t="str">
        <f>IF($C4591="","",Registro_Ventas!$C$18)</f>
        <v/>
      </c>
    </row>
    <row r="4592" spans="1:8" x14ac:dyDescent="0.25">
      <c r="A4592" s="25" t="str">
        <f>IF($C4592="","",Registro_Ventas!$B$18)</f>
        <v/>
      </c>
      <c r="B4592" t="str">
        <f>IF($C4592="","","V"&amp;TEXT(INT((ROW()-4507)/6)+1,"000")&amp;"-1")</f>
        <v/>
      </c>
      <c r="C4592" t="str">
        <f>IF(Registro_Ventas!$C$18="","","70")</f>
        <v/>
      </c>
      <c r="D4592" t="str">
        <f>IF($C4592="","","Ventas")</f>
        <v/>
      </c>
      <c r="E4592" s="20" t="str">
        <f>""</f>
        <v/>
      </c>
      <c r="F4592" s="20" t="str">
        <f>IF($C4592="","",Registro_Ventas!$G$18)</f>
        <v/>
      </c>
      <c r="G4592" t="str">
        <f>IF($C4592="","","Por la venta segun comprobante a "&amp;Registro_Ventas!$E$18)</f>
        <v/>
      </c>
      <c r="H4592" t="str">
        <f>IF($C4592="","",Registro_Ventas!$C$18)</f>
        <v/>
      </c>
    </row>
    <row r="4593" spans="1:8" x14ac:dyDescent="0.25">
      <c r="A4593" s="25" t="str">
        <f>IF($C4593="","",Registro_Ventas!$B$18)</f>
        <v/>
      </c>
      <c r="B4593" t="str">
        <f>IF($C4593="","","V"&amp;TEXT(INT((ROW()-4507)/6)+1,"000")&amp;"-1")</f>
        <v/>
      </c>
      <c r="C4593" t="str">
        <f>IF(Registro_Ventas!$C$18="","","40111")</f>
        <v/>
      </c>
      <c r="D4593" t="str">
        <f>IF($C4593="","","IGV - Cuenta Propia (Debito Fiscal)")</f>
        <v/>
      </c>
      <c r="E4593" s="20" t="str">
        <f>""</f>
        <v/>
      </c>
      <c r="F4593" s="20" t="str">
        <f>IF($C4593="","",Registro_Ventas!$H$18)</f>
        <v/>
      </c>
      <c r="G4593" t="str">
        <f>IF($C4593="","","Por la venta segun comprobante a "&amp;Registro_Ventas!$E$18)</f>
        <v/>
      </c>
      <c r="H4593" t="str">
        <f>IF($C4593="","",Registro_Ventas!$C$18)</f>
        <v/>
      </c>
    </row>
    <row r="4594" spans="1:8" x14ac:dyDescent="0.25">
      <c r="A4594" s="25" t="str">
        <f>IF($C4594="","",Registro_Ventas!$P$18)</f>
        <v/>
      </c>
      <c r="B4594" t="str">
        <f>IF($C4594="","","V"&amp;TEXT(INT((ROW()-4507)/6)+1,"000")&amp;"-2")</f>
        <v/>
      </c>
      <c r="C4594" t="str">
        <f>IF(OR(Registro_Ventas!$C$18="",Registro_Ventas!$O$18&lt;&gt;"SI"),"","1041")</f>
        <v/>
      </c>
      <c r="D4594" t="str">
        <f>IF($C4594="","","Efectivo y Equivalentes - Cta. Cte. Operativa")</f>
        <v/>
      </c>
      <c r="E4594" s="20" t="str">
        <f>IF($C4594="","",Registro_Ventas!$N$18)</f>
        <v/>
      </c>
      <c r="F4594" s="20" t="str">
        <f>""</f>
        <v/>
      </c>
      <c r="G4594" t="str">
        <f>IF($C4594="","","Por la cobranza de la factura")</f>
        <v/>
      </c>
      <c r="H4594" t="str">
        <f>IF($C4594="","",Registro_Ventas!$C$18)</f>
        <v/>
      </c>
    </row>
    <row r="4595" spans="1:8" x14ac:dyDescent="0.25">
      <c r="A4595" s="25" t="str">
        <f>IF($C4595="","",Registro_Ventas!$P$18)</f>
        <v/>
      </c>
      <c r="B4595" t="str">
        <f>IF($C4595="","","V"&amp;TEXT(INT((ROW()-4507)/6)+1,"000")&amp;"-2")</f>
        <v/>
      </c>
      <c r="C4595" t="str">
        <f>IF(OR(OR(Registro_Ventas!$C$18="",Registro_Ventas!$O$18&lt;&gt;"SI"),Registro_Ventas!$J$18&lt;&gt;"SI"),"","1049")</f>
        <v/>
      </c>
      <c r="D4595" t="str">
        <f>IF($C4595="","","Efectivo - Cuenta de Detracciones (Banco de la Nacion)")</f>
        <v/>
      </c>
      <c r="E4595" s="20" t="str">
        <f>IF($C4595="","",Registro_Ventas!$M$18)</f>
        <v/>
      </c>
      <c r="F4595" s="20" t="str">
        <f>""</f>
        <v/>
      </c>
      <c r="G4595" t="str">
        <f>IF($C4595="","","Detraccion retenida por el cliente")</f>
        <v/>
      </c>
      <c r="H4595" t="str">
        <f>IF($C4595="","",Registro_Ventas!$C$18)</f>
        <v/>
      </c>
    </row>
    <row r="4596" spans="1:8" x14ac:dyDescent="0.25">
      <c r="A4596" s="25" t="str">
        <f>IF($C4596="","",Registro_Ventas!$P$18)</f>
        <v/>
      </c>
      <c r="B4596" t="str">
        <f>IF($C4596="","","V"&amp;TEXT(INT((ROW()-4507)/6)+1,"000")&amp;"-2")</f>
        <v/>
      </c>
      <c r="C4596" t="str">
        <f>IF(OR(Registro_Ventas!$C$18="",Registro_Ventas!$O$18&lt;&gt;"SI"),"","12")</f>
        <v/>
      </c>
      <c r="D4596" t="str">
        <f>IF($C4596="","","Cuentas por Cobrar Comerciales - Terceros")</f>
        <v/>
      </c>
      <c r="E4596" s="20" t="str">
        <f>""</f>
        <v/>
      </c>
      <c r="F4596" s="20" t="str">
        <f>IF($C4596="","",Registro_Ventas!$I$18)</f>
        <v/>
      </c>
      <c r="G4596" t="str">
        <f>IF($C4596="","","Por la cobranza de la factura")</f>
        <v/>
      </c>
      <c r="H4596" t="str">
        <f>IF($C4596="","",Registro_Ventas!$C$18)</f>
        <v/>
      </c>
    </row>
    <row r="4597" spans="1:8" x14ac:dyDescent="0.25">
      <c r="A4597" s="25" t="str">
        <f>IF($C4597="","",Registro_Ventas!$B$19)</f>
        <v/>
      </c>
      <c r="B4597" t="str">
        <f>IF($C4597="","","V"&amp;TEXT(INT((ROW()-4507)/6)+1,"000")&amp;"-1")</f>
        <v/>
      </c>
      <c r="C4597" t="str">
        <f>IF(Registro_Ventas!$C$19="","","12")</f>
        <v/>
      </c>
      <c r="D4597" t="str">
        <f>IF($C4597="","","Cuentas por Cobrar Comerciales - Terceros")</f>
        <v/>
      </c>
      <c r="E4597" s="20" t="str">
        <f>IF($C4597="","",Registro_Ventas!$I$19)</f>
        <v/>
      </c>
      <c r="F4597" s="20" t="str">
        <f>""</f>
        <v/>
      </c>
      <c r="G4597" t="str">
        <f>IF($C4597="","","Por la venta segun comprobante a "&amp;Registro_Ventas!$E$19)</f>
        <v/>
      </c>
      <c r="H4597" t="str">
        <f>IF($C4597="","",Registro_Ventas!$C$19)</f>
        <v/>
      </c>
    </row>
    <row r="4598" spans="1:8" x14ac:dyDescent="0.25">
      <c r="A4598" s="25" t="str">
        <f>IF($C4598="","",Registro_Ventas!$B$19)</f>
        <v/>
      </c>
      <c r="B4598" t="str">
        <f>IF($C4598="","","V"&amp;TEXT(INT((ROW()-4507)/6)+1,"000")&amp;"-1")</f>
        <v/>
      </c>
      <c r="C4598" t="str">
        <f>IF(Registro_Ventas!$C$19="","","70")</f>
        <v/>
      </c>
      <c r="D4598" t="str">
        <f>IF($C4598="","","Ventas")</f>
        <v/>
      </c>
      <c r="E4598" s="20" t="str">
        <f>""</f>
        <v/>
      </c>
      <c r="F4598" s="20" t="str">
        <f>IF($C4598="","",Registro_Ventas!$G$19)</f>
        <v/>
      </c>
      <c r="G4598" t="str">
        <f>IF($C4598="","","Por la venta segun comprobante a "&amp;Registro_Ventas!$E$19)</f>
        <v/>
      </c>
      <c r="H4598" t="str">
        <f>IF($C4598="","",Registro_Ventas!$C$19)</f>
        <v/>
      </c>
    </row>
    <row r="4599" spans="1:8" x14ac:dyDescent="0.25">
      <c r="A4599" s="25" t="str">
        <f>IF($C4599="","",Registro_Ventas!$B$19)</f>
        <v/>
      </c>
      <c r="B4599" t="str">
        <f>IF($C4599="","","V"&amp;TEXT(INT((ROW()-4507)/6)+1,"000")&amp;"-1")</f>
        <v/>
      </c>
      <c r="C4599" t="str">
        <f>IF(Registro_Ventas!$C$19="","","40111")</f>
        <v/>
      </c>
      <c r="D4599" t="str">
        <f>IF($C4599="","","IGV - Cuenta Propia (Debito Fiscal)")</f>
        <v/>
      </c>
      <c r="E4599" s="20" t="str">
        <f>""</f>
        <v/>
      </c>
      <c r="F4599" s="20" t="str">
        <f>IF($C4599="","",Registro_Ventas!$H$19)</f>
        <v/>
      </c>
      <c r="G4599" t="str">
        <f>IF($C4599="","","Por la venta segun comprobante a "&amp;Registro_Ventas!$E$19)</f>
        <v/>
      </c>
      <c r="H4599" t="str">
        <f>IF($C4599="","",Registro_Ventas!$C$19)</f>
        <v/>
      </c>
    </row>
    <row r="4600" spans="1:8" x14ac:dyDescent="0.25">
      <c r="A4600" s="25" t="str">
        <f>IF($C4600="","",Registro_Ventas!$P$19)</f>
        <v/>
      </c>
      <c r="B4600" t="str">
        <f>IF($C4600="","","V"&amp;TEXT(INT((ROW()-4507)/6)+1,"000")&amp;"-2")</f>
        <v/>
      </c>
      <c r="C4600" t="str">
        <f>IF(OR(Registro_Ventas!$C$19="",Registro_Ventas!$O$19&lt;&gt;"SI"),"","1041")</f>
        <v/>
      </c>
      <c r="D4600" t="str">
        <f>IF($C4600="","","Efectivo y Equivalentes - Cta. Cte. Operativa")</f>
        <v/>
      </c>
      <c r="E4600" s="20" t="str">
        <f>IF($C4600="","",Registro_Ventas!$N$19)</f>
        <v/>
      </c>
      <c r="F4600" s="20" t="str">
        <f>""</f>
        <v/>
      </c>
      <c r="G4600" t="str">
        <f>IF($C4600="","","Por la cobranza de la factura")</f>
        <v/>
      </c>
      <c r="H4600" t="str">
        <f>IF($C4600="","",Registro_Ventas!$C$19)</f>
        <v/>
      </c>
    </row>
    <row r="4601" spans="1:8" x14ac:dyDescent="0.25">
      <c r="A4601" s="25" t="str">
        <f>IF($C4601="","",Registro_Ventas!$P$19)</f>
        <v/>
      </c>
      <c r="B4601" t="str">
        <f>IF($C4601="","","V"&amp;TEXT(INT((ROW()-4507)/6)+1,"000")&amp;"-2")</f>
        <v/>
      </c>
      <c r="C4601" t="str">
        <f>IF(OR(OR(Registro_Ventas!$C$19="",Registro_Ventas!$O$19&lt;&gt;"SI"),Registro_Ventas!$J$19&lt;&gt;"SI"),"","1049")</f>
        <v/>
      </c>
      <c r="D4601" t="str">
        <f>IF($C4601="","","Efectivo - Cuenta de Detracciones (Banco de la Nacion)")</f>
        <v/>
      </c>
      <c r="E4601" s="20" t="str">
        <f>IF($C4601="","",Registro_Ventas!$M$19)</f>
        <v/>
      </c>
      <c r="F4601" s="20" t="str">
        <f>""</f>
        <v/>
      </c>
      <c r="G4601" t="str">
        <f>IF($C4601="","","Detraccion retenida por el cliente")</f>
        <v/>
      </c>
      <c r="H4601" t="str">
        <f>IF($C4601="","",Registro_Ventas!$C$19)</f>
        <v/>
      </c>
    </row>
    <row r="4602" spans="1:8" x14ac:dyDescent="0.25">
      <c r="A4602" s="25" t="str">
        <f>IF($C4602="","",Registro_Ventas!$P$19)</f>
        <v/>
      </c>
      <c r="B4602" t="str">
        <f>IF($C4602="","","V"&amp;TEXT(INT((ROW()-4507)/6)+1,"000")&amp;"-2")</f>
        <v/>
      </c>
      <c r="C4602" t="str">
        <f>IF(OR(Registro_Ventas!$C$19="",Registro_Ventas!$O$19&lt;&gt;"SI"),"","12")</f>
        <v/>
      </c>
      <c r="D4602" t="str">
        <f>IF($C4602="","","Cuentas por Cobrar Comerciales - Terceros")</f>
        <v/>
      </c>
      <c r="E4602" s="20" t="str">
        <f>""</f>
        <v/>
      </c>
      <c r="F4602" s="20" t="str">
        <f>IF($C4602="","",Registro_Ventas!$I$19)</f>
        <v/>
      </c>
      <c r="G4602" t="str">
        <f>IF($C4602="","","Por la cobranza de la factura")</f>
        <v/>
      </c>
      <c r="H4602" t="str">
        <f>IF($C4602="","",Registro_Ventas!$C$19)</f>
        <v/>
      </c>
    </row>
    <row r="4603" spans="1:8" x14ac:dyDescent="0.25">
      <c r="A4603" s="25" t="str">
        <f>IF($C4603="","",Registro_Ventas!$B$20)</f>
        <v/>
      </c>
      <c r="B4603" t="str">
        <f>IF($C4603="","","V"&amp;TEXT(INT((ROW()-4507)/6)+1,"000")&amp;"-1")</f>
        <v/>
      </c>
      <c r="C4603" t="str">
        <f>IF(Registro_Ventas!$C$20="","","12")</f>
        <v/>
      </c>
      <c r="D4603" t="str">
        <f>IF($C4603="","","Cuentas por Cobrar Comerciales - Terceros")</f>
        <v/>
      </c>
      <c r="E4603" s="20" t="str">
        <f>IF($C4603="","",Registro_Ventas!$I$20)</f>
        <v/>
      </c>
      <c r="F4603" s="20" t="str">
        <f>""</f>
        <v/>
      </c>
      <c r="G4603" t="str">
        <f>IF($C4603="","","Por la venta segun comprobante a "&amp;Registro_Ventas!$E$20)</f>
        <v/>
      </c>
      <c r="H4603" t="str">
        <f>IF($C4603="","",Registro_Ventas!$C$20)</f>
        <v/>
      </c>
    </row>
    <row r="4604" spans="1:8" x14ac:dyDescent="0.25">
      <c r="A4604" s="25" t="str">
        <f>IF($C4604="","",Registro_Ventas!$B$20)</f>
        <v/>
      </c>
      <c r="B4604" t="str">
        <f>IF($C4604="","","V"&amp;TEXT(INT((ROW()-4507)/6)+1,"000")&amp;"-1")</f>
        <v/>
      </c>
      <c r="C4604" t="str">
        <f>IF(Registro_Ventas!$C$20="","","70")</f>
        <v/>
      </c>
      <c r="D4604" t="str">
        <f>IF($C4604="","","Ventas")</f>
        <v/>
      </c>
      <c r="E4604" s="20" t="str">
        <f>""</f>
        <v/>
      </c>
      <c r="F4604" s="20" t="str">
        <f>IF($C4604="","",Registro_Ventas!$G$20)</f>
        <v/>
      </c>
      <c r="G4604" t="str">
        <f>IF($C4604="","","Por la venta segun comprobante a "&amp;Registro_Ventas!$E$20)</f>
        <v/>
      </c>
      <c r="H4604" t="str">
        <f>IF($C4604="","",Registro_Ventas!$C$20)</f>
        <v/>
      </c>
    </row>
    <row r="4605" spans="1:8" x14ac:dyDescent="0.25">
      <c r="A4605" s="25" t="str">
        <f>IF($C4605="","",Registro_Ventas!$B$20)</f>
        <v/>
      </c>
      <c r="B4605" t="str">
        <f>IF($C4605="","","V"&amp;TEXT(INT((ROW()-4507)/6)+1,"000")&amp;"-1")</f>
        <v/>
      </c>
      <c r="C4605" t="str">
        <f>IF(Registro_Ventas!$C$20="","","40111")</f>
        <v/>
      </c>
      <c r="D4605" t="str">
        <f>IF($C4605="","","IGV - Cuenta Propia (Debito Fiscal)")</f>
        <v/>
      </c>
      <c r="E4605" s="20" t="str">
        <f>""</f>
        <v/>
      </c>
      <c r="F4605" s="20" t="str">
        <f>IF($C4605="","",Registro_Ventas!$H$20)</f>
        <v/>
      </c>
      <c r="G4605" t="str">
        <f>IF($C4605="","","Por la venta segun comprobante a "&amp;Registro_Ventas!$E$20)</f>
        <v/>
      </c>
      <c r="H4605" t="str">
        <f>IF($C4605="","",Registro_Ventas!$C$20)</f>
        <v/>
      </c>
    </row>
    <row r="4606" spans="1:8" x14ac:dyDescent="0.25">
      <c r="A4606" s="25" t="str">
        <f>IF($C4606="","",Registro_Ventas!$P$20)</f>
        <v/>
      </c>
      <c r="B4606" t="str">
        <f>IF($C4606="","","V"&amp;TEXT(INT((ROW()-4507)/6)+1,"000")&amp;"-2")</f>
        <v/>
      </c>
      <c r="C4606" t="str">
        <f>IF(OR(Registro_Ventas!$C$20="",Registro_Ventas!$O$20&lt;&gt;"SI"),"","1041")</f>
        <v/>
      </c>
      <c r="D4606" t="str">
        <f>IF($C4606="","","Efectivo y Equivalentes - Cta. Cte. Operativa")</f>
        <v/>
      </c>
      <c r="E4606" s="20" t="str">
        <f>IF($C4606="","",Registro_Ventas!$N$20)</f>
        <v/>
      </c>
      <c r="F4606" s="20" t="str">
        <f>""</f>
        <v/>
      </c>
      <c r="G4606" t="str">
        <f>IF($C4606="","","Por la cobranza de la factura")</f>
        <v/>
      </c>
      <c r="H4606" t="str">
        <f>IF($C4606="","",Registro_Ventas!$C$20)</f>
        <v/>
      </c>
    </row>
    <row r="4607" spans="1:8" x14ac:dyDescent="0.25">
      <c r="A4607" s="25" t="str">
        <f>IF($C4607="","",Registro_Ventas!$P$20)</f>
        <v/>
      </c>
      <c r="B4607" t="str">
        <f>IF($C4607="","","V"&amp;TEXT(INT((ROW()-4507)/6)+1,"000")&amp;"-2")</f>
        <v/>
      </c>
      <c r="C4607" t="str">
        <f>IF(OR(OR(Registro_Ventas!$C$20="",Registro_Ventas!$O$20&lt;&gt;"SI"),Registro_Ventas!$J$20&lt;&gt;"SI"),"","1049")</f>
        <v/>
      </c>
      <c r="D4607" t="str">
        <f>IF($C4607="","","Efectivo - Cuenta de Detracciones (Banco de la Nacion)")</f>
        <v/>
      </c>
      <c r="E4607" s="20" t="str">
        <f>IF($C4607="","",Registro_Ventas!$M$20)</f>
        <v/>
      </c>
      <c r="F4607" s="20" t="str">
        <f>""</f>
        <v/>
      </c>
      <c r="G4607" t="str">
        <f>IF($C4607="","","Detraccion retenida por el cliente")</f>
        <v/>
      </c>
      <c r="H4607" t="str">
        <f>IF($C4607="","",Registro_Ventas!$C$20)</f>
        <v/>
      </c>
    </row>
    <row r="4608" spans="1:8" x14ac:dyDescent="0.25">
      <c r="A4608" s="25" t="str">
        <f>IF($C4608="","",Registro_Ventas!$P$20)</f>
        <v/>
      </c>
      <c r="B4608" t="str">
        <f>IF($C4608="","","V"&amp;TEXT(INT((ROW()-4507)/6)+1,"000")&amp;"-2")</f>
        <v/>
      </c>
      <c r="C4608" t="str">
        <f>IF(OR(Registro_Ventas!$C$20="",Registro_Ventas!$O$20&lt;&gt;"SI"),"","12")</f>
        <v/>
      </c>
      <c r="D4608" t="str">
        <f>IF($C4608="","","Cuentas por Cobrar Comerciales - Terceros")</f>
        <v/>
      </c>
      <c r="E4608" s="20" t="str">
        <f>""</f>
        <v/>
      </c>
      <c r="F4608" s="20" t="str">
        <f>IF($C4608="","",Registro_Ventas!$I$20)</f>
        <v/>
      </c>
      <c r="G4608" t="str">
        <f>IF($C4608="","","Por la cobranza de la factura")</f>
        <v/>
      </c>
      <c r="H4608" t="str">
        <f>IF($C4608="","",Registro_Ventas!$C$20)</f>
        <v/>
      </c>
    </row>
    <row r="4609" spans="1:8" x14ac:dyDescent="0.25">
      <c r="A4609" s="25" t="str">
        <f>IF($C4609="","",Registro_Ventas!$B$21)</f>
        <v/>
      </c>
      <c r="B4609" t="str">
        <f>IF($C4609="","","V"&amp;TEXT(INT((ROW()-4507)/6)+1,"000")&amp;"-1")</f>
        <v/>
      </c>
      <c r="C4609" t="str">
        <f>IF(Registro_Ventas!$C$21="","","12")</f>
        <v/>
      </c>
      <c r="D4609" t="str">
        <f>IF($C4609="","","Cuentas por Cobrar Comerciales - Terceros")</f>
        <v/>
      </c>
      <c r="E4609" s="20" t="str">
        <f>IF($C4609="","",Registro_Ventas!$I$21)</f>
        <v/>
      </c>
      <c r="F4609" s="20" t="str">
        <f>""</f>
        <v/>
      </c>
      <c r="G4609" t="str">
        <f>IF($C4609="","","Por la venta segun comprobante a "&amp;Registro_Ventas!$E$21)</f>
        <v/>
      </c>
      <c r="H4609" t="str">
        <f>IF($C4609="","",Registro_Ventas!$C$21)</f>
        <v/>
      </c>
    </row>
    <row r="4610" spans="1:8" x14ac:dyDescent="0.25">
      <c r="A4610" s="25" t="str">
        <f>IF($C4610="","",Registro_Ventas!$B$21)</f>
        <v/>
      </c>
      <c r="B4610" t="str">
        <f>IF($C4610="","","V"&amp;TEXT(INT((ROW()-4507)/6)+1,"000")&amp;"-1")</f>
        <v/>
      </c>
      <c r="C4610" t="str">
        <f>IF(Registro_Ventas!$C$21="","","70")</f>
        <v/>
      </c>
      <c r="D4610" t="str">
        <f>IF($C4610="","","Ventas")</f>
        <v/>
      </c>
      <c r="E4610" s="20" t="str">
        <f>""</f>
        <v/>
      </c>
      <c r="F4610" s="20" t="str">
        <f>IF($C4610="","",Registro_Ventas!$G$21)</f>
        <v/>
      </c>
      <c r="G4610" t="str">
        <f>IF($C4610="","","Por la venta segun comprobante a "&amp;Registro_Ventas!$E$21)</f>
        <v/>
      </c>
      <c r="H4610" t="str">
        <f>IF($C4610="","",Registro_Ventas!$C$21)</f>
        <v/>
      </c>
    </row>
    <row r="4611" spans="1:8" x14ac:dyDescent="0.25">
      <c r="A4611" s="25" t="str">
        <f>IF($C4611="","",Registro_Ventas!$B$21)</f>
        <v/>
      </c>
      <c r="B4611" t="str">
        <f>IF($C4611="","","V"&amp;TEXT(INT((ROW()-4507)/6)+1,"000")&amp;"-1")</f>
        <v/>
      </c>
      <c r="C4611" t="str">
        <f>IF(Registro_Ventas!$C$21="","","40111")</f>
        <v/>
      </c>
      <c r="D4611" t="str">
        <f>IF($C4611="","","IGV - Cuenta Propia (Debito Fiscal)")</f>
        <v/>
      </c>
      <c r="E4611" s="20" t="str">
        <f>""</f>
        <v/>
      </c>
      <c r="F4611" s="20" t="str">
        <f>IF($C4611="","",Registro_Ventas!$H$21)</f>
        <v/>
      </c>
      <c r="G4611" t="str">
        <f>IF($C4611="","","Por la venta segun comprobante a "&amp;Registro_Ventas!$E$21)</f>
        <v/>
      </c>
      <c r="H4611" t="str">
        <f>IF($C4611="","",Registro_Ventas!$C$21)</f>
        <v/>
      </c>
    </row>
    <row r="4612" spans="1:8" x14ac:dyDescent="0.25">
      <c r="A4612" s="25" t="str">
        <f>IF($C4612="","",Registro_Ventas!$P$21)</f>
        <v/>
      </c>
      <c r="B4612" t="str">
        <f>IF($C4612="","","V"&amp;TEXT(INT((ROW()-4507)/6)+1,"000")&amp;"-2")</f>
        <v/>
      </c>
      <c r="C4612" t="str">
        <f>IF(OR(Registro_Ventas!$C$21="",Registro_Ventas!$O$21&lt;&gt;"SI"),"","1041")</f>
        <v/>
      </c>
      <c r="D4612" t="str">
        <f>IF($C4612="","","Efectivo y Equivalentes - Cta. Cte. Operativa")</f>
        <v/>
      </c>
      <c r="E4612" s="20" t="str">
        <f>IF($C4612="","",Registro_Ventas!$N$21)</f>
        <v/>
      </c>
      <c r="F4612" s="20" t="str">
        <f>""</f>
        <v/>
      </c>
      <c r="G4612" t="str">
        <f>IF($C4612="","","Por la cobranza de la factura")</f>
        <v/>
      </c>
      <c r="H4612" t="str">
        <f>IF($C4612="","",Registro_Ventas!$C$21)</f>
        <v/>
      </c>
    </row>
    <row r="4613" spans="1:8" x14ac:dyDescent="0.25">
      <c r="A4613" s="25" t="str">
        <f>IF($C4613="","",Registro_Ventas!$P$21)</f>
        <v/>
      </c>
      <c r="B4613" t="str">
        <f>IF($C4613="","","V"&amp;TEXT(INT((ROW()-4507)/6)+1,"000")&amp;"-2")</f>
        <v/>
      </c>
      <c r="C4613" t="str">
        <f>IF(OR(OR(Registro_Ventas!$C$21="",Registro_Ventas!$O$21&lt;&gt;"SI"),Registro_Ventas!$J$21&lt;&gt;"SI"),"","1049")</f>
        <v/>
      </c>
      <c r="D4613" t="str">
        <f>IF($C4613="","","Efectivo - Cuenta de Detracciones (Banco de la Nacion)")</f>
        <v/>
      </c>
      <c r="E4613" s="20" t="str">
        <f>IF($C4613="","",Registro_Ventas!$M$21)</f>
        <v/>
      </c>
      <c r="F4613" s="20" t="str">
        <f>""</f>
        <v/>
      </c>
      <c r="G4613" t="str">
        <f>IF($C4613="","","Detraccion retenida por el cliente")</f>
        <v/>
      </c>
      <c r="H4613" t="str">
        <f>IF($C4613="","",Registro_Ventas!$C$21)</f>
        <v/>
      </c>
    </row>
    <row r="4614" spans="1:8" x14ac:dyDescent="0.25">
      <c r="A4614" s="25" t="str">
        <f>IF($C4614="","",Registro_Ventas!$P$21)</f>
        <v/>
      </c>
      <c r="B4614" t="str">
        <f>IF($C4614="","","V"&amp;TEXT(INT((ROW()-4507)/6)+1,"000")&amp;"-2")</f>
        <v/>
      </c>
      <c r="C4614" t="str">
        <f>IF(OR(Registro_Ventas!$C$21="",Registro_Ventas!$O$21&lt;&gt;"SI"),"","12")</f>
        <v/>
      </c>
      <c r="D4614" t="str">
        <f>IF($C4614="","","Cuentas por Cobrar Comerciales - Terceros")</f>
        <v/>
      </c>
      <c r="E4614" s="20" t="str">
        <f>""</f>
        <v/>
      </c>
      <c r="F4614" s="20" t="str">
        <f>IF($C4614="","",Registro_Ventas!$I$21)</f>
        <v/>
      </c>
      <c r="G4614" t="str">
        <f>IF($C4614="","","Por la cobranza de la factura")</f>
        <v/>
      </c>
      <c r="H4614" t="str">
        <f>IF($C4614="","",Registro_Ventas!$C$21)</f>
        <v/>
      </c>
    </row>
    <row r="4615" spans="1:8" x14ac:dyDescent="0.25">
      <c r="A4615" s="25" t="str">
        <f>IF($C4615="","",Registro_Ventas!$B$22)</f>
        <v/>
      </c>
      <c r="B4615" t="str">
        <f>IF($C4615="","","V"&amp;TEXT(INT((ROW()-4507)/6)+1,"000")&amp;"-1")</f>
        <v/>
      </c>
      <c r="C4615" t="str">
        <f>IF(Registro_Ventas!$C$22="","","12")</f>
        <v/>
      </c>
      <c r="D4615" t="str">
        <f>IF($C4615="","","Cuentas por Cobrar Comerciales - Terceros")</f>
        <v/>
      </c>
      <c r="E4615" s="20" t="str">
        <f>IF($C4615="","",Registro_Ventas!$I$22)</f>
        <v/>
      </c>
      <c r="F4615" s="20" t="str">
        <f>""</f>
        <v/>
      </c>
      <c r="G4615" t="str">
        <f>IF($C4615="","","Por la venta segun comprobante a "&amp;Registro_Ventas!$E$22)</f>
        <v/>
      </c>
      <c r="H4615" t="str">
        <f>IF($C4615="","",Registro_Ventas!$C$22)</f>
        <v/>
      </c>
    </row>
    <row r="4616" spans="1:8" x14ac:dyDescent="0.25">
      <c r="A4616" s="25" t="str">
        <f>IF($C4616="","",Registro_Ventas!$B$22)</f>
        <v/>
      </c>
      <c r="B4616" t="str">
        <f>IF($C4616="","","V"&amp;TEXT(INT((ROW()-4507)/6)+1,"000")&amp;"-1")</f>
        <v/>
      </c>
      <c r="C4616" t="str">
        <f>IF(Registro_Ventas!$C$22="","","70")</f>
        <v/>
      </c>
      <c r="D4616" t="str">
        <f>IF($C4616="","","Ventas")</f>
        <v/>
      </c>
      <c r="E4616" s="20" t="str">
        <f>""</f>
        <v/>
      </c>
      <c r="F4616" s="20" t="str">
        <f>IF($C4616="","",Registro_Ventas!$G$22)</f>
        <v/>
      </c>
      <c r="G4616" t="str">
        <f>IF($C4616="","","Por la venta segun comprobante a "&amp;Registro_Ventas!$E$22)</f>
        <v/>
      </c>
      <c r="H4616" t="str">
        <f>IF($C4616="","",Registro_Ventas!$C$22)</f>
        <v/>
      </c>
    </row>
    <row r="4617" spans="1:8" x14ac:dyDescent="0.25">
      <c r="A4617" s="25" t="str">
        <f>IF($C4617="","",Registro_Ventas!$B$22)</f>
        <v/>
      </c>
      <c r="B4617" t="str">
        <f>IF($C4617="","","V"&amp;TEXT(INT((ROW()-4507)/6)+1,"000")&amp;"-1")</f>
        <v/>
      </c>
      <c r="C4617" t="str">
        <f>IF(Registro_Ventas!$C$22="","","40111")</f>
        <v/>
      </c>
      <c r="D4617" t="str">
        <f>IF($C4617="","","IGV - Cuenta Propia (Debito Fiscal)")</f>
        <v/>
      </c>
      <c r="E4617" s="20" t="str">
        <f>""</f>
        <v/>
      </c>
      <c r="F4617" s="20" t="str">
        <f>IF($C4617="","",Registro_Ventas!$H$22)</f>
        <v/>
      </c>
      <c r="G4617" t="str">
        <f>IF($C4617="","","Por la venta segun comprobante a "&amp;Registro_Ventas!$E$22)</f>
        <v/>
      </c>
      <c r="H4617" t="str">
        <f>IF($C4617="","",Registro_Ventas!$C$22)</f>
        <v/>
      </c>
    </row>
    <row r="4618" spans="1:8" x14ac:dyDescent="0.25">
      <c r="A4618" s="25" t="str">
        <f>IF($C4618="","",Registro_Ventas!$P$22)</f>
        <v/>
      </c>
      <c r="B4618" t="str">
        <f>IF($C4618="","","V"&amp;TEXT(INT((ROW()-4507)/6)+1,"000")&amp;"-2")</f>
        <v/>
      </c>
      <c r="C4618" t="str">
        <f>IF(OR(Registro_Ventas!$C$22="",Registro_Ventas!$O$22&lt;&gt;"SI"),"","1041")</f>
        <v/>
      </c>
      <c r="D4618" t="str">
        <f>IF($C4618="","","Efectivo y Equivalentes - Cta. Cte. Operativa")</f>
        <v/>
      </c>
      <c r="E4618" s="20" t="str">
        <f>IF($C4618="","",Registro_Ventas!$N$22)</f>
        <v/>
      </c>
      <c r="F4618" s="20" t="str">
        <f>""</f>
        <v/>
      </c>
      <c r="G4618" t="str">
        <f>IF($C4618="","","Por la cobranza de la factura")</f>
        <v/>
      </c>
      <c r="H4618" t="str">
        <f>IF($C4618="","",Registro_Ventas!$C$22)</f>
        <v/>
      </c>
    </row>
    <row r="4619" spans="1:8" x14ac:dyDescent="0.25">
      <c r="A4619" s="25" t="str">
        <f>IF($C4619="","",Registro_Ventas!$P$22)</f>
        <v/>
      </c>
      <c r="B4619" t="str">
        <f>IF($C4619="","","V"&amp;TEXT(INT((ROW()-4507)/6)+1,"000")&amp;"-2")</f>
        <v/>
      </c>
      <c r="C4619" t="str">
        <f>IF(OR(OR(Registro_Ventas!$C$22="",Registro_Ventas!$O$22&lt;&gt;"SI"),Registro_Ventas!$J$22&lt;&gt;"SI"),"","1049")</f>
        <v/>
      </c>
      <c r="D4619" t="str">
        <f>IF($C4619="","","Efectivo - Cuenta de Detracciones (Banco de la Nacion)")</f>
        <v/>
      </c>
      <c r="E4619" s="20" t="str">
        <f>IF($C4619="","",Registro_Ventas!$M$22)</f>
        <v/>
      </c>
      <c r="F4619" s="20" t="str">
        <f>""</f>
        <v/>
      </c>
      <c r="G4619" t="str">
        <f>IF($C4619="","","Detraccion retenida por el cliente")</f>
        <v/>
      </c>
      <c r="H4619" t="str">
        <f>IF($C4619="","",Registro_Ventas!$C$22)</f>
        <v/>
      </c>
    </row>
    <row r="4620" spans="1:8" x14ac:dyDescent="0.25">
      <c r="A4620" s="25" t="str">
        <f>IF($C4620="","",Registro_Ventas!$P$22)</f>
        <v/>
      </c>
      <c r="B4620" t="str">
        <f>IF($C4620="","","V"&amp;TEXT(INT((ROW()-4507)/6)+1,"000")&amp;"-2")</f>
        <v/>
      </c>
      <c r="C4620" t="str">
        <f>IF(OR(Registro_Ventas!$C$22="",Registro_Ventas!$O$22&lt;&gt;"SI"),"","12")</f>
        <v/>
      </c>
      <c r="D4620" t="str">
        <f>IF($C4620="","","Cuentas por Cobrar Comerciales - Terceros")</f>
        <v/>
      </c>
      <c r="E4620" s="20" t="str">
        <f>""</f>
        <v/>
      </c>
      <c r="F4620" s="20" t="str">
        <f>IF($C4620="","",Registro_Ventas!$I$22)</f>
        <v/>
      </c>
      <c r="G4620" t="str">
        <f>IF($C4620="","","Por la cobranza de la factura")</f>
        <v/>
      </c>
      <c r="H4620" t="str">
        <f>IF($C4620="","",Registro_Ventas!$C$22)</f>
        <v/>
      </c>
    </row>
    <row r="4621" spans="1:8" x14ac:dyDescent="0.25">
      <c r="A4621" s="25" t="str">
        <f>IF($C4621="","",Registro_Ventas!$B$23)</f>
        <v/>
      </c>
      <c r="B4621" t="str">
        <f>IF($C4621="","","V"&amp;TEXT(INT((ROW()-4507)/6)+1,"000")&amp;"-1")</f>
        <v/>
      </c>
      <c r="C4621" t="str">
        <f>IF(Registro_Ventas!$C$23="","","12")</f>
        <v/>
      </c>
      <c r="D4621" t="str">
        <f>IF($C4621="","","Cuentas por Cobrar Comerciales - Terceros")</f>
        <v/>
      </c>
      <c r="E4621" s="20" t="str">
        <f>IF($C4621="","",Registro_Ventas!$I$23)</f>
        <v/>
      </c>
      <c r="F4621" s="20" t="str">
        <f>""</f>
        <v/>
      </c>
      <c r="G4621" t="str">
        <f>IF($C4621="","","Por la venta segun comprobante a "&amp;Registro_Ventas!$E$23)</f>
        <v/>
      </c>
      <c r="H4621" t="str">
        <f>IF($C4621="","",Registro_Ventas!$C$23)</f>
        <v/>
      </c>
    </row>
    <row r="4622" spans="1:8" x14ac:dyDescent="0.25">
      <c r="A4622" s="25" t="str">
        <f>IF($C4622="","",Registro_Ventas!$B$23)</f>
        <v/>
      </c>
      <c r="B4622" t="str">
        <f>IF($C4622="","","V"&amp;TEXT(INT((ROW()-4507)/6)+1,"000")&amp;"-1")</f>
        <v/>
      </c>
      <c r="C4622" t="str">
        <f>IF(Registro_Ventas!$C$23="","","70")</f>
        <v/>
      </c>
      <c r="D4622" t="str">
        <f>IF($C4622="","","Ventas")</f>
        <v/>
      </c>
      <c r="E4622" s="20" t="str">
        <f>""</f>
        <v/>
      </c>
      <c r="F4622" s="20" t="str">
        <f>IF($C4622="","",Registro_Ventas!$G$23)</f>
        <v/>
      </c>
      <c r="G4622" t="str">
        <f>IF($C4622="","","Por la venta segun comprobante a "&amp;Registro_Ventas!$E$23)</f>
        <v/>
      </c>
      <c r="H4622" t="str">
        <f>IF($C4622="","",Registro_Ventas!$C$23)</f>
        <v/>
      </c>
    </row>
    <row r="4623" spans="1:8" x14ac:dyDescent="0.25">
      <c r="A4623" s="25" t="str">
        <f>IF($C4623="","",Registro_Ventas!$B$23)</f>
        <v/>
      </c>
      <c r="B4623" t="str">
        <f>IF($C4623="","","V"&amp;TEXT(INT((ROW()-4507)/6)+1,"000")&amp;"-1")</f>
        <v/>
      </c>
      <c r="C4623" t="str">
        <f>IF(Registro_Ventas!$C$23="","","40111")</f>
        <v/>
      </c>
      <c r="D4623" t="str">
        <f>IF($C4623="","","IGV - Cuenta Propia (Debito Fiscal)")</f>
        <v/>
      </c>
      <c r="E4623" s="20" t="str">
        <f>""</f>
        <v/>
      </c>
      <c r="F4623" s="20" t="str">
        <f>IF($C4623="","",Registro_Ventas!$H$23)</f>
        <v/>
      </c>
      <c r="G4623" t="str">
        <f>IF($C4623="","","Por la venta segun comprobante a "&amp;Registro_Ventas!$E$23)</f>
        <v/>
      </c>
      <c r="H4623" t="str">
        <f>IF($C4623="","",Registro_Ventas!$C$23)</f>
        <v/>
      </c>
    </row>
    <row r="4624" spans="1:8" x14ac:dyDescent="0.25">
      <c r="A4624" s="25" t="str">
        <f>IF($C4624="","",Registro_Ventas!$P$23)</f>
        <v/>
      </c>
      <c r="B4624" t="str">
        <f>IF($C4624="","","V"&amp;TEXT(INT((ROW()-4507)/6)+1,"000")&amp;"-2")</f>
        <v/>
      </c>
      <c r="C4624" t="str">
        <f>IF(OR(Registro_Ventas!$C$23="",Registro_Ventas!$O$23&lt;&gt;"SI"),"","1041")</f>
        <v/>
      </c>
      <c r="D4624" t="str">
        <f>IF($C4624="","","Efectivo y Equivalentes - Cta. Cte. Operativa")</f>
        <v/>
      </c>
      <c r="E4624" s="20" t="str">
        <f>IF($C4624="","",Registro_Ventas!$N$23)</f>
        <v/>
      </c>
      <c r="F4624" s="20" t="str">
        <f>""</f>
        <v/>
      </c>
      <c r="G4624" t="str">
        <f>IF($C4624="","","Por la cobranza de la factura")</f>
        <v/>
      </c>
      <c r="H4624" t="str">
        <f>IF($C4624="","",Registro_Ventas!$C$23)</f>
        <v/>
      </c>
    </row>
    <row r="4625" spans="1:8" x14ac:dyDescent="0.25">
      <c r="A4625" s="25" t="str">
        <f>IF($C4625="","",Registro_Ventas!$P$23)</f>
        <v/>
      </c>
      <c r="B4625" t="str">
        <f>IF($C4625="","","V"&amp;TEXT(INT((ROW()-4507)/6)+1,"000")&amp;"-2")</f>
        <v/>
      </c>
      <c r="C4625" t="str">
        <f>IF(OR(OR(Registro_Ventas!$C$23="",Registro_Ventas!$O$23&lt;&gt;"SI"),Registro_Ventas!$J$23&lt;&gt;"SI"),"","1049")</f>
        <v/>
      </c>
      <c r="D4625" t="str">
        <f>IF($C4625="","","Efectivo - Cuenta de Detracciones (Banco de la Nacion)")</f>
        <v/>
      </c>
      <c r="E4625" s="20" t="str">
        <f>IF($C4625="","",Registro_Ventas!$M$23)</f>
        <v/>
      </c>
      <c r="F4625" s="20" t="str">
        <f>""</f>
        <v/>
      </c>
      <c r="G4625" t="str">
        <f>IF($C4625="","","Detraccion retenida por el cliente")</f>
        <v/>
      </c>
      <c r="H4625" t="str">
        <f>IF($C4625="","",Registro_Ventas!$C$23)</f>
        <v/>
      </c>
    </row>
    <row r="4626" spans="1:8" x14ac:dyDescent="0.25">
      <c r="A4626" s="25" t="str">
        <f>IF($C4626="","",Registro_Ventas!$P$23)</f>
        <v/>
      </c>
      <c r="B4626" t="str">
        <f>IF($C4626="","","V"&amp;TEXT(INT((ROW()-4507)/6)+1,"000")&amp;"-2")</f>
        <v/>
      </c>
      <c r="C4626" t="str">
        <f>IF(OR(Registro_Ventas!$C$23="",Registro_Ventas!$O$23&lt;&gt;"SI"),"","12")</f>
        <v/>
      </c>
      <c r="D4626" t="str">
        <f>IF($C4626="","","Cuentas por Cobrar Comerciales - Terceros")</f>
        <v/>
      </c>
      <c r="E4626" s="20" t="str">
        <f>""</f>
        <v/>
      </c>
      <c r="F4626" s="20" t="str">
        <f>IF($C4626="","",Registro_Ventas!$I$23)</f>
        <v/>
      </c>
      <c r="G4626" t="str">
        <f>IF($C4626="","","Por la cobranza de la factura")</f>
        <v/>
      </c>
      <c r="H4626" t="str">
        <f>IF($C4626="","",Registro_Ventas!$C$23)</f>
        <v/>
      </c>
    </row>
    <row r="4627" spans="1:8" x14ac:dyDescent="0.25">
      <c r="A4627" s="25" t="str">
        <f>IF($C4627="","",Registro_Ventas!$B$24)</f>
        <v/>
      </c>
      <c r="B4627" t="str">
        <f>IF($C4627="","","V"&amp;TEXT(INT((ROW()-4507)/6)+1,"000")&amp;"-1")</f>
        <v/>
      </c>
      <c r="C4627" t="str">
        <f>IF(Registro_Ventas!$C$24="","","12")</f>
        <v/>
      </c>
      <c r="D4627" t="str">
        <f>IF($C4627="","","Cuentas por Cobrar Comerciales - Terceros")</f>
        <v/>
      </c>
      <c r="E4627" s="20" t="str">
        <f>IF($C4627="","",Registro_Ventas!$I$24)</f>
        <v/>
      </c>
      <c r="F4627" s="20" t="str">
        <f>""</f>
        <v/>
      </c>
      <c r="G4627" t="str">
        <f>IF($C4627="","","Por la venta segun comprobante a "&amp;Registro_Ventas!$E$24)</f>
        <v/>
      </c>
      <c r="H4627" t="str">
        <f>IF($C4627="","",Registro_Ventas!$C$24)</f>
        <v/>
      </c>
    </row>
    <row r="4628" spans="1:8" x14ac:dyDescent="0.25">
      <c r="A4628" s="25" t="str">
        <f>IF($C4628="","",Registro_Ventas!$B$24)</f>
        <v/>
      </c>
      <c r="B4628" t="str">
        <f>IF($C4628="","","V"&amp;TEXT(INT((ROW()-4507)/6)+1,"000")&amp;"-1")</f>
        <v/>
      </c>
      <c r="C4628" t="str">
        <f>IF(Registro_Ventas!$C$24="","","70")</f>
        <v/>
      </c>
      <c r="D4628" t="str">
        <f>IF($C4628="","","Ventas")</f>
        <v/>
      </c>
      <c r="E4628" s="20" t="str">
        <f>""</f>
        <v/>
      </c>
      <c r="F4628" s="20" t="str">
        <f>IF($C4628="","",Registro_Ventas!$G$24)</f>
        <v/>
      </c>
      <c r="G4628" t="str">
        <f>IF($C4628="","","Por la venta segun comprobante a "&amp;Registro_Ventas!$E$24)</f>
        <v/>
      </c>
      <c r="H4628" t="str">
        <f>IF($C4628="","",Registro_Ventas!$C$24)</f>
        <v/>
      </c>
    </row>
    <row r="4629" spans="1:8" x14ac:dyDescent="0.25">
      <c r="A4629" s="25" t="str">
        <f>IF($C4629="","",Registro_Ventas!$B$24)</f>
        <v/>
      </c>
      <c r="B4629" t="str">
        <f>IF($C4629="","","V"&amp;TEXT(INT((ROW()-4507)/6)+1,"000")&amp;"-1")</f>
        <v/>
      </c>
      <c r="C4629" t="str">
        <f>IF(Registro_Ventas!$C$24="","","40111")</f>
        <v/>
      </c>
      <c r="D4629" t="str">
        <f>IF($C4629="","","IGV - Cuenta Propia (Debito Fiscal)")</f>
        <v/>
      </c>
      <c r="E4629" s="20" t="str">
        <f>""</f>
        <v/>
      </c>
      <c r="F4629" s="20" t="str">
        <f>IF($C4629="","",Registro_Ventas!$H$24)</f>
        <v/>
      </c>
      <c r="G4629" t="str">
        <f>IF($C4629="","","Por la venta segun comprobante a "&amp;Registro_Ventas!$E$24)</f>
        <v/>
      </c>
      <c r="H4629" t="str">
        <f>IF($C4629="","",Registro_Ventas!$C$24)</f>
        <v/>
      </c>
    </row>
    <row r="4630" spans="1:8" x14ac:dyDescent="0.25">
      <c r="A4630" s="25" t="str">
        <f>IF($C4630="","",Registro_Ventas!$P$24)</f>
        <v/>
      </c>
      <c r="B4630" t="str">
        <f>IF($C4630="","","V"&amp;TEXT(INT((ROW()-4507)/6)+1,"000")&amp;"-2")</f>
        <v/>
      </c>
      <c r="C4630" t="str">
        <f>IF(OR(Registro_Ventas!$C$24="",Registro_Ventas!$O$24&lt;&gt;"SI"),"","1041")</f>
        <v/>
      </c>
      <c r="D4630" t="str">
        <f>IF($C4630="","","Efectivo y Equivalentes - Cta. Cte. Operativa")</f>
        <v/>
      </c>
      <c r="E4630" s="20" t="str">
        <f>IF($C4630="","",Registro_Ventas!$N$24)</f>
        <v/>
      </c>
      <c r="F4630" s="20" t="str">
        <f>""</f>
        <v/>
      </c>
      <c r="G4630" t="str">
        <f>IF($C4630="","","Por la cobranza de la factura")</f>
        <v/>
      </c>
      <c r="H4630" t="str">
        <f>IF($C4630="","",Registro_Ventas!$C$24)</f>
        <v/>
      </c>
    </row>
    <row r="4631" spans="1:8" x14ac:dyDescent="0.25">
      <c r="A4631" s="25" t="str">
        <f>IF($C4631="","",Registro_Ventas!$P$24)</f>
        <v/>
      </c>
      <c r="B4631" t="str">
        <f>IF($C4631="","","V"&amp;TEXT(INT((ROW()-4507)/6)+1,"000")&amp;"-2")</f>
        <v/>
      </c>
      <c r="C4631" t="str">
        <f>IF(OR(OR(Registro_Ventas!$C$24="",Registro_Ventas!$O$24&lt;&gt;"SI"),Registro_Ventas!$J$24&lt;&gt;"SI"),"","1049")</f>
        <v/>
      </c>
      <c r="D4631" t="str">
        <f>IF($C4631="","","Efectivo - Cuenta de Detracciones (Banco de la Nacion)")</f>
        <v/>
      </c>
      <c r="E4631" s="20" t="str">
        <f>IF($C4631="","",Registro_Ventas!$M$24)</f>
        <v/>
      </c>
      <c r="F4631" s="20" t="str">
        <f>""</f>
        <v/>
      </c>
      <c r="G4631" t="str">
        <f>IF($C4631="","","Detraccion retenida por el cliente")</f>
        <v/>
      </c>
      <c r="H4631" t="str">
        <f>IF($C4631="","",Registro_Ventas!$C$24)</f>
        <v/>
      </c>
    </row>
    <row r="4632" spans="1:8" x14ac:dyDescent="0.25">
      <c r="A4632" s="25" t="str">
        <f>IF($C4632="","",Registro_Ventas!$P$24)</f>
        <v/>
      </c>
      <c r="B4632" t="str">
        <f>IF($C4632="","","V"&amp;TEXT(INT((ROW()-4507)/6)+1,"000")&amp;"-2")</f>
        <v/>
      </c>
      <c r="C4632" t="str">
        <f>IF(OR(Registro_Ventas!$C$24="",Registro_Ventas!$O$24&lt;&gt;"SI"),"","12")</f>
        <v/>
      </c>
      <c r="D4632" t="str">
        <f>IF($C4632="","","Cuentas por Cobrar Comerciales - Terceros")</f>
        <v/>
      </c>
      <c r="E4632" s="20" t="str">
        <f>""</f>
        <v/>
      </c>
      <c r="F4632" s="20" t="str">
        <f>IF($C4632="","",Registro_Ventas!$I$24)</f>
        <v/>
      </c>
      <c r="G4632" t="str">
        <f>IF($C4632="","","Por la cobranza de la factura")</f>
        <v/>
      </c>
      <c r="H4632" t="str">
        <f>IF($C4632="","",Registro_Ventas!$C$24)</f>
        <v/>
      </c>
    </row>
    <row r="4633" spans="1:8" x14ac:dyDescent="0.25">
      <c r="A4633" s="25" t="str">
        <f>IF($C4633="","",Registro_Ventas!$B$25)</f>
        <v/>
      </c>
      <c r="B4633" t="str">
        <f>IF($C4633="","","V"&amp;TEXT(INT((ROW()-4507)/6)+1,"000")&amp;"-1")</f>
        <v/>
      </c>
      <c r="C4633" t="str">
        <f>IF(Registro_Ventas!$C$25="","","12")</f>
        <v/>
      </c>
      <c r="D4633" t="str">
        <f>IF($C4633="","","Cuentas por Cobrar Comerciales - Terceros")</f>
        <v/>
      </c>
      <c r="E4633" s="20" t="str">
        <f>IF($C4633="","",Registro_Ventas!$I$25)</f>
        <v/>
      </c>
      <c r="F4633" s="20" t="str">
        <f>""</f>
        <v/>
      </c>
      <c r="G4633" t="str">
        <f>IF($C4633="","","Por la venta segun comprobante a "&amp;Registro_Ventas!$E$25)</f>
        <v/>
      </c>
      <c r="H4633" t="str">
        <f>IF($C4633="","",Registro_Ventas!$C$25)</f>
        <v/>
      </c>
    </row>
    <row r="4634" spans="1:8" x14ac:dyDescent="0.25">
      <c r="A4634" s="25" t="str">
        <f>IF($C4634="","",Registro_Ventas!$B$25)</f>
        <v/>
      </c>
      <c r="B4634" t="str">
        <f>IF($C4634="","","V"&amp;TEXT(INT((ROW()-4507)/6)+1,"000")&amp;"-1")</f>
        <v/>
      </c>
      <c r="C4634" t="str">
        <f>IF(Registro_Ventas!$C$25="","","70")</f>
        <v/>
      </c>
      <c r="D4634" t="str">
        <f>IF($C4634="","","Ventas")</f>
        <v/>
      </c>
      <c r="E4634" s="20" t="str">
        <f>""</f>
        <v/>
      </c>
      <c r="F4634" s="20" t="str">
        <f>IF($C4634="","",Registro_Ventas!$G$25)</f>
        <v/>
      </c>
      <c r="G4634" t="str">
        <f>IF($C4634="","","Por la venta segun comprobante a "&amp;Registro_Ventas!$E$25)</f>
        <v/>
      </c>
      <c r="H4634" t="str">
        <f>IF($C4634="","",Registro_Ventas!$C$25)</f>
        <v/>
      </c>
    </row>
    <row r="4635" spans="1:8" x14ac:dyDescent="0.25">
      <c r="A4635" s="25" t="str">
        <f>IF($C4635="","",Registro_Ventas!$B$25)</f>
        <v/>
      </c>
      <c r="B4635" t="str">
        <f>IF($C4635="","","V"&amp;TEXT(INT((ROW()-4507)/6)+1,"000")&amp;"-1")</f>
        <v/>
      </c>
      <c r="C4635" t="str">
        <f>IF(Registro_Ventas!$C$25="","","40111")</f>
        <v/>
      </c>
      <c r="D4635" t="str">
        <f>IF($C4635="","","IGV - Cuenta Propia (Debito Fiscal)")</f>
        <v/>
      </c>
      <c r="E4635" s="20" t="str">
        <f>""</f>
        <v/>
      </c>
      <c r="F4635" s="20" t="str">
        <f>IF($C4635="","",Registro_Ventas!$H$25)</f>
        <v/>
      </c>
      <c r="G4635" t="str">
        <f>IF($C4635="","","Por la venta segun comprobante a "&amp;Registro_Ventas!$E$25)</f>
        <v/>
      </c>
      <c r="H4635" t="str">
        <f>IF($C4635="","",Registro_Ventas!$C$25)</f>
        <v/>
      </c>
    </row>
    <row r="4636" spans="1:8" x14ac:dyDescent="0.25">
      <c r="A4636" s="25" t="str">
        <f>IF($C4636="","",Registro_Ventas!$P$25)</f>
        <v/>
      </c>
      <c r="B4636" t="str">
        <f>IF($C4636="","","V"&amp;TEXT(INT((ROW()-4507)/6)+1,"000")&amp;"-2")</f>
        <v/>
      </c>
      <c r="C4636" t="str">
        <f>IF(OR(Registro_Ventas!$C$25="",Registro_Ventas!$O$25&lt;&gt;"SI"),"","1041")</f>
        <v/>
      </c>
      <c r="D4636" t="str">
        <f>IF($C4636="","","Efectivo y Equivalentes - Cta. Cte. Operativa")</f>
        <v/>
      </c>
      <c r="E4636" s="20" t="str">
        <f>IF($C4636="","",Registro_Ventas!$N$25)</f>
        <v/>
      </c>
      <c r="F4636" s="20" t="str">
        <f>""</f>
        <v/>
      </c>
      <c r="G4636" t="str">
        <f>IF($C4636="","","Por la cobranza de la factura")</f>
        <v/>
      </c>
      <c r="H4636" t="str">
        <f>IF($C4636="","",Registro_Ventas!$C$25)</f>
        <v/>
      </c>
    </row>
    <row r="4637" spans="1:8" x14ac:dyDescent="0.25">
      <c r="A4637" s="25" t="str">
        <f>IF($C4637="","",Registro_Ventas!$P$25)</f>
        <v/>
      </c>
      <c r="B4637" t="str">
        <f>IF($C4637="","","V"&amp;TEXT(INT((ROW()-4507)/6)+1,"000")&amp;"-2")</f>
        <v/>
      </c>
      <c r="C4637" t="str">
        <f>IF(OR(OR(Registro_Ventas!$C$25="",Registro_Ventas!$O$25&lt;&gt;"SI"),Registro_Ventas!$J$25&lt;&gt;"SI"),"","1049")</f>
        <v/>
      </c>
      <c r="D4637" t="str">
        <f>IF($C4637="","","Efectivo - Cuenta de Detracciones (Banco de la Nacion)")</f>
        <v/>
      </c>
      <c r="E4637" s="20" t="str">
        <f>IF($C4637="","",Registro_Ventas!$M$25)</f>
        <v/>
      </c>
      <c r="F4637" s="20" t="str">
        <f>""</f>
        <v/>
      </c>
      <c r="G4637" t="str">
        <f>IF($C4637="","","Detraccion retenida por el cliente")</f>
        <v/>
      </c>
      <c r="H4637" t="str">
        <f>IF($C4637="","",Registro_Ventas!$C$25)</f>
        <v/>
      </c>
    </row>
    <row r="4638" spans="1:8" x14ac:dyDescent="0.25">
      <c r="A4638" s="25" t="str">
        <f>IF($C4638="","",Registro_Ventas!$P$25)</f>
        <v/>
      </c>
      <c r="B4638" t="str">
        <f>IF($C4638="","","V"&amp;TEXT(INT((ROW()-4507)/6)+1,"000")&amp;"-2")</f>
        <v/>
      </c>
      <c r="C4638" t="str">
        <f>IF(OR(Registro_Ventas!$C$25="",Registro_Ventas!$O$25&lt;&gt;"SI"),"","12")</f>
        <v/>
      </c>
      <c r="D4638" t="str">
        <f>IF($C4638="","","Cuentas por Cobrar Comerciales - Terceros")</f>
        <v/>
      </c>
      <c r="E4638" s="20" t="str">
        <f>""</f>
        <v/>
      </c>
      <c r="F4638" s="20" t="str">
        <f>IF($C4638="","",Registro_Ventas!$I$25)</f>
        <v/>
      </c>
      <c r="G4638" t="str">
        <f>IF($C4638="","","Por la cobranza de la factura")</f>
        <v/>
      </c>
      <c r="H4638" t="str">
        <f>IF($C4638="","",Registro_Ventas!$C$25)</f>
        <v/>
      </c>
    </row>
    <row r="4639" spans="1:8" x14ac:dyDescent="0.25">
      <c r="A4639" s="25" t="str">
        <f>IF($C4639="","",Registro_Ventas!$B$26)</f>
        <v/>
      </c>
      <c r="B4639" t="str">
        <f>IF($C4639="","","V"&amp;TEXT(INT((ROW()-4507)/6)+1,"000")&amp;"-1")</f>
        <v/>
      </c>
      <c r="C4639" t="str">
        <f>IF(Registro_Ventas!$C$26="","","12")</f>
        <v/>
      </c>
      <c r="D4639" t="str">
        <f>IF($C4639="","","Cuentas por Cobrar Comerciales - Terceros")</f>
        <v/>
      </c>
      <c r="E4639" s="20" t="str">
        <f>IF($C4639="","",Registro_Ventas!$I$26)</f>
        <v/>
      </c>
      <c r="F4639" s="20" t="str">
        <f>""</f>
        <v/>
      </c>
      <c r="G4639" t="str">
        <f>IF($C4639="","","Por la venta segun comprobante a "&amp;Registro_Ventas!$E$26)</f>
        <v/>
      </c>
      <c r="H4639" t="str">
        <f>IF($C4639="","",Registro_Ventas!$C$26)</f>
        <v/>
      </c>
    </row>
    <row r="4640" spans="1:8" x14ac:dyDescent="0.25">
      <c r="A4640" s="25" t="str">
        <f>IF($C4640="","",Registro_Ventas!$B$26)</f>
        <v/>
      </c>
      <c r="B4640" t="str">
        <f>IF($C4640="","","V"&amp;TEXT(INT((ROW()-4507)/6)+1,"000")&amp;"-1")</f>
        <v/>
      </c>
      <c r="C4640" t="str">
        <f>IF(Registro_Ventas!$C$26="","","70")</f>
        <v/>
      </c>
      <c r="D4640" t="str">
        <f>IF($C4640="","","Ventas")</f>
        <v/>
      </c>
      <c r="E4640" s="20" t="str">
        <f>""</f>
        <v/>
      </c>
      <c r="F4640" s="20" t="str">
        <f>IF($C4640="","",Registro_Ventas!$G$26)</f>
        <v/>
      </c>
      <c r="G4640" t="str">
        <f>IF($C4640="","","Por la venta segun comprobante a "&amp;Registro_Ventas!$E$26)</f>
        <v/>
      </c>
      <c r="H4640" t="str">
        <f>IF($C4640="","",Registro_Ventas!$C$26)</f>
        <v/>
      </c>
    </row>
    <row r="4641" spans="1:8" x14ac:dyDescent="0.25">
      <c r="A4641" s="25" t="str">
        <f>IF($C4641="","",Registro_Ventas!$B$26)</f>
        <v/>
      </c>
      <c r="B4641" t="str">
        <f>IF($C4641="","","V"&amp;TEXT(INT((ROW()-4507)/6)+1,"000")&amp;"-1")</f>
        <v/>
      </c>
      <c r="C4641" t="str">
        <f>IF(Registro_Ventas!$C$26="","","40111")</f>
        <v/>
      </c>
      <c r="D4641" t="str">
        <f>IF($C4641="","","IGV - Cuenta Propia (Debito Fiscal)")</f>
        <v/>
      </c>
      <c r="E4641" s="20" t="str">
        <f>""</f>
        <v/>
      </c>
      <c r="F4641" s="20" t="str">
        <f>IF($C4641="","",Registro_Ventas!$H$26)</f>
        <v/>
      </c>
      <c r="G4641" t="str">
        <f>IF($C4641="","","Por la venta segun comprobante a "&amp;Registro_Ventas!$E$26)</f>
        <v/>
      </c>
      <c r="H4641" t="str">
        <f>IF($C4641="","",Registro_Ventas!$C$26)</f>
        <v/>
      </c>
    </row>
    <row r="4642" spans="1:8" x14ac:dyDescent="0.25">
      <c r="A4642" s="25" t="str">
        <f>IF($C4642="","",Registro_Ventas!$P$26)</f>
        <v/>
      </c>
      <c r="B4642" t="str">
        <f>IF($C4642="","","V"&amp;TEXT(INT((ROW()-4507)/6)+1,"000")&amp;"-2")</f>
        <v/>
      </c>
      <c r="C4642" t="str">
        <f>IF(OR(Registro_Ventas!$C$26="",Registro_Ventas!$O$26&lt;&gt;"SI"),"","1041")</f>
        <v/>
      </c>
      <c r="D4642" t="str">
        <f>IF($C4642="","","Efectivo y Equivalentes - Cta. Cte. Operativa")</f>
        <v/>
      </c>
      <c r="E4642" s="20" t="str">
        <f>IF($C4642="","",Registro_Ventas!$N$26)</f>
        <v/>
      </c>
      <c r="F4642" s="20" t="str">
        <f>""</f>
        <v/>
      </c>
      <c r="G4642" t="str">
        <f>IF($C4642="","","Por la cobranza de la factura")</f>
        <v/>
      </c>
      <c r="H4642" t="str">
        <f>IF($C4642="","",Registro_Ventas!$C$26)</f>
        <v/>
      </c>
    </row>
    <row r="4643" spans="1:8" x14ac:dyDescent="0.25">
      <c r="A4643" s="25" t="str">
        <f>IF($C4643="","",Registro_Ventas!$P$26)</f>
        <v/>
      </c>
      <c r="B4643" t="str">
        <f>IF($C4643="","","V"&amp;TEXT(INT((ROW()-4507)/6)+1,"000")&amp;"-2")</f>
        <v/>
      </c>
      <c r="C4643" t="str">
        <f>IF(OR(OR(Registro_Ventas!$C$26="",Registro_Ventas!$O$26&lt;&gt;"SI"),Registro_Ventas!$J$26&lt;&gt;"SI"),"","1049")</f>
        <v/>
      </c>
      <c r="D4643" t="str">
        <f>IF($C4643="","","Efectivo - Cuenta de Detracciones (Banco de la Nacion)")</f>
        <v/>
      </c>
      <c r="E4643" s="20" t="str">
        <f>IF($C4643="","",Registro_Ventas!$M$26)</f>
        <v/>
      </c>
      <c r="F4643" s="20" t="str">
        <f>""</f>
        <v/>
      </c>
      <c r="G4643" t="str">
        <f>IF($C4643="","","Detraccion retenida por el cliente")</f>
        <v/>
      </c>
      <c r="H4643" t="str">
        <f>IF($C4643="","",Registro_Ventas!$C$26)</f>
        <v/>
      </c>
    </row>
    <row r="4644" spans="1:8" x14ac:dyDescent="0.25">
      <c r="A4644" s="25" t="str">
        <f>IF($C4644="","",Registro_Ventas!$P$26)</f>
        <v/>
      </c>
      <c r="B4644" t="str">
        <f>IF($C4644="","","V"&amp;TEXT(INT((ROW()-4507)/6)+1,"000")&amp;"-2")</f>
        <v/>
      </c>
      <c r="C4644" t="str">
        <f>IF(OR(Registro_Ventas!$C$26="",Registro_Ventas!$O$26&lt;&gt;"SI"),"","12")</f>
        <v/>
      </c>
      <c r="D4644" t="str">
        <f>IF($C4644="","","Cuentas por Cobrar Comerciales - Terceros")</f>
        <v/>
      </c>
      <c r="E4644" s="20" t="str">
        <f>""</f>
        <v/>
      </c>
      <c r="F4644" s="20" t="str">
        <f>IF($C4644="","",Registro_Ventas!$I$26)</f>
        <v/>
      </c>
      <c r="G4644" t="str">
        <f>IF($C4644="","","Por la cobranza de la factura")</f>
        <v/>
      </c>
      <c r="H4644" t="str">
        <f>IF($C4644="","",Registro_Ventas!$C$26)</f>
        <v/>
      </c>
    </row>
    <row r="4645" spans="1:8" x14ac:dyDescent="0.25">
      <c r="A4645" s="25" t="str">
        <f>IF($C4645="","",Registro_Ventas!$B$27)</f>
        <v/>
      </c>
      <c r="B4645" t="str">
        <f>IF($C4645="","","V"&amp;TEXT(INT((ROW()-4507)/6)+1,"000")&amp;"-1")</f>
        <v/>
      </c>
      <c r="C4645" t="str">
        <f>IF(Registro_Ventas!$C$27="","","12")</f>
        <v/>
      </c>
      <c r="D4645" t="str">
        <f>IF($C4645="","","Cuentas por Cobrar Comerciales - Terceros")</f>
        <v/>
      </c>
      <c r="E4645" s="20" t="str">
        <f>IF($C4645="","",Registro_Ventas!$I$27)</f>
        <v/>
      </c>
      <c r="F4645" s="20" t="str">
        <f>""</f>
        <v/>
      </c>
      <c r="G4645" t="str">
        <f>IF($C4645="","","Por la venta segun comprobante a "&amp;Registro_Ventas!$E$27)</f>
        <v/>
      </c>
      <c r="H4645" t="str">
        <f>IF($C4645="","",Registro_Ventas!$C$27)</f>
        <v/>
      </c>
    </row>
    <row r="4646" spans="1:8" x14ac:dyDescent="0.25">
      <c r="A4646" s="25" t="str">
        <f>IF($C4646="","",Registro_Ventas!$B$27)</f>
        <v/>
      </c>
      <c r="B4646" t="str">
        <f>IF($C4646="","","V"&amp;TEXT(INT((ROW()-4507)/6)+1,"000")&amp;"-1")</f>
        <v/>
      </c>
      <c r="C4646" t="str">
        <f>IF(Registro_Ventas!$C$27="","","70")</f>
        <v/>
      </c>
      <c r="D4646" t="str">
        <f>IF($C4646="","","Ventas")</f>
        <v/>
      </c>
      <c r="E4646" s="20" t="str">
        <f>""</f>
        <v/>
      </c>
      <c r="F4646" s="20" t="str">
        <f>IF($C4646="","",Registro_Ventas!$G$27)</f>
        <v/>
      </c>
      <c r="G4646" t="str">
        <f>IF($C4646="","","Por la venta segun comprobante a "&amp;Registro_Ventas!$E$27)</f>
        <v/>
      </c>
      <c r="H4646" t="str">
        <f>IF($C4646="","",Registro_Ventas!$C$27)</f>
        <v/>
      </c>
    </row>
    <row r="4647" spans="1:8" x14ac:dyDescent="0.25">
      <c r="A4647" s="25" t="str">
        <f>IF($C4647="","",Registro_Ventas!$B$27)</f>
        <v/>
      </c>
      <c r="B4647" t="str">
        <f>IF($C4647="","","V"&amp;TEXT(INT((ROW()-4507)/6)+1,"000")&amp;"-1")</f>
        <v/>
      </c>
      <c r="C4647" t="str">
        <f>IF(Registro_Ventas!$C$27="","","40111")</f>
        <v/>
      </c>
      <c r="D4647" t="str">
        <f>IF($C4647="","","IGV - Cuenta Propia (Debito Fiscal)")</f>
        <v/>
      </c>
      <c r="E4647" s="20" t="str">
        <f>""</f>
        <v/>
      </c>
      <c r="F4647" s="20" t="str">
        <f>IF($C4647="","",Registro_Ventas!$H$27)</f>
        <v/>
      </c>
      <c r="G4647" t="str">
        <f>IF($C4647="","","Por la venta segun comprobante a "&amp;Registro_Ventas!$E$27)</f>
        <v/>
      </c>
      <c r="H4647" t="str">
        <f>IF($C4647="","",Registro_Ventas!$C$27)</f>
        <v/>
      </c>
    </row>
    <row r="4648" spans="1:8" x14ac:dyDescent="0.25">
      <c r="A4648" s="25" t="str">
        <f>IF($C4648="","",Registro_Ventas!$P$27)</f>
        <v/>
      </c>
      <c r="B4648" t="str">
        <f>IF($C4648="","","V"&amp;TEXT(INT((ROW()-4507)/6)+1,"000")&amp;"-2")</f>
        <v/>
      </c>
      <c r="C4648" t="str">
        <f>IF(OR(Registro_Ventas!$C$27="",Registro_Ventas!$O$27&lt;&gt;"SI"),"","1041")</f>
        <v/>
      </c>
      <c r="D4648" t="str">
        <f>IF($C4648="","","Efectivo y Equivalentes - Cta. Cte. Operativa")</f>
        <v/>
      </c>
      <c r="E4648" s="20" t="str">
        <f>IF($C4648="","",Registro_Ventas!$N$27)</f>
        <v/>
      </c>
      <c r="F4648" s="20" t="str">
        <f>""</f>
        <v/>
      </c>
      <c r="G4648" t="str">
        <f>IF($C4648="","","Por la cobranza de la factura")</f>
        <v/>
      </c>
      <c r="H4648" t="str">
        <f>IF($C4648="","",Registro_Ventas!$C$27)</f>
        <v/>
      </c>
    </row>
    <row r="4649" spans="1:8" x14ac:dyDescent="0.25">
      <c r="A4649" s="25" t="str">
        <f>IF($C4649="","",Registro_Ventas!$P$27)</f>
        <v/>
      </c>
      <c r="B4649" t="str">
        <f>IF($C4649="","","V"&amp;TEXT(INT((ROW()-4507)/6)+1,"000")&amp;"-2")</f>
        <v/>
      </c>
      <c r="C4649" t="str">
        <f>IF(OR(OR(Registro_Ventas!$C$27="",Registro_Ventas!$O$27&lt;&gt;"SI"),Registro_Ventas!$J$27&lt;&gt;"SI"),"","1049")</f>
        <v/>
      </c>
      <c r="D4649" t="str">
        <f>IF($C4649="","","Efectivo - Cuenta de Detracciones (Banco de la Nacion)")</f>
        <v/>
      </c>
      <c r="E4649" s="20" t="str">
        <f>IF($C4649="","",Registro_Ventas!$M$27)</f>
        <v/>
      </c>
      <c r="F4649" s="20" t="str">
        <f>""</f>
        <v/>
      </c>
      <c r="G4649" t="str">
        <f>IF($C4649="","","Detraccion retenida por el cliente")</f>
        <v/>
      </c>
      <c r="H4649" t="str">
        <f>IF($C4649="","",Registro_Ventas!$C$27)</f>
        <v/>
      </c>
    </row>
    <row r="4650" spans="1:8" x14ac:dyDescent="0.25">
      <c r="A4650" s="25" t="str">
        <f>IF($C4650="","",Registro_Ventas!$P$27)</f>
        <v/>
      </c>
      <c r="B4650" t="str">
        <f>IF($C4650="","","V"&amp;TEXT(INT((ROW()-4507)/6)+1,"000")&amp;"-2")</f>
        <v/>
      </c>
      <c r="C4650" t="str">
        <f>IF(OR(Registro_Ventas!$C$27="",Registro_Ventas!$O$27&lt;&gt;"SI"),"","12")</f>
        <v/>
      </c>
      <c r="D4650" t="str">
        <f>IF($C4650="","","Cuentas por Cobrar Comerciales - Terceros")</f>
        <v/>
      </c>
      <c r="E4650" s="20" t="str">
        <f>""</f>
        <v/>
      </c>
      <c r="F4650" s="20" t="str">
        <f>IF($C4650="","",Registro_Ventas!$I$27)</f>
        <v/>
      </c>
      <c r="G4650" t="str">
        <f>IF($C4650="","","Por la cobranza de la factura")</f>
        <v/>
      </c>
      <c r="H4650" t="str">
        <f>IF($C4650="","",Registro_Ventas!$C$27)</f>
        <v/>
      </c>
    </row>
    <row r="4651" spans="1:8" x14ac:dyDescent="0.25">
      <c r="A4651" s="25" t="str">
        <f>IF($C4651="","",Registro_Ventas!$B$28)</f>
        <v/>
      </c>
      <c r="B4651" t="str">
        <f>IF($C4651="","","V"&amp;TEXT(INT((ROW()-4507)/6)+1,"000")&amp;"-1")</f>
        <v/>
      </c>
      <c r="C4651" t="str">
        <f>IF(Registro_Ventas!$C$28="","","12")</f>
        <v/>
      </c>
      <c r="D4651" t="str">
        <f>IF($C4651="","","Cuentas por Cobrar Comerciales - Terceros")</f>
        <v/>
      </c>
      <c r="E4651" s="20" t="str">
        <f>IF($C4651="","",Registro_Ventas!$I$28)</f>
        <v/>
      </c>
      <c r="F4651" s="20" t="str">
        <f>""</f>
        <v/>
      </c>
      <c r="G4651" t="str">
        <f>IF($C4651="","","Por la venta segun comprobante a "&amp;Registro_Ventas!$E$28)</f>
        <v/>
      </c>
      <c r="H4651" t="str">
        <f>IF($C4651="","",Registro_Ventas!$C$28)</f>
        <v/>
      </c>
    </row>
    <row r="4652" spans="1:8" x14ac:dyDescent="0.25">
      <c r="A4652" s="25" t="str">
        <f>IF($C4652="","",Registro_Ventas!$B$28)</f>
        <v/>
      </c>
      <c r="B4652" t="str">
        <f>IF($C4652="","","V"&amp;TEXT(INT((ROW()-4507)/6)+1,"000")&amp;"-1")</f>
        <v/>
      </c>
      <c r="C4652" t="str">
        <f>IF(Registro_Ventas!$C$28="","","70")</f>
        <v/>
      </c>
      <c r="D4652" t="str">
        <f>IF($C4652="","","Ventas")</f>
        <v/>
      </c>
      <c r="E4652" s="20" t="str">
        <f>""</f>
        <v/>
      </c>
      <c r="F4652" s="20" t="str">
        <f>IF($C4652="","",Registro_Ventas!$G$28)</f>
        <v/>
      </c>
      <c r="G4652" t="str">
        <f>IF($C4652="","","Por la venta segun comprobante a "&amp;Registro_Ventas!$E$28)</f>
        <v/>
      </c>
      <c r="H4652" t="str">
        <f>IF($C4652="","",Registro_Ventas!$C$28)</f>
        <v/>
      </c>
    </row>
    <row r="4653" spans="1:8" x14ac:dyDescent="0.25">
      <c r="A4653" s="25" t="str">
        <f>IF($C4653="","",Registro_Ventas!$B$28)</f>
        <v/>
      </c>
      <c r="B4653" t="str">
        <f>IF($C4653="","","V"&amp;TEXT(INT((ROW()-4507)/6)+1,"000")&amp;"-1")</f>
        <v/>
      </c>
      <c r="C4653" t="str">
        <f>IF(Registro_Ventas!$C$28="","","40111")</f>
        <v/>
      </c>
      <c r="D4653" t="str">
        <f>IF($C4653="","","IGV - Cuenta Propia (Debito Fiscal)")</f>
        <v/>
      </c>
      <c r="E4653" s="20" t="str">
        <f>""</f>
        <v/>
      </c>
      <c r="F4653" s="20" t="str">
        <f>IF($C4653="","",Registro_Ventas!$H$28)</f>
        <v/>
      </c>
      <c r="G4653" t="str">
        <f>IF($C4653="","","Por la venta segun comprobante a "&amp;Registro_Ventas!$E$28)</f>
        <v/>
      </c>
      <c r="H4653" t="str">
        <f>IF($C4653="","",Registro_Ventas!$C$28)</f>
        <v/>
      </c>
    </row>
    <row r="4654" spans="1:8" x14ac:dyDescent="0.25">
      <c r="A4654" s="25" t="str">
        <f>IF($C4654="","",Registro_Ventas!$P$28)</f>
        <v/>
      </c>
      <c r="B4654" t="str">
        <f>IF($C4654="","","V"&amp;TEXT(INT((ROW()-4507)/6)+1,"000")&amp;"-2")</f>
        <v/>
      </c>
      <c r="C4654" t="str">
        <f>IF(OR(Registro_Ventas!$C$28="",Registro_Ventas!$O$28&lt;&gt;"SI"),"","1041")</f>
        <v/>
      </c>
      <c r="D4654" t="str">
        <f>IF($C4654="","","Efectivo y Equivalentes - Cta. Cte. Operativa")</f>
        <v/>
      </c>
      <c r="E4654" s="20" t="str">
        <f>IF($C4654="","",Registro_Ventas!$N$28)</f>
        <v/>
      </c>
      <c r="F4654" s="20" t="str">
        <f>""</f>
        <v/>
      </c>
      <c r="G4654" t="str">
        <f>IF($C4654="","","Por la cobranza de la factura")</f>
        <v/>
      </c>
      <c r="H4654" t="str">
        <f>IF($C4654="","",Registro_Ventas!$C$28)</f>
        <v/>
      </c>
    </row>
    <row r="4655" spans="1:8" x14ac:dyDescent="0.25">
      <c r="A4655" s="25" t="str">
        <f>IF($C4655="","",Registro_Ventas!$P$28)</f>
        <v/>
      </c>
      <c r="B4655" t="str">
        <f>IF($C4655="","","V"&amp;TEXT(INT((ROW()-4507)/6)+1,"000")&amp;"-2")</f>
        <v/>
      </c>
      <c r="C4655" t="str">
        <f>IF(OR(OR(Registro_Ventas!$C$28="",Registro_Ventas!$O$28&lt;&gt;"SI"),Registro_Ventas!$J$28&lt;&gt;"SI"),"","1049")</f>
        <v/>
      </c>
      <c r="D4655" t="str">
        <f>IF($C4655="","","Efectivo - Cuenta de Detracciones (Banco de la Nacion)")</f>
        <v/>
      </c>
      <c r="E4655" s="20" t="str">
        <f>IF($C4655="","",Registro_Ventas!$M$28)</f>
        <v/>
      </c>
      <c r="F4655" s="20" t="str">
        <f>""</f>
        <v/>
      </c>
      <c r="G4655" t="str">
        <f>IF($C4655="","","Detraccion retenida por el cliente")</f>
        <v/>
      </c>
      <c r="H4655" t="str">
        <f>IF($C4655="","",Registro_Ventas!$C$28)</f>
        <v/>
      </c>
    </row>
    <row r="4656" spans="1:8" x14ac:dyDescent="0.25">
      <c r="A4656" s="25" t="str">
        <f>IF($C4656="","",Registro_Ventas!$P$28)</f>
        <v/>
      </c>
      <c r="B4656" t="str">
        <f>IF($C4656="","","V"&amp;TEXT(INT((ROW()-4507)/6)+1,"000")&amp;"-2")</f>
        <v/>
      </c>
      <c r="C4656" t="str">
        <f>IF(OR(Registro_Ventas!$C$28="",Registro_Ventas!$O$28&lt;&gt;"SI"),"","12")</f>
        <v/>
      </c>
      <c r="D4656" t="str">
        <f>IF($C4656="","","Cuentas por Cobrar Comerciales - Terceros")</f>
        <v/>
      </c>
      <c r="E4656" s="20" t="str">
        <f>""</f>
        <v/>
      </c>
      <c r="F4656" s="20" t="str">
        <f>IF($C4656="","",Registro_Ventas!$I$28)</f>
        <v/>
      </c>
      <c r="G4656" t="str">
        <f>IF($C4656="","","Por la cobranza de la factura")</f>
        <v/>
      </c>
      <c r="H4656" t="str">
        <f>IF($C4656="","",Registro_Ventas!$C$28)</f>
        <v/>
      </c>
    </row>
    <row r="4657" spans="1:8" x14ac:dyDescent="0.25">
      <c r="A4657" s="25" t="str">
        <f>IF($C4657="","",Registro_Ventas!$B$29)</f>
        <v/>
      </c>
      <c r="B4657" t="str">
        <f>IF($C4657="","","V"&amp;TEXT(INT((ROW()-4507)/6)+1,"000")&amp;"-1")</f>
        <v/>
      </c>
      <c r="C4657" t="str">
        <f>IF(Registro_Ventas!$C$29="","","12")</f>
        <v/>
      </c>
      <c r="D4657" t="str">
        <f>IF($C4657="","","Cuentas por Cobrar Comerciales - Terceros")</f>
        <v/>
      </c>
      <c r="E4657" s="20" t="str">
        <f>IF($C4657="","",Registro_Ventas!$I$29)</f>
        <v/>
      </c>
      <c r="F4657" s="20" t="str">
        <f>""</f>
        <v/>
      </c>
      <c r="G4657" t="str">
        <f>IF($C4657="","","Por la venta segun comprobante a "&amp;Registro_Ventas!$E$29)</f>
        <v/>
      </c>
      <c r="H4657" t="str">
        <f>IF($C4657="","",Registro_Ventas!$C$29)</f>
        <v/>
      </c>
    </row>
    <row r="4658" spans="1:8" x14ac:dyDescent="0.25">
      <c r="A4658" s="25" t="str">
        <f>IF($C4658="","",Registro_Ventas!$B$29)</f>
        <v/>
      </c>
      <c r="B4658" t="str">
        <f>IF($C4658="","","V"&amp;TEXT(INT((ROW()-4507)/6)+1,"000")&amp;"-1")</f>
        <v/>
      </c>
      <c r="C4658" t="str">
        <f>IF(Registro_Ventas!$C$29="","","70")</f>
        <v/>
      </c>
      <c r="D4658" t="str">
        <f>IF($C4658="","","Ventas")</f>
        <v/>
      </c>
      <c r="E4658" s="20" t="str">
        <f>""</f>
        <v/>
      </c>
      <c r="F4658" s="20" t="str">
        <f>IF($C4658="","",Registro_Ventas!$G$29)</f>
        <v/>
      </c>
      <c r="G4658" t="str">
        <f>IF($C4658="","","Por la venta segun comprobante a "&amp;Registro_Ventas!$E$29)</f>
        <v/>
      </c>
      <c r="H4658" t="str">
        <f>IF($C4658="","",Registro_Ventas!$C$29)</f>
        <v/>
      </c>
    </row>
    <row r="4659" spans="1:8" x14ac:dyDescent="0.25">
      <c r="A4659" s="25" t="str">
        <f>IF($C4659="","",Registro_Ventas!$B$29)</f>
        <v/>
      </c>
      <c r="B4659" t="str">
        <f>IF($C4659="","","V"&amp;TEXT(INT((ROW()-4507)/6)+1,"000")&amp;"-1")</f>
        <v/>
      </c>
      <c r="C4659" t="str">
        <f>IF(Registro_Ventas!$C$29="","","40111")</f>
        <v/>
      </c>
      <c r="D4659" t="str">
        <f>IF($C4659="","","IGV - Cuenta Propia (Debito Fiscal)")</f>
        <v/>
      </c>
      <c r="E4659" s="20" t="str">
        <f>""</f>
        <v/>
      </c>
      <c r="F4659" s="20" t="str">
        <f>IF($C4659="","",Registro_Ventas!$H$29)</f>
        <v/>
      </c>
      <c r="G4659" t="str">
        <f>IF($C4659="","","Por la venta segun comprobante a "&amp;Registro_Ventas!$E$29)</f>
        <v/>
      </c>
      <c r="H4659" t="str">
        <f>IF($C4659="","",Registro_Ventas!$C$29)</f>
        <v/>
      </c>
    </row>
    <row r="4660" spans="1:8" x14ac:dyDescent="0.25">
      <c r="A4660" s="25" t="str">
        <f>IF($C4660="","",Registro_Ventas!$P$29)</f>
        <v/>
      </c>
      <c r="B4660" t="str">
        <f>IF($C4660="","","V"&amp;TEXT(INT((ROW()-4507)/6)+1,"000")&amp;"-2")</f>
        <v/>
      </c>
      <c r="C4660" t="str">
        <f>IF(OR(Registro_Ventas!$C$29="",Registro_Ventas!$O$29&lt;&gt;"SI"),"","1041")</f>
        <v/>
      </c>
      <c r="D4660" t="str">
        <f>IF($C4660="","","Efectivo y Equivalentes - Cta. Cte. Operativa")</f>
        <v/>
      </c>
      <c r="E4660" s="20" t="str">
        <f>IF($C4660="","",Registro_Ventas!$N$29)</f>
        <v/>
      </c>
      <c r="F4660" s="20" t="str">
        <f>""</f>
        <v/>
      </c>
      <c r="G4660" t="str">
        <f>IF($C4660="","","Por la cobranza de la factura")</f>
        <v/>
      </c>
      <c r="H4660" t="str">
        <f>IF($C4660="","",Registro_Ventas!$C$29)</f>
        <v/>
      </c>
    </row>
    <row r="4661" spans="1:8" x14ac:dyDescent="0.25">
      <c r="A4661" s="25" t="str">
        <f>IF($C4661="","",Registro_Ventas!$P$29)</f>
        <v/>
      </c>
      <c r="B4661" t="str">
        <f>IF($C4661="","","V"&amp;TEXT(INT((ROW()-4507)/6)+1,"000")&amp;"-2")</f>
        <v/>
      </c>
      <c r="C4661" t="str">
        <f>IF(OR(OR(Registro_Ventas!$C$29="",Registro_Ventas!$O$29&lt;&gt;"SI"),Registro_Ventas!$J$29&lt;&gt;"SI"),"","1049")</f>
        <v/>
      </c>
      <c r="D4661" t="str">
        <f>IF($C4661="","","Efectivo - Cuenta de Detracciones (Banco de la Nacion)")</f>
        <v/>
      </c>
      <c r="E4661" s="20" t="str">
        <f>IF($C4661="","",Registro_Ventas!$M$29)</f>
        <v/>
      </c>
      <c r="F4661" s="20" t="str">
        <f>""</f>
        <v/>
      </c>
      <c r="G4661" t="str">
        <f>IF($C4661="","","Detraccion retenida por el cliente")</f>
        <v/>
      </c>
      <c r="H4661" t="str">
        <f>IF($C4661="","",Registro_Ventas!$C$29)</f>
        <v/>
      </c>
    </row>
    <row r="4662" spans="1:8" x14ac:dyDescent="0.25">
      <c r="A4662" s="25" t="str">
        <f>IF($C4662="","",Registro_Ventas!$P$29)</f>
        <v/>
      </c>
      <c r="B4662" t="str">
        <f>IF($C4662="","","V"&amp;TEXT(INT((ROW()-4507)/6)+1,"000")&amp;"-2")</f>
        <v/>
      </c>
      <c r="C4662" t="str">
        <f>IF(OR(Registro_Ventas!$C$29="",Registro_Ventas!$O$29&lt;&gt;"SI"),"","12")</f>
        <v/>
      </c>
      <c r="D4662" t="str">
        <f>IF($C4662="","","Cuentas por Cobrar Comerciales - Terceros")</f>
        <v/>
      </c>
      <c r="E4662" s="20" t="str">
        <f>""</f>
        <v/>
      </c>
      <c r="F4662" s="20" t="str">
        <f>IF($C4662="","",Registro_Ventas!$I$29)</f>
        <v/>
      </c>
      <c r="G4662" t="str">
        <f>IF($C4662="","","Por la cobranza de la factura")</f>
        <v/>
      </c>
      <c r="H4662" t="str">
        <f>IF($C4662="","",Registro_Ventas!$C$29)</f>
        <v/>
      </c>
    </row>
    <row r="4663" spans="1:8" x14ac:dyDescent="0.25">
      <c r="A4663" s="25" t="str">
        <f>IF($C4663="","",Registro_Ventas!$B$30)</f>
        <v/>
      </c>
      <c r="B4663" t="str">
        <f>IF($C4663="","","V"&amp;TEXT(INT((ROW()-4507)/6)+1,"000")&amp;"-1")</f>
        <v/>
      </c>
      <c r="C4663" t="str">
        <f>IF(Registro_Ventas!$C$30="","","12")</f>
        <v/>
      </c>
      <c r="D4663" t="str">
        <f>IF($C4663="","","Cuentas por Cobrar Comerciales - Terceros")</f>
        <v/>
      </c>
      <c r="E4663" s="20" t="str">
        <f>IF($C4663="","",Registro_Ventas!$I$30)</f>
        <v/>
      </c>
      <c r="F4663" s="20" t="str">
        <f>""</f>
        <v/>
      </c>
      <c r="G4663" t="str">
        <f>IF($C4663="","","Por la venta segun comprobante a "&amp;Registro_Ventas!$E$30)</f>
        <v/>
      </c>
      <c r="H4663" t="str">
        <f>IF($C4663="","",Registro_Ventas!$C$30)</f>
        <v/>
      </c>
    </row>
    <row r="4664" spans="1:8" x14ac:dyDescent="0.25">
      <c r="A4664" s="25" t="str">
        <f>IF($C4664="","",Registro_Ventas!$B$30)</f>
        <v/>
      </c>
      <c r="B4664" t="str">
        <f>IF($C4664="","","V"&amp;TEXT(INT((ROW()-4507)/6)+1,"000")&amp;"-1")</f>
        <v/>
      </c>
      <c r="C4664" t="str">
        <f>IF(Registro_Ventas!$C$30="","","70")</f>
        <v/>
      </c>
      <c r="D4664" t="str">
        <f>IF($C4664="","","Ventas")</f>
        <v/>
      </c>
      <c r="E4664" s="20" t="str">
        <f>""</f>
        <v/>
      </c>
      <c r="F4664" s="20" t="str">
        <f>IF($C4664="","",Registro_Ventas!$G$30)</f>
        <v/>
      </c>
      <c r="G4664" t="str">
        <f>IF($C4664="","","Por la venta segun comprobante a "&amp;Registro_Ventas!$E$30)</f>
        <v/>
      </c>
      <c r="H4664" t="str">
        <f>IF($C4664="","",Registro_Ventas!$C$30)</f>
        <v/>
      </c>
    </row>
    <row r="4665" spans="1:8" x14ac:dyDescent="0.25">
      <c r="A4665" s="25" t="str">
        <f>IF($C4665="","",Registro_Ventas!$B$30)</f>
        <v/>
      </c>
      <c r="B4665" t="str">
        <f>IF($C4665="","","V"&amp;TEXT(INT((ROW()-4507)/6)+1,"000")&amp;"-1")</f>
        <v/>
      </c>
      <c r="C4665" t="str">
        <f>IF(Registro_Ventas!$C$30="","","40111")</f>
        <v/>
      </c>
      <c r="D4665" t="str">
        <f>IF($C4665="","","IGV - Cuenta Propia (Debito Fiscal)")</f>
        <v/>
      </c>
      <c r="E4665" s="20" t="str">
        <f>""</f>
        <v/>
      </c>
      <c r="F4665" s="20" t="str">
        <f>IF($C4665="","",Registro_Ventas!$H$30)</f>
        <v/>
      </c>
      <c r="G4665" t="str">
        <f>IF($C4665="","","Por la venta segun comprobante a "&amp;Registro_Ventas!$E$30)</f>
        <v/>
      </c>
      <c r="H4665" t="str">
        <f>IF($C4665="","",Registro_Ventas!$C$30)</f>
        <v/>
      </c>
    </row>
    <row r="4666" spans="1:8" x14ac:dyDescent="0.25">
      <c r="A4666" s="25" t="str">
        <f>IF($C4666="","",Registro_Ventas!$P$30)</f>
        <v/>
      </c>
      <c r="B4666" t="str">
        <f>IF($C4666="","","V"&amp;TEXT(INT((ROW()-4507)/6)+1,"000")&amp;"-2")</f>
        <v/>
      </c>
      <c r="C4666" t="str">
        <f>IF(OR(Registro_Ventas!$C$30="",Registro_Ventas!$O$30&lt;&gt;"SI"),"","1041")</f>
        <v/>
      </c>
      <c r="D4666" t="str">
        <f>IF($C4666="","","Efectivo y Equivalentes - Cta. Cte. Operativa")</f>
        <v/>
      </c>
      <c r="E4666" s="20" t="str">
        <f>IF($C4666="","",Registro_Ventas!$N$30)</f>
        <v/>
      </c>
      <c r="F4666" s="20" t="str">
        <f>""</f>
        <v/>
      </c>
      <c r="G4666" t="str">
        <f>IF($C4666="","","Por la cobranza de la factura")</f>
        <v/>
      </c>
      <c r="H4666" t="str">
        <f>IF($C4666="","",Registro_Ventas!$C$30)</f>
        <v/>
      </c>
    </row>
    <row r="4667" spans="1:8" x14ac:dyDescent="0.25">
      <c r="A4667" s="25" t="str">
        <f>IF($C4667="","",Registro_Ventas!$P$30)</f>
        <v/>
      </c>
      <c r="B4667" t="str">
        <f>IF($C4667="","","V"&amp;TEXT(INT((ROW()-4507)/6)+1,"000")&amp;"-2")</f>
        <v/>
      </c>
      <c r="C4667" t="str">
        <f>IF(OR(OR(Registro_Ventas!$C$30="",Registro_Ventas!$O$30&lt;&gt;"SI"),Registro_Ventas!$J$30&lt;&gt;"SI"),"","1049")</f>
        <v/>
      </c>
      <c r="D4667" t="str">
        <f>IF($C4667="","","Efectivo - Cuenta de Detracciones (Banco de la Nacion)")</f>
        <v/>
      </c>
      <c r="E4667" s="20" t="str">
        <f>IF($C4667="","",Registro_Ventas!$M$30)</f>
        <v/>
      </c>
      <c r="F4667" s="20" t="str">
        <f>""</f>
        <v/>
      </c>
      <c r="G4667" t="str">
        <f>IF($C4667="","","Detraccion retenida por el cliente")</f>
        <v/>
      </c>
      <c r="H4667" t="str">
        <f>IF($C4667="","",Registro_Ventas!$C$30)</f>
        <v/>
      </c>
    </row>
    <row r="4668" spans="1:8" x14ac:dyDescent="0.25">
      <c r="A4668" s="25" t="str">
        <f>IF($C4668="","",Registro_Ventas!$P$30)</f>
        <v/>
      </c>
      <c r="B4668" t="str">
        <f>IF($C4668="","","V"&amp;TEXT(INT((ROW()-4507)/6)+1,"000")&amp;"-2")</f>
        <v/>
      </c>
      <c r="C4668" t="str">
        <f>IF(OR(Registro_Ventas!$C$30="",Registro_Ventas!$O$30&lt;&gt;"SI"),"","12")</f>
        <v/>
      </c>
      <c r="D4668" t="str">
        <f>IF($C4668="","","Cuentas por Cobrar Comerciales - Terceros")</f>
        <v/>
      </c>
      <c r="E4668" s="20" t="str">
        <f>""</f>
        <v/>
      </c>
      <c r="F4668" s="20" t="str">
        <f>IF($C4668="","",Registro_Ventas!$I$30)</f>
        <v/>
      </c>
      <c r="G4668" t="str">
        <f>IF($C4668="","","Por la cobranza de la factura")</f>
        <v/>
      </c>
      <c r="H4668" t="str">
        <f>IF($C4668="","",Registro_Ventas!$C$30)</f>
        <v/>
      </c>
    </row>
    <row r="4669" spans="1:8" x14ac:dyDescent="0.25">
      <c r="A4669" s="25" t="str">
        <f>IF($C4669="","",Registro_Ventas!$B$31)</f>
        <v/>
      </c>
      <c r="B4669" t="str">
        <f>IF($C4669="","","V"&amp;TEXT(INT((ROW()-4507)/6)+1,"000")&amp;"-1")</f>
        <v/>
      </c>
      <c r="C4669" t="str">
        <f>IF(Registro_Ventas!$C$31="","","12")</f>
        <v/>
      </c>
      <c r="D4669" t="str">
        <f>IF($C4669="","","Cuentas por Cobrar Comerciales - Terceros")</f>
        <v/>
      </c>
      <c r="E4669" s="20" t="str">
        <f>IF($C4669="","",Registro_Ventas!$I$31)</f>
        <v/>
      </c>
      <c r="F4669" s="20" t="str">
        <f>""</f>
        <v/>
      </c>
      <c r="G4669" t="str">
        <f>IF($C4669="","","Por la venta segun comprobante a "&amp;Registro_Ventas!$E$31)</f>
        <v/>
      </c>
      <c r="H4669" t="str">
        <f>IF($C4669="","",Registro_Ventas!$C$31)</f>
        <v/>
      </c>
    </row>
    <row r="4670" spans="1:8" x14ac:dyDescent="0.25">
      <c r="A4670" s="25" t="str">
        <f>IF($C4670="","",Registro_Ventas!$B$31)</f>
        <v/>
      </c>
      <c r="B4670" t="str">
        <f>IF($C4670="","","V"&amp;TEXT(INT((ROW()-4507)/6)+1,"000")&amp;"-1")</f>
        <v/>
      </c>
      <c r="C4670" t="str">
        <f>IF(Registro_Ventas!$C$31="","","70")</f>
        <v/>
      </c>
      <c r="D4670" t="str">
        <f>IF($C4670="","","Ventas")</f>
        <v/>
      </c>
      <c r="E4670" s="20" t="str">
        <f>""</f>
        <v/>
      </c>
      <c r="F4670" s="20" t="str">
        <f>IF($C4670="","",Registro_Ventas!$G$31)</f>
        <v/>
      </c>
      <c r="G4670" t="str">
        <f>IF($C4670="","","Por la venta segun comprobante a "&amp;Registro_Ventas!$E$31)</f>
        <v/>
      </c>
      <c r="H4670" t="str">
        <f>IF($C4670="","",Registro_Ventas!$C$31)</f>
        <v/>
      </c>
    </row>
    <row r="4671" spans="1:8" x14ac:dyDescent="0.25">
      <c r="A4671" s="25" t="str">
        <f>IF($C4671="","",Registro_Ventas!$B$31)</f>
        <v/>
      </c>
      <c r="B4671" t="str">
        <f>IF($C4671="","","V"&amp;TEXT(INT((ROW()-4507)/6)+1,"000")&amp;"-1")</f>
        <v/>
      </c>
      <c r="C4671" t="str">
        <f>IF(Registro_Ventas!$C$31="","","40111")</f>
        <v/>
      </c>
      <c r="D4671" t="str">
        <f>IF($C4671="","","IGV - Cuenta Propia (Debito Fiscal)")</f>
        <v/>
      </c>
      <c r="E4671" s="20" t="str">
        <f>""</f>
        <v/>
      </c>
      <c r="F4671" s="20" t="str">
        <f>IF($C4671="","",Registro_Ventas!$H$31)</f>
        <v/>
      </c>
      <c r="G4671" t="str">
        <f>IF($C4671="","","Por la venta segun comprobante a "&amp;Registro_Ventas!$E$31)</f>
        <v/>
      </c>
      <c r="H4671" t="str">
        <f>IF($C4671="","",Registro_Ventas!$C$31)</f>
        <v/>
      </c>
    </row>
    <row r="4672" spans="1:8" x14ac:dyDescent="0.25">
      <c r="A4672" s="25" t="str">
        <f>IF($C4672="","",Registro_Ventas!$P$31)</f>
        <v/>
      </c>
      <c r="B4672" t="str">
        <f>IF($C4672="","","V"&amp;TEXT(INT((ROW()-4507)/6)+1,"000")&amp;"-2")</f>
        <v/>
      </c>
      <c r="C4672" t="str">
        <f>IF(OR(Registro_Ventas!$C$31="",Registro_Ventas!$O$31&lt;&gt;"SI"),"","1041")</f>
        <v/>
      </c>
      <c r="D4672" t="str">
        <f>IF($C4672="","","Efectivo y Equivalentes - Cta. Cte. Operativa")</f>
        <v/>
      </c>
      <c r="E4672" s="20" t="str">
        <f>IF($C4672="","",Registro_Ventas!$N$31)</f>
        <v/>
      </c>
      <c r="F4672" s="20" t="str">
        <f>""</f>
        <v/>
      </c>
      <c r="G4672" t="str">
        <f>IF($C4672="","","Por la cobranza de la factura")</f>
        <v/>
      </c>
      <c r="H4672" t="str">
        <f>IF($C4672="","",Registro_Ventas!$C$31)</f>
        <v/>
      </c>
    </row>
    <row r="4673" spans="1:8" x14ac:dyDescent="0.25">
      <c r="A4673" s="25" t="str">
        <f>IF($C4673="","",Registro_Ventas!$P$31)</f>
        <v/>
      </c>
      <c r="B4673" t="str">
        <f>IF($C4673="","","V"&amp;TEXT(INT((ROW()-4507)/6)+1,"000")&amp;"-2")</f>
        <v/>
      </c>
      <c r="C4673" t="str">
        <f>IF(OR(OR(Registro_Ventas!$C$31="",Registro_Ventas!$O$31&lt;&gt;"SI"),Registro_Ventas!$J$31&lt;&gt;"SI"),"","1049")</f>
        <v/>
      </c>
      <c r="D4673" t="str">
        <f>IF($C4673="","","Efectivo - Cuenta de Detracciones (Banco de la Nacion)")</f>
        <v/>
      </c>
      <c r="E4673" s="20" t="str">
        <f>IF($C4673="","",Registro_Ventas!$M$31)</f>
        <v/>
      </c>
      <c r="F4673" s="20" t="str">
        <f>""</f>
        <v/>
      </c>
      <c r="G4673" t="str">
        <f>IF($C4673="","","Detraccion retenida por el cliente")</f>
        <v/>
      </c>
      <c r="H4673" t="str">
        <f>IF($C4673="","",Registro_Ventas!$C$31)</f>
        <v/>
      </c>
    </row>
    <row r="4674" spans="1:8" x14ac:dyDescent="0.25">
      <c r="A4674" s="25" t="str">
        <f>IF($C4674="","",Registro_Ventas!$P$31)</f>
        <v/>
      </c>
      <c r="B4674" t="str">
        <f>IF($C4674="","","V"&amp;TEXT(INT((ROW()-4507)/6)+1,"000")&amp;"-2")</f>
        <v/>
      </c>
      <c r="C4674" t="str">
        <f>IF(OR(Registro_Ventas!$C$31="",Registro_Ventas!$O$31&lt;&gt;"SI"),"","12")</f>
        <v/>
      </c>
      <c r="D4674" t="str">
        <f>IF($C4674="","","Cuentas por Cobrar Comerciales - Terceros")</f>
        <v/>
      </c>
      <c r="E4674" s="20" t="str">
        <f>""</f>
        <v/>
      </c>
      <c r="F4674" s="20" t="str">
        <f>IF($C4674="","",Registro_Ventas!$I$31)</f>
        <v/>
      </c>
      <c r="G4674" t="str">
        <f>IF($C4674="","","Por la cobranza de la factura")</f>
        <v/>
      </c>
      <c r="H4674" t="str">
        <f>IF($C4674="","",Registro_Ventas!$C$31)</f>
        <v/>
      </c>
    </row>
    <row r="4675" spans="1:8" x14ac:dyDescent="0.25">
      <c r="A4675" s="25" t="str">
        <f>IF($C4675="","",Registro_Ventas!$B$32)</f>
        <v/>
      </c>
      <c r="B4675" t="str">
        <f>IF($C4675="","","V"&amp;TEXT(INT((ROW()-4507)/6)+1,"000")&amp;"-1")</f>
        <v/>
      </c>
      <c r="C4675" t="str">
        <f>IF(Registro_Ventas!$C$32="","","12")</f>
        <v/>
      </c>
      <c r="D4675" t="str">
        <f>IF($C4675="","","Cuentas por Cobrar Comerciales - Terceros")</f>
        <v/>
      </c>
      <c r="E4675" s="20" t="str">
        <f>IF($C4675="","",Registro_Ventas!$I$32)</f>
        <v/>
      </c>
      <c r="F4675" s="20" t="str">
        <f>""</f>
        <v/>
      </c>
      <c r="G4675" t="str">
        <f>IF($C4675="","","Por la venta segun comprobante a "&amp;Registro_Ventas!$E$32)</f>
        <v/>
      </c>
      <c r="H4675" t="str">
        <f>IF($C4675="","",Registro_Ventas!$C$32)</f>
        <v/>
      </c>
    </row>
    <row r="4676" spans="1:8" x14ac:dyDescent="0.25">
      <c r="A4676" s="25" t="str">
        <f>IF($C4676="","",Registro_Ventas!$B$32)</f>
        <v/>
      </c>
      <c r="B4676" t="str">
        <f>IF($C4676="","","V"&amp;TEXT(INT((ROW()-4507)/6)+1,"000")&amp;"-1")</f>
        <v/>
      </c>
      <c r="C4676" t="str">
        <f>IF(Registro_Ventas!$C$32="","","70")</f>
        <v/>
      </c>
      <c r="D4676" t="str">
        <f>IF($C4676="","","Ventas")</f>
        <v/>
      </c>
      <c r="E4676" s="20" t="str">
        <f>""</f>
        <v/>
      </c>
      <c r="F4676" s="20" t="str">
        <f>IF($C4676="","",Registro_Ventas!$G$32)</f>
        <v/>
      </c>
      <c r="G4676" t="str">
        <f>IF($C4676="","","Por la venta segun comprobante a "&amp;Registro_Ventas!$E$32)</f>
        <v/>
      </c>
      <c r="H4676" t="str">
        <f>IF($C4676="","",Registro_Ventas!$C$32)</f>
        <v/>
      </c>
    </row>
    <row r="4677" spans="1:8" x14ac:dyDescent="0.25">
      <c r="A4677" s="25" t="str">
        <f>IF($C4677="","",Registro_Ventas!$B$32)</f>
        <v/>
      </c>
      <c r="B4677" t="str">
        <f>IF($C4677="","","V"&amp;TEXT(INT((ROW()-4507)/6)+1,"000")&amp;"-1")</f>
        <v/>
      </c>
      <c r="C4677" t="str">
        <f>IF(Registro_Ventas!$C$32="","","40111")</f>
        <v/>
      </c>
      <c r="D4677" t="str">
        <f>IF($C4677="","","IGV - Cuenta Propia (Debito Fiscal)")</f>
        <v/>
      </c>
      <c r="E4677" s="20" t="str">
        <f>""</f>
        <v/>
      </c>
      <c r="F4677" s="20" t="str">
        <f>IF($C4677="","",Registro_Ventas!$H$32)</f>
        <v/>
      </c>
      <c r="G4677" t="str">
        <f>IF($C4677="","","Por la venta segun comprobante a "&amp;Registro_Ventas!$E$32)</f>
        <v/>
      </c>
      <c r="H4677" t="str">
        <f>IF($C4677="","",Registro_Ventas!$C$32)</f>
        <v/>
      </c>
    </row>
    <row r="4678" spans="1:8" x14ac:dyDescent="0.25">
      <c r="A4678" s="25" t="str">
        <f>IF($C4678="","",Registro_Ventas!$P$32)</f>
        <v/>
      </c>
      <c r="B4678" t="str">
        <f>IF($C4678="","","V"&amp;TEXT(INT((ROW()-4507)/6)+1,"000")&amp;"-2")</f>
        <v/>
      </c>
      <c r="C4678" t="str">
        <f>IF(OR(Registro_Ventas!$C$32="",Registro_Ventas!$O$32&lt;&gt;"SI"),"","1041")</f>
        <v/>
      </c>
      <c r="D4678" t="str">
        <f>IF($C4678="","","Efectivo y Equivalentes - Cta. Cte. Operativa")</f>
        <v/>
      </c>
      <c r="E4678" s="20" t="str">
        <f>IF($C4678="","",Registro_Ventas!$N$32)</f>
        <v/>
      </c>
      <c r="F4678" s="20" t="str">
        <f>""</f>
        <v/>
      </c>
      <c r="G4678" t="str">
        <f>IF($C4678="","","Por la cobranza de la factura")</f>
        <v/>
      </c>
      <c r="H4678" t="str">
        <f>IF($C4678="","",Registro_Ventas!$C$32)</f>
        <v/>
      </c>
    </row>
    <row r="4679" spans="1:8" x14ac:dyDescent="0.25">
      <c r="A4679" s="25" t="str">
        <f>IF($C4679="","",Registro_Ventas!$P$32)</f>
        <v/>
      </c>
      <c r="B4679" t="str">
        <f>IF($C4679="","","V"&amp;TEXT(INT((ROW()-4507)/6)+1,"000")&amp;"-2")</f>
        <v/>
      </c>
      <c r="C4679" t="str">
        <f>IF(OR(OR(Registro_Ventas!$C$32="",Registro_Ventas!$O$32&lt;&gt;"SI"),Registro_Ventas!$J$32&lt;&gt;"SI"),"","1049")</f>
        <v/>
      </c>
      <c r="D4679" t="str">
        <f>IF($C4679="","","Efectivo - Cuenta de Detracciones (Banco de la Nacion)")</f>
        <v/>
      </c>
      <c r="E4679" s="20" t="str">
        <f>IF($C4679="","",Registro_Ventas!$M$32)</f>
        <v/>
      </c>
      <c r="F4679" s="20" t="str">
        <f>""</f>
        <v/>
      </c>
      <c r="G4679" t="str">
        <f>IF($C4679="","","Detraccion retenida por el cliente")</f>
        <v/>
      </c>
      <c r="H4679" t="str">
        <f>IF($C4679="","",Registro_Ventas!$C$32)</f>
        <v/>
      </c>
    </row>
    <row r="4680" spans="1:8" x14ac:dyDescent="0.25">
      <c r="A4680" s="25" t="str">
        <f>IF($C4680="","",Registro_Ventas!$P$32)</f>
        <v/>
      </c>
      <c r="B4680" t="str">
        <f>IF($C4680="","","V"&amp;TEXT(INT((ROW()-4507)/6)+1,"000")&amp;"-2")</f>
        <v/>
      </c>
      <c r="C4680" t="str">
        <f>IF(OR(Registro_Ventas!$C$32="",Registro_Ventas!$O$32&lt;&gt;"SI"),"","12")</f>
        <v/>
      </c>
      <c r="D4680" t="str">
        <f>IF($C4680="","","Cuentas por Cobrar Comerciales - Terceros")</f>
        <v/>
      </c>
      <c r="E4680" s="20" t="str">
        <f>""</f>
        <v/>
      </c>
      <c r="F4680" s="20" t="str">
        <f>IF($C4680="","",Registro_Ventas!$I$32)</f>
        <v/>
      </c>
      <c r="G4680" t="str">
        <f>IF($C4680="","","Por la cobranza de la factura")</f>
        <v/>
      </c>
      <c r="H4680" t="str">
        <f>IF($C4680="","",Registro_Ventas!$C$32)</f>
        <v/>
      </c>
    </row>
    <row r="4681" spans="1:8" x14ac:dyDescent="0.25">
      <c r="A4681" s="25" t="str">
        <f>IF($C4681="","",Registro_Ventas!$B$33)</f>
        <v/>
      </c>
      <c r="B4681" t="str">
        <f>IF($C4681="","","V"&amp;TEXT(INT((ROW()-4507)/6)+1,"000")&amp;"-1")</f>
        <v/>
      </c>
      <c r="C4681" t="str">
        <f>IF(Registro_Ventas!$C$33="","","12")</f>
        <v/>
      </c>
      <c r="D4681" t="str">
        <f>IF($C4681="","","Cuentas por Cobrar Comerciales - Terceros")</f>
        <v/>
      </c>
      <c r="E4681" s="20" t="str">
        <f>IF($C4681="","",Registro_Ventas!$I$33)</f>
        <v/>
      </c>
      <c r="F4681" s="20" t="str">
        <f>""</f>
        <v/>
      </c>
      <c r="G4681" t="str">
        <f>IF($C4681="","","Por la venta segun comprobante a "&amp;Registro_Ventas!$E$33)</f>
        <v/>
      </c>
      <c r="H4681" t="str">
        <f>IF($C4681="","",Registro_Ventas!$C$33)</f>
        <v/>
      </c>
    </row>
    <row r="4682" spans="1:8" x14ac:dyDescent="0.25">
      <c r="A4682" s="25" t="str">
        <f>IF($C4682="","",Registro_Ventas!$B$33)</f>
        <v/>
      </c>
      <c r="B4682" t="str">
        <f>IF($C4682="","","V"&amp;TEXT(INT((ROW()-4507)/6)+1,"000")&amp;"-1")</f>
        <v/>
      </c>
      <c r="C4682" t="str">
        <f>IF(Registro_Ventas!$C$33="","","70")</f>
        <v/>
      </c>
      <c r="D4682" t="str">
        <f>IF($C4682="","","Ventas")</f>
        <v/>
      </c>
      <c r="E4682" s="20" t="str">
        <f>""</f>
        <v/>
      </c>
      <c r="F4682" s="20" t="str">
        <f>IF($C4682="","",Registro_Ventas!$G$33)</f>
        <v/>
      </c>
      <c r="G4682" t="str">
        <f>IF($C4682="","","Por la venta segun comprobante a "&amp;Registro_Ventas!$E$33)</f>
        <v/>
      </c>
      <c r="H4682" t="str">
        <f>IF($C4682="","",Registro_Ventas!$C$33)</f>
        <v/>
      </c>
    </row>
    <row r="4683" spans="1:8" x14ac:dyDescent="0.25">
      <c r="A4683" s="25" t="str">
        <f>IF($C4683="","",Registro_Ventas!$B$33)</f>
        <v/>
      </c>
      <c r="B4683" t="str">
        <f>IF($C4683="","","V"&amp;TEXT(INT((ROW()-4507)/6)+1,"000")&amp;"-1")</f>
        <v/>
      </c>
      <c r="C4683" t="str">
        <f>IF(Registro_Ventas!$C$33="","","40111")</f>
        <v/>
      </c>
      <c r="D4683" t="str">
        <f>IF($C4683="","","IGV - Cuenta Propia (Debito Fiscal)")</f>
        <v/>
      </c>
      <c r="E4683" s="20" t="str">
        <f>""</f>
        <v/>
      </c>
      <c r="F4683" s="20" t="str">
        <f>IF($C4683="","",Registro_Ventas!$H$33)</f>
        <v/>
      </c>
      <c r="G4683" t="str">
        <f>IF($C4683="","","Por la venta segun comprobante a "&amp;Registro_Ventas!$E$33)</f>
        <v/>
      </c>
      <c r="H4683" t="str">
        <f>IF($C4683="","",Registro_Ventas!$C$33)</f>
        <v/>
      </c>
    </row>
    <row r="4684" spans="1:8" x14ac:dyDescent="0.25">
      <c r="A4684" s="25" t="str">
        <f>IF($C4684="","",Registro_Ventas!$P$33)</f>
        <v/>
      </c>
      <c r="B4684" t="str">
        <f>IF($C4684="","","V"&amp;TEXT(INT((ROW()-4507)/6)+1,"000")&amp;"-2")</f>
        <v/>
      </c>
      <c r="C4684" t="str">
        <f>IF(OR(Registro_Ventas!$C$33="",Registro_Ventas!$O$33&lt;&gt;"SI"),"","1041")</f>
        <v/>
      </c>
      <c r="D4684" t="str">
        <f>IF($C4684="","","Efectivo y Equivalentes - Cta. Cte. Operativa")</f>
        <v/>
      </c>
      <c r="E4684" s="20" t="str">
        <f>IF($C4684="","",Registro_Ventas!$N$33)</f>
        <v/>
      </c>
      <c r="F4684" s="20" t="str">
        <f>""</f>
        <v/>
      </c>
      <c r="G4684" t="str">
        <f>IF($C4684="","","Por la cobranza de la factura")</f>
        <v/>
      </c>
      <c r="H4684" t="str">
        <f>IF($C4684="","",Registro_Ventas!$C$33)</f>
        <v/>
      </c>
    </row>
    <row r="4685" spans="1:8" x14ac:dyDescent="0.25">
      <c r="A4685" s="25" t="str">
        <f>IF($C4685="","",Registro_Ventas!$P$33)</f>
        <v/>
      </c>
      <c r="B4685" t="str">
        <f>IF($C4685="","","V"&amp;TEXT(INT((ROW()-4507)/6)+1,"000")&amp;"-2")</f>
        <v/>
      </c>
      <c r="C4685" t="str">
        <f>IF(OR(OR(Registro_Ventas!$C$33="",Registro_Ventas!$O$33&lt;&gt;"SI"),Registro_Ventas!$J$33&lt;&gt;"SI"),"","1049")</f>
        <v/>
      </c>
      <c r="D4685" t="str">
        <f>IF($C4685="","","Efectivo - Cuenta de Detracciones (Banco de la Nacion)")</f>
        <v/>
      </c>
      <c r="E4685" s="20" t="str">
        <f>IF($C4685="","",Registro_Ventas!$M$33)</f>
        <v/>
      </c>
      <c r="F4685" s="20" t="str">
        <f>""</f>
        <v/>
      </c>
      <c r="G4685" t="str">
        <f>IF($C4685="","","Detraccion retenida por el cliente")</f>
        <v/>
      </c>
      <c r="H4685" t="str">
        <f>IF($C4685="","",Registro_Ventas!$C$33)</f>
        <v/>
      </c>
    </row>
    <row r="4686" spans="1:8" x14ac:dyDescent="0.25">
      <c r="A4686" s="25" t="str">
        <f>IF($C4686="","",Registro_Ventas!$P$33)</f>
        <v/>
      </c>
      <c r="B4686" t="str">
        <f>IF($C4686="","","V"&amp;TEXT(INT((ROW()-4507)/6)+1,"000")&amp;"-2")</f>
        <v/>
      </c>
      <c r="C4686" t="str">
        <f>IF(OR(Registro_Ventas!$C$33="",Registro_Ventas!$O$33&lt;&gt;"SI"),"","12")</f>
        <v/>
      </c>
      <c r="D4686" t="str">
        <f>IF($C4686="","","Cuentas por Cobrar Comerciales - Terceros")</f>
        <v/>
      </c>
      <c r="E4686" s="20" t="str">
        <f>""</f>
        <v/>
      </c>
      <c r="F4686" s="20" t="str">
        <f>IF($C4686="","",Registro_Ventas!$I$33)</f>
        <v/>
      </c>
      <c r="G4686" t="str">
        <f>IF($C4686="","","Por la cobranza de la factura")</f>
        <v/>
      </c>
      <c r="H4686" t="str">
        <f>IF($C4686="","",Registro_Ventas!$C$33)</f>
        <v/>
      </c>
    </row>
    <row r="4687" spans="1:8" x14ac:dyDescent="0.25">
      <c r="A4687" s="25" t="str">
        <f>IF($C4687="","",Registro_Ventas!$B$34)</f>
        <v/>
      </c>
      <c r="B4687" t="str">
        <f>IF($C4687="","","V"&amp;TEXT(INT((ROW()-4507)/6)+1,"000")&amp;"-1")</f>
        <v/>
      </c>
      <c r="C4687" t="str">
        <f>IF(Registro_Ventas!$C$34="","","12")</f>
        <v/>
      </c>
      <c r="D4687" t="str">
        <f>IF($C4687="","","Cuentas por Cobrar Comerciales - Terceros")</f>
        <v/>
      </c>
      <c r="E4687" s="20" t="str">
        <f>IF($C4687="","",Registro_Ventas!$I$34)</f>
        <v/>
      </c>
      <c r="F4687" s="20" t="str">
        <f>""</f>
        <v/>
      </c>
      <c r="G4687" t="str">
        <f>IF($C4687="","","Por la venta segun comprobante a "&amp;Registro_Ventas!$E$34)</f>
        <v/>
      </c>
      <c r="H4687" t="str">
        <f>IF($C4687="","",Registro_Ventas!$C$34)</f>
        <v/>
      </c>
    </row>
    <row r="4688" spans="1:8" x14ac:dyDescent="0.25">
      <c r="A4688" s="25" t="str">
        <f>IF($C4688="","",Registro_Ventas!$B$34)</f>
        <v/>
      </c>
      <c r="B4688" t="str">
        <f>IF($C4688="","","V"&amp;TEXT(INT((ROW()-4507)/6)+1,"000")&amp;"-1")</f>
        <v/>
      </c>
      <c r="C4688" t="str">
        <f>IF(Registro_Ventas!$C$34="","","70")</f>
        <v/>
      </c>
      <c r="D4688" t="str">
        <f>IF($C4688="","","Ventas")</f>
        <v/>
      </c>
      <c r="E4688" s="20" t="str">
        <f>""</f>
        <v/>
      </c>
      <c r="F4688" s="20" t="str">
        <f>IF($C4688="","",Registro_Ventas!$G$34)</f>
        <v/>
      </c>
      <c r="G4688" t="str">
        <f>IF($C4688="","","Por la venta segun comprobante a "&amp;Registro_Ventas!$E$34)</f>
        <v/>
      </c>
      <c r="H4688" t="str">
        <f>IF($C4688="","",Registro_Ventas!$C$34)</f>
        <v/>
      </c>
    </row>
    <row r="4689" spans="1:8" x14ac:dyDescent="0.25">
      <c r="A4689" s="25" t="str">
        <f>IF($C4689="","",Registro_Ventas!$B$34)</f>
        <v/>
      </c>
      <c r="B4689" t="str">
        <f>IF($C4689="","","V"&amp;TEXT(INT((ROW()-4507)/6)+1,"000")&amp;"-1")</f>
        <v/>
      </c>
      <c r="C4689" t="str">
        <f>IF(Registro_Ventas!$C$34="","","40111")</f>
        <v/>
      </c>
      <c r="D4689" t="str">
        <f>IF($C4689="","","IGV - Cuenta Propia (Debito Fiscal)")</f>
        <v/>
      </c>
      <c r="E4689" s="20" t="str">
        <f>""</f>
        <v/>
      </c>
      <c r="F4689" s="20" t="str">
        <f>IF($C4689="","",Registro_Ventas!$H$34)</f>
        <v/>
      </c>
      <c r="G4689" t="str">
        <f>IF($C4689="","","Por la venta segun comprobante a "&amp;Registro_Ventas!$E$34)</f>
        <v/>
      </c>
      <c r="H4689" t="str">
        <f>IF($C4689="","",Registro_Ventas!$C$34)</f>
        <v/>
      </c>
    </row>
    <row r="4690" spans="1:8" x14ac:dyDescent="0.25">
      <c r="A4690" s="25" t="str">
        <f>IF($C4690="","",Registro_Ventas!$P$34)</f>
        <v/>
      </c>
      <c r="B4690" t="str">
        <f>IF($C4690="","","V"&amp;TEXT(INT((ROW()-4507)/6)+1,"000")&amp;"-2")</f>
        <v/>
      </c>
      <c r="C4690" t="str">
        <f>IF(OR(Registro_Ventas!$C$34="",Registro_Ventas!$O$34&lt;&gt;"SI"),"","1041")</f>
        <v/>
      </c>
      <c r="D4690" t="str">
        <f>IF($C4690="","","Efectivo y Equivalentes - Cta. Cte. Operativa")</f>
        <v/>
      </c>
      <c r="E4690" s="20" t="str">
        <f>IF($C4690="","",Registro_Ventas!$N$34)</f>
        <v/>
      </c>
      <c r="F4690" s="20" t="str">
        <f>""</f>
        <v/>
      </c>
      <c r="G4690" t="str">
        <f>IF($C4690="","","Por la cobranza de la factura")</f>
        <v/>
      </c>
      <c r="H4690" t="str">
        <f>IF($C4690="","",Registro_Ventas!$C$34)</f>
        <v/>
      </c>
    </row>
    <row r="4691" spans="1:8" x14ac:dyDescent="0.25">
      <c r="A4691" s="25" t="str">
        <f>IF($C4691="","",Registro_Ventas!$P$34)</f>
        <v/>
      </c>
      <c r="B4691" t="str">
        <f>IF($C4691="","","V"&amp;TEXT(INT((ROW()-4507)/6)+1,"000")&amp;"-2")</f>
        <v/>
      </c>
      <c r="C4691" t="str">
        <f>IF(OR(OR(Registro_Ventas!$C$34="",Registro_Ventas!$O$34&lt;&gt;"SI"),Registro_Ventas!$J$34&lt;&gt;"SI"),"","1049")</f>
        <v/>
      </c>
      <c r="D4691" t="str">
        <f>IF($C4691="","","Efectivo - Cuenta de Detracciones (Banco de la Nacion)")</f>
        <v/>
      </c>
      <c r="E4691" s="20" t="str">
        <f>IF($C4691="","",Registro_Ventas!$M$34)</f>
        <v/>
      </c>
      <c r="F4691" s="20" t="str">
        <f>""</f>
        <v/>
      </c>
      <c r="G4691" t="str">
        <f>IF($C4691="","","Detraccion retenida por el cliente")</f>
        <v/>
      </c>
      <c r="H4691" t="str">
        <f>IF($C4691="","",Registro_Ventas!$C$34)</f>
        <v/>
      </c>
    </row>
    <row r="4692" spans="1:8" x14ac:dyDescent="0.25">
      <c r="A4692" s="25" t="str">
        <f>IF($C4692="","",Registro_Ventas!$P$34)</f>
        <v/>
      </c>
      <c r="B4692" t="str">
        <f>IF($C4692="","","V"&amp;TEXT(INT((ROW()-4507)/6)+1,"000")&amp;"-2")</f>
        <v/>
      </c>
      <c r="C4692" t="str">
        <f>IF(OR(Registro_Ventas!$C$34="",Registro_Ventas!$O$34&lt;&gt;"SI"),"","12")</f>
        <v/>
      </c>
      <c r="D4692" t="str">
        <f>IF($C4692="","","Cuentas por Cobrar Comerciales - Terceros")</f>
        <v/>
      </c>
      <c r="E4692" s="20" t="str">
        <f>""</f>
        <v/>
      </c>
      <c r="F4692" s="20" t="str">
        <f>IF($C4692="","",Registro_Ventas!$I$34)</f>
        <v/>
      </c>
      <c r="G4692" t="str">
        <f>IF($C4692="","","Por la cobranza de la factura")</f>
        <v/>
      </c>
      <c r="H4692" t="str">
        <f>IF($C4692="","",Registro_Ventas!$C$34)</f>
        <v/>
      </c>
    </row>
    <row r="4693" spans="1:8" x14ac:dyDescent="0.25">
      <c r="A4693" s="25" t="str">
        <f>IF($C4693="","",Registro_Ventas!$B$35)</f>
        <v/>
      </c>
      <c r="B4693" t="str">
        <f>IF($C4693="","","V"&amp;TEXT(INT((ROW()-4507)/6)+1,"000")&amp;"-1")</f>
        <v/>
      </c>
      <c r="C4693" t="str">
        <f>IF(Registro_Ventas!$C$35="","","12")</f>
        <v/>
      </c>
      <c r="D4693" t="str">
        <f>IF($C4693="","","Cuentas por Cobrar Comerciales - Terceros")</f>
        <v/>
      </c>
      <c r="E4693" s="20" t="str">
        <f>IF($C4693="","",Registro_Ventas!$I$35)</f>
        <v/>
      </c>
      <c r="F4693" s="20" t="str">
        <f>""</f>
        <v/>
      </c>
      <c r="G4693" t="str">
        <f>IF($C4693="","","Por la venta segun comprobante a "&amp;Registro_Ventas!$E$35)</f>
        <v/>
      </c>
      <c r="H4693" t="str">
        <f>IF($C4693="","",Registro_Ventas!$C$35)</f>
        <v/>
      </c>
    </row>
    <row r="4694" spans="1:8" x14ac:dyDescent="0.25">
      <c r="A4694" s="25" t="str">
        <f>IF($C4694="","",Registro_Ventas!$B$35)</f>
        <v/>
      </c>
      <c r="B4694" t="str">
        <f>IF($C4694="","","V"&amp;TEXT(INT((ROW()-4507)/6)+1,"000")&amp;"-1")</f>
        <v/>
      </c>
      <c r="C4694" t="str">
        <f>IF(Registro_Ventas!$C$35="","","70")</f>
        <v/>
      </c>
      <c r="D4694" t="str">
        <f>IF($C4694="","","Ventas")</f>
        <v/>
      </c>
      <c r="E4694" s="20" t="str">
        <f>""</f>
        <v/>
      </c>
      <c r="F4694" s="20" t="str">
        <f>IF($C4694="","",Registro_Ventas!$G$35)</f>
        <v/>
      </c>
      <c r="G4694" t="str">
        <f>IF($C4694="","","Por la venta segun comprobante a "&amp;Registro_Ventas!$E$35)</f>
        <v/>
      </c>
      <c r="H4694" t="str">
        <f>IF($C4694="","",Registro_Ventas!$C$35)</f>
        <v/>
      </c>
    </row>
    <row r="4695" spans="1:8" x14ac:dyDescent="0.25">
      <c r="A4695" s="25" t="str">
        <f>IF($C4695="","",Registro_Ventas!$B$35)</f>
        <v/>
      </c>
      <c r="B4695" t="str">
        <f>IF($C4695="","","V"&amp;TEXT(INT((ROW()-4507)/6)+1,"000")&amp;"-1")</f>
        <v/>
      </c>
      <c r="C4695" t="str">
        <f>IF(Registro_Ventas!$C$35="","","40111")</f>
        <v/>
      </c>
      <c r="D4695" t="str">
        <f>IF($C4695="","","IGV - Cuenta Propia (Debito Fiscal)")</f>
        <v/>
      </c>
      <c r="E4695" s="20" t="str">
        <f>""</f>
        <v/>
      </c>
      <c r="F4695" s="20" t="str">
        <f>IF($C4695="","",Registro_Ventas!$H$35)</f>
        <v/>
      </c>
      <c r="G4695" t="str">
        <f>IF($C4695="","","Por la venta segun comprobante a "&amp;Registro_Ventas!$E$35)</f>
        <v/>
      </c>
      <c r="H4695" t="str">
        <f>IF($C4695="","",Registro_Ventas!$C$35)</f>
        <v/>
      </c>
    </row>
    <row r="4696" spans="1:8" x14ac:dyDescent="0.25">
      <c r="A4696" s="25" t="str">
        <f>IF($C4696="","",Registro_Ventas!$P$35)</f>
        <v/>
      </c>
      <c r="B4696" t="str">
        <f>IF($C4696="","","V"&amp;TEXT(INT((ROW()-4507)/6)+1,"000")&amp;"-2")</f>
        <v/>
      </c>
      <c r="C4696" t="str">
        <f>IF(OR(Registro_Ventas!$C$35="",Registro_Ventas!$O$35&lt;&gt;"SI"),"","1041")</f>
        <v/>
      </c>
      <c r="D4696" t="str">
        <f>IF($C4696="","","Efectivo y Equivalentes - Cta. Cte. Operativa")</f>
        <v/>
      </c>
      <c r="E4696" s="20" t="str">
        <f>IF($C4696="","",Registro_Ventas!$N$35)</f>
        <v/>
      </c>
      <c r="F4696" s="20" t="str">
        <f>""</f>
        <v/>
      </c>
      <c r="G4696" t="str">
        <f>IF($C4696="","","Por la cobranza de la factura")</f>
        <v/>
      </c>
      <c r="H4696" t="str">
        <f>IF($C4696="","",Registro_Ventas!$C$35)</f>
        <v/>
      </c>
    </row>
    <row r="4697" spans="1:8" x14ac:dyDescent="0.25">
      <c r="A4697" s="25" t="str">
        <f>IF($C4697="","",Registro_Ventas!$P$35)</f>
        <v/>
      </c>
      <c r="B4697" t="str">
        <f>IF($C4697="","","V"&amp;TEXT(INT((ROW()-4507)/6)+1,"000")&amp;"-2")</f>
        <v/>
      </c>
      <c r="C4697" t="str">
        <f>IF(OR(OR(Registro_Ventas!$C$35="",Registro_Ventas!$O$35&lt;&gt;"SI"),Registro_Ventas!$J$35&lt;&gt;"SI"),"","1049")</f>
        <v/>
      </c>
      <c r="D4697" t="str">
        <f>IF($C4697="","","Efectivo - Cuenta de Detracciones (Banco de la Nacion)")</f>
        <v/>
      </c>
      <c r="E4697" s="20" t="str">
        <f>IF($C4697="","",Registro_Ventas!$M$35)</f>
        <v/>
      </c>
      <c r="F4697" s="20" t="str">
        <f>""</f>
        <v/>
      </c>
      <c r="G4697" t="str">
        <f>IF($C4697="","","Detraccion retenida por el cliente")</f>
        <v/>
      </c>
      <c r="H4697" t="str">
        <f>IF($C4697="","",Registro_Ventas!$C$35)</f>
        <v/>
      </c>
    </row>
    <row r="4698" spans="1:8" x14ac:dyDescent="0.25">
      <c r="A4698" s="25" t="str">
        <f>IF($C4698="","",Registro_Ventas!$P$35)</f>
        <v/>
      </c>
      <c r="B4698" t="str">
        <f>IF($C4698="","","V"&amp;TEXT(INT((ROW()-4507)/6)+1,"000")&amp;"-2")</f>
        <v/>
      </c>
      <c r="C4698" t="str">
        <f>IF(OR(Registro_Ventas!$C$35="",Registro_Ventas!$O$35&lt;&gt;"SI"),"","12")</f>
        <v/>
      </c>
      <c r="D4698" t="str">
        <f>IF($C4698="","","Cuentas por Cobrar Comerciales - Terceros")</f>
        <v/>
      </c>
      <c r="E4698" s="20" t="str">
        <f>""</f>
        <v/>
      </c>
      <c r="F4698" s="20" t="str">
        <f>IF($C4698="","",Registro_Ventas!$I$35)</f>
        <v/>
      </c>
      <c r="G4698" t="str">
        <f>IF($C4698="","","Por la cobranza de la factura")</f>
        <v/>
      </c>
      <c r="H4698" t="str">
        <f>IF($C4698="","",Registro_Ventas!$C$35)</f>
        <v/>
      </c>
    </row>
    <row r="4699" spans="1:8" x14ac:dyDescent="0.25">
      <c r="A4699" s="25" t="str">
        <f>IF($C4699="","",Registro_Ventas!$B$36)</f>
        <v/>
      </c>
      <c r="B4699" t="str">
        <f>IF($C4699="","","V"&amp;TEXT(INT((ROW()-4507)/6)+1,"000")&amp;"-1")</f>
        <v/>
      </c>
      <c r="C4699" t="str">
        <f>IF(Registro_Ventas!$C$36="","","12")</f>
        <v/>
      </c>
      <c r="D4699" t="str">
        <f>IF($C4699="","","Cuentas por Cobrar Comerciales - Terceros")</f>
        <v/>
      </c>
      <c r="E4699" s="20" t="str">
        <f>IF($C4699="","",Registro_Ventas!$I$36)</f>
        <v/>
      </c>
      <c r="F4699" s="20" t="str">
        <f>""</f>
        <v/>
      </c>
      <c r="G4699" t="str">
        <f>IF($C4699="","","Por la venta segun comprobante a "&amp;Registro_Ventas!$E$36)</f>
        <v/>
      </c>
      <c r="H4699" t="str">
        <f>IF($C4699="","",Registro_Ventas!$C$36)</f>
        <v/>
      </c>
    </row>
    <row r="4700" spans="1:8" x14ac:dyDescent="0.25">
      <c r="A4700" s="25" t="str">
        <f>IF($C4700="","",Registro_Ventas!$B$36)</f>
        <v/>
      </c>
      <c r="B4700" t="str">
        <f>IF($C4700="","","V"&amp;TEXT(INT((ROW()-4507)/6)+1,"000")&amp;"-1")</f>
        <v/>
      </c>
      <c r="C4700" t="str">
        <f>IF(Registro_Ventas!$C$36="","","70")</f>
        <v/>
      </c>
      <c r="D4700" t="str">
        <f>IF($C4700="","","Ventas")</f>
        <v/>
      </c>
      <c r="E4700" s="20" t="str">
        <f>""</f>
        <v/>
      </c>
      <c r="F4700" s="20" t="str">
        <f>IF($C4700="","",Registro_Ventas!$G$36)</f>
        <v/>
      </c>
      <c r="G4700" t="str">
        <f>IF($C4700="","","Por la venta segun comprobante a "&amp;Registro_Ventas!$E$36)</f>
        <v/>
      </c>
      <c r="H4700" t="str">
        <f>IF($C4700="","",Registro_Ventas!$C$36)</f>
        <v/>
      </c>
    </row>
    <row r="4701" spans="1:8" x14ac:dyDescent="0.25">
      <c r="A4701" s="25" t="str">
        <f>IF($C4701="","",Registro_Ventas!$B$36)</f>
        <v/>
      </c>
      <c r="B4701" t="str">
        <f>IF($C4701="","","V"&amp;TEXT(INT((ROW()-4507)/6)+1,"000")&amp;"-1")</f>
        <v/>
      </c>
      <c r="C4701" t="str">
        <f>IF(Registro_Ventas!$C$36="","","40111")</f>
        <v/>
      </c>
      <c r="D4701" t="str">
        <f>IF($C4701="","","IGV - Cuenta Propia (Debito Fiscal)")</f>
        <v/>
      </c>
      <c r="E4701" s="20" t="str">
        <f>""</f>
        <v/>
      </c>
      <c r="F4701" s="20" t="str">
        <f>IF($C4701="","",Registro_Ventas!$H$36)</f>
        <v/>
      </c>
      <c r="G4701" t="str">
        <f>IF($C4701="","","Por la venta segun comprobante a "&amp;Registro_Ventas!$E$36)</f>
        <v/>
      </c>
      <c r="H4701" t="str">
        <f>IF($C4701="","",Registro_Ventas!$C$36)</f>
        <v/>
      </c>
    </row>
    <row r="4702" spans="1:8" x14ac:dyDescent="0.25">
      <c r="A4702" s="25" t="str">
        <f>IF($C4702="","",Registro_Ventas!$P$36)</f>
        <v/>
      </c>
      <c r="B4702" t="str">
        <f>IF($C4702="","","V"&amp;TEXT(INT((ROW()-4507)/6)+1,"000")&amp;"-2")</f>
        <v/>
      </c>
      <c r="C4702" t="str">
        <f>IF(OR(Registro_Ventas!$C$36="",Registro_Ventas!$O$36&lt;&gt;"SI"),"","1041")</f>
        <v/>
      </c>
      <c r="D4702" t="str">
        <f>IF($C4702="","","Efectivo y Equivalentes - Cta. Cte. Operativa")</f>
        <v/>
      </c>
      <c r="E4702" s="20" t="str">
        <f>IF($C4702="","",Registro_Ventas!$N$36)</f>
        <v/>
      </c>
      <c r="F4702" s="20" t="str">
        <f>""</f>
        <v/>
      </c>
      <c r="G4702" t="str">
        <f>IF($C4702="","","Por la cobranza de la factura")</f>
        <v/>
      </c>
      <c r="H4702" t="str">
        <f>IF($C4702="","",Registro_Ventas!$C$36)</f>
        <v/>
      </c>
    </row>
    <row r="4703" spans="1:8" x14ac:dyDescent="0.25">
      <c r="A4703" s="25" t="str">
        <f>IF($C4703="","",Registro_Ventas!$P$36)</f>
        <v/>
      </c>
      <c r="B4703" t="str">
        <f>IF($C4703="","","V"&amp;TEXT(INT((ROW()-4507)/6)+1,"000")&amp;"-2")</f>
        <v/>
      </c>
      <c r="C4703" t="str">
        <f>IF(OR(OR(Registro_Ventas!$C$36="",Registro_Ventas!$O$36&lt;&gt;"SI"),Registro_Ventas!$J$36&lt;&gt;"SI"),"","1049")</f>
        <v/>
      </c>
      <c r="D4703" t="str">
        <f>IF($C4703="","","Efectivo - Cuenta de Detracciones (Banco de la Nacion)")</f>
        <v/>
      </c>
      <c r="E4703" s="20" t="str">
        <f>IF($C4703="","",Registro_Ventas!$M$36)</f>
        <v/>
      </c>
      <c r="F4703" s="20" t="str">
        <f>""</f>
        <v/>
      </c>
      <c r="G4703" t="str">
        <f>IF($C4703="","","Detraccion retenida por el cliente")</f>
        <v/>
      </c>
      <c r="H4703" t="str">
        <f>IF($C4703="","",Registro_Ventas!$C$36)</f>
        <v/>
      </c>
    </row>
    <row r="4704" spans="1:8" x14ac:dyDescent="0.25">
      <c r="A4704" s="25" t="str">
        <f>IF($C4704="","",Registro_Ventas!$P$36)</f>
        <v/>
      </c>
      <c r="B4704" t="str">
        <f>IF($C4704="","","V"&amp;TEXT(INT((ROW()-4507)/6)+1,"000")&amp;"-2")</f>
        <v/>
      </c>
      <c r="C4704" t="str">
        <f>IF(OR(Registro_Ventas!$C$36="",Registro_Ventas!$O$36&lt;&gt;"SI"),"","12")</f>
        <v/>
      </c>
      <c r="D4704" t="str">
        <f>IF($C4704="","","Cuentas por Cobrar Comerciales - Terceros")</f>
        <v/>
      </c>
      <c r="E4704" s="20" t="str">
        <f>""</f>
        <v/>
      </c>
      <c r="F4704" s="20" t="str">
        <f>IF($C4704="","",Registro_Ventas!$I$36)</f>
        <v/>
      </c>
      <c r="G4704" t="str">
        <f>IF($C4704="","","Por la cobranza de la factura")</f>
        <v/>
      </c>
      <c r="H4704" t="str">
        <f>IF($C4704="","",Registro_Ventas!$C$36)</f>
        <v/>
      </c>
    </row>
    <row r="4705" spans="1:8" x14ac:dyDescent="0.25">
      <c r="A4705" s="25" t="str">
        <f>IF($C4705="","",Registro_Ventas!$B$37)</f>
        <v/>
      </c>
      <c r="B4705" t="str">
        <f>IF($C4705="","","V"&amp;TEXT(INT((ROW()-4507)/6)+1,"000")&amp;"-1")</f>
        <v/>
      </c>
      <c r="C4705" t="str">
        <f>IF(Registro_Ventas!$C$37="","","12")</f>
        <v/>
      </c>
      <c r="D4705" t="str">
        <f>IF($C4705="","","Cuentas por Cobrar Comerciales - Terceros")</f>
        <v/>
      </c>
      <c r="E4705" s="20" t="str">
        <f>IF($C4705="","",Registro_Ventas!$I$37)</f>
        <v/>
      </c>
      <c r="F4705" s="20" t="str">
        <f>""</f>
        <v/>
      </c>
      <c r="G4705" t="str">
        <f>IF($C4705="","","Por la venta segun comprobante a "&amp;Registro_Ventas!$E$37)</f>
        <v/>
      </c>
      <c r="H4705" t="str">
        <f>IF($C4705="","",Registro_Ventas!$C$37)</f>
        <v/>
      </c>
    </row>
    <row r="4706" spans="1:8" x14ac:dyDescent="0.25">
      <c r="A4706" s="25" t="str">
        <f>IF($C4706="","",Registro_Ventas!$B$37)</f>
        <v/>
      </c>
      <c r="B4706" t="str">
        <f>IF($C4706="","","V"&amp;TEXT(INT((ROW()-4507)/6)+1,"000")&amp;"-1")</f>
        <v/>
      </c>
      <c r="C4706" t="str">
        <f>IF(Registro_Ventas!$C$37="","","70")</f>
        <v/>
      </c>
      <c r="D4706" t="str">
        <f>IF($C4706="","","Ventas")</f>
        <v/>
      </c>
      <c r="E4706" s="20" t="str">
        <f>""</f>
        <v/>
      </c>
      <c r="F4706" s="20" t="str">
        <f>IF($C4706="","",Registro_Ventas!$G$37)</f>
        <v/>
      </c>
      <c r="G4706" t="str">
        <f>IF($C4706="","","Por la venta segun comprobante a "&amp;Registro_Ventas!$E$37)</f>
        <v/>
      </c>
      <c r="H4706" t="str">
        <f>IF($C4706="","",Registro_Ventas!$C$37)</f>
        <v/>
      </c>
    </row>
    <row r="4707" spans="1:8" x14ac:dyDescent="0.25">
      <c r="A4707" s="25" t="str">
        <f>IF($C4707="","",Registro_Ventas!$B$37)</f>
        <v/>
      </c>
      <c r="B4707" t="str">
        <f>IF($C4707="","","V"&amp;TEXT(INT((ROW()-4507)/6)+1,"000")&amp;"-1")</f>
        <v/>
      </c>
      <c r="C4707" t="str">
        <f>IF(Registro_Ventas!$C$37="","","40111")</f>
        <v/>
      </c>
      <c r="D4707" t="str">
        <f>IF($C4707="","","IGV - Cuenta Propia (Debito Fiscal)")</f>
        <v/>
      </c>
      <c r="E4707" s="20" t="str">
        <f>""</f>
        <v/>
      </c>
      <c r="F4707" s="20" t="str">
        <f>IF($C4707="","",Registro_Ventas!$H$37)</f>
        <v/>
      </c>
      <c r="G4707" t="str">
        <f>IF($C4707="","","Por la venta segun comprobante a "&amp;Registro_Ventas!$E$37)</f>
        <v/>
      </c>
      <c r="H4707" t="str">
        <f>IF($C4707="","",Registro_Ventas!$C$37)</f>
        <v/>
      </c>
    </row>
    <row r="4708" spans="1:8" x14ac:dyDescent="0.25">
      <c r="A4708" s="25" t="str">
        <f>IF($C4708="","",Registro_Ventas!$P$37)</f>
        <v/>
      </c>
      <c r="B4708" t="str">
        <f>IF($C4708="","","V"&amp;TEXT(INT((ROW()-4507)/6)+1,"000")&amp;"-2")</f>
        <v/>
      </c>
      <c r="C4708" t="str">
        <f>IF(OR(Registro_Ventas!$C$37="",Registro_Ventas!$O$37&lt;&gt;"SI"),"","1041")</f>
        <v/>
      </c>
      <c r="D4708" t="str">
        <f>IF($C4708="","","Efectivo y Equivalentes - Cta. Cte. Operativa")</f>
        <v/>
      </c>
      <c r="E4708" s="20" t="str">
        <f>IF($C4708="","",Registro_Ventas!$N$37)</f>
        <v/>
      </c>
      <c r="F4708" s="20" t="str">
        <f>""</f>
        <v/>
      </c>
      <c r="G4708" t="str">
        <f>IF($C4708="","","Por la cobranza de la factura")</f>
        <v/>
      </c>
      <c r="H4708" t="str">
        <f>IF($C4708="","",Registro_Ventas!$C$37)</f>
        <v/>
      </c>
    </row>
    <row r="4709" spans="1:8" x14ac:dyDescent="0.25">
      <c r="A4709" s="25" t="str">
        <f>IF($C4709="","",Registro_Ventas!$P$37)</f>
        <v/>
      </c>
      <c r="B4709" t="str">
        <f>IF($C4709="","","V"&amp;TEXT(INT((ROW()-4507)/6)+1,"000")&amp;"-2")</f>
        <v/>
      </c>
      <c r="C4709" t="str">
        <f>IF(OR(OR(Registro_Ventas!$C$37="",Registro_Ventas!$O$37&lt;&gt;"SI"),Registro_Ventas!$J$37&lt;&gt;"SI"),"","1049")</f>
        <v/>
      </c>
      <c r="D4709" t="str">
        <f>IF($C4709="","","Efectivo - Cuenta de Detracciones (Banco de la Nacion)")</f>
        <v/>
      </c>
      <c r="E4709" s="20" t="str">
        <f>IF($C4709="","",Registro_Ventas!$M$37)</f>
        <v/>
      </c>
      <c r="F4709" s="20" t="str">
        <f>""</f>
        <v/>
      </c>
      <c r="G4709" t="str">
        <f>IF($C4709="","","Detraccion retenida por el cliente")</f>
        <v/>
      </c>
      <c r="H4709" t="str">
        <f>IF($C4709="","",Registro_Ventas!$C$37)</f>
        <v/>
      </c>
    </row>
    <row r="4710" spans="1:8" x14ac:dyDescent="0.25">
      <c r="A4710" s="25" t="str">
        <f>IF($C4710="","",Registro_Ventas!$P$37)</f>
        <v/>
      </c>
      <c r="B4710" t="str">
        <f>IF($C4710="","","V"&amp;TEXT(INT((ROW()-4507)/6)+1,"000")&amp;"-2")</f>
        <v/>
      </c>
      <c r="C4710" t="str">
        <f>IF(OR(Registro_Ventas!$C$37="",Registro_Ventas!$O$37&lt;&gt;"SI"),"","12")</f>
        <v/>
      </c>
      <c r="D4710" t="str">
        <f>IF($C4710="","","Cuentas por Cobrar Comerciales - Terceros")</f>
        <v/>
      </c>
      <c r="E4710" s="20" t="str">
        <f>""</f>
        <v/>
      </c>
      <c r="F4710" s="20" t="str">
        <f>IF($C4710="","",Registro_Ventas!$I$37)</f>
        <v/>
      </c>
      <c r="G4710" t="str">
        <f>IF($C4710="","","Por la cobranza de la factura")</f>
        <v/>
      </c>
      <c r="H4710" t="str">
        <f>IF($C4710="","",Registro_Ventas!$C$37)</f>
        <v/>
      </c>
    </row>
    <row r="4711" spans="1:8" x14ac:dyDescent="0.25">
      <c r="A4711" s="25" t="str">
        <f>IF($C4711="","",Registro_Ventas!$B$38)</f>
        <v/>
      </c>
      <c r="B4711" t="str">
        <f>IF($C4711="","","V"&amp;TEXT(INT((ROW()-4507)/6)+1,"000")&amp;"-1")</f>
        <v/>
      </c>
      <c r="C4711" t="str">
        <f>IF(Registro_Ventas!$C$38="","","12")</f>
        <v/>
      </c>
      <c r="D4711" t="str">
        <f>IF($C4711="","","Cuentas por Cobrar Comerciales - Terceros")</f>
        <v/>
      </c>
      <c r="E4711" s="20" t="str">
        <f>IF($C4711="","",Registro_Ventas!$I$38)</f>
        <v/>
      </c>
      <c r="F4711" s="20" t="str">
        <f>""</f>
        <v/>
      </c>
      <c r="G4711" t="str">
        <f>IF($C4711="","","Por la venta segun comprobante a "&amp;Registro_Ventas!$E$38)</f>
        <v/>
      </c>
      <c r="H4711" t="str">
        <f>IF($C4711="","",Registro_Ventas!$C$38)</f>
        <v/>
      </c>
    </row>
    <row r="4712" spans="1:8" x14ac:dyDescent="0.25">
      <c r="A4712" s="25" t="str">
        <f>IF($C4712="","",Registro_Ventas!$B$38)</f>
        <v/>
      </c>
      <c r="B4712" t="str">
        <f>IF($C4712="","","V"&amp;TEXT(INT((ROW()-4507)/6)+1,"000")&amp;"-1")</f>
        <v/>
      </c>
      <c r="C4712" t="str">
        <f>IF(Registro_Ventas!$C$38="","","70")</f>
        <v/>
      </c>
      <c r="D4712" t="str">
        <f>IF($C4712="","","Ventas")</f>
        <v/>
      </c>
      <c r="E4712" s="20" t="str">
        <f>""</f>
        <v/>
      </c>
      <c r="F4712" s="20" t="str">
        <f>IF($C4712="","",Registro_Ventas!$G$38)</f>
        <v/>
      </c>
      <c r="G4712" t="str">
        <f>IF($C4712="","","Por la venta segun comprobante a "&amp;Registro_Ventas!$E$38)</f>
        <v/>
      </c>
      <c r="H4712" t="str">
        <f>IF($C4712="","",Registro_Ventas!$C$38)</f>
        <v/>
      </c>
    </row>
    <row r="4713" spans="1:8" x14ac:dyDescent="0.25">
      <c r="A4713" s="25" t="str">
        <f>IF($C4713="","",Registro_Ventas!$B$38)</f>
        <v/>
      </c>
      <c r="B4713" t="str">
        <f>IF($C4713="","","V"&amp;TEXT(INT((ROW()-4507)/6)+1,"000")&amp;"-1")</f>
        <v/>
      </c>
      <c r="C4713" t="str">
        <f>IF(Registro_Ventas!$C$38="","","40111")</f>
        <v/>
      </c>
      <c r="D4713" t="str">
        <f>IF($C4713="","","IGV - Cuenta Propia (Debito Fiscal)")</f>
        <v/>
      </c>
      <c r="E4713" s="20" t="str">
        <f>""</f>
        <v/>
      </c>
      <c r="F4713" s="20" t="str">
        <f>IF($C4713="","",Registro_Ventas!$H$38)</f>
        <v/>
      </c>
      <c r="G4713" t="str">
        <f>IF($C4713="","","Por la venta segun comprobante a "&amp;Registro_Ventas!$E$38)</f>
        <v/>
      </c>
      <c r="H4713" t="str">
        <f>IF($C4713="","",Registro_Ventas!$C$38)</f>
        <v/>
      </c>
    </row>
    <row r="4714" spans="1:8" x14ac:dyDescent="0.25">
      <c r="A4714" s="25" t="str">
        <f>IF($C4714="","",Registro_Ventas!$P$38)</f>
        <v/>
      </c>
      <c r="B4714" t="str">
        <f>IF($C4714="","","V"&amp;TEXT(INT((ROW()-4507)/6)+1,"000")&amp;"-2")</f>
        <v/>
      </c>
      <c r="C4714" t="str">
        <f>IF(OR(Registro_Ventas!$C$38="",Registro_Ventas!$O$38&lt;&gt;"SI"),"","1041")</f>
        <v/>
      </c>
      <c r="D4714" t="str">
        <f>IF($C4714="","","Efectivo y Equivalentes - Cta. Cte. Operativa")</f>
        <v/>
      </c>
      <c r="E4714" s="20" t="str">
        <f>IF($C4714="","",Registro_Ventas!$N$38)</f>
        <v/>
      </c>
      <c r="F4714" s="20" t="str">
        <f>""</f>
        <v/>
      </c>
      <c r="G4714" t="str">
        <f>IF($C4714="","","Por la cobranza de la factura")</f>
        <v/>
      </c>
      <c r="H4714" t="str">
        <f>IF($C4714="","",Registro_Ventas!$C$38)</f>
        <v/>
      </c>
    </row>
    <row r="4715" spans="1:8" x14ac:dyDescent="0.25">
      <c r="A4715" s="25" t="str">
        <f>IF($C4715="","",Registro_Ventas!$P$38)</f>
        <v/>
      </c>
      <c r="B4715" t="str">
        <f>IF($C4715="","","V"&amp;TEXT(INT((ROW()-4507)/6)+1,"000")&amp;"-2")</f>
        <v/>
      </c>
      <c r="C4715" t="str">
        <f>IF(OR(OR(Registro_Ventas!$C$38="",Registro_Ventas!$O$38&lt;&gt;"SI"),Registro_Ventas!$J$38&lt;&gt;"SI"),"","1049")</f>
        <v/>
      </c>
      <c r="D4715" t="str">
        <f>IF($C4715="","","Efectivo - Cuenta de Detracciones (Banco de la Nacion)")</f>
        <v/>
      </c>
      <c r="E4715" s="20" t="str">
        <f>IF($C4715="","",Registro_Ventas!$M$38)</f>
        <v/>
      </c>
      <c r="F4715" s="20" t="str">
        <f>""</f>
        <v/>
      </c>
      <c r="G4715" t="str">
        <f>IF($C4715="","","Detraccion retenida por el cliente")</f>
        <v/>
      </c>
      <c r="H4715" t="str">
        <f>IF($C4715="","",Registro_Ventas!$C$38)</f>
        <v/>
      </c>
    </row>
    <row r="4716" spans="1:8" x14ac:dyDescent="0.25">
      <c r="A4716" s="25" t="str">
        <f>IF($C4716="","",Registro_Ventas!$P$38)</f>
        <v/>
      </c>
      <c r="B4716" t="str">
        <f>IF($C4716="","","V"&amp;TEXT(INT((ROW()-4507)/6)+1,"000")&amp;"-2")</f>
        <v/>
      </c>
      <c r="C4716" t="str">
        <f>IF(OR(Registro_Ventas!$C$38="",Registro_Ventas!$O$38&lt;&gt;"SI"),"","12")</f>
        <v/>
      </c>
      <c r="D4716" t="str">
        <f>IF($C4716="","","Cuentas por Cobrar Comerciales - Terceros")</f>
        <v/>
      </c>
      <c r="E4716" s="20" t="str">
        <f>""</f>
        <v/>
      </c>
      <c r="F4716" s="20" t="str">
        <f>IF($C4716="","",Registro_Ventas!$I$38)</f>
        <v/>
      </c>
      <c r="G4716" t="str">
        <f>IF($C4716="","","Por la cobranza de la factura")</f>
        <v/>
      </c>
      <c r="H4716" t="str">
        <f>IF($C4716="","",Registro_Ventas!$C$38)</f>
        <v/>
      </c>
    </row>
    <row r="4717" spans="1:8" x14ac:dyDescent="0.25">
      <c r="A4717" s="25" t="str">
        <f>IF($C4717="","",Registro_Ventas!$B$39)</f>
        <v/>
      </c>
      <c r="B4717" t="str">
        <f>IF($C4717="","","V"&amp;TEXT(INT((ROW()-4507)/6)+1,"000")&amp;"-1")</f>
        <v/>
      </c>
      <c r="C4717" t="str">
        <f>IF(Registro_Ventas!$C$39="","","12")</f>
        <v/>
      </c>
      <c r="D4717" t="str">
        <f>IF($C4717="","","Cuentas por Cobrar Comerciales - Terceros")</f>
        <v/>
      </c>
      <c r="E4717" s="20" t="str">
        <f>IF($C4717="","",Registro_Ventas!$I$39)</f>
        <v/>
      </c>
      <c r="F4717" s="20" t="str">
        <f>""</f>
        <v/>
      </c>
      <c r="G4717" t="str">
        <f>IF($C4717="","","Por la venta segun comprobante a "&amp;Registro_Ventas!$E$39)</f>
        <v/>
      </c>
      <c r="H4717" t="str">
        <f>IF($C4717="","",Registro_Ventas!$C$39)</f>
        <v/>
      </c>
    </row>
    <row r="4718" spans="1:8" x14ac:dyDescent="0.25">
      <c r="A4718" s="25" t="str">
        <f>IF($C4718="","",Registro_Ventas!$B$39)</f>
        <v/>
      </c>
      <c r="B4718" t="str">
        <f>IF($C4718="","","V"&amp;TEXT(INT((ROW()-4507)/6)+1,"000")&amp;"-1")</f>
        <v/>
      </c>
      <c r="C4718" t="str">
        <f>IF(Registro_Ventas!$C$39="","","70")</f>
        <v/>
      </c>
      <c r="D4718" t="str">
        <f>IF($C4718="","","Ventas")</f>
        <v/>
      </c>
      <c r="E4718" s="20" t="str">
        <f>""</f>
        <v/>
      </c>
      <c r="F4718" s="20" t="str">
        <f>IF($C4718="","",Registro_Ventas!$G$39)</f>
        <v/>
      </c>
      <c r="G4718" t="str">
        <f>IF($C4718="","","Por la venta segun comprobante a "&amp;Registro_Ventas!$E$39)</f>
        <v/>
      </c>
      <c r="H4718" t="str">
        <f>IF($C4718="","",Registro_Ventas!$C$39)</f>
        <v/>
      </c>
    </row>
    <row r="4719" spans="1:8" x14ac:dyDescent="0.25">
      <c r="A4719" s="25" t="str">
        <f>IF($C4719="","",Registro_Ventas!$B$39)</f>
        <v/>
      </c>
      <c r="B4719" t="str">
        <f>IF($C4719="","","V"&amp;TEXT(INT((ROW()-4507)/6)+1,"000")&amp;"-1")</f>
        <v/>
      </c>
      <c r="C4719" t="str">
        <f>IF(Registro_Ventas!$C$39="","","40111")</f>
        <v/>
      </c>
      <c r="D4719" t="str">
        <f>IF($C4719="","","IGV - Cuenta Propia (Debito Fiscal)")</f>
        <v/>
      </c>
      <c r="E4719" s="20" t="str">
        <f>""</f>
        <v/>
      </c>
      <c r="F4719" s="20" t="str">
        <f>IF($C4719="","",Registro_Ventas!$H$39)</f>
        <v/>
      </c>
      <c r="G4719" t="str">
        <f>IF($C4719="","","Por la venta segun comprobante a "&amp;Registro_Ventas!$E$39)</f>
        <v/>
      </c>
      <c r="H4719" t="str">
        <f>IF($C4719="","",Registro_Ventas!$C$39)</f>
        <v/>
      </c>
    </row>
    <row r="4720" spans="1:8" x14ac:dyDescent="0.25">
      <c r="A4720" s="25" t="str">
        <f>IF($C4720="","",Registro_Ventas!$P$39)</f>
        <v/>
      </c>
      <c r="B4720" t="str">
        <f>IF($C4720="","","V"&amp;TEXT(INT((ROW()-4507)/6)+1,"000")&amp;"-2")</f>
        <v/>
      </c>
      <c r="C4720" t="str">
        <f>IF(OR(Registro_Ventas!$C$39="",Registro_Ventas!$O$39&lt;&gt;"SI"),"","1041")</f>
        <v/>
      </c>
      <c r="D4720" t="str">
        <f>IF($C4720="","","Efectivo y Equivalentes - Cta. Cte. Operativa")</f>
        <v/>
      </c>
      <c r="E4720" s="20" t="str">
        <f>IF($C4720="","",Registro_Ventas!$N$39)</f>
        <v/>
      </c>
      <c r="F4720" s="20" t="str">
        <f>""</f>
        <v/>
      </c>
      <c r="G4720" t="str">
        <f>IF($C4720="","","Por la cobranza de la factura")</f>
        <v/>
      </c>
      <c r="H4720" t="str">
        <f>IF($C4720="","",Registro_Ventas!$C$39)</f>
        <v/>
      </c>
    </row>
    <row r="4721" spans="1:8" x14ac:dyDescent="0.25">
      <c r="A4721" s="25" t="str">
        <f>IF($C4721="","",Registro_Ventas!$P$39)</f>
        <v/>
      </c>
      <c r="B4721" t="str">
        <f>IF($C4721="","","V"&amp;TEXT(INT((ROW()-4507)/6)+1,"000")&amp;"-2")</f>
        <v/>
      </c>
      <c r="C4721" t="str">
        <f>IF(OR(OR(Registro_Ventas!$C$39="",Registro_Ventas!$O$39&lt;&gt;"SI"),Registro_Ventas!$J$39&lt;&gt;"SI"),"","1049")</f>
        <v/>
      </c>
      <c r="D4721" t="str">
        <f>IF($C4721="","","Efectivo - Cuenta de Detracciones (Banco de la Nacion)")</f>
        <v/>
      </c>
      <c r="E4721" s="20" t="str">
        <f>IF($C4721="","",Registro_Ventas!$M$39)</f>
        <v/>
      </c>
      <c r="F4721" s="20" t="str">
        <f>""</f>
        <v/>
      </c>
      <c r="G4721" t="str">
        <f>IF($C4721="","","Detraccion retenida por el cliente")</f>
        <v/>
      </c>
      <c r="H4721" t="str">
        <f>IF($C4721="","",Registro_Ventas!$C$39)</f>
        <v/>
      </c>
    </row>
    <row r="4722" spans="1:8" x14ac:dyDescent="0.25">
      <c r="A4722" s="25" t="str">
        <f>IF($C4722="","",Registro_Ventas!$P$39)</f>
        <v/>
      </c>
      <c r="B4722" t="str">
        <f>IF($C4722="","","V"&amp;TEXT(INT((ROW()-4507)/6)+1,"000")&amp;"-2")</f>
        <v/>
      </c>
      <c r="C4722" t="str">
        <f>IF(OR(Registro_Ventas!$C$39="",Registro_Ventas!$O$39&lt;&gt;"SI"),"","12")</f>
        <v/>
      </c>
      <c r="D4722" t="str">
        <f>IF($C4722="","","Cuentas por Cobrar Comerciales - Terceros")</f>
        <v/>
      </c>
      <c r="E4722" s="20" t="str">
        <f>""</f>
        <v/>
      </c>
      <c r="F4722" s="20" t="str">
        <f>IF($C4722="","",Registro_Ventas!$I$39)</f>
        <v/>
      </c>
      <c r="G4722" t="str">
        <f>IF($C4722="","","Por la cobranza de la factura")</f>
        <v/>
      </c>
      <c r="H4722" t="str">
        <f>IF($C4722="","",Registro_Ventas!$C$39)</f>
        <v/>
      </c>
    </row>
    <row r="4723" spans="1:8" x14ac:dyDescent="0.25">
      <c r="A4723" s="25" t="str">
        <f>IF($C4723="","",Registro_Ventas!$B$40)</f>
        <v/>
      </c>
      <c r="B4723" t="str">
        <f>IF($C4723="","","V"&amp;TEXT(INT((ROW()-4507)/6)+1,"000")&amp;"-1")</f>
        <v/>
      </c>
      <c r="C4723" t="str">
        <f>IF(Registro_Ventas!$C$40="","","12")</f>
        <v/>
      </c>
      <c r="D4723" t="str">
        <f>IF($C4723="","","Cuentas por Cobrar Comerciales - Terceros")</f>
        <v/>
      </c>
      <c r="E4723" s="20" t="str">
        <f>IF($C4723="","",Registro_Ventas!$I$40)</f>
        <v/>
      </c>
      <c r="F4723" s="20" t="str">
        <f>""</f>
        <v/>
      </c>
      <c r="G4723" t="str">
        <f>IF($C4723="","","Por la venta segun comprobante a "&amp;Registro_Ventas!$E$40)</f>
        <v/>
      </c>
      <c r="H4723" t="str">
        <f>IF($C4723="","",Registro_Ventas!$C$40)</f>
        <v/>
      </c>
    </row>
    <row r="4724" spans="1:8" x14ac:dyDescent="0.25">
      <c r="A4724" s="25" t="str">
        <f>IF($C4724="","",Registro_Ventas!$B$40)</f>
        <v/>
      </c>
      <c r="B4724" t="str">
        <f>IF($C4724="","","V"&amp;TEXT(INT((ROW()-4507)/6)+1,"000")&amp;"-1")</f>
        <v/>
      </c>
      <c r="C4724" t="str">
        <f>IF(Registro_Ventas!$C$40="","","70")</f>
        <v/>
      </c>
      <c r="D4724" t="str">
        <f>IF($C4724="","","Ventas")</f>
        <v/>
      </c>
      <c r="E4724" s="20" t="str">
        <f>""</f>
        <v/>
      </c>
      <c r="F4724" s="20" t="str">
        <f>IF($C4724="","",Registro_Ventas!$G$40)</f>
        <v/>
      </c>
      <c r="G4724" t="str">
        <f>IF($C4724="","","Por la venta segun comprobante a "&amp;Registro_Ventas!$E$40)</f>
        <v/>
      </c>
      <c r="H4724" t="str">
        <f>IF($C4724="","",Registro_Ventas!$C$40)</f>
        <v/>
      </c>
    </row>
    <row r="4725" spans="1:8" x14ac:dyDescent="0.25">
      <c r="A4725" s="25" t="str">
        <f>IF($C4725="","",Registro_Ventas!$B$40)</f>
        <v/>
      </c>
      <c r="B4725" t="str">
        <f>IF($C4725="","","V"&amp;TEXT(INT((ROW()-4507)/6)+1,"000")&amp;"-1")</f>
        <v/>
      </c>
      <c r="C4725" t="str">
        <f>IF(Registro_Ventas!$C$40="","","40111")</f>
        <v/>
      </c>
      <c r="D4725" t="str">
        <f>IF($C4725="","","IGV - Cuenta Propia (Debito Fiscal)")</f>
        <v/>
      </c>
      <c r="E4725" s="20" t="str">
        <f>""</f>
        <v/>
      </c>
      <c r="F4725" s="20" t="str">
        <f>IF($C4725="","",Registro_Ventas!$H$40)</f>
        <v/>
      </c>
      <c r="G4725" t="str">
        <f>IF($C4725="","","Por la venta segun comprobante a "&amp;Registro_Ventas!$E$40)</f>
        <v/>
      </c>
      <c r="H4725" t="str">
        <f>IF($C4725="","",Registro_Ventas!$C$40)</f>
        <v/>
      </c>
    </row>
    <row r="4726" spans="1:8" x14ac:dyDescent="0.25">
      <c r="A4726" s="25" t="str">
        <f>IF($C4726="","",Registro_Ventas!$P$40)</f>
        <v/>
      </c>
      <c r="B4726" t="str">
        <f>IF($C4726="","","V"&amp;TEXT(INT((ROW()-4507)/6)+1,"000")&amp;"-2")</f>
        <v/>
      </c>
      <c r="C4726" t="str">
        <f>IF(OR(Registro_Ventas!$C$40="",Registro_Ventas!$O$40&lt;&gt;"SI"),"","1041")</f>
        <v/>
      </c>
      <c r="D4726" t="str">
        <f>IF($C4726="","","Efectivo y Equivalentes - Cta. Cte. Operativa")</f>
        <v/>
      </c>
      <c r="E4726" s="20" t="str">
        <f>IF($C4726="","",Registro_Ventas!$N$40)</f>
        <v/>
      </c>
      <c r="F4726" s="20" t="str">
        <f>""</f>
        <v/>
      </c>
      <c r="G4726" t="str">
        <f>IF($C4726="","","Por la cobranza de la factura")</f>
        <v/>
      </c>
      <c r="H4726" t="str">
        <f>IF($C4726="","",Registro_Ventas!$C$40)</f>
        <v/>
      </c>
    </row>
    <row r="4727" spans="1:8" x14ac:dyDescent="0.25">
      <c r="A4727" s="25" t="str">
        <f>IF($C4727="","",Registro_Ventas!$P$40)</f>
        <v/>
      </c>
      <c r="B4727" t="str">
        <f>IF($C4727="","","V"&amp;TEXT(INT((ROW()-4507)/6)+1,"000")&amp;"-2")</f>
        <v/>
      </c>
      <c r="C4727" t="str">
        <f>IF(OR(OR(Registro_Ventas!$C$40="",Registro_Ventas!$O$40&lt;&gt;"SI"),Registro_Ventas!$J$40&lt;&gt;"SI"),"","1049")</f>
        <v/>
      </c>
      <c r="D4727" t="str">
        <f>IF($C4727="","","Efectivo - Cuenta de Detracciones (Banco de la Nacion)")</f>
        <v/>
      </c>
      <c r="E4727" s="20" t="str">
        <f>IF($C4727="","",Registro_Ventas!$M$40)</f>
        <v/>
      </c>
      <c r="F4727" s="20" t="str">
        <f>""</f>
        <v/>
      </c>
      <c r="G4727" t="str">
        <f>IF($C4727="","","Detraccion retenida por el cliente")</f>
        <v/>
      </c>
      <c r="H4727" t="str">
        <f>IF($C4727="","",Registro_Ventas!$C$40)</f>
        <v/>
      </c>
    </row>
    <row r="4728" spans="1:8" x14ac:dyDescent="0.25">
      <c r="A4728" s="25" t="str">
        <f>IF($C4728="","",Registro_Ventas!$P$40)</f>
        <v/>
      </c>
      <c r="B4728" t="str">
        <f>IF($C4728="","","V"&amp;TEXT(INT((ROW()-4507)/6)+1,"000")&amp;"-2")</f>
        <v/>
      </c>
      <c r="C4728" t="str">
        <f>IF(OR(Registro_Ventas!$C$40="",Registro_Ventas!$O$40&lt;&gt;"SI"),"","12")</f>
        <v/>
      </c>
      <c r="D4728" t="str">
        <f>IF($C4728="","","Cuentas por Cobrar Comerciales - Terceros")</f>
        <v/>
      </c>
      <c r="E4728" s="20" t="str">
        <f>""</f>
        <v/>
      </c>
      <c r="F4728" s="20" t="str">
        <f>IF($C4728="","",Registro_Ventas!$I$40)</f>
        <v/>
      </c>
      <c r="G4728" t="str">
        <f>IF($C4728="","","Por la cobranza de la factura")</f>
        <v/>
      </c>
      <c r="H4728" t="str">
        <f>IF($C4728="","",Registro_Ventas!$C$40)</f>
        <v/>
      </c>
    </row>
    <row r="4729" spans="1:8" x14ac:dyDescent="0.25">
      <c r="A4729" s="25" t="str">
        <f>IF($C4729="","",Registro_Ventas!$B$41)</f>
        <v/>
      </c>
      <c r="B4729" t="str">
        <f>IF($C4729="","","V"&amp;TEXT(INT((ROW()-4507)/6)+1,"000")&amp;"-1")</f>
        <v/>
      </c>
      <c r="C4729" t="str">
        <f>IF(Registro_Ventas!$C$41="","","12")</f>
        <v/>
      </c>
      <c r="D4729" t="str">
        <f>IF($C4729="","","Cuentas por Cobrar Comerciales - Terceros")</f>
        <v/>
      </c>
      <c r="E4729" s="20" t="str">
        <f>IF($C4729="","",Registro_Ventas!$I$41)</f>
        <v/>
      </c>
      <c r="F4729" s="20" t="str">
        <f>""</f>
        <v/>
      </c>
      <c r="G4729" t="str">
        <f>IF($C4729="","","Por la venta segun comprobante a "&amp;Registro_Ventas!$E$41)</f>
        <v/>
      </c>
      <c r="H4729" t="str">
        <f>IF($C4729="","",Registro_Ventas!$C$41)</f>
        <v/>
      </c>
    </row>
    <row r="4730" spans="1:8" x14ac:dyDescent="0.25">
      <c r="A4730" s="25" t="str">
        <f>IF($C4730="","",Registro_Ventas!$B$41)</f>
        <v/>
      </c>
      <c r="B4730" t="str">
        <f>IF($C4730="","","V"&amp;TEXT(INT((ROW()-4507)/6)+1,"000")&amp;"-1")</f>
        <v/>
      </c>
      <c r="C4730" t="str">
        <f>IF(Registro_Ventas!$C$41="","","70")</f>
        <v/>
      </c>
      <c r="D4730" t="str">
        <f>IF($C4730="","","Ventas")</f>
        <v/>
      </c>
      <c r="E4730" s="20" t="str">
        <f>""</f>
        <v/>
      </c>
      <c r="F4730" s="20" t="str">
        <f>IF($C4730="","",Registro_Ventas!$G$41)</f>
        <v/>
      </c>
      <c r="G4730" t="str">
        <f>IF($C4730="","","Por la venta segun comprobante a "&amp;Registro_Ventas!$E$41)</f>
        <v/>
      </c>
      <c r="H4730" t="str">
        <f>IF($C4730="","",Registro_Ventas!$C$41)</f>
        <v/>
      </c>
    </row>
    <row r="4731" spans="1:8" x14ac:dyDescent="0.25">
      <c r="A4731" s="25" t="str">
        <f>IF($C4731="","",Registro_Ventas!$B$41)</f>
        <v/>
      </c>
      <c r="B4731" t="str">
        <f>IF($C4731="","","V"&amp;TEXT(INT((ROW()-4507)/6)+1,"000")&amp;"-1")</f>
        <v/>
      </c>
      <c r="C4731" t="str">
        <f>IF(Registro_Ventas!$C$41="","","40111")</f>
        <v/>
      </c>
      <c r="D4731" t="str">
        <f>IF($C4731="","","IGV - Cuenta Propia (Debito Fiscal)")</f>
        <v/>
      </c>
      <c r="E4731" s="20" t="str">
        <f>""</f>
        <v/>
      </c>
      <c r="F4731" s="20" t="str">
        <f>IF($C4731="","",Registro_Ventas!$H$41)</f>
        <v/>
      </c>
      <c r="G4731" t="str">
        <f>IF($C4731="","","Por la venta segun comprobante a "&amp;Registro_Ventas!$E$41)</f>
        <v/>
      </c>
      <c r="H4731" t="str">
        <f>IF($C4731="","",Registro_Ventas!$C$41)</f>
        <v/>
      </c>
    </row>
    <row r="4732" spans="1:8" x14ac:dyDescent="0.25">
      <c r="A4732" s="25" t="str">
        <f>IF($C4732="","",Registro_Ventas!$P$41)</f>
        <v/>
      </c>
      <c r="B4732" t="str">
        <f>IF($C4732="","","V"&amp;TEXT(INT((ROW()-4507)/6)+1,"000")&amp;"-2")</f>
        <v/>
      </c>
      <c r="C4732" t="str">
        <f>IF(OR(Registro_Ventas!$C$41="",Registro_Ventas!$O$41&lt;&gt;"SI"),"","1041")</f>
        <v/>
      </c>
      <c r="D4732" t="str">
        <f>IF($C4732="","","Efectivo y Equivalentes - Cta. Cte. Operativa")</f>
        <v/>
      </c>
      <c r="E4732" s="20" t="str">
        <f>IF($C4732="","",Registro_Ventas!$N$41)</f>
        <v/>
      </c>
      <c r="F4732" s="20" t="str">
        <f>""</f>
        <v/>
      </c>
      <c r="G4732" t="str">
        <f>IF($C4732="","","Por la cobranza de la factura")</f>
        <v/>
      </c>
      <c r="H4732" t="str">
        <f>IF($C4732="","",Registro_Ventas!$C$41)</f>
        <v/>
      </c>
    </row>
    <row r="4733" spans="1:8" x14ac:dyDescent="0.25">
      <c r="A4733" s="25" t="str">
        <f>IF($C4733="","",Registro_Ventas!$P$41)</f>
        <v/>
      </c>
      <c r="B4733" t="str">
        <f>IF($C4733="","","V"&amp;TEXT(INT((ROW()-4507)/6)+1,"000")&amp;"-2")</f>
        <v/>
      </c>
      <c r="C4733" t="str">
        <f>IF(OR(OR(Registro_Ventas!$C$41="",Registro_Ventas!$O$41&lt;&gt;"SI"),Registro_Ventas!$J$41&lt;&gt;"SI"),"","1049")</f>
        <v/>
      </c>
      <c r="D4733" t="str">
        <f>IF($C4733="","","Efectivo - Cuenta de Detracciones (Banco de la Nacion)")</f>
        <v/>
      </c>
      <c r="E4733" s="20" t="str">
        <f>IF($C4733="","",Registro_Ventas!$M$41)</f>
        <v/>
      </c>
      <c r="F4733" s="20" t="str">
        <f>""</f>
        <v/>
      </c>
      <c r="G4733" t="str">
        <f>IF($C4733="","","Detraccion retenida por el cliente")</f>
        <v/>
      </c>
      <c r="H4733" t="str">
        <f>IF($C4733="","",Registro_Ventas!$C$41)</f>
        <v/>
      </c>
    </row>
    <row r="4734" spans="1:8" x14ac:dyDescent="0.25">
      <c r="A4734" s="25" t="str">
        <f>IF($C4734="","",Registro_Ventas!$P$41)</f>
        <v/>
      </c>
      <c r="B4734" t="str">
        <f>IF($C4734="","","V"&amp;TEXT(INT((ROW()-4507)/6)+1,"000")&amp;"-2")</f>
        <v/>
      </c>
      <c r="C4734" t="str">
        <f>IF(OR(Registro_Ventas!$C$41="",Registro_Ventas!$O$41&lt;&gt;"SI"),"","12")</f>
        <v/>
      </c>
      <c r="D4734" t="str">
        <f>IF($C4734="","","Cuentas por Cobrar Comerciales - Terceros")</f>
        <v/>
      </c>
      <c r="E4734" s="20" t="str">
        <f>""</f>
        <v/>
      </c>
      <c r="F4734" s="20" t="str">
        <f>IF($C4734="","",Registro_Ventas!$I$41)</f>
        <v/>
      </c>
      <c r="G4734" t="str">
        <f>IF($C4734="","","Por la cobranza de la factura")</f>
        <v/>
      </c>
      <c r="H4734" t="str">
        <f>IF($C4734="","",Registro_Ventas!$C$41)</f>
        <v/>
      </c>
    </row>
    <row r="4735" spans="1:8" x14ac:dyDescent="0.25">
      <c r="A4735" s="25" t="str">
        <f>IF($C4735="","",Registro_Ventas!$B$42)</f>
        <v/>
      </c>
      <c r="B4735" t="str">
        <f>IF($C4735="","","V"&amp;TEXT(INT((ROW()-4507)/6)+1,"000")&amp;"-1")</f>
        <v/>
      </c>
      <c r="C4735" t="str">
        <f>IF(Registro_Ventas!$C$42="","","12")</f>
        <v/>
      </c>
      <c r="D4735" t="str">
        <f>IF($C4735="","","Cuentas por Cobrar Comerciales - Terceros")</f>
        <v/>
      </c>
      <c r="E4735" s="20" t="str">
        <f>IF($C4735="","",Registro_Ventas!$I$42)</f>
        <v/>
      </c>
      <c r="F4735" s="20" t="str">
        <f>""</f>
        <v/>
      </c>
      <c r="G4735" t="str">
        <f>IF($C4735="","","Por la venta segun comprobante a "&amp;Registro_Ventas!$E$42)</f>
        <v/>
      </c>
      <c r="H4735" t="str">
        <f>IF($C4735="","",Registro_Ventas!$C$42)</f>
        <v/>
      </c>
    </row>
    <row r="4736" spans="1:8" x14ac:dyDescent="0.25">
      <c r="A4736" s="25" t="str">
        <f>IF($C4736="","",Registro_Ventas!$B$42)</f>
        <v/>
      </c>
      <c r="B4736" t="str">
        <f>IF($C4736="","","V"&amp;TEXT(INT((ROW()-4507)/6)+1,"000")&amp;"-1")</f>
        <v/>
      </c>
      <c r="C4736" t="str">
        <f>IF(Registro_Ventas!$C$42="","","70")</f>
        <v/>
      </c>
      <c r="D4736" t="str">
        <f>IF($C4736="","","Ventas")</f>
        <v/>
      </c>
      <c r="E4736" s="20" t="str">
        <f>""</f>
        <v/>
      </c>
      <c r="F4736" s="20" t="str">
        <f>IF($C4736="","",Registro_Ventas!$G$42)</f>
        <v/>
      </c>
      <c r="G4736" t="str">
        <f>IF($C4736="","","Por la venta segun comprobante a "&amp;Registro_Ventas!$E$42)</f>
        <v/>
      </c>
      <c r="H4736" t="str">
        <f>IF($C4736="","",Registro_Ventas!$C$42)</f>
        <v/>
      </c>
    </row>
    <row r="4737" spans="1:8" x14ac:dyDescent="0.25">
      <c r="A4737" s="25" t="str">
        <f>IF($C4737="","",Registro_Ventas!$B$42)</f>
        <v/>
      </c>
      <c r="B4737" t="str">
        <f>IF($C4737="","","V"&amp;TEXT(INT((ROW()-4507)/6)+1,"000")&amp;"-1")</f>
        <v/>
      </c>
      <c r="C4737" t="str">
        <f>IF(Registro_Ventas!$C$42="","","40111")</f>
        <v/>
      </c>
      <c r="D4737" t="str">
        <f>IF($C4737="","","IGV - Cuenta Propia (Debito Fiscal)")</f>
        <v/>
      </c>
      <c r="E4737" s="20" t="str">
        <f>""</f>
        <v/>
      </c>
      <c r="F4737" s="20" t="str">
        <f>IF($C4737="","",Registro_Ventas!$H$42)</f>
        <v/>
      </c>
      <c r="G4737" t="str">
        <f>IF($C4737="","","Por la venta segun comprobante a "&amp;Registro_Ventas!$E$42)</f>
        <v/>
      </c>
      <c r="H4737" t="str">
        <f>IF($C4737="","",Registro_Ventas!$C$42)</f>
        <v/>
      </c>
    </row>
    <row r="4738" spans="1:8" x14ac:dyDescent="0.25">
      <c r="A4738" s="25" t="str">
        <f>IF($C4738="","",Registro_Ventas!$P$42)</f>
        <v/>
      </c>
      <c r="B4738" t="str">
        <f>IF($C4738="","","V"&amp;TEXT(INT((ROW()-4507)/6)+1,"000")&amp;"-2")</f>
        <v/>
      </c>
      <c r="C4738" t="str">
        <f>IF(OR(Registro_Ventas!$C$42="",Registro_Ventas!$O$42&lt;&gt;"SI"),"","1041")</f>
        <v/>
      </c>
      <c r="D4738" t="str">
        <f>IF($C4738="","","Efectivo y Equivalentes - Cta. Cte. Operativa")</f>
        <v/>
      </c>
      <c r="E4738" s="20" t="str">
        <f>IF($C4738="","",Registro_Ventas!$N$42)</f>
        <v/>
      </c>
      <c r="F4738" s="20" t="str">
        <f>""</f>
        <v/>
      </c>
      <c r="G4738" t="str">
        <f>IF($C4738="","","Por la cobranza de la factura")</f>
        <v/>
      </c>
      <c r="H4738" t="str">
        <f>IF($C4738="","",Registro_Ventas!$C$42)</f>
        <v/>
      </c>
    </row>
    <row r="4739" spans="1:8" x14ac:dyDescent="0.25">
      <c r="A4739" s="25" t="str">
        <f>IF($C4739="","",Registro_Ventas!$P$42)</f>
        <v/>
      </c>
      <c r="B4739" t="str">
        <f>IF($C4739="","","V"&amp;TEXT(INT((ROW()-4507)/6)+1,"000")&amp;"-2")</f>
        <v/>
      </c>
      <c r="C4739" t="str">
        <f>IF(OR(OR(Registro_Ventas!$C$42="",Registro_Ventas!$O$42&lt;&gt;"SI"),Registro_Ventas!$J$42&lt;&gt;"SI"),"","1049")</f>
        <v/>
      </c>
      <c r="D4739" t="str">
        <f>IF($C4739="","","Efectivo - Cuenta de Detracciones (Banco de la Nacion)")</f>
        <v/>
      </c>
      <c r="E4739" s="20" t="str">
        <f>IF($C4739="","",Registro_Ventas!$M$42)</f>
        <v/>
      </c>
      <c r="F4739" s="20" t="str">
        <f>""</f>
        <v/>
      </c>
      <c r="G4739" t="str">
        <f>IF($C4739="","","Detraccion retenida por el cliente")</f>
        <v/>
      </c>
      <c r="H4739" t="str">
        <f>IF($C4739="","",Registro_Ventas!$C$42)</f>
        <v/>
      </c>
    </row>
    <row r="4740" spans="1:8" x14ac:dyDescent="0.25">
      <c r="A4740" s="25" t="str">
        <f>IF($C4740="","",Registro_Ventas!$P$42)</f>
        <v/>
      </c>
      <c r="B4740" t="str">
        <f>IF($C4740="","","V"&amp;TEXT(INT((ROW()-4507)/6)+1,"000")&amp;"-2")</f>
        <v/>
      </c>
      <c r="C4740" t="str">
        <f>IF(OR(Registro_Ventas!$C$42="",Registro_Ventas!$O$42&lt;&gt;"SI"),"","12")</f>
        <v/>
      </c>
      <c r="D4740" t="str">
        <f>IF($C4740="","","Cuentas por Cobrar Comerciales - Terceros")</f>
        <v/>
      </c>
      <c r="E4740" s="20" t="str">
        <f>""</f>
        <v/>
      </c>
      <c r="F4740" s="20" t="str">
        <f>IF($C4740="","",Registro_Ventas!$I$42)</f>
        <v/>
      </c>
      <c r="G4740" t="str">
        <f>IF($C4740="","","Por la cobranza de la factura")</f>
        <v/>
      </c>
      <c r="H4740" t="str">
        <f>IF($C4740="","",Registro_Ventas!$C$42)</f>
        <v/>
      </c>
    </row>
    <row r="4741" spans="1:8" x14ac:dyDescent="0.25">
      <c r="A4741" s="25" t="str">
        <f>IF($C4741="","",Registro_Ventas!$B$43)</f>
        <v/>
      </c>
      <c r="B4741" t="str">
        <f>IF($C4741="","","V"&amp;TEXT(INT((ROW()-4507)/6)+1,"000")&amp;"-1")</f>
        <v/>
      </c>
      <c r="C4741" t="str">
        <f>IF(Registro_Ventas!$C$43="","","12")</f>
        <v/>
      </c>
      <c r="D4741" t="str">
        <f>IF($C4741="","","Cuentas por Cobrar Comerciales - Terceros")</f>
        <v/>
      </c>
      <c r="E4741" s="20" t="str">
        <f>IF($C4741="","",Registro_Ventas!$I$43)</f>
        <v/>
      </c>
      <c r="F4741" s="20" t="str">
        <f>""</f>
        <v/>
      </c>
      <c r="G4741" t="str">
        <f>IF($C4741="","","Por la venta segun comprobante a "&amp;Registro_Ventas!$E$43)</f>
        <v/>
      </c>
      <c r="H4741" t="str">
        <f>IF($C4741="","",Registro_Ventas!$C$43)</f>
        <v/>
      </c>
    </row>
    <row r="4742" spans="1:8" x14ac:dyDescent="0.25">
      <c r="A4742" s="25" t="str">
        <f>IF($C4742="","",Registro_Ventas!$B$43)</f>
        <v/>
      </c>
      <c r="B4742" t="str">
        <f>IF($C4742="","","V"&amp;TEXT(INT((ROW()-4507)/6)+1,"000")&amp;"-1")</f>
        <v/>
      </c>
      <c r="C4742" t="str">
        <f>IF(Registro_Ventas!$C$43="","","70")</f>
        <v/>
      </c>
      <c r="D4742" t="str">
        <f>IF($C4742="","","Ventas")</f>
        <v/>
      </c>
      <c r="E4742" s="20" t="str">
        <f>""</f>
        <v/>
      </c>
      <c r="F4742" s="20" t="str">
        <f>IF($C4742="","",Registro_Ventas!$G$43)</f>
        <v/>
      </c>
      <c r="G4742" t="str">
        <f>IF($C4742="","","Por la venta segun comprobante a "&amp;Registro_Ventas!$E$43)</f>
        <v/>
      </c>
      <c r="H4742" t="str">
        <f>IF($C4742="","",Registro_Ventas!$C$43)</f>
        <v/>
      </c>
    </row>
    <row r="4743" spans="1:8" x14ac:dyDescent="0.25">
      <c r="A4743" s="25" t="str">
        <f>IF($C4743="","",Registro_Ventas!$B$43)</f>
        <v/>
      </c>
      <c r="B4743" t="str">
        <f>IF($C4743="","","V"&amp;TEXT(INT((ROW()-4507)/6)+1,"000")&amp;"-1")</f>
        <v/>
      </c>
      <c r="C4743" t="str">
        <f>IF(Registro_Ventas!$C$43="","","40111")</f>
        <v/>
      </c>
      <c r="D4743" t="str">
        <f>IF($C4743="","","IGV - Cuenta Propia (Debito Fiscal)")</f>
        <v/>
      </c>
      <c r="E4743" s="20" t="str">
        <f>""</f>
        <v/>
      </c>
      <c r="F4743" s="20" t="str">
        <f>IF($C4743="","",Registro_Ventas!$H$43)</f>
        <v/>
      </c>
      <c r="G4743" t="str">
        <f>IF($C4743="","","Por la venta segun comprobante a "&amp;Registro_Ventas!$E$43)</f>
        <v/>
      </c>
      <c r="H4743" t="str">
        <f>IF($C4743="","",Registro_Ventas!$C$43)</f>
        <v/>
      </c>
    </row>
    <row r="4744" spans="1:8" x14ac:dyDescent="0.25">
      <c r="A4744" s="25" t="str">
        <f>IF($C4744="","",Registro_Ventas!$P$43)</f>
        <v/>
      </c>
      <c r="B4744" t="str">
        <f>IF($C4744="","","V"&amp;TEXT(INT((ROW()-4507)/6)+1,"000")&amp;"-2")</f>
        <v/>
      </c>
      <c r="C4744" t="str">
        <f>IF(OR(Registro_Ventas!$C$43="",Registro_Ventas!$O$43&lt;&gt;"SI"),"","1041")</f>
        <v/>
      </c>
      <c r="D4744" t="str">
        <f>IF($C4744="","","Efectivo y Equivalentes - Cta. Cte. Operativa")</f>
        <v/>
      </c>
      <c r="E4744" s="20" t="str">
        <f>IF($C4744="","",Registro_Ventas!$N$43)</f>
        <v/>
      </c>
      <c r="F4744" s="20" t="str">
        <f>""</f>
        <v/>
      </c>
      <c r="G4744" t="str">
        <f>IF($C4744="","","Por la cobranza de la factura")</f>
        <v/>
      </c>
      <c r="H4744" t="str">
        <f>IF($C4744="","",Registro_Ventas!$C$43)</f>
        <v/>
      </c>
    </row>
    <row r="4745" spans="1:8" x14ac:dyDescent="0.25">
      <c r="A4745" s="25" t="str">
        <f>IF($C4745="","",Registro_Ventas!$P$43)</f>
        <v/>
      </c>
      <c r="B4745" t="str">
        <f>IF($C4745="","","V"&amp;TEXT(INT((ROW()-4507)/6)+1,"000")&amp;"-2")</f>
        <v/>
      </c>
      <c r="C4745" t="str">
        <f>IF(OR(OR(Registro_Ventas!$C$43="",Registro_Ventas!$O$43&lt;&gt;"SI"),Registro_Ventas!$J$43&lt;&gt;"SI"),"","1049")</f>
        <v/>
      </c>
      <c r="D4745" t="str">
        <f>IF($C4745="","","Efectivo - Cuenta de Detracciones (Banco de la Nacion)")</f>
        <v/>
      </c>
      <c r="E4745" s="20" t="str">
        <f>IF($C4745="","",Registro_Ventas!$M$43)</f>
        <v/>
      </c>
      <c r="F4745" s="20" t="str">
        <f>""</f>
        <v/>
      </c>
      <c r="G4745" t="str">
        <f>IF($C4745="","","Detraccion retenida por el cliente")</f>
        <v/>
      </c>
      <c r="H4745" t="str">
        <f>IF($C4745="","",Registro_Ventas!$C$43)</f>
        <v/>
      </c>
    </row>
    <row r="4746" spans="1:8" x14ac:dyDescent="0.25">
      <c r="A4746" s="25" t="str">
        <f>IF($C4746="","",Registro_Ventas!$P$43)</f>
        <v/>
      </c>
      <c r="B4746" t="str">
        <f>IF($C4746="","","V"&amp;TEXT(INT((ROW()-4507)/6)+1,"000")&amp;"-2")</f>
        <v/>
      </c>
      <c r="C4746" t="str">
        <f>IF(OR(Registro_Ventas!$C$43="",Registro_Ventas!$O$43&lt;&gt;"SI"),"","12")</f>
        <v/>
      </c>
      <c r="D4746" t="str">
        <f>IF($C4746="","","Cuentas por Cobrar Comerciales - Terceros")</f>
        <v/>
      </c>
      <c r="E4746" s="20" t="str">
        <f>""</f>
        <v/>
      </c>
      <c r="F4746" s="20" t="str">
        <f>IF($C4746="","",Registro_Ventas!$I$43)</f>
        <v/>
      </c>
      <c r="G4746" t="str">
        <f>IF($C4746="","","Por la cobranza de la factura")</f>
        <v/>
      </c>
      <c r="H4746" t="str">
        <f>IF($C4746="","",Registro_Ventas!$C$43)</f>
        <v/>
      </c>
    </row>
    <row r="4747" spans="1:8" x14ac:dyDescent="0.25">
      <c r="A4747" s="25" t="str">
        <f>IF($C4747="","",Registro_Ventas!$B$44)</f>
        <v/>
      </c>
      <c r="B4747" t="str">
        <f>IF($C4747="","","V"&amp;TEXT(INT((ROW()-4507)/6)+1,"000")&amp;"-1")</f>
        <v/>
      </c>
      <c r="C4747" t="str">
        <f>IF(Registro_Ventas!$C$44="","","12")</f>
        <v/>
      </c>
      <c r="D4747" t="str">
        <f>IF($C4747="","","Cuentas por Cobrar Comerciales - Terceros")</f>
        <v/>
      </c>
      <c r="E4747" s="20" t="str">
        <f>IF($C4747="","",Registro_Ventas!$I$44)</f>
        <v/>
      </c>
      <c r="F4747" s="20" t="str">
        <f>""</f>
        <v/>
      </c>
      <c r="G4747" t="str">
        <f>IF($C4747="","","Por la venta segun comprobante a "&amp;Registro_Ventas!$E$44)</f>
        <v/>
      </c>
      <c r="H4747" t="str">
        <f>IF($C4747="","",Registro_Ventas!$C$44)</f>
        <v/>
      </c>
    </row>
    <row r="4748" spans="1:8" x14ac:dyDescent="0.25">
      <c r="A4748" s="25" t="str">
        <f>IF($C4748="","",Registro_Ventas!$B$44)</f>
        <v/>
      </c>
      <c r="B4748" t="str">
        <f>IF($C4748="","","V"&amp;TEXT(INT((ROW()-4507)/6)+1,"000")&amp;"-1")</f>
        <v/>
      </c>
      <c r="C4748" t="str">
        <f>IF(Registro_Ventas!$C$44="","","70")</f>
        <v/>
      </c>
      <c r="D4748" t="str">
        <f>IF($C4748="","","Ventas")</f>
        <v/>
      </c>
      <c r="E4748" s="20" t="str">
        <f>""</f>
        <v/>
      </c>
      <c r="F4748" s="20" t="str">
        <f>IF($C4748="","",Registro_Ventas!$G$44)</f>
        <v/>
      </c>
      <c r="G4748" t="str">
        <f>IF($C4748="","","Por la venta segun comprobante a "&amp;Registro_Ventas!$E$44)</f>
        <v/>
      </c>
      <c r="H4748" t="str">
        <f>IF($C4748="","",Registro_Ventas!$C$44)</f>
        <v/>
      </c>
    </row>
    <row r="4749" spans="1:8" x14ac:dyDescent="0.25">
      <c r="A4749" s="25" t="str">
        <f>IF($C4749="","",Registro_Ventas!$B$44)</f>
        <v/>
      </c>
      <c r="B4749" t="str">
        <f>IF($C4749="","","V"&amp;TEXT(INT((ROW()-4507)/6)+1,"000")&amp;"-1")</f>
        <v/>
      </c>
      <c r="C4749" t="str">
        <f>IF(Registro_Ventas!$C$44="","","40111")</f>
        <v/>
      </c>
      <c r="D4749" t="str">
        <f>IF($C4749="","","IGV - Cuenta Propia (Debito Fiscal)")</f>
        <v/>
      </c>
      <c r="E4749" s="20" t="str">
        <f>""</f>
        <v/>
      </c>
      <c r="F4749" s="20" t="str">
        <f>IF($C4749="","",Registro_Ventas!$H$44)</f>
        <v/>
      </c>
      <c r="G4749" t="str">
        <f>IF($C4749="","","Por la venta segun comprobante a "&amp;Registro_Ventas!$E$44)</f>
        <v/>
      </c>
      <c r="H4749" t="str">
        <f>IF($C4749="","",Registro_Ventas!$C$44)</f>
        <v/>
      </c>
    </row>
    <row r="4750" spans="1:8" x14ac:dyDescent="0.25">
      <c r="A4750" s="25" t="str">
        <f>IF($C4750="","",Registro_Ventas!$P$44)</f>
        <v/>
      </c>
      <c r="B4750" t="str">
        <f>IF($C4750="","","V"&amp;TEXT(INT((ROW()-4507)/6)+1,"000")&amp;"-2")</f>
        <v/>
      </c>
      <c r="C4750" t="str">
        <f>IF(OR(Registro_Ventas!$C$44="",Registro_Ventas!$O$44&lt;&gt;"SI"),"","1041")</f>
        <v/>
      </c>
      <c r="D4750" t="str">
        <f>IF($C4750="","","Efectivo y Equivalentes - Cta. Cte. Operativa")</f>
        <v/>
      </c>
      <c r="E4750" s="20" t="str">
        <f>IF($C4750="","",Registro_Ventas!$N$44)</f>
        <v/>
      </c>
      <c r="F4750" s="20" t="str">
        <f>""</f>
        <v/>
      </c>
      <c r="G4750" t="str">
        <f>IF($C4750="","","Por la cobranza de la factura")</f>
        <v/>
      </c>
      <c r="H4750" t="str">
        <f>IF($C4750="","",Registro_Ventas!$C$44)</f>
        <v/>
      </c>
    </row>
    <row r="4751" spans="1:8" x14ac:dyDescent="0.25">
      <c r="A4751" s="25" t="str">
        <f>IF($C4751="","",Registro_Ventas!$P$44)</f>
        <v/>
      </c>
      <c r="B4751" t="str">
        <f>IF($C4751="","","V"&amp;TEXT(INT((ROW()-4507)/6)+1,"000")&amp;"-2")</f>
        <v/>
      </c>
      <c r="C4751" t="str">
        <f>IF(OR(OR(Registro_Ventas!$C$44="",Registro_Ventas!$O$44&lt;&gt;"SI"),Registro_Ventas!$J$44&lt;&gt;"SI"),"","1049")</f>
        <v/>
      </c>
      <c r="D4751" t="str">
        <f>IF($C4751="","","Efectivo - Cuenta de Detracciones (Banco de la Nacion)")</f>
        <v/>
      </c>
      <c r="E4751" s="20" t="str">
        <f>IF($C4751="","",Registro_Ventas!$M$44)</f>
        <v/>
      </c>
      <c r="F4751" s="20" t="str">
        <f>""</f>
        <v/>
      </c>
      <c r="G4751" t="str">
        <f>IF($C4751="","","Detraccion retenida por el cliente")</f>
        <v/>
      </c>
      <c r="H4751" t="str">
        <f>IF($C4751="","",Registro_Ventas!$C$44)</f>
        <v/>
      </c>
    </row>
    <row r="4752" spans="1:8" x14ac:dyDescent="0.25">
      <c r="A4752" s="25" t="str">
        <f>IF($C4752="","",Registro_Ventas!$P$44)</f>
        <v/>
      </c>
      <c r="B4752" t="str">
        <f>IF($C4752="","","V"&amp;TEXT(INT((ROW()-4507)/6)+1,"000")&amp;"-2")</f>
        <v/>
      </c>
      <c r="C4752" t="str">
        <f>IF(OR(Registro_Ventas!$C$44="",Registro_Ventas!$O$44&lt;&gt;"SI"),"","12")</f>
        <v/>
      </c>
      <c r="D4752" t="str">
        <f>IF($C4752="","","Cuentas por Cobrar Comerciales - Terceros")</f>
        <v/>
      </c>
      <c r="E4752" s="20" t="str">
        <f>""</f>
        <v/>
      </c>
      <c r="F4752" s="20" t="str">
        <f>IF($C4752="","",Registro_Ventas!$I$44)</f>
        <v/>
      </c>
      <c r="G4752" t="str">
        <f>IF($C4752="","","Por la cobranza de la factura")</f>
        <v/>
      </c>
      <c r="H4752" t="str">
        <f>IF($C4752="","",Registro_Ventas!$C$44)</f>
        <v/>
      </c>
    </row>
    <row r="4753" spans="1:8" x14ac:dyDescent="0.25">
      <c r="A4753" s="25" t="str">
        <f>IF($C4753="","",Registro_Ventas!$B$45)</f>
        <v/>
      </c>
      <c r="B4753" t="str">
        <f>IF($C4753="","","V"&amp;TEXT(INT((ROW()-4507)/6)+1,"000")&amp;"-1")</f>
        <v/>
      </c>
      <c r="C4753" t="str">
        <f>IF(Registro_Ventas!$C$45="","","12")</f>
        <v/>
      </c>
      <c r="D4753" t="str">
        <f>IF($C4753="","","Cuentas por Cobrar Comerciales - Terceros")</f>
        <v/>
      </c>
      <c r="E4753" s="20" t="str">
        <f>IF($C4753="","",Registro_Ventas!$I$45)</f>
        <v/>
      </c>
      <c r="F4753" s="20" t="str">
        <f>""</f>
        <v/>
      </c>
      <c r="G4753" t="str">
        <f>IF($C4753="","","Por la venta segun comprobante a "&amp;Registro_Ventas!$E$45)</f>
        <v/>
      </c>
      <c r="H4753" t="str">
        <f>IF($C4753="","",Registro_Ventas!$C$45)</f>
        <v/>
      </c>
    </row>
    <row r="4754" spans="1:8" x14ac:dyDescent="0.25">
      <c r="A4754" s="25" t="str">
        <f>IF($C4754="","",Registro_Ventas!$B$45)</f>
        <v/>
      </c>
      <c r="B4754" t="str">
        <f>IF($C4754="","","V"&amp;TEXT(INT((ROW()-4507)/6)+1,"000")&amp;"-1")</f>
        <v/>
      </c>
      <c r="C4754" t="str">
        <f>IF(Registro_Ventas!$C$45="","","70")</f>
        <v/>
      </c>
      <c r="D4754" t="str">
        <f>IF($C4754="","","Ventas")</f>
        <v/>
      </c>
      <c r="E4754" s="20" t="str">
        <f>""</f>
        <v/>
      </c>
      <c r="F4754" s="20" t="str">
        <f>IF($C4754="","",Registro_Ventas!$G$45)</f>
        <v/>
      </c>
      <c r="G4754" t="str">
        <f>IF($C4754="","","Por la venta segun comprobante a "&amp;Registro_Ventas!$E$45)</f>
        <v/>
      </c>
      <c r="H4754" t="str">
        <f>IF($C4754="","",Registro_Ventas!$C$45)</f>
        <v/>
      </c>
    </row>
    <row r="4755" spans="1:8" x14ac:dyDescent="0.25">
      <c r="A4755" s="25" t="str">
        <f>IF($C4755="","",Registro_Ventas!$B$45)</f>
        <v/>
      </c>
      <c r="B4755" t="str">
        <f>IF($C4755="","","V"&amp;TEXT(INT((ROW()-4507)/6)+1,"000")&amp;"-1")</f>
        <v/>
      </c>
      <c r="C4755" t="str">
        <f>IF(Registro_Ventas!$C$45="","","40111")</f>
        <v/>
      </c>
      <c r="D4755" t="str">
        <f>IF($C4755="","","IGV - Cuenta Propia (Debito Fiscal)")</f>
        <v/>
      </c>
      <c r="E4755" s="20" t="str">
        <f>""</f>
        <v/>
      </c>
      <c r="F4755" s="20" t="str">
        <f>IF($C4755="","",Registro_Ventas!$H$45)</f>
        <v/>
      </c>
      <c r="G4755" t="str">
        <f>IF($C4755="","","Por la venta segun comprobante a "&amp;Registro_Ventas!$E$45)</f>
        <v/>
      </c>
      <c r="H4755" t="str">
        <f>IF($C4755="","",Registro_Ventas!$C$45)</f>
        <v/>
      </c>
    </row>
    <row r="4756" spans="1:8" x14ac:dyDescent="0.25">
      <c r="A4756" s="25" t="str">
        <f>IF($C4756="","",Registro_Ventas!$P$45)</f>
        <v/>
      </c>
      <c r="B4756" t="str">
        <f>IF($C4756="","","V"&amp;TEXT(INT((ROW()-4507)/6)+1,"000")&amp;"-2")</f>
        <v/>
      </c>
      <c r="C4756" t="str">
        <f>IF(OR(Registro_Ventas!$C$45="",Registro_Ventas!$O$45&lt;&gt;"SI"),"","1041")</f>
        <v/>
      </c>
      <c r="D4756" t="str">
        <f>IF($C4756="","","Efectivo y Equivalentes - Cta. Cte. Operativa")</f>
        <v/>
      </c>
      <c r="E4756" s="20" t="str">
        <f>IF($C4756="","",Registro_Ventas!$N$45)</f>
        <v/>
      </c>
      <c r="F4756" s="20" t="str">
        <f>""</f>
        <v/>
      </c>
      <c r="G4756" t="str">
        <f>IF($C4756="","","Por la cobranza de la factura")</f>
        <v/>
      </c>
      <c r="H4756" t="str">
        <f>IF($C4756="","",Registro_Ventas!$C$45)</f>
        <v/>
      </c>
    </row>
    <row r="4757" spans="1:8" x14ac:dyDescent="0.25">
      <c r="A4757" s="25" t="str">
        <f>IF($C4757="","",Registro_Ventas!$P$45)</f>
        <v/>
      </c>
      <c r="B4757" t="str">
        <f>IF($C4757="","","V"&amp;TEXT(INT((ROW()-4507)/6)+1,"000")&amp;"-2")</f>
        <v/>
      </c>
      <c r="C4757" t="str">
        <f>IF(OR(OR(Registro_Ventas!$C$45="",Registro_Ventas!$O$45&lt;&gt;"SI"),Registro_Ventas!$J$45&lt;&gt;"SI"),"","1049")</f>
        <v/>
      </c>
      <c r="D4757" t="str">
        <f>IF($C4757="","","Efectivo - Cuenta de Detracciones (Banco de la Nacion)")</f>
        <v/>
      </c>
      <c r="E4757" s="20" t="str">
        <f>IF($C4757="","",Registro_Ventas!$M$45)</f>
        <v/>
      </c>
      <c r="F4757" s="20" t="str">
        <f>""</f>
        <v/>
      </c>
      <c r="G4757" t="str">
        <f>IF($C4757="","","Detraccion retenida por el cliente")</f>
        <v/>
      </c>
      <c r="H4757" t="str">
        <f>IF($C4757="","",Registro_Ventas!$C$45)</f>
        <v/>
      </c>
    </row>
    <row r="4758" spans="1:8" x14ac:dyDescent="0.25">
      <c r="A4758" s="25" t="str">
        <f>IF($C4758="","",Registro_Ventas!$P$45)</f>
        <v/>
      </c>
      <c r="B4758" t="str">
        <f>IF($C4758="","","V"&amp;TEXT(INT((ROW()-4507)/6)+1,"000")&amp;"-2")</f>
        <v/>
      </c>
      <c r="C4758" t="str">
        <f>IF(OR(Registro_Ventas!$C$45="",Registro_Ventas!$O$45&lt;&gt;"SI"),"","12")</f>
        <v/>
      </c>
      <c r="D4758" t="str">
        <f>IF($C4758="","","Cuentas por Cobrar Comerciales - Terceros")</f>
        <v/>
      </c>
      <c r="E4758" s="20" t="str">
        <f>""</f>
        <v/>
      </c>
      <c r="F4758" s="20" t="str">
        <f>IF($C4758="","",Registro_Ventas!$I$45)</f>
        <v/>
      </c>
      <c r="G4758" t="str">
        <f>IF($C4758="","","Por la cobranza de la factura")</f>
        <v/>
      </c>
      <c r="H4758" t="str">
        <f>IF($C4758="","",Registro_Ventas!$C$45)</f>
        <v/>
      </c>
    </row>
    <row r="4759" spans="1:8" x14ac:dyDescent="0.25">
      <c r="A4759" s="25" t="str">
        <f>IF($C4759="","",Registro_Ventas!$B$46)</f>
        <v/>
      </c>
      <c r="B4759" t="str">
        <f>IF($C4759="","","V"&amp;TEXT(INT((ROW()-4507)/6)+1,"000")&amp;"-1")</f>
        <v/>
      </c>
      <c r="C4759" t="str">
        <f>IF(Registro_Ventas!$C$46="","","12")</f>
        <v/>
      </c>
      <c r="D4759" t="str">
        <f>IF($C4759="","","Cuentas por Cobrar Comerciales - Terceros")</f>
        <v/>
      </c>
      <c r="E4759" s="20" t="str">
        <f>IF($C4759="","",Registro_Ventas!$I$46)</f>
        <v/>
      </c>
      <c r="F4759" s="20" t="str">
        <f>""</f>
        <v/>
      </c>
      <c r="G4759" t="str">
        <f>IF($C4759="","","Por la venta segun comprobante a "&amp;Registro_Ventas!$E$46)</f>
        <v/>
      </c>
      <c r="H4759" t="str">
        <f>IF($C4759="","",Registro_Ventas!$C$46)</f>
        <v/>
      </c>
    </row>
    <row r="4760" spans="1:8" x14ac:dyDescent="0.25">
      <c r="A4760" s="25" t="str">
        <f>IF($C4760="","",Registro_Ventas!$B$46)</f>
        <v/>
      </c>
      <c r="B4760" t="str">
        <f>IF($C4760="","","V"&amp;TEXT(INT((ROW()-4507)/6)+1,"000")&amp;"-1")</f>
        <v/>
      </c>
      <c r="C4760" t="str">
        <f>IF(Registro_Ventas!$C$46="","","70")</f>
        <v/>
      </c>
      <c r="D4760" t="str">
        <f>IF($C4760="","","Ventas")</f>
        <v/>
      </c>
      <c r="E4760" s="20" t="str">
        <f>""</f>
        <v/>
      </c>
      <c r="F4760" s="20" t="str">
        <f>IF($C4760="","",Registro_Ventas!$G$46)</f>
        <v/>
      </c>
      <c r="G4760" t="str">
        <f>IF($C4760="","","Por la venta segun comprobante a "&amp;Registro_Ventas!$E$46)</f>
        <v/>
      </c>
      <c r="H4760" t="str">
        <f>IF($C4760="","",Registro_Ventas!$C$46)</f>
        <v/>
      </c>
    </row>
    <row r="4761" spans="1:8" x14ac:dyDescent="0.25">
      <c r="A4761" s="25" t="str">
        <f>IF($C4761="","",Registro_Ventas!$B$46)</f>
        <v/>
      </c>
      <c r="B4761" t="str">
        <f>IF($C4761="","","V"&amp;TEXT(INT((ROW()-4507)/6)+1,"000")&amp;"-1")</f>
        <v/>
      </c>
      <c r="C4761" t="str">
        <f>IF(Registro_Ventas!$C$46="","","40111")</f>
        <v/>
      </c>
      <c r="D4761" t="str">
        <f>IF($C4761="","","IGV - Cuenta Propia (Debito Fiscal)")</f>
        <v/>
      </c>
      <c r="E4761" s="20" t="str">
        <f>""</f>
        <v/>
      </c>
      <c r="F4761" s="20" t="str">
        <f>IF($C4761="","",Registro_Ventas!$H$46)</f>
        <v/>
      </c>
      <c r="G4761" t="str">
        <f>IF($C4761="","","Por la venta segun comprobante a "&amp;Registro_Ventas!$E$46)</f>
        <v/>
      </c>
      <c r="H4761" t="str">
        <f>IF($C4761="","",Registro_Ventas!$C$46)</f>
        <v/>
      </c>
    </row>
    <row r="4762" spans="1:8" x14ac:dyDescent="0.25">
      <c r="A4762" s="25" t="str">
        <f>IF($C4762="","",Registro_Ventas!$P$46)</f>
        <v/>
      </c>
      <c r="B4762" t="str">
        <f>IF($C4762="","","V"&amp;TEXT(INT((ROW()-4507)/6)+1,"000")&amp;"-2")</f>
        <v/>
      </c>
      <c r="C4762" t="str">
        <f>IF(OR(Registro_Ventas!$C$46="",Registro_Ventas!$O$46&lt;&gt;"SI"),"","1041")</f>
        <v/>
      </c>
      <c r="D4762" t="str">
        <f>IF($C4762="","","Efectivo y Equivalentes - Cta. Cte. Operativa")</f>
        <v/>
      </c>
      <c r="E4762" s="20" t="str">
        <f>IF($C4762="","",Registro_Ventas!$N$46)</f>
        <v/>
      </c>
      <c r="F4762" s="20" t="str">
        <f>""</f>
        <v/>
      </c>
      <c r="G4762" t="str">
        <f>IF($C4762="","","Por la cobranza de la factura")</f>
        <v/>
      </c>
      <c r="H4762" t="str">
        <f>IF($C4762="","",Registro_Ventas!$C$46)</f>
        <v/>
      </c>
    </row>
    <row r="4763" spans="1:8" x14ac:dyDescent="0.25">
      <c r="A4763" s="25" t="str">
        <f>IF($C4763="","",Registro_Ventas!$P$46)</f>
        <v/>
      </c>
      <c r="B4763" t="str">
        <f>IF($C4763="","","V"&amp;TEXT(INT((ROW()-4507)/6)+1,"000")&amp;"-2")</f>
        <v/>
      </c>
      <c r="C4763" t="str">
        <f>IF(OR(OR(Registro_Ventas!$C$46="",Registro_Ventas!$O$46&lt;&gt;"SI"),Registro_Ventas!$J$46&lt;&gt;"SI"),"","1049")</f>
        <v/>
      </c>
      <c r="D4763" t="str">
        <f>IF($C4763="","","Efectivo - Cuenta de Detracciones (Banco de la Nacion)")</f>
        <v/>
      </c>
      <c r="E4763" s="20" t="str">
        <f>IF($C4763="","",Registro_Ventas!$M$46)</f>
        <v/>
      </c>
      <c r="F4763" s="20" t="str">
        <f>""</f>
        <v/>
      </c>
      <c r="G4763" t="str">
        <f>IF($C4763="","","Detraccion retenida por el cliente")</f>
        <v/>
      </c>
      <c r="H4763" t="str">
        <f>IF($C4763="","",Registro_Ventas!$C$46)</f>
        <v/>
      </c>
    </row>
    <row r="4764" spans="1:8" x14ac:dyDescent="0.25">
      <c r="A4764" s="25" t="str">
        <f>IF($C4764="","",Registro_Ventas!$P$46)</f>
        <v/>
      </c>
      <c r="B4764" t="str">
        <f>IF($C4764="","","V"&amp;TEXT(INT((ROW()-4507)/6)+1,"000")&amp;"-2")</f>
        <v/>
      </c>
      <c r="C4764" t="str">
        <f>IF(OR(Registro_Ventas!$C$46="",Registro_Ventas!$O$46&lt;&gt;"SI"),"","12")</f>
        <v/>
      </c>
      <c r="D4764" t="str">
        <f>IF($C4764="","","Cuentas por Cobrar Comerciales - Terceros")</f>
        <v/>
      </c>
      <c r="E4764" s="20" t="str">
        <f>""</f>
        <v/>
      </c>
      <c r="F4764" s="20" t="str">
        <f>IF($C4764="","",Registro_Ventas!$I$46)</f>
        <v/>
      </c>
      <c r="G4764" t="str">
        <f>IF($C4764="","","Por la cobranza de la factura")</f>
        <v/>
      </c>
      <c r="H4764" t="str">
        <f>IF($C4764="","",Registro_Ventas!$C$46)</f>
        <v/>
      </c>
    </row>
    <row r="4765" spans="1:8" x14ac:dyDescent="0.25">
      <c r="A4765" s="25" t="str">
        <f>IF($C4765="","",Registro_Ventas!$B$47)</f>
        <v/>
      </c>
      <c r="B4765" t="str">
        <f>IF($C4765="","","V"&amp;TEXT(INT((ROW()-4507)/6)+1,"000")&amp;"-1")</f>
        <v/>
      </c>
      <c r="C4765" t="str">
        <f>IF(Registro_Ventas!$C$47="","","12")</f>
        <v/>
      </c>
      <c r="D4765" t="str">
        <f>IF($C4765="","","Cuentas por Cobrar Comerciales - Terceros")</f>
        <v/>
      </c>
      <c r="E4765" s="20" t="str">
        <f>IF($C4765="","",Registro_Ventas!$I$47)</f>
        <v/>
      </c>
      <c r="F4765" s="20" t="str">
        <f>""</f>
        <v/>
      </c>
      <c r="G4765" t="str">
        <f>IF($C4765="","","Por la venta segun comprobante a "&amp;Registro_Ventas!$E$47)</f>
        <v/>
      </c>
      <c r="H4765" t="str">
        <f>IF($C4765="","",Registro_Ventas!$C$47)</f>
        <v/>
      </c>
    </row>
    <row r="4766" spans="1:8" x14ac:dyDescent="0.25">
      <c r="A4766" s="25" t="str">
        <f>IF($C4766="","",Registro_Ventas!$B$47)</f>
        <v/>
      </c>
      <c r="B4766" t="str">
        <f>IF($C4766="","","V"&amp;TEXT(INT((ROW()-4507)/6)+1,"000")&amp;"-1")</f>
        <v/>
      </c>
      <c r="C4766" t="str">
        <f>IF(Registro_Ventas!$C$47="","","70")</f>
        <v/>
      </c>
      <c r="D4766" t="str">
        <f>IF($C4766="","","Ventas")</f>
        <v/>
      </c>
      <c r="E4766" s="20" t="str">
        <f>""</f>
        <v/>
      </c>
      <c r="F4766" s="20" t="str">
        <f>IF($C4766="","",Registro_Ventas!$G$47)</f>
        <v/>
      </c>
      <c r="G4766" t="str">
        <f>IF($C4766="","","Por la venta segun comprobante a "&amp;Registro_Ventas!$E$47)</f>
        <v/>
      </c>
      <c r="H4766" t="str">
        <f>IF($C4766="","",Registro_Ventas!$C$47)</f>
        <v/>
      </c>
    </row>
    <row r="4767" spans="1:8" x14ac:dyDescent="0.25">
      <c r="A4767" s="25" t="str">
        <f>IF($C4767="","",Registro_Ventas!$B$47)</f>
        <v/>
      </c>
      <c r="B4767" t="str">
        <f>IF($C4767="","","V"&amp;TEXT(INT((ROW()-4507)/6)+1,"000")&amp;"-1")</f>
        <v/>
      </c>
      <c r="C4767" t="str">
        <f>IF(Registro_Ventas!$C$47="","","40111")</f>
        <v/>
      </c>
      <c r="D4767" t="str">
        <f>IF($C4767="","","IGV - Cuenta Propia (Debito Fiscal)")</f>
        <v/>
      </c>
      <c r="E4767" s="20" t="str">
        <f>""</f>
        <v/>
      </c>
      <c r="F4767" s="20" t="str">
        <f>IF($C4767="","",Registro_Ventas!$H$47)</f>
        <v/>
      </c>
      <c r="G4767" t="str">
        <f>IF($C4767="","","Por la venta segun comprobante a "&amp;Registro_Ventas!$E$47)</f>
        <v/>
      </c>
      <c r="H4767" t="str">
        <f>IF($C4767="","",Registro_Ventas!$C$47)</f>
        <v/>
      </c>
    </row>
    <row r="4768" spans="1:8" x14ac:dyDescent="0.25">
      <c r="A4768" s="25" t="str">
        <f>IF($C4768="","",Registro_Ventas!$P$47)</f>
        <v/>
      </c>
      <c r="B4768" t="str">
        <f>IF($C4768="","","V"&amp;TEXT(INT((ROW()-4507)/6)+1,"000")&amp;"-2")</f>
        <v/>
      </c>
      <c r="C4768" t="str">
        <f>IF(OR(Registro_Ventas!$C$47="",Registro_Ventas!$O$47&lt;&gt;"SI"),"","1041")</f>
        <v/>
      </c>
      <c r="D4768" t="str">
        <f>IF($C4768="","","Efectivo y Equivalentes - Cta. Cte. Operativa")</f>
        <v/>
      </c>
      <c r="E4768" s="20" t="str">
        <f>IF($C4768="","",Registro_Ventas!$N$47)</f>
        <v/>
      </c>
      <c r="F4768" s="20" t="str">
        <f>""</f>
        <v/>
      </c>
      <c r="G4768" t="str">
        <f>IF($C4768="","","Por la cobranza de la factura")</f>
        <v/>
      </c>
      <c r="H4768" t="str">
        <f>IF($C4768="","",Registro_Ventas!$C$47)</f>
        <v/>
      </c>
    </row>
    <row r="4769" spans="1:8" x14ac:dyDescent="0.25">
      <c r="A4769" s="25" t="str">
        <f>IF($C4769="","",Registro_Ventas!$P$47)</f>
        <v/>
      </c>
      <c r="B4769" t="str">
        <f>IF($C4769="","","V"&amp;TEXT(INT((ROW()-4507)/6)+1,"000")&amp;"-2")</f>
        <v/>
      </c>
      <c r="C4769" t="str">
        <f>IF(OR(OR(Registro_Ventas!$C$47="",Registro_Ventas!$O$47&lt;&gt;"SI"),Registro_Ventas!$J$47&lt;&gt;"SI"),"","1049")</f>
        <v/>
      </c>
      <c r="D4769" t="str">
        <f>IF($C4769="","","Efectivo - Cuenta de Detracciones (Banco de la Nacion)")</f>
        <v/>
      </c>
      <c r="E4769" s="20" t="str">
        <f>IF($C4769="","",Registro_Ventas!$M$47)</f>
        <v/>
      </c>
      <c r="F4769" s="20" t="str">
        <f>""</f>
        <v/>
      </c>
      <c r="G4769" t="str">
        <f>IF($C4769="","","Detraccion retenida por el cliente")</f>
        <v/>
      </c>
      <c r="H4769" t="str">
        <f>IF($C4769="","",Registro_Ventas!$C$47)</f>
        <v/>
      </c>
    </row>
    <row r="4770" spans="1:8" x14ac:dyDescent="0.25">
      <c r="A4770" s="25" t="str">
        <f>IF($C4770="","",Registro_Ventas!$P$47)</f>
        <v/>
      </c>
      <c r="B4770" t="str">
        <f>IF($C4770="","","V"&amp;TEXT(INT((ROW()-4507)/6)+1,"000")&amp;"-2")</f>
        <v/>
      </c>
      <c r="C4770" t="str">
        <f>IF(OR(Registro_Ventas!$C$47="",Registro_Ventas!$O$47&lt;&gt;"SI"),"","12")</f>
        <v/>
      </c>
      <c r="D4770" t="str">
        <f>IF($C4770="","","Cuentas por Cobrar Comerciales - Terceros")</f>
        <v/>
      </c>
      <c r="E4770" s="20" t="str">
        <f>""</f>
        <v/>
      </c>
      <c r="F4770" s="20" t="str">
        <f>IF($C4770="","",Registro_Ventas!$I$47)</f>
        <v/>
      </c>
      <c r="G4770" t="str">
        <f>IF($C4770="","","Por la cobranza de la factura")</f>
        <v/>
      </c>
      <c r="H4770" t="str">
        <f>IF($C4770="","",Registro_Ventas!$C$47)</f>
        <v/>
      </c>
    </row>
    <row r="4771" spans="1:8" x14ac:dyDescent="0.25">
      <c r="A4771" s="25" t="str">
        <f>IF($C4771="","",Registro_Ventas!$B$48)</f>
        <v/>
      </c>
      <c r="B4771" t="str">
        <f>IF($C4771="","","V"&amp;TEXT(INT((ROW()-4507)/6)+1,"000")&amp;"-1")</f>
        <v/>
      </c>
      <c r="C4771" t="str">
        <f>IF(Registro_Ventas!$C$48="","","12")</f>
        <v/>
      </c>
      <c r="D4771" t="str">
        <f>IF($C4771="","","Cuentas por Cobrar Comerciales - Terceros")</f>
        <v/>
      </c>
      <c r="E4771" s="20" t="str">
        <f>IF($C4771="","",Registro_Ventas!$I$48)</f>
        <v/>
      </c>
      <c r="F4771" s="20" t="str">
        <f>""</f>
        <v/>
      </c>
      <c r="G4771" t="str">
        <f>IF($C4771="","","Por la venta segun comprobante a "&amp;Registro_Ventas!$E$48)</f>
        <v/>
      </c>
      <c r="H4771" t="str">
        <f>IF($C4771="","",Registro_Ventas!$C$48)</f>
        <v/>
      </c>
    </row>
    <row r="4772" spans="1:8" x14ac:dyDescent="0.25">
      <c r="A4772" s="25" t="str">
        <f>IF($C4772="","",Registro_Ventas!$B$48)</f>
        <v/>
      </c>
      <c r="B4772" t="str">
        <f>IF($C4772="","","V"&amp;TEXT(INT((ROW()-4507)/6)+1,"000")&amp;"-1")</f>
        <v/>
      </c>
      <c r="C4772" t="str">
        <f>IF(Registro_Ventas!$C$48="","","70")</f>
        <v/>
      </c>
      <c r="D4772" t="str">
        <f>IF($C4772="","","Ventas")</f>
        <v/>
      </c>
      <c r="E4772" s="20" t="str">
        <f>""</f>
        <v/>
      </c>
      <c r="F4772" s="20" t="str">
        <f>IF($C4772="","",Registro_Ventas!$G$48)</f>
        <v/>
      </c>
      <c r="G4772" t="str">
        <f>IF($C4772="","","Por la venta segun comprobante a "&amp;Registro_Ventas!$E$48)</f>
        <v/>
      </c>
      <c r="H4772" t="str">
        <f>IF($C4772="","",Registro_Ventas!$C$48)</f>
        <v/>
      </c>
    </row>
    <row r="4773" spans="1:8" x14ac:dyDescent="0.25">
      <c r="A4773" s="25" t="str">
        <f>IF($C4773="","",Registro_Ventas!$B$48)</f>
        <v/>
      </c>
      <c r="B4773" t="str">
        <f>IF($C4773="","","V"&amp;TEXT(INT((ROW()-4507)/6)+1,"000")&amp;"-1")</f>
        <v/>
      </c>
      <c r="C4773" t="str">
        <f>IF(Registro_Ventas!$C$48="","","40111")</f>
        <v/>
      </c>
      <c r="D4773" t="str">
        <f>IF($C4773="","","IGV - Cuenta Propia (Debito Fiscal)")</f>
        <v/>
      </c>
      <c r="E4773" s="20" t="str">
        <f>""</f>
        <v/>
      </c>
      <c r="F4773" s="20" t="str">
        <f>IF($C4773="","",Registro_Ventas!$H$48)</f>
        <v/>
      </c>
      <c r="G4773" t="str">
        <f>IF($C4773="","","Por la venta segun comprobante a "&amp;Registro_Ventas!$E$48)</f>
        <v/>
      </c>
      <c r="H4773" t="str">
        <f>IF($C4773="","",Registro_Ventas!$C$48)</f>
        <v/>
      </c>
    </row>
    <row r="4774" spans="1:8" x14ac:dyDescent="0.25">
      <c r="A4774" s="25" t="str">
        <f>IF($C4774="","",Registro_Ventas!$P$48)</f>
        <v/>
      </c>
      <c r="B4774" t="str">
        <f>IF($C4774="","","V"&amp;TEXT(INT((ROW()-4507)/6)+1,"000")&amp;"-2")</f>
        <v/>
      </c>
      <c r="C4774" t="str">
        <f>IF(OR(Registro_Ventas!$C$48="",Registro_Ventas!$O$48&lt;&gt;"SI"),"","1041")</f>
        <v/>
      </c>
      <c r="D4774" t="str">
        <f>IF($C4774="","","Efectivo y Equivalentes - Cta. Cte. Operativa")</f>
        <v/>
      </c>
      <c r="E4774" s="20" t="str">
        <f>IF($C4774="","",Registro_Ventas!$N$48)</f>
        <v/>
      </c>
      <c r="F4774" s="20" t="str">
        <f>""</f>
        <v/>
      </c>
      <c r="G4774" t="str">
        <f>IF($C4774="","","Por la cobranza de la factura")</f>
        <v/>
      </c>
      <c r="H4774" t="str">
        <f>IF($C4774="","",Registro_Ventas!$C$48)</f>
        <v/>
      </c>
    </row>
    <row r="4775" spans="1:8" x14ac:dyDescent="0.25">
      <c r="A4775" s="25" t="str">
        <f>IF($C4775="","",Registro_Ventas!$P$48)</f>
        <v/>
      </c>
      <c r="B4775" t="str">
        <f>IF($C4775="","","V"&amp;TEXT(INT((ROW()-4507)/6)+1,"000")&amp;"-2")</f>
        <v/>
      </c>
      <c r="C4775" t="str">
        <f>IF(OR(OR(Registro_Ventas!$C$48="",Registro_Ventas!$O$48&lt;&gt;"SI"),Registro_Ventas!$J$48&lt;&gt;"SI"),"","1049")</f>
        <v/>
      </c>
      <c r="D4775" t="str">
        <f>IF($C4775="","","Efectivo - Cuenta de Detracciones (Banco de la Nacion)")</f>
        <v/>
      </c>
      <c r="E4775" s="20" t="str">
        <f>IF($C4775="","",Registro_Ventas!$M$48)</f>
        <v/>
      </c>
      <c r="F4775" s="20" t="str">
        <f>""</f>
        <v/>
      </c>
      <c r="G4775" t="str">
        <f>IF($C4775="","","Detraccion retenida por el cliente")</f>
        <v/>
      </c>
      <c r="H4775" t="str">
        <f>IF($C4775="","",Registro_Ventas!$C$48)</f>
        <v/>
      </c>
    </row>
    <row r="4776" spans="1:8" x14ac:dyDescent="0.25">
      <c r="A4776" s="25" t="str">
        <f>IF($C4776="","",Registro_Ventas!$P$48)</f>
        <v/>
      </c>
      <c r="B4776" t="str">
        <f>IF($C4776="","","V"&amp;TEXT(INT((ROW()-4507)/6)+1,"000")&amp;"-2")</f>
        <v/>
      </c>
      <c r="C4776" t="str">
        <f>IF(OR(Registro_Ventas!$C$48="",Registro_Ventas!$O$48&lt;&gt;"SI"),"","12")</f>
        <v/>
      </c>
      <c r="D4776" t="str">
        <f>IF($C4776="","","Cuentas por Cobrar Comerciales - Terceros")</f>
        <v/>
      </c>
      <c r="E4776" s="20" t="str">
        <f>""</f>
        <v/>
      </c>
      <c r="F4776" s="20" t="str">
        <f>IF($C4776="","",Registro_Ventas!$I$48)</f>
        <v/>
      </c>
      <c r="G4776" t="str">
        <f>IF($C4776="","","Por la cobranza de la factura")</f>
        <v/>
      </c>
      <c r="H4776" t="str">
        <f>IF($C4776="","",Registro_Ventas!$C$48)</f>
        <v/>
      </c>
    </row>
    <row r="4777" spans="1:8" x14ac:dyDescent="0.25">
      <c r="A4777" s="25" t="str">
        <f>IF($C4777="","",Registro_Ventas!$B$49)</f>
        <v/>
      </c>
      <c r="B4777" t="str">
        <f>IF($C4777="","","V"&amp;TEXT(INT((ROW()-4507)/6)+1,"000")&amp;"-1")</f>
        <v/>
      </c>
      <c r="C4777" t="str">
        <f>IF(Registro_Ventas!$C$49="","","12")</f>
        <v/>
      </c>
      <c r="D4777" t="str">
        <f>IF($C4777="","","Cuentas por Cobrar Comerciales - Terceros")</f>
        <v/>
      </c>
      <c r="E4777" s="20" t="str">
        <f>IF($C4777="","",Registro_Ventas!$I$49)</f>
        <v/>
      </c>
      <c r="F4777" s="20" t="str">
        <f>""</f>
        <v/>
      </c>
      <c r="G4777" t="str">
        <f>IF($C4777="","","Por la venta segun comprobante a "&amp;Registro_Ventas!$E$49)</f>
        <v/>
      </c>
      <c r="H4777" t="str">
        <f>IF($C4777="","",Registro_Ventas!$C$49)</f>
        <v/>
      </c>
    </row>
    <row r="4778" spans="1:8" x14ac:dyDescent="0.25">
      <c r="A4778" s="25" t="str">
        <f>IF($C4778="","",Registro_Ventas!$B$49)</f>
        <v/>
      </c>
      <c r="B4778" t="str">
        <f>IF($C4778="","","V"&amp;TEXT(INT((ROW()-4507)/6)+1,"000")&amp;"-1")</f>
        <v/>
      </c>
      <c r="C4778" t="str">
        <f>IF(Registro_Ventas!$C$49="","","70")</f>
        <v/>
      </c>
      <c r="D4778" t="str">
        <f>IF($C4778="","","Ventas")</f>
        <v/>
      </c>
      <c r="E4778" s="20" t="str">
        <f>""</f>
        <v/>
      </c>
      <c r="F4778" s="20" t="str">
        <f>IF($C4778="","",Registro_Ventas!$G$49)</f>
        <v/>
      </c>
      <c r="G4778" t="str">
        <f>IF($C4778="","","Por la venta segun comprobante a "&amp;Registro_Ventas!$E$49)</f>
        <v/>
      </c>
      <c r="H4778" t="str">
        <f>IF($C4778="","",Registro_Ventas!$C$49)</f>
        <v/>
      </c>
    </row>
    <row r="4779" spans="1:8" x14ac:dyDescent="0.25">
      <c r="A4779" s="25" t="str">
        <f>IF($C4779="","",Registro_Ventas!$B$49)</f>
        <v/>
      </c>
      <c r="B4779" t="str">
        <f>IF($C4779="","","V"&amp;TEXT(INT((ROW()-4507)/6)+1,"000")&amp;"-1")</f>
        <v/>
      </c>
      <c r="C4779" t="str">
        <f>IF(Registro_Ventas!$C$49="","","40111")</f>
        <v/>
      </c>
      <c r="D4779" t="str">
        <f>IF($C4779="","","IGV - Cuenta Propia (Debito Fiscal)")</f>
        <v/>
      </c>
      <c r="E4779" s="20" t="str">
        <f>""</f>
        <v/>
      </c>
      <c r="F4779" s="20" t="str">
        <f>IF($C4779="","",Registro_Ventas!$H$49)</f>
        <v/>
      </c>
      <c r="G4779" t="str">
        <f>IF($C4779="","","Por la venta segun comprobante a "&amp;Registro_Ventas!$E$49)</f>
        <v/>
      </c>
      <c r="H4779" t="str">
        <f>IF($C4779="","",Registro_Ventas!$C$49)</f>
        <v/>
      </c>
    </row>
    <row r="4780" spans="1:8" x14ac:dyDescent="0.25">
      <c r="A4780" s="25" t="str">
        <f>IF($C4780="","",Registro_Ventas!$P$49)</f>
        <v/>
      </c>
      <c r="B4780" t="str">
        <f>IF($C4780="","","V"&amp;TEXT(INT((ROW()-4507)/6)+1,"000")&amp;"-2")</f>
        <v/>
      </c>
      <c r="C4780" t="str">
        <f>IF(OR(Registro_Ventas!$C$49="",Registro_Ventas!$O$49&lt;&gt;"SI"),"","1041")</f>
        <v/>
      </c>
      <c r="D4780" t="str">
        <f>IF($C4780="","","Efectivo y Equivalentes - Cta. Cte. Operativa")</f>
        <v/>
      </c>
      <c r="E4780" s="20" t="str">
        <f>IF($C4780="","",Registro_Ventas!$N$49)</f>
        <v/>
      </c>
      <c r="F4780" s="20" t="str">
        <f>""</f>
        <v/>
      </c>
      <c r="G4780" t="str">
        <f>IF($C4780="","","Por la cobranza de la factura")</f>
        <v/>
      </c>
      <c r="H4780" t="str">
        <f>IF($C4780="","",Registro_Ventas!$C$49)</f>
        <v/>
      </c>
    </row>
    <row r="4781" spans="1:8" x14ac:dyDescent="0.25">
      <c r="A4781" s="25" t="str">
        <f>IF($C4781="","",Registro_Ventas!$P$49)</f>
        <v/>
      </c>
      <c r="B4781" t="str">
        <f>IF($C4781="","","V"&amp;TEXT(INT((ROW()-4507)/6)+1,"000")&amp;"-2")</f>
        <v/>
      </c>
      <c r="C4781" t="str">
        <f>IF(OR(OR(Registro_Ventas!$C$49="",Registro_Ventas!$O$49&lt;&gt;"SI"),Registro_Ventas!$J$49&lt;&gt;"SI"),"","1049")</f>
        <v/>
      </c>
      <c r="D4781" t="str">
        <f>IF($C4781="","","Efectivo - Cuenta de Detracciones (Banco de la Nacion)")</f>
        <v/>
      </c>
      <c r="E4781" s="20" t="str">
        <f>IF($C4781="","",Registro_Ventas!$M$49)</f>
        <v/>
      </c>
      <c r="F4781" s="20" t="str">
        <f>""</f>
        <v/>
      </c>
      <c r="G4781" t="str">
        <f>IF($C4781="","","Detraccion retenida por el cliente")</f>
        <v/>
      </c>
      <c r="H4781" t="str">
        <f>IF($C4781="","",Registro_Ventas!$C$49)</f>
        <v/>
      </c>
    </row>
    <row r="4782" spans="1:8" x14ac:dyDescent="0.25">
      <c r="A4782" s="25" t="str">
        <f>IF($C4782="","",Registro_Ventas!$P$49)</f>
        <v/>
      </c>
      <c r="B4782" t="str">
        <f>IF($C4782="","","V"&amp;TEXT(INT((ROW()-4507)/6)+1,"000")&amp;"-2")</f>
        <v/>
      </c>
      <c r="C4782" t="str">
        <f>IF(OR(Registro_Ventas!$C$49="",Registro_Ventas!$O$49&lt;&gt;"SI"),"","12")</f>
        <v/>
      </c>
      <c r="D4782" t="str">
        <f>IF($C4782="","","Cuentas por Cobrar Comerciales - Terceros")</f>
        <v/>
      </c>
      <c r="E4782" s="20" t="str">
        <f>""</f>
        <v/>
      </c>
      <c r="F4782" s="20" t="str">
        <f>IF($C4782="","",Registro_Ventas!$I$49)</f>
        <v/>
      </c>
      <c r="G4782" t="str">
        <f>IF($C4782="","","Por la cobranza de la factura")</f>
        <v/>
      </c>
      <c r="H4782" t="str">
        <f>IF($C4782="","",Registro_Ventas!$C$49)</f>
        <v/>
      </c>
    </row>
    <row r="4783" spans="1:8" x14ac:dyDescent="0.25">
      <c r="A4783" s="25" t="str">
        <f>IF($C4783="","",Registro_Ventas!$B$50)</f>
        <v/>
      </c>
      <c r="B4783" t="str">
        <f>IF($C4783="","","V"&amp;TEXT(INT((ROW()-4507)/6)+1,"000")&amp;"-1")</f>
        <v/>
      </c>
      <c r="C4783" t="str">
        <f>IF(Registro_Ventas!$C$50="","","12")</f>
        <v/>
      </c>
      <c r="D4783" t="str">
        <f>IF($C4783="","","Cuentas por Cobrar Comerciales - Terceros")</f>
        <v/>
      </c>
      <c r="E4783" s="20" t="str">
        <f>IF($C4783="","",Registro_Ventas!$I$50)</f>
        <v/>
      </c>
      <c r="F4783" s="20" t="str">
        <f>""</f>
        <v/>
      </c>
      <c r="G4783" t="str">
        <f>IF($C4783="","","Por la venta segun comprobante a "&amp;Registro_Ventas!$E$50)</f>
        <v/>
      </c>
      <c r="H4783" t="str">
        <f>IF($C4783="","",Registro_Ventas!$C$50)</f>
        <v/>
      </c>
    </row>
    <row r="4784" spans="1:8" x14ac:dyDescent="0.25">
      <c r="A4784" s="25" t="str">
        <f>IF($C4784="","",Registro_Ventas!$B$50)</f>
        <v/>
      </c>
      <c r="B4784" t="str">
        <f>IF($C4784="","","V"&amp;TEXT(INT((ROW()-4507)/6)+1,"000")&amp;"-1")</f>
        <v/>
      </c>
      <c r="C4784" t="str">
        <f>IF(Registro_Ventas!$C$50="","","70")</f>
        <v/>
      </c>
      <c r="D4784" t="str">
        <f>IF($C4784="","","Ventas")</f>
        <v/>
      </c>
      <c r="E4784" s="20" t="str">
        <f>""</f>
        <v/>
      </c>
      <c r="F4784" s="20" t="str">
        <f>IF($C4784="","",Registro_Ventas!$G$50)</f>
        <v/>
      </c>
      <c r="G4784" t="str">
        <f>IF($C4784="","","Por la venta segun comprobante a "&amp;Registro_Ventas!$E$50)</f>
        <v/>
      </c>
      <c r="H4784" t="str">
        <f>IF($C4784="","",Registro_Ventas!$C$50)</f>
        <v/>
      </c>
    </row>
    <row r="4785" spans="1:8" x14ac:dyDescent="0.25">
      <c r="A4785" s="25" t="str">
        <f>IF($C4785="","",Registro_Ventas!$B$50)</f>
        <v/>
      </c>
      <c r="B4785" t="str">
        <f>IF($C4785="","","V"&amp;TEXT(INT((ROW()-4507)/6)+1,"000")&amp;"-1")</f>
        <v/>
      </c>
      <c r="C4785" t="str">
        <f>IF(Registro_Ventas!$C$50="","","40111")</f>
        <v/>
      </c>
      <c r="D4785" t="str">
        <f>IF($C4785="","","IGV - Cuenta Propia (Debito Fiscal)")</f>
        <v/>
      </c>
      <c r="E4785" s="20" t="str">
        <f>""</f>
        <v/>
      </c>
      <c r="F4785" s="20" t="str">
        <f>IF($C4785="","",Registro_Ventas!$H$50)</f>
        <v/>
      </c>
      <c r="G4785" t="str">
        <f>IF($C4785="","","Por la venta segun comprobante a "&amp;Registro_Ventas!$E$50)</f>
        <v/>
      </c>
      <c r="H4785" t="str">
        <f>IF($C4785="","",Registro_Ventas!$C$50)</f>
        <v/>
      </c>
    </row>
    <row r="4786" spans="1:8" x14ac:dyDescent="0.25">
      <c r="A4786" s="25" t="str">
        <f>IF($C4786="","",Registro_Ventas!$P$50)</f>
        <v/>
      </c>
      <c r="B4786" t="str">
        <f>IF($C4786="","","V"&amp;TEXT(INT((ROW()-4507)/6)+1,"000")&amp;"-2")</f>
        <v/>
      </c>
      <c r="C4786" t="str">
        <f>IF(OR(Registro_Ventas!$C$50="",Registro_Ventas!$O$50&lt;&gt;"SI"),"","1041")</f>
        <v/>
      </c>
      <c r="D4786" t="str">
        <f>IF($C4786="","","Efectivo y Equivalentes - Cta. Cte. Operativa")</f>
        <v/>
      </c>
      <c r="E4786" s="20" t="str">
        <f>IF($C4786="","",Registro_Ventas!$N$50)</f>
        <v/>
      </c>
      <c r="F4786" s="20" t="str">
        <f>""</f>
        <v/>
      </c>
      <c r="G4786" t="str">
        <f>IF($C4786="","","Por la cobranza de la factura")</f>
        <v/>
      </c>
      <c r="H4786" t="str">
        <f>IF($C4786="","",Registro_Ventas!$C$50)</f>
        <v/>
      </c>
    </row>
    <row r="4787" spans="1:8" x14ac:dyDescent="0.25">
      <c r="A4787" s="25" t="str">
        <f>IF($C4787="","",Registro_Ventas!$P$50)</f>
        <v/>
      </c>
      <c r="B4787" t="str">
        <f>IF($C4787="","","V"&amp;TEXT(INT((ROW()-4507)/6)+1,"000")&amp;"-2")</f>
        <v/>
      </c>
      <c r="C4787" t="str">
        <f>IF(OR(OR(Registro_Ventas!$C$50="",Registro_Ventas!$O$50&lt;&gt;"SI"),Registro_Ventas!$J$50&lt;&gt;"SI"),"","1049")</f>
        <v/>
      </c>
      <c r="D4787" t="str">
        <f>IF($C4787="","","Efectivo - Cuenta de Detracciones (Banco de la Nacion)")</f>
        <v/>
      </c>
      <c r="E4787" s="20" t="str">
        <f>IF($C4787="","",Registro_Ventas!$M$50)</f>
        <v/>
      </c>
      <c r="F4787" s="20" t="str">
        <f>""</f>
        <v/>
      </c>
      <c r="G4787" t="str">
        <f>IF($C4787="","","Detraccion retenida por el cliente")</f>
        <v/>
      </c>
      <c r="H4787" t="str">
        <f>IF($C4787="","",Registro_Ventas!$C$50)</f>
        <v/>
      </c>
    </row>
    <row r="4788" spans="1:8" x14ac:dyDescent="0.25">
      <c r="A4788" s="25" t="str">
        <f>IF($C4788="","",Registro_Ventas!$P$50)</f>
        <v/>
      </c>
      <c r="B4788" t="str">
        <f>IF($C4788="","","V"&amp;TEXT(INT((ROW()-4507)/6)+1,"000")&amp;"-2")</f>
        <v/>
      </c>
      <c r="C4788" t="str">
        <f>IF(OR(Registro_Ventas!$C$50="",Registro_Ventas!$O$50&lt;&gt;"SI"),"","12")</f>
        <v/>
      </c>
      <c r="D4788" t="str">
        <f>IF($C4788="","","Cuentas por Cobrar Comerciales - Terceros")</f>
        <v/>
      </c>
      <c r="E4788" s="20" t="str">
        <f>""</f>
        <v/>
      </c>
      <c r="F4788" s="20" t="str">
        <f>IF($C4788="","",Registro_Ventas!$I$50)</f>
        <v/>
      </c>
      <c r="G4788" t="str">
        <f>IF($C4788="","","Por la cobranza de la factura")</f>
        <v/>
      </c>
      <c r="H4788" t="str">
        <f>IF($C4788="","",Registro_Ventas!$C$50)</f>
        <v/>
      </c>
    </row>
    <row r="4789" spans="1:8" x14ac:dyDescent="0.25">
      <c r="A4789" s="25" t="str">
        <f>IF($C4789="","",Registro_Ventas!$B$51)</f>
        <v/>
      </c>
      <c r="B4789" t="str">
        <f>IF($C4789="","","V"&amp;TEXT(INT((ROW()-4507)/6)+1,"000")&amp;"-1")</f>
        <v/>
      </c>
      <c r="C4789" t="str">
        <f>IF(Registro_Ventas!$C$51="","","12")</f>
        <v/>
      </c>
      <c r="D4789" t="str">
        <f>IF($C4789="","","Cuentas por Cobrar Comerciales - Terceros")</f>
        <v/>
      </c>
      <c r="E4789" s="20" t="str">
        <f>IF($C4789="","",Registro_Ventas!$I$51)</f>
        <v/>
      </c>
      <c r="F4789" s="20" t="str">
        <f>""</f>
        <v/>
      </c>
      <c r="G4789" t="str">
        <f>IF($C4789="","","Por la venta segun comprobante a "&amp;Registro_Ventas!$E$51)</f>
        <v/>
      </c>
      <c r="H4789" t="str">
        <f>IF($C4789="","",Registro_Ventas!$C$51)</f>
        <v/>
      </c>
    </row>
    <row r="4790" spans="1:8" x14ac:dyDescent="0.25">
      <c r="A4790" s="25" t="str">
        <f>IF($C4790="","",Registro_Ventas!$B$51)</f>
        <v/>
      </c>
      <c r="B4790" t="str">
        <f>IF($C4790="","","V"&amp;TEXT(INT((ROW()-4507)/6)+1,"000")&amp;"-1")</f>
        <v/>
      </c>
      <c r="C4790" t="str">
        <f>IF(Registro_Ventas!$C$51="","","70")</f>
        <v/>
      </c>
      <c r="D4790" t="str">
        <f>IF($C4790="","","Ventas")</f>
        <v/>
      </c>
      <c r="E4790" s="20" t="str">
        <f>""</f>
        <v/>
      </c>
      <c r="F4790" s="20" t="str">
        <f>IF($C4790="","",Registro_Ventas!$G$51)</f>
        <v/>
      </c>
      <c r="G4790" t="str">
        <f>IF($C4790="","","Por la venta segun comprobante a "&amp;Registro_Ventas!$E$51)</f>
        <v/>
      </c>
      <c r="H4790" t="str">
        <f>IF($C4790="","",Registro_Ventas!$C$51)</f>
        <v/>
      </c>
    </row>
    <row r="4791" spans="1:8" x14ac:dyDescent="0.25">
      <c r="A4791" s="25" t="str">
        <f>IF($C4791="","",Registro_Ventas!$B$51)</f>
        <v/>
      </c>
      <c r="B4791" t="str">
        <f>IF($C4791="","","V"&amp;TEXT(INT((ROW()-4507)/6)+1,"000")&amp;"-1")</f>
        <v/>
      </c>
      <c r="C4791" t="str">
        <f>IF(Registro_Ventas!$C$51="","","40111")</f>
        <v/>
      </c>
      <c r="D4791" t="str">
        <f>IF($C4791="","","IGV - Cuenta Propia (Debito Fiscal)")</f>
        <v/>
      </c>
      <c r="E4791" s="20" t="str">
        <f>""</f>
        <v/>
      </c>
      <c r="F4791" s="20" t="str">
        <f>IF($C4791="","",Registro_Ventas!$H$51)</f>
        <v/>
      </c>
      <c r="G4791" t="str">
        <f>IF($C4791="","","Por la venta segun comprobante a "&amp;Registro_Ventas!$E$51)</f>
        <v/>
      </c>
      <c r="H4791" t="str">
        <f>IF($C4791="","",Registro_Ventas!$C$51)</f>
        <v/>
      </c>
    </row>
    <row r="4792" spans="1:8" x14ac:dyDescent="0.25">
      <c r="A4792" s="25" t="str">
        <f>IF($C4792="","",Registro_Ventas!$P$51)</f>
        <v/>
      </c>
      <c r="B4792" t="str">
        <f>IF($C4792="","","V"&amp;TEXT(INT((ROW()-4507)/6)+1,"000")&amp;"-2")</f>
        <v/>
      </c>
      <c r="C4792" t="str">
        <f>IF(OR(Registro_Ventas!$C$51="",Registro_Ventas!$O$51&lt;&gt;"SI"),"","1041")</f>
        <v/>
      </c>
      <c r="D4792" t="str">
        <f>IF($C4792="","","Efectivo y Equivalentes - Cta. Cte. Operativa")</f>
        <v/>
      </c>
      <c r="E4792" s="20" t="str">
        <f>IF($C4792="","",Registro_Ventas!$N$51)</f>
        <v/>
      </c>
      <c r="F4792" s="20" t="str">
        <f>""</f>
        <v/>
      </c>
      <c r="G4792" t="str">
        <f>IF($C4792="","","Por la cobranza de la factura")</f>
        <v/>
      </c>
      <c r="H4792" t="str">
        <f>IF($C4792="","",Registro_Ventas!$C$51)</f>
        <v/>
      </c>
    </row>
    <row r="4793" spans="1:8" x14ac:dyDescent="0.25">
      <c r="A4793" s="25" t="str">
        <f>IF($C4793="","",Registro_Ventas!$P$51)</f>
        <v/>
      </c>
      <c r="B4793" t="str">
        <f>IF($C4793="","","V"&amp;TEXT(INT((ROW()-4507)/6)+1,"000")&amp;"-2")</f>
        <v/>
      </c>
      <c r="C4793" t="str">
        <f>IF(OR(OR(Registro_Ventas!$C$51="",Registro_Ventas!$O$51&lt;&gt;"SI"),Registro_Ventas!$J$51&lt;&gt;"SI"),"","1049")</f>
        <v/>
      </c>
      <c r="D4793" t="str">
        <f>IF($C4793="","","Efectivo - Cuenta de Detracciones (Banco de la Nacion)")</f>
        <v/>
      </c>
      <c r="E4793" s="20" t="str">
        <f>IF($C4793="","",Registro_Ventas!$M$51)</f>
        <v/>
      </c>
      <c r="F4793" s="20" t="str">
        <f>""</f>
        <v/>
      </c>
      <c r="G4793" t="str">
        <f>IF($C4793="","","Detraccion retenida por el cliente")</f>
        <v/>
      </c>
      <c r="H4793" t="str">
        <f>IF($C4793="","",Registro_Ventas!$C$51)</f>
        <v/>
      </c>
    </row>
    <row r="4794" spans="1:8" x14ac:dyDescent="0.25">
      <c r="A4794" s="25" t="str">
        <f>IF($C4794="","",Registro_Ventas!$P$51)</f>
        <v/>
      </c>
      <c r="B4794" t="str">
        <f>IF($C4794="","","V"&amp;TEXT(INT((ROW()-4507)/6)+1,"000")&amp;"-2")</f>
        <v/>
      </c>
      <c r="C4794" t="str">
        <f>IF(OR(Registro_Ventas!$C$51="",Registro_Ventas!$O$51&lt;&gt;"SI"),"","12")</f>
        <v/>
      </c>
      <c r="D4794" t="str">
        <f>IF($C4794="","","Cuentas por Cobrar Comerciales - Terceros")</f>
        <v/>
      </c>
      <c r="E4794" s="20" t="str">
        <f>""</f>
        <v/>
      </c>
      <c r="F4794" s="20" t="str">
        <f>IF($C4794="","",Registro_Ventas!$I$51)</f>
        <v/>
      </c>
      <c r="G4794" t="str">
        <f>IF($C4794="","","Por la cobranza de la factura")</f>
        <v/>
      </c>
      <c r="H4794" t="str">
        <f>IF($C4794="","",Registro_Ventas!$C$51)</f>
        <v/>
      </c>
    </row>
    <row r="4795" spans="1:8" x14ac:dyDescent="0.25">
      <c r="A4795" s="25" t="str">
        <f>IF($C4795="","",Registro_Ventas!$B$52)</f>
        <v/>
      </c>
      <c r="B4795" t="str">
        <f>IF($C4795="","","V"&amp;TEXT(INT((ROW()-4507)/6)+1,"000")&amp;"-1")</f>
        <v/>
      </c>
      <c r="C4795" t="str">
        <f>IF(Registro_Ventas!$C$52="","","12")</f>
        <v/>
      </c>
      <c r="D4795" t="str">
        <f>IF($C4795="","","Cuentas por Cobrar Comerciales - Terceros")</f>
        <v/>
      </c>
      <c r="E4795" s="20" t="str">
        <f>IF($C4795="","",Registro_Ventas!$I$52)</f>
        <v/>
      </c>
      <c r="F4795" s="20" t="str">
        <f>""</f>
        <v/>
      </c>
      <c r="G4795" t="str">
        <f>IF($C4795="","","Por la venta segun comprobante a "&amp;Registro_Ventas!$E$52)</f>
        <v/>
      </c>
      <c r="H4795" t="str">
        <f>IF($C4795="","",Registro_Ventas!$C$52)</f>
        <v/>
      </c>
    </row>
    <row r="4796" spans="1:8" x14ac:dyDescent="0.25">
      <c r="A4796" s="25" t="str">
        <f>IF($C4796="","",Registro_Ventas!$B$52)</f>
        <v/>
      </c>
      <c r="B4796" t="str">
        <f>IF($C4796="","","V"&amp;TEXT(INT((ROW()-4507)/6)+1,"000")&amp;"-1")</f>
        <v/>
      </c>
      <c r="C4796" t="str">
        <f>IF(Registro_Ventas!$C$52="","","70")</f>
        <v/>
      </c>
      <c r="D4796" t="str">
        <f>IF($C4796="","","Ventas")</f>
        <v/>
      </c>
      <c r="E4796" s="20" t="str">
        <f>""</f>
        <v/>
      </c>
      <c r="F4796" s="20" t="str">
        <f>IF($C4796="","",Registro_Ventas!$G$52)</f>
        <v/>
      </c>
      <c r="G4796" t="str">
        <f>IF($C4796="","","Por la venta segun comprobante a "&amp;Registro_Ventas!$E$52)</f>
        <v/>
      </c>
      <c r="H4796" t="str">
        <f>IF($C4796="","",Registro_Ventas!$C$52)</f>
        <v/>
      </c>
    </row>
    <row r="4797" spans="1:8" x14ac:dyDescent="0.25">
      <c r="A4797" s="25" t="str">
        <f>IF($C4797="","",Registro_Ventas!$B$52)</f>
        <v/>
      </c>
      <c r="B4797" t="str">
        <f>IF($C4797="","","V"&amp;TEXT(INT((ROW()-4507)/6)+1,"000")&amp;"-1")</f>
        <v/>
      </c>
      <c r="C4797" t="str">
        <f>IF(Registro_Ventas!$C$52="","","40111")</f>
        <v/>
      </c>
      <c r="D4797" t="str">
        <f>IF($C4797="","","IGV - Cuenta Propia (Debito Fiscal)")</f>
        <v/>
      </c>
      <c r="E4797" s="20" t="str">
        <f>""</f>
        <v/>
      </c>
      <c r="F4797" s="20" t="str">
        <f>IF($C4797="","",Registro_Ventas!$H$52)</f>
        <v/>
      </c>
      <c r="G4797" t="str">
        <f>IF($C4797="","","Por la venta segun comprobante a "&amp;Registro_Ventas!$E$52)</f>
        <v/>
      </c>
      <c r="H4797" t="str">
        <f>IF($C4797="","",Registro_Ventas!$C$52)</f>
        <v/>
      </c>
    </row>
    <row r="4798" spans="1:8" x14ac:dyDescent="0.25">
      <c r="A4798" s="25" t="str">
        <f>IF($C4798="","",Registro_Ventas!$P$52)</f>
        <v/>
      </c>
      <c r="B4798" t="str">
        <f>IF($C4798="","","V"&amp;TEXT(INT((ROW()-4507)/6)+1,"000")&amp;"-2")</f>
        <v/>
      </c>
      <c r="C4798" t="str">
        <f>IF(OR(Registro_Ventas!$C$52="",Registro_Ventas!$O$52&lt;&gt;"SI"),"","1041")</f>
        <v/>
      </c>
      <c r="D4798" t="str">
        <f>IF($C4798="","","Efectivo y Equivalentes - Cta. Cte. Operativa")</f>
        <v/>
      </c>
      <c r="E4798" s="20" t="str">
        <f>IF($C4798="","",Registro_Ventas!$N$52)</f>
        <v/>
      </c>
      <c r="F4798" s="20" t="str">
        <f>""</f>
        <v/>
      </c>
      <c r="G4798" t="str">
        <f>IF($C4798="","","Por la cobranza de la factura")</f>
        <v/>
      </c>
      <c r="H4798" t="str">
        <f>IF($C4798="","",Registro_Ventas!$C$52)</f>
        <v/>
      </c>
    </row>
    <row r="4799" spans="1:8" x14ac:dyDescent="0.25">
      <c r="A4799" s="25" t="str">
        <f>IF($C4799="","",Registro_Ventas!$P$52)</f>
        <v/>
      </c>
      <c r="B4799" t="str">
        <f>IF($C4799="","","V"&amp;TEXT(INT((ROW()-4507)/6)+1,"000")&amp;"-2")</f>
        <v/>
      </c>
      <c r="C4799" t="str">
        <f>IF(OR(OR(Registro_Ventas!$C$52="",Registro_Ventas!$O$52&lt;&gt;"SI"),Registro_Ventas!$J$52&lt;&gt;"SI"),"","1049")</f>
        <v/>
      </c>
      <c r="D4799" t="str">
        <f>IF($C4799="","","Efectivo - Cuenta de Detracciones (Banco de la Nacion)")</f>
        <v/>
      </c>
      <c r="E4799" s="20" t="str">
        <f>IF($C4799="","",Registro_Ventas!$M$52)</f>
        <v/>
      </c>
      <c r="F4799" s="20" t="str">
        <f>""</f>
        <v/>
      </c>
      <c r="G4799" t="str">
        <f>IF($C4799="","","Detraccion retenida por el cliente")</f>
        <v/>
      </c>
      <c r="H4799" t="str">
        <f>IF($C4799="","",Registro_Ventas!$C$52)</f>
        <v/>
      </c>
    </row>
    <row r="4800" spans="1:8" x14ac:dyDescent="0.25">
      <c r="A4800" s="25" t="str">
        <f>IF($C4800="","",Registro_Ventas!$P$52)</f>
        <v/>
      </c>
      <c r="B4800" t="str">
        <f>IF($C4800="","","V"&amp;TEXT(INT((ROW()-4507)/6)+1,"000")&amp;"-2")</f>
        <v/>
      </c>
      <c r="C4800" t="str">
        <f>IF(OR(Registro_Ventas!$C$52="",Registro_Ventas!$O$52&lt;&gt;"SI"),"","12")</f>
        <v/>
      </c>
      <c r="D4800" t="str">
        <f>IF($C4800="","","Cuentas por Cobrar Comerciales - Terceros")</f>
        <v/>
      </c>
      <c r="E4800" s="20" t="str">
        <f>""</f>
        <v/>
      </c>
      <c r="F4800" s="20" t="str">
        <f>IF($C4800="","",Registro_Ventas!$I$52)</f>
        <v/>
      </c>
      <c r="G4800" t="str">
        <f>IF($C4800="","","Por la cobranza de la factura")</f>
        <v/>
      </c>
      <c r="H4800" t="str">
        <f>IF($C4800="","",Registro_Ventas!$C$52)</f>
        <v/>
      </c>
    </row>
    <row r="4801" spans="1:8" x14ac:dyDescent="0.25">
      <c r="A4801" s="25" t="str">
        <f>IF($C4801="","",Registro_Ventas!$B$53)</f>
        <v/>
      </c>
      <c r="B4801" t="str">
        <f>IF($C4801="","","V"&amp;TEXT(INT((ROW()-4507)/6)+1,"000")&amp;"-1")</f>
        <v/>
      </c>
      <c r="C4801" t="str">
        <f>IF(Registro_Ventas!$C$53="","","12")</f>
        <v/>
      </c>
      <c r="D4801" t="str">
        <f>IF($C4801="","","Cuentas por Cobrar Comerciales - Terceros")</f>
        <v/>
      </c>
      <c r="E4801" s="20" t="str">
        <f>IF($C4801="","",Registro_Ventas!$I$53)</f>
        <v/>
      </c>
      <c r="F4801" s="20" t="str">
        <f>""</f>
        <v/>
      </c>
      <c r="G4801" t="str">
        <f>IF($C4801="","","Por la venta segun comprobante a "&amp;Registro_Ventas!$E$53)</f>
        <v/>
      </c>
      <c r="H4801" t="str">
        <f>IF($C4801="","",Registro_Ventas!$C$53)</f>
        <v/>
      </c>
    </row>
    <row r="4802" spans="1:8" x14ac:dyDescent="0.25">
      <c r="A4802" s="25" t="str">
        <f>IF($C4802="","",Registro_Ventas!$B$53)</f>
        <v/>
      </c>
      <c r="B4802" t="str">
        <f>IF($C4802="","","V"&amp;TEXT(INT((ROW()-4507)/6)+1,"000")&amp;"-1")</f>
        <v/>
      </c>
      <c r="C4802" t="str">
        <f>IF(Registro_Ventas!$C$53="","","70")</f>
        <v/>
      </c>
      <c r="D4802" t="str">
        <f>IF($C4802="","","Ventas")</f>
        <v/>
      </c>
      <c r="E4802" s="20" t="str">
        <f>""</f>
        <v/>
      </c>
      <c r="F4802" s="20" t="str">
        <f>IF($C4802="","",Registro_Ventas!$G$53)</f>
        <v/>
      </c>
      <c r="G4802" t="str">
        <f>IF($C4802="","","Por la venta segun comprobante a "&amp;Registro_Ventas!$E$53)</f>
        <v/>
      </c>
      <c r="H4802" t="str">
        <f>IF($C4802="","",Registro_Ventas!$C$53)</f>
        <v/>
      </c>
    </row>
    <row r="4803" spans="1:8" x14ac:dyDescent="0.25">
      <c r="A4803" s="25" t="str">
        <f>IF($C4803="","",Registro_Ventas!$B$53)</f>
        <v/>
      </c>
      <c r="B4803" t="str">
        <f>IF($C4803="","","V"&amp;TEXT(INT((ROW()-4507)/6)+1,"000")&amp;"-1")</f>
        <v/>
      </c>
      <c r="C4803" t="str">
        <f>IF(Registro_Ventas!$C$53="","","40111")</f>
        <v/>
      </c>
      <c r="D4803" t="str">
        <f>IF($C4803="","","IGV - Cuenta Propia (Debito Fiscal)")</f>
        <v/>
      </c>
      <c r="E4803" s="20" t="str">
        <f>""</f>
        <v/>
      </c>
      <c r="F4803" s="20" t="str">
        <f>IF($C4803="","",Registro_Ventas!$H$53)</f>
        <v/>
      </c>
      <c r="G4803" t="str">
        <f>IF($C4803="","","Por la venta segun comprobante a "&amp;Registro_Ventas!$E$53)</f>
        <v/>
      </c>
      <c r="H4803" t="str">
        <f>IF($C4803="","",Registro_Ventas!$C$53)</f>
        <v/>
      </c>
    </row>
    <row r="4804" spans="1:8" x14ac:dyDescent="0.25">
      <c r="A4804" s="25" t="str">
        <f>IF($C4804="","",Registro_Ventas!$P$53)</f>
        <v/>
      </c>
      <c r="B4804" t="str">
        <f>IF($C4804="","","V"&amp;TEXT(INT((ROW()-4507)/6)+1,"000")&amp;"-2")</f>
        <v/>
      </c>
      <c r="C4804" t="str">
        <f>IF(OR(Registro_Ventas!$C$53="",Registro_Ventas!$O$53&lt;&gt;"SI"),"","1041")</f>
        <v/>
      </c>
      <c r="D4804" t="str">
        <f>IF($C4804="","","Efectivo y Equivalentes - Cta. Cte. Operativa")</f>
        <v/>
      </c>
      <c r="E4804" s="20" t="str">
        <f>IF($C4804="","",Registro_Ventas!$N$53)</f>
        <v/>
      </c>
      <c r="F4804" s="20" t="str">
        <f>""</f>
        <v/>
      </c>
      <c r="G4804" t="str">
        <f>IF($C4804="","","Por la cobranza de la factura")</f>
        <v/>
      </c>
      <c r="H4804" t="str">
        <f>IF($C4804="","",Registro_Ventas!$C$53)</f>
        <v/>
      </c>
    </row>
    <row r="4805" spans="1:8" x14ac:dyDescent="0.25">
      <c r="A4805" s="25" t="str">
        <f>IF($C4805="","",Registro_Ventas!$P$53)</f>
        <v/>
      </c>
      <c r="B4805" t="str">
        <f>IF($C4805="","","V"&amp;TEXT(INT((ROW()-4507)/6)+1,"000")&amp;"-2")</f>
        <v/>
      </c>
      <c r="C4805" t="str">
        <f>IF(OR(OR(Registro_Ventas!$C$53="",Registro_Ventas!$O$53&lt;&gt;"SI"),Registro_Ventas!$J$53&lt;&gt;"SI"),"","1049")</f>
        <v/>
      </c>
      <c r="D4805" t="str">
        <f>IF($C4805="","","Efectivo - Cuenta de Detracciones (Banco de la Nacion)")</f>
        <v/>
      </c>
      <c r="E4805" s="20" t="str">
        <f>IF($C4805="","",Registro_Ventas!$M$53)</f>
        <v/>
      </c>
      <c r="F4805" s="20" t="str">
        <f>""</f>
        <v/>
      </c>
      <c r="G4805" t="str">
        <f>IF($C4805="","","Detraccion retenida por el cliente")</f>
        <v/>
      </c>
      <c r="H4805" t="str">
        <f>IF($C4805="","",Registro_Ventas!$C$53)</f>
        <v/>
      </c>
    </row>
    <row r="4806" spans="1:8" x14ac:dyDescent="0.25">
      <c r="A4806" s="25" t="str">
        <f>IF($C4806="","",Registro_Ventas!$P$53)</f>
        <v/>
      </c>
      <c r="B4806" t="str">
        <f>IF($C4806="","","V"&amp;TEXT(INT((ROW()-4507)/6)+1,"000")&amp;"-2")</f>
        <v/>
      </c>
      <c r="C4806" t="str">
        <f>IF(OR(Registro_Ventas!$C$53="",Registro_Ventas!$O$53&lt;&gt;"SI"),"","12")</f>
        <v/>
      </c>
      <c r="D4806" t="str">
        <f>IF($C4806="","","Cuentas por Cobrar Comerciales - Terceros")</f>
        <v/>
      </c>
      <c r="E4806" s="20" t="str">
        <f>""</f>
        <v/>
      </c>
      <c r="F4806" s="20" t="str">
        <f>IF($C4806="","",Registro_Ventas!$I$53)</f>
        <v/>
      </c>
      <c r="G4806" t="str">
        <f>IF($C4806="","","Por la cobranza de la factura")</f>
        <v/>
      </c>
      <c r="H4806" t="str">
        <f>IF($C4806="","",Registro_Ventas!$C$53)</f>
        <v/>
      </c>
    </row>
    <row r="4807" spans="1:8" x14ac:dyDescent="0.25">
      <c r="E4807" s="20"/>
      <c r="F4807" s="20"/>
    </row>
    <row r="4808" spans="1:8" x14ac:dyDescent="0.25">
      <c r="D4808" s="24" t="s">
        <v>178</v>
      </c>
      <c r="E4808" s="35">
        <f>SUM(E5:E4806)</f>
        <v>347013.58</v>
      </c>
      <c r="F4808" s="35">
        <f>SUM(F5:F4806)</f>
        <v>347013.5799999999</v>
      </c>
    </row>
    <row r="4809" spans="1:8" x14ac:dyDescent="0.25">
      <c r="D4809" s="24" t="s">
        <v>179</v>
      </c>
      <c r="E4809" s="35">
        <f>E4808-F4808</f>
        <v>0</v>
      </c>
      <c r="F4809" s="35"/>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D5EBE-5D8F-4249-951D-F544E3DE36D5}">
  <dimension ref="A1:P503"/>
  <sheetViews>
    <sheetView workbookViewId="0">
      <selection activeCell="L4" sqref="L4"/>
    </sheetView>
  </sheetViews>
  <sheetFormatPr baseColWidth="10" defaultRowHeight="15" x14ac:dyDescent="0.25"/>
  <cols>
    <col min="4" max="4" width="34.7109375" customWidth="1"/>
    <col min="14" max="14" width="24.7109375" customWidth="1"/>
    <col min="16" max="16" width="30.7109375" customWidth="1"/>
  </cols>
  <sheetData>
    <row r="1" spans="1:16" x14ac:dyDescent="0.25">
      <c r="A1" s="24" t="s">
        <v>180</v>
      </c>
    </row>
    <row r="2" spans="1:16" x14ac:dyDescent="0.25">
      <c r="A2" t="s">
        <v>181</v>
      </c>
    </row>
    <row r="3" spans="1:16" s="29" customFormat="1" ht="45" x14ac:dyDescent="0.25">
      <c r="A3" s="28" t="s">
        <v>72</v>
      </c>
      <c r="B3" s="28" t="s">
        <v>73</v>
      </c>
      <c r="C3" s="28" t="s">
        <v>182</v>
      </c>
      <c r="D3" s="28" t="s">
        <v>75</v>
      </c>
      <c r="E3" s="28" t="s">
        <v>155</v>
      </c>
      <c r="F3" s="28" t="s">
        <v>183</v>
      </c>
      <c r="G3" s="28" t="s">
        <v>184</v>
      </c>
      <c r="H3" s="28" t="s">
        <v>185</v>
      </c>
      <c r="I3" s="28" t="s">
        <v>186</v>
      </c>
      <c r="J3" s="28" t="s">
        <v>187</v>
      </c>
      <c r="K3" s="28" t="s">
        <v>85</v>
      </c>
      <c r="L3" s="28" t="s">
        <v>168</v>
      </c>
      <c r="M3" s="28" t="s">
        <v>188</v>
      </c>
      <c r="N3" s="28" t="s">
        <v>189</v>
      </c>
      <c r="P3" s="36" t="s">
        <v>190</v>
      </c>
    </row>
    <row r="4" spans="1:16" x14ac:dyDescent="0.25">
      <c r="A4" s="25">
        <f>IF(Registro_Compras!$R4&lt;&gt;"SI","",Registro_Compras!$B4)</f>
        <v>46253</v>
      </c>
      <c r="B4" t="str">
        <f>IF(Registro_Compras!$R4&lt;&gt;"SI","",Registro_Compras!$C4)</f>
        <v>F001-00005653</v>
      </c>
      <c r="C4" t="str">
        <f>IF(Registro_Compras!$R4&lt;&gt;"SI","",Registro_Compras!$D4)</f>
        <v>20307167442</v>
      </c>
      <c r="D4" t="str">
        <f>IF(Registro_Compras!$R4&lt;&gt;"SI","",Registro_Compras!$E4)</f>
        <v>COMISION DE PROMOCION DEL PERU PARA LA EXPORTACION Y EL TURISMO - PROMPERU</v>
      </c>
      <c r="E4" t="str">
        <f>IF(Registro_Compras!$R4&lt;&gt;"SI","",Registro_Compras!$G4)</f>
        <v>037</v>
      </c>
      <c r="F4" s="31">
        <f>IF(Registro_Compras!$R4&lt;&gt;"SI","",Registro_Compras!$P4)</f>
        <v>0.12</v>
      </c>
      <c r="G4" s="20">
        <f>IF(Registro_Compras!$R4&lt;&gt;"SI","",Registro_Compras!$O4)</f>
        <v>6012</v>
      </c>
      <c r="H4" s="20">
        <f>IF(Registro_Compras!$R4&lt;&gt;"SI","",Registro_Compras!$S4)</f>
        <v>721.44</v>
      </c>
      <c r="I4" s="25">
        <f>IF(Registro_Compras!$R4&lt;&gt;"SI","",IF(Registro_Compras!$Y4="",WORKDAY(EOMONTH(Registro_Compras!$B4,0),5,Feriados),MIN(Registro_Compras!$Y4,WORKDAY(EOMONTH(Registro_Compras!$B4,0),5,Feriados))))</f>
        <v>46272</v>
      </c>
      <c r="J4" s="25">
        <f>IF(Registro_Compras!$R4&lt;&gt;"SI","",Registro_Compras!$X4)</f>
        <v>0</v>
      </c>
      <c r="K4" t="str">
        <f>IF(Registro_Compras!$R4&lt;&gt;"SI","",IF(Registro_Compras!$X4="","PENDIENTE","DEPOSITADA"))</f>
        <v>PENDIENTE</v>
      </c>
      <c r="L4">
        <f>IF(Registro_Compras!$R4&lt;&gt;"SI","",Registro_Compras!$Z4)</f>
        <v>0</v>
      </c>
      <c r="M4">
        <f t="shared" ref="M4:M67" ca="1" si="0">IF($K4&lt;&gt;"PENDIENTE","",IF(TODAY()&gt;$I4,TODAY()-$I4,0))</f>
        <v>0</v>
      </c>
      <c r="N4" t="str">
        <f t="shared" ref="N4:N67" ca="1" si="1">IF($K4&lt;&gt;"PENDIENTE","",IF($M4&gt;0,"VENCIDA - DEPOSITAR YA",IF($I4-TODAY()&lt;=3,"POR VENCER","EN PLAZO")))</f>
        <v>EN PLAZO</v>
      </c>
      <c r="P4" s="25"/>
    </row>
    <row r="5" spans="1:16" x14ac:dyDescent="0.25">
      <c r="A5" s="25" t="str">
        <f>IF(Registro_Compras!$R5&lt;&gt;"SI","",Registro_Compras!$B5)</f>
        <v/>
      </c>
      <c r="B5" t="str">
        <f>IF(Registro_Compras!$R5&lt;&gt;"SI","",Registro_Compras!$C5)</f>
        <v/>
      </c>
      <c r="C5" t="str">
        <f>IF(Registro_Compras!$R5&lt;&gt;"SI","",Registro_Compras!$D5)</f>
        <v/>
      </c>
      <c r="D5" t="str">
        <f>IF(Registro_Compras!$R5&lt;&gt;"SI","",Registro_Compras!$E5)</f>
        <v/>
      </c>
      <c r="E5" t="str">
        <f>IF(Registro_Compras!$R5&lt;&gt;"SI","",Registro_Compras!$G5)</f>
        <v/>
      </c>
      <c r="F5" s="31" t="str">
        <f>IF(Registro_Compras!$R5&lt;&gt;"SI","",Registro_Compras!$P5)</f>
        <v/>
      </c>
      <c r="G5" s="20" t="str">
        <f>IF(Registro_Compras!$R5&lt;&gt;"SI","",Registro_Compras!$O5)</f>
        <v/>
      </c>
      <c r="H5" s="20" t="str">
        <f>IF(Registro_Compras!$R5&lt;&gt;"SI","",Registro_Compras!$S5)</f>
        <v/>
      </c>
      <c r="I5" s="25" t="str">
        <f>IF(Registro_Compras!$R5&lt;&gt;"SI","",IF(Registro_Compras!$Y5="",WORKDAY(EOMONTH(Registro_Compras!$B5,0),5,Feriados),MIN(Registro_Compras!$Y5,WORKDAY(EOMONTH(Registro_Compras!$B5,0),5,Feriados))))</f>
        <v/>
      </c>
      <c r="J5" s="25" t="str">
        <f>IF(Registro_Compras!$R5&lt;&gt;"SI","",Registro_Compras!$X5)</f>
        <v/>
      </c>
      <c r="K5" t="str">
        <f>IF(Registro_Compras!$R5&lt;&gt;"SI","",IF(Registro_Compras!$X5="","PENDIENTE","DEPOSITADA"))</f>
        <v/>
      </c>
      <c r="L5" t="str">
        <f>IF(Registro_Compras!$R5&lt;&gt;"SI","",Registro_Compras!$Z5)</f>
        <v/>
      </c>
      <c r="M5" t="str">
        <f t="shared" ca="1" si="0"/>
        <v/>
      </c>
      <c r="N5" t="str">
        <f t="shared" ca="1" si="1"/>
        <v/>
      </c>
      <c r="P5" s="25"/>
    </row>
    <row r="6" spans="1:16" x14ac:dyDescent="0.25">
      <c r="A6" s="25" t="str">
        <f>IF(Registro_Compras!$R6&lt;&gt;"SI","",Registro_Compras!$B6)</f>
        <v/>
      </c>
      <c r="B6" t="str">
        <f>IF(Registro_Compras!$R6&lt;&gt;"SI","",Registro_Compras!$C6)</f>
        <v/>
      </c>
      <c r="C6" t="str">
        <f>IF(Registro_Compras!$R6&lt;&gt;"SI","",Registro_Compras!$D6)</f>
        <v/>
      </c>
      <c r="D6" t="str">
        <f>IF(Registro_Compras!$R6&lt;&gt;"SI","",Registro_Compras!$E6)</f>
        <v/>
      </c>
      <c r="E6" t="str">
        <f>IF(Registro_Compras!$R6&lt;&gt;"SI","",Registro_Compras!$G6)</f>
        <v/>
      </c>
      <c r="F6" s="31" t="str">
        <f>IF(Registro_Compras!$R6&lt;&gt;"SI","",Registro_Compras!$P6)</f>
        <v/>
      </c>
      <c r="G6" s="20" t="str">
        <f>IF(Registro_Compras!$R6&lt;&gt;"SI","",Registro_Compras!$O6)</f>
        <v/>
      </c>
      <c r="H6" s="20" t="str">
        <f>IF(Registro_Compras!$R6&lt;&gt;"SI","",Registro_Compras!$S6)</f>
        <v/>
      </c>
      <c r="I6" s="25" t="str">
        <f>IF(Registro_Compras!$R6&lt;&gt;"SI","",IF(Registro_Compras!$Y6="",WORKDAY(EOMONTH(Registro_Compras!$B6,0),5,Feriados),MIN(Registro_Compras!$Y6,WORKDAY(EOMONTH(Registro_Compras!$B6,0),5,Feriados))))</f>
        <v/>
      </c>
      <c r="J6" s="25" t="str">
        <f>IF(Registro_Compras!$R6&lt;&gt;"SI","",Registro_Compras!$X6)</f>
        <v/>
      </c>
      <c r="K6" t="str">
        <f>IF(Registro_Compras!$R6&lt;&gt;"SI","",IF(Registro_Compras!$X6="","PENDIENTE","DEPOSITADA"))</f>
        <v/>
      </c>
      <c r="L6" t="str">
        <f>IF(Registro_Compras!$R6&lt;&gt;"SI","",Registro_Compras!$Z6)</f>
        <v/>
      </c>
      <c r="M6" t="str">
        <f t="shared" ca="1" si="0"/>
        <v/>
      </c>
      <c r="N6" t="str">
        <f t="shared" ca="1" si="1"/>
        <v/>
      </c>
      <c r="P6" s="25"/>
    </row>
    <row r="7" spans="1:16" x14ac:dyDescent="0.25">
      <c r="A7" s="25" t="str">
        <f>IF(Registro_Compras!$R7&lt;&gt;"SI","",Registro_Compras!$B7)</f>
        <v/>
      </c>
      <c r="B7" t="str">
        <f>IF(Registro_Compras!$R7&lt;&gt;"SI","",Registro_Compras!$C7)</f>
        <v/>
      </c>
      <c r="C7" t="str">
        <f>IF(Registro_Compras!$R7&lt;&gt;"SI","",Registro_Compras!$D7)</f>
        <v/>
      </c>
      <c r="D7" t="str">
        <f>IF(Registro_Compras!$R7&lt;&gt;"SI","",Registro_Compras!$E7)</f>
        <v/>
      </c>
      <c r="E7" t="str">
        <f>IF(Registro_Compras!$R7&lt;&gt;"SI","",Registro_Compras!$G7)</f>
        <v/>
      </c>
      <c r="F7" s="31" t="str">
        <f>IF(Registro_Compras!$R7&lt;&gt;"SI","",Registro_Compras!$P7)</f>
        <v/>
      </c>
      <c r="G7" s="20" t="str">
        <f>IF(Registro_Compras!$R7&lt;&gt;"SI","",Registro_Compras!$O7)</f>
        <v/>
      </c>
      <c r="H7" s="20" t="str">
        <f>IF(Registro_Compras!$R7&lt;&gt;"SI","",Registro_Compras!$S7)</f>
        <v/>
      </c>
      <c r="I7" s="25" t="str">
        <f>IF(Registro_Compras!$R7&lt;&gt;"SI","",IF(Registro_Compras!$Y7="",WORKDAY(EOMONTH(Registro_Compras!$B7,0),5,Feriados),MIN(Registro_Compras!$Y7,WORKDAY(EOMONTH(Registro_Compras!$B7,0),5,Feriados))))</f>
        <v/>
      </c>
      <c r="J7" s="25" t="str">
        <f>IF(Registro_Compras!$R7&lt;&gt;"SI","",Registro_Compras!$X7)</f>
        <v/>
      </c>
      <c r="K7" t="str">
        <f>IF(Registro_Compras!$R7&lt;&gt;"SI","",IF(Registro_Compras!$X7="","PENDIENTE","DEPOSITADA"))</f>
        <v/>
      </c>
      <c r="L7" t="str">
        <f>IF(Registro_Compras!$R7&lt;&gt;"SI","",Registro_Compras!$Z7)</f>
        <v/>
      </c>
      <c r="M7" t="str">
        <f t="shared" ca="1" si="0"/>
        <v/>
      </c>
      <c r="N7" t="str">
        <f t="shared" ca="1" si="1"/>
        <v/>
      </c>
      <c r="P7" s="25"/>
    </row>
    <row r="8" spans="1:16" x14ac:dyDescent="0.25">
      <c r="A8" s="25" t="str">
        <f>IF(Registro_Compras!$R8&lt;&gt;"SI","",Registro_Compras!$B8)</f>
        <v/>
      </c>
      <c r="B8" t="str">
        <f>IF(Registro_Compras!$R8&lt;&gt;"SI","",Registro_Compras!$C8)</f>
        <v/>
      </c>
      <c r="C8" t="str">
        <f>IF(Registro_Compras!$R8&lt;&gt;"SI","",Registro_Compras!$D8)</f>
        <v/>
      </c>
      <c r="D8" t="str">
        <f>IF(Registro_Compras!$R8&lt;&gt;"SI","",Registro_Compras!$E8)</f>
        <v/>
      </c>
      <c r="E8" t="str">
        <f>IF(Registro_Compras!$R8&lt;&gt;"SI","",Registro_Compras!$G8)</f>
        <v/>
      </c>
      <c r="F8" s="31" t="str">
        <f>IF(Registro_Compras!$R8&lt;&gt;"SI","",Registro_Compras!$P8)</f>
        <v/>
      </c>
      <c r="G8" s="20" t="str">
        <f>IF(Registro_Compras!$R8&lt;&gt;"SI","",Registro_Compras!$O8)</f>
        <v/>
      </c>
      <c r="H8" s="20" t="str">
        <f>IF(Registro_Compras!$R8&lt;&gt;"SI","",Registro_Compras!$S8)</f>
        <v/>
      </c>
      <c r="I8" s="25" t="str">
        <f>IF(Registro_Compras!$R8&lt;&gt;"SI","",IF(Registro_Compras!$Y8="",WORKDAY(EOMONTH(Registro_Compras!$B8,0),5,Feriados),MIN(Registro_Compras!$Y8,WORKDAY(EOMONTH(Registro_Compras!$B8,0),5,Feriados))))</f>
        <v/>
      </c>
      <c r="J8" s="25" t="str">
        <f>IF(Registro_Compras!$R8&lt;&gt;"SI","",Registro_Compras!$X8)</f>
        <v/>
      </c>
      <c r="K8" t="str">
        <f>IF(Registro_Compras!$R8&lt;&gt;"SI","",IF(Registro_Compras!$X8="","PENDIENTE","DEPOSITADA"))</f>
        <v/>
      </c>
      <c r="L8" t="str">
        <f>IF(Registro_Compras!$R8&lt;&gt;"SI","",Registro_Compras!$Z8)</f>
        <v/>
      </c>
      <c r="M8" t="str">
        <f t="shared" ca="1" si="0"/>
        <v/>
      </c>
      <c r="N8" t="str">
        <f t="shared" ca="1" si="1"/>
        <v/>
      </c>
      <c r="P8" s="25"/>
    </row>
    <row r="9" spans="1:16" x14ac:dyDescent="0.25">
      <c r="A9" s="25" t="str">
        <f>IF(Registro_Compras!$R9&lt;&gt;"SI","",Registro_Compras!$B9)</f>
        <v/>
      </c>
      <c r="B9" t="str">
        <f>IF(Registro_Compras!$R9&lt;&gt;"SI","",Registro_Compras!$C9)</f>
        <v/>
      </c>
      <c r="C9" t="str">
        <f>IF(Registro_Compras!$R9&lt;&gt;"SI","",Registro_Compras!$D9)</f>
        <v/>
      </c>
      <c r="D9" t="str">
        <f>IF(Registro_Compras!$R9&lt;&gt;"SI","",Registro_Compras!$E9)</f>
        <v/>
      </c>
      <c r="E9" t="str">
        <f>IF(Registro_Compras!$R9&lt;&gt;"SI","",Registro_Compras!$G9)</f>
        <v/>
      </c>
      <c r="F9" s="31" t="str">
        <f>IF(Registro_Compras!$R9&lt;&gt;"SI","",Registro_Compras!$P9)</f>
        <v/>
      </c>
      <c r="G9" s="20" t="str">
        <f>IF(Registro_Compras!$R9&lt;&gt;"SI","",Registro_Compras!$O9)</f>
        <v/>
      </c>
      <c r="H9" s="20" t="str">
        <f>IF(Registro_Compras!$R9&lt;&gt;"SI","",Registro_Compras!$S9)</f>
        <v/>
      </c>
      <c r="I9" s="25" t="str">
        <f>IF(Registro_Compras!$R9&lt;&gt;"SI","",IF(Registro_Compras!$Y9="",WORKDAY(EOMONTH(Registro_Compras!$B9,0),5,Feriados),MIN(Registro_Compras!$Y9,WORKDAY(EOMONTH(Registro_Compras!$B9,0),5,Feriados))))</f>
        <v/>
      </c>
      <c r="J9" s="25" t="str">
        <f>IF(Registro_Compras!$R9&lt;&gt;"SI","",Registro_Compras!$X9)</f>
        <v/>
      </c>
      <c r="K9" t="str">
        <f>IF(Registro_Compras!$R9&lt;&gt;"SI","",IF(Registro_Compras!$X9="","PENDIENTE","DEPOSITADA"))</f>
        <v/>
      </c>
      <c r="L9" t="str">
        <f>IF(Registro_Compras!$R9&lt;&gt;"SI","",Registro_Compras!$Z9)</f>
        <v/>
      </c>
      <c r="M9" t="str">
        <f t="shared" ca="1" si="0"/>
        <v/>
      </c>
      <c r="N9" t="str">
        <f t="shared" ca="1" si="1"/>
        <v/>
      </c>
      <c r="P9" s="25"/>
    </row>
    <row r="10" spans="1:16" x14ac:dyDescent="0.25">
      <c r="A10" s="25" t="str">
        <f>IF(Registro_Compras!$R10&lt;&gt;"SI","",Registro_Compras!$B10)</f>
        <v/>
      </c>
      <c r="B10" t="str">
        <f>IF(Registro_Compras!$R10&lt;&gt;"SI","",Registro_Compras!$C10)</f>
        <v/>
      </c>
      <c r="C10" t="str">
        <f>IF(Registro_Compras!$R10&lt;&gt;"SI","",Registro_Compras!$D10)</f>
        <v/>
      </c>
      <c r="D10" t="str">
        <f>IF(Registro_Compras!$R10&lt;&gt;"SI","",Registro_Compras!$E10)</f>
        <v/>
      </c>
      <c r="E10" t="str">
        <f>IF(Registro_Compras!$R10&lt;&gt;"SI","",Registro_Compras!$G10)</f>
        <v/>
      </c>
      <c r="F10" s="31" t="str">
        <f>IF(Registro_Compras!$R10&lt;&gt;"SI","",Registro_Compras!$P10)</f>
        <v/>
      </c>
      <c r="G10" s="20" t="str">
        <f>IF(Registro_Compras!$R10&lt;&gt;"SI","",Registro_Compras!$O10)</f>
        <v/>
      </c>
      <c r="H10" s="20" t="str">
        <f>IF(Registro_Compras!$R10&lt;&gt;"SI","",Registro_Compras!$S10)</f>
        <v/>
      </c>
      <c r="I10" s="25" t="str">
        <f>IF(Registro_Compras!$R10&lt;&gt;"SI","",IF(Registro_Compras!$Y10="",WORKDAY(EOMONTH(Registro_Compras!$B10,0),5,Feriados),MIN(Registro_Compras!$Y10,WORKDAY(EOMONTH(Registro_Compras!$B10,0),5,Feriados))))</f>
        <v/>
      </c>
      <c r="J10" s="25" t="str">
        <f>IF(Registro_Compras!$R10&lt;&gt;"SI","",Registro_Compras!$X10)</f>
        <v/>
      </c>
      <c r="K10" t="str">
        <f>IF(Registro_Compras!$R10&lt;&gt;"SI","",IF(Registro_Compras!$X10="","PENDIENTE","DEPOSITADA"))</f>
        <v/>
      </c>
      <c r="L10" t="str">
        <f>IF(Registro_Compras!$R10&lt;&gt;"SI","",Registro_Compras!$Z10)</f>
        <v/>
      </c>
      <c r="M10" t="str">
        <f t="shared" ca="1" si="0"/>
        <v/>
      </c>
      <c r="N10" t="str">
        <f t="shared" ca="1" si="1"/>
        <v/>
      </c>
      <c r="P10" s="25"/>
    </row>
    <row r="11" spans="1:16" x14ac:dyDescent="0.25">
      <c r="A11" s="25" t="str">
        <f>IF(Registro_Compras!$R11&lt;&gt;"SI","",Registro_Compras!$B11)</f>
        <v/>
      </c>
      <c r="B11" t="str">
        <f>IF(Registro_Compras!$R11&lt;&gt;"SI","",Registro_Compras!$C11)</f>
        <v/>
      </c>
      <c r="C11" t="str">
        <f>IF(Registro_Compras!$R11&lt;&gt;"SI","",Registro_Compras!$D11)</f>
        <v/>
      </c>
      <c r="D11" t="str">
        <f>IF(Registro_Compras!$R11&lt;&gt;"SI","",Registro_Compras!$E11)</f>
        <v/>
      </c>
      <c r="E11" t="str">
        <f>IF(Registro_Compras!$R11&lt;&gt;"SI","",Registro_Compras!$G11)</f>
        <v/>
      </c>
      <c r="F11" s="31" t="str">
        <f>IF(Registro_Compras!$R11&lt;&gt;"SI","",Registro_Compras!$P11)</f>
        <v/>
      </c>
      <c r="G11" s="20" t="str">
        <f>IF(Registro_Compras!$R11&lt;&gt;"SI","",Registro_Compras!$O11)</f>
        <v/>
      </c>
      <c r="H11" s="20" t="str">
        <f>IF(Registro_Compras!$R11&lt;&gt;"SI","",Registro_Compras!$S11)</f>
        <v/>
      </c>
      <c r="I11" s="25" t="str">
        <f>IF(Registro_Compras!$R11&lt;&gt;"SI","",IF(Registro_Compras!$Y11="",WORKDAY(EOMONTH(Registro_Compras!$B11,0),5,Feriados),MIN(Registro_Compras!$Y11,WORKDAY(EOMONTH(Registro_Compras!$B11,0),5,Feriados))))</f>
        <v/>
      </c>
      <c r="J11" s="25" t="str">
        <f>IF(Registro_Compras!$R11&lt;&gt;"SI","",Registro_Compras!$X11)</f>
        <v/>
      </c>
      <c r="K11" t="str">
        <f>IF(Registro_Compras!$R11&lt;&gt;"SI","",IF(Registro_Compras!$X11="","PENDIENTE","DEPOSITADA"))</f>
        <v/>
      </c>
      <c r="L11" t="str">
        <f>IF(Registro_Compras!$R11&lt;&gt;"SI","",Registro_Compras!$Z11)</f>
        <v/>
      </c>
      <c r="M11" t="str">
        <f t="shared" ca="1" si="0"/>
        <v/>
      </c>
      <c r="N11" t="str">
        <f t="shared" ca="1" si="1"/>
        <v/>
      </c>
      <c r="P11" s="25"/>
    </row>
    <row r="12" spans="1:16" x14ac:dyDescent="0.25">
      <c r="A12" s="25">
        <f>IF(Registro_Compras!$R12&lt;&gt;"SI","",Registro_Compras!$B12)</f>
        <v>46254</v>
      </c>
      <c r="B12" t="str">
        <f>IF(Registro_Compras!$R12&lt;&gt;"SI","",Registro_Compras!$C12)</f>
        <v>E001-7201</v>
      </c>
      <c r="C12" t="str">
        <f>IF(Registro_Compras!$R12&lt;&gt;"SI","",Registro_Compras!$D12)</f>
        <v>20225253529</v>
      </c>
      <c r="D12" t="str">
        <f>IF(Registro_Compras!$R12&lt;&gt;"SI","",Registro_Compras!$E12)</f>
        <v>ARCOBALENO SOCIEDAD COMERCIAL DE RESPONSABILIDAD LIMITADA</v>
      </c>
      <c r="E12" t="str">
        <f>IF(Registro_Compras!$R12&lt;&gt;"SI","",Registro_Compras!$G12)</f>
        <v>037</v>
      </c>
      <c r="F12" s="31">
        <f>IF(Registro_Compras!$R12&lt;&gt;"SI","",Registro_Compras!$P12)</f>
        <v>0.12</v>
      </c>
      <c r="G12" s="20">
        <f>IF(Registro_Compras!$R12&lt;&gt;"SI","",Registro_Compras!$O12)</f>
        <v>737.81</v>
      </c>
      <c r="H12" s="20">
        <f>IF(Registro_Compras!$R12&lt;&gt;"SI","",Registro_Compras!$S12)</f>
        <v>88.54</v>
      </c>
      <c r="I12" s="25">
        <f>IF(Registro_Compras!$R12&lt;&gt;"SI","",IF(Registro_Compras!$Y12="",WORKDAY(EOMONTH(Registro_Compras!$B12,0),5,Feriados),MIN(Registro_Compras!$Y12,WORKDAY(EOMONTH(Registro_Compras!$B12,0),5,Feriados))))</f>
        <v>46272</v>
      </c>
      <c r="J12" s="25">
        <f>IF(Registro_Compras!$R12&lt;&gt;"SI","",Registro_Compras!$X12)</f>
        <v>0</v>
      </c>
      <c r="K12" t="str">
        <f>IF(Registro_Compras!$R12&lt;&gt;"SI","",IF(Registro_Compras!$X12="","PENDIENTE","DEPOSITADA"))</f>
        <v>PENDIENTE</v>
      </c>
      <c r="L12">
        <f>IF(Registro_Compras!$R12&lt;&gt;"SI","",Registro_Compras!$Z12)</f>
        <v>0</v>
      </c>
      <c r="M12">
        <f t="shared" ca="1" si="0"/>
        <v>0</v>
      </c>
      <c r="N12" t="str">
        <f t="shared" ca="1" si="1"/>
        <v>EN PLAZO</v>
      </c>
      <c r="P12" s="25"/>
    </row>
    <row r="13" spans="1:16" x14ac:dyDescent="0.25">
      <c r="A13" s="25" t="str">
        <f>IF(Registro_Compras!$R13&lt;&gt;"SI","",Registro_Compras!$B13)</f>
        <v/>
      </c>
      <c r="B13" t="str">
        <f>IF(Registro_Compras!$R13&lt;&gt;"SI","",Registro_Compras!$C13)</f>
        <v/>
      </c>
      <c r="C13" t="str">
        <f>IF(Registro_Compras!$R13&lt;&gt;"SI","",Registro_Compras!$D13)</f>
        <v/>
      </c>
      <c r="D13" t="str">
        <f>IF(Registro_Compras!$R13&lt;&gt;"SI","",Registro_Compras!$E13)</f>
        <v/>
      </c>
      <c r="E13" t="str">
        <f>IF(Registro_Compras!$R13&lt;&gt;"SI","",Registro_Compras!$G13)</f>
        <v/>
      </c>
      <c r="F13" s="31" t="str">
        <f>IF(Registro_Compras!$R13&lt;&gt;"SI","",Registro_Compras!$P13)</f>
        <v/>
      </c>
      <c r="G13" s="20" t="str">
        <f>IF(Registro_Compras!$R13&lt;&gt;"SI","",Registro_Compras!$O13)</f>
        <v/>
      </c>
      <c r="H13" s="20" t="str">
        <f>IF(Registro_Compras!$R13&lt;&gt;"SI","",Registro_Compras!$S13)</f>
        <v/>
      </c>
      <c r="I13" s="25" t="str">
        <f>IF(Registro_Compras!$R13&lt;&gt;"SI","",IF(Registro_Compras!$Y13="",WORKDAY(EOMONTH(Registro_Compras!$B13,0),5,Feriados),MIN(Registro_Compras!$Y13,WORKDAY(EOMONTH(Registro_Compras!$B13,0),5,Feriados))))</f>
        <v/>
      </c>
      <c r="J13" s="25" t="str">
        <f>IF(Registro_Compras!$R13&lt;&gt;"SI","",Registro_Compras!$X13)</f>
        <v/>
      </c>
      <c r="K13" t="str">
        <f>IF(Registro_Compras!$R13&lt;&gt;"SI","",IF(Registro_Compras!$X13="","PENDIENTE","DEPOSITADA"))</f>
        <v/>
      </c>
      <c r="L13" t="str">
        <f>IF(Registro_Compras!$R13&lt;&gt;"SI","",Registro_Compras!$Z13)</f>
        <v/>
      </c>
      <c r="M13" t="str">
        <f t="shared" ca="1" si="0"/>
        <v/>
      </c>
      <c r="N13" t="str">
        <f t="shared" ca="1" si="1"/>
        <v/>
      </c>
      <c r="P13" s="25"/>
    </row>
    <row r="14" spans="1:16" x14ac:dyDescent="0.25">
      <c r="A14" s="25" t="str">
        <f>IF(Registro_Compras!$R14&lt;&gt;"SI","",Registro_Compras!$B14)</f>
        <v/>
      </c>
      <c r="B14" t="str">
        <f>IF(Registro_Compras!$R14&lt;&gt;"SI","",Registro_Compras!$C14)</f>
        <v/>
      </c>
      <c r="C14" t="str">
        <f>IF(Registro_Compras!$R14&lt;&gt;"SI","",Registro_Compras!$D14)</f>
        <v/>
      </c>
      <c r="D14" t="str">
        <f>IF(Registro_Compras!$R14&lt;&gt;"SI","",Registro_Compras!$E14)</f>
        <v/>
      </c>
      <c r="E14" t="str">
        <f>IF(Registro_Compras!$R14&lt;&gt;"SI","",Registro_Compras!$G14)</f>
        <v/>
      </c>
      <c r="F14" s="31" t="str">
        <f>IF(Registro_Compras!$R14&lt;&gt;"SI","",Registro_Compras!$P14)</f>
        <v/>
      </c>
      <c r="G14" s="20" t="str">
        <f>IF(Registro_Compras!$R14&lt;&gt;"SI","",Registro_Compras!$O14)</f>
        <v/>
      </c>
      <c r="H14" s="20" t="str">
        <f>IF(Registro_Compras!$R14&lt;&gt;"SI","",Registro_Compras!$S14)</f>
        <v/>
      </c>
      <c r="I14" s="25" t="str">
        <f>IF(Registro_Compras!$R14&lt;&gt;"SI","",IF(Registro_Compras!$Y14="",WORKDAY(EOMONTH(Registro_Compras!$B14,0),5,Feriados),MIN(Registro_Compras!$Y14,WORKDAY(EOMONTH(Registro_Compras!$B14,0),5,Feriados))))</f>
        <v/>
      </c>
      <c r="J14" s="25" t="str">
        <f>IF(Registro_Compras!$R14&lt;&gt;"SI","",Registro_Compras!$X14)</f>
        <v/>
      </c>
      <c r="K14" t="str">
        <f>IF(Registro_Compras!$R14&lt;&gt;"SI","",IF(Registro_Compras!$X14="","PENDIENTE","DEPOSITADA"))</f>
        <v/>
      </c>
      <c r="L14" t="str">
        <f>IF(Registro_Compras!$R14&lt;&gt;"SI","",Registro_Compras!$Z14)</f>
        <v/>
      </c>
      <c r="M14" t="str">
        <f t="shared" ca="1" si="0"/>
        <v/>
      </c>
      <c r="N14" t="str">
        <f t="shared" ca="1" si="1"/>
        <v/>
      </c>
      <c r="P14" s="25"/>
    </row>
    <row r="15" spans="1:16" x14ac:dyDescent="0.25">
      <c r="A15" s="25" t="str">
        <f>IF(Registro_Compras!$R15&lt;&gt;"SI","",Registro_Compras!$B15)</f>
        <v/>
      </c>
      <c r="B15" t="str">
        <f>IF(Registro_Compras!$R15&lt;&gt;"SI","",Registro_Compras!$C15)</f>
        <v/>
      </c>
      <c r="C15" t="str">
        <f>IF(Registro_Compras!$R15&lt;&gt;"SI","",Registro_Compras!$D15)</f>
        <v/>
      </c>
      <c r="D15" t="str">
        <f>IF(Registro_Compras!$R15&lt;&gt;"SI","",Registro_Compras!$E15)</f>
        <v/>
      </c>
      <c r="E15" t="str">
        <f>IF(Registro_Compras!$R15&lt;&gt;"SI","",Registro_Compras!$G15)</f>
        <v/>
      </c>
      <c r="F15" s="31" t="str">
        <f>IF(Registro_Compras!$R15&lt;&gt;"SI","",Registro_Compras!$P15)</f>
        <v/>
      </c>
      <c r="G15" s="20" t="str">
        <f>IF(Registro_Compras!$R15&lt;&gt;"SI","",Registro_Compras!$O15)</f>
        <v/>
      </c>
      <c r="H15" s="20" t="str">
        <f>IF(Registro_Compras!$R15&lt;&gt;"SI","",Registro_Compras!$S15)</f>
        <v/>
      </c>
      <c r="I15" s="25" t="str">
        <f>IF(Registro_Compras!$R15&lt;&gt;"SI","",IF(Registro_Compras!$Y15="",WORKDAY(EOMONTH(Registro_Compras!$B15,0),5,Feriados),MIN(Registro_Compras!$Y15,WORKDAY(EOMONTH(Registro_Compras!$B15,0),5,Feriados))))</f>
        <v/>
      </c>
      <c r="J15" s="25" t="str">
        <f>IF(Registro_Compras!$R15&lt;&gt;"SI","",Registro_Compras!$X15)</f>
        <v/>
      </c>
      <c r="K15" t="str">
        <f>IF(Registro_Compras!$R15&lt;&gt;"SI","",IF(Registro_Compras!$X15="","PENDIENTE","DEPOSITADA"))</f>
        <v/>
      </c>
      <c r="L15" t="str">
        <f>IF(Registro_Compras!$R15&lt;&gt;"SI","",Registro_Compras!$Z15)</f>
        <v/>
      </c>
      <c r="M15" t="str">
        <f t="shared" ca="1" si="0"/>
        <v/>
      </c>
      <c r="N15" t="str">
        <f t="shared" ca="1" si="1"/>
        <v/>
      </c>
      <c r="P15" s="25"/>
    </row>
    <row r="16" spans="1:16" x14ac:dyDescent="0.25">
      <c r="A16" s="25" t="str">
        <f>IF(Registro_Compras!$R16&lt;&gt;"SI","",Registro_Compras!$B16)</f>
        <v/>
      </c>
      <c r="B16" t="str">
        <f>IF(Registro_Compras!$R16&lt;&gt;"SI","",Registro_Compras!$C16)</f>
        <v/>
      </c>
      <c r="C16" t="str">
        <f>IF(Registro_Compras!$R16&lt;&gt;"SI","",Registro_Compras!$D16)</f>
        <v/>
      </c>
      <c r="D16" t="str">
        <f>IF(Registro_Compras!$R16&lt;&gt;"SI","",Registro_Compras!$E16)</f>
        <v/>
      </c>
      <c r="E16" t="str">
        <f>IF(Registro_Compras!$R16&lt;&gt;"SI","",Registro_Compras!$G16)</f>
        <v/>
      </c>
      <c r="F16" s="31" t="str">
        <f>IF(Registro_Compras!$R16&lt;&gt;"SI","",Registro_Compras!$P16)</f>
        <v/>
      </c>
      <c r="G16" s="20" t="str">
        <f>IF(Registro_Compras!$R16&lt;&gt;"SI","",Registro_Compras!$O16)</f>
        <v/>
      </c>
      <c r="H16" s="20" t="str">
        <f>IF(Registro_Compras!$R16&lt;&gt;"SI","",Registro_Compras!$S16)</f>
        <v/>
      </c>
      <c r="I16" s="25" t="str">
        <f>IF(Registro_Compras!$R16&lt;&gt;"SI","",IF(Registro_Compras!$Y16="",WORKDAY(EOMONTH(Registro_Compras!$B16,0),5,Feriados),MIN(Registro_Compras!$Y16,WORKDAY(EOMONTH(Registro_Compras!$B16,0),5,Feriados))))</f>
        <v/>
      </c>
      <c r="J16" s="25" t="str">
        <f>IF(Registro_Compras!$R16&lt;&gt;"SI","",Registro_Compras!$X16)</f>
        <v/>
      </c>
      <c r="K16" t="str">
        <f>IF(Registro_Compras!$R16&lt;&gt;"SI","",IF(Registro_Compras!$X16="","PENDIENTE","DEPOSITADA"))</f>
        <v/>
      </c>
      <c r="L16" t="str">
        <f>IF(Registro_Compras!$R16&lt;&gt;"SI","",Registro_Compras!$Z16)</f>
        <v/>
      </c>
      <c r="M16" t="str">
        <f t="shared" ca="1" si="0"/>
        <v/>
      </c>
      <c r="N16" t="str">
        <f t="shared" ca="1" si="1"/>
        <v/>
      </c>
      <c r="P16" s="25"/>
    </row>
    <row r="17" spans="1:16" x14ac:dyDescent="0.25">
      <c r="A17" s="25" t="str">
        <f>IF(Registro_Compras!$R17&lt;&gt;"SI","",Registro_Compras!$B17)</f>
        <v/>
      </c>
      <c r="B17" t="str">
        <f>IF(Registro_Compras!$R17&lt;&gt;"SI","",Registro_Compras!$C17)</f>
        <v/>
      </c>
      <c r="C17" t="str">
        <f>IF(Registro_Compras!$R17&lt;&gt;"SI","",Registro_Compras!$D17)</f>
        <v/>
      </c>
      <c r="D17" t="str">
        <f>IF(Registro_Compras!$R17&lt;&gt;"SI","",Registro_Compras!$E17)</f>
        <v/>
      </c>
      <c r="E17" t="str">
        <f>IF(Registro_Compras!$R17&lt;&gt;"SI","",Registro_Compras!$G17)</f>
        <v/>
      </c>
      <c r="F17" s="31" t="str">
        <f>IF(Registro_Compras!$R17&lt;&gt;"SI","",Registro_Compras!$P17)</f>
        <v/>
      </c>
      <c r="G17" s="20" t="str">
        <f>IF(Registro_Compras!$R17&lt;&gt;"SI","",Registro_Compras!$O17)</f>
        <v/>
      </c>
      <c r="H17" s="20" t="str">
        <f>IF(Registro_Compras!$R17&lt;&gt;"SI","",Registro_Compras!$S17)</f>
        <v/>
      </c>
      <c r="I17" s="25" t="str">
        <f>IF(Registro_Compras!$R17&lt;&gt;"SI","",IF(Registro_Compras!$Y17="",WORKDAY(EOMONTH(Registro_Compras!$B17,0),5,Feriados),MIN(Registro_Compras!$Y17,WORKDAY(EOMONTH(Registro_Compras!$B17,0),5,Feriados))))</f>
        <v/>
      </c>
      <c r="J17" s="25" t="str">
        <f>IF(Registro_Compras!$R17&lt;&gt;"SI","",Registro_Compras!$X17)</f>
        <v/>
      </c>
      <c r="K17" t="str">
        <f>IF(Registro_Compras!$R17&lt;&gt;"SI","",IF(Registro_Compras!$X17="","PENDIENTE","DEPOSITADA"))</f>
        <v/>
      </c>
      <c r="L17" t="str">
        <f>IF(Registro_Compras!$R17&lt;&gt;"SI","",Registro_Compras!$Z17)</f>
        <v/>
      </c>
      <c r="M17" t="str">
        <f t="shared" ca="1" si="0"/>
        <v/>
      </c>
      <c r="N17" t="str">
        <f t="shared" ca="1" si="1"/>
        <v/>
      </c>
      <c r="P17" s="25"/>
    </row>
    <row r="18" spans="1:16" x14ac:dyDescent="0.25">
      <c r="A18" s="25" t="str">
        <f>IF(Registro_Compras!$R18&lt;&gt;"SI","",Registro_Compras!$B18)</f>
        <v/>
      </c>
      <c r="B18" t="str">
        <f>IF(Registro_Compras!$R18&lt;&gt;"SI","",Registro_Compras!$C18)</f>
        <v/>
      </c>
      <c r="C18" t="str">
        <f>IF(Registro_Compras!$R18&lt;&gt;"SI","",Registro_Compras!$D18)</f>
        <v/>
      </c>
      <c r="D18" t="str">
        <f>IF(Registro_Compras!$R18&lt;&gt;"SI","",Registro_Compras!$E18)</f>
        <v/>
      </c>
      <c r="E18" t="str">
        <f>IF(Registro_Compras!$R18&lt;&gt;"SI","",Registro_Compras!$G18)</f>
        <v/>
      </c>
      <c r="F18" s="31" t="str">
        <f>IF(Registro_Compras!$R18&lt;&gt;"SI","",Registro_Compras!$P18)</f>
        <v/>
      </c>
      <c r="G18" s="20" t="str">
        <f>IF(Registro_Compras!$R18&lt;&gt;"SI","",Registro_Compras!$O18)</f>
        <v/>
      </c>
      <c r="H18" s="20" t="str">
        <f>IF(Registro_Compras!$R18&lt;&gt;"SI","",Registro_Compras!$S18)</f>
        <v/>
      </c>
      <c r="I18" s="25" t="str">
        <f>IF(Registro_Compras!$R18&lt;&gt;"SI","",IF(Registro_Compras!$Y18="",WORKDAY(EOMONTH(Registro_Compras!$B18,0),5,Feriados),MIN(Registro_Compras!$Y18,WORKDAY(EOMONTH(Registro_Compras!$B18,0),5,Feriados))))</f>
        <v/>
      </c>
      <c r="J18" s="25" t="str">
        <f>IF(Registro_Compras!$R18&lt;&gt;"SI","",Registro_Compras!$X18)</f>
        <v/>
      </c>
      <c r="K18" t="str">
        <f>IF(Registro_Compras!$R18&lt;&gt;"SI","",IF(Registro_Compras!$X18="","PENDIENTE","DEPOSITADA"))</f>
        <v/>
      </c>
      <c r="L18" t="str">
        <f>IF(Registro_Compras!$R18&lt;&gt;"SI","",Registro_Compras!$Z18)</f>
        <v/>
      </c>
      <c r="M18" t="str">
        <f t="shared" ca="1" si="0"/>
        <v/>
      </c>
      <c r="N18" t="str">
        <f t="shared" ca="1" si="1"/>
        <v/>
      </c>
      <c r="P18" s="25"/>
    </row>
    <row r="19" spans="1:16" x14ac:dyDescent="0.25">
      <c r="A19" s="25" t="str">
        <f>IF(Registro_Compras!$R19&lt;&gt;"SI","",Registro_Compras!$B19)</f>
        <v/>
      </c>
      <c r="B19" t="str">
        <f>IF(Registro_Compras!$R19&lt;&gt;"SI","",Registro_Compras!$C19)</f>
        <v/>
      </c>
      <c r="C19" t="str">
        <f>IF(Registro_Compras!$R19&lt;&gt;"SI","",Registro_Compras!$D19)</f>
        <v/>
      </c>
      <c r="D19" t="str">
        <f>IF(Registro_Compras!$R19&lt;&gt;"SI","",Registro_Compras!$E19)</f>
        <v/>
      </c>
      <c r="E19" t="str">
        <f>IF(Registro_Compras!$R19&lt;&gt;"SI","",Registro_Compras!$G19)</f>
        <v/>
      </c>
      <c r="F19" s="31" t="str">
        <f>IF(Registro_Compras!$R19&lt;&gt;"SI","",Registro_Compras!$P19)</f>
        <v/>
      </c>
      <c r="G19" s="20" t="str">
        <f>IF(Registro_Compras!$R19&lt;&gt;"SI","",Registro_Compras!$O19)</f>
        <v/>
      </c>
      <c r="H19" s="20" t="str">
        <f>IF(Registro_Compras!$R19&lt;&gt;"SI","",Registro_Compras!$S19)</f>
        <v/>
      </c>
      <c r="I19" s="25" t="str">
        <f>IF(Registro_Compras!$R19&lt;&gt;"SI","",IF(Registro_Compras!$Y19="",WORKDAY(EOMONTH(Registro_Compras!$B19,0),5,Feriados),MIN(Registro_Compras!$Y19,WORKDAY(EOMONTH(Registro_Compras!$B19,0),5,Feriados))))</f>
        <v/>
      </c>
      <c r="J19" s="25" t="str">
        <f>IF(Registro_Compras!$R19&lt;&gt;"SI","",Registro_Compras!$X19)</f>
        <v/>
      </c>
      <c r="K19" t="str">
        <f>IF(Registro_Compras!$R19&lt;&gt;"SI","",IF(Registro_Compras!$X19="","PENDIENTE","DEPOSITADA"))</f>
        <v/>
      </c>
      <c r="L19" t="str">
        <f>IF(Registro_Compras!$R19&lt;&gt;"SI","",Registro_Compras!$Z19)</f>
        <v/>
      </c>
      <c r="M19" t="str">
        <f t="shared" ca="1" si="0"/>
        <v/>
      </c>
      <c r="N19" t="str">
        <f t="shared" ca="1" si="1"/>
        <v/>
      </c>
      <c r="P19" s="25"/>
    </row>
    <row r="20" spans="1:16" x14ac:dyDescent="0.25">
      <c r="A20" s="25" t="str">
        <f>IF(Registro_Compras!$R20&lt;&gt;"SI","",Registro_Compras!$B20)</f>
        <v/>
      </c>
      <c r="B20" t="str">
        <f>IF(Registro_Compras!$R20&lt;&gt;"SI","",Registro_Compras!$C20)</f>
        <v/>
      </c>
      <c r="C20" t="str">
        <f>IF(Registro_Compras!$R20&lt;&gt;"SI","",Registro_Compras!$D20)</f>
        <v/>
      </c>
      <c r="D20" t="str">
        <f>IF(Registro_Compras!$R20&lt;&gt;"SI","",Registro_Compras!$E20)</f>
        <v/>
      </c>
      <c r="E20" t="str">
        <f>IF(Registro_Compras!$R20&lt;&gt;"SI","",Registro_Compras!$G20)</f>
        <v/>
      </c>
      <c r="F20" s="31" t="str">
        <f>IF(Registro_Compras!$R20&lt;&gt;"SI","",Registro_Compras!$P20)</f>
        <v/>
      </c>
      <c r="G20" s="20" t="str">
        <f>IF(Registro_Compras!$R20&lt;&gt;"SI","",Registro_Compras!$O20)</f>
        <v/>
      </c>
      <c r="H20" s="20" t="str">
        <f>IF(Registro_Compras!$R20&lt;&gt;"SI","",Registro_Compras!$S20)</f>
        <v/>
      </c>
      <c r="I20" s="25" t="str">
        <f>IF(Registro_Compras!$R20&lt;&gt;"SI","",IF(Registro_Compras!$Y20="",WORKDAY(EOMONTH(Registro_Compras!$B20,0),5,Feriados),MIN(Registro_Compras!$Y20,WORKDAY(EOMONTH(Registro_Compras!$B20,0),5,Feriados))))</f>
        <v/>
      </c>
      <c r="J20" s="25" t="str">
        <f>IF(Registro_Compras!$R20&lt;&gt;"SI","",Registro_Compras!$X20)</f>
        <v/>
      </c>
      <c r="K20" t="str">
        <f>IF(Registro_Compras!$R20&lt;&gt;"SI","",IF(Registro_Compras!$X20="","PENDIENTE","DEPOSITADA"))</f>
        <v/>
      </c>
      <c r="L20" t="str">
        <f>IF(Registro_Compras!$R20&lt;&gt;"SI","",Registro_Compras!$Z20)</f>
        <v/>
      </c>
      <c r="M20" t="str">
        <f t="shared" ca="1" si="0"/>
        <v/>
      </c>
      <c r="N20" t="str">
        <f t="shared" ca="1" si="1"/>
        <v/>
      </c>
      <c r="P20" s="25"/>
    </row>
    <row r="21" spans="1:16" x14ac:dyDescent="0.25">
      <c r="A21" s="25">
        <f>IF(Registro_Compras!$R21&lt;&gt;"SI","",Registro_Compras!$B21)</f>
        <v>46238</v>
      </c>
      <c r="B21" t="str">
        <f>IF(Registro_Compras!$R21&lt;&gt;"SI","",Registro_Compras!$C21)</f>
        <v>E001-1678</v>
      </c>
      <c r="C21" t="str">
        <f>IF(Registro_Compras!$R21&lt;&gt;"SI","",Registro_Compras!$D21)</f>
        <v>20602511007</v>
      </c>
      <c r="D21" t="str">
        <f>IF(Registro_Compras!$R21&lt;&gt;"SI","",Registro_Compras!$E21)</f>
        <v>INVERSIONES FENIX TOURS E.I.R.L.</v>
      </c>
      <c r="E21" t="str">
        <f>IF(Registro_Compras!$R21&lt;&gt;"SI","",Registro_Compras!$G21)</f>
        <v>026</v>
      </c>
      <c r="F21" s="31">
        <f>IF(Registro_Compras!$R21&lt;&gt;"SI","",Registro_Compras!$P21)</f>
        <v>0.1</v>
      </c>
      <c r="G21" s="20">
        <f>IF(Registro_Compras!$R21&lt;&gt;"SI","",Registro_Compras!$O21)</f>
        <v>1132.8599999999999</v>
      </c>
      <c r="H21" s="20">
        <f>IF(Registro_Compras!$R21&lt;&gt;"SI","",Registro_Compras!$S21)</f>
        <v>113.29</v>
      </c>
      <c r="I21" s="25">
        <f>IF(Registro_Compras!$R21&lt;&gt;"SI","",IF(Registro_Compras!$Y21="",WORKDAY(EOMONTH(Registro_Compras!$B21,0),5,Feriados),MIN(Registro_Compras!$Y21,WORKDAY(EOMONTH(Registro_Compras!$B21,0),5,Feriados))))</f>
        <v>46272</v>
      </c>
      <c r="J21" s="25">
        <f>IF(Registro_Compras!$R21&lt;&gt;"SI","",Registro_Compras!$X21)</f>
        <v>0</v>
      </c>
      <c r="K21" t="str">
        <f>IF(Registro_Compras!$R21&lt;&gt;"SI","",IF(Registro_Compras!$X21="","PENDIENTE","DEPOSITADA"))</f>
        <v>PENDIENTE</v>
      </c>
      <c r="L21">
        <f>IF(Registro_Compras!$R21&lt;&gt;"SI","",Registro_Compras!$Z21)</f>
        <v>0</v>
      </c>
      <c r="M21">
        <f t="shared" ca="1" si="0"/>
        <v>0</v>
      </c>
      <c r="N21" t="str">
        <f t="shared" ca="1" si="1"/>
        <v>EN PLAZO</v>
      </c>
      <c r="P21" s="25"/>
    </row>
    <row r="22" spans="1:16" x14ac:dyDescent="0.25">
      <c r="A22" s="25">
        <f>IF(Registro_Compras!$R22&lt;&gt;"SI","",Registro_Compras!$B22)</f>
        <v>46248</v>
      </c>
      <c r="B22" t="str">
        <f>IF(Registro_Compras!$R22&lt;&gt;"SI","",Registro_Compras!$C22)</f>
        <v>E001-2661</v>
      </c>
      <c r="C22" t="str">
        <f>IF(Registro_Compras!$R22&lt;&gt;"SI","",Registro_Compras!$D22)</f>
        <v>20602860958</v>
      </c>
      <c r="D22" t="str">
        <f>IF(Registro_Compras!$R22&lt;&gt;"SI","",Registro_Compras!$E22)</f>
        <v>J &amp; R TURISMO E.I.R.L.</v>
      </c>
      <c r="E22" t="str">
        <f>IF(Registro_Compras!$R22&lt;&gt;"SI","",Registro_Compras!$G22)</f>
        <v>026</v>
      </c>
      <c r="F22" s="31">
        <f>IF(Registro_Compras!$R22&lt;&gt;"SI","",Registro_Compras!$P22)</f>
        <v>0.1</v>
      </c>
      <c r="G22" s="20">
        <f>IF(Registro_Compras!$R22&lt;&gt;"SI","",Registro_Compras!$O22)</f>
        <v>2625.33</v>
      </c>
      <c r="H22" s="20">
        <f>IF(Registro_Compras!$R22&lt;&gt;"SI","",Registro_Compras!$S22)</f>
        <v>262.52999999999997</v>
      </c>
      <c r="I22" s="25">
        <f>IF(Registro_Compras!$R22&lt;&gt;"SI","",IF(Registro_Compras!$Y22="",WORKDAY(EOMONTH(Registro_Compras!$B22,0),5,Feriados),MIN(Registro_Compras!$Y22,WORKDAY(EOMONTH(Registro_Compras!$B22,0),5,Feriados))))</f>
        <v>46272</v>
      </c>
      <c r="J22" s="25">
        <f>IF(Registro_Compras!$R22&lt;&gt;"SI","",Registro_Compras!$X22)</f>
        <v>0</v>
      </c>
      <c r="K22" t="str">
        <f>IF(Registro_Compras!$R22&lt;&gt;"SI","",IF(Registro_Compras!$X22="","PENDIENTE","DEPOSITADA"))</f>
        <v>PENDIENTE</v>
      </c>
      <c r="L22">
        <f>IF(Registro_Compras!$R22&lt;&gt;"SI","",Registro_Compras!$Z22)</f>
        <v>0</v>
      </c>
      <c r="M22">
        <f t="shared" ca="1" si="0"/>
        <v>0</v>
      </c>
      <c r="N22" t="str">
        <f t="shared" ca="1" si="1"/>
        <v>EN PLAZO</v>
      </c>
      <c r="P22" s="25"/>
    </row>
    <row r="23" spans="1:16" x14ac:dyDescent="0.25">
      <c r="A23" s="25" t="str">
        <f>IF(Registro_Compras!$R23&lt;&gt;"SI","",Registro_Compras!$B23)</f>
        <v/>
      </c>
      <c r="B23" t="str">
        <f>IF(Registro_Compras!$R23&lt;&gt;"SI","",Registro_Compras!$C23)</f>
        <v/>
      </c>
      <c r="C23" t="str">
        <f>IF(Registro_Compras!$R23&lt;&gt;"SI","",Registro_Compras!$D23)</f>
        <v/>
      </c>
      <c r="D23" t="str">
        <f>IF(Registro_Compras!$R23&lt;&gt;"SI","",Registro_Compras!$E23)</f>
        <v/>
      </c>
      <c r="E23" t="str">
        <f>IF(Registro_Compras!$R23&lt;&gt;"SI","",Registro_Compras!$G23)</f>
        <v/>
      </c>
      <c r="F23" s="31" t="str">
        <f>IF(Registro_Compras!$R23&lt;&gt;"SI","",Registro_Compras!$P23)</f>
        <v/>
      </c>
      <c r="G23" s="20" t="str">
        <f>IF(Registro_Compras!$R23&lt;&gt;"SI","",Registro_Compras!$O23)</f>
        <v/>
      </c>
      <c r="H23" s="20" t="str">
        <f>IF(Registro_Compras!$R23&lt;&gt;"SI","",Registro_Compras!$S23)</f>
        <v/>
      </c>
      <c r="I23" s="25" t="str">
        <f>IF(Registro_Compras!$R23&lt;&gt;"SI","",IF(Registro_Compras!$Y23="",WORKDAY(EOMONTH(Registro_Compras!$B23,0),5,Feriados),MIN(Registro_Compras!$Y23,WORKDAY(EOMONTH(Registro_Compras!$B23,0),5,Feriados))))</f>
        <v/>
      </c>
      <c r="J23" s="25" t="str">
        <f>IF(Registro_Compras!$R23&lt;&gt;"SI","",Registro_Compras!$X23)</f>
        <v/>
      </c>
      <c r="K23" t="str">
        <f>IF(Registro_Compras!$R23&lt;&gt;"SI","",IF(Registro_Compras!$X23="","PENDIENTE","DEPOSITADA"))</f>
        <v/>
      </c>
      <c r="L23" t="str">
        <f>IF(Registro_Compras!$R23&lt;&gt;"SI","",Registro_Compras!$Z23)</f>
        <v/>
      </c>
      <c r="M23" t="str">
        <f t="shared" ca="1" si="0"/>
        <v/>
      </c>
      <c r="N23" t="str">
        <f t="shared" ca="1" si="1"/>
        <v/>
      </c>
      <c r="P23" s="25"/>
    </row>
    <row r="24" spans="1:16" x14ac:dyDescent="0.25">
      <c r="A24" s="25" t="str">
        <f>IF(Registro_Compras!$R24&lt;&gt;"SI","",Registro_Compras!$B24)</f>
        <v/>
      </c>
      <c r="B24" t="str">
        <f>IF(Registro_Compras!$R24&lt;&gt;"SI","",Registro_Compras!$C24)</f>
        <v/>
      </c>
      <c r="C24" t="str">
        <f>IF(Registro_Compras!$R24&lt;&gt;"SI","",Registro_Compras!$D24)</f>
        <v/>
      </c>
      <c r="D24" t="str">
        <f>IF(Registro_Compras!$R24&lt;&gt;"SI","",Registro_Compras!$E24)</f>
        <v/>
      </c>
      <c r="E24" t="str">
        <f>IF(Registro_Compras!$R24&lt;&gt;"SI","",Registro_Compras!$G24)</f>
        <v/>
      </c>
      <c r="F24" s="31" t="str">
        <f>IF(Registro_Compras!$R24&lt;&gt;"SI","",Registro_Compras!$P24)</f>
        <v/>
      </c>
      <c r="G24" s="20" t="str">
        <f>IF(Registro_Compras!$R24&lt;&gt;"SI","",Registro_Compras!$O24)</f>
        <v/>
      </c>
      <c r="H24" s="20" t="str">
        <f>IF(Registro_Compras!$R24&lt;&gt;"SI","",Registro_Compras!$S24)</f>
        <v/>
      </c>
      <c r="I24" s="25" t="str">
        <f>IF(Registro_Compras!$R24&lt;&gt;"SI","",IF(Registro_Compras!$Y24="",WORKDAY(EOMONTH(Registro_Compras!$B24,0),5,Feriados),MIN(Registro_Compras!$Y24,WORKDAY(EOMONTH(Registro_Compras!$B24,0),5,Feriados))))</f>
        <v/>
      </c>
      <c r="J24" s="25" t="str">
        <f>IF(Registro_Compras!$R24&lt;&gt;"SI","",Registro_Compras!$X24)</f>
        <v/>
      </c>
      <c r="K24" t="str">
        <f>IF(Registro_Compras!$R24&lt;&gt;"SI","",IF(Registro_Compras!$X24="","PENDIENTE","DEPOSITADA"))</f>
        <v/>
      </c>
      <c r="L24" t="str">
        <f>IF(Registro_Compras!$R24&lt;&gt;"SI","",Registro_Compras!$Z24)</f>
        <v/>
      </c>
      <c r="M24" t="str">
        <f t="shared" ca="1" si="0"/>
        <v/>
      </c>
      <c r="N24" t="str">
        <f t="shared" ca="1" si="1"/>
        <v/>
      </c>
      <c r="P24" s="25"/>
    </row>
    <row r="25" spans="1:16" x14ac:dyDescent="0.25">
      <c r="A25" s="25" t="str">
        <f>IF(Registro_Compras!$R25&lt;&gt;"SI","",Registro_Compras!$B25)</f>
        <v/>
      </c>
      <c r="B25" t="str">
        <f>IF(Registro_Compras!$R25&lt;&gt;"SI","",Registro_Compras!$C25)</f>
        <v/>
      </c>
      <c r="C25" t="str">
        <f>IF(Registro_Compras!$R25&lt;&gt;"SI","",Registro_Compras!$D25)</f>
        <v/>
      </c>
      <c r="D25" t="str">
        <f>IF(Registro_Compras!$R25&lt;&gt;"SI","",Registro_Compras!$E25)</f>
        <v/>
      </c>
      <c r="E25" t="str">
        <f>IF(Registro_Compras!$R25&lt;&gt;"SI","",Registro_Compras!$G25)</f>
        <v/>
      </c>
      <c r="F25" s="31" t="str">
        <f>IF(Registro_Compras!$R25&lt;&gt;"SI","",Registro_Compras!$P25)</f>
        <v/>
      </c>
      <c r="G25" s="20" t="str">
        <f>IF(Registro_Compras!$R25&lt;&gt;"SI","",Registro_Compras!$O25)</f>
        <v/>
      </c>
      <c r="H25" s="20" t="str">
        <f>IF(Registro_Compras!$R25&lt;&gt;"SI","",Registro_Compras!$S25)</f>
        <v/>
      </c>
      <c r="I25" s="25" t="str">
        <f>IF(Registro_Compras!$R25&lt;&gt;"SI","",IF(Registro_Compras!$Y25="",WORKDAY(EOMONTH(Registro_Compras!$B25,0),5,Feriados),MIN(Registro_Compras!$Y25,WORKDAY(EOMONTH(Registro_Compras!$B25,0),5,Feriados))))</f>
        <v/>
      </c>
      <c r="J25" s="25" t="str">
        <f>IF(Registro_Compras!$R25&lt;&gt;"SI","",Registro_Compras!$X25)</f>
        <v/>
      </c>
      <c r="K25" t="str">
        <f>IF(Registro_Compras!$R25&lt;&gt;"SI","",IF(Registro_Compras!$X25="","PENDIENTE","DEPOSITADA"))</f>
        <v/>
      </c>
      <c r="L25" t="str">
        <f>IF(Registro_Compras!$R25&lt;&gt;"SI","",Registro_Compras!$Z25)</f>
        <v/>
      </c>
      <c r="M25" t="str">
        <f t="shared" ca="1" si="0"/>
        <v/>
      </c>
      <c r="N25" t="str">
        <f t="shared" ca="1" si="1"/>
        <v/>
      </c>
      <c r="P25" s="25"/>
    </row>
    <row r="26" spans="1:16" x14ac:dyDescent="0.25">
      <c r="A26" s="25" t="str">
        <f>IF(Registro_Compras!$R26&lt;&gt;"SI","",Registro_Compras!$B26)</f>
        <v/>
      </c>
      <c r="B26" t="str">
        <f>IF(Registro_Compras!$R26&lt;&gt;"SI","",Registro_Compras!$C26)</f>
        <v/>
      </c>
      <c r="C26" t="str">
        <f>IF(Registro_Compras!$R26&lt;&gt;"SI","",Registro_Compras!$D26)</f>
        <v/>
      </c>
      <c r="D26" t="str">
        <f>IF(Registro_Compras!$R26&lt;&gt;"SI","",Registro_Compras!$E26)</f>
        <v/>
      </c>
      <c r="E26" t="str">
        <f>IF(Registro_Compras!$R26&lt;&gt;"SI","",Registro_Compras!$G26)</f>
        <v/>
      </c>
      <c r="F26" s="31" t="str">
        <f>IF(Registro_Compras!$R26&lt;&gt;"SI","",Registro_Compras!$P26)</f>
        <v/>
      </c>
      <c r="G26" s="20" t="str">
        <f>IF(Registro_Compras!$R26&lt;&gt;"SI","",Registro_Compras!$O26)</f>
        <v/>
      </c>
      <c r="H26" s="20" t="str">
        <f>IF(Registro_Compras!$R26&lt;&gt;"SI","",Registro_Compras!$S26)</f>
        <v/>
      </c>
      <c r="I26" s="25" t="str">
        <f>IF(Registro_Compras!$R26&lt;&gt;"SI","",IF(Registro_Compras!$Y26="",WORKDAY(EOMONTH(Registro_Compras!$B26,0),5,Feriados),MIN(Registro_Compras!$Y26,WORKDAY(EOMONTH(Registro_Compras!$B26,0),5,Feriados))))</f>
        <v/>
      </c>
      <c r="J26" s="25" t="str">
        <f>IF(Registro_Compras!$R26&lt;&gt;"SI","",Registro_Compras!$X26)</f>
        <v/>
      </c>
      <c r="K26" t="str">
        <f>IF(Registro_Compras!$R26&lt;&gt;"SI","",IF(Registro_Compras!$X26="","PENDIENTE","DEPOSITADA"))</f>
        <v/>
      </c>
      <c r="L26" t="str">
        <f>IF(Registro_Compras!$R26&lt;&gt;"SI","",Registro_Compras!$Z26)</f>
        <v/>
      </c>
      <c r="M26" t="str">
        <f t="shared" ca="1" si="0"/>
        <v/>
      </c>
      <c r="N26" t="str">
        <f t="shared" ca="1" si="1"/>
        <v/>
      </c>
      <c r="P26" s="25"/>
    </row>
    <row r="27" spans="1:16" x14ac:dyDescent="0.25">
      <c r="A27" s="25">
        <f>IF(Registro_Compras!$R27&lt;&gt;"SI","",Registro_Compras!$B27)</f>
        <v>46242</v>
      </c>
      <c r="B27" t="str">
        <f>IF(Registro_Compras!$R27&lt;&gt;"SI","",Registro_Compras!$C27)</f>
        <v>E001-1230</v>
      </c>
      <c r="C27" t="str">
        <f>IF(Registro_Compras!$R27&lt;&gt;"SI","",Registro_Compras!$D27)</f>
        <v>20600179005</v>
      </c>
      <c r="D27" t="str">
        <f>IF(Registro_Compras!$R27&lt;&gt;"SI","",Registro_Compras!$E27)</f>
        <v>TRANSPORTES TURISTICOS LASER S.A.C.</v>
      </c>
      <c r="E27" t="str">
        <f>IF(Registro_Compras!$R27&lt;&gt;"SI","",Registro_Compras!$G27)</f>
        <v>026</v>
      </c>
      <c r="F27" s="31">
        <f>IF(Registro_Compras!$R27&lt;&gt;"SI","",Registro_Compras!$P27)</f>
        <v>0.1</v>
      </c>
      <c r="G27" s="20">
        <f>IF(Registro_Compras!$R27&lt;&gt;"SI","",Registro_Compras!$O27)</f>
        <v>5077.1900000000005</v>
      </c>
      <c r="H27" s="20">
        <f>IF(Registro_Compras!$R27&lt;&gt;"SI","",Registro_Compras!$S27)</f>
        <v>507.72</v>
      </c>
      <c r="I27" s="25">
        <f>IF(Registro_Compras!$R27&lt;&gt;"SI","",IF(Registro_Compras!$Y27="",WORKDAY(EOMONTH(Registro_Compras!$B27,0),5,Feriados),MIN(Registro_Compras!$Y27,WORKDAY(EOMONTH(Registro_Compras!$B27,0),5,Feriados))))</f>
        <v>46272</v>
      </c>
      <c r="J27" s="25">
        <f>IF(Registro_Compras!$R27&lt;&gt;"SI","",Registro_Compras!$X27)</f>
        <v>0</v>
      </c>
      <c r="K27" t="str">
        <f>IF(Registro_Compras!$R27&lt;&gt;"SI","",IF(Registro_Compras!$X27="","PENDIENTE","DEPOSITADA"))</f>
        <v>PENDIENTE</v>
      </c>
      <c r="L27">
        <f>IF(Registro_Compras!$R27&lt;&gt;"SI","",Registro_Compras!$Z27)</f>
        <v>0</v>
      </c>
      <c r="M27">
        <f t="shared" ca="1" si="0"/>
        <v>0</v>
      </c>
      <c r="N27" t="str">
        <f t="shared" ca="1" si="1"/>
        <v>EN PLAZO</v>
      </c>
      <c r="P27" s="25"/>
    </row>
    <row r="28" spans="1:16" x14ac:dyDescent="0.25">
      <c r="A28" s="25">
        <f>IF(Registro_Compras!$R28&lt;&gt;"SI","",Registro_Compras!$B28)</f>
        <v>46242</v>
      </c>
      <c r="B28" t="str">
        <f>IF(Registro_Compras!$R28&lt;&gt;"SI","",Registro_Compras!$C28)</f>
        <v>E001-1881</v>
      </c>
      <c r="C28" t="str">
        <f>IF(Registro_Compras!$R28&lt;&gt;"SI","",Registro_Compras!$D28)</f>
        <v>20358309870</v>
      </c>
      <c r="D28" t="str">
        <f>IF(Registro_Compras!$R28&lt;&gt;"SI","",Registro_Compras!$E28)</f>
        <v>CAMPING TOURS E.I.R.LTDA</v>
      </c>
      <c r="E28" t="str">
        <f>IF(Registro_Compras!$R28&lt;&gt;"SI","",Registro_Compras!$G28)</f>
        <v>037</v>
      </c>
      <c r="F28" s="31">
        <f>IF(Registro_Compras!$R28&lt;&gt;"SI","",Registro_Compras!$P28)</f>
        <v>0.12</v>
      </c>
      <c r="G28" s="20">
        <f>IF(Registro_Compras!$R28&lt;&gt;"SI","",Registro_Compras!$O28)</f>
        <v>990.87</v>
      </c>
      <c r="H28" s="20">
        <f>IF(Registro_Compras!$R28&lt;&gt;"SI","",Registro_Compras!$S28)</f>
        <v>118.9</v>
      </c>
      <c r="I28" s="25">
        <f>IF(Registro_Compras!$R28&lt;&gt;"SI","",IF(Registro_Compras!$Y28="",WORKDAY(EOMONTH(Registro_Compras!$B28,0),5,Feriados),MIN(Registro_Compras!$Y28,WORKDAY(EOMONTH(Registro_Compras!$B28,0),5,Feriados))))</f>
        <v>46272</v>
      </c>
      <c r="J28" s="25">
        <f>IF(Registro_Compras!$R28&lt;&gt;"SI","",Registro_Compras!$X28)</f>
        <v>0</v>
      </c>
      <c r="K28" t="str">
        <f>IF(Registro_Compras!$R28&lt;&gt;"SI","",IF(Registro_Compras!$X28="","PENDIENTE","DEPOSITADA"))</f>
        <v>PENDIENTE</v>
      </c>
      <c r="L28">
        <f>IF(Registro_Compras!$R28&lt;&gt;"SI","",Registro_Compras!$Z28)</f>
        <v>0</v>
      </c>
      <c r="M28">
        <f t="shared" ca="1" si="0"/>
        <v>0</v>
      </c>
      <c r="N28" t="str">
        <f t="shared" ca="1" si="1"/>
        <v>EN PLAZO</v>
      </c>
      <c r="P28" s="25"/>
    </row>
    <row r="29" spans="1:16" x14ac:dyDescent="0.25">
      <c r="A29" s="25" t="str">
        <f>IF(Registro_Compras!$R29&lt;&gt;"SI","",Registro_Compras!$B29)</f>
        <v/>
      </c>
      <c r="B29" t="str">
        <f>IF(Registro_Compras!$R29&lt;&gt;"SI","",Registro_Compras!$C29)</f>
        <v/>
      </c>
      <c r="C29" t="str">
        <f>IF(Registro_Compras!$R29&lt;&gt;"SI","",Registro_Compras!$D29)</f>
        <v/>
      </c>
      <c r="D29" t="str">
        <f>IF(Registro_Compras!$R29&lt;&gt;"SI","",Registro_Compras!$E29)</f>
        <v/>
      </c>
      <c r="E29" t="str">
        <f>IF(Registro_Compras!$R29&lt;&gt;"SI","",Registro_Compras!$G29)</f>
        <v/>
      </c>
      <c r="F29" s="31" t="str">
        <f>IF(Registro_Compras!$R29&lt;&gt;"SI","",Registro_Compras!$P29)</f>
        <v/>
      </c>
      <c r="G29" s="20" t="str">
        <f>IF(Registro_Compras!$R29&lt;&gt;"SI","",Registro_Compras!$O29)</f>
        <v/>
      </c>
      <c r="H29" s="20" t="str">
        <f>IF(Registro_Compras!$R29&lt;&gt;"SI","",Registro_Compras!$S29)</f>
        <v/>
      </c>
      <c r="I29" s="25" t="str">
        <f>IF(Registro_Compras!$R29&lt;&gt;"SI","",IF(Registro_Compras!$Y29="",WORKDAY(EOMONTH(Registro_Compras!$B29,0),5,Feriados),MIN(Registro_Compras!$Y29,WORKDAY(EOMONTH(Registro_Compras!$B29,0),5,Feriados))))</f>
        <v/>
      </c>
      <c r="J29" s="25" t="str">
        <f>IF(Registro_Compras!$R29&lt;&gt;"SI","",Registro_Compras!$X29)</f>
        <v/>
      </c>
      <c r="K29" t="str">
        <f>IF(Registro_Compras!$R29&lt;&gt;"SI","",IF(Registro_Compras!$X29="","PENDIENTE","DEPOSITADA"))</f>
        <v/>
      </c>
      <c r="L29" t="str">
        <f>IF(Registro_Compras!$R29&lt;&gt;"SI","",Registro_Compras!$Z29)</f>
        <v/>
      </c>
      <c r="M29" t="str">
        <f t="shared" ca="1" si="0"/>
        <v/>
      </c>
      <c r="N29" t="str">
        <f t="shared" ca="1" si="1"/>
        <v/>
      </c>
      <c r="P29" s="25"/>
    </row>
    <row r="30" spans="1:16" x14ac:dyDescent="0.25">
      <c r="A30" s="25" t="str">
        <f>IF(Registro_Compras!$R30&lt;&gt;"SI","",Registro_Compras!$B30)</f>
        <v/>
      </c>
      <c r="B30" t="str">
        <f>IF(Registro_Compras!$R30&lt;&gt;"SI","",Registro_Compras!$C30)</f>
        <v/>
      </c>
      <c r="C30" t="str">
        <f>IF(Registro_Compras!$R30&lt;&gt;"SI","",Registro_Compras!$D30)</f>
        <v/>
      </c>
      <c r="D30" t="str">
        <f>IF(Registro_Compras!$R30&lt;&gt;"SI","",Registro_Compras!$E30)</f>
        <v/>
      </c>
      <c r="E30" t="str">
        <f>IF(Registro_Compras!$R30&lt;&gt;"SI","",Registro_Compras!$G30)</f>
        <v/>
      </c>
      <c r="F30" s="31" t="str">
        <f>IF(Registro_Compras!$R30&lt;&gt;"SI","",Registro_Compras!$P30)</f>
        <v/>
      </c>
      <c r="G30" s="20" t="str">
        <f>IF(Registro_Compras!$R30&lt;&gt;"SI","",Registro_Compras!$O30)</f>
        <v/>
      </c>
      <c r="H30" s="20" t="str">
        <f>IF(Registro_Compras!$R30&lt;&gt;"SI","",Registro_Compras!$S30)</f>
        <v/>
      </c>
      <c r="I30" s="25" t="str">
        <f>IF(Registro_Compras!$R30&lt;&gt;"SI","",IF(Registro_Compras!$Y30="",WORKDAY(EOMONTH(Registro_Compras!$B30,0),5,Feriados),MIN(Registro_Compras!$Y30,WORKDAY(EOMONTH(Registro_Compras!$B30,0),5,Feriados))))</f>
        <v/>
      </c>
      <c r="J30" s="25" t="str">
        <f>IF(Registro_Compras!$R30&lt;&gt;"SI","",Registro_Compras!$X30)</f>
        <v/>
      </c>
      <c r="K30" t="str">
        <f>IF(Registro_Compras!$R30&lt;&gt;"SI","",IF(Registro_Compras!$X30="","PENDIENTE","DEPOSITADA"))</f>
        <v/>
      </c>
      <c r="L30" t="str">
        <f>IF(Registro_Compras!$R30&lt;&gt;"SI","",Registro_Compras!$Z30)</f>
        <v/>
      </c>
      <c r="M30" t="str">
        <f t="shared" ca="1" si="0"/>
        <v/>
      </c>
      <c r="N30" t="str">
        <f t="shared" ca="1" si="1"/>
        <v/>
      </c>
      <c r="P30" s="25"/>
    </row>
    <row r="31" spans="1:16" x14ac:dyDescent="0.25">
      <c r="A31" s="25" t="str">
        <f>IF(Registro_Compras!$R31&lt;&gt;"SI","",Registro_Compras!$B31)</f>
        <v/>
      </c>
      <c r="B31" t="str">
        <f>IF(Registro_Compras!$R31&lt;&gt;"SI","",Registro_Compras!$C31)</f>
        <v/>
      </c>
      <c r="C31" t="str">
        <f>IF(Registro_Compras!$R31&lt;&gt;"SI","",Registro_Compras!$D31)</f>
        <v/>
      </c>
      <c r="D31" t="str">
        <f>IF(Registro_Compras!$R31&lt;&gt;"SI","",Registro_Compras!$E31)</f>
        <v/>
      </c>
      <c r="E31" t="str">
        <f>IF(Registro_Compras!$R31&lt;&gt;"SI","",Registro_Compras!$G31)</f>
        <v/>
      </c>
      <c r="F31" s="31" t="str">
        <f>IF(Registro_Compras!$R31&lt;&gt;"SI","",Registro_Compras!$P31)</f>
        <v/>
      </c>
      <c r="G31" s="20" t="str">
        <f>IF(Registro_Compras!$R31&lt;&gt;"SI","",Registro_Compras!$O31)</f>
        <v/>
      </c>
      <c r="H31" s="20" t="str">
        <f>IF(Registro_Compras!$R31&lt;&gt;"SI","",Registro_Compras!$S31)</f>
        <v/>
      </c>
      <c r="I31" s="25" t="str">
        <f>IF(Registro_Compras!$R31&lt;&gt;"SI","",IF(Registro_Compras!$Y31="",WORKDAY(EOMONTH(Registro_Compras!$B31,0),5,Feriados),MIN(Registro_Compras!$Y31,WORKDAY(EOMONTH(Registro_Compras!$B31,0),5,Feriados))))</f>
        <v/>
      </c>
      <c r="J31" s="25" t="str">
        <f>IF(Registro_Compras!$R31&lt;&gt;"SI","",Registro_Compras!$X31)</f>
        <v/>
      </c>
      <c r="K31" t="str">
        <f>IF(Registro_Compras!$R31&lt;&gt;"SI","",IF(Registro_Compras!$X31="","PENDIENTE","DEPOSITADA"))</f>
        <v/>
      </c>
      <c r="L31" t="str">
        <f>IF(Registro_Compras!$R31&lt;&gt;"SI","",Registro_Compras!$Z31)</f>
        <v/>
      </c>
      <c r="M31" t="str">
        <f t="shared" ca="1" si="0"/>
        <v/>
      </c>
      <c r="N31" t="str">
        <f t="shared" ca="1" si="1"/>
        <v/>
      </c>
      <c r="P31" s="25"/>
    </row>
    <row r="32" spans="1:16" x14ac:dyDescent="0.25">
      <c r="A32" s="25" t="str">
        <f>IF(Registro_Compras!$R32&lt;&gt;"SI","",Registro_Compras!$B32)</f>
        <v/>
      </c>
      <c r="B32" t="str">
        <f>IF(Registro_Compras!$R32&lt;&gt;"SI","",Registro_Compras!$C32)</f>
        <v/>
      </c>
      <c r="C32" t="str">
        <f>IF(Registro_Compras!$R32&lt;&gt;"SI","",Registro_Compras!$D32)</f>
        <v/>
      </c>
      <c r="D32" t="str">
        <f>IF(Registro_Compras!$R32&lt;&gt;"SI","",Registro_Compras!$E32)</f>
        <v/>
      </c>
      <c r="E32" t="str">
        <f>IF(Registro_Compras!$R32&lt;&gt;"SI","",Registro_Compras!$G32)</f>
        <v/>
      </c>
      <c r="F32" s="31" t="str">
        <f>IF(Registro_Compras!$R32&lt;&gt;"SI","",Registro_Compras!$P32)</f>
        <v/>
      </c>
      <c r="G32" s="20" t="str">
        <f>IF(Registro_Compras!$R32&lt;&gt;"SI","",Registro_Compras!$O32)</f>
        <v/>
      </c>
      <c r="H32" s="20" t="str">
        <f>IF(Registro_Compras!$R32&lt;&gt;"SI","",Registro_Compras!$S32)</f>
        <v/>
      </c>
      <c r="I32" s="25" t="str">
        <f>IF(Registro_Compras!$R32&lt;&gt;"SI","",IF(Registro_Compras!$Y32="",WORKDAY(EOMONTH(Registro_Compras!$B32,0),5,Feriados),MIN(Registro_Compras!$Y32,WORKDAY(EOMONTH(Registro_Compras!$B32,0),5,Feriados))))</f>
        <v/>
      </c>
      <c r="J32" s="25" t="str">
        <f>IF(Registro_Compras!$R32&lt;&gt;"SI","",Registro_Compras!$X32)</f>
        <v/>
      </c>
      <c r="K32" t="str">
        <f>IF(Registro_Compras!$R32&lt;&gt;"SI","",IF(Registro_Compras!$X32="","PENDIENTE","DEPOSITADA"))</f>
        <v/>
      </c>
      <c r="L32" t="str">
        <f>IF(Registro_Compras!$R32&lt;&gt;"SI","",Registro_Compras!$Z32)</f>
        <v/>
      </c>
      <c r="M32" t="str">
        <f t="shared" ca="1" si="0"/>
        <v/>
      </c>
      <c r="N32" t="str">
        <f t="shared" ca="1" si="1"/>
        <v/>
      </c>
      <c r="P32" s="25"/>
    </row>
    <row r="33" spans="1:16" x14ac:dyDescent="0.25">
      <c r="A33" s="25" t="str">
        <f>IF(Registro_Compras!$R33&lt;&gt;"SI","",Registro_Compras!$B33)</f>
        <v/>
      </c>
      <c r="B33" t="str">
        <f>IF(Registro_Compras!$R33&lt;&gt;"SI","",Registro_Compras!$C33)</f>
        <v/>
      </c>
      <c r="C33" t="str">
        <f>IF(Registro_Compras!$R33&lt;&gt;"SI","",Registro_Compras!$D33)</f>
        <v/>
      </c>
      <c r="D33" t="str">
        <f>IF(Registro_Compras!$R33&lt;&gt;"SI","",Registro_Compras!$E33)</f>
        <v/>
      </c>
      <c r="E33" t="str">
        <f>IF(Registro_Compras!$R33&lt;&gt;"SI","",Registro_Compras!$G33)</f>
        <v/>
      </c>
      <c r="F33" s="31" t="str">
        <f>IF(Registro_Compras!$R33&lt;&gt;"SI","",Registro_Compras!$P33)</f>
        <v/>
      </c>
      <c r="G33" s="20" t="str">
        <f>IF(Registro_Compras!$R33&lt;&gt;"SI","",Registro_Compras!$O33)</f>
        <v/>
      </c>
      <c r="H33" s="20" t="str">
        <f>IF(Registro_Compras!$R33&lt;&gt;"SI","",Registro_Compras!$S33)</f>
        <v/>
      </c>
      <c r="I33" s="25" t="str">
        <f>IF(Registro_Compras!$R33&lt;&gt;"SI","",IF(Registro_Compras!$Y33="",WORKDAY(EOMONTH(Registro_Compras!$B33,0),5,Feriados),MIN(Registro_Compras!$Y33,WORKDAY(EOMONTH(Registro_Compras!$B33,0),5,Feriados))))</f>
        <v/>
      </c>
      <c r="J33" s="25" t="str">
        <f>IF(Registro_Compras!$R33&lt;&gt;"SI","",Registro_Compras!$X33)</f>
        <v/>
      </c>
      <c r="K33" t="str">
        <f>IF(Registro_Compras!$R33&lt;&gt;"SI","",IF(Registro_Compras!$X33="","PENDIENTE","DEPOSITADA"))</f>
        <v/>
      </c>
      <c r="L33" t="str">
        <f>IF(Registro_Compras!$R33&lt;&gt;"SI","",Registro_Compras!$Z33)</f>
        <v/>
      </c>
      <c r="M33" t="str">
        <f t="shared" ca="1" si="0"/>
        <v/>
      </c>
      <c r="N33" t="str">
        <f t="shared" ca="1" si="1"/>
        <v/>
      </c>
      <c r="P33" s="25"/>
    </row>
    <row r="34" spans="1:16" x14ac:dyDescent="0.25">
      <c r="A34" s="25" t="str">
        <f>IF(Registro_Compras!$R34&lt;&gt;"SI","",Registro_Compras!$B34)</f>
        <v/>
      </c>
      <c r="B34" t="str">
        <f>IF(Registro_Compras!$R34&lt;&gt;"SI","",Registro_Compras!$C34)</f>
        <v/>
      </c>
      <c r="C34" t="str">
        <f>IF(Registro_Compras!$R34&lt;&gt;"SI","",Registro_Compras!$D34)</f>
        <v/>
      </c>
      <c r="D34" t="str">
        <f>IF(Registro_Compras!$R34&lt;&gt;"SI","",Registro_Compras!$E34)</f>
        <v/>
      </c>
      <c r="E34" t="str">
        <f>IF(Registro_Compras!$R34&lt;&gt;"SI","",Registro_Compras!$G34)</f>
        <v/>
      </c>
      <c r="F34" s="31" t="str">
        <f>IF(Registro_Compras!$R34&lt;&gt;"SI","",Registro_Compras!$P34)</f>
        <v/>
      </c>
      <c r="G34" s="20" t="str">
        <f>IF(Registro_Compras!$R34&lt;&gt;"SI","",Registro_Compras!$O34)</f>
        <v/>
      </c>
      <c r="H34" s="20" t="str">
        <f>IF(Registro_Compras!$R34&lt;&gt;"SI","",Registro_Compras!$S34)</f>
        <v/>
      </c>
      <c r="I34" s="25" t="str">
        <f>IF(Registro_Compras!$R34&lt;&gt;"SI","",IF(Registro_Compras!$Y34="",WORKDAY(EOMONTH(Registro_Compras!$B34,0),5,Feriados),MIN(Registro_Compras!$Y34,WORKDAY(EOMONTH(Registro_Compras!$B34,0),5,Feriados))))</f>
        <v/>
      </c>
      <c r="J34" s="25" t="str">
        <f>IF(Registro_Compras!$R34&lt;&gt;"SI","",Registro_Compras!$X34)</f>
        <v/>
      </c>
      <c r="K34" t="str">
        <f>IF(Registro_Compras!$R34&lt;&gt;"SI","",IF(Registro_Compras!$X34="","PENDIENTE","DEPOSITADA"))</f>
        <v/>
      </c>
      <c r="L34" t="str">
        <f>IF(Registro_Compras!$R34&lt;&gt;"SI","",Registro_Compras!$Z34)</f>
        <v/>
      </c>
      <c r="M34" t="str">
        <f t="shared" ca="1" si="0"/>
        <v/>
      </c>
      <c r="N34" t="str">
        <f t="shared" ca="1" si="1"/>
        <v/>
      </c>
      <c r="P34" s="25"/>
    </row>
    <row r="35" spans="1:16" x14ac:dyDescent="0.25">
      <c r="A35" s="25" t="str">
        <f>IF(Registro_Compras!$R35&lt;&gt;"SI","",Registro_Compras!$B35)</f>
        <v/>
      </c>
      <c r="B35" t="str">
        <f>IF(Registro_Compras!$R35&lt;&gt;"SI","",Registro_Compras!$C35)</f>
        <v/>
      </c>
      <c r="C35" t="str">
        <f>IF(Registro_Compras!$R35&lt;&gt;"SI","",Registro_Compras!$D35)</f>
        <v/>
      </c>
      <c r="D35" t="str">
        <f>IF(Registro_Compras!$R35&lt;&gt;"SI","",Registro_Compras!$E35)</f>
        <v/>
      </c>
      <c r="E35" t="str">
        <f>IF(Registro_Compras!$R35&lt;&gt;"SI","",Registro_Compras!$G35)</f>
        <v/>
      </c>
      <c r="F35" s="31" t="str">
        <f>IF(Registro_Compras!$R35&lt;&gt;"SI","",Registro_Compras!$P35)</f>
        <v/>
      </c>
      <c r="G35" s="20" t="str">
        <f>IF(Registro_Compras!$R35&lt;&gt;"SI","",Registro_Compras!$O35)</f>
        <v/>
      </c>
      <c r="H35" s="20" t="str">
        <f>IF(Registro_Compras!$R35&lt;&gt;"SI","",Registro_Compras!$S35)</f>
        <v/>
      </c>
      <c r="I35" s="25" t="str">
        <f>IF(Registro_Compras!$R35&lt;&gt;"SI","",IF(Registro_Compras!$Y35="",WORKDAY(EOMONTH(Registro_Compras!$B35,0),5,Feriados),MIN(Registro_Compras!$Y35,WORKDAY(EOMONTH(Registro_Compras!$B35,0),5,Feriados))))</f>
        <v/>
      </c>
      <c r="J35" s="25" t="str">
        <f>IF(Registro_Compras!$R35&lt;&gt;"SI","",Registro_Compras!$X35)</f>
        <v/>
      </c>
      <c r="K35" t="str">
        <f>IF(Registro_Compras!$R35&lt;&gt;"SI","",IF(Registro_Compras!$X35="","PENDIENTE","DEPOSITADA"))</f>
        <v/>
      </c>
      <c r="L35" t="str">
        <f>IF(Registro_Compras!$R35&lt;&gt;"SI","",Registro_Compras!$Z35)</f>
        <v/>
      </c>
      <c r="M35" t="str">
        <f t="shared" ca="1" si="0"/>
        <v/>
      </c>
      <c r="N35" t="str">
        <f t="shared" ca="1" si="1"/>
        <v/>
      </c>
      <c r="P35" s="25"/>
    </row>
    <row r="36" spans="1:16" x14ac:dyDescent="0.25">
      <c r="A36" s="25" t="str">
        <f>IF(Registro_Compras!$R36&lt;&gt;"SI","",Registro_Compras!$B36)</f>
        <v/>
      </c>
      <c r="B36" t="str">
        <f>IF(Registro_Compras!$R36&lt;&gt;"SI","",Registro_Compras!$C36)</f>
        <v/>
      </c>
      <c r="C36" t="str">
        <f>IF(Registro_Compras!$R36&lt;&gt;"SI","",Registro_Compras!$D36)</f>
        <v/>
      </c>
      <c r="D36" t="str">
        <f>IF(Registro_Compras!$R36&lt;&gt;"SI","",Registro_Compras!$E36)</f>
        <v/>
      </c>
      <c r="E36" t="str">
        <f>IF(Registro_Compras!$R36&lt;&gt;"SI","",Registro_Compras!$G36)</f>
        <v/>
      </c>
      <c r="F36" s="31" t="str">
        <f>IF(Registro_Compras!$R36&lt;&gt;"SI","",Registro_Compras!$P36)</f>
        <v/>
      </c>
      <c r="G36" s="20" t="str">
        <f>IF(Registro_Compras!$R36&lt;&gt;"SI","",Registro_Compras!$O36)</f>
        <v/>
      </c>
      <c r="H36" s="20" t="str">
        <f>IF(Registro_Compras!$R36&lt;&gt;"SI","",Registro_Compras!$S36)</f>
        <v/>
      </c>
      <c r="I36" s="25" t="str">
        <f>IF(Registro_Compras!$R36&lt;&gt;"SI","",IF(Registro_Compras!$Y36="",WORKDAY(EOMONTH(Registro_Compras!$B36,0),5,Feriados),MIN(Registro_Compras!$Y36,WORKDAY(EOMONTH(Registro_Compras!$B36,0),5,Feriados))))</f>
        <v/>
      </c>
      <c r="J36" s="25" t="str">
        <f>IF(Registro_Compras!$R36&lt;&gt;"SI","",Registro_Compras!$X36)</f>
        <v/>
      </c>
      <c r="K36" t="str">
        <f>IF(Registro_Compras!$R36&lt;&gt;"SI","",IF(Registro_Compras!$X36="","PENDIENTE","DEPOSITADA"))</f>
        <v/>
      </c>
      <c r="L36" t="str">
        <f>IF(Registro_Compras!$R36&lt;&gt;"SI","",Registro_Compras!$Z36)</f>
        <v/>
      </c>
      <c r="M36" t="str">
        <f t="shared" ca="1" si="0"/>
        <v/>
      </c>
      <c r="N36" t="str">
        <f t="shared" ca="1" si="1"/>
        <v/>
      </c>
      <c r="P36" s="25"/>
    </row>
    <row r="37" spans="1:16" x14ac:dyDescent="0.25">
      <c r="A37" s="25" t="str">
        <f>IF(Registro_Compras!$R37&lt;&gt;"SI","",Registro_Compras!$B37)</f>
        <v/>
      </c>
      <c r="B37" t="str">
        <f>IF(Registro_Compras!$R37&lt;&gt;"SI","",Registro_Compras!$C37)</f>
        <v/>
      </c>
      <c r="C37" t="str">
        <f>IF(Registro_Compras!$R37&lt;&gt;"SI","",Registro_Compras!$D37)</f>
        <v/>
      </c>
      <c r="D37" t="str">
        <f>IF(Registro_Compras!$R37&lt;&gt;"SI","",Registro_Compras!$E37)</f>
        <v/>
      </c>
      <c r="E37" t="str">
        <f>IF(Registro_Compras!$R37&lt;&gt;"SI","",Registro_Compras!$G37)</f>
        <v/>
      </c>
      <c r="F37" s="31" t="str">
        <f>IF(Registro_Compras!$R37&lt;&gt;"SI","",Registro_Compras!$P37)</f>
        <v/>
      </c>
      <c r="G37" s="20" t="str">
        <f>IF(Registro_Compras!$R37&lt;&gt;"SI","",Registro_Compras!$O37)</f>
        <v/>
      </c>
      <c r="H37" s="20" t="str">
        <f>IF(Registro_Compras!$R37&lt;&gt;"SI","",Registro_Compras!$S37)</f>
        <v/>
      </c>
      <c r="I37" s="25" t="str">
        <f>IF(Registro_Compras!$R37&lt;&gt;"SI","",IF(Registro_Compras!$Y37="",WORKDAY(EOMONTH(Registro_Compras!$B37,0),5,Feriados),MIN(Registro_Compras!$Y37,WORKDAY(EOMONTH(Registro_Compras!$B37,0),5,Feriados))))</f>
        <v/>
      </c>
      <c r="J37" s="25" t="str">
        <f>IF(Registro_Compras!$R37&lt;&gt;"SI","",Registro_Compras!$X37)</f>
        <v/>
      </c>
      <c r="K37" t="str">
        <f>IF(Registro_Compras!$R37&lt;&gt;"SI","",IF(Registro_Compras!$X37="","PENDIENTE","DEPOSITADA"))</f>
        <v/>
      </c>
      <c r="L37" t="str">
        <f>IF(Registro_Compras!$R37&lt;&gt;"SI","",Registro_Compras!$Z37)</f>
        <v/>
      </c>
      <c r="M37" t="str">
        <f t="shared" ca="1" si="0"/>
        <v/>
      </c>
      <c r="N37" t="str">
        <f t="shared" ca="1" si="1"/>
        <v/>
      </c>
      <c r="P37" s="25"/>
    </row>
    <row r="38" spans="1:16" x14ac:dyDescent="0.25">
      <c r="A38" s="25" t="str">
        <f>IF(Registro_Compras!$R38&lt;&gt;"SI","",Registro_Compras!$B38)</f>
        <v/>
      </c>
      <c r="B38" t="str">
        <f>IF(Registro_Compras!$R38&lt;&gt;"SI","",Registro_Compras!$C38)</f>
        <v/>
      </c>
      <c r="C38" t="str">
        <f>IF(Registro_Compras!$R38&lt;&gt;"SI","",Registro_Compras!$D38)</f>
        <v/>
      </c>
      <c r="D38" t="str">
        <f>IF(Registro_Compras!$R38&lt;&gt;"SI","",Registro_Compras!$E38)</f>
        <v/>
      </c>
      <c r="E38" t="str">
        <f>IF(Registro_Compras!$R38&lt;&gt;"SI","",Registro_Compras!$G38)</f>
        <v/>
      </c>
      <c r="F38" s="31" t="str">
        <f>IF(Registro_Compras!$R38&lt;&gt;"SI","",Registro_Compras!$P38)</f>
        <v/>
      </c>
      <c r="G38" s="20" t="str">
        <f>IF(Registro_Compras!$R38&lt;&gt;"SI","",Registro_Compras!$O38)</f>
        <v/>
      </c>
      <c r="H38" s="20" t="str">
        <f>IF(Registro_Compras!$R38&lt;&gt;"SI","",Registro_Compras!$S38)</f>
        <v/>
      </c>
      <c r="I38" s="25" t="str">
        <f>IF(Registro_Compras!$R38&lt;&gt;"SI","",IF(Registro_Compras!$Y38="",WORKDAY(EOMONTH(Registro_Compras!$B38,0),5,Feriados),MIN(Registro_Compras!$Y38,WORKDAY(EOMONTH(Registro_Compras!$B38,0),5,Feriados))))</f>
        <v/>
      </c>
      <c r="J38" s="25" t="str">
        <f>IF(Registro_Compras!$R38&lt;&gt;"SI","",Registro_Compras!$X38)</f>
        <v/>
      </c>
      <c r="K38" t="str">
        <f>IF(Registro_Compras!$R38&lt;&gt;"SI","",IF(Registro_Compras!$X38="","PENDIENTE","DEPOSITADA"))</f>
        <v/>
      </c>
      <c r="L38" t="str">
        <f>IF(Registro_Compras!$R38&lt;&gt;"SI","",Registro_Compras!$Z38)</f>
        <v/>
      </c>
      <c r="M38" t="str">
        <f t="shared" ca="1" si="0"/>
        <v/>
      </c>
      <c r="N38" t="str">
        <f t="shared" ca="1" si="1"/>
        <v/>
      </c>
      <c r="P38" s="25"/>
    </row>
    <row r="39" spans="1:16" x14ac:dyDescent="0.25">
      <c r="A39" s="25" t="str">
        <f>IF(Registro_Compras!$R39&lt;&gt;"SI","",Registro_Compras!$B39)</f>
        <v/>
      </c>
      <c r="B39" t="str">
        <f>IF(Registro_Compras!$R39&lt;&gt;"SI","",Registro_Compras!$C39)</f>
        <v/>
      </c>
      <c r="C39" t="str">
        <f>IF(Registro_Compras!$R39&lt;&gt;"SI","",Registro_Compras!$D39)</f>
        <v/>
      </c>
      <c r="D39" t="str">
        <f>IF(Registro_Compras!$R39&lt;&gt;"SI","",Registro_Compras!$E39)</f>
        <v/>
      </c>
      <c r="E39" t="str">
        <f>IF(Registro_Compras!$R39&lt;&gt;"SI","",Registro_Compras!$G39)</f>
        <v/>
      </c>
      <c r="F39" s="31" t="str">
        <f>IF(Registro_Compras!$R39&lt;&gt;"SI","",Registro_Compras!$P39)</f>
        <v/>
      </c>
      <c r="G39" s="20" t="str">
        <f>IF(Registro_Compras!$R39&lt;&gt;"SI","",Registro_Compras!$O39)</f>
        <v/>
      </c>
      <c r="H39" s="20" t="str">
        <f>IF(Registro_Compras!$R39&lt;&gt;"SI","",Registro_Compras!$S39)</f>
        <v/>
      </c>
      <c r="I39" s="25" t="str">
        <f>IF(Registro_Compras!$R39&lt;&gt;"SI","",IF(Registro_Compras!$Y39="",WORKDAY(EOMONTH(Registro_Compras!$B39,0),5,Feriados),MIN(Registro_Compras!$Y39,WORKDAY(EOMONTH(Registro_Compras!$B39,0),5,Feriados))))</f>
        <v/>
      </c>
      <c r="J39" s="25" t="str">
        <f>IF(Registro_Compras!$R39&lt;&gt;"SI","",Registro_Compras!$X39)</f>
        <v/>
      </c>
      <c r="K39" t="str">
        <f>IF(Registro_Compras!$R39&lt;&gt;"SI","",IF(Registro_Compras!$X39="","PENDIENTE","DEPOSITADA"))</f>
        <v/>
      </c>
      <c r="L39" t="str">
        <f>IF(Registro_Compras!$R39&lt;&gt;"SI","",Registro_Compras!$Z39)</f>
        <v/>
      </c>
      <c r="M39" t="str">
        <f t="shared" ca="1" si="0"/>
        <v/>
      </c>
      <c r="N39" t="str">
        <f t="shared" ca="1" si="1"/>
        <v/>
      </c>
      <c r="P39" s="25"/>
    </row>
    <row r="40" spans="1:16" x14ac:dyDescent="0.25">
      <c r="A40" s="25" t="str">
        <f>IF(Registro_Compras!$R40&lt;&gt;"SI","",Registro_Compras!$B40)</f>
        <v/>
      </c>
      <c r="B40" t="str">
        <f>IF(Registro_Compras!$R40&lt;&gt;"SI","",Registro_Compras!$C40)</f>
        <v/>
      </c>
      <c r="C40" t="str">
        <f>IF(Registro_Compras!$R40&lt;&gt;"SI","",Registro_Compras!$D40)</f>
        <v/>
      </c>
      <c r="D40" t="str">
        <f>IF(Registro_Compras!$R40&lt;&gt;"SI","",Registro_Compras!$E40)</f>
        <v/>
      </c>
      <c r="E40" t="str">
        <f>IF(Registro_Compras!$R40&lt;&gt;"SI","",Registro_Compras!$G40)</f>
        <v/>
      </c>
      <c r="F40" s="31" t="str">
        <f>IF(Registro_Compras!$R40&lt;&gt;"SI","",Registro_Compras!$P40)</f>
        <v/>
      </c>
      <c r="G40" s="20" t="str">
        <f>IF(Registro_Compras!$R40&lt;&gt;"SI","",Registro_Compras!$O40)</f>
        <v/>
      </c>
      <c r="H40" s="20" t="str">
        <f>IF(Registro_Compras!$R40&lt;&gt;"SI","",Registro_Compras!$S40)</f>
        <v/>
      </c>
      <c r="I40" s="25" t="str">
        <f>IF(Registro_Compras!$R40&lt;&gt;"SI","",IF(Registro_Compras!$Y40="",WORKDAY(EOMONTH(Registro_Compras!$B40,0),5,Feriados),MIN(Registro_Compras!$Y40,WORKDAY(EOMONTH(Registro_Compras!$B40,0),5,Feriados))))</f>
        <v/>
      </c>
      <c r="J40" s="25" t="str">
        <f>IF(Registro_Compras!$R40&lt;&gt;"SI","",Registro_Compras!$X40)</f>
        <v/>
      </c>
      <c r="K40" t="str">
        <f>IF(Registro_Compras!$R40&lt;&gt;"SI","",IF(Registro_Compras!$X40="","PENDIENTE","DEPOSITADA"))</f>
        <v/>
      </c>
      <c r="L40" t="str">
        <f>IF(Registro_Compras!$R40&lt;&gt;"SI","",Registro_Compras!$Z40)</f>
        <v/>
      </c>
      <c r="M40" t="str">
        <f t="shared" ca="1" si="0"/>
        <v/>
      </c>
      <c r="N40" t="str">
        <f t="shared" ca="1" si="1"/>
        <v/>
      </c>
      <c r="P40" s="25"/>
    </row>
    <row r="41" spans="1:16" x14ac:dyDescent="0.25">
      <c r="A41" s="25">
        <f>IF(Registro_Compras!$R41&lt;&gt;"SI","",Registro_Compras!$B41)</f>
        <v>46248</v>
      </c>
      <c r="B41" t="str">
        <f>IF(Registro_Compras!$R41&lt;&gt;"SI","",Registro_Compras!$C41)</f>
        <v>E001-2662</v>
      </c>
      <c r="C41" t="str">
        <f>IF(Registro_Compras!$R41&lt;&gt;"SI","",Registro_Compras!$D41)</f>
        <v>20602860958</v>
      </c>
      <c r="D41" t="str">
        <f>IF(Registro_Compras!$R41&lt;&gt;"SI","",Registro_Compras!$E41)</f>
        <v>J &amp; R TURISMO E.I.R.L.</v>
      </c>
      <c r="E41" t="str">
        <f>IF(Registro_Compras!$R41&lt;&gt;"SI","",Registro_Compras!$G41)</f>
        <v>026</v>
      </c>
      <c r="F41" s="31">
        <f>IF(Registro_Compras!$R41&lt;&gt;"SI","",Registro_Compras!$P41)</f>
        <v>0.1</v>
      </c>
      <c r="G41" s="20">
        <f>IF(Registro_Compras!$R41&lt;&gt;"SI","",Registro_Compras!$O41)</f>
        <v>1193.33</v>
      </c>
      <c r="H41" s="20">
        <f>IF(Registro_Compras!$R41&lt;&gt;"SI","",Registro_Compras!$S41)</f>
        <v>119.33</v>
      </c>
      <c r="I41" s="25">
        <f>IF(Registro_Compras!$R41&lt;&gt;"SI","",IF(Registro_Compras!$Y41="",WORKDAY(EOMONTH(Registro_Compras!$B41,0),5,Feriados),MIN(Registro_Compras!$Y41,WORKDAY(EOMONTH(Registro_Compras!$B41,0),5,Feriados))))</f>
        <v>46272</v>
      </c>
      <c r="J41" s="25">
        <f>IF(Registro_Compras!$R41&lt;&gt;"SI","",Registro_Compras!$X41)</f>
        <v>0</v>
      </c>
      <c r="K41" t="str">
        <f>IF(Registro_Compras!$R41&lt;&gt;"SI","",IF(Registro_Compras!$X41="","PENDIENTE","DEPOSITADA"))</f>
        <v>PENDIENTE</v>
      </c>
      <c r="L41">
        <f>IF(Registro_Compras!$R41&lt;&gt;"SI","",Registro_Compras!$Z41)</f>
        <v>0</v>
      </c>
      <c r="M41">
        <f t="shared" ca="1" si="0"/>
        <v>0</v>
      </c>
      <c r="N41" t="str">
        <f t="shared" ca="1" si="1"/>
        <v>EN PLAZO</v>
      </c>
      <c r="P41" s="25"/>
    </row>
    <row r="42" spans="1:16" x14ac:dyDescent="0.25">
      <c r="A42" s="25">
        <f>IF(Registro_Compras!$R42&lt;&gt;"SI","",Registro_Compras!$B42)</f>
        <v>46235</v>
      </c>
      <c r="B42" t="str">
        <f>IF(Registro_Compras!$R42&lt;&gt;"SI","",Registro_Compras!$C42)</f>
        <v>E001-2237</v>
      </c>
      <c r="C42" t="str">
        <f>IF(Registro_Compras!$R42&lt;&gt;"SI","",Registro_Compras!$D42)</f>
        <v>20525581315</v>
      </c>
      <c r="D42" t="str">
        <f>IF(Registro_Compras!$R42&lt;&gt;"SI","",Registro_Compras!$E42)</f>
        <v>MANCORA TRAVEL S.A.C.</v>
      </c>
      <c r="E42" t="str">
        <f>IF(Registro_Compras!$R42&lt;&gt;"SI","",Registro_Compras!$G42)</f>
        <v>026</v>
      </c>
      <c r="F42" s="31">
        <f>IF(Registro_Compras!$R42&lt;&gt;"SI","",Registro_Compras!$P42)</f>
        <v>0.1</v>
      </c>
      <c r="G42" s="20">
        <f>IF(Registro_Compras!$R42&lt;&gt;"SI","",Registro_Compras!$O42)</f>
        <v>1120</v>
      </c>
      <c r="H42" s="20">
        <f>IF(Registro_Compras!$R42&lt;&gt;"SI","",Registro_Compras!$S42)</f>
        <v>112</v>
      </c>
      <c r="I42" s="25">
        <f>IF(Registro_Compras!$R42&lt;&gt;"SI","",IF(Registro_Compras!$Y42="",WORKDAY(EOMONTH(Registro_Compras!$B42,0),5,Feriados),MIN(Registro_Compras!$Y42,WORKDAY(EOMONTH(Registro_Compras!$B42,0),5,Feriados))))</f>
        <v>46272</v>
      </c>
      <c r="J42" s="25">
        <f>IF(Registro_Compras!$R42&lt;&gt;"SI","",Registro_Compras!$X42)</f>
        <v>0</v>
      </c>
      <c r="K42" t="str">
        <f>IF(Registro_Compras!$R42&lt;&gt;"SI","",IF(Registro_Compras!$X42="","PENDIENTE","DEPOSITADA"))</f>
        <v>PENDIENTE</v>
      </c>
      <c r="L42">
        <f>IF(Registro_Compras!$R42&lt;&gt;"SI","",Registro_Compras!$Z42)</f>
        <v>0</v>
      </c>
      <c r="M42">
        <f t="shared" ca="1" si="0"/>
        <v>0</v>
      </c>
      <c r="N42" t="str">
        <f t="shared" ca="1" si="1"/>
        <v>EN PLAZO</v>
      </c>
      <c r="P42" s="25"/>
    </row>
    <row r="43" spans="1:16" x14ac:dyDescent="0.25">
      <c r="A43" s="25" t="str">
        <f>IF(Registro_Compras!$R43&lt;&gt;"SI","",Registro_Compras!$B43)</f>
        <v/>
      </c>
      <c r="B43" t="str">
        <f>IF(Registro_Compras!$R43&lt;&gt;"SI","",Registro_Compras!$C43)</f>
        <v/>
      </c>
      <c r="C43" t="str">
        <f>IF(Registro_Compras!$R43&lt;&gt;"SI","",Registro_Compras!$D43)</f>
        <v/>
      </c>
      <c r="D43" t="str">
        <f>IF(Registro_Compras!$R43&lt;&gt;"SI","",Registro_Compras!$E43)</f>
        <v/>
      </c>
      <c r="E43" t="str">
        <f>IF(Registro_Compras!$R43&lt;&gt;"SI","",Registro_Compras!$G43)</f>
        <v/>
      </c>
      <c r="F43" s="31" t="str">
        <f>IF(Registro_Compras!$R43&lt;&gt;"SI","",Registro_Compras!$P43)</f>
        <v/>
      </c>
      <c r="G43" s="20" t="str">
        <f>IF(Registro_Compras!$R43&lt;&gt;"SI","",Registro_Compras!$O43)</f>
        <v/>
      </c>
      <c r="H43" s="20" t="str">
        <f>IF(Registro_Compras!$R43&lt;&gt;"SI","",Registro_Compras!$S43)</f>
        <v/>
      </c>
      <c r="I43" s="25" t="str">
        <f>IF(Registro_Compras!$R43&lt;&gt;"SI","",IF(Registro_Compras!$Y43="",WORKDAY(EOMONTH(Registro_Compras!$B43,0),5,Feriados),MIN(Registro_Compras!$Y43,WORKDAY(EOMONTH(Registro_Compras!$B43,0),5,Feriados))))</f>
        <v/>
      </c>
      <c r="J43" s="25" t="str">
        <f>IF(Registro_Compras!$R43&lt;&gt;"SI","",Registro_Compras!$X43)</f>
        <v/>
      </c>
      <c r="K43" t="str">
        <f>IF(Registro_Compras!$R43&lt;&gt;"SI","",IF(Registro_Compras!$X43="","PENDIENTE","DEPOSITADA"))</f>
        <v/>
      </c>
      <c r="L43" t="str">
        <f>IF(Registro_Compras!$R43&lt;&gt;"SI","",Registro_Compras!$Z43)</f>
        <v/>
      </c>
      <c r="M43" t="str">
        <f t="shared" ca="1" si="0"/>
        <v/>
      </c>
      <c r="N43" t="str">
        <f t="shared" ca="1" si="1"/>
        <v/>
      </c>
      <c r="P43" s="25"/>
    </row>
    <row r="44" spans="1:16" x14ac:dyDescent="0.25">
      <c r="A44" s="25" t="str">
        <f>IF(Registro_Compras!$R44&lt;&gt;"SI","",Registro_Compras!$B44)</f>
        <v/>
      </c>
      <c r="B44" t="str">
        <f>IF(Registro_Compras!$R44&lt;&gt;"SI","",Registro_Compras!$C44)</f>
        <v/>
      </c>
      <c r="C44" t="str">
        <f>IF(Registro_Compras!$R44&lt;&gt;"SI","",Registro_Compras!$D44)</f>
        <v/>
      </c>
      <c r="D44" t="str">
        <f>IF(Registro_Compras!$R44&lt;&gt;"SI","",Registro_Compras!$E44)</f>
        <v/>
      </c>
      <c r="E44" t="str">
        <f>IF(Registro_Compras!$R44&lt;&gt;"SI","",Registro_Compras!$G44)</f>
        <v/>
      </c>
      <c r="F44" s="31" t="str">
        <f>IF(Registro_Compras!$R44&lt;&gt;"SI","",Registro_Compras!$P44)</f>
        <v/>
      </c>
      <c r="G44" s="20" t="str">
        <f>IF(Registro_Compras!$R44&lt;&gt;"SI","",Registro_Compras!$O44)</f>
        <v/>
      </c>
      <c r="H44" s="20" t="str">
        <f>IF(Registro_Compras!$R44&lt;&gt;"SI","",Registro_Compras!$S44)</f>
        <v/>
      </c>
      <c r="I44" s="25" t="str">
        <f>IF(Registro_Compras!$R44&lt;&gt;"SI","",IF(Registro_Compras!$Y44="",WORKDAY(EOMONTH(Registro_Compras!$B44,0),5,Feriados),MIN(Registro_Compras!$Y44,WORKDAY(EOMONTH(Registro_Compras!$B44,0),5,Feriados))))</f>
        <v/>
      </c>
      <c r="J44" s="25" t="str">
        <f>IF(Registro_Compras!$R44&lt;&gt;"SI","",Registro_Compras!$X44)</f>
        <v/>
      </c>
      <c r="K44" t="str">
        <f>IF(Registro_Compras!$R44&lt;&gt;"SI","",IF(Registro_Compras!$X44="","PENDIENTE","DEPOSITADA"))</f>
        <v/>
      </c>
      <c r="L44" t="str">
        <f>IF(Registro_Compras!$R44&lt;&gt;"SI","",Registro_Compras!$Z44)</f>
        <v/>
      </c>
      <c r="M44" t="str">
        <f t="shared" ca="1" si="0"/>
        <v/>
      </c>
      <c r="N44" t="str">
        <f t="shared" ca="1" si="1"/>
        <v/>
      </c>
      <c r="P44" s="25"/>
    </row>
    <row r="45" spans="1:16" x14ac:dyDescent="0.25">
      <c r="A45" s="25" t="str">
        <f>IF(Registro_Compras!$R45&lt;&gt;"SI","",Registro_Compras!$B45)</f>
        <v/>
      </c>
      <c r="B45" t="str">
        <f>IF(Registro_Compras!$R45&lt;&gt;"SI","",Registro_Compras!$C45)</f>
        <v/>
      </c>
      <c r="C45" t="str">
        <f>IF(Registro_Compras!$R45&lt;&gt;"SI","",Registro_Compras!$D45)</f>
        <v/>
      </c>
      <c r="D45" t="str">
        <f>IF(Registro_Compras!$R45&lt;&gt;"SI","",Registro_Compras!$E45)</f>
        <v/>
      </c>
      <c r="E45" t="str">
        <f>IF(Registro_Compras!$R45&lt;&gt;"SI","",Registro_Compras!$G45)</f>
        <v/>
      </c>
      <c r="F45" s="31" t="str">
        <f>IF(Registro_Compras!$R45&lt;&gt;"SI","",Registro_Compras!$P45)</f>
        <v/>
      </c>
      <c r="G45" s="20" t="str">
        <f>IF(Registro_Compras!$R45&lt;&gt;"SI","",Registro_Compras!$O45)</f>
        <v/>
      </c>
      <c r="H45" s="20" t="str">
        <f>IF(Registro_Compras!$R45&lt;&gt;"SI","",Registro_Compras!$S45)</f>
        <v/>
      </c>
      <c r="I45" s="25" t="str">
        <f>IF(Registro_Compras!$R45&lt;&gt;"SI","",IF(Registro_Compras!$Y45="",WORKDAY(EOMONTH(Registro_Compras!$B45,0),5,Feriados),MIN(Registro_Compras!$Y45,WORKDAY(EOMONTH(Registro_Compras!$B45,0),5,Feriados))))</f>
        <v/>
      </c>
      <c r="J45" s="25" t="str">
        <f>IF(Registro_Compras!$R45&lt;&gt;"SI","",Registro_Compras!$X45)</f>
        <v/>
      </c>
      <c r="K45" t="str">
        <f>IF(Registro_Compras!$R45&lt;&gt;"SI","",IF(Registro_Compras!$X45="","PENDIENTE","DEPOSITADA"))</f>
        <v/>
      </c>
      <c r="L45" t="str">
        <f>IF(Registro_Compras!$R45&lt;&gt;"SI","",Registro_Compras!$Z45)</f>
        <v/>
      </c>
      <c r="M45" t="str">
        <f t="shared" ca="1" si="0"/>
        <v/>
      </c>
      <c r="N45" t="str">
        <f t="shared" ca="1" si="1"/>
        <v/>
      </c>
      <c r="P45" s="25"/>
    </row>
    <row r="46" spans="1:16" x14ac:dyDescent="0.25">
      <c r="A46" s="25" t="str">
        <f>IF(Registro_Compras!$R46&lt;&gt;"SI","",Registro_Compras!$B46)</f>
        <v/>
      </c>
      <c r="B46" t="str">
        <f>IF(Registro_Compras!$R46&lt;&gt;"SI","",Registro_Compras!$C46)</f>
        <v/>
      </c>
      <c r="C46" t="str">
        <f>IF(Registro_Compras!$R46&lt;&gt;"SI","",Registro_Compras!$D46)</f>
        <v/>
      </c>
      <c r="D46" t="str">
        <f>IF(Registro_Compras!$R46&lt;&gt;"SI","",Registro_Compras!$E46)</f>
        <v/>
      </c>
      <c r="E46" t="str">
        <f>IF(Registro_Compras!$R46&lt;&gt;"SI","",Registro_Compras!$G46)</f>
        <v/>
      </c>
      <c r="F46" s="31" t="str">
        <f>IF(Registro_Compras!$R46&lt;&gt;"SI","",Registro_Compras!$P46)</f>
        <v/>
      </c>
      <c r="G46" s="20" t="str">
        <f>IF(Registro_Compras!$R46&lt;&gt;"SI","",Registro_Compras!$O46)</f>
        <v/>
      </c>
      <c r="H46" s="20" t="str">
        <f>IF(Registro_Compras!$R46&lt;&gt;"SI","",Registro_Compras!$S46)</f>
        <v/>
      </c>
      <c r="I46" s="25" t="str">
        <f>IF(Registro_Compras!$R46&lt;&gt;"SI","",IF(Registro_Compras!$Y46="",WORKDAY(EOMONTH(Registro_Compras!$B46,0),5,Feriados),MIN(Registro_Compras!$Y46,WORKDAY(EOMONTH(Registro_Compras!$B46,0),5,Feriados))))</f>
        <v/>
      </c>
      <c r="J46" s="25" t="str">
        <f>IF(Registro_Compras!$R46&lt;&gt;"SI","",Registro_Compras!$X46)</f>
        <v/>
      </c>
      <c r="K46" t="str">
        <f>IF(Registro_Compras!$R46&lt;&gt;"SI","",IF(Registro_Compras!$X46="","PENDIENTE","DEPOSITADA"))</f>
        <v/>
      </c>
      <c r="L46" t="str">
        <f>IF(Registro_Compras!$R46&lt;&gt;"SI","",Registro_Compras!$Z46)</f>
        <v/>
      </c>
      <c r="M46" t="str">
        <f t="shared" ca="1" si="0"/>
        <v/>
      </c>
      <c r="N46" t="str">
        <f t="shared" ca="1" si="1"/>
        <v/>
      </c>
      <c r="P46" s="25"/>
    </row>
    <row r="47" spans="1:16" x14ac:dyDescent="0.25">
      <c r="A47" s="25" t="str">
        <f>IF(Registro_Compras!$R47&lt;&gt;"SI","",Registro_Compras!$B47)</f>
        <v/>
      </c>
      <c r="B47" t="str">
        <f>IF(Registro_Compras!$R47&lt;&gt;"SI","",Registro_Compras!$C47)</f>
        <v/>
      </c>
      <c r="C47" t="str">
        <f>IF(Registro_Compras!$R47&lt;&gt;"SI","",Registro_Compras!$D47)</f>
        <v/>
      </c>
      <c r="D47" t="str">
        <f>IF(Registro_Compras!$R47&lt;&gt;"SI","",Registro_Compras!$E47)</f>
        <v/>
      </c>
      <c r="E47" t="str">
        <f>IF(Registro_Compras!$R47&lt;&gt;"SI","",Registro_Compras!$G47)</f>
        <v/>
      </c>
      <c r="F47" s="31" t="str">
        <f>IF(Registro_Compras!$R47&lt;&gt;"SI","",Registro_Compras!$P47)</f>
        <v/>
      </c>
      <c r="G47" s="20" t="str">
        <f>IF(Registro_Compras!$R47&lt;&gt;"SI","",Registro_Compras!$O47)</f>
        <v/>
      </c>
      <c r="H47" s="20" t="str">
        <f>IF(Registro_Compras!$R47&lt;&gt;"SI","",Registro_Compras!$S47)</f>
        <v/>
      </c>
      <c r="I47" s="25" t="str">
        <f>IF(Registro_Compras!$R47&lt;&gt;"SI","",IF(Registro_Compras!$Y47="",WORKDAY(EOMONTH(Registro_Compras!$B47,0),5,Feriados),MIN(Registro_Compras!$Y47,WORKDAY(EOMONTH(Registro_Compras!$B47,0),5,Feriados))))</f>
        <v/>
      </c>
      <c r="J47" s="25" t="str">
        <f>IF(Registro_Compras!$R47&lt;&gt;"SI","",Registro_Compras!$X47)</f>
        <v/>
      </c>
      <c r="K47" t="str">
        <f>IF(Registro_Compras!$R47&lt;&gt;"SI","",IF(Registro_Compras!$X47="","PENDIENTE","DEPOSITADA"))</f>
        <v/>
      </c>
      <c r="L47" t="str">
        <f>IF(Registro_Compras!$R47&lt;&gt;"SI","",Registro_Compras!$Z47)</f>
        <v/>
      </c>
      <c r="M47" t="str">
        <f t="shared" ca="1" si="0"/>
        <v/>
      </c>
      <c r="N47" t="str">
        <f t="shared" ca="1" si="1"/>
        <v/>
      </c>
      <c r="P47" s="25"/>
    </row>
    <row r="48" spans="1:16" x14ac:dyDescent="0.25">
      <c r="A48" s="25" t="str">
        <f>IF(Registro_Compras!$R48&lt;&gt;"SI","",Registro_Compras!$B48)</f>
        <v/>
      </c>
      <c r="B48" t="str">
        <f>IF(Registro_Compras!$R48&lt;&gt;"SI","",Registro_Compras!$C48)</f>
        <v/>
      </c>
      <c r="C48" t="str">
        <f>IF(Registro_Compras!$R48&lt;&gt;"SI","",Registro_Compras!$D48)</f>
        <v/>
      </c>
      <c r="D48" t="str">
        <f>IF(Registro_Compras!$R48&lt;&gt;"SI","",Registro_Compras!$E48)</f>
        <v/>
      </c>
      <c r="E48" t="str">
        <f>IF(Registro_Compras!$R48&lt;&gt;"SI","",Registro_Compras!$G48)</f>
        <v/>
      </c>
      <c r="F48" s="31" t="str">
        <f>IF(Registro_Compras!$R48&lt;&gt;"SI","",Registro_Compras!$P48)</f>
        <v/>
      </c>
      <c r="G48" s="20" t="str">
        <f>IF(Registro_Compras!$R48&lt;&gt;"SI","",Registro_Compras!$O48)</f>
        <v/>
      </c>
      <c r="H48" s="20" t="str">
        <f>IF(Registro_Compras!$R48&lt;&gt;"SI","",Registro_Compras!$S48)</f>
        <v/>
      </c>
      <c r="I48" s="25" t="str">
        <f>IF(Registro_Compras!$R48&lt;&gt;"SI","",IF(Registro_Compras!$Y48="",WORKDAY(EOMONTH(Registro_Compras!$B48,0),5,Feriados),MIN(Registro_Compras!$Y48,WORKDAY(EOMONTH(Registro_Compras!$B48,0),5,Feriados))))</f>
        <v/>
      </c>
      <c r="J48" s="25" t="str">
        <f>IF(Registro_Compras!$R48&lt;&gt;"SI","",Registro_Compras!$X48)</f>
        <v/>
      </c>
      <c r="K48" t="str">
        <f>IF(Registro_Compras!$R48&lt;&gt;"SI","",IF(Registro_Compras!$X48="","PENDIENTE","DEPOSITADA"))</f>
        <v/>
      </c>
      <c r="L48" t="str">
        <f>IF(Registro_Compras!$R48&lt;&gt;"SI","",Registro_Compras!$Z48)</f>
        <v/>
      </c>
      <c r="M48" t="str">
        <f t="shared" ca="1" si="0"/>
        <v/>
      </c>
      <c r="N48" t="str">
        <f t="shared" ca="1" si="1"/>
        <v/>
      </c>
      <c r="P48" s="25"/>
    </row>
    <row r="49" spans="1:16" x14ac:dyDescent="0.25">
      <c r="A49" s="25" t="str">
        <f>IF(Registro_Compras!$R49&lt;&gt;"SI","",Registro_Compras!$B49)</f>
        <v/>
      </c>
      <c r="B49" t="str">
        <f>IF(Registro_Compras!$R49&lt;&gt;"SI","",Registro_Compras!$C49)</f>
        <v/>
      </c>
      <c r="C49" t="str">
        <f>IF(Registro_Compras!$R49&lt;&gt;"SI","",Registro_Compras!$D49)</f>
        <v/>
      </c>
      <c r="D49" t="str">
        <f>IF(Registro_Compras!$R49&lt;&gt;"SI","",Registro_Compras!$E49)</f>
        <v/>
      </c>
      <c r="E49" t="str">
        <f>IF(Registro_Compras!$R49&lt;&gt;"SI","",Registro_Compras!$G49)</f>
        <v/>
      </c>
      <c r="F49" s="31" t="str">
        <f>IF(Registro_Compras!$R49&lt;&gt;"SI","",Registro_Compras!$P49)</f>
        <v/>
      </c>
      <c r="G49" s="20" t="str">
        <f>IF(Registro_Compras!$R49&lt;&gt;"SI","",Registro_Compras!$O49)</f>
        <v/>
      </c>
      <c r="H49" s="20" t="str">
        <f>IF(Registro_Compras!$R49&lt;&gt;"SI","",Registro_Compras!$S49)</f>
        <v/>
      </c>
      <c r="I49" s="25" t="str">
        <f>IF(Registro_Compras!$R49&lt;&gt;"SI","",IF(Registro_Compras!$Y49="",WORKDAY(EOMONTH(Registro_Compras!$B49,0),5,Feriados),MIN(Registro_Compras!$Y49,WORKDAY(EOMONTH(Registro_Compras!$B49,0),5,Feriados))))</f>
        <v/>
      </c>
      <c r="J49" s="25" t="str">
        <f>IF(Registro_Compras!$R49&lt;&gt;"SI","",Registro_Compras!$X49)</f>
        <v/>
      </c>
      <c r="K49" t="str">
        <f>IF(Registro_Compras!$R49&lt;&gt;"SI","",IF(Registro_Compras!$X49="","PENDIENTE","DEPOSITADA"))</f>
        <v/>
      </c>
      <c r="L49" t="str">
        <f>IF(Registro_Compras!$R49&lt;&gt;"SI","",Registro_Compras!$Z49)</f>
        <v/>
      </c>
      <c r="M49" t="str">
        <f t="shared" ca="1" si="0"/>
        <v/>
      </c>
      <c r="N49" t="str">
        <f t="shared" ca="1" si="1"/>
        <v/>
      </c>
      <c r="P49" s="25"/>
    </row>
    <row r="50" spans="1:16" x14ac:dyDescent="0.25">
      <c r="A50" s="25" t="str">
        <f>IF(Registro_Compras!$R50&lt;&gt;"SI","",Registro_Compras!$B50)</f>
        <v/>
      </c>
      <c r="B50" t="str">
        <f>IF(Registro_Compras!$R50&lt;&gt;"SI","",Registro_Compras!$C50)</f>
        <v/>
      </c>
      <c r="C50" t="str">
        <f>IF(Registro_Compras!$R50&lt;&gt;"SI","",Registro_Compras!$D50)</f>
        <v/>
      </c>
      <c r="D50" t="str">
        <f>IF(Registro_Compras!$R50&lt;&gt;"SI","",Registro_Compras!$E50)</f>
        <v/>
      </c>
      <c r="E50" t="str">
        <f>IF(Registro_Compras!$R50&lt;&gt;"SI","",Registro_Compras!$G50)</f>
        <v/>
      </c>
      <c r="F50" s="31" t="str">
        <f>IF(Registro_Compras!$R50&lt;&gt;"SI","",Registro_Compras!$P50)</f>
        <v/>
      </c>
      <c r="G50" s="20" t="str">
        <f>IF(Registro_Compras!$R50&lt;&gt;"SI","",Registro_Compras!$O50)</f>
        <v/>
      </c>
      <c r="H50" s="20" t="str">
        <f>IF(Registro_Compras!$R50&lt;&gt;"SI","",Registro_Compras!$S50)</f>
        <v/>
      </c>
      <c r="I50" s="25" t="str">
        <f>IF(Registro_Compras!$R50&lt;&gt;"SI","",IF(Registro_Compras!$Y50="",WORKDAY(EOMONTH(Registro_Compras!$B50,0),5,Feriados),MIN(Registro_Compras!$Y50,WORKDAY(EOMONTH(Registro_Compras!$B50,0),5,Feriados))))</f>
        <v/>
      </c>
      <c r="J50" s="25" t="str">
        <f>IF(Registro_Compras!$R50&lt;&gt;"SI","",Registro_Compras!$X50)</f>
        <v/>
      </c>
      <c r="K50" t="str">
        <f>IF(Registro_Compras!$R50&lt;&gt;"SI","",IF(Registro_Compras!$X50="","PENDIENTE","DEPOSITADA"))</f>
        <v/>
      </c>
      <c r="L50" t="str">
        <f>IF(Registro_Compras!$R50&lt;&gt;"SI","",Registro_Compras!$Z50)</f>
        <v/>
      </c>
      <c r="M50" t="str">
        <f t="shared" ca="1" si="0"/>
        <v/>
      </c>
      <c r="N50" t="str">
        <f t="shared" ca="1" si="1"/>
        <v/>
      </c>
      <c r="P50" s="25"/>
    </row>
    <row r="51" spans="1:16" x14ac:dyDescent="0.25">
      <c r="A51" s="25" t="str">
        <f>IF(Registro_Compras!$R51&lt;&gt;"SI","",Registro_Compras!$B51)</f>
        <v/>
      </c>
      <c r="B51" t="str">
        <f>IF(Registro_Compras!$R51&lt;&gt;"SI","",Registro_Compras!$C51)</f>
        <v/>
      </c>
      <c r="C51" t="str">
        <f>IF(Registro_Compras!$R51&lt;&gt;"SI","",Registro_Compras!$D51)</f>
        <v/>
      </c>
      <c r="D51" t="str">
        <f>IF(Registro_Compras!$R51&lt;&gt;"SI","",Registro_Compras!$E51)</f>
        <v/>
      </c>
      <c r="E51" t="str">
        <f>IF(Registro_Compras!$R51&lt;&gt;"SI","",Registro_Compras!$G51)</f>
        <v/>
      </c>
      <c r="F51" s="31" t="str">
        <f>IF(Registro_Compras!$R51&lt;&gt;"SI","",Registro_Compras!$P51)</f>
        <v/>
      </c>
      <c r="G51" s="20" t="str">
        <f>IF(Registro_Compras!$R51&lt;&gt;"SI","",Registro_Compras!$O51)</f>
        <v/>
      </c>
      <c r="H51" s="20" t="str">
        <f>IF(Registro_Compras!$R51&lt;&gt;"SI","",Registro_Compras!$S51)</f>
        <v/>
      </c>
      <c r="I51" s="25" t="str">
        <f>IF(Registro_Compras!$R51&lt;&gt;"SI","",IF(Registro_Compras!$Y51="",WORKDAY(EOMONTH(Registro_Compras!$B51,0),5,Feriados),MIN(Registro_Compras!$Y51,WORKDAY(EOMONTH(Registro_Compras!$B51,0),5,Feriados))))</f>
        <v/>
      </c>
      <c r="J51" s="25" t="str">
        <f>IF(Registro_Compras!$R51&lt;&gt;"SI","",Registro_Compras!$X51)</f>
        <v/>
      </c>
      <c r="K51" t="str">
        <f>IF(Registro_Compras!$R51&lt;&gt;"SI","",IF(Registro_Compras!$X51="","PENDIENTE","DEPOSITADA"))</f>
        <v/>
      </c>
      <c r="L51" t="str">
        <f>IF(Registro_Compras!$R51&lt;&gt;"SI","",Registro_Compras!$Z51)</f>
        <v/>
      </c>
      <c r="M51" t="str">
        <f t="shared" ca="1" si="0"/>
        <v/>
      </c>
      <c r="N51" t="str">
        <f t="shared" ca="1" si="1"/>
        <v/>
      </c>
      <c r="P51" s="25"/>
    </row>
    <row r="52" spans="1:16" x14ac:dyDescent="0.25">
      <c r="A52" s="25" t="str">
        <f>IF(Registro_Compras!$R52&lt;&gt;"SI","",Registro_Compras!$B52)</f>
        <v/>
      </c>
      <c r="B52" t="str">
        <f>IF(Registro_Compras!$R52&lt;&gt;"SI","",Registro_Compras!$C52)</f>
        <v/>
      </c>
      <c r="C52" t="str">
        <f>IF(Registro_Compras!$R52&lt;&gt;"SI","",Registro_Compras!$D52)</f>
        <v/>
      </c>
      <c r="D52" t="str">
        <f>IF(Registro_Compras!$R52&lt;&gt;"SI","",Registro_Compras!$E52)</f>
        <v/>
      </c>
      <c r="E52" t="str">
        <f>IF(Registro_Compras!$R52&lt;&gt;"SI","",Registro_Compras!$G52)</f>
        <v/>
      </c>
      <c r="F52" s="31" t="str">
        <f>IF(Registro_Compras!$R52&lt;&gt;"SI","",Registro_Compras!$P52)</f>
        <v/>
      </c>
      <c r="G52" s="20" t="str">
        <f>IF(Registro_Compras!$R52&lt;&gt;"SI","",Registro_Compras!$O52)</f>
        <v/>
      </c>
      <c r="H52" s="20" t="str">
        <f>IF(Registro_Compras!$R52&lt;&gt;"SI","",Registro_Compras!$S52)</f>
        <v/>
      </c>
      <c r="I52" s="25" t="str">
        <f>IF(Registro_Compras!$R52&lt;&gt;"SI","",IF(Registro_Compras!$Y52="",WORKDAY(EOMONTH(Registro_Compras!$B52,0),5,Feriados),MIN(Registro_Compras!$Y52,WORKDAY(EOMONTH(Registro_Compras!$B52,0),5,Feriados))))</f>
        <v/>
      </c>
      <c r="J52" s="25" t="str">
        <f>IF(Registro_Compras!$R52&lt;&gt;"SI","",Registro_Compras!$X52)</f>
        <v/>
      </c>
      <c r="K52" t="str">
        <f>IF(Registro_Compras!$R52&lt;&gt;"SI","",IF(Registro_Compras!$X52="","PENDIENTE","DEPOSITADA"))</f>
        <v/>
      </c>
      <c r="L52" t="str">
        <f>IF(Registro_Compras!$R52&lt;&gt;"SI","",Registro_Compras!$Z52)</f>
        <v/>
      </c>
      <c r="M52" t="str">
        <f t="shared" ca="1" si="0"/>
        <v/>
      </c>
      <c r="N52" t="str">
        <f t="shared" ca="1" si="1"/>
        <v/>
      </c>
      <c r="P52" s="25"/>
    </row>
    <row r="53" spans="1:16" x14ac:dyDescent="0.25">
      <c r="A53" s="25" t="str">
        <f>IF(Registro_Compras!$R53&lt;&gt;"SI","",Registro_Compras!$B53)</f>
        <v/>
      </c>
      <c r="B53" t="str">
        <f>IF(Registro_Compras!$R53&lt;&gt;"SI","",Registro_Compras!$C53)</f>
        <v/>
      </c>
      <c r="C53" t="str">
        <f>IF(Registro_Compras!$R53&lt;&gt;"SI","",Registro_Compras!$D53)</f>
        <v/>
      </c>
      <c r="D53" t="str">
        <f>IF(Registro_Compras!$R53&lt;&gt;"SI","",Registro_Compras!$E53)</f>
        <v/>
      </c>
      <c r="E53" t="str">
        <f>IF(Registro_Compras!$R53&lt;&gt;"SI","",Registro_Compras!$G53)</f>
        <v/>
      </c>
      <c r="F53" s="31" t="str">
        <f>IF(Registro_Compras!$R53&lt;&gt;"SI","",Registro_Compras!$P53)</f>
        <v/>
      </c>
      <c r="G53" s="20" t="str">
        <f>IF(Registro_Compras!$R53&lt;&gt;"SI","",Registro_Compras!$O53)</f>
        <v/>
      </c>
      <c r="H53" s="20" t="str">
        <f>IF(Registro_Compras!$R53&lt;&gt;"SI","",Registro_Compras!$S53)</f>
        <v/>
      </c>
      <c r="I53" s="25" t="str">
        <f>IF(Registro_Compras!$R53&lt;&gt;"SI","",IF(Registro_Compras!$Y53="",WORKDAY(EOMONTH(Registro_Compras!$B53,0),5,Feriados),MIN(Registro_Compras!$Y53,WORKDAY(EOMONTH(Registro_Compras!$B53,0),5,Feriados))))</f>
        <v/>
      </c>
      <c r="J53" s="25" t="str">
        <f>IF(Registro_Compras!$R53&lt;&gt;"SI","",Registro_Compras!$X53)</f>
        <v/>
      </c>
      <c r="K53" t="str">
        <f>IF(Registro_Compras!$R53&lt;&gt;"SI","",IF(Registro_Compras!$X53="","PENDIENTE","DEPOSITADA"))</f>
        <v/>
      </c>
      <c r="L53" t="str">
        <f>IF(Registro_Compras!$R53&lt;&gt;"SI","",Registro_Compras!$Z53)</f>
        <v/>
      </c>
      <c r="M53" t="str">
        <f t="shared" ca="1" si="0"/>
        <v/>
      </c>
      <c r="N53" t="str">
        <f t="shared" ca="1" si="1"/>
        <v/>
      </c>
      <c r="P53" s="25"/>
    </row>
    <row r="54" spans="1:16" x14ac:dyDescent="0.25">
      <c r="A54" s="25" t="str">
        <f>IF(Registro_Compras!$R54&lt;&gt;"SI","",Registro_Compras!$B54)</f>
        <v/>
      </c>
      <c r="B54" t="str">
        <f>IF(Registro_Compras!$R54&lt;&gt;"SI","",Registro_Compras!$C54)</f>
        <v/>
      </c>
      <c r="C54" t="str">
        <f>IF(Registro_Compras!$R54&lt;&gt;"SI","",Registro_Compras!$D54)</f>
        <v/>
      </c>
      <c r="D54" t="str">
        <f>IF(Registro_Compras!$R54&lt;&gt;"SI","",Registro_Compras!$E54)</f>
        <v/>
      </c>
      <c r="E54" t="str">
        <f>IF(Registro_Compras!$R54&lt;&gt;"SI","",Registro_Compras!$G54)</f>
        <v/>
      </c>
      <c r="F54" s="31" t="str">
        <f>IF(Registro_Compras!$R54&lt;&gt;"SI","",Registro_Compras!$P54)</f>
        <v/>
      </c>
      <c r="G54" s="20" t="str">
        <f>IF(Registro_Compras!$R54&lt;&gt;"SI","",Registro_Compras!$O54)</f>
        <v/>
      </c>
      <c r="H54" s="20" t="str">
        <f>IF(Registro_Compras!$R54&lt;&gt;"SI","",Registro_Compras!$S54)</f>
        <v/>
      </c>
      <c r="I54" s="25" t="str">
        <f>IF(Registro_Compras!$R54&lt;&gt;"SI","",IF(Registro_Compras!$Y54="",WORKDAY(EOMONTH(Registro_Compras!$B54,0),5,Feriados),MIN(Registro_Compras!$Y54,WORKDAY(EOMONTH(Registro_Compras!$B54,0),5,Feriados))))</f>
        <v/>
      </c>
      <c r="J54" s="25" t="str">
        <f>IF(Registro_Compras!$R54&lt;&gt;"SI","",Registro_Compras!$X54)</f>
        <v/>
      </c>
      <c r="K54" t="str">
        <f>IF(Registro_Compras!$R54&lt;&gt;"SI","",IF(Registro_Compras!$X54="","PENDIENTE","DEPOSITADA"))</f>
        <v/>
      </c>
      <c r="L54" t="str">
        <f>IF(Registro_Compras!$R54&lt;&gt;"SI","",Registro_Compras!$Z54)</f>
        <v/>
      </c>
      <c r="M54" t="str">
        <f t="shared" ca="1" si="0"/>
        <v/>
      </c>
      <c r="N54" t="str">
        <f t="shared" ca="1" si="1"/>
        <v/>
      </c>
      <c r="P54" s="25"/>
    </row>
    <row r="55" spans="1:16" x14ac:dyDescent="0.25">
      <c r="A55" s="25" t="str">
        <f>IF(Registro_Compras!$R55&lt;&gt;"SI","",Registro_Compras!$B55)</f>
        <v/>
      </c>
      <c r="B55" t="str">
        <f>IF(Registro_Compras!$R55&lt;&gt;"SI","",Registro_Compras!$C55)</f>
        <v/>
      </c>
      <c r="C55" t="str">
        <f>IF(Registro_Compras!$R55&lt;&gt;"SI","",Registro_Compras!$D55)</f>
        <v/>
      </c>
      <c r="D55" t="str">
        <f>IF(Registro_Compras!$R55&lt;&gt;"SI","",Registro_Compras!$E55)</f>
        <v/>
      </c>
      <c r="E55" t="str">
        <f>IF(Registro_Compras!$R55&lt;&gt;"SI","",Registro_Compras!$G55)</f>
        <v/>
      </c>
      <c r="F55" s="31" t="str">
        <f>IF(Registro_Compras!$R55&lt;&gt;"SI","",Registro_Compras!$P55)</f>
        <v/>
      </c>
      <c r="G55" s="20" t="str">
        <f>IF(Registro_Compras!$R55&lt;&gt;"SI","",Registro_Compras!$O55)</f>
        <v/>
      </c>
      <c r="H55" s="20" t="str">
        <f>IF(Registro_Compras!$R55&lt;&gt;"SI","",Registro_Compras!$S55)</f>
        <v/>
      </c>
      <c r="I55" s="25" t="str">
        <f>IF(Registro_Compras!$R55&lt;&gt;"SI","",IF(Registro_Compras!$Y55="",WORKDAY(EOMONTH(Registro_Compras!$B55,0),5,Feriados),MIN(Registro_Compras!$Y55,WORKDAY(EOMONTH(Registro_Compras!$B55,0),5,Feriados))))</f>
        <v/>
      </c>
      <c r="J55" s="25" t="str">
        <f>IF(Registro_Compras!$R55&lt;&gt;"SI","",Registro_Compras!$X55)</f>
        <v/>
      </c>
      <c r="K55" t="str">
        <f>IF(Registro_Compras!$R55&lt;&gt;"SI","",IF(Registro_Compras!$X55="","PENDIENTE","DEPOSITADA"))</f>
        <v/>
      </c>
      <c r="L55" t="str">
        <f>IF(Registro_Compras!$R55&lt;&gt;"SI","",Registro_Compras!$Z55)</f>
        <v/>
      </c>
      <c r="M55" t="str">
        <f t="shared" ca="1" si="0"/>
        <v/>
      </c>
      <c r="N55" t="str">
        <f t="shared" ca="1" si="1"/>
        <v/>
      </c>
      <c r="P55" s="25"/>
    </row>
    <row r="56" spans="1:16" x14ac:dyDescent="0.25">
      <c r="A56" s="25" t="str">
        <f>IF(Registro_Compras!$R56&lt;&gt;"SI","",Registro_Compras!$B56)</f>
        <v/>
      </c>
      <c r="B56" t="str">
        <f>IF(Registro_Compras!$R56&lt;&gt;"SI","",Registro_Compras!$C56)</f>
        <v/>
      </c>
      <c r="C56" t="str">
        <f>IF(Registro_Compras!$R56&lt;&gt;"SI","",Registro_Compras!$D56)</f>
        <v/>
      </c>
      <c r="D56" t="str">
        <f>IF(Registro_Compras!$R56&lt;&gt;"SI","",Registro_Compras!$E56)</f>
        <v/>
      </c>
      <c r="E56" t="str">
        <f>IF(Registro_Compras!$R56&lt;&gt;"SI","",Registro_Compras!$G56)</f>
        <v/>
      </c>
      <c r="F56" s="31" t="str">
        <f>IF(Registro_Compras!$R56&lt;&gt;"SI","",Registro_Compras!$P56)</f>
        <v/>
      </c>
      <c r="G56" s="20" t="str">
        <f>IF(Registro_Compras!$R56&lt;&gt;"SI","",Registro_Compras!$O56)</f>
        <v/>
      </c>
      <c r="H56" s="20" t="str">
        <f>IF(Registro_Compras!$R56&lt;&gt;"SI","",Registro_Compras!$S56)</f>
        <v/>
      </c>
      <c r="I56" s="25" t="str">
        <f>IF(Registro_Compras!$R56&lt;&gt;"SI","",IF(Registro_Compras!$Y56="",WORKDAY(EOMONTH(Registro_Compras!$B56,0),5,Feriados),MIN(Registro_Compras!$Y56,WORKDAY(EOMONTH(Registro_Compras!$B56,0),5,Feriados))))</f>
        <v/>
      </c>
      <c r="J56" s="25" t="str">
        <f>IF(Registro_Compras!$R56&lt;&gt;"SI","",Registro_Compras!$X56)</f>
        <v/>
      </c>
      <c r="K56" t="str">
        <f>IF(Registro_Compras!$R56&lt;&gt;"SI","",IF(Registro_Compras!$X56="","PENDIENTE","DEPOSITADA"))</f>
        <v/>
      </c>
      <c r="L56" t="str">
        <f>IF(Registro_Compras!$R56&lt;&gt;"SI","",Registro_Compras!$Z56)</f>
        <v/>
      </c>
      <c r="M56" t="str">
        <f t="shared" ca="1" si="0"/>
        <v/>
      </c>
      <c r="N56" t="str">
        <f t="shared" ca="1" si="1"/>
        <v/>
      </c>
      <c r="P56" s="25"/>
    </row>
    <row r="57" spans="1:16" x14ac:dyDescent="0.25">
      <c r="A57" s="25" t="str">
        <f>IF(Registro_Compras!$R57&lt;&gt;"SI","",Registro_Compras!$B57)</f>
        <v/>
      </c>
      <c r="B57" t="str">
        <f>IF(Registro_Compras!$R57&lt;&gt;"SI","",Registro_Compras!$C57)</f>
        <v/>
      </c>
      <c r="C57" t="str">
        <f>IF(Registro_Compras!$R57&lt;&gt;"SI","",Registro_Compras!$D57)</f>
        <v/>
      </c>
      <c r="D57" t="str">
        <f>IF(Registro_Compras!$R57&lt;&gt;"SI","",Registro_Compras!$E57)</f>
        <v/>
      </c>
      <c r="E57" t="str">
        <f>IF(Registro_Compras!$R57&lt;&gt;"SI","",Registro_Compras!$G57)</f>
        <v/>
      </c>
      <c r="F57" s="31" t="str">
        <f>IF(Registro_Compras!$R57&lt;&gt;"SI","",Registro_Compras!$P57)</f>
        <v/>
      </c>
      <c r="G57" s="20" t="str">
        <f>IF(Registro_Compras!$R57&lt;&gt;"SI","",Registro_Compras!$O57)</f>
        <v/>
      </c>
      <c r="H57" s="20" t="str">
        <f>IF(Registro_Compras!$R57&lt;&gt;"SI","",Registro_Compras!$S57)</f>
        <v/>
      </c>
      <c r="I57" s="25" t="str">
        <f>IF(Registro_Compras!$R57&lt;&gt;"SI","",IF(Registro_Compras!$Y57="",WORKDAY(EOMONTH(Registro_Compras!$B57,0),5,Feriados),MIN(Registro_Compras!$Y57,WORKDAY(EOMONTH(Registro_Compras!$B57,0),5,Feriados))))</f>
        <v/>
      </c>
      <c r="J57" s="25" t="str">
        <f>IF(Registro_Compras!$R57&lt;&gt;"SI","",Registro_Compras!$X57)</f>
        <v/>
      </c>
      <c r="K57" t="str">
        <f>IF(Registro_Compras!$R57&lt;&gt;"SI","",IF(Registro_Compras!$X57="","PENDIENTE","DEPOSITADA"))</f>
        <v/>
      </c>
      <c r="L57" t="str">
        <f>IF(Registro_Compras!$R57&lt;&gt;"SI","",Registro_Compras!$Z57)</f>
        <v/>
      </c>
      <c r="M57" t="str">
        <f t="shared" ca="1" si="0"/>
        <v/>
      </c>
      <c r="N57" t="str">
        <f t="shared" ca="1" si="1"/>
        <v/>
      </c>
      <c r="P57" s="25"/>
    </row>
    <row r="58" spans="1:16" x14ac:dyDescent="0.25">
      <c r="A58" s="25" t="str">
        <f>IF(Registro_Compras!$R58&lt;&gt;"SI","",Registro_Compras!$B58)</f>
        <v/>
      </c>
      <c r="B58" t="str">
        <f>IF(Registro_Compras!$R58&lt;&gt;"SI","",Registro_Compras!$C58)</f>
        <v/>
      </c>
      <c r="C58" t="str">
        <f>IF(Registro_Compras!$R58&lt;&gt;"SI","",Registro_Compras!$D58)</f>
        <v/>
      </c>
      <c r="D58" t="str">
        <f>IF(Registro_Compras!$R58&lt;&gt;"SI","",Registro_Compras!$E58)</f>
        <v/>
      </c>
      <c r="E58" t="str">
        <f>IF(Registro_Compras!$R58&lt;&gt;"SI","",Registro_Compras!$G58)</f>
        <v/>
      </c>
      <c r="F58" s="31" t="str">
        <f>IF(Registro_Compras!$R58&lt;&gt;"SI","",Registro_Compras!$P58)</f>
        <v/>
      </c>
      <c r="G58" s="20" t="str">
        <f>IF(Registro_Compras!$R58&lt;&gt;"SI","",Registro_Compras!$O58)</f>
        <v/>
      </c>
      <c r="H58" s="20" t="str">
        <f>IF(Registro_Compras!$R58&lt;&gt;"SI","",Registro_Compras!$S58)</f>
        <v/>
      </c>
      <c r="I58" s="25" t="str">
        <f>IF(Registro_Compras!$R58&lt;&gt;"SI","",IF(Registro_Compras!$Y58="",WORKDAY(EOMONTH(Registro_Compras!$B58,0),5,Feriados),MIN(Registro_Compras!$Y58,WORKDAY(EOMONTH(Registro_Compras!$B58,0),5,Feriados))))</f>
        <v/>
      </c>
      <c r="J58" s="25" t="str">
        <f>IF(Registro_Compras!$R58&lt;&gt;"SI","",Registro_Compras!$X58)</f>
        <v/>
      </c>
      <c r="K58" t="str">
        <f>IF(Registro_Compras!$R58&lt;&gt;"SI","",IF(Registro_Compras!$X58="","PENDIENTE","DEPOSITADA"))</f>
        <v/>
      </c>
      <c r="L58" t="str">
        <f>IF(Registro_Compras!$R58&lt;&gt;"SI","",Registro_Compras!$Z58)</f>
        <v/>
      </c>
      <c r="M58" t="str">
        <f t="shared" ca="1" si="0"/>
        <v/>
      </c>
      <c r="N58" t="str">
        <f t="shared" ca="1" si="1"/>
        <v/>
      </c>
      <c r="P58" s="25"/>
    </row>
    <row r="59" spans="1:16" x14ac:dyDescent="0.25">
      <c r="A59" s="25" t="str">
        <f>IF(Registro_Compras!$R59&lt;&gt;"SI","",Registro_Compras!$B59)</f>
        <v/>
      </c>
      <c r="B59" t="str">
        <f>IF(Registro_Compras!$R59&lt;&gt;"SI","",Registro_Compras!$C59)</f>
        <v/>
      </c>
      <c r="C59" t="str">
        <f>IF(Registro_Compras!$R59&lt;&gt;"SI","",Registro_Compras!$D59)</f>
        <v/>
      </c>
      <c r="D59" t="str">
        <f>IF(Registro_Compras!$R59&lt;&gt;"SI","",Registro_Compras!$E59)</f>
        <v/>
      </c>
      <c r="E59" t="str">
        <f>IF(Registro_Compras!$R59&lt;&gt;"SI","",Registro_Compras!$G59)</f>
        <v/>
      </c>
      <c r="F59" s="31" t="str">
        <f>IF(Registro_Compras!$R59&lt;&gt;"SI","",Registro_Compras!$P59)</f>
        <v/>
      </c>
      <c r="G59" s="20" t="str">
        <f>IF(Registro_Compras!$R59&lt;&gt;"SI","",Registro_Compras!$O59)</f>
        <v/>
      </c>
      <c r="H59" s="20" t="str">
        <f>IF(Registro_Compras!$R59&lt;&gt;"SI","",Registro_Compras!$S59)</f>
        <v/>
      </c>
      <c r="I59" s="25" t="str">
        <f>IF(Registro_Compras!$R59&lt;&gt;"SI","",IF(Registro_Compras!$Y59="",WORKDAY(EOMONTH(Registro_Compras!$B59,0),5,Feriados),MIN(Registro_Compras!$Y59,WORKDAY(EOMONTH(Registro_Compras!$B59,0),5,Feriados))))</f>
        <v/>
      </c>
      <c r="J59" s="25" t="str">
        <f>IF(Registro_Compras!$R59&lt;&gt;"SI","",Registro_Compras!$X59)</f>
        <v/>
      </c>
      <c r="K59" t="str">
        <f>IF(Registro_Compras!$R59&lt;&gt;"SI","",IF(Registro_Compras!$X59="","PENDIENTE","DEPOSITADA"))</f>
        <v/>
      </c>
      <c r="L59" t="str">
        <f>IF(Registro_Compras!$R59&lt;&gt;"SI","",Registro_Compras!$Z59)</f>
        <v/>
      </c>
      <c r="M59" t="str">
        <f t="shared" ca="1" si="0"/>
        <v/>
      </c>
      <c r="N59" t="str">
        <f t="shared" ca="1" si="1"/>
        <v/>
      </c>
      <c r="P59" s="25"/>
    </row>
    <row r="60" spans="1:16" x14ac:dyDescent="0.25">
      <c r="A60" s="25">
        <f>IF(Registro_Compras!$R60&lt;&gt;"SI","",Registro_Compras!$B60)</f>
        <v>46248</v>
      </c>
      <c r="B60" t="str">
        <f>IF(Registro_Compras!$R60&lt;&gt;"SI","",Registro_Compras!$C60)</f>
        <v>E001-2663</v>
      </c>
      <c r="C60" t="str">
        <f>IF(Registro_Compras!$R60&lt;&gt;"SI","",Registro_Compras!$D60)</f>
        <v>20602860958</v>
      </c>
      <c r="D60" t="str">
        <f>IF(Registro_Compras!$R60&lt;&gt;"SI","",Registro_Compras!$E60)</f>
        <v>J &amp; R TURISMO E.I.R.L.</v>
      </c>
      <c r="E60" t="str">
        <f>IF(Registro_Compras!$R60&lt;&gt;"SI","",Registro_Compras!$G60)</f>
        <v>026</v>
      </c>
      <c r="F60" s="31">
        <f>IF(Registro_Compras!$R60&lt;&gt;"SI","",Registro_Compras!$P60)</f>
        <v>0.1</v>
      </c>
      <c r="G60" s="20">
        <f>IF(Registro_Compras!$R60&lt;&gt;"SI","",Registro_Compras!$O60)</f>
        <v>1034.22</v>
      </c>
      <c r="H60" s="20">
        <f>IF(Registro_Compras!$R60&lt;&gt;"SI","",Registro_Compras!$S60)</f>
        <v>103.42</v>
      </c>
      <c r="I60" s="25">
        <f>IF(Registro_Compras!$R60&lt;&gt;"SI","",IF(Registro_Compras!$Y60="",WORKDAY(EOMONTH(Registro_Compras!$B60,0),5,Feriados),MIN(Registro_Compras!$Y60,WORKDAY(EOMONTH(Registro_Compras!$B60,0),5,Feriados))))</f>
        <v>46272</v>
      </c>
      <c r="J60" s="25">
        <f>IF(Registro_Compras!$R60&lt;&gt;"SI","",Registro_Compras!$X60)</f>
        <v>0</v>
      </c>
      <c r="K60" t="str">
        <f>IF(Registro_Compras!$R60&lt;&gt;"SI","",IF(Registro_Compras!$X60="","PENDIENTE","DEPOSITADA"))</f>
        <v>PENDIENTE</v>
      </c>
      <c r="L60">
        <f>IF(Registro_Compras!$R60&lt;&gt;"SI","",Registro_Compras!$Z60)</f>
        <v>0</v>
      </c>
      <c r="M60">
        <f t="shared" ca="1" si="0"/>
        <v>0</v>
      </c>
      <c r="N60" t="str">
        <f t="shared" ca="1" si="1"/>
        <v>EN PLAZO</v>
      </c>
      <c r="P60" s="25"/>
    </row>
    <row r="61" spans="1:16" x14ac:dyDescent="0.25">
      <c r="A61" s="25">
        <f>IF(Registro_Compras!$R61&lt;&gt;"SI","",Registro_Compras!$B61)</f>
        <v>46246</v>
      </c>
      <c r="B61" t="str">
        <f>IF(Registro_Compras!$R61&lt;&gt;"SI","",Registro_Compras!$C61)</f>
        <v>E001-52</v>
      </c>
      <c r="C61" t="str">
        <f>IF(Registro_Compras!$R61&lt;&gt;"SI","",Registro_Compras!$D61)</f>
        <v>20615850609</v>
      </c>
      <c r="D61" t="str">
        <f>IF(Registro_Compras!$R61&lt;&gt;"SI","",Registro_Compras!$E61)</f>
        <v>MCA LUXURY CORPORATION S.A.C.</v>
      </c>
      <c r="E61" t="str">
        <f>IF(Registro_Compras!$R61&lt;&gt;"SI","",Registro_Compras!$G61)</f>
        <v>026</v>
      </c>
      <c r="F61" s="31">
        <f>IF(Registro_Compras!$R61&lt;&gt;"SI","",Registro_Compras!$P61)</f>
        <v>0.1</v>
      </c>
      <c r="G61" s="20">
        <f>IF(Registro_Compras!$R61&lt;&gt;"SI","",Registro_Compras!$O61)</f>
        <v>2636.5699999999997</v>
      </c>
      <c r="H61" s="20">
        <f>IF(Registro_Compras!$R61&lt;&gt;"SI","",Registro_Compras!$S61)</f>
        <v>263.66000000000003</v>
      </c>
      <c r="I61" s="25">
        <f>IF(Registro_Compras!$R61&lt;&gt;"SI","",IF(Registro_Compras!$Y61="",WORKDAY(EOMONTH(Registro_Compras!$B61,0),5,Feriados),MIN(Registro_Compras!$Y61,WORKDAY(EOMONTH(Registro_Compras!$B61,0),5,Feriados))))</f>
        <v>46272</v>
      </c>
      <c r="J61" s="25">
        <f>IF(Registro_Compras!$R61&lt;&gt;"SI","",Registro_Compras!$X61)</f>
        <v>0</v>
      </c>
      <c r="K61" t="str">
        <f>IF(Registro_Compras!$R61&lt;&gt;"SI","",IF(Registro_Compras!$X61="","PENDIENTE","DEPOSITADA"))</f>
        <v>PENDIENTE</v>
      </c>
      <c r="L61">
        <f>IF(Registro_Compras!$R61&lt;&gt;"SI","",Registro_Compras!$Z61)</f>
        <v>0</v>
      </c>
      <c r="M61">
        <f t="shared" ca="1" si="0"/>
        <v>0</v>
      </c>
      <c r="N61" t="str">
        <f t="shared" ca="1" si="1"/>
        <v>EN PLAZO</v>
      </c>
    </row>
    <row r="62" spans="1:16" x14ac:dyDescent="0.25">
      <c r="A62" s="25">
        <f>IF(Registro_Compras!$R62&lt;&gt;"SI","",Registro_Compras!$B62)</f>
        <v>46244</v>
      </c>
      <c r="B62" t="str">
        <f>IF(Registro_Compras!$R62&lt;&gt;"SI","",Registro_Compras!$C62)</f>
        <v>F001-00000733</v>
      </c>
      <c r="C62" t="str">
        <f>IF(Registro_Compras!$R62&lt;&gt;"SI","",Registro_Compras!$D62)</f>
        <v>20603386214</v>
      </c>
      <c r="D62" t="str">
        <f>IF(Registro_Compras!$R62&lt;&gt;"SI","",Registro_Compras!$E62)</f>
        <v>PERUVIAN CULTURE TRAVEL AGENCIA DE VIAJES Y TURISMO S.R.L.</v>
      </c>
      <c r="E62" t="str">
        <f>IF(Registro_Compras!$R62&lt;&gt;"SI","",Registro_Compras!$G62)</f>
        <v>037</v>
      </c>
      <c r="F62" s="31">
        <f>IF(Registro_Compras!$R62&lt;&gt;"SI","",Registro_Compras!$P62)</f>
        <v>0.12</v>
      </c>
      <c r="G62" s="20">
        <f>IF(Registro_Compras!$R62&lt;&gt;"SI","",Registro_Compras!$O62)</f>
        <v>4168.8999999999996</v>
      </c>
      <c r="H62" s="20">
        <f>IF(Registro_Compras!$R62&lt;&gt;"SI","",Registro_Compras!$S62)</f>
        <v>500.27</v>
      </c>
      <c r="I62" s="25">
        <f>IF(Registro_Compras!$R62&lt;&gt;"SI","",IF(Registro_Compras!$Y62="",WORKDAY(EOMONTH(Registro_Compras!$B62,0),5,Feriados),MIN(Registro_Compras!$Y62,WORKDAY(EOMONTH(Registro_Compras!$B62,0),5,Feriados))))</f>
        <v>46272</v>
      </c>
      <c r="J62" s="25">
        <f>IF(Registro_Compras!$R62&lt;&gt;"SI","",Registro_Compras!$X62)</f>
        <v>0</v>
      </c>
      <c r="K62" t="str">
        <f>IF(Registro_Compras!$R62&lt;&gt;"SI","",IF(Registro_Compras!$X62="","PENDIENTE","DEPOSITADA"))</f>
        <v>PENDIENTE</v>
      </c>
      <c r="L62">
        <f>IF(Registro_Compras!$R62&lt;&gt;"SI","",Registro_Compras!$Z62)</f>
        <v>0</v>
      </c>
      <c r="M62">
        <f t="shared" ca="1" si="0"/>
        <v>0</v>
      </c>
      <c r="N62" t="str">
        <f t="shared" ca="1" si="1"/>
        <v>EN PLAZO</v>
      </c>
    </row>
    <row r="63" spans="1:16" x14ac:dyDescent="0.25">
      <c r="A63" s="25" t="str">
        <f>IF(Registro_Compras!$R63&lt;&gt;"SI","",Registro_Compras!$B63)</f>
        <v/>
      </c>
      <c r="B63" t="str">
        <f>IF(Registro_Compras!$R63&lt;&gt;"SI","",Registro_Compras!$C63)</f>
        <v/>
      </c>
      <c r="C63" t="str">
        <f>IF(Registro_Compras!$R63&lt;&gt;"SI","",Registro_Compras!$D63)</f>
        <v/>
      </c>
      <c r="D63" t="str">
        <f>IF(Registro_Compras!$R63&lt;&gt;"SI","",Registro_Compras!$E63)</f>
        <v/>
      </c>
      <c r="E63" t="str">
        <f>IF(Registro_Compras!$R63&lt;&gt;"SI","",Registro_Compras!$G63)</f>
        <v/>
      </c>
      <c r="F63" s="31" t="str">
        <f>IF(Registro_Compras!$R63&lt;&gt;"SI","",Registro_Compras!$P63)</f>
        <v/>
      </c>
      <c r="G63" s="20" t="str">
        <f>IF(Registro_Compras!$R63&lt;&gt;"SI","",Registro_Compras!$O63)</f>
        <v/>
      </c>
      <c r="H63" s="20" t="str">
        <f>IF(Registro_Compras!$R63&lt;&gt;"SI","",Registro_Compras!$S63)</f>
        <v/>
      </c>
      <c r="I63" s="25" t="str">
        <f>IF(Registro_Compras!$R63&lt;&gt;"SI","",IF(Registro_Compras!$Y63="",WORKDAY(EOMONTH(Registro_Compras!$B63,0),5,Feriados),MIN(Registro_Compras!$Y63,WORKDAY(EOMONTH(Registro_Compras!$B63,0),5,Feriados))))</f>
        <v/>
      </c>
      <c r="J63" s="25" t="str">
        <f>IF(Registro_Compras!$R63&lt;&gt;"SI","",Registro_Compras!$X63)</f>
        <v/>
      </c>
      <c r="K63" t="str">
        <f>IF(Registro_Compras!$R63&lt;&gt;"SI","",IF(Registro_Compras!$X63="","PENDIENTE","DEPOSITADA"))</f>
        <v/>
      </c>
      <c r="L63" t="str">
        <f>IF(Registro_Compras!$R63&lt;&gt;"SI","",Registro_Compras!$Z63)</f>
        <v/>
      </c>
      <c r="M63" t="str">
        <f t="shared" ca="1" si="0"/>
        <v/>
      </c>
      <c r="N63" t="str">
        <f t="shared" ca="1" si="1"/>
        <v/>
      </c>
    </row>
    <row r="64" spans="1:16" x14ac:dyDescent="0.25">
      <c r="A64" s="25" t="str">
        <f>IF(Registro_Compras!$R64&lt;&gt;"SI","",Registro_Compras!$B64)</f>
        <v/>
      </c>
      <c r="B64" t="str">
        <f>IF(Registro_Compras!$R64&lt;&gt;"SI","",Registro_Compras!$C64)</f>
        <v/>
      </c>
      <c r="C64" t="str">
        <f>IF(Registro_Compras!$R64&lt;&gt;"SI","",Registro_Compras!$D64)</f>
        <v/>
      </c>
      <c r="D64" t="str">
        <f>IF(Registro_Compras!$R64&lt;&gt;"SI","",Registro_Compras!$E64)</f>
        <v/>
      </c>
      <c r="E64" t="str">
        <f>IF(Registro_Compras!$R64&lt;&gt;"SI","",Registro_Compras!$G64)</f>
        <v/>
      </c>
      <c r="F64" s="31" t="str">
        <f>IF(Registro_Compras!$R64&lt;&gt;"SI","",Registro_Compras!$P64)</f>
        <v/>
      </c>
      <c r="G64" s="20" t="str">
        <f>IF(Registro_Compras!$R64&lt;&gt;"SI","",Registro_Compras!$O64)</f>
        <v/>
      </c>
      <c r="H64" s="20" t="str">
        <f>IF(Registro_Compras!$R64&lt;&gt;"SI","",Registro_Compras!$S64)</f>
        <v/>
      </c>
      <c r="I64" s="25" t="str">
        <f>IF(Registro_Compras!$R64&lt;&gt;"SI","",IF(Registro_Compras!$Y64="",WORKDAY(EOMONTH(Registro_Compras!$B64,0),5,Feriados),MIN(Registro_Compras!$Y64,WORKDAY(EOMONTH(Registro_Compras!$B64,0),5,Feriados))))</f>
        <v/>
      </c>
      <c r="J64" s="25" t="str">
        <f>IF(Registro_Compras!$R64&lt;&gt;"SI","",Registro_Compras!$X64)</f>
        <v/>
      </c>
      <c r="K64" t="str">
        <f>IF(Registro_Compras!$R64&lt;&gt;"SI","",IF(Registro_Compras!$X64="","PENDIENTE","DEPOSITADA"))</f>
        <v/>
      </c>
      <c r="L64" t="str">
        <f>IF(Registro_Compras!$R64&lt;&gt;"SI","",Registro_Compras!$Z64)</f>
        <v/>
      </c>
      <c r="M64" t="str">
        <f t="shared" ca="1" si="0"/>
        <v/>
      </c>
      <c r="N64" t="str">
        <f t="shared" ca="1" si="1"/>
        <v/>
      </c>
    </row>
    <row r="65" spans="1:14" x14ac:dyDescent="0.25">
      <c r="A65" s="25" t="str">
        <f>IF(Registro_Compras!$R65&lt;&gt;"SI","",Registro_Compras!$B65)</f>
        <v/>
      </c>
      <c r="B65" t="str">
        <f>IF(Registro_Compras!$R65&lt;&gt;"SI","",Registro_Compras!$C65)</f>
        <v/>
      </c>
      <c r="C65" t="str">
        <f>IF(Registro_Compras!$R65&lt;&gt;"SI","",Registro_Compras!$D65)</f>
        <v/>
      </c>
      <c r="D65" t="str">
        <f>IF(Registro_Compras!$R65&lt;&gt;"SI","",Registro_Compras!$E65)</f>
        <v/>
      </c>
      <c r="E65" t="str">
        <f>IF(Registro_Compras!$R65&lt;&gt;"SI","",Registro_Compras!$G65)</f>
        <v/>
      </c>
      <c r="F65" s="31" t="str">
        <f>IF(Registro_Compras!$R65&lt;&gt;"SI","",Registro_Compras!$P65)</f>
        <v/>
      </c>
      <c r="G65" s="20" t="str">
        <f>IF(Registro_Compras!$R65&lt;&gt;"SI","",Registro_Compras!$O65)</f>
        <v/>
      </c>
      <c r="H65" s="20" t="str">
        <f>IF(Registro_Compras!$R65&lt;&gt;"SI","",Registro_Compras!$S65)</f>
        <v/>
      </c>
      <c r="I65" s="25" t="str">
        <f>IF(Registro_Compras!$R65&lt;&gt;"SI","",IF(Registro_Compras!$Y65="",WORKDAY(EOMONTH(Registro_Compras!$B65,0),5,Feriados),MIN(Registro_Compras!$Y65,WORKDAY(EOMONTH(Registro_Compras!$B65,0),5,Feriados))))</f>
        <v/>
      </c>
      <c r="J65" s="25" t="str">
        <f>IF(Registro_Compras!$R65&lt;&gt;"SI","",Registro_Compras!$X65)</f>
        <v/>
      </c>
      <c r="K65" t="str">
        <f>IF(Registro_Compras!$R65&lt;&gt;"SI","",IF(Registro_Compras!$X65="","PENDIENTE","DEPOSITADA"))</f>
        <v/>
      </c>
      <c r="L65" t="str">
        <f>IF(Registro_Compras!$R65&lt;&gt;"SI","",Registro_Compras!$Z65)</f>
        <v/>
      </c>
      <c r="M65" t="str">
        <f t="shared" ca="1" si="0"/>
        <v/>
      </c>
      <c r="N65" t="str">
        <f t="shared" ca="1" si="1"/>
        <v/>
      </c>
    </row>
    <row r="66" spans="1:14" x14ac:dyDescent="0.25">
      <c r="A66" s="25" t="str">
        <f>IF(Registro_Compras!$R66&lt;&gt;"SI","",Registro_Compras!$B66)</f>
        <v/>
      </c>
      <c r="B66" t="str">
        <f>IF(Registro_Compras!$R66&lt;&gt;"SI","",Registro_Compras!$C66)</f>
        <v/>
      </c>
      <c r="C66" t="str">
        <f>IF(Registro_Compras!$R66&lt;&gt;"SI","",Registro_Compras!$D66)</f>
        <v/>
      </c>
      <c r="D66" t="str">
        <f>IF(Registro_Compras!$R66&lt;&gt;"SI","",Registro_Compras!$E66)</f>
        <v/>
      </c>
      <c r="E66" t="str">
        <f>IF(Registro_Compras!$R66&lt;&gt;"SI","",Registro_Compras!$G66)</f>
        <v/>
      </c>
      <c r="F66" s="31" t="str">
        <f>IF(Registro_Compras!$R66&lt;&gt;"SI","",Registro_Compras!$P66)</f>
        <v/>
      </c>
      <c r="G66" s="20" t="str">
        <f>IF(Registro_Compras!$R66&lt;&gt;"SI","",Registro_Compras!$O66)</f>
        <v/>
      </c>
      <c r="H66" s="20" t="str">
        <f>IF(Registro_Compras!$R66&lt;&gt;"SI","",Registro_Compras!$S66)</f>
        <v/>
      </c>
      <c r="I66" s="25" t="str">
        <f>IF(Registro_Compras!$R66&lt;&gt;"SI","",IF(Registro_Compras!$Y66="",WORKDAY(EOMONTH(Registro_Compras!$B66,0),5,Feriados),MIN(Registro_Compras!$Y66,WORKDAY(EOMONTH(Registro_Compras!$B66,0),5,Feriados))))</f>
        <v/>
      </c>
      <c r="J66" s="25" t="str">
        <f>IF(Registro_Compras!$R66&lt;&gt;"SI","",Registro_Compras!$X66)</f>
        <v/>
      </c>
      <c r="K66" t="str">
        <f>IF(Registro_Compras!$R66&lt;&gt;"SI","",IF(Registro_Compras!$X66="","PENDIENTE","DEPOSITADA"))</f>
        <v/>
      </c>
      <c r="L66" t="str">
        <f>IF(Registro_Compras!$R66&lt;&gt;"SI","",Registro_Compras!$Z66)</f>
        <v/>
      </c>
      <c r="M66" t="str">
        <f t="shared" ca="1" si="0"/>
        <v/>
      </c>
      <c r="N66" t="str">
        <f t="shared" ca="1" si="1"/>
        <v/>
      </c>
    </row>
    <row r="67" spans="1:14" x14ac:dyDescent="0.25">
      <c r="A67" s="25">
        <f>IF(Registro_Compras!$R67&lt;&gt;"SI","",Registro_Compras!$B67)</f>
        <v>46240</v>
      </c>
      <c r="B67" t="str">
        <f>IF(Registro_Compras!$R67&lt;&gt;"SI","",Registro_Compras!$C67)</f>
        <v>E001-329</v>
      </c>
      <c r="C67" t="str">
        <f>IF(Registro_Compras!$R67&lt;&gt;"SI","",Registro_Compras!$D67)</f>
        <v>20603668406</v>
      </c>
      <c r="D67" t="str">
        <f>IF(Registro_Compras!$R67&lt;&gt;"SI","",Registro_Compras!$E67)</f>
        <v>LUXURY ADVENTURE CUSCO PERU E.I.R.L.</v>
      </c>
      <c r="E67" t="str">
        <f>IF(Registro_Compras!$R67&lt;&gt;"SI","",Registro_Compras!$G67)</f>
        <v>037</v>
      </c>
      <c r="F67" s="31">
        <f>IF(Registro_Compras!$R67&lt;&gt;"SI","",Registro_Compras!$P67)</f>
        <v>0.12</v>
      </c>
      <c r="G67" s="20">
        <f>IF(Registro_Compras!$R67&lt;&gt;"SI","",Registro_Compras!$O67)</f>
        <v>712.74</v>
      </c>
      <c r="H67" s="20">
        <f>IF(Registro_Compras!$R67&lt;&gt;"SI","",Registro_Compras!$S67)</f>
        <v>85.53</v>
      </c>
      <c r="I67" s="25">
        <f>IF(Registro_Compras!$R67&lt;&gt;"SI","",IF(Registro_Compras!$Y67="",WORKDAY(EOMONTH(Registro_Compras!$B67,0),5,Feriados),MIN(Registro_Compras!$Y67,WORKDAY(EOMONTH(Registro_Compras!$B67,0),5,Feriados))))</f>
        <v>46272</v>
      </c>
      <c r="J67" s="25">
        <f>IF(Registro_Compras!$R67&lt;&gt;"SI","",Registro_Compras!$X67)</f>
        <v>0</v>
      </c>
      <c r="K67" t="str">
        <f>IF(Registro_Compras!$R67&lt;&gt;"SI","",IF(Registro_Compras!$X67="","PENDIENTE","DEPOSITADA"))</f>
        <v>PENDIENTE</v>
      </c>
      <c r="L67">
        <f>IF(Registro_Compras!$R67&lt;&gt;"SI","",Registro_Compras!$Z67)</f>
        <v>0</v>
      </c>
      <c r="M67">
        <f t="shared" ca="1" si="0"/>
        <v>0</v>
      </c>
      <c r="N67" t="str">
        <f t="shared" ca="1" si="1"/>
        <v>EN PLAZO</v>
      </c>
    </row>
    <row r="68" spans="1:14" x14ac:dyDescent="0.25">
      <c r="A68" s="25" t="str">
        <f>IF(Registro_Compras!$R68&lt;&gt;"SI","",Registro_Compras!$B68)</f>
        <v/>
      </c>
      <c r="B68" t="str">
        <f>IF(Registro_Compras!$R68&lt;&gt;"SI","",Registro_Compras!$C68)</f>
        <v/>
      </c>
      <c r="C68" t="str">
        <f>IF(Registro_Compras!$R68&lt;&gt;"SI","",Registro_Compras!$D68)</f>
        <v/>
      </c>
      <c r="D68" t="str">
        <f>IF(Registro_Compras!$R68&lt;&gt;"SI","",Registro_Compras!$E68)</f>
        <v/>
      </c>
      <c r="E68" t="str">
        <f>IF(Registro_Compras!$R68&lt;&gt;"SI","",Registro_Compras!$G68)</f>
        <v/>
      </c>
      <c r="F68" s="31" t="str">
        <f>IF(Registro_Compras!$R68&lt;&gt;"SI","",Registro_Compras!$P68)</f>
        <v/>
      </c>
      <c r="G68" s="20" t="str">
        <f>IF(Registro_Compras!$R68&lt;&gt;"SI","",Registro_Compras!$O68)</f>
        <v/>
      </c>
      <c r="H68" s="20" t="str">
        <f>IF(Registro_Compras!$R68&lt;&gt;"SI","",Registro_Compras!$S68)</f>
        <v/>
      </c>
      <c r="I68" s="25" t="str">
        <f>IF(Registro_Compras!$R68&lt;&gt;"SI","",IF(Registro_Compras!$Y68="",WORKDAY(EOMONTH(Registro_Compras!$B68,0),5,Feriados),MIN(Registro_Compras!$Y68,WORKDAY(EOMONTH(Registro_Compras!$B68,0),5,Feriados))))</f>
        <v/>
      </c>
      <c r="J68" s="25" t="str">
        <f>IF(Registro_Compras!$R68&lt;&gt;"SI","",Registro_Compras!$X68)</f>
        <v/>
      </c>
      <c r="K68" t="str">
        <f>IF(Registro_Compras!$R68&lt;&gt;"SI","",IF(Registro_Compras!$X68="","PENDIENTE","DEPOSITADA"))</f>
        <v/>
      </c>
      <c r="L68" t="str">
        <f>IF(Registro_Compras!$R68&lt;&gt;"SI","",Registro_Compras!$Z68)</f>
        <v/>
      </c>
      <c r="M68" t="str">
        <f t="shared" ref="M68:M131" ca="1" si="2">IF($K68&lt;&gt;"PENDIENTE","",IF(TODAY()&gt;$I68,TODAY()-$I68,0))</f>
        <v/>
      </c>
      <c r="N68" t="str">
        <f t="shared" ref="N68:N131" ca="1" si="3">IF($K68&lt;&gt;"PENDIENTE","",IF($M68&gt;0,"VENCIDA - DEPOSITAR YA",IF($I68-TODAY()&lt;=3,"POR VENCER","EN PLAZO")))</f>
        <v/>
      </c>
    </row>
    <row r="69" spans="1:14" x14ac:dyDescent="0.25">
      <c r="A69" s="25" t="str">
        <f>IF(Registro_Compras!$R69&lt;&gt;"SI","",Registro_Compras!$B69)</f>
        <v/>
      </c>
      <c r="B69" t="str">
        <f>IF(Registro_Compras!$R69&lt;&gt;"SI","",Registro_Compras!$C69)</f>
        <v/>
      </c>
      <c r="C69" t="str">
        <f>IF(Registro_Compras!$R69&lt;&gt;"SI","",Registro_Compras!$D69)</f>
        <v/>
      </c>
      <c r="D69" t="str">
        <f>IF(Registro_Compras!$R69&lt;&gt;"SI","",Registro_Compras!$E69)</f>
        <v/>
      </c>
      <c r="E69" t="str">
        <f>IF(Registro_Compras!$R69&lt;&gt;"SI","",Registro_Compras!$G69)</f>
        <v/>
      </c>
      <c r="F69" s="31" t="str">
        <f>IF(Registro_Compras!$R69&lt;&gt;"SI","",Registro_Compras!$P69)</f>
        <v/>
      </c>
      <c r="G69" s="20" t="str">
        <f>IF(Registro_Compras!$R69&lt;&gt;"SI","",Registro_Compras!$O69)</f>
        <v/>
      </c>
      <c r="H69" s="20" t="str">
        <f>IF(Registro_Compras!$R69&lt;&gt;"SI","",Registro_Compras!$S69)</f>
        <v/>
      </c>
      <c r="I69" s="25" t="str">
        <f>IF(Registro_Compras!$R69&lt;&gt;"SI","",IF(Registro_Compras!$Y69="",WORKDAY(EOMONTH(Registro_Compras!$B69,0),5,Feriados),MIN(Registro_Compras!$Y69,WORKDAY(EOMONTH(Registro_Compras!$B69,0),5,Feriados))))</f>
        <v/>
      </c>
      <c r="J69" s="25" t="str">
        <f>IF(Registro_Compras!$R69&lt;&gt;"SI","",Registro_Compras!$X69)</f>
        <v/>
      </c>
      <c r="K69" t="str">
        <f>IF(Registro_Compras!$R69&lt;&gt;"SI","",IF(Registro_Compras!$X69="","PENDIENTE","DEPOSITADA"))</f>
        <v/>
      </c>
      <c r="L69" t="str">
        <f>IF(Registro_Compras!$R69&lt;&gt;"SI","",Registro_Compras!$Z69)</f>
        <v/>
      </c>
      <c r="M69" t="str">
        <f t="shared" ca="1" si="2"/>
        <v/>
      </c>
      <c r="N69" t="str">
        <f t="shared" ca="1" si="3"/>
        <v/>
      </c>
    </row>
    <row r="70" spans="1:14" x14ac:dyDescent="0.25">
      <c r="A70" s="25">
        <f>IF(Registro_Compras!$R70&lt;&gt;"SI","",Registro_Compras!$B70)</f>
        <v>46247</v>
      </c>
      <c r="B70" t="str">
        <f>IF(Registro_Compras!$R70&lt;&gt;"SI","",Registro_Compras!$C70)</f>
        <v>E001-7189</v>
      </c>
      <c r="C70" t="str">
        <f>IF(Registro_Compras!$R70&lt;&gt;"SI","",Registro_Compras!$D70)</f>
        <v>20225253529</v>
      </c>
      <c r="D70" t="str">
        <f>IF(Registro_Compras!$R70&lt;&gt;"SI","",Registro_Compras!$E70)</f>
        <v>ARCOBALENO SOCIEDAD COMERCIAL DE RESPONSABILIDAD LIMITADA</v>
      </c>
      <c r="E70" t="str">
        <f>IF(Registro_Compras!$R70&lt;&gt;"SI","",Registro_Compras!$G70)</f>
        <v>037</v>
      </c>
      <c r="F70" s="31">
        <f>IF(Registro_Compras!$R70&lt;&gt;"SI","",Registro_Compras!$P70)</f>
        <v>0.12</v>
      </c>
      <c r="G70" s="20">
        <f>IF(Registro_Compras!$R70&lt;&gt;"SI","",Registro_Compras!$O70)</f>
        <v>1807.81</v>
      </c>
      <c r="H70" s="20">
        <f>IF(Registro_Compras!$R70&lt;&gt;"SI","",Registro_Compras!$S70)</f>
        <v>216.94</v>
      </c>
      <c r="I70" s="25">
        <f>IF(Registro_Compras!$R70&lt;&gt;"SI","",IF(Registro_Compras!$Y70="",WORKDAY(EOMONTH(Registro_Compras!$B70,0),5,Feriados),MIN(Registro_Compras!$Y70,WORKDAY(EOMONTH(Registro_Compras!$B70,0),5,Feriados))))</f>
        <v>46272</v>
      </c>
      <c r="J70" s="25">
        <f>IF(Registro_Compras!$R70&lt;&gt;"SI","",Registro_Compras!$X70)</f>
        <v>0</v>
      </c>
      <c r="K70" t="str">
        <f>IF(Registro_Compras!$R70&lt;&gt;"SI","",IF(Registro_Compras!$X70="","PENDIENTE","DEPOSITADA"))</f>
        <v>PENDIENTE</v>
      </c>
      <c r="L70">
        <f>IF(Registro_Compras!$R70&lt;&gt;"SI","",Registro_Compras!$Z70)</f>
        <v>0</v>
      </c>
      <c r="M70">
        <f t="shared" ca="1" si="2"/>
        <v>0</v>
      </c>
      <c r="N70" t="str">
        <f t="shared" ca="1" si="3"/>
        <v>EN PLAZO</v>
      </c>
    </row>
    <row r="71" spans="1:14" x14ac:dyDescent="0.25">
      <c r="A71" s="25" t="str">
        <f>IF(Registro_Compras!$R71&lt;&gt;"SI","",Registro_Compras!$B71)</f>
        <v/>
      </c>
      <c r="B71" t="str">
        <f>IF(Registro_Compras!$R71&lt;&gt;"SI","",Registro_Compras!$C71)</f>
        <v/>
      </c>
      <c r="C71" t="str">
        <f>IF(Registro_Compras!$R71&lt;&gt;"SI","",Registro_Compras!$D71)</f>
        <v/>
      </c>
      <c r="D71" t="str">
        <f>IF(Registro_Compras!$R71&lt;&gt;"SI","",Registro_Compras!$E71)</f>
        <v/>
      </c>
      <c r="E71" t="str">
        <f>IF(Registro_Compras!$R71&lt;&gt;"SI","",Registro_Compras!$G71)</f>
        <v/>
      </c>
      <c r="F71" s="31" t="str">
        <f>IF(Registro_Compras!$R71&lt;&gt;"SI","",Registro_Compras!$P71)</f>
        <v/>
      </c>
      <c r="G71" s="20" t="str">
        <f>IF(Registro_Compras!$R71&lt;&gt;"SI","",Registro_Compras!$O71)</f>
        <v/>
      </c>
      <c r="H71" s="20" t="str">
        <f>IF(Registro_Compras!$R71&lt;&gt;"SI","",Registro_Compras!$S71)</f>
        <v/>
      </c>
      <c r="I71" s="25" t="str">
        <f>IF(Registro_Compras!$R71&lt;&gt;"SI","",IF(Registro_Compras!$Y71="",WORKDAY(EOMONTH(Registro_Compras!$B71,0),5,Feriados),MIN(Registro_Compras!$Y71,WORKDAY(EOMONTH(Registro_Compras!$B71,0),5,Feriados))))</f>
        <v/>
      </c>
      <c r="J71" s="25" t="str">
        <f>IF(Registro_Compras!$R71&lt;&gt;"SI","",Registro_Compras!$X71)</f>
        <v/>
      </c>
      <c r="K71" t="str">
        <f>IF(Registro_Compras!$R71&lt;&gt;"SI","",IF(Registro_Compras!$X71="","PENDIENTE","DEPOSITADA"))</f>
        <v/>
      </c>
      <c r="L71" t="str">
        <f>IF(Registro_Compras!$R71&lt;&gt;"SI","",Registro_Compras!$Z71)</f>
        <v/>
      </c>
      <c r="M71" t="str">
        <f t="shared" ca="1" si="2"/>
        <v/>
      </c>
      <c r="N71" t="str">
        <f t="shared" ca="1" si="3"/>
        <v/>
      </c>
    </row>
    <row r="72" spans="1:14" x14ac:dyDescent="0.25">
      <c r="A72" s="25" t="str">
        <f>IF(Registro_Compras!$R72&lt;&gt;"SI","",Registro_Compras!$B72)</f>
        <v/>
      </c>
      <c r="B72" t="str">
        <f>IF(Registro_Compras!$R72&lt;&gt;"SI","",Registro_Compras!$C72)</f>
        <v/>
      </c>
      <c r="C72" t="str">
        <f>IF(Registro_Compras!$R72&lt;&gt;"SI","",Registro_Compras!$D72)</f>
        <v/>
      </c>
      <c r="D72" t="str">
        <f>IF(Registro_Compras!$R72&lt;&gt;"SI","",Registro_Compras!$E72)</f>
        <v/>
      </c>
      <c r="E72" t="str">
        <f>IF(Registro_Compras!$R72&lt;&gt;"SI","",Registro_Compras!$G72)</f>
        <v/>
      </c>
      <c r="F72" s="31" t="str">
        <f>IF(Registro_Compras!$R72&lt;&gt;"SI","",Registro_Compras!$P72)</f>
        <v/>
      </c>
      <c r="G72" s="20" t="str">
        <f>IF(Registro_Compras!$R72&lt;&gt;"SI","",Registro_Compras!$O72)</f>
        <v/>
      </c>
      <c r="H72" s="20" t="str">
        <f>IF(Registro_Compras!$R72&lt;&gt;"SI","",Registro_Compras!$S72)</f>
        <v/>
      </c>
      <c r="I72" s="25" t="str">
        <f>IF(Registro_Compras!$R72&lt;&gt;"SI","",IF(Registro_Compras!$Y72="",WORKDAY(EOMONTH(Registro_Compras!$B72,0),5,Feriados),MIN(Registro_Compras!$Y72,WORKDAY(EOMONTH(Registro_Compras!$B72,0),5,Feriados))))</f>
        <v/>
      </c>
      <c r="J72" s="25" t="str">
        <f>IF(Registro_Compras!$R72&lt;&gt;"SI","",Registro_Compras!$X72)</f>
        <v/>
      </c>
      <c r="K72" t="str">
        <f>IF(Registro_Compras!$R72&lt;&gt;"SI","",IF(Registro_Compras!$X72="","PENDIENTE","DEPOSITADA"))</f>
        <v/>
      </c>
      <c r="L72" t="str">
        <f>IF(Registro_Compras!$R72&lt;&gt;"SI","",Registro_Compras!$Z72)</f>
        <v/>
      </c>
      <c r="M72" t="str">
        <f t="shared" ca="1" si="2"/>
        <v/>
      </c>
      <c r="N72" t="str">
        <f t="shared" ca="1" si="3"/>
        <v/>
      </c>
    </row>
    <row r="73" spans="1:14" x14ac:dyDescent="0.25">
      <c r="A73" s="25" t="str">
        <f>IF(Registro_Compras!$R73&lt;&gt;"SI","",Registro_Compras!$B73)</f>
        <v/>
      </c>
      <c r="B73" t="str">
        <f>IF(Registro_Compras!$R73&lt;&gt;"SI","",Registro_Compras!$C73)</f>
        <v/>
      </c>
      <c r="C73" t="str">
        <f>IF(Registro_Compras!$R73&lt;&gt;"SI","",Registro_Compras!$D73)</f>
        <v/>
      </c>
      <c r="D73" t="str">
        <f>IF(Registro_Compras!$R73&lt;&gt;"SI","",Registro_Compras!$E73)</f>
        <v/>
      </c>
      <c r="E73" t="str">
        <f>IF(Registro_Compras!$R73&lt;&gt;"SI","",Registro_Compras!$G73)</f>
        <v/>
      </c>
      <c r="F73" s="31" t="str">
        <f>IF(Registro_Compras!$R73&lt;&gt;"SI","",Registro_Compras!$P73)</f>
        <v/>
      </c>
      <c r="G73" s="20" t="str">
        <f>IF(Registro_Compras!$R73&lt;&gt;"SI","",Registro_Compras!$O73)</f>
        <v/>
      </c>
      <c r="H73" s="20" t="str">
        <f>IF(Registro_Compras!$R73&lt;&gt;"SI","",Registro_Compras!$S73)</f>
        <v/>
      </c>
      <c r="I73" s="25" t="str">
        <f>IF(Registro_Compras!$R73&lt;&gt;"SI","",IF(Registro_Compras!$Y73="",WORKDAY(EOMONTH(Registro_Compras!$B73,0),5,Feriados),MIN(Registro_Compras!$Y73,WORKDAY(EOMONTH(Registro_Compras!$B73,0),5,Feriados))))</f>
        <v/>
      </c>
      <c r="J73" s="25" t="str">
        <f>IF(Registro_Compras!$R73&lt;&gt;"SI","",Registro_Compras!$X73)</f>
        <v/>
      </c>
      <c r="K73" t="str">
        <f>IF(Registro_Compras!$R73&lt;&gt;"SI","",IF(Registro_Compras!$X73="","PENDIENTE","DEPOSITADA"))</f>
        <v/>
      </c>
      <c r="L73" t="str">
        <f>IF(Registro_Compras!$R73&lt;&gt;"SI","",Registro_Compras!$Z73)</f>
        <v/>
      </c>
      <c r="M73" t="str">
        <f t="shared" ca="1" si="2"/>
        <v/>
      </c>
      <c r="N73" t="str">
        <f t="shared" ca="1" si="3"/>
        <v/>
      </c>
    </row>
    <row r="74" spans="1:14" x14ac:dyDescent="0.25">
      <c r="A74" s="25" t="str">
        <f>IF(Registro_Compras!$R74&lt;&gt;"SI","",Registro_Compras!$B74)</f>
        <v/>
      </c>
      <c r="B74" t="str">
        <f>IF(Registro_Compras!$R74&lt;&gt;"SI","",Registro_Compras!$C74)</f>
        <v/>
      </c>
      <c r="C74" t="str">
        <f>IF(Registro_Compras!$R74&lt;&gt;"SI","",Registro_Compras!$D74)</f>
        <v/>
      </c>
      <c r="D74" t="str">
        <f>IF(Registro_Compras!$R74&lt;&gt;"SI","",Registro_Compras!$E74)</f>
        <v/>
      </c>
      <c r="E74" t="str">
        <f>IF(Registro_Compras!$R74&lt;&gt;"SI","",Registro_Compras!$G74)</f>
        <v/>
      </c>
      <c r="F74" s="31" t="str">
        <f>IF(Registro_Compras!$R74&lt;&gt;"SI","",Registro_Compras!$P74)</f>
        <v/>
      </c>
      <c r="G74" s="20" t="str">
        <f>IF(Registro_Compras!$R74&lt;&gt;"SI","",Registro_Compras!$O74)</f>
        <v/>
      </c>
      <c r="H74" s="20" t="str">
        <f>IF(Registro_Compras!$R74&lt;&gt;"SI","",Registro_Compras!$S74)</f>
        <v/>
      </c>
      <c r="I74" s="25" t="str">
        <f>IF(Registro_Compras!$R74&lt;&gt;"SI","",IF(Registro_Compras!$Y74="",WORKDAY(EOMONTH(Registro_Compras!$B74,0),5,Feriados),MIN(Registro_Compras!$Y74,WORKDAY(EOMONTH(Registro_Compras!$B74,0),5,Feriados))))</f>
        <v/>
      </c>
      <c r="J74" s="25" t="str">
        <f>IF(Registro_Compras!$R74&lt;&gt;"SI","",Registro_Compras!$X74)</f>
        <v/>
      </c>
      <c r="K74" t="str">
        <f>IF(Registro_Compras!$R74&lt;&gt;"SI","",IF(Registro_Compras!$X74="","PENDIENTE","DEPOSITADA"))</f>
        <v/>
      </c>
      <c r="L74" t="str">
        <f>IF(Registro_Compras!$R74&lt;&gt;"SI","",Registro_Compras!$Z74)</f>
        <v/>
      </c>
      <c r="M74" t="str">
        <f t="shared" ca="1" si="2"/>
        <v/>
      </c>
      <c r="N74" t="str">
        <f t="shared" ca="1" si="3"/>
        <v/>
      </c>
    </row>
    <row r="75" spans="1:14" x14ac:dyDescent="0.25">
      <c r="A75" s="25" t="str">
        <f>IF(Registro_Compras!$R75&lt;&gt;"SI","",Registro_Compras!$B75)</f>
        <v/>
      </c>
      <c r="B75" t="str">
        <f>IF(Registro_Compras!$R75&lt;&gt;"SI","",Registro_Compras!$C75)</f>
        <v/>
      </c>
      <c r="C75" t="str">
        <f>IF(Registro_Compras!$R75&lt;&gt;"SI","",Registro_Compras!$D75)</f>
        <v/>
      </c>
      <c r="D75" t="str">
        <f>IF(Registro_Compras!$R75&lt;&gt;"SI","",Registro_Compras!$E75)</f>
        <v/>
      </c>
      <c r="E75" t="str">
        <f>IF(Registro_Compras!$R75&lt;&gt;"SI","",Registro_Compras!$G75)</f>
        <v/>
      </c>
      <c r="F75" s="31" t="str">
        <f>IF(Registro_Compras!$R75&lt;&gt;"SI","",Registro_Compras!$P75)</f>
        <v/>
      </c>
      <c r="G75" s="20" t="str">
        <f>IF(Registro_Compras!$R75&lt;&gt;"SI","",Registro_Compras!$O75)</f>
        <v/>
      </c>
      <c r="H75" s="20" t="str">
        <f>IF(Registro_Compras!$R75&lt;&gt;"SI","",Registro_Compras!$S75)</f>
        <v/>
      </c>
      <c r="I75" s="25" t="str">
        <f>IF(Registro_Compras!$R75&lt;&gt;"SI","",IF(Registro_Compras!$Y75="",WORKDAY(EOMONTH(Registro_Compras!$B75,0),5,Feriados),MIN(Registro_Compras!$Y75,WORKDAY(EOMONTH(Registro_Compras!$B75,0),5,Feriados))))</f>
        <v/>
      </c>
      <c r="J75" s="25" t="str">
        <f>IF(Registro_Compras!$R75&lt;&gt;"SI","",Registro_Compras!$X75)</f>
        <v/>
      </c>
      <c r="K75" t="str">
        <f>IF(Registro_Compras!$R75&lt;&gt;"SI","",IF(Registro_Compras!$X75="","PENDIENTE","DEPOSITADA"))</f>
        <v/>
      </c>
      <c r="L75" t="str">
        <f>IF(Registro_Compras!$R75&lt;&gt;"SI","",Registro_Compras!$Z75)</f>
        <v/>
      </c>
      <c r="M75" t="str">
        <f t="shared" ca="1" si="2"/>
        <v/>
      </c>
      <c r="N75" t="str">
        <f t="shared" ca="1" si="3"/>
        <v/>
      </c>
    </row>
    <row r="76" spans="1:14" x14ac:dyDescent="0.25">
      <c r="A76" s="25" t="str">
        <f>IF(Registro_Compras!$R76&lt;&gt;"SI","",Registro_Compras!$B76)</f>
        <v/>
      </c>
      <c r="B76" t="str">
        <f>IF(Registro_Compras!$R76&lt;&gt;"SI","",Registro_Compras!$C76)</f>
        <v/>
      </c>
      <c r="C76" t="str">
        <f>IF(Registro_Compras!$R76&lt;&gt;"SI","",Registro_Compras!$D76)</f>
        <v/>
      </c>
      <c r="D76" t="str">
        <f>IF(Registro_Compras!$R76&lt;&gt;"SI","",Registro_Compras!$E76)</f>
        <v/>
      </c>
      <c r="E76" t="str">
        <f>IF(Registro_Compras!$R76&lt;&gt;"SI","",Registro_Compras!$G76)</f>
        <v/>
      </c>
      <c r="F76" s="31" t="str">
        <f>IF(Registro_Compras!$R76&lt;&gt;"SI","",Registro_Compras!$P76)</f>
        <v/>
      </c>
      <c r="G76" s="20" t="str">
        <f>IF(Registro_Compras!$R76&lt;&gt;"SI","",Registro_Compras!$O76)</f>
        <v/>
      </c>
      <c r="H76" s="20" t="str">
        <f>IF(Registro_Compras!$R76&lt;&gt;"SI","",Registro_Compras!$S76)</f>
        <v/>
      </c>
      <c r="I76" s="25" t="str">
        <f>IF(Registro_Compras!$R76&lt;&gt;"SI","",IF(Registro_Compras!$Y76="",WORKDAY(EOMONTH(Registro_Compras!$B76,0),5,Feriados),MIN(Registro_Compras!$Y76,WORKDAY(EOMONTH(Registro_Compras!$B76,0),5,Feriados))))</f>
        <v/>
      </c>
      <c r="J76" s="25" t="str">
        <f>IF(Registro_Compras!$R76&lt;&gt;"SI","",Registro_Compras!$X76)</f>
        <v/>
      </c>
      <c r="K76" t="str">
        <f>IF(Registro_Compras!$R76&lt;&gt;"SI","",IF(Registro_Compras!$X76="","PENDIENTE","DEPOSITADA"))</f>
        <v/>
      </c>
      <c r="L76" t="str">
        <f>IF(Registro_Compras!$R76&lt;&gt;"SI","",Registro_Compras!$Z76)</f>
        <v/>
      </c>
      <c r="M76" t="str">
        <f t="shared" ca="1" si="2"/>
        <v/>
      </c>
      <c r="N76" t="str">
        <f t="shared" ca="1" si="3"/>
        <v/>
      </c>
    </row>
    <row r="77" spans="1:14" x14ac:dyDescent="0.25">
      <c r="A77" s="25" t="str">
        <f>IF(Registro_Compras!$R77&lt;&gt;"SI","",Registro_Compras!$B77)</f>
        <v/>
      </c>
      <c r="B77" t="str">
        <f>IF(Registro_Compras!$R77&lt;&gt;"SI","",Registro_Compras!$C77)</f>
        <v/>
      </c>
      <c r="C77" t="str">
        <f>IF(Registro_Compras!$R77&lt;&gt;"SI","",Registro_Compras!$D77)</f>
        <v/>
      </c>
      <c r="D77" t="str">
        <f>IF(Registro_Compras!$R77&lt;&gt;"SI","",Registro_Compras!$E77)</f>
        <v/>
      </c>
      <c r="E77" t="str">
        <f>IF(Registro_Compras!$R77&lt;&gt;"SI","",Registro_Compras!$G77)</f>
        <v/>
      </c>
      <c r="F77" s="31" t="str">
        <f>IF(Registro_Compras!$R77&lt;&gt;"SI","",Registro_Compras!$P77)</f>
        <v/>
      </c>
      <c r="G77" s="20" t="str">
        <f>IF(Registro_Compras!$R77&lt;&gt;"SI","",Registro_Compras!$O77)</f>
        <v/>
      </c>
      <c r="H77" s="20" t="str">
        <f>IF(Registro_Compras!$R77&lt;&gt;"SI","",Registro_Compras!$S77)</f>
        <v/>
      </c>
      <c r="I77" s="25" t="str">
        <f>IF(Registro_Compras!$R77&lt;&gt;"SI","",IF(Registro_Compras!$Y77="",WORKDAY(EOMONTH(Registro_Compras!$B77,0),5,Feriados),MIN(Registro_Compras!$Y77,WORKDAY(EOMONTH(Registro_Compras!$B77,0),5,Feriados))))</f>
        <v/>
      </c>
      <c r="J77" s="25" t="str">
        <f>IF(Registro_Compras!$R77&lt;&gt;"SI","",Registro_Compras!$X77)</f>
        <v/>
      </c>
      <c r="K77" t="str">
        <f>IF(Registro_Compras!$R77&lt;&gt;"SI","",IF(Registro_Compras!$X77="","PENDIENTE","DEPOSITADA"))</f>
        <v/>
      </c>
      <c r="L77" t="str">
        <f>IF(Registro_Compras!$R77&lt;&gt;"SI","",Registro_Compras!$Z77)</f>
        <v/>
      </c>
      <c r="M77" t="str">
        <f t="shared" ca="1" si="2"/>
        <v/>
      </c>
      <c r="N77" t="str">
        <f t="shared" ca="1" si="3"/>
        <v/>
      </c>
    </row>
    <row r="78" spans="1:14" x14ac:dyDescent="0.25">
      <c r="A78" s="25" t="str">
        <f>IF(Registro_Compras!$R78&lt;&gt;"SI","",Registro_Compras!$B78)</f>
        <v/>
      </c>
      <c r="B78" t="str">
        <f>IF(Registro_Compras!$R78&lt;&gt;"SI","",Registro_Compras!$C78)</f>
        <v/>
      </c>
      <c r="C78" t="str">
        <f>IF(Registro_Compras!$R78&lt;&gt;"SI","",Registro_Compras!$D78)</f>
        <v/>
      </c>
      <c r="D78" t="str">
        <f>IF(Registro_Compras!$R78&lt;&gt;"SI","",Registro_Compras!$E78)</f>
        <v/>
      </c>
      <c r="E78" t="str">
        <f>IF(Registro_Compras!$R78&lt;&gt;"SI","",Registro_Compras!$G78)</f>
        <v/>
      </c>
      <c r="F78" s="31" t="str">
        <f>IF(Registro_Compras!$R78&lt;&gt;"SI","",Registro_Compras!$P78)</f>
        <v/>
      </c>
      <c r="G78" s="20" t="str">
        <f>IF(Registro_Compras!$R78&lt;&gt;"SI","",Registro_Compras!$O78)</f>
        <v/>
      </c>
      <c r="H78" s="20" t="str">
        <f>IF(Registro_Compras!$R78&lt;&gt;"SI","",Registro_Compras!$S78)</f>
        <v/>
      </c>
      <c r="I78" s="25" t="str">
        <f>IF(Registro_Compras!$R78&lt;&gt;"SI","",IF(Registro_Compras!$Y78="",WORKDAY(EOMONTH(Registro_Compras!$B78,0),5,Feriados),MIN(Registro_Compras!$Y78,WORKDAY(EOMONTH(Registro_Compras!$B78,0),5,Feriados))))</f>
        <v/>
      </c>
      <c r="J78" s="25" t="str">
        <f>IF(Registro_Compras!$R78&lt;&gt;"SI","",Registro_Compras!$X78)</f>
        <v/>
      </c>
      <c r="K78" t="str">
        <f>IF(Registro_Compras!$R78&lt;&gt;"SI","",IF(Registro_Compras!$X78="","PENDIENTE","DEPOSITADA"))</f>
        <v/>
      </c>
      <c r="L78" t="str">
        <f>IF(Registro_Compras!$R78&lt;&gt;"SI","",Registro_Compras!$Z78)</f>
        <v/>
      </c>
      <c r="M78" t="str">
        <f t="shared" ca="1" si="2"/>
        <v/>
      </c>
      <c r="N78" t="str">
        <f t="shared" ca="1" si="3"/>
        <v/>
      </c>
    </row>
    <row r="79" spans="1:14" x14ac:dyDescent="0.25">
      <c r="A79" s="25" t="str">
        <f>IF(Registro_Compras!$R79&lt;&gt;"SI","",Registro_Compras!$B79)</f>
        <v/>
      </c>
      <c r="B79" t="str">
        <f>IF(Registro_Compras!$R79&lt;&gt;"SI","",Registro_Compras!$C79)</f>
        <v/>
      </c>
      <c r="C79" t="str">
        <f>IF(Registro_Compras!$R79&lt;&gt;"SI","",Registro_Compras!$D79)</f>
        <v/>
      </c>
      <c r="D79" t="str">
        <f>IF(Registro_Compras!$R79&lt;&gt;"SI","",Registro_Compras!$E79)</f>
        <v/>
      </c>
      <c r="E79" t="str">
        <f>IF(Registro_Compras!$R79&lt;&gt;"SI","",Registro_Compras!$G79)</f>
        <v/>
      </c>
      <c r="F79" s="31" t="str">
        <f>IF(Registro_Compras!$R79&lt;&gt;"SI","",Registro_Compras!$P79)</f>
        <v/>
      </c>
      <c r="G79" s="20" t="str">
        <f>IF(Registro_Compras!$R79&lt;&gt;"SI","",Registro_Compras!$O79)</f>
        <v/>
      </c>
      <c r="H79" s="20" t="str">
        <f>IF(Registro_Compras!$R79&lt;&gt;"SI","",Registro_Compras!$S79)</f>
        <v/>
      </c>
      <c r="I79" s="25" t="str">
        <f>IF(Registro_Compras!$R79&lt;&gt;"SI","",IF(Registro_Compras!$Y79="",WORKDAY(EOMONTH(Registro_Compras!$B79,0),5,Feriados),MIN(Registro_Compras!$Y79,WORKDAY(EOMONTH(Registro_Compras!$B79,0),5,Feriados))))</f>
        <v/>
      </c>
      <c r="J79" s="25" t="str">
        <f>IF(Registro_Compras!$R79&lt;&gt;"SI","",Registro_Compras!$X79)</f>
        <v/>
      </c>
      <c r="K79" t="str">
        <f>IF(Registro_Compras!$R79&lt;&gt;"SI","",IF(Registro_Compras!$X79="","PENDIENTE","DEPOSITADA"))</f>
        <v/>
      </c>
      <c r="L79" t="str">
        <f>IF(Registro_Compras!$R79&lt;&gt;"SI","",Registro_Compras!$Z79)</f>
        <v/>
      </c>
      <c r="M79" t="str">
        <f t="shared" ca="1" si="2"/>
        <v/>
      </c>
      <c r="N79" t="str">
        <f t="shared" ca="1" si="3"/>
        <v/>
      </c>
    </row>
    <row r="80" spans="1:14" x14ac:dyDescent="0.25">
      <c r="A80" s="25">
        <f>IF(Registro_Compras!$R80&lt;&gt;"SI","",Registro_Compras!$B80)</f>
        <v>46245</v>
      </c>
      <c r="B80" t="str">
        <f>IF(Registro_Compras!$R80&lt;&gt;"SI","",Registro_Compras!$C80)</f>
        <v>F001-00000734</v>
      </c>
      <c r="C80" t="str">
        <f>IF(Registro_Compras!$R80&lt;&gt;"SI","",Registro_Compras!$D80)</f>
        <v>20603386214</v>
      </c>
      <c r="D80" t="str">
        <f>IF(Registro_Compras!$R80&lt;&gt;"SI","",Registro_Compras!$E80)</f>
        <v>PERUVIAN CULTURE TRAVEL AGENCIA DE VIAJES Y TURISMO S.R.L.</v>
      </c>
      <c r="E80" t="str">
        <f>IF(Registro_Compras!$R80&lt;&gt;"SI","",Registro_Compras!$G80)</f>
        <v>037</v>
      </c>
      <c r="F80" s="31">
        <f>IF(Registro_Compras!$R80&lt;&gt;"SI","",Registro_Compras!$P80)</f>
        <v>0.12</v>
      </c>
      <c r="G80" s="20">
        <f>IF(Registro_Compras!$R80&lt;&gt;"SI","",Registro_Compras!$O80)</f>
        <v>4222.2299999999996</v>
      </c>
      <c r="H80" s="20">
        <f>IF(Registro_Compras!$R80&lt;&gt;"SI","",Registro_Compras!$S80)</f>
        <v>506.67</v>
      </c>
      <c r="I80" s="25">
        <f>IF(Registro_Compras!$R80&lt;&gt;"SI","",IF(Registro_Compras!$Y80="",WORKDAY(EOMONTH(Registro_Compras!$B80,0),5,Feriados),MIN(Registro_Compras!$Y80,WORKDAY(EOMONTH(Registro_Compras!$B80,0),5,Feriados))))</f>
        <v>46272</v>
      </c>
      <c r="J80" s="25">
        <f>IF(Registro_Compras!$R80&lt;&gt;"SI","",Registro_Compras!$X80)</f>
        <v>0</v>
      </c>
      <c r="K80" t="str">
        <f>IF(Registro_Compras!$R80&lt;&gt;"SI","",IF(Registro_Compras!$X80="","PENDIENTE","DEPOSITADA"))</f>
        <v>PENDIENTE</v>
      </c>
      <c r="L80">
        <f>IF(Registro_Compras!$R80&lt;&gt;"SI","",Registro_Compras!$Z80)</f>
        <v>0</v>
      </c>
      <c r="M80">
        <f t="shared" ca="1" si="2"/>
        <v>0</v>
      </c>
      <c r="N80" t="str">
        <f t="shared" ca="1" si="3"/>
        <v>EN PLAZO</v>
      </c>
    </row>
    <row r="81" spans="1:14" x14ac:dyDescent="0.25">
      <c r="A81" s="25">
        <f>IF(Registro_Compras!$R81&lt;&gt;"SI","",Registro_Compras!$B81)</f>
        <v>46244</v>
      </c>
      <c r="B81" t="str">
        <f>IF(Registro_Compras!$R81&lt;&gt;"SI","",Registro_Compras!$C81)</f>
        <v>E001-1128</v>
      </c>
      <c r="C81" t="str">
        <f>IF(Registro_Compras!$R81&lt;&gt;"SI","",Registro_Compras!$D81)</f>
        <v>20563940281</v>
      </c>
      <c r="D81" t="str">
        <f>IF(Registro_Compras!$R81&lt;&gt;"SI","",Registro_Compras!$E81)</f>
        <v>QUECHUA TREKS PERU E.I.R.L.</v>
      </c>
      <c r="E81" t="str">
        <f>IF(Registro_Compras!$R81&lt;&gt;"SI","",Registro_Compras!$G81)</f>
        <v>037</v>
      </c>
      <c r="F81" s="31">
        <f>IF(Registro_Compras!$R81&lt;&gt;"SI","",Registro_Compras!$P81)</f>
        <v>0.12</v>
      </c>
      <c r="G81" s="20">
        <f>IF(Registro_Compras!$R81&lt;&gt;"SI","",Registro_Compras!$O81)</f>
        <v>803.66000000000008</v>
      </c>
      <c r="H81" s="20">
        <f>IF(Registro_Compras!$R81&lt;&gt;"SI","",Registro_Compras!$S81)</f>
        <v>96.44</v>
      </c>
      <c r="I81" s="25">
        <f>IF(Registro_Compras!$R81&lt;&gt;"SI","",IF(Registro_Compras!$Y81="",WORKDAY(EOMONTH(Registro_Compras!$B81,0),5,Feriados),MIN(Registro_Compras!$Y81,WORKDAY(EOMONTH(Registro_Compras!$B81,0),5,Feriados))))</f>
        <v>46272</v>
      </c>
      <c r="J81" s="25">
        <f>IF(Registro_Compras!$R81&lt;&gt;"SI","",Registro_Compras!$X81)</f>
        <v>0</v>
      </c>
      <c r="K81" t="str">
        <f>IF(Registro_Compras!$R81&lt;&gt;"SI","",IF(Registro_Compras!$X81="","PENDIENTE","DEPOSITADA"))</f>
        <v>PENDIENTE</v>
      </c>
      <c r="L81">
        <f>IF(Registro_Compras!$R81&lt;&gt;"SI","",Registro_Compras!$Z81)</f>
        <v>0</v>
      </c>
      <c r="M81">
        <f t="shared" ca="1" si="2"/>
        <v>0</v>
      </c>
      <c r="N81" t="str">
        <f t="shared" ca="1" si="3"/>
        <v>EN PLAZO</v>
      </c>
    </row>
    <row r="82" spans="1:14" x14ac:dyDescent="0.25">
      <c r="A82" s="25" t="str">
        <f>IF(Registro_Compras!$R82&lt;&gt;"SI","",Registro_Compras!$B82)</f>
        <v/>
      </c>
      <c r="B82" t="str">
        <f>IF(Registro_Compras!$R82&lt;&gt;"SI","",Registro_Compras!$C82)</f>
        <v/>
      </c>
      <c r="C82" t="str">
        <f>IF(Registro_Compras!$R82&lt;&gt;"SI","",Registro_Compras!$D82)</f>
        <v/>
      </c>
      <c r="D82" t="str">
        <f>IF(Registro_Compras!$R82&lt;&gt;"SI","",Registro_Compras!$E82)</f>
        <v/>
      </c>
      <c r="E82" t="str">
        <f>IF(Registro_Compras!$R82&lt;&gt;"SI","",Registro_Compras!$G82)</f>
        <v/>
      </c>
      <c r="F82" s="31" t="str">
        <f>IF(Registro_Compras!$R82&lt;&gt;"SI","",Registro_Compras!$P82)</f>
        <v/>
      </c>
      <c r="G82" s="20" t="str">
        <f>IF(Registro_Compras!$R82&lt;&gt;"SI","",Registro_Compras!$O82)</f>
        <v/>
      </c>
      <c r="H82" s="20" t="str">
        <f>IF(Registro_Compras!$R82&lt;&gt;"SI","",Registro_Compras!$S82)</f>
        <v/>
      </c>
      <c r="I82" s="25" t="str">
        <f>IF(Registro_Compras!$R82&lt;&gt;"SI","",IF(Registro_Compras!$Y82="",WORKDAY(EOMONTH(Registro_Compras!$B82,0),5,Feriados),MIN(Registro_Compras!$Y82,WORKDAY(EOMONTH(Registro_Compras!$B82,0),5,Feriados))))</f>
        <v/>
      </c>
      <c r="J82" s="25" t="str">
        <f>IF(Registro_Compras!$R82&lt;&gt;"SI","",Registro_Compras!$X82)</f>
        <v/>
      </c>
      <c r="K82" t="str">
        <f>IF(Registro_Compras!$R82&lt;&gt;"SI","",IF(Registro_Compras!$X82="","PENDIENTE","DEPOSITADA"))</f>
        <v/>
      </c>
      <c r="L82" t="str">
        <f>IF(Registro_Compras!$R82&lt;&gt;"SI","",Registro_Compras!$Z82)</f>
        <v/>
      </c>
      <c r="M82" t="str">
        <f t="shared" ca="1" si="2"/>
        <v/>
      </c>
      <c r="N82" t="str">
        <f t="shared" ca="1" si="3"/>
        <v/>
      </c>
    </row>
    <row r="83" spans="1:14" x14ac:dyDescent="0.25">
      <c r="A83" s="25">
        <f>IF(Registro_Compras!$R83&lt;&gt;"SI","",Registro_Compras!$B83)</f>
        <v>46242</v>
      </c>
      <c r="B83" t="str">
        <f>IF(Registro_Compras!$R83&lt;&gt;"SI","",Registro_Compras!$C83)</f>
        <v>E001-1880</v>
      </c>
      <c r="C83" t="str">
        <f>IF(Registro_Compras!$R83&lt;&gt;"SI","",Registro_Compras!$D83)</f>
        <v>20358309870</v>
      </c>
      <c r="D83" t="str">
        <f>IF(Registro_Compras!$R83&lt;&gt;"SI","",Registro_Compras!$E83)</f>
        <v>CAMPING TOURS E.I.R.LTDA</v>
      </c>
      <c r="E83" t="str">
        <f>IF(Registro_Compras!$R83&lt;&gt;"SI","",Registro_Compras!$G83)</f>
        <v>037</v>
      </c>
      <c r="F83" s="31">
        <f>IF(Registro_Compras!$R83&lt;&gt;"SI","",Registro_Compras!$P83)</f>
        <v>0.12</v>
      </c>
      <c r="G83" s="20">
        <f>IF(Registro_Compras!$R83&lt;&gt;"SI","",Registro_Compras!$O83)</f>
        <v>1771.77</v>
      </c>
      <c r="H83" s="20">
        <f>IF(Registro_Compras!$R83&lt;&gt;"SI","",Registro_Compras!$S83)</f>
        <v>212.61</v>
      </c>
      <c r="I83" s="25">
        <f>IF(Registro_Compras!$R83&lt;&gt;"SI","",IF(Registro_Compras!$Y83="",WORKDAY(EOMONTH(Registro_Compras!$B83,0),5,Feriados),MIN(Registro_Compras!$Y83,WORKDAY(EOMONTH(Registro_Compras!$B83,0),5,Feriados))))</f>
        <v>46272</v>
      </c>
      <c r="J83" s="25">
        <f>IF(Registro_Compras!$R83&lt;&gt;"SI","",Registro_Compras!$X83)</f>
        <v>0</v>
      </c>
      <c r="K83" t="str">
        <f>IF(Registro_Compras!$R83&lt;&gt;"SI","",IF(Registro_Compras!$X83="","PENDIENTE","DEPOSITADA"))</f>
        <v>PENDIENTE</v>
      </c>
      <c r="L83">
        <f>IF(Registro_Compras!$R83&lt;&gt;"SI","",Registro_Compras!$Z83)</f>
        <v>0</v>
      </c>
      <c r="M83">
        <f t="shared" ca="1" si="2"/>
        <v>0</v>
      </c>
      <c r="N83" t="str">
        <f t="shared" ca="1" si="3"/>
        <v>EN PLAZO</v>
      </c>
    </row>
    <row r="84" spans="1:14" x14ac:dyDescent="0.25">
      <c r="A84" s="25" t="str">
        <f>IF(Registro_Compras!$R84&lt;&gt;"SI","",Registro_Compras!$B84)</f>
        <v/>
      </c>
      <c r="B84" t="str">
        <f>IF(Registro_Compras!$R84&lt;&gt;"SI","",Registro_Compras!$C84)</f>
        <v/>
      </c>
      <c r="C84" t="str">
        <f>IF(Registro_Compras!$R84&lt;&gt;"SI","",Registro_Compras!$D84)</f>
        <v/>
      </c>
      <c r="D84" t="str">
        <f>IF(Registro_Compras!$R84&lt;&gt;"SI","",Registro_Compras!$E84)</f>
        <v/>
      </c>
      <c r="E84" t="str">
        <f>IF(Registro_Compras!$R84&lt;&gt;"SI","",Registro_Compras!$G84)</f>
        <v/>
      </c>
      <c r="F84" s="31" t="str">
        <f>IF(Registro_Compras!$R84&lt;&gt;"SI","",Registro_Compras!$P84)</f>
        <v/>
      </c>
      <c r="G84" s="20" t="str">
        <f>IF(Registro_Compras!$R84&lt;&gt;"SI","",Registro_Compras!$O84)</f>
        <v/>
      </c>
      <c r="H84" s="20" t="str">
        <f>IF(Registro_Compras!$R84&lt;&gt;"SI","",Registro_Compras!$S84)</f>
        <v/>
      </c>
      <c r="I84" s="25" t="str">
        <f>IF(Registro_Compras!$R84&lt;&gt;"SI","",IF(Registro_Compras!$Y84="",WORKDAY(EOMONTH(Registro_Compras!$B84,0),5,Feriados),MIN(Registro_Compras!$Y84,WORKDAY(EOMONTH(Registro_Compras!$B84,0),5,Feriados))))</f>
        <v/>
      </c>
      <c r="J84" s="25" t="str">
        <f>IF(Registro_Compras!$R84&lt;&gt;"SI","",Registro_Compras!$X84)</f>
        <v/>
      </c>
      <c r="K84" t="str">
        <f>IF(Registro_Compras!$R84&lt;&gt;"SI","",IF(Registro_Compras!$X84="","PENDIENTE","DEPOSITADA"))</f>
        <v/>
      </c>
      <c r="L84" t="str">
        <f>IF(Registro_Compras!$R84&lt;&gt;"SI","",Registro_Compras!$Z84)</f>
        <v/>
      </c>
      <c r="M84" t="str">
        <f t="shared" ca="1" si="2"/>
        <v/>
      </c>
      <c r="N84" t="str">
        <f t="shared" ca="1" si="3"/>
        <v/>
      </c>
    </row>
    <row r="85" spans="1:14" x14ac:dyDescent="0.25">
      <c r="A85" s="25" t="str">
        <f>IF(Registro_Compras!$R85&lt;&gt;"SI","",Registro_Compras!$B85)</f>
        <v/>
      </c>
      <c r="B85" t="str">
        <f>IF(Registro_Compras!$R85&lt;&gt;"SI","",Registro_Compras!$C85)</f>
        <v/>
      </c>
      <c r="C85" t="str">
        <f>IF(Registro_Compras!$R85&lt;&gt;"SI","",Registro_Compras!$D85)</f>
        <v/>
      </c>
      <c r="D85" t="str">
        <f>IF(Registro_Compras!$R85&lt;&gt;"SI","",Registro_Compras!$E85)</f>
        <v/>
      </c>
      <c r="E85" t="str">
        <f>IF(Registro_Compras!$R85&lt;&gt;"SI","",Registro_Compras!$G85)</f>
        <v/>
      </c>
      <c r="F85" s="31" t="str">
        <f>IF(Registro_Compras!$R85&lt;&gt;"SI","",Registro_Compras!$P85)</f>
        <v/>
      </c>
      <c r="G85" s="20" t="str">
        <f>IF(Registro_Compras!$R85&lt;&gt;"SI","",Registro_Compras!$O85)</f>
        <v/>
      </c>
      <c r="H85" s="20" t="str">
        <f>IF(Registro_Compras!$R85&lt;&gt;"SI","",Registro_Compras!$S85)</f>
        <v/>
      </c>
      <c r="I85" s="25" t="str">
        <f>IF(Registro_Compras!$R85&lt;&gt;"SI","",IF(Registro_Compras!$Y85="",WORKDAY(EOMONTH(Registro_Compras!$B85,0),5,Feriados),MIN(Registro_Compras!$Y85,WORKDAY(EOMONTH(Registro_Compras!$B85,0),5,Feriados))))</f>
        <v/>
      </c>
      <c r="J85" s="25" t="str">
        <f>IF(Registro_Compras!$R85&lt;&gt;"SI","",Registro_Compras!$X85)</f>
        <v/>
      </c>
      <c r="K85" t="str">
        <f>IF(Registro_Compras!$R85&lt;&gt;"SI","",IF(Registro_Compras!$X85="","PENDIENTE","DEPOSITADA"))</f>
        <v/>
      </c>
      <c r="L85" t="str">
        <f>IF(Registro_Compras!$R85&lt;&gt;"SI","",Registro_Compras!$Z85)</f>
        <v/>
      </c>
      <c r="M85" t="str">
        <f t="shared" ca="1" si="2"/>
        <v/>
      </c>
      <c r="N85" t="str">
        <f t="shared" ca="1" si="3"/>
        <v/>
      </c>
    </row>
    <row r="86" spans="1:14" x14ac:dyDescent="0.25">
      <c r="A86" s="25" t="str">
        <f>IF(Registro_Compras!$R86&lt;&gt;"SI","",Registro_Compras!$B86)</f>
        <v/>
      </c>
      <c r="B86" t="str">
        <f>IF(Registro_Compras!$R86&lt;&gt;"SI","",Registro_Compras!$C86)</f>
        <v/>
      </c>
      <c r="C86" t="str">
        <f>IF(Registro_Compras!$R86&lt;&gt;"SI","",Registro_Compras!$D86)</f>
        <v/>
      </c>
      <c r="D86" t="str">
        <f>IF(Registro_Compras!$R86&lt;&gt;"SI","",Registro_Compras!$E86)</f>
        <v/>
      </c>
      <c r="E86" t="str">
        <f>IF(Registro_Compras!$R86&lt;&gt;"SI","",Registro_Compras!$G86)</f>
        <v/>
      </c>
      <c r="F86" s="31" t="str">
        <f>IF(Registro_Compras!$R86&lt;&gt;"SI","",Registro_Compras!$P86)</f>
        <v/>
      </c>
      <c r="G86" s="20" t="str">
        <f>IF(Registro_Compras!$R86&lt;&gt;"SI","",Registro_Compras!$O86)</f>
        <v/>
      </c>
      <c r="H86" s="20" t="str">
        <f>IF(Registro_Compras!$R86&lt;&gt;"SI","",Registro_Compras!$S86)</f>
        <v/>
      </c>
      <c r="I86" s="25" t="str">
        <f>IF(Registro_Compras!$R86&lt;&gt;"SI","",IF(Registro_Compras!$Y86="",WORKDAY(EOMONTH(Registro_Compras!$B86,0),5,Feriados),MIN(Registro_Compras!$Y86,WORKDAY(EOMONTH(Registro_Compras!$B86,0),5,Feriados))))</f>
        <v/>
      </c>
      <c r="J86" s="25" t="str">
        <f>IF(Registro_Compras!$R86&lt;&gt;"SI","",Registro_Compras!$X86)</f>
        <v/>
      </c>
      <c r="K86" t="str">
        <f>IF(Registro_Compras!$R86&lt;&gt;"SI","",IF(Registro_Compras!$X86="","PENDIENTE","DEPOSITADA"))</f>
        <v/>
      </c>
      <c r="L86" t="str">
        <f>IF(Registro_Compras!$R86&lt;&gt;"SI","",Registro_Compras!$Z86)</f>
        <v/>
      </c>
      <c r="M86" t="str">
        <f t="shared" ca="1" si="2"/>
        <v/>
      </c>
      <c r="N86" t="str">
        <f t="shared" ca="1" si="3"/>
        <v/>
      </c>
    </row>
    <row r="87" spans="1:14" x14ac:dyDescent="0.25">
      <c r="A87" s="25" t="str">
        <f>IF(Registro_Compras!$R87&lt;&gt;"SI","",Registro_Compras!$B87)</f>
        <v/>
      </c>
      <c r="B87" t="str">
        <f>IF(Registro_Compras!$R87&lt;&gt;"SI","",Registro_Compras!$C87)</f>
        <v/>
      </c>
      <c r="C87" t="str">
        <f>IF(Registro_Compras!$R87&lt;&gt;"SI","",Registro_Compras!$D87)</f>
        <v/>
      </c>
      <c r="D87" t="str">
        <f>IF(Registro_Compras!$R87&lt;&gt;"SI","",Registro_Compras!$E87)</f>
        <v/>
      </c>
      <c r="E87" t="str">
        <f>IF(Registro_Compras!$R87&lt;&gt;"SI","",Registro_Compras!$G87)</f>
        <v/>
      </c>
      <c r="F87" s="31" t="str">
        <f>IF(Registro_Compras!$R87&lt;&gt;"SI","",Registro_Compras!$P87)</f>
        <v/>
      </c>
      <c r="G87" s="20" t="str">
        <f>IF(Registro_Compras!$R87&lt;&gt;"SI","",Registro_Compras!$O87)</f>
        <v/>
      </c>
      <c r="H87" s="20" t="str">
        <f>IF(Registro_Compras!$R87&lt;&gt;"SI","",Registro_Compras!$S87)</f>
        <v/>
      </c>
      <c r="I87" s="25" t="str">
        <f>IF(Registro_Compras!$R87&lt;&gt;"SI","",IF(Registro_Compras!$Y87="",WORKDAY(EOMONTH(Registro_Compras!$B87,0),5,Feriados),MIN(Registro_Compras!$Y87,WORKDAY(EOMONTH(Registro_Compras!$B87,0),5,Feriados))))</f>
        <v/>
      </c>
      <c r="J87" s="25" t="str">
        <f>IF(Registro_Compras!$R87&lt;&gt;"SI","",Registro_Compras!$X87)</f>
        <v/>
      </c>
      <c r="K87" t="str">
        <f>IF(Registro_Compras!$R87&lt;&gt;"SI","",IF(Registro_Compras!$X87="","PENDIENTE","DEPOSITADA"))</f>
        <v/>
      </c>
      <c r="L87" t="str">
        <f>IF(Registro_Compras!$R87&lt;&gt;"SI","",Registro_Compras!$Z87)</f>
        <v/>
      </c>
      <c r="M87" t="str">
        <f t="shared" ca="1" si="2"/>
        <v/>
      </c>
      <c r="N87" t="str">
        <f t="shared" ca="1" si="3"/>
        <v/>
      </c>
    </row>
    <row r="88" spans="1:14" x14ac:dyDescent="0.25">
      <c r="A88" s="25" t="str">
        <f>IF(Registro_Compras!$R88&lt;&gt;"SI","",Registro_Compras!$B88)</f>
        <v/>
      </c>
      <c r="B88" t="str">
        <f>IF(Registro_Compras!$R88&lt;&gt;"SI","",Registro_Compras!$C88)</f>
        <v/>
      </c>
      <c r="C88" t="str">
        <f>IF(Registro_Compras!$R88&lt;&gt;"SI","",Registro_Compras!$D88)</f>
        <v/>
      </c>
      <c r="D88" t="str">
        <f>IF(Registro_Compras!$R88&lt;&gt;"SI","",Registro_Compras!$E88)</f>
        <v/>
      </c>
      <c r="E88" t="str">
        <f>IF(Registro_Compras!$R88&lt;&gt;"SI","",Registro_Compras!$G88)</f>
        <v/>
      </c>
      <c r="F88" s="31" t="str">
        <f>IF(Registro_Compras!$R88&lt;&gt;"SI","",Registro_Compras!$P88)</f>
        <v/>
      </c>
      <c r="G88" s="20" t="str">
        <f>IF(Registro_Compras!$R88&lt;&gt;"SI","",Registro_Compras!$O88)</f>
        <v/>
      </c>
      <c r="H88" s="20" t="str">
        <f>IF(Registro_Compras!$R88&lt;&gt;"SI","",Registro_Compras!$S88)</f>
        <v/>
      </c>
      <c r="I88" s="25" t="str">
        <f>IF(Registro_Compras!$R88&lt;&gt;"SI","",IF(Registro_Compras!$Y88="",WORKDAY(EOMONTH(Registro_Compras!$B88,0),5,Feriados),MIN(Registro_Compras!$Y88,WORKDAY(EOMONTH(Registro_Compras!$B88,0),5,Feriados))))</f>
        <v/>
      </c>
      <c r="J88" s="25" t="str">
        <f>IF(Registro_Compras!$R88&lt;&gt;"SI","",Registro_Compras!$X88)</f>
        <v/>
      </c>
      <c r="K88" t="str">
        <f>IF(Registro_Compras!$R88&lt;&gt;"SI","",IF(Registro_Compras!$X88="","PENDIENTE","DEPOSITADA"))</f>
        <v/>
      </c>
      <c r="L88" t="str">
        <f>IF(Registro_Compras!$R88&lt;&gt;"SI","",Registro_Compras!$Z88)</f>
        <v/>
      </c>
      <c r="M88" t="str">
        <f t="shared" ca="1" si="2"/>
        <v/>
      </c>
      <c r="N88" t="str">
        <f t="shared" ca="1" si="3"/>
        <v/>
      </c>
    </row>
    <row r="89" spans="1:14" x14ac:dyDescent="0.25">
      <c r="A89" s="25" t="str">
        <f>IF(Registro_Compras!$R89&lt;&gt;"SI","",Registro_Compras!$B89)</f>
        <v/>
      </c>
      <c r="B89" t="str">
        <f>IF(Registro_Compras!$R89&lt;&gt;"SI","",Registro_Compras!$C89)</f>
        <v/>
      </c>
      <c r="C89" t="str">
        <f>IF(Registro_Compras!$R89&lt;&gt;"SI","",Registro_Compras!$D89)</f>
        <v/>
      </c>
      <c r="D89" t="str">
        <f>IF(Registro_Compras!$R89&lt;&gt;"SI","",Registro_Compras!$E89)</f>
        <v/>
      </c>
      <c r="E89" t="str">
        <f>IF(Registro_Compras!$R89&lt;&gt;"SI","",Registro_Compras!$G89)</f>
        <v/>
      </c>
      <c r="F89" s="31" t="str">
        <f>IF(Registro_Compras!$R89&lt;&gt;"SI","",Registro_Compras!$P89)</f>
        <v/>
      </c>
      <c r="G89" s="20" t="str">
        <f>IF(Registro_Compras!$R89&lt;&gt;"SI","",Registro_Compras!$O89)</f>
        <v/>
      </c>
      <c r="H89" s="20" t="str">
        <f>IF(Registro_Compras!$R89&lt;&gt;"SI","",Registro_Compras!$S89)</f>
        <v/>
      </c>
      <c r="I89" s="25" t="str">
        <f>IF(Registro_Compras!$R89&lt;&gt;"SI","",IF(Registro_Compras!$Y89="",WORKDAY(EOMONTH(Registro_Compras!$B89,0),5,Feriados),MIN(Registro_Compras!$Y89,WORKDAY(EOMONTH(Registro_Compras!$B89,0),5,Feriados))))</f>
        <v/>
      </c>
      <c r="J89" s="25" t="str">
        <f>IF(Registro_Compras!$R89&lt;&gt;"SI","",Registro_Compras!$X89)</f>
        <v/>
      </c>
      <c r="K89" t="str">
        <f>IF(Registro_Compras!$R89&lt;&gt;"SI","",IF(Registro_Compras!$X89="","PENDIENTE","DEPOSITADA"))</f>
        <v/>
      </c>
      <c r="L89" t="str">
        <f>IF(Registro_Compras!$R89&lt;&gt;"SI","",Registro_Compras!$Z89)</f>
        <v/>
      </c>
      <c r="M89" t="str">
        <f t="shared" ca="1" si="2"/>
        <v/>
      </c>
      <c r="N89" t="str">
        <f t="shared" ca="1" si="3"/>
        <v/>
      </c>
    </row>
    <row r="90" spans="1:14" x14ac:dyDescent="0.25">
      <c r="A90" s="25">
        <f>IF(Registro_Compras!$R90&lt;&gt;"SI","",Registro_Compras!$B90)</f>
        <v>46244</v>
      </c>
      <c r="B90" t="str">
        <f>IF(Registro_Compras!$R90&lt;&gt;"SI","",Registro_Compras!$C90)</f>
        <v>F002-0023975</v>
      </c>
      <c r="C90" t="str">
        <f>IF(Registro_Compras!$R90&lt;&gt;"SI","",Registro_Compras!$D90)</f>
        <v>20452235073</v>
      </c>
      <c r="D90" t="str">
        <f>IF(Registro_Compras!$R90&lt;&gt;"SI","",Registro_Compras!$E90)</f>
        <v>BUGANVILLA TOURS S.A.C.</v>
      </c>
      <c r="E90" t="str">
        <f>IF(Registro_Compras!$R90&lt;&gt;"SI","",Registro_Compras!$G90)</f>
        <v>037</v>
      </c>
      <c r="F90" s="31">
        <f>IF(Registro_Compras!$R90&lt;&gt;"SI","",Registro_Compras!$P90)</f>
        <v>0.12</v>
      </c>
      <c r="G90" s="20">
        <f>IF(Registro_Compras!$R90&lt;&gt;"SI","",Registro_Compras!$O90)</f>
        <v>1092.3699999999999</v>
      </c>
      <c r="H90" s="20">
        <f>IF(Registro_Compras!$R90&lt;&gt;"SI","",Registro_Compras!$S90)</f>
        <v>131.08000000000001</v>
      </c>
      <c r="I90" s="25">
        <f>IF(Registro_Compras!$R90&lt;&gt;"SI","",IF(Registro_Compras!$Y90="",WORKDAY(EOMONTH(Registro_Compras!$B90,0),5,Feriados),MIN(Registro_Compras!$Y90,WORKDAY(EOMONTH(Registro_Compras!$B90,0),5,Feriados))))</f>
        <v>46272</v>
      </c>
      <c r="J90" s="25">
        <f>IF(Registro_Compras!$R90&lt;&gt;"SI","",Registro_Compras!$X90)</f>
        <v>0</v>
      </c>
      <c r="K90" t="str">
        <f>IF(Registro_Compras!$R90&lt;&gt;"SI","",IF(Registro_Compras!$X90="","PENDIENTE","DEPOSITADA"))</f>
        <v>PENDIENTE</v>
      </c>
      <c r="L90">
        <f>IF(Registro_Compras!$R90&lt;&gt;"SI","",Registro_Compras!$Z90)</f>
        <v>0</v>
      </c>
      <c r="M90">
        <f t="shared" ca="1" si="2"/>
        <v>0</v>
      </c>
      <c r="N90" t="str">
        <f t="shared" ca="1" si="3"/>
        <v>EN PLAZO</v>
      </c>
    </row>
    <row r="91" spans="1:14" x14ac:dyDescent="0.25">
      <c r="A91" s="25">
        <f>IF(Registro_Compras!$R91&lt;&gt;"SI","",Registro_Compras!$B91)</f>
        <v>46239</v>
      </c>
      <c r="B91" t="str">
        <f>IF(Registro_Compras!$R91&lt;&gt;"SI","",Registro_Compras!$C91)</f>
        <v>E001-950</v>
      </c>
      <c r="C91" t="str">
        <f>IF(Registro_Compras!$R91&lt;&gt;"SI","",Registro_Compras!$D91)</f>
        <v>20101091083</v>
      </c>
      <c r="D91" t="str">
        <f>IF(Registro_Compras!$R91&lt;&gt;"SI","",Registro_Compras!$E91)</f>
        <v>COOPERATIVA DE AHORRO Y CREDITO ABACO</v>
      </c>
      <c r="E91" t="str">
        <f>IF(Registro_Compras!$R91&lt;&gt;"SI","",Registro_Compras!$G91)</f>
        <v>019</v>
      </c>
      <c r="F91" s="31">
        <f>IF(Registro_Compras!$R91&lt;&gt;"SI","",Registro_Compras!$P91)</f>
        <v>0.1</v>
      </c>
      <c r="G91" s="20">
        <f>IF(Registro_Compras!$R91&lt;&gt;"SI","",Registro_Compras!$O91)</f>
        <v>3681.65</v>
      </c>
      <c r="H91" s="20">
        <f>IF(Registro_Compras!$R91&lt;&gt;"SI","",Registro_Compras!$S91)</f>
        <v>368.17</v>
      </c>
      <c r="I91" s="25">
        <f>IF(Registro_Compras!$R91&lt;&gt;"SI","",IF(Registro_Compras!$Y91="",WORKDAY(EOMONTH(Registro_Compras!$B91,0),5,Feriados),MIN(Registro_Compras!$Y91,WORKDAY(EOMONTH(Registro_Compras!$B91,0),5,Feriados))))</f>
        <v>46272</v>
      </c>
      <c r="J91" s="25">
        <f>IF(Registro_Compras!$R91&lt;&gt;"SI","",Registro_Compras!$X91)</f>
        <v>0</v>
      </c>
      <c r="K91" t="str">
        <f>IF(Registro_Compras!$R91&lt;&gt;"SI","",IF(Registro_Compras!$X91="","PENDIENTE","DEPOSITADA"))</f>
        <v>PENDIENTE</v>
      </c>
      <c r="L91">
        <f>IF(Registro_Compras!$R91&lt;&gt;"SI","",Registro_Compras!$Z91)</f>
        <v>0</v>
      </c>
      <c r="M91">
        <f t="shared" ca="1" si="2"/>
        <v>0</v>
      </c>
      <c r="N91" t="str">
        <f t="shared" ca="1" si="3"/>
        <v>EN PLAZO</v>
      </c>
    </row>
    <row r="92" spans="1:14" x14ac:dyDescent="0.25">
      <c r="A92" s="25" t="str">
        <f>IF(Registro_Compras!$R92&lt;&gt;"SI","",Registro_Compras!$B92)</f>
        <v/>
      </c>
      <c r="B92" t="str">
        <f>IF(Registro_Compras!$R92&lt;&gt;"SI","",Registro_Compras!$C92)</f>
        <v/>
      </c>
      <c r="C92" t="str">
        <f>IF(Registro_Compras!$R92&lt;&gt;"SI","",Registro_Compras!$D92)</f>
        <v/>
      </c>
      <c r="D92" t="str">
        <f>IF(Registro_Compras!$R92&lt;&gt;"SI","",Registro_Compras!$E92)</f>
        <v/>
      </c>
      <c r="E92" t="str">
        <f>IF(Registro_Compras!$R92&lt;&gt;"SI","",Registro_Compras!$G92)</f>
        <v/>
      </c>
      <c r="F92" s="31" t="str">
        <f>IF(Registro_Compras!$R92&lt;&gt;"SI","",Registro_Compras!$P92)</f>
        <v/>
      </c>
      <c r="G92" s="20" t="str">
        <f>IF(Registro_Compras!$R92&lt;&gt;"SI","",Registro_Compras!$O92)</f>
        <v/>
      </c>
      <c r="H92" s="20" t="str">
        <f>IF(Registro_Compras!$R92&lt;&gt;"SI","",Registro_Compras!$S92)</f>
        <v/>
      </c>
      <c r="I92" s="25" t="str">
        <f>IF(Registro_Compras!$R92&lt;&gt;"SI","",IF(Registro_Compras!$Y92="",WORKDAY(EOMONTH(Registro_Compras!$B92,0),5,Feriados),MIN(Registro_Compras!$Y92,WORKDAY(EOMONTH(Registro_Compras!$B92,0),5,Feriados))))</f>
        <v/>
      </c>
      <c r="J92" s="25" t="str">
        <f>IF(Registro_Compras!$R92&lt;&gt;"SI","",Registro_Compras!$X92)</f>
        <v/>
      </c>
      <c r="K92" t="str">
        <f>IF(Registro_Compras!$R92&lt;&gt;"SI","",IF(Registro_Compras!$X92="","PENDIENTE","DEPOSITADA"))</f>
        <v/>
      </c>
      <c r="L92" t="str">
        <f>IF(Registro_Compras!$R92&lt;&gt;"SI","",Registro_Compras!$Z92)</f>
        <v/>
      </c>
      <c r="M92" t="str">
        <f t="shared" ca="1" si="2"/>
        <v/>
      </c>
      <c r="N92" t="str">
        <f t="shared" ca="1" si="3"/>
        <v/>
      </c>
    </row>
    <row r="93" spans="1:14" x14ac:dyDescent="0.25">
      <c r="A93" s="25" t="str">
        <f>IF(Registro_Compras!$R93&lt;&gt;"SI","",Registro_Compras!$B93)</f>
        <v/>
      </c>
      <c r="B93" t="str">
        <f>IF(Registro_Compras!$R93&lt;&gt;"SI","",Registro_Compras!$C93)</f>
        <v/>
      </c>
      <c r="C93" t="str">
        <f>IF(Registro_Compras!$R93&lt;&gt;"SI","",Registro_Compras!$D93)</f>
        <v/>
      </c>
      <c r="D93" t="str">
        <f>IF(Registro_Compras!$R93&lt;&gt;"SI","",Registro_Compras!$E93)</f>
        <v/>
      </c>
      <c r="E93" t="str">
        <f>IF(Registro_Compras!$R93&lt;&gt;"SI","",Registro_Compras!$G93)</f>
        <v/>
      </c>
      <c r="F93" s="31" t="str">
        <f>IF(Registro_Compras!$R93&lt;&gt;"SI","",Registro_Compras!$P93)</f>
        <v/>
      </c>
      <c r="G93" s="20" t="str">
        <f>IF(Registro_Compras!$R93&lt;&gt;"SI","",Registro_Compras!$O93)</f>
        <v/>
      </c>
      <c r="H93" s="20" t="str">
        <f>IF(Registro_Compras!$R93&lt;&gt;"SI","",Registro_Compras!$S93)</f>
        <v/>
      </c>
      <c r="I93" s="25" t="str">
        <f>IF(Registro_Compras!$R93&lt;&gt;"SI","",IF(Registro_Compras!$Y93="",WORKDAY(EOMONTH(Registro_Compras!$B93,0),5,Feriados),MIN(Registro_Compras!$Y93,WORKDAY(EOMONTH(Registro_Compras!$B93,0),5,Feriados))))</f>
        <v/>
      </c>
      <c r="J93" s="25" t="str">
        <f>IF(Registro_Compras!$R93&lt;&gt;"SI","",Registro_Compras!$X93)</f>
        <v/>
      </c>
      <c r="K93" t="str">
        <f>IF(Registro_Compras!$R93&lt;&gt;"SI","",IF(Registro_Compras!$X93="","PENDIENTE","DEPOSITADA"))</f>
        <v/>
      </c>
      <c r="L93" t="str">
        <f>IF(Registro_Compras!$R93&lt;&gt;"SI","",Registro_Compras!$Z93)</f>
        <v/>
      </c>
      <c r="M93" t="str">
        <f t="shared" ca="1" si="2"/>
        <v/>
      </c>
      <c r="N93" t="str">
        <f t="shared" ca="1" si="3"/>
        <v/>
      </c>
    </row>
    <row r="94" spans="1:14" x14ac:dyDescent="0.25">
      <c r="A94" s="25" t="str">
        <f>IF(Registro_Compras!$R94&lt;&gt;"SI","",Registro_Compras!$B94)</f>
        <v/>
      </c>
      <c r="B94" t="str">
        <f>IF(Registro_Compras!$R94&lt;&gt;"SI","",Registro_Compras!$C94)</f>
        <v/>
      </c>
      <c r="C94" t="str">
        <f>IF(Registro_Compras!$R94&lt;&gt;"SI","",Registro_Compras!$D94)</f>
        <v/>
      </c>
      <c r="D94" t="str">
        <f>IF(Registro_Compras!$R94&lt;&gt;"SI","",Registro_Compras!$E94)</f>
        <v/>
      </c>
      <c r="E94" t="str">
        <f>IF(Registro_Compras!$R94&lt;&gt;"SI","",Registro_Compras!$G94)</f>
        <v/>
      </c>
      <c r="F94" s="31" t="str">
        <f>IF(Registro_Compras!$R94&lt;&gt;"SI","",Registro_Compras!$P94)</f>
        <v/>
      </c>
      <c r="G94" s="20" t="str">
        <f>IF(Registro_Compras!$R94&lt;&gt;"SI","",Registro_Compras!$O94)</f>
        <v/>
      </c>
      <c r="H94" s="20" t="str">
        <f>IF(Registro_Compras!$R94&lt;&gt;"SI","",Registro_Compras!$S94)</f>
        <v/>
      </c>
      <c r="I94" s="25" t="str">
        <f>IF(Registro_Compras!$R94&lt;&gt;"SI","",IF(Registro_Compras!$Y94="",WORKDAY(EOMONTH(Registro_Compras!$B94,0),5,Feriados),MIN(Registro_Compras!$Y94,WORKDAY(EOMONTH(Registro_Compras!$B94,0),5,Feriados))))</f>
        <v/>
      </c>
      <c r="J94" s="25" t="str">
        <f>IF(Registro_Compras!$R94&lt;&gt;"SI","",Registro_Compras!$X94)</f>
        <v/>
      </c>
      <c r="K94" t="str">
        <f>IF(Registro_Compras!$R94&lt;&gt;"SI","",IF(Registro_Compras!$X94="","PENDIENTE","DEPOSITADA"))</f>
        <v/>
      </c>
      <c r="L94" t="str">
        <f>IF(Registro_Compras!$R94&lt;&gt;"SI","",Registro_Compras!$Z94)</f>
        <v/>
      </c>
      <c r="M94" t="str">
        <f t="shared" ca="1" si="2"/>
        <v/>
      </c>
      <c r="N94" t="str">
        <f t="shared" ca="1" si="3"/>
        <v/>
      </c>
    </row>
    <row r="95" spans="1:14" x14ac:dyDescent="0.25">
      <c r="A95" s="25" t="str">
        <f>IF(Registro_Compras!$R95&lt;&gt;"SI","",Registro_Compras!$B95)</f>
        <v/>
      </c>
      <c r="B95" t="str">
        <f>IF(Registro_Compras!$R95&lt;&gt;"SI","",Registro_Compras!$C95)</f>
        <v/>
      </c>
      <c r="C95" t="str">
        <f>IF(Registro_Compras!$R95&lt;&gt;"SI","",Registro_Compras!$D95)</f>
        <v/>
      </c>
      <c r="D95" t="str">
        <f>IF(Registro_Compras!$R95&lt;&gt;"SI","",Registro_Compras!$E95)</f>
        <v/>
      </c>
      <c r="E95" t="str">
        <f>IF(Registro_Compras!$R95&lt;&gt;"SI","",Registro_Compras!$G95)</f>
        <v/>
      </c>
      <c r="F95" s="31" t="str">
        <f>IF(Registro_Compras!$R95&lt;&gt;"SI","",Registro_Compras!$P95)</f>
        <v/>
      </c>
      <c r="G95" s="20" t="str">
        <f>IF(Registro_Compras!$R95&lt;&gt;"SI","",Registro_Compras!$O95)</f>
        <v/>
      </c>
      <c r="H95" s="20" t="str">
        <f>IF(Registro_Compras!$R95&lt;&gt;"SI","",Registro_Compras!$S95)</f>
        <v/>
      </c>
      <c r="I95" s="25" t="str">
        <f>IF(Registro_Compras!$R95&lt;&gt;"SI","",IF(Registro_Compras!$Y95="",WORKDAY(EOMONTH(Registro_Compras!$B95,0),5,Feriados),MIN(Registro_Compras!$Y95,WORKDAY(EOMONTH(Registro_Compras!$B95,0),5,Feriados))))</f>
        <v/>
      </c>
      <c r="J95" s="25" t="str">
        <f>IF(Registro_Compras!$R95&lt;&gt;"SI","",Registro_Compras!$X95)</f>
        <v/>
      </c>
      <c r="K95" t="str">
        <f>IF(Registro_Compras!$R95&lt;&gt;"SI","",IF(Registro_Compras!$X95="","PENDIENTE","DEPOSITADA"))</f>
        <v/>
      </c>
      <c r="L95" t="str">
        <f>IF(Registro_Compras!$R95&lt;&gt;"SI","",Registro_Compras!$Z95)</f>
        <v/>
      </c>
      <c r="M95" t="str">
        <f t="shared" ca="1" si="2"/>
        <v/>
      </c>
      <c r="N95" t="str">
        <f t="shared" ca="1" si="3"/>
        <v/>
      </c>
    </row>
    <row r="96" spans="1:14" x14ac:dyDescent="0.25">
      <c r="A96" s="25" t="str">
        <f>IF(Registro_Compras!$R96&lt;&gt;"SI","",Registro_Compras!$B96)</f>
        <v/>
      </c>
      <c r="B96" t="str">
        <f>IF(Registro_Compras!$R96&lt;&gt;"SI","",Registro_Compras!$C96)</f>
        <v/>
      </c>
      <c r="C96" t="str">
        <f>IF(Registro_Compras!$R96&lt;&gt;"SI","",Registro_Compras!$D96)</f>
        <v/>
      </c>
      <c r="D96" t="str">
        <f>IF(Registro_Compras!$R96&lt;&gt;"SI","",Registro_Compras!$E96)</f>
        <v/>
      </c>
      <c r="E96" t="str">
        <f>IF(Registro_Compras!$R96&lt;&gt;"SI","",Registro_Compras!$G96)</f>
        <v/>
      </c>
      <c r="F96" s="31" t="str">
        <f>IF(Registro_Compras!$R96&lt;&gt;"SI","",Registro_Compras!$P96)</f>
        <v/>
      </c>
      <c r="G96" s="20" t="str">
        <f>IF(Registro_Compras!$R96&lt;&gt;"SI","",Registro_Compras!$O96)</f>
        <v/>
      </c>
      <c r="H96" s="20" t="str">
        <f>IF(Registro_Compras!$R96&lt;&gt;"SI","",Registro_Compras!$S96)</f>
        <v/>
      </c>
      <c r="I96" s="25" t="str">
        <f>IF(Registro_Compras!$R96&lt;&gt;"SI","",IF(Registro_Compras!$Y96="",WORKDAY(EOMONTH(Registro_Compras!$B96,0),5,Feriados),MIN(Registro_Compras!$Y96,WORKDAY(EOMONTH(Registro_Compras!$B96,0),5,Feriados))))</f>
        <v/>
      </c>
      <c r="J96" s="25" t="str">
        <f>IF(Registro_Compras!$R96&lt;&gt;"SI","",Registro_Compras!$X96)</f>
        <v/>
      </c>
      <c r="K96" t="str">
        <f>IF(Registro_Compras!$R96&lt;&gt;"SI","",IF(Registro_Compras!$X96="","PENDIENTE","DEPOSITADA"))</f>
        <v/>
      </c>
      <c r="L96" t="str">
        <f>IF(Registro_Compras!$R96&lt;&gt;"SI","",Registro_Compras!$Z96)</f>
        <v/>
      </c>
      <c r="M96" t="str">
        <f t="shared" ca="1" si="2"/>
        <v/>
      </c>
      <c r="N96" t="str">
        <f t="shared" ca="1" si="3"/>
        <v/>
      </c>
    </row>
    <row r="97" spans="1:14" x14ac:dyDescent="0.25">
      <c r="A97" s="25" t="str">
        <f>IF(Registro_Compras!$R97&lt;&gt;"SI","",Registro_Compras!$B97)</f>
        <v/>
      </c>
      <c r="B97" t="str">
        <f>IF(Registro_Compras!$R97&lt;&gt;"SI","",Registro_Compras!$C97)</f>
        <v/>
      </c>
      <c r="C97" t="str">
        <f>IF(Registro_Compras!$R97&lt;&gt;"SI","",Registro_Compras!$D97)</f>
        <v/>
      </c>
      <c r="D97" t="str">
        <f>IF(Registro_Compras!$R97&lt;&gt;"SI","",Registro_Compras!$E97)</f>
        <v/>
      </c>
      <c r="E97" t="str">
        <f>IF(Registro_Compras!$R97&lt;&gt;"SI","",Registro_Compras!$G97)</f>
        <v/>
      </c>
      <c r="F97" s="31" t="str">
        <f>IF(Registro_Compras!$R97&lt;&gt;"SI","",Registro_Compras!$P97)</f>
        <v/>
      </c>
      <c r="G97" s="20" t="str">
        <f>IF(Registro_Compras!$R97&lt;&gt;"SI","",Registro_Compras!$O97)</f>
        <v/>
      </c>
      <c r="H97" s="20" t="str">
        <f>IF(Registro_Compras!$R97&lt;&gt;"SI","",Registro_Compras!$S97)</f>
        <v/>
      </c>
      <c r="I97" s="25" t="str">
        <f>IF(Registro_Compras!$R97&lt;&gt;"SI","",IF(Registro_Compras!$Y97="",WORKDAY(EOMONTH(Registro_Compras!$B97,0),5,Feriados),MIN(Registro_Compras!$Y97,WORKDAY(EOMONTH(Registro_Compras!$B97,0),5,Feriados))))</f>
        <v/>
      </c>
      <c r="J97" s="25" t="str">
        <f>IF(Registro_Compras!$R97&lt;&gt;"SI","",Registro_Compras!$X97)</f>
        <v/>
      </c>
      <c r="K97" t="str">
        <f>IF(Registro_Compras!$R97&lt;&gt;"SI","",IF(Registro_Compras!$X97="","PENDIENTE","DEPOSITADA"))</f>
        <v/>
      </c>
      <c r="L97" t="str">
        <f>IF(Registro_Compras!$R97&lt;&gt;"SI","",Registro_Compras!$Z97)</f>
        <v/>
      </c>
      <c r="M97" t="str">
        <f t="shared" ca="1" si="2"/>
        <v/>
      </c>
      <c r="N97" t="str">
        <f t="shared" ca="1" si="3"/>
        <v/>
      </c>
    </row>
    <row r="98" spans="1:14" x14ac:dyDescent="0.25">
      <c r="A98" s="25" t="str">
        <f>IF(Registro_Compras!$R98&lt;&gt;"SI","",Registro_Compras!$B98)</f>
        <v/>
      </c>
      <c r="B98" t="str">
        <f>IF(Registro_Compras!$R98&lt;&gt;"SI","",Registro_Compras!$C98)</f>
        <v/>
      </c>
      <c r="C98" t="str">
        <f>IF(Registro_Compras!$R98&lt;&gt;"SI","",Registro_Compras!$D98)</f>
        <v/>
      </c>
      <c r="D98" t="str">
        <f>IF(Registro_Compras!$R98&lt;&gt;"SI","",Registro_Compras!$E98)</f>
        <v/>
      </c>
      <c r="E98" t="str">
        <f>IF(Registro_Compras!$R98&lt;&gt;"SI","",Registro_Compras!$G98)</f>
        <v/>
      </c>
      <c r="F98" s="31" t="str">
        <f>IF(Registro_Compras!$R98&lt;&gt;"SI","",Registro_Compras!$P98)</f>
        <v/>
      </c>
      <c r="G98" s="20" t="str">
        <f>IF(Registro_Compras!$R98&lt;&gt;"SI","",Registro_Compras!$O98)</f>
        <v/>
      </c>
      <c r="H98" s="20" t="str">
        <f>IF(Registro_Compras!$R98&lt;&gt;"SI","",Registro_Compras!$S98)</f>
        <v/>
      </c>
      <c r="I98" s="25" t="str">
        <f>IF(Registro_Compras!$R98&lt;&gt;"SI","",IF(Registro_Compras!$Y98="",WORKDAY(EOMONTH(Registro_Compras!$B98,0),5,Feriados),MIN(Registro_Compras!$Y98,WORKDAY(EOMONTH(Registro_Compras!$B98,0),5,Feriados))))</f>
        <v/>
      </c>
      <c r="J98" s="25" t="str">
        <f>IF(Registro_Compras!$R98&lt;&gt;"SI","",Registro_Compras!$X98)</f>
        <v/>
      </c>
      <c r="K98" t="str">
        <f>IF(Registro_Compras!$R98&lt;&gt;"SI","",IF(Registro_Compras!$X98="","PENDIENTE","DEPOSITADA"))</f>
        <v/>
      </c>
      <c r="L98" t="str">
        <f>IF(Registro_Compras!$R98&lt;&gt;"SI","",Registro_Compras!$Z98)</f>
        <v/>
      </c>
      <c r="M98" t="str">
        <f t="shared" ca="1" si="2"/>
        <v/>
      </c>
      <c r="N98" t="str">
        <f t="shared" ca="1" si="3"/>
        <v/>
      </c>
    </row>
    <row r="99" spans="1:14" x14ac:dyDescent="0.25">
      <c r="A99" s="25">
        <f>IF(Registro_Compras!$R99&lt;&gt;"SI","",Registro_Compras!$B99)</f>
        <v>46245</v>
      </c>
      <c r="B99" t="str">
        <f>IF(Registro_Compras!$R99&lt;&gt;"SI","",Registro_Compras!$C99)</f>
        <v>F001-00000736</v>
      </c>
      <c r="C99" t="str">
        <f>IF(Registro_Compras!$R99&lt;&gt;"SI","",Registro_Compras!$D99)</f>
        <v>20603386214</v>
      </c>
      <c r="D99" t="str">
        <f>IF(Registro_Compras!$R99&lt;&gt;"SI","",Registro_Compras!$E99)</f>
        <v>PERUVIAN CULTURE TRAVEL AGENCIA DE VIAJES Y TURISMO S.R.L.</v>
      </c>
      <c r="E99" t="str">
        <f>IF(Registro_Compras!$R99&lt;&gt;"SI","",Registro_Compras!$G99)</f>
        <v>037</v>
      </c>
      <c r="F99" s="31">
        <f>IF(Registro_Compras!$R99&lt;&gt;"SI","",Registro_Compras!$P99)</f>
        <v>0.12</v>
      </c>
      <c r="G99" s="20">
        <f>IF(Registro_Compras!$R99&lt;&gt;"SI","",Registro_Compras!$O99)</f>
        <v>4159.2300000000005</v>
      </c>
      <c r="H99" s="20">
        <f>IF(Registro_Compras!$R99&lt;&gt;"SI","",Registro_Compras!$S99)</f>
        <v>499.11</v>
      </c>
      <c r="I99" s="25">
        <f>IF(Registro_Compras!$R99&lt;&gt;"SI","",IF(Registro_Compras!$Y99="",WORKDAY(EOMONTH(Registro_Compras!$B99,0),5,Feriados),MIN(Registro_Compras!$Y99,WORKDAY(EOMONTH(Registro_Compras!$B99,0),5,Feriados))))</f>
        <v>46272</v>
      </c>
      <c r="J99" s="25">
        <f>IF(Registro_Compras!$R99&lt;&gt;"SI","",Registro_Compras!$X99)</f>
        <v>0</v>
      </c>
      <c r="K99" t="str">
        <f>IF(Registro_Compras!$R99&lt;&gt;"SI","",IF(Registro_Compras!$X99="","PENDIENTE","DEPOSITADA"))</f>
        <v>PENDIENTE</v>
      </c>
      <c r="L99">
        <f>IF(Registro_Compras!$R99&lt;&gt;"SI","",Registro_Compras!$Z99)</f>
        <v>0</v>
      </c>
      <c r="M99">
        <f t="shared" ca="1" si="2"/>
        <v>0</v>
      </c>
      <c r="N99" t="str">
        <f t="shared" ca="1" si="3"/>
        <v>EN PLAZO</v>
      </c>
    </row>
    <row r="100" spans="1:14" x14ac:dyDescent="0.25">
      <c r="A100" s="25" t="str">
        <f>IF(Registro_Compras!$R100&lt;&gt;"SI","",Registro_Compras!$B100)</f>
        <v/>
      </c>
      <c r="B100" t="str">
        <f>IF(Registro_Compras!$R100&lt;&gt;"SI","",Registro_Compras!$C100)</f>
        <v/>
      </c>
      <c r="C100" t="str">
        <f>IF(Registro_Compras!$R100&lt;&gt;"SI","",Registro_Compras!$D100)</f>
        <v/>
      </c>
      <c r="D100" t="str">
        <f>IF(Registro_Compras!$R100&lt;&gt;"SI","",Registro_Compras!$E100)</f>
        <v/>
      </c>
      <c r="E100" t="str">
        <f>IF(Registro_Compras!$R100&lt;&gt;"SI","",Registro_Compras!$G100)</f>
        <v/>
      </c>
      <c r="F100" s="31" t="str">
        <f>IF(Registro_Compras!$R100&lt;&gt;"SI","",Registro_Compras!$P100)</f>
        <v/>
      </c>
      <c r="G100" s="20" t="str">
        <f>IF(Registro_Compras!$R100&lt;&gt;"SI","",Registro_Compras!$O100)</f>
        <v/>
      </c>
      <c r="H100" s="20" t="str">
        <f>IF(Registro_Compras!$R100&lt;&gt;"SI","",Registro_Compras!$S100)</f>
        <v/>
      </c>
      <c r="I100" s="25" t="str">
        <f>IF(Registro_Compras!$R100&lt;&gt;"SI","",IF(Registro_Compras!$Y100="",WORKDAY(EOMONTH(Registro_Compras!$B100,0),5,Feriados),MIN(Registro_Compras!$Y100,WORKDAY(EOMONTH(Registro_Compras!$B100,0),5,Feriados))))</f>
        <v/>
      </c>
      <c r="J100" s="25" t="str">
        <f>IF(Registro_Compras!$R100&lt;&gt;"SI","",Registro_Compras!$X100)</f>
        <v/>
      </c>
      <c r="K100" t="str">
        <f>IF(Registro_Compras!$R100&lt;&gt;"SI","",IF(Registro_Compras!$X100="","PENDIENTE","DEPOSITADA"))</f>
        <v/>
      </c>
      <c r="L100" t="str">
        <f>IF(Registro_Compras!$R100&lt;&gt;"SI","",Registro_Compras!$Z100)</f>
        <v/>
      </c>
      <c r="M100" t="str">
        <f t="shared" ca="1" si="2"/>
        <v/>
      </c>
      <c r="N100" t="str">
        <f t="shared" ca="1" si="3"/>
        <v/>
      </c>
    </row>
    <row r="101" spans="1:14" x14ac:dyDescent="0.25">
      <c r="A101" s="25" t="str">
        <f>IF(Registro_Compras!$R101&lt;&gt;"SI","",Registro_Compras!$B101)</f>
        <v/>
      </c>
      <c r="B101" t="str">
        <f>IF(Registro_Compras!$R101&lt;&gt;"SI","",Registro_Compras!$C101)</f>
        <v/>
      </c>
      <c r="C101" t="str">
        <f>IF(Registro_Compras!$R101&lt;&gt;"SI","",Registro_Compras!$D101)</f>
        <v/>
      </c>
      <c r="D101" t="str">
        <f>IF(Registro_Compras!$R101&lt;&gt;"SI","",Registro_Compras!$E101)</f>
        <v/>
      </c>
      <c r="E101" t="str">
        <f>IF(Registro_Compras!$R101&lt;&gt;"SI","",Registro_Compras!$G101)</f>
        <v/>
      </c>
      <c r="F101" s="31" t="str">
        <f>IF(Registro_Compras!$R101&lt;&gt;"SI","",Registro_Compras!$P101)</f>
        <v/>
      </c>
      <c r="G101" s="20" t="str">
        <f>IF(Registro_Compras!$R101&lt;&gt;"SI","",Registro_Compras!$O101)</f>
        <v/>
      </c>
      <c r="H101" s="20" t="str">
        <f>IF(Registro_Compras!$R101&lt;&gt;"SI","",Registro_Compras!$S101)</f>
        <v/>
      </c>
      <c r="I101" s="25" t="str">
        <f>IF(Registro_Compras!$R101&lt;&gt;"SI","",IF(Registro_Compras!$Y101="",WORKDAY(EOMONTH(Registro_Compras!$B101,0),5,Feriados),MIN(Registro_Compras!$Y101,WORKDAY(EOMONTH(Registro_Compras!$B101,0),5,Feriados))))</f>
        <v/>
      </c>
      <c r="J101" s="25" t="str">
        <f>IF(Registro_Compras!$R101&lt;&gt;"SI","",Registro_Compras!$X101)</f>
        <v/>
      </c>
      <c r="K101" t="str">
        <f>IF(Registro_Compras!$R101&lt;&gt;"SI","",IF(Registro_Compras!$X101="","PENDIENTE","DEPOSITADA"))</f>
        <v/>
      </c>
      <c r="L101" t="str">
        <f>IF(Registro_Compras!$R101&lt;&gt;"SI","",Registro_Compras!$Z101)</f>
        <v/>
      </c>
      <c r="M101" t="str">
        <f t="shared" ca="1" si="2"/>
        <v/>
      </c>
      <c r="N101" t="str">
        <f t="shared" ca="1" si="3"/>
        <v/>
      </c>
    </row>
    <row r="102" spans="1:14" x14ac:dyDescent="0.25">
      <c r="A102" s="25">
        <f>IF(Registro_Compras!$R102&lt;&gt;"SI","",Registro_Compras!$B102)</f>
        <v>46242</v>
      </c>
      <c r="B102" t="str">
        <f>IF(Registro_Compras!$R102&lt;&gt;"SI","",Registro_Compras!$C102)</f>
        <v>E001-1879</v>
      </c>
      <c r="C102" t="str">
        <f>IF(Registro_Compras!$R102&lt;&gt;"SI","",Registro_Compras!$D102)</f>
        <v>20358309870</v>
      </c>
      <c r="D102" t="str">
        <f>IF(Registro_Compras!$R102&lt;&gt;"SI","",Registro_Compras!$E102)</f>
        <v>CAMPING TOURS E.I.R.LTDA</v>
      </c>
      <c r="E102" t="str">
        <f>IF(Registro_Compras!$R102&lt;&gt;"SI","",Registro_Compras!$G102)</f>
        <v>037</v>
      </c>
      <c r="F102" s="31">
        <f>IF(Registro_Compras!$R102&lt;&gt;"SI","",Registro_Compras!$P102)</f>
        <v>0.12</v>
      </c>
      <c r="G102" s="20">
        <f>IF(Registro_Compras!$R102&lt;&gt;"SI","",Registro_Compras!$O102)</f>
        <v>1291.18</v>
      </c>
      <c r="H102" s="20">
        <f>IF(Registro_Compras!$R102&lt;&gt;"SI","",Registro_Compras!$S102)</f>
        <v>154.94</v>
      </c>
      <c r="I102" s="25">
        <f>IF(Registro_Compras!$R102&lt;&gt;"SI","",IF(Registro_Compras!$Y102="",WORKDAY(EOMONTH(Registro_Compras!$B102,0),5,Feriados),MIN(Registro_Compras!$Y102,WORKDAY(EOMONTH(Registro_Compras!$B102,0),5,Feriados))))</f>
        <v>46272</v>
      </c>
      <c r="J102" s="25">
        <f>IF(Registro_Compras!$R102&lt;&gt;"SI","",Registro_Compras!$X102)</f>
        <v>0</v>
      </c>
      <c r="K102" t="str">
        <f>IF(Registro_Compras!$R102&lt;&gt;"SI","",IF(Registro_Compras!$X102="","PENDIENTE","DEPOSITADA"))</f>
        <v>PENDIENTE</v>
      </c>
      <c r="L102">
        <f>IF(Registro_Compras!$R102&lt;&gt;"SI","",Registro_Compras!$Z102)</f>
        <v>0</v>
      </c>
      <c r="M102">
        <f t="shared" ca="1" si="2"/>
        <v>0</v>
      </c>
      <c r="N102" t="str">
        <f t="shared" ca="1" si="3"/>
        <v>EN PLAZO</v>
      </c>
    </row>
    <row r="103" spans="1:14" x14ac:dyDescent="0.25">
      <c r="A103" s="25" t="str">
        <f>IF(Registro_Compras!$R103&lt;&gt;"SI","",Registro_Compras!$B103)</f>
        <v/>
      </c>
      <c r="B103" t="str">
        <f>IF(Registro_Compras!$R103&lt;&gt;"SI","",Registro_Compras!$C103)</f>
        <v/>
      </c>
      <c r="C103" t="str">
        <f>IF(Registro_Compras!$R103&lt;&gt;"SI","",Registro_Compras!$D103)</f>
        <v/>
      </c>
      <c r="D103" t="str">
        <f>IF(Registro_Compras!$R103&lt;&gt;"SI","",Registro_Compras!$E103)</f>
        <v/>
      </c>
      <c r="E103" t="str">
        <f>IF(Registro_Compras!$R103&lt;&gt;"SI","",Registro_Compras!$G103)</f>
        <v/>
      </c>
      <c r="F103" s="31" t="str">
        <f>IF(Registro_Compras!$R103&lt;&gt;"SI","",Registro_Compras!$P103)</f>
        <v/>
      </c>
      <c r="G103" s="20" t="str">
        <f>IF(Registro_Compras!$R103&lt;&gt;"SI","",Registro_Compras!$O103)</f>
        <v/>
      </c>
      <c r="H103" s="20" t="str">
        <f>IF(Registro_Compras!$R103&lt;&gt;"SI","",Registro_Compras!$S103)</f>
        <v/>
      </c>
      <c r="I103" s="25" t="str">
        <f>IF(Registro_Compras!$R103&lt;&gt;"SI","",IF(Registro_Compras!$Y103="",WORKDAY(EOMONTH(Registro_Compras!$B103,0),5,Feriados),MIN(Registro_Compras!$Y103,WORKDAY(EOMONTH(Registro_Compras!$B103,0),5,Feriados))))</f>
        <v/>
      </c>
      <c r="J103" s="25" t="str">
        <f>IF(Registro_Compras!$R103&lt;&gt;"SI","",Registro_Compras!$X103)</f>
        <v/>
      </c>
      <c r="K103" t="str">
        <f>IF(Registro_Compras!$R103&lt;&gt;"SI","",IF(Registro_Compras!$X103="","PENDIENTE","DEPOSITADA"))</f>
        <v/>
      </c>
      <c r="L103" t="str">
        <f>IF(Registro_Compras!$R103&lt;&gt;"SI","",Registro_Compras!$Z103)</f>
        <v/>
      </c>
      <c r="M103" t="str">
        <f t="shared" ca="1" si="2"/>
        <v/>
      </c>
      <c r="N103" t="str">
        <f t="shared" ca="1" si="3"/>
        <v/>
      </c>
    </row>
    <row r="104" spans="1:14" x14ac:dyDescent="0.25">
      <c r="A104" s="25">
        <f>IF(Registro_Compras!$R104&lt;&gt;"SI","",Registro_Compras!$B104)</f>
        <v>46240</v>
      </c>
      <c r="B104" t="str">
        <f>IF(Registro_Compras!$R104&lt;&gt;"SI","",Registro_Compras!$C104)</f>
        <v>E001-326</v>
      </c>
      <c r="C104" t="str">
        <f>IF(Registro_Compras!$R104&lt;&gt;"SI","",Registro_Compras!$D104)</f>
        <v>20603668406</v>
      </c>
      <c r="D104" t="str">
        <f>IF(Registro_Compras!$R104&lt;&gt;"SI","",Registro_Compras!$E104)</f>
        <v>LUXURY ADVENTURE CUSCO PERU E.I.R.L.</v>
      </c>
      <c r="E104" t="str">
        <f>IF(Registro_Compras!$R104&lt;&gt;"SI","",Registro_Compras!$G104)</f>
        <v>037</v>
      </c>
      <c r="F104" s="31">
        <f>IF(Registro_Compras!$R104&lt;&gt;"SI","",Registro_Compras!$P104)</f>
        <v>0.12</v>
      </c>
      <c r="G104" s="20">
        <f>IF(Registro_Compras!$R104&lt;&gt;"SI","",Registro_Compras!$O104)</f>
        <v>772.13</v>
      </c>
      <c r="H104" s="20">
        <f>IF(Registro_Compras!$R104&lt;&gt;"SI","",Registro_Compras!$S104)</f>
        <v>92.66</v>
      </c>
      <c r="I104" s="25">
        <f>IF(Registro_Compras!$R104&lt;&gt;"SI","",IF(Registro_Compras!$Y104="",WORKDAY(EOMONTH(Registro_Compras!$B104,0),5,Feriados),MIN(Registro_Compras!$Y104,WORKDAY(EOMONTH(Registro_Compras!$B104,0),5,Feriados))))</f>
        <v>46272</v>
      </c>
      <c r="J104" s="25">
        <f>IF(Registro_Compras!$R104&lt;&gt;"SI","",Registro_Compras!$X104)</f>
        <v>0</v>
      </c>
      <c r="K104" t="str">
        <f>IF(Registro_Compras!$R104&lt;&gt;"SI","",IF(Registro_Compras!$X104="","PENDIENTE","DEPOSITADA"))</f>
        <v>PENDIENTE</v>
      </c>
      <c r="L104">
        <f>IF(Registro_Compras!$R104&lt;&gt;"SI","",Registro_Compras!$Z104)</f>
        <v>0</v>
      </c>
      <c r="M104">
        <f t="shared" ca="1" si="2"/>
        <v>0</v>
      </c>
      <c r="N104" t="str">
        <f t="shared" ca="1" si="3"/>
        <v>EN PLAZO</v>
      </c>
    </row>
    <row r="105" spans="1:14" x14ac:dyDescent="0.25">
      <c r="A105" s="25" t="str">
        <f>IF(Registro_Compras!$R105&lt;&gt;"SI","",Registro_Compras!$B105)</f>
        <v/>
      </c>
      <c r="B105" t="str">
        <f>IF(Registro_Compras!$R105&lt;&gt;"SI","",Registro_Compras!$C105)</f>
        <v/>
      </c>
      <c r="C105" t="str">
        <f>IF(Registro_Compras!$R105&lt;&gt;"SI","",Registro_Compras!$D105)</f>
        <v/>
      </c>
      <c r="D105" t="str">
        <f>IF(Registro_Compras!$R105&lt;&gt;"SI","",Registro_Compras!$E105)</f>
        <v/>
      </c>
      <c r="E105" t="str">
        <f>IF(Registro_Compras!$R105&lt;&gt;"SI","",Registro_Compras!$G105)</f>
        <v/>
      </c>
      <c r="F105" s="31" t="str">
        <f>IF(Registro_Compras!$R105&lt;&gt;"SI","",Registro_Compras!$P105)</f>
        <v/>
      </c>
      <c r="G105" s="20" t="str">
        <f>IF(Registro_Compras!$R105&lt;&gt;"SI","",Registro_Compras!$O105)</f>
        <v/>
      </c>
      <c r="H105" s="20" t="str">
        <f>IF(Registro_Compras!$R105&lt;&gt;"SI","",Registro_Compras!$S105)</f>
        <v/>
      </c>
      <c r="I105" s="25" t="str">
        <f>IF(Registro_Compras!$R105&lt;&gt;"SI","",IF(Registro_Compras!$Y105="",WORKDAY(EOMONTH(Registro_Compras!$B105,0),5,Feriados),MIN(Registro_Compras!$Y105,WORKDAY(EOMONTH(Registro_Compras!$B105,0),5,Feriados))))</f>
        <v/>
      </c>
      <c r="J105" s="25" t="str">
        <f>IF(Registro_Compras!$R105&lt;&gt;"SI","",Registro_Compras!$X105)</f>
        <v/>
      </c>
      <c r="K105" t="str">
        <f>IF(Registro_Compras!$R105&lt;&gt;"SI","",IF(Registro_Compras!$X105="","PENDIENTE","DEPOSITADA"))</f>
        <v/>
      </c>
      <c r="L105" t="str">
        <f>IF(Registro_Compras!$R105&lt;&gt;"SI","",Registro_Compras!$Z105)</f>
        <v/>
      </c>
      <c r="M105" t="str">
        <f t="shared" ca="1" si="2"/>
        <v/>
      </c>
      <c r="N105" t="str">
        <f t="shared" ca="1" si="3"/>
        <v/>
      </c>
    </row>
    <row r="106" spans="1:14" x14ac:dyDescent="0.25">
      <c r="A106" s="25" t="str">
        <f>IF(Registro_Compras!$R106&lt;&gt;"SI","",Registro_Compras!$B106)</f>
        <v/>
      </c>
      <c r="B106" t="str">
        <f>IF(Registro_Compras!$R106&lt;&gt;"SI","",Registro_Compras!$C106)</f>
        <v/>
      </c>
      <c r="C106" t="str">
        <f>IF(Registro_Compras!$R106&lt;&gt;"SI","",Registro_Compras!$D106)</f>
        <v/>
      </c>
      <c r="D106" t="str">
        <f>IF(Registro_Compras!$R106&lt;&gt;"SI","",Registro_Compras!$E106)</f>
        <v/>
      </c>
      <c r="E106" t="str">
        <f>IF(Registro_Compras!$R106&lt;&gt;"SI","",Registro_Compras!$G106)</f>
        <v/>
      </c>
      <c r="F106" s="31" t="str">
        <f>IF(Registro_Compras!$R106&lt;&gt;"SI","",Registro_Compras!$P106)</f>
        <v/>
      </c>
      <c r="G106" s="20" t="str">
        <f>IF(Registro_Compras!$R106&lt;&gt;"SI","",Registro_Compras!$O106)</f>
        <v/>
      </c>
      <c r="H106" s="20" t="str">
        <f>IF(Registro_Compras!$R106&lt;&gt;"SI","",Registro_Compras!$S106)</f>
        <v/>
      </c>
      <c r="I106" s="25" t="str">
        <f>IF(Registro_Compras!$R106&lt;&gt;"SI","",IF(Registro_Compras!$Y106="",WORKDAY(EOMONTH(Registro_Compras!$B106,0),5,Feriados),MIN(Registro_Compras!$Y106,WORKDAY(EOMONTH(Registro_Compras!$B106,0),5,Feriados))))</f>
        <v/>
      </c>
      <c r="J106" s="25" t="str">
        <f>IF(Registro_Compras!$R106&lt;&gt;"SI","",Registro_Compras!$X106)</f>
        <v/>
      </c>
      <c r="K106" t="str">
        <f>IF(Registro_Compras!$R106&lt;&gt;"SI","",IF(Registro_Compras!$X106="","PENDIENTE","DEPOSITADA"))</f>
        <v/>
      </c>
      <c r="L106" t="str">
        <f>IF(Registro_Compras!$R106&lt;&gt;"SI","",Registro_Compras!$Z106)</f>
        <v/>
      </c>
      <c r="M106" t="str">
        <f t="shared" ca="1" si="2"/>
        <v/>
      </c>
      <c r="N106" t="str">
        <f t="shared" ca="1" si="3"/>
        <v/>
      </c>
    </row>
    <row r="107" spans="1:14" x14ac:dyDescent="0.25">
      <c r="A107" s="25">
        <f>IF(Registro_Compras!$R107&lt;&gt;"SI","",Registro_Compras!$B107)</f>
        <v>46253</v>
      </c>
      <c r="B107" t="str">
        <f>IF(Registro_Compras!$R107&lt;&gt;"SI","",Registro_Compras!$C107)</f>
        <v>E001-700</v>
      </c>
      <c r="C107" t="str">
        <f>IF(Registro_Compras!$R107&lt;&gt;"SI","",Registro_Compras!$D107)</f>
        <v>10756090416</v>
      </c>
      <c r="D107" t="str">
        <f>IF(Registro_Compras!$R107&lt;&gt;"SI","",Registro_Compras!$E107)</f>
        <v>CUELLAR ANDRES MANUEL ELMER</v>
      </c>
      <c r="E107" t="str">
        <f>IF(Registro_Compras!$R107&lt;&gt;"SI","",Registro_Compras!$G107)</f>
        <v>026</v>
      </c>
      <c r="F107" s="31">
        <f>IF(Registro_Compras!$R107&lt;&gt;"SI","",Registro_Compras!$P107)</f>
        <v>0.1</v>
      </c>
      <c r="G107" s="20">
        <f>IF(Registro_Compras!$R107&lt;&gt;"SI","",Registro_Compras!$O107)</f>
        <v>4470.1099999999997</v>
      </c>
      <c r="H107" s="20">
        <f>IF(Registro_Compras!$R107&lt;&gt;"SI","",Registro_Compras!$S107)</f>
        <v>447.01</v>
      </c>
      <c r="I107" s="25">
        <f>IF(Registro_Compras!$R107&lt;&gt;"SI","",IF(Registro_Compras!$Y107="",WORKDAY(EOMONTH(Registro_Compras!$B107,0),5,Feriados),MIN(Registro_Compras!$Y107,WORKDAY(EOMONTH(Registro_Compras!$B107,0),5,Feriados))))</f>
        <v>46272</v>
      </c>
      <c r="J107" s="25">
        <f>IF(Registro_Compras!$R107&lt;&gt;"SI","",Registro_Compras!$X107)</f>
        <v>0</v>
      </c>
      <c r="K107" t="str">
        <f>IF(Registro_Compras!$R107&lt;&gt;"SI","",IF(Registro_Compras!$X107="","PENDIENTE","DEPOSITADA"))</f>
        <v>PENDIENTE</v>
      </c>
      <c r="L107">
        <f>IF(Registro_Compras!$R107&lt;&gt;"SI","",Registro_Compras!$Z107)</f>
        <v>0</v>
      </c>
      <c r="M107">
        <f t="shared" ca="1" si="2"/>
        <v>0</v>
      </c>
      <c r="N107" t="str">
        <f t="shared" ca="1" si="3"/>
        <v>EN PLAZO</v>
      </c>
    </row>
    <row r="108" spans="1:14" x14ac:dyDescent="0.25">
      <c r="A108" s="25" t="str">
        <f>IF(Registro_Compras!$R108&lt;&gt;"SI","",Registro_Compras!$B108)</f>
        <v/>
      </c>
      <c r="B108" t="str">
        <f>IF(Registro_Compras!$R108&lt;&gt;"SI","",Registro_Compras!$C108)</f>
        <v/>
      </c>
      <c r="C108" t="str">
        <f>IF(Registro_Compras!$R108&lt;&gt;"SI","",Registro_Compras!$D108)</f>
        <v/>
      </c>
      <c r="D108" t="str">
        <f>IF(Registro_Compras!$R108&lt;&gt;"SI","",Registro_Compras!$E108)</f>
        <v/>
      </c>
      <c r="E108" t="str">
        <f>IF(Registro_Compras!$R108&lt;&gt;"SI","",Registro_Compras!$G108)</f>
        <v/>
      </c>
      <c r="F108" s="31" t="str">
        <f>IF(Registro_Compras!$R108&lt;&gt;"SI","",Registro_Compras!$P108)</f>
        <v/>
      </c>
      <c r="G108" s="20" t="str">
        <f>IF(Registro_Compras!$R108&lt;&gt;"SI","",Registro_Compras!$O108)</f>
        <v/>
      </c>
      <c r="H108" s="20" t="str">
        <f>IF(Registro_Compras!$R108&lt;&gt;"SI","",Registro_Compras!$S108)</f>
        <v/>
      </c>
      <c r="I108" s="25" t="str">
        <f>IF(Registro_Compras!$R108&lt;&gt;"SI","",IF(Registro_Compras!$Y108="",WORKDAY(EOMONTH(Registro_Compras!$B108,0),5,Feriados),MIN(Registro_Compras!$Y108,WORKDAY(EOMONTH(Registro_Compras!$B108,0),5,Feriados))))</f>
        <v/>
      </c>
      <c r="J108" s="25" t="str">
        <f>IF(Registro_Compras!$R108&lt;&gt;"SI","",Registro_Compras!$X108)</f>
        <v/>
      </c>
      <c r="K108" t="str">
        <f>IF(Registro_Compras!$R108&lt;&gt;"SI","",IF(Registro_Compras!$X108="","PENDIENTE","DEPOSITADA"))</f>
        <v/>
      </c>
      <c r="L108" t="str">
        <f>IF(Registro_Compras!$R108&lt;&gt;"SI","",Registro_Compras!$Z108)</f>
        <v/>
      </c>
      <c r="M108" t="str">
        <f t="shared" ca="1" si="2"/>
        <v/>
      </c>
      <c r="N108" t="str">
        <f t="shared" ca="1" si="3"/>
        <v/>
      </c>
    </row>
    <row r="109" spans="1:14" x14ac:dyDescent="0.25">
      <c r="A109" s="25" t="str">
        <f>IF(Registro_Compras!$R109&lt;&gt;"SI","",Registro_Compras!$B109)</f>
        <v/>
      </c>
      <c r="B109" t="str">
        <f>IF(Registro_Compras!$R109&lt;&gt;"SI","",Registro_Compras!$C109)</f>
        <v/>
      </c>
      <c r="C109" t="str">
        <f>IF(Registro_Compras!$R109&lt;&gt;"SI","",Registro_Compras!$D109)</f>
        <v/>
      </c>
      <c r="D109" t="str">
        <f>IF(Registro_Compras!$R109&lt;&gt;"SI","",Registro_Compras!$E109)</f>
        <v/>
      </c>
      <c r="E109" t="str">
        <f>IF(Registro_Compras!$R109&lt;&gt;"SI","",Registro_Compras!$G109)</f>
        <v/>
      </c>
      <c r="F109" s="31" t="str">
        <f>IF(Registro_Compras!$R109&lt;&gt;"SI","",Registro_Compras!$P109)</f>
        <v/>
      </c>
      <c r="G109" s="20" t="str">
        <f>IF(Registro_Compras!$R109&lt;&gt;"SI","",Registro_Compras!$O109)</f>
        <v/>
      </c>
      <c r="H109" s="20" t="str">
        <f>IF(Registro_Compras!$R109&lt;&gt;"SI","",Registro_Compras!$S109)</f>
        <v/>
      </c>
      <c r="I109" s="25" t="str">
        <f>IF(Registro_Compras!$R109&lt;&gt;"SI","",IF(Registro_Compras!$Y109="",WORKDAY(EOMONTH(Registro_Compras!$B109,0),5,Feriados),MIN(Registro_Compras!$Y109,WORKDAY(EOMONTH(Registro_Compras!$B109,0),5,Feriados))))</f>
        <v/>
      </c>
      <c r="J109" s="25" t="str">
        <f>IF(Registro_Compras!$R109&lt;&gt;"SI","",Registro_Compras!$X109)</f>
        <v/>
      </c>
      <c r="K109" t="str">
        <f>IF(Registro_Compras!$R109&lt;&gt;"SI","",IF(Registro_Compras!$X109="","PENDIENTE","DEPOSITADA"))</f>
        <v/>
      </c>
      <c r="L109" t="str">
        <f>IF(Registro_Compras!$R109&lt;&gt;"SI","",Registro_Compras!$Z109)</f>
        <v/>
      </c>
      <c r="M109" t="str">
        <f t="shared" ca="1" si="2"/>
        <v/>
      </c>
      <c r="N109" t="str">
        <f t="shared" ca="1" si="3"/>
        <v/>
      </c>
    </row>
    <row r="110" spans="1:14" x14ac:dyDescent="0.25">
      <c r="A110" s="25" t="str">
        <f>IF(Registro_Compras!$R110&lt;&gt;"SI","",Registro_Compras!$B110)</f>
        <v/>
      </c>
      <c r="B110" t="str">
        <f>IF(Registro_Compras!$R110&lt;&gt;"SI","",Registro_Compras!$C110)</f>
        <v/>
      </c>
      <c r="C110" t="str">
        <f>IF(Registro_Compras!$R110&lt;&gt;"SI","",Registro_Compras!$D110)</f>
        <v/>
      </c>
      <c r="D110" t="str">
        <f>IF(Registro_Compras!$R110&lt;&gt;"SI","",Registro_Compras!$E110)</f>
        <v/>
      </c>
      <c r="E110" t="str">
        <f>IF(Registro_Compras!$R110&lt;&gt;"SI","",Registro_Compras!$G110)</f>
        <v/>
      </c>
      <c r="F110" s="31" t="str">
        <f>IF(Registro_Compras!$R110&lt;&gt;"SI","",Registro_Compras!$P110)</f>
        <v/>
      </c>
      <c r="G110" s="20" t="str">
        <f>IF(Registro_Compras!$R110&lt;&gt;"SI","",Registro_Compras!$O110)</f>
        <v/>
      </c>
      <c r="H110" s="20" t="str">
        <f>IF(Registro_Compras!$R110&lt;&gt;"SI","",Registro_Compras!$S110)</f>
        <v/>
      </c>
      <c r="I110" s="25" t="str">
        <f>IF(Registro_Compras!$R110&lt;&gt;"SI","",IF(Registro_Compras!$Y110="",WORKDAY(EOMONTH(Registro_Compras!$B110,0),5,Feriados),MIN(Registro_Compras!$Y110,WORKDAY(EOMONTH(Registro_Compras!$B110,0),5,Feriados))))</f>
        <v/>
      </c>
      <c r="J110" s="25" t="str">
        <f>IF(Registro_Compras!$R110&lt;&gt;"SI","",Registro_Compras!$X110)</f>
        <v/>
      </c>
      <c r="K110" t="str">
        <f>IF(Registro_Compras!$R110&lt;&gt;"SI","",IF(Registro_Compras!$X110="","PENDIENTE","DEPOSITADA"))</f>
        <v/>
      </c>
      <c r="L110" t="str">
        <f>IF(Registro_Compras!$R110&lt;&gt;"SI","",Registro_Compras!$Z110)</f>
        <v/>
      </c>
      <c r="M110" t="str">
        <f t="shared" ca="1" si="2"/>
        <v/>
      </c>
      <c r="N110" t="str">
        <f t="shared" ca="1" si="3"/>
        <v/>
      </c>
    </row>
    <row r="111" spans="1:14" x14ac:dyDescent="0.25">
      <c r="A111" s="25" t="str">
        <f>IF(Registro_Compras!$R111&lt;&gt;"SI","",Registro_Compras!$B111)</f>
        <v/>
      </c>
      <c r="B111" t="str">
        <f>IF(Registro_Compras!$R111&lt;&gt;"SI","",Registro_Compras!$C111)</f>
        <v/>
      </c>
      <c r="C111" t="str">
        <f>IF(Registro_Compras!$R111&lt;&gt;"SI","",Registro_Compras!$D111)</f>
        <v/>
      </c>
      <c r="D111" t="str">
        <f>IF(Registro_Compras!$R111&lt;&gt;"SI","",Registro_Compras!$E111)</f>
        <v/>
      </c>
      <c r="E111" t="str">
        <f>IF(Registro_Compras!$R111&lt;&gt;"SI","",Registro_Compras!$G111)</f>
        <v/>
      </c>
      <c r="F111" s="31" t="str">
        <f>IF(Registro_Compras!$R111&lt;&gt;"SI","",Registro_Compras!$P111)</f>
        <v/>
      </c>
      <c r="G111" s="20" t="str">
        <f>IF(Registro_Compras!$R111&lt;&gt;"SI","",Registro_Compras!$O111)</f>
        <v/>
      </c>
      <c r="H111" s="20" t="str">
        <f>IF(Registro_Compras!$R111&lt;&gt;"SI","",Registro_Compras!$S111)</f>
        <v/>
      </c>
      <c r="I111" s="25" t="str">
        <f>IF(Registro_Compras!$R111&lt;&gt;"SI","",IF(Registro_Compras!$Y111="",WORKDAY(EOMONTH(Registro_Compras!$B111,0),5,Feriados),MIN(Registro_Compras!$Y111,WORKDAY(EOMONTH(Registro_Compras!$B111,0),5,Feriados))))</f>
        <v/>
      </c>
      <c r="J111" s="25" t="str">
        <f>IF(Registro_Compras!$R111&lt;&gt;"SI","",Registro_Compras!$X111)</f>
        <v/>
      </c>
      <c r="K111" t="str">
        <f>IF(Registro_Compras!$R111&lt;&gt;"SI","",IF(Registro_Compras!$X111="","PENDIENTE","DEPOSITADA"))</f>
        <v/>
      </c>
      <c r="L111" t="str">
        <f>IF(Registro_Compras!$R111&lt;&gt;"SI","",Registro_Compras!$Z111)</f>
        <v/>
      </c>
      <c r="M111" t="str">
        <f t="shared" ca="1" si="2"/>
        <v/>
      </c>
      <c r="N111" t="str">
        <f t="shared" ca="1" si="3"/>
        <v/>
      </c>
    </row>
    <row r="112" spans="1:14" x14ac:dyDescent="0.25">
      <c r="A112" s="25" t="str">
        <f>IF(Registro_Compras!$R112&lt;&gt;"SI","",Registro_Compras!$B112)</f>
        <v/>
      </c>
      <c r="B112" t="str">
        <f>IF(Registro_Compras!$R112&lt;&gt;"SI","",Registro_Compras!$C112)</f>
        <v/>
      </c>
      <c r="C112" t="str">
        <f>IF(Registro_Compras!$R112&lt;&gt;"SI","",Registro_Compras!$D112)</f>
        <v/>
      </c>
      <c r="D112" t="str">
        <f>IF(Registro_Compras!$R112&lt;&gt;"SI","",Registro_Compras!$E112)</f>
        <v/>
      </c>
      <c r="E112" t="str">
        <f>IF(Registro_Compras!$R112&lt;&gt;"SI","",Registro_Compras!$G112)</f>
        <v/>
      </c>
      <c r="F112" s="31" t="str">
        <f>IF(Registro_Compras!$R112&lt;&gt;"SI","",Registro_Compras!$P112)</f>
        <v/>
      </c>
      <c r="G112" s="20" t="str">
        <f>IF(Registro_Compras!$R112&lt;&gt;"SI","",Registro_Compras!$O112)</f>
        <v/>
      </c>
      <c r="H112" s="20" t="str">
        <f>IF(Registro_Compras!$R112&lt;&gt;"SI","",Registro_Compras!$S112)</f>
        <v/>
      </c>
      <c r="I112" s="25" t="str">
        <f>IF(Registro_Compras!$R112&lt;&gt;"SI","",IF(Registro_Compras!$Y112="",WORKDAY(EOMONTH(Registro_Compras!$B112,0),5,Feriados),MIN(Registro_Compras!$Y112,WORKDAY(EOMONTH(Registro_Compras!$B112,0),5,Feriados))))</f>
        <v/>
      </c>
      <c r="J112" s="25" t="str">
        <f>IF(Registro_Compras!$R112&lt;&gt;"SI","",Registro_Compras!$X112)</f>
        <v/>
      </c>
      <c r="K112" t="str">
        <f>IF(Registro_Compras!$R112&lt;&gt;"SI","",IF(Registro_Compras!$X112="","PENDIENTE","DEPOSITADA"))</f>
        <v/>
      </c>
      <c r="L112" t="str">
        <f>IF(Registro_Compras!$R112&lt;&gt;"SI","",Registro_Compras!$Z112)</f>
        <v/>
      </c>
      <c r="M112" t="str">
        <f t="shared" ca="1" si="2"/>
        <v/>
      </c>
      <c r="N112" t="str">
        <f t="shared" ca="1" si="3"/>
        <v/>
      </c>
    </row>
    <row r="113" spans="1:14" x14ac:dyDescent="0.25">
      <c r="A113" s="25" t="str">
        <f>IF(Registro_Compras!$R113&lt;&gt;"SI","",Registro_Compras!$B113)</f>
        <v/>
      </c>
      <c r="B113" t="str">
        <f>IF(Registro_Compras!$R113&lt;&gt;"SI","",Registro_Compras!$C113)</f>
        <v/>
      </c>
      <c r="C113" t="str">
        <f>IF(Registro_Compras!$R113&lt;&gt;"SI","",Registro_Compras!$D113)</f>
        <v/>
      </c>
      <c r="D113" t="str">
        <f>IF(Registro_Compras!$R113&lt;&gt;"SI","",Registro_Compras!$E113)</f>
        <v/>
      </c>
      <c r="E113" t="str">
        <f>IF(Registro_Compras!$R113&lt;&gt;"SI","",Registro_Compras!$G113)</f>
        <v/>
      </c>
      <c r="F113" s="31" t="str">
        <f>IF(Registro_Compras!$R113&lt;&gt;"SI","",Registro_Compras!$P113)</f>
        <v/>
      </c>
      <c r="G113" s="20" t="str">
        <f>IF(Registro_Compras!$R113&lt;&gt;"SI","",Registro_Compras!$O113)</f>
        <v/>
      </c>
      <c r="H113" s="20" t="str">
        <f>IF(Registro_Compras!$R113&lt;&gt;"SI","",Registro_Compras!$S113)</f>
        <v/>
      </c>
      <c r="I113" s="25" t="str">
        <f>IF(Registro_Compras!$R113&lt;&gt;"SI","",IF(Registro_Compras!$Y113="",WORKDAY(EOMONTH(Registro_Compras!$B113,0),5,Feriados),MIN(Registro_Compras!$Y113,WORKDAY(EOMONTH(Registro_Compras!$B113,0),5,Feriados))))</f>
        <v/>
      </c>
      <c r="J113" s="25" t="str">
        <f>IF(Registro_Compras!$R113&lt;&gt;"SI","",Registro_Compras!$X113)</f>
        <v/>
      </c>
      <c r="K113" t="str">
        <f>IF(Registro_Compras!$R113&lt;&gt;"SI","",IF(Registro_Compras!$X113="","PENDIENTE","DEPOSITADA"))</f>
        <v/>
      </c>
      <c r="L113" t="str">
        <f>IF(Registro_Compras!$R113&lt;&gt;"SI","",Registro_Compras!$Z113)</f>
        <v/>
      </c>
      <c r="M113" t="str">
        <f t="shared" ca="1" si="2"/>
        <v/>
      </c>
      <c r="N113" t="str">
        <f t="shared" ca="1" si="3"/>
        <v/>
      </c>
    </row>
    <row r="114" spans="1:14" x14ac:dyDescent="0.25">
      <c r="A114" s="25" t="str">
        <f>IF(Registro_Compras!$R114&lt;&gt;"SI","",Registro_Compras!$B114)</f>
        <v/>
      </c>
      <c r="B114" t="str">
        <f>IF(Registro_Compras!$R114&lt;&gt;"SI","",Registro_Compras!$C114)</f>
        <v/>
      </c>
      <c r="C114" t="str">
        <f>IF(Registro_Compras!$R114&lt;&gt;"SI","",Registro_Compras!$D114)</f>
        <v/>
      </c>
      <c r="D114" t="str">
        <f>IF(Registro_Compras!$R114&lt;&gt;"SI","",Registro_Compras!$E114)</f>
        <v/>
      </c>
      <c r="E114" t="str">
        <f>IF(Registro_Compras!$R114&lt;&gt;"SI","",Registro_Compras!$G114)</f>
        <v/>
      </c>
      <c r="F114" s="31" t="str">
        <f>IF(Registro_Compras!$R114&lt;&gt;"SI","",Registro_Compras!$P114)</f>
        <v/>
      </c>
      <c r="G114" s="20" t="str">
        <f>IF(Registro_Compras!$R114&lt;&gt;"SI","",Registro_Compras!$O114)</f>
        <v/>
      </c>
      <c r="H114" s="20" t="str">
        <f>IF(Registro_Compras!$R114&lt;&gt;"SI","",Registro_Compras!$S114)</f>
        <v/>
      </c>
      <c r="I114" s="25" t="str">
        <f>IF(Registro_Compras!$R114&lt;&gt;"SI","",IF(Registro_Compras!$Y114="",WORKDAY(EOMONTH(Registro_Compras!$B114,0),5,Feriados),MIN(Registro_Compras!$Y114,WORKDAY(EOMONTH(Registro_Compras!$B114,0),5,Feriados))))</f>
        <v/>
      </c>
      <c r="J114" s="25" t="str">
        <f>IF(Registro_Compras!$R114&lt;&gt;"SI","",Registro_Compras!$X114)</f>
        <v/>
      </c>
      <c r="K114" t="str">
        <f>IF(Registro_Compras!$R114&lt;&gt;"SI","",IF(Registro_Compras!$X114="","PENDIENTE","DEPOSITADA"))</f>
        <v/>
      </c>
      <c r="L114" t="str">
        <f>IF(Registro_Compras!$R114&lt;&gt;"SI","",Registro_Compras!$Z114)</f>
        <v/>
      </c>
      <c r="M114" t="str">
        <f t="shared" ca="1" si="2"/>
        <v/>
      </c>
      <c r="N114" t="str">
        <f t="shared" ca="1" si="3"/>
        <v/>
      </c>
    </row>
    <row r="115" spans="1:14" x14ac:dyDescent="0.25">
      <c r="A115" s="25" t="str">
        <f>IF(Registro_Compras!$R115&lt;&gt;"SI","",Registro_Compras!$B115)</f>
        <v/>
      </c>
      <c r="B115" t="str">
        <f>IF(Registro_Compras!$R115&lt;&gt;"SI","",Registro_Compras!$C115)</f>
        <v/>
      </c>
      <c r="C115" t="str">
        <f>IF(Registro_Compras!$R115&lt;&gt;"SI","",Registro_Compras!$D115)</f>
        <v/>
      </c>
      <c r="D115" t="str">
        <f>IF(Registro_Compras!$R115&lt;&gt;"SI","",Registro_Compras!$E115)</f>
        <v/>
      </c>
      <c r="E115" t="str">
        <f>IF(Registro_Compras!$R115&lt;&gt;"SI","",Registro_Compras!$G115)</f>
        <v/>
      </c>
      <c r="F115" s="31" t="str">
        <f>IF(Registro_Compras!$R115&lt;&gt;"SI","",Registro_Compras!$P115)</f>
        <v/>
      </c>
      <c r="G115" s="20" t="str">
        <f>IF(Registro_Compras!$R115&lt;&gt;"SI","",Registro_Compras!$O115)</f>
        <v/>
      </c>
      <c r="H115" s="20" t="str">
        <f>IF(Registro_Compras!$R115&lt;&gt;"SI","",Registro_Compras!$S115)</f>
        <v/>
      </c>
      <c r="I115" s="25" t="str">
        <f>IF(Registro_Compras!$R115&lt;&gt;"SI","",IF(Registro_Compras!$Y115="",WORKDAY(EOMONTH(Registro_Compras!$B115,0),5,Feriados),MIN(Registro_Compras!$Y115,WORKDAY(EOMONTH(Registro_Compras!$B115,0),5,Feriados))))</f>
        <v/>
      </c>
      <c r="J115" s="25" t="str">
        <f>IF(Registro_Compras!$R115&lt;&gt;"SI","",Registro_Compras!$X115)</f>
        <v/>
      </c>
      <c r="K115" t="str">
        <f>IF(Registro_Compras!$R115&lt;&gt;"SI","",IF(Registro_Compras!$X115="","PENDIENTE","DEPOSITADA"))</f>
        <v/>
      </c>
      <c r="L115" t="str">
        <f>IF(Registro_Compras!$R115&lt;&gt;"SI","",Registro_Compras!$Z115)</f>
        <v/>
      </c>
      <c r="M115" t="str">
        <f t="shared" ca="1" si="2"/>
        <v/>
      </c>
      <c r="N115" t="str">
        <f t="shared" ca="1" si="3"/>
        <v/>
      </c>
    </row>
    <row r="116" spans="1:14" x14ac:dyDescent="0.25">
      <c r="A116" s="25" t="str">
        <f>IF(Registro_Compras!$R116&lt;&gt;"SI","",Registro_Compras!$B116)</f>
        <v/>
      </c>
      <c r="B116" t="str">
        <f>IF(Registro_Compras!$R116&lt;&gt;"SI","",Registro_Compras!$C116)</f>
        <v/>
      </c>
      <c r="C116" t="str">
        <f>IF(Registro_Compras!$R116&lt;&gt;"SI","",Registro_Compras!$D116)</f>
        <v/>
      </c>
      <c r="D116" t="str">
        <f>IF(Registro_Compras!$R116&lt;&gt;"SI","",Registro_Compras!$E116)</f>
        <v/>
      </c>
      <c r="E116" t="str">
        <f>IF(Registro_Compras!$R116&lt;&gt;"SI","",Registro_Compras!$G116)</f>
        <v/>
      </c>
      <c r="F116" s="31" t="str">
        <f>IF(Registro_Compras!$R116&lt;&gt;"SI","",Registro_Compras!$P116)</f>
        <v/>
      </c>
      <c r="G116" s="20" t="str">
        <f>IF(Registro_Compras!$R116&lt;&gt;"SI","",Registro_Compras!$O116)</f>
        <v/>
      </c>
      <c r="H116" s="20" t="str">
        <f>IF(Registro_Compras!$R116&lt;&gt;"SI","",Registro_Compras!$S116)</f>
        <v/>
      </c>
      <c r="I116" s="25" t="str">
        <f>IF(Registro_Compras!$R116&lt;&gt;"SI","",IF(Registro_Compras!$Y116="",WORKDAY(EOMONTH(Registro_Compras!$B116,0),5,Feriados),MIN(Registro_Compras!$Y116,WORKDAY(EOMONTH(Registro_Compras!$B116,0),5,Feriados))))</f>
        <v/>
      </c>
      <c r="J116" s="25" t="str">
        <f>IF(Registro_Compras!$R116&lt;&gt;"SI","",Registro_Compras!$X116)</f>
        <v/>
      </c>
      <c r="K116" t="str">
        <f>IF(Registro_Compras!$R116&lt;&gt;"SI","",IF(Registro_Compras!$X116="","PENDIENTE","DEPOSITADA"))</f>
        <v/>
      </c>
      <c r="L116" t="str">
        <f>IF(Registro_Compras!$R116&lt;&gt;"SI","",Registro_Compras!$Z116)</f>
        <v/>
      </c>
      <c r="M116" t="str">
        <f t="shared" ca="1" si="2"/>
        <v/>
      </c>
      <c r="N116" t="str">
        <f t="shared" ca="1" si="3"/>
        <v/>
      </c>
    </row>
    <row r="117" spans="1:14" x14ac:dyDescent="0.25">
      <c r="A117" s="25" t="str">
        <f>IF(Registro_Compras!$R117&lt;&gt;"SI","",Registro_Compras!$B117)</f>
        <v/>
      </c>
      <c r="B117" t="str">
        <f>IF(Registro_Compras!$R117&lt;&gt;"SI","",Registro_Compras!$C117)</f>
        <v/>
      </c>
      <c r="C117" t="str">
        <f>IF(Registro_Compras!$R117&lt;&gt;"SI","",Registro_Compras!$D117)</f>
        <v/>
      </c>
      <c r="D117" t="str">
        <f>IF(Registro_Compras!$R117&lt;&gt;"SI","",Registro_Compras!$E117)</f>
        <v/>
      </c>
      <c r="E117" t="str">
        <f>IF(Registro_Compras!$R117&lt;&gt;"SI","",Registro_Compras!$G117)</f>
        <v/>
      </c>
      <c r="F117" s="31" t="str">
        <f>IF(Registro_Compras!$R117&lt;&gt;"SI","",Registro_Compras!$P117)</f>
        <v/>
      </c>
      <c r="G117" s="20" t="str">
        <f>IF(Registro_Compras!$R117&lt;&gt;"SI","",Registro_Compras!$O117)</f>
        <v/>
      </c>
      <c r="H117" s="20" t="str">
        <f>IF(Registro_Compras!$R117&lt;&gt;"SI","",Registro_Compras!$S117)</f>
        <v/>
      </c>
      <c r="I117" s="25" t="str">
        <f>IF(Registro_Compras!$R117&lt;&gt;"SI","",IF(Registro_Compras!$Y117="",WORKDAY(EOMONTH(Registro_Compras!$B117,0),5,Feriados),MIN(Registro_Compras!$Y117,WORKDAY(EOMONTH(Registro_Compras!$B117,0),5,Feriados))))</f>
        <v/>
      </c>
      <c r="J117" s="25" t="str">
        <f>IF(Registro_Compras!$R117&lt;&gt;"SI","",Registro_Compras!$X117)</f>
        <v/>
      </c>
      <c r="K117" t="str">
        <f>IF(Registro_Compras!$R117&lt;&gt;"SI","",IF(Registro_Compras!$X117="","PENDIENTE","DEPOSITADA"))</f>
        <v/>
      </c>
      <c r="L117" t="str">
        <f>IF(Registro_Compras!$R117&lt;&gt;"SI","",Registro_Compras!$Z117)</f>
        <v/>
      </c>
      <c r="M117" t="str">
        <f t="shared" ca="1" si="2"/>
        <v/>
      </c>
      <c r="N117" t="str">
        <f t="shared" ca="1" si="3"/>
        <v/>
      </c>
    </row>
    <row r="118" spans="1:14" x14ac:dyDescent="0.25">
      <c r="A118" s="25" t="str">
        <f>IF(Registro_Compras!$R118&lt;&gt;"SI","",Registro_Compras!$B118)</f>
        <v/>
      </c>
      <c r="B118" t="str">
        <f>IF(Registro_Compras!$R118&lt;&gt;"SI","",Registro_Compras!$C118)</f>
        <v/>
      </c>
      <c r="C118" t="str">
        <f>IF(Registro_Compras!$R118&lt;&gt;"SI","",Registro_Compras!$D118)</f>
        <v/>
      </c>
      <c r="D118" t="str">
        <f>IF(Registro_Compras!$R118&lt;&gt;"SI","",Registro_Compras!$E118)</f>
        <v/>
      </c>
      <c r="E118" t="str">
        <f>IF(Registro_Compras!$R118&lt;&gt;"SI","",Registro_Compras!$G118)</f>
        <v/>
      </c>
      <c r="F118" s="31" t="str">
        <f>IF(Registro_Compras!$R118&lt;&gt;"SI","",Registro_Compras!$P118)</f>
        <v/>
      </c>
      <c r="G118" s="20" t="str">
        <f>IF(Registro_Compras!$R118&lt;&gt;"SI","",Registro_Compras!$O118)</f>
        <v/>
      </c>
      <c r="H118" s="20" t="str">
        <f>IF(Registro_Compras!$R118&lt;&gt;"SI","",Registro_Compras!$S118)</f>
        <v/>
      </c>
      <c r="I118" s="25" t="str">
        <f>IF(Registro_Compras!$R118&lt;&gt;"SI","",IF(Registro_Compras!$Y118="",WORKDAY(EOMONTH(Registro_Compras!$B118,0),5,Feriados),MIN(Registro_Compras!$Y118,WORKDAY(EOMONTH(Registro_Compras!$B118,0),5,Feriados))))</f>
        <v/>
      </c>
      <c r="J118" s="25" t="str">
        <f>IF(Registro_Compras!$R118&lt;&gt;"SI","",Registro_Compras!$X118)</f>
        <v/>
      </c>
      <c r="K118" t="str">
        <f>IF(Registro_Compras!$R118&lt;&gt;"SI","",IF(Registro_Compras!$X118="","PENDIENTE","DEPOSITADA"))</f>
        <v/>
      </c>
      <c r="L118" t="str">
        <f>IF(Registro_Compras!$R118&lt;&gt;"SI","",Registro_Compras!$Z118)</f>
        <v/>
      </c>
      <c r="M118" t="str">
        <f t="shared" ca="1" si="2"/>
        <v/>
      </c>
      <c r="N118" t="str">
        <f t="shared" ca="1" si="3"/>
        <v/>
      </c>
    </row>
    <row r="119" spans="1:14" x14ac:dyDescent="0.25">
      <c r="A119" s="25" t="str">
        <f>IF(Registro_Compras!$R119&lt;&gt;"SI","",Registro_Compras!$B119)</f>
        <v/>
      </c>
      <c r="B119" t="str">
        <f>IF(Registro_Compras!$R119&lt;&gt;"SI","",Registro_Compras!$C119)</f>
        <v/>
      </c>
      <c r="C119" t="str">
        <f>IF(Registro_Compras!$R119&lt;&gt;"SI","",Registro_Compras!$D119)</f>
        <v/>
      </c>
      <c r="D119" t="str">
        <f>IF(Registro_Compras!$R119&lt;&gt;"SI","",Registro_Compras!$E119)</f>
        <v/>
      </c>
      <c r="E119" t="str">
        <f>IF(Registro_Compras!$R119&lt;&gt;"SI","",Registro_Compras!$G119)</f>
        <v/>
      </c>
      <c r="F119" s="31" t="str">
        <f>IF(Registro_Compras!$R119&lt;&gt;"SI","",Registro_Compras!$P119)</f>
        <v/>
      </c>
      <c r="G119" s="20" t="str">
        <f>IF(Registro_Compras!$R119&lt;&gt;"SI","",Registro_Compras!$O119)</f>
        <v/>
      </c>
      <c r="H119" s="20" t="str">
        <f>IF(Registro_Compras!$R119&lt;&gt;"SI","",Registro_Compras!$S119)</f>
        <v/>
      </c>
      <c r="I119" s="25" t="str">
        <f>IF(Registro_Compras!$R119&lt;&gt;"SI","",IF(Registro_Compras!$Y119="",WORKDAY(EOMONTH(Registro_Compras!$B119,0),5,Feriados),MIN(Registro_Compras!$Y119,WORKDAY(EOMONTH(Registro_Compras!$B119,0),5,Feriados))))</f>
        <v/>
      </c>
      <c r="J119" s="25" t="str">
        <f>IF(Registro_Compras!$R119&lt;&gt;"SI","",Registro_Compras!$X119)</f>
        <v/>
      </c>
      <c r="K119" t="str">
        <f>IF(Registro_Compras!$R119&lt;&gt;"SI","",IF(Registro_Compras!$X119="","PENDIENTE","DEPOSITADA"))</f>
        <v/>
      </c>
      <c r="L119" t="str">
        <f>IF(Registro_Compras!$R119&lt;&gt;"SI","",Registro_Compras!$Z119)</f>
        <v/>
      </c>
      <c r="M119" t="str">
        <f t="shared" ca="1" si="2"/>
        <v/>
      </c>
      <c r="N119" t="str">
        <f t="shared" ca="1" si="3"/>
        <v/>
      </c>
    </row>
    <row r="120" spans="1:14" x14ac:dyDescent="0.25">
      <c r="A120" s="25" t="str">
        <f>IF(Registro_Compras!$R120&lt;&gt;"SI","",Registro_Compras!$B120)</f>
        <v/>
      </c>
      <c r="B120" t="str">
        <f>IF(Registro_Compras!$R120&lt;&gt;"SI","",Registro_Compras!$C120)</f>
        <v/>
      </c>
      <c r="C120" t="str">
        <f>IF(Registro_Compras!$R120&lt;&gt;"SI","",Registro_Compras!$D120)</f>
        <v/>
      </c>
      <c r="D120" t="str">
        <f>IF(Registro_Compras!$R120&lt;&gt;"SI","",Registro_Compras!$E120)</f>
        <v/>
      </c>
      <c r="E120" t="str">
        <f>IF(Registro_Compras!$R120&lt;&gt;"SI","",Registro_Compras!$G120)</f>
        <v/>
      </c>
      <c r="F120" s="31" t="str">
        <f>IF(Registro_Compras!$R120&lt;&gt;"SI","",Registro_Compras!$P120)</f>
        <v/>
      </c>
      <c r="G120" s="20" t="str">
        <f>IF(Registro_Compras!$R120&lt;&gt;"SI","",Registro_Compras!$O120)</f>
        <v/>
      </c>
      <c r="H120" s="20" t="str">
        <f>IF(Registro_Compras!$R120&lt;&gt;"SI","",Registro_Compras!$S120)</f>
        <v/>
      </c>
      <c r="I120" s="25" t="str">
        <f>IF(Registro_Compras!$R120&lt;&gt;"SI","",IF(Registro_Compras!$Y120="",WORKDAY(EOMONTH(Registro_Compras!$B120,0),5,Feriados),MIN(Registro_Compras!$Y120,WORKDAY(EOMONTH(Registro_Compras!$B120,0),5,Feriados))))</f>
        <v/>
      </c>
      <c r="J120" s="25" t="str">
        <f>IF(Registro_Compras!$R120&lt;&gt;"SI","",Registro_Compras!$X120)</f>
        <v/>
      </c>
      <c r="K120" t="str">
        <f>IF(Registro_Compras!$R120&lt;&gt;"SI","",IF(Registro_Compras!$X120="","PENDIENTE","DEPOSITADA"))</f>
        <v/>
      </c>
      <c r="L120" t="str">
        <f>IF(Registro_Compras!$R120&lt;&gt;"SI","",Registro_Compras!$Z120)</f>
        <v/>
      </c>
      <c r="M120" t="str">
        <f t="shared" ca="1" si="2"/>
        <v/>
      </c>
      <c r="N120" t="str">
        <f t="shared" ca="1" si="3"/>
        <v/>
      </c>
    </row>
    <row r="121" spans="1:14" x14ac:dyDescent="0.25">
      <c r="A121" s="25" t="str">
        <f>IF(Registro_Compras!$R121&lt;&gt;"SI","",Registro_Compras!$B121)</f>
        <v/>
      </c>
      <c r="B121" t="str">
        <f>IF(Registro_Compras!$R121&lt;&gt;"SI","",Registro_Compras!$C121)</f>
        <v/>
      </c>
      <c r="C121" t="str">
        <f>IF(Registro_Compras!$R121&lt;&gt;"SI","",Registro_Compras!$D121)</f>
        <v/>
      </c>
      <c r="D121" t="str">
        <f>IF(Registro_Compras!$R121&lt;&gt;"SI","",Registro_Compras!$E121)</f>
        <v/>
      </c>
      <c r="E121" t="str">
        <f>IF(Registro_Compras!$R121&lt;&gt;"SI","",Registro_Compras!$G121)</f>
        <v/>
      </c>
      <c r="F121" s="31" t="str">
        <f>IF(Registro_Compras!$R121&lt;&gt;"SI","",Registro_Compras!$P121)</f>
        <v/>
      </c>
      <c r="G121" s="20" t="str">
        <f>IF(Registro_Compras!$R121&lt;&gt;"SI","",Registro_Compras!$O121)</f>
        <v/>
      </c>
      <c r="H121" s="20" t="str">
        <f>IF(Registro_Compras!$R121&lt;&gt;"SI","",Registro_Compras!$S121)</f>
        <v/>
      </c>
      <c r="I121" s="25" t="str">
        <f>IF(Registro_Compras!$R121&lt;&gt;"SI","",IF(Registro_Compras!$Y121="",WORKDAY(EOMONTH(Registro_Compras!$B121,0),5,Feriados),MIN(Registro_Compras!$Y121,WORKDAY(EOMONTH(Registro_Compras!$B121,0),5,Feriados))))</f>
        <v/>
      </c>
      <c r="J121" s="25" t="str">
        <f>IF(Registro_Compras!$R121&lt;&gt;"SI","",Registro_Compras!$X121)</f>
        <v/>
      </c>
      <c r="K121" t="str">
        <f>IF(Registro_Compras!$R121&lt;&gt;"SI","",IF(Registro_Compras!$X121="","PENDIENTE","DEPOSITADA"))</f>
        <v/>
      </c>
      <c r="L121" t="str">
        <f>IF(Registro_Compras!$R121&lt;&gt;"SI","",Registro_Compras!$Z121)</f>
        <v/>
      </c>
      <c r="M121" t="str">
        <f t="shared" ca="1" si="2"/>
        <v/>
      </c>
      <c r="N121" t="str">
        <f t="shared" ca="1" si="3"/>
        <v/>
      </c>
    </row>
    <row r="122" spans="1:14" x14ac:dyDescent="0.25">
      <c r="A122" s="25" t="str">
        <f>IF(Registro_Compras!$R122&lt;&gt;"SI","",Registro_Compras!$B122)</f>
        <v/>
      </c>
      <c r="B122" t="str">
        <f>IF(Registro_Compras!$R122&lt;&gt;"SI","",Registro_Compras!$C122)</f>
        <v/>
      </c>
      <c r="C122" t="str">
        <f>IF(Registro_Compras!$R122&lt;&gt;"SI","",Registro_Compras!$D122)</f>
        <v/>
      </c>
      <c r="D122" t="str">
        <f>IF(Registro_Compras!$R122&lt;&gt;"SI","",Registro_Compras!$E122)</f>
        <v/>
      </c>
      <c r="E122" t="str">
        <f>IF(Registro_Compras!$R122&lt;&gt;"SI","",Registro_Compras!$G122)</f>
        <v/>
      </c>
      <c r="F122" s="31" t="str">
        <f>IF(Registro_Compras!$R122&lt;&gt;"SI","",Registro_Compras!$P122)</f>
        <v/>
      </c>
      <c r="G122" s="20" t="str">
        <f>IF(Registro_Compras!$R122&lt;&gt;"SI","",Registro_Compras!$O122)</f>
        <v/>
      </c>
      <c r="H122" s="20" t="str">
        <f>IF(Registro_Compras!$R122&lt;&gt;"SI","",Registro_Compras!$S122)</f>
        <v/>
      </c>
      <c r="I122" s="25" t="str">
        <f>IF(Registro_Compras!$R122&lt;&gt;"SI","",IF(Registro_Compras!$Y122="",WORKDAY(EOMONTH(Registro_Compras!$B122,0),5,Feriados),MIN(Registro_Compras!$Y122,WORKDAY(EOMONTH(Registro_Compras!$B122,0),5,Feriados))))</f>
        <v/>
      </c>
      <c r="J122" s="25" t="str">
        <f>IF(Registro_Compras!$R122&lt;&gt;"SI","",Registro_Compras!$X122)</f>
        <v/>
      </c>
      <c r="K122" t="str">
        <f>IF(Registro_Compras!$R122&lt;&gt;"SI","",IF(Registro_Compras!$X122="","PENDIENTE","DEPOSITADA"))</f>
        <v/>
      </c>
      <c r="L122" t="str">
        <f>IF(Registro_Compras!$R122&lt;&gt;"SI","",Registro_Compras!$Z122)</f>
        <v/>
      </c>
      <c r="M122" t="str">
        <f t="shared" ca="1" si="2"/>
        <v/>
      </c>
      <c r="N122" t="str">
        <f t="shared" ca="1" si="3"/>
        <v/>
      </c>
    </row>
    <row r="123" spans="1:14" x14ac:dyDescent="0.25">
      <c r="A123" s="25" t="str">
        <f>IF(Registro_Compras!$R123&lt;&gt;"SI","",Registro_Compras!$B123)</f>
        <v/>
      </c>
      <c r="B123" t="str">
        <f>IF(Registro_Compras!$R123&lt;&gt;"SI","",Registro_Compras!$C123)</f>
        <v/>
      </c>
      <c r="C123" t="str">
        <f>IF(Registro_Compras!$R123&lt;&gt;"SI","",Registro_Compras!$D123)</f>
        <v/>
      </c>
      <c r="D123" t="str">
        <f>IF(Registro_Compras!$R123&lt;&gt;"SI","",Registro_Compras!$E123)</f>
        <v/>
      </c>
      <c r="E123" t="str">
        <f>IF(Registro_Compras!$R123&lt;&gt;"SI","",Registro_Compras!$G123)</f>
        <v/>
      </c>
      <c r="F123" s="31" t="str">
        <f>IF(Registro_Compras!$R123&lt;&gt;"SI","",Registro_Compras!$P123)</f>
        <v/>
      </c>
      <c r="G123" s="20" t="str">
        <f>IF(Registro_Compras!$R123&lt;&gt;"SI","",Registro_Compras!$O123)</f>
        <v/>
      </c>
      <c r="H123" s="20" t="str">
        <f>IF(Registro_Compras!$R123&lt;&gt;"SI","",Registro_Compras!$S123)</f>
        <v/>
      </c>
      <c r="I123" s="25" t="str">
        <f>IF(Registro_Compras!$R123&lt;&gt;"SI","",IF(Registro_Compras!$Y123="",WORKDAY(EOMONTH(Registro_Compras!$B123,0),5,Feriados),MIN(Registro_Compras!$Y123,WORKDAY(EOMONTH(Registro_Compras!$B123,0),5,Feriados))))</f>
        <v/>
      </c>
      <c r="J123" s="25" t="str">
        <f>IF(Registro_Compras!$R123&lt;&gt;"SI","",Registro_Compras!$X123)</f>
        <v/>
      </c>
      <c r="K123" t="str">
        <f>IF(Registro_Compras!$R123&lt;&gt;"SI","",IF(Registro_Compras!$X123="","PENDIENTE","DEPOSITADA"))</f>
        <v/>
      </c>
      <c r="L123" t="str">
        <f>IF(Registro_Compras!$R123&lt;&gt;"SI","",Registro_Compras!$Z123)</f>
        <v/>
      </c>
      <c r="M123" t="str">
        <f t="shared" ca="1" si="2"/>
        <v/>
      </c>
      <c r="N123" t="str">
        <f t="shared" ca="1" si="3"/>
        <v/>
      </c>
    </row>
    <row r="124" spans="1:14" x14ac:dyDescent="0.25">
      <c r="A124" s="25" t="str">
        <f>IF(Registro_Compras!$R124&lt;&gt;"SI","",Registro_Compras!$B124)</f>
        <v/>
      </c>
      <c r="B124" t="str">
        <f>IF(Registro_Compras!$R124&lt;&gt;"SI","",Registro_Compras!$C124)</f>
        <v/>
      </c>
      <c r="C124" t="str">
        <f>IF(Registro_Compras!$R124&lt;&gt;"SI","",Registro_Compras!$D124)</f>
        <v/>
      </c>
      <c r="D124" t="str">
        <f>IF(Registro_Compras!$R124&lt;&gt;"SI","",Registro_Compras!$E124)</f>
        <v/>
      </c>
      <c r="E124" t="str">
        <f>IF(Registro_Compras!$R124&lt;&gt;"SI","",Registro_Compras!$G124)</f>
        <v/>
      </c>
      <c r="F124" s="31" t="str">
        <f>IF(Registro_Compras!$R124&lt;&gt;"SI","",Registro_Compras!$P124)</f>
        <v/>
      </c>
      <c r="G124" s="20" t="str">
        <f>IF(Registro_Compras!$R124&lt;&gt;"SI","",Registro_Compras!$O124)</f>
        <v/>
      </c>
      <c r="H124" s="20" t="str">
        <f>IF(Registro_Compras!$R124&lt;&gt;"SI","",Registro_Compras!$S124)</f>
        <v/>
      </c>
      <c r="I124" s="25" t="str">
        <f>IF(Registro_Compras!$R124&lt;&gt;"SI","",IF(Registro_Compras!$Y124="",WORKDAY(EOMONTH(Registro_Compras!$B124,0),5,Feriados),MIN(Registro_Compras!$Y124,WORKDAY(EOMONTH(Registro_Compras!$B124,0),5,Feriados))))</f>
        <v/>
      </c>
      <c r="J124" s="25" t="str">
        <f>IF(Registro_Compras!$R124&lt;&gt;"SI","",Registro_Compras!$X124)</f>
        <v/>
      </c>
      <c r="K124" t="str">
        <f>IF(Registro_Compras!$R124&lt;&gt;"SI","",IF(Registro_Compras!$X124="","PENDIENTE","DEPOSITADA"))</f>
        <v/>
      </c>
      <c r="L124" t="str">
        <f>IF(Registro_Compras!$R124&lt;&gt;"SI","",Registro_Compras!$Z124)</f>
        <v/>
      </c>
      <c r="M124" t="str">
        <f t="shared" ca="1" si="2"/>
        <v/>
      </c>
      <c r="N124" t="str">
        <f t="shared" ca="1" si="3"/>
        <v/>
      </c>
    </row>
    <row r="125" spans="1:14" x14ac:dyDescent="0.25">
      <c r="A125" s="25" t="str">
        <f>IF(Registro_Compras!$R125&lt;&gt;"SI","",Registro_Compras!$B125)</f>
        <v/>
      </c>
      <c r="B125" t="str">
        <f>IF(Registro_Compras!$R125&lt;&gt;"SI","",Registro_Compras!$C125)</f>
        <v/>
      </c>
      <c r="C125" t="str">
        <f>IF(Registro_Compras!$R125&lt;&gt;"SI","",Registro_Compras!$D125)</f>
        <v/>
      </c>
      <c r="D125" t="str">
        <f>IF(Registro_Compras!$R125&lt;&gt;"SI","",Registro_Compras!$E125)</f>
        <v/>
      </c>
      <c r="E125" t="str">
        <f>IF(Registro_Compras!$R125&lt;&gt;"SI","",Registro_Compras!$G125)</f>
        <v/>
      </c>
      <c r="F125" s="31" t="str">
        <f>IF(Registro_Compras!$R125&lt;&gt;"SI","",Registro_Compras!$P125)</f>
        <v/>
      </c>
      <c r="G125" s="20" t="str">
        <f>IF(Registro_Compras!$R125&lt;&gt;"SI","",Registro_Compras!$O125)</f>
        <v/>
      </c>
      <c r="H125" s="20" t="str">
        <f>IF(Registro_Compras!$R125&lt;&gt;"SI","",Registro_Compras!$S125)</f>
        <v/>
      </c>
      <c r="I125" s="25" t="str">
        <f>IF(Registro_Compras!$R125&lt;&gt;"SI","",IF(Registro_Compras!$Y125="",WORKDAY(EOMONTH(Registro_Compras!$B125,0),5,Feriados),MIN(Registro_Compras!$Y125,WORKDAY(EOMONTH(Registro_Compras!$B125,0),5,Feriados))))</f>
        <v/>
      </c>
      <c r="J125" s="25" t="str">
        <f>IF(Registro_Compras!$R125&lt;&gt;"SI","",Registro_Compras!$X125)</f>
        <v/>
      </c>
      <c r="K125" t="str">
        <f>IF(Registro_Compras!$R125&lt;&gt;"SI","",IF(Registro_Compras!$X125="","PENDIENTE","DEPOSITADA"))</f>
        <v/>
      </c>
      <c r="L125" t="str">
        <f>IF(Registro_Compras!$R125&lt;&gt;"SI","",Registro_Compras!$Z125)</f>
        <v/>
      </c>
      <c r="M125" t="str">
        <f t="shared" ca="1" si="2"/>
        <v/>
      </c>
      <c r="N125" t="str">
        <f t="shared" ca="1" si="3"/>
        <v/>
      </c>
    </row>
    <row r="126" spans="1:14" x14ac:dyDescent="0.25">
      <c r="A126" s="25" t="str">
        <f>IF(Registro_Compras!$R126&lt;&gt;"SI","",Registro_Compras!$B126)</f>
        <v/>
      </c>
      <c r="B126" t="str">
        <f>IF(Registro_Compras!$R126&lt;&gt;"SI","",Registro_Compras!$C126)</f>
        <v/>
      </c>
      <c r="C126" t="str">
        <f>IF(Registro_Compras!$R126&lt;&gt;"SI","",Registro_Compras!$D126)</f>
        <v/>
      </c>
      <c r="D126" t="str">
        <f>IF(Registro_Compras!$R126&lt;&gt;"SI","",Registro_Compras!$E126)</f>
        <v/>
      </c>
      <c r="E126" t="str">
        <f>IF(Registro_Compras!$R126&lt;&gt;"SI","",Registro_Compras!$G126)</f>
        <v/>
      </c>
      <c r="F126" s="31" t="str">
        <f>IF(Registro_Compras!$R126&lt;&gt;"SI","",Registro_Compras!$P126)</f>
        <v/>
      </c>
      <c r="G126" s="20" t="str">
        <f>IF(Registro_Compras!$R126&lt;&gt;"SI","",Registro_Compras!$O126)</f>
        <v/>
      </c>
      <c r="H126" s="20" t="str">
        <f>IF(Registro_Compras!$R126&lt;&gt;"SI","",Registro_Compras!$S126)</f>
        <v/>
      </c>
      <c r="I126" s="25" t="str">
        <f>IF(Registro_Compras!$R126&lt;&gt;"SI","",IF(Registro_Compras!$Y126="",WORKDAY(EOMONTH(Registro_Compras!$B126,0),5,Feriados),MIN(Registro_Compras!$Y126,WORKDAY(EOMONTH(Registro_Compras!$B126,0),5,Feriados))))</f>
        <v/>
      </c>
      <c r="J126" s="25" t="str">
        <f>IF(Registro_Compras!$R126&lt;&gt;"SI","",Registro_Compras!$X126)</f>
        <v/>
      </c>
      <c r="K126" t="str">
        <f>IF(Registro_Compras!$R126&lt;&gt;"SI","",IF(Registro_Compras!$X126="","PENDIENTE","DEPOSITADA"))</f>
        <v/>
      </c>
      <c r="L126" t="str">
        <f>IF(Registro_Compras!$R126&lt;&gt;"SI","",Registro_Compras!$Z126)</f>
        <v/>
      </c>
      <c r="M126" t="str">
        <f t="shared" ca="1" si="2"/>
        <v/>
      </c>
      <c r="N126" t="str">
        <f t="shared" ca="1" si="3"/>
        <v/>
      </c>
    </row>
    <row r="127" spans="1:14" x14ac:dyDescent="0.25">
      <c r="A127" s="25" t="str">
        <f>IF(Registro_Compras!$R127&lt;&gt;"SI","",Registro_Compras!$B127)</f>
        <v/>
      </c>
      <c r="B127" t="str">
        <f>IF(Registro_Compras!$R127&lt;&gt;"SI","",Registro_Compras!$C127)</f>
        <v/>
      </c>
      <c r="C127" t="str">
        <f>IF(Registro_Compras!$R127&lt;&gt;"SI","",Registro_Compras!$D127)</f>
        <v/>
      </c>
      <c r="D127" t="str">
        <f>IF(Registro_Compras!$R127&lt;&gt;"SI","",Registro_Compras!$E127)</f>
        <v/>
      </c>
      <c r="E127" t="str">
        <f>IF(Registro_Compras!$R127&lt;&gt;"SI","",Registro_Compras!$G127)</f>
        <v/>
      </c>
      <c r="F127" s="31" t="str">
        <f>IF(Registro_Compras!$R127&lt;&gt;"SI","",Registro_Compras!$P127)</f>
        <v/>
      </c>
      <c r="G127" s="20" t="str">
        <f>IF(Registro_Compras!$R127&lt;&gt;"SI","",Registro_Compras!$O127)</f>
        <v/>
      </c>
      <c r="H127" s="20" t="str">
        <f>IF(Registro_Compras!$R127&lt;&gt;"SI","",Registro_Compras!$S127)</f>
        <v/>
      </c>
      <c r="I127" s="25" t="str">
        <f>IF(Registro_Compras!$R127&lt;&gt;"SI","",IF(Registro_Compras!$Y127="",WORKDAY(EOMONTH(Registro_Compras!$B127,0),5,Feriados),MIN(Registro_Compras!$Y127,WORKDAY(EOMONTH(Registro_Compras!$B127,0),5,Feriados))))</f>
        <v/>
      </c>
      <c r="J127" s="25" t="str">
        <f>IF(Registro_Compras!$R127&lt;&gt;"SI","",Registro_Compras!$X127)</f>
        <v/>
      </c>
      <c r="K127" t="str">
        <f>IF(Registro_Compras!$R127&lt;&gt;"SI","",IF(Registro_Compras!$X127="","PENDIENTE","DEPOSITADA"))</f>
        <v/>
      </c>
      <c r="L127" t="str">
        <f>IF(Registro_Compras!$R127&lt;&gt;"SI","",Registro_Compras!$Z127)</f>
        <v/>
      </c>
      <c r="M127" t="str">
        <f t="shared" ca="1" si="2"/>
        <v/>
      </c>
      <c r="N127" t="str">
        <f t="shared" ca="1" si="3"/>
        <v/>
      </c>
    </row>
    <row r="128" spans="1:14" x14ac:dyDescent="0.25">
      <c r="A128" s="25" t="str">
        <f>IF(Registro_Compras!$R128&lt;&gt;"SI","",Registro_Compras!$B128)</f>
        <v/>
      </c>
      <c r="B128" t="str">
        <f>IF(Registro_Compras!$R128&lt;&gt;"SI","",Registro_Compras!$C128)</f>
        <v/>
      </c>
      <c r="C128" t="str">
        <f>IF(Registro_Compras!$R128&lt;&gt;"SI","",Registro_Compras!$D128)</f>
        <v/>
      </c>
      <c r="D128" t="str">
        <f>IF(Registro_Compras!$R128&lt;&gt;"SI","",Registro_Compras!$E128)</f>
        <v/>
      </c>
      <c r="E128" t="str">
        <f>IF(Registro_Compras!$R128&lt;&gt;"SI","",Registro_Compras!$G128)</f>
        <v/>
      </c>
      <c r="F128" s="31" t="str">
        <f>IF(Registro_Compras!$R128&lt;&gt;"SI","",Registro_Compras!$P128)</f>
        <v/>
      </c>
      <c r="G128" s="20" t="str">
        <f>IF(Registro_Compras!$R128&lt;&gt;"SI","",Registro_Compras!$O128)</f>
        <v/>
      </c>
      <c r="H128" s="20" t="str">
        <f>IF(Registro_Compras!$R128&lt;&gt;"SI","",Registro_Compras!$S128)</f>
        <v/>
      </c>
      <c r="I128" s="25" t="str">
        <f>IF(Registro_Compras!$R128&lt;&gt;"SI","",IF(Registro_Compras!$Y128="",WORKDAY(EOMONTH(Registro_Compras!$B128,0),5,Feriados),MIN(Registro_Compras!$Y128,WORKDAY(EOMONTH(Registro_Compras!$B128,0),5,Feriados))))</f>
        <v/>
      </c>
      <c r="J128" s="25" t="str">
        <f>IF(Registro_Compras!$R128&lt;&gt;"SI","",Registro_Compras!$X128)</f>
        <v/>
      </c>
      <c r="K128" t="str">
        <f>IF(Registro_Compras!$R128&lt;&gt;"SI","",IF(Registro_Compras!$X128="","PENDIENTE","DEPOSITADA"))</f>
        <v/>
      </c>
      <c r="L128" t="str">
        <f>IF(Registro_Compras!$R128&lt;&gt;"SI","",Registro_Compras!$Z128)</f>
        <v/>
      </c>
      <c r="M128" t="str">
        <f t="shared" ca="1" si="2"/>
        <v/>
      </c>
      <c r="N128" t="str">
        <f t="shared" ca="1" si="3"/>
        <v/>
      </c>
    </row>
    <row r="129" spans="1:14" x14ac:dyDescent="0.25">
      <c r="A129" s="25" t="str">
        <f>IF(Registro_Compras!$R129&lt;&gt;"SI","",Registro_Compras!$B129)</f>
        <v/>
      </c>
      <c r="B129" t="str">
        <f>IF(Registro_Compras!$R129&lt;&gt;"SI","",Registro_Compras!$C129)</f>
        <v/>
      </c>
      <c r="C129" t="str">
        <f>IF(Registro_Compras!$R129&lt;&gt;"SI","",Registro_Compras!$D129)</f>
        <v/>
      </c>
      <c r="D129" t="str">
        <f>IF(Registro_Compras!$R129&lt;&gt;"SI","",Registro_Compras!$E129)</f>
        <v/>
      </c>
      <c r="E129" t="str">
        <f>IF(Registro_Compras!$R129&lt;&gt;"SI","",Registro_Compras!$G129)</f>
        <v/>
      </c>
      <c r="F129" s="31" t="str">
        <f>IF(Registro_Compras!$R129&lt;&gt;"SI","",Registro_Compras!$P129)</f>
        <v/>
      </c>
      <c r="G129" s="20" t="str">
        <f>IF(Registro_Compras!$R129&lt;&gt;"SI","",Registro_Compras!$O129)</f>
        <v/>
      </c>
      <c r="H129" s="20" t="str">
        <f>IF(Registro_Compras!$R129&lt;&gt;"SI","",Registro_Compras!$S129)</f>
        <v/>
      </c>
      <c r="I129" s="25" t="str">
        <f>IF(Registro_Compras!$R129&lt;&gt;"SI","",IF(Registro_Compras!$Y129="",WORKDAY(EOMONTH(Registro_Compras!$B129,0),5,Feriados),MIN(Registro_Compras!$Y129,WORKDAY(EOMONTH(Registro_Compras!$B129,0),5,Feriados))))</f>
        <v/>
      </c>
      <c r="J129" s="25" t="str">
        <f>IF(Registro_Compras!$R129&lt;&gt;"SI","",Registro_Compras!$X129)</f>
        <v/>
      </c>
      <c r="K129" t="str">
        <f>IF(Registro_Compras!$R129&lt;&gt;"SI","",IF(Registro_Compras!$X129="","PENDIENTE","DEPOSITADA"))</f>
        <v/>
      </c>
      <c r="L129" t="str">
        <f>IF(Registro_Compras!$R129&lt;&gt;"SI","",Registro_Compras!$Z129)</f>
        <v/>
      </c>
      <c r="M129" t="str">
        <f t="shared" ca="1" si="2"/>
        <v/>
      </c>
      <c r="N129" t="str">
        <f t="shared" ca="1" si="3"/>
        <v/>
      </c>
    </row>
    <row r="130" spans="1:14" x14ac:dyDescent="0.25">
      <c r="A130" s="25" t="str">
        <f>IF(Registro_Compras!$R130&lt;&gt;"SI","",Registro_Compras!$B130)</f>
        <v/>
      </c>
      <c r="B130" t="str">
        <f>IF(Registro_Compras!$R130&lt;&gt;"SI","",Registro_Compras!$C130)</f>
        <v/>
      </c>
      <c r="C130" t="str">
        <f>IF(Registro_Compras!$R130&lt;&gt;"SI","",Registro_Compras!$D130)</f>
        <v/>
      </c>
      <c r="D130" t="str">
        <f>IF(Registro_Compras!$R130&lt;&gt;"SI","",Registro_Compras!$E130)</f>
        <v/>
      </c>
      <c r="E130" t="str">
        <f>IF(Registro_Compras!$R130&lt;&gt;"SI","",Registro_Compras!$G130)</f>
        <v/>
      </c>
      <c r="F130" s="31" t="str">
        <f>IF(Registro_Compras!$R130&lt;&gt;"SI","",Registro_Compras!$P130)</f>
        <v/>
      </c>
      <c r="G130" s="20" t="str">
        <f>IF(Registro_Compras!$R130&lt;&gt;"SI","",Registro_Compras!$O130)</f>
        <v/>
      </c>
      <c r="H130" s="20" t="str">
        <f>IF(Registro_Compras!$R130&lt;&gt;"SI","",Registro_Compras!$S130)</f>
        <v/>
      </c>
      <c r="I130" s="25" t="str">
        <f>IF(Registro_Compras!$R130&lt;&gt;"SI","",IF(Registro_Compras!$Y130="",WORKDAY(EOMONTH(Registro_Compras!$B130,0),5,Feriados),MIN(Registro_Compras!$Y130,WORKDAY(EOMONTH(Registro_Compras!$B130,0),5,Feriados))))</f>
        <v/>
      </c>
      <c r="J130" s="25" t="str">
        <f>IF(Registro_Compras!$R130&lt;&gt;"SI","",Registro_Compras!$X130)</f>
        <v/>
      </c>
      <c r="K130" t="str">
        <f>IF(Registro_Compras!$R130&lt;&gt;"SI","",IF(Registro_Compras!$X130="","PENDIENTE","DEPOSITADA"))</f>
        <v/>
      </c>
      <c r="L130" t="str">
        <f>IF(Registro_Compras!$R130&lt;&gt;"SI","",Registro_Compras!$Z130)</f>
        <v/>
      </c>
      <c r="M130" t="str">
        <f t="shared" ca="1" si="2"/>
        <v/>
      </c>
      <c r="N130" t="str">
        <f t="shared" ca="1" si="3"/>
        <v/>
      </c>
    </row>
    <row r="131" spans="1:14" x14ac:dyDescent="0.25">
      <c r="A131" s="25" t="str">
        <f>IF(Registro_Compras!$R131&lt;&gt;"SI","",Registro_Compras!$B131)</f>
        <v/>
      </c>
      <c r="B131" t="str">
        <f>IF(Registro_Compras!$R131&lt;&gt;"SI","",Registro_Compras!$C131)</f>
        <v/>
      </c>
      <c r="C131" t="str">
        <f>IF(Registro_Compras!$R131&lt;&gt;"SI","",Registro_Compras!$D131)</f>
        <v/>
      </c>
      <c r="D131" t="str">
        <f>IF(Registro_Compras!$R131&lt;&gt;"SI","",Registro_Compras!$E131)</f>
        <v/>
      </c>
      <c r="E131" t="str">
        <f>IF(Registro_Compras!$R131&lt;&gt;"SI","",Registro_Compras!$G131)</f>
        <v/>
      </c>
      <c r="F131" s="31" t="str">
        <f>IF(Registro_Compras!$R131&lt;&gt;"SI","",Registro_Compras!$P131)</f>
        <v/>
      </c>
      <c r="G131" s="20" t="str">
        <f>IF(Registro_Compras!$R131&lt;&gt;"SI","",Registro_Compras!$O131)</f>
        <v/>
      </c>
      <c r="H131" s="20" t="str">
        <f>IF(Registro_Compras!$R131&lt;&gt;"SI","",Registro_Compras!$S131)</f>
        <v/>
      </c>
      <c r="I131" s="25" t="str">
        <f>IF(Registro_Compras!$R131&lt;&gt;"SI","",IF(Registro_Compras!$Y131="",WORKDAY(EOMONTH(Registro_Compras!$B131,0),5,Feriados),MIN(Registro_Compras!$Y131,WORKDAY(EOMONTH(Registro_Compras!$B131,0),5,Feriados))))</f>
        <v/>
      </c>
      <c r="J131" s="25" t="str">
        <f>IF(Registro_Compras!$R131&lt;&gt;"SI","",Registro_Compras!$X131)</f>
        <v/>
      </c>
      <c r="K131" t="str">
        <f>IF(Registro_Compras!$R131&lt;&gt;"SI","",IF(Registro_Compras!$X131="","PENDIENTE","DEPOSITADA"))</f>
        <v/>
      </c>
      <c r="L131" t="str">
        <f>IF(Registro_Compras!$R131&lt;&gt;"SI","",Registro_Compras!$Z131)</f>
        <v/>
      </c>
      <c r="M131" t="str">
        <f t="shared" ca="1" si="2"/>
        <v/>
      </c>
      <c r="N131" t="str">
        <f t="shared" ca="1" si="3"/>
        <v/>
      </c>
    </row>
    <row r="132" spans="1:14" x14ac:dyDescent="0.25">
      <c r="A132" s="25" t="str">
        <f>IF(Registro_Compras!$R132&lt;&gt;"SI","",Registro_Compras!$B132)</f>
        <v/>
      </c>
      <c r="B132" t="str">
        <f>IF(Registro_Compras!$R132&lt;&gt;"SI","",Registro_Compras!$C132)</f>
        <v/>
      </c>
      <c r="C132" t="str">
        <f>IF(Registro_Compras!$R132&lt;&gt;"SI","",Registro_Compras!$D132)</f>
        <v/>
      </c>
      <c r="D132" t="str">
        <f>IF(Registro_Compras!$R132&lt;&gt;"SI","",Registro_Compras!$E132)</f>
        <v/>
      </c>
      <c r="E132" t="str">
        <f>IF(Registro_Compras!$R132&lt;&gt;"SI","",Registro_Compras!$G132)</f>
        <v/>
      </c>
      <c r="F132" s="31" t="str">
        <f>IF(Registro_Compras!$R132&lt;&gt;"SI","",Registro_Compras!$P132)</f>
        <v/>
      </c>
      <c r="G132" s="20" t="str">
        <f>IF(Registro_Compras!$R132&lt;&gt;"SI","",Registro_Compras!$O132)</f>
        <v/>
      </c>
      <c r="H132" s="20" t="str">
        <f>IF(Registro_Compras!$R132&lt;&gt;"SI","",Registro_Compras!$S132)</f>
        <v/>
      </c>
      <c r="I132" s="25" t="str">
        <f>IF(Registro_Compras!$R132&lt;&gt;"SI","",IF(Registro_Compras!$Y132="",WORKDAY(EOMONTH(Registro_Compras!$B132,0),5,Feriados),MIN(Registro_Compras!$Y132,WORKDAY(EOMONTH(Registro_Compras!$B132,0),5,Feriados))))</f>
        <v/>
      </c>
      <c r="J132" s="25" t="str">
        <f>IF(Registro_Compras!$R132&lt;&gt;"SI","",Registro_Compras!$X132)</f>
        <v/>
      </c>
      <c r="K132" t="str">
        <f>IF(Registro_Compras!$R132&lt;&gt;"SI","",IF(Registro_Compras!$X132="","PENDIENTE","DEPOSITADA"))</f>
        <v/>
      </c>
      <c r="L132" t="str">
        <f>IF(Registro_Compras!$R132&lt;&gt;"SI","",Registro_Compras!$Z132)</f>
        <v/>
      </c>
      <c r="M132" t="str">
        <f t="shared" ref="M132:M195" ca="1" si="4">IF($K132&lt;&gt;"PENDIENTE","",IF(TODAY()&gt;$I132,TODAY()-$I132,0))</f>
        <v/>
      </c>
      <c r="N132" t="str">
        <f t="shared" ref="N132:N195" ca="1" si="5">IF($K132&lt;&gt;"PENDIENTE","",IF($M132&gt;0,"VENCIDA - DEPOSITAR YA",IF($I132-TODAY()&lt;=3,"POR VENCER","EN PLAZO")))</f>
        <v/>
      </c>
    </row>
    <row r="133" spans="1:14" x14ac:dyDescent="0.25">
      <c r="A133" s="25" t="str">
        <f>IF(Registro_Compras!$R133&lt;&gt;"SI","",Registro_Compras!$B133)</f>
        <v/>
      </c>
      <c r="B133" t="str">
        <f>IF(Registro_Compras!$R133&lt;&gt;"SI","",Registro_Compras!$C133)</f>
        <v/>
      </c>
      <c r="C133" t="str">
        <f>IF(Registro_Compras!$R133&lt;&gt;"SI","",Registro_Compras!$D133)</f>
        <v/>
      </c>
      <c r="D133" t="str">
        <f>IF(Registro_Compras!$R133&lt;&gt;"SI","",Registro_Compras!$E133)</f>
        <v/>
      </c>
      <c r="E133" t="str">
        <f>IF(Registro_Compras!$R133&lt;&gt;"SI","",Registro_Compras!$G133)</f>
        <v/>
      </c>
      <c r="F133" s="31" t="str">
        <f>IF(Registro_Compras!$R133&lt;&gt;"SI","",Registro_Compras!$P133)</f>
        <v/>
      </c>
      <c r="G133" s="20" t="str">
        <f>IF(Registro_Compras!$R133&lt;&gt;"SI","",Registro_Compras!$O133)</f>
        <v/>
      </c>
      <c r="H133" s="20" t="str">
        <f>IF(Registro_Compras!$R133&lt;&gt;"SI","",Registro_Compras!$S133)</f>
        <v/>
      </c>
      <c r="I133" s="25" t="str">
        <f>IF(Registro_Compras!$R133&lt;&gt;"SI","",IF(Registro_Compras!$Y133="",WORKDAY(EOMONTH(Registro_Compras!$B133,0),5,Feriados),MIN(Registro_Compras!$Y133,WORKDAY(EOMONTH(Registro_Compras!$B133,0),5,Feriados))))</f>
        <v/>
      </c>
      <c r="J133" s="25" t="str">
        <f>IF(Registro_Compras!$R133&lt;&gt;"SI","",Registro_Compras!$X133)</f>
        <v/>
      </c>
      <c r="K133" t="str">
        <f>IF(Registro_Compras!$R133&lt;&gt;"SI","",IF(Registro_Compras!$X133="","PENDIENTE","DEPOSITADA"))</f>
        <v/>
      </c>
      <c r="L133" t="str">
        <f>IF(Registro_Compras!$R133&lt;&gt;"SI","",Registro_Compras!$Z133)</f>
        <v/>
      </c>
      <c r="M133" t="str">
        <f t="shared" ca="1" si="4"/>
        <v/>
      </c>
      <c r="N133" t="str">
        <f t="shared" ca="1" si="5"/>
        <v/>
      </c>
    </row>
    <row r="134" spans="1:14" x14ac:dyDescent="0.25">
      <c r="A134" s="25" t="str">
        <f>IF(Registro_Compras!$R134&lt;&gt;"SI","",Registro_Compras!$B134)</f>
        <v/>
      </c>
      <c r="B134" t="str">
        <f>IF(Registro_Compras!$R134&lt;&gt;"SI","",Registro_Compras!$C134)</f>
        <v/>
      </c>
      <c r="C134" t="str">
        <f>IF(Registro_Compras!$R134&lt;&gt;"SI","",Registro_Compras!$D134)</f>
        <v/>
      </c>
      <c r="D134" t="str">
        <f>IF(Registro_Compras!$R134&lt;&gt;"SI","",Registro_Compras!$E134)</f>
        <v/>
      </c>
      <c r="E134" t="str">
        <f>IF(Registro_Compras!$R134&lt;&gt;"SI","",Registro_Compras!$G134)</f>
        <v/>
      </c>
      <c r="F134" s="31" t="str">
        <f>IF(Registro_Compras!$R134&lt;&gt;"SI","",Registro_Compras!$P134)</f>
        <v/>
      </c>
      <c r="G134" s="20" t="str">
        <f>IF(Registro_Compras!$R134&lt;&gt;"SI","",Registro_Compras!$O134)</f>
        <v/>
      </c>
      <c r="H134" s="20" t="str">
        <f>IF(Registro_Compras!$R134&lt;&gt;"SI","",Registro_Compras!$S134)</f>
        <v/>
      </c>
      <c r="I134" s="25" t="str">
        <f>IF(Registro_Compras!$R134&lt;&gt;"SI","",IF(Registro_Compras!$Y134="",WORKDAY(EOMONTH(Registro_Compras!$B134,0),5,Feriados),MIN(Registro_Compras!$Y134,WORKDAY(EOMONTH(Registro_Compras!$B134,0),5,Feriados))))</f>
        <v/>
      </c>
      <c r="J134" s="25" t="str">
        <f>IF(Registro_Compras!$R134&lt;&gt;"SI","",Registro_Compras!$X134)</f>
        <v/>
      </c>
      <c r="K134" t="str">
        <f>IF(Registro_Compras!$R134&lt;&gt;"SI","",IF(Registro_Compras!$X134="","PENDIENTE","DEPOSITADA"))</f>
        <v/>
      </c>
      <c r="L134" t="str">
        <f>IF(Registro_Compras!$R134&lt;&gt;"SI","",Registro_Compras!$Z134)</f>
        <v/>
      </c>
      <c r="M134" t="str">
        <f t="shared" ca="1" si="4"/>
        <v/>
      </c>
      <c r="N134" t="str">
        <f t="shared" ca="1" si="5"/>
        <v/>
      </c>
    </row>
    <row r="135" spans="1:14" x14ac:dyDescent="0.25">
      <c r="A135" s="25" t="str">
        <f>IF(Registro_Compras!$R135&lt;&gt;"SI","",Registro_Compras!$B135)</f>
        <v/>
      </c>
      <c r="B135" t="str">
        <f>IF(Registro_Compras!$R135&lt;&gt;"SI","",Registro_Compras!$C135)</f>
        <v/>
      </c>
      <c r="C135" t="str">
        <f>IF(Registro_Compras!$R135&lt;&gt;"SI","",Registro_Compras!$D135)</f>
        <v/>
      </c>
      <c r="D135" t="str">
        <f>IF(Registro_Compras!$R135&lt;&gt;"SI","",Registro_Compras!$E135)</f>
        <v/>
      </c>
      <c r="E135" t="str">
        <f>IF(Registro_Compras!$R135&lt;&gt;"SI","",Registro_Compras!$G135)</f>
        <v/>
      </c>
      <c r="F135" s="31" t="str">
        <f>IF(Registro_Compras!$R135&lt;&gt;"SI","",Registro_Compras!$P135)</f>
        <v/>
      </c>
      <c r="G135" s="20" t="str">
        <f>IF(Registro_Compras!$R135&lt;&gt;"SI","",Registro_Compras!$O135)</f>
        <v/>
      </c>
      <c r="H135" s="20" t="str">
        <f>IF(Registro_Compras!$R135&lt;&gt;"SI","",Registro_Compras!$S135)</f>
        <v/>
      </c>
      <c r="I135" s="25" t="str">
        <f>IF(Registro_Compras!$R135&lt;&gt;"SI","",IF(Registro_Compras!$Y135="",WORKDAY(EOMONTH(Registro_Compras!$B135,0),5,Feriados),MIN(Registro_Compras!$Y135,WORKDAY(EOMONTH(Registro_Compras!$B135,0),5,Feriados))))</f>
        <v/>
      </c>
      <c r="J135" s="25" t="str">
        <f>IF(Registro_Compras!$R135&lt;&gt;"SI","",Registro_Compras!$X135)</f>
        <v/>
      </c>
      <c r="K135" t="str">
        <f>IF(Registro_Compras!$R135&lt;&gt;"SI","",IF(Registro_Compras!$X135="","PENDIENTE","DEPOSITADA"))</f>
        <v/>
      </c>
      <c r="L135" t="str">
        <f>IF(Registro_Compras!$R135&lt;&gt;"SI","",Registro_Compras!$Z135)</f>
        <v/>
      </c>
      <c r="M135" t="str">
        <f t="shared" ca="1" si="4"/>
        <v/>
      </c>
      <c r="N135" t="str">
        <f t="shared" ca="1" si="5"/>
        <v/>
      </c>
    </row>
    <row r="136" spans="1:14" x14ac:dyDescent="0.25">
      <c r="A136" s="25" t="str">
        <f>IF(Registro_Compras!$R136&lt;&gt;"SI","",Registro_Compras!$B136)</f>
        <v/>
      </c>
      <c r="B136" t="str">
        <f>IF(Registro_Compras!$R136&lt;&gt;"SI","",Registro_Compras!$C136)</f>
        <v/>
      </c>
      <c r="C136" t="str">
        <f>IF(Registro_Compras!$R136&lt;&gt;"SI","",Registro_Compras!$D136)</f>
        <v/>
      </c>
      <c r="D136" t="str">
        <f>IF(Registro_Compras!$R136&lt;&gt;"SI","",Registro_Compras!$E136)</f>
        <v/>
      </c>
      <c r="E136" t="str">
        <f>IF(Registro_Compras!$R136&lt;&gt;"SI","",Registro_Compras!$G136)</f>
        <v/>
      </c>
      <c r="F136" s="31" t="str">
        <f>IF(Registro_Compras!$R136&lt;&gt;"SI","",Registro_Compras!$P136)</f>
        <v/>
      </c>
      <c r="G136" s="20" t="str">
        <f>IF(Registro_Compras!$R136&lt;&gt;"SI","",Registro_Compras!$O136)</f>
        <v/>
      </c>
      <c r="H136" s="20" t="str">
        <f>IF(Registro_Compras!$R136&lt;&gt;"SI","",Registro_Compras!$S136)</f>
        <v/>
      </c>
      <c r="I136" s="25" t="str">
        <f>IF(Registro_Compras!$R136&lt;&gt;"SI","",IF(Registro_Compras!$Y136="",WORKDAY(EOMONTH(Registro_Compras!$B136,0),5,Feriados),MIN(Registro_Compras!$Y136,WORKDAY(EOMONTH(Registro_Compras!$B136,0),5,Feriados))))</f>
        <v/>
      </c>
      <c r="J136" s="25" t="str">
        <f>IF(Registro_Compras!$R136&lt;&gt;"SI","",Registro_Compras!$X136)</f>
        <v/>
      </c>
      <c r="K136" t="str">
        <f>IF(Registro_Compras!$R136&lt;&gt;"SI","",IF(Registro_Compras!$X136="","PENDIENTE","DEPOSITADA"))</f>
        <v/>
      </c>
      <c r="L136" t="str">
        <f>IF(Registro_Compras!$R136&lt;&gt;"SI","",Registro_Compras!$Z136)</f>
        <v/>
      </c>
      <c r="M136" t="str">
        <f t="shared" ca="1" si="4"/>
        <v/>
      </c>
      <c r="N136" t="str">
        <f t="shared" ca="1" si="5"/>
        <v/>
      </c>
    </row>
    <row r="137" spans="1:14" x14ac:dyDescent="0.25">
      <c r="A137" s="25" t="str">
        <f>IF(Registro_Compras!$R137&lt;&gt;"SI","",Registro_Compras!$B137)</f>
        <v/>
      </c>
      <c r="B137" t="str">
        <f>IF(Registro_Compras!$R137&lt;&gt;"SI","",Registro_Compras!$C137)</f>
        <v/>
      </c>
      <c r="C137" t="str">
        <f>IF(Registro_Compras!$R137&lt;&gt;"SI","",Registro_Compras!$D137)</f>
        <v/>
      </c>
      <c r="D137" t="str">
        <f>IF(Registro_Compras!$R137&lt;&gt;"SI","",Registro_Compras!$E137)</f>
        <v/>
      </c>
      <c r="E137" t="str">
        <f>IF(Registro_Compras!$R137&lt;&gt;"SI","",Registro_Compras!$G137)</f>
        <v/>
      </c>
      <c r="F137" s="31" t="str">
        <f>IF(Registro_Compras!$R137&lt;&gt;"SI","",Registro_Compras!$P137)</f>
        <v/>
      </c>
      <c r="G137" s="20" t="str">
        <f>IF(Registro_Compras!$R137&lt;&gt;"SI","",Registro_Compras!$O137)</f>
        <v/>
      </c>
      <c r="H137" s="20" t="str">
        <f>IF(Registro_Compras!$R137&lt;&gt;"SI","",Registro_Compras!$S137)</f>
        <v/>
      </c>
      <c r="I137" s="25" t="str">
        <f>IF(Registro_Compras!$R137&lt;&gt;"SI","",IF(Registro_Compras!$Y137="",WORKDAY(EOMONTH(Registro_Compras!$B137,0),5,Feriados),MIN(Registro_Compras!$Y137,WORKDAY(EOMONTH(Registro_Compras!$B137,0),5,Feriados))))</f>
        <v/>
      </c>
      <c r="J137" s="25" t="str">
        <f>IF(Registro_Compras!$R137&lt;&gt;"SI","",Registro_Compras!$X137)</f>
        <v/>
      </c>
      <c r="K137" t="str">
        <f>IF(Registro_Compras!$R137&lt;&gt;"SI","",IF(Registro_Compras!$X137="","PENDIENTE","DEPOSITADA"))</f>
        <v/>
      </c>
      <c r="L137" t="str">
        <f>IF(Registro_Compras!$R137&lt;&gt;"SI","",Registro_Compras!$Z137)</f>
        <v/>
      </c>
      <c r="M137" t="str">
        <f t="shared" ca="1" si="4"/>
        <v/>
      </c>
      <c r="N137" t="str">
        <f t="shared" ca="1" si="5"/>
        <v/>
      </c>
    </row>
    <row r="138" spans="1:14" x14ac:dyDescent="0.25">
      <c r="A138" s="25" t="str">
        <f>IF(Registro_Compras!$R138&lt;&gt;"SI","",Registro_Compras!$B138)</f>
        <v/>
      </c>
      <c r="B138" t="str">
        <f>IF(Registro_Compras!$R138&lt;&gt;"SI","",Registro_Compras!$C138)</f>
        <v/>
      </c>
      <c r="C138" t="str">
        <f>IF(Registro_Compras!$R138&lt;&gt;"SI","",Registro_Compras!$D138)</f>
        <v/>
      </c>
      <c r="D138" t="str">
        <f>IF(Registro_Compras!$R138&lt;&gt;"SI","",Registro_Compras!$E138)</f>
        <v/>
      </c>
      <c r="E138" t="str">
        <f>IF(Registro_Compras!$R138&lt;&gt;"SI","",Registro_Compras!$G138)</f>
        <v/>
      </c>
      <c r="F138" s="31" t="str">
        <f>IF(Registro_Compras!$R138&lt;&gt;"SI","",Registro_Compras!$P138)</f>
        <v/>
      </c>
      <c r="G138" s="20" t="str">
        <f>IF(Registro_Compras!$R138&lt;&gt;"SI","",Registro_Compras!$O138)</f>
        <v/>
      </c>
      <c r="H138" s="20" t="str">
        <f>IF(Registro_Compras!$R138&lt;&gt;"SI","",Registro_Compras!$S138)</f>
        <v/>
      </c>
      <c r="I138" s="25" t="str">
        <f>IF(Registro_Compras!$R138&lt;&gt;"SI","",IF(Registro_Compras!$Y138="",WORKDAY(EOMONTH(Registro_Compras!$B138,0),5,Feriados),MIN(Registro_Compras!$Y138,WORKDAY(EOMONTH(Registro_Compras!$B138,0),5,Feriados))))</f>
        <v/>
      </c>
      <c r="J138" s="25" t="str">
        <f>IF(Registro_Compras!$R138&lt;&gt;"SI","",Registro_Compras!$X138)</f>
        <v/>
      </c>
      <c r="K138" t="str">
        <f>IF(Registro_Compras!$R138&lt;&gt;"SI","",IF(Registro_Compras!$X138="","PENDIENTE","DEPOSITADA"))</f>
        <v/>
      </c>
      <c r="L138" t="str">
        <f>IF(Registro_Compras!$R138&lt;&gt;"SI","",Registro_Compras!$Z138)</f>
        <v/>
      </c>
      <c r="M138" t="str">
        <f t="shared" ca="1" si="4"/>
        <v/>
      </c>
      <c r="N138" t="str">
        <f t="shared" ca="1" si="5"/>
        <v/>
      </c>
    </row>
    <row r="139" spans="1:14" x14ac:dyDescent="0.25">
      <c r="A139" s="25" t="str">
        <f>IF(Registro_Compras!$R139&lt;&gt;"SI","",Registro_Compras!$B139)</f>
        <v/>
      </c>
      <c r="B139" t="str">
        <f>IF(Registro_Compras!$R139&lt;&gt;"SI","",Registro_Compras!$C139)</f>
        <v/>
      </c>
      <c r="C139" t="str">
        <f>IF(Registro_Compras!$R139&lt;&gt;"SI","",Registro_Compras!$D139)</f>
        <v/>
      </c>
      <c r="D139" t="str">
        <f>IF(Registro_Compras!$R139&lt;&gt;"SI","",Registro_Compras!$E139)</f>
        <v/>
      </c>
      <c r="E139" t="str">
        <f>IF(Registro_Compras!$R139&lt;&gt;"SI","",Registro_Compras!$G139)</f>
        <v/>
      </c>
      <c r="F139" s="31" t="str">
        <f>IF(Registro_Compras!$R139&lt;&gt;"SI","",Registro_Compras!$P139)</f>
        <v/>
      </c>
      <c r="G139" s="20" t="str">
        <f>IF(Registro_Compras!$R139&lt;&gt;"SI","",Registro_Compras!$O139)</f>
        <v/>
      </c>
      <c r="H139" s="20" t="str">
        <f>IF(Registro_Compras!$R139&lt;&gt;"SI","",Registro_Compras!$S139)</f>
        <v/>
      </c>
      <c r="I139" s="25" t="str">
        <f>IF(Registro_Compras!$R139&lt;&gt;"SI","",IF(Registro_Compras!$Y139="",WORKDAY(EOMONTH(Registro_Compras!$B139,0),5,Feriados),MIN(Registro_Compras!$Y139,WORKDAY(EOMONTH(Registro_Compras!$B139,0),5,Feriados))))</f>
        <v/>
      </c>
      <c r="J139" s="25" t="str">
        <f>IF(Registro_Compras!$R139&lt;&gt;"SI","",Registro_Compras!$X139)</f>
        <v/>
      </c>
      <c r="K139" t="str">
        <f>IF(Registro_Compras!$R139&lt;&gt;"SI","",IF(Registro_Compras!$X139="","PENDIENTE","DEPOSITADA"))</f>
        <v/>
      </c>
      <c r="L139" t="str">
        <f>IF(Registro_Compras!$R139&lt;&gt;"SI","",Registro_Compras!$Z139)</f>
        <v/>
      </c>
      <c r="M139" t="str">
        <f t="shared" ca="1" si="4"/>
        <v/>
      </c>
      <c r="N139" t="str">
        <f t="shared" ca="1" si="5"/>
        <v/>
      </c>
    </row>
    <row r="140" spans="1:14" x14ac:dyDescent="0.25">
      <c r="A140" s="25" t="str">
        <f>IF(Registro_Compras!$R140&lt;&gt;"SI","",Registro_Compras!$B140)</f>
        <v/>
      </c>
      <c r="B140" t="str">
        <f>IF(Registro_Compras!$R140&lt;&gt;"SI","",Registro_Compras!$C140)</f>
        <v/>
      </c>
      <c r="C140" t="str">
        <f>IF(Registro_Compras!$R140&lt;&gt;"SI","",Registro_Compras!$D140)</f>
        <v/>
      </c>
      <c r="D140" t="str">
        <f>IF(Registro_Compras!$R140&lt;&gt;"SI","",Registro_Compras!$E140)</f>
        <v/>
      </c>
      <c r="E140" t="str">
        <f>IF(Registro_Compras!$R140&lt;&gt;"SI","",Registro_Compras!$G140)</f>
        <v/>
      </c>
      <c r="F140" s="31" t="str">
        <f>IF(Registro_Compras!$R140&lt;&gt;"SI","",Registro_Compras!$P140)</f>
        <v/>
      </c>
      <c r="G140" s="20" t="str">
        <f>IF(Registro_Compras!$R140&lt;&gt;"SI","",Registro_Compras!$O140)</f>
        <v/>
      </c>
      <c r="H140" s="20" t="str">
        <f>IF(Registro_Compras!$R140&lt;&gt;"SI","",Registro_Compras!$S140)</f>
        <v/>
      </c>
      <c r="I140" s="25" t="str">
        <f>IF(Registro_Compras!$R140&lt;&gt;"SI","",IF(Registro_Compras!$Y140="",WORKDAY(EOMONTH(Registro_Compras!$B140,0),5,Feriados),MIN(Registro_Compras!$Y140,WORKDAY(EOMONTH(Registro_Compras!$B140,0),5,Feriados))))</f>
        <v/>
      </c>
      <c r="J140" s="25" t="str">
        <f>IF(Registro_Compras!$R140&lt;&gt;"SI","",Registro_Compras!$X140)</f>
        <v/>
      </c>
      <c r="K140" t="str">
        <f>IF(Registro_Compras!$R140&lt;&gt;"SI","",IF(Registro_Compras!$X140="","PENDIENTE","DEPOSITADA"))</f>
        <v/>
      </c>
      <c r="L140" t="str">
        <f>IF(Registro_Compras!$R140&lt;&gt;"SI","",Registro_Compras!$Z140)</f>
        <v/>
      </c>
      <c r="M140" t="str">
        <f t="shared" ca="1" si="4"/>
        <v/>
      </c>
      <c r="N140" t="str">
        <f t="shared" ca="1" si="5"/>
        <v/>
      </c>
    </row>
    <row r="141" spans="1:14" x14ac:dyDescent="0.25">
      <c r="A141" s="25" t="str">
        <f>IF(Registro_Compras!$R141&lt;&gt;"SI","",Registro_Compras!$B141)</f>
        <v/>
      </c>
      <c r="B141" t="str">
        <f>IF(Registro_Compras!$R141&lt;&gt;"SI","",Registro_Compras!$C141)</f>
        <v/>
      </c>
      <c r="C141" t="str">
        <f>IF(Registro_Compras!$R141&lt;&gt;"SI","",Registro_Compras!$D141)</f>
        <v/>
      </c>
      <c r="D141" t="str">
        <f>IF(Registro_Compras!$R141&lt;&gt;"SI","",Registro_Compras!$E141)</f>
        <v/>
      </c>
      <c r="E141" t="str">
        <f>IF(Registro_Compras!$R141&lt;&gt;"SI","",Registro_Compras!$G141)</f>
        <v/>
      </c>
      <c r="F141" s="31" t="str">
        <f>IF(Registro_Compras!$R141&lt;&gt;"SI","",Registro_Compras!$P141)</f>
        <v/>
      </c>
      <c r="G141" s="20" t="str">
        <f>IF(Registro_Compras!$R141&lt;&gt;"SI","",Registro_Compras!$O141)</f>
        <v/>
      </c>
      <c r="H141" s="20" t="str">
        <f>IF(Registro_Compras!$R141&lt;&gt;"SI","",Registro_Compras!$S141)</f>
        <v/>
      </c>
      <c r="I141" s="25" t="str">
        <f>IF(Registro_Compras!$R141&lt;&gt;"SI","",IF(Registro_Compras!$Y141="",WORKDAY(EOMONTH(Registro_Compras!$B141,0),5,Feriados),MIN(Registro_Compras!$Y141,WORKDAY(EOMONTH(Registro_Compras!$B141,0),5,Feriados))))</f>
        <v/>
      </c>
      <c r="J141" s="25" t="str">
        <f>IF(Registro_Compras!$R141&lt;&gt;"SI","",Registro_Compras!$X141)</f>
        <v/>
      </c>
      <c r="K141" t="str">
        <f>IF(Registro_Compras!$R141&lt;&gt;"SI","",IF(Registro_Compras!$X141="","PENDIENTE","DEPOSITADA"))</f>
        <v/>
      </c>
      <c r="L141" t="str">
        <f>IF(Registro_Compras!$R141&lt;&gt;"SI","",Registro_Compras!$Z141)</f>
        <v/>
      </c>
      <c r="M141" t="str">
        <f t="shared" ca="1" si="4"/>
        <v/>
      </c>
      <c r="N141" t="str">
        <f t="shared" ca="1" si="5"/>
        <v/>
      </c>
    </row>
    <row r="142" spans="1:14" x14ac:dyDescent="0.25">
      <c r="A142" s="25" t="str">
        <f>IF(Registro_Compras!$R142&lt;&gt;"SI","",Registro_Compras!$B142)</f>
        <v/>
      </c>
      <c r="B142" t="str">
        <f>IF(Registro_Compras!$R142&lt;&gt;"SI","",Registro_Compras!$C142)</f>
        <v/>
      </c>
      <c r="C142" t="str">
        <f>IF(Registro_Compras!$R142&lt;&gt;"SI","",Registro_Compras!$D142)</f>
        <v/>
      </c>
      <c r="D142" t="str">
        <f>IF(Registro_Compras!$R142&lt;&gt;"SI","",Registro_Compras!$E142)</f>
        <v/>
      </c>
      <c r="E142" t="str">
        <f>IF(Registro_Compras!$R142&lt;&gt;"SI","",Registro_Compras!$G142)</f>
        <v/>
      </c>
      <c r="F142" s="31" t="str">
        <f>IF(Registro_Compras!$R142&lt;&gt;"SI","",Registro_Compras!$P142)</f>
        <v/>
      </c>
      <c r="G142" s="20" t="str">
        <f>IF(Registro_Compras!$R142&lt;&gt;"SI","",Registro_Compras!$O142)</f>
        <v/>
      </c>
      <c r="H142" s="20" t="str">
        <f>IF(Registro_Compras!$R142&lt;&gt;"SI","",Registro_Compras!$S142)</f>
        <v/>
      </c>
      <c r="I142" s="25" t="str">
        <f>IF(Registro_Compras!$R142&lt;&gt;"SI","",IF(Registro_Compras!$Y142="",WORKDAY(EOMONTH(Registro_Compras!$B142,0),5,Feriados),MIN(Registro_Compras!$Y142,WORKDAY(EOMONTH(Registro_Compras!$B142,0),5,Feriados))))</f>
        <v/>
      </c>
      <c r="J142" s="25" t="str">
        <f>IF(Registro_Compras!$R142&lt;&gt;"SI","",Registro_Compras!$X142)</f>
        <v/>
      </c>
      <c r="K142" t="str">
        <f>IF(Registro_Compras!$R142&lt;&gt;"SI","",IF(Registro_Compras!$X142="","PENDIENTE","DEPOSITADA"))</f>
        <v/>
      </c>
      <c r="L142" t="str">
        <f>IF(Registro_Compras!$R142&lt;&gt;"SI","",Registro_Compras!$Z142)</f>
        <v/>
      </c>
      <c r="M142" t="str">
        <f t="shared" ca="1" si="4"/>
        <v/>
      </c>
      <c r="N142" t="str">
        <f t="shared" ca="1" si="5"/>
        <v/>
      </c>
    </row>
    <row r="143" spans="1:14" x14ac:dyDescent="0.25">
      <c r="A143" s="25" t="str">
        <f>IF(Registro_Compras!$R143&lt;&gt;"SI","",Registro_Compras!$B143)</f>
        <v/>
      </c>
      <c r="B143" t="str">
        <f>IF(Registro_Compras!$R143&lt;&gt;"SI","",Registro_Compras!$C143)</f>
        <v/>
      </c>
      <c r="C143" t="str">
        <f>IF(Registro_Compras!$R143&lt;&gt;"SI","",Registro_Compras!$D143)</f>
        <v/>
      </c>
      <c r="D143" t="str">
        <f>IF(Registro_Compras!$R143&lt;&gt;"SI","",Registro_Compras!$E143)</f>
        <v/>
      </c>
      <c r="E143" t="str">
        <f>IF(Registro_Compras!$R143&lt;&gt;"SI","",Registro_Compras!$G143)</f>
        <v/>
      </c>
      <c r="F143" s="31" t="str">
        <f>IF(Registro_Compras!$R143&lt;&gt;"SI","",Registro_Compras!$P143)</f>
        <v/>
      </c>
      <c r="G143" s="20" t="str">
        <f>IF(Registro_Compras!$R143&lt;&gt;"SI","",Registro_Compras!$O143)</f>
        <v/>
      </c>
      <c r="H143" s="20" t="str">
        <f>IF(Registro_Compras!$R143&lt;&gt;"SI","",Registro_Compras!$S143)</f>
        <v/>
      </c>
      <c r="I143" s="25" t="str">
        <f>IF(Registro_Compras!$R143&lt;&gt;"SI","",IF(Registro_Compras!$Y143="",WORKDAY(EOMONTH(Registro_Compras!$B143,0),5,Feriados),MIN(Registro_Compras!$Y143,WORKDAY(EOMONTH(Registro_Compras!$B143,0),5,Feriados))))</f>
        <v/>
      </c>
      <c r="J143" s="25" t="str">
        <f>IF(Registro_Compras!$R143&lt;&gt;"SI","",Registro_Compras!$X143)</f>
        <v/>
      </c>
      <c r="K143" t="str">
        <f>IF(Registro_Compras!$R143&lt;&gt;"SI","",IF(Registro_Compras!$X143="","PENDIENTE","DEPOSITADA"))</f>
        <v/>
      </c>
      <c r="L143" t="str">
        <f>IF(Registro_Compras!$R143&lt;&gt;"SI","",Registro_Compras!$Z143)</f>
        <v/>
      </c>
      <c r="M143" t="str">
        <f t="shared" ca="1" si="4"/>
        <v/>
      </c>
      <c r="N143" t="str">
        <f t="shared" ca="1" si="5"/>
        <v/>
      </c>
    </row>
    <row r="144" spans="1:14" x14ac:dyDescent="0.25">
      <c r="A144" s="25" t="str">
        <f>IF(Registro_Compras!$R144&lt;&gt;"SI","",Registro_Compras!$B144)</f>
        <v/>
      </c>
      <c r="B144" t="str">
        <f>IF(Registro_Compras!$R144&lt;&gt;"SI","",Registro_Compras!$C144)</f>
        <v/>
      </c>
      <c r="C144" t="str">
        <f>IF(Registro_Compras!$R144&lt;&gt;"SI","",Registro_Compras!$D144)</f>
        <v/>
      </c>
      <c r="D144" t="str">
        <f>IF(Registro_Compras!$R144&lt;&gt;"SI","",Registro_Compras!$E144)</f>
        <v/>
      </c>
      <c r="E144" t="str">
        <f>IF(Registro_Compras!$R144&lt;&gt;"SI","",Registro_Compras!$G144)</f>
        <v/>
      </c>
      <c r="F144" s="31" t="str">
        <f>IF(Registro_Compras!$R144&lt;&gt;"SI","",Registro_Compras!$P144)</f>
        <v/>
      </c>
      <c r="G144" s="20" t="str">
        <f>IF(Registro_Compras!$R144&lt;&gt;"SI","",Registro_Compras!$O144)</f>
        <v/>
      </c>
      <c r="H144" s="20" t="str">
        <f>IF(Registro_Compras!$R144&lt;&gt;"SI","",Registro_Compras!$S144)</f>
        <v/>
      </c>
      <c r="I144" s="25" t="str">
        <f>IF(Registro_Compras!$R144&lt;&gt;"SI","",IF(Registro_Compras!$Y144="",WORKDAY(EOMONTH(Registro_Compras!$B144,0),5,Feriados),MIN(Registro_Compras!$Y144,WORKDAY(EOMONTH(Registro_Compras!$B144,0),5,Feriados))))</f>
        <v/>
      </c>
      <c r="J144" s="25" t="str">
        <f>IF(Registro_Compras!$R144&lt;&gt;"SI","",Registro_Compras!$X144)</f>
        <v/>
      </c>
      <c r="K144" t="str">
        <f>IF(Registro_Compras!$R144&lt;&gt;"SI","",IF(Registro_Compras!$X144="","PENDIENTE","DEPOSITADA"))</f>
        <v/>
      </c>
      <c r="L144" t="str">
        <f>IF(Registro_Compras!$R144&lt;&gt;"SI","",Registro_Compras!$Z144)</f>
        <v/>
      </c>
      <c r="M144" t="str">
        <f t="shared" ca="1" si="4"/>
        <v/>
      </c>
      <c r="N144" t="str">
        <f t="shared" ca="1" si="5"/>
        <v/>
      </c>
    </row>
    <row r="145" spans="1:14" x14ac:dyDescent="0.25">
      <c r="A145" s="25" t="str">
        <f>IF(Registro_Compras!$R145&lt;&gt;"SI","",Registro_Compras!$B145)</f>
        <v/>
      </c>
      <c r="B145" t="str">
        <f>IF(Registro_Compras!$R145&lt;&gt;"SI","",Registro_Compras!$C145)</f>
        <v/>
      </c>
      <c r="C145" t="str">
        <f>IF(Registro_Compras!$R145&lt;&gt;"SI","",Registro_Compras!$D145)</f>
        <v/>
      </c>
      <c r="D145" t="str">
        <f>IF(Registro_Compras!$R145&lt;&gt;"SI","",Registro_Compras!$E145)</f>
        <v/>
      </c>
      <c r="E145" t="str">
        <f>IF(Registro_Compras!$R145&lt;&gt;"SI","",Registro_Compras!$G145)</f>
        <v/>
      </c>
      <c r="F145" s="31" t="str">
        <f>IF(Registro_Compras!$R145&lt;&gt;"SI","",Registro_Compras!$P145)</f>
        <v/>
      </c>
      <c r="G145" s="20" t="str">
        <f>IF(Registro_Compras!$R145&lt;&gt;"SI","",Registro_Compras!$O145)</f>
        <v/>
      </c>
      <c r="H145" s="20" t="str">
        <f>IF(Registro_Compras!$R145&lt;&gt;"SI","",Registro_Compras!$S145)</f>
        <v/>
      </c>
      <c r="I145" s="25" t="str">
        <f>IF(Registro_Compras!$R145&lt;&gt;"SI","",IF(Registro_Compras!$Y145="",WORKDAY(EOMONTH(Registro_Compras!$B145,0),5,Feriados),MIN(Registro_Compras!$Y145,WORKDAY(EOMONTH(Registro_Compras!$B145,0),5,Feriados))))</f>
        <v/>
      </c>
      <c r="J145" s="25" t="str">
        <f>IF(Registro_Compras!$R145&lt;&gt;"SI","",Registro_Compras!$X145)</f>
        <v/>
      </c>
      <c r="K145" t="str">
        <f>IF(Registro_Compras!$R145&lt;&gt;"SI","",IF(Registro_Compras!$X145="","PENDIENTE","DEPOSITADA"))</f>
        <v/>
      </c>
      <c r="L145" t="str">
        <f>IF(Registro_Compras!$R145&lt;&gt;"SI","",Registro_Compras!$Z145)</f>
        <v/>
      </c>
      <c r="M145" t="str">
        <f t="shared" ca="1" si="4"/>
        <v/>
      </c>
      <c r="N145" t="str">
        <f t="shared" ca="1" si="5"/>
        <v/>
      </c>
    </row>
    <row r="146" spans="1:14" x14ac:dyDescent="0.25">
      <c r="A146" s="25" t="str">
        <f>IF(Registro_Compras!$R146&lt;&gt;"SI","",Registro_Compras!$B146)</f>
        <v/>
      </c>
      <c r="B146" t="str">
        <f>IF(Registro_Compras!$R146&lt;&gt;"SI","",Registro_Compras!$C146)</f>
        <v/>
      </c>
      <c r="C146" t="str">
        <f>IF(Registro_Compras!$R146&lt;&gt;"SI","",Registro_Compras!$D146)</f>
        <v/>
      </c>
      <c r="D146" t="str">
        <f>IF(Registro_Compras!$R146&lt;&gt;"SI","",Registro_Compras!$E146)</f>
        <v/>
      </c>
      <c r="E146" t="str">
        <f>IF(Registro_Compras!$R146&lt;&gt;"SI","",Registro_Compras!$G146)</f>
        <v/>
      </c>
      <c r="F146" s="31" t="str">
        <f>IF(Registro_Compras!$R146&lt;&gt;"SI","",Registro_Compras!$P146)</f>
        <v/>
      </c>
      <c r="G146" s="20" t="str">
        <f>IF(Registro_Compras!$R146&lt;&gt;"SI","",Registro_Compras!$O146)</f>
        <v/>
      </c>
      <c r="H146" s="20" t="str">
        <f>IF(Registro_Compras!$R146&lt;&gt;"SI","",Registro_Compras!$S146)</f>
        <v/>
      </c>
      <c r="I146" s="25" t="str">
        <f>IF(Registro_Compras!$R146&lt;&gt;"SI","",IF(Registro_Compras!$Y146="",WORKDAY(EOMONTH(Registro_Compras!$B146,0),5,Feriados),MIN(Registro_Compras!$Y146,WORKDAY(EOMONTH(Registro_Compras!$B146,0),5,Feriados))))</f>
        <v/>
      </c>
      <c r="J146" s="25" t="str">
        <f>IF(Registro_Compras!$R146&lt;&gt;"SI","",Registro_Compras!$X146)</f>
        <v/>
      </c>
      <c r="K146" t="str">
        <f>IF(Registro_Compras!$R146&lt;&gt;"SI","",IF(Registro_Compras!$X146="","PENDIENTE","DEPOSITADA"))</f>
        <v/>
      </c>
      <c r="L146" t="str">
        <f>IF(Registro_Compras!$R146&lt;&gt;"SI","",Registro_Compras!$Z146)</f>
        <v/>
      </c>
      <c r="M146" t="str">
        <f t="shared" ca="1" si="4"/>
        <v/>
      </c>
      <c r="N146" t="str">
        <f t="shared" ca="1" si="5"/>
        <v/>
      </c>
    </row>
    <row r="147" spans="1:14" x14ac:dyDescent="0.25">
      <c r="A147" s="25" t="str">
        <f>IF(Registro_Compras!$R147&lt;&gt;"SI","",Registro_Compras!$B147)</f>
        <v/>
      </c>
      <c r="B147" t="str">
        <f>IF(Registro_Compras!$R147&lt;&gt;"SI","",Registro_Compras!$C147)</f>
        <v/>
      </c>
      <c r="C147" t="str">
        <f>IF(Registro_Compras!$R147&lt;&gt;"SI","",Registro_Compras!$D147)</f>
        <v/>
      </c>
      <c r="D147" t="str">
        <f>IF(Registro_Compras!$R147&lt;&gt;"SI","",Registro_Compras!$E147)</f>
        <v/>
      </c>
      <c r="E147" t="str">
        <f>IF(Registro_Compras!$R147&lt;&gt;"SI","",Registro_Compras!$G147)</f>
        <v/>
      </c>
      <c r="F147" s="31" t="str">
        <f>IF(Registro_Compras!$R147&lt;&gt;"SI","",Registro_Compras!$P147)</f>
        <v/>
      </c>
      <c r="G147" s="20" t="str">
        <f>IF(Registro_Compras!$R147&lt;&gt;"SI","",Registro_Compras!$O147)</f>
        <v/>
      </c>
      <c r="H147" s="20" t="str">
        <f>IF(Registro_Compras!$R147&lt;&gt;"SI","",Registro_Compras!$S147)</f>
        <v/>
      </c>
      <c r="I147" s="25" t="str">
        <f>IF(Registro_Compras!$R147&lt;&gt;"SI","",IF(Registro_Compras!$Y147="",WORKDAY(EOMONTH(Registro_Compras!$B147,0),5,Feriados),MIN(Registro_Compras!$Y147,WORKDAY(EOMONTH(Registro_Compras!$B147,0),5,Feriados))))</f>
        <v/>
      </c>
      <c r="J147" s="25" t="str">
        <f>IF(Registro_Compras!$R147&lt;&gt;"SI","",Registro_Compras!$X147)</f>
        <v/>
      </c>
      <c r="K147" t="str">
        <f>IF(Registro_Compras!$R147&lt;&gt;"SI","",IF(Registro_Compras!$X147="","PENDIENTE","DEPOSITADA"))</f>
        <v/>
      </c>
      <c r="L147" t="str">
        <f>IF(Registro_Compras!$R147&lt;&gt;"SI","",Registro_Compras!$Z147)</f>
        <v/>
      </c>
      <c r="M147" t="str">
        <f t="shared" ca="1" si="4"/>
        <v/>
      </c>
      <c r="N147" t="str">
        <f t="shared" ca="1" si="5"/>
        <v/>
      </c>
    </row>
    <row r="148" spans="1:14" x14ac:dyDescent="0.25">
      <c r="A148" s="25" t="str">
        <f>IF(Registro_Compras!$R148&lt;&gt;"SI","",Registro_Compras!$B148)</f>
        <v/>
      </c>
      <c r="B148" t="str">
        <f>IF(Registro_Compras!$R148&lt;&gt;"SI","",Registro_Compras!$C148)</f>
        <v/>
      </c>
      <c r="C148" t="str">
        <f>IF(Registro_Compras!$R148&lt;&gt;"SI","",Registro_Compras!$D148)</f>
        <v/>
      </c>
      <c r="D148" t="str">
        <f>IF(Registro_Compras!$R148&lt;&gt;"SI","",Registro_Compras!$E148)</f>
        <v/>
      </c>
      <c r="E148" t="str">
        <f>IF(Registro_Compras!$R148&lt;&gt;"SI","",Registro_Compras!$G148)</f>
        <v/>
      </c>
      <c r="F148" s="31" t="str">
        <f>IF(Registro_Compras!$R148&lt;&gt;"SI","",Registro_Compras!$P148)</f>
        <v/>
      </c>
      <c r="G148" s="20" t="str">
        <f>IF(Registro_Compras!$R148&lt;&gt;"SI","",Registro_Compras!$O148)</f>
        <v/>
      </c>
      <c r="H148" s="20" t="str">
        <f>IF(Registro_Compras!$R148&lt;&gt;"SI","",Registro_Compras!$S148)</f>
        <v/>
      </c>
      <c r="I148" s="25" t="str">
        <f>IF(Registro_Compras!$R148&lt;&gt;"SI","",IF(Registro_Compras!$Y148="",WORKDAY(EOMONTH(Registro_Compras!$B148,0),5,Feriados),MIN(Registro_Compras!$Y148,WORKDAY(EOMONTH(Registro_Compras!$B148,0),5,Feriados))))</f>
        <v/>
      </c>
      <c r="J148" s="25" t="str">
        <f>IF(Registro_Compras!$R148&lt;&gt;"SI","",Registro_Compras!$X148)</f>
        <v/>
      </c>
      <c r="K148" t="str">
        <f>IF(Registro_Compras!$R148&lt;&gt;"SI","",IF(Registro_Compras!$X148="","PENDIENTE","DEPOSITADA"))</f>
        <v/>
      </c>
      <c r="L148" t="str">
        <f>IF(Registro_Compras!$R148&lt;&gt;"SI","",Registro_Compras!$Z148)</f>
        <v/>
      </c>
      <c r="M148" t="str">
        <f t="shared" ca="1" si="4"/>
        <v/>
      </c>
      <c r="N148" t="str">
        <f t="shared" ca="1" si="5"/>
        <v/>
      </c>
    </row>
    <row r="149" spans="1:14" x14ac:dyDescent="0.25">
      <c r="A149" s="25" t="str">
        <f>IF(Registro_Compras!$R149&lt;&gt;"SI","",Registro_Compras!$B149)</f>
        <v/>
      </c>
      <c r="B149" t="str">
        <f>IF(Registro_Compras!$R149&lt;&gt;"SI","",Registro_Compras!$C149)</f>
        <v/>
      </c>
      <c r="C149" t="str">
        <f>IF(Registro_Compras!$R149&lt;&gt;"SI","",Registro_Compras!$D149)</f>
        <v/>
      </c>
      <c r="D149" t="str">
        <f>IF(Registro_Compras!$R149&lt;&gt;"SI","",Registro_Compras!$E149)</f>
        <v/>
      </c>
      <c r="E149" t="str">
        <f>IF(Registro_Compras!$R149&lt;&gt;"SI","",Registro_Compras!$G149)</f>
        <v/>
      </c>
      <c r="F149" s="31" t="str">
        <f>IF(Registro_Compras!$R149&lt;&gt;"SI","",Registro_Compras!$P149)</f>
        <v/>
      </c>
      <c r="G149" s="20" t="str">
        <f>IF(Registro_Compras!$R149&lt;&gt;"SI","",Registro_Compras!$O149)</f>
        <v/>
      </c>
      <c r="H149" s="20" t="str">
        <f>IF(Registro_Compras!$R149&lt;&gt;"SI","",Registro_Compras!$S149)</f>
        <v/>
      </c>
      <c r="I149" s="25" t="str">
        <f>IF(Registro_Compras!$R149&lt;&gt;"SI","",IF(Registro_Compras!$Y149="",WORKDAY(EOMONTH(Registro_Compras!$B149,0),5,Feriados),MIN(Registro_Compras!$Y149,WORKDAY(EOMONTH(Registro_Compras!$B149,0),5,Feriados))))</f>
        <v/>
      </c>
      <c r="J149" s="25" t="str">
        <f>IF(Registro_Compras!$R149&lt;&gt;"SI","",Registro_Compras!$X149)</f>
        <v/>
      </c>
      <c r="K149" t="str">
        <f>IF(Registro_Compras!$R149&lt;&gt;"SI","",IF(Registro_Compras!$X149="","PENDIENTE","DEPOSITADA"))</f>
        <v/>
      </c>
      <c r="L149" t="str">
        <f>IF(Registro_Compras!$R149&lt;&gt;"SI","",Registro_Compras!$Z149)</f>
        <v/>
      </c>
      <c r="M149" t="str">
        <f t="shared" ca="1" si="4"/>
        <v/>
      </c>
      <c r="N149" t="str">
        <f t="shared" ca="1" si="5"/>
        <v/>
      </c>
    </row>
    <row r="150" spans="1:14" x14ac:dyDescent="0.25">
      <c r="A150" s="25" t="str">
        <f>IF(Registro_Compras!$R150&lt;&gt;"SI","",Registro_Compras!$B150)</f>
        <v/>
      </c>
      <c r="B150" t="str">
        <f>IF(Registro_Compras!$R150&lt;&gt;"SI","",Registro_Compras!$C150)</f>
        <v/>
      </c>
      <c r="C150" t="str">
        <f>IF(Registro_Compras!$R150&lt;&gt;"SI","",Registro_Compras!$D150)</f>
        <v/>
      </c>
      <c r="D150" t="str">
        <f>IF(Registro_Compras!$R150&lt;&gt;"SI","",Registro_Compras!$E150)</f>
        <v/>
      </c>
      <c r="E150" t="str">
        <f>IF(Registro_Compras!$R150&lt;&gt;"SI","",Registro_Compras!$G150)</f>
        <v/>
      </c>
      <c r="F150" s="31" t="str">
        <f>IF(Registro_Compras!$R150&lt;&gt;"SI","",Registro_Compras!$P150)</f>
        <v/>
      </c>
      <c r="G150" s="20" t="str">
        <f>IF(Registro_Compras!$R150&lt;&gt;"SI","",Registro_Compras!$O150)</f>
        <v/>
      </c>
      <c r="H150" s="20" t="str">
        <f>IF(Registro_Compras!$R150&lt;&gt;"SI","",Registro_Compras!$S150)</f>
        <v/>
      </c>
      <c r="I150" s="25" t="str">
        <f>IF(Registro_Compras!$R150&lt;&gt;"SI","",IF(Registro_Compras!$Y150="",WORKDAY(EOMONTH(Registro_Compras!$B150,0),5,Feriados),MIN(Registro_Compras!$Y150,WORKDAY(EOMONTH(Registro_Compras!$B150,0),5,Feriados))))</f>
        <v/>
      </c>
      <c r="J150" s="25" t="str">
        <f>IF(Registro_Compras!$R150&lt;&gt;"SI","",Registro_Compras!$X150)</f>
        <v/>
      </c>
      <c r="K150" t="str">
        <f>IF(Registro_Compras!$R150&lt;&gt;"SI","",IF(Registro_Compras!$X150="","PENDIENTE","DEPOSITADA"))</f>
        <v/>
      </c>
      <c r="L150" t="str">
        <f>IF(Registro_Compras!$R150&lt;&gt;"SI","",Registro_Compras!$Z150)</f>
        <v/>
      </c>
      <c r="M150" t="str">
        <f t="shared" ca="1" si="4"/>
        <v/>
      </c>
      <c r="N150" t="str">
        <f t="shared" ca="1" si="5"/>
        <v/>
      </c>
    </row>
    <row r="151" spans="1:14" x14ac:dyDescent="0.25">
      <c r="A151" s="25" t="str">
        <f>IF(Registro_Compras!$R151&lt;&gt;"SI","",Registro_Compras!$B151)</f>
        <v/>
      </c>
      <c r="B151" t="str">
        <f>IF(Registro_Compras!$R151&lt;&gt;"SI","",Registro_Compras!$C151)</f>
        <v/>
      </c>
      <c r="C151" t="str">
        <f>IF(Registro_Compras!$R151&lt;&gt;"SI","",Registro_Compras!$D151)</f>
        <v/>
      </c>
      <c r="D151" t="str">
        <f>IF(Registro_Compras!$R151&lt;&gt;"SI","",Registro_Compras!$E151)</f>
        <v/>
      </c>
      <c r="E151" t="str">
        <f>IF(Registro_Compras!$R151&lt;&gt;"SI","",Registro_Compras!$G151)</f>
        <v/>
      </c>
      <c r="F151" s="31" t="str">
        <f>IF(Registro_Compras!$R151&lt;&gt;"SI","",Registro_Compras!$P151)</f>
        <v/>
      </c>
      <c r="G151" s="20" t="str">
        <f>IF(Registro_Compras!$R151&lt;&gt;"SI","",Registro_Compras!$O151)</f>
        <v/>
      </c>
      <c r="H151" s="20" t="str">
        <f>IF(Registro_Compras!$R151&lt;&gt;"SI","",Registro_Compras!$S151)</f>
        <v/>
      </c>
      <c r="I151" s="25" t="str">
        <f>IF(Registro_Compras!$R151&lt;&gt;"SI","",IF(Registro_Compras!$Y151="",WORKDAY(EOMONTH(Registro_Compras!$B151,0),5,Feriados),MIN(Registro_Compras!$Y151,WORKDAY(EOMONTH(Registro_Compras!$B151,0),5,Feriados))))</f>
        <v/>
      </c>
      <c r="J151" s="25" t="str">
        <f>IF(Registro_Compras!$R151&lt;&gt;"SI","",Registro_Compras!$X151)</f>
        <v/>
      </c>
      <c r="K151" t="str">
        <f>IF(Registro_Compras!$R151&lt;&gt;"SI","",IF(Registro_Compras!$X151="","PENDIENTE","DEPOSITADA"))</f>
        <v/>
      </c>
      <c r="L151" t="str">
        <f>IF(Registro_Compras!$R151&lt;&gt;"SI","",Registro_Compras!$Z151)</f>
        <v/>
      </c>
      <c r="M151" t="str">
        <f t="shared" ca="1" si="4"/>
        <v/>
      </c>
      <c r="N151" t="str">
        <f t="shared" ca="1" si="5"/>
        <v/>
      </c>
    </row>
    <row r="152" spans="1:14" x14ac:dyDescent="0.25">
      <c r="A152" s="25" t="str">
        <f>IF(Registro_Compras!$R152&lt;&gt;"SI","",Registro_Compras!$B152)</f>
        <v/>
      </c>
      <c r="B152" t="str">
        <f>IF(Registro_Compras!$R152&lt;&gt;"SI","",Registro_Compras!$C152)</f>
        <v/>
      </c>
      <c r="C152" t="str">
        <f>IF(Registro_Compras!$R152&lt;&gt;"SI","",Registro_Compras!$D152)</f>
        <v/>
      </c>
      <c r="D152" t="str">
        <f>IF(Registro_Compras!$R152&lt;&gt;"SI","",Registro_Compras!$E152)</f>
        <v/>
      </c>
      <c r="E152" t="str">
        <f>IF(Registro_Compras!$R152&lt;&gt;"SI","",Registro_Compras!$G152)</f>
        <v/>
      </c>
      <c r="F152" s="31" t="str">
        <f>IF(Registro_Compras!$R152&lt;&gt;"SI","",Registro_Compras!$P152)</f>
        <v/>
      </c>
      <c r="G152" s="20" t="str">
        <f>IF(Registro_Compras!$R152&lt;&gt;"SI","",Registro_Compras!$O152)</f>
        <v/>
      </c>
      <c r="H152" s="20" t="str">
        <f>IF(Registro_Compras!$R152&lt;&gt;"SI","",Registro_Compras!$S152)</f>
        <v/>
      </c>
      <c r="I152" s="25" t="str">
        <f>IF(Registro_Compras!$R152&lt;&gt;"SI","",IF(Registro_Compras!$Y152="",WORKDAY(EOMONTH(Registro_Compras!$B152,0),5,Feriados),MIN(Registro_Compras!$Y152,WORKDAY(EOMONTH(Registro_Compras!$B152,0),5,Feriados))))</f>
        <v/>
      </c>
      <c r="J152" s="25" t="str">
        <f>IF(Registro_Compras!$R152&lt;&gt;"SI","",Registro_Compras!$X152)</f>
        <v/>
      </c>
      <c r="K152" t="str">
        <f>IF(Registro_Compras!$R152&lt;&gt;"SI","",IF(Registro_Compras!$X152="","PENDIENTE","DEPOSITADA"))</f>
        <v/>
      </c>
      <c r="L152" t="str">
        <f>IF(Registro_Compras!$R152&lt;&gt;"SI","",Registro_Compras!$Z152)</f>
        <v/>
      </c>
      <c r="M152" t="str">
        <f t="shared" ca="1" si="4"/>
        <v/>
      </c>
      <c r="N152" t="str">
        <f t="shared" ca="1" si="5"/>
        <v/>
      </c>
    </row>
    <row r="153" spans="1:14" x14ac:dyDescent="0.25">
      <c r="A153" s="25" t="str">
        <f>IF(Registro_Compras!$R153&lt;&gt;"SI","",Registro_Compras!$B153)</f>
        <v/>
      </c>
      <c r="B153" t="str">
        <f>IF(Registro_Compras!$R153&lt;&gt;"SI","",Registro_Compras!$C153)</f>
        <v/>
      </c>
      <c r="C153" t="str">
        <f>IF(Registro_Compras!$R153&lt;&gt;"SI","",Registro_Compras!$D153)</f>
        <v/>
      </c>
      <c r="D153" t="str">
        <f>IF(Registro_Compras!$R153&lt;&gt;"SI","",Registro_Compras!$E153)</f>
        <v/>
      </c>
      <c r="E153" t="str">
        <f>IF(Registro_Compras!$R153&lt;&gt;"SI","",Registro_Compras!$G153)</f>
        <v/>
      </c>
      <c r="F153" s="31" t="str">
        <f>IF(Registro_Compras!$R153&lt;&gt;"SI","",Registro_Compras!$P153)</f>
        <v/>
      </c>
      <c r="G153" s="20" t="str">
        <f>IF(Registro_Compras!$R153&lt;&gt;"SI","",Registro_Compras!$O153)</f>
        <v/>
      </c>
      <c r="H153" s="20" t="str">
        <f>IF(Registro_Compras!$R153&lt;&gt;"SI","",Registro_Compras!$S153)</f>
        <v/>
      </c>
      <c r="I153" s="25" t="str">
        <f>IF(Registro_Compras!$R153&lt;&gt;"SI","",IF(Registro_Compras!$Y153="",WORKDAY(EOMONTH(Registro_Compras!$B153,0),5,Feriados),MIN(Registro_Compras!$Y153,WORKDAY(EOMONTH(Registro_Compras!$B153,0),5,Feriados))))</f>
        <v/>
      </c>
      <c r="J153" s="25" t="str">
        <f>IF(Registro_Compras!$R153&lt;&gt;"SI","",Registro_Compras!$X153)</f>
        <v/>
      </c>
      <c r="K153" t="str">
        <f>IF(Registro_Compras!$R153&lt;&gt;"SI","",IF(Registro_Compras!$X153="","PENDIENTE","DEPOSITADA"))</f>
        <v/>
      </c>
      <c r="L153" t="str">
        <f>IF(Registro_Compras!$R153&lt;&gt;"SI","",Registro_Compras!$Z153)</f>
        <v/>
      </c>
      <c r="M153" t="str">
        <f t="shared" ca="1" si="4"/>
        <v/>
      </c>
      <c r="N153" t="str">
        <f t="shared" ca="1" si="5"/>
        <v/>
      </c>
    </row>
    <row r="154" spans="1:14" x14ac:dyDescent="0.25">
      <c r="A154" s="25" t="str">
        <f>IF(Registro_Compras!$R154&lt;&gt;"SI","",Registro_Compras!$B154)</f>
        <v/>
      </c>
      <c r="B154" t="str">
        <f>IF(Registro_Compras!$R154&lt;&gt;"SI","",Registro_Compras!$C154)</f>
        <v/>
      </c>
      <c r="C154" t="str">
        <f>IF(Registro_Compras!$R154&lt;&gt;"SI","",Registro_Compras!$D154)</f>
        <v/>
      </c>
      <c r="D154" t="str">
        <f>IF(Registro_Compras!$R154&lt;&gt;"SI","",Registro_Compras!$E154)</f>
        <v/>
      </c>
      <c r="E154" t="str">
        <f>IF(Registro_Compras!$R154&lt;&gt;"SI","",Registro_Compras!$G154)</f>
        <v/>
      </c>
      <c r="F154" s="31" t="str">
        <f>IF(Registro_Compras!$R154&lt;&gt;"SI","",Registro_Compras!$P154)</f>
        <v/>
      </c>
      <c r="G154" s="20" t="str">
        <f>IF(Registro_Compras!$R154&lt;&gt;"SI","",Registro_Compras!$O154)</f>
        <v/>
      </c>
      <c r="H154" s="20" t="str">
        <f>IF(Registro_Compras!$R154&lt;&gt;"SI","",Registro_Compras!$S154)</f>
        <v/>
      </c>
      <c r="I154" s="25" t="str">
        <f>IF(Registro_Compras!$R154&lt;&gt;"SI","",IF(Registro_Compras!$Y154="",WORKDAY(EOMONTH(Registro_Compras!$B154,0),5,Feriados),MIN(Registro_Compras!$Y154,WORKDAY(EOMONTH(Registro_Compras!$B154,0),5,Feriados))))</f>
        <v/>
      </c>
      <c r="J154" s="25" t="str">
        <f>IF(Registro_Compras!$R154&lt;&gt;"SI","",Registro_Compras!$X154)</f>
        <v/>
      </c>
      <c r="K154" t="str">
        <f>IF(Registro_Compras!$R154&lt;&gt;"SI","",IF(Registro_Compras!$X154="","PENDIENTE","DEPOSITADA"))</f>
        <v/>
      </c>
      <c r="L154" t="str">
        <f>IF(Registro_Compras!$R154&lt;&gt;"SI","",Registro_Compras!$Z154)</f>
        <v/>
      </c>
      <c r="M154" t="str">
        <f t="shared" ca="1" si="4"/>
        <v/>
      </c>
      <c r="N154" t="str">
        <f t="shared" ca="1" si="5"/>
        <v/>
      </c>
    </row>
    <row r="155" spans="1:14" x14ac:dyDescent="0.25">
      <c r="A155" s="25" t="str">
        <f>IF(Registro_Compras!$R155&lt;&gt;"SI","",Registro_Compras!$B155)</f>
        <v/>
      </c>
      <c r="B155" t="str">
        <f>IF(Registro_Compras!$R155&lt;&gt;"SI","",Registro_Compras!$C155)</f>
        <v/>
      </c>
      <c r="C155" t="str">
        <f>IF(Registro_Compras!$R155&lt;&gt;"SI","",Registro_Compras!$D155)</f>
        <v/>
      </c>
      <c r="D155" t="str">
        <f>IF(Registro_Compras!$R155&lt;&gt;"SI","",Registro_Compras!$E155)</f>
        <v/>
      </c>
      <c r="E155" t="str">
        <f>IF(Registro_Compras!$R155&lt;&gt;"SI","",Registro_Compras!$G155)</f>
        <v/>
      </c>
      <c r="F155" s="31" t="str">
        <f>IF(Registro_Compras!$R155&lt;&gt;"SI","",Registro_Compras!$P155)</f>
        <v/>
      </c>
      <c r="G155" s="20" t="str">
        <f>IF(Registro_Compras!$R155&lt;&gt;"SI","",Registro_Compras!$O155)</f>
        <v/>
      </c>
      <c r="H155" s="20" t="str">
        <f>IF(Registro_Compras!$R155&lt;&gt;"SI","",Registro_Compras!$S155)</f>
        <v/>
      </c>
      <c r="I155" s="25" t="str">
        <f>IF(Registro_Compras!$R155&lt;&gt;"SI","",IF(Registro_Compras!$Y155="",WORKDAY(EOMONTH(Registro_Compras!$B155,0),5,Feriados),MIN(Registro_Compras!$Y155,WORKDAY(EOMONTH(Registro_Compras!$B155,0),5,Feriados))))</f>
        <v/>
      </c>
      <c r="J155" s="25" t="str">
        <f>IF(Registro_Compras!$R155&lt;&gt;"SI","",Registro_Compras!$X155)</f>
        <v/>
      </c>
      <c r="K155" t="str">
        <f>IF(Registro_Compras!$R155&lt;&gt;"SI","",IF(Registro_Compras!$X155="","PENDIENTE","DEPOSITADA"))</f>
        <v/>
      </c>
      <c r="L155" t="str">
        <f>IF(Registro_Compras!$R155&lt;&gt;"SI","",Registro_Compras!$Z155)</f>
        <v/>
      </c>
      <c r="M155" t="str">
        <f t="shared" ca="1" si="4"/>
        <v/>
      </c>
      <c r="N155" t="str">
        <f t="shared" ca="1" si="5"/>
        <v/>
      </c>
    </row>
    <row r="156" spans="1:14" x14ac:dyDescent="0.25">
      <c r="A156" s="25" t="str">
        <f>IF(Registro_Compras!$R156&lt;&gt;"SI","",Registro_Compras!$B156)</f>
        <v/>
      </c>
      <c r="B156" t="str">
        <f>IF(Registro_Compras!$R156&lt;&gt;"SI","",Registro_Compras!$C156)</f>
        <v/>
      </c>
      <c r="C156" t="str">
        <f>IF(Registro_Compras!$R156&lt;&gt;"SI","",Registro_Compras!$D156)</f>
        <v/>
      </c>
      <c r="D156" t="str">
        <f>IF(Registro_Compras!$R156&lt;&gt;"SI","",Registro_Compras!$E156)</f>
        <v/>
      </c>
      <c r="E156" t="str">
        <f>IF(Registro_Compras!$R156&lt;&gt;"SI","",Registro_Compras!$G156)</f>
        <v/>
      </c>
      <c r="F156" s="31" t="str">
        <f>IF(Registro_Compras!$R156&lt;&gt;"SI","",Registro_Compras!$P156)</f>
        <v/>
      </c>
      <c r="G156" s="20" t="str">
        <f>IF(Registro_Compras!$R156&lt;&gt;"SI","",Registro_Compras!$O156)</f>
        <v/>
      </c>
      <c r="H156" s="20" t="str">
        <f>IF(Registro_Compras!$R156&lt;&gt;"SI","",Registro_Compras!$S156)</f>
        <v/>
      </c>
      <c r="I156" s="25" t="str">
        <f>IF(Registro_Compras!$R156&lt;&gt;"SI","",IF(Registro_Compras!$Y156="",WORKDAY(EOMONTH(Registro_Compras!$B156,0),5,Feriados),MIN(Registro_Compras!$Y156,WORKDAY(EOMONTH(Registro_Compras!$B156,0),5,Feriados))))</f>
        <v/>
      </c>
      <c r="J156" s="25" t="str">
        <f>IF(Registro_Compras!$R156&lt;&gt;"SI","",Registro_Compras!$X156)</f>
        <v/>
      </c>
      <c r="K156" t="str">
        <f>IF(Registro_Compras!$R156&lt;&gt;"SI","",IF(Registro_Compras!$X156="","PENDIENTE","DEPOSITADA"))</f>
        <v/>
      </c>
      <c r="L156" t="str">
        <f>IF(Registro_Compras!$R156&lt;&gt;"SI","",Registro_Compras!$Z156)</f>
        <v/>
      </c>
      <c r="M156" t="str">
        <f t="shared" ca="1" si="4"/>
        <v/>
      </c>
      <c r="N156" t="str">
        <f t="shared" ca="1" si="5"/>
        <v/>
      </c>
    </row>
    <row r="157" spans="1:14" x14ac:dyDescent="0.25">
      <c r="A157" s="25" t="str">
        <f>IF(Registro_Compras!$R157&lt;&gt;"SI","",Registro_Compras!$B157)</f>
        <v/>
      </c>
      <c r="B157" t="str">
        <f>IF(Registro_Compras!$R157&lt;&gt;"SI","",Registro_Compras!$C157)</f>
        <v/>
      </c>
      <c r="C157" t="str">
        <f>IF(Registro_Compras!$R157&lt;&gt;"SI","",Registro_Compras!$D157)</f>
        <v/>
      </c>
      <c r="D157" t="str">
        <f>IF(Registro_Compras!$R157&lt;&gt;"SI","",Registro_Compras!$E157)</f>
        <v/>
      </c>
      <c r="E157" t="str">
        <f>IF(Registro_Compras!$R157&lt;&gt;"SI","",Registro_Compras!$G157)</f>
        <v/>
      </c>
      <c r="F157" s="31" t="str">
        <f>IF(Registro_Compras!$R157&lt;&gt;"SI","",Registro_Compras!$P157)</f>
        <v/>
      </c>
      <c r="G157" s="20" t="str">
        <f>IF(Registro_Compras!$R157&lt;&gt;"SI","",Registro_Compras!$O157)</f>
        <v/>
      </c>
      <c r="H157" s="20" t="str">
        <f>IF(Registro_Compras!$R157&lt;&gt;"SI","",Registro_Compras!$S157)</f>
        <v/>
      </c>
      <c r="I157" s="25" t="str">
        <f>IF(Registro_Compras!$R157&lt;&gt;"SI","",IF(Registro_Compras!$Y157="",WORKDAY(EOMONTH(Registro_Compras!$B157,0),5,Feriados),MIN(Registro_Compras!$Y157,WORKDAY(EOMONTH(Registro_Compras!$B157,0),5,Feriados))))</f>
        <v/>
      </c>
      <c r="J157" s="25" t="str">
        <f>IF(Registro_Compras!$R157&lt;&gt;"SI","",Registro_Compras!$X157)</f>
        <v/>
      </c>
      <c r="K157" t="str">
        <f>IF(Registro_Compras!$R157&lt;&gt;"SI","",IF(Registro_Compras!$X157="","PENDIENTE","DEPOSITADA"))</f>
        <v/>
      </c>
      <c r="L157" t="str">
        <f>IF(Registro_Compras!$R157&lt;&gt;"SI","",Registro_Compras!$Z157)</f>
        <v/>
      </c>
      <c r="M157" t="str">
        <f t="shared" ca="1" si="4"/>
        <v/>
      </c>
      <c r="N157" t="str">
        <f t="shared" ca="1" si="5"/>
        <v/>
      </c>
    </row>
    <row r="158" spans="1:14" x14ac:dyDescent="0.25">
      <c r="A158" s="25" t="str">
        <f>IF(Registro_Compras!$R158&lt;&gt;"SI","",Registro_Compras!$B158)</f>
        <v/>
      </c>
      <c r="B158" t="str">
        <f>IF(Registro_Compras!$R158&lt;&gt;"SI","",Registro_Compras!$C158)</f>
        <v/>
      </c>
      <c r="C158" t="str">
        <f>IF(Registro_Compras!$R158&lt;&gt;"SI","",Registro_Compras!$D158)</f>
        <v/>
      </c>
      <c r="D158" t="str">
        <f>IF(Registro_Compras!$R158&lt;&gt;"SI","",Registro_Compras!$E158)</f>
        <v/>
      </c>
      <c r="E158" t="str">
        <f>IF(Registro_Compras!$R158&lt;&gt;"SI","",Registro_Compras!$G158)</f>
        <v/>
      </c>
      <c r="F158" s="31" t="str">
        <f>IF(Registro_Compras!$R158&lt;&gt;"SI","",Registro_Compras!$P158)</f>
        <v/>
      </c>
      <c r="G158" s="20" t="str">
        <f>IF(Registro_Compras!$R158&lt;&gt;"SI","",Registro_Compras!$O158)</f>
        <v/>
      </c>
      <c r="H158" s="20" t="str">
        <f>IF(Registro_Compras!$R158&lt;&gt;"SI","",Registro_Compras!$S158)</f>
        <v/>
      </c>
      <c r="I158" s="25" t="str">
        <f>IF(Registro_Compras!$R158&lt;&gt;"SI","",IF(Registro_Compras!$Y158="",WORKDAY(EOMONTH(Registro_Compras!$B158,0),5,Feriados),MIN(Registro_Compras!$Y158,WORKDAY(EOMONTH(Registro_Compras!$B158,0),5,Feriados))))</f>
        <v/>
      </c>
      <c r="J158" s="25" t="str">
        <f>IF(Registro_Compras!$R158&lt;&gt;"SI","",Registro_Compras!$X158)</f>
        <v/>
      </c>
      <c r="K158" t="str">
        <f>IF(Registro_Compras!$R158&lt;&gt;"SI","",IF(Registro_Compras!$X158="","PENDIENTE","DEPOSITADA"))</f>
        <v/>
      </c>
      <c r="L158" t="str">
        <f>IF(Registro_Compras!$R158&lt;&gt;"SI","",Registro_Compras!$Z158)</f>
        <v/>
      </c>
      <c r="M158" t="str">
        <f t="shared" ca="1" si="4"/>
        <v/>
      </c>
      <c r="N158" t="str">
        <f t="shared" ca="1" si="5"/>
        <v/>
      </c>
    </row>
    <row r="159" spans="1:14" x14ac:dyDescent="0.25">
      <c r="A159" s="25" t="str">
        <f>IF(Registro_Compras!$R159&lt;&gt;"SI","",Registro_Compras!$B159)</f>
        <v/>
      </c>
      <c r="B159" t="str">
        <f>IF(Registro_Compras!$R159&lt;&gt;"SI","",Registro_Compras!$C159)</f>
        <v/>
      </c>
      <c r="C159" t="str">
        <f>IF(Registro_Compras!$R159&lt;&gt;"SI","",Registro_Compras!$D159)</f>
        <v/>
      </c>
      <c r="D159" t="str">
        <f>IF(Registro_Compras!$R159&lt;&gt;"SI","",Registro_Compras!$E159)</f>
        <v/>
      </c>
      <c r="E159" t="str">
        <f>IF(Registro_Compras!$R159&lt;&gt;"SI","",Registro_Compras!$G159)</f>
        <v/>
      </c>
      <c r="F159" s="31" t="str">
        <f>IF(Registro_Compras!$R159&lt;&gt;"SI","",Registro_Compras!$P159)</f>
        <v/>
      </c>
      <c r="G159" s="20" t="str">
        <f>IF(Registro_Compras!$R159&lt;&gt;"SI","",Registro_Compras!$O159)</f>
        <v/>
      </c>
      <c r="H159" s="20" t="str">
        <f>IF(Registro_Compras!$R159&lt;&gt;"SI","",Registro_Compras!$S159)</f>
        <v/>
      </c>
      <c r="I159" s="25" t="str">
        <f>IF(Registro_Compras!$R159&lt;&gt;"SI","",IF(Registro_Compras!$Y159="",WORKDAY(EOMONTH(Registro_Compras!$B159,0),5,Feriados),MIN(Registro_Compras!$Y159,WORKDAY(EOMONTH(Registro_Compras!$B159,0),5,Feriados))))</f>
        <v/>
      </c>
      <c r="J159" s="25" t="str">
        <f>IF(Registro_Compras!$R159&lt;&gt;"SI","",Registro_Compras!$X159)</f>
        <v/>
      </c>
      <c r="K159" t="str">
        <f>IF(Registro_Compras!$R159&lt;&gt;"SI","",IF(Registro_Compras!$X159="","PENDIENTE","DEPOSITADA"))</f>
        <v/>
      </c>
      <c r="L159" t="str">
        <f>IF(Registro_Compras!$R159&lt;&gt;"SI","",Registro_Compras!$Z159)</f>
        <v/>
      </c>
      <c r="M159" t="str">
        <f t="shared" ca="1" si="4"/>
        <v/>
      </c>
      <c r="N159" t="str">
        <f t="shared" ca="1" si="5"/>
        <v/>
      </c>
    </row>
    <row r="160" spans="1:14" x14ac:dyDescent="0.25">
      <c r="A160" s="25" t="str">
        <f>IF(Registro_Compras!$R160&lt;&gt;"SI","",Registro_Compras!$B160)</f>
        <v/>
      </c>
      <c r="B160" t="str">
        <f>IF(Registro_Compras!$R160&lt;&gt;"SI","",Registro_Compras!$C160)</f>
        <v/>
      </c>
      <c r="C160" t="str">
        <f>IF(Registro_Compras!$R160&lt;&gt;"SI","",Registro_Compras!$D160)</f>
        <v/>
      </c>
      <c r="D160" t="str">
        <f>IF(Registro_Compras!$R160&lt;&gt;"SI","",Registro_Compras!$E160)</f>
        <v/>
      </c>
      <c r="E160" t="str">
        <f>IF(Registro_Compras!$R160&lt;&gt;"SI","",Registro_Compras!$G160)</f>
        <v/>
      </c>
      <c r="F160" s="31" t="str">
        <f>IF(Registro_Compras!$R160&lt;&gt;"SI","",Registro_Compras!$P160)</f>
        <v/>
      </c>
      <c r="G160" s="20" t="str">
        <f>IF(Registro_Compras!$R160&lt;&gt;"SI","",Registro_Compras!$O160)</f>
        <v/>
      </c>
      <c r="H160" s="20" t="str">
        <f>IF(Registro_Compras!$R160&lt;&gt;"SI","",Registro_Compras!$S160)</f>
        <v/>
      </c>
      <c r="I160" s="25" t="str">
        <f>IF(Registro_Compras!$R160&lt;&gt;"SI","",IF(Registro_Compras!$Y160="",WORKDAY(EOMONTH(Registro_Compras!$B160,0),5,Feriados),MIN(Registro_Compras!$Y160,WORKDAY(EOMONTH(Registro_Compras!$B160,0),5,Feriados))))</f>
        <v/>
      </c>
      <c r="J160" s="25" t="str">
        <f>IF(Registro_Compras!$R160&lt;&gt;"SI","",Registro_Compras!$X160)</f>
        <v/>
      </c>
      <c r="K160" t="str">
        <f>IF(Registro_Compras!$R160&lt;&gt;"SI","",IF(Registro_Compras!$X160="","PENDIENTE","DEPOSITADA"))</f>
        <v/>
      </c>
      <c r="L160" t="str">
        <f>IF(Registro_Compras!$R160&lt;&gt;"SI","",Registro_Compras!$Z160)</f>
        <v/>
      </c>
      <c r="M160" t="str">
        <f t="shared" ca="1" si="4"/>
        <v/>
      </c>
      <c r="N160" t="str">
        <f t="shared" ca="1" si="5"/>
        <v/>
      </c>
    </row>
    <row r="161" spans="1:14" x14ac:dyDescent="0.25">
      <c r="A161" s="25" t="str">
        <f>IF(Registro_Compras!$R161&lt;&gt;"SI","",Registro_Compras!$B161)</f>
        <v/>
      </c>
      <c r="B161" t="str">
        <f>IF(Registro_Compras!$R161&lt;&gt;"SI","",Registro_Compras!$C161)</f>
        <v/>
      </c>
      <c r="C161" t="str">
        <f>IF(Registro_Compras!$R161&lt;&gt;"SI","",Registro_Compras!$D161)</f>
        <v/>
      </c>
      <c r="D161" t="str">
        <f>IF(Registro_Compras!$R161&lt;&gt;"SI","",Registro_Compras!$E161)</f>
        <v/>
      </c>
      <c r="E161" t="str">
        <f>IF(Registro_Compras!$R161&lt;&gt;"SI","",Registro_Compras!$G161)</f>
        <v/>
      </c>
      <c r="F161" s="31" t="str">
        <f>IF(Registro_Compras!$R161&lt;&gt;"SI","",Registro_Compras!$P161)</f>
        <v/>
      </c>
      <c r="G161" s="20" t="str">
        <f>IF(Registro_Compras!$R161&lt;&gt;"SI","",Registro_Compras!$O161)</f>
        <v/>
      </c>
      <c r="H161" s="20" t="str">
        <f>IF(Registro_Compras!$R161&lt;&gt;"SI","",Registro_Compras!$S161)</f>
        <v/>
      </c>
      <c r="I161" s="25" t="str">
        <f>IF(Registro_Compras!$R161&lt;&gt;"SI","",IF(Registro_Compras!$Y161="",WORKDAY(EOMONTH(Registro_Compras!$B161,0),5,Feriados),MIN(Registro_Compras!$Y161,WORKDAY(EOMONTH(Registro_Compras!$B161,0),5,Feriados))))</f>
        <v/>
      </c>
      <c r="J161" s="25" t="str">
        <f>IF(Registro_Compras!$R161&lt;&gt;"SI","",Registro_Compras!$X161)</f>
        <v/>
      </c>
      <c r="K161" t="str">
        <f>IF(Registro_Compras!$R161&lt;&gt;"SI","",IF(Registro_Compras!$X161="","PENDIENTE","DEPOSITADA"))</f>
        <v/>
      </c>
      <c r="L161" t="str">
        <f>IF(Registro_Compras!$R161&lt;&gt;"SI","",Registro_Compras!$Z161)</f>
        <v/>
      </c>
      <c r="M161" t="str">
        <f t="shared" ca="1" si="4"/>
        <v/>
      </c>
      <c r="N161" t="str">
        <f t="shared" ca="1" si="5"/>
        <v/>
      </c>
    </row>
    <row r="162" spans="1:14" x14ac:dyDescent="0.25">
      <c r="A162" s="25" t="str">
        <f>IF(Registro_Compras!$R162&lt;&gt;"SI","",Registro_Compras!$B162)</f>
        <v/>
      </c>
      <c r="B162" t="str">
        <f>IF(Registro_Compras!$R162&lt;&gt;"SI","",Registro_Compras!$C162)</f>
        <v/>
      </c>
      <c r="C162" t="str">
        <f>IF(Registro_Compras!$R162&lt;&gt;"SI","",Registro_Compras!$D162)</f>
        <v/>
      </c>
      <c r="D162" t="str">
        <f>IF(Registro_Compras!$R162&lt;&gt;"SI","",Registro_Compras!$E162)</f>
        <v/>
      </c>
      <c r="E162" t="str">
        <f>IF(Registro_Compras!$R162&lt;&gt;"SI","",Registro_Compras!$G162)</f>
        <v/>
      </c>
      <c r="F162" s="31" t="str">
        <f>IF(Registro_Compras!$R162&lt;&gt;"SI","",Registro_Compras!$P162)</f>
        <v/>
      </c>
      <c r="G162" s="20" t="str">
        <f>IF(Registro_Compras!$R162&lt;&gt;"SI","",Registro_Compras!$O162)</f>
        <v/>
      </c>
      <c r="H162" s="20" t="str">
        <f>IF(Registro_Compras!$R162&lt;&gt;"SI","",Registro_Compras!$S162)</f>
        <v/>
      </c>
      <c r="I162" s="25" t="str">
        <f>IF(Registro_Compras!$R162&lt;&gt;"SI","",IF(Registro_Compras!$Y162="",WORKDAY(EOMONTH(Registro_Compras!$B162,0),5,Feriados),MIN(Registro_Compras!$Y162,WORKDAY(EOMONTH(Registro_Compras!$B162,0),5,Feriados))))</f>
        <v/>
      </c>
      <c r="J162" s="25" t="str">
        <f>IF(Registro_Compras!$R162&lt;&gt;"SI","",Registro_Compras!$X162)</f>
        <v/>
      </c>
      <c r="K162" t="str">
        <f>IF(Registro_Compras!$R162&lt;&gt;"SI","",IF(Registro_Compras!$X162="","PENDIENTE","DEPOSITADA"))</f>
        <v/>
      </c>
      <c r="L162" t="str">
        <f>IF(Registro_Compras!$R162&lt;&gt;"SI","",Registro_Compras!$Z162)</f>
        <v/>
      </c>
      <c r="M162" t="str">
        <f t="shared" ca="1" si="4"/>
        <v/>
      </c>
      <c r="N162" t="str">
        <f t="shared" ca="1" si="5"/>
        <v/>
      </c>
    </row>
    <row r="163" spans="1:14" x14ac:dyDescent="0.25">
      <c r="A163" s="25" t="str">
        <f>IF(Registro_Compras!$R163&lt;&gt;"SI","",Registro_Compras!$B163)</f>
        <v/>
      </c>
      <c r="B163" t="str">
        <f>IF(Registro_Compras!$R163&lt;&gt;"SI","",Registro_Compras!$C163)</f>
        <v/>
      </c>
      <c r="C163" t="str">
        <f>IF(Registro_Compras!$R163&lt;&gt;"SI","",Registro_Compras!$D163)</f>
        <v/>
      </c>
      <c r="D163" t="str">
        <f>IF(Registro_Compras!$R163&lt;&gt;"SI","",Registro_Compras!$E163)</f>
        <v/>
      </c>
      <c r="E163" t="str">
        <f>IF(Registro_Compras!$R163&lt;&gt;"SI","",Registro_Compras!$G163)</f>
        <v/>
      </c>
      <c r="F163" s="31" t="str">
        <f>IF(Registro_Compras!$R163&lt;&gt;"SI","",Registro_Compras!$P163)</f>
        <v/>
      </c>
      <c r="G163" s="20" t="str">
        <f>IF(Registro_Compras!$R163&lt;&gt;"SI","",Registro_Compras!$O163)</f>
        <v/>
      </c>
      <c r="H163" s="20" t="str">
        <f>IF(Registro_Compras!$R163&lt;&gt;"SI","",Registro_Compras!$S163)</f>
        <v/>
      </c>
      <c r="I163" s="25" t="str">
        <f>IF(Registro_Compras!$R163&lt;&gt;"SI","",IF(Registro_Compras!$Y163="",WORKDAY(EOMONTH(Registro_Compras!$B163,0),5,Feriados),MIN(Registro_Compras!$Y163,WORKDAY(EOMONTH(Registro_Compras!$B163,0),5,Feriados))))</f>
        <v/>
      </c>
      <c r="J163" s="25" t="str">
        <f>IF(Registro_Compras!$R163&lt;&gt;"SI","",Registro_Compras!$X163)</f>
        <v/>
      </c>
      <c r="K163" t="str">
        <f>IF(Registro_Compras!$R163&lt;&gt;"SI","",IF(Registro_Compras!$X163="","PENDIENTE","DEPOSITADA"))</f>
        <v/>
      </c>
      <c r="L163" t="str">
        <f>IF(Registro_Compras!$R163&lt;&gt;"SI","",Registro_Compras!$Z163)</f>
        <v/>
      </c>
      <c r="M163" t="str">
        <f t="shared" ca="1" si="4"/>
        <v/>
      </c>
      <c r="N163" t="str">
        <f t="shared" ca="1" si="5"/>
        <v/>
      </c>
    </row>
    <row r="164" spans="1:14" x14ac:dyDescent="0.25">
      <c r="A164" s="25" t="str">
        <f>IF(Registro_Compras!$R164&lt;&gt;"SI","",Registro_Compras!$B164)</f>
        <v/>
      </c>
      <c r="B164" t="str">
        <f>IF(Registro_Compras!$R164&lt;&gt;"SI","",Registro_Compras!$C164)</f>
        <v/>
      </c>
      <c r="C164" t="str">
        <f>IF(Registro_Compras!$R164&lt;&gt;"SI","",Registro_Compras!$D164)</f>
        <v/>
      </c>
      <c r="D164" t="str">
        <f>IF(Registro_Compras!$R164&lt;&gt;"SI","",Registro_Compras!$E164)</f>
        <v/>
      </c>
      <c r="E164" t="str">
        <f>IF(Registro_Compras!$R164&lt;&gt;"SI","",Registro_Compras!$G164)</f>
        <v/>
      </c>
      <c r="F164" s="31" t="str">
        <f>IF(Registro_Compras!$R164&lt;&gt;"SI","",Registro_Compras!$P164)</f>
        <v/>
      </c>
      <c r="G164" s="20" t="str">
        <f>IF(Registro_Compras!$R164&lt;&gt;"SI","",Registro_Compras!$O164)</f>
        <v/>
      </c>
      <c r="H164" s="20" t="str">
        <f>IF(Registro_Compras!$R164&lt;&gt;"SI","",Registro_Compras!$S164)</f>
        <v/>
      </c>
      <c r="I164" s="25" t="str">
        <f>IF(Registro_Compras!$R164&lt;&gt;"SI","",IF(Registro_Compras!$Y164="",WORKDAY(EOMONTH(Registro_Compras!$B164,0),5,Feriados),MIN(Registro_Compras!$Y164,WORKDAY(EOMONTH(Registro_Compras!$B164,0),5,Feriados))))</f>
        <v/>
      </c>
      <c r="J164" s="25" t="str">
        <f>IF(Registro_Compras!$R164&lt;&gt;"SI","",Registro_Compras!$X164)</f>
        <v/>
      </c>
      <c r="K164" t="str">
        <f>IF(Registro_Compras!$R164&lt;&gt;"SI","",IF(Registro_Compras!$X164="","PENDIENTE","DEPOSITADA"))</f>
        <v/>
      </c>
      <c r="L164" t="str">
        <f>IF(Registro_Compras!$R164&lt;&gt;"SI","",Registro_Compras!$Z164)</f>
        <v/>
      </c>
      <c r="M164" t="str">
        <f t="shared" ca="1" si="4"/>
        <v/>
      </c>
      <c r="N164" t="str">
        <f t="shared" ca="1" si="5"/>
        <v/>
      </c>
    </row>
    <row r="165" spans="1:14" x14ac:dyDescent="0.25">
      <c r="A165" s="25" t="str">
        <f>IF(Registro_Compras!$R165&lt;&gt;"SI","",Registro_Compras!$B165)</f>
        <v/>
      </c>
      <c r="B165" t="str">
        <f>IF(Registro_Compras!$R165&lt;&gt;"SI","",Registro_Compras!$C165)</f>
        <v/>
      </c>
      <c r="C165" t="str">
        <f>IF(Registro_Compras!$R165&lt;&gt;"SI","",Registro_Compras!$D165)</f>
        <v/>
      </c>
      <c r="D165" t="str">
        <f>IF(Registro_Compras!$R165&lt;&gt;"SI","",Registro_Compras!$E165)</f>
        <v/>
      </c>
      <c r="E165" t="str">
        <f>IF(Registro_Compras!$R165&lt;&gt;"SI","",Registro_Compras!$G165)</f>
        <v/>
      </c>
      <c r="F165" s="31" t="str">
        <f>IF(Registro_Compras!$R165&lt;&gt;"SI","",Registro_Compras!$P165)</f>
        <v/>
      </c>
      <c r="G165" s="20" t="str">
        <f>IF(Registro_Compras!$R165&lt;&gt;"SI","",Registro_Compras!$O165)</f>
        <v/>
      </c>
      <c r="H165" s="20" t="str">
        <f>IF(Registro_Compras!$R165&lt;&gt;"SI","",Registro_Compras!$S165)</f>
        <v/>
      </c>
      <c r="I165" s="25" t="str">
        <f>IF(Registro_Compras!$R165&lt;&gt;"SI","",IF(Registro_Compras!$Y165="",WORKDAY(EOMONTH(Registro_Compras!$B165,0),5,Feriados),MIN(Registro_Compras!$Y165,WORKDAY(EOMONTH(Registro_Compras!$B165,0),5,Feriados))))</f>
        <v/>
      </c>
      <c r="J165" s="25" t="str">
        <f>IF(Registro_Compras!$R165&lt;&gt;"SI","",Registro_Compras!$X165)</f>
        <v/>
      </c>
      <c r="K165" t="str">
        <f>IF(Registro_Compras!$R165&lt;&gt;"SI","",IF(Registro_Compras!$X165="","PENDIENTE","DEPOSITADA"))</f>
        <v/>
      </c>
      <c r="L165" t="str">
        <f>IF(Registro_Compras!$R165&lt;&gt;"SI","",Registro_Compras!$Z165)</f>
        <v/>
      </c>
      <c r="M165" t="str">
        <f t="shared" ca="1" si="4"/>
        <v/>
      </c>
      <c r="N165" t="str">
        <f t="shared" ca="1" si="5"/>
        <v/>
      </c>
    </row>
    <row r="166" spans="1:14" x14ac:dyDescent="0.25">
      <c r="A166" s="25" t="str">
        <f>IF(Registro_Compras!$R166&lt;&gt;"SI","",Registro_Compras!$B166)</f>
        <v/>
      </c>
      <c r="B166" t="str">
        <f>IF(Registro_Compras!$R166&lt;&gt;"SI","",Registro_Compras!$C166)</f>
        <v/>
      </c>
      <c r="C166" t="str">
        <f>IF(Registro_Compras!$R166&lt;&gt;"SI","",Registro_Compras!$D166)</f>
        <v/>
      </c>
      <c r="D166" t="str">
        <f>IF(Registro_Compras!$R166&lt;&gt;"SI","",Registro_Compras!$E166)</f>
        <v/>
      </c>
      <c r="E166" t="str">
        <f>IF(Registro_Compras!$R166&lt;&gt;"SI","",Registro_Compras!$G166)</f>
        <v/>
      </c>
      <c r="F166" s="31" t="str">
        <f>IF(Registro_Compras!$R166&lt;&gt;"SI","",Registro_Compras!$P166)</f>
        <v/>
      </c>
      <c r="G166" s="20" t="str">
        <f>IF(Registro_Compras!$R166&lt;&gt;"SI","",Registro_Compras!$O166)</f>
        <v/>
      </c>
      <c r="H166" s="20" t="str">
        <f>IF(Registro_Compras!$R166&lt;&gt;"SI","",Registro_Compras!$S166)</f>
        <v/>
      </c>
      <c r="I166" s="25" t="str">
        <f>IF(Registro_Compras!$R166&lt;&gt;"SI","",IF(Registro_Compras!$Y166="",WORKDAY(EOMONTH(Registro_Compras!$B166,0),5,Feriados),MIN(Registro_Compras!$Y166,WORKDAY(EOMONTH(Registro_Compras!$B166,0),5,Feriados))))</f>
        <v/>
      </c>
      <c r="J166" s="25" t="str">
        <f>IF(Registro_Compras!$R166&lt;&gt;"SI","",Registro_Compras!$X166)</f>
        <v/>
      </c>
      <c r="K166" t="str">
        <f>IF(Registro_Compras!$R166&lt;&gt;"SI","",IF(Registro_Compras!$X166="","PENDIENTE","DEPOSITADA"))</f>
        <v/>
      </c>
      <c r="L166" t="str">
        <f>IF(Registro_Compras!$R166&lt;&gt;"SI","",Registro_Compras!$Z166)</f>
        <v/>
      </c>
      <c r="M166" t="str">
        <f t="shared" ca="1" si="4"/>
        <v/>
      </c>
      <c r="N166" t="str">
        <f t="shared" ca="1" si="5"/>
        <v/>
      </c>
    </row>
    <row r="167" spans="1:14" x14ac:dyDescent="0.25">
      <c r="A167" s="25" t="str">
        <f>IF(Registro_Compras!$R167&lt;&gt;"SI","",Registro_Compras!$B167)</f>
        <v/>
      </c>
      <c r="B167" t="str">
        <f>IF(Registro_Compras!$R167&lt;&gt;"SI","",Registro_Compras!$C167)</f>
        <v/>
      </c>
      <c r="C167" t="str">
        <f>IF(Registro_Compras!$R167&lt;&gt;"SI","",Registro_Compras!$D167)</f>
        <v/>
      </c>
      <c r="D167" t="str">
        <f>IF(Registro_Compras!$R167&lt;&gt;"SI","",Registro_Compras!$E167)</f>
        <v/>
      </c>
      <c r="E167" t="str">
        <f>IF(Registro_Compras!$R167&lt;&gt;"SI","",Registro_Compras!$G167)</f>
        <v/>
      </c>
      <c r="F167" s="31" t="str">
        <f>IF(Registro_Compras!$R167&lt;&gt;"SI","",Registro_Compras!$P167)</f>
        <v/>
      </c>
      <c r="G167" s="20" t="str">
        <f>IF(Registro_Compras!$R167&lt;&gt;"SI","",Registro_Compras!$O167)</f>
        <v/>
      </c>
      <c r="H167" s="20" t="str">
        <f>IF(Registro_Compras!$R167&lt;&gt;"SI","",Registro_Compras!$S167)</f>
        <v/>
      </c>
      <c r="I167" s="25" t="str">
        <f>IF(Registro_Compras!$R167&lt;&gt;"SI","",IF(Registro_Compras!$Y167="",WORKDAY(EOMONTH(Registro_Compras!$B167,0),5,Feriados),MIN(Registro_Compras!$Y167,WORKDAY(EOMONTH(Registro_Compras!$B167,0),5,Feriados))))</f>
        <v/>
      </c>
      <c r="J167" s="25" t="str">
        <f>IF(Registro_Compras!$R167&lt;&gt;"SI","",Registro_Compras!$X167)</f>
        <v/>
      </c>
      <c r="K167" t="str">
        <f>IF(Registro_Compras!$R167&lt;&gt;"SI","",IF(Registro_Compras!$X167="","PENDIENTE","DEPOSITADA"))</f>
        <v/>
      </c>
      <c r="L167" t="str">
        <f>IF(Registro_Compras!$R167&lt;&gt;"SI","",Registro_Compras!$Z167)</f>
        <v/>
      </c>
      <c r="M167" t="str">
        <f t="shared" ca="1" si="4"/>
        <v/>
      </c>
      <c r="N167" t="str">
        <f t="shared" ca="1" si="5"/>
        <v/>
      </c>
    </row>
    <row r="168" spans="1:14" x14ac:dyDescent="0.25">
      <c r="A168" s="25" t="str">
        <f>IF(Registro_Compras!$R168&lt;&gt;"SI","",Registro_Compras!$B168)</f>
        <v/>
      </c>
      <c r="B168" t="str">
        <f>IF(Registro_Compras!$R168&lt;&gt;"SI","",Registro_Compras!$C168)</f>
        <v/>
      </c>
      <c r="C168" t="str">
        <f>IF(Registro_Compras!$R168&lt;&gt;"SI","",Registro_Compras!$D168)</f>
        <v/>
      </c>
      <c r="D168" t="str">
        <f>IF(Registro_Compras!$R168&lt;&gt;"SI","",Registro_Compras!$E168)</f>
        <v/>
      </c>
      <c r="E168" t="str">
        <f>IF(Registro_Compras!$R168&lt;&gt;"SI","",Registro_Compras!$G168)</f>
        <v/>
      </c>
      <c r="F168" s="31" t="str">
        <f>IF(Registro_Compras!$R168&lt;&gt;"SI","",Registro_Compras!$P168)</f>
        <v/>
      </c>
      <c r="G168" s="20" t="str">
        <f>IF(Registro_Compras!$R168&lt;&gt;"SI","",Registro_Compras!$O168)</f>
        <v/>
      </c>
      <c r="H168" s="20" t="str">
        <f>IF(Registro_Compras!$R168&lt;&gt;"SI","",Registro_Compras!$S168)</f>
        <v/>
      </c>
      <c r="I168" s="25" t="str">
        <f>IF(Registro_Compras!$R168&lt;&gt;"SI","",IF(Registro_Compras!$Y168="",WORKDAY(EOMONTH(Registro_Compras!$B168,0),5,Feriados),MIN(Registro_Compras!$Y168,WORKDAY(EOMONTH(Registro_Compras!$B168,0),5,Feriados))))</f>
        <v/>
      </c>
      <c r="J168" s="25" t="str">
        <f>IF(Registro_Compras!$R168&lt;&gt;"SI","",Registro_Compras!$X168)</f>
        <v/>
      </c>
      <c r="K168" t="str">
        <f>IF(Registro_Compras!$R168&lt;&gt;"SI","",IF(Registro_Compras!$X168="","PENDIENTE","DEPOSITADA"))</f>
        <v/>
      </c>
      <c r="L168" t="str">
        <f>IF(Registro_Compras!$R168&lt;&gt;"SI","",Registro_Compras!$Z168)</f>
        <v/>
      </c>
      <c r="M168" t="str">
        <f t="shared" ca="1" si="4"/>
        <v/>
      </c>
      <c r="N168" t="str">
        <f t="shared" ca="1" si="5"/>
        <v/>
      </c>
    </row>
    <row r="169" spans="1:14" x14ac:dyDescent="0.25">
      <c r="A169" s="25" t="str">
        <f>IF(Registro_Compras!$R169&lt;&gt;"SI","",Registro_Compras!$B169)</f>
        <v/>
      </c>
      <c r="B169" t="str">
        <f>IF(Registro_Compras!$R169&lt;&gt;"SI","",Registro_Compras!$C169)</f>
        <v/>
      </c>
      <c r="C169" t="str">
        <f>IF(Registro_Compras!$R169&lt;&gt;"SI","",Registro_Compras!$D169)</f>
        <v/>
      </c>
      <c r="D169" t="str">
        <f>IF(Registro_Compras!$R169&lt;&gt;"SI","",Registro_Compras!$E169)</f>
        <v/>
      </c>
      <c r="E169" t="str">
        <f>IF(Registro_Compras!$R169&lt;&gt;"SI","",Registro_Compras!$G169)</f>
        <v/>
      </c>
      <c r="F169" s="31" t="str">
        <f>IF(Registro_Compras!$R169&lt;&gt;"SI","",Registro_Compras!$P169)</f>
        <v/>
      </c>
      <c r="G169" s="20" t="str">
        <f>IF(Registro_Compras!$R169&lt;&gt;"SI","",Registro_Compras!$O169)</f>
        <v/>
      </c>
      <c r="H169" s="20" t="str">
        <f>IF(Registro_Compras!$R169&lt;&gt;"SI","",Registro_Compras!$S169)</f>
        <v/>
      </c>
      <c r="I169" s="25" t="str">
        <f>IF(Registro_Compras!$R169&lt;&gt;"SI","",IF(Registro_Compras!$Y169="",WORKDAY(EOMONTH(Registro_Compras!$B169,0),5,Feriados),MIN(Registro_Compras!$Y169,WORKDAY(EOMONTH(Registro_Compras!$B169,0),5,Feriados))))</f>
        <v/>
      </c>
      <c r="J169" s="25" t="str">
        <f>IF(Registro_Compras!$R169&lt;&gt;"SI","",Registro_Compras!$X169)</f>
        <v/>
      </c>
      <c r="K169" t="str">
        <f>IF(Registro_Compras!$R169&lt;&gt;"SI","",IF(Registro_Compras!$X169="","PENDIENTE","DEPOSITADA"))</f>
        <v/>
      </c>
      <c r="L169" t="str">
        <f>IF(Registro_Compras!$R169&lt;&gt;"SI","",Registro_Compras!$Z169)</f>
        <v/>
      </c>
      <c r="M169" t="str">
        <f t="shared" ca="1" si="4"/>
        <v/>
      </c>
      <c r="N169" t="str">
        <f t="shared" ca="1" si="5"/>
        <v/>
      </c>
    </row>
    <row r="170" spans="1:14" x14ac:dyDescent="0.25">
      <c r="A170" s="25" t="str">
        <f>IF(Registro_Compras!$R170&lt;&gt;"SI","",Registro_Compras!$B170)</f>
        <v/>
      </c>
      <c r="B170" t="str">
        <f>IF(Registro_Compras!$R170&lt;&gt;"SI","",Registro_Compras!$C170)</f>
        <v/>
      </c>
      <c r="C170" t="str">
        <f>IF(Registro_Compras!$R170&lt;&gt;"SI","",Registro_Compras!$D170)</f>
        <v/>
      </c>
      <c r="D170" t="str">
        <f>IF(Registro_Compras!$R170&lt;&gt;"SI","",Registro_Compras!$E170)</f>
        <v/>
      </c>
      <c r="E170" t="str">
        <f>IF(Registro_Compras!$R170&lt;&gt;"SI","",Registro_Compras!$G170)</f>
        <v/>
      </c>
      <c r="F170" s="31" t="str">
        <f>IF(Registro_Compras!$R170&lt;&gt;"SI","",Registro_Compras!$P170)</f>
        <v/>
      </c>
      <c r="G170" s="20" t="str">
        <f>IF(Registro_Compras!$R170&lt;&gt;"SI","",Registro_Compras!$O170)</f>
        <v/>
      </c>
      <c r="H170" s="20" t="str">
        <f>IF(Registro_Compras!$R170&lt;&gt;"SI","",Registro_Compras!$S170)</f>
        <v/>
      </c>
      <c r="I170" s="25" t="str">
        <f>IF(Registro_Compras!$R170&lt;&gt;"SI","",IF(Registro_Compras!$Y170="",WORKDAY(EOMONTH(Registro_Compras!$B170,0),5,Feriados),MIN(Registro_Compras!$Y170,WORKDAY(EOMONTH(Registro_Compras!$B170,0),5,Feriados))))</f>
        <v/>
      </c>
      <c r="J170" s="25" t="str">
        <f>IF(Registro_Compras!$R170&lt;&gt;"SI","",Registro_Compras!$X170)</f>
        <v/>
      </c>
      <c r="K170" t="str">
        <f>IF(Registro_Compras!$R170&lt;&gt;"SI","",IF(Registro_Compras!$X170="","PENDIENTE","DEPOSITADA"))</f>
        <v/>
      </c>
      <c r="L170" t="str">
        <f>IF(Registro_Compras!$R170&lt;&gt;"SI","",Registro_Compras!$Z170)</f>
        <v/>
      </c>
      <c r="M170" t="str">
        <f t="shared" ca="1" si="4"/>
        <v/>
      </c>
      <c r="N170" t="str">
        <f t="shared" ca="1" si="5"/>
        <v/>
      </c>
    </row>
    <row r="171" spans="1:14" x14ac:dyDescent="0.25">
      <c r="A171" s="25" t="str">
        <f>IF(Registro_Compras!$R171&lt;&gt;"SI","",Registro_Compras!$B171)</f>
        <v/>
      </c>
      <c r="B171" t="str">
        <f>IF(Registro_Compras!$R171&lt;&gt;"SI","",Registro_Compras!$C171)</f>
        <v/>
      </c>
      <c r="C171" t="str">
        <f>IF(Registro_Compras!$R171&lt;&gt;"SI","",Registro_Compras!$D171)</f>
        <v/>
      </c>
      <c r="D171" t="str">
        <f>IF(Registro_Compras!$R171&lt;&gt;"SI","",Registro_Compras!$E171)</f>
        <v/>
      </c>
      <c r="E171" t="str">
        <f>IF(Registro_Compras!$R171&lt;&gt;"SI","",Registro_Compras!$G171)</f>
        <v/>
      </c>
      <c r="F171" s="31" t="str">
        <f>IF(Registro_Compras!$R171&lt;&gt;"SI","",Registro_Compras!$P171)</f>
        <v/>
      </c>
      <c r="G171" s="20" t="str">
        <f>IF(Registro_Compras!$R171&lt;&gt;"SI","",Registro_Compras!$O171)</f>
        <v/>
      </c>
      <c r="H171" s="20" t="str">
        <f>IF(Registro_Compras!$R171&lt;&gt;"SI","",Registro_Compras!$S171)</f>
        <v/>
      </c>
      <c r="I171" s="25" t="str">
        <f>IF(Registro_Compras!$R171&lt;&gt;"SI","",IF(Registro_Compras!$Y171="",WORKDAY(EOMONTH(Registro_Compras!$B171,0),5,Feriados),MIN(Registro_Compras!$Y171,WORKDAY(EOMONTH(Registro_Compras!$B171,0),5,Feriados))))</f>
        <v/>
      </c>
      <c r="J171" s="25" t="str">
        <f>IF(Registro_Compras!$R171&lt;&gt;"SI","",Registro_Compras!$X171)</f>
        <v/>
      </c>
      <c r="K171" t="str">
        <f>IF(Registro_Compras!$R171&lt;&gt;"SI","",IF(Registro_Compras!$X171="","PENDIENTE","DEPOSITADA"))</f>
        <v/>
      </c>
      <c r="L171" t="str">
        <f>IF(Registro_Compras!$R171&lt;&gt;"SI","",Registro_Compras!$Z171)</f>
        <v/>
      </c>
      <c r="M171" t="str">
        <f t="shared" ca="1" si="4"/>
        <v/>
      </c>
      <c r="N171" t="str">
        <f t="shared" ca="1" si="5"/>
        <v/>
      </c>
    </row>
    <row r="172" spans="1:14" x14ac:dyDescent="0.25">
      <c r="A172" s="25" t="str">
        <f>IF(Registro_Compras!$R172&lt;&gt;"SI","",Registro_Compras!$B172)</f>
        <v/>
      </c>
      <c r="B172" t="str">
        <f>IF(Registro_Compras!$R172&lt;&gt;"SI","",Registro_Compras!$C172)</f>
        <v/>
      </c>
      <c r="C172" t="str">
        <f>IF(Registro_Compras!$R172&lt;&gt;"SI","",Registro_Compras!$D172)</f>
        <v/>
      </c>
      <c r="D172" t="str">
        <f>IF(Registro_Compras!$R172&lt;&gt;"SI","",Registro_Compras!$E172)</f>
        <v/>
      </c>
      <c r="E172" t="str">
        <f>IF(Registro_Compras!$R172&lt;&gt;"SI","",Registro_Compras!$G172)</f>
        <v/>
      </c>
      <c r="F172" s="31" t="str">
        <f>IF(Registro_Compras!$R172&lt;&gt;"SI","",Registro_Compras!$P172)</f>
        <v/>
      </c>
      <c r="G172" s="20" t="str">
        <f>IF(Registro_Compras!$R172&lt;&gt;"SI","",Registro_Compras!$O172)</f>
        <v/>
      </c>
      <c r="H172" s="20" t="str">
        <f>IF(Registro_Compras!$R172&lt;&gt;"SI","",Registro_Compras!$S172)</f>
        <v/>
      </c>
      <c r="I172" s="25" t="str">
        <f>IF(Registro_Compras!$R172&lt;&gt;"SI","",IF(Registro_Compras!$Y172="",WORKDAY(EOMONTH(Registro_Compras!$B172,0),5,Feriados),MIN(Registro_Compras!$Y172,WORKDAY(EOMONTH(Registro_Compras!$B172,0),5,Feriados))))</f>
        <v/>
      </c>
      <c r="J172" s="25" t="str">
        <f>IF(Registro_Compras!$R172&lt;&gt;"SI","",Registro_Compras!$X172)</f>
        <v/>
      </c>
      <c r="K172" t="str">
        <f>IF(Registro_Compras!$R172&lt;&gt;"SI","",IF(Registro_Compras!$X172="","PENDIENTE","DEPOSITADA"))</f>
        <v/>
      </c>
      <c r="L172" t="str">
        <f>IF(Registro_Compras!$R172&lt;&gt;"SI","",Registro_Compras!$Z172)</f>
        <v/>
      </c>
      <c r="M172" t="str">
        <f t="shared" ca="1" si="4"/>
        <v/>
      </c>
      <c r="N172" t="str">
        <f t="shared" ca="1" si="5"/>
        <v/>
      </c>
    </row>
    <row r="173" spans="1:14" x14ac:dyDescent="0.25">
      <c r="A173" s="25" t="str">
        <f>IF(Registro_Compras!$R173&lt;&gt;"SI","",Registro_Compras!$B173)</f>
        <v/>
      </c>
      <c r="B173" t="str">
        <f>IF(Registro_Compras!$R173&lt;&gt;"SI","",Registro_Compras!$C173)</f>
        <v/>
      </c>
      <c r="C173" t="str">
        <f>IF(Registro_Compras!$R173&lt;&gt;"SI","",Registro_Compras!$D173)</f>
        <v/>
      </c>
      <c r="D173" t="str">
        <f>IF(Registro_Compras!$R173&lt;&gt;"SI","",Registro_Compras!$E173)</f>
        <v/>
      </c>
      <c r="E173" t="str">
        <f>IF(Registro_Compras!$R173&lt;&gt;"SI","",Registro_Compras!$G173)</f>
        <v/>
      </c>
      <c r="F173" s="31" t="str">
        <f>IF(Registro_Compras!$R173&lt;&gt;"SI","",Registro_Compras!$P173)</f>
        <v/>
      </c>
      <c r="G173" s="20" t="str">
        <f>IF(Registro_Compras!$R173&lt;&gt;"SI","",Registro_Compras!$O173)</f>
        <v/>
      </c>
      <c r="H173" s="20" t="str">
        <f>IF(Registro_Compras!$R173&lt;&gt;"SI","",Registro_Compras!$S173)</f>
        <v/>
      </c>
      <c r="I173" s="25" t="str">
        <f>IF(Registro_Compras!$R173&lt;&gt;"SI","",IF(Registro_Compras!$Y173="",WORKDAY(EOMONTH(Registro_Compras!$B173,0),5,Feriados),MIN(Registro_Compras!$Y173,WORKDAY(EOMONTH(Registro_Compras!$B173,0),5,Feriados))))</f>
        <v/>
      </c>
      <c r="J173" s="25" t="str">
        <f>IF(Registro_Compras!$R173&lt;&gt;"SI","",Registro_Compras!$X173)</f>
        <v/>
      </c>
      <c r="K173" t="str">
        <f>IF(Registro_Compras!$R173&lt;&gt;"SI","",IF(Registro_Compras!$X173="","PENDIENTE","DEPOSITADA"))</f>
        <v/>
      </c>
      <c r="L173" t="str">
        <f>IF(Registro_Compras!$R173&lt;&gt;"SI","",Registro_Compras!$Z173)</f>
        <v/>
      </c>
      <c r="M173" t="str">
        <f t="shared" ca="1" si="4"/>
        <v/>
      </c>
      <c r="N173" t="str">
        <f t="shared" ca="1" si="5"/>
        <v/>
      </c>
    </row>
    <row r="174" spans="1:14" x14ac:dyDescent="0.25">
      <c r="A174" s="25" t="str">
        <f>IF(Registro_Compras!$R174&lt;&gt;"SI","",Registro_Compras!$B174)</f>
        <v/>
      </c>
      <c r="B174" t="str">
        <f>IF(Registro_Compras!$R174&lt;&gt;"SI","",Registro_Compras!$C174)</f>
        <v/>
      </c>
      <c r="C174" t="str">
        <f>IF(Registro_Compras!$R174&lt;&gt;"SI","",Registro_Compras!$D174)</f>
        <v/>
      </c>
      <c r="D174" t="str">
        <f>IF(Registro_Compras!$R174&lt;&gt;"SI","",Registro_Compras!$E174)</f>
        <v/>
      </c>
      <c r="E174" t="str">
        <f>IF(Registro_Compras!$R174&lt;&gt;"SI","",Registro_Compras!$G174)</f>
        <v/>
      </c>
      <c r="F174" s="31" t="str">
        <f>IF(Registro_Compras!$R174&lt;&gt;"SI","",Registro_Compras!$P174)</f>
        <v/>
      </c>
      <c r="G174" s="20" t="str">
        <f>IF(Registro_Compras!$R174&lt;&gt;"SI","",Registro_Compras!$O174)</f>
        <v/>
      </c>
      <c r="H174" s="20" t="str">
        <f>IF(Registro_Compras!$R174&lt;&gt;"SI","",Registro_Compras!$S174)</f>
        <v/>
      </c>
      <c r="I174" s="25" t="str">
        <f>IF(Registro_Compras!$R174&lt;&gt;"SI","",IF(Registro_Compras!$Y174="",WORKDAY(EOMONTH(Registro_Compras!$B174,0),5,Feriados),MIN(Registro_Compras!$Y174,WORKDAY(EOMONTH(Registro_Compras!$B174,0),5,Feriados))))</f>
        <v/>
      </c>
      <c r="J174" s="25" t="str">
        <f>IF(Registro_Compras!$R174&lt;&gt;"SI","",Registro_Compras!$X174)</f>
        <v/>
      </c>
      <c r="K174" t="str">
        <f>IF(Registro_Compras!$R174&lt;&gt;"SI","",IF(Registro_Compras!$X174="","PENDIENTE","DEPOSITADA"))</f>
        <v/>
      </c>
      <c r="L174" t="str">
        <f>IF(Registro_Compras!$R174&lt;&gt;"SI","",Registro_Compras!$Z174)</f>
        <v/>
      </c>
      <c r="M174" t="str">
        <f t="shared" ca="1" si="4"/>
        <v/>
      </c>
      <c r="N174" t="str">
        <f t="shared" ca="1" si="5"/>
        <v/>
      </c>
    </row>
    <row r="175" spans="1:14" x14ac:dyDescent="0.25">
      <c r="A175" s="25" t="str">
        <f>IF(Registro_Compras!$R175&lt;&gt;"SI","",Registro_Compras!$B175)</f>
        <v/>
      </c>
      <c r="B175" t="str">
        <f>IF(Registro_Compras!$R175&lt;&gt;"SI","",Registro_Compras!$C175)</f>
        <v/>
      </c>
      <c r="C175" t="str">
        <f>IF(Registro_Compras!$R175&lt;&gt;"SI","",Registro_Compras!$D175)</f>
        <v/>
      </c>
      <c r="D175" t="str">
        <f>IF(Registro_Compras!$R175&lt;&gt;"SI","",Registro_Compras!$E175)</f>
        <v/>
      </c>
      <c r="E175" t="str">
        <f>IF(Registro_Compras!$R175&lt;&gt;"SI","",Registro_Compras!$G175)</f>
        <v/>
      </c>
      <c r="F175" s="31" t="str">
        <f>IF(Registro_Compras!$R175&lt;&gt;"SI","",Registro_Compras!$P175)</f>
        <v/>
      </c>
      <c r="G175" s="20" t="str">
        <f>IF(Registro_Compras!$R175&lt;&gt;"SI","",Registro_Compras!$O175)</f>
        <v/>
      </c>
      <c r="H175" s="20" t="str">
        <f>IF(Registro_Compras!$R175&lt;&gt;"SI","",Registro_Compras!$S175)</f>
        <v/>
      </c>
      <c r="I175" s="25" t="str">
        <f>IF(Registro_Compras!$R175&lt;&gt;"SI","",IF(Registro_Compras!$Y175="",WORKDAY(EOMONTH(Registro_Compras!$B175,0),5,Feriados),MIN(Registro_Compras!$Y175,WORKDAY(EOMONTH(Registro_Compras!$B175,0),5,Feriados))))</f>
        <v/>
      </c>
      <c r="J175" s="25" t="str">
        <f>IF(Registro_Compras!$R175&lt;&gt;"SI","",Registro_Compras!$X175)</f>
        <v/>
      </c>
      <c r="K175" t="str">
        <f>IF(Registro_Compras!$R175&lt;&gt;"SI","",IF(Registro_Compras!$X175="","PENDIENTE","DEPOSITADA"))</f>
        <v/>
      </c>
      <c r="L175" t="str">
        <f>IF(Registro_Compras!$R175&lt;&gt;"SI","",Registro_Compras!$Z175)</f>
        <v/>
      </c>
      <c r="M175" t="str">
        <f t="shared" ca="1" si="4"/>
        <v/>
      </c>
      <c r="N175" t="str">
        <f t="shared" ca="1" si="5"/>
        <v/>
      </c>
    </row>
    <row r="176" spans="1:14" x14ac:dyDescent="0.25">
      <c r="A176" s="25" t="str">
        <f>IF(Registro_Compras!$R176&lt;&gt;"SI","",Registro_Compras!$B176)</f>
        <v/>
      </c>
      <c r="B176" t="str">
        <f>IF(Registro_Compras!$R176&lt;&gt;"SI","",Registro_Compras!$C176)</f>
        <v/>
      </c>
      <c r="C176" t="str">
        <f>IF(Registro_Compras!$R176&lt;&gt;"SI","",Registro_Compras!$D176)</f>
        <v/>
      </c>
      <c r="D176" t="str">
        <f>IF(Registro_Compras!$R176&lt;&gt;"SI","",Registro_Compras!$E176)</f>
        <v/>
      </c>
      <c r="E176" t="str">
        <f>IF(Registro_Compras!$R176&lt;&gt;"SI","",Registro_Compras!$G176)</f>
        <v/>
      </c>
      <c r="F176" s="31" t="str">
        <f>IF(Registro_Compras!$R176&lt;&gt;"SI","",Registro_Compras!$P176)</f>
        <v/>
      </c>
      <c r="G176" s="20" t="str">
        <f>IF(Registro_Compras!$R176&lt;&gt;"SI","",Registro_Compras!$O176)</f>
        <v/>
      </c>
      <c r="H176" s="20" t="str">
        <f>IF(Registro_Compras!$R176&lt;&gt;"SI","",Registro_Compras!$S176)</f>
        <v/>
      </c>
      <c r="I176" s="25" t="str">
        <f>IF(Registro_Compras!$R176&lt;&gt;"SI","",IF(Registro_Compras!$Y176="",WORKDAY(EOMONTH(Registro_Compras!$B176,0),5,Feriados),MIN(Registro_Compras!$Y176,WORKDAY(EOMONTH(Registro_Compras!$B176,0),5,Feriados))))</f>
        <v/>
      </c>
      <c r="J176" s="25" t="str">
        <f>IF(Registro_Compras!$R176&lt;&gt;"SI","",Registro_Compras!$X176)</f>
        <v/>
      </c>
      <c r="K176" t="str">
        <f>IF(Registro_Compras!$R176&lt;&gt;"SI","",IF(Registro_Compras!$X176="","PENDIENTE","DEPOSITADA"))</f>
        <v/>
      </c>
      <c r="L176" t="str">
        <f>IF(Registro_Compras!$R176&lt;&gt;"SI","",Registro_Compras!$Z176)</f>
        <v/>
      </c>
      <c r="M176" t="str">
        <f t="shared" ca="1" si="4"/>
        <v/>
      </c>
      <c r="N176" t="str">
        <f t="shared" ca="1" si="5"/>
        <v/>
      </c>
    </row>
    <row r="177" spans="1:14" x14ac:dyDescent="0.25">
      <c r="A177" s="25" t="str">
        <f>IF(Registro_Compras!$R177&lt;&gt;"SI","",Registro_Compras!$B177)</f>
        <v/>
      </c>
      <c r="B177" t="str">
        <f>IF(Registro_Compras!$R177&lt;&gt;"SI","",Registro_Compras!$C177)</f>
        <v/>
      </c>
      <c r="C177" t="str">
        <f>IF(Registro_Compras!$R177&lt;&gt;"SI","",Registro_Compras!$D177)</f>
        <v/>
      </c>
      <c r="D177" t="str">
        <f>IF(Registro_Compras!$R177&lt;&gt;"SI","",Registro_Compras!$E177)</f>
        <v/>
      </c>
      <c r="E177" t="str">
        <f>IF(Registro_Compras!$R177&lt;&gt;"SI","",Registro_Compras!$G177)</f>
        <v/>
      </c>
      <c r="F177" s="31" t="str">
        <f>IF(Registro_Compras!$R177&lt;&gt;"SI","",Registro_Compras!$P177)</f>
        <v/>
      </c>
      <c r="G177" s="20" t="str">
        <f>IF(Registro_Compras!$R177&lt;&gt;"SI","",Registro_Compras!$O177)</f>
        <v/>
      </c>
      <c r="H177" s="20" t="str">
        <f>IF(Registro_Compras!$R177&lt;&gt;"SI","",Registro_Compras!$S177)</f>
        <v/>
      </c>
      <c r="I177" s="25" t="str">
        <f>IF(Registro_Compras!$R177&lt;&gt;"SI","",IF(Registro_Compras!$Y177="",WORKDAY(EOMONTH(Registro_Compras!$B177,0),5,Feriados),MIN(Registro_Compras!$Y177,WORKDAY(EOMONTH(Registro_Compras!$B177,0),5,Feriados))))</f>
        <v/>
      </c>
      <c r="J177" s="25" t="str">
        <f>IF(Registro_Compras!$R177&lt;&gt;"SI","",Registro_Compras!$X177)</f>
        <v/>
      </c>
      <c r="K177" t="str">
        <f>IF(Registro_Compras!$R177&lt;&gt;"SI","",IF(Registro_Compras!$X177="","PENDIENTE","DEPOSITADA"))</f>
        <v/>
      </c>
      <c r="L177" t="str">
        <f>IF(Registro_Compras!$R177&lt;&gt;"SI","",Registro_Compras!$Z177)</f>
        <v/>
      </c>
      <c r="M177" t="str">
        <f t="shared" ca="1" si="4"/>
        <v/>
      </c>
      <c r="N177" t="str">
        <f t="shared" ca="1" si="5"/>
        <v/>
      </c>
    </row>
    <row r="178" spans="1:14" x14ac:dyDescent="0.25">
      <c r="A178" s="25" t="str">
        <f>IF(Registro_Compras!$R178&lt;&gt;"SI","",Registro_Compras!$B178)</f>
        <v/>
      </c>
      <c r="B178" t="str">
        <f>IF(Registro_Compras!$R178&lt;&gt;"SI","",Registro_Compras!$C178)</f>
        <v/>
      </c>
      <c r="C178" t="str">
        <f>IF(Registro_Compras!$R178&lt;&gt;"SI","",Registro_Compras!$D178)</f>
        <v/>
      </c>
      <c r="D178" t="str">
        <f>IF(Registro_Compras!$R178&lt;&gt;"SI","",Registro_Compras!$E178)</f>
        <v/>
      </c>
      <c r="E178" t="str">
        <f>IF(Registro_Compras!$R178&lt;&gt;"SI","",Registro_Compras!$G178)</f>
        <v/>
      </c>
      <c r="F178" s="31" t="str">
        <f>IF(Registro_Compras!$R178&lt;&gt;"SI","",Registro_Compras!$P178)</f>
        <v/>
      </c>
      <c r="G178" s="20" t="str">
        <f>IF(Registro_Compras!$R178&lt;&gt;"SI","",Registro_Compras!$O178)</f>
        <v/>
      </c>
      <c r="H178" s="20" t="str">
        <f>IF(Registro_Compras!$R178&lt;&gt;"SI","",Registro_Compras!$S178)</f>
        <v/>
      </c>
      <c r="I178" s="25" t="str">
        <f>IF(Registro_Compras!$R178&lt;&gt;"SI","",IF(Registro_Compras!$Y178="",WORKDAY(EOMONTH(Registro_Compras!$B178,0),5,Feriados),MIN(Registro_Compras!$Y178,WORKDAY(EOMONTH(Registro_Compras!$B178,0),5,Feriados))))</f>
        <v/>
      </c>
      <c r="J178" s="25" t="str">
        <f>IF(Registro_Compras!$R178&lt;&gt;"SI","",Registro_Compras!$X178)</f>
        <v/>
      </c>
      <c r="K178" t="str">
        <f>IF(Registro_Compras!$R178&lt;&gt;"SI","",IF(Registro_Compras!$X178="","PENDIENTE","DEPOSITADA"))</f>
        <v/>
      </c>
      <c r="L178" t="str">
        <f>IF(Registro_Compras!$R178&lt;&gt;"SI","",Registro_Compras!$Z178)</f>
        <v/>
      </c>
      <c r="M178" t="str">
        <f t="shared" ca="1" si="4"/>
        <v/>
      </c>
      <c r="N178" t="str">
        <f t="shared" ca="1" si="5"/>
        <v/>
      </c>
    </row>
    <row r="179" spans="1:14" x14ac:dyDescent="0.25">
      <c r="A179" s="25" t="str">
        <f>IF(Registro_Compras!$R179&lt;&gt;"SI","",Registro_Compras!$B179)</f>
        <v/>
      </c>
      <c r="B179" t="str">
        <f>IF(Registro_Compras!$R179&lt;&gt;"SI","",Registro_Compras!$C179)</f>
        <v/>
      </c>
      <c r="C179" t="str">
        <f>IF(Registro_Compras!$R179&lt;&gt;"SI","",Registro_Compras!$D179)</f>
        <v/>
      </c>
      <c r="D179" t="str">
        <f>IF(Registro_Compras!$R179&lt;&gt;"SI","",Registro_Compras!$E179)</f>
        <v/>
      </c>
      <c r="E179" t="str">
        <f>IF(Registro_Compras!$R179&lt;&gt;"SI","",Registro_Compras!$G179)</f>
        <v/>
      </c>
      <c r="F179" s="31" t="str">
        <f>IF(Registro_Compras!$R179&lt;&gt;"SI","",Registro_Compras!$P179)</f>
        <v/>
      </c>
      <c r="G179" s="20" t="str">
        <f>IF(Registro_Compras!$R179&lt;&gt;"SI","",Registro_Compras!$O179)</f>
        <v/>
      </c>
      <c r="H179" s="20" t="str">
        <f>IF(Registro_Compras!$R179&lt;&gt;"SI","",Registro_Compras!$S179)</f>
        <v/>
      </c>
      <c r="I179" s="25" t="str">
        <f>IF(Registro_Compras!$R179&lt;&gt;"SI","",IF(Registro_Compras!$Y179="",WORKDAY(EOMONTH(Registro_Compras!$B179,0),5,Feriados),MIN(Registro_Compras!$Y179,WORKDAY(EOMONTH(Registro_Compras!$B179,0),5,Feriados))))</f>
        <v/>
      </c>
      <c r="J179" s="25" t="str">
        <f>IF(Registro_Compras!$R179&lt;&gt;"SI","",Registro_Compras!$X179)</f>
        <v/>
      </c>
      <c r="K179" t="str">
        <f>IF(Registro_Compras!$R179&lt;&gt;"SI","",IF(Registro_Compras!$X179="","PENDIENTE","DEPOSITADA"))</f>
        <v/>
      </c>
      <c r="L179" t="str">
        <f>IF(Registro_Compras!$R179&lt;&gt;"SI","",Registro_Compras!$Z179)</f>
        <v/>
      </c>
      <c r="M179" t="str">
        <f t="shared" ca="1" si="4"/>
        <v/>
      </c>
      <c r="N179" t="str">
        <f t="shared" ca="1" si="5"/>
        <v/>
      </c>
    </row>
    <row r="180" spans="1:14" x14ac:dyDescent="0.25">
      <c r="A180" s="25" t="str">
        <f>IF(Registro_Compras!$R180&lt;&gt;"SI","",Registro_Compras!$B180)</f>
        <v/>
      </c>
      <c r="B180" t="str">
        <f>IF(Registro_Compras!$R180&lt;&gt;"SI","",Registro_Compras!$C180)</f>
        <v/>
      </c>
      <c r="C180" t="str">
        <f>IF(Registro_Compras!$R180&lt;&gt;"SI","",Registro_Compras!$D180)</f>
        <v/>
      </c>
      <c r="D180" t="str">
        <f>IF(Registro_Compras!$R180&lt;&gt;"SI","",Registro_Compras!$E180)</f>
        <v/>
      </c>
      <c r="E180" t="str">
        <f>IF(Registro_Compras!$R180&lt;&gt;"SI","",Registro_Compras!$G180)</f>
        <v/>
      </c>
      <c r="F180" s="31" t="str">
        <f>IF(Registro_Compras!$R180&lt;&gt;"SI","",Registro_Compras!$P180)</f>
        <v/>
      </c>
      <c r="G180" s="20" t="str">
        <f>IF(Registro_Compras!$R180&lt;&gt;"SI","",Registro_Compras!$O180)</f>
        <v/>
      </c>
      <c r="H180" s="20" t="str">
        <f>IF(Registro_Compras!$R180&lt;&gt;"SI","",Registro_Compras!$S180)</f>
        <v/>
      </c>
      <c r="I180" s="25" t="str">
        <f>IF(Registro_Compras!$R180&lt;&gt;"SI","",IF(Registro_Compras!$Y180="",WORKDAY(EOMONTH(Registro_Compras!$B180,0),5,Feriados),MIN(Registro_Compras!$Y180,WORKDAY(EOMONTH(Registro_Compras!$B180,0),5,Feriados))))</f>
        <v/>
      </c>
      <c r="J180" s="25" t="str">
        <f>IF(Registro_Compras!$R180&lt;&gt;"SI","",Registro_Compras!$X180)</f>
        <v/>
      </c>
      <c r="K180" t="str">
        <f>IF(Registro_Compras!$R180&lt;&gt;"SI","",IF(Registro_Compras!$X180="","PENDIENTE","DEPOSITADA"))</f>
        <v/>
      </c>
      <c r="L180" t="str">
        <f>IF(Registro_Compras!$R180&lt;&gt;"SI","",Registro_Compras!$Z180)</f>
        <v/>
      </c>
      <c r="M180" t="str">
        <f t="shared" ca="1" si="4"/>
        <v/>
      </c>
      <c r="N180" t="str">
        <f t="shared" ca="1" si="5"/>
        <v/>
      </c>
    </row>
    <row r="181" spans="1:14" x14ac:dyDescent="0.25">
      <c r="A181" s="25" t="str">
        <f>IF(Registro_Compras!$R181&lt;&gt;"SI","",Registro_Compras!$B181)</f>
        <v/>
      </c>
      <c r="B181" t="str">
        <f>IF(Registro_Compras!$R181&lt;&gt;"SI","",Registro_Compras!$C181)</f>
        <v/>
      </c>
      <c r="C181" t="str">
        <f>IF(Registro_Compras!$R181&lt;&gt;"SI","",Registro_Compras!$D181)</f>
        <v/>
      </c>
      <c r="D181" t="str">
        <f>IF(Registro_Compras!$R181&lt;&gt;"SI","",Registro_Compras!$E181)</f>
        <v/>
      </c>
      <c r="E181" t="str">
        <f>IF(Registro_Compras!$R181&lt;&gt;"SI","",Registro_Compras!$G181)</f>
        <v/>
      </c>
      <c r="F181" s="31" t="str">
        <f>IF(Registro_Compras!$R181&lt;&gt;"SI","",Registro_Compras!$P181)</f>
        <v/>
      </c>
      <c r="G181" s="20" t="str">
        <f>IF(Registro_Compras!$R181&lt;&gt;"SI","",Registro_Compras!$O181)</f>
        <v/>
      </c>
      <c r="H181" s="20" t="str">
        <f>IF(Registro_Compras!$R181&lt;&gt;"SI","",Registro_Compras!$S181)</f>
        <v/>
      </c>
      <c r="I181" s="25" t="str">
        <f>IF(Registro_Compras!$R181&lt;&gt;"SI","",IF(Registro_Compras!$Y181="",WORKDAY(EOMONTH(Registro_Compras!$B181,0),5,Feriados),MIN(Registro_Compras!$Y181,WORKDAY(EOMONTH(Registro_Compras!$B181,0),5,Feriados))))</f>
        <v/>
      </c>
      <c r="J181" s="25" t="str">
        <f>IF(Registro_Compras!$R181&lt;&gt;"SI","",Registro_Compras!$X181)</f>
        <v/>
      </c>
      <c r="K181" t="str">
        <f>IF(Registro_Compras!$R181&lt;&gt;"SI","",IF(Registro_Compras!$X181="","PENDIENTE","DEPOSITADA"))</f>
        <v/>
      </c>
      <c r="L181" t="str">
        <f>IF(Registro_Compras!$R181&lt;&gt;"SI","",Registro_Compras!$Z181)</f>
        <v/>
      </c>
      <c r="M181" t="str">
        <f t="shared" ca="1" si="4"/>
        <v/>
      </c>
      <c r="N181" t="str">
        <f t="shared" ca="1" si="5"/>
        <v/>
      </c>
    </row>
    <row r="182" spans="1:14" x14ac:dyDescent="0.25">
      <c r="A182" s="25" t="str">
        <f>IF(Registro_Compras!$R182&lt;&gt;"SI","",Registro_Compras!$B182)</f>
        <v/>
      </c>
      <c r="B182" t="str">
        <f>IF(Registro_Compras!$R182&lt;&gt;"SI","",Registro_Compras!$C182)</f>
        <v/>
      </c>
      <c r="C182" t="str">
        <f>IF(Registro_Compras!$R182&lt;&gt;"SI","",Registro_Compras!$D182)</f>
        <v/>
      </c>
      <c r="D182" t="str">
        <f>IF(Registro_Compras!$R182&lt;&gt;"SI","",Registro_Compras!$E182)</f>
        <v/>
      </c>
      <c r="E182" t="str">
        <f>IF(Registro_Compras!$R182&lt;&gt;"SI","",Registro_Compras!$G182)</f>
        <v/>
      </c>
      <c r="F182" s="31" t="str">
        <f>IF(Registro_Compras!$R182&lt;&gt;"SI","",Registro_Compras!$P182)</f>
        <v/>
      </c>
      <c r="G182" s="20" t="str">
        <f>IF(Registro_Compras!$R182&lt;&gt;"SI","",Registro_Compras!$O182)</f>
        <v/>
      </c>
      <c r="H182" s="20" t="str">
        <f>IF(Registro_Compras!$R182&lt;&gt;"SI","",Registro_Compras!$S182)</f>
        <v/>
      </c>
      <c r="I182" s="25" t="str">
        <f>IF(Registro_Compras!$R182&lt;&gt;"SI","",IF(Registro_Compras!$Y182="",WORKDAY(EOMONTH(Registro_Compras!$B182,0),5,Feriados),MIN(Registro_Compras!$Y182,WORKDAY(EOMONTH(Registro_Compras!$B182,0),5,Feriados))))</f>
        <v/>
      </c>
      <c r="J182" s="25" t="str">
        <f>IF(Registro_Compras!$R182&lt;&gt;"SI","",Registro_Compras!$X182)</f>
        <v/>
      </c>
      <c r="K182" t="str">
        <f>IF(Registro_Compras!$R182&lt;&gt;"SI","",IF(Registro_Compras!$X182="","PENDIENTE","DEPOSITADA"))</f>
        <v/>
      </c>
      <c r="L182" t="str">
        <f>IF(Registro_Compras!$R182&lt;&gt;"SI","",Registro_Compras!$Z182)</f>
        <v/>
      </c>
      <c r="M182" t="str">
        <f t="shared" ca="1" si="4"/>
        <v/>
      </c>
      <c r="N182" t="str">
        <f t="shared" ca="1" si="5"/>
        <v/>
      </c>
    </row>
    <row r="183" spans="1:14" x14ac:dyDescent="0.25">
      <c r="A183" s="25" t="str">
        <f>IF(Registro_Compras!$R183&lt;&gt;"SI","",Registro_Compras!$B183)</f>
        <v/>
      </c>
      <c r="B183" t="str">
        <f>IF(Registro_Compras!$R183&lt;&gt;"SI","",Registro_Compras!$C183)</f>
        <v/>
      </c>
      <c r="C183" t="str">
        <f>IF(Registro_Compras!$R183&lt;&gt;"SI","",Registro_Compras!$D183)</f>
        <v/>
      </c>
      <c r="D183" t="str">
        <f>IF(Registro_Compras!$R183&lt;&gt;"SI","",Registro_Compras!$E183)</f>
        <v/>
      </c>
      <c r="E183" t="str">
        <f>IF(Registro_Compras!$R183&lt;&gt;"SI","",Registro_Compras!$G183)</f>
        <v/>
      </c>
      <c r="F183" s="31" t="str">
        <f>IF(Registro_Compras!$R183&lt;&gt;"SI","",Registro_Compras!$P183)</f>
        <v/>
      </c>
      <c r="G183" s="20" t="str">
        <f>IF(Registro_Compras!$R183&lt;&gt;"SI","",Registro_Compras!$O183)</f>
        <v/>
      </c>
      <c r="H183" s="20" t="str">
        <f>IF(Registro_Compras!$R183&lt;&gt;"SI","",Registro_Compras!$S183)</f>
        <v/>
      </c>
      <c r="I183" s="25" t="str">
        <f>IF(Registro_Compras!$R183&lt;&gt;"SI","",IF(Registro_Compras!$Y183="",WORKDAY(EOMONTH(Registro_Compras!$B183,0),5,Feriados),MIN(Registro_Compras!$Y183,WORKDAY(EOMONTH(Registro_Compras!$B183,0),5,Feriados))))</f>
        <v/>
      </c>
      <c r="J183" s="25" t="str">
        <f>IF(Registro_Compras!$R183&lt;&gt;"SI","",Registro_Compras!$X183)</f>
        <v/>
      </c>
      <c r="K183" t="str">
        <f>IF(Registro_Compras!$R183&lt;&gt;"SI","",IF(Registro_Compras!$X183="","PENDIENTE","DEPOSITADA"))</f>
        <v/>
      </c>
      <c r="L183" t="str">
        <f>IF(Registro_Compras!$R183&lt;&gt;"SI","",Registro_Compras!$Z183)</f>
        <v/>
      </c>
      <c r="M183" t="str">
        <f t="shared" ca="1" si="4"/>
        <v/>
      </c>
      <c r="N183" t="str">
        <f t="shared" ca="1" si="5"/>
        <v/>
      </c>
    </row>
    <row r="184" spans="1:14" x14ac:dyDescent="0.25">
      <c r="A184" s="25" t="str">
        <f>IF(Registro_Compras!$R184&lt;&gt;"SI","",Registro_Compras!$B184)</f>
        <v/>
      </c>
      <c r="B184" t="str">
        <f>IF(Registro_Compras!$R184&lt;&gt;"SI","",Registro_Compras!$C184)</f>
        <v/>
      </c>
      <c r="C184" t="str">
        <f>IF(Registro_Compras!$R184&lt;&gt;"SI","",Registro_Compras!$D184)</f>
        <v/>
      </c>
      <c r="D184" t="str">
        <f>IF(Registro_Compras!$R184&lt;&gt;"SI","",Registro_Compras!$E184)</f>
        <v/>
      </c>
      <c r="E184" t="str">
        <f>IF(Registro_Compras!$R184&lt;&gt;"SI","",Registro_Compras!$G184)</f>
        <v/>
      </c>
      <c r="F184" s="31" t="str">
        <f>IF(Registro_Compras!$R184&lt;&gt;"SI","",Registro_Compras!$P184)</f>
        <v/>
      </c>
      <c r="G184" s="20" t="str">
        <f>IF(Registro_Compras!$R184&lt;&gt;"SI","",Registro_Compras!$O184)</f>
        <v/>
      </c>
      <c r="H184" s="20" t="str">
        <f>IF(Registro_Compras!$R184&lt;&gt;"SI","",Registro_Compras!$S184)</f>
        <v/>
      </c>
      <c r="I184" s="25" t="str">
        <f>IF(Registro_Compras!$R184&lt;&gt;"SI","",IF(Registro_Compras!$Y184="",WORKDAY(EOMONTH(Registro_Compras!$B184,0),5,Feriados),MIN(Registro_Compras!$Y184,WORKDAY(EOMONTH(Registro_Compras!$B184,0),5,Feriados))))</f>
        <v/>
      </c>
      <c r="J184" s="25" t="str">
        <f>IF(Registro_Compras!$R184&lt;&gt;"SI","",Registro_Compras!$X184)</f>
        <v/>
      </c>
      <c r="K184" t="str">
        <f>IF(Registro_Compras!$R184&lt;&gt;"SI","",IF(Registro_Compras!$X184="","PENDIENTE","DEPOSITADA"))</f>
        <v/>
      </c>
      <c r="L184" t="str">
        <f>IF(Registro_Compras!$R184&lt;&gt;"SI","",Registro_Compras!$Z184)</f>
        <v/>
      </c>
      <c r="M184" t="str">
        <f t="shared" ca="1" si="4"/>
        <v/>
      </c>
      <c r="N184" t="str">
        <f t="shared" ca="1" si="5"/>
        <v/>
      </c>
    </row>
    <row r="185" spans="1:14" x14ac:dyDescent="0.25">
      <c r="A185" s="25" t="str">
        <f>IF(Registro_Compras!$R185&lt;&gt;"SI","",Registro_Compras!$B185)</f>
        <v/>
      </c>
      <c r="B185" t="str">
        <f>IF(Registro_Compras!$R185&lt;&gt;"SI","",Registro_Compras!$C185)</f>
        <v/>
      </c>
      <c r="C185" t="str">
        <f>IF(Registro_Compras!$R185&lt;&gt;"SI","",Registro_Compras!$D185)</f>
        <v/>
      </c>
      <c r="D185" t="str">
        <f>IF(Registro_Compras!$R185&lt;&gt;"SI","",Registro_Compras!$E185)</f>
        <v/>
      </c>
      <c r="E185" t="str">
        <f>IF(Registro_Compras!$R185&lt;&gt;"SI","",Registro_Compras!$G185)</f>
        <v/>
      </c>
      <c r="F185" s="31" t="str">
        <f>IF(Registro_Compras!$R185&lt;&gt;"SI","",Registro_Compras!$P185)</f>
        <v/>
      </c>
      <c r="G185" s="20" t="str">
        <f>IF(Registro_Compras!$R185&lt;&gt;"SI","",Registro_Compras!$O185)</f>
        <v/>
      </c>
      <c r="H185" s="20" t="str">
        <f>IF(Registro_Compras!$R185&lt;&gt;"SI","",Registro_Compras!$S185)</f>
        <v/>
      </c>
      <c r="I185" s="25" t="str">
        <f>IF(Registro_Compras!$R185&lt;&gt;"SI","",IF(Registro_Compras!$Y185="",WORKDAY(EOMONTH(Registro_Compras!$B185,0),5,Feriados),MIN(Registro_Compras!$Y185,WORKDAY(EOMONTH(Registro_Compras!$B185,0),5,Feriados))))</f>
        <v/>
      </c>
      <c r="J185" s="25" t="str">
        <f>IF(Registro_Compras!$R185&lt;&gt;"SI","",Registro_Compras!$X185)</f>
        <v/>
      </c>
      <c r="K185" t="str">
        <f>IF(Registro_Compras!$R185&lt;&gt;"SI","",IF(Registro_Compras!$X185="","PENDIENTE","DEPOSITADA"))</f>
        <v/>
      </c>
      <c r="L185" t="str">
        <f>IF(Registro_Compras!$R185&lt;&gt;"SI","",Registro_Compras!$Z185)</f>
        <v/>
      </c>
      <c r="M185" t="str">
        <f t="shared" ca="1" si="4"/>
        <v/>
      </c>
      <c r="N185" t="str">
        <f t="shared" ca="1" si="5"/>
        <v/>
      </c>
    </row>
    <row r="186" spans="1:14" x14ac:dyDescent="0.25">
      <c r="A186" s="25" t="str">
        <f>IF(Registro_Compras!$R186&lt;&gt;"SI","",Registro_Compras!$B186)</f>
        <v/>
      </c>
      <c r="B186" t="str">
        <f>IF(Registro_Compras!$R186&lt;&gt;"SI","",Registro_Compras!$C186)</f>
        <v/>
      </c>
      <c r="C186" t="str">
        <f>IF(Registro_Compras!$R186&lt;&gt;"SI","",Registro_Compras!$D186)</f>
        <v/>
      </c>
      <c r="D186" t="str">
        <f>IF(Registro_Compras!$R186&lt;&gt;"SI","",Registro_Compras!$E186)</f>
        <v/>
      </c>
      <c r="E186" t="str">
        <f>IF(Registro_Compras!$R186&lt;&gt;"SI","",Registro_Compras!$G186)</f>
        <v/>
      </c>
      <c r="F186" s="31" t="str">
        <f>IF(Registro_Compras!$R186&lt;&gt;"SI","",Registro_Compras!$P186)</f>
        <v/>
      </c>
      <c r="G186" s="20" t="str">
        <f>IF(Registro_Compras!$R186&lt;&gt;"SI","",Registro_Compras!$O186)</f>
        <v/>
      </c>
      <c r="H186" s="20" t="str">
        <f>IF(Registro_Compras!$R186&lt;&gt;"SI","",Registro_Compras!$S186)</f>
        <v/>
      </c>
      <c r="I186" s="25" t="str">
        <f>IF(Registro_Compras!$R186&lt;&gt;"SI","",IF(Registro_Compras!$Y186="",WORKDAY(EOMONTH(Registro_Compras!$B186,0),5,Feriados),MIN(Registro_Compras!$Y186,WORKDAY(EOMONTH(Registro_Compras!$B186,0),5,Feriados))))</f>
        <v/>
      </c>
      <c r="J186" s="25" t="str">
        <f>IF(Registro_Compras!$R186&lt;&gt;"SI","",Registro_Compras!$X186)</f>
        <v/>
      </c>
      <c r="K186" t="str">
        <f>IF(Registro_Compras!$R186&lt;&gt;"SI","",IF(Registro_Compras!$X186="","PENDIENTE","DEPOSITADA"))</f>
        <v/>
      </c>
      <c r="L186" t="str">
        <f>IF(Registro_Compras!$R186&lt;&gt;"SI","",Registro_Compras!$Z186)</f>
        <v/>
      </c>
      <c r="M186" t="str">
        <f t="shared" ca="1" si="4"/>
        <v/>
      </c>
      <c r="N186" t="str">
        <f t="shared" ca="1" si="5"/>
        <v/>
      </c>
    </row>
    <row r="187" spans="1:14" x14ac:dyDescent="0.25">
      <c r="A187" s="25" t="str">
        <f>IF(Registro_Compras!$R187&lt;&gt;"SI","",Registro_Compras!$B187)</f>
        <v/>
      </c>
      <c r="B187" t="str">
        <f>IF(Registro_Compras!$R187&lt;&gt;"SI","",Registro_Compras!$C187)</f>
        <v/>
      </c>
      <c r="C187" t="str">
        <f>IF(Registro_Compras!$R187&lt;&gt;"SI","",Registro_Compras!$D187)</f>
        <v/>
      </c>
      <c r="D187" t="str">
        <f>IF(Registro_Compras!$R187&lt;&gt;"SI","",Registro_Compras!$E187)</f>
        <v/>
      </c>
      <c r="E187" t="str">
        <f>IF(Registro_Compras!$R187&lt;&gt;"SI","",Registro_Compras!$G187)</f>
        <v/>
      </c>
      <c r="F187" s="31" t="str">
        <f>IF(Registro_Compras!$R187&lt;&gt;"SI","",Registro_Compras!$P187)</f>
        <v/>
      </c>
      <c r="G187" s="20" t="str">
        <f>IF(Registro_Compras!$R187&lt;&gt;"SI","",Registro_Compras!$O187)</f>
        <v/>
      </c>
      <c r="H187" s="20" t="str">
        <f>IF(Registro_Compras!$R187&lt;&gt;"SI","",Registro_Compras!$S187)</f>
        <v/>
      </c>
      <c r="I187" s="25" t="str">
        <f>IF(Registro_Compras!$R187&lt;&gt;"SI","",IF(Registro_Compras!$Y187="",WORKDAY(EOMONTH(Registro_Compras!$B187,0),5,Feriados),MIN(Registro_Compras!$Y187,WORKDAY(EOMONTH(Registro_Compras!$B187,0),5,Feriados))))</f>
        <v/>
      </c>
      <c r="J187" s="25" t="str">
        <f>IF(Registro_Compras!$R187&lt;&gt;"SI","",Registro_Compras!$X187)</f>
        <v/>
      </c>
      <c r="K187" t="str">
        <f>IF(Registro_Compras!$R187&lt;&gt;"SI","",IF(Registro_Compras!$X187="","PENDIENTE","DEPOSITADA"))</f>
        <v/>
      </c>
      <c r="L187" t="str">
        <f>IF(Registro_Compras!$R187&lt;&gt;"SI","",Registro_Compras!$Z187)</f>
        <v/>
      </c>
      <c r="M187" t="str">
        <f t="shared" ca="1" si="4"/>
        <v/>
      </c>
      <c r="N187" t="str">
        <f t="shared" ca="1" si="5"/>
        <v/>
      </c>
    </row>
    <row r="188" spans="1:14" x14ac:dyDescent="0.25">
      <c r="A188" s="25" t="str">
        <f>IF(Registro_Compras!$R188&lt;&gt;"SI","",Registro_Compras!$B188)</f>
        <v/>
      </c>
      <c r="B188" t="str">
        <f>IF(Registro_Compras!$R188&lt;&gt;"SI","",Registro_Compras!$C188)</f>
        <v/>
      </c>
      <c r="C188" t="str">
        <f>IF(Registro_Compras!$R188&lt;&gt;"SI","",Registro_Compras!$D188)</f>
        <v/>
      </c>
      <c r="D188" t="str">
        <f>IF(Registro_Compras!$R188&lt;&gt;"SI","",Registro_Compras!$E188)</f>
        <v/>
      </c>
      <c r="E188" t="str">
        <f>IF(Registro_Compras!$R188&lt;&gt;"SI","",Registro_Compras!$G188)</f>
        <v/>
      </c>
      <c r="F188" s="31" t="str">
        <f>IF(Registro_Compras!$R188&lt;&gt;"SI","",Registro_Compras!$P188)</f>
        <v/>
      </c>
      <c r="G188" s="20" t="str">
        <f>IF(Registro_Compras!$R188&lt;&gt;"SI","",Registro_Compras!$O188)</f>
        <v/>
      </c>
      <c r="H188" s="20" t="str">
        <f>IF(Registro_Compras!$R188&lt;&gt;"SI","",Registro_Compras!$S188)</f>
        <v/>
      </c>
      <c r="I188" s="25" t="str">
        <f>IF(Registro_Compras!$R188&lt;&gt;"SI","",IF(Registro_Compras!$Y188="",WORKDAY(EOMONTH(Registro_Compras!$B188,0),5,Feriados),MIN(Registro_Compras!$Y188,WORKDAY(EOMONTH(Registro_Compras!$B188,0),5,Feriados))))</f>
        <v/>
      </c>
      <c r="J188" s="25" t="str">
        <f>IF(Registro_Compras!$R188&lt;&gt;"SI","",Registro_Compras!$X188)</f>
        <v/>
      </c>
      <c r="K188" t="str">
        <f>IF(Registro_Compras!$R188&lt;&gt;"SI","",IF(Registro_Compras!$X188="","PENDIENTE","DEPOSITADA"))</f>
        <v/>
      </c>
      <c r="L188" t="str">
        <f>IF(Registro_Compras!$R188&lt;&gt;"SI","",Registro_Compras!$Z188)</f>
        <v/>
      </c>
      <c r="M188" t="str">
        <f t="shared" ca="1" si="4"/>
        <v/>
      </c>
      <c r="N188" t="str">
        <f t="shared" ca="1" si="5"/>
        <v/>
      </c>
    </row>
    <row r="189" spans="1:14" x14ac:dyDescent="0.25">
      <c r="A189" s="25" t="str">
        <f>IF(Registro_Compras!$R189&lt;&gt;"SI","",Registro_Compras!$B189)</f>
        <v/>
      </c>
      <c r="B189" t="str">
        <f>IF(Registro_Compras!$R189&lt;&gt;"SI","",Registro_Compras!$C189)</f>
        <v/>
      </c>
      <c r="C189" t="str">
        <f>IF(Registro_Compras!$R189&lt;&gt;"SI","",Registro_Compras!$D189)</f>
        <v/>
      </c>
      <c r="D189" t="str">
        <f>IF(Registro_Compras!$R189&lt;&gt;"SI","",Registro_Compras!$E189)</f>
        <v/>
      </c>
      <c r="E189" t="str">
        <f>IF(Registro_Compras!$R189&lt;&gt;"SI","",Registro_Compras!$G189)</f>
        <v/>
      </c>
      <c r="F189" s="31" t="str">
        <f>IF(Registro_Compras!$R189&lt;&gt;"SI","",Registro_Compras!$P189)</f>
        <v/>
      </c>
      <c r="G189" s="20" t="str">
        <f>IF(Registro_Compras!$R189&lt;&gt;"SI","",Registro_Compras!$O189)</f>
        <v/>
      </c>
      <c r="H189" s="20" t="str">
        <f>IF(Registro_Compras!$R189&lt;&gt;"SI","",Registro_Compras!$S189)</f>
        <v/>
      </c>
      <c r="I189" s="25" t="str">
        <f>IF(Registro_Compras!$R189&lt;&gt;"SI","",IF(Registro_Compras!$Y189="",WORKDAY(EOMONTH(Registro_Compras!$B189,0),5,Feriados),MIN(Registro_Compras!$Y189,WORKDAY(EOMONTH(Registro_Compras!$B189,0),5,Feriados))))</f>
        <v/>
      </c>
      <c r="J189" s="25" t="str">
        <f>IF(Registro_Compras!$R189&lt;&gt;"SI","",Registro_Compras!$X189)</f>
        <v/>
      </c>
      <c r="K189" t="str">
        <f>IF(Registro_Compras!$R189&lt;&gt;"SI","",IF(Registro_Compras!$X189="","PENDIENTE","DEPOSITADA"))</f>
        <v/>
      </c>
      <c r="L189" t="str">
        <f>IF(Registro_Compras!$R189&lt;&gt;"SI","",Registro_Compras!$Z189)</f>
        <v/>
      </c>
      <c r="M189" t="str">
        <f t="shared" ca="1" si="4"/>
        <v/>
      </c>
      <c r="N189" t="str">
        <f t="shared" ca="1" si="5"/>
        <v/>
      </c>
    </row>
    <row r="190" spans="1:14" x14ac:dyDescent="0.25">
      <c r="A190" s="25" t="str">
        <f>IF(Registro_Compras!$R190&lt;&gt;"SI","",Registro_Compras!$B190)</f>
        <v/>
      </c>
      <c r="B190" t="str">
        <f>IF(Registro_Compras!$R190&lt;&gt;"SI","",Registro_Compras!$C190)</f>
        <v/>
      </c>
      <c r="C190" t="str">
        <f>IF(Registro_Compras!$R190&lt;&gt;"SI","",Registro_Compras!$D190)</f>
        <v/>
      </c>
      <c r="D190" t="str">
        <f>IF(Registro_Compras!$R190&lt;&gt;"SI","",Registro_Compras!$E190)</f>
        <v/>
      </c>
      <c r="E190" t="str">
        <f>IF(Registro_Compras!$R190&lt;&gt;"SI","",Registro_Compras!$G190)</f>
        <v/>
      </c>
      <c r="F190" s="31" t="str">
        <f>IF(Registro_Compras!$R190&lt;&gt;"SI","",Registro_Compras!$P190)</f>
        <v/>
      </c>
      <c r="G190" s="20" t="str">
        <f>IF(Registro_Compras!$R190&lt;&gt;"SI","",Registro_Compras!$O190)</f>
        <v/>
      </c>
      <c r="H190" s="20" t="str">
        <f>IF(Registro_Compras!$R190&lt;&gt;"SI","",Registro_Compras!$S190)</f>
        <v/>
      </c>
      <c r="I190" s="25" t="str">
        <f>IF(Registro_Compras!$R190&lt;&gt;"SI","",IF(Registro_Compras!$Y190="",WORKDAY(EOMONTH(Registro_Compras!$B190,0),5,Feriados),MIN(Registro_Compras!$Y190,WORKDAY(EOMONTH(Registro_Compras!$B190,0),5,Feriados))))</f>
        <v/>
      </c>
      <c r="J190" s="25" t="str">
        <f>IF(Registro_Compras!$R190&lt;&gt;"SI","",Registro_Compras!$X190)</f>
        <v/>
      </c>
      <c r="K190" t="str">
        <f>IF(Registro_Compras!$R190&lt;&gt;"SI","",IF(Registro_Compras!$X190="","PENDIENTE","DEPOSITADA"))</f>
        <v/>
      </c>
      <c r="L190" t="str">
        <f>IF(Registro_Compras!$R190&lt;&gt;"SI","",Registro_Compras!$Z190)</f>
        <v/>
      </c>
      <c r="M190" t="str">
        <f t="shared" ca="1" si="4"/>
        <v/>
      </c>
      <c r="N190" t="str">
        <f t="shared" ca="1" si="5"/>
        <v/>
      </c>
    </row>
    <row r="191" spans="1:14" x14ac:dyDescent="0.25">
      <c r="A191" s="25" t="str">
        <f>IF(Registro_Compras!$R191&lt;&gt;"SI","",Registro_Compras!$B191)</f>
        <v/>
      </c>
      <c r="B191" t="str">
        <f>IF(Registro_Compras!$R191&lt;&gt;"SI","",Registro_Compras!$C191)</f>
        <v/>
      </c>
      <c r="C191" t="str">
        <f>IF(Registro_Compras!$R191&lt;&gt;"SI","",Registro_Compras!$D191)</f>
        <v/>
      </c>
      <c r="D191" t="str">
        <f>IF(Registro_Compras!$R191&lt;&gt;"SI","",Registro_Compras!$E191)</f>
        <v/>
      </c>
      <c r="E191" t="str">
        <f>IF(Registro_Compras!$R191&lt;&gt;"SI","",Registro_Compras!$G191)</f>
        <v/>
      </c>
      <c r="F191" s="31" t="str">
        <f>IF(Registro_Compras!$R191&lt;&gt;"SI","",Registro_Compras!$P191)</f>
        <v/>
      </c>
      <c r="G191" s="20" t="str">
        <f>IF(Registro_Compras!$R191&lt;&gt;"SI","",Registro_Compras!$O191)</f>
        <v/>
      </c>
      <c r="H191" s="20" t="str">
        <f>IF(Registro_Compras!$R191&lt;&gt;"SI","",Registro_Compras!$S191)</f>
        <v/>
      </c>
      <c r="I191" s="25" t="str">
        <f>IF(Registro_Compras!$R191&lt;&gt;"SI","",IF(Registro_Compras!$Y191="",WORKDAY(EOMONTH(Registro_Compras!$B191,0),5,Feriados),MIN(Registro_Compras!$Y191,WORKDAY(EOMONTH(Registro_Compras!$B191,0),5,Feriados))))</f>
        <v/>
      </c>
      <c r="J191" s="25" t="str">
        <f>IF(Registro_Compras!$R191&lt;&gt;"SI","",Registro_Compras!$X191)</f>
        <v/>
      </c>
      <c r="K191" t="str">
        <f>IF(Registro_Compras!$R191&lt;&gt;"SI","",IF(Registro_Compras!$X191="","PENDIENTE","DEPOSITADA"))</f>
        <v/>
      </c>
      <c r="L191" t="str">
        <f>IF(Registro_Compras!$R191&lt;&gt;"SI","",Registro_Compras!$Z191)</f>
        <v/>
      </c>
      <c r="M191" t="str">
        <f t="shared" ca="1" si="4"/>
        <v/>
      </c>
      <c r="N191" t="str">
        <f t="shared" ca="1" si="5"/>
        <v/>
      </c>
    </row>
    <row r="192" spans="1:14" x14ac:dyDescent="0.25">
      <c r="A192" s="25" t="str">
        <f>IF(Registro_Compras!$R192&lt;&gt;"SI","",Registro_Compras!$B192)</f>
        <v/>
      </c>
      <c r="B192" t="str">
        <f>IF(Registro_Compras!$R192&lt;&gt;"SI","",Registro_Compras!$C192)</f>
        <v/>
      </c>
      <c r="C192" t="str">
        <f>IF(Registro_Compras!$R192&lt;&gt;"SI","",Registro_Compras!$D192)</f>
        <v/>
      </c>
      <c r="D192" t="str">
        <f>IF(Registro_Compras!$R192&lt;&gt;"SI","",Registro_Compras!$E192)</f>
        <v/>
      </c>
      <c r="E192" t="str">
        <f>IF(Registro_Compras!$R192&lt;&gt;"SI","",Registro_Compras!$G192)</f>
        <v/>
      </c>
      <c r="F192" s="31" t="str">
        <f>IF(Registro_Compras!$R192&lt;&gt;"SI","",Registro_Compras!$P192)</f>
        <v/>
      </c>
      <c r="G192" s="20" t="str">
        <f>IF(Registro_Compras!$R192&lt;&gt;"SI","",Registro_Compras!$O192)</f>
        <v/>
      </c>
      <c r="H192" s="20" t="str">
        <f>IF(Registro_Compras!$R192&lt;&gt;"SI","",Registro_Compras!$S192)</f>
        <v/>
      </c>
      <c r="I192" s="25" t="str">
        <f>IF(Registro_Compras!$R192&lt;&gt;"SI","",IF(Registro_Compras!$Y192="",WORKDAY(EOMONTH(Registro_Compras!$B192,0),5,Feriados),MIN(Registro_Compras!$Y192,WORKDAY(EOMONTH(Registro_Compras!$B192,0),5,Feriados))))</f>
        <v/>
      </c>
      <c r="J192" s="25" t="str">
        <f>IF(Registro_Compras!$R192&lt;&gt;"SI","",Registro_Compras!$X192)</f>
        <v/>
      </c>
      <c r="K192" t="str">
        <f>IF(Registro_Compras!$R192&lt;&gt;"SI","",IF(Registro_Compras!$X192="","PENDIENTE","DEPOSITADA"))</f>
        <v/>
      </c>
      <c r="L192" t="str">
        <f>IF(Registro_Compras!$R192&lt;&gt;"SI","",Registro_Compras!$Z192)</f>
        <v/>
      </c>
      <c r="M192" t="str">
        <f t="shared" ca="1" si="4"/>
        <v/>
      </c>
      <c r="N192" t="str">
        <f t="shared" ca="1" si="5"/>
        <v/>
      </c>
    </row>
    <row r="193" spans="1:14" x14ac:dyDescent="0.25">
      <c r="A193" s="25" t="str">
        <f>IF(Registro_Compras!$R193&lt;&gt;"SI","",Registro_Compras!$B193)</f>
        <v/>
      </c>
      <c r="B193" t="str">
        <f>IF(Registro_Compras!$R193&lt;&gt;"SI","",Registro_Compras!$C193)</f>
        <v/>
      </c>
      <c r="C193" t="str">
        <f>IF(Registro_Compras!$R193&lt;&gt;"SI","",Registro_Compras!$D193)</f>
        <v/>
      </c>
      <c r="D193" t="str">
        <f>IF(Registro_Compras!$R193&lt;&gt;"SI","",Registro_Compras!$E193)</f>
        <v/>
      </c>
      <c r="E193" t="str">
        <f>IF(Registro_Compras!$R193&lt;&gt;"SI","",Registro_Compras!$G193)</f>
        <v/>
      </c>
      <c r="F193" s="31" t="str">
        <f>IF(Registro_Compras!$R193&lt;&gt;"SI","",Registro_Compras!$P193)</f>
        <v/>
      </c>
      <c r="G193" s="20" t="str">
        <f>IF(Registro_Compras!$R193&lt;&gt;"SI","",Registro_Compras!$O193)</f>
        <v/>
      </c>
      <c r="H193" s="20" t="str">
        <f>IF(Registro_Compras!$R193&lt;&gt;"SI","",Registro_Compras!$S193)</f>
        <v/>
      </c>
      <c r="I193" s="25" t="str">
        <f>IF(Registro_Compras!$R193&lt;&gt;"SI","",IF(Registro_Compras!$Y193="",WORKDAY(EOMONTH(Registro_Compras!$B193,0),5,Feriados),MIN(Registro_Compras!$Y193,WORKDAY(EOMONTH(Registro_Compras!$B193,0),5,Feriados))))</f>
        <v/>
      </c>
      <c r="J193" s="25" t="str">
        <f>IF(Registro_Compras!$R193&lt;&gt;"SI","",Registro_Compras!$X193)</f>
        <v/>
      </c>
      <c r="K193" t="str">
        <f>IF(Registro_Compras!$R193&lt;&gt;"SI","",IF(Registro_Compras!$X193="","PENDIENTE","DEPOSITADA"))</f>
        <v/>
      </c>
      <c r="L193" t="str">
        <f>IF(Registro_Compras!$R193&lt;&gt;"SI","",Registro_Compras!$Z193)</f>
        <v/>
      </c>
      <c r="M193" t="str">
        <f t="shared" ca="1" si="4"/>
        <v/>
      </c>
      <c r="N193" t="str">
        <f t="shared" ca="1" si="5"/>
        <v/>
      </c>
    </row>
    <row r="194" spans="1:14" x14ac:dyDescent="0.25">
      <c r="A194" s="25" t="str">
        <f>IF(Registro_Compras!$R194&lt;&gt;"SI","",Registro_Compras!$B194)</f>
        <v/>
      </c>
      <c r="B194" t="str">
        <f>IF(Registro_Compras!$R194&lt;&gt;"SI","",Registro_Compras!$C194)</f>
        <v/>
      </c>
      <c r="C194" t="str">
        <f>IF(Registro_Compras!$R194&lt;&gt;"SI","",Registro_Compras!$D194)</f>
        <v/>
      </c>
      <c r="D194" t="str">
        <f>IF(Registro_Compras!$R194&lt;&gt;"SI","",Registro_Compras!$E194)</f>
        <v/>
      </c>
      <c r="E194" t="str">
        <f>IF(Registro_Compras!$R194&lt;&gt;"SI","",Registro_Compras!$G194)</f>
        <v/>
      </c>
      <c r="F194" s="31" t="str">
        <f>IF(Registro_Compras!$R194&lt;&gt;"SI","",Registro_Compras!$P194)</f>
        <v/>
      </c>
      <c r="G194" s="20" t="str">
        <f>IF(Registro_Compras!$R194&lt;&gt;"SI","",Registro_Compras!$O194)</f>
        <v/>
      </c>
      <c r="H194" s="20" t="str">
        <f>IF(Registro_Compras!$R194&lt;&gt;"SI","",Registro_Compras!$S194)</f>
        <v/>
      </c>
      <c r="I194" s="25" t="str">
        <f>IF(Registro_Compras!$R194&lt;&gt;"SI","",IF(Registro_Compras!$Y194="",WORKDAY(EOMONTH(Registro_Compras!$B194,0),5,Feriados),MIN(Registro_Compras!$Y194,WORKDAY(EOMONTH(Registro_Compras!$B194,0),5,Feriados))))</f>
        <v/>
      </c>
      <c r="J194" s="25" t="str">
        <f>IF(Registro_Compras!$R194&lt;&gt;"SI","",Registro_Compras!$X194)</f>
        <v/>
      </c>
      <c r="K194" t="str">
        <f>IF(Registro_Compras!$R194&lt;&gt;"SI","",IF(Registro_Compras!$X194="","PENDIENTE","DEPOSITADA"))</f>
        <v/>
      </c>
      <c r="L194" t="str">
        <f>IF(Registro_Compras!$R194&lt;&gt;"SI","",Registro_Compras!$Z194)</f>
        <v/>
      </c>
      <c r="M194" t="str">
        <f t="shared" ca="1" si="4"/>
        <v/>
      </c>
      <c r="N194" t="str">
        <f t="shared" ca="1" si="5"/>
        <v/>
      </c>
    </row>
    <row r="195" spans="1:14" x14ac:dyDescent="0.25">
      <c r="A195" s="25" t="str">
        <f>IF(Registro_Compras!$R195&lt;&gt;"SI","",Registro_Compras!$B195)</f>
        <v/>
      </c>
      <c r="B195" t="str">
        <f>IF(Registro_Compras!$R195&lt;&gt;"SI","",Registro_Compras!$C195)</f>
        <v/>
      </c>
      <c r="C195" t="str">
        <f>IF(Registro_Compras!$R195&lt;&gt;"SI","",Registro_Compras!$D195)</f>
        <v/>
      </c>
      <c r="D195" t="str">
        <f>IF(Registro_Compras!$R195&lt;&gt;"SI","",Registro_Compras!$E195)</f>
        <v/>
      </c>
      <c r="E195" t="str">
        <f>IF(Registro_Compras!$R195&lt;&gt;"SI","",Registro_Compras!$G195)</f>
        <v/>
      </c>
      <c r="F195" s="31" t="str">
        <f>IF(Registro_Compras!$R195&lt;&gt;"SI","",Registro_Compras!$P195)</f>
        <v/>
      </c>
      <c r="G195" s="20" t="str">
        <f>IF(Registro_Compras!$R195&lt;&gt;"SI","",Registro_Compras!$O195)</f>
        <v/>
      </c>
      <c r="H195" s="20" t="str">
        <f>IF(Registro_Compras!$R195&lt;&gt;"SI","",Registro_Compras!$S195)</f>
        <v/>
      </c>
      <c r="I195" s="25" t="str">
        <f>IF(Registro_Compras!$R195&lt;&gt;"SI","",IF(Registro_Compras!$Y195="",WORKDAY(EOMONTH(Registro_Compras!$B195,0),5,Feriados),MIN(Registro_Compras!$Y195,WORKDAY(EOMONTH(Registro_Compras!$B195,0),5,Feriados))))</f>
        <v/>
      </c>
      <c r="J195" s="25" t="str">
        <f>IF(Registro_Compras!$R195&lt;&gt;"SI","",Registro_Compras!$X195)</f>
        <v/>
      </c>
      <c r="K195" t="str">
        <f>IF(Registro_Compras!$R195&lt;&gt;"SI","",IF(Registro_Compras!$X195="","PENDIENTE","DEPOSITADA"))</f>
        <v/>
      </c>
      <c r="L195" t="str">
        <f>IF(Registro_Compras!$R195&lt;&gt;"SI","",Registro_Compras!$Z195)</f>
        <v/>
      </c>
      <c r="M195" t="str">
        <f t="shared" ca="1" si="4"/>
        <v/>
      </c>
      <c r="N195" t="str">
        <f t="shared" ca="1" si="5"/>
        <v/>
      </c>
    </row>
    <row r="196" spans="1:14" x14ac:dyDescent="0.25">
      <c r="A196" s="25" t="str">
        <f>IF(Registro_Compras!$R196&lt;&gt;"SI","",Registro_Compras!$B196)</f>
        <v/>
      </c>
      <c r="B196" t="str">
        <f>IF(Registro_Compras!$R196&lt;&gt;"SI","",Registro_Compras!$C196)</f>
        <v/>
      </c>
      <c r="C196" t="str">
        <f>IF(Registro_Compras!$R196&lt;&gt;"SI","",Registro_Compras!$D196)</f>
        <v/>
      </c>
      <c r="D196" t="str">
        <f>IF(Registro_Compras!$R196&lt;&gt;"SI","",Registro_Compras!$E196)</f>
        <v/>
      </c>
      <c r="E196" t="str">
        <f>IF(Registro_Compras!$R196&lt;&gt;"SI","",Registro_Compras!$G196)</f>
        <v/>
      </c>
      <c r="F196" s="31" t="str">
        <f>IF(Registro_Compras!$R196&lt;&gt;"SI","",Registro_Compras!$P196)</f>
        <v/>
      </c>
      <c r="G196" s="20" t="str">
        <f>IF(Registro_Compras!$R196&lt;&gt;"SI","",Registro_Compras!$O196)</f>
        <v/>
      </c>
      <c r="H196" s="20" t="str">
        <f>IF(Registro_Compras!$R196&lt;&gt;"SI","",Registro_Compras!$S196)</f>
        <v/>
      </c>
      <c r="I196" s="25" t="str">
        <f>IF(Registro_Compras!$R196&lt;&gt;"SI","",IF(Registro_Compras!$Y196="",WORKDAY(EOMONTH(Registro_Compras!$B196,0),5,Feriados),MIN(Registro_Compras!$Y196,WORKDAY(EOMONTH(Registro_Compras!$B196,0),5,Feriados))))</f>
        <v/>
      </c>
      <c r="J196" s="25" t="str">
        <f>IF(Registro_Compras!$R196&lt;&gt;"SI","",Registro_Compras!$X196)</f>
        <v/>
      </c>
      <c r="K196" t="str">
        <f>IF(Registro_Compras!$R196&lt;&gt;"SI","",IF(Registro_Compras!$X196="","PENDIENTE","DEPOSITADA"))</f>
        <v/>
      </c>
      <c r="L196" t="str">
        <f>IF(Registro_Compras!$R196&lt;&gt;"SI","",Registro_Compras!$Z196)</f>
        <v/>
      </c>
      <c r="M196" t="str">
        <f t="shared" ref="M196:M259" ca="1" si="6">IF($K196&lt;&gt;"PENDIENTE","",IF(TODAY()&gt;$I196,TODAY()-$I196,0))</f>
        <v/>
      </c>
      <c r="N196" t="str">
        <f t="shared" ref="N196:N259" ca="1" si="7">IF($K196&lt;&gt;"PENDIENTE","",IF($M196&gt;0,"VENCIDA - DEPOSITAR YA",IF($I196-TODAY()&lt;=3,"POR VENCER","EN PLAZO")))</f>
        <v/>
      </c>
    </row>
    <row r="197" spans="1:14" x14ac:dyDescent="0.25">
      <c r="A197" s="25" t="str">
        <f>IF(Registro_Compras!$R197&lt;&gt;"SI","",Registro_Compras!$B197)</f>
        <v/>
      </c>
      <c r="B197" t="str">
        <f>IF(Registro_Compras!$R197&lt;&gt;"SI","",Registro_Compras!$C197)</f>
        <v/>
      </c>
      <c r="C197" t="str">
        <f>IF(Registro_Compras!$R197&lt;&gt;"SI","",Registro_Compras!$D197)</f>
        <v/>
      </c>
      <c r="D197" t="str">
        <f>IF(Registro_Compras!$R197&lt;&gt;"SI","",Registro_Compras!$E197)</f>
        <v/>
      </c>
      <c r="E197" t="str">
        <f>IF(Registro_Compras!$R197&lt;&gt;"SI","",Registro_Compras!$G197)</f>
        <v/>
      </c>
      <c r="F197" s="31" t="str">
        <f>IF(Registro_Compras!$R197&lt;&gt;"SI","",Registro_Compras!$P197)</f>
        <v/>
      </c>
      <c r="G197" s="20" t="str">
        <f>IF(Registro_Compras!$R197&lt;&gt;"SI","",Registro_Compras!$O197)</f>
        <v/>
      </c>
      <c r="H197" s="20" t="str">
        <f>IF(Registro_Compras!$R197&lt;&gt;"SI","",Registro_Compras!$S197)</f>
        <v/>
      </c>
      <c r="I197" s="25" t="str">
        <f>IF(Registro_Compras!$R197&lt;&gt;"SI","",IF(Registro_Compras!$Y197="",WORKDAY(EOMONTH(Registro_Compras!$B197,0),5,Feriados),MIN(Registro_Compras!$Y197,WORKDAY(EOMONTH(Registro_Compras!$B197,0),5,Feriados))))</f>
        <v/>
      </c>
      <c r="J197" s="25" t="str">
        <f>IF(Registro_Compras!$R197&lt;&gt;"SI","",Registro_Compras!$X197)</f>
        <v/>
      </c>
      <c r="K197" t="str">
        <f>IF(Registro_Compras!$R197&lt;&gt;"SI","",IF(Registro_Compras!$X197="","PENDIENTE","DEPOSITADA"))</f>
        <v/>
      </c>
      <c r="L197" t="str">
        <f>IF(Registro_Compras!$R197&lt;&gt;"SI","",Registro_Compras!$Z197)</f>
        <v/>
      </c>
      <c r="M197" t="str">
        <f t="shared" ca="1" si="6"/>
        <v/>
      </c>
      <c r="N197" t="str">
        <f t="shared" ca="1" si="7"/>
        <v/>
      </c>
    </row>
    <row r="198" spans="1:14" x14ac:dyDescent="0.25">
      <c r="A198" s="25" t="str">
        <f>IF(Registro_Compras!$R198&lt;&gt;"SI","",Registro_Compras!$B198)</f>
        <v/>
      </c>
      <c r="B198" t="str">
        <f>IF(Registro_Compras!$R198&lt;&gt;"SI","",Registro_Compras!$C198)</f>
        <v/>
      </c>
      <c r="C198" t="str">
        <f>IF(Registro_Compras!$R198&lt;&gt;"SI","",Registro_Compras!$D198)</f>
        <v/>
      </c>
      <c r="D198" t="str">
        <f>IF(Registro_Compras!$R198&lt;&gt;"SI","",Registro_Compras!$E198)</f>
        <v/>
      </c>
      <c r="E198" t="str">
        <f>IF(Registro_Compras!$R198&lt;&gt;"SI","",Registro_Compras!$G198)</f>
        <v/>
      </c>
      <c r="F198" s="31" t="str">
        <f>IF(Registro_Compras!$R198&lt;&gt;"SI","",Registro_Compras!$P198)</f>
        <v/>
      </c>
      <c r="G198" s="20" t="str">
        <f>IF(Registro_Compras!$R198&lt;&gt;"SI","",Registro_Compras!$O198)</f>
        <v/>
      </c>
      <c r="H198" s="20" t="str">
        <f>IF(Registro_Compras!$R198&lt;&gt;"SI","",Registro_Compras!$S198)</f>
        <v/>
      </c>
      <c r="I198" s="25" t="str">
        <f>IF(Registro_Compras!$R198&lt;&gt;"SI","",IF(Registro_Compras!$Y198="",WORKDAY(EOMONTH(Registro_Compras!$B198,0),5,Feriados),MIN(Registro_Compras!$Y198,WORKDAY(EOMONTH(Registro_Compras!$B198,0),5,Feriados))))</f>
        <v/>
      </c>
      <c r="J198" s="25" t="str">
        <f>IF(Registro_Compras!$R198&lt;&gt;"SI","",Registro_Compras!$X198)</f>
        <v/>
      </c>
      <c r="K198" t="str">
        <f>IF(Registro_Compras!$R198&lt;&gt;"SI","",IF(Registro_Compras!$X198="","PENDIENTE","DEPOSITADA"))</f>
        <v/>
      </c>
      <c r="L198" t="str">
        <f>IF(Registro_Compras!$R198&lt;&gt;"SI","",Registro_Compras!$Z198)</f>
        <v/>
      </c>
      <c r="M198" t="str">
        <f t="shared" ca="1" si="6"/>
        <v/>
      </c>
      <c r="N198" t="str">
        <f t="shared" ca="1" si="7"/>
        <v/>
      </c>
    </row>
    <row r="199" spans="1:14" x14ac:dyDescent="0.25">
      <c r="A199" s="25" t="str">
        <f>IF(Registro_Compras!$R199&lt;&gt;"SI","",Registro_Compras!$B199)</f>
        <v/>
      </c>
      <c r="B199" t="str">
        <f>IF(Registro_Compras!$R199&lt;&gt;"SI","",Registro_Compras!$C199)</f>
        <v/>
      </c>
      <c r="C199" t="str">
        <f>IF(Registro_Compras!$R199&lt;&gt;"SI","",Registro_Compras!$D199)</f>
        <v/>
      </c>
      <c r="D199" t="str">
        <f>IF(Registro_Compras!$R199&lt;&gt;"SI","",Registro_Compras!$E199)</f>
        <v/>
      </c>
      <c r="E199" t="str">
        <f>IF(Registro_Compras!$R199&lt;&gt;"SI","",Registro_Compras!$G199)</f>
        <v/>
      </c>
      <c r="F199" s="31" t="str">
        <f>IF(Registro_Compras!$R199&lt;&gt;"SI","",Registro_Compras!$P199)</f>
        <v/>
      </c>
      <c r="G199" s="20" t="str">
        <f>IF(Registro_Compras!$R199&lt;&gt;"SI","",Registro_Compras!$O199)</f>
        <v/>
      </c>
      <c r="H199" s="20" t="str">
        <f>IF(Registro_Compras!$R199&lt;&gt;"SI","",Registro_Compras!$S199)</f>
        <v/>
      </c>
      <c r="I199" s="25" t="str">
        <f>IF(Registro_Compras!$R199&lt;&gt;"SI","",IF(Registro_Compras!$Y199="",WORKDAY(EOMONTH(Registro_Compras!$B199,0),5,Feriados),MIN(Registro_Compras!$Y199,WORKDAY(EOMONTH(Registro_Compras!$B199,0),5,Feriados))))</f>
        <v/>
      </c>
      <c r="J199" s="25" t="str">
        <f>IF(Registro_Compras!$R199&lt;&gt;"SI","",Registro_Compras!$X199)</f>
        <v/>
      </c>
      <c r="K199" t="str">
        <f>IF(Registro_Compras!$R199&lt;&gt;"SI","",IF(Registro_Compras!$X199="","PENDIENTE","DEPOSITADA"))</f>
        <v/>
      </c>
      <c r="L199" t="str">
        <f>IF(Registro_Compras!$R199&lt;&gt;"SI","",Registro_Compras!$Z199)</f>
        <v/>
      </c>
      <c r="M199" t="str">
        <f t="shared" ca="1" si="6"/>
        <v/>
      </c>
      <c r="N199" t="str">
        <f t="shared" ca="1" si="7"/>
        <v/>
      </c>
    </row>
    <row r="200" spans="1:14" x14ac:dyDescent="0.25">
      <c r="A200" s="25" t="str">
        <f>IF(Registro_Compras!$R200&lt;&gt;"SI","",Registro_Compras!$B200)</f>
        <v/>
      </c>
      <c r="B200" t="str">
        <f>IF(Registro_Compras!$R200&lt;&gt;"SI","",Registro_Compras!$C200)</f>
        <v/>
      </c>
      <c r="C200" t="str">
        <f>IF(Registro_Compras!$R200&lt;&gt;"SI","",Registro_Compras!$D200)</f>
        <v/>
      </c>
      <c r="D200" t="str">
        <f>IF(Registro_Compras!$R200&lt;&gt;"SI","",Registro_Compras!$E200)</f>
        <v/>
      </c>
      <c r="E200" t="str">
        <f>IF(Registro_Compras!$R200&lt;&gt;"SI","",Registro_Compras!$G200)</f>
        <v/>
      </c>
      <c r="F200" s="31" t="str">
        <f>IF(Registro_Compras!$R200&lt;&gt;"SI","",Registro_Compras!$P200)</f>
        <v/>
      </c>
      <c r="G200" s="20" t="str">
        <f>IF(Registro_Compras!$R200&lt;&gt;"SI","",Registro_Compras!$O200)</f>
        <v/>
      </c>
      <c r="H200" s="20" t="str">
        <f>IF(Registro_Compras!$R200&lt;&gt;"SI","",Registro_Compras!$S200)</f>
        <v/>
      </c>
      <c r="I200" s="25" t="str">
        <f>IF(Registro_Compras!$R200&lt;&gt;"SI","",IF(Registro_Compras!$Y200="",WORKDAY(EOMONTH(Registro_Compras!$B200,0),5,Feriados),MIN(Registro_Compras!$Y200,WORKDAY(EOMONTH(Registro_Compras!$B200,0),5,Feriados))))</f>
        <v/>
      </c>
      <c r="J200" s="25" t="str">
        <f>IF(Registro_Compras!$R200&lt;&gt;"SI","",Registro_Compras!$X200)</f>
        <v/>
      </c>
      <c r="K200" t="str">
        <f>IF(Registro_Compras!$R200&lt;&gt;"SI","",IF(Registro_Compras!$X200="","PENDIENTE","DEPOSITADA"))</f>
        <v/>
      </c>
      <c r="L200" t="str">
        <f>IF(Registro_Compras!$R200&lt;&gt;"SI","",Registro_Compras!$Z200)</f>
        <v/>
      </c>
      <c r="M200" t="str">
        <f t="shared" ca="1" si="6"/>
        <v/>
      </c>
      <c r="N200" t="str">
        <f t="shared" ca="1" si="7"/>
        <v/>
      </c>
    </row>
    <row r="201" spans="1:14" x14ac:dyDescent="0.25">
      <c r="A201" s="25" t="str">
        <f>IF(Registro_Compras!$R201&lt;&gt;"SI","",Registro_Compras!$B201)</f>
        <v/>
      </c>
      <c r="B201" t="str">
        <f>IF(Registro_Compras!$R201&lt;&gt;"SI","",Registro_Compras!$C201)</f>
        <v/>
      </c>
      <c r="C201" t="str">
        <f>IF(Registro_Compras!$R201&lt;&gt;"SI","",Registro_Compras!$D201)</f>
        <v/>
      </c>
      <c r="D201" t="str">
        <f>IF(Registro_Compras!$R201&lt;&gt;"SI","",Registro_Compras!$E201)</f>
        <v/>
      </c>
      <c r="E201" t="str">
        <f>IF(Registro_Compras!$R201&lt;&gt;"SI","",Registro_Compras!$G201)</f>
        <v/>
      </c>
      <c r="F201" s="31" t="str">
        <f>IF(Registro_Compras!$R201&lt;&gt;"SI","",Registro_Compras!$P201)</f>
        <v/>
      </c>
      <c r="G201" s="20" t="str">
        <f>IF(Registro_Compras!$R201&lt;&gt;"SI","",Registro_Compras!$O201)</f>
        <v/>
      </c>
      <c r="H201" s="20" t="str">
        <f>IF(Registro_Compras!$R201&lt;&gt;"SI","",Registro_Compras!$S201)</f>
        <v/>
      </c>
      <c r="I201" s="25" t="str">
        <f>IF(Registro_Compras!$R201&lt;&gt;"SI","",IF(Registro_Compras!$Y201="",WORKDAY(EOMONTH(Registro_Compras!$B201,0),5,Feriados),MIN(Registro_Compras!$Y201,WORKDAY(EOMONTH(Registro_Compras!$B201,0),5,Feriados))))</f>
        <v/>
      </c>
      <c r="J201" s="25" t="str">
        <f>IF(Registro_Compras!$R201&lt;&gt;"SI","",Registro_Compras!$X201)</f>
        <v/>
      </c>
      <c r="K201" t="str">
        <f>IF(Registro_Compras!$R201&lt;&gt;"SI","",IF(Registro_Compras!$X201="","PENDIENTE","DEPOSITADA"))</f>
        <v/>
      </c>
      <c r="L201" t="str">
        <f>IF(Registro_Compras!$R201&lt;&gt;"SI","",Registro_Compras!$Z201)</f>
        <v/>
      </c>
      <c r="M201" t="str">
        <f t="shared" ca="1" si="6"/>
        <v/>
      </c>
      <c r="N201" t="str">
        <f t="shared" ca="1" si="7"/>
        <v/>
      </c>
    </row>
    <row r="202" spans="1:14" x14ac:dyDescent="0.25">
      <c r="A202" s="25" t="str">
        <f>IF(Registro_Compras!$R202&lt;&gt;"SI","",Registro_Compras!$B202)</f>
        <v/>
      </c>
      <c r="B202" t="str">
        <f>IF(Registro_Compras!$R202&lt;&gt;"SI","",Registro_Compras!$C202)</f>
        <v/>
      </c>
      <c r="C202" t="str">
        <f>IF(Registro_Compras!$R202&lt;&gt;"SI","",Registro_Compras!$D202)</f>
        <v/>
      </c>
      <c r="D202" t="str">
        <f>IF(Registro_Compras!$R202&lt;&gt;"SI","",Registro_Compras!$E202)</f>
        <v/>
      </c>
      <c r="E202" t="str">
        <f>IF(Registro_Compras!$R202&lt;&gt;"SI","",Registro_Compras!$G202)</f>
        <v/>
      </c>
      <c r="F202" s="31" t="str">
        <f>IF(Registro_Compras!$R202&lt;&gt;"SI","",Registro_Compras!$P202)</f>
        <v/>
      </c>
      <c r="G202" s="20" t="str">
        <f>IF(Registro_Compras!$R202&lt;&gt;"SI","",Registro_Compras!$O202)</f>
        <v/>
      </c>
      <c r="H202" s="20" t="str">
        <f>IF(Registro_Compras!$R202&lt;&gt;"SI","",Registro_Compras!$S202)</f>
        <v/>
      </c>
      <c r="I202" s="25" t="str">
        <f>IF(Registro_Compras!$R202&lt;&gt;"SI","",IF(Registro_Compras!$Y202="",WORKDAY(EOMONTH(Registro_Compras!$B202,0),5,Feriados),MIN(Registro_Compras!$Y202,WORKDAY(EOMONTH(Registro_Compras!$B202,0),5,Feriados))))</f>
        <v/>
      </c>
      <c r="J202" s="25" t="str">
        <f>IF(Registro_Compras!$R202&lt;&gt;"SI","",Registro_Compras!$X202)</f>
        <v/>
      </c>
      <c r="K202" t="str">
        <f>IF(Registro_Compras!$R202&lt;&gt;"SI","",IF(Registro_Compras!$X202="","PENDIENTE","DEPOSITADA"))</f>
        <v/>
      </c>
      <c r="L202" t="str">
        <f>IF(Registro_Compras!$R202&lt;&gt;"SI","",Registro_Compras!$Z202)</f>
        <v/>
      </c>
      <c r="M202" t="str">
        <f t="shared" ca="1" si="6"/>
        <v/>
      </c>
      <c r="N202" t="str">
        <f t="shared" ca="1" si="7"/>
        <v/>
      </c>
    </row>
    <row r="203" spans="1:14" x14ac:dyDescent="0.25">
      <c r="A203" s="25" t="str">
        <f>IF(Registro_Compras!$R203&lt;&gt;"SI","",Registro_Compras!$B203)</f>
        <v/>
      </c>
      <c r="B203" t="str">
        <f>IF(Registro_Compras!$R203&lt;&gt;"SI","",Registro_Compras!$C203)</f>
        <v/>
      </c>
      <c r="C203" t="str">
        <f>IF(Registro_Compras!$R203&lt;&gt;"SI","",Registro_Compras!$D203)</f>
        <v/>
      </c>
      <c r="D203" t="str">
        <f>IF(Registro_Compras!$R203&lt;&gt;"SI","",Registro_Compras!$E203)</f>
        <v/>
      </c>
      <c r="E203" t="str">
        <f>IF(Registro_Compras!$R203&lt;&gt;"SI","",Registro_Compras!$G203)</f>
        <v/>
      </c>
      <c r="F203" s="31" t="str">
        <f>IF(Registro_Compras!$R203&lt;&gt;"SI","",Registro_Compras!$P203)</f>
        <v/>
      </c>
      <c r="G203" s="20" t="str">
        <f>IF(Registro_Compras!$R203&lt;&gt;"SI","",Registro_Compras!$O203)</f>
        <v/>
      </c>
      <c r="H203" s="20" t="str">
        <f>IF(Registro_Compras!$R203&lt;&gt;"SI","",Registro_Compras!$S203)</f>
        <v/>
      </c>
      <c r="I203" s="25" t="str">
        <f>IF(Registro_Compras!$R203&lt;&gt;"SI","",IF(Registro_Compras!$Y203="",WORKDAY(EOMONTH(Registro_Compras!$B203,0),5,Feriados),MIN(Registro_Compras!$Y203,WORKDAY(EOMONTH(Registro_Compras!$B203,0),5,Feriados))))</f>
        <v/>
      </c>
      <c r="J203" s="25" t="str">
        <f>IF(Registro_Compras!$R203&lt;&gt;"SI","",Registro_Compras!$X203)</f>
        <v/>
      </c>
      <c r="K203" t="str">
        <f>IF(Registro_Compras!$R203&lt;&gt;"SI","",IF(Registro_Compras!$X203="","PENDIENTE","DEPOSITADA"))</f>
        <v/>
      </c>
      <c r="L203" t="str">
        <f>IF(Registro_Compras!$R203&lt;&gt;"SI","",Registro_Compras!$Z203)</f>
        <v/>
      </c>
      <c r="M203" t="str">
        <f t="shared" ca="1" si="6"/>
        <v/>
      </c>
      <c r="N203" t="str">
        <f t="shared" ca="1" si="7"/>
        <v/>
      </c>
    </row>
    <row r="204" spans="1:14" x14ac:dyDescent="0.25">
      <c r="A204" s="25" t="str">
        <f>IF(Registro_Compras!$R204&lt;&gt;"SI","",Registro_Compras!$B204)</f>
        <v/>
      </c>
      <c r="B204" t="str">
        <f>IF(Registro_Compras!$R204&lt;&gt;"SI","",Registro_Compras!$C204)</f>
        <v/>
      </c>
      <c r="C204" t="str">
        <f>IF(Registro_Compras!$R204&lt;&gt;"SI","",Registro_Compras!$D204)</f>
        <v/>
      </c>
      <c r="D204" t="str">
        <f>IF(Registro_Compras!$R204&lt;&gt;"SI","",Registro_Compras!$E204)</f>
        <v/>
      </c>
      <c r="E204" t="str">
        <f>IF(Registro_Compras!$R204&lt;&gt;"SI","",Registro_Compras!$G204)</f>
        <v/>
      </c>
      <c r="F204" s="31" t="str">
        <f>IF(Registro_Compras!$R204&lt;&gt;"SI","",Registro_Compras!$P204)</f>
        <v/>
      </c>
      <c r="G204" s="20" t="str">
        <f>IF(Registro_Compras!$R204&lt;&gt;"SI","",Registro_Compras!$O204)</f>
        <v/>
      </c>
      <c r="H204" s="20" t="str">
        <f>IF(Registro_Compras!$R204&lt;&gt;"SI","",Registro_Compras!$S204)</f>
        <v/>
      </c>
      <c r="I204" s="25" t="str">
        <f>IF(Registro_Compras!$R204&lt;&gt;"SI","",IF(Registro_Compras!$Y204="",WORKDAY(EOMONTH(Registro_Compras!$B204,0),5,Feriados),MIN(Registro_Compras!$Y204,WORKDAY(EOMONTH(Registro_Compras!$B204,0),5,Feriados))))</f>
        <v/>
      </c>
      <c r="J204" s="25" t="str">
        <f>IF(Registro_Compras!$R204&lt;&gt;"SI","",Registro_Compras!$X204)</f>
        <v/>
      </c>
      <c r="K204" t="str">
        <f>IF(Registro_Compras!$R204&lt;&gt;"SI","",IF(Registro_Compras!$X204="","PENDIENTE","DEPOSITADA"))</f>
        <v/>
      </c>
      <c r="L204" t="str">
        <f>IF(Registro_Compras!$R204&lt;&gt;"SI","",Registro_Compras!$Z204)</f>
        <v/>
      </c>
      <c r="M204" t="str">
        <f t="shared" ca="1" si="6"/>
        <v/>
      </c>
      <c r="N204" t="str">
        <f t="shared" ca="1" si="7"/>
        <v/>
      </c>
    </row>
    <row r="205" spans="1:14" x14ac:dyDescent="0.25">
      <c r="A205" s="25" t="str">
        <f>IF(Registro_Compras!$R205&lt;&gt;"SI","",Registro_Compras!$B205)</f>
        <v/>
      </c>
      <c r="B205" t="str">
        <f>IF(Registro_Compras!$R205&lt;&gt;"SI","",Registro_Compras!$C205)</f>
        <v/>
      </c>
      <c r="C205" t="str">
        <f>IF(Registro_Compras!$R205&lt;&gt;"SI","",Registro_Compras!$D205)</f>
        <v/>
      </c>
      <c r="D205" t="str">
        <f>IF(Registro_Compras!$R205&lt;&gt;"SI","",Registro_Compras!$E205)</f>
        <v/>
      </c>
      <c r="E205" t="str">
        <f>IF(Registro_Compras!$R205&lt;&gt;"SI","",Registro_Compras!$G205)</f>
        <v/>
      </c>
      <c r="F205" s="31" t="str">
        <f>IF(Registro_Compras!$R205&lt;&gt;"SI","",Registro_Compras!$P205)</f>
        <v/>
      </c>
      <c r="G205" s="20" t="str">
        <f>IF(Registro_Compras!$R205&lt;&gt;"SI","",Registro_Compras!$O205)</f>
        <v/>
      </c>
      <c r="H205" s="20" t="str">
        <f>IF(Registro_Compras!$R205&lt;&gt;"SI","",Registro_Compras!$S205)</f>
        <v/>
      </c>
      <c r="I205" s="25" t="str">
        <f>IF(Registro_Compras!$R205&lt;&gt;"SI","",IF(Registro_Compras!$Y205="",WORKDAY(EOMONTH(Registro_Compras!$B205,0),5,Feriados),MIN(Registro_Compras!$Y205,WORKDAY(EOMONTH(Registro_Compras!$B205,0),5,Feriados))))</f>
        <v/>
      </c>
      <c r="J205" s="25" t="str">
        <f>IF(Registro_Compras!$R205&lt;&gt;"SI","",Registro_Compras!$X205)</f>
        <v/>
      </c>
      <c r="K205" t="str">
        <f>IF(Registro_Compras!$R205&lt;&gt;"SI","",IF(Registro_Compras!$X205="","PENDIENTE","DEPOSITADA"))</f>
        <v/>
      </c>
      <c r="L205" t="str">
        <f>IF(Registro_Compras!$R205&lt;&gt;"SI","",Registro_Compras!$Z205)</f>
        <v/>
      </c>
      <c r="M205" t="str">
        <f t="shared" ca="1" si="6"/>
        <v/>
      </c>
      <c r="N205" t="str">
        <f t="shared" ca="1" si="7"/>
        <v/>
      </c>
    </row>
    <row r="206" spans="1:14" x14ac:dyDescent="0.25">
      <c r="A206" s="25" t="str">
        <f>IF(Registro_Compras!$R206&lt;&gt;"SI","",Registro_Compras!$B206)</f>
        <v/>
      </c>
      <c r="B206" t="str">
        <f>IF(Registro_Compras!$R206&lt;&gt;"SI","",Registro_Compras!$C206)</f>
        <v/>
      </c>
      <c r="C206" t="str">
        <f>IF(Registro_Compras!$R206&lt;&gt;"SI","",Registro_Compras!$D206)</f>
        <v/>
      </c>
      <c r="D206" t="str">
        <f>IF(Registro_Compras!$R206&lt;&gt;"SI","",Registro_Compras!$E206)</f>
        <v/>
      </c>
      <c r="E206" t="str">
        <f>IF(Registro_Compras!$R206&lt;&gt;"SI","",Registro_Compras!$G206)</f>
        <v/>
      </c>
      <c r="F206" s="31" t="str">
        <f>IF(Registro_Compras!$R206&lt;&gt;"SI","",Registro_Compras!$P206)</f>
        <v/>
      </c>
      <c r="G206" s="20" t="str">
        <f>IF(Registro_Compras!$R206&lt;&gt;"SI","",Registro_Compras!$O206)</f>
        <v/>
      </c>
      <c r="H206" s="20" t="str">
        <f>IF(Registro_Compras!$R206&lt;&gt;"SI","",Registro_Compras!$S206)</f>
        <v/>
      </c>
      <c r="I206" s="25" t="str">
        <f>IF(Registro_Compras!$R206&lt;&gt;"SI","",IF(Registro_Compras!$Y206="",WORKDAY(EOMONTH(Registro_Compras!$B206,0),5,Feriados),MIN(Registro_Compras!$Y206,WORKDAY(EOMONTH(Registro_Compras!$B206,0),5,Feriados))))</f>
        <v/>
      </c>
      <c r="J206" s="25" t="str">
        <f>IF(Registro_Compras!$R206&lt;&gt;"SI","",Registro_Compras!$X206)</f>
        <v/>
      </c>
      <c r="K206" t="str">
        <f>IF(Registro_Compras!$R206&lt;&gt;"SI","",IF(Registro_Compras!$X206="","PENDIENTE","DEPOSITADA"))</f>
        <v/>
      </c>
      <c r="L206" t="str">
        <f>IF(Registro_Compras!$R206&lt;&gt;"SI","",Registro_Compras!$Z206)</f>
        <v/>
      </c>
      <c r="M206" t="str">
        <f t="shared" ca="1" si="6"/>
        <v/>
      </c>
      <c r="N206" t="str">
        <f t="shared" ca="1" si="7"/>
        <v/>
      </c>
    </row>
    <row r="207" spans="1:14" x14ac:dyDescent="0.25">
      <c r="A207" s="25" t="str">
        <f>IF(Registro_Compras!$R207&lt;&gt;"SI","",Registro_Compras!$B207)</f>
        <v/>
      </c>
      <c r="B207" t="str">
        <f>IF(Registro_Compras!$R207&lt;&gt;"SI","",Registro_Compras!$C207)</f>
        <v/>
      </c>
      <c r="C207" t="str">
        <f>IF(Registro_Compras!$R207&lt;&gt;"SI","",Registro_Compras!$D207)</f>
        <v/>
      </c>
      <c r="D207" t="str">
        <f>IF(Registro_Compras!$R207&lt;&gt;"SI","",Registro_Compras!$E207)</f>
        <v/>
      </c>
      <c r="E207" t="str">
        <f>IF(Registro_Compras!$R207&lt;&gt;"SI","",Registro_Compras!$G207)</f>
        <v/>
      </c>
      <c r="F207" s="31" t="str">
        <f>IF(Registro_Compras!$R207&lt;&gt;"SI","",Registro_Compras!$P207)</f>
        <v/>
      </c>
      <c r="G207" s="20" t="str">
        <f>IF(Registro_Compras!$R207&lt;&gt;"SI","",Registro_Compras!$O207)</f>
        <v/>
      </c>
      <c r="H207" s="20" t="str">
        <f>IF(Registro_Compras!$R207&lt;&gt;"SI","",Registro_Compras!$S207)</f>
        <v/>
      </c>
      <c r="I207" s="25" t="str">
        <f>IF(Registro_Compras!$R207&lt;&gt;"SI","",IF(Registro_Compras!$Y207="",WORKDAY(EOMONTH(Registro_Compras!$B207,0),5,Feriados),MIN(Registro_Compras!$Y207,WORKDAY(EOMONTH(Registro_Compras!$B207,0),5,Feriados))))</f>
        <v/>
      </c>
      <c r="J207" s="25" t="str">
        <f>IF(Registro_Compras!$R207&lt;&gt;"SI","",Registro_Compras!$X207)</f>
        <v/>
      </c>
      <c r="K207" t="str">
        <f>IF(Registro_Compras!$R207&lt;&gt;"SI","",IF(Registro_Compras!$X207="","PENDIENTE","DEPOSITADA"))</f>
        <v/>
      </c>
      <c r="L207" t="str">
        <f>IF(Registro_Compras!$R207&lt;&gt;"SI","",Registro_Compras!$Z207)</f>
        <v/>
      </c>
      <c r="M207" t="str">
        <f t="shared" ca="1" si="6"/>
        <v/>
      </c>
      <c r="N207" t="str">
        <f t="shared" ca="1" si="7"/>
        <v/>
      </c>
    </row>
    <row r="208" spans="1:14" x14ac:dyDescent="0.25">
      <c r="A208" s="25" t="str">
        <f>IF(Registro_Compras!$R208&lt;&gt;"SI","",Registro_Compras!$B208)</f>
        <v/>
      </c>
      <c r="B208" t="str">
        <f>IF(Registro_Compras!$R208&lt;&gt;"SI","",Registro_Compras!$C208)</f>
        <v/>
      </c>
      <c r="C208" t="str">
        <f>IF(Registro_Compras!$R208&lt;&gt;"SI","",Registro_Compras!$D208)</f>
        <v/>
      </c>
      <c r="D208" t="str">
        <f>IF(Registro_Compras!$R208&lt;&gt;"SI","",Registro_Compras!$E208)</f>
        <v/>
      </c>
      <c r="E208" t="str">
        <f>IF(Registro_Compras!$R208&lt;&gt;"SI","",Registro_Compras!$G208)</f>
        <v/>
      </c>
      <c r="F208" s="31" t="str">
        <f>IF(Registro_Compras!$R208&lt;&gt;"SI","",Registro_Compras!$P208)</f>
        <v/>
      </c>
      <c r="G208" s="20" t="str">
        <f>IF(Registro_Compras!$R208&lt;&gt;"SI","",Registro_Compras!$O208)</f>
        <v/>
      </c>
      <c r="H208" s="20" t="str">
        <f>IF(Registro_Compras!$R208&lt;&gt;"SI","",Registro_Compras!$S208)</f>
        <v/>
      </c>
      <c r="I208" s="25" t="str">
        <f>IF(Registro_Compras!$R208&lt;&gt;"SI","",IF(Registro_Compras!$Y208="",WORKDAY(EOMONTH(Registro_Compras!$B208,0),5,Feriados),MIN(Registro_Compras!$Y208,WORKDAY(EOMONTH(Registro_Compras!$B208,0),5,Feriados))))</f>
        <v/>
      </c>
      <c r="J208" s="25" t="str">
        <f>IF(Registro_Compras!$R208&lt;&gt;"SI","",Registro_Compras!$X208)</f>
        <v/>
      </c>
      <c r="K208" t="str">
        <f>IF(Registro_Compras!$R208&lt;&gt;"SI","",IF(Registro_Compras!$X208="","PENDIENTE","DEPOSITADA"))</f>
        <v/>
      </c>
      <c r="L208" t="str">
        <f>IF(Registro_Compras!$R208&lt;&gt;"SI","",Registro_Compras!$Z208)</f>
        <v/>
      </c>
      <c r="M208" t="str">
        <f t="shared" ca="1" si="6"/>
        <v/>
      </c>
      <c r="N208" t="str">
        <f t="shared" ca="1" si="7"/>
        <v/>
      </c>
    </row>
    <row r="209" spans="1:14" x14ac:dyDescent="0.25">
      <c r="A209" s="25" t="str">
        <f>IF(Registro_Compras!$R209&lt;&gt;"SI","",Registro_Compras!$B209)</f>
        <v/>
      </c>
      <c r="B209" t="str">
        <f>IF(Registro_Compras!$R209&lt;&gt;"SI","",Registro_Compras!$C209)</f>
        <v/>
      </c>
      <c r="C209" t="str">
        <f>IF(Registro_Compras!$R209&lt;&gt;"SI","",Registro_Compras!$D209)</f>
        <v/>
      </c>
      <c r="D209" t="str">
        <f>IF(Registro_Compras!$R209&lt;&gt;"SI","",Registro_Compras!$E209)</f>
        <v/>
      </c>
      <c r="E209" t="str">
        <f>IF(Registro_Compras!$R209&lt;&gt;"SI","",Registro_Compras!$G209)</f>
        <v/>
      </c>
      <c r="F209" s="31" t="str">
        <f>IF(Registro_Compras!$R209&lt;&gt;"SI","",Registro_Compras!$P209)</f>
        <v/>
      </c>
      <c r="G209" s="20" t="str">
        <f>IF(Registro_Compras!$R209&lt;&gt;"SI","",Registro_Compras!$O209)</f>
        <v/>
      </c>
      <c r="H209" s="20" t="str">
        <f>IF(Registro_Compras!$R209&lt;&gt;"SI","",Registro_Compras!$S209)</f>
        <v/>
      </c>
      <c r="I209" s="25" t="str">
        <f>IF(Registro_Compras!$R209&lt;&gt;"SI","",IF(Registro_Compras!$Y209="",WORKDAY(EOMONTH(Registro_Compras!$B209,0),5,Feriados),MIN(Registro_Compras!$Y209,WORKDAY(EOMONTH(Registro_Compras!$B209,0),5,Feriados))))</f>
        <v/>
      </c>
      <c r="J209" s="25" t="str">
        <f>IF(Registro_Compras!$R209&lt;&gt;"SI","",Registro_Compras!$X209)</f>
        <v/>
      </c>
      <c r="K209" t="str">
        <f>IF(Registro_Compras!$R209&lt;&gt;"SI","",IF(Registro_Compras!$X209="","PENDIENTE","DEPOSITADA"))</f>
        <v/>
      </c>
      <c r="L209" t="str">
        <f>IF(Registro_Compras!$R209&lt;&gt;"SI","",Registro_Compras!$Z209)</f>
        <v/>
      </c>
      <c r="M209" t="str">
        <f t="shared" ca="1" si="6"/>
        <v/>
      </c>
      <c r="N209" t="str">
        <f t="shared" ca="1" si="7"/>
        <v/>
      </c>
    </row>
    <row r="210" spans="1:14" x14ac:dyDescent="0.25">
      <c r="A210" s="25" t="str">
        <f>IF(Registro_Compras!$R210&lt;&gt;"SI","",Registro_Compras!$B210)</f>
        <v/>
      </c>
      <c r="B210" t="str">
        <f>IF(Registro_Compras!$R210&lt;&gt;"SI","",Registro_Compras!$C210)</f>
        <v/>
      </c>
      <c r="C210" t="str">
        <f>IF(Registro_Compras!$R210&lt;&gt;"SI","",Registro_Compras!$D210)</f>
        <v/>
      </c>
      <c r="D210" t="str">
        <f>IF(Registro_Compras!$R210&lt;&gt;"SI","",Registro_Compras!$E210)</f>
        <v/>
      </c>
      <c r="E210" t="str">
        <f>IF(Registro_Compras!$R210&lt;&gt;"SI","",Registro_Compras!$G210)</f>
        <v/>
      </c>
      <c r="F210" s="31" t="str">
        <f>IF(Registro_Compras!$R210&lt;&gt;"SI","",Registro_Compras!$P210)</f>
        <v/>
      </c>
      <c r="G210" s="20" t="str">
        <f>IF(Registro_Compras!$R210&lt;&gt;"SI","",Registro_Compras!$O210)</f>
        <v/>
      </c>
      <c r="H210" s="20" t="str">
        <f>IF(Registro_Compras!$R210&lt;&gt;"SI","",Registro_Compras!$S210)</f>
        <v/>
      </c>
      <c r="I210" s="25" t="str">
        <f>IF(Registro_Compras!$R210&lt;&gt;"SI","",IF(Registro_Compras!$Y210="",WORKDAY(EOMONTH(Registro_Compras!$B210,0),5,Feriados),MIN(Registro_Compras!$Y210,WORKDAY(EOMONTH(Registro_Compras!$B210,0),5,Feriados))))</f>
        <v/>
      </c>
      <c r="J210" s="25" t="str">
        <f>IF(Registro_Compras!$R210&lt;&gt;"SI","",Registro_Compras!$X210)</f>
        <v/>
      </c>
      <c r="K210" t="str">
        <f>IF(Registro_Compras!$R210&lt;&gt;"SI","",IF(Registro_Compras!$X210="","PENDIENTE","DEPOSITADA"))</f>
        <v/>
      </c>
      <c r="L210" t="str">
        <f>IF(Registro_Compras!$R210&lt;&gt;"SI","",Registro_Compras!$Z210)</f>
        <v/>
      </c>
      <c r="M210" t="str">
        <f t="shared" ca="1" si="6"/>
        <v/>
      </c>
      <c r="N210" t="str">
        <f t="shared" ca="1" si="7"/>
        <v/>
      </c>
    </row>
    <row r="211" spans="1:14" x14ac:dyDescent="0.25">
      <c r="A211" s="25" t="str">
        <f>IF(Registro_Compras!$R211&lt;&gt;"SI","",Registro_Compras!$B211)</f>
        <v/>
      </c>
      <c r="B211" t="str">
        <f>IF(Registro_Compras!$R211&lt;&gt;"SI","",Registro_Compras!$C211)</f>
        <v/>
      </c>
      <c r="C211" t="str">
        <f>IF(Registro_Compras!$R211&lt;&gt;"SI","",Registro_Compras!$D211)</f>
        <v/>
      </c>
      <c r="D211" t="str">
        <f>IF(Registro_Compras!$R211&lt;&gt;"SI","",Registro_Compras!$E211)</f>
        <v/>
      </c>
      <c r="E211" t="str">
        <f>IF(Registro_Compras!$R211&lt;&gt;"SI","",Registro_Compras!$G211)</f>
        <v/>
      </c>
      <c r="F211" s="31" t="str">
        <f>IF(Registro_Compras!$R211&lt;&gt;"SI","",Registro_Compras!$P211)</f>
        <v/>
      </c>
      <c r="G211" s="20" t="str">
        <f>IF(Registro_Compras!$R211&lt;&gt;"SI","",Registro_Compras!$O211)</f>
        <v/>
      </c>
      <c r="H211" s="20" t="str">
        <f>IF(Registro_Compras!$R211&lt;&gt;"SI","",Registro_Compras!$S211)</f>
        <v/>
      </c>
      <c r="I211" s="25" t="str">
        <f>IF(Registro_Compras!$R211&lt;&gt;"SI","",IF(Registro_Compras!$Y211="",WORKDAY(EOMONTH(Registro_Compras!$B211,0),5,Feriados),MIN(Registro_Compras!$Y211,WORKDAY(EOMONTH(Registro_Compras!$B211,0),5,Feriados))))</f>
        <v/>
      </c>
      <c r="J211" s="25" t="str">
        <f>IF(Registro_Compras!$R211&lt;&gt;"SI","",Registro_Compras!$X211)</f>
        <v/>
      </c>
      <c r="K211" t="str">
        <f>IF(Registro_Compras!$R211&lt;&gt;"SI","",IF(Registro_Compras!$X211="","PENDIENTE","DEPOSITADA"))</f>
        <v/>
      </c>
      <c r="L211" t="str">
        <f>IF(Registro_Compras!$R211&lt;&gt;"SI","",Registro_Compras!$Z211)</f>
        <v/>
      </c>
      <c r="M211" t="str">
        <f t="shared" ca="1" si="6"/>
        <v/>
      </c>
      <c r="N211" t="str">
        <f t="shared" ca="1" si="7"/>
        <v/>
      </c>
    </row>
    <row r="212" spans="1:14" x14ac:dyDescent="0.25">
      <c r="A212" s="25" t="str">
        <f>IF(Registro_Compras!$R212&lt;&gt;"SI","",Registro_Compras!$B212)</f>
        <v/>
      </c>
      <c r="B212" t="str">
        <f>IF(Registro_Compras!$R212&lt;&gt;"SI","",Registro_Compras!$C212)</f>
        <v/>
      </c>
      <c r="C212" t="str">
        <f>IF(Registro_Compras!$R212&lt;&gt;"SI","",Registro_Compras!$D212)</f>
        <v/>
      </c>
      <c r="D212" t="str">
        <f>IF(Registro_Compras!$R212&lt;&gt;"SI","",Registro_Compras!$E212)</f>
        <v/>
      </c>
      <c r="E212" t="str">
        <f>IF(Registro_Compras!$R212&lt;&gt;"SI","",Registro_Compras!$G212)</f>
        <v/>
      </c>
      <c r="F212" s="31" t="str">
        <f>IF(Registro_Compras!$R212&lt;&gt;"SI","",Registro_Compras!$P212)</f>
        <v/>
      </c>
      <c r="G212" s="20" t="str">
        <f>IF(Registro_Compras!$R212&lt;&gt;"SI","",Registro_Compras!$O212)</f>
        <v/>
      </c>
      <c r="H212" s="20" t="str">
        <f>IF(Registro_Compras!$R212&lt;&gt;"SI","",Registro_Compras!$S212)</f>
        <v/>
      </c>
      <c r="I212" s="25" t="str">
        <f>IF(Registro_Compras!$R212&lt;&gt;"SI","",IF(Registro_Compras!$Y212="",WORKDAY(EOMONTH(Registro_Compras!$B212,0),5,Feriados),MIN(Registro_Compras!$Y212,WORKDAY(EOMONTH(Registro_Compras!$B212,0),5,Feriados))))</f>
        <v/>
      </c>
      <c r="J212" s="25" t="str">
        <f>IF(Registro_Compras!$R212&lt;&gt;"SI","",Registro_Compras!$X212)</f>
        <v/>
      </c>
      <c r="K212" t="str">
        <f>IF(Registro_Compras!$R212&lt;&gt;"SI","",IF(Registro_Compras!$X212="","PENDIENTE","DEPOSITADA"))</f>
        <v/>
      </c>
      <c r="L212" t="str">
        <f>IF(Registro_Compras!$R212&lt;&gt;"SI","",Registro_Compras!$Z212)</f>
        <v/>
      </c>
      <c r="M212" t="str">
        <f t="shared" ca="1" si="6"/>
        <v/>
      </c>
      <c r="N212" t="str">
        <f t="shared" ca="1" si="7"/>
        <v/>
      </c>
    </row>
    <row r="213" spans="1:14" x14ac:dyDescent="0.25">
      <c r="A213" s="25" t="str">
        <f>IF(Registro_Compras!$R213&lt;&gt;"SI","",Registro_Compras!$B213)</f>
        <v/>
      </c>
      <c r="B213" t="str">
        <f>IF(Registro_Compras!$R213&lt;&gt;"SI","",Registro_Compras!$C213)</f>
        <v/>
      </c>
      <c r="C213" t="str">
        <f>IF(Registro_Compras!$R213&lt;&gt;"SI","",Registro_Compras!$D213)</f>
        <v/>
      </c>
      <c r="D213" t="str">
        <f>IF(Registro_Compras!$R213&lt;&gt;"SI","",Registro_Compras!$E213)</f>
        <v/>
      </c>
      <c r="E213" t="str">
        <f>IF(Registro_Compras!$R213&lt;&gt;"SI","",Registro_Compras!$G213)</f>
        <v/>
      </c>
      <c r="F213" s="31" t="str">
        <f>IF(Registro_Compras!$R213&lt;&gt;"SI","",Registro_Compras!$P213)</f>
        <v/>
      </c>
      <c r="G213" s="20" t="str">
        <f>IF(Registro_Compras!$R213&lt;&gt;"SI","",Registro_Compras!$O213)</f>
        <v/>
      </c>
      <c r="H213" s="20" t="str">
        <f>IF(Registro_Compras!$R213&lt;&gt;"SI","",Registro_Compras!$S213)</f>
        <v/>
      </c>
      <c r="I213" s="25" t="str">
        <f>IF(Registro_Compras!$R213&lt;&gt;"SI","",IF(Registro_Compras!$Y213="",WORKDAY(EOMONTH(Registro_Compras!$B213,0),5,Feriados),MIN(Registro_Compras!$Y213,WORKDAY(EOMONTH(Registro_Compras!$B213,0),5,Feriados))))</f>
        <v/>
      </c>
      <c r="J213" s="25" t="str">
        <f>IF(Registro_Compras!$R213&lt;&gt;"SI","",Registro_Compras!$X213)</f>
        <v/>
      </c>
      <c r="K213" t="str">
        <f>IF(Registro_Compras!$R213&lt;&gt;"SI","",IF(Registro_Compras!$X213="","PENDIENTE","DEPOSITADA"))</f>
        <v/>
      </c>
      <c r="L213" t="str">
        <f>IF(Registro_Compras!$R213&lt;&gt;"SI","",Registro_Compras!$Z213)</f>
        <v/>
      </c>
      <c r="M213" t="str">
        <f t="shared" ca="1" si="6"/>
        <v/>
      </c>
      <c r="N213" t="str">
        <f t="shared" ca="1" si="7"/>
        <v/>
      </c>
    </row>
    <row r="214" spans="1:14" x14ac:dyDescent="0.25">
      <c r="A214" s="25" t="str">
        <f>IF(Registro_Compras!$R214&lt;&gt;"SI","",Registro_Compras!$B214)</f>
        <v/>
      </c>
      <c r="B214" t="str">
        <f>IF(Registro_Compras!$R214&lt;&gt;"SI","",Registro_Compras!$C214)</f>
        <v/>
      </c>
      <c r="C214" t="str">
        <f>IF(Registro_Compras!$R214&lt;&gt;"SI","",Registro_Compras!$D214)</f>
        <v/>
      </c>
      <c r="D214" t="str">
        <f>IF(Registro_Compras!$R214&lt;&gt;"SI","",Registro_Compras!$E214)</f>
        <v/>
      </c>
      <c r="E214" t="str">
        <f>IF(Registro_Compras!$R214&lt;&gt;"SI","",Registro_Compras!$G214)</f>
        <v/>
      </c>
      <c r="F214" s="31" t="str">
        <f>IF(Registro_Compras!$R214&lt;&gt;"SI","",Registro_Compras!$P214)</f>
        <v/>
      </c>
      <c r="G214" s="20" t="str">
        <f>IF(Registro_Compras!$R214&lt;&gt;"SI","",Registro_Compras!$O214)</f>
        <v/>
      </c>
      <c r="H214" s="20" t="str">
        <f>IF(Registro_Compras!$R214&lt;&gt;"SI","",Registro_Compras!$S214)</f>
        <v/>
      </c>
      <c r="I214" s="25" t="str">
        <f>IF(Registro_Compras!$R214&lt;&gt;"SI","",IF(Registro_Compras!$Y214="",WORKDAY(EOMONTH(Registro_Compras!$B214,0),5,Feriados),MIN(Registro_Compras!$Y214,WORKDAY(EOMONTH(Registro_Compras!$B214,0),5,Feriados))))</f>
        <v/>
      </c>
      <c r="J214" s="25" t="str">
        <f>IF(Registro_Compras!$R214&lt;&gt;"SI","",Registro_Compras!$X214)</f>
        <v/>
      </c>
      <c r="K214" t="str">
        <f>IF(Registro_Compras!$R214&lt;&gt;"SI","",IF(Registro_Compras!$X214="","PENDIENTE","DEPOSITADA"))</f>
        <v/>
      </c>
      <c r="L214" t="str">
        <f>IF(Registro_Compras!$R214&lt;&gt;"SI","",Registro_Compras!$Z214)</f>
        <v/>
      </c>
      <c r="M214" t="str">
        <f t="shared" ca="1" si="6"/>
        <v/>
      </c>
      <c r="N214" t="str">
        <f t="shared" ca="1" si="7"/>
        <v/>
      </c>
    </row>
    <row r="215" spans="1:14" x14ac:dyDescent="0.25">
      <c r="A215" s="25" t="str">
        <f>IF(Registro_Compras!$R215&lt;&gt;"SI","",Registro_Compras!$B215)</f>
        <v/>
      </c>
      <c r="B215" t="str">
        <f>IF(Registro_Compras!$R215&lt;&gt;"SI","",Registro_Compras!$C215)</f>
        <v/>
      </c>
      <c r="C215" t="str">
        <f>IF(Registro_Compras!$R215&lt;&gt;"SI","",Registro_Compras!$D215)</f>
        <v/>
      </c>
      <c r="D215" t="str">
        <f>IF(Registro_Compras!$R215&lt;&gt;"SI","",Registro_Compras!$E215)</f>
        <v/>
      </c>
      <c r="E215" t="str">
        <f>IF(Registro_Compras!$R215&lt;&gt;"SI","",Registro_Compras!$G215)</f>
        <v/>
      </c>
      <c r="F215" s="31" t="str">
        <f>IF(Registro_Compras!$R215&lt;&gt;"SI","",Registro_Compras!$P215)</f>
        <v/>
      </c>
      <c r="G215" s="20" t="str">
        <f>IF(Registro_Compras!$R215&lt;&gt;"SI","",Registro_Compras!$O215)</f>
        <v/>
      </c>
      <c r="H215" s="20" t="str">
        <f>IF(Registro_Compras!$R215&lt;&gt;"SI","",Registro_Compras!$S215)</f>
        <v/>
      </c>
      <c r="I215" s="25" t="str">
        <f>IF(Registro_Compras!$R215&lt;&gt;"SI","",IF(Registro_Compras!$Y215="",WORKDAY(EOMONTH(Registro_Compras!$B215,0),5,Feriados),MIN(Registro_Compras!$Y215,WORKDAY(EOMONTH(Registro_Compras!$B215,0),5,Feriados))))</f>
        <v/>
      </c>
      <c r="J215" s="25" t="str">
        <f>IF(Registro_Compras!$R215&lt;&gt;"SI","",Registro_Compras!$X215)</f>
        <v/>
      </c>
      <c r="K215" t="str">
        <f>IF(Registro_Compras!$R215&lt;&gt;"SI","",IF(Registro_Compras!$X215="","PENDIENTE","DEPOSITADA"))</f>
        <v/>
      </c>
      <c r="L215" t="str">
        <f>IF(Registro_Compras!$R215&lt;&gt;"SI","",Registro_Compras!$Z215)</f>
        <v/>
      </c>
      <c r="M215" t="str">
        <f t="shared" ca="1" si="6"/>
        <v/>
      </c>
      <c r="N215" t="str">
        <f t="shared" ca="1" si="7"/>
        <v/>
      </c>
    </row>
    <row r="216" spans="1:14" x14ac:dyDescent="0.25">
      <c r="A216" s="25" t="str">
        <f>IF(Registro_Compras!$R216&lt;&gt;"SI","",Registro_Compras!$B216)</f>
        <v/>
      </c>
      <c r="B216" t="str">
        <f>IF(Registro_Compras!$R216&lt;&gt;"SI","",Registro_Compras!$C216)</f>
        <v/>
      </c>
      <c r="C216" t="str">
        <f>IF(Registro_Compras!$R216&lt;&gt;"SI","",Registro_Compras!$D216)</f>
        <v/>
      </c>
      <c r="D216" t="str">
        <f>IF(Registro_Compras!$R216&lt;&gt;"SI","",Registro_Compras!$E216)</f>
        <v/>
      </c>
      <c r="E216" t="str">
        <f>IF(Registro_Compras!$R216&lt;&gt;"SI","",Registro_Compras!$G216)</f>
        <v/>
      </c>
      <c r="F216" s="31" t="str">
        <f>IF(Registro_Compras!$R216&lt;&gt;"SI","",Registro_Compras!$P216)</f>
        <v/>
      </c>
      <c r="G216" s="20" t="str">
        <f>IF(Registro_Compras!$R216&lt;&gt;"SI","",Registro_Compras!$O216)</f>
        <v/>
      </c>
      <c r="H216" s="20" t="str">
        <f>IF(Registro_Compras!$R216&lt;&gt;"SI","",Registro_Compras!$S216)</f>
        <v/>
      </c>
      <c r="I216" s="25" t="str">
        <f>IF(Registro_Compras!$R216&lt;&gt;"SI","",IF(Registro_Compras!$Y216="",WORKDAY(EOMONTH(Registro_Compras!$B216,0),5,Feriados),MIN(Registro_Compras!$Y216,WORKDAY(EOMONTH(Registro_Compras!$B216,0),5,Feriados))))</f>
        <v/>
      </c>
      <c r="J216" s="25" t="str">
        <f>IF(Registro_Compras!$R216&lt;&gt;"SI","",Registro_Compras!$X216)</f>
        <v/>
      </c>
      <c r="K216" t="str">
        <f>IF(Registro_Compras!$R216&lt;&gt;"SI","",IF(Registro_Compras!$X216="","PENDIENTE","DEPOSITADA"))</f>
        <v/>
      </c>
      <c r="L216" t="str">
        <f>IF(Registro_Compras!$R216&lt;&gt;"SI","",Registro_Compras!$Z216)</f>
        <v/>
      </c>
      <c r="M216" t="str">
        <f t="shared" ca="1" si="6"/>
        <v/>
      </c>
      <c r="N216" t="str">
        <f t="shared" ca="1" si="7"/>
        <v/>
      </c>
    </row>
    <row r="217" spans="1:14" x14ac:dyDescent="0.25">
      <c r="A217" s="25" t="str">
        <f>IF(Registro_Compras!$R217&lt;&gt;"SI","",Registro_Compras!$B217)</f>
        <v/>
      </c>
      <c r="B217" t="str">
        <f>IF(Registro_Compras!$R217&lt;&gt;"SI","",Registro_Compras!$C217)</f>
        <v/>
      </c>
      <c r="C217" t="str">
        <f>IF(Registro_Compras!$R217&lt;&gt;"SI","",Registro_Compras!$D217)</f>
        <v/>
      </c>
      <c r="D217" t="str">
        <f>IF(Registro_Compras!$R217&lt;&gt;"SI","",Registro_Compras!$E217)</f>
        <v/>
      </c>
      <c r="E217" t="str">
        <f>IF(Registro_Compras!$R217&lt;&gt;"SI","",Registro_Compras!$G217)</f>
        <v/>
      </c>
      <c r="F217" s="31" t="str">
        <f>IF(Registro_Compras!$R217&lt;&gt;"SI","",Registro_Compras!$P217)</f>
        <v/>
      </c>
      <c r="G217" s="20" t="str">
        <f>IF(Registro_Compras!$R217&lt;&gt;"SI","",Registro_Compras!$O217)</f>
        <v/>
      </c>
      <c r="H217" s="20" t="str">
        <f>IF(Registro_Compras!$R217&lt;&gt;"SI","",Registro_Compras!$S217)</f>
        <v/>
      </c>
      <c r="I217" s="25" t="str">
        <f>IF(Registro_Compras!$R217&lt;&gt;"SI","",IF(Registro_Compras!$Y217="",WORKDAY(EOMONTH(Registro_Compras!$B217,0),5,Feriados),MIN(Registro_Compras!$Y217,WORKDAY(EOMONTH(Registro_Compras!$B217,0),5,Feriados))))</f>
        <v/>
      </c>
      <c r="J217" s="25" t="str">
        <f>IF(Registro_Compras!$R217&lt;&gt;"SI","",Registro_Compras!$X217)</f>
        <v/>
      </c>
      <c r="K217" t="str">
        <f>IF(Registro_Compras!$R217&lt;&gt;"SI","",IF(Registro_Compras!$X217="","PENDIENTE","DEPOSITADA"))</f>
        <v/>
      </c>
      <c r="L217" t="str">
        <f>IF(Registro_Compras!$R217&lt;&gt;"SI","",Registro_Compras!$Z217)</f>
        <v/>
      </c>
      <c r="M217" t="str">
        <f t="shared" ca="1" si="6"/>
        <v/>
      </c>
      <c r="N217" t="str">
        <f t="shared" ca="1" si="7"/>
        <v/>
      </c>
    </row>
    <row r="218" spans="1:14" x14ac:dyDescent="0.25">
      <c r="A218" s="25" t="str">
        <f>IF(Registro_Compras!$R218&lt;&gt;"SI","",Registro_Compras!$B218)</f>
        <v/>
      </c>
      <c r="B218" t="str">
        <f>IF(Registro_Compras!$R218&lt;&gt;"SI","",Registro_Compras!$C218)</f>
        <v/>
      </c>
      <c r="C218" t="str">
        <f>IF(Registro_Compras!$R218&lt;&gt;"SI","",Registro_Compras!$D218)</f>
        <v/>
      </c>
      <c r="D218" t="str">
        <f>IF(Registro_Compras!$R218&lt;&gt;"SI","",Registro_Compras!$E218)</f>
        <v/>
      </c>
      <c r="E218" t="str">
        <f>IF(Registro_Compras!$R218&lt;&gt;"SI","",Registro_Compras!$G218)</f>
        <v/>
      </c>
      <c r="F218" s="31" t="str">
        <f>IF(Registro_Compras!$R218&lt;&gt;"SI","",Registro_Compras!$P218)</f>
        <v/>
      </c>
      <c r="G218" s="20" t="str">
        <f>IF(Registro_Compras!$R218&lt;&gt;"SI","",Registro_Compras!$O218)</f>
        <v/>
      </c>
      <c r="H218" s="20" t="str">
        <f>IF(Registro_Compras!$R218&lt;&gt;"SI","",Registro_Compras!$S218)</f>
        <v/>
      </c>
      <c r="I218" s="25" t="str">
        <f>IF(Registro_Compras!$R218&lt;&gt;"SI","",IF(Registro_Compras!$Y218="",WORKDAY(EOMONTH(Registro_Compras!$B218,0),5,Feriados),MIN(Registro_Compras!$Y218,WORKDAY(EOMONTH(Registro_Compras!$B218,0),5,Feriados))))</f>
        <v/>
      </c>
      <c r="J218" s="25" t="str">
        <f>IF(Registro_Compras!$R218&lt;&gt;"SI","",Registro_Compras!$X218)</f>
        <v/>
      </c>
      <c r="K218" t="str">
        <f>IF(Registro_Compras!$R218&lt;&gt;"SI","",IF(Registro_Compras!$X218="","PENDIENTE","DEPOSITADA"))</f>
        <v/>
      </c>
      <c r="L218" t="str">
        <f>IF(Registro_Compras!$R218&lt;&gt;"SI","",Registro_Compras!$Z218)</f>
        <v/>
      </c>
      <c r="M218" t="str">
        <f t="shared" ca="1" si="6"/>
        <v/>
      </c>
      <c r="N218" t="str">
        <f t="shared" ca="1" si="7"/>
        <v/>
      </c>
    </row>
    <row r="219" spans="1:14" x14ac:dyDescent="0.25">
      <c r="A219" s="25" t="str">
        <f>IF(Registro_Compras!$R219&lt;&gt;"SI","",Registro_Compras!$B219)</f>
        <v/>
      </c>
      <c r="B219" t="str">
        <f>IF(Registro_Compras!$R219&lt;&gt;"SI","",Registro_Compras!$C219)</f>
        <v/>
      </c>
      <c r="C219" t="str">
        <f>IF(Registro_Compras!$R219&lt;&gt;"SI","",Registro_Compras!$D219)</f>
        <v/>
      </c>
      <c r="D219" t="str">
        <f>IF(Registro_Compras!$R219&lt;&gt;"SI","",Registro_Compras!$E219)</f>
        <v/>
      </c>
      <c r="E219" t="str">
        <f>IF(Registro_Compras!$R219&lt;&gt;"SI","",Registro_Compras!$G219)</f>
        <v/>
      </c>
      <c r="F219" s="31" t="str">
        <f>IF(Registro_Compras!$R219&lt;&gt;"SI","",Registro_Compras!$P219)</f>
        <v/>
      </c>
      <c r="G219" s="20" t="str">
        <f>IF(Registro_Compras!$R219&lt;&gt;"SI","",Registro_Compras!$O219)</f>
        <v/>
      </c>
      <c r="H219" s="20" t="str">
        <f>IF(Registro_Compras!$R219&lt;&gt;"SI","",Registro_Compras!$S219)</f>
        <v/>
      </c>
      <c r="I219" s="25" t="str">
        <f>IF(Registro_Compras!$R219&lt;&gt;"SI","",IF(Registro_Compras!$Y219="",WORKDAY(EOMONTH(Registro_Compras!$B219,0),5,Feriados),MIN(Registro_Compras!$Y219,WORKDAY(EOMONTH(Registro_Compras!$B219,0),5,Feriados))))</f>
        <v/>
      </c>
      <c r="J219" s="25" t="str">
        <f>IF(Registro_Compras!$R219&lt;&gt;"SI","",Registro_Compras!$X219)</f>
        <v/>
      </c>
      <c r="K219" t="str">
        <f>IF(Registro_Compras!$R219&lt;&gt;"SI","",IF(Registro_Compras!$X219="","PENDIENTE","DEPOSITADA"))</f>
        <v/>
      </c>
      <c r="L219" t="str">
        <f>IF(Registro_Compras!$R219&lt;&gt;"SI","",Registro_Compras!$Z219)</f>
        <v/>
      </c>
      <c r="M219" t="str">
        <f t="shared" ca="1" si="6"/>
        <v/>
      </c>
      <c r="N219" t="str">
        <f t="shared" ca="1" si="7"/>
        <v/>
      </c>
    </row>
    <row r="220" spans="1:14" x14ac:dyDescent="0.25">
      <c r="A220" s="25" t="str">
        <f>IF(Registro_Compras!$R220&lt;&gt;"SI","",Registro_Compras!$B220)</f>
        <v/>
      </c>
      <c r="B220" t="str">
        <f>IF(Registro_Compras!$R220&lt;&gt;"SI","",Registro_Compras!$C220)</f>
        <v/>
      </c>
      <c r="C220" t="str">
        <f>IF(Registro_Compras!$R220&lt;&gt;"SI","",Registro_Compras!$D220)</f>
        <v/>
      </c>
      <c r="D220" t="str">
        <f>IF(Registro_Compras!$R220&lt;&gt;"SI","",Registro_Compras!$E220)</f>
        <v/>
      </c>
      <c r="E220" t="str">
        <f>IF(Registro_Compras!$R220&lt;&gt;"SI","",Registro_Compras!$G220)</f>
        <v/>
      </c>
      <c r="F220" s="31" t="str">
        <f>IF(Registro_Compras!$R220&lt;&gt;"SI","",Registro_Compras!$P220)</f>
        <v/>
      </c>
      <c r="G220" s="20" t="str">
        <f>IF(Registro_Compras!$R220&lt;&gt;"SI","",Registro_Compras!$O220)</f>
        <v/>
      </c>
      <c r="H220" s="20" t="str">
        <f>IF(Registro_Compras!$R220&lt;&gt;"SI","",Registro_Compras!$S220)</f>
        <v/>
      </c>
      <c r="I220" s="25" t="str">
        <f>IF(Registro_Compras!$R220&lt;&gt;"SI","",IF(Registro_Compras!$Y220="",WORKDAY(EOMONTH(Registro_Compras!$B220,0),5,Feriados),MIN(Registro_Compras!$Y220,WORKDAY(EOMONTH(Registro_Compras!$B220,0),5,Feriados))))</f>
        <v/>
      </c>
      <c r="J220" s="25" t="str">
        <f>IF(Registro_Compras!$R220&lt;&gt;"SI","",Registro_Compras!$X220)</f>
        <v/>
      </c>
      <c r="K220" t="str">
        <f>IF(Registro_Compras!$R220&lt;&gt;"SI","",IF(Registro_Compras!$X220="","PENDIENTE","DEPOSITADA"))</f>
        <v/>
      </c>
      <c r="L220" t="str">
        <f>IF(Registro_Compras!$R220&lt;&gt;"SI","",Registro_Compras!$Z220)</f>
        <v/>
      </c>
      <c r="M220" t="str">
        <f t="shared" ca="1" si="6"/>
        <v/>
      </c>
      <c r="N220" t="str">
        <f t="shared" ca="1" si="7"/>
        <v/>
      </c>
    </row>
    <row r="221" spans="1:14" x14ac:dyDescent="0.25">
      <c r="A221" s="25" t="str">
        <f>IF(Registro_Compras!$R221&lt;&gt;"SI","",Registro_Compras!$B221)</f>
        <v/>
      </c>
      <c r="B221" t="str">
        <f>IF(Registro_Compras!$R221&lt;&gt;"SI","",Registro_Compras!$C221)</f>
        <v/>
      </c>
      <c r="C221" t="str">
        <f>IF(Registro_Compras!$R221&lt;&gt;"SI","",Registro_Compras!$D221)</f>
        <v/>
      </c>
      <c r="D221" t="str">
        <f>IF(Registro_Compras!$R221&lt;&gt;"SI","",Registro_Compras!$E221)</f>
        <v/>
      </c>
      <c r="E221" t="str">
        <f>IF(Registro_Compras!$R221&lt;&gt;"SI","",Registro_Compras!$G221)</f>
        <v/>
      </c>
      <c r="F221" s="31" t="str">
        <f>IF(Registro_Compras!$R221&lt;&gt;"SI","",Registro_Compras!$P221)</f>
        <v/>
      </c>
      <c r="G221" s="20" t="str">
        <f>IF(Registro_Compras!$R221&lt;&gt;"SI","",Registro_Compras!$O221)</f>
        <v/>
      </c>
      <c r="H221" s="20" t="str">
        <f>IF(Registro_Compras!$R221&lt;&gt;"SI","",Registro_Compras!$S221)</f>
        <v/>
      </c>
      <c r="I221" s="25" t="str">
        <f>IF(Registro_Compras!$R221&lt;&gt;"SI","",IF(Registro_Compras!$Y221="",WORKDAY(EOMONTH(Registro_Compras!$B221,0),5,Feriados),MIN(Registro_Compras!$Y221,WORKDAY(EOMONTH(Registro_Compras!$B221,0),5,Feriados))))</f>
        <v/>
      </c>
      <c r="J221" s="25" t="str">
        <f>IF(Registro_Compras!$R221&lt;&gt;"SI","",Registro_Compras!$X221)</f>
        <v/>
      </c>
      <c r="K221" t="str">
        <f>IF(Registro_Compras!$R221&lt;&gt;"SI","",IF(Registro_Compras!$X221="","PENDIENTE","DEPOSITADA"))</f>
        <v/>
      </c>
      <c r="L221" t="str">
        <f>IF(Registro_Compras!$R221&lt;&gt;"SI","",Registro_Compras!$Z221)</f>
        <v/>
      </c>
      <c r="M221" t="str">
        <f t="shared" ca="1" si="6"/>
        <v/>
      </c>
      <c r="N221" t="str">
        <f t="shared" ca="1" si="7"/>
        <v/>
      </c>
    </row>
    <row r="222" spans="1:14" x14ac:dyDescent="0.25">
      <c r="A222" s="25" t="str">
        <f>IF(Registro_Compras!$R222&lt;&gt;"SI","",Registro_Compras!$B222)</f>
        <v/>
      </c>
      <c r="B222" t="str">
        <f>IF(Registro_Compras!$R222&lt;&gt;"SI","",Registro_Compras!$C222)</f>
        <v/>
      </c>
      <c r="C222" t="str">
        <f>IF(Registro_Compras!$R222&lt;&gt;"SI","",Registro_Compras!$D222)</f>
        <v/>
      </c>
      <c r="D222" t="str">
        <f>IF(Registro_Compras!$R222&lt;&gt;"SI","",Registro_Compras!$E222)</f>
        <v/>
      </c>
      <c r="E222" t="str">
        <f>IF(Registro_Compras!$R222&lt;&gt;"SI","",Registro_Compras!$G222)</f>
        <v/>
      </c>
      <c r="F222" s="31" t="str">
        <f>IF(Registro_Compras!$R222&lt;&gt;"SI","",Registro_Compras!$P222)</f>
        <v/>
      </c>
      <c r="G222" s="20" t="str">
        <f>IF(Registro_Compras!$R222&lt;&gt;"SI","",Registro_Compras!$O222)</f>
        <v/>
      </c>
      <c r="H222" s="20" t="str">
        <f>IF(Registro_Compras!$R222&lt;&gt;"SI","",Registro_Compras!$S222)</f>
        <v/>
      </c>
      <c r="I222" s="25" t="str">
        <f>IF(Registro_Compras!$R222&lt;&gt;"SI","",IF(Registro_Compras!$Y222="",WORKDAY(EOMONTH(Registro_Compras!$B222,0),5,Feriados),MIN(Registro_Compras!$Y222,WORKDAY(EOMONTH(Registro_Compras!$B222,0),5,Feriados))))</f>
        <v/>
      </c>
      <c r="J222" s="25" t="str">
        <f>IF(Registro_Compras!$R222&lt;&gt;"SI","",Registro_Compras!$X222)</f>
        <v/>
      </c>
      <c r="K222" t="str">
        <f>IF(Registro_Compras!$R222&lt;&gt;"SI","",IF(Registro_Compras!$X222="","PENDIENTE","DEPOSITADA"))</f>
        <v/>
      </c>
      <c r="L222" t="str">
        <f>IF(Registro_Compras!$R222&lt;&gt;"SI","",Registro_Compras!$Z222)</f>
        <v/>
      </c>
      <c r="M222" t="str">
        <f t="shared" ca="1" si="6"/>
        <v/>
      </c>
      <c r="N222" t="str">
        <f t="shared" ca="1" si="7"/>
        <v/>
      </c>
    </row>
    <row r="223" spans="1:14" x14ac:dyDescent="0.25">
      <c r="A223" s="25" t="str">
        <f>IF(Registro_Compras!$R223&lt;&gt;"SI","",Registro_Compras!$B223)</f>
        <v/>
      </c>
      <c r="B223" t="str">
        <f>IF(Registro_Compras!$R223&lt;&gt;"SI","",Registro_Compras!$C223)</f>
        <v/>
      </c>
      <c r="C223" t="str">
        <f>IF(Registro_Compras!$R223&lt;&gt;"SI","",Registro_Compras!$D223)</f>
        <v/>
      </c>
      <c r="D223" t="str">
        <f>IF(Registro_Compras!$R223&lt;&gt;"SI","",Registro_Compras!$E223)</f>
        <v/>
      </c>
      <c r="E223" t="str">
        <f>IF(Registro_Compras!$R223&lt;&gt;"SI","",Registro_Compras!$G223)</f>
        <v/>
      </c>
      <c r="F223" s="31" t="str">
        <f>IF(Registro_Compras!$R223&lt;&gt;"SI","",Registro_Compras!$P223)</f>
        <v/>
      </c>
      <c r="G223" s="20" t="str">
        <f>IF(Registro_Compras!$R223&lt;&gt;"SI","",Registro_Compras!$O223)</f>
        <v/>
      </c>
      <c r="H223" s="20" t="str">
        <f>IF(Registro_Compras!$R223&lt;&gt;"SI","",Registro_Compras!$S223)</f>
        <v/>
      </c>
      <c r="I223" s="25" t="str">
        <f>IF(Registro_Compras!$R223&lt;&gt;"SI","",IF(Registro_Compras!$Y223="",WORKDAY(EOMONTH(Registro_Compras!$B223,0),5,Feriados),MIN(Registro_Compras!$Y223,WORKDAY(EOMONTH(Registro_Compras!$B223,0),5,Feriados))))</f>
        <v/>
      </c>
      <c r="J223" s="25" t="str">
        <f>IF(Registro_Compras!$R223&lt;&gt;"SI","",Registro_Compras!$X223)</f>
        <v/>
      </c>
      <c r="K223" t="str">
        <f>IF(Registro_Compras!$R223&lt;&gt;"SI","",IF(Registro_Compras!$X223="","PENDIENTE","DEPOSITADA"))</f>
        <v/>
      </c>
      <c r="L223" t="str">
        <f>IF(Registro_Compras!$R223&lt;&gt;"SI","",Registro_Compras!$Z223)</f>
        <v/>
      </c>
      <c r="M223" t="str">
        <f t="shared" ca="1" si="6"/>
        <v/>
      </c>
      <c r="N223" t="str">
        <f t="shared" ca="1" si="7"/>
        <v/>
      </c>
    </row>
    <row r="224" spans="1:14" x14ac:dyDescent="0.25">
      <c r="A224" s="25" t="str">
        <f>IF(Registro_Compras!$R224&lt;&gt;"SI","",Registro_Compras!$B224)</f>
        <v/>
      </c>
      <c r="B224" t="str">
        <f>IF(Registro_Compras!$R224&lt;&gt;"SI","",Registro_Compras!$C224)</f>
        <v/>
      </c>
      <c r="C224" t="str">
        <f>IF(Registro_Compras!$R224&lt;&gt;"SI","",Registro_Compras!$D224)</f>
        <v/>
      </c>
      <c r="D224" t="str">
        <f>IF(Registro_Compras!$R224&lt;&gt;"SI","",Registro_Compras!$E224)</f>
        <v/>
      </c>
      <c r="E224" t="str">
        <f>IF(Registro_Compras!$R224&lt;&gt;"SI","",Registro_Compras!$G224)</f>
        <v/>
      </c>
      <c r="F224" s="31" t="str">
        <f>IF(Registro_Compras!$R224&lt;&gt;"SI","",Registro_Compras!$P224)</f>
        <v/>
      </c>
      <c r="G224" s="20" t="str">
        <f>IF(Registro_Compras!$R224&lt;&gt;"SI","",Registro_Compras!$O224)</f>
        <v/>
      </c>
      <c r="H224" s="20" t="str">
        <f>IF(Registro_Compras!$R224&lt;&gt;"SI","",Registro_Compras!$S224)</f>
        <v/>
      </c>
      <c r="I224" s="25" t="str">
        <f>IF(Registro_Compras!$R224&lt;&gt;"SI","",IF(Registro_Compras!$Y224="",WORKDAY(EOMONTH(Registro_Compras!$B224,0),5,Feriados),MIN(Registro_Compras!$Y224,WORKDAY(EOMONTH(Registro_Compras!$B224,0),5,Feriados))))</f>
        <v/>
      </c>
      <c r="J224" s="25" t="str">
        <f>IF(Registro_Compras!$R224&lt;&gt;"SI","",Registro_Compras!$X224)</f>
        <v/>
      </c>
      <c r="K224" t="str">
        <f>IF(Registro_Compras!$R224&lt;&gt;"SI","",IF(Registro_Compras!$X224="","PENDIENTE","DEPOSITADA"))</f>
        <v/>
      </c>
      <c r="L224" t="str">
        <f>IF(Registro_Compras!$R224&lt;&gt;"SI","",Registro_Compras!$Z224)</f>
        <v/>
      </c>
      <c r="M224" t="str">
        <f t="shared" ca="1" si="6"/>
        <v/>
      </c>
      <c r="N224" t="str">
        <f t="shared" ca="1" si="7"/>
        <v/>
      </c>
    </row>
    <row r="225" spans="1:14" x14ac:dyDescent="0.25">
      <c r="A225" s="25" t="str">
        <f>IF(Registro_Compras!$R225&lt;&gt;"SI","",Registro_Compras!$B225)</f>
        <v/>
      </c>
      <c r="B225" t="str">
        <f>IF(Registro_Compras!$R225&lt;&gt;"SI","",Registro_Compras!$C225)</f>
        <v/>
      </c>
      <c r="C225" t="str">
        <f>IF(Registro_Compras!$R225&lt;&gt;"SI","",Registro_Compras!$D225)</f>
        <v/>
      </c>
      <c r="D225" t="str">
        <f>IF(Registro_Compras!$R225&lt;&gt;"SI","",Registro_Compras!$E225)</f>
        <v/>
      </c>
      <c r="E225" t="str">
        <f>IF(Registro_Compras!$R225&lt;&gt;"SI","",Registro_Compras!$G225)</f>
        <v/>
      </c>
      <c r="F225" s="31" t="str">
        <f>IF(Registro_Compras!$R225&lt;&gt;"SI","",Registro_Compras!$P225)</f>
        <v/>
      </c>
      <c r="G225" s="20" t="str">
        <f>IF(Registro_Compras!$R225&lt;&gt;"SI","",Registro_Compras!$O225)</f>
        <v/>
      </c>
      <c r="H225" s="20" t="str">
        <f>IF(Registro_Compras!$R225&lt;&gt;"SI","",Registro_Compras!$S225)</f>
        <v/>
      </c>
      <c r="I225" s="25" t="str">
        <f>IF(Registro_Compras!$R225&lt;&gt;"SI","",IF(Registro_Compras!$Y225="",WORKDAY(EOMONTH(Registro_Compras!$B225,0),5,Feriados),MIN(Registro_Compras!$Y225,WORKDAY(EOMONTH(Registro_Compras!$B225,0),5,Feriados))))</f>
        <v/>
      </c>
      <c r="J225" s="25" t="str">
        <f>IF(Registro_Compras!$R225&lt;&gt;"SI","",Registro_Compras!$X225)</f>
        <v/>
      </c>
      <c r="K225" t="str">
        <f>IF(Registro_Compras!$R225&lt;&gt;"SI","",IF(Registro_Compras!$X225="","PENDIENTE","DEPOSITADA"))</f>
        <v/>
      </c>
      <c r="L225" t="str">
        <f>IF(Registro_Compras!$R225&lt;&gt;"SI","",Registro_Compras!$Z225)</f>
        <v/>
      </c>
      <c r="M225" t="str">
        <f t="shared" ca="1" si="6"/>
        <v/>
      </c>
      <c r="N225" t="str">
        <f t="shared" ca="1" si="7"/>
        <v/>
      </c>
    </row>
    <row r="226" spans="1:14" x14ac:dyDescent="0.25">
      <c r="A226" s="25" t="str">
        <f>IF(Registro_Compras!$R226&lt;&gt;"SI","",Registro_Compras!$B226)</f>
        <v/>
      </c>
      <c r="B226" t="str">
        <f>IF(Registro_Compras!$R226&lt;&gt;"SI","",Registro_Compras!$C226)</f>
        <v/>
      </c>
      <c r="C226" t="str">
        <f>IF(Registro_Compras!$R226&lt;&gt;"SI","",Registro_Compras!$D226)</f>
        <v/>
      </c>
      <c r="D226" t="str">
        <f>IF(Registro_Compras!$R226&lt;&gt;"SI","",Registro_Compras!$E226)</f>
        <v/>
      </c>
      <c r="E226" t="str">
        <f>IF(Registro_Compras!$R226&lt;&gt;"SI","",Registro_Compras!$G226)</f>
        <v/>
      </c>
      <c r="F226" s="31" t="str">
        <f>IF(Registro_Compras!$R226&lt;&gt;"SI","",Registro_Compras!$P226)</f>
        <v/>
      </c>
      <c r="G226" s="20" t="str">
        <f>IF(Registro_Compras!$R226&lt;&gt;"SI","",Registro_Compras!$O226)</f>
        <v/>
      </c>
      <c r="H226" s="20" t="str">
        <f>IF(Registro_Compras!$R226&lt;&gt;"SI","",Registro_Compras!$S226)</f>
        <v/>
      </c>
      <c r="I226" s="25" t="str">
        <f>IF(Registro_Compras!$R226&lt;&gt;"SI","",IF(Registro_Compras!$Y226="",WORKDAY(EOMONTH(Registro_Compras!$B226,0),5,Feriados),MIN(Registro_Compras!$Y226,WORKDAY(EOMONTH(Registro_Compras!$B226,0),5,Feriados))))</f>
        <v/>
      </c>
      <c r="J226" s="25" t="str">
        <f>IF(Registro_Compras!$R226&lt;&gt;"SI","",Registro_Compras!$X226)</f>
        <v/>
      </c>
      <c r="K226" t="str">
        <f>IF(Registro_Compras!$R226&lt;&gt;"SI","",IF(Registro_Compras!$X226="","PENDIENTE","DEPOSITADA"))</f>
        <v/>
      </c>
      <c r="L226" t="str">
        <f>IF(Registro_Compras!$R226&lt;&gt;"SI","",Registro_Compras!$Z226)</f>
        <v/>
      </c>
      <c r="M226" t="str">
        <f t="shared" ca="1" si="6"/>
        <v/>
      </c>
      <c r="N226" t="str">
        <f t="shared" ca="1" si="7"/>
        <v/>
      </c>
    </row>
    <row r="227" spans="1:14" x14ac:dyDescent="0.25">
      <c r="A227" s="25" t="str">
        <f>IF(Registro_Compras!$R227&lt;&gt;"SI","",Registro_Compras!$B227)</f>
        <v/>
      </c>
      <c r="B227" t="str">
        <f>IF(Registro_Compras!$R227&lt;&gt;"SI","",Registro_Compras!$C227)</f>
        <v/>
      </c>
      <c r="C227" t="str">
        <f>IF(Registro_Compras!$R227&lt;&gt;"SI","",Registro_Compras!$D227)</f>
        <v/>
      </c>
      <c r="D227" t="str">
        <f>IF(Registro_Compras!$R227&lt;&gt;"SI","",Registro_Compras!$E227)</f>
        <v/>
      </c>
      <c r="E227" t="str">
        <f>IF(Registro_Compras!$R227&lt;&gt;"SI","",Registro_Compras!$G227)</f>
        <v/>
      </c>
      <c r="F227" s="31" t="str">
        <f>IF(Registro_Compras!$R227&lt;&gt;"SI","",Registro_Compras!$P227)</f>
        <v/>
      </c>
      <c r="G227" s="20" t="str">
        <f>IF(Registro_Compras!$R227&lt;&gt;"SI","",Registro_Compras!$O227)</f>
        <v/>
      </c>
      <c r="H227" s="20" t="str">
        <f>IF(Registro_Compras!$R227&lt;&gt;"SI","",Registro_Compras!$S227)</f>
        <v/>
      </c>
      <c r="I227" s="25" t="str">
        <f>IF(Registro_Compras!$R227&lt;&gt;"SI","",IF(Registro_Compras!$Y227="",WORKDAY(EOMONTH(Registro_Compras!$B227,0),5,Feriados),MIN(Registro_Compras!$Y227,WORKDAY(EOMONTH(Registro_Compras!$B227,0),5,Feriados))))</f>
        <v/>
      </c>
      <c r="J227" s="25" t="str">
        <f>IF(Registro_Compras!$R227&lt;&gt;"SI","",Registro_Compras!$X227)</f>
        <v/>
      </c>
      <c r="K227" t="str">
        <f>IF(Registro_Compras!$R227&lt;&gt;"SI","",IF(Registro_Compras!$X227="","PENDIENTE","DEPOSITADA"))</f>
        <v/>
      </c>
      <c r="L227" t="str">
        <f>IF(Registro_Compras!$R227&lt;&gt;"SI","",Registro_Compras!$Z227)</f>
        <v/>
      </c>
      <c r="M227" t="str">
        <f t="shared" ca="1" si="6"/>
        <v/>
      </c>
      <c r="N227" t="str">
        <f t="shared" ca="1" si="7"/>
        <v/>
      </c>
    </row>
    <row r="228" spans="1:14" x14ac:dyDescent="0.25">
      <c r="A228" s="25" t="str">
        <f>IF(Registro_Compras!$R228&lt;&gt;"SI","",Registro_Compras!$B228)</f>
        <v/>
      </c>
      <c r="B228" t="str">
        <f>IF(Registro_Compras!$R228&lt;&gt;"SI","",Registro_Compras!$C228)</f>
        <v/>
      </c>
      <c r="C228" t="str">
        <f>IF(Registro_Compras!$R228&lt;&gt;"SI","",Registro_Compras!$D228)</f>
        <v/>
      </c>
      <c r="D228" t="str">
        <f>IF(Registro_Compras!$R228&lt;&gt;"SI","",Registro_Compras!$E228)</f>
        <v/>
      </c>
      <c r="E228" t="str">
        <f>IF(Registro_Compras!$R228&lt;&gt;"SI","",Registro_Compras!$G228)</f>
        <v/>
      </c>
      <c r="F228" s="31" t="str">
        <f>IF(Registro_Compras!$R228&lt;&gt;"SI","",Registro_Compras!$P228)</f>
        <v/>
      </c>
      <c r="G228" s="20" t="str">
        <f>IF(Registro_Compras!$R228&lt;&gt;"SI","",Registro_Compras!$O228)</f>
        <v/>
      </c>
      <c r="H228" s="20" t="str">
        <f>IF(Registro_Compras!$R228&lt;&gt;"SI","",Registro_Compras!$S228)</f>
        <v/>
      </c>
      <c r="I228" s="25" t="str">
        <f>IF(Registro_Compras!$R228&lt;&gt;"SI","",IF(Registro_Compras!$Y228="",WORKDAY(EOMONTH(Registro_Compras!$B228,0),5,Feriados),MIN(Registro_Compras!$Y228,WORKDAY(EOMONTH(Registro_Compras!$B228,0),5,Feriados))))</f>
        <v/>
      </c>
      <c r="J228" s="25" t="str">
        <f>IF(Registro_Compras!$R228&lt;&gt;"SI","",Registro_Compras!$X228)</f>
        <v/>
      </c>
      <c r="K228" t="str">
        <f>IF(Registro_Compras!$R228&lt;&gt;"SI","",IF(Registro_Compras!$X228="","PENDIENTE","DEPOSITADA"))</f>
        <v/>
      </c>
      <c r="L228" t="str">
        <f>IF(Registro_Compras!$R228&lt;&gt;"SI","",Registro_Compras!$Z228)</f>
        <v/>
      </c>
      <c r="M228" t="str">
        <f t="shared" ca="1" si="6"/>
        <v/>
      </c>
      <c r="N228" t="str">
        <f t="shared" ca="1" si="7"/>
        <v/>
      </c>
    </row>
    <row r="229" spans="1:14" x14ac:dyDescent="0.25">
      <c r="A229" s="25" t="str">
        <f>IF(Registro_Compras!$R229&lt;&gt;"SI","",Registro_Compras!$B229)</f>
        <v/>
      </c>
      <c r="B229" t="str">
        <f>IF(Registro_Compras!$R229&lt;&gt;"SI","",Registro_Compras!$C229)</f>
        <v/>
      </c>
      <c r="C229" t="str">
        <f>IF(Registro_Compras!$R229&lt;&gt;"SI","",Registro_Compras!$D229)</f>
        <v/>
      </c>
      <c r="D229" t="str">
        <f>IF(Registro_Compras!$R229&lt;&gt;"SI","",Registro_Compras!$E229)</f>
        <v/>
      </c>
      <c r="E229" t="str">
        <f>IF(Registro_Compras!$R229&lt;&gt;"SI","",Registro_Compras!$G229)</f>
        <v/>
      </c>
      <c r="F229" s="31" t="str">
        <f>IF(Registro_Compras!$R229&lt;&gt;"SI","",Registro_Compras!$P229)</f>
        <v/>
      </c>
      <c r="G229" s="20" t="str">
        <f>IF(Registro_Compras!$R229&lt;&gt;"SI","",Registro_Compras!$O229)</f>
        <v/>
      </c>
      <c r="H229" s="20" t="str">
        <f>IF(Registro_Compras!$R229&lt;&gt;"SI","",Registro_Compras!$S229)</f>
        <v/>
      </c>
      <c r="I229" s="25" t="str">
        <f>IF(Registro_Compras!$R229&lt;&gt;"SI","",IF(Registro_Compras!$Y229="",WORKDAY(EOMONTH(Registro_Compras!$B229,0),5,Feriados),MIN(Registro_Compras!$Y229,WORKDAY(EOMONTH(Registro_Compras!$B229,0),5,Feriados))))</f>
        <v/>
      </c>
      <c r="J229" s="25" t="str">
        <f>IF(Registro_Compras!$R229&lt;&gt;"SI","",Registro_Compras!$X229)</f>
        <v/>
      </c>
      <c r="K229" t="str">
        <f>IF(Registro_Compras!$R229&lt;&gt;"SI","",IF(Registro_Compras!$X229="","PENDIENTE","DEPOSITADA"))</f>
        <v/>
      </c>
      <c r="L229" t="str">
        <f>IF(Registro_Compras!$R229&lt;&gt;"SI","",Registro_Compras!$Z229)</f>
        <v/>
      </c>
      <c r="M229" t="str">
        <f t="shared" ca="1" si="6"/>
        <v/>
      </c>
      <c r="N229" t="str">
        <f t="shared" ca="1" si="7"/>
        <v/>
      </c>
    </row>
    <row r="230" spans="1:14" x14ac:dyDescent="0.25">
      <c r="A230" s="25" t="str">
        <f>IF(Registro_Compras!$R230&lt;&gt;"SI","",Registro_Compras!$B230)</f>
        <v/>
      </c>
      <c r="B230" t="str">
        <f>IF(Registro_Compras!$R230&lt;&gt;"SI","",Registro_Compras!$C230)</f>
        <v/>
      </c>
      <c r="C230" t="str">
        <f>IF(Registro_Compras!$R230&lt;&gt;"SI","",Registro_Compras!$D230)</f>
        <v/>
      </c>
      <c r="D230" t="str">
        <f>IF(Registro_Compras!$R230&lt;&gt;"SI","",Registro_Compras!$E230)</f>
        <v/>
      </c>
      <c r="E230" t="str">
        <f>IF(Registro_Compras!$R230&lt;&gt;"SI","",Registro_Compras!$G230)</f>
        <v/>
      </c>
      <c r="F230" s="31" t="str">
        <f>IF(Registro_Compras!$R230&lt;&gt;"SI","",Registro_Compras!$P230)</f>
        <v/>
      </c>
      <c r="G230" s="20" t="str">
        <f>IF(Registro_Compras!$R230&lt;&gt;"SI","",Registro_Compras!$O230)</f>
        <v/>
      </c>
      <c r="H230" s="20" t="str">
        <f>IF(Registro_Compras!$R230&lt;&gt;"SI","",Registro_Compras!$S230)</f>
        <v/>
      </c>
      <c r="I230" s="25" t="str">
        <f>IF(Registro_Compras!$R230&lt;&gt;"SI","",IF(Registro_Compras!$Y230="",WORKDAY(EOMONTH(Registro_Compras!$B230,0),5,Feriados),MIN(Registro_Compras!$Y230,WORKDAY(EOMONTH(Registro_Compras!$B230,0),5,Feriados))))</f>
        <v/>
      </c>
      <c r="J230" s="25" t="str">
        <f>IF(Registro_Compras!$R230&lt;&gt;"SI","",Registro_Compras!$X230)</f>
        <v/>
      </c>
      <c r="K230" t="str">
        <f>IF(Registro_Compras!$R230&lt;&gt;"SI","",IF(Registro_Compras!$X230="","PENDIENTE","DEPOSITADA"))</f>
        <v/>
      </c>
      <c r="L230" t="str">
        <f>IF(Registro_Compras!$R230&lt;&gt;"SI","",Registro_Compras!$Z230)</f>
        <v/>
      </c>
      <c r="M230" t="str">
        <f t="shared" ca="1" si="6"/>
        <v/>
      </c>
      <c r="N230" t="str">
        <f t="shared" ca="1" si="7"/>
        <v/>
      </c>
    </row>
    <row r="231" spans="1:14" x14ac:dyDescent="0.25">
      <c r="A231" s="25" t="str">
        <f>IF(Registro_Compras!$R231&lt;&gt;"SI","",Registro_Compras!$B231)</f>
        <v/>
      </c>
      <c r="B231" t="str">
        <f>IF(Registro_Compras!$R231&lt;&gt;"SI","",Registro_Compras!$C231)</f>
        <v/>
      </c>
      <c r="C231" t="str">
        <f>IF(Registro_Compras!$R231&lt;&gt;"SI","",Registro_Compras!$D231)</f>
        <v/>
      </c>
      <c r="D231" t="str">
        <f>IF(Registro_Compras!$R231&lt;&gt;"SI","",Registro_Compras!$E231)</f>
        <v/>
      </c>
      <c r="E231" t="str">
        <f>IF(Registro_Compras!$R231&lt;&gt;"SI","",Registro_Compras!$G231)</f>
        <v/>
      </c>
      <c r="F231" s="31" t="str">
        <f>IF(Registro_Compras!$R231&lt;&gt;"SI","",Registro_Compras!$P231)</f>
        <v/>
      </c>
      <c r="G231" s="20" t="str">
        <f>IF(Registro_Compras!$R231&lt;&gt;"SI","",Registro_Compras!$O231)</f>
        <v/>
      </c>
      <c r="H231" s="20" t="str">
        <f>IF(Registro_Compras!$R231&lt;&gt;"SI","",Registro_Compras!$S231)</f>
        <v/>
      </c>
      <c r="I231" s="25" t="str">
        <f>IF(Registro_Compras!$R231&lt;&gt;"SI","",IF(Registro_Compras!$Y231="",WORKDAY(EOMONTH(Registro_Compras!$B231,0),5,Feriados),MIN(Registro_Compras!$Y231,WORKDAY(EOMONTH(Registro_Compras!$B231,0),5,Feriados))))</f>
        <v/>
      </c>
      <c r="J231" s="25" t="str">
        <f>IF(Registro_Compras!$R231&lt;&gt;"SI","",Registro_Compras!$X231)</f>
        <v/>
      </c>
      <c r="K231" t="str">
        <f>IF(Registro_Compras!$R231&lt;&gt;"SI","",IF(Registro_Compras!$X231="","PENDIENTE","DEPOSITADA"))</f>
        <v/>
      </c>
      <c r="L231" t="str">
        <f>IF(Registro_Compras!$R231&lt;&gt;"SI","",Registro_Compras!$Z231)</f>
        <v/>
      </c>
      <c r="M231" t="str">
        <f t="shared" ca="1" si="6"/>
        <v/>
      </c>
      <c r="N231" t="str">
        <f t="shared" ca="1" si="7"/>
        <v/>
      </c>
    </row>
    <row r="232" spans="1:14" x14ac:dyDescent="0.25">
      <c r="A232" s="25" t="str">
        <f>IF(Registro_Compras!$R232&lt;&gt;"SI","",Registro_Compras!$B232)</f>
        <v/>
      </c>
      <c r="B232" t="str">
        <f>IF(Registro_Compras!$R232&lt;&gt;"SI","",Registro_Compras!$C232)</f>
        <v/>
      </c>
      <c r="C232" t="str">
        <f>IF(Registro_Compras!$R232&lt;&gt;"SI","",Registro_Compras!$D232)</f>
        <v/>
      </c>
      <c r="D232" t="str">
        <f>IF(Registro_Compras!$R232&lt;&gt;"SI","",Registro_Compras!$E232)</f>
        <v/>
      </c>
      <c r="E232" t="str">
        <f>IF(Registro_Compras!$R232&lt;&gt;"SI","",Registro_Compras!$G232)</f>
        <v/>
      </c>
      <c r="F232" s="31" t="str">
        <f>IF(Registro_Compras!$R232&lt;&gt;"SI","",Registro_Compras!$P232)</f>
        <v/>
      </c>
      <c r="G232" s="20" t="str">
        <f>IF(Registro_Compras!$R232&lt;&gt;"SI","",Registro_Compras!$O232)</f>
        <v/>
      </c>
      <c r="H232" s="20" t="str">
        <f>IF(Registro_Compras!$R232&lt;&gt;"SI","",Registro_Compras!$S232)</f>
        <v/>
      </c>
      <c r="I232" s="25" t="str">
        <f>IF(Registro_Compras!$R232&lt;&gt;"SI","",IF(Registro_Compras!$Y232="",WORKDAY(EOMONTH(Registro_Compras!$B232,0),5,Feriados),MIN(Registro_Compras!$Y232,WORKDAY(EOMONTH(Registro_Compras!$B232,0),5,Feriados))))</f>
        <v/>
      </c>
      <c r="J232" s="25" t="str">
        <f>IF(Registro_Compras!$R232&lt;&gt;"SI","",Registro_Compras!$X232)</f>
        <v/>
      </c>
      <c r="K232" t="str">
        <f>IF(Registro_Compras!$R232&lt;&gt;"SI","",IF(Registro_Compras!$X232="","PENDIENTE","DEPOSITADA"))</f>
        <v/>
      </c>
      <c r="L232" t="str">
        <f>IF(Registro_Compras!$R232&lt;&gt;"SI","",Registro_Compras!$Z232)</f>
        <v/>
      </c>
      <c r="M232" t="str">
        <f t="shared" ca="1" si="6"/>
        <v/>
      </c>
      <c r="N232" t="str">
        <f t="shared" ca="1" si="7"/>
        <v/>
      </c>
    </row>
    <row r="233" spans="1:14" x14ac:dyDescent="0.25">
      <c r="A233" s="25" t="str">
        <f>IF(Registro_Compras!$R233&lt;&gt;"SI","",Registro_Compras!$B233)</f>
        <v/>
      </c>
      <c r="B233" t="str">
        <f>IF(Registro_Compras!$R233&lt;&gt;"SI","",Registro_Compras!$C233)</f>
        <v/>
      </c>
      <c r="C233" t="str">
        <f>IF(Registro_Compras!$R233&lt;&gt;"SI","",Registro_Compras!$D233)</f>
        <v/>
      </c>
      <c r="D233" t="str">
        <f>IF(Registro_Compras!$R233&lt;&gt;"SI","",Registro_Compras!$E233)</f>
        <v/>
      </c>
      <c r="E233" t="str">
        <f>IF(Registro_Compras!$R233&lt;&gt;"SI","",Registro_Compras!$G233)</f>
        <v/>
      </c>
      <c r="F233" s="31" t="str">
        <f>IF(Registro_Compras!$R233&lt;&gt;"SI","",Registro_Compras!$P233)</f>
        <v/>
      </c>
      <c r="G233" s="20" t="str">
        <f>IF(Registro_Compras!$R233&lt;&gt;"SI","",Registro_Compras!$O233)</f>
        <v/>
      </c>
      <c r="H233" s="20" t="str">
        <f>IF(Registro_Compras!$R233&lt;&gt;"SI","",Registro_Compras!$S233)</f>
        <v/>
      </c>
      <c r="I233" s="25" t="str">
        <f>IF(Registro_Compras!$R233&lt;&gt;"SI","",IF(Registro_Compras!$Y233="",WORKDAY(EOMONTH(Registro_Compras!$B233,0),5,Feriados),MIN(Registro_Compras!$Y233,WORKDAY(EOMONTH(Registro_Compras!$B233,0),5,Feriados))))</f>
        <v/>
      </c>
      <c r="J233" s="25" t="str">
        <f>IF(Registro_Compras!$R233&lt;&gt;"SI","",Registro_Compras!$X233)</f>
        <v/>
      </c>
      <c r="K233" t="str">
        <f>IF(Registro_Compras!$R233&lt;&gt;"SI","",IF(Registro_Compras!$X233="","PENDIENTE","DEPOSITADA"))</f>
        <v/>
      </c>
      <c r="L233" t="str">
        <f>IF(Registro_Compras!$R233&lt;&gt;"SI","",Registro_Compras!$Z233)</f>
        <v/>
      </c>
      <c r="M233" t="str">
        <f t="shared" ca="1" si="6"/>
        <v/>
      </c>
      <c r="N233" t="str">
        <f t="shared" ca="1" si="7"/>
        <v/>
      </c>
    </row>
    <row r="234" spans="1:14" x14ac:dyDescent="0.25">
      <c r="A234" s="25" t="str">
        <f>IF(Registro_Compras!$R234&lt;&gt;"SI","",Registro_Compras!$B234)</f>
        <v/>
      </c>
      <c r="B234" t="str">
        <f>IF(Registro_Compras!$R234&lt;&gt;"SI","",Registro_Compras!$C234)</f>
        <v/>
      </c>
      <c r="C234" t="str">
        <f>IF(Registro_Compras!$R234&lt;&gt;"SI","",Registro_Compras!$D234)</f>
        <v/>
      </c>
      <c r="D234" t="str">
        <f>IF(Registro_Compras!$R234&lt;&gt;"SI","",Registro_Compras!$E234)</f>
        <v/>
      </c>
      <c r="E234" t="str">
        <f>IF(Registro_Compras!$R234&lt;&gt;"SI","",Registro_Compras!$G234)</f>
        <v/>
      </c>
      <c r="F234" s="31" t="str">
        <f>IF(Registro_Compras!$R234&lt;&gt;"SI","",Registro_Compras!$P234)</f>
        <v/>
      </c>
      <c r="G234" s="20" t="str">
        <f>IF(Registro_Compras!$R234&lt;&gt;"SI","",Registro_Compras!$O234)</f>
        <v/>
      </c>
      <c r="H234" s="20" t="str">
        <f>IF(Registro_Compras!$R234&lt;&gt;"SI","",Registro_Compras!$S234)</f>
        <v/>
      </c>
      <c r="I234" s="25" t="str">
        <f>IF(Registro_Compras!$R234&lt;&gt;"SI","",IF(Registro_Compras!$Y234="",WORKDAY(EOMONTH(Registro_Compras!$B234,0),5,Feriados),MIN(Registro_Compras!$Y234,WORKDAY(EOMONTH(Registro_Compras!$B234,0),5,Feriados))))</f>
        <v/>
      </c>
      <c r="J234" s="25" t="str">
        <f>IF(Registro_Compras!$R234&lt;&gt;"SI","",Registro_Compras!$X234)</f>
        <v/>
      </c>
      <c r="K234" t="str">
        <f>IF(Registro_Compras!$R234&lt;&gt;"SI","",IF(Registro_Compras!$X234="","PENDIENTE","DEPOSITADA"))</f>
        <v/>
      </c>
      <c r="L234" t="str">
        <f>IF(Registro_Compras!$R234&lt;&gt;"SI","",Registro_Compras!$Z234)</f>
        <v/>
      </c>
      <c r="M234" t="str">
        <f t="shared" ca="1" si="6"/>
        <v/>
      </c>
      <c r="N234" t="str">
        <f t="shared" ca="1" si="7"/>
        <v/>
      </c>
    </row>
    <row r="235" spans="1:14" x14ac:dyDescent="0.25">
      <c r="A235" s="25" t="str">
        <f>IF(Registro_Compras!$R235&lt;&gt;"SI","",Registro_Compras!$B235)</f>
        <v/>
      </c>
      <c r="B235" t="str">
        <f>IF(Registro_Compras!$R235&lt;&gt;"SI","",Registro_Compras!$C235)</f>
        <v/>
      </c>
      <c r="C235" t="str">
        <f>IF(Registro_Compras!$R235&lt;&gt;"SI","",Registro_Compras!$D235)</f>
        <v/>
      </c>
      <c r="D235" t="str">
        <f>IF(Registro_Compras!$R235&lt;&gt;"SI","",Registro_Compras!$E235)</f>
        <v/>
      </c>
      <c r="E235" t="str">
        <f>IF(Registro_Compras!$R235&lt;&gt;"SI","",Registro_Compras!$G235)</f>
        <v/>
      </c>
      <c r="F235" s="31" t="str">
        <f>IF(Registro_Compras!$R235&lt;&gt;"SI","",Registro_Compras!$P235)</f>
        <v/>
      </c>
      <c r="G235" s="20" t="str">
        <f>IF(Registro_Compras!$R235&lt;&gt;"SI","",Registro_Compras!$O235)</f>
        <v/>
      </c>
      <c r="H235" s="20" t="str">
        <f>IF(Registro_Compras!$R235&lt;&gt;"SI","",Registro_Compras!$S235)</f>
        <v/>
      </c>
      <c r="I235" s="25" t="str">
        <f>IF(Registro_Compras!$R235&lt;&gt;"SI","",IF(Registro_Compras!$Y235="",WORKDAY(EOMONTH(Registro_Compras!$B235,0),5,Feriados),MIN(Registro_Compras!$Y235,WORKDAY(EOMONTH(Registro_Compras!$B235,0),5,Feriados))))</f>
        <v/>
      </c>
      <c r="J235" s="25" t="str">
        <f>IF(Registro_Compras!$R235&lt;&gt;"SI","",Registro_Compras!$X235)</f>
        <v/>
      </c>
      <c r="K235" t="str">
        <f>IF(Registro_Compras!$R235&lt;&gt;"SI","",IF(Registro_Compras!$X235="","PENDIENTE","DEPOSITADA"))</f>
        <v/>
      </c>
      <c r="L235" t="str">
        <f>IF(Registro_Compras!$R235&lt;&gt;"SI","",Registro_Compras!$Z235)</f>
        <v/>
      </c>
      <c r="M235" t="str">
        <f t="shared" ca="1" si="6"/>
        <v/>
      </c>
      <c r="N235" t="str">
        <f t="shared" ca="1" si="7"/>
        <v/>
      </c>
    </row>
    <row r="236" spans="1:14" x14ac:dyDescent="0.25">
      <c r="A236" s="25" t="str">
        <f>IF(Registro_Compras!$R236&lt;&gt;"SI","",Registro_Compras!$B236)</f>
        <v/>
      </c>
      <c r="B236" t="str">
        <f>IF(Registro_Compras!$R236&lt;&gt;"SI","",Registro_Compras!$C236)</f>
        <v/>
      </c>
      <c r="C236" t="str">
        <f>IF(Registro_Compras!$R236&lt;&gt;"SI","",Registro_Compras!$D236)</f>
        <v/>
      </c>
      <c r="D236" t="str">
        <f>IF(Registro_Compras!$R236&lt;&gt;"SI","",Registro_Compras!$E236)</f>
        <v/>
      </c>
      <c r="E236" t="str">
        <f>IF(Registro_Compras!$R236&lt;&gt;"SI","",Registro_Compras!$G236)</f>
        <v/>
      </c>
      <c r="F236" s="31" t="str">
        <f>IF(Registro_Compras!$R236&lt;&gt;"SI","",Registro_Compras!$P236)</f>
        <v/>
      </c>
      <c r="G236" s="20" t="str">
        <f>IF(Registro_Compras!$R236&lt;&gt;"SI","",Registro_Compras!$O236)</f>
        <v/>
      </c>
      <c r="H236" s="20" t="str">
        <f>IF(Registro_Compras!$R236&lt;&gt;"SI","",Registro_Compras!$S236)</f>
        <v/>
      </c>
      <c r="I236" s="25" t="str">
        <f>IF(Registro_Compras!$R236&lt;&gt;"SI","",IF(Registro_Compras!$Y236="",WORKDAY(EOMONTH(Registro_Compras!$B236,0),5,Feriados),MIN(Registro_Compras!$Y236,WORKDAY(EOMONTH(Registro_Compras!$B236,0),5,Feriados))))</f>
        <v/>
      </c>
      <c r="J236" s="25" t="str">
        <f>IF(Registro_Compras!$R236&lt;&gt;"SI","",Registro_Compras!$X236)</f>
        <v/>
      </c>
      <c r="K236" t="str">
        <f>IF(Registro_Compras!$R236&lt;&gt;"SI","",IF(Registro_Compras!$X236="","PENDIENTE","DEPOSITADA"))</f>
        <v/>
      </c>
      <c r="L236" t="str">
        <f>IF(Registro_Compras!$R236&lt;&gt;"SI","",Registro_Compras!$Z236)</f>
        <v/>
      </c>
      <c r="M236" t="str">
        <f t="shared" ca="1" si="6"/>
        <v/>
      </c>
      <c r="N236" t="str">
        <f t="shared" ca="1" si="7"/>
        <v/>
      </c>
    </row>
    <row r="237" spans="1:14" x14ac:dyDescent="0.25">
      <c r="A237" s="25" t="str">
        <f>IF(Registro_Compras!$R237&lt;&gt;"SI","",Registro_Compras!$B237)</f>
        <v/>
      </c>
      <c r="B237" t="str">
        <f>IF(Registro_Compras!$R237&lt;&gt;"SI","",Registro_Compras!$C237)</f>
        <v/>
      </c>
      <c r="C237" t="str">
        <f>IF(Registro_Compras!$R237&lt;&gt;"SI","",Registro_Compras!$D237)</f>
        <v/>
      </c>
      <c r="D237" t="str">
        <f>IF(Registro_Compras!$R237&lt;&gt;"SI","",Registro_Compras!$E237)</f>
        <v/>
      </c>
      <c r="E237" t="str">
        <f>IF(Registro_Compras!$R237&lt;&gt;"SI","",Registro_Compras!$G237)</f>
        <v/>
      </c>
      <c r="F237" s="31" t="str">
        <f>IF(Registro_Compras!$R237&lt;&gt;"SI","",Registro_Compras!$P237)</f>
        <v/>
      </c>
      <c r="G237" s="20" t="str">
        <f>IF(Registro_Compras!$R237&lt;&gt;"SI","",Registro_Compras!$O237)</f>
        <v/>
      </c>
      <c r="H237" s="20" t="str">
        <f>IF(Registro_Compras!$R237&lt;&gt;"SI","",Registro_Compras!$S237)</f>
        <v/>
      </c>
      <c r="I237" s="25" t="str">
        <f>IF(Registro_Compras!$R237&lt;&gt;"SI","",IF(Registro_Compras!$Y237="",WORKDAY(EOMONTH(Registro_Compras!$B237,0),5,Feriados),MIN(Registro_Compras!$Y237,WORKDAY(EOMONTH(Registro_Compras!$B237,0),5,Feriados))))</f>
        <v/>
      </c>
      <c r="J237" s="25" t="str">
        <f>IF(Registro_Compras!$R237&lt;&gt;"SI","",Registro_Compras!$X237)</f>
        <v/>
      </c>
      <c r="K237" t="str">
        <f>IF(Registro_Compras!$R237&lt;&gt;"SI","",IF(Registro_Compras!$X237="","PENDIENTE","DEPOSITADA"))</f>
        <v/>
      </c>
      <c r="L237" t="str">
        <f>IF(Registro_Compras!$R237&lt;&gt;"SI","",Registro_Compras!$Z237)</f>
        <v/>
      </c>
      <c r="M237" t="str">
        <f t="shared" ca="1" si="6"/>
        <v/>
      </c>
      <c r="N237" t="str">
        <f t="shared" ca="1" si="7"/>
        <v/>
      </c>
    </row>
    <row r="238" spans="1:14" x14ac:dyDescent="0.25">
      <c r="A238" s="25" t="str">
        <f>IF(Registro_Compras!$R238&lt;&gt;"SI","",Registro_Compras!$B238)</f>
        <v/>
      </c>
      <c r="B238" t="str">
        <f>IF(Registro_Compras!$R238&lt;&gt;"SI","",Registro_Compras!$C238)</f>
        <v/>
      </c>
      <c r="C238" t="str">
        <f>IF(Registro_Compras!$R238&lt;&gt;"SI","",Registro_Compras!$D238)</f>
        <v/>
      </c>
      <c r="D238" t="str">
        <f>IF(Registro_Compras!$R238&lt;&gt;"SI","",Registro_Compras!$E238)</f>
        <v/>
      </c>
      <c r="E238" t="str">
        <f>IF(Registro_Compras!$R238&lt;&gt;"SI","",Registro_Compras!$G238)</f>
        <v/>
      </c>
      <c r="F238" s="31" t="str">
        <f>IF(Registro_Compras!$R238&lt;&gt;"SI","",Registro_Compras!$P238)</f>
        <v/>
      </c>
      <c r="G238" s="20" t="str">
        <f>IF(Registro_Compras!$R238&lt;&gt;"SI","",Registro_Compras!$O238)</f>
        <v/>
      </c>
      <c r="H238" s="20" t="str">
        <f>IF(Registro_Compras!$R238&lt;&gt;"SI","",Registro_Compras!$S238)</f>
        <v/>
      </c>
      <c r="I238" s="25" t="str">
        <f>IF(Registro_Compras!$R238&lt;&gt;"SI","",IF(Registro_Compras!$Y238="",WORKDAY(EOMONTH(Registro_Compras!$B238,0),5,Feriados),MIN(Registro_Compras!$Y238,WORKDAY(EOMONTH(Registro_Compras!$B238,0),5,Feriados))))</f>
        <v/>
      </c>
      <c r="J238" s="25" t="str">
        <f>IF(Registro_Compras!$R238&lt;&gt;"SI","",Registro_Compras!$X238)</f>
        <v/>
      </c>
      <c r="K238" t="str">
        <f>IF(Registro_Compras!$R238&lt;&gt;"SI","",IF(Registro_Compras!$X238="","PENDIENTE","DEPOSITADA"))</f>
        <v/>
      </c>
      <c r="L238" t="str">
        <f>IF(Registro_Compras!$R238&lt;&gt;"SI","",Registro_Compras!$Z238)</f>
        <v/>
      </c>
      <c r="M238" t="str">
        <f t="shared" ca="1" si="6"/>
        <v/>
      </c>
      <c r="N238" t="str">
        <f t="shared" ca="1" si="7"/>
        <v/>
      </c>
    </row>
    <row r="239" spans="1:14" x14ac:dyDescent="0.25">
      <c r="A239" s="25" t="str">
        <f>IF(Registro_Compras!$R239&lt;&gt;"SI","",Registro_Compras!$B239)</f>
        <v/>
      </c>
      <c r="B239" t="str">
        <f>IF(Registro_Compras!$R239&lt;&gt;"SI","",Registro_Compras!$C239)</f>
        <v/>
      </c>
      <c r="C239" t="str">
        <f>IF(Registro_Compras!$R239&lt;&gt;"SI","",Registro_Compras!$D239)</f>
        <v/>
      </c>
      <c r="D239" t="str">
        <f>IF(Registro_Compras!$R239&lt;&gt;"SI","",Registro_Compras!$E239)</f>
        <v/>
      </c>
      <c r="E239" t="str">
        <f>IF(Registro_Compras!$R239&lt;&gt;"SI","",Registro_Compras!$G239)</f>
        <v/>
      </c>
      <c r="F239" s="31" t="str">
        <f>IF(Registro_Compras!$R239&lt;&gt;"SI","",Registro_Compras!$P239)</f>
        <v/>
      </c>
      <c r="G239" s="20" t="str">
        <f>IF(Registro_Compras!$R239&lt;&gt;"SI","",Registro_Compras!$O239)</f>
        <v/>
      </c>
      <c r="H239" s="20" t="str">
        <f>IF(Registro_Compras!$R239&lt;&gt;"SI","",Registro_Compras!$S239)</f>
        <v/>
      </c>
      <c r="I239" s="25" t="str">
        <f>IF(Registro_Compras!$R239&lt;&gt;"SI","",IF(Registro_Compras!$Y239="",WORKDAY(EOMONTH(Registro_Compras!$B239,0),5,Feriados),MIN(Registro_Compras!$Y239,WORKDAY(EOMONTH(Registro_Compras!$B239,0),5,Feriados))))</f>
        <v/>
      </c>
      <c r="J239" s="25" t="str">
        <f>IF(Registro_Compras!$R239&lt;&gt;"SI","",Registro_Compras!$X239)</f>
        <v/>
      </c>
      <c r="K239" t="str">
        <f>IF(Registro_Compras!$R239&lt;&gt;"SI","",IF(Registro_Compras!$X239="","PENDIENTE","DEPOSITADA"))</f>
        <v/>
      </c>
      <c r="L239" t="str">
        <f>IF(Registro_Compras!$R239&lt;&gt;"SI","",Registro_Compras!$Z239)</f>
        <v/>
      </c>
      <c r="M239" t="str">
        <f t="shared" ca="1" si="6"/>
        <v/>
      </c>
      <c r="N239" t="str">
        <f t="shared" ca="1" si="7"/>
        <v/>
      </c>
    </row>
    <row r="240" spans="1:14" x14ac:dyDescent="0.25">
      <c r="A240" s="25" t="str">
        <f>IF(Registro_Compras!$R240&lt;&gt;"SI","",Registro_Compras!$B240)</f>
        <v/>
      </c>
      <c r="B240" t="str">
        <f>IF(Registro_Compras!$R240&lt;&gt;"SI","",Registro_Compras!$C240)</f>
        <v/>
      </c>
      <c r="C240" t="str">
        <f>IF(Registro_Compras!$R240&lt;&gt;"SI","",Registro_Compras!$D240)</f>
        <v/>
      </c>
      <c r="D240" t="str">
        <f>IF(Registro_Compras!$R240&lt;&gt;"SI","",Registro_Compras!$E240)</f>
        <v/>
      </c>
      <c r="E240" t="str">
        <f>IF(Registro_Compras!$R240&lt;&gt;"SI","",Registro_Compras!$G240)</f>
        <v/>
      </c>
      <c r="F240" s="31" t="str">
        <f>IF(Registro_Compras!$R240&lt;&gt;"SI","",Registro_Compras!$P240)</f>
        <v/>
      </c>
      <c r="G240" s="20" t="str">
        <f>IF(Registro_Compras!$R240&lt;&gt;"SI","",Registro_Compras!$O240)</f>
        <v/>
      </c>
      <c r="H240" s="20" t="str">
        <f>IF(Registro_Compras!$R240&lt;&gt;"SI","",Registro_Compras!$S240)</f>
        <v/>
      </c>
      <c r="I240" s="25" t="str">
        <f>IF(Registro_Compras!$R240&lt;&gt;"SI","",IF(Registro_Compras!$Y240="",WORKDAY(EOMONTH(Registro_Compras!$B240,0),5,Feriados),MIN(Registro_Compras!$Y240,WORKDAY(EOMONTH(Registro_Compras!$B240,0),5,Feriados))))</f>
        <v/>
      </c>
      <c r="J240" s="25" t="str">
        <f>IF(Registro_Compras!$R240&lt;&gt;"SI","",Registro_Compras!$X240)</f>
        <v/>
      </c>
      <c r="K240" t="str">
        <f>IF(Registro_Compras!$R240&lt;&gt;"SI","",IF(Registro_Compras!$X240="","PENDIENTE","DEPOSITADA"))</f>
        <v/>
      </c>
      <c r="L240" t="str">
        <f>IF(Registro_Compras!$R240&lt;&gt;"SI","",Registro_Compras!$Z240)</f>
        <v/>
      </c>
      <c r="M240" t="str">
        <f t="shared" ca="1" si="6"/>
        <v/>
      </c>
      <c r="N240" t="str">
        <f t="shared" ca="1" si="7"/>
        <v/>
      </c>
    </row>
    <row r="241" spans="1:14" x14ac:dyDescent="0.25">
      <c r="A241" s="25" t="str">
        <f>IF(Registro_Compras!$R241&lt;&gt;"SI","",Registro_Compras!$B241)</f>
        <v/>
      </c>
      <c r="B241" t="str">
        <f>IF(Registro_Compras!$R241&lt;&gt;"SI","",Registro_Compras!$C241)</f>
        <v/>
      </c>
      <c r="C241" t="str">
        <f>IF(Registro_Compras!$R241&lt;&gt;"SI","",Registro_Compras!$D241)</f>
        <v/>
      </c>
      <c r="D241" t="str">
        <f>IF(Registro_Compras!$R241&lt;&gt;"SI","",Registro_Compras!$E241)</f>
        <v/>
      </c>
      <c r="E241" t="str">
        <f>IF(Registro_Compras!$R241&lt;&gt;"SI","",Registro_Compras!$G241)</f>
        <v/>
      </c>
      <c r="F241" s="31" t="str">
        <f>IF(Registro_Compras!$R241&lt;&gt;"SI","",Registro_Compras!$P241)</f>
        <v/>
      </c>
      <c r="G241" s="20" t="str">
        <f>IF(Registro_Compras!$R241&lt;&gt;"SI","",Registro_Compras!$O241)</f>
        <v/>
      </c>
      <c r="H241" s="20" t="str">
        <f>IF(Registro_Compras!$R241&lt;&gt;"SI","",Registro_Compras!$S241)</f>
        <v/>
      </c>
      <c r="I241" s="25" t="str">
        <f>IF(Registro_Compras!$R241&lt;&gt;"SI","",IF(Registro_Compras!$Y241="",WORKDAY(EOMONTH(Registro_Compras!$B241,0),5,Feriados),MIN(Registro_Compras!$Y241,WORKDAY(EOMONTH(Registro_Compras!$B241,0),5,Feriados))))</f>
        <v/>
      </c>
      <c r="J241" s="25" t="str">
        <f>IF(Registro_Compras!$R241&lt;&gt;"SI","",Registro_Compras!$X241)</f>
        <v/>
      </c>
      <c r="K241" t="str">
        <f>IF(Registro_Compras!$R241&lt;&gt;"SI","",IF(Registro_Compras!$X241="","PENDIENTE","DEPOSITADA"))</f>
        <v/>
      </c>
      <c r="L241" t="str">
        <f>IF(Registro_Compras!$R241&lt;&gt;"SI","",Registro_Compras!$Z241)</f>
        <v/>
      </c>
      <c r="M241" t="str">
        <f t="shared" ca="1" si="6"/>
        <v/>
      </c>
      <c r="N241" t="str">
        <f t="shared" ca="1" si="7"/>
        <v/>
      </c>
    </row>
    <row r="242" spans="1:14" x14ac:dyDescent="0.25">
      <c r="A242" s="25" t="str">
        <f>IF(Registro_Compras!$R242&lt;&gt;"SI","",Registro_Compras!$B242)</f>
        <v/>
      </c>
      <c r="B242" t="str">
        <f>IF(Registro_Compras!$R242&lt;&gt;"SI","",Registro_Compras!$C242)</f>
        <v/>
      </c>
      <c r="C242" t="str">
        <f>IF(Registro_Compras!$R242&lt;&gt;"SI","",Registro_Compras!$D242)</f>
        <v/>
      </c>
      <c r="D242" t="str">
        <f>IF(Registro_Compras!$R242&lt;&gt;"SI","",Registro_Compras!$E242)</f>
        <v/>
      </c>
      <c r="E242" t="str">
        <f>IF(Registro_Compras!$R242&lt;&gt;"SI","",Registro_Compras!$G242)</f>
        <v/>
      </c>
      <c r="F242" s="31" t="str">
        <f>IF(Registro_Compras!$R242&lt;&gt;"SI","",Registro_Compras!$P242)</f>
        <v/>
      </c>
      <c r="G242" s="20" t="str">
        <f>IF(Registro_Compras!$R242&lt;&gt;"SI","",Registro_Compras!$O242)</f>
        <v/>
      </c>
      <c r="H242" s="20" t="str">
        <f>IF(Registro_Compras!$R242&lt;&gt;"SI","",Registro_Compras!$S242)</f>
        <v/>
      </c>
      <c r="I242" s="25" t="str">
        <f>IF(Registro_Compras!$R242&lt;&gt;"SI","",IF(Registro_Compras!$Y242="",WORKDAY(EOMONTH(Registro_Compras!$B242,0),5,Feriados),MIN(Registro_Compras!$Y242,WORKDAY(EOMONTH(Registro_Compras!$B242,0),5,Feriados))))</f>
        <v/>
      </c>
      <c r="J242" s="25" t="str">
        <f>IF(Registro_Compras!$R242&lt;&gt;"SI","",Registro_Compras!$X242)</f>
        <v/>
      </c>
      <c r="K242" t="str">
        <f>IF(Registro_Compras!$R242&lt;&gt;"SI","",IF(Registro_Compras!$X242="","PENDIENTE","DEPOSITADA"))</f>
        <v/>
      </c>
      <c r="L242" t="str">
        <f>IF(Registro_Compras!$R242&lt;&gt;"SI","",Registro_Compras!$Z242)</f>
        <v/>
      </c>
      <c r="M242" t="str">
        <f t="shared" ca="1" si="6"/>
        <v/>
      </c>
      <c r="N242" t="str">
        <f t="shared" ca="1" si="7"/>
        <v/>
      </c>
    </row>
    <row r="243" spans="1:14" x14ac:dyDescent="0.25">
      <c r="A243" s="25" t="str">
        <f>IF(Registro_Compras!$R243&lt;&gt;"SI","",Registro_Compras!$B243)</f>
        <v/>
      </c>
      <c r="B243" t="str">
        <f>IF(Registro_Compras!$R243&lt;&gt;"SI","",Registro_Compras!$C243)</f>
        <v/>
      </c>
      <c r="C243" t="str">
        <f>IF(Registro_Compras!$R243&lt;&gt;"SI","",Registro_Compras!$D243)</f>
        <v/>
      </c>
      <c r="D243" t="str">
        <f>IF(Registro_Compras!$R243&lt;&gt;"SI","",Registro_Compras!$E243)</f>
        <v/>
      </c>
      <c r="E243" t="str">
        <f>IF(Registro_Compras!$R243&lt;&gt;"SI","",Registro_Compras!$G243)</f>
        <v/>
      </c>
      <c r="F243" s="31" t="str">
        <f>IF(Registro_Compras!$R243&lt;&gt;"SI","",Registro_Compras!$P243)</f>
        <v/>
      </c>
      <c r="G243" s="20" t="str">
        <f>IF(Registro_Compras!$R243&lt;&gt;"SI","",Registro_Compras!$O243)</f>
        <v/>
      </c>
      <c r="H243" s="20" t="str">
        <f>IF(Registro_Compras!$R243&lt;&gt;"SI","",Registro_Compras!$S243)</f>
        <v/>
      </c>
      <c r="I243" s="25" t="str">
        <f>IF(Registro_Compras!$R243&lt;&gt;"SI","",IF(Registro_Compras!$Y243="",WORKDAY(EOMONTH(Registro_Compras!$B243,0),5,Feriados),MIN(Registro_Compras!$Y243,WORKDAY(EOMONTH(Registro_Compras!$B243,0),5,Feriados))))</f>
        <v/>
      </c>
      <c r="J243" s="25" t="str">
        <f>IF(Registro_Compras!$R243&lt;&gt;"SI","",Registro_Compras!$X243)</f>
        <v/>
      </c>
      <c r="K243" t="str">
        <f>IF(Registro_Compras!$R243&lt;&gt;"SI","",IF(Registro_Compras!$X243="","PENDIENTE","DEPOSITADA"))</f>
        <v/>
      </c>
      <c r="L243" t="str">
        <f>IF(Registro_Compras!$R243&lt;&gt;"SI","",Registro_Compras!$Z243)</f>
        <v/>
      </c>
      <c r="M243" t="str">
        <f t="shared" ca="1" si="6"/>
        <v/>
      </c>
      <c r="N243" t="str">
        <f t="shared" ca="1" si="7"/>
        <v/>
      </c>
    </row>
    <row r="244" spans="1:14" x14ac:dyDescent="0.25">
      <c r="A244" s="25" t="str">
        <f>IF(Registro_Compras!$R244&lt;&gt;"SI","",Registro_Compras!$B244)</f>
        <v/>
      </c>
      <c r="B244" t="str">
        <f>IF(Registro_Compras!$R244&lt;&gt;"SI","",Registro_Compras!$C244)</f>
        <v/>
      </c>
      <c r="C244" t="str">
        <f>IF(Registro_Compras!$R244&lt;&gt;"SI","",Registro_Compras!$D244)</f>
        <v/>
      </c>
      <c r="D244" t="str">
        <f>IF(Registro_Compras!$R244&lt;&gt;"SI","",Registro_Compras!$E244)</f>
        <v/>
      </c>
      <c r="E244" t="str">
        <f>IF(Registro_Compras!$R244&lt;&gt;"SI","",Registro_Compras!$G244)</f>
        <v/>
      </c>
      <c r="F244" s="31" t="str">
        <f>IF(Registro_Compras!$R244&lt;&gt;"SI","",Registro_Compras!$P244)</f>
        <v/>
      </c>
      <c r="G244" s="20" t="str">
        <f>IF(Registro_Compras!$R244&lt;&gt;"SI","",Registro_Compras!$O244)</f>
        <v/>
      </c>
      <c r="H244" s="20" t="str">
        <f>IF(Registro_Compras!$R244&lt;&gt;"SI","",Registro_Compras!$S244)</f>
        <v/>
      </c>
      <c r="I244" s="25" t="str">
        <f>IF(Registro_Compras!$R244&lt;&gt;"SI","",IF(Registro_Compras!$Y244="",WORKDAY(EOMONTH(Registro_Compras!$B244,0),5,Feriados),MIN(Registro_Compras!$Y244,WORKDAY(EOMONTH(Registro_Compras!$B244,0),5,Feriados))))</f>
        <v/>
      </c>
      <c r="J244" s="25" t="str">
        <f>IF(Registro_Compras!$R244&lt;&gt;"SI","",Registro_Compras!$X244)</f>
        <v/>
      </c>
      <c r="K244" t="str">
        <f>IF(Registro_Compras!$R244&lt;&gt;"SI","",IF(Registro_Compras!$X244="","PENDIENTE","DEPOSITADA"))</f>
        <v/>
      </c>
      <c r="L244" t="str">
        <f>IF(Registro_Compras!$R244&lt;&gt;"SI","",Registro_Compras!$Z244)</f>
        <v/>
      </c>
      <c r="M244" t="str">
        <f t="shared" ca="1" si="6"/>
        <v/>
      </c>
      <c r="N244" t="str">
        <f t="shared" ca="1" si="7"/>
        <v/>
      </c>
    </row>
    <row r="245" spans="1:14" x14ac:dyDescent="0.25">
      <c r="A245" s="25" t="str">
        <f>IF(Registro_Compras!$R245&lt;&gt;"SI","",Registro_Compras!$B245)</f>
        <v/>
      </c>
      <c r="B245" t="str">
        <f>IF(Registro_Compras!$R245&lt;&gt;"SI","",Registro_Compras!$C245)</f>
        <v/>
      </c>
      <c r="C245" t="str">
        <f>IF(Registro_Compras!$R245&lt;&gt;"SI","",Registro_Compras!$D245)</f>
        <v/>
      </c>
      <c r="D245" t="str">
        <f>IF(Registro_Compras!$R245&lt;&gt;"SI","",Registro_Compras!$E245)</f>
        <v/>
      </c>
      <c r="E245" t="str">
        <f>IF(Registro_Compras!$R245&lt;&gt;"SI","",Registro_Compras!$G245)</f>
        <v/>
      </c>
      <c r="F245" s="31" t="str">
        <f>IF(Registro_Compras!$R245&lt;&gt;"SI","",Registro_Compras!$P245)</f>
        <v/>
      </c>
      <c r="G245" s="20" t="str">
        <f>IF(Registro_Compras!$R245&lt;&gt;"SI","",Registro_Compras!$O245)</f>
        <v/>
      </c>
      <c r="H245" s="20" t="str">
        <f>IF(Registro_Compras!$R245&lt;&gt;"SI","",Registro_Compras!$S245)</f>
        <v/>
      </c>
      <c r="I245" s="25" t="str">
        <f>IF(Registro_Compras!$R245&lt;&gt;"SI","",IF(Registro_Compras!$Y245="",WORKDAY(EOMONTH(Registro_Compras!$B245,0),5,Feriados),MIN(Registro_Compras!$Y245,WORKDAY(EOMONTH(Registro_Compras!$B245,0),5,Feriados))))</f>
        <v/>
      </c>
      <c r="J245" s="25" t="str">
        <f>IF(Registro_Compras!$R245&lt;&gt;"SI","",Registro_Compras!$X245)</f>
        <v/>
      </c>
      <c r="K245" t="str">
        <f>IF(Registro_Compras!$R245&lt;&gt;"SI","",IF(Registro_Compras!$X245="","PENDIENTE","DEPOSITADA"))</f>
        <v/>
      </c>
      <c r="L245" t="str">
        <f>IF(Registro_Compras!$R245&lt;&gt;"SI","",Registro_Compras!$Z245)</f>
        <v/>
      </c>
      <c r="M245" t="str">
        <f t="shared" ca="1" si="6"/>
        <v/>
      </c>
      <c r="N245" t="str">
        <f t="shared" ca="1" si="7"/>
        <v/>
      </c>
    </row>
    <row r="246" spans="1:14" x14ac:dyDescent="0.25">
      <c r="A246" s="25" t="str">
        <f>IF(Registro_Compras!$R246&lt;&gt;"SI","",Registro_Compras!$B246)</f>
        <v/>
      </c>
      <c r="B246" t="str">
        <f>IF(Registro_Compras!$R246&lt;&gt;"SI","",Registro_Compras!$C246)</f>
        <v/>
      </c>
      <c r="C246" t="str">
        <f>IF(Registro_Compras!$R246&lt;&gt;"SI","",Registro_Compras!$D246)</f>
        <v/>
      </c>
      <c r="D246" t="str">
        <f>IF(Registro_Compras!$R246&lt;&gt;"SI","",Registro_Compras!$E246)</f>
        <v/>
      </c>
      <c r="E246" t="str">
        <f>IF(Registro_Compras!$R246&lt;&gt;"SI","",Registro_Compras!$G246)</f>
        <v/>
      </c>
      <c r="F246" s="31" t="str">
        <f>IF(Registro_Compras!$R246&lt;&gt;"SI","",Registro_Compras!$P246)</f>
        <v/>
      </c>
      <c r="G246" s="20" t="str">
        <f>IF(Registro_Compras!$R246&lt;&gt;"SI","",Registro_Compras!$O246)</f>
        <v/>
      </c>
      <c r="H246" s="20" t="str">
        <f>IF(Registro_Compras!$R246&lt;&gt;"SI","",Registro_Compras!$S246)</f>
        <v/>
      </c>
      <c r="I246" s="25" t="str">
        <f>IF(Registro_Compras!$R246&lt;&gt;"SI","",IF(Registro_Compras!$Y246="",WORKDAY(EOMONTH(Registro_Compras!$B246,0),5,Feriados),MIN(Registro_Compras!$Y246,WORKDAY(EOMONTH(Registro_Compras!$B246,0),5,Feriados))))</f>
        <v/>
      </c>
      <c r="J246" s="25" t="str">
        <f>IF(Registro_Compras!$R246&lt;&gt;"SI","",Registro_Compras!$X246)</f>
        <v/>
      </c>
      <c r="K246" t="str">
        <f>IF(Registro_Compras!$R246&lt;&gt;"SI","",IF(Registro_Compras!$X246="","PENDIENTE","DEPOSITADA"))</f>
        <v/>
      </c>
      <c r="L246" t="str">
        <f>IF(Registro_Compras!$R246&lt;&gt;"SI","",Registro_Compras!$Z246)</f>
        <v/>
      </c>
      <c r="M246" t="str">
        <f t="shared" ca="1" si="6"/>
        <v/>
      </c>
      <c r="N246" t="str">
        <f t="shared" ca="1" si="7"/>
        <v/>
      </c>
    </row>
    <row r="247" spans="1:14" x14ac:dyDescent="0.25">
      <c r="A247" s="25" t="str">
        <f>IF(Registro_Compras!$R247&lt;&gt;"SI","",Registro_Compras!$B247)</f>
        <v/>
      </c>
      <c r="B247" t="str">
        <f>IF(Registro_Compras!$R247&lt;&gt;"SI","",Registro_Compras!$C247)</f>
        <v/>
      </c>
      <c r="C247" t="str">
        <f>IF(Registro_Compras!$R247&lt;&gt;"SI","",Registro_Compras!$D247)</f>
        <v/>
      </c>
      <c r="D247" t="str">
        <f>IF(Registro_Compras!$R247&lt;&gt;"SI","",Registro_Compras!$E247)</f>
        <v/>
      </c>
      <c r="E247" t="str">
        <f>IF(Registro_Compras!$R247&lt;&gt;"SI","",Registro_Compras!$G247)</f>
        <v/>
      </c>
      <c r="F247" s="31" t="str">
        <f>IF(Registro_Compras!$R247&lt;&gt;"SI","",Registro_Compras!$P247)</f>
        <v/>
      </c>
      <c r="G247" s="20" t="str">
        <f>IF(Registro_Compras!$R247&lt;&gt;"SI","",Registro_Compras!$O247)</f>
        <v/>
      </c>
      <c r="H247" s="20" t="str">
        <f>IF(Registro_Compras!$R247&lt;&gt;"SI","",Registro_Compras!$S247)</f>
        <v/>
      </c>
      <c r="I247" s="25" t="str">
        <f>IF(Registro_Compras!$R247&lt;&gt;"SI","",IF(Registro_Compras!$Y247="",WORKDAY(EOMONTH(Registro_Compras!$B247,0),5,Feriados),MIN(Registro_Compras!$Y247,WORKDAY(EOMONTH(Registro_Compras!$B247,0),5,Feriados))))</f>
        <v/>
      </c>
      <c r="J247" s="25" t="str">
        <f>IF(Registro_Compras!$R247&lt;&gt;"SI","",Registro_Compras!$X247)</f>
        <v/>
      </c>
      <c r="K247" t="str">
        <f>IF(Registro_Compras!$R247&lt;&gt;"SI","",IF(Registro_Compras!$X247="","PENDIENTE","DEPOSITADA"))</f>
        <v/>
      </c>
      <c r="L247" t="str">
        <f>IF(Registro_Compras!$R247&lt;&gt;"SI","",Registro_Compras!$Z247)</f>
        <v/>
      </c>
      <c r="M247" t="str">
        <f t="shared" ca="1" si="6"/>
        <v/>
      </c>
      <c r="N247" t="str">
        <f t="shared" ca="1" si="7"/>
        <v/>
      </c>
    </row>
    <row r="248" spans="1:14" x14ac:dyDescent="0.25">
      <c r="A248" s="25" t="str">
        <f>IF(Registro_Compras!$R248&lt;&gt;"SI","",Registro_Compras!$B248)</f>
        <v/>
      </c>
      <c r="B248" t="str">
        <f>IF(Registro_Compras!$R248&lt;&gt;"SI","",Registro_Compras!$C248)</f>
        <v/>
      </c>
      <c r="C248" t="str">
        <f>IF(Registro_Compras!$R248&lt;&gt;"SI","",Registro_Compras!$D248)</f>
        <v/>
      </c>
      <c r="D248" t="str">
        <f>IF(Registro_Compras!$R248&lt;&gt;"SI","",Registro_Compras!$E248)</f>
        <v/>
      </c>
      <c r="E248" t="str">
        <f>IF(Registro_Compras!$R248&lt;&gt;"SI","",Registro_Compras!$G248)</f>
        <v/>
      </c>
      <c r="F248" s="31" t="str">
        <f>IF(Registro_Compras!$R248&lt;&gt;"SI","",Registro_Compras!$P248)</f>
        <v/>
      </c>
      <c r="G248" s="20" t="str">
        <f>IF(Registro_Compras!$R248&lt;&gt;"SI","",Registro_Compras!$O248)</f>
        <v/>
      </c>
      <c r="H248" s="20" t="str">
        <f>IF(Registro_Compras!$R248&lt;&gt;"SI","",Registro_Compras!$S248)</f>
        <v/>
      </c>
      <c r="I248" s="25" t="str">
        <f>IF(Registro_Compras!$R248&lt;&gt;"SI","",IF(Registro_Compras!$Y248="",WORKDAY(EOMONTH(Registro_Compras!$B248,0),5,Feriados),MIN(Registro_Compras!$Y248,WORKDAY(EOMONTH(Registro_Compras!$B248,0),5,Feriados))))</f>
        <v/>
      </c>
      <c r="J248" s="25" t="str">
        <f>IF(Registro_Compras!$R248&lt;&gt;"SI","",Registro_Compras!$X248)</f>
        <v/>
      </c>
      <c r="K248" t="str">
        <f>IF(Registro_Compras!$R248&lt;&gt;"SI","",IF(Registro_Compras!$X248="","PENDIENTE","DEPOSITADA"))</f>
        <v/>
      </c>
      <c r="L248" t="str">
        <f>IF(Registro_Compras!$R248&lt;&gt;"SI","",Registro_Compras!$Z248)</f>
        <v/>
      </c>
      <c r="M248" t="str">
        <f t="shared" ca="1" si="6"/>
        <v/>
      </c>
      <c r="N248" t="str">
        <f t="shared" ca="1" si="7"/>
        <v/>
      </c>
    </row>
    <row r="249" spans="1:14" x14ac:dyDescent="0.25">
      <c r="A249" s="25" t="str">
        <f>IF(Registro_Compras!$R249&lt;&gt;"SI","",Registro_Compras!$B249)</f>
        <v/>
      </c>
      <c r="B249" t="str">
        <f>IF(Registro_Compras!$R249&lt;&gt;"SI","",Registro_Compras!$C249)</f>
        <v/>
      </c>
      <c r="C249" t="str">
        <f>IF(Registro_Compras!$R249&lt;&gt;"SI","",Registro_Compras!$D249)</f>
        <v/>
      </c>
      <c r="D249" t="str">
        <f>IF(Registro_Compras!$R249&lt;&gt;"SI","",Registro_Compras!$E249)</f>
        <v/>
      </c>
      <c r="E249" t="str">
        <f>IF(Registro_Compras!$R249&lt;&gt;"SI","",Registro_Compras!$G249)</f>
        <v/>
      </c>
      <c r="F249" s="31" t="str">
        <f>IF(Registro_Compras!$R249&lt;&gt;"SI","",Registro_Compras!$P249)</f>
        <v/>
      </c>
      <c r="G249" s="20" t="str">
        <f>IF(Registro_Compras!$R249&lt;&gt;"SI","",Registro_Compras!$O249)</f>
        <v/>
      </c>
      <c r="H249" s="20" t="str">
        <f>IF(Registro_Compras!$R249&lt;&gt;"SI","",Registro_Compras!$S249)</f>
        <v/>
      </c>
      <c r="I249" s="25" t="str">
        <f>IF(Registro_Compras!$R249&lt;&gt;"SI","",IF(Registro_Compras!$Y249="",WORKDAY(EOMONTH(Registro_Compras!$B249,0),5,Feriados),MIN(Registro_Compras!$Y249,WORKDAY(EOMONTH(Registro_Compras!$B249,0),5,Feriados))))</f>
        <v/>
      </c>
      <c r="J249" s="25" t="str">
        <f>IF(Registro_Compras!$R249&lt;&gt;"SI","",Registro_Compras!$X249)</f>
        <v/>
      </c>
      <c r="K249" t="str">
        <f>IF(Registro_Compras!$R249&lt;&gt;"SI","",IF(Registro_Compras!$X249="","PENDIENTE","DEPOSITADA"))</f>
        <v/>
      </c>
      <c r="L249" t="str">
        <f>IF(Registro_Compras!$R249&lt;&gt;"SI","",Registro_Compras!$Z249)</f>
        <v/>
      </c>
      <c r="M249" t="str">
        <f t="shared" ca="1" si="6"/>
        <v/>
      </c>
      <c r="N249" t="str">
        <f t="shared" ca="1" si="7"/>
        <v/>
      </c>
    </row>
    <row r="250" spans="1:14" x14ac:dyDescent="0.25">
      <c r="A250" s="25" t="str">
        <f>IF(Registro_Compras!$R250&lt;&gt;"SI","",Registro_Compras!$B250)</f>
        <v/>
      </c>
      <c r="B250" t="str">
        <f>IF(Registro_Compras!$R250&lt;&gt;"SI","",Registro_Compras!$C250)</f>
        <v/>
      </c>
      <c r="C250" t="str">
        <f>IF(Registro_Compras!$R250&lt;&gt;"SI","",Registro_Compras!$D250)</f>
        <v/>
      </c>
      <c r="D250" t="str">
        <f>IF(Registro_Compras!$R250&lt;&gt;"SI","",Registro_Compras!$E250)</f>
        <v/>
      </c>
      <c r="E250" t="str">
        <f>IF(Registro_Compras!$R250&lt;&gt;"SI","",Registro_Compras!$G250)</f>
        <v/>
      </c>
      <c r="F250" s="31" t="str">
        <f>IF(Registro_Compras!$R250&lt;&gt;"SI","",Registro_Compras!$P250)</f>
        <v/>
      </c>
      <c r="G250" s="20" t="str">
        <f>IF(Registro_Compras!$R250&lt;&gt;"SI","",Registro_Compras!$O250)</f>
        <v/>
      </c>
      <c r="H250" s="20" t="str">
        <f>IF(Registro_Compras!$R250&lt;&gt;"SI","",Registro_Compras!$S250)</f>
        <v/>
      </c>
      <c r="I250" s="25" t="str">
        <f>IF(Registro_Compras!$R250&lt;&gt;"SI","",IF(Registro_Compras!$Y250="",WORKDAY(EOMONTH(Registro_Compras!$B250,0),5,Feriados),MIN(Registro_Compras!$Y250,WORKDAY(EOMONTH(Registro_Compras!$B250,0),5,Feriados))))</f>
        <v/>
      </c>
      <c r="J250" s="25" t="str">
        <f>IF(Registro_Compras!$R250&lt;&gt;"SI","",Registro_Compras!$X250)</f>
        <v/>
      </c>
      <c r="K250" t="str">
        <f>IF(Registro_Compras!$R250&lt;&gt;"SI","",IF(Registro_Compras!$X250="","PENDIENTE","DEPOSITADA"))</f>
        <v/>
      </c>
      <c r="L250" t="str">
        <f>IF(Registro_Compras!$R250&lt;&gt;"SI","",Registro_Compras!$Z250)</f>
        <v/>
      </c>
      <c r="M250" t="str">
        <f t="shared" ca="1" si="6"/>
        <v/>
      </c>
      <c r="N250" t="str">
        <f t="shared" ca="1" si="7"/>
        <v/>
      </c>
    </row>
    <row r="251" spans="1:14" x14ac:dyDescent="0.25">
      <c r="A251" s="25" t="str">
        <f>IF(Registro_Compras!$R251&lt;&gt;"SI","",Registro_Compras!$B251)</f>
        <v/>
      </c>
      <c r="B251" t="str">
        <f>IF(Registro_Compras!$R251&lt;&gt;"SI","",Registro_Compras!$C251)</f>
        <v/>
      </c>
      <c r="C251" t="str">
        <f>IF(Registro_Compras!$R251&lt;&gt;"SI","",Registro_Compras!$D251)</f>
        <v/>
      </c>
      <c r="D251" t="str">
        <f>IF(Registro_Compras!$R251&lt;&gt;"SI","",Registro_Compras!$E251)</f>
        <v/>
      </c>
      <c r="E251" t="str">
        <f>IF(Registro_Compras!$R251&lt;&gt;"SI","",Registro_Compras!$G251)</f>
        <v/>
      </c>
      <c r="F251" s="31" t="str">
        <f>IF(Registro_Compras!$R251&lt;&gt;"SI","",Registro_Compras!$P251)</f>
        <v/>
      </c>
      <c r="G251" s="20" t="str">
        <f>IF(Registro_Compras!$R251&lt;&gt;"SI","",Registro_Compras!$O251)</f>
        <v/>
      </c>
      <c r="H251" s="20" t="str">
        <f>IF(Registro_Compras!$R251&lt;&gt;"SI","",Registro_Compras!$S251)</f>
        <v/>
      </c>
      <c r="I251" s="25" t="str">
        <f>IF(Registro_Compras!$R251&lt;&gt;"SI","",IF(Registro_Compras!$Y251="",WORKDAY(EOMONTH(Registro_Compras!$B251,0),5,Feriados),MIN(Registro_Compras!$Y251,WORKDAY(EOMONTH(Registro_Compras!$B251,0),5,Feriados))))</f>
        <v/>
      </c>
      <c r="J251" s="25" t="str">
        <f>IF(Registro_Compras!$R251&lt;&gt;"SI","",Registro_Compras!$X251)</f>
        <v/>
      </c>
      <c r="K251" t="str">
        <f>IF(Registro_Compras!$R251&lt;&gt;"SI","",IF(Registro_Compras!$X251="","PENDIENTE","DEPOSITADA"))</f>
        <v/>
      </c>
      <c r="L251" t="str">
        <f>IF(Registro_Compras!$R251&lt;&gt;"SI","",Registro_Compras!$Z251)</f>
        <v/>
      </c>
      <c r="M251" t="str">
        <f t="shared" ca="1" si="6"/>
        <v/>
      </c>
      <c r="N251" t="str">
        <f t="shared" ca="1" si="7"/>
        <v/>
      </c>
    </row>
    <row r="252" spans="1:14" x14ac:dyDescent="0.25">
      <c r="A252" s="25" t="str">
        <f>IF(Registro_Compras!$R252&lt;&gt;"SI","",Registro_Compras!$B252)</f>
        <v/>
      </c>
      <c r="B252" t="str">
        <f>IF(Registro_Compras!$R252&lt;&gt;"SI","",Registro_Compras!$C252)</f>
        <v/>
      </c>
      <c r="C252" t="str">
        <f>IF(Registro_Compras!$R252&lt;&gt;"SI","",Registro_Compras!$D252)</f>
        <v/>
      </c>
      <c r="D252" t="str">
        <f>IF(Registro_Compras!$R252&lt;&gt;"SI","",Registro_Compras!$E252)</f>
        <v/>
      </c>
      <c r="E252" t="str">
        <f>IF(Registro_Compras!$R252&lt;&gt;"SI","",Registro_Compras!$G252)</f>
        <v/>
      </c>
      <c r="F252" s="31" t="str">
        <f>IF(Registro_Compras!$R252&lt;&gt;"SI","",Registro_Compras!$P252)</f>
        <v/>
      </c>
      <c r="G252" s="20" t="str">
        <f>IF(Registro_Compras!$R252&lt;&gt;"SI","",Registro_Compras!$O252)</f>
        <v/>
      </c>
      <c r="H252" s="20" t="str">
        <f>IF(Registro_Compras!$R252&lt;&gt;"SI","",Registro_Compras!$S252)</f>
        <v/>
      </c>
      <c r="I252" s="25" t="str">
        <f>IF(Registro_Compras!$R252&lt;&gt;"SI","",IF(Registro_Compras!$Y252="",WORKDAY(EOMONTH(Registro_Compras!$B252,0),5,Feriados),MIN(Registro_Compras!$Y252,WORKDAY(EOMONTH(Registro_Compras!$B252,0),5,Feriados))))</f>
        <v/>
      </c>
      <c r="J252" s="25" t="str">
        <f>IF(Registro_Compras!$R252&lt;&gt;"SI","",Registro_Compras!$X252)</f>
        <v/>
      </c>
      <c r="K252" t="str">
        <f>IF(Registro_Compras!$R252&lt;&gt;"SI","",IF(Registro_Compras!$X252="","PENDIENTE","DEPOSITADA"))</f>
        <v/>
      </c>
      <c r="L252" t="str">
        <f>IF(Registro_Compras!$R252&lt;&gt;"SI","",Registro_Compras!$Z252)</f>
        <v/>
      </c>
      <c r="M252" t="str">
        <f t="shared" ca="1" si="6"/>
        <v/>
      </c>
      <c r="N252" t="str">
        <f t="shared" ca="1" si="7"/>
        <v/>
      </c>
    </row>
    <row r="253" spans="1:14" x14ac:dyDescent="0.25">
      <c r="A253" s="25" t="str">
        <f>IF(Registro_Compras!$R253&lt;&gt;"SI","",Registro_Compras!$B253)</f>
        <v/>
      </c>
      <c r="B253" t="str">
        <f>IF(Registro_Compras!$R253&lt;&gt;"SI","",Registro_Compras!$C253)</f>
        <v/>
      </c>
      <c r="C253" t="str">
        <f>IF(Registro_Compras!$R253&lt;&gt;"SI","",Registro_Compras!$D253)</f>
        <v/>
      </c>
      <c r="D253" t="str">
        <f>IF(Registro_Compras!$R253&lt;&gt;"SI","",Registro_Compras!$E253)</f>
        <v/>
      </c>
      <c r="E253" t="str">
        <f>IF(Registro_Compras!$R253&lt;&gt;"SI","",Registro_Compras!$G253)</f>
        <v/>
      </c>
      <c r="F253" s="31" t="str">
        <f>IF(Registro_Compras!$R253&lt;&gt;"SI","",Registro_Compras!$P253)</f>
        <v/>
      </c>
      <c r="G253" s="20" t="str">
        <f>IF(Registro_Compras!$R253&lt;&gt;"SI","",Registro_Compras!$O253)</f>
        <v/>
      </c>
      <c r="H253" s="20" t="str">
        <f>IF(Registro_Compras!$R253&lt;&gt;"SI","",Registro_Compras!$S253)</f>
        <v/>
      </c>
      <c r="I253" s="25" t="str">
        <f>IF(Registro_Compras!$R253&lt;&gt;"SI","",IF(Registro_Compras!$Y253="",WORKDAY(EOMONTH(Registro_Compras!$B253,0),5,Feriados),MIN(Registro_Compras!$Y253,WORKDAY(EOMONTH(Registro_Compras!$B253,0),5,Feriados))))</f>
        <v/>
      </c>
      <c r="J253" s="25" t="str">
        <f>IF(Registro_Compras!$R253&lt;&gt;"SI","",Registro_Compras!$X253)</f>
        <v/>
      </c>
      <c r="K253" t="str">
        <f>IF(Registro_Compras!$R253&lt;&gt;"SI","",IF(Registro_Compras!$X253="","PENDIENTE","DEPOSITADA"))</f>
        <v/>
      </c>
      <c r="L253" t="str">
        <f>IF(Registro_Compras!$R253&lt;&gt;"SI","",Registro_Compras!$Z253)</f>
        <v/>
      </c>
      <c r="M253" t="str">
        <f t="shared" ca="1" si="6"/>
        <v/>
      </c>
      <c r="N253" t="str">
        <f t="shared" ca="1" si="7"/>
        <v/>
      </c>
    </row>
    <row r="254" spans="1:14" x14ac:dyDescent="0.25">
      <c r="A254" s="25" t="str">
        <f>IF(Registro_Compras!$R254&lt;&gt;"SI","",Registro_Compras!$B254)</f>
        <v/>
      </c>
      <c r="B254" t="str">
        <f>IF(Registro_Compras!$R254&lt;&gt;"SI","",Registro_Compras!$C254)</f>
        <v/>
      </c>
      <c r="C254" t="str">
        <f>IF(Registro_Compras!$R254&lt;&gt;"SI","",Registro_Compras!$D254)</f>
        <v/>
      </c>
      <c r="D254" t="str">
        <f>IF(Registro_Compras!$R254&lt;&gt;"SI","",Registro_Compras!$E254)</f>
        <v/>
      </c>
      <c r="E254" t="str">
        <f>IF(Registro_Compras!$R254&lt;&gt;"SI","",Registro_Compras!$G254)</f>
        <v/>
      </c>
      <c r="F254" s="31" t="str">
        <f>IF(Registro_Compras!$R254&lt;&gt;"SI","",Registro_Compras!$P254)</f>
        <v/>
      </c>
      <c r="G254" s="20" t="str">
        <f>IF(Registro_Compras!$R254&lt;&gt;"SI","",Registro_Compras!$O254)</f>
        <v/>
      </c>
      <c r="H254" s="20" t="str">
        <f>IF(Registro_Compras!$R254&lt;&gt;"SI","",Registro_Compras!$S254)</f>
        <v/>
      </c>
      <c r="I254" s="25" t="str">
        <f>IF(Registro_Compras!$R254&lt;&gt;"SI","",IF(Registro_Compras!$Y254="",WORKDAY(EOMONTH(Registro_Compras!$B254,0),5,Feriados),MIN(Registro_Compras!$Y254,WORKDAY(EOMONTH(Registro_Compras!$B254,0),5,Feriados))))</f>
        <v/>
      </c>
      <c r="J254" s="25" t="str">
        <f>IF(Registro_Compras!$R254&lt;&gt;"SI","",Registro_Compras!$X254)</f>
        <v/>
      </c>
      <c r="K254" t="str">
        <f>IF(Registro_Compras!$R254&lt;&gt;"SI","",IF(Registro_Compras!$X254="","PENDIENTE","DEPOSITADA"))</f>
        <v/>
      </c>
      <c r="L254" t="str">
        <f>IF(Registro_Compras!$R254&lt;&gt;"SI","",Registro_Compras!$Z254)</f>
        <v/>
      </c>
      <c r="M254" t="str">
        <f t="shared" ca="1" si="6"/>
        <v/>
      </c>
      <c r="N254" t="str">
        <f t="shared" ca="1" si="7"/>
        <v/>
      </c>
    </row>
    <row r="255" spans="1:14" x14ac:dyDescent="0.25">
      <c r="A255" s="25" t="str">
        <f>IF(Registro_Compras!$R255&lt;&gt;"SI","",Registro_Compras!$B255)</f>
        <v/>
      </c>
      <c r="B255" t="str">
        <f>IF(Registro_Compras!$R255&lt;&gt;"SI","",Registro_Compras!$C255)</f>
        <v/>
      </c>
      <c r="C255" t="str">
        <f>IF(Registro_Compras!$R255&lt;&gt;"SI","",Registro_Compras!$D255)</f>
        <v/>
      </c>
      <c r="D255" t="str">
        <f>IF(Registro_Compras!$R255&lt;&gt;"SI","",Registro_Compras!$E255)</f>
        <v/>
      </c>
      <c r="E255" t="str">
        <f>IF(Registro_Compras!$R255&lt;&gt;"SI","",Registro_Compras!$G255)</f>
        <v/>
      </c>
      <c r="F255" s="31" t="str">
        <f>IF(Registro_Compras!$R255&lt;&gt;"SI","",Registro_Compras!$P255)</f>
        <v/>
      </c>
      <c r="G255" s="20" t="str">
        <f>IF(Registro_Compras!$R255&lt;&gt;"SI","",Registro_Compras!$O255)</f>
        <v/>
      </c>
      <c r="H255" s="20" t="str">
        <f>IF(Registro_Compras!$R255&lt;&gt;"SI","",Registro_Compras!$S255)</f>
        <v/>
      </c>
      <c r="I255" s="25" t="str">
        <f>IF(Registro_Compras!$R255&lt;&gt;"SI","",IF(Registro_Compras!$Y255="",WORKDAY(EOMONTH(Registro_Compras!$B255,0),5,Feriados),MIN(Registro_Compras!$Y255,WORKDAY(EOMONTH(Registro_Compras!$B255,0),5,Feriados))))</f>
        <v/>
      </c>
      <c r="J255" s="25" t="str">
        <f>IF(Registro_Compras!$R255&lt;&gt;"SI","",Registro_Compras!$X255)</f>
        <v/>
      </c>
      <c r="K255" t="str">
        <f>IF(Registro_Compras!$R255&lt;&gt;"SI","",IF(Registro_Compras!$X255="","PENDIENTE","DEPOSITADA"))</f>
        <v/>
      </c>
      <c r="L255" t="str">
        <f>IF(Registro_Compras!$R255&lt;&gt;"SI","",Registro_Compras!$Z255)</f>
        <v/>
      </c>
      <c r="M255" t="str">
        <f t="shared" ca="1" si="6"/>
        <v/>
      </c>
      <c r="N255" t="str">
        <f t="shared" ca="1" si="7"/>
        <v/>
      </c>
    </row>
    <row r="256" spans="1:14" x14ac:dyDescent="0.25">
      <c r="A256" s="25" t="str">
        <f>IF(Registro_Compras!$R256&lt;&gt;"SI","",Registro_Compras!$B256)</f>
        <v/>
      </c>
      <c r="B256" t="str">
        <f>IF(Registro_Compras!$R256&lt;&gt;"SI","",Registro_Compras!$C256)</f>
        <v/>
      </c>
      <c r="C256" t="str">
        <f>IF(Registro_Compras!$R256&lt;&gt;"SI","",Registro_Compras!$D256)</f>
        <v/>
      </c>
      <c r="D256" t="str">
        <f>IF(Registro_Compras!$R256&lt;&gt;"SI","",Registro_Compras!$E256)</f>
        <v/>
      </c>
      <c r="E256" t="str">
        <f>IF(Registro_Compras!$R256&lt;&gt;"SI","",Registro_Compras!$G256)</f>
        <v/>
      </c>
      <c r="F256" s="31" t="str">
        <f>IF(Registro_Compras!$R256&lt;&gt;"SI","",Registro_Compras!$P256)</f>
        <v/>
      </c>
      <c r="G256" s="20" t="str">
        <f>IF(Registro_Compras!$R256&lt;&gt;"SI","",Registro_Compras!$O256)</f>
        <v/>
      </c>
      <c r="H256" s="20" t="str">
        <f>IF(Registro_Compras!$R256&lt;&gt;"SI","",Registro_Compras!$S256)</f>
        <v/>
      </c>
      <c r="I256" s="25" t="str">
        <f>IF(Registro_Compras!$R256&lt;&gt;"SI","",IF(Registro_Compras!$Y256="",WORKDAY(EOMONTH(Registro_Compras!$B256,0),5,Feriados),MIN(Registro_Compras!$Y256,WORKDAY(EOMONTH(Registro_Compras!$B256,0),5,Feriados))))</f>
        <v/>
      </c>
      <c r="J256" s="25" t="str">
        <f>IF(Registro_Compras!$R256&lt;&gt;"SI","",Registro_Compras!$X256)</f>
        <v/>
      </c>
      <c r="K256" t="str">
        <f>IF(Registro_Compras!$R256&lt;&gt;"SI","",IF(Registro_Compras!$X256="","PENDIENTE","DEPOSITADA"))</f>
        <v/>
      </c>
      <c r="L256" t="str">
        <f>IF(Registro_Compras!$R256&lt;&gt;"SI","",Registro_Compras!$Z256)</f>
        <v/>
      </c>
      <c r="M256" t="str">
        <f t="shared" ca="1" si="6"/>
        <v/>
      </c>
      <c r="N256" t="str">
        <f t="shared" ca="1" si="7"/>
        <v/>
      </c>
    </row>
    <row r="257" spans="1:14" x14ac:dyDescent="0.25">
      <c r="A257" s="25" t="str">
        <f>IF(Registro_Compras!$R257&lt;&gt;"SI","",Registro_Compras!$B257)</f>
        <v/>
      </c>
      <c r="B257" t="str">
        <f>IF(Registro_Compras!$R257&lt;&gt;"SI","",Registro_Compras!$C257)</f>
        <v/>
      </c>
      <c r="C257" t="str">
        <f>IF(Registro_Compras!$R257&lt;&gt;"SI","",Registro_Compras!$D257)</f>
        <v/>
      </c>
      <c r="D257" t="str">
        <f>IF(Registro_Compras!$R257&lt;&gt;"SI","",Registro_Compras!$E257)</f>
        <v/>
      </c>
      <c r="E257" t="str">
        <f>IF(Registro_Compras!$R257&lt;&gt;"SI","",Registro_Compras!$G257)</f>
        <v/>
      </c>
      <c r="F257" s="31" t="str">
        <f>IF(Registro_Compras!$R257&lt;&gt;"SI","",Registro_Compras!$P257)</f>
        <v/>
      </c>
      <c r="G257" s="20" t="str">
        <f>IF(Registro_Compras!$R257&lt;&gt;"SI","",Registro_Compras!$O257)</f>
        <v/>
      </c>
      <c r="H257" s="20" t="str">
        <f>IF(Registro_Compras!$R257&lt;&gt;"SI","",Registro_Compras!$S257)</f>
        <v/>
      </c>
      <c r="I257" s="25" t="str">
        <f>IF(Registro_Compras!$R257&lt;&gt;"SI","",IF(Registro_Compras!$Y257="",WORKDAY(EOMONTH(Registro_Compras!$B257,0),5,Feriados),MIN(Registro_Compras!$Y257,WORKDAY(EOMONTH(Registro_Compras!$B257,0),5,Feriados))))</f>
        <v/>
      </c>
      <c r="J257" s="25" t="str">
        <f>IF(Registro_Compras!$R257&lt;&gt;"SI","",Registro_Compras!$X257)</f>
        <v/>
      </c>
      <c r="K257" t="str">
        <f>IF(Registro_Compras!$R257&lt;&gt;"SI","",IF(Registro_Compras!$X257="","PENDIENTE","DEPOSITADA"))</f>
        <v/>
      </c>
      <c r="L257" t="str">
        <f>IF(Registro_Compras!$R257&lt;&gt;"SI","",Registro_Compras!$Z257)</f>
        <v/>
      </c>
      <c r="M257" t="str">
        <f t="shared" ca="1" si="6"/>
        <v/>
      </c>
      <c r="N257" t="str">
        <f t="shared" ca="1" si="7"/>
        <v/>
      </c>
    </row>
    <row r="258" spans="1:14" x14ac:dyDescent="0.25">
      <c r="A258" s="25" t="str">
        <f>IF(Registro_Compras!$R258&lt;&gt;"SI","",Registro_Compras!$B258)</f>
        <v/>
      </c>
      <c r="B258" t="str">
        <f>IF(Registro_Compras!$R258&lt;&gt;"SI","",Registro_Compras!$C258)</f>
        <v/>
      </c>
      <c r="C258" t="str">
        <f>IF(Registro_Compras!$R258&lt;&gt;"SI","",Registro_Compras!$D258)</f>
        <v/>
      </c>
      <c r="D258" t="str">
        <f>IF(Registro_Compras!$R258&lt;&gt;"SI","",Registro_Compras!$E258)</f>
        <v/>
      </c>
      <c r="E258" t="str">
        <f>IF(Registro_Compras!$R258&lt;&gt;"SI","",Registro_Compras!$G258)</f>
        <v/>
      </c>
      <c r="F258" s="31" t="str">
        <f>IF(Registro_Compras!$R258&lt;&gt;"SI","",Registro_Compras!$P258)</f>
        <v/>
      </c>
      <c r="G258" s="20" t="str">
        <f>IF(Registro_Compras!$R258&lt;&gt;"SI","",Registro_Compras!$O258)</f>
        <v/>
      </c>
      <c r="H258" s="20" t="str">
        <f>IF(Registro_Compras!$R258&lt;&gt;"SI","",Registro_Compras!$S258)</f>
        <v/>
      </c>
      <c r="I258" s="25" t="str">
        <f>IF(Registro_Compras!$R258&lt;&gt;"SI","",IF(Registro_Compras!$Y258="",WORKDAY(EOMONTH(Registro_Compras!$B258,0),5,Feriados),MIN(Registro_Compras!$Y258,WORKDAY(EOMONTH(Registro_Compras!$B258,0),5,Feriados))))</f>
        <v/>
      </c>
      <c r="J258" s="25" t="str">
        <f>IF(Registro_Compras!$R258&lt;&gt;"SI","",Registro_Compras!$X258)</f>
        <v/>
      </c>
      <c r="K258" t="str">
        <f>IF(Registro_Compras!$R258&lt;&gt;"SI","",IF(Registro_Compras!$X258="","PENDIENTE","DEPOSITADA"))</f>
        <v/>
      </c>
      <c r="L258" t="str">
        <f>IF(Registro_Compras!$R258&lt;&gt;"SI","",Registro_Compras!$Z258)</f>
        <v/>
      </c>
      <c r="M258" t="str">
        <f t="shared" ca="1" si="6"/>
        <v/>
      </c>
      <c r="N258" t="str">
        <f t="shared" ca="1" si="7"/>
        <v/>
      </c>
    </row>
    <row r="259" spans="1:14" x14ac:dyDescent="0.25">
      <c r="A259" s="25" t="str">
        <f>IF(Registro_Compras!$R259&lt;&gt;"SI","",Registro_Compras!$B259)</f>
        <v/>
      </c>
      <c r="B259" t="str">
        <f>IF(Registro_Compras!$R259&lt;&gt;"SI","",Registro_Compras!$C259)</f>
        <v/>
      </c>
      <c r="C259" t="str">
        <f>IF(Registro_Compras!$R259&lt;&gt;"SI","",Registro_Compras!$D259)</f>
        <v/>
      </c>
      <c r="D259" t="str">
        <f>IF(Registro_Compras!$R259&lt;&gt;"SI","",Registro_Compras!$E259)</f>
        <v/>
      </c>
      <c r="E259" t="str">
        <f>IF(Registro_Compras!$R259&lt;&gt;"SI","",Registro_Compras!$G259)</f>
        <v/>
      </c>
      <c r="F259" s="31" t="str">
        <f>IF(Registro_Compras!$R259&lt;&gt;"SI","",Registro_Compras!$P259)</f>
        <v/>
      </c>
      <c r="G259" s="20" t="str">
        <f>IF(Registro_Compras!$R259&lt;&gt;"SI","",Registro_Compras!$O259)</f>
        <v/>
      </c>
      <c r="H259" s="20" t="str">
        <f>IF(Registro_Compras!$R259&lt;&gt;"SI","",Registro_Compras!$S259)</f>
        <v/>
      </c>
      <c r="I259" s="25" t="str">
        <f>IF(Registro_Compras!$R259&lt;&gt;"SI","",IF(Registro_Compras!$Y259="",WORKDAY(EOMONTH(Registro_Compras!$B259,0),5,Feriados),MIN(Registro_Compras!$Y259,WORKDAY(EOMONTH(Registro_Compras!$B259,0),5,Feriados))))</f>
        <v/>
      </c>
      <c r="J259" s="25" t="str">
        <f>IF(Registro_Compras!$R259&lt;&gt;"SI","",Registro_Compras!$X259)</f>
        <v/>
      </c>
      <c r="K259" t="str">
        <f>IF(Registro_Compras!$R259&lt;&gt;"SI","",IF(Registro_Compras!$X259="","PENDIENTE","DEPOSITADA"))</f>
        <v/>
      </c>
      <c r="L259" t="str">
        <f>IF(Registro_Compras!$R259&lt;&gt;"SI","",Registro_Compras!$Z259)</f>
        <v/>
      </c>
      <c r="M259" t="str">
        <f t="shared" ca="1" si="6"/>
        <v/>
      </c>
      <c r="N259" t="str">
        <f t="shared" ca="1" si="7"/>
        <v/>
      </c>
    </row>
    <row r="260" spans="1:14" x14ac:dyDescent="0.25">
      <c r="A260" s="25" t="str">
        <f>IF(Registro_Compras!$R260&lt;&gt;"SI","",Registro_Compras!$B260)</f>
        <v/>
      </c>
      <c r="B260" t="str">
        <f>IF(Registro_Compras!$R260&lt;&gt;"SI","",Registro_Compras!$C260)</f>
        <v/>
      </c>
      <c r="C260" t="str">
        <f>IF(Registro_Compras!$R260&lt;&gt;"SI","",Registro_Compras!$D260)</f>
        <v/>
      </c>
      <c r="D260" t="str">
        <f>IF(Registro_Compras!$R260&lt;&gt;"SI","",Registro_Compras!$E260)</f>
        <v/>
      </c>
      <c r="E260" t="str">
        <f>IF(Registro_Compras!$R260&lt;&gt;"SI","",Registro_Compras!$G260)</f>
        <v/>
      </c>
      <c r="F260" s="31" t="str">
        <f>IF(Registro_Compras!$R260&lt;&gt;"SI","",Registro_Compras!$P260)</f>
        <v/>
      </c>
      <c r="G260" s="20" t="str">
        <f>IF(Registro_Compras!$R260&lt;&gt;"SI","",Registro_Compras!$O260)</f>
        <v/>
      </c>
      <c r="H260" s="20" t="str">
        <f>IF(Registro_Compras!$R260&lt;&gt;"SI","",Registro_Compras!$S260)</f>
        <v/>
      </c>
      <c r="I260" s="25" t="str">
        <f>IF(Registro_Compras!$R260&lt;&gt;"SI","",IF(Registro_Compras!$Y260="",WORKDAY(EOMONTH(Registro_Compras!$B260,0),5,Feriados),MIN(Registro_Compras!$Y260,WORKDAY(EOMONTH(Registro_Compras!$B260,0),5,Feriados))))</f>
        <v/>
      </c>
      <c r="J260" s="25" t="str">
        <f>IF(Registro_Compras!$R260&lt;&gt;"SI","",Registro_Compras!$X260)</f>
        <v/>
      </c>
      <c r="K260" t="str">
        <f>IF(Registro_Compras!$R260&lt;&gt;"SI","",IF(Registro_Compras!$X260="","PENDIENTE","DEPOSITADA"))</f>
        <v/>
      </c>
      <c r="L260" t="str">
        <f>IF(Registro_Compras!$R260&lt;&gt;"SI","",Registro_Compras!$Z260)</f>
        <v/>
      </c>
      <c r="M260" t="str">
        <f t="shared" ref="M260:M323" ca="1" si="8">IF($K260&lt;&gt;"PENDIENTE","",IF(TODAY()&gt;$I260,TODAY()-$I260,0))</f>
        <v/>
      </c>
      <c r="N260" t="str">
        <f t="shared" ref="N260:N323" ca="1" si="9">IF($K260&lt;&gt;"PENDIENTE","",IF($M260&gt;0,"VENCIDA - DEPOSITAR YA",IF($I260-TODAY()&lt;=3,"POR VENCER","EN PLAZO")))</f>
        <v/>
      </c>
    </row>
    <row r="261" spans="1:14" x14ac:dyDescent="0.25">
      <c r="A261" s="25" t="str">
        <f>IF(Registro_Compras!$R261&lt;&gt;"SI","",Registro_Compras!$B261)</f>
        <v/>
      </c>
      <c r="B261" t="str">
        <f>IF(Registro_Compras!$R261&lt;&gt;"SI","",Registro_Compras!$C261)</f>
        <v/>
      </c>
      <c r="C261" t="str">
        <f>IF(Registro_Compras!$R261&lt;&gt;"SI","",Registro_Compras!$D261)</f>
        <v/>
      </c>
      <c r="D261" t="str">
        <f>IF(Registro_Compras!$R261&lt;&gt;"SI","",Registro_Compras!$E261)</f>
        <v/>
      </c>
      <c r="E261" t="str">
        <f>IF(Registro_Compras!$R261&lt;&gt;"SI","",Registro_Compras!$G261)</f>
        <v/>
      </c>
      <c r="F261" s="31" t="str">
        <f>IF(Registro_Compras!$R261&lt;&gt;"SI","",Registro_Compras!$P261)</f>
        <v/>
      </c>
      <c r="G261" s="20" t="str">
        <f>IF(Registro_Compras!$R261&lt;&gt;"SI","",Registro_Compras!$O261)</f>
        <v/>
      </c>
      <c r="H261" s="20" t="str">
        <f>IF(Registro_Compras!$R261&lt;&gt;"SI","",Registro_Compras!$S261)</f>
        <v/>
      </c>
      <c r="I261" s="25" t="str">
        <f>IF(Registro_Compras!$R261&lt;&gt;"SI","",IF(Registro_Compras!$Y261="",WORKDAY(EOMONTH(Registro_Compras!$B261,0),5,Feriados),MIN(Registro_Compras!$Y261,WORKDAY(EOMONTH(Registro_Compras!$B261,0),5,Feriados))))</f>
        <v/>
      </c>
      <c r="J261" s="25" t="str">
        <f>IF(Registro_Compras!$R261&lt;&gt;"SI","",Registro_Compras!$X261)</f>
        <v/>
      </c>
      <c r="K261" t="str">
        <f>IF(Registro_Compras!$R261&lt;&gt;"SI","",IF(Registro_Compras!$X261="","PENDIENTE","DEPOSITADA"))</f>
        <v/>
      </c>
      <c r="L261" t="str">
        <f>IF(Registro_Compras!$R261&lt;&gt;"SI","",Registro_Compras!$Z261)</f>
        <v/>
      </c>
      <c r="M261" t="str">
        <f t="shared" ca="1" si="8"/>
        <v/>
      </c>
      <c r="N261" t="str">
        <f t="shared" ca="1" si="9"/>
        <v/>
      </c>
    </row>
    <row r="262" spans="1:14" x14ac:dyDescent="0.25">
      <c r="A262" s="25" t="str">
        <f>IF(Registro_Compras!$R262&lt;&gt;"SI","",Registro_Compras!$B262)</f>
        <v/>
      </c>
      <c r="B262" t="str">
        <f>IF(Registro_Compras!$R262&lt;&gt;"SI","",Registro_Compras!$C262)</f>
        <v/>
      </c>
      <c r="C262" t="str">
        <f>IF(Registro_Compras!$R262&lt;&gt;"SI","",Registro_Compras!$D262)</f>
        <v/>
      </c>
      <c r="D262" t="str">
        <f>IF(Registro_Compras!$R262&lt;&gt;"SI","",Registro_Compras!$E262)</f>
        <v/>
      </c>
      <c r="E262" t="str">
        <f>IF(Registro_Compras!$R262&lt;&gt;"SI","",Registro_Compras!$G262)</f>
        <v/>
      </c>
      <c r="F262" s="31" t="str">
        <f>IF(Registro_Compras!$R262&lt;&gt;"SI","",Registro_Compras!$P262)</f>
        <v/>
      </c>
      <c r="G262" s="20" t="str">
        <f>IF(Registro_Compras!$R262&lt;&gt;"SI","",Registro_Compras!$O262)</f>
        <v/>
      </c>
      <c r="H262" s="20" t="str">
        <f>IF(Registro_Compras!$R262&lt;&gt;"SI","",Registro_Compras!$S262)</f>
        <v/>
      </c>
      <c r="I262" s="25" t="str">
        <f>IF(Registro_Compras!$R262&lt;&gt;"SI","",IF(Registro_Compras!$Y262="",WORKDAY(EOMONTH(Registro_Compras!$B262,0),5,Feriados),MIN(Registro_Compras!$Y262,WORKDAY(EOMONTH(Registro_Compras!$B262,0),5,Feriados))))</f>
        <v/>
      </c>
      <c r="J262" s="25" t="str">
        <f>IF(Registro_Compras!$R262&lt;&gt;"SI","",Registro_Compras!$X262)</f>
        <v/>
      </c>
      <c r="K262" t="str">
        <f>IF(Registro_Compras!$R262&lt;&gt;"SI","",IF(Registro_Compras!$X262="","PENDIENTE","DEPOSITADA"))</f>
        <v/>
      </c>
      <c r="L262" t="str">
        <f>IF(Registro_Compras!$R262&lt;&gt;"SI","",Registro_Compras!$Z262)</f>
        <v/>
      </c>
      <c r="M262" t="str">
        <f t="shared" ca="1" si="8"/>
        <v/>
      </c>
      <c r="N262" t="str">
        <f t="shared" ca="1" si="9"/>
        <v/>
      </c>
    </row>
    <row r="263" spans="1:14" x14ac:dyDescent="0.25">
      <c r="A263" s="25" t="str">
        <f>IF(Registro_Compras!$R263&lt;&gt;"SI","",Registro_Compras!$B263)</f>
        <v/>
      </c>
      <c r="B263" t="str">
        <f>IF(Registro_Compras!$R263&lt;&gt;"SI","",Registro_Compras!$C263)</f>
        <v/>
      </c>
      <c r="C263" t="str">
        <f>IF(Registro_Compras!$R263&lt;&gt;"SI","",Registro_Compras!$D263)</f>
        <v/>
      </c>
      <c r="D263" t="str">
        <f>IF(Registro_Compras!$R263&lt;&gt;"SI","",Registro_Compras!$E263)</f>
        <v/>
      </c>
      <c r="E263" t="str">
        <f>IF(Registro_Compras!$R263&lt;&gt;"SI","",Registro_Compras!$G263)</f>
        <v/>
      </c>
      <c r="F263" s="31" t="str">
        <f>IF(Registro_Compras!$R263&lt;&gt;"SI","",Registro_Compras!$P263)</f>
        <v/>
      </c>
      <c r="G263" s="20" t="str">
        <f>IF(Registro_Compras!$R263&lt;&gt;"SI","",Registro_Compras!$O263)</f>
        <v/>
      </c>
      <c r="H263" s="20" t="str">
        <f>IF(Registro_Compras!$R263&lt;&gt;"SI","",Registro_Compras!$S263)</f>
        <v/>
      </c>
      <c r="I263" s="25" t="str">
        <f>IF(Registro_Compras!$R263&lt;&gt;"SI","",IF(Registro_Compras!$Y263="",WORKDAY(EOMONTH(Registro_Compras!$B263,0),5,Feriados),MIN(Registro_Compras!$Y263,WORKDAY(EOMONTH(Registro_Compras!$B263,0),5,Feriados))))</f>
        <v/>
      </c>
      <c r="J263" s="25" t="str">
        <f>IF(Registro_Compras!$R263&lt;&gt;"SI","",Registro_Compras!$X263)</f>
        <v/>
      </c>
      <c r="K263" t="str">
        <f>IF(Registro_Compras!$R263&lt;&gt;"SI","",IF(Registro_Compras!$X263="","PENDIENTE","DEPOSITADA"))</f>
        <v/>
      </c>
      <c r="L263" t="str">
        <f>IF(Registro_Compras!$R263&lt;&gt;"SI","",Registro_Compras!$Z263)</f>
        <v/>
      </c>
      <c r="M263" t="str">
        <f t="shared" ca="1" si="8"/>
        <v/>
      </c>
      <c r="N263" t="str">
        <f t="shared" ca="1" si="9"/>
        <v/>
      </c>
    </row>
    <row r="264" spans="1:14" x14ac:dyDescent="0.25">
      <c r="A264" s="25" t="str">
        <f>IF(Registro_Compras!$R264&lt;&gt;"SI","",Registro_Compras!$B264)</f>
        <v/>
      </c>
      <c r="B264" t="str">
        <f>IF(Registro_Compras!$R264&lt;&gt;"SI","",Registro_Compras!$C264)</f>
        <v/>
      </c>
      <c r="C264" t="str">
        <f>IF(Registro_Compras!$R264&lt;&gt;"SI","",Registro_Compras!$D264)</f>
        <v/>
      </c>
      <c r="D264" t="str">
        <f>IF(Registro_Compras!$R264&lt;&gt;"SI","",Registro_Compras!$E264)</f>
        <v/>
      </c>
      <c r="E264" t="str">
        <f>IF(Registro_Compras!$R264&lt;&gt;"SI","",Registro_Compras!$G264)</f>
        <v/>
      </c>
      <c r="F264" s="31" t="str">
        <f>IF(Registro_Compras!$R264&lt;&gt;"SI","",Registro_Compras!$P264)</f>
        <v/>
      </c>
      <c r="G264" s="20" t="str">
        <f>IF(Registro_Compras!$R264&lt;&gt;"SI","",Registro_Compras!$O264)</f>
        <v/>
      </c>
      <c r="H264" s="20" t="str">
        <f>IF(Registro_Compras!$R264&lt;&gt;"SI","",Registro_Compras!$S264)</f>
        <v/>
      </c>
      <c r="I264" s="25" t="str">
        <f>IF(Registro_Compras!$R264&lt;&gt;"SI","",IF(Registro_Compras!$Y264="",WORKDAY(EOMONTH(Registro_Compras!$B264,0),5,Feriados),MIN(Registro_Compras!$Y264,WORKDAY(EOMONTH(Registro_Compras!$B264,0),5,Feriados))))</f>
        <v/>
      </c>
      <c r="J264" s="25" t="str">
        <f>IF(Registro_Compras!$R264&lt;&gt;"SI","",Registro_Compras!$X264)</f>
        <v/>
      </c>
      <c r="K264" t="str">
        <f>IF(Registro_Compras!$R264&lt;&gt;"SI","",IF(Registro_Compras!$X264="","PENDIENTE","DEPOSITADA"))</f>
        <v/>
      </c>
      <c r="L264" t="str">
        <f>IF(Registro_Compras!$R264&lt;&gt;"SI","",Registro_Compras!$Z264)</f>
        <v/>
      </c>
      <c r="M264" t="str">
        <f t="shared" ca="1" si="8"/>
        <v/>
      </c>
      <c r="N264" t="str">
        <f t="shared" ca="1" si="9"/>
        <v/>
      </c>
    </row>
    <row r="265" spans="1:14" x14ac:dyDescent="0.25">
      <c r="A265" s="25" t="str">
        <f>IF(Registro_Compras!$R265&lt;&gt;"SI","",Registro_Compras!$B265)</f>
        <v/>
      </c>
      <c r="B265" t="str">
        <f>IF(Registro_Compras!$R265&lt;&gt;"SI","",Registro_Compras!$C265)</f>
        <v/>
      </c>
      <c r="C265" t="str">
        <f>IF(Registro_Compras!$R265&lt;&gt;"SI","",Registro_Compras!$D265)</f>
        <v/>
      </c>
      <c r="D265" t="str">
        <f>IF(Registro_Compras!$R265&lt;&gt;"SI","",Registro_Compras!$E265)</f>
        <v/>
      </c>
      <c r="E265" t="str">
        <f>IF(Registro_Compras!$R265&lt;&gt;"SI","",Registro_Compras!$G265)</f>
        <v/>
      </c>
      <c r="F265" s="31" t="str">
        <f>IF(Registro_Compras!$R265&lt;&gt;"SI","",Registro_Compras!$P265)</f>
        <v/>
      </c>
      <c r="G265" s="20" t="str">
        <f>IF(Registro_Compras!$R265&lt;&gt;"SI","",Registro_Compras!$O265)</f>
        <v/>
      </c>
      <c r="H265" s="20" t="str">
        <f>IF(Registro_Compras!$R265&lt;&gt;"SI","",Registro_Compras!$S265)</f>
        <v/>
      </c>
      <c r="I265" s="25" t="str">
        <f>IF(Registro_Compras!$R265&lt;&gt;"SI","",IF(Registro_Compras!$Y265="",WORKDAY(EOMONTH(Registro_Compras!$B265,0),5,Feriados),MIN(Registro_Compras!$Y265,WORKDAY(EOMONTH(Registro_Compras!$B265,0),5,Feriados))))</f>
        <v/>
      </c>
      <c r="J265" s="25" t="str">
        <f>IF(Registro_Compras!$R265&lt;&gt;"SI","",Registro_Compras!$X265)</f>
        <v/>
      </c>
      <c r="K265" t="str">
        <f>IF(Registro_Compras!$R265&lt;&gt;"SI","",IF(Registro_Compras!$X265="","PENDIENTE","DEPOSITADA"))</f>
        <v/>
      </c>
      <c r="L265" t="str">
        <f>IF(Registro_Compras!$R265&lt;&gt;"SI","",Registro_Compras!$Z265)</f>
        <v/>
      </c>
      <c r="M265" t="str">
        <f t="shared" ca="1" si="8"/>
        <v/>
      </c>
      <c r="N265" t="str">
        <f t="shared" ca="1" si="9"/>
        <v/>
      </c>
    </row>
    <row r="266" spans="1:14" x14ac:dyDescent="0.25">
      <c r="A266" s="25" t="str">
        <f>IF(Registro_Compras!$R266&lt;&gt;"SI","",Registro_Compras!$B266)</f>
        <v/>
      </c>
      <c r="B266" t="str">
        <f>IF(Registro_Compras!$R266&lt;&gt;"SI","",Registro_Compras!$C266)</f>
        <v/>
      </c>
      <c r="C266" t="str">
        <f>IF(Registro_Compras!$R266&lt;&gt;"SI","",Registro_Compras!$D266)</f>
        <v/>
      </c>
      <c r="D266" t="str">
        <f>IF(Registro_Compras!$R266&lt;&gt;"SI","",Registro_Compras!$E266)</f>
        <v/>
      </c>
      <c r="E266" t="str">
        <f>IF(Registro_Compras!$R266&lt;&gt;"SI","",Registro_Compras!$G266)</f>
        <v/>
      </c>
      <c r="F266" s="31" t="str">
        <f>IF(Registro_Compras!$R266&lt;&gt;"SI","",Registro_Compras!$P266)</f>
        <v/>
      </c>
      <c r="G266" s="20" t="str">
        <f>IF(Registro_Compras!$R266&lt;&gt;"SI","",Registro_Compras!$O266)</f>
        <v/>
      </c>
      <c r="H266" s="20" t="str">
        <f>IF(Registro_Compras!$R266&lt;&gt;"SI","",Registro_Compras!$S266)</f>
        <v/>
      </c>
      <c r="I266" s="25" t="str">
        <f>IF(Registro_Compras!$R266&lt;&gt;"SI","",IF(Registro_Compras!$Y266="",WORKDAY(EOMONTH(Registro_Compras!$B266,0),5,Feriados),MIN(Registro_Compras!$Y266,WORKDAY(EOMONTH(Registro_Compras!$B266,0),5,Feriados))))</f>
        <v/>
      </c>
      <c r="J266" s="25" t="str">
        <f>IF(Registro_Compras!$R266&lt;&gt;"SI","",Registro_Compras!$X266)</f>
        <v/>
      </c>
      <c r="K266" t="str">
        <f>IF(Registro_Compras!$R266&lt;&gt;"SI","",IF(Registro_Compras!$X266="","PENDIENTE","DEPOSITADA"))</f>
        <v/>
      </c>
      <c r="L266" t="str">
        <f>IF(Registro_Compras!$R266&lt;&gt;"SI","",Registro_Compras!$Z266)</f>
        <v/>
      </c>
      <c r="M266" t="str">
        <f t="shared" ca="1" si="8"/>
        <v/>
      </c>
      <c r="N266" t="str">
        <f t="shared" ca="1" si="9"/>
        <v/>
      </c>
    </row>
    <row r="267" spans="1:14" x14ac:dyDescent="0.25">
      <c r="A267" s="25" t="str">
        <f>IF(Registro_Compras!$R267&lt;&gt;"SI","",Registro_Compras!$B267)</f>
        <v/>
      </c>
      <c r="B267" t="str">
        <f>IF(Registro_Compras!$R267&lt;&gt;"SI","",Registro_Compras!$C267)</f>
        <v/>
      </c>
      <c r="C267" t="str">
        <f>IF(Registro_Compras!$R267&lt;&gt;"SI","",Registro_Compras!$D267)</f>
        <v/>
      </c>
      <c r="D267" t="str">
        <f>IF(Registro_Compras!$R267&lt;&gt;"SI","",Registro_Compras!$E267)</f>
        <v/>
      </c>
      <c r="E267" t="str">
        <f>IF(Registro_Compras!$R267&lt;&gt;"SI","",Registro_Compras!$G267)</f>
        <v/>
      </c>
      <c r="F267" s="31" t="str">
        <f>IF(Registro_Compras!$R267&lt;&gt;"SI","",Registro_Compras!$P267)</f>
        <v/>
      </c>
      <c r="G267" s="20" t="str">
        <f>IF(Registro_Compras!$R267&lt;&gt;"SI","",Registro_Compras!$O267)</f>
        <v/>
      </c>
      <c r="H267" s="20" t="str">
        <f>IF(Registro_Compras!$R267&lt;&gt;"SI","",Registro_Compras!$S267)</f>
        <v/>
      </c>
      <c r="I267" s="25" t="str">
        <f>IF(Registro_Compras!$R267&lt;&gt;"SI","",IF(Registro_Compras!$Y267="",WORKDAY(EOMONTH(Registro_Compras!$B267,0),5,Feriados),MIN(Registro_Compras!$Y267,WORKDAY(EOMONTH(Registro_Compras!$B267,0),5,Feriados))))</f>
        <v/>
      </c>
      <c r="J267" s="25" t="str">
        <f>IF(Registro_Compras!$R267&lt;&gt;"SI","",Registro_Compras!$X267)</f>
        <v/>
      </c>
      <c r="K267" t="str">
        <f>IF(Registro_Compras!$R267&lt;&gt;"SI","",IF(Registro_Compras!$X267="","PENDIENTE","DEPOSITADA"))</f>
        <v/>
      </c>
      <c r="L267" t="str">
        <f>IF(Registro_Compras!$R267&lt;&gt;"SI","",Registro_Compras!$Z267)</f>
        <v/>
      </c>
      <c r="M267" t="str">
        <f t="shared" ca="1" si="8"/>
        <v/>
      </c>
      <c r="N267" t="str">
        <f t="shared" ca="1" si="9"/>
        <v/>
      </c>
    </row>
    <row r="268" spans="1:14" x14ac:dyDescent="0.25">
      <c r="A268" s="25" t="str">
        <f>IF(Registro_Compras!$R268&lt;&gt;"SI","",Registro_Compras!$B268)</f>
        <v/>
      </c>
      <c r="B268" t="str">
        <f>IF(Registro_Compras!$R268&lt;&gt;"SI","",Registro_Compras!$C268)</f>
        <v/>
      </c>
      <c r="C268" t="str">
        <f>IF(Registro_Compras!$R268&lt;&gt;"SI","",Registro_Compras!$D268)</f>
        <v/>
      </c>
      <c r="D268" t="str">
        <f>IF(Registro_Compras!$R268&lt;&gt;"SI","",Registro_Compras!$E268)</f>
        <v/>
      </c>
      <c r="E268" t="str">
        <f>IF(Registro_Compras!$R268&lt;&gt;"SI","",Registro_Compras!$G268)</f>
        <v/>
      </c>
      <c r="F268" s="31" t="str">
        <f>IF(Registro_Compras!$R268&lt;&gt;"SI","",Registro_Compras!$P268)</f>
        <v/>
      </c>
      <c r="G268" s="20" t="str">
        <f>IF(Registro_Compras!$R268&lt;&gt;"SI","",Registro_Compras!$O268)</f>
        <v/>
      </c>
      <c r="H268" s="20" t="str">
        <f>IF(Registro_Compras!$R268&lt;&gt;"SI","",Registro_Compras!$S268)</f>
        <v/>
      </c>
      <c r="I268" s="25" t="str">
        <f>IF(Registro_Compras!$R268&lt;&gt;"SI","",IF(Registro_Compras!$Y268="",WORKDAY(EOMONTH(Registro_Compras!$B268,0),5,Feriados),MIN(Registro_Compras!$Y268,WORKDAY(EOMONTH(Registro_Compras!$B268,0),5,Feriados))))</f>
        <v/>
      </c>
      <c r="J268" s="25" t="str">
        <f>IF(Registro_Compras!$R268&lt;&gt;"SI","",Registro_Compras!$X268)</f>
        <v/>
      </c>
      <c r="K268" t="str">
        <f>IF(Registro_Compras!$R268&lt;&gt;"SI","",IF(Registro_Compras!$X268="","PENDIENTE","DEPOSITADA"))</f>
        <v/>
      </c>
      <c r="L268" t="str">
        <f>IF(Registro_Compras!$R268&lt;&gt;"SI","",Registro_Compras!$Z268)</f>
        <v/>
      </c>
      <c r="M268" t="str">
        <f t="shared" ca="1" si="8"/>
        <v/>
      </c>
      <c r="N268" t="str">
        <f t="shared" ca="1" si="9"/>
        <v/>
      </c>
    </row>
    <row r="269" spans="1:14" x14ac:dyDescent="0.25">
      <c r="A269" s="25" t="str">
        <f>IF(Registro_Compras!$R269&lt;&gt;"SI","",Registro_Compras!$B269)</f>
        <v/>
      </c>
      <c r="B269" t="str">
        <f>IF(Registro_Compras!$R269&lt;&gt;"SI","",Registro_Compras!$C269)</f>
        <v/>
      </c>
      <c r="C269" t="str">
        <f>IF(Registro_Compras!$R269&lt;&gt;"SI","",Registro_Compras!$D269)</f>
        <v/>
      </c>
      <c r="D269" t="str">
        <f>IF(Registro_Compras!$R269&lt;&gt;"SI","",Registro_Compras!$E269)</f>
        <v/>
      </c>
      <c r="E269" t="str">
        <f>IF(Registro_Compras!$R269&lt;&gt;"SI","",Registro_Compras!$G269)</f>
        <v/>
      </c>
      <c r="F269" s="31" t="str">
        <f>IF(Registro_Compras!$R269&lt;&gt;"SI","",Registro_Compras!$P269)</f>
        <v/>
      </c>
      <c r="G269" s="20" t="str">
        <f>IF(Registro_Compras!$R269&lt;&gt;"SI","",Registro_Compras!$O269)</f>
        <v/>
      </c>
      <c r="H269" s="20" t="str">
        <f>IF(Registro_Compras!$R269&lt;&gt;"SI","",Registro_Compras!$S269)</f>
        <v/>
      </c>
      <c r="I269" s="25" t="str">
        <f>IF(Registro_Compras!$R269&lt;&gt;"SI","",IF(Registro_Compras!$Y269="",WORKDAY(EOMONTH(Registro_Compras!$B269,0),5,Feriados),MIN(Registro_Compras!$Y269,WORKDAY(EOMONTH(Registro_Compras!$B269,0),5,Feriados))))</f>
        <v/>
      </c>
      <c r="J269" s="25" t="str">
        <f>IF(Registro_Compras!$R269&lt;&gt;"SI","",Registro_Compras!$X269)</f>
        <v/>
      </c>
      <c r="K269" t="str">
        <f>IF(Registro_Compras!$R269&lt;&gt;"SI","",IF(Registro_Compras!$X269="","PENDIENTE","DEPOSITADA"))</f>
        <v/>
      </c>
      <c r="L269" t="str">
        <f>IF(Registro_Compras!$R269&lt;&gt;"SI","",Registro_Compras!$Z269)</f>
        <v/>
      </c>
      <c r="M269" t="str">
        <f t="shared" ca="1" si="8"/>
        <v/>
      </c>
      <c r="N269" t="str">
        <f t="shared" ca="1" si="9"/>
        <v/>
      </c>
    </row>
    <row r="270" spans="1:14" x14ac:dyDescent="0.25">
      <c r="A270" s="25" t="str">
        <f>IF(Registro_Compras!$R270&lt;&gt;"SI","",Registro_Compras!$B270)</f>
        <v/>
      </c>
      <c r="B270" t="str">
        <f>IF(Registro_Compras!$R270&lt;&gt;"SI","",Registro_Compras!$C270)</f>
        <v/>
      </c>
      <c r="C270" t="str">
        <f>IF(Registro_Compras!$R270&lt;&gt;"SI","",Registro_Compras!$D270)</f>
        <v/>
      </c>
      <c r="D270" t="str">
        <f>IF(Registro_Compras!$R270&lt;&gt;"SI","",Registro_Compras!$E270)</f>
        <v/>
      </c>
      <c r="E270" t="str">
        <f>IF(Registro_Compras!$R270&lt;&gt;"SI","",Registro_Compras!$G270)</f>
        <v/>
      </c>
      <c r="F270" s="31" t="str">
        <f>IF(Registro_Compras!$R270&lt;&gt;"SI","",Registro_Compras!$P270)</f>
        <v/>
      </c>
      <c r="G270" s="20" t="str">
        <f>IF(Registro_Compras!$R270&lt;&gt;"SI","",Registro_Compras!$O270)</f>
        <v/>
      </c>
      <c r="H270" s="20" t="str">
        <f>IF(Registro_Compras!$R270&lt;&gt;"SI","",Registro_Compras!$S270)</f>
        <v/>
      </c>
      <c r="I270" s="25" t="str">
        <f>IF(Registro_Compras!$R270&lt;&gt;"SI","",IF(Registro_Compras!$Y270="",WORKDAY(EOMONTH(Registro_Compras!$B270,0),5,Feriados),MIN(Registro_Compras!$Y270,WORKDAY(EOMONTH(Registro_Compras!$B270,0),5,Feriados))))</f>
        <v/>
      </c>
      <c r="J270" s="25" t="str">
        <f>IF(Registro_Compras!$R270&lt;&gt;"SI","",Registro_Compras!$X270)</f>
        <v/>
      </c>
      <c r="K270" t="str">
        <f>IF(Registro_Compras!$R270&lt;&gt;"SI","",IF(Registro_Compras!$X270="","PENDIENTE","DEPOSITADA"))</f>
        <v/>
      </c>
      <c r="L270" t="str">
        <f>IF(Registro_Compras!$R270&lt;&gt;"SI","",Registro_Compras!$Z270)</f>
        <v/>
      </c>
      <c r="M270" t="str">
        <f t="shared" ca="1" si="8"/>
        <v/>
      </c>
      <c r="N270" t="str">
        <f t="shared" ca="1" si="9"/>
        <v/>
      </c>
    </row>
    <row r="271" spans="1:14" x14ac:dyDescent="0.25">
      <c r="A271" s="25" t="str">
        <f>IF(Registro_Compras!$R271&lt;&gt;"SI","",Registro_Compras!$B271)</f>
        <v/>
      </c>
      <c r="B271" t="str">
        <f>IF(Registro_Compras!$R271&lt;&gt;"SI","",Registro_Compras!$C271)</f>
        <v/>
      </c>
      <c r="C271" t="str">
        <f>IF(Registro_Compras!$R271&lt;&gt;"SI","",Registro_Compras!$D271)</f>
        <v/>
      </c>
      <c r="D271" t="str">
        <f>IF(Registro_Compras!$R271&lt;&gt;"SI","",Registro_Compras!$E271)</f>
        <v/>
      </c>
      <c r="E271" t="str">
        <f>IF(Registro_Compras!$R271&lt;&gt;"SI","",Registro_Compras!$G271)</f>
        <v/>
      </c>
      <c r="F271" s="31" t="str">
        <f>IF(Registro_Compras!$R271&lt;&gt;"SI","",Registro_Compras!$P271)</f>
        <v/>
      </c>
      <c r="G271" s="20" t="str">
        <f>IF(Registro_Compras!$R271&lt;&gt;"SI","",Registro_Compras!$O271)</f>
        <v/>
      </c>
      <c r="H271" s="20" t="str">
        <f>IF(Registro_Compras!$R271&lt;&gt;"SI","",Registro_Compras!$S271)</f>
        <v/>
      </c>
      <c r="I271" s="25" t="str">
        <f>IF(Registro_Compras!$R271&lt;&gt;"SI","",IF(Registro_Compras!$Y271="",WORKDAY(EOMONTH(Registro_Compras!$B271,0),5,Feriados),MIN(Registro_Compras!$Y271,WORKDAY(EOMONTH(Registro_Compras!$B271,0),5,Feriados))))</f>
        <v/>
      </c>
      <c r="J271" s="25" t="str">
        <f>IF(Registro_Compras!$R271&lt;&gt;"SI","",Registro_Compras!$X271)</f>
        <v/>
      </c>
      <c r="K271" t="str">
        <f>IF(Registro_Compras!$R271&lt;&gt;"SI","",IF(Registro_Compras!$X271="","PENDIENTE","DEPOSITADA"))</f>
        <v/>
      </c>
      <c r="L271" t="str">
        <f>IF(Registro_Compras!$R271&lt;&gt;"SI","",Registro_Compras!$Z271)</f>
        <v/>
      </c>
      <c r="M271" t="str">
        <f t="shared" ca="1" si="8"/>
        <v/>
      </c>
      <c r="N271" t="str">
        <f t="shared" ca="1" si="9"/>
        <v/>
      </c>
    </row>
    <row r="272" spans="1:14" x14ac:dyDescent="0.25">
      <c r="A272" s="25" t="str">
        <f>IF(Registro_Compras!$R272&lt;&gt;"SI","",Registro_Compras!$B272)</f>
        <v/>
      </c>
      <c r="B272" t="str">
        <f>IF(Registro_Compras!$R272&lt;&gt;"SI","",Registro_Compras!$C272)</f>
        <v/>
      </c>
      <c r="C272" t="str">
        <f>IF(Registro_Compras!$R272&lt;&gt;"SI","",Registro_Compras!$D272)</f>
        <v/>
      </c>
      <c r="D272" t="str">
        <f>IF(Registro_Compras!$R272&lt;&gt;"SI","",Registro_Compras!$E272)</f>
        <v/>
      </c>
      <c r="E272" t="str">
        <f>IF(Registro_Compras!$R272&lt;&gt;"SI","",Registro_Compras!$G272)</f>
        <v/>
      </c>
      <c r="F272" s="31" t="str">
        <f>IF(Registro_Compras!$R272&lt;&gt;"SI","",Registro_Compras!$P272)</f>
        <v/>
      </c>
      <c r="G272" s="20" t="str">
        <f>IF(Registro_Compras!$R272&lt;&gt;"SI","",Registro_Compras!$O272)</f>
        <v/>
      </c>
      <c r="H272" s="20" t="str">
        <f>IF(Registro_Compras!$R272&lt;&gt;"SI","",Registro_Compras!$S272)</f>
        <v/>
      </c>
      <c r="I272" s="25" t="str">
        <f>IF(Registro_Compras!$R272&lt;&gt;"SI","",IF(Registro_Compras!$Y272="",WORKDAY(EOMONTH(Registro_Compras!$B272,0),5,Feriados),MIN(Registro_Compras!$Y272,WORKDAY(EOMONTH(Registro_Compras!$B272,0),5,Feriados))))</f>
        <v/>
      </c>
      <c r="J272" s="25" t="str">
        <f>IF(Registro_Compras!$R272&lt;&gt;"SI","",Registro_Compras!$X272)</f>
        <v/>
      </c>
      <c r="K272" t="str">
        <f>IF(Registro_Compras!$R272&lt;&gt;"SI","",IF(Registro_Compras!$X272="","PENDIENTE","DEPOSITADA"))</f>
        <v/>
      </c>
      <c r="L272" t="str">
        <f>IF(Registro_Compras!$R272&lt;&gt;"SI","",Registro_Compras!$Z272)</f>
        <v/>
      </c>
      <c r="M272" t="str">
        <f t="shared" ca="1" si="8"/>
        <v/>
      </c>
      <c r="N272" t="str">
        <f t="shared" ca="1" si="9"/>
        <v/>
      </c>
    </row>
    <row r="273" spans="1:14" x14ac:dyDescent="0.25">
      <c r="A273" s="25" t="str">
        <f>IF(Registro_Compras!$R273&lt;&gt;"SI","",Registro_Compras!$B273)</f>
        <v/>
      </c>
      <c r="B273" t="str">
        <f>IF(Registro_Compras!$R273&lt;&gt;"SI","",Registro_Compras!$C273)</f>
        <v/>
      </c>
      <c r="C273" t="str">
        <f>IF(Registro_Compras!$R273&lt;&gt;"SI","",Registro_Compras!$D273)</f>
        <v/>
      </c>
      <c r="D273" t="str">
        <f>IF(Registro_Compras!$R273&lt;&gt;"SI","",Registro_Compras!$E273)</f>
        <v/>
      </c>
      <c r="E273" t="str">
        <f>IF(Registro_Compras!$R273&lt;&gt;"SI","",Registro_Compras!$G273)</f>
        <v/>
      </c>
      <c r="F273" s="31" t="str">
        <f>IF(Registro_Compras!$R273&lt;&gt;"SI","",Registro_Compras!$P273)</f>
        <v/>
      </c>
      <c r="G273" s="20" t="str">
        <f>IF(Registro_Compras!$R273&lt;&gt;"SI","",Registro_Compras!$O273)</f>
        <v/>
      </c>
      <c r="H273" s="20" t="str">
        <f>IF(Registro_Compras!$R273&lt;&gt;"SI","",Registro_Compras!$S273)</f>
        <v/>
      </c>
      <c r="I273" s="25" t="str">
        <f>IF(Registro_Compras!$R273&lt;&gt;"SI","",IF(Registro_Compras!$Y273="",WORKDAY(EOMONTH(Registro_Compras!$B273,0),5,Feriados),MIN(Registro_Compras!$Y273,WORKDAY(EOMONTH(Registro_Compras!$B273,0),5,Feriados))))</f>
        <v/>
      </c>
      <c r="J273" s="25" t="str">
        <f>IF(Registro_Compras!$R273&lt;&gt;"SI","",Registro_Compras!$X273)</f>
        <v/>
      </c>
      <c r="K273" t="str">
        <f>IF(Registro_Compras!$R273&lt;&gt;"SI","",IF(Registro_Compras!$X273="","PENDIENTE","DEPOSITADA"))</f>
        <v/>
      </c>
      <c r="L273" t="str">
        <f>IF(Registro_Compras!$R273&lt;&gt;"SI","",Registro_Compras!$Z273)</f>
        <v/>
      </c>
      <c r="M273" t="str">
        <f t="shared" ca="1" si="8"/>
        <v/>
      </c>
      <c r="N273" t="str">
        <f t="shared" ca="1" si="9"/>
        <v/>
      </c>
    </row>
    <row r="274" spans="1:14" x14ac:dyDescent="0.25">
      <c r="A274" s="25" t="str">
        <f>IF(Registro_Compras!$R274&lt;&gt;"SI","",Registro_Compras!$B274)</f>
        <v/>
      </c>
      <c r="B274" t="str">
        <f>IF(Registro_Compras!$R274&lt;&gt;"SI","",Registro_Compras!$C274)</f>
        <v/>
      </c>
      <c r="C274" t="str">
        <f>IF(Registro_Compras!$R274&lt;&gt;"SI","",Registro_Compras!$D274)</f>
        <v/>
      </c>
      <c r="D274" t="str">
        <f>IF(Registro_Compras!$R274&lt;&gt;"SI","",Registro_Compras!$E274)</f>
        <v/>
      </c>
      <c r="E274" t="str">
        <f>IF(Registro_Compras!$R274&lt;&gt;"SI","",Registro_Compras!$G274)</f>
        <v/>
      </c>
      <c r="F274" s="31" t="str">
        <f>IF(Registro_Compras!$R274&lt;&gt;"SI","",Registro_Compras!$P274)</f>
        <v/>
      </c>
      <c r="G274" s="20" t="str">
        <f>IF(Registro_Compras!$R274&lt;&gt;"SI","",Registro_Compras!$O274)</f>
        <v/>
      </c>
      <c r="H274" s="20" t="str">
        <f>IF(Registro_Compras!$R274&lt;&gt;"SI","",Registro_Compras!$S274)</f>
        <v/>
      </c>
      <c r="I274" s="25" t="str">
        <f>IF(Registro_Compras!$R274&lt;&gt;"SI","",IF(Registro_Compras!$Y274="",WORKDAY(EOMONTH(Registro_Compras!$B274,0),5,Feriados),MIN(Registro_Compras!$Y274,WORKDAY(EOMONTH(Registro_Compras!$B274,0),5,Feriados))))</f>
        <v/>
      </c>
      <c r="J274" s="25" t="str">
        <f>IF(Registro_Compras!$R274&lt;&gt;"SI","",Registro_Compras!$X274)</f>
        <v/>
      </c>
      <c r="K274" t="str">
        <f>IF(Registro_Compras!$R274&lt;&gt;"SI","",IF(Registro_Compras!$X274="","PENDIENTE","DEPOSITADA"))</f>
        <v/>
      </c>
      <c r="L274" t="str">
        <f>IF(Registro_Compras!$R274&lt;&gt;"SI","",Registro_Compras!$Z274)</f>
        <v/>
      </c>
      <c r="M274" t="str">
        <f t="shared" ca="1" si="8"/>
        <v/>
      </c>
      <c r="N274" t="str">
        <f t="shared" ca="1" si="9"/>
        <v/>
      </c>
    </row>
    <row r="275" spans="1:14" x14ac:dyDescent="0.25">
      <c r="A275" s="25" t="str">
        <f>IF(Registro_Compras!$R275&lt;&gt;"SI","",Registro_Compras!$B275)</f>
        <v/>
      </c>
      <c r="B275" t="str">
        <f>IF(Registro_Compras!$R275&lt;&gt;"SI","",Registro_Compras!$C275)</f>
        <v/>
      </c>
      <c r="C275" t="str">
        <f>IF(Registro_Compras!$R275&lt;&gt;"SI","",Registro_Compras!$D275)</f>
        <v/>
      </c>
      <c r="D275" t="str">
        <f>IF(Registro_Compras!$R275&lt;&gt;"SI","",Registro_Compras!$E275)</f>
        <v/>
      </c>
      <c r="E275" t="str">
        <f>IF(Registro_Compras!$R275&lt;&gt;"SI","",Registro_Compras!$G275)</f>
        <v/>
      </c>
      <c r="F275" s="31" t="str">
        <f>IF(Registro_Compras!$R275&lt;&gt;"SI","",Registro_Compras!$P275)</f>
        <v/>
      </c>
      <c r="G275" s="20" t="str">
        <f>IF(Registro_Compras!$R275&lt;&gt;"SI","",Registro_Compras!$O275)</f>
        <v/>
      </c>
      <c r="H275" s="20" t="str">
        <f>IF(Registro_Compras!$R275&lt;&gt;"SI","",Registro_Compras!$S275)</f>
        <v/>
      </c>
      <c r="I275" s="25" t="str">
        <f>IF(Registro_Compras!$R275&lt;&gt;"SI","",IF(Registro_Compras!$Y275="",WORKDAY(EOMONTH(Registro_Compras!$B275,0),5,Feriados),MIN(Registro_Compras!$Y275,WORKDAY(EOMONTH(Registro_Compras!$B275,0),5,Feriados))))</f>
        <v/>
      </c>
      <c r="J275" s="25" t="str">
        <f>IF(Registro_Compras!$R275&lt;&gt;"SI","",Registro_Compras!$X275)</f>
        <v/>
      </c>
      <c r="K275" t="str">
        <f>IF(Registro_Compras!$R275&lt;&gt;"SI","",IF(Registro_Compras!$X275="","PENDIENTE","DEPOSITADA"))</f>
        <v/>
      </c>
      <c r="L275" t="str">
        <f>IF(Registro_Compras!$R275&lt;&gt;"SI","",Registro_Compras!$Z275)</f>
        <v/>
      </c>
      <c r="M275" t="str">
        <f t="shared" ca="1" si="8"/>
        <v/>
      </c>
      <c r="N275" t="str">
        <f t="shared" ca="1" si="9"/>
        <v/>
      </c>
    </row>
    <row r="276" spans="1:14" x14ac:dyDescent="0.25">
      <c r="A276" s="25" t="str">
        <f>IF(Registro_Compras!$R276&lt;&gt;"SI","",Registro_Compras!$B276)</f>
        <v/>
      </c>
      <c r="B276" t="str">
        <f>IF(Registro_Compras!$R276&lt;&gt;"SI","",Registro_Compras!$C276)</f>
        <v/>
      </c>
      <c r="C276" t="str">
        <f>IF(Registro_Compras!$R276&lt;&gt;"SI","",Registro_Compras!$D276)</f>
        <v/>
      </c>
      <c r="D276" t="str">
        <f>IF(Registro_Compras!$R276&lt;&gt;"SI","",Registro_Compras!$E276)</f>
        <v/>
      </c>
      <c r="E276" t="str">
        <f>IF(Registro_Compras!$R276&lt;&gt;"SI","",Registro_Compras!$G276)</f>
        <v/>
      </c>
      <c r="F276" s="31" t="str">
        <f>IF(Registro_Compras!$R276&lt;&gt;"SI","",Registro_Compras!$P276)</f>
        <v/>
      </c>
      <c r="G276" s="20" t="str">
        <f>IF(Registro_Compras!$R276&lt;&gt;"SI","",Registro_Compras!$O276)</f>
        <v/>
      </c>
      <c r="H276" s="20" t="str">
        <f>IF(Registro_Compras!$R276&lt;&gt;"SI","",Registro_Compras!$S276)</f>
        <v/>
      </c>
      <c r="I276" s="25" t="str">
        <f>IF(Registro_Compras!$R276&lt;&gt;"SI","",IF(Registro_Compras!$Y276="",WORKDAY(EOMONTH(Registro_Compras!$B276,0),5,Feriados),MIN(Registro_Compras!$Y276,WORKDAY(EOMONTH(Registro_Compras!$B276,0),5,Feriados))))</f>
        <v/>
      </c>
      <c r="J276" s="25" t="str">
        <f>IF(Registro_Compras!$R276&lt;&gt;"SI","",Registro_Compras!$X276)</f>
        <v/>
      </c>
      <c r="K276" t="str">
        <f>IF(Registro_Compras!$R276&lt;&gt;"SI","",IF(Registro_Compras!$X276="","PENDIENTE","DEPOSITADA"))</f>
        <v/>
      </c>
      <c r="L276" t="str">
        <f>IF(Registro_Compras!$R276&lt;&gt;"SI","",Registro_Compras!$Z276)</f>
        <v/>
      </c>
      <c r="M276" t="str">
        <f t="shared" ca="1" si="8"/>
        <v/>
      </c>
      <c r="N276" t="str">
        <f t="shared" ca="1" si="9"/>
        <v/>
      </c>
    </row>
    <row r="277" spans="1:14" x14ac:dyDescent="0.25">
      <c r="A277" s="25" t="str">
        <f>IF(Registro_Compras!$R277&lt;&gt;"SI","",Registro_Compras!$B277)</f>
        <v/>
      </c>
      <c r="B277" t="str">
        <f>IF(Registro_Compras!$R277&lt;&gt;"SI","",Registro_Compras!$C277)</f>
        <v/>
      </c>
      <c r="C277" t="str">
        <f>IF(Registro_Compras!$R277&lt;&gt;"SI","",Registro_Compras!$D277)</f>
        <v/>
      </c>
      <c r="D277" t="str">
        <f>IF(Registro_Compras!$R277&lt;&gt;"SI","",Registro_Compras!$E277)</f>
        <v/>
      </c>
      <c r="E277" t="str">
        <f>IF(Registro_Compras!$R277&lt;&gt;"SI","",Registro_Compras!$G277)</f>
        <v/>
      </c>
      <c r="F277" s="31" t="str">
        <f>IF(Registro_Compras!$R277&lt;&gt;"SI","",Registro_Compras!$P277)</f>
        <v/>
      </c>
      <c r="G277" s="20" t="str">
        <f>IF(Registro_Compras!$R277&lt;&gt;"SI","",Registro_Compras!$O277)</f>
        <v/>
      </c>
      <c r="H277" s="20" t="str">
        <f>IF(Registro_Compras!$R277&lt;&gt;"SI","",Registro_Compras!$S277)</f>
        <v/>
      </c>
      <c r="I277" s="25" t="str">
        <f>IF(Registro_Compras!$R277&lt;&gt;"SI","",IF(Registro_Compras!$Y277="",WORKDAY(EOMONTH(Registro_Compras!$B277,0),5,Feriados),MIN(Registro_Compras!$Y277,WORKDAY(EOMONTH(Registro_Compras!$B277,0),5,Feriados))))</f>
        <v/>
      </c>
      <c r="J277" s="25" t="str">
        <f>IF(Registro_Compras!$R277&lt;&gt;"SI","",Registro_Compras!$X277)</f>
        <v/>
      </c>
      <c r="K277" t="str">
        <f>IF(Registro_Compras!$R277&lt;&gt;"SI","",IF(Registro_Compras!$X277="","PENDIENTE","DEPOSITADA"))</f>
        <v/>
      </c>
      <c r="L277" t="str">
        <f>IF(Registro_Compras!$R277&lt;&gt;"SI","",Registro_Compras!$Z277)</f>
        <v/>
      </c>
      <c r="M277" t="str">
        <f t="shared" ca="1" si="8"/>
        <v/>
      </c>
      <c r="N277" t="str">
        <f t="shared" ca="1" si="9"/>
        <v/>
      </c>
    </row>
    <row r="278" spans="1:14" x14ac:dyDescent="0.25">
      <c r="A278" s="25" t="str">
        <f>IF(Registro_Compras!$R278&lt;&gt;"SI","",Registro_Compras!$B278)</f>
        <v/>
      </c>
      <c r="B278" t="str">
        <f>IF(Registro_Compras!$R278&lt;&gt;"SI","",Registro_Compras!$C278)</f>
        <v/>
      </c>
      <c r="C278" t="str">
        <f>IF(Registro_Compras!$R278&lt;&gt;"SI","",Registro_Compras!$D278)</f>
        <v/>
      </c>
      <c r="D278" t="str">
        <f>IF(Registro_Compras!$R278&lt;&gt;"SI","",Registro_Compras!$E278)</f>
        <v/>
      </c>
      <c r="E278" t="str">
        <f>IF(Registro_Compras!$R278&lt;&gt;"SI","",Registro_Compras!$G278)</f>
        <v/>
      </c>
      <c r="F278" s="31" t="str">
        <f>IF(Registro_Compras!$R278&lt;&gt;"SI","",Registro_Compras!$P278)</f>
        <v/>
      </c>
      <c r="G278" s="20" t="str">
        <f>IF(Registro_Compras!$R278&lt;&gt;"SI","",Registro_Compras!$O278)</f>
        <v/>
      </c>
      <c r="H278" s="20" t="str">
        <f>IF(Registro_Compras!$R278&lt;&gt;"SI","",Registro_Compras!$S278)</f>
        <v/>
      </c>
      <c r="I278" s="25" t="str">
        <f>IF(Registro_Compras!$R278&lt;&gt;"SI","",IF(Registro_Compras!$Y278="",WORKDAY(EOMONTH(Registro_Compras!$B278,0),5,Feriados),MIN(Registro_Compras!$Y278,WORKDAY(EOMONTH(Registro_Compras!$B278,0),5,Feriados))))</f>
        <v/>
      </c>
      <c r="J278" s="25" t="str">
        <f>IF(Registro_Compras!$R278&lt;&gt;"SI","",Registro_Compras!$X278)</f>
        <v/>
      </c>
      <c r="K278" t="str">
        <f>IF(Registro_Compras!$R278&lt;&gt;"SI","",IF(Registro_Compras!$X278="","PENDIENTE","DEPOSITADA"))</f>
        <v/>
      </c>
      <c r="L278" t="str">
        <f>IF(Registro_Compras!$R278&lt;&gt;"SI","",Registro_Compras!$Z278)</f>
        <v/>
      </c>
      <c r="M278" t="str">
        <f t="shared" ca="1" si="8"/>
        <v/>
      </c>
      <c r="N278" t="str">
        <f t="shared" ca="1" si="9"/>
        <v/>
      </c>
    </row>
    <row r="279" spans="1:14" x14ac:dyDescent="0.25">
      <c r="A279" s="25" t="str">
        <f>IF(Registro_Compras!$R279&lt;&gt;"SI","",Registro_Compras!$B279)</f>
        <v/>
      </c>
      <c r="B279" t="str">
        <f>IF(Registro_Compras!$R279&lt;&gt;"SI","",Registro_Compras!$C279)</f>
        <v/>
      </c>
      <c r="C279" t="str">
        <f>IF(Registro_Compras!$R279&lt;&gt;"SI","",Registro_Compras!$D279)</f>
        <v/>
      </c>
      <c r="D279" t="str">
        <f>IF(Registro_Compras!$R279&lt;&gt;"SI","",Registro_Compras!$E279)</f>
        <v/>
      </c>
      <c r="E279" t="str">
        <f>IF(Registro_Compras!$R279&lt;&gt;"SI","",Registro_Compras!$G279)</f>
        <v/>
      </c>
      <c r="F279" s="31" t="str">
        <f>IF(Registro_Compras!$R279&lt;&gt;"SI","",Registro_Compras!$P279)</f>
        <v/>
      </c>
      <c r="G279" s="20" t="str">
        <f>IF(Registro_Compras!$R279&lt;&gt;"SI","",Registro_Compras!$O279)</f>
        <v/>
      </c>
      <c r="H279" s="20" t="str">
        <f>IF(Registro_Compras!$R279&lt;&gt;"SI","",Registro_Compras!$S279)</f>
        <v/>
      </c>
      <c r="I279" s="25" t="str">
        <f>IF(Registro_Compras!$R279&lt;&gt;"SI","",IF(Registro_Compras!$Y279="",WORKDAY(EOMONTH(Registro_Compras!$B279,0),5,Feriados),MIN(Registro_Compras!$Y279,WORKDAY(EOMONTH(Registro_Compras!$B279,0),5,Feriados))))</f>
        <v/>
      </c>
      <c r="J279" s="25" t="str">
        <f>IF(Registro_Compras!$R279&lt;&gt;"SI","",Registro_Compras!$X279)</f>
        <v/>
      </c>
      <c r="K279" t="str">
        <f>IF(Registro_Compras!$R279&lt;&gt;"SI","",IF(Registro_Compras!$X279="","PENDIENTE","DEPOSITADA"))</f>
        <v/>
      </c>
      <c r="L279" t="str">
        <f>IF(Registro_Compras!$R279&lt;&gt;"SI","",Registro_Compras!$Z279)</f>
        <v/>
      </c>
      <c r="M279" t="str">
        <f t="shared" ca="1" si="8"/>
        <v/>
      </c>
      <c r="N279" t="str">
        <f t="shared" ca="1" si="9"/>
        <v/>
      </c>
    </row>
    <row r="280" spans="1:14" x14ac:dyDescent="0.25">
      <c r="A280" s="25" t="str">
        <f>IF(Registro_Compras!$R280&lt;&gt;"SI","",Registro_Compras!$B280)</f>
        <v/>
      </c>
      <c r="B280" t="str">
        <f>IF(Registro_Compras!$R280&lt;&gt;"SI","",Registro_Compras!$C280)</f>
        <v/>
      </c>
      <c r="C280" t="str">
        <f>IF(Registro_Compras!$R280&lt;&gt;"SI","",Registro_Compras!$D280)</f>
        <v/>
      </c>
      <c r="D280" t="str">
        <f>IF(Registro_Compras!$R280&lt;&gt;"SI","",Registro_Compras!$E280)</f>
        <v/>
      </c>
      <c r="E280" t="str">
        <f>IF(Registro_Compras!$R280&lt;&gt;"SI","",Registro_Compras!$G280)</f>
        <v/>
      </c>
      <c r="F280" s="31" t="str">
        <f>IF(Registro_Compras!$R280&lt;&gt;"SI","",Registro_Compras!$P280)</f>
        <v/>
      </c>
      <c r="G280" s="20" t="str">
        <f>IF(Registro_Compras!$R280&lt;&gt;"SI","",Registro_Compras!$O280)</f>
        <v/>
      </c>
      <c r="H280" s="20" t="str">
        <f>IF(Registro_Compras!$R280&lt;&gt;"SI","",Registro_Compras!$S280)</f>
        <v/>
      </c>
      <c r="I280" s="25" t="str">
        <f>IF(Registro_Compras!$R280&lt;&gt;"SI","",IF(Registro_Compras!$Y280="",WORKDAY(EOMONTH(Registro_Compras!$B280,0),5,Feriados),MIN(Registro_Compras!$Y280,WORKDAY(EOMONTH(Registro_Compras!$B280,0),5,Feriados))))</f>
        <v/>
      </c>
      <c r="J280" s="25" t="str">
        <f>IF(Registro_Compras!$R280&lt;&gt;"SI","",Registro_Compras!$X280)</f>
        <v/>
      </c>
      <c r="K280" t="str">
        <f>IF(Registro_Compras!$R280&lt;&gt;"SI","",IF(Registro_Compras!$X280="","PENDIENTE","DEPOSITADA"))</f>
        <v/>
      </c>
      <c r="L280" t="str">
        <f>IF(Registro_Compras!$R280&lt;&gt;"SI","",Registro_Compras!$Z280)</f>
        <v/>
      </c>
      <c r="M280" t="str">
        <f t="shared" ca="1" si="8"/>
        <v/>
      </c>
      <c r="N280" t="str">
        <f t="shared" ca="1" si="9"/>
        <v/>
      </c>
    </row>
    <row r="281" spans="1:14" x14ac:dyDescent="0.25">
      <c r="A281" s="25" t="str">
        <f>IF(Registro_Compras!$R281&lt;&gt;"SI","",Registro_Compras!$B281)</f>
        <v/>
      </c>
      <c r="B281" t="str">
        <f>IF(Registro_Compras!$R281&lt;&gt;"SI","",Registro_Compras!$C281)</f>
        <v/>
      </c>
      <c r="C281" t="str">
        <f>IF(Registro_Compras!$R281&lt;&gt;"SI","",Registro_Compras!$D281)</f>
        <v/>
      </c>
      <c r="D281" t="str">
        <f>IF(Registro_Compras!$R281&lt;&gt;"SI","",Registro_Compras!$E281)</f>
        <v/>
      </c>
      <c r="E281" t="str">
        <f>IF(Registro_Compras!$R281&lt;&gt;"SI","",Registro_Compras!$G281)</f>
        <v/>
      </c>
      <c r="F281" s="31" t="str">
        <f>IF(Registro_Compras!$R281&lt;&gt;"SI","",Registro_Compras!$P281)</f>
        <v/>
      </c>
      <c r="G281" s="20" t="str">
        <f>IF(Registro_Compras!$R281&lt;&gt;"SI","",Registro_Compras!$O281)</f>
        <v/>
      </c>
      <c r="H281" s="20" t="str">
        <f>IF(Registro_Compras!$R281&lt;&gt;"SI","",Registro_Compras!$S281)</f>
        <v/>
      </c>
      <c r="I281" s="25" t="str">
        <f>IF(Registro_Compras!$R281&lt;&gt;"SI","",IF(Registro_Compras!$Y281="",WORKDAY(EOMONTH(Registro_Compras!$B281,0),5,Feriados),MIN(Registro_Compras!$Y281,WORKDAY(EOMONTH(Registro_Compras!$B281,0),5,Feriados))))</f>
        <v/>
      </c>
      <c r="J281" s="25" t="str">
        <f>IF(Registro_Compras!$R281&lt;&gt;"SI","",Registro_Compras!$X281)</f>
        <v/>
      </c>
      <c r="K281" t="str">
        <f>IF(Registro_Compras!$R281&lt;&gt;"SI","",IF(Registro_Compras!$X281="","PENDIENTE","DEPOSITADA"))</f>
        <v/>
      </c>
      <c r="L281" t="str">
        <f>IF(Registro_Compras!$R281&lt;&gt;"SI","",Registro_Compras!$Z281)</f>
        <v/>
      </c>
      <c r="M281" t="str">
        <f t="shared" ca="1" si="8"/>
        <v/>
      </c>
      <c r="N281" t="str">
        <f t="shared" ca="1" si="9"/>
        <v/>
      </c>
    </row>
    <row r="282" spans="1:14" x14ac:dyDescent="0.25">
      <c r="A282" s="25" t="str">
        <f>IF(Registro_Compras!$R282&lt;&gt;"SI","",Registro_Compras!$B282)</f>
        <v/>
      </c>
      <c r="B282" t="str">
        <f>IF(Registro_Compras!$R282&lt;&gt;"SI","",Registro_Compras!$C282)</f>
        <v/>
      </c>
      <c r="C282" t="str">
        <f>IF(Registro_Compras!$R282&lt;&gt;"SI","",Registro_Compras!$D282)</f>
        <v/>
      </c>
      <c r="D282" t="str">
        <f>IF(Registro_Compras!$R282&lt;&gt;"SI","",Registro_Compras!$E282)</f>
        <v/>
      </c>
      <c r="E282" t="str">
        <f>IF(Registro_Compras!$R282&lt;&gt;"SI","",Registro_Compras!$G282)</f>
        <v/>
      </c>
      <c r="F282" s="31" t="str">
        <f>IF(Registro_Compras!$R282&lt;&gt;"SI","",Registro_Compras!$P282)</f>
        <v/>
      </c>
      <c r="G282" s="20" t="str">
        <f>IF(Registro_Compras!$R282&lt;&gt;"SI","",Registro_Compras!$O282)</f>
        <v/>
      </c>
      <c r="H282" s="20" t="str">
        <f>IF(Registro_Compras!$R282&lt;&gt;"SI","",Registro_Compras!$S282)</f>
        <v/>
      </c>
      <c r="I282" s="25" t="str">
        <f>IF(Registro_Compras!$R282&lt;&gt;"SI","",IF(Registro_Compras!$Y282="",WORKDAY(EOMONTH(Registro_Compras!$B282,0),5,Feriados),MIN(Registro_Compras!$Y282,WORKDAY(EOMONTH(Registro_Compras!$B282,0),5,Feriados))))</f>
        <v/>
      </c>
      <c r="J282" s="25" t="str">
        <f>IF(Registro_Compras!$R282&lt;&gt;"SI","",Registro_Compras!$X282)</f>
        <v/>
      </c>
      <c r="K282" t="str">
        <f>IF(Registro_Compras!$R282&lt;&gt;"SI","",IF(Registro_Compras!$X282="","PENDIENTE","DEPOSITADA"))</f>
        <v/>
      </c>
      <c r="L282" t="str">
        <f>IF(Registro_Compras!$R282&lt;&gt;"SI","",Registro_Compras!$Z282)</f>
        <v/>
      </c>
      <c r="M282" t="str">
        <f t="shared" ca="1" si="8"/>
        <v/>
      </c>
      <c r="N282" t="str">
        <f t="shared" ca="1" si="9"/>
        <v/>
      </c>
    </row>
    <row r="283" spans="1:14" x14ac:dyDescent="0.25">
      <c r="A283" s="25" t="str">
        <f>IF(Registro_Compras!$R283&lt;&gt;"SI","",Registro_Compras!$B283)</f>
        <v/>
      </c>
      <c r="B283" t="str">
        <f>IF(Registro_Compras!$R283&lt;&gt;"SI","",Registro_Compras!$C283)</f>
        <v/>
      </c>
      <c r="C283" t="str">
        <f>IF(Registro_Compras!$R283&lt;&gt;"SI","",Registro_Compras!$D283)</f>
        <v/>
      </c>
      <c r="D283" t="str">
        <f>IF(Registro_Compras!$R283&lt;&gt;"SI","",Registro_Compras!$E283)</f>
        <v/>
      </c>
      <c r="E283" t="str">
        <f>IF(Registro_Compras!$R283&lt;&gt;"SI","",Registro_Compras!$G283)</f>
        <v/>
      </c>
      <c r="F283" s="31" t="str">
        <f>IF(Registro_Compras!$R283&lt;&gt;"SI","",Registro_Compras!$P283)</f>
        <v/>
      </c>
      <c r="G283" s="20" t="str">
        <f>IF(Registro_Compras!$R283&lt;&gt;"SI","",Registro_Compras!$O283)</f>
        <v/>
      </c>
      <c r="H283" s="20" t="str">
        <f>IF(Registro_Compras!$R283&lt;&gt;"SI","",Registro_Compras!$S283)</f>
        <v/>
      </c>
      <c r="I283" s="25" t="str">
        <f>IF(Registro_Compras!$R283&lt;&gt;"SI","",IF(Registro_Compras!$Y283="",WORKDAY(EOMONTH(Registro_Compras!$B283,0),5,Feriados),MIN(Registro_Compras!$Y283,WORKDAY(EOMONTH(Registro_Compras!$B283,0),5,Feriados))))</f>
        <v/>
      </c>
      <c r="J283" s="25" t="str">
        <f>IF(Registro_Compras!$R283&lt;&gt;"SI","",Registro_Compras!$X283)</f>
        <v/>
      </c>
      <c r="K283" t="str">
        <f>IF(Registro_Compras!$R283&lt;&gt;"SI","",IF(Registro_Compras!$X283="","PENDIENTE","DEPOSITADA"))</f>
        <v/>
      </c>
      <c r="L283" t="str">
        <f>IF(Registro_Compras!$R283&lt;&gt;"SI","",Registro_Compras!$Z283)</f>
        <v/>
      </c>
      <c r="M283" t="str">
        <f t="shared" ca="1" si="8"/>
        <v/>
      </c>
      <c r="N283" t="str">
        <f t="shared" ca="1" si="9"/>
        <v/>
      </c>
    </row>
    <row r="284" spans="1:14" x14ac:dyDescent="0.25">
      <c r="A284" s="25" t="str">
        <f>IF(Registro_Compras!$R284&lt;&gt;"SI","",Registro_Compras!$B284)</f>
        <v/>
      </c>
      <c r="B284" t="str">
        <f>IF(Registro_Compras!$R284&lt;&gt;"SI","",Registro_Compras!$C284)</f>
        <v/>
      </c>
      <c r="C284" t="str">
        <f>IF(Registro_Compras!$R284&lt;&gt;"SI","",Registro_Compras!$D284)</f>
        <v/>
      </c>
      <c r="D284" t="str">
        <f>IF(Registro_Compras!$R284&lt;&gt;"SI","",Registro_Compras!$E284)</f>
        <v/>
      </c>
      <c r="E284" t="str">
        <f>IF(Registro_Compras!$R284&lt;&gt;"SI","",Registro_Compras!$G284)</f>
        <v/>
      </c>
      <c r="F284" s="31" t="str">
        <f>IF(Registro_Compras!$R284&lt;&gt;"SI","",Registro_Compras!$P284)</f>
        <v/>
      </c>
      <c r="G284" s="20" t="str">
        <f>IF(Registro_Compras!$R284&lt;&gt;"SI","",Registro_Compras!$O284)</f>
        <v/>
      </c>
      <c r="H284" s="20" t="str">
        <f>IF(Registro_Compras!$R284&lt;&gt;"SI","",Registro_Compras!$S284)</f>
        <v/>
      </c>
      <c r="I284" s="25" t="str">
        <f>IF(Registro_Compras!$R284&lt;&gt;"SI","",IF(Registro_Compras!$Y284="",WORKDAY(EOMONTH(Registro_Compras!$B284,0),5,Feriados),MIN(Registro_Compras!$Y284,WORKDAY(EOMONTH(Registro_Compras!$B284,0),5,Feriados))))</f>
        <v/>
      </c>
      <c r="J284" s="25" t="str">
        <f>IF(Registro_Compras!$R284&lt;&gt;"SI","",Registro_Compras!$X284)</f>
        <v/>
      </c>
      <c r="K284" t="str">
        <f>IF(Registro_Compras!$R284&lt;&gt;"SI","",IF(Registro_Compras!$X284="","PENDIENTE","DEPOSITADA"))</f>
        <v/>
      </c>
      <c r="L284" t="str">
        <f>IF(Registro_Compras!$R284&lt;&gt;"SI","",Registro_Compras!$Z284)</f>
        <v/>
      </c>
      <c r="M284" t="str">
        <f t="shared" ca="1" si="8"/>
        <v/>
      </c>
      <c r="N284" t="str">
        <f t="shared" ca="1" si="9"/>
        <v/>
      </c>
    </row>
    <row r="285" spans="1:14" x14ac:dyDescent="0.25">
      <c r="A285" s="25" t="str">
        <f>IF(Registro_Compras!$R285&lt;&gt;"SI","",Registro_Compras!$B285)</f>
        <v/>
      </c>
      <c r="B285" t="str">
        <f>IF(Registro_Compras!$R285&lt;&gt;"SI","",Registro_Compras!$C285)</f>
        <v/>
      </c>
      <c r="C285" t="str">
        <f>IF(Registro_Compras!$R285&lt;&gt;"SI","",Registro_Compras!$D285)</f>
        <v/>
      </c>
      <c r="D285" t="str">
        <f>IF(Registro_Compras!$R285&lt;&gt;"SI","",Registro_Compras!$E285)</f>
        <v/>
      </c>
      <c r="E285" t="str">
        <f>IF(Registro_Compras!$R285&lt;&gt;"SI","",Registro_Compras!$G285)</f>
        <v/>
      </c>
      <c r="F285" s="31" t="str">
        <f>IF(Registro_Compras!$R285&lt;&gt;"SI","",Registro_Compras!$P285)</f>
        <v/>
      </c>
      <c r="G285" s="20" t="str">
        <f>IF(Registro_Compras!$R285&lt;&gt;"SI","",Registro_Compras!$O285)</f>
        <v/>
      </c>
      <c r="H285" s="20" t="str">
        <f>IF(Registro_Compras!$R285&lt;&gt;"SI","",Registro_Compras!$S285)</f>
        <v/>
      </c>
      <c r="I285" s="25" t="str">
        <f>IF(Registro_Compras!$R285&lt;&gt;"SI","",IF(Registro_Compras!$Y285="",WORKDAY(EOMONTH(Registro_Compras!$B285,0),5,Feriados),MIN(Registro_Compras!$Y285,WORKDAY(EOMONTH(Registro_Compras!$B285,0),5,Feriados))))</f>
        <v/>
      </c>
      <c r="J285" s="25" t="str">
        <f>IF(Registro_Compras!$R285&lt;&gt;"SI","",Registro_Compras!$X285)</f>
        <v/>
      </c>
      <c r="K285" t="str">
        <f>IF(Registro_Compras!$R285&lt;&gt;"SI","",IF(Registro_Compras!$X285="","PENDIENTE","DEPOSITADA"))</f>
        <v/>
      </c>
      <c r="L285" t="str">
        <f>IF(Registro_Compras!$R285&lt;&gt;"SI","",Registro_Compras!$Z285)</f>
        <v/>
      </c>
      <c r="M285" t="str">
        <f t="shared" ca="1" si="8"/>
        <v/>
      </c>
      <c r="N285" t="str">
        <f t="shared" ca="1" si="9"/>
        <v/>
      </c>
    </row>
    <row r="286" spans="1:14" x14ac:dyDescent="0.25">
      <c r="A286" s="25" t="str">
        <f>IF(Registro_Compras!$R286&lt;&gt;"SI","",Registro_Compras!$B286)</f>
        <v/>
      </c>
      <c r="B286" t="str">
        <f>IF(Registro_Compras!$R286&lt;&gt;"SI","",Registro_Compras!$C286)</f>
        <v/>
      </c>
      <c r="C286" t="str">
        <f>IF(Registro_Compras!$R286&lt;&gt;"SI","",Registro_Compras!$D286)</f>
        <v/>
      </c>
      <c r="D286" t="str">
        <f>IF(Registro_Compras!$R286&lt;&gt;"SI","",Registro_Compras!$E286)</f>
        <v/>
      </c>
      <c r="E286" t="str">
        <f>IF(Registro_Compras!$R286&lt;&gt;"SI","",Registro_Compras!$G286)</f>
        <v/>
      </c>
      <c r="F286" s="31" t="str">
        <f>IF(Registro_Compras!$R286&lt;&gt;"SI","",Registro_Compras!$P286)</f>
        <v/>
      </c>
      <c r="G286" s="20" t="str">
        <f>IF(Registro_Compras!$R286&lt;&gt;"SI","",Registro_Compras!$O286)</f>
        <v/>
      </c>
      <c r="H286" s="20" t="str">
        <f>IF(Registro_Compras!$R286&lt;&gt;"SI","",Registro_Compras!$S286)</f>
        <v/>
      </c>
      <c r="I286" s="25" t="str">
        <f>IF(Registro_Compras!$R286&lt;&gt;"SI","",IF(Registro_Compras!$Y286="",WORKDAY(EOMONTH(Registro_Compras!$B286,0),5,Feriados),MIN(Registro_Compras!$Y286,WORKDAY(EOMONTH(Registro_Compras!$B286,0),5,Feriados))))</f>
        <v/>
      </c>
      <c r="J286" s="25" t="str">
        <f>IF(Registro_Compras!$R286&lt;&gt;"SI","",Registro_Compras!$X286)</f>
        <v/>
      </c>
      <c r="K286" t="str">
        <f>IF(Registro_Compras!$R286&lt;&gt;"SI","",IF(Registro_Compras!$X286="","PENDIENTE","DEPOSITADA"))</f>
        <v/>
      </c>
      <c r="L286" t="str">
        <f>IF(Registro_Compras!$R286&lt;&gt;"SI","",Registro_Compras!$Z286)</f>
        <v/>
      </c>
      <c r="M286" t="str">
        <f t="shared" ca="1" si="8"/>
        <v/>
      </c>
      <c r="N286" t="str">
        <f t="shared" ca="1" si="9"/>
        <v/>
      </c>
    </row>
    <row r="287" spans="1:14" x14ac:dyDescent="0.25">
      <c r="A287" s="25" t="str">
        <f>IF(Registro_Compras!$R287&lt;&gt;"SI","",Registro_Compras!$B287)</f>
        <v/>
      </c>
      <c r="B287" t="str">
        <f>IF(Registro_Compras!$R287&lt;&gt;"SI","",Registro_Compras!$C287)</f>
        <v/>
      </c>
      <c r="C287" t="str">
        <f>IF(Registro_Compras!$R287&lt;&gt;"SI","",Registro_Compras!$D287)</f>
        <v/>
      </c>
      <c r="D287" t="str">
        <f>IF(Registro_Compras!$R287&lt;&gt;"SI","",Registro_Compras!$E287)</f>
        <v/>
      </c>
      <c r="E287" t="str">
        <f>IF(Registro_Compras!$R287&lt;&gt;"SI","",Registro_Compras!$G287)</f>
        <v/>
      </c>
      <c r="F287" s="31" t="str">
        <f>IF(Registro_Compras!$R287&lt;&gt;"SI","",Registro_Compras!$P287)</f>
        <v/>
      </c>
      <c r="G287" s="20" t="str">
        <f>IF(Registro_Compras!$R287&lt;&gt;"SI","",Registro_Compras!$O287)</f>
        <v/>
      </c>
      <c r="H287" s="20" t="str">
        <f>IF(Registro_Compras!$R287&lt;&gt;"SI","",Registro_Compras!$S287)</f>
        <v/>
      </c>
      <c r="I287" s="25" t="str">
        <f>IF(Registro_Compras!$R287&lt;&gt;"SI","",IF(Registro_Compras!$Y287="",WORKDAY(EOMONTH(Registro_Compras!$B287,0),5,Feriados),MIN(Registro_Compras!$Y287,WORKDAY(EOMONTH(Registro_Compras!$B287,0),5,Feriados))))</f>
        <v/>
      </c>
      <c r="J287" s="25" t="str">
        <f>IF(Registro_Compras!$R287&lt;&gt;"SI","",Registro_Compras!$X287)</f>
        <v/>
      </c>
      <c r="K287" t="str">
        <f>IF(Registro_Compras!$R287&lt;&gt;"SI","",IF(Registro_Compras!$X287="","PENDIENTE","DEPOSITADA"))</f>
        <v/>
      </c>
      <c r="L287" t="str">
        <f>IF(Registro_Compras!$R287&lt;&gt;"SI","",Registro_Compras!$Z287)</f>
        <v/>
      </c>
      <c r="M287" t="str">
        <f t="shared" ca="1" si="8"/>
        <v/>
      </c>
      <c r="N287" t="str">
        <f t="shared" ca="1" si="9"/>
        <v/>
      </c>
    </row>
    <row r="288" spans="1:14" x14ac:dyDescent="0.25">
      <c r="A288" s="25" t="str">
        <f>IF(Registro_Compras!$R288&lt;&gt;"SI","",Registro_Compras!$B288)</f>
        <v/>
      </c>
      <c r="B288" t="str">
        <f>IF(Registro_Compras!$R288&lt;&gt;"SI","",Registro_Compras!$C288)</f>
        <v/>
      </c>
      <c r="C288" t="str">
        <f>IF(Registro_Compras!$R288&lt;&gt;"SI","",Registro_Compras!$D288)</f>
        <v/>
      </c>
      <c r="D288" t="str">
        <f>IF(Registro_Compras!$R288&lt;&gt;"SI","",Registro_Compras!$E288)</f>
        <v/>
      </c>
      <c r="E288" t="str">
        <f>IF(Registro_Compras!$R288&lt;&gt;"SI","",Registro_Compras!$G288)</f>
        <v/>
      </c>
      <c r="F288" s="31" t="str">
        <f>IF(Registro_Compras!$R288&lt;&gt;"SI","",Registro_Compras!$P288)</f>
        <v/>
      </c>
      <c r="G288" s="20" t="str">
        <f>IF(Registro_Compras!$R288&lt;&gt;"SI","",Registro_Compras!$O288)</f>
        <v/>
      </c>
      <c r="H288" s="20" t="str">
        <f>IF(Registro_Compras!$R288&lt;&gt;"SI","",Registro_Compras!$S288)</f>
        <v/>
      </c>
      <c r="I288" s="25" t="str">
        <f>IF(Registro_Compras!$R288&lt;&gt;"SI","",IF(Registro_Compras!$Y288="",WORKDAY(EOMONTH(Registro_Compras!$B288,0),5,Feriados),MIN(Registro_Compras!$Y288,WORKDAY(EOMONTH(Registro_Compras!$B288,0),5,Feriados))))</f>
        <v/>
      </c>
      <c r="J288" s="25" t="str">
        <f>IF(Registro_Compras!$R288&lt;&gt;"SI","",Registro_Compras!$X288)</f>
        <v/>
      </c>
      <c r="K288" t="str">
        <f>IF(Registro_Compras!$R288&lt;&gt;"SI","",IF(Registro_Compras!$X288="","PENDIENTE","DEPOSITADA"))</f>
        <v/>
      </c>
      <c r="L288" t="str">
        <f>IF(Registro_Compras!$R288&lt;&gt;"SI","",Registro_Compras!$Z288)</f>
        <v/>
      </c>
      <c r="M288" t="str">
        <f t="shared" ca="1" si="8"/>
        <v/>
      </c>
      <c r="N288" t="str">
        <f t="shared" ca="1" si="9"/>
        <v/>
      </c>
    </row>
    <row r="289" spans="1:14" x14ac:dyDescent="0.25">
      <c r="A289" s="25" t="str">
        <f>IF(Registro_Compras!$R289&lt;&gt;"SI","",Registro_Compras!$B289)</f>
        <v/>
      </c>
      <c r="B289" t="str">
        <f>IF(Registro_Compras!$R289&lt;&gt;"SI","",Registro_Compras!$C289)</f>
        <v/>
      </c>
      <c r="C289" t="str">
        <f>IF(Registro_Compras!$R289&lt;&gt;"SI","",Registro_Compras!$D289)</f>
        <v/>
      </c>
      <c r="D289" t="str">
        <f>IF(Registro_Compras!$R289&lt;&gt;"SI","",Registro_Compras!$E289)</f>
        <v/>
      </c>
      <c r="E289" t="str">
        <f>IF(Registro_Compras!$R289&lt;&gt;"SI","",Registro_Compras!$G289)</f>
        <v/>
      </c>
      <c r="F289" s="31" t="str">
        <f>IF(Registro_Compras!$R289&lt;&gt;"SI","",Registro_Compras!$P289)</f>
        <v/>
      </c>
      <c r="G289" s="20" t="str">
        <f>IF(Registro_Compras!$R289&lt;&gt;"SI","",Registro_Compras!$O289)</f>
        <v/>
      </c>
      <c r="H289" s="20" t="str">
        <f>IF(Registro_Compras!$R289&lt;&gt;"SI","",Registro_Compras!$S289)</f>
        <v/>
      </c>
      <c r="I289" s="25" t="str">
        <f>IF(Registro_Compras!$R289&lt;&gt;"SI","",IF(Registro_Compras!$Y289="",WORKDAY(EOMONTH(Registro_Compras!$B289,0),5,Feriados),MIN(Registro_Compras!$Y289,WORKDAY(EOMONTH(Registro_Compras!$B289,0),5,Feriados))))</f>
        <v/>
      </c>
      <c r="J289" s="25" t="str">
        <f>IF(Registro_Compras!$R289&lt;&gt;"SI","",Registro_Compras!$X289)</f>
        <v/>
      </c>
      <c r="K289" t="str">
        <f>IF(Registro_Compras!$R289&lt;&gt;"SI","",IF(Registro_Compras!$X289="","PENDIENTE","DEPOSITADA"))</f>
        <v/>
      </c>
      <c r="L289" t="str">
        <f>IF(Registro_Compras!$R289&lt;&gt;"SI","",Registro_Compras!$Z289)</f>
        <v/>
      </c>
      <c r="M289" t="str">
        <f t="shared" ca="1" si="8"/>
        <v/>
      </c>
      <c r="N289" t="str">
        <f t="shared" ca="1" si="9"/>
        <v/>
      </c>
    </row>
    <row r="290" spans="1:14" x14ac:dyDescent="0.25">
      <c r="A290" s="25" t="str">
        <f>IF(Registro_Compras!$R290&lt;&gt;"SI","",Registro_Compras!$B290)</f>
        <v/>
      </c>
      <c r="B290" t="str">
        <f>IF(Registro_Compras!$R290&lt;&gt;"SI","",Registro_Compras!$C290)</f>
        <v/>
      </c>
      <c r="C290" t="str">
        <f>IF(Registro_Compras!$R290&lt;&gt;"SI","",Registro_Compras!$D290)</f>
        <v/>
      </c>
      <c r="D290" t="str">
        <f>IF(Registro_Compras!$R290&lt;&gt;"SI","",Registro_Compras!$E290)</f>
        <v/>
      </c>
      <c r="E290" t="str">
        <f>IF(Registro_Compras!$R290&lt;&gt;"SI","",Registro_Compras!$G290)</f>
        <v/>
      </c>
      <c r="F290" s="31" t="str">
        <f>IF(Registro_Compras!$R290&lt;&gt;"SI","",Registro_Compras!$P290)</f>
        <v/>
      </c>
      <c r="G290" s="20" t="str">
        <f>IF(Registro_Compras!$R290&lt;&gt;"SI","",Registro_Compras!$O290)</f>
        <v/>
      </c>
      <c r="H290" s="20" t="str">
        <f>IF(Registro_Compras!$R290&lt;&gt;"SI","",Registro_Compras!$S290)</f>
        <v/>
      </c>
      <c r="I290" s="25" t="str">
        <f>IF(Registro_Compras!$R290&lt;&gt;"SI","",IF(Registro_Compras!$Y290="",WORKDAY(EOMONTH(Registro_Compras!$B290,0),5,Feriados),MIN(Registro_Compras!$Y290,WORKDAY(EOMONTH(Registro_Compras!$B290,0),5,Feriados))))</f>
        <v/>
      </c>
      <c r="J290" s="25" t="str">
        <f>IF(Registro_Compras!$R290&lt;&gt;"SI","",Registro_Compras!$X290)</f>
        <v/>
      </c>
      <c r="K290" t="str">
        <f>IF(Registro_Compras!$R290&lt;&gt;"SI","",IF(Registro_Compras!$X290="","PENDIENTE","DEPOSITADA"))</f>
        <v/>
      </c>
      <c r="L290" t="str">
        <f>IF(Registro_Compras!$R290&lt;&gt;"SI","",Registro_Compras!$Z290)</f>
        <v/>
      </c>
      <c r="M290" t="str">
        <f t="shared" ca="1" si="8"/>
        <v/>
      </c>
      <c r="N290" t="str">
        <f t="shared" ca="1" si="9"/>
        <v/>
      </c>
    </row>
    <row r="291" spans="1:14" x14ac:dyDescent="0.25">
      <c r="A291" s="25" t="str">
        <f>IF(Registro_Compras!$R291&lt;&gt;"SI","",Registro_Compras!$B291)</f>
        <v/>
      </c>
      <c r="B291" t="str">
        <f>IF(Registro_Compras!$R291&lt;&gt;"SI","",Registro_Compras!$C291)</f>
        <v/>
      </c>
      <c r="C291" t="str">
        <f>IF(Registro_Compras!$R291&lt;&gt;"SI","",Registro_Compras!$D291)</f>
        <v/>
      </c>
      <c r="D291" t="str">
        <f>IF(Registro_Compras!$R291&lt;&gt;"SI","",Registro_Compras!$E291)</f>
        <v/>
      </c>
      <c r="E291" t="str">
        <f>IF(Registro_Compras!$R291&lt;&gt;"SI","",Registro_Compras!$G291)</f>
        <v/>
      </c>
      <c r="F291" s="31" t="str">
        <f>IF(Registro_Compras!$R291&lt;&gt;"SI","",Registro_Compras!$P291)</f>
        <v/>
      </c>
      <c r="G291" s="20" t="str">
        <f>IF(Registro_Compras!$R291&lt;&gt;"SI","",Registro_Compras!$O291)</f>
        <v/>
      </c>
      <c r="H291" s="20" t="str">
        <f>IF(Registro_Compras!$R291&lt;&gt;"SI","",Registro_Compras!$S291)</f>
        <v/>
      </c>
      <c r="I291" s="25" t="str">
        <f>IF(Registro_Compras!$R291&lt;&gt;"SI","",IF(Registro_Compras!$Y291="",WORKDAY(EOMONTH(Registro_Compras!$B291,0),5,Feriados),MIN(Registro_Compras!$Y291,WORKDAY(EOMONTH(Registro_Compras!$B291,0),5,Feriados))))</f>
        <v/>
      </c>
      <c r="J291" s="25" t="str">
        <f>IF(Registro_Compras!$R291&lt;&gt;"SI","",Registro_Compras!$X291)</f>
        <v/>
      </c>
      <c r="K291" t="str">
        <f>IF(Registro_Compras!$R291&lt;&gt;"SI","",IF(Registro_Compras!$X291="","PENDIENTE","DEPOSITADA"))</f>
        <v/>
      </c>
      <c r="L291" t="str">
        <f>IF(Registro_Compras!$R291&lt;&gt;"SI","",Registro_Compras!$Z291)</f>
        <v/>
      </c>
      <c r="M291" t="str">
        <f t="shared" ca="1" si="8"/>
        <v/>
      </c>
      <c r="N291" t="str">
        <f t="shared" ca="1" si="9"/>
        <v/>
      </c>
    </row>
    <row r="292" spans="1:14" x14ac:dyDescent="0.25">
      <c r="A292" s="25" t="str">
        <f>IF(Registro_Compras!$R292&lt;&gt;"SI","",Registro_Compras!$B292)</f>
        <v/>
      </c>
      <c r="B292" t="str">
        <f>IF(Registro_Compras!$R292&lt;&gt;"SI","",Registro_Compras!$C292)</f>
        <v/>
      </c>
      <c r="C292" t="str">
        <f>IF(Registro_Compras!$R292&lt;&gt;"SI","",Registro_Compras!$D292)</f>
        <v/>
      </c>
      <c r="D292" t="str">
        <f>IF(Registro_Compras!$R292&lt;&gt;"SI","",Registro_Compras!$E292)</f>
        <v/>
      </c>
      <c r="E292" t="str">
        <f>IF(Registro_Compras!$R292&lt;&gt;"SI","",Registro_Compras!$G292)</f>
        <v/>
      </c>
      <c r="F292" s="31" t="str">
        <f>IF(Registro_Compras!$R292&lt;&gt;"SI","",Registro_Compras!$P292)</f>
        <v/>
      </c>
      <c r="G292" s="20" t="str">
        <f>IF(Registro_Compras!$R292&lt;&gt;"SI","",Registro_Compras!$O292)</f>
        <v/>
      </c>
      <c r="H292" s="20" t="str">
        <f>IF(Registro_Compras!$R292&lt;&gt;"SI","",Registro_Compras!$S292)</f>
        <v/>
      </c>
      <c r="I292" s="25" t="str">
        <f>IF(Registro_Compras!$R292&lt;&gt;"SI","",IF(Registro_Compras!$Y292="",WORKDAY(EOMONTH(Registro_Compras!$B292,0),5,Feriados),MIN(Registro_Compras!$Y292,WORKDAY(EOMONTH(Registro_Compras!$B292,0),5,Feriados))))</f>
        <v/>
      </c>
      <c r="J292" s="25" t="str">
        <f>IF(Registro_Compras!$R292&lt;&gt;"SI","",Registro_Compras!$X292)</f>
        <v/>
      </c>
      <c r="K292" t="str">
        <f>IF(Registro_Compras!$R292&lt;&gt;"SI","",IF(Registro_Compras!$X292="","PENDIENTE","DEPOSITADA"))</f>
        <v/>
      </c>
      <c r="L292" t="str">
        <f>IF(Registro_Compras!$R292&lt;&gt;"SI","",Registro_Compras!$Z292)</f>
        <v/>
      </c>
      <c r="M292" t="str">
        <f t="shared" ca="1" si="8"/>
        <v/>
      </c>
      <c r="N292" t="str">
        <f t="shared" ca="1" si="9"/>
        <v/>
      </c>
    </row>
    <row r="293" spans="1:14" x14ac:dyDescent="0.25">
      <c r="A293" s="25" t="str">
        <f>IF(Registro_Compras!$R293&lt;&gt;"SI","",Registro_Compras!$B293)</f>
        <v/>
      </c>
      <c r="B293" t="str">
        <f>IF(Registro_Compras!$R293&lt;&gt;"SI","",Registro_Compras!$C293)</f>
        <v/>
      </c>
      <c r="C293" t="str">
        <f>IF(Registro_Compras!$R293&lt;&gt;"SI","",Registro_Compras!$D293)</f>
        <v/>
      </c>
      <c r="D293" t="str">
        <f>IF(Registro_Compras!$R293&lt;&gt;"SI","",Registro_Compras!$E293)</f>
        <v/>
      </c>
      <c r="E293" t="str">
        <f>IF(Registro_Compras!$R293&lt;&gt;"SI","",Registro_Compras!$G293)</f>
        <v/>
      </c>
      <c r="F293" s="31" t="str">
        <f>IF(Registro_Compras!$R293&lt;&gt;"SI","",Registro_Compras!$P293)</f>
        <v/>
      </c>
      <c r="G293" s="20" t="str">
        <f>IF(Registro_Compras!$R293&lt;&gt;"SI","",Registro_Compras!$O293)</f>
        <v/>
      </c>
      <c r="H293" s="20" t="str">
        <f>IF(Registro_Compras!$R293&lt;&gt;"SI","",Registro_Compras!$S293)</f>
        <v/>
      </c>
      <c r="I293" s="25" t="str">
        <f>IF(Registro_Compras!$R293&lt;&gt;"SI","",IF(Registro_Compras!$Y293="",WORKDAY(EOMONTH(Registro_Compras!$B293,0),5,Feriados),MIN(Registro_Compras!$Y293,WORKDAY(EOMONTH(Registro_Compras!$B293,0),5,Feriados))))</f>
        <v/>
      </c>
      <c r="J293" s="25" t="str">
        <f>IF(Registro_Compras!$R293&lt;&gt;"SI","",Registro_Compras!$X293)</f>
        <v/>
      </c>
      <c r="K293" t="str">
        <f>IF(Registro_Compras!$R293&lt;&gt;"SI","",IF(Registro_Compras!$X293="","PENDIENTE","DEPOSITADA"))</f>
        <v/>
      </c>
      <c r="L293" t="str">
        <f>IF(Registro_Compras!$R293&lt;&gt;"SI","",Registro_Compras!$Z293)</f>
        <v/>
      </c>
      <c r="M293" t="str">
        <f t="shared" ca="1" si="8"/>
        <v/>
      </c>
      <c r="N293" t="str">
        <f t="shared" ca="1" si="9"/>
        <v/>
      </c>
    </row>
    <row r="294" spans="1:14" x14ac:dyDescent="0.25">
      <c r="A294" s="25" t="str">
        <f>IF(Registro_Compras!$R294&lt;&gt;"SI","",Registro_Compras!$B294)</f>
        <v/>
      </c>
      <c r="B294" t="str">
        <f>IF(Registro_Compras!$R294&lt;&gt;"SI","",Registro_Compras!$C294)</f>
        <v/>
      </c>
      <c r="C294" t="str">
        <f>IF(Registro_Compras!$R294&lt;&gt;"SI","",Registro_Compras!$D294)</f>
        <v/>
      </c>
      <c r="D294" t="str">
        <f>IF(Registro_Compras!$R294&lt;&gt;"SI","",Registro_Compras!$E294)</f>
        <v/>
      </c>
      <c r="E294" t="str">
        <f>IF(Registro_Compras!$R294&lt;&gt;"SI","",Registro_Compras!$G294)</f>
        <v/>
      </c>
      <c r="F294" s="31" t="str">
        <f>IF(Registro_Compras!$R294&lt;&gt;"SI","",Registro_Compras!$P294)</f>
        <v/>
      </c>
      <c r="G294" s="20" t="str">
        <f>IF(Registro_Compras!$R294&lt;&gt;"SI","",Registro_Compras!$O294)</f>
        <v/>
      </c>
      <c r="H294" s="20" t="str">
        <f>IF(Registro_Compras!$R294&lt;&gt;"SI","",Registro_Compras!$S294)</f>
        <v/>
      </c>
      <c r="I294" s="25" t="str">
        <f>IF(Registro_Compras!$R294&lt;&gt;"SI","",IF(Registro_Compras!$Y294="",WORKDAY(EOMONTH(Registro_Compras!$B294,0),5,Feriados),MIN(Registro_Compras!$Y294,WORKDAY(EOMONTH(Registro_Compras!$B294,0),5,Feriados))))</f>
        <v/>
      </c>
      <c r="J294" s="25" t="str">
        <f>IF(Registro_Compras!$R294&lt;&gt;"SI","",Registro_Compras!$X294)</f>
        <v/>
      </c>
      <c r="K294" t="str">
        <f>IF(Registro_Compras!$R294&lt;&gt;"SI","",IF(Registro_Compras!$X294="","PENDIENTE","DEPOSITADA"))</f>
        <v/>
      </c>
      <c r="L294" t="str">
        <f>IF(Registro_Compras!$R294&lt;&gt;"SI","",Registro_Compras!$Z294)</f>
        <v/>
      </c>
      <c r="M294" t="str">
        <f t="shared" ca="1" si="8"/>
        <v/>
      </c>
      <c r="N294" t="str">
        <f t="shared" ca="1" si="9"/>
        <v/>
      </c>
    </row>
    <row r="295" spans="1:14" x14ac:dyDescent="0.25">
      <c r="A295" s="25" t="str">
        <f>IF(Registro_Compras!$R295&lt;&gt;"SI","",Registro_Compras!$B295)</f>
        <v/>
      </c>
      <c r="B295" t="str">
        <f>IF(Registro_Compras!$R295&lt;&gt;"SI","",Registro_Compras!$C295)</f>
        <v/>
      </c>
      <c r="C295" t="str">
        <f>IF(Registro_Compras!$R295&lt;&gt;"SI","",Registro_Compras!$D295)</f>
        <v/>
      </c>
      <c r="D295" t="str">
        <f>IF(Registro_Compras!$R295&lt;&gt;"SI","",Registro_Compras!$E295)</f>
        <v/>
      </c>
      <c r="E295" t="str">
        <f>IF(Registro_Compras!$R295&lt;&gt;"SI","",Registro_Compras!$G295)</f>
        <v/>
      </c>
      <c r="F295" s="31" t="str">
        <f>IF(Registro_Compras!$R295&lt;&gt;"SI","",Registro_Compras!$P295)</f>
        <v/>
      </c>
      <c r="G295" s="20" t="str">
        <f>IF(Registro_Compras!$R295&lt;&gt;"SI","",Registro_Compras!$O295)</f>
        <v/>
      </c>
      <c r="H295" s="20" t="str">
        <f>IF(Registro_Compras!$R295&lt;&gt;"SI","",Registro_Compras!$S295)</f>
        <v/>
      </c>
      <c r="I295" s="25" t="str">
        <f>IF(Registro_Compras!$R295&lt;&gt;"SI","",IF(Registro_Compras!$Y295="",WORKDAY(EOMONTH(Registro_Compras!$B295,0),5,Feriados),MIN(Registro_Compras!$Y295,WORKDAY(EOMONTH(Registro_Compras!$B295,0),5,Feriados))))</f>
        <v/>
      </c>
      <c r="J295" s="25" t="str">
        <f>IF(Registro_Compras!$R295&lt;&gt;"SI","",Registro_Compras!$X295)</f>
        <v/>
      </c>
      <c r="K295" t="str">
        <f>IF(Registro_Compras!$R295&lt;&gt;"SI","",IF(Registro_Compras!$X295="","PENDIENTE","DEPOSITADA"))</f>
        <v/>
      </c>
      <c r="L295" t="str">
        <f>IF(Registro_Compras!$R295&lt;&gt;"SI","",Registro_Compras!$Z295)</f>
        <v/>
      </c>
      <c r="M295" t="str">
        <f t="shared" ca="1" si="8"/>
        <v/>
      </c>
      <c r="N295" t="str">
        <f t="shared" ca="1" si="9"/>
        <v/>
      </c>
    </row>
    <row r="296" spans="1:14" x14ac:dyDescent="0.25">
      <c r="A296" s="25" t="str">
        <f>IF(Registro_Compras!$R296&lt;&gt;"SI","",Registro_Compras!$B296)</f>
        <v/>
      </c>
      <c r="B296" t="str">
        <f>IF(Registro_Compras!$R296&lt;&gt;"SI","",Registro_Compras!$C296)</f>
        <v/>
      </c>
      <c r="C296" t="str">
        <f>IF(Registro_Compras!$R296&lt;&gt;"SI","",Registro_Compras!$D296)</f>
        <v/>
      </c>
      <c r="D296" t="str">
        <f>IF(Registro_Compras!$R296&lt;&gt;"SI","",Registro_Compras!$E296)</f>
        <v/>
      </c>
      <c r="E296" t="str">
        <f>IF(Registro_Compras!$R296&lt;&gt;"SI","",Registro_Compras!$G296)</f>
        <v/>
      </c>
      <c r="F296" s="31" t="str">
        <f>IF(Registro_Compras!$R296&lt;&gt;"SI","",Registro_Compras!$P296)</f>
        <v/>
      </c>
      <c r="G296" s="20" t="str">
        <f>IF(Registro_Compras!$R296&lt;&gt;"SI","",Registro_Compras!$O296)</f>
        <v/>
      </c>
      <c r="H296" s="20" t="str">
        <f>IF(Registro_Compras!$R296&lt;&gt;"SI","",Registro_Compras!$S296)</f>
        <v/>
      </c>
      <c r="I296" s="25" t="str">
        <f>IF(Registro_Compras!$R296&lt;&gt;"SI","",IF(Registro_Compras!$Y296="",WORKDAY(EOMONTH(Registro_Compras!$B296,0),5,Feriados),MIN(Registro_Compras!$Y296,WORKDAY(EOMONTH(Registro_Compras!$B296,0),5,Feriados))))</f>
        <v/>
      </c>
      <c r="J296" s="25" t="str">
        <f>IF(Registro_Compras!$R296&lt;&gt;"SI","",Registro_Compras!$X296)</f>
        <v/>
      </c>
      <c r="K296" t="str">
        <f>IF(Registro_Compras!$R296&lt;&gt;"SI","",IF(Registro_Compras!$X296="","PENDIENTE","DEPOSITADA"))</f>
        <v/>
      </c>
      <c r="L296" t="str">
        <f>IF(Registro_Compras!$R296&lt;&gt;"SI","",Registro_Compras!$Z296)</f>
        <v/>
      </c>
      <c r="M296" t="str">
        <f t="shared" ca="1" si="8"/>
        <v/>
      </c>
      <c r="N296" t="str">
        <f t="shared" ca="1" si="9"/>
        <v/>
      </c>
    </row>
    <row r="297" spans="1:14" x14ac:dyDescent="0.25">
      <c r="A297" s="25" t="str">
        <f>IF(Registro_Compras!$R297&lt;&gt;"SI","",Registro_Compras!$B297)</f>
        <v/>
      </c>
      <c r="B297" t="str">
        <f>IF(Registro_Compras!$R297&lt;&gt;"SI","",Registro_Compras!$C297)</f>
        <v/>
      </c>
      <c r="C297" t="str">
        <f>IF(Registro_Compras!$R297&lt;&gt;"SI","",Registro_Compras!$D297)</f>
        <v/>
      </c>
      <c r="D297" t="str">
        <f>IF(Registro_Compras!$R297&lt;&gt;"SI","",Registro_Compras!$E297)</f>
        <v/>
      </c>
      <c r="E297" t="str">
        <f>IF(Registro_Compras!$R297&lt;&gt;"SI","",Registro_Compras!$G297)</f>
        <v/>
      </c>
      <c r="F297" s="31" t="str">
        <f>IF(Registro_Compras!$R297&lt;&gt;"SI","",Registro_Compras!$P297)</f>
        <v/>
      </c>
      <c r="G297" s="20" t="str">
        <f>IF(Registro_Compras!$R297&lt;&gt;"SI","",Registro_Compras!$O297)</f>
        <v/>
      </c>
      <c r="H297" s="20" t="str">
        <f>IF(Registro_Compras!$R297&lt;&gt;"SI","",Registro_Compras!$S297)</f>
        <v/>
      </c>
      <c r="I297" s="25" t="str">
        <f>IF(Registro_Compras!$R297&lt;&gt;"SI","",IF(Registro_Compras!$Y297="",WORKDAY(EOMONTH(Registro_Compras!$B297,0),5,Feriados),MIN(Registro_Compras!$Y297,WORKDAY(EOMONTH(Registro_Compras!$B297,0),5,Feriados))))</f>
        <v/>
      </c>
      <c r="J297" s="25" t="str">
        <f>IF(Registro_Compras!$R297&lt;&gt;"SI","",Registro_Compras!$X297)</f>
        <v/>
      </c>
      <c r="K297" t="str">
        <f>IF(Registro_Compras!$R297&lt;&gt;"SI","",IF(Registro_Compras!$X297="","PENDIENTE","DEPOSITADA"))</f>
        <v/>
      </c>
      <c r="L297" t="str">
        <f>IF(Registro_Compras!$R297&lt;&gt;"SI","",Registro_Compras!$Z297)</f>
        <v/>
      </c>
      <c r="M297" t="str">
        <f t="shared" ca="1" si="8"/>
        <v/>
      </c>
      <c r="N297" t="str">
        <f t="shared" ca="1" si="9"/>
        <v/>
      </c>
    </row>
    <row r="298" spans="1:14" x14ac:dyDescent="0.25">
      <c r="A298" s="25" t="str">
        <f>IF(Registro_Compras!$R298&lt;&gt;"SI","",Registro_Compras!$B298)</f>
        <v/>
      </c>
      <c r="B298" t="str">
        <f>IF(Registro_Compras!$R298&lt;&gt;"SI","",Registro_Compras!$C298)</f>
        <v/>
      </c>
      <c r="C298" t="str">
        <f>IF(Registro_Compras!$R298&lt;&gt;"SI","",Registro_Compras!$D298)</f>
        <v/>
      </c>
      <c r="D298" t="str">
        <f>IF(Registro_Compras!$R298&lt;&gt;"SI","",Registro_Compras!$E298)</f>
        <v/>
      </c>
      <c r="E298" t="str">
        <f>IF(Registro_Compras!$R298&lt;&gt;"SI","",Registro_Compras!$G298)</f>
        <v/>
      </c>
      <c r="F298" s="31" t="str">
        <f>IF(Registro_Compras!$R298&lt;&gt;"SI","",Registro_Compras!$P298)</f>
        <v/>
      </c>
      <c r="G298" s="20" t="str">
        <f>IF(Registro_Compras!$R298&lt;&gt;"SI","",Registro_Compras!$O298)</f>
        <v/>
      </c>
      <c r="H298" s="20" t="str">
        <f>IF(Registro_Compras!$R298&lt;&gt;"SI","",Registro_Compras!$S298)</f>
        <v/>
      </c>
      <c r="I298" s="25" t="str">
        <f>IF(Registro_Compras!$R298&lt;&gt;"SI","",IF(Registro_Compras!$Y298="",WORKDAY(EOMONTH(Registro_Compras!$B298,0),5,Feriados),MIN(Registro_Compras!$Y298,WORKDAY(EOMONTH(Registro_Compras!$B298,0),5,Feriados))))</f>
        <v/>
      </c>
      <c r="J298" s="25" t="str">
        <f>IF(Registro_Compras!$R298&lt;&gt;"SI","",Registro_Compras!$X298)</f>
        <v/>
      </c>
      <c r="K298" t="str">
        <f>IF(Registro_Compras!$R298&lt;&gt;"SI","",IF(Registro_Compras!$X298="","PENDIENTE","DEPOSITADA"))</f>
        <v/>
      </c>
      <c r="L298" t="str">
        <f>IF(Registro_Compras!$R298&lt;&gt;"SI","",Registro_Compras!$Z298)</f>
        <v/>
      </c>
      <c r="M298" t="str">
        <f t="shared" ca="1" si="8"/>
        <v/>
      </c>
      <c r="N298" t="str">
        <f t="shared" ca="1" si="9"/>
        <v/>
      </c>
    </row>
    <row r="299" spans="1:14" x14ac:dyDescent="0.25">
      <c r="A299" s="25" t="str">
        <f>IF(Registro_Compras!$R299&lt;&gt;"SI","",Registro_Compras!$B299)</f>
        <v/>
      </c>
      <c r="B299" t="str">
        <f>IF(Registro_Compras!$R299&lt;&gt;"SI","",Registro_Compras!$C299)</f>
        <v/>
      </c>
      <c r="C299" t="str">
        <f>IF(Registro_Compras!$R299&lt;&gt;"SI","",Registro_Compras!$D299)</f>
        <v/>
      </c>
      <c r="D299" t="str">
        <f>IF(Registro_Compras!$R299&lt;&gt;"SI","",Registro_Compras!$E299)</f>
        <v/>
      </c>
      <c r="E299" t="str">
        <f>IF(Registro_Compras!$R299&lt;&gt;"SI","",Registro_Compras!$G299)</f>
        <v/>
      </c>
      <c r="F299" s="31" t="str">
        <f>IF(Registro_Compras!$R299&lt;&gt;"SI","",Registro_Compras!$P299)</f>
        <v/>
      </c>
      <c r="G299" s="20" t="str">
        <f>IF(Registro_Compras!$R299&lt;&gt;"SI","",Registro_Compras!$O299)</f>
        <v/>
      </c>
      <c r="H299" s="20" t="str">
        <f>IF(Registro_Compras!$R299&lt;&gt;"SI","",Registro_Compras!$S299)</f>
        <v/>
      </c>
      <c r="I299" s="25" t="str">
        <f>IF(Registro_Compras!$R299&lt;&gt;"SI","",IF(Registro_Compras!$Y299="",WORKDAY(EOMONTH(Registro_Compras!$B299,0),5,Feriados),MIN(Registro_Compras!$Y299,WORKDAY(EOMONTH(Registro_Compras!$B299,0),5,Feriados))))</f>
        <v/>
      </c>
      <c r="J299" s="25" t="str">
        <f>IF(Registro_Compras!$R299&lt;&gt;"SI","",Registro_Compras!$X299)</f>
        <v/>
      </c>
      <c r="K299" t="str">
        <f>IF(Registro_Compras!$R299&lt;&gt;"SI","",IF(Registro_Compras!$X299="","PENDIENTE","DEPOSITADA"))</f>
        <v/>
      </c>
      <c r="L299" t="str">
        <f>IF(Registro_Compras!$R299&lt;&gt;"SI","",Registro_Compras!$Z299)</f>
        <v/>
      </c>
      <c r="M299" t="str">
        <f t="shared" ca="1" si="8"/>
        <v/>
      </c>
      <c r="N299" t="str">
        <f t="shared" ca="1" si="9"/>
        <v/>
      </c>
    </row>
    <row r="300" spans="1:14" x14ac:dyDescent="0.25">
      <c r="A300" s="25" t="str">
        <f>IF(Registro_Compras!$R300&lt;&gt;"SI","",Registro_Compras!$B300)</f>
        <v/>
      </c>
      <c r="B300" t="str">
        <f>IF(Registro_Compras!$R300&lt;&gt;"SI","",Registro_Compras!$C300)</f>
        <v/>
      </c>
      <c r="C300" t="str">
        <f>IF(Registro_Compras!$R300&lt;&gt;"SI","",Registro_Compras!$D300)</f>
        <v/>
      </c>
      <c r="D300" t="str">
        <f>IF(Registro_Compras!$R300&lt;&gt;"SI","",Registro_Compras!$E300)</f>
        <v/>
      </c>
      <c r="E300" t="str">
        <f>IF(Registro_Compras!$R300&lt;&gt;"SI","",Registro_Compras!$G300)</f>
        <v/>
      </c>
      <c r="F300" s="31" t="str">
        <f>IF(Registro_Compras!$R300&lt;&gt;"SI","",Registro_Compras!$P300)</f>
        <v/>
      </c>
      <c r="G300" s="20" t="str">
        <f>IF(Registro_Compras!$R300&lt;&gt;"SI","",Registro_Compras!$O300)</f>
        <v/>
      </c>
      <c r="H300" s="20" t="str">
        <f>IF(Registro_Compras!$R300&lt;&gt;"SI","",Registro_Compras!$S300)</f>
        <v/>
      </c>
      <c r="I300" s="25" t="str">
        <f>IF(Registro_Compras!$R300&lt;&gt;"SI","",IF(Registro_Compras!$Y300="",WORKDAY(EOMONTH(Registro_Compras!$B300,0),5,Feriados),MIN(Registro_Compras!$Y300,WORKDAY(EOMONTH(Registro_Compras!$B300,0),5,Feriados))))</f>
        <v/>
      </c>
      <c r="J300" s="25" t="str">
        <f>IF(Registro_Compras!$R300&lt;&gt;"SI","",Registro_Compras!$X300)</f>
        <v/>
      </c>
      <c r="K300" t="str">
        <f>IF(Registro_Compras!$R300&lt;&gt;"SI","",IF(Registro_Compras!$X300="","PENDIENTE","DEPOSITADA"))</f>
        <v/>
      </c>
      <c r="L300" t="str">
        <f>IF(Registro_Compras!$R300&lt;&gt;"SI","",Registro_Compras!$Z300)</f>
        <v/>
      </c>
      <c r="M300" t="str">
        <f t="shared" ca="1" si="8"/>
        <v/>
      </c>
      <c r="N300" t="str">
        <f t="shared" ca="1" si="9"/>
        <v/>
      </c>
    </row>
    <row r="301" spans="1:14" x14ac:dyDescent="0.25">
      <c r="A301" s="25" t="str">
        <f>IF(Registro_Compras!$R301&lt;&gt;"SI","",Registro_Compras!$B301)</f>
        <v/>
      </c>
      <c r="B301" t="str">
        <f>IF(Registro_Compras!$R301&lt;&gt;"SI","",Registro_Compras!$C301)</f>
        <v/>
      </c>
      <c r="C301" t="str">
        <f>IF(Registro_Compras!$R301&lt;&gt;"SI","",Registro_Compras!$D301)</f>
        <v/>
      </c>
      <c r="D301" t="str">
        <f>IF(Registro_Compras!$R301&lt;&gt;"SI","",Registro_Compras!$E301)</f>
        <v/>
      </c>
      <c r="E301" t="str">
        <f>IF(Registro_Compras!$R301&lt;&gt;"SI","",Registro_Compras!$G301)</f>
        <v/>
      </c>
      <c r="F301" s="31" t="str">
        <f>IF(Registro_Compras!$R301&lt;&gt;"SI","",Registro_Compras!$P301)</f>
        <v/>
      </c>
      <c r="G301" s="20" t="str">
        <f>IF(Registro_Compras!$R301&lt;&gt;"SI","",Registro_Compras!$O301)</f>
        <v/>
      </c>
      <c r="H301" s="20" t="str">
        <f>IF(Registro_Compras!$R301&lt;&gt;"SI","",Registro_Compras!$S301)</f>
        <v/>
      </c>
      <c r="I301" s="25" t="str">
        <f>IF(Registro_Compras!$R301&lt;&gt;"SI","",IF(Registro_Compras!$Y301="",WORKDAY(EOMONTH(Registro_Compras!$B301,0),5,Feriados),MIN(Registro_Compras!$Y301,WORKDAY(EOMONTH(Registro_Compras!$B301,0),5,Feriados))))</f>
        <v/>
      </c>
      <c r="J301" s="25" t="str">
        <f>IF(Registro_Compras!$R301&lt;&gt;"SI","",Registro_Compras!$X301)</f>
        <v/>
      </c>
      <c r="K301" t="str">
        <f>IF(Registro_Compras!$R301&lt;&gt;"SI","",IF(Registro_Compras!$X301="","PENDIENTE","DEPOSITADA"))</f>
        <v/>
      </c>
      <c r="L301" t="str">
        <f>IF(Registro_Compras!$R301&lt;&gt;"SI","",Registro_Compras!$Z301)</f>
        <v/>
      </c>
      <c r="M301" t="str">
        <f t="shared" ca="1" si="8"/>
        <v/>
      </c>
      <c r="N301" t="str">
        <f t="shared" ca="1" si="9"/>
        <v/>
      </c>
    </row>
    <row r="302" spans="1:14" x14ac:dyDescent="0.25">
      <c r="A302" s="25" t="str">
        <f>IF(Registro_Compras!$R302&lt;&gt;"SI","",Registro_Compras!$B302)</f>
        <v/>
      </c>
      <c r="B302" t="str">
        <f>IF(Registro_Compras!$R302&lt;&gt;"SI","",Registro_Compras!$C302)</f>
        <v/>
      </c>
      <c r="C302" t="str">
        <f>IF(Registro_Compras!$R302&lt;&gt;"SI","",Registro_Compras!$D302)</f>
        <v/>
      </c>
      <c r="D302" t="str">
        <f>IF(Registro_Compras!$R302&lt;&gt;"SI","",Registro_Compras!$E302)</f>
        <v/>
      </c>
      <c r="E302" t="str">
        <f>IF(Registro_Compras!$R302&lt;&gt;"SI","",Registro_Compras!$G302)</f>
        <v/>
      </c>
      <c r="F302" s="31" t="str">
        <f>IF(Registro_Compras!$R302&lt;&gt;"SI","",Registro_Compras!$P302)</f>
        <v/>
      </c>
      <c r="G302" s="20" t="str">
        <f>IF(Registro_Compras!$R302&lt;&gt;"SI","",Registro_Compras!$O302)</f>
        <v/>
      </c>
      <c r="H302" s="20" t="str">
        <f>IF(Registro_Compras!$R302&lt;&gt;"SI","",Registro_Compras!$S302)</f>
        <v/>
      </c>
      <c r="I302" s="25" t="str">
        <f>IF(Registro_Compras!$R302&lt;&gt;"SI","",IF(Registro_Compras!$Y302="",WORKDAY(EOMONTH(Registro_Compras!$B302,0),5,Feriados),MIN(Registro_Compras!$Y302,WORKDAY(EOMONTH(Registro_Compras!$B302,0),5,Feriados))))</f>
        <v/>
      </c>
      <c r="J302" s="25" t="str">
        <f>IF(Registro_Compras!$R302&lt;&gt;"SI","",Registro_Compras!$X302)</f>
        <v/>
      </c>
      <c r="K302" t="str">
        <f>IF(Registro_Compras!$R302&lt;&gt;"SI","",IF(Registro_Compras!$X302="","PENDIENTE","DEPOSITADA"))</f>
        <v/>
      </c>
      <c r="L302" t="str">
        <f>IF(Registro_Compras!$R302&lt;&gt;"SI","",Registro_Compras!$Z302)</f>
        <v/>
      </c>
      <c r="M302" t="str">
        <f t="shared" ca="1" si="8"/>
        <v/>
      </c>
      <c r="N302" t="str">
        <f t="shared" ca="1" si="9"/>
        <v/>
      </c>
    </row>
    <row r="303" spans="1:14" x14ac:dyDescent="0.25">
      <c r="A303" s="25" t="str">
        <f>IF(Registro_Compras!$R303&lt;&gt;"SI","",Registro_Compras!$B303)</f>
        <v/>
      </c>
      <c r="B303" t="str">
        <f>IF(Registro_Compras!$R303&lt;&gt;"SI","",Registro_Compras!$C303)</f>
        <v/>
      </c>
      <c r="C303" t="str">
        <f>IF(Registro_Compras!$R303&lt;&gt;"SI","",Registro_Compras!$D303)</f>
        <v/>
      </c>
      <c r="D303" t="str">
        <f>IF(Registro_Compras!$R303&lt;&gt;"SI","",Registro_Compras!$E303)</f>
        <v/>
      </c>
      <c r="E303" t="str">
        <f>IF(Registro_Compras!$R303&lt;&gt;"SI","",Registro_Compras!$G303)</f>
        <v/>
      </c>
      <c r="F303" s="31" t="str">
        <f>IF(Registro_Compras!$R303&lt;&gt;"SI","",Registro_Compras!$P303)</f>
        <v/>
      </c>
      <c r="G303" s="20" t="str">
        <f>IF(Registro_Compras!$R303&lt;&gt;"SI","",Registro_Compras!$O303)</f>
        <v/>
      </c>
      <c r="H303" s="20" t="str">
        <f>IF(Registro_Compras!$R303&lt;&gt;"SI","",Registro_Compras!$S303)</f>
        <v/>
      </c>
      <c r="I303" s="25" t="str">
        <f>IF(Registro_Compras!$R303&lt;&gt;"SI","",IF(Registro_Compras!$Y303="",WORKDAY(EOMONTH(Registro_Compras!$B303,0),5,Feriados),MIN(Registro_Compras!$Y303,WORKDAY(EOMONTH(Registro_Compras!$B303,0),5,Feriados))))</f>
        <v/>
      </c>
      <c r="J303" s="25" t="str">
        <f>IF(Registro_Compras!$R303&lt;&gt;"SI","",Registro_Compras!$X303)</f>
        <v/>
      </c>
      <c r="K303" t="str">
        <f>IF(Registro_Compras!$R303&lt;&gt;"SI","",IF(Registro_Compras!$X303="","PENDIENTE","DEPOSITADA"))</f>
        <v/>
      </c>
      <c r="L303" t="str">
        <f>IF(Registro_Compras!$R303&lt;&gt;"SI","",Registro_Compras!$Z303)</f>
        <v/>
      </c>
      <c r="M303" t="str">
        <f t="shared" ca="1" si="8"/>
        <v/>
      </c>
      <c r="N303" t="str">
        <f t="shared" ca="1" si="9"/>
        <v/>
      </c>
    </row>
    <row r="304" spans="1:14" x14ac:dyDescent="0.25">
      <c r="A304" s="25" t="str">
        <f>IF(Registro_Compras!$R304&lt;&gt;"SI","",Registro_Compras!$B304)</f>
        <v/>
      </c>
      <c r="B304" t="str">
        <f>IF(Registro_Compras!$R304&lt;&gt;"SI","",Registro_Compras!$C304)</f>
        <v/>
      </c>
      <c r="C304" t="str">
        <f>IF(Registro_Compras!$R304&lt;&gt;"SI","",Registro_Compras!$D304)</f>
        <v/>
      </c>
      <c r="D304" t="str">
        <f>IF(Registro_Compras!$R304&lt;&gt;"SI","",Registro_Compras!$E304)</f>
        <v/>
      </c>
      <c r="E304" t="str">
        <f>IF(Registro_Compras!$R304&lt;&gt;"SI","",Registro_Compras!$G304)</f>
        <v/>
      </c>
      <c r="F304" s="31" t="str">
        <f>IF(Registro_Compras!$R304&lt;&gt;"SI","",Registro_Compras!$P304)</f>
        <v/>
      </c>
      <c r="G304" s="20" t="str">
        <f>IF(Registro_Compras!$R304&lt;&gt;"SI","",Registro_Compras!$O304)</f>
        <v/>
      </c>
      <c r="H304" s="20" t="str">
        <f>IF(Registro_Compras!$R304&lt;&gt;"SI","",Registro_Compras!$S304)</f>
        <v/>
      </c>
      <c r="I304" s="25" t="str">
        <f>IF(Registro_Compras!$R304&lt;&gt;"SI","",IF(Registro_Compras!$Y304="",WORKDAY(EOMONTH(Registro_Compras!$B304,0),5,Feriados),MIN(Registro_Compras!$Y304,WORKDAY(EOMONTH(Registro_Compras!$B304,0),5,Feriados))))</f>
        <v/>
      </c>
      <c r="J304" s="25" t="str">
        <f>IF(Registro_Compras!$R304&lt;&gt;"SI","",Registro_Compras!$X304)</f>
        <v/>
      </c>
      <c r="K304" t="str">
        <f>IF(Registro_Compras!$R304&lt;&gt;"SI","",IF(Registro_Compras!$X304="","PENDIENTE","DEPOSITADA"))</f>
        <v/>
      </c>
      <c r="L304" t="str">
        <f>IF(Registro_Compras!$R304&lt;&gt;"SI","",Registro_Compras!$Z304)</f>
        <v/>
      </c>
      <c r="M304" t="str">
        <f t="shared" ca="1" si="8"/>
        <v/>
      </c>
      <c r="N304" t="str">
        <f t="shared" ca="1" si="9"/>
        <v/>
      </c>
    </row>
    <row r="305" spans="1:14" x14ac:dyDescent="0.25">
      <c r="A305" s="25" t="str">
        <f>IF(Registro_Compras!$R305&lt;&gt;"SI","",Registro_Compras!$B305)</f>
        <v/>
      </c>
      <c r="B305" t="str">
        <f>IF(Registro_Compras!$R305&lt;&gt;"SI","",Registro_Compras!$C305)</f>
        <v/>
      </c>
      <c r="C305" t="str">
        <f>IF(Registro_Compras!$R305&lt;&gt;"SI","",Registro_Compras!$D305)</f>
        <v/>
      </c>
      <c r="D305" t="str">
        <f>IF(Registro_Compras!$R305&lt;&gt;"SI","",Registro_Compras!$E305)</f>
        <v/>
      </c>
      <c r="E305" t="str">
        <f>IF(Registro_Compras!$R305&lt;&gt;"SI","",Registro_Compras!$G305)</f>
        <v/>
      </c>
      <c r="F305" s="31" t="str">
        <f>IF(Registro_Compras!$R305&lt;&gt;"SI","",Registro_Compras!$P305)</f>
        <v/>
      </c>
      <c r="G305" s="20" t="str">
        <f>IF(Registro_Compras!$R305&lt;&gt;"SI","",Registro_Compras!$O305)</f>
        <v/>
      </c>
      <c r="H305" s="20" t="str">
        <f>IF(Registro_Compras!$R305&lt;&gt;"SI","",Registro_Compras!$S305)</f>
        <v/>
      </c>
      <c r="I305" s="25" t="str">
        <f>IF(Registro_Compras!$R305&lt;&gt;"SI","",IF(Registro_Compras!$Y305="",WORKDAY(EOMONTH(Registro_Compras!$B305,0),5,Feriados),MIN(Registro_Compras!$Y305,WORKDAY(EOMONTH(Registro_Compras!$B305,0),5,Feriados))))</f>
        <v/>
      </c>
      <c r="J305" s="25" t="str">
        <f>IF(Registro_Compras!$R305&lt;&gt;"SI","",Registro_Compras!$X305)</f>
        <v/>
      </c>
      <c r="K305" t="str">
        <f>IF(Registro_Compras!$R305&lt;&gt;"SI","",IF(Registro_Compras!$X305="","PENDIENTE","DEPOSITADA"))</f>
        <v/>
      </c>
      <c r="L305" t="str">
        <f>IF(Registro_Compras!$R305&lt;&gt;"SI","",Registro_Compras!$Z305)</f>
        <v/>
      </c>
      <c r="M305" t="str">
        <f t="shared" ca="1" si="8"/>
        <v/>
      </c>
      <c r="N305" t="str">
        <f t="shared" ca="1" si="9"/>
        <v/>
      </c>
    </row>
    <row r="306" spans="1:14" x14ac:dyDescent="0.25">
      <c r="A306" s="25" t="str">
        <f>IF(Registro_Compras!$R306&lt;&gt;"SI","",Registro_Compras!$B306)</f>
        <v/>
      </c>
      <c r="B306" t="str">
        <f>IF(Registro_Compras!$R306&lt;&gt;"SI","",Registro_Compras!$C306)</f>
        <v/>
      </c>
      <c r="C306" t="str">
        <f>IF(Registro_Compras!$R306&lt;&gt;"SI","",Registro_Compras!$D306)</f>
        <v/>
      </c>
      <c r="D306" t="str">
        <f>IF(Registro_Compras!$R306&lt;&gt;"SI","",Registro_Compras!$E306)</f>
        <v/>
      </c>
      <c r="E306" t="str">
        <f>IF(Registro_Compras!$R306&lt;&gt;"SI","",Registro_Compras!$G306)</f>
        <v/>
      </c>
      <c r="F306" s="31" t="str">
        <f>IF(Registro_Compras!$R306&lt;&gt;"SI","",Registro_Compras!$P306)</f>
        <v/>
      </c>
      <c r="G306" s="20" t="str">
        <f>IF(Registro_Compras!$R306&lt;&gt;"SI","",Registro_Compras!$O306)</f>
        <v/>
      </c>
      <c r="H306" s="20" t="str">
        <f>IF(Registro_Compras!$R306&lt;&gt;"SI","",Registro_Compras!$S306)</f>
        <v/>
      </c>
      <c r="I306" s="25" t="str">
        <f>IF(Registro_Compras!$R306&lt;&gt;"SI","",IF(Registro_Compras!$Y306="",WORKDAY(EOMONTH(Registro_Compras!$B306,0),5,Feriados),MIN(Registro_Compras!$Y306,WORKDAY(EOMONTH(Registro_Compras!$B306,0),5,Feriados))))</f>
        <v/>
      </c>
      <c r="J306" s="25" t="str">
        <f>IF(Registro_Compras!$R306&lt;&gt;"SI","",Registro_Compras!$X306)</f>
        <v/>
      </c>
      <c r="K306" t="str">
        <f>IF(Registro_Compras!$R306&lt;&gt;"SI","",IF(Registro_Compras!$X306="","PENDIENTE","DEPOSITADA"))</f>
        <v/>
      </c>
      <c r="L306" t="str">
        <f>IF(Registro_Compras!$R306&lt;&gt;"SI","",Registro_Compras!$Z306)</f>
        <v/>
      </c>
      <c r="M306" t="str">
        <f t="shared" ca="1" si="8"/>
        <v/>
      </c>
      <c r="N306" t="str">
        <f t="shared" ca="1" si="9"/>
        <v/>
      </c>
    </row>
    <row r="307" spans="1:14" x14ac:dyDescent="0.25">
      <c r="A307" s="25" t="str">
        <f>IF(Registro_Compras!$R307&lt;&gt;"SI","",Registro_Compras!$B307)</f>
        <v/>
      </c>
      <c r="B307" t="str">
        <f>IF(Registro_Compras!$R307&lt;&gt;"SI","",Registro_Compras!$C307)</f>
        <v/>
      </c>
      <c r="C307" t="str">
        <f>IF(Registro_Compras!$R307&lt;&gt;"SI","",Registro_Compras!$D307)</f>
        <v/>
      </c>
      <c r="D307" t="str">
        <f>IF(Registro_Compras!$R307&lt;&gt;"SI","",Registro_Compras!$E307)</f>
        <v/>
      </c>
      <c r="E307" t="str">
        <f>IF(Registro_Compras!$R307&lt;&gt;"SI","",Registro_Compras!$G307)</f>
        <v/>
      </c>
      <c r="F307" s="31" t="str">
        <f>IF(Registro_Compras!$R307&lt;&gt;"SI","",Registro_Compras!$P307)</f>
        <v/>
      </c>
      <c r="G307" s="20" t="str">
        <f>IF(Registro_Compras!$R307&lt;&gt;"SI","",Registro_Compras!$O307)</f>
        <v/>
      </c>
      <c r="H307" s="20" t="str">
        <f>IF(Registro_Compras!$R307&lt;&gt;"SI","",Registro_Compras!$S307)</f>
        <v/>
      </c>
      <c r="I307" s="25" t="str">
        <f>IF(Registro_Compras!$R307&lt;&gt;"SI","",IF(Registro_Compras!$Y307="",WORKDAY(EOMONTH(Registro_Compras!$B307,0),5,Feriados),MIN(Registro_Compras!$Y307,WORKDAY(EOMONTH(Registro_Compras!$B307,0),5,Feriados))))</f>
        <v/>
      </c>
      <c r="J307" s="25" t="str">
        <f>IF(Registro_Compras!$R307&lt;&gt;"SI","",Registro_Compras!$X307)</f>
        <v/>
      </c>
      <c r="K307" t="str">
        <f>IF(Registro_Compras!$R307&lt;&gt;"SI","",IF(Registro_Compras!$X307="","PENDIENTE","DEPOSITADA"))</f>
        <v/>
      </c>
      <c r="L307" t="str">
        <f>IF(Registro_Compras!$R307&lt;&gt;"SI","",Registro_Compras!$Z307)</f>
        <v/>
      </c>
      <c r="M307" t="str">
        <f t="shared" ca="1" si="8"/>
        <v/>
      </c>
      <c r="N307" t="str">
        <f t="shared" ca="1" si="9"/>
        <v/>
      </c>
    </row>
    <row r="308" spans="1:14" x14ac:dyDescent="0.25">
      <c r="A308" s="25" t="str">
        <f>IF(Registro_Compras!$R308&lt;&gt;"SI","",Registro_Compras!$B308)</f>
        <v/>
      </c>
      <c r="B308" t="str">
        <f>IF(Registro_Compras!$R308&lt;&gt;"SI","",Registro_Compras!$C308)</f>
        <v/>
      </c>
      <c r="C308" t="str">
        <f>IF(Registro_Compras!$R308&lt;&gt;"SI","",Registro_Compras!$D308)</f>
        <v/>
      </c>
      <c r="D308" t="str">
        <f>IF(Registro_Compras!$R308&lt;&gt;"SI","",Registro_Compras!$E308)</f>
        <v/>
      </c>
      <c r="E308" t="str">
        <f>IF(Registro_Compras!$R308&lt;&gt;"SI","",Registro_Compras!$G308)</f>
        <v/>
      </c>
      <c r="F308" s="31" t="str">
        <f>IF(Registro_Compras!$R308&lt;&gt;"SI","",Registro_Compras!$P308)</f>
        <v/>
      </c>
      <c r="G308" s="20" t="str">
        <f>IF(Registro_Compras!$R308&lt;&gt;"SI","",Registro_Compras!$O308)</f>
        <v/>
      </c>
      <c r="H308" s="20" t="str">
        <f>IF(Registro_Compras!$R308&lt;&gt;"SI","",Registro_Compras!$S308)</f>
        <v/>
      </c>
      <c r="I308" s="25" t="str">
        <f>IF(Registro_Compras!$R308&lt;&gt;"SI","",IF(Registro_Compras!$Y308="",WORKDAY(EOMONTH(Registro_Compras!$B308,0),5,Feriados),MIN(Registro_Compras!$Y308,WORKDAY(EOMONTH(Registro_Compras!$B308,0),5,Feriados))))</f>
        <v/>
      </c>
      <c r="J308" s="25" t="str">
        <f>IF(Registro_Compras!$R308&lt;&gt;"SI","",Registro_Compras!$X308)</f>
        <v/>
      </c>
      <c r="K308" t="str">
        <f>IF(Registro_Compras!$R308&lt;&gt;"SI","",IF(Registro_Compras!$X308="","PENDIENTE","DEPOSITADA"))</f>
        <v/>
      </c>
      <c r="L308" t="str">
        <f>IF(Registro_Compras!$R308&lt;&gt;"SI","",Registro_Compras!$Z308)</f>
        <v/>
      </c>
      <c r="M308" t="str">
        <f t="shared" ca="1" si="8"/>
        <v/>
      </c>
      <c r="N308" t="str">
        <f t="shared" ca="1" si="9"/>
        <v/>
      </c>
    </row>
    <row r="309" spans="1:14" x14ac:dyDescent="0.25">
      <c r="A309" s="25" t="str">
        <f>IF(Registro_Compras!$R309&lt;&gt;"SI","",Registro_Compras!$B309)</f>
        <v/>
      </c>
      <c r="B309" t="str">
        <f>IF(Registro_Compras!$R309&lt;&gt;"SI","",Registro_Compras!$C309)</f>
        <v/>
      </c>
      <c r="C309" t="str">
        <f>IF(Registro_Compras!$R309&lt;&gt;"SI","",Registro_Compras!$D309)</f>
        <v/>
      </c>
      <c r="D309" t="str">
        <f>IF(Registro_Compras!$R309&lt;&gt;"SI","",Registro_Compras!$E309)</f>
        <v/>
      </c>
      <c r="E309" t="str">
        <f>IF(Registro_Compras!$R309&lt;&gt;"SI","",Registro_Compras!$G309)</f>
        <v/>
      </c>
      <c r="F309" s="31" t="str">
        <f>IF(Registro_Compras!$R309&lt;&gt;"SI","",Registro_Compras!$P309)</f>
        <v/>
      </c>
      <c r="G309" s="20" t="str">
        <f>IF(Registro_Compras!$R309&lt;&gt;"SI","",Registro_Compras!$O309)</f>
        <v/>
      </c>
      <c r="H309" s="20" t="str">
        <f>IF(Registro_Compras!$R309&lt;&gt;"SI","",Registro_Compras!$S309)</f>
        <v/>
      </c>
      <c r="I309" s="25" t="str">
        <f>IF(Registro_Compras!$R309&lt;&gt;"SI","",IF(Registro_Compras!$Y309="",WORKDAY(EOMONTH(Registro_Compras!$B309,0),5,Feriados),MIN(Registro_Compras!$Y309,WORKDAY(EOMONTH(Registro_Compras!$B309,0),5,Feriados))))</f>
        <v/>
      </c>
      <c r="J309" s="25" t="str">
        <f>IF(Registro_Compras!$R309&lt;&gt;"SI","",Registro_Compras!$X309)</f>
        <v/>
      </c>
      <c r="K309" t="str">
        <f>IF(Registro_Compras!$R309&lt;&gt;"SI","",IF(Registro_Compras!$X309="","PENDIENTE","DEPOSITADA"))</f>
        <v/>
      </c>
      <c r="L309" t="str">
        <f>IF(Registro_Compras!$R309&lt;&gt;"SI","",Registro_Compras!$Z309)</f>
        <v/>
      </c>
      <c r="M309" t="str">
        <f t="shared" ca="1" si="8"/>
        <v/>
      </c>
      <c r="N309" t="str">
        <f t="shared" ca="1" si="9"/>
        <v/>
      </c>
    </row>
    <row r="310" spans="1:14" x14ac:dyDescent="0.25">
      <c r="A310" s="25" t="str">
        <f>IF(Registro_Compras!$R310&lt;&gt;"SI","",Registro_Compras!$B310)</f>
        <v/>
      </c>
      <c r="B310" t="str">
        <f>IF(Registro_Compras!$R310&lt;&gt;"SI","",Registro_Compras!$C310)</f>
        <v/>
      </c>
      <c r="C310" t="str">
        <f>IF(Registro_Compras!$R310&lt;&gt;"SI","",Registro_Compras!$D310)</f>
        <v/>
      </c>
      <c r="D310" t="str">
        <f>IF(Registro_Compras!$R310&lt;&gt;"SI","",Registro_Compras!$E310)</f>
        <v/>
      </c>
      <c r="E310" t="str">
        <f>IF(Registro_Compras!$R310&lt;&gt;"SI","",Registro_Compras!$G310)</f>
        <v/>
      </c>
      <c r="F310" s="31" t="str">
        <f>IF(Registro_Compras!$R310&lt;&gt;"SI","",Registro_Compras!$P310)</f>
        <v/>
      </c>
      <c r="G310" s="20" t="str">
        <f>IF(Registro_Compras!$R310&lt;&gt;"SI","",Registro_Compras!$O310)</f>
        <v/>
      </c>
      <c r="H310" s="20" t="str">
        <f>IF(Registro_Compras!$R310&lt;&gt;"SI","",Registro_Compras!$S310)</f>
        <v/>
      </c>
      <c r="I310" s="25" t="str">
        <f>IF(Registro_Compras!$R310&lt;&gt;"SI","",IF(Registro_Compras!$Y310="",WORKDAY(EOMONTH(Registro_Compras!$B310,0),5,Feriados),MIN(Registro_Compras!$Y310,WORKDAY(EOMONTH(Registro_Compras!$B310,0),5,Feriados))))</f>
        <v/>
      </c>
      <c r="J310" s="25" t="str">
        <f>IF(Registro_Compras!$R310&lt;&gt;"SI","",Registro_Compras!$X310)</f>
        <v/>
      </c>
      <c r="K310" t="str">
        <f>IF(Registro_Compras!$R310&lt;&gt;"SI","",IF(Registro_Compras!$X310="","PENDIENTE","DEPOSITADA"))</f>
        <v/>
      </c>
      <c r="L310" t="str">
        <f>IF(Registro_Compras!$R310&lt;&gt;"SI","",Registro_Compras!$Z310)</f>
        <v/>
      </c>
      <c r="M310" t="str">
        <f t="shared" ca="1" si="8"/>
        <v/>
      </c>
      <c r="N310" t="str">
        <f t="shared" ca="1" si="9"/>
        <v/>
      </c>
    </row>
    <row r="311" spans="1:14" x14ac:dyDescent="0.25">
      <c r="A311" s="25" t="str">
        <f>IF(Registro_Compras!$R311&lt;&gt;"SI","",Registro_Compras!$B311)</f>
        <v/>
      </c>
      <c r="B311" t="str">
        <f>IF(Registro_Compras!$R311&lt;&gt;"SI","",Registro_Compras!$C311)</f>
        <v/>
      </c>
      <c r="C311" t="str">
        <f>IF(Registro_Compras!$R311&lt;&gt;"SI","",Registro_Compras!$D311)</f>
        <v/>
      </c>
      <c r="D311" t="str">
        <f>IF(Registro_Compras!$R311&lt;&gt;"SI","",Registro_Compras!$E311)</f>
        <v/>
      </c>
      <c r="E311" t="str">
        <f>IF(Registro_Compras!$R311&lt;&gt;"SI","",Registro_Compras!$G311)</f>
        <v/>
      </c>
      <c r="F311" s="31" t="str">
        <f>IF(Registro_Compras!$R311&lt;&gt;"SI","",Registro_Compras!$P311)</f>
        <v/>
      </c>
      <c r="G311" s="20" t="str">
        <f>IF(Registro_Compras!$R311&lt;&gt;"SI","",Registro_Compras!$O311)</f>
        <v/>
      </c>
      <c r="H311" s="20" t="str">
        <f>IF(Registro_Compras!$R311&lt;&gt;"SI","",Registro_Compras!$S311)</f>
        <v/>
      </c>
      <c r="I311" s="25" t="str">
        <f>IF(Registro_Compras!$R311&lt;&gt;"SI","",IF(Registro_Compras!$Y311="",WORKDAY(EOMONTH(Registro_Compras!$B311,0),5,Feriados),MIN(Registro_Compras!$Y311,WORKDAY(EOMONTH(Registro_Compras!$B311,0),5,Feriados))))</f>
        <v/>
      </c>
      <c r="J311" s="25" t="str">
        <f>IF(Registro_Compras!$R311&lt;&gt;"SI","",Registro_Compras!$X311)</f>
        <v/>
      </c>
      <c r="K311" t="str">
        <f>IF(Registro_Compras!$R311&lt;&gt;"SI","",IF(Registro_Compras!$X311="","PENDIENTE","DEPOSITADA"))</f>
        <v/>
      </c>
      <c r="L311" t="str">
        <f>IF(Registro_Compras!$R311&lt;&gt;"SI","",Registro_Compras!$Z311)</f>
        <v/>
      </c>
      <c r="M311" t="str">
        <f t="shared" ca="1" si="8"/>
        <v/>
      </c>
      <c r="N311" t="str">
        <f t="shared" ca="1" si="9"/>
        <v/>
      </c>
    </row>
    <row r="312" spans="1:14" x14ac:dyDescent="0.25">
      <c r="A312" s="25" t="str">
        <f>IF(Registro_Compras!$R312&lt;&gt;"SI","",Registro_Compras!$B312)</f>
        <v/>
      </c>
      <c r="B312" t="str">
        <f>IF(Registro_Compras!$R312&lt;&gt;"SI","",Registro_Compras!$C312)</f>
        <v/>
      </c>
      <c r="C312" t="str">
        <f>IF(Registro_Compras!$R312&lt;&gt;"SI","",Registro_Compras!$D312)</f>
        <v/>
      </c>
      <c r="D312" t="str">
        <f>IF(Registro_Compras!$R312&lt;&gt;"SI","",Registro_Compras!$E312)</f>
        <v/>
      </c>
      <c r="E312" t="str">
        <f>IF(Registro_Compras!$R312&lt;&gt;"SI","",Registro_Compras!$G312)</f>
        <v/>
      </c>
      <c r="F312" s="31" t="str">
        <f>IF(Registro_Compras!$R312&lt;&gt;"SI","",Registro_Compras!$P312)</f>
        <v/>
      </c>
      <c r="G312" s="20" t="str">
        <f>IF(Registro_Compras!$R312&lt;&gt;"SI","",Registro_Compras!$O312)</f>
        <v/>
      </c>
      <c r="H312" s="20" t="str">
        <f>IF(Registro_Compras!$R312&lt;&gt;"SI","",Registro_Compras!$S312)</f>
        <v/>
      </c>
      <c r="I312" s="25" t="str">
        <f>IF(Registro_Compras!$R312&lt;&gt;"SI","",IF(Registro_Compras!$Y312="",WORKDAY(EOMONTH(Registro_Compras!$B312,0),5,Feriados),MIN(Registro_Compras!$Y312,WORKDAY(EOMONTH(Registro_Compras!$B312,0),5,Feriados))))</f>
        <v/>
      </c>
      <c r="J312" s="25" t="str">
        <f>IF(Registro_Compras!$R312&lt;&gt;"SI","",Registro_Compras!$X312)</f>
        <v/>
      </c>
      <c r="K312" t="str">
        <f>IF(Registro_Compras!$R312&lt;&gt;"SI","",IF(Registro_Compras!$X312="","PENDIENTE","DEPOSITADA"))</f>
        <v/>
      </c>
      <c r="L312" t="str">
        <f>IF(Registro_Compras!$R312&lt;&gt;"SI","",Registro_Compras!$Z312)</f>
        <v/>
      </c>
      <c r="M312" t="str">
        <f t="shared" ca="1" si="8"/>
        <v/>
      </c>
      <c r="N312" t="str">
        <f t="shared" ca="1" si="9"/>
        <v/>
      </c>
    </row>
    <row r="313" spans="1:14" x14ac:dyDescent="0.25">
      <c r="A313" s="25" t="str">
        <f>IF(Registro_Compras!$R313&lt;&gt;"SI","",Registro_Compras!$B313)</f>
        <v/>
      </c>
      <c r="B313" t="str">
        <f>IF(Registro_Compras!$R313&lt;&gt;"SI","",Registro_Compras!$C313)</f>
        <v/>
      </c>
      <c r="C313" t="str">
        <f>IF(Registro_Compras!$R313&lt;&gt;"SI","",Registro_Compras!$D313)</f>
        <v/>
      </c>
      <c r="D313" t="str">
        <f>IF(Registro_Compras!$R313&lt;&gt;"SI","",Registro_Compras!$E313)</f>
        <v/>
      </c>
      <c r="E313" t="str">
        <f>IF(Registro_Compras!$R313&lt;&gt;"SI","",Registro_Compras!$G313)</f>
        <v/>
      </c>
      <c r="F313" s="31" t="str">
        <f>IF(Registro_Compras!$R313&lt;&gt;"SI","",Registro_Compras!$P313)</f>
        <v/>
      </c>
      <c r="G313" s="20" t="str">
        <f>IF(Registro_Compras!$R313&lt;&gt;"SI","",Registro_Compras!$O313)</f>
        <v/>
      </c>
      <c r="H313" s="20" t="str">
        <f>IF(Registro_Compras!$R313&lt;&gt;"SI","",Registro_Compras!$S313)</f>
        <v/>
      </c>
      <c r="I313" s="25" t="str">
        <f>IF(Registro_Compras!$R313&lt;&gt;"SI","",IF(Registro_Compras!$Y313="",WORKDAY(EOMONTH(Registro_Compras!$B313,0),5,Feriados),MIN(Registro_Compras!$Y313,WORKDAY(EOMONTH(Registro_Compras!$B313,0),5,Feriados))))</f>
        <v/>
      </c>
      <c r="J313" s="25" t="str">
        <f>IF(Registro_Compras!$R313&lt;&gt;"SI","",Registro_Compras!$X313)</f>
        <v/>
      </c>
      <c r="K313" t="str">
        <f>IF(Registro_Compras!$R313&lt;&gt;"SI","",IF(Registro_Compras!$X313="","PENDIENTE","DEPOSITADA"))</f>
        <v/>
      </c>
      <c r="L313" t="str">
        <f>IF(Registro_Compras!$R313&lt;&gt;"SI","",Registro_Compras!$Z313)</f>
        <v/>
      </c>
      <c r="M313" t="str">
        <f t="shared" ca="1" si="8"/>
        <v/>
      </c>
      <c r="N313" t="str">
        <f t="shared" ca="1" si="9"/>
        <v/>
      </c>
    </row>
    <row r="314" spans="1:14" x14ac:dyDescent="0.25">
      <c r="A314" s="25" t="str">
        <f>IF(Registro_Compras!$R314&lt;&gt;"SI","",Registro_Compras!$B314)</f>
        <v/>
      </c>
      <c r="B314" t="str">
        <f>IF(Registro_Compras!$R314&lt;&gt;"SI","",Registro_Compras!$C314)</f>
        <v/>
      </c>
      <c r="C314" t="str">
        <f>IF(Registro_Compras!$R314&lt;&gt;"SI","",Registro_Compras!$D314)</f>
        <v/>
      </c>
      <c r="D314" t="str">
        <f>IF(Registro_Compras!$R314&lt;&gt;"SI","",Registro_Compras!$E314)</f>
        <v/>
      </c>
      <c r="E314" t="str">
        <f>IF(Registro_Compras!$R314&lt;&gt;"SI","",Registro_Compras!$G314)</f>
        <v/>
      </c>
      <c r="F314" s="31" t="str">
        <f>IF(Registro_Compras!$R314&lt;&gt;"SI","",Registro_Compras!$P314)</f>
        <v/>
      </c>
      <c r="G314" s="20" t="str">
        <f>IF(Registro_Compras!$R314&lt;&gt;"SI","",Registro_Compras!$O314)</f>
        <v/>
      </c>
      <c r="H314" s="20" t="str">
        <f>IF(Registro_Compras!$R314&lt;&gt;"SI","",Registro_Compras!$S314)</f>
        <v/>
      </c>
      <c r="I314" s="25" t="str">
        <f>IF(Registro_Compras!$R314&lt;&gt;"SI","",IF(Registro_Compras!$Y314="",WORKDAY(EOMONTH(Registro_Compras!$B314,0),5,Feriados),MIN(Registro_Compras!$Y314,WORKDAY(EOMONTH(Registro_Compras!$B314,0),5,Feriados))))</f>
        <v/>
      </c>
      <c r="J314" s="25" t="str">
        <f>IF(Registro_Compras!$R314&lt;&gt;"SI","",Registro_Compras!$X314)</f>
        <v/>
      </c>
      <c r="K314" t="str">
        <f>IF(Registro_Compras!$R314&lt;&gt;"SI","",IF(Registro_Compras!$X314="","PENDIENTE","DEPOSITADA"))</f>
        <v/>
      </c>
      <c r="L314" t="str">
        <f>IF(Registro_Compras!$R314&lt;&gt;"SI","",Registro_Compras!$Z314)</f>
        <v/>
      </c>
      <c r="M314" t="str">
        <f t="shared" ca="1" si="8"/>
        <v/>
      </c>
      <c r="N314" t="str">
        <f t="shared" ca="1" si="9"/>
        <v/>
      </c>
    </row>
    <row r="315" spans="1:14" x14ac:dyDescent="0.25">
      <c r="A315" s="25" t="str">
        <f>IF(Registro_Compras!$R315&lt;&gt;"SI","",Registro_Compras!$B315)</f>
        <v/>
      </c>
      <c r="B315" t="str">
        <f>IF(Registro_Compras!$R315&lt;&gt;"SI","",Registro_Compras!$C315)</f>
        <v/>
      </c>
      <c r="C315" t="str">
        <f>IF(Registro_Compras!$R315&lt;&gt;"SI","",Registro_Compras!$D315)</f>
        <v/>
      </c>
      <c r="D315" t="str">
        <f>IF(Registro_Compras!$R315&lt;&gt;"SI","",Registro_Compras!$E315)</f>
        <v/>
      </c>
      <c r="E315" t="str">
        <f>IF(Registro_Compras!$R315&lt;&gt;"SI","",Registro_Compras!$G315)</f>
        <v/>
      </c>
      <c r="F315" s="31" t="str">
        <f>IF(Registro_Compras!$R315&lt;&gt;"SI","",Registro_Compras!$P315)</f>
        <v/>
      </c>
      <c r="G315" s="20" t="str">
        <f>IF(Registro_Compras!$R315&lt;&gt;"SI","",Registro_Compras!$O315)</f>
        <v/>
      </c>
      <c r="H315" s="20" t="str">
        <f>IF(Registro_Compras!$R315&lt;&gt;"SI","",Registro_Compras!$S315)</f>
        <v/>
      </c>
      <c r="I315" s="25" t="str">
        <f>IF(Registro_Compras!$R315&lt;&gt;"SI","",IF(Registro_Compras!$Y315="",WORKDAY(EOMONTH(Registro_Compras!$B315,0),5,Feriados),MIN(Registro_Compras!$Y315,WORKDAY(EOMONTH(Registro_Compras!$B315,0),5,Feriados))))</f>
        <v/>
      </c>
      <c r="J315" s="25" t="str">
        <f>IF(Registro_Compras!$R315&lt;&gt;"SI","",Registro_Compras!$X315)</f>
        <v/>
      </c>
      <c r="K315" t="str">
        <f>IF(Registro_Compras!$R315&lt;&gt;"SI","",IF(Registro_Compras!$X315="","PENDIENTE","DEPOSITADA"))</f>
        <v/>
      </c>
      <c r="L315" t="str">
        <f>IF(Registro_Compras!$R315&lt;&gt;"SI","",Registro_Compras!$Z315)</f>
        <v/>
      </c>
      <c r="M315" t="str">
        <f t="shared" ca="1" si="8"/>
        <v/>
      </c>
      <c r="N315" t="str">
        <f t="shared" ca="1" si="9"/>
        <v/>
      </c>
    </row>
    <row r="316" spans="1:14" x14ac:dyDescent="0.25">
      <c r="A316" s="25" t="str">
        <f>IF(Registro_Compras!$R316&lt;&gt;"SI","",Registro_Compras!$B316)</f>
        <v/>
      </c>
      <c r="B316" t="str">
        <f>IF(Registro_Compras!$R316&lt;&gt;"SI","",Registro_Compras!$C316)</f>
        <v/>
      </c>
      <c r="C316" t="str">
        <f>IF(Registro_Compras!$R316&lt;&gt;"SI","",Registro_Compras!$D316)</f>
        <v/>
      </c>
      <c r="D316" t="str">
        <f>IF(Registro_Compras!$R316&lt;&gt;"SI","",Registro_Compras!$E316)</f>
        <v/>
      </c>
      <c r="E316" t="str">
        <f>IF(Registro_Compras!$R316&lt;&gt;"SI","",Registro_Compras!$G316)</f>
        <v/>
      </c>
      <c r="F316" s="31" t="str">
        <f>IF(Registro_Compras!$R316&lt;&gt;"SI","",Registro_Compras!$P316)</f>
        <v/>
      </c>
      <c r="G316" s="20" t="str">
        <f>IF(Registro_Compras!$R316&lt;&gt;"SI","",Registro_Compras!$O316)</f>
        <v/>
      </c>
      <c r="H316" s="20" t="str">
        <f>IF(Registro_Compras!$R316&lt;&gt;"SI","",Registro_Compras!$S316)</f>
        <v/>
      </c>
      <c r="I316" s="25" t="str">
        <f>IF(Registro_Compras!$R316&lt;&gt;"SI","",IF(Registro_Compras!$Y316="",WORKDAY(EOMONTH(Registro_Compras!$B316,0),5,Feriados),MIN(Registro_Compras!$Y316,WORKDAY(EOMONTH(Registro_Compras!$B316,0),5,Feriados))))</f>
        <v/>
      </c>
      <c r="J316" s="25" t="str">
        <f>IF(Registro_Compras!$R316&lt;&gt;"SI","",Registro_Compras!$X316)</f>
        <v/>
      </c>
      <c r="K316" t="str">
        <f>IF(Registro_Compras!$R316&lt;&gt;"SI","",IF(Registro_Compras!$X316="","PENDIENTE","DEPOSITADA"))</f>
        <v/>
      </c>
      <c r="L316" t="str">
        <f>IF(Registro_Compras!$R316&lt;&gt;"SI","",Registro_Compras!$Z316)</f>
        <v/>
      </c>
      <c r="M316" t="str">
        <f t="shared" ca="1" si="8"/>
        <v/>
      </c>
      <c r="N316" t="str">
        <f t="shared" ca="1" si="9"/>
        <v/>
      </c>
    </row>
    <row r="317" spans="1:14" x14ac:dyDescent="0.25">
      <c r="A317" s="25" t="str">
        <f>IF(Registro_Compras!$R317&lt;&gt;"SI","",Registro_Compras!$B317)</f>
        <v/>
      </c>
      <c r="B317" t="str">
        <f>IF(Registro_Compras!$R317&lt;&gt;"SI","",Registro_Compras!$C317)</f>
        <v/>
      </c>
      <c r="C317" t="str">
        <f>IF(Registro_Compras!$R317&lt;&gt;"SI","",Registro_Compras!$D317)</f>
        <v/>
      </c>
      <c r="D317" t="str">
        <f>IF(Registro_Compras!$R317&lt;&gt;"SI","",Registro_Compras!$E317)</f>
        <v/>
      </c>
      <c r="E317" t="str">
        <f>IF(Registro_Compras!$R317&lt;&gt;"SI","",Registro_Compras!$G317)</f>
        <v/>
      </c>
      <c r="F317" s="31" t="str">
        <f>IF(Registro_Compras!$R317&lt;&gt;"SI","",Registro_Compras!$P317)</f>
        <v/>
      </c>
      <c r="G317" s="20" t="str">
        <f>IF(Registro_Compras!$R317&lt;&gt;"SI","",Registro_Compras!$O317)</f>
        <v/>
      </c>
      <c r="H317" s="20" t="str">
        <f>IF(Registro_Compras!$R317&lt;&gt;"SI","",Registro_Compras!$S317)</f>
        <v/>
      </c>
      <c r="I317" s="25" t="str">
        <f>IF(Registro_Compras!$R317&lt;&gt;"SI","",IF(Registro_Compras!$Y317="",WORKDAY(EOMONTH(Registro_Compras!$B317,0),5,Feriados),MIN(Registro_Compras!$Y317,WORKDAY(EOMONTH(Registro_Compras!$B317,0),5,Feriados))))</f>
        <v/>
      </c>
      <c r="J317" s="25" t="str">
        <f>IF(Registro_Compras!$R317&lt;&gt;"SI","",Registro_Compras!$X317)</f>
        <v/>
      </c>
      <c r="K317" t="str">
        <f>IF(Registro_Compras!$R317&lt;&gt;"SI","",IF(Registro_Compras!$X317="","PENDIENTE","DEPOSITADA"))</f>
        <v/>
      </c>
      <c r="L317" t="str">
        <f>IF(Registro_Compras!$R317&lt;&gt;"SI","",Registro_Compras!$Z317)</f>
        <v/>
      </c>
      <c r="M317" t="str">
        <f t="shared" ca="1" si="8"/>
        <v/>
      </c>
      <c r="N317" t="str">
        <f t="shared" ca="1" si="9"/>
        <v/>
      </c>
    </row>
    <row r="318" spans="1:14" x14ac:dyDescent="0.25">
      <c r="A318" s="25" t="str">
        <f>IF(Registro_Compras!$R318&lt;&gt;"SI","",Registro_Compras!$B318)</f>
        <v/>
      </c>
      <c r="B318" t="str">
        <f>IF(Registro_Compras!$R318&lt;&gt;"SI","",Registro_Compras!$C318)</f>
        <v/>
      </c>
      <c r="C318" t="str">
        <f>IF(Registro_Compras!$R318&lt;&gt;"SI","",Registro_Compras!$D318)</f>
        <v/>
      </c>
      <c r="D318" t="str">
        <f>IF(Registro_Compras!$R318&lt;&gt;"SI","",Registro_Compras!$E318)</f>
        <v/>
      </c>
      <c r="E318" t="str">
        <f>IF(Registro_Compras!$R318&lt;&gt;"SI","",Registro_Compras!$G318)</f>
        <v/>
      </c>
      <c r="F318" s="31" t="str">
        <f>IF(Registro_Compras!$R318&lt;&gt;"SI","",Registro_Compras!$P318)</f>
        <v/>
      </c>
      <c r="G318" s="20" t="str">
        <f>IF(Registro_Compras!$R318&lt;&gt;"SI","",Registro_Compras!$O318)</f>
        <v/>
      </c>
      <c r="H318" s="20" t="str">
        <f>IF(Registro_Compras!$R318&lt;&gt;"SI","",Registro_Compras!$S318)</f>
        <v/>
      </c>
      <c r="I318" s="25" t="str">
        <f>IF(Registro_Compras!$R318&lt;&gt;"SI","",IF(Registro_Compras!$Y318="",WORKDAY(EOMONTH(Registro_Compras!$B318,0),5,Feriados),MIN(Registro_Compras!$Y318,WORKDAY(EOMONTH(Registro_Compras!$B318,0),5,Feriados))))</f>
        <v/>
      </c>
      <c r="J318" s="25" t="str">
        <f>IF(Registro_Compras!$R318&lt;&gt;"SI","",Registro_Compras!$X318)</f>
        <v/>
      </c>
      <c r="K318" t="str">
        <f>IF(Registro_Compras!$R318&lt;&gt;"SI","",IF(Registro_Compras!$X318="","PENDIENTE","DEPOSITADA"))</f>
        <v/>
      </c>
      <c r="L318" t="str">
        <f>IF(Registro_Compras!$R318&lt;&gt;"SI","",Registro_Compras!$Z318)</f>
        <v/>
      </c>
      <c r="M318" t="str">
        <f t="shared" ca="1" si="8"/>
        <v/>
      </c>
      <c r="N318" t="str">
        <f t="shared" ca="1" si="9"/>
        <v/>
      </c>
    </row>
    <row r="319" spans="1:14" x14ac:dyDescent="0.25">
      <c r="A319" s="25" t="str">
        <f>IF(Registro_Compras!$R319&lt;&gt;"SI","",Registro_Compras!$B319)</f>
        <v/>
      </c>
      <c r="B319" t="str">
        <f>IF(Registro_Compras!$R319&lt;&gt;"SI","",Registro_Compras!$C319)</f>
        <v/>
      </c>
      <c r="C319" t="str">
        <f>IF(Registro_Compras!$R319&lt;&gt;"SI","",Registro_Compras!$D319)</f>
        <v/>
      </c>
      <c r="D319" t="str">
        <f>IF(Registro_Compras!$R319&lt;&gt;"SI","",Registro_Compras!$E319)</f>
        <v/>
      </c>
      <c r="E319" t="str">
        <f>IF(Registro_Compras!$R319&lt;&gt;"SI","",Registro_Compras!$G319)</f>
        <v/>
      </c>
      <c r="F319" s="31" t="str">
        <f>IF(Registro_Compras!$R319&lt;&gt;"SI","",Registro_Compras!$P319)</f>
        <v/>
      </c>
      <c r="G319" s="20" t="str">
        <f>IF(Registro_Compras!$R319&lt;&gt;"SI","",Registro_Compras!$O319)</f>
        <v/>
      </c>
      <c r="H319" s="20" t="str">
        <f>IF(Registro_Compras!$R319&lt;&gt;"SI","",Registro_Compras!$S319)</f>
        <v/>
      </c>
      <c r="I319" s="25" t="str">
        <f>IF(Registro_Compras!$R319&lt;&gt;"SI","",IF(Registro_Compras!$Y319="",WORKDAY(EOMONTH(Registro_Compras!$B319,0),5,Feriados),MIN(Registro_Compras!$Y319,WORKDAY(EOMONTH(Registro_Compras!$B319,0),5,Feriados))))</f>
        <v/>
      </c>
      <c r="J319" s="25" t="str">
        <f>IF(Registro_Compras!$R319&lt;&gt;"SI","",Registro_Compras!$X319)</f>
        <v/>
      </c>
      <c r="K319" t="str">
        <f>IF(Registro_Compras!$R319&lt;&gt;"SI","",IF(Registro_Compras!$X319="","PENDIENTE","DEPOSITADA"))</f>
        <v/>
      </c>
      <c r="L319" t="str">
        <f>IF(Registro_Compras!$R319&lt;&gt;"SI","",Registro_Compras!$Z319)</f>
        <v/>
      </c>
      <c r="M319" t="str">
        <f t="shared" ca="1" si="8"/>
        <v/>
      </c>
      <c r="N319" t="str">
        <f t="shared" ca="1" si="9"/>
        <v/>
      </c>
    </row>
    <row r="320" spans="1:14" x14ac:dyDescent="0.25">
      <c r="A320" s="25" t="str">
        <f>IF(Registro_Compras!$R320&lt;&gt;"SI","",Registro_Compras!$B320)</f>
        <v/>
      </c>
      <c r="B320" t="str">
        <f>IF(Registro_Compras!$R320&lt;&gt;"SI","",Registro_Compras!$C320)</f>
        <v/>
      </c>
      <c r="C320" t="str">
        <f>IF(Registro_Compras!$R320&lt;&gt;"SI","",Registro_Compras!$D320)</f>
        <v/>
      </c>
      <c r="D320" t="str">
        <f>IF(Registro_Compras!$R320&lt;&gt;"SI","",Registro_Compras!$E320)</f>
        <v/>
      </c>
      <c r="E320" t="str">
        <f>IF(Registro_Compras!$R320&lt;&gt;"SI","",Registro_Compras!$G320)</f>
        <v/>
      </c>
      <c r="F320" s="31" t="str">
        <f>IF(Registro_Compras!$R320&lt;&gt;"SI","",Registro_Compras!$P320)</f>
        <v/>
      </c>
      <c r="G320" s="20" t="str">
        <f>IF(Registro_Compras!$R320&lt;&gt;"SI","",Registro_Compras!$O320)</f>
        <v/>
      </c>
      <c r="H320" s="20" t="str">
        <f>IF(Registro_Compras!$R320&lt;&gt;"SI","",Registro_Compras!$S320)</f>
        <v/>
      </c>
      <c r="I320" s="25" t="str">
        <f>IF(Registro_Compras!$R320&lt;&gt;"SI","",IF(Registro_Compras!$Y320="",WORKDAY(EOMONTH(Registro_Compras!$B320,0),5,Feriados),MIN(Registro_Compras!$Y320,WORKDAY(EOMONTH(Registro_Compras!$B320,0),5,Feriados))))</f>
        <v/>
      </c>
      <c r="J320" s="25" t="str">
        <f>IF(Registro_Compras!$R320&lt;&gt;"SI","",Registro_Compras!$X320)</f>
        <v/>
      </c>
      <c r="K320" t="str">
        <f>IF(Registro_Compras!$R320&lt;&gt;"SI","",IF(Registro_Compras!$X320="","PENDIENTE","DEPOSITADA"))</f>
        <v/>
      </c>
      <c r="L320" t="str">
        <f>IF(Registro_Compras!$R320&lt;&gt;"SI","",Registro_Compras!$Z320)</f>
        <v/>
      </c>
      <c r="M320" t="str">
        <f t="shared" ca="1" si="8"/>
        <v/>
      </c>
      <c r="N320" t="str">
        <f t="shared" ca="1" si="9"/>
        <v/>
      </c>
    </row>
    <row r="321" spans="1:14" x14ac:dyDescent="0.25">
      <c r="A321" s="25" t="str">
        <f>IF(Registro_Compras!$R321&lt;&gt;"SI","",Registro_Compras!$B321)</f>
        <v/>
      </c>
      <c r="B321" t="str">
        <f>IF(Registro_Compras!$R321&lt;&gt;"SI","",Registro_Compras!$C321)</f>
        <v/>
      </c>
      <c r="C321" t="str">
        <f>IF(Registro_Compras!$R321&lt;&gt;"SI","",Registro_Compras!$D321)</f>
        <v/>
      </c>
      <c r="D321" t="str">
        <f>IF(Registro_Compras!$R321&lt;&gt;"SI","",Registro_Compras!$E321)</f>
        <v/>
      </c>
      <c r="E321" t="str">
        <f>IF(Registro_Compras!$R321&lt;&gt;"SI","",Registro_Compras!$G321)</f>
        <v/>
      </c>
      <c r="F321" s="31" t="str">
        <f>IF(Registro_Compras!$R321&lt;&gt;"SI","",Registro_Compras!$P321)</f>
        <v/>
      </c>
      <c r="G321" s="20" t="str">
        <f>IF(Registro_Compras!$R321&lt;&gt;"SI","",Registro_Compras!$O321)</f>
        <v/>
      </c>
      <c r="H321" s="20" t="str">
        <f>IF(Registro_Compras!$R321&lt;&gt;"SI","",Registro_Compras!$S321)</f>
        <v/>
      </c>
      <c r="I321" s="25" t="str">
        <f>IF(Registro_Compras!$R321&lt;&gt;"SI","",IF(Registro_Compras!$Y321="",WORKDAY(EOMONTH(Registro_Compras!$B321,0),5,Feriados),MIN(Registro_Compras!$Y321,WORKDAY(EOMONTH(Registro_Compras!$B321,0),5,Feriados))))</f>
        <v/>
      </c>
      <c r="J321" s="25" t="str">
        <f>IF(Registro_Compras!$R321&lt;&gt;"SI","",Registro_Compras!$X321)</f>
        <v/>
      </c>
      <c r="K321" t="str">
        <f>IF(Registro_Compras!$R321&lt;&gt;"SI","",IF(Registro_Compras!$X321="","PENDIENTE","DEPOSITADA"))</f>
        <v/>
      </c>
      <c r="L321" t="str">
        <f>IF(Registro_Compras!$R321&lt;&gt;"SI","",Registro_Compras!$Z321)</f>
        <v/>
      </c>
      <c r="M321" t="str">
        <f t="shared" ca="1" si="8"/>
        <v/>
      </c>
      <c r="N321" t="str">
        <f t="shared" ca="1" si="9"/>
        <v/>
      </c>
    </row>
    <row r="322" spans="1:14" x14ac:dyDescent="0.25">
      <c r="A322" s="25" t="str">
        <f>IF(Registro_Compras!$R322&lt;&gt;"SI","",Registro_Compras!$B322)</f>
        <v/>
      </c>
      <c r="B322" t="str">
        <f>IF(Registro_Compras!$R322&lt;&gt;"SI","",Registro_Compras!$C322)</f>
        <v/>
      </c>
      <c r="C322" t="str">
        <f>IF(Registro_Compras!$R322&lt;&gt;"SI","",Registro_Compras!$D322)</f>
        <v/>
      </c>
      <c r="D322" t="str">
        <f>IF(Registro_Compras!$R322&lt;&gt;"SI","",Registro_Compras!$E322)</f>
        <v/>
      </c>
      <c r="E322" t="str">
        <f>IF(Registro_Compras!$R322&lt;&gt;"SI","",Registro_Compras!$G322)</f>
        <v/>
      </c>
      <c r="F322" s="31" t="str">
        <f>IF(Registro_Compras!$R322&lt;&gt;"SI","",Registro_Compras!$P322)</f>
        <v/>
      </c>
      <c r="G322" s="20" t="str">
        <f>IF(Registro_Compras!$R322&lt;&gt;"SI","",Registro_Compras!$O322)</f>
        <v/>
      </c>
      <c r="H322" s="20" t="str">
        <f>IF(Registro_Compras!$R322&lt;&gt;"SI","",Registro_Compras!$S322)</f>
        <v/>
      </c>
      <c r="I322" s="25" t="str">
        <f>IF(Registro_Compras!$R322&lt;&gt;"SI","",IF(Registro_Compras!$Y322="",WORKDAY(EOMONTH(Registro_Compras!$B322,0),5,Feriados),MIN(Registro_Compras!$Y322,WORKDAY(EOMONTH(Registro_Compras!$B322,0),5,Feriados))))</f>
        <v/>
      </c>
      <c r="J322" s="25" t="str">
        <f>IF(Registro_Compras!$R322&lt;&gt;"SI","",Registro_Compras!$X322)</f>
        <v/>
      </c>
      <c r="K322" t="str">
        <f>IF(Registro_Compras!$R322&lt;&gt;"SI","",IF(Registro_Compras!$X322="","PENDIENTE","DEPOSITADA"))</f>
        <v/>
      </c>
      <c r="L322" t="str">
        <f>IF(Registro_Compras!$R322&lt;&gt;"SI","",Registro_Compras!$Z322)</f>
        <v/>
      </c>
      <c r="M322" t="str">
        <f t="shared" ca="1" si="8"/>
        <v/>
      </c>
      <c r="N322" t="str">
        <f t="shared" ca="1" si="9"/>
        <v/>
      </c>
    </row>
    <row r="323" spans="1:14" x14ac:dyDescent="0.25">
      <c r="A323" s="25" t="str">
        <f>IF(Registro_Compras!$R323&lt;&gt;"SI","",Registro_Compras!$B323)</f>
        <v/>
      </c>
      <c r="B323" t="str">
        <f>IF(Registro_Compras!$R323&lt;&gt;"SI","",Registro_Compras!$C323)</f>
        <v/>
      </c>
      <c r="C323" t="str">
        <f>IF(Registro_Compras!$R323&lt;&gt;"SI","",Registro_Compras!$D323)</f>
        <v/>
      </c>
      <c r="D323" t="str">
        <f>IF(Registro_Compras!$R323&lt;&gt;"SI","",Registro_Compras!$E323)</f>
        <v/>
      </c>
      <c r="E323" t="str">
        <f>IF(Registro_Compras!$R323&lt;&gt;"SI","",Registro_Compras!$G323)</f>
        <v/>
      </c>
      <c r="F323" s="31" t="str">
        <f>IF(Registro_Compras!$R323&lt;&gt;"SI","",Registro_Compras!$P323)</f>
        <v/>
      </c>
      <c r="G323" s="20" t="str">
        <f>IF(Registro_Compras!$R323&lt;&gt;"SI","",Registro_Compras!$O323)</f>
        <v/>
      </c>
      <c r="H323" s="20" t="str">
        <f>IF(Registro_Compras!$R323&lt;&gt;"SI","",Registro_Compras!$S323)</f>
        <v/>
      </c>
      <c r="I323" s="25" t="str">
        <f>IF(Registro_Compras!$R323&lt;&gt;"SI","",IF(Registro_Compras!$Y323="",WORKDAY(EOMONTH(Registro_Compras!$B323,0),5,Feriados),MIN(Registro_Compras!$Y323,WORKDAY(EOMONTH(Registro_Compras!$B323,0),5,Feriados))))</f>
        <v/>
      </c>
      <c r="J323" s="25" t="str">
        <f>IF(Registro_Compras!$R323&lt;&gt;"SI","",Registro_Compras!$X323)</f>
        <v/>
      </c>
      <c r="K323" t="str">
        <f>IF(Registro_Compras!$R323&lt;&gt;"SI","",IF(Registro_Compras!$X323="","PENDIENTE","DEPOSITADA"))</f>
        <v/>
      </c>
      <c r="L323" t="str">
        <f>IF(Registro_Compras!$R323&lt;&gt;"SI","",Registro_Compras!$Z323)</f>
        <v/>
      </c>
      <c r="M323" t="str">
        <f t="shared" ca="1" si="8"/>
        <v/>
      </c>
      <c r="N323" t="str">
        <f t="shared" ca="1" si="9"/>
        <v/>
      </c>
    </row>
    <row r="324" spans="1:14" x14ac:dyDescent="0.25">
      <c r="A324" s="25" t="str">
        <f>IF(Registro_Compras!$R324&lt;&gt;"SI","",Registro_Compras!$B324)</f>
        <v/>
      </c>
      <c r="B324" t="str">
        <f>IF(Registro_Compras!$R324&lt;&gt;"SI","",Registro_Compras!$C324)</f>
        <v/>
      </c>
      <c r="C324" t="str">
        <f>IF(Registro_Compras!$R324&lt;&gt;"SI","",Registro_Compras!$D324)</f>
        <v/>
      </c>
      <c r="D324" t="str">
        <f>IF(Registro_Compras!$R324&lt;&gt;"SI","",Registro_Compras!$E324)</f>
        <v/>
      </c>
      <c r="E324" t="str">
        <f>IF(Registro_Compras!$R324&lt;&gt;"SI","",Registro_Compras!$G324)</f>
        <v/>
      </c>
      <c r="F324" s="31" t="str">
        <f>IF(Registro_Compras!$R324&lt;&gt;"SI","",Registro_Compras!$P324)</f>
        <v/>
      </c>
      <c r="G324" s="20" t="str">
        <f>IF(Registro_Compras!$R324&lt;&gt;"SI","",Registro_Compras!$O324)</f>
        <v/>
      </c>
      <c r="H324" s="20" t="str">
        <f>IF(Registro_Compras!$R324&lt;&gt;"SI","",Registro_Compras!$S324)</f>
        <v/>
      </c>
      <c r="I324" s="25" t="str">
        <f>IF(Registro_Compras!$R324&lt;&gt;"SI","",IF(Registro_Compras!$Y324="",WORKDAY(EOMONTH(Registro_Compras!$B324,0),5,Feriados),MIN(Registro_Compras!$Y324,WORKDAY(EOMONTH(Registro_Compras!$B324,0),5,Feriados))))</f>
        <v/>
      </c>
      <c r="J324" s="25" t="str">
        <f>IF(Registro_Compras!$R324&lt;&gt;"SI","",Registro_Compras!$X324)</f>
        <v/>
      </c>
      <c r="K324" t="str">
        <f>IF(Registro_Compras!$R324&lt;&gt;"SI","",IF(Registro_Compras!$X324="","PENDIENTE","DEPOSITADA"))</f>
        <v/>
      </c>
      <c r="L324" t="str">
        <f>IF(Registro_Compras!$R324&lt;&gt;"SI","",Registro_Compras!$Z324)</f>
        <v/>
      </c>
      <c r="M324" t="str">
        <f t="shared" ref="M324:M387" ca="1" si="10">IF($K324&lt;&gt;"PENDIENTE","",IF(TODAY()&gt;$I324,TODAY()-$I324,0))</f>
        <v/>
      </c>
      <c r="N324" t="str">
        <f t="shared" ref="N324:N387" ca="1" si="11">IF($K324&lt;&gt;"PENDIENTE","",IF($M324&gt;0,"VENCIDA - DEPOSITAR YA",IF($I324-TODAY()&lt;=3,"POR VENCER","EN PLAZO")))</f>
        <v/>
      </c>
    </row>
    <row r="325" spans="1:14" x14ac:dyDescent="0.25">
      <c r="A325" s="25" t="str">
        <f>IF(Registro_Compras!$R325&lt;&gt;"SI","",Registro_Compras!$B325)</f>
        <v/>
      </c>
      <c r="B325" t="str">
        <f>IF(Registro_Compras!$R325&lt;&gt;"SI","",Registro_Compras!$C325)</f>
        <v/>
      </c>
      <c r="C325" t="str">
        <f>IF(Registro_Compras!$R325&lt;&gt;"SI","",Registro_Compras!$D325)</f>
        <v/>
      </c>
      <c r="D325" t="str">
        <f>IF(Registro_Compras!$R325&lt;&gt;"SI","",Registro_Compras!$E325)</f>
        <v/>
      </c>
      <c r="E325" t="str">
        <f>IF(Registro_Compras!$R325&lt;&gt;"SI","",Registro_Compras!$G325)</f>
        <v/>
      </c>
      <c r="F325" s="31" t="str">
        <f>IF(Registro_Compras!$R325&lt;&gt;"SI","",Registro_Compras!$P325)</f>
        <v/>
      </c>
      <c r="G325" s="20" t="str">
        <f>IF(Registro_Compras!$R325&lt;&gt;"SI","",Registro_Compras!$O325)</f>
        <v/>
      </c>
      <c r="H325" s="20" t="str">
        <f>IF(Registro_Compras!$R325&lt;&gt;"SI","",Registro_Compras!$S325)</f>
        <v/>
      </c>
      <c r="I325" s="25" t="str">
        <f>IF(Registro_Compras!$R325&lt;&gt;"SI","",IF(Registro_Compras!$Y325="",WORKDAY(EOMONTH(Registro_Compras!$B325,0),5,Feriados),MIN(Registro_Compras!$Y325,WORKDAY(EOMONTH(Registro_Compras!$B325,0),5,Feriados))))</f>
        <v/>
      </c>
      <c r="J325" s="25" t="str">
        <f>IF(Registro_Compras!$R325&lt;&gt;"SI","",Registro_Compras!$X325)</f>
        <v/>
      </c>
      <c r="K325" t="str">
        <f>IF(Registro_Compras!$R325&lt;&gt;"SI","",IF(Registro_Compras!$X325="","PENDIENTE","DEPOSITADA"))</f>
        <v/>
      </c>
      <c r="L325" t="str">
        <f>IF(Registro_Compras!$R325&lt;&gt;"SI","",Registro_Compras!$Z325)</f>
        <v/>
      </c>
      <c r="M325" t="str">
        <f t="shared" ca="1" si="10"/>
        <v/>
      </c>
      <c r="N325" t="str">
        <f t="shared" ca="1" si="11"/>
        <v/>
      </c>
    </row>
    <row r="326" spans="1:14" x14ac:dyDescent="0.25">
      <c r="A326" s="25" t="str">
        <f>IF(Registro_Compras!$R326&lt;&gt;"SI","",Registro_Compras!$B326)</f>
        <v/>
      </c>
      <c r="B326" t="str">
        <f>IF(Registro_Compras!$R326&lt;&gt;"SI","",Registro_Compras!$C326)</f>
        <v/>
      </c>
      <c r="C326" t="str">
        <f>IF(Registro_Compras!$R326&lt;&gt;"SI","",Registro_Compras!$D326)</f>
        <v/>
      </c>
      <c r="D326" t="str">
        <f>IF(Registro_Compras!$R326&lt;&gt;"SI","",Registro_Compras!$E326)</f>
        <v/>
      </c>
      <c r="E326" t="str">
        <f>IF(Registro_Compras!$R326&lt;&gt;"SI","",Registro_Compras!$G326)</f>
        <v/>
      </c>
      <c r="F326" s="31" t="str">
        <f>IF(Registro_Compras!$R326&lt;&gt;"SI","",Registro_Compras!$P326)</f>
        <v/>
      </c>
      <c r="G326" s="20" t="str">
        <f>IF(Registro_Compras!$R326&lt;&gt;"SI","",Registro_Compras!$O326)</f>
        <v/>
      </c>
      <c r="H326" s="20" t="str">
        <f>IF(Registro_Compras!$R326&lt;&gt;"SI","",Registro_Compras!$S326)</f>
        <v/>
      </c>
      <c r="I326" s="25" t="str">
        <f>IF(Registro_Compras!$R326&lt;&gt;"SI","",IF(Registro_Compras!$Y326="",WORKDAY(EOMONTH(Registro_Compras!$B326,0),5,Feriados),MIN(Registro_Compras!$Y326,WORKDAY(EOMONTH(Registro_Compras!$B326,0),5,Feriados))))</f>
        <v/>
      </c>
      <c r="J326" s="25" t="str">
        <f>IF(Registro_Compras!$R326&lt;&gt;"SI","",Registro_Compras!$X326)</f>
        <v/>
      </c>
      <c r="K326" t="str">
        <f>IF(Registro_Compras!$R326&lt;&gt;"SI","",IF(Registro_Compras!$X326="","PENDIENTE","DEPOSITADA"))</f>
        <v/>
      </c>
      <c r="L326" t="str">
        <f>IF(Registro_Compras!$R326&lt;&gt;"SI","",Registro_Compras!$Z326)</f>
        <v/>
      </c>
      <c r="M326" t="str">
        <f t="shared" ca="1" si="10"/>
        <v/>
      </c>
      <c r="N326" t="str">
        <f t="shared" ca="1" si="11"/>
        <v/>
      </c>
    </row>
    <row r="327" spans="1:14" x14ac:dyDescent="0.25">
      <c r="A327" s="25" t="str">
        <f>IF(Registro_Compras!$R327&lt;&gt;"SI","",Registro_Compras!$B327)</f>
        <v/>
      </c>
      <c r="B327" t="str">
        <f>IF(Registro_Compras!$R327&lt;&gt;"SI","",Registro_Compras!$C327)</f>
        <v/>
      </c>
      <c r="C327" t="str">
        <f>IF(Registro_Compras!$R327&lt;&gt;"SI","",Registro_Compras!$D327)</f>
        <v/>
      </c>
      <c r="D327" t="str">
        <f>IF(Registro_Compras!$R327&lt;&gt;"SI","",Registro_Compras!$E327)</f>
        <v/>
      </c>
      <c r="E327" t="str">
        <f>IF(Registro_Compras!$R327&lt;&gt;"SI","",Registro_Compras!$G327)</f>
        <v/>
      </c>
      <c r="F327" s="31" t="str">
        <f>IF(Registro_Compras!$R327&lt;&gt;"SI","",Registro_Compras!$P327)</f>
        <v/>
      </c>
      <c r="G327" s="20" t="str">
        <f>IF(Registro_Compras!$R327&lt;&gt;"SI","",Registro_Compras!$O327)</f>
        <v/>
      </c>
      <c r="H327" s="20" t="str">
        <f>IF(Registro_Compras!$R327&lt;&gt;"SI","",Registro_Compras!$S327)</f>
        <v/>
      </c>
      <c r="I327" s="25" t="str">
        <f>IF(Registro_Compras!$R327&lt;&gt;"SI","",IF(Registro_Compras!$Y327="",WORKDAY(EOMONTH(Registro_Compras!$B327,0),5,Feriados),MIN(Registro_Compras!$Y327,WORKDAY(EOMONTH(Registro_Compras!$B327,0),5,Feriados))))</f>
        <v/>
      </c>
      <c r="J327" s="25" t="str">
        <f>IF(Registro_Compras!$R327&lt;&gt;"SI","",Registro_Compras!$X327)</f>
        <v/>
      </c>
      <c r="K327" t="str">
        <f>IF(Registro_Compras!$R327&lt;&gt;"SI","",IF(Registro_Compras!$X327="","PENDIENTE","DEPOSITADA"))</f>
        <v/>
      </c>
      <c r="L327" t="str">
        <f>IF(Registro_Compras!$R327&lt;&gt;"SI","",Registro_Compras!$Z327)</f>
        <v/>
      </c>
      <c r="M327" t="str">
        <f t="shared" ca="1" si="10"/>
        <v/>
      </c>
      <c r="N327" t="str">
        <f t="shared" ca="1" si="11"/>
        <v/>
      </c>
    </row>
    <row r="328" spans="1:14" x14ac:dyDescent="0.25">
      <c r="A328" s="25" t="str">
        <f>IF(Registro_Compras!$R328&lt;&gt;"SI","",Registro_Compras!$B328)</f>
        <v/>
      </c>
      <c r="B328" t="str">
        <f>IF(Registro_Compras!$R328&lt;&gt;"SI","",Registro_Compras!$C328)</f>
        <v/>
      </c>
      <c r="C328" t="str">
        <f>IF(Registro_Compras!$R328&lt;&gt;"SI","",Registro_Compras!$D328)</f>
        <v/>
      </c>
      <c r="D328" t="str">
        <f>IF(Registro_Compras!$R328&lt;&gt;"SI","",Registro_Compras!$E328)</f>
        <v/>
      </c>
      <c r="E328" t="str">
        <f>IF(Registro_Compras!$R328&lt;&gt;"SI","",Registro_Compras!$G328)</f>
        <v/>
      </c>
      <c r="F328" s="31" t="str">
        <f>IF(Registro_Compras!$R328&lt;&gt;"SI","",Registro_Compras!$P328)</f>
        <v/>
      </c>
      <c r="G328" s="20" t="str">
        <f>IF(Registro_Compras!$R328&lt;&gt;"SI","",Registro_Compras!$O328)</f>
        <v/>
      </c>
      <c r="H328" s="20" t="str">
        <f>IF(Registro_Compras!$R328&lt;&gt;"SI","",Registro_Compras!$S328)</f>
        <v/>
      </c>
      <c r="I328" s="25" t="str">
        <f>IF(Registro_Compras!$R328&lt;&gt;"SI","",IF(Registro_Compras!$Y328="",WORKDAY(EOMONTH(Registro_Compras!$B328,0),5,Feriados),MIN(Registro_Compras!$Y328,WORKDAY(EOMONTH(Registro_Compras!$B328,0),5,Feriados))))</f>
        <v/>
      </c>
      <c r="J328" s="25" t="str">
        <f>IF(Registro_Compras!$R328&lt;&gt;"SI","",Registro_Compras!$X328)</f>
        <v/>
      </c>
      <c r="K328" t="str">
        <f>IF(Registro_Compras!$R328&lt;&gt;"SI","",IF(Registro_Compras!$X328="","PENDIENTE","DEPOSITADA"))</f>
        <v/>
      </c>
      <c r="L328" t="str">
        <f>IF(Registro_Compras!$R328&lt;&gt;"SI","",Registro_Compras!$Z328)</f>
        <v/>
      </c>
      <c r="M328" t="str">
        <f t="shared" ca="1" si="10"/>
        <v/>
      </c>
      <c r="N328" t="str">
        <f t="shared" ca="1" si="11"/>
        <v/>
      </c>
    </row>
    <row r="329" spans="1:14" x14ac:dyDescent="0.25">
      <c r="A329" s="25" t="str">
        <f>IF(Registro_Compras!$R329&lt;&gt;"SI","",Registro_Compras!$B329)</f>
        <v/>
      </c>
      <c r="B329" t="str">
        <f>IF(Registro_Compras!$R329&lt;&gt;"SI","",Registro_Compras!$C329)</f>
        <v/>
      </c>
      <c r="C329" t="str">
        <f>IF(Registro_Compras!$R329&lt;&gt;"SI","",Registro_Compras!$D329)</f>
        <v/>
      </c>
      <c r="D329" t="str">
        <f>IF(Registro_Compras!$R329&lt;&gt;"SI","",Registro_Compras!$E329)</f>
        <v/>
      </c>
      <c r="E329" t="str">
        <f>IF(Registro_Compras!$R329&lt;&gt;"SI","",Registro_Compras!$G329)</f>
        <v/>
      </c>
      <c r="F329" s="31" t="str">
        <f>IF(Registro_Compras!$R329&lt;&gt;"SI","",Registro_Compras!$P329)</f>
        <v/>
      </c>
      <c r="G329" s="20" t="str">
        <f>IF(Registro_Compras!$R329&lt;&gt;"SI","",Registro_Compras!$O329)</f>
        <v/>
      </c>
      <c r="H329" s="20" t="str">
        <f>IF(Registro_Compras!$R329&lt;&gt;"SI","",Registro_Compras!$S329)</f>
        <v/>
      </c>
      <c r="I329" s="25" t="str">
        <f>IF(Registro_Compras!$R329&lt;&gt;"SI","",IF(Registro_Compras!$Y329="",WORKDAY(EOMONTH(Registro_Compras!$B329,0),5,Feriados),MIN(Registro_Compras!$Y329,WORKDAY(EOMONTH(Registro_Compras!$B329,0),5,Feriados))))</f>
        <v/>
      </c>
      <c r="J329" s="25" t="str">
        <f>IF(Registro_Compras!$R329&lt;&gt;"SI","",Registro_Compras!$X329)</f>
        <v/>
      </c>
      <c r="K329" t="str">
        <f>IF(Registro_Compras!$R329&lt;&gt;"SI","",IF(Registro_Compras!$X329="","PENDIENTE","DEPOSITADA"))</f>
        <v/>
      </c>
      <c r="L329" t="str">
        <f>IF(Registro_Compras!$R329&lt;&gt;"SI","",Registro_Compras!$Z329)</f>
        <v/>
      </c>
      <c r="M329" t="str">
        <f t="shared" ca="1" si="10"/>
        <v/>
      </c>
      <c r="N329" t="str">
        <f t="shared" ca="1" si="11"/>
        <v/>
      </c>
    </row>
    <row r="330" spans="1:14" x14ac:dyDescent="0.25">
      <c r="A330" s="25" t="str">
        <f>IF(Registro_Compras!$R330&lt;&gt;"SI","",Registro_Compras!$B330)</f>
        <v/>
      </c>
      <c r="B330" t="str">
        <f>IF(Registro_Compras!$R330&lt;&gt;"SI","",Registro_Compras!$C330)</f>
        <v/>
      </c>
      <c r="C330" t="str">
        <f>IF(Registro_Compras!$R330&lt;&gt;"SI","",Registro_Compras!$D330)</f>
        <v/>
      </c>
      <c r="D330" t="str">
        <f>IF(Registro_Compras!$R330&lt;&gt;"SI","",Registro_Compras!$E330)</f>
        <v/>
      </c>
      <c r="E330" t="str">
        <f>IF(Registro_Compras!$R330&lt;&gt;"SI","",Registro_Compras!$G330)</f>
        <v/>
      </c>
      <c r="F330" s="31" t="str">
        <f>IF(Registro_Compras!$R330&lt;&gt;"SI","",Registro_Compras!$P330)</f>
        <v/>
      </c>
      <c r="G330" s="20" t="str">
        <f>IF(Registro_Compras!$R330&lt;&gt;"SI","",Registro_Compras!$O330)</f>
        <v/>
      </c>
      <c r="H330" s="20" t="str">
        <f>IF(Registro_Compras!$R330&lt;&gt;"SI","",Registro_Compras!$S330)</f>
        <v/>
      </c>
      <c r="I330" s="25" t="str">
        <f>IF(Registro_Compras!$R330&lt;&gt;"SI","",IF(Registro_Compras!$Y330="",WORKDAY(EOMONTH(Registro_Compras!$B330,0),5,Feriados),MIN(Registro_Compras!$Y330,WORKDAY(EOMONTH(Registro_Compras!$B330,0),5,Feriados))))</f>
        <v/>
      </c>
      <c r="J330" s="25" t="str">
        <f>IF(Registro_Compras!$R330&lt;&gt;"SI","",Registro_Compras!$X330)</f>
        <v/>
      </c>
      <c r="K330" t="str">
        <f>IF(Registro_Compras!$R330&lt;&gt;"SI","",IF(Registro_Compras!$X330="","PENDIENTE","DEPOSITADA"))</f>
        <v/>
      </c>
      <c r="L330" t="str">
        <f>IF(Registro_Compras!$R330&lt;&gt;"SI","",Registro_Compras!$Z330)</f>
        <v/>
      </c>
      <c r="M330" t="str">
        <f t="shared" ca="1" si="10"/>
        <v/>
      </c>
      <c r="N330" t="str">
        <f t="shared" ca="1" si="11"/>
        <v/>
      </c>
    </row>
    <row r="331" spans="1:14" x14ac:dyDescent="0.25">
      <c r="A331" s="25" t="str">
        <f>IF(Registro_Compras!$R331&lt;&gt;"SI","",Registro_Compras!$B331)</f>
        <v/>
      </c>
      <c r="B331" t="str">
        <f>IF(Registro_Compras!$R331&lt;&gt;"SI","",Registro_Compras!$C331)</f>
        <v/>
      </c>
      <c r="C331" t="str">
        <f>IF(Registro_Compras!$R331&lt;&gt;"SI","",Registro_Compras!$D331)</f>
        <v/>
      </c>
      <c r="D331" t="str">
        <f>IF(Registro_Compras!$R331&lt;&gt;"SI","",Registro_Compras!$E331)</f>
        <v/>
      </c>
      <c r="E331" t="str">
        <f>IF(Registro_Compras!$R331&lt;&gt;"SI","",Registro_Compras!$G331)</f>
        <v/>
      </c>
      <c r="F331" s="31" t="str">
        <f>IF(Registro_Compras!$R331&lt;&gt;"SI","",Registro_Compras!$P331)</f>
        <v/>
      </c>
      <c r="G331" s="20" t="str">
        <f>IF(Registro_Compras!$R331&lt;&gt;"SI","",Registro_Compras!$O331)</f>
        <v/>
      </c>
      <c r="H331" s="20" t="str">
        <f>IF(Registro_Compras!$R331&lt;&gt;"SI","",Registro_Compras!$S331)</f>
        <v/>
      </c>
      <c r="I331" s="25" t="str">
        <f>IF(Registro_Compras!$R331&lt;&gt;"SI","",IF(Registro_Compras!$Y331="",WORKDAY(EOMONTH(Registro_Compras!$B331,0),5,Feriados),MIN(Registro_Compras!$Y331,WORKDAY(EOMONTH(Registro_Compras!$B331,0),5,Feriados))))</f>
        <v/>
      </c>
      <c r="J331" s="25" t="str">
        <f>IF(Registro_Compras!$R331&lt;&gt;"SI","",Registro_Compras!$X331)</f>
        <v/>
      </c>
      <c r="K331" t="str">
        <f>IF(Registro_Compras!$R331&lt;&gt;"SI","",IF(Registro_Compras!$X331="","PENDIENTE","DEPOSITADA"))</f>
        <v/>
      </c>
      <c r="L331" t="str">
        <f>IF(Registro_Compras!$R331&lt;&gt;"SI","",Registro_Compras!$Z331)</f>
        <v/>
      </c>
      <c r="M331" t="str">
        <f t="shared" ca="1" si="10"/>
        <v/>
      </c>
      <c r="N331" t="str">
        <f t="shared" ca="1" si="11"/>
        <v/>
      </c>
    </row>
    <row r="332" spans="1:14" x14ac:dyDescent="0.25">
      <c r="A332" s="25" t="str">
        <f>IF(Registro_Compras!$R332&lt;&gt;"SI","",Registro_Compras!$B332)</f>
        <v/>
      </c>
      <c r="B332" t="str">
        <f>IF(Registro_Compras!$R332&lt;&gt;"SI","",Registro_Compras!$C332)</f>
        <v/>
      </c>
      <c r="C332" t="str">
        <f>IF(Registro_Compras!$R332&lt;&gt;"SI","",Registro_Compras!$D332)</f>
        <v/>
      </c>
      <c r="D332" t="str">
        <f>IF(Registro_Compras!$R332&lt;&gt;"SI","",Registro_Compras!$E332)</f>
        <v/>
      </c>
      <c r="E332" t="str">
        <f>IF(Registro_Compras!$R332&lt;&gt;"SI","",Registro_Compras!$G332)</f>
        <v/>
      </c>
      <c r="F332" s="31" t="str">
        <f>IF(Registro_Compras!$R332&lt;&gt;"SI","",Registro_Compras!$P332)</f>
        <v/>
      </c>
      <c r="G332" s="20" t="str">
        <f>IF(Registro_Compras!$R332&lt;&gt;"SI","",Registro_Compras!$O332)</f>
        <v/>
      </c>
      <c r="H332" s="20" t="str">
        <f>IF(Registro_Compras!$R332&lt;&gt;"SI","",Registro_Compras!$S332)</f>
        <v/>
      </c>
      <c r="I332" s="25" t="str">
        <f>IF(Registro_Compras!$R332&lt;&gt;"SI","",IF(Registro_Compras!$Y332="",WORKDAY(EOMONTH(Registro_Compras!$B332,0),5,Feriados),MIN(Registro_Compras!$Y332,WORKDAY(EOMONTH(Registro_Compras!$B332,0),5,Feriados))))</f>
        <v/>
      </c>
      <c r="J332" s="25" t="str">
        <f>IF(Registro_Compras!$R332&lt;&gt;"SI","",Registro_Compras!$X332)</f>
        <v/>
      </c>
      <c r="K332" t="str">
        <f>IF(Registro_Compras!$R332&lt;&gt;"SI","",IF(Registro_Compras!$X332="","PENDIENTE","DEPOSITADA"))</f>
        <v/>
      </c>
      <c r="L332" t="str">
        <f>IF(Registro_Compras!$R332&lt;&gt;"SI","",Registro_Compras!$Z332)</f>
        <v/>
      </c>
      <c r="M332" t="str">
        <f t="shared" ca="1" si="10"/>
        <v/>
      </c>
      <c r="N332" t="str">
        <f t="shared" ca="1" si="11"/>
        <v/>
      </c>
    </row>
    <row r="333" spans="1:14" x14ac:dyDescent="0.25">
      <c r="A333" s="25" t="str">
        <f>IF(Registro_Compras!$R333&lt;&gt;"SI","",Registro_Compras!$B333)</f>
        <v/>
      </c>
      <c r="B333" t="str">
        <f>IF(Registro_Compras!$R333&lt;&gt;"SI","",Registro_Compras!$C333)</f>
        <v/>
      </c>
      <c r="C333" t="str">
        <f>IF(Registro_Compras!$R333&lt;&gt;"SI","",Registro_Compras!$D333)</f>
        <v/>
      </c>
      <c r="D333" t="str">
        <f>IF(Registro_Compras!$R333&lt;&gt;"SI","",Registro_Compras!$E333)</f>
        <v/>
      </c>
      <c r="E333" t="str">
        <f>IF(Registro_Compras!$R333&lt;&gt;"SI","",Registro_Compras!$G333)</f>
        <v/>
      </c>
      <c r="F333" s="31" t="str">
        <f>IF(Registro_Compras!$R333&lt;&gt;"SI","",Registro_Compras!$P333)</f>
        <v/>
      </c>
      <c r="G333" s="20" t="str">
        <f>IF(Registro_Compras!$R333&lt;&gt;"SI","",Registro_Compras!$O333)</f>
        <v/>
      </c>
      <c r="H333" s="20" t="str">
        <f>IF(Registro_Compras!$R333&lt;&gt;"SI","",Registro_Compras!$S333)</f>
        <v/>
      </c>
      <c r="I333" s="25" t="str">
        <f>IF(Registro_Compras!$R333&lt;&gt;"SI","",IF(Registro_Compras!$Y333="",WORKDAY(EOMONTH(Registro_Compras!$B333,0),5,Feriados),MIN(Registro_Compras!$Y333,WORKDAY(EOMONTH(Registro_Compras!$B333,0),5,Feriados))))</f>
        <v/>
      </c>
      <c r="J333" s="25" t="str">
        <f>IF(Registro_Compras!$R333&lt;&gt;"SI","",Registro_Compras!$X333)</f>
        <v/>
      </c>
      <c r="K333" t="str">
        <f>IF(Registro_Compras!$R333&lt;&gt;"SI","",IF(Registro_Compras!$X333="","PENDIENTE","DEPOSITADA"))</f>
        <v/>
      </c>
      <c r="L333" t="str">
        <f>IF(Registro_Compras!$R333&lt;&gt;"SI","",Registro_Compras!$Z333)</f>
        <v/>
      </c>
      <c r="M333" t="str">
        <f t="shared" ca="1" si="10"/>
        <v/>
      </c>
      <c r="N333" t="str">
        <f t="shared" ca="1" si="11"/>
        <v/>
      </c>
    </row>
    <row r="334" spans="1:14" x14ac:dyDescent="0.25">
      <c r="A334" s="25" t="str">
        <f>IF(Registro_Compras!$R334&lt;&gt;"SI","",Registro_Compras!$B334)</f>
        <v/>
      </c>
      <c r="B334" t="str">
        <f>IF(Registro_Compras!$R334&lt;&gt;"SI","",Registro_Compras!$C334)</f>
        <v/>
      </c>
      <c r="C334" t="str">
        <f>IF(Registro_Compras!$R334&lt;&gt;"SI","",Registro_Compras!$D334)</f>
        <v/>
      </c>
      <c r="D334" t="str">
        <f>IF(Registro_Compras!$R334&lt;&gt;"SI","",Registro_Compras!$E334)</f>
        <v/>
      </c>
      <c r="E334" t="str">
        <f>IF(Registro_Compras!$R334&lt;&gt;"SI","",Registro_Compras!$G334)</f>
        <v/>
      </c>
      <c r="F334" s="31" t="str">
        <f>IF(Registro_Compras!$R334&lt;&gt;"SI","",Registro_Compras!$P334)</f>
        <v/>
      </c>
      <c r="G334" s="20" t="str">
        <f>IF(Registro_Compras!$R334&lt;&gt;"SI","",Registro_Compras!$O334)</f>
        <v/>
      </c>
      <c r="H334" s="20" t="str">
        <f>IF(Registro_Compras!$R334&lt;&gt;"SI","",Registro_Compras!$S334)</f>
        <v/>
      </c>
      <c r="I334" s="25" t="str">
        <f>IF(Registro_Compras!$R334&lt;&gt;"SI","",IF(Registro_Compras!$Y334="",WORKDAY(EOMONTH(Registro_Compras!$B334,0),5,Feriados),MIN(Registro_Compras!$Y334,WORKDAY(EOMONTH(Registro_Compras!$B334,0),5,Feriados))))</f>
        <v/>
      </c>
      <c r="J334" s="25" t="str">
        <f>IF(Registro_Compras!$R334&lt;&gt;"SI","",Registro_Compras!$X334)</f>
        <v/>
      </c>
      <c r="K334" t="str">
        <f>IF(Registro_Compras!$R334&lt;&gt;"SI","",IF(Registro_Compras!$X334="","PENDIENTE","DEPOSITADA"))</f>
        <v/>
      </c>
      <c r="L334" t="str">
        <f>IF(Registro_Compras!$R334&lt;&gt;"SI","",Registro_Compras!$Z334)</f>
        <v/>
      </c>
      <c r="M334" t="str">
        <f t="shared" ca="1" si="10"/>
        <v/>
      </c>
      <c r="N334" t="str">
        <f t="shared" ca="1" si="11"/>
        <v/>
      </c>
    </row>
    <row r="335" spans="1:14" x14ac:dyDescent="0.25">
      <c r="A335" s="25" t="str">
        <f>IF(Registro_Compras!$R335&lt;&gt;"SI","",Registro_Compras!$B335)</f>
        <v/>
      </c>
      <c r="B335" t="str">
        <f>IF(Registro_Compras!$R335&lt;&gt;"SI","",Registro_Compras!$C335)</f>
        <v/>
      </c>
      <c r="C335" t="str">
        <f>IF(Registro_Compras!$R335&lt;&gt;"SI","",Registro_Compras!$D335)</f>
        <v/>
      </c>
      <c r="D335" t="str">
        <f>IF(Registro_Compras!$R335&lt;&gt;"SI","",Registro_Compras!$E335)</f>
        <v/>
      </c>
      <c r="E335" t="str">
        <f>IF(Registro_Compras!$R335&lt;&gt;"SI","",Registro_Compras!$G335)</f>
        <v/>
      </c>
      <c r="F335" s="31" t="str">
        <f>IF(Registro_Compras!$R335&lt;&gt;"SI","",Registro_Compras!$P335)</f>
        <v/>
      </c>
      <c r="G335" s="20" t="str">
        <f>IF(Registro_Compras!$R335&lt;&gt;"SI","",Registro_Compras!$O335)</f>
        <v/>
      </c>
      <c r="H335" s="20" t="str">
        <f>IF(Registro_Compras!$R335&lt;&gt;"SI","",Registro_Compras!$S335)</f>
        <v/>
      </c>
      <c r="I335" s="25" t="str">
        <f>IF(Registro_Compras!$R335&lt;&gt;"SI","",IF(Registro_Compras!$Y335="",WORKDAY(EOMONTH(Registro_Compras!$B335,0),5,Feriados),MIN(Registro_Compras!$Y335,WORKDAY(EOMONTH(Registro_Compras!$B335,0),5,Feriados))))</f>
        <v/>
      </c>
      <c r="J335" s="25" t="str">
        <f>IF(Registro_Compras!$R335&lt;&gt;"SI","",Registro_Compras!$X335)</f>
        <v/>
      </c>
      <c r="K335" t="str">
        <f>IF(Registro_Compras!$R335&lt;&gt;"SI","",IF(Registro_Compras!$X335="","PENDIENTE","DEPOSITADA"))</f>
        <v/>
      </c>
      <c r="L335" t="str">
        <f>IF(Registro_Compras!$R335&lt;&gt;"SI","",Registro_Compras!$Z335)</f>
        <v/>
      </c>
      <c r="M335" t="str">
        <f t="shared" ca="1" si="10"/>
        <v/>
      </c>
      <c r="N335" t="str">
        <f t="shared" ca="1" si="11"/>
        <v/>
      </c>
    </row>
    <row r="336" spans="1:14" x14ac:dyDescent="0.25">
      <c r="A336" s="25" t="str">
        <f>IF(Registro_Compras!$R336&lt;&gt;"SI","",Registro_Compras!$B336)</f>
        <v/>
      </c>
      <c r="B336" t="str">
        <f>IF(Registro_Compras!$R336&lt;&gt;"SI","",Registro_Compras!$C336)</f>
        <v/>
      </c>
      <c r="C336" t="str">
        <f>IF(Registro_Compras!$R336&lt;&gt;"SI","",Registro_Compras!$D336)</f>
        <v/>
      </c>
      <c r="D336" t="str">
        <f>IF(Registro_Compras!$R336&lt;&gt;"SI","",Registro_Compras!$E336)</f>
        <v/>
      </c>
      <c r="E336" t="str">
        <f>IF(Registro_Compras!$R336&lt;&gt;"SI","",Registro_Compras!$G336)</f>
        <v/>
      </c>
      <c r="F336" s="31" t="str">
        <f>IF(Registro_Compras!$R336&lt;&gt;"SI","",Registro_Compras!$P336)</f>
        <v/>
      </c>
      <c r="G336" s="20" t="str">
        <f>IF(Registro_Compras!$R336&lt;&gt;"SI","",Registro_Compras!$O336)</f>
        <v/>
      </c>
      <c r="H336" s="20" t="str">
        <f>IF(Registro_Compras!$R336&lt;&gt;"SI","",Registro_Compras!$S336)</f>
        <v/>
      </c>
      <c r="I336" s="25" t="str">
        <f>IF(Registro_Compras!$R336&lt;&gt;"SI","",IF(Registro_Compras!$Y336="",WORKDAY(EOMONTH(Registro_Compras!$B336,0),5,Feriados),MIN(Registro_Compras!$Y336,WORKDAY(EOMONTH(Registro_Compras!$B336,0),5,Feriados))))</f>
        <v/>
      </c>
      <c r="J336" s="25" t="str">
        <f>IF(Registro_Compras!$R336&lt;&gt;"SI","",Registro_Compras!$X336)</f>
        <v/>
      </c>
      <c r="K336" t="str">
        <f>IF(Registro_Compras!$R336&lt;&gt;"SI","",IF(Registro_Compras!$X336="","PENDIENTE","DEPOSITADA"))</f>
        <v/>
      </c>
      <c r="L336" t="str">
        <f>IF(Registro_Compras!$R336&lt;&gt;"SI","",Registro_Compras!$Z336)</f>
        <v/>
      </c>
      <c r="M336" t="str">
        <f t="shared" ca="1" si="10"/>
        <v/>
      </c>
      <c r="N336" t="str">
        <f t="shared" ca="1" si="11"/>
        <v/>
      </c>
    </row>
    <row r="337" spans="1:14" x14ac:dyDescent="0.25">
      <c r="A337" s="25" t="str">
        <f>IF(Registro_Compras!$R337&lt;&gt;"SI","",Registro_Compras!$B337)</f>
        <v/>
      </c>
      <c r="B337" t="str">
        <f>IF(Registro_Compras!$R337&lt;&gt;"SI","",Registro_Compras!$C337)</f>
        <v/>
      </c>
      <c r="C337" t="str">
        <f>IF(Registro_Compras!$R337&lt;&gt;"SI","",Registro_Compras!$D337)</f>
        <v/>
      </c>
      <c r="D337" t="str">
        <f>IF(Registro_Compras!$R337&lt;&gt;"SI","",Registro_Compras!$E337)</f>
        <v/>
      </c>
      <c r="E337" t="str">
        <f>IF(Registro_Compras!$R337&lt;&gt;"SI","",Registro_Compras!$G337)</f>
        <v/>
      </c>
      <c r="F337" s="31" t="str">
        <f>IF(Registro_Compras!$R337&lt;&gt;"SI","",Registro_Compras!$P337)</f>
        <v/>
      </c>
      <c r="G337" s="20" t="str">
        <f>IF(Registro_Compras!$R337&lt;&gt;"SI","",Registro_Compras!$O337)</f>
        <v/>
      </c>
      <c r="H337" s="20" t="str">
        <f>IF(Registro_Compras!$R337&lt;&gt;"SI","",Registro_Compras!$S337)</f>
        <v/>
      </c>
      <c r="I337" s="25" t="str">
        <f>IF(Registro_Compras!$R337&lt;&gt;"SI","",IF(Registro_Compras!$Y337="",WORKDAY(EOMONTH(Registro_Compras!$B337,0),5,Feriados),MIN(Registro_Compras!$Y337,WORKDAY(EOMONTH(Registro_Compras!$B337,0),5,Feriados))))</f>
        <v/>
      </c>
      <c r="J337" s="25" t="str">
        <f>IF(Registro_Compras!$R337&lt;&gt;"SI","",Registro_Compras!$X337)</f>
        <v/>
      </c>
      <c r="K337" t="str">
        <f>IF(Registro_Compras!$R337&lt;&gt;"SI","",IF(Registro_Compras!$X337="","PENDIENTE","DEPOSITADA"))</f>
        <v/>
      </c>
      <c r="L337" t="str">
        <f>IF(Registro_Compras!$R337&lt;&gt;"SI","",Registro_Compras!$Z337)</f>
        <v/>
      </c>
      <c r="M337" t="str">
        <f t="shared" ca="1" si="10"/>
        <v/>
      </c>
      <c r="N337" t="str">
        <f t="shared" ca="1" si="11"/>
        <v/>
      </c>
    </row>
    <row r="338" spans="1:14" x14ac:dyDescent="0.25">
      <c r="A338" s="25" t="str">
        <f>IF(Registro_Compras!$R338&lt;&gt;"SI","",Registro_Compras!$B338)</f>
        <v/>
      </c>
      <c r="B338" t="str">
        <f>IF(Registro_Compras!$R338&lt;&gt;"SI","",Registro_Compras!$C338)</f>
        <v/>
      </c>
      <c r="C338" t="str">
        <f>IF(Registro_Compras!$R338&lt;&gt;"SI","",Registro_Compras!$D338)</f>
        <v/>
      </c>
      <c r="D338" t="str">
        <f>IF(Registro_Compras!$R338&lt;&gt;"SI","",Registro_Compras!$E338)</f>
        <v/>
      </c>
      <c r="E338" t="str">
        <f>IF(Registro_Compras!$R338&lt;&gt;"SI","",Registro_Compras!$G338)</f>
        <v/>
      </c>
      <c r="F338" s="31" t="str">
        <f>IF(Registro_Compras!$R338&lt;&gt;"SI","",Registro_Compras!$P338)</f>
        <v/>
      </c>
      <c r="G338" s="20" t="str">
        <f>IF(Registro_Compras!$R338&lt;&gt;"SI","",Registro_Compras!$O338)</f>
        <v/>
      </c>
      <c r="H338" s="20" t="str">
        <f>IF(Registro_Compras!$R338&lt;&gt;"SI","",Registro_Compras!$S338)</f>
        <v/>
      </c>
      <c r="I338" s="25" t="str">
        <f>IF(Registro_Compras!$R338&lt;&gt;"SI","",IF(Registro_Compras!$Y338="",WORKDAY(EOMONTH(Registro_Compras!$B338,0),5,Feriados),MIN(Registro_Compras!$Y338,WORKDAY(EOMONTH(Registro_Compras!$B338,0),5,Feriados))))</f>
        <v/>
      </c>
      <c r="J338" s="25" t="str">
        <f>IF(Registro_Compras!$R338&lt;&gt;"SI","",Registro_Compras!$X338)</f>
        <v/>
      </c>
      <c r="K338" t="str">
        <f>IF(Registro_Compras!$R338&lt;&gt;"SI","",IF(Registro_Compras!$X338="","PENDIENTE","DEPOSITADA"))</f>
        <v/>
      </c>
      <c r="L338" t="str">
        <f>IF(Registro_Compras!$R338&lt;&gt;"SI","",Registro_Compras!$Z338)</f>
        <v/>
      </c>
      <c r="M338" t="str">
        <f t="shared" ca="1" si="10"/>
        <v/>
      </c>
      <c r="N338" t="str">
        <f t="shared" ca="1" si="11"/>
        <v/>
      </c>
    </row>
    <row r="339" spans="1:14" x14ac:dyDescent="0.25">
      <c r="A339" s="25" t="str">
        <f>IF(Registro_Compras!$R339&lt;&gt;"SI","",Registro_Compras!$B339)</f>
        <v/>
      </c>
      <c r="B339" t="str">
        <f>IF(Registro_Compras!$R339&lt;&gt;"SI","",Registro_Compras!$C339)</f>
        <v/>
      </c>
      <c r="C339" t="str">
        <f>IF(Registro_Compras!$R339&lt;&gt;"SI","",Registro_Compras!$D339)</f>
        <v/>
      </c>
      <c r="D339" t="str">
        <f>IF(Registro_Compras!$R339&lt;&gt;"SI","",Registro_Compras!$E339)</f>
        <v/>
      </c>
      <c r="E339" t="str">
        <f>IF(Registro_Compras!$R339&lt;&gt;"SI","",Registro_Compras!$G339)</f>
        <v/>
      </c>
      <c r="F339" s="31" t="str">
        <f>IF(Registro_Compras!$R339&lt;&gt;"SI","",Registro_Compras!$P339)</f>
        <v/>
      </c>
      <c r="G339" s="20" t="str">
        <f>IF(Registro_Compras!$R339&lt;&gt;"SI","",Registro_Compras!$O339)</f>
        <v/>
      </c>
      <c r="H339" s="20" t="str">
        <f>IF(Registro_Compras!$R339&lt;&gt;"SI","",Registro_Compras!$S339)</f>
        <v/>
      </c>
      <c r="I339" s="25" t="str">
        <f>IF(Registro_Compras!$R339&lt;&gt;"SI","",IF(Registro_Compras!$Y339="",WORKDAY(EOMONTH(Registro_Compras!$B339,0),5,Feriados),MIN(Registro_Compras!$Y339,WORKDAY(EOMONTH(Registro_Compras!$B339,0),5,Feriados))))</f>
        <v/>
      </c>
      <c r="J339" s="25" t="str">
        <f>IF(Registro_Compras!$R339&lt;&gt;"SI","",Registro_Compras!$X339)</f>
        <v/>
      </c>
      <c r="K339" t="str">
        <f>IF(Registro_Compras!$R339&lt;&gt;"SI","",IF(Registro_Compras!$X339="","PENDIENTE","DEPOSITADA"))</f>
        <v/>
      </c>
      <c r="L339" t="str">
        <f>IF(Registro_Compras!$R339&lt;&gt;"SI","",Registro_Compras!$Z339)</f>
        <v/>
      </c>
      <c r="M339" t="str">
        <f t="shared" ca="1" si="10"/>
        <v/>
      </c>
      <c r="N339" t="str">
        <f t="shared" ca="1" si="11"/>
        <v/>
      </c>
    </row>
    <row r="340" spans="1:14" x14ac:dyDescent="0.25">
      <c r="A340" s="25" t="str">
        <f>IF(Registro_Compras!$R340&lt;&gt;"SI","",Registro_Compras!$B340)</f>
        <v/>
      </c>
      <c r="B340" t="str">
        <f>IF(Registro_Compras!$R340&lt;&gt;"SI","",Registro_Compras!$C340)</f>
        <v/>
      </c>
      <c r="C340" t="str">
        <f>IF(Registro_Compras!$R340&lt;&gt;"SI","",Registro_Compras!$D340)</f>
        <v/>
      </c>
      <c r="D340" t="str">
        <f>IF(Registro_Compras!$R340&lt;&gt;"SI","",Registro_Compras!$E340)</f>
        <v/>
      </c>
      <c r="E340" t="str">
        <f>IF(Registro_Compras!$R340&lt;&gt;"SI","",Registro_Compras!$G340)</f>
        <v/>
      </c>
      <c r="F340" s="31" t="str">
        <f>IF(Registro_Compras!$R340&lt;&gt;"SI","",Registro_Compras!$P340)</f>
        <v/>
      </c>
      <c r="G340" s="20" t="str">
        <f>IF(Registro_Compras!$R340&lt;&gt;"SI","",Registro_Compras!$O340)</f>
        <v/>
      </c>
      <c r="H340" s="20" t="str">
        <f>IF(Registro_Compras!$R340&lt;&gt;"SI","",Registro_Compras!$S340)</f>
        <v/>
      </c>
      <c r="I340" s="25" t="str">
        <f>IF(Registro_Compras!$R340&lt;&gt;"SI","",IF(Registro_Compras!$Y340="",WORKDAY(EOMONTH(Registro_Compras!$B340,0),5,Feriados),MIN(Registro_Compras!$Y340,WORKDAY(EOMONTH(Registro_Compras!$B340,0),5,Feriados))))</f>
        <v/>
      </c>
      <c r="J340" s="25" t="str">
        <f>IF(Registro_Compras!$R340&lt;&gt;"SI","",Registro_Compras!$X340)</f>
        <v/>
      </c>
      <c r="K340" t="str">
        <f>IF(Registro_Compras!$R340&lt;&gt;"SI","",IF(Registro_Compras!$X340="","PENDIENTE","DEPOSITADA"))</f>
        <v/>
      </c>
      <c r="L340" t="str">
        <f>IF(Registro_Compras!$R340&lt;&gt;"SI","",Registro_Compras!$Z340)</f>
        <v/>
      </c>
      <c r="M340" t="str">
        <f t="shared" ca="1" si="10"/>
        <v/>
      </c>
      <c r="N340" t="str">
        <f t="shared" ca="1" si="11"/>
        <v/>
      </c>
    </row>
    <row r="341" spans="1:14" x14ac:dyDescent="0.25">
      <c r="A341" s="25" t="str">
        <f>IF(Registro_Compras!$R341&lt;&gt;"SI","",Registro_Compras!$B341)</f>
        <v/>
      </c>
      <c r="B341" t="str">
        <f>IF(Registro_Compras!$R341&lt;&gt;"SI","",Registro_Compras!$C341)</f>
        <v/>
      </c>
      <c r="C341" t="str">
        <f>IF(Registro_Compras!$R341&lt;&gt;"SI","",Registro_Compras!$D341)</f>
        <v/>
      </c>
      <c r="D341" t="str">
        <f>IF(Registro_Compras!$R341&lt;&gt;"SI","",Registro_Compras!$E341)</f>
        <v/>
      </c>
      <c r="E341" t="str">
        <f>IF(Registro_Compras!$R341&lt;&gt;"SI","",Registro_Compras!$G341)</f>
        <v/>
      </c>
      <c r="F341" s="31" t="str">
        <f>IF(Registro_Compras!$R341&lt;&gt;"SI","",Registro_Compras!$P341)</f>
        <v/>
      </c>
      <c r="G341" s="20" t="str">
        <f>IF(Registro_Compras!$R341&lt;&gt;"SI","",Registro_Compras!$O341)</f>
        <v/>
      </c>
      <c r="H341" s="20" t="str">
        <f>IF(Registro_Compras!$R341&lt;&gt;"SI","",Registro_Compras!$S341)</f>
        <v/>
      </c>
      <c r="I341" s="25" t="str">
        <f>IF(Registro_Compras!$R341&lt;&gt;"SI","",IF(Registro_Compras!$Y341="",WORKDAY(EOMONTH(Registro_Compras!$B341,0),5,Feriados),MIN(Registro_Compras!$Y341,WORKDAY(EOMONTH(Registro_Compras!$B341,0),5,Feriados))))</f>
        <v/>
      </c>
      <c r="J341" s="25" t="str">
        <f>IF(Registro_Compras!$R341&lt;&gt;"SI","",Registro_Compras!$X341)</f>
        <v/>
      </c>
      <c r="K341" t="str">
        <f>IF(Registro_Compras!$R341&lt;&gt;"SI","",IF(Registro_Compras!$X341="","PENDIENTE","DEPOSITADA"))</f>
        <v/>
      </c>
      <c r="L341" t="str">
        <f>IF(Registro_Compras!$R341&lt;&gt;"SI","",Registro_Compras!$Z341)</f>
        <v/>
      </c>
      <c r="M341" t="str">
        <f t="shared" ca="1" si="10"/>
        <v/>
      </c>
      <c r="N341" t="str">
        <f t="shared" ca="1" si="11"/>
        <v/>
      </c>
    </row>
    <row r="342" spans="1:14" x14ac:dyDescent="0.25">
      <c r="A342" s="25" t="str">
        <f>IF(Registro_Compras!$R342&lt;&gt;"SI","",Registro_Compras!$B342)</f>
        <v/>
      </c>
      <c r="B342" t="str">
        <f>IF(Registro_Compras!$R342&lt;&gt;"SI","",Registro_Compras!$C342)</f>
        <v/>
      </c>
      <c r="C342" t="str">
        <f>IF(Registro_Compras!$R342&lt;&gt;"SI","",Registro_Compras!$D342)</f>
        <v/>
      </c>
      <c r="D342" t="str">
        <f>IF(Registro_Compras!$R342&lt;&gt;"SI","",Registro_Compras!$E342)</f>
        <v/>
      </c>
      <c r="E342" t="str">
        <f>IF(Registro_Compras!$R342&lt;&gt;"SI","",Registro_Compras!$G342)</f>
        <v/>
      </c>
      <c r="F342" s="31" t="str">
        <f>IF(Registro_Compras!$R342&lt;&gt;"SI","",Registro_Compras!$P342)</f>
        <v/>
      </c>
      <c r="G342" s="20" t="str">
        <f>IF(Registro_Compras!$R342&lt;&gt;"SI","",Registro_Compras!$O342)</f>
        <v/>
      </c>
      <c r="H342" s="20" t="str">
        <f>IF(Registro_Compras!$R342&lt;&gt;"SI","",Registro_Compras!$S342)</f>
        <v/>
      </c>
      <c r="I342" s="25" t="str">
        <f>IF(Registro_Compras!$R342&lt;&gt;"SI","",IF(Registro_Compras!$Y342="",WORKDAY(EOMONTH(Registro_Compras!$B342,0),5,Feriados),MIN(Registro_Compras!$Y342,WORKDAY(EOMONTH(Registro_Compras!$B342,0),5,Feriados))))</f>
        <v/>
      </c>
      <c r="J342" s="25" t="str">
        <f>IF(Registro_Compras!$R342&lt;&gt;"SI","",Registro_Compras!$X342)</f>
        <v/>
      </c>
      <c r="K342" t="str">
        <f>IF(Registro_Compras!$R342&lt;&gt;"SI","",IF(Registro_Compras!$X342="","PENDIENTE","DEPOSITADA"))</f>
        <v/>
      </c>
      <c r="L342" t="str">
        <f>IF(Registro_Compras!$R342&lt;&gt;"SI","",Registro_Compras!$Z342)</f>
        <v/>
      </c>
      <c r="M342" t="str">
        <f t="shared" ca="1" si="10"/>
        <v/>
      </c>
      <c r="N342" t="str">
        <f t="shared" ca="1" si="11"/>
        <v/>
      </c>
    </row>
    <row r="343" spans="1:14" x14ac:dyDescent="0.25">
      <c r="A343" s="25" t="str">
        <f>IF(Registro_Compras!$R343&lt;&gt;"SI","",Registro_Compras!$B343)</f>
        <v/>
      </c>
      <c r="B343" t="str">
        <f>IF(Registro_Compras!$R343&lt;&gt;"SI","",Registro_Compras!$C343)</f>
        <v/>
      </c>
      <c r="C343" t="str">
        <f>IF(Registro_Compras!$R343&lt;&gt;"SI","",Registro_Compras!$D343)</f>
        <v/>
      </c>
      <c r="D343" t="str">
        <f>IF(Registro_Compras!$R343&lt;&gt;"SI","",Registro_Compras!$E343)</f>
        <v/>
      </c>
      <c r="E343" t="str">
        <f>IF(Registro_Compras!$R343&lt;&gt;"SI","",Registro_Compras!$G343)</f>
        <v/>
      </c>
      <c r="F343" s="31" t="str">
        <f>IF(Registro_Compras!$R343&lt;&gt;"SI","",Registro_Compras!$P343)</f>
        <v/>
      </c>
      <c r="G343" s="20" t="str">
        <f>IF(Registro_Compras!$R343&lt;&gt;"SI","",Registro_Compras!$O343)</f>
        <v/>
      </c>
      <c r="H343" s="20" t="str">
        <f>IF(Registro_Compras!$R343&lt;&gt;"SI","",Registro_Compras!$S343)</f>
        <v/>
      </c>
      <c r="I343" s="25" t="str">
        <f>IF(Registro_Compras!$R343&lt;&gt;"SI","",IF(Registro_Compras!$Y343="",WORKDAY(EOMONTH(Registro_Compras!$B343,0),5,Feriados),MIN(Registro_Compras!$Y343,WORKDAY(EOMONTH(Registro_Compras!$B343,0),5,Feriados))))</f>
        <v/>
      </c>
      <c r="J343" s="25" t="str">
        <f>IF(Registro_Compras!$R343&lt;&gt;"SI","",Registro_Compras!$X343)</f>
        <v/>
      </c>
      <c r="K343" t="str">
        <f>IF(Registro_Compras!$R343&lt;&gt;"SI","",IF(Registro_Compras!$X343="","PENDIENTE","DEPOSITADA"))</f>
        <v/>
      </c>
      <c r="L343" t="str">
        <f>IF(Registro_Compras!$R343&lt;&gt;"SI","",Registro_Compras!$Z343)</f>
        <v/>
      </c>
      <c r="M343" t="str">
        <f t="shared" ca="1" si="10"/>
        <v/>
      </c>
      <c r="N343" t="str">
        <f t="shared" ca="1" si="11"/>
        <v/>
      </c>
    </row>
    <row r="344" spans="1:14" x14ac:dyDescent="0.25">
      <c r="A344" s="25" t="str">
        <f>IF(Registro_Compras!$R344&lt;&gt;"SI","",Registro_Compras!$B344)</f>
        <v/>
      </c>
      <c r="B344" t="str">
        <f>IF(Registro_Compras!$R344&lt;&gt;"SI","",Registro_Compras!$C344)</f>
        <v/>
      </c>
      <c r="C344" t="str">
        <f>IF(Registro_Compras!$R344&lt;&gt;"SI","",Registro_Compras!$D344)</f>
        <v/>
      </c>
      <c r="D344" t="str">
        <f>IF(Registro_Compras!$R344&lt;&gt;"SI","",Registro_Compras!$E344)</f>
        <v/>
      </c>
      <c r="E344" t="str">
        <f>IF(Registro_Compras!$R344&lt;&gt;"SI","",Registro_Compras!$G344)</f>
        <v/>
      </c>
      <c r="F344" s="31" t="str">
        <f>IF(Registro_Compras!$R344&lt;&gt;"SI","",Registro_Compras!$P344)</f>
        <v/>
      </c>
      <c r="G344" s="20" t="str">
        <f>IF(Registro_Compras!$R344&lt;&gt;"SI","",Registro_Compras!$O344)</f>
        <v/>
      </c>
      <c r="H344" s="20" t="str">
        <f>IF(Registro_Compras!$R344&lt;&gt;"SI","",Registro_Compras!$S344)</f>
        <v/>
      </c>
      <c r="I344" s="25" t="str">
        <f>IF(Registro_Compras!$R344&lt;&gt;"SI","",IF(Registro_Compras!$Y344="",WORKDAY(EOMONTH(Registro_Compras!$B344,0),5,Feriados),MIN(Registro_Compras!$Y344,WORKDAY(EOMONTH(Registro_Compras!$B344,0),5,Feriados))))</f>
        <v/>
      </c>
      <c r="J344" s="25" t="str">
        <f>IF(Registro_Compras!$R344&lt;&gt;"SI","",Registro_Compras!$X344)</f>
        <v/>
      </c>
      <c r="K344" t="str">
        <f>IF(Registro_Compras!$R344&lt;&gt;"SI","",IF(Registro_Compras!$X344="","PENDIENTE","DEPOSITADA"))</f>
        <v/>
      </c>
      <c r="L344" t="str">
        <f>IF(Registro_Compras!$R344&lt;&gt;"SI","",Registro_Compras!$Z344)</f>
        <v/>
      </c>
      <c r="M344" t="str">
        <f t="shared" ca="1" si="10"/>
        <v/>
      </c>
      <c r="N344" t="str">
        <f t="shared" ca="1" si="11"/>
        <v/>
      </c>
    </row>
    <row r="345" spans="1:14" x14ac:dyDescent="0.25">
      <c r="A345" s="25" t="str">
        <f>IF(Registro_Compras!$R345&lt;&gt;"SI","",Registro_Compras!$B345)</f>
        <v/>
      </c>
      <c r="B345" t="str">
        <f>IF(Registro_Compras!$R345&lt;&gt;"SI","",Registro_Compras!$C345)</f>
        <v/>
      </c>
      <c r="C345" t="str">
        <f>IF(Registro_Compras!$R345&lt;&gt;"SI","",Registro_Compras!$D345)</f>
        <v/>
      </c>
      <c r="D345" t="str">
        <f>IF(Registro_Compras!$R345&lt;&gt;"SI","",Registro_Compras!$E345)</f>
        <v/>
      </c>
      <c r="E345" t="str">
        <f>IF(Registro_Compras!$R345&lt;&gt;"SI","",Registro_Compras!$G345)</f>
        <v/>
      </c>
      <c r="F345" s="31" t="str">
        <f>IF(Registro_Compras!$R345&lt;&gt;"SI","",Registro_Compras!$P345)</f>
        <v/>
      </c>
      <c r="G345" s="20" t="str">
        <f>IF(Registro_Compras!$R345&lt;&gt;"SI","",Registro_Compras!$O345)</f>
        <v/>
      </c>
      <c r="H345" s="20" t="str">
        <f>IF(Registro_Compras!$R345&lt;&gt;"SI","",Registro_Compras!$S345)</f>
        <v/>
      </c>
      <c r="I345" s="25" t="str">
        <f>IF(Registro_Compras!$R345&lt;&gt;"SI","",IF(Registro_Compras!$Y345="",WORKDAY(EOMONTH(Registro_Compras!$B345,0),5,Feriados),MIN(Registro_Compras!$Y345,WORKDAY(EOMONTH(Registro_Compras!$B345,0),5,Feriados))))</f>
        <v/>
      </c>
      <c r="J345" s="25" t="str">
        <f>IF(Registro_Compras!$R345&lt;&gt;"SI","",Registro_Compras!$X345)</f>
        <v/>
      </c>
      <c r="K345" t="str">
        <f>IF(Registro_Compras!$R345&lt;&gt;"SI","",IF(Registro_Compras!$X345="","PENDIENTE","DEPOSITADA"))</f>
        <v/>
      </c>
      <c r="L345" t="str">
        <f>IF(Registro_Compras!$R345&lt;&gt;"SI","",Registro_Compras!$Z345)</f>
        <v/>
      </c>
      <c r="M345" t="str">
        <f t="shared" ca="1" si="10"/>
        <v/>
      </c>
      <c r="N345" t="str">
        <f t="shared" ca="1" si="11"/>
        <v/>
      </c>
    </row>
    <row r="346" spans="1:14" x14ac:dyDescent="0.25">
      <c r="A346" s="25" t="str">
        <f>IF(Registro_Compras!$R346&lt;&gt;"SI","",Registro_Compras!$B346)</f>
        <v/>
      </c>
      <c r="B346" t="str">
        <f>IF(Registro_Compras!$R346&lt;&gt;"SI","",Registro_Compras!$C346)</f>
        <v/>
      </c>
      <c r="C346" t="str">
        <f>IF(Registro_Compras!$R346&lt;&gt;"SI","",Registro_Compras!$D346)</f>
        <v/>
      </c>
      <c r="D346" t="str">
        <f>IF(Registro_Compras!$R346&lt;&gt;"SI","",Registro_Compras!$E346)</f>
        <v/>
      </c>
      <c r="E346" t="str">
        <f>IF(Registro_Compras!$R346&lt;&gt;"SI","",Registro_Compras!$G346)</f>
        <v/>
      </c>
      <c r="F346" s="31" t="str">
        <f>IF(Registro_Compras!$R346&lt;&gt;"SI","",Registro_Compras!$P346)</f>
        <v/>
      </c>
      <c r="G346" s="20" t="str">
        <f>IF(Registro_Compras!$R346&lt;&gt;"SI","",Registro_Compras!$O346)</f>
        <v/>
      </c>
      <c r="H346" s="20" t="str">
        <f>IF(Registro_Compras!$R346&lt;&gt;"SI","",Registro_Compras!$S346)</f>
        <v/>
      </c>
      <c r="I346" s="25" t="str">
        <f>IF(Registro_Compras!$R346&lt;&gt;"SI","",IF(Registro_Compras!$Y346="",WORKDAY(EOMONTH(Registro_Compras!$B346,0),5,Feriados),MIN(Registro_Compras!$Y346,WORKDAY(EOMONTH(Registro_Compras!$B346,0),5,Feriados))))</f>
        <v/>
      </c>
      <c r="J346" s="25" t="str">
        <f>IF(Registro_Compras!$R346&lt;&gt;"SI","",Registro_Compras!$X346)</f>
        <v/>
      </c>
      <c r="K346" t="str">
        <f>IF(Registro_Compras!$R346&lt;&gt;"SI","",IF(Registro_Compras!$X346="","PENDIENTE","DEPOSITADA"))</f>
        <v/>
      </c>
      <c r="L346" t="str">
        <f>IF(Registro_Compras!$R346&lt;&gt;"SI","",Registro_Compras!$Z346)</f>
        <v/>
      </c>
      <c r="M346" t="str">
        <f t="shared" ca="1" si="10"/>
        <v/>
      </c>
      <c r="N346" t="str">
        <f t="shared" ca="1" si="11"/>
        <v/>
      </c>
    </row>
    <row r="347" spans="1:14" x14ac:dyDescent="0.25">
      <c r="A347" s="25" t="str">
        <f>IF(Registro_Compras!$R347&lt;&gt;"SI","",Registro_Compras!$B347)</f>
        <v/>
      </c>
      <c r="B347" t="str">
        <f>IF(Registro_Compras!$R347&lt;&gt;"SI","",Registro_Compras!$C347)</f>
        <v/>
      </c>
      <c r="C347" t="str">
        <f>IF(Registro_Compras!$R347&lt;&gt;"SI","",Registro_Compras!$D347)</f>
        <v/>
      </c>
      <c r="D347" t="str">
        <f>IF(Registro_Compras!$R347&lt;&gt;"SI","",Registro_Compras!$E347)</f>
        <v/>
      </c>
      <c r="E347" t="str">
        <f>IF(Registro_Compras!$R347&lt;&gt;"SI","",Registro_Compras!$G347)</f>
        <v/>
      </c>
      <c r="F347" s="31" t="str">
        <f>IF(Registro_Compras!$R347&lt;&gt;"SI","",Registro_Compras!$P347)</f>
        <v/>
      </c>
      <c r="G347" s="20" t="str">
        <f>IF(Registro_Compras!$R347&lt;&gt;"SI","",Registro_Compras!$O347)</f>
        <v/>
      </c>
      <c r="H347" s="20" t="str">
        <f>IF(Registro_Compras!$R347&lt;&gt;"SI","",Registro_Compras!$S347)</f>
        <v/>
      </c>
      <c r="I347" s="25" t="str">
        <f>IF(Registro_Compras!$R347&lt;&gt;"SI","",IF(Registro_Compras!$Y347="",WORKDAY(EOMONTH(Registro_Compras!$B347,0),5,Feriados),MIN(Registro_Compras!$Y347,WORKDAY(EOMONTH(Registro_Compras!$B347,0),5,Feriados))))</f>
        <v/>
      </c>
      <c r="J347" s="25" t="str">
        <f>IF(Registro_Compras!$R347&lt;&gt;"SI","",Registro_Compras!$X347)</f>
        <v/>
      </c>
      <c r="K347" t="str">
        <f>IF(Registro_Compras!$R347&lt;&gt;"SI","",IF(Registro_Compras!$X347="","PENDIENTE","DEPOSITADA"))</f>
        <v/>
      </c>
      <c r="L347" t="str">
        <f>IF(Registro_Compras!$R347&lt;&gt;"SI","",Registro_Compras!$Z347)</f>
        <v/>
      </c>
      <c r="M347" t="str">
        <f t="shared" ca="1" si="10"/>
        <v/>
      </c>
      <c r="N347" t="str">
        <f t="shared" ca="1" si="11"/>
        <v/>
      </c>
    </row>
    <row r="348" spans="1:14" x14ac:dyDescent="0.25">
      <c r="A348" s="25" t="str">
        <f>IF(Registro_Compras!$R348&lt;&gt;"SI","",Registro_Compras!$B348)</f>
        <v/>
      </c>
      <c r="B348" t="str">
        <f>IF(Registro_Compras!$R348&lt;&gt;"SI","",Registro_Compras!$C348)</f>
        <v/>
      </c>
      <c r="C348" t="str">
        <f>IF(Registro_Compras!$R348&lt;&gt;"SI","",Registro_Compras!$D348)</f>
        <v/>
      </c>
      <c r="D348" t="str">
        <f>IF(Registro_Compras!$R348&lt;&gt;"SI","",Registro_Compras!$E348)</f>
        <v/>
      </c>
      <c r="E348" t="str">
        <f>IF(Registro_Compras!$R348&lt;&gt;"SI","",Registro_Compras!$G348)</f>
        <v/>
      </c>
      <c r="F348" s="31" t="str">
        <f>IF(Registro_Compras!$R348&lt;&gt;"SI","",Registro_Compras!$P348)</f>
        <v/>
      </c>
      <c r="G348" s="20" t="str">
        <f>IF(Registro_Compras!$R348&lt;&gt;"SI","",Registro_Compras!$O348)</f>
        <v/>
      </c>
      <c r="H348" s="20" t="str">
        <f>IF(Registro_Compras!$R348&lt;&gt;"SI","",Registro_Compras!$S348)</f>
        <v/>
      </c>
      <c r="I348" s="25" t="str">
        <f>IF(Registro_Compras!$R348&lt;&gt;"SI","",IF(Registro_Compras!$Y348="",WORKDAY(EOMONTH(Registro_Compras!$B348,0),5,Feriados),MIN(Registro_Compras!$Y348,WORKDAY(EOMONTH(Registro_Compras!$B348,0),5,Feriados))))</f>
        <v/>
      </c>
      <c r="J348" s="25" t="str">
        <f>IF(Registro_Compras!$R348&lt;&gt;"SI","",Registro_Compras!$X348)</f>
        <v/>
      </c>
      <c r="K348" t="str">
        <f>IF(Registro_Compras!$R348&lt;&gt;"SI","",IF(Registro_Compras!$X348="","PENDIENTE","DEPOSITADA"))</f>
        <v/>
      </c>
      <c r="L348" t="str">
        <f>IF(Registro_Compras!$R348&lt;&gt;"SI","",Registro_Compras!$Z348)</f>
        <v/>
      </c>
      <c r="M348" t="str">
        <f t="shared" ca="1" si="10"/>
        <v/>
      </c>
      <c r="N348" t="str">
        <f t="shared" ca="1" si="11"/>
        <v/>
      </c>
    </row>
    <row r="349" spans="1:14" x14ac:dyDescent="0.25">
      <c r="A349" s="25" t="str">
        <f>IF(Registro_Compras!$R349&lt;&gt;"SI","",Registro_Compras!$B349)</f>
        <v/>
      </c>
      <c r="B349" t="str">
        <f>IF(Registro_Compras!$R349&lt;&gt;"SI","",Registro_Compras!$C349)</f>
        <v/>
      </c>
      <c r="C349" t="str">
        <f>IF(Registro_Compras!$R349&lt;&gt;"SI","",Registro_Compras!$D349)</f>
        <v/>
      </c>
      <c r="D349" t="str">
        <f>IF(Registro_Compras!$R349&lt;&gt;"SI","",Registro_Compras!$E349)</f>
        <v/>
      </c>
      <c r="E349" t="str">
        <f>IF(Registro_Compras!$R349&lt;&gt;"SI","",Registro_Compras!$G349)</f>
        <v/>
      </c>
      <c r="F349" s="31" t="str">
        <f>IF(Registro_Compras!$R349&lt;&gt;"SI","",Registro_Compras!$P349)</f>
        <v/>
      </c>
      <c r="G349" s="20" t="str">
        <f>IF(Registro_Compras!$R349&lt;&gt;"SI","",Registro_Compras!$O349)</f>
        <v/>
      </c>
      <c r="H349" s="20" t="str">
        <f>IF(Registro_Compras!$R349&lt;&gt;"SI","",Registro_Compras!$S349)</f>
        <v/>
      </c>
      <c r="I349" s="25" t="str">
        <f>IF(Registro_Compras!$R349&lt;&gt;"SI","",IF(Registro_Compras!$Y349="",WORKDAY(EOMONTH(Registro_Compras!$B349,0),5,Feriados),MIN(Registro_Compras!$Y349,WORKDAY(EOMONTH(Registro_Compras!$B349,0),5,Feriados))))</f>
        <v/>
      </c>
      <c r="J349" s="25" t="str">
        <f>IF(Registro_Compras!$R349&lt;&gt;"SI","",Registro_Compras!$X349)</f>
        <v/>
      </c>
      <c r="K349" t="str">
        <f>IF(Registro_Compras!$R349&lt;&gt;"SI","",IF(Registro_Compras!$X349="","PENDIENTE","DEPOSITADA"))</f>
        <v/>
      </c>
      <c r="L349" t="str">
        <f>IF(Registro_Compras!$R349&lt;&gt;"SI","",Registro_Compras!$Z349)</f>
        <v/>
      </c>
      <c r="M349" t="str">
        <f t="shared" ca="1" si="10"/>
        <v/>
      </c>
      <c r="N349" t="str">
        <f t="shared" ca="1" si="11"/>
        <v/>
      </c>
    </row>
    <row r="350" spans="1:14" x14ac:dyDescent="0.25">
      <c r="A350" s="25" t="str">
        <f>IF(Registro_Compras!$R350&lt;&gt;"SI","",Registro_Compras!$B350)</f>
        <v/>
      </c>
      <c r="B350" t="str">
        <f>IF(Registro_Compras!$R350&lt;&gt;"SI","",Registro_Compras!$C350)</f>
        <v/>
      </c>
      <c r="C350" t="str">
        <f>IF(Registro_Compras!$R350&lt;&gt;"SI","",Registro_Compras!$D350)</f>
        <v/>
      </c>
      <c r="D350" t="str">
        <f>IF(Registro_Compras!$R350&lt;&gt;"SI","",Registro_Compras!$E350)</f>
        <v/>
      </c>
      <c r="E350" t="str">
        <f>IF(Registro_Compras!$R350&lt;&gt;"SI","",Registro_Compras!$G350)</f>
        <v/>
      </c>
      <c r="F350" s="31" t="str">
        <f>IF(Registro_Compras!$R350&lt;&gt;"SI","",Registro_Compras!$P350)</f>
        <v/>
      </c>
      <c r="G350" s="20" t="str">
        <f>IF(Registro_Compras!$R350&lt;&gt;"SI","",Registro_Compras!$O350)</f>
        <v/>
      </c>
      <c r="H350" s="20" t="str">
        <f>IF(Registro_Compras!$R350&lt;&gt;"SI","",Registro_Compras!$S350)</f>
        <v/>
      </c>
      <c r="I350" s="25" t="str">
        <f>IF(Registro_Compras!$R350&lt;&gt;"SI","",IF(Registro_Compras!$Y350="",WORKDAY(EOMONTH(Registro_Compras!$B350,0),5,Feriados),MIN(Registro_Compras!$Y350,WORKDAY(EOMONTH(Registro_Compras!$B350,0),5,Feriados))))</f>
        <v/>
      </c>
      <c r="J350" s="25" t="str">
        <f>IF(Registro_Compras!$R350&lt;&gt;"SI","",Registro_Compras!$X350)</f>
        <v/>
      </c>
      <c r="K350" t="str">
        <f>IF(Registro_Compras!$R350&lt;&gt;"SI","",IF(Registro_Compras!$X350="","PENDIENTE","DEPOSITADA"))</f>
        <v/>
      </c>
      <c r="L350" t="str">
        <f>IF(Registro_Compras!$R350&lt;&gt;"SI","",Registro_Compras!$Z350)</f>
        <v/>
      </c>
      <c r="M350" t="str">
        <f t="shared" ca="1" si="10"/>
        <v/>
      </c>
      <c r="N350" t="str">
        <f t="shared" ca="1" si="11"/>
        <v/>
      </c>
    </row>
    <row r="351" spans="1:14" x14ac:dyDescent="0.25">
      <c r="A351" s="25" t="str">
        <f>IF(Registro_Compras!$R351&lt;&gt;"SI","",Registro_Compras!$B351)</f>
        <v/>
      </c>
      <c r="B351" t="str">
        <f>IF(Registro_Compras!$R351&lt;&gt;"SI","",Registro_Compras!$C351)</f>
        <v/>
      </c>
      <c r="C351" t="str">
        <f>IF(Registro_Compras!$R351&lt;&gt;"SI","",Registro_Compras!$D351)</f>
        <v/>
      </c>
      <c r="D351" t="str">
        <f>IF(Registro_Compras!$R351&lt;&gt;"SI","",Registro_Compras!$E351)</f>
        <v/>
      </c>
      <c r="E351" t="str">
        <f>IF(Registro_Compras!$R351&lt;&gt;"SI","",Registro_Compras!$G351)</f>
        <v/>
      </c>
      <c r="F351" s="31" t="str">
        <f>IF(Registro_Compras!$R351&lt;&gt;"SI","",Registro_Compras!$P351)</f>
        <v/>
      </c>
      <c r="G351" s="20" t="str">
        <f>IF(Registro_Compras!$R351&lt;&gt;"SI","",Registro_Compras!$O351)</f>
        <v/>
      </c>
      <c r="H351" s="20" t="str">
        <f>IF(Registro_Compras!$R351&lt;&gt;"SI","",Registro_Compras!$S351)</f>
        <v/>
      </c>
      <c r="I351" s="25" t="str">
        <f>IF(Registro_Compras!$R351&lt;&gt;"SI","",IF(Registro_Compras!$Y351="",WORKDAY(EOMONTH(Registro_Compras!$B351,0),5,Feriados),MIN(Registro_Compras!$Y351,WORKDAY(EOMONTH(Registro_Compras!$B351,0),5,Feriados))))</f>
        <v/>
      </c>
      <c r="J351" s="25" t="str">
        <f>IF(Registro_Compras!$R351&lt;&gt;"SI","",Registro_Compras!$X351)</f>
        <v/>
      </c>
      <c r="K351" t="str">
        <f>IF(Registro_Compras!$R351&lt;&gt;"SI","",IF(Registro_Compras!$X351="","PENDIENTE","DEPOSITADA"))</f>
        <v/>
      </c>
      <c r="L351" t="str">
        <f>IF(Registro_Compras!$R351&lt;&gt;"SI","",Registro_Compras!$Z351)</f>
        <v/>
      </c>
      <c r="M351" t="str">
        <f t="shared" ca="1" si="10"/>
        <v/>
      </c>
      <c r="N351" t="str">
        <f t="shared" ca="1" si="11"/>
        <v/>
      </c>
    </row>
    <row r="352" spans="1:14" x14ac:dyDescent="0.25">
      <c r="A352" s="25" t="str">
        <f>IF(Registro_Compras!$R352&lt;&gt;"SI","",Registro_Compras!$B352)</f>
        <v/>
      </c>
      <c r="B352" t="str">
        <f>IF(Registro_Compras!$R352&lt;&gt;"SI","",Registro_Compras!$C352)</f>
        <v/>
      </c>
      <c r="C352" t="str">
        <f>IF(Registro_Compras!$R352&lt;&gt;"SI","",Registro_Compras!$D352)</f>
        <v/>
      </c>
      <c r="D352" t="str">
        <f>IF(Registro_Compras!$R352&lt;&gt;"SI","",Registro_Compras!$E352)</f>
        <v/>
      </c>
      <c r="E352" t="str">
        <f>IF(Registro_Compras!$R352&lt;&gt;"SI","",Registro_Compras!$G352)</f>
        <v/>
      </c>
      <c r="F352" s="31" t="str">
        <f>IF(Registro_Compras!$R352&lt;&gt;"SI","",Registro_Compras!$P352)</f>
        <v/>
      </c>
      <c r="G352" s="20" t="str">
        <f>IF(Registro_Compras!$R352&lt;&gt;"SI","",Registro_Compras!$O352)</f>
        <v/>
      </c>
      <c r="H352" s="20" t="str">
        <f>IF(Registro_Compras!$R352&lt;&gt;"SI","",Registro_Compras!$S352)</f>
        <v/>
      </c>
      <c r="I352" s="25" t="str">
        <f>IF(Registro_Compras!$R352&lt;&gt;"SI","",IF(Registro_Compras!$Y352="",WORKDAY(EOMONTH(Registro_Compras!$B352,0),5,Feriados),MIN(Registro_Compras!$Y352,WORKDAY(EOMONTH(Registro_Compras!$B352,0),5,Feriados))))</f>
        <v/>
      </c>
      <c r="J352" s="25" t="str">
        <f>IF(Registro_Compras!$R352&lt;&gt;"SI","",Registro_Compras!$X352)</f>
        <v/>
      </c>
      <c r="K352" t="str">
        <f>IF(Registro_Compras!$R352&lt;&gt;"SI","",IF(Registro_Compras!$X352="","PENDIENTE","DEPOSITADA"))</f>
        <v/>
      </c>
      <c r="L352" t="str">
        <f>IF(Registro_Compras!$R352&lt;&gt;"SI","",Registro_Compras!$Z352)</f>
        <v/>
      </c>
      <c r="M352" t="str">
        <f t="shared" ca="1" si="10"/>
        <v/>
      </c>
      <c r="N352" t="str">
        <f t="shared" ca="1" si="11"/>
        <v/>
      </c>
    </row>
    <row r="353" spans="1:14" x14ac:dyDescent="0.25">
      <c r="A353" s="25" t="str">
        <f>IF(Registro_Compras!$R353&lt;&gt;"SI","",Registro_Compras!$B353)</f>
        <v/>
      </c>
      <c r="B353" t="str">
        <f>IF(Registro_Compras!$R353&lt;&gt;"SI","",Registro_Compras!$C353)</f>
        <v/>
      </c>
      <c r="C353" t="str">
        <f>IF(Registro_Compras!$R353&lt;&gt;"SI","",Registro_Compras!$D353)</f>
        <v/>
      </c>
      <c r="D353" t="str">
        <f>IF(Registro_Compras!$R353&lt;&gt;"SI","",Registro_Compras!$E353)</f>
        <v/>
      </c>
      <c r="E353" t="str">
        <f>IF(Registro_Compras!$R353&lt;&gt;"SI","",Registro_Compras!$G353)</f>
        <v/>
      </c>
      <c r="F353" s="31" t="str">
        <f>IF(Registro_Compras!$R353&lt;&gt;"SI","",Registro_Compras!$P353)</f>
        <v/>
      </c>
      <c r="G353" s="20" t="str">
        <f>IF(Registro_Compras!$R353&lt;&gt;"SI","",Registro_Compras!$O353)</f>
        <v/>
      </c>
      <c r="H353" s="20" t="str">
        <f>IF(Registro_Compras!$R353&lt;&gt;"SI","",Registro_Compras!$S353)</f>
        <v/>
      </c>
      <c r="I353" s="25" t="str">
        <f>IF(Registro_Compras!$R353&lt;&gt;"SI","",IF(Registro_Compras!$Y353="",WORKDAY(EOMONTH(Registro_Compras!$B353,0),5,Feriados),MIN(Registro_Compras!$Y353,WORKDAY(EOMONTH(Registro_Compras!$B353,0),5,Feriados))))</f>
        <v/>
      </c>
      <c r="J353" s="25" t="str">
        <f>IF(Registro_Compras!$R353&lt;&gt;"SI","",Registro_Compras!$X353)</f>
        <v/>
      </c>
      <c r="K353" t="str">
        <f>IF(Registro_Compras!$R353&lt;&gt;"SI","",IF(Registro_Compras!$X353="","PENDIENTE","DEPOSITADA"))</f>
        <v/>
      </c>
      <c r="L353" t="str">
        <f>IF(Registro_Compras!$R353&lt;&gt;"SI","",Registro_Compras!$Z353)</f>
        <v/>
      </c>
      <c r="M353" t="str">
        <f t="shared" ca="1" si="10"/>
        <v/>
      </c>
      <c r="N353" t="str">
        <f t="shared" ca="1" si="11"/>
        <v/>
      </c>
    </row>
    <row r="354" spans="1:14" x14ac:dyDescent="0.25">
      <c r="A354" s="25" t="str">
        <f>IF(Registro_Compras!$R354&lt;&gt;"SI","",Registro_Compras!$B354)</f>
        <v/>
      </c>
      <c r="B354" t="str">
        <f>IF(Registro_Compras!$R354&lt;&gt;"SI","",Registro_Compras!$C354)</f>
        <v/>
      </c>
      <c r="C354" t="str">
        <f>IF(Registro_Compras!$R354&lt;&gt;"SI","",Registro_Compras!$D354)</f>
        <v/>
      </c>
      <c r="D354" t="str">
        <f>IF(Registro_Compras!$R354&lt;&gt;"SI","",Registro_Compras!$E354)</f>
        <v/>
      </c>
      <c r="E354" t="str">
        <f>IF(Registro_Compras!$R354&lt;&gt;"SI","",Registro_Compras!$G354)</f>
        <v/>
      </c>
      <c r="F354" s="31" t="str">
        <f>IF(Registro_Compras!$R354&lt;&gt;"SI","",Registro_Compras!$P354)</f>
        <v/>
      </c>
      <c r="G354" s="20" t="str">
        <f>IF(Registro_Compras!$R354&lt;&gt;"SI","",Registro_Compras!$O354)</f>
        <v/>
      </c>
      <c r="H354" s="20" t="str">
        <f>IF(Registro_Compras!$R354&lt;&gt;"SI","",Registro_Compras!$S354)</f>
        <v/>
      </c>
      <c r="I354" s="25" t="str">
        <f>IF(Registro_Compras!$R354&lt;&gt;"SI","",IF(Registro_Compras!$Y354="",WORKDAY(EOMONTH(Registro_Compras!$B354,0),5,Feriados),MIN(Registro_Compras!$Y354,WORKDAY(EOMONTH(Registro_Compras!$B354,0),5,Feriados))))</f>
        <v/>
      </c>
      <c r="J354" s="25" t="str">
        <f>IF(Registro_Compras!$R354&lt;&gt;"SI","",Registro_Compras!$X354)</f>
        <v/>
      </c>
      <c r="K354" t="str">
        <f>IF(Registro_Compras!$R354&lt;&gt;"SI","",IF(Registro_Compras!$X354="","PENDIENTE","DEPOSITADA"))</f>
        <v/>
      </c>
      <c r="L354" t="str">
        <f>IF(Registro_Compras!$R354&lt;&gt;"SI","",Registro_Compras!$Z354)</f>
        <v/>
      </c>
      <c r="M354" t="str">
        <f t="shared" ca="1" si="10"/>
        <v/>
      </c>
      <c r="N354" t="str">
        <f t="shared" ca="1" si="11"/>
        <v/>
      </c>
    </row>
    <row r="355" spans="1:14" x14ac:dyDescent="0.25">
      <c r="A355" s="25" t="str">
        <f>IF(Registro_Compras!$R355&lt;&gt;"SI","",Registro_Compras!$B355)</f>
        <v/>
      </c>
      <c r="B355" t="str">
        <f>IF(Registro_Compras!$R355&lt;&gt;"SI","",Registro_Compras!$C355)</f>
        <v/>
      </c>
      <c r="C355" t="str">
        <f>IF(Registro_Compras!$R355&lt;&gt;"SI","",Registro_Compras!$D355)</f>
        <v/>
      </c>
      <c r="D355" t="str">
        <f>IF(Registro_Compras!$R355&lt;&gt;"SI","",Registro_Compras!$E355)</f>
        <v/>
      </c>
      <c r="E355" t="str">
        <f>IF(Registro_Compras!$R355&lt;&gt;"SI","",Registro_Compras!$G355)</f>
        <v/>
      </c>
      <c r="F355" s="31" t="str">
        <f>IF(Registro_Compras!$R355&lt;&gt;"SI","",Registro_Compras!$P355)</f>
        <v/>
      </c>
      <c r="G355" s="20" t="str">
        <f>IF(Registro_Compras!$R355&lt;&gt;"SI","",Registro_Compras!$O355)</f>
        <v/>
      </c>
      <c r="H355" s="20" t="str">
        <f>IF(Registro_Compras!$R355&lt;&gt;"SI","",Registro_Compras!$S355)</f>
        <v/>
      </c>
      <c r="I355" s="25" t="str">
        <f>IF(Registro_Compras!$R355&lt;&gt;"SI","",IF(Registro_Compras!$Y355="",WORKDAY(EOMONTH(Registro_Compras!$B355,0),5,Feriados),MIN(Registro_Compras!$Y355,WORKDAY(EOMONTH(Registro_Compras!$B355,0),5,Feriados))))</f>
        <v/>
      </c>
      <c r="J355" s="25" t="str">
        <f>IF(Registro_Compras!$R355&lt;&gt;"SI","",Registro_Compras!$X355)</f>
        <v/>
      </c>
      <c r="K355" t="str">
        <f>IF(Registro_Compras!$R355&lt;&gt;"SI","",IF(Registro_Compras!$X355="","PENDIENTE","DEPOSITADA"))</f>
        <v/>
      </c>
      <c r="L355" t="str">
        <f>IF(Registro_Compras!$R355&lt;&gt;"SI","",Registro_Compras!$Z355)</f>
        <v/>
      </c>
      <c r="M355" t="str">
        <f t="shared" ca="1" si="10"/>
        <v/>
      </c>
      <c r="N355" t="str">
        <f t="shared" ca="1" si="11"/>
        <v/>
      </c>
    </row>
    <row r="356" spans="1:14" x14ac:dyDescent="0.25">
      <c r="A356" s="25" t="str">
        <f>IF(Registro_Compras!$R356&lt;&gt;"SI","",Registro_Compras!$B356)</f>
        <v/>
      </c>
      <c r="B356" t="str">
        <f>IF(Registro_Compras!$R356&lt;&gt;"SI","",Registro_Compras!$C356)</f>
        <v/>
      </c>
      <c r="C356" t="str">
        <f>IF(Registro_Compras!$R356&lt;&gt;"SI","",Registro_Compras!$D356)</f>
        <v/>
      </c>
      <c r="D356" t="str">
        <f>IF(Registro_Compras!$R356&lt;&gt;"SI","",Registro_Compras!$E356)</f>
        <v/>
      </c>
      <c r="E356" t="str">
        <f>IF(Registro_Compras!$R356&lt;&gt;"SI","",Registro_Compras!$G356)</f>
        <v/>
      </c>
      <c r="F356" s="31" t="str">
        <f>IF(Registro_Compras!$R356&lt;&gt;"SI","",Registro_Compras!$P356)</f>
        <v/>
      </c>
      <c r="G356" s="20" t="str">
        <f>IF(Registro_Compras!$R356&lt;&gt;"SI","",Registro_Compras!$O356)</f>
        <v/>
      </c>
      <c r="H356" s="20" t="str">
        <f>IF(Registro_Compras!$R356&lt;&gt;"SI","",Registro_Compras!$S356)</f>
        <v/>
      </c>
      <c r="I356" s="25" t="str">
        <f>IF(Registro_Compras!$R356&lt;&gt;"SI","",IF(Registro_Compras!$Y356="",WORKDAY(EOMONTH(Registro_Compras!$B356,0),5,Feriados),MIN(Registro_Compras!$Y356,WORKDAY(EOMONTH(Registro_Compras!$B356,0),5,Feriados))))</f>
        <v/>
      </c>
      <c r="J356" s="25" t="str">
        <f>IF(Registro_Compras!$R356&lt;&gt;"SI","",Registro_Compras!$X356)</f>
        <v/>
      </c>
      <c r="K356" t="str">
        <f>IF(Registro_Compras!$R356&lt;&gt;"SI","",IF(Registro_Compras!$X356="","PENDIENTE","DEPOSITADA"))</f>
        <v/>
      </c>
      <c r="L356" t="str">
        <f>IF(Registro_Compras!$R356&lt;&gt;"SI","",Registro_Compras!$Z356)</f>
        <v/>
      </c>
      <c r="M356" t="str">
        <f t="shared" ca="1" si="10"/>
        <v/>
      </c>
      <c r="N356" t="str">
        <f t="shared" ca="1" si="11"/>
        <v/>
      </c>
    </row>
    <row r="357" spans="1:14" x14ac:dyDescent="0.25">
      <c r="A357" s="25" t="str">
        <f>IF(Registro_Compras!$R357&lt;&gt;"SI","",Registro_Compras!$B357)</f>
        <v/>
      </c>
      <c r="B357" t="str">
        <f>IF(Registro_Compras!$R357&lt;&gt;"SI","",Registro_Compras!$C357)</f>
        <v/>
      </c>
      <c r="C357" t="str">
        <f>IF(Registro_Compras!$R357&lt;&gt;"SI","",Registro_Compras!$D357)</f>
        <v/>
      </c>
      <c r="D357" t="str">
        <f>IF(Registro_Compras!$R357&lt;&gt;"SI","",Registro_Compras!$E357)</f>
        <v/>
      </c>
      <c r="E357" t="str">
        <f>IF(Registro_Compras!$R357&lt;&gt;"SI","",Registro_Compras!$G357)</f>
        <v/>
      </c>
      <c r="F357" s="31" t="str">
        <f>IF(Registro_Compras!$R357&lt;&gt;"SI","",Registro_Compras!$P357)</f>
        <v/>
      </c>
      <c r="G357" s="20" t="str">
        <f>IF(Registro_Compras!$R357&lt;&gt;"SI","",Registro_Compras!$O357)</f>
        <v/>
      </c>
      <c r="H357" s="20" t="str">
        <f>IF(Registro_Compras!$R357&lt;&gt;"SI","",Registro_Compras!$S357)</f>
        <v/>
      </c>
      <c r="I357" s="25" t="str">
        <f>IF(Registro_Compras!$R357&lt;&gt;"SI","",IF(Registro_Compras!$Y357="",WORKDAY(EOMONTH(Registro_Compras!$B357,0),5,Feriados),MIN(Registro_Compras!$Y357,WORKDAY(EOMONTH(Registro_Compras!$B357,0),5,Feriados))))</f>
        <v/>
      </c>
      <c r="J357" s="25" t="str">
        <f>IF(Registro_Compras!$R357&lt;&gt;"SI","",Registro_Compras!$X357)</f>
        <v/>
      </c>
      <c r="K357" t="str">
        <f>IF(Registro_Compras!$R357&lt;&gt;"SI","",IF(Registro_Compras!$X357="","PENDIENTE","DEPOSITADA"))</f>
        <v/>
      </c>
      <c r="L357" t="str">
        <f>IF(Registro_Compras!$R357&lt;&gt;"SI","",Registro_Compras!$Z357)</f>
        <v/>
      </c>
      <c r="M357" t="str">
        <f t="shared" ca="1" si="10"/>
        <v/>
      </c>
      <c r="N357" t="str">
        <f t="shared" ca="1" si="11"/>
        <v/>
      </c>
    </row>
    <row r="358" spans="1:14" x14ac:dyDescent="0.25">
      <c r="A358" s="25" t="str">
        <f>IF(Registro_Compras!$R358&lt;&gt;"SI","",Registro_Compras!$B358)</f>
        <v/>
      </c>
      <c r="B358" t="str">
        <f>IF(Registro_Compras!$R358&lt;&gt;"SI","",Registro_Compras!$C358)</f>
        <v/>
      </c>
      <c r="C358" t="str">
        <f>IF(Registro_Compras!$R358&lt;&gt;"SI","",Registro_Compras!$D358)</f>
        <v/>
      </c>
      <c r="D358" t="str">
        <f>IF(Registro_Compras!$R358&lt;&gt;"SI","",Registro_Compras!$E358)</f>
        <v/>
      </c>
      <c r="E358" t="str">
        <f>IF(Registro_Compras!$R358&lt;&gt;"SI","",Registro_Compras!$G358)</f>
        <v/>
      </c>
      <c r="F358" s="31" t="str">
        <f>IF(Registro_Compras!$R358&lt;&gt;"SI","",Registro_Compras!$P358)</f>
        <v/>
      </c>
      <c r="G358" s="20" t="str">
        <f>IF(Registro_Compras!$R358&lt;&gt;"SI","",Registro_Compras!$O358)</f>
        <v/>
      </c>
      <c r="H358" s="20" t="str">
        <f>IF(Registro_Compras!$R358&lt;&gt;"SI","",Registro_Compras!$S358)</f>
        <v/>
      </c>
      <c r="I358" s="25" t="str">
        <f>IF(Registro_Compras!$R358&lt;&gt;"SI","",IF(Registro_Compras!$Y358="",WORKDAY(EOMONTH(Registro_Compras!$B358,0),5,Feriados),MIN(Registro_Compras!$Y358,WORKDAY(EOMONTH(Registro_Compras!$B358,0),5,Feriados))))</f>
        <v/>
      </c>
      <c r="J358" s="25" t="str">
        <f>IF(Registro_Compras!$R358&lt;&gt;"SI","",Registro_Compras!$X358)</f>
        <v/>
      </c>
      <c r="K358" t="str">
        <f>IF(Registro_Compras!$R358&lt;&gt;"SI","",IF(Registro_Compras!$X358="","PENDIENTE","DEPOSITADA"))</f>
        <v/>
      </c>
      <c r="L358" t="str">
        <f>IF(Registro_Compras!$R358&lt;&gt;"SI","",Registro_Compras!$Z358)</f>
        <v/>
      </c>
      <c r="M358" t="str">
        <f t="shared" ca="1" si="10"/>
        <v/>
      </c>
      <c r="N358" t="str">
        <f t="shared" ca="1" si="11"/>
        <v/>
      </c>
    </row>
    <row r="359" spans="1:14" x14ac:dyDescent="0.25">
      <c r="A359" s="25" t="str">
        <f>IF(Registro_Compras!$R359&lt;&gt;"SI","",Registro_Compras!$B359)</f>
        <v/>
      </c>
      <c r="B359" t="str">
        <f>IF(Registro_Compras!$R359&lt;&gt;"SI","",Registro_Compras!$C359)</f>
        <v/>
      </c>
      <c r="C359" t="str">
        <f>IF(Registro_Compras!$R359&lt;&gt;"SI","",Registro_Compras!$D359)</f>
        <v/>
      </c>
      <c r="D359" t="str">
        <f>IF(Registro_Compras!$R359&lt;&gt;"SI","",Registro_Compras!$E359)</f>
        <v/>
      </c>
      <c r="E359" t="str">
        <f>IF(Registro_Compras!$R359&lt;&gt;"SI","",Registro_Compras!$G359)</f>
        <v/>
      </c>
      <c r="F359" s="31" t="str">
        <f>IF(Registro_Compras!$R359&lt;&gt;"SI","",Registro_Compras!$P359)</f>
        <v/>
      </c>
      <c r="G359" s="20" t="str">
        <f>IF(Registro_Compras!$R359&lt;&gt;"SI","",Registro_Compras!$O359)</f>
        <v/>
      </c>
      <c r="H359" s="20" t="str">
        <f>IF(Registro_Compras!$R359&lt;&gt;"SI","",Registro_Compras!$S359)</f>
        <v/>
      </c>
      <c r="I359" s="25" t="str">
        <f>IF(Registro_Compras!$R359&lt;&gt;"SI","",IF(Registro_Compras!$Y359="",WORKDAY(EOMONTH(Registro_Compras!$B359,0),5,Feriados),MIN(Registro_Compras!$Y359,WORKDAY(EOMONTH(Registro_Compras!$B359,0),5,Feriados))))</f>
        <v/>
      </c>
      <c r="J359" s="25" t="str">
        <f>IF(Registro_Compras!$R359&lt;&gt;"SI","",Registro_Compras!$X359)</f>
        <v/>
      </c>
      <c r="K359" t="str">
        <f>IF(Registro_Compras!$R359&lt;&gt;"SI","",IF(Registro_Compras!$X359="","PENDIENTE","DEPOSITADA"))</f>
        <v/>
      </c>
      <c r="L359" t="str">
        <f>IF(Registro_Compras!$R359&lt;&gt;"SI","",Registro_Compras!$Z359)</f>
        <v/>
      </c>
      <c r="M359" t="str">
        <f t="shared" ca="1" si="10"/>
        <v/>
      </c>
      <c r="N359" t="str">
        <f t="shared" ca="1" si="11"/>
        <v/>
      </c>
    </row>
    <row r="360" spans="1:14" x14ac:dyDescent="0.25">
      <c r="A360" s="25" t="str">
        <f>IF(Registro_Compras!$R360&lt;&gt;"SI","",Registro_Compras!$B360)</f>
        <v/>
      </c>
      <c r="B360" t="str">
        <f>IF(Registro_Compras!$R360&lt;&gt;"SI","",Registro_Compras!$C360)</f>
        <v/>
      </c>
      <c r="C360" t="str">
        <f>IF(Registro_Compras!$R360&lt;&gt;"SI","",Registro_Compras!$D360)</f>
        <v/>
      </c>
      <c r="D360" t="str">
        <f>IF(Registro_Compras!$R360&lt;&gt;"SI","",Registro_Compras!$E360)</f>
        <v/>
      </c>
      <c r="E360" t="str">
        <f>IF(Registro_Compras!$R360&lt;&gt;"SI","",Registro_Compras!$G360)</f>
        <v/>
      </c>
      <c r="F360" s="31" t="str">
        <f>IF(Registro_Compras!$R360&lt;&gt;"SI","",Registro_Compras!$P360)</f>
        <v/>
      </c>
      <c r="G360" s="20" t="str">
        <f>IF(Registro_Compras!$R360&lt;&gt;"SI","",Registro_Compras!$O360)</f>
        <v/>
      </c>
      <c r="H360" s="20" t="str">
        <f>IF(Registro_Compras!$R360&lt;&gt;"SI","",Registro_Compras!$S360)</f>
        <v/>
      </c>
      <c r="I360" s="25" t="str">
        <f>IF(Registro_Compras!$R360&lt;&gt;"SI","",IF(Registro_Compras!$Y360="",WORKDAY(EOMONTH(Registro_Compras!$B360,0),5,Feriados),MIN(Registro_Compras!$Y360,WORKDAY(EOMONTH(Registro_Compras!$B360,0),5,Feriados))))</f>
        <v/>
      </c>
      <c r="J360" s="25" t="str">
        <f>IF(Registro_Compras!$R360&lt;&gt;"SI","",Registro_Compras!$X360)</f>
        <v/>
      </c>
      <c r="K360" t="str">
        <f>IF(Registro_Compras!$R360&lt;&gt;"SI","",IF(Registro_Compras!$X360="","PENDIENTE","DEPOSITADA"))</f>
        <v/>
      </c>
      <c r="L360" t="str">
        <f>IF(Registro_Compras!$R360&lt;&gt;"SI","",Registro_Compras!$Z360)</f>
        <v/>
      </c>
      <c r="M360" t="str">
        <f t="shared" ca="1" si="10"/>
        <v/>
      </c>
      <c r="N360" t="str">
        <f t="shared" ca="1" si="11"/>
        <v/>
      </c>
    </row>
    <row r="361" spans="1:14" x14ac:dyDescent="0.25">
      <c r="A361" s="25" t="str">
        <f>IF(Registro_Compras!$R361&lt;&gt;"SI","",Registro_Compras!$B361)</f>
        <v/>
      </c>
      <c r="B361" t="str">
        <f>IF(Registro_Compras!$R361&lt;&gt;"SI","",Registro_Compras!$C361)</f>
        <v/>
      </c>
      <c r="C361" t="str">
        <f>IF(Registro_Compras!$R361&lt;&gt;"SI","",Registro_Compras!$D361)</f>
        <v/>
      </c>
      <c r="D361" t="str">
        <f>IF(Registro_Compras!$R361&lt;&gt;"SI","",Registro_Compras!$E361)</f>
        <v/>
      </c>
      <c r="E361" t="str">
        <f>IF(Registro_Compras!$R361&lt;&gt;"SI","",Registro_Compras!$G361)</f>
        <v/>
      </c>
      <c r="F361" s="31" t="str">
        <f>IF(Registro_Compras!$R361&lt;&gt;"SI","",Registro_Compras!$P361)</f>
        <v/>
      </c>
      <c r="G361" s="20" t="str">
        <f>IF(Registro_Compras!$R361&lt;&gt;"SI","",Registro_Compras!$O361)</f>
        <v/>
      </c>
      <c r="H361" s="20" t="str">
        <f>IF(Registro_Compras!$R361&lt;&gt;"SI","",Registro_Compras!$S361)</f>
        <v/>
      </c>
      <c r="I361" s="25" t="str">
        <f>IF(Registro_Compras!$R361&lt;&gt;"SI","",IF(Registro_Compras!$Y361="",WORKDAY(EOMONTH(Registro_Compras!$B361,0),5,Feriados),MIN(Registro_Compras!$Y361,WORKDAY(EOMONTH(Registro_Compras!$B361,0),5,Feriados))))</f>
        <v/>
      </c>
      <c r="J361" s="25" t="str">
        <f>IF(Registro_Compras!$R361&lt;&gt;"SI","",Registro_Compras!$X361)</f>
        <v/>
      </c>
      <c r="K361" t="str">
        <f>IF(Registro_Compras!$R361&lt;&gt;"SI","",IF(Registro_Compras!$X361="","PENDIENTE","DEPOSITADA"))</f>
        <v/>
      </c>
      <c r="L361" t="str">
        <f>IF(Registro_Compras!$R361&lt;&gt;"SI","",Registro_Compras!$Z361)</f>
        <v/>
      </c>
      <c r="M361" t="str">
        <f t="shared" ca="1" si="10"/>
        <v/>
      </c>
      <c r="N361" t="str">
        <f t="shared" ca="1" si="11"/>
        <v/>
      </c>
    </row>
    <row r="362" spans="1:14" x14ac:dyDescent="0.25">
      <c r="A362" s="25" t="str">
        <f>IF(Registro_Compras!$R362&lt;&gt;"SI","",Registro_Compras!$B362)</f>
        <v/>
      </c>
      <c r="B362" t="str">
        <f>IF(Registro_Compras!$R362&lt;&gt;"SI","",Registro_Compras!$C362)</f>
        <v/>
      </c>
      <c r="C362" t="str">
        <f>IF(Registro_Compras!$R362&lt;&gt;"SI","",Registro_Compras!$D362)</f>
        <v/>
      </c>
      <c r="D362" t="str">
        <f>IF(Registro_Compras!$R362&lt;&gt;"SI","",Registro_Compras!$E362)</f>
        <v/>
      </c>
      <c r="E362" t="str">
        <f>IF(Registro_Compras!$R362&lt;&gt;"SI","",Registro_Compras!$G362)</f>
        <v/>
      </c>
      <c r="F362" s="31" t="str">
        <f>IF(Registro_Compras!$R362&lt;&gt;"SI","",Registro_Compras!$P362)</f>
        <v/>
      </c>
      <c r="G362" s="20" t="str">
        <f>IF(Registro_Compras!$R362&lt;&gt;"SI","",Registro_Compras!$O362)</f>
        <v/>
      </c>
      <c r="H362" s="20" t="str">
        <f>IF(Registro_Compras!$R362&lt;&gt;"SI","",Registro_Compras!$S362)</f>
        <v/>
      </c>
      <c r="I362" s="25" t="str">
        <f>IF(Registro_Compras!$R362&lt;&gt;"SI","",IF(Registro_Compras!$Y362="",WORKDAY(EOMONTH(Registro_Compras!$B362,0),5,Feriados),MIN(Registro_Compras!$Y362,WORKDAY(EOMONTH(Registro_Compras!$B362,0),5,Feriados))))</f>
        <v/>
      </c>
      <c r="J362" s="25" t="str">
        <f>IF(Registro_Compras!$R362&lt;&gt;"SI","",Registro_Compras!$X362)</f>
        <v/>
      </c>
      <c r="K362" t="str">
        <f>IF(Registro_Compras!$R362&lt;&gt;"SI","",IF(Registro_Compras!$X362="","PENDIENTE","DEPOSITADA"))</f>
        <v/>
      </c>
      <c r="L362" t="str">
        <f>IF(Registro_Compras!$R362&lt;&gt;"SI","",Registro_Compras!$Z362)</f>
        <v/>
      </c>
      <c r="M362" t="str">
        <f t="shared" ca="1" si="10"/>
        <v/>
      </c>
      <c r="N362" t="str">
        <f t="shared" ca="1" si="11"/>
        <v/>
      </c>
    </row>
    <row r="363" spans="1:14" x14ac:dyDescent="0.25">
      <c r="A363" s="25" t="str">
        <f>IF(Registro_Compras!$R363&lt;&gt;"SI","",Registro_Compras!$B363)</f>
        <v/>
      </c>
      <c r="B363" t="str">
        <f>IF(Registro_Compras!$R363&lt;&gt;"SI","",Registro_Compras!$C363)</f>
        <v/>
      </c>
      <c r="C363" t="str">
        <f>IF(Registro_Compras!$R363&lt;&gt;"SI","",Registro_Compras!$D363)</f>
        <v/>
      </c>
      <c r="D363" t="str">
        <f>IF(Registro_Compras!$R363&lt;&gt;"SI","",Registro_Compras!$E363)</f>
        <v/>
      </c>
      <c r="E363" t="str">
        <f>IF(Registro_Compras!$R363&lt;&gt;"SI","",Registro_Compras!$G363)</f>
        <v/>
      </c>
      <c r="F363" s="31" t="str">
        <f>IF(Registro_Compras!$R363&lt;&gt;"SI","",Registro_Compras!$P363)</f>
        <v/>
      </c>
      <c r="G363" s="20" t="str">
        <f>IF(Registro_Compras!$R363&lt;&gt;"SI","",Registro_Compras!$O363)</f>
        <v/>
      </c>
      <c r="H363" s="20" t="str">
        <f>IF(Registro_Compras!$R363&lt;&gt;"SI","",Registro_Compras!$S363)</f>
        <v/>
      </c>
      <c r="I363" s="25" t="str">
        <f>IF(Registro_Compras!$R363&lt;&gt;"SI","",IF(Registro_Compras!$Y363="",WORKDAY(EOMONTH(Registro_Compras!$B363,0),5,Feriados),MIN(Registro_Compras!$Y363,WORKDAY(EOMONTH(Registro_Compras!$B363,0),5,Feriados))))</f>
        <v/>
      </c>
      <c r="J363" s="25" t="str">
        <f>IF(Registro_Compras!$R363&lt;&gt;"SI","",Registro_Compras!$X363)</f>
        <v/>
      </c>
      <c r="K363" t="str">
        <f>IF(Registro_Compras!$R363&lt;&gt;"SI","",IF(Registro_Compras!$X363="","PENDIENTE","DEPOSITADA"))</f>
        <v/>
      </c>
      <c r="L363" t="str">
        <f>IF(Registro_Compras!$R363&lt;&gt;"SI","",Registro_Compras!$Z363)</f>
        <v/>
      </c>
      <c r="M363" t="str">
        <f t="shared" ca="1" si="10"/>
        <v/>
      </c>
      <c r="N363" t="str">
        <f t="shared" ca="1" si="11"/>
        <v/>
      </c>
    </row>
    <row r="364" spans="1:14" x14ac:dyDescent="0.25">
      <c r="A364" s="25" t="str">
        <f>IF(Registro_Compras!$R364&lt;&gt;"SI","",Registro_Compras!$B364)</f>
        <v/>
      </c>
      <c r="B364" t="str">
        <f>IF(Registro_Compras!$R364&lt;&gt;"SI","",Registro_Compras!$C364)</f>
        <v/>
      </c>
      <c r="C364" t="str">
        <f>IF(Registro_Compras!$R364&lt;&gt;"SI","",Registro_Compras!$D364)</f>
        <v/>
      </c>
      <c r="D364" t="str">
        <f>IF(Registro_Compras!$R364&lt;&gt;"SI","",Registro_Compras!$E364)</f>
        <v/>
      </c>
      <c r="E364" t="str">
        <f>IF(Registro_Compras!$R364&lt;&gt;"SI","",Registro_Compras!$G364)</f>
        <v/>
      </c>
      <c r="F364" s="31" t="str">
        <f>IF(Registro_Compras!$R364&lt;&gt;"SI","",Registro_Compras!$P364)</f>
        <v/>
      </c>
      <c r="G364" s="20" t="str">
        <f>IF(Registro_Compras!$R364&lt;&gt;"SI","",Registro_Compras!$O364)</f>
        <v/>
      </c>
      <c r="H364" s="20" t="str">
        <f>IF(Registro_Compras!$R364&lt;&gt;"SI","",Registro_Compras!$S364)</f>
        <v/>
      </c>
      <c r="I364" s="25" t="str">
        <f>IF(Registro_Compras!$R364&lt;&gt;"SI","",IF(Registro_Compras!$Y364="",WORKDAY(EOMONTH(Registro_Compras!$B364,0),5,Feriados),MIN(Registro_Compras!$Y364,WORKDAY(EOMONTH(Registro_Compras!$B364,0),5,Feriados))))</f>
        <v/>
      </c>
      <c r="J364" s="25" t="str">
        <f>IF(Registro_Compras!$R364&lt;&gt;"SI","",Registro_Compras!$X364)</f>
        <v/>
      </c>
      <c r="K364" t="str">
        <f>IF(Registro_Compras!$R364&lt;&gt;"SI","",IF(Registro_Compras!$X364="","PENDIENTE","DEPOSITADA"))</f>
        <v/>
      </c>
      <c r="L364" t="str">
        <f>IF(Registro_Compras!$R364&lt;&gt;"SI","",Registro_Compras!$Z364)</f>
        <v/>
      </c>
      <c r="M364" t="str">
        <f t="shared" ca="1" si="10"/>
        <v/>
      </c>
      <c r="N364" t="str">
        <f t="shared" ca="1" si="11"/>
        <v/>
      </c>
    </row>
    <row r="365" spans="1:14" x14ac:dyDescent="0.25">
      <c r="A365" s="25" t="str">
        <f>IF(Registro_Compras!$R365&lt;&gt;"SI","",Registro_Compras!$B365)</f>
        <v/>
      </c>
      <c r="B365" t="str">
        <f>IF(Registro_Compras!$R365&lt;&gt;"SI","",Registro_Compras!$C365)</f>
        <v/>
      </c>
      <c r="C365" t="str">
        <f>IF(Registro_Compras!$R365&lt;&gt;"SI","",Registro_Compras!$D365)</f>
        <v/>
      </c>
      <c r="D365" t="str">
        <f>IF(Registro_Compras!$R365&lt;&gt;"SI","",Registro_Compras!$E365)</f>
        <v/>
      </c>
      <c r="E365" t="str">
        <f>IF(Registro_Compras!$R365&lt;&gt;"SI","",Registro_Compras!$G365)</f>
        <v/>
      </c>
      <c r="F365" s="31" t="str">
        <f>IF(Registro_Compras!$R365&lt;&gt;"SI","",Registro_Compras!$P365)</f>
        <v/>
      </c>
      <c r="G365" s="20" t="str">
        <f>IF(Registro_Compras!$R365&lt;&gt;"SI","",Registro_Compras!$O365)</f>
        <v/>
      </c>
      <c r="H365" s="20" t="str">
        <f>IF(Registro_Compras!$R365&lt;&gt;"SI","",Registro_Compras!$S365)</f>
        <v/>
      </c>
      <c r="I365" s="25" t="str">
        <f>IF(Registro_Compras!$R365&lt;&gt;"SI","",IF(Registro_Compras!$Y365="",WORKDAY(EOMONTH(Registro_Compras!$B365,0),5,Feriados),MIN(Registro_Compras!$Y365,WORKDAY(EOMONTH(Registro_Compras!$B365,0),5,Feriados))))</f>
        <v/>
      </c>
      <c r="J365" s="25" t="str">
        <f>IF(Registro_Compras!$R365&lt;&gt;"SI","",Registro_Compras!$X365)</f>
        <v/>
      </c>
      <c r="K365" t="str">
        <f>IF(Registro_Compras!$R365&lt;&gt;"SI","",IF(Registro_Compras!$X365="","PENDIENTE","DEPOSITADA"))</f>
        <v/>
      </c>
      <c r="L365" t="str">
        <f>IF(Registro_Compras!$R365&lt;&gt;"SI","",Registro_Compras!$Z365)</f>
        <v/>
      </c>
      <c r="M365" t="str">
        <f t="shared" ca="1" si="10"/>
        <v/>
      </c>
      <c r="N365" t="str">
        <f t="shared" ca="1" si="11"/>
        <v/>
      </c>
    </row>
    <row r="366" spans="1:14" x14ac:dyDescent="0.25">
      <c r="A366" s="25" t="str">
        <f>IF(Registro_Compras!$R366&lt;&gt;"SI","",Registro_Compras!$B366)</f>
        <v/>
      </c>
      <c r="B366" t="str">
        <f>IF(Registro_Compras!$R366&lt;&gt;"SI","",Registro_Compras!$C366)</f>
        <v/>
      </c>
      <c r="C366" t="str">
        <f>IF(Registro_Compras!$R366&lt;&gt;"SI","",Registro_Compras!$D366)</f>
        <v/>
      </c>
      <c r="D366" t="str">
        <f>IF(Registro_Compras!$R366&lt;&gt;"SI","",Registro_Compras!$E366)</f>
        <v/>
      </c>
      <c r="E366" t="str">
        <f>IF(Registro_Compras!$R366&lt;&gt;"SI","",Registro_Compras!$G366)</f>
        <v/>
      </c>
      <c r="F366" s="31" t="str">
        <f>IF(Registro_Compras!$R366&lt;&gt;"SI","",Registro_Compras!$P366)</f>
        <v/>
      </c>
      <c r="G366" s="20" t="str">
        <f>IF(Registro_Compras!$R366&lt;&gt;"SI","",Registro_Compras!$O366)</f>
        <v/>
      </c>
      <c r="H366" s="20" t="str">
        <f>IF(Registro_Compras!$R366&lt;&gt;"SI","",Registro_Compras!$S366)</f>
        <v/>
      </c>
      <c r="I366" s="25" t="str">
        <f>IF(Registro_Compras!$R366&lt;&gt;"SI","",IF(Registro_Compras!$Y366="",WORKDAY(EOMONTH(Registro_Compras!$B366,0),5,Feriados),MIN(Registro_Compras!$Y366,WORKDAY(EOMONTH(Registro_Compras!$B366,0),5,Feriados))))</f>
        <v/>
      </c>
      <c r="J366" s="25" t="str">
        <f>IF(Registro_Compras!$R366&lt;&gt;"SI","",Registro_Compras!$X366)</f>
        <v/>
      </c>
      <c r="K366" t="str">
        <f>IF(Registro_Compras!$R366&lt;&gt;"SI","",IF(Registro_Compras!$X366="","PENDIENTE","DEPOSITADA"))</f>
        <v/>
      </c>
      <c r="L366" t="str">
        <f>IF(Registro_Compras!$R366&lt;&gt;"SI","",Registro_Compras!$Z366)</f>
        <v/>
      </c>
      <c r="M366" t="str">
        <f t="shared" ca="1" si="10"/>
        <v/>
      </c>
      <c r="N366" t="str">
        <f t="shared" ca="1" si="11"/>
        <v/>
      </c>
    </row>
    <row r="367" spans="1:14" x14ac:dyDescent="0.25">
      <c r="A367" s="25" t="str">
        <f>IF(Registro_Compras!$R367&lt;&gt;"SI","",Registro_Compras!$B367)</f>
        <v/>
      </c>
      <c r="B367" t="str">
        <f>IF(Registro_Compras!$R367&lt;&gt;"SI","",Registro_Compras!$C367)</f>
        <v/>
      </c>
      <c r="C367" t="str">
        <f>IF(Registro_Compras!$R367&lt;&gt;"SI","",Registro_Compras!$D367)</f>
        <v/>
      </c>
      <c r="D367" t="str">
        <f>IF(Registro_Compras!$R367&lt;&gt;"SI","",Registro_Compras!$E367)</f>
        <v/>
      </c>
      <c r="E367" t="str">
        <f>IF(Registro_Compras!$R367&lt;&gt;"SI","",Registro_Compras!$G367)</f>
        <v/>
      </c>
      <c r="F367" s="31" t="str">
        <f>IF(Registro_Compras!$R367&lt;&gt;"SI","",Registro_Compras!$P367)</f>
        <v/>
      </c>
      <c r="G367" s="20" t="str">
        <f>IF(Registro_Compras!$R367&lt;&gt;"SI","",Registro_Compras!$O367)</f>
        <v/>
      </c>
      <c r="H367" s="20" t="str">
        <f>IF(Registro_Compras!$R367&lt;&gt;"SI","",Registro_Compras!$S367)</f>
        <v/>
      </c>
      <c r="I367" s="25" t="str">
        <f>IF(Registro_Compras!$R367&lt;&gt;"SI","",IF(Registro_Compras!$Y367="",WORKDAY(EOMONTH(Registro_Compras!$B367,0),5,Feriados),MIN(Registro_Compras!$Y367,WORKDAY(EOMONTH(Registro_Compras!$B367,0),5,Feriados))))</f>
        <v/>
      </c>
      <c r="J367" s="25" t="str">
        <f>IF(Registro_Compras!$R367&lt;&gt;"SI","",Registro_Compras!$X367)</f>
        <v/>
      </c>
      <c r="K367" t="str">
        <f>IF(Registro_Compras!$R367&lt;&gt;"SI","",IF(Registro_Compras!$X367="","PENDIENTE","DEPOSITADA"))</f>
        <v/>
      </c>
      <c r="L367" t="str">
        <f>IF(Registro_Compras!$R367&lt;&gt;"SI","",Registro_Compras!$Z367)</f>
        <v/>
      </c>
      <c r="M367" t="str">
        <f t="shared" ca="1" si="10"/>
        <v/>
      </c>
      <c r="N367" t="str">
        <f t="shared" ca="1" si="11"/>
        <v/>
      </c>
    </row>
    <row r="368" spans="1:14" x14ac:dyDescent="0.25">
      <c r="A368" s="25" t="str">
        <f>IF(Registro_Compras!$R368&lt;&gt;"SI","",Registro_Compras!$B368)</f>
        <v/>
      </c>
      <c r="B368" t="str">
        <f>IF(Registro_Compras!$R368&lt;&gt;"SI","",Registro_Compras!$C368)</f>
        <v/>
      </c>
      <c r="C368" t="str">
        <f>IF(Registro_Compras!$R368&lt;&gt;"SI","",Registro_Compras!$D368)</f>
        <v/>
      </c>
      <c r="D368" t="str">
        <f>IF(Registro_Compras!$R368&lt;&gt;"SI","",Registro_Compras!$E368)</f>
        <v/>
      </c>
      <c r="E368" t="str">
        <f>IF(Registro_Compras!$R368&lt;&gt;"SI","",Registro_Compras!$G368)</f>
        <v/>
      </c>
      <c r="F368" s="31" t="str">
        <f>IF(Registro_Compras!$R368&lt;&gt;"SI","",Registro_Compras!$P368)</f>
        <v/>
      </c>
      <c r="G368" s="20" t="str">
        <f>IF(Registro_Compras!$R368&lt;&gt;"SI","",Registro_Compras!$O368)</f>
        <v/>
      </c>
      <c r="H368" s="20" t="str">
        <f>IF(Registro_Compras!$R368&lt;&gt;"SI","",Registro_Compras!$S368)</f>
        <v/>
      </c>
      <c r="I368" s="25" t="str">
        <f>IF(Registro_Compras!$R368&lt;&gt;"SI","",IF(Registro_Compras!$Y368="",WORKDAY(EOMONTH(Registro_Compras!$B368,0),5,Feriados),MIN(Registro_Compras!$Y368,WORKDAY(EOMONTH(Registro_Compras!$B368,0),5,Feriados))))</f>
        <v/>
      </c>
      <c r="J368" s="25" t="str">
        <f>IF(Registro_Compras!$R368&lt;&gt;"SI","",Registro_Compras!$X368)</f>
        <v/>
      </c>
      <c r="K368" t="str">
        <f>IF(Registro_Compras!$R368&lt;&gt;"SI","",IF(Registro_Compras!$X368="","PENDIENTE","DEPOSITADA"))</f>
        <v/>
      </c>
      <c r="L368" t="str">
        <f>IF(Registro_Compras!$R368&lt;&gt;"SI","",Registro_Compras!$Z368)</f>
        <v/>
      </c>
      <c r="M368" t="str">
        <f t="shared" ca="1" si="10"/>
        <v/>
      </c>
      <c r="N368" t="str">
        <f t="shared" ca="1" si="11"/>
        <v/>
      </c>
    </row>
    <row r="369" spans="1:14" x14ac:dyDescent="0.25">
      <c r="A369" s="25" t="str">
        <f>IF(Registro_Compras!$R369&lt;&gt;"SI","",Registro_Compras!$B369)</f>
        <v/>
      </c>
      <c r="B369" t="str">
        <f>IF(Registro_Compras!$R369&lt;&gt;"SI","",Registro_Compras!$C369)</f>
        <v/>
      </c>
      <c r="C369" t="str">
        <f>IF(Registro_Compras!$R369&lt;&gt;"SI","",Registro_Compras!$D369)</f>
        <v/>
      </c>
      <c r="D369" t="str">
        <f>IF(Registro_Compras!$R369&lt;&gt;"SI","",Registro_Compras!$E369)</f>
        <v/>
      </c>
      <c r="E369" t="str">
        <f>IF(Registro_Compras!$R369&lt;&gt;"SI","",Registro_Compras!$G369)</f>
        <v/>
      </c>
      <c r="F369" s="31" t="str">
        <f>IF(Registro_Compras!$R369&lt;&gt;"SI","",Registro_Compras!$P369)</f>
        <v/>
      </c>
      <c r="G369" s="20" t="str">
        <f>IF(Registro_Compras!$R369&lt;&gt;"SI","",Registro_Compras!$O369)</f>
        <v/>
      </c>
      <c r="H369" s="20" t="str">
        <f>IF(Registro_Compras!$R369&lt;&gt;"SI","",Registro_Compras!$S369)</f>
        <v/>
      </c>
      <c r="I369" s="25" t="str">
        <f>IF(Registro_Compras!$R369&lt;&gt;"SI","",IF(Registro_Compras!$Y369="",WORKDAY(EOMONTH(Registro_Compras!$B369,0),5,Feriados),MIN(Registro_Compras!$Y369,WORKDAY(EOMONTH(Registro_Compras!$B369,0),5,Feriados))))</f>
        <v/>
      </c>
      <c r="J369" s="25" t="str">
        <f>IF(Registro_Compras!$R369&lt;&gt;"SI","",Registro_Compras!$X369)</f>
        <v/>
      </c>
      <c r="K369" t="str">
        <f>IF(Registro_Compras!$R369&lt;&gt;"SI","",IF(Registro_Compras!$X369="","PENDIENTE","DEPOSITADA"))</f>
        <v/>
      </c>
      <c r="L369" t="str">
        <f>IF(Registro_Compras!$R369&lt;&gt;"SI","",Registro_Compras!$Z369)</f>
        <v/>
      </c>
      <c r="M369" t="str">
        <f t="shared" ca="1" si="10"/>
        <v/>
      </c>
      <c r="N369" t="str">
        <f t="shared" ca="1" si="11"/>
        <v/>
      </c>
    </row>
    <row r="370" spans="1:14" x14ac:dyDescent="0.25">
      <c r="A370" s="25" t="str">
        <f>IF(Registro_Compras!$R370&lt;&gt;"SI","",Registro_Compras!$B370)</f>
        <v/>
      </c>
      <c r="B370" t="str">
        <f>IF(Registro_Compras!$R370&lt;&gt;"SI","",Registro_Compras!$C370)</f>
        <v/>
      </c>
      <c r="C370" t="str">
        <f>IF(Registro_Compras!$R370&lt;&gt;"SI","",Registro_Compras!$D370)</f>
        <v/>
      </c>
      <c r="D370" t="str">
        <f>IF(Registro_Compras!$R370&lt;&gt;"SI","",Registro_Compras!$E370)</f>
        <v/>
      </c>
      <c r="E370" t="str">
        <f>IF(Registro_Compras!$R370&lt;&gt;"SI","",Registro_Compras!$G370)</f>
        <v/>
      </c>
      <c r="F370" s="31" t="str">
        <f>IF(Registro_Compras!$R370&lt;&gt;"SI","",Registro_Compras!$P370)</f>
        <v/>
      </c>
      <c r="G370" s="20" t="str">
        <f>IF(Registro_Compras!$R370&lt;&gt;"SI","",Registro_Compras!$O370)</f>
        <v/>
      </c>
      <c r="H370" s="20" t="str">
        <f>IF(Registro_Compras!$R370&lt;&gt;"SI","",Registro_Compras!$S370)</f>
        <v/>
      </c>
      <c r="I370" s="25" t="str">
        <f>IF(Registro_Compras!$R370&lt;&gt;"SI","",IF(Registro_Compras!$Y370="",WORKDAY(EOMONTH(Registro_Compras!$B370,0),5,Feriados),MIN(Registro_Compras!$Y370,WORKDAY(EOMONTH(Registro_Compras!$B370,0),5,Feriados))))</f>
        <v/>
      </c>
      <c r="J370" s="25" t="str">
        <f>IF(Registro_Compras!$R370&lt;&gt;"SI","",Registro_Compras!$X370)</f>
        <v/>
      </c>
      <c r="K370" t="str">
        <f>IF(Registro_Compras!$R370&lt;&gt;"SI","",IF(Registro_Compras!$X370="","PENDIENTE","DEPOSITADA"))</f>
        <v/>
      </c>
      <c r="L370" t="str">
        <f>IF(Registro_Compras!$R370&lt;&gt;"SI","",Registro_Compras!$Z370)</f>
        <v/>
      </c>
      <c r="M370" t="str">
        <f t="shared" ca="1" si="10"/>
        <v/>
      </c>
      <c r="N370" t="str">
        <f t="shared" ca="1" si="11"/>
        <v/>
      </c>
    </row>
    <row r="371" spans="1:14" x14ac:dyDescent="0.25">
      <c r="A371" s="25" t="str">
        <f>IF(Registro_Compras!$R371&lt;&gt;"SI","",Registro_Compras!$B371)</f>
        <v/>
      </c>
      <c r="B371" t="str">
        <f>IF(Registro_Compras!$R371&lt;&gt;"SI","",Registro_Compras!$C371)</f>
        <v/>
      </c>
      <c r="C371" t="str">
        <f>IF(Registro_Compras!$R371&lt;&gt;"SI","",Registro_Compras!$D371)</f>
        <v/>
      </c>
      <c r="D371" t="str">
        <f>IF(Registro_Compras!$R371&lt;&gt;"SI","",Registro_Compras!$E371)</f>
        <v/>
      </c>
      <c r="E371" t="str">
        <f>IF(Registro_Compras!$R371&lt;&gt;"SI","",Registro_Compras!$G371)</f>
        <v/>
      </c>
      <c r="F371" s="31" t="str">
        <f>IF(Registro_Compras!$R371&lt;&gt;"SI","",Registro_Compras!$P371)</f>
        <v/>
      </c>
      <c r="G371" s="20" t="str">
        <f>IF(Registro_Compras!$R371&lt;&gt;"SI","",Registro_Compras!$O371)</f>
        <v/>
      </c>
      <c r="H371" s="20" t="str">
        <f>IF(Registro_Compras!$R371&lt;&gt;"SI","",Registro_Compras!$S371)</f>
        <v/>
      </c>
      <c r="I371" s="25" t="str">
        <f>IF(Registro_Compras!$R371&lt;&gt;"SI","",IF(Registro_Compras!$Y371="",WORKDAY(EOMONTH(Registro_Compras!$B371,0),5,Feriados),MIN(Registro_Compras!$Y371,WORKDAY(EOMONTH(Registro_Compras!$B371,0),5,Feriados))))</f>
        <v/>
      </c>
      <c r="J371" s="25" t="str">
        <f>IF(Registro_Compras!$R371&lt;&gt;"SI","",Registro_Compras!$X371)</f>
        <v/>
      </c>
      <c r="K371" t="str">
        <f>IF(Registro_Compras!$R371&lt;&gt;"SI","",IF(Registro_Compras!$X371="","PENDIENTE","DEPOSITADA"))</f>
        <v/>
      </c>
      <c r="L371" t="str">
        <f>IF(Registro_Compras!$R371&lt;&gt;"SI","",Registro_Compras!$Z371)</f>
        <v/>
      </c>
      <c r="M371" t="str">
        <f t="shared" ca="1" si="10"/>
        <v/>
      </c>
      <c r="N371" t="str">
        <f t="shared" ca="1" si="11"/>
        <v/>
      </c>
    </row>
    <row r="372" spans="1:14" x14ac:dyDescent="0.25">
      <c r="A372" s="25" t="str">
        <f>IF(Registro_Compras!$R372&lt;&gt;"SI","",Registro_Compras!$B372)</f>
        <v/>
      </c>
      <c r="B372" t="str">
        <f>IF(Registro_Compras!$R372&lt;&gt;"SI","",Registro_Compras!$C372)</f>
        <v/>
      </c>
      <c r="C372" t="str">
        <f>IF(Registro_Compras!$R372&lt;&gt;"SI","",Registro_Compras!$D372)</f>
        <v/>
      </c>
      <c r="D372" t="str">
        <f>IF(Registro_Compras!$R372&lt;&gt;"SI","",Registro_Compras!$E372)</f>
        <v/>
      </c>
      <c r="E372" t="str">
        <f>IF(Registro_Compras!$R372&lt;&gt;"SI","",Registro_Compras!$G372)</f>
        <v/>
      </c>
      <c r="F372" s="31" t="str">
        <f>IF(Registro_Compras!$R372&lt;&gt;"SI","",Registro_Compras!$P372)</f>
        <v/>
      </c>
      <c r="G372" s="20" t="str">
        <f>IF(Registro_Compras!$R372&lt;&gt;"SI","",Registro_Compras!$O372)</f>
        <v/>
      </c>
      <c r="H372" s="20" t="str">
        <f>IF(Registro_Compras!$R372&lt;&gt;"SI","",Registro_Compras!$S372)</f>
        <v/>
      </c>
      <c r="I372" s="25" t="str">
        <f>IF(Registro_Compras!$R372&lt;&gt;"SI","",IF(Registro_Compras!$Y372="",WORKDAY(EOMONTH(Registro_Compras!$B372,0),5,Feriados),MIN(Registro_Compras!$Y372,WORKDAY(EOMONTH(Registro_Compras!$B372,0),5,Feriados))))</f>
        <v/>
      </c>
      <c r="J372" s="25" t="str">
        <f>IF(Registro_Compras!$R372&lt;&gt;"SI","",Registro_Compras!$X372)</f>
        <v/>
      </c>
      <c r="K372" t="str">
        <f>IF(Registro_Compras!$R372&lt;&gt;"SI","",IF(Registro_Compras!$X372="","PENDIENTE","DEPOSITADA"))</f>
        <v/>
      </c>
      <c r="L372" t="str">
        <f>IF(Registro_Compras!$R372&lt;&gt;"SI","",Registro_Compras!$Z372)</f>
        <v/>
      </c>
      <c r="M372" t="str">
        <f t="shared" ca="1" si="10"/>
        <v/>
      </c>
      <c r="N372" t="str">
        <f t="shared" ca="1" si="11"/>
        <v/>
      </c>
    </row>
    <row r="373" spans="1:14" x14ac:dyDescent="0.25">
      <c r="A373" s="25" t="str">
        <f>IF(Registro_Compras!$R373&lt;&gt;"SI","",Registro_Compras!$B373)</f>
        <v/>
      </c>
      <c r="B373" t="str">
        <f>IF(Registro_Compras!$R373&lt;&gt;"SI","",Registro_Compras!$C373)</f>
        <v/>
      </c>
      <c r="C373" t="str">
        <f>IF(Registro_Compras!$R373&lt;&gt;"SI","",Registro_Compras!$D373)</f>
        <v/>
      </c>
      <c r="D373" t="str">
        <f>IF(Registro_Compras!$R373&lt;&gt;"SI","",Registro_Compras!$E373)</f>
        <v/>
      </c>
      <c r="E373" t="str">
        <f>IF(Registro_Compras!$R373&lt;&gt;"SI","",Registro_Compras!$G373)</f>
        <v/>
      </c>
      <c r="F373" s="31" t="str">
        <f>IF(Registro_Compras!$R373&lt;&gt;"SI","",Registro_Compras!$P373)</f>
        <v/>
      </c>
      <c r="G373" s="20" t="str">
        <f>IF(Registro_Compras!$R373&lt;&gt;"SI","",Registro_Compras!$O373)</f>
        <v/>
      </c>
      <c r="H373" s="20" t="str">
        <f>IF(Registro_Compras!$R373&lt;&gt;"SI","",Registro_Compras!$S373)</f>
        <v/>
      </c>
      <c r="I373" s="25" t="str">
        <f>IF(Registro_Compras!$R373&lt;&gt;"SI","",IF(Registro_Compras!$Y373="",WORKDAY(EOMONTH(Registro_Compras!$B373,0),5,Feriados),MIN(Registro_Compras!$Y373,WORKDAY(EOMONTH(Registro_Compras!$B373,0),5,Feriados))))</f>
        <v/>
      </c>
      <c r="J373" s="25" t="str">
        <f>IF(Registro_Compras!$R373&lt;&gt;"SI","",Registro_Compras!$X373)</f>
        <v/>
      </c>
      <c r="K373" t="str">
        <f>IF(Registro_Compras!$R373&lt;&gt;"SI","",IF(Registro_Compras!$X373="","PENDIENTE","DEPOSITADA"))</f>
        <v/>
      </c>
      <c r="L373" t="str">
        <f>IF(Registro_Compras!$R373&lt;&gt;"SI","",Registro_Compras!$Z373)</f>
        <v/>
      </c>
      <c r="M373" t="str">
        <f t="shared" ca="1" si="10"/>
        <v/>
      </c>
      <c r="N373" t="str">
        <f t="shared" ca="1" si="11"/>
        <v/>
      </c>
    </row>
    <row r="374" spans="1:14" x14ac:dyDescent="0.25">
      <c r="A374" s="25" t="str">
        <f>IF(Registro_Compras!$R374&lt;&gt;"SI","",Registro_Compras!$B374)</f>
        <v/>
      </c>
      <c r="B374" t="str">
        <f>IF(Registro_Compras!$R374&lt;&gt;"SI","",Registro_Compras!$C374)</f>
        <v/>
      </c>
      <c r="C374" t="str">
        <f>IF(Registro_Compras!$R374&lt;&gt;"SI","",Registro_Compras!$D374)</f>
        <v/>
      </c>
      <c r="D374" t="str">
        <f>IF(Registro_Compras!$R374&lt;&gt;"SI","",Registro_Compras!$E374)</f>
        <v/>
      </c>
      <c r="E374" t="str">
        <f>IF(Registro_Compras!$R374&lt;&gt;"SI","",Registro_Compras!$G374)</f>
        <v/>
      </c>
      <c r="F374" s="31" t="str">
        <f>IF(Registro_Compras!$R374&lt;&gt;"SI","",Registro_Compras!$P374)</f>
        <v/>
      </c>
      <c r="G374" s="20" t="str">
        <f>IF(Registro_Compras!$R374&lt;&gt;"SI","",Registro_Compras!$O374)</f>
        <v/>
      </c>
      <c r="H374" s="20" t="str">
        <f>IF(Registro_Compras!$R374&lt;&gt;"SI","",Registro_Compras!$S374)</f>
        <v/>
      </c>
      <c r="I374" s="25" t="str">
        <f>IF(Registro_Compras!$R374&lt;&gt;"SI","",IF(Registro_Compras!$Y374="",WORKDAY(EOMONTH(Registro_Compras!$B374,0),5,Feriados),MIN(Registro_Compras!$Y374,WORKDAY(EOMONTH(Registro_Compras!$B374,0),5,Feriados))))</f>
        <v/>
      </c>
      <c r="J374" s="25" t="str">
        <f>IF(Registro_Compras!$R374&lt;&gt;"SI","",Registro_Compras!$X374)</f>
        <v/>
      </c>
      <c r="K374" t="str">
        <f>IF(Registro_Compras!$R374&lt;&gt;"SI","",IF(Registro_Compras!$X374="","PENDIENTE","DEPOSITADA"))</f>
        <v/>
      </c>
      <c r="L374" t="str">
        <f>IF(Registro_Compras!$R374&lt;&gt;"SI","",Registro_Compras!$Z374)</f>
        <v/>
      </c>
      <c r="M374" t="str">
        <f t="shared" ca="1" si="10"/>
        <v/>
      </c>
      <c r="N374" t="str">
        <f t="shared" ca="1" si="11"/>
        <v/>
      </c>
    </row>
    <row r="375" spans="1:14" x14ac:dyDescent="0.25">
      <c r="A375" s="25" t="str">
        <f>IF(Registro_Compras!$R375&lt;&gt;"SI","",Registro_Compras!$B375)</f>
        <v/>
      </c>
      <c r="B375" t="str">
        <f>IF(Registro_Compras!$R375&lt;&gt;"SI","",Registro_Compras!$C375)</f>
        <v/>
      </c>
      <c r="C375" t="str">
        <f>IF(Registro_Compras!$R375&lt;&gt;"SI","",Registro_Compras!$D375)</f>
        <v/>
      </c>
      <c r="D375" t="str">
        <f>IF(Registro_Compras!$R375&lt;&gt;"SI","",Registro_Compras!$E375)</f>
        <v/>
      </c>
      <c r="E375" t="str">
        <f>IF(Registro_Compras!$R375&lt;&gt;"SI","",Registro_Compras!$G375)</f>
        <v/>
      </c>
      <c r="F375" s="31" t="str">
        <f>IF(Registro_Compras!$R375&lt;&gt;"SI","",Registro_Compras!$P375)</f>
        <v/>
      </c>
      <c r="G375" s="20" t="str">
        <f>IF(Registro_Compras!$R375&lt;&gt;"SI","",Registro_Compras!$O375)</f>
        <v/>
      </c>
      <c r="H375" s="20" t="str">
        <f>IF(Registro_Compras!$R375&lt;&gt;"SI","",Registro_Compras!$S375)</f>
        <v/>
      </c>
      <c r="I375" s="25" t="str">
        <f>IF(Registro_Compras!$R375&lt;&gt;"SI","",IF(Registro_Compras!$Y375="",WORKDAY(EOMONTH(Registro_Compras!$B375,0),5,Feriados),MIN(Registro_Compras!$Y375,WORKDAY(EOMONTH(Registro_Compras!$B375,0),5,Feriados))))</f>
        <v/>
      </c>
      <c r="J375" s="25" t="str">
        <f>IF(Registro_Compras!$R375&lt;&gt;"SI","",Registro_Compras!$X375)</f>
        <v/>
      </c>
      <c r="K375" t="str">
        <f>IF(Registro_Compras!$R375&lt;&gt;"SI","",IF(Registro_Compras!$X375="","PENDIENTE","DEPOSITADA"))</f>
        <v/>
      </c>
      <c r="L375" t="str">
        <f>IF(Registro_Compras!$R375&lt;&gt;"SI","",Registro_Compras!$Z375)</f>
        <v/>
      </c>
      <c r="M375" t="str">
        <f t="shared" ca="1" si="10"/>
        <v/>
      </c>
      <c r="N375" t="str">
        <f t="shared" ca="1" si="11"/>
        <v/>
      </c>
    </row>
    <row r="376" spans="1:14" x14ac:dyDescent="0.25">
      <c r="A376" s="25" t="str">
        <f>IF(Registro_Compras!$R376&lt;&gt;"SI","",Registro_Compras!$B376)</f>
        <v/>
      </c>
      <c r="B376" t="str">
        <f>IF(Registro_Compras!$R376&lt;&gt;"SI","",Registro_Compras!$C376)</f>
        <v/>
      </c>
      <c r="C376" t="str">
        <f>IF(Registro_Compras!$R376&lt;&gt;"SI","",Registro_Compras!$D376)</f>
        <v/>
      </c>
      <c r="D376" t="str">
        <f>IF(Registro_Compras!$R376&lt;&gt;"SI","",Registro_Compras!$E376)</f>
        <v/>
      </c>
      <c r="E376" t="str">
        <f>IF(Registro_Compras!$R376&lt;&gt;"SI","",Registro_Compras!$G376)</f>
        <v/>
      </c>
      <c r="F376" s="31" t="str">
        <f>IF(Registro_Compras!$R376&lt;&gt;"SI","",Registro_Compras!$P376)</f>
        <v/>
      </c>
      <c r="G376" s="20" t="str">
        <f>IF(Registro_Compras!$R376&lt;&gt;"SI","",Registro_Compras!$O376)</f>
        <v/>
      </c>
      <c r="H376" s="20" t="str">
        <f>IF(Registro_Compras!$R376&lt;&gt;"SI","",Registro_Compras!$S376)</f>
        <v/>
      </c>
      <c r="I376" s="25" t="str">
        <f>IF(Registro_Compras!$R376&lt;&gt;"SI","",IF(Registro_Compras!$Y376="",WORKDAY(EOMONTH(Registro_Compras!$B376,0),5,Feriados),MIN(Registro_Compras!$Y376,WORKDAY(EOMONTH(Registro_Compras!$B376,0),5,Feriados))))</f>
        <v/>
      </c>
      <c r="J376" s="25" t="str">
        <f>IF(Registro_Compras!$R376&lt;&gt;"SI","",Registro_Compras!$X376)</f>
        <v/>
      </c>
      <c r="K376" t="str">
        <f>IF(Registro_Compras!$R376&lt;&gt;"SI","",IF(Registro_Compras!$X376="","PENDIENTE","DEPOSITADA"))</f>
        <v/>
      </c>
      <c r="L376" t="str">
        <f>IF(Registro_Compras!$R376&lt;&gt;"SI","",Registro_Compras!$Z376)</f>
        <v/>
      </c>
      <c r="M376" t="str">
        <f t="shared" ca="1" si="10"/>
        <v/>
      </c>
      <c r="N376" t="str">
        <f t="shared" ca="1" si="11"/>
        <v/>
      </c>
    </row>
    <row r="377" spans="1:14" x14ac:dyDescent="0.25">
      <c r="A377" s="25" t="str">
        <f>IF(Registro_Compras!$R377&lt;&gt;"SI","",Registro_Compras!$B377)</f>
        <v/>
      </c>
      <c r="B377" t="str">
        <f>IF(Registro_Compras!$R377&lt;&gt;"SI","",Registro_Compras!$C377)</f>
        <v/>
      </c>
      <c r="C377" t="str">
        <f>IF(Registro_Compras!$R377&lt;&gt;"SI","",Registro_Compras!$D377)</f>
        <v/>
      </c>
      <c r="D377" t="str">
        <f>IF(Registro_Compras!$R377&lt;&gt;"SI","",Registro_Compras!$E377)</f>
        <v/>
      </c>
      <c r="E377" t="str">
        <f>IF(Registro_Compras!$R377&lt;&gt;"SI","",Registro_Compras!$G377)</f>
        <v/>
      </c>
      <c r="F377" s="31" t="str">
        <f>IF(Registro_Compras!$R377&lt;&gt;"SI","",Registro_Compras!$P377)</f>
        <v/>
      </c>
      <c r="G377" s="20" t="str">
        <f>IF(Registro_Compras!$R377&lt;&gt;"SI","",Registro_Compras!$O377)</f>
        <v/>
      </c>
      <c r="H377" s="20" t="str">
        <f>IF(Registro_Compras!$R377&lt;&gt;"SI","",Registro_Compras!$S377)</f>
        <v/>
      </c>
      <c r="I377" s="25" t="str">
        <f>IF(Registro_Compras!$R377&lt;&gt;"SI","",IF(Registro_Compras!$Y377="",WORKDAY(EOMONTH(Registro_Compras!$B377,0),5,Feriados),MIN(Registro_Compras!$Y377,WORKDAY(EOMONTH(Registro_Compras!$B377,0),5,Feriados))))</f>
        <v/>
      </c>
      <c r="J377" s="25" t="str">
        <f>IF(Registro_Compras!$R377&lt;&gt;"SI","",Registro_Compras!$X377)</f>
        <v/>
      </c>
      <c r="K377" t="str">
        <f>IF(Registro_Compras!$R377&lt;&gt;"SI","",IF(Registro_Compras!$X377="","PENDIENTE","DEPOSITADA"))</f>
        <v/>
      </c>
      <c r="L377" t="str">
        <f>IF(Registro_Compras!$R377&lt;&gt;"SI","",Registro_Compras!$Z377)</f>
        <v/>
      </c>
      <c r="M377" t="str">
        <f t="shared" ca="1" si="10"/>
        <v/>
      </c>
      <c r="N377" t="str">
        <f t="shared" ca="1" si="11"/>
        <v/>
      </c>
    </row>
    <row r="378" spans="1:14" x14ac:dyDescent="0.25">
      <c r="A378" s="25" t="str">
        <f>IF(Registro_Compras!$R378&lt;&gt;"SI","",Registro_Compras!$B378)</f>
        <v/>
      </c>
      <c r="B378" t="str">
        <f>IF(Registro_Compras!$R378&lt;&gt;"SI","",Registro_Compras!$C378)</f>
        <v/>
      </c>
      <c r="C378" t="str">
        <f>IF(Registro_Compras!$R378&lt;&gt;"SI","",Registro_Compras!$D378)</f>
        <v/>
      </c>
      <c r="D378" t="str">
        <f>IF(Registro_Compras!$R378&lt;&gt;"SI","",Registro_Compras!$E378)</f>
        <v/>
      </c>
      <c r="E378" t="str">
        <f>IF(Registro_Compras!$R378&lt;&gt;"SI","",Registro_Compras!$G378)</f>
        <v/>
      </c>
      <c r="F378" s="31" t="str">
        <f>IF(Registro_Compras!$R378&lt;&gt;"SI","",Registro_Compras!$P378)</f>
        <v/>
      </c>
      <c r="G378" s="20" t="str">
        <f>IF(Registro_Compras!$R378&lt;&gt;"SI","",Registro_Compras!$O378)</f>
        <v/>
      </c>
      <c r="H378" s="20" t="str">
        <f>IF(Registro_Compras!$R378&lt;&gt;"SI","",Registro_Compras!$S378)</f>
        <v/>
      </c>
      <c r="I378" s="25" t="str">
        <f>IF(Registro_Compras!$R378&lt;&gt;"SI","",IF(Registro_Compras!$Y378="",WORKDAY(EOMONTH(Registro_Compras!$B378,0),5,Feriados),MIN(Registro_Compras!$Y378,WORKDAY(EOMONTH(Registro_Compras!$B378,0),5,Feriados))))</f>
        <v/>
      </c>
      <c r="J378" s="25" t="str">
        <f>IF(Registro_Compras!$R378&lt;&gt;"SI","",Registro_Compras!$X378)</f>
        <v/>
      </c>
      <c r="K378" t="str">
        <f>IF(Registro_Compras!$R378&lt;&gt;"SI","",IF(Registro_Compras!$X378="","PENDIENTE","DEPOSITADA"))</f>
        <v/>
      </c>
      <c r="L378" t="str">
        <f>IF(Registro_Compras!$R378&lt;&gt;"SI","",Registro_Compras!$Z378)</f>
        <v/>
      </c>
      <c r="M378" t="str">
        <f t="shared" ca="1" si="10"/>
        <v/>
      </c>
      <c r="N378" t="str">
        <f t="shared" ca="1" si="11"/>
        <v/>
      </c>
    </row>
    <row r="379" spans="1:14" x14ac:dyDescent="0.25">
      <c r="A379" s="25" t="str">
        <f>IF(Registro_Compras!$R379&lt;&gt;"SI","",Registro_Compras!$B379)</f>
        <v/>
      </c>
      <c r="B379" t="str">
        <f>IF(Registro_Compras!$R379&lt;&gt;"SI","",Registro_Compras!$C379)</f>
        <v/>
      </c>
      <c r="C379" t="str">
        <f>IF(Registro_Compras!$R379&lt;&gt;"SI","",Registro_Compras!$D379)</f>
        <v/>
      </c>
      <c r="D379" t="str">
        <f>IF(Registro_Compras!$R379&lt;&gt;"SI","",Registro_Compras!$E379)</f>
        <v/>
      </c>
      <c r="E379" t="str">
        <f>IF(Registro_Compras!$R379&lt;&gt;"SI","",Registro_Compras!$G379)</f>
        <v/>
      </c>
      <c r="F379" s="31" t="str">
        <f>IF(Registro_Compras!$R379&lt;&gt;"SI","",Registro_Compras!$P379)</f>
        <v/>
      </c>
      <c r="G379" s="20" t="str">
        <f>IF(Registro_Compras!$R379&lt;&gt;"SI","",Registro_Compras!$O379)</f>
        <v/>
      </c>
      <c r="H379" s="20" t="str">
        <f>IF(Registro_Compras!$R379&lt;&gt;"SI","",Registro_Compras!$S379)</f>
        <v/>
      </c>
      <c r="I379" s="25" t="str">
        <f>IF(Registro_Compras!$R379&lt;&gt;"SI","",IF(Registro_Compras!$Y379="",WORKDAY(EOMONTH(Registro_Compras!$B379,0),5,Feriados),MIN(Registro_Compras!$Y379,WORKDAY(EOMONTH(Registro_Compras!$B379,0),5,Feriados))))</f>
        <v/>
      </c>
      <c r="J379" s="25" t="str">
        <f>IF(Registro_Compras!$R379&lt;&gt;"SI","",Registro_Compras!$X379)</f>
        <v/>
      </c>
      <c r="K379" t="str">
        <f>IF(Registro_Compras!$R379&lt;&gt;"SI","",IF(Registro_Compras!$X379="","PENDIENTE","DEPOSITADA"))</f>
        <v/>
      </c>
      <c r="L379" t="str">
        <f>IF(Registro_Compras!$R379&lt;&gt;"SI","",Registro_Compras!$Z379)</f>
        <v/>
      </c>
      <c r="M379" t="str">
        <f t="shared" ca="1" si="10"/>
        <v/>
      </c>
      <c r="N379" t="str">
        <f t="shared" ca="1" si="11"/>
        <v/>
      </c>
    </row>
    <row r="380" spans="1:14" x14ac:dyDescent="0.25">
      <c r="A380" s="25" t="str">
        <f>IF(Registro_Compras!$R380&lt;&gt;"SI","",Registro_Compras!$B380)</f>
        <v/>
      </c>
      <c r="B380" t="str">
        <f>IF(Registro_Compras!$R380&lt;&gt;"SI","",Registro_Compras!$C380)</f>
        <v/>
      </c>
      <c r="C380" t="str">
        <f>IF(Registro_Compras!$R380&lt;&gt;"SI","",Registro_Compras!$D380)</f>
        <v/>
      </c>
      <c r="D380" t="str">
        <f>IF(Registro_Compras!$R380&lt;&gt;"SI","",Registro_Compras!$E380)</f>
        <v/>
      </c>
      <c r="E380" t="str">
        <f>IF(Registro_Compras!$R380&lt;&gt;"SI","",Registro_Compras!$G380)</f>
        <v/>
      </c>
      <c r="F380" s="31" t="str">
        <f>IF(Registro_Compras!$R380&lt;&gt;"SI","",Registro_Compras!$P380)</f>
        <v/>
      </c>
      <c r="G380" s="20" t="str">
        <f>IF(Registro_Compras!$R380&lt;&gt;"SI","",Registro_Compras!$O380)</f>
        <v/>
      </c>
      <c r="H380" s="20" t="str">
        <f>IF(Registro_Compras!$R380&lt;&gt;"SI","",Registro_Compras!$S380)</f>
        <v/>
      </c>
      <c r="I380" s="25" t="str">
        <f>IF(Registro_Compras!$R380&lt;&gt;"SI","",IF(Registro_Compras!$Y380="",WORKDAY(EOMONTH(Registro_Compras!$B380,0),5,Feriados),MIN(Registro_Compras!$Y380,WORKDAY(EOMONTH(Registro_Compras!$B380,0),5,Feriados))))</f>
        <v/>
      </c>
      <c r="J380" s="25" t="str">
        <f>IF(Registro_Compras!$R380&lt;&gt;"SI","",Registro_Compras!$X380)</f>
        <v/>
      </c>
      <c r="K380" t="str">
        <f>IF(Registro_Compras!$R380&lt;&gt;"SI","",IF(Registro_Compras!$X380="","PENDIENTE","DEPOSITADA"))</f>
        <v/>
      </c>
      <c r="L380" t="str">
        <f>IF(Registro_Compras!$R380&lt;&gt;"SI","",Registro_Compras!$Z380)</f>
        <v/>
      </c>
      <c r="M380" t="str">
        <f t="shared" ca="1" si="10"/>
        <v/>
      </c>
      <c r="N380" t="str">
        <f t="shared" ca="1" si="11"/>
        <v/>
      </c>
    </row>
    <row r="381" spans="1:14" x14ac:dyDescent="0.25">
      <c r="A381" s="25" t="str">
        <f>IF(Registro_Compras!$R381&lt;&gt;"SI","",Registro_Compras!$B381)</f>
        <v/>
      </c>
      <c r="B381" t="str">
        <f>IF(Registro_Compras!$R381&lt;&gt;"SI","",Registro_Compras!$C381)</f>
        <v/>
      </c>
      <c r="C381" t="str">
        <f>IF(Registro_Compras!$R381&lt;&gt;"SI","",Registro_Compras!$D381)</f>
        <v/>
      </c>
      <c r="D381" t="str">
        <f>IF(Registro_Compras!$R381&lt;&gt;"SI","",Registro_Compras!$E381)</f>
        <v/>
      </c>
      <c r="E381" t="str">
        <f>IF(Registro_Compras!$R381&lt;&gt;"SI","",Registro_Compras!$G381)</f>
        <v/>
      </c>
      <c r="F381" s="31" t="str">
        <f>IF(Registro_Compras!$R381&lt;&gt;"SI","",Registro_Compras!$P381)</f>
        <v/>
      </c>
      <c r="G381" s="20" t="str">
        <f>IF(Registro_Compras!$R381&lt;&gt;"SI","",Registro_Compras!$O381)</f>
        <v/>
      </c>
      <c r="H381" s="20" t="str">
        <f>IF(Registro_Compras!$R381&lt;&gt;"SI","",Registro_Compras!$S381)</f>
        <v/>
      </c>
      <c r="I381" s="25" t="str">
        <f>IF(Registro_Compras!$R381&lt;&gt;"SI","",IF(Registro_Compras!$Y381="",WORKDAY(EOMONTH(Registro_Compras!$B381,0),5,Feriados),MIN(Registro_Compras!$Y381,WORKDAY(EOMONTH(Registro_Compras!$B381,0),5,Feriados))))</f>
        <v/>
      </c>
      <c r="J381" s="25" t="str">
        <f>IF(Registro_Compras!$R381&lt;&gt;"SI","",Registro_Compras!$X381)</f>
        <v/>
      </c>
      <c r="K381" t="str">
        <f>IF(Registro_Compras!$R381&lt;&gt;"SI","",IF(Registro_Compras!$X381="","PENDIENTE","DEPOSITADA"))</f>
        <v/>
      </c>
      <c r="L381" t="str">
        <f>IF(Registro_Compras!$R381&lt;&gt;"SI","",Registro_Compras!$Z381)</f>
        <v/>
      </c>
      <c r="M381" t="str">
        <f t="shared" ca="1" si="10"/>
        <v/>
      </c>
      <c r="N381" t="str">
        <f t="shared" ca="1" si="11"/>
        <v/>
      </c>
    </row>
    <row r="382" spans="1:14" x14ac:dyDescent="0.25">
      <c r="A382" s="25" t="str">
        <f>IF(Registro_Compras!$R382&lt;&gt;"SI","",Registro_Compras!$B382)</f>
        <v/>
      </c>
      <c r="B382" t="str">
        <f>IF(Registro_Compras!$R382&lt;&gt;"SI","",Registro_Compras!$C382)</f>
        <v/>
      </c>
      <c r="C382" t="str">
        <f>IF(Registro_Compras!$R382&lt;&gt;"SI","",Registro_Compras!$D382)</f>
        <v/>
      </c>
      <c r="D382" t="str">
        <f>IF(Registro_Compras!$R382&lt;&gt;"SI","",Registro_Compras!$E382)</f>
        <v/>
      </c>
      <c r="E382" t="str">
        <f>IF(Registro_Compras!$R382&lt;&gt;"SI","",Registro_Compras!$G382)</f>
        <v/>
      </c>
      <c r="F382" s="31" t="str">
        <f>IF(Registro_Compras!$R382&lt;&gt;"SI","",Registro_Compras!$P382)</f>
        <v/>
      </c>
      <c r="G382" s="20" t="str">
        <f>IF(Registro_Compras!$R382&lt;&gt;"SI","",Registro_Compras!$O382)</f>
        <v/>
      </c>
      <c r="H382" s="20" t="str">
        <f>IF(Registro_Compras!$R382&lt;&gt;"SI","",Registro_Compras!$S382)</f>
        <v/>
      </c>
      <c r="I382" s="25" t="str">
        <f>IF(Registro_Compras!$R382&lt;&gt;"SI","",IF(Registro_Compras!$Y382="",WORKDAY(EOMONTH(Registro_Compras!$B382,0),5,Feriados),MIN(Registro_Compras!$Y382,WORKDAY(EOMONTH(Registro_Compras!$B382,0),5,Feriados))))</f>
        <v/>
      </c>
      <c r="J382" s="25" t="str">
        <f>IF(Registro_Compras!$R382&lt;&gt;"SI","",Registro_Compras!$X382)</f>
        <v/>
      </c>
      <c r="K382" t="str">
        <f>IF(Registro_Compras!$R382&lt;&gt;"SI","",IF(Registro_Compras!$X382="","PENDIENTE","DEPOSITADA"))</f>
        <v/>
      </c>
      <c r="L382" t="str">
        <f>IF(Registro_Compras!$R382&lt;&gt;"SI","",Registro_Compras!$Z382)</f>
        <v/>
      </c>
      <c r="M382" t="str">
        <f t="shared" ca="1" si="10"/>
        <v/>
      </c>
      <c r="N382" t="str">
        <f t="shared" ca="1" si="11"/>
        <v/>
      </c>
    </row>
    <row r="383" spans="1:14" x14ac:dyDescent="0.25">
      <c r="A383" s="25" t="str">
        <f>IF(Registro_Compras!$R383&lt;&gt;"SI","",Registro_Compras!$B383)</f>
        <v/>
      </c>
      <c r="B383" t="str">
        <f>IF(Registro_Compras!$R383&lt;&gt;"SI","",Registro_Compras!$C383)</f>
        <v/>
      </c>
      <c r="C383" t="str">
        <f>IF(Registro_Compras!$R383&lt;&gt;"SI","",Registro_Compras!$D383)</f>
        <v/>
      </c>
      <c r="D383" t="str">
        <f>IF(Registro_Compras!$R383&lt;&gt;"SI","",Registro_Compras!$E383)</f>
        <v/>
      </c>
      <c r="E383" t="str">
        <f>IF(Registro_Compras!$R383&lt;&gt;"SI","",Registro_Compras!$G383)</f>
        <v/>
      </c>
      <c r="F383" s="31" t="str">
        <f>IF(Registro_Compras!$R383&lt;&gt;"SI","",Registro_Compras!$P383)</f>
        <v/>
      </c>
      <c r="G383" s="20" t="str">
        <f>IF(Registro_Compras!$R383&lt;&gt;"SI","",Registro_Compras!$O383)</f>
        <v/>
      </c>
      <c r="H383" s="20" t="str">
        <f>IF(Registro_Compras!$R383&lt;&gt;"SI","",Registro_Compras!$S383)</f>
        <v/>
      </c>
      <c r="I383" s="25" t="str">
        <f>IF(Registro_Compras!$R383&lt;&gt;"SI","",IF(Registro_Compras!$Y383="",WORKDAY(EOMONTH(Registro_Compras!$B383,0),5,Feriados),MIN(Registro_Compras!$Y383,WORKDAY(EOMONTH(Registro_Compras!$B383,0),5,Feriados))))</f>
        <v/>
      </c>
      <c r="J383" s="25" t="str">
        <f>IF(Registro_Compras!$R383&lt;&gt;"SI","",Registro_Compras!$X383)</f>
        <v/>
      </c>
      <c r="K383" t="str">
        <f>IF(Registro_Compras!$R383&lt;&gt;"SI","",IF(Registro_Compras!$X383="","PENDIENTE","DEPOSITADA"))</f>
        <v/>
      </c>
      <c r="L383" t="str">
        <f>IF(Registro_Compras!$R383&lt;&gt;"SI","",Registro_Compras!$Z383)</f>
        <v/>
      </c>
      <c r="M383" t="str">
        <f t="shared" ca="1" si="10"/>
        <v/>
      </c>
      <c r="N383" t="str">
        <f t="shared" ca="1" si="11"/>
        <v/>
      </c>
    </row>
    <row r="384" spans="1:14" x14ac:dyDescent="0.25">
      <c r="A384" s="25" t="str">
        <f>IF(Registro_Compras!$R384&lt;&gt;"SI","",Registro_Compras!$B384)</f>
        <v/>
      </c>
      <c r="B384" t="str">
        <f>IF(Registro_Compras!$R384&lt;&gt;"SI","",Registro_Compras!$C384)</f>
        <v/>
      </c>
      <c r="C384" t="str">
        <f>IF(Registro_Compras!$R384&lt;&gt;"SI","",Registro_Compras!$D384)</f>
        <v/>
      </c>
      <c r="D384" t="str">
        <f>IF(Registro_Compras!$R384&lt;&gt;"SI","",Registro_Compras!$E384)</f>
        <v/>
      </c>
      <c r="E384" t="str">
        <f>IF(Registro_Compras!$R384&lt;&gt;"SI","",Registro_Compras!$G384)</f>
        <v/>
      </c>
      <c r="F384" s="31" t="str">
        <f>IF(Registro_Compras!$R384&lt;&gt;"SI","",Registro_Compras!$P384)</f>
        <v/>
      </c>
      <c r="G384" s="20" t="str">
        <f>IF(Registro_Compras!$R384&lt;&gt;"SI","",Registro_Compras!$O384)</f>
        <v/>
      </c>
      <c r="H384" s="20" t="str">
        <f>IF(Registro_Compras!$R384&lt;&gt;"SI","",Registro_Compras!$S384)</f>
        <v/>
      </c>
      <c r="I384" s="25" t="str">
        <f>IF(Registro_Compras!$R384&lt;&gt;"SI","",IF(Registro_Compras!$Y384="",WORKDAY(EOMONTH(Registro_Compras!$B384,0),5,Feriados),MIN(Registro_Compras!$Y384,WORKDAY(EOMONTH(Registro_Compras!$B384,0),5,Feriados))))</f>
        <v/>
      </c>
      <c r="J384" s="25" t="str">
        <f>IF(Registro_Compras!$R384&lt;&gt;"SI","",Registro_Compras!$X384)</f>
        <v/>
      </c>
      <c r="K384" t="str">
        <f>IF(Registro_Compras!$R384&lt;&gt;"SI","",IF(Registro_Compras!$X384="","PENDIENTE","DEPOSITADA"))</f>
        <v/>
      </c>
      <c r="L384" t="str">
        <f>IF(Registro_Compras!$R384&lt;&gt;"SI","",Registro_Compras!$Z384)</f>
        <v/>
      </c>
      <c r="M384" t="str">
        <f t="shared" ca="1" si="10"/>
        <v/>
      </c>
      <c r="N384" t="str">
        <f t="shared" ca="1" si="11"/>
        <v/>
      </c>
    </row>
    <row r="385" spans="1:14" x14ac:dyDescent="0.25">
      <c r="A385" s="25" t="str">
        <f>IF(Registro_Compras!$R385&lt;&gt;"SI","",Registro_Compras!$B385)</f>
        <v/>
      </c>
      <c r="B385" t="str">
        <f>IF(Registro_Compras!$R385&lt;&gt;"SI","",Registro_Compras!$C385)</f>
        <v/>
      </c>
      <c r="C385" t="str">
        <f>IF(Registro_Compras!$R385&lt;&gt;"SI","",Registro_Compras!$D385)</f>
        <v/>
      </c>
      <c r="D385" t="str">
        <f>IF(Registro_Compras!$R385&lt;&gt;"SI","",Registro_Compras!$E385)</f>
        <v/>
      </c>
      <c r="E385" t="str">
        <f>IF(Registro_Compras!$R385&lt;&gt;"SI","",Registro_Compras!$G385)</f>
        <v/>
      </c>
      <c r="F385" s="31" t="str">
        <f>IF(Registro_Compras!$R385&lt;&gt;"SI","",Registro_Compras!$P385)</f>
        <v/>
      </c>
      <c r="G385" s="20" t="str">
        <f>IF(Registro_Compras!$R385&lt;&gt;"SI","",Registro_Compras!$O385)</f>
        <v/>
      </c>
      <c r="H385" s="20" t="str">
        <f>IF(Registro_Compras!$R385&lt;&gt;"SI","",Registro_Compras!$S385)</f>
        <v/>
      </c>
      <c r="I385" s="25" t="str">
        <f>IF(Registro_Compras!$R385&lt;&gt;"SI","",IF(Registro_Compras!$Y385="",WORKDAY(EOMONTH(Registro_Compras!$B385,0),5,Feriados),MIN(Registro_Compras!$Y385,WORKDAY(EOMONTH(Registro_Compras!$B385,0),5,Feriados))))</f>
        <v/>
      </c>
      <c r="J385" s="25" t="str">
        <f>IF(Registro_Compras!$R385&lt;&gt;"SI","",Registro_Compras!$X385)</f>
        <v/>
      </c>
      <c r="K385" t="str">
        <f>IF(Registro_Compras!$R385&lt;&gt;"SI","",IF(Registro_Compras!$X385="","PENDIENTE","DEPOSITADA"))</f>
        <v/>
      </c>
      <c r="L385" t="str">
        <f>IF(Registro_Compras!$R385&lt;&gt;"SI","",Registro_Compras!$Z385)</f>
        <v/>
      </c>
      <c r="M385" t="str">
        <f t="shared" ca="1" si="10"/>
        <v/>
      </c>
      <c r="N385" t="str">
        <f t="shared" ca="1" si="11"/>
        <v/>
      </c>
    </row>
    <row r="386" spans="1:14" x14ac:dyDescent="0.25">
      <c r="A386" s="25" t="str">
        <f>IF(Registro_Compras!$R386&lt;&gt;"SI","",Registro_Compras!$B386)</f>
        <v/>
      </c>
      <c r="B386" t="str">
        <f>IF(Registro_Compras!$R386&lt;&gt;"SI","",Registro_Compras!$C386)</f>
        <v/>
      </c>
      <c r="C386" t="str">
        <f>IF(Registro_Compras!$R386&lt;&gt;"SI","",Registro_Compras!$D386)</f>
        <v/>
      </c>
      <c r="D386" t="str">
        <f>IF(Registro_Compras!$R386&lt;&gt;"SI","",Registro_Compras!$E386)</f>
        <v/>
      </c>
      <c r="E386" t="str">
        <f>IF(Registro_Compras!$R386&lt;&gt;"SI","",Registro_Compras!$G386)</f>
        <v/>
      </c>
      <c r="F386" s="31" t="str">
        <f>IF(Registro_Compras!$R386&lt;&gt;"SI","",Registro_Compras!$P386)</f>
        <v/>
      </c>
      <c r="G386" s="20" t="str">
        <f>IF(Registro_Compras!$R386&lt;&gt;"SI","",Registro_Compras!$O386)</f>
        <v/>
      </c>
      <c r="H386" s="20" t="str">
        <f>IF(Registro_Compras!$R386&lt;&gt;"SI","",Registro_Compras!$S386)</f>
        <v/>
      </c>
      <c r="I386" s="25" t="str">
        <f>IF(Registro_Compras!$R386&lt;&gt;"SI","",IF(Registro_Compras!$Y386="",WORKDAY(EOMONTH(Registro_Compras!$B386,0),5,Feriados),MIN(Registro_Compras!$Y386,WORKDAY(EOMONTH(Registro_Compras!$B386,0),5,Feriados))))</f>
        <v/>
      </c>
      <c r="J386" s="25" t="str">
        <f>IF(Registro_Compras!$R386&lt;&gt;"SI","",Registro_Compras!$X386)</f>
        <v/>
      </c>
      <c r="K386" t="str">
        <f>IF(Registro_Compras!$R386&lt;&gt;"SI","",IF(Registro_Compras!$X386="","PENDIENTE","DEPOSITADA"))</f>
        <v/>
      </c>
      <c r="L386" t="str">
        <f>IF(Registro_Compras!$R386&lt;&gt;"SI","",Registro_Compras!$Z386)</f>
        <v/>
      </c>
      <c r="M386" t="str">
        <f t="shared" ca="1" si="10"/>
        <v/>
      </c>
      <c r="N386" t="str">
        <f t="shared" ca="1" si="11"/>
        <v/>
      </c>
    </row>
    <row r="387" spans="1:14" x14ac:dyDescent="0.25">
      <c r="A387" s="25" t="str">
        <f>IF(Registro_Compras!$R387&lt;&gt;"SI","",Registro_Compras!$B387)</f>
        <v/>
      </c>
      <c r="B387" t="str">
        <f>IF(Registro_Compras!$R387&lt;&gt;"SI","",Registro_Compras!$C387)</f>
        <v/>
      </c>
      <c r="C387" t="str">
        <f>IF(Registro_Compras!$R387&lt;&gt;"SI","",Registro_Compras!$D387)</f>
        <v/>
      </c>
      <c r="D387" t="str">
        <f>IF(Registro_Compras!$R387&lt;&gt;"SI","",Registro_Compras!$E387)</f>
        <v/>
      </c>
      <c r="E387" t="str">
        <f>IF(Registro_Compras!$R387&lt;&gt;"SI","",Registro_Compras!$G387)</f>
        <v/>
      </c>
      <c r="F387" s="31" t="str">
        <f>IF(Registro_Compras!$R387&lt;&gt;"SI","",Registro_Compras!$P387)</f>
        <v/>
      </c>
      <c r="G387" s="20" t="str">
        <f>IF(Registro_Compras!$R387&lt;&gt;"SI","",Registro_Compras!$O387)</f>
        <v/>
      </c>
      <c r="H387" s="20" t="str">
        <f>IF(Registro_Compras!$R387&lt;&gt;"SI","",Registro_Compras!$S387)</f>
        <v/>
      </c>
      <c r="I387" s="25" t="str">
        <f>IF(Registro_Compras!$R387&lt;&gt;"SI","",IF(Registro_Compras!$Y387="",WORKDAY(EOMONTH(Registro_Compras!$B387,0),5,Feriados),MIN(Registro_Compras!$Y387,WORKDAY(EOMONTH(Registro_Compras!$B387,0),5,Feriados))))</f>
        <v/>
      </c>
      <c r="J387" s="25" t="str">
        <f>IF(Registro_Compras!$R387&lt;&gt;"SI","",Registro_Compras!$X387)</f>
        <v/>
      </c>
      <c r="K387" t="str">
        <f>IF(Registro_Compras!$R387&lt;&gt;"SI","",IF(Registro_Compras!$X387="","PENDIENTE","DEPOSITADA"))</f>
        <v/>
      </c>
      <c r="L387" t="str">
        <f>IF(Registro_Compras!$R387&lt;&gt;"SI","",Registro_Compras!$Z387)</f>
        <v/>
      </c>
      <c r="M387" t="str">
        <f t="shared" ca="1" si="10"/>
        <v/>
      </c>
      <c r="N387" t="str">
        <f t="shared" ca="1" si="11"/>
        <v/>
      </c>
    </row>
    <row r="388" spans="1:14" x14ac:dyDescent="0.25">
      <c r="A388" s="25" t="str">
        <f>IF(Registro_Compras!$R388&lt;&gt;"SI","",Registro_Compras!$B388)</f>
        <v/>
      </c>
      <c r="B388" t="str">
        <f>IF(Registro_Compras!$R388&lt;&gt;"SI","",Registro_Compras!$C388)</f>
        <v/>
      </c>
      <c r="C388" t="str">
        <f>IF(Registro_Compras!$R388&lt;&gt;"SI","",Registro_Compras!$D388)</f>
        <v/>
      </c>
      <c r="D388" t="str">
        <f>IF(Registro_Compras!$R388&lt;&gt;"SI","",Registro_Compras!$E388)</f>
        <v/>
      </c>
      <c r="E388" t="str">
        <f>IF(Registro_Compras!$R388&lt;&gt;"SI","",Registro_Compras!$G388)</f>
        <v/>
      </c>
      <c r="F388" s="31" t="str">
        <f>IF(Registro_Compras!$R388&lt;&gt;"SI","",Registro_Compras!$P388)</f>
        <v/>
      </c>
      <c r="G388" s="20" t="str">
        <f>IF(Registro_Compras!$R388&lt;&gt;"SI","",Registro_Compras!$O388)</f>
        <v/>
      </c>
      <c r="H388" s="20" t="str">
        <f>IF(Registro_Compras!$R388&lt;&gt;"SI","",Registro_Compras!$S388)</f>
        <v/>
      </c>
      <c r="I388" s="25" t="str">
        <f>IF(Registro_Compras!$R388&lt;&gt;"SI","",IF(Registro_Compras!$Y388="",WORKDAY(EOMONTH(Registro_Compras!$B388,0),5,Feriados),MIN(Registro_Compras!$Y388,WORKDAY(EOMONTH(Registro_Compras!$B388,0),5,Feriados))))</f>
        <v/>
      </c>
      <c r="J388" s="25" t="str">
        <f>IF(Registro_Compras!$R388&lt;&gt;"SI","",Registro_Compras!$X388)</f>
        <v/>
      </c>
      <c r="K388" t="str">
        <f>IF(Registro_Compras!$R388&lt;&gt;"SI","",IF(Registro_Compras!$X388="","PENDIENTE","DEPOSITADA"))</f>
        <v/>
      </c>
      <c r="L388" t="str">
        <f>IF(Registro_Compras!$R388&lt;&gt;"SI","",Registro_Compras!$Z388)</f>
        <v/>
      </c>
      <c r="M388" t="str">
        <f t="shared" ref="M388:M451" ca="1" si="12">IF($K388&lt;&gt;"PENDIENTE","",IF(TODAY()&gt;$I388,TODAY()-$I388,0))</f>
        <v/>
      </c>
      <c r="N388" t="str">
        <f t="shared" ref="N388:N451" ca="1" si="13">IF($K388&lt;&gt;"PENDIENTE","",IF($M388&gt;0,"VENCIDA - DEPOSITAR YA",IF($I388-TODAY()&lt;=3,"POR VENCER","EN PLAZO")))</f>
        <v/>
      </c>
    </row>
    <row r="389" spans="1:14" x14ac:dyDescent="0.25">
      <c r="A389" s="25" t="str">
        <f>IF(Registro_Compras!$R389&lt;&gt;"SI","",Registro_Compras!$B389)</f>
        <v/>
      </c>
      <c r="B389" t="str">
        <f>IF(Registro_Compras!$R389&lt;&gt;"SI","",Registro_Compras!$C389)</f>
        <v/>
      </c>
      <c r="C389" t="str">
        <f>IF(Registro_Compras!$R389&lt;&gt;"SI","",Registro_Compras!$D389)</f>
        <v/>
      </c>
      <c r="D389" t="str">
        <f>IF(Registro_Compras!$R389&lt;&gt;"SI","",Registro_Compras!$E389)</f>
        <v/>
      </c>
      <c r="E389" t="str">
        <f>IF(Registro_Compras!$R389&lt;&gt;"SI","",Registro_Compras!$G389)</f>
        <v/>
      </c>
      <c r="F389" s="31" t="str">
        <f>IF(Registro_Compras!$R389&lt;&gt;"SI","",Registro_Compras!$P389)</f>
        <v/>
      </c>
      <c r="G389" s="20" t="str">
        <f>IF(Registro_Compras!$R389&lt;&gt;"SI","",Registro_Compras!$O389)</f>
        <v/>
      </c>
      <c r="H389" s="20" t="str">
        <f>IF(Registro_Compras!$R389&lt;&gt;"SI","",Registro_Compras!$S389)</f>
        <v/>
      </c>
      <c r="I389" s="25" t="str">
        <f>IF(Registro_Compras!$R389&lt;&gt;"SI","",IF(Registro_Compras!$Y389="",WORKDAY(EOMONTH(Registro_Compras!$B389,0),5,Feriados),MIN(Registro_Compras!$Y389,WORKDAY(EOMONTH(Registro_Compras!$B389,0),5,Feriados))))</f>
        <v/>
      </c>
      <c r="J389" s="25" t="str">
        <f>IF(Registro_Compras!$R389&lt;&gt;"SI","",Registro_Compras!$X389)</f>
        <v/>
      </c>
      <c r="K389" t="str">
        <f>IF(Registro_Compras!$R389&lt;&gt;"SI","",IF(Registro_Compras!$X389="","PENDIENTE","DEPOSITADA"))</f>
        <v/>
      </c>
      <c r="L389" t="str">
        <f>IF(Registro_Compras!$R389&lt;&gt;"SI","",Registro_Compras!$Z389)</f>
        <v/>
      </c>
      <c r="M389" t="str">
        <f t="shared" ca="1" si="12"/>
        <v/>
      </c>
      <c r="N389" t="str">
        <f t="shared" ca="1" si="13"/>
        <v/>
      </c>
    </row>
    <row r="390" spans="1:14" x14ac:dyDescent="0.25">
      <c r="A390" s="25" t="str">
        <f>IF(Registro_Compras!$R390&lt;&gt;"SI","",Registro_Compras!$B390)</f>
        <v/>
      </c>
      <c r="B390" t="str">
        <f>IF(Registro_Compras!$R390&lt;&gt;"SI","",Registro_Compras!$C390)</f>
        <v/>
      </c>
      <c r="C390" t="str">
        <f>IF(Registro_Compras!$R390&lt;&gt;"SI","",Registro_Compras!$D390)</f>
        <v/>
      </c>
      <c r="D390" t="str">
        <f>IF(Registro_Compras!$R390&lt;&gt;"SI","",Registro_Compras!$E390)</f>
        <v/>
      </c>
      <c r="E390" t="str">
        <f>IF(Registro_Compras!$R390&lt;&gt;"SI","",Registro_Compras!$G390)</f>
        <v/>
      </c>
      <c r="F390" s="31" t="str">
        <f>IF(Registro_Compras!$R390&lt;&gt;"SI","",Registro_Compras!$P390)</f>
        <v/>
      </c>
      <c r="G390" s="20" t="str">
        <f>IF(Registro_Compras!$R390&lt;&gt;"SI","",Registro_Compras!$O390)</f>
        <v/>
      </c>
      <c r="H390" s="20" t="str">
        <f>IF(Registro_Compras!$R390&lt;&gt;"SI","",Registro_Compras!$S390)</f>
        <v/>
      </c>
      <c r="I390" s="25" t="str">
        <f>IF(Registro_Compras!$R390&lt;&gt;"SI","",IF(Registro_Compras!$Y390="",WORKDAY(EOMONTH(Registro_Compras!$B390,0),5,Feriados),MIN(Registro_Compras!$Y390,WORKDAY(EOMONTH(Registro_Compras!$B390,0),5,Feriados))))</f>
        <v/>
      </c>
      <c r="J390" s="25" t="str">
        <f>IF(Registro_Compras!$R390&lt;&gt;"SI","",Registro_Compras!$X390)</f>
        <v/>
      </c>
      <c r="K390" t="str">
        <f>IF(Registro_Compras!$R390&lt;&gt;"SI","",IF(Registro_Compras!$X390="","PENDIENTE","DEPOSITADA"))</f>
        <v/>
      </c>
      <c r="L390" t="str">
        <f>IF(Registro_Compras!$R390&lt;&gt;"SI","",Registro_Compras!$Z390)</f>
        <v/>
      </c>
      <c r="M390" t="str">
        <f t="shared" ca="1" si="12"/>
        <v/>
      </c>
      <c r="N390" t="str">
        <f t="shared" ca="1" si="13"/>
        <v/>
      </c>
    </row>
    <row r="391" spans="1:14" x14ac:dyDescent="0.25">
      <c r="A391" s="25" t="str">
        <f>IF(Registro_Compras!$R391&lt;&gt;"SI","",Registro_Compras!$B391)</f>
        <v/>
      </c>
      <c r="B391" t="str">
        <f>IF(Registro_Compras!$R391&lt;&gt;"SI","",Registro_Compras!$C391)</f>
        <v/>
      </c>
      <c r="C391" t="str">
        <f>IF(Registro_Compras!$R391&lt;&gt;"SI","",Registro_Compras!$D391)</f>
        <v/>
      </c>
      <c r="D391" t="str">
        <f>IF(Registro_Compras!$R391&lt;&gt;"SI","",Registro_Compras!$E391)</f>
        <v/>
      </c>
      <c r="E391" t="str">
        <f>IF(Registro_Compras!$R391&lt;&gt;"SI","",Registro_Compras!$G391)</f>
        <v/>
      </c>
      <c r="F391" s="31" t="str">
        <f>IF(Registro_Compras!$R391&lt;&gt;"SI","",Registro_Compras!$P391)</f>
        <v/>
      </c>
      <c r="G391" s="20" t="str">
        <f>IF(Registro_Compras!$R391&lt;&gt;"SI","",Registro_Compras!$O391)</f>
        <v/>
      </c>
      <c r="H391" s="20" t="str">
        <f>IF(Registro_Compras!$R391&lt;&gt;"SI","",Registro_Compras!$S391)</f>
        <v/>
      </c>
      <c r="I391" s="25" t="str">
        <f>IF(Registro_Compras!$R391&lt;&gt;"SI","",IF(Registro_Compras!$Y391="",WORKDAY(EOMONTH(Registro_Compras!$B391,0),5,Feriados),MIN(Registro_Compras!$Y391,WORKDAY(EOMONTH(Registro_Compras!$B391,0),5,Feriados))))</f>
        <v/>
      </c>
      <c r="J391" s="25" t="str">
        <f>IF(Registro_Compras!$R391&lt;&gt;"SI","",Registro_Compras!$X391)</f>
        <v/>
      </c>
      <c r="K391" t="str">
        <f>IF(Registro_Compras!$R391&lt;&gt;"SI","",IF(Registro_Compras!$X391="","PENDIENTE","DEPOSITADA"))</f>
        <v/>
      </c>
      <c r="L391" t="str">
        <f>IF(Registro_Compras!$R391&lt;&gt;"SI","",Registro_Compras!$Z391)</f>
        <v/>
      </c>
      <c r="M391" t="str">
        <f t="shared" ca="1" si="12"/>
        <v/>
      </c>
      <c r="N391" t="str">
        <f t="shared" ca="1" si="13"/>
        <v/>
      </c>
    </row>
    <row r="392" spans="1:14" x14ac:dyDescent="0.25">
      <c r="A392" s="25" t="str">
        <f>IF(Registro_Compras!$R392&lt;&gt;"SI","",Registro_Compras!$B392)</f>
        <v/>
      </c>
      <c r="B392" t="str">
        <f>IF(Registro_Compras!$R392&lt;&gt;"SI","",Registro_Compras!$C392)</f>
        <v/>
      </c>
      <c r="C392" t="str">
        <f>IF(Registro_Compras!$R392&lt;&gt;"SI","",Registro_Compras!$D392)</f>
        <v/>
      </c>
      <c r="D392" t="str">
        <f>IF(Registro_Compras!$R392&lt;&gt;"SI","",Registro_Compras!$E392)</f>
        <v/>
      </c>
      <c r="E392" t="str">
        <f>IF(Registro_Compras!$R392&lt;&gt;"SI","",Registro_Compras!$G392)</f>
        <v/>
      </c>
      <c r="F392" s="31" t="str">
        <f>IF(Registro_Compras!$R392&lt;&gt;"SI","",Registro_Compras!$P392)</f>
        <v/>
      </c>
      <c r="G392" s="20" t="str">
        <f>IF(Registro_Compras!$R392&lt;&gt;"SI","",Registro_Compras!$O392)</f>
        <v/>
      </c>
      <c r="H392" s="20" t="str">
        <f>IF(Registro_Compras!$R392&lt;&gt;"SI","",Registro_Compras!$S392)</f>
        <v/>
      </c>
      <c r="I392" s="25" t="str">
        <f>IF(Registro_Compras!$R392&lt;&gt;"SI","",IF(Registro_Compras!$Y392="",WORKDAY(EOMONTH(Registro_Compras!$B392,0),5,Feriados),MIN(Registro_Compras!$Y392,WORKDAY(EOMONTH(Registro_Compras!$B392,0),5,Feriados))))</f>
        <v/>
      </c>
      <c r="J392" s="25" t="str">
        <f>IF(Registro_Compras!$R392&lt;&gt;"SI","",Registro_Compras!$X392)</f>
        <v/>
      </c>
      <c r="K392" t="str">
        <f>IF(Registro_Compras!$R392&lt;&gt;"SI","",IF(Registro_Compras!$X392="","PENDIENTE","DEPOSITADA"))</f>
        <v/>
      </c>
      <c r="L392" t="str">
        <f>IF(Registro_Compras!$R392&lt;&gt;"SI","",Registro_Compras!$Z392)</f>
        <v/>
      </c>
      <c r="M392" t="str">
        <f t="shared" ca="1" si="12"/>
        <v/>
      </c>
      <c r="N392" t="str">
        <f t="shared" ca="1" si="13"/>
        <v/>
      </c>
    </row>
    <row r="393" spans="1:14" x14ac:dyDescent="0.25">
      <c r="A393" s="25" t="str">
        <f>IF(Registro_Compras!$R393&lt;&gt;"SI","",Registro_Compras!$B393)</f>
        <v/>
      </c>
      <c r="B393" t="str">
        <f>IF(Registro_Compras!$R393&lt;&gt;"SI","",Registro_Compras!$C393)</f>
        <v/>
      </c>
      <c r="C393" t="str">
        <f>IF(Registro_Compras!$R393&lt;&gt;"SI","",Registro_Compras!$D393)</f>
        <v/>
      </c>
      <c r="D393" t="str">
        <f>IF(Registro_Compras!$R393&lt;&gt;"SI","",Registro_Compras!$E393)</f>
        <v/>
      </c>
      <c r="E393" t="str">
        <f>IF(Registro_Compras!$R393&lt;&gt;"SI","",Registro_Compras!$G393)</f>
        <v/>
      </c>
      <c r="F393" s="31" t="str">
        <f>IF(Registro_Compras!$R393&lt;&gt;"SI","",Registro_Compras!$P393)</f>
        <v/>
      </c>
      <c r="G393" s="20" t="str">
        <f>IF(Registro_Compras!$R393&lt;&gt;"SI","",Registro_Compras!$O393)</f>
        <v/>
      </c>
      <c r="H393" s="20" t="str">
        <f>IF(Registro_Compras!$R393&lt;&gt;"SI","",Registro_Compras!$S393)</f>
        <v/>
      </c>
      <c r="I393" s="25" t="str">
        <f>IF(Registro_Compras!$R393&lt;&gt;"SI","",IF(Registro_Compras!$Y393="",WORKDAY(EOMONTH(Registro_Compras!$B393,0),5,Feriados),MIN(Registro_Compras!$Y393,WORKDAY(EOMONTH(Registro_Compras!$B393,0),5,Feriados))))</f>
        <v/>
      </c>
      <c r="J393" s="25" t="str">
        <f>IF(Registro_Compras!$R393&lt;&gt;"SI","",Registro_Compras!$X393)</f>
        <v/>
      </c>
      <c r="K393" t="str">
        <f>IF(Registro_Compras!$R393&lt;&gt;"SI","",IF(Registro_Compras!$X393="","PENDIENTE","DEPOSITADA"))</f>
        <v/>
      </c>
      <c r="L393" t="str">
        <f>IF(Registro_Compras!$R393&lt;&gt;"SI","",Registro_Compras!$Z393)</f>
        <v/>
      </c>
      <c r="M393" t="str">
        <f t="shared" ca="1" si="12"/>
        <v/>
      </c>
      <c r="N393" t="str">
        <f t="shared" ca="1" si="13"/>
        <v/>
      </c>
    </row>
    <row r="394" spans="1:14" x14ac:dyDescent="0.25">
      <c r="A394" s="25" t="str">
        <f>IF(Registro_Compras!$R394&lt;&gt;"SI","",Registro_Compras!$B394)</f>
        <v/>
      </c>
      <c r="B394" t="str">
        <f>IF(Registro_Compras!$R394&lt;&gt;"SI","",Registro_Compras!$C394)</f>
        <v/>
      </c>
      <c r="C394" t="str">
        <f>IF(Registro_Compras!$R394&lt;&gt;"SI","",Registro_Compras!$D394)</f>
        <v/>
      </c>
      <c r="D394" t="str">
        <f>IF(Registro_Compras!$R394&lt;&gt;"SI","",Registro_Compras!$E394)</f>
        <v/>
      </c>
      <c r="E394" t="str">
        <f>IF(Registro_Compras!$R394&lt;&gt;"SI","",Registro_Compras!$G394)</f>
        <v/>
      </c>
      <c r="F394" s="31" t="str">
        <f>IF(Registro_Compras!$R394&lt;&gt;"SI","",Registro_Compras!$P394)</f>
        <v/>
      </c>
      <c r="G394" s="20" t="str">
        <f>IF(Registro_Compras!$R394&lt;&gt;"SI","",Registro_Compras!$O394)</f>
        <v/>
      </c>
      <c r="H394" s="20" t="str">
        <f>IF(Registro_Compras!$R394&lt;&gt;"SI","",Registro_Compras!$S394)</f>
        <v/>
      </c>
      <c r="I394" s="25" t="str">
        <f>IF(Registro_Compras!$R394&lt;&gt;"SI","",IF(Registro_Compras!$Y394="",WORKDAY(EOMONTH(Registro_Compras!$B394,0),5,Feriados),MIN(Registro_Compras!$Y394,WORKDAY(EOMONTH(Registro_Compras!$B394,0),5,Feriados))))</f>
        <v/>
      </c>
      <c r="J394" s="25" t="str">
        <f>IF(Registro_Compras!$R394&lt;&gt;"SI","",Registro_Compras!$X394)</f>
        <v/>
      </c>
      <c r="K394" t="str">
        <f>IF(Registro_Compras!$R394&lt;&gt;"SI","",IF(Registro_Compras!$X394="","PENDIENTE","DEPOSITADA"))</f>
        <v/>
      </c>
      <c r="L394" t="str">
        <f>IF(Registro_Compras!$R394&lt;&gt;"SI","",Registro_Compras!$Z394)</f>
        <v/>
      </c>
      <c r="M394" t="str">
        <f t="shared" ca="1" si="12"/>
        <v/>
      </c>
      <c r="N394" t="str">
        <f t="shared" ca="1" si="13"/>
        <v/>
      </c>
    </row>
    <row r="395" spans="1:14" x14ac:dyDescent="0.25">
      <c r="A395" s="25" t="str">
        <f>IF(Registro_Compras!$R395&lt;&gt;"SI","",Registro_Compras!$B395)</f>
        <v/>
      </c>
      <c r="B395" t="str">
        <f>IF(Registro_Compras!$R395&lt;&gt;"SI","",Registro_Compras!$C395)</f>
        <v/>
      </c>
      <c r="C395" t="str">
        <f>IF(Registro_Compras!$R395&lt;&gt;"SI","",Registro_Compras!$D395)</f>
        <v/>
      </c>
      <c r="D395" t="str">
        <f>IF(Registro_Compras!$R395&lt;&gt;"SI","",Registro_Compras!$E395)</f>
        <v/>
      </c>
      <c r="E395" t="str">
        <f>IF(Registro_Compras!$R395&lt;&gt;"SI","",Registro_Compras!$G395)</f>
        <v/>
      </c>
      <c r="F395" s="31" t="str">
        <f>IF(Registro_Compras!$R395&lt;&gt;"SI","",Registro_Compras!$P395)</f>
        <v/>
      </c>
      <c r="G395" s="20" t="str">
        <f>IF(Registro_Compras!$R395&lt;&gt;"SI","",Registro_Compras!$O395)</f>
        <v/>
      </c>
      <c r="H395" s="20" t="str">
        <f>IF(Registro_Compras!$R395&lt;&gt;"SI","",Registro_Compras!$S395)</f>
        <v/>
      </c>
      <c r="I395" s="25" t="str">
        <f>IF(Registro_Compras!$R395&lt;&gt;"SI","",IF(Registro_Compras!$Y395="",WORKDAY(EOMONTH(Registro_Compras!$B395,0),5,Feriados),MIN(Registro_Compras!$Y395,WORKDAY(EOMONTH(Registro_Compras!$B395,0),5,Feriados))))</f>
        <v/>
      </c>
      <c r="J395" s="25" t="str">
        <f>IF(Registro_Compras!$R395&lt;&gt;"SI","",Registro_Compras!$X395)</f>
        <v/>
      </c>
      <c r="K395" t="str">
        <f>IF(Registro_Compras!$R395&lt;&gt;"SI","",IF(Registro_Compras!$X395="","PENDIENTE","DEPOSITADA"))</f>
        <v/>
      </c>
      <c r="L395" t="str">
        <f>IF(Registro_Compras!$R395&lt;&gt;"SI","",Registro_Compras!$Z395)</f>
        <v/>
      </c>
      <c r="M395" t="str">
        <f t="shared" ca="1" si="12"/>
        <v/>
      </c>
      <c r="N395" t="str">
        <f t="shared" ca="1" si="13"/>
        <v/>
      </c>
    </row>
    <row r="396" spans="1:14" x14ac:dyDescent="0.25">
      <c r="A396" s="25" t="str">
        <f>IF(Registro_Compras!$R396&lt;&gt;"SI","",Registro_Compras!$B396)</f>
        <v/>
      </c>
      <c r="B396" t="str">
        <f>IF(Registro_Compras!$R396&lt;&gt;"SI","",Registro_Compras!$C396)</f>
        <v/>
      </c>
      <c r="C396" t="str">
        <f>IF(Registro_Compras!$R396&lt;&gt;"SI","",Registro_Compras!$D396)</f>
        <v/>
      </c>
      <c r="D396" t="str">
        <f>IF(Registro_Compras!$R396&lt;&gt;"SI","",Registro_Compras!$E396)</f>
        <v/>
      </c>
      <c r="E396" t="str">
        <f>IF(Registro_Compras!$R396&lt;&gt;"SI","",Registro_Compras!$G396)</f>
        <v/>
      </c>
      <c r="F396" s="31" t="str">
        <f>IF(Registro_Compras!$R396&lt;&gt;"SI","",Registro_Compras!$P396)</f>
        <v/>
      </c>
      <c r="G396" s="20" t="str">
        <f>IF(Registro_Compras!$R396&lt;&gt;"SI","",Registro_Compras!$O396)</f>
        <v/>
      </c>
      <c r="H396" s="20" t="str">
        <f>IF(Registro_Compras!$R396&lt;&gt;"SI","",Registro_Compras!$S396)</f>
        <v/>
      </c>
      <c r="I396" s="25" t="str">
        <f>IF(Registro_Compras!$R396&lt;&gt;"SI","",IF(Registro_Compras!$Y396="",WORKDAY(EOMONTH(Registro_Compras!$B396,0),5,Feriados),MIN(Registro_Compras!$Y396,WORKDAY(EOMONTH(Registro_Compras!$B396,0),5,Feriados))))</f>
        <v/>
      </c>
      <c r="J396" s="25" t="str">
        <f>IF(Registro_Compras!$R396&lt;&gt;"SI","",Registro_Compras!$X396)</f>
        <v/>
      </c>
      <c r="K396" t="str">
        <f>IF(Registro_Compras!$R396&lt;&gt;"SI","",IF(Registro_Compras!$X396="","PENDIENTE","DEPOSITADA"))</f>
        <v/>
      </c>
      <c r="L396" t="str">
        <f>IF(Registro_Compras!$R396&lt;&gt;"SI","",Registro_Compras!$Z396)</f>
        <v/>
      </c>
      <c r="M396" t="str">
        <f t="shared" ca="1" si="12"/>
        <v/>
      </c>
      <c r="N396" t="str">
        <f t="shared" ca="1" si="13"/>
        <v/>
      </c>
    </row>
    <row r="397" spans="1:14" x14ac:dyDescent="0.25">
      <c r="A397" s="25" t="str">
        <f>IF(Registro_Compras!$R397&lt;&gt;"SI","",Registro_Compras!$B397)</f>
        <v/>
      </c>
      <c r="B397" t="str">
        <f>IF(Registro_Compras!$R397&lt;&gt;"SI","",Registro_Compras!$C397)</f>
        <v/>
      </c>
      <c r="C397" t="str">
        <f>IF(Registro_Compras!$R397&lt;&gt;"SI","",Registro_Compras!$D397)</f>
        <v/>
      </c>
      <c r="D397" t="str">
        <f>IF(Registro_Compras!$R397&lt;&gt;"SI","",Registro_Compras!$E397)</f>
        <v/>
      </c>
      <c r="E397" t="str">
        <f>IF(Registro_Compras!$R397&lt;&gt;"SI","",Registro_Compras!$G397)</f>
        <v/>
      </c>
      <c r="F397" s="31" t="str">
        <f>IF(Registro_Compras!$R397&lt;&gt;"SI","",Registro_Compras!$P397)</f>
        <v/>
      </c>
      <c r="G397" s="20" t="str">
        <f>IF(Registro_Compras!$R397&lt;&gt;"SI","",Registro_Compras!$O397)</f>
        <v/>
      </c>
      <c r="H397" s="20" t="str">
        <f>IF(Registro_Compras!$R397&lt;&gt;"SI","",Registro_Compras!$S397)</f>
        <v/>
      </c>
      <c r="I397" s="25" t="str">
        <f>IF(Registro_Compras!$R397&lt;&gt;"SI","",IF(Registro_Compras!$Y397="",WORKDAY(EOMONTH(Registro_Compras!$B397,0),5,Feriados),MIN(Registro_Compras!$Y397,WORKDAY(EOMONTH(Registro_Compras!$B397,0),5,Feriados))))</f>
        <v/>
      </c>
      <c r="J397" s="25" t="str">
        <f>IF(Registro_Compras!$R397&lt;&gt;"SI","",Registro_Compras!$X397)</f>
        <v/>
      </c>
      <c r="K397" t="str">
        <f>IF(Registro_Compras!$R397&lt;&gt;"SI","",IF(Registro_Compras!$X397="","PENDIENTE","DEPOSITADA"))</f>
        <v/>
      </c>
      <c r="L397" t="str">
        <f>IF(Registro_Compras!$R397&lt;&gt;"SI","",Registro_Compras!$Z397)</f>
        <v/>
      </c>
      <c r="M397" t="str">
        <f t="shared" ca="1" si="12"/>
        <v/>
      </c>
      <c r="N397" t="str">
        <f t="shared" ca="1" si="13"/>
        <v/>
      </c>
    </row>
    <row r="398" spans="1:14" x14ac:dyDescent="0.25">
      <c r="A398" s="25" t="str">
        <f>IF(Registro_Compras!$R398&lt;&gt;"SI","",Registro_Compras!$B398)</f>
        <v/>
      </c>
      <c r="B398" t="str">
        <f>IF(Registro_Compras!$R398&lt;&gt;"SI","",Registro_Compras!$C398)</f>
        <v/>
      </c>
      <c r="C398" t="str">
        <f>IF(Registro_Compras!$R398&lt;&gt;"SI","",Registro_Compras!$D398)</f>
        <v/>
      </c>
      <c r="D398" t="str">
        <f>IF(Registro_Compras!$R398&lt;&gt;"SI","",Registro_Compras!$E398)</f>
        <v/>
      </c>
      <c r="E398" t="str">
        <f>IF(Registro_Compras!$R398&lt;&gt;"SI","",Registro_Compras!$G398)</f>
        <v/>
      </c>
      <c r="F398" s="31" t="str">
        <f>IF(Registro_Compras!$R398&lt;&gt;"SI","",Registro_Compras!$P398)</f>
        <v/>
      </c>
      <c r="G398" s="20" t="str">
        <f>IF(Registro_Compras!$R398&lt;&gt;"SI","",Registro_Compras!$O398)</f>
        <v/>
      </c>
      <c r="H398" s="20" t="str">
        <f>IF(Registro_Compras!$R398&lt;&gt;"SI","",Registro_Compras!$S398)</f>
        <v/>
      </c>
      <c r="I398" s="25" t="str">
        <f>IF(Registro_Compras!$R398&lt;&gt;"SI","",IF(Registro_Compras!$Y398="",WORKDAY(EOMONTH(Registro_Compras!$B398,0),5,Feriados),MIN(Registro_Compras!$Y398,WORKDAY(EOMONTH(Registro_Compras!$B398,0),5,Feriados))))</f>
        <v/>
      </c>
      <c r="J398" s="25" t="str">
        <f>IF(Registro_Compras!$R398&lt;&gt;"SI","",Registro_Compras!$X398)</f>
        <v/>
      </c>
      <c r="K398" t="str">
        <f>IF(Registro_Compras!$R398&lt;&gt;"SI","",IF(Registro_Compras!$X398="","PENDIENTE","DEPOSITADA"))</f>
        <v/>
      </c>
      <c r="L398" t="str">
        <f>IF(Registro_Compras!$R398&lt;&gt;"SI","",Registro_Compras!$Z398)</f>
        <v/>
      </c>
      <c r="M398" t="str">
        <f t="shared" ca="1" si="12"/>
        <v/>
      </c>
      <c r="N398" t="str">
        <f t="shared" ca="1" si="13"/>
        <v/>
      </c>
    </row>
    <row r="399" spans="1:14" x14ac:dyDescent="0.25">
      <c r="A399" s="25" t="str">
        <f>IF(Registro_Compras!$R399&lt;&gt;"SI","",Registro_Compras!$B399)</f>
        <v/>
      </c>
      <c r="B399" t="str">
        <f>IF(Registro_Compras!$R399&lt;&gt;"SI","",Registro_Compras!$C399)</f>
        <v/>
      </c>
      <c r="C399" t="str">
        <f>IF(Registro_Compras!$R399&lt;&gt;"SI","",Registro_Compras!$D399)</f>
        <v/>
      </c>
      <c r="D399" t="str">
        <f>IF(Registro_Compras!$R399&lt;&gt;"SI","",Registro_Compras!$E399)</f>
        <v/>
      </c>
      <c r="E399" t="str">
        <f>IF(Registro_Compras!$R399&lt;&gt;"SI","",Registro_Compras!$G399)</f>
        <v/>
      </c>
      <c r="F399" s="31" t="str">
        <f>IF(Registro_Compras!$R399&lt;&gt;"SI","",Registro_Compras!$P399)</f>
        <v/>
      </c>
      <c r="G399" s="20" t="str">
        <f>IF(Registro_Compras!$R399&lt;&gt;"SI","",Registro_Compras!$O399)</f>
        <v/>
      </c>
      <c r="H399" s="20" t="str">
        <f>IF(Registro_Compras!$R399&lt;&gt;"SI","",Registro_Compras!$S399)</f>
        <v/>
      </c>
      <c r="I399" s="25" t="str">
        <f>IF(Registro_Compras!$R399&lt;&gt;"SI","",IF(Registro_Compras!$Y399="",WORKDAY(EOMONTH(Registro_Compras!$B399,0),5,Feriados),MIN(Registro_Compras!$Y399,WORKDAY(EOMONTH(Registro_Compras!$B399,0),5,Feriados))))</f>
        <v/>
      </c>
      <c r="J399" s="25" t="str">
        <f>IF(Registro_Compras!$R399&lt;&gt;"SI","",Registro_Compras!$X399)</f>
        <v/>
      </c>
      <c r="K399" t="str">
        <f>IF(Registro_Compras!$R399&lt;&gt;"SI","",IF(Registro_Compras!$X399="","PENDIENTE","DEPOSITADA"))</f>
        <v/>
      </c>
      <c r="L399" t="str">
        <f>IF(Registro_Compras!$R399&lt;&gt;"SI","",Registro_Compras!$Z399)</f>
        <v/>
      </c>
      <c r="M399" t="str">
        <f t="shared" ca="1" si="12"/>
        <v/>
      </c>
      <c r="N399" t="str">
        <f t="shared" ca="1" si="13"/>
        <v/>
      </c>
    </row>
    <row r="400" spans="1:14" x14ac:dyDescent="0.25">
      <c r="A400" s="25" t="str">
        <f>IF(Registro_Compras!$R400&lt;&gt;"SI","",Registro_Compras!$B400)</f>
        <v/>
      </c>
      <c r="B400" t="str">
        <f>IF(Registro_Compras!$R400&lt;&gt;"SI","",Registro_Compras!$C400)</f>
        <v/>
      </c>
      <c r="C400" t="str">
        <f>IF(Registro_Compras!$R400&lt;&gt;"SI","",Registro_Compras!$D400)</f>
        <v/>
      </c>
      <c r="D400" t="str">
        <f>IF(Registro_Compras!$R400&lt;&gt;"SI","",Registro_Compras!$E400)</f>
        <v/>
      </c>
      <c r="E400" t="str">
        <f>IF(Registro_Compras!$R400&lt;&gt;"SI","",Registro_Compras!$G400)</f>
        <v/>
      </c>
      <c r="F400" s="31" t="str">
        <f>IF(Registro_Compras!$R400&lt;&gt;"SI","",Registro_Compras!$P400)</f>
        <v/>
      </c>
      <c r="G400" s="20" t="str">
        <f>IF(Registro_Compras!$R400&lt;&gt;"SI","",Registro_Compras!$O400)</f>
        <v/>
      </c>
      <c r="H400" s="20" t="str">
        <f>IF(Registro_Compras!$R400&lt;&gt;"SI","",Registro_Compras!$S400)</f>
        <v/>
      </c>
      <c r="I400" s="25" t="str">
        <f>IF(Registro_Compras!$R400&lt;&gt;"SI","",IF(Registro_Compras!$Y400="",WORKDAY(EOMONTH(Registro_Compras!$B400,0),5,Feriados),MIN(Registro_Compras!$Y400,WORKDAY(EOMONTH(Registro_Compras!$B400,0),5,Feriados))))</f>
        <v/>
      </c>
      <c r="J400" s="25" t="str">
        <f>IF(Registro_Compras!$R400&lt;&gt;"SI","",Registro_Compras!$X400)</f>
        <v/>
      </c>
      <c r="K400" t="str">
        <f>IF(Registro_Compras!$R400&lt;&gt;"SI","",IF(Registro_Compras!$X400="","PENDIENTE","DEPOSITADA"))</f>
        <v/>
      </c>
      <c r="L400" t="str">
        <f>IF(Registro_Compras!$R400&lt;&gt;"SI","",Registro_Compras!$Z400)</f>
        <v/>
      </c>
      <c r="M400" t="str">
        <f t="shared" ca="1" si="12"/>
        <v/>
      </c>
      <c r="N400" t="str">
        <f t="shared" ca="1" si="13"/>
        <v/>
      </c>
    </row>
    <row r="401" spans="1:14" x14ac:dyDescent="0.25">
      <c r="A401" s="25" t="str">
        <f>IF(Registro_Compras!$R401&lt;&gt;"SI","",Registro_Compras!$B401)</f>
        <v/>
      </c>
      <c r="B401" t="str">
        <f>IF(Registro_Compras!$R401&lt;&gt;"SI","",Registro_Compras!$C401)</f>
        <v/>
      </c>
      <c r="C401" t="str">
        <f>IF(Registro_Compras!$R401&lt;&gt;"SI","",Registro_Compras!$D401)</f>
        <v/>
      </c>
      <c r="D401" t="str">
        <f>IF(Registro_Compras!$R401&lt;&gt;"SI","",Registro_Compras!$E401)</f>
        <v/>
      </c>
      <c r="E401" t="str">
        <f>IF(Registro_Compras!$R401&lt;&gt;"SI","",Registro_Compras!$G401)</f>
        <v/>
      </c>
      <c r="F401" s="31" t="str">
        <f>IF(Registro_Compras!$R401&lt;&gt;"SI","",Registro_Compras!$P401)</f>
        <v/>
      </c>
      <c r="G401" s="20" t="str">
        <f>IF(Registro_Compras!$R401&lt;&gt;"SI","",Registro_Compras!$O401)</f>
        <v/>
      </c>
      <c r="H401" s="20" t="str">
        <f>IF(Registro_Compras!$R401&lt;&gt;"SI","",Registro_Compras!$S401)</f>
        <v/>
      </c>
      <c r="I401" s="25" t="str">
        <f>IF(Registro_Compras!$R401&lt;&gt;"SI","",IF(Registro_Compras!$Y401="",WORKDAY(EOMONTH(Registro_Compras!$B401,0),5,Feriados),MIN(Registro_Compras!$Y401,WORKDAY(EOMONTH(Registro_Compras!$B401,0),5,Feriados))))</f>
        <v/>
      </c>
      <c r="J401" s="25" t="str">
        <f>IF(Registro_Compras!$R401&lt;&gt;"SI","",Registro_Compras!$X401)</f>
        <v/>
      </c>
      <c r="K401" t="str">
        <f>IF(Registro_Compras!$R401&lt;&gt;"SI","",IF(Registro_Compras!$X401="","PENDIENTE","DEPOSITADA"))</f>
        <v/>
      </c>
      <c r="L401" t="str">
        <f>IF(Registro_Compras!$R401&lt;&gt;"SI","",Registro_Compras!$Z401)</f>
        <v/>
      </c>
      <c r="M401" t="str">
        <f t="shared" ca="1" si="12"/>
        <v/>
      </c>
      <c r="N401" t="str">
        <f t="shared" ca="1" si="13"/>
        <v/>
      </c>
    </row>
    <row r="402" spans="1:14" x14ac:dyDescent="0.25">
      <c r="A402" s="25" t="str">
        <f>IF(Registro_Compras!$R402&lt;&gt;"SI","",Registro_Compras!$B402)</f>
        <v/>
      </c>
      <c r="B402" t="str">
        <f>IF(Registro_Compras!$R402&lt;&gt;"SI","",Registro_Compras!$C402)</f>
        <v/>
      </c>
      <c r="C402" t="str">
        <f>IF(Registro_Compras!$R402&lt;&gt;"SI","",Registro_Compras!$D402)</f>
        <v/>
      </c>
      <c r="D402" t="str">
        <f>IF(Registro_Compras!$R402&lt;&gt;"SI","",Registro_Compras!$E402)</f>
        <v/>
      </c>
      <c r="E402" t="str">
        <f>IF(Registro_Compras!$R402&lt;&gt;"SI","",Registro_Compras!$G402)</f>
        <v/>
      </c>
      <c r="F402" s="31" t="str">
        <f>IF(Registro_Compras!$R402&lt;&gt;"SI","",Registro_Compras!$P402)</f>
        <v/>
      </c>
      <c r="G402" s="20" t="str">
        <f>IF(Registro_Compras!$R402&lt;&gt;"SI","",Registro_Compras!$O402)</f>
        <v/>
      </c>
      <c r="H402" s="20" t="str">
        <f>IF(Registro_Compras!$R402&lt;&gt;"SI","",Registro_Compras!$S402)</f>
        <v/>
      </c>
      <c r="I402" s="25" t="str">
        <f>IF(Registro_Compras!$R402&lt;&gt;"SI","",IF(Registro_Compras!$Y402="",WORKDAY(EOMONTH(Registro_Compras!$B402,0),5,Feriados),MIN(Registro_Compras!$Y402,WORKDAY(EOMONTH(Registro_Compras!$B402,0),5,Feriados))))</f>
        <v/>
      </c>
      <c r="J402" s="25" t="str">
        <f>IF(Registro_Compras!$R402&lt;&gt;"SI","",Registro_Compras!$X402)</f>
        <v/>
      </c>
      <c r="K402" t="str">
        <f>IF(Registro_Compras!$R402&lt;&gt;"SI","",IF(Registro_Compras!$X402="","PENDIENTE","DEPOSITADA"))</f>
        <v/>
      </c>
      <c r="L402" t="str">
        <f>IF(Registro_Compras!$R402&lt;&gt;"SI","",Registro_Compras!$Z402)</f>
        <v/>
      </c>
      <c r="M402" t="str">
        <f t="shared" ca="1" si="12"/>
        <v/>
      </c>
      <c r="N402" t="str">
        <f t="shared" ca="1" si="13"/>
        <v/>
      </c>
    </row>
    <row r="403" spans="1:14" x14ac:dyDescent="0.25">
      <c r="A403" s="25" t="str">
        <f>IF(Registro_Compras!$R403&lt;&gt;"SI","",Registro_Compras!$B403)</f>
        <v/>
      </c>
      <c r="B403" t="str">
        <f>IF(Registro_Compras!$R403&lt;&gt;"SI","",Registro_Compras!$C403)</f>
        <v/>
      </c>
      <c r="C403" t="str">
        <f>IF(Registro_Compras!$R403&lt;&gt;"SI","",Registro_Compras!$D403)</f>
        <v/>
      </c>
      <c r="D403" t="str">
        <f>IF(Registro_Compras!$R403&lt;&gt;"SI","",Registro_Compras!$E403)</f>
        <v/>
      </c>
      <c r="E403" t="str">
        <f>IF(Registro_Compras!$R403&lt;&gt;"SI","",Registro_Compras!$G403)</f>
        <v/>
      </c>
      <c r="F403" s="31" t="str">
        <f>IF(Registro_Compras!$R403&lt;&gt;"SI","",Registro_Compras!$P403)</f>
        <v/>
      </c>
      <c r="G403" s="20" t="str">
        <f>IF(Registro_Compras!$R403&lt;&gt;"SI","",Registro_Compras!$O403)</f>
        <v/>
      </c>
      <c r="H403" s="20" t="str">
        <f>IF(Registro_Compras!$R403&lt;&gt;"SI","",Registro_Compras!$S403)</f>
        <v/>
      </c>
      <c r="I403" s="25" t="str">
        <f>IF(Registro_Compras!$R403&lt;&gt;"SI","",IF(Registro_Compras!$Y403="",WORKDAY(EOMONTH(Registro_Compras!$B403,0),5,Feriados),MIN(Registro_Compras!$Y403,WORKDAY(EOMONTH(Registro_Compras!$B403,0),5,Feriados))))</f>
        <v/>
      </c>
      <c r="J403" s="25" t="str">
        <f>IF(Registro_Compras!$R403&lt;&gt;"SI","",Registro_Compras!$X403)</f>
        <v/>
      </c>
      <c r="K403" t="str">
        <f>IF(Registro_Compras!$R403&lt;&gt;"SI","",IF(Registro_Compras!$X403="","PENDIENTE","DEPOSITADA"))</f>
        <v/>
      </c>
      <c r="L403" t="str">
        <f>IF(Registro_Compras!$R403&lt;&gt;"SI","",Registro_Compras!$Z403)</f>
        <v/>
      </c>
      <c r="M403" t="str">
        <f t="shared" ca="1" si="12"/>
        <v/>
      </c>
      <c r="N403" t="str">
        <f t="shared" ca="1" si="13"/>
        <v/>
      </c>
    </row>
    <row r="404" spans="1:14" x14ac:dyDescent="0.25">
      <c r="A404" s="25" t="str">
        <f>IF(Registro_Compras!$R404&lt;&gt;"SI","",Registro_Compras!$B404)</f>
        <v/>
      </c>
      <c r="B404" t="str">
        <f>IF(Registro_Compras!$R404&lt;&gt;"SI","",Registro_Compras!$C404)</f>
        <v/>
      </c>
      <c r="C404" t="str">
        <f>IF(Registro_Compras!$R404&lt;&gt;"SI","",Registro_Compras!$D404)</f>
        <v/>
      </c>
      <c r="D404" t="str">
        <f>IF(Registro_Compras!$R404&lt;&gt;"SI","",Registro_Compras!$E404)</f>
        <v/>
      </c>
      <c r="E404" t="str">
        <f>IF(Registro_Compras!$R404&lt;&gt;"SI","",Registro_Compras!$G404)</f>
        <v/>
      </c>
      <c r="F404" s="31" t="str">
        <f>IF(Registro_Compras!$R404&lt;&gt;"SI","",Registro_Compras!$P404)</f>
        <v/>
      </c>
      <c r="G404" s="20" t="str">
        <f>IF(Registro_Compras!$R404&lt;&gt;"SI","",Registro_Compras!$O404)</f>
        <v/>
      </c>
      <c r="H404" s="20" t="str">
        <f>IF(Registro_Compras!$R404&lt;&gt;"SI","",Registro_Compras!$S404)</f>
        <v/>
      </c>
      <c r="I404" s="25" t="str">
        <f>IF(Registro_Compras!$R404&lt;&gt;"SI","",IF(Registro_Compras!$Y404="",WORKDAY(EOMONTH(Registro_Compras!$B404,0),5,Feriados),MIN(Registro_Compras!$Y404,WORKDAY(EOMONTH(Registro_Compras!$B404,0),5,Feriados))))</f>
        <v/>
      </c>
      <c r="J404" s="25" t="str">
        <f>IF(Registro_Compras!$R404&lt;&gt;"SI","",Registro_Compras!$X404)</f>
        <v/>
      </c>
      <c r="K404" t="str">
        <f>IF(Registro_Compras!$R404&lt;&gt;"SI","",IF(Registro_Compras!$X404="","PENDIENTE","DEPOSITADA"))</f>
        <v/>
      </c>
      <c r="L404" t="str">
        <f>IF(Registro_Compras!$R404&lt;&gt;"SI","",Registro_Compras!$Z404)</f>
        <v/>
      </c>
      <c r="M404" t="str">
        <f t="shared" ca="1" si="12"/>
        <v/>
      </c>
      <c r="N404" t="str">
        <f t="shared" ca="1" si="13"/>
        <v/>
      </c>
    </row>
    <row r="405" spans="1:14" x14ac:dyDescent="0.25">
      <c r="A405" s="25" t="str">
        <f>IF(Registro_Compras!$R405&lt;&gt;"SI","",Registro_Compras!$B405)</f>
        <v/>
      </c>
      <c r="B405" t="str">
        <f>IF(Registro_Compras!$R405&lt;&gt;"SI","",Registro_Compras!$C405)</f>
        <v/>
      </c>
      <c r="C405" t="str">
        <f>IF(Registro_Compras!$R405&lt;&gt;"SI","",Registro_Compras!$D405)</f>
        <v/>
      </c>
      <c r="D405" t="str">
        <f>IF(Registro_Compras!$R405&lt;&gt;"SI","",Registro_Compras!$E405)</f>
        <v/>
      </c>
      <c r="E405" t="str">
        <f>IF(Registro_Compras!$R405&lt;&gt;"SI","",Registro_Compras!$G405)</f>
        <v/>
      </c>
      <c r="F405" s="31" t="str">
        <f>IF(Registro_Compras!$R405&lt;&gt;"SI","",Registro_Compras!$P405)</f>
        <v/>
      </c>
      <c r="G405" s="20" t="str">
        <f>IF(Registro_Compras!$R405&lt;&gt;"SI","",Registro_Compras!$O405)</f>
        <v/>
      </c>
      <c r="H405" s="20" t="str">
        <f>IF(Registro_Compras!$R405&lt;&gt;"SI","",Registro_Compras!$S405)</f>
        <v/>
      </c>
      <c r="I405" s="25" t="str">
        <f>IF(Registro_Compras!$R405&lt;&gt;"SI","",IF(Registro_Compras!$Y405="",WORKDAY(EOMONTH(Registro_Compras!$B405,0),5,Feriados),MIN(Registro_Compras!$Y405,WORKDAY(EOMONTH(Registro_Compras!$B405,0),5,Feriados))))</f>
        <v/>
      </c>
      <c r="J405" s="25" t="str">
        <f>IF(Registro_Compras!$R405&lt;&gt;"SI","",Registro_Compras!$X405)</f>
        <v/>
      </c>
      <c r="K405" t="str">
        <f>IF(Registro_Compras!$R405&lt;&gt;"SI","",IF(Registro_Compras!$X405="","PENDIENTE","DEPOSITADA"))</f>
        <v/>
      </c>
      <c r="L405" t="str">
        <f>IF(Registro_Compras!$R405&lt;&gt;"SI","",Registro_Compras!$Z405)</f>
        <v/>
      </c>
      <c r="M405" t="str">
        <f t="shared" ca="1" si="12"/>
        <v/>
      </c>
      <c r="N405" t="str">
        <f t="shared" ca="1" si="13"/>
        <v/>
      </c>
    </row>
    <row r="406" spans="1:14" x14ac:dyDescent="0.25">
      <c r="A406" s="25" t="str">
        <f>IF(Registro_Compras!$R406&lt;&gt;"SI","",Registro_Compras!$B406)</f>
        <v/>
      </c>
      <c r="B406" t="str">
        <f>IF(Registro_Compras!$R406&lt;&gt;"SI","",Registro_Compras!$C406)</f>
        <v/>
      </c>
      <c r="C406" t="str">
        <f>IF(Registro_Compras!$R406&lt;&gt;"SI","",Registro_Compras!$D406)</f>
        <v/>
      </c>
      <c r="D406" t="str">
        <f>IF(Registro_Compras!$R406&lt;&gt;"SI","",Registro_Compras!$E406)</f>
        <v/>
      </c>
      <c r="E406" t="str">
        <f>IF(Registro_Compras!$R406&lt;&gt;"SI","",Registro_Compras!$G406)</f>
        <v/>
      </c>
      <c r="F406" s="31" t="str">
        <f>IF(Registro_Compras!$R406&lt;&gt;"SI","",Registro_Compras!$P406)</f>
        <v/>
      </c>
      <c r="G406" s="20" t="str">
        <f>IF(Registro_Compras!$R406&lt;&gt;"SI","",Registro_Compras!$O406)</f>
        <v/>
      </c>
      <c r="H406" s="20" t="str">
        <f>IF(Registro_Compras!$R406&lt;&gt;"SI","",Registro_Compras!$S406)</f>
        <v/>
      </c>
      <c r="I406" s="25" t="str">
        <f>IF(Registro_Compras!$R406&lt;&gt;"SI","",IF(Registro_Compras!$Y406="",WORKDAY(EOMONTH(Registro_Compras!$B406,0),5,Feriados),MIN(Registro_Compras!$Y406,WORKDAY(EOMONTH(Registro_Compras!$B406,0),5,Feriados))))</f>
        <v/>
      </c>
      <c r="J406" s="25" t="str">
        <f>IF(Registro_Compras!$R406&lt;&gt;"SI","",Registro_Compras!$X406)</f>
        <v/>
      </c>
      <c r="K406" t="str">
        <f>IF(Registro_Compras!$R406&lt;&gt;"SI","",IF(Registro_Compras!$X406="","PENDIENTE","DEPOSITADA"))</f>
        <v/>
      </c>
      <c r="L406" t="str">
        <f>IF(Registro_Compras!$R406&lt;&gt;"SI","",Registro_Compras!$Z406)</f>
        <v/>
      </c>
      <c r="M406" t="str">
        <f t="shared" ca="1" si="12"/>
        <v/>
      </c>
      <c r="N406" t="str">
        <f t="shared" ca="1" si="13"/>
        <v/>
      </c>
    </row>
    <row r="407" spans="1:14" x14ac:dyDescent="0.25">
      <c r="A407" s="25" t="str">
        <f>IF(Registro_Compras!$R407&lt;&gt;"SI","",Registro_Compras!$B407)</f>
        <v/>
      </c>
      <c r="B407" t="str">
        <f>IF(Registro_Compras!$R407&lt;&gt;"SI","",Registro_Compras!$C407)</f>
        <v/>
      </c>
      <c r="C407" t="str">
        <f>IF(Registro_Compras!$R407&lt;&gt;"SI","",Registro_Compras!$D407)</f>
        <v/>
      </c>
      <c r="D407" t="str">
        <f>IF(Registro_Compras!$R407&lt;&gt;"SI","",Registro_Compras!$E407)</f>
        <v/>
      </c>
      <c r="E407" t="str">
        <f>IF(Registro_Compras!$R407&lt;&gt;"SI","",Registro_Compras!$G407)</f>
        <v/>
      </c>
      <c r="F407" s="31" t="str">
        <f>IF(Registro_Compras!$R407&lt;&gt;"SI","",Registro_Compras!$P407)</f>
        <v/>
      </c>
      <c r="G407" s="20" t="str">
        <f>IF(Registro_Compras!$R407&lt;&gt;"SI","",Registro_Compras!$O407)</f>
        <v/>
      </c>
      <c r="H407" s="20" t="str">
        <f>IF(Registro_Compras!$R407&lt;&gt;"SI","",Registro_Compras!$S407)</f>
        <v/>
      </c>
      <c r="I407" s="25" t="str">
        <f>IF(Registro_Compras!$R407&lt;&gt;"SI","",IF(Registro_Compras!$Y407="",WORKDAY(EOMONTH(Registro_Compras!$B407,0),5,Feriados),MIN(Registro_Compras!$Y407,WORKDAY(EOMONTH(Registro_Compras!$B407,0),5,Feriados))))</f>
        <v/>
      </c>
      <c r="J407" s="25" t="str">
        <f>IF(Registro_Compras!$R407&lt;&gt;"SI","",Registro_Compras!$X407)</f>
        <v/>
      </c>
      <c r="K407" t="str">
        <f>IF(Registro_Compras!$R407&lt;&gt;"SI","",IF(Registro_Compras!$X407="","PENDIENTE","DEPOSITADA"))</f>
        <v/>
      </c>
      <c r="L407" t="str">
        <f>IF(Registro_Compras!$R407&lt;&gt;"SI","",Registro_Compras!$Z407)</f>
        <v/>
      </c>
      <c r="M407" t="str">
        <f t="shared" ca="1" si="12"/>
        <v/>
      </c>
      <c r="N407" t="str">
        <f t="shared" ca="1" si="13"/>
        <v/>
      </c>
    </row>
    <row r="408" spans="1:14" x14ac:dyDescent="0.25">
      <c r="A408" s="25" t="str">
        <f>IF(Registro_Compras!$R408&lt;&gt;"SI","",Registro_Compras!$B408)</f>
        <v/>
      </c>
      <c r="B408" t="str">
        <f>IF(Registro_Compras!$R408&lt;&gt;"SI","",Registro_Compras!$C408)</f>
        <v/>
      </c>
      <c r="C408" t="str">
        <f>IF(Registro_Compras!$R408&lt;&gt;"SI","",Registro_Compras!$D408)</f>
        <v/>
      </c>
      <c r="D408" t="str">
        <f>IF(Registro_Compras!$R408&lt;&gt;"SI","",Registro_Compras!$E408)</f>
        <v/>
      </c>
      <c r="E408" t="str">
        <f>IF(Registro_Compras!$R408&lt;&gt;"SI","",Registro_Compras!$G408)</f>
        <v/>
      </c>
      <c r="F408" s="31" t="str">
        <f>IF(Registro_Compras!$R408&lt;&gt;"SI","",Registro_Compras!$P408)</f>
        <v/>
      </c>
      <c r="G408" s="20" t="str">
        <f>IF(Registro_Compras!$R408&lt;&gt;"SI","",Registro_Compras!$O408)</f>
        <v/>
      </c>
      <c r="H408" s="20" t="str">
        <f>IF(Registro_Compras!$R408&lt;&gt;"SI","",Registro_Compras!$S408)</f>
        <v/>
      </c>
      <c r="I408" s="25" t="str">
        <f>IF(Registro_Compras!$R408&lt;&gt;"SI","",IF(Registro_Compras!$Y408="",WORKDAY(EOMONTH(Registro_Compras!$B408,0),5,Feriados),MIN(Registro_Compras!$Y408,WORKDAY(EOMONTH(Registro_Compras!$B408,0),5,Feriados))))</f>
        <v/>
      </c>
      <c r="J408" s="25" t="str">
        <f>IF(Registro_Compras!$R408&lt;&gt;"SI","",Registro_Compras!$X408)</f>
        <v/>
      </c>
      <c r="K408" t="str">
        <f>IF(Registro_Compras!$R408&lt;&gt;"SI","",IF(Registro_Compras!$X408="","PENDIENTE","DEPOSITADA"))</f>
        <v/>
      </c>
      <c r="L408" t="str">
        <f>IF(Registro_Compras!$R408&lt;&gt;"SI","",Registro_Compras!$Z408)</f>
        <v/>
      </c>
      <c r="M408" t="str">
        <f t="shared" ca="1" si="12"/>
        <v/>
      </c>
      <c r="N408" t="str">
        <f t="shared" ca="1" si="13"/>
        <v/>
      </c>
    </row>
    <row r="409" spans="1:14" x14ac:dyDescent="0.25">
      <c r="A409" s="25" t="str">
        <f>IF(Registro_Compras!$R409&lt;&gt;"SI","",Registro_Compras!$B409)</f>
        <v/>
      </c>
      <c r="B409" t="str">
        <f>IF(Registro_Compras!$R409&lt;&gt;"SI","",Registro_Compras!$C409)</f>
        <v/>
      </c>
      <c r="C409" t="str">
        <f>IF(Registro_Compras!$R409&lt;&gt;"SI","",Registro_Compras!$D409)</f>
        <v/>
      </c>
      <c r="D409" t="str">
        <f>IF(Registro_Compras!$R409&lt;&gt;"SI","",Registro_Compras!$E409)</f>
        <v/>
      </c>
      <c r="E409" t="str">
        <f>IF(Registro_Compras!$R409&lt;&gt;"SI","",Registro_Compras!$G409)</f>
        <v/>
      </c>
      <c r="F409" s="31" t="str">
        <f>IF(Registro_Compras!$R409&lt;&gt;"SI","",Registro_Compras!$P409)</f>
        <v/>
      </c>
      <c r="G409" s="20" t="str">
        <f>IF(Registro_Compras!$R409&lt;&gt;"SI","",Registro_Compras!$O409)</f>
        <v/>
      </c>
      <c r="H409" s="20" t="str">
        <f>IF(Registro_Compras!$R409&lt;&gt;"SI","",Registro_Compras!$S409)</f>
        <v/>
      </c>
      <c r="I409" s="25" t="str">
        <f>IF(Registro_Compras!$R409&lt;&gt;"SI","",IF(Registro_Compras!$Y409="",WORKDAY(EOMONTH(Registro_Compras!$B409,0),5,Feriados),MIN(Registro_Compras!$Y409,WORKDAY(EOMONTH(Registro_Compras!$B409,0),5,Feriados))))</f>
        <v/>
      </c>
      <c r="J409" s="25" t="str">
        <f>IF(Registro_Compras!$R409&lt;&gt;"SI","",Registro_Compras!$X409)</f>
        <v/>
      </c>
      <c r="K409" t="str">
        <f>IF(Registro_Compras!$R409&lt;&gt;"SI","",IF(Registro_Compras!$X409="","PENDIENTE","DEPOSITADA"))</f>
        <v/>
      </c>
      <c r="L409" t="str">
        <f>IF(Registro_Compras!$R409&lt;&gt;"SI","",Registro_Compras!$Z409)</f>
        <v/>
      </c>
      <c r="M409" t="str">
        <f t="shared" ca="1" si="12"/>
        <v/>
      </c>
      <c r="N409" t="str">
        <f t="shared" ca="1" si="13"/>
        <v/>
      </c>
    </row>
    <row r="410" spans="1:14" x14ac:dyDescent="0.25">
      <c r="A410" s="25" t="str">
        <f>IF(Registro_Compras!$R410&lt;&gt;"SI","",Registro_Compras!$B410)</f>
        <v/>
      </c>
      <c r="B410" t="str">
        <f>IF(Registro_Compras!$R410&lt;&gt;"SI","",Registro_Compras!$C410)</f>
        <v/>
      </c>
      <c r="C410" t="str">
        <f>IF(Registro_Compras!$R410&lt;&gt;"SI","",Registro_Compras!$D410)</f>
        <v/>
      </c>
      <c r="D410" t="str">
        <f>IF(Registro_Compras!$R410&lt;&gt;"SI","",Registro_Compras!$E410)</f>
        <v/>
      </c>
      <c r="E410" t="str">
        <f>IF(Registro_Compras!$R410&lt;&gt;"SI","",Registro_Compras!$G410)</f>
        <v/>
      </c>
      <c r="F410" s="31" t="str">
        <f>IF(Registro_Compras!$R410&lt;&gt;"SI","",Registro_Compras!$P410)</f>
        <v/>
      </c>
      <c r="G410" s="20" t="str">
        <f>IF(Registro_Compras!$R410&lt;&gt;"SI","",Registro_Compras!$O410)</f>
        <v/>
      </c>
      <c r="H410" s="20" t="str">
        <f>IF(Registro_Compras!$R410&lt;&gt;"SI","",Registro_Compras!$S410)</f>
        <v/>
      </c>
      <c r="I410" s="25" t="str">
        <f>IF(Registro_Compras!$R410&lt;&gt;"SI","",IF(Registro_Compras!$Y410="",WORKDAY(EOMONTH(Registro_Compras!$B410,0),5,Feriados),MIN(Registro_Compras!$Y410,WORKDAY(EOMONTH(Registro_Compras!$B410,0),5,Feriados))))</f>
        <v/>
      </c>
      <c r="J410" s="25" t="str">
        <f>IF(Registro_Compras!$R410&lt;&gt;"SI","",Registro_Compras!$X410)</f>
        <v/>
      </c>
      <c r="K410" t="str">
        <f>IF(Registro_Compras!$R410&lt;&gt;"SI","",IF(Registro_Compras!$X410="","PENDIENTE","DEPOSITADA"))</f>
        <v/>
      </c>
      <c r="L410" t="str">
        <f>IF(Registro_Compras!$R410&lt;&gt;"SI","",Registro_Compras!$Z410)</f>
        <v/>
      </c>
      <c r="M410" t="str">
        <f t="shared" ca="1" si="12"/>
        <v/>
      </c>
      <c r="N410" t="str">
        <f t="shared" ca="1" si="13"/>
        <v/>
      </c>
    </row>
    <row r="411" spans="1:14" x14ac:dyDescent="0.25">
      <c r="A411" s="25" t="str">
        <f>IF(Registro_Compras!$R411&lt;&gt;"SI","",Registro_Compras!$B411)</f>
        <v/>
      </c>
      <c r="B411" t="str">
        <f>IF(Registro_Compras!$R411&lt;&gt;"SI","",Registro_Compras!$C411)</f>
        <v/>
      </c>
      <c r="C411" t="str">
        <f>IF(Registro_Compras!$R411&lt;&gt;"SI","",Registro_Compras!$D411)</f>
        <v/>
      </c>
      <c r="D411" t="str">
        <f>IF(Registro_Compras!$R411&lt;&gt;"SI","",Registro_Compras!$E411)</f>
        <v/>
      </c>
      <c r="E411" t="str">
        <f>IF(Registro_Compras!$R411&lt;&gt;"SI","",Registro_Compras!$G411)</f>
        <v/>
      </c>
      <c r="F411" s="31" t="str">
        <f>IF(Registro_Compras!$R411&lt;&gt;"SI","",Registro_Compras!$P411)</f>
        <v/>
      </c>
      <c r="G411" s="20" t="str">
        <f>IF(Registro_Compras!$R411&lt;&gt;"SI","",Registro_Compras!$O411)</f>
        <v/>
      </c>
      <c r="H411" s="20" t="str">
        <f>IF(Registro_Compras!$R411&lt;&gt;"SI","",Registro_Compras!$S411)</f>
        <v/>
      </c>
      <c r="I411" s="25" t="str">
        <f>IF(Registro_Compras!$R411&lt;&gt;"SI","",IF(Registro_Compras!$Y411="",WORKDAY(EOMONTH(Registro_Compras!$B411,0),5,Feriados),MIN(Registro_Compras!$Y411,WORKDAY(EOMONTH(Registro_Compras!$B411,0),5,Feriados))))</f>
        <v/>
      </c>
      <c r="J411" s="25" t="str">
        <f>IF(Registro_Compras!$R411&lt;&gt;"SI","",Registro_Compras!$X411)</f>
        <v/>
      </c>
      <c r="K411" t="str">
        <f>IF(Registro_Compras!$R411&lt;&gt;"SI","",IF(Registro_Compras!$X411="","PENDIENTE","DEPOSITADA"))</f>
        <v/>
      </c>
      <c r="L411" t="str">
        <f>IF(Registro_Compras!$R411&lt;&gt;"SI","",Registro_Compras!$Z411)</f>
        <v/>
      </c>
      <c r="M411" t="str">
        <f t="shared" ca="1" si="12"/>
        <v/>
      </c>
      <c r="N411" t="str">
        <f t="shared" ca="1" si="13"/>
        <v/>
      </c>
    </row>
    <row r="412" spans="1:14" x14ac:dyDescent="0.25">
      <c r="A412" s="25" t="str">
        <f>IF(Registro_Compras!$R412&lt;&gt;"SI","",Registro_Compras!$B412)</f>
        <v/>
      </c>
      <c r="B412" t="str">
        <f>IF(Registro_Compras!$R412&lt;&gt;"SI","",Registro_Compras!$C412)</f>
        <v/>
      </c>
      <c r="C412" t="str">
        <f>IF(Registro_Compras!$R412&lt;&gt;"SI","",Registro_Compras!$D412)</f>
        <v/>
      </c>
      <c r="D412" t="str">
        <f>IF(Registro_Compras!$R412&lt;&gt;"SI","",Registro_Compras!$E412)</f>
        <v/>
      </c>
      <c r="E412" t="str">
        <f>IF(Registro_Compras!$R412&lt;&gt;"SI","",Registro_Compras!$G412)</f>
        <v/>
      </c>
      <c r="F412" s="31" t="str">
        <f>IF(Registro_Compras!$R412&lt;&gt;"SI","",Registro_Compras!$P412)</f>
        <v/>
      </c>
      <c r="G412" s="20" t="str">
        <f>IF(Registro_Compras!$R412&lt;&gt;"SI","",Registro_Compras!$O412)</f>
        <v/>
      </c>
      <c r="H412" s="20" t="str">
        <f>IF(Registro_Compras!$R412&lt;&gt;"SI","",Registro_Compras!$S412)</f>
        <v/>
      </c>
      <c r="I412" s="25" t="str">
        <f>IF(Registro_Compras!$R412&lt;&gt;"SI","",IF(Registro_Compras!$Y412="",WORKDAY(EOMONTH(Registro_Compras!$B412,0),5,Feriados),MIN(Registro_Compras!$Y412,WORKDAY(EOMONTH(Registro_Compras!$B412,0),5,Feriados))))</f>
        <v/>
      </c>
      <c r="J412" s="25" t="str">
        <f>IF(Registro_Compras!$R412&lt;&gt;"SI","",Registro_Compras!$X412)</f>
        <v/>
      </c>
      <c r="K412" t="str">
        <f>IF(Registro_Compras!$R412&lt;&gt;"SI","",IF(Registro_Compras!$X412="","PENDIENTE","DEPOSITADA"))</f>
        <v/>
      </c>
      <c r="L412" t="str">
        <f>IF(Registro_Compras!$R412&lt;&gt;"SI","",Registro_Compras!$Z412)</f>
        <v/>
      </c>
      <c r="M412" t="str">
        <f t="shared" ca="1" si="12"/>
        <v/>
      </c>
      <c r="N412" t="str">
        <f t="shared" ca="1" si="13"/>
        <v/>
      </c>
    </row>
    <row r="413" spans="1:14" x14ac:dyDescent="0.25">
      <c r="A413" s="25" t="str">
        <f>IF(Registro_Compras!$R413&lt;&gt;"SI","",Registro_Compras!$B413)</f>
        <v/>
      </c>
      <c r="B413" t="str">
        <f>IF(Registro_Compras!$R413&lt;&gt;"SI","",Registro_Compras!$C413)</f>
        <v/>
      </c>
      <c r="C413" t="str">
        <f>IF(Registro_Compras!$R413&lt;&gt;"SI","",Registro_Compras!$D413)</f>
        <v/>
      </c>
      <c r="D413" t="str">
        <f>IF(Registro_Compras!$R413&lt;&gt;"SI","",Registro_Compras!$E413)</f>
        <v/>
      </c>
      <c r="E413" t="str">
        <f>IF(Registro_Compras!$R413&lt;&gt;"SI","",Registro_Compras!$G413)</f>
        <v/>
      </c>
      <c r="F413" s="31" t="str">
        <f>IF(Registro_Compras!$R413&lt;&gt;"SI","",Registro_Compras!$P413)</f>
        <v/>
      </c>
      <c r="G413" s="20" t="str">
        <f>IF(Registro_Compras!$R413&lt;&gt;"SI","",Registro_Compras!$O413)</f>
        <v/>
      </c>
      <c r="H413" s="20" t="str">
        <f>IF(Registro_Compras!$R413&lt;&gt;"SI","",Registro_Compras!$S413)</f>
        <v/>
      </c>
      <c r="I413" s="25" t="str">
        <f>IF(Registro_Compras!$R413&lt;&gt;"SI","",IF(Registro_Compras!$Y413="",WORKDAY(EOMONTH(Registro_Compras!$B413,0),5,Feriados),MIN(Registro_Compras!$Y413,WORKDAY(EOMONTH(Registro_Compras!$B413,0),5,Feriados))))</f>
        <v/>
      </c>
      <c r="J413" s="25" t="str">
        <f>IF(Registro_Compras!$R413&lt;&gt;"SI","",Registro_Compras!$X413)</f>
        <v/>
      </c>
      <c r="K413" t="str">
        <f>IF(Registro_Compras!$R413&lt;&gt;"SI","",IF(Registro_Compras!$X413="","PENDIENTE","DEPOSITADA"))</f>
        <v/>
      </c>
      <c r="L413" t="str">
        <f>IF(Registro_Compras!$R413&lt;&gt;"SI","",Registro_Compras!$Z413)</f>
        <v/>
      </c>
      <c r="M413" t="str">
        <f t="shared" ca="1" si="12"/>
        <v/>
      </c>
      <c r="N413" t="str">
        <f t="shared" ca="1" si="13"/>
        <v/>
      </c>
    </row>
    <row r="414" spans="1:14" x14ac:dyDescent="0.25">
      <c r="A414" s="25" t="str">
        <f>IF(Registro_Compras!$R414&lt;&gt;"SI","",Registro_Compras!$B414)</f>
        <v/>
      </c>
      <c r="B414" t="str">
        <f>IF(Registro_Compras!$R414&lt;&gt;"SI","",Registro_Compras!$C414)</f>
        <v/>
      </c>
      <c r="C414" t="str">
        <f>IF(Registro_Compras!$R414&lt;&gt;"SI","",Registro_Compras!$D414)</f>
        <v/>
      </c>
      <c r="D414" t="str">
        <f>IF(Registro_Compras!$R414&lt;&gt;"SI","",Registro_Compras!$E414)</f>
        <v/>
      </c>
      <c r="E414" t="str">
        <f>IF(Registro_Compras!$R414&lt;&gt;"SI","",Registro_Compras!$G414)</f>
        <v/>
      </c>
      <c r="F414" s="31" t="str">
        <f>IF(Registro_Compras!$R414&lt;&gt;"SI","",Registro_Compras!$P414)</f>
        <v/>
      </c>
      <c r="G414" s="20" t="str">
        <f>IF(Registro_Compras!$R414&lt;&gt;"SI","",Registro_Compras!$O414)</f>
        <v/>
      </c>
      <c r="H414" s="20" t="str">
        <f>IF(Registro_Compras!$R414&lt;&gt;"SI","",Registro_Compras!$S414)</f>
        <v/>
      </c>
      <c r="I414" s="25" t="str">
        <f>IF(Registro_Compras!$R414&lt;&gt;"SI","",IF(Registro_Compras!$Y414="",WORKDAY(EOMONTH(Registro_Compras!$B414,0),5,Feriados),MIN(Registro_Compras!$Y414,WORKDAY(EOMONTH(Registro_Compras!$B414,0),5,Feriados))))</f>
        <v/>
      </c>
      <c r="J414" s="25" t="str">
        <f>IF(Registro_Compras!$R414&lt;&gt;"SI","",Registro_Compras!$X414)</f>
        <v/>
      </c>
      <c r="K414" t="str">
        <f>IF(Registro_Compras!$R414&lt;&gt;"SI","",IF(Registro_Compras!$X414="","PENDIENTE","DEPOSITADA"))</f>
        <v/>
      </c>
      <c r="L414" t="str">
        <f>IF(Registro_Compras!$R414&lt;&gt;"SI","",Registro_Compras!$Z414)</f>
        <v/>
      </c>
      <c r="M414" t="str">
        <f t="shared" ca="1" si="12"/>
        <v/>
      </c>
      <c r="N414" t="str">
        <f t="shared" ca="1" si="13"/>
        <v/>
      </c>
    </row>
    <row r="415" spans="1:14" x14ac:dyDescent="0.25">
      <c r="A415" s="25" t="str">
        <f>IF(Registro_Compras!$R415&lt;&gt;"SI","",Registro_Compras!$B415)</f>
        <v/>
      </c>
      <c r="B415" t="str">
        <f>IF(Registro_Compras!$R415&lt;&gt;"SI","",Registro_Compras!$C415)</f>
        <v/>
      </c>
      <c r="C415" t="str">
        <f>IF(Registro_Compras!$R415&lt;&gt;"SI","",Registro_Compras!$D415)</f>
        <v/>
      </c>
      <c r="D415" t="str">
        <f>IF(Registro_Compras!$R415&lt;&gt;"SI","",Registro_Compras!$E415)</f>
        <v/>
      </c>
      <c r="E415" t="str">
        <f>IF(Registro_Compras!$R415&lt;&gt;"SI","",Registro_Compras!$G415)</f>
        <v/>
      </c>
      <c r="F415" s="31" t="str">
        <f>IF(Registro_Compras!$R415&lt;&gt;"SI","",Registro_Compras!$P415)</f>
        <v/>
      </c>
      <c r="G415" s="20" t="str">
        <f>IF(Registro_Compras!$R415&lt;&gt;"SI","",Registro_Compras!$O415)</f>
        <v/>
      </c>
      <c r="H415" s="20" t="str">
        <f>IF(Registro_Compras!$R415&lt;&gt;"SI","",Registro_Compras!$S415)</f>
        <v/>
      </c>
      <c r="I415" s="25" t="str">
        <f>IF(Registro_Compras!$R415&lt;&gt;"SI","",IF(Registro_Compras!$Y415="",WORKDAY(EOMONTH(Registro_Compras!$B415,0),5,Feriados),MIN(Registro_Compras!$Y415,WORKDAY(EOMONTH(Registro_Compras!$B415,0),5,Feriados))))</f>
        <v/>
      </c>
      <c r="J415" s="25" t="str">
        <f>IF(Registro_Compras!$R415&lt;&gt;"SI","",Registro_Compras!$X415)</f>
        <v/>
      </c>
      <c r="K415" t="str">
        <f>IF(Registro_Compras!$R415&lt;&gt;"SI","",IF(Registro_Compras!$X415="","PENDIENTE","DEPOSITADA"))</f>
        <v/>
      </c>
      <c r="L415" t="str">
        <f>IF(Registro_Compras!$R415&lt;&gt;"SI","",Registro_Compras!$Z415)</f>
        <v/>
      </c>
      <c r="M415" t="str">
        <f t="shared" ca="1" si="12"/>
        <v/>
      </c>
      <c r="N415" t="str">
        <f t="shared" ca="1" si="13"/>
        <v/>
      </c>
    </row>
    <row r="416" spans="1:14" x14ac:dyDescent="0.25">
      <c r="A416" s="25" t="str">
        <f>IF(Registro_Compras!$R416&lt;&gt;"SI","",Registro_Compras!$B416)</f>
        <v/>
      </c>
      <c r="B416" t="str">
        <f>IF(Registro_Compras!$R416&lt;&gt;"SI","",Registro_Compras!$C416)</f>
        <v/>
      </c>
      <c r="C416" t="str">
        <f>IF(Registro_Compras!$R416&lt;&gt;"SI","",Registro_Compras!$D416)</f>
        <v/>
      </c>
      <c r="D416" t="str">
        <f>IF(Registro_Compras!$R416&lt;&gt;"SI","",Registro_Compras!$E416)</f>
        <v/>
      </c>
      <c r="E416" t="str">
        <f>IF(Registro_Compras!$R416&lt;&gt;"SI","",Registro_Compras!$G416)</f>
        <v/>
      </c>
      <c r="F416" s="31" t="str">
        <f>IF(Registro_Compras!$R416&lt;&gt;"SI","",Registro_Compras!$P416)</f>
        <v/>
      </c>
      <c r="G416" s="20" t="str">
        <f>IF(Registro_Compras!$R416&lt;&gt;"SI","",Registro_Compras!$O416)</f>
        <v/>
      </c>
      <c r="H416" s="20" t="str">
        <f>IF(Registro_Compras!$R416&lt;&gt;"SI","",Registro_Compras!$S416)</f>
        <v/>
      </c>
      <c r="I416" s="25" t="str">
        <f>IF(Registro_Compras!$R416&lt;&gt;"SI","",IF(Registro_Compras!$Y416="",WORKDAY(EOMONTH(Registro_Compras!$B416,0),5,Feriados),MIN(Registro_Compras!$Y416,WORKDAY(EOMONTH(Registro_Compras!$B416,0),5,Feriados))))</f>
        <v/>
      </c>
      <c r="J416" s="25" t="str">
        <f>IF(Registro_Compras!$R416&lt;&gt;"SI","",Registro_Compras!$X416)</f>
        <v/>
      </c>
      <c r="K416" t="str">
        <f>IF(Registro_Compras!$R416&lt;&gt;"SI","",IF(Registro_Compras!$X416="","PENDIENTE","DEPOSITADA"))</f>
        <v/>
      </c>
      <c r="L416" t="str">
        <f>IF(Registro_Compras!$R416&lt;&gt;"SI","",Registro_Compras!$Z416)</f>
        <v/>
      </c>
      <c r="M416" t="str">
        <f t="shared" ca="1" si="12"/>
        <v/>
      </c>
      <c r="N416" t="str">
        <f t="shared" ca="1" si="13"/>
        <v/>
      </c>
    </row>
    <row r="417" spans="1:14" x14ac:dyDescent="0.25">
      <c r="A417" s="25" t="str">
        <f>IF(Registro_Compras!$R417&lt;&gt;"SI","",Registro_Compras!$B417)</f>
        <v/>
      </c>
      <c r="B417" t="str">
        <f>IF(Registro_Compras!$R417&lt;&gt;"SI","",Registro_Compras!$C417)</f>
        <v/>
      </c>
      <c r="C417" t="str">
        <f>IF(Registro_Compras!$R417&lt;&gt;"SI","",Registro_Compras!$D417)</f>
        <v/>
      </c>
      <c r="D417" t="str">
        <f>IF(Registro_Compras!$R417&lt;&gt;"SI","",Registro_Compras!$E417)</f>
        <v/>
      </c>
      <c r="E417" t="str">
        <f>IF(Registro_Compras!$R417&lt;&gt;"SI","",Registro_Compras!$G417)</f>
        <v/>
      </c>
      <c r="F417" s="31" t="str">
        <f>IF(Registro_Compras!$R417&lt;&gt;"SI","",Registro_Compras!$P417)</f>
        <v/>
      </c>
      <c r="G417" s="20" t="str">
        <f>IF(Registro_Compras!$R417&lt;&gt;"SI","",Registro_Compras!$O417)</f>
        <v/>
      </c>
      <c r="H417" s="20" t="str">
        <f>IF(Registro_Compras!$R417&lt;&gt;"SI","",Registro_Compras!$S417)</f>
        <v/>
      </c>
      <c r="I417" s="25" t="str">
        <f>IF(Registro_Compras!$R417&lt;&gt;"SI","",IF(Registro_Compras!$Y417="",WORKDAY(EOMONTH(Registro_Compras!$B417,0),5,Feriados),MIN(Registro_Compras!$Y417,WORKDAY(EOMONTH(Registro_Compras!$B417,0),5,Feriados))))</f>
        <v/>
      </c>
      <c r="J417" s="25" t="str">
        <f>IF(Registro_Compras!$R417&lt;&gt;"SI","",Registro_Compras!$X417)</f>
        <v/>
      </c>
      <c r="K417" t="str">
        <f>IF(Registro_Compras!$R417&lt;&gt;"SI","",IF(Registro_Compras!$X417="","PENDIENTE","DEPOSITADA"))</f>
        <v/>
      </c>
      <c r="L417" t="str">
        <f>IF(Registro_Compras!$R417&lt;&gt;"SI","",Registro_Compras!$Z417)</f>
        <v/>
      </c>
      <c r="M417" t="str">
        <f t="shared" ca="1" si="12"/>
        <v/>
      </c>
      <c r="N417" t="str">
        <f t="shared" ca="1" si="13"/>
        <v/>
      </c>
    </row>
    <row r="418" spans="1:14" x14ac:dyDescent="0.25">
      <c r="A418" s="25" t="str">
        <f>IF(Registro_Compras!$R418&lt;&gt;"SI","",Registro_Compras!$B418)</f>
        <v/>
      </c>
      <c r="B418" t="str">
        <f>IF(Registro_Compras!$R418&lt;&gt;"SI","",Registro_Compras!$C418)</f>
        <v/>
      </c>
      <c r="C418" t="str">
        <f>IF(Registro_Compras!$R418&lt;&gt;"SI","",Registro_Compras!$D418)</f>
        <v/>
      </c>
      <c r="D418" t="str">
        <f>IF(Registro_Compras!$R418&lt;&gt;"SI","",Registro_Compras!$E418)</f>
        <v/>
      </c>
      <c r="E418" t="str">
        <f>IF(Registro_Compras!$R418&lt;&gt;"SI","",Registro_Compras!$G418)</f>
        <v/>
      </c>
      <c r="F418" s="31" t="str">
        <f>IF(Registro_Compras!$R418&lt;&gt;"SI","",Registro_Compras!$P418)</f>
        <v/>
      </c>
      <c r="G418" s="20" t="str">
        <f>IF(Registro_Compras!$R418&lt;&gt;"SI","",Registro_Compras!$O418)</f>
        <v/>
      </c>
      <c r="H418" s="20" t="str">
        <f>IF(Registro_Compras!$R418&lt;&gt;"SI","",Registro_Compras!$S418)</f>
        <v/>
      </c>
      <c r="I418" s="25" t="str">
        <f>IF(Registro_Compras!$R418&lt;&gt;"SI","",IF(Registro_Compras!$Y418="",WORKDAY(EOMONTH(Registro_Compras!$B418,0),5,Feriados),MIN(Registro_Compras!$Y418,WORKDAY(EOMONTH(Registro_Compras!$B418,0),5,Feriados))))</f>
        <v/>
      </c>
      <c r="J418" s="25" t="str">
        <f>IF(Registro_Compras!$R418&lt;&gt;"SI","",Registro_Compras!$X418)</f>
        <v/>
      </c>
      <c r="K418" t="str">
        <f>IF(Registro_Compras!$R418&lt;&gt;"SI","",IF(Registro_Compras!$X418="","PENDIENTE","DEPOSITADA"))</f>
        <v/>
      </c>
      <c r="L418" t="str">
        <f>IF(Registro_Compras!$R418&lt;&gt;"SI","",Registro_Compras!$Z418)</f>
        <v/>
      </c>
      <c r="M418" t="str">
        <f t="shared" ca="1" si="12"/>
        <v/>
      </c>
      <c r="N418" t="str">
        <f t="shared" ca="1" si="13"/>
        <v/>
      </c>
    </row>
    <row r="419" spans="1:14" x14ac:dyDescent="0.25">
      <c r="A419" s="25" t="str">
        <f>IF(Registro_Compras!$R419&lt;&gt;"SI","",Registro_Compras!$B419)</f>
        <v/>
      </c>
      <c r="B419" t="str">
        <f>IF(Registro_Compras!$R419&lt;&gt;"SI","",Registro_Compras!$C419)</f>
        <v/>
      </c>
      <c r="C419" t="str">
        <f>IF(Registro_Compras!$R419&lt;&gt;"SI","",Registro_Compras!$D419)</f>
        <v/>
      </c>
      <c r="D419" t="str">
        <f>IF(Registro_Compras!$R419&lt;&gt;"SI","",Registro_Compras!$E419)</f>
        <v/>
      </c>
      <c r="E419" t="str">
        <f>IF(Registro_Compras!$R419&lt;&gt;"SI","",Registro_Compras!$G419)</f>
        <v/>
      </c>
      <c r="F419" s="31" t="str">
        <f>IF(Registro_Compras!$R419&lt;&gt;"SI","",Registro_Compras!$P419)</f>
        <v/>
      </c>
      <c r="G419" s="20" t="str">
        <f>IF(Registro_Compras!$R419&lt;&gt;"SI","",Registro_Compras!$O419)</f>
        <v/>
      </c>
      <c r="H419" s="20" t="str">
        <f>IF(Registro_Compras!$R419&lt;&gt;"SI","",Registro_Compras!$S419)</f>
        <v/>
      </c>
      <c r="I419" s="25" t="str">
        <f>IF(Registro_Compras!$R419&lt;&gt;"SI","",IF(Registro_Compras!$Y419="",WORKDAY(EOMONTH(Registro_Compras!$B419,0),5,Feriados),MIN(Registro_Compras!$Y419,WORKDAY(EOMONTH(Registro_Compras!$B419,0),5,Feriados))))</f>
        <v/>
      </c>
      <c r="J419" s="25" t="str">
        <f>IF(Registro_Compras!$R419&lt;&gt;"SI","",Registro_Compras!$X419)</f>
        <v/>
      </c>
      <c r="K419" t="str">
        <f>IF(Registro_Compras!$R419&lt;&gt;"SI","",IF(Registro_Compras!$X419="","PENDIENTE","DEPOSITADA"))</f>
        <v/>
      </c>
      <c r="L419" t="str">
        <f>IF(Registro_Compras!$R419&lt;&gt;"SI","",Registro_Compras!$Z419)</f>
        <v/>
      </c>
      <c r="M419" t="str">
        <f t="shared" ca="1" si="12"/>
        <v/>
      </c>
      <c r="N419" t="str">
        <f t="shared" ca="1" si="13"/>
        <v/>
      </c>
    </row>
    <row r="420" spans="1:14" x14ac:dyDescent="0.25">
      <c r="A420" s="25" t="str">
        <f>IF(Registro_Compras!$R420&lt;&gt;"SI","",Registro_Compras!$B420)</f>
        <v/>
      </c>
      <c r="B420" t="str">
        <f>IF(Registro_Compras!$R420&lt;&gt;"SI","",Registro_Compras!$C420)</f>
        <v/>
      </c>
      <c r="C420" t="str">
        <f>IF(Registro_Compras!$R420&lt;&gt;"SI","",Registro_Compras!$D420)</f>
        <v/>
      </c>
      <c r="D420" t="str">
        <f>IF(Registro_Compras!$R420&lt;&gt;"SI","",Registro_Compras!$E420)</f>
        <v/>
      </c>
      <c r="E420" t="str">
        <f>IF(Registro_Compras!$R420&lt;&gt;"SI","",Registro_Compras!$G420)</f>
        <v/>
      </c>
      <c r="F420" s="31" t="str">
        <f>IF(Registro_Compras!$R420&lt;&gt;"SI","",Registro_Compras!$P420)</f>
        <v/>
      </c>
      <c r="G420" s="20" t="str">
        <f>IF(Registro_Compras!$R420&lt;&gt;"SI","",Registro_Compras!$O420)</f>
        <v/>
      </c>
      <c r="H420" s="20" t="str">
        <f>IF(Registro_Compras!$R420&lt;&gt;"SI","",Registro_Compras!$S420)</f>
        <v/>
      </c>
      <c r="I420" s="25" t="str">
        <f>IF(Registro_Compras!$R420&lt;&gt;"SI","",IF(Registro_Compras!$Y420="",WORKDAY(EOMONTH(Registro_Compras!$B420,0),5,Feriados),MIN(Registro_Compras!$Y420,WORKDAY(EOMONTH(Registro_Compras!$B420,0),5,Feriados))))</f>
        <v/>
      </c>
      <c r="J420" s="25" t="str">
        <f>IF(Registro_Compras!$R420&lt;&gt;"SI","",Registro_Compras!$X420)</f>
        <v/>
      </c>
      <c r="K420" t="str">
        <f>IF(Registro_Compras!$R420&lt;&gt;"SI","",IF(Registro_Compras!$X420="","PENDIENTE","DEPOSITADA"))</f>
        <v/>
      </c>
      <c r="L420" t="str">
        <f>IF(Registro_Compras!$R420&lt;&gt;"SI","",Registro_Compras!$Z420)</f>
        <v/>
      </c>
      <c r="M420" t="str">
        <f t="shared" ca="1" si="12"/>
        <v/>
      </c>
      <c r="N420" t="str">
        <f t="shared" ca="1" si="13"/>
        <v/>
      </c>
    </row>
    <row r="421" spans="1:14" x14ac:dyDescent="0.25">
      <c r="A421" s="25" t="str">
        <f>IF(Registro_Compras!$R421&lt;&gt;"SI","",Registro_Compras!$B421)</f>
        <v/>
      </c>
      <c r="B421" t="str">
        <f>IF(Registro_Compras!$R421&lt;&gt;"SI","",Registro_Compras!$C421)</f>
        <v/>
      </c>
      <c r="C421" t="str">
        <f>IF(Registro_Compras!$R421&lt;&gt;"SI","",Registro_Compras!$D421)</f>
        <v/>
      </c>
      <c r="D421" t="str">
        <f>IF(Registro_Compras!$R421&lt;&gt;"SI","",Registro_Compras!$E421)</f>
        <v/>
      </c>
      <c r="E421" t="str">
        <f>IF(Registro_Compras!$R421&lt;&gt;"SI","",Registro_Compras!$G421)</f>
        <v/>
      </c>
      <c r="F421" s="31" t="str">
        <f>IF(Registro_Compras!$R421&lt;&gt;"SI","",Registro_Compras!$P421)</f>
        <v/>
      </c>
      <c r="G421" s="20" t="str">
        <f>IF(Registro_Compras!$R421&lt;&gt;"SI","",Registro_Compras!$O421)</f>
        <v/>
      </c>
      <c r="H421" s="20" t="str">
        <f>IF(Registro_Compras!$R421&lt;&gt;"SI","",Registro_Compras!$S421)</f>
        <v/>
      </c>
      <c r="I421" s="25" t="str">
        <f>IF(Registro_Compras!$R421&lt;&gt;"SI","",IF(Registro_Compras!$Y421="",WORKDAY(EOMONTH(Registro_Compras!$B421,0),5,Feriados),MIN(Registro_Compras!$Y421,WORKDAY(EOMONTH(Registro_Compras!$B421,0),5,Feriados))))</f>
        <v/>
      </c>
      <c r="J421" s="25" t="str">
        <f>IF(Registro_Compras!$R421&lt;&gt;"SI","",Registro_Compras!$X421)</f>
        <v/>
      </c>
      <c r="K421" t="str">
        <f>IF(Registro_Compras!$R421&lt;&gt;"SI","",IF(Registro_Compras!$X421="","PENDIENTE","DEPOSITADA"))</f>
        <v/>
      </c>
      <c r="L421" t="str">
        <f>IF(Registro_Compras!$R421&lt;&gt;"SI","",Registro_Compras!$Z421)</f>
        <v/>
      </c>
      <c r="M421" t="str">
        <f t="shared" ca="1" si="12"/>
        <v/>
      </c>
      <c r="N421" t="str">
        <f t="shared" ca="1" si="13"/>
        <v/>
      </c>
    </row>
    <row r="422" spans="1:14" x14ac:dyDescent="0.25">
      <c r="A422" s="25" t="str">
        <f>IF(Registro_Compras!$R422&lt;&gt;"SI","",Registro_Compras!$B422)</f>
        <v/>
      </c>
      <c r="B422" t="str">
        <f>IF(Registro_Compras!$R422&lt;&gt;"SI","",Registro_Compras!$C422)</f>
        <v/>
      </c>
      <c r="C422" t="str">
        <f>IF(Registro_Compras!$R422&lt;&gt;"SI","",Registro_Compras!$D422)</f>
        <v/>
      </c>
      <c r="D422" t="str">
        <f>IF(Registro_Compras!$R422&lt;&gt;"SI","",Registro_Compras!$E422)</f>
        <v/>
      </c>
      <c r="E422" t="str">
        <f>IF(Registro_Compras!$R422&lt;&gt;"SI","",Registro_Compras!$G422)</f>
        <v/>
      </c>
      <c r="F422" s="31" t="str">
        <f>IF(Registro_Compras!$R422&lt;&gt;"SI","",Registro_Compras!$P422)</f>
        <v/>
      </c>
      <c r="G422" s="20" t="str">
        <f>IF(Registro_Compras!$R422&lt;&gt;"SI","",Registro_Compras!$O422)</f>
        <v/>
      </c>
      <c r="H422" s="20" t="str">
        <f>IF(Registro_Compras!$R422&lt;&gt;"SI","",Registro_Compras!$S422)</f>
        <v/>
      </c>
      <c r="I422" s="25" t="str">
        <f>IF(Registro_Compras!$R422&lt;&gt;"SI","",IF(Registro_Compras!$Y422="",WORKDAY(EOMONTH(Registro_Compras!$B422,0),5,Feriados),MIN(Registro_Compras!$Y422,WORKDAY(EOMONTH(Registro_Compras!$B422,0),5,Feriados))))</f>
        <v/>
      </c>
      <c r="J422" s="25" t="str">
        <f>IF(Registro_Compras!$R422&lt;&gt;"SI","",Registro_Compras!$X422)</f>
        <v/>
      </c>
      <c r="K422" t="str">
        <f>IF(Registro_Compras!$R422&lt;&gt;"SI","",IF(Registro_Compras!$X422="","PENDIENTE","DEPOSITADA"))</f>
        <v/>
      </c>
      <c r="L422" t="str">
        <f>IF(Registro_Compras!$R422&lt;&gt;"SI","",Registro_Compras!$Z422)</f>
        <v/>
      </c>
      <c r="M422" t="str">
        <f t="shared" ca="1" si="12"/>
        <v/>
      </c>
      <c r="N422" t="str">
        <f t="shared" ca="1" si="13"/>
        <v/>
      </c>
    </row>
    <row r="423" spans="1:14" x14ac:dyDescent="0.25">
      <c r="A423" s="25" t="str">
        <f>IF(Registro_Compras!$R423&lt;&gt;"SI","",Registro_Compras!$B423)</f>
        <v/>
      </c>
      <c r="B423" t="str">
        <f>IF(Registro_Compras!$R423&lt;&gt;"SI","",Registro_Compras!$C423)</f>
        <v/>
      </c>
      <c r="C423" t="str">
        <f>IF(Registro_Compras!$R423&lt;&gt;"SI","",Registro_Compras!$D423)</f>
        <v/>
      </c>
      <c r="D423" t="str">
        <f>IF(Registro_Compras!$R423&lt;&gt;"SI","",Registro_Compras!$E423)</f>
        <v/>
      </c>
      <c r="E423" t="str">
        <f>IF(Registro_Compras!$R423&lt;&gt;"SI","",Registro_Compras!$G423)</f>
        <v/>
      </c>
      <c r="F423" s="31" t="str">
        <f>IF(Registro_Compras!$R423&lt;&gt;"SI","",Registro_Compras!$P423)</f>
        <v/>
      </c>
      <c r="G423" s="20" t="str">
        <f>IF(Registro_Compras!$R423&lt;&gt;"SI","",Registro_Compras!$O423)</f>
        <v/>
      </c>
      <c r="H423" s="20" t="str">
        <f>IF(Registro_Compras!$R423&lt;&gt;"SI","",Registro_Compras!$S423)</f>
        <v/>
      </c>
      <c r="I423" s="25" t="str">
        <f>IF(Registro_Compras!$R423&lt;&gt;"SI","",IF(Registro_Compras!$Y423="",WORKDAY(EOMONTH(Registro_Compras!$B423,0),5,Feriados),MIN(Registro_Compras!$Y423,WORKDAY(EOMONTH(Registro_Compras!$B423,0),5,Feriados))))</f>
        <v/>
      </c>
      <c r="J423" s="25" t="str">
        <f>IF(Registro_Compras!$R423&lt;&gt;"SI","",Registro_Compras!$X423)</f>
        <v/>
      </c>
      <c r="K423" t="str">
        <f>IF(Registro_Compras!$R423&lt;&gt;"SI","",IF(Registro_Compras!$X423="","PENDIENTE","DEPOSITADA"))</f>
        <v/>
      </c>
      <c r="L423" t="str">
        <f>IF(Registro_Compras!$R423&lt;&gt;"SI","",Registro_Compras!$Z423)</f>
        <v/>
      </c>
      <c r="M423" t="str">
        <f t="shared" ca="1" si="12"/>
        <v/>
      </c>
      <c r="N423" t="str">
        <f t="shared" ca="1" si="13"/>
        <v/>
      </c>
    </row>
    <row r="424" spans="1:14" x14ac:dyDescent="0.25">
      <c r="A424" s="25" t="str">
        <f>IF(Registro_Compras!$R424&lt;&gt;"SI","",Registro_Compras!$B424)</f>
        <v/>
      </c>
      <c r="B424" t="str">
        <f>IF(Registro_Compras!$R424&lt;&gt;"SI","",Registro_Compras!$C424)</f>
        <v/>
      </c>
      <c r="C424" t="str">
        <f>IF(Registro_Compras!$R424&lt;&gt;"SI","",Registro_Compras!$D424)</f>
        <v/>
      </c>
      <c r="D424" t="str">
        <f>IF(Registro_Compras!$R424&lt;&gt;"SI","",Registro_Compras!$E424)</f>
        <v/>
      </c>
      <c r="E424" t="str">
        <f>IF(Registro_Compras!$R424&lt;&gt;"SI","",Registro_Compras!$G424)</f>
        <v/>
      </c>
      <c r="F424" s="31" t="str">
        <f>IF(Registro_Compras!$R424&lt;&gt;"SI","",Registro_Compras!$P424)</f>
        <v/>
      </c>
      <c r="G424" s="20" t="str">
        <f>IF(Registro_Compras!$R424&lt;&gt;"SI","",Registro_Compras!$O424)</f>
        <v/>
      </c>
      <c r="H424" s="20" t="str">
        <f>IF(Registro_Compras!$R424&lt;&gt;"SI","",Registro_Compras!$S424)</f>
        <v/>
      </c>
      <c r="I424" s="25" t="str">
        <f>IF(Registro_Compras!$R424&lt;&gt;"SI","",IF(Registro_Compras!$Y424="",WORKDAY(EOMONTH(Registro_Compras!$B424,0),5,Feriados),MIN(Registro_Compras!$Y424,WORKDAY(EOMONTH(Registro_Compras!$B424,0),5,Feriados))))</f>
        <v/>
      </c>
      <c r="J424" s="25" t="str">
        <f>IF(Registro_Compras!$R424&lt;&gt;"SI","",Registro_Compras!$X424)</f>
        <v/>
      </c>
      <c r="K424" t="str">
        <f>IF(Registro_Compras!$R424&lt;&gt;"SI","",IF(Registro_Compras!$X424="","PENDIENTE","DEPOSITADA"))</f>
        <v/>
      </c>
      <c r="L424" t="str">
        <f>IF(Registro_Compras!$R424&lt;&gt;"SI","",Registro_Compras!$Z424)</f>
        <v/>
      </c>
      <c r="M424" t="str">
        <f t="shared" ca="1" si="12"/>
        <v/>
      </c>
      <c r="N424" t="str">
        <f t="shared" ca="1" si="13"/>
        <v/>
      </c>
    </row>
    <row r="425" spans="1:14" x14ac:dyDescent="0.25">
      <c r="A425" s="25" t="str">
        <f>IF(Registro_Compras!$R425&lt;&gt;"SI","",Registro_Compras!$B425)</f>
        <v/>
      </c>
      <c r="B425" t="str">
        <f>IF(Registro_Compras!$R425&lt;&gt;"SI","",Registro_Compras!$C425)</f>
        <v/>
      </c>
      <c r="C425" t="str">
        <f>IF(Registro_Compras!$R425&lt;&gt;"SI","",Registro_Compras!$D425)</f>
        <v/>
      </c>
      <c r="D425" t="str">
        <f>IF(Registro_Compras!$R425&lt;&gt;"SI","",Registro_Compras!$E425)</f>
        <v/>
      </c>
      <c r="E425" t="str">
        <f>IF(Registro_Compras!$R425&lt;&gt;"SI","",Registro_Compras!$G425)</f>
        <v/>
      </c>
      <c r="F425" s="31" t="str">
        <f>IF(Registro_Compras!$R425&lt;&gt;"SI","",Registro_Compras!$P425)</f>
        <v/>
      </c>
      <c r="G425" s="20" t="str">
        <f>IF(Registro_Compras!$R425&lt;&gt;"SI","",Registro_Compras!$O425)</f>
        <v/>
      </c>
      <c r="H425" s="20" t="str">
        <f>IF(Registro_Compras!$R425&lt;&gt;"SI","",Registro_Compras!$S425)</f>
        <v/>
      </c>
      <c r="I425" s="25" t="str">
        <f>IF(Registro_Compras!$R425&lt;&gt;"SI","",IF(Registro_Compras!$Y425="",WORKDAY(EOMONTH(Registro_Compras!$B425,0),5,Feriados),MIN(Registro_Compras!$Y425,WORKDAY(EOMONTH(Registro_Compras!$B425,0),5,Feriados))))</f>
        <v/>
      </c>
      <c r="J425" s="25" t="str">
        <f>IF(Registro_Compras!$R425&lt;&gt;"SI","",Registro_Compras!$X425)</f>
        <v/>
      </c>
      <c r="K425" t="str">
        <f>IF(Registro_Compras!$R425&lt;&gt;"SI","",IF(Registro_Compras!$X425="","PENDIENTE","DEPOSITADA"))</f>
        <v/>
      </c>
      <c r="L425" t="str">
        <f>IF(Registro_Compras!$R425&lt;&gt;"SI","",Registro_Compras!$Z425)</f>
        <v/>
      </c>
      <c r="M425" t="str">
        <f t="shared" ca="1" si="12"/>
        <v/>
      </c>
      <c r="N425" t="str">
        <f t="shared" ca="1" si="13"/>
        <v/>
      </c>
    </row>
    <row r="426" spans="1:14" x14ac:dyDescent="0.25">
      <c r="A426" s="25" t="str">
        <f>IF(Registro_Compras!$R426&lt;&gt;"SI","",Registro_Compras!$B426)</f>
        <v/>
      </c>
      <c r="B426" t="str">
        <f>IF(Registro_Compras!$R426&lt;&gt;"SI","",Registro_Compras!$C426)</f>
        <v/>
      </c>
      <c r="C426" t="str">
        <f>IF(Registro_Compras!$R426&lt;&gt;"SI","",Registro_Compras!$D426)</f>
        <v/>
      </c>
      <c r="D426" t="str">
        <f>IF(Registro_Compras!$R426&lt;&gt;"SI","",Registro_Compras!$E426)</f>
        <v/>
      </c>
      <c r="E426" t="str">
        <f>IF(Registro_Compras!$R426&lt;&gt;"SI","",Registro_Compras!$G426)</f>
        <v/>
      </c>
      <c r="F426" s="31" t="str">
        <f>IF(Registro_Compras!$R426&lt;&gt;"SI","",Registro_Compras!$P426)</f>
        <v/>
      </c>
      <c r="G426" s="20" t="str">
        <f>IF(Registro_Compras!$R426&lt;&gt;"SI","",Registro_Compras!$O426)</f>
        <v/>
      </c>
      <c r="H426" s="20" t="str">
        <f>IF(Registro_Compras!$R426&lt;&gt;"SI","",Registro_Compras!$S426)</f>
        <v/>
      </c>
      <c r="I426" s="25" t="str">
        <f>IF(Registro_Compras!$R426&lt;&gt;"SI","",IF(Registro_Compras!$Y426="",WORKDAY(EOMONTH(Registro_Compras!$B426,0),5,Feriados),MIN(Registro_Compras!$Y426,WORKDAY(EOMONTH(Registro_Compras!$B426,0),5,Feriados))))</f>
        <v/>
      </c>
      <c r="J426" s="25" t="str">
        <f>IF(Registro_Compras!$R426&lt;&gt;"SI","",Registro_Compras!$X426)</f>
        <v/>
      </c>
      <c r="K426" t="str">
        <f>IF(Registro_Compras!$R426&lt;&gt;"SI","",IF(Registro_Compras!$X426="","PENDIENTE","DEPOSITADA"))</f>
        <v/>
      </c>
      <c r="L426" t="str">
        <f>IF(Registro_Compras!$R426&lt;&gt;"SI","",Registro_Compras!$Z426)</f>
        <v/>
      </c>
      <c r="M426" t="str">
        <f t="shared" ca="1" si="12"/>
        <v/>
      </c>
      <c r="N426" t="str">
        <f t="shared" ca="1" si="13"/>
        <v/>
      </c>
    </row>
    <row r="427" spans="1:14" x14ac:dyDescent="0.25">
      <c r="A427" s="25" t="str">
        <f>IF(Registro_Compras!$R427&lt;&gt;"SI","",Registro_Compras!$B427)</f>
        <v/>
      </c>
      <c r="B427" t="str">
        <f>IF(Registro_Compras!$R427&lt;&gt;"SI","",Registro_Compras!$C427)</f>
        <v/>
      </c>
      <c r="C427" t="str">
        <f>IF(Registro_Compras!$R427&lt;&gt;"SI","",Registro_Compras!$D427)</f>
        <v/>
      </c>
      <c r="D427" t="str">
        <f>IF(Registro_Compras!$R427&lt;&gt;"SI","",Registro_Compras!$E427)</f>
        <v/>
      </c>
      <c r="E427" t="str">
        <f>IF(Registro_Compras!$R427&lt;&gt;"SI","",Registro_Compras!$G427)</f>
        <v/>
      </c>
      <c r="F427" s="31" t="str">
        <f>IF(Registro_Compras!$R427&lt;&gt;"SI","",Registro_Compras!$P427)</f>
        <v/>
      </c>
      <c r="G427" s="20" t="str">
        <f>IF(Registro_Compras!$R427&lt;&gt;"SI","",Registro_Compras!$O427)</f>
        <v/>
      </c>
      <c r="H427" s="20" t="str">
        <f>IF(Registro_Compras!$R427&lt;&gt;"SI","",Registro_Compras!$S427)</f>
        <v/>
      </c>
      <c r="I427" s="25" t="str">
        <f>IF(Registro_Compras!$R427&lt;&gt;"SI","",IF(Registro_Compras!$Y427="",WORKDAY(EOMONTH(Registro_Compras!$B427,0),5,Feriados),MIN(Registro_Compras!$Y427,WORKDAY(EOMONTH(Registro_Compras!$B427,0),5,Feriados))))</f>
        <v/>
      </c>
      <c r="J427" s="25" t="str">
        <f>IF(Registro_Compras!$R427&lt;&gt;"SI","",Registro_Compras!$X427)</f>
        <v/>
      </c>
      <c r="K427" t="str">
        <f>IF(Registro_Compras!$R427&lt;&gt;"SI","",IF(Registro_Compras!$X427="","PENDIENTE","DEPOSITADA"))</f>
        <v/>
      </c>
      <c r="L427" t="str">
        <f>IF(Registro_Compras!$R427&lt;&gt;"SI","",Registro_Compras!$Z427)</f>
        <v/>
      </c>
      <c r="M427" t="str">
        <f t="shared" ca="1" si="12"/>
        <v/>
      </c>
      <c r="N427" t="str">
        <f t="shared" ca="1" si="13"/>
        <v/>
      </c>
    </row>
    <row r="428" spans="1:14" x14ac:dyDescent="0.25">
      <c r="A428" s="25" t="str">
        <f>IF(Registro_Compras!$R428&lt;&gt;"SI","",Registro_Compras!$B428)</f>
        <v/>
      </c>
      <c r="B428" t="str">
        <f>IF(Registro_Compras!$R428&lt;&gt;"SI","",Registro_Compras!$C428)</f>
        <v/>
      </c>
      <c r="C428" t="str">
        <f>IF(Registro_Compras!$R428&lt;&gt;"SI","",Registro_Compras!$D428)</f>
        <v/>
      </c>
      <c r="D428" t="str">
        <f>IF(Registro_Compras!$R428&lt;&gt;"SI","",Registro_Compras!$E428)</f>
        <v/>
      </c>
      <c r="E428" t="str">
        <f>IF(Registro_Compras!$R428&lt;&gt;"SI","",Registro_Compras!$G428)</f>
        <v/>
      </c>
      <c r="F428" s="31" t="str">
        <f>IF(Registro_Compras!$R428&lt;&gt;"SI","",Registro_Compras!$P428)</f>
        <v/>
      </c>
      <c r="G428" s="20" t="str">
        <f>IF(Registro_Compras!$R428&lt;&gt;"SI","",Registro_Compras!$O428)</f>
        <v/>
      </c>
      <c r="H428" s="20" t="str">
        <f>IF(Registro_Compras!$R428&lt;&gt;"SI","",Registro_Compras!$S428)</f>
        <v/>
      </c>
      <c r="I428" s="25" t="str">
        <f>IF(Registro_Compras!$R428&lt;&gt;"SI","",IF(Registro_Compras!$Y428="",WORKDAY(EOMONTH(Registro_Compras!$B428,0),5,Feriados),MIN(Registro_Compras!$Y428,WORKDAY(EOMONTH(Registro_Compras!$B428,0),5,Feriados))))</f>
        <v/>
      </c>
      <c r="J428" s="25" t="str">
        <f>IF(Registro_Compras!$R428&lt;&gt;"SI","",Registro_Compras!$X428)</f>
        <v/>
      </c>
      <c r="K428" t="str">
        <f>IF(Registro_Compras!$R428&lt;&gt;"SI","",IF(Registro_Compras!$X428="","PENDIENTE","DEPOSITADA"))</f>
        <v/>
      </c>
      <c r="L428" t="str">
        <f>IF(Registro_Compras!$R428&lt;&gt;"SI","",Registro_Compras!$Z428)</f>
        <v/>
      </c>
      <c r="M428" t="str">
        <f t="shared" ca="1" si="12"/>
        <v/>
      </c>
      <c r="N428" t="str">
        <f t="shared" ca="1" si="13"/>
        <v/>
      </c>
    </row>
    <row r="429" spans="1:14" x14ac:dyDescent="0.25">
      <c r="A429" s="25" t="str">
        <f>IF(Registro_Compras!$R429&lt;&gt;"SI","",Registro_Compras!$B429)</f>
        <v/>
      </c>
      <c r="B429" t="str">
        <f>IF(Registro_Compras!$R429&lt;&gt;"SI","",Registro_Compras!$C429)</f>
        <v/>
      </c>
      <c r="C429" t="str">
        <f>IF(Registro_Compras!$R429&lt;&gt;"SI","",Registro_Compras!$D429)</f>
        <v/>
      </c>
      <c r="D429" t="str">
        <f>IF(Registro_Compras!$R429&lt;&gt;"SI","",Registro_Compras!$E429)</f>
        <v/>
      </c>
      <c r="E429" t="str">
        <f>IF(Registro_Compras!$R429&lt;&gt;"SI","",Registro_Compras!$G429)</f>
        <v/>
      </c>
      <c r="F429" s="31" t="str">
        <f>IF(Registro_Compras!$R429&lt;&gt;"SI","",Registro_Compras!$P429)</f>
        <v/>
      </c>
      <c r="G429" s="20" t="str">
        <f>IF(Registro_Compras!$R429&lt;&gt;"SI","",Registro_Compras!$O429)</f>
        <v/>
      </c>
      <c r="H429" s="20" t="str">
        <f>IF(Registro_Compras!$R429&lt;&gt;"SI","",Registro_Compras!$S429)</f>
        <v/>
      </c>
      <c r="I429" s="25" t="str">
        <f>IF(Registro_Compras!$R429&lt;&gt;"SI","",IF(Registro_Compras!$Y429="",WORKDAY(EOMONTH(Registro_Compras!$B429,0),5,Feriados),MIN(Registro_Compras!$Y429,WORKDAY(EOMONTH(Registro_Compras!$B429,0),5,Feriados))))</f>
        <v/>
      </c>
      <c r="J429" s="25" t="str">
        <f>IF(Registro_Compras!$R429&lt;&gt;"SI","",Registro_Compras!$X429)</f>
        <v/>
      </c>
      <c r="K429" t="str">
        <f>IF(Registro_Compras!$R429&lt;&gt;"SI","",IF(Registro_Compras!$X429="","PENDIENTE","DEPOSITADA"))</f>
        <v/>
      </c>
      <c r="L429" t="str">
        <f>IF(Registro_Compras!$R429&lt;&gt;"SI","",Registro_Compras!$Z429)</f>
        <v/>
      </c>
      <c r="M429" t="str">
        <f t="shared" ca="1" si="12"/>
        <v/>
      </c>
      <c r="N429" t="str">
        <f t="shared" ca="1" si="13"/>
        <v/>
      </c>
    </row>
    <row r="430" spans="1:14" x14ac:dyDescent="0.25">
      <c r="A430" s="25" t="str">
        <f>IF(Registro_Compras!$R430&lt;&gt;"SI","",Registro_Compras!$B430)</f>
        <v/>
      </c>
      <c r="B430" t="str">
        <f>IF(Registro_Compras!$R430&lt;&gt;"SI","",Registro_Compras!$C430)</f>
        <v/>
      </c>
      <c r="C430" t="str">
        <f>IF(Registro_Compras!$R430&lt;&gt;"SI","",Registro_Compras!$D430)</f>
        <v/>
      </c>
      <c r="D430" t="str">
        <f>IF(Registro_Compras!$R430&lt;&gt;"SI","",Registro_Compras!$E430)</f>
        <v/>
      </c>
      <c r="E430" t="str">
        <f>IF(Registro_Compras!$R430&lt;&gt;"SI","",Registro_Compras!$G430)</f>
        <v/>
      </c>
      <c r="F430" s="31" t="str">
        <f>IF(Registro_Compras!$R430&lt;&gt;"SI","",Registro_Compras!$P430)</f>
        <v/>
      </c>
      <c r="G430" s="20" t="str">
        <f>IF(Registro_Compras!$R430&lt;&gt;"SI","",Registro_Compras!$O430)</f>
        <v/>
      </c>
      <c r="H430" s="20" t="str">
        <f>IF(Registro_Compras!$R430&lt;&gt;"SI","",Registro_Compras!$S430)</f>
        <v/>
      </c>
      <c r="I430" s="25" t="str">
        <f>IF(Registro_Compras!$R430&lt;&gt;"SI","",IF(Registro_Compras!$Y430="",WORKDAY(EOMONTH(Registro_Compras!$B430,0),5,Feriados),MIN(Registro_Compras!$Y430,WORKDAY(EOMONTH(Registro_Compras!$B430,0),5,Feriados))))</f>
        <v/>
      </c>
      <c r="J430" s="25" t="str">
        <f>IF(Registro_Compras!$R430&lt;&gt;"SI","",Registro_Compras!$X430)</f>
        <v/>
      </c>
      <c r="K430" t="str">
        <f>IF(Registro_Compras!$R430&lt;&gt;"SI","",IF(Registro_Compras!$X430="","PENDIENTE","DEPOSITADA"))</f>
        <v/>
      </c>
      <c r="L430" t="str">
        <f>IF(Registro_Compras!$R430&lt;&gt;"SI","",Registro_Compras!$Z430)</f>
        <v/>
      </c>
      <c r="M430" t="str">
        <f t="shared" ca="1" si="12"/>
        <v/>
      </c>
      <c r="N430" t="str">
        <f t="shared" ca="1" si="13"/>
        <v/>
      </c>
    </row>
    <row r="431" spans="1:14" x14ac:dyDescent="0.25">
      <c r="A431" s="25" t="str">
        <f>IF(Registro_Compras!$R431&lt;&gt;"SI","",Registro_Compras!$B431)</f>
        <v/>
      </c>
      <c r="B431" t="str">
        <f>IF(Registro_Compras!$R431&lt;&gt;"SI","",Registro_Compras!$C431)</f>
        <v/>
      </c>
      <c r="C431" t="str">
        <f>IF(Registro_Compras!$R431&lt;&gt;"SI","",Registro_Compras!$D431)</f>
        <v/>
      </c>
      <c r="D431" t="str">
        <f>IF(Registro_Compras!$R431&lt;&gt;"SI","",Registro_Compras!$E431)</f>
        <v/>
      </c>
      <c r="E431" t="str">
        <f>IF(Registro_Compras!$R431&lt;&gt;"SI","",Registro_Compras!$G431)</f>
        <v/>
      </c>
      <c r="F431" s="31" t="str">
        <f>IF(Registro_Compras!$R431&lt;&gt;"SI","",Registro_Compras!$P431)</f>
        <v/>
      </c>
      <c r="G431" s="20" t="str">
        <f>IF(Registro_Compras!$R431&lt;&gt;"SI","",Registro_Compras!$O431)</f>
        <v/>
      </c>
      <c r="H431" s="20" t="str">
        <f>IF(Registro_Compras!$R431&lt;&gt;"SI","",Registro_Compras!$S431)</f>
        <v/>
      </c>
      <c r="I431" s="25" t="str">
        <f>IF(Registro_Compras!$R431&lt;&gt;"SI","",IF(Registro_Compras!$Y431="",WORKDAY(EOMONTH(Registro_Compras!$B431,0),5,Feriados),MIN(Registro_Compras!$Y431,WORKDAY(EOMONTH(Registro_Compras!$B431,0),5,Feriados))))</f>
        <v/>
      </c>
      <c r="J431" s="25" t="str">
        <f>IF(Registro_Compras!$R431&lt;&gt;"SI","",Registro_Compras!$X431)</f>
        <v/>
      </c>
      <c r="K431" t="str">
        <f>IF(Registro_Compras!$R431&lt;&gt;"SI","",IF(Registro_Compras!$X431="","PENDIENTE","DEPOSITADA"))</f>
        <v/>
      </c>
      <c r="L431" t="str">
        <f>IF(Registro_Compras!$R431&lt;&gt;"SI","",Registro_Compras!$Z431)</f>
        <v/>
      </c>
      <c r="M431" t="str">
        <f t="shared" ca="1" si="12"/>
        <v/>
      </c>
      <c r="N431" t="str">
        <f t="shared" ca="1" si="13"/>
        <v/>
      </c>
    </row>
    <row r="432" spans="1:14" x14ac:dyDescent="0.25">
      <c r="A432" s="25" t="str">
        <f>IF(Registro_Compras!$R432&lt;&gt;"SI","",Registro_Compras!$B432)</f>
        <v/>
      </c>
      <c r="B432" t="str">
        <f>IF(Registro_Compras!$R432&lt;&gt;"SI","",Registro_Compras!$C432)</f>
        <v/>
      </c>
      <c r="C432" t="str">
        <f>IF(Registro_Compras!$R432&lt;&gt;"SI","",Registro_Compras!$D432)</f>
        <v/>
      </c>
      <c r="D432" t="str">
        <f>IF(Registro_Compras!$R432&lt;&gt;"SI","",Registro_Compras!$E432)</f>
        <v/>
      </c>
      <c r="E432" t="str">
        <f>IF(Registro_Compras!$R432&lt;&gt;"SI","",Registro_Compras!$G432)</f>
        <v/>
      </c>
      <c r="F432" s="31" t="str">
        <f>IF(Registro_Compras!$R432&lt;&gt;"SI","",Registro_Compras!$P432)</f>
        <v/>
      </c>
      <c r="G432" s="20" t="str">
        <f>IF(Registro_Compras!$R432&lt;&gt;"SI","",Registro_Compras!$O432)</f>
        <v/>
      </c>
      <c r="H432" s="20" t="str">
        <f>IF(Registro_Compras!$R432&lt;&gt;"SI","",Registro_Compras!$S432)</f>
        <v/>
      </c>
      <c r="I432" s="25" t="str">
        <f>IF(Registro_Compras!$R432&lt;&gt;"SI","",IF(Registro_Compras!$Y432="",WORKDAY(EOMONTH(Registro_Compras!$B432,0),5,Feriados),MIN(Registro_Compras!$Y432,WORKDAY(EOMONTH(Registro_Compras!$B432,0),5,Feriados))))</f>
        <v/>
      </c>
      <c r="J432" s="25" t="str">
        <f>IF(Registro_Compras!$R432&lt;&gt;"SI","",Registro_Compras!$X432)</f>
        <v/>
      </c>
      <c r="K432" t="str">
        <f>IF(Registro_Compras!$R432&lt;&gt;"SI","",IF(Registro_Compras!$X432="","PENDIENTE","DEPOSITADA"))</f>
        <v/>
      </c>
      <c r="L432" t="str">
        <f>IF(Registro_Compras!$R432&lt;&gt;"SI","",Registro_Compras!$Z432)</f>
        <v/>
      </c>
      <c r="M432" t="str">
        <f t="shared" ca="1" si="12"/>
        <v/>
      </c>
      <c r="N432" t="str">
        <f t="shared" ca="1" si="13"/>
        <v/>
      </c>
    </row>
    <row r="433" spans="1:14" x14ac:dyDescent="0.25">
      <c r="A433" s="25" t="str">
        <f>IF(Registro_Compras!$R433&lt;&gt;"SI","",Registro_Compras!$B433)</f>
        <v/>
      </c>
      <c r="B433" t="str">
        <f>IF(Registro_Compras!$R433&lt;&gt;"SI","",Registro_Compras!$C433)</f>
        <v/>
      </c>
      <c r="C433" t="str">
        <f>IF(Registro_Compras!$R433&lt;&gt;"SI","",Registro_Compras!$D433)</f>
        <v/>
      </c>
      <c r="D433" t="str">
        <f>IF(Registro_Compras!$R433&lt;&gt;"SI","",Registro_Compras!$E433)</f>
        <v/>
      </c>
      <c r="E433" t="str">
        <f>IF(Registro_Compras!$R433&lt;&gt;"SI","",Registro_Compras!$G433)</f>
        <v/>
      </c>
      <c r="F433" s="31" t="str">
        <f>IF(Registro_Compras!$R433&lt;&gt;"SI","",Registro_Compras!$P433)</f>
        <v/>
      </c>
      <c r="G433" s="20" t="str">
        <f>IF(Registro_Compras!$R433&lt;&gt;"SI","",Registro_Compras!$O433)</f>
        <v/>
      </c>
      <c r="H433" s="20" t="str">
        <f>IF(Registro_Compras!$R433&lt;&gt;"SI","",Registro_Compras!$S433)</f>
        <v/>
      </c>
      <c r="I433" s="25" t="str">
        <f>IF(Registro_Compras!$R433&lt;&gt;"SI","",IF(Registro_Compras!$Y433="",WORKDAY(EOMONTH(Registro_Compras!$B433,0),5,Feriados),MIN(Registro_Compras!$Y433,WORKDAY(EOMONTH(Registro_Compras!$B433,0),5,Feriados))))</f>
        <v/>
      </c>
      <c r="J433" s="25" t="str">
        <f>IF(Registro_Compras!$R433&lt;&gt;"SI","",Registro_Compras!$X433)</f>
        <v/>
      </c>
      <c r="K433" t="str">
        <f>IF(Registro_Compras!$R433&lt;&gt;"SI","",IF(Registro_Compras!$X433="","PENDIENTE","DEPOSITADA"))</f>
        <v/>
      </c>
      <c r="L433" t="str">
        <f>IF(Registro_Compras!$R433&lt;&gt;"SI","",Registro_Compras!$Z433)</f>
        <v/>
      </c>
      <c r="M433" t="str">
        <f t="shared" ca="1" si="12"/>
        <v/>
      </c>
      <c r="N433" t="str">
        <f t="shared" ca="1" si="13"/>
        <v/>
      </c>
    </row>
    <row r="434" spans="1:14" x14ac:dyDescent="0.25">
      <c r="A434" s="25" t="str">
        <f>IF(Registro_Compras!$R434&lt;&gt;"SI","",Registro_Compras!$B434)</f>
        <v/>
      </c>
      <c r="B434" t="str">
        <f>IF(Registro_Compras!$R434&lt;&gt;"SI","",Registro_Compras!$C434)</f>
        <v/>
      </c>
      <c r="C434" t="str">
        <f>IF(Registro_Compras!$R434&lt;&gt;"SI","",Registro_Compras!$D434)</f>
        <v/>
      </c>
      <c r="D434" t="str">
        <f>IF(Registro_Compras!$R434&lt;&gt;"SI","",Registro_Compras!$E434)</f>
        <v/>
      </c>
      <c r="E434" t="str">
        <f>IF(Registro_Compras!$R434&lt;&gt;"SI","",Registro_Compras!$G434)</f>
        <v/>
      </c>
      <c r="F434" s="31" t="str">
        <f>IF(Registro_Compras!$R434&lt;&gt;"SI","",Registro_Compras!$P434)</f>
        <v/>
      </c>
      <c r="G434" s="20" t="str">
        <f>IF(Registro_Compras!$R434&lt;&gt;"SI","",Registro_Compras!$O434)</f>
        <v/>
      </c>
      <c r="H434" s="20" t="str">
        <f>IF(Registro_Compras!$R434&lt;&gt;"SI","",Registro_Compras!$S434)</f>
        <v/>
      </c>
      <c r="I434" s="25" t="str">
        <f>IF(Registro_Compras!$R434&lt;&gt;"SI","",IF(Registro_Compras!$Y434="",WORKDAY(EOMONTH(Registro_Compras!$B434,0),5,Feriados),MIN(Registro_Compras!$Y434,WORKDAY(EOMONTH(Registro_Compras!$B434,0),5,Feriados))))</f>
        <v/>
      </c>
      <c r="J434" s="25" t="str">
        <f>IF(Registro_Compras!$R434&lt;&gt;"SI","",Registro_Compras!$X434)</f>
        <v/>
      </c>
      <c r="K434" t="str">
        <f>IF(Registro_Compras!$R434&lt;&gt;"SI","",IF(Registro_Compras!$X434="","PENDIENTE","DEPOSITADA"))</f>
        <v/>
      </c>
      <c r="L434" t="str">
        <f>IF(Registro_Compras!$R434&lt;&gt;"SI","",Registro_Compras!$Z434)</f>
        <v/>
      </c>
      <c r="M434" t="str">
        <f t="shared" ca="1" si="12"/>
        <v/>
      </c>
      <c r="N434" t="str">
        <f t="shared" ca="1" si="13"/>
        <v/>
      </c>
    </row>
    <row r="435" spans="1:14" x14ac:dyDescent="0.25">
      <c r="A435" s="25" t="str">
        <f>IF(Registro_Compras!$R435&lt;&gt;"SI","",Registro_Compras!$B435)</f>
        <v/>
      </c>
      <c r="B435" t="str">
        <f>IF(Registro_Compras!$R435&lt;&gt;"SI","",Registro_Compras!$C435)</f>
        <v/>
      </c>
      <c r="C435" t="str">
        <f>IF(Registro_Compras!$R435&lt;&gt;"SI","",Registro_Compras!$D435)</f>
        <v/>
      </c>
      <c r="D435" t="str">
        <f>IF(Registro_Compras!$R435&lt;&gt;"SI","",Registro_Compras!$E435)</f>
        <v/>
      </c>
      <c r="E435" t="str">
        <f>IF(Registro_Compras!$R435&lt;&gt;"SI","",Registro_Compras!$G435)</f>
        <v/>
      </c>
      <c r="F435" s="31" t="str">
        <f>IF(Registro_Compras!$R435&lt;&gt;"SI","",Registro_Compras!$P435)</f>
        <v/>
      </c>
      <c r="G435" s="20" t="str">
        <f>IF(Registro_Compras!$R435&lt;&gt;"SI","",Registro_Compras!$O435)</f>
        <v/>
      </c>
      <c r="H435" s="20" t="str">
        <f>IF(Registro_Compras!$R435&lt;&gt;"SI","",Registro_Compras!$S435)</f>
        <v/>
      </c>
      <c r="I435" s="25" t="str">
        <f>IF(Registro_Compras!$R435&lt;&gt;"SI","",IF(Registro_Compras!$Y435="",WORKDAY(EOMONTH(Registro_Compras!$B435,0),5,Feriados),MIN(Registro_Compras!$Y435,WORKDAY(EOMONTH(Registro_Compras!$B435,0),5,Feriados))))</f>
        <v/>
      </c>
      <c r="J435" s="25" t="str">
        <f>IF(Registro_Compras!$R435&lt;&gt;"SI","",Registro_Compras!$X435)</f>
        <v/>
      </c>
      <c r="K435" t="str">
        <f>IF(Registro_Compras!$R435&lt;&gt;"SI","",IF(Registro_Compras!$X435="","PENDIENTE","DEPOSITADA"))</f>
        <v/>
      </c>
      <c r="L435" t="str">
        <f>IF(Registro_Compras!$R435&lt;&gt;"SI","",Registro_Compras!$Z435)</f>
        <v/>
      </c>
      <c r="M435" t="str">
        <f t="shared" ca="1" si="12"/>
        <v/>
      </c>
      <c r="N435" t="str">
        <f t="shared" ca="1" si="13"/>
        <v/>
      </c>
    </row>
    <row r="436" spans="1:14" x14ac:dyDescent="0.25">
      <c r="A436" s="25" t="str">
        <f>IF(Registro_Compras!$R436&lt;&gt;"SI","",Registro_Compras!$B436)</f>
        <v/>
      </c>
      <c r="B436" t="str">
        <f>IF(Registro_Compras!$R436&lt;&gt;"SI","",Registro_Compras!$C436)</f>
        <v/>
      </c>
      <c r="C436" t="str">
        <f>IF(Registro_Compras!$R436&lt;&gt;"SI","",Registro_Compras!$D436)</f>
        <v/>
      </c>
      <c r="D436" t="str">
        <f>IF(Registro_Compras!$R436&lt;&gt;"SI","",Registro_Compras!$E436)</f>
        <v/>
      </c>
      <c r="E436" t="str">
        <f>IF(Registro_Compras!$R436&lt;&gt;"SI","",Registro_Compras!$G436)</f>
        <v/>
      </c>
      <c r="F436" s="31" t="str">
        <f>IF(Registro_Compras!$R436&lt;&gt;"SI","",Registro_Compras!$P436)</f>
        <v/>
      </c>
      <c r="G436" s="20" t="str">
        <f>IF(Registro_Compras!$R436&lt;&gt;"SI","",Registro_Compras!$O436)</f>
        <v/>
      </c>
      <c r="H436" s="20" t="str">
        <f>IF(Registro_Compras!$R436&lt;&gt;"SI","",Registro_Compras!$S436)</f>
        <v/>
      </c>
      <c r="I436" s="25" t="str">
        <f>IF(Registro_Compras!$R436&lt;&gt;"SI","",IF(Registro_Compras!$Y436="",WORKDAY(EOMONTH(Registro_Compras!$B436,0),5,Feriados),MIN(Registro_Compras!$Y436,WORKDAY(EOMONTH(Registro_Compras!$B436,0),5,Feriados))))</f>
        <v/>
      </c>
      <c r="J436" s="25" t="str">
        <f>IF(Registro_Compras!$R436&lt;&gt;"SI","",Registro_Compras!$X436)</f>
        <v/>
      </c>
      <c r="K436" t="str">
        <f>IF(Registro_Compras!$R436&lt;&gt;"SI","",IF(Registro_Compras!$X436="","PENDIENTE","DEPOSITADA"))</f>
        <v/>
      </c>
      <c r="L436" t="str">
        <f>IF(Registro_Compras!$R436&lt;&gt;"SI","",Registro_Compras!$Z436)</f>
        <v/>
      </c>
      <c r="M436" t="str">
        <f t="shared" ca="1" si="12"/>
        <v/>
      </c>
      <c r="N436" t="str">
        <f t="shared" ca="1" si="13"/>
        <v/>
      </c>
    </row>
    <row r="437" spans="1:14" x14ac:dyDescent="0.25">
      <c r="A437" s="25" t="str">
        <f>IF(Registro_Compras!$R437&lt;&gt;"SI","",Registro_Compras!$B437)</f>
        <v/>
      </c>
      <c r="B437" t="str">
        <f>IF(Registro_Compras!$R437&lt;&gt;"SI","",Registro_Compras!$C437)</f>
        <v/>
      </c>
      <c r="C437" t="str">
        <f>IF(Registro_Compras!$R437&lt;&gt;"SI","",Registro_Compras!$D437)</f>
        <v/>
      </c>
      <c r="D437" t="str">
        <f>IF(Registro_Compras!$R437&lt;&gt;"SI","",Registro_Compras!$E437)</f>
        <v/>
      </c>
      <c r="E437" t="str">
        <f>IF(Registro_Compras!$R437&lt;&gt;"SI","",Registro_Compras!$G437)</f>
        <v/>
      </c>
      <c r="F437" s="31" t="str">
        <f>IF(Registro_Compras!$R437&lt;&gt;"SI","",Registro_Compras!$P437)</f>
        <v/>
      </c>
      <c r="G437" s="20" t="str">
        <f>IF(Registro_Compras!$R437&lt;&gt;"SI","",Registro_Compras!$O437)</f>
        <v/>
      </c>
      <c r="H437" s="20" t="str">
        <f>IF(Registro_Compras!$R437&lt;&gt;"SI","",Registro_Compras!$S437)</f>
        <v/>
      </c>
      <c r="I437" s="25" t="str">
        <f>IF(Registro_Compras!$R437&lt;&gt;"SI","",IF(Registro_Compras!$Y437="",WORKDAY(EOMONTH(Registro_Compras!$B437,0),5,Feriados),MIN(Registro_Compras!$Y437,WORKDAY(EOMONTH(Registro_Compras!$B437,0),5,Feriados))))</f>
        <v/>
      </c>
      <c r="J437" s="25" t="str">
        <f>IF(Registro_Compras!$R437&lt;&gt;"SI","",Registro_Compras!$X437)</f>
        <v/>
      </c>
      <c r="K437" t="str">
        <f>IF(Registro_Compras!$R437&lt;&gt;"SI","",IF(Registro_Compras!$X437="","PENDIENTE","DEPOSITADA"))</f>
        <v/>
      </c>
      <c r="L437" t="str">
        <f>IF(Registro_Compras!$R437&lt;&gt;"SI","",Registro_Compras!$Z437)</f>
        <v/>
      </c>
      <c r="M437" t="str">
        <f t="shared" ca="1" si="12"/>
        <v/>
      </c>
      <c r="N437" t="str">
        <f t="shared" ca="1" si="13"/>
        <v/>
      </c>
    </row>
    <row r="438" spans="1:14" x14ac:dyDescent="0.25">
      <c r="A438" s="25" t="str">
        <f>IF(Registro_Compras!$R438&lt;&gt;"SI","",Registro_Compras!$B438)</f>
        <v/>
      </c>
      <c r="B438" t="str">
        <f>IF(Registro_Compras!$R438&lt;&gt;"SI","",Registro_Compras!$C438)</f>
        <v/>
      </c>
      <c r="C438" t="str">
        <f>IF(Registro_Compras!$R438&lt;&gt;"SI","",Registro_Compras!$D438)</f>
        <v/>
      </c>
      <c r="D438" t="str">
        <f>IF(Registro_Compras!$R438&lt;&gt;"SI","",Registro_Compras!$E438)</f>
        <v/>
      </c>
      <c r="E438" t="str">
        <f>IF(Registro_Compras!$R438&lt;&gt;"SI","",Registro_Compras!$G438)</f>
        <v/>
      </c>
      <c r="F438" s="31" t="str">
        <f>IF(Registro_Compras!$R438&lt;&gt;"SI","",Registro_Compras!$P438)</f>
        <v/>
      </c>
      <c r="G438" s="20" t="str">
        <f>IF(Registro_Compras!$R438&lt;&gt;"SI","",Registro_Compras!$O438)</f>
        <v/>
      </c>
      <c r="H438" s="20" t="str">
        <f>IF(Registro_Compras!$R438&lt;&gt;"SI","",Registro_Compras!$S438)</f>
        <v/>
      </c>
      <c r="I438" s="25" t="str">
        <f>IF(Registro_Compras!$R438&lt;&gt;"SI","",IF(Registro_Compras!$Y438="",WORKDAY(EOMONTH(Registro_Compras!$B438,0),5,Feriados),MIN(Registro_Compras!$Y438,WORKDAY(EOMONTH(Registro_Compras!$B438,0),5,Feriados))))</f>
        <v/>
      </c>
      <c r="J438" s="25" t="str">
        <f>IF(Registro_Compras!$R438&lt;&gt;"SI","",Registro_Compras!$X438)</f>
        <v/>
      </c>
      <c r="K438" t="str">
        <f>IF(Registro_Compras!$R438&lt;&gt;"SI","",IF(Registro_Compras!$X438="","PENDIENTE","DEPOSITADA"))</f>
        <v/>
      </c>
      <c r="L438" t="str">
        <f>IF(Registro_Compras!$R438&lt;&gt;"SI","",Registro_Compras!$Z438)</f>
        <v/>
      </c>
      <c r="M438" t="str">
        <f t="shared" ca="1" si="12"/>
        <v/>
      </c>
      <c r="N438" t="str">
        <f t="shared" ca="1" si="13"/>
        <v/>
      </c>
    </row>
    <row r="439" spans="1:14" x14ac:dyDescent="0.25">
      <c r="A439" s="25" t="str">
        <f>IF(Registro_Compras!$R439&lt;&gt;"SI","",Registro_Compras!$B439)</f>
        <v/>
      </c>
      <c r="B439" t="str">
        <f>IF(Registro_Compras!$R439&lt;&gt;"SI","",Registro_Compras!$C439)</f>
        <v/>
      </c>
      <c r="C439" t="str">
        <f>IF(Registro_Compras!$R439&lt;&gt;"SI","",Registro_Compras!$D439)</f>
        <v/>
      </c>
      <c r="D439" t="str">
        <f>IF(Registro_Compras!$R439&lt;&gt;"SI","",Registro_Compras!$E439)</f>
        <v/>
      </c>
      <c r="E439" t="str">
        <f>IF(Registro_Compras!$R439&lt;&gt;"SI","",Registro_Compras!$G439)</f>
        <v/>
      </c>
      <c r="F439" s="31" t="str">
        <f>IF(Registro_Compras!$R439&lt;&gt;"SI","",Registro_Compras!$P439)</f>
        <v/>
      </c>
      <c r="G439" s="20" t="str">
        <f>IF(Registro_Compras!$R439&lt;&gt;"SI","",Registro_Compras!$O439)</f>
        <v/>
      </c>
      <c r="H439" s="20" t="str">
        <f>IF(Registro_Compras!$R439&lt;&gt;"SI","",Registro_Compras!$S439)</f>
        <v/>
      </c>
      <c r="I439" s="25" t="str">
        <f>IF(Registro_Compras!$R439&lt;&gt;"SI","",IF(Registro_Compras!$Y439="",WORKDAY(EOMONTH(Registro_Compras!$B439,0),5,Feriados),MIN(Registro_Compras!$Y439,WORKDAY(EOMONTH(Registro_Compras!$B439,0),5,Feriados))))</f>
        <v/>
      </c>
      <c r="J439" s="25" t="str">
        <f>IF(Registro_Compras!$R439&lt;&gt;"SI","",Registro_Compras!$X439)</f>
        <v/>
      </c>
      <c r="K439" t="str">
        <f>IF(Registro_Compras!$R439&lt;&gt;"SI","",IF(Registro_Compras!$X439="","PENDIENTE","DEPOSITADA"))</f>
        <v/>
      </c>
      <c r="L439" t="str">
        <f>IF(Registro_Compras!$R439&lt;&gt;"SI","",Registro_Compras!$Z439)</f>
        <v/>
      </c>
      <c r="M439" t="str">
        <f t="shared" ca="1" si="12"/>
        <v/>
      </c>
      <c r="N439" t="str">
        <f t="shared" ca="1" si="13"/>
        <v/>
      </c>
    </row>
    <row r="440" spans="1:14" x14ac:dyDescent="0.25">
      <c r="A440" s="25" t="str">
        <f>IF(Registro_Compras!$R440&lt;&gt;"SI","",Registro_Compras!$B440)</f>
        <v/>
      </c>
      <c r="B440" t="str">
        <f>IF(Registro_Compras!$R440&lt;&gt;"SI","",Registro_Compras!$C440)</f>
        <v/>
      </c>
      <c r="C440" t="str">
        <f>IF(Registro_Compras!$R440&lt;&gt;"SI","",Registro_Compras!$D440)</f>
        <v/>
      </c>
      <c r="D440" t="str">
        <f>IF(Registro_Compras!$R440&lt;&gt;"SI","",Registro_Compras!$E440)</f>
        <v/>
      </c>
      <c r="E440" t="str">
        <f>IF(Registro_Compras!$R440&lt;&gt;"SI","",Registro_Compras!$G440)</f>
        <v/>
      </c>
      <c r="F440" s="31" t="str">
        <f>IF(Registro_Compras!$R440&lt;&gt;"SI","",Registro_Compras!$P440)</f>
        <v/>
      </c>
      <c r="G440" s="20" t="str">
        <f>IF(Registro_Compras!$R440&lt;&gt;"SI","",Registro_Compras!$O440)</f>
        <v/>
      </c>
      <c r="H440" s="20" t="str">
        <f>IF(Registro_Compras!$R440&lt;&gt;"SI","",Registro_Compras!$S440)</f>
        <v/>
      </c>
      <c r="I440" s="25" t="str">
        <f>IF(Registro_Compras!$R440&lt;&gt;"SI","",IF(Registro_Compras!$Y440="",WORKDAY(EOMONTH(Registro_Compras!$B440,0),5,Feriados),MIN(Registro_Compras!$Y440,WORKDAY(EOMONTH(Registro_Compras!$B440,0),5,Feriados))))</f>
        <v/>
      </c>
      <c r="J440" s="25" t="str">
        <f>IF(Registro_Compras!$R440&lt;&gt;"SI","",Registro_Compras!$X440)</f>
        <v/>
      </c>
      <c r="K440" t="str">
        <f>IF(Registro_Compras!$R440&lt;&gt;"SI","",IF(Registro_Compras!$X440="","PENDIENTE","DEPOSITADA"))</f>
        <v/>
      </c>
      <c r="L440" t="str">
        <f>IF(Registro_Compras!$R440&lt;&gt;"SI","",Registro_Compras!$Z440)</f>
        <v/>
      </c>
      <c r="M440" t="str">
        <f t="shared" ca="1" si="12"/>
        <v/>
      </c>
      <c r="N440" t="str">
        <f t="shared" ca="1" si="13"/>
        <v/>
      </c>
    </row>
    <row r="441" spans="1:14" x14ac:dyDescent="0.25">
      <c r="A441" s="25" t="str">
        <f>IF(Registro_Compras!$R441&lt;&gt;"SI","",Registro_Compras!$B441)</f>
        <v/>
      </c>
      <c r="B441" t="str">
        <f>IF(Registro_Compras!$R441&lt;&gt;"SI","",Registro_Compras!$C441)</f>
        <v/>
      </c>
      <c r="C441" t="str">
        <f>IF(Registro_Compras!$R441&lt;&gt;"SI","",Registro_Compras!$D441)</f>
        <v/>
      </c>
      <c r="D441" t="str">
        <f>IF(Registro_Compras!$R441&lt;&gt;"SI","",Registro_Compras!$E441)</f>
        <v/>
      </c>
      <c r="E441" t="str">
        <f>IF(Registro_Compras!$R441&lt;&gt;"SI","",Registro_Compras!$G441)</f>
        <v/>
      </c>
      <c r="F441" s="31" t="str">
        <f>IF(Registro_Compras!$R441&lt;&gt;"SI","",Registro_Compras!$P441)</f>
        <v/>
      </c>
      <c r="G441" s="20" t="str">
        <f>IF(Registro_Compras!$R441&lt;&gt;"SI","",Registro_Compras!$O441)</f>
        <v/>
      </c>
      <c r="H441" s="20" t="str">
        <f>IF(Registro_Compras!$R441&lt;&gt;"SI","",Registro_Compras!$S441)</f>
        <v/>
      </c>
      <c r="I441" s="25" t="str">
        <f>IF(Registro_Compras!$R441&lt;&gt;"SI","",IF(Registro_Compras!$Y441="",WORKDAY(EOMONTH(Registro_Compras!$B441,0),5,Feriados),MIN(Registro_Compras!$Y441,WORKDAY(EOMONTH(Registro_Compras!$B441,0),5,Feriados))))</f>
        <v/>
      </c>
      <c r="J441" s="25" t="str">
        <f>IF(Registro_Compras!$R441&lt;&gt;"SI","",Registro_Compras!$X441)</f>
        <v/>
      </c>
      <c r="K441" t="str">
        <f>IF(Registro_Compras!$R441&lt;&gt;"SI","",IF(Registro_Compras!$X441="","PENDIENTE","DEPOSITADA"))</f>
        <v/>
      </c>
      <c r="L441" t="str">
        <f>IF(Registro_Compras!$R441&lt;&gt;"SI","",Registro_Compras!$Z441)</f>
        <v/>
      </c>
      <c r="M441" t="str">
        <f t="shared" ca="1" si="12"/>
        <v/>
      </c>
      <c r="N441" t="str">
        <f t="shared" ca="1" si="13"/>
        <v/>
      </c>
    </row>
    <row r="442" spans="1:14" x14ac:dyDescent="0.25">
      <c r="A442" s="25" t="str">
        <f>IF(Registro_Compras!$R442&lt;&gt;"SI","",Registro_Compras!$B442)</f>
        <v/>
      </c>
      <c r="B442" t="str">
        <f>IF(Registro_Compras!$R442&lt;&gt;"SI","",Registro_Compras!$C442)</f>
        <v/>
      </c>
      <c r="C442" t="str">
        <f>IF(Registro_Compras!$R442&lt;&gt;"SI","",Registro_Compras!$D442)</f>
        <v/>
      </c>
      <c r="D442" t="str">
        <f>IF(Registro_Compras!$R442&lt;&gt;"SI","",Registro_Compras!$E442)</f>
        <v/>
      </c>
      <c r="E442" t="str">
        <f>IF(Registro_Compras!$R442&lt;&gt;"SI","",Registro_Compras!$G442)</f>
        <v/>
      </c>
      <c r="F442" s="31" t="str">
        <f>IF(Registro_Compras!$R442&lt;&gt;"SI","",Registro_Compras!$P442)</f>
        <v/>
      </c>
      <c r="G442" s="20" t="str">
        <f>IF(Registro_Compras!$R442&lt;&gt;"SI","",Registro_Compras!$O442)</f>
        <v/>
      </c>
      <c r="H442" s="20" t="str">
        <f>IF(Registro_Compras!$R442&lt;&gt;"SI","",Registro_Compras!$S442)</f>
        <v/>
      </c>
      <c r="I442" s="25" t="str">
        <f>IF(Registro_Compras!$R442&lt;&gt;"SI","",IF(Registro_Compras!$Y442="",WORKDAY(EOMONTH(Registro_Compras!$B442,0),5,Feriados),MIN(Registro_Compras!$Y442,WORKDAY(EOMONTH(Registro_Compras!$B442,0),5,Feriados))))</f>
        <v/>
      </c>
      <c r="J442" s="25" t="str">
        <f>IF(Registro_Compras!$R442&lt;&gt;"SI","",Registro_Compras!$X442)</f>
        <v/>
      </c>
      <c r="K442" t="str">
        <f>IF(Registro_Compras!$R442&lt;&gt;"SI","",IF(Registro_Compras!$X442="","PENDIENTE","DEPOSITADA"))</f>
        <v/>
      </c>
      <c r="L442" t="str">
        <f>IF(Registro_Compras!$R442&lt;&gt;"SI","",Registro_Compras!$Z442)</f>
        <v/>
      </c>
      <c r="M442" t="str">
        <f t="shared" ca="1" si="12"/>
        <v/>
      </c>
      <c r="N442" t="str">
        <f t="shared" ca="1" si="13"/>
        <v/>
      </c>
    </row>
    <row r="443" spans="1:14" x14ac:dyDescent="0.25">
      <c r="A443" s="25" t="str">
        <f>IF(Registro_Compras!$R443&lt;&gt;"SI","",Registro_Compras!$B443)</f>
        <v/>
      </c>
      <c r="B443" t="str">
        <f>IF(Registro_Compras!$R443&lt;&gt;"SI","",Registro_Compras!$C443)</f>
        <v/>
      </c>
      <c r="C443" t="str">
        <f>IF(Registro_Compras!$R443&lt;&gt;"SI","",Registro_Compras!$D443)</f>
        <v/>
      </c>
      <c r="D443" t="str">
        <f>IF(Registro_Compras!$R443&lt;&gt;"SI","",Registro_Compras!$E443)</f>
        <v/>
      </c>
      <c r="E443" t="str">
        <f>IF(Registro_Compras!$R443&lt;&gt;"SI","",Registro_Compras!$G443)</f>
        <v/>
      </c>
      <c r="F443" s="31" t="str">
        <f>IF(Registro_Compras!$R443&lt;&gt;"SI","",Registro_Compras!$P443)</f>
        <v/>
      </c>
      <c r="G443" s="20" t="str">
        <f>IF(Registro_Compras!$R443&lt;&gt;"SI","",Registro_Compras!$O443)</f>
        <v/>
      </c>
      <c r="H443" s="20" t="str">
        <f>IF(Registro_Compras!$R443&lt;&gt;"SI","",Registro_Compras!$S443)</f>
        <v/>
      </c>
      <c r="I443" s="25" t="str">
        <f>IF(Registro_Compras!$R443&lt;&gt;"SI","",IF(Registro_Compras!$Y443="",WORKDAY(EOMONTH(Registro_Compras!$B443,0),5,Feriados),MIN(Registro_Compras!$Y443,WORKDAY(EOMONTH(Registro_Compras!$B443,0),5,Feriados))))</f>
        <v/>
      </c>
      <c r="J443" s="25" t="str">
        <f>IF(Registro_Compras!$R443&lt;&gt;"SI","",Registro_Compras!$X443)</f>
        <v/>
      </c>
      <c r="K443" t="str">
        <f>IF(Registro_Compras!$R443&lt;&gt;"SI","",IF(Registro_Compras!$X443="","PENDIENTE","DEPOSITADA"))</f>
        <v/>
      </c>
      <c r="L443" t="str">
        <f>IF(Registro_Compras!$R443&lt;&gt;"SI","",Registro_Compras!$Z443)</f>
        <v/>
      </c>
      <c r="M443" t="str">
        <f t="shared" ca="1" si="12"/>
        <v/>
      </c>
      <c r="N443" t="str">
        <f t="shared" ca="1" si="13"/>
        <v/>
      </c>
    </row>
    <row r="444" spans="1:14" x14ac:dyDescent="0.25">
      <c r="A444" s="25" t="str">
        <f>IF(Registro_Compras!$R444&lt;&gt;"SI","",Registro_Compras!$B444)</f>
        <v/>
      </c>
      <c r="B444" t="str">
        <f>IF(Registro_Compras!$R444&lt;&gt;"SI","",Registro_Compras!$C444)</f>
        <v/>
      </c>
      <c r="C444" t="str">
        <f>IF(Registro_Compras!$R444&lt;&gt;"SI","",Registro_Compras!$D444)</f>
        <v/>
      </c>
      <c r="D444" t="str">
        <f>IF(Registro_Compras!$R444&lt;&gt;"SI","",Registro_Compras!$E444)</f>
        <v/>
      </c>
      <c r="E444" t="str">
        <f>IF(Registro_Compras!$R444&lt;&gt;"SI","",Registro_Compras!$G444)</f>
        <v/>
      </c>
      <c r="F444" s="31" t="str">
        <f>IF(Registro_Compras!$R444&lt;&gt;"SI","",Registro_Compras!$P444)</f>
        <v/>
      </c>
      <c r="G444" s="20" t="str">
        <f>IF(Registro_Compras!$R444&lt;&gt;"SI","",Registro_Compras!$O444)</f>
        <v/>
      </c>
      <c r="H444" s="20" t="str">
        <f>IF(Registro_Compras!$R444&lt;&gt;"SI","",Registro_Compras!$S444)</f>
        <v/>
      </c>
      <c r="I444" s="25" t="str">
        <f>IF(Registro_Compras!$R444&lt;&gt;"SI","",IF(Registro_Compras!$Y444="",WORKDAY(EOMONTH(Registro_Compras!$B444,0),5,Feriados),MIN(Registro_Compras!$Y444,WORKDAY(EOMONTH(Registro_Compras!$B444,0),5,Feriados))))</f>
        <v/>
      </c>
      <c r="J444" s="25" t="str">
        <f>IF(Registro_Compras!$R444&lt;&gt;"SI","",Registro_Compras!$X444)</f>
        <v/>
      </c>
      <c r="K444" t="str">
        <f>IF(Registro_Compras!$R444&lt;&gt;"SI","",IF(Registro_Compras!$X444="","PENDIENTE","DEPOSITADA"))</f>
        <v/>
      </c>
      <c r="L444" t="str">
        <f>IF(Registro_Compras!$R444&lt;&gt;"SI","",Registro_Compras!$Z444)</f>
        <v/>
      </c>
      <c r="M444" t="str">
        <f t="shared" ca="1" si="12"/>
        <v/>
      </c>
      <c r="N444" t="str">
        <f t="shared" ca="1" si="13"/>
        <v/>
      </c>
    </row>
    <row r="445" spans="1:14" x14ac:dyDescent="0.25">
      <c r="A445" s="25" t="str">
        <f>IF(Registro_Compras!$R445&lt;&gt;"SI","",Registro_Compras!$B445)</f>
        <v/>
      </c>
      <c r="B445" t="str">
        <f>IF(Registro_Compras!$R445&lt;&gt;"SI","",Registro_Compras!$C445)</f>
        <v/>
      </c>
      <c r="C445" t="str">
        <f>IF(Registro_Compras!$R445&lt;&gt;"SI","",Registro_Compras!$D445)</f>
        <v/>
      </c>
      <c r="D445" t="str">
        <f>IF(Registro_Compras!$R445&lt;&gt;"SI","",Registro_Compras!$E445)</f>
        <v/>
      </c>
      <c r="E445" t="str">
        <f>IF(Registro_Compras!$R445&lt;&gt;"SI","",Registro_Compras!$G445)</f>
        <v/>
      </c>
      <c r="F445" s="31" t="str">
        <f>IF(Registro_Compras!$R445&lt;&gt;"SI","",Registro_Compras!$P445)</f>
        <v/>
      </c>
      <c r="G445" s="20" t="str">
        <f>IF(Registro_Compras!$R445&lt;&gt;"SI","",Registro_Compras!$O445)</f>
        <v/>
      </c>
      <c r="H445" s="20" t="str">
        <f>IF(Registro_Compras!$R445&lt;&gt;"SI","",Registro_Compras!$S445)</f>
        <v/>
      </c>
      <c r="I445" s="25" t="str">
        <f>IF(Registro_Compras!$R445&lt;&gt;"SI","",IF(Registro_Compras!$Y445="",WORKDAY(EOMONTH(Registro_Compras!$B445,0),5,Feriados),MIN(Registro_Compras!$Y445,WORKDAY(EOMONTH(Registro_Compras!$B445,0),5,Feriados))))</f>
        <v/>
      </c>
      <c r="J445" s="25" t="str">
        <f>IF(Registro_Compras!$R445&lt;&gt;"SI","",Registro_Compras!$X445)</f>
        <v/>
      </c>
      <c r="K445" t="str">
        <f>IF(Registro_Compras!$R445&lt;&gt;"SI","",IF(Registro_Compras!$X445="","PENDIENTE","DEPOSITADA"))</f>
        <v/>
      </c>
      <c r="L445" t="str">
        <f>IF(Registro_Compras!$R445&lt;&gt;"SI","",Registro_Compras!$Z445)</f>
        <v/>
      </c>
      <c r="M445" t="str">
        <f t="shared" ca="1" si="12"/>
        <v/>
      </c>
      <c r="N445" t="str">
        <f t="shared" ca="1" si="13"/>
        <v/>
      </c>
    </row>
    <row r="446" spans="1:14" x14ac:dyDescent="0.25">
      <c r="A446" s="25" t="str">
        <f>IF(Registro_Compras!$R446&lt;&gt;"SI","",Registro_Compras!$B446)</f>
        <v/>
      </c>
      <c r="B446" t="str">
        <f>IF(Registro_Compras!$R446&lt;&gt;"SI","",Registro_Compras!$C446)</f>
        <v/>
      </c>
      <c r="C446" t="str">
        <f>IF(Registro_Compras!$R446&lt;&gt;"SI","",Registro_Compras!$D446)</f>
        <v/>
      </c>
      <c r="D446" t="str">
        <f>IF(Registro_Compras!$R446&lt;&gt;"SI","",Registro_Compras!$E446)</f>
        <v/>
      </c>
      <c r="E446" t="str">
        <f>IF(Registro_Compras!$R446&lt;&gt;"SI","",Registro_Compras!$G446)</f>
        <v/>
      </c>
      <c r="F446" s="31" t="str">
        <f>IF(Registro_Compras!$R446&lt;&gt;"SI","",Registro_Compras!$P446)</f>
        <v/>
      </c>
      <c r="G446" s="20" t="str">
        <f>IF(Registro_Compras!$R446&lt;&gt;"SI","",Registro_Compras!$O446)</f>
        <v/>
      </c>
      <c r="H446" s="20" t="str">
        <f>IF(Registro_Compras!$R446&lt;&gt;"SI","",Registro_Compras!$S446)</f>
        <v/>
      </c>
      <c r="I446" s="25" t="str">
        <f>IF(Registro_Compras!$R446&lt;&gt;"SI","",IF(Registro_Compras!$Y446="",WORKDAY(EOMONTH(Registro_Compras!$B446,0),5,Feriados),MIN(Registro_Compras!$Y446,WORKDAY(EOMONTH(Registro_Compras!$B446,0),5,Feriados))))</f>
        <v/>
      </c>
      <c r="J446" s="25" t="str">
        <f>IF(Registro_Compras!$R446&lt;&gt;"SI","",Registro_Compras!$X446)</f>
        <v/>
      </c>
      <c r="K446" t="str">
        <f>IF(Registro_Compras!$R446&lt;&gt;"SI","",IF(Registro_Compras!$X446="","PENDIENTE","DEPOSITADA"))</f>
        <v/>
      </c>
      <c r="L446" t="str">
        <f>IF(Registro_Compras!$R446&lt;&gt;"SI","",Registro_Compras!$Z446)</f>
        <v/>
      </c>
      <c r="M446" t="str">
        <f t="shared" ca="1" si="12"/>
        <v/>
      </c>
      <c r="N446" t="str">
        <f t="shared" ca="1" si="13"/>
        <v/>
      </c>
    </row>
    <row r="447" spans="1:14" x14ac:dyDescent="0.25">
      <c r="A447" s="25" t="str">
        <f>IF(Registro_Compras!$R447&lt;&gt;"SI","",Registro_Compras!$B447)</f>
        <v/>
      </c>
      <c r="B447" t="str">
        <f>IF(Registro_Compras!$R447&lt;&gt;"SI","",Registro_Compras!$C447)</f>
        <v/>
      </c>
      <c r="C447" t="str">
        <f>IF(Registro_Compras!$R447&lt;&gt;"SI","",Registro_Compras!$D447)</f>
        <v/>
      </c>
      <c r="D447" t="str">
        <f>IF(Registro_Compras!$R447&lt;&gt;"SI","",Registro_Compras!$E447)</f>
        <v/>
      </c>
      <c r="E447" t="str">
        <f>IF(Registro_Compras!$R447&lt;&gt;"SI","",Registro_Compras!$G447)</f>
        <v/>
      </c>
      <c r="F447" s="31" t="str">
        <f>IF(Registro_Compras!$R447&lt;&gt;"SI","",Registro_Compras!$P447)</f>
        <v/>
      </c>
      <c r="G447" s="20" t="str">
        <f>IF(Registro_Compras!$R447&lt;&gt;"SI","",Registro_Compras!$O447)</f>
        <v/>
      </c>
      <c r="H447" s="20" t="str">
        <f>IF(Registro_Compras!$R447&lt;&gt;"SI","",Registro_Compras!$S447)</f>
        <v/>
      </c>
      <c r="I447" s="25" t="str">
        <f>IF(Registro_Compras!$R447&lt;&gt;"SI","",IF(Registro_Compras!$Y447="",WORKDAY(EOMONTH(Registro_Compras!$B447,0),5,Feriados),MIN(Registro_Compras!$Y447,WORKDAY(EOMONTH(Registro_Compras!$B447,0),5,Feriados))))</f>
        <v/>
      </c>
      <c r="J447" s="25" t="str">
        <f>IF(Registro_Compras!$R447&lt;&gt;"SI","",Registro_Compras!$X447)</f>
        <v/>
      </c>
      <c r="K447" t="str">
        <f>IF(Registro_Compras!$R447&lt;&gt;"SI","",IF(Registro_Compras!$X447="","PENDIENTE","DEPOSITADA"))</f>
        <v/>
      </c>
      <c r="L447" t="str">
        <f>IF(Registro_Compras!$R447&lt;&gt;"SI","",Registro_Compras!$Z447)</f>
        <v/>
      </c>
      <c r="M447" t="str">
        <f t="shared" ca="1" si="12"/>
        <v/>
      </c>
      <c r="N447" t="str">
        <f t="shared" ca="1" si="13"/>
        <v/>
      </c>
    </row>
    <row r="448" spans="1:14" x14ac:dyDescent="0.25">
      <c r="A448" s="25" t="str">
        <f>IF(Registro_Compras!$R448&lt;&gt;"SI","",Registro_Compras!$B448)</f>
        <v/>
      </c>
      <c r="B448" t="str">
        <f>IF(Registro_Compras!$R448&lt;&gt;"SI","",Registro_Compras!$C448)</f>
        <v/>
      </c>
      <c r="C448" t="str">
        <f>IF(Registro_Compras!$R448&lt;&gt;"SI","",Registro_Compras!$D448)</f>
        <v/>
      </c>
      <c r="D448" t="str">
        <f>IF(Registro_Compras!$R448&lt;&gt;"SI","",Registro_Compras!$E448)</f>
        <v/>
      </c>
      <c r="E448" t="str">
        <f>IF(Registro_Compras!$R448&lt;&gt;"SI","",Registro_Compras!$G448)</f>
        <v/>
      </c>
      <c r="F448" s="31" t="str">
        <f>IF(Registro_Compras!$R448&lt;&gt;"SI","",Registro_Compras!$P448)</f>
        <v/>
      </c>
      <c r="G448" s="20" t="str">
        <f>IF(Registro_Compras!$R448&lt;&gt;"SI","",Registro_Compras!$O448)</f>
        <v/>
      </c>
      <c r="H448" s="20" t="str">
        <f>IF(Registro_Compras!$R448&lt;&gt;"SI","",Registro_Compras!$S448)</f>
        <v/>
      </c>
      <c r="I448" s="25" t="str">
        <f>IF(Registro_Compras!$R448&lt;&gt;"SI","",IF(Registro_Compras!$Y448="",WORKDAY(EOMONTH(Registro_Compras!$B448,0),5,Feriados),MIN(Registro_Compras!$Y448,WORKDAY(EOMONTH(Registro_Compras!$B448,0),5,Feriados))))</f>
        <v/>
      </c>
      <c r="J448" s="25" t="str">
        <f>IF(Registro_Compras!$R448&lt;&gt;"SI","",Registro_Compras!$X448)</f>
        <v/>
      </c>
      <c r="K448" t="str">
        <f>IF(Registro_Compras!$R448&lt;&gt;"SI","",IF(Registro_Compras!$X448="","PENDIENTE","DEPOSITADA"))</f>
        <v/>
      </c>
      <c r="L448" t="str">
        <f>IF(Registro_Compras!$R448&lt;&gt;"SI","",Registro_Compras!$Z448)</f>
        <v/>
      </c>
      <c r="M448" t="str">
        <f t="shared" ca="1" si="12"/>
        <v/>
      </c>
      <c r="N448" t="str">
        <f t="shared" ca="1" si="13"/>
        <v/>
      </c>
    </row>
    <row r="449" spans="1:14" x14ac:dyDescent="0.25">
      <c r="A449" s="25" t="str">
        <f>IF(Registro_Compras!$R449&lt;&gt;"SI","",Registro_Compras!$B449)</f>
        <v/>
      </c>
      <c r="B449" t="str">
        <f>IF(Registro_Compras!$R449&lt;&gt;"SI","",Registro_Compras!$C449)</f>
        <v/>
      </c>
      <c r="C449" t="str">
        <f>IF(Registro_Compras!$R449&lt;&gt;"SI","",Registro_Compras!$D449)</f>
        <v/>
      </c>
      <c r="D449" t="str">
        <f>IF(Registro_Compras!$R449&lt;&gt;"SI","",Registro_Compras!$E449)</f>
        <v/>
      </c>
      <c r="E449" t="str">
        <f>IF(Registro_Compras!$R449&lt;&gt;"SI","",Registro_Compras!$G449)</f>
        <v/>
      </c>
      <c r="F449" s="31" t="str">
        <f>IF(Registro_Compras!$R449&lt;&gt;"SI","",Registro_Compras!$P449)</f>
        <v/>
      </c>
      <c r="G449" s="20" t="str">
        <f>IF(Registro_Compras!$R449&lt;&gt;"SI","",Registro_Compras!$O449)</f>
        <v/>
      </c>
      <c r="H449" s="20" t="str">
        <f>IF(Registro_Compras!$R449&lt;&gt;"SI","",Registro_Compras!$S449)</f>
        <v/>
      </c>
      <c r="I449" s="25" t="str">
        <f>IF(Registro_Compras!$R449&lt;&gt;"SI","",IF(Registro_Compras!$Y449="",WORKDAY(EOMONTH(Registro_Compras!$B449,0),5,Feriados),MIN(Registro_Compras!$Y449,WORKDAY(EOMONTH(Registro_Compras!$B449,0),5,Feriados))))</f>
        <v/>
      </c>
      <c r="J449" s="25" t="str">
        <f>IF(Registro_Compras!$R449&lt;&gt;"SI","",Registro_Compras!$X449)</f>
        <v/>
      </c>
      <c r="K449" t="str">
        <f>IF(Registro_Compras!$R449&lt;&gt;"SI","",IF(Registro_Compras!$X449="","PENDIENTE","DEPOSITADA"))</f>
        <v/>
      </c>
      <c r="L449" t="str">
        <f>IF(Registro_Compras!$R449&lt;&gt;"SI","",Registro_Compras!$Z449)</f>
        <v/>
      </c>
      <c r="M449" t="str">
        <f t="shared" ca="1" si="12"/>
        <v/>
      </c>
      <c r="N449" t="str">
        <f t="shared" ca="1" si="13"/>
        <v/>
      </c>
    </row>
    <row r="450" spans="1:14" x14ac:dyDescent="0.25">
      <c r="A450" s="25" t="str">
        <f>IF(Registro_Compras!$R450&lt;&gt;"SI","",Registro_Compras!$B450)</f>
        <v/>
      </c>
      <c r="B450" t="str">
        <f>IF(Registro_Compras!$R450&lt;&gt;"SI","",Registro_Compras!$C450)</f>
        <v/>
      </c>
      <c r="C450" t="str">
        <f>IF(Registro_Compras!$R450&lt;&gt;"SI","",Registro_Compras!$D450)</f>
        <v/>
      </c>
      <c r="D450" t="str">
        <f>IF(Registro_Compras!$R450&lt;&gt;"SI","",Registro_Compras!$E450)</f>
        <v/>
      </c>
      <c r="E450" t="str">
        <f>IF(Registro_Compras!$R450&lt;&gt;"SI","",Registro_Compras!$G450)</f>
        <v/>
      </c>
      <c r="F450" s="31" t="str">
        <f>IF(Registro_Compras!$R450&lt;&gt;"SI","",Registro_Compras!$P450)</f>
        <v/>
      </c>
      <c r="G450" s="20" t="str">
        <f>IF(Registro_Compras!$R450&lt;&gt;"SI","",Registro_Compras!$O450)</f>
        <v/>
      </c>
      <c r="H450" s="20" t="str">
        <f>IF(Registro_Compras!$R450&lt;&gt;"SI","",Registro_Compras!$S450)</f>
        <v/>
      </c>
      <c r="I450" s="25" t="str">
        <f>IF(Registro_Compras!$R450&lt;&gt;"SI","",IF(Registro_Compras!$Y450="",WORKDAY(EOMONTH(Registro_Compras!$B450,0),5,Feriados),MIN(Registro_Compras!$Y450,WORKDAY(EOMONTH(Registro_Compras!$B450,0),5,Feriados))))</f>
        <v/>
      </c>
      <c r="J450" s="25" t="str">
        <f>IF(Registro_Compras!$R450&lt;&gt;"SI","",Registro_Compras!$X450)</f>
        <v/>
      </c>
      <c r="K450" t="str">
        <f>IF(Registro_Compras!$R450&lt;&gt;"SI","",IF(Registro_Compras!$X450="","PENDIENTE","DEPOSITADA"))</f>
        <v/>
      </c>
      <c r="L450" t="str">
        <f>IF(Registro_Compras!$R450&lt;&gt;"SI","",Registro_Compras!$Z450)</f>
        <v/>
      </c>
      <c r="M450" t="str">
        <f t="shared" ca="1" si="12"/>
        <v/>
      </c>
      <c r="N450" t="str">
        <f t="shared" ca="1" si="13"/>
        <v/>
      </c>
    </row>
    <row r="451" spans="1:14" x14ac:dyDescent="0.25">
      <c r="A451" s="25" t="str">
        <f>IF(Registro_Compras!$R451&lt;&gt;"SI","",Registro_Compras!$B451)</f>
        <v/>
      </c>
      <c r="B451" t="str">
        <f>IF(Registro_Compras!$R451&lt;&gt;"SI","",Registro_Compras!$C451)</f>
        <v/>
      </c>
      <c r="C451" t="str">
        <f>IF(Registro_Compras!$R451&lt;&gt;"SI","",Registro_Compras!$D451)</f>
        <v/>
      </c>
      <c r="D451" t="str">
        <f>IF(Registro_Compras!$R451&lt;&gt;"SI","",Registro_Compras!$E451)</f>
        <v/>
      </c>
      <c r="E451" t="str">
        <f>IF(Registro_Compras!$R451&lt;&gt;"SI","",Registro_Compras!$G451)</f>
        <v/>
      </c>
      <c r="F451" s="31" t="str">
        <f>IF(Registro_Compras!$R451&lt;&gt;"SI","",Registro_Compras!$P451)</f>
        <v/>
      </c>
      <c r="G451" s="20" t="str">
        <f>IF(Registro_Compras!$R451&lt;&gt;"SI","",Registro_Compras!$O451)</f>
        <v/>
      </c>
      <c r="H451" s="20" t="str">
        <f>IF(Registro_Compras!$R451&lt;&gt;"SI","",Registro_Compras!$S451)</f>
        <v/>
      </c>
      <c r="I451" s="25" t="str">
        <f>IF(Registro_Compras!$R451&lt;&gt;"SI","",IF(Registro_Compras!$Y451="",WORKDAY(EOMONTH(Registro_Compras!$B451,0),5,Feriados),MIN(Registro_Compras!$Y451,WORKDAY(EOMONTH(Registro_Compras!$B451,0),5,Feriados))))</f>
        <v/>
      </c>
      <c r="J451" s="25" t="str">
        <f>IF(Registro_Compras!$R451&lt;&gt;"SI","",Registro_Compras!$X451)</f>
        <v/>
      </c>
      <c r="K451" t="str">
        <f>IF(Registro_Compras!$R451&lt;&gt;"SI","",IF(Registro_Compras!$X451="","PENDIENTE","DEPOSITADA"))</f>
        <v/>
      </c>
      <c r="L451" t="str">
        <f>IF(Registro_Compras!$R451&lt;&gt;"SI","",Registro_Compras!$Z451)</f>
        <v/>
      </c>
      <c r="M451" t="str">
        <f t="shared" ca="1" si="12"/>
        <v/>
      </c>
      <c r="N451" t="str">
        <f t="shared" ca="1" si="13"/>
        <v/>
      </c>
    </row>
    <row r="452" spans="1:14" x14ac:dyDescent="0.25">
      <c r="A452" s="25" t="str">
        <f>IF(Registro_Compras!$R452&lt;&gt;"SI","",Registro_Compras!$B452)</f>
        <v/>
      </c>
      <c r="B452" t="str">
        <f>IF(Registro_Compras!$R452&lt;&gt;"SI","",Registro_Compras!$C452)</f>
        <v/>
      </c>
      <c r="C452" t="str">
        <f>IF(Registro_Compras!$R452&lt;&gt;"SI","",Registro_Compras!$D452)</f>
        <v/>
      </c>
      <c r="D452" t="str">
        <f>IF(Registro_Compras!$R452&lt;&gt;"SI","",Registro_Compras!$E452)</f>
        <v/>
      </c>
      <c r="E452" t="str">
        <f>IF(Registro_Compras!$R452&lt;&gt;"SI","",Registro_Compras!$G452)</f>
        <v/>
      </c>
      <c r="F452" s="31" t="str">
        <f>IF(Registro_Compras!$R452&lt;&gt;"SI","",Registro_Compras!$P452)</f>
        <v/>
      </c>
      <c r="G452" s="20" t="str">
        <f>IF(Registro_Compras!$R452&lt;&gt;"SI","",Registro_Compras!$O452)</f>
        <v/>
      </c>
      <c r="H452" s="20" t="str">
        <f>IF(Registro_Compras!$R452&lt;&gt;"SI","",Registro_Compras!$S452)</f>
        <v/>
      </c>
      <c r="I452" s="25" t="str">
        <f>IF(Registro_Compras!$R452&lt;&gt;"SI","",IF(Registro_Compras!$Y452="",WORKDAY(EOMONTH(Registro_Compras!$B452,0),5,Feriados),MIN(Registro_Compras!$Y452,WORKDAY(EOMONTH(Registro_Compras!$B452,0),5,Feriados))))</f>
        <v/>
      </c>
      <c r="J452" s="25" t="str">
        <f>IF(Registro_Compras!$R452&lt;&gt;"SI","",Registro_Compras!$X452)</f>
        <v/>
      </c>
      <c r="K452" t="str">
        <f>IF(Registro_Compras!$R452&lt;&gt;"SI","",IF(Registro_Compras!$X452="","PENDIENTE","DEPOSITADA"))</f>
        <v/>
      </c>
      <c r="L452" t="str">
        <f>IF(Registro_Compras!$R452&lt;&gt;"SI","",Registro_Compras!$Z452)</f>
        <v/>
      </c>
      <c r="M452" t="str">
        <f t="shared" ref="M452:M503" ca="1" si="14">IF($K452&lt;&gt;"PENDIENTE","",IF(TODAY()&gt;$I452,TODAY()-$I452,0))</f>
        <v/>
      </c>
      <c r="N452" t="str">
        <f t="shared" ref="N452:N503" ca="1" si="15">IF($K452&lt;&gt;"PENDIENTE","",IF($M452&gt;0,"VENCIDA - DEPOSITAR YA",IF($I452-TODAY()&lt;=3,"POR VENCER","EN PLAZO")))</f>
        <v/>
      </c>
    </row>
    <row r="453" spans="1:14" x14ac:dyDescent="0.25">
      <c r="A453" s="25" t="str">
        <f>IF(Registro_Compras!$R453&lt;&gt;"SI","",Registro_Compras!$B453)</f>
        <v/>
      </c>
      <c r="B453" t="str">
        <f>IF(Registro_Compras!$R453&lt;&gt;"SI","",Registro_Compras!$C453)</f>
        <v/>
      </c>
      <c r="C453" t="str">
        <f>IF(Registro_Compras!$R453&lt;&gt;"SI","",Registro_Compras!$D453)</f>
        <v/>
      </c>
      <c r="D453" t="str">
        <f>IF(Registro_Compras!$R453&lt;&gt;"SI","",Registro_Compras!$E453)</f>
        <v/>
      </c>
      <c r="E453" t="str">
        <f>IF(Registro_Compras!$R453&lt;&gt;"SI","",Registro_Compras!$G453)</f>
        <v/>
      </c>
      <c r="F453" s="31" t="str">
        <f>IF(Registro_Compras!$R453&lt;&gt;"SI","",Registro_Compras!$P453)</f>
        <v/>
      </c>
      <c r="G453" s="20" t="str">
        <f>IF(Registro_Compras!$R453&lt;&gt;"SI","",Registro_Compras!$O453)</f>
        <v/>
      </c>
      <c r="H453" s="20" t="str">
        <f>IF(Registro_Compras!$R453&lt;&gt;"SI","",Registro_Compras!$S453)</f>
        <v/>
      </c>
      <c r="I453" s="25" t="str">
        <f>IF(Registro_Compras!$R453&lt;&gt;"SI","",IF(Registro_Compras!$Y453="",WORKDAY(EOMONTH(Registro_Compras!$B453,0),5,Feriados),MIN(Registro_Compras!$Y453,WORKDAY(EOMONTH(Registro_Compras!$B453,0),5,Feriados))))</f>
        <v/>
      </c>
      <c r="J453" s="25" t="str">
        <f>IF(Registro_Compras!$R453&lt;&gt;"SI","",Registro_Compras!$X453)</f>
        <v/>
      </c>
      <c r="K453" t="str">
        <f>IF(Registro_Compras!$R453&lt;&gt;"SI","",IF(Registro_Compras!$X453="","PENDIENTE","DEPOSITADA"))</f>
        <v/>
      </c>
      <c r="L453" t="str">
        <f>IF(Registro_Compras!$R453&lt;&gt;"SI","",Registro_Compras!$Z453)</f>
        <v/>
      </c>
      <c r="M453" t="str">
        <f t="shared" ca="1" si="14"/>
        <v/>
      </c>
      <c r="N453" t="str">
        <f t="shared" ca="1" si="15"/>
        <v/>
      </c>
    </row>
    <row r="454" spans="1:14" x14ac:dyDescent="0.25">
      <c r="A454" s="25" t="str">
        <f>IF(Registro_Compras!$R454&lt;&gt;"SI","",Registro_Compras!$B454)</f>
        <v/>
      </c>
      <c r="B454" t="str">
        <f>IF(Registro_Compras!$R454&lt;&gt;"SI","",Registro_Compras!$C454)</f>
        <v/>
      </c>
      <c r="C454" t="str">
        <f>IF(Registro_Compras!$R454&lt;&gt;"SI","",Registro_Compras!$D454)</f>
        <v/>
      </c>
      <c r="D454" t="str">
        <f>IF(Registro_Compras!$R454&lt;&gt;"SI","",Registro_Compras!$E454)</f>
        <v/>
      </c>
      <c r="E454" t="str">
        <f>IF(Registro_Compras!$R454&lt;&gt;"SI","",Registro_Compras!$G454)</f>
        <v/>
      </c>
      <c r="F454" s="31" t="str">
        <f>IF(Registro_Compras!$R454&lt;&gt;"SI","",Registro_Compras!$P454)</f>
        <v/>
      </c>
      <c r="G454" s="20" t="str">
        <f>IF(Registro_Compras!$R454&lt;&gt;"SI","",Registro_Compras!$O454)</f>
        <v/>
      </c>
      <c r="H454" s="20" t="str">
        <f>IF(Registro_Compras!$R454&lt;&gt;"SI","",Registro_Compras!$S454)</f>
        <v/>
      </c>
      <c r="I454" s="25" t="str">
        <f>IF(Registro_Compras!$R454&lt;&gt;"SI","",IF(Registro_Compras!$Y454="",WORKDAY(EOMONTH(Registro_Compras!$B454,0),5,Feriados),MIN(Registro_Compras!$Y454,WORKDAY(EOMONTH(Registro_Compras!$B454,0),5,Feriados))))</f>
        <v/>
      </c>
      <c r="J454" s="25" t="str">
        <f>IF(Registro_Compras!$R454&lt;&gt;"SI","",Registro_Compras!$X454)</f>
        <v/>
      </c>
      <c r="K454" t="str">
        <f>IF(Registro_Compras!$R454&lt;&gt;"SI","",IF(Registro_Compras!$X454="","PENDIENTE","DEPOSITADA"))</f>
        <v/>
      </c>
      <c r="L454" t="str">
        <f>IF(Registro_Compras!$R454&lt;&gt;"SI","",Registro_Compras!$Z454)</f>
        <v/>
      </c>
      <c r="M454" t="str">
        <f t="shared" ca="1" si="14"/>
        <v/>
      </c>
      <c r="N454" t="str">
        <f t="shared" ca="1" si="15"/>
        <v/>
      </c>
    </row>
    <row r="455" spans="1:14" x14ac:dyDescent="0.25">
      <c r="A455" s="25" t="str">
        <f>IF(Registro_Compras!$R455&lt;&gt;"SI","",Registro_Compras!$B455)</f>
        <v/>
      </c>
      <c r="B455" t="str">
        <f>IF(Registro_Compras!$R455&lt;&gt;"SI","",Registro_Compras!$C455)</f>
        <v/>
      </c>
      <c r="C455" t="str">
        <f>IF(Registro_Compras!$R455&lt;&gt;"SI","",Registro_Compras!$D455)</f>
        <v/>
      </c>
      <c r="D455" t="str">
        <f>IF(Registro_Compras!$R455&lt;&gt;"SI","",Registro_Compras!$E455)</f>
        <v/>
      </c>
      <c r="E455" t="str">
        <f>IF(Registro_Compras!$R455&lt;&gt;"SI","",Registro_Compras!$G455)</f>
        <v/>
      </c>
      <c r="F455" s="31" t="str">
        <f>IF(Registro_Compras!$R455&lt;&gt;"SI","",Registro_Compras!$P455)</f>
        <v/>
      </c>
      <c r="G455" s="20" t="str">
        <f>IF(Registro_Compras!$R455&lt;&gt;"SI","",Registro_Compras!$O455)</f>
        <v/>
      </c>
      <c r="H455" s="20" t="str">
        <f>IF(Registro_Compras!$R455&lt;&gt;"SI","",Registro_Compras!$S455)</f>
        <v/>
      </c>
      <c r="I455" s="25" t="str">
        <f>IF(Registro_Compras!$R455&lt;&gt;"SI","",IF(Registro_Compras!$Y455="",WORKDAY(EOMONTH(Registro_Compras!$B455,0),5,Feriados),MIN(Registro_Compras!$Y455,WORKDAY(EOMONTH(Registro_Compras!$B455,0),5,Feriados))))</f>
        <v/>
      </c>
      <c r="J455" s="25" t="str">
        <f>IF(Registro_Compras!$R455&lt;&gt;"SI","",Registro_Compras!$X455)</f>
        <v/>
      </c>
      <c r="K455" t="str">
        <f>IF(Registro_Compras!$R455&lt;&gt;"SI","",IF(Registro_Compras!$X455="","PENDIENTE","DEPOSITADA"))</f>
        <v/>
      </c>
      <c r="L455" t="str">
        <f>IF(Registro_Compras!$R455&lt;&gt;"SI","",Registro_Compras!$Z455)</f>
        <v/>
      </c>
      <c r="M455" t="str">
        <f t="shared" ca="1" si="14"/>
        <v/>
      </c>
      <c r="N455" t="str">
        <f t="shared" ca="1" si="15"/>
        <v/>
      </c>
    </row>
    <row r="456" spans="1:14" x14ac:dyDescent="0.25">
      <c r="A456" s="25" t="str">
        <f>IF(Registro_Compras!$R456&lt;&gt;"SI","",Registro_Compras!$B456)</f>
        <v/>
      </c>
      <c r="B456" t="str">
        <f>IF(Registro_Compras!$R456&lt;&gt;"SI","",Registro_Compras!$C456)</f>
        <v/>
      </c>
      <c r="C456" t="str">
        <f>IF(Registro_Compras!$R456&lt;&gt;"SI","",Registro_Compras!$D456)</f>
        <v/>
      </c>
      <c r="D456" t="str">
        <f>IF(Registro_Compras!$R456&lt;&gt;"SI","",Registro_Compras!$E456)</f>
        <v/>
      </c>
      <c r="E456" t="str">
        <f>IF(Registro_Compras!$R456&lt;&gt;"SI","",Registro_Compras!$G456)</f>
        <v/>
      </c>
      <c r="F456" s="31" t="str">
        <f>IF(Registro_Compras!$R456&lt;&gt;"SI","",Registro_Compras!$P456)</f>
        <v/>
      </c>
      <c r="G456" s="20" t="str">
        <f>IF(Registro_Compras!$R456&lt;&gt;"SI","",Registro_Compras!$O456)</f>
        <v/>
      </c>
      <c r="H456" s="20" t="str">
        <f>IF(Registro_Compras!$R456&lt;&gt;"SI","",Registro_Compras!$S456)</f>
        <v/>
      </c>
      <c r="I456" s="25" t="str">
        <f>IF(Registro_Compras!$R456&lt;&gt;"SI","",IF(Registro_Compras!$Y456="",WORKDAY(EOMONTH(Registro_Compras!$B456,0),5,Feriados),MIN(Registro_Compras!$Y456,WORKDAY(EOMONTH(Registro_Compras!$B456,0),5,Feriados))))</f>
        <v/>
      </c>
      <c r="J456" s="25" t="str">
        <f>IF(Registro_Compras!$R456&lt;&gt;"SI","",Registro_Compras!$X456)</f>
        <v/>
      </c>
      <c r="K456" t="str">
        <f>IF(Registro_Compras!$R456&lt;&gt;"SI","",IF(Registro_Compras!$X456="","PENDIENTE","DEPOSITADA"))</f>
        <v/>
      </c>
      <c r="L456" t="str">
        <f>IF(Registro_Compras!$R456&lt;&gt;"SI","",Registro_Compras!$Z456)</f>
        <v/>
      </c>
      <c r="M456" t="str">
        <f t="shared" ca="1" si="14"/>
        <v/>
      </c>
      <c r="N456" t="str">
        <f t="shared" ca="1" si="15"/>
        <v/>
      </c>
    </row>
    <row r="457" spans="1:14" x14ac:dyDescent="0.25">
      <c r="A457" s="25" t="str">
        <f>IF(Registro_Compras!$R457&lt;&gt;"SI","",Registro_Compras!$B457)</f>
        <v/>
      </c>
      <c r="B457" t="str">
        <f>IF(Registro_Compras!$R457&lt;&gt;"SI","",Registro_Compras!$C457)</f>
        <v/>
      </c>
      <c r="C457" t="str">
        <f>IF(Registro_Compras!$R457&lt;&gt;"SI","",Registro_Compras!$D457)</f>
        <v/>
      </c>
      <c r="D457" t="str">
        <f>IF(Registro_Compras!$R457&lt;&gt;"SI","",Registro_Compras!$E457)</f>
        <v/>
      </c>
      <c r="E457" t="str">
        <f>IF(Registro_Compras!$R457&lt;&gt;"SI","",Registro_Compras!$G457)</f>
        <v/>
      </c>
      <c r="F457" s="31" t="str">
        <f>IF(Registro_Compras!$R457&lt;&gt;"SI","",Registro_Compras!$P457)</f>
        <v/>
      </c>
      <c r="G457" s="20" t="str">
        <f>IF(Registro_Compras!$R457&lt;&gt;"SI","",Registro_Compras!$O457)</f>
        <v/>
      </c>
      <c r="H457" s="20" t="str">
        <f>IF(Registro_Compras!$R457&lt;&gt;"SI","",Registro_Compras!$S457)</f>
        <v/>
      </c>
      <c r="I457" s="25" t="str">
        <f>IF(Registro_Compras!$R457&lt;&gt;"SI","",IF(Registro_Compras!$Y457="",WORKDAY(EOMONTH(Registro_Compras!$B457,0),5,Feriados),MIN(Registro_Compras!$Y457,WORKDAY(EOMONTH(Registro_Compras!$B457,0),5,Feriados))))</f>
        <v/>
      </c>
      <c r="J457" s="25" t="str">
        <f>IF(Registro_Compras!$R457&lt;&gt;"SI","",Registro_Compras!$X457)</f>
        <v/>
      </c>
      <c r="K457" t="str">
        <f>IF(Registro_Compras!$R457&lt;&gt;"SI","",IF(Registro_Compras!$X457="","PENDIENTE","DEPOSITADA"))</f>
        <v/>
      </c>
      <c r="L457" t="str">
        <f>IF(Registro_Compras!$R457&lt;&gt;"SI","",Registro_Compras!$Z457)</f>
        <v/>
      </c>
      <c r="M457" t="str">
        <f t="shared" ca="1" si="14"/>
        <v/>
      </c>
      <c r="N457" t="str">
        <f t="shared" ca="1" si="15"/>
        <v/>
      </c>
    </row>
    <row r="458" spans="1:14" x14ac:dyDescent="0.25">
      <c r="A458" s="25" t="str">
        <f>IF(Registro_Compras!$R458&lt;&gt;"SI","",Registro_Compras!$B458)</f>
        <v/>
      </c>
      <c r="B458" t="str">
        <f>IF(Registro_Compras!$R458&lt;&gt;"SI","",Registro_Compras!$C458)</f>
        <v/>
      </c>
      <c r="C458" t="str">
        <f>IF(Registro_Compras!$R458&lt;&gt;"SI","",Registro_Compras!$D458)</f>
        <v/>
      </c>
      <c r="D458" t="str">
        <f>IF(Registro_Compras!$R458&lt;&gt;"SI","",Registro_Compras!$E458)</f>
        <v/>
      </c>
      <c r="E458" t="str">
        <f>IF(Registro_Compras!$R458&lt;&gt;"SI","",Registro_Compras!$G458)</f>
        <v/>
      </c>
      <c r="F458" s="31" t="str">
        <f>IF(Registro_Compras!$R458&lt;&gt;"SI","",Registro_Compras!$P458)</f>
        <v/>
      </c>
      <c r="G458" s="20" t="str">
        <f>IF(Registro_Compras!$R458&lt;&gt;"SI","",Registro_Compras!$O458)</f>
        <v/>
      </c>
      <c r="H458" s="20" t="str">
        <f>IF(Registro_Compras!$R458&lt;&gt;"SI","",Registro_Compras!$S458)</f>
        <v/>
      </c>
      <c r="I458" s="25" t="str">
        <f>IF(Registro_Compras!$R458&lt;&gt;"SI","",IF(Registro_Compras!$Y458="",WORKDAY(EOMONTH(Registro_Compras!$B458,0),5,Feriados),MIN(Registro_Compras!$Y458,WORKDAY(EOMONTH(Registro_Compras!$B458,0),5,Feriados))))</f>
        <v/>
      </c>
      <c r="J458" s="25" t="str">
        <f>IF(Registro_Compras!$R458&lt;&gt;"SI","",Registro_Compras!$X458)</f>
        <v/>
      </c>
      <c r="K458" t="str">
        <f>IF(Registro_Compras!$R458&lt;&gt;"SI","",IF(Registro_Compras!$X458="","PENDIENTE","DEPOSITADA"))</f>
        <v/>
      </c>
      <c r="L458" t="str">
        <f>IF(Registro_Compras!$R458&lt;&gt;"SI","",Registro_Compras!$Z458)</f>
        <v/>
      </c>
      <c r="M458" t="str">
        <f t="shared" ca="1" si="14"/>
        <v/>
      </c>
      <c r="N458" t="str">
        <f t="shared" ca="1" si="15"/>
        <v/>
      </c>
    </row>
    <row r="459" spans="1:14" x14ac:dyDescent="0.25">
      <c r="A459" s="25" t="str">
        <f>IF(Registro_Compras!$R459&lt;&gt;"SI","",Registro_Compras!$B459)</f>
        <v/>
      </c>
      <c r="B459" t="str">
        <f>IF(Registro_Compras!$R459&lt;&gt;"SI","",Registro_Compras!$C459)</f>
        <v/>
      </c>
      <c r="C459" t="str">
        <f>IF(Registro_Compras!$R459&lt;&gt;"SI","",Registro_Compras!$D459)</f>
        <v/>
      </c>
      <c r="D459" t="str">
        <f>IF(Registro_Compras!$R459&lt;&gt;"SI","",Registro_Compras!$E459)</f>
        <v/>
      </c>
      <c r="E459" t="str">
        <f>IF(Registro_Compras!$R459&lt;&gt;"SI","",Registro_Compras!$G459)</f>
        <v/>
      </c>
      <c r="F459" s="31" t="str">
        <f>IF(Registro_Compras!$R459&lt;&gt;"SI","",Registro_Compras!$P459)</f>
        <v/>
      </c>
      <c r="G459" s="20" t="str">
        <f>IF(Registro_Compras!$R459&lt;&gt;"SI","",Registro_Compras!$O459)</f>
        <v/>
      </c>
      <c r="H459" s="20" t="str">
        <f>IF(Registro_Compras!$R459&lt;&gt;"SI","",Registro_Compras!$S459)</f>
        <v/>
      </c>
      <c r="I459" s="25" t="str">
        <f>IF(Registro_Compras!$R459&lt;&gt;"SI","",IF(Registro_Compras!$Y459="",WORKDAY(EOMONTH(Registro_Compras!$B459,0),5,Feriados),MIN(Registro_Compras!$Y459,WORKDAY(EOMONTH(Registro_Compras!$B459,0),5,Feriados))))</f>
        <v/>
      </c>
      <c r="J459" s="25" t="str">
        <f>IF(Registro_Compras!$R459&lt;&gt;"SI","",Registro_Compras!$X459)</f>
        <v/>
      </c>
      <c r="K459" t="str">
        <f>IF(Registro_Compras!$R459&lt;&gt;"SI","",IF(Registro_Compras!$X459="","PENDIENTE","DEPOSITADA"))</f>
        <v/>
      </c>
      <c r="L459" t="str">
        <f>IF(Registro_Compras!$R459&lt;&gt;"SI","",Registro_Compras!$Z459)</f>
        <v/>
      </c>
      <c r="M459" t="str">
        <f t="shared" ca="1" si="14"/>
        <v/>
      </c>
      <c r="N459" t="str">
        <f t="shared" ca="1" si="15"/>
        <v/>
      </c>
    </row>
    <row r="460" spans="1:14" x14ac:dyDescent="0.25">
      <c r="A460" s="25" t="str">
        <f>IF(Registro_Compras!$R460&lt;&gt;"SI","",Registro_Compras!$B460)</f>
        <v/>
      </c>
      <c r="B460" t="str">
        <f>IF(Registro_Compras!$R460&lt;&gt;"SI","",Registro_Compras!$C460)</f>
        <v/>
      </c>
      <c r="C460" t="str">
        <f>IF(Registro_Compras!$R460&lt;&gt;"SI","",Registro_Compras!$D460)</f>
        <v/>
      </c>
      <c r="D460" t="str">
        <f>IF(Registro_Compras!$R460&lt;&gt;"SI","",Registro_Compras!$E460)</f>
        <v/>
      </c>
      <c r="E460" t="str">
        <f>IF(Registro_Compras!$R460&lt;&gt;"SI","",Registro_Compras!$G460)</f>
        <v/>
      </c>
      <c r="F460" s="31" t="str">
        <f>IF(Registro_Compras!$R460&lt;&gt;"SI","",Registro_Compras!$P460)</f>
        <v/>
      </c>
      <c r="G460" s="20" t="str">
        <f>IF(Registro_Compras!$R460&lt;&gt;"SI","",Registro_Compras!$O460)</f>
        <v/>
      </c>
      <c r="H460" s="20" t="str">
        <f>IF(Registro_Compras!$R460&lt;&gt;"SI","",Registro_Compras!$S460)</f>
        <v/>
      </c>
      <c r="I460" s="25" t="str">
        <f>IF(Registro_Compras!$R460&lt;&gt;"SI","",IF(Registro_Compras!$Y460="",WORKDAY(EOMONTH(Registro_Compras!$B460,0),5,Feriados),MIN(Registro_Compras!$Y460,WORKDAY(EOMONTH(Registro_Compras!$B460,0),5,Feriados))))</f>
        <v/>
      </c>
      <c r="J460" s="25" t="str">
        <f>IF(Registro_Compras!$R460&lt;&gt;"SI","",Registro_Compras!$X460)</f>
        <v/>
      </c>
      <c r="K460" t="str">
        <f>IF(Registro_Compras!$R460&lt;&gt;"SI","",IF(Registro_Compras!$X460="","PENDIENTE","DEPOSITADA"))</f>
        <v/>
      </c>
      <c r="L460" t="str">
        <f>IF(Registro_Compras!$R460&lt;&gt;"SI","",Registro_Compras!$Z460)</f>
        <v/>
      </c>
      <c r="M460" t="str">
        <f t="shared" ca="1" si="14"/>
        <v/>
      </c>
      <c r="N460" t="str">
        <f t="shared" ca="1" si="15"/>
        <v/>
      </c>
    </row>
    <row r="461" spans="1:14" x14ac:dyDescent="0.25">
      <c r="A461" s="25" t="str">
        <f>IF(Registro_Compras!$R461&lt;&gt;"SI","",Registro_Compras!$B461)</f>
        <v/>
      </c>
      <c r="B461" t="str">
        <f>IF(Registro_Compras!$R461&lt;&gt;"SI","",Registro_Compras!$C461)</f>
        <v/>
      </c>
      <c r="C461" t="str">
        <f>IF(Registro_Compras!$R461&lt;&gt;"SI","",Registro_Compras!$D461)</f>
        <v/>
      </c>
      <c r="D461" t="str">
        <f>IF(Registro_Compras!$R461&lt;&gt;"SI","",Registro_Compras!$E461)</f>
        <v/>
      </c>
      <c r="E461" t="str">
        <f>IF(Registro_Compras!$R461&lt;&gt;"SI","",Registro_Compras!$G461)</f>
        <v/>
      </c>
      <c r="F461" s="31" t="str">
        <f>IF(Registro_Compras!$R461&lt;&gt;"SI","",Registro_Compras!$P461)</f>
        <v/>
      </c>
      <c r="G461" s="20" t="str">
        <f>IF(Registro_Compras!$R461&lt;&gt;"SI","",Registro_Compras!$O461)</f>
        <v/>
      </c>
      <c r="H461" s="20" t="str">
        <f>IF(Registro_Compras!$R461&lt;&gt;"SI","",Registro_Compras!$S461)</f>
        <v/>
      </c>
      <c r="I461" s="25" t="str">
        <f>IF(Registro_Compras!$R461&lt;&gt;"SI","",IF(Registro_Compras!$Y461="",WORKDAY(EOMONTH(Registro_Compras!$B461,0),5,Feriados),MIN(Registro_Compras!$Y461,WORKDAY(EOMONTH(Registro_Compras!$B461,0),5,Feriados))))</f>
        <v/>
      </c>
      <c r="J461" s="25" t="str">
        <f>IF(Registro_Compras!$R461&lt;&gt;"SI","",Registro_Compras!$X461)</f>
        <v/>
      </c>
      <c r="K461" t="str">
        <f>IF(Registro_Compras!$R461&lt;&gt;"SI","",IF(Registro_Compras!$X461="","PENDIENTE","DEPOSITADA"))</f>
        <v/>
      </c>
      <c r="L461" t="str">
        <f>IF(Registro_Compras!$R461&lt;&gt;"SI","",Registro_Compras!$Z461)</f>
        <v/>
      </c>
      <c r="M461" t="str">
        <f t="shared" ca="1" si="14"/>
        <v/>
      </c>
      <c r="N461" t="str">
        <f t="shared" ca="1" si="15"/>
        <v/>
      </c>
    </row>
    <row r="462" spans="1:14" x14ac:dyDescent="0.25">
      <c r="A462" s="25" t="str">
        <f>IF(Registro_Compras!$R462&lt;&gt;"SI","",Registro_Compras!$B462)</f>
        <v/>
      </c>
      <c r="B462" t="str">
        <f>IF(Registro_Compras!$R462&lt;&gt;"SI","",Registro_Compras!$C462)</f>
        <v/>
      </c>
      <c r="C462" t="str">
        <f>IF(Registro_Compras!$R462&lt;&gt;"SI","",Registro_Compras!$D462)</f>
        <v/>
      </c>
      <c r="D462" t="str">
        <f>IF(Registro_Compras!$R462&lt;&gt;"SI","",Registro_Compras!$E462)</f>
        <v/>
      </c>
      <c r="E462" t="str">
        <f>IF(Registro_Compras!$R462&lt;&gt;"SI","",Registro_Compras!$G462)</f>
        <v/>
      </c>
      <c r="F462" s="31" t="str">
        <f>IF(Registro_Compras!$R462&lt;&gt;"SI","",Registro_Compras!$P462)</f>
        <v/>
      </c>
      <c r="G462" s="20" t="str">
        <f>IF(Registro_Compras!$R462&lt;&gt;"SI","",Registro_Compras!$O462)</f>
        <v/>
      </c>
      <c r="H462" s="20" t="str">
        <f>IF(Registro_Compras!$R462&lt;&gt;"SI","",Registro_Compras!$S462)</f>
        <v/>
      </c>
      <c r="I462" s="25" t="str">
        <f>IF(Registro_Compras!$R462&lt;&gt;"SI","",IF(Registro_Compras!$Y462="",WORKDAY(EOMONTH(Registro_Compras!$B462,0),5,Feriados),MIN(Registro_Compras!$Y462,WORKDAY(EOMONTH(Registro_Compras!$B462,0),5,Feriados))))</f>
        <v/>
      </c>
      <c r="J462" s="25" t="str">
        <f>IF(Registro_Compras!$R462&lt;&gt;"SI","",Registro_Compras!$X462)</f>
        <v/>
      </c>
      <c r="K462" t="str">
        <f>IF(Registro_Compras!$R462&lt;&gt;"SI","",IF(Registro_Compras!$X462="","PENDIENTE","DEPOSITADA"))</f>
        <v/>
      </c>
      <c r="L462" t="str">
        <f>IF(Registro_Compras!$R462&lt;&gt;"SI","",Registro_Compras!$Z462)</f>
        <v/>
      </c>
      <c r="M462" t="str">
        <f t="shared" ca="1" si="14"/>
        <v/>
      </c>
      <c r="N462" t="str">
        <f t="shared" ca="1" si="15"/>
        <v/>
      </c>
    </row>
    <row r="463" spans="1:14" x14ac:dyDescent="0.25">
      <c r="A463" s="25" t="str">
        <f>IF(Registro_Compras!$R463&lt;&gt;"SI","",Registro_Compras!$B463)</f>
        <v/>
      </c>
      <c r="B463" t="str">
        <f>IF(Registro_Compras!$R463&lt;&gt;"SI","",Registro_Compras!$C463)</f>
        <v/>
      </c>
      <c r="C463" t="str">
        <f>IF(Registro_Compras!$R463&lt;&gt;"SI","",Registro_Compras!$D463)</f>
        <v/>
      </c>
      <c r="D463" t="str">
        <f>IF(Registro_Compras!$R463&lt;&gt;"SI","",Registro_Compras!$E463)</f>
        <v/>
      </c>
      <c r="E463" t="str">
        <f>IF(Registro_Compras!$R463&lt;&gt;"SI","",Registro_Compras!$G463)</f>
        <v/>
      </c>
      <c r="F463" s="31" t="str">
        <f>IF(Registro_Compras!$R463&lt;&gt;"SI","",Registro_Compras!$P463)</f>
        <v/>
      </c>
      <c r="G463" s="20" t="str">
        <f>IF(Registro_Compras!$R463&lt;&gt;"SI","",Registro_Compras!$O463)</f>
        <v/>
      </c>
      <c r="H463" s="20" t="str">
        <f>IF(Registro_Compras!$R463&lt;&gt;"SI","",Registro_Compras!$S463)</f>
        <v/>
      </c>
      <c r="I463" s="25" t="str">
        <f>IF(Registro_Compras!$R463&lt;&gt;"SI","",IF(Registro_Compras!$Y463="",WORKDAY(EOMONTH(Registro_Compras!$B463,0),5,Feriados),MIN(Registro_Compras!$Y463,WORKDAY(EOMONTH(Registro_Compras!$B463,0),5,Feriados))))</f>
        <v/>
      </c>
      <c r="J463" s="25" t="str">
        <f>IF(Registro_Compras!$R463&lt;&gt;"SI","",Registro_Compras!$X463)</f>
        <v/>
      </c>
      <c r="K463" t="str">
        <f>IF(Registro_Compras!$R463&lt;&gt;"SI","",IF(Registro_Compras!$X463="","PENDIENTE","DEPOSITADA"))</f>
        <v/>
      </c>
      <c r="L463" t="str">
        <f>IF(Registro_Compras!$R463&lt;&gt;"SI","",Registro_Compras!$Z463)</f>
        <v/>
      </c>
      <c r="M463" t="str">
        <f t="shared" ca="1" si="14"/>
        <v/>
      </c>
      <c r="N463" t="str">
        <f t="shared" ca="1" si="15"/>
        <v/>
      </c>
    </row>
    <row r="464" spans="1:14" x14ac:dyDescent="0.25">
      <c r="A464" s="25" t="str">
        <f>IF(Registro_Compras!$R464&lt;&gt;"SI","",Registro_Compras!$B464)</f>
        <v/>
      </c>
      <c r="B464" t="str">
        <f>IF(Registro_Compras!$R464&lt;&gt;"SI","",Registro_Compras!$C464)</f>
        <v/>
      </c>
      <c r="C464" t="str">
        <f>IF(Registro_Compras!$R464&lt;&gt;"SI","",Registro_Compras!$D464)</f>
        <v/>
      </c>
      <c r="D464" t="str">
        <f>IF(Registro_Compras!$R464&lt;&gt;"SI","",Registro_Compras!$E464)</f>
        <v/>
      </c>
      <c r="E464" t="str">
        <f>IF(Registro_Compras!$R464&lt;&gt;"SI","",Registro_Compras!$G464)</f>
        <v/>
      </c>
      <c r="F464" s="31" t="str">
        <f>IF(Registro_Compras!$R464&lt;&gt;"SI","",Registro_Compras!$P464)</f>
        <v/>
      </c>
      <c r="G464" s="20" t="str">
        <f>IF(Registro_Compras!$R464&lt;&gt;"SI","",Registro_Compras!$O464)</f>
        <v/>
      </c>
      <c r="H464" s="20" t="str">
        <f>IF(Registro_Compras!$R464&lt;&gt;"SI","",Registro_Compras!$S464)</f>
        <v/>
      </c>
      <c r="I464" s="25" t="str">
        <f>IF(Registro_Compras!$R464&lt;&gt;"SI","",IF(Registro_Compras!$Y464="",WORKDAY(EOMONTH(Registro_Compras!$B464,0),5,Feriados),MIN(Registro_Compras!$Y464,WORKDAY(EOMONTH(Registro_Compras!$B464,0),5,Feriados))))</f>
        <v/>
      </c>
      <c r="J464" s="25" t="str">
        <f>IF(Registro_Compras!$R464&lt;&gt;"SI","",Registro_Compras!$X464)</f>
        <v/>
      </c>
      <c r="K464" t="str">
        <f>IF(Registro_Compras!$R464&lt;&gt;"SI","",IF(Registro_Compras!$X464="","PENDIENTE","DEPOSITADA"))</f>
        <v/>
      </c>
      <c r="L464" t="str">
        <f>IF(Registro_Compras!$R464&lt;&gt;"SI","",Registro_Compras!$Z464)</f>
        <v/>
      </c>
      <c r="M464" t="str">
        <f t="shared" ca="1" si="14"/>
        <v/>
      </c>
      <c r="N464" t="str">
        <f t="shared" ca="1" si="15"/>
        <v/>
      </c>
    </row>
    <row r="465" spans="1:14" x14ac:dyDescent="0.25">
      <c r="A465" s="25" t="str">
        <f>IF(Registro_Compras!$R465&lt;&gt;"SI","",Registro_Compras!$B465)</f>
        <v/>
      </c>
      <c r="B465" t="str">
        <f>IF(Registro_Compras!$R465&lt;&gt;"SI","",Registro_Compras!$C465)</f>
        <v/>
      </c>
      <c r="C465" t="str">
        <f>IF(Registro_Compras!$R465&lt;&gt;"SI","",Registro_Compras!$D465)</f>
        <v/>
      </c>
      <c r="D465" t="str">
        <f>IF(Registro_Compras!$R465&lt;&gt;"SI","",Registro_Compras!$E465)</f>
        <v/>
      </c>
      <c r="E465" t="str">
        <f>IF(Registro_Compras!$R465&lt;&gt;"SI","",Registro_Compras!$G465)</f>
        <v/>
      </c>
      <c r="F465" s="31" t="str">
        <f>IF(Registro_Compras!$R465&lt;&gt;"SI","",Registro_Compras!$P465)</f>
        <v/>
      </c>
      <c r="G465" s="20" t="str">
        <f>IF(Registro_Compras!$R465&lt;&gt;"SI","",Registro_Compras!$O465)</f>
        <v/>
      </c>
      <c r="H465" s="20" t="str">
        <f>IF(Registro_Compras!$R465&lt;&gt;"SI","",Registro_Compras!$S465)</f>
        <v/>
      </c>
      <c r="I465" s="25" t="str">
        <f>IF(Registro_Compras!$R465&lt;&gt;"SI","",IF(Registro_Compras!$Y465="",WORKDAY(EOMONTH(Registro_Compras!$B465,0),5,Feriados),MIN(Registro_Compras!$Y465,WORKDAY(EOMONTH(Registro_Compras!$B465,0),5,Feriados))))</f>
        <v/>
      </c>
      <c r="J465" s="25" t="str">
        <f>IF(Registro_Compras!$R465&lt;&gt;"SI","",Registro_Compras!$X465)</f>
        <v/>
      </c>
      <c r="K465" t="str">
        <f>IF(Registro_Compras!$R465&lt;&gt;"SI","",IF(Registro_Compras!$X465="","PENDIENTE","DEPOSITADA"))</f>
        <v/>
      </c>
      <c r="L465" t="str">
        <f>IF(Registro_Compras!$R465&lt;&gt;"SI","",Registro_Compras!$Z465)</f>
        <v/>
      </c>
      <c r="M465" t="str">
        <f t="shared" ca="1" si="14"/>
        <v/>
      </c>
      <c r="N465" t="str">
        <f t="shared" ca="1" si="15"/>
        <v/>
      </c>
    </row>
    <row r="466" spans="1:14" x14ac:dyDescent="0.25">
      <c r="A466" s="25" t="str">
        <f>IF(Registro_Compras!$R466&lt;&gt;"SI","",Registro_Compras!$B466)</f>
        <v/>
      </c>
      <c r="B466" t="str">
        <f>IF(Registro_Compras!$R466&lt;&gt;"SI","",Registro_Compras!$C466)</f>
        <v/>
      </c>
      <c r="C466" t="str">
        <f>IF(Registro_Compras!$R466&lt;&gt;"SI","",Registro_Compras!$D466)</f>
        <v/>
      </c>
      <c r="D466" t="str">
        <f>IF(Registro_Compras!$R466&lt;&gt;"SI","",Registro_Compras!$E466)</f>
        <v/>
      </c>
      <c r="E466" t="str">
        <f>IF(Registro_Compras!$R466&lt;&gt;"SI","",Registro_Compras!$G466)</f>
        <v/>
      </c>
      <c r="F466" s="31" t="str">
        <f>IF(Registro_Compras!$R466&lt;&gt;"SI","",Registro_Compras!$P466)</f>
        <v/>
      </c>
      <c r="G466" s="20" t="str">
        <f>IF(Registro_Compras!$R466&lt;&gt;"SI","",Registro_Compras!$O466)</f>
        <v/>
      </c>
      <c r="H466" s="20" t="str">
        <f>IF(Registro_Compras!$R466&lt;&gt;"SI","",Registro_Compras!$S466)</f>
        <v/>
      </c>
      <c r="I466" s="25" t="str">
        <f>IF(Registro_Compras!$R466&lt;&gt;"SI","",IF(Registro_Compras!$Y466="",WORKDAY(EOMONTH(Registro_Compras!$B466,0),5,Feriados),MIN(Registro_Compras!$Y466,WORKDAY(EOMONTH(Registro_Compras!$B466,0),5,Feriados))))</f>
        <v/>
      </c>
      <c r="J466" s="25" t="str">
        <f>IF(Registro_Compras!$R466&lt;&gt;"SI","",Registro_Compras!$X466)</f>
        <v/>
      </c>
      <c r="K466" t="str">
        <f>IF(Registro_Compras!$R466&lt;&gt;"SI","",IF(Registro_Compras!$X466="","PENDIENTE","DEPOSITADA"))</f>
        <v/>
      </c>
      <c r="L466" t="str">
        <f>IF(Registro_Compras!$R466&lt;&gt;"SI","",Registro_Compras!$Z466)</f>
        <v/>
      </c>
      <c r="M466" t="str">
        <f t="shared" ca="1" si="14"/>
        <v/>
      </c>
      <c r="N466" t="str">
        <f t="shared" ca="1" si="15"/>
        <v/>
      </c>
    </row>
    <row r="467" spans="1:14" x14ac:dyDescent="0.25">
      <c r="A467" s="25" t="str">
        <f>IF(Registro_Compras!$R467&lt;&gt;"SI","",Registro_Compras!$B467)</f>
        <v/>
      </c>
      <c r="B467" t="str">
        <f>IF(Registro_Compras!$R467&lt;&gt;"SI","",Registro_Compras!$C467)</f>
        <v/>
      </c>
      <c r="C467" t="str">
        <f>IF(Registro_Compras!$R467&lt;&gt;"SI","",Registro_Compras!$D467)</f>
        <v/>
      </c>
      <c r="D467" t="str">
        <f>IF(Registro_Compras!$R467&lt;&gt;"SI","",Registro_Compras!$E467)</f>
        <v/>
      </c>
      <c r="E467" t="str">
        <f>IF(Registro_Compras!$R467&lt;&gt;"SI","",Registro_Compras!$G467)</f>
        <v/>
      </c>
      <c r="F467" s="31" t="str">
        <f>IF(Registro_Compras!$R467&lt;&gt;"SI","",Registro_Compras!$P467)</f>
        <v/>
      </c>
      <c r="G467" s="20" t="str">
        <f>IF(Registro_Compras!$R467&lt;&gt;"SI","",Registro_Compras!$O467)</f>
        <v/>
      </c>
      <c r="H467" s="20" t="str">
        <f>IF(Registro_Compras!$R467&lt;&gt;"SI","",Registro_Compras!$S467)</f>
        <v/>
      </c>
      <c r="I467" s="25" t="str">
        <f>IF(Registro_Compras!$R467&lt;&gt;"SI","",IF(Registro_Compras!$Y467="",WORKDAY(EOMONTH(Registro_Compras!$B467,0),5,Feriados),MIN(Registro_Compras!$Y467,WORKDAY(EOMONTH(Registro_Compras!$B467,0),5,Feriados))))</f>
        <v/>
      </c>
      <c r="J467" s="25" t="str">
        <f>IF(Registro_Compras!$R467&lt;&gt;"SI","",Registro_Compras!$X467)</f>
        <v/>
      </c>
      <c r="K467" t="str">
        <f>IF(Registro_Compras!$R467&lt;&gt;"SI","",IF(Registro_Compras!$X467="","PENDIENTE","DEPOSITADA"))</f>
        <v/>
      </c>
      <c r="L467" t="str">
        <f>IF(Registro_Compras!$R467&lt;&gt;"SI","",Registro_Compras!$Z467)</f>
        <v/>
      </c>
      <c r="M467" t="str">
        <f t="shared" ca="1" si="14"/>
        <v/>
      </c>
      <c r="N467" t="str">
        <f t="shared" ca="1" si="15"/>
        <v/>
      </c>
    </row>
    <row r="468" spans="1:14" x14ac:dyDescent="0.25">
      <c r="A468" s="25" t="str">
        <f>IF(Registro_Compras!$R468&lt;&gt;"SI","",Registro_Compras!$B468)</f>
        <v/>
      </c>
      <c r="B468" t="str">
        <f>IF(Registro_Compras!$R468&lt;&gt;"SI","",Registro_Compras!$C468)</f>
        <v/>
      </c>
      <c r="C468" t="str">
        <f>IF(Registro_Compras!$R468&lt;&gt;"SI","",Registro_Compras!$D468)</f>
        <v/>
      </c>
      <c r="D468" t="str">
        <f>IF(Registro_Compras!$R468&lt;&gt;"SI","",Registro_Compras!$E468)</f>
        <v/>
      </c>
      <c r="E468" t="str">
        <f>IF(Registro_Compras!$R468&lt;&gt;"SI","",Registro_Compras!$G468)</f>
        <v/>
      </c>
      <c r="F468" s="31" t="str">
        <f>IF(Registro_Compras!$R468&lt;&gt;"SI","",Registro_Compras!$P468)</f>
        <v/>
      </c>
      <c r="G468" s="20" t="str">
        <f>IF(Registro_Compras!$R468&lt;&gt;"SI","",Registro_Compras!$O468)</f>
        <v/>
      </c>
      <c r="H468" s="20" t="str">
        <f>IF(Registro_Compras!$R468&lt;&gt;"SI","",Registro_Compras!$S468)</f>
        <v/>
      </c>
      <c r="I468" s="25" t="str">
        <f>IF(Registro_Compras!$R468&lt;&gt;"SI","",IF(Registro_Compras!$Y468="",WORKDAY(EOMONTH(Registro_Compras!$B468,0),5,Feriados),MIN(Registro_Compras!$Y468,WORKDAY(EOMONTH(Registro_Compras!$B468,0),5,Feriados))))</f>
        <v/>
      </c>
      <c r="J468" s="25" t="str">
        <f>IF(Registro_Compras!$R468&lt;&gt;"SI","",Registro_Compras!$X468)</f>
        <v/>
      </c>
      <c r="K468" t="str">
        <f>IF(Registro_Compras!$R468&lt;&gt;"SI","",IF(Registro_Compras!$X468="","PENDIENTE","DEPOSITADA"))</f>
        <v/>
      </c>
      <c r="L468" t="str">
        <f>IF(Registro_Compras!$R468&lt;&gt;"SI","",Registro_Compras!$Z468)</f>
        <v/>
      </c>
      <c r="M468" t="str">
        <f t="shared" ca="1" si="14"/>
        <v/>
      </c>
      <c r="N468" t="str">
        <f t="shared" ca="1" si="15"/>
        <v/>
      </c>
    </row>
    <row r="469" spans="1:14" x14ac:dyDescent="0.25">
      <c r="A469" s="25" t="str">
        <f>IF(Registro_Compras!$R469&lt;&gt;"SI","",Registro_Compras!$B469)</f>
        <v/>
      </c>
      <c r="B469" t="str">
        <f>IF(Registro_Compras!$R469&lt;&gt;"SI","",Registro_Compras!$C469)</f>
        <v/>
      </c>
      <c r="C469" t="str">
        <f>IF(Registro_Compras!$R469&lt;&gt;"SI","",Registro_Compras!$D469)</f>
        <v/>
      </c>
      <c r="D469" t="str">
        <f>IF(Registro_Compras!$R469&lt;&gt;"SI","",Registro_Compras!$E469)</f>
        <v/>
      </c>
      <c r="E469" t="str">
        <f>IF(Registro_Compras!$R469&lt;&gt;"SI","",Registro_Compras!$G469)</f>
        <v/>
      </c>
      <c r="F469" s="31" t="str">
        <f>IF(Registro_Compras!$R469&lt;&gt;"SI","",Registro_Compras!$P469)</f>
        <v/>
      </c>
      <c r="G469" s="20" t="str">
        <f>IF(Registro_Compras!$R469&lt;&gt;"SI","",Registro_Compras!$O469)</f>
        <v/>
      </c>
      <c r="H469" s="20" t="str">
        <f>IF(Registro_Compras!$R469&lt;&gt;"SI","",Registro_Compras!$S469)</f>
        <v/>
      </c>
      <c r="I469" s="25" t="str">
        <f>IF(Registro_Compras!$R469&lt;&gt;"SI","",IF(Registro_Compras!$Y469="",WORKDAY(EOMONTH(Registro_Compras!$B469,0),5,Feriados),MIN(Registro_Compras!$Y469,WORKDAY(EOMONTH(Registro_Compras!$B469,0),5,Feriados))))</f>
        <v/>
      </c>
      <c r="J469" s="25" t="str">
        <f>IF(Registro_Compras!$R469&lt;&gt;"SI","",Registro_Compras!$X469)</f>
        <v/>
      </c>
      <c r="K469" t="str">
        <f>IF(Registro_Compras!$R469&lt;&gt;"SI","",IF(Registro_Compras!$X469="","PENDIENTE","DEPOSITADA"))</f>
        <v/>
      </c>
      <c r="L469" t="str">
        <f>IF(Registro_Compras!$R469&lt;&gt;"SI","",Registro_Compras!$Z469)</f>
        <v/>
      </c>
      <c r="M469" t="str">
        <f t="shared" ca="1" si="14"/>
        <v/>
      </c>
      <c r="N469" t="str">
        <f t="shared" ca="1" si="15"/>
        <v/>
      </c>
    </row>
    <row r="470" spans="1:14" x14ac:dyDescent="0.25">
      <c r="A470" s="25" t="str">
        <f>IF(Registro_Compras!$R470&lt;&gt;"SI","",Registro_Compras!$B470)</f>
        <v/>
      </c>
      <c r="B470" t="str">
        <f>IF(Registro_Compras!$R470&lt;&gt;"SI","",Registro_Compras!$C470)</f>
        <v/>
      </c>
      <c r="C470" t="str">
        <f>IF(Registro_Compras!$R470&lt;&gt;"SI","",Registro_Compras!$D470)</f>
        <v/>
      </c>
      <c r="D470" t="str">
        <f>IF(Registro_Compras!$R470&lt;&gt;"SI","",Registro_Compras!$E470)</f>
        <v/>
      </c>
      <c r="E470" t="str">
        <f>IF(Registro_Compras!$R470&lt;&gt;"SI","",Registro_Compras!$G470)</f>
        <v/>
      </c>
      <c r="F470" s="31" t="str">
        <f>IF(Registro_Compras!$R470&lt;&gt;"SI","",Registro_Compras!$P470)</f>
        <v/>
      </c>
      <c r="G470" s="20" t="str">
        <f>IF(Registro_Compras!$R470&lt;&gt;"SI","",Registro_Compras!$O470)</f>
        <v/>
      </c>
      <c r="H470" s="20" t="str">
        <f>IF(Registro_Compras!$R470&lt;&gt;"SI","",Registro_Compras!$S470)</f>
        <v/>
      </c>
      <c r="I470" s="25" t="str">
        <f>IF(Registro_Compras!$R470&lt;&gt;"SI","",IF(Registro_Compras!$Y470="",WORKDAY(EOMONTH(Registro_Compras!$B470,0),5,Feriados),MIN(Registro_Compras!$Y470,WORKDAY(EOMONTH(Registro_Compras!$B470,0),5,Feriados))))</f>
        <v/>
      </c>
      <c r="J470" s="25" t="str">
        <f>IF(Registro_Compras!$R470&lt;&gt;"SI","",Registro_Compras!$X470)</f>
        <v/>
      </c>
      <c r="K470" t="str">
        <f>IF(Registro_Compras!$R470&lt;&gt;"SI","",IF(Registro_Compras!$X470="","PENDIENTE","DEPOSITADA"))</f>
        <v/>
      </c>
      <c r="L470" t="str">
        <f>IF(Registro_Compras!$R470&lt;&gt;"SI","",Registro_Compras!$Z470)</f>
        <v/>
      </c>
      <c r="M470" t="str">
        <f t="shared" ca="1" si="14"/>
        <v/>
      </c>
      <c r="N470" t="str">
        <f t="shared" ca="1" si="15"/>
        <v/>
      </c>
    </row>
    <row r="471" spans="1:14" x14ac:dyDescent="0.25">
      <c r="A471" s="25" t="str">
        <f>IF(Registro_Compras!$R471&lt;&gt;"SI","",Registro_Compras!$B471)</f>
        <v/>
      </c>
      <c r="B471" t="str">
        <f>IF(Registro_Compras!$R471&lt;&gt;"SI","",Registro_Compras!$C471)</f>
        <v/>
      </c>
      <c r="C471" t="str">
        <f>IF(Registro_Compras!$R471&lt;&gt;"SI","",Registro_Compras!$D471)</f>
        <v/>
      </c>
      <c r="D471" t="str">
        <f>IF(Registro_Compras!$R471&lt;&gt;"SI","",Registro_Compras!$E471)</f>
        <v/>
      </c>
      <c r="E471" t="str">
        <f>IF(Registro_Compras!$R471&lt;&gt;"SI","",Registro_Compras!$G471)</f>
        <v/>
      </c>
      <c r="F471" s="31" t="str">
        <f>IF(Registro_Compras!$R471&lt;&gt;"SI","",Registro_Compras!$P471)</f>
        <v/>
      </c>
      <c r="G471" s="20" t="str">
        <f>IF(Registro_Compras!$R471&lt;&gt;"SI","",Registro_Compras!$O471)</f>
        <v/>
      </c>
      <c r="H471" s="20" t="str">
        <f>IF(Registro_Compras!$R471&lt;&gt;"SI","",Registro_Compras!$S471)</f>
        <v/>
      </c>
      <c r="I471" s="25" t="str">
        <f>IF(Registro_Compras!$R471&lt;&gt;"SI","",IF(Registro_Compras!$Y471="",WORKDAY(EOMONTH(Registro_Compras!$B471,0),5,Feriados),MIN(Registro_Compras!$Y471,WORKDAY(EOMONTH(Registro_Compras!$B471,0),5,Feriados))))</f>
        <v/>
      </c>
      <c r="J471" s="25" t="str">
        <f>IF(Registro_Compras!$R471&lt;&gt;"SI","",Registro_Compras!$X471)</f>
        <v/>
      </c>
      <c r="K471" t="str">
        <f>IF(Registro_Compras!$R471&lt;&gt;"SI","",IF(Registro_Compras!$X471="","PENDIENTE","DEPOSITADA"))</f>
        <v/>
      </c>
      <c r="L471" t="str">
        <f>IF(Registro_Compras!$R471&lt;&gt;"SI","",Registro_Compras!$Z471)</f>
        <v/>
      </c>
      <c r="M471" t="str">
        <f t="shared" ca="1" si="14"/>
        <v/>
      </c>
      <c r="N471" t="str">
        <f t="shared" ca="1" si="15"/>
        <v/>
      </c>
    </row>
    <row r="472" spans="1:14" x14ac:dyDescent="0.25">
      <c r="A472" s="25" t="str">
        <f>IF(Registro_Compras!$R472&lt;&gt;"SI","",Registro_Compras!$B472)</f>
        <v/>
      </c>
      <c r="B472" t="str">
        <f>IF(Registro_Compras!$R472&lt;&gt;"SI","",Registro_Compras!$C472)</f>
        <v/>
      </c>
      <c r="C472" t="str">
        <f>IF(Registro_Compras!$R472&lt;&gt;"SI","",Registro_Compras!$D472)</f>
        <v/>
      </c>
      <c r="D472" t="str">
        <f>IF(Registro_Compras!$R472&lt;&gt;"SI","",Registro_Compras!$E472)</f>
        <v/>
      </c>
      <c r="E472" t="str">
        <f>IF(Registro_Compras!$R472&lt;&gt;"SI","",Registro_Compras!$G472)</f>
        <v/>
      </c>
      <c r="F472" s="31" t="str">
        <f>IF(Registro_Compras!$R472&lt;&gt;"SI","",Registro_Compras!$P472)</f>
        <v/>
      </c>
      <c r="G472" s="20" t="str">
        <f>IF(Registro_Compras!$R472&lt;&gt;"SI","",Registro_Compras!$O472)</f>
        <v/>
      </c>
      <c r="H472" s="20" t="str">
        <f>IF(Registro_Compras!$R472&lt;&gt;"SI","",Registro_Compras!$S472)</f>
        <v/>
      </c>
      <c r="I472" s="25" t="str">
        <f>IF(Registro_Compras!$R472&lt;&gt;"SI","",IF(Registro_Compras!$Y472="",WORKDAY(EOMONTH(Registro_Compras!$B472,0),5,Feriados),MIN(Registro_Compras!$Y472,WORKDAY(EOMONTH(Registro_Compras!$B472,0),5,Feriados))))</f>
        <v/>
      </c>
      <c r="J472" s="25" t="str">
        <f>IF(Registro_Compras!$R472&lt;&gt;"SI","",Registro_Compras!$X472)</f>
        <v/>
      </c>
      <c r="K472" t="str">
        <f>IF(Registro_Compras!$R472&lt;&gt;"SI","",IF(Registro_Compras!$X472="","PENDIENTE","DEPOSITADA"))</f>
        <v/>
      </c>
      <c r="L472" t="str">
        <f>IF(Registro_Compras!$R472&lt;&gt;"SI","",Registro_Compras!$Z472)</f>
        <v/>
      </c>
      <c r="M472" t="str">
        <f t="shared" ca="1" si="14"/>
        <v/>
      </c>
      <c r="N472" t="str">
        <f t="shared" ca="1" si="15"/>
        <v/>
      </c>
    </row>
    <row r="473" spans="1:14" x14ac:dyDescent="0.25">
      <c r="A473" s="25" t="str">
        <f>IF(Registro_Compras!$R473&lt;&gt;"SI","",Registro_Compras!$B473)</f>
        <v/>
      </c>
      <c r="B473" t="str">
        <f>IF(Registro_Compras!$R473&lt;&gt;"SI","",Registro_Compras!$C473)</f>
        <v/>
      </c>
      <c r="C473" t="str">
        <f>IF(Registro_Compras!$R473&lt;&gt;"SI","",Registro_Compras!$D473)</f>
        <v/>
      </c>
      <c r="D473" t="str">
        <f>IF(Registro_Compras!$R473&lt;&gt;"SI","",Registro_Compras!$E473)</f>
        <v/>
      </c>
      <c r="E473" t="str">
        <f>IF(Registro_Compras!$R473&lt;&gt;"SI","",Registro_Compras!$G473)</f>
        <v/>
      </c>
      <c r="F473" s="31" t="str">
        <f>IF(Registro_Compras!$R473&lt;&gt;"SI","",Registro_Compras!$P473)</f>
        <v/>
      </c>
      <c r="G473" s="20" t="str">
        <f>IF(Registro_Compras!$R473&lt;&gt;"SI","",Registro_Compras!$O473)</f>
        <v/>
      </c>
      <c r="H473" s="20" t="str">
        <f>IF(Registro_Compras!$R473&lt;&gt;"SI","",Registro_Compras!$S473)</f>
        <v/>
      </c>
      <c r="I473" s="25" t="str">
        <f>IF(Registro_Compras!$R473&lt;&gt;"SI","",IF(Registro_Compras!$Y473="",WORKDAY(EOMONTH(Registro_Compras!$B473,0),5,Feriados),MIN(Registro_Compras!$Y473,WORKDAY(EOMONTH(Registro_Compras!$B473,0),5,Feriados))))</f>
        <v/>
      </c>
      <c r="J473" s="25" t="str">
        <f>IF(Registro_Compras!$R473&lt;&gt;"SI","",Registro_Compras!$X473)</f>
        <v/>
      </c>
      <c r="K473" t="str">
        <f>IF(Registro_Compras!$R473&lt;&gt;"SI","",IF(Registro_Compras!$X473="","PENDIENTE","DEPOSITADA"))</f>
        <v/>
      </c>
      <c r="L473" t="str">
        <f>IF(Registro_Compras!$R473&lt;&gt;"SI","",Registro_Compras!$Z473)</f>
        <v/>
      </c>
      <c r="M473" t="str">
        <f t="shared" ca="1" si="14"/>
        <v/>
      </c>
      <c r="N473" t="str">
        <f t="shared" ca="1" si="15"/>
        <v/>
      </c>
    </row>
    <row r="474" spans="1:14" x14ac:dyDescent="0.25">
      <c r="A474" s="25" t="str">
        <f>IF(Registro_Compras!$R474&lt;&gt;"SI","",Registro_Compras!$B474)</f>
        <v/>
      </c>
      <c r="B474" t="str">
        <f>IF(Registro_Compras!$R474&lt;&gt;"SI","",Registro_Compras!$C474)</f>
        <v/>
      </c>
      <c r="C474" t="str">
        <f>IF(Registro_Compras!$R474&lt;&gt;"SI","",Registro_Compras!$D474)</f>
        <v/>
      </c>
      <c r="D474" t="str">
        <f>IF(Registro_Compras!$R474&lt;&gt;"SI","",Registro_Compras!$E474)</f>
        <v/>
      </c>
      <c r="E474" t="str">
        <f>IF(Registro_Compras!$R474&lt;&gt;"SI","",Registro_Compras!$G474)</f>
        <v/>
      </c>
      <c r="F474" s="31" t="str">
        <f>IF(Registro_Compras!$R474&lt;&gt;"SI","",Registro_Compras!$P474)</f>
        <v/>
      </c>
      <c r="G474" s="20" t="str">
        <f>IF(Registro_Compras!$R474&lt;&gt;"SI","",Registro_Compras!$O474)</f>
        <v/>
      </c>
      <c r="H474" s="20" t="str">
        <f>IF(Registro_Compras!$R474&lt;&gt;"SI","",Registro_Compras!$S474)</f>
        <v/>
      </c>
      <c r="I474" s="25" t="str">
        <f>IF(Registro_Compras!$R474&lt;&gt;"SI","",IF(Registro_Compras!$Y474="",WORKDAY(EOMONTH(Registro_Compras!$B474,0),5,Feriados),MIN(Registro_Compras!$Y474,WORKDAY(EOMONTH(Registro_Compras!$B474,0),5,Feriados))))</f>
        <v/>
      </c>
      <c r="J474" s="25" t="str">
        <f>IF(Registro_Compras!$R474&lt;&gt;"SI","",Registro_Compras!$X474)</f>
        <v/>
      </c>
      <c r="K474" t="str">
        <f>IF(Registro_Compras!$R474&lt;&gt;"SI","",IF(Registro_Compras!$X474="","PENDIENTE","DEPOSITADA"))</f>
        <v/>
      </c>
      <c r="L474" t="str">
        <f>IF(Registro_Compras!$R474&lt;&gt;"SI","",Registro_Compras!$Z474)</f>
        <v/>
      </c>
      <c r="M474" t="str">
        <f t="shared" ca="1" si="14"/>
        <v/>
      </c>
      <c r="N474" t="str">
        <f t="shared" ca="1" si="15"/>
        <v/>
      </c>
    </row>
    <row r="475" spans="1:14" x14ac:dyDescent="0.25">
      <c r="A475" s="25" t="str">
        <f>IF(Registro_Compras!$R475&lt;&gt;"SI","",Registro_Compras!$B475)</f>
        <v/>
      </c>
      <c r="B475" t="str">
        <f>IF(Registro_Compras!$R475&lt;&gt;"SI","",Registro_Compras!$C475)</f>
        <v/>
      </c>
      <c r="C475" t="str">
        <f>IF(Registro_Compras!$R475&lt;&gt;"SI","",Registro_Compras!$D475)</f>
        <v/>
      </c>
      <c r="D475" t="str">
        <f>IF(Registro_Compras!$R475&lt;&gt;"SI","",Registro_Compras!$E475)</f>
        <v/>
      </c>
      <c r="E475" t="str">
        <f>IF(Registro_Compras!$R475&lt;&gt;"SI","",Registro_Compras!$G475)</f>
        <v/>
      </c>
      <c r="F475" s="31" t="str">
        <f>IF(Registro_Compras!$R475&lt;&gt;"SI","",Registro_Compras!$P475)</f>
        <v/>
      </c>
      <c r="G475" s="20" t="str">
        <f>IF(Registro_Compras!$R475&lt;&gt;"SI","",Registro_Compras!$O475)</f>
        <v/>
      </c>
      <c r="H475" s="20" t="str">
        <f>IF(Registro_Compras!$R475&lt;&gt;"SI","",Registro_Compras!$S475)</f>
        <v/>
      </c>
      <c r="I475" s="25" t="str">
        <f>IF(Registro_Compras!$R475&lt;&gt;"SI","",IF(Registro_Compras!$Y475="",WORKDAY(EOMONTH(Registro_Compras!$B475,0),5,Feriados),MIN(Registro_Compras!$Y475,WORKDAY(EOMONTH(Registro_Compras!$B475,0),5,Feriados))))</f>
        <v/>
      </c>
      <c r="J475" s="25" t="str">
        <f>IF(Registro_Compras!$R475&lt;&gt;"SI","",Registro_Compras!$X475)</f>
        <v/>
      </c>
      <c r="K475" t="str">
        <f>IF(Registro_Compras!$R475&lt;&gt;"SI","",IF(Registro_Compras!$X475="","PENDIENTE","DEPOSITADA"))</f>
        <v/>
      </c>
      <c r="L475" t="str">
        <f>IF(Registro_Compras!$R475&lt;&gt;"SI","",Registro_Compras!$Z475)</f>
        <v/>
      </c>
      <c r="M475" t="str">
        <f t="shared" ca="1" si="14"/>
        <v/>
      </c>
      <c r="N475" t="str">
        <f t="shared" ca="1" si="15"/>
        <v/>
      </c>
    </row>
    <row r="476" spans="1:14" x14ac:dyDescent="0.25">
      <c r="A476" s="25" t="str">
        <f>IF(Registro_Compras!$R476&lt;&gt;"SI","",Registro_Compras!$B476)</f>
        <v/>
      </c>
      <c r="B476" t="str">
        <f>IF(Registro_Compras!$R476&lt;&gt;"SI","",Registro_Compras!$C476)</f>
        <v/>
      </c>
      <c r="C476" t="str">
        <f>IF(Registro_Compras!$R476&lt;&gt;"SI","",Registro_Compras!$D476)</f>
        <v/>
      </c>
      <c r="D476" t="str">
        <f>IF(Registro_Compras!$R476&lt;&gt;"SI","",Registro_Compras!$E476)</f>
        <v/>
      </c>
      <c r="E476" t="str">
        <f>IF(Registro_Compras!$R476&lt;&gt;"SI","",Registro_Compras!$G476)</f>
        <v/>
      </c>
      <c r="F476" s="31" t="str">
        <f>IF(Registro_Compras!$R476&lt;&gt;"SI","",Registro_Compras!$P476)</f>
        <v/>
      </c>
      <c r="G476" s="20" t="str">
        <f>IF(Registro_Compras!$R476&lt;&gt;"SI","",Registro_Compras!$O476)</f>
        <v/>
      </c>
      <c r="H476" s="20" t="str">
        <f>IF(Registro_Compras!$R476&lt;&gt;"SI","",Registro_Compras!$S476)</f>
        <v/>
      </c>
      <c r="I476" s="25" t="str">
        <f>IF(Registro_Compras!$R476&lt;&gt;"SI","",IF(Registro_Compras!$Y476="",WORKDAY(EOMONTH(Registro_Compras!$B476,0),5,Feriados),MIN(Registro_Compras!$Y476,WORKDAY(EOMONTH(Registro_Compras!$B476,0),5,Feriados))))</f>
        <v/>
      </c>
      <c r="J476" s="25" t="str">
        <f>IF(Registro_Compras!$R476&lt;&gt;"SI","",Registro_Compras!$X476)</f>
        <v/>
      </c>
      <c r="K476" t="str">
        <f>IF(Registro_Compras!$R476&lt;&gt;"SI","",IF(Registro_Compras!$X476="","PENDIENTE","DEPOSITADA"))</f>
        <v/>
      </c>
      <c r="L476" t="str">
        <f>IF(Registro_Compras!$R476&lt;&gt;"SI","",Registro_Compras!$Z476)</f>
        <v/>
      </c>
      <c r="M476" t="str">
        <f t="shared" ca="1" si="14"/>
        <v/>
      </c>
      <c r="N476" t="str">
        <f t="shared" ca="1" si="15"/>
        <v/>
      </c>
    </row>
    <row r="477" spans="1:14" x14ac:dyDescent="0.25">
      <c r="A477" s="25" t="str">
        <f>IF(Registro_Compras!$R477&lt;&gt;"SI","",Registro_Compras!$B477)</f>
        <v/>
      </c>
      <c r="B477" t="str">
        <f>IF(Registro_Compras!$R477&lt;&gt;"SI","",Registro_Compras!$C477)</f>
        <v/>
      </c>
      <c r="C477" t="str">
        <f>IF(Registro_Compras!$R477&lt;&gt;"SI","",Registro_Compras!$D477)</f>
        <v/>
      </c>
      <c r="D477" t="str">
        <f>IF(Registro_Compras!$R477&lt;&gt;"SI","",Registro_Compras!$E477)</f>
        <v/>
      </c>
      <c r="E477" t="str">
        <f>IF(Registro_Compras!$R477&lt;&gt;"SI","",Registro_Compras!$G477)</f>
        <v/>
      </c>
      <c r="F477" s="31" t="str">
        <f>IF(Registro_Compras!$R477&lt;&gt;"SI","",Registro_Compras!$P477)</f>
        <v/>
      </c>
      <c r="G477" s="20" t="str">
        <f>IF(Registro_Compras!$R477&lt;&gt;"SI","",Registro_Compras!$O477)</f>
        <v/>
      </c>
      <c r="H477" s="20" t="str">
        <f>IF(Registro_Compras!$R477&lt;&gt;"SI","",Registro_Compras!$S477)</f>
        <v/>
      </c>
      <c r="I477" s="25" t="str">
        <f>IF(Registro_Compras!$R477&lt;&gt;"SI","",IF(Registro_Compras!$Y477="",WORKDAY(EOMONTH(Registro_Compras!$B477,0),5,Feriados),MIN(Registro_Compras!$Y477,WORKDAY(EOMONTH(Registro_Compras!$B477,0),5,Feriados))))</f>
        <v/>
      </c>
      <c r="J477" s="25" t="str">
        <f>IF(Registro_Compras!$R477&lt;&gt;"SI","",Registro_Compras!$X477)</f>
        <v/>
      </c>
      <c r="K477" t="str">
        <f>IF(Registro_Compras!$R477&lt;&gt;"SI","",IF(Registro_Compras!$X477="","PENDIENTE","DEPOSITADA"))</f>
        <v/>
      </c>
      <c r="L477" t="str">
        <f>IF(Registro_Compras!$R477&lt;&gt;"SI","",Registro_Compras!$Z477)</f>
        <v/>
      </c>
      <c r="M477" t="str">
        <f t="shared" ca="1" si="14"/>
        <v/>
      </c>
      <c r="N477" t="str">
        <f t="shared" ca="1" si="15"/>
        <v/>
      </c>
    </row>
    <row r="478" spans="1:14" x14ac:dyDescent="0.25">
      <c r="A478" s="25" t="str">
        <f>IF(Registro_Compras!$R478&lt;&gt;"SI","",Registro_Compras!$B478)</f>
        <v/>
      </c>
      <c r="B478" t="str">
        <f>IF(Registro_Compras!$R478&lt;&gt;"SI","",Registro_Compras!$C478)</f>
        <v/>
      </c>
      <c r="C478" t="str">
        <f>IF(Registro_Compras!$R478&lt;&gt;"SI","",Registro_Compras!$D478)</f>
        <v/>
      </c>
      <c r="D478" t="str">
        <f>IF(Registro_Compras!$R478&lt;&gt;"SI","",Registro_Compras!$E478)</f>
        <v/>
      </c>
      <c r="E478" t="str">
        <f>IF(Registro_Compras!$R478&lt;&gt;"SI","",Registro_Compras!$G478)</f>
        <v/>
      </c>
      <c r="F478" s="31" t="str">
        <f>IF(Registro_Compras!$R478&lt;&gt;"SI","",Registro_Compras!$P478)</f>
        <v/>
      </c>
      <c r="G478" s="20" t="str">
        <f>IF(Registro_Compras!$R478&lt;&gt;"SI","",Registro_Compras!$O478)</f>
        <v/>
      </c>
      <c r="H478" s="20" t="str">
        <f>IF(Registro_Compras!$R478&lt;&gt;"SI","",Registro_Compras!$S478)</f>
        <v/>
      </c>
      <c r="I478" s="25" t="str">
        <f>IF(Registro_Compras!$R478&lt;&gt;"SI","",IF(Registro_Compras!$Y478="",WORKDAY(EOMONTH(Registro_Compras!$B478,0),5,Feriados),MIN(Registro_Compras!$Y478,WORKDAY(EOMONTH(Registro_Compras!$B478,0),5,Feriados))))</f>
        <v/>
      </c>
      <c r="J478" s="25" t="str">
        <f>IF(Registro_Compras!$R478&lt;&gt;"SI","",Registro_Compras!$X478)</f>
        <v/>
      </c>
      <c r="K478" t="str">
        <f>IF(Registro_Compras!$R478&lt;&gt;"SI","",IF(Registro_Compras!$X478="","PENDIENTE","DEPOSITADA"))</f>
        <v/>
      </c>
      <c r="L478" t="str">
        <f>IF(Registro_Compras!$R478&lt;&gt;"SI","",Registro_Compras!$Z478)</f>
        <v/>
      </c>
      <c r="M478" t="str">
        <f t="shared" ca="1" si="14"/>
        <v/>
      </c>
      <c r="N478" t="str">
        <f t="shared" ca="1" si="15"/>
        <v/>
      </c>
    </row>
    <row r="479" spans="1:14" x14ac:dyDescent="0.25">
      <c r="A479" s="25" t="str">
        <f>IF(Registro_Compras!$R479&lt;&gt;"SI","",Registro_Compras!$B479)</f>
        <v/>
      </c>
      <c r="B479" t="str">
        <f>IF(Registro_Compras!$R479&lt;&gt;"SI","",Registro_Compras!$C479)</f>
        <v/>
      </c>
      <c r="C479" t="str">
        <f>IF(Registro_Compras!$R479&lt;&gt;"SI","",Registro_Compras!$D479)</f>
        <v/>
      </c>
      <c r="D479" t="str">
        <f>IF(Registro_Compras!$R479&lt;&gt;"SI","",Registro_Compras!$E479)</f>
        <v/>
      </c>
      <c r="E479" t="str">
        <f>IF(Registro_Compras!$R479&lt;&gt;"SI","",Registro_Compras!$G479)</f>
        <v/>
      </c>
      <c r="F479" s="31" t="str">
        <f>IF(Registro_Compras!$R479&lt;&gt;"SI","",Registro_Compras!$P479)</f>
        <v/>
      </c>
      <c r="G479" s="20" t="str">
        <f>IF(Registro_Compras!$R479&lt;&gt;"SI","",Registro_Compras!$O479)</f>
        <v/>
      </c>
      <c r="H479" s="20" t="str">
        <f>IF(Registro_Compras!$R479&lt;&gt;"SI","",Registro_Compras!$S479)</f>
        <v/>
      </c>
      <c r="I479" s="25" t="str">
        <f>IF(Registro_Compras!$R479&lt;&gt;"SI","",IF(Registro_Compras!$Y479="",WORKDAY(EOMONTH(Registro_Compras!$B479,0),5,Feriados),MIN(Registro_Compras!$Y479,WORKDAY(EOMONTH(Registro_Compras!$B479,0),5,Feriados))))</f>
        <v/>
      </c>
      <c r="J479" s="25" t="str">
        <f>IF(Registro_Compras!$R479&lt;&gt;"SI","",Registro_Compras!$X479)</f>
        <v/>
      </c>
      <c r="K479" t="str">
        <f>IF(Registro_Compras!$R479&lt;&gt;"SI","",IF(Registro_Compras!$X479="","PENDIENTE","DEPOSITADA"))</f>
        <v/>
      </c>
      <c r="L479" t="str">
        <f>IF(Registro_Compras!$R479&lt;&gt;"SI","",Registro_Compras!$Z479)</f>
        <v/>
      </c>
      <c r="M479" t="str">
        <f t="shared" ca="1" si="14"/>
        <v/>
      </c>
      <c r="N479" t="str">
        <f t="shared" ca="1" si="15"/>
        <v/>
      </c>
    </row>
    <row r="480" spans="1:14" x14ac:dyDescent="0.25">
      <c r="A480" s="25" t="str">
        <f>IF(Registro_Compras!$R480&lt;&gt;"SI","",Registro_Compras!$B480)</f>
        <v/>
      </c>
      <c r="B480" t="str">
        <f>IF(Registro_Compras!$R480&lt;&gt;"SI","",Registro_Compras!$C480)</f>
        <v/>
      </c>
      <c r="C480" t="str">
        <f>IF(Registro_Compras!$R480&lt;&gt;"SI","",Registro_Compras!$D480)</f>
        <v/>
      </c>
      <c r="D480" t="str">
        <f>IF(Registro_Compras!$R480&lt;&gt;"SI","",Registro_Compras!$E480)</f>
        <v/>
      </c>
      <c r="E480" t="str">
        <f>IF(Registro_Compras!$R480&lt;&gt;"SI","",Registro_Compras!$G480)</f>
        <v/>
      </c>
      <c r="F480" s="31" t="str">
        <f>IF(Registro_Compras!$R480&lt;&gt;"SI","",Registro_Compras!$P480)</f>
        <v/>
      </c>
      <c r="G480" s="20" t="str">
        <f>IF(Registro_Compras!$R480&lt;&gt;"SI","",Registro_Compras!$O480)</f>
        <v/>
      </c>
      <c r="H480" s="20" t="str">
        <f>IF(Registro_Compras!$R480&lt;&gt;"SI","",Registro_Compras!$S480)</f>
        <v/>
      </c>
      <c r="I480" s="25" t="str">
        <f>IF(Registro_Compras!$R480&lt;&gt;"SI","",IF(Registro_Compras!$Y480="",WORKDAY(EOMONTH(Registro_Compras!$B480,0),5,Feriados),MIN(Registro_Compras!$Y480,WORKDAY(EOMONTH(Registro_Compras!$B480,0),5,Feriados))))</f>
        <v/>
      </c>
      <c r="J480" s="25" t="str">
        <f>IF(Registro_Compras!$R480&lt;&gt;"SI","",Registro_Compras!$X480)</f>
        <v/>
      </c>
      <c r="K480" t="str">
        <f>IF(Registro_Compras!$R480&lt;&gt;"SI","",IF(Registro_Compras!$X480="","PENDIENTE","DEPOSITADA"))</f>
        <v/>
      </c>
      <c r="L480" t="str">
        <f>IF(Registro_Compras!$R480&lt;&gt;"SI","",Registro_Compras!$Z480)</f>
        <v/>
      </c>
      <c r="M480" t="str">
        <f t="shared" ca="1" si="14"/>
        <v/>
      </c>
      <c r="N480" t="str">
        <f t="shared" ca="1" si="15"/>
        <v/>
      </c>
    </row>
    <row r="481" spans="1:14" x14ac:dyDescent="0.25">
      <c r="A481" s="25" t="str">
        <f>IF(Registro_Compras!$R481&lt;&gt;"SI","",Registro_Compras!$B481)</f>
        <v/>
      </c>
      <c r="B481" t="str">
        <f>IF(Registro_Compras!$R481&lt;&gt;"SI","",Registro_Compras!$C481)</f>
        <v/>
      </c>
      <c r="C481" t="str">
        <f>IF(Registro_Compras!$R481&lt;&gt;"SI","",Registro_Compras!$D481)</f>
        <v/>
      </c>
      <c r="D481" t="str">
        <f>IF(Registro_Compras!$R481&lt;&gt;"SI","",Registro_Compras!$E481)</f>
        <v/>
      </c>
      <c r="E481" t="str">
        <f>IF(Registro_Compras!$R481&lt;&gt;"SI","",Registro_Compras!$G481)</f>
        <v/>
      </c>
      <c r="F481" s="31" t="str">
        <f>IF(Registro_Compras!$R481&lt;&gt;"SI","",Registro_Compras!$P481)</f>
        <v/>
      </c>
      <c r="G481" s="20" t="str">
        <f>IF(Registro_Compras!$R481&lt;&gt;"SI","",Registro_Compras!$O481)</f>
        <v/>
      </c>
      <c r="H481" s="20" t="str">
        <f>IF(Registro_Compras!$R481&lt;&gt;"SI","",Registro_Compras!$S481)</f>
        <v/>
      </c>
      <c r="I481" s="25" t="str">
        <f>IF(Registro_Compras!$R481&lt;&gt;"SI","",IF(Registro_Compras!$Y481="",WORKDAY(EOMONTH(Registro_Compras!$B481,0),5,Feriados),MIN(Registro_Compras!$Y481,WORKDAY(EOMONTH(Registro_Compras!$B481,0),5,Feriados))))</f>
        <v/>
      </c>
      <c r="J481" s="25" t="str">
        <f>IF(Registro_Compras!$R481&lt;&gt;"SI","",Registro_Compras!$X481)</f>
        <v/>
      </c>
      <c r="K481" t="str">
        <f>IF(Registro_Compras!$R481&lt;&gt;"SI","",IF(Registro_Compras!$X481="","PENDIENTE","DEPOSITADA"))</f>
        <v/>
      </c>
      <c r="L481" t="str">
        <f>IF(Registro_Compras!$R481&lt;&gt;"SI","",Registro_Compras!$Z481)</f>
        <v/>
      </c>
      <c r="M481" t="str">
        <f t="shared" ca="1" si="14"/>
        <v/>
      </c>
      <c r="N481" t="str">
        <f t="shared" ca="1" si="15"/>
        <v/>
      </c>
    </row>
    <row r="482" spans="1:14" x14ac:dyDescent="0.25">
      <c r="A482" s="25" t="str">
        <f>IF(Registro_Compras!$R482&lt;&gt;"SI","",Registro_Compras!$B482)</f>
        <v/>
      </c>
      <c r="B482" t="str">
        <f>IF(Registro_Compras!$R482&lt;&gt;"SI","",Registro_Compras!$C482)</f>
        <v/>
      </c>
      <c r="C482" t="str">
        <f>IF(Registro_Compras!$R482&lt;&gt;"SI","",Registro_Compras!$D482)</f>
        <v/>
      </c>
      <c r="D482" t="str">
        <f>IF(Registro_Compras!$R482&lt;&gt;"SI","",Registro_Compras!$E482)</f>
        <v/>
      </c>
      <c r="E482" t="str">
        <f>IF(Registro_Compras!$R482&lt;&gt;"SI","",Registro_Compras!$G482)</f>
        <v/>
      </c>
      <c r="F482" s="31" t="str">
        <f>IF(Registro_Compras!$R482&lt;&gt;"SI","",Registro_Compras!$P482)</f>
        <v/>
      </c>
      <c r="G482" s="20" t="str">
        <f>IF(Registro_Compras!$R482&lt;&gt;"SI","",Registro_Compras!$O482)</f>
        <v/>
      </c>
      <c r="H482" s="20" t="str">
        <f>IF(Registro_Compras!$R482&lt;&gt;"SI","",Registro_Compras!$S482)</f>
        <v/>
      </c>
      <c r="I482" s="25" t="str">
        <f>IF(Registro_Compras!$R482&lt;&gt;"SI","",IF(Registro_Compras!$Y482="",WORKDAY(EOMONTH(Registro_Compras!$B482,0),5,Feriados),MIN(Registro_Compras!$Y482,WORKDAY(EOMONTH(Registro_Compras!$B482,0),5,Feriados))))</f>
        <v/>
      </c>
      <c r="J482" s="25" t="str">
        <f>IF(Registro_Compras!$R482&lt;&gt;"SI","",Registro_Compras!$X482)</f>
        <v/>
      </c>
      <c r="K482" t="str">
        <f>IF(Registro_Compras!$R482&lt;&gt;"SI","",IF(Registro_Compras!$X482="","PENDIENTE","DEPOSITADA"))</f>
        <v/>
      </c>
      <c r="L482" t="str">
        <f>IF(Registro_Compras!$R482&lt;&gt;"SI","",Registro_Compras!$Z482)</f>
        <v/>
      </c>
      <c r="M482" t="str">
        <f t="shared" ca="1" si="14"/>
        <v/>
      </c>
      <c r="N482" t="str">
        <f t="shared" ca="1" si="15"/>
        <v/>
      </c>
    </row>
    <row r="483" spans="1:14" x14ac:dyDescent="0.25">
      <c r="A483" s="25" t="str">
        <f>IF(Registro_Compras!$R483&lt;&gt;"SI","",Registro_Compras!$B483)</f>
        <v/>
      </c>
      <c r="B483" t="str">
        <f>IF(Registro_Compras!$R483&lt;&gt;"SI","",Registro_Compras!$C483)</f>
        <v/>
      </c>
      <c r="C483" t="str">
        <f>IF(Registro_Compras!$R483&lt;&gt;"SI","",Registro_Compras!$D483)</f>
        <v/>
      </c>
      <c r="D483" t="str">
        <f>IF(Registro_Compras!$R483&lt;&gt;"SI","",Registro_Compras!$E483)</f>
        <v/>
      </c>
      <c r="E483" t="str">
        <f>IF(Registro_Compras!$R483&lt;&gt;"SI","",Registro_Compras!$G483)</f>
        <v/>
      </c>
      <c r="F483" s="31" t="str">
        <f>IF(Registro_Compras!$R483&lt;&gt;"SI","",Registro_Compras!$P483)</f>
        <v/>
      </c>
      <c r="G483" s="20" t="str">
        <f>IF(Registro_Compras!$R483&lt;&gt;"SI","",Registro_Compras!$O483)</f>
        <v/>
      </c>
      <c r="H483" s="20" t="str">
        <f>IF(Registro_Compras!$R483&lt;&gt;"SI","",Registro_Compras!$S483)</f>
        <v/>
      </c>
      <c r="I483" s="25" t="str">
        <f>IF(Registro_Compras!$R483&lt;&gt;"SI","",IF(Registro_Compras!$Y483="",WORKDAY(EOMONTH(Registro_Compras!$B483,0),5,Feriados),MIN(Registro_Compras!$Y483,WORKDAY(EOMONTH(Registro_Compras!$B483,0),5,Feriados))))</f>
        <v/>
      </c>
      <c r="J483" s="25" t="str">
        <f>IF(Registro_Compras!$R483&lt;&gt;"SI","",Registro_Compras!$X483)</f>
        <v/>
      </c>
      <c r="K483" t="str">
        <f>IF(Registro_Compras!$R483&lt;&gt;"SI","",IF(Registro_Compras!$X483="","PENDIENTE","DEPOSITADA"))</f>
        <v/>
      </c>
      <c r="L483" t="str">
        <f>IF(Registro_Compras!$R483&lt;&gt;"SI","",Registro_Compras!$Z483)</f>
        <v/>
      </c>
      <c r="M483" t="str">
        <f t="shared" ca="1" si="14"/>
        <v/>
      </c>
      <c r="N483" t="str">
        <f t="shared" ca="1" si="15"/>
        <v/>
      </c>
    </row>
    <row r="484" spans="1:14" x14ac:dyDescent="0.25">
      <c r="A484" s="25" t="str">
        <f>IF(Registro_Compras!$R484&lt;&gt;"SI","",Registro_Compras!$B484)</f>
        <v/>
      </c>
      <c r="B484" t="str">
        <f>IF(Registro_Compras!$R484&lt;&gt;"SI","",Registro_Compras!$C484)</f>
        <v/>
      </c>
      <c r="C484" t="str">
        <f>IF(Registro_Compras!$R484&lt;&gt;"SI","",Registro_Compras!$D484)</f>
        <v/>
      </c>
      <c r="D484" t="str">
        <f>IF(Registro_Compras!$R484&lt;&gt;"SI","",Registro_Compras!$E484)</f>
        <v/>
      </c>
      <c r="E484" t="str">
        <f>IF(Registro_Compras!$R484&lt;&gt;"SI","",Registro_Compras!$G484)</f>
        <v/>
      </c>
      <c r="F484" s="31" t="str">
        <f>IF(Registro_Compras!$R484&lt;&gt;"SI","",Registro_Compras!$P484)</f>
        <v/>
      </c>
      <c r="G484" s="20" t="str">
        <f>IF(Registro_Compras!$R484&lt;&gt;"SI","",Registro_Compras!$O484)</f>
        <v/>
      </c>
      <c r="H484" s="20" t="str">
        <f>IF(Registro_Compras!$R484&lt;&gt;"SI","",Registro_Compras!$S484)</f>
        <v/>
      </c>
      <c r="I484" s="25" t="str">
        <f>IF(Registro_Compras!$R484&lt;&gt;"SI","",IF(Registro_Compras!$Y484="",WORKDAY(EOMONTH(Registro_Compras!$B484,0),5,Feriados),MIN(Registro_Compras!$Y484,WORKDAY(EOMONTH(Registro_Compras!$B484,0),5,Feriados))))</f>
        <v/>
      </c>
      <c r="J484" s="25" t="str">
        <f>IF(Registro_Compras!$R484&lt;&gt;"SI","",Registro_Compras!$X484)</f>
        <v/>
      </c>
      <c r="K484" t="str">
        <f>IF(Registro_Compras!$R484&lt;&gt;"SI","",IF(Registro_Compras!$X484="","PENDIENTE","DEPOSITADA"))</f>
        <v/>
      </c>
      <c r="L484" t="str">
        <f>IF(Registro_Compras!$R484&lt;&gt;"SI","",Registro_Compras!$Z484)</f>
        <v/>
      </c>
      <c r="M484" t="str">
        <f t="shared" ca="1" si="14"/>
        <v/>
      </c>
      <c r="N484" t="str">
        <f t="shared" ca="1" si="15"/>
        <v/>
      </c>
    </row>
    <row r="485" spans="1:14" x14ac:dyDescent="0.25">
      <c r="A485" s="25" t="str">
        <f>IF(Registro_Compras!$R485&lt;&gt;"SI","",Registro_Compras!$B485)</f>
        <v/>
      </c>
      <c r="B485" t="str">
        <f>IF(Registro_Compras!$R485&lt;&gt;"SI","",Registro_Compras!$C485)</f>
        <v/>
      </c>
      <c r="C485" t="str">
        <f>IF(Registro_Compras!$R485&lt;&gt;"SI","",Registro_Compras!$D485)</f>
        <v/>
      </c>
      <c r="D485" t="str">
        <f>IF(Registro_Compras!$R485&lt;&gt;"SI","",Registro_Compras!$E485)</f>
        <v/>
      </c>
      <c r="E485" t="str">
        <f>IF(Registro_Compras!$R485&lt;&gt;"SI","",Registro_Compras!$G485)</f>
        <v/>
      </c>
      <c r="F485" s="31" t="str">
        <f>IF(Registro_Compras!$R485&lt;&gt;"SI","",Registro_Compras!$P485)</f>
        <v/>
      </c>
      <c r="G485" s="20" t="str">
        <f>IF(Registro_Compras!$R485&lt;&gt;"SI","",Registro_Compras!$O485)</f>
        <v/>
      </c>
      <c r="H485" s="20" t="str">
        <f>IF(Registro_Compras!$R485&lt;&gt;"SI","",Registro_Compras!$S485)</f>
        <v/>
      </c>
      <c r="I485" s="25" t="str">
        <f>IF(Registro_Compras!$R485&lt;&gt;"SI","",IF(Registro_Compras!$Y485="",WORKDAY(EOMONTH(Registro_Compras!$B485,0),5,Feriados),MIN(Registro_Compras!$Y485,WORKDAY(EOMONTH(Registro_Compras!$B485,0),5,Feriados))))</f>
        <v/>
      </c>
      <c r="J485" s="25" t="str">
        <f>IF(Registro_Compras!$R485&lt;&gt;"SI","",Registro_Compras!$X485)</f>
        <v/>
      </c>
      <c r="K485" t="str">
        <f>IF(Registro_Compras!$R485&lt;&gt;"SI","",IF(Registro_Compras!$X485="","PENDIENTE","DEPOSITADA"))</f>
        <v/>
      </c>
      <c r="L485" t="str">
        <f>IF(Registro_Compras!$R485&lt;&gt;"SI","",Registro_Compras!$Z485)</f>
        <v/>
      </c>
      <c r="M485" t="str">
        <f t="shared" ca="1" si="14"/>
        <v/>
      </c>
      <c r="N485" t="str">
        <f t="shared" ca="1" si="15"/>
        <v/>
      </c>
    </row>
    <row r="486" spans="1:14" x14ac:dyDescent="0.25">
      <c r="A486" s="25" t="str">
        <f>IF(Registro_Compras!$R486&lt;&gt;"SI","",Registro_Compras!$B486)</f>
        <v/>
      </c>
      <c r="B486" t="str">
        <f>IF(Registro_Compras!$R486&lt;&gt;"SI","",Registro_Compras!$C486)</f>
        <v/>
      </c>
      <c r="C486" t="str">
        <f>IF(Registro_Compras!$R486&lt;&gt;"SI","",Registro_Compras!$D486)</f>
        <v/>
      </c>
      <c r="D486" t="str">
        <f>IF(Registro_Compras!$R486&lt;&gt;"SI","",Registro_Compras!$E486)</f>
        <v/>
      </c>
      <c r="E486" t="str">
        <f>IF(Registro_Compras!$R486&lt;&gt;"SI","",Registro_Compras!$G486)</f>
        <v/>
      </c>
      <c r="F486" s="31" t="str">
        <f>IF(Registro_Compras!$R486&lt;&gt;"SI","",Registro_Compras!$P486)</f>
        <v/>
      </c>
      <c r="G486" s="20" t="str">
        <f>IF(Registro_Compras!$R486&lt;&gt;"SI","",Registro_Compras!$O486)</f>
        <v/>
      </c>
      <c r="H486" s="20" t="str">
        <f>IF(Registro_Compras!$R486&lt;&gt;"SI","",Registro_Compras!$S486)</f>
        <v/>
      </c>
      <c r="I486" s="25" t="str">
        <f>IF(Registro_Compras!$R486&lt;&gt;"SI","",IF(Registro_Compras!$Y486="",WORKDAY(EOMONTH(Registro_Compras!$B486,0),5,Feriados),MIN(Registro_Compras!$Y486,WORKDAY(EOMONTH(Registro_Compras!$B486,0),5,Feriados))))</f>
        <v/>
      </c>
      <c r="J486" s="25" t="str">
        <f>IF(Registro_Compras!$R486&lt;&gt;"SI","",Registro_Compras!$X486)</f>
        <v/>
      </c>
      <c r="K486" t="str">
        <f>IF(Registro_Compras!$R486&lt;&gt;"SI","",IF(Registro_Compras!$X486="","PENDIENTE","DEPOSITADA"))</f>
        <v/>
      </c>
      <c r="L486" t="str">
        <f>IF(Registro_Compras!$R486&lt;&gt;"SI","",Registro_Compras!$Z486)</f>
        <v/>
      </c>
      <c r="M486" t="str">
        <f t="shared" ca="1" si="14"/>
        <v/>
      </c>
      <c r="N486" t="str">
        <f t="shared" ca="1" si="15"/>
        <v/>
      </c>
    </row>
    <row r="487" spans="1:14" x14ac:dyDescent="0.25">
      <c r="A487" s="25" t="str">
        <f>IF(Registro_Compras!$R487&lt;&gt;"SI","",Registro_Compras!$B487)</f>
        <v/>
      </c>
      <c r="B487" t="str">
        <f>IF(Registro_Compras!$R487&lt;&gt;"SI","",Registro_Compras!$C487)</f>
        <v/>
      </c>
      <c r="C487" t="str">
        <f>IF(Registro_Compras!$R487&lt;&gt;"SI","",Registro_Compras!$D487)</f>
        <v/>
      </c>
      <c r="D487" t="str">
        <f>IF(Registro_Compras!$R487&lt;&gt;"SI","",Registro_Compras!$E487)</f>
        <v/>
      </c>
      <c r="E487" t="str">
        <f>IF(Registro_Compras!$R487&lt;&gt;"SI","",Registro_Compras!$G487)</f>
        <v/>
      </c>
      <c r="F487" s="31" t="str">
        <f>IF(Registro_Compras!$R487&lt;&gt;"SI","",Registro_Compras!$P487)</f>
        <v/>
      </c>
      <c r="G487" s="20" t="str">
        <f>IF(Registro_Compras!$R487&lt;&gt;"SI","",Registro_Compras!$O487)</f>
        <v/>
      </c>
      <c r="H487" s="20" t="str">
        <f>IF(Registro_Compras!$R487&lt;&gt;"SI","",Registro_Compras!$S487)</f>
        <v/>
      </c>
      <c r="I487" s="25" t="str">
        <f>IF(Registro_Compras!$R487&lt;&gt;"SI","",IF(Registro_Compras!$Y487="",WORKDAY(EOMONTH(Registro_Compras!$B487,0),5,Feriados),MIN(Registro_Compras!$Y487,WORKDAY(EOMONTH(Registro_Compras!$B487,0),5,Feriados))))</f>
        <v/>
      </c>
      <c r="J487" s="25" t="str">
        <f>IF(Registro_Compras!$R487&lt;&gt;"SI","",Registro_Compras!$X487)</f>
        <v/>
      </c>
      <c r="K487" t="str">
        <f>IF(Registro_Compras!$R487&lt;&gt;"SI","",IF(Registro_Compras!$X487="","PENDIENTE","DEPOSITADA"))</f>
        <v/>
      </c>
      <c r="L487" t="str">
        <f>IF(Registro_Compras!$R487&lt;&gt;"SI","",Registro_Compras!$Z487)</f>
        <v/>
      </c>
      <c r="M487" t="str">
        <f t="shared" ca="1" si="14"/>
        <v/>
      </c>
      <c r="N487" t="str">
        <f t="shared" ca="1" si="15"/>
        <v/>
      </c>
    </row>
    <row r="488" spans="1:14" x14ac:dyDescent="0.25">
      <c r="A488" s="25" t="str">
        <f>IF(Registro_Compras!$R488&lt;&gt;"SI","",Registro_Compras!$B488)</f>
        <v/>
      </c>
      <c r="B488" t="str">
        <f>IF(Registro_Compras!$R488&lt;&gt;"SI","",Registro_Compras!$C488)</f>
        <v/>
      </c>
      <c r="C488" t="str">
        <f>IF(Registro_Compras!$R488&lt;&gt;"SI","",Registro_Compras!$D488)</f>
        <v/>
      </c>
      <c r="D488" t="str">
        <f>IF(Registro_Compras!$R488&lt;&gt;"SI","",Registro_Compras!$E488)</f>
        <v/>
      </c>
      <c r="E488" t="str">
        <f>IF(Registro_Compras!$R488&lt;&gt;"SI","",Registro_Compras!$G488)</f>
        <v/>
      </c>
      <c r="F488" s="31" t="str">
        <f>IF(Registro_Compras!$R488&lt;&gt;"SI","",Registro_Compras!$P488)</f>
        <v/>
      </c>
      <c r="G488" s="20" t="str">
        <f>IF(Registro_Compras!$R488&lt;&gt;"SI","",Registro_Compras!$O488)</f>
        <v/>
      </c>
      <c r="H488" s="20" t="str">
        <f>IF(Registro_Compras!$R488&lt;&gt;"SI","",Registro_Compras!$S488)</f>
        <v/>
      </c>
      <c r="I488" s="25" t="str">
        <f>IF(Registro_Compras!$R488&lt;&gt;"SI","",IF(Registro_Compras!$Y488="",WORKDAY(EOMONTH(Registro_Compras!$B488,0),5,Feriados),MIN(Registro_Compras!$Y488,WORKDAY(EOMONTH(Registro_Compras!$B488,0),5,Feriados))))</f>
        <v/>
      </c>
      <c r="J488" s="25" t="str">
        <f>IF(Registro_Compras!$R488&lt;&gt;"SI","",Registro_Compras!$X488)</f>
        <v/>
      </c>
      <c r="K488" t="str">
        <f>IF(Registro_Compras!$R488&lt;&gt;"SI","",IF(Registro_Compras!$X488="","PENDIENTE","DEPOSITADA"))</f>
        <v/>
      </c>
      <c r="L488" t="str">
        <f>IF(Registro_Compras!$R488&lt;&gt;"SI","",Registro_Compras!$Z488)</f>
        <v/>
      </c>
      <c r="M488" t="str">
        <f t="shared" ca="1" si="14"/>
        <v/>
      </c>
      <c r="N488" t="str">
        <f t="shared" ca="1" si="15"/>
        <v/>
      </c>
    </row>
    <row r="489" spans="1:14" x14ac:dyDescent="0.25">
      <c r="A489" s="25" t="str">
        <f>IF(Registro_Compras!$R489&lt;&gt;"SI","",Registro_Compras!$B489)</f>
        <v/>
      </c>
      <c r="B489" t="str">
        <f>IF(Registro_Compras!$R489&lt;&gt;"SI","",Registro_Compras!$C489)</f>
        <v/>
      </c>
      <c r="C489" t="str">
        <f>IF(Registro_Compras!$R489&lt;&gt;"SI","",Registro_Compras!$D489)</f>
        <v/>
      </c>
      <c r="D489" t="str">
        <f>IF(Registro_Compras!$R489&lt;&gt;"SI","",Registro_Compras!$E489)</f>
        <v/>
      </c>
      <c r="E489" t="str">
        <f>IF(Registro_Compras!$R489&lt;&gt;"SI","",Registro_Compras!$G489)</f>
        <v/>
      </c>
      <c r="F489" s="31" t="str">
        <f>IF(Registro_Compras!$R489&lt;&gt;"SI","",Registro_Compras!$P489)</f>
        <v/>
      </c>
      <c r="G489" s="20" t="str">
        <f>IF(Registro_Compras!$R489&lt;&gt;"SI","",Registro_Compras!$O489)</f>
        <v/>
      </c>
      <c r="H489" s="20" t="str">
        <f>IF(Registro_Compras!$R489&lt;&gt;"SI","",Registro_Compras!$S489)</f>
        <v/>
      </c>
      <c r="I489" s="25" t="str">
        <f>IF(Registro_Compras!$R489&lt;&gt;"SI","",IF(Registro_Compras!$Y489="",WORKDAY(EOMONTH(Registro_Compras!$B489,0),5,Feriados),MIN(Registro_Compras!$Y489,WORKDAY(EOMONTH(Registro_Compras!$B489,0),5,Feriados))))</f>
        <v/>
      </c>
      <c r="J489" s="25" t="str">
        <f>IF(Registro_Compras!$R489&lt;&gt;"SI","",Registro_Compras!$X489)</f>
        <v/>
      </c>
      <c r="K489" t="str">
        <f>IF(Registro_Compras!$R489&lt;&gt;"SI","",IF(Registro_Compras!$X489="","PENDIENTE","DEPOSITADA"))</f>
        <v/>
      </c>
      <c r="L489" t="str">
        <f>IF(Registro_Compras!$R489&lt;&gt;"SI","",Registro_Compras!$Z489)</f>
        <v/>
      </c>
      <c r="M489" t="str">
        <f t="shared" ca="1" si="14"/>
        <v/>
      </c>
      <c r="N489" t="str">
        <f t="shared" ca="1" si="15"/>
        <v/>
      </c>
    </row>
    <row r="490" spans="1:14" x14ac:dyDescent="0.25">
      <c r="A490" s="25" t="str">
        <f>IF(Registro_Compras!$R490&lt;&gt;"SI","",Registro_Compras!$B490)</f>
        <v/>
      </c>
      <c r="B490" t="str">
        <f>IF(Registro_Compras!$R490&lt;&gt;"SI","",Registro_Compras!$C490)</f>
        <v/>
      </c>
      <c r="C490" t="str">
        <f>IF(Registro_Compras!$R490&lt;&gt;"SI","",Registro_Compras!$D490)</f>
        <v/>
      </c>
      <c r="D490" t="str">
        <f>IF(Registro_Compras!$R490&lt;&gt;"SI","",Registro_Compras!$E490)</f>
        <v/>
      </c>
      <c r="E490" t="str">
        <f>IF(Registro_Compras!$R490&lt;&gt;"SI","",Registro_Compras!$G490)</f>
        <v/>
      </c>
      <c r="F490" s="31" t="str">
        <f>IF(Registro_Compras!$R490&lt;&gt;"SI","",Registro_Compras!$P490)</f>
        <v/>
      </c>
      <c r="G490" s="20" t="str">
        <f>IF(Registro_Compras!$R490&lt;&gt;"SI","",Registro_Compras!$O490)</f>
        <v/>
      </c>
      <c r="H490" s="20" t="str">
        <f>IF(Registro_Compras!$R490&lt;&gt;"SI","",Registro_Compras!$S490)</f>
        <v/>
      </c>
      <c r="I490" s="25" t="str">
        <f>IF(Registro_Compras!$R490&lt;&gt;"SI","",IF(Registro_Compras!$Y490="",WORKDAY(EOMONTH(Registro_Compras!$B490,0),5,Feriados),MIN(Registro_Compras!$Y490,WORKDAY(EOMONTH(Registro_Compras!$B490,0),5,Feriados))))</f>
        <v/>
      </c>
      <c r="J490" s="25" t="str">
        <f>IF(Registro_Compras!$R490&lt;&gt;"SI","",Registro_Compras!$X490)</f>
        <v/>
      </c>
      <c r="K490" t="str">
        <f>IF(Registro_Compras!$R490&lt;&gt;"SI","",IF(Registro_Compras!$X490="","PENDIENTE","DEPOSITADA"))</f>
        <v/>
      </c>
      <c r="L490" t="str">
        <f>IF(Registro_Compras!$R490&lt;&gt;"SI","",Registro_Compras!$Z490)</f>
        <v/>
      </c>
      <c r="M490" t="str">
        <f t="shared" ca="1" si="14"/>
        <v/>
      </c>
      <c r="N490" t="str">
        <f t="shared" ca="1" si="15"/>
        <v/>
      </c>
    </row>
    <row r="491" spans="1:14" x14ac:dyDescent="0.25">
      <c r="A491" s="25" t="str">
        <f>IF(Registro_Compras!$R491&lt;&gt;"SI","",Registro_Compras!$B491)</f>
        <v/>
      </c>
      <c r="B491" t="str">
        <f>IF(Registro_Compras!$R491&lt;&gt;"SI","",Registro_Compras!$C491)</f>
        <v/>
      </c>
      <c r="C491" t="str">
        <f>IF(Registro_Compras!$R491&lt;&gt;"SI","",Registro_Compras!$D491)</f>
        <v/>
      </c>
      <c r="D491" t="str">
        <f>IF(Registro_Compras!$R491&lt;&gt;"SI","",Registro_Compras!$E491)</f>
        <v/>
      </c>
      <c r="E491" t="str">
        <f>IF(Registro_Compras!$R491&lt;&gt;"SI","",Registro_Compras!$G491)</f>
        <v/>
      </c>
      <c r="F491" s="31" t="str">
        <f>IF(Registro_Compras!$R491&lt;&gt;"SI","",Registro_Compras!$P491)</f>
        <v/>
      </c>
      <c r="G491" s="20" t="str">
        <f>IF(Registro_Compras!$R491&lt;&gt;"SI","",Registro_Compras!$O491)</f>
        <v/>
      </c>
      <c r="H491" s="20" t="str">
        <f>IF(Registro_Compras!$R491&lt;&gt;"SI","",Registro_Compras!$S491)</f>
        <v/>
      </c>
      <c r="I491" s="25" t="str">
        <f>IF(Registro_Compras!$R491&lt;&gt;"SI","",IF(Registro_Compras!$Y491="",WORKDAY(EOMONTH(Registro_Compras!$B491,0),5,Feriados),MIN(Registro_Compras!$Y491,WORKDAY(EOMONTH(Registro_Compras!$B491,0),5,Feriados))))</f>
        <v/>
      </c>
      <c r="J491" s="25" t="str">
        <f>IF(Registro_Compras!$R491&lt;&gt;"SI","",Registro_Compras!$X491)</f>
        <v/>
      </c>
      <c r="K491" t="str">
        <f>IF(Registro_Compras!$R491&lt;&gt;"SI","",IF(Registro_Compras!$X491="","PENDIENTE","DEPOSITADA"))</f>
        <v/>
      </c>
      <c r="L491" t="str">
        <f>IF(Registro_Compras!$R491&lt;&gt;"SI","",Registro_Compras!$Z491)</f>
        <v/>
      </c>
      <c r="M491" t="str">
        <f t="shared" ca="1" si="14"/>
        <v/>
      </c>
      <c r="N491" t="str">
        <f t="shared" ca="1" si="15"/>
        <v/>
      </c>
    </row>
    <row r="492" spans="1:14" x14ac:dyDescent="0.25">
      <c r="A492" s="25" t="str">
        <f>IF(Registro_Compras!$R492&lt;&gt;"SI","",Registro_Compras!$B492)</f>
        <v/>
      </c>
      <c r="B492" t="str">
        <f>IF(Registro_Compras!$R492&lt;&gt;"SI","",Registro_Compras!$C492)</f>
        <v/>
      </c>
      <c r="C492" t="str">
        <f>IF(Registro_Compras!$R492&lt;&gt;"SI","",Registro_Compras!$D492)</f>
        <v/>
      </c>
      <c r="D492" t="str">
        <f>IF(Registro_Compras!$R492&lt;&gt;"SI","",Registro_Compras!$E492)</f>
        <v/>
      </c>
      <c r="E492" t="str">
        <f>IF(Registro_Compras!$R492&lt;&gt;"SI","",Registro_Compras!$G492)</f>
        <v/>
      </c>
      <c r="F492" s="31" t="str">
        <f>IF(Registro_Compras!$R492&lt;&gt;"SI","",Registro_Compras!$P492)</f>
        <v/>
      </c>
      <c r="G492" s="20" t="str">
        <f>IF(Registro_Compras!$R492&lt;&gt;"SI","",Registro_Compras!$O492)</f>
        <v/>
      </c>
      <c r="H492" s="20" t="str">
        <f>IF(Registro_Compras!$R492&lt;&gt;"SI","",Registro_Compras!$S492)</f>
        <v/>
      </c>
      <c r="I492" s="25" t="str">
        <f>IF(Registro_Compras!$R492&lt;&gt;"SI","",IF(Registro_Compras!$Y492="",WORKDAY(EOMONTH(Registro_Compras!$B492,0),5,Feriados),MIN(Registro_Compras!$Y492,WORKDAY(EOMONTH(Registro_Compras!$B492,0),5,Feriados))))</f>
        <v/>
      </c>
      <c r="J492" s="25" t="str">
        <f>IF(Registro_Compras!$R492&lt;&gt;"SI","",Registro_Compras!$X492)</f>
        <v/>
      </c>
      <c r="K492" t="str">
        <f>IF(Registro_Compras!$R492&lt;&gt;"SI","",IF(Registro_Compras!$X492="","PENDIENTE","DEPOSITADA"))</f>
        <v/>
      </c>
      <c r="L492" t="str">
        <f>IF(Registro_Compras!$R492&lt;&gt;"SI","",Registro_Compras!$Z492)</f>
        <v/>
      </c>
      <c r="M492" t="str">
        <f t="shared" ca="1" si="14"/>
        <v/>
      </c>
      <c r="N492" t="str">
        <f t="shared" ca="1" si="15"/>
        <v/>
      </c>
    </row>
    <row r="493" spans="1:14" x14ac:dyDescent="0.25">
      <c r="A493" s="25" t="str">
        <f>IF(Registro_Compras!$R493&lt;&gt;"SI","",Registro_Compras!$B493)</f>
        <v/>
      </c>
      <c r="B493" t="str">
        <f>IF(Registro_Compras!$R493&lt;&gt;"SI","",Registro_Compras!$C493)</f>
        <v/>
      </c>
      <c r="C493" t="str">
        <f>IF(Registro_Compras!$R493&lt;&gt;"SI","",Registro_Compras!$D493)</f>
        <v/>
      </c>
      <c r="D493" t="str">
        <f>IF(Registro_Compras!$R493&lt;&gt;"SI","",Registro_Compras!$E493)</f>
        <v/>
      </c>
      <c r="E493" t="str">
        <f>IF(Registro_Compras!$R493&lt;&gt;"SI","",Registro_Compras!$G493)</f>
        <v/>
      </c>
      <c r="F493" s="31" t="str">
        <f>IF(Registro_Compras!$R493&lt;&gt;"SI","",Registro_Compras!$P493)</f>
        <v/>
      </c>
      <c r="G493" s="20" t="str">
        <f>IF(Registro_Compras!$R493&lt;&gt;"SI","",Registro_Compras!$O493)</f>
        <v/>
      </c>
      <c r="H493" s="20" t="str">
        <f>IF(Registro_Compras!$R493&lt;&gt;"SI","",Registro_Compras!$S493)</f>
        <v/>
      </c>
      <c r="I493" s="25" t="str">
        <f>IF(Registro_Compras!$R493&lt;&gt;"SI","",IF(Registro_Compras!$Y493="",WORKDAY(EOMONTH(Registro_Compras!$B493,0),5,Feriados),MIN(Registro_Compras!$Y493,WORKDAY(EOMONTH(Registro_Compras!$B493,0),5,Feriados))))</f>
        <v/>
      </c>
      <c r="J493" s="25" t="str">
        <f>IF(Registro_Compras!$R493&lt;&gt;"SI","",Registro_Compras!$X493)</f>
        <v/>
      </c>
      <c r="K493" t="str">
        <f>IF(Registro_Compras!$R493&lt;&gt;"SI","",IF(Registro_Compras!$X493="","PENDIENTE","DEPOSITADA"))</f>
        <v/>
      </c>
      <c r="L493" t="str">
        <f>IF(Registro_Compras!$R493&lt;&gt;"SI","",Registro_Compras!$Z493)</f>
        <v/>
      </c>
      <c r="M493" t="str">
        <f t="shared" ca="1" si="14"/>
        <v/>
      </c>
      <c r="N493" t="str">
        <f t="shared" ca="1" si="15"/>
        <v/>
      </c>
    </row>
    <row r="494" spans="1:14" x14ac:dyDescent="0.25">
      <c r="A494" s="25" t="str">
        <f>IF(Registro_Compras!$R494&lt;&gt;"SI","",Registro_Compras!$B494)</f>
        <v/>
      </c>
      <c r="B494" t="str">
        <f>IF(Registro_Compras!$R494&lt;&gt;"SI","",Registro_Compras!$C494)</f>
        <v/>
      </c>
      <c r="C494" t="str">
        <f>IF(Registro_Compras!$R494&lt;&gt;"SI","",Registro_Compras!$D494)</f>
        <v/>
      </c>
      <c r="D494" t="str">
        <f>IF(Registro_Compras!$R494&lt;&gt;"SI","",Registro_Compras!$E494)</f>
        <v/>
      </c>
      <c r="E494" t="str">
        <f>IF(Registro_Compras!$R494&lt;&gt;"SI","",Registro_Compras!$G494)</f>
        <v/>
      </c>
      <c r="F494" s="31" t="str">
        <f>IF(Registro_Compras!$R494&lt;&gt;"SI","",Registro_Compras!$P494)</f>
        <v/>
      </c>
      <c r="G494" s="20" t="str">
        <f>IF(Registro_Compras!$R494&lt;&gt;"SI","",Registro_Compras!$O494)</f>
        <v/>
      </c>
      <c r="H494" s="20" t="str">
        <f>IF(Registro_Compras!$R494&lt;&gt;"SI","",Registro_Compras!$S494)</f>
        <v/>
      </c>
      <c r="I494" s="25" t="str">
        <f>IF(Registro_Compras!$R494&lt;&gt;"SI","",IF(Registro_Compras!$Y494="",WORKDAY(EOMONTH(Registro_Compras!$B494,0),5,Feriados),MIN(Registro_Compras!$Y494,WORKDAY(EOMONTH(Registro_Compras!$B494,0),5,Feriados))))</f>
        <v/>
      </c>
      <c r="J494" s="25" t="str">
        <f>IF(Registro_Compras!$R494&lt;&gt;"SI","",Registro_Compras!$X494)</f>
        <v/>
      </c>
      <c r="K494" t="str">
        <f>IF(Registro_Compras!$R494&lt;&gt;"SI","",IF(Registro_Compras!$X494="","PENDIENTE","DEPOSITADA"))</f>
        <v/>
      </c>
      <c r="L494" t="str">
        <f>IF(Registro_Compras!$R494&lt;&gt;"SI","",Registro_Compras!$Z494)</f>
        <v/>
      </c>
      <c r="M494" t="str">
        <f t="shared" ca="1" si="14"/>
        <v/>
      </c>
      <c r="N494" t="str">
        <f t="shared" ca="1" si="15"/>
        <v/>
      </c>
    </row>
    <row r="495" spans="1:14" x14ac:dyDescent="0.25">
      <c r="A495" s="25" t="str">
        <f>IF(Registro_Compras!$R495&lt;&gt;"SI","",Registro_Compras!$B495)</f>
        <v/>
      </c>
      <c r="B495" t="str">
        <f>IF(Registro_Compras!$R495&lt;&gt;"SI","",Registro_Compras!$C495)</f>
        <v/>
      </c>
      <c r="C495" t="str">
        <f>IF(Registro_Compras!$R495&lt;&gt;"SI","",Registro_Compras!$D495)</f>
        <v/>
      </c>
      <c r="D495" t="str">
        <f>IF(Registro_Compras!$R495&lt;&gt;"SI","",Registro_Compras!$E495)</f>
        <v/>
      </c>
      <c r="E495" t="str">
        <f>IF(Registro_Compras!$R495&lt;&gt;"SI","",Registro_Compras!$G495)</f>
        <v/>
      </c>
      <c r="F495" s="31" t="str">
        <f>IF(Registro_Compras!$R495&lt;&gt;"SI","",Registro_Compras!$P495)</f>
        <v/>
      </c>
      <c r="G495" s="20" t="str">
        <f>IF(Registro_Compras!$R495&lt;&gt;"SI","",Registro_Compras!$O495)</f>
        <v/>
      </c>
      <c r="H495" s="20" t="str">
        <f>IF(Registro_Compras!$R495&lt;&gt;"SI","",Registro_Compras!$S495)</f>
        <v/>
      </c>
      <c r="I495" s="25" t="str">
        <f>IF(Registro_Compras!$R495&lt;&gt;"SI","",IF(Registro_Compras!$Y495="",WORKDAY(EOMONTH(Registro_Compras!$B495,0),5,Feriados),MIN(Registro_Compras!$Y495,WORKDAY(EOMONTH(Registro_Compras!$B495,0),5,Feriados))))</f>
        <v/>
      </c>
      <c r="J495" s="25" t="str">
        <f>IF(Registro_Compras!$R495&lt;&gt;"SI","",Registro_Compras!$X495)</f>
        <v/>
      </c>
      <c r="K495" t="str">
        <f>IF(Registro_Compras!$R495&lt;&gt;"SI","",IF(Registro_Compras!$X495="","PENDIENTE","DEPOSITADA"))</f>
        <v/>
      </c>
      <c r="L495" t="str">
        <f>IF(Registro_Compras!$R495&lt;&gt;"SI","",Registro_Compras!$Z495)</f>
        <v/>
      </c>
      <c r="M495" t="str">
        <f t="shared" ca="1" si="14"/>
        <v/>
      </c>
      <c r="N495" t="str">
        <f t="shared" ca="1" si="15"/>
        <v/>
      </c>
    </row>
    <row r="496" spans="1:14" x14ac:dyDescent="0.25">
      <c r="A496" s="25" t="str">
        <f>IF(Registro_Compras!$R496&lt;&gt;"SI","",Registro_Compras!$B496)</f>
        <v/>
      </c>
      <c r="B496" t="str">
        <f>IF(Registro_Compras!$R496&lt;&gt;"SI","",Registro_Compras!$C496)</f>
        <v/>
      </c>
      <c r="C496" t="str">
        <f>IF(Registro_Compras!$R496&lt;&gt;"SI","",Registro_Compras!$D496)</f>
        <v/>
      </c>
      <c r="D496" t="str">
        <f>IF(Registro_Compras!$R496&lt;&gt;"SI","",Registro_Compras!$E496)</f>
        <v/>
      </c>
      <c r="E496" t="str">
        <f>IF(Registro_Compras!$R496&lt;&gt;"SI","",Registro_Compras!$G496)</f>
        <v/>
      </c>
      <c r="F496" s="31" t="str">
        <f>IF(Registro_Compras!$R496&lt;&gt;"SI","",Registro_Compras!$P496)</f>
        <v/>
      </c>
      <c r="G496" s="20" t="str">
        <f>IF(Registro_Compras!$R496&lt;&gt;"SI","",Registro_Compras!$O496)</f>
        <v/>
      </c>
      <c r="H496" s="20" t="str">
        <f>IF(Registro_Compras!$R496&lt;&gt;"SI","",Registro_Compras!$S496)</f>
        <v/>
      </c>
      <c r="I496" s="25" t="str">
        <f>IF(Registro_Compras!$R496&lt;&gt;"SI","",IF(Registro_Compras!$Y496="",WORKDAY(EOMONTH(Registro_Compras!$B496,0),5,Feriados),MIN(Registro_Compras!$Y496,WORKDAY(EOMONTH(Registro_Compras!$B496,0),5,Feriados))))</f>
        <v/>
      </c>
      <c r="J496" s="25" t="str">
        <f>IF(Registro_Compras!$R496&lt;&gt;"SI","",Registro_Compras!$X496)</f>
        <v/>
      </c>
      <c r="K496" t="str">
        <f>IF(Registro_Compras!$R496&lt;&gt;"SI","",IF(Registro_Compras!$X496="","PENDIENTE","DEPOSITADA"))</f>
        <v/>
      </c>
      <c r="L496" t="str">
        <f>IF(Registro_Compras!$R496&lt;&gt;"SI","",Registro_Compras!$Z496)</f>
        <v/>
      </c>
      <c r="M496" t="str">
        <f t="shared" ca="1" si="14"/>
        <v/>
      </c>
      <c r="N496" t="str">
        <f t="shared" ca="1" si="15"/>
        <v/>
      </c>
    </row>
    <row r="497" spans="1:14" x14ac:dyDescent="0.25">
      <c r="A497" s="25" t="str">
        <f>IF(Registro_Compras!$R497&lt;&gt;"SI","",Registro_Compras!$B497)</f>
        <v/>
      </c>
      <c r="B497" t="str">
        <f>IF(Registro_Compras!$R497&lt;&gt;"SI","",Registro_Compras!$C497)</f>
        <v/>
      </c>
      <c r="C497" t="str">
        <f>IF(Registro_Compras!$R497&lt;&gt;"SI","",Registro_Compras!$D497)</f>
        <v/>
      </c>
      <c r="D497" t="str">
        <f>IF(Registro_Compras!$R497&lt;&gt;"SI","",Registro_Compras!$E497)</f>
        <v/>
      </c>
      <c r="E497" t="str">
        <f>IF(Registro_Compras!$R497&lt;&gt;"SI","",Registro_Compras!$G497)</f>
        <v/>
      </c>
      <c r="F497" s="31" t="str">
        <f>IF(Registro_Compras!$R497&lt;&gt;"SI","",Registro_Compras!$P497)</f>
        <v/>
      </c>
      <c r="G497" s="20" t="str">
        <f>IF(Registro_Compras!$R497&lt;&gt;"SI","",Registro_Compras!$O497)</f>
        <v/>
      </c>
      <c r="H497" s="20" t="str">
        <f>IF(Registro_Compras!$R497&lt;&gt;"SI","",Registro_Compras!$S497)</f>
        <v/>
      </c>
      <c r="I497" s="25" t="str">
        <f>IF(Registro_Compras!$R497&lt;&gt;"SI","",IF(Registro_Compras!$Y497="",WORKDAY(EOMONTH(Registro_Compras!$B497,0),5,Feriados),MIN(Registro_Compras!$Y497,WORKDAY(EOMONTH(Registro_Compras!$B497,0),5,Feriados))))</f>
        <v/>
      </c>
      <c r="J497" s="25" t="str">
        <f>IF(Registro_Compras!$R497&lt;&gt;"SI","",Registro_Compras!$X497)</f>
        <v/>
      </c>
      <c r="K497" t="str">
        <f>IF(Registro_Compras!$R497&lt;&gt;"SI","",IF(Registro_Compras!$X497="","PENDIENTE","DEPOSITADA"))</f>
        <v/>
      </c>
      <c r="L497" t="str">
        <f>IF(Registro_Compras!$R497&lt;&gt;"SI","",Registro_Compras!$Z497)</f>
        <v/>
      </c>
      <c r="M497" t="str">
        <f t="shared" ca="1" si="14"/>
        <v/>
      </c>
      <c r="N497" t="str">
        <f t="shared" ca="1" si="15"/>
        <v/>
      </c>
    </row>
    <row r="498" spans="1:14" x14ac:dyDescent="0.25">
      <c r="A498" s="25" t="str">
        <f>IF(Registro_Compras!$R498&lt;&gt;"SI","",Registro_Compras!$B498)</f>
        <v/>
      </c>
      <c r="B498" t="str">
        <f>IF(Registro_Compras!$R498&lt;&gt;"SI","",Registro_Compras!$C498)</f>
        <v/>
      </c>
      <c r="C498" t="str">
        <f>IF(Registro_Compras!$R498&lt;&gt;"SI","",Registro_Compras!$D498)</f>
        <v/>
      </c>
      <c r="D498" t="str">
        <f>IF(Registro_Compras!$R498&lt;&gt;"SI","",Registro_Compras!$E498)</f>
        <v/>
      </c>
      <c r="E498" t="str">
        <f>IF(Registro_Compras!$R498&lt;&gt;"SI","",Registro_Compras!$G498)</f>
        <v/>
      </c>
      <c r="F498" s="31" t="str">
        <f>IF(Registro_Compras!$R498&lt;&gt;"SI","",Registro_Compras!$P498)</f>
        <v/>
      </c>
      <c r="G498" s="20" t="str">
        <f>IF(Registro_Compras!$R498&lt;&gt;"SI","",Registro_Compras!$O498)</f>
        <v/>
      </c>
      <c r="H498" s="20" t="str">
        <f>IF(Registro_Compras!$R498&lt;&gt;"SI","",Registro_Compras!$S498)</f>
        <v/>
      </c>
      <c r="I498" s="25" t="str">
        <f>IF(Registro_Compras!$R498&lt;&gt;"SI","",IF(Registro_Compras!$Y498="",WORKDAY(EOMONTH(Registro_Compras!$B498,0),5,Feriados),MIN(Registro_Compras!$Y498,WORKDAY(EOMONTH(Registro_Compras!$B498,0),5,Feriados))))</f>
        <v/>
      </c>
      <c r="J498" s="25" t="str">
        <f>IF(Registro_Compras!$R498&lt;&gt;"SI","",Registro_Compras!$X498)</f>
        <v/>
      </c>
      <c r="K498" t="str">
        <f>IF(Registro_Compras!$R498&lt;&gt;"SI","",IF(Registro_Compras!$X498="","PENDIENTE","DEPOSITADA"))</f>
        <v/>
      </c>
      <c r="L498" t="str">
        <f>IF(Registro_Compras!$R498&lt;&gt;"SI","",Registro_Compras!$Z498)</f>
        <v/>
      </c>
      <c r="M498" t="str">
        <f t="shared" ca="1" si="14"/>
        <v/>
      </c>
      <c r="N498" t="str">
        <f t="shared" ca="1" si="15"/>
        <v/>
      </c>
    </row>
    <row r="499" spans="1:14" x14ac:dyDescent="0.25">
      <c r="A499" s="25" t="str">
        <f>IF(Registro_Compras!$R499&lt;&gt;"SI","",Registro_Compras!$B499)</f>
        <v/>
      </c>
      <c r="B499" t="str">
        <f>IF(Registro_Compras!$R499&lt;&gt;"SI","",Registro_Compras!$C499)</f>
        <v/>
      </c>
      <c r="C499" t="str">
        <f>IF(Registro_Compras!$R499&lt;&gt;"SI","",Registro_Compras!$D499)</f>
        <v/>
      </c>
      <c r="D499" t="str">
        <f>IF(Registro_Compras!$R499&lt;&gt;"SI","",Registro_Compras!$E499)</f>
        <v/>
      </c>
      <c r="E499" t="str">
        <f>IF(Registro_Compras!$R499&lt;&gt;"SI","",Registro_Compras!$G499)</f>
        <v/>
      </c>
      <c r="F499" s="31" t="str">
        <f>IF(Registro_Compras!$R499&lt;&gt;"SI","",Registro_Compras!$P499)</f>
        <v/>
      </c>
      <c r="G499" s="20" t="str">
        <f>IF(Registro_Compras!$R499&lt;&gt;"SI","",Registro_Compras!$O499)</f>
        <v/>
      </c>
      <c r="H499" s="20" t="str">
        <f>IF(Registro_Compras!$R499&lt;&gt;"SI","",Registro_Compras!$S499)</f>
        <v/>
      </c>
      <c r="I499" s="25" t="str">
        <f>IF(Registro_Compras!$R499&lt;&gt;"SI","",IF(Registro_Compras!$Y499="",WORKDAY(EOMONTH(Registro_Compras!$B499,0),5,Feriados),MIN(Registro_Compras!$Y499,WORKDAY(EOMONTH(Registro_Compras!$B499,0),5,Feriados))))</f>
        <v/>
      </c>
      <c r="J499" s="25" t="str">
        <f>IF(Registro_Compras!$R499&lt;&gt;"SI","",Registro_Compras!$X499)</f>
        <v/>
      </c>
      <c r="K499" t="str">
        <f>IF(Registro_Compras!$R499&lt;&gt;"SI","",IF(Registro_Compras!$X499="","PENDIENTE","DEPOSITADA"))</f>
        <v/>
      </c>
      <c r="L499" t="str">
        <f>IF(Registro_Compras!$R499&lt;&gt;"SI","",Registro_Compras!$Z499)</f>
        <v/>
      </c>
      <c r="M499" t="str">
        <f t="shared" ca="1" si="14"/>
        <v/>
      </c>
      <c r="N499" t="str">
        <f t="shared" ca="1" si="15"/>
        <v/>
      </c>
    </row>
    <row r="500" spans="1:14" x14ac:dyDescent="0.25">
      <c r="A500" s="25" t="str">
        <f>IF(Registro_Compras!$R500&lt;&gt;"SI","",Registro_Compras!$B500)</f>
        <v/>
      </c>
      <c r="B500" t="str">
        <f>IF(Registro_Compras!$R500&lt;&gt;"SI","",Registro_Compras!$C500)</f>
        <v/>
      </c>
      <c r="C500" t="str">
        <f>IF(Registro_Compras!$R500&lt;&gt;"SI","",Registro_Compras!$D500)</f>
        <v/>
      </c>
      <c r="D500" t="str">
        <f>IF(Registro_Compras!$R500&lt;&gt;"SI","",Registro_Compras!$E500)</f>
        <v/>
      </c>
      <c r="E500" t="str">
        <f>IF(Registro_Compras!$R500&lt;&gt;"SI","",Registro_Compras!$G500)</f>
        <v/>
      </c>
      <c r="F500" s="31" t="str">
        <f>IF(Registro_Compras!$R500&lt;&gt;"SI","",Registro_Compras!$P500)</f>
        <v/>
      </c>
      <c r="G500" s="20" t="str">
        <f>IF(Registro_Compras!$R500&lt;&gt;"SI","",Registro_Compras!$O500)</f>
        <v/>
      </c>
      <c r="H500" s="20" t="str">
        <f>IF(Registro_Compras!$R500&lt;&gt;"SI","",Registro_Compras!$S500)</f>
        <v/>
      </c>
      <c r="I500" s="25" t="str">
        <f>IF(Registro_Compras!$R500&lt;&gt;"SI","",IF(Registro_Compras!$Y500="",WORKDAY(EOMONTH(Registro_Compras!$B500,0),5,Feriados),MIN(Registro_Compras!$Y500,WORKDAY(EOMONTH(Registro_Compras!$B500,0),5,Feriados))))</f>
        <v/>
      </c>
      <c r="J500" s="25" t="str">
        <f>IF(Registro_Compras!$R500&lt;&gt;"SI","",Registro_Compras!$X500)</f>
        <v/>
      </c>
      <c r="K500" t="str">
        <f>IF(Registro_Compras!$R500&lt;&gt;"SI","",IF(Registro_Compras!$X500="","PENDIENTE","DEPOSITADA"))</f>
        <v/>
      </c>
      <c r="L500" t="str">
        <f>IF(Registro_Compras!$R500&lt;&gt;"SI","",Registro_Compras!$Z500)</f>
        <v/>
      </c>
      <c r="M500" t="str">
        <f t="shared" ca="1" si="14"/>
        <v/>
      </c>
      <c r="N500" t="str">
        <f t="shared" ca="1" si="15"/>
        <v/>
      </c>
    </row>
    <row r="501" spans="1:14" x14ac:dyDescent="0.25">
      <c r="A501" s="25" t="str">
        <f>IF(Registro_Compras!$R501&lt;&gt;"SI","",Registro_Compras!$B501)</f>
        <v/>
      </c>
      <c r="B501" t="str">
        <f>IF(Registro_Compras!$R501&lt;&gt;"SI","",Registro_Compras!$C501)</f>
        <v/>
      </c>
      <c r="C501" t="str">
        <f>IF(Registro_Compras!$R501&lt;&gt;"SI","",Registro_Compras!$D501)</f>
        <v/>
      </c>
      <c r="D501" t="str">
        <f>IF(Registro_Compras!$R501&lt;&gt;"SI","",Registro_Compras!$E501)</f>
        <v/>
      </c>
      <c r="E501" t="str">
        <f>IF(Registro_Compras!$R501&lt;&gt;"SI","",Registro_Compras!$G501)</f>
        <v/>
      </c>
      <c r="F501" s="31" t="str">
        <f>IF(Registro_Compras!$R501&lt;&gt;"SI","",Registro_Compras!$P501)</f>
        <v/>
      </c>
      <c r="G501" s="20" t="str">
        <f>IF(Registro_Compras!$R501&lt;&gt;"SI","",Registro_Compras!$O501)</f>
        <v/>
      </c>
      <c r="H501" s="20" t="str">
        <f>IF(Registro_Compras!$R501&lt;&gt;"SI","",Registro_Compras!$S501)</f>
        <v/>
      </c>
      <c r="I501" s="25" t="str">
        <f>IF(Registro_Compras!$R501&lt;&gt;"SI","",IF(Registro_Compras!$Y501="",WORKDAY(EOMONTH(Registro_Compras!$B501,0),5,Feriados),MIN(Registro_Compras!$Y501,WORKDAY(EOMONTH(Registro_Compras!$B501,0),5,Feriados))))</f>
        <v/>
      </c>
      <c r="J501" s="25" t="str">
        <f>IF(Registro_Compras!$R501&lt;&gt;"SI","",Registro_Compras!$X501)</f>
        <v/>
      </c>
      <c r="K501" t="str">
        <f>IF(Registro_Compras!$R501&lt;&gt;"SI","",IF(Registro_Compras!$X501="","PENDIENTE","DEPOSITADA"))</f>
        <v/>
      </c>
      <c r="L501" t="str">
        <f>IF(Registro_Compras!$R501&lt;&gt;"SI","",Registro_Compras!$Z501)</f>
        <v/>
      </c>
      <c r="M501" t="str">
        <f t="shared" ca="1" si="14"/>
        <v/>
      </c>
      <c r="N501" t="str">
        <f t="shared" ca="1" si="15"/>
        <v/>
      </c>
    </row>
    <row r="502" spans="1:14" x14ac:dyDescent="0.25">
      <c r="A502" s="25" t="str">
        <f>IF(Registro_Compras!$R502&lt;&gt;"SI","",Registro_Compras!$B502)</f>
        <v/>
      </c>
      <c r="B502" t="str">
        <f>IF(Registro_Compras!$R502&lt;&gt;"SI","",Registro_Compras!$C502)</f>
        <v/>
      </c>
      <c r="C502" t="str">
        <f>IF(Registro_Compras!$R502&lt;&gt;"SI","",Registro_Compras!$D502)</f>
        <v/>
      </c>
      <c r="D502" t="str">
        <f>IF(Registro_Compras!$R502&lt;&gt;"SI","",Registro_Compras!$E502)</f>
        <v/>
      </c>
      <c r="E502" t="str">
        <f>IF(Registro_Compras!$R502&lt;&gt;"SI","",Registro_Compras!$G502)</f>
        <v/>
      </c>
      <c r="F502" s="31" t="str">
        <f>IF(Registro_Compras!$R502&lt;&gt;"SI","",Registro_Compras!$P502)</f>
        <v/>
      </c>
      <c r="G502" s="20" t="str">
        <f>IF(Registro_Compras!$R502&lt;&gt;"SI","",Registro_Compras!$O502)</f>
        <v/>
      </c>
      <c r="H502" s="20" t="str">
        <f>IF(Registro_Compras!$R502&lt;&gt;"SI","",Registro_Compras!$S502)</f>
        <v/>
      </c>
      <c r="I502" s="25" t="str">
        <f>IF(Registro_Compras!$R502&lt;&gt;"SI","",IF(Registro_Compras!$Y502="",WORKDAY(EOMONTH(Registro_Compras!$B502,0),5,Feriados),MIN(Registro_Compras!$Y502,WORKDAY(EOMONTH(Registro_Compras!$B502,0),5,Feriados))))</f>
        <v/>
      </c>
      <c r="J502" s="25" t="str">
        <f>IF(Registro_Compras!$R502&lt;&gt;"SI","",Registro_Compras!$X502)</f>
        <v/>
      </c>
      <c r="K502" t="str">
        <f>IF(Registro_Compras!$R502&lt;&gt;"SI","",IF(Registro_Compras!$X502="","PENDIENTE","DEPOSITADA"))</f>
        <v/>
      </c>
      <c r="L502" t="str">
        <f>IF(Registro_Compras!$R502&lt;&gt;"SI","",Registro_Compras!$Z502)</f>
        <v/>
      </c>
      <c r="M502" t="str">
        <f t="shared" ca="1" si="14"/>
        <v/>
      </c>
      <c r="N502" t="str">
        <f t="shared" ca="1" si="15"/>
        <v/>
      </c>
    </row>
    <row r="503" spans="1:14" x14ac:dyDescent="0.25">
      <c r="A503" s="25" t="str">
        <f>IF(Registro_Compras!$R503&lt;&gt;"SI","",Registro_Compras!$B503)</f>
        <v/>
      </c>
      <c r="B503" t="str">
        <f>IF(Registro_Compras!$R503&lt;&gt;"SI","",Registro_Compras!$C503)</f>
        <v/>
      </c>
      <c r="C503" t="str">
        <f>IF(Registro_Compras!$R503&lt;&gt;"SI","",Registro_Compras!$D503)</f>
        <v/>
      </c>
      <c r="D503" t="str">
        <f>IF(Registro_Compras!$R503&lt;&gt;"SI","",Registro_Compras!$E503)</f>
        <v/>
      </c>
      <c r="E503" t="str">
        <f>IF(Registro_Compras!$R503&lt;&gt;"SI","",Registro_Compras!$G503)</f>
        <v/>
      </c>
      <c r="F503" s="31" t="str">
        <f>IF(Registro_Compras!$R503&lt;&gt;"SI","",Registro_Compras!$P503)</f>
        <v/>
      </c>
      <c r="G503" s="20" t="str">
        <f>IF(Registro_Compras!$R503&lt;&gt;"SI","",Registro_Compras!$O503)</f>
        <v/>
      </c>
      <c r="H503" s="20" t="str">
        <f>IF(Registro_Compras!$R503&lt;&gt;"SI","",Registro_Compras!$S503)</f>
        <v/>
      </c>
      <c r="I503" s="25" t="str">
        <f>IF(Registro_Compras!$R503&lt;&gt;"SI","",IF(Registro_Compras!$Y503="",WORKDAY(EOMONTH(Registro_Compras!$B503,0),5,Feriados),MIN(Registro_Compras!$Y503,WORKDAY(EOMONTH(Registro_Compras!$B503,0),5,Feriados))))</f>
        <v/>
      </c>
      <c r="J503" s="25" t="str">
        <f>IF(Registro_Compras!$R503&lt;&gt;"SI","",Registro_Compras!$X503)</f>
        <v/>
      </c>
      <c r="K503" t="str">
        <f>IF(Registro_Compras!$R503&lt;&gt;"SI","",IF(Registro_Compras!$X503="","PENDIENTE","DEPOSITADA"))</f>
        <v/>
      </c>
      <c r="L503" t="str">
        <f>IF(Registro_Compras!$R503&lt;&gt;"SI","",Registro_Compras!$Z503)</f>
        <v/>
      </c>
      <c r="M503" t="str">
        <f t="shared" ca="1" si="14"/>
        <v/>
      </c>
      <c r="N503" t="str">
        <f t="shared" ca="1" si="15"/>
        <v/>
      </c>
    </row>
  </sheetData>
  <autoFilter ref="A3:N503" xr:uid="{0C5D5EBE-5D8F-4249-951D-F544E3DE36D5}"/>
  <conditionalFormatting sqref="A4:N503">
    <cfRule type="expression" dxfId="1" priority="1" stopIfTrue="1">
      <formula>$N4="VENCIDA - DEPOSITAR YA"</formula>
    </cfRule>
    <cfRule type="expression" dxfId="0" priority="2" stopIfTrue="1">
      <formula>$N4="POR VENCER"</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5"/>
  <sheetViews>
    <sheetView showGridLines="0" zoomScaleNormal="100" workbookViewId="0"/>
  </sheetViews>
  <sheetFormatPr baseColWidth="10" defaultColWidth="8.7109375" defaultRowHeight="15" x14ac:dyDescent="0.25"/>
  <cols>
    <col min="1" max="1" width="12" customWidth="1"/>
    <col min="2" max="2" width="46" customWidth="1"/>
    <col min="3" max="3" width="62" customWidth="1"/>
    <col min="4" max="4" width="22" customWidth="1"/>
  </cols>
  <sheetData>
    <row r="1" spans="1:4" ht="18" x14ac:dyDescent="0.25">
      <c r="A1" s="1" t="s">
        <v>107</v>
      </c>
    </row>
    <row r="3" spans="1:4" x14ac:dyDescent="0.25">
      <c r="A3" s="21" t="s">
        <v>105</v>
      </c>
      <c r="B3" s="21" t="s">
        <v>106</v>
      </c>
      <c r="C3" s="21" t="s">
        <v>108</v>
      </c>
      <c r="D3" s="21" t="s">
        <v>109</v>
      </c>
    </row>
    <row r="4" spans="1:4" ht="38.25" x14ac:dyDescent="0.25">
      <c r="A4" s="22" t="s">
        <v>110</v>
      </c>
      <c r="B4" s="22" t="s">
        <v>111</v>
      </c>
      <c r="C4" s="22" t="s">
        <v>112</v>
      </c>
      <c r="D4" s="22" t="s">
        <v>113</v>
      </c>
    </row>
    <row r="5" spans="1:4" ht="25.5" x14ac:dyDescent="0.25">
      <c r="A5" s="22" t="s">
        <v>114</v>
      </c>
      <c r="B5" s="22" t="s">
        <v>115</v>
      </c>
      <c r="C5" s="22" t="s">
        <v>116</v>
      </c>
      <c r="D5" s="22" t="s">
        <v>113</v>
      </c>
    </row>
    <row r="6" spans="1:4" ht="25.5" x14ac:dyDescent="0.25">
      <c r="A6" s="22" t="s">
        <v>117</v>
      </c>
      <c r="B6" s="22" t="s">
        <v>118</v>
      </c>
      <c r="C6" s="22" t="s">
        <v>119</v>
      </c>
      <c r="D6" s="22" t="s">
        <v>113</v>
      </c>
    </row>
    <row r="7" spans="1:4" ht="51" x14ac:dyDescent="0.25">
      <c r="A7" s="22" t="s">
        <v>120</v>
      </c>
      <c r="B7" s="22" t="s">
        <v>121</v>
      </c>
      <c r="C7" s="22" t="s">
        <v>122</v>
      </c>
      <c r="D7" s="22" t="s">
        <v>123</v>
      </c>
    </row>
    <row r="8" spans="1:4" ht="25.5" x14ac:dyDescent="0.25">
      <c r="A8" s="22" t="s">
        <v>124</v>
      </c>
      <c r="B8" s="22" t="s">
        <v>125</v>
      </c>
      <c r="C8" s="22" t="s">
        <v>126</v>
      </c>
      <c r="D8" s="22" t="s">
        <v>113</v>
      </c>
    </row>
    <row r="9" spans="1:4" ht="25.5" x14ac:dyDescent="0.25">
      <c r="A9" s="22" t="s">
        <v>127</v>
      </c>
      <c r="B9" s="22" t="s">
        <v>128</v>
      </c>
      <c r="C9" s="22" t="s">
        <v>129</v>
      </c>
      <c r="D9" s="22" t="s">
        <v>113</v>
      </c>
    </row>
    <row r="10" spans="1:4" ht="25.5" x14ac:dyDescent="0.25">
      <c r="A10" s="22" t="s">
        <v>130</v>
      </c>
      <c r="B10" s="22" t="s">
        <v>131</v>
      </c>
      <c r="C10" s="22" t="s">
        <v>132</v>
      </c>
      <c r="D10" s="22" t="s">
        <v>113</v>
      </c>
    </row>
    <row r="11" spans="1:4" ht="38.25" x14ac:dyDescent="0.25">
      <c r="A11" s="22" t="s">
        <v>133</v>
      </c>
      <c r="B11" s="22" t="s">
        <v>134</v>
      </c>
      <c r="C11" s="22" t="s">
        <v>135</v>
      </c>
      <c r="D11" s="22" t="s">
        <v>136</v>
      </c>
    </row>
    <row r="12" spans="1:4" ht="89.25" x14ac:dyDescent="0.25">
      <c r="A12" s="23" t="s">
        <v>137</v>
      </c>
      <c r="B12" s="23" t="s">
        <v>138</v>
      </c>
      <c r="C12" s="23" t="s">
        <v>139</v>
      </c>
      <c r="D12" s="23" t="s">
        <v>140</v>
      </c>
    </row>
    <row r="13" spans="1:4" ht="89.25" x14ac:dyDescent="0.25">
      <c r="A13" s="23" t="s">
        <v>141</v>
      </c>
      <c r="B13" s="23" t="s">
        <v>142</v>
      </c>
      <c r="C13" s="23" t="s">
        <v>143</v>
      </c>
      <c r="D13" s="23" t="s">
        <v>140</v>
      </c>
    </row>
    <row r="15" spans="1:4" ht="22.35" customHeight="1" x14ac:dyDescent="0.25">
      <c r="A15" s="37" t="s">
        <v>144</v>
      </c>
      <c r="B15" s="37"/>
      <c r="C15" s="37"/>
      <c r="D15" s="37"/>
    </row>
  </sheetData>
  <mergeCells count="1">
    <mergeCell ref="A15:D1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6C7FC-15F4-435D-9DEF-BBB38AC3AADF}">
  <dimension ref="A1:E1003"/>
  <sheetViews>
    <sheetView workbookViewId="0">
      <selection activeCell="A18" sqref="A18"/>
    </sheetView>
  </sheetViews>
  <sheetFormatPr baseColWidth="10" defaultRowHeight="15" x14ac:dyDescent="0.25"/>
  <cols>
    <col min="1" max="1" width="12.7109375" customWidth="1"/>
    <col min="4" max="4" width="32.7109375" customWidth="1"/>
    <col min="5" max="5" width="12.7109375" customWidth="1"/>
  </cols>
  <sheetData>
    <row r="1" spans="1:5" x14ac:dyDescent="0.25">
      <c r="A1" t="s">
        <v>146</v>
      </c>
    </row>
    <row r="2" spans="1:5" x14ac:dyDescent="0.25">
      <c r="A2" t="s">
        <v>147</v>
      </c>
    </row>
    <row r="3" spans="1:5" x14ac:dyDescent="0.25">
      <c r="A3" s="24" t="s">
        <v>104</v>
      </c>
      <c r="B3" s="24" t="s">
        <v>148</v>
      </c>
      <c r="C3" s="24" t="s">
        <v>149</v>
      </c>
      <c r="D3" s="24" t="s">
        <v>109</v>
      </c>
      <c r="E3" s="24" t="s">
        <v>85</v>
      </c>
    </row>
    <row r="4" spans="1:5" x14ac:dyDescent="0.25">
      <c r="A4" s="25">
        <v>46237</v>
      </c>
      <c r="B4" s="26">
        <v>3.391</v>
      </c>
      <c r="C4" s="26">
        <v>3.4</v>
      </c>
      <c r="D4" t="s">
        <v>150</v>
      </c>
      <c r="E4" t="str">
        <f t="shared" ref="E4:E67" si="0">IF(A4="","",IF(C4="","FALTA TC","OK"))</f>
        <v>OK</v>
      </c>
    </row>
    <row r="5" spans="1:5" x14ac:dyDescent="0.25">
      <c r="A5" s="25">
        <v>46238</v>
      </c>
      <c r="B5" s="26">
        <v>3.391</v>
      </c>
      <c r="C5" s="26">
        <v>3.4020000000000001</v>
      </c>
      <c r="D5" t="s">
        <v>150</v>
      </c>
      <c r="E5" t="str">
        <f t="shared" si="0"/>
        <v>OK</v>
      </c>
    </row>
    <row r="6" spans="1:5" x14ac:dyDescent="0.25">
      <c r="A6" s="25">
        <v>46239</v>
      </c>
      <c r="B6" s="26">
        <v>3.3860000000000001</v>
      </c>
      <c r="C6" s="26">
        <v>3.3940000000000001</v>
      </c>
      <c r="D6" t="s">
        <v>150</v>
      </c>
      <c r="E6" t="str">
        <f t="shared" si="0"/>
        <v>OK</v>
      </c>
    </row>
    <row r="7" spans="1:5" x14ac:dyDescent="0.25">
      <c r="A7" s="25">
        <v>46240</v>
      </c>
      <c r="B7" s="26">
        <v>3.3849999999999998</v>
      </c>
      <c r="C7" s="26">
        <v>3.3940000000000001</v>
      </c>
      <c r="D7" t="s">
        <v>150</v>
      </c>
      <c r="E7" t="str">
        <f t="shared" si="0"/>
        <v>OK</v>
      </c>
    </row>
    <row r="8" spans="1:5" x14ac:dyDescent="0.25">
      <c r="A8" s="25">
        <v>46241</v>
      </c>
      <c r="B8" s="26">
        <v>3.3849999999999998</v>
      </c>
      <c r="C8" s="26">
        <v>3.3940000000000001</v>
      </c>
      <c r="D8" t="s">
        <v>150</v>
      </c>
      <c r="E8" t="str">
        <f t="shared" si="0"/>
        <v>OK</v>
      </c>
    </row>
    <row r="9" spans="1:5" x14ac:dyDescent="0.25">
      <c r="A9" s="25">
        <v>46244</v>
      </c>
      <c r="B9" s="26">
        <v>3.3740000000000001</v>
      </c>
      <c r="C9" s="26">
        <v>3.391</v>
      </c>
      <c r="D9" t="s">
        <v>150</v>
      </c>
      <c r="E9" t="str">
        <f t="shared" si="0"/>
        <v>OK</v>
      </c>
    </row>
    <row r="10" spans="1:5" x14ac:dyDescent="0.25">
      <c r="A10" s="25">
        <v>46245</v>
      </c>
      <c r="B10" s="26">
        <v>3.371</v>
      </c>
      <c r="C10" s="26">
        <v>3.387</v>
      </c>
      <c r="D10" t="s">
        <v>150</v>
      </c>
      <c r="E10" t="str">
        <f t="shared" si="0"/>
        <v>OK</v>
      </c>
    </row>
    <row r="11" spans="1:5" x14ac:dyDescent="0.25">
      <c r="A11" s="25">
        <v>46246</v>
      </c>
      <c r="B11" s="26">
        <v>3.3639999999999999</v>
      </c>
      <c r="C11" s="26">
        <v>3.3719999999999999</v>
      </c>
      <c r="D11" t="s">
        <v>150</v>
      </c>
      <c r="E11" t="str">
        <f t="shared" si="0"/>
        <v>OK</v>
      </c>
    </row>
    <row r="12" spans="1:5" x14ac:dyDescent="0.25">
      <c r="A12" s="25">
        <v>46247</v>
      </c>
      <c r="B12" s="26">
        <v>3.359</v>
      </c>
      <c r="C12" s="26">
        <v>3.3650000000000002</v>
      </c>
      <c r="D12" t="s">
        <v>150</v>
      </c>
      <c r="E12" t="str">
        <f t="shared" si="0"/>
        <v>OK</v>
      </c>
    </row>
    <row r="13" spans="1:5" x14ac:dyDescent="0.25">
      <c r="A13" s="25">
        <v>46248</v>
      </c>
      <c r="B13" s="26">
        <v>3.3610000000000002</v>
      </c>
      <c r="C13" s="26">
        <v>3.371</v>
      </c>
      <c r="D13" t="s">
        <v>150</v>
      </c>
      <c r="E13" t="str">
        <f t="shared" si="0"/>
        <v>OK</v>
      </c>
    </row>
    <row r="14" spans="1:5" x14ac:dyDescent="0.25">
      <c r="A14" s="25">
        <v>46251</v>
      </c>
      <c r="B14" s="26">
        <v>3.3580000000000001</v>
      </c>
      <c r="C14" s="26">
        <v>3.3679999999999999</v>
      </c>
      <c r="D14" t="s">
        <v>150</v>
      </c>
      <c r="E14" t="str">
        <f t="shared" si="0"/>
        <v>OK</v>
      </c>
    </row>
    <row r="15" spans="1:5" x14ac:dyDescent="0.25">
      <c r="A15" s="25">
        <v>46252</v>
      </c>
      <c r="B15" s="26">
        <v>3.3580000000000001</v>
      </c>
      <c r="C15" s="26">
        <v>3.37</v>
      </c>
      <c r="D15" t="s">
        <v>150</v>
      </c>
      <c r="E15" t="str">
        <f t="shared" si="0"/>
        <v>OK</v>
      </c>
    </row>
    <row r="16" spans="1:5" x14ac:dyDescent="0.25">
      <c r="A16" s="25">
        <v>46253</v>
      </c>
      <c r="B16" s="26">
        <v>3.3559999999999999</v>
      </c>
      <c r="C16" s="26">
        <v>3.3620000000000001</v>
      </c>
      <c r="D16" t="s">
        <v>150</v>
      </c>
      <c r="E16" t="str">
        <f t="shared" si="0"/>
        <v>OK</v>
      </c>
    </row>
    <row r="17" spans="1:5" x14ac:dyDescent="0.25">
      <c r="A17" s="25">
        <v>46254</v>
      </c>
      <c r="B17" s="26">
        <v>3.355</v>
      </c>
      <c r="C17" s="26">
        <v>3.3610000000000002</v>
      </c>
      <c r="D17" t="s">
        <v>191</v>
      </c>
      <c r="E17" t="str">
        <f t="shared" si="0"/>
        <v>OK</v>
      </c>
    </row>
    <row r="18" spans="1:5" x14ac:dyDescent="0.25">
      <c r="A18" s="25">
        <v>46255</v>
      </c>
      <c r="B18" s="26">
        <v>3.351</v>
      </c>
      <c r="C18" s="26">
        <v>3.3610000000000002</v>
      </c>
      <c r="D18" t="s">
        <v>191</v>
      </c>
      <c r="E18" t="str">
        <f t="shared" si="0"/>
        <v>OK</v>
      </c>
    </row>
    <row r="19" spans="1:5" x14ac:dyDescent="0.25">
      <c r="A19" s="25"/>
      <c r="B19" s="26"/>
      <c r="C19" s="26"/>
      <c r="E19" t="str">
        <f t="shared" si="0"/>
        <v/>
      </c>
    </row>
    <row r="20" spans="1:5" x14ac:dyDescent="0.25">
      <c r="A20" s="25"/>
      <c r="B20" s="26"/>
      <c r="C20" s="26"/>
      <c r="E20" t="str">
        <f t="shared" si="0"/>
        <v/>
      </c>
    </row>
    <row r="21" spans="1:5" x14ac:dyDescent="0.25">
      <c r="A21" s="25"/>
      <c r="B21" s="26"/>
      <c r="C21" s="26"/>
      <c r="E21" t="str">
        <f t="shared" si="0"/>
        <v/>
      </c>
    </row>
    <row r="22" spans="1:5" x14ac:dyDescent="0.25">
      <c r="A22" s="25"/>
      <c r="B22" s="26"/>
      <c r="C22" s="26"/>
      <c r="E22" t="str">
        <f t="shared" si="0"/>
        <v/>
      </c>
    </row>
    <row r="23" spans="1:5" x14ac:dyDescent="0.25">
      <c r="A23" s="25"/>
      <c r="B23" s="26"/>
      <c r="C23" s="26"/>
      <c r="E23" t="str">
        <f t="shared" si="0"/>
        <v/>
      </c>
    </row>
    <row r="24" spans="1:5" x14ac:dyDescent="0.25">
      <c r="A24" s="25"/>
      <c r="B24" s="26"/>
      <c r="C24" s="26"/>
      <c r="E24" t="str">
        <f t="shared" si="0"/>
        <v/>
      </c>
    </row>
    <row r="25" spans="1:5" x14ac:dyDescent="0.25">
      <c r="A25" s="25"/>
      <c r="B25" s="26"/>
      <c r="C25" s="26"/>
      <c r="E25" t="str">
        <f t="shared" si="0"/>
        <v/>
      </c>
    </row>
    <row r="26" spans="1:5" x14ac:dyDescent="0.25">
      <c r="A26" s="25"/>
      <c r="B26" s="26"/>
      <c r="C26" s="26"/>
      <c r="E26" t="str">
        <f t="shared" si="0"/>
        <v/>
      </c>
    </row>
    <row r="27" spans="1:5" x14ac:dyDescent="0.25">
      <c r="A27" s="25"/>
      <c r="B27" s="26"/>
      <c r="C27" s="26"/>
      <c r="E27" t="str">
        <f t="shared" si="0"/>
        <v/>
      </c>
    </row>
    <row r="28" spans="1:5" x14ac:dyDescent="0.25">
      <c r="A28" s="25"/>
      <c r="B28" s="26"/>
      <c r="C28" s="26"/>
      <c r="E28" t="str">
        <f t="shared" si="0"/>
        <v/>
      </c>
    </row>
    <row r="29" spans="1:5" x14ac:dyDescent="0.25">
      <c r="A29" s="25"/>
      <c r="B29" s="26"/>
      <c r="C29" s="26"/>
      <c r="E29" t="str">
        <f t="shared" si="0"/>
        <v/>
      </c>
    </row>
    <row r="30" spans="1:5" x14ac:dyDescent="0.25">
      <c r="A30" s="25"/>
      <c r="B30" s="26"/>
      <c r="C30" s="26"/>
      <c r="E30" t="str">
        <f t="shared" si="0"/>
        <v/>
      </c>
    </row>
    <row r="31" spans="1:5" x14ac:dyDescent="0.25">
      <c r="A31" s="25"/>
      <c r="B31" s="26"/>
      <c r="C31" s="26"/>
      <c r="E31" t="str">
        <f t="shared" si="0"/>
        <v/>
      </c>
    </row>
    <row r="32" spans="1:5" x14ac:dyDescent="0.25">
      <c r="A32" s="25"/>
      <c r="B32" s="26"/>
      <c r="C32" s="26"/>
      <c r="E32" t="str">
        <f t="shared" si="0"/>
        <v/>
      </c>
    </row>
    <row r="33" spans="1:5" x14ac:dyDescent="0.25">
      <c r="A33" s="25"/>
      <c r="B33" s="26"/>
      <c r="C33" s="26"/>
      <c r="E33" t="str">
        <f t="shared" si="0"/>
        <v/>
      </c>
    </row>
    <row r="34" spans="1:5" x14ac:dyDescent="0.25">
      <c r="A34" s="25"/>
      <c r="B34" s="26"/>
      <c r="C34" s="26"/>
      <c r="E34" t="str">
        <f t="shared" si="0"/>
        <v/>
      </c>
    </row>
    <row r="35" spans="1:5" x14ac:dyDescent="0.25">
      <c r="A35" s="25"/>
      <c r="B35" s="26"/>
      <c r="C35" s="26"/>
      <c r="E35" t="str">
        <f t="shared" si="0"/>
        <v/>
      </c>
    </row>
    <row r="36" spans="1:5" x14ac:dyDescent="0.25">
      <c r="A36" s="25"/>
      <c r="B36" s="26"/>
      <c r="C36" s="26"/>
      <c r="E36" t="str">
        <f t="shared" si="0"/>
        <v/>
      </c>
    </row>
    <row r="37" spans="1:5" x14ac:dyDescent="0.25">
      <c r="A37" s="25"/>
      <c r="B37" s="26"/>
      <c r="C37" s="26"/>
      <c r="E37" t="str">
        <f t="shared" si="0"/>
        <v/>
      </c>
    </row>
    <row r="38" spans="1:5" x14ac:dyDescent="0.25">
      <c r="A38" s="25"/>
      <c r="B38" s="26"/>
      <c r="C38" s="26"/>
      <c r="E38" t="str">
        <f t="shared" si="0"/>
        <v/>
      </c>
    </row>
    <row r="39" spans="1:5" x14ac:dyDescent="0.25">
      <c r="A39" s="25"/>
      <c r="B39" s="26"/>
      <c r="C39" s="26"/>
      <c r="E39" t="str">
        <f t="shared" si="0"/>
        <v/>
      </c>
    </row>
    <row r="40" spans="1:5" x14ac:dyDescent="0.25">
      <c r="A40" s="25"/>
      <c r="B40" s="26"/>
      <c r="C40" s="26"/>
      <c r="E40" t="str">
        <f t="shared" si="0"/>
        <v/>
      </c>
    </row>
    <row r="41" spans="1:5" x14ac:dyDescent="0.25">
      <c r="A41" s="25"/>
      <c r="B41" s="26"/>
      <c r="C41" s="26"/>
      <c r="E41" t="str">
        <f t="shared" si="0"/>
        <v/>
      </c>
    </row>
    <row r="42" spans="1:5" x14ac:dyDescent="0.25">
      <c r="A42" s="25"/>
      <c r="B42" s="26"/>
      <c r="C42" s="26"/>
      <c r="E42" t="str">
        <f t="shared" si="0"/>
        <v/>
      </c>
    </row>
    <row r="43" spans="1:5" x14ac:dyDescent="0.25">
      <c r="A43" s="25"/>
      <c r="B43" s="26"/>
      <c r="C43" s="26"/>
      <c r="E43" t="str">
        <f t="shared" si="0"/>
        <v/>
      </c>
    </row>
    <row r="44" spans="1:5" x14ac:dyDescent="0.25">
      <c r="A44" s="25"/>
      <c r="B44" s="26"/>
      <c r="C44" s="26"/>
      <c r="E44" t="str">
        <f t="shared" si="0"/>
        <v/>
      </c>
    </row>
    <row r="45" spans="1:5" x14ac:dyDescent="0.25">
      <c r="A45" s="25"/>
      <c r="B45" s="26"/>
      <c r="C45" s="26"/>
      <c r="E45" t="str">
        <f t="shared" si="0"/>
        <v/>
      </c>
    </row>
    <row r="46" spans="1:5" x14ac:dyDescent="0.25">
      <c r="A46" s="25"/>
      <c r="B46" s="26"/>
      <c r="C46" s="26"/>
      <c r="E46" t="str">
        <f t="shared" si="0"/>
        <v/>
      </c>
    </row>
    <row r="47" spans="1:5" x14ac:dyDescent="0.25">
      <c r="A47" s="25"/>
      <c r="B47" s="26"/>
      <c r="C47" s="26"/>
      <c r="E47" t="str">
        <f t="shared" si="0"/>
        <v/>
      </c>
    </row>
    <row r="48" spans="1:5" x14ac:dyDescent="0.25">
      <c r="A48" s="25"/>
      <c r="B48" s="26"/>
      <c r="C48" s="26"/>
      <c r="E48" t="str">
        <f t="shared" si="0"/>
        <v/>
      </c>
    </row>
    <row r="49" spans="1:5" x14ac:dyDescent="0.25">
      <c r="A49" s="25"/>
      <c r="B49" s="26"/>
      <c r="C49" s="26"/>
      <c r="E49" t="str">
        <f t="shared" si="0"/>
        <v/>
      </c>
    </row>
    <row r="50" spans="1:5" x14ac:dyDescent="0.25">
      <c r="A50" s="25"/>
      <c r="B50" s="26"/>
      <c r="C50" s="26"/>
      <c r="E50" t="str">
        <f t="shared" si="0"/>
        <v/>
      </c>
    </row>
    <row r="51" spans="1:5" x14ac:dyDescent="0.25">
      <c r="A51" s="25"/>
      <c r="B51" s="26"/>
      <c r="C51" s="26"/>
      <c r="E51" t="str">
        <f t="shared" si="0"/>
        <v/>
      </c>
    </row>
    <row r="52" spans="1:5" x14ac:dyDescent="0.25">
      <c r="A52" s="25"/>
      <c r="B52" s="26"/>
      <c r="C52" s="26"/>
      <c r="E52" t="str">
        <f t="shared" si="0"/>
        <v/>
      </c>
    </row>
    <row r="53" spans="1:5" x14ac:dyDescent="0.25">
      <c r="A53" s="25"/>
      <c r="B53" s="26"/>
      <c r="C53" s="26"/>
      <c r="E53" t="str">
        <f t="shared" si="0"/>
        <v/>
      </c>
    </row>
    <row r="54" spans="1:5" x14ac:dyDescent="0.25">
      <c r="A54" s="25"/>
      <c r="B54" s="26"/>
      <c r="C54" s="26"/>
      <c r="E54" t="str">
        <f t="shared" si="0"/>
        <v/>
      </c>
    </row>
    <row r="55" spans="1:5" x14ac:dyDescent="0.25">
      <c r="A55" s="25"/>
      <c r="B55" s="26"/>
      <c r="C55" s="26"/>
      <c r="E55" t="str">
        <f t="shared" si="0"/>
        <v/>
      </c>
    </row>
    <row r="56" spans="1:5" x14ac:dyDescent="0.25">
      <c r="A56" s="25"/>
      <c r="B56" s="26"/>
      <c r="C56" s="26"/>
      <c r="E56" t="str">
        <f t="shared" si="0"/>
        <v/>
      </c>
    </row>
    <row r="57" spans="1:5" x14ac:dyDescent="0.25">
      <c r="A57" s="25"/>
      <c r="B57" s="26"/>
      <c r="C57" s="26"/>
      <c r="E57" t="str">
        <f t="shared" si="0"/>
        <v/>
      </c>
    </row>
    <row r="58" spans="1:5" x14ac:dyDescent="0.25">
      <c r="A58" s="25"/>
      <c r="B58" s="26"/>
      <c r="C58" s="26"/>
      <c r="E58" t="str">
        <f t="shared" si="0"/>
        <v/>
      </c>
    </row>
    <row r="59" spans="1:5" x14ac:dyDescent="0.25">
      <c r="A59" s="25"/>
      <c r="B59" s="26"/>
      <c r="C59" s="26"/>
      <c r="E59" t="str">
        <f t="shared" si="0"/>
        <v/>
      </c>
    </row>
    <row r="60" spans="1:5" x14ac:dyDescent="0.25">
      <c r="A60" s="25"/>
      <c r="B60" s="26"/>
      <c r="C60" s="26"/>
      <c r="E60" t="str">
        <f t="shared" si="0"/>
        <v/>
      </c>
    </row>
    <row r="61" spans="1:5" x14ac:dyDescent="0.25">
      <c r="A61" s="25"/>
      <c r="B61" s="26"/>
      <c r="C61" s="26"/>
      <c r="E61" t="str">
        <f t="shared" si="0"/>
        <v/>
      </c>
    </row>
    <row r="62" spans="1:5" x14ac:dyDescent="0.25">
      <c r="A62" s="25"/>
      <c r="B62" s="26"/>
      <c r="C62" s="26"/>
      <c r="E62" t="str">
        <f t="shared" si="0"/>
        <v/>
      </c>
    </row>
    <row r="63" spans="1:5" x14ac:dyDescent="0.25">
      <c r="A63" s="25"/>
      <c r="B63" s="26"/>
      <c r="C63" s="26"/>
      <c r="E63" t="str">
        <f t="shared" si="0"/>
        <v/>
      </c>
    </row>
    <row r="64" spans="1:5" x14ac:dyDescent="0.25">
      <c r="A64" s="25"/>
      <c r="B64" s="26"/>
      <c r="C64" s="26"/>
      <c r="E64" t="str">
        <f t="shared" si="0"/>
        <v/>
      </c>
    </row>
    <row r="65" spans="1:5" x14ac:dyDescent="0.25">
      <c r="A65" s="25"/>
      <c r="B65" s="26"/>
      <c r="C65" s="26"/>
      <c r="E65" t="str">
        <f t="shared" si="0"/>
        <v/>
      </c>
    </row>
    <row r="66" spans="1:5" x14ac:dyDescent="0.25">
      <c r="A66" s="25"/>
      <c r="B66" s="26"/>
      <c r="C66" s="26"/>
      <c r="E66" t="str">
        <f t="shared" si="0"/>
        <v/>
      </c>
    </row>
    <row r="67" spans="1:5" x14ac:dyDescent="0.25">
      <c r="A67" s="25"/>
      <c r="B67" s="26"/>
      <c r="C67" s="26"/>
      <c r="E67" t="str">
        <f t="shared" si="0"/>
        <v/>
      </c>
    </row>
    <row r="68" spans="1:5" x14ac:dyDescent="0.25">
      <c r="A68" s="25"/>
      <c r="B68" s="26"/>
      <c r="C68" s="26"/>
      <c r="E68" t="str">
        <f t="shared" ref="E68:E131" si="1">IF(A68="","",IF(C68="","FALTA TC","OK"))</f>
        <v/>
      </c>
    </row>
    <row r="69" spans="1:5" x14ac:dyDescent="0.25">
      <c r="A69" s="25"/>
      <c r="B69" s="26"/>
      <c r="C69" s="26"/>
      <c r="E69" t="str">
        <f t="shared" si="1"/>
        <v/>
      </c>
    </row>
    <row r="70" spans="1:5" x14ac:dyDescent="0.25">
      <c r="A70" s="25"/>
      <c r="B70" s="26"/>
      <c r="C70" s="26"/>
      <c r="E70" t="str">
        <f t="shared" si="1"/>
        <v/>
      </c>
    </row>
    <row r="71" spans="1:5" x14ac:dyDescent="0.25">
      <c r="A71" s="25"/>
      <c r="B71" s="26"/>
      <c r="C71" s="26"/>
      <c r="E71" t="str">
        <f t="shared" si="1"/>
        <v/>
      </c>
    </row>
    <row r="72" spans="1:5" x14ac:dyDescent="0.25">
      <c r="A72" s="25"/>
      <c r="B72" s="26"/>
      <c r="C72" s="26"/>
      <c r="E72" t="str">
        <f t="shared" si="1"/>
        <v/>
      </c>
    </row>
    <row r="73" spans="1:5" x14ac:dyDescent="0.25">
      <c r="A73" s="25"/>
      <c r="B73" s="26"/>
      <c r="C73" s="26"/>
      <c r="E73" t="str">
        <f t="shared" si="1"/>
        <v/>
      </c>
    </row>
    <row r="74" spans="1:5" x14ac:dyDescent="0.25">
      <c r="A74" s="25"/>
      <c r="B74" s="26"/>
      <c r="C74" s="26"/>
      <c r="E74" t="str">
        <f t="shared" si="1"/>
        <v/>
      </c>
    </row>
    <row r="75" spans="1:5" x14ac:dyDescent="0.25">
      <c r="A75" s="25"/>
      <c r="B75" s="26"/>
      <c r="C75" s="26"/>
      <c r="E75" t="str">
        <f t="shared" si="1"/>
        <v/>
      </c>
    </row>
    <row r="76" spans="1:5" x14ac:dyDescent="0.25">
      <c r="A76" s="25"/>
      <c r="B76" s="26"/>
      <c r="C76" s="26"/>
      <c r="E76" t="str">
        <f t="shared" si="1"/>
        <v/>
      </c>
    </row>
    <row r="77" spans="1:5" x14ac:dyDescent="0.25">
      <c r="A77" s="25"/>
      <c r="B77" s="26"/>
      <c r="C77" s="26"/>
      <c r="E77" t="str">
        <f t="shared" si="1"/>
        <v/>
      </c>
    </row>
    <row r="78" spans="1:5" x14ac:dyDescent="0.25">
      <c r="A78" s="25"/>
      <c r="B78" s="26"/>
      <c r="C78" s="26"/>
      <c r="E78" t="str">
        <f t="shared" si="1"/>
        <v/>
      </c>
    </row>
    <row r="79" spans="1:5" x14ac:dyDescent="0.25">
      <c r="A79" s="25"/>
      <c r="B79" s="26"/>
      <c r="C79" s="26"/>
      <c r="E79" t="str">
        <f t="shared" si="1"/>
        <v/>
      </c>
    </row>
    <row r="80" spans="1:5" x14ac:dyDescent="0.25">
      <c r="A80" s="25"/>
      <c r="B80" s="26"/>
      <c r="C80" s="26"/>
      <c r="E80" t="str">
        <f t="shared" si="1"/>
        <v/>
      </c>
    </row>
    <row r="81" spans="1:5" x14ac:dyDescent="0.25">
      <c r="A81" s="25"/>
      <c r="B81" s="26"/>
      <c r="C81" s="26"/>
      <c r="E81" t="str">
        <f t="shared" si="1"/>
        <v/>
      </c>
    </row>
    <row r="82" spans="1:5" x14ac:dyDescent="0.25">
      <c r="A82" s="25"/>
      <c r="B82" s="26"/>
      <c r="C82" s="26"/>
      <c r="E82" t="str">
        <f t="shared" si="1"/>
        <v/>
      </c>
    </row>
    <row r="83" spans="1:5" x14ac:dyDescent="0.25">
      <c r="A83" s="25"/>
      <c r="B83" s="26"/>
      <c r="C83" s="26"/>
      <c r="E83" t="str">
        <f t="shared" si="1"/>
        <v/>
      </c>
    </row>
    <row r="84" spans="1:5" x14ac:dyDescent="0.25">
      <c r="A84" s="25"/>
      <c r="B84" s="26"/>
      <c r="C84" s="26"/>
      <c r="E84" t="str">
        <f t="shared" si="1"/>
        <v/>
      </c>
    </row>
    <row r="85" spans="1:5" x14ac:dyDescent="0.25">
      <c r="A85" s="25"/>
      <c r="B85" s="26"/>
      <c r="C85" s="26"/>
      <c r="E85" t="str">
        <f t="shared" si="1"/>
        <v/>
      </c>
    </row>
    <row r="86" spans="1:5" x14ac:dyDescent="0.25">
      <c r="A86" s="25"/>
      <c r="B86" s="26"/>
      <c r="C86" s="26"/>
      <c r="E86" t="str">
        <f t="shared" si="1"/>
        <v/>
      </c>
    </row>
    <row r="87" spans="1:5" x14ac:dyDescent="0.25">
      <c r="A87" s="25"/>
      <c r="B87" s="26"/>
      <c r="C87" s="26"/>
      <c r="E87" t="str">
        <f t="shared" si="1"/>
        <v/>
      </c>
    </row>
    <row r="88" spans="1:5" x14ac:dyDescent="0.25">
      <c r="A88" s="25"/>
      <c r="B88" s="26"/>
      <c r="C88" s="26"/>
      <c r="E88" t="str">
        <f t="shared" si="1"/>
        <v/>
      </c>
    </row>
    <row r="89" spans="1:5" x14ac:dyDescent="0.25">
      <c r="A89" s="25"/>
      <c r="B89" s="26"/>
      <c r="C89" s="26"/>
      <c r="E89" t="str">
        <f t="shared" si="1"/>
        <v/>
      </c>
    </row>
    <row r="90" spans="1:5" x14ac:dyDescent="0.25">
      <c r="A90" s="25"/>
      <c r="B90" s="26"/>
      <c r="C90" s="26"/>
      <c r="E90" t="str">
        <f t="shared" si="1"/>
        <v/>
      </c>
    </row>
    <row r="91" spans="1:5" x14ac:dyDescent="0.25">
      <c r="A91" s="25"/>
      <c r="B91" s="26"/>
      <c r="C91" s="26"/>
      <c r="E91" t="str">
        <f t="shared" si="1"/>
        <v/>
      </c>
    </row>
    <row r="92" spans="1:5" x14ac:dyDescent="0.25">
      <c r="A92" s="25"/>
      <c r="B92" s="26"/>
      <c r="C92" s="26"/>
      <c r="E92" t="str">
        <f t="shared" si="1"/>
        <v/>
      </c>
    </row>
    <row r="93" spans="1:5" x14ac:dyDescent="0.25">
      <c r="A93" s="25"/>
      <c r="B93" s="26"/>
      <c r="C93" s="26"/>
      <c r="E93" t="str">
        <f t="shared" si="1"/>
        <v/>
      </c>
    </row>
    <row r="94" spans="1:5" x14ac:dyDescent="0.25">
      <c r="A94" s="25"/>
      <c r="B94" s="26"/>
      <c r="C94" s="26"/>
      <c r="E94" t="str">
        <f t="shared" si="1"/>
        <v/>
      </c>
    </row>
    <row r="95" spans="1:5" x14ac:dyDescent="0.25">
      <c r="A95" s="25"/>
      <c r="B95" s="26"/>
      <c r="C95" s="26"/>
      <c r="E95" t="str">
        <f t="shared" si="1"/>
        <v/>
      </c>
    </row>
    <row r="96" spans="1:5" x14ac:dyDescent="0.25">
      <c r="A96" s="25"/>
      <c r="B96" s="26"/>
      <c r="C96" s="26"/>
      <c r="E96" t="str">
        <f t="shared" si="1"/>
        <v/>
      </c>
    </row>
    <row r="97" spans="1:5" x14ac:dyDescent="0.25">
      <c r="A97" s="25"/>
      <c r="B97" s="26"/>
      <c r="C97" s="26"/>
      <c r="E97" t="str">
        <f t="shared" si="1"/>
        <v/>
      </c>
    </row>
    <row r="98" spans="1:5" x14ac:dyDescent="0.25">
      <c r="A98" s="25"/>
      <c r="B98" s="26"/>
      <c r="C98" s="26"/>
      <c r="E98" t="str">
        <f t="shared" si="1"/>
        <v/>
      </c>
    </row>
    <row r="99" spans="1:5" x14ac:dyDescent="0.25">
      <c r="A99" s="25"/>
      <c r="B99" s="26"/>
      <c r="C99" s="26"/>
      <c r="E99" t="str">
        <f t="shared" si="1"/>
        <v/>
      </c>
    </row>
    <row r="100" spans="1:5" x14ac:dyDescent="0.25">
      <c r="A100" s="25"/>
      <c r="B100" s="26"/>
      <c r="C100" s="26"/>
      <c r="E100" t="str">
        <f t="shared" si="1"/>
        <v/>
      </c>
    </row>
    <row r="101" spans="1:5" x14ac:dyDescent="0.25">
      <c r="A101" s="25"/>
      <c r="B101" s="26"/>
      <c r="C101" s="26"/>
      <c r="E101" t="str">
        <f t="shared" si="1"/>
        <v/>
      </c>
    </row>
    <row r="102" spans="1:5" x14ac:dyDescent="0.25">
      <c r="A102" s="25"/>
      <c r="B102" s="26"/>
      <c r="C102" s="26"/>
      <c r="E102" t="str">
        <f t="shared" si="1"/>
        <v/>
      </c>
    </row>
    <row r="103" spans="1:5" x14ac:dyDescent="0.25">
      <c r="A103" s="25"/>
      <c r="B103" s="26"/>
      <c r="C103" s="26"/>
      <c r="E103" t="str">
        <f t="shared" si="1"/>
        <v/>
      </c>
    </row>
    <row r="104" spans="1:5" x14ac:dyDescent="0.25">
      <c r="A104" s="25"/>
      <c r="B104" s="26"/>
      <c r="C104" s="26"/>
      <c r="E104" t="str">
        <f t="shared" si="1"/>
        <v/>
      </c>
    </row>
    <row r="105" spans="1:5" x14ac:dyDescent="0.25">
      <c r="A105" s="25"/>
      <c r="B105" s="26"/>
      <c r="C105" s="26"/>
      <c r="E105" t="str">
        <f t="shared" si="1"/>
        <v/>
      </c>
    </row>
    <row r="106" spans="1:5" x14ac:dyDescent="0.25">
      <c r="A106" s="25"/>
      <c r="B106" s="26"/>
      <c r="C106" s="26"/>
      <c r="E106" t="str">
        <f t="shared" si="1"/>
        <v/>
      </c>
    </row>
    <row r="107" spans="1:5" x14ac:dyDescent="0.25">
      <c r="A107" s="25"/>
      <c r="B107" s="26"/>
      <c r="C107" s="26"/>
      <c r="E107" t="str">
        <f t="shared" si="1"/>
        <v/>
      </c>
    </row>
    <row r="108" spans="1:5" x14ac:dyDescent="0.25">
      <c r="A108" s="25"/>
      <c r="B108" s="26"/>
      <c r="C108" s="26"/>
      <c r="E108" t="str">
        <f t="shared" si="1"/>
        <v/>
      </c>
    </row>
    <row r="109" spans="1:5" x14ac:dyDescent="0.25">
      <c r="A109" s="25"/>
      <c r="B109" s="26"/>
      <c r="C109" s="26"/>
      <c r="E109" t="str">
        <f t="shared" si="1"/>
        <v/>
      </c>
    </row>
    <row r="110" spans="1:5" x14ac:dyDescent="0.25">
      <c r="A110" s="25"/>
      <c r="B110" s="26"/>
      <c r="C110" s="26"/>
      <c r="E110" t="str">
        <f t="shared" si="1"/>
        <v/>
      </c>
    </row>
    <row r="111" spans="1:5" x14ac:dyDescent="0.25">
      <c r="A111" s="25"/>
      <c r="B111" s="26"/>
      <c r="C111" s="26"/>
      <c r="E111" t="str">
        <f t="shared" si="1"/>
        <v/>
      </c>
    </row>
    <row r="112" spans="1:5" x14ac:dyDescent="0.25">
      <c r="A112" s="25"/>
      <c r="B112" s="26"/>
      <c r="C112" s="26"/>
      <c r="E112" t="str">
        <f t="shared" si="1"/>
        <v/>
      </c>
    </row>
    <row r="113" spans="1:5" x14ac:dyDescent="0.25">
      <c r="A113" s="25"/>
      <c r="B113" s="26"/>
      <c r="C113" s="26"/>
      <c r="E113" t="str">
        <f t="shared" si="1"/>
        <v/>
      </c>
    </row>
    <row r="114" spans="1:5" x14ac:dyDescent="0.25">
      <c r="A114" s="25"/>
      <c r="B114" s="26"/>
      <c r="C114" s="26"/>
      <c r="E114" t="str">
        <f t="shared" si="1"/>
        <v/>
      </c>
    </row>
    <row r="115" spans="1:5" x14ac:dyDescent="0.25">
      <c r="A115" s="25"/>
      <c r="B115" s="26"/>
      <c r="C115" s="26"/>
      <c r="E115" t="str">
        <f t="shared" si="1"/>
        <v/>
      </c>
    </row>
    <row r="116" spans="1:5" x14ac:dyDescent="0.25">
      <c r="A116" s="25"/>
      <c r="B116" s="26"/>
      <c r="C116" s="26"/>
      <c r="E116" t="str">
        <f t="shared" si="1"/>
        <v/>
      </c>
    </row>
    <row r="117" spans="1:5" x14ac:dyDescent="0.25">
      <c r="A117" s="25"/>
      <c r="B117" s="26"/>
      <c r="C117" s="26"/>
      <c r="E117" t="str">
        <f t="shared" si="1"/>
        <v/>
      </c>
    </row>
    <row r="118" spans="1:5" x14ac:dyDescent="0.25">
      <c r="A118" s="25"/>
      <c r="B118" s="26"/>
      <c r="C118" s="26"/>
      <c r="E118" t="str">
        <f t="shared" si="1"/>
        <v/>
      </c>
    </row>
    <row r="119" spans="1:5" x14ac:dyDescent="0.25">
      <c r="A119" s="25"/>
      <c r="B119" s="26"/>
      <c r="C119" s="26"/>
      <c r="E119" t="str">
        <f t="shared" si="1"/>
        <v/>
      </c>
    </row>
    <row r="120" spans="1:5" x14ac:dyDescent="0.25">
      <c r="A120" s="25"/>
      <c r="B120" s="26"/>
      <c r="C120" s="26"/>
      <c r="E120" t="str">
        <f t="shared" si="1"/>
        <v/>
      </c>
    </row>
    <row r="121" spans="1:5" x14ac:dyDescent="0.25">
      <c r="A121" s="25"/>
      <c r="B121" s="26"/>
      <c r="C121" s="26"/>
      <c r="E121" t="str">
        <f t="shared" si="1"/>
        <v/>
      </c>
    </row>
    <row r="122" spans="1:5" x14ac:dyDescent="0.25">
      <c r="A122" s="25"/>
      <c r="B122" s="26"/>
      <c r="C122" s="26"/>
      <c r="E122" t="str">
        <f t="shared" si="1"/>
        <v/>
      </c>
    </row>
    <row r="123" spans="1:5" x14ac:dyDescent="0.25">
      <c r="A123" s="25"/>
      <c r="B123" s="26"/>
      <c r="C123" s="26"/>
      <c r="E123" t="str">
        <f t="shared" si="1"/>
        <v/>
      </c>
    </row>
    <row r="124" spans="1:5" x14ac:dyDescent="0.25">
      <c r="A124" s="25"/>
      <c r="B124" s="26"/>
      <c r="C124" s="26"/>
      <c r="E124" t="str">
        <f t="shared" si="1"/>
        <v/>
      </c>
    </row>
    <row r="125" spans="1:5" x14ac:dyDescent="0.25">
      <c r="A125" s="25"/>
      <c r="B125" s="26"/>
      <c r="C125" s="26"/>
      <c r="E125" t="str">
        <f t="shared" si="1"/>
        <v/>
      </c>
    </row>
    <row r="126" spans="1:5" x14ac:dyDescent="0.25">
      <c r="A126" s="25"/>
      <c r="B126" s="26"/>
      <c r="C126" s="26"/>
      <c r="E126" t="str">
        <f t="shared" si="1"/>
        <v/>
      </c>
    </row>
    <row r="127" spans="1:5" x14ac:dyDescent="0.25">
      <c r="A127" s="25"/>
      <c r="B127" s="26"/>
      <c r="C127" s="26"/>
      <c r="E127" t="str">
        <f t="shared" si="1"/>
        <v/>
      </c>
    </row>
    <row r="128" spans="1:5" x14ac:dyDescent="0.25">
      <c r="A128" s="25"/>
      <c r="B128" s="26"/>
      <c r="C128" s="26"/>
      <c r="E128" t="str">
        <f t="shared" si="1"/>
        <v/>
      </c>
    </row>
    <row r="129" spans="1:5" x14ac:dyDescent="0.25">
      <c r="A129" s="25"/>
      <c r="B129" s="26"/>
      <c r="C129" s="26"/>
      <c r="E129" t="str">
        <f t="shared" si="1"/>
        <v/>
      </c>
    </row>
    <row r="130" spans="1:5" x14ac:dyDescent="0.25">
      <c r="A130" s="25"/>
      <c r="B130" s="26"/>
      <c r="C130" s="26"/>
      <c r="E130" t="str">
        <f t="shared" si="1"/>
        <v/>
      </c>
    </row>
    <row r="131" spans="1:5" x14ac:dyDescent="0.25">
      <c r="A131" s="25"/>
      <c r="B131" s="26"/>
      <c r="C131" s="26"/>
      <c r="E131" t="str">
        <f t="shared" si="1"/>
        <v/>
      </c>
    </row>
    <row r="132" spans="1:5" x14ac:dyDescent="0.25">
      <c r="A132" s="25"/>
      <c r="B132" s="26"/>
      <c r="C132" s="26"/>
      <c r="E132" t="str">
        <f t="shared" ref="E132:E195" si="2">IF(A132="","",IF(C132="","FALTA TC","OK"))</f>
        <v/>
      </c>
    </row>
    <row r="133" spans="1:5" x14ac:dyDescent="0.25">
      <c r="A133" s="25"/>
      <c r="B133" s="26"/>
      <c r="C133" s="26"/>
      <c r="E133" t="str">
        <f t="shared" si="2"/>
        <v/>
      </c>
    </row>
    <row r="134" spans="1:5" x14ac:dyDescent="0.25">
      <c r="A134" s="25"/>
      <c r="B134" s="26"/>
      <c r="C134" s="26"/>
      <c r="E134" t="str">
        <f t="shared" si="2"/>
        <v/>
      </c>
    </row>
    <row r="135" spans="1:5" x14ac:dyDescent="0.25">
      <c r="A135" s="25"/>
      <c r="B135" s="26"/>
      <c r="C135" s="26"/>
      <c r="E135" t="str">
        <f t="shared" si="2"/>
        <v/>
      </c>
    </row>
    <row r="136" spans="1:5" x14ac:dyDescent="0.25">
      <c r="A136" s="25"/>
      <c r="B136" s="26"/>
      <c r="C136" s="26"/>
      <c r="E136" t="str">
        <f t="shared" si="2"/>
        <v/>
      </c>
    </row>
    <row r="137" spans="1:5" x14ac:dyDescent="0.25">
      <c r="A137" s="25"/>
      <c r="B137" s="26"/>
      <c r="C137" s="26"/>
      <c r="E137" t="str">
        <f t="shared" si="2"/>
        <v/>
      </c>
    </row>
    <row r="138" spans="1:5" x14ac:dyDescent="0.25">
      <c r="A138" s="25"/>
      <c r="B138" s="26"/>
      <c r="C138" s="26"/>
      <c r="E138" t="str">
        <f t="shared" si="2"/>
        <v/>
      </c>
    </row>
    <row r="139" spans="1:5" x14ac:dyDescent="0.25">
      <c r="A139" s="25"/>
      <c r="B139" s="26"/>
      <c r="C139" s="26"/>
      <c r="E139" t="str">
        <f t="shared" si="2"/>
        <v/>
      </c>
    </row>
    <row r="140" spans="1:5" x14ac:dyDescent="0.25">
      <c r="A140" s="25"/>
      <c r="B140" s="26"/>
      <c r="C140" s="26"/>
      <c r="E140" t="str">
        <f t="shared" si="2"/>
        <v/>
      </c>
    </row>
    <row r="141" spans="1:5" x14ac:dyDescent="0.25">
      <c r="A141" s="25"/>
      <c r="B141" s="26"/>
      <c r="C141" s="26"/>
      <c r="E141" t="str">
        <f t="shared" si="2"/>
        <v/>
      </c>
    </row>
    <row r="142" spans="1:5" x14ac:dyDescent="0.25">
      <c r="A142" s="25"/>
      <c r="B142" s="26"/>
      <c r="C142" s="26"/>
      <c r="E142" t="str">
        <f t="shared" si="2"/>
        <v/>
      </c>
    </row>
    <row r="143" spans="1:5" x14ac:dyDescent="0.25">
      <c r="A143" s="25"/>
      <c r="B143" s="26"/>
      <c r="C143" s="26"/>
      <c r="E143" t="str">
        <f t="shared" si="2"/>
        <v/>
      </c>
    </row>
    <row r="144" spans="1:5" x14ac:dyDescent="0.25">
      <c r="A144" s="25"/>
      <c r="B144" s="26"/>
      <c r="C144" s="26"/>
      <c r="E144" t="str">
        <f t="shared" si="2"/>
        <v/>
      </c>
    </row>
    <row r="145" spans="1:5" x14ac:dyDescent="0.25">
      <c r="A145" s="25"/>
      <c r="B145" s="26"/>
      <c r="C145" s="26"/>
      <c r="E145" t="str">
        <f t="shared" si="2"/>
        <v/>
      </c>
    </row>
    <row r="146" spans="1:5" x14ac:dyDescent="0.25">
      <c r="A146" s="25"/>
      <c r="B146" s="26"/>
      <c r="C146" s="26"/>
      <c r="E146" t="str">
        <f t="shared" si="2"/>
        <v/>
      </c>
    </row>
    <row r="147" spans="1:5" x14ac:dyDescent="0.25">
      <c r="A147" s="25"/>
      <c r="B147" s="26"/>
      <c r="C147" s="26"/>
      <c r="E147" t="str">
        <f t="shared" si="2"/>
        <v/>
      </c>
    </row>
    <row r="148" spans="1:5" x14ac:dyDescent="0.25">
      <c r="A148" s="25"/>
      <c r="B148" s="26"/>
      <c r="C148" s="26"/>
      <c r="E148" t="str">
        <f t="shared" si="2"/>
        <v/>
      </c>
    </row>
    <row r="149" spans="1:5" x14ac:dyDescent="0.25">
      <c r="A149" s="25"/>
      <c r="B149" s="26"/>
      <c r="C149" s="26"/>
      <c r="E149" t="str">
        <f t="shared" si="2"/>
        <v/>
      </c>
    </row>
    <row r="150" spans="1:5" x14ac:dyDescent="0.25">
      <c r="A150" s="25"/>
      <c r="B150" s="26"/>
      <c r="C150" s="26"/>
      <c r="E150" t="str">
        <f t="shared" si="2"/>
        <v/>
      </c>
    </row>
    <row r="151" spans="1:5" x14ac:dyDescent="0.25">
      <c r="A151" s="25"/>
      <c r="B151" s="26"/>
      <c r="C151" s="26"/>
      <c r="E151" t="str">
        <f t="shared" si="2"/>
        <v/>
      </c>
    </row>
    <row r="152" spans="1:5" x14ac:dyDescent="0.25">
      <c r="A152" s="25"/>
      <c r="B152" s="26"/>
      <c r="C152" s="26"/>
      <c r="E152" t="str">
        <f t="shared" si="2"/>
        <v/>
      </c>
    </row>
    <row r="153" spans="1:5" x14ac:dyDescent="0.25">
      <c r="A153" s="25"/>
      <c r="B153" s="26"/>
      <c r="C153" s="26"/>
      <c r="E153" t="str">
        <f t="shared" si="2"/>
        <v/>
      </c>
    </row>
    <row r="154" spans="1:5" x14ac:dyDescent="0.25">
      <c r="A154" s="25"/>
      <c r="B154" s="26"/>
      <c r="C154" s="26"/>
      <c r="E154" t="str">
        <f t="shared" si="2"/>
        <v/>
      </c>
    </row>
    <row r="155" spans="1:5" x14ac:dyDescent="0.25">
      <c r="A155" s="25"/>
      <c r="B155" s="26"/>
      <c r="C155" s="26"/>
      <c r="E155" t="str">
        <f t="shared" si="2"/>
        <v/>
      </c>
    </row>
    <row r="156" spans="1:5" x14ac:dyDescent="0.25">
      <c r="A156" s="25"/>
      <c r="B156" s="26"/>
      <c r="C156" s="26"/>
      <c r="E156" t="str">
        <f t="shared" si="2"/>
        <v/>
      </c>
    </row>
    <row r="157" spans="1:5" x14ac:dyDescent="0.25">
      <c r="A157" s="25"/>
      <c r="B157" s="26"/>
      <c r="C157" s="26"/>
      <c r="E157" t="str">
        <f t="shared" si="2"/>
        <v/>
      </c>
    </row>
    <row r="158" spans="1:5" x14ac:dyDescent="0.25">
      <c r="A158" s="25"/>
      <c r="B158" s="26"/>
      <c r="C158" s="26"/>
      <c r="E158" t="str">
        <f t="shared" si="2"/>
        <v/>
      </c>
    </row>
    <row r="159" spans="1:5" x14ac:dyDescent="0.25">
      <c r="A159" s="25"/>
      <c r="B159" s="26"/>
      <c r="C159" s="26"/>
      <c r="E159" t="str">
        <f t="shared" si="2"/>
        <v/>
      </c>
    </row>
    <row r="160" spans="1:5" x14ac:dyDescent="0.25">
      <c r="A160" s="25"/>
      <c r="B160" s="26"/>
      <c r="C160" s="26"/>
      <c r="E160" t="str">
        <f t="shared" si="2"/>
        <v/>
      </c>
    </row>
    <row r="161" spans="1:5" x14ac:dyDescent="0.25">
      <c r="A161" s="25"/>
      <c r="B161" s="26"/>
      <c r="C161" s="26"/>
      <c r="E161" t="str">
        <f t="shared" si="2"/>
        <v/>
      </c>
    </row>
    <row r="162" spans="1:5" x14ac:dyDescent="0.25">
      <c r="A162" s="25"/>
      <c r="B162" s="26"/>
      <c r="C162" s="26"/>
      <c r="E162" t="str">
        <f t="shared" si="2"/>
        <v/>
      </c>
    </row>
    <row r="163" spans="1:5" x14ac:dyDescent="0.25">
      <c r="A163" s="25"/>
      <c r="B163" s="26"/>
      <c r="C163" s="26"/>
      <c r="E163" t="str">
        <f t="shared" si="2"/>
        <v/>
      </c>
    </row>
    <row r="164" spans="1:5" x14ac:dyDescent="0.25">
      <c r="A164" s="25"/>
      <c r="B164" s="26"/>
      <c r="C164" s="26"/>
      <c r="E164" t="str">
        <f t="shared" si="2"/>
        <v/>
      </c>
    </row>
    <row r="165" spans="1:5" x14ac:dyDescent="0.25">
      <c r="A165" s="25"/>
      <c r="B165" s="26"/>
      <c r="C165" s="26"/>
      <c r="E165" t="str">
        <f t="shared" si="2"/>
        <v/>
      </c>
    </row>
    <row r="166" spans="1:5" x14ac:dyDescent="0.25">
      <c r="A166" s="25"/>
      <c r="B166" s="26"/>
      <c r="C166" s="26"/>
      <c r="E166" t="str">
        <f t="shared" si="2"/>
        <v/>
      </c>
    </row>
    <row r="167" spans="1:5" x14ac:dyDescent="0.25">
      <c r="A167" s="25"/>
      <c r="B167" s="26"/>
      <c r="C167" s="26"/>
      <c r="E167" t="str">
        <f t="shared" si="2"/>
        <v/>
      </c>
    </row>
    <row r="168" spans="1:5" x14ac:dyDescent="0.25">
      <c r="A168" s="25"/>
      <c r="B168" s="26"/>
      <c r="C168" s="26"/>
      <c r="E168" t="str">
        <f t="shared" si="2"/>
        <v/>
      </c>
    </row>
    <row r="169" spans="1:5" x14ac:dyDescent="0.25">
      <c r="A169" s="25"/>
      <c r="B169" s="26"/>
      <c r="C169" s="26"/>
      <c r="E169" t="str">
        <f t="shared" si="2"/>
        <v/>
      </c>
    </row>
    <row r="170" spans="1:5" x14ac:dyDescent="0.25">
      <c r="A170" s="25"/>
      <c r="B170" s="26"/>
      <c r="C170" s="26"/>
      <c r="E170" t="str">
        <f t="shared" si="2"/>
        <v/>
      </c>
    </row>
    <row r="171" spans="1:5" x14ac:dyDescent="0.25">
      <c r="A171" s="25"/>
      <c r="B171" s="26"/>
      <c r="C171" s="26"/>
      <c r="E171" t="str">
        <f t="shared" si="2"/>
        <v/>
      </c>
    </row>
    <row r="172" spans="1:5" x14ac:dyDescent="0.25">
      <c r="A172" s="25"/>
      <c r="B172" s="26"/>
      <c r="C172" s="26"/>
      <c r="E172" t="str">
        <f t="shared" si="2"/>
        <v/>
      </c>
    </row>
    <row r="173" spans="1:5" x14ac:dyDescent="0.25">
      <c r="A173" s="25"/>
      <c r="B173" s="26"/>
      <c r="C173" s="26"/>
      <c r="E173" t="str">
        <f t="shared" si="2"/>
        <v/>
      </c>
    </row>
    <row r="174" spans="1:5" x14ac:dyDescent="0.25">
      <c r="A174" s="25"/>
      <c r="B174" s="26"/>
      <c r="C174" s="26"/>
      <c r="E174" t="str">
        <f t="shared" si="2"/>
        <v/>
      </c>
    </row>
    <row r="175" spans="1:5" x14ac:dyDescent="0.25">
      <c r="A175" s="25"/>
      <c r="B175" s="26"/>
      <c r="C175" s="26"/>
      <c r="E175" t="str">
        <f t="shared" si="2"/>
        <v/>
      </c>
    </row>
    <row r="176" spans="1:5" x14ac:dyDescent="0.25">
      <c r="A176" s="25"/>
      <c r="B176" s="26"/>
      <c r="C176" s="26"/>
      <c r="E176" t="str">
        <f t="shared" si="2"/>
        <v/>
      </c>
    </row>
    <row r="177" spans="1:5" x14ac:dyDescent="0.25">
      <c r="A177" s="25"/>
      <c r="B177" s="26"/>
      <c r="C177" s="26"/>
      <c r="E177" t="str">
        <f t="shared" si="2"/>
        <v/>
      </c>
    </row>
    <row r="178" spans="1:5" x14ac:dyDescent="0.25">
      <c r="A178" s="25"/>
      <c r="B178" s="26"/>
      <c r="C178" s="26"/>
      <c r="E178" t="str">
        <f t="shared" si="2"/>
        <v/>
      </c>
    </row>
    <row r="179" spans="1:5" x14ac:dyDescent="0.25">
      <c r="A179" s="25"/>
      <c r="B179" s="26"/>
      <c r="C179" s="26"/>
      <c r="E179" t="str">
        <f t="shared" si="2"/>
        <v/>
      </c>
    </row>
    <row r="180" spans="1:5" x14ac:dyDescent="0.25">
      <c r="A180" s="25"/>
      <c r="B180" s="26"/>
      <c r="C180" s="26"/>
      <c r="E180" t="str">
        <f t="shared" si="2"/>
        <v/>
      </c>
    </row>
    <row r="181" spans="1:5" x14ac:dyDescent="0.25">
      <c r="A181" s="25"/>
      <c r="B181" s="26"/>
      <c r="C181" s="26"/>
      <c r="E181" t="str">
        <f t="shared" si="2"/>
        <v/>
      </c>
    </row>
    <row r="182" spans="1:5" x14ac:dyDescent="0.25">
      <c r="A182" s="25"/>
      <c r="B182" s="26"/>
      <c r="C182" s="26"/>
      <c r="E182" t="str">
        <f t="shared" si="2"/>
        <v/>
      </c>
    </row>
    <row r="183" spans="1:5" x14ac:dyDescent="0.25">
      <c r="A183" s="25"/>
      <c r="B183" s="26"/>
      <c r="C183" s="26"/>
      <c r="E183" t="str">
        <f t="shared" si="2"/>
        <v/>
      </c>
    </row>
    <row r="184" spans="1:5" x14ac:dyDescent="0.25">
      <c r="A184" s="25"/>
      <c r="B184" s="26"/>
      <c r="C184" s="26"/>
      <c r="E184" t="str">
        <f t="shared" si="2"/>
        <v/>
      </c>
    </row>
    <row r="185" spans="1:5" x14ac:dyDescent="0.25">
      <c r="A185" s="25"/>
      <c r="B185" s="26"/>
      <c r="C185" s="26"/>
      <c r="E185" t="str">
        <f t="shared" si="2"/>
        <v/>
      </c>
    </row>
    <row r="186" spans="1:5" x14ac:dyDescent="0.25">
      <c r="A186" s="25"/>
      <c r="B186" s="26"/>
      <c r="C186" s="26"/>
      <c r="E186" t="str">
        <f t="shared" si="2"/>
        <v/>
      </c>
    </row>
    <row r="187" spans="1:5" x14ac:dyDescent="0.25">
      <c r="A187" s="25"/>
      <c r="B187" s="26"/>
      <c r="C187" s="26"/>
      <c r="E187" t="str">
        <f t="shared" si="2"/>
        <v/>
      </c>
    </row>
    <row r="188" spans="1:5" x14ac:dyDescent="0.25">
      <c r="A188" s="25"/>
      <c r="B188" s="26"/>
      <c r="C188" s="26"/>
      <c r="E188" t="str">
        <f t="shared" si="2"/>
        <v/>
      </c>
    </row>
    <row r="189" spans="1:5" x14ac:dyDescent="0.25">
      <c r="A189" s="25"/>
      <c r="B189" s="26"/>
      <c r="C189" s="26"/>
      <c r="E189" t="str">
        <f t="shared" si="2"/>
        <v/>
      </c>
    </row>
    <row r="190" spans="1:5" x14ac:dyDescent="0.25">
      <c r="A190" s="25"/>
      <c r="B190" s="26"/>
      <c r="C190" s="26"/>
      <c r="E190" t="str">
        <f t="shared" si="2"/>
        <v/>
      </c>
    </row>
    <row r="191" spans="1:5" x14ac:dyDescent="0.25">
      <c r="A191" s="25"/>
      <c r="B191" s="26"/>
      <c r="C191" s="26"/>
      <c r="E191" t="str">
        <f t="shared" si="2"/>
        <v/>
      </c>
    </row>
    <row r="192" spans="1:5" x14ac:dyDescent="0.25">
      <c r="A192" s="25"/>
      <c r="B192" s="26"/>
      <c r="C192" s="26"/>
      <c r="E192" t="str">
        <f t="shared" si="2"/>
        <v/>
      </c>
    </row>
    <row r="193" spans="1:5" x14ac:dyDescent="0.25">
      <c r="A193" s="25"/>
      <c r="B193" s="26"/>
      <c r="C193" s="26"/>
      <c r="E193" t="str">
        <f t="shared" si="2"/>
        <v/>
      </c>
    </row>
    <row r="194" spans="1:5" x14ac:dyDescent="0.25">
      <c r="A194" s="25"/>
      <c r="B194" s="26"/>
      <c r="C194" s="26"/>
      <c r="E194" t="str">
        <f t="shared" si="2"/>
        <v/>
      </c>
    </row>
    <row r="195" spans="1:5" x14ac:dyDescent="0.25">
      <c r="A195" s="25"/>
      <c r="B195" s="26"/>
      <c r="C195" s="26"/>
      <c r="E195" t="str">
        <f t="shared" si="2"/>
        <v/>
      </c>
    </row>
    <row r="196" spans="1:5" x14ac:dyDescent="0.25">
      <c r="A196" s="25"/>
      <c r="B196" s="26"/>
      <c r="C196" s="26"/>
      <c r="E196" t="str">
        <f t="shared" ref="E196:E259" si="3">IF(A196="","",IF(C196="","FALTA TC","OK"))</f>
        <v/>
      </c>
    </row>
    <row r="197" spans="1:5" x14ac:dyDescent="0.25">
      <c r="A197" s="25"/>
      <c r="B197" s="26"/>
      <c r="C197" s="26"/>
      <c r="E197" t="str">
        <f t="shared" si="3"/>
        <v/>
      </c>
    </row>
    <row r="198" spans="1:5" x14ac:dyDescent="0.25">
      <c r="A198" s="25"/>
      <c r="B198" s="26"/>
      <c r="C198" s="26"/>
      <c r="E198" t="str">
        <f t="shared" si="3"/>
        <v/>
      </c>
    </row>
    <row r="199" spans="1:5" x14ac:dyDescent="0.25">
      <c r="A199" s="25"/>
      <c r="B199" s="26"/>
      <c r="C199" s="26"/>
      <c r="E199" t="str">
        <f t="shared" si="3"/>
        <v/>
      </c>
    </row>
    <row r="200" spans="1:5" x14ac:dyDescent="0.25">
      <c r="A200" s="25"/>
      <c r="B200" s="26"/>
      <c r="C200" s="26"/>
      <c r="E200" t="str">
        <f t="shared" si="3"/>
        <v/>
      </c>
    </row>
    <row r="201" spans="1:5" x14ac:dyDescent="0.25">
      <c r="A201" s="25"/>
      <c r="B201" s="26"/>
      <c r="C201" s="26"/>
      <c r="E201" t="str">
        <f t="shared" si="3"/>
        <v/>
      </c>
    </row>
    <row r="202" spans="1:5" x14ac:dyDescent="0.25">
      <c r="A202" s="25"/>
      <c r="B202" s="26"/>
      <c r="C202" s="26"/>
      <c r="E202" t="str">
        <f t="shared" si="3"/>
        <v/>
      </c>
    </row>
    <row r="203" spans="1:5" x14ac:dyDescent="0.25">
      <c r="A203" s="25"/>
      <c r="B203" s="26"/>
      <c r="C203" s="26"/>
      <c r="E203" t="str">
        <f t="shared" si="3"/>
        <v/>
      </c>
    </row>
    <row r="204" spans="1:5" x14ac:dyDescent="0.25">
      <c r="A204" s="25"/>
      <c r="B204" s="26"/>
      <c r="C204" s="26"/>
      <c r="E204" t="str">
        <f t="shared" si="3"/>
        <v/>
      </c>
    </row>
    <row r="205" spans="1:5" x14ac:dyDescent="0.25">
      <c r="A205" s="25"/>
      <c r="B205" s="26"/>
      <c r="C205" s="26"/>
      <c r="E205" t="str">
        <f t="shared" si="3"/>
        <v/>
      </c>
    </row>
    <row r="206" spans="1:5" x14ac:dyDescent="0.25">
      <c r="A206" s="25"/>
      <c r="B206" s="26"/>
      <c r="C206" s="26"/>
      <c r="E206" t="str">
        <f t="shared" si="3"/>
        <v/>
      </c>
    </row>
    <row r="207" spans="1:5" x14ac:dyDescent="0.25">
      <c r="A207" s="25"/>
      <c r="B207" s="26"/>
      <c r="C207" s="26"/>
      <c r="E207" t="str">
        <f t="shared" si="3"/>
        <v/>
      </c>
    </row>
    <row r="208" spans="1:5" x14ac:dyDescent="0.25">
      <c r="A208" s="25"/>
      <c r="B208" s="26"/>
      <c r="C208" s="26"/>
      <c r="E208" t="str">
        <f t="shared" si="3"/>
        <v/>
      </c>
    </row>
    <row r="209" spans="1:5" x14ac:dyDescent="0.25">
      <c r="A209" s="25"/>
      <c r="B209" s="26"/>
      <c r="C209" s="26"/>
      <c r="E209" t="str">
        <f t="shared" si="3"/>
        <v/>
      </c>
    </row>
    <row r="210" spans="1:5" x14ac:dyDescent="0.25">
      <c r="A210" s="25"/>
      <c r="B210" s="26"/>
      <c r="C210" s="26"/>
      <c r="E210" t="str">
        <f t="shared" si="3"/>
        <v/>
      </c>
    </row>
    <row r="211" spans="1:5" x14ac:dyDescent="0.25">
      <c r="A211" s="25"/>
      <c r="B211" s="26"/>
      <c r="C211" s="26"/>
      <c r="E211" t="str">
        <f t="shared" si="3"/>
        <v/>
      </c>
    </row>
    <row r="212" spans="1:5" x14ac:dyDescent="0.25">
      <c r="A212" s="25"/>
      <c r="B212" s="26"/>
      <c r="C212" s="26"/>
      <c r="E212" t="str">
        <f t="shared" si="3"/>
        <v/>
      </c>
    </row>
    <row r="213" spans="1:5" x14ac:dyDescent="0.25">
      <c r="A213" s="25"/>
      <c r="B213" s="26"/>
      <c r="C213" s="26"/>
      <c r="E213" t="str">
        <f t="shared" si="3"/>
        <v/>
      </c>
    </row>
    <row r="214" spans="1:5" x14ac:dyDescent="0.25">
      <c r="A214" s="25"/>
      <c r="B214" s="26"/>
      <c r="C214" s="26"/>
      <c r="E214" t="str">
        <f t="shared" si="3"/>
        <v/>
      </c>
    </row>
    <row r="215" spans="1:5" x14ac:dyDescent="0.25">
      <c r="A215" s="25"/>
      <c r="B215" s="26"/>
      <c r="C215" s="26"/>
      <c r="E215" t="str">
        <f t="shared" si="3"/>
        <v/>
      </c>
    </row>
    <row r="216" spans="1:5" x14ac:dyDescent="0.25">
      <c r="A216" s="25"/>
      <c r="B216" s="26"/>
      <c r="C216" s="26"/>
      <c r="E216" t="str">
        <f t="shared" si="3"/>
        <v/>
      </c>
    </row>
    <row r="217" spans="1:5" x14ac:dyDescent="0.25">
      <c r="A217" s="25"/>
      <c r="B217" s="26"/>
      <c r="C217" s="26"/>
      <c r="E217" t="str">
        <f t="shared" si="3"/>
        <v/>
      </c>
    </row>
    <row r="218" spans="1:5" x14ac:dyDescent="0.25">
      <c r="A218" s="25"/>
      <c r="B218" s="26"/>
      <c r="C218" s="26"/>
      <c r="E218" t="str">
        <f t="shared" si="3"/>
        <v/>
      </c>
    </row>
    <row r="219" spans="1:5" x14ac:dyDescent="0.25">
      <c r="A219" s="25"/>
      <c r="B219" s="26"/>
      <c r="C219" s="26"/>
      <c r="E219" t="str">
        <f t="shared" si="3"/>
        <v/>
      </c>
    </row>
    <row r="220" spans="1:5" x14ac:dyDescent="0.25">
      <c r="A220" s="25"/>
      <c r="B220" s="26"/>
      <c r="C220" s="26"/>
      <c r="E220" t="str">
        <f t="shared" si="3"/>
        <v/>
      </c>
    </row>
    <row r="221" spans="1:5" x14ac:dyDescent="0.25">
      <c r="A221" s="25"/>
      <c r="B221" s="26"/>
      <c r="C221" s="26"/>
      <c r="E221" t="str">
        <f t="shared" si="3"/>
        <v/>
      </c>
    </row>
    <row r="222" spans="1:5" x14ac:dyDescent="0.25">
      <c r="A222" s="25"/>
      <c r="B222" s="26"/>
      <c r="C222" s="26"/>
      <c r="E222" t="str">
        <f t="shared" si="3"/>
        <v/>
      </c>
    </row>
    <row r="223" spans="1:5" x14ac:dyDescent="0.25">
      <c r="A223" s="25"/>
      <c r="B223" s="26"/>
      <c r="C223" s="26"/>
      <c r="E223" t="str">
        <f t="shared" si="3"/>
        <v/>
      </c>
    </row>
    <row r="224" spans="1:5" x14ac:dyDescent="0.25">
      <c r="A224" s="25"/>
      <c r="B224" s="26"/>
      <c r="C224" s="26"/>
      <c r="E224" t="str">
        <f t="shared" si="3"/>
        <v/>
      </c>
    </row>
    <row r="225" spans="1:5" x14ac:dyDescent="0.25">
      <c r="A225" s="25"/>
      <c r="B225" s="26"/>
      <c r="C225" s="26"/>
      <c r="E225" t="str">
        <f t="shared" si="3"/>
        <v/>
      </c>
    </row>
    <row r="226" spans="1:5" x14ac:dyDescent="0.25">
      <c r="A226" s="25"/>
      <c r="B226" s="26"/>
      <c r="C226" s="26"/>
      <c r="E226" t="str">
        <f t="shared" si="3"/>
        <v/>
      </c>
    </row>
    <row r="227" spans="1:5" x14ac:dyDescent="0.25">
      <c r="A227" s="25"/>
      <c r="B227" s="26"/>
      <c r="C227" s="26"/>
      <c r="E227" t="str">
        <f t="shared" si="3"/>
        <v/>
      </c>
    </row>
    <row r="228" spans="1:5" x14ac:dyDescent="0.25">
      <c r="A228" s="25"/>
      <c r="B228" s="26"/>
      <c r="C228" s="26"/>
      <c r="E228" t="str">
        <f t="shared" si="3"/>
        <v/>
      </c>
    </row>
    <row r="229" spans="1:5" x14ac:dyDescent="0.25">
      <c r="A229" s="25"/>
      <c r="B229" s="26"/>
      <c r="C229" s="26"/>
      <c r="E229" t="str">
        <f t="shared" si="3"/>
        <v/>
      </c>
    </row>
    <row r="230" spans="1:5" x14ac:dyDescent="0.25">
      <c r="A230" s="25"/>
      <c r="B230" s="26"/>
      <c r="C230" s="26"/>
      <c r="E230" t="str">
        <f t="shared" si="3"/>
        <v/>
      </c>
    </row>
    <row r="231" spans="1:5" x14ac:dyDescent="0.25">
      <c r="A231" s="25"/>
      <c r="B231" s="26"/>
      <c r="C231" s="26"/>
      <c r="E231" t="str">
        <f t="shared" si="3"/>
        <v/>
      </c>
    </row>
    <row r="232" spans="1:5" x14ac:dyDescent="0.25">
      <c r="A232" s="25"/>
      <c r="B232" s="26"/>
      <c r="C232" s="26"/>
      <c r="E232" t="str">
        <f t="shared" si="3"/>
        <v/>
      </c>
    </row>
    <row r="233" spans="1:5" x14ac:dyDescent="0.25">
      <c r="A233" s="25"/>
      <c r="B233" s="26"/>
      <c r="C233" s="26"/>
      <c r="E233" t="str">
        <f t="shared" si="3"/>
        <v/>
      </c>
    </row>
    <row r="234" spans="1:5" x14ac:dyDescent="0.25">
      <c r="A234" s="25"/>
      <c r="B234" s="26"/>
      <c r="C234" s="26"/>
      <c r="E234" t="str">
        <f t="shared" si="3"/>
        <v/>
      </c>
    </row>
    <row r="235" spans="1:5" x14ac:dyDescent="0.25">
      <c r="A235" s="25"/>
      <c r="B235" s="26"/>
      <c r="C235" s="26"/>
      <c r="E235" t="str">
        <f t="shared" si="3"/>
        <v/>
      </c>
    </row>
    <row r="236" spans="1:5" x14ac:dyDescent="0.25">
      <c r="A236" s="25"/>
      <c r="B236" s="26"/>
      <c r="C236" s="26"/>
      <c r="E236" t="str">
        <f t="shared" si="3"/>
        <v/>
      </c>
    </row>
    <row r="237" spans="1:5" x14ac:dyDescent="0.25">
      <c r="A237" s="25"/>
      <c r="B237" s="26"/>
      <c r="C237" s="26"/>
      <c r="E237" t="str">
        <f t="shared" si="3"/>
        <v/>
      </c>
    </row>
    <row r="238" spans="1:5" x14ac:dyDescent="0.25">
      <c r="A238" s="25"/>
      <c r="B238" s="26"/>
      <c r="C238" s="26"/>
      <c r="E238" t="str">
        <f t="shared" si="3"/>
        <v/>
      </c>
    </row>
    <row r="239" spans="1:5" x14ac:dyDescent="0.25">
      <c r="A239" s="25"/>
      <c r="B239" s="26"/>
      <c r="C239" s="26"/>
      <c r="E239" t="str">
        <f t="shared" si="3"/>
        <v/>
      </c>
    </row>
    <row r="240" spans="1:5" x14ac:dyDescent="0.25">
      <c r="A240" s="25"/>
      <c r="B240" s="26"/>
      <c r="C240" s="26"/>
      <c r="E240" t="str">
        <f t="shared" si="3"/>
        <v/>
      </c>
    </row>
    <row r="241" spans="1:5" x14ac:dyDescent="0.25">
      <c r="A241" s="25"/>
      <c r="B241" s="26"/>
      <c r="C241" s="26"/>
      <c r="E241" t="str">
        <f t="shared" si="3"/>
        <v/>
      </c>
    </row>
    <row r="242" spans="1:5" x14ac:dyDescent="0.25">
      <c r="A242" s="25"/>
      <c r="B242" s="26"/>
      <c r="C242" s="26"/>
      <c r="E242" t="str">
        <f t="shared" si="3"/>
        <v/>
      </c>
    </row>
    <row r="243" spans="1:5" x14ac:dyDescent="0.25">
      <c r="A243" s="25"/>
      <c r="B243" s="26"/>
      <c r="C243" s="26"/>
      <c r="E243" t="str">
        <f t="shared" si="3"/>
        <v/>
      </c>
    </row>
    <row r="244" spans="1:5" x14ac:dyDescent="0.25">
      <c r="A244" s="25"/>
      <c r="B244" s="26"/>
      <c r="C244" s="26"/>
      <c r="E244" t="str">
        <f t="shared" si="3"/>
        <v/>
      </c>
    </row>
    <row r="245" spans="1:5" x14ac:dyDescent="0.25">
      <c r="A245" s="25"/>
      <c r="B245" s="26"/>
      <c r="C245" s="26"/>
      <c r="E245" t="str">
        <f t="shared" si="3"/>
        <v/>
      </c>
    </row>
    <row r="246" spans="1:5" x14ac:dyDescent="0.25">
      <c r="A246" s="25"/>
      <c r="B246" s="26"/>
      <c r="C246" s="26"/>
      <c r="E246" t="str">
        <f t="shared" si="3"/>
        <v/>
      </c>
    </row>
    <row r="247" spans="1:5" x14ac:dyDescent="0.25">
      <c r="A247" s="25"/>
      <c r="B247" s="26"/>
      <c r="C247" s="26"/>
      <c r="E247" t="str">
        <f t="shared" si="3"/>
        <v/>
      </c>
    </row>
    <row r="248" spans="1:5" x14ac:dyDescent="0.25">
      <c r="A248" s="25"/>
      <c r="B248" s="26"/>
      <c r="C248" s="26"/>
      <c r="E248" t="str">
        <f t="shared" si="3"/>
        <v/>
      </c>
    </row>
    <row r="249" spans="1:5" x14ac:dyDescent="0.25">
      <c r="A249" s="25"/>
      <c r="B249" s="26"/>
      <c r="C249" s="26"/>
      <c r="E249" t="str">
        <f t="shared" si="3"/>
        <v/>
      </c>
    </row>
    <row r="250" spans="1:5" x14ac:dyDescent="0.25">
      <c r="A250" s="25"/>
      <c r="B250" s="26"/>
      <c r="C250" s="26"/>
      <c r="E250" t="str">
        <f t="shared" si="3"/>
        <v/>
      </c>
    </row>
    <row r="251" spans="1:5" x14ac:dyDescent="0.25">
      <c r="A251" s="25"/>
      <c r="B251" s="26"/>
      <c r="C251" s="26"/>
      <c r="E251" t="str">
        <f t="shared" si="3"/>
        <v/>
      </c>
    </row>
    <row r="252" spans="1:5" x14ac:dyDescent="0.25">
      <c r="A252" s="25"/>
      <c r="B252" s="26"/>
      <c r="C252" s="26"/>
      <c r="E252" t="str">
        <f t="shared" si="3"/>
        <v/>
      </c>
    </row>
    <row r="253" spans="1:5" x14ac:dyDescent="0.25">
      <c r="A253" s="25"/>
      <c r="B253" s="26"/>
      <c r="C253" s="26"/>
      <c r="E253" t="str">
        <f t="shared" si="3"/>
        <v/>
      </c>
    </row>
    <row r="254" spans="1:5" x14ac:dyDescent="0.25">
      <c r="A254" s="25"/>
      <c r="B254" s="26"/>
      <c r="C254" s="26"/>
      <c r="E254" t="str">
        <f t="shared" si="3"/>
        <v/>
      </c>
    </row>
    <row r="255" spans="1:5" x14ac:dyDescent="0.25">
      <c r="A255" s="25"/>
      <c r="B255" s="26"/>
      <c r="C255" s="26"/>
      <c r="E255" t="str">
        <f t="shared" si="3"/>
        <v/>
      </c>
    </row>
    <row r="256" spans="1:5" x14ac:dyDescent="0.25">
      <c r="A256" s="25"/>
      <c r="B256" s="26"/>
      <c r="C256" s="26"/>
      <c r="E256" t="str">
        <f t="shared" si="3"/>
        <v/>
      </c>
    </row>
    <row r="257" spans="1:5" x14ac:dyDescent="0.25">
      <c r="A257" s="25"/>
      <c r="B257" s="26"/>
      <c r="C257" s="26"/>
      <c r="E257" t="str">
        <f t="shared" si="3"/>
        <v/>
      </c>
    </row>
    <row r="258" spans="1:5" x14ac:dyDescent="0.25">
      <c r="A258" s="25"/>
      <c r="B258" s="26"/>
      <c r="C258" s="26"/>
      <c r="E258" t="str">
        <f t="shared" si="3"/>
        <v/>
      </c>
    </row>
    <row r="259" spans="1:5" x14ac:dyDescent="0.25">
      <c r="A259" s="25"/>
      <c r="B259" s="26"/>
      <c r="C259" s="26"/>
      <c r="E259" t="str">
        <f t="shared" si="3"/>
        <v/>
      </c>
    </row>
    <row r="260" spans="1:5" x14ac:dyDescent="0.25">
      <c r="A260" s="25"/>
      <c r="B260" s="26"/>
      <c r="C260" s="26"/>
      <c r="E260" t="str">
        <f t="shared" ref="E260:E323" si="4">IF(A260="","",IF(C260="","FALTA TC","OK"))</f>
        <v/>
      </c>
    </row>
    <row r="261" spans="1:5" x14ac:dyDescent="0.25">
      <c r="A261" s="25"/>
      <c r="B261" s="26"/>
      <c r="C261" s="26"/>
      <c r="E261" t="str">
        <f t="shared" si="4"/>
        <v/>
      </c>
    </row>
    <row r="262" spans="1:5" x14ac:dyDescent="0.25">
      <c r="A262" s="25"/>
      <c r="B262" s="26"/>
      <c r="C262" s="26"/>
      <c r="E262" t="str">
        <f t="shared" si="4"/>
        <v/>
      </c>
    </row>
    <row r="263" spans="1:5" x14ac:dyDescent="0.25">
      <c r="A263" s="25"/>
      <c r="B263" s="26"/>
      <c r="C263" s="26"/>
      <c r="E263" t="str">
        <f t="shared" si="4"/>
        <v/>
      </c>
    </row>
    <row r="264" spans="1:5" x14ac:dyDescent="0.25">
      <c r="A264" s="25"/>
      <c r="B264" s="26"/>
      <c r="C264" s="26"/>
      <c r="E264" t="str">
        <f t="shared" si="4"/>
        <v/>
      </c>
    </row>
    <row r="265" spans="1:5" x14ac:dyDescent="0.25">
      <c r="A265" s="25"/>
      <c r="B265" s="26"/>
      <c r="C265" s="26"/>
      <c r="E265" t="str">
        <f t="shared" si="4"/>
        <v/>
      </c>
    </row>
    <row r="266" spans="1:5" x14ac:dyDescent="0.25">
      <c r="A266" s="25"/>
      <c r="B266" s="26"/>
      <c r="C266" s="26"/>
      <c r="E266" t="str">
        <f t="shared" si="4"/>
        <v/>
      </c>
    </row>
    <row r="267" spans="1:5" x14ac:dyDescent="0.25">
      <c r="A267" s="25"/>
      <c r="B267" s="26"/>
      <c r="C267" s="26"/>
      <c r="E267" t="str">
        <f t="shared" si="4"/>
        <v/>
      </c>
    </row>
    <row r="268" spans="1:5" x14ac:dyDescent="0.25">
      <c r="A268" s="25"/>
      <c r="B268" s="26"/>
      <c r="C268" s="26"/>
      <c r="E268" t="str">
        <f t="shared" si="4"/>
        <v/>
      </c>
    </row>
    <row r="269" spans="1:5" x14ac:dyDescent="0.25">
      <c r="A269" s="25"/>
      <c r="B269" s="26"/>
      <c r="C269" s="26"/>
      <c r="E269" t="str">
        <f t="shared" si="4"/>
        <v/>
      </c>
    </row>
    <row r="270" spans="1:5" x14ac:dyDescent="0.25">
      <c r="A270" s="25"/>
      <c r="B270" s="26"/>
      <c r="C270" s="26"/>
      <c r="E270" t="str">
        <f t="shared" si="4"/>
        <v/>
      </c>
    </row>
    <row r="271" spans="1:5" x14ac:dyDescent="0.25">
      <c r="A271" s="25"/>
      <c r="B271" s="26"/>
      <c r="C271" s="26"/>
      <c r="E271" t="str">
        <f t="shared" si="4"/>
        <v/>
      </c>
    </row>
    <row r="272" spans="1:5" x14ac:dyDescent="0.25">
      <c r="A272" s="25"/>
      <c r="B272" s="26"/>
      <c r="C272" s="26"/>
      <c r="E272" t="str">
        <f t="shared" si="4"/>
        <v/>
      </c>
    </row>
    <row r="273" spans="1:5" x14ac:dyDescent="0.25">
      <c r="A273" s="25"/>
      <c r="B273" s="26"/>
      <c r="C273" s="26"/>
      <c r="E273" t="str">
        <f t="shared" si="4"/>
        <v/>
      </c>
    </row>
    <row r="274" spans="1:5" x14ac:dyDescent="0.25">
      <c r="A274" s="25"/>
      <c r="B274" s="26"/>
      <c r="C274" s="26"/>
      <c r="E274" t="str">
        <f t="shared" si="4"/>
        <v/>
      </c>
    </row>
    <row r="275" spans="1:5" x14ac:dyDescent="0.25">
      <c r="A275" s="25"/>
      <c r="B275" s="26"/>
      <c r="C275" s="26"/>
      <c r="E275" t="str">
        <f t="shared" si="4"/>
        <v/>
      </c>
    </row>
    <row r="276" spans="1:5" x14ac:dyDescent="0.25">
      <c r="A276" s="25"/>
      <c r="B276" s="26"/>
      <c r="C276" s="26"/>
      <c r="E276" t="str">
        <f t="shared" si="4"/>
        <v/>
      </c>
    </row>
    <row r="277" spans="1:5" x14ac:dyDescent="0.25">
      <c r="A277" s="25"/>
      <c r="B277" s="26"/>
      <c r="C277" s="26"/>
      <c r="E277" t="str">
        <f t="shared" si="4"/>
        <v/>
      </c>
    </row>
    <row r="278" spans="1:5" x14ac:dyDescent="0.25">
      <c r="A278" s="25"/>
      <c r="B278" s="26"/>
      <c r="C278" s="26"/>
      <c r="E278" t="str">
        <f t="shared" si="4"/>
        <v/>
      </c>
    </row>
    <row r="279" spans="1:5" x14ac:dyDescent="0.25">
      <c r="A279" s="25"/>
      <c r="B279" s="26"/>
      <c r="C279" s="26"/>
      <c r="E279" t="str">
        <f t="shared" si="4"/>
        <v/>
      </c>
    </row>
    <row r="280" spans="1:5" x14ac:dyDescent="0.25">
      <c r="A280" s="25"/>
      <c r="B280" s="26"/>
      <c r="C280" s="26"/>
      <c r="E280" t="str">
        <f t="shared" si="4"/>
        <v/>
      </c>
    </row>
    <row r="281" spans="1:5" x14ac:dyDescent="0.25">
      <c r="A281" s="25"/>
      <c r="B281" s="26"/>
      <c r="C281" s="26"/>
      <c r="E281" t="str">
        <f t="shared" si="4"/>
        <v/>
      </c>
    </row>
    <row r="282" spans="1:5" x14ac:dyDescent="0.25">
      <c r="A282" s="25"/>
      <c r="B282" s="26"/>
      <c r="C282" s="26"/>
      <c r="E282" t="str">
        <f t="shared" si="4"/>
        <v/>
      </c>
    </row>
    <row r="283" spans="1:5" x14ac:dyDescent="0.25">
      <c r="A283" s="25"/>
      <c r="B283" s="26"/>
      <c r="C283" s="26"/>
      <c r="E283" t="str">
        <f t="shared" si="4"/>
        <v/>
      </c>
    </row>
    <row r="284" spans="1:5" x14ac:dyDescent="0.25">
      <c r="A284" s="25"/>
      <c r="B284" s="26"/>
      <c r="C284" s="26"/>
      <c r="E284" t="str">
        <f t="shared" si="4"/>
        <v/>
      </c>
    </row>
    <row r="285" spans="1:5" x14ac:dyDescent="0.25">
      <c r="A285" s="25"/>
      <c r="B285" s="26"/>
      <c r="C285" s="26"/>
      <c r="E285" t="str">
        <f t="shared" si="4"/>
        <v/>
      </c>
    </row>
    <row r="286" spans="1:5" x14ac:dyDescent="0.25">
      <c r="A286" s="25"/>
      <c r="B286" s="26"/>
      <c r="C286" s="26"/>
      <c r="E286" t="str">
        <f t="shared" si="4"/>
        <v/>
      </c>
    </row>
    <row r="287" spans="1:5" x14ac:dyDescent="0.25">
      <c r="A287" s="25"/>
      <c r="B287" s="26"/>
      <c r="C287" s="26"/>
      <c r="E287" t="str">
        <f t="shared" si="4"/>
        <v/>
      </c>
    </row>
    <row r="288" spans="1:5" x14ac:dyDescent="0.25">
      <c r="A288" s="25"/>
      <c r="B288" s="26"/>
      <c r="C288" s="26"/>
      <c r="E288" t="str">
        <f t="shared" si="4"/>
        <v/>
      </c>
    </row>
    <row r="289" spans="1:5" x14ac:dyDescent="0.25">
      <c r="A289" s="25"/>
      <c r="B289" s="26"/>
      <c r="C289" s="26"/>
      <c r="E289" t="str">
        <f t="shared" si="4"/>
        <v/>
      </c>
    </row>
    <row r="290" spans="1:5" x14ac:dyDescent="0.25">
      <c r="A290" s="25"/>
      <c r="B290" s="26"/>
      <c r="C290" s="26"/>
      <c r="E290" t="str">
        <f t="shared" si="4"/>
        <v/>
      </c>
    </row>
    <row r="291" spans="1:5" x14ac:dyDescent="0.25">
      <c r="A291" s="25"/>
      <c r="B291" s="26"/>
      <c r="C291" s="26"/>
      <c r="E291" t="str">
        <f t="shared" si="4"/>
        <v/>
      </c>
    </row>
    <row r="292" spans="1:5" x14ac:dyDescent="0.25">
      <c r="A292" s="25"/>
      <c r="B292" s="26"/>
      <c r="C292" s="26"/>
      <c r="E292" t="str">
        <f t="shared" si="4"/>
        <v/>
      </c>
    </row>
    <row r="293" spans="1:5" x14ac:dyDescent="0.25">
      <c r="A293" s="25"/>
      <c r="B293" s="26"/>
      <c r="C293" s="26"/>
      <c r="E293" t="str">
        <f t="shared" si="4"/>
        <v/>
      </c>
    </row>
    <row r="294" spans="1:5" x14ac:dyDescent="0.25">
      <c r="A294" s="25"/>
      <c r="B294" s="26"/>
      <c r="C294" s="26"/>
      <c r="E294" t="str">
        <f t="shared" si="4"/>
        <v/>
      </c>
    </row>
    <row r="295" spans="1:5" x14ac:dyDescent="0.25">
      <c r="A295" s="25"/>
      <c r="B295" s="26"/>
      <c r="C295" s="26"/>
      <c r="E295" t="str">
        <f t="shared" si="4"/>
        <v/>
      </c>
    </row>
    <row r="296" spans="1:5" x14ac:dyDescent="0.25">
      <c r="A296" s="25"/>
      <c r="B296" s="26"/>
      <c r="C296" s="26"/>
      <c r="E296" t="str">
        <f t="shared" si="4"/>
        <v/>
      </c>
    </row>
    <row r="297" spans="1:5" x14ac:dyDescent="0.25">
      <c r="A297" s="25"/>
      <c r="B297" s="26"/>
      <c r="C297" s="26"/>
      <c r="E297" t="str">
        <f t="shared" si="4"/>
        <v/>
      </c>
    </row>
    <row r="298" spans="1:5" x14ac:dyDescent="0.25">
      <c r="A298" s="25"/>
      <c r="B298" s="26"/>
      <c r="C298" s="26"/>
      <c r="E298" t="str">
        <f t="shared" si="4"/>
        <v/>
      </c>
    </row>
    <row r="299" spans="1:5" x14ac:dyDescent="0.25">
      <c r="A299" s="25"/>
      <c r="B299" s="26"/>
      <c r="C299" s="26"/>
      <c r="E299" t="str">
        <f t="shared" si="4"/>
        <v/>
      </c>
    </row>
    <row r="300" spans="1:5" x14ac:dyDescent="0.25">
      <c r="A300" s="25"/>
      <c r="B300" s="26"/>
      <c r="C300" s="26"/>
      <c r="E300" t="str">
        <f t="shared" si="4"/>
        <v/>
      </c>
    </row>
    <row r="301" spans="1:5" x14ac:dyDescent="0.25">
      <c r="A301" s="25"/>
      <c r="B301" s="26"/>
      <c r="C301" s="26"/>
      <c r="E301" t="str">
        <f t="shared" si="4"/>
        <v/>
      </c>
    </row>
    <row r="302" spans="1:5" x14ac:dyDescent="0.25">
      <c r="A302" s="25"/>
      <c r="B302" s="26"/>
      <c r="C302" s="26"/>
      <c r="E302" t="str">
        <f t="shared" si="4"/>
        <v/>
      </c>
    </row>
    <row r="303" spans="1:5" x14ac:dyDescent="0.25">
      <c r="A303" s="25"/>
      <c r="B303" s="26"/>
      <c r="C303" s="26"/>
      <c r="E303" t="str">
        <f t="shared" si="4"/>
        <v/>
      </c>
    </row>
    <row r="304" spans="1:5" x14ac:dyDescent="0.25">
      <c r="A304" s="25"/>
      <c r="B304" s="26"/>
      <c r="C304" s="26"/>
      <c r="E304" t="str">
        <f t="shared" si="4"/>
        <v/>
      </c>
    </row>
    <row r="305" spans="1:5" x14ac:dyDescent="0.25">
      <c r="A305" s="25"/>
      <c r="B305" s="26"/>
      <c r="C305" s="26"/>
      <c r="E305" t="str">
        <f t="shared" si="4"/>
        <v/>
      </c>
    </row>
    <row r="306" spans="1:5" x14ac:dyDescent="0.25">
      <c r="A306" s="25"/>
      <c r="B306" s="26"/>
      <c r="C306" s="26"/>
      <c r="E306" t="str">
        <f t="shared" si="4"/>
        <v/>
      </c>
    </row>
    <row r="307" spans="1:5" x14ac:dyDescent="0.25">
      <c r="A307" s="25"/>
      <c r="B307" s="26"/>
      <c r="C307" s="26"/>
      <c r="E307" t="str">
        <f t="shared" si="4"/>
        <v/>
      </c>
    </row>
    <row r="308" spans="1:5" x14ac:dyDescent="0.25">
      <c r="A308" s="25"/>
      <c r="B308" s="26"/>
      <c r="C308" s="26"/>
      <c r="E308" t="str">
        <f t="shared" si="4"/>
        <v/>
      </c>
    </row>
    <row r="309" spans="1:5" x14ac:dyDescent="0.25">
      <c r="A309" s="25"/>
      <c r="B309" s="26"/>
      <c r="C309" s="26"/>
      <c r="E309" t="str">
        <f t="shared" si="4"/>
        <v/>
      </c>
    </row>
    <row r="310" spans="1:5" x14ac:dyDescent="0.25">
      <c r="A310" s="25"/>
      <c r="B310" s="26"/>
      <c r="C310" s="26"/>
      <c r="E310" t="str">
        <f t="shared" si="4"/>
        <v/>
      </c>
    </row>
    <row r="311" spans="1:5" x14ac:dyDescent="0.25">
      <c r="A311" s="25"/>
      <c r="B311" s="26"/>
      <c r="C311" s="26"/>
      <c r="E311" t="str">
        <f t="shared" si="4"/>
        <v/>
      </c>
    </row>
    <row r="312" spans="1:5" x14ac:dyDescent="0.25">
      <c r="A312" s="25"/>
      <c r="B312" s="26"/>
      <c r="C312" s="26"/>
      <c r="E312" t="str">
        <f t="shared" si="4"/>
        <v/>
      </c>
    </row>
    <row r="313" spans="1:5" x14ac:dyDescent="0.25">
      <c r="A313" s="25"/>
      <c r="B313" s="26"/>
      <c r="C313" s="26"/>
      <c r="E313" t="str">
        <f t="shared" si="4"/>
        <v/>
      </c>
    </row>
    <row r="314" spans="1:5" x14ac:dyDescent="0.25">
      <c r="A314" s="25"/>
      <c r="B314" s="26"/>
      <c r="C314" s="26"/>
      <c r="E314" t="str">
        <f t="shared" si="4"/>
        <v/>
      </c>
    </row>
    <row r="315" spans="1:5" x14ac:dyDescent="0.25">
      <c r="A315" s="25"/>
      <c r="B315" s="26"/>
      <c r="C315" s="26"/>
      <c r="E315" t="str">
        <f t="shared" si="4"/>
        <v/>
      </c>
    </row>
    <row r="316" spans="1:5" x14ac:dyDescent="0.25">
      <c r="A316" s="25"/>
      <c r="B316" s="26"/>
      <c r="C316" s="26"/>
      <c r="E316" t="str">
        <f t="shared" si="4"/>
        <v/>
      </c>
    </row>
    <row r="317" spans="1:5" x14ac:dyDescent="0.25">
      <c r="A317" s="25"/>
      <c r="B317" s="26"/>
      <c r="C317" s="26"/>
      <c r="E317" t="str">
        <f t="shared" si="4"/>
        <v/>
      </c>
    </row>
    <row r="318" spans="1:5" x14ac:dyDescent="0.25">
      <c r="A318" s="25"/>
      <c r="B318" s="26"/>
      <c r="C318" s="26"/>
      <c r="E318" t="str">
        <f t="shared" si="4"/>
        <v/>
      </c>
    </row>
    <row r="319" spans="1:5" x14ac:dyDescent="0.25">
      <c r="A319" s="25"/>
      <c r="B319" s="26"/>
      <c r="C319" s="26"/>
      <c r="E319" t="str">
        <f t="shared" si="4"/>
        <v/>
      </c>
    </row>
    <row r="320" spans="1:5" x14ac:dyDescent="0.25">
      <c r="A320" s="25"/>
      <c r="B320" s="26"/>
      <c r="C320" s="26"/>
      <c r="E320" t="str">
        <f t="shared" si="4"/>
        <v/>
      </c>
    </row>
    <row r="321" spans="1:5" x14ac:dyDescent="0.25">
      <c r="A321" s="25"/>
      <c r="B321" s="26"/>
      <c r="C321" s="26"/>
      <c r="E321" t="str">
        <f t="shared" si="4"/>
        <v/>
      </c>
    </row>
    <row r="322" spans="1:5" x14ac:dyDescent="0.25">
      <c r="A322" s="25"/>
      <c r="B322" s="26"/>
      <c r="C322" s="26"/>
      <c r="E322" t="str">
        <f t="shared" si="4"/>
        <v/>
      </c>
    </row>
    <row r="323" spans="1:5" x14ac:dyDescent="0.25">
      <c r="A323" s="25"/>
      <c r="B323" s="26"/>
      <c r="C323" s="26"/>
      <c r="E323" t="str">
        <f t="shared" si="4"/>
        <v/>
      </c>
    </row>
    <row r="324" spans="1:5" x14ac:dyDescent="0.25">
      <c r="A324" s="25"/>
      <c r="B324" s="26"/>
      <c r="C324" s="26"/>
      <c r="E324" t="str">
        <f t="shared" ref="E324:E387" si="5">IF(A324="","",IF(C324="","FALTA TC","OK"))</f>
        <v/>
      </c>
    </row>
    <row r="325" spans="1:5" x14ac:dyDescent="0.25">
      <c r="A325" s="25"/>
      <c r="B325" s="26"/>
      <c r="C325" s="26"/>
      <c r="E325" t="str">
        <f t="shared" si="5"/>
        <v/>
      </c>
    </row>
    <row r="326" spans="1:5" x14ac:dyDescent="0.25">
      <c r="A326" s="25"/>
      <c r="B326" s="26"/>
      <c r="C326" s="26"/>
      <c r="E326" t="str">
        <f t="shared" si="5"/>
        <v/>
      </c>
    </row>
    <row r="327" spans="1:5" x14ac:dyDescent="0.25">
      <c r="A327" s="25"/>
      <c r="B327" s="26"/>
      <c r="C327" s="26"/>
      <c r="E327" t="str">
        <f t="shared" si="5"/>
        <v/>
      </c>
    </row>
    <row r="328" spans="1:5" x14ac:dyDescent="0.25">
      <c r="A328" s="25"/>
      <c r="B328" s="26"/>
      <c r="C328" s="26"/>
      <c r="E328" t="str">
        <f t="shared" si="5"/>
        <v/>
      </c>
    </row>
    <row r="329" spans="1:5" x14ac:dyDescent="0.25">
      <c r="A329" s="25"/>
      <c r="B329" s="26"/>
      <c r="C329" s="26"/>
      <c r="E329" t="str">
        <f t="shared" si="5"/>
        <v/>
      </c>
    </row>
    <row r="330" spans="1:5" x14ac:dyDescent="0.25">
      <c r="A330" s="25"/>
      <c r="B330" s="26"/>
      <c r="C330" s="26"/>
      <c r="E330" t="str">
        <f t="shared" si="5"/>
        <v/>
      </c>
    </row>
    <row r="331" spans="1:5" x14ac:dyDescent="0.25">
      <c r="A331" s="25"/>
      <c r="B331" s="26"/>
      <c r="C331" s="26"/>
      <c r="E331" t="str">
        <f t="shared" si="5"/>
        <v/>
      </c>
    </row>
    <row r="332" spans="1:5" x14ac:dyDescent="0.25">
      <c r="A332" s="25"/>
      <c r="B332" s="26"/>
      <c r="C332" s="26"/>
      <c r="E332" t="str">
        <f t="shared" si="5"/>
        <v/>
      </c>
    </row>
    <row r="333" spans="1:5" x14ac:dyDescent="0.25">
      <c r="A333" s="25"/>
      <c r="B333" s="26"/>
      <c r="C333" s="26"/>
      <c r="E333" t="str">
        <f t="shared" si="5"/>
        <v/>
      </c>
    </row>
    <row r="334" spans="1:5" x14ac:dyDescent="0.25">
      <c r="A334" s="25"/>
      <c r="B334" s="26"/>
      <c r="C334" s="26"/>
      <c r="E334" t="str">
        <f t="shared" si="5"/>
        <v/>
      </c>
    </row>
    <row r="335" spans="1:5" x14ac:dyDescent="0.25">
      <c r="A335" s="25"/>
      <c r="B335" s="26"/>
      <c r="C335" s="26"/>
      <c r="E335" t="str">
        <f t="shared" si="5"/>
        <v/>
      </c>
    </row>
    <row r="336" spans="1:5" x14ac:dyDescent="0.25">
      <c r="A336" s="25"/>
      <c r="B336" s="26"/>
      <c r="C336" s="26"/>
      <c r="E336" t="str">
        <f t="shared" si="5"/>
        <v/>
      </c>
    </row>
    <row r="337" spans="1:5" x14ac:dyDescent="0.25">
      <c r="A337" s="25"/>
      <c r="B337" s="26"/>
      <c r="C337" s="26"/>
      <c r="E337" t="str">
        <f t="shared" si="5"/>
        <v/>
      </c>
    </row>
    <row r="338" spans="1:5" x14ac:dyDescent="0.25">
      <c r="A338" s="25"/>
      <c r="B338" s="26"/>
      <c r="C338" s="26"/>
      <c r="E338" t="str">
        <f t="shared" si="5"/>
        <v/>
      </c>
    </row>
    <row r="339" spans="1:5" x14ac:dyDescent="0.25">
      <c r="A339" s="25"/>
      <c r="B339" s="26"/>
      <c r="C339" s="26"/>
      <c r="E339" t="str">
        <f t="shared" si="5"/>
        <v/>
      </c>
    </row>
    <row r="340" spans="1:5" x14ac:dyDescent="0.25">
      <c r="A340" s="25"/>
      <c r="B340" s="26"/>
      <c r="C340" s="26"/>
      <c r="E340" t="str">
        <f t="shared" si="5"/>
        <v/>
      </c>
    </row>
    <row r="341" spans="1:5" x14ac:dyDescent="0.25">
      <c r="A341" s="25"/>
      <c r="B341" s="26"/>
      <c r="C341" s="26"/>
      <c r="E341" t="str">
        <f t="shared" si="5"/>
        <v/>
      </c>
    </row>
    <row r="342" spans="1:5" x14ac:dyDescent="0.25">
      <c r="A342" s="25"/>
      <c r="B342" s="26"/>
      <c r="C342" s="26"/>
      <c r="E342" t="str">
        <f t="shared" si="5"/>
        <v/>
      </c>
    </row>
    <row r="343" spans="1:5" x14ac:dyDescent="0.25">
      <c r="A343" s="25"/>
      <c r="B343" s="26"/>
      <c r="C343" s="26"/>
      <c r="E343" t="str">
        <f t="shared" si="5"/>
        <v/>
      </c>
    </row>
    <row r="344" spans="1:5" x14ac:dyDescent="0.25">
      <c r="A344" s="25"/>
      <c r="B344" s="26"/>
      <c r="C344" s="26"/>
      <c r="E344" t="str">
        <f t="shared" si="5"/>
        <v/>
      </c>
    </row>
    <row r="345" spans="1:5" x14ac:dyDescent="0.25">
      <c r="A345" s="25"/>
      <c r="B345" s="26"/>
      <c r="C345" s="26"/>
      <c r="E345" t="str">
        <f t="shared" si="5"/>
        <v/>
      </c>
    </row>
    <row r="346" spans="1:5" x14ac:dyDescent="0.25">
      <c r="A346" s="25"/>
      <c r="B346" s="26"/>
      <c r="C346" s="26"/>
      <c r="E346" t="str">
        <f t="shared" si="5"/>
        <v/>
      </c>
    </row>
    <row r="347" spans="1:5" x14ac:dyDescent="0.25">
      <c r="A347" s="25"/>
      <c r="B347" s="26"/>
      <c r="C347" s="26"/>
      <c r="E347" t="str">
        <f t="shared" si="5"/>
        <v/>
      </c>
    </row>
    <row r="348" spans="1:5" x14ac:dyDescent="0.25">
      <c r="A348" s="25"/>
      <c r="B348" s="26"/>
      <c r="C348" s="26"/>
      <c r="E348" t="str">
        <f t="shared" si="5"/>
        <v/>
      </c>
    </row>
    <row r="349" spans="1:5" x14ac:dyDescent="0.25">
      <c r="A349" s="25"/>
      <c r="B349" s="26"/>
      <c r="C349" s="26"/>
      <c r="E349" t="str">
        <f t="shared" si="5"/>
        <v/>
      </c>
    </row>
    <row r="350" spans="1:5" x14ac:dyDescent="0.25">
      <c r="A350" s="25"/>
      <c r="B350" s="26"/>
      <c r="C350" s="26"/>
      <c r="E350" t="str">
        <f t="shared" si="5"/>
        <v/>
      </c>
    </row>
    <row r="351" spans="1:5" x14ac:dyDescent="0.25">
      <c r="A351" s="25"/>
      <c r="B351" s="26"/>
      <c r="C351" s="26"/>
      <c r="E351" t="str">
        <f t="shared" si="5"/>
        <v/>
      </c>
    </row>
    <row r="352" spans="1:5" x14ac:dyDescent="0.25">
      <c r="A352" s="25"/>
      <c r="B352" s="26"/>
      <c r="C352" s="26"/>
      <c r="E352" t="str">
        <f t="shared" si="5"/>
        <v/>
      </c>
    </row>
    <row r="353" spans="1:5" x14ac:dyDescent="0.25">
      <c r="A353" s="25"/>
      <c r="B353" s="26"/>
      <c r="C353" s="26"/>
      <c r="E353" t="str">
        <f t="shared" si="5"/>
        <v/>
      </c>
    </row>
    <row r="354" spans="1:5" x14ac:dyDescent="0.25">
      <c r="A354" s="25"/>
      <c r="B354" s="26"/>
      <c r="C354" s="26"/>
      <c r="E354" t="str">
        <f t="shared" si="5"/>
        <v/>
      </c>
    </row>
    <row r="355" spans="1:5" x14ac:dyDescent="0.25">
      <c r="A355" s="25"/>
      <c r="B355" s="26"/>
      <c r="C355" s="26"/>
      <c r="E355" t="str">
        <f t="shared" si="5"/>
        <v/>
      </c>
    </row>
    <row r="356" spans="1:5" x14ac:dyDescent="0.25">
      <c r="A356" s="25"/>
      <c r="B356" s="26"/>
      <c r="C356" s="26"/>
      <c r="E356" t="str">
        <f t="shared" si="5"/>
        <v/>
      </c>
    </row>
    <row r="357" spans="1:5" x14ac:dyDescent="0.25">
      <c r="A357" s="25"/>
      <c r="B357" s="26"/>
      <c r="C357" s="26"/>
      <c r="E357" t="str">
        <f t="shared" si="5"/>
        <v/>
      </c>
    </row>
    <row r="358" spans="1:5" x14ac:dyDescent="0.25">
      <c r="A358" s="25"/>
      <c r="B358" s="26"/>
      <c r="C358" s="26"/>
      <c r="E358" t="str">
        <f t="shared" si="5"/>
        <v/>
      </c>
    </row>
    <row r="359" spans="1:5" x14ac:dyDescent="0.25">
      <c r="A359" s="25"/>
      <c r="B359" s="26"/>
      <c r="C359" s="26"/>
      <c r="E359" t="str">
        <f t="shared" si="5"/>
        <v/>
      </c>
    </row>
    <row r="360" spans="1:5" x14ac:dyDescent="0.25">
      <c r="A360" s="25"/>
      <c r="B360" s="26"/>
      <c r="C360" s="26"/>
      <c r="E360" t="str">
        <f t="shared" si="5"/>
        <v/>
      </c>
    </row>
    <row r="361" spans="1:5" x14ac:dyDescent="0.25">
      <c r="A361" s="25"/>
      <c r="B361" s="26"/>
      <c r="C361" s="26"/>
      <c r="E361" t="str">
        <f t="shared" si="5"/>
        <v/>
      </c>
    </row>
    <row r="362" spans="1:5" x14ac:dyDescent="0.25">
      <c r="A362" s="25"/>
      <c r="B362" s="26"/>
      <c r="C362" s="26"/>
      <c r="E362" t="str">
        <f t="shared" si="5"/>
        <v/>
      </c>
    </row>
    <row r="363" spans="1:5" x14ac:dyDescent="0.25">
      <c r="A363" s="25"/>
      <c r="B363" s="26"/>
      <c r="C363" s="26"/>
      <c r="E363" t="str">
        <f t="shared" si="5"/>
        <v/>
      </c>
    </row>
    <row r="364" spans="1:5" x14ac:dyDescent="0.25">
      <c r="A364" s="25"/>
      <c r="B364" s="26"/>
      <c r="C364" s="26"/>
      <c r="E364" t="str">
        <f t="shared" si="5"/>
        <v/>
      </c>
    </row>
    <row r="365" spans="1:5" x14ac:dyDescent="0.25">
      <c r="A365" s="25"/>
      <c r="B365" s="26"/>
      <c r="C365" s="26"/>
      <c r="E365" t="str">
        <f t="shared" si="5"/>
        <v/>
      </c>
    </row>
    <row r="366" spans="1:5" x14ac:dyDescent="0.25">
      <c r="A366" s="25"/>
      <c r="B366" s="26"/>
      <c r="C366" s="26"/>
      <c r="E366" t="str">
        <f t="shared" si="5"/>
        <v/>
      </c>
    </row>
    <row r="367" spans="1:5" x14ac:dyDescent="0.25">
      <c r="A367" s="25"/>
      <c r="B367" s="26"/>
      <c r="C367" s="26"/>
      <c r="E367" t="str">
        <f t="shared" si="5"/>
        <v/>
      </c>
    </row>
    <row r="368" spans="1:5" x14ac:dyDescent="0.25">
      <c r="A368" s="25"/>
      <c r="B368" s="26"/>
      <c r="C368" s="26"/>
      <c r="E368" t="str">
        <f t="shared" si="5"/>
        <v/>
      </c>
    </row>
    <row r="369" spans="1:5" x14ac:dyDescent="0.25">
      <c r="A369" s="25"/>
      <c r="B369" s="26"/>
      <c r="C369" s="26"/>
      <c r="E369" t="str">
        <f t="shared" si="5"/>
        <v/>
      </c>
    </row>
    <row r="370" spans="1:5" x14ac:dyDescent="0.25">
      <c r="A370" s="25"/>
      <c r="B370" s="26"/>
      <c r="C370" s="26"/>
      <c r="E370" t="str">
        <f t="shared" si="5"/>
        <v/>
      </c>
    </row>
    <row r="371" spans="1:5" x14ac:dyDescent="0.25">
      <c r="A371" s="25"/>
      <c r="B371" s="26"/>
      <c r="C371" s="26"/>
      <c r="E371" t="str">
        <f t="shared" si="5"/>
        <v/>
      </c>
    </row>
    <row r="372" spans="1:5" x14ac:dyDescent="0.25">
      <c r="A372" s="25"/>
      <c r="B372" s="26"/>
      <c r="C372" s="26"/>
      <c r="E372" t="str">
        <f t="shared" si="5"/>
        <v/>
      </c>
    </row>
    <row r="373" spans="1:5" x14ac:dyDescent="0.25">
      <c r="A373" s="25"/>
      <c r="B373" s="26"/>
      <c r="C373" s="26"/>
      <c r="E373" t="str">
        <f t="shared" si="5"/>
        <v/>
      </c>
    </row>
    <row r="374" spans="1:5" x14ac:dyDescent="0.25">
      <c r="A374" s="25"/>
      <c r="B374" s="26"/>
      <c r="C374" s="26"/>
      <c r="E374" t="str">
        <f t="shared" si="5"/>
        <v/>
      </c>
    </row>
    <row r="375" spans="1:5" x14ac:dyDescent="0.25">
      <c r="A375" s="25"/>
      <c r="B375" s="26"/>
      <c r="C375" s="26"/>
      <c r="E375" t="str">
        <f t="shared" si="5"/>
        <v/>
      </c>
    </row>
    <row r="376" spans="1:5" x14ac:dyDescent="0.25">
      <c r="A376" s="25"/>
      <c r="B376" s="26"/>
      <c r="C376" s="26"/>
      <c r="E376" t="str">
        <f t="shared" si="5"/>
        <v/>
      </c>
    </row>
    <row r="377" spans="1:5" x14ac:dyDescent="0.25">
      <c r="A377" s="25"/>
      <c r="B377" s="26"/>
      <c r="C377" s="26"/>
      <c r="E377" t="str">
        <f t="shared" si="5"/>
        <v/>
      </c>
    </row>
    <row r="378" spans="1:5" x14ac:dyDescent="0.25">
      <c r="A378" s="25"/>
      <c r="B378" s="26"/>
      <c r="C378" s="26"/>
      <c r="E378" t="str">
        <f t="shared" si="5"/>
        <v/>
      </c>
    </row>
    <row r="379" spans="1:5" x14ac:dyDescent="0.25">
      <c r="A379" s="25"/>
      <c r="B379" s="26"/>
      <c r="C379" s="26"/>
      <c r="E379" t="str">
        <f t="shared" si="5"/>
        <v/>
      </c>
    </row>
    <row r="380" spans="1:5" x14ac:dyDescent="0.25">
      <c r="A380" s="25"/>
      <c r="B380" s="26"/>
      <c r="C380" s="26"/>
      <c r="E380" t="str">
        <f t="shared" si="5"/>
        <v/>
      </c>
    </row>
    <row r="381" spans="1:5" x14ac:dyDescent="0.25">
      <c r="A381" s="25"/>
      <c r="B381" s="26"/>
      <c r="C381" s="26"/>
      <c r="E381" t="str">
        <f t="shared" si="5"/>
        <v/>
      </c>
    </row>
    <row r="382" spans="1:5" x14ac:dyDescent="0.25">
      <c r="A382" s="25"/>
      <c r="B382" s="26"/>
      <c r="C382" s="26"/>
      <c r="E382" t="str">
        <f t="shared" si="5"/>
        <v/>
      </c>
    </row>
    <row r="383" spans="1:5" x14ac:dyDescent="0.25">
      <c r="A383" s="25"/>
      <c r="B383" s="26"/>
      <c r="C383" s="26"/>
      <c r="E383" t="str">
        <f t="shared" si="5"/>
        <v/>
      </c>
    </row>
    <row r="384" spans="1:5" x14ac:dyDescent="0.25">
      <c r="A384" s="25"/>
      <c r="B384" s="26"/>
      <c r="C384" s="26"/>
      <c r="E384" t="str">
        <f t="shared" si="5"/>
        <v/>
      </c>
    </row>
    <row r="385" spans="1:5" x14ac:dyDescent="0.25">
      <c r="A385" s="25"/>
      <c r="B385" s="26"/>
      <c r="C385" s="26"/>
      <c r="E385" t="str">
        <f t="shared" si="5"/>
        <v/>
      </c>
    </row>
    <row r="386" spans="1:5" x14ac:dyDescent="0.25">
      <c r="A386" s="25"/>
      <c r="B386" s="26"/>
      <c r="C386" s="26"/>
      <c r="E386" t="str">
        <f t="shared" si="5"/>
        <v/>
      </c>
    </row>
    <row r="387" spans="1:5" x14ac:dyDescent="0.25">
      <c r="A387" s="25"/>
      <c r="B387" s="26"/>
      <c r="C387" s="26"/>
      <c r="E387" t="str">
        <f t="shared" si="5"/>
        <v/>
      </c>
    </row>
    <row r="388" spans="1:5" x14ac:dyDescent="0.25">
      <c r="A388" s="25"/>
      <c r="B388" s="26"/>
      <c r="C388" s="26"/>
      <c r="E388" t="str">
        <f t="shared" ref="E388:E451" si="6">IF(A388="","",IF(C388="","FALTA TC","OK"))</f>
        <v/>
      </c>
    </row>
    <row r="389" spans="1:5" x14ac:dyDescent="0.25">
      <c r="A389" s="25"/>
      <c r="B389" s="26"/>
      <c r="C389" s="26"/>
      <c r="E389" t="str">
        <f t="shared" si="6"/>
        <v/>
      </c>
    </row>
    <row r="390" spans="1:5" x14ac:dyDescent="0.25">
      <c r="A390" s="25"/>
      <c r="B390" s="26"/>
      <c r="C390" s="26"/>
      <c r="E390" t="str">
        <f t="shared" si="6"/>
        <v/>
      </c>
    </row>
    <row r="391" spans="1:5" x14ac:dyDescent="0.25">
      <c r="A391" s="25"/>
      <c r="B391" s="26"/>
      <c r="C391" s="26"/>
      <c r="E391" t="str">
        <f t="shared" si="6"/>
        <v/>
      </c>
    </row>
    <row r="392" spans="1:5" x14ac:dyDescent="0.25">
      <c r="A392" s="25"/>
      <c r="B392" s="26"/>
      <c r="C392" s="26"/>
      <c r="E392" t="str">
        <f t="shared" si="6"/>
        <v/>
      </c>
    </row>
    <row r="393" spans="1:5" x14ac:dyDescent="0.25">
      <c r="A393" s="25"/>
      <c r="B393" s="26"/>
      <c r="C393" s="26"/>
      <c r="E393" t="str">
        <f t="shared" si="6"/>
        <v/>
      </c>
    </row>
    <row r="394" spans="1:5" x14ac:dyDescent="0.25">
      <c r="A394" s="25"/>
      <c r="B394" s="26"/>
      <c r="C394" s="26"/>
      <c r="E394" t="str">
        <f t="shared" si="6"/>
        <v/>
      </c>
    </row>
    <row r="395" spans="1:5" x14ac:dyDescent="0.25">
      <c r="A395" s="25"/>
      <c r="B395" s="26"/>
      <c r="C395" s="26"/>
      <c r="E395" t="str">
        <f t="shared" si="6"/>
        <v/>
      </c>
    </row>
    <row r="396" spans="1:5" x14ac:dyDescent="0.25">
      <c r="A396" s="25"/>
      <c r="B396" s="26"/>
      <c r="C396" s="26"/>
      <c r="E396" t="str">
        <f t="shared" si="6"/>
        <v/>
      </c>
    </row>
    <row r="397" spans="1:5" x14ac:dyDescent="0.25">
      <c r="A397" s="25"/>
      <c r="B397" s="26"/>
      <c r="C397" s="26"/>
      <c r="E397" t="str">
        <f t="shared" si="6"/>
        <v/>
      </c>
    </row>
    <row r="398" spans="1:5" x14ac:dyDescent="0.25">
      <c r="A398" s="25"/>
      <c r="B398" s="26"/>
      <c r="C398" s="26"/>
      <c r="E398" t="str">
        <f t="shared" si="6"/>
        <v/>
      </c>
    </row>
    <row r="399" spans="1:5" x14ac:dyDescent="0.25">
      <c r="A399" s="25"/>
      <c r="B399" s="26"/>
      <c r="C399" s="26"/>
      <c r="E399" t="str">
        <f t="shared" si="6"/>
        <v/>
      </c>
    </row>
    <row r="400" spans="1:5" x14ac:dyDescent="0.25">
      <c r="A400" s="25"/>
      <c r="B400" s="26"/>
      <c r="C400" s="26"/>
      <c r="E400" t="str">
        <f t="shared" si="6"/>
        <v/>
      </c>
    </row>
    <row r="401" spans="1:5" x14ac:dyDescent="0.25">
      <c r="A401" s="25"/>
      <c r="B401" s="26"/>
      <c r="C401" s="26"/>
      <c r="E401" t="str">
        <f t="shared" si="6"/>
        <v/>
      </c>
    </row>
    <row r="402" spans="1:5" x14ac:dyDescent="0.25">
      <c r="A402" s="25"/>
      <c r="B402" s="26"/>
      <c r="C402" s="26"/>
      <c r="E402" t="str">
        <f t="shared" si="6"/>
        <v/>
      </c>
    </row>
    <row r="403" spans="1:5" x14ac:dyDescent="0.25">
      <c r="A403" s="25"/>
      <c r="B403" s="26"/>
      <c r="C403" s="26"/>
      <c r="E403" t="str">
        <f t="shared" si="6"/>
        <v/>
      </c>
    </row>
    <row r="404" spans="1:5" x14ac:dyDescent="0.25">
      <c r="A404" s="25"/>
      <c r="B404" s="26"/>
      <c r="C404" s="26"/>
      <c r="E404" t="str">
        <f t="shared" si="6"/>
        <v/>
      </c>
    </row>
    <row r="405" spans="1:5" x14ac:dyDescent="0.25">
      <c r="A405" s="25"/>
      <c r="B405" s="26"/>
      <c r="C405" s="26"/>
      <c r="E405" t="str">
        <f t="shared" si="6"/>
        <v/>
      </c>
    </row>
    <row r="406" spans="1:5" x14ac:dyDescent="0.25">
      <c r="A406" s="25"/>
      <c r="B406" s="26"/>
      <c r="C406" s="26"/>
      <c r="E406" t="str">
        <f t="shared" si="6"/>
        <v/>
      </c>
    </row>
    <row r="407" spans="1:5" x14ac:dyDescent="0.25">
      <c r="A407" s="25"/>
      <c r="B407" s="26"/>
      <c r="C407" s="26"/>
      <c r="E407" t="str">
        <f t="shared" si="6"/>
        <v/>
      </c>
    </row>
    <row r="408" spans="1:5" x14ac:dyDescent="0.25">
      <c r="A408" s="25"/>
      <c r="B408" s="26"/>
      <c r="C408" s="26"/>
      <c r="E408" t="str">
        <f t="shared" si="6"/>
        <v/>
      </c>
    </row>
    <row r="409" spans="1:5" x14ac:dyDescent="0.25">
      <c r="A409" s="25"/>
      <c r="B409" s="26"/>
      <c r="C409" s="26"/>
      <c r="E409" t="str">
        <f t="shared" si="6"/>
        <v/>
      </c>
    </row>
    <row r="410" spans="1:5" x14ac:dyDescent="0.25">
      <c r="A410" s="25"/>
      <c r="B410" s="26"/>
      <c r="C410" s="26"/>
      <c r="E410" t="str">
        <f t="shared" si="6"/>
        <v/>
      </c>
    </row>
    <row r="411" spans="1:5" x14ac:dyDescent="0.25">
      <c r="A411" s="25"/>
      <c r="B411" s="26"/>
      <c r="C411" s="26"/>
      <c r="E411" t="str">
        <f t="shared" si="6"/>
        <v/>
      </c>
    </row>
    <row r="412" spans="1:5" x14ac:dyDescent="0.25">
      <c r="A412" s="25"/>
      <c r="B412" s="26"/>
      <c r="C412" s="26"/>
      <c r="E412" t="str">
        <f t="shared" si="6"/>
        <v/>
      </c>
    </row>
    <row r="413" spans="1:5" x14ac:dyDescent="0.25">
      <c r="A413" s="25"/>
      <c r="B413" s="26"/>
      <c r="C413" s="26"/>
      <c r="E413" t="str">
        <f t="shared" si="6"/>
        <v/>
      </c>
    </row>
    <row r="414" spans="1:5" x14ac:dyDescent="0.25">
      <c r="A414" s="25"/>
      <c r="B414" s="26"/>
      <c r="C414" s="26"/>
      <c r="E414" t="str">
        <f t="shared" si="6"/>
        <v/>
      </c>
    </row>
    <row r="415" spans="1:5" x14ac:dyDescent="0.25">
      <c r="A415" s="25"/>
      <c r="B415" s="26"/>
      <c r="C415" s="26"/>
      <c r="E415" t="str">
        <f t="shared" si="6"/>
        <v/>
      </c>
    </row>
    <row r="416" spans="1:5" x14ac:dyDescent="0.25">
      <c r="A416" s="25"/>
      <c r="B416" s="26"/>
      <c r="C416" s="26"/>
      <c r="E416" t="str">
        <f t="shared" si="6"/>
        <v/>
      </c>
    </row>
    <row r="417" spans="1:5" x14ac:dyDescent="0.25">
      <c r="A417" s="25"/>
      <c r="B417" s="26"/>
      <c r="C417" s="26"/>
      <c r="E417" t="str">
        <f t="shared" si="6"/>
        <v/>
      </c>
    </row>
    <row r="418" spans="1:5" x14ac:dyDescent="0.25">
      <c r="A418" s="25"/>
      <c r="B418" s="26"/>
      <c r="C418" s="26"/>
      <c r="E418" t="str">
        <f t="shared" si="6"/>
        <v/>
      </c>
    </row>
    <row r="419" spans="1:5" x14ac:dyDescent="0.25">
      <c r="A419" s="25"/>
      <c r="B419" s="26"/>
      <c r="C419" s="26"/>
      <c r="E419" t="str">
        <f t="shared" si="6"/>
        <v/>
      </c>
    </row>
    <row r="420" spans="1:5" x14ac:dyDescent="0.25">
      <c r="A420" s="25"/>
      <c r="B420" s="26"/>
      <c r="C420" s="26"/>
      <c r="E420" t="str">
        <f t="shared" si="6"/>
        <v/>
      </c>
    </row>
    <row r="421" spans="1:5" x14ac:dyDescent="0.25">
      <c r="A421" s="25"/>
      <c r="B421" s="26"/>
      <c r="C421" s="26"/>
      <c r="E421" t="str">
        <f t="shared" si="6"/>
        <v/>
      </c>
    </row>
    <row r="422" spans="1:5" x14ac:dyDescent="0.25">
      <c r="A422" s="25"/>
      <c r="B422" s="26"/>
      <c r="C422" s="26"/>
      <c r="E422" t="str">
        <f t="shared" si="6"/>
        <v/>
      </c>
    </row>
    <row r="423" spans="1:5" x14ac:dyDescent="0.25">
      <c r="A423" s="25"/>
      <c r="B423" s="26"/>
      <c r="C423" s="26"/>
      <c r="E423" t="str">
        <f t="shared" si="6"/>
        <v/>
      </c>
    </row>
    <row r="424" spans="1:5" x14ac:dyDescent="0.25">
      <c r="A424" s="25"/>
      <c r="B424" s="26"/>
      <c r="C424" s="26"/>
      <c r="E424" t="str">
        <f t="shared" si="6"/>
        <v/>
      </c>
    </row>
    <row r="425" spans="1:5" x14ac:dyDescent="0.25">
      <c r="A425" s="25"/>
      <c r="B425" s="26"/>
      <c r="C425" s="26"/>
      <c r="E425" t="str">
        <f t="shared" si="6"/>
        <v/>
      </c>
    </row>
    <row r="426" spans="1:5" x14ac:dyDescent="0.25">
      <c r="A426" s="25"/>
      <c r="B426" s="26"/>
      <c r="C426" s="26"/>
      <c r="E426" t="str">
        <f t="shared" si="6"/>
        <v/>
      </c>
    </row>
    <row r="427" spans="1:5" x14ac:dyDescent="0.25">
      <c r="A427" s="25"/>
      <c r="B427" s="26"/>
      <c r="C427" s="26"/>
      <c r="E427" t="str">
        <f t="shared" si="6"/>
        <v/>
      </c>
    </row>
    <row r="428" spans="1:5" x14ac:dyDescent="0.25">
      <c r="A428" s="25"/>
      <c r="B428" s="26"/>
      <c r="C428" s="26"/>
      <c r="E428" t="str">
        <f t="shared" si="6"/>
        <v/>
      </c>
    </row>
    <row r="429" spans="1:5" x14ac:dyDescent="0.25">
      <c r="A429" s="25"/>
      <c r="B429" s="26"/>
      <c r="C429" s="26"/>
      <c r="E429" t="str">
        <f t="shared" si="6"/>
        <v/>
      </c>
    </row>
    <row r="430" spans="1:5" x14ac:dyDescent="0.25">
      <c r="A430" s="25"/>
      <c r="B430" s="26"/>
      <c r="C430" s="26"/>
      <c r="E430" t="str">
        <f t="shared" si="6"/>
        <v/>
      </c>
    </row>
    <row r="431" spans="1:5" x14ac:dyDescent="0.25">
      <c r="A431" s="25"/>
      <c r="B431" s="26"/>
      <c r="C431" s="26"/>
      <c r="E431" t="str">
        <f t="shared" si="6"/>
        <v/>
      </c>
    </row>
    <row r="432" spans="1:5" x14ac:dyDescent="0.25">
      <c r="A432" s="25"/>
      <c r="B432" s="26"/>
      <c r="C432" s="26"/>
      <c r="E432" t="str">
        <f t="shared" si="6"/>
        <v/>
      </c>
    </row>
    <row r="433" spans="1:5" x14ac:dyDescent="0.25">
      <c r="A433" s="25"/>
      <c r="B433" s="26"/>
      <c r="C433" s="26"/>
      <c r="E433" t="str">
        <f t="shared" si="6"/>
        <v/>
      </c>
    </row>
    <row r="434" spans="1:5" x14ac:dyDescent="0.25">
      <c r="A434" s="25"/>
      <c r="B434" s="26"/>
      <c r="C434" s="26"/>
      <c r="E434" t="str">
        <f t="shared" si="6"/>
        <v/>
      </c>
    </row>
    <row r="435" spans="1:5" x14ac:dyDescent="0.25">
      <c r="A435" s="25"/>
      <c r="B435" s="26"/>
      <c r="C435" s="26"/>
      <c r="E435" t="str">
        <f t="shared" si="6"/>
        <v/>
      </c>
    </row>
    <row r="436" spans="1:5" x14ac:dyDescent="0.25">
      <c r="A436" s="25"/>
      <c r="B436" s="26"/>
      <c r="C436" s="26"/>
      <c r="E436" t="str">
        <f t="shared" si="6"/>
        <v/>
      </c>
    </row>
    <row r="437" spans="1:5" x14ac:dyDescent="0.25">
      <c r="A437" s="25"/>
      <c r="B437" s="26"/>
      <c r="C437" s="26"/>
      <c r="E437" t="str">
        <f t="shared" si="6"/>
        <v/>
      </c>
    </row>
    <row r="438" spans="1:5" x14ac:dyDescent="0.25">
      <c r="A438" s="25"/>
      <c r="B438" s="26"/>
      <c r="C438" s="26"/>
      <c r="E438" t="str">
        <f t="shared" si="6"/>
        <v/>
      </c>
    </row>
    <row r="439" spans="1:5" x14ac:dyDescent="0.25">
      <c r="A439" s="25"/>
      <c r="B439" s="26"/>
      <c r="C439" s="26"/>
      <c r="E439" t="str">
        <f t="shared" si="6"/>
        <v/>
      </c>
    </row>
    <row r="440" spans="1:5" x14ac:dyDescent="0.25">
      <c r="A440" s="25"/>
      <c r="B440" s="26"/>
      <c r="C440" s="26"/>
      <c r="E440" t="str">
        <f t="shared" si="6"/>
        <v/>
      </c>
    </row>
    <row r="441" spans="1:5" x14ac:dyDescent="0.25">
      <c r="A441" s="25"/>
      <c r="B441" s="26"/>
      <c r="C441" s="26"/>
      <c r="E441" t="str">
        <f t="shared" si="6"/>
        <v/>
      </c>
    </row>
    <row r="442" spans="1:5" x14ac:dyDescent="0.25">
      <c r="A442" s="25"/>
      <c r="B442" s="26"/>
      <c r="C442" s="26"/>
      <c r="E442" t="str">
        <f t="shared" si="6"/>
        <v/>
      </c>
    </row>
    <row r="443" spans="1:5" x14ac:dyDescent="0.25">
      <c r="A443" s="25"/>
      <c r="B443" s="26"/>
      <c r="C443" s="26"/>
      <c r="E443" t="str">
        <f t="shared" si="6"/>
        <v/>
      </c>
    </row>
    <row r="444" spans="1:5" x14ac:dyDescent="0.25">
      <c r="A444" s="25"/>
      <c r="B444" s="26"/>
      <c r="C444" s="26"/>
      <c r="E444" t="str">
        <f t="shared" si="6"/>
        <v/>
      </c>
    </row>
    <row r="445" spans="1:5" x14ac:dyDescent="0.25">
      <c r="A445" s="25"/>
      <c r="B445" s="26"/>
      <c r="C445" s="26"/>
      <c r="E445" t="str">
        <f t="shared" si="6"/>
        <v/>
      </c>
    </row>
    <row r="446" spans="1:5" x14ac:dyDescent="0.25">
      <c r="A446" s="25"/>
      <c r="B446" s="26"/>
      <c r="C446" s="26"/>
      <c r="E446" t="str">
        <f t="shared" si="6"/>
        <v/>
      </c>
    </row>
    <row r="447" spans="1:5" x14ac:dyDescent="0.25">
      <c r="A447" s="25"/>
      <c r="B447" s="26"/>
      <c r="C447" s="26"/>
      <c r="E447" t="str">
        <f t="shared" si="6"/>
        <v/>
      </c>
    </row>
    <row r="448" spans="1:5" x14ac:dyDescent="0.25">
      <c r="A448" s="25"/>
      <c r="B448" s="26"/>
      <c r="C448" s="26"/>
      <c r="E448" t="str">
        <f t="shared" si="6"/>
        <v/>
      </c>
    </row>
    <row r="449" spans="1:5" x14ac:dyDescent="0.25">
      <c r="A449" s="25"/>
      <c r="B449" s="26"/>
      <c r="C449" s="26"/>
      <c r="E449" t="str">
        <f t="shared" si="6"/>
        <v/>
      </c>
    </row>
    <row r="450" spans="1:5" x14ac:dyDescent="0.25">
      <c r="A450" s="25"/>
      <c r="B450" s="26"/>
      <c r="C450" s="26"/>
      <c r="E450" t="str">
        <f t="shared" si="6"/>
        <v/>
      </c>
    </row>
    <row r="451" spans="1:5" x14ac:dyDescent="0.25">
      <c r="A451" s="25"/>
      <c r="B451" s="26"/>
      <c r="C451" s="26"/>
      <c r="E451" t="str">
        <f t="shared" si="6"/>
        <v/>
      </c>
    </row>
    <row r="452" spans="1:5" x14ac:dyDescent="0.25">
      <c r="A452" s="25"/>
      <c r="B452" s="26"/>
      <c r="C452" s="26"/>
      <c r="E452" t="str">
        <f t="shared" ref="E452:E515" si="7">IF(A452="","",IF(C452="","FALTA TC","OK"))</f>
        <v/>
      </c>
    </row>
    <row r="453" spans="1:5" x14ac:dyDescent="0.25">
      <c r="A453" s="25"/>
      <c r="B453" s="26"/>
      <c r="C453" s="26"/>
      <c r="E453" t="str">
        <f t="shared" si="7"/>
        <v/>
      </c>
    </row>
    <row r="454" spans="1:5" x14ac:dyDescent="0.25">
      <c r="A454" s="25"/>
      <c r="B454" s="26"/>
      <c r="C454" s="26"/>
      <c r="E454" t="str">
        <f t="shared" si="7"/>
        <v/>
      </c>
    </row>
    <row r="455" spans="1:5" x14ac:dyDescent="0.25">
      <c r="A455" s="25"/>
      <c r="B455" s="26"/>
      <c r="C455" s="26"/>
      <c r="E455" t="str">
        <f t="shared" si="7"/>
        <v/>
      </c>
    </row>
    <row r="456" spans="1:5" x14ac:dyDescent="0.25">
      <c r="A456" s="25"/>
      <c r="B456" s="26"/>
      <c r="C456" s="26"/>
      <c r="E456" t="str">
        <f t="shared" si="7"/>
        <v/>
      </c>
    </row>
    <row r="457" spans="1:5" x14ac:dyDescent="0.25">
      <c r="A457" s="25"/>
      <c r="B457" s="26"/>
      <c r="C457" s="26"/>
      <c r="E457" t="str">
        <f t="shared" si="7"/>
        <v/>
      </c>
    </row>
    <row r="458" spans="1:5" x14ac:dyDescent="0.25">
      <c r="A458" s="25"/>
      <c r="B458" s="26"/>
      <c r="C458" s="26"/>
      <c r="E458" t="str">
        <f t="shared" si="7"/>
        <v/>
      </c>
    </row>
    <row r="459" spans="1:5" x14ac:dyDescent="0.25">
      <c r="A459" s="25"/>
      <c r="B459" s="26"/>
      <c r="C459" s="26"/>
      <c r="E459" t="str">
        <f t="shared" si="7"/>
        <v/>
      </c>
    </row>
    <row r="460" spans="1:5" x14ac:dyDescent="0.25">
      <c r="A460" s="25"/>
      <c r="B460" s="26"/>
      <c r="C460" s="26"/>
      <c r="E460" t="str">
        <f t="shared" si="7"/>
        <v/>
      </c>
    </row>
    <row r="461" spans="1:5" x14ac:dyDescent="0.25">
      <c r="A461" s="25"/>
      <c r="B461" s="26"/>
      <c r="C461" s="26"/>
      <c r="E461" t="str">
        <f t="shared" si="7"/>
        <v/>
      </c>
    </row>
    <row r="462" spans="1:5" x14ac:dyDescent="0.25">
      <c r="A462" s="25"/>
      <c r="B462" s="26"/>
      <c r="C462" s="26"/>
      <c r="E462" t="str">
        <f t="shared" si="7"/>
        <v/>
      </c>
    </row>
    <row r="463" spans="1:5" x14ac:dyDescent="0.25">
      <c r="A463" s="25"/>
      <c r="B463" s="26"/>
      <c r="C463" s="26"/>
      <c r="E463" t="str">
        <f t="shared" si="7"/>
        <v/>
      </c>
    </row>
    <row r="464" spans="1:5" x14ac:dyDescent="0.25">
      <c r="A464" s="25"/>
      <c r="B464" s="26"/>
      <c r="C464" s="26"/>
      <c r="E464" t="str">
        <f t="shared" si="7"/>
        <v/>
      </c>
    </row>
    <row r="465" spans="1:5" x14ac:dyDescent="0.25">
      <c r="A465" s="25"/>
      <c r="B465" s="26"/>
      <c r="C465" s="26"/>
      <c r="E465" t="str">
        <f t="shared" si="7"/>
        <v/>
      </c>
    </row>
    <row r="466" spans="1:5" x14ac:dyDescent="0.25">
      <c r="A466" s="25"/>
      <c r="B466" s="26"/>
      <c r="C466" s="26"/>
      <c r="E466" t="str">
        <f t="shared" si="7"/>
        <v/>
      </c>
    </row>
    <row r="467" spans="1:5" x14ac:dyDescent="0.25">
      <c r="A467" s="25"/>
      <c r="B467" s="26"/>
      <c r="C467" s="26"/>
      <c r="E467" t="str">
        <f t="shared" si="7"/>
        <v/>
      </c>
    </row>
    <row r="468" spans="1:5" x14ac:dyDescent="0.25">
      <c r="A468" s="25"/>
      <c r="B468" s="26"/>
      <c r="C468" s="26"/>
      <c r="E468" t="str">
        <f t="shared" si="7"/>
        <v/>
      </c>
    </row>
    <row r="469" spans="1:5" x14ac:dyDescent="0.25">
      <c r="A469" s="25"/>
      <c r="B469" s="26"/>
      <c r="C469" s="26"/>
      <c r="E469" t="str">
        <f t="shared" si="7"/>
        <v/>
      </c>
    </row>
    <row r="470" spans="1:5" x14ac:dyDescent="0.25">
      <c r="A470" s="25"/>
      <c r="B470" s="26"/>
      <c r="C470" s="26"/>
      <c r="E470" t="str">
        <f t="shared" si="7"/>
        <v/>
      </c>
    </row>
    <row r="471" spans="1:5" x14ac:dyDescent="0.25">
      <c r="A471" s="25"/>
      <c r="B471" s="26"/>
      <c r="C471" s="26"/>
      <c r="E471" t="str">
        <f t="shared" si="7"/>
        <v/>
      </c>
    </row>
    <row r="472" spans="1:5" x14ac:dyDescent="0.25">
      <c r="A472" s="25"/>
      <c r="B472" s="26"/>
      <c r="C472" s="26"/>
      <c r="E472" t="str">
        <f t="shared" si="7"/>
        <v/>
      </c>
    </row>
    <row r="473" spans="1:5" x14ac:dyDescent="0.25">
      <c r="A473" s="25"/>
      <c r="B473" s="26"/>
      <c r="C473" s="26"/>
      <c r="E473" t="str">
        <f t="shared" si="7"/>
        <v/>
      </c>
    </row>
    <row r="474" spans="1:5" x14ac:dyDescent="0.25">
      <c r="A474" s="25"/>
      <c r="B474" s="26"/>
      <c r="C474" s="26"/>
      <c r="E474" t="str">
        <f t="shared" si="7"/>
        <v/>
      </c>
    </row>
    <row r="475" spans="1:5" x14ac:dyDescent="0.25">
      <c r="A475" s="25"/>
      <c r="B475" s="26"/>
      <c r="C475" s="26"/>
      <c r="E475" t="str">
        <f t="shared" si="7"/>
        <v/>
      </c>
    </row>
    <row r="476" spans="1:5" x14ac:dyDescent="0.25">
      <c r="A476" s="25"/>
      <c r="B476" s="26"/>
      <c r="C476" s="26"/>
      <c r="E476" t="str">
        <f t="shared" si="7"/>
        <v/>
      </c>
    </row>
    <row r="477" spans="1:5" x14ac:dyDescent="0.25">
      <c r="A477" s="25"/>
      <c r="B477" s="26"/>
      <c r="C477" s="26"/>
      <c r="E477" t="str">
        <f t="shared" si="7"/>
        <v/>
      </c>
    </row>
    <row r="478" spans="1:5" x14ac:dyDescent="0.25">
      <c r="A478" s="25"/>
      <c r="B478" s="26"/>
      <c r="C478" s="26"/>
      <c r="E478" t="str">
        <f t="shared" si="7"/>
        <v/>
      </c>
    </row>
    <row r="479" spans="1:5" x14ac:dyDescent="0.25">
      <c r="A479" s="25"/>
      <c r="B479" s="26"/>
      <c r="C479" s="26"/>
      <c r="E479" t="str">
        <f t="shared" si="7"/>
        <v/>
      </c>
    </row>
    <row r="480" spans="1:5" x14ac:dyDescent="0.25">
      <c r="A480" s="25"/>
      <c r="B480" s="26"/>
      <c r="C480" s="26"/>
      <c r="E480" t="str">
        <f t="shared" si="7"/>
        <v/>
      </c>
    </row>
    <row r="481" spans="1:5" x14ac:dyDescent="0.25">
      <c r="A481" s="25"/>
      <c r="B481" s="26"/>
      <c r="C481" s="26"/>
      <c r="E481" t="str">
        <f t="shared" si="7"/>
        <v/>
      </c>
    </row>
    <row r="482" spans="1:5" x14ac:dyDescent="0.25">
      <c r="A482" s="25"/>
      <c r="B482" s="26"/>
      <c r="C482" s="26"/>
      <c r="E482" t="str">
        <f t="shared" si="7"/>
        <v/>
      </c>
    </row>
    <row r="483" spans="1:5" x14ac:dyDescent="0.25">
      <c r="A483" s="25"/>
      <c r="B483" s="26"/>
      <c r="C483" s="26"/>
      <c r="E483" t="str">
        <f t="shared" si="7"/>
        <v/>
      </c>
    </row>
    <row r="484" spans="1:5" x14ac:dyDescent="0.25">
      <c r="A484" s="25"/>
      <c r="B484" s="26"/>
      <c r="C484" s="26"/>
      <c r="E484" t="str">
        <f t="shared" si="7"/>
        <v/>
      </c>
    </row>
    <row r="485" spans="1:5" x14ac:dyDescent="0.25">
      <c r="A485" s="25"/>
      <c r="B485" s="26"/>
      <c r="C485" s="26"/>
      <c r="E485" t="str">
        <f t="shared" si="7"/>
        <v/>
      </c>
    </row>
    <row r="486" spans="1:5" x14ac:dyDescent="0.25">
      <c r="A486" s="25"/>
      <c r="B486" s="26"/>
      <c r="C486" s="26"/>
      <c r="E486" t="str">
        <f t="shared" si="7"/>
        <v/>
      </c>
    </row>
    <row r="487" spans="1:5" x14ac:dyDescent="0.25">
      <c r="A487" s="25"/>
      <c r="B487" s="26"/>
      <c r="C487" s="26"/>
      <c r="E487" t="str">
        <f t="shared" si="7"/>
        <v/>
      </c>
    </row>
    <row r="488" spans="1:5" x14ac:dyDescent="0.25">
      <c r="A488" s="25"/>
      <c r="B488" s="26"/>
      <c r="C488" s="26"/>
      <c r="E488" t="str">
        <f t="shared" si="7"/>
        <v/>
      </c>
    </row>
    <row r="489" spans="1:5" x14ac:dyDescent="0.25">
      <c r="A489" s="25"/>
      <c r="B489" s="26"/>
      <c r="C489" s="26"/>
      <c r="E489" t="str">
        <f t="shared" si="7"/>
        <v/>
      </c>
    </row>
    <row r="490" spans="1:5" x14ac:dyDescent="0.25">
      <c r="A490" s="25"/>
      <c r="B490" s="26"/>
      <c r="C490" s="26"/>
      <c r="E490" t="str">
        <f t="shared" si="7"/>
        <v/>
      </c>
    </row>
    <row r="491" spans="1:5" x14ac:dyDescent="0.25">
      <c r="A491" s="25"/>
      <c r="B491" s="26"/>
      <c r="C491" s="26"/>
      <c r="E491" t="str">
        <f t="shared" si="7"/>
        <v/>
      </c>
    </row>
    <row r="492" spans="1:5" x14ac:dyDescent="0.25">
      <c r="A492" s="25"/>
      <c r="B492" s="26"/>
      <c r="C492" s="26"/>
      <c r="E492" t="str">
        <f t="shared" si="7"/>
        <v/>
      </c>
    </row>
    <row r="493" spans="1:5" x14ac:dyDescent="0.25">
      <c r="A493" s="25"/>
      <c r="B493" s="26"/>
      <c r="C493" s="26"/>
      <c r="E493" t="str">
        <f t="shared" si="7"/>
        <v/>
      </c>
    </row>
    <row r="494" spans="1:5" x14ac:dyDescent="0.25">
      <c r="A494" s="25"/>
      <c r="B494" s="26"/>
      <c r="C494" s="26"/>
      <c r="E494" t="str">
        <f t="shared" si="7"/>
        <v/>
      </c>
    </row>
    <row r="495" spans="1:5" x14ac:dyDescent="0.25">
      <c r="A495" s="25"/>
      <c r="B495" s="26"/>
      <c r="C495" s="26"/>
      <c r="E495" t="str">
        <f t="shared" si="7"/>
        <v/>
      </c>
    </row>
    <row r="496" spans="1:5" x14ac:dyDescent="0.25">
      <c r="A496" s="25"/>
      <c r="B496" s="26"/>
      <c r="C496" s="26"/>
      <c r="E496" t="str">
        <f t="shared" si="7"/>
        <v/>
      </c>
    </row>
    <row r="497" spans="1:5" x14ac:dyDescent="0.25">
      <c r="A497" s="25"/>
      <c r="B497" s="26"/>
      <c r="C497" s="26"/>
      <c r="E497" t="str">
        <f t="shared" si="7"/>
        <v/>
      </c>
    </row>
    <row r="498" spans="1:5" x14ac:dyDescent="0.25">
      <c r="A498" s="25"/>
      <c r="B498" s="26"/>
      <c r="C498" s="26"/>
      <c r="E498" t="str">
        <f t="shared" si="7"/>
        <v/>
      </c>
    </row>
    <row r="499" spans="1:5" x14ac:dyDescent="0.25">
      <c r="A499" s="25"/>
      <c r="B499" s="26"/>
      <c r="C499" s="26"/>
      <c r="E499" t="str">
        <f t="shared" si="7"/>
        <v/>
      </c>
    </row>
    <row r="500" spans="1:5" x14ac:dyDescent="0.25">
      <c r="A500" s="25"/>
      <c r="B500" s="26"/>
      <c r="C500" s="26"/>
      <c r="E500" t="str">
        <f t="shared" si="7"/>
        <v/>
      </c>
    </row>
    <row r="501" spans="1:5" x14ac:dyDescent="0.25">
      <c r="A501" s="25"/>
      <c r="B501" s="26"/>
      <c r="C501" s="26"/>
      <c r="E501" t="str">
        <f t="shared" si="7"/>
        <v/>
      </c>
    </row>
    <row r="502" spans="1:5" x14ac:dyDescent="0.25">
      <c r="A502" s="25"/>
      <c r="B502" s="26"/>
      <c r="C502" s="26"/>
      <c r="E502" t="str">
        <f t="shared" si="7"/>
        <v/>
      </c>
    </row>
    <row r="503" spans="1:5" x14ac:dyDescent="0.25">
      <c r="A503" s="25"/>
      <c r="B503" s="26"/>
      <c r="C503" s="26"/>
      <c r="E503" t="str">
        <f t="shared" si="7"/>
        <v/>
      </c>
    </row>
    <row r="504" spans="1:5" x14ac:dyDescent="0.25">
      <c r="A504" s="25"/>
      <c r="B504" s="26"/>
      <c r="C504" s="26"/>
      <c r="E504" t="str">
        <f t="shared" si="7"/>
        <v/>
      </c>
    </row>
    <row r="505" spans="1:5" x14ac:dyDescent="0.25">
      <c r="A505" s="25"/>
      <c r="B505" s="26"/>
      <c r="C505" s="26"/>
      <c r="E505" t="str">
        <f t="shared" si="7"/>
        <v/>
      </c>
    </row>
    <row r="506" spans="1:5" x14ac:dyDescent="0.25">
      <c r="A506" s="25"/>
      <c r="B506" s="26"/>
      <c r="C506" s="26"/>
      <c r="E506" t="str">
        <f t="shared" si="7"/>
        <v/>
      </c>
    </row>
    <row r="507" spans="1:5" x14ac:dyDescent="0.25">
      <c r="A507" s="25"/>
      <c r="B507" s="26"/>
      <c r="C507" s="26"/>
      <c r="E507" t="str">
        <f t="shared" si="7"/>
        <v/>
      </c>
    </row>
    <row r="508" spans="1:5" x14ac:dyDescent="0.25">
      <c r="A508" s="25"/>
      <c r="B508" s="26"/>
      <c r="C508" s="26"/>
      <c r="E508" t="str">
        <f t="shared" si="7"/>
        <v/>
      </c>
    </row>
    <row r="509" spans="1:5" x14ac:dyDescent="0.25">
      <c r="A509" s="25"/>
      <c r="B509" s="26"/>
      <c r="C509" s="26"/>
      <c r="E509" t="str">
        <f t="shared" si="7"/>
        <v/>
      </c>
    </row>
    <row r="510" spans="1:5" x14ac:dyDescent="0.25">
      <c r="A510" s="25"/>
      <c r="B510" s="26"/>
      <c r="C510" s="26"/>
      <c r="E510" t="str">
        <f t="shared" si="7"/>
        <v/>
      </c>
    </row>
    <row r="511" spans="1:5" x14ac:dyDescent="0.25">
      <c r="A511" s="25"/>
      <c r="B511" s="26"/>
      <c r="C511" s="26"/>
      <c r="E511" t="str">
        <f t="shared" si="7"/>
        <v/>
      </c>
    </row>
    <row r="512" spans="1:5" x14ac:dyDescent="0.25">
      <c r="A512" s="25"/>
      <c r="B512" s="26"/>
      <c r="C512" s="26"/>
      <c r="E512" t="str">
        <f t="shared" si="7"/>
        <v/>
      </c>
    </row>
    <row r="513" spans="1:5" x14ac:dyDescent="0.25">
      <c r="A513" s="25"/>
      <c r="B513" s="26"/>
      <c r="C513" s="26"/>
      <c r="E513" t="str">
        <f t="shared" si="7"/>
        <v/>
      </c>
    </row>
    <row r="514" spans="1:5" x14ac:dyDescent="0.25">
      <c r="A514" s="25"/>
      <c r="B514" s="26"/>
      <c r="C514" s="26"/>
      <c r="E514" t="str">
        <f t="shared" si="7"/>
        <v/>
      </c>
    </row>
    <row r="515" spans="1:5" x14ac:dyDescent="0.25">
      <c r="A515" s="25"/>
      <c r="B515" s="26"/>
      <c r="C515" s="26"/>
      <c r="E515" t="str">
        <f t="shared" si="7"/>
        <v/>
      </c>
    </row>
    <row r="516" spans="1:5" x14ac:dyDescent="0.25">
      <c r="A516" s="25"/>
      <c r="B516" s="26"/>
      <c r="C516" s="26"/>
      <c r="E516" t="str">
        <f t="shared" ref="E516:E579" si="8">IF(A516="","",IF(C516="","FALTA TC","OK"))</f>
        <v/>
      </c>
    </row>
    <row r="517" spans="1:5" x14ac:dyDescent="0.25">
      <c r="A517" s="25"/>
      <c r="B517" s="26"/>
      <c r="C517" s="26"/>
      <c r="E517" t="str">
        <f t="shared" si="8"/>
        <v/>
      </c>
    </row>
    <row r="518" spans="1:5" x14ac:dyDescent="0.25">
      <c r="A518" s="25"/>
      <c r="B518" s="26"/>
      <c r="C518" s="26"/>
      <c r="E518" t="str">
        <f t="shared" si="8"/>
        <v/>
      </c>
    </row>
    <row r="519" spans="1:5" x14ac:dyDescent="0.25">
      <c r="A519" s="25"/>
      <c r="B519" s="26"/>
      <c r="C519" s="26"/>
      <c r="E519" t="str">
        <f t="shared" si="8"/>
        <v/>
      </c>
    </row>
    <row r="520" spans="1:5" x14ac:dyDescent="0.25">
      <c r="A520" s="25"/>
      <c r="B520" s="26"/>
      <c r="C520" s="26"/>
      <c r="E520" t="str">
        <f t="shared" si="8"/>
        <v/>
      </c>
    </row>
    <row r="521" spans="1:5" x14ac:dyDescent="0.25">
      <c r="A521" s="25"/>
      <c r="B521" s="26"/>
      <c r="C521" s="26"/>
      <c r="E521" t="str">
        <f t="shared" si="8"/>
        <v/>
      </c>
    </row>
    <row r="522" spans="1:5" x14ac:dyDescent="0.25">
      <c r="A522" s="25"/>
      <c r="B522" s="26"/>
      <c r="C522" s="26"/>
      <c r="E522" t="str">
        <f t="shared" si="8"/>
        <v/>
      </c>
    </row>
    <row r="523" spans="1:5" x14ac:dyDescent="0.25">
      <c r="A523" s="25"/>
      <c r="B523" s="26"/>
      <c r="C523" s="26"/>
      <c r="E523" t="str">
        <f t="shared" si="8"/>
        <v/>
      </c>
    </row>
    <row r="524" spans="1:5" x14ac:dyDescent="0.25">
      <c r="A524" s="25"/>
      <c r="B524" s="26"/>
      <c r="C524" s="26"/>
      <c r="E524" t="str">
        <f t="shared" si="8"/>
        <v/>
      </c>
    </row>
    <row r="525" spans="1:5" x14ac:dyDescent="0.25">
      <c r="A525" s="25"/>
      <c r="B525" s="26"/>
      <c r="C525" s="26"/>
      <c r="E525" t="str">
        <f t="shared" si="8"/>
        <v/>
      </c>
    </row>
    <row r="526" spans="1:5" x14ac:dyDescent="0.25">
      <c r="A526" s="25"/>
      <c r="B526" s="26"/>
      <c r="C526" s="26"/>
      <c r="E526" t="str">
        <f t="shared" si="8"/>
        <v/>
      </c>
    </row>
    <row r="527" spans="1:5" x14ac:dyDescent="0.25">
      <c r="A527" s="25"/>
      <c r="B527" s="26"/>
      <c r="C527" s="26"/>
      <c r="E527" t="str">
        <f t="shared" si="8"/>
        <v/>
      </c>
    </row>
    <row r="528" spans="1:5" x14ac:dyDescent="0.25">
      <c r="A528" s="25"/>
      <c r="B528" s="26"/>
      <c r="C528" s="26"/>
      <c r="E528" t="str">
        <f t="shared" si="8"/>
        <v/>
      </c>
    </row>
    <row r="529" spans="1:5" x14ac:dyDescent="0.25">
      <c r="A529" s="25"/>
      <c r="B529" s="26"/>
      <c r="C529" s="26"/>
      <c r="E529" t="str">
        <f t="shared" si="8"/>
        <v/>
      </c>
    </row>
    <row r="530" spans="1:5" x14ac:dyDescent="0.25">
      <c r="A530" s="25"/>
      <c r="B530" s="26"/>
      <c r="C530" s="26"/>
      <c r="E530" t="str">
        <f t="shared" si="8"/>
        <v/>
      </c>
    </row>
    <row r="531" spans="1:5" x14ac:dyDescent="0.25">
      <c r="A531" s="25"/>
      <c r="B531" s="26"/>
      <c r="C531" s="26"/>
      <c r="E531" t="str">
        <f t="shared" si="8"/>
        <v/>
      </c>
    </row>
    <row r="532" spans="1:5" x14ac:dyDescent="0.25">
      <c r="A532" s="25"/>
      <c r="B532" s="26"/>
      <c r="C532" s="26"/>
      <c r="E532" t="str">
        <f t="shared" si="8"/>
        <v/>
      </c>
    </row>
    <row r="533" spans="1:5" x14ac:dyDescent="0.25">
      <c r="A533" s="25"/>
      <c r="B533" s="26"/>
      <c r="C533" s="26"/>
      <c r="E533" t="str">
        <f t="shared" si="8"/>
        <v/>
      </c>
    </row>
    <row r="534" spans="1:5" x14ac:dyDescent="0.25">
      <c r="A534" s="25"/>
      <c r="B534" s="26"/>
      <c r="C534" s="26"/>
      <c r="E534" t="str">
        <f t="shared" si="8"/>
        <v/>
      </c>
    </row>
    <row r="535" spans="1:5" x14ac:dyDescent="0.25">
      <c r="A535" s="25"/>
      <c r="B535" s="26"/>
      <c r="C535" s="26"/>
      <c r="E535" t="str">
        <f t="shared" si="8"/>
        <v/>
      </c>
    </row>
    <row r="536" spans="1:5" x14ac:dyDescent="0.25">
      <c r="A536" s="25"/>
      <c r="B536" s="26"/>
      <c r="C536" s="26"/>
      <c r="E536" t="str">
        <f t="shared" si="8"/>
        <v/>
      </c>
    </row>
    <row r="537" spans="1:5" x14ac:dyDescent="0.25">
      <c r="A537" s="25"/>
      <c r="B537" s="26"/>
      <c r="C537" s="26"/>
      <c r="E537" t="str">
        <f t="shared" si="8"/>
        <v/>
      </c>
    </row>
    <row r="538" spans="1:5" x14ac:dyDescent="0.25">
      <c r="A538" s="25"/>
      <c r="B538" s="26"/>
      <c r="C538" s="26"/>
      <c r="E538" t="str">
        <f t="shared" si="8"/>
        <v/>
      </c>
    </row>
    <row r="539" spans="1:5" x14ac:dyDescent="0.25">
      <c r="A539" s="25"/>
      <c r="B539" s="26"/>
      <c r="C539" s="26"/>
      <c r="E539" t="str">
        <f t="shared" si="8"/>
        <v/>
      </c>
    </row>
    <row r="540" spans="1:5" x14ac:dyDescent="0.25">
      <c r="A540" s="25"/>
      <c r="B540" s="26"/>
      <c r="C540" s="26"/>
      <c r="E540" t="str">
        <f t="shared" si="8"/>
        <v/>
      </c>
    </row>
    <row r="541" spans="1:5" x14ac:dyDescent="0.25">
      <c r="A541" s="25"/>
      <c r="B541" s="26"/>
      <c r="C541" s="26"/>
      <c r="E541" t="str">
        <f t="shared" si="8"/>
        <v/>
      </c>
    </row>
    <row r="542" spans="1:5" x14ac:dyDescent="0.25">
      <c r="A542" s="25"/>
      <c r="B542" s="26"/>
      <c r="C542" s="26"/>
      <c r="E542" t="str">
        <f t="shared" si="8"/>
        <v/>
      </c>
    </row>
    <row r="543" spans="1:5" x14ac:dyDescent="0.25">
      <c r="A543" s="25"/>
      <c r="B543" s="26"/>
      <c r="C543" s="26"/>
      <c r="E543" t="str">
        <f t="shared" si="8"/>
        <v/>
      </c>
    </row>
    <row r="544" spans="1:5" x14ac:dyDescent="0.25">
      <c r="A544" s="25"/>
      <c r="B544" s="26"/>
      <c r="C544" s="26"/>
      <c r="E544" t="str">
        <f t="shared" si="8"/>
        <v/>
      </c>
    </row>
    <row r="545" spans="1:5" x14ac:dyDescent="0.25">
      <c r="A545" s="25"/>
      <c r="B545" s="26"/>
      <c r="C545" s="26"/>
      <c r="E545" t="str">
        <f t="shared" si="8"/>
        <v/>
      </c>
    </row>
    <row r="546" spans="1:5" x14ac:dyDescent="0.25">
      <c r="A546" s="25"/>
      <c r="B546" s="26"/>
      <c r="C546" s="26"/>
      <c r="E546" t="str">
        <f t="shared" si="8"/>
        <v/>
      </c>
    </row>
    <row r="547" spans="1:5" x14ac:dyDescent="0.25">
      <c r="A547" s="25"/>
      <c r="B547" s="26"/>
      <c r="C547" s="26"/>
      <c r="E547" t="str">
        <f t="shared" si="8"/>
        <v/>
      </c>
    </row>
    <row r="548" spans="1:5" x14ac:dyDescent="0.25">
      <c r="A548" s="25"/>
      <c r="B548" s="26"/>
      <c r="C548" s="26"/>
      <c r="E548" t="str">
        <f t="shared" si="8"/>
        <v/>
      </c>
    </row>
    <row r="549" spans="1:5" x14ac:dyDescent="0.25">
      <c r="A549" s="25"/>
      <c r="B549" s="26"/>
      <c r="C549" s="26"/>
      <c r="E549" t="str">
        <f t="shared" si="8"/>
        <v/>
      </c>
    </row>
    <row r="550" spans="1:5" x14ac:dyDescent="0.25">
      <c r="A550" s="25"/>
      <c r="B550" s="26"/>
      <c r="C550" s="26"/>
      <c r="E550" t="str">
        <f t="shared" si="8"/>
        <v/>
      </c>
    </row>
    <row r="551" spans="1:5" x14ac:dyDescent="0.25">
      <c r="A551" s="25"/>
      <c r="B551" s="26"/>
      <c r="C551" s="26"/>
      <c r="E551" t="str">
        <f t="shared" si="8"/>
        <v/>
      </c>
    </row>
    <row r="552" spans="1:5" x14ac:dyDescent="0.25">
      <c r="A552" s="25"/>
      <c r="B552" s="26"/>
      <c r="C552" s="26"/>
      <c r="E552" t="str">
        <f t="shared" si="8"/>
        <v/>
      </c>
    </row>
    <row r="553" spans="1:5" x14ac:dyDescent="0.25">
      <c r="A553" s="25"/>
      <c r="B553" s="26"/>
      <c r="C553" s="26"/>
      <c r="E553" t="str">
        <f t="shared" si="8"/>
        <v/>
      </c>
    </row>
    <row r="554" spans="1:5" x14ac:dyDescent="0.25">
      <c r="A554" s="25"/>
      <c r="B554" s="26"/>
      <c r="C554" s="26"/>
      <c r="E554" t="str">
        <f t="shared" si="8"/>
        <v/>
      </c>
    </row>
    <row r="555" spans="1:5" x14ac:dyDescent="0.25">
      <c r="A555" s="25"/>
      <c r="B555" s="26"/>
      <c r="C555" s="26"/>
      <c r="E555" t="str">
        <f t="shared" si="8"/>
        <v/>
      </c>
    </row>
    <row r="556" spans="1:5" x14ac:dyDescent="0.25">
      <c r="A556" s="25"/>
      <c r="B556" s="26"/>
      <c r="C556" s="26"/>
      <c r="E556" t="str">
        <f t="shared" si="8"/>
        <v/>
      </c>
    </row>
    <row r="557" spans="1:5" x14ac:dyDescent="0.25">
      <c r="A557" s="25"/>
      <c r="B557" s="26"/>
      <c r="C557" s="26"/>
      <c r="E557" t="str">
        <f t="shared" si="8"/>
        <v/>
      </c>
    </row>
    <row r="558" spans="1:5" x14ac:dyDescent="0.25">
      <c r="A558" s="25"/>
      <c r="B558" s="26"/>
      <c r="C558" s="26"/>
      <c r="E558" t="str">
        <f t="shared" si="8"/>
        <v/>
      </c>
    </row>
    <row r="559" spans="1:5" x14ac:dyDescent="0.25">
      <c r="A559" s="25"/>
      <c r="B559" s="26"/>
      <c r="C559" s="26"/>
      <c r="E559" t="str">
        <f t="shared" si="8"/>
        <v/>
      </c>
    </row>
    <row r="560" spans="1:5" x14ac:dyDescent="0.25">
      <c r="A560" s="25"/>
      <c r="B560" s="26"/>
      <c r="C560" s="26"/>
      <c r="E560" t="str">
        <f t="shared" si="8"/>
        <v/>
      </c>
    </row>
    <row r="561" spans="1:5" x14ac:dyDescent="0.25">
      <c r="A561" s="25"/>
      <c r="B561" s="26"/>
      <c r="C561" s="26"/>
      <c r="E561" t="str">
        <f t="shared" si="8"/>
        <v/>
      </c>
    </row>
    <row r="562" spans="1:5" x14ac:dyDescent="0.25">
      <c r="A562" s="25"/>
      <c r="B562" s="26"/>
      <c r="C562" s="26"/>
      <c r="E562" t="str">
        <f t="shared" si="8"/>
        <v/>
      </c>
    </row>
    <row r="563" spans="1:5" x14ac:dyDescent="0.25">
      <c r="A563" s="25"/>
      <c r="B563" s="26"/>
      <c r="C563" s="26"/>
      <c r="E563" t="str">
        <f t="shared" si="8"/>
        <v/>
      </c>
    </row>
    <row r="564" spans="1:5" x14ac:dyDescent="0.25">
      <c r="A564" s="25"/>
      <c r="B564" s="26"/>
      <c r="C564" s="26"/>
      <c r="E564" t="str">
        <f t="shared" si="8"/>
        <v/>
      </c>
    </row>
    <row r="565" spans="1:5" x14ac:dyDescent="0.25">
      <c r="A565" s="25"/>
      <c r="B565" s="26"/>
      <c r="C565" s="26"/>
      <c r="E565" t="str">
        <f t="shared" si="8"/>
        <v/>
      </c>
    </row>
    <row r="566" spans="1:5" x14ac:dyDescent="0.25">
      <c r="A566" s="25"/>
      <c r="B566" s="26"/>
      <c r="C566" s="26"/>
      <c r="E566" t="str">
        <f t="shared" si="8"/>
        <v/>
      </c>
    </row>
    <row r="567" spans="1:5" x14ac:dyDescent="0.25">
      <c r="A567" s="25"/>
      <c r="B567" s="26"/>
      <c r="C567" s="26"/>
      <c r="E567" t="str">
        <f t="shared" si="8"/>
        <v/>
      </c>
    </row>
    <row r="568" spans="1:5" x14ac:dyDescent="0.25">
      <c r="A568" s="25"/>
      <c r="B568" s="26"/>
      <c r="C568" s="26"/>
      <c r="E568" t="str">
        <f t="shared" si="8"/>
        <v/>
      </c>
    </row>
    <row r="569" spans="1:5" x14ac:dyDescent="0.25">
      <c r="A569" s="25"/>
      <c r="B569" s="26"/>
      <c r="C569" s="26"/>
      <c r="E569" t="str">
        <f t="shared" si="8"/>
        <v/>
      </c>
    </row>
    <row r="570" spans="1:5" x14ac:dyDescent="0.25">
      <c r="A570" s="25"/>
      <c r="B570" s="26"/>
      <c r="C570" s="26"/>
      <c r="E570" t="str">
        <f t="shared" si="8"/>
        <v/>
      </c>
    </row>
    <row r="571" spans="1:5" x14ac:dyDescent="0.25">
      <c r="A571" s="25"/>
      <c r="B571" s="26"/>
      <c r="C571" s="26"/>
      <c r="E571" t="str">
        <f t="shared" si="8"/>
        <v/>
      </c>
    </row>
    <row r="572" spans="1:5" x14ac:dyDescent="0.25">
      <c r="A572" s="25"/>
      <c r="B572" s="26"/>
      <c r="C572" s="26"/>
      <c r="E572" t="str">
        <f t="shared" si="8"/>
        <v/>
      </c>
    </row>
    <row r="573" spans="1:5" x14ac:dyDescent="0.25">
      <c r="A573" s="25"/>
      <c r="B573" s="26"/>
      <c r="C573" s="26"/>
      <c r="E573" t="str">
        <f t="shared" si="8"/>
        <v/>
      </c>
    </row>
    <row r="574" spans="1:5" x14ac:dyDescent="0.25">
      <c r="A574" s="25"/>
      <c r="B574" s="26"/>
      <c r="C574" s="26"/>
      <c r="E574" t="str">
        <f t="shared" si="8"/>
        <v/>
      </c>
    </row>
    <row r="575" spans="1:5" x14ac:dyDescent="0.25">
      <c r="A575" s="25"/>
      <c r="B575" s="26"/>
      <c r="C575" s="26"/>
      <c r="E575" t="str">
        <f t="shared" si="8"/>
        <v/>
      </c>
    </row>
    <row r="576" spans="1:5" x14ac:dyDescent="0.25">
      <c r="A576" s="25"/>
      <c r="B576" s="26"/>
      <c r="C576" s="26"/>
      <c r="E576" t="str">
        <f t="shared" si="8"/>
        <v/>
      </c>
    </row>
    <row r="577" spans="1:5" x14ac:dyDescent="0.25">
      <c r="A577" s="25"/>
      <c r="B577" s="26"/>
      <c r="C577" s="26"/>
      <c r="E577" t="str">
        <f t="shared" si="8"/>
        <v/>
      </c>
    </row>
    <row r="578" spans="1:5" x14ac:dyDescent="0.25">
      <c r="A578" s="25"/>
      <c r="B578" s="26"/>
      <c r="C578" s="26"/>
      <c r="E578" t="str">
        <f t="shared" si="8"/>
        <v/>
      </c>
    </row>
    <row r="579" spans="1:5" x14ac:dyDescent="0.25">
      <c r="A579" s="25"/>
      <c r="B579" s="26"/>
      <c r="C579" s="26"/>
      <c r="E579" t="str">
        <f t="shared" si="8"/>
        <v/>
      </c>
    </row>
    <row r="580" spans="1:5" x14ac:dyDescent="0.25">
      <c r="A580" s="25"/>
      <c r="B580" s="26"/>
      <c r="C580" s="26"/>
      <c r="E580" t="str">
        <f t="shared" ref="E580:E643" si="9">IF(A580="","",IF(C580="","FALTA TC","OK"))</f>
        <v/>
      </c>
    </row>
    <row r="581" spans="1:5" x14ac:dyDescent="0.25">
      <c r="A581" s="25"/>
      <c r="B581" s="26"/>
      <c r="C581" s="26"/>
      <c r="E581" t="str">
        <f t="shared" si="9"/>
        <v/>
      </c>
    </row>
    <row r="582" spans="1:5" x14ac:dyDescent="0.25">
      <c r="A582" s="25"/>
      <c r="B582" s="26"/>
      <c r="C582" s="26"/>
      <c r="E582" t="str">
        <f t="shared" si="9"/>
        <v/>
      </c>
    </row>
    <row r="583" spans="1:5" x14ac:dyDescent="0.25">
      <c r="A583" s="25"/>
      <c r="B583" s="26"/>
      <c r="C583" s="26"/>
      <c r="E583" t="str">
        <f t="shared" si="9"/>
        <v/>
      </c>
    </row>
    <row r="584" spans="1:5" x14ac:dyDescent="0.25">
      <c r="A584" s="25"/>
      <c r="B584" s="26"/>
      <c r="C584" s="26"/>
      <c r="E584" t="str">
        <f t="shared" si="9"/>
        <v/>
      </c>
    </row>
    <row r="585" spans="1:5" x14ac:dyDescent="0.25">
      <c r="A585" s="25"/>
      <c r="B585" s="26"/>
      <c r="C585" s="26"/>
      <c r="E585" t="str">
        <f t="shared" si="9"/>
        <v/>
      </c>
    </row>
    <row r="586" spans="1:5" x14ac:dyDescent="0.25">
      <c r="A586" s="25"/>
      <c r="B586" s="26"/>
      <c r="C586" s="26"/>
      <c r="E586" t="str">
        <f t="shared" si="9"/>
        <v/>
      </c>
    </row>
    <row r="587" spans="1:5" x14ac:dyDescent="0.25">
      <c r="A587" s="25"/>
      <c r="B587" s="26"/>
      <c r="C587" s="26"/>
      <c r="E587" t="str">
        <f t="shared" si="9"/>
        <v/>
      </c>
    </row>
    <row r="588" spans="1:5" x14ac:dyDescent="0.25">
      <c r="A588" s="25"/>
      <c r="B588" s="26"/>
      <c r="C588" s="26"/>
      <c r="E588" t="str">
        <f t="shared" si="9"/>
        <v/>
      </c>
    </row>
    <row r="589" spans="1:5" x14ac:dyDescent="0.25">
      <c r="A589" s="25"/>
      <c r="B589" s="26"/>
      <c r="C589" s="26"/>
      <c r="E589" t="str">
        <f t="shared" si="9"/>
        <v/>
      </c>
    </row>
    <row r="590" spans="1:5" x14ac:dyDescent="0.25">
      <c r="A590" s="25"/>
      <c r="B590" s="26"/>
      <c r="C590" s="26"/>
      <c r="E590" t="str">
        <f t="shared" si="9"/>
        <v/>
      </c>
    </row>
    <row r="591" spans="1:5" x14ac:dyDescent="0.25">
      <c r="A591" s="25"/>
      <c r="B591" s="26"/>
      <c r="C591" s="26"/>
      <c r="E591" t="str">
        <f t="shared" si="9"/>
        <v/>
      </c>
    </row>
    <row r="592" spans="1:5" x14ac:dyDescent="0.25">
      <c r="A592" s="25"/>
      <c r="B592" s="26"/>
      <c r="C592" s="26"/>
      <c r="E592" t="str">
        <f t="shared" si="9"/>
        <v/>
      </c>
    </row>
    <row r="593" spans="1:5" x14ac:dyDescent="0.25">
      <c r="A593" s="25"/>
      <c r="B593" s="26"/>
      <c r="C593" s="26"/>
      <c r="E593" t="str">
        <f t="shared" si="9"/>
        <v/>
      </c>
    </row>
    <row r="594" spans="1:5" x14ac:dyDescent="0.25">
      <c r="A594" s="25"/>
      <c r="B594" s="26"/>
      <c r="C594" s="26"/>
      <c r="E594" t="str">
        <f t="shared" si="9"/>
        <v/>
      </c>
    </row>
    <row r="595" spans="1:5" x14ac:dyDescent="0.25">
      <c r="A595" s="25"/>
      <c r="B595" s="26"/>
      <c r="C595" s="26"/>
      <c r="E595" t="str">
        <f t="shared" si="9"/>
        <v/>
      </c>
    </row>
    <row r="596" spans="1:5" x14ac:dyDescent="0.25">
      <c r="A596" s="25"/>
      <c r="B596" s="26"/>
      <c r="C596" s="26"/>
      <c r="E596" t="str">
        <f t="shared" si="9"/>
        <v/>
      </c>
    </row>
    <row r="597" spans="1:5" x14ac:dyDescent="0.25">
      <c r="A597" s="25"/>
      <c r="B597" s="26"/>
      <c r="C597" s="26"/>
      <c r="E597" t="str">
        <f t="shared" si="9"/>
        <v/>
      </c>
    </row>
    <row r="598" spans="1:5" x14ac:dyDescent="0.25">
      <c r="A598" s="25"/>
      <c r="B598" s="26"/>
      <c r="C598" s="26"/>
      <c r="E598" t="str">
        <f t="shared" si="9"/>
        <v/>
      </c>
    </row>
    <row r="599" spans="1:5" x14ac:dyDescent="0.25">
      <c r="A599" s="25"/>
      <c r="B599" s="26"/>
      <c r="C599" s="26"/>
      <c r="E599" t="str">
        <f t="shared" si="9"/>
        <v/>
      </c>
    </row>
    <row r="600" spans="1:5" x14ac:dyDescent="0.25">
      <c r="A600" s="25"/>
      <c r="B600" s="26"/>
      <c r="C600" s="26"/>
      <c r="E600" t="str">
        <f t="shared" si="9"/>
        <v/>
      </c>
    </row>
    <row r="601" spans="1:5" x14ac:dyDescent="0.25">
      <c r="A601" s="25"/>
      <c r="B601" s="26"/>
      <c r="C601" s="26"/>
      <c r="E601" t="str">
        <f t="shared" si="9"/>
        <v/>
      </c>
    </row>
    <row r="602" spans="1:5" x14ac:dyDescent="0.25">
      <c r="A602" s="25"/>
      <c r="B602" s="26"/>
      <c r="C602" s="26"/>
      <c r="E602" t="str">
        <f t="shared" si="9"/>
        <v/>
      </c>
    </row>
    <row r="603" spans="1:5" x14ac:dyDescent="0.25">
      <c r="A603" s="25"/>
      <c r="B603" s="26"/>
      <c r="C603" s="26"/>
      <c r="E603" t="str">
        <f t="shared" si="9"/>
        <v/>
      </c>
    </row>
    <row r="604" spans="1:5" x14ac:dyDescent="0.25">
      <c r="A604" s="25"/>
      <c r="B604" s="26"/>
      <c r="C604" s="26"/>
      <c r="E604" t="str">
        <f t="shared" si="9"/>
        <v/>
      </c>
    </row>
    <row r="605" spans="1:5" x14ac:dyDescent="0.25">
      <c r="A605" s="25"/>
      <c r="B605" s="26"/>
      <c r="C605" s="26"/>
      <c r="E605" t="str">
        <f t="shared" si="9"/>
        <v/>
      </c>
    </row>
    <row r="606" spans="1:5" x14ac:dyDescent="0.25">
      <c r="A606" s="25"/>
      <c r="B606" s="26"/>
      <c r="C606" s="26"/>
      <c r="E606" t="str">
        <f t="shared" si="9"/>
        <v/>
      </c>
    </row>
    <row r="607" spans="1:5" x14ac:dyDescent="0.25">
      <c r="A607" s="25"/>
      <c r="B607" s="26"/>
      <c r="C607" s="26"/>
      <c r="E607" t="str">
        <f t="shared" si="9"/>
        <v/>
      </c>
    </row>
    <row r="608" spans="1:5" x14ac:dyDescent="0.25">
      <c r="A608" s="25"/>
      <c r="B608" s="26"/>
      <c r="C608" s="26"/>
      <c r="E608" t="str">
        <f t="shared" si="9"/>
        <v/>
      </c>
    </row>
    <row r="609" spans="1:5" x14ac:dyDescent="0.25">
      <c r="A609" s="25"/>
      <c r="B609" s="26"/>
      <c r="C609" s="26"/>
      <c r="E609" t="str">
        <f t="shared" si="9"/>
        <v/>
      </c>
    </row>
    <row r="610" spans="1:5" x14ac:dyDescent="0.25">
      <c r="A610" s="25"/>
      <c r="B610" s="26"/>
      <c r="C610" s="26"/>
      <c r="E610" t="str">
        <f t="shared" si="9"/>
        <v/>
      </c>
    </row>
    <row r="611" spans="1:5" x14ac:dyDescent="0.25">
      <c r="A611" s="25"/>
      <c r="B611" s="26"/>
      <c r="C611" s="26"/>
      <c r="E611" t="str">
        <f t="shared" si="9"/>
        <v/>
      </c>
    </row>
    <row r="612" spans="1:5" x14ac:dyDescent="0.25">
      <c r="A612" s="25"/>
      <c r="B612" s="26"/>
      <c r="C612" s="26"/>
      <c r="E612" t="str">
        <f t="shared" si="9"/>
        <v/>
      </c>
    </row>
    <row r="613" spans="1:5" x14ac:dyDescent="0.25">
      <c r="A613" s="25"/>
      <c r="B613" s="26"/>
      <c r="C613" s="26"/>
      <c r="E613" t="str">
        <f t="shared" si="9"/>
        <v/>
      </c>
    </row>
    <row r="614" spans="1:5" x14ac:dyDescent="0.25">
      <c r="A614" s="25"/>
      <c r="B614" s="26"/>
      <c r="C614" s="26"/>
      <c r="E614" t="str">
        <f t="shared" si="9"/>
        <v/>
      </c>
    </row>
    <row r="615" spans="1:5" x14ac:dyDescent="0.25">
      <c r="A615" s="25"/>
      <c r="B615" s="26"/>
      <c r="C615" s="26"/>
      <c r="E615" t="str">
        <f t="shared" si="9"/>
        <v/>
      </c>
    </row>
    <row r="616" spans="1:5" x14ac:dyDescent="0.25">
      <c r="A616" s="25"/>
      <c r="B616" s="26"/>
      <c r="C616" s="26"/>
      <c r="E616" t="str">
        <f t="shared" si="9"/>
        <v/>
      </c>
    </row>
    <row r="617" spans="1:5" x14ac:dyDescent="0.25">
      <c r="A617" s="25"/>
      <c r="B617" s="26"/>
      <c r="C617" s="26"/>
      <c r="E617" t="str">
        <f t="shared" si="9"/>
        <v/>
      </c>
    </row>
    <row r="618" spans="1:5" x14ac:dyDescent="0.25">
      <c r="A618" s="25"/>
      <c r="B618" s="26"/>
      <c r="C618" s="26"/>
      <c r="E618" t="str">
        <f t="shared" si="9"/>
        <v/>
      </c>
    </row>
    <row r="619" spans="1:5" x14ac:dyDescent="0.25">
      <c r="A619" s="25"/>
      <c r="B619" s="26"/>
      <c r="C619" s="26"/>
      <c r="E619" t="str">
        <f t="shared" si="9"/>
        <v/>
      </c>
    </row>
    <row r="620" spans="1:5" x14ac:dyDescent="0.25">
      <c r="A620" s="25"/>
      <c r="B620" s="26"/>
      <c r="C620" s="26"/>
      <c r="E620" t="str">
        <f t="shared" si="9"/>
        <v/>
      </c>
    </row>
    <row r="621" spans="1:5" x14ac:dyDescent="0.25">
      <c r="A621" s="25"/>
      <c r="B621" s="26"/>
      <c r="C621" s="26"/>
      <c r="E621" t="str">
        <f t="shared" si="9"/>
        <v/>
      </c>
    </row>
    <row r="622" spans="1:5" x14ac:dyDescent="0.25">
      <c r="A622" s="25"/>
      <c r="B622" s="26"/>
      <c r="C622" s="26"/>
      <c r="E622" t="str">
        <f t="shared" si="9"/>
        <v/>
      </c>
    </row>
    <row r="623" spans="1:5" x14ac:dyDescent="0.25">
      <c r="A623" s="25"/>
      <c r="B623" s="26"/>
      <c r="C623" s="26"/>
      <c r="E623" t="str">
        <f t="shared" si="9"/>
        <v/>
      </c>
    </row>
    <row r="624" spans="1:5" x14ac:dyDescent="0.25">
      <c r="A624" s="25"/>
      <c r="B624" s="26"/>
      <c r="C624" s="26"/>
      <c r="E624" t="str">
        <f t="shared" si="9"/>
        <v/>
      </c>
    </row>
    <row r="625" spans="1:5" x14ac:dyDescent="0.25">
      <c r="A625" s="25"/>
      <c r="B625" s="26"/>
      <c r="C625" s="26"/>
      <c r="E625" t="str">
        <f t="shared" si="9"/>
        <v/>
      </c>
    </row>
    <row r="626" spans="1:5" x14ac:dyDescent="0.25">
      <c r="A626" s="25"/>
      <c r="B626" s="26"/>
      <c r="C626" s="26"/>
      <c r="E626" t="str">
        <f t="shared" si="9"/>
        <v/>
      </c>
    </row>
    <row r="627" spans="1:5" x14ac:dyDescent="0.25">
      <c r="A627" s="25"/>
      <c r="B627" s="26"/>
      <c r="C627" s="26"/>
      <c r="E627" t="str">
        <f t="shared" si="9"/>
        <v/>
      </c>
    </row>
    <row r="628" spans="1:5" x14ac:dyDescent="0.25">
      <c r="A628" s="25"/>
      <c r="B628" s="26"/>
      <c r="C628" s="26"/>
      <c r="E628" t="str">
        <f t="shared" si="9"/>
        <v/>
      </c>
    </row>
    <row r="629" spans="1:5" x14ac:dyDescent="0.25">
      <c r="A629" s="25"/>
      <c r="B629" s="26"/>
      <c r="C629" s="26"/>
      <c r="E629" t="str">
        <f t="shared" si="9"/>
        <v/>
      </c>
    </row>
    <row r="630" spans="1:5" x14ac:dyDescent="0.25">
      <c r="A630" s="25"/>
      <c r="B630" s="26"/>
      <c r="C630" s="26"/>
      <c r="E630" t="str">
        <f t="shared" si="9"/>
        <v/>
      </c>
    </row>
    <row r="631" spans="1:5" x14ac:dyDescent="0.25">
      <c r="A631" s="25"/>
      <c r="B631" s="26"/>
      <c r="C631" s="26"/>
      <c r="E631" t="str">
        <f t="shared" si="9"/>
        <v/>
      </c>
    </row>
    <row r="632" spans="1:5" x14ac:dyDescent="0.25">
      <c r="A632" s="25"/>
      <c r="B632" s="26"/>
      <c r="C632" s="26"/>
      <c r="E632" t="str">
        <f t="shared" si="9"/>
        <v/>
      </c>
    </row>
    <row r="633" spans="1:5" x14ac:dyDescent="0.25">
      <c r="A633" s="25"/>
      <c r="B633" s="26"/>
      <c r="C633" s="26"/>
      <c r="E633" t="str">
        <f t="shared" si="9"/>
        <v/>
      </c>
    </row>
    <row r="634" spans="1:5" x14ac:dyDescent="0.25">
      <c r="A634" s="25"/>
      <c r="B634" s="26"/>
      <c r="C634" s="26"/>
      <c r="E634" t="str">
        <f t="shared" si="9"/>
        <v/>
      </c>
    </row>
    <row r="635" spans="1:5" x14ac:dyDescent="0.25">
      <c r="A635" s="25"/>
      <c r="B635" s="26"/>
      <c r="C635" s="26"/>
      <c r="E635" t="str">
        <f t="shared" si="9"/>
        <v/>
      </c>
    </row>
    <row r="636" spans="1:5" x14ac:dyDescent="0.25">
      <c r="A636" s="25"/>
      <c r="B636" s="26"/>
      <c r="C636" s="26"/>
      <c r="E636" t="str">
        <f t="shared" si="9"/>
        <v/>
      </c>
    </row>
    <row r="637" spans="1:5" x14ac:dyDescent="0.25">
      <c r="A637" s="25"/>
      <c r="B637" s="26"/>
      <c r="C637" s="26"/>
      <c r="E637" t="str">
        <f t="shared" si="9"/>
        <v/>
      </c>
    </row>
    <row r="638" spans="1:5" x14ac:dyDescent="0.25">
      <c r="A638" s="25"/>
      <c r="B638" s="26"/>
      <c r="C638" s="26"/>
      <c r="E638" t="str">
        <f t="shared" si="9"/>
        <v/>
      </c>
    </row>
    <row r="639" spans="1:5" x14ac:dyDescent="0.25">
      <c r="A639" s="25"/>
      <c r="B639" s="26"/>
      <c r="C639" s="26"/>
      <c r="E639" t="str">
        <f t="shared" si="9"/>
        <v/>
      </c>
    </row>
    <row r="640" spans="1:5" x14ac:dyDescent="0.25">
      <c r="A640" s="25"/>
      <c r="B640" s="26"/>
      <c r="C640" s="26"/>
      <c r="E640" t="str">
        <f t="shared" si="9"/>
        <v/>
      </c>
    </row>
    <row r="641" spans="1:5" x14ac:dyDescent="0.25">
      <c r="A641" s="25"/>
      <c r="B641" s="26"/>
      <c r="C641" s="26"/>
      <c r="E641" t="str">
        <f t="shared" si="9"/>
        <v/>
      </c>
    </row>
    <row r="642" spans="1:5" x14ac:dyDescent="0.25">
      <c r="A642" s="25"/>
      <c r="B642" s="26"/>
      <c r="C642" s="26"/>
      <c r="E642" t="str">
        <f t="shared" si="9"/>
        <v/>
      </c>
    </row>
    <row r="643" spans="1:5" x14ac:dyDescent="0.25">
      <c r="A643" s="25"/>
      <c r="B643" s="26"/>
      <c r="C643" s="26"/>
      <c r="E643" t="str">
        <f t="shared" si="9"/>
        <v/>
      </c>
    </row>
    <row r="644" spans="1:5" x14ac:dyDescent="0.25">
      <c r="A644" s="25"/>
      <c r="B644" s="26"/>
      <c r="C644" s="26"/>
      <c r="E644" t="str">
        <f t="shared" ref="E644:E707" si="10">IF(A644="","",IF(C644="","FALTA TC","OK"))</f>
        <v/>
      </c>
    </row>
    <row r="645" spans="1:5" x14ac:dyDescent="0.25">
      <c r="A645" s="25"/>
      <c r="B645" s="26"/>
      <c r="C645" s="26"/>
      <c r="E645" t="str">
        <f t="shared" si="10"/>
        <v/>
      </c>
    </row>
    <row r="646" spans="1:5" x14ac:dyDescent="0.25">
      <c r="A646" s="25"/>
      <c r="B646" s="26"/>
      <c r="C646" s="26"/>
      <c r="E646" t="str">
        <f t="shared" si="10"/>
        <v/>
      </c>
    </row>
    <row r="647" spans="1:5" x14ac:dyDescent="0.25">
      <c r="A647" s="25"/>
      <c r="B647" s="26"/>
      <c r="C647" s="26"/>
      <c r="E647" t="str">
        <f t="shared" si="10"/>
        <v/>
      </c>
    </row>
    <row r="648" spans="1:5" x14ac:dyDescent="0.25">
      <c r="A648" s="25"/>
      <c r="B648" s="26"/>
      <c r="C648" s="26"/>
      <c r="E648" t="str">
        <f t="shared" si="10"/>
        <v/>
      </c>
    </row>
    <row r="649" spans="1:5" x14ac:dyDescent="0.25">
      <c r="A649" s="25"/>
      <c r="B649" s="26"/>
      <c r="C649" s="26"/>
      <c r="E649" t="str">
        <f t="shared" si="10"/>
        <v/>
      </c>
    </row>
    <row r="650" spans="1:5" x14ac:dyDescent="0.25">
      <c r="A650" s="25"/>
      <c r="B650" s="26"/>
      <c r="C650" s="26"/>
      <c r="E650" t="str">
        <f t="shared" si="10"/>
        <v/>
      </c>
    </row>
    <row r="651" spans="1:5" x14ac:dyDescent="0.25">
      <c r="A651" s="25"/>
      <c r="B651" s="26"/>
      <c r="C651" s="26"/>
      <c r="E651" t="str">
        <f t="shared" si="10"/>
        <v/>
      </c>
    </row>
    <row r="652" spans="1:5" x14ac:dyDescent="0.25">
      <c r="A652" s="25"/>
      <c r="B652" s="26"/>
      <c r="C652" s="26"/>
      <c r="E652" t="str">
        <f t="shared" si="10"/>
        <v/>
      </c>
    </row>
    <row r="653" spans="1:5" x14ac:dyDescent="0.25">
      <c r="A653" s="25"/>
      <c r="B653" s="26"/>
      <c r="C653" s="26"/>
      <c r="E653" t="str">
        <f t="shared" si="10"/>
        <v/>
      </c>
    </row>
    <row r="654" spans="1:5" x14ac:dyDescent="0.25">
      <c r="A654" s="25"/>
      <c r="B654" s="26"/>
      <c r="C654" s="26"/>
      <c r="E654" t="str">
        <f t="shared" si="10"/>
        <v/>
      </c>
    </row>
    <row r="655" spans="1:5" x14ac:dyDescent="0.25">
      <c r="A655" s="25"/>
      <c r="B655" s="26"/>
      <c r="C655" s="26"/>
      <c r="E655" t="str">
        <f t="shared" si="10"/>
        <v/>
      </c>
    </row>
    <row r="656" spans="1:5" x14ac:dyDescent="0.25">
      <c r="A656" s="25"/>
      <c r="B656" s="26"/>
      <c r="C656" s="26"/>
      <c r="E656" t="str">
        <f t="shared" si="10"/>
        <v/>
      </c>
    </row>
    <row r="657" spans="1:5" x14ac:dyDescent="0.25">
      <c r="A657" s="25"/>
      <c r="B657" s="26"/>
      <c r="C657" s="26"/>
      <c r="E657" t="str">
        <f t="shared" si="10"/>
        <v/>
      </c>
    </row>
    <row r="658" spans="1:5" x14ac:dyDescent="0.25">
      <c r="A658" s="25"/>
      <c r="B658" s="26"/>
      <c r="C658" s="26"/>
      <c r="E658" t="str">
        <f t="shared" si="10"/>
        <v/>
      </c>
    </row>
    <row r="659" spans="1:5" x14ac:dyDescent="0.25">
      <c r="A659" s="25"/>
      <c r="B659" s="26"/>
      <c r="C659" s="26"/>
      <c r="E659" t="str">
        <f t="shared" si="10"/>
        <v/>
      </c>
    </row>
    <row r="660" spans="1:5" x14ac:dyDescent="0.25">
      <c r="A660" s="25"/>
      <c r="B660" s="26"/>
      <c r="C660" s="26"/>
      <c r="E660" t="str">
        <f t="shared" si="10"/>
        <v/>
      </c>
    </row>
    <row r="661" spans="1:5" x14ac:dyDescent="0.25">
      <c r="A661" s="25"/>
      <c r="B661" s="26"/>
      <c r="C661" s="26"/>
      <c r="E661" t="str">
        <f t="shared" si="10"/>
        <v/>
      </c>
    </row>
    <row r="662" spans="1:5" x14ac:dyDescent="0.25">
      <c r="A662" s="25"/>
      <c r="B662" s="26"/>
      <c r="C662" s="26"/>
      <c r="E662" t="str">
        <f t="shared" si="10"/>
        <v/>
      </c>
    </row>
    <row r="663" spans="1:5" x14ac:dyDescent="0.25">
      <c r="A663" s="25"/>
      <c r="B663" s="26"/>
      <c r="C663" s="26"/>
      <c r="E663" t="str">
        <f t="shared" si="10"/>
        <v/>
      </c>
    </row>
    <row r="664" spans="1:5" x14ac:dyDescent="0.25">
      <c r="A664" s="25"/>
      <c r="B664" s="26"/>
      <c r="C664" s="26"/>
      <c r="E664" t="str">
        <f t="shared" si="10"/>
        <v/>
      </c>
    </row>
    <row r="665" spans="1:5" x14ac:dyDescent="0.25">
      <c r="A665" s="25"/>
      <c r="B665" s="26"/>
      <c r="C665" s="26"/>
      <c r="E665" t="str">
        <f t="shared" si="10"/>
        <v/>
      </c>
    </row>
    <row r="666" spans="1:5" x14ac:dyDescent="0.25">
      <c r="A666" s="25"/>
      <c r="B666" s="26"/>
      <c r="C666" s="26"/>
      <c r="E666" t="str">
        <f t="shared" si="10"/>
        <v/>
      </c>
    </row>
    <row r="667" spans="1:5" x14ac:dyDescent="0.25">
      <c r="A667" s="25"/>
      <c r="B667" s="26"/>
      <c r="C667" s="26"/>
      <c r="E667" t="str">
        <f t="shared" si="10"/>
        <v/>
      </c>
    </row>
    <row r="668" spans="1:5" x14ac:dyDescent="0.25">
      <c r="A668" s="25"/>
      <c r="B668" s="26"/>
      <c r="C668" s="26"/>
      <c r="E668" t="str">
        <f t="shared" si="10"/>
        <v/>
      </c>
    </row>
    <row r="669" spans="1:5" x14ac:dyDescent="0.25">
      <c r="A669" s="25"/>
      <c r="B669" s="26"/>
      <c r="C669" s="26"/>
      <c r="E669" t="str">
        <f t="shared" si="10"/>
        <v/>
      </c>
    </row>
    <row r="670" spans="1:5" x14ac:dyDescent="0.25">
      <c r="A670" s="25"/>
      <c r="B670" s="26"/>
      <c r="C670" s="26"/>
      <c r="E670" t="str">
        <f t="shared" si="10"/>
        <v/>
      </c>
    </row>
    <row r="671" spans="1:5" x14ac:dyDescent="0.25">
      <c r="A671" s="25"/>
      <c r="B671" s="26"/>
      <c r="C671" s="26"/>
      <c r="E671" t="str">
        <f t="shared" si="10"/>
        <v/>
      </c>
    </row>
    <row r="672" spans="1:5" x14ac:dyDescent="0.25">
      <c r="A672" s="25"/>
      <c r="B672" s="26"/>
      <c r="C672" s="26"/>
      <c r="E672" t="str">
        <f t="shared" si="10"/>
        <v/>
      </c>
    </row>
    <row r="673" spans="1:5" x14ac:dyDescent="0.25">
      <c r="A673" s="25"/>
      <c r="B673" s="26"/>
      <c r="C673" s="26"/>
      <c r="E673" t="str">
        <f t="shared" si="10"/>
        <v/>
      </c>
    </row>
    <row r="674" spans="1:5" x14ac:dyDescent="0.25">
      <c r="A674" s="25"/>
      <c r="B674" s="26"/>
      <c r="C674" s="26"/>
      <c r="E674" t="str">
        <f t="shared" si="10"/>
        <v/>
      </c>
    </row>
    <row r="675" spans="1:5" x14ac:dyDescent="0.25">
      <c r="A675" s="25"/>
      <c r="B675" s="26"/>
      <c r="C675" s="26"/>
      <c r="E675" t="str">
        <f t="shared" si="10"/>
        <v/>
      </c>
    </row>
    <row r="676" spans="1:5" x14ac:dyDescent="0.25">
      <c r="A676" s="25"/>
      <c r="B676" s="26"/>
      <c r="C676" s="26"/>
      <c r="E676" t="str">
        <f t="shared" si="10"/>
        <v/>
      </c>
    </row>
    <row r="677" spans="1:5" x14ac:dyDescent="0.25">
      <c r="A677" s="25"/>
      <c r="B677" s="26"/>
      <c r="C677" s="26"/>
      <c r="E677" t="str">
        <f t="shared" si="10"/>
        <v/>
      </c>
    </row>
    <row r="678" spans="1:5" x14ac:dyDescent="0.25">
      <c r="A678" s="25"/>
      <c r="B678" s="26"/>
      <c r="C678" s="26"/>
      <c r="E678" t="str">
        <f t="shared" si="10"/>
        <v/>
      </c>
    </row>
    <row r="679" spans="1:5" x14ac:dyDescent="0.25">
      <c r="A679" s="25"/>
      <c r="B679" s="26"/>
      <c r="C679" s="26"/>
      <c r="E679" t="str">
        <f t="shared" si="10"/>
        <v/>
      </c>
    </row>
    <row r="680" spans="1:5" x14ac:dyDescent="0.25">
      <c r="A680" s="25"/>
      <c r="B680" s="26"/>
      <c r="C680" s="26"/>
      <c r="E680" t="str">
        <f t="shared" si="10"/>
        <v/>
      </c>
    </row>
    <row r="681" spans="1:5" x14ac:dyDescent="0.25">
      <c r="A681" s="25"/>
      <c r="B681" s="26"/>
      <c r="C681" s="26"/>
      <c r="E681" t="str">
        <f t="shared" si="10"/>
        <v/>
      </c>
    </row>
    <row r="682" spans="1:5" x14ac:dyDescent="0.25">
      <c r="A682" s="25"/>
      <c r="B682" s="26"/>
      <c r="C682" s="26"/>
      <c r="E682" t="str">
        <f t="shared" si="10"/>
        <v/>
      </c>
    </row>
    <row r="683" spans="1:5" x14ac:dyDescent="0.25">
      <c r="A683" s="25"/>
      <c r="B683" s="26"/>
      <c r="C683" s="26"/>
      <c r="E683" t="str">
        <f t="shared" si="10"/>
        <v/>
      </c>
    </row>
    <row r="684" spans="1:5" x14ac:dyDescent="0.25">
      <c r="A684" s="25"/>
      <c r="B684" s="26"/>
      <c r="C684" s="26"/>
      <c r="E684" t="str">
        <f t="shared" si="10"/>
        <v/>
      </c>
    </row>
    <row r="685" spans="1:5" x14ac:dyDescent="0.25">
      <c r="A685" s="25"/>
      <c r="B685" s="26"/>
      <c r="C685" s="26"/>
      <c r="E685" t="str">
        <f t="shared" si="10"/>
        <v/>
      </c>
    </row>
    <row r="686" spans="1:5" x14ac:dyDescent="0.25">
      <c r="A686" s="25"/>
      <c r="B686" s="26"/>
      <c r="C686" s="26"/>
      <c r="E686" t="str">
        <f t="shared" si="10"/>
        <v/>
      </c>
    </row>
    <row r="687" spans="1:5" x14ac:dyDescent="0.25">
      <c r="A687" s="25"/>
      <c r="B687" s="26"/>
      <c r="C687" s="26"/>
      <c r="E687" t="str">
        <f t="shared" si="10"/>
        <v/>
      </c>
    </row>
    <row r="688" spans="1:5" x14ac:dyDescent="0.25">
      <c r="A688" s="25"/>
      <c r="B688" s="26"/>
      <c r="C688" s="26"/>
      <c r="E688" t="str">
        <f t="shared" si="10"/>
        <v/>
      </c>
    </row>
    <row r="689" spans="1:5" x14ac:dyDescent="0.25">
      <c r="A689" s="25"/>
      <c r="B689" s="26"/>
      <c r="C689" s="26"/>
      <c r="E689" t="str">
        <f t="shared" si="10"/>
        <v/>
      </c>
    </row>
    <row r="690" spans="1:5" x14ac:dyDescent="0.25">
      <c r="A690" s="25"/>
      <c r="B690" s="26"/>
      <c r="C690" s="26"/>
      <c r="E690" t="str">
        <f t="shared" si="10"/>
        <v/>
      </c>
    </row>
    <row r="691" spans="1:5" x14ac:dyDescent="0.25">
      <c r="A691" s="25"/>
      <c r="B691" s="26"/>
      <c r="C691" s="26"/>
      <c r="E691" t="str">
        <f t="shared" si="10"/>
        <v/>
      </c>
    </row>
    <row r="692" spans="1:5" x14ac:dyDescent="0.25">
      <c r="A692" s="25"/>
      <c r="B692" s="26"/>
      <c r="C692" s="26"/>
      <c r="E692" t="str">
        <f t="shared" si="10"/>
        <v/>
      </c>
    </row>
    <row r="693" spans="1:5" x14ac:dyDescent="0.25">
      <c r="A693" s="25"/>
      <c r="B693" s="26"/>
      <c r="C693" s="26"/>
      <c r="E693" t="str">
        <f t="shared" si="10"/>
        <v/>
      </c>
    </row>
    <row r="694" spans="1:5" x14ac:dyDescent="0.25">
      <c r="A694" s="25"/>
      <c r="B694" s="26"/>
      <c r="C694" s="26"/>
      <c r="E694" t="str">
        <f t="shared" si="10"/>
        <v/>
      </c>
    </row>
    <row r="695" spans="1:5" x14ac:dyDescent="0.25">
      <c r="A695" s="25"/>
      <c r="B695" s="26"/>
      <c r="C695" s="26"/>
      <c r="E695" t="str">
        <f t="shared" si="10"/>
        <v/>
      </c>
    </row>
    <row r="696" spans="1:5" x14ac:dyDescent="0.25">
      <c r="A696" s="25"/>
      <c r="B696" s="26"/>
      <c r="C696" s="26"/>
      <c r="E696" t="str">
        <f t="shared" si="10"/>
        <v/>
      </c>
    </row>
    <row r="697" spans="1:5" x14ac:dyDescent="0.25">
      <c r="A697" s="25"/>
      <c r="B697" s="26"/>
      <c r="C697" s="26"/>
      <c r="E697" t="str">
        <f t="shared" si="10"/>
        <v/>
      </c>
    </row>
    <row r="698" spans="1:5" x14ac:dyDescent="0.25">
      <c r="A698" s="25"/>
      <c r="B698" s="26"/>
      <c r="C698" s="26"/>
      <c r="E698" t="str">
        <f t="shared" si="10"/>
        <v/>
      </c>
    </row>
    <row r="699" spans="1:5" x14ac:dyDescent="0.25">
      <c r="A699" s="25"/>
      <c r="B699" s="26"/>
      <c r="C699" s="26"/>
      <c r="E699" t="str">
        <f t="shared" si="10"/>
        <v/>
      </c>
    </row>
    <row r="700" spans="1:5" x14ac:dyDescent="0.25">
      <c r="A700" s="25"/>
      <c r="B700" s="26"/>
      <c r="C700" s="26"/>
      <c r="E700" t="str">
        <f t="shared" si="10"/>
        <v/>
      </c>
    </row>
    <row r="701" spans="1:5" x14ac:dyDescent="0.25">
      <c r="A701" s="25"/>
      <c r="B701" s="26"/>
      <c r="C701" s="26"/>
      <c r="E701" t="str">
        <f t="shared" si="10"/>
        <v/>
      </c>
    </row>
    <row r="702" spans="1:5" x14ac:dyDescent="0.25">
      <c r="A702" s="25"/>
      <c r="B702" s="26"/>
      <c r="C702" s="26"/>
      <c r="E702" t="str">
        <f t="shared" si="10"/>
        <v/>
      </c>
    </row>
    <row r="703" spans="1:5" x14ac:dyDescent="0.25">
      <c r="A703" s="25"/>
      <c r="B703" s="26"/>
      <c r="C703" s="26"/>
      <c r="E703" t="str">
        <f t="shared" si="10"/>
        <v/>
      </c>
    </row>
    <row r="704" spans="1:5" x14ac:dyDescent="0.25">
      <c r="A704" s="25"/>
      <c r="B704" s="26"/>
      <c r="C704" s="26"/>
      <c r="E704" t="str">
        <f t="shared" si="10"/>
        <v/>
      </c>
    </row>
    <row r="705" spans="1:5" x14ac:dyDescent="0.25">
      <c r="A705" s="25"/>
      <c r="B705" s="26"/>
      <c r="C705" s="26"/>
      <c r="E705" t="str">
        <f t="shared" si="10"/>
        <v/>
      </c>
    </row>
    <row r="706" spans="1:5" x14ac:dyDescent="0.25">
      <c r="A706" s="25"/>
      <c r="B706" s="26"/>
      <c r="C706" s="26"/>
      <c r="E706" t="str">
        <f t="shared" si="10"/>
        <v/>
      </c>
    </row>
    <row r="707" spans="1:5" x14ac:dyDescent="0.25">
      <c r="A707" s="25"/>
      <c r="B707" s="26"/>
      <c r="C707" s="26"/>
      <c r="E707" t="str">
        <f t="shared" si="10"/>
        <v/>
      </c>
    </row>
    <row r="708" spans="1:5" x14ac:dyDescent="0.25">
      <c r="A708" s="25"/>
      <c r="B708" s="26"/>
      <c r="C708" s="26"/>
      <c r="E708" t="str">
        <f t="shared" ref="E708:E771" si="11">IF(A708="","",IF(C708="","FALTA TC","OK"))</f>
        <v/>
      </c>
    </row>
    <row r="709" spans="1:5" x14ac:dyDescent="0.25">
      <c r="A709" s="25"/>
      <c r="B709" s="26"/>
      <c r="C709" s="26"/>
      <c r="E709" t="str">
        <f t="shared" si="11"/>
        <v/>
      </c>
    </row>
    <row r="710" spans="1:5" x14ac:dyDescent="0.25">
      <c r="A710" s="25"/>
      <c r="B710" s="26"/>
      <c r="C710" s="26"/>
      <c r="E710" t="str">
        <f t="shared" si="11"/>
        <v/>
      </c>
    </row>
    <row r="711" spans="1:5" x14ac:dyDescent="0.25">
      <c r="A711" s="25"/>
      <c r="B711" s="26"/>
      <c r="C711" s="26"/>
      <c r="E711" t="str">
        <f t="shared" si="11"/>
        <v/>
      </c>
    </row>
    <row r="712" spans="1:5" x14ac:dyDescent="0.25">
      <c r="A712" s="25"/>
      <c r="B712" s="26"/>
      <c r="C712" s="26"/>
      <c r="E712" t="str">
        <f t="shared" si="11"/>
        <v/>
      </c>
    </row>
    <row r="713" spans="1:5" x14ac:dyDescent="0.25">
      <c r="A713" s="25"/>
      <c r="B713" s="26"/>
      <c r="C713" s="26"/>
      <c r="E713" t="str">
        <f t="shared" si="11"/>
        <v/>
      </c>
    </row>
    <row r="714" spans="1:5" x14ac:dyDescent="0.25">
      <c r="A714" s="25"/>
      <c r="B714" s="26"/>
      <c r="C714" s="26"/>
      <c r="E714" t="str">
        <f t="shared" si="11"/>
        <v/>
      </c>
    </row>
    <row r="715" spans="1:5" x14ac:dyDescent="0.25">
      <c r="A715" s="25"/>
      <c r="B715" s="26"/>
      <c r="C715" s="26"/>
      <c r="E715" t="str">
        <f t="shared" si="11"/>
        <v/>
      </c>
    </row>
    <row r="716" spans="1:5" x14ac:dyDescent="0.25">
      <c r="A716" s="25"/>
      <c r="B716" s="26"/>
      <c r="C716" s="26"/>
      <c r="E716" t="str">
        <f t="shared" si="11"/>
        <v/>
      </c>
    </row>
    <row r="717" spans="1:5" x14ac:dyDescent="0.25">
      <c r="A717" s="25"/>
      <c r="B717" s="26"/>
      <c r="C717" s="26"/>
      <c r="E717" t="str">
        <f t="shared" si="11"/>
        <v/>
      </c>
    </row>
    <row r="718" spans="1:5" x14ac:dyDescent="0.25">
      <c r="A718" s="25"/>
      <c r="B718" s="26"/>
      <c r="C718" s="26"/>
      <c r="E718" t="str">
        <f t="shared" si="11"/>
        <v/>
      </c>
    </row>
    <row r="719" spans="1:5" x14ac:dyDescent="0.25">
      <c r="A719" s="25"/>
      <c r="B719" s="26"/>
      <c r="C719" s="26"/>
      <c r="E719" t="str">
        <f t="shared" si="11"/>
        <v/>
      </c>
    </row>
    <row r="720" spans="1:5" x14ac:dyDescent="0.25">
      <c r="A720" s="25"/>
      <c r="B720" s="26"/>
      <c r="C720" s="26"/>
      <c r="E720" t="str">
        <f t="shared" si="11"/>
        <v/>
      </c>
    </row>
    <row r="721" spans="1:5" x14ac:dyDescent="0.25">
      <c r="A721" s="25"/>
      <c r="B721" s="26"/>
      <c r="C721" s="26"/>
      <c r="E721" t="str">
        <f t="shared" si="11"/>
        <v/>
      </c>
    </row>
    <row r="722" spans="1:5" x14ac:dyDescent="0.25">
      <c r="A722" s="25"/>
      <c r="B722" s="26"/>
      <c r="C722" s="26"/>
      <c r="E722" t="str">
        <f t="shared" si="11"/>
        <v/>
      </c>
    </row>
    <row r="723" spans="1:5" x14ac:dyDescent="0.25">
      <c r="A723" s="25"/>
      <c r="B723" s="26"/>
      <c r="C723" s="26"/>
      <c r="E723" t="str">
        <f t="shared" si="11"/>
        <v/>
      </c>
    </row>
    <row r="724" spans="1:5" x14ac:dyDescent="0.25">
      <c r="A724" s="25"/>
      <c r="B724" s="26"/>
      <c r="C724" s="26"/>
      <c r="E724" t="str">
        <f t="shared" si="11"/>
        <v/>
      </c>
    </row>
    <row r="725" spans="1:5" x14ac:dyDescent="0.25">
      <c r="A725" s="25"/>
      <c r="B725" s="26"/>
      <c r="C725" s="26"/>
      <c r="E725" t="str">
        <f t="shared" si="11"/>
        <v/>
      </c>
    </row>
    <row r="726" spans="1:5" x14ac:dyDescent="0.25">
      <c r="A726" s="25"/>
      <c r="B726" s="26"/>
      <c r="C726" s="26"/>
      <c r="E726" t="str">
        <f t="shared" si="11"/>
        <v/>
      </c>
    </row>
    <row r="727" spans="1:5" x14ac:dyDescent="0.25">
      <c r="A727" s="25"/>
      <c r="B727" s="26"/>
      <c r="C727" s="26"/>
      <c r="E727" t="str">
        <f t="shared" si="11"/>
        <v/>
      </c>
    </row>
    <row r="728" spans="1:5" x14ac:dyDescent="0.25">
      <c r="A728" s="25"/>
      <c r="B728" s="26"/>
      <c r="C728" s="26"/>
      <c r="E728" t="str">
        <f t="shared" si="11"/>
        <v/>
      </c>
    </row>
    <row r="729" spans="1:5" x14ac:dyDescent="0.25">
      <c r="A729" s="25"/>
      <c r="B729" s="26"/>
      <c r="C729" s="26"/>
      <c r="E729" t="str">
        <f t="shared" si="11"/>
        <v/>
      </c>
    </row>
    <row r="730" spans="1:5" x14ac:dyDescent="0.25">
      <c r="A730" s="25"/>
      <c r="B730" s="26"/>
      <c r="C730" s="26"/>
      <c r="E730" t="str">
        <f t="shared" si="11"/>
        <v/>
      </c>
    </row>
    <row r="731" spans="1:5" x14ac:dyDescent="0.25">
      <c r="A731" s="25"/>
      <c r="B731" s="26"/>
      <c r="C731" s="26"/>
      <c r="E731" t="str">
        <f t="shared" si="11"/>
        <v/>
      </c>
    </row>
    <row r="732" spans="1:5" x14ac:dyDescent="0.25">
      <c r="A732" s="25"/>
      <c r="B732" s="26"/>
      <c r="C732" s="26"/>
      <c r="E732" t="str">
        <f t="shared" si="11"/>
        <v/>
      </c>
    </row>
    <row r="733" spans="1:5" x14ac:dyDescent="0.25">
      <c r="A733" s="25"/>
      <c r="B733" s="26"/>
      <c r="C733" s="26"/>
      <c r="E733" t="str">
        <f t="shared" si="11"/>
        <v/>
      </c>
    </row>
    <row r="734" spans="1:5" x14ac:dyDescent="0.25">
      <c r="A734" s="25"/>
      <c r="B734" s="26"/>
      <c r="C734" s="26"/>
      <c r="E734" t="str">
        <f t="shared" si="11"/>
        <v/>
      </c>
    </row>
    <row r="735" spans="1:5" x14ac:dyDescent="0.25">
      <c r="A735" s="25"/>
      <c r="B735" s="26"/>
      <c r="C735" s="26"/>
      <c r="E735" t="str">
        <f t="shared" si="11"/>
        <v/>
      </c>
    </row>
    <row r="736" spans="1:5" x14ac:dyDescent="0.25">
      <c r="A736" s="25"/>
      <c r="B736" s="26"/>
      <c r="C736" s="26"/>
      <c r="E736" t="str">
        <f t="shared" si="11"/>
        <v/>
      </c>
    </row>
    <row r="737" spans="1:5" x14ac:dyDescent="0.25">
      <c r="A737" s="25"/>
      <c r="B737" s="26"/>
      <c r="C737" s="26"/>
      <c r="E737" t="str">
        <f t="shared" si="11"/>
        <v/>
      </c>
    </row>
    <row r="738" spans="1:5" x14ac:dyDescent="0.25">
      <c r="A738" s="25"/>
      <c r="B738" s="26"/>
      <c r="C738" s="26"/>
      <c r="E738" t="str">
        <f t="shared" si="11"/>
        <v/>
      </c>
    </row>
    <row r="739" spans="1:5" x14ac:dyDescent="0.25">
      <c r="A739" s="25"/>
      <c r="B739" s="26"/>
      <c r="C739" s="26"/>
      <c r="E739" t="str">
        <f t="shared" si="11"/>
        <v/>
      </c>
    </row>
    <row r="740" spans="1:5" x14ac:dyDescent="0.25">
      <c r="A740" s="25"/>
      <c r="B740" s="26"/>
      <c r="C740" s="26"/>
      <c r="E740" t="str">
        <f t="shared" si="11"/>
        <v/>
      </c>
    </row>
    <row r="741" spans="1:5" x14ac:dyDescent="0.25">
      <c r="A741" s="25"/>
      <c r="B741" s="26"/>
      <c r="C741" s="26"/>
      <c r="E741" t="str">
        <f t="shared" si="11"/>
        <v/>
      </c>
    </row>
    <row r="742" spans="1:5" x14ac:dyDescent="0.25">
      <c r="A742" s="25"/>
      <c r="B742" s="26"/>
      <c r="C742" s="26"/>
      <c r="E742" t="str">
        <f t="shared" si="11"/>
        <v/>
      </c>
    </row>
    <row r="743" spans="1:5" x14ac:dyDescent="0.25">
      <c r="A743" s="25"/>
      <c r="B743" s="26"/>
      <c r="C743" s="26"/>
      <c r="E743" t="str">
        <f t="shared" si="11"/>
        <v/>
      </c>
    </row>
    <row r="744" spans="1:5" x14ac:dyDescent="0.25">
      <c r="A744" s="25"/>
      <c r="B744" s="26"/>
      <c r="C744" s="26"/>
      <c r="E744" t="str">
        <f t="shared" si="11"/>
        <v/>
      </c>
    </row>
    <row r="745" spans="1:5" x14ac:dyDescent="0.25">
      <c r="A745" s="25"/>
      <c r="B745" s="26"/>
      <c r="C745" s="26"/>
      <c r="E745" t="str">
        <f t="shared" si="11"/>
        <v/>
      </c>
    </row>
    <row r="746" spans="1:5" x14ac:dyDescent="0.25">
      <c r="A746" s="25"/>
      <c r="B746" s="26"/>
      <c r="C746" s="26"/>
      <c r="E746" t="str">
        <f t="shared" si="11"/>
        <v/>
      </c>
    </row>
    <row r="747" spans="1:5" x14ac:dyDescent="0.25">
      <c r="A747" s="25"/>
      <c r="B747" s="26"/>
      <c r="C747" s="26"/>
      <c r="E747" t="str">
        <f t="shared" si="11"/>
        <v/>
      </c>
    </row>
    <row r="748" spans="1:5" x14ac:dyDescent="0.25">
      <c r="A748" s="25"/>
      <c r="B748" s="26"/>
      <c r="C748" s="26"/>
      <c r="E748" t="str">
        <f t="shared" si="11"/>
        <v/>
      </c>
    </row>
    <row r="749" spans="1:5" x14ac:dyDescent="0.25">
      <c r="A749" s="25"/>
      <c r="B749" s="26"/>
      <c r="C749" s="26"/>
      <c r="E749" t="str">
        <f t="shared" si="11"/>
        <v/>
      </c>
    </row>
    <row r="750" spans="1:5" x14ac:dyDescent="0.25">
      <c r="A750" s="25"/>
      <c r="B750" s="26"/>
      <c r="C750" s="26"/>
      <c r="E750" t="str">
        <f t="shared" si="11"/>
        <v/>
      </c>
    </row>
    <row r="751" spans="1:5" x14ac:dyDescent="0.25">
      <c r="A751" s="25"/>
      <c r="B751" s="26"/>
      <c r="C751" s="26"/>
      <c r="E751" t="str">
        <f t="shared" si="11"/>
        <v/>
      </c>
    </row>
    <row r="752" spans="1:5" x14ac:dyDescent="0.25">
      <c r="A752" s="25"/>
      <c r="B752" s="26"/>
      <c r="C752" s="26"/>
      <c r="E752" t="str">
        <f t="shared" si="11"/>
        <v/>
      </c>
    </row>
    <row r="753" spans="1:5" x14ac:dyDescent="0.25">
      <c r="A753" s="25"/>
      <c r="B753" s="26"/>
      <c r="C753" s="26"/>
      <c r="E753" t="str">
        <f t="shared" si="11"/>
        <v/>
      </c>
    </row>
    <row r="754" spans="1:5" x14ac:dyDescent="0.25">
      <c r="A754" s="25"/>
      <c r="B754" s="26"/>
      <c r="C754" s="26"/>
      <c r="E754" t="str">
        <f t="shared" si="11"/>
        <v/>
      </c>
    </row>
    <row r="755" spans="1:5" x14ac:dyDescent="0.25">
      <c r="A755" s="25"/>
      <c r="B755" s="26"/>
      <c r="C755" s="26"/>
      <c r="E755" t="str">
        <f t="shared" si="11"/>
        <v/>
      </c>
    </row>
    <row r="756" spans="1:5" x14ac:dyDescent="0.25">
      <c r="A756" s="25"/>
      <c r="B756" s="26"/>
      <c r="C756" s="26"/>
      <c r="E756" t="str">
        <f t="shared" si="11"/>
        <v/>
      </c>
    </row>
    <row r="757" spans="1:5" x14ac:dyDescent="0.25">
      <c r="A757" s="25"/>
      <c r="B757" s="26"/>
      <c r="C757" s="26"/>
      <c r="E757" t="str">
        <f t="shared" si="11"/>
        <v/>
      </c>
    </row>
    <row r="758" spans="1:5" x14ac:dyDescent="0.25">
      <c r="A758" s="25"/>
      <c r="B758" s="26"/>
      <c r="C758" s="26"/>
      <c r="E758" t="str">
        <f t="shared" si="11"/>
        <v/>
      </c>
    </row>
    <row r="759" spans="1:5" x14ac:dyDescent="0.25">
      <c r="A759" s="25"/>
      <c r="B759" s="26"/>
      <c r="C759" s="26"/>
      <c r="E759" t="str">
        <f t="shared" si="11"/>
        <v/>
      </c>
    </row>
    <row r="760" spans="1:5" x14ac:dyDescent="0.25">
      <c r="A760" s="25"/>
      <c r="B760" s="26"/>
      <c r="C760" s="26"/>
      <c r="E760" t="str">
        <f t="shared" si="11"/>
        <v/>
      </c>
    </row>
    <row r="761" spans="1:5" x14ac:dyDescent="0.25">
      <c r="A761" s="25"/>
      <c r="B761" s="26"/>
      <c r="C761" s="26"/>
      <c r="E761" t="str">
        <f t="shared" si="11"/>
        <v/>
      </c>
    </row>
    <row r="762" spans="1:5" x14ac:dyDescent="0.25">
      <c r="A762" s="25"/>
      <c r="B762" s="26"/>
      <c r="C762" s="26"/>
      <c r="E762" t="str">
        <f t="shared" si="11"/>
        <v/>
      </c>
    </row>
    <row r="763" spans="1:5" x14ac:dyDescent="0.25">
      <c r="A763" s="25"/>
      <c r="B763" s="26"/>
      <c r="C763" s="26"/>
      <c r="E763" t="str">
        <f t="shared" si="11"/>
        <v/>
      </c>
    </row>
    <row r="764" spans="1:5" x14ac:dyDescent="0.25">
      <c r="A764" s="25"/>
      <c r="B764" s="26"/>
      <c r="C764" s="26"/>
      <c r="E764" t="str">
        <f t="shared" si="11"/>
        <v/>
      </c>
    </row>
    <row r="765" spans="1:5" x14ac:dyDescent="0.25">
      <c r="A765" s="25"/>
      <c r="B765" s="26"/>
      <c r="C765" s="26"/>
      <c r="E765" t="str">
        <f t="shared" si="11"/>
        <v/>
      </c>
    </row>
    <row r="766" spans="1:5" x14ac:dyDescent="0.25">
      <c r="A766" s="25"/>
      <c r="B766" s="26"/>
      <c r="C766" s="26"/>
      <c r="E766" t="str">
        <f t="shared" si="11"/>
        <v/>
      </c>
    </row>
    <row r="767" spans="1:5" x14ac:dyDescent="0.25">
      <c r="A767" s="25"/>
      <c r="B767" s="26"/>
      <c r="C767" s="26"/>
      <c r="E767" t="str">
        <f t="shared" si="11"/>
        <v/>
      </c>
    </row>
    <row r="768" spans="1:5" x14ac:dyDescent="0.25">
      <c r="A768" s="25"/>
      <c r="B768" s="26"/>
      <c r="C768" s="26"/>
      <c r="E768" t="str">
        <f t="shared" si="11"/>
        <v/>
      </c>
    </row>
    <row r="769" spans="1:5" x14ac:dyDescent="0.25">
      <c r="A769" s="25"/>
      <c r="B769" s="26"/>
      <c r="C769" s="26"/>
      <c r="E769" t="str">
        <f t="shared" si="11"/>
        <v/>
      </c>
    </row>
    <row r="770" spans="1:5" x14ac:dyDescent="0.25">
      <c r="A770" s="25"/>
      <c r="B770" s="26"/>
      <c r="C770" s="26"/>
      <c r="E770" t="str">
        <f t="shared" si="11"/>
        <v/>
      </c>
    </row>
    <row r="771" spans="1:5" x14ac:dyDescent="0.25">
      <c r="A771" s="25"/>
      <c r="B771" s="26"/>
      <c r="C771" s="26"/>
      <c r="E771" t="str">
        <f t="shared" si="11"/>
        <v/>
      </c>
    </row>
    <row r="772" spans="1:5" x14ac:dyDescent="0.25">
      <c r="A772" s="25"/>
      <c r="B772" s="26"/>
      <c r="C772" s="26"/>
      <c r="E772" t="str">
        <f t="shared" ref="E772:E835" si="12">IF(A772="","",IF(C772="","FALTA TC","OK"))</f>
        <v/>
      </c>
    </row>
    <row r="773" spans="1:5" x14ac:dyDescent="0.25">
      <c r="A773" s="25"/>
      <c r="B773" s="26"/>
      <c r="C773" s="26"/>
      <c r="E773" t="str">
        <f t="shared" si="12"/>
        <v/>
      </c>
    </row>
    <row r="774" spans="1:5" x14ac:dyDescent="0.25">
      <c r="A774" s="25"/>
      <c r="B774" s="26"/>
      <c r="C774" s="26"/>
      <c r="E774" t="str">
        <f t="shared" si="12"/>
        <v/>
      </c>
    </row>
    <row r="775" spans="1:5" x14ac:dyDescent="0.25">
      <c r="A775" s="25"/>
      <c r="B775" s="26"/>
      <c r="C775" s="26"/>
      <c r="E775" t="str">
        <f t="shared" si="12"/>
        <v/>
      </c>
    </row>
    <row r="776" spans="1:5" x14ac:dyDescent="0.25">
      <c r="A776" s="25"/>
      <c r="B776" s="26"/>
      <c r="C776" s="26"/>
      <c r="E776" t="str">
        <f t="shared" si="12"/>
        <v/>
      </c>
    </row>
    <row r="777" spans="1:5" x14ac:dyDescent="0.25">
      <c r="A777" s="25"/>
      <c r="B777" s="26"/>
      <c r="C777" s="26"/>
      <c r="E777" t="str">
        <f t="shared" si="12"/>
        <v/>
      </c>
    </row>
    <row r="778" spans="1:5" x14ac:dyDescent="0.25">
      <c r="A778" s="25"/>
      <c r="B778" s="26"/>
      <c r="C778" s="26"/>
      <c r="E778" t="str">
        <f t="shared" si="12"/>
        <v/>
      </c>
    </row>
    <row r="779" spans="1:5" x14ac:dyDescent="0.25">
      <c r="A779" s="25"/>
      <c r="B779" s="26"/>
      <c r="C779" s="26"/>
      <c r="E779" t="str">
        <f t="shared" si="12"/>
        <v/>
      </c>
    </row>
    <row r="780" spans="1:5" x14ac:dyDescent="0.25">
      <c r="A780" s="25"/>
      <c r="B780" s="26"/>
      <c r="C780" s="26"/>
      <c r="E780" t="str">
        <f t="shared" si="12"/>
        <v/>
      </c>
    </row>
    <row r="781" spans="1:5" x14ac:dyDescent="0.25">
      <c r="A781" s="25"/>
      <c r="B781" s="26"/>
      <c r="C781" s="26"/>
      <c r="E781" t="str">
        <f t="shared" si="12"/>
        <v/>
      </c>
    </row>
    <row r="782" spans="1:5" x14ac:dyDescent="0.25">
      <c r="A782" s="25"/>
      <c r="B782" s="26"/>
      <c r="C782" s="26"/>
      <c r="E782" t="str">
        <f t="shared" si="12"/>
        <v/>
      </c>
    </row>
    <row r="783" spans="1:5" x14ac:dyDescent="0.25">
      <c r="A783" s="25"/>
      <c r="B783" s="26"/>
      <c r="C783" s="26"/>
      <c r="E783" t="str">
        <f t="shared" si="12"/>
        <v/>
      </c>
    </row>
    <row r="784" spans="1:5" x14ac:dyDescent="0.25">
      <c r="A784" s="25"/>
      <c r="B784" s="26"/>
      <c r="C784" s="26"/>
      <c r="E784" t="str">
        <f t="shared" si="12"/>
        <v/>
      </c>
    </row>
    <row r="785" spans="1:5" x14ac:dyDescent="0.25">
      <c r="A785" s="25"/>
      <c r="B785" s="26"/>
      <c r="C785" s="26"/>
      <c r="E785" t="str">
        <f t="shared" si="12"/>
        <v/>
      </c>
    </row>
    <row r="786" spans="1:5" x14ac:dyDescent="0.25">
      <c r="A786" s="25"/>
      <c r="B786" s="26"/>
      <c r="C786" s="26"/>
      <c r="E786" t="str">
        <f t="shared" si="12"/>
        <v/>
      </c>
    </row>
    <row r="787" spans="1:5" x14ac:dyDescent="0.25">
      <c r="A787" s="25"/>
      <c r="B787" s="26"/>
      <c r="C787" s="26"/>
      <c r="E787" t="str">
        <f t="shared" si="12"/>
        <v/>
      </c>
    </row>
    <row r="788" spans="1:5" x14ac:dyDescent="0.25">
      <c r="A788" s="25"/>
      <c r="B788" s="26"/>
      <c r="C788" s="26"/>
      <c r="E788" t="str">
        <f t="shared" si="12"/>
        <v/>
      </c>
    </row>
    <row r="789" spans="1:5" x14ac:dyDescent="0.25">
      <c r="A789" s="25"/>
      <c r="B789" s="26"/>
      <c r="C789" s="26"/>
      <c r="E789" t="str">
        <f t="shared" si="12"/>
        <v/>
      </c>
    </row>
    <row r="790" spans="1:5" x14ac:dyDescent="0.25">
      <c r="A790" s="25"/>
      <c r="B790" s="26"/>
      <c r="C790" s="26"/>
      <c r="E790" t="str">
        <f t="shared" si="12"/>
        <v/>
      </c>
    </row>
    <row r="791" spans="1:5" x14ac:dyDescent="0.25">
      <c r="A791" s="25"/>
      <c r="B791" s="26"/>
      <c r="C791" s="26"/>
      <c r="E791" t="str">
        <f t="shared" si="12"/>
        <v/>
      </c>
    </row>
    <row r="792" spans="1:5" x14ac:dyDescent="0.25">
      <c r="A792" s="25"/>
      <c r="B792" s="26"/>
      <c r="C792" s="26"/>
      <c r="E792" t="str">
        <f t="shared" si="12"/>
        <v/>
      </c>
    </row>
    <row r="793" spans="1:5" x14ac:dyDescent="0.25">
      <c r="A793" s="25"/>
      <c r="B793" s="26"/>
      <c r="C793" s="26"/>
      <c r="E793" t="str">
        <f t="shared" si="12"/>
        <v/>
      </c>
    </row>
    <row r="794" spans="1:5" x14ac:dyDescent="0.25">
      <c r="A794" s="25"/>
      <c r="B794" s="26"/>
      <c r="C794" s="26"/>
      <c r="E794" t="str">
        <f t="shared" si="12"/>
        <v/>
      </c>
    </row>
    <row r="795" spans="1:5" x14ac:dyDescent="0.25">
      <c r="A795" s="25"/>
      <c r="B795" s="26"/>
      <c r="C795" s="26"/>
      <c r="E795" t="str">
        <f t="shared" si="12"/>
        <v/>
      </c>
    </row>
    <row r="796" spans="1:5" x14ac:dyDescent="0.25">
      <c r="A796" s="25"/>
      <c r="B796" s="26"/>
      <c r="C796" s="26"/>
      <c r="E796" t="str">
        <f t="shared" si="12"/>
        <v/>
      </c>
    </row>
    <row r="797" spans="1:5" x14ac:dyDescent="0.25">
      <c r="A797" s="25"/>
      <c r="B797" s="26"/>
      <c r="C797" s="26"/>
      <c r="E797" t="str">
        <f t="shared" si="12"/>
        <v/>
      </c>
    </row>
    <row r="798" spans="1:5" x14ac:dyDescent="0.25">
      <c r="A798" s="25"/>
      <c r="B798" s="26"/>
      <c r="C798" s="26"/>
      <c r="E798" t="str">
        <f t="shared" si="12"/>
        <v/>
      </c>
    </row>
    <row r="799" spans="1:5" x14ac:dyDescent="0.25">
      <c r="A799" s="25"/>
      <c r="B799" s="26"/>
      <c r="C799" s="26"/>
      <c r="E799" t="str">
        <f t="shared" si="12"/>
        <v/>
      </c>
    </row>
    <row r="800" spans="1:5" x14ac:dyDescent="0.25">
      <c r="A800" s="25"/>
      <c r="B800" s="26"/>
      <c r="C800" s="26"/>
      <c r="E800" t="str">
        <f t="shared" si="12"/>
        <v/>
      </c>
    </row>
    <row r="801" spans="1:5" x14ac:dyDescent="0.25">
      <c r="A801" s="25"/>
      <c r="B801" s="26"/>
      <c r="C801" s="26"/>
      <c r="E801" t="str">
        <f t="shared" si="12"/>
        <v/>
      </c>
    </row>
    <row r="802" spans="1:5" x14ac:dyDescent="0.25">
      <c r="A802" s="25"/>
      <c r="B802" s="26"/>
      <c r="C802" s="26"/>
      <c r="E802" t="str">
        <f t="shared" si="12"/>
        <v/>
      </c>
    </row>
    <row r="803" spans="1:5" x14ac:dyDescent="0.25">
      <c r="A803" s="25"/>
      <c r="B803" s="26"/>
      <c r="C803" s="26"/>
      <c r="E803" t="str">
        <f t="shared" si="12"/>
        <v/>
      </c>
    </row>
    <row r="804" spans="1:5" x14ac:dyDescent="0.25">
      <c r="A804" s="25"/>
      <c r="B804" s="26"/>
      <c r="C804" s="26"/>
      <c r="E804" t="str">
        <f t="shared" si="12"/>
        <v/>
      </c>
    </row>
    <row r="805" spans="1:5" x14ac:dyDescent="0.25">
      <c r="A805" s="25"/>
      <c r="B805" s="26"/>
      <c r="C805" s="26"/>
      <c r="E805" t="str">
        <f t="shared" si="12"/>
        <v/>
      </c>
    </row>
    <row r="806" spans="1:5" x14ac:dyDescent="0.25">
      <c r="A806" s="25"/>
      <c r="B806" s="26"/>
      <c r="C806" s="26"/>
      <c r="E806" t="str">
        <f t="shared" si="12"/>
        <v/>
      </c>
    </row>
    <row r="807" spans="1:5" x14ac:dyDescent="0.25">
      <c r="A807" s="25"/>
      <c r="B807" s="26"/>
      <c r="C807" s="26"/>
      <c r="E807" t="str">
        <f t="shared" si="12"/>
        <v/>
      </c>
    </row>
    <row r="808" spans="1:5" x14ac:dyDescent="0.25">
      <c r="A808" s="25"/>
      <c r="B808" s="26"/>
      <c r="C808" s="26"/>
      <c r="E808" t="str">
        <f t="shared" si="12"/>
        <v/>
      </c>
    </row>
    <row r="809" spans="1:5" x14ac:dyDescent="0.25">
      <c r="A809" s="25"/>
      <c r="B809" s="26"/>
      <c r="C809" s="26"/>
      <c r="E809" t="str">
        <f t="shared" si="12"/>
        <v/>
      </c>
    </row>
    <row r="810" spans="1:5" x14ac:dyDescent="0.25">
      <c r="A810" s="25"/>
      <c r="B810" s="26"/>
      <c r="C810" s="26"/>
      <c r="E810" t="str">
        <f t="shared" si="12"/>
        <v/>
      </c>
    </row>
    <row r="811" spans="1:5" x14ac:dyDescent="0.25">
      <c r="A811" s="25"/>
      <c r="B811" s="26"/>
      <c r="C811" s="26"/>
      <c r="E811" t="str">
        <f t="shared" si="12"/>
        <v/>
      </c>
    </row>
    <row r="812" spans="1:5" x14ac:dyDescent="0.25">
      <c r="A812" s="25"/>
      <c r="B812" s="26"/>
      <c r="C812" s="26"/>
      <c r="E812" t="str">
        <f t="shared" si="12"/>
        <v/>
      </c>
    </row>
    <row r="813" spans="1:5" x14ac:dyDescent="0.25">
      <c r="A813" s="25"/>
      <c r="B813" s="26"/>
      <c r="C813" s="26"/>
      <c r="E813" t="str">
        <f t="shared" si="12"/>
        <v/>
      </c>
    </row>
    <row r="814" spans="1:5" x14ac:dyDescent="0.25">
      <c r="A814" s="25"/>
      <c r="B814" s="26"/>
      <c r="C814" s="26"/>
      <c r="E814" t="str">
        <f t="shared" si="12"/>
        <v/>
      </c>
    </row>
    <row r="815" spans="1:5" x14ac:dyDescent="0.25">
      <c r="A815" s="25"/>
      <c r="B815" s="26"/>
      <c r="C815" s="26"/>
      <c r="E815" t="str">
        <f t="shared" si="12"/>
        <v/>
      </c>
    </row>
    <row r="816" spans="1:5" x14ac:dyDescent="0.25">
      <c r="A816" s="25"/>
      <c r="B816" s="26"/>
      <c r="C816" s="26"/>
      <c r="E816" t="str">
        <f t="shared" si="12"/>
        <v/>
      </c>
    </row>
    <row r="817" spans="1:5" x14ac:dyDescent="0.25">
      <c r="A817" s="25"/>
      <c r="B817" s="26"/>
      <c r="C817" s="26"/>
      <c r="E817" t="str">
        <f t="shared" si="12"/>
        <v/>
      </c>
    </row>
    <row r="818" spans="1:5" x14ac:dyDescent="0.25">
      <c r="A818" s="25"/>
      <c r="B818" s="26"/>
      <c r="C818" s="26"/>
      <c r="E818" t="str">
        <f t="shared" si="12"/>
        <v/>
      </c>
    </row>
    <row r="819" spans="1:5" x14ac:dyDescent="0.25">
      <c r="A819" s="25"/>
      <c r="B819" s="26"/>
      <c r="C819" s="26"/>
      <c r="E819" t="str">
        <f t="shared" si="12"/>
        <v/>
      </c>
    </row>
    <row r="820" spans="1:5" x14ac:dyDescent="0.25">
      <c r="A820" s="25"/>
      <c r="B820" s="26"/>
      <c r="C820" s="26"/>
      <c r="E820" t="str">
        <f t="shared" si="12"/>
        <v/>
      </c>
    </row>
    <row r="821" spans="1:5" x14ac:dyDescent="0.25">
      <c r="A821" s="25"/>
      <c r="B821" s="26"/>
      <c r="C821" s="26"/>
      <c r="E821" t="str">
        <f t="shared" si="12"/>
        <v/>
      </c>
    </row>
    <row r="822" spans="1:5" x14ac:dyDescent="0.25">
      <c r="A822" s="25"/>
      <c r="B822" s="26"/>
      <c r="C822" s="26"/>
      <c r="E822" t="str">
        <f t="shared" si="12"/>
        <v/>
      </c>
    </row>
    <row r="823" spans="1:5" x14ac:dyDescent="0.25">
      <c r="A823" s="25"/>
      <c r="B823" s="26"/>
      <c r="C823" s="26"/>
      <c r="E823" t="str">
        <f t="shared" si="12"/>
        <v/>
      </c>
    </row>
    <row r="824" spans="1:5" x14ac:dyDescent="0.25">
      <c r="A824" s="25"/>
      <c r="B824" s="26"/>
      <c r="C824" s="26"/>
      <c r="E824" t="str">
        <f t="shared" si="12"/>
        <v/>
      </c>
    </row>
    <row r="825" spans="1:5" x14ac:dyDescent="0.25">
      <c r="A825" s="25"/>
      <c r="B825" s="26"/>
      <c r="C825" s="26"/>
      <c r="E825" t="str">
        <f t="shared" si="12"/>
        <v/>
      </c>
    </row>
    <row r="826" spans="1:5" x14ac:dyDescent="0.25">
      <c r="A826" s="25"/>
      <c r="B826" s="26"/>
      <c r="C826" s="26"/>
      <c r="E826" t="str">
        <f t="shared" si="12"/>
        <v/>
      </c>
    </row>
    <row r="827" spans="1:5" x14ac:dyDescent="0.25">
      <c r="A827" s="25"/>
      <c r="B827" s="26"/>
      <c r="C827" s="26"/>
      <c r="E827" t="str">
        <f t="shared" si="12"/>
        <v/>
      </c>
    </row>
    <row r="828" spans="1:5" x14ac:dyDescent="0.25">
      <c r="A828" s="25"/>
      <c r="B828" s="26"/>
      <c r="C828" s="26"/>
      <c r="E828" t="str">
        <f t="shared" si="12"/>
        <v/>
      </c>
    </row>
    <row r="829" spans="1:5" x14ac:dyDescent="0.25">
      <c r="A829" s="25"/>
      <c r="B829" s="26"/>
      <c r="C829" s="26"/>
      <c r="E829" t="str">
        <f t="shared" si="12"/>
        <v/>
      </c>
    </row>
    <row r="830" spans="1:5" x14ac:dyDescent="0.25">
      <c r="A830" s="25"/>
      <c r="B830" s="26"/>
      <c r="C830" s="26"/>
      <c r="E830" t="str">
        <f t="shared" si="12"/>
        <v/>
      </c>
    </row>
    <row r="831" spans="1:5" x14ac:dyDescent="0.25">
      <c r="A831" s="25"/>
      <c r="B831" s="26"/>
      <c r="C831" s="26"/>
      <c r="E831" t="str">
        <f t="shared" si="12"/>
        <v/>
      </c>
    </row>
    <row r="832" spans="1:5" x14ac:dyDescent="0.25">
      <c r="A832" s="25"/>
      <c r="B832" s="26"/>
      <c r="C832" s="26"/>
      <c r="E832" t="str">
        <f t="shared" si="12"/>
        <v/>
      </c>
    </row>
    <row r="833" spans="1:5" x14ac:dyDescent="0.25">
      <c r="A833" s="25"/>
      <c r="B833" s="26"/>
      <c r="C833" s="26"/>
      <c r="E833" t="str">
        <f t="shared" si="12"/>
        <v/>
      </c>
    </row>
    <row r="834" spans="1:5" x14ac:dyDescent="0.25">
      <c r="A834" s="25"/>
      <c r="B834" s="26"/>
      <c r="C834" s="26"/>
      <c r="E834" t="str">
        <f t="shared" si="12"/>
        <v/>
      </c>
    </row>
    <row r="835" spans="1:5" x14ac:dyDescent="0.25">
      <c r="A835" s="25"/>
      <c r="B835" s="26"/>
      <c r="C835" s="26"/>
      <c r="E835" t="str">
        <f t="shared" si="12"/>
        <v/>
      </c>
    </row>
    <row r="836" spans="1:5" x14ac:dyDescent="0.25">
      <c r="A836" s="25"/>
      <c r="B836" s="26"/>
      <c r="C836" s="26"/>
      <c r="E836" t="str">
        <f t="shared" ref="E836:E899" si="13">IF(A836="","",IF(C836="","FALTA TC","OK"))</f>
        <v/>
      </c>
    </row>
    <row r="837" spans="1:5" x14ac:dyDescent="0.25">
      <c r="A837" s="25"/>
      <c r="B837" s="26"/>
      <c r="C837" s="26"/>
      <c r="E837" t="str">
        <f t="shared" si="13"/>
        <v/>
      </c>
    </row>
    <row r="838" spans="1:5" x14ac:dyDescent="0.25">
      <c r="A838" s="25"/>
      <c r="B838" s="26"/>
      <c r="C838" s="26"/>
      <c r="E838" t="str">
        <f t="shared" si="13"/>
        <v/>
      </c>
    </row>
    <row r="839" spans="1:5" x14ac:dyDescent="0.25">
      <c r="A839" s="25"/>
      <c r="B839" s="26"/>
      <c r="C839" s="26"/>
      <c r="E839" t="str">
        <f t="shared" si="13"/>
        <v/>
      </c>
    </row>
    <row r="840" spans="1:5" x14ac:dyDescent="0.25">
      <c r="A840" s="25"/>
      <c r="B840" s="26"/>
      <c r="C840" s="26"/>
      <c r="E840" t="str">
        <f t="shared" si="13"/>
        <v/>
      </c>
    </row>
    <row r="841" spans="1:5" x14ac:dyDescent="0.25">
      <c r="A841" s="25"/>
      <c r="B841" s="26"/>
      <c r="C841" s="26"/>
      <c r="E841" t="str">
        <f t="shared" si="13"/>
        <v/>
      </c>
    </row>
    <row r="842" spans="1:5" x14ac:dyDescent="0.25">
      <c r="A842" s="25"/>
      <c r="B842" s="26"/>
      <c r="C842" s="26"/>
      <c r="E842" t="str">
        <f t="shared" si="13"/>
        <v/>
      </c>
    </row>
    <row r="843" spans="1:5" x14ac:dyDescent="0.25">
      <c r="A843" s="25"/>
      <c r="B843" s="26"/>
      <c r="C843" s="26"/>
      <c r="E843" t="str">
        <f t="shared" si="13"/>
        <v/>
      </c>
    </row>
    <row r="844" spans="1:5" x14ac:dyDescent="0.25">
      <c r="A844" s="25"/>
      <c r="B844" s="26"/>
      <c r="C844" s="26"/>
      <c r="E844" t="str">
        <f t="shared" si="13"/>
        <v/>
      </c>
    </row>
    <row r="845" spans="1:5" x14ac:dyDescent="0.25">
      <c r="A845" s="25"/>
      <c r="B845" s="26"/>
      <c r="C845" s="26"/>
      <c r="E845" t="str">
        <f t="shared" si="13"/>
        <v/>
      </c>
    </row>
    <row r="846" spans="1:5" x14ac:dyDescent="0.25">
      <c r="A846" s="25"/>
      <c r="B846" s="26"/>
      <c r="C846" s="26"/>
      <c r="E846" t="str">
        <f t="shared" si="13"/>
        <v/>
      </c>
    </row>
    <row r="847" spans="1:5" x14ac:dyDescent="0.25">
      <c r="A847" s="25"/>
      <c r="B847" s="26"/>
      <c r="C847" s="26"/>
      <c r="E847" t="str">
        <f t="shared" si="13"/>
        <v/>
      </c>
    </row>
    <row r="848" spans="1:5" x14ac:dyDescent="0.25">
      <c r="A848" s="25"/>
      <c r="B848" s="26"/>
      <c r="C848" s="26"/>
      <c r="E848" t="str">
        <f t="shared" si="13"/>
        <v/>
      </c>
    </row>
    <row r="849" spans="1:5" x14ac:dyDescent="0.25">
      <c r="A849" s="25"/>
      <c r="B849" s="26"/>
      <c r="C849" s="26"/>
      <c r="E849" t="str">
        <f t="shared" si="13"/>
        <v/>
      </c>
    </row>
    <row r="850" spans="1:5" x14ac:dyDescent="0.25">
      <c r="A850" s="25"/>
      <c r="B850" s="26"/>
      <c r="C850" s="26"/>
      <c r="E850" t="str">
        <f t="shared" si="13"/>
        <v/>
      </c>
    </row>
    <row r="851" spans="1:5" x14ac:dyDescent="0.25">
      <c r="A851" s="25"/>
      <c r="B851" s="26"/>
      <c r="C851" s="26"/>
      <c r="E851" t="str">
        <f t="shared" si="13"/>
        <v/>
      </c>
    </row>
    <row r="852" spans="1:5" x14ac:dyDescent="0.25">
      <c r="A852" s="25"/>
      <c r="B852" s="26"/>
      <c r="C852" s="26"/>
      <c r="E852" t="str">
        <f t="shared" si="13"/>
        <v/>
      </c>
    </row>
    <row r="853" spans="1:5" x14ac:dyDescent="0.25">
      <c r="A853" s="25"/>
      <c r="B853" s="26"/>
      <c r="C853" s="26"/>
      <c r="E853" t="str">
        <f t="shared" si="13"/>
        <v/>
      </c>
    </row>
    <row r="854" spans="1:5" x14ac:dyDescent="0.25">
      <c r="A854" s="25"/>
      <c r="B854" s="26"/>
      <c r="C854" s="26"/>
      <c r="E854" t="str">
        <f t="shared" si="13"/>
        <v/>
      </c>
    </row>
    <row r="855" spans="1:5" x14ac:dyDescent="0.25">
      <c r="A855" s="25"/>
      <c r="B855" s="26"/>
      <c r="C855" s="26"/>
      <c r="E855" t="str">
        <f t="shared" si="13"/>
        <v/>
      </c>
    </row>
    <row r="856" spans="1:5" x14ac:dyDescent="0.25">
      <c r="A856" s="25"/>
      <c r="B856" s="26"/>
      <c r="C856" s="26"/>
      <c r="E856" t="str">
        <f t="shared" si="13"/>
        <v/>
      </c>
    </row>
    <row r="857" spans="1:5" x14ac:dyDescent="0.25">
      <c r="A857" s="25"/>
      <c r="B857" s="26"/>
      <c r="C857" s="26"/>
      <c r="E857" t="str">
        <f t="shared" si="13"/>
        <v/>
      </c>
    </row>
    <row r="858" spans="1:5" x14ac:dyDescent="0.25">
      <c r="A858" s="25"/>
      <c r="B858" s="26"/>
      <c r="C858" s="26"/>
      <c r="E858" t="str">
        <f t="shared" si="13"/>
        <v/>
      </c>
    </row>
    <row r="859" spans="1:5" x14ac:dyDescent="0.25">
      <c r="A859" s="25"/>
      <c r="B859" s="26"/>
      <c r="C859" s="26"/>
      <c r="E859" t="str">
        <f t="shared" si="13"/>
        <v/>
      </c>
    </row>
    <row r="860" spans="1:5" x14ac:dyDescent="0.25">
      <c r="A860" s="25"/>
      <c r="B860" s="26"/>
      <c r="C860" s="26"/>
      <c r="E860" t="str">
        <f t="shared" si="13"/>
        <v/>
      </c>
    </row>
    <row r="861" spans="1:5" x14ac:dyDescent="0.25">
      <c r="A861" s="25"/>
      <c r="B861" s="26"/>
      <c r="C861" s="26"/>
      <c r="E861" t="str">
        <f t="shared" si="13"/>
        <v/>
      </c>
    </row>
    <row r="862" spans="1:5" x14ac:dyDescent="0.25">
      <c r="A862" s="25"/>
      <c r="B862" s="26"/>
      <c r="C862" s="26"/>
      <c r="E862" t="str">
        <f t="shared" si="13"/>
        <v/>
      </c>
    </row>
    <row r="863" spans="1:5" x14ac:dyDescent="0.25">
      <c r="A863" s="25"/>
      <c r="B863" s="26"/>
      <c r="C863" s="26"/>
      <c r="E863" t="str">
        <f t="shared" si="13"/>
        <v/>
      </c>
    </row>
    <row r="864" spans="1:5" x14ac:dyDescent="0.25">
      <c r="A864" s="25"/>
      <c r="B864" s="26"/>
      <c r="C864" s="26"/>
      <c r="E864" t="str">
        <f t="shared" si="13"/>
        <v/>
      </c>
    </row>
    <row r="865" spans="1:5" x14ac:dyDescent="0.25">
      <c r="A865" s="25"/>
      <c r="B865" s="26"/>
      <c r="C865" s="26"/>
      <c r="E865" t="str">
        <f t="shared" si="13"/>
        <v/>
      </c>
    </row>
    <row r="866" spans="1:5" x14ac:dyDescent="0.25">
      <c r="A866" s="25"/>
      <c r="B866" s="26"/>
      <c r="C866" s="26"/>
      <c r="E866" t="str">
        <f t="shared" si="13"/>
        <v/>
      </c>
    </row>
    <row r="867" spans="1:5" x14ac:dyDescent="0.25">
      <c r="A867" s="25"/>
      <c r="B867" s="26"/>
      <c r="C867" s="26"/>
      <c r="E867" t="str">
        <f t="shared" si="13"/>
        <v/>
      </c>
    </row>
    <row r="868" spans="1:5" x14ac:dyDescent="0.25">
      <c r="A868" s="25"/>
      <c r="B868" s="26"/>
      <c r="C868" s="26"/>
      <c r="E868" t="str">
        <f t="shared" si="13"/>
        <v/>
      </c>
    </row>
    <row r="869" spans="1:5" x14ac:dyDescent="0.25">
      <c r="A869" s="25"/>
      <c r="B869" s="26"/>
      <c r="C869" s="26"/>
      <c r="E869" t="str">
        <f t="shared" si="13"/>
        <v/>
      </c>
    </row>
    <row r="870" spans="1:5" x14ac:dyDescent="0.25">
      <c r="A870" s="25"/>
      <c r="B870" s="26"/>
      <c r="C870" s="26"/>
      <c r="E870" t="str">
        <f t="shared" si="13"/>
        <v/>
      </c>
    </row>
    <row r="871" spans="1:5" x14ac:dyDescent="0.25">
      <c r="A871" s="25"/>
      <c r="B871" s="26"/>
      <c r="C871" s="26"/>
      <c r="E871" t="str">
        <f t="shared" si="13"/>
        <v/>
      </c>
    </row>
    <row r="872" spans="1:5" x14ac:dyDescent="0.25">
      <c r="A872" s="25"/>
      <c r="B872" s="26"/>
      <c r="C872" s="26"/>
      <c r="E872" t="str">
        <f t="shared" si="13"/>
        <v/>
      </c>
    </row>
    <row r="873" spans="1:5" x14ac:dyDescent="0.25">
      <c r="A873" s="25"/>
      <c r="B873" s="26"/>
      <c r="C873" s="26"/>
      <c r="E873" t="str">
        <f t="shared" si="13"/>
        <v/>
      </c>
    </row>
    <row r="874" spans="1:5" x14ac:dyDescent="0.25">
      <c r="A874" s="25"/>
      <c r="B874" s="26"/>
      <c r="C874" s="26"/>
      <c r="E874" t="str">
        <f t="shared" si="13"/>
        <v/>
      </c>
    </row>
    <row r="875" spans="1:5" x14ac:dyDescent="0.25">
      <c r="A875" s="25"/>
      <c r="B875" s="26"/>
      <c r="C875" s="26"/>
      <c r="E875" t="str">
        <f t="shared" si="13"/>
        <v/>
      </c>
    </row>
    <row r="876" spans="1:5" x14ac:dyDescent="0.25">
      <c r="A876" s="25"/>
      <c r="B876" s="26"/>
      <c r="C876" s="26"/>
      <c r="E876" t="str">
        <f t="shared" si="13"/>
        <v/>
      </c>
    </row>
    <row r="877" spans="1:5" x14ac:dyDescent="0.25">
      <c r="A877" s="25"/>
      <c r="B877" s="26"/>
      <c r="C877" s="26"/>
      <c r="E877" t="str">
        <f t="shared" si="13"/>
        <v/>
      </c>
    </row>
    <row r="878" spans="1:5" x14ac:dyDescent="0.25">
      <c r="A878" s="25"/>
      <c r="B878" s="26"/>
      <c r="C878" s="26"/>
      <c r="E878" t="str">
        <f t="shared" si="13"/>
        <v/>
      </c>
    </row>
    <row r="879" spans="1:5" x14ac:dyDescent="0.25">
      <c r="A879" s="25"/>
      <c r="B879" s="26"/>
      <c r="C879" s="26"/>
      <c r="E879" t="str">
        <f t="shared" si="13"/>
        <v/>
      </c>
    </row>
    <row r="880" spans="1:5" x14ac:dyDescent="0.25">
      <c r="A880" s="25"/>
      <c r="B880" s="26"/>
      <c r="C880" s="26"/>
      <c r="E880" t="str">
        <f t="shared" si="13"/>
        <v/>
      </c>
    </row>
    <row r="881" spans="1:5" x14ac:dyDescent="0.25">
      <c r="A881" s="25"/>
      <c r="B881" s="26"/>
      <c r="C881" s="26"/>
      <c r="E881" t="str">
        <f t="shared" si="13"/>
        <v/>
      </c>
    </row>
    <row r="882" spans="1:5" x14ac:dyDescent="0.25">
      <c r="A882" s="25"/>
      <c r="B882" s="26"/>
      <c r="C882" s="26"/>
      <c r="E882" t="str">
        <f t="shared" si="13"/>
        <v/>
      </c>
    </row>
    <row r="883" spans="1:5" x14ac:dyDescent="0.25">
      <c r="A883" s="25"/>
      <c r="B883" s="26"/>
      <c r="C883" s="26"/>
      <c r="E883" t="str">
        <f t="shared" si="13"/>
        <v/>
      </c>
    </row>
    <row r="884" spans="1:5" x14ac:dyDescent="0.25">
      <c r="A884" s="25"/>
      <c r="B884" s="26"/>
      <c r="C884" s="26"/>
      <c r="E884" t="str">
        <f t="shared" si="13"/>
        <v/>
      </c>
    </row>
    <row r="885" spans="1:5" x14ac:dyDescent="0.25">
      <c r="A885" s="25"/>
      <c r="B885" s="26"/>
      <c r="C885" s="26"/>
      <c r="E885" t="str">
        <f t="shared" si="13"/>
        <v/>
      </c>
    </row>
    <row r="886" spans="1:5" x14ac:dyDescent="0.25">
      <c r="A886" s="25"/>
      <c r="B886" s="26"/>
      <c r="C886" s="26"/>
      <c r="E886" t="str">
        <f t="shared" si="13"/>
        <v/>
      </c>
    </row>
    <row r="887" spans="1:5" x14ac:dyDescent="0.25">
      <c r="A887" s="25"/>
      <c r="B887" s="26"/>
      <c r="C887" s="26"/>
      <c r="E887" t="str">
        <f t="shared" si="13"/>
        <v/>
      </c>
    </row>
    <row r="888" spans="1:5" x14ac:dyDescent="0.25">
      <c r="A888" s="25"/>
      <c r="B888" s="26"/>
      <c r="C888" s="26"/>
      <c r="E888" t="str">
        <f t="shared" si="13"/>
        <v/>
      </c>
    </row>
    <row r="889" spans="1:5" x14ac:dyDescent="0.25">
      <c r="A889" s="25"/>
      <c r="B889" s="26"/>
      <c r="C889" s="26"/>
      <c r="E889" t="str">
        <f t="shared" si="13"/>
        <v/>
      </c>
    </row>
    <row r="890" spans="1:5" x14ac:dyDescent="0.25">
      <c r="A890" s="25"/>
      <c r="B890" s="26"/>
      <c r="C890" s="26"/>
      <c r="E890" t="str">
        <f t="shared" si="13"/>
        <v/>
      </c>
    </row>
    <row r="891" spans="1:5" x14ac:dyDescent="0.25">
      <c r="A891" s="25"/>
      <c r="B891" s="26"/>
      <c r="C891" s="26"/>
      <c r="E891" t="str">
        <f t="shared" si="13"/>
        <v/>
      </c>
    </row>
    <row r="892" spans="1:5" x14ac:dyDescent="0.25">
      <c r="A892" s="25"/>
      <c r="B892" s="26"/>
      <c r="C892" s="26"/>
      <c r="E892" t="str">
        <f t="shared" si="13"/>
        <v/>
      </c>
    </row>
    <row r="893" spans="1:5" x14ac:dyDescent="0.25">
      <c r="A893" s="25"/>
      <c r="B893" s="26"/>
      <c r="C893" s="26"/>
      <c r="E893" t="str">
        <f t="shared" si="13"/>
        <v/>
      </c>
    </row>
    <row r="894" spans="1:5" x14ac:dyDescent="0.25">
      <c r="A894" s="25"/>
      <c r="B894" s="26"/>
      <c r="C894" s="26"/>
      <c r="E894" t="str">
        <f t="shared" si="13"/>
        <v/>
      </c>
    </row>
    <row r="895" spans="1:5" x14ac:dyDescent="0.25">
      <c r="A895" s="25"/>
      <c r="B895" s="26"/>
      <c r="C895" s="26"/>
      <c r="E895" t="str">
        <f t="shared" si="13"/>
        <v/>
      </c>
    </row>
    <row r="896" spans="1:5" x14ac:dyDescent="0.25">
      <c r="A896" s="25"/>
      <c r="B896" s="26"/>
      <c r="C896" s="26"/>
      <c r="E896" t="str">
        <f t="shared" si="13"/>
        <v/>
      </c>
    </row>
    <row r="897" spans="1:5" x14ac:dyDescent="0.25">
      <c r="A897" s="25"/>
      <c r="B897" s="26"/>
      <c r="C897" s="26"/>
      <c r="E897" t="str">
        <f t="shared" si="13"/>
        <v/>
      </c>
    </row>
    <row r="898" spans="1:5" x14ac:dyDescent="0.25">
      <c r="A898" s="25"/>
      <c r="B898" s="26"/>
      <c r="C898" s="26"/>
      <c r="E898" t="str">
        <f t="shared" si="13"/>
        <v/>
      </c>
    </row>
    <row r="899" spans="1:5" x14ac:dyDescent="0.25">
      <c r="A899" s="25"/>
      <c r="B899" s="26"/>
      <c r="C899" s="26"/>
      <c r="E899" t="str">
        <f t="shared" si="13"/>
        <v/>
      </c>
    </row>
    <row r="900" spans="1:5" x14ac:dyDescent="0.25">
      <c r="A900" s="25"/>
      <c r="B900" s="26"/>
      <c r="C900" s="26"/>
      <c r="E900" t="str">
        <f t="shared" ref="E900:E963" si="14">IF(A900="","",IF(C900="","FALTA TC","OK"))</f>
        <v/>
      </c>
    </row>
    <row r="901" spans="1:5" x14ac:dyDescent="0.25">
      <c r="A901" s="25"/>
      <c r="B901" s="26"/>
      <c r="C901" s="26"/>
      <c r="E901" t="str">
        <f t="shared" si="14"/>
        <v/>
      </c>
    </row>
    <row r="902" spans="1:5" x14ac:dyDescent="0.25">
      <c r="A902" s="25"/>
      <c r="B902" s="26"/>
      <c r="C902" s="26"/>
      <c r="E902" t="str">
        <f t="shared" si="14"/>
        <v/>
      </c>
    </row>
    <row r="903" spans="1:5" x14ac:dyDescent="0.25">
      <c r="A903" s="25"/>
      <c r="B903" s="26"/>
      <c r="C903" s="26"/>
      <c r="E903" t="str">
        <f t="shared" si="14"/>
        <v/>
      </c>
    </row>
    <row r="904" spans="1:5" x14ac:dyDescent="0.25">
      <c r="A904" s="25"/>
      <c r="B904" s="26"/>
      <c r="C904" s="26"/>
      <c r="E904" t="str">
        <f t="shared" si="14"/>
        <v/>
      </c>
    </row>
    <row r="905" spans="1:5" x14ac:dyDescent="0.25">
      <c r="A905" s="25"/>
      <c r="B905" s="26"/>
      <c r="C905" s="26"/>
      <c r="E905" t="str">
        <f t="shared" si="14"/>
        <v/>
      </c>
    </row>
    <row r="906" spans="1:5" x14ac:dyDescent="0.25">
      <c r="A906" s="25"/>
      <c r="B906" s="26"/>
      <c r="C906" s="26"/>
      <c r="E906" t="str">
        <f t="shared" si="14"/>
        <v/>
      </c>
    </row>
    <row r="907" spans="1:5" x14ac:dyDescent="0.25">
      <c r="A907" s="25"/>
      <c r="B907" s="26"/>
      <c r="C907" s="26"/>
      <c r="E907" t="str">
        <f t="shared" si="14"/>
        <v/>
      </c>
    </row>
    <row r="908" spans="1:5" x14ac:dyDescent="0.25">
      <c r="A908" s="25"/>
      <c r="B908" s="26"/>
      <c r="C908" s="26"/>
      <c r="E908" t="str">
        <f t="shared" si="14"/>
        <v/>
      </c>
    </row>
    <row r="909" spans="1:5" x14ac:dyDescent="0.25">
      <c r="A909" s="25"/>
      <c r="B909" s="26"/>
      <c r="C909" s="26"/>
      <c r="E909" t="str">
        <f t="shared" si="14"/>
        <v/>
      </c>
    </row>
    <row r="910" spans="1:5" x14ac:dyDescent="0.25">
      <c r="A910" s="25"/>
      <c r="B910" s="26"/>
      <c r="C910" s="26"/>
      <c r="E910" t="str">
        <f t="shared" si="14"/>
        <v/>
      </c>
    </row>
    <row r="911" spans="1:5" x14ac:dyDescent="0.25">
      <c r="A911" s="25"/>
      <c r="B911" s="26"/>
      <c r="C911" s="26"/>
      <c r="E911" t="str">
        <f t="shared" si="14"/>
        <v/>
      </c>
    </row>
    <row r="912" spans="1:5" x14ac:dyDescent="0.25">
      <c r="A912" s="25"/>
      <c r="B912" s="26"/>
      <c r="C912" s="26"/>
      <c r="E912" t="str">
        <f t="shared" si="14"/>
        <v/>
      </c>
    </row>
    <row r="913" spans="1:5" x14ac:dyDescent="0.25">
      <c r="A913" s="25"/>
      <c r="B913" s="26"/>
      <c r="C913" s="26"/>
      <c r="E913" t="str">
        <f t="shared" si="14"/>
        <v/>
      </c>
    </row>
    <row r="914" spans="1:5" x14ac:dyDescent="0.25">
      <c r="A914" s="25"/>
      <c r="B914" s="26"/>
      <c r="C914" s="26"/>
      <c r="E914" t="str">
        <f t="shared" si="14"/>
        <v/>
      </c>
    </row>
    <row r="915" spans="1:5" x14ac:dyDescent="0.25">
      <c r="A915" s="25"/>
      <c r="B915" s="26"/>
      <c r="C915" s="26"/>
      <c r="E915" t="str">
        <f t="shared" si="14"/>
        <v/>
      </c>
    </row>
    <row r="916" spans="1:5" x14ac:dyDescent="0.25">
      <c r="A916" s="25"/>
      <c r="B916" s="26"/>
      <c r="C916" s="26"/>
      <c r="E916" t="str">
        <f t="shared" si="14"/>
        <v/>
      </c>
    </row>
    <row r="917" spans="1:5" x14ac:dyDescent="0.25">
      <c r="A917" s="25"/>
      <c r="B917" s="26"/>
      <c r="C917" s="26"/>
      <c r="E917" t="str">
        <f t="shared" si="14"/>
        <v/>
      </c>
    </row>
    <row r="918" spans="1:5" x14ac:dyDescent="0.25">
      <c r="A918" s="25"/>
      <c r="B918" s="26"/>
      <c r="C918" s="26"/>
      <c r="E918" t="str">
        <f t="shared" si="14"/>
        <v/>
      </c>
    </row>
    <row r="919" spans="1:5" x14ac:dyDescent="0.25">
      <c r="A919" s="25"/>
      <c r="B919" s="26"/>
      <c r="C919" s="26"/>
      <c r="E919" t="str">
        <f t="shared" si="14"/>
        <v/>
      </c>
    </row>
    <row r="920" spans="1:5" x14ac:dyDescent="0.25">
      <c r="A920" s="25"/>
      <c r="B920" s="26"/>
      <c r="C920" s="26"/>
      <c r="E920" t="str">
        <f t="shared" si="14"/>
        <v/>
      </c>
    </row>
    <row r="921" spans="1:5" x14ac:dyDescent="0.25">
      <c r="A921" s="25"/>
      <c r="B921" s="26"/>
      <c r="C921" s="26"/>
      <c r="E921" t="str">
        <f t="shared" si="14"/>
        <v/>
      </c>
    </row>
    <row r="922" spans="1:5" x14ac:dyDescent="0.25">
      <c r="A922" s="25"/>
      <c r="B922" s="26"/>
      <c r="C922" s="26"/>
      <c r="E922" t="str">
        <f t="shared" si="14"/>
        <v/>
      </c>
    </row>
    <row r="923" spans="1:5" x14ac:dyDescent="0.25">
      <c r="A923" s="25"/>
      <c r="B923" s="26"/>
      <c r="C923" s="26"/>
      <c r="E923" t="str">
        <f t="shared" si="14"/>
        <v/>
      </c>
    </row>
    <row r="924" spans="1:5" x14ac:dyDescent="0.25">
      <c r="A924" s="25"/>
      <c r="B924" s="26"/>
      <c r="C924" s="26"/>
      <c r="E924" t="str">
        <f t="shared" si="14"/>
        <v/>
      </c>
    </row>
    <row r="925" spans="1:5" x14ac:dyDescent="0.25">
      <c r="A925" s="25"/>
      <c r="B925" s="26"/>
      <c r="C925" s="26"/>
      <c r="E925" t="str">
        <f t="shared" si="14"/>
        <v/>
      </c>
    </row>
    <row r="926" spans="1:5" x14ac:dyDescent="0.25">
      <c r="A926" s="25"/>
      <c r="B926" s="26"/>
      <c r="C926" s="26"/>
      <c r="E926" t="str">
        <f t="shared" si="14"/>
        <v/>
      </c>
    </row>
    <row r="927" spans="1:5" x14ac:dyDescent="0.25">
      <c r="A927" s="25"/>
      <c r="B927" s="26"/>
      <c r="C927" s="26"/>
      <c r="E927" t="str">
        <f t="shared" si="14"/>
        <v/>
      </c>
    </row>
    <row r="928" spans="1:5" x14ac:dyDescent="0.25">
      <c r="A928" s="25"/>
      <c r="B928" s="26"/>
      <c r="C928" s="26"/>
      <c r="E928" t="str">
        <f t="shared" si="14"/>
        <v/>
      </c>
    </row>
    <row r="929" spans="1:5" x14ac:dyDescent="0.25">
      <c r="A929" s="25"/>
      <c r="B929" s="26"/>
      <c r="C929" s="26"/>
      <c r="E929" t="str">
        <f t="shared" si="14"/>
        <v/>
      </c>
    </row>
    <row r="930" spans="1:5" x14ac:dyDescent="0.25">
      <c r="A930" s="25"/>
      <c r="B930" s="26"/>
      <c r="C930" s="26"/>
      <c r="E930" t="str">
        <f t="shared" si="14"/>
        <v/>
      </c>
    </row>
    <row r="931" spans="1:5" x14ac:dyDescent="0.25">
      <c r="A931" s="25"/>
      <c r="B931" s="26"/>
      <c r="C931" s="26"/>
      <c r="E931" t="str">
        <f t="shared" si="14"/>
        <v/>
      </c>
    </row>
    <row r="932" spans="1:5" x14ac:dyDescent="0.25">
      <c r="A932" s="25"/>
      <c r="B932" s="26"/>
      <c r="C932" s="26"/>
      <c r="E932" t="str">
        <f t="shared" si="14"/>
        <v/>
      </c>
    </row>
    <row r="933" spans="1:5" x14ac:dyDescent="0.25">
      <c r="A933" s="25"/>
      <c r="B933" s="26"/>
      <c r="C933" s="26"/>
      <c r="E933" t="str">
        <f t="shared" si="14"/>
        <v/>
      </c>
    </row>
    <row r="934" spans="1:5" x14ac:dyDescent="0.25">
      <c r="A934" s="25"/>
      <c r="B934" s="26"/>
      <c r="C934" s="26"/>
      <c r="E934" t="str">
        <f t="shared" si="14"/>
        <v/>
      </c>
    </row>
    <row r="935" spans="1:5" x14ac:dyDescent="0.25">
      <c r="A935" s="25"/>
      <c r="B935" s="26"/>
      <c r="C935" s="26"/>
      <c r="E935" t="str">
        <f t="shared" si="14"/>
        <v/>
      </c>
    </row>
    <row r="936" spans="1:5" x14ac:dyDescent="0.25">
      <c r="A936" s="25"/>
      <c r="B936" s="26"/>
      <c r="C936" s="26"/>
      <c r="E936" t="str">
        <f t="shared" si="14"/>
        <v/>
      </c>
    </row>
    <row r="937" spans="1:5" x14ac:dyDescent="0.25">
      <c r="A937" s="25"/>
      <c r="B937" s="26"/>
      <c r="C937" s="26"/>
      <c r="E937" t="str">
        <f t="shared" si="14"/>
        <v/>
      </c>
    </row>
    <row r="938" spans="1:5" x14ac:dyDescent="0.25">
      <c r="A938" s="25"/>
      <c r="B938" s="26"/>
      <c r="C938" s="26"/>
      <c r="E938" t="str">
        <f t="shared" si="14"/>
        <v/>
      </c>
    </row>
    <row r="939" spans="1:5" x14ac:dyDescent="0.25">
      <c r="A939" s="25"/>
      <c r="B939" s="26"/>
      <c r="C939" s="26"/>
      <c r="E939" t="str">
        <f t="shared" si="14"/>
        <v/>
      </c>
    </row>
    <row r="940" spans="1:5" x14ac:dyDescent="0.25">
      <c r="A940" s="25"/>
      <c r="B940" s="26"/>
      <c r="C940" s="26"/>
      <c r="E940" t="str">
        <f t="shared" si="14"/>
        <v/>
      </c>
    </row>
    <row r="941" spans="1:5" x14ac:dyDescent="0.25">
      <c r="A941" s="25"/>
      <c r="B941" s="26"/>
      <c r="C941" s="26"/>
      <c r="E941" t="str">
        <f t="shared" si="14"/>
        <v/>
      </c>
    </row>
    <row r="942" spans="1:5" x14ac:dyDescent="0.25">
      <c r="A942" s="25"/>
      <c r="B942" s="26"/>
      <c r="C942" s="26"/>
      <c r="E942" t="str">
        <f t="shared" si="14"/>
        <v/>
      </c>
    </row>
    <row r="943" spans="1:5" x14ac:dyDescent="0.25">
      <c r="A943" s="25"/>
      <c r="B943" s="26"/>
      <c r="C943" s="26"/>
      <c r="E943" t="str">
        <f t="shared" si="14"/>
        <v/>
      </c>
    </row>
    <row r="944" spans="1:5" x14ac:dyDescent="0.25">
      <c r="A944" s="25"/>
      <c r="B944" s="26"/>
      <c r="C944" s="26"/>
      <c r="E944" t="str">
        <f t="shared" si="14"/>
        <v/>
      </c>
    </row>
    <row r="945" spans="1:5" x14ac:dyDescent="0.25">
      <c r="A945" s="25"/>
      <c r="B945" s="26"/>
      <c r="C945" s="26"/>
      <c r="E945" t="str">
        <f t="shared" si="14"/>
        <v/>
      </c>
    </row>
    <row r="946" spans="1:5" x14ac:dyDescent="0.25">
      <c r="A946" s="25"/>
      <c r="B946" s="26"/>
      <c r="C946" s="26"/>
      <c r="E946" t="str">
        <f t="shared" si="14"/>
        <v/>
      </c>
    </row>
    <row r="947" spans="1:5" x14ac:dyDescent="0.25">
      <c r="A947" s="25"/>
      <c r="B947" s="26"/>
      <c r="C947" s="26"/>
      <c r="E947" t="str">
        <f t="shared" si="14"/>
        <v/>
      </c>
    </row>
    <row r="948" spans="1:5" x14ac:dyDescent="0.25">
      <c r="A948" s="25"/>
      <c r="B948" s="26"/>
      <c r="C948" s="26"/>
      <c r="E948" t="str">
        <f t="shared" si="14"/>
        <v/>
      </c>
    </row>
    <row r="949" spans="1:5" x14ac:dyDescent="0.25">
      <c r="A949" s="25"/>
      <c r="B949" s="26"/>
      <c r="C949" s="26"/>
      <c r="E949" t="str">
        <f t="shared" si="14"/>
        <v/>
      </c>
    </row>
    <row r="950" spans="1:5" x14ac:dyDescent="0.25">
      <c r="A950" s="25"/>
      <c r="B950" s="26"/>
      <c r="C950" s="26"/>
      <c r="E950" t="str">
        <f t="shared" si="14"/>
        <v/>
      </c>
    </row>
    <row r="951" spans="1:5" x14ac:dyDescent="0.25">
      <c r="A951" s="25"/>
      <c r="B951" s="26"/>
      <c r="C951" s="26"/>
      <c r="E951" t="str">
        <f t="shared" si="14"/>
        <v/>
      </c>
    </row>
    <row r="952" spans="1:5" x14ac:dyDescent="0.25">
      <c r="A952" s="25"/>
      <c r="B952" s="26"/>
      <c r="C952" s="26"/>
      <c r="E952" t="str">
        <f t="shared" si="14"/>
        <v/>
      </c>
    </row>
    <row r="953" spans="1:5" x14ac:dyDescent="0.25">
      <c r="A953" s="25"/>
      <c r="B953" s="26"/>
      <c r="C953" s="26"/>
      <c r="E953" t="str">
        <f t="shared" si="14"/>
        <v/>
      </c>
    </row>
    <row r="954" spans="1:5" x14ac:dyDescent="0.25">
      <c r="A954" s="25"/>
      <c r="B954" s="26"/>
      <c r="C954" s="26"/>
      <c r="E954" t="str">
        <f t="shared" si="14"/>
        <v/>
      </c>
    </row>
    <row r="955" spans="1:5" x14ac:dyDescent="0.25">
      <c r="A955" s="25"/>
      <c r="B955" s="26"/>
      <c r="C955" s="26"/>
      <c r="E955" t="str">
        <f t="shared" si="14"/>
        <v/>
      </c>
    </row>
    <row r="956" spans="1:5" x14ac:dyDescent="0.25">
      <c r="A956" s="25"/>
      <c r="B956" s="26"/>
      <c r="C956" s="26"/>
      <c r="E956" t="str">
        <f t="shared" si="14"/>
        <v/>
      </c>
    </row>
    <row r="957" spans="1:5" x14ac:dyDescent="0.25">
      <c r="A957" s="25"/>
      <c r="B957" s="26"/>
      <c r="C957" s="26"/>
      <c r="E957" t="str">
        <f t="shared" si="14"/>
        <v/>
      </c>
    </row>
    <row r="958" spans="1:5" x14ac:dyDescent="0.25">
      <c r="A958" s="25"/>
      <c r="B958" s="26"/>
      <c r="C958" s="26"/>
      <c r="E958" t="str">
        <f t="shared" si="14"/>
        <v/>
      </c>
    </row>
    <row r="959" spans="1:5" x14ac:dyDescent="0.25">
      <c r="A959" s="25"/>
      <c r="B959" s="26"/>
      <c r="C959" s="26"/>
      <c r="E959" t="str">
        <f t="shared" si="14"/>
        <v/>
      </c>
    </row>
    <row r="960" spans="1:5" x14ac:dyDescent="0.25">
      <c r="A960" s="25"/>
      <c r="B960" s="26"/>
      <c r="C960" s="26"/>
      <c r="E960" t="str">
        <f t="shared" si="14"/>
        <v/>
      </c>
    </row>
    <row r="961" spans="1:5" x14ac:dyDescent="0.25">
      <c r="A961" s="25"/>
      <c r="B961" s="26"/>
      <c r="C961" s="26"/>
      <c r="E961" t="str">
        <f t="shared" si="14"/>
        <v/>
      </c>
    </row>
    <row r="962" spans="1:5" x14ac:dyDescent="0.25">
      <c r="A962" s="25"/>
      <c r="B962" s="26"/>
      <c r="C962" s="26"/>
      <c r="E962" t="str">
        <f t="shared" si="14"/>
        <v/>
      </c>
    </row>
    <row r="963" spans="1:5" x14ac:dyDescent="0.25">
      <c r="A963" s="25"/>
      <c r="B963" s="26"/>
      <c r="C963" s="26"/>
      <c r="E963" t="str">
        <f t="shared" si="14"/>
        <v/>
      </c>
    </row>
    <row r="964" spans="1:5" x14ac:dyDescent="0.25">
      <c r="A964" s="25"/>
      <c r="B964" s="26"/>
      <c r="C964" s="26"/>
      <c r="E964" t="str">
        <f t="shared" ref="E964:E1003" si="15">IF(A964="","",IF(C964="","FALTA TC","OK"))</f>
        <v/>
      </c>
    </row>
    <row r="965" spans="1:5" x14ac:dyDescent="0.25">
      <c r="A965" s="25"/>
      <c r="B965" s="26"/>
      <c r="C965" s="26"/>
      <c r="E965" t="str">
        <f t="shared" si="15"/>
        <v/>
      </c>
    </row>
    <row r="966" spans="1:5" x14ac:dyDescent="0.25">
      <c r="A966" s="25"/>
      <c r="B966" s="26"/>
      <c r="C966" s="26"/>
      <c r="E966" t="str">
        <f t="shared" si="15"/>
        <v/>
      </c>
    </row>
    <row r="967" spans="1:5" x14ac:dyDescent="0.25">
      <c r="A967" s="25"/>
      <c r="B967" s="26"/>
      <c r="C967" s="26"/>
      <c r="E967" t="str">
        <f t="shared" si="15"/>
        <v/>
      </c>
    </row>
    <row r="968" spans="1:5" x14ac:dyDescent="0.25">
      <c r="A968" s="25"/>
      <c r="B968" s="26"/>
      <c r="C968" s="26"/>
      <c r="E968" t="str">
        <f t="shared" si="15"/>
        <v/>
      </c>
    </row>
    <row r="969" spans="1:5" x14ac:dyDescent="0.25">
      <c r="A969" s="25"/>
      <c r="B969" s="26"/>
      <c r="C969" s="26"/>
      <c r="E969" t="str">
        <f t="shared" si="15"/>
        <v/>
      </c>
    </row>
    <row r="970" spans="1:5" x14ac:dyDescent="0.25">
      <c r="A970" s="25"/>
      <c r="B970" s="26"/>
      <c r="C970" s="26"/>
      <c r="E970" t="str">
        <f t="shared" si="15"/>
        <v/>
      </c>
    </row>
    <row r="971" spans="1:5" x14ac:dyDescent="0.25">
      <c r="A971" s="25"/>
      <c r="B971" s="26"/>
      <c r="C971" s="26"/>
      <c r="E971" t="str">
        <f t="shared" si="15"/>
        <v/>
      </c>
    </row>
    <row r="972" spans="1:5" x14ac:dyDescent="0.25">
      <c r="A972" s="25"/>
      <c r="B972" s="26"/>
      <c r="C972" s="26"/>
      <c r="E972" t="str">
        <f t="shared" si="15"/>
        <v/>
      </c>
    </row>
    <row r="973" spans="1:5" x14ac:dyDescent="0.25">
      <c r="A973" s="25"/>
      <c r="B973" s="26"/>
      <c r="C973" s="26"/>
      <c r="E973" t="str">
        <f t="shared" si="15"/>
        <v/>
      </c>
    </row>
    <row r="974" spans="1:5" x14ac:dyDescent="0.25">
      <c r="A974" s="25"/>
      <c r="B974" s="26"/>
      <c r="C974" s="26"/>
      <c r="E974" t="str">
        <f t="shared" si="15"/>
        <v/>
      </c>
    </row>
    <row r="975" spans="1:5" x14ac:dyDescent="0.25">
      <c r="A975" s="25"/>
      <c r="B975" s="26"/>
      <c r="C975" s="26"/>
      <c r="E975" t="str">
        <f t="shared" si="15"/>
        <v/>
      </c>
    </row>
    <row r="976" spans="1:5" x14ac:dyDescent="0.25">
      <c r="A976" s="25"/>
      <c r="B976" s="26"/>
      <c r="C976" s="26"/>
      <c r="E976" t="str">
        <f t="shared" si="15"/>
        <v/>
      </c>
    </row>
    <row r="977" spans="1:5" x14ac:dyDescent="0.25">
      <c r="A977" s="25"/>
      <c r="B977" s="26"/>
      <c r="C977" s="26"/>
      <c r="E977" t="str">
        <f t="shared" si="15"/>
        <v/>
      </c>
    </row>
    <row r="978" spans="1:5" x14ac:dyDescent="0.25">
      <c r="A978" s="25"/>
      <c r="B978" s="26"/>
      <c r="C978" s="26"/>
      <c r="E978" t="str">
        <f t="shared" si="15"/>
        <v/>
      </c>
    </row>
    <row r="979" spans="1:5" x14ac:dyDescent="0.25">
      <c r="A979" s="25"/>
      <c r="B979" s="26"/>
      <c r="C979" s="26"/>
      <c r="E979" t="str">
        <f t="shared" si="15"/>
        <v/>
      </c>
    </row>
    <row r="980" spans="1:5" x14ac:dyDescent="0.25">
      <c r="A980" s="25"/>
      <c r="B980" s="26"/>
      <c r="C980" s="26"/>
      <c r="E980" t="str">
        <f t="shared" si="15"/>
        <v/>
      </c>
    </row>
    <row r="981" spans="1:5" x14ac:dyDescent="0.25">
      <c r="A981" s="25"/>
      <c r="B981" s="26"/>
      <c r="C981" s="26"/>
      <c r="E981" t="str">
        <f t="shared" si="15"/>
        <v/>
      </c>
    </row>
    <row r="982" spans="1:5" x14ac:dyDescent="0.25">
      <c r="A982" s="25"/>
      <c r="B982" s="26"/>
      <c r="C982" s="26"/>
      <c r="E982" t="str">
        <f t="shared" si="15"/>
        <v/>
      </c>
    </row>
    <row r="983" spans="1:5" x14ac:dyDescent="0.25">
      <c r="A983" s="25"/>
      <c r="B983" s="26"/>
      <c r="C983" s="26"/>
      <c r="E983" t="str">
        <f t="shared" si="15"/>
        <v/>
      </c>
    </row>
    <row r="984" spans="1:5" x14ac:dyDescent="0.25">
      <c r="A984" s="25"/>
      <c r="B984" s="26"/>
      <c r="C984" s="26"/>
      <c r="E984" t="str">
        <f t="shared" si="15"/>
        <v/>
      </c>
    </row>
    <row r="985" spans="1:5" x14ac:dyDescent="0.25">
      <c r="A985" s="25"/>
      <c r="B985" s="26"/>
      <c r="C985" s="26"/>
      <c r="E985" t="str">
        <f t="shared" si="15"/>
        <v/>
      </c>
    </row>
    <row r="986" spans="1:5" x14ac:dyDescent="0.25">
      <c r="A986" s="25"/>
      <c r="B986" s="26"/>
      <c r="C986" s="26"/>
      <c r="E986" t="str">
        <f t="shared" si="15"/>
        <v/>
      </c>
    </row>
    <row r="987" spans="1:5" x14ac:dyDescent="0.25">
      <c r="A987" s="25"/>
      <c r="B987" s="26"/>
      <c r="C987" s="26"/>
      <c r="E987" t="str">
        <f t="shared" si="15"/>
        <v/>
      </c>
    </row>
    <row r="988" spans="1:5" x14ac:dyDescent="0.25">
      <c r="A988" s="25"/>
      <c r="B988" s="26"/>
      <c r="C988" s="26"/>
      <c r="E988" t="str">
        <f t="shared" si="15"/>
        <v/>
      </c>
    </row>
    <row r="989" spans="1:5" x14ac:dyDescent="0.25">
      <c r="A989" s="25"/>
      <c r="B989" s="26"/>
      <c r="C989" s="26"/>
      <c r="E989" t="str">
        <f t="shared" si="15"/>
        <v/>
      </c>
    </row>
    <row r="990" spans="1:5" x14ac:dyDescent="0.25">
      <c r="A990" s="25"/>
      <c r="B990" s="26"/>
      <c r="C990" s="26"/>
      <c r="E990" t="str">
        <f t="shared" si="15"/>
        <v/>
      </c>
    </row>
    <row r="991" spans="1:5" x14ac:dyDescent="0.25">
      <c r="A991" s="25"/>
      <c r="B991" s="26"/>
      <c r="C991" s="26"/>
      <c r="E991" t="str">
        <f t="shared" si="15"/>
        <v/>
      </c>
    </row>
    <row r="992" spans="1:5" x14ac:dyDescent="0.25">
      <c r="A992" s="25"/>
      <c r="B992" s="26"/>
      <c r="C992" s="26"/>
      <c r="E992" t="str">
        <f t="shared" si="15"/>
        <v/>
      </c>
    </row>
    <row r="993" spans="1:5" x14ac:dyDescent="0.25">
      <c r="A993" s="25"/>
      <c r="B993" s="26"/>
      <c r="C993" s="26"/>
      <c r="E993" t="str">
        <f t="shared" si="15"/>
        <v/>
      </c>
    </row>
    <row r="994" spans="1:5" x14ac:dyDescent="0.25">
      <c r="A994" s="25"/>
      <c r="B994" s="26"/>
      <c r="C994" s="26"/>
      <c r="E994" t="str">
        <f t="shared" si="15"/>
        <v/>
      </c>
    </row>
    <row r="995" spans="1:5" x14ac:dyDescent="0.25">
      <c r="A995" s="25"/>
      <c r="B995" s="26"/>
      <c r="C995" s="26"/>
      <c r="E995" t="str">
        <f t="shared" si="15"/>
        <v/>
      </c>
    </row>
    <row r="996" spans="1:5" x14ac:dyDescent="0.25">
      <c r="A996" s="25"/>
      <c r="B996" s="26"/>
      <c r="C996" s="26"/>
      <c r="E996" t="str">
        <f t="shared" si="15"/>
        <v/>
      </c>
    </row>
    <row r="997" spans="1:5" x14ac:dyDescent="0.25">
      <c r="A997" s="25"/>
      <c r="B997" s="26"/>
      <c r="C997" s="26"/>
      <c r="E997" t="str">
        <f t="shared" si="15"/>
        <v/>
      </c>
    </row>
    <row r="998" spans="1:5" x14ac:dyDescent="0.25">
      <c r="A998" s="25"/>
      <c r="B998" s="26"/>
      <c r="C998" s="26"/>
      <c r="E998" t="str">
        <f t="shared" si="15"/>
        <v/>
      </c>
    </row>
    <row r="999" spans="1:5" x14ac:dyDescent="0.25">
      <c r="A999" s="25"/>
      <c r="B999" s="26"/>
      <c r="C999" s="26"/>
      <c r="E999" t="str">
        <f t="shared" si="15"/>
        <v/>
      </c>
    </row>
    <row r="1000" spans="1:5" x14ac:dyDescent="0.25">
      <c r="A1000" s="25"/>
      <c r="B1000" s="26"/>
      <c r="C1000" s="26"/>
      <c r="E1000" t="str">
        <f t="shared" si="15"/>
        <v/>
      </c>
    </row>
    <row r="1001" spans="1:5" x14ac:dyDescent="0.25">
      <c r="A1001" s="25"/>
      <c r="B1001" s="26"/>
      <c r="C1001" s="26"/>
      <c r="E1001" t="str">
        <f t="shared" si="15"/>
        <v/>
      </c>
    </row>
    <row r="1002" spans="1:5" x14ac:dyDescent="0.25">
      <c r="A1002" s="25"/>
      <c r="B1002" s="26"/>
      <c r="C1002" s="26"/>
      <c r="E1002" t="str">
        <f t="shared" si="15"/>
        <v/>
      </c>
    </row>
    <row r="1003" spans="1:5" x14ac:dyDescent="0.25">
      <c r="A1003" s="25"/>
      <c r="B1003" s="26"/>
      <c r="C1003" s="26"/>
      <c r="E1003" t="str">
        <f t="shared" si="15"/>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7</vt:i4>
      </vt:variant>
    </vt:vector>
  </HeadingPairs>
  <TitlesOfParts>
    <vt:vector size="15" baseType="lpstr">
      <vt:lpstr>Instrucciones</vt:lpstr>
      <vt:lpstr>Catalogo_Detracciones</vt:lpstr>
      <vt:lpstr>Registro_Compras</vt:lpstr>
      <vt:lpstr>Registro_Ventas</vt:lpstr>
      <vt:lpstr>Libro_Diario</vt:lpstr>
      <vt:lpstr>Detracciones_Control</vt:lpstr>
      <vt:lpstr>Plan_Cuentas</vt:lpstr>
      <vt:lpstr>TC_Diario</vt:lpstr>
      <vt:lpstr>Catalogo_Codigos</vt:lpstr>
      <vt:lpstr>Catalogo_Etiquetas</vt:lpstr>
      <vt:lpstr>Catalogo_Tasas</vt:lpstr>
      <vt:lpstr>Catalogo_Umbrales</vt:lpstr>
      <vt:lpstr>Feriados</vt:lpstr>
      <vt:lpstr>TC_Fechas</vt:lpstr>
      <vt:lpstr>TC_Venta_Rango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ventas braidy wonders</cp:lastModifiedBy>
  <cp:revision>0</cp:revision>
  <dcterms:created xsi:type="dcterms:W3CDTF">2026-08-20T18:03:37Z</dcterms:created>
  <dcterms:modified xsi:type="dcterms:W3CDTF">2026-08-21T22:26:02Z</dcterms:modified>
  <dc:language>en-US</dc:language>
</cp:coreProperties>
</file>